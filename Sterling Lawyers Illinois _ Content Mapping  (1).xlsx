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Pages" sheetId="1" r:id="rId5"/>
    <sheet state="visible" name="Sterling_Lawyers_IL_Content_Gap" sheetId="2" r:id="rId6"/>
    <sheet state="visible" name="Performance Summary" sheetId="3" r:id="rId7"/>
    <sheet state="visible" name="YoY Comparison" sheetId="4" r:id="rId8"/>
    <sheet state="visible" name="Top Keyword Rankings" sheetId="5" r:id="rId9"/>
    <sheet state="visible" name="Date Ranges" sheetId="6" r:id="rId10"/>
    <sheet state="hidden" name="L3m_search_console_all" sheetId="7" r:id="rId11"/>
    <sheet state="hidden" name="L3m_analytics_all" sheetId="8" r:id="rId12"/>
    <sheet state="hidden" name="P3M_analytics" sheetId="9" r:id="rId13"/>
    <sheet state="hidden" name="P3m_search_console" sheetId="10" r:id="rId14"/>
    <sheet state="hidden" name="L3M_LY_search_console" sheetId="11" r:id="rId15"/>
    <sheet state="hidden" name="L3M_LY_analytics" sheetId="12" r:id="rId16"/>
    <sheet state="visible" name="semrush_keywords" sheetId="13" r:id="rId17"/>
    <sheet state="visible" name="L3M_search_console" sheetId="14" r:id="rId18"/>
    <sheet state="visible" name="Sterling Lawyers Illinois _ Con" sheetId="15" r:id="rId19"/>
    <sheet state="visible" name="Family Law Content Mapping - Co" sheetId="16" r:id="rId20"/>
    <sheet state="visible" name="Sterling_Lawyers_Illinois_Conte" sheetId="17" r:id="rId21"/>
    <sheet state="visible" name="Sheet8" sheetId="18" r:id="rId22"/>
  </sheets>
  <definedNames>
    <definedName hidden="1" localSheetId="1" name="_xlnm._FilterDatabase">Sterling_Lawyers_IL_Content_Gap!$C$1:$L$43</definedName>
    <definedName hidden="1" localSheetId="12" name="_xlnm._FilterDatabase">semrush_keywords!$A$1:$Q$3220</definedName>
  </definedNames>
  <calcPr/>
</workbook>
</file>

<file path=xl/sharedStrings.xml><?xml version="1.0" encoding="utf-8"?>
<sst xmlns="http://schemas.openxmlformats.org/spreadsheetml/2006/main" count="45687" uniqueCount="14137">
  <si>
    <t>CURRENT IL PAGES (NO BLOGS)</t>
  </si>
  <si>
    <r>
      <rPr>
        <color rgb="FF1155CC"/>
        <u/>
      </rPr>
      <t>https://www.sterlinglawyers.com/illinois/</t>
    </r>
  </si>
  <si>
    <r>
      <rPr>
        <rFont val="-apple-system, &quot;system-ui&quot;, &quot;Segoe UI&quot;, Roboto, Oxygen-Sans, Ubuntu, Cantarell, &quot;Helvetica Neue&quot;, sans-serif"/>
        <color rgb="FF1155CC"/>
        <u/>
      </rPr>
      <t>https://www.sterlinglawyers.com/illinois/divorce/</t>
    </r>
  </si>
  <si>
    <r>
      <rPr>
        <rFont val="-apple-system, &quot;system-ui&quot;, &quot;Segoe UI&quot;, Roboto, Oxygen-Sans, Ubuntu, Cantarell, &quot;Helvetica Neue&quot;, sans-serif"/>
        <color rgb="FF1155CC"/>
        <u/>
      </rPr>
      <t>https://www.sterlinglawyers.com/illinois/paternity/</t>
    </r>
  </si>
  <si>
    <r>
      <rPr>
        <rFont val="-apple-system, &quot;system-ui&quot;, &quot;Segoe UI&quot;, Roboto, Oxygen-Sans, Ubuntu, Cantarell, &quot;Helvetica Neue&quot;, sans-serif"/>
        <color rgb="FF1155CC"/>
        <u/>
      </rPr>
      <t>https://www.sterlinglawyers.com/illinois/child-custody/</t>
    </r>
  </si>
  <si>
    <r>
      <rPr>
        <rFont val="-apple-system, &quot;system-ui&quot;, &quot;Segoe UI&quot;, Roboto, Oxygen-Sans, Ubuntu, Cantarell, &quot;Helvetica Neue&quot;, sans-serif"/>
        <color rgb="FF1155CC"/>
        <u/>
      </rPr>
      <t>https://www.sterlinglawyers.com/illinois/attorneys/</t>
    </r>
  </si>
  <si>
    <r>
      <rPr>
        <rFont val="-apple-system, &quot;system-ui&quot;, &quot;Segoe UI&quot;, Roboto, Oxygen-Sans, Ubuntu, Cantarell, &quot;Helvetica Neue&quot;, sans-serif"/>
        <color rgb="FF1155CC"/>
        <u/>
      </rPr>
      <t>https://www.sterlinglawyers.com/illinois/locations/</t>
    </r>
  </si>
  <si>
    <r>
      <rPr>
        <rFont val="-apple-system, &quot;system-ui&quot;, &quot;Segoe UI&quot;, Roboto, Oxygen-Sans, Ubuntu, Cantarell, &quot;Helvetica Neue&quot;, sans-serif"/>
        <color rgb="FF1155CC"/>
        <u/>
      </rPr>
      <t>https://www.sterlinglawyers.com/illinois/pricing/</t>
    </r>
  </si>
  <si>
    <r>
      <rPr>
        <rFont val="-apple-system, &quot;system-ui&quot;, &quot;Segoe UI&quot;, Roboto, Oxygen-Sans, Ubuntu, Cantarell, &quot;Helvetica Neue&quot;, sans-serif"/>
        <color rgb="FF1155CC"/>
        <u/>
      </rPr>
      <t>https://www.sterlinglawyers.com/illinois/guardianship/</t>
    </r>
  </si>
  <si>
    <r>
      <rPr>
        <rFont val="-apple-system, &quot;system-ui&quot;, &quot;Segoe UI&quot;, Roboto, Oxygen-Sans, Ubuntu, Cantarell, &quot;Helvetica Neue&quot;, sans-serif"/>
        <color rgb="FF1155CC"/>
        <u/>
      </rPr>
      <t>https://www.sterlinglawyers.com/illinois/child-support/</t>
    </r>
  </si>
  <si>
    <r>
      <rPr>
        <rFont val="-apple-system, &quot;system-ui&quot;, &quot;Segoe UI&quot;, Roboto, Oxygen-Sans, Ubuntu, Cantarell, &quot;Helvetica Neue&quot;, sans-serif"/>
        <color rgb="FF1155CC"/>
        <u/>
      </rPr>
      <t>https://www.sterlinglawyers.com/illinois/property-division/</t>
    </r>
  </si>
  <si>
    <r>
      <rPr>
        <rFont val="-apple-system, &quot;system-ui&quot;, &quot;Segoe UI&quot;, Roboto, Oxygen-Sans, Ubuntu, Cantarell, &quot;Helvetica Neue&quot;, sans-serif"/>
        <color rgb="FF1155CC"/>
        <u/>
      </rPr>
      <t>https://www.sterlinglawyers.com/illinois/spousal-support/</t>
    </r>
  </si>
  <si>
    <r>
      <rPr>
        <rFont val="-apple-system, &quot;system-ui&quot;, &quot;Segoe UI&quot;, Roboto, Oxygen-Sans, Ubuntu, Cantarell, &quot;Helvetica Neue&quot;, sans-serif"/>
        <color rgb="FF1155CC"/>
        <u/>
      </rPr>
      <t>https://www.sterlinglawyers.com/illinois/blog/</t>
    </r>
  </si>
  <si>
    <r>
      <rPr>
        <rFont val="-apple-system, &quot;system-ui&quot;, &quot;Segoe UI&quot;, Roboto, Oxygen-Sans, Ubuntu, Cantarell, &quot;Helvetica Neue&quot;, sans-serif"/>
        <color rgb="FF1155CC"/>
        <u/>
      </rPr>
      <t>https://www.sterlinglawyers.com/illinois/family-law-process/</t>
    </r>
  </si>
  <si>
    <r>
      <rPr>
        <rFont val="-apple-system, &quot;system-ui&quot;, &quot;Segoe UI&quot;, Roboto, Oxygen-Sans, Ubuntu, Cantarell, &quot;Helvetica Neue&quot;, sans-serif"/>
        <color rgb="FF1155CC"/>
        <u/>
      </rPr>
      <t>https://www.sterlinglawyers.com/illinois/seminar/</t>
    </r>
  </si>
  <si>
    <r>
      <rPr>
        <rFont val="-apple-system, &quot;system-ui&quot;, &quot;Segoe UI&quot;, Roboto, Oxygen-Sans, Ubuntu, Cantarell, &quot;Helvetica Neue&quot;, sans-serif"/>
        <color rgb="FF1155CC"/>
        <u/>
      </rPr>
      <t>https://www.sterlinglawyers.com/illinois/family-law-case-types-cost/</t>
    </r>
  </si>
  <si>
    <r>
      <rPr>
        <rFont val="-apple-system, &quot;system-ui&quot;, &quot;Segoe UI&quot;, Roboto, Oxygen-Sans, Ubuntu, Cantarell, &quot;Helvetica Neue&quot;, sans-serif"/>
        <color rgb="FF1155CC"/>
        <u/>
      </rPr>
      <t>https://www.sterlinglawyers.com/illinois/events/</t>
    </r>
  </si>
  <si>
    <r>
      <rPr>
        <rFont val="-apple-system, &quot;system-ui&quot;, &quot;Segoe UI&quot;, Roboto, Oxygen-Sans, Ubuntu, Cantarell, &quot;Helvetica Neue&quot;, sans-serif"/>
        <color rgb="FF1155CC"/>
        <u/>
      </rPr>
      <t>https://www.sterlinglawyers.com/illinois/areas/</t>
    </r>
  </si>
  <si>
    <r>
      <rPr>
        <rFont val="-apple-system, &quot;system-ui&quot;, &quot;Segoe UI&quot;, Roboto, Oxygen-Sans, Ubuntu, Cantarell, &quot;Helvetica Neue&quot;, sans-serif"/>
        <color rgb="FF1155CC"/>
        <u/>
      </rPr>
      <t>https://www.sterlinglawyers.com/illinois/faq/</t>
    </r>
  </si>
  <si>
    <r>
      <rPr>
        <rFont val="-apple-system, &quot;system-ui&quot;, &quot;Segoe UI&quot;, Roboto, Oxygen-Sans, Ubuntu, Cantarell, &quot;Helvetica Neue&quot;, sans-serif"/>
        <color rgb="FF1155CC"/>
        <u/>
      </rPr>
      <t>https://www.sterlinglawyers.com/illinois/resources/</t>
    </r>
  </si>
  <si>
    <r>
      <rPr>
        <rFont val="-apple-system, &quot;system-ui&quot;, &quot;Segoe UI&quot;, Roboto, Oxygen-Sans, Ubuntu, Cantarell, &quot;Helvetica Neue&quot;, sans-serif"/>
        <color rgb="FF1155CC"/>
        <u/>
      </rPr>
      <t>https://www.sterlinglawyers.com/illinois/chicago-il-restaurants/</t>
    </r>
  </si>
  <si>
    <r>
      <rPr>
        <rFont val="-apple-system, &quot;system-ui&quot;, &quot;Segoe UI&quot;, Roboto, Oxygen-Sans, Ubuntu, Cantarell, &quot;Helvetica Neue&quot;, sans-serif"/>
        <color rgb="FF1155CC"/>
        <u/>
      </rPr>
      <t>https://www.sterlinglawyers.com/illinois/chicago-hotels/</t>
    </r>
  </si>
  <si>
    <r>
      <rPr>
        <rFont val="-apple-system, &quot;system-ui&quot;, &quot;Segoe UI&quot;, Roboto, Oxygen-Sans, Ubuntu, Cantarell, &quot;Helvetica Neue&quot;, sans-serif"/>
        <color rgb="FF1155CC"/>
        <u/>
      </rPr>
      <t>https://www.sterlinglawyers.com/illinois/chicago-history/</t>
    </r>
  </si>
  <si>
    <r>
      <rPr>
        <rFont val="-apple-system, &quot;system-ui&quot;, &quot;Segoe UI&quot;, Roboto, Oxygen-Sans, Ubuntu, Cantarell, &quot;Helvetica Neue&quot;, sans-serif"/>
        <color rgb="FF1155CC"/>
        <u/>
      </rPr>
      <t>https://www.sterlinglawyers.com/illinois/areas/cook-county/lincolnwood/</t>
    </r>
  </si>
  <si>
    <r>
      <rPr>
        <rFont val="-apple-system, &quot;system-ui&quot;, &quot;Segoe UI&quot;, Roboto, Oxygen-Sans, Ubuntu, Cantarell, &quot;Helvetica Neue&quot;, sans-serif"/>
        <color rgb="FF1155CC"/>
        <u/>
      </rPr>
      <t>https://www.sterlinglawyers.com/illinois/areas/kane-county/west-dundee/</t>
    </r>
  </si>
  <si>
    <r>
      <rPr>
        <rFont val="-apple-system, &quot;system-ui&quot;, &quot;Segoe UI&quot;, Roboto, Oxygen-Sans, Ubuntu, Cantarell, &quot;Helvetica Neue&quot;, sans-serif"/>
        <color rgb="FF1155CC"/>
        <u/>
      </rPr>
      <t>https://www.sterlinglawyers.com/illinois/areas/lake-county/</t>
    </r>
  </si>
  <si>
    <r>
      <rPr>
        <rFont val="-apple-system, &quot;system-ui&quot;, &quot;Segoe UI&quot;, Roboto, Oxygen-Sans, Ubuntu, Cantarell, &quot;Helvetica Neue&quot;, sans-serif"/>
        <color rgb="FF1155CC"/>
        <u/>
      </rPr>
      <t>https://www.sterlinglawyers.com/illinois/areas/lake-county/highland-park/</t>
    </r>
  </si>
  <si>
    <r>
      <rPr>
        <rFont val="-apple-system, &quot;system-ui&quot;, &quot;Segoe UI&quot;, Roboto, Oxygen-Sans, Ubuntu, Cantarell, &quot;Helvetica Neue&quot;, sans-serif"/>
        <color rgb="FF1155CC"/>
        <u/>
      </rPr>
      <t>https://www.sterlinglawyers.com/illinois/areas/lake-county/long-grove/</t>
    </r>
  </si>
  <si>
    <r>
      <rPr>
        <rFont val="-apple-system, &quot;system-ui&quot;, &quot;Segoe UI&quot;, Roboto, Oxygen-Sans, Ubuntu, Cantarell, &quot;Helvetica Neue&quot;, sans-serif"/>
        <color rgb="FF1155CC"/>
        <u/>
      </rPr>
      <t>https://www.sterlinglawyers.com/illinois/areas/dupage-county/</t>
    </r>
  </si>
  <si>
    <r>
      <rPr>
        <rFont val="-apple-system, &quot;system-ui&quot;, &quot;Segoe UI&quot;, Roboto, Oxygen-Sans, Ubuntu, Cantarell, &quot;Helvetica Neue&quot;, sans-serif"/>
        <color rgb="FF1155CC"/>
        <u/>
      </rPr>
      <t>https://www.sterlinglawyers.com/illinois/areas/dupage-county/addison/</t>
    </r>
  </si>
  <si>
    <r>
      <rPr>
        <rFont val="-apple-system, &quot;system-ui&quot;, &quot;Segoe UI&quot;, Roboto, Oxygen-Sans, Ubuntu, Cantarell, &quot;Helvetica Neue&quot;, sans-serif"/>
        <color rgb="FF1155CC"/>
        <u/>
      </rPr>
      <t>https://www.sterlinglawyers.com/illinois/areas/dupage-county/bartlett/</t>
    </r>
  </si>
  <si>
    <r>
      <rPr>
        <rFont val="-apple-system, &quot;system-ui&quot;, &quot;Segoe UI&quot;, Roboto, Oxygen-Sans, Ubuntu, Cantarell, &quot;Helvetica Neue&quot;, sans-serif"/>
        <color rgb="FF1155CC"/>
        <u/>
      </rPr>
      <t>https://www.sterlinglawyers.com/illinois/areas/dupage-county/bensenville/</t>
    </r>
  </si>
  <si>
    <r>
      <rPr>
        <rFont val="-apple-system, &quot;system-ui&quot;, &quot;Segoe UI&quot;, Roboto, Oxygen-Sans, Ubuntu, Cantarell, &quot;Helvetica Neue&quot;, sans-serif"/>
        <color rgb="FF1155CC"/>
        <u/>
      </rPr>
      <t>https://www.sterlinglawyers.com/illinois/areas/dupage-county/bloomingdale/</t>
    </r>
  </si>
  <si>
    <r>
      <rPr>
        <rFont val="-apple-system, &quot;system-ui&quot;, &quot;Segoe UI&quot;, Roboto, Oxygen-Sans, Ubuntu, Cantarell, &quot;Helvetica Neue&quot;, sans-serif"/>
        <color rgb="FF1155CC"/>
        <u/>
      </rPr>
      <t>https://www.sterlinglawyers.com/illinois/areas/dupage-county/elmhurst/</t>
    </r>
  </si>
  <si>
    <r>
      <rPr>
        <rFont val="-apple-system, &quot;system-ui&quot;, &quot;Segoe UI&quot;, Roboto, Oxygen-Sans, Ubuntu, Cantarell, &quot;Helvetica Neue&quot;, sans-serif"/>
        <color rgb="FF1155CC"/>
        <u/>
      </rPr>
      <t>https://www.sterlinglawyers.com/illinois/areas/dupage-county/glen-ellyn/</t>
    </r>
  </si>
  <si>
    <r>
      <rPr>
        <rFont val="-apple-system, &quot;system-ui&quot;, &quot;Segoe UI&quot;, Roboto, Oxygen-Sans, Ubuntu, Cantarell, &quot;Helvetica Neue&quot;, sans-serif"/>
        <color rgb="FF1155CC"/>
        <u/>
      </rPr>
      <t>https://www.sterlinglawyers.com/illinois/areas/dupage-county/glendale-heights/</t>
    </r>
  </si>
  <si>
    <r>
      <rPr>
        <rFont val="-apple-system, &quot;system-ui&quot;, &quot;Segoe UI&quot;, Roboto, Oxygen-Sans, Ubuntu, Cantarell, &quot;Helvetica Neue&quot;, sans-serif"/>
        <color rgb="FF1155CC"/>
        <u/>
      </rPr>
      <t>https://www.sterlinglawyers.com/illinois/areas/dupage-county/hanover-park/</t>
    </r>
  </si>
  <si>
    <r>
      <rPr>
        <rFont val="-apple-system, &quot;system-ui&quot;, &quot;Segoe UI&quot;, Roboto, Oxygen-Sans, Ubuntu, Cantarell, &quot;Helvetica Neue&quot;, sans-serif"/>
        <color rgb="FF1155CC"/>
        <u/>
      </rPr>
      <t>https://www.sterlinglawyers.com/illinois/areas/dupage-county/itasca/</t>
    </r>
  </si>
  <si>
    <r>
      <rPr>
        <rFont val="-apple-system, &quot;system-ui&quot;, &quot;Segoe UI&quot;, Roboto, Oxygen-Sans, Ubuntu, Cantarell, &quot;Helvetica Neue&quot;, sans-serif"/>
        <color rgb="FF1155CC"/>
        <u/>
      </rPr>
      <t>https://www.sterlinglawyers.com/illinois/areas/dupage-county/lombard/</t>
    </r>
  </si>
  <si>
    <r>
      <rPr>
        <rFont val="-apple-system, &quot;system-ui&quot;, &quot;Segoe UI&quot;, Roboto, Oxygen-Sans, Ubuntu, Cantarell, &quot;Helvetica Neue&quot;, sans-serif"/>
        <color rgb="FF1155CC"/>
        <u/>
      </rPr>
      <t>https://www.sterlinglawyers.com/illinois/areas/dupage-county/villa-park/</t>
    </r>
  </si>
  <si>
    <r>
      <rPr>
        <rFont val="-apple-system, &quot;system-ui&quot;, &quot;Segoe UI&quot;, Roboto, Oxygen-Sans, Ubuntu, Cantarell, &quot;Helvetica Neue&quot;, sans-serif"/>
        <color rgb="FF1155CC"/>
        <u/>
      </rPr>
      <t>https://www.sterlinglawyers.com/illinois/areas/dupage-county/roselle/</t>
    </r>
  </si>
  <si>
    <r>
      <rPr>
        <rFont val="-apple-system, &quot;system-ui&quot;, &quot;Segoe UI&quot;, Roboto, Oxygen-Sans, Ubuntu, Cantarell, &quot;Helvetica Neue&quot;, sans-serif"/>
        <color rgb="FF1155CC"/>
        <u/>
      </rPr>
      <t>https://www.sterlinglawyers.com/illinois/areas/dupage-county/wood-dale/</t>
    </r>
  </si>
  <si>
    <r>
      <rPr>
        <rFont val="-apple-system, &quot;system-ui&quot;, &quot;Segoe UI&quot;, Roboto, Oxygen-Sans, Ubuntu, Cantarell, &quot;Helvetica Neue&quot;, sans-serif"/>
        <color rgb="FF1155CC"/>
        <u/>
      </rPr>
      <t>https://www.sterlinglawyers.com/illinois/areas/areas/</t>
    </r>
  </si>
  <si>
    <r>
      <rPr>
        <rFont val="-apple-system, &quot;system-ui&quot;, &quot;Segoe UI&quot;, Roboto, Oxygen-Sans, Ubuntu, Cantarell, &quot;Helvetica Neue&quot;, sans-serif"/>
        <color rgb="FF1155CC"/>
        <u/>
      </rPr>
      <t>https://www.sterlinglawyers.com/illinois/areas/kane-county/</t>
    </r>
  </si>
  <si>
    <r>
      <rPr>
        <rFont val="-apple-system, &quot;system-ui&quot;, &quot;Segoe UI&quot;, Roboto, Oxygen-Sans, Ubuntu, Cantarell, &quot;Helvetica Neue&quot;, sans-serif"/>
        <color rgb="FF1155CC"/>
        <u/>
      </rPr>
      <t>https://www.sterlinglawyers.com/illinois/areas/kane-county/algonquin/</t>
    </r>
  </si>
  <si>
    <r>
      <rPr>
        <rFont val="-apple-system, &quot;system-ui&quot;, &quot;Segoe UI&quot;, Roboto, Oxygen-Sans, Ubuntu, Cantarell, &quot;Helvetica Neue&quot;, sans-serif"/>
        <color rgb="FF1155CC"/>
        <u/>
      </rPr>
      <t>https://www.sterlinglawyers.com/illinois/areas/kane-county/carpentersville/</t>
    </r>
  </si>
  <si>
    <r>
      <rPr>
        <rFont val="-apple-system, &quot;system-ui&quot;, &quot;Segoe UI&quot;, Roboto, Oxygen-Sans, Ubuntu, Cantarell, &quot;Helvetica Neue&quot;, sans-serif"/>
        <color rgb="FF1155CC"/>
        <u/>
      </rPr>
      <t>https://www.sterlinglawyers.com/illinois/areas/kane-county/elgin/</t>
    </r>
  </si>
  <si>
    <r>
      <rPr>
        <rFont val="-apple-system, &quot;system-ui&quot;, &quot;Segoe UI&quot;, Roboto, Oxygen-Sans, Ubuntu, Cantarell, &quot;Helvetica Neue&quot;, sans-serif"/>
        <color rgb="FF1155CC"/>
        <u/>
      </rPr>
      <t>https://www.sterlinglawyers.com/illinois/areas/kane-county/south-elgin/</t>
    </r>
  </si>
  <si>
    <r>
      <rPr>
        <rFont val="-apple-system, &quot;system-ui&quot;, &quot;Segoe UI&quot;, Roboto, Oxygen-Sans, Ubuntu, Cantarell, &quot;Helvetica Neue&quot;, sans-serif"/>
        <color rgb="FF1155CC"/>
        <u/>
      </rPr>
      <t>https://www.sterlinglawyers.com/illinois/areas/cook-county/barrington/</t>
    </r>
  </si>
  <si>
    <r>
      <rPr>
        <rFont val="-apple-system, &quot;system-ui&quot;, &quot;Segoe UI&quot;, Roboto, Oxygen-Sans, Ubuntu, Cantarell, &quot;Helvetica Neue&quot;, sans-serif"/>
        <color rgb="FF1155CC"/>
        <u/>
      </rPr>
      <t>https://www.sterlinglawyers.com/illinois/areas/cook-county/</t>
    </r>
  </si>
  <si>
    <r>
      <rPr>
        <rFont val="-apple-system, &quot;system-ui&quot;, &quot;Segoe UI&quot;, Roboto, Oxygen-Sans, Ubuntu, Cantarell, &quot;Helvetica Neue&quot;, sans-serif"/>
        <color rgb="FF1155CC"/>
        <u/>
      </rPr>
      <t>https://www.sterlinglawyers.com/illinois/areas/cook-county/buffalo-grove/</t>
    </r>
  </si>
  <si>
    <r>
      <rPr>
        <rFont val="-apple-system, &quot;system-ui&quot;, &quot;Segoe UI&quot;, Roboto, Oxygen-Sans, Ubuntu, Cantarell, &quot;Helvetica Neue&quot;, sans-serif"/>
        <color rgb="FF1155CC"/>
        <u/>
      </rPr>
      <t>https://www.sterlinglawyers.com/illinois/areas/cook-county/des-plaines/</t>
    </r>
  </si>
  <si>
    <r>
      <rPr>
        <rFont val="-apple-system, &quot;system-ui&quot;, &quot;Segoe UI&quot;, Roboto, Oxygen-Sans, Ubuntu, Cantarell, &quot;Helvetica Neue&quot;, sans-serif"/>
        <color rgb="FF1155CC"/>
        <u/>
      </rPr>
      <t>https://www.sterlinglawyers.com/illinois/areas/cook-county/elk-grove-village/</t>
    </r>
  </si>
  <si>
    <r>
      <rPr>
        <rFont val="-apple-system, &quot;system-ui&quot;, &quot;Segoe UI&quot;, Roboto, Oxygen-Sans, Ubuntu, Cantarell, &quot;Helvetica Neue&quot;, sans-serif"/>
        <color rgb="FF1155CC"/>
        <u/>
      </rPr>
      <t>https://www.sterlinglawyers.com/illinois/areas/cook-county/franklin-park/</t>
    </r>
  </si>
  <si>
    <r>
      <rPr>
        <rFont val="-apple-system, &quot;system-ui&quot;, &quot;Segoe UI&quot;, Roboto, Oxygen-Sans, Ubuntu, Cantarell, &quot;Helvetica Neue&quot;, sans-serif"/>
        <color rgb="FF1155CC"/>
        <u/>
      </rPr>
      <t>https://www.sterlinglawyers.com/illinois/areas/cook-county/harwood-heights/</t>
    </r>
  </si>
  <si>
    <r>
      <rPr>
        <rFont val="-apple-system, &quot;system-ui&quot;, &quot;Segoe UI&quot;, Roboto, Oxygen-Sans, Ubuntu, Cantarell, &quot;Helvetica Neue&quot;, sans-serif"/>
        <color rgb="FF1155CC"/>
        <u/>
      </rPr>
      <t>https://www.sterlinglawyers.com/illinois/areas/cook-county/morton-grove/</t>
    </r>
  </si>
  <si>
    <r>
      <rPr>
        <rFont val="-apple-system, &quot;system-ui&quot;, &quot;Segoe UI&quot;, Roboto, Oxygen-Sans, Ubuntu, Cantarell, &quot;Helvetica Neue&quot;, sans-serif"/>
        <color rgb="FF1155CC"/>
        <u/>
      </rPr>
      <t>https://www.sterlinglawyers.com/illinois/areas/cook-county/mount-prospect/</t>
    </r>
  </si>
  <si>
    <r>
      <rPr>
        <rFont val="-apple-system, &quot;system-ui&quot;, &quot;Segoe UI&quot;, Roboto, Oxygen-Sans, Ubuntu, Cantarell, &quot;Helvetica Neue&quot;, sans-serif"/>
        <color rgb="FF1155CC"/>
        <u/>
      </rPr>
      <t>https://www.sterlinglawyers.com/illinois/areas/cook-county/norridge/</t>
    </r>
  </si>
  <si>
    <r>
      <rPr>
        <rFont val="-apple-system, &quot;system-ui&quot;, &quot;Segoe UI&quot;, Roboto, Oxygen-Sans, Ubuntu, Cantarell, &quot;Helvetica Neue&quot;, sans-serif"/>
        <color rgb="FF1155CC"/>
        <u/>
      </rPr>
      <t>https://www.sterlinglawyers.com/illinois/areas/cook-county/northlake/</t>
    </r>
  </si>
  <si>
    <r>
      <rPr>
        <rFont val="-apple-system, &quot;system-ui&quot;, &quot;Segoe UI&quot;, Roboto, Oxygen-Sans, Ubuntu, Cantarell, &quot;Helvetica Neue&quot;, sans-serif"/>
        <color rgb="FF1155CC"/>
        <u/>
      </rPr>
      <t>https://www.sterlinglawyers.com/illinois/areas/cook-county/palatine/</t>
    </r>
  </si>
  <si>
    <r>
      <rPr>
        <rFont val="-apple-system, &quot;system-ui&quot;, &quot;Segoe UI&quot;, Roboto, Oxygen-Sans, Ubuntu, Cantarell, &quot;Helvetica Neue&quot;, sans-serif"/>
        <color rgb="FF1155CC"/>
        <u/>
      </rPr>
      <t>https://www.sterlinglawyers.com/illinois/areas/cook-county/rolling-meadows/</t>
    </r>
  </si>
  <si>
    <r>
      <rPr>
        <rFont val="-apple-system, &quot;system-ui&quot;, &quot;Segoe UI&quot;, Roboto, Oxygen-Sans, Ubuntu, Cantarell, &quot;Helvetica Neue&quot;, sans-serif"/>
        <color rgb="FF1155CC"/>
        <u/>
      </rPr>
      <t>https://www.sterlinglawyers.com/illinois/areas/cook-county/schiller-park/</t>
    </r>
  </si>
  <si>
    <r>
      <rPr>
        <rFont val="-apple-system, &quot;system-ui&quot;, &quot;Segoe UI&quot;, Roboto, Oxygen-Sans, Ubuntu, Cantarell, &quot;Helvetica Neue&quot;, sans-serif"/>
        <color rgb="FF1155CC"/>
        <u/>
      </rPr>
      <t>https://www.sterlinglawyers.com/illinois/areas/cook-county/park-ridge/</t>
    </r>
  </si>
  <si>
    <r>
      <rPr>
        <rFont val="-apple-system, &quot;system-ui&quot;, &quot;Segoe UI&quot;, Roboto, Oxygen-Sans, Ubuntu, Cantarell, &quot;Helvetica Neue&quot;, sans-serif"/>
        <color rgb="FF1155CC"/>
        <u/>
      </rPr>
      <t>https://www.sterlinglawyers.com/illinois/areas/cook-county/prospect-heights/</t>
    </r>
  </si>
  <si>
    <r>
      <rPr>
        <rFont val="-apple-system, &quot;system-ui&quot;, &quot;Segoe UI&quot;, Roboto, Oxygen-Sans, Ubuntu, Cantarell, &quot;Helvetica Neue&quot;, sans-serif"/>
        <color rgb="FF1155CC"/>
        <u/>
      </rPr>
      <t>https://www.sterlinglawyers.com/illinois/areas/cook-county/skokie/</t>
    </r>
  </si>
  <si>
    <r>
      <rPr>
        <rFont val="-apple-system, &quot;system-ui&quot;, &quot;Segoe UI&quot;, Roboto, Oxygen-Sans, Ubuntu, Cantarell, &quot;Helvetica Neue&quot;, sans-serif"/>
        <color rgb="FF1155CC"/>
        <u/>
      </rPr>
      <t>https://www.sterlinglawyers.com/illinois/areas/cook-county/wheeling/</t>
    </r>
  </si>
  <si>
    <r>
      <rPr>
        <rFont val="-apple-system, &quot;system-ui&quot;, &quot;Segoe UI&quot;, Roboto, Oxygen-Sans, Ubuntu, Cantarell, &quot;Helvetica Neue&quot;, sans-serif"/>
        <color rgb="FF1155CC"/>
        <u/>
      </rPr>
      <t>https://www.sterlinglawyers.com/illinois/areas/cook-county/wilmette/</t>
    </r>
  </si>
  <si>
    <r>
      <rPr>
        <rFont val="-apple-system, &quot;system-ui&quot;, &quot;Segoe UI&quot;, Roboto, Oxygen-Sans, Ubuntu, Cantarell, &quot;Helvetica Neue&quot;, sans-serif"/>
        <color rgb="FF1155CC"/>
        <u/>
      </rPr>
      <t>https://www.sterlinglawyers.com/illinois/attorneys/cynthia-toscano/reviews/</t>
    </r>
  </si>
  <si>
    <r>
      <rPr>
        <rFont val="-apple-system, &quot;system-ui&quot;, &quot;Segoe UI&quot;, Roboto, Oxygen-Sans, Ubuntu, Cantarell, &quot;Helvetica Neue&quot;, sans-serif"/>
        <color rgb="FF1155CC"/>
        <u/>
      </rPr>
      <t>https://www.sterlinglawyers.com/illinois/attorneys/reyna-herrera/reviews/</t>
    </r>
  </si>
  <si>
    <r>
      <rPr>
        <rFont val="-apple-system, &quot;system-ui&quot;, &quot;Segoe UI&quot;, Roboto, Oxygen-Sans, Ubuntu, Cantarell, &quot;Helvetica Neue&quot;, sans-serif"/>
        <color rgb="FF1155CC"/>
        <u/>
      </rPr>
      <t>https://www.sterlinglawyers.com/illinois/attorneys/reyna-herrera/</t>
    </r>
  </si>
  <si>
    <r>
      <rPr>
        <rFont val="-apple-system, &quot;system-ui&quot;, &quot;Segoe UI&quot;, Roboto, Oxygen-Sans, Ubuntu, Cantarell, &quot;Helvetica Neue&quot;, sans-serif"/>
        <color rgb="FF1155CC"/>
        <u/>
      </rPr>
      <t>https://www.sterlinglawyers.com/illinois/attorneys/cynthia-toscano/</t>
    </r>
  </si>
  <si>
    <r>
      <rPr>
        <rFont val="-apple-system, &quot;system-ui&quot;, &quot;Segoe UI&quot;, Roboto, Oxygen-Sans, Ubuntu, Cantarell, &quot;Helvetica Neue&quot;, sans-serif"/>
        <color rgb="FF1155CC"/>
        <u/>
      </rPr>
      <t>https://www.sterlinglawyers.com/illinois/attorneys/brooke-saunders/</t>
    </r>
  </si>
  <si>
    <r>
      <rPr>
        <rFont val="-apple-system, &quot;system-ui&quot;, &quot;Segoe UI&quot;, Roboto, Oxygen-Sans, Ubuntu, Cantarell, &quot;Helvetica Neue&quot;, sans-serif"/>
        <color rgb="FF1155CC"/>
        <u/>
      </rPr>
      <t>https://www.sterlinglawyers.com/illinois/attorneys/brooke-saunders/reviews/</t>
    </r>
  </si>
  <si>
    <r>
      <rPr>
        <rFont val="-apple-system, &quot;system-ui&quot;, &quot;Segoe UI&quot;, Roboto, Oxygen-Sans, Ubuntu, Cantarell, &quot;Helvetica Neue&quot;, sans-serif"/>
        <color rgb="FF1155CC"/>
        <u/>
      </rPr>
      <t>https://www.sterlinglawyers.com/illinois/attorneys/natalie-mccray/reviews/</t>
    </r>
  </si>
  <si>
    <r>
      <rPr>
        <rFont val="-apple-system, &quot;system-ui&quot;, &quot;Segoe UI&quot;, Roboto, Oxygen-Sans, Ubuntu, Cantarell, &quot;Helvetica Neue&quot;, sans-serif"/>
        <color rgb="FF1155CC"/>
        <u/>
      </rPr>
      <t>https://www.sterlinglawyers.com/illinois/attorneys/katie-vandeusen/</t>
    </r>
  </si>
  <si>
    <r>
      <rPr>
        <rFont val="-apple-system, &quot;system-ui&quot;, &quot;Segoe UI&quot;, Roboto, Oxygen-Sans, Ubuntu, Cantarell, &quot;Helvetica Neue&quot;, sans-serif"/>
        <color rgb="FF1155CC"/>
        <u/>
      </rPr>
      <t>https://www.sterlinglawyers.com/illinois/attorneys/katie-vandeusen/reviews/</t>
    </r>
  </si>
  <si>
    <r>
      <rPr>
        <rFont val="-apple-system, &quot;system-ui&quot;, &quot;Segoe UI&quot;, Roboto, Oxygen-Sans, Ubuntu, Cantarell, &quot;Helvetica Neue&quot;, sans-serif"/>
        <color rgb="FF1155CC"/>
        <u/>
      </rPr>
      <t>https://www.sterlinglawyers.com/illinois/attorneys/ryan-shope/reviews/</t>
    </r>
  </si>
  <si>
    <r>
      <rPr>
        <rFont val="-apple-system, &quot;system-ui&quot;, &quot;Segoe UI&quot;, Roboto, Oxygen-Sans, Ubuntu, Cantarell, &quot;Helvetica Neue&quot;, sans-serif"/>
        <color rgb="FF1155CC"/>
        <u/>
      </rPr>
      <t>https://www.sterlinglawyers.com/illinois/attorneys/alexandra-isroff/reviews/</t>
    </r>
  </si>
  <si>
    <r>
      <rPr>
        <rFont val="-apple-system, &quot;system-ui&quot;, &quot;Segoe UI&quot;, Roboto, Oxygen-Sans, Ubuntu, Cantarell, &quot;Helvetica Neue&quot;, sans-serif"/>
        <color rgb="FF1155CC"/>
        <u/>
      </rPr>
      <t>https://www.sterlinglawyers.com/illinois/attorneys/jacqueline-mcclellan/reviews/</t>
    </r>
  </si>
  <si>
    <r>
      <rPr>
        <rFont val="-apple-system, &quot;system-ui&quot;, &quot;Segoe UI&quot;, Roboto, Oxygen-Sans, Ubuntu, Cantarell, &quot;Helvetica Neue&quot;, sans-serif"/>
        <color rgb="FF1155CC"/>
        <u/>
      </rPr>
      <t>https://www.sterlinglawyers.com/illinois/attorneys/jacqueline-mcclellan/</t>
    </r>
  </si>
  <si>
    <r>
      <rPr>
        <rFont val="-apple-system, &quot;system-ui&quot;, &quot;Segoe UI&quot;, Roboto, Oxygen-Sans, Ubuntu, Cantarell, &quot;Helvetica Neue&quot;, sans-serif"/>
        <color rgb="FF1155CC"/>
        <u/>
      </rPr>
      <t>https://www.sterlinglawyers.com/illinois/attorneys/ryan-shope/</t>
    </r>
  </si>
  <si>
    <r>
      <rPr>
        <rFont val="-apple-system, &quot;system-ui&quot;, &quot;Segoe UI&quot;, Roboto, Oxygen-Sans, Ubuntu, Cantarell, &quot;Helvetica Neue&quot;, sans-serif"/>
        <color rgb="FF1155CC"/>
        <u/>
      </rPr>
      <t>https://www.sterlinglawyers.com/illinois/attorneys/lea-diaz/</t>
    </r>
  </si>
  <si>
    <r>
      <rPr>
        <rFont val="-apple-system, &quot;system-ui&quot;, &quot;Segoe UI&quot;, Roboto, Oxygen-Sans, Ubuntu, Cantarell, &quot;Helvetica Neue&quot;, sans-serif"/>
        <color rgb="FF1155CC"/>
        <u/>
      </rPr>
      <t>https://www.sterlinglawyers.com/illinois/attorneys/lea-diaz/reviews/</t>
    </r>
  </si>
  <si>
    <r>
      <rPr>
        <rFont val="-apple-system, &quot;system-ui&quot;, &quot;Segoe UI&quot;, Roboto, Oxygen-Sans, Ubuntu, Cantarell, &quot;Helvetica Neue&quot;, sans-serif"/>
        <color rgb="FF1155CC"/>
        <u/>
      </rPr>
      <t>https://www.sterlinglawyers.com/illinois/attorneys/nina-kelly/</t>
    </r>
  </si>
  <si>
    <r>
      <rPr>
        <rFont val="-apple-system, &quot;system-ui&quot;, &quot;Segoe UI&quot;, Roboto, Oxygen-Sans, Ubuntu, Cantarell, &quot;Helvetica Neue&quot;, sans-serif"/>
        <color rgb="FF1155CC"/>
        <u/>
      </rPr>
      <t>https://www.sterlinglawyers.com/illinois/attorneys/nina-kelly/reviews/</t>
    </r>
  </si>
  <si>
    <r>
      <rPr>
        <rFont val="-apple-system, &quot;system-ui&quot;, &quot;Segoe UI&quot;, Roboto, Oxygen-Sans, Ubuntu, Cantarell, &quot;Helvetica Neue&quot;, sans-serif"/>
        <color rgb="FF1155CC"/>
        <u/>
      </rPr>
      <t>https://www.sterlinglawyers.com/illinois/attorneys/alexandra-isroff/</t>
    </r>
  </si>
  <si>
    <r>
      <rPr>
        <rFont val="-apple-system, &quot;system-ui&quot;, &quot;Segoe UI&quot;, Roboto, Oxygen-Sans, Ubuntu, Cantarell, &quot;Helvetica Neue&quot;, sans-serif"/>
        <color rgb="FF1155CC"/>
        <u/>
      </rPr>
      <t>https://www.sterlinglawyers.com/illinois/events/strategically-prepare-for-divorce/</t>
    </r>
  </si>
  <si>
    <r>
      <rPr>
        <rFont val="-apple-system, &quot;system-ui&quot;, &quot;Segoe UI&quot;, Roboto, Oxygen-Sans, Ubuntu, Cantarell, &quot;Helvetica Neue&quot;, sans-serif"/>
        <color rgb="FF1155CC"/>
        <u/>
      </rPr>
      <t>https://www.sterlinglawyers.com/illinois/events/divide-money-divorce/</t>
    </r>
  </si>
  <si>
    <r>
      <rPr>
        <rFont val="-apple-system, &quot;system-ui&quot;, &quot;Segoe UI&quot;, Roboto, Oxygen-Sans, Ubuntu, Cantarell, &quot;Helvetica Neue&quot;, sans-serif"/>
        <color rgb="FF1155CC"/>
        <u/>
      </rPr>
      <t>https://www.sterlinglawyers.com/illinois/events/evaluating-custody-placement-support/</t>
    </r>
  </si>
  <si>
    <r>
      <rPr>
        <rFont val="-apple-system, &quot;system-ui&quot;, &quot;Segoe UI&quot;, Roboto, Oxygen-Sans, Ubuntu, Cantarell, &quot;Helvetica Neue&quot;, sans-serif"/>
        <color rgb="FF1155CC"/>
        <u/>
      </rPr>
      <t>https://www.sterlinglawyers.com/illinois/events/complete-guide-divorce-process/</t>
    </r>
  </si>
  <si>
    <r>
      <rPr>
        <rFont val="-apple-system, &quot;system-ui&quot;, &quot;Segoe UI&quot;, Roboto, Oxygen-Sans, Ubuntu, Cantarell, &quot;Helvetica Neue&quot;, sans-serif"/>
        <color rgb="FF1155CC"/>
        <u/>
      </rPr>
      <t>https://www.sterlinglawyers.com/illinois/events/questions-ask-divorce-attorney/</t>
    </r>
  </si>
  <si>
    <r>
      <rPr>
        <rFont val="-apple-system, &quot;system-ui&quot;, &quot;Segoe UI&quot;, Roboto, Oxygen-Sans, Ubuntu, Cantarell, &quot;Helvetica Neue&quot;, sans-serif"/>
        <color rgb="FF1155CC"/>
        <u/>
      </rPr>
      <t>https://www.sterlinglawyers.com/illinois/locations/chicago/uncontested-divorce-lawyers/</t>
    </r>
  </si>
  <si>
    <r>
      <rPr>
        <rFont val="-apple-system, &quot;system-ui&quot;, &quot;Segoe UI&quot;, Roboto, Oxygen-Sans, Ubuntu, Cantarell, &quot;Helvetica Neue&quot;, sans-serif"/>
        <color rgb="FF1155CC"/>
        <u/>
      </rPr>
      <t>https://www.sterlinglawyers.com/illinois/locations/naperville/uncontested-divorce-lawyers/</t>
    </r>
  </si>
  <si>
    <r>
      <rPr>
        <rFont val="-apple-system, &quot;system-ui&quot;, &quot;Segoe UI&quot;, Roboto, Oxygen-Sans, Ubuntu, Cantarell, &quot;Helvetica Neue&quot;, sans-serif"/>
        <color rgb="FF1155CC"/>
        <u/>
      </rPr>
      <t>https://www.sterlinglawyers.com/illinois/locations/naperville/alimony-lawyers/</t>
    </r>
  </si>
  <si>
    <r>
      <rPr>
        <rFont val="-apple-system, &quot;system-ui&quot;, &quot;Segoe UI&quot;, Roboto, Oxygen-Sans, Ubuntu, Cantarell, &quot;Helvetica Neue&quot;, sans-serif"/>
        <color rgb="FF1155CC"/>
        <u/>
      </rPr>
      <t>https://www.sterlinglawyers.com/illinois/locations/naperville/property-division-lawyers/</t>
    </r>
  </si>
  <si>
    <r>
      <rPr>
        <rFont val="-apple-system, &quot;system-ui&quot;, &quot;Segoe UI&quot;, Roboto, Oxygen-Sans, Ubuntu, Cantarell, &quot;Helvetica Neue&quot;, sans-serif"/>
        <color rgb="FF1155CC"/>
        <u/>
      </rPr>
      <t>https://www.sterlinglawyers.com/illinois/locations/naperville/paternity-lawyers/</t>
    </r>
  </si>
  <si>
    <r>
      <rPr>
        <rFont val="-apple-system, &quot;system-ui&quot;, &quot;Segoe UI&quot;, Roboto, Oxygen-Sans, Ubuntu, Cantarell, &quot;Helvetica Neue&quot;, sans-serif"/>
        <color rgb="FF1155CC"/>
        <u/>
      </rPr>
      <t>https://www.sterlinglawyers.com/illinois/locations/naperville/military-divorce-lawyers/</t>
    </r>
  </si>
  <si>
    <r>
      <rPr>
        <rFont val="-apple-system, &quot;system-ui&quot;, &quot;Segoe UI&quot;, Roboto, Oxygen-Sans, Ubuntu, Cantarell, &quot;Helvetica Neue&quot;, sans-serif"/>
        <color rgb="FF1155CC"/>
        <u/>
      </rPr>
      <t>https://www.sterlinglawyers.com/illinois/locations/naperville/divorce-mediation-lawyers/</t>
    </r>
  </si>
  <si>
    <r>
      <rPr>
        <rFont val="-apple-system, &quot;system-ui&quot;, &quot;Segoe UI&quot;, Roboto, Oxygen-Sans, Ubuntu, Cantarell, &quot;Helvetica Neue&quot;, sans-serif"/>
        <color rgb="FF1155CC"/>
        <u/>
      </rPr>
      <t>https://www.sterlinglawyers.com/illinois/locations/naperville/contested-divorce-lawyers/</t>
    </r>
  </si>
  <si>
    <r>
      <rPr>
        <rFont val="-apple-system, &quot;system-ui&quot;, &quot;Segoe UI&quot;, Roboto, Oxygen-Sans, Ubuntu, Cantarell, &quot;Helvetica Neue&quot;, sans-serif"/>
        <color rgb="FF1155CC"/>
        <u/>
      </rPr>
      <t>https://www.sterlinglawyers.com/illinois/locations/naperville/collaborative-divorce-lawyers/</t>
    </r>
  </si>
  <si>
    <r>
      <rPr>
        <rFont val="-apple-system, &quot;system-ui&quot;, &quot;Segoe UI&quot;, Roboto, Oxygen-Sans, Ubuntu, Cantarell, &quot;Helvetica Neue&quot;, sans-serif"/>
        <color rgb="FF1155CC"/>
        <u/>
      </rPr>
      <t>https://www.sterlinglawyers.com/illinois/locations/naperville/child-support-lawyers/</t>
    </r>
  </si>
  <si>
    <r>
      <rPr>
        <rFont val="-apple-system, &quot;system-ui&quot;, &quot;Segoe UI&quot;, Roboto, Oxygen-Sans, Ubuntu, Cantarell, &quot;Helvetica Neue&quot;, sans-serif"/>
        <color rgb="FF1155CC"/>
        <u/>
      </rPr>
      <t>https://www.sterlinglawyers.com/illinois/locations/naperville/child-custody-lawyers/</t>
    </r>
  </si>
  <si>
    <r>
      <rPr>
        <rFont val="-apple-system, &quot;system-ui&quot;, &quot;Segoe UI&quot;, Roboto, Oxygen-Sans, Ubuntu, Cantarell, &quot;Helvetica Neue&quot;, sans-serif"/>
        <color rgb="FF1155CC"/>
        <u/>
      </rPr>
      <t>https://www.sterlinglawyers.com/illinois/locations/hoffman-estates/child-support-lawyers/</t>
    </r>
  </si>
  <si>
    <r>
      <rPr>
        <rFont val="-apple-system, &quot;system-ui&quot;, &quot;Segoe UI&quot;, Roboto, Oxygen-Sans, Ubuntu, Cantarell, &quot;Helvetica Neue&quot;, sans-serif"/>
        <color rgb="FF1155CC"/>
        <u/>
      </rPr>
      <t>https://www.sterlinglawyers.com/illinois/locations/hoffman-estates/child-custody-lawyers/</t>
    </r>
  </si>
  <si>
    <r>
      <rPr>
        <rFont val="-apple-system, &quot;system-ui&quot;, &quot;Segoe UI&quot;, Roboto, Oxygen-Sans, Ubuntu, Cantarell, &quot;Helvetica Neue&quot;, sans-serif"/>
        <color rgb="FF1155CC"/>
        <u/>
      </rPr>
      <t>https://www.sterlinglawyers.com/illinois/locations/hoffman-estates/</t>
    </r>
  </si>
  <si>
    <r>
      <rPr>
        <rFont val="-apple-system, &quot;system-ui&quot;, &quot;Segoe UI&quot;, Roboto, Oxygen-Sans, Ubuntu, Cantarell, &quot;Helvetica Neue&quot;, sans-serif"/>
        <color rgb="FF1155CC"/>
        <u/>
      </rPr>
      <t>https://www.sterlinglawyers.com/illinois/locations/evanston/uncontested-divorce-lawyers/</t>
    </r>
  </si>
  <si>
    <r>
      <rPr>
        <rFont val="-apple-system, &quot;system-ui&quot;, &quot;Segoe UI&quot;, Roboto, Oxygen-Sans, Ubuntu, Cantarell, &quot;Helvetica Neue&quot;, sans-serif"/>
        <color rgb="FF1155CC"/>
        <u/>
      </rPr>
      <t>https://www.sterlinglawyers.com/illinois/locations/evanston/alimony-lawyers/</t>
    </r>
  </si>
  <si>
    <r>
      <rPr>
        <rFont val="-apple-system, &quot;system-ui&quot;, &quot;Segoe UI&quot;, Roboto, Oxygen-Sans, Ubuntu, Cantarell, &quot;Helvetica Neue&quot;, sans-serif"/>
        <color rgb="FF1155CC"/>
        <u/>
      </rPr>
      <t>https://www.sterlinglawyers.com/illinois/locations/evanston/property-division-lawyers/</t>
    </r>
  </si>
  <si>
    <r>
      <rPr>
        <rFont val="-apple-system, &quot;system-ui&quot;, &quot;Segoe UI&quot;, Roboto, Oxygen-Sans, Ubuntu, Cantarell, &quot;Helvetica Neue&quot;, sans-serif"/>
        <color rgb="FF1155CC"/>
        <u/>
      </rPr>
      <t>https://www.sterlinglawyers.com/illinois/locations/evanston/paternity-lawyers/</t>
    </r>
  </si>
  <si>
    <r>
      <rPr>
        <rFont val="-apple-system, &quot;system-ui&quot;, &quot;Segoe UI&quot;, Roboto, Oxygen-Sans, Ubuntu, Cantarell, &quot;Helvetica Neue&quot;, sans-serif"/>
        <color rgb="FF1155CC"/>
        <u/>
      </rPr>
      <t>https://www.sterlinglawyers.com/illinois/locations/evanston/military-divorce-lawyers/</t>
    </r>
  </si>
  <si>
    <r>
      <rPr>
        <rFont val="-apple-system, &quot;system-ui&quot;, &quot;Segoe UI&quot;, Roboto, Oxygen-Sans, Ubuntu, Cantarell, &quot;Helvetica Neue&quot;, sans-serif"/>
        <color rgb="FF1155CC"/>
        <u/>
      </rPr>
      <t>https://www.sterlinglawyers.com/illinois/locations/evanston/divorce-mediation-lawyers/</t>
    </r>
  </si>
  <si>
    <r>
      <rPr>
        <rFont val="-apple-system, &quot;system-ui&quot;, &quot;Segoe UI&quot;, Roboto, Oxygen-Sans, Ubuntu, Cantarell, &quot;Helvetica Neue&quot;, sans-serif"/>
        <color rgb="FF1155CC"/>
        <u/>
      </rPr>
      <t>https://www.sterlinglawyers.com/illinois/locations/evanston/contested-divorce-lawyers/</t>
    </r>
  </si>
  <si>
    <r>
      <rPr>
        <rFont val="-apple-system, &quot;system-ui&quot;, &quot;Segoe UI&quot;, Roboto, Oxygen-Sans, Ubuntu, Cantarell, &quot;Helvetica Neue&quot;, sans-serif"/>
        <color rgb="FF1155CC"/>
        <u/>
      </rPr>
      <t>https://www.sterlinglawyers.com/illinois/locations/evanston/collaborative-divorce-lawyers/</t>
    </r>
  </si>
  <si>
    <r>
      <rPr>
        <rFont val="-apple-system, &quot;system-ui&quot;, &quot;Segoe UI&quot;, Roboto, Oxygen-Sans, Ubuntu, Cantarell, &quot;Helvetica Neue&quot;, sans-serif"/>
        <color rgb="FF1155CC"/>
        <u/>
      </rPr>
      <t>https://www.sterlinglawyers.com/illinois/locations/evanston/child-support-lawyers/</t>
    </r>
  </si>
  <si>
    <r>
      <rPr>
        <rFont val="-apple-system, &quot;system-ui&quot;, &quot;Segoe UI&quot;, Roboto, Oxygen-Sans, Ubuntu, Cantarell, &quot;Helvetica Neue&quot;, sans-serif"/>
        <color rgb="FF1155CC"/>
        <u/>
      </rPr>
      <t>https://www.sterlinglawyers.com/illinois/locations/evanston/child-custody-lawyers/</t>
    </r>
  </si>
  <si>
    <r>
      <rPr>
        <rFont val="-apple-system, &quot;system-ui&quot;, &quot;Segoe UI&quot;, Roboto, Oxygen-Sans, Ubuntu, Cantarell, &quot;Helvetica Neue&quot;, sans-serif"/>
        <color rgb="FF1155CC"/>
        <u/>
      </rPr>
      <t>https://www.sterlinglawyers.com/illinois/locations/evanston/</t>
    </r>
  </si>
  <si>
    <r>
      <rPr>
        <rFont val="-apple-system, &quot;system-ui&quot;, &quot;Segoe UI&quot;, Roboto, Oxygen-Sans, Ubuntu, Cantarell, &quot;Helvetica Neue&quot;, sans-serif"/>
        <color rgb="FF1155CC"/>
        <u/>
      </rPr>
      <t>https://www.sterlinglawyers.com/illinois/locations/arlington-heights/uncontested-divorce-lawyers/</t>
    </r>
  </si>
  <si>
    <r>
      <rPr>
        <rFont val="-apple-system, &quot;system-ui&quot;, &quot;Segoe UI&quot;, Roboto, Oxygen-Sans, Ubuntu, Cantarell, &quot;Helvetica Neue&quot;, sans-serif"/>
        <color rgb="FF1155CC"/>
        <u/>
      </rPr>
      <t>https://www.sterlinglawyers.com/illinois/locations/arlington-heights/alimony-lawyers/</t>
    </r>
  </si>
  <si>
    <r>
      <rPr>
        <rFont val="-apple-system, &quot;system-ui&quot;, &quot;Segoe UI&quot;, Roboto, Oxygen-Sans, Ubuntu, Cantarell, &quot;Helvetica Neue&quot;, sans-serif"/>
        <color rgb="FF1155CC"/>
        <u/>
      </rPr>
      <t>https://www.sterlinglawyers.com/illinois/locations/arlington-heights/property-division-lawyers/</t>
    </r>
  </si>
  <si>
    <r>
      <rPr>
        <rFont val="-apple-system, &quot;system-ui&quot;, &quot;Segoe UI&quot;, Roboto, Oxygen-Sans, Ubuntu, Cantarell, &quot;Helvetica Neue&quot;, sans-serif"/>
        <color rgb="FF1155CC"/>
        <u/>
      </rPr>
      <t>https://www.sterlinglawyers.com/illinois/locations/arlington-heights/paternity-lawyers/</t>
    </r>
  </si>
  <si>
    <r>
      <rPr>
        <rFont val="-apple-system, &quot;system-ui&quot;, &quot;Segoe UI&quot;, Roboto, Oxygen-Sans, Ubuntu, Cantarell, &quot;Helvetica Neue&quot;, sans-serif"/>
        <color rgb="FF1155CC"/>
        <u/>
      </rPr>
      <t>https://www.sterlinglawyers.com/illinois/locations/arlington-heights/military-divorce-lawyers/</t>
    </r>
  </si>
  <si>
    <r>
      <rPr>
        <rFont val="-apple-system, &quot;system-ui&quot;, &quot;Segoe UI&quot;, Roboto, Oxygen-Sans, Ubuntu, Cantarell, &quot;Helvetica Neue&quot;, sans-serif"/>
        <color rgb="FF1155CC"/>
        <u/>
      </rPr>
      <t>https://www.sterlinglawyers.com/illinois/locations/arlington-heights/divorce-mediation-lawyers/</t>
    </r>
  </si>
  <si>
    <r>
      <rPr>
        <rFont val="-apple-system, &quot;system-ui&quot;, &quot;Segoe UI&quot;, Roboto, Oxygen-Sans, Ubuntu, Cantarell, &quot;Helvetica Neue&quot;, sans-serif"/>
        <color rgb="FF1155CC"/>
        <u/>
      </rPr>
      <t>https://www.sterlinglawyers.com/illinois/locations/arlington-heights/contested-divorce-lawyers/</t>
    </r>
  </si>
  <si>
    <r>
      <rPr>
        <rFont val="-apple-system, &quot;system-ui&quot;, &quot;Segoe UI&quot;, Roboto, Oxygen-Sans, Ubuntu, Cantarell, &quot;Helvetica Neue&quot;, sans-serif"/>
        <color rgb="FF1155CC"/>
        <u/>
      </rPr>
      <t>https://www.sterlinglawyers.com/illinois/locations/arlington-heights/collaborative-divorce-lawyers/</t>
    </r>
  </si>
  <si>
    <r>
      <rPr>
        <rFont val="-apple-system, &quot;system-ui&quot;, &quot;Segoe UI&quot;, Roboto, Oxygen-Sans, Ubuntu, Cantarell, &quot;Helvetica Neue&quot;, sans-serif"/>
        <color rgb="FF1155CC"/>
        <u/>
      </rPr>
      <t>https://www.sterlinglawyers.com/illinois/locations/arlington-heights/child-support-lawyers/</t>
    </r>
  </si>
  <si>
    <r>
      <rPr>
        <rFont val="-apple-system, &quot;system-ui&quot;, &quot;Segoe UI&quot;, Roboto, Oxygen-Sans, Ubuntu, Cantarell, &quot;Helvetica Neue&quot;, sans-serif"/>
        <color rgb="FF1155CC"/>
        <u/>
      </rPr>
      <t>https://www.sterlinglawyers.com/illinois/locations/arlington-heights/child-custody-lawyers/</t>
    </r>
  </si>
  <si>
    <r>
      <rPr>
        <rFont val="-apple-system, &quot;system-ui&quot;, &quot;Segoe UI&quot;, Roboto, Oxygen-Sans, Ubuntu, Cantarell, &quot;Helvetica Neue&quot;, sans-serif"/>
        <color rgb="FF1155CC"/>
        <u/>
      </rPr>
      <t>https://www.sterlinglawyers.com/illinois/locations/arlington-heights/</t>
    </r>
  </si>
  <si>
    <r>
      <rPr>
        <rFont val="-apple-system, &quot;system-ui&quot;, &quot;Segoe UI&quot;, Roboto, Oxygen-Sans, Ubuntu, Cantarell, &quot;Helvetica Neue&quot;, sans-serif"/>
        <color rgb="FF1155CC"/>
        <u/>
      </rPr>
      <t>https://www.sterlinglawyers.com/illinois/locations/schaumburg/uncontested-divorce-lawyers/</t>
    </r>
  </si>
  <si>
    <r>
      <rPr>
        <rFont val="-apple-system, &quot;system-ui&quot;, &quot;Segoe UI&quot;, Roboto, Oxygen-Sans, Ubuntu, Cantarell, &quot;Helvetica Neue&quot;, sans-serif"/>
        <color rgb="FF1155CC"/>
        <u/>
      </rPr>
      <t>https://www.sterlinglawyers.com/illinois/locations/schaumburg/alimony-lawyers/</t>
    </r>
  </si>
  <si>
    <r>
      <rPr>
        <rFont val="-apple-system, &quot;system-ui&quot;, &quot;Segoe UI&quot;, Roboto, Oxygen-Sans, Ubuntu, Cantarell, &quot;Helvetica Neue&quot;, sans-serif"/>
        <color rgb="FF1155CC"/>
        <u/>
      </rPr>
      <t>https://www.sterlinglawyers.com/illinois/locations/schaumburg/property-division-lawyers/</t>
    </r>
  </si>
  <si>
    <r>
      <rPr>
        <rFont val="-apple-system, &quot;system-ui&quot;, &quot;Segoe UI&quot;, Roboto, Oxygen-Sans, Ubuntu, Cantarell, &quot;Helvetica Neue&quot;, sans-serif"/>
        <color rgb="FF1155CC"/>
        <u/>
      </rPr>
      <t>https://www.sterlinglawyers.com/illinois/locations/schaumburg/paternity-lawyers/</t>
    </r>
  </si>
  <si>
    <r>
      <rPr>
        <rFont val="-apple-system, &quot;system-ui&quot;, &quot;Segoe UI&quot;, Roboto, Oxygen-Sans, Ubuntu, Cantarell, &quot;Helvetica Neue&quot;, sans-serif"/>
        <color rgb="FF1155CC"/>
        <u/>
      </rPr>
      <t>https://www.sterlinglawyers.com/illinois/locations/schaumburg/military-divorce-lawyers/</t>
    </r>
  </si>
  <si>
    <r>
      <rPr>
        <rFont val="-apple-system, &quot;system-ui&quot;, &quot;Segoe UI&quot;, Roboto, Oxygen-Sans, Ubuntu, Cantarell, &quot;Helvetica Neue&quot;, sans-serif"/>
        <color rgb="FF1155CC"/>
        <u/>
      </rPr>
      <t>https://www.sterlinglawyers.com/illinois/locations/schaumburg/divorce-mediation-lawyers/</t>
    </r>
  </si>
  <si>
    <r>
      <rPr>
        <rFont val="-apple-system, &quot;system-ui&quot;, &quot;Segoe UI&quot;, Roboto, Oxygen-Sans, Ubuntu, Cantarell, &quot;Helvetica Neue&quot;, sans-serif"/>
        <color rgb="FF1155CC"/>
        <u/>
      </rPr>
      <t>https://www.sterlinglawyers.com/illinois/locations/schaumburg/contested-divorce-lawyers/</t>
    </r>
  </si>
  <si>
    <r>
      <rPr>
        <rFont val="-apple-system, &quot;system-ui&quot;, &quot;Segoe UI&quot;, Roboto, Oxygen-Sans, Ubuntu, Cantarell, &quot;Helvetica Neue&quot;, sans-serif"/>
        <color rgb="FF1155CC"/>
        <u/>
      </rPr>
      <t>https://www.sterlinglawyers.com/illinois/locations/schaumburg/collaborative-divorce-lawyers/</t>
    </r>
  </si>
  <si>
    <r>
      <rPr>
        <rFont val="-apple-system, &quot;system-ui&quot;, &quot;Segoe UI&quot;, Roboto, Oxygen-Sans, Ubuntu, Cantarell, &quot;Helvetica Neue&quot;, sans-serif"/>
        <color rgb="FF1155CC"/>
        <u/>
      </rPr>
      <t>https://www.sterlinglawyers.com/illinois/locations/schaumburg/child-support-lawyers/</t>
    </r>
  </si>
  <si>
    <r>
      <rPr>
        <rFont val="-apple-system, &quot;system-ui&quot;, &quot;Segoe UI&quot;, Roboto, Oxygen-Sans, Ubuntu, Cantarell, &quot;Helvetica Neue&quot;, sans-serif"/>
        <color rgb="FF1155CC"/>
        <u/>
      </rPr>
      <t>https://www.sterlinglawyers.com/illinois/locations/schaumburg/child-custody-lawyers/</t>
    </r>
  </si>
  <si>
    <r>
      <rPr>
        <rFont val="-apple-system, &quot;system-ui&quot;, &quot;Segoe UI&quot;, Roboto, Oxygen-Sans, Ubuntu, Cantarell, &quot;Helvetica Neue&quot;, sans-serif"/>
        <color rgb="FF1155CC"/>
        <u/>
      </rPr>
      <t>https://www.sterlinglawyers.com/illinois/locations/schaumburg/</t>
    </r>
  </si>
  <si>
    <r>
      <rPr>
        <rFont val="-apple-system, &quot;system-ui&quot;, &quot;Segoe UI&quot;, Roboto, Oxygen-Sans, Ubuntu, Cantarell, &quot;Helvetica Neue&quot;, sans-serif"/>
        <color rgb="FF1155CC"/>
        <u/>
      </rPr>
      <t>https://www.sterlinglawyers.com/illinois/locations/hoffman-estates/uncontested-divorce-lawyers/</t>
    </r>
  </si>
  <si>
    <r>
      <rPr>
        <rFont val="-apple-system, &quot;system-ui&quot;, &quot;Segoe UI&quot;, Roboto, Oxygen-Sans, Ubuntu, Cantarell, &quot;Helvetica Neue&quot;, sans-serif"/>
        <color rgb="FF1155CC"/>
        <u/>
      </rPr>
      <t>https://www.sterlinglawyers.com/illinois/locations/hoffman-estates/alimony-lawyers/</t>
    </r>
  </si>
  <si>
    <r>
      <rPr>
        <rFont val="-apple-system, &quot;system-ui&quot;, &quot;Segoe UI&quot;, Roboto, Oxygen-Sans, Ubuntu, Cantarell, &quot;Helvetica Neue&quot;, sans-serif"/>
        <color rgb="FF1155CC"/>
        <u/>
      </rPr>
      <t>https://www.sterlinglawyers.com/illinois/locations/hoffman-estates/property-division-lawyers/</t>
    </r>
  </si>
  <si>
    <r>
      <rPr>
        <rFont val="-apple-system, &quot;system-ui&quot;, &quot;Segoe UI&quot;, Roboto, Oxygen-Sans, Ubuntu, Cantarell, &quot;Helvetica Neue&quot;, sans-serif"/>
        <color rgb="FF1155CC"/>
        <u/>
      </rPr>
      <t>https://www.sterlinglawyers.com/illinois/locations/hoffman-estates/paternity-lawyers/</t>
    </r>
  </si>
  <si>
    <r>
      <rPr>
        <rFont val="-apple-system, &quot;system-ui&quot;, &quot;Segoe UI&quot;, Roboto, Oxygen-Sans, Ubuntu, Cantarell, &quot;Helvetica Neue&quot;, sans-serif"/>
        <color rgb="FF1155CC"/>
        <u/>
      </rPr>
      <t>https://www.sterlinglawyers.com/illinois/locations/hoffman-estates/military-divorce-lawyers/</t>
    </r>
  </si>
  <si>
    <r>
      <rPr>
        <rFont val="-apple-system, &quot;system-ui&quot;, &quot;Segoe UI&quot;, Roboto, Oxygen-Sans, Ubuntu, Cantarell, &quot;Helvetica Neue&quot;, sans-serif"/>
        <color rgb="FF1155CC"/>
        <u/>
      </rPr>
      <t>https://www.sterlinglawyers.com/illinois/locations/hoffman-estates/divorce-mediation-lawyers/</t>
    </r>
  </si>
  <si>
    <r>
      <rPr>
        <rFont val="-apple-system, &quot;system-ui&quot;, &quot;Segoe UI&quot;, Roboto, Oxygen-Sans, Ubuntu, Cantarell, &quot;Helvetica Neue&quot;, sans-serif"/>
        <color rgb="FF1155CC"/>
        <u/>
      </rPr>
      <t>https://www.sterlinglawyers.com/illinois/locations/hoffman-estates/contested-divorce-lawyers/</t>
    </r>
  </si>
  <si>
    <r>
      <rPr>
        <rFont val="-apple-system, &quot;system-ui&quot;, &quot;Segoe UI&quot;, Roboto, Oxygen-Sans, Ubuntu, Cantarell, &quot;Helvetica Neue&quot;, sans-serif"/>
        <color rgb="FF1155CC"/>
        <u/>
      </rPr>
      <t>https://www.sterlinglawyers.com/illinois/locations/hoffman-estates/collaborative-divorce-lawyers/</t>
    </r>
  </si>
  <si>
    <r>
      <rPr>
        <rFont val="-apple-system, &quot;system-ui&quot;, &quot;Segoe UI&quot;, Roboto, Oxygen-Sans, Ubuntu, Cantarell, &quot;Helvetica Neue&quot;, sans-serif"/>
        <color rgb="FF1155CC"/>
        <u/>
      </rPr>
      <t>https://www.sterlinglawyers.com/illinois/locations/naperville/</t>
    </r>
  </si>
  <si>
    <r>
      <rPr>
        <rFont val="-apple-system, &quot;system-ui&quot;, &quot;Segoe UI&quot;, Roboto, Oxygen-Sans, Ubuntu, Cantarell, &quot;Helvetica Neue&quot;, sans-serif"/>
        <color rgb="FF1155CC"/>
        <u/>
      </rPr>
      <t>https://www.sterlinglawyers.com/illinois/locations/chicago/contested-divorce-lawyers/</t>
    </r>
  </si>
  <si>
    <r>
      <rPr>
        <rFont val="-apple-system, &quot;system-ui&quot;, &quot;Segoe UI&quot;, Roboto, Oxygen-Sans, Ubuntu, Cantarell, &quot;Helvetica Neue&quot;, sans-serif"/>
        <color rgb="FF1155CC"/>
        <u/>
      </rPr>
      <t>https://www.sterlinglawyers.com/illinois/locations/chicago/</t>
    </r>
  </si>
  <si>
    <r>
      <rPr>
        <rFont val="-apple-system, &quot;system-ui&quot;, &quot;Segoe UI&quot;, Roboto, Oxygen-Sans, Ubuntu, Cantarell, &quot;Helvetica Neue&quot;, sans-serif"/>
        <color rgb="FF1155CC"/>
        <u/>
      </rPr>
      <t>https://www.sterlinglawyers.com/illinois/locations/chicago/alimony-lawyers/</t>
    </r>
  </si>
  <si>
    <r>
      <rPr>
        <rFont val="-apple-system, &quot;system-ui&quot;, &quot;Segoe UI&quot;, Roboto, Oxygen-Sans, Ubuntu, Cantarell, &quot;Helvetica Neue&quot;, sans-serif"/>
        <color rgb="FF1155CC"/>
        <u/>
      </rPr>
      <t>https://www.sterlinglawyers.com/illinois/locations/chicago/property-division-lawyers/</t>
    </r>
  </si>
  <si>
    <r>
      <rPr>
        <rFont val="-apple-system, &quot;system-ui&quot;, &quot;Segoe UI&quot;, Roboto, Oxygen-Sans, Ubuntu, Cantarell, &quot;Helvetica Neue&quot;, sans-serif"/>
        <color rgb="FF1155CC"/>
        <u/>
      </rPr>
      <t>https://www.sterlinglawyers.com/illinois/locations/chicago/paternity-lawyers/</t>
    </r>
  </si>
  <si>
    <r>
      <rPr>
        <rFont val="-apple-system, &quot;system-ui&quot;, &quot;Segoe UI&quot;, Roboto, Oxygen-Sans, Ubuntu, Cantarell, &quot;Helvetica Neue&quot;, sans-serif"/>
        <color rgb="FF1155CC"/>
        <u/>
      </rPr>
      <t>https://www.sterlinglawyers.com/illinois/locations/chicago/military-divorce-lawyers/</t>
    </r>
  </si>
  <si>
    <r>
      <rPr>
        <rFont val="-apple-system, &quot;system-ui&quot;, &quot;Segoe UI&quot;, Roboto, Oxygen-Sans, Ubuntu, Cantarell, &quot;Helvetica Neue&quot;, sans-serif"/>
        <color rgb="FF1155CC"/>
        <u/>
      </rPr>
      <t>https://www.sterlinglawyers.com/illinois/locations/chicago/divorce-mediation-lawyers/</t>
    </r>
  </si>
  <si>
    <r>
      <rPr>
        <rFont val="-apple-system, &quot;system-ui&quot;, &quot;Segoe UI&quot;, Roboto, Oxygen-Sans, Ubuntu, Cantarell, &quot;Helvetica Neue&quot;, sans-serif"/>
        <color rgb="FF1155CC"/>
        <u/>
      </rPr>
      <t>https://www.sterlinglawyers.com/illinois/locations/chicago/collaborative-divorce-lawyers/</t>
    </r>
  </si>
  <si>
    <r>
      <rPr>
        <rFont val="-apple-system, &quot;system-ui&quot;, &quot;Segoe UI&quot;, Roboto, Oxygen-Sans, Ubuntu, Cantarell, &quot;Helvetica Neue&quot;, sans-serif"/>
        <color rgb="FF1155CC"/>
        <u/>
      </rPr>
      <t>https://www.sterlinglawyers.com/illinois/locations/chicago/child-support-lawyers/</t>
    </r>
  </si>
  <si>
    <r>
      <rPr>
        <rFont val="-apple-system, &quot;system-ui&quot;, &quot;Segoe UI&quot;, Roboto, Oxygen-Sans, Ubuntu, Cantarell, &quot;Helvetica Neue&quot;, sans-serif"/>
        <color rgb="FF1155CC"/>
        <u/>
      </rPr>
      <t>https://www.sterlinglawyers.com/illinois/locations/chicago/child-custody-lawyers/</t>
    </r>
  </si>
  <si>
    <r>
      <rPr>
        <rFont val="-apple-system, &quot;system-ui&quot;, &quot;Segoe UI&quot;, Roboto, Oxygen-Sans, Ubuntu, Cantarell, &quot;Helvetica Neue&quot;, sans-serif"/>
        <color rgb="FF1155CC"/>
        <u/>
      </rPr>
      <t>https://www.sterlinglawyers.com/illinois/spousal-support/calculator/</t>
    </r>
  </si>
  <si>
    <r>
      <rPr>
        <rFont val="-apple-system, &quot;system-ui&quot;, &quot;Segoe UI&quot;, Roboto, Oxygen-Sans, Ubuntu, Cantarell, &quot;Helvetica Neue&quot;, sans-serif"/>
        <color rgb="FF1155CC"/>
        <u/>
      </rPr>
      <t>https://www.sterlinglawyers.com/illinois/spousal-support/types/</t>
    </r>
  </si>
  <si>
    <r>
      <rPr>
        <rFont val="-apple-system, &quot;system-ui&quot;, &quot;Segoe UI&quot;, Roboto, Oxygen-Sans, Ubuntu, Cantarell, &quot;Helvetica Neue&quot;, sans-serif"/>
        <color rgb="FF1155CC"/>
        <u/>
      </rPr>
      <t>https://www.sterlinglawyers.com/illinois/spousal-support/terminate-orders/</t>
    </r>
  </si>
  <si>
    <r>
      <rPr>
        <rFont val="-apple-system, &quot;system-ui&quot;, &quot;Segoe UI&quot;, Roboto, Oxygen-Sans, Ubuntu, Cantarell, &quot;Helvetica Neue&quot;, sans-serif"/>
        <color rgb="FF1155CC"/>
        <u/>
      </rPr>
      <t>https://www.sterlinglawyers.com/illinois/spousal-support/alimony-taxes/</t>
    </r>
  </si>
  <si>
    <r>
      <rPr>
        <rFont val="-apple-system, &quot;system-ui&quot;, &quot;Segoe UI&quot;, Roboto, Oxygen-Sans, Ubuntu, Cantarell, &quot;Helvetica Neue&quot;, sans-serif"/>
        <color rgb="FF1155CC"/>
        <u/>
      </rPr>
      <t>https://www.sterlinglawyers.com/illinois/spousal-support/modify-orders/</t>
    </r>
  </si>
  <si>
    <r>
      <rPr>
        <rFont val="-apple-system, &quot;system-ui&quot;, &quot;Segoe UI&quot;, Roboto, Oxygen-Sans, Ubuntu, Cantarell, &quot;Helvetica Neue&quot;, sans-serif"/>
        <color rgb="FF1155CC"/>
        <u/>
      </rPr>
      <t>https://www.sterlinglawyers.com/illinois/spousal-support/enforce-orders/</t>
    </r>
  </si>
  <si>
    <r>
      <rPr>
        <rFont val="-apple-system, &quot;system-ui&quot;, &quot;Segoe UI&quot;, Roboto, Oxygen-Sans, Ubuntu, Cantarell, &quot;Helvetica Neue&quot;, sans-serif"/>
        <color rgb="FF1155CC"/>
        <u/>
      </rPr>
      <t>https://www.sterlinglawyers.com/illinois/spousal-support/divorce/</t>
    </r>
  </si>
  <si>
    <r>
      <rPr>
        <rFont val="-apple-system, &quot;system-ui&quot;, &quot;Segoe UI&quot;, Roboto, Oxygen-Sans, Ubuntu, Cantarell, &quot;Helvetica Neue&quot;, sans-serif"/>
        <color rgb="FF1155CC"/>
        <u/>
      </rPr>
      <t>https://www.sterlinglawyers.com/illinois/spousal-support/duration/</t>
    </r>
  </si>
  <si>
    <r>
      <rPr>
        <rFont val="-apple-system, &quot;system-ui&quot;, &quot;Segoe UI&quot;, Roboto, Oxygen-Sans, Ubuntu, Cantarell, &quot;Helvetica Neue&quot;, sans-serif"/>
        <color rgb="FF1155CC"/>
        <u/>
      </rPr>
      <t>https://www.sterlinglawyers.com/illinois/child-custody/custody-process/</t>
    </r>
  </si>
  <si>
    <r>
      <rPr>
        <rFont val="-apple-system, &quot;system-ui&quot;, &quot;Segoe UI&quot;, Roboto, Oxygen-Sans, Ubuntu, Cantarell, &quot;Helvetica Neue&quot;, sans-serif"/>
        <color rgb="FF1155CC"/>
        <u/>
      </rPr>
      <t>https://www.sterlinglawyers.com/illinois/child-custody/co-parenting/</t>
    </r>
  </si>
  <si>
    <r>
      <rPr>
        <rFont val="-apple-system, &quot;system-ui&quot;, &quot;Segoe UI&quot;, Roboto, Oxygen-Sans, Ubuntu, Cantarell, &quot;Helvetica Neue&quot;, sans-serif"/>
        <color rgb="FF1155CC"/>
        <u/>
      </rPr>
      <t>https://www.sterlinglawyers.com/illinois/child-custody/split-orders/</t>
    </r>
  </si>
  <si>
    <r>
      <rPr>
        <rFont val="-apple-system, &quot;system-ui&quot;, &quot;Segoe UI&quot;, Roboto, Oxygen-Sans, Ubuntu, Cantarell, &quot;Helvetica Neue&quot;, sans-serif"/>
        <color rgb="FF1155CC"/>
        <u/>
      </rPr>
      <t>https://www.sterlinglawyers.com/illinois/child-custody/parental-alienation/</t>
    </r>
  </si>
  <si>
    <r>
      <rPr>
        <rFont val="-apple-system, &quot;system-ui&quot;, &quot;Segoe UI&quot;, Roboto, Oxygen-Sans, Ubuntu, Cantarell, &quot;Helvetica Neue&quot;, sans-serif"/>
        <color rgb="FF1155CC"/>
        <u/>
      </rPr>
      <t>https://www.sterlinglawyers.com/illinois/child-custody/fathers-rights/</t>
    </r>
  </si>
  <si>
    <r>
      <rPr>
        <rFont val="-apple-system, &quot;system-ui&quot;, &quot;Segoe UI&quot;, Roboto, Oxygen-Sans, Ubuntu, Cantarell, &quot;Helvetica Neue&quot;, sans-serif"/>
        <color rgb="FF1155CC"/>
        <u/>
      </rPr>
      <t>https://www.sterlinglawyers.com/illinois/child-custody/during-divorce/</t>
    </r>
  </si>
  <si>
    <r>
      <rPr>
        <rFont val="-apple-system, &quot;system-ui&quot;, &quot;Segoe UI&quot;, Roboto, Oxygen-Sans, Ubuntu, Cantarell, &quot;Helvetica Neue&quot;, sans-serif"/>
        <color rgb="FF1155CC"/>
        <u/>
      </rPr>
      <t>https://www.sterlinglawyers.com/illinois/child-custody/unfit-parent/</t>
    </r>
  </si>
  <si>
    <r>
      <rPr>
        <rFont val="-apple-system, &quot;system-ui&quot;, &quot;Segoe UI&quot;, Roboto, Oxygen-Sans, Ubuntu, Cantarell, &quot;Helvetica Neue&quot;, sans-serif"/>
        <color rgb="FF1155CC"/>
        <u/>
      </rPr>
      <t>https://www.sterlinglawyers.com/illinois/child-custody/third-party-visitation/</t>
    </r>
  </si>
  <si>
    <r>
      <rPr>
        <rFont val="-apple-system, &quot;system-ui&quot;, &quot;Segoe UI&quot;, Roboto, Oxygen-Sans, Ubuntu, Cantarell, &quot;Helvetica Neue&quot;, sans-serif"/>
        <color rgb="FF1155CC"/>
        <u/>
      </rPr>
      <t>https://www.sterlinglawyers.com/illinois/child-custody/sole-orders/</t>
    </r>
  </si>
  <si>
    <r>
      <rPr>
        <rFont val="-apple-system, &quot;system-ui&quot;, &quot;Segoe UI&quot;, Roboto, Oxygen-Sans, Ubuntu, Cantarell, &quot;Helvetica Neue&quot;, sans-serif"/>
        <color rgb="FF1155CC"/>
        <u/>
      </rPr>
      <t>https://www.sterlinglawyers.com/illinois/child-custody/paternity/</t>
    </r>
  </si>
  <si>
    <r>
      <rPr>
        <rFont val="-apple-system, &quot;system-ui&quot;, &quot;Segoe UI&quot;, Roboto, Oxygen-Sans, Ubuntu, Cantarell, &quot;Helvetica Neue&quot;, sans-serif"/>
        <color rgb="FF1155CC"/>
        <u/>
      </rPr>
      <t>https://www.sterlinglawyers.com/illinois/child-custody/name-change/</t>
    </r>
  </si>
  <si>
    <r>
      <rPr>
        <rFont val="-apple-system, &quot;system-ui&quot;, &quot;Segoe UI&quot;, Roboto, Oxygen-Sans, Ubuntu, Cantarell, &quot;Helvetica Neue&quot;, sans-serif"/>
        <color rgb="FF1155CC"/>
        <u/>
      </rPr>
      <t>https://www.sterlinglawyers.com/illinois/child-custody/modify-orders/</t>
    </r>
  </si>
  <si>
    <r>
      <rPr>
        <rFont val="-apple-system, &quot;system-ui&quot;, &quot;Segoe UI&quot;, Roboto, Oxygen-Sans, Ubuntu, Cantarell, &quot;Helvetica Neue&quot;, sans-serif"/>
        <color rgb="FF1155CC"/>
        <u/>
      </rPr>
      <t>https://www.sterlinglawyers.com/illinois/child-custody/guardian-ad-litem/</t>
    </r>
  </si>
  <si>
    <r>
      <rPr>
        <rFont val="-apple-system, &quot;system-ui&quot;, &quot;Segoe UI&quot;, Roboto, Oxygen-Sans, Ubuntu, Cantarell, &quot;Helvetica Neue&quot;, sans-serif"/>
        <color rgb="FF1155CC"/>
        <u/>
      </rPr>
      <t>https://www.sterlinglawyers.com/illinois/child-custody/enforce-orders/</t>
    </r>
  </si>
  <si>
    <r>
      <rPr>
        <rFont val="-apple-system, &quot;system-ui&quot;, &quot;Segoe UI&quot;, Roboto, Oxygen-Sans, Ubuntu, Cantarell, &quot;Helvetica Neue&quot;, sans-serif"/>
        <color rgb="FF1155CC"/>
        <u/>
      </rPr>
      <t>https://www.sterlinglawyers.com/illinois/child-custody/child-chooses-parent/</t>
    </r>
  </si>
  <si>
    <r>
      <rPr>
        <rFont val="-apple-system, &quot;system-ui&quot;, &quot;Segoe UI&quot;, Roboto, Oxygen-Sans, Ubuntu, Cantarell, &quot;Helvetica Neue&quot;, sans-serif"/>
        <color rgb="FF1155CC"/>
        <u/>
      </rPr>
      <t>https://www.sterlinglawyers.com/illinois/child-custody/50-50-schedules/</t>
    </r>
  </si>
  <si>
    <r>
      <rPr>
        <rFont val="-apple-system, &quot;system-ui&quot;, &quot;Segoe UI&quot;, Roboto, Oxygen-Sans, Ubuntu, Cantarell, &quot;Helvetica Neue&quot;, sans-serif"/>
        <color rgb="FF1155CC"/>
        <u/>
      </rPr>
      <t>https://www.sterlinglawyers.com/illinois/child-custody/third-party-orders/</t>
    </r>
  </si>
  <si>
    <r>
      <rPr>
        <rFont val="-apple-system, &quot;system-ui&quot;, &quot;Segoe UI&quot;, Roboto, Oxygen-Sans, Ubuntu, Cantarell, &quot;Helvetica Neue&quot;, sans-serif"/>
        <color rgb="FF1155CC"/>
        <u/>
      </rPr>
      <t>https://www.sterlinglawyers.com/illinois/child-custody/co-parenting-with-narcissist/</t>
    </r>
  </si>
  <si>
    <r>
      <rPr>
        <rFont val="-apple-system, &quot;system-ui&quot;, &quot;Segoe UI&quot;, Roboto, Oxygen-Sans, Ubuntu, Cantarell, &quot;Helvetica Neue&quot;, sans-serif"/>
        <color rgb="FF1155CC"/>
        <u/>
      </rPr>
      <t>https://www.sterlinglawyers.com/illinois/child-custody/parenting-plan/</t>
    </r>
  </si>
  <si>
    <r>
      <rPr>
        <rFont val="-apple-system, &quot;system-ui&quot;, &quot;Segoe UI&quot;, Roboto, Oxygen-Sans, Ubuntu, Cantarell, &quot;Helvetica Neue&quot;, sans-serif"/>
        <color rgb="FF1155CC"/>
        <u/>
      </rPr>
      <t>https://www.sterlinglawyers.com/illinois/child-custody/temporary-parental-responsibilities/</t>
    </r>
  </si>
  <si>
    <r>
      <rPr>
        <rFont val="-apple-system, &quot;system-ui&quot;, &quot;Segoe UI&quot;, Roboto, Oxygen-Sans, Ubuntu, Cantarell, &quot;Helvetica Neue&quot;, sans-serif"/>
        <color rgb="FF1155CC"/>
        <u/>
      </rPr>
      <t>https://www.sterlinglawyers.com/illinois/child-support/calculator/</t>
    </r>
  </si>
  <si>
    <r>
      <rPr>
        <rFont val="-apple-system, &quot;system-ui&quot;, &quot;Segoe UI&quot;, Roboto, Oxygen-Sans, Ubuntu, Cantarell, &quot;Helvetica Neue&quot;, sans-serif"/>
        <color rgb="FF1155CC"/>
        <u/>
      </rPr>
      <t>https://www.sterlinglawyers.com/illinois/child-support/enforce-orders/</t>
    </r>
  </si>
  <si>
    <r>
      <rPr>
        <rFont val="-apple-system, &quot;system-ui&quot;, &quot;Segoe UI&quot;, Roboto, Oxygen-Sans, Ubuntu, Cantarell, &quot;Helvetica Neue&quot;, sans-serif"/>
        <color rgb="FF1155CC"/>
        <u/>
      </rPr>
      <t>https://www.sterlinglawyers.com/illinois/child-support/divorce/</t>
    </r>
  </si>
  <si>
    <r>
      <rPr>
        <rFont val="-apple-system, &quot;system-ui&quot;, &quot;Segoe UI&quot;, Roboto, Oxygen-Sans, Ubuntu, Cantarell, &quot;Helvetica Neue&quot;, sans-serif"/>
        <color rgb="FF1155CC"/>
        <u/>
      </rPr>
      <t>https://www.sterlinglawyers.com/illinois/child-support/modify-orders/</t>
    </r>
  </si>
  <si>
    <r>
      <rPr>
        <rFont val="-apple-system, &quot;system-ui&quot;, &quot;Segoe UI&quot;, Roboto, Oxygen-Sans, Ubuntu, Cantarell, &quot;Helvetica Neue&quot;, sans-serif"/>
        <color rgb="FF1155CC"/>
        <u/>
      </rPr>
      <t>https://www.sterlinglawyers.com/illinois/child-support/end-orders/</t>
    </r>
  </si>
  <si>
    <r>
      <rPr>
        <rFont val="-apple-system, &quot;system-ui&quot;, &quot;Segoe UI&quot;, Roboto, Oxygen-Sans, Ubuntu, Cantarell, &quot;Helvetica Neue&quot;, sans-serif"/>
        <color rgb="FF1155CC"/>
        <u/>
      </rPr>
      <t>https://www.sterlinglawyers.com/illinois/divorce/marriage-license/</t>
    </r>
  </si>
  <si>
    <r>
      <rPr>
        <rFont val="-apple-system, &quot;system-ui&quot;, &quot;Segoe UI&quot;, Roboto, Oxygen-Sans, Ubuntu, Cantarell, &quot;Helvetica Neue&quot;, sans-serif"/>
        <color rgb="FF1155CC"/>
        <u/>
      </rPr>
      <t>https://www.sterlinglawyers.com/illinois/divorce/diy/</t>
    </r>
  </si>
  <si>
    <r>
      <rPr>
        <rFont val="-apple-system, &quot;system-ui&quot;, &quot;Segoe UI&quot;, Roboto, Oxygen-Sans, Ubuntu, Cantarell, &quot;Helvetica Neue&quot;, sans-serif"/>
        <color rgb="FF1155CC"/>
        <u/>
      </rPr>
      <t>https://www.sterlinglawyers.com/illinois/divorce/abandonment/</t>
    </r>
  </si>
  <si>
    <r>
      <rPr>
        <rFont val="-apple-system, &quot;system-ui&quot;, &quot;Segoe UI&quot;, Roboto, Oxygen-Sans, Ubuntu, Cantarell, &quot;Helvetica Neue&quot;, sans-serif"/>
        <color rgb="FF1155CC"/>
        <u/>
      </rPr>
      <t>https://www.sterlinglawyers.com/illinois/divorce/waiting-period/</t>
    </r>
  </si>
  <si>
    <r>
      <rPr>
        <rFont val="-apple-system, &quot;system-ui&quot;, &quot;Segoe UI&quot;, Roboto, Oxygen-Sans, Ubuntu, Cantarell, &quot;Helvetica Neue&quot;, sans-serif"/>
        <color rgb="FF1155CC"/>
        <u/>
      </rPr>
      <t>https://www.sterlinglawyers.com/illinois/divorce/uncontested-divorce/</t>
    </r>
  </si>
  <si>
    <r>
      <rPr>
        <rFont val="-apple-system, &quot;system-ui&quot;, &quot;Segoe UI&quot;, Roboto, Oxygen-Sans, Ubuntu, Cantarell, &quot;Helvetica Neue&quot;, sans-serif"/>
        <color rgb="FF1155CC"/>
        <u/>
      </rPr>
      <t>https://www.sterlinglawyers.com/illinois/divorce/order-of-protection/</t>
    </r>
  </si>
  <si>
    <r>
      <rPr>
        <rFont val="-apple-system, &quot;system-ui&quot;, &quot;Segoe UI&quot;, Roboto, Oxygen-Sans, Ubuntu, Cantarell, &quot;Helvetica Neue&quot;, sans-serif"/>
        <color rgb="FF1155CC"/>
        <u/>
      </rPr>
      <t>https://www.sterlinglawyers.com/illinois/divorce/separation/</t>
    </r>
  </si>
  <si>
    <r>
      <rPr>
        <rFont val="-apple-system, &quot;system-ui&quot;, &quot;Segoe UI&quot;, Roboto, Oxygen-Sans, Ubuntu, Cantarell, &quot;Helvetica Neue&quot;, sans-serif"/>
        <color rgb="FF1155CC"/>
        <u/>
      </rPr>
      <t>https://www.sterlinglawyers.com/illinois/divorce/grounds-for-divorce/</t>
    </r>
  </si>
  <si>
    <r>
      <rPr>
        <rFont val="-apple-system, &quot;system-ui&quot;, &quot;Segoe UI&quot;, Roboto, Oxygen-Sans, Ubuntu, Cantarell, &quot;Helvetica Neue&quot;, sans-serif"/>
        <color rgb="FF1155CC"/>
        <u/>
      </rPr>
      <t>https://www.sterlinglawyers.com/illinois/divorce/temporary-order/</t>
    </r>
  </si>
  <si>
    <r>
      <rPr>
        <rFont val="-apple-system, &quot;system-ui&quot;, &quot;Segoe UI&quot;, Roboto, Oxygen-Sans, Ubuntu, Cantarell, &quot;Helvetica Neue&quot;, sans-serif"/>
        <color rgb="FF1155CC"/>
        <u/>
      </rPr>
      <t>https://www.sterlinglawyers.com/illinois/divorce/evicting-spouse/</t>
    </r>
  </si>
  <si>
    <r>
      <rPr>
        <rFont val="-apple-system, &quot;system-ui&quot;, &quot;Segoe UI&quot;, Roboto, Oxygen-Sans, Ubuntu, Cantarell, &quot;Helvetica Neue&quot;, sans-serif"/>
        <color rgb="FF1155CC"/>
        <u/>
      </rPr>
      <t>https://www.sterlinglawyers.com/illinois/divorce/litigation/</t>
    </r>
  </si>
  <si>
    <r>
      <rPr>
        <rFont val="-apple-system, &quot;system-ui&quot;, &quot;Segoe UI&quot;, Roboto, Oxygen-Sans, Ubuntu, Cantarell, &quot;Helvetica Neue&quot;, sans-serif"/>
        <color rgb="FF1155CC"/>
        <u/>
      </rPr>
      <t>https://www.sterlinglawyers.com/illinois/divorce/forms/</t>
    </r>
  </si>
  <si>
    <r>
      <rPr>
        <rFont val="-apple-system, &quot;system-ui&quot;, &quot;Segoe UI&quot;, Roboto, Oxygen-Sans, Ubuntu, Cantarell, &quot;Helvetica Neue&quot;, sans-serif"/>
        <color rgb="FF1155CC"/>
        <u/>
      </rPr>
      <t>https://www.sterlinglawyers.com/illinois/divorce/contested/</t>
    </r>
  </si>
  <si>
    <r>
      <rPr>
        <rFont val="-apple-system, &quot;system-ui&quot;, &quot;Segoe UI&quot;, Roboto, Oxygen-Sans, Ubuntu, Cantarell, &quot;Helvetica Neue&quot;, sans-serif"/>
        <color rgb="FF1155CC"/>
        <u/>
      </rPr>
      <t>https://www.sterlinglawyers.com/illinois/divorce/collaborative/</t>
    </r>
  </si>
  <si>
    <r>
      <rPr>
        <rFont val="-apple-system, &quot;system-ui&quot;, &quot;Segoe UI&quot;, Roboto, Oxygen-Sans, Ubuntu, Cantarell, &quot;Helvetica Neue&quot;, sans-serif"/>
        <color rgb="FF1155CC"/>
        <u/>
      </rPr>
      <t>https://www.sterlinglawyers.com/illinois/divorce/annulment/</t>
    </r>
  </si>
  <si>
    <r>
      <rPr>
        <rFont val="-apple-system, &quot;system-ui&quot;, &quot;Segoe UI&quot;, Roboto, Oxygen-Sans, Ubuntu, Cantarell, &quot;Helvetica Neue&quot;, sans-serif"/>
        <color rgb="FF1155CC"/>
        <u/>
      </rPr>
      <t>https://www.sterlinglawyers.com/illinois/divorce/adultery-laws/</t>
    </r>
  </si>
  <si>
    <r>
      <rPr>
        <rFont val="-apple-system, &quot;system-ui&quot;, &quot;Segoe UI&quot;, Roboto, Oxygen-Sans, Ubuntu, Cantarell, &quot;Helvetica Neue&quot;, sans-serif"/>
        <color rgb="FF1155CC"/>
        <u/>
      </rPr>
      <t>https://www.sterlinglawyers.com/illinois/divorce/mediation/</t>
    </r>
  </si>
  <si>
    <r>
      <rPr>
        <rFont val="-apple-system, &quot;system-ui&quot;, &quot;Segoe UI&quot;, Roboto, Oxygen-Sans, Ubuntu, Cantarell, &quot;Helvetica Neue&quot;, sans-serif"/>
        <color rgb="FF1155CC"/>
        <u/>
      </rPr>
      <t>https://www.sterlinglawyers.com/illinois/divorce/how-long-divorce-illinois/</t>
    </r>
  </si>
  <si>
    <r>
      <rPr>
        <rFont val="-apple-system, &quot;system-ui&quot;, &quot;Segoe UI&quot;, Roboto, Oxygen-Sans, Ubuntu, Cantarell, &quot;Helvetica Neue&quot;, sans-serif"/>
        <color rgb="FF1155CC"/>
        <u/>
      </rPr>
      <t>https://www.sterlinglawyers.com/illinois/divorce/file-for-divorce/</t>
    </r>
  </si>
  <si>
    <r>
      <rPr>
        <rFont val="-apple-system, &quot;system-ui&quot;, &quot;Segoe UI&quot;, Roboto, Oxygen-Sans, Ubuntu, Cantarell, &quot;Helvetica Neue&quot;, sans-serif"/>
        <color rgb="FF1155CC"/>
        <u/>
      </rPr>
      <t>https://www.sterlinglawyers.com/illinois/divorce/common-law-marriage/</t>
    </r>
  </si>
  <si>
    <r>
      <rPr>
        <rFont val="-apple-system, &quot;system-ui&quot;, &quot;Segoe UI&quot;, Roboto, Oxygen-Sans, Ubuntu, Cantarell, &quot;Helvetica Neue&quot;, sans-serif"/>
        <color rgb="FF1155CC"/>
        <u/>
      </rPr>
      <t>https://www.sterlinglawyers.com/illinois/divorce/cost/</t>
    </r>
  </si>
  <si>
    <r>
      <rPr>
        <rFont val="-apple-system, &quot;system-ui&quot;, &quot;Segoe UI&quot;, Roboto, Oxygen-Sans, Ubuntu, Cantarell, &quot;Helvetica Neue&quot;, sans-serif"/>
        <color rgb="FF1155CC"/>
        <u/>
      </rPr>
      <t>https://www.sterlinglawyers.com/illinois/divorce/documenting-agreements/</t>
    </r>
  </si>
  <si>
    <r>
      <rPr>
        <rFont val="-apple-system, &quot;system-ui&quot;, &quot;Segoe UI&quot;, Roboto, Oxygen-Sans, Ubuntu, Cantarell, &quot;Helvetica Neue&quot;, sans-serif"/>
        <color rgb="FF1155CC"/>
        <u/>
      </rPr>
      <t>https://www.sterlinglawyers.com/illinois/divorce/financing/</t>
    </r>
  </si>
  <si>
    <r>
      <rPr>
        <rFont val="-apple-system, &quot;system-ui&quot;, &quot;Segoe UI&quot;, Roboto, Oxygen-Sans, Ubuntu, Cantarell, &quot;Helvetica Neue&quot;, sans-serif"/>
        <color rgb="FF1155CC"/>
        <u/>
      </rPr>
      <t>https://www.sterlinglawyers.com/illinois/divorce/how/</t>
    </r>
  </si>
  <si>
    <r>
      <rPr>
        <rFont val="-apple-system, &quot;system-ui&quot;, &quot;Segoe UI&quot;, Roboto, Oxygen-Sans, Ubuntu, Cantarell, &quot;Helvetica Neue&quot;, sans-serif"/>
        <color rgb="FF1155CC"/>
        <u/>
      </rPr>
      <t>https://www.sterlinglawyers.com/illinois/divorce/file-for-divorce/file-cook-county/</t>
    </r>
  </si>
  <si>
    <r>
      <rPr>
        <rFont val="-apple-system, &quot;system-ui&quot;, &quot;Segoe UI&quot;, Roboto, Oxygen-Sans, Ubuntu, Cantarell, &quot;Helvetica Neue&quot;, sans-serif"/>
        <color rgb="FF1155CC"/>
        <u/>
      </rPr>
      <t>https://www.sterlinglawyers.com/illinois/property-division/worksheet/</t>
    </r>
  </si>
  <si>
    <r>
      <rPr>
        <rFont val="-apple-system, &quot;system-ui&quot;, &quot;Segoe UI&quot;, Roboto, Oxygen-Sans, Ubuntu, Cantarell, &quot;Helvetica Neue&quot;, sans-serif"/>
        <color rgb="FF1155CC"/>
        <u/>
      </rPr>
      <t>https://www.sterlinglawyers.com/illinois/property-division/debt/</t>
    </r>
  </si>
  <si>
    <r>
      <rPr>
        <rFont val="-apple-system, &quot;system-ui&quot;, &quot;Segoe UI&quot;, Roboto, Oxygen-Sans, Ubuntu, Cantarell, &quot;Helvetica Neue&quot;, sans-serif"/>
        <color rgb="FF1155CC"/>
        <u/>
      </rPr>
      <t>https://www.sterlinglawyers.com/illinois/property-division/investments/</t>
    </r>
  </si>
  <si>
    <r>
      <rPr>
        <rFont val="-apple-system, &quot;system-ui&quot;, &quot;Segoe UI&quot;, Roboto, Oxygen-Sans, Ubuntu, Cantarell, &quot;Helvetica Neue&quot;, sans-serif"/>
        <color rgb="FF1155CC"/>
        <u/>
      </rPr>
      <t>https://www.sterlinglawyers.com/illinois/property-division/enforcing-orders/</t>
    </r>
  </si>
  <si>
    <r>
      <rPr>
        <rFont val="-apple-system, &quot;system-ui&quot;, &quot;Segoe UI&quot;, Roboto, Oxygen-Sans, Ubuntu, Cantarell, &quot;Helvetica Neue&quot;, sans-serif"/>
        <color rgb="FF1155CC"/>
        <u/>
      </rPr>
      <t>https://www.sterlinglawyers.com/illinois/property-division/prenuptial-agreements/</t>
    </r>
  </si>
  <si>
    <r>
      <rPr>
        <rFont val="-apple-system, &quot;system-ui&quot;, &quot;Segoe UI&quot;, Roboto, Oxygen-Sans, Ubuntu, Cantarell, &quot;Helvetica Neue&quot;, sans-serif"/>
        <color rgb="FF1155CC"/>
        <u/>
      </rPr>
      <t>https://www.sterlinglawyers.com/illinois/property-division/postnuptial-agreements/</t>
    </r>
  </si>
  <si>
    <r>
      <rPr>
        <rFont val="-apple-system, &quot;system-ui&quot;, &quot;Segoe UI&quot;, Roboto, Oxygen-Sans, Ubuntu, Cantarell, &quot;Helvetica Neue&quot;, sans-serif"/>
        <color rgb="FF1155CC"/>
        <u/>
      </rPr>
      <t>https://www.sterlinglawyers.com/illinois/property-division/non-marital-property/</t>
    </r>
  </si>
  <si>
    <r>
      <rPr>
        <rFont val="-apple-system, &quot;system-ui&quot;, &quot;Segoe UI&quot;, Roboto, Oxygen-Sans, Ubuntu, Cantarell, &quot;Helvetica Neue&quot;, sans-serif"/>
        <color rgb="FF1155CC"/>
        <u/>
      </rPr>
      <t>https://www.sterlinglawyers.com/illinois/property-division/marital-property/</t>
    </r>
  </si>
  <si>
    <r>
      <rPr>
        <rFont val="-apple-system, &quot;system-ui&quot;, &quot;Segoe UI&quot;, Roboto, Oxygen-Sans, Ubuntu, Cantarell, &quot;Helvetica Neue&quot;, sans-serif"/>
        <color rgb="FF1155CC"/>
        <u/>
      </rPr>
      <t>https://www.sterlinglawyers.com/illinois/property-division/inheritance/</t>
    </r>
  </si>
  <si>
    <r>
      <rPr>
        <rFont val="-apple-system, &quot;system-ui&quot;, &quot;Segoe UI&quot;, Roboto, Oxygen-Sans, Ubuntu, Cantarell, &quot;Helvetica Neue&quot;, sans-serif"/>
        <color rgb="FF1155CC"/>
        <u/>
      </rPr>
      <t>https://www.sterlinglawyers.com/illinois/property-division/gets-marital-house-divorce/</t>
    </r>
  </si>
  <si>
    <r>
      <rPr>
        <rFont val="-apple-system, &quot;system-ui&quot;, &quot;Segoe UI&quot;, Roboto, Oxygen-Sans, Ubuntu, Cantarell, &quot;Helvetica Neue&quot;, sans-serif"/>
        <color rgb="FF1155CC"/>
        <u/>
      </rPr>
      <t>https://www.sterlinglawyers.com/illinois/property-division/retirement/</t>
    </r>
  </si>
  <si>
    <r>
      <rPr>
        <rFont val="-apple-system, &quot;system-ui&quot;, &quot;Segoe UI&quot;, Roboto, Oxygen-Sans, Ubuntu, Cantarell, &quot;Helvetica Neue&quot;, sans-serif"/>
        <color rgb="FF1155CC"/>
        <u/>
      </rPr>
      <t>https://www.sterlinglawyers.com/illinois/property-division/hidden-assets/</t>
    </r>
  </si>
  <si>
    <r>
      <rPr>
        <rFont val="-apple-system, &quot;system-ui&quot;, &quot;Segoe UI&quot;, Roboto, Oxygen-Sans, Ubuntu, Cantarell, &quot;Helvetica Neue&quot;, sans-serif"/>
        <color rgb="FF1155CC"/>
        <u/>
      </rPr>
      <t>https://www.sterlinglawyers.com/illinois/property-division/splitting-assets-divorce/</t>
    </r>
  </si>
  <si>
    <r>
      <rPr>
        <rFont val="-apple-system, &quot;system-ui&quot;, &quot;Segoe UI&quot;, Roboto, Oxygen-Sans, Ubuntu, Cantarell, &quot;Helvetica Neue&quot;, sans-serif"/>
        <color rgb="FF1155CC"/>
        <u/>
      </rPr>
      <t>https://www.sterlinglawyers.com/illinois/property-division/survivorship-marital-property/</t>
    </r>
  </si>
  <si>
    <t>Map ID</t>
  </si>
  <si>
    <t>Content Phase</t>
  </si>
  <si>
    <t>Content Category</t>
  </si>
  <si>
    <t>Content Type</t>
  </si>
  <si>
    <t>Content Role</t>
  </si>
  <si>
    <t>Page Title Structure</t>
  </si>
  <si>
    <t>Idealized URL</t>
  </si>
  <si>
    <t>Target Seed Keyword</t>
  </si>
  <si>
    <t>Existing Client URL</t>
  </si>
  <si>
    <t>Gap Status</t>
  </si>
  <si>
    <t>Notes</t>
  </si>
  <si>
    <t>-</t>
  </si>
  <si>
    <t>AH (Attorney Hub)</t>
  </si>
  <si>
    <t>Phase 1</t>
  </si>
  <si>
    <t>Firm Hub</t>
  </si>
  <si>
    <t>Attorney Directory</t>
  </si>
  <si>
    <t>Navigation + Trust</t>
  </si>
  <si>
    <t>Illinois Family Law Attorneys | Sterling Lawyers</t>
  </si>
  <si>
    <t>https://www.sterlinglawyers.com/illinois/attorneys/</t>
  </si>
  <si>
    <t>Illinois family law attorneys</t>
  </si>
  <si>
    <t>MAPPED</t>
  </si>
  <si>
    <t>Attorney directory / hub page. Full match to existing page.</t>
  </si>
  <si>
    <t>LH (Location Hub)</t>
  </si>
  <si>
    <t>Location Directory</t>
  </si>
  <si>
    <t>Illinois Family Law Office Locations | Sterling Lawyers</t>
  </si>
  <si>
    <t>https://www.sterlinglawyers.com/illinois/locations/</t>
  </si>
  <si>
    <t>Illinois family law office locations</t>
  </si>
  <si>
    <t>Location directory / hub page. Full match to existing page.</t>
  </si>
  <si>
    <t>Practice Area</t>
  </si>
  <si>
    <t>Practice Area Hub</t>
  </si>
  <si>
    <t>Pillar Hub</t>
  </si>
  <si>
    <t>Illinois Divorce Lawyer | Sterling Lawyers</t>
  </si>
  <si>
    <t>https://www.sterlinglawyers.com/illinois/divorce/</t>
  </si>
  <si>
    <t>illinois divorce lawyer</t>
  </si>
  <si>
    <t>Full match to existing page.</t>
  </si>
  <si>
    <t>Illinois Child Custody Lawyer | Sterling Lawyers</t>
  </si>
  <si>
    <t>https://www.sterlinglawyers.com/illinois/child-custody/</t>
  </si>
  <si>
    <t>illinois child custody lawyer</t>
  </si>
  <si>
    <t>Illinois Child Support Lawyer | Sterling Lawyers</t>
  </si>
  <si>
    <t>https://www.sterlinglawyers.com/illinois/child-support/</t>
  </si>
  <si>
    <t>illinois child support lawyer</t>
  </si>
  <si>
    <t>Illinois Alimony Lawyer | Sterling Lawyers</t>
  </si>
  <si>
    <t>https://www.sterlinglawyers.com/illinois/spousal-support/</t>
  </si>
  <si>
    <t>illinois alimony lawyer</t>
  </si>
  <si>
    <t>Illinois uses 'spousal support' terminology; treat as alimony equivalent. Full match to existing page.</t>
  </si>
  <si>
    <t>Illinois Property Division Lawyer | Sterling Lawyers</t>
  </si>
  <si>
    <t>https://www.sterlinglawyers.com/illinois/property-division/</t>
  </si>
  <si>
    <t>illinois property division lawyer</t>
  </si>
  <si>
    <t>Illinois Paternity Lawyer | Sterling Lawyers</t>
  </si>
  <si>
    <t>https://www.sterlinglawyers.com/illinois/paternity/</t>
  </si>
  <si>
    <t>illinois paternity lawyer</t>
  </si>
  <si>
    <t>Paternity content also exists under Child Custody section. Full match to existing page.</t>
  </si>
  <si>
    <t>Illinois Guardianship Lawyer | Sterling Lawyers</t>
  </si>
  <si>
    <t>https://www.sterlinglawyers.com/illinois/guardianship/</t>
  </si>
  <si>
    <t>illinois guardianship lawyer</t>
  </si>
  <si>
    <t>Procedural</t>
  </si>
  <si>
    <t>Process Page</t>
  </si>
  <si>
    <t>Cluster Support</t>
  </si>
  <si>
    <t>Contested Divorce in Illinois | Sterling Lawyers</t>
  </si>
  <si>
    <t>https://www.sterlinglawyers.com/illinois/divorce/contested/</t>
  </si>
  <si>
    <t>illinois contested divorce</t>
  </si>
  <si>
    <t>Uncontested Divorce in Illinois | Sterling Lawyers</t>
  </si>
  <si>
    <t>https://www.sterlinglawyers.com/illinois/divorce/uncontested-divorce/</t>
  </si>
  <si>
    <t>illinois uncontested divorce</t>
  </si>
  <si>
    <t>Phase 2</t>
  </si>
  <si>
    <t>Child Custody Modification in Illinois | Sterling Lawyers</t>
  </si>
  <si>
    <t>https://www.sterlinglawyers.com/illinois/child-custody/modify-orders/</t>
  </si>
  <si>
    <t>illinois child custody modification</t>
  </si>
  <si>
    <t>Child Support Modification in Illinois | Sterling Lawyers</t>
  </si>
  <si>
    <t>https://www.sterlinglawyers.com/illinois/child-support/modify-orders/</t>
  </si>
  <si>
    <t>illinois child support modification</t>
  </si>
  <si>
    <t>Child Support Enforcement in Illinois | Sterling Lawyers</t>
  </si>
  <si>
    <t>https://www.sterlinglawyers.com/illinois/child-support/enforce-orders/</t>
  </si>
  <si>
    <t>illinois child support enforcement</t>
  </si>
  <si>
    <t>Parenting Plans in Illinois | Sterling Lawyers</t>
  </si>
  <si>
    <t>https://www.sterlinglawyers.com/illinois/child-custody/parenting-plan/</t>
  </si>
  <si>
    <t>illinois parenting plans</t>
  </si>
  <si>
    <t>Temporary Spousal Support in Illinois | Sterling Lawyers</t>
  </si>
  <si>
    <t>https://www.sterlinglawyers.com/illinois/spousal-support/temporary-support/</t>
  </si>
  <si>
    <t>illinois temporary spousal support</t>
  </si>
  <si>
    <t>https://www.sterlinglawyers.com/illinois/spousal-support/divorce/</t>
  </si>
  <si>
    <t>PARTIAL</t>
  </si>
  <si>
    <t>No dedicated 'temporary spousal support' URL found; closest matches cover support/temporary orders during divorce. Partial coverage via https://www.sterlinglawyers.com/illinois/spousal-support/divorce/ — recommend dedicated page at https://www.sterlinglawyers.com/illinois/spousal-support/temporary-support/.</t>
  </si>
  <si>
    <t>Equitable Distribution in Illinois | Sterling Lawyers</t>
  </si>
  <si>
    <t>https://www.sterlinglawyers.com/illinois/property-division/equitable-distribution/</t>
  </si>
  <si>
    <t>illinois equitable distribution</t>
  </si>
  <si>
    <t>Illinois property division pages cover equitable distribution concepts; no page titled 'equitable distribution'. Partial coverage via https://www.sterlinglawyers.com/illinois/property-division/ — recommend dedicated page at https://www.sterlinglawyers.com/illinois/property-division/equitable-distribution/.</t>
  </si>
  <si>
    <t>Establishing Paternity in Illinois | Sterling Lawyers</t>
  </si>
  <si>
    <t>https://www.sterlinglawyers.com/illinois/paternity/establish-paternity/</t>
  </si>
  <si>
    <t>illinois establishing paternity</t>
  </si>
  <si>
    <t>https://www.sterlinglawyers.com/illinois/child-custody/paternity/</t>
  </si>
  <si>
    <t>Dedicated 'Establishing Paternity' page lives under Child Custody. Full match to existing page.</t>
  </si>
  <si>
    <t>Emergency Custody Orders in Illinois | Sterling Lawyers</t>
  </si>
  <si>
    <t>https://www.sterlinglawyers.com/illinois/child-custody/emergency-custody-order/</t>
  </si>
  <si>
    <t>illinois emergency custody orders</t>
  </si>
  <si>
    <t>https://www.sterlinglawyers.com/illinois/child-custody/temporary-parental-responsibilities/</t>
  </si>
  <si>
    <t>No page explicitly named 'emergency custody orders'; temporary custody/responsibilities is closest. Partial coverage via https://www.sterlinglawyers.com/illinois/child-custody/temporary-parental-responsibilities/ — recommend dedicated page at https://www.sterlinglawyers.com/illinois/child-custody/emergency-custody-order/.</t>
  </si>
  <si>
    <t>Marital vs Separate Property in Illinois | Sterling Lawyers</t>
  </si>
  <si>
    <t>https://www.sterlinglawyers.com/illinois/property-division/marital-vs-non-marital-property/</t>
  </si>
  <si>
    <t>illinois marital vs separate property</t>
  </si>
  <si>
    <t>https://www.sterlinglawyers.com/illinois/property-division/marital-property/</t>
  </si>
  <si>
    <t>Covered via both marital-property and non-marital-property pages. Covered with both marital and non-marital property pages.</t>
  </si>
  <si>
    <t>Long-Term Spousal Support in Illinois | Sterling Lawyers</t>
  </si>
  <si>
    <t>https://www.sterlinglawyers.com/illinois/spousal-support/duration/</t>
  </si>
  <si>
    <t>illinois long-term spousal support</t>
  </si>
  <si>
    <t>Guardianship of a Minor in Illinois | Sterling Lawyers</t>
  </si>
  <si>
    <t>https://www.sterlinglawyers.com/illinois/guardianship/minor/</t>
  </si>
  <si>
    <t>illinois guardianship of a minor</t>
  </si>
  <si>
    <t>Guardianship hub appears to focus on minors; no dedicated minor-only page. Partial coverage via https://www.sterlinglawyers.com/illinois/guardianship/ — recommend dedicated page at https://www.sterlinglawyers.com/illinois/guardianship/minor/.</t>
  </si>
  <si>
    <t>Adult Guardianship in Illinois | Sterling Lawyers</t>
  </si>
  <si>
    <t>https://www.sterlinglawyers.com/illinois/guardianship/adult/</t>
  </si>
  <si>
    <t>illinois adult guardianship</t>
  </si>
  <si>
    <t>GAP - MISSING</t>
  </si>
  <si>
    <t>No adult guardianship content detected; guardianship hub appears focused on minors. No dedicated page found — create at https://www.sterlinglawyers.com/illinois/guardianship/adult/.</t>
  </si>
  <si>
    <t>Challenging Paternity in Illinois | Sterling Lawyers</t>
  </si>
  <si>
    <t>https://www.sterlinglawyers.com/illinois/paternity/challenging-paternity/</t>
  </si>
  <si>
    <t>illinois challenging paternity</t>
  </si>
  <si>
    <t>No paternity challenge/disestablishment page detected. No dedicated page found — create at https://www.sterlinglawyers.com/illinois/paternity/challenging-paternity/.</t>
  </si>
  <si>
    <t>Legal Separation in Illinois | Sterling Lawyers</t>
  </si>
  <si>
    <t>https://www.sterlinglawyers.com/illinois/divorce/separation/</t>
  </si>
  <si>
    <t>illinois legal separation</t>
  </si>
  <si>
    <t>Divorce Mediation in Illinois | Sterling Lawyers</t>
  </si>
  <si>
    <t>https://www.sterlinglawyers.com/illinois/divorce/mediation/</t>
  </si>
  <si>
    <t>illinois divorce mediation</t>
  </si>
  <si>
    <t>Collaborative Divorce in Illinois | Sterling Lawyers</t>
  </si>
  <si>
    <t>https://www.sterlinglawyers.com/illinois/divorce/collaborative/</t>
  </si>
  <si>
    <t>illinois collaborative divorce</t>
  </si>
  <si>
    <t>Temporary Guardianship in Illinois | Sterling Lawyers</t>
  </si>
  <si>
    <t>https://www.sterlinglawyers.com/illinois/guardianship/temporary/</t>
  </si>
  <si>
    <t>illinois temporary guardianship</t>
  </si>
  <si>
    <t>No temporary guardianship page detected. No dedicated page found — create at https://www.sterlinglawyers.com/illinois/guardianship/temporary/.</t>
  </si>
  <si>
    <t>Phase 3</t>
  </si>
  <si>
    <t>Situational</t>
  </si>
  <si>
    <t>Situation Page</t>
  </si>
  <si>
    <t>High-Conflict Divorce in Illinois | Sterling Lawyers</t>
  </si>
  <si>
    <t>https://www.sterlinglawyers.com/illinois/divorce/high-conflict/</t>
  </si>
  <si>
    <t>illinois high-conflict divorce</t>
  </si>
  <si>
    <t>https://www.sterlinglawyers.com/illinois/divorce/litigation/</t>
  </si>
  <si>
    <t>Litigation / protective orders likely capture high-conflict intent. Partial coverage via https://www.sterlinglawyers.com/illinois/divorce/litigation/ — recommend dedicated page at https://www.sterlinglawyers.com/illinois/divorce/high-conflict/.</t>
  </si>
  <si>
    <t>Relocation / Move-Away Custody Disputes in Illinois | Sterling Lawyers</t>
  </si>
  <si>
    <t>https://www.sterlinglawyers.com/illinois/child-custody/relocation/</t>
  </si>
  <si>
    <t>illinois relocation / move-away custody disputes</t>
  </si>
  <si>
    <t>Relocation appears addressed within custody/parenting plan content; no dedicated relocation dispute page. Partial coverage via https://www.sterlinglawyers.com/illinois/child-custody/ — recommend dedicated page at https://www.sterlinglawyers.com/illinois/child-custody/relocation/.</t>
  </si>
  <si>
    <t>Divorce Involving Business Ownership in Illinois | Sterling Lawyers</t>
  </si>
  <si>
    <t>https://www.sterlinglawyers.com/illinois/divorce/business-ownership/</t>
  </si>
  <si>
    <t>illinois divorce involving business ownership</t>
  </si>
  <si>
    <t>No business ownership divorce page detected. No dedicated page found — create at https://www.sterlinglawyers.com/illinois/divorce/business-ownership/.</t>
  </si>
  <si>
    <t>High-Conflict Custody in Illinois | Sterling Lawyers</t>
  </si>
  <si>
    <t>https://www.sterlinglawyers.com/illinois/child-custody/high-conflict/</t>
  </si>
  <si>
    <t>illinois high-conflict custody</t>
  </si>
  <si>
    <t>https://www.sterlinglawyers.com/illinois/child-custody/parental-alienation/</t>
  </si>
  <si>
    <t>Covered partially via alienation/narcissist co-parenting pages. Partial coverage via https://www.sterlinglawyers.com/illinois/child-custody/parental-alienation/ — recommend dedicated page at https://www.sterlinglawyers.com/illinois/child-custody/high-conflict/.</t>
  </si>
  <si>
    <t>Child Support Disputes After Income Changes in Illinois | Sterling Lawyers</t>
  </si>
  <si>
    <t>https://www.sterlinglawyers.com/illinois/child-support/income-change/</t>
  </si>
  <si>
    <t>illinois child support disputes after income changes</t>
  </si>
  <si>
    <t>Modification page covers income change scenarios; no dedicated income-change dispute page. Partial coverage via https://www.sterlinglawyers.com/illinois/child-support/modify-orders/ — recommend dedicated page at https://www.sterlinglawyers.com/illinois/child-support/income-change/.</t>
  </si>
  <si>
    <t>Back Child Support / Arrears in Illinois | Sterling Lawyers</t>
  </si>
  <si>
    <t>https://www.sterlinglawyers.com/illinois/child-support/arrears/</t>
  </si>
  <si>
    <t>illinois back child support / arrears</t>
  </si>
  <si>
    <t>Enforcement page likely touches arrears; no arrears-focused page detected. Partial coverage via https://www.sterlinglawyers.com/illinois/child-support/enforce-orders/ — recommend dedicated page at https://www.sterlinglawyers.com/illinois/child-support/arrears/.</t>
  </si>
  <si>
    <t>Long-Term Marriage Divorce in Illinois | Sterling Lawyers</t>
  </si>
  <si>
    <t>https://www.sterlinglawyers.com/illinois/divorce/long-term-marriage/</t>
  </si>
  <si>
    <t>illinois long-term marriage divorce</t>
  </si>
  <si>
    <t>No long-term marriage divorce page detected. No dedicated page found — create at https://www.sterlinglawyers.com/illinois/divorce/long-term-marriage/.</t>
  </si>
  <si>
    <t>Business Valuation and Division in Illinois | Sterling Lawyers</t>
  </si>
  <si>
    <t>https://www.sterlinglawyers.com/illinois/property-division/business-valuation/</t>
  </si>
  <si>
    <t>illinois business valuation and division</t>
  </si>
  <si>
    <t>No business valuation page detected. No dedicated page found — create at https://www.sterlinglawyers.com/illinois/property-division/business-valuation/.</t>
  </si>
  <si>
    <t>Emergency Guardianship in Illinois | Sterling Lawyers</t>
  </si>
  <si>
    <t>https://www.sterlinglawyers.com/illinois/guardianship/emergency/</t>
  </si>
  <si>
    <t>illinois emergency guardianship</t>
  </si>
  <si>
    <t>No emergency guardianship page detected. No dedicated page found — create at https://www.sterlinglawyers.com/illinois/guardianship/emergency/.</t>
  </si>
  <si>
    <t>Parenting Time Disputes in Illinois | Sterling Lawyers</t>
  </si>
  <si>
    <t>https://www.sterlinglawyers.com/illinois/child-custody/parenting-time-disputes/</t>
  </si>
  <si>
    <t>illinois parenting time disputes</t>
  </si>
  <si>
    <t>https://www.sterlinglawyers.com/illinois/child-custody/split-orders/</t>
  </si>
  <si>
    <t>Split/enforcement pages partially address parenting time disputes. Partial coverage via https://www.sterlinglawyers.com/illinois/child-custody/split-orders/ — recommend dedicated page at https://www.sterlinglawyers.com/illinois/child-custody/parenting-time-disputes/.</t>
  </si>
  <si>
    <t>High-Income Spousal Support Disputes in Illinois | Sterling Lawyers</t>
  </si>
  <si>
    <t>https://www.sterlinglawyers.com/illinois/spousal-support/high-income/</t>
  </si>
  <si>
    <t>illinois high-income spousal support disputes</t>
  </si>
  <si>
    <t>No high-income spousal support dispute content detected. No dedicated page found — create at https://www.sterlinglawyers.com/illinois/spousal-support/high-income/.</t>
  </si>
  <si>
    <t>Self-Employed or Variable Income Support in Illinois | Sterling Lawyers</t>
  </si>
  <si>
    <t>https://www.sterlinglawyers.com/illinois/child-support/self-employed-income/</t>
  </si>
  <si>
    <t>illinois self-employed or variable income support</t>
  </si>
  <si>
    <t>No self-employed/variable income support page detected. No dedicated page found — create at https://www.sterlinglawyers.com/illinois/child-support/self-employed-income/.</t>
  </si>
  <si>
    <t>Supervised Visitation in Illinois | Sterling Lawyers</t>
  </si>
  <si>
    <t>https://www.sterlinglawyers.com/illinois/child-custody/supervised-visitation/</t>
  </si>
  <si>
    <t>illinois supervised visitation</t>
  </si>
  <si>
    <t>No supervised visitation page detected. No dedicated page found — create at https://www.sterlinglawyers.com/illinois/child-custody/supervised-visitation/.</t>
  </si>
  <si>
    <t>Hidden Assets and Financial Misconduct in Illinois | Sterling Lawyers</t>
  </si>
  <si>
    <t>https://www.sterlinglawyers.com/illinois/property-division/hidden-assets/</t>
  </si>
  <si>
    <t>illinois hidden assets and financial misconduct</t>
  </si>
  <si>
    <t>Page Title</t>
  </si>
  <si>
    <t>Target Keyword</t>
  </si>
  <si>
    <t>URL</t>
  </si>
  <si>
    <t>Status Code</t>
  </si>
  <si>
    <t>L3M Clicks</t>
  </si>
  <si>
    <t>Prev 3M Clicks</t>
  </si>
  <si>
    <t>Δ Clicks %</t>
  </si>
  <si>
    <t>L3M Impressions</t>
  </si>
  <si>
    <t>Prev 3M Impressions</t>
  </si>
  <si>
    <t>Δ Impr %</t>
  </si>
  <si>
    <t>L3M New Users</t>
  </si>
  <si>
    <t>Prev 3M New Users</t>
  </si>
  <si>
    <t>Δ Users %</t>
  </si>
  <si>
    <t>L3M Key Events</t>
  </si>
  <si>
    <t>Prev 3M Key Events</t>
  </si>
  <si>
    <t>Δ Conv %</t>
  </si>
  <si>
    <t>Attorney Hub</t>
  </si>
  <si>
    <t>family law attorneys texas</t>
  </si>
  <si>
    <t>https://sbrownlawyer.com/attorneys/</t>
  </si>
  <si>
    <t>/attorneys</t>
  </si>
  <si>
    <t>Location Hub</t>
  </si>
  <si>
    <t>family law office locations texas</t>
  </si>
  <si>
    <t>https://sbrownlawyer.com/texas/locations/</t>
  </si>
  <si>
    <t>/texas/locations</t>
  </si>
  <si>
    <t>Divorce Hub</t>
  </si>
  <si>
    <t>divorce lawyer texas</t>
  </si>
  <si>
    <t>https://sbrownlawyer.com/divorce/</t>
  </si>
  <si>
    <t>/divorce</t>
  </si>
  <si>
    <t>Child Custody Hub</t>
  </si>
  <si>
    <t>child custody lawyer texas</t>
  </si>
  <si>
    <t>https://sbrownlawyer.com/child-custody/</t>
  </si>
  <si>
    <t>/child-custody</t>
  </si>
  <si>
    <t>Child Support Hub</t>
  </si>
  <si>
    <t>child support lawyer texas</t>
  </si>
  <si>
    <t>https://sbrownlawyer.com/child-support/</t>
  </si>
  <si>
    <t>/child-support</t>
  </si>
  <si>
    <t>Spousal Support / Alimony Hub</t>
  </si>
  <si>
    <t>alimony lawyer texas</t>
  </si>
  <si>
    <t>https://sbrownlawyer.com/attorneys-working-to-achieve-your-alimony-goals/</t>
  </si>
  <si>
    <t>/attorneys-working-to-achieve-your-alimony-goals</t>
  </si>
  <si>
    <t>Property Division Hub</t>
  </si>
  <si>
    <t>property division lawyer texas</t>
  </si>
  <si>
    <t>https://sbrownlawyer.com/division-of-property/</t>
  </si>
  <si>
    <t>/division-of-property</t>
  </si>
  <si>
    <t>Paternity Hub</t>
  </si>
  <si>
    <t>paternity lawyer texas</t>
  </si>
  <si>
    <t>https://sbrownlawyer.com/paternity/</t>
  </si>
  <si>
    <t>/paternity</t>
  </si>
  <si>
    <t>Contested Divorce</t>
  </si>
  <si>
    <t>contested divorce texas</t>
  </si>
  <si>
    <t>https://sbrownlawyer.com/complex-and-contested-divorce-attorneys/</t>
  </si>
  <si>
    <t>/complex-and-contested-divorce-attorneys</t>
  </si>
  <si>
    <t>Uncontested Divorce</t>
  </si>
  <si>
    <t>uncontested divorce texas</t>
  </si>
  <si>
    <t>https://sbrownlawyer.com/uncontested-divorce-lawyer-in-pearland/</t>
  </si>
  <si>
    <t>/uncontested-divorce-lawyer-in-pearland</t>
  </si>
  <si>
    <t>Child Custody Modification</t>
  </si>
  <si>
    <t>child custody modification texas</t>
  </si>
  <si>
    <t>https://sbrownlawyer.com/modification-of-custody/</t>
  </si>
  <si>
    <t>/modification-of-custody</t>
  </si>
  <si>
    <t>Child Support Modification</t>
  </si>
  <si>
    <t>child support modification texas</t>
  </si>
  <si>
    <t>https://sbrownlawyer.com/child-support-modifications/</t>
  </si>
  <si>
    <t>/child-support-modifications</t>
  </si>
  <si>
    <t>Child Support Enforcement</t>
  </si>
  <si>
    <t>child support enforcement texas</t>
  </si>
  <si>
    <t>https://sbrownlawyer.com/enforcing-child-support-orders/</t>
  </si>
  <si>
    <t>/enforcing-child-support-orders</t>
  </si>
  <si>
    <t>Parenting Plans</t>
  </si>
  <si>
    <t>parenting plans texas</t>
  </si>
  <si>
    <t>https://sbrownlawyer.com/creative-custody-agreements/</t>
  </si>
  <si>
    <t>/creative-custody-agreements</t>
  </si>
  <si>
    <t>Equitable Distribution</t>
  </si>
  <si>
    <t>how is community property divided texas</t>
  </si>
  <si>
    <t>https://sbrownlawyer.com/how-is-community-property-divided/</t>
  </si>
  <si>
    <t>/how-is-community-property-divided</t>
  </si>
  <si>
    <t>Establishing Paternity</t>
  </si>
  <si>
    <t>establish paternity texas</t>
  </si>
  <si>
    <t>https://sbrownlawyer.com/paternity-attorney/</t>
  </si>
  <si>
    <t>/paternity-attorney</t>
  </si>
  <si>
    <t>Emergency Custody Orders</t>
  </si>
  <si>
    <t>emergency custody texas</t>
  </si>
  <si>
    <t>https://sbrownlawyer.com/child-custody/emergency/</t>
  </si>
  <si>
    <t>/child-custody/emergency</t>
  </si>
  <si>
    <t>Marital vs Separate Property</t>
  </si>
  <si>
    <t>marital vs separate property texas</t>
  </si>
  <si>
    <t>https://sbrownlawyer.com/assets-and-liability/</t>
  </si>
  <si>
    <t>/assets-and-liability</t>
  </si>
  <si>
    <t>Long-Term Spousal Support</t>
  </si>
  <si>
    <t>long term spousal support texas</t>
  </si>
  <si>
    <t>https://sbrownlawyer.com/the-unique-aspects-of-alimony-spousal-maintenance-in-texas/</t>
  </si>
  <si>
    <t>/the-unique-aspects-of-alimony-spousal-maintenance-in-texas</t>
  </si>
  <si>
    <t>Relocation / Move-Away Custody Disputes</t>
  </si>
  <si>
    <t>parental relocation custody texas</t>
  </si>
  <si>
    <t>https://sbrownlawyer.com/parental-relocation/</t>
  </si>
  <si>
    <t>/parental-relocation</t>
  </si>
  <si>
    <t>Divorce Involving Business Ownership</t>
  </si>
  <si>
    <t>business owner divorce texas</t>
  </si>
  <si>
    <t>https://sbrownlawyer.com/business-owner-divorce/</t>
  </si>
  <si>
    <t>/business-owner-divorce</t>
  </si>
  <si>
    <t>High-Conflict Custody</t>
  </si>
  <si>
    <t>contested custody texas</t>
  </si>
  <si>
    <t>https://sbrownlawyer.com/contested-custody/</t>
  </si>
  <si>
    <t>/contested-custody</t>
  </si>
  <si>
    <t>Long-Term Marriage Divorce</t>
  </si>
  <si>
    <t>gray divorce texas</t>
  </si>
  <si>
    <t>https://sbrownlawyer.com/gray-divorce/</t>
  </si>
  <si>
    <t>/gray-divorce</t>
  </si>
  <si>
    <t>Business Valuation and Division</t>
  </si>
  <si>
    <t>business valuation divorce texas</t>
  </si>
  <si>
    <t>https://sbrownlawyer.com/business-and-professional-practices-in-divorce/</t>
  </si>
  <si>
    <t>/business-and-professional-practices-in-divorce</t>
  </si>
  <si>
    <t>Parenting Time Disputes</t>
  </si>
  <si>
    <t>parenting time disputes texas</t>
  </si>
  <si>
    <t>https://sbrownlawyer.com/family-law/visitation/</t>
  </si>
  <si>
    <t>/family-law/visitation</t>
  </si>
  <si>
    <t>High-Income Spousal Support Disputes</t>
  </si>
  <si>
    <t>high income spousal support texas</t>
  </si>
  <si>
    <t>https://sbrownlawyer.com/high-net-worth-divorce/</t>
  </si>
  <si>
    <t>/high-net-worth-divorce</t>
  </si>
  <si>
    <t>Hidden Assets and Financial Misconduct</t>
  </si>
  <si>
    <t>hidden assets divorce texas</t>
  </si>
  <si>
    <t>https://sbrownlawyer.com/hidden-assets/</t>
  </si>
  <si>
    <t>/hidden-assets</t>
  </si>
  <si>
    <t>L3M LY Clicks</t>
  </si>
  <si>
    <t>YoY Δ %</t>
  </si>
  <si>
    <t>L3M LY Impressions</t>
  </si>
  <si>
    <t>Top Keyword 1</t>
  </si>
  <si>
    <t>Position 1</t>
  </si>
  <si>
    <t>Volume 1</t>
  </si>
  <si>
    <t>Top Keyword 2</t>
  </si>
  <si>
    <t>Position 2</t>
  </si>
  <si>
    <t>Volume 2</t>
  </si>
  <si>
    <t>Top Keyword 3</t>
  </si>
  <si>
    <t>Position 3</t>
  </si>
  <si>
    <t>Volume 3</t>
  </si>
  <si>
    <t>Period</t>
  </si>
  <si>
    <t>Start Date</t>
  </si>
  <si>
    <t>End Date</t>
  </si>
  <si>
    <t>Description</t>
  </si>
  <si>
    <t>L3M (Current)</t>
  </si>
  <si>
    <t>Oct 22, 2025</t>
  </si>
  <si>
    <t>Jan 21, 2026</t>
  </si>
  <si>
    <t>Last 3 Months</t>
  </si>
  <si>
    <t>Prev 3M</t>
  </si>
  <si>
    <t>Jul 22, 2025</t>
  </si>
  <si>
    <t>Oct 21, 2025</t>
  </si>
  <si>
    <t>Previous 3 Months</t>
  </si>
  <si>
    <t>L3M LY (YoY)</t>
  </si>
  <si>
    <t>Oct 22, 2024</t>
  </si>
  <si>
    <t>Jan 21, 2025</t>
  </si>
  <si>
    <t>Same period last year</t>
  </si>
  <si>
    <t>Address</t>
  </si>
  <si>
    <t>Title 1</t>
  </si>
  <si>
    <t>Indexability</t>
  </si>
  <si>
    <t>Indexability Status</t>
  </si>
  <si>
    <t>Clicks</t>
  </si>
  <si>
    <t>Impressions</t>
  </si>
  <si>
    <t>CTR</t>
  </si>
  <si>
    <t>Position</t>
  </si>
  <si>
    <t>https://sbrownlawyer.com/</t>
  </si>
  <si>
    <t>Scott M. Brown &amp; Associates | Family, Criminal &amp; Injury Law Firm in Texas</t>
  </si>
  <si>
    <t>Indexable</t>
  </si>
  <si>
    <t>https://sbrownlawyer.com/texas/locations/pearland/</t>
  </si>
  <si>
    <t>Pearland Divorce &amp; Family Lawyers | Scott M. Brown &amp; Associates</t>
  </si>
  <si>
    <t>https://sbrownlawyer.com/modifications/</t>
  </si>
  <si>
    <t>Child Custody Modification in Texas | Scott M. Brown &amp; Associates</t>
  </si>
  <si>
    <t>https://sbrownlawyer.com/areas-we-serve/brazoria-county/</t>
  </si>
  <si>
    <t>Brazoria County Divorce &amp; Family Lawyers | Scott M. Brown &amp; Associates</t>
  </si>
  <si>
    <t>https://sbrownlawyer.com/debt-division/</t>
  </si>
  <si>
    <t>Debt Division Attorney | Angleton, Texas</t>
  </si>
  <si>
    <t>https://sbrownlawyer.com/protective-services/</t>
  </si>
  <si>
    <t>Child Protective Services Lawyers Pearland | CPS Attorneys</t>
  </si>
  <si>
    <t>https://sbrownlawyer.com/texas/locations/angleton/</t>
  </si>
  <si>
    <t>Angleton Divorce &amp; Family Lawyers | Scott M. Brown &amp; Associates</t>
  </si>
  <si>
    <t>https://sbrownlawyer.com/careers/</t>
  </si>
  <si>
    <t>Careers | Scott M. Brown &amp; Associates</t>
  </si>
  <si>
    <t>https://sbrownlawyer.com/areas-we-serve/galveston-county/</t>
  </si>
  <si>
    <t>Galveston County Divorce &amp; Family Lawyers | Scott M. Brown &amp; Associates</t>
  </si>
  <si>
    <t>https://sbrownlawyer.com/adoption/</t>
  </si>
  <si>
    <t>Adoption in Texas | Scott M. Brown &amp; Associates</t>
  </si>
  <si>
    <t>https://sbrownlawyer.com/prenuptial-agreements/</t>
  </si>
  <si>
    <t>Prenuptial &amp; Postnuptial Agreements in Texas | Scott M. Brown &amp; Associates</t>
  </si>
  <si>
    <t>https://sbrownlawyer.com/blog/</t>
  </si>
  <si>
    <t>Family Law Blog | Scott M. Brown &amp; Associates</t>
  </si>
  <si>
    <t>https://sbrownlawyer.com/2024/07/08/open-vs-closed-aoption-angleton-texas/</t>
  </si>
  <si>
    <t>Understanding Open vs. Closed Adoption | Angleton, TX</t>
  </si>
  <si>
    <t>https://sbrownlawyer.com/immigration/</t>
  </si>
  <si>
    <t>Non-Indexable</t>
  </si>
  <si>
    <t>Redirected</t>
  </si>
  <si>
    <t>https://sbrownlawyer.com/privacy-policy</t>
  </si>
  <si>
    <t>Divorce in Texas | Scott M. Brown &amp; Associates</t>
  </si>
  <si>
    <t>Texas Gray Divorce Attorney | Angleton, TX</t>
  </si>
  <si>
    <t>https://sbrownlawyer.com/lgbtq-divorce/</t>
  </si>
  <si>
    <t>LGBTQ Divorce Lawyer | Pearland, Texas</t>
  </si>
  <si>
    <t>Alimony in Texas | Scott M. Brown &amp; Associates</t>
  </si>
  <si>
    <t>https://sbrownlawyer.com/texas/locations/league-city/</t>
  </si>
  <si>
    <t>League City Divorce &amp; Family Lawyers | Scott M. Brown &amp; Associates</t>
  </si>
  <si>
    <t>https://sbrownlawyer.com/criminal-defense-videos/</t>
  </si>
  <si>
    <t>Criminal Defense Videos | Scott M. Brown &amp; Associates</t>
  </si>
  <si>
    <t>https://sbrownlawyer.com/news/</t>
  </si>
  <si>
    <t>In the News | Scott M. Brown &amp; Associates</t>
  </si>
  <si>
    <t>https://sbrownlawyer.com/disclaimer/</t>
  </si>
  <si>
    <t>Disclaimer | Scott M. Brown &amp; Associates</t>
  </si>
  <si>
    <t>Business Owner Property Division in Texas | Scott M. Brown &amp; Associates</t>
  </si>
  <si>
    <t>https://sbrownlawyer.com/areas-we-serve/matagorda-county/</t>
  </si>
  <si>
    <t>Matagorda County Family Law &amp; Divorce Lawyers | Scott M. Brown &amp; Associates</t>
  </si>
  <si>
    <t>Child Custody in Texas | Scott M. Brown &amp; Associates</t>
  </si>
  <si>
    <t>https://sbrownlawyer.com/Scott-M-Brown/</t>
  </si>
  <si>
    <t>Divorce &amp; Family Law Attorney Scott M. Brown | Scott M. Brown &amp; Associates</t>
  </si>
  <si>
    <t>Canonicalised</t>
  </si>
  <si>
    <t>https://sbrownlawyer.com/child-support/child-support-modifications/</t>
  </si>
  <si>
    <t>Child Support Modifications | Angleton Modification Attorney</t>
  </si>
  <si>
    <t>https://sbrownlawyer.com/case-results/</t>
  </si>
  <si>
    <t>Successful Case Results from Houston, Texas</t>
  </si>
  <si>
    <t>https://sbrownlawyer.com/contact/</t>
  </si>
  <si>
    <t>Contact Scott M. Brown | Angleton, Pearland and League City</t>
  </si>
  <si>
    <t>https://sbrownlawyer.com/cohabitation/</t>
  </si>
  <si>
    <t>Cohabitation Agreement Texas | Pearland, TX</t>
  </si>
  <si>
    <t>https://sbrownlawyer.com/areas-we-serve/</t>
  </si>
  <si>
    <t>Texas Family Law Service Areas | Scott M. Brown &amp; Associates</t>
  </si>
  <si>
    <t>https://sbrownlawyer.com/personal-injury/</t>
  </si>
  <si>
    <t>Personal Injury Lawyers Protecting Texans | Scott M. Brown &amp; Associates</t>
  </si>
  <si>
    <t>Pearland Paternity Lawyers | Scott M. Brown &amp; Associates</t>
  </si>
  <si>
    <t>https://sbrownlawyer.com/testimonials/</t>
  </si>
  <si>
    <t>Client Reviews | Scott M. Brown &amp; Associates</t>
  </si>
  <si>
    <t>https://sbrownlawyer.com/criminal-defense-book/</t>
  </si>
  <si>
    <t>Criminal Defense Book | Scott M. Brown &amp; Associates</t>
  </si>
  <si>
    <t>https://sbrownlawyer.com/personal-injury-videos/</t>
  </si>
  <si>
    <t>Personal Injury videos | Scott M. Brown &amp; Associates</t>
  </si>
  <si>
    <t>https://sbrownlawyer.com/enforcement/</t>
  </si>
  <si>
    <t>Child Support Enforcement in Texas | Scott M. Brown &amp; Associates</t>
  </si>
  <si>
    <t>Texas Family Law &amp; Divorce Lawyers | Scott M. Brown &amp; Associates</t>
  </si>
  <si>
    <t>https://sbrownlawyer.com/grandparents-rights/</t>
  </si>
  <si>
    <t>Grandparents' Visitation Rights in Texas | Scott M. Brown &amp; Associates</t>
  </si>
  <si>
    <t>Child Support in Texas | Scott M. Brown &amp; Associates</t>
  </si>
  <si>
    <t>https://sbrownlawyer.com/areas-we-serve/harris-county/</t>
  </si>
  <si>
    <t>Harris County Divorce &amp; Family Lawyers | Scott M. Brown &amp; Associates</t>
  </si>
  <si>
    <t>https://sbrownlawyer.com/criminal-defense/</t>
  </si>
  <si>
    <t>Criminal Defense Lawyers | Angleton, Pearland, League City, Houston | Scott M. Brown &amp; Associates</t>
  </si>
  <si>
    <t>https://sbrownlawyer.com/terms-of-service</t>
  </si>
  <si>
    <t>https://sbrownlawyer.com/criminal-law/</t>
  </si>
  <si>
    <t>Criminal Defense | Criminal Defense Lawyer | Pearland, Texas</t>
  </si>
  <si>
    <t>Canonicalised,noindex</t>
  </si>
  <si>
    <t>https://sbrownlawyer.com/areas-we-serve/fort-bend-county/</t>
  </si>
  <si>
    <t>Fort Bend County Family Law &amp; Divorce Lawyers | Scott M. Brown &amp; Associates</t>
  </si>
  <si>
    <t>https://sbrownlawyer.com/estate-planning-probate/</t>
  </si>
  <si>
    <t>Texas Estate Planning Lawyers | Scott M. Brown &amp; Associates</t>
  </si>
  <si>
    <t>https://sbrownlawyer.com/videos-5/</t>
  </si>
  <si>
    <t>Videos | Scott M. Brown &amp; Associates |</t>
  </si>
  <si>
    <t>https://sbrownlawyer.com/asset-division/</t>
  </si>
  <si>
    <t>Texas Property and Asset Division | Texas</t>
  </si>
  <si>
    <t>https://sbrownlawyer.com/divorce-modification/</t>
  </si>
  <si>
    <t>Modifying a Divorce Decree in Texas | Scott M. Brown &amp; Associates</t>
  </si>
  <si>
    <t>https://sbrownlawyer.com/immigration-videos/</t>
  </si>
  <si>
    <t>https://sbrownlawyer.com/texas/locations/sugar-land/</t>
  </si>
  <si>
    <t>Sugar Land Divorce &amp; Family Lawyers | Scott M. Brown &amp; Associates</t>
  </si>
  <si>
    <t>https://sbrownlawyer.com/privacy-policy/</t>
  </si>
  <si>
    <t>Privacy Policy | Scott M. Brown, P.C. | Pearland, Texas</t>
  </si>
  <si>
    <t>Property Division in Texas | Scott M. Brown &amp; Associates</t>
  </si>
  <si>
    <t>https://sbrownlawyer.com/2024/03/26/grandparent-custody-rights/</t>
  </si>
  <si>
    <t>Grandparents’ Custody Rights in Texas | Houston, TX</t>
  </si>
  <si>
    <t>https://sbrownlawyer.com/client-video-testimonials/</t>
  </si>
  <si>
    <t>Client Video Testimonials | Scott M. Brown &amp; Associates</t>
  </si>
  <si>
    <t>Texas Family Law Office Locations | Scott M. Brown &amp; Associates</t>
  </si>
  <si>
    <t>High-Net-Worth Divorces in Texas | Scott M. Brown &amp; Associates</t>
  </si>
  <si>
    <t>https://sbrownlawyer.com/firm-overview/</t>
  </si>
  <si>
    <t>Our Story | Scott M. Brown &amp; Associates</t>
  </si>
  <si>
    <t>Child Visitation Attorneys | Pearland &amp; Angleton, TX</t>
  </si>
  <si>
    <t>https://sbrownlawyer.com/texas-family-law-attorney/</t>
  </si>
  <si>
    <t>Texas Family Law | Scott M. Brown &amp; Associates</t>
  </si>
  <si>
    <t>https://sbrownlawyer.com/doctor-divorce-videos/</t>
  </si>
  <si>
    <t>Doctor Divorce Videos | Scott M. Brown &amp; Associates</t>
  </si>
  <si>
    <t>https://sbrownlawyer.com/2024/04/24/texas-alimony-am-i-entitled/</t>
  </si>
  <si>
    <t>Am I Entitled to Spousal Support? | Pearland, TX</t>
  </si>
  <si>
    <t>https://sbrownlawyer.com/postnuptial-agreements/</t>
  </si>
  <si>
    <t>Postnuptial Agreement Attorney | Pearland, TX</t>
  </si>
  <si>
    <t>https://sbrownlawyer.com/head-injury/</t>
  </si>
  <si>
    <t>Head Injury in Texas | Head Injury Attorney | Houston, Texas</t>
  </si>
  <si>
    <t>https://sbrownlawyer.com/traumatic-brain-injury/</t>
  </si>
  <si>
    <t>Traumatic Brain Injury Lawyer in Pearland | TBI Attorney</t>
  </si>
  <si>
    <t>https://sbrownlawyer.com/divorce-book/</t>
  </si>
  <si>
    <t>The Divorce Book in Angleton, TX | Step By Step Guide</t>
  </si>
  <si>
    <t>https://sbrownlawyer.com/personal-injury-in-texas/boat-accidents/</t>
  </si>
  <si>
    <t>Boat Accidents Attorney | Angleton, TX</t>
  </si>
  <si>
    <t>https://sbrownlawyer.com/personal-injury-2/nonvehicle-liability-insurance/</t>
  </si>
  <si>
    <t>Non-Vehicle Liability Insurance Attorneys | Pearland, TX</t>
  </si>
  <si>
    <t>https://sbrownlawyer.com/truck-accident/</t>
  </si>
  <si>
    <t>Truck Accidents | Truck Accident Attorneys | Pearland, Texas</t>
  </si>
  <si>
    <t>https://sbrownlawyer.com/rape-sexual-assault/</t>
  </si>
  <si>
    <t>Sexual Assault Lawyers Pearland Tx | Rape &amp; Sexual Assault</t>
  </si>
  <si>
    <t>https://sbrownlawyer.com/uber-lyft-accidents/</t>
  </si>
  <si>
    <t>Angleton Uber Accident Lawyer | Angleton, TX</t>
  </si>
  <si>
    <t>https://sbrownlawyer.com/criminal-law/indecent-exposure/</t>
  </si>
  <si>
    <t>Indecent Exposure | Indecent Exposure Attorney | Houston, TX</t>
  </si>
  <si>
    <t>https://sbrownlawyer.com/premises-liability/</t>
  </si>
  <si>
    <t>Houston Premises Liability Attorney | Premises Liability</t>
  </si>
  <si>
    <t>https://sbrownlawyer.com/aggravated-sexual-assault/</t>
  </si>
  <si>
    <t>Houston Aggravated Sexual Assault Attorney | Houston, Texas</t>
  </si>
  <si>
    <t>https://sbrownlawyer.com/assault/</t>
  </si>
  <si>
    <t>Assault | Assault Attorney | Houston, Texas</t>
  </si>
  <si>
    <t>https://sbrownlawyer.com/motorcycle-accident/</t>
  </si>
  <si>
    <t>Motorcycle Accidents | Texas Motorcycle Accident Lawyer</t>
  </si>
  <si>
    <t>https://sbrownlawyer.com/grand-theft/</t>
  </si>
  <si>
    <t>Grand Theft | Grand Theft Attorney | Houston, TX</t>
  </si>
  <si>
    <t>https://sbrownlawyer.com/drug-crimes/</t>
  </si>
  <si>
    <t>Drug Crimes | Drug Crimes Attorney | Houston, Texas</t>
  </si>
  <si>
    <t>https://sbrownlawyer.com/product-liability/</t>
  </si>
  <si>
    <t>Product Liability Attorneys | Pearland, Texas</t>
  </si>
  <si>
    <t>https://sbrownlawyer.com/face-injury/</t>
  </si>
  <si>
    <t>Face Injury | Face Injury Attorney | Pearland, TX</t>
  </si>
  <si>
    <t>https://sbrownlawyer.com/vehicular-accidents/</t>
  </si>
  <si>
    <t>Houston TX Vehicular Accidents Attorney |Houston, TX</t>
  </si>
  <si>
    <t>https://sbrownlawyer.com/consular-processing-pearland-lawyer/</t>
  </si>
  <si>
    <t>Trusted Visa Approval Help | Pearland Consular Processing</t>
  </si>
  <si>
    <t>https://sbrownlawyer.com/foot-injury/</t>
  </si>
  <si>
    <t>Foot Injury Lawyer | Angleton, Texas</t>
  </si>
  <si>
    <t>https://sbrownlawyer.com/hiring-sexual-assault-defense-lawyer/</t>
  </si>
  <si>
    <t>Hiring A Sexual Assault Defense Lawyer | Pearland, TX</t>
  </si>
  <si>
    <t>https://sbrownlawyer.com/steps-in-settling-your-claim-in-texas/</t>
  </si>
  <si>
    <t>Steps in Settling Your Claim in Texas | Houston, Texas</t>
  </si>
  <si>
    <t>https://sbrownlawyer.com/date-rape/</t>
  </si>
  <si>
    <t>Webster Date Rape Lawyer | Date Rape Attorney | Webster, TX</t>
  </si>
  <si>
    <t>https://sbrownlawyer.com/child-sex-offenses/</t>
  </si>
  <si>
    <t>Child Sex Offense Attorney Angleton, TX | Angleton, Texas</t>
  </si>
  <si>
    <t>https://sbrownlawyer.com/sex-crimes/sex-offender-registration/</t>
  </si>
  <si>
    <t>Sex Offender Registration Lawyer | Pearland, Texas</t>
  </si>
  <si>
    <t>https://sbrownlawyer.com/title-ix-defense-campus-sexual-assault/</t>
  </si>
  <si>
    <t>Houston Campus Sexual Assault Attorney | Sexual Assault Lawyer</t>
  </si>
  <si>
    <t>https://sbrownlawyer.com/child-pornography/</t>
  </si>
  <si>
    <t>Child Pornography | Child Pornography Attorney | Houston, TX</t>
  </si>
  <si>
    <t>https://sbrownlawyer.com/health-coverage-accident-claims/</t>
  </si>
  <si>
    <t>Health Coverage and Accident Claims | Scott M. Brown &amp; Associates</t>
  </si>
  <si>
    <t>https://sbrownlawyer.com/slip-and-fall-accidents/</t>
  </si>
  <si>
    <t>Slip and Fall Accidents in Texas | Houston, Texas</t>
  </si>
  <si>
    <t>https://sbrownlawyer.com/what-is-dwi/</t>
  </si>
  <si>
    <t>DWI | dwi attorney | Houston, Texas</t>
  </si>
  <si>
    <t>https://sbrownlawyer.com/paralysis/</t>
  </si>
  <si>
    <t>Texas Paralysis Attorney | Scott M. Brown &amp; Associates</t>
  </si>
  <si>
    <t>https://sbrownlawyer.com/back-injury/</t>
  </si>
  <si>
    <t>Back Injury in Texas | Back Injury Attorneys | Houston,TX</t>
  </si>
  <si>
    <t>https://sbrownlawyer.com/domestic-violence-attorney/</t>
  </si>
  <si>
    <t>Domestic Violence &amp; Protection Orders in Texas | Scott M. Brown &amp; Associates</t>
  </si>
  <si>
    <t>https://sbrownlawyer.com/dog-bite-injuries/</t>
  </si>
  <si>
    <t>Dog Bite Attorney Angleton TX | Pearland &amp; League City TX</t>
  </si>
  <si>
    <t>https://sbrownlawyer.com/internet-sex-crimes/</t>
  </si>
  <si>
    <t>What To Know About Internet Sex Crimes in Texas | Angleton</t>
  </si>
  <si>
    <t>https://sbrownlawyer.com/public-indecency/</t>
  </si>
  <si>
    <t>Public Indecency Attorney Angleton Texas | Free consultation</t>
  </si>
  <si>
    <t>https://sbrownlawyer.com/obscenity/</t>
  </si>
  <si>
    <t>Obscenity in Criminal Defense | Houston, TX</t>
  </si>
  <si>
    <t>https://sbrownlawyer.com/personal-injury-2/burn-injury/</t>
  </si>
  <si>
    <t>Burn Injury | Burn Injury Attorneys | Pearland, TX</t>
  </si>
  <si>
    <t>https://sbrownlawyer.com/misdemeanor/</t>
  </si>
  <si>
    <t>Misdemeanor Attorney in Pearland, TX | Pearland, TX</t>
  </si>
  <si>
    <t>https://sbrownlawyer.com/sex-crimes/</t>
  </si>
  <si>
    <t>Sex Crimes | sex crimes attorney | Houston, Texas</t>
  </si>
  <si>
    <t>https://sbrownlawyer.com/brain-injury/</t>
  </si>
  <si>
    <t>Brain Injury Attorney in Texas | Houston, Texas</t>
  </si>
  <si>
    <t>https://sbrownlawyer.com/expungement/</t>
  </si>
  <si>
    <t>Expungement Lawyer | Pearland, TX</t>
  </si>
  <si>
    <t>https://sbrownlawyer.com/hit-and-run/</t>
  </si>
  <si>
    <t>League City Hit and Run Defense Lawyer | League City, TX</t>
  </si>
  <si>
    <t>https://sbrownlawyer.com/sex-crimes/overview-of-sex-crime-defense/</t>
  </si>
  <si>
    <t>Defenses to Sex Crime Charges in Texas | Pearland, TX</t>
  </si>
  <si>
    <t>https://sbrownlawyer.com/pedestrian-accidents/</t>
  </si>
  <si>
    <t>Pedestrian Accidents in Texas | Houston, Texas</t>
  </si>
  <si>
    <t>https://sbrownlawyer.com/road-hazard/</t>
  </si>
  <si>
    <t>Road Hazard Attorney Pearland TX | Scott M. Brown &amp; Associates</t>
  </si>
  <si>
    <t>https://sbrownlawyer.com/neck-injury/</t>
  </si>
  <si>
    <t>Texas Neck Injury Lawyer | Scott M. Brown &amp; Associates</t>
  </si>
  <si>
    <t>https://sbrownlawyer.com/spinal-cord-injury/</t>
  </si>
  <si>
    <t>Spinal Cord Injury in Texas | Houston, Texas</t>
  </si>
  <si>
    <t>https://sbrownlawyer.com/team-member-testimonials/</t>
  </si>
  <si>
    <t>Team Member Testimonials | Scott M. Brown &amp; Associates</t>
  </si>
  <si>
    <t>https://sbrownlawyer.com/rape/</t>
  </si>
  <si>
    <t>Pearland TX Rape Defense Attorney | Pearland, TX</t>
  </si>
  <si>
    <t>https://sbrownlawyer.com/sex-crimes/texas-sex-crime-law/</t>
  </si>
  <si>
    <t>Texas Sex Crime Law | Sex Crimes Law Texas | Pearland, TX</t>
  </si>
  <si>
    <t>https://sbrownlawyer.com/sexual-abuse/</t>
  </si>
  <si>
    <t>Sexual Abuse | Sexual Abuse Defense Lawyer | Pearland, Texas</t>
  </si>
  <si>
    <t>https://sbrownlawyer.com/Contact/</t>
  </si>
  <si>
    <t>https://sbrownlawyer.com/Attorneys</t>
  </si>
  <si>
    <t>https://sbrownlawyer.com/pearland-probation-violations-lawyer/</t>
  </si>
  <si>
    <t>Probation Violation Defense | Angleton, TX</t>
  </si>
  <si>
    <t>https://sbrownlawyer.com/areas-we-serve/brazoria-county/clute/</t>
  </si>
  <si>
    <t>Family Lawyer in Clute | Scott M. Brown &amp; Associates</t>
  </si>
  <si>
    <t>https://sbrownlawyer.com/t-bone-accident/</t>
  </si>
  <si>
    <t>Pearland, TX T-Bone Accident Attorney | Pearland, TX</t>
  </si>
  <si>
    <t>https://sbrownlawyer.com/areas-we-serve/brazoria-county/lake-jackson/</t>
  </si>
  <si>
    <t>Family Lawyer in Lake Jackson | Scott M. Brown &amp; Associates</t>
  </si>
  <si>
    <t>https://sbrownlawyer.com/family-law</t>
  </si>
  <si>
    <t>https://sbrownlawyer.com/Firm-Overview</t>
  </si>
  <si>
    <t>https://sbrownlawyer.com/areas-we-serve/brazoria-county/freeport/</t>
  </si>
  <si>
    <t>Family Lawyer in Freeport | Scott M. Brown &amp; Associates</t>
  </si>
  <si>
    <t>https://sbrownlawyer.com/areas-we-serve/brazoria-county/alvin/</t>
  </si>
  <si>
    <t>Family Lawyer in Alvin | Scott M. Brown &amp; Associates</t>
  </si>
  <si>
    <t>https://sbrownlawyer.com/2022/08/12/job-opportunity-were-looking-for-an-associate-attorney/</t>
  </si>
  <si>
    <t>JOB OPPORTUNITY: We're Looking for an Associate Attorney! | Scott M. Brown &amp; Associates</t>
  </si>
  <si>
    <t>https://sbrownlawyer.com/areas-we-serve/galveston-county/galveston/</t>
  </si>
  <si>
    <t>Family Lawyer in Galveston | Scott M. Brown &amp; Associates</t>
  </si>
  <si>
    <t>https://sbrownlawyer.com/areas-we-serve/galveston-county/texas-city/</t>
  </si>
  <si>
    <t>Family Lawyer in Texas City | Scott M. Brown &amp; Associates</t>
  </si>
  <si>
    <t>https://sbrownlawyer.com/stepparent-rights/</t>
  </si>
  <si>
    <t>Step Parents Lawyer | For Divorce &amp; Adoption - Angleton, Pearland &amp; League City, TX | Scott M. Brown &amp; Associates</t>
  </si>
  <si>
    <t>https://sbrownlawyer.com/2023/01/06/job-opportunity-senior-attorney/</t>
  </si>
  <si>
    <t>JOB OPPORTUNITY: We're Looking for a Senior Family Law Attorney! | Brazoria County, TX</t>
  </si>
  <si>
    <t>https://sbrownlawyer.com/areas-we-serve/galveston-county/friendswood/</t>
  </si>
  <si>
    <t>Family Lawyer in Friendswood | Scott M. Brown &amp; Associates</t>
  </si>
  <si>
    <t>https://sbrownlawyer.com/Contact</t>
  </si>
  <si>
    <t>https://sbrownlawyer.com/areas-we-serve/galveston-county/dickinson/</t>
  </si>
  <si>
    <t>Family Lawyer in Dickinson | Scott M. Brown &amp; Associates</t>
  </si>
  <si>
    <t>https://sbrownlawyer.com/2024/09/23/is-leaving-the-scene-of-an-accident-a-felony-in-angleton/</t>
  </si>
  <si>
    <t>Hit-and-Run Accidents | Truck Accident Attorney Angleton</t>
  </si>
  <si>
    <t>https://sbrownlawyer.com/2024/08/01/felony-misdemeanor-difference-league-city/</t>
  </si>
  <si>
    <t>Felony vs Misdemeanor League City | Scott M. Brown</t>
  </si>
  <si>
    <t>https://sbrownlawyer.com/2024/08/30/car-accidents/</t>
  </si>
  <si>
    <t>Car Accident Injury Attorneys | Pearland, TX</t>
  </si>
  <si>
    <t>https://sbrownlawyer.com/2024/07/04/expungement-vs-sealing-what-is-the-best-option/</t>
  </si>
  <si>
    <t>Expungement vs. Sealing: What is the Best? | Angleton, TX</t>
  </si>
  <si>
    <t>https://sbrownlawyer.com/2024/08/20/no-fault-divorce-vs-fault-divorce-angleton-texas/</t>
  </si>
  <si>
    <t>No-Fault Divorce vs Fault Divorce | Divorce Lawyer Angleton</t>
  </si>
  <si>
    <t>https://sbrownlawyer.com/2024/12/23/compensation-for-paralysis-injuries-your-guide-to-texas-law/</t>
  </si>
  <si>
    <t>Compensation for Paralysis Injuries | Angleton, TX</t>
  </si>
  <si>
    <t>https://sbrownlawyer.com/blog/page/2/?et_blog</t>
  </si>
  <si>
    <t>Scott M. Brown &amp; Associates | Angleton, League City, Pearland</t>
  </si>
  <si>
    <t>https://sbrownlawyer.com/How-is-property-divided-in-a-Texas-divorce</t>
  </si>
  <si>
    <t>https://sbrownlawyer.com/2024/10/09/legal-rights-for-pedestrian-injury-victims-in-texas/</t>
  </si>
  <si>
    <t>Legal Rights for Pedestrian Injury Victims in Texas: What You Need to Know | Texas</t>
  </si>
  <si>
    <t>https://sbrownlawyer.com/2024/10/08/car-accident-in-houston-understanding-your-rights-and-responsibilities/</t>
  </si>
  <si>
    <t>Car Accident in Houston: Know Your Rights &amp; Responsibilities</t>
  </si>
  <si>
    <t>https://sbrownlawyer.com/protecting-your-assets/</t>
  </si>
  <si>
    <t>Protecting Your Assets in Divorce | Brazoria County Law Firm - Scott M. Brown &amp; Associates</t>
  </si>
  <si>
    <t>https://sbrownlawyer.com/pearland-family-law-office/</t>
  </si>
  <si>
    <t>Pearland Family Law Office | Scott M. Brown &amp; Associates | Pearland, Texas</t>
  </si>
  <si>
    <t>https://sbrownlawyer.com/2024/10/18/over-55-divorce/</t>
  </si>
  <si>
    <t>Over 55 Divorce in Texas | Pearland, Texas</t>
  </si>
  <si>
    <t>https://sbrownlawyer.com/league-city-divorce-lawyer/</t>
  </si>
  <si>
    <t>https://sbrownlawyer.com/articles/What-happens-to-pets-in-a-Texas-divorce</t>
  </si>
  <si>
    <t>https://sbrownlawyer.com/Don-t-let-family-violence-allegations-affect-your-open-carry-rights</t>
  </si>
  <si>
    <t>https://sbrownlawyer.com/rule-1-file-first/</t>
  </si>
  <si>
    <t>Rule 1: File for Divorce First | Attorney Scott M. Brown</t>
  </si>
  <si>
    <t>https://sbrownlawyer.com/Financial-Steps-To-Take-Before-Filing-For-Divorce</t>
  </si>
  <si>
    <t>Pearland Uncontested Divorce Lawyers | Scott M. Brown &amp; Associates</t>
  </si>
  <si>
    <t>https://sbrownlawyer.com/When-alcohol-becomes-a-factor-in-divorce-proceedings</t>
  </si>
  <si>
    <t>https://sbrownlawyer.com/How-Divorce-Can-Actually-Benefit-Children</t>
  </si>
  <si>
    <t>https://sbrownlawyer.com/retirement-accounts/</t>
  </si>
  <si>
    <t>Retirement Account Division Lawyers | Pearland, Angleton</t>
  </si>
  <si>
    <t>https://sbrownlawyer.com/The-unique-aspects-of-alimony-spousal-maintenance-in-Texas</t>
  </si>
  <si>
    <t>Contested Divorce in Texas | Scott M. Brown &amp; Associates</t>
  </si>
  <si>
    <t>https://sbrownlawyer.com/Detailing-some-of-Texas-s-important-child-custody-laws</t>
  </si>
  <si>
    <t>https://sbrownlawyer.com/High-Net-Worth-Divorce/</t>
  </si>
  <si>
    <t>Uncovering Hidden Assets in Texas Divorce | Scott M. Brown &amp; Associates</t>
  </si>
  <si>
    <t>https://sbrownlawyer.com/Hidden-assets-Some-marital-property-may-not-be-obvious</t>
  </si>
  <si>
    <t>https://sbrownlawyer.com/Obtaining-a-protection-order-is-one-step-in-leaving-domestic-violence</t>
  </si>
  <si>
    <t>https://sbrownlawyer.com/angleton/</t>
  </si>
  <si>
    <t>https://sbrownlawyer.com/league-city-tx-divorce/</t>
  </si>
  <si>
    <t>League City Texas Divorce Attorneys | Family Law</t>
  </si>
  <si>
    <t>https://sbrownlawyer.com/investment-properties/</t>
  </si>
  <si>
    <t>Investment Property Division Lawyer | Angleton, Pearland &amp; League City, TX</t>
  </si>
  <si>
    <t>https://sbrownlawyer.com/When-parents-divorce-New-study-analyzes-impact-of-divorce-on-kids</t>
  </si>
  <si>
    <t>https://sbrownlawyer.com/the-divorce-process/</t>
  </si>
  <si>
    <t>The Divorce Process | Scott M. Brown &amp; Associates</t>
  </si>
  <si>
    <t>https://sbrownlawyer.com/How-to-know-if-your-spouse-is-hiding-marital-property-and-assets</t>
  </si>
  <si>
    <t>https://sbrownlawyer.com/Divorce-in-Texas-and-the-possibility-of-spousal-support-payments</t>
  </si>
  <si>
    <t>https://sbrownlawyer.com/The-basics-of-Texas-child-support-requests-factors-and-guidelines</t>
  </si>
  <si>
    <t>Dividing Business &amp; Practices in Divorce | Lawyer Scott M. Brown in Brazoria County TX - Offices in Angleton, Pearland &amp; League City TX</t>
  </si>
  <si>
    <t>https://sbrownlawyer.com/homes-and-real-estate/</t>
  </si>
  <si>
    <t>Homes and Real Estate Property Division Lawyers | Pearland, Angleton &amp; League City Texas</t>
  </si>
  <si>
    <t>https://sbrownlawyer.com/League%20City-high-net-worth-divorce-lawyer/</t>
  </si>
  <si>
    <t>League City TX High Net Worth Divorce Lawyer</t>
  </si>
  <si>
    <t>https://sbrownlawyer.com/the-importance-of-hiring-a-board-certified-family-law-attorney/</t>
  </si>
  <si>
    <t>The Importance of Hiring a Board-Certified Family Law Attorney | Scott M. Brown &amp; Associates</t>
  </si>
  <si>
    <t>https://sbrownlawyer.com/Property-division-during-divorce-does-not-have-to-destroy-a-business</t>
  </si>
  <si>
    <t>https://sbrownlawyer.com/physician-practices/</t>
  </si>
  <si>
    <t>Physician Practice Division Lawyer | Scott M. Brown &amp; Associates</t>
  </si>
  <si>
    <t>https://sbrownlawyer.com/planning-for-divorce/</t>
  </si>
  <si>
    <t>Planning For Divorce Lawyer | Scott M. Brown and Associates</t>
  </si>
  <si>
    <t>https://sbrownlawyer.com/fathers-rights/</t>
  </si>
  <si>
    <t>Fathers Rights in Texas | Scott M. Brown &amp; Associates</t>
  </si>
  <si>
    <t>https://sbrownlawyer.com/League%20City/</t>
  </si>
  <si>
    <t>Client Error</t>
  </si>
  <si>
    <t>https://sbrownlawyer.com/Modifications/</t>
  </si>
  <si>
    <t>https://sbrownlawyer.com/domestic-abuse-and-protective-orders/</t>
  </si>
  <si>
    <t>Angleton TX Protective Orders Attorneys | Domestic Violence Lawyers Pearland Texas</t>
  </si>
  <si>
    <t>https://sbrownlawyer.com/Attorneys/</t>
  </si>
  <si>
    <t>https://sbrownlawyer.com/divorce-in-texas-and-the-possibility-of-spousal-support-payments/</t>
  </si>
  <si>
    <t>Divorce in Texas and the possibility of spousal support payments</t>
  </si>
  <si>
    <t>https://sbrownlawyer.com/inheritances/</t>
  </si>
  <si>
    <t>Brazoria County Inheritance Lawyer | Scott M. Brown &amp; Associates (in Pearland, League City &amp; Angleton,TX</t>
  </si>
  <si>
    <t>https://sbrownlawyer.com/2022/02/18/can-i-file-legal-separation-on-texas/</t>
  </si>
  <si>
    <t>Legal Separation in Texas | Scott M. Brown &amp; Associates</t>
  </si>
  <si>
    <t>https://sbrownlawyer.com/divorce-lawyer-in-galveston-county/</t>
  </si>
  <si>
    <t>Galveston County TX Divorce Lawyer</t>
  </si>
  <si>
    <t>Assets &amp; Liabilities Attorney | Scott M. Brown &amp; Associates in Pearland, Angleton &amp; League City TX</t>
  </si>
  <si>
    <t>https://sbrownlawyer.com/League%20City-complex-and-contested-divorce/</t>
  </si>
  <si>
    <t>League City Contested Divorce Lawyers | Scott M. Brown &amp; Associates</t>
  </si>
  <si>
    <t>https://sbrownlawyer.com/why-do-you-need-a-divorce-lawyer/</t>
  </si>
  <si>
    <t>Do You Really Need a Divorce Lawyer? Be Sure First | Offices in Pearland, Angleton &amp; League City, TX</t>
  </si>
  <si>
    <t>Contested Child Custody Lawyer | League City Angleton &amp; Pearland, Texas | Scott M. Brown &amp; Associates</t>
  </si>
  <si>
    <t>https://sbrownlawyer.com/oil-and-mineral-rights/</t>
  </si>
  <si>
    <t>Pearland Oil &amp; Mineral Rights Lawyer | Angleton TX Gas Royalties Attorney | Texas</t>
  </si>
  <si>
    <t>https://sbrownlawyer.com/Financial-Steps-Individuals-Should-Take-To-Prepare-For-Divorce</t>
  </si>
  <si>
    <t>https://sbrownlawyer.com/pearland/</t>
  </si>
  <si>
    <t>https://sbrownlawyer.com/family-owned-business-protection/</t>
  </si>
  <si>
    <t>Family Business Asset Division Lawyer | Scott M. Brown &amp; Associates</t>
  </si>
  <si>
    <t>https://sbrownlawyer.com/personal-injury-in-texas/</t>
  </si>
  <si>
    <t>https://sbrownlawyer.com/criminal-defense-attorney-in-texas/</t>
  </si>
  <si>
    <t>Criminal Defense Attorney in Texas | Scott M. Brown &amp; Associates</t>
  </si>
  <si>
    <t>noindex</t>
  </si>
  <si>
    <t>https://sbrownlawyer.com/news/announcement-divorce-custody-representation-league-city/</t>
  </si>
  <si>
    <t>Firm Strengthens League City Divorce &amp; Custody Support | Scott M. Brown &amp; Associates</t>
  </si>
  <si>
    <t>https://sbrownlawyer.com/news/angleton-school-custody-schedules/</t>
  </si>
  <si>
    <t>Angleton Back-to-School Custody Guidance | Scott M. Brown &amp; Associates</t>
  </si>
  <si>
    <t>https://sbrownlawyer.com/family-law/</t>
  </si>
  <si>
    <t>https://sbrownlawyer.com/2021/06/26/what-are-your-rights-regarding-texas-child-custody-law/</t>
  </si>
  <si>
    <t>What Are Your Rights Regarding Texas Child Custody Law? | Scott M. Brown &amp; Associates</t>
  </si>
  <si>
    <t>https://sbrownlawyer.com/2014/01/31/will-texas-lawmakers-consider-a-shared-custody-law/</t>
  </si>
  <si>
    <t>Will Texas lawmakers consider a shared custody law? | Scott M. Brown &amp; Associates | Scott M. Brown &amp; Associates</t>
  </si>
  <si>
    <t>https://sbrownlawyer.com/2013/08/29/texas-dad-granted-custody-awaits-return-of-daughter-from-overseas/</t>
  </si>
  <si>
    <t>Texas dad granted custody awaits return of daughter from overseas | Scott M. Brown &amp; Associates | Scott M. Brown &amp; Associates</t>
  </si>
  <si>
    <t>https://sbrownlawyer.com/2012/09/05/texas-divorce-parent-fights-for-daughters-overseas-return/</t>
  </si>
  <si>
    <t>Texas divorce: Parent fights for daughter's overseas return | Scott M. Brown &amp; Associates | Scott M. Brown &amp; Associates</t>
  </si>
  <si>
    <t>https://sbrownlawyer.com/2013/11/06/north-texas-man-involved-in-international-custody-dispute/</t>
  </si>
  <si>
    <t>North Texas man involved in international custody dispute | Scott M. Brown &amp; Associates | Scott M. Brown &amp; Associates</t>
  </si>
  <si>
    <t>https://sbrownlawyer.com/2015/09/18/domestic-violence-and-child-protective-services/</t>
  </si>
  <si>
    <t>Domestic violence and Child Protective Services | Scott M. Brown &amp; Associates | Scott M. Brown &amp; Associates</t>
  </si>
  <si>
    <t>https://sbrownlawyer.com/2021/03/30/what-can-be-done-when-the-other-parent-consistently-violates-the-child-custody-agreement/</t>
  </si>
  <si>
    <t>What Can Be Done When the Other Parent Consistently Violates the Child | Scott M. Brown &amp; Associates</t>
  </si>
  <si>
    <t>https://sbrownlawyer.com/the-basics-of-texas-child-support-requests-factors-and-guidelines/</t>
  </si>
  <si>
    <t>https://sbrownlawyer.com/2015/11/20/new-legislation-may-affect-parents-receiving-child-support/</t>
  </si>
  <si>
    <t>New legislation may affect parents receiving child support | Scott M. Brown &amp; Associates | Scott M. Brown &amp; Associates</t>
  </si>
  <si>
    <t>https://sbrownlawyer.com/contact</t>
  </si>
  <si>
    <t>https://sbrownlawyer.com/2021/05/31/your-parenting-plan-how-to-reach-a-child-custody-agreement-without-court-involvement/</t>
  </si>
  <si>
    <t>Your Parenting Plan: How to Reach a Child Custody Agreement Without | Scott M. Brown &amp; Associates</t>
  </si>
  <si>
    <t>https://sbrownlawyer.com/2014/12/26/considerations-for-parenting-time-and-visitation-for-infants/</t>
  </si>
  <si>
    <t>Considerations for Parenting Time and Visitation for Infants</t>
  </si>
  <si>
    <t>https://sbrownlawyer.com/2013/03/07/texas-child-custody-courts-are-sometimes-the-best-option/</t>
  </si>
  <si>
    <t>Texas child custody: Courts are sometimes the best option | Scott M. Brown &amp; Associates | Scott M. Brown &amp; Associates</t>
  </si>
  <si>
    <t>https://sbrownlawyer.com/am-i-entitled-to-modify-my-last-custody-order/</t>
  </si>
  <si>
    <t>Am I entitled to modify my last custody order? | Scott M. Brown &amp; Associates |</t>
  </si>
  <si>
    <t>https://sbrownlawyer.com/2014/01/02/organizing-child-support-may-become-easier-with-new-software/</t>
  </si>
  <si>
    <t>Organizing child support may become easier with new software | Scott M. Brown &amp; Associates | Scott M. Brown &amp; Associates</t>
  </si>
  <si>
    <t>https://sbrownlawyer.com/Child-Custody</t>
  </si>
  <si>
    <t>Emergency Child Custody | Texas Lawyer</t>
  </si>
  <si>
    <t>https://sbrownlawyer.com/custody-schedules-for-infants/</t>
  </si>
  <si>
    <t>Infant Custody Lawyer | Scott M. Brown - Offices in Angleton, League City &amp; Pearland, Texas</t>
  </si>
  <si>
    <t>https://sbrownlawyer.com/detailing-some-of-texas-s-important-child-custody-laws/</t>
  </si>
  <si>
    <t>https://sbrownlawyer.com/2015/03/13/tips-for-texas-child-custody-cases/</t>
  </si>
  <si>
    <t>Tips for Texas child custody cases | Scott M. Brown &amp; Associates | Scott M. Brown &amp; Associates</t>
  </si>
  <si>
    <t>https://sbrownlawyer.com/2016/03/11/taking-care-of-your-childs-needs-is-a-priority/</t>
  </si>
  <si>
    <t>Taking care of your child's needs is a priority | Scott M. Brown &amp; Associates | Scott M. Brown &amp; Associates</t>
  </si>
  <si>
    <t>https://sbrownlawyer.com/detailing-some-of-texas-important-child-custody-laws/</t>
  </si>
  <si>
    <t>Detailing some of Texas’s important child custody laws</t>
  </si>
  <si>
    <t>https://sbrownlawyer.com/when-parents-divorce-new-study-analyzes-impact-of-divorce-on-kids/</t>
  </si>
  <si>
    <t>When parents divorce: New study analyzes impact of divorce on kids</t>
  </si>
  <si>
    <t>https://sbrownlawyer.com/2015/05/29/how-can-i-handle-summer-child-custody-schedules/</t>
  </si>
  <si>
    <t>How can I handle summer child custody schedules? | Scott M. Brown &amp; Associates | Scott M. Brown &amp; Associates</t>
  </si>
  <si>
    <t>https://sbrownlawyer.com/scott-m-brown/</t>
  </si>
  <si>
    <t>Child Support Modification in Texas | Scott M. Brown &amp; Associates</t>
  </si>
  <si>
    <t>https://sbrownlawyer.com/2015/01/16/guidelines-for-texas-child-support-modifications/</t>
  </si>
  <si>
    <t>Guidelines for Texas child support modifications | Scott M. Brown &amp; Associates | Scott M. Brown &amp; Associates</t>
  </si>
  <si>
    <t>Creative Custody Agreements Lawyer | Angleton, League City &amp; Pearland, TX</t>
  </si>
  <si>
    <t>https://sbrownlawyer.com/league-city-2/</t>
  </si>
  <si>
    <t>League City TX Attorneys | Scott M. Brown &amp; Associates</t>
  </si>
  <si>
    <t>https://sbrownlawyer.com/mothers-rights/</t>
  </si>
  <si>
    <t>Mother's Rights Lawyer | Offices in League City, Angleton &amp; Pearland, TX | Scott M. Brown &amp; Associates</t>
  </si>
  <si>
    <t>Relocating with Children After Divorce in Texas | Scott M. Brown &amp; Associates</t>
  </si>
  <si>
    <t>https://sbrownlawyer.com/league-city-simple-assault-lawyer/</t>
  </si>
  <si>
    <t>Simple Assault Lawyers in League City TX</t>
  </si>
  <si>
    <t>https://sbrownlawyer.com/league-city-tx-lake-fathers-rights-lawyer/</t>
  </si>
  <si>
    <t>Fathers’ Rights Lawyer in League City Texas</t>
  </si>
  <si>
    <t>https://sbrownlawyer.com/information-about-brazoria-county-texas/</t>
  </si>
  <si>
    <t>Brazoria County | Scott M. Brown &amp; Associates</t>
  </si>
  <si>
    <t>How is community property divided? | Scott M. Brown &amp; Associates</t>
  </si>
  <si>
    <t>https://sbrownlawyer.com/pearland-premises-liability/</t>
  </si>
  <si>
    <t>Pearland Texas Premises Liability Lawyer</t>
  </si>
  <si>
    <t>Paternity in Texas | Scott M. Brown &amp; Associates</t>
  </si>
  <si>
    <t>https://sbrownlawyer.com/personal-injury/nonvehicle-liability-insurance/</t>
  </si>
  <si>
    <t>https://sbrownlawyer.com/league-city-personal-injury-lawyer/</t>
  </si>
  <si>
    <t>Personal Injury Lawyer in League City TX</t>
  </si>
  <si>
    <t>https://sbrownlawyer.com/divorce</t>
  </si>
  <si>
    <t>https://sbrownlawyer.com/uber-lyft-rideshare-accidents/</t>
  </si>
  <si>
    <t>Pearland TX Uber &amp; Lyft Rideshare Accidents</t>
  </si>
  <si>
    <t>https://sbrownlawyer.com/harris-county-child-custody-attorneys/</t>
  </si>
  <si>
    <t>Harris County TX Child Custody Lawyers</t>
  </si>
  <si>
    <t>https://sbrownlawyer.com/enforcement/Modifications</t>
  </si>
  <si>
    <t>https://sbrownlawyer.com/peggy-bittick/</t>
  </si>
  <si>
    <t>Divorce &amp; Family Law Attorney Peggy Bittick | Scott M. Brown &amp; Associates</t>
  </si>
  <si>
    <t>https://sbrownlawyer.com/james-j-hanley/</t>
  </si>
  <si>
    <t>Criminal Defense Attorney James J. Hanley | Scott M. Brown &amp; Associates</t>
  </si>
  <si>
    <t>https://sbrownlawyer.com/paula-roark-cundiff/</t>
  </si>
  <si>
    <t>Divorce &amp; Family Law Attorney Paula Roark Cundiff | Scott M. Brown &amp; Associates</t>
  </si>
  <si>
    <t>https://sbrownlawyer.com/lourel-jones-iii/</t>
  </si>
  <si>
    <t>Divorce &amp; Family Law Attorney Lourel Jones III | Scott M. Brown &amp; Associates</t>
  </si>
  <si>
    <t>https://sbrownlawyer.com/child-custody</t>
  </si>
  <si>
    <t>https://sbrownlawyer.com/blaire-evans/</t>
  </si>
  <si>
    <t>Divorce &amp; Family Law Attorney Blaire Evans | Scott M. Brown &amp; Associates</t>
  </si>
  <si>
    <t>https://sbrownlawyer.com/attorneys</t>
  </si>
  <si>
    <t>https://sbrownlawyer.com/Modifications</t>
  </si>
  <si>
    <t>https://sbrownlawyer.com/areas-we-serve/harris-county/houston/</t>
  </si>
  <si>
    <t>Divorce Lawyers in Houston | Scott M. Brown &amp; Associates</t>
  </si>
  <si>
    <t>https://sbrownlawyer.com/league-city-grandparents-rights-lawyer/</t>
  </si>
  <si>
    <t>Grandparents Rights Lawyer in League City TX</t>
  </si>
  <si>
    <t>https://sbrownlawyer.com/areas-we-serve/harris-county/pasadena/</t>
  </si>
  <si>
    <t>Divorce Lawyers in Pasadena | Scott M. Brown &amp; Associates</t>
  </si>
  <si>
    <t>https://sbrownlawyer.com/areas-we-serve/harris-county/baytown/</t>
  </si>
  <si>
    <t>Divorce Lawyers in Baytown | Scott M. Brown &amp; Associates</t>
  </si>
  <si>
    <t>https://sbrownlawyer.com/areas-we-serve/harris-county/friendswood/</t>
  </si>
  <si>
    <t>Divorce Lawyers in Friendswood | Scott M. Brown &amp; Associates</t>
  </si>
  <si>
    <t>https://sbrownlawyer.com/terms-of-service/</t>
  </si>
  <si>
    <t>Terms of Service | Scott M. Brown &amp; Associates</t>
  </si>
  <si>
    <t>https://sbrownlawyer.com/human-trafficking/</t>
  </si>
  <si>
    <t>Accused of Human Trafficking? Get Defense Attorney Scott M. Brown &amp; Associates | Offices in Angleton, Pearland &amp; League City TX</t>
  </si>
  <si>
    <t>https://sbrownlawyer.com/abogado-de-sucesiones-en-pearland-tx/</t>
  </si>
  <si>
    <t>¿Cómo Funciona el Proceso de Sucesión en Texas? | Abogado de Sucesiones en Pearland</t>
  </si>
  <si>
    <t>https://sbrownlawyer.com/online-solicitation-of-a-minor/</t>
  </si>
  <si>
    <t>Online Solicitation of a Minor Defense Lawyer in Houston | Offices in Pearland, Angleton &amp; League City TX</t>
  </si>
  <si>
    <t>https://sbrownlawyer.com/sexual-assault/</t>
  </si>
  <si>
    <t>Sexual Assault Defense Lawyer in Angleton, League City &amp; Angleton, TX | Scott M. Brown &amp; Associates</t>
  </si>
  <si>
    <t>https://sbrownlawyer.com/2017/08/24/second-chance-bill-what-does-it-mean-now-that-its-passed/</t>
  </si>
  <si>
    <t>Second Chance Bill in Texas Was Passed | Scott M. Brown &amp; Associates</t>
  </si>
  <si>
    <t>https://sbrownlawyer.com/Investment-Properties</t>
  </si>
  <si>
    <t>https://sbrownlawyer.com/Homes-And-Real-Estate</t>
  </si>
  <si>
    <t>https://sbrownlawyer.com/Hidden-Assets</t>
  </si>
  <si>
    <t>https://sbrownlawyer.com/Asset-Division</t>
  </si>
  <si>
    <t>https://sbrownlawyer.com/Oil-And-Mineral-Rights</t>
  </si>
  <si>
    <t>https://sbrownlawyer.com/Family-Owned-Business-Protection</t>
  </si>
  <si>
    <t>https://sbrownlawyer.com/Assets-And-Liability</t>
  </si>
  <si>
    <t>https://sbrownlawyer.com/Business-And-Professional-Practices-In-Divorce</t>
  </si>
  <si>
    <t>https://sbrownlawyer.com/Retirement-Accounts</t>
  </si>
  <si>
    <t>https://sbrownlawyer.com/2024/03/20/texas-child-support-2024/</t>
  </si>
  <si>
    <t>Texas Child Support 2024 | Houston, TX</t>
  </si>
  <si>
    <t>https://sbrownlawyer.com/Physician-Practices/</t>
  </si>
  <si>
    <t>https://sbrownlawyer.com/harris-county-family-law/</t>
  </si>
  <si>
    <t>https://sbrownlawyer.com/league-city-family-law-attorney/</t>
  </si>
  <si>
    <t>https://sbrownlawyer.com/Personal-Injury</t>
  </si>
  <si>
    <t>https://sbrownlawyer.com/Family-Law</t>
  </si>
  <si>
    <t>https://sbrownlawyer.com/schedule-now/</t>
  </si>
  <si>
    <t>https://sbrownlawyer.com/galveston-child-custody-lawyer/</t>
  </si>
  <si>
    <t>Galveston Texas Child Custody Attorney</t>
  </si>
  <si>
    <t>https://sbrownlawyer.com/Criminal-Law</t>
  </si>
  <si>
    <t>https://sbrownlawyer.com/league-city-child-custody-attorneys/</t>
  </si>
  <si>
    <t>League City TX Child Custody Lawyers</t>
  </si>
  <si>
    <t>https://sbrownlawyer.com/dr-divorce/</t>
  </si>
  <si>
    <t>Doctor Divorce | Scott M. Brown &amp; Associates</t>
  </si>
  <si>
    <t>https://sbrownlawyer.com/family-law/Modifications</t>
  </si>
  <si>
    <t>https://sbrownlawyer.com/family-law/Contact</t>
  </si>
  <si>
    <t>https://sbrownlawyer.com/family-law/Child-Protective-Services-CPS</t>
  </si>
  <si>
    <t>https://sbrownlawyer.com/2024/04/26/beyond-divorce-guide-to-post-divorce-family-laws/</t>
  </si>
  <si>
    <t>Post-Divorce Issues | Divorce Family Lawyers | Angleton, TX</t>
  </si>
  <si>
    <t>https://sbrownlawyer.com/2021/07/05/what-to-expect-out-of-a-divorce-trial/</t>
  </si>
  <si>
    <t>What To Expect Out of a Divorce Trial | Scott M. Brown &amp; Associates</t>
  </si>
  <si>
    <t>https://sbrownlawyer.com/texas-family-law/</t>
  </si>
  <si>
    <t>https://sbrownlawyer.com/Family-Law/Child-Custody</t>
  </si>
  <si>
    <t>https://sbrownlawyer.com/2021/06/15/11-questions-to-ask-before-hiring-a-criminal-defense-attorney/</t>
  </si>
  <si>
    <t>11 Questions to Ask Before Hiring a Criminal Defense Attorney | Scott M. Brown &amp; Associates</t>
  </si>
  <si>
    <t>https://sbrownlawyer.com/2014/01/27/study-counties-with-more-protestants-have-higher-divorce-rate/</t>
  </si>
  <si>
    <t>Study: counties with more Protestants have higher divorce rate | Scott M. Brown &amp; Associates | Scott M. Brown &amp; Associates</t>
  </si>
  <si>
    <t>https://sbrownlawyer.com/2014/01/31/college-station-man-in-custody-after-domestic-violence-incident/</t>
  </si>
  <si>
    <t>College Station man in custody after domestic violence incident | Scott M. Brown &amp; Associates | Scott M. Brown &amp; Associates</t>
  </si>
  <si>
    <t>https://sbrownlawyer.com/2013/09/03/texas-males-can-also-be-victims-of-domestic-violence/</t>
  </si>
  <si>
    <t>Texas males can also be victims of domestic violence | Scott M. Brown &amp; Associates | Scott M. Brown &amp; Associates</t>
  </si>
  <si>
    <t>https://sbrownlawyer.com/2013/08/20/texas-parents-in-custody-for-not-paying-child-support/</t>
  </si>
  <si>
    <t>Texas parents in custody for not paying child support | Scott M. Brown &amp; Associates | Scott M. Brown &amp; Associates</t>
  </si>
  <si>
    <t>https://sbrownlawyer.com/2012/09/13/the-benefit-and-downfalls-of-using-technology-to-co-parent/</t>
  </si>
  <si>
    <t>The benefit and downfalls of using technology to co-parent | Scott M. Brown &amp; Associates | Scott M. Brown &amp; Associates</t>
  </si>
  <si>
    <t>https://sbrownlawyer.com/2012/08/29/dealing-with-anger-in-a-texas-divorce/</t>
  </si>
  <si>
    <t>Dealing with anger in a Texas divorce | Scott M. Brown &amp; Associates | Scott M. Brown &amp; Associates</t>
  </si>
  <si>
    <t>https://sbrownlawyer.com/2013/11/03/the-silver-lining-to-filing-a-silver-divorce/</t>
  </si>
  <si>
    <t>The silver lining to filing a 'silver' divorce | Scott M. Brown &amp; Associates | Scott M. Brown &amp; Associates</t>
  </si>
  <si>
    <t>https://sbrownlawyer.com/2013/11/13/henderson-county-police-round-up-child-support-violators/</t>
  </si>
  <si>
    <t>Henderson County police round up child support violators | Scott M. Brown &amp; Associates | Scott M. Brown &amp; Associates</t>
  </si>
  <si>
    <t>https://sbrownlawyer.com/2015/Family-Law/Child-Protective-Services-CPS</t>
  </si>
  <si>
    <t>https://sbrownlawyer.com/2015/09/10/why-are-family-care-plans-important-for-military-parents/</t>
  </si>
  <si>
    <t>Why are family care plans important for military parents? | Scott M. Brown &amp; Associates | Scott M. Brown &amp; Associates</t>
  </si>
  <si>
    <t>https://sbrownlawyer.com/2015/09/25/the-pope-changes-marriage-annulments-making-them-fast-and-cheap/</t>
  </si>
  <si>
    <t>The Pope changes marriage annulments, making them fast and cheap | Scott M. Brown &amp; Associates | Scott M. Brown &amp; Associates</t>
  </si>
  <si>
    <t>https://sbrownlawyer.com/2021/04/07/reasons-grandparents-can-file-for-custody-of-grandchild-in-texas/</t>
  </si>
  <si>
    <t>Reasons Grandparents Can File For Custody of Grandchild in Texas | Scott M. Brown &amp; Associates</t>
  </si>
  <si>
    <t>https://sbrownlawyer.com/2020/12/16/domestic-violence-victim-tips-on-getting-a-restraining-order/</t>
  </si>
  <si>
    <t>Domestic Violence Victim? Tips on Getting a Restraining Order | Scott M. Brown &amp; Associates</t>
  </si>
  <si>
    <t>https://sbrownlawyer.com/2021/03/15/who-qualifies-for-a-temporary-protective-order-in-texas-and-other-frequently-asked-questions/</t>
  </si>
  <si>
    <t>Who Qualifies for a Temporary Protective Order in Texas? (and Other | Scott M. Brown &amp; Associates</t>
  </si>
  <si>
    <t>https://sbrownlawyer.com/2015/11/27/court-says-that-embryos-owned-by-divorced-couple-can-be-destroyed/</t>
  </si>
  <si>
    <t>Court says that embryos owned by divorced couple can be destroyed | Scott M. Brown &amp; Associates | Scott M. Brown &amp; Associates</t>
  </si>
  <si>
    <t>https://sbrownlawyer.com/2015/11/13/is-divorce-actually-good-for-anything/</t>
  </si>
  <si>
    <t>Is divorce actually good for anything? | Scott M. Brown &amp; Associates | Scott M. Brown &amp; Associates</t>
  </si>
  <si>
    <t>https://sbrownlawyer.com/2020/12/28/what-to-ask-your-family-lawyer-about-your-child-custody-agreement/</t>
  </si>
  <si>
    <t>What to Ask Your Family Lawyer About Your Child Custody Agreement | Scott M. Brown &amp; Associates</t>
  </si>
  <si>
    <t>https://sbrownlawyer.com/2021/12/10/getting-child-custody-in-texas/</t>
  </si>
  <si>
    <t>Getting Child Custody in Texas | Angleton, TX</t>
  </si>
  <si>
    <t>https://sbrownlawyer.com/2021/05/15/what-are-the-advantages-of-hiring-a-good-divorce-attorney/</t>
  </si>
  <si>
    <t>What Are the Advantages of Hiring a Good Divorce Attorney? | Scott M. Brown &amp; Associates</t>
  </si>
  <si>
    <t>https://sbrownlawyer.com/2015/01/02/how-can-texas-military-parents-deal-with-newborn-sleep-habits/</t>
  </si>
  <si>
    <t>How can Texas military parents deal with newborn sleep habits? | Scott M. Brown &amp; Associates | Scott M. Brown &amp; Associates</t>
  </si>
  <si>
    <t>https://sbrownlawyer.com/2014/12/19/domestic-violence-and-child-custody-in-texas/</t>
  </si>
  <si>
    <t>Domestic violence and child custody in Texas | Scott M. Brown &amp; Associates | Scott M. Brown &amp; Associates</t>
  </si>
  <si>
    <t>https://sbrownlawyer.com/2013/03/11/support-necessary-during-a-texas-divorce/</t>
  </si>
  <si>
    <t>https://sbrownlawyer.com/2013/02/27/are-negative-communication-patterns-a-factor-in-texas-divorce/</t>
  </si>
  <si>
    <t>Are negative communication patterns a factor in Texas divorce? | Scott M. Brown &amp; Associates | Scott M. Brown &amp; Associates</t>
  </si>
  <si>
    <t>https://sbrownlawyer.com/2014/01/10/texas-man-jailed-even-after-paying-back-child-support/</t>
  </si>
  <si>
    <t>Texas man jailed even after paying back child support | Scott M. Brown &amp; Associates | Scott M. Brown &amp; Associates</t>
  </si>
  <si>
    <t>https://sbrownlawyer.com/blog/child-support</t>
  </si>
  <si>
    <t>https://sbrownlawyer.com/Family-Law/Child-Support</t>
  </si>
  <si>
    <t>https://sbrownlawyer.com/Child-Custody/</t>
  </si>
  <si>
    <t>https://sbrownlawyer.com/2013/12/25/victims-must-be-persistent-for-domestic-violence-charges-to-stick/</t>
  </si>
  <si>
    <t>Victims must be persistent for domestic violence charges to stick | Scott M. Brown &amp; Associates | Scott M. Brown &amp; Associates</t>
  </si>
  <si>
    <t>https://sbrownlawyer.com/top-military-divorce-lawyer-in-texas/</t>
  </si>
  <si>
    <t>Military Child Custody in Texas | Scott M. Brown &amp; Associates</t>
  </si>
  <si>
    <t>https://sbrownlawyer.com/2015/03/19/what-should-i-know-about-domestic-violence/</t>
  </si>
  <si>
    <t>https://sbrownlawyer.com/2015/03/03/help-your-child-cope-with-child-custody-schedules-after-divorce/</t>
  </si>
  <si>
    <t>Help your child cope with child custody schedules after divorce | Scott M. Brown &amp; Associates | Scott M. Brown &amp; Associates</t>
  </si>
  <si>
    <t>https://sbrownlawyer.com/2016/03/18/rape-victims-face-complicated-child-custody-issues/</t>
  </si>
  <si>
    <t>Rape victims face complicated child custody issues | Scott M. Brown &amp; Associates | Scott M. Brown &amp; Associates</t>
  </si>
  <si>
    <t>https://sbrownlawyer.com/2016/03/03/what-should-i-know-about-dividing-debts-in-divorce/</t>
  </si>
  <si>
    <t>What should I know about dividing debts in divorce? | Scott M. Brown &amp; Associates | Scott M. Brown &amp; Associates</t>
  </si>
  <si>
    <t>https://sbrownlawyer.com/child-support</t>
  </si>
  <si>
    <t>https://sbrownlawyer.com/2015/06/05/child-custody-and-visitation-modifications-for-the-summer-months/</t>
  </si>
  <si>
    <t>Child custody and visitation modifications for the summer months | Scott M. Brown &amp; Associates | Scott M. Brown &amp; Associates</t>
  </si>
  <si>
    <t>https://sbrownlawyer.com/2015/05/21/myths-about-custody-and-domestic-violence/</t>
  </si>
  <si>
    <t>Myths about custody and domestic violence | Scott M. Brown &amp; Associates | Scott M. Brown &amp; Associates</t>
  </si>
  <si>
    <t>https://sbrownlawyer.com/league-city-tx-family-law-modifications-lawyer/</t>
  </si>
  <si>
    <t>League City Texas Family Law Modifications Lawyer</t>
  </si>
  <si>
    <t>https://sbrownlawyer.com/harris-county-modifications-of-orders-attorney/</t>
  </si>
  <si>
    <t>Modifications of Orders Lawyer in Harris County</t>
  </si>
  <si>
    <t>https://sbrownlawyer.com/2015/01/23/can-the-court-stop-destruction-of-marital-assets-in-a-divorce/</t>
  </si>
  <si>
    <t>Can the court stop destruction of marital assets in a divorce? | Scott M. Brown &amp; Associates | Scott M. Brown &amp; Associates</t>
  </si>
  <si>
    <t>https://sbrownlawyer.com/2015/01/09/how-is-child-support-affected-by-parental-incarceration-in-texas/</t>
  </si>
  <si>
    <t>How is child support affected by parental incarceration in Texas? | Scott M. Brown &amp; Associates | Scott M. Brown &amp; Associates</t>
  </si>
  <si>
    <t>https://sbrownlawyer.com/Parental-Relocation</t>
  </si>
  <si>
    <t>https://sbrownlawyer.com/Enforcement</t>
  </si>
  <si>
    <t>https://sbrownlawyer.com/Visitation/Parental-Alienation</t>
  </si>
  <si>
    <t>https://sbrownlawyer.com/parental-relocation/International-Custody</t>
  </si>
  <si>
    <t>https://sbrownlawyer.com/pearland-slip-and-fall-accident-lawyer/</t>
  </si>
  <si>
    <t>https://sbrownlawyer.com/criminal-law</t>
  </si>
  <si>
    <t>https://sbrownlawyer.com/texas/locations/pasadena/</t>
  </si>
  <si>
    <t>https://sbrownlawyer.com/Grandparents-Rights/</t>
  </si>
  <si>
    <t>https://sbrownlawyer.com/pearland-immigration-lawyer/</t>
  </si>
  <si>
    <t>https://sbrownlawyer.com/abogado-de-procesamiento-consular-en-pearland/</t>
  </si>
  <si>
    <t>Ayuda de Confianza para la Aprobación de Visas | Procesamiento Consular en Pearland</t>
  </si>
  <si>
    <t>https://sbrownlawyer.com/abogado-de-inmigracion-en-pearland/</t>
  </si>
  <si>
    <t>Guía de la Ley de Inmigración de EE. UU. | Abogado de Inmigración en Pearland</t>
  </si>
  <si>
    <t>https://sbrownlawyer.com/abogado-de-ajuste-de-estatus-en-pearland/</t>
  </si>
  <si>
    <t>Asistencia en Inmigración | Abogado de Ajuste de Estatus en Pearland</t>
  </si>
  <si>
    <t>https://sbrownlawyer.com/espanol/defensa-criminal/</t>
  </si>
  <si>
    <t>Abogado de Defensa Criminal en Pearland, TX | Scott M. Brown &amp; Associates</t>
  </si>
  <si>
    <t>https://sbrownlawyer.com/espanol/abogados-de-lesiones-personales/</t>
  </si>
  <si>
    <t>Abogado de Lesiones Personales en Pearland | Scott M. Brown &amp; Associates</t>
  </si>
  <si>
    <t>https://sbrownlawyer.com/abogado-de-inmigracion-basada-en-empleo-en-pearland/</t>
  </si>
  <si>
    <t>Visa de Trabajo en Estados Unidos | Abogado de Inmigración Basada en Empleo en Pearland</t>
  </si>
  <si>
    <t>https://sbrownlawyer.com/sex-crimes</t>
  </si>
  <si>
    <t>https://sbrownlawyer.com/2017/09/01/how-should-divorce-child-support-and-custody-be-handled-for-parents-of-special-needs-children/</t>
  </si>
  <si>
    <t>How Should Divorce, Child Support, And Custody Be Handled for Parents | Scott M. Brown &amp; Associates</t>
  </si>
  <si>
    <t>https://sbrownlawyer.com/abogado-de-naturalizacion-en-pearland/</t>
  </si>
  <si>
    <t>Tu camino hacia la ciudadanía estadounidense | Abogado de naturalización en Pearland</t>
  </si>
  <si>
    <t>https://sbrownlawyer.com/espanol/family-law/</t>
  </si>
  <si>
    <t>Abogados de Derecho Familiar de Angleton | Scott M. Brown &amp; Associates</t>
  </si>
  <si>
    <t>https://sbrownlawyer.com/abogado-de-inmigracion-familiar-en-pearland-texas/</t>
  </si>
  <si>
    <t>Reúnete con tu familia | Abogado de Inmigración Familiar en Pearland</t>
  </si>
  <si>
    <t>https://sbrownlawyer.com/2017/08/17/4-reasons-an-experienced-dwi-lawyer-is-essential/</t>
  </si>
  <si>
    <t>4 Reasons An Experienced DWI Lawyer Is Essential in Texas | Scott M. Brown &amp; Associates</t>
  </si>
  <si>
    <t>https://sbrownlawyer.com/dwi/</t>
  </si>
  <si>
    <t>DUI / DWI Defense Lawyer Scott M. Brown &amp; Associates - Offices in Angleton, League City &amp; Pearland, TX</t>
  </si>
  <si>
    <t>https://sbrownlawyer.com/Investment-Properties/</t>
  </si>
  <si>
    <t>https://sbrownlawyer.com/Homes-And-Real-Estate/</t>
  </si>
  <si>
    <t>https://sbrownlawyer.com/Hidden-Assets/</t>
  </si>
  <si>
    <t>https://sbrownlawyer.com/Asset-Division/</t>
  </si>
  <si>
    <t>https://sbrownlawyer.com/Oil-And-Mineral-Rights/</t>
  </si>
  <si>
    <t>https://sbrownlawyer.com/Family-Owned-Business-Protection/</t>
  </si>
  <si>
    <t>https://sbrownlawyer.com/Assets-And-Liability/</t>
  </si>
  <si>
    <t>https://sbrownlawyer.com/Business-And-Professional-Practices-In-Divorce/</t>
  </si>
  <si>
    <t>https://sbrownlawyer.com/Retirement-Accounts/</t>
  </si>
  <si>
    <t>https://sbrownlawyer.com/angleton-brain-injury-tbi/</t>
  </si>
  <si>
    <t>Angleton Traumatic Brain Injury Lawyers | TBI</t>
  </si>
  <si>
    <t>https://sbrownlawyer.com/Criminal-Law/</t>
  </si>
  <si>
    <t>https://sbrownlawyer.com/Personal-Injury/</t>
  </si>
  <si>
    <t>https://sbrownlawyer.com/child-protective-services-cps/</t>
  </si>
  <si>
    <t>DSS &amp; Protective Services Lawyer in Houston Area | Serving Pearland, Angleton, League City, TX</t>
  </si>
  <si>
    <t>https://sbrownlawyer.com/2023/01/10/how-much-is-my-personal-injury-case-worth/</t>
  </si>
  <si>
    <t>How Much is my Personal Injury Case Worth? | Angleton, TX</t>
  </si>
  <si>
    <t>https://sbrownlawyer.com/friendswood-truck-accidents/</t>
  </si>
  <si>
    <t>Truck Accident Lawyer in Friendswood TX</t>
  </si>
  <si>
    <t>https://sbrownlawyer.com/galveston-truck-accident-lawyer/</t>
  </si>
  <si>
    <t>Galveston Truck Accident Lawyer</t>
  </si>
  <si>
    <t>https://sbrownlawyer.com/webster-premises-liability/</t>
  </si>
  <si>
    <t>https://sbrownlawyer.com/league-city-aggravated-assault-lawyer/</t>
  </si>
  <si>
    <t>Aggravated Assault Lawyer in League City</t>
  </si>
  <si>
    <t>https://sbrownlawyer.com/webster-motorcycle-accident-lawyer/</t>
  </si>
  <si>
    <t>https://sbrownlawyer.com/friendswood-tx-drug-charges/</t>
  </si>
  <si>
    <t>Friendswood TX Drug Charge Defense</t>
  </si>
  <si>
    <t>https://sbrownlawyer.com/pedestrian-accident/</t>
  </si>
  <si>
    <t>https://sbrownlawyer.com/galveston-boating-and-ski-accident-lawyer/</t>
  </si>
  <si>
    <t>Boating &amp; Ski Accident Lawyer in Galveston</t>
  </si>
  <si>
    <t>https://sbrownlawyer.com/league-city-tx-theft-crimes/</t>
  </si>
  <si>
    <t>Theft Crimes Defense Lawyer in League City</t>
  </si>
  <si>
    <t>https://sbrownlawyer.com/league-city-theft-crimes/</t>
  </si>
  <si>
    <t>https://sbrownlawyer.com/personal-injury</t>
  </si>
  <si>
    <t>https://sbrownlawyer.com/league-city-juvenile-crimes-lawyer/</t>
  </si>
  <si>
    <t>Juvenile Crimes Defense Lawyer in League City TX</t>
  </si>
  <si>
    <t>https://sbrownlawyer.com/school-teacher-sexual-assault/</t>
  </si>
  <si>
    <t>School Teacher Sexual Assault Defense Lawyer | Scott M. Brown &amp; Associates - Offices in Pearland, League City &amp; Angleton, TX</t>
  </si>
  <si>
    <t>https://sbrownlawyer.com/2022/04/08/proving-fault-in-a-personal-injury-case-how-it-is-done-in-texas/</t>
  </si>
  <si>
    <t>Proving Fault In A Personal Injury Case: How It Is Done In Texas</t>
  </si>
  <si>
    <t>https://sbrownlawyer.com/contested-custody/Modification-of-Custody</t>
  </si>
  <si>
    <t>https://sbrownlawyer.com/video-7/</t>
  </si>
  <si>
    <t>Video 7 | Scott M. Brown &amp; Associates</t>
  </si>
  <si>
    <t>https://sbrownlawyer.com/2022/03/06/divorce-who-gets-the-house/</t>
  </si>
  <si>
    <t>Divorce: Who Gets the House | Houston, TX</t>
  </si>
  <si>
    <t>https://sbrownlawyer.com/Financial-Steps-Individuals-Should-Take-To-Prepare-For-Divorce/</t>
  </si>
  <si>
    <t>Financial steps individuals should take to prepare for divorce</t>
  </si>
  <si>
    <t>https://sbrownlawyer.com/Attorneys/Scott-M-Brown</t>
  </si>
  <si>
    <t>https://sbrownlawyer.com/Paternity</t>
  </si>
  <si>
    <t>https://sbrownlawyer.com/league-city-complex-and-contested-divorce/</t>
  </si>
  <si>
    <t>https://sbrownlawyer.com/Child-Protective-Services-CPS</t>
  </si>
  <si>
    <t>https://sbrownlawyer.com/Property-division-during-divorce-does-not-have-to-destroy-a-business/</t>
  </si>
  <si>
    <t>Property division during divorce does not have to destroy a business | Scott M. Brown &amp; Associates</t>
  </si>
  <si>
    <t>https://sbrownlawyer.com/Domestic-Abuse-And-Protective-Orders</t>
  </si>
  <si>
    <t>https://sbrownlawyer.com/2022/01/25/answers-to-common-questions-about-your-property-rights-when-you-divorce/</t>
  </si>
  <si>
    <t>Answers to Common Questions About Your Property Rights When You | Scott M. Brown &amp; Associates</t>
  </si>
  <si>
    <t>https://sbrownlawyer.com/Division-Of-Property</t>
  </si>
  <si>
    <t>https://sbrownlawyer.com/Scott-M-Brown</t>
  </si>
  <si>
    <t>https://sbrownlawyer.com/homes-and-real-estate/Assets-And-Liability</t>
  </si>
  <si>
    <t>https://sbrownlawyer.com/business-and-professional-practices-in-divorce/Asset-Division</t>
  </si>
  <si>
    <t>https://sbrownlawyer.com/Divorce/High-Net-Worth-Divorce</t>
  </si>
  <si>
    <t>https://sbrownlawyer.com/league-city-high-net-worth-divorce-lawyer/</t>
  </si>
  <si>
    <t>https://sbrownlawyer.com/Divorce-in-Texas-and-the-possibility-of-spousal-support-payments/</t>
  </si>
  <si>
    <t>https://sbrownlawyer.com/How-to-know-if-your-spouse-is-hiding-marital-property-and-assets/</t>
  </si>
  <si>
    <t>How to know if your spouse is hiding marital property and assets</t>
  </si>
  <si>
    <t>https://sbrownlawyer.com/When-parents-divorce-New-study-analyzes-impact-of-divorce-on-kids/</t>
  </si>
  <si>
    <t>https://sbrownlawyer.com/obtaining-a-protective-order-is-one-step-in-leaving-domestic-violence/</t>
  </si>
  <si>
    <t>Obtaining a protective order is one step in leaving domestic violence</t>
  </si>
  <si>
    <t>https://sbrownlawyer.com/division-of-property</t>
  </si>
  <si>
    <t>https://sbrownlawyer.com/Division-Of-Property/Business-And-Professional-Practices-In-Divorce</t>
  </si>
  <si>
    <t>https://sbrownlawyer.com/complex-and-contested-divorce-attorneys/High-Net-Worth-Divorce</t>
  </si>
  <si>
    <t>https://sbrownlawyer.com/Child-Support</t>
  </si>
  <si>
    <t>https://sbrownlawyer.com/Spousal-Support</t>
  </si>
  <si>
    <t>https://sbrownlawyer.com/Division-Of-Property/Business-Owner-Divorce</t>
  </si>
  <si>
    <t>https://sbrownlawyer.com/Division-Of-Property/Inheritances</t>
  </si>
  <si>
    <t>https://sbrownlawyer.com/Division-Of-Property/Oil-And-Mineral-Rights</t>
  </si>
  <si>
    <t>https://sbrownlawyer.com/Hidden-assets-Some-marital-property-may-not-be-obvious/</t>
  </si>
  <si>
    <t>Hidden assets: Some marital property may not be obvious | Scott M. Brown &amp; Associates |</t>
  </si>
  <si>
    <t>https://sbrownlawyer.com/Division-Of-Property/Hidden-Assets</t>
  </si>
  <si>
    <t>https://sbrownlawyer.com/Division-Of-Property/Assets-And-Liability</t>
  </si>
  <si>
    <t>https://sbrownlawyer.com/Division-Of-Property/Investment-Properties</t>
  </si>
  <si>
    <t>https://sbrownlawyer.com/Division-Of-Property/Homes-And-Real-Estate</t>
  </si>
  <si>
    <t>https://sbrownlawyer.com/Division-Of-Property/Retirement-Accounts</t>
  </si>
  <si>
    <t>https://sbrownlawyer.com/Financial-Steps-To-Take-Before-Filing-For-Divorce/</t>
  </si>
  <si>
    <t>Financial Steps to Take Before Filing for Divorce</t>
  </si>
  <si>
    <t>https://sbrownlawyer.com/rule-1-file-first/The-Divorce-Process</t>
  </si>
  <si>
    <t>https://sbrownlawyer.com/The-unique-aspects-of-alimony-spousal-maintenance-in-Texas/</t>
  </si>
  <si>
    <t>The unique aspects of alimony (spousal maintenance) in Texas</t>
  </si>
  <si>
    <t>https://sbrownlawyer.com/How-Divorce-Can-Actually-Benefit-Children/</t>
  </si>
  <si>
    <t>How Divorce Can Actually Benefit Children | Angleton, TX</t>
  </si>
  <si>
    <t>https://sbrownlawyer.com/what-happens-to-pets-in-a-texas-divorce/</t>
  </si>
  <si>
    <t>What happens to pets in a Texas divorce? | Pearland, TX</t>
  </si>
  <si>
    <t>https://sbrownlawyer.com/When-alcohol-becomes-a-factor-in-divorce-proceedings/</t>
  </si>
  <si>
    <t>When alcohol becomes a factor in divorce proceedings</t>
  </si>
  <si>
    <t>https://sbrownlawyer.com/League%20City-marital-asset-division-lawyer/</t>
  </si>
  <si>
    <t>League City TX Martial Asset Division Lawyer | Property Division</t>
  </si>
  <si>
    <t>https://sbrownlawyer.com/Don-t-let-family-violence-allegations-affect-your-open-carry-rights/</t>
  </si>
  <si>
    <t>Don’t let family violence allegations affect your open carry rights</t>
  </si>
  <si>
    <t>https://sbrownlawyer.com/Divorce</t>
  </si>
  <si>
    <t>https://sbrownlawyer.com/2023/01/20/what-is-a-no‐fault-divorce/</t>
  </si>
  <si>
    <t>What is a no‐fault divorce? | Scott M. Brown &amp; Associates</t>
  </si>
  <si>
    <t>https://sbrownlawyer.com/2024/05/28/impact-of-a-criminal-record-on-child-custody-cases/</t>
  </si>
  <si>
    <t>Criminal Record on Child Custody Cases | Pearland, TX</t>
  </si>
  <si>
    <t>https://sbrownlawyer.com/estate-planning/</t>
  </si>
  <si>
    <t>Estate Planning | Pearland estate planning attorneys | Pearland, Texas</t>
  </si>
  <si>
    <t>https://sbrownlawyer.com/league-city-divorce/</t>
  </si>
  <si>
    <t>Divorce Attorney in League City Texas</t>
  </si>
  <si>
    <t>https://sbrownlawyer.com/How-is-property-divided-in-a-Texas-divorce/</t>
  </si>
  <si>
    <t>How is property divided in a Texas divorce? | Angleton, TX</t>
  </si>
  <si>
    <t>https://sbrownlawyer.com/blog/?et_blog</t>
  </si>
  <si>
    <t>https://sbrownlawyer.com/2023/01/25/private-property-police-search-in-texas/</t>
  </si>
  <si>
    <t>Police Search Rights in Houston TX: Private Property Laws</t>
  </si>
  <si>
    <t>https://sbrownlawyer.com/2023/01/20/can-your-spouse-stop-you-from-getting-a-divorce/</t>
  </si>
  <si>
    <t>Can your spouse stop you from getting a divorce? | Scott M. Brown &amp; Associates</t>
  </si>
  <si>
    <t>https://sbrownlawyer.com/blog/page/3/?et_blog</t>
  </si>
  <si>
    <t>https://sbrownlawyer.com/2023/01/20/do-you-need-a-lawyer-to-get-a-divorce/</t>
  </si>
  <si>
    <t>Do you need a lawyer to get a divorce? | Scott M. Brown &amp; Associates</t>
  </si>
  <si>
    <t>https://sbrownlawyer.com/page/2/</t>
  </si>
  <si>
    <t>https://sbrownlawyer.com/pearland-naturalization-lawyer/</t>
  </si>
  <si>
    <t>https://sbrownlawyer.com/2024/05/28/benefits-of-collaborative-divorce-in-texas/</t>
  </si>
  <si>
    <t>The Benefits of Collaborative Divorce in Texas | Pearland, TX</t>
  </si>
  <si>
    <t>https://sbrownlawyer.com/schedule-now</t>
  </si>
  <si>
    <t>https://sbrownlawyer.com/espanol/</t>
  </si>
  <si>
    <t>Abogado de derecho de familia en Texas | Scott M. Brown &amp; Associates</t>
  </si>
  <si>
    <t>https://sbrownlawyer.com/Termination</t>
  </si>
  <si>
    <t>https://sbrownlawyer.com/Firm-Overview/</t>
  </si>
  <si>
    <t>https://sbrownlawyer.com/personal-injury/tbi/</t>
  </si>
  <si>
    <t>https://sbrownlawyer.com/2016/11/30/arrested-for-misdemeanor-shoplifting/</t>
  </si>
  <si>
    <t>Arrested for Misdemeanor Shoplifting? | Scott M. Brown &amp; Associates | Scott M. Brown &amp; Associates</t>
  </si>
  <si>
    <t>https://sbrownlawyer.com/Termination/</t>
  </si>
  <si>
    <t>Termination Of Parental Rights Lawyer | Angleton, Pearland</t>
  </si>
  <si>
    <t>https://sbrownlawyer.com/personal-injury-2/tbi/</t>
  </si>
  <si>
    <t>Traumatic Brain Injury Lawyers in Texas | TBI</t>
  </si>
  <si>
    <t>https://sbrownlawyer.com/league-city-tx-criminal-defense-lawyers/</t>
  </si>
  <si>
    <t>League City Texas Criminal Defense Attorneys</t>
  </si>
  <si>
    <t>https://sbrownlawyer.com/blog</t>
  </si>
  <si>
    <t>https://sbrownlawyer.com/2016/11/15/staying-financially-secure-before-and-after-divorce/</t>
  </si>
  <si>
    <t>Staying Financially Secure - Before And After Divorce | Scott M. Brown &amp; Associates | Scott M. Brown &amp; Associates</t>
  </si>
  <si>
    <t>https://sbrownlawyer.com/lesiones%20personales</t>
  </si>
  <si>
    <t>https://sbrownlawyer.com/2016/12/16/a-dwi-arrest-does-not-always-lead-to-a-conviction/</t>
  </si>
  <si>
    <t>A DWI Arrest Does Not Always Lead to a Conviction | Scott M. Brown &amp; Associates | Scott M. Brown &amp; Associates</t>
  </si>
  <si>
    <t>https://sbrownlawyer.com/schedule-now-es</t>
  </si>
  <si>
    <t>https://sbrownlawyer.com/theft-and-shoplifting/aggravated-burglary/</t>
  </si>
  <si>
    <t>Aggravated Burglary Defense Lawyer in TX | Angleton, TX</t>
  </si>
  <si>
    <t>https://sbrownlawyer.com/2022/08/17/when-the-adjuster-says-this-what-they-really-mean-is/</t>
  </si>
  <si>
    <t>When the Adjuster Says This, What They Really Mean Is … | Scott M. Brown &amp; Associates</t>
  </si>
  <si>
    <t>https://sbrownlawyer.com/2020/01/14/how-texas-defines-child-abuse/</t>
  </si>
  <si>
    <t>How Texas Defines Child Abuse | Scott M. Brown &amp; Associates</t>
  </si>
  <si>
    <t>https://sbrownlawyer.com/blog/page/4/?et_blog</t>
  </si>
  <si>
    <t>https://sbrownlawyer.com/2022/10/03/what-to-do-if-pulled-over-by-police/</t>
  </si>
  <si>
    <t>What To Do If Pulled Over By Police | Scott M. Brown &amp; Associates</t>
  </si>
  <si>
    <t>https://sbrownlawyer.com/2022/10/03/do-i-need-a-lawyer-to-get-a-divorce/</t>
  </si>
  <si>
    <t>Do I Need A Lawyer To Get A Divorce | Scott M. Brown &amp; Associates</t>
  </si>
  <si>
    <t>https://sbrownlawyer.com/page/3/</t>
  </si>
  <si>
    <t>https://sbrownlawyer.com/2022/10/03/can-my-spouse-prevent-me-from-getting-a-divorce-2/</t>
  </si>
  <si>
    <t>https://sbrownlawyer.com/2022/10/03/what-to-do-after-youre-arrested/</t>
  </si>
  <si>
    <t>What to Do After You're Arrested | Scott M. Brown &amp; Associates</t>
  </si>
  <si>
    <t>https://sbrownlawyer.com/2022/09/28/can-my-spouse-prevent-me-from-getting-a-divorce/</t>
  </si>
  <si>
    <t>Can My Spouse Prevent Me From Getting A Divorce | Scott M. Brown &amp; Associates</t>
  </si>
  <si>
    <t>https://sbrownlawyer.com/don-t-let-family-violence-allegations-affect-your-open-carry-rights/</t>
  </si>
  <si>
    <t>https://sbrownlawyer.com/2022/08/17/how-adjusters-use-medical-records-to-reduce-your-settlement/</t>
  </si>
  <si>
    <t>How Adjusters Use Medical Records to Reduce Your Settlement | Scott M. Brown &amp; Associates</t>
  </si>
  <si>
    <t>https://sbrownlawyer.com/Visitation</t>
  </si>
  <si>
    <t>https://sbrownlawyer.com/Divorce/</t>
  </si>
  <si>
    <t>https://sbrownlawyer.com/Planning-For-Divorce</t>
  </si>
  <si>
    <t>https://sbrownlawyer.com/when-alcohol-becomes-a-factor-in-divorce-proceedings/</t>
  </si>
  <si>
    <t>https://sbrownlawyer.com/league-city-marital-asset-division-lawyer/</t>
  </si>
  <si>
    <t>https://sbrownlawyer.com/Guiding-Your-Children-Through-Divorce</t>
  </si>
  <si>
    <t>https://sbrownlawyer.com/how-divorce-can-actually-benefit-children/</t>
  </si>
  <si>
    <t>https://sbrownlawyer.com/financial-steps-to-take-before-filing-for-divorce/</t>
  </si>
  <si>
    <t>https://sbrownlawyer.com/how-to-know-if-your-spouse-is-hiding-marital-property-and-assets/</t>
  </si>
  <si>
    <t>https://sbrownlawyer.com/hidden-assets-some-marital-property-may-not-be-obvious/</t>
  </si>
  <si>
    <t>https://sbrownlawyer.com/Protecting-Your-Assets</t>
  </si>
  <si>
    <t>https://sbrownlawyer.com/2015/12/18/spousal-support-and-pet-custody-issues-stall-celebrity-divorce/</t>
  </si>
  <si>
    <t>Spousal support and pet custody issues stall celebrity divorce | Scott M. Brown &amp; Associates | Scott M. Brown &amp; Associates</t>
  </si>
  <si>
    <t>https://sbrownlawyer.com/Child-Support/</t>
  </si>
  <si>
    <t>https://sbrownlawyer.com/Division-Of-Property/</t>
  </si>
  <si>
    <t>https://sbrownlawyer.com/Business-Owner-Divorce</t>
  </si>
  <si>
    <t>https://sbrownlawyer.com/property-division-during-divorce-does-not-have-to-destroy-a-business/</t>
  </si>
  <si>
    <t>https://sbrownlawyer.com/Domestic-Abuse-And-Protective-Orders/</t>
  </si>
  <si>
    <t>https://sbrownlawyer.com/Child-Protective-Services-CPS/</t>
  </si>
  <si>
    <t>https://sbrownlawyer.com/Paternity/</t>
  </si>
  <si>
    <t>Modification of Custody Lawyer in Brazoria County | Angleton, Pearland &amp; League City Offices</t>
  </si>
  <si>
    <t>https://sbrownlawyer.com/financial-steps-individuals-should-take-to-prepare-for-divorce/</t>
  </si>
  <si>
    <t>https://sbrownlawyer.com/2022/04/20/8-rules-to-protect-your-children-during-divorce/</t>
  </si>
  <si>
    <t>8 Rules to Protect Your Children During Divorce | Scott M. Brown &amp; Associates</t>
  </si>
  <si>
    <t>https://sbrownlawyer.com/2022/03/22/false-accusations-of-abuse/</t>
  </si>
  <si>
    <t>False Accusations of Abuse | Scott M. Brown &amp; Associates</t>
  </si>
  <si>
    <t>https://sbrownlawyer.com/webster-drug-distribution-charges/</t>
  </si>
  <si>
    <t>https://sbrownlawyer.com/league-city-prescription-drug-charges/</t>
  </si>
  <si>
    <t>League City TX Prescription Drug Charge Defense</t>
  </si>
  <si>
    <t>https://sbrownlawyer.com/league-city-motorcycle-accident-lawyer/</t>
  </si>
  <si>
    <t>Motorcycle Accident Lawyer in League City TX</t>
  </si>
  <si>
    <t>https://sbrownlawyer.com/league-city-premises-liability/</t>
  </si>
  <si>
    <t>League City TX Premises Liability Lawyers</t>
  </si>
  <si>
    <t>https://sbrownlawyer.com/truck-accidents/</t>
  </si>
  <si>
    <t>Brazoria County Truck Accident Lawyer | Top Dollar for Your Case | Angleton, Pearland &amp; League City Offices</t>
  </si>
  <si>
    <t>https://sbrownlawyer.com/league-city-truck-accidents/</t>
  </si>
  <si>
    <t>League City TX Truck Accident Lawyers</t>
  </si>
  <si>
    <t>https://sbrownlawyer.com/Business-And-Professional-Practices-In-Divorce/Asset-Division</t>
  </si>
  <si>
    <t>https://sbrownlawyer.com/Homes-And-Real-Estate/Assets-And-Liability</t>
  </si>
  <si>
    <t>https://sbrownlawyer.com/dwi/DWI-DUI-Accident</t>
  </si>
  <si>
    <t>https://sbrownlawyer.com/2023/01/10/should-i-talk-to-the-other-drivers-insurance-company/</t>
  </si>
  <si>
    <t>Should I Talk to The Other Driver's Insurance Company? | Angleton, TX</t>
  </si>
  <si>
    <t>https://sbrownlawyer.com/dwi/Do-Not-Blow</t>
  </si>
  <si>
    <t>https://sbrownlawyer.com/dwi/Field-Sobriety-Test</t>
  </si>
  <si>
    <t>https://sbrownlawyer.com/dwi/DWI-DUI-Drugs</t>
  </si>
  <si>
    <t>https://sbrownlawyer.com/dwi/Multiple-DWI-Loss-Of-License</t>
  </si>
  <si>
    <t>https://sbrownlawyer.com/schedule-now-es/</t>
  </si>
  <si>
    <t>https://sbrownlawyer.com/2017/08/01/7-key-reasons-texas-may-shift-the-property-division-in-divorces-away-from-a-50-50-split/</t>
  </si>
  <si>
    <t>7 Key Reasons Texas May Shift Property Division In Divorces Away From | Scott M. Brown &amp; Associates</t>
  </si>
  <si>
    <t>https://sbrownlawyer.com/2017/09/15/how-can-an-interlock-ignition-device-help-if-a-dui-causes-a-license-suspension-in-texas/</t>
  </si>
  <si>
    <t>How Can an Interlock Ignition Device Help If a DUI Causes a License | Scott M. Brown &amp; Associates</t>
  </si>
  <si>
    <t>https://sbrownlawyer.com/international-custody/</t>
  </si>
  <si>
    <t>International Custody Lawyer in Brazoria County, TX | Angleton, Pearland, League City, TX</t>
  </si>
  <si>
    <t>https://sbrownlawyer.com/parental-alienation/</t>
  </si>
  <si>
    <t>Parental Alienation | Pearland TX Custody Lawyer</t>
  </si>
  <si>
    <t>https://sbrownlawyer.com/Enforcement/</t>
  </si>
  <si>
    <t>https://sbrownlawyer.com/Parental-Relocation/</t>
  </si>
  <si>
    <t>https://sbrownlawyer.com/2015/Family-Law/Domestic-Abuse-And-Protective-Orders</t>
  </si>
  <si>
    <t>https://sbrownlawyer.com/2015/01/29/property-division-considerations-include-a-variety-of-assets/</t>
  </si>
  <si>
    <t>Property division considerations include a variety of assets | Scott M. Brown &amp; Associates | Scott M. Brown &amp; Associates</t>
  </si>
  <si>
    <t>https://sbrownlawyer.com/Family-Law/Visitation</t>
  </si>
  <si>
    <t>https://sbrownlawyer.com/2015/06/12/a-bed-shortage-is-affecting-texas-domestic-violence-shelters/</t>
  </si>
  <si>
    <t>A bed shortage is affecting Texas domestic violence shelters | Scott M. Brown &amp; Associates | Scott M. Brown &amp; Associates</t>
  </si>
  <si>
    <t>https://sbrownlawyer.com/2015/05/15/what-will-happen-to-my-retirement/</t>
  </si>
  <si>
    <t>What will happen to my retirement? | Scott M. Brown &amp; Associates | Scott M. Brown &amp; Associates</t>
  </si>
  <si>
    <t>https://sbrownlawyer.com/2016/02/26/protective-orders-and-divorce-why-you-need-an-attorney/</t>
  </si>
  <si>
    <t>Protective orders and divorce: Why you need an attorney | Scott M. Brown &amp; Associates | Scott M. Brown &amp; Associates</t>
  </si>
  <si>
    <t>https://sbrownlawyer.com/2016/03/25/alimony-payments-are-helpful-but-not-mandatory/</t>
  </si>
  <si>
    <t>Alimony payments are helpful but not mandatory | Scott M. Brown &amp; Associates | Scott M. Brown &amp; Associates</t>
  </si>
  <si>
    <t>https://sbrownlawyer.com/2015/02/27/divorce-trends-and-reasons-throughout-the-year/</t>
  </si>
  <si>
    <t>Divorce trends and reasons throughout the year | Scott M. Brown &amp; Associates | Scott M. Brown &amp; Associates</t>
  </si>
  <si>
    <t>https://sbrownlawyer.com/how-is-property-divided-in-a-texas-divorce/</t>
  </si>
  <si>
    <t>https://sbrownlawyer.com/2014/01/17/new-texas-law-aims-to-protect-pets-during-domestic-abuse-cases/</t>
  </si>
  <si>
    <t>New Texas law aims to protect pets during domestic abuse cases | Scott M. Brown &amp; Associates | Scott M. Brown &amp; Associates</t>
  </si>
  <si>
    <t>https://sbrownlawyer.com/2013/12/20/alimony-payments-may-be-tax-deductible/</t>
  </si>
  <si>
    <t>Alimony payments may be tax deductible | Scott M. Brown &amp; Associates | Scott M. Brown &amp; Associates</t>
  </si>
  <si>
    <t>https://sbrownlawyer.com/2013/02/18/texas-child-support-debt-may-result-in-tax-refund-garnishment/</t>
  </si>
  <si>
    <t>Texas child support debt may result in tax refund garnishment | Scott M. Brown &amp; Associates | Scott M. Brown &amp; Associates</t>
  </si>
  <si>
    <t>https://sbrownlawyer.com/2021/05/06/confronting-gender-bias-in-child-custody-arrangements/</t>
  </si>
  <si>
    <t>Confronting Gender Bias in Child Custody Arrangements | Scott M. Brown &amp; Associates</t>
  </si>
  <si>
    <t>https://sbrownlawyer.com/2017/12/15/domestic-violence-and-custody-determinations-in-texas/</t>
  </si>
  <si>
    <t>How Domestic Violence Affects Custody Determinations In Texas | Scott M. Brown &amp; Associates</t>
  </si>
  <si>
    <t>https://sbrownlawyer.com/2013/11/01/considering-relocation-laws-when-making-custody-arrangements/</t>
  </si>
  <si>
    <t>Considering relocation laws when making custody arrangements | Scott M. Brown &amp; Associates | Scott M. Brown &amp; Associates</t>
  </si>
  <si>
    <t>https://sbrownlawyer.com/2017/04/19/grounds-for-changing-a-custody-order-in-texas/</t>
  </si>
  <si>
    <t>Grounds For Changing A Custody Order In Texas | Scott M. Brown &amp; Associates | Scott M. Brown &amp; Associates</t>
  </si>
  <si>
    <t>https://sbrownlawyer.com/league-city-family-family-lawyer/</t>
  </si>
  <si>
    <t>League City Family Law Attorney | Divorce</t>
  </si>
  <si>
    <t>https://sbrownlawyer.com/2021/09/27/how-to-find-the-best-child-custody-lawyer-in-League%20City-tx-and-how-they-can-help-your-case/</t>
  </si>
  <si>
    <t>https://sbrownlawyer.com/family-law-attorney-in-galveston/</t>
  </si>
  <si>
    <t>Galveston Divorce &amp; Family Lawyers | Scott M. Brown &amp; Associates</t>
  </si>
  <si>
    <t>https://sbrownlawyer.com/2018/09/12/what-is-joint-custody/</t>
  </si>
  <si>
    <t>What is a Joint Custody Arrangement? | Scott M. Brown &amp; Associates</t>
  </si>
  <si>
    <t>https://sbrownlawyer.com/2013/05/03/texas-child-custody-battle-abduction-amber-alert-arrest/</t>
  </si>
  <si>
    <t>Texas child custody battle: Abduction, Amber Alert, arrest | Scott M. Brown &amp; Associates | Scott M. Brown &amp; Associates</t>
  </si>
  <si>
    <t>https://sbrownlawyer.com/2012/05/10/family-law-do-child-custody-managers-have-too-much-power/</t>
  </si>
  <si>
    <t>Family law: do child custody managers have too much power? | Scott M. Brown &amp; Associates | Scott M. Brown &amp; Associates</t>
  </si>
  <si>
    <t>https://sbrownlawyer.com/2014/12/11/woman-shot-in-head-after-history-of-domestic-violence/</t>
  </si>
  <si>
    <t>Woman shot in head after history of domestic violence | Scott M. Brown &amp; Associates | Scott M. Brown &amp; Associates</t>
  </si>
  <si>
    <t>https://sbrownlawyer.com/2015/10/27/child-custody-cases-require-personal-attention-to-the-details/</t>
  </si>
  <si>
    <t>Child custody cases require personal attention to the details | Scott M. Brown &amp; Associates | Scott M. Brown &amp; Associates</t>
  </si>
  <si>
    <t>https://sbrownlawyer.com/2014/07/18/child-custody-battles-shouldnt-be-affected-by-deployment-status/</t>
  </si>
  <si>
    <t>Child custody battles shouldn't be affected by deployment status | Scott M. Brown &amp; Associates | Scott M. Brown &amp; Associates</t>
  </si>
  <si>
    <t>https://sbrownlawyer.com/2021/10/25/child-custody-101-what-decides-custody-of-a-child/</t>
  </si>
  <si>
    <t>Child Custody 101: What Decides Custody of a Child? | Scott M. Brown &amp; Associates</t>
  </si>
  <si>
    <t>https://sbrownlawyer.com/2021/11/26/child-support-guidelines-in-texas-an-overview/</t>
  </si>
  <si>
    <t>Child Support Guidelines in Texas: An Overview | League City, TX</t>
  </si>
  <si>
    <t>https://sbrownlawyer.com/restraining-orders/</t>
  </si>
  <si>
    <t>Lawyer for Restraining Orders | Offices in Angleton, Pearland &amp; League City, TX</t>
  </si>
  <si>
    <t>https://sbrownlawyer.com/2022/01/07/i-will-fight-for-you/</t>
  </si>
  <si>
    <t>I Will Fight For You | Scott M. Brown &amp; Associates</t>
  </si>
  <si>
    <t>https://sbrownlawyer.com/2020/04/24/fighting-over-custody-need-a-divorce-family-lawyer-might-be-for-you/</t>
  </si>
  <si>
    <t>Fighting over custody? Need a Divorce? Family Lawyer Might Be For You | Scott M. Brown &amp; Associates</t>
  </si>
  <si>
    <t>https://sbrownlawyer.com/2021/01/05/everything-you-need-to-know-about-child-custody-in-texas/</t>
  </si>
  <si>
    <t>Everything You Need to Know About Child Custody in Texas | Scott M. Brown &amp; Associates</t>
  </si>
  <si>
    <t>https://sbrownlawyer.com/2020/09/10/types-of-custody-arrangements-for-divorcing-couples/</t>
  </si>
  <si>
    <t>Types of Custody Arrangements for Divorcing Couples | Scott M. Brown &amp; Associates</t>
  </si>
  <si>
    <t>https://sbrownlawyer.com/2015/Family-Law/Spousal-Support</t>
  </si>
  <si>
    <t>https://sbrownlawyer.com/2015/11/06/worlds-most-expensive-divorce-comes-to-end/</t>
  </si>
  <si>
    <t>World's most expensive divorce comes to end | Scott M. Brown &amp; Associates | Scott M. Brown &amp; Associates</t>
  </si>
  <si>
    <t>https://sbrownlawyer.com/2015/12/04/child-custody-and-the-holidays/</t>
  </si>
  <si>
    <t>Child custody and the holidays | Scott M. Brown &amp; Associates | Scott M. Brown &amp; Associates</t>
  </si>
  <si>
    <t>https://sbrownlawyer.com/2021/02/28/what-happens-after-a-second-and-third-dwi-in-texas/</t>
  </si>
  <si>
    <t>What Happens After a Second and Third DWI in Texas? | Scott M. Brown &amp; Associates</t>
  </si>
  <si>
    <t>https://sbrownlawyer.com/protective-orders-divorce/</t>
  </si>
  <si>
    <t>Attorney for Protective Orders &amp; Divorce in Angleton, TX | Offices in League City &amp; Pearland, TX</t>
  </si>
  <si>
    <t>https://sbrownlawyer.com/2020/06/25/partner-abuse-the-many-forms-of-domestic-violence/</t>
  </si>
  <si>
    <t>Partner Abuse: The Many Forms of Domestic Violence | Scott M. Brown &amp; Associates</t>
  </si>
  <si>
    <t>https://sbrownlawyer.com/2020/05/21/what-happens-if-you-violate-a-restraining-order/</t>
  </si>
  <si>
    <t>What Happens If You Violate a Restraining Order? | Scott M. Brown &amp; Associates</t>
  </si>
  <si>
    <t>https://sbrownlawyer.com/2020/12/05/children-and-divorce-a-step-by-step-guide-on-child-custody/</t>
  </si>
  <si>
    <t>Children and Divorce: A Step-by-Step Guide on Child Custody | Scott M. Brown &amp; Associates</t>
  </si>
  <si>
    <t>https://sbrownlawyer.com/domestic-violence-lawyer-in-league-city-tx/</t>
  </si>
  <si>
    <t>League City Texas Domestic Violence Defense Lawyer</t>
  </si>
  <si>
    <t>https://sbrownlawyer.com/2021/04/21/dwi-consequences-in-texas-whats-the-maximum-penalty-for-a-dwi/</t>
  </si>
  <si>
    <t>DWI Consequences in Texas: What's the Maximum Penalty for a DWI? | Scott M. Brown &amp; Associates</t>
  </si>
  <si>
    <t>https://sbrownlawyer.com/2020/05/07/what-you-need-to-know-about-child-custody-laws-in-texas/</t>
  </si>
  <si>
    <t>What You Need to Know About Child Custody Laws in Texas | Scott M. Brown &amp; Associates</t>
  </si>
  <si>
    <t>https://sbrownlawyer.com/Family-Law/Division-Of-Property</t>
  </si>
  <si>
    <t>https://sbrownlawyer.com/2021/01/30/all-about-child-custody-in-texas/</t>
  </si>
  <si>
    <t>All About Child Custody in Texas | Scott M. Brown &amp; Associates</t>
  </si>
  <si>
    <t>https://sbrownlawyer.com/2015/10/02/child-support-and-gender-bias-in-the-courts/</t>
  </si>
  <si>
    <t>Child support and gender bias in the courts | Scott M. Brown &amp; Associates | Scott M. Brown &amp; Associates</t>
  </si>
  <si>
    <t>https://sbrownlawyer.com/2015/09/01/prenups-for-seniors/</t>
  </si>
  <si>
    <t>Prenups for seniors | Scott M. Brown &amp; Associates | Scott M. Brown &amp; Associates</t>
  </si>
  <si>
    <t>https://sbrownlawyer.com/2013/11/22/same-sex-divorce-cases-to-be-settled-in-texas-supreme-court/</t>
  </si>
  <si>
    <t>Same-sex divorce cases to be settled in Texas Supreme Court | Scott M. Brown &amp; Associates | Scott M. Brown &amp; Associates</t>
  </si>
  <si>
    <t>https://sbrownlawyer.com/2013/11/02/do-many-texas-couples-need-prenuptial-agreements/</t>
  </si>
  <si>
    <t>Do many Texas couples need prenuptial agreements? | Scott M. Brown &amp; Associates | Scott M. Brown &amp; Associates</t>
  </si>
  <si>
    <t>https://sbrownlawyer.com/2012/08/22/texas-divorce-may-require-introspection-and-reflection/</t>
  </si>
  <si>
    <t>Texas divorce may require introspection and reflection | Scott M. Brown &amp; Associates | Scott M. Brown &amp; Associates</t>
  </si>
  <si>
    <t>https://sbrownlawyer.com/2012/09/17/could-cold-feet-be-a-sign-of-a-future-texas-divorce/</t>
  </si>
  <si>
    <t>Could "cold feet" be a sign of a future Texas divorce? | Scott M. Brown &amp; Associates | Scott M. Brown &amp; Associates</t>
  </si>
  <si>
    <t>https://sbrownlawyer.com/2013/Family-Law/Domestic-Abuse-And-Protective-Orders</t>
  </si>
  <si>
    <t>https://sbrownlawyer.com/2014/Family-Law/Domestic-Abuse-And-Protective-Orders</t>
  </si>
  <si>
    <t>https://sbrownlawyer.com/Family-Law/Divorce</t>
  </si>
  <si>
    <t>https://sbrownlawyer.com/2013/09/10/mistakes-made-when-planning-a-divorce-property-settlement/</t>
  </si>
  <si>
    <t>Mistakes made when planning a divorce property settlement | Scott M. Brown &amp; Associates | Scott M. Brown &amp; Associates</t>
  </si>
  <si>
    <t>https://sbrownlawyer.com/2013/08/13/costs-of-splitting-up-is-major-concern-when-considering-divorce/</t>
  </si>
  <si>
    <t>Costs of splitting up is major concern when considering divorce | Scott M. Brown &amp; Associates | Scott M. Brown &amp; Associates</t>
  </si>
  <si>
    <t>https://sbrownlawyer.com/2014/02/07/a-change-in-child-custody-arrangements-could-be-on-the-horizon/</t>
  </si>
  <si>
    <t>A change in child custody arrangements could be on the horizon | Scott M. Brown &amp; Associates | Scott M. Brown &amp; Associates</t>
  </si>
  <si>
    <t>https://sbrownlawyer.com/2014/01/23/stay-at-home-moms-should-consider-postnuptial-agreements/</t>
  </si>
  <si>
    <t>Stay-at-home moms should consider postnuptial agreements | Scott M. Brown &amp; Associates | Scott M. Brown &amp; Associates</t>
  </si>
  <si>
    <t>https://sbrownlawyer.com/2021/07/20/8-questions-to-ask-dui-attorneys/</t>
  </si>
  <si>
    <t>8 Questions To Ask DUI Attorneys | Scott M. Brown &amp; Associates</t>
  </si>
  <si>
    <t>https://sbrownlawyer.com/2021/08/01/10-things-to-know-about-tx-child-custody/</t>
  </si>
  <si>
    <t>10 Things to Know About TX Child Custody | Scott M. Brown &amp; Associates</t>
  </si>
  <si>
    <t>https://sbrownlawyer.com/2014/02/14/millions-in-child-support-recovered-in-el-paso/</t>
  </si>
  <si>
    <t>Millions in child support recovered in El Paso | Scott M. Brown &amp; Associates | Scott M. Brown &amp; Associates</t>
  </si>
  <si>
    <t>https://sbrownlawyer.com/2013/08/06/determinations-that-go-into-the-awarding-of-spousal-support/</t>
  </si>
  <si>
    <t>Determinations that go into the awarding of spousal support | Scott M. Brown &amp; Associates | Scott M. Brown &amp; Associates</t>
  </si>
  <si>
    <t>https://sbrownlawyer.com/2013/09/18/alimony-in-a-community-property-state-such-as-texas/</t>
  </si>
  <si>
    <t>Alimony in a community property state such as Texas | Scott M. Brown &amp; Associates | Scott M. Brown &amp; Associates</t>
  </si>
  <si>
    <t>https://sbrownlawyer.com/2013/Family-Law/Divorce/High-Net-Worth-Divorce</t>
  </si>
  <si>
    <t>https://sbrownlawyer.com/2012/09/28/texas-divorce-communicating-when-a-former-partner-moves-on/</t>
  </si>
  <si>
    <t>Texas divorce: Communicating when a former partner moves on | Scott M. Brown &amp; Associates | Scott M. Brown &amp; Associates</t>
  </si>
  <si>
    <t>https://sbrownlawyer.com/2015/10/09/stepparents-how-to-ease-the-transition/</t>
  </si>
  <si>
    <t>Stepparents: How to ease the transition | Scott M. Brown &amp; Associates | Scott M. Brown &amp; Associates</t>
  </si>
  <si>
    <t>https://sbrownlawyer.com/2012/08/15/legal-options-in-child-support-randy-jackson-seriously-overdue/</t>
  </si>
  <si>
    <t>Legal options in child support: Randy Jackson seriously overdue | Scott M. Brown &amp; Associates | Scott M. Brown &amp; Associates</t>
  </si>
  <si>
    <t>https://sbrownlawyer.com/2013/11/27/texas-police-officer-arrested-after-domestic-violence-incident/</t>
  </si>
  <si>
    <t>Texas police officer arrested after domestic violence incident | Scott M. Brown &amp; Associates | Scott M. Brown &amp; Associates</t>
  </si>
  <si>
    <t>https://sbrownlawyer.com/2015/08/28/discovering-hidden-assets-how-we-can-help/</t>
  </si>
  <si>
    <t>Discovering hidden assets: How we can help | Scott M. Brown &amp; Associates | Scott M. Brown &amp; Associates</t>
  </si>
  <si>
    <t>https://sbrownlawyer.com/2020/11/13/these-are-the-different-types-of-divorce-in-texas/</t>
  </si>
  <si>
    <t>These Are the Different Types of Divorce in Texas | Scott M. Brown &amp; Associates</t>
  </si>
  <si>
    <t>https://sbrownlawyer.com/2020/10/14/when-all-hope-is-lost-when-to-get-a-divorce/</t>
  </si>
  <si>
    <t>When All Hope Is Lost: When to Get a Divorce | Scott M. Brown &amp; Associates</t>
  </si>
  <si>
    <t>https://sbrownlawyer.com/criminal-law/first-offenders/</t>
  </si>
  <si>
    <t>First Time Offender Program in Texas | Criminal Law Attorneys</t>
  </si>
  <si>
    <t>https://sbrownlawyer.com/2020/07/13/10-signs-divorced-parents-are-doing-right-by-their-kids/</t>
  </si>
  <si>
    <t>10 Signs Divorced Parents Are Doing Right by Their Kids | Scott M. Brown &amp; Associates</t>
  </si>
  <si>
    <t>https://sbrownlawyer.com/domestic-violence/</t>
  </si>
  <si>
    <t>Domestic Violence Defense Lawyer | Pearland, Angleton &amp; League City Texas | Scott M. Brown &amp; Associates</t>
  </si>
  <si>
    <t>https://sbrownlawyer.com/domestic-violence</t>
  </si>
  <si>
    <t>https://sbrownlawyer.com/2019/10/08/can-you-sue-a-partner-that-infected-you-with-an-std/</t>
  </si>
  <si>
    <t>Sue a Partner Who Gave You STD’s? | Scott M. Brown &amp; Associates</t>
  </si>
  <si>
    <t>https://sbrownlawyer.com/rule-1-file-first</t>
  </si>
  <si>
    <t>https://sbrownlawyer.com/2020/06/16/accepting-divorce-our-advice-for-overcoming-grief-and-frustration/</t>
  </si>
  <si>
    <t>Accepting Divorce: Our Advice for Overcoming Grief and Frustration | Scott M. Brown &amp; Associates</t>
  </si>
  <si>
    <t>https://sbrownlawyer.com/2020/11/29/how-long-does-a-dwi-stay-on-your-record-in-texas/</t>
  </si>
  <si>
    <t>How Long Does a DWI Stay on Your Record in Texas? | Scott M. Brown &amp; Associates</t>
  </si>
  <si>
    <t>https://sbrownlawyer.com/2021/02/07/when-is-it-time-to-hire-a-family-divorce-lawyer/</t>
  </si>
  <si>
    <t>When is it Time to Hire a Family Divorce Lawyer? | Scott M. Brown &amp; Associates</t>
  </si>
  <si>
    <t>https://sbrownlawyer.com/2020/08/24/the-complete-guide-to-dwi-vs-dui-laws-in-texas/</t>
  </si>
  <si>
    <t>The Complete Guide to DWI vs. DUI Laws in Texas | Scott M. Brown &amp; Associates</t>
  </si>
  <si>
    <t>https://sbrownlawyer.com/2020/09/27/when-is-it-time-for-a-divorce/</t>
  </si>
  <si>
    <t>When Is It Time for a Divorce? | Scott M. Brown &amp; Associates</t>
  </si>
  <si>
    <t>https://sbrownlawyer.com/2021/01/15/do-you-have-to-hire-a-lawyer-after-drunk-driving/</t>
  </si>
  <si>
    <t>Do You Have to Hire a Lawyer After Drunk Driving? | Scott M. Brown &amp; Associates</t>
  </si>
  <si>
    <t>https://sbrownlawyer.com/2019/03/01/your-guide-to-child-custody-modification/</t>
  </si>
  <si>
    <t>Your Guide to Child Custody Modification | Scott M. Brown &amp; Associates</t>
  </si>
  <si>
    <t>https://sbrownlawyer.com/2020/04/10/what-can-a-dwi-lawyer-do-for-a-person-charged-with-dwi/</t>
  </si>
  <si>
    <t>What Can a DWI Lawyer Do for a Person Charged with DWI | Scott M. Brown &amp; Associates</t>
  </si>
  <si>
    <t>https://sbrownlawyer.com/2016/04/20/what-happens-if-my-ex-stops-paying-child-support/</t>
  </si>
  <si>
    <t>What happens if my ex stops paying child support? | Scott M. Brown &amp; Associates | Scott M. Brown &amp; Associates</t>
  </si>
  <si>
    <t>https://sbrownlawyer.com/2021/11/17/child-support/</t>
  </si>
  <si>
    <t>Child Support | Scott M. Brown &amp; Associates</t>
  </si>
  <si>
    <t>https://sbrownlawyer.com/2015/06/23/how-do-the-courts-determine-the-primary-caretaker/</t>
  </si>
  <si>
    <t>How do the courts determine the primary caretaker? | Scott M. Brown &amp; Associates | Scott M. Brown &amp; Associates</t>
  </si>
  <si>
    <t>https://sbrownlawyer.com/2016/08/16/paying-child-support-and-alimony-using-structured-settlements/</t>
  </si>
  <si>
    <t>Paying Child Support And Alimony Using Structured Settlements | Scott M. Brown &amp; Associates | Scott M. Brown &amp; Associates</t>
  </si>
  <si>
    <t>https://sbrownlawyer.com/2012/03/16/financial-challenges-for-texas-parents-who-owe-child-support/</t>
  </si>
  <si>
    <t>Financial challenges for Texas parents who owe child support | Scott M. Brown &amp; Associates | Scott M. Brown &amp; Associates</t>
  </si>
  <si>
    <t>https://sbrownlawyer.com/2018/04/01/calculating-child-support-in-texas/</t>
  </si>
  <si>
    <t>Calculating Child Support in Texas | Scott M. Brown &amp; Associates</t>
  </si>
  <si>
    <t>https://sbrownlawyer.com/2021/10/10/facing-criminal-charges-why-you-need-to-contact-a-criminal-defense-lawyer-now/</t>
  </si>
  <si>
    <t>Facing Criminal Charges? Why You Need to Contact a Criminal Defense | Scott M. Brown &amp; Associates</t>
  </si>
  <si>
    <t>https://sbrownlawyer.com/2021/11/05/5-things-you-need-to-know-about-child-custody-in-texas/</t>
  </si>
  <si>
    <t>5 Things You Need to Know About Child Custody In Texas | Scott M. Brown &amp; Associates</t>
  </si>
  <si>
    <t>https://sbrownlawyer.com/2014/07/16/paul-george-in-child-custody-and-paternity-case/</t>
  </si>
  <si>
    <t>Paul George in child custody and paternity case | Scott M. Brown &amp; Associates | Scott M. Brown &amp; Associates</t>
  </si>
  <si>
    <t>https://sbrownlawyer.com/2014/07/25/men-are-victims-of-domestic-violence-too/</t>
  </si>
  <si>
    <t>Men are victims of domestic violence too | Scott M. Brown &amp; Associates | Scott M. Brown &amp; Associates</t>
  </si>
  <si>
    <t>https://sbrownlawyer.com/2015/10/23/reasons-that-alimony-may-be-cancelled/</t>
  </si>
  <si>
    <t>Reasons that alimony may be cancelled | Scott M. Brown &amp; Associates | Scott M. Brown &amp; Associates</t>
  </si>
  <si>
    <t>https://sbrownlawyer.com/2014/12/04/how-can-i-make-holiday-visitation-easier-on-my-child/</t>
  </si>
  <si>
    <t>How can I make holiday visitation easier on my child? | Scott M. Brown &amp; Associates | Scott M. Brown &amp; Associates</t>
  </si>
  <si>
    <t>https://sbrownlawyer.com/2012/05/18/family-law-matters-land-evangelista-in-court-for-child-support/</t>
  </si>
  <si>
    <t>Family law matters land Evangelista in court for child support | Scott M. Brown &amp; Associates | Scott M. Brown &amp; Associates</t>
  </si>
  <si>
    <t>https://sbrownlawyer.com/2012/05/04/couple-considers-divorce-because-of-dire-financial-situation/</t>
  </si>
  <si>
    <t>Couple considers divorce because of dire financial situation | Scott M. Brown &amp; Associates | Scott M. Brown &amp; Associates</t>
  </si>
  <si>
    <t>https://sbrownlawyer.com/2013/04/24/thirty-four-parents-arrested-in-texas-on-child-support-warrants/</t>
  </si>
  <si>
    <t>Thirty-four parents arrested in Texas on child support warrants | Scott M. Brown &amp; Associates | Scott M. Brown &amp; Associates</t>
  </si>
  <si>
    <t>https://sbrownlawyer.com/2018/09/04/is-it-legal-for-police-to-search-your-car-in-texas/</t>
  </si>
  <si>
    <t>Is it Legal for Police to Search Your Car in TX? | Scott M. Brown &amp; Associates</t>
  </si>
  <si>
    <t>https://sbrownlawyer.com/2013/06/03/new-domestic-violence-legislation-passed-in-texas/</t>
  </si>
  <si>
    <t>New domestic violence legislation passed in Texas | Scott M. Brown &amp; Associates | Scott M. Brown &amp; Associates</t>
  </si>
  <si>
    <t>https://sbrownlawyer.com/2018/09/15/how-does-domestic-violence-factor-into-your-family-law-case/</t>
  </si>
  <si>
    <t>How Does Domestic Violence Factor into Your Family Law Case? | Scott M. Brown &amp; Associates</t>
  </si>
  <si>
    <t>https://sbrownlawyer.com/child-support-lawyer-in-galveston/</t>
  </si>
  <si>
    <t>Galveston Texas Child Support Lawyer</t>
  </si>
  <si>
    <t>https://sbrownlawyer.com/galveston-spousal-support/</t>
  </si>
  <si>
    <t>Spousal Support Lawyers in Galveston TX</t>
  </si>
  <si>
    <t>https://sbrownlawyer.com/league-city-tx-family-law-attorneys/</t>
  </si>
  <si>
    <t>League City Texas Family Law Attorneys</t>
  </si>
  <si>
    <t>https://sbrownlawyer.com/2013/10/31/infidelity-lies-and-breakup-not-just-in-lambert-shelton-songs/</t>
  </si>
  <si>
    <t>Infidelity, lies and breakup not just in Lambert, Shelton songs | Scott M. Brown &amp; Associates | Scott M. Brown &amp; Associates</t>
  </si>
  <si>
    <t>https://sbrownlawyer.com/2017/04/08/what-happens-if-i-refuse-to-take-a-test-when-arrested-for-a-dwi/</t>
  </si>
  <si>
    <t>What Happens If I Refuse To Take A Test When Arrested For A DWI? | Scott M. Brown &amp; Associates | Scott M. Brown &amp; Associates</t>
  </si>
  <si>
    <t>https://sbrownlawyer.com/2017/12/07/new-texas-law-aims-at-children-left-in-hot-cars/</t>
  </si>
  <si>
    <t>New Texas Law Aims at Children Left in Hot Cars | Scott M. Brown &amp; Associates</t>
  </si>
  <si>
    <t>https://sbrownlawyer.com/2017/04/21/the-role-of-the-life-care-planner-in-a-serious-injury-case/</t>
  </si>
  <si>
    <t>The role of the life care planner in a serious injury case | Scott M. Brown &amp; Associates | Scott M. Brown &amp; Associates</t>
  </si>
  <si>
    <t>https://sbrownlawyer.com/Fathers-Rights/</t>
  </si>
  <si>
    <t>https://sbrownlawyer.com/2017/12/22/tickets-for-driving-without-car-insurnace-now-in-effect/</t>
  </si>
  <si>
    <t>Tickets for Driving Without Car Insurance Now in Effect | Scott M. Brown &amp; Associates</t>
  </si>
  <si>
    <t>https://sbrownlawyer.com/2013/Family-Law/Spousal-Support</t>
  </si>
  <si>
    <t>https://sbrownlawyer.com/2013/02/15/privacy-could-be-a-myth-during-a-texas-divorce/</t>
  </si>
  <si>
    <t>Privacy could be a myth during a Texas divorce | Scott M. Brown &amp; Associates | Scott M. Brown &amp; Associates</t>
  </si>
  <si>
    <t>https://sbrownlawyer.com/2016/Family-Law/Spousal-Support</t>
  </si>
  <si>
    <t>https://sbrownlawyer.com/2015/02/20/child-support-rights-of-grandparents-with-custody-of-a-grandchild/</t>
  </si>
  <si>
    <t>Child support rights of grandparents with custody of a grandchild | Scott M. Brown &amp; Associates | Scott M. Brown &amp; Associates</t>
  </si>
  <si>
    <t>https://sbrownlawyer.com/2013/12/12/dallas-high-school-athletes-pledge-to-help-end-domestic-violence/</t>
  </si>
  <si>
    <t>Dallas high school athletes pledge to help end domestic violence | Scott M. Brown &amp; Associates | Scott M. Brown &amp; Associates</t>
  </si>
  <si>
    <t>https://sbrownlawyer.com/2016/04/01/do-i-need-an-attorney-even-if-we-dont-have-children/</t>
  </si>
  <si>
    <t>Do I need an attorney even if we don't have children? | Scott M. Brown &amp; Associates | Scott M. Brown &amp; Associates</t>
  </si>
  <si>
    <t>https://sbrownlawyer.com/2016/Criminal-Law/Domestic-Violence/Protective-Orders-Divorce</t>
  </si>
  <si>
    <t>https://sbrownlawyer.com/2016/02/18/how-does-bankruptcy-affect-child-support/</t>
  </si>
  <si>
    <t>How does bankruptcy affect child support? | Scott M. Brown &amp; Associates | Scott M. Brown &amp; Associates</t>
  </si>
  <si>
    <t>https://sbrownlawyer.com/2015/05/08/what-if-im-accused-of-child-abuse/</t>
  </si>
  <si>
    <t>What if I'm accused of child abuse? | Scott M. Brown &amp; Associates | Scott M. Brown &amp; Associates</t>
  </si>
  <si>
    <t>https://sbrownlawyer.com/2015/06/16/improve-your-safety-when-you-flee-a-domestic-abuse-situation/</t>
  </si>
  <si>
    <t>Improve your safety when you flee a domestic abuse situation | Scott M. Brown &amp; Associates | Scott M. Brown &amp; Associates</t>
  </si>
  <si>
    <t>https://sbrownlawyer.com/Parental-Relocation/International-Custody</t>
  </si>
  <si>
    <t>https://sbrownlawyer.com/Family-Law/Visitation/</t>
  </si>
  <si>
    <t>https://sbrownlawyer.com/Enforcement/Modifications</t>
  </si>
  <si>
    <t>https://sbrownlawyer.com/visitation</t>
  </si>
  <si>
    <t>https://sbrownlawyer.com/2015/02/10/domestic-abuse-can-profoundly-impact-immigrants/</t>
  </si>
  <si>
    <t>Domestic abuse can profoundly impact immigrants | Scott M. Brown &amp; Associates | Scott M. Brown &amp; Associates</t>
  </si>
  <si>
    <t>https://sbrownlawyer.com/multiple-dwi-loss-of-license/</t>
  </si>
  <si>
    <t>Houston Multiple DWI Loss Of License Lawyer | Scott M. Brown &amp; Associates</t>
  </si>
  <si>
    <t>https://sbrownlawyer.com/2017/10/01/5-things-to-know-if-a-teenager-is-arrested-for-a-dui/</t>
  </si>
  <si>
    <t>5 Things To Know If A Teenager Is Arrested For A DUI | Scott M. Brown &amp; Associates</t>
  </si>
  <si>
    <t>https://sbrownlawyer.com/2017/07/17/driving-under-the-influence-of-drugs-in-texas/</t>
  </si>
  <si>
    <t>Driving Under the Influence of Drugs in Texas | Scott M. Brown &amp; Associates</t>
  </si>
  <si>
    <t>https://sbrownlawyer.com/dwi-dui-accident/</t>
  </si>
  <si>
    <t>Drunk Driving Accident Defense Attorney | Top Results in Angleton, League City &amp; Pearland, TX</t>
  </si>
  <si>
    <t>https://sbrownlawyer.com/dwi-dui-drugs/</t>
  </si>
  <si>
    <t>DUI/DWI and Drugs Charges | Winning Law Firm in Angleton, Pearland &amp; League City TX</t>
  </si>
  <si>
    <t>https://sbrownlawyer.com/field-sobriety-test/</t>
  </si>
  <si>
    <t>Field Sobriety Test Refusal Attorney | Defense Against DUI/DWI in Angleton, League City &amp; Pearland, TX</t>
  </si>
  <si>
    <t>https://sbrownlawyer.com/do-not-blow/</t>
  </si>
  <si>
    <t>Refuse to Blow a Breath Test? Top Criminal Defense Firm in League City Angleton &amp; Pearland, Texas</t>
  </si>
  <si>
    <t>https://sbrownlawyer.com/League%20City-tx-drug-possession-defense/</t>
  </si>
  <si>
    <t>League City Texas Drug Possession Charge Attorney</t>
  </si>
  <si>
    <t>https://sbrownlawyer.com/league-city-drug-distribution-charges/</t>
  </si>
  <si>
    <t>League City TX Drug Distribution Charge Defense Lawyer</t>
  </si>
  <si>
    <t>https://sbrownlawyer.com/Business-Owner-Divorce/</t>
  </si>
  <si>
    <t>https://sbrownlawyer.com/2015/12/11/get-a-protective-order-to-handle-domestic-violence/</t>
  </si>
  <si>
    <t>Get a protective order to handle domestic violence | Scott M. Brown &amp; Associates | Scott M. Brown &amp; Associates</t>
  </si>
  <si>
    <t>https://sbrownlawyer.com/Planning-For-Divorce/</t>
  </si>
  <si>
    <t>https://sbrownlawyer.com/2015/12/23/alimony-is-a-hot-button-issue-in-divorce/</t>
  </si>
  <si>
    <t>Alimony is a hot-button issue in divorce | Scott M. Brown &amp; Associates | Scott M. Brown &amp; Associates</t>
  </si>
  <si>
    <t>https://sbrownlawyer.com/Protecting-Your-Assets/</t>
  </si>
  <si>
    <t>https://sbrownlawyer.com/Guiding-Your-Children-Through-Divorce/</t>
  </si>
  <si>
    <t>Guiding Your Children Through Divorce | Scott M. Brown, P.C. | Angleton, Texas</t>
  </si>
  <si>
    <t>https://sbrownlawyer.com/2019/12/02/challenging-a-prenup/</t>
  </si>
  <si>
    <t>Challenging a Prenup in Texas | Scott M. Brown &amp; Associates</t>
  </si>
  <si>
    <t>https://sbrownlawyer.com/2019/10/28/what-does-it-mean-to-be-deemed-an-unfit-parent/</t>
  </si>
  <si>
    <t>What Defines an Unfit Parent? | Scott M. Brown &amp; Associates</t>
  </si>
  <si>
    <t>https://sbrownlawyer.com/2019/04/05/alternatives-to-going-to-trial/</t>
  </si>
  <si>
    <t>Alternatives to Going to Trial | Scott M. Brown &amp; Associates</t>
  </si>
  <si>
    <t>https://sbrownlawyer.com/2022/06/10/should-i-hire-a-personal-injury-lawyer/</t>
  </si>
  <si>
    <t>Should I Hire A Personal Injury Lawyer? | Houston, TX</t>
  </si>
  <si>
    <t>https://sbrownlawyer.com/page/4/</t>
  </si>
  <si>
    <t>https://sbrownlawyer.com/2022/04/20/divorce-with-a-joint-business/</t>
  </si>
  <si>
    <t>Divorce With a Joint Business | Scott M. Brown &amp; Associates</t>
  </si>
  <si>
    <t>https://sbrownlawyer.com/2022/06/15/the-child-support-is-insufficient/</t>
  </si>
  <si>
    <t>The Child Support is Insufficient | Scott M. Brown &amp; Associates</t>
  </si>
  <si>
    <t>https://sbrownlawyer.com/2022/06/29/should-i-take-the-plea-deal-or-take-my-chances-at-trial/</t>
  </si>
  <si>
    <t>Should I Take the Plea Deal or Take My Chances at Trial? | Scott M. Brown &amp; Associates</t>
  </si>
  <si>
    <t>https://sbrownlawyer.com/2022/05/03/past-case-court-order/</t>
  </si>
  <si>
    <t>Past Case: Court Order | Scott M. Brown &amp; Associates</t>
  </si>
  <si>
    <t>https://sbrownlawyer.com/2022/05/03/how-we-help/</t>
  </si>
  <si>
    <t>How We Help | Scott M. Brown &amp; Associates</t>
  </si>
  <si>
    <t>https://sbrownlawyer.com/blog/page/5/?et_blog</t>
  </si>
  <si>
    <t>https://sbrownlawyer.com/2020/01/05/texas-passes-new-law-for-assault-on-a-pregnant-woman/</t>
  </si>
  <si>
    <t>TX Passes New Law for Assault on Women | Scott M. Brown &amp; Associates</t>
  </si>
  <si>
    <t>https://sbrownlawyer.com/2020/01/21/texas-passes-new-law-for-assault-on-a-pregnant-woman-2/</t>
  </si>
  <si>
    <t>Is Your House Safe While Filing for Divorce? | Scott M. Brown &amp; Associates</t>
  </si>
  <si>
    <t>https://sbrownlawyer.com/burglary/</t>
  </si>
  <si>
    <t>Theft &amp; Shoplifting Defense Attorney in Houston, TX | Offices in Angleton, Pearland &amp; League City TX</t>
  </si>
  <si>
    <t>https://sbrownlawyer.com/theft-and-shoplifting/</t>
  </si>
  <si>
    <t>Theft and Shoplifting Defense Attorney | Pearland, Angleton</t>
  </si>
  <si>
    <t>https://sbrownlawyer.com/2016/12/30/considering-divorce-why-you-need-an-attorney/</t>
  </si>
  <si>
    <t>Considering Divorce? Why You Need an Attorney | Scott M. Brown &amp; Associates | Scott M. Brown &amp; Associates</t>
  </si>
  <si>
    <t>https://sbrownlawyer.com/brazoria-county-dwi-lawyer/</t>
  </si>
  <si>
    <t>Brazoria DWI Defense Lawyer | Drink Driving</t>
  </si>
  <si>
    <t>https://sbrownlawyer.com/League%20City-juvenile-crimes-lawyer/</t>
  </si>
  <si>
    <t>https://sbrownlawyer.com/2016/11/03/becoming-a-great-stepparent/</t>
  </si>
  <si>
    <t>Becoming A Great Stepparent | Scott M. Brown &amp; Associates | Scott M. Brown &amp; Associates</t>
  </si>
  <si>
    <t>https://sbrownlawyer.com/major-felonies/</t>
  </si>
  <si>
    <t>Felony Lawyer | Angleton, TX</t>
  </si>
  <si>
    <t>https://sbrownlawyer.com/violent-crimes/</t>
  </si>
  <si>
    <t>Violent Crime Defense Lawyer | Angleton, League City &amp; Pearland, Texas</t>
  </si>
  <si>
    <t>https://sbrownlawyer.com/child-abuse/</t>
  </si>
  <si>
    <t>Child Abuse Defense Attorney in Pearland, Angleton &amp; League City TX | Scott M. Brown &amp; Associates</t>
  </si>
  <si>
    <t>https://sbrownlawyer.com/League%20City-tx-theft-crimes/</t>
  </si>
  <si>
    <t>https://sbrownlawyer.com/domestic-violence-lawyer-in-League%20City-tx/</t>
  </si>
  <si>
    <t>https://sbrownlawyer.com/white-collar-crimes/</t>
  </si>
  <si>
    <t>Criminal Defense Lawyer | Defense Against White Collar Crimes Charges | Angleton, Pearland &amp; League City, TX</t>
  </si>
  <si>
    <t>https://sbrownlawyer.com/League%20City-aggravated-assault-lawyer/</t>
  </si>
  <si>
    <t>https://sbrownlawyer.com/League%20City-tx-dwi-dui/</t>
  </si>
  <si>
    <t>League City TX DUI &amp; DWI Attorneys | Criminal Defense</t>
  </si>
  <si>
    <t>https://sbrownlawyer.com/car-accidents/</t>
  </si>
  <si>
    <t>Brazoria County Car Accident Lawyer | Top Dollar for Your Case | Angleton, Pearland &amp; League City Offices</t>
  </si>
  <si>
    <t>https://sbrownlawyer.com/drug-charges/</t>
  </si>
  <si>
    <t>Angleton, TX Drug Charges Attorney | Pearland &amp; League City</t>
  </si>
  <si>
    <t>https://sbrownlawyer.com/federal-criminal-defense/</t>
  </si>
  <si>
    <t>Federal Criminal Defense | Scott M. Brown &amp; Associates</t>
  </si>
  <si>
    <t>https://sbrownlawyer.com/motorcycle-accidents/</t>
  </si>
  <si>
    <t>Brazoria County Motorcycle Accident Lawyer | Top Dollar for Your Case | Angleton, Pearland &amp; League City Offices</t>
  </si>
  <si>
    <t>https://sbrownlawyer.com/White-Collar-Crimes</t>
  </si>
  <si>
    <t>https://sbrownlawyer.com/drug-charges/Drug-Distribution</t>
  </si>
  <si>
    <t>https://sbrownlawyer.com/Major-Felonies</t>
  </si>
  <si>
    <t>https://sbrownlawyer.com/termination/</t>
  </si>
  <si>
    <t>https://sbrownlawyer.com/drug-charges/Alternative-Outcomes-In-Drug-Cases</t>
  </si>
  <si>
    <t>https://sbrownlawyer.com/drug-charges/Drug-Possession</t>
  </si>
  <si>
    <t>https://sbrownlawyer.com/drug-charges/Prescription-Drug-Charges</t>
  </si>
  <si>
    <t>https://sbrownlawyer.com/violent-crimes/Assault-Charges</t>
  </si>
  <si>
    <t>https://sbrownlawyer.com/Domestic-Violence</t>
  </si>
  <si>
    <t>https://sbrownlawyer.com/drug-charges</t>
  </si>
  <si>
    <t>https://sbrownlawyer.com/league-city-car-accidents/</t>
  </si>
  <si>
    <t>Car Accident Lawyer in League City TX</t>
  </si>
  <si>
    <t>https://sbrownlawyer.com/league-city-tx-dwi-dui/</t>
  </si>
  <si>
    <t>https://sbrownlawyer.com/theft-and-shoplifting/Burglary</t>
  </si>
  <si>
    <t>https://sbrownlawyer.com/theft-and-shoplifting</t>
  </si>
  <si>
    <t>https://sbrownlawyer.com/2017/01/06/accused-of-domestic-violence-you-need-effective-representation/</t>
  </si>
  <si>
    <t>Accused Of Domestic Violence? You Need Effective Representation. | Scott M. Brown &amp; Associates | Scott M. Brown &amp; Associates</t>
  </si>
  <si>
    <t>https://sbrownlawyer.com/2016/10/25/tech-help-for-the-co-parent/</t>
  </si>
  <si>
    <t>Tech help for the co-parent | Scott M. Brown &amp; Associates | Scott M. Brown &amp; Associates</t>
  </si>
  <si>
    <t>https://sbrownlawyer.com/2020/02/11/how-to-find-a-family-lawyer-divorce-and-child-custody/</t>
  </si>
  <si>
    <t>How to Find a Family Lawyer (Divorce And Child Custody) | Scott M. Brown &amp; Associates</t>
  </si>
  <si>
    <t>https://sbrownlawyer.com/2019/12/30/can-pedestrian-detection-systems-be-trusted/</t>
  </si>
  <si>
    <t>Can Pedestrian Detection Systems be Trusted? | Scott M. Brown &amp; Associates</t>
  </si>
  <si>
    <t>https://sbrownlawyer.com/blog/page/6/?et_blog</t>
  </si>
  <si>
    <t>https://sbrownlawyer.com/2019/01/01/how-to-prepare-for-your-mediation/</t>
  </si>
  <si>
    <t>How to Prepare for Your Mediation | Scott M. Brown &amp; Associates</t>
  </si>
  <si>
    <t>https://sbrownlawyer.com/page/5/</t>
  </si>
  <si>
    <t>https://sbrownlawyer.com/2019/04/10/can-a-dwi-affect-your-divorce-proceedings/</t>
  </si>
  <si>
    <t>Can a DWI Case Affect Your Divorce Proceedings? | Scott M. Brown &amp; Associates</t>
  </si>
  <si>
    <t>https://sbrownlawyer.com/2019/12/17/how-to-get-your-license-back-after-a-dwi/</t>
  </si>
  <si>
    <t>How to Get Your License Back After a DWI | Scott M. Brown &amp; Associates</t>
  </si>
  <si>
    <t>https://sbrownlawyer.com/2019/04/01/fighting-for-your-child-the-top-tips-for-winning-a-child-custody-battle/</t>
  </si>
  <si>
    <t>Fighting for Your Child: The Top Tips for Winning a Child Custody | Scott M. Brown &amp; Associates</t>
  </si>
  <si>
    <t>https://sbrownlawyer.com/2019/11/02/can-digital-currency-complicate-divorce/</t>
  </si>
  <si>
    <t>Can Digital Currency Complicate Divorce? | Scott M. Brown &amp; Associates</t>
  </si>
  <si>
    <t>https://sbrownlawyer.com/pearland-law-office/</t>
  </si>
  <si>
    <t>Pearland Law Office | Scott M. Brown &amp; Associates</t>
  </si>
  <si>
    <t>https://sbrownlawyer.com/2019/11/25/how-to-create-a-parenting-plan-that-works-for-both-parties/</t>
  </si>
  <si>
    <t>How to Create a Parenting Plan That Works for Both Parties | Scott M. Brown &amp; Associates</t>
  </si>
  <si>
    <t>https://sbrownlawyer.com/2016/01/01/child-support-deviations-and-you/</t>
  </si>
  <si>
    <t>Child support deviations and you | Scott M. Brown &amp; Associates | Scott M. Brown &amp; Associates</t>
  </si>
  <si>
    <t>https://sbrownlawyer.com/League%20City-tx-criminal-defense-lawyers/</t>
  </si>
  <si>
    <t>https://sbrownlawyer.com/field-sobriety-test/Breath-Blood-Test-Issues</t>
  </si>
  <si>
    <t>https://sbrownlawyer.com/Drug-Charges/Prescription-Drug-Charges</t>
  </si>
  <si>
    <t>https://sbrownlawyer.com/league-city-tx-drug-possession-defense/</t>
  </si>
  <si>
    <t>https://sbrownlawyer.com/dwi</t>
  </si>
  <si>
    <t>https://sbrownlawyer.com/Family-Law/Modifications</t>
  </si>
  <si>
    <t>https://sbrownlawyer.com/Family-Law/Child-Protective-Services-CPS</t>
  </si>
  <si>
    <t>https://sbrownlawyer.com/2017/10/15/8-factors-that-affect-divorce-after-age-50/</t>
  </si>
  <si>
    <t>8 Factors That Affect Divorce After Age 50 | Scott M. Brown &amp; Associates</t>
  </si>
  <si>
    <t>https://sbrownlawyer.com/2017/06/12/are-dwi-checkpoints-legal-in-texas/</t>
  </si>
  <si>
    <t>Are DWI Checkpoints Legal In Texas? | Scott M. Brown &amp; Associates | Scott M. Brown &amp; Associates</t>
  </si>
  <si>
    <t>https://sbrownlawyer.com/Family-Law/Contact</t>
  </si>
  <si>
    <t>https://sbrownlawyer.com/2015/Criminal-Law/Domestic-Violence/Child-Abuse</t>
  </si>
  <si>
    <t>https://sbrownlawyer.com/2015/05/01/mother-who-took-daughter-to-concert-isnt-bad-parent/</t>
  </si>
  <si>
    <t>Mother who took daughter to concert isn't bad parent | Scott M. Brown &amp; Associates | Scott M. Brown &amp; Associates</t>
  </si>
  <si>
    <t>https://sbrownlawyer.com/2016/02/12/is-there-a-way-to-avoid-monthly-alimony-payments/</t>
  </si>
  <si>
    <t>Is there a way to avoid monthly alimony payments? | Scott M. Brown &amp; Associates | Scott M. Brown &amp; Associates</t>
  </si>
  <si>
    <t>https://sbrownlawyer.com/meghan-beytebiere/</t>
  </si>
  <si>
    <t>Meghan Beytebiere | Scott M. Brown &amp; Associates</t>
  </si>
  <si>
    <t>https://sbrownlawyer.com/2016/04/05/can-someone-convicted-of-domestic-violence-own-a-gun/</t>
  </si>
  <si>
    <t>Can someone convicted of domestic violence own a gun? | Scott M. Brown &amp; Associates | Scott M. Brown &amp; Associates</t>
  </si>
  <si>
    <t>https://sbrownlawyer.com/2013/12/04/bode-millers-ex-gains-custody-of-infant-son/</t>
  </si>
  <si>
    <t>Bode Miller's ex gains custody of infant son | Scott M. Brown &amp; Associates | Scott M. Brown &amp; Associates</t>
  </si>
  <si>
    <t>https://sbrownlawyer.com/2015/02/12/protective-orders-are-important-in-domestic-violence-cases/</t>
  </si>
  <si>
    <t>Protective orders are important in domestic violence cases | Scott M. Brown &amp; Associates | Scott M. Brown &amp; Associates</t>
  </si>
  <si>
    <t>https://sbrownlawyer.com/2013/02/08/tricare-rules-and-a-texas-military-divorce/</t>
  </si>
  <si>
    <t>Tricare Rules And A Texas Military Divorce | Scott M. Brown &amp; Associates</t>
  </si>
  <si>
    <t>https://sbrownlawyer.com/2018/01/01/understanding-the-best-interests-standard-in-custody-determinations/</t>
  </si>
  <si>
    <t>Understanding The 'Best Interests Standard' In Custody | Scott M. Brown &amp; Associates</t>
  </si>
  <si>
    <t>https://sbrownlawyer.com/2017/04/25/resolving-a-high-asset-divorce-with-a-family-law-attorney/</t>
  </si>
  <si>
    <t>Resolving a High Asset Divorce with a Family Law Attorney | Scott M. Brown &amp; Associates | Scott M. Brown &amp; Associates</t>
  </si>
  <si>
    <t>https://sbrownlawyer.com/2017/12/01/texas-sb-179-aims-at-preventing-cyberbullying/</t>
  </si>
  <si>
    <t>Texas Bill David’s Law Aims at Preventing Cyberbullying | Scott M. Brown &amp; Associates</t>
  </si>
  <si>
    <t>https://sbrownlawyer.com/2017/03/26/causes-of-fatal-traffic-accidents-in-texas/</t>
  </si>
  <si>
    <t>Causes of fatal traffic accidents in Texas | Scott M. Brown &amp; Associates | Scott M. Brown &amp; Associates</t>
  </si>
  <si>
    <t>https://sbrownlawyer.com/2013/10/30/domestic-disturbance-leads-to-arrest-of-victoria-politician/</t>
  </si>
  <si>
    <t>Domestic disturbance leads to arrest of Victoria politician | Scott M. Brown &amp; Associates | Scott M. Brown &amp; Associates</t>
  </si>
  <si>
    <t>https://sbrownlawyer.com/League%20City-tx-family-law-modifications-lawyer/</t>
  </si>
  <si>
    <t>Enforcing Child Support Orders | Lawyer in Brazoria County, TX | Scott M. Brown &amp; Associates</t>
  </si>
  <si>
    <t>https://sbrownlawyer.com/League%20City-tx-child-custody-visitation-lawyer/</t>
  </si>
  <si>
    <t>League City Texas Child Custody &amp; Visitation Lawyer</t>
  </si>
  <si>
    <t>https://sbrownlawyer.com/2018/07/28/who-is-liable-for-crashes-that-occur-in-borrowed-vehicles/</t>
  </si>
  <si>
    <t>Who is Liable for Crashes in Borrowed Vehicles | Scott M. Brown &amp; Associates</t>
  </si>
  <si>
    <t>https://sbrownlawyer.com/2019/01/08/does-cheating-affect-spousal-support/</t>
  </si>
  <si>
    <t>Does Cheating Affect Spousal Support? | Scott M. Brown &amp; Associates</t>
  </si>
  <si>
    <t>https://sbrownlawyer.com/2018/09/18/can-you-refuse-a-dwi-breath-or-blood-test-in-a-dwi-stop-in-texas/</t>
  </si>
  <si>
    <t>Can You Refuse a DWI Breath or Blood Test? | Scott M. Brown &amp; Associates</t>
  </si>
  <si>
    <t>https://sbrownlawyer.com/2013/06/10/division-of-property-considerations-prior-to-marriage/</t>
  </si>
  <si>
    <t>Division of property considerations prior to marriage | Scott M. Brown &amp; Associates | Scott M. Brown &amp; Associates</t>
  </si>
  <si>
    <t>https://sbrownlawyer.com/2018/09/01/what-is-a-prenuptial-agreement/</t>
  </si>
  <si>
    <t>What Is a Prenuptial Agreement? | Scott M. Brown &amp; Associates</t>
  </si>
  <si>
    <t>https://sbrownlawyer.com/2013/04/18/grandparents-rights-in-texas-should-they-be-expanded/</t>
  </si>
  <si>
    <t>Grandparents' rights in Texas: Should they be expanded? | Scott M. Brown &amp; Associates | Scott M. Brown &amp; Associates</t>
  </si>
  <si>
    <t>https://sbrownlawyer.com/2012/04/27/senator-looks-into-drug-testing-for-child-support-recipients/</t>
  </si>
  <si>
    <t>Senator looks into drug testing for child support recipients | Scott M. Brown &amp; Associates | Scott M. Brown &amp; Associates</t>
  </si>
  <si>
    <t>https://sbrownlawyer.com/2012/05/25/child-custody-hearing-lands-sanders-divorce-in-the-spotlight/</t>
  </si>
  <si>
    <t>Child custody hearing lands Sanders' divorce in the spotlight | Scott M. Brown &amp; Associates | Scott M. Brown &amp; Associates</t>
  </si>
  <si>
    <t>https://sbrownlawyer.com/2014/11/28/dealing-with-dogs-as-part-of-the-property-division-process/</t>
  </si>
  <si>
    <t>Dealing with dogs as part of the property division process | Scott M. Brown &amp; Associates | Scott M. Brown &amp; Associates</t>
  </si>
  <si>
    <t>https://sbrownlawyer.com/2014/08/01/texas-man-overpays-child-support-goes-to-jail/</t>
  </si>
  <si>
    <t>Texas man overpays child support, goes to jail | Scott M. Brown &amp; Associates | Scott M. Brown &amp; Associates</t>
  </si>
  <si>
    <t>https://sbrownlawyer.com/2014/07/11/texas-man-jailed-over-child-support-cant-work-to-support-child/</t>
  </si>
  <si>
    <t>Texas man jailed over child support, can't work to support child | Scott M. Brown &amp; Associates | Scott M. Brown &amp; Associates</t>
  </si>
  <si>
    <t>https://sbrownlawyer.com/under-age-dui-defense-in-league-city-tx/</t>
  </si>
  <si>
    <t>Underage DUI Defense Lawyer in League City Texas</t>
  </si>
  <si>
    <t>https://sbrownlawyer.com/2021/11/17/6-common-questions-about-child-custody/</t>
  </si>
  <si>
    <t>6 Common Questions About Child Custody | Scott M. Brown &amp; Associates</t>
  </si>
  <si>
    <t>https://sbrownlawyer.com/2021/09/27/how-to-find-the-best-child-custody-lawyer-in-league-city-tx-and-how-they-can-help-your-case/</t>
  </si>
  <si>
    <t>How to Find the Best Child Custody Lawyer in League City, TX and How | Scott M. Brown &amp; Associates</t>
  </si>
  <si>
    <t>https://sbrownlawyer.com/2012/03/08/military-marriage-presents-unique-emotional-challenges/</t>
  </si>
  <si>
    <t>Military marriage presents unique emotional challenges | Scott M. Brown &amp; Associates | Scott M. Brown &amp; Associates</t>
  </si>
  <si>
    <t>https://sbrownlawyer.com/2018/04/02/april-is-distracted-driving-awareness-month-stay-focused-on-the-road/</t>
  </si>
  <si>
    <t>April is Distracted Driving Month Stay Focused | Scott M. Brown &amp; Associates</t>
  </si>
  <si>
    <t>https://sbrownlawyer.com/2018/03/30/common-shared-parenting-myths/</t>
  </si>
  <si>
    <t>Common Shared Myths About Parenting | Scott M. Brown &amp; Associates</t>
  </si>
  <si>
    <t>https://sbrownlawyer.com/2012/03/23/dennis-quaid-and-his-third-wife-move-toward-divorce/</t>
  </si>
  <si>
    <t>Dennis Quaid and his third wife move toward divorce | Scott M. Brown &amp; Associates | Scott M. Brown &amp; Associates</t>
  </si>
  <si>
    <t>https://sbrownlawyer.com/2016/08/04/postnuptial-agreements-in-texas/</t>
  </si>
  <si>
    <t>Postnuptial Agreements In Texas | Scott M. Brown &amp; Associates | Scott M. Brown &amp; Associates</t>
  </si>
  <si>
    <t>https://sbrownlawyer.com/2016/08/25/signs-that-a-spouse-is-hiding-assets/</t>
  </si>
  <si>
    <t>Signs That A Spouse Is Hiding Assets | Scott M. Brown &amp; Associates | Scott M. Brown &amp; Associates</t>
  </si>
  <si>
    <t>https://sbrownlawyer.com/2015/06/28/child-support-enforcement-license-suspension/</t>
  </si>
  <si>
    <t>Child support enforcement: License suspension | Scott M. Brown &amp; Associates | Scott M. Brown &amp; Associates</t>
  </si>
  <si>
    <t>https://sbrownlawyer.com/2021/11/17/divorce-and-child-custody/</t>
  </si>
  <si>
    <t>Divorce and Child Custody | Scott M. Brown &amp; Associates</t>
  </si>
  <si>
    <t>https://sbrownlawyer.com/2016/04/14/finances-are-an-important-aspect-of-gray-divorce/</t>
  </si>
  <si>
    <t>Finances are an important aspect of gray divorce | Scott M. Brown &amp; Associates | Scott M. Brown &amp; Associates</t>
  </si>
  <si>
    <t>https://sbrownlawyer.com/2016/04/29/child-custody-agreements-can-vary-greatly-depending-on-the-case/</t>
  </si>
  <si>
    <t>Child custody agreements can vary greatly depending on the case | Scott M. Brown &amp; Associates | Scott M. Brown &amp; Associates</t>
  </si>
  <si>
    <t>https://sbrownlawyer.com/2020/03/20/finding-a-dwi-attorney-what-you-need-to-know/</t>
  </si>
  <si>
    <t>Finding a DWI Attorney: What You Need to Know | Scott M. Brown &amp; Associates</t>
  </si>
  <si>
    <t>https://sbrownlawyer.com/2018/12/05/does-a-domestic-violence-charge-affect-my-joint-custody-order/</t>
  </si>
  <si>
    <t>Domestic Violence Charge Affect Joint Custody? | Scott M. Brown &amp; Associates</t>
  </si>
  <si>
    <t>https://sbrownlawyer.com/2019/02/15/how-can-social-media-affect-divorce/</t>
  </si>
  <si>
    <t>How Can Social Media Affect Divorce? | Scott M. Brown &amp; Associates</t>
  </si>
  <si>
    <t>https://sbrownlawyer.com/2019/03/08/do-stepparents-ever-have-rights-in-a-divorce/</t>
  </si>
  <si>
    <t>Do Stepparents Have Rights in Divorce? | Scott M. Brown &amp; Associates</t>
  </si>
  <si>
    <t>https://sbrownlawyer.com/guiding-your-children-through-divorce/</t>
  </si>
  <si>
    <t>https://sbrownlawyer.com/2019/09/15/how-to-fight-a-protective-order/</t>
  </si>
  <si>
    <t>How to Fight A Protective Order | Scott M. Brown &amp; Associates</t>
  </si>
  <si>
    <t>https://sbrownlawyer.com/domestic-violence/Child-Abuse</t>
  </si>
  <si>
    <t>https://sbrownlawyer.com/domestic-violence/Restraining-Orders</t>
  </si>
  <si>
    <t>https://sbrownlawyer.com/2019/10/15/married-couples-cannot-legally-separate-in-texas/</t>
  </si>
  <si>
    <t>Married Couples Cannot Legally Separate in TX | Scott M. Brown &amp; Associates</t>
  </si>
  <si>
    <t>https://sbrownlawyer.com/2020/07/23/what-is-the-best-dwi-defense-a-look-at-the-different-scenarios/</t>
  </si>
  <si>
    <t>What Is the Best DWI Defense: A Look at the Different Scenarios | Scott M. Brown &amp; Associates</t>
  </si>
  <si>
    <t>https://sbrownlawyer.com/2020/10/29/how-to-tell-if-youre-too-drunk-to-drive-and-how-to-prevent-yourself-from-becoming-a-drunk-driver/</t>
  </si>
  <si>
    <t>How to Tell If You're Too Drunk to Drive and How to Prevent | Scott M. Brown &amp; Associates</t>
  </si>
  <si>
    <t>https://sbrownlawyer.com/2020/08/07/contested-vs-uncontested-divorce-in-houston-top-things-you-need-to-know/</t>
  </si>
  <si>
    <t>Contested vs. Uncontested Divorce in Houston: Top Things You Need to | Scott M. Brown &amp; Associates</t>
  </si>
  <si>
    <t>https://sbrownlawyer.com/2015/08/21/rutherford-reluctantly-returns-children-to-father/</t>
  </si>
  <si>
    <t>Rutherford reluctantly returns children to father | Scott M. Brown &amp; Associates | Scott M. Brown &amp; Associates</t>
  </si>
  <si>
    <t>https://sbrownlawyer.com/2013/11/27/texas-police-officer-accused-of-domestic-violence-still-employed/</t>
  </si>
  <si>
    <t>Texas police officer accused of domestic violence, still employed | Scott M. Brown &amp; Associates | Scott M. Brown &amp; Associates</t>
  </si>
  <si>
    <t>https://sbrownlawyer.com/2012/08/10/texas-divorce-non-holidays-find-way-into-custody-schedule/</t>
  </si>
  <si>
    <t>Texas divorce: Non-holidays find way into custody schedule | Scott M. Brown &amp; Associates | Scott M. Brown &amp; Associates</t>
  </si>
  <si>
    <t>https://sbrownlawyer.com/2015/10/16/how-does-alimony-affect-my-taxes/</t>
  </si>
  <si>
    <t>How does alimony affect my taxes? | Scott M. Brown &amp; Associates | Scott M. Brown &amp; Associates</t>
  </si>
  <si>
    <t>https://sbrownlawyer.com/2012/10/04/texas-parents-pay-attention-to-divorce-decrees-before-signing/</t>
  </si>
  <si>
    <t>Texas parents: Pay attention to divorce decrees before signing | Scott M. Brown &amp; Associates | Scott M. Brown &amp; Associates</t>
  </si>
  <si>
    <t>https://sbrownlawyer.com/2013/09/25/tips-for-helping-the-children-while-going-through-a-divorce/</t>
  </si>
  <si>
    <t>Tips for helping the children while going through a divorce | Scott M. Brown &amp; Associates | Scott M. Brown &amp; Associates</t>
  </si>
  <si>
    <t>https://sbrownlawyer.com/2013/07/30/domestic-violence-and-the-poor/</t>
  </si>
  <si>
    <t>Domestic violence and the poor | Scott M. Brown &amp; Associates | Scott M. Brown &amp; Associates</t>
  </si>
  <si>
    <t>https://sbrownlawyer.com/2014/02/19/texas-enters-the-fray-of-same-sex-marriage-court-battles/</t>
  </si>
  <si>
    <t>Texas enters the fray of same-sex marriage court battles | Scott M. Brown &amp; Associates | Scott M. Brown &amp; Associates</t>
  </si>
  <si>
    <t>https://sbrownlawyer.com/2021/09/10/is-it-wise-to-take-on-a-dwi-case-without-a-dwi-lawyer/</t>
  </si>
  <si>
    <t>Is It Wise to Take on a DWI Case Without a DWI Lawyer? | Scott M. Brown &amp; Associates</t>
  </si>
  <si>
    <t>https://sbrownlawyer.com/2021/09/20/5-quiet-signs-of-divorce-and-what-to-do-about-it/</t>
  </si>
  <si>
    <t>5 Quiet Signs of Divorce (and What to Do About It) | Scott M. Brown &amp; Associates</t>
  </si>
  <si>
    <t>https://sbrownlawyer.com/2021/08/10/5-next-steps-to-take-when-you-have-a-dui-in-texas/</t>
  </si>
  <si>
    <t>5 Next Steps to Take When You Have a DUI in Texas | Scott M. Brown &amp; Associates</t>
  </si>
  <si>
    <t>https://sbrownlawyer.com/blog/page/7/?et_blog</t>
  </si>
  <si>
    <t>https://sbrownlawyer.com/2021/08/30/a-timeline-of-the-divorce-process-how-long-does-it-realistically-take/</t>
  </si>
  <si>
    <t>A Timeline of the Divorce Process: How Long Does It Realistically | Scott M. Brown &amp; Associates</t>
  </si>
  <si>
    <t>https://sbrownlawyer.com/page/6/</t>
  </si>
  <si>
    <t>https://sbrownlawyer.com/2020/02/25/finding-a-criminal-defense-lawyer-dwi-what-you-need-to-know/</t>
  </si>
  <si>
    <t>Finding a Criminal Defense Lawyer (DWI): What You Need to Know | Scott M. Brown &amp; Associates</t>
  </si>
  <si>
    <t>https://sbrownlawyer.com/2016/09/22/parental-alienation-its-causes-and-potential-remedies/</t>
  </si>
  <si>
    <t>Parental Alienation: Its Causes And Potential Remedies | Scott M. Brown &amp; Associates | Scott M. Brown &amp; Associates</t>
  </si>
  <si>
    <t>https://sbrownlawyer.com/2017/01/10/dividing-some-community-assets-can-pose-challenges-during-divorce/</t>
  </si>
  <si>
    <t>Dividing Some Community Assets Can Pose Challenges During Divorce | Scott M. Brown &amp; Associates | Scott M. Brown &amp; Associates</t>
  </si>
  <si>
    <t>https://sbrownlawyer.com/Domestic-Violence/</t>
  </si>
  <si>
    <t>https://sbrownlawyer.com/assault-charges/</t>
  </si>
  <si>
    <t>Criminal Defense Against Assault Charges | Scott M. Brown &amp; Associates in Pearland, League City &amp; Angleton, TX</t>
  </si>
  <si>
    <t>https://sbrownlawyer.com/prescription-drug-charges/</t>
  </si>
  <si>
    <t>Prescription Drug Defense Attorney | Scott M. Brown &amp; Associates - Angleton, Pearland &amp; League City, TX</t>
  </si>
  <si>
    <t>https://sbrownlawyer.com/White-Collar-Crimes/</t>
  </si>
  <si>
    <t>https://sbrownlawyer.com/alternative-outcomes-in-drug-cases/</t>
  </si>
  <si>
    <t>Drug Charges Lawyer in Houston TX | Offices in Angleton, Pearland &amp; League City TX | Scott M. Brown &amp; Associates</t>
  </si>
  <si>
    <t>https://sbrownlawyer.com/drug-possession/</t>
  </si>
  <si>
    <t>Angleton, Pearland &amp; League City TX Drug Possession Attorney | Scott M. Brown &amp; Associates</t>
  </si>
  <si>
    <t>https://sbrownlawyer.com/Major-Felonies/</t>
  </si>
  <si>
    <t>https://sbrownlawyer.com/drug-distribution/</t>
  </si>
  <si>
    <t>Drug Distribution Lawyer in League City, Angleton &amp; Pearland TX | Scott M. Brown &amp; Associates</t>
  </si>
  <si>
    <t>https://sbrownlawyer.com/Do-Not-Blow/</t>
  </si>
  <si>
    <t>https://sbrownlawyer.com/2013/07/24/texas-military-mans-international-child-custody-dispute/</t>
  </si>
  <si>
    <t>Texas military man's international child custody dispute | Scott M. Brown &amp; Associates | Scott M. Brown &amp; Associates</t>
  </si>
  <si>
    <t>https://sbrownlawyer.com/2014/02/21/flying-high-do-marijuana-offenses-generally-fare-better-than-dwis/</t>
  </si>
  <si>
    <t>Flying High: do marijuana offenses generally fare better than DWI's? | Scott M. Brown &amp; Associates | Scott M. Brown &amp; Associates</t>
  </si>
  <si>
    <t>https://sbrownlawyer.com/2013/09/30/attorney-generals-office-collects-3-6-billion-in-child-support/</t>
  </si>
  <si>
    <t>Attorney General's Office collects $3.6 billion in child support | Scott M. Brown &amp; Associates | Scott M. Brown &amp; Associates</t>
  </si>
  <si>
    <t>https://sbrownlawyer.com/2012/10/08/divorce-and-child-support-texas-several-billion-dollars-behind/</t>
  </si>
  <si>
    <t>Divorce and child support: Texas several billion dollars behind | Scott M. Brown &amp; Associates | Scott M. Brown &amp; Associates</t>
  </si>
  <si>
    <t>https://sbrownlawyer.com/2015/08/14/the-hurdles-of-the-back-to-school-season/</t>
  </si>
  <si>
    <t>The hurdles of the back-to-school season | Scott M. Brown &amp; Associates | Scott M. Brown &amp; Associates</t>
  </si>
  <si>
    <t>https://sbrownlawyer.com/2012/08/03/texas-parents-may-explore-legal-options-in-child-support-payments/</t>
  </si>
  <si>
    <t>Texas parents may explore legal options in child support payments | Scott M. Brown &amp; Associates | Scott M. Brown &amp; Associates</t>
  </si>
  <si>
    <t>https://sbrownlawyer.com/2019/05/01/the-cost-and-legal-implications-of-a-first-time-dui/</t>
  </si>
  <si>
    <t>The Cost and Legal Implications of a First Time DUI | Scott M. Brown &amp; Associates</t>
  </si>
  <si>
    <t>https://sbrownlawyer.com/Obtaining-a-protection-order-is-one-step-in-leaving-domestic-violence/</t>
  </si>
  <si>
    <t>https://sbrownlawyer.com/2019/09/12/find-out-how-long-your-divorce-will-take/</t>
  </si>
  <si>
    <t>Find Out How Long Your Divorce Will Take | Scott M. Brown &amp; Associates</t>
  </si>
  <si>
    <t>https://sbrownlawyer.com/what-are-the-dangers-of-representing-yourself-in-a-divorce/</t>
  </si>
  <si>
    <t>What are the Dangers of Representing Yourself in a Divorce? | Scott M. Brown &amp; Associates</t>
  </si>
  <si>
    <t>https://sbrownlawyer.com/2019/03/15/arrested-for-dwi-potential-police-errors-that-may-help-your-case/</t>
  </si>
  <si>
    <t>Arrested for DWI? Potential Police Errors that May Help Your Case | Scott M. Brown &amp; Associates</t>
  </si>
  <si>
    <t>https://sbrownlawyer.com/2019/02/01/how-are-retirement-accounts-handled-in-a-divorce/</t>
  </si>
  <si>
    <t>How Are Retirement Accounts Handled in a Divorce? | Scott M. Brown &amp; Associates</t>
  </si>
  <si>
    <t>https://sbrownlawyer.com/2020/03/02/enforcing-a-divorce-decree-everything-you-need-to-know/</t>
  </si>
  <si>
    <t>Enforcing a Divorce Decree: Everything You Need to Know | Scott M. Brown &amp; Associates</t>
  </si>
  <si>
    <t>https://sbrownlawyer.com/2019/08/15/dont-go-solo-top-3-reasons-to-hire-a-dwi-lawyer/</t>
  </si>
  <si>
    <t>Don't Go Solo: Top 3 Reasons to Hire a DWI Lawyer | Scott M. Brown &amp; Associates</t>
  </si>
  <si>
    <t>https://sbrownlawyer.com/2015/07/06/will-permanent-alimony-become-a-thing-of-the-past/</t>
  </si>
  <si>
    <t>Will permanent alimony become a thing of the past? | Scott M. Brown &amp; Associates | Scott M. Brown &amp; Associates</t>
  </si>
  <si>
    <t>https://sbrownlawyer.com/2016/05/06/how-can-i-protect-my-assets-and-property/</t>
  </si>
  <si>
    <t>How can I protect my assets and property? | Scott M. Brown &amp; Associates | Scott M. Brown &amp; Associates</t>
  </si>
  <si>
    <t>https://sbrownlawyer.com/2012/03/28/new-bill-may-help-military-members-with-child-custody/</t>
  </si>
  <si>
    <t>New bill may help military members with child custody | Scott M. Brown &amp; Associates | Scott M. Brown &amp; Associates</t>
  </si>
  <si>
    <t>https://sbrownlawyer.com/2018/04/06/can-you-adopt-a-child-in-texas-without-the-biological-fathers-consent/</t>
  </si>
  <si>
    <t>Can You Adopt a Child in Texas without The Biological Father’s | Scott M. Brown &amp; Associates</t>
  </si>
  <si>
    <t>https://sbrownlawyer.com/2018/03/26/can-teenagers-get-arrested-for-texting-nude-photos-in-texas/</t>
  </si>
  <si>
    <t>Can Teenagers Get Arrested for Sexting in Texas? | Scott M. Brown &amp; Associates</t>
  </si>
  <si>
    <t>https://sbrownlawyer.com/2012/02/27/in-divorce-cases-technology-can-be-used-against-you/</t>
  </si>
  <si>
    <t>In divorce cases, technology can be used against you | Scott M. Brown &amp; Associates | Scott M. Brown &amp; Associates</t>
  </si>
  <si>
    <t>https://sbrownlawyer.com/2014/06/27/alimony-property-division-and-other-prenuptial-agreement-issues/</t>
  </si>
  <si>
    <t>Alimony, property division and other prenuptial agreement issues | Scott M. Brown &amp; Associates | Scott M. Brown &amp; Associates</t>
  </si>
  <si>
    <t>https://sbrownlawyer.com/2014/08/08/myths-about-texas-alimony-along-with-new-changes/</t>
  </si>
  <si>
    <t>Myths about Texas alimony, along with new changes | Scott M. Brown &amp; Associates | Scott M. Brown &amp; Associates</t>
  </si>
  <si>
    <t>https://sbrownlawyer.com/2012/05/30/military-divorce-rate-at-an-all-time-high/</t>
  </si>
  <si>
    <t>Military divorce rate at an all-time high | Scott M. Brown &amp; Associates | Scott M. Brown &amp; Associates</t>
  </si>
  <si>
    <t>https://sbrownlawyer.com/2014/11/20/baptist-pastor-suggests-texas-residents-bypass-formal-marriage/</t>
  </si>
  <si>
    <t>Baptist pastor suggests Texas residents bypass formal marriage | Scott M. Brown &amp; Associates | Scott M. Brown &amp; Associates</t>
  </si>
  <si>
    <t>https://sbrownlawyer.com/2012/04/19/texas-sperm-donor-off-the-hook-for-child-support/</t>
  </si>
  <si>
    <t>Texas sperm donor off the hook for child support | Scott M. Brown &amp; Associates | Scott M. Brown &amp; Associates</t>
  </si>
  <si>
    <t>https://sbrownlawyer.com/2013/04/11/texas-child-support-powerball-winner-pays-past-due-30000/</t>
  </si>
  <si>
    <t>Texas child support: Powerball winner pays past due $30,000 | Scott M. Brown &amp; Associates | Scott M. Brown &amp; Associates</t>
  </si>
  <si>
    <t>https://sbrownlawyer.com/2018/08/21/do-grandparents-have-visitation-rights-in-a-divorce/</t>
  </si>
  <si>
    <t>Grandparents Have Visitation Rights in Divorce? | Scott M. Brown &amp; Associates</t>
  </si>
  <si>
    <t>https://sbrownlawyer.com/2013/06/20/divorce-of-texas-man-that-was-wrongfully-incarcerated/</t>
  </si>
  <si>
    <t>Divorce of Texas man that was wrongfully incarcerated | Scott M. Brown &amp; Associates | Scott M. Brown &amp; Associates</t>
  </si>
  <si>
    <t>https://sbrownlawyer.com/2019/01/15/are-divorce-rates-decreasing/</t>
  </si>
  <si>
    <t>Are Divorce Rates Decreasing? | Scott M. Brown &amp; Associates</t>
  </si>
  <si>
    <t>https://sbrownlawyer.com/2018/08/01/can-a-non-parent-pursue-custody/</t>
  </si>
  <si>
    <t>Can a Non-Parent Pursue Custody? | Scott M. Brown &amp; Associates</t>
  </si>
  <si>
    <t>https://sbrownlawyer.com/2018/07/22/take-as-many-pictures-as-you-can-after-a-car-crash/</t>
  </si>
  <si>
    <t>Take as Many Pictures as You Can After a Car Crash | Scott M. Brown &amp; Associates</t>
  </si>
  <si>
    <t>https://sbrownlawyer.com/2013/10/21/who-gets-the-wedding-ring-in-the-event-of-a-breakup/</t>
  </si>
  <si>
    <t>Who gets the wedding ring in the event of a breakup? | Scott M. Brown &amp; Associates | Scott M. Brown &amp; Associates</t>
  </si>
  <si>
    <t>https://sbrownlawyer.com/2018/09/24/what-rights-do-fathers-have-in-texas/</t>
  </si>
  <si>
    <t>What Rights do Fathers Have in Texas? | Scott M. Brown &amp; Associates</t>
  </si>
  <si>
    <t>https://sbrownlawyer.com/2017/Personal-Injury/Wrongful-Death</t>
  </si>
  <si>
    <t>https://sbrownlawyer.com/league-city-spousal-support-lawyer/</t>
  </si>
  <si>
    <t>League City Texas Spousal Support Lawyer</t>
  </si>
  <si>
    <t>https://sbrownlawyer.com/2017/12/01/modifying-custody-in-the-state-of-texas/</t>
  </si>
  <si>
    <t>Modifying Custody In The State Of Texas | Scott M. Brown &amp; Associates</t>
  </si>
  <si>
    <t>https://sbrownlawyer.com/2017/05/02/how-can-a-spouse-keep-the-house-after-a-texas-divorce/</t>
  </si>
  <si>
    <t>How Can A Spouse Keep The House After A Texas Divorce? | Scott M. Brown &amp; Associates | Scott M. Brown &amp; Associates</t>
  </si>
  <si>
    <t>https://sbrownlawyer.com/league-city-tx-child-custody-visitation-lawyer/</t>
  </si>
  <si>
    <t>https://sbrownlawyer.com/2017/03/17/how-to-defend-against-breath-and-blood-tests-in-a-dwi-arrest/</t>
  </si>
  <si>
    <t>How To Defend Against Breath and Blood Tests In A DWI Arrest | Scott M. Brown &amp; Associates | Scott M. Brown &amp; Associates</t>
  </si>
  <si>
    <t>https://sbrownlawyer.com/2016/Family-Law/Domestic-Abuse-And-Protective-Orders</t>
  </si>
  <si>
    <t>https://sbrownlawyer.com/2018/01/05/why-equal-parenting-bill-has-died-in-texas/</t>
  </si>
  <si>
    <t>Why Did the Equal Parenting Bill HB 453 Die | Scott M. Brown &amp; Associates</t>
  </si>
  <si>
    <t>https://sbrownlawyer.com/2013/02/08/texas-divorce-military-shows-lower-overall-divorce-rates/</t>
  </si>
  <si>
    <t>Texas divorce: Military shows lower overall divorce rates | Scott M. Brown &amp; Associates</t>
  </si>
  <si>
    <t>https://sbrownlawyer.com/2017/11/01/the-ins-and-outs-of-5050-custody-or-possession/</t>
  </si>
  <si>
    <t>The Ins-and-Outs Of 50/50 Custody Or Possession | Scott M. Brown &amp; Associates</t>
  </si>
  <si>
    <t>https://sbrownlawyer.com/2016/02/03/effects-of-divorce-on-daughters/</t>
  </si>
  <si>
    <t>Effects of divorce on daughters | Scott M. Brown &amp; Associates | Scott M. Brown &amp; Associates</t>
  </si>
  <si>
    <t>https://sbrownlawyer.com/2015/04/24/what-should-i-know-about-child-support-modification/</t>
  </si>
  <si>
    <t>What should I know about child support modification? | Scott M. Brown &amp; Associates | Scott M. Brown &amp; Associates</t>
  </si>
  <si>
    <t>https://sbrownlawyer.com/2017/05/23/what-types-of-compensation-can-i-get-after-an-accident/</t>
  </si>
  <si>
    <t>What Types of Compensation Can I Get After an Accident? | Scott M. Brown &amp; Associates | Scott M. Brown &amp; Associates</t>
  </si>
  <si>
    <t>https://sbrownlawyer.com/breath-blood-test-issues/</t>
  </si>
  <si>
    <t>Defense Against Drunk Driving Charges - Angleton, League City &amp; Pearland, TX</t>
  </si>
  <si>
    <t>https://sbrownlawyer.com/2016/01/08/being-current-on-child-support-required-under-new-open-carry-law/</t>
  </si>
  <si>
    <t>Being current on child support required under new open carry law | Scott M. Brown &amp; Associates | Scott M. Brown &amp; Associates</t>
  </si>
  <si>
    <t>https://sbrownlawyer.com/2019/03/24/why-do-i-need-a-divorce-lawyer/</t>
  </si>
  <si>
    <t>Why do I Need a Divorce Lawyer? | Scott M. Brown &amp; Associates</t>
  </si>
  <si>
    <t>https://sbrownlawyer.com/2019/11/15/divorce-difference-for-military-personnel/</t>
  </si>
  <si>
    <t>Divorce Difference for Military Personnel? | Scott M. Brown &amp; Associates</t>
  </si>
  <si>
    <t>https://sbrownlawyer.com/2018/12/01/6-tips-for-co-parenting-effectively/</t>
  </si>
  <si>
    <t>6 Tips for Co-Parenting Effectively | Scott M. Brown &amp; Associates</t>
  </si>
  <si>
    <t>https://sbrownlawyer.com/2019/04/15/can-bad-behavior-toward-an-ex-affect-your-custody-arrangement/</t>
  </si>
  <si>
    <t>Behavior Toward Ex Affect Custody Arrangement? | Scott M. Brown &amp; Associates</t>
  </si>
  <si>
    <t>https://sbrownlawyer.com/2018/12/15/what-to-do-when-a-child-does-not-want-to-visit-the-other-parent/</t>
  </si>
  <si>
    <t>What to Do When a Child Does Not Want to Visit the Other Parent | Scott M. Brown &amp; Associates</t>
  </si>
  <si>
    <t>https://sbrownlawyer.com/2018/12/17/is-it-legal-for-police-to-search-your-car-during-a-traffic-stop/</t>
  </si>
  <si>
    <t>Legal for Police to Search Your Car? | Scott M. Brown &amp; Associates</t>
  </si>
  <si>
    <t>https://sbrownlawyer.com/2018/11/15/how-will-texas-divorces-be-different-in-2019/</t>
  </si>
  <si>
    <t>How Will Texas Divorces be Different in 2019 | Scott M. Brown &amp; Associates</t>
  </si>
  <si>
    <t>https://sbrownlawyer.com/2018/11/06/benefits-to-filing-for-divorce-first-in-texas/</t>
  </si>
  <si>
    <t>Benefits to Filing for Divorce First in Texas | Scott M. Brown &amp; Associates</t>
  </si>
  <si>
    <t>https://sbrownlawyer.com/2019/04/15/avoid-a-messy-divorce-how-to-choose-the-right-divorce-lawyer/</t>
  </si>
  <si>
    <t>Avoid a Messy Divorce: How to Choose the Right Divorce Lawyer | Scott M. Brown &amp; Associates</t>
  </si>
  <si>
    <t>https://sbrownlawyer.com/breath-blood-test-issues/Field-Sobriety-Test</t>
  </si>
  <si>
    <t>https://sbrownlawyer.com/blog/personal-injury/</t>
  </si>
  <si>
    <t>https://sbrownlawyer.com/2016/01/14/what-is-the-difference-between-fixed-and-reasonable-visitation/</t>
  </si>
  <si>
    <t>What is the difference between fixed and reasonable visitation? | Scott M. Brown &amp; Associates | Scott M. Brown &amp; Associates</t>
  </si>
  <si>
    <t>https://sbrownlawyer.com/2015/04/17/is-your-ex-spouse-skipping-child-support-with-contract-work/</t>
  </si>
  <si>
    <t>Is your ex-spouse skipping child support with contract work? | Scott M. Brown &amp; Associates | Scott M. Brown &amp; Associates</t>
  </si>
  <si>
    <t>https://sbrownlawyer.com/2016/01/29/completing-a-financial-disclosure/</t>
  </si>
  <si>
    <t>Completing a financial disclosure | Scott M. Brown &amp; Associates | Scott M. Brown &amp; Associates</t>
  </si>
  <si>
    <t>https://sbrownlawyer.com/2017/03/11/what-is-the-parental-presumption/</t>
  </si>
  <si>
    <t>WHAT IS THE PARENTAL PRESUMPTION? | Scott M. Brown &amp; Associates | Scott M. Brown &amp; Associates</t>
  </si>
  <si>
    <t>https://sbrownlawyer.com/2017/05/18/what-is-a-reasonable-suspicion-to-stop-in-a-texas-duidwi-case/</t>
  </si>
  <si>
    <t>What Is A Reasonable Suspicion to Stop in a Texas DUI/DWI Case? | Scott M. Brown &amp; Associates | Scott M. Brown &amp; Associates</t>
  </si>
  <si>
    <t>https://sbrownlawyer.com/2017/11/14/texas-among-states-with-highest-numbers-of-people-in-prison/</t>
  </si>
  <si>
    <t>Texas Among States with Highest Prisoners | Scott M. Brown &amp; Associates</t>
  </si>
  <si>
    <t>https://sbrownlawyer.com/2013/01/28/texas-divorce-facebook-couple-calls-it-quits/</t>
  </si>
  <si>
    <t>Texas divorce: Facebook couple calls it quits | Scott M. Brown &amp; Associates | Scott M. Brown &amp; Associates</t>
  </si>
  <si>
    <t>https://sbrownlawyer.com/pearland-cocaine-possession/</t>
  </si>
  <si>
    <t>Pearland TX Cocaine Possession Charges</t>
  </si>
  <si>
    <t>https://sbrownlawyer.com/2018/01/15/grandparent-rights-in-texas-custody-cases/</t>
  </si>
  <si>
    <t>Grandparent Rights In Texas Custody Cases | Scott M. Brown &amp; Associates</t>
  </si>
  <si>
    <t>https://sbrownlawyer.com/2017/11/21/new-texas-law-bans-texting-while-driving/</t>
  </si>
  <si>
    <t>New Texas Law Bans Texting While Driving | Scott M. Brown &amp; Associates</t>
  </si>
  <si>
    <t>https://sbrownlawyer.com/wrongful-death/</t>
  </si>
  <si>
    <t>Wrongful Death? Attorney Scott M. Brown in Brazoria County, TX</t>
  </si>
  <si>
    <t>https://sbrownlawyer.com/2018/09/26/attorney-scott-m-brown-board-certified-in-family-law/</t>
  </si>
  <si>
    <t>Scott M. Brown is named a Texas Super Lawyer | Scott M. Brown &amp; Associates</t>
  </si>
  <si>
    <t>https://sbrownlawyer.com/2018/07/17/what-happens-to-you-money-from-a-personal-injury-settlement-if-you-get-divorced/</t>
  </si>
  <si>
    <t>Personal Injury Settlements &amp; Divorce | Scott M. Brown &amp; Associates</t>
  </si>
  <si>
    <t>https://sbrownlawyer.com/what-to-do-after-a-serious-car-accident/</t>
  </si>
  <si>
    <t>What To Do After A Serious Car Accident | Scott M. Brown &amp; Associates</t>
  </si>
  <si>
    <t>https://sbrownlawyer.com/2018/08/05/are-parents-personally-liable-if-their-teenager-gets-in-an-accident/</t>
  </si>
  <si>
    <t>Parents Liable if Teenager Gets in Accident? | Scott M. Brown &amp; Associates</t>
  </si>
  <si>
    <t>https://sbrownlawyer.com/2012/04/13/bob-weinsteins-wife-files-for-divorce-claims-fear-of-bodily-harm/</t>
  </si>
  <si>
    <t>Bob Weinstein's wife files for divorce; claims fear of bodily harm | Scott M. Brown &amp; Associates | Scott M. Brown &amp; Associates</t>
  </si>
  <si>
    <t>https://sbrownlawyer.com/2013/06/24/child-support-owed-by-nfl-quarterback/</t>
  </si>
  <si>
    <t>Child support owed by NFL quarterback | Scott M. Brown &amp; Associates | Scott M. Brown &amp; Associates</t>
  </si>
  <si>
    <t>https://sbrownlawyer.com/2018/08/18/what-should-you-look-for-when-driving-next-to-big-trucks/</t>
  </si>
  <si>
    <t>What to Look for When Driving Next to Big Trucks | Scott M. Brown &amp; Associates</t>
  </si>
  <si>
    <t>https://sbrownlawyer.com/2013/04/04/more-senior-citizens-seeking-divorce-studies-say/</t>
  </si>
  <si>
    <t>More senior citizens seeking divorce, studies say | Scott M. Brown &amp; Associates | Scott M. Brown &amp; Associates</t>
  </si>
  <si>
    <t>https://sbrownlawyer.com/2014/11/14/tips-for-dealing-with-child-custody-issues-in-texas/</t>
  </si>
  <si>
    <t>Tips for dealing with child custody issues in Texas | Scott M. Brown &amp; Associates | Scott M. Brown &amp; Associates</t>
  </si>
  <si>
    <t>https://sbrownlawyer.com/2014/Family-Law/Spousal-Support</t>
  </si>
  <si>
    <t>https://sbrownlawyer.com/2012/06/08/dealing-with-divorce-both-practically-and-emotionally/</t>
  </si>
  <si>
    <t>Dealing with divorce both practically and emotionally | Scott M. Brown &amp; Associates | Scott M. Brown &amp; Associates</t>
  </si>
  <si>
    <t>https://sbrownlawyer.com/2014/08/15/child-support-in-texas-better-than-anywhere-in-united-states/</t>
  </si>
  <si>
    <t>Child support in Texas better than anywhere in United States | Scott M. Brown &amp; Associates | Scott M. Brown &amp; Associates</t>
  </si>
  <si>
    <t>https://sbrownlawyer.com/2014/06/20/lopez-anthony-divorce-has-interesting-child-custody-agreement/</t>
  </si>
  <si>
    <t>Lopez-Anthony divorce has interesting child custody agreement | Scott M. Brown &amp; Associates | Scott M. Brown &amp; Associates</t>
  </si>
  <si>
    <t>https://sbrownlawyer.com/Adoption</t>
  </si>
  <si>
    <t>https://sbrownlawyer.com/2012/02/21/halle-berry-files-request-to-move-with-her-daughter/</t>
  </si>
  <si>
    <t>Halle Berry files request to move with her daughter | Scott M. Brown &amp; Associates | Scott M. Brown &amp; Associates</t>
  </si>
  <si>
    <t>https://sbrownlawyer.com/2018/03/23/parental-alienation-a-criminal-offense-in-texas/</t>
  </si>
  <si>
    <t>Parental Alienation a Criminal Offense in Texas? | Scott M. Brown &amp; Associates</t>
  </si>
  <si>
    <t>https://sbrownlawyer.com/2018/04/12/do-you-need-uninsured-motorist-auto-insurance-coverage-in-texas/</t>
  </si>
  <si>
    <t>Uninsured Motorist Auto Coverage Needed in Texas? | Scott M. Brown &amp; Associates</t>
  </si>
  <si>
    <t>https://sbrownlawyer.com/Adoption/</t>
  </si>
  <si>
    <t>https://sbrownlawyer.com/2019/08/10/legal-immunity-for-reporting-alcohol-poisoning/</t>
  </si>
  <si>
    <t>Legal Immunity for Reporting Alcohol Poisoning | Scott M. Brown &amp; Associates</t>
  </si>
  <si>
    <t>https://sbrownlawyer.com/2012/04/05/untangling-child-related-tax-exemption-questions-after-divorce/</t>
  </si>
  <si>
    <t>Untangling child-related tax exemption questions after divorce | Scott M. Brown &amp; Associates | Scott M. Brown &amp; Associates</t>
  </si>
  <si>
    <t>https://sbrownlawyer.com/2015/07/13/same-sex-divorces-in-texas-likely-to-have-problems-for-now/</t>
  </si>
  <si>
    <t>Same-sex divorces in Texas likely to have problems for now | Scott M. Brown &amp; Associates | Scott M. Brown &amp; Associates</t>
  </si>
  <si>
    <t>https://sbrownlawyer.com/league-city-dwi-lawyer/</t>
  </si>
  <si>
    <t>DWI Defense Lawyer in League City TX</t>
  </si>
  <si>
    <t>https://sbrownlawyer.com/2019/08/30/what-to-do-in-a-hit-and-run/</t>
  </si>
  <si>
    <t>What to Do in a Hit &amp; Run Accident | Scott M. Brown &amp; Associates</t>
  </si>
  <si>
    <t>https://sbrownlawyer.com/2019/01/28/if-you-are-in-an-accident-with-a-drunk-driver-can-you-press-charges/</t>
  </si>
  <si>
    <t>Can You Press Charges Against Drunk Drivers? | Scott M. Brown &amp; Associates</t>
  </si>
  <si>
    <t>https://sbrownlawyer.com/2018/06/05/driving-under-the-influence-of-medication/</t>
  </si>
  <si>
    <t>Driving Under the Influence of Medication | Scott M. Brown &amp; Associates</t>
  </si>
  <si>
    <t>https://sbrownlawyer.com/2019/09/01/4-obvious-signs-it-might-betime-for-divorce/</t>
  </si>
  <si>
    <t>4 Obvious Signs It Might Be Time For Divorce | Scott M. Brown &amp; Associates</t>
  </si>
  <si>
    <t>https://sbrownlawyer.com/2019/05/09/get-help-from-a-personal-injury-lawyer-after-an-accident/</t>
  </si>
  <si>
    <t>Get Help From an Injury Lawyer | Scott M. Brown &amp; Associates</t>
  </si>
  <si>
    <t>https://sbrownlawyer.com/2015/08/07/miranda-lambert-and-blake-shelton-divorce-finalized/</t>
  </si>
  <si>
    <t>Miranda Lambert and Blake Shelton divorce finalized | Scott M. Brown &amp; Associates | Scott M. Brown &amp; Associates</t>
  </si>
  <si>
    <t>https://sbrownlawyer.com/2019/04/18/the-connection-between-distracted-driving-and-pedestrian-accidents/</t>
  </si>
  <si>
    <t>Distracted Driving &amp; Pedestrian Accident Connection | Scott M. Brown &amp; Associates</t>
  </si>
  <si>
    <t>https://sbrownlawyer.com/2012/07/27/child-support-ordered-for-adopted-boy-abandoned-by-mom/</t>
  </si>
  <si>
    <t>Child support ordered for adopted boy abandoned by mom | Scott M. Brown &amp; Associates | Scott M. Brown &amp; Associates</t>
  </si>
  <si>
    <t>https://sbrownlawyer.com/2014/03/07/houston-attorney-general-takes-part-in-domestic-violence-sweep/</t>
  </si>
  <si>
    <t>Houston attorney general takes part in domestic violence sweep | Scott M. Brown &amp; Associates | Scott M. Brown &amp; Associates</t>
  </si>
  <si>
    <t>https://sbrownlawyer.com/drug-possession/Drug-Distribution</t>
  </si>
  <si>
    <t>https://sbrownlawyer.com/2012/10/19/a-texas-divorce-cannot-always-be-settled-in-a-trial-court/</t>
  </si>
  <si>
    <t>A Texas divorce cannot always be settled in a trial court | Scott M. Brown &amp; Associates | Scott M. Brown &amp; Associates</t>
  </si>
  <si>
    <t>https://sbrownlawyer.com/2013/10/10/october-is-domestic-violence-awareness-and-prevention-month/</t>
  </si>
  <si>
    <t>October is Domestic Violence Awareness and Prevention month | Scott M. Brown &amp; Associates | Scott M. Brown &amp; Associates</t>
  </si>
  <si>
    <t>https://sbrownlawyer.com/2013/07/16/should-spousal-support-be-gender-blind/</t>
  </si>
  <si>
    <t>Should spousal support be gender blind? | Scott M. Brown &amp; Associates | Scott M. Brown &amp; Associates</t>
  </si>
  <si>
    <t>https://sbrownlawyer.com/pearland-marijuana-possession/</t>
  </si>
  <si>
    <t>Pearland TX Marijuana Possession Charges</t>
  </si>
  <si>
    <t>https://sbrownlawyer.com/Domestic-Violence/Child-Abuse</t>
  </si>
  <si>
    <t>https://sbrownlawyer.com/Domestic-Violence/Protective-Services</t>
  </si>
  <si>
    <t>https://sbrownlawyer.com/prescription-drug-charges/Alternative-Outcomes-In-Drug-Cases</t>
  </si>
  <si>
    <t>https://sbrownlawyer.com/Domestic-Violence/Restraining-Orders</t>
  </si>
  <si>
    <t>https://sbrownlawyer.com/how-to-hire-a-texas-criminal-defense-lawyer/</t>
  </si>
  <si>
    <t>How to Hire a Texas Criminal Defense Lawyer? | Scott M. Brown &amp; Associates</t>
  </si>
  <si>
    <t>https://sbrownlawyer.com/2017/01/16/how-a-divorce-attorney-can-help-with-your-divorce/</t>
  </si>
  <si>
    <t>How a Divorce Attorney Can Help With Your Divorce | Scott M. Brown &amp; Associates | Scott M. Brown &amp; Associates</t>
  </si>
  <si>
    <t>https://sbrownlawyer.com/2018/10/15/what-is-a-contested-divorce/</t>
  </si>
  <si>
    <t>What is a Contested Divorce? | Scott M. Brown &amp; Associates</t>
  </si>
  <si>
    <t>https://sbrownlawyer.com/2018/10/01/common-issues-with-dividing-community-property-in-divorce/</t>
  </si>
  <si>
    <t>Common Issues with Dividing Community Property in Divorce | Scott M. Brown &amp; Associates</t>
  </si>
  <si>
    <t>https://sbrownlawyer.com/2018/10/23/can-grandparents-get-visitation-rights-in-texas/</t>
  </si>
  <si>
    <t>Can Grandparents Get Visitation Rights in Texas? | Scott M. Brown &amp; Associates</t>
  </si>
  <si>
    <t>https://sbrownlawyer.com/faq/</t>
  </si>
  <si>
    <t>Getting Divorced In Texas | Family Law FAQ | Divorce Process</t>
  </si>
  <si>
    <t>https://sbrownlawyer.com/blog/page/8/?et_blog</t>
  </si>
  <si>
    <t>https://sbrownlawyer.com/page/7/</t>
  </si>
  <si>
    <t>https://sbrownlawyer.com/friendswood-tx-dwi/</t>
  </si>
  <si>
    <t>Friendswood TX DWI Defense Lawyers</t>
  </si>
  <si>
    <t>https://sbrownlawyer.com/2017/01/Contact</t>
  </si>
  <si>
    <t>https://sbrownlawyer.com/blog/page/9/?et_blog</t>
  </si>
  <si>
    <t>https://sbrownlawyer.com/page/8/</t>
  </si>
  <si>
    <t>https://sbrownlawyer.com/2017/02/01/after-a-dwi-arrest-hire-a-lawyer-asap/</t>
  </si>
  <si>
    <t>After a DWI Arrest, Hire a Lawyer ASAP | Scott M. Brown &amp; Associates | Scott M. Brown &amp; Associates</t>
  </si>
  <si>
    <t>https://sbrownlawyer.com/2014/03/14/texas-banker-to-get-over-50000-in-child-support-repayment/</t>
  </si>
  <si>
    <t>Texas banker to get over $50,000 in child support repayment | Scott M. Brown &amp; Associates | Scott M. Brown &amp; Associates</t>
  </si>
  <si>
    <t>https://sbrownlawyer.com/2013/07/09/military-life-and-the-strains-of-divorce/</t>
  </si>
  <si>
    <t>Military life and the strains of divorce | Scott M. Brown &amp; Associates | Scott M. Brown &amp; Associates</t>
  </si>
  <si>
    <t>https://sbrownlawyer.com/2012/10/26/how-to-split-your-digital-assets-in-divorce/</t>
  </si>
  <si>
    <t>How to split your digital assets in divorce | Scott M. Brown &amp; Associates | Scott M. Brown &amp; Associates</t>
  </si>
  <si>
    <t>https://sbrownlawyer.com/2012/07/20/second-texas-divorce-can-hit-finances-harder-than-the-first/</t>
  </si>
  <si>
    <t>Second Texas divorce can hit finances harder than the first | Scott M. Brown &amp; Associates | Scott M. Brown &amp; Associates</t>
  </si>
  <si>
    <t>https://sbrownlawyer.com/distracted-driving/</t>
  </si>
  <si>
    <t>Distracted Driving Accident Lawyer in League City</t>
  </si>
  <si>
    <t>https://sbrownlawyer.com/2015/07/24/what-can-i-put-in-a-prenup/</t>
  </si>
  <si>
    <t>What can I put in a prenup? | Scott M. Brown &amp; Associates | Scott M. Brown &amp; Associates</t>
  </si>
  <si>
    <t>https://sbrownlawyer.com/2019/05/15/7-common-domestic-violence-defense-strategies/</t>
  </si>
  <si>
    <t>7 Common Domestic Violence Defense Strategies | Scott M. Brown &amp; Associates</t>
  </si>
  <si>
    <t>https://sbrownlawyer.com/2018/06/01/what-happens-when-child-support-isnt-paid/</t>
  </si>
  <si>
    <t>What Happens When Child Support Isn't Paid? | Scott M. Brown &amp; Associates</t>
  </si>
  <si>
    <t>https://sbrownlawyer.com/2018/06/12/what-kind-of-assets-can-a-spouse-hide-in-a-divorce/</t>
  </si>
  <si>
    <t>What Kind of Assets Can a Spouse Hide in Divorce | Scott M. Brown &amp; Associates</t>
  </si>
  <si>
    <t>https://sbrownlawyer.com/2015/07/20/alimony-payments-arent-guaranteed-in-a-texas-divorce/</t>
  </si>
  <si>
    <t>Alimony payments aren't guaranteed in a Texas divorce | Scott M. Brown &amp; Associates | Scott M. Brown &amp; Associates</t>
  </si>
  <si>
    <t>https://sbrownlawyer.com/2019/08/01/7-common-texas-dwi-myths-busted/</t>
  </si>
  <si>
    <t>7 Common Texas DWI Myths Busted | Scott M. Brown &amp; Associates</t>
  </si>
  <si>
    <t>https://sbrownlawyer.com/2018/03/19/what-constitutes-an-easy-divorce/</t>
  </si>
  <si>
    <t>What Constitutes as an Easy Divorce? | Scott M. Brown &amp; Associates</t>
  </si>
  <si>
    <t>https://sbrownlawyer.com/2018/04/15/the-benefits-of-mediating-your-divorce-or-custody-case/</t>
  </si>
  <si>
    <t>The Benefits of Mediating Your Divorce or Custody Case | Scott M. Brown &amp; Associates</t>
  </si>
  <si>
    <t>https://sbrownlawyer.com/2012/02/16/reduce-divorce-complications-with-a-prenuptial-agreement/</t>
  </si>
  <si>
    <t>Reduce divorce complications with a prenuptial agreement | Scott M. Brown &amp; Associates | Scott M. Brown &amp; Associates</t>
  </si>
  <si>
    <t>https://sbrownlawyer.com/2014/08/22/financial-considerations-during-a-divorce-in-texas/</t>
  </si>
  <si>
    <t>Financial considerations during a divorce in Texas | Scott M. Brown &amp; Associates | Scott M. Brown &amp; Associates</t>
  </si>
  <si>
    <t>https://sbrownlawyer.com/2014/06/13/muslim-women-dont-have-to-live-with-domestic-abuse/</t>
  </si>
  <si>
    <t>Muslim women don't have to live with domestic abuse | Scott M. Brown &amp; Associates | Scott M. Brown &amp; Associates</t>
  </si>
  <si>
    <t>https://sbrownlawyer.com/2012/divorce</t>
  </si>
  <si>
    <t>https://sbrownlawyer.com/2014/11/06/how-can-i-handle-a-parental-abduction-in-texas/</t>
  </si>
  <si>
    <t>How can I handle a parental abduction in Texas? | Scott M. Brown &amp; Associates | Scott M. Brown &amp; Associates</t>
  </si>
  <si>
    <t>https://sbrownlawyer.com/2013/03/28/texas-jury-in-sanders-case-makes-child-custody-ruling/</t>
  </si>
  <si>
    <t>Texas jury in Sanders case makes child custody ruling | Scott M. Brown &amp; Associates | Scott M. Brown &amp; Associates</t>
  </si>
  <si>
    <t>https://sbrownlawyer.com/2012/06/15/military-divorce-rates-continue-to-rise/</t>
  </si>
  <si>
    <t>Military divorce rates continue to rise | Scott M. Brown &amp; Associates | Scott M. Brown &amp; Associates</t>
  </si>
  <si>
    <t>https://sbrownlawyer.com/2018/08/15/how-does-military-deployment-affect-child-custody/</t>
  </si>
  <si>
    <t>How Does Military Deployment Affect Child Custody? | Scott M. Brown &amp; Associates</t>
  </si>
  <si>
    <t>https://sbrownlawyer.com/2013/07/09/continuing-to-wait-on-russian-child-adoption-ban-to-be-lifted/</t>
  </si>
  <si>
    <t>Continuing to wait on Russian child adoption ban to be lifted | Scott M. Brown &amp; Associates | Scott M. Brown &amp; Associates</t>
  </si>
  <si>
    <t>https://sbrownlawyer.com/what-to-do-after-a-serious-car-accident/Car-Accidents</t>
  </si>
  <si>
    <t>https://sbrownlawyer.com/2018/07/15/what-to-do-when-your-ex-disregards-the-settlement-agreement/</t>
  </si>
  <si>
    <t>What to Do When Your Ex Disregards the Settlement Agreement | Scott M. Brown &amp; Associates</t>
  </si>
  <si>
    <t>https://sbrownlawyer.com/juvenile-crimes/</t>
  </si>
  <si>
    <t>Juvenile Crimes Lawyer | Attorney Scott M. Brown &amp; Associates in League City, Angleton &amp; Pearland, TX</t>
  </si>
  <si>
    <t>https://sbrownlawyer.com/2018/01/16/unregulated-child-custody-transfer-now-illegal/</t>
  </si>
  <si>
    <t>https://sbrownlawyer.com/Car-Accidents</t>
  </si>
  <si>
    <t>https://sbrownlawyer.com/2018/08/07/does-texas-have-some-of-the-worst-roads-and-dangerous-highways/</t>
  </si>
  <si>
    <t>Does Texas Have Some of Worst Roads &amp; Highways? | Scott M. Brown &amp; Associates</t>
  </si>
  <si>
    <t>https://sbrownlawyer.com/blog/criminal-defense/</t>
  </si>
  <si>
    <t>https://sbrownlawyer.com/blog/2017/03/a-court-date-is-not-one-you-want-to-miss.shtml</t>
  </si>
  <si>
    <t>https://sbrownlawyer.com/types-of-compensation-in-a-personal-injury-case/</t>
  </si>
  <si>
    <t>Types of Compensation In A Personal Injury Case | Scott M. Brown &amp; Associates</t>
  </si>
  <si>
    <t>https://sbrownlawyer.com/2013/01/25/texas-taxes-a-viable-reason-for-a-divorce-some-may-say-yes/</t>
  </si>
  <si>
    <t>Texas taxes a viable reason for a divorce? Some may say yes! | Scott M. Brown &amp; Associates | Scott M. Brown &amp; Associates</t>
  </si>
  <si>
    <t>https://sbrownlawyer.com/2017/11/15/the-danger-of-parental-alienation/</t>
  </si>
  <si>
    <t>The Danger Of Parental Alienation In Child Custody Cases | Scott M. Brown &amp; Associates</t>
  </si>
  <si>
    <t>https://sbrownlawyer.com/2017/03/03/a-court-date-is-not-one-you-want-to-miss/</t>
  </si>
  <si>
    <t>A court date is not one you want to miss. | Scott M. Brown &amp; Associates | Scott M. Brown &amp; Associates</t>
  </si>
  <si>
    <t>https://sbrownlawyer.com/2017/02/23/after-an-underage-dwi-insurance-rates-can-skyrocket-what-can-you-do/</t>
  </si>
  <si>
    <t>After an underage DWI, insurance rates can skyrocket. What can you do? | Scott M. Brown &amp; Associates | Scott M. Brown &amp; Associates</t>
  </si>
  <si>
    <t>https://sbrownlawyer.com/2016/01/22/what-are-the-penalties-for-violating-a-protective-order/</t>
  </si>
  <si>
    <t>What are the penalties for violating a protective order? | Scott M. Brown &amp; Associates | Scott M. Brown &amp; Associates</t>
  </si>
  <si>
    <t>https://sbrownlawyer.com/2015/04/07/cookie-cutter-child-custody-agreements-arent-always-best/</t>
  </si>
  <si>
    <t>Cookie-cutter child custody agreements aren't always best | Scott M. Brown &amp; Associates | Scott M. Brown &amp; Associates</t>
  </si>
  <si>
    <t>https://sbrownlawyer.com/2018/11/01/should-bankruptcy-be-filed-before-divorce/</t>
  </si>
  <si>
    <t>Should Bankruptcy Be Filed Before Divorce? | Scott M. Brown &amp; Associates</t>
  </si>
  <si>
    <t>https://sbrownlawyer.com/2017/03/attorneys</t>
  </si>
  <si>
    <t>https://sbrownlawyer.com/2015/Family-Law/Child-Custody/Creative-Custody-Agreements</t>
  </si>
  <si>
    <t>https://sbrownlawyer.com/2017/03/01/how-are-retirement-accounts-handled-in-divorce/</t>
  </si>
  <si>
    <t>How are Retirement Accounts Handled in Divorce? | Scott M. Brown &amp; Associates | Scott M. Brown &amp; Associates</t>
  </si>
  <si>
    <t>https://sbrownlawyer.com/2017/02/28/how-will-a-divorce-affect-my-inheritance/</t>
  </si>
  <si>
    <t>How will a divorce affect my inheritance? | Scott M. Brown &amp; Associates | Scott M. Brown &amp; Associates</t>
  </si>
  <si>
    <t>https://sbrownlawyer.com/types-of-compensation-in-a-personal-injury-case/Wrongful-Death</t>
  </si>
  <si>
    <t>https://sbrownlawyer.com/blog/2017/03/a-court-date-is-not-one-you-want-to-miss</t>
  </si>
  <si>
    <t>https://sbrownlawyer.com/criminal-defense-handcuffs/</t>
  </si>
  <si>
    <t>https://sbrownlawyer.com/personal-injury/Car-Accidents</t>
  </si>
  <si>
    <t>https://sbrownlawyer.com/2015/04/03/out-of-court-methods-for-coming-to-a-child-custody-agreement/</t>
  </si>
  <si>
    <t>Out-of-court methods for coming to a child custody agreement | Scott M. Brown &amp; Associates | Scott M. Brown &amp; Associates</t>
  </si>
  <si>
    <t>https://sbrownlawyer.com/2013/01/15/texas-child-support-state-seeks-money-from-sperm-donor/</t>
  </si>
  <si>
    <t>Texas child support: State seeks money from sperm donor | Scott M. Brown &amp; Associates | Scott M. Brown &amp; Associates</t>
  </si>
  <si>
    <t>https://sbrownlawyer.com/2013/Family-Law/Adoption</t>
  </si>
  <si>
    <t>https://sbrownlawyer.com/2018/08/07/fighting-back-against-allegations-of-white-collar-crime/</t>
  </si>
  <si>
    <t>Fighting Back Against Allegations of White Collar Crime | Scott M. Brown &amp; Associates</t>
  </si>
  <si>
    <t>https://sbrownlawyer.com/2018/07/09/2016-2017-reflect-steepest-increase-in-vehicle-fatalities-in-five-decades/</t>
  </si>
  <si>
    <t>Steepest Increase in Vehicle Fatalities in Five Decades | Scott M. Brown &amp; Associates</t>
  </si>
  <si>
    <t>https://sbrownlawyer.com/Car-Accidents/</t>
  </si>
  <si>
    <t>https://sbrownlawyer.com/2018/08/14/how-do-you-prove-fault-in-a-slip-and-fall-accident/</t>
  </si>
  <si>
    <t>How Do You Prove Fault in a Slip &amp; Fall Accident? | Scott M. Brown &amp; Associates</t>
  </si>
  <si>
    <t>https://sbrownlawyer.com/2014/08/29/professional-footballers-learn-of-harsh-domestic-violence-policy/</t>
  </si>
  <si>
    <t>Professional footballers learn of harsh domestic violence policy | Scott M. Brown &amp; Associates | Scott M. Brown &amp; Associates</t>
  </si>
  <si>
    <t>https://sbrownlawyer.com/2013/03/20/texas-learns-of-former-doctor-divorce-and-money-questions/</t>
  </si>
  <si>
    <t>Texas learns of former doctor divorce and money questions | Scott M. Brown &amp; Associates | Scott M. Brown &amp; Associates</t>
  </si>
  <si>
    <t>https://sbrownlawyer.com/2012/06/22/international-divorce-child-support-treaty-approved-by-house/</t>
  </si>
  <si>
    <t>International divorce child support treaty approved by House | Scott M. Brown &amp; Associates | Scott M. Brown &amp; Associates</t>
  </si>
  <si>
    <t>https://sbrownlawyer.com/2014/06/06/killeen-gets-child-support-office-with-6-employees/</t>
  </si>
  <si>
    <t>Killeen gets child support office with 6 employees | Scott M. Brown &amp; Associates | Scott M. Brown &amp; Associates</t>
  </si>
  <si>
    <t>https://sbrownlawyer.com/2014/10/30/what-should-i-do-if-im-a-victim-of-domestic-violence/</t>
  </si>
  <si>
    <t>What should I do if I'm a victim of domestic violence? | Scott M. Brown &amp; Associates | Scott M. Brown &amp; Associates</t>
  </si>
  <si>
    <t>https://sbrownlawyer.com/2012/02/13/kobe-bryant-gives-three-homes-to-wife-in-divorce-settlement/</t>
  </si>
  <si>
    <t>Kobe Bryant gives three homes to wife in divorce settlement | Scott M. Brown &amp; Associates | Scott M. Brown &amp; Associates</t>
  </si>
  <si>
    <t>https://sbrownlawyer.com/2018/04/17/statutory-rape-age-of-consent-in-texas-how-old-is-too-old/</t>
  </si>
  <si>
    <t>Statutory Rape &amp; Age of Consent in Texas | Scott M. Brown &amp; Associates</t>
  </si>
  <si>
    <t>https://sbrownlawyer.com/2018/03/15/preparing-to-testify-in-court/</t>
  </si>
  <si>
    <t>Preparing to Testify in Court | Scott M. Brown &amp; Associates</t>
  </si>
  <si>
    <t>https://sbrownlawyer.com/2019/05/16/motorcycle-laws-regarding-children-in-texas/</t>
  </si>
  <si>
    <t>Motorcycle Laws Regarding Children in Texas | Scott M. Brown &amp; Associates</t>
  </si>
  <si>
    <t>https://sbrownlawyer.com/2012/07/11/superstar-divorce-holmes-may-seek-full-custody-of-daughter/</t>
  </si>
  <si>
    <t>Superstar divorce: Holmes may seek full custody of daughter | Scott M. Brown &amp; Associates | Scott M. Brown &amp; Associates</t>
  </si>
  <si>
    <t>https://sbrownlawyer.com/2019/07/15/9-tips-for-dealing-with-divorce/</t>
  </si>
  <si>
    <t>9 Tips for Dealing With Divorce | Scott M. Brown &amp; Associates</t>
  </si>
  <si>
    <t>https://sbrownlawyer.com/2018/06/15/how-does-alimony-work/</t>
  </si>
  <si>
    <t>How Does Alimony Work? | Scott M. Brown &amp; Associates</t>
  </si>
  <si>
    <t>https://sbrownlawyer.com/2018/05/28/what-should-you-do-if-your-teenager-gets-a-dui/</t>
  </si>
  <si>
    <t>What to Do if Your Teenager Gets a DUI? | Scott M. Brown &amp; Associates</t>
  </si>
  <si>
    <t>https://sbrownlawyer.com/2014/blog</t>
  </si>
  <si>
    <t>https://sbrownlawyer.com/2017/02/Contact</t>
  </si>
  <si>
    <t>https://sbrownlawyer.com/2014/03/21/texas-ranks-second-in-the-nation-in-domestic-violence-incidents/</t>
  </si>
  <si>
    <t>Texas ranks second in the nation in domestic violence incidents | Scott M. Brown &amp; Associates | Scott M. Brown &amp; Associates</t>
  </si>
  <si>
    <t>https://sbrownlawyer.com/2012/10/29/texas-celebrity-couple-files-for-separation-divorce-to-follow/</t>
  </si>
  <si>
    <t>Texas celebrity couple files for separation: Divorce to follow | Scott M. Brown &amp; Associates | Scott M. Brown &amp; Associates</t>
  </si>
  <si>
    <t>https://sbrownlawyer.com/2017/02/14/the-difference-between-arbitration-mediation-and-trial-in-divorce/</t>
  </si>
  <si>
    <t>The Difference Between Arbitration, Mediation, and Trial in Divorce | Scott M. Brown &amp; Associates | Scott M. Brown &amp; Associates</t>
  </si>
  <si>
    <t>https://sbrownlawyer.com/2018/05/15/prenuptial-agreements-in-texas-what-they-do-do-not-protect/</t>
  </si>
  <si>
    <t>Prenup Agreements | What They Protect &amp; Do Not | Scott M. Brown &amp; Associates</t>
  </si>
  <si>
    <t>https://sbrownlawyer.com/2018/05/15/what-is-medical-support-in-texas/</t>
  </si>
  <si>
    <t>What is Medical Support in Texas? | Scott M. Brown &amp; Associates</t>
  </si>
  <si>
    <t>https://sbrownlawyer.com/2012/11/07/importance-of-knowing-legal-options-in-texas-child-support-fights/</t>
  </si>
  <si>
    <t>Importance of knowing legal options in Texas child support fights | Scott M. Brown &amp; Associates | Scott M. Brown &amp; Associates</t>
  </si>
  <si>
    <t>https://sbrownlawyer.com/blog/page/10/?et_blog</t>
  </si>
  <si>
    <t>https://sbrownlawyer.com/2014/03/28/property-division-and-other-considerations-in-adkins-divorce/</t>
  </si>
  <si>
    <t>Property division and other considerations in Adkins' divorce | Scott M. Brown &amp; Associates | Scott M. Brown &amp; Associates</t>
  </si>
  <si>
    <t>https://sbrownlawyer.com/page/9/</t>
  </si>
  <si>
    <t>https://sbrownlawyer.com/2019/07/01/charged-with-dwi-now-what/</t>
  </si>
  <si>
    <t>Charged with DWI - Now What? | Scott M. Brown &amp; Associates</t>
  </si>
  <si>
    <t>https://sbrownlawyer.com/blog/page/11/?et_blog</t>
  </si>
  <si>
    <t>https://sbrownlawyer.com/2018/05/22/what-is-power-of-attorney-and-how-does-it-work/</t>
  </si>
  <si>
    <t>What is Power of Attorney How Does it Work? | Scott M. Brown &amp; Associates</t>
  </si>
  <si>
    <t>https://sbrownlawyer.com/page/10/</t>
  </si>
  <si>
    <t>https://sbrownlawyer.com/2018/06/18/who-gets-the-family-pet-in-a-divorce/</t>
  </si>
  <si>
    <t>Who Gets the Family Pet in a Divorce? | Scott M. Brown &amp; Associates</t>
  </si>
  <si>
    <t>https://sbrownlawyer.com/2012/07/06/college-after-parents-divorce-who-pays-the-bill/</t>
  </si>
  <si>
    <t>College after parents' divorce: Who pays the bill? | Scott M. Brown &amp; Associates | Scott M. Brown &amp; Associates</t>
  </si>
  <si>
    <t>https://sbrownlawyer.com/2019/06/01/spousal-maintenance-in-texas-everything-you-need-to-know/</t>
  </si>
  <si>
    <t>Spousal Maintenance in Texas: Everything You Need to Know | Scott M. Brown &amp; Associates</t>
  </si>
  <si>
    <t>https://sbrownlawyer.com/2009/05/13/the-obsessed-alienator/</t>
  </si>
  <si>
    <t>The Obsessed Alienator | Scott M. Brown &amp; Associates | Scott M. Brown &amp; Associates</t>
  </si>
  <si>
    <t>https://sbrownlawyer.com/friendswood-motorcycle-accidents/</t>
  </si>
  <si>
    <t>Friendswood TX Motorcycle Accident Lawyers</t>
  </si>
  <si>
    <t>https://sbrownlawyer.com/Sex-Crimes</t>
  </si>
  <si>
    <t>https://sbrownlawyer.com/2018/03/13/addressing-issues-for-same-sex-divorces-in-texas/</t>
  </si>
  <si>
    <t>Addressing Issues for Same-Sex Divorces in Texas | Scott M. Brown &amp; Associates</t>
  </si>
  <si>
    <t>https://sbrownlawyer.com/2014/05/30/texas-woman-fights-to-keep-children-she-took-in-last-year/</t>
  </si>
  <si>
    <t>Texas woman fights to keep children she took in last year | Scott M. Brown &amp; Associates | Scott M. Brown &amp; Associates</t>
  </si>
  <si>
    <t>https://sbrownlawyer.com/2018/04/23/how-do-bond-reductions-work/</t>
  </si>
  <si>
    <t>How Do Bond Reductions Work in Texas? | Scott M. Brown &amp; Associates</t>
  </si>
  <si>
    <t>https://sbrownlawyer.com/2014/10/24/domestic-violence-requires-swift-action-to-keep-you-protected/</t>
  </si>
  <si>
    <t>Domestic violence requires swift action to keep you protected | Scott M. Brown &amp; Associates | Scott M. Brown &amp; Associates</t>
  </si>
  <si>
    <t>https://sbrownlawyer.com/2012/06/29/qdro-and-texas-divorce-dividing-pensions-and-retirement-accounts/</t>
  </si>
  <si>
    <t>QDRO and Texas divorce: Dividing pensions and retirement accounts | Scott M. Brown &amp; Associates | Scott M. Brown &amp; Associates</t>
  </si>
  <si>
    <t>https://sbrownlawyer.com/2014/09/09/considerations-for-child-custody-in-texas-vary-for-infants/</t>
  </si>
  <si>
    <t>Considerations for child custody in Texas vary for infants | Scott M. Brown &amp; Associates | Scott M. Brown &amp; Associates</t>
  </si>
  <si>
    <t>https://sbrownlawyer.com/angleton-slip-fall-accidents-lawyer/</t>
  </si>
  <si>
    <t>Slip &amp; Fall Accident Lawyers in Angleton TX</t>
  </si>
  <si>
    <t>https://sbrownlawyer.com/2018/07/02/are-there-harsh-penalties-if-i-get-caught-with-marijuana-oils-or-edibles-in-texas/</t>
  </si>
  <si>
    <t>Harsh Penalties for Marijuana Oils &amp; Edibles? | Scott M. Brown &amp; Associates</t>
  </si>
  <si>
    <t>https://sbrownlawyer.com/2013/01/07/texas-military-members-may-feel-helpless-during-divorce/</t>
  </si>
  <si>
    <t>Texas military members may feel helpless during divorce | Scott M. Brown &amp; Associates | Scott M. Brown &amp; Associates</t>
  </si>
  <si>
    <t>https://sbrownlawyer.com/2018/08/14/spinal-injuries-lead-to-a-host-of-issues-for-victims/</t>
  </si>
  <si>
    <t>Spinal Cord Injuries Lead to a Host of Issues | Scott M. Brown &amp; Associates</t>
  </si>
  <si>
    <t>https://sbrownlawyer.com/2015/03/26/texas-bill-1812-would-fund-marys-law-enforcement/</t>
  </si>
  <si>
    <t>Texas Bill 1812 would fund Mary's Law enforcement | Scott M. Brown &amp; Associates | Scott M. Brown &amp; Associates</t>
  </si>
  <si>
    <t>https://sbrownlawyer.com/angleton-serious-injuries-lawyer/</t>
  </si>
  <si>
    <t>https://sbrownlawyer.com/Drug-Charges/</t>
  </si>
  <si>
    <t>https://sbrownlawyer.com/2014/09/12/how-can-i-protect-myself-after-domestic-violence/</t>
  </si>
  <si>
    <t>How can I protect myself after domestic violence? | Scott M. Brown &amp; Associates | Scott M. Brown &amp; Associates</t>
  </si>
  <si>
    <t>https://sbrownlawyer.com/2013/01/04/texas-town-holds-dubious-divorce-honors/</t>
  </si>
  <si>
    <t>Texas town holds dubious divorce honors | Scott M. Brown &amp; Associates | Scott M. Brown &amp; Associates</t>
  </si>
  <si>
    <t>https://sbrownlawyer.com/2014/Family-Law/Child-Custody/Custody-Schedules-For-Infants</t>
  </si>
  <si>
    <t>https://sbrownlawyer.com/2018/07/01/can-mental-health-impact-child-custody/</t>
  </si>
  <si>
    <t>Can Mental Health Impact Child Custody? | Scott M. Brown &amp; Associates</t>
  </si>
  <si>
    <t>https://sbrownlawyer.com/2014/05/30/domestic-violence-victims-can-find-help-at-shelters/</t>
  </si>
  <si>
    <t>Domestic violence victims can find help at shelters | Scott M. Brown &amp; Associates | Scott M. Brown &amp; Associates</t>
  </si>
  <si>
    <t>https://sbrownlawyer.com/2014/10/17/iggy-azalea-isnt-married-but-she-was-sued-for-divorce-in-texas/</t>
  </si>
  <si>
    <t>Iggy Azalea isn't married but she was sued for divorce in Texas | Scott M. Brown &amp; Associates | Scott M. Brown &amp; Associates</t>
  </si>
  <si>
    <t>https://sbrownlawyer.com/2018/04/27/drowsy-driving-creates-high-risk-for-car-accidents/</t>
  </si>
  <si>
    <t>Drowsy Driving Creates High Risk for Car Accidents | Scott M. Brown &amp; Associates</t>
  </si>
  <si>
    <t>https://sbrownlawyer.com/2018/03/01/who-gets-the-pets-in-a-divorce/</t>
  </si>
  <si>
    <t>Who Gets the Pets in a Divorce? | Scott M. Brown &amp; Associates</t>
  </si>
  <si>
    <t>https://sbrownlawyer.com/Sex-Crimes/</t>
  </si>
  <si>
    <t>https://sbrownlawyer.com/2009/04/15/three-types-of-alienators-in-parental-alienation/</t>
  </si>
  <si>
    <t>Three Types of Alienators in Parental Alienation | Scott M. Brown &amp; Associates | Scott M. Brown &amp; Associates</t>
  </si>
  <si>
    <t>https://sbrownlawyer.com/2019/06/10/i-was-hit-by-an-uninsured-driver-and-injured/</t>
  </si>
  <si>
    <t>Hit by an Uninsured Driver &amp; Injured | Scott M. Brown &amp; Associates</t>
  </si>
  <si>
    <t>https://sbrownlawyer.com/2018/06/25/can-new-car-technology-actually-be-distracting-to-drivers/</t>
  </si>
  <si>
    <t>Can New Car Technology Be Distracting to Drivers? | Scott M. Brown &amp; Associates</t>
  </si>
  <si>
    <t>https://sbrownlawyer.com/blog/page/12/?et_blog</t>
  </si>
  <si>
    <t>https://sbrownlawyer.com/2019/06/19/what-is-considered-reckless-driving/</t>
  </si>
  <si>
    <t>What is Considered Reckless Driving? | Scott M. Brown &amp; Associates</t>
  </si>
  <si>
    <t>https://sbrownlawyer.com/pearland-weapons-charge-lawyer/</t>
  </si>
  <si>
    <t>Weapons Charge Defense Lawyer in Pearland Texas</t>
  </si>
  <si>
    <t>https://sbrownlawyer.com/page/11/</t>
  </si>
  <si>
    <t>https://sbrownlawyer.com/2014/04/04/bode-millers-sons-mother-hopes-for-amicable-child-custody-plan/</t>
  </si>
  <si>
    <t>Bode Miller's son's mother hopes for amicable child custody plan | Scott M. Brown &amp; Associates | Scott M. Brown &amp; Associates</t>
  </si>
  <si>
    <t>https://sbrownlawyer.com/2012/11/19/texas-visitation-grandparents-accuse-parents-of-deprivation/</t>
  </si>
  <si>
    <t>Texas visitation: Grandparents accuse parents of deprivation | Scott M. Brown &amp; Associates | Scott M. Brown &amp; Associates</t>
  </si>
  <si>
    <t>https://sbrownlawyer.com/2018/05/10/personal-injuries-pain-and-suffering-damages-in-texas/</t>
  </si>
  <si>
    <t>Injuries &amp; Pain and Suffering in Texas | Scott M. Brown &amp; Associates</t>
  </si>
  <si>
    <t>https://sbrownlawyer.com/angleton-weapons-charge/</t>
  </si>
  <si>
    <t>Angleton Weapons Charge Lawyer | Texas</t>
  </si>
  <si>
    <t>https://sbrownlawyer.com/2018/05/01/can-you-be-arrested-for-overdosing-on-drugs-in-texas/</t>
  </si>
  <si>
    <t>Get Arrested for Overdosing on Drugs in Texas? | Scott M. Brown &amp; Associates</t>
  </si>
  <si>
    <t>https://sbrownlawyer.com/2018/02/15/is-parental-alienation-happening-in-your-custody-case/</t>
  </si>
  <si>
    <t>Is Parental Alienation Happening In Your Custody Case? | Scott M. Brown &amp; Associates</t>
  </si>
  <si>
    <t>https://sbrownlawyer.com/2014/04/11/domestic-violence-claims-life-of-pregnant-texas-woman/</t>
  </si>
  <si>
    <t>Domestic violence claims life of pregnant Texas woman | Scott M. Brown &amp; Associates | Scott M. Brown &amp; Associates</t>
  </si>
  <si>
    <t>https://sbrownlawyer.com/reckless-driving/</t>
  </si>
  <si>
    <t>Reckless Driving | Angleton Criminal Defense</t>
  </si>
  <si>
    <t>https://sbrownlawyer.com/page/12/</t>
  </si>
  <si>
    <t>https://sbrownlawyer.com/2012/11/28/texas-child-support-battles-may-end-up-back-in-court/</t>
  </si>
  <si>
    <t>Texas child support battles may end up back in court | Scott M. Brown &amp; Associates | Scott M. Brown &amp; Associates</t>
  </si>
  <si>
    <t>https://sbrownlawyer.com/2018/02/19/divorcing-an-addict/</t>
  </si>
  <si>
    <t>Divorcing an Addict | Texas Divorce Attorney | Scott M. Brown &amp; Associates</t>
  </si>
  <si>
    <t>https://sbrownlawyer.com/blog/page/13/?et_blog</t>
  </si>
  <si>
    <t>https://sbrownlawyer.com/2019/06/15/understanding-parenting-plans-and-child-support-during-divorce/</t>
  </si>
  <si>
    <t>Understanding Parenting Plans and Child Support During Divorce | Scott M. Brown &amp; Associates</t>
  </si>
  <si>
    <t>https://sbrownlawyer.com/2009/04/08/parental-alienation-risk-factors-of-alienation/</t>
  </si>
  <si>
    <t>Parental Alienation: Risk Factors of Alienation | Scott M. Brown &amp; Associates | Scott M. Brown &amp; Associates</t>
  </si>
  <si>
    <t>https://sbrownlawyer.com/2018/02/27/charges-for-possession-of-a-controlled-substance/</t>
  </si>
  <si>
    <t>Charges for Possession of a Controlled Substance | Scott M. Brown &amp; Associates</t>
  </si>
  <si>
    <t>https://sbrownlawyer.com/2018/05/01/5-tips-to-prepare-for-your-divorce-consultation/</t>
  </si>
  <si>
    <t>5 Tips to Prepare for Your Divorce Consultation | Scott M. Brown &amp; Associates</t>
  </si>
  <si>
    <t>https://sbrownlawyer.com/types-of-car-accidents/</t>
  </si>
  <si>
    <t>Types of Car Accidents | Houston Injury Lawyer</t>
  </si>
  <si>
    <t>https://sbrownlawyer.com/2014/05/17/understanding-child-support-is-vital-for-any-non-custodial-parent/</t>
  </si>
  <si>
    <t>Understanding child support is vital for any non-custodial parent | Scott M. Brown &amp; Associates | Scott M. Brown &amp; Associates</t>
  </si>
  <si>
    <t>https://sbrownlawyer.com/friendswood-car-accidents/</t>
  </si>
  <si>
    <t>Car Accident Lawyer in Friendswood TX</t>
  </si>
  <si>
    <t>https://sbrownlawyer.com/2014/09/18/domestic-violence-reported-at-university-of-texas/</t>
  </si>
  <si>
    <t>Domestic violence reported at University of Texas | Scott M. Brown &amp; Associates | Scott M. Brown &amp; Associates</t>
  </si>
  <si>
    <t>https://sbrownlawyer.com/2014/10/09/property-division-in-texas-community-separate-and-quasi-groups/</t>
  </si>
  <si>
    <t>Property division in Texas: Community, separate and quasi groups | Scott M. Brown &amp; Associates | Scott M. Brown &amp; Associates</t>
  </si>
  <si>
    <t>https://sbrownlawyer.com/Drug-Charges/Drug-Possession</t>
  </si>
  <si>
    <t>https://sbrownlawyer.com/Drug-Charges/Drug-Distribution</t>
  </si>
  <si>
    <t>https://sbrownlawyer.com/Drug-Charges/Alternative-Outcomes-In-Drug-Cases</t>
  </si>
  <si>
    <t>https://sbrownlawyer.com/2012/12/27/what-happens-if-a-business-is-part-of-a-texas-divorce/</t>
  </si>
  <si>
    <t>What happens if a business is part of a Texas divorce? | Scott M. Brown &amp; Associates | Scott M. Brown &amp; Associates</t>
  </si>
  <si>
    <t>https://sbrownlawyer.com/2014/10/03/how-does-alimony-in-texas-work/</t>
  </si>
  <si>
    <t>How does alimony in Texas work? | Scott M. Brown &amp; Associates | Scott M. Brown &amp; Associates</t>
  </si>
  <si>
    <t>https://sbrownlawyer.com/2014/09/26/complex-alimony-laws-require-staying-current-on-laws/</t>
  </si>
  <si>
    <t>Complex alimony laws require staying current on laws | Scott M. Brown &amp; Associates | Scott M. Brown &amp; Associates</t>
  </si>
  <si>
    <t>https://sbrownlawyer.com/webster-tx-car-accident-lawyer/</t>
  </si>
  <si>
    <t>https://sbrownlawyer.com/2014/05/09/mother-asks-court-for-money-to-fight-child-custody-ruling/</t>
  </si>
  <si>
    <t>Mother asks court for money to fight child custody ruling | Scott M. Brown &amp; Associates | Scott M. Brown &amp; Associates</t>
  </si>
  <si>
    <t>https://sbrownlawyer.com/page/13/</t>
  </si>
  <si>
    <t>https://sbrownlawyer.com/2012/12/18/texas-child-support-man-pays-huge-bill-to-keep-motorcycle/</t>
  </si>
  <si>
    <t>Texas child support: Man pays huge bill to keep motorcycle | Scott M. Brown &amp; Associates | Scott M. Brown &amp; Associates</t>
  </si>
  <si>
    <t>https://sbrownlawyer.com/2009/04/08/parental-alienation-a-continued-analysis/</t>
  </si>
  <si>
    <t>Parental Alienation -- A Continued Analysis | Scott M. Brown &amp; Associates | Scott M. Brown &amp; Associates</t>
  </si>
  <si>
    <t>https://sbrownlawyer.com/blog/page/14/?et_blog</t>
  </si>
  <si>
    <t>https://sbrownlawyer.com/2014/04/18/no-fault-divorce-covenant-marriage-and-domestic-violence/</t>
  </si>
  <si>
    <t>No-fault divorce, covenant marriage, and domestic violence | Scott M. Brown &amp; Associates | Scott M. Brown &amp; Associates</t>
  </si>
  <si>
    <t>https://sbrownlawyer.com/2018/02/22/getting-a-dwi-in-texas-while-you-live-in-another-state/</t>
  </si>
  <si>
    <t>DWI in Texas While You Live in Another State | Scott M. Brown &amp; Associates</t>
  </si>
  <si>
    <t>https://sbrownlawyer.com/2012/12/03/petraeus-debacle-to-end-in-divorce/</t>
  </si>
  <si>
    <t>Petraeus debacle to end in divorce? | Scott M. Brown &amp; Associates | Scott M. Brown &amp; Associates</t>
  </si>
  <si>
    <t>https://sbrownlawyer.com/2018/02/01/the-importance-of-establishing-paternity-in-texas/</t>
  </si>
  <si>
    <t>The Importance Of Establishing Paternity In Texas | Scott M. Brown &amp; Associates</t>
  </si>
  <si>
    <t>https://sbrownlawyer.com/2018/01/28/silencers-are-not-prohibited-weapons/</t>
  </si>
  <si>
    <t>Silencers are Not Prohibited Weapons in Texas | Scott M. Brown &amp; Associates</t>
  </si>
  <si>
    <t>https://sbrownlawyer.com/2018/02/05/texas-drug-manufacturing-and-cultivation-laws/</t>
  </si>
  <si>
    <t>Texas Drug Manufacturing &amp; Cultivation Laws | Scott M. Brown &amp; Associates</t>
  </si>
  <si>
    <t>https://sbrownlawyer.com/2018/02/12/what-are-texas-cannabis-laws/</t>
  </si>
  <si>
    <t>What are Texas’ Cannabis Laws? | Scott M. Brown &amp; Associates</t>
  </si>
  <si>
    <t>https://sbrownlawyer.com/2014/04/25/abducted-girl-is-safe-in-texas/</t>
  </si>
  <si>
    <t>Abducted girl is safe in Texas | Scott M. Brown &amp; Associates | Scott M. Brown &amp; Associates</t>
  </si>
  <si>
    <t>https://sbrownlawyer.com/2009/03/25/what-is-parental-alienation/</t>
  </si>
  <si>
    <t>What is "Parental Alienation"? | Scott M. Brown &amp; Associates | Scott M. Brown &amp; Associates</t>
  </si>
  <si>
    <t>https://sbrownlawyer.com/blog/page/15/?et_blog</t>
  </si>
  <si>
    <t>https://sbrownlawyer.com/page/14/</t>
  </si>
  <si>
    <t>https://sbrownlawyer.com/2012/12/11/divorce-of-big-bang-star-may-interest-texas-fans/</t>
  </si>
  <si>
    <t>Divorce of "Big Bang" star may interest Texas fans | Scott M. Brown &amp; Associates | Scott M. Brown &amp; Associates</t>
  </si>
  <si>
    <t>https://sbrownlawyer.com/2014/05/02/domestic-violence-victims-arent-alone/</t>
  </si>
  <si>
    <t>Domestic violence victims aren't alone | Scott M. Brown &amp; Associates | Scott M. Brown &amp; Associates</t>
  </si>
  <si>
    <t>https://sbrownlawyer.com/blog/page/16/?et_blog</t>
  </si>
  <si>
    <t>https://sbrownlawyer.com/league-city-tx-car-accident-lawyer/</t>
  </si>
  <si>
    <t>League City Texas Car Accident Injury Lawyer</t>
  </si>
  <si>
    <t>https://sbrownlawyer.com/2009/03/18/what-are-factors-that-may-lead-to-divorce/</t>
  </si>
  <si>
    <t>What are factors that may lead to divorce? | Scott M. Brown &amp; Associates | Scott M. Brown &amp; Associates</t>
  </si>
  <si>
    <t>https://sbrownlawyer.com/page/15/</t>
  </si>
  <si>
    <t>https://sbrownlawyer.com/2018/01/22/new-criminal-offense-in-texas-for-possession-or-promotion-of-lewd-material-depicting-a-child/</t>
  </si>
  <si>
    <t>New Texas Criminal Defense for Lewd Child Material | Scott M. Brown &amp; Associates</t>
  </si>
  <si>
    <t>https://sbrownlawyer.com/2009/03/02/consent-to-medical-care-by-a-non-parent/</t>
  </si>
  <si>
    <t>CONSENT TO MEDICAL CARE BY A NON-PARENT | Scott M. Brown &amp; Associates | Scott M. Brown &amp; Associates</t>
  </si>
  <si>
    <t>https://sbrownlawyer.com/blog/page/17/?et_blog</t>
  </si>
  <si>
    <t>https://sbrownlawyer.com/page/16/</t>
  </si>
  <si>
    <t>https://sbrownlawyer.com/galveston-drug-possession-lawyer/</t>
  </si>
  <si>
    <t>Drug Possession Lawyer in Galveston TX</t>
  </si>
  <si>
    <t>https://sbrownlawyer.com/blog/page/18/?et_blog</t>
  </si>
  <si>
    <t>https://sbrownlawyer.com/page/17/</t>
  </si>
  <si>
    <t>https://sbrownlawyer.com/blog/page/19/?et_blog</t>
  </si>
  <si>
    <t>https://sbrownlawyer.com/page/18/</t>
  </si>
  <si>
    <t>https://sbrownlawyer.com/blog/page/20/?et_blog</t>
  </si>
  <si>
    <t>https://sbrownlawyer.com/page/19/</t>
  </si>
  <si>
    <t>https://sbrownlawyer.com/blog/page/21/?et_blog</t>
  </si>
  <si>
    <t>https://sbrownlawyer.com/page/20/</t>
  </si>
  <si>
    <t>https://sbrownlawyer.com/blog/page/22/?et_blog</t>
  </si>
  <si>
    <t>https://sbrownlawyer.com/page/21/</t>
  </si>
  <si>
    <t>https://sbrownlawyer.com/blog/page/23/?et_blog</t>
  </si>
  <si>
    <t>https://sbrownlawyer.com/page/22/</t>
  </si>
  <si>
    <t>https://sbrownlawyer.com/blog/page/24/?et_blog</t>
  </si>
  <si>
    <t>https://sbrownlawyer.com/page/23/</t>
  </si>
  <si>
    <t>https://sbrownlawyer.com/blog/page/25/?et_blog</t>
  </si>
  <si>
    <t>https://sbrownlawyer.com/page/24/</t>
  </si>
  <si>
    <t>https://sbrownlawyer.com/blog/page/26/?et_blog</t>
  </si>
  <si>
    <t>https://sbrownlawyer.com/page/25/</t>
  </si>
  <si>
    <t>https://sbrownlawyer.com/blog/page/27/?et_blog</t>
  </si>
  <si>
    <t>https://sbrownlawyer.com/page/26/</t>
  </si>
  <si>
    <t>https://sbrownlawyer.com/blog/page/28/?et_blog</t>
  </si>
  <si>
    <t>https://sbrownlawyer.com/page/27/</t>
  </si>
  <si>
    <t>https://sbrownlawyer.com/blog/page/29/?et_blog</t>
  </si>
  <si>
    <t>https://sbrownlawyer.com/page/28/</t>
  </si>
  <si>
    <t>https://sbrownlawyer.com/blog/page/30/?et_blog</t>
  </si>
  <si>
    <t>https://sbrownlawyer.com/page/29/</t>
  </si>
  <si>
    <t>https://sbrownlawyer.com/blog/page/31/?et_blog</t>
  </si>
  <si>
    <t>https://sbrownlawyer.com/page/30/</t>
  </si>
  <si>
    <t>https://sbrownlawyer.com/blog/page/32/?et_blog</t>
  </si>
  <si>
    <t>https://sbrownlawyer.com/page/31/</t>
  </si>
  <si>
    <t>https://sbrownlawyer.com/blog/page/33/?et_blog</t>
  </si>
  <si>
    <t>https://sbrownlawyer.com/page/32/</t>
  </si>
  <si>
    <t>https://sbrownlawyer.com/blog/page/34/?et_blog</t>
  </si>
  <si>
    <t>https://sbrownlawyer.com/page/33/</t>
  </si>
  <si>
    <t>https://sbrownlawyer.com/blog/page/35/?et_blog</t>
  </si>
  <si>
    <t>https://sbrownlawyer.com/page/34/</t>
  </si>
  <si>
    <t>https://sbrownlawyer.com/blog/page/36/?et_blog</t>
  </si>
  <si>
    <t>https://sbrownlawyer.com/page/35/</t>
  </si>
  <si>
    <t>https://sbrownlawyer.com/blog/page/37/?et_blog</t>
  </si>
  <si>
    <t>https://sbrownlawyer.com/page/36/</t>
  </si>
  <si>
    <t>https://sbrownlawyer.com/blog/page/38/?et_blog</t>
  </si>
  <si>
    <t>https://sbrownlawyer.com/page/37/</t>
  </si>
  <si>
    <t>https://sbrownlawyer.com/blog/page/39/?et_blog</t>
  </si>
  <si>
    <t>https://sbrownlawyer.com/page/38/</t>
  </si>
  <si>
    <t>https://sbrownlawyer.com/blog/page/40/?et_blog</t>
  </si>
  <si>
    <t>https://sbrownlawyer.com/page/39/</t>
  </si>
  <si>
    <t>https://sbrownlawyer.com/blog/page/41/?et_blog</t>
  </si>
  <si>
    <t>https://sbrownlawyer.com/page/40/</t>
  </si>
  <si>
    <t>https://sbrownlawyer.com/blog/page/42/?et_blog</t>
  </si>
  <si>
    <t>https://sbrownlawyer.com/page/41/</t>
  </si>
  <si>
    <t>https://sbrownlawyer.com/blog/page/43/?et_blog</t>
  </si>
  <si>
    <t>https://sbrownlawyer.com/page/42/</t>
  </si>
  <si>
    <t>https://sbrownlawyer.com/blog/page/44/?et_blog</t>
  </si>
  <si>
    <t>https://sbrownlawyer.com/page/43/</t>
  </si>
  <si>
    <t>https://sbrownlawyer.com/blog/page/45/?et_blog</t>
  </si>
  <si>
    <t>https://sbrownlawyer.com/page/44/</t>
  </si>
  <si>
    <t>https://sbrownlawyer.com/blog/page/46/?et_blog</t>
  </si>
  <si>
    <t>https://sbrownlawyer.com/page/45/</t>
  </si>
  <si>
    <t>https://sbrownlawyer.com/blog/page/47/?et_blog</t>
  </si>
  <si>
    <t>https://sbrownlawyer.com/page/46/</t>
  </si>
  <si>
    <t>https://sbrownlawyer.com/blog/page/48/?et_blog</t>
  </si>
  <si>
    <t>https://sbrownlawyer.com/page/47/</t>
  </si>
  <si>
    <t>https://sbrownlawyer.com/blog/page/49/?et_blog</t>
  </si>
  <si>
    <t>https://sbrownlawyer.com/page/48/</t>
  </si>
  <si>
    <t>https://sbrownlawyer.com/blog/page/50/?et_blog</t>
  </si>
  <si>
    <t>https://sbrownlawyer.com/page/49/</t>
  </si>
  <si>
    <t>https://sbrownlawyer.com/page/50/</t>
  </si>
  <si>
    <t>GA4 Sessions</t>
  </si>
  <si>
    <t>GA4 Views</t>
  </si>
  <si>
    <t>GA4 Engaged sessions</t>
  </si>
  <si>
    <t>GA4 Engagement rate</t>
  </si>
  <si>
    <t>GA4 Key events</t>
  </si>
  <si>
    <t>GA4 Event count</t>
  </si>
  <si>
    <t>GA4 Total revenue</t>
  </si>
  <si>
    <t>GA4 New users</t>
  </si>
  <si>
    <t># ----------------------------------------</t>
  </si>
  <si>
    <t># Landing page: Landing page</t>
  </si>
  <si>
    <t># Account: Scott M Brown and Associates</t>
  </si>
  <si>
    <t># Property: sbrownlawyer.com</t>
  </si>
  <si>
    <t>#</t>
  </si>
  <si>
    <t># All Users</t>
  </si>
  <si>
    <t># Start date: 20250722</t>
  </si>
  <si>
    <t># End date: 20251021</t>
  </si>
  <si>
    <t>Landing page</t>
  </si>
  <si>
    <t>Sessions</t>
  </si>
  <si>
    <t>Active users</t>
  </si>
  <si>
    <t>New users</t>
  </si>
  <si>
    <t>Average engagement time per session</t>
  </si>
  <si>
    <t>Key events</t>
  </si>
  <si>
    <t>Total revenue</t>
  </si>
  <si>
    <t>Session key event rate</t>
  </si>
  <si>
    <t>/</t>
  </si>
  <si>
    <t>/general-family-law-lp</t>
  </si>
  <si>
    <t>/2024/04/24/texas-alimony-am-i-entitled</t>
  </si>
  <si>
    <t>/contact</t>
  </si>
  <si>
    <t>/2024/12/27/understanding-the-naturalization-timeline-for-texas-residents</t>
  </si>
  <si>
    <t>/2024/05/28/impact-of-a-criminal-record-on-child-custody-cases</t>
  </si>
  <si>
    <t>/texas/locations/angleton</t>
  </si>
  <si>
    <t>/criminal-defense-attorney-in-texas</t>
  </si>
  <si>
    <t>/texas/locations/pearland</t>
  </si>
  <si>
    <t>/peggy-bittick</t>
  </si>
  <si>
    <t>/2020/10/29/how-to-tell-if-youre-too-drunk-to-drive-and-how-to-prevent-yourself-from-becoming-a-drunk-driver</t>
  </si>
  <si>
    <t>/scott-m-brown</t>
  </si>
  <si>
    <t>/neck-injury</t>
  </si>
  <si>
    <t>/john-c-caldwell</t>
  </si>
  <si>
    <t>/2018/04/06/can-you-adopt-a-child-in-texas-without-the-biological-fathers-consent</t>
  </si>
  <si>
    <t>/texas/locations/league-city</t>
  </si>
  <si>
    <t>/2024/03/20/texas-child-support-2024</t>
  </si>
  <si>
    <t>/paula-roark-cundiff</t>
  </si>
  <si>
    <t>/2021/04/07/reasons-grandparents-can-file-for-custody-of-grandchild-in-texas</t>
  </si>
  <si>
    <t>/lourel-jones-iii</t>
  </si>
  <si>
    <t>/tv-advertising</t>
  </si>
  <si>
    <t>/james-j-hanley</t>
  </si>
  <si>
    <t>/league-city-family-law-attorney</t>
  </si>
  <si>
    <t>/2020/01/05/texas-passes-new-law-for-assault-on-a-pregnant-woman</t>
  </si>
  <si>
    <t>/blaire-evans</t>
  </si>
  <si>
    <t>/league-city-2</t>
  </si>
  <si>
    <t>/privacy-policy</t>
  </si>
  <si>
    <t>/Scott-M-Brown</t>
  </si>
  <si>
    <t>/2013/11/13/henderson-county-police-round-up-child-support-violators</t>
  </si>
  <si>
    <t>/2021/03/30/what-can-be-done-when-the-other-parent-consistently-violates-the-child-custody-agreement</t>
  </si>
  <si>
    <t>/firm-overview</t>
  </si>
  <si>
    <t>/2018/07/15/what-to-do-when-your-ex-disregards-the-settlement-agreement</t>
  </si>
  <si>
    <t>/brain-injury</t>
  </si>
  <si>
    <t>/criminal-law/first-offenders</t>
  </si>
  <si>
    <t>/2023/01/25/private-property-police-search-in-texas</t>
  </si>
  <si>
    <t>/2018/05/15/what-is-medical-support-in-texas</t>
  </si>
  <si>
    <t>/terms-of-service</t>
  </si>
  <si>
    <t>/2014/10/17/iggy-azalea-isnt-married-but-she-was-sued-for-divorce-in-texas</t>
  </si>
  <si>
    <t>/when-alcohol-becomes-a-factor-in-divorce-proceedings</t>
  </si>
  <si>
    <t>/2018/04/23/how-do-bond-reductions-work</t>
  </si>
  <si>
    <t>/2020/03/02/enforcing-a-divorce-decree-everything-you-need-to-know</t>
  </si>
  <si>
    <t>/2020/12/28/what-to-ask-your-family-lawyer-about-your-child-custody-agreement</t>
  </si>
  <si>
    <t>/2024/10/09/legal-rights-for-pedestrian-injury-victims-in-texas</t>
  </si>
  <si>
    <t>/Thank-You.shtml</t>
  </si>
  <si>
    <t>/careers</t>
  </si>
  <si>
    <t>/2024/10/18/over-55-divorce</t>
  </si>
  <si>
    <t>/personal-injury</t>
  </si>
  <si>
    <t>/sex-crimes/texas-sex-crime-law</t>
  </si>
  <si>
    <t>/2019/05/16/motorcycle-laws-regarding-children-in-texas</t>
  </si>
  <si>
    <t>/2019/10/08/can-you-sue-a-partner-that-infected-you-with-an-std</t>
  </si>
  <si>
    <t>/espanol</t>
  </si>
  <si>
    <t>/news</t>
  </si>
  <si>
    <t>/areas-we-serve</t>
  </si>
  <si>
    <t>/dui-dwi-lp/thank-you</t>
  </si>
  <si>
    <t>/katie-stahl-2</t>
  </si>
  <si>
    <t>/ryan-r-putz</t>
  </si>
  <si>
    <t>/slip-and-fall-accidents</t>
  </si>
  <si>
    <t>/2019/04/10/can-a-dwi-affect-your-divorce-proceedings</t>
  </si>
  <si>
    <t>/angleton</t>
  </si>
  <si>
    <t>/sex-crimes/sex-offender-registration</t>
  </si>
  <si>
    <t>/dui-dwi-lp</t>
  </si>
  <si>
    <t>/league-city-tx-office-of-scott-m-brown-associates</t>
  </si>
  <si>
    <t>/spinal-cord-injury</t>
  </si>
  <si>
    <t>/criminal-law</t>
  </si>
  <si>
    <t>/wp-login</t>
  </si>
  <si>
    <t>/2014/08/01/texas-man-overpays-child-support-goes-to-jail</t>
  </si>
  <si>
    <t>/2021/03/15/who-qualifies-for-a-temporary-protective-order-in-texas-and-other-frequently-asked-questions</t>
  </si>
  <si>
    <t>/pearland-divorce</t>
  </si>
  <si>
    <t>/texas-family-law-attorney</t>
  </si>
  <si>
    <t>/2013/04/11/texas-child-support-powerball-winner-pays-past-due-30000</t>
  </si>
  <si>
    <t>/2016/08/16/paying-child-support-and-alimony-using-structured-settlements</t>
  </si>
  <si>
    <t>/back-injury</t>
  </si>
  <si>
    <t>/child-pornography</t>
  </si>
  <si>
    <t>/friendswood</t>
  </si>
  <si>
    <t>/general-family-law-lp/thank-you</t>
  </si>
  <si>
    <t>/testimonials</t>
  </si>
  <si>
    <t>/2015/02/20/child-support-rights-of-grandparents-with-custody-of-a-grandchild</t>
  </si>
  <si>
    <t>/2024/07/04/expungement-vs-sealing-what-is-the-best-option</t>
  </si>
  <si>
    <t>/2024/11/29/how-to-meet-texas-adjustment-of-status-requirements-for-spouses</t>
  </si>
  <si>
    <t>/family-law-father-lp</t>
  </si>
  <si>
    <t>/news/angleton-school-custody-schedules</t>
  </si>
  <si>
    <t>/sexual-abuse</t>
  </si>
  <si>
    <t>/steps-in-settling-your-claim-in-texas</t>
  </si>
  <si>
    <t>/divorce-book</t>
  </si>
  <si>
    <t>/estate-planning</t>
  </si>
  <si>
    <t>/locations</t>
  </si>
  <si>
    <t>/2017/05/02/how-can-a-spouse-keep-the-house-after-a-texas-divorce</t>
  </si>
  <si>
    <t>/2020/01/14/how-texas-defines-child-abuse</t>
  </si>
  <si>
    <t>/2021/05/06/confronting-gender-bias-in-child-custody-arrangements</t>
  </si>
  <si>
    <t>/cohabitation</t>
  </si>
  <si>
    <t>/faq</t>
  </si>
  <si>
    <t>/francisco-guerrero-ii</t>
  </si>
  <si>
    <t>/lindsey-howard</t>
  </si>
  <si>
    <t>/obscenity</t>
  </si>
  <si>
    <t>/2018/05/01/can-you-be-arrested-for-overdosing-on-drugs-in-texas</t>
  </si>
  <si>
    <t>/2019/09/15/how-to-fight-a-protective-order</t>
  </si>
  <si>
    <t>/Attorneys</t>
  </si>
  <si>
    <t>/criminal-defense-attorney-in-texas-2</t>
  </si>
  <si>
    <t>/footer/thank-you</t>
  </si>
  <si>
    <t>/home/thank-you</t>
  </si>
  <si>
    <t>/jennifer-fraker</t>
  </si>
  <si>
    <t>/news/announcement-divorce-custody-representation-league-city</t>
  </si>
  <si>
    <t>/pearland</t>
  </si>
  <si>
    <t>/spanish-lp/gracias</t>
  </si>
  <si>
    <t>/2009/03/02/consent-to-medical-care-by-a-non-parent</t>
  </si>
  <si>
    <t>/2009/05/13/the-obsessed-alienator</t>
  </si>
  <si>
    <t>/2016/01/08/being-current-on-child-support-required-under-new-open-carry-law</t>
  </si>
  <si>
    <t>/2024/03/26/grandparent-custody-rights</t>
  </si>
  <si>
    <t>/blog</t>
  </si>
  <si>
    <t>/falsely-accused</t>
  </si>
  <si>
    <t>/family-law-father-lp/thank-you</t>
  </si>
  <si>
    <t>/homes-and-real-estate</t>
  </si>
  <si>
    <t>/jaylen-thomas-2</t>
  </si>
  <si>
    <t>/kylee-jenkins</t>
  </si>
  <si>
    <t>/reckless-driving</t>
  </si>
  <si>
    <t>/2018/08/01/can-a-non-parent-pursue-custody</t>
  </si>
  <si>
    <t>/2019/08/10/legal-immunity-for-reporting-alcohol-poisoning</t>
  </si>
  <si>
    <t>/2021/11/26/child-support-guidelines-in-texas-an-overview</t>
  </si>
  <si>
    <t>/2024/04/26/beyond-divorce-guide-to-post-divorce-family-laws</t>
  </si>
  <si>
    <t>/2024/08/01/felony-misdemeanor-difference-league-city</t>
  </si>
  <si>
    <t>/abogado-de-sucesiones-en-pearland-tx</t>
  </si>
  <si>
    <t>/criminal-defense-book</t>
  </si>
  <si>
    <t>/expungement</t>
  </si>
  <si>
    <t>/oil-and-mineral-rights</t>
  </si>
  <si>
    <t>/personal-injury/tbi</t>
  </si>
  <si>
    <t>/uploads/Criminal Client Info Packet1.docx</t>
  </si>
  <si>
    <t>/2015/04/17/is-your-ex-spouse-skipping-child-support-with-contract-work</t>
  </si>
  <si>
    <t>/2019/01/28/if-you-are-in-an-accident-with-a-drunk-driver-can-you-press-charges</t>
  </si>
  <si>
    <t>/2020/07/13/10-signs-divorced-parents-are-doing-right-by-their-kids</t>
  </si>
  <si>
    <t>/2024/10/09/texas-family-sponsorship-immigration-process</t>
  </si>
  <si>
    <t>/child-support/child-support-modifications</t>
  </si>
  <si>
    <t>/grand-theft</t>
  </si>
  <si>
    <t>/health-coverage-accident-claims</t>
  </si>
  <si>
    <t>/internet-sex-crimes</t>
  </si>
  <si>
    <t>/protective-services</t>
  </si>
  <si>
    <t>/rape</t>
  </si>
  <si>
    <t>/2015/10/02/child-support-and-gender-bias-in-the-courts</t>
  </si>
  <si>
    <t>/2018/02/19/divorcing-an-addict</t>
  </si>
  <si>
    <t>/2018/09/04/is-it-legal-for-police-to-search-your-car-in-texas</t>
  </si>
  <si>
    <t>/2019/04/05/alternatives-to-going-to-trial</t>
  </si>
  <si>
    <t>/2020/06/25/partner-abuse-the-many-forms-of-domestic-violence</t>
  </si>
  <si>
    <t>/2020/08/24/the-complete-guide-to-dwi-vs-dui-laws-in-texas</t>
  </si>
  <si>
    <t>/2021/09/10/is-it-wise-to-take-on-a-dwi-case-without-a-dwi-lawyer</t>
  </si>
  <si>
    <t>/2024/11/26/eb-2-visa-how-immigration-attorneys-can-help-you-apply</t>
  </si>
  <si>
    <t>/adoption</t>
  </si>
  <si>
    <t>/case-results</t>
  </si>
  <si>
    <t>/debt-division</t>
  </si>
  <si>
    <t>/information-about-brazoria-county-texas</t>
  </si>
  <si>
    <t>/pearland-employment-based-immigration-lawyer</t>
  </si>
  <si>
    <t>/restraining-orders</t>
  </si>
  <si>
    <t>/rhea-bhakta</t>
  </si>
  <si>
    <t>/school-teacher-sexual-assault</t>
  </si>
  <si>
    <t>/team-member-testimonials</t>
  </si>
  <si>
    <t>/top-military-divorce-lawyer-in-texas</t>
  </si>
  <si>
    <t>/uploads/CLIENT INFO (sm Invent)-Divorce-Children1.pdf</t>
  </si>
  <si>
    <t>/2013/10/21/who-gets-the-wedding-ring-in-the-event-of-a-breakup</t>
  </si>
  <si>
    <t>/2014/01/17/new-texas-law-aims-to-protect-pets-during-domestic-abuse-cases</t>
  </si>
  <si>
    <t>/2014/01/31/college-station-man-in-custody-after-domestic-violence-incident</t>
  </si>
  <si>
    <t>/2014/07/18/child-custody-battles-shouldnt-be-affected-by-deployment-status</t>
  </si>
  <si>
    <t>/2016/01/14/what-is-the-difference-between-fixed-and-reasonable-visitation</t>
  </si>
  <si>
    <t>/2018/07/01/can-mental-health-impact-child-custody</t>
  </si>
  <si>
    <t>/2020/05/21/what-happens-if-you-violate-a-restraining-order</t>
  </si>
  <si>
    <t>/2021/02/28/what-happens-after-a-second-and-third-dwi-in-texas</t>
  </si>
  <si>
    <t>/2021/05/31/your-parenting-plan-how-to-reach-a-child-custody-agreement-without-court-involvement</t>
  </si>
  <si>
    <t>/2021/07/20/8-questions-to-ask-dui-attorneys</t>
  </si>
  <si>
    <t>/2022/02/18/can-i-file-legal-separation-on-texas</t>
  </si>
  <si>
    <t>/2024/12/23/compensation-for-paralysis-injuries-your-guide-to-texas-law</t>
  </si>
  <si>
    <t>/Personal-Injury</t>
  </si>
  <si>
    <t>/adjustment-of-status-pearland-lawyer</t>
  </si>
  <si>
    <t>/areas-we-serve/brazoria-county</t>
  </si>
  <si>
    <t>/assault</t>
  </si>
  <si>
    <t>/criminal-defense-attorney-in-texas-bak</t>
  </si>
  <si>
    <t>/disclaimer</t>
  </si>
  <si>
    <t>/espanol/defensa-criminal</t>
  </si>
  <si>
    <t>/galveston-child-custody-lawyer</t>
  </si>
  <si>
    <t>/galveston-juvenile-crimes-attorney</t>
  </si>
  <si>
    <t>/immigration-videos</t>
  </si>
  <si>
    <t>/misdemeanor</t>
  </si>
  <si>
    <t>/mothers-rights</t>
  </si>
  <si>
    <t>/paralysis</t>
  </si>
  <si>
    <t>/pearland-immigration-lawyer</t>
  </si>
  <si>
    <t>/pearland-marijuana-possession</t>
  </si>
  <si>
    <t>/postnuptial-agreements</t>
  </si>
  <si>
    <t>/premises-liability</t>
  </si>
  <si>
    <t>/prenuptial-agreements</t>
  </si>
  <si>
    <t>/probate-lawyer-in-pearland-tx</t>
  </si>
  <si>
    <t>/product-liability</t>
  </si>
  <si>
    <t>/sex-crimes/overview-of-sex-crime-defense</t>
  </si>
  <si>
    <t>/texas-family-law</t>
  </si>
  <si>
    <t>/uploads/CLIENT INFO (sm invent)-Divorce-No Children1.pdf</t>
  </si>
  <si>
    <t>/vehicular-accidents</t>
  </si>
  <si>
    <t>/what-is-dwi</t>
  </si>
  <si>
    <t>/2012/02/13/kobe-bryant-gives-three-homes-to-wife-in-divorce-settlement</t>
  </si>
  <si>
    <t>/2012/12/03/petraeus-debacle-to-end-in-divorce</t>
  </si>
  <si>
    <t>/2013/11/27/texas-police-officer-accused-of-domestic-violence-still-employed</t>
  </si>
  <si>
    <t>/2014/01/02/organizing-child-support-may-become-easier-with-new-software</t>
  </si>
  <si>
    <t>/2014/02/19/texas-enters-the-fray-of-same-sex-marriage-court-battles</t>
  </si>
  <si>
    <t>/2014/10/09/property-division-in-texas-community-separate-and-quasi-groups</t>
  </si>
  <si>
    <t>/2015/01/16/guidelines-for-texas-child-support-modifications</t>
  </si>
  <si>
    <t>/2015/06/28/child-support-enforcement-license-suspension</t>
  </si>
  <si>
    <t>/2015/11/13/is-divorce-actually-good-for-anything</t>
  </si>
  <si>
    <t>/2016/01/22/what-are-the-penalties-for-violating-a-protective-order</t>
  </si>
  <si>
    <t>/2017/04/19/grounds-for-changing-a-custody-order-in-texas</t>
  </si>
  <si>
    <t>/2017/08/01/7-key-reasons-texas-may-shift-the-property-division-in-divorces-away-from-a-50-50-split</t>
  </si>
  <si>
    <t>/2018/01/05/why-equal-parenting-bill-has-died-in-texas</t>
  </si>
  <si>
    <t>/2018/01/28/silencers-are-not-prohibited-weapons</t>
  </si>
  <si>
    <t>/2018/05/15/prenuptial-agreements-in-texas-what-they-do-do-not-protect</t>
  </si>
  <si>
    <t>/2018/06/12/what-kind-of-assets-can-a-spouse-hide-in-a-divorce</t>
  </si>
  <si>
    <t>/2018/07/17/what-happens-to-you-money-from-a-personal-injury-settlement-if-you-get-divorced</t>
  </si>
  <si>
    <t>/2018/07/28/who-is-liable-for-crashes-that-occur-in-borrowed-vehicles</t>
  </si>
  <si>
    <t>/2019/12/02/challenging-a-prenup</t>
  </si>
  <si>
    <t>/2019/12/17/how-to-get-your-license-back-after-a-dwi</t>
  </si>
  <si>
    <t>/2020/11/13/these-are-the-different-types-of-divorce-in-texas</t>
  </si>
  <si>
    <t>/2020/12/16/domestic-violence-victim-tips-on-getting-a-restraining-order</t>
  </si>
  <si>
    <t>/2021/04/21/dwi-consequences-in-texas-whats-the-maximum-penalty-for-a-dwi</t>
  </si>
  <si>
    <t>/2021/06/15/11-questions-to-ask-before-hiring-a-criminal-defense-attorney</t>
  </si>
  <si>
    <t>/2021/07/05/what-to-expect-out-of-a-divorce-trial</t>
  </si>
  <si>
    <t>/2022/08/12/job-opportunity-were-looking-for-an-associate-attorney</t>
  </si>
  <si>
    <t>/2023/01/20/what-is-a-no‐fault-divorce</t>
  </si>
  <si>
    <t>/2024/10/08/car-accident-in-houston-understanding-your-rights-and-responsibilities</t>
  </si>
  <si>
    <t>/Child-Protective-Services-CPS</t>
  </si>
  <si>
    <t>/abogado-de-ajuste-de-estatus-en-pearland</t>
  </si>
  <si>
    <t>/abogado-de-inmigracion-en-pearland</t>
  </si>
  <si>
    <t>/aggravated-sexual-assault</t>
  </si>
  <si>
    <t>/asset-division</t>
  </si>
  <si>
    <t>/child-endangerment</t>
  </si>
  <si>
    <t>/child-support-lawyer-in-galveston</t>
  </si>
  <si>
    <t>/criminal-law/indecent-exposure</t>
  </si>
  <si>
    <t>/do-not-blow</t>
  </si>
  <si>
    <t>/doctor-divorce-videos</t>
  </si>
  <si>
    <t>/dr-divorce</t>
  </si>
  <si>
    <t>/ella-heath</t>
  </si>
  <si>
    <t>/espanol/family-law</t>
  </si>
  <si>
    <t>/family-owned-business-protection</t>
  </si>
  <si>
    <t>/harris-county-family-law</t>
  </si>
  <si>
    <t>/head-injury</t>
  </si>
  <si>
    <t>/hidden-assets-some-marital-property-may-not-be-obvious</t>
  </si>
  <si>
    <t>/how-to-know-if-your-spouse-is-hiding-marital-property-and-assets</t>
  </si>
  <si>
    <t>/league-city-divorce</t>
  </si>
  <si>
    <t>/league-city-tx-drug-possession-defense</t>
  </si>
  <si>
    <t>/league-city-tx-theft-crimes</t>
  </si>
  <si>
    <t>/meghan-beytebiere</t>
  </si>
  <si>
    <t>/modifications</t>
  </si>
  <si>
    <t>/pearland-family-law-office</t>
  </si>
  <si>
    <t>/personal-injury/nonvehicle-liability-insurance</t>
  </si>
  <si>
    <t>/physician-practices</t>
  </si>
  <si>
    <t>/public-indecency</t>
  </si>
  <si>
    <t>/rape-sexual-assault</t>
  </si>
  <si>
    <t>/retirement-accounts</t>
  </si>
  <si>
    <t>/road-hazard</t>
  </si>
  <si>
    <t>/sex-crimes</t>
  </si>
  <si>
    <t>/spanish-lp</t>
  </si>
  <si>
    <t>/texas</t>
  </si>
  <si>
    <t>/texas-areas-brazoria-county</t>
  </si>
  <si>
    <t>/theft-and-shoplifting/aggravated-burglary</t>
  </si>
  <si>
    <t>/title-ix-defense-campus-sexual-assault</t>
  </si>
  <si>
    <t>/2012/03/28/new-bill-may-help-military-members-with-child-custody</t>
  </si>
  <si>
    <t>/2012/04/13/bob-weinsteins-wife-files-for-divorce-claims-fear-of-bodily-harm</t>
  </si>
  <si>
    <t>/2012/04/19/texas-sperm-donor-off-the-hook-for-child-support</t>
  </si>
  <si>
    <t>/2012/05/25/child-custody-hearing-lands-sanders-divorce-in-the-spotlight</t>
  </si>
  <si>
    <t>/2012/12/11/divorce-of-big-bang-star-may-interest-texas-fans</t>
  </si>
  <si>
    <t>/2012/12/18/texas-child-support-man-pays-huge-bill-to-keep-motorcycle</t>
  </si>
  <si>
    <t>/2013/01/15/texas-child-support-state-seeks-money-from-sperm-donor</t>
  </si>
  <si>
    <t>/2013/02/15/privacy-could-be-a-myth-during-a-texas-divorce</t>
  </si>
  <si>
    <t>/2013/03/20/texas-learns-of-former-doctor-divorce-and-money-questions</t>
  </si>
  <si>
    <t>/2013/03/28/texas-jury-in-sanders-case-makes-child-custody-ruling</t>
  </si>
  <si>
    <t>/2013/04/18/grandparents-rights-in-texas-should-they-be-expanded</t>
  </si>
  <si>
    <t>/2013/05/03/texas-child-custody-battle-abduction-amber-alert-arrest</t>
  </si>
  <si>
    <t>/2013/06/24/child-support-owed-by-nfl-quarterback</t>
  </si>
  <si>
    <t>/2013/07/09/military-life-and-the-strains-of-divorce</t>
  </si>
  <si>
    <t>/2013/08/06/determinations-that-go-into-the-awarding-of-spousal-support</t>
  </si>
  <si>
    <t>/2013/09/03/texas-males-can-also-be-victims-of-domestic-violence</t>
  </si>
  <si>
    <t>/2013/11/22/same-sex-divorce-cases-to-be-settled-in-texas-supreme-court</t>
  </si>
  <si>
    <t>/2013/12/04/bode-millers-ex-gains-custody-of-infant-son</t>
  </si>
  <si>
    <t>/2014/01/10/texas-man-jailed-even-after-paying-back-child-support</t>
  </si>
  <si>
    <t>/2014/02/14/millions-in-child-support-recovered-in-el-paso</t>
  </si>
  <si>
    <t>/2014/03/07/houston-attorney-general-takes-part-in-domestic-violence-sweep</t>
  </si>
  <si>
    <t>/2014/03/21/texas-ranks-second-in-the-nation-in-domestic-violence-incidents</t>
  </si>
  <si>
    <t>/2014/06/13/muslim-women-dont-have-to-live-with-domestic-abuse</t>
  </si>
  <si>
    <t>/2014/11/06/how-can-i-handle-a-parental-abduction-in-texas</t>
  </si>
  <si>
    <t>/2014/11/20/baptist-pastor-suggests-texas-residents-bypass-formal-marriage</t>
  </si>
  <si>
    <t>/2014/12/11/woman-shot-in-head-after-history-of-domestic-violence</t>
  </si>
  <si>
    <t>/2015/01/23/can-the-court-stop-destruction-of-marital-assets-in-a-divorce</t>
  </si>
  <si>
    <t>/2015/04/24/what-should-i-know-about-child-support-modification</t>
  </si>
  <si>
    <t>/2015/05/01/mother-who-took-daughter-to-concert-isnt-bad-parent</t>
  </si>
  <si>
    <t>/2015/05/08/what-if-im-accused-of-child-abuse</t>
  </si>
  <si>
    <t>/2015/09/01/prenups-for-seniors</t>
  </si>
  <si>
    <t>/2016/04/01/do-i-need-an-attorney-even-if-we-dont-have-children</t>
  </si>
  <si>
    <t>/2017/03/11/what-is-the-parental-presumption</t>
  </si>
  <si>
    <t>/2017/05/18/what-is-a-reasonable-suspicion-to-stop-in-a-texas-duidwi-case</t>
  </si>
  <si>
    <t>/2017/11/01/the-ins-and-outs-of-5050-custody-or-possession</t>
  </si>
  <si>
    <t>/2017/11/21/new-texas-law-bans-texting-while-driving</t>
  </si>
  <si>
    <t>/2017/12/01/modifying-custody-in-the-state-of-texas</t>
  </si>
  <si>
    <t>/2017/12/01/modifying-custody-in-the-state-of-texas/tel:2819724386</t>
  </si>
  <si>
    <t>/2018/03/26/can-teenagers-get-arrested-for-texting-nude-photos-in-texas</t>
  </si>
  <si>
    <t>/2018/05/01/5-tips-to-prepare-for-your-divorce-consultation</t>
  </si>
  <si>
    <t>/2018/06/01/what-happens-when-child-support-isnt-paid</t>
  </si>
  <si>
    <t>/2018/06/15/how-does-alimony-work</t>
  </si>
  <si>
    <t>/2018/08/05/are-parents-personally-liable-if-their-teenager-gets-in-an-accident</t>
  </si>
  <si>
    <t>/2018/11/15/how-will-texas-divorces-be-different-in-2019/tel:9792586813</t>
  </si>
  <si>
    <t>/2018/12/05/does-a-domestic-violence-charge-affect-my-joint-custody-order</t>
  </si>
  <si>
    <t>/2019/04/01/fighting-for-your-child-the-top-tips-for-winning-a-child-custody-battle/tel:2816128241</t>
  </si>
  <si>
    <t>/2019/04/15/avoid-a-messy-divorce-how-to-choose-the-right-divorce-lawyer/tel:2816128241</t>
  </si>
  <si>
    <t>/2019/04/15/can-bad-behavior-toward-an-ex-affect-your-custody-arrangement</t>
  </si>
  <si>
    <t>/2019/07/01/charged-with-dwi-now-what/tel:8329561048</t>
  </si>
  <si>
    <t>/2019/09/01/4-obvious-signs-it-might-betime-for-divorce</t>
  </si>
  <si>
    <t>/2019/12/28/how-to-create-a-parenting-plan-that-works-for-both-parties</t>
  </si>
  <si>
    <t>/2020/09/10/types-of-custody-arrangements-for-divorcing-couples</t>
  </si>
  <si>
    <t>/2021</t>
  </si>
  <si>
    <t>/2021/02/07/when-is-it-time-to-hire-a-family-divorce-lawyer</t>
  </si>
  <si>
    <t>/2021/06/26/what-are-your-rights-regarding-texas-child-custody-law</t>
  </si>
  <si>
    <t>/2021/08/01/10-things-to-know-about-tx-child-custody</t>
  </si>
  <si>
    <t>/2021/08/30/a-timeline-of-the-divorce-process-how-long-does-it-realistically-take</t>
  </si>
  <si>
    <t>/2021/09/27/how-to-find-the-best-child-custody-lawyer-in-League City-tx-and-how-they-can-help-your-case</t>
  </si>
  <si>
    <t>/2021/11/05/5-things-you-need-to-know-about-child-custody-in-texas</t>
  </si>
  <si>
    <t>/2022/03/06/divorce-who-gets-the-house</t>
  </si>
  <si>
    <t>/2022/03/22/false-accusations-of-abuse</t>
  </si>
  <si>
    <t>/2024/05/28/benefits-of-collaborative-divorce-in-texas</t>
  </si>
  <si>
    <t>/2024/07/08/open-vs-closed-aoption-angleton-texas</t>
  </si>
  <si>
    <t>/2024/08/20/no-fault-divorce-vs-fault-divorce-angleton-texas</t>
  </si>
  <si>
    <t>/Assault-Charges</t>
  </si>
  <si>
    <t>/Contact</t>
  </si>
  <si>
    <t>/Drug-Charges</t>
  </si>
  <si>
    <t>/Drug-Distribution</t>
  </si>
  <si>
    <t>/Drug-Possession</t>
  </si>
  <si>
    <t>/Juvenile-Crimes</t>
  </si>
  <si>
    <t>/League City-juvenile-crimes-lawyer</t>
  </si>
  <si>
    <t>/League City-tx-child-custody-visitation-lawyer</t>
  </si>
  <si>
    <t>/League City-tx-divorce</t>
  </si>
  <si>
    <t>/League City-tx-family-law-modifications-lawyer</t>
  </si>
  <si>
    <t>/League City-tx-theft-crimes</t>
  </si>
  <si>
    <t>/Physician-Practices</t>
  </si>
  <si>
    <t>/Prescription-Drug-Charges</t>
  </si>
  <si>
    <t>/Protective-Services</t>
  </si>
  <si>
    <t>/Restraining-Order</t>
  </si>
  <si>
    <t>/abogado-de-inmigracion-familiar-en-pearland-texas</t>
  </si>
  <si>
    <t>/abogado-de-procesamiento-consular-en-pearland</t>
  </si>
  <si>
    <t>/about</t>
  </si>
  <si>
    <t>/angleton-slip-fall-accidents-lawyer</t>
  </si>
  <si>
    <t>/areas-we-serve/matagorda-county</t>
  </si>
  <si>
    <t>/big-rig-accidents</t>
  </si>
  <si>
    <t>/blog/page/40</t>
  </si>
  <si>
    <t>/blog/page/48</t>
  </si>
  <si>
    <t>/breath-blood-test-issues</t>
  </si>
  <si>
    <t>/category/alimony</t>
  </si>
  <si>
    <t>/child-protective-services-cps</t>
  </si>
  <si>
    <t>/child-sex-offenses</t>
  </si>
  <si>
    <t>/client-video-testimonials</t>
  </si>
  <si>
    <t>/contact-scott-m-brown</t>
  </si>
  <si>
    <t>/divorce-in-texas-and-the-possibility-of-spousal-support-payments</t>
  </si>
  <si>
    <t>/divorce-lawyer-in-galveston-county</t>
  </si>
  <si>
    <t>/divorce-modification</t>
  </si>
  <si>
    <t>/divorcio</t>
  </si>
  <si>
    <t>/dog-bite-injuries</t>
  </si>
  <si>
    <t>/enforcement</t>
  </si>
  <si>
    <t>/fathers-rights</t>
  </si>
  <si>
    <t>/friendswood-tx-drug-charges</t>
  </si>
  <si>
    <t>/galveston-drug-possession-lawyer</t>
  </si>
  <si>
    <t>/galveston-spousal-support</t>
  </si>
  <si>
    <t>/galveston-truck-accident-lawyer</t>
  </si>
  <si>
    <t>/galveston-tx-simple-assault-defense</t>
  </si>
  <si>
    <t>/general-family-law-lp-league-city</t>
  </si>
  <si>
    <t>/harris-county-child-custody-attorneys</t>
  </si>
  <si>
    <t>/harris-county-modifications-of-orders-attorney</t>
  </si>
  <si>
    <t>/hiring-sexual-assault-defense-lawyer</t>
  </si>
  <si>
    <t>/human-trafficking</t>
  </si>
  <si>
    <t>/inheritances</t>
  </si>
  <si>
    <t>/league-city-car-accidents</t>
  </si>
  <si>
    <t>/league-city-divorce-2</t>
  </si>
  <si>
    <t>/league-city-juvenile-crimes-lawyer</t>
  </si>
  <si>
    <t>/league-city-tx-adoption-lawyer</t>
  </si>
  <si>
    <t>/league-city-tx-criminal-defense-lawyers</t>
  </si>
  <si>
    <t>/listings/scott-m-brown-associates-tx/visit-website</t>
  </si>
  <si>
    <t>/online-solicitation-of-a-minor</t>
  </si>
  <si>
    <t>/page/26</t>
  </si>
  <si>
    <t>/pearland-probation-violations-lawyer</t>
  </si>
  <si>
    <t>/pedestrian-accidents</t>
  </si>
  <si>
    <t>/personal-injury-in-texas/boat-accidents</t>
  </si>
  <si>
    <t>/planning-for-divorce</t>
  </si>
  <si>
    <t>/service-areas</t>
  </si>
  <si>
    <t>/termination</t>
  </si>
  <si>
    <t>/texas/areas/galveston-county</t>
  </si>
  <si>
    <t>/truck-accident</t>
  </si>
  <si>
    <t>/tv-advertising/</t>
  </si>
  <si>
    <t>/uploads/CLIENT INFO - Enforcement1.pdf</t>
  </si>
  <si>
    <t>/uploads/Generic client information sheet.docx</t>
  </si>
  <si>
    <t>/violent-crimes</t>
  </si>
  <si>
    <t>/when-parents-divorce-new-study-analyzes-impact-of-divorce-on-kids</t>
  </si>
  <si>
    <t>/why-do-you-need-a-divorce-lawyer</t>
  </si>
  <si>
    <t>Top pages</t>
  </si>
  <si>
    <t>http://www.sbrownlawyer.com/?utm_campaign=gmbangleton</t>
  </si>
  <si>
    <t>http://www.sbrownlawyer.com/?utm_campaign=gmbpearland</t>
  </si>
  <si>
    <t>https://sbrownlawyer.com/league-city-family-law-attorney/?utm_campaign=gmbleaguecity</t>
  </si>
  <si>
    <t>https://sbrownlawyer.com/2024/12/27/understanding-the-naturalization-timeline-for-texas-residents/</t>
  </si>
  <si>
    <t>https://sbrownlawyer.com/friendswood/</t>
  </si>
  <si>
    <t>https://sbrownlawyer.com/league-city-tx-office-of-scott-m-brown-associates/</t>
  </si>
  <si>
    <t>http://www.sbrownlawyer.com/?utm_campaign=gmbhouston</t>
  </si>
  <si>
    <t>https://sbrownlawyer.com/2024/10/09/texas-family-sponsorship-immigration-process/</t>
  </si>
  <si>
    <t>https://sbrownlawyer.com/scott-boates/</t>
  </si>
  <si>
    <t>https://sbrownlawyer.com/francisco-guerrero-ii/</t>
  </si>
  <si>
    <t>https://sbrownlawyer.com/falsely-accused/</t>
  </si>
  <si>
    <t>https://sbrownlawyer.com/galveston-juvenile-crimes-attorney/</t>
  </si>
  <si>
    <t>https://sbrownlawyer.com/tv-advertising/</t>
  </si>
  <si>
    <t>https://sbrownlawyer.com/ryan-r-putz/</t>
  </si>
  <si>
    <t>https://sbrownlawyer.com/2024/11/29/how-to-meet-texas-adjustment-of-status-requirements-for-spouses/</t>
  </si>
  <si>
    <t>https://sbrownlawyer.com/lindsey-howard/</t>
  </si>
  <si>
    <t>https://sbrownlawyer.com/galveston-personal-injury-lawyer/</t>
  </si>
  <si>
    <t>https://sbrownlawyer.com/criminal-defense-lawyer-galveston-county/</t>
  </si>
  <si>
    <t>https://sbrownlawyer.com/adjustment-of-status-pearland-lawyer/</t>
  </si>
  <si>
    <t>https://sbrownlawyer.com/jennifer-fraker/</t>
  </si>
  <si>
    <t>https://sbrownlawyer.com/ella-heath/</t>
  </si>
  <si>
    <t>https://sbrownlawyer.com/john-c-caldwell/</t>
  </si>
  <si>
    <t>https://sbrownlawyer.com/harris-county-criminal-defense/</t>
  </si>
  <si>
    <t>https://sbrownlawyer.com/galveston-theft-crimes/</t>
  </si>
  <si>
    <t>https://sbrownlawyer.com/probate-lawyer-in-pearland-tx/</t>
  </si>
  <si>
    <t>https://sbrownlawyer.com/galveston-tx-simple-assault-defense/</t>
  </si>
  <si>
    <t>https://sbrownlawyer.com/underage-drinking-lawyer-in-galveston/</t>
  </si>
  <si>
    <t>https://sbrownlawyer.com/galveston-drug-charge-lawyer/</t>
  </si>
  <si>
    <t>https://sbrownlawyer.com/category/military-family-law/</t>
  </si>
  <si>
    <t>https://sbrownlawyer.com/category/duidwi/</t>
  </si>
  <si>
    <t>https://sbrownlawyer.com/pharmaceutical-litigation/</t>
  </si>
  <si>
    <t>https://sbrownlawyer.com/homicide/</t>
  </si>
  <si>
    <t>https://sbrownlawyer.com/family-law-father-lp/</t>
  </si>
  <si>
    <t>https://sbrownlawyer.com/category/careers/</t>
  </si>
  <si>
    <t>https://sbrownlawyer.com/offshore-injuries/</t>
  </si>
  <si>
    <t>https://sbrownlawyer.com/personal-injury/burn-injury/</t>
  </si>
  <si>
    <t>https://sbrownlawyer.com/jones-act-claims/</t>
  </si>
  <si>
    <t>https://sbrownlawyer.com/birth-injuries/</t>
  </si>
  <si>
    <t>https://sbrownlawyer.com/uninsured-motorists-accidents/</t>
  </si>
  <si>
    <t>https://sbrownlawyer.com/dwi-attorney-in-galveston-county/</t>
  </si>
  <si>
    <t>https://sbrownlawyer.com/petrochemical-plant-accidents/</t>
  </si>
  <si>
    <t>https://sbrownlawyer.com/family-based-immigration/</t>
  </si>
  <si>
    <t>https://sbrownlawyer.com/galveston-aggravated-assault-lawyer/</t>
  </si>
  <si>
    <t>https://sbrownlawyer.com/how-do-i-find-the-best-duidwi-lawyer/</t>
  </si>
  <si>
    <t>https://sbrownlawyer.com/galveston-motorcycle-accidents-2/</t>
  </si>
  <si>
    <t>https://sbrownlawyer.com/big-rig-accidents/</t>
  </si>
  <si>
    <t>https://sbrownlawyer.com/personal-injury/neck-and-back-injuries/</t>
  </si>
  <si>
    <t>https://sbrownlawyer.com/pearland-employment-based-immigration-lawyer/</t>
  </si>
  <si>
    <t>https://sbrownlawyer.com/angleton-probation-violations-lawyer/</t>
  </si>
  <si>
    <t>https://sbrownlawyer.com/child-endangerment/</t>
  </si>
  <si>
    <t>https://sbrownlawyer.com/angleton-divorce/</t>
  </si>
  <si>
    <t>https://sbrownlawyer.com/pearland-divorce/</t>
  </si>
  <si>
    <t>https://sbrownlawyer.com/angelton-uncontensed-divorce/</t>
  </si>
  <si>
    <t>http://sbrownlawyer.com/league-city-spousal-support-lawyer/</t>
  </si>
  <si>
    <t>https://sbrownlawyer.com/general-family-law-lp/</t>
  </si>
  <si>
    <t>https://sbrownlawyer.com/custody-and-visitation-dos-and-donts/</t>
  </si>
  <si>
    <t>https://sbrownlawyer.com/blog/page/20/</t>
  </si>
  <si>
    <t>https://sbrownlawyer.com/car-accident-lawyer-in-galveston/</t>
  </si>
  <si>
    <t>https://sbrownlawyer.com/pearland-serious-injuries-lawyer/</t>
  </si>
  <si>
    <t>https://sbrownlawyer.com/bicycle-accidents/</t>
  </si>
  <si>
    <t>https://sbrownlawyer.com/league-city-tx-assault-lawyer/</t>
  </si>
  <si>
    <t>https://sbrownlawyer.com/league-city-divorce-2/</t>
  </si>
  <si>
    <t>https://sbrownlawyer.com/galveston-tx-dui-lawyer/</t>
  </si>
  <si>
    <t>https://sbrownlawyer.com/league-city-tx-adoption-lawyer/</t>
  </si>
  <si>
    <t>https://sbrownlawyer.com/2024/11/26/eb-2-visa-how-immigration-attorneys-can-help-you-apply/</t>
  </si>
  <si>
    <t>https://sbrownlawyer.com/category/immigration-law/</t>
  </si>
  <si>
    <t>https://sbrownlawyer.com/wp-content/uploads/2017/06/january-newsletter.pdf</t>
  </si>
  <si>
    <t>http://sbrownlawyer.com/2009/04/08/parental-alienation-risk-factors-of-alienation/</t>
  </si>
  <si>
    <t>https://sbrownlawyer.com/league-city-slip-fall-accidents/</t>
  </si>
  <si>
    <t>https://sbrownlawyer.com/spanish-lp/</t>
  </si>
  <si>
    <t>https://sbrownlawyer.com/newsletter/</t>
  </si>
  <si>
    <t>https://sbrownlawyer.com/league-city-construction-accidents/</t>
  </si>
  <si>
    <t>https://sbrownlawyer.com/wp-content/uploads/2017/06/december-newsletter.pdf</t>
  </si>
  <si>
    <t>https://sbrownlawyer.com/articles/</t>
  </si>
  <si>
    <t>https://sbrownlawyer.com/league-city-tx-personal-injury-lawyer/</t>
  </si>
  <si>
    <t>https://sbrownlawyer.com/thank-you-2/</t>
  </si>
  <si>
    <t>https://sbrownlawyer.com/sitemap.xml</t>
  </si>
  <si>
    <t>https://sbrownlawyer.com/personal-injury/types/</t>
  </si>
  <si>
    <t>https://sbrownlawyer.com/blog/page/10/?refPageViewId=8b1842ca51c46bf5&amp;et_blog</t>
  </si>
  <si>
    <t>https://sbrownlawyer.com/wp-content/uploads/2017/06/november-newsletter.pdf</t>
  </si>
  <si>
    <t>https://sbrownlawyer.com/blog/page/22/?refPageViewId=8b4031af35d8a37e&amp;et_blog</t>
  </si>
  <si>
    <t>https://sbrownlawyer.com/category/personal-injury/</t>
  </si>
  <si>
    <t>https://sbrownlawyer.com/family-law-tools-and-links/</t>
  </si>
  <si>
    <t>https://sbrownlawyer.com/category/alimony/</t>
  </si>
  <si>
    <t>https://sbrownlawyer.com/category/rj-videos/</t>
  </si>
  <si>
    <t>https://sbrownlawyer.com/scheduler-event-trigger-pi-page/</t>
  </si>
  <si>
    <t>https://sbrownlawyer.com/category/divorce/</t>
  </si>
  <si>
    <t>https://sbrownlawyer.com/why-is-talking-to-the-police-a-bad-idea/</t>
  </si>
  <si>
    <t>https://sbrownlawyer.com/category/estate-planning/</t>
  </si>
  <si>
    <t>https://sbrownlawyer.com/divorce-2/</t>
  </si>
  <si>
    <t>https://sbrownlawyer.com/blog/page/20/?refPageViewId=8b06a730e0b22094&amp;et_blog</t>
  </si>
  <si>
    <t>https://sbrownlawyer.com/category/child-custody/</t>
  </si>
  <si>
    <t>http://sbrownlawyer.com/2018/08/14/how-do-you-prove-fault-in-a-slip-and-fall-accident/</t>
  </si>
  <si>
    <t>https://sbrownlawyer.com/dui-dwi-lp/</t>
  </si>
  <si>
    <t>https://sbrownlawyer.com/dui-dwi-lp/thank-you/</t>
  </si>
  <si>
    <t>https://sbrownlawyer.com/blog/page/15/?refPageViewId=8b4087a326ff75b8&amp;et_blog</t>
  </si>
  <si>
    <t>https://sbrownlawyer.com/blog/page/23/</t>
  </si>
  <si>
    <t>https://sbrownlawyer.com/blog/page/45/?refPageViewId=5b1ad708b784f242&amp;et_blog</t>
  </si>
  <si>
    <t>https://sbrownlawyer.com/child-custody-lp/</t>
  </si>
  <si>
    <t>https://sbrownlawyer.com/blog/page/41/?refPageViewId=8ae91978247de832&amp;et_blog</t>
  </si>
  <si>
    <t>https://sbrownlawyer.com/league-city-aggravated-assault-lawyer-2/</t>
  </si>
  <si>
    <t>https://sbrownlawyer.com/blog/page/46/?refPageViewId=5b1ad708b784f242&amp;et_blog</t>
  </si>
  <si>
    <t>https://sbrownlawyer.com/divorce-lp/</t>
  </si>
  <si>
    <t>https://sbrownlawyer.com/blog/page/5/?refPageViewId=8af33536a6ad72f9&amp;et_blog</t>
  </si>
  <si>
    <t>https://sbrownlawyer.com/blog/page/28/?refPageViewId=8b4087a326ff75b8&amp;et_blog</t>
  </si>
  <si>
    <t>https://sbrownlawyer.com/blog/page/15/?refPageViewId=8b4031af35d8a37e&amp;et_blog</t>
  </si>
  <si>
    <t>https://sbrownlawyer.com/videos-4/</t>
  </si>
  <si>
    <t>https://sbrownlawyer.com/blog/page/12/?refPageViewId=8b93d6f86518474c&amp;et_blog</t>
  </si>
  <si>
    <t>https://sbrownlawyer.com/blog/page/46/?refPageViewId=8ae91978247de832&amp;et_blog</t>
  </si>
  <si>
    <t>https://sbrownlawyer.com/blog/page/46/?refPageViewId=8b06a730e0b22094&amp;et_blog</t>
  </si>
  <si>
    <t>https://sbrownlawyer.com/blog/page/40/?refPageViewId=8ad1522bb2d107f1&amp;et_blog</t>
  </si>
  <si>
    <t>https://sbrownlawyer.com/blog/page/18/?refPageViewId=8b1842ca51c46bf5&amp;et_blog</t>
  </si>
  <si>
    <t>https://sbrownlawyer.com/?refPageViewId=8c7af837169e062c</t>
  </si>
  <si>
    <t>https://sbrownlawyer.com/blog/page/30/?refPageViewId=8ad1522bb2d107f1&amp;et_blog</t>
  </si>
  <si>
    <t>https://sbrownlawyer.com/family-law-lp/</t>
  </si>
  <si>
    <t>https://sbrownlawyer.com/?wordfence_lh=1&amp;hid=A6898B9B26DB5B6FF4EA1DD50EAFD2CB</t>
  </si>
  <si>
    <t>https://sbrownlawyer.com/category/sex-crimes/</t>
  </si>
  <si>
    <t>https://sbrownlawyer.com/family-law-father-lp/thank-you/</t>
  </si>
  <si>
    <t>https://sbrownlawyer.com/blog/page/38/?refPageViewId=5b0e815433bd7f68&amp;et_blog</t>
  </si>
  <si>
    <t>https://sbrownlawyer.com/blog/page/47/?refPageViewId=5b1ad708b784f242&amp;et_blog</t>
  </si>
  <si>
    <t>https://sbrownlawyer.com/blog/page/48/?refPageViewId=5b1ad708b784f242&amp;et_blog</t>
  </si>
  <si>
    <t>https://sbrownlawyer.com/category/criminal-defense/</t>
  </si>
  <si>
    <t>https://sbrownlawyer.com/blog/page/31/?refPageViewId=8b93d6f86518474c&amp;et_blog</t>
  </si>
  <si>
    <t>https://sbrownlawyer.com/sample-page/</t>
  </si>
  <si>
    <t>https://sbrownlawyer.com/blog/page/27/?refPageViewId=8b1842ca51c46bf5&amp;et_blog</t>
  </si>
  <si>
    <t>https://sbrownlawyer.com/blog/page/16/?refPageViewId=5b1ad708b784f242&amp;et_blog</t>
  </si>
  <si>
    <t>https://sbrownlawyer.com/blog/page/33/?refPageViewId=8af33536a6ad72f9&amp;et_blog</t>
  </si>
  <si>
    <t>https://sbrownlawyer.com/thank-you/</t>
  </si>
  <si>
    <t>https://sbrownlawyer.com/blog/page/29/?refPageViewId=8b93d6f86518474c&amp;et_blog</t>
  </si>
  <si>
    <t>https://sbrownlawyer.com/category/family-law/</t>
  </si>
  <si>
    <t>https://sbrownlawyer.com/?refPageViewId=8be3cfe006056c51</t>
  </si>
  <si>
    <t>https://sbrownlawyer.com/category/divorce/page/2/?et_blog</t>
  </si>
  <si>
    <t>https://sbrownlawyer.com/videos-3/</t>
  </si>
  <si>
    <t>https://sbrownlawyer.com/blog/page/4/</t>
  </si>
  <si>
    <t># Start date: 20241022</t>
  </si>
  <si>
    <t># End date: 20250121</t>
  </si>
  <si>
    <t>/f1p6mlb1g</t>
  </si>
  <si>
    <t>(not set)</t>
  </si>
  <si>
    <t>/personal-injury-in-texas</t>
  </si>
  <si>
    <t>/schedule-now</t>
  </si>
  <si>
    <t>/2020/06/16/accepting-divorce-our-advice-for-overcoming-grief-and-frustration</t>
  </si>
  <si>
    <t>/2020/05/07/what-you-need-to-know-about-child-custody-laws-in-texas</t>
  </si>
  <si>
    <t>/drug-crimes</t>
  </si>
  <si>
    <t>/family-based-immigration</t>
  </si>
  <si>
    <t>/f69g29fvl</t>
  </si>
  <si>
    <t>/123.php</t>
  </si>
  <si>
    <t>/family-law-attorney-in-galveston</t>
  </si>
  <si>
    <t>/2021/01/30/all-about-child-custody-in-texas</t>
  </si>
  <si>
    <t>/grandparents-rights</t>
  </si>
  <si>
    <t>/blog/page/18</t>
  </si>
  <si>
    <t>/scott-boates</t>
  </si>
  <si>
    <t>/domestic-violence-attorney</t>
  </si>
  <si>
    <t>/viewshared.php</t>
  </si>
  <si>
    <t>/pearland-naturalization-lawyer</t>
  </si>
  <si>
    <t>/2024/09/23/is-leaving-the-scene-of-an-accident-a-felony-in-angleton</t>
  </si>
  <si>
    <t>/what-happens-to-pets-in-a-texas-divorce</t>
  </si>
  <si>
    <t>/High-Net-Worth-Divorce</t>
  </si>
  <si>
    <t>/consular-processing-pearland-lawyer</t>
  </si>
  <si>
    <t>/2009/04/15/three-types-of-alienators-in-parental-alienation</t>
  </si>
  <si>
    <t>/2014/04/18/no-fault-divorce-covenant-marriage-and-domestic-violence</t>
  </si>
  <si>
    <t>/2018/03/23/parental-alienation-a-criminal-offense-in-texas</t>
  </si>
  <si>
    <t>/blog/page/43</t>
  </si>
  <si>
    <t>/f00m9n58f</t>
  </si>
  <si>
    <t>/lgbtq-divorce</t>
  </si>
  <si>
    <t>/2022/04/08/proving-fault-in-a-personal-injury-case-how-it-is-done-in-texas</t>
  </si>
  <si>
    <t>/Hidden-assets-Some-marital-property-may-not-be-obvious</t>
  </si>
  <si>
    <t>/How-to-know-if-your-spouse-is-hiding-marital-property-and-assets</t>
  </si>
  <si>
    <t>/blog/page/2</t>
  </si>
  <si>
    <t>/domestic-abuse-and-protective-orders</t>
  </si>
  <si>
    <t>/parental-alienation</t>
  </si>
  <si>
    <t>/sidebar/thank-you</t>
  </si>
  <si>
    <t>/2018/01/15/grandparent-rights-in-texas-custody-cases</t>
  </si>
  <si>
    <t>/2022/08/12/job-opportunity-were-looking-for-paralegals</t>
  </si>
  <si>
    <t>/Financial-Steps-To-Take-Before-Filing-For-Divorce</t>
  </si>
  <si>
    <t>/detailing-some-of-texas-important-child-custody-laws</t>
  </si>
  <si>
    <t>/league-city-tx-divorce</t>
  </si>
  <si>
    <t>/protecting-your-assets</t>
  </si>
  <si>
    <t>/2014/07/16/paul-george-in-child-custody-and-paternity-case</t>
  </si>
  <si>
    <t>/2018/01/22/new-criminal-offense-in-texas-for-possession-or-promotion-of-lewd-material-depicting-a-child</t>
  </si>
  <si>
    <t>/2018/11/06/benefits-to-filing-for-divorce-first-in-texas</t>
  </si>
  <si>
    <t>/2019/05/15/7-common-domestic-violence-defense-strategies</t>
  </si>
  <si>
    <t>/2023/01/06/job-opportunity-senior-attorney</t>
  </si>
  <si>
    <t>/League City-complex-and-contested-divorce</t>
  </si>
  <si>
    <t>/When-alcohol-becomes-a-factor-in-divorce-proceedings</t>
  </si>
  <si>
    <t>/category/personal-injury</t>
  </si>
  <si>
    <t>/date-rape</t>
  </si>
  <si>
    <t>/domestic-violence-lawyer-in-league-city-tx</t>
  </si>
  <si>
    <t>/drug-charges</t>
  </si>
  <si>
    <t>/face-injury</t>
  </si>
  <si>
    <t>/foot-injury</t>
  </si>
  <si>
    <t>/galveston-personal-injury-lawyer</t>
  </si>
  <si>
    <t>/hit-and-run</t>
  </si>
  <si>
    <t>/thank-you-3</t>
  </si>
  <si>
    <t>/the-importance-of-hiring-a-board-certified-family-law-attorney</t>
  </si>
  <si>
    <t>/2012/05/10/family-law-do-child-custody-managers-have-too-much-power</t>
  </si>
  <si>
    <t>/2013/01/04/texas-town-holds-dubious-divorce-honors</t>
  </si>
  <si>
    <t>/2014/04/04/bode-millers-sons-mother-hopes-for-amicable-child-custody-plan</t>
  </si>
  <si>
    <t>/2014/05/09/mother-asks-court-for-money-to-fight-child-custody-ruling</t>
  </si>
  <si>
    <t>/2017/03/03/a-court-date-is-not-one-you-want-to-miss</t>
  </si>
  <si>
    <t>/2017/08/24/second-chance-bill-what-does-it-mean-now-that-its-passed</t>
  </si>
  <si>
    <t>/2017/12/15/domestic-violence-and-custody-determinations-in-texas</t>
  </si>
  <si>
    <t>/2018/04/17/statutory-rape-age-of-consent-in-texas-how-old-is-too-old</t>
  </si>
  <si>
    <t>/2018/06/25/can-new-car-technology-actually-be-distracting-to-drivers</t>
  </si>
  <si>
    <t>/2018/08/15/how-does-military-deployment-affect-child-custody</t>
  </si>
  <si>
    <t>/2021/01/15/do-you-have-to-hire-a-lawyer-after-drunk-driving</t>
  </si>
  <si>
    <t>/Financial-Steps-Individuals-Should-Take-To-Prepare-For-Divorce</t>
  </si>
  <si>
    <t>/How-Divorce-Can-Actually-Benefit-Children</t>
  </si>
  <si>
    <t>/Modifications</t>
  </si>
  <si>
    <t>/bicycle-accidents</t>
  </si>
  <si>
    <t>/category/estate-planning</t>
  </si>
  <si>
    <t>/child-custody-lp</t>
  </si>
  <si>
    <t>/criminal-defense-lawyer-galveston-county</t>
  </si>
  <si>
    <t>/dwi</t>
  </si>
  <si>
    <t>/friendswood-car-accidents</t>
  </si>
  <si>
    <t>/league-city-construction-accidents</t>
  </si>
  <si>
    <t>/league-city-motorcycle-accident-lawyer</t>
  </si>
  <si>
    <t>/league-city-slip-fall-accidents</t>
  </si>
  <si>
    <t>/league-city-tx-lake-fathers-rights-lawyer</t>
  </si>
  <si>
    <t>/motorcycle-accident</t>
  </si>
  <si>
    <t>/protective-orders-divorce</t>
  </si>
  <si>
    <t>/t-bone-accident</t>
  </si>
  <si>
    <t>/traumatic-brain-injury</t>
  </si>
  <si>
    <t>/troubleshoot-delete-after</t>
  </si>
  <si>
    <t>/uber-lyft-accidents</t>
  </si>
  <si>
    <t>/2012/02/27/in-divorce-cases-technology-can-be-used-against-you</t>
  </si>
  <si>
    <t>/2012/04/27/senator-looks-into-drug-testing-for-child-support-recipients</t>
  </si>
  <si>
    <t>/2012/06/29/qdro-and-texas-divorce-dividing-pensions-and-retirement-accounts</t>
  </si>
  <si>
    <t>/2012/07/20/second-texas-divorce-can-hit-finances-harder-than-the-first</t>
  </si>
  <si>
    <t>/2012/10/19/a-texas-divorce-cannot-always-be-settled-in-a-trial-court</t>
  </si>
  <si>
    <t>/2013/02/08/tricare-rules-and-a-texas-military-divorce</t>
  </si>
  <si>
    <t>/2013/02/18/texas-child-support-debt-may-result-in-tax-refund-garnishment</t>
  </si>
  <si>
    <t>/2013/06/03/new-domestic-violence-legislation-passed-in-texas</t>
  </si>
  <si>
    <t>/2013/12/20/alimony-payments-may-be-tax-deductible</t>
  </si>
  <si>
    <t>/2014/01/23/stay-at-home-moms-should-consider-postnuptial-agreements</t>
  </si>
  <si>
    <t>/2014/01/27/study-counties-with-more-protestants-have-higher-divorce-rate</t>
  </si>
  <si>
    <t>/2015/02/12/protective-orders-are-important-in-domestic-violence-cases</t>
  </si>
  <si>
    <t>/2015/04/07/cookie-cutter-child-custody-agreements-arent-always-best</t>
  </si>
  <si>
    <t>/2015/06/12/a-bed-shortage-is-affecting-texas-domestic-violence-shelters</t>
  </si>
  <si>
    <t>/2015/07/06/will-permanent-alimony-become-a-thing-of-the-past</t>
  </si>
  <si>
    <t>/2017/02/23/after-an-underage-dwi-insurance-rates-can-skyrocket-what-can-you-do</t>
  </si>
  <si>
    <t>/2017/07/17/driving-under-the-influence-of-drugs-in-texas</t>
  </si>
  <si>
    <t>/2017/09/15/how-can-an-interlock-ignition-device-help-if-a-dui-causes-a-license-suspension-in-texas</t>
  </si>
  <si>
    <t>/2018/04/01/calculating-child-support-in-texas</t>
  </si>
  <si>
    <t>/2019/01/01/how-to-prepare-for-your-mediation</t>
  </si>
  <si>
    <t>/2020/04/10/what-can-a-dwi-lawyer-do-for-a-person-charged-with-dwi</t>
  </si>
  <si>
    <t>/2020/07/23/what-is-the-best-dwi-defense-a-look-at-the-different-scenarios</t>
  </si>
  <si>
    <t>/2020/11/29/how-long-does-a-dwi-stay-on-your-record-in-texas</t>
  </si>
  <si>
    <t>/2021/05/15/what-are-the-advantages-of-hiring-a-good-divorce-attorney</t>
  </si>
  <si>
    <t>/2021/08/10/5-next-steps-to-take-when-you-have-a-dui-in-texas</t>
  </si>
  <si>
    <t>/2021/09/20/5-quiet-signs-of-divorce-and-what-to-do-about-it</t>
  </si>
  <si>
    <t>/Attorneys/Jason-D-Lawrence.shtml</t>
  </si>
  <si>
    <t>/Child-Custody</t>
  </si>
  <si>
    <t>/Don-t-let-family-violence-allegations-affect-your-open-carry-rights</t>
  </si>
  <si>
    <t>/How-is-property-divided-in-a-Texas-divorce</t>
  </si>
  <si>
    <t>/League City-high-net-worth-divorce-lawyer</t>
  </si>
  <si>
    <t>/Property-division-during-divorce-does-not-have-to-destroy-a-business</t>
  </si>
  <si>
    <t>/The-unique-aspects-of-alimony-spousal-maintenance-in-Texas</t>
  </si>
  <si>
    <t>/blog/page/19</t>
  </si>
  <si>
    <t>/blog/page/24</t>
  </si>
  <si>
    <t>/category/careers</t>
  </si>
  <si>
    <t>/category/duidwi</t>
  </si>
  <si>
    <t>/category/military-family-law</t>
  </si>
  <si>
    <t>/child-abuse</t>
  </si>
  <si>
    <t>/child-custody-lp/thank-you</t>
  </si>
  <si>
    <t>/criminal-defense-videos</t>
  </si>
  <si>
    <t>/distracted-driving</t>
  </si>
  <si>
    <t>/domestic-violence</t>
  </si>
  <si>
    <t>/dui-dwi-lp-league-city</t>
  </si>
  <si>
    <t>/family-law-father-lp-pearland</t>
  </si>
  <si>
    <t>/family-law-lp/thank-you</t>
  </si>
  <si>
    <t>/galveston-drug-charge-lawyer</t>
  </si>
  <si>
    <t>/galveston-theft-crimes</t>
  </si>
  <si>
    <t>/harris-county-criminal-defense</t>
  </si>
  <si>
    <t>/homicide</t>
  </si>
  <si>
    <t>/international-custody</t>
  </si>
  <si>
    <t>/investment-properties</t>
  </si>
  <si>
    <t>/motorcycle-accidents</t>
  </si>
  <si>
    <t>/obtaining-a-protective-order-is-one-step-in-leaving-domestic-violence</t>
  </si>
  <si>
    <t>/pearland-weapons-charge-lawyer</t>
  </si>
  <si>
    <t>/personal-injury-videos</t>
  </si>
  <si>
    <t>/personal-injury/burn-injury</t>
  </si>
  <si>
    <t>/pharmaceutical-litigation</t>
  </si>
  <si>
    <t>/the-divorce-process</t>
  </si>
  <si>
    <t>/underage-drinking-lawyer-in-galveston</t>
  </si>
  <si>
    <t>/videos-5</t>
  </si>
  <si>
    <t>Keyword</t>
  </si>
  <si>
    <t>Search Volume</t>
  </si>
  <si>
    <t>Previous position</t>
  </si>
  <si>
    <t>Keyword Difficulty</t>
  </si>
  <si>
    <t>CPC</t>
  </si>
  <si>
    <t>Traffic</t>
  </si>
  <si>
    <t>Traffic (%)</t>
  </si>
  <si>
    <t>Traffic Cost</t>
  </si>
  <si>
    <t>Competition</t>
  </si>
  <si>
    <t>Number of Results</t>
  </si>
  <si>
    <t>Trends</t>
  </si>
  <si>
    <t>Timestamp</t>
  </si>
  <si>
    <t>SERP Features by Keyword</t>
  </si>
  <si>
    <t>Keyword Intents</t>
  </si>
  <si>
    <t>Position Type</t>
  </si>
  <si>
    <t>marc anthony daughter arianna</t>
  </si>
  <si>
    <t>[54,29,35,18,14,18,18,14,14,18,18,29]</t>
  </si>
  <si>
    <t>Image pack, Video, Image, People also ask, Related searches, AI overview</t>
  </si>
  <si>
    <t>informational</t>
  </si>
  <si>
    <t>People also ask</t>
  </si>
  <si>
    <t>texas divorce law spousal support</t>
  </si>
  <si>
    <t>[15,19,19,34,26,15,11,15,11,11,15,11]</t>
  </si>
  <si>
    <t>Sitelinks, Video Carousel, People also ask, Related searches, Short videos, Things to know, Discussions and forums, AI overview</t>
  </si>
  <si>
    <t>can prenup protect future earnings</t>
  </si>
  <si>
    <t>[52,66,42,66,42,52,33,42,52,42,33,42]</t>
  </si>
  <si>
    <t>Sitelinks, Video, People also ask, Related searches, Discussions and forums, AI overview</t>
  </si>
  <si>
    <t>can i get spousal support in texas</t>
  </si>
  <si>
    <t>[7,15,7,15,11,15,19,7,15,15,11,7]</t>
  </si>
  <si>
    <t>ariana marc anthony daughter</t>
  </si>
  <si>
    <t>[42,34,42,26,19,19,19,26,26,42,26,42]</t>
  </si>
  <si>
    <t>Video, Image, People also ask, Related searches, AI overview</t>
  </si>
  <si>
    <t>nadia ferreira and marc anthony</t>
  </si>
  <si>
    <t>[52,41,100,100,64,41,41,23,41,64,29,52]</t>
  </si>
  <si>
    <t>Image pack, Sitelinks, Video, Image, Video Carousel, People also ask, Related searches, Things to know</t>
  </si>
  <si>
    <t>possession of firearm by felon texas</t>
  </si>
  <si>
    <t>[0,23,23,29,29,23,52,52,52,29,17,17]</t>
  </si>
  <si>
    <t>Sitelinks, Video, People also ask, Related searches, Short videos, AI overview</t>
  </si>
  <si>
    <t>motion for bond reduction texas form</t>
  </si>
  <si>
    <t>[18,18,18,9,63,63,45,18,18,18,18,36]</t>
  </si>
  <si>
    <t>Image pack, People also ask, Related searches, AI overview</t>
  </si>
  <si>
    <t>AI overview</t>
  </si>
  <si>
    <t>attorney angleton tx</t>
  </si>
  <si>
    <t>https://sbrownlawyer.com/texas/locations/angleton/?utm_campaign=gmbangleton</t>
  </si>
  <si>
    <t>[36,18,45,18,18,9,18,36,81,9,100,100]</t>
  </si>
  <si>
    <t>Local pack, Image, Related searches</t>
  </si>
  <si>
    <t>commercial</t>
  </si>
  <si>
    <t>Local pack</t>
  </si>
  <si>
    <t>alimony in texas divorce</t>
  </si>
  <si>
    <t>[42,42,80,80,52,42,42,52,33,33,66,42]</t>
  </si>
  <si>
    <t>Video, People also ask, Related searches, Things to know, AI overview</t>
  </si>
  <si>
    <t>how many hours can you drive after drinking</t>
  </si>
  <si>
    <t>[50,35,35,21,50,100,14,14,14,14,14,14]</t>
  </si>
  <si>
    <t>Sitelinks, Video, People also ask, Related searches, AI overview</t>
  </si>
  <si>
    <t>does the state of texas have alimony</t>
  </si>
  <si>
    <t>[43,43,29,18,35,100,29,54,35,54,35,29]</t>
  </si>
  <si>
    <t>how is alimony determined in texas</t>
  </si>
  <si>
    <t>[52,41,41,52,41,41,41,41,41,41,41,41]</t>
  </si>
  <si>
    <t>Sitelinks, Video, Video Carousel, People also ask, Related searches, Short videos, Discussions and forums, AI overview</t>
  </si>
  <si>
    <t>is there spousal support in the state of texas</t>
  </si>
  <si>
    <t>[43,35,54,22,29,81,66,18,29,81,100,6]</t>
  </si>
  <si>
    <t>wedding jlo and marc anthony</t>
  </si>
  <si>
    <t>[19,15,7,3,3,3,3,4,3,4,5,2]</t>
  </si>
  <si>
    <t>Image pack, Video, Image, Video Carousel, People also ask, Related searches, AI overview</t>
  </si>
  <si>
    <t>marc anthony worth</t>
  </si>
  <si>
    <t>[10,5,15,12,5,7,7,5,5,15,5,5]</t>
  </si>
  <si>
    <t>Image pack, Sitelinks, Video, Image, People also ask, Related searches, AI overview</t>
  </si>
  <si>
    <t>can you get alimony in texas</t>
  </si>
  <si>
    <t>[100,100,65,65,80,80,80,100,100,80,65,65]</t>
  </si>
  <si>
    <t>what is a felony theft in texas</t>
  </si>
  <si>
    <t>[64,11,41,41,41,41,11,11,64,11,11,11]</t>
  </si>
  <si>
    <t>assault fv texas</t>
  </si>
  <si>
    <t>[9,19,9,14,19,9,9,9,14,14,23,42]</t>
  </si>
  <si>
    <t>Video, People also ask, Related searches, AI overview</t>
  </si>
  <si>
    <t>family law pearland texas</t>
  </si>
  <si>
    <t>https://sbrownlawyer.com/texas/locations/pearland/?utm_campaign=gmbpearland</t>
  </si>
  <si>
    <t>[6,6,4,14,10,10,14,4,4,6,14,43]</t>
  </si>
  <si>
    <t>Local pack, Sitelinks, Video, Image, People also ask, Related searches</t>
  </si>
  <si>
    <t>does a prenup prevent alimony</t>
  </si>
  <si>
    <t>[26,34,34,42,65,34,53,53,100,53,42,19]</t>
  </si>
  <si>
    <t>us citizenship and immigration services irving texas</t>
  </si>
  <si>
    <t>[0,0,0,0,0,0,100,0,0,0,0,0]</t>
  </si>
  <si>
    <t>Knowledge panel, Sitelinks, Video, People also ask, Related searches</t>
  </si>
  <si>
    <t>navigational</t>
  </si>
  <si>
    <t>marc anthony and dayanara torres</t>
  </si>
  <si>
    <t>[19,14,23,0,19,4,19,23,23,19,42,52]</t>
  </si>
  <si>
    <t>Image pack, Video, Image, People also ask, Related searches</t>
  </si>
  <si>
    <t>marc anthony joven</t>
  </si>
  <si>
    <t>[20,16,13,24,13,10,10,10,10,10,30,24]</t>
  </si>
  <si>
    <t>Image pack, Video, Image, Video Carousel, People also ask, Related searches</t>
  </si>
  <si>
    <t>informational, transactional</t>
  </si>
  <si>
    <t>recent pictures of jennifer lopez twins</t>
  </si>
  <si>
    <t>[15,26,19,26,26,15,7,7,7,7,7,42]</t>
  </si>
  <si>
    <t>how long after drinking can drive</t>
  </si>
  <si>
    <t>[7,23,12,15,23,54,100,67,19,19,67,67]</t>
  </si>
  <si>
    <t>marc anthony age</t>
  </si>
  <si>
    <t>[16,7,7,19,7,7,8,5,5,5,24,7]</t>
  </si>
  <si>
    <t>Instant answer, Knowledge panel, Image pack, Sitelinks, Video, Image, People also ask, Related searches</t>
  </si>
  <si>
    <t>can my husband adopt my child</t>
  </si>
  <si>
    <t>[53,53,82,100,100,66,53,43,66,82,66,66]</t>
  </si>
  <si>
    <t>Sitelinks, Video, Video Carousel, People also ask, Related searches, Short videos, AI overview</t>
  </si>
  <si>
    <t>felony theft in texas</t>
  </si>
  <si>
    <t>[29,29,41,41,41,64,41,11,41,17,41,29]</t>
  </si>
  <si>
    <t>Sitelinks, Video, Video Carousel, People also ask, Related searches, AI overview</t>
  </si>
  <si>
    <t>felony possession of a firearm texas</t>
  </si>
  <si>
    <t>[28,34,28,21,28,15,81,43,43,65,34,34]</t>
  </si>
  <si>
    <t>Video, Video Carousel, People also ask, Related searches, AI overview</t>
  </si>
  <si>
    <t>assault with deadly weapon texas</t>
  </si>
  <si>
    <t>[22,29,35,54,22,29,22,35,66,29,29,35]</t>
  </si>
  <si>
    <t>do prenups protect future assets</t>
  </si>
  <si>
    <t>[18,18,27,18,100,18,100,18,100,63,36,27]</t>
  </si>
  <si>
    <t>does texas do alimony</t>
  </si>
  <si>
    <t>[41,41,41,41,100,64,64,52,64,64,52,41]</t>
  </si>
  <si>
    <t>jennifer lopez twins images</t>
  </si>
  <si>
    <t>[29,23,17,41,29,52,29,11,64,11,11,64]</t>
  </si>
  <si>
    <t>what did oliver anthony's wife get in the divorce</t>
  </si>
  <si>
    <t>[0,0,0,0,0,0,0,100,80,52,9,9]</t>
  </si>
  <si>
    <t>marck an</t>
  </si>
  <si>
    <t>[54,0,0,100,0,0,0,0,0,0,0,0]</t>
  </si>
  <si>
    <t>Knowledge panel, Video, Image, Video Carousel, People also ask, Related searches</t>
  </si>
  <si>
    <t>mike's hard lemonade margarita lime hard lemonade</t>
  </si>
  <si>
    <t>[100,0,0,0,0]</t>
  </si>
  <si>
    <t>Image pack, Sitelinks, Video, People also ask, Related searches, Short videos, AI overview</t>
  </si>
  <si>
    <t>commercial, informational</t>
  </si>
  <si>
    <t>marc anthony film</t>
  </si>
  <si>
    <t>[0,24,3,81,100,100,43,54,0,4,100,81]</t>
  </si>
  <si>
    <t>Knowledge panel, Video, Image, People also ask, Related searches</t>
  </si>
  <si>
    <t>marc anthony tracks</t>
  </si>
  <si>
    <t>[1,4,0,100,44,54,44,36,0,1,36,44]</t>
  </si>
  <si>
    <t>jlo and marc anthony</t>
  </si>
  <si>
    <t>[8,7,7,7,5,4,5,4,4,7,19,19]</t>
  </si>
  <si>
    <t>Image pack, Video, Image, Video Carousel, People also ask, Related searches, Things to know, Discussions and forums, AI overview</t>
  </si>
  <si>
    <t>marc anthony marc</t>
  </si>
  <si>
    <t>[0,0,0,13,100,55,55,67,0,1,30,16]</t>
  </si>
  <si>
    <t>marc anthony spouse</t>
  </si>
  <si>
    <t>[20,20,16,20,16,11,16,9,4,2,4,3]</t>
  </si>
  <si>
    <t>Knowledge panel, Image pack, Sitelinks, Video, Image, Video Carousel, People also ask, Related searches, AI overview</t>
  </si>
  <si>
    <t>unlawful carrying weapon texas punishment first offense</t>
  </si>
  <si>
    <t>[0,0,0,0,0,11,100,11,29,29,23,17]</t>
  </si>
  <si>
    <t>emme and max anthony</t>
  </si>
  <si>
    <t>[2,2,2,2,2,2,15,2,2,15,15,15]</t>
  </si>
  <si>
    <t>Image pack, Sitelinks, Video, Image, Video Carousel, People also ask, Related searches</t>
  </si>
  <si>
    <t>angleton child custody attorney</t>
  </si>
  <si>
    <t>[0,5,5,5,11,11,17,64,100,100,41,29]</t>
  </si>
  <si>
    <t>Local pack, Video, Image, People also ask, Related searches</t>
  </si>
  <si>
    <t>indecent exposure meaning</t>
  </si>
  <si>
    <t>[39,39,59,72,59,72,72,59,48,88,72,100]</t>
  </si>
  <si>
    <t>Knowledge panel, Video, People also ask, Related searches</t>
  </si>
  <si>
    <t>obscene exposure</t>
  </si>
  <si>
    <t>[4,8,1,100,66,66,81,66,0,3,44,100]</t>
  </si>
  <si>
    <t>marc anthony jlo</t>
  </si>
  <si>
    <t>[36,20,16,20,5,4,16,4,13,16,30,30]</t>
  </si>
  <si>
    <t>jay lo daughter</t>
  </si>
  <si>
    <t>[3,2,1,1,18,18,7,1,5,10,7,7]</t>
  </si>
  <si>
    <t>reckless driving meaning</t>
  </si>
  <si>
    <t>[100,81,66,81,100,100,100,81,81,44,100,44]</t>
  </si>
  <si>
    <t>define alienation</t>
  </si>
  <si>
    <t>[100,66,5,24,28,36,19,8,10,19,54,28]</t>
  </si>
  <si>
    <t>Knowledge panel, Video, People also ask, Related searches, Short videos</t>
  </si>
  <si>
    <t>is there a cap on child support in texas</t>
  </si>
  <si>
    <t>[34,34,42,53,53,42,34,26,26,26,53,34]</t>
  </si>
  <si>
    <t>Video, People also ask, Related searches, Short videos, AI overview</t>
  </si>
  <si>
    <t>reckless driving charges</t>
  </si>
  <si>
    <t>[100,3,1,1,1,0,5,5,7,2,26,39]</t>
  </si>
  <si>
    <t>People also ask, Related searches, AI overview</t>
  </si>
  <si>
    <t>examples of reckless driving</t>
  </si>
  <si>
    <t>[64,52,52,82,82,82,64,52,41,52,100,64]</t>
  </si>
  <si>
    <t>marc anthony and jennifer lopez wedding</t>
  </si>
  <si>
    <t>[17,23,28,17,28,17,23,23,17,17,28,35]</t>
  </si>
  <si>
    <t>Image pack, Video, Image, People also ask, Discussions and forums, AI overview</t>
  </si>
  <si>
    <t>child support process in texas</t>
  </si>
  <si>
    <t>[15,23,5,15,18,23,18,18,23,23,18,11]</t>
  </si>
  <si>
    <t>carmelo and lala divorce</t>
  </si>
  <si>
    <t>[34,15,15,15,21,21,28,28,28,28,81,28]</t>
  </si>
  <si>
    <t>Sitelinks, Video, Image, Video Carousel, People also ask, Related searches, Short videos, AI overview</t>
  </si>
  <si>
    <t>what's indecent exposure</t>
  </si>
  <si>
    <t>[14,14,14,78,0,78,78,78,64,100,78,100]</t>
  </si>
  <si>
    <t>child support laws texas</t>
  </si>
  <si>
    <t>[35,28,50,50,50,50,50,35,50,64,64,50]</t>
  </si>
  <si>
    <t>grand theft in texas</t>
  </si>
  <si>
    <t>[29,29,41,41,41,41,41,41,41,52,29,41]</t>
  </si>
  <si>
    <t>i love my husband but want a divorce</t>
  </si>
  <si>
    <t>[17,23,17,17,17,17,17,5,29,17,23,29]</t>
  </si>
  <si>
    <t>Sitelinks, Video, Image, Ads bottom, Video Carousel, People also ask, Related searches, AI overview</t>
  </si>
  <si>
    <t>end of marriage</t>
  </si>
  <si>
    <t>[17,41,41,41,82,52,11,17,41,52,23,29]</t>
  </si>
  <si>
    <t>Sitelinks, Video, Image, Video Carousel, People also ask, Related searches, Things to know, Discussions and forums, AI overview</t>
  </si>
  <si>
    <t>grand larceny texas</t>
  </si>
  <si>
    <t>[8,8,6,5,6,8,5,6,6,8,8,8]</t>
  </si>
  <si>
    <t>unlawful exposure</t>
  </si>
  <si>
    <t>[11,100,11,11,11,64,64,52,64,52,23,64]</t>
  </si>
  <si>
    <t>angleton divorce attorney</t>
  </si>
  <si>
    <t>[9,27,27,27,27,27,27,45,81,100,45,63]</t>
  </si>
  <si>
    <t>Local pack, Sitelinks, Video, Related searches</t>
  </si>
  <si>
    <t>new child support laws 2024 texas</t>
  </si>
  <si>
    <t>[9,28,100,0,0,0,0,0,0,0,0,0]</t>
  </si>
  <si>
    <t>Video, Related searches, AI overview</t>
  </si>
  <si>
    <t>Organic</t>
  </si>
  <si>
    <t>ryan putz</t>
  </si>
  <si>
    <t>[2,2,2,11,17,2,3,2,2,2,2,2]</t>
  </si>
  <si>
    <t>Knowledge panel, Image pack, Video, Image, Video Carousel</t>
  </si>
  <si>
    <t>Image pack</t>
  </si>
  <si>
    <t>brazoria county attorneys</t>
  </si>
  <si>
    <t>[41,82,64,100,17,52,41,23,52,11,52,41]</t>
  </si>
  <si>
    <t>Local pack, Sitelinks, Image, Related searches</t>
  </si>
  <si>
    <t>pearland attorneys</t>
  </si>
  <si>
    <t>[3,2,7,4,3,2,3,2,4,2,5,3]</t>
  </si>
  <si>
    <t>Local pack, Image</t>
  </si>
  <si>
    <t>brazoria county divorce lawyers</t>
  </si>
  <si>
    <t>[80,40,40,80,40,40,60,100,60,60,40,40]</t>
  </si>
  <si>
    <t>Local pack, Sitelinks, Ads bottom, Related searches</t>
  </si>
  <si>
    <t>scott brown lawyer</t>
  </si>
  <si>
    <t>[15,12,15,9,9,15,19,19,4,2,0,0]</t>
  </si>
  <si>
    <t>Local pack, Sitelinks, Video Carousel, See results about</t>
  </si>
  <si>
    <t>angleton child custody lawyer</t>
  </si>
  <si>
    <t>[0,5,5,11,11,11,23,82,100,100,41,29]</t>
  </si>
  <si>
    <t>Local pack, Sitelinks, Image, Ads bottom, Related searches</t>
  </si>
  <si>
    <t>texas reckless driving charge</t>
  </si>
  <si>
    <t>[5,17,11,17,41,23,11,52,41,11,23,11]</t>
  </si>
  <si>
    <t>scott brown attorney at law</t>
  </si>
  <si>
    <t>[10,12,10,12,19,19,12,12,12,10,12,12]</t>
  </si>
  <si>
    <t>Local pack, Sitelinks</t>
  </si>
  <si>
    <t>angleton lawyers</t>
  </si>
  <si>
    <t>[29,52,52,52,41,82,41,52,82,100,64,64]</t>
  </si>
  <si>
    <t>Local pack, Sitelinks, Video, Image, Related searches</t>
  </si>
  <si>
    <t>family lawyer angleton</t>
  </si>
  <si>
    <t>[0,43,35,53,17,17,35,100,66,53,53,28]</t>
  </si>
  <si>
    <t>angleton attorneys</t>
  </si>
  <si>
    <t>[41,52,52,64,100,52,0,82,5,41,64,5]</t>
  </si>
  <si>
    <t>what is a post nup</t>
  </si>
  <si>
    <t>[35,54,54,54,54,29,43,43,35,29,35,35]</t>
  </si>
  <si>
    <t>Sitelinks, Video, Video Carousel, Related searches, AI overview</t>
  </si>
  <si>
    <t>reckless driving texas</t>
  </si>
  <si>
    <t>[62,62,81,81,62,100,81,81,81,81,81,81]</t>
  </si>
  <si>
    <t>angleton family law attorneys</t>
  </si>
  <si>
    <t>[5,14,11,7,9,9,14,14,14,17,11,7]</t>
  </si>
  <si>
    <t>angleton divorce attorneys</t>
  </si>
  <si>
    <t>[5,17,11,21,14,9,11,26,14,21,26,11]</t>
  </si>
  <si>
    <t>immigration houston texas</t>
  </si>
  <si>
    <t>[33,42,100,80,66,52,52,66,42,33,42,33]</t>
  </si>
  <si>
    <t>angleton divorce lawyer</t>
  </si>
  <si>
    <t>[0,19,19,9,9,14,23,66,100,100,52,52]</t>
  </si>
  <si>
    <t>immigration fort worth texas</t>
  </si>
  <si>
    <t>[11,11,17,5,0,23,17,64,100,29,23,23]</t>
  </si>
  <si>
    <t>Local pack, Sitelinks, Video, People also ask, Related searches</t>
  </si>
  <si>
    <t>angleton family lawyer</t>
  </si>
  <si>
    <t>[5,11,17,29,29,11,64,52,100,64,52,52]</t>
  </si>
  <si>
    <t>Local pack, Sitelinks, Video, Image, Ads bottom, Related searches</t>
  </si>
  <si>
    <t>scott m. brown &amp; associates</t>
  </si>
  <si>
    <t>https://sbrownlawyer.com/texas/locations/league-city/?utm_campaign=gmbleaguecity</t>
  </si>
  <si>
    <t>[21,64,78,50,35,0,0,0,7,0,0,14]</t>
  </si>
  <si>
    <t>commercial, navigational</t>
  </si>
  <si>
    <t>what is a post nuptial agreement</t>
  </si>
  <si>
    <t>[48,14,26,48,72,59,72,72,59,72,39,88]</t>
  </si>
  <si>
    <t>Sitelinks, Video, Ads bottom, Related searches, AI overview</t>
  </si>
  <si>
    <t>scott m brown</t>
  </si>
  <si>
    <t>[100,100,81,100,81,100,43,54,81,81,54,81]</t>
  </si>
  <si>
    <t>Knowledge panel, Local pack, Sitelinks, Video, Related searches</t>
  </si>
  <si>
    <t>us immigration dallas</t>
  </si>
  <si>
    <t>[10,19,23,81,12,15,67,100,15,12,67,1]</t>
  </si>
  <si>
    <t>Knowledge panel, Video, Video Carousel, People also ask, FAQ, Related searches</t>
  </si>
  <si>
    <t>family attorney angleton</t>
  </si>
  <si>
    <t>[19,9,9,9,9,9,9,19,52,100,66,33]</t>
  </si>
  <si>
    <t>texas citizenship</t>
  </si>
  <si>
    <t>[33,100,33,42,52,4,33,42,23,42,42,4]</t>
  </si>
  <si>
    <t>Top stories, Video, Video Carousel, Related searches, AI overview</t>
  </si>
  <si>
    <t>what is reckless driving in texas</t>
  </si>
  <si>
    <t>[22,22,22,29,10,22,29,29,18,29,29,29]</t>
  </si>
  <si>
    <t>Sitelinks, Video, Related searches, AI overview</t>
  </si>
  <si>
    <t>attorneys in angleton texas</t>
  </si>
  <si>
    <t>[15,21,15,28,21,3,21,3,21,3,3,12]</t>
  </si>
  <si>
    <t>Local pack, Sitelinks, Image</t>
  </si>
  <si>
    <t>grand theft texas</t>
  </si>
  <si>
    <t>[14,10,10,14,14,14,4,14,14,8,18,10]</t>
  </si>
  <si>
    <t>scott brown attorney</t>
  </si>
  <si>
    <t>[15,19,15,15,19,15,15,10,19,15,12,12]</t>
  </si>
  <si>
    <t>Local pack, Sitelinks, Video, See results about</t>
  </si>
  <si>
    <t>post nuptial</t>
  </si>
  <si>
    <t>[20,13,7,13,13,16,16,24,100,44,20,16]</t>
  </si>
  <si>
    <t>Knowledge panel, Sitelinks, Video, Related searches, Short videos, AI overview</t>
  </si>
  <si>
    <t>citizenship in texas</t>
  </si>
  <si>
    <t>[63,81,63,45,63,27,45,63,18,45,45,63]</t>
  </si>
  <si>
    <t>Video, Video Carousel, Related searches, AI overview</t>
  </si>
  <si>
    <t>how does spousal support work in texas</t>
  </si>
  <si>
    <t>[64,41,52,52,82,100,82,64,64,52,41,64]</t>
  </si>
  <si>
    <t>Sitelinks, Video, Video Carousel, Related searches, Discussions and forums, AI overview</t>
  </si>
  <si>
    <t>divorce at 55</t>
  </si>
  <si>
    <t>[11,64,64,29,41,41,41,29,11,11,11,11]</t>
  </si>
  <si>
    <t>Sitelinks, Video, Image, Video Carousel, Related searches, Discussions and forums, AI overview</t>
  </si>
  <si>
    <t>scott brown and associates</t>
  </si>
  <si>
    <t>[100,82,82,100,66,66,100,53,66,66,35,35]</t>
  </si>
  <si>
    <t>texas misdemeanor</t>
  </si>
  <si>
    <t>[23,66,23,100,9,23,19,14,14,33,42,14]</t>
  </si>
  <si>
    <t>scott m brown &amp; associates</t>
  </si>
  <si>
    <t>[82,53,66,43,23,28,35,82,82,35,35,100]</t>
  </si>
  <si>
    <t>new child support laws 2025 texas</t>
  </si>
  <si>
    <t>[68,16,8,16,25,20,46,100,100]</t>
  </si>
  <si>
    <t>alimony in tx</t>
  </si>
  <si>
    <t>[48,72,72,100,1,2,3,0,1,4,3,3]</t>
  </si>
  <si>
    <t>Sitelinks, Video, People also ask, Related searches, Things to know, AI overview</t>
  </si>
  <si>
    <t>Things to know</t>
  </si>
  <si>
    <t>can you sue if someone gives you herpes</t>
  </si>
  <si>
    <t>[78,21,50,50,14,21,28,35,28,35,64,100]</t>
  </si>
  <si>
    <t>divorce law firm pearland</t>
  </si>
  <si>
    <t>[36,100,63,0,0]</t>
  </si>
  <si>
    <t>can you sue someone for giving herpes</t>
  </si>
  <si>
    <t>[4,4,8,4,2,0,8,10,18,29,18,18]</t>
  </si>
  <si>
    <t>lawyers in angleton tx</t>
  </si>
  <si>
    <t>[4,5,4,5,2,2,1,2,2,3,7,4]</t>
  </si>
  <si>
    <t>Local pack, Sitelinks, Image, Ads bottom, People also ask, Related searches</t>
  </si>
  <si>
    <t>bond reduction texas</t>
  </si>
  <si>
    <t>[100,100,81,36,27,36,36,27,18,18,27,27]</t>
  </si>
  <si>
    <t>what are the requirements for naturalization</t>
  </si>
  <si>
    <t>[26,34,26,42,42,42,65,65,42,26,65,100]</t>
  </si>
  <si>
    <t>Sitelinks, Video, People also ask, FAQ, Related searches, AI overview</t>
  </si>
  <si>
    <t>indescent exposure</t>
  </si>
  <si>
    <t>[2,0,0,0,4,0,0,0,0,2,6,66]</t>
  </si>
  <si>
    <t>Knowledge panel, Video, Video Carousel, People also ask, Related searches, AI overview</t>
  </si>
  <si>
    <t>should i give gorak his ring back</t>
  </si>
  <si>
    <t>[64,64,64,64,29,41,23,41,41,29,17,11]</t>
  </si>
  <si>
    <t>Image pack, Sitelinks, Video, Image, Video Carousel, People also ask, Related searches, AI overview</t>
  </si>
  <si>
    <t>texas child support laws</t>
  </si>
  <si>
    <t>[45,36,36,45,45,55,55,36,36,45,67,67]</t>
  </si>
  <si>
    <t>6161 savoy drive houston texas</t>
  </si>
  <si>
    <t>[100,64,100,64,78,28,64,100,100,64,50,78]</t>
  </si>
  <si>
    <t>Image, People also ask, Related searches</t>
  </si>
  <si>
    <t>what is the punishment for indecent exposure</t>
  </si>
  <si>
    <t>[64,100,35,35,50,35,35,35,50,50,50,21]</t>
  </si>
  <si>
    <t>what is the charge for indecent exposure</t>
  </si>
  <si>
    <t>[53,100,12,12,12,7,17,12,17,17,17,10]</t>
  </si>
  <si>
    <t>Sitelinks, People also ask, Related searches, AI overview</t>
  </si>
  <si>
    <t>us citizenship and immigration services irving tx</t>
  </si>
  <si>
    <t>[37,20,20,7,7,7,2,4,68,4,7,5]</t>
  </si>
  <si>
    <t>how to tell if you're sober enough to drive</t>
  </si>
  <si>
    <t>[34,15,21,21,21,34,28,28,28,43,43,28]</t>
  </si>
  <si>
    <t>new child support law 2024 texas</t>
  </si>
  <si>
    <t>[7,12,7,100,5,0,4,2,1,2,3,1]</t>
  </si>
  <si>
    <t>Image pack, Video, Featured snippet, Video Carousel, Related searches</t>
  </si>
  <si>
    <t>indecency w/a child exposes</t>
  </si>
  <si>
    <t>[45,63,63,100,81,81,63,63,45,81,100,100]</t>
  </si>
  <si>
    <t>People also ask, Related searches</t>
  </si>
  <si>
    <t>meaning of indecent exposure</t>
  </si>
  <si>
    <t>[36,12,23,19,10,10,15,100,54,15,67,10]</t>
  </si>
  <si>
    <t>Knowledge panel, Image pack, Video, People also ask, Related searches</t>
  </si>
  <si>
    <t>seizure of property by police</t>
  </si>
  <si>
    <t>[52,52,42,52,42,52,23,42,33,66,33,23]</t>
  </si>
  <si>
    <t>divorce attorney angleton</t>
  </si>
  <si>
    <t>[15,15,53,43,65,34,43,34,100,43,34,100]</t>
  </si>
  <si>
    <t>divorce lawyers in angleton tx</t>
  </si>
  <si>
    <t>[21,15,53,53,43,28,15,43,100,21,28,81]</t>
  </si>
  <si>
    <t>attorneys in brazoria county texas</t>
  </si>
  <si>
    <t>[80,42,65,34,42,65,42,26,42,42,34,34]</t>
  </si>
  <si>
    <t>is texas an alimony state</t>
  </si>
  <si>
    <t>[81,100,81,81,100,81,81,81,81,66,81,81]</t>
  </si>
  <si>
    <t>Video, People also ask, Related searches, Discussions and forums, AI overview</t>
  </si>
  <si>
    <t>texas max child support 2025</t>
  </si>
  <si>
    <t>[21,34,43,43,43,43,100]</t>
  </si>
  <si>
    <t>Image pack, Video, People also ask, Related searches, AI overview</t>
  </si>
  <si>
    <t>arrested for reckless driving</t>
  </si>
  <si>
    <t>[100,50,50,50,14,14,14,14,50,78,50,78]</t>
  </si>
  <si>
    <t>Sitelinks, Video Carousel, People also ask, Related searches, AI overview</t>
  </si>
  <si>
    <t>how long to become naturalized us citizen</t>
  </si>
  <si>
    <t>[11,11,100,11,64,11,11,11,11,11,11,11]</t>
  </si>
  <si>
    <t>Video, People also ask, FAQ, AI overview</t>
  </si>
  <si>
    <t>how long does us naturalization take</t>
  </si>
  <si>
    <t>[11,11,64,11,64,11,11,11,11,11,11,11]</t>
  </si>
  <si>
    <t>Sitelinks, Video, People also ask, FAQ, AI overview</t>
  </si>
  <si>
    <t>causes of neck pain and headache</t>
  </si>
  <si>
    <t>[13,24,62,0,1,1,1,0,1,1,1,1]</t>
  </si>
  <si>
    <t>can you be a foster parent with a felony</t>
  </si>
  <si>
    <t>[41,29,52,64,82,64,52,52,100,64,100,64]</t>
  </si>
  <si>
    <t>Sitelinks, Video Carousel, People also ask, Related searches, Discussions and forums, AI overview</t>
  </si>
  <si>
    <t>citizenship texas</t>
  </si>
  <si>
    <t>[33,33,100,77,55,77,0,55,77,0,55,55]</t>
  </si>
  <si>
    <t>Top stories, Video, Video Carousel, People also ask, Related searches, AI overview</t>
  </si>
  <si>
    <t>how do you get alimony in texas</t>
  </si>
  <si>
    <t>[64,64,50,64,64,64,64,64,78,78,50,64]</t>
  </si>
  <si>
    <t>what defines reckless driving</t>
  </si>
  <si>
    <t>[78,14,14,78,14,14,78,50,100,64,50,50]</t>
  </si>
  <si>
    <t>how long does it take to get naturalized</t>
  </si>
  <si>
    <t>[54,44,44,36,54,67,100,67,54,23,54,67]</t>
  </si>
  <si>
    <t>Sitelinks, Video, People also ask, FAQ, Related searches, Discussions and forums, AI overview</t>
  </si>
  <si>
    <t>how long after drinking can you drive</t>
  </si>
  <si>
    <t>[37,46,31,37,37,37,52,37,52,37,31,37]</t>
  </si>
  <si>
    <t>texas theft penalties</t>
  </si>
  <si>
    <t>[14,14,14,14,64,14,14,14,100,14,14,14]</t>
  </si>
  <si>
    <t>no me ames song</t>
  </si>
  <si>
    <t>[13,16,13,13,100,20,30,20,6,10,24,36]</t>
  </si>
  <si>
    <t>Knowledge panel, Video, Featured video, People also ask, Related searches</t>
  </si>
  <si>
    <t>marc anthony 2025</t>
  </si>
  <si>
    <t>[18,18,66,44,44,66,66,54,54,66,100,81]</t>
  </si>
  <si>
    <t>unlawful carry weapon texas</t>
  </si>
  <si>
    <t>[15,23,36,67,7,2,15,23,67,100,81,29]</t>
  </si>
  <si>
    <t>Video, Image, Video Carousel, People also ask, Related searches, Things to know, AI overview</t>
  </si>
  <si>
    <t>child custody attorney angleton</t>
  </si>
  <si>
    <t>[5,5,5,5,5,0,23,82,100,82,41,41]</t>
  </si>
  <si>
    <t>child support san antonio</t>
  </si>
  <si>
    <t>[0,2,2,7,2,5,5,7,53,17,2,0]</t>
  </si>
  <si>
    <t>n400 processing time in dallas</t>
  </si>
  <si>
    <t>[45,63,45,45,45,27,63,63,100,63,63,63]</t>
  </si>
  <si>
    <t>indecent exposure texas penal code</t>
  </si>
  <si>
    <t>[81,81,54,23,100,81,81,54,81,100,100,100]</t>
  </si>
  <si>
    <t>angleton family attorney</t>
  </si>
  <si>
    <t>[0,0,0,28,21,50,78,14,28,78,100,78]</t>
  </si>
  <si>
    <t>s brown &amp; associates</t>
  </si>
  <si>
    <t>[45,45,45,27,45,63,63,63,63,63,63,81]</t>
  </si>
  <si>
    <t>Sitelinks, Image, People also ask, Related searches, See results about</t>
  </si>
  <si>
    <t>texas alimony guidelines</t>
  </si>
  <si>
    <t>[43,29,29,22,43,54,54,18,22,54,14,10]</t>
  </si>
  <si>
    <t>jennifer lopez marc anthony song</t>
  </si>
  <si>
    <t>[33,52,42,42,23,19,52,33,14,23,33,33]</t>
  </si>
  <si>
    <t>Knowledge panel, Video, Featured video, Image, People also ask, Related searches, Short videos</t>
  </si>
  <si>
    <t>mike's harder pina colada</t>
  </si>
  <si>
    <t>[4,6,5,4,5,6,8,8,6,6,4,5]</t>
  </si>
  <si>
    <t>Image pack, Sitelinks, Video, Video Carousel, People also ask, Popular products, Related searches</t>
  </si>
  <si>
    <t>marc an</t>
  </si>
  <si>
    <t>[1,0,0,0,20,10,0,0,0,0,0,1]</t>
  </si>
  <si>
    <t>Video, Image, Video Carousel, People also ask, Related searches</t>
  </si>
  <si>
    <t>child support guidelines texas</t>
  </si>
  <si>
    <t>[1,1,1,0,1,0,0,1,1,3,3,3]</t>
  </si>
  <si>
    <t>san antonio child support attorneys</t>
  </si>
  <si>
    <t>[0,9,27,45,63,63,63,81,100,63,63,45]</t>
  </si>
  <si>
    <t>divorce lawyer angleton</t>
  </si>
  <si>
    <t>[15,28,28,43,3,3,43,43,65,53,21,53]</t>
  </si>
  <si>
    <t>n400 processing time houston</t>
  </si>
  <si>
    <t>[23,23,42,33,42,42,42,52,42,42,42,33]</t>
  </si>
  <si>
    <t>texas family code spousal maintenance</t>
  </si>
  <si>
    <t>[14,18,18,22,18,18,18,22,18,18,18,18]</t>
  </si>
  <si>
    <t>Video, Video Carousel, People also ask, Related searches</t>
  </si>
  <si>
    <t>child support calendar 2024 texas</t>
  </si>
  <si>
    <t>[81,100,14,4,0,0,0,0,0,0,2,0]</t>
  </si>
  <si>
    <t>Image pack, People also ask, Related searches</t>
  </si>
  <si>
    <t>prenup attorney angleton</t>
  </si>
  <si>
    <t>[0,0,5,5,5,5,17,82,100,82,29,5]</t>
  </si>
  <si>
    <t>Local pack, Sitelinks, People also ask, Related searches</t>
  </si>
  <si>
    <t>texas family code chapter 154 subchapter c</t>
  </si>
  <si>
    <t>[100,100,45,36,45,45,36,36,45,45,45,36]</t>
  </si>
  <si>
    <t>indecent exposure book</t>
  </si>
  <si>
    <t>[28,65,21,21,15,21,28,21,15,21,21,28]</t>
  </si>
  <si>
    <t>Knowledge panel, Sitelinks, Video, Image, People also ask, Related searches</t>
  </si>
  <si>
    <t>angleton grandparents rights lawyer</t>
  </si>
  <si>
    <t>[0,0,0,0,5,5,17,82,100,82,41,52]</t>
  </si>
  <si>
    <t>Local pack, Video, People also ask, Related searches, AI overview</t>
  </si>
  <si>
    <t>divorce lawyers in league city texas</t>
  </si>
  <si>
    <t>[27,18,18,27,45,9,9,100,27,9,45,36]</t>
  </si>
  <si>
    <t>family law attorney angleton tx</t>
  </si>
  <si>
    <t>[15,53,43,34,15,15,43,100,43,34,43,43]</t>
  </si>
  <si>
    <t>angleton family law attorney</t>
  </si>
  <si>
    <t>[7,28,28,50,35,21,28,50,100,78,64,35]</t>
  </si>
  <si>
    <t>katie stahl</t>
  </si>
  <si>
    <t>https://sbrownlawyer.com/katie-stahl/</t>
  </si>
  <si>
    <t>[23,23,23,33,66,42,52,33,33,33,42,52]</t>
  </si>
  <si>
    <t>Image pack, Video, Image, People also ask, See results about</t>
  </si>
  <si>
    <t>n400 dallas processing time</t>
  </si>
  <si>
    <t>[45,81,45,45,63,81,45,63,100,63,81,63]</t>
  </si>
  <si>
    <t>alimony in texas 2024</t>
  </si>
  <si>
    <t>[64,100,78,14,78,14,14,14,14,14,14,14]</t>
  </si>
  <si>
    <t>angleton grandparents rights attorney</t>
  </si>
  <si>
    <t>[0,0,0,0,5,5,11,64,100,100,41,52]</t>
  </si>
  <si>
    <t>Local pack, Video, People also ask, AI overview</t>
  </si>
  <si>
    <t>pearland family lawyers</t>
  </si>
  <si>
    <t>[19,19,11,42,42,42,42,7,19,26,42,26]</t>
  </si>
  <si>
    <t>Local pack, Sitelinks, Image, People also ask, Related searches</t>
  </si>
  <si>
    <t>pearland lawyers</t>
  </si>
  <si>
    <t>[5,5,17,5,29,23,17,11,64,29,41,52]</t>
  </si>
  <si>
    <t>divorce attorney pearland tx</t>
  </si>
  <si>
    <t>[43,22,43,35,18,18,18,66,81,29,29,66]</t>
  </si>
  <si>
    <t>lawyers in pearland tx</t>
  </si>
  <si>
    <t>[28,23,35,23,53,35,35,23,35,35,17,82]</t>
  </si>
  <si>
    <t>family law attorney angleton</t>
  </si>
  <si>
    <t>[6,15,43,34,21,28,28,43,43,65,53,34]</t>
  </si>
  <si>
    <t>pearland family lawyer</t>
  </si>
  <si>
    <t>[0,14,21,21,21,21,21,14,64,100,100,100]</t>
  </si>
  <si>
    <t>family law lawyer pearland</t>
  </si>
  <si>
    <t>[0,18,18,0,18,9,45,63,100,100,81,81]</t>
  </si>
  <si>
    <t>Local pack, Video, Image, Related searches</t>
  </si>
  <si>
    <t>family law attorneys pearland</t>
  </si>
  <si>
    <t>[11,11,22,22,22,11,11,77,100,100,100,100]</t>
  </si>
  <si>
    <t>angleton child support attorney</t>
  </si>
  <si>
    <t>[0,5,5,0,5,0,17,64,100,82,41,23]</t>
  </si>
  <si>
    <t>Local pack, Sitelinks, Video, Featured snippet, Related searches</t>
  </si>
  <si>
    <t>family attorney pearland</t>
  </si>
  <si>
    <t>[0,0,14,14,14,14,35,50,78,78,100,64]</t>
  </si>
  <si>
    <t>divorce attorneys pearland</t>
  </si>
  <si>
    <t>[0,0,0,0,0,0,28,78,100,100,78,78]</t>
  </si>
  <si>
    <t>pearland family attorney</t>
  </si>
  <si>
    <t>[23,23,9,52,52,52,52,9,9,9,52,23]</t>
  </si>
  <si>
    <t>is iggy azalea married</t>
  </si>
  <si>
    <t>[22,18,35,18,22,14,18,18,18,66,100,66]</t>
  </si>
  <si>
    <t>Image pack, Video, Image, Related searches, AI overview</t>
  </si>
  <si>
    <t>iggy azalea married</t>
  </si>
  <si>
    <t>[4,8,22,14,35,22,35,22,18,29,66,22]</t>
  </si>
  <si>
    <t>Image pack, Sitelinks, Video, Image, Related searches, AI overview</t>
  </si>
  <si>
    <t>pearland divorce attorney</t>
  </si>
  <si>
    <t>[4,7,12,10,7,7,12,19,19,29,23,29]</t>
  </si>
  <si>
    <t>Local pack, Sitelinks, Video, Image, Ads bottom, Related searches, Discussions and forums</t>
  </si>
  <si>
    <t>pearland family law attorney</t>
  </si>
  <si>
    <t>[22,43,35,81,81,43,43,66,43,18,54,35]</t>
  </si>
  <si>
    <t>family lawyer pearland</t>
  </si>
  <si>
    <t>[0,0,35,54,54,6,14,54,54,54,66,29]</t>
  </si>
  <si>
    <t>family law lawyers pearland</t>
  </si>
  <si>
    <t>[11,77,77,77,100]</t>
  </si>
  <si>
    <t>Local pack, Video, Related searches</t>
  </si>
  <si>
    <t>family law attorney pearland</t>
  </si>
  <si>
    <t>[9,14,19,14,23,19,23,42,80,80,100,42]</t>
  </si>
  <si>
    <t>family law pearland tx</t>
  </si>
  <si>
    <t>[42,42,42,28,100,57,42,42,28,28,28,42]</t>
  </si>
  <si>
    <t>divorce lawyers pearland</t>
  </si>
  <si>
    <t>[42,42,65,65,65,100,53,65,100,80,100,80]</t>
  </si>
  <si>
    <t>Local pack, Video, People also ask, Related searches</t>
  </si>
  <si>
    <t>assault of pregnant person texas</t>
  </si>
  <si>
    <t>[12,12,12,15,15,15,12,12,15,15,12,6]</t>
  </si>
  <si>
    <t>assault on a pregnant woman texas</t>
  </si>
  <si>
    <t>[81,63,45,81,81,63,63,81,45,36,45,45]</t>
  </si>
  <si>
    <t>family law attorney pearland tx</t>
  </si>
  <si>
    <t>[43,22,29,54,100,100,66,29,66,81,35,29]</t>
  </si>
  <si>
    <t>Local pack, Image pack, Sitelinks, Image, Related searches, Discussions and forums</t>
  </si>
  <si>
    <t>smb attorney</t>
  </si>
  <si>
    <t>[50,50,35,50,35,35,35,35,50,64,78,78]</t>
  </si>
  <si>
    <t>Local pack, Image pack, Sitelinks, Video, Ads bottom, Video Carousel, Related searches</t>
  </si>
  <si>
    <t>texas spousal support lawyers</t>
  </si>
  <si>
    <t>[9,81,63,63,45,81,63,63,100,81,63,36]</t>
  </si>
  <si>
    <t>divorce lawyers brazoria county</t>
  </si>
  <si>
    <t>[100,28,28,57,28,28,100,100,100,100,42,28]</t>
  </si>
  <si>
    <t>Local pack, Sitelinks, People also ask, Related searches, Discussions and forums</t>
  </si>
  <si>
    <t>jim hanley</t>
  </si>
  <si>
    <t>[34,42,42,34,42,34,34,42,42,42,42,42]</t>
  </si>
  <si>
    <t>divorce lawyers in pearland tx</t>
  </si>
  <si>
    <t>[14,4,9,9,4,19,14,100,14,19,52,23]</t>
  </si>
  <si>
    <t>assault of a pregnant person texas</t>
  </si>
  <si>
    <t>[36,45,100,81,100,100,100,100,81,81,100,81]</t>
  </si>
  <si>
    <t>divorce lawyer pearland</t>
  </si>
  <si>
    <t>[0,7,15,11,11,15,34,53,100,100,80,65]</t>
  </si>
  <si>
    <t>family attorneys pearland</t>
  </si>
  <si>
    <t>[11,100,77,77,77]</t>
  </si>
  <si>
    <t>family law attorney brazoria county</t>
  </si>
  <si>
    <t>[5,5,5,5,17,5,5,17,17,17,23,17]</t>
  </si>
  <si>
    <t>texas max child support 2024</t>
  </si>
  <si>
    <t>[100,66,81,35,35,22,0,2,2,2,2,4]</t>
  </si>
  <si>
    <t>Video, Video Carousel, Related searches, Short videos, AI overview</t>
  </si>
  <si>
    <t>assault on pregnant person texas</t>
  </si>
  <si>
    <t>[55,33,22,44,44,55,55,77,55,55,100,77]</t>
  </si>
  <si>
    <t>divorce lawyer league city</t>
  </si>
  <si>
    <t>[20,40,40,20,80,100,20,100,100,100,60,80]</t>
  </si>
  <si>
    <t>Local pack, Video, Image, People also ask</t>
  </si>
  <si>
    <t>divorce attorney league city texas</t>
  </si>
  <si>
    <t>[27,18,45,45,36,100,45,18,27,27,45,63]</t>
  </si>
  <si>
    <t>anonymous std notification</t>
  </si>
  <si>
    <t>[100,67,67,55,67,76,45,45,67,45,36,36]</t>
  </si>
  <si>
    <t>Sitelinks, Video, Image, People also ask, Related searches</t>
  </si>
  <si>
    <t>divorce attorney brazoria county</t>
  </si>
  <si>
    <t>[100,18,18,63,18,18,100,100,100,100,18,18]</t>
  </si>
  <si>
    <t>attorneys in pearland tx</t>
  </si>
  <si>
    <t>[28,43,28,65,34,65,100,43,43,28,81,53]</t>
  </si>
  <si>
    <t>Local pack, Sitelinks, Image, Ads bottom</t>
  </si>
  <si>
    <t>s brown associates</t>
  </si>
  <si>
    <t>[41,29,29,29,41,29,41,52,64,64,52,41]</t>
  </si>
  <si>
    <t>Sitelinks, Video, Related searches, See results about</t>
  </si>
  <si>
    <t>lawyers in league city tx</t>
  </si>
  <si>
    <t>[50,50,64,100,35,78,64,64,50,64,64,21]</t>
  </si>
  <si>
    <t>pearland divorce lawyer</t>
  </si>
  <si>
    <t>[34,34,53,65,81,53,34,81,53,65,81,65]</t>
  </si>
  <si>
    <t>Local pack, Sitelinks, Video, Image, People also ask, Related searches, Discussions and forums</t>
  </si>
  <si>
    <t>league city lawyers</t>
  </si>
  <si>
    <t>[14,14,14,64,0,0,78,50,50,28,35,50]</t>
  </si>
  <si>
    <t>divorce attorney pearland</t>
  </si>
  <si>
    <t>[19,26,34,42,42,15,34,42,53,100,100,80]</t>
  </si>
  <si>
    <t>anonymous std text message</t>
  </si>
  <si>
    <t>[3,1,1,0,0,0,1,0,1,1,0,0]</t>
  </si>
  <si>
    <t>Sitelinks, Image, People also ask, Related searches</t>
  </si>
  <si>
    <t>divorce lawyer pearland tx</t>
  </si>
  <si>
    <t>[35,35,54,43,35,54,100,4,29,54,35,43]</t>
  </si>
  <si>
    <t>lawyer pearland</t>
  </si>
  <si>
    <t>[28,43,28,43,28,28,15,53,43,21,100,53]</t>
  </si>
  <si>
    <t>is quita culpepper married</t>
  </si>
  <si>
    <t>[63,63,63,81,63,81,81,81,81,81,81,45]</t>
  </si>
  <si>
    <t>Image pack, Video, Image, Related searches</t>
  </si>
  <si>
    <t>does texas have alimony or spousal support</t>
  </si>
  <si>
    <t>[18,36,27,18,18,18,45,63,100,63,63,45]</t>
  </si>
  <si>
    <t>attorneys in league city texas</t>
  </si>
  <si>
    <t>[50,50,78,78,78,64,50,64,50,64,100,50]</t>
  </si>
  <si>
    <t>lawyers in league city texas</t>
  </si>
  <si>
    <t>[11,5,17,17,23,11,11,17,29,17,23,23]</t>
  </si>
  <si>
    <t>divorce lawyers in league city tx</t>
  </si>
  <si>
    <t>[15,12,15,12,19,9,81,19,15,12,6,100]</t>
  </si>
  <si>
    <t>what qualifies a spouse for alimony in texas</t>
  </si>
  <si>
    <t>[64,64,64,82,82,64,100,64,82,52,64,64]</t>
  </si>
  <si>
    <t>friendswood divorce lawyer</t>
  </si>
  <si>
    <t>[7,7,7,19,26,26,19,42,42,34,19,15]</t>
  </si>
  <si>
    <t>family law attorney league city</t>
  </si>
  <si>
    <t>[0,0,27,18,100,18,27,18,36,45,18,27]</t>
  </si>
  <si>
    <t>abogado de sucesiones</t>
  </si>
  <si>
    <t>[29,29,29,41,82,82,100,41,52,52,41,64]</t>
  </si>
  <si>
    <t>Video, People also ask, AI overview</t>
  </si>
  <si>
    <t>pearland bicycle accident lawyer</t>
  </si>
  <si>
    <t>[21,28,28,50,100]</t>
  </si>
  <si>
    <t>Local pack, Video, Image</t>
  </si>
  <si>
    <t>league city criminal justice attorney</t>
  </si>
  <si>
    <t>[18,18,18,18,27,100,45,36,63,63,100,0]</t>
  </si>
  <si>
    <t>family lawyers in pasadena tx</t>
  </si>
  <si>
    <t>[9,9,52,66,33,33,23,23,33,33,23,23]</t>
  </si>
  <si>
    <t>Local pack, Ads bottom, Discussions and forums</t>
  </si>
  <si>
    <t>new child support laws in texas</t>
  </si>
  <si>
    <t>[0,0,54,1,9,9,6,6,19,44,100,23]</t>
  </si>
  <si>
    <t>league city family attorney</t>
  </si>
  <si>
    <t>[100,18,18,100,100,81,63,45,81,100,100,63]</t>
  </si>
  <si>
    <t>signs that your parents are getting a divorce</t>
  </si>
  <si>
    <t>[23,23,19,23,23,23,33,23,52,100,33,33]</t>
  </si>
  <si>
    <t>scott and associates houston</t>
  </si>
  <si>
    <t>[18,18,18,100,18,18,100,18,100,18,18,18]</t>
  </si>
  <si>
    <t>Knowledge panel, Sitelinks, Video, Related searches</t>
  </si>
  <si>
    <t>texas alimony laws</t>
  </si>
  <si>
    <t>[59,100,100,100,72,88,72,72,88,88,72,59]</t>
  </si>
  <si>
    <t>Video, Featured snippet, People also ask, Related searches</t>
  </si>
  <si>
    <t>attorney pearland</t>
  </si>
  <si>
    <t>[34,28,43,28,65,34,65,81,43,21,21,100]</t>
  </si>
  <si>
    <t>is incest legal in texas</t>
  </si>
  <si>
    <t>[26,19,19,19,0,0,26,0,34,53,42,42]</t>
  </si>
  <si>
    <t>abogado de lesiones personales en pearland</t>
  </si>
  <si>
    <t>[0,0,5,0,0,23,29,64,100,82,41,41]</t>
  </si>
  <si>
    <t>does texas have spousal support</t>
  </si>
  <si>
    <t>[54,54,66,66,54,54,100,54,54,81,66,81]</t>
  </si>
  <si>
    <t>Sitelinks, Video, Related searches, Short videos, Discussions and forums, AI overview</t>
  </si>
  <si>
    <t>is incest illegal in texas</t>
  </si>
  <si>
    <t>[19,29,36,36,54,100,36,36,67,67,44,23]</t>
  </si>
  <si>
    <t>league city family lawyer</t>
  </si>
  <si>
    <t>[78,21,21,78,78,50,50,50,100,100,100,50]</t>
  </si>
  <si>
    <t>how does alimony work in texas</t>
  </si>
  <si>
    <t>[2,2,3,2,3,3,3,3,3,4,3,3]</t>
  </si>
  <si>
    <t>Sitelinks, Video, Related searches, Discussions and forums, AI overview</t>
  </si>
  <si>
    <t>reasons grandparents can file for custody of grandchild in texas</t>
  </si>
  <si>
    <t>[41,64,41,41,64,52,52,41,82,64,52,64]</t>
  </si>
  <si>
    <t>league city lawyer</t>
  </si>
  <si>
    <t>[45,18,27,9,36,45,36,45,45,63,63,63]</t>
  </si>
  <si>
    <t>is texas a spousal support state</t>
  </si>
  <si>
    <t>[42,7,42,42,11,42,42,26,26,26,19,42]</t>
  </si>
  <si>
    <t>closed adoption meaning</t>
  </si>
  <si>
    <t>[26,26,21,32,72,32,39,26,26,32,39,32]</t>
  </si>
  <si>
    <t>Knowledge panel, Sitelinks, Video, People also ask, Related searches, Short videos, Discussions and forums</t>
  </si>
  <si>
    <t>texas divorce laws alimony</t>
  </si>
  <si>
    <t>[100,80,80,40,60,20,60,80,60,100,100,60]</t>
  </si>
  <si>
    <t>friendswood family lawyer</t>
  </si>
  <si>
    <t>[0,27,45,63,36,81,100,81]</t>
  </si>
  <si>
    <t>Local pack, Sitelinks, Related searches</t>
  </si>
  <si>
    <t>divorce attorney league city</t>
  </si>
  <si>
    <t>[6,5,6,5,8,4,16,10,8,8,8,24]</t>
  </si>
  <si>
    <t>texas alimony rules</t>
  </si>
  <si>
    <t>[44,54,100,66,81,100,36,54,29,81,81,66]</t>
  </si>
  <si>
    <t>can u get alimony in texas</t>
  </si>
  <si>
    <t>[42,34,65,34,42,26,34,65,65,53,42,53]</t>
  </si>
  <si>
    <t>Video, Related searches, Discussions and forums, AI overview</t>
  </si>
  <si>
    <t>scott &amp; associates texas</t>
  </si>
  <si>
    <t>[23,23,33,33,52,42,42,52,80,52,42,42]</t>
  </si>
  <si>
    <t>texas divorce law alimony</t>
  </si>
  <si>
    <t>[45,63,63,63,45,63,36,45,45,45,45,36]</t>
  </si>
  <si>
    <t>angleton criminal defense attorney</t>
  </si>
  <si>
    <t>[7,7,0,11,11,11,19,26,15,19,19,7]</t>
  </si>
  <si>
    <t>is alimony a thing in texas</t>
  </si>
  <si>
    <t>[28,42,42,57,57,57,57,71,28,71,57,71]</t>
  </si>
  <si>
    <t>Video, People also ask, Related searches, Short videos, Discussions and forums, AI overview</t>
  </si>
  <si>
    <t>criminal attorney pearland tx</t>
  </si>
  <si>
    <t>[9,19,14,52,52,33,42,66,33,19,23,100]</t>
  </si>
  <si>
    <t>naturalization process timeline</t>
  </si>
  <si>
    <t>[14,26,17,100,32,32,39,26,26,26,26,26]</t>
  </si>
  <si>
    <t>Image pack, Sitelinks, Video, FAQ, Related searches, AI overview</t>
  </si>
  <si>
    <t>texas divorce spousal support</t>
  </si>
  <si>
    <t>[100,100,100,100,100,100,66,52,52,100,52,66]</t>
  </si>
  <si>
    <t>league city divorce lawyer</t>
  </si>
  <si>
    <t>[0,2,1,7,3,2,11,3,2,4,4,4]</t>
  </si>
  <si>
    <t>league city divorce attorney</t>
  </si>
  <si>
    <t>[6,11,8,8,23,15,44,18,11,15,18,100]</t>
  </si>
  <si>
    <t>Local pack, Image pack, Image, People also ask, Related searches</t>
  </si>
  <si>
    <t>do you get alimony in texas</t>
  </si>
  <si>
    <t>[29,52,52,82,64,64,41,100,100,82,82,64]</t>
  </si>
  <si>
    <t>signs your parents are getting a divorce</t>
  </si>
  <si>
    <t>[26,19,19,19,19,26,26,42,100,26,26,19]</t>
  </si>
  <si>
    <t>naturalization ceremony locations and schedule texas</t>
  </si>
  <si>
    <t>[45,45,81,63,100,63,81,81,81,45,63,63]</t>
  </si>
  <si>
    <t>Sitelinks, Video, Image, People also ask, Related searches, AI overview</t>
  </si>
  <si>
    <t>divorce attorney galveston county</t>
  </si>
  <si>
    <t>[50,100,78,50,50,78,64,64,78,100,50,50]</t>
  </si>
  <si>
    <t>Local pack, Sitelinks, Image, Related searches, Discussions and forums</t>
  </si>
  <si>
    <t>how long does it take for naturalization</t>
  </si>
  <si>
    <t>[44,36,100,81,4,29,19,81,23,67,23,19]</t>
  </si>
  <si>
    <t>Sitelinks, Video, FAQ, Related searches, Discussions and forums, AI overview</t>
  </si>
  <si>
    <t>criminal attorney pearland</t>
  </si>
  <si>
    <t>[19,9,52,100,100,80,52,33,19,23,100,23]</t>
  </si>
  <si>
    <t>how long does naturalization take</t>
  </si>
  <si>
    <t>[45,62,36,81,100,62,55,55,62,45,36,45]</t>
  </si>
  <si>
    <t>league city attorney</t>
  </si>
  <si>
    <t>[42,33,42,42,100,23,19,33,33,23,52,52]</t>
  </si>
  <si>
    <t>family lawyer league city</t>
  </si>
  <si>
    <t>[11,11,11,17,17,64,29,52,41,100,100,41]</t>
  </si>
  <si>
    <t>citizenship timeline 2024</t>
  </si>
  <si>
    <t>[64,82,52,29,17,11,11,11,11,11,11,11]</t>
  </si>
  <si>
    <t>Sitelinks, Video, Image, FAQ, Related searches, AI overview</t>
  </si>
  <si>
    <t>do you pay alimony in texas</t>
  </si>
  <si>
    <t>[27,36,45,45,27,45,36,63,36,45,63,36]</t>
  </si>
  <si>
    <t>blair evans</t>
  </si>
  <si>
    <t>[13,3,3,8,5,5,3,4,2,3,4,3]</t>
  </si>
  <si>
    <t>Knowledge panel, Top stories, Video, Image, Video Carousel, People also ask, Related searches</t>
  </si>
  <si>
    <t>browns family lawyers</t>
  </si>
  <si>
    <t>[55,20,24,8,16,81,100,6,6,0,3,62]</t>
  </si>
  <si>
    <t>texas divorce spousal maintenance</t>
  </si>
  <si>
    <t>[82,100,82,52,64,41,64,41,82,52,52,52]</t>
  </si>
  <si>
    <t>texas obscenity laws</t>
  </si>
  <si>
    <t>[12,7,10,10,5,5,28,23,28,23,17,17]</t>
  </si>
  <si>
    <t>n400 processing time dallas tx</t>
  </si>
  <si>
    <t>[45,45,63,45,45,45,27,63,0,100,63,63]</t>
  </si>
  <si>
    <t>Image pack, Sitelinks, Video, Related searches, AI overview</t>
  </si>
  <si>
    <t>how long does it take the naturalization process</t>
  </si>
  <si>
    <t>[35,43,43,43,29,54,43,100,66,100,29,29]</t>
  </si>
  <si>
    <t>divorce attorney league city tx</t>
  </si>
  <si>
    <t>[63,45,27,45,27,81,18,0,81,63,81,27]</t>
  </si>
  <si>
    <t>Local pack, Sitelinks, Video, Image, Ads bottom, People also ask</t>
  </si>
  <si>
    <t>texas max child support</t>
  </si>
  <si>
    <t>[41,52,64,82,100,64,52,52,52,41,82,41]</t>
  </si>
  <si>
    <t>how to choose a sexual assault defense lawyer</t>
  </si>
  <si>
    <t>[44,100,100]</t>
  </si>
  <si>
    <t>Video, Featured snippet, People also ask, Related searches, Discussions and forums</t>
  </si>
  <si>
    <t>abogado de accidentes en pearland</t>
  </si>
  <si>
    <t>[0,0,0,0,5,0,11,52,100,100,64,52]</t>
  </si>
  <si>
    <t>Local pack, Video, People also ask</t>
  </si>
  <si>
    <t>what voids a custody agreement</t>
  </si>
  <si>
    <t>[54,43,54,43,43,35,29,35,35,35,35,35]</t>
  </si>
  <si>
    <t>naturalization timeline</t>
  </si>
  <si>
    <t>[53,82,43,82,66,82,66,66,66,82,66,53]</t>
  </si>
  <si>
    <t>Image pack, Sitelinks, Video, Video Carousel, FAQ, Related searches, AI overview</t>
  </si>
  <si>
    <t>divorce law firm sugar land</t>
  </si>
  <si>
    <t>[14,71,100,71,100,71,14,14,42]</t>
  </si>
  <si>
    <t>Local pack, Video, Ads bottom, Related searches, Discussions and forums</t>
  </si>
  <si>
    <t>incest in texas</t>
  </si>
  <si>
    <t>[34,21,28,28,28,21,21,0,0,28,28,28]</t>
  </si>
  <si>
    <t>texas spousal support requirements</t>
  </si>
  <si>
    <t>[45,45,45,45,45,36,27,45,18,18,18,18]</t>
  </si>
  <si>
    <t>naturalization process time</t>
  </si>
  <si>
    <t>[11,35,54,44,81,44,35,44,54,23,3,81]</t>
  </si>
  <si>
    <t>Sitelinks, Video, Image, Video Carousel, People also ask, FAQ, AI overview</t>
  </si>
  <si>
    <t>spouse support texas</t>
  </si>
  <si>
    <t>[36,29,4,44,5,4,4,6,2,2,4,6]</t>
  </si>
  <si>
    <t>Sitelinks, Video, Related searches, Things to know, AI overview</t>
  </si>
  <si>
    <t>immigration lawyer pearland</t>
  </si>
  <si>
    <t>[18,18,100,18,100,18,18,27,36,81,45,45]</t>
  </si>
  <si>
    <t>pearland attorney</t>
  </si>
  <si>
    <t>[100,81,81,45,45,63,45,18,27,36,63,9]</t>
  </si>
  <si>
    <t>does texas have alimony</t>
  </si>
  <si>
    <t>[100,66,81,66,81,66,81,66,81,81,100,81]</t>
  </si>
  <si>
    <t>family attorney sugar land</t>
  </si>
  <si>
    <t>[0,0,0,0,14,21,35,50,100,100,78,50]</t>
  </si>
  <si>
    <t>boating accident attorney galveston</t>
  </si>
  <si>
    <t>[18,27,27,36,27,27,100,81,63,18]</t>
  </si>
  <si>
    <t>Local pack, Sitelinks, Featured snippet, Ads bottom</t>
  </si>
  <si>
    <t>injury case planner</t>
  </si>
  <si>
    <t>[100,33,0]</t>
  </si>
  <si>
    <t>texas law on divorce and alimony</t>
  </si>
  <si>
    <t>[55,77,55,77,77,55,77,77,77,77,55,77]</t>
  </si>
  <si>
    <t>divorce doctor</t>
  </si>
  <si>
    <t>[81,18,100,18,27,18,18,18,63,45,27,18]</t>
  </si>
  <si>
    <t>Local pack, Sitelinks, Video, Video Carousel, Related searches, Discussions and forums</t>
  </si>
  <si>
    <t>criminal lawyer pearland</t>
  </si>
  <si>
    <t>[10,5,28,43,43,43,28,17,10,12,43,12]</t>
  </si>
  <si>
    <t>friendswood dwi lawyer</t>
  </si>
  <si>
    <t>[9,27,45,45,100,100,81,9]</t>
  </si>
  <si>
    <t>Local pack, Video, Featured snippet, Image, Related searches</t>
  </si>
  <si>
    <t>n400 processing time dallas</t>
  </si>
  <si>
    <t>[52,64,29,52,41,64,41,52,52,41,41,41]</t>
  </si>
  <si>
    <t>signs that your parents are getting divorced</t>
  </si>
  <si>
    <t>[23,23,23,23,23,33,33,23,52,100,33,33]</t>
  </si>
  <si>
    <t>signs of your parents getting a divorce</t>
  </si>
  <si>
    <t>[35,35,35,35,35,50,50,50,78,100,50,50]</t>
  </si>
  <si>
    <t>pearland criminal attorney</t>
  </si>
  <si>
    <t>[14,14,19,23,52,19,14,23,19,23,23,23]</t>
  </si>
  <si>
    <t>league city criminal defense attorney</t>
  </si>
  <si>
    <t>[15,15,11,15,15,18,15,100,8,8,11,11]</t>
  </si>
  <si>
    <t>application for citizenship timeline</t>
  </si>
  <si>
    <t>[64,41,100,64,23,52,52,64,52,52,64,64]</t>
  </si>
  <si>
    <t>Sitelinks, Video, Image, Video Carousel, People also ask, FAQ, Related searches, AI overview</t>
  </si>
  <si>
    <t>carefree dui lawyer</t>
  </si>
  <si>
    <t>[0,0,11,11,11,11,17,5,82,100,82,100]</t>
  </si>
  <si>
    <t>league city criminal justice lawyer</t>
  </si>
  <si>
    <t>[28,28,28,28,28,57,71,57,100,100,71,0]</t>
  </si>
  <si>
    <t>Local pack, Video</t>
  </si>
  <si>
    <t>friendswood criminal defense lawyer</t>
  </si>
  <si>
    <t>[0,0,0,9,27,36,45,45,100,100,100,27]</t>
  </si>
  <si>
    <t>closed adoption pros and cons</t>
  </si>
  <si>
    <t>[28,28,28,57,71,71,71,28,100,71,28,71]</t>
  </si>
  <si>
    <t>alimony in the state of texas</t>
  </si>
  <si>
    <t>[6,30,16,55,81,8,30,13,24,13,6,10]</t>
  </si>
  <si>
    <t>sugar land family attorney</t>
  </si>
  <si>
    <t>[18,18,18,18,18,18,36,36,63,100,63,45]</t>
  </si>
  <si>
    <t>texas law on suppressors</t>
  </si>
  <si>
    <t>[66,23,12,5,5,1,5,19,54,9,44,44]</t>
  </si>
  <si>
    <t>Sitelinks, Video, Video Carousel, AI overview</t>
  </si>
  <si>
    <t>brazoria county lawyers</t>
  </si>
  <si>
    <t>[65,65,42,80,65,65,53,53,53,65,80,100]</t>
  </si>
  <si>
    <t>Local pack, Image, Ads bottom, Related searches</t>
  </si>
  <si>
    <t>galveston county family law attorneys</t>
  </si>
  <si>
    <t>[66,66,66,80,80,66,52,66,33,42,52,42]</t>
  </si>
  <si>
    <t>silencers legal in texas</t>
  </si>
  <si>
    <t>[15,19,23,19,29,15,29,29,15,19,36,23]</t>
  </si>
  <si>
    <t>first time felony charge in texas</t>
  </si>
  <si>
    <t>[45,63,45,63,27,63,81,63,9,63,63,81]</t>
  </si>
  <si>
    <t>are silencers illegal in texas</t>
  </si>
  <si>
    <t>[26,65,42,34,53,34,34,34,53,34,26,34]</t>
  </si>
  <si>
    <t>league city criminal lawyer</t>
  </si>
  <si>
    <t>[11,15,15,18,15,100,8,8,8,8,35,3]</t>
  </si>
  <si>
    <t>suppressors legal in texas</t>
  </si>
  <si>
    <t>[13,10,13,7,4,5,8,7,2,5,10,7]</t>
  </si>
  <si>
    <t>family lawyer fort bend</t>
  </si>
  <si>
    <t>[0,0,0,3,7,7,7,9,9,21,21,9]</t>
  </si>
  <si>
    <t>sobriety test lawyer houston</t>
  </si>
  <si>
    <t>[100,75,100]</t>
  </si>
  <si>
    <t>Local pack, Video, Video Carousel, People also ask, AI overview</t>
  </si>
  <si>
    <t>silencer law texas</t>
  </si>
  <si>
    <t>[6,8,8,8,8,8,8,8,8,8,6,8]</t>
  </si>
  <si>
    <t>Sitelinks, Video, Video Carousel, People also ask, AI overview</t>
  </si>
  <si>
    <t>first time offender felony charge act</t>
  </si>
  <si>
    <t>[19,19,26,26,26,11,19,26,26,19,7,7]</t>
  </si>
  <si>
    <t>friendswood car accident lawyer</t>
  </si>
  <si>
    <t>[9,4,14,66,9,80,14,14,23,42,100,80]</t>
  </si>
  <si>
    <t>time for naturalization process</t>
  </si>
  <si>
    <t>[34,100,53,80,65,26,42,80,53,34,34,42]</t>
  </si>
  <si>
    <t>Sitelinks, Video, Video Carousel, FAQ, Related searches, AI overview</t>
  </si>
  <si>
    <t>katherine stahl</t>
  </si>
  <si>
    <t>[45,36,18,27,45,63,45,36,36,18,18,27]</t>
  </si>
  <si>
    <t>Image pack, Video, Image</t>
  </si>
  <si>
    <t>how long does it take to process naturalization</t>
  </si>
  <si>
    <t>[0,0,7,100,100,26,42,34,65,26,34,0]</t>
  </si>
  <si>
    <t>personal injury law firm pearland</t>
  </si>
  <si>
    <t>[0,0,0,0,1,1,0,1,0,0,0,0]</t>
  </si>
  <si>
    <t>first-time felony charges in texas</t>
  </si>
  <si>
    <t>[53,34,34,42,53,42,53,53,34,53,15,53]</t>
  </si>
  <si>
    <t>how long for naturalization process</t>
  </si>
  <si>
    <t>[18,100,22,35,29,29,100,66,29,43,43,2]</t>
  </si>
  <si>
    <t>Sitelinks, Video, People also ask, FAQ, Related searches</t>
  </si>
  <si>
    <t>criminal defense attorney pearland</t>
  </si>
  <si>
    <t>[19,19,19,33,52,100,100,80,66,33,33,52]</t>
  </si>
  <si>
    <t>video testimonials for legal services</t>
  </si>
  <si>
    <t>[60,80,80,100]</t>
  </si>
  <si>
    <t>Video, Ads bottom, Video Carousel, People also ask, Short videos</t>
  </si>
  <si>
    <t>texas law on spousal support</t>
  </si>
  <si>
    <t>[28,14,14,28,28,71,42,57,71,57,28,100]</t>
  </si>
  <si>
    <t>suppressor legal texas</t>
  </si>
  <si>
    <t>[0,0,5,53,12,28,82,100,43,35,66,43]</t>
  </si>
  <si>
    <t>texas alimony law</t>
  </si>
  <si>
    <t>[29,29,29,19,19,15,19,15,19,54,66,66]</t>
  </si>
  <si>
    <t>Sitelinks, Video, Related searches, Short videos, AI overview</t>
  </si>
  <si>
    <t>boat accident lawyer galveston</t>
  </si>
  <si>
    <t>[11,22,33,33,33,33,100,100,77,22]</t>
  </si>
  <si>
    <t>Local pack, Featured snippet</t>
  </si>
  <si>
    <t>are suppressors illegal in texas</t>
  </si>
  <si>
    <t>[34,100,42,53,42,26,19,26,26,34,26,42]</t>
  </si>
  <si>
    <t>family law attorney fort bend</t>
  </si>
  <si>
    <t>[29,29,29,52,17,41,52,41,41,52,41,41]</t>
  </si>
  <si>
    <t>what is obscene material</t>
  </si>
  <si>
    <t>[53,43,53,53,53,65,65,43,43,65,65,81]</t>
  </si>
  <si>
    <t>signs your parents are getting divorced</t>
  </si>
  <si>
    <t>[23,33,33,23,23,33,33,33,52,100,33,33]</t>
  </si>
  <si>
    <t>how long citizenship application takes</t>
  </si>
  <si>
    <t>[6,11,8,11,11,11,11,11,15,18,3,3]</t>
  </si>
  <si>
    <t>Sitelinks, Video, People also ask, FAQ, Related searches, Discussions and forums</t>
  </si>
  <si>
    <t>time process for naturalization</t>
  </si>
  <si>
    <t>[42,42,66,100,80,33,52,100,66,42,33,52]</t>
  </si>
  <si>
    <t>texas obscenity statute</t>
  </si>
  <si>
    <t>[9,9,9,9,9,52,42,66,42,33,33,23]</t>
  </si>
  <si>
    <t>how long naturalization takes</t>
  </si>
  <si>
    <t>[14,78,78,78,78,14,14,14,14,14,14,14]</t>
  </si>
  <si>
    <t>criminal defense lawyer pearland</t>
  </si>
  <si>
    <t>[0,0,0,9,100,14,14,14,4,19,19,23]</t>
  </si>
  <si>
    <t>how long the citizenship process takes</t>
  </si>
  <si>
    <t>[26,53,26,65,42,80,42,100,42,34,3,34]</t>
  </si>
  <si>
    <t>real estate attorney pearland tx</t>
  </si>
  <si>
    <t>[22,33,44,0,55,44,0,44,33,55,33,33]</t>
  </si>
  <si>
    <t>Local pack, Sitelinks, Image, People also ask</t>
  </si>
  <si>
    <t>how long takes the naturalization process</t>
  </si>
  <si>
    <t>[18,18,18,100,18,100,18,18,18,18,18,18]</t>
  </si>
  <si>
    <t>houston spinal cord injury attorney</t>
  </si>
  <si>
    <t>[0,0,0,34,43,34,34,34,28,81,100,100]</t>
  </si>
  <si>
    <t>Local pack, Sitelinks, Image, AI overview</t>
  </si>
  <si>
    <t>how hard is it to get spousal support in texas</t>
  </si>
  <si>
    <t>[16,13,13,13,13,16,16,16,16,16,16,13]</t>
  </si>
  <si>
    <t>alamony in texas</t>
  </si>
  <si>
    <t>[3,2,2,0,2,2,0,0,0,100,5,3]</t>
  </si>
  <si>
    <t>n 400 application timeline</t>
  </si>
  <si>
    <t>[63,63,63,63,0,100,63,45,63,63,63,81]</t>
  </si>
  <si>
    <t>Image pack, Sitelinks, Video, Video Carousel, Related searches, AI overview</t>
  </si>
  <si>
    <t>how long it takes for naturalization</t>
  </si>
  <si>
    <t>[7,7,42,42,42,42,7,7,7,7,7,7]</t>
  </si>
  <si>
    <t>legal suppressors in texas</t>
  </si>
  <si>
    <t>[23,28,23,43,28,53,12,28,82,100,43,35]</t>
  </si>
  <si>
    <t>Image pack, Sitelinks, Video, Video Carousel, People also ask, Related searches, AI overview</t>
  </si>
  <si>
    <t>texas divorce alimony</t>
  </si>
  <si>
    <t>[100,100,80,80,100,80,80,52,100,42,52,52]</t>
  </si>
  <si>
    <t>Sitelinks, Video, Video Carousel, People also ask, Related searches, Short videos, Things to know, Discussions and forums</t>
  </si>
  <si>
    <t>is texas a alimony state</t>
  </si>
  <si>
    <t>[45,100,100,45,100,100,63,63,100,81,100,81]</t>
  </si>
  <si>
    <t>Video, Featured snippet, People also ask, Related searches, Short videos</t>
  </si>
  <si>
    <t>fort bend county family law attorneys</t>
  </si>
  <si>
    <t>[45,45,63,36,63,63,63,63,100,100,63,63]</t>
  </si>
  <si>
    <t>Local pack, Sitelinks, Ads bottom, People also ask, Related searches</t>
  </si>
  <si>
    <t>houston indecent exposure attorney</t>
  </si>
  <si>
    <t>[18,18,18,27,27,27,36,36,100,100,63,18]</t>
  </si>
  <si>
    <t>Knowledge panel, Video</t>
  </si>
  <si>
    <t>divorce lawyers galveston tx</t>
  </si>
  <si>
    <t>[55,33,22,100,22,22,77,33,55,33,55,77]</t>
  </si>
  <si>
    <t>texas silencer laws</t>
  </si>
  <si>
    <t>[6,13,10,5,5,10,8,10,3,30,30,16]</t>
  </si>
  <si>
    <t>Sitelinks, Video, AI overview</t>
  </si>
  <si>
    <t>mary e samaan attorney photos</t>
  </si>
  <si>
    <t>[64,52,82,41,0,5,0,5,0,0,0,0]</t>
  </si>
  <si>
    <t>Knowledge panel, Sitelinks, Video, Image, Related searches</t>
  </si>
  <si>
    <t>criminal justice attorney league city</t>
  </si>
  <si>
    <t>[18,18,18,18,18,100,45,36,63,63,100,0]</t>
  </si>
  <si>
    <t>galveston tx motorcycle accident</t>
  </si>
  <si>
    <t>[82,17,23,11,23,17,11,11,41,17,11,29]</t>
  </si>
  <si>
    <t>Image pack, Sitelinks, Video, Image, Video Carousel, Related searches</t>
  </si>
  <si>
    <t>what is alimony in texas</t>
  </si>
  <si>
    <t>[35,35,44,35,44,11,35,35,44,44,35,44]</t>
  </si>
  <si>
    <t>Sitelinks, Video, Featured snippet, Image, People also ask, Related searches</t>
  </si>
  <si>
    <t>how long does it take for naturalisation process</t>
  </si>
  <si>
    <t>[14,14,64,64,14,14,50,100,14,14,14,14]</t>
  </si>
  <si>
    <t>houston indecent exposure lawyer</t>
  </si>
  <si>
    <t>[9,9,14,14,14,23,33,33,80,100,66,42]</t>
  </si>
  <si>
    <t>Local pack, Sitelinks, Video, AI overview</t>
  </si>
  <si>
    <t>texas covenant marriage</t>
  </si>
  <si>
    <t>[0,100,7,5,15,12,2,2,2,3,2,2]</t>
  </si>
  <si>
    <t>how old can you be to drive a motorcycle</t>
  </si>
  <si>
    <t>[41,29,29,29,29,41,52,41,52,41,52,41]</t>
  </si>
  <si>
    <t>texas silencer law</t>
  </si>
  <si>
    <t>[0,0,6,10,5,5,5,5,3,2,13,10]</t>
  </si>
  <si>
    <t>how long naturalization</t>
  </si>
  <si>
    <t>[81,63,63,81,45,45,81,81,63,45,63,63]</t>
  </si>
  <si>
    <t>Sitelinks, Video, Video Carousel, People also ask, FAQ, Related searches, AI overview</t>
  </si>
  <si>
    <t>what is obscenity</t>
  </si>
  <si>
    <t>[62,81,62,55,62,62,62,62,55,45,55,81]</t>
  </si>
  <si>
    <t>Video, Related searches, See results about, AI overview</t>
  </si>
  <si>
    <t>how long the naturalization process takes</t>
  </si>
  <si>
    <t>[11,11,11,64,11,100,11,11,11,11,11,11]</t>
  </si>
  <si>
    <t>how long take the naturalization process</t>
  </si>
  <si>
    <t>Sitelinks, Video, FAQ, Related searches, Short videos, AI overview</t>
  </si>
  <si>
    <t>how many misdemeanor is a felony</t>
  </si>
  <si>
    <t>[64,52,64,52,29,41,41,41,64,64,41,52]</t>
  </si>
  <si>
    <t>how long naturalization process takes</t>
  </si>
  <si>
    <t>[100,52,100,29,23,82,100,23,29,11,41,29]</t>
  </si>
  <si>
    <t>Sitelinks, Video, Image, People also ask, FAQ, Related searches, AI overview</t>
  </si>
  <si>
    <t>is there alimony in the state of texas</t>
  </si>
  <si>
    <t>[43,65,65,81,53,81,65,53,65,81,81,65]</t>
  </si>
  <si>
    <t>defective drug lawyer</t>
  </si>
  <si>
    <t>[13,10,24,20,55,30,30,30,100,81,30,30]</t>
  </si>
  <si>
    <t>n-400 timeline</t>
  </si>
  <si>
    <t>[8,3,16,8,3,13,3,4,0,0,100,8]</t>
  </si>
  <si>
    <t>Sitelinks, Video, Video Carousel, People also ask, Related searches</t>
  </si>
  <si>
    <t>best divorce attorney sugar land</t>
  </si>
  <si>
    <t>[28,0,42,100,71,57,57,57,71,57,57,42]</t>
  </si>
  <si>
    <t>Local pack, Sitelinks, Video, Ads bottom, People also ask, Related searches</t>
  </si>
  <si>
    <t>iggy azalea and husband</t>
  </si>
  <si>
    <t>[10,36,5,16,100,44,36,44,3,5,100,66]</t>
  </si>
  <si>
    <t>texas cohabitation laws</t>
  </si>
  <si>
    <t>[29,23,52,41,29,23,41,23,29,29,17,23]</t>
  </si>
  <si>
    <t>temporary protective order texas</t>
  </si>
  <si>
    <t>[27,18,18,45,18,18,18,63,18,18,18,18]</t>
  </si>
  <si>
    <t>Sitelinks, Video, Image, Video Carousel, People also ask, Related searches, AI overview</t>
  </si>
  <si>
    <t>scotts associates</t>
  </si>
  <si>
    <t>[23,29,11,5,29,29,0,41,82,5,100,100]</t>
  </si>
  <si>
    <t>faith brown attorney</t>
  </si>
  <si>
    <t>[100,52,17,29,29,41,23,41,11,11,11,11]</t>
  </si>
  <si>
    <t>Knowledge panel, Sitelinks</t>
  </si>
  <si>
    <t>easydivorce</t>
  </si>
  <si>
    <t>[0,6,0,43,0,0,28,0,3,9,12,3]</t>
  </si>
  <si>
    <t>Knowledge panel, Sitelinks, Video, Image, Ads top, Ads bottom, Video Carousel, Related searches</t>
  </si>
  <si>
    <t>lawyers in brazoria county tx</t>
  </si>
  <si>
    <t>[80,42,65,53,65,42,65,42,42,42,26,34]</t>
  </si>
  <si>
    <t>Local pack, Sitelinks, Video, Ads bottom, Related searches</t>
  </si>
  <si>
    <t>accepting divorce</t>
  </si>
  <si>
    <t>[41,29,52,41,41,52,41,29,29,29,23,29]</t>
  </si>
  <si>
    <t>timeline naturalization</t>
  </si>
  <si>
    <t>[42,34,42,53,34,15,34,65,65,65,26,53]</t>
  </si>
  <si>
    <t>laws on suppressors in texas</t>
  </si>
  <si>
    <t>[35,28,53,43,53,12,28,82,100,43,35,66]</t>
  </si>
  <si>
    <t>us naturalization process time</t>
  </si>
  <si>
    <t>[30,24,45,8,6,5,5,24,45,6,5,13]</t>
  </si>
  <si>
    <t>can you get spousal support in texas</t>
  </si>
  <si>
    <t>[53,80,53,65,65,80,65,80,80,42,80,34]</t>
  </si>
  <si>
    <t>qualifications for alimony in texas</t>
  </si>
  <si>
    <t>texas suppressors legal</t>
  </si>
  <si>
    <t>[4,3,4,11,2,3,4,11,7,3,3,4]</t>
  </si>
  <si>
    <t>Image pack, Sitelinks, Video, People also ask, Related searches, AI overview</t>
  </si>
  <si>
    <t>how to fight a protective order in texas</t>
  </si>
  <si>
    <t>[43,43,35,53,35,43,66,66,82,66,82,100]</t>
  </si>
  <si>
    <t>Sitelinks, Video, Ads bottom, Related searches, Discussions and forums, AI overview</t>
  </si>
  <si>
    <t>111 east locust street angleton tx</t>
  </si>
  <si>
    <t>[100,42,42,19,66,66,66,33,42,42,23,19]</t>
  </si>
  <si>
    <t>Related searches</t>
  </si>
  <si>
    <t>divorce in texas spousal support</t>
  </si>
  <si>
    <t>[57,100,71,0,42,42,57,57,71,71,71,57]</t>
  </si>
  <si>
    <t>fort bend county divorce attorney</t>
  </si>
  <si>
    <t>[19,19,26,34,34,42,42,42,100,100,80,26]</t>
  </si>
  <si>
    <t>Local pack, Image, People also ask, Related searches, Discussions and forums</t>
  </si>
  <si>
    <t>how long does the naturalization process take</t>
  </si>
  <si>
    <t>[81,44,100,66,100,81,66,81,54,54,100,29]</t>
  </si>
  <si>
    <t>miranda lambert and blake shelton divorce</t>
  </si>
  <si>
    <t>[82,82,82,82,82,82,82,82,82,64,82,82]</t>
  </si>
  <si>
    <t>us naturalization timeline</t>
  </si>
  <si>
    <t>[35,23,53,35,43,35,28,23,35,23,23,17]</t>
  </si>
  <si>
    <t>citizen application timeline</t>
  </si>
  <si>
    <t>[64,41,82,41,100,82,64,82,64,41,64,52]</t>
  </si>
  <si>
    <t>Sitelinks, Video, FAQ, Related searches, AI overview</t>
  </si>
  <si>
    <t>real estate attorney pearland</t>
  </si>
  <si>
    <t>[63,45,63,63,81,63,63,45,63,45,36,63]</t>
  </si>
  <si>
    <t>galveston family law attorney</t>
  </si>
  <si>
    <t>[23,23,41,41,29,17,29,41,23,82,29,29]</t>
  </si>
  <si>
    <t>family lawyer galveston</t>
  </si>
  <si>
    <t>[43,43,43,35,43,35,28,43,100,100,66,66]</t>
  </si>
  <si>
    <t>abogado para casos juveniles en houston</t>
  </si>
  <si>
    <t>[7,7,7,100,100,100,78]</t>
  </si>
  <si>
    <t>Local pack, Sitelinks, Video, People also ask, AI overview</t>
  </si>
  <si>
    <t>am i sober enough to drive</t>
  </si>
  <si>
    <t>[52,33,33,33,33,23,33,52,80,80,33,14]</t>
  </si>
  <si>
    <t>lawyers in harris county</t>
  </si>
  <si>
    <t>[29,52,41,41,17,52,41,52,29,41,41,52]</t>
  </si>
  <si>
    <t>how long are citizenship applications taking</t>
  </si>
  <si>
    <t>[23,29,29,41,41,41,41,41,29,100,11,11]</t>
  </si>
  <si>
    <t>n 400 timeline</t>
  </si>
  <si>
    <t>[29,18,18,66,100,54,43,35,29,35,22,22]</t>
  </si>
  <si>
    <t>naturalization how long does it take</t>
  </si>
  <si>
    <t>[30,8,16,13,55,0,100,45,67,13,10,0]</t>
  </si>
  <si>
    <t>how long does it take for the naturalization process</t>
  </si>
  <si>
    <t>[12,12,19,15,12,10,100,54,54,15,54,2]</t>
  </si>
  <si>
    <t>how much alimony in texas</t>
  </si>
  <si>
    <t>[100,34,53,65,65,65,65,65,80,53,65,65]</t>
  </si>
  <si>
    <t>texas suppressor law</t>
  </si>
  <si>
    <t>[7,5,4,7,7,2,3,1,5,3,3,4]</t>
  </si>
  <si>
    <t>Image pack, Sitelinks, Video, Video Carousel, AI overview</t>
  </si>
  <si>
    <t>galveston motorcycle accident lawyer</t>
  </si>
  <si>
    <t>[0,19,19,65,42,34,42,100,100,80,80,100]</t>
  </si>
  <si>
    <t>timeline for n 400 application</t>
  </si>
  <si>
    <t>[14,33,23,23,42,33,33,33,23,23,33,23]</t>
  </si>
  <si>
    <t>are silencers legal in texas</t>
  </si>
  <si>
    <t>[30,30,30,62,30,24,45,45,24,45,45,45]</t>
  </si>
  <si>
    <t>Sitelinks, Video, People also ask, AI overview</t>
  </si>
  <si>
    <t>lawyers in texas city tx</t>
  </si>
  <si>
    <t>[23,23,52,66,100,33,42,23,23,52,52,52]</t>
  </si>
  <si>
    <t>fort bend family lawyers</t>
  </si>
  <si>
    <t>[1,1,3,5,3,7,5,7,14,14,7,3]</t>
  </si>
  <si>
    <t>Local pack, Sitelinks, Video, Image</t>
  </si>
  <si>
    <t>parole office angleton tx</t>
  </si>
  <si>
    <t>[52,52,42,42,52,66,52,52,52,33,52,33]</t>
  </si>
  <si>
    <t>family attorney texas</t>
  </si>
  <si>
    <t>[0,0,5,6,5,6,6,18,23,18,11,11]</t>
  </si>
  <si>
    <t>cohabitation laws in texas</t>
  </si>
  <si>
    <t>[45,36,45,45,63,36,81,36,45,45,36,36]</t>
  </si>
  <si>
    <t>how long is the naturalization process</t>
  </si>
  <si>
    <t>[81,66,100,100,100,100,66,100,54,81,100,100]</t>
  </si>
  <si>
    <t>how long to process naturalization</t>
  </si>
  <si>
    <t>[100,53,81,43,34,43,81,65,43,34,0,0]</t>
  </si>
  <si>
    <t>Sitelinks, Video, Featured snippet, People also ask, FAQ, Related searches</t>
  </si>
  <si>
    <t>naturalization process how long</t>
  </si>
  <si>
    <t>[18,18,28,23,15,11,23,54,28,15,23,0]</t>
  </si>
  <si>
    <t>are suppressors legal in texas</t>
  </si>
  <si>
    <t>[45,67,76,76,55,45,36,55,67,67,55,45]</t>
  </si>
  <si>
    <t>naturalization time</t>
  </si>
  <si>
    <t>[9,9,9,52,9,52,9,9,9,9,9,9]</t>
  </si>
  <si>
    <t>houston severe head injury lawsuits</t>
  </si>
  <si>
    <t>[14,28,28,28,35,35,100,78,50]</t>
  </si>
  <si>
    <t>Sitelinks, Video, Ads bottom, People also ask, AI overview</t>
  </si>
  <si>
    <t>visa eb3 professionals consulta abogados expertos</t>
  </si>
  <si>
    <t>[60,100,100,80]</t>
  </si>
  <si>
    <t>Sitelinks, Video, Related searches</t>
  </si>
  <si>
    <t>paternity lawyer sugar land</t>
  </si>
  <si>
    <t>[0,22,22,33,22,33,77,100,100,77]</t>
  </si>
  <si>
    <t>us citizenship application timeline</t>
  </si>
  <si>
    <t>[66,53,82,100,82,82,53,53,53,28,28,43]</t>
  </si>
  <si>
    <t>alimony laws in texas</t>
  </si>
  <si>
    <t>[21,26,21,11,14,17,14,5,17,17,32,17]</t>
  </si>
  <si>
    <t>do you have to pay alimony in texas</t>
  </si>
  <si>
    <t>[81,81,81,63,63,81,100,63,100,81,63,63]</t>
  </si>
  <si>
    <t>texas alimony requirements</t>
  </si>
  <si>
    <t>[45,45,45,45,36,27,45,18,27,36,27,27]</t>
  </si>
  <si>
    <t>how long is naturalization process</t>
  </si>
  <si>
    <t>[15,11,100,19,19,19,15,100,15,53,34,26]</t>
  </si>
  <si>
    <t>[3,11,19,19,26,34,34,34,100,100,65,53]</t>
  </si>
  <si>
    <t>Local pack, Video, Ads bottom, Related searches, Discussions and forums, AI overview</t>
  </si>
  <si>
    <t>naturalization ceremony locations and schedule houston</t>
  </si>
  <si>
    <t>[41,23,41,41,100,64,41,41,41,41,41,41]</t>
  </si>
  <si>
    <t>Sitelinks, Video, Image, Related searches, AI overview</t>
  </si>
  <si>
    <t>texas spousal maintenance laws</t>
  </si>
  <si>
    <t>[29,100,19,81,81,29,29,29,12,67,100,81]</t>
  </si>
  <si>
    <t>us citizen application timeline</t>
  </si>
  <si>
    <t>[34,28,53,81,34,81,65,43,43,43,34,28]</t>
  </si>
  <si>
    <t>how long naturalization process take</t>
  </si>
  <si>
    <t>[33,23,33,42,33,42,66,100,33,33,33,33]</t>
  </si>
  <si>
    <t>mineral rights lawyer texas</t>
  </si>
  <si>
    <t>[100,18,18,100,18,100,63,100,45,100,63,100]</t>
  </si>
  <si>
    <t>Knowledge panel, Video, People also ask, Related searches, AI overview</t>
  </si>
  <si>
    <t>abogado de familia houston tx</t>
  </si>
  <si>
    <t>[64,21,14,14,50,50,21,21,14,35,35,50]</t>
  </si>
  <si>
    <t>criminal defense league city</t>
  </si>
  <si>
    <t>[7,65,34,11,53,11,65,19,19,26,26,100]</t>
  </si>
  <si>
    <t>sexual assault attorney houston</t>
  </si>
  <si>
    <t>[17,17,17,12,35,35,43,53,53,100,82,66]</t>
  </si>
  <si>
    <t>Ads bottom, People also ask</t>
  </si>
  <si>
    <t>timeline citizenship application</t>
  </si>
  <si>
    <t>[64,64,78,100,78,28,64,100,100,64,64,78]</t>
  </si>
  <si>
    <t>cps lawyers houston tx</t>
  </si>
  <si>
    <t>[100,33,42,52,23,23,33,42,33,42,42,52]</t>
  </si>
  <si>
    <t>us citizenship timeline</t>
  </si>
  <si>
    <t>[15,35,44,23,81,44,54,44,35,23,28,28]</t>
  </si>
  <si>
    <t>Image pack, Sitelinks, Video, Featured snippet, Image, Video Carousel, People also ask, FAQ, Related searches</t>
  </si>
  <si>
    <t>divorce in texas alimony</t>
  </si>
  <si>
    <t>[45,45,81,81,100,63,63,45,81,36,45,27]</t>
  </si>
  <si>
    <t>Sitelinks, Video, People also ask, Related searches, Short videos, Things to know, Discussions and forums, AI overview</t>
  </si>
  <si>
    <t>can i get alimony in texas</t>
  </si>
  <si>
    <t>[23,35,35,35,54,66,66,44,81,44,44,54]</t>
  </si>
  <si>
    <t>Sitelinks, Video, People also ask, Related searches, Short videos, Discussions and forums, AI overview</t>
  </si>
  <si>
    <t>are homemade suppressors legal in texas</t>
  </si>
  <si>
    <t>[34,42,53,42,26,26,26,26,19,19,19,26]</t>
  </si>
  <si>
    <t>human trafficking attorney in houston</t>
  </si>
  <si>
    <t>[0,5,23,17,17,17,29,23,100,100,52,64]</t>
  </si>
  <si>
    <t>best divorce lawyer sugar land</t>
  </si>
  <si>
    <t>[22,0,44,77,55,55,55,55,77,100,77,55]</t>
  </si>
  <si>
    <t>Local pack, Video, People also ask, Related searches, Discussions and forums</t>
  </si>
  <si>
    <t>texas supressor law</t>
  </si>
  <si>
    <t>[5,1,1,1,2,1,1,1,3,3,2,3]</t>
  </si>
  <si>
    <t>woodley and dudley</t>
  </si>
  <si>
    <t>[7,7,42,7,7,7,7,7,7,7,42,7]</t>
  </si>
  <si>
    <t>texas penal code 43.23</t>
  </si>
  <si>
    <t>[3,12,12,2,12,15,29,12,10,5,12,5]</t>
  </si>
  <si>
    <t>Sitelinks, AI overview</t>
  </si>
  <si>
    <t>pearland dwi lawyer</t>
  </si>
  <si>
    <t>[18,18,18,27,27,100,36,36,100,27,100,45]</t>
  </si>
  <si>
    <t>Knowledge panel, Sitelinks, Video, Image, Ads bottom, People also ask</t>
  </si>
  <si>
    <t>naturalization timeline uscis</t>
  </si>
  <si>
    <t>[35,50,50,64,64,28,64,64,50,50,35,50]</t>
  </si>
  <si>
    <t>abogado familiar en houston tx</t>
  </si>
  <si>
    <t>[45,45,36,36,27,36,36,36,27,81,63,81]</t>
  </si>
  <si>
    <t>alimony texas</t>
  </si>
  <si>
    <t>[20,100,20,16,16,20,76,20,20,24,20,24]</t>
  </si>
  <si>
    <t>texas parental rights lawyer</t>
  </si>
  <si>
    <t>[11,11,11,23,41,41,29,52,64,64,64,52]</t>
  </si>
  <si>
    <t>Sitelinks, Related searches, AI overview</t>
  </si>
  <si>
    <t>define obscenity law</t>
  </si>
  <si>
    <t>[34,28,53,65,21,34,34,100,53,43,21,81]</t>
  </si>
  <si>
    <t>Sitelinks, Video, People also ask, Related searches, See results about, AI overview</t>
  </si>
  <si>
    <t>n400 timeline</t>
  </si>
  <si>
    <t>[88,88,72,88,88,100,72,59,59,59,72,59]</t>
  </si>
  <si>
    <t>can police sit on private property</t>
  </si>
  <si>
    <t>[15,15,12,6,6,34,34,34,6,6,34,34]</t>
  </si>
  <si>
    <t>texas spousal support laws</t>
  </si>
  <si>
    <t>[19,15,54,29,12,12,12,9,66,15,15,19]</t>
  </si>
  <si>
    <t>Sitelinks, Video, Video Carousel, People also ask, Related searches, Things to know, AI overview</t>
  </si>
  <si>
    <t>am i good to drive</t>
  </si>
  <si>
    <t>[14,19,23,9,19,19,14,14,66,100,42,23]</t>
  </si>
  <si>
    <t>Sitelinks, Video, People also ask, Related searches, Discussions and forums</t>
  </si>
  <si>
    <t>expungement vs sealing</t>
  </si>
  <si>
    <t>[53,34,100,34,53,65,34,43,43,53,53,53]</t>
  </si>
  <si>
    <t>Sitelinks, Video, Image, Related searches, Short videos, AI overview</t>
  </si>
  <si>
    <t>divorce lawyers in harris county texas</t>
  </si>
  <si>
    <t>[64,11,64,64,52,52,82,100,82,41,52,64]</t>
  </si>
  <si>
    <t>Local pack, Sitelinks, Video, People also ask, Related searches, Discussions and forums</t>
  </si>
  <si>
    <t>barrera sanchez &amp; associates pc</t>
  </si>
  <si>
    <t>[45,45,45,63,63,63,63,63,100,63,63,63]</t>
  </si>
  <si>
    <t>Knowledge panel, Sitelinks, Video</t>
  </si>
  <si>
    <t>houston aggravated sexual assault of a child attorney</t>
  </si>
  <si>
    <t>[2,0,2,2,5,10,12,7,100,17,12,17]</t>
  </si>
  <si>
    <t>texas retirement division lawyers</t>
  </si>
  <si>
    <t>[14,0,14,100,35,50,35,50,35,50,50,35]</t>
  </si>
  <si>
    <t>texas divorce laws property</t>
  </si>
  <si>
    <t>[100,100,100,100,63,27,45,63,45,45,18,18]</t>
  </si>
  <si>
    <t>solicitation lawyer houston</t>
  </si>
  <si>
    <t>[42,42,42,28,100,100,100,100,100,100,100,57]</t>
  </si>
  <si>
    <t>covenant marriage in texas</t>
  </si>
  <si>
    <t>[4,100,22,22,18,29,14,10,4,8,6,6]</t>
  </si>
  <si>
    <t>what is spousal support in texas</t>
  </si>
  <si>
    <t>[64,29,64,64,82,100,82,100,82,64,52,82]</t>
  </si>
  <si>
    <t>how to fight a protective order</t>
  </si>
  <si>
    <t>[14,19,23,23,19,14,4,4,4,9,19,14]</t>
  </si>
  <si>
    <t>Image pack, Video, Video Carousel, People also ask, Related searches, Discussions and forums, AI overview</t>
  </si>
  <si>
    <t>galveston divorce attorney</t>
  </si>
  <si>
    <t>[65,80,42,53,100,80,53,53,42,80,53,100]</t>
  </si>
  <si>
    <t>Local pack, Sitelinks, Image, People also ask, Related searches, Discussions and forums</t>
  </si>
  <si>
    <t>scott and associates website</t>
  </si>
  <si>
    <t>[65,42,53,53,42,53,65,65,65,53,19,65]</t>
  </si>
  <si>
    <t>Sitelinks, Video, People also ask, Related searches</t>
  </si>
  <si>
    <t>naturalization processing time</t>
  </si>
  <si>
    <t>[23,19,44,54,6,36,44,36,19,29,29,15]</t>
  </si>
  <si>
    <t>Sitelinks, Video, Image, Video Carousel, FAQ, Related searches, AI overview</t>
  </si>
  <si>
    <t>how long does it take for naturalization process</t>
  </si>
  <si>
    <t>[23,29,29,29,19,100,6,5,44,81,19,19]</t>
  </si>
  <si>
    <t>child support for grandparents raising grandchildren</t>
  </si>
  <si>
    <t>[52,52,19,0,52,66,52,42,42,33,80,100]</t>
  </si>
  <si>
    <t>spouse support in texas</t>
  </si>
  <si>
    <t>[15,19,19,19,15,19,11,26,11,26,53,26]</t>
  </si>
  <si>
    <t>experienced slip and fall attorney for sidewalk accident claims texas</t>
  </si>
  <si>
    <t>[81,100,81]</t>
  </si>
  <si>
    <t>best slip and fall lawyer for commercial property accidents texas</t>
  </si>
  <si>
    <t>[100,100,100]</t>
  </si>
  <si>
    <t>Local pack, Sitelinks, Ads bottom, People also ask, Related searches, AI overview</t>
  </si>
  <si>
    <t>suppressor laws in texas</t>
  </si>
  <si>
    <t>[24,36,36,24,30,24,30,30,20,30,30,20]</t>
  </si>
  <si>
    <t>texas slip and fall laws</t>
  </si>
  <si>
    <t>[15,15,12,34,34,28,43,21,34,43,100,28]</t>
  </si>
  <si>
    <t>houston cps lawyer</t>
  </si>
  <si>
    <t>[9,4,9,9,9,9,9,14,42,42,33,100]</t>
  </si>
  <si>
    <t>Local pack, Sitelinks, Video, Related searches, AI overview</t>
  </si>
  <si>
    <t>texas alimony</t>
  </si>
  <si>
    <t>[16,16,16,13,16,13,10,10,13,13,13,10]</t>
  </si>
  <si>
    <t>family law attorneys the woodlands</t>
  </si>
  <si>
    <t>[14,0,28,50,50,35,50,50,78,100,100,100]</t>
  </si>
  <si>
    <t>attorneys in texas city tx</t>
  </si>
  <si>
    <t>[29,29,52,64,100,52,64,41,23,52,52,52]</t>
  </si>
  <si>
    <t>Local pack, Image, People also ask, Related searches</t>
  </si>
  <si>
    <t>shaun rabb wife</t>
  </si>
  <si>
    <t>[53,53,42,42,34,34,26,42,53,53,34,53]</t>
  </si>
  <si>
    <t>what are obscenities</t>
  </si>
  <si>
    <t>[81,15,54,54,15,44,54,100,10,81,10,29]</t>
  </si>
  <si>
    <t>Instant answer, Video, Related searches, Short videos, AI overview</t>
  </si>
  <si>
    <t>spousal support in texas</t>
  </si>
  <si>
    <t>[52,52,46,52,52,52,52,52,52,68,68,52]</t>
  </si>
  <si>
    <t>citizenship application time frame</t>
  </si>
  <si>
    <t>[18,18,18,100,100,100,18,18,18,18,18,27]</t>
  </si>
  <si>
    <t>abogados familiares en houston texas</t>
  </si>
  <si>
    <t>[18,18,18,27,18,45,27,27,18,27,18,36]</t>
  </si>
  <si>
    <t>texas military custody lawyer</t>
  </si>
  <si>
    <t>[14,14,14,28,64,64,50,50,50,78,100,100]</t>
  </si>
  <si>
    <t>pearland truck accident lawyer</t>
  </si>
  <si>
    <t>[2,2,2,2,5,28,23,35,53,82,82,100]</t>
  </si>
  <si>
    <t>Local pack, Image, Ads top, Ads bottom</t>
  </si>
  <si>
    <t>erinn brown attorney pearland tx</t>
  </si>
  <si>
    <t>[45,63,36,63,36,45,63,45,18,18,100,18]</t>
  </si>
  <si>
    <t>Knowledge panel, Image pack, Video</t>
  </si>
  <si>
    <t>how long does the naturalization process take in the us</t>
  </si>
  <si>
    <t>[14,14,14,78,14,14,78,14,14,14,14,14]</t>
  </si>
  <si>
    <t>how long does naturalization process take</t>
  </si>
  <si>
    <t>[34,0,0,0,0,15,100,34,34,3,3,26]</t>
  </si>
  <si>
    <t>Sitelinks, Video, FAQ, Related searches, Short videos, Discussions and forums, AI overview</t>
  </si>
  <si>
    <t>abogados de familia houston tx</t>
  </si>
  <si>
    <t>[100,18,18,27,100,100,36,27,36,100,100,81]</t>
  </si>
  <si>
    <t>galveston family attorney</t>
  </si>
  <si>
    <t>[36,18,36,9,63,27,36,45,36,9,9,0]</t>
  </si>
  <si>
    <t>best family law attorney houston</t>
  </si>
  <si>
    <t>[63,63,63,100,81,81,81,100,81,100,100,100]</t>
  </si>
  <si>
    <t>Local pack, Sitelinks, Video, Ads bottom, People also ask, Related searches, Discussions and forums</t>
  </si>
  <si>
    <t>what is the maximum child support in texas</t>
  </si>
  <si>
    <t>[100,77,100,55,77,22,100,77,55,77,100,100]</t>
  </si>
  <si>
    <t>family law sugar land tx</t>
  </si>
  <si>
    <t>[18,18,27,27,36,45,63,100,100,81,45,45]</t>
  </si>
  <si>
    <t>what is aggravated burglary</t>
  </si>
  <si>
    <t>[65,53,81,65,81,81,81,65,81,100,65,65]</t>
  </si>
  <si>
    <t>divorce lawyers in tx</t>
  </si>
  <si>
    <t>[12,19,29,81,100,81,81,81,81,54,54,36]</t>
  </si>
  <si>
    <t>alimony texas law</t>
  </si>
  <si>
    <t>[18,35,23,3,6,0,1,0,3,5,1,100]</t>
  </si>
  <si>
    <t>sexual assault lawyers houston</t>
  </si>
  <si>
    <t>[9,9,27,27,36,63,27,36,81,100,63,45]</t>
  </si>
  <si>
    <t>Knowledge panel, People also ask</t>
  </si>
  <si>
    <t>timeline for citizenship</t>
  </si>
  <si>
    <t>[41,52,52,64,41,41,52,82,41,41,64,64]</t>
  </si>
  <si>
    <t>how to accept divorce</t>
  </si>
  <si>
    <t>[50,64,50,50,64,50,35,35,35,28,35,28]</t>
  </si>
  <si>
    <t>Sitelinks, Video, Ads bottom, Related searches, Discussions and forums, Ads middle, AI overview</t>
  </si>
  <si>
    <t>leaving the scene of an accident texas penal code</t>
  </si>
  <si>
    <t>[19,19,15,15,19,19,7,15,19,19,26,34]</t>
  </si>
  <si>
    <t>pearland dwi attorney</t>
  </si>
  <si>
    <t>[27,27,27,100,100,100,18,18,63,45,100,36]</t>
  </si>
  <si>
    <t>how long after naturalization interview is the oath ceremony</t>
  </si>
  <si>
    <t>[2,2,6,2,15,5,2,2,2,2,15,2]</t>
  </si>
  <si>
    <t>galveston truck accident lawyer</t>
  </si>
  <si>
    <t>[0,0,3,12,12,43,21,21,34,100,100,81]</t>
  </si>
  <si>
    <t>division of marital property in houston tx</t>
  </si>
  <si>
    <t>[11,44,100,77,55,11]</t>
  </si>
  <si>
    <t>Video, Ads bottom, People also ask, Related searches, AI overview</t>
  </si>
  <si>
    <t>mineral right attorney texas</t>
  </si>
  <si>
    <t>[100,100,71]</t>
  </si>
  <si>
    <t>Local pack, Sitelinks, Video, Ads bottom, Related searches, Discussions and forums, AI overview</t>
  </si>
  <si>
    <t>how long for n400 process</t>
  </si>
  <si>
    <t>[23,23,23,33,33,42,33,33,33,33,23,23]</t>
  </si>
  <si>
    <t>Sitelinks, Video, Featured snippet, People also ask, Related searches</t>
  </si>
  <si>
    <t>stuart brown mediator</t>
  </si>
  <si>
    <t>[26,26,19,26,19,26,26,26,26,26,7,7]</t>
  </si>
  <si>
    <t>Image pack, Sitelinks, Video, People also ask</t>
  </si>
  <si>
    <t>can i sue someone for giving me an std</t>
  </si>
  <si>
    <t>[80,66,66,66,66,66,66,66,66,80,80,66]</t>
  </si>
  <si>
    <t>Video, Ads bottom, Related searches, Ads middle, AI overview</t>
  </si>
  <si>
    <t>sexual assault lawyer houston</t>
  </si>
  <si>
    <t>[43,28,21,28,43,53,65,43,53,100,100,81]</t>
  </si>
  <si>
    <t>Knowledge panel</t>
  </si>
  <si>
    <t>sugar land divorce lawyer</t>
  </si>
  <si>
    <t>[5,3,1,11,18,23,28,35,35,100,100,66]</t>
  </si>
  <si>
    <t>Local pack, Video, Image, People also ask, Related searches, Discussions and forums</t>
  </si>
  <si>
    <t>how long does spousal support last in texas</t>
  </si>
  <si>
    <t>[64,29,41,41,82,41,29,29,52,82,52,41]</t>
  </si>
  <si>
    <t>how long take naturalization process</t>
  </si>
  <si>
    <t>how long does naturalization ceremony take</t>
  </si>
  <si>
    <t>[17,11,26,17,48,100,72,88,21,26,14,26]</t>
  </si>
  <si>
    <t>Sitelinks, Video, Image, People also ask, Related searches, Discussions and forums, AI overview</t>
  </si>
  <si>
    <t>timeline for citizenship application</t>
  </si>
  <si>
    <t>[64,50,64,64,35,50,100,78,50,50,78,64]</t>
  </si>
  <si>
    <t>alimony in texas</t>
  </si>
  <si>
    <t>[80,80,66,80,80,80,66,80,80,66,66,66]</t>
  </si>
  <si>
    <t>Sitelinks, Video, Featured snippet, People also ask, Related searches, Things to know</t>
  </si>
  <si>
    <t>brazoria county dwi attorney</t>
  </si>
  <si>
    <t>[18,18,18,18,18,18,18,18,45,45,18,18]</t>
  </si>
  <si>
    <t>record sealing in texas</t>
  </si>
  <si>
    <t>[18,18,18,63,36,18,18,18,27,18,18,18]</t>
  </si>
  <si>
    <t>how long are naturalization ceremonies</t>
  </si>
  <si>
    <t>[100,45,45,45,27,63,100,81,63,81,81,18]</t>
  </si>
  <si>
    <t>texas military custody attorneys</t>
  </si>
  <si>
    <t>[22,22,11,55,77,55,77,55,77,77,100,77]</t>
  </si>
  <si>
    <t>whats the max child support in texas</t>
  </si>
  <si>
    <t>[55,55,100,100,77,77,77,55,100,100,77,77]</t>
  </si>
  <si>
    <t>harris county divorce attorneys</t>
  </si>
  <si>
    <t>[42,7,42,42,42,42,53,53,100,42,34,42]</t>
  </si>
  <si>
    <t>Local pack, Sitelinks, Video, Discussions and forums</t>
  </si>
  <si>
    <t>silencer in texas</t>
  </si>
  <si>
    <t>[19,23,29,0,2,0,0,1,1,1,0,15]</t>
  </si>
  <si>
    <t>fort bend family law attorneys</t>
  </si>
  <si>
    <t>[35,35,35,35,50,50,50,64,50,100,100,50]</t>
  </si>
  <si>
    <t>how do i enforce a divorce decree</t>
  </si>
  <si>
    <t>[100,81,45,45,45,63,63,45,45,45,45,45]</t>
  </si>
  <si>
    <t>citizenship process timeline</t>
  </si>
  <si>
    <t>[52,29,52,64,64,100,41,41,64,41,64,64]</t>
  </si>
  <si>
    <t>galveston drunk driving attorney</t>
  </si>
  <si>
    <t>[18,18,18,18,100,27,63,18,18,18,18,18]</t>
  </si>
  <si>
    <t>how to file a motion to enforce divorce decree</t>
  </si>
  <si>
    <t>[60,40,40,40,40,80,40,40,40,80,80,40]</t>
  </si>
  <si>
    <t>league city city attorney</t>
  </si>
  <si>
    <t>[0,0,0,0,0,10,10,10,10,0,8,100]</t>
  </si>
  <si>
    <t>navigational, transactional</t>
  </si>
  <si>
    <t>child discipline laws in texas</t>
  </si>
  <si>
    <t>[63,63,81,18,100,100,27,81,100,100,45,9]</t>
  </si>
  <si>
    <t>enforcing divorce decree</t>
  </si>
  <si>
    <t>[100,81,63,45,63,63,63,100,100,63,45,63]</t>
  </si>
  <si>
    <t>Video, Video Carousel, People also ask, Related searches, Discussions and forums, AI overview</t>
  </si>
  <si>
    <t>pearland criminal defense attorney</t>
  </si>
  <si>
    <t>[45,100,100,63,81,81,63,45,81,81,81,81]</t>
  </si>
  <si>
    <t>slip and fall lawyers near me texas</t>
  </si>
  <si>
    <t>[57,100,100]</t>
  </si>
  <si>
    <t>Local pack, Ads bottom, People also ask, Related searches</t>
  </si>
  <si>
    <t>transactional</t>
  </si>
  <si>
    <t>who pays child support if grandparents have custody</t>
  </si>
  <si>
    <t>[28,81,66,66,66,66,66,54,81,81,66,66]</t>
  </si>
  <si>
    <t>texas retirement division attorneys</t>
  </si>
  <si>
    <t>[0,28,14,71,100,71,100,100,100,100,71,100]</t>
  </si>
  <si>
    <t>Knowledge panel, Video, Ads bottom, AI overview</t>
  </si>
  <si>
    <t>texas military custody issues attorney</t>
  </si>
  <si>
    <t>[0,0,44,55,77,55,100,77,77,77,100,77]</t>
  </si>
  <si>
    <t>Local pack, Video, AI overview</t>
  </si>
  <si>
    <t>kathy lowthorp attorney</t>
  </si>
  <si>
    <t>[23,12,23,28,28,35,28,28,35,28,28,35]</t>
  </si>
  <si>
    <t>citizenship application timeline</t>
  </si>
  <si>
    <t>[80,53,100,80,80,80,42,65,53,42,53,53]</t>
  </si>
  <si>
    <t>Sitelinks, Video, Video Carousel, FAQ, Related searches, Short videos, AI overview</t>
  </si>
  <si>
    <t>trey brown attorney</t>
  </si>
  <si>
    <t>[18,18,100,18,18,18,18,18,18,18,18,18]</t>
  </si>
  <si>
    <t>family law attorneys in galveston</t>
  </si>
  <si>
    <t>[33,52,42,52,19,42,42,80,0,0,0,0]</t>
  </si>
  <si>
    <t>what is considered child abuse in texas</t>
  </si>
  <si>
    <t>[77,77,100,77,100,77,55,33,11,11,11,55]</t>
  </si>
  <si>
    <t>Related searches, AI overview</t>
  </si>
  <si>
    <t>covenant marriage texas</t>
  </si>
  <si>
    <t>[0,100,5,10,10,7,2,2,0,1,1,1]</t>
  </si>
  <si>
    <t>n 400 how long does it take</t>
  </si>
  <si>
    <t>[64,50,50,78,50,50,35,78,64,64,64,78]</t>
  </si>
  <si>
    <t>texas military custody lawyers</t>
  </si>
  <si>
    <t>[14,14,14,28,50,64,50,64,50,78,100,100]</t>
  </si>
  <si>
    <t>Local pack, Video, Related searches, AI overview</t>
  </si>
  <si>
    <t>divorce attorneys houston texas</t>
  </si>
  <si>
    <t>[54,29,35,8,10,10,6,8,6,10,14,10]</t>
  </si>
  <si>
    <t>spousal support texas</t>
  </si>
  <si>
    <t>[24,82,24,24,24,24,30,30,30,65,65,44]</t>
  </si>
  <si>
    <t>texas child custody lawyers</t>
  </si>
  <si>
    <t>[9,9,4,42,52,52,52,66,52,100,100,66]</t>
  </si>
  <si>
    <t>turner monahan</t>
  </si>
  <si>
    <t>[34,43,34,43,34,15,43,34,53,43,100,43]</t>
  </si>
  <si>
    <t>how long is naturalization ceremony</t>
  </si>
  <si>
    <t>[11,11,11,11,64,64,64,11,100,11,11,11]</t>
  </si>
  <si>
    <t>how long does n400 process take</t>
  </si>
  <si>
    <t>[18,18,63,100,100,100,100,18,100,100,18,63]</t>
  </si>
  <si>
    <t>how long does it take for n400 to be approved</t>
  </si>
  <si>
    <t>[18,18,27,100,100,100,100,18,18,18,18,18]</t>
  </si>
  <si>
    <t>how to get spousal support in texas</t>
  </si>
  <si>
    <t>[82,82,64,100,82,64,64,64,82,82,82,82]</t>
  </si>
  <si>
    <t>lawyers in brazoria county</t>
  </si>
  <si>
    <t>[55,44,44,33,55,77,55,44,44,77,77,100]</t>
  </si>
  <si>
    <t>brazoria county attorney</t>
  </si>
  <si>
    <t>[100,52,33,33,33,33,33,23,23,33,14,4]</t>
  </si>
  <si>
    <t>criminal defense attorney league city</t>
  </si>
  <si>
    <t>[42,23,33,52,23,52,100,23,23,33,33,33]</t>
  </si>
  <si>
    <t>can cops come on private property</t>
  </si>
  <si>
    <t>[41,41,41,64,11,64,41,11,41,64,17,11]</t>
  </si>
  <si>
    <t>top divorce lawyers in texas</t>
  </si>
  <si>
    <t>[64,41,52,52,64,64,64,52,82,52,41,41]</t>
  </si>
  <si>
    <t>net worth of scott brown</t>
  </si>
  <si>
    <t>[15,28,21,53,28,65,15,28,28,100,43,43]</t>
  </si>
  <si>
    <t>Video, Image, Related searches, AI overview</t>
  </si>
  <si>
    <t>aggravated sexual assault defense lawyer houston tx</t>
  </si>
  <si>
    <t>[4,0,4,9,14,33,23,23,23,33,100,100]</t>
  </si>
  <si>
    <t>Sitelinks, Related searches, See results about, AI overview</t>
  </si>
  <si>
    <t>false accusation lawyer</t>
  </si>
  <si>
    <t>[24,13,8,24,100,5,3,3,3,5,20,10]</t>
  </si>
  <si>
    <t>family lawyer in texas</t>
  </si>
  <si>
    <t>[1,0,1,1,1,100,8,35,81,28,3,11]</t>
  </si>
  <si>
    <t>motorcycle accident galveston tx</t>
  </si>
  <si>
    <t>[64,21,28,14,28,21,14,14,50,21,14,35]</t>
  </si>
  <si>
    <t>scott douglass mcconnico</t>
  </si>
  <si>
    <t>[66,54,81,54,100,66,100,66,81,81,81,100]</t>
  </si>
  <si>
    <t>Knowledge panel, Sitelinks, Image, Related searches</t>
  </si>
  <si>
    <t>harris county texas attorneys</t>
  </si>
  <si>
    <t>[18,36,27,0,0,0,0,100,63,81,63,45]</t>
  </si>
  <si>
    <t>how long n400 is processed</t>
  </si>
  <si>
    <t>[45,45,45,45,27,63,63,63,36,45,45,45]</t>
  </si>
  <si>
    <t>Sitelinks, Video, Video Carousel, Related searches, Short videos, AI overview</t>
  </si>
  <si>
    <t>texas retirement division attorney</t>
  </si>
  <si>
    <t>[0,0,44,55,77,55,100,77,77,77,77,77]</t>
  </si>
  <si>
    <t>Local pack, Video, Ads bottom</t>
  </si>
  <si>
    <t>how to get alimony in texas</t>
  </si>
  <si>
    <t>[23,15,18,18,18,23,18,18,18,18,18,18]</t>
  </si>
  <si>
    <t>fort bend county divorce lawyers</t>
  </si>
  <si>
    <t>[33,42,66,66,42,42,33,33,33,33,33,19]</t>
  </si>
  <si>
    <t>friendswood dog bite lawyer</t>
  </si>
  <si>
    <t>[14,100,57,71,100]</t>
  </si>
  <si>
    <t>max child support in texas for 1 child</t>
  </si>
  <si>
    <t>[78,64,100,78,35,35,0,0,14,28,50,64]</t>
  </si>
  <si>
    <t>maximum child support in texas</t>
  </si>
  <si>
    <t>[21,26,32,32,32,32,26,26,32,26,32,21]</t>
  </si>
  <si>
    <t>Video, Related searches, Short videos, AI overview</t>
  </si>
  <si>
    <t>american citizenship timeline</t>
  </si>
  <si>
    <t>[42,33,66,52,42,33,52,80,100,100,42,42]</t>
  </si>
  <si>
    <t>dwi attorney pearland</t>
  </si>
  <si>
    <t>[18,18,18,18,100,100,100,18,18,27,27,100]</t>
  </si>
  <si>
    <t>dwi lawyer pearland</t>
  </si>
  <si>
    <t>[18,18,18,18,100,100,100,18,18,27,36,100]</t>
  </si>
  <si>
    <t>Local pack, Sitelinks, Video</t>
  </si>
  <si>
    <t>prohibited sexual conduct texas penal code</t>
  </si>
  <si>
    <t>[9,9,6,9,6,34,15,34,6,6,6,6]</t>
  </si>
  <si>
    <t>Video, People also ask, Related searches</t>
  </si>
  <si>
    <t>max child support in texas</t>
  </si>
  <si>
    <t>[66,54,54,66,81,81,81,66,54,66,66,81]</t>
  </si>
  <si>
    <t>maximum child support texas</t>
  </si>
  <si>
    <t>[71,42,57,28,57,71,14,71,71,28,57,57]</t>
  </si>
  <si>
    <t>how to get custody of grandchild in texas</t>
  </si>
  <si>
    <t>[18,18,63,18,27,36,45,45,81,45,63,63]</t>
  </si>
  <si>
    <t>define aggravated burglary</t>
  </si>
  <si>
    <t>[33,23,33,19,33,14,33,33,33,33,33,42]</t>
  </si>
  <si>
    <t>abogado de familia en houston texas</t>
  </si>
  <si>
    <t>[27,36,45,45,27,36,63,100,81,81,100,100]</t>
  </si>
  <si>
    <t>how long does it take for naturalization in the us</t>
  </si>
  <si>
    <t>[100,18,100,100,100,100,18,18,18,18,18,18]</t>
  </si>
  <si>
    <t>helen delgadillo</t>
  </si>
  <si>
    <t>[18,18,100,100,100,45,63,18,18,63,18,100]</t>
  </si>
  <si>
    <t>houston online solicitation of a minor lawyer</t>
  </si>
  <si>
    <t>[0,0,7,21,21,21,21,35,100,100,64,28]</t>
  </si>
  <si>
    <t>Sitelinks</t>
  </si>
  <si>
    <t>galveston county divorce filing fees</t>
  </si>
  <si>
    <t>[64,11,64,11,11,11,11,11,11,11,11,11]</t>
  </si>
  <si>
    <t>divorce attorney in sugar land</t>
  </si>
  <si>
    <t>[18,18,9,18,36,18,36,36,63,63,45,100]</t>
  </si>
  <si>
    <t>how long does n400 take to process</t>
  </si>
  <si>
    <t>[64,64,100,78,100,64,64,64,50,64,78,78]</t>
  </si>
  <si>
    <t>can a police officer come on private property</t>
  </si>
  <si>
    <t>[18,18,100,18,100,18,18,18,100,18,18,100]</t>
  </si>
  <si>
    <t>is bode a dad</t>
  </si>
  <si>
    <t>[100,100,100,100,18,18,18,18,18,18,18,18]</t>
  </si>
  <si>
    <t>scott douglass &amp; mcconnico</t>
  </si>
  <si>
    <t>[66,66,100,54,100,15,81,29,15,9,19,54]</t>
  </si>
  <si>
    <t>motion for bond reduction</t>
  </si>
  <si>
    <t>[64,52,64,64,82,64,64,52,64,64,64,64]</t>
  </si>
  <si>
    <t>Image pack, Video, Video Carousel, People also ask, Related searches, AI overview</t>
  </si>
  <si>
    <t>erin brown attorney pearland tx</t>
  </si>
  <si>
    <t>[45,36,45,36,27,63,45,18,18,100,18,18]</t>
  </si>
  <si>
    <t>Knowledge panel, Image pack, Sitelinks, Image, Related searches</t>
  </si>
  <si>
    <t>pearland criminal lawyer</t>
  </si>
  <si>
    <t>[15,15,15,42,15,15,11,15,19,26,80,34]</t>
  </si>
  <si>
    <t>grand central high net worth divorce lawyer</t>
  </si>
  <si>
    <t>[55,55,77,100]</t>
  </si>
  <si>
    <t>solicitation attorney houston</t>
  </si>
  <si>
    <t>[27,27,18,81,63,63,63,100,63,63,45,63]</t>
  </si>
  <si>
    <t>aggravated domestic assault attorney houston</t>
  </si>
  <si>
    <t>[9,0,9,14,33,23,23,33,33,100,100,66]</t>
  </si>
  <si>
    <t>can police go on private property</t>
  </si>
  <si>
    <t>[71,42,71,71,57,71,42,57,28,71,28,28]</t>
  </si>
  <si>
    <t>how long does the naturalisation process take</t>
  </si>
  <si>
    <t>[43,43,43,29,54,43,100,66,100,29,29,4]</t>
  </si>
  <si>
    <t>citizenship application timing</t>
  </si>
  <si>
    <t>[45,67,45,76,76,100,76,67,67,67,55,0]</t>
  </si>
  <si>
    <t>uscis n-400 processing times</t>
  </si>
  <si>
    <t>[10,23,66,23,35,0,0,0,0,0,0,0]</t>
  </si>
  <si>
    <t>family law harris county</t>
  </si>
  <si>
    <t>[23,23,23,33,23,33,42,52,42,100,80,52]</t>
  </si>
  <si>
    <t>what is max child support in texas</t>
  </si>
  <si>
    <t>[100,71,100,14,71,100,71,28,71,71,100,100]</t>
  </si>
  <si>
    <t>lorenzo brown &amp; associates</t>
  </si>
  <si>
    <t>[64,50,64,64,64,28,64,100,50,50,50,64]</t>
  </si>
  <si>
    <t>Image pack, Video</t>
  </si>
  <si>
    <t>how long does a naturalization interview take</t>
  </si>
  <si>
    <t>[18,100,100,63,63,45,45,81,45,81,63,81]</t>
  </si>
  <si>
    <t>len conner &amp; associates</t>
  </si>
  <si>
    <t>[18,18,18,18,18,100,18,18,18,18,18,18]</t>
  </si>
  <si>
    <t>Knowledge panel, Sitelinks, People also ask</t>
  </si>
  <si>
    <t>harris county family law attorneys</t>
  </si>
  <si>
    <t>[29,29,41,41,41,52,52,41,82,100,52,82]</t>
  </si>
  <si>
    <t>child custody lawyers in texas</t>
  </si>
  <si>
    <t>[14,14,28,14,28,35,21,14,64,64,50,21]</t>
  </si>
  <si>
    <t>Local pack, People also ask, Related searches, Discussions and forums</t>
  </si>
  <si>
    <t>texas city lawyers</t>
  </si>
  <si>
    <t>[45,45,81,100,63,81,81,63,100,18,18,0]</t>
  </si>
  <si>
    <t>donato brown pool &amp; moehlmann</t>
  </si>
  <si>
    <t>[82,41,82,82,64,64,52,64,82,82,64,82]</t>
  </si>
  <si>
    <t>texas divorce maintenance</t>
  </si>
  <si>
    <t>[52,82,52,64,41,52,82,82,52,52,52,64]</t>
  </si>
  <si>
    <t>Video, Video Carousel, Related searches, Discussions and forums, AI overview</t>
  </si>
  <si>
    <t>texas second chance law</t>
  </si>
  <si>
    <t>[44,0,44,44,44,22,0,11,44,33,22,33]</t>
  </si>
  <si>
    <t>obscenity charges</t>
  </si>
  <si>
    <t>[35,35,43,29,29,18,54,43,66,43,43,29]</t>
  </si>
  <si>
    <t>abogados de familia en houston</t>
  </si>
  <si>
    <t>[26,26,34,34,53,42,42,42,100,80,100,100]</t>
  </si>
  <si>
    <t>divorce attorney fort bend county texas</t>
  </si>
  <si>
    <t>[63,81,81,100,100,81,63,63,36,63,63,36]</t>
  </si>
  <si>
    <t>Local pack, Video, Image, Ads bottom, Related searches, Discussions and forums</t>
  </si>
  <si>
    <t>texas covenant law</t>
  </si>
  <si>
    <t>[0,100,1,1,0,0,0,0,0,0,0,0]</t>
  </si>
  <si>
    <t>how long is n400 process</t>
  </si>
  <si>
    <t>[45,45,45,63,45,63,63,63,63,36,45,45]</t>
  </si>
  <si>
    <t>what is an obscenity</t>
  </si>
  <si>
    <t>[30,16,30,24,55,13,24,100,30,24,4,81]</t>
  </si>
  <si>
    <t>Instant answer, Sitelinks, Video, Related searches, See results about, AI overview</t>
  </si>
  <si>
    <t>how to file for separation in texas</t>
  </si>
  <si>
    <t>[100,80,66,66,66,52,80,66,80,66,52,52]</t>
  </si>
  <si>
    <t>Sitelinks, Video, Featured snippet, Ads bottom, People also ask, Related searches, Discussions and forums</t>
  </si>
  <si>
    <t>divorce lawyers league city</t>
  </si>
  <si>
    <t>[5,7,3,7,5,7,7,5,5,5,2,29]</t>
  </si>
  <si>
    <t>adjustment of status marriage</t>
  </si>
  <si>
    <t>[23,43,43,53,35,43,28,28,28,28,28,23]</t>
  </si>
  <si>
    <t>bruce baughman lawyer baytown</t>
  </si>
  <si>
    <t>[52,41,29,52,64,64,82,82,52,52,52,64]</t>
  </si>
  <si>
    <t>Knowledge panel, Image pack</t>
  </si>
  <si>
    <t>proceso consular paso a paso</t>
  </si>
  <si>
    <t>[78,64,64,35,50,50,64,50,28,28,14,28]</t>
  </si>
  <si>
    <t>Image pack, Sitelinks, Video, Video Carousel, People also ask, FAQ, Related searches, AI overview</t>
  </si>
  <si>
    <t>public sexual indecency attorney</t>
  </si>
  <si>
    <t>[17,41,41,41,23,5,23,23,29,29,100,100]</t>
  </si>
  <si>
    <t>Video, Ads top, Ads bottom, People also ask, AI overview</t>
  </si>
  <si>
    <t>head injury solicitors</t>
  </si>
  <si>
    <t>[53,35,35,53,53,53,100,82,100,100,23,35]</t>
  </si>
  <si>
    <t>Sitelinks, Image, Ads bottom, People also ask, Related searches, Ads middle, AI overview</t>
  </si>
  <si>
    <t>ce borman</t>
  </si>
  <si>
    <t>[29,82,52,52,41,29,41,41,41,52,41,41]</t>
  </si>
  <si>
    <t>texas suppressor laws 2025</t>
  </si>
  <si>
    <t>[22,100,44,33,44,44,44,22]</t>
  </si>
  <si>
    <t>mack schaffer</t>
  </si>
  <si>
    <t>[18,18,18,18,18,18,18,18,100,100,18,18]</t>
  </si>
  <si>
    <t>Knowledge panel, Image pack, Sitelinks, Video, People also ask, Related searches</t>
  </si>
  <si>
    <t>experienced slip and fall attorney sidewalk accident texas</t>
  </si>
  <si>
    <t>[80,100,100]</t>
  </si>
  <si>
    <t>Sitelinks, Ads bottom, People also ask, Discussions and forums</t>
  </si>
  <si>
    <t>texas spousal support</t>
  </si>
  <si>
    <t>[13,13,16,16,16,16,16,16,24,24,16,13]</t>
  </si>
  <si>
    <t>amy mclean taylor tx</t>
  </si>
  <si>
    <t>[18,18,18,18,18,18,18,18,100,18,18,18]</t>
  </si>
  <si>
    <t>Knowledge panel, Image pack, Video, Image</t>
  </si>
  <si>
    <t>texas retirement division lawyer</t>
  </si>
  <si>
    <t>[0,0,28,71,100,71,100,100,100,100,57,71]</t>
  </si>
  <si>
    <t>Local pack, Video, Ads bottom, AI overview</t>
  </si>
  <si>
    <t>questions to ask lawyer about custody</t>
  </si>
  <si>
    <t>[29,41,52,41,41,29,29,41,29,29,23,41]</t>
  </si>
  <si>
    <t>std transmission lawsuit lawyer</t>
  </si>
  <si>
    <t>[9,52,9,100,100,80,100]</t>
  </si>
  <si>
    <t>max child support in texas for 1 kid</t>
  </si>
  <si>
    <t>[0,55,0,77,100,100,77,22]</t>
  </si>
  <si>
    <t>what is the difference between open and closed adoption</t>
  </si>
  <si>
    <t>[41,29,17,23,17,64,64,23,29,29,17,64]</t>
  </si>
  <si>
    <t>Sitelinks, Video, Image, Ads bottom, Related searches, Ads middle, AI overview</t>
  </si>
  <si>
    <t>bruce baughman attorney baytown</t>
  </si>
  <si>
    <t>[50,50,78,50,100,78,64,50,100,78,100,100]</t>
  </si>
  <si>
    <t>texas military custody issues lawyer</t>
  </si>
  <si>
    <t>[28,28,100,71,100,71,100,71,100,100,100,100]</t>
  </si>
  <si>
    <t>citizenship application processing time</t>
  </si>
  <si>
    <t>[81,45,36,36,100,62,55,16,45,62,62,45]</t>
  </si>
  <si>
    <t>public indecency texas</t>
  </si>
  <si>
    <t>[29,29,22,29,29,22,54,22,29,18,54,35]</t>
  </si>
  <si>
    <t>eb2 visa lawyer houston</t>
  </si>
  <si>
    <t>[11,22,33,44,55,77,77,100,77]</t>
  </si>
  <si>
    <t>how long does the n400 process take</t>
  </si>
  <si>
    <t>[35,64,64,100,50,78,78,50,64,50,50,50]</t>
  </si>
  <si>
    <t>child support when grandparents have custody</t>
  </si>
  <si>
    <t>[0,0,0,66,66,66,42,52,33,100,100,100]</t>
  </si>
  <si>
    <t>Video Carousel, Related searches, AI overview</t>
  </si>
  <si>
    <t>permanent resident to citizenship timeline</t>
  </si>
  <si>
    <t>[5,5,5,5,5,5,5,5,100,5,5,5]</t>
  </si>
  <si>
    <t>divorce attorney in houston tx</t>
  </si>
  <si>
    <t>[6,20,10,10,1,1,2,3,3,4,4,2]</t>
  </si>
  <si>
    <t>aggravated burglary definition</t>
  </si>
  <si>
    <t>[33,42,33,33,42,42,33,33,33,42,52,42]</t>
  </si>
  <si>
    <t>texas divorce attorneys</t>
  </si>
  <si>
    <t>[2,0,0,0,0,0,0,0,0,1,100,0]</t>
  </si>
  <si>
    <t>galveston county divorce</t>
  </si>
  <si>
    <t>[100,18,18,18,18,18,18,18,18,18,18,18]</t>
  </si>
  <si>
    <t>silencer texas</t>
  </si>
  <si>
    <t>[0,0,100,0,0,1,0,1,1,2,1,0]</t>
  </si>
  <si>
    <t>Sitelinks, Video, People also ask</t>
  </si>
  <si>
    <t>how long is taking the citizenship process</t>
  </si>
  <si>
    <t>[42,33,42,42,80,33,42,100,66,42,42,42]</t>
  </si>
  <si>
    <t>us citizenship process timeline</t>
  </si>
  <si>
    <t>[42,100,53,53,65,80,80,53,34,53,26,34]</t>
  </si>
  <si>
    <t>lori k. redmond attorney at law photos</t>
  </si>
  <si>
    <t>[42,7,7,42,42,11,19,26,19,26,34,26]</t>
  </si>
  <si>
    <t>Knowledge panel, Image pack, Sitelinks, Video, Image, Related searches</t>
  </si>
  <si>
    <t>std transmission attorney</t>
  </si>
  <si>
    <t>[9,42,4,100,100,100,100]</t>
  </si>
  <si>
    <t>family divorce attorney in houston tx</t>
  </si>
  <si>
    <t>[1,3,48,100,5,2,1]</t>
  </si>
  <si>
    <t>custody lawyers texas</t>
  </si>
  <si>
    <t>[33,52,100,0,23,23,23,0,0,0,0,4]</t>
  </si>
  <si>
    <t>Local pack, Sitelinks, People also ask, Related searches, Discussions and forums, AI overview</t>
  </si>
  <si>
    <t>divorce attorneys texas</t>
  </si>
  <si>
    <t>[100,81,100,22,2,43,2,2,100,8,4,2]</t>
  </si>
  <si>
    <t>Local pack, Sitelinks, Ads bottom, Related searches, Discussions and forums</t>
  </si>
  <si>
    <t>what is an aggravated burglary</t>
  </si>
  <si>
    <t>[26,42,34,34,15,34,80,65,53,42,53,65]</t>
  </si>
  <si>
    <t>abogado divorcio contencioso</t>
  </si>
  <si>
    <t>[18,45,45,45,81,81,100,100,9,9,9,0]</t>
  </si>
  <si>
    <t>Video, Video Carousel, AI overview</t>
  </si>
  <si>
    <t>fort bend divorce lawyer</t>
  </si>
  <si>
    <t>[41,52,52,64,64,52,29,41,23,41,41,52]</t>
  </si>
  <si>
    <t>Local pack, Image, Related searches, Discussions and forums</t>
  </si>
  <si>
    <t>domestic abuse attorney houston</t>
  </si>
  <si>
    <t>[52,52,52,52,23,52,82,64,23,29,23,64]</t>
  </si>
  <si>
    <t>Local pack, People also ask</t>
  </si>
  <si>
    <t>emergency custody attorney</t>
  </si>
  <si>
    <t>[11,11,11,11,11,11,17,64,52,64,64,100]</t>
  </si>
  <si>
    <t>Local pack, Video, Ads bottom, FAQ, Related searches</t>
  </si>
  <si>
    <t>how to enforce divorce decree</t>
  </si>
  <si>
    <t>[52,14,23,14,19,19,14,14,14,14,14,9]</t>
  </si>
  <si>
    <t>Sitelinks, Video, Video Carousel, People also ask, Related searches, Discussions and forums, AI overview</t>
  </si>
  <si>
    <t>fort bend divorce attorney</t>
  </si>
  <si>
    <t>[78,78,100,78,50,100,64,64,78,64,50,78]</t>
  </si>
  <si>
    <t>david b cantu law office</t>
  </si>
  <si>
    <t>[64,50,64,64,64,28,64,100,100,64,50,78]</t>
  </si>
  <si>
    <t>Knowledge panel, Video, Image</t>
  </si>
  <si>
    <t>alimony in texas how many years</t>
  </si>
  <si>
    <t>[36,18,18,63,45,18,18,18,63,81,100,81]</t>
  </si>
  <si>
    <t>league city personal injury attorney</t>
  </si>
  <si>
    <t>[21,0,0,14,21,14,21,28,0,64,64,35]</t>
  </si>
  <si>
    <t>questions to ask attorney about custody</t>
  </si>
  <si>
    <t>[41,64,64,64,52,23,64,82,82,52,52,41]</t>
  </si>
  <si>
    <t>legal separation in texas pros and cons</t>
  </si>
  <si>
    <t>[12,12,6,21,15,15,12,15,12,21,15,9]</t>
  </si>
  <si>
    <t>n 400 application for naturalization processing time</t>
  </si>
  <si>
    <t>[81,63,81,45,63,45,45,45,45,45,45,45]</t>
  </si>
  <si>
    <t>motion to reduce bond</t>
  </si>
  <si>
    <t>[52,52,42,52,52,52,52,52,42,66,52,66]</t>
  </si>
  <si>
    <t>how long does it take to process citizenship application</t>
  </si>
  <si>
    <t>[18,18,100,18,100,45,100,81,63,45,63,45]</t>
  </si>
  <si>
    <t>how long it takes for citizenship process</t>
  </si>
  <si>
    <t>[26,34,26,34,34,42,100,65,65,65,34,19]</t>
  </si>
  <si>
    <t>how long is the citizenship process taking</t>
  </si>
  <si>
    <t>[29,41,29,52,64,41,52,52,100,41,41,23]</t>
  </si>
  <si>
    <t>browns lawyers</t>
  </si>
  <si>
    <t>[81,81,100,0,0,0,9,0,9,9,0,0]</t>
  </si>
  <si>
    <t>houston public lewdness lawyer</t>
  </si>
  <si>
    <t>[0,0,18,27,27,36,45,45,100,100,63,27]</t>
  </si>
  <si>
    <t>walters balido</t>
  </si>
  <si>
    <t>[24,30,16,55,45,45,30,20,36,55,30,45]</t>
  </si>
  <si>
    <t>texas maximum child support</t>
  </si>
  <si>
    <t>[35,50,64,78,100,78,50,35,50,35,64,50]</t>
  </si>
  <si>
    <t>royce hobbs</t>
  </si>
  <si>
    <t>[11,11,11,15,18,18,11,8,11,11,11,11]</t>
  </si>
  <si>
    <t>how much is alimony in texas</t>
  </si>
  <si>
    <t>[65,81,81,65,65,65,65,81,81,81,65,65]</t>
  </si>
  <si>
    <t>league-city personal injury lawyer</t>
  </si>
  <si>
    <t>[11,15,34,34,26,34,19,3,80,80,65,100]</t>
  </si>
  <si>
    <t>can the police come on private property</t>
  </si>
  <si>
    <t>[19,26,26,26,19,15,19,19,26,42,34,53]</t>
  </si>
  <si>
    <t>attorneys for fathers rights in texas</t>
  </si>
  <si>
    <t>[35,35,64,35,35,50,64,35,100,100,100,50]</t>
  </si>
  <si>
    <t>Local pack, Sitelinks, Related searches, Discussions and forums, AI overview</t>
  </si>
  <si>
    <t>std lawsuit attorney</t>
  </si>
  <si>
    <t>[0,4,52,14,33,9,52,4,100,100,100,100]</t>
  </si>
  <si>
    <t>houston statutory rape attorney</t>
  </si>
  <si>
    <t>[1,1,0,4,5,5,9,12,19,100,23,19]</t>
  </si>
  <si>
    <t>second chance law texas</t>
  </si>
  <si>
    <t>[6,9,6,9,12,34,34,6,6,34,6,6]</t>
  </si>
  <si>
    <t>gibbins law pllc</t>
  </si>
  <si>
    <t>[81,45,45,63,63,81,81,63,81,63,100,81]</t>
  </si>
  <si>
    <t>harris county divorce lawyers</t>
  </si>
  <si>
    <t>[18,63,18,45,63,18,100,45,81,45,63,18]</t>
  </si>
  <si>
    <t>scott ray pemberton &amp; goll pllc</t>
  </si>
  <si>
    <t>[23,12,17,28,28,28,28,17,12,23,23,17]</t>
  </si>
  <si>
    <t>personal injury lawyer league city</t>
  </si>
  <si>
    <t>[4,4,4,4,22,22,100,10,4,14,22,22]</t>
  </si>
  <si>
    <t>questions to ask a divorce lawyer about custody</t>
  </si>
  <si>
    <t>[100,27,18,45,36,63,27,18,27,45,45,27]</t>
  </si>
  <si>
    <t>Video, Ads bottom, People also ask, Related searches, Discussions and forums, AI overview</t>
  </si>
  <si>
    <t>questions to ask custody lawyer</t>
  </si>
  <si>
    <t>[80,40,40,40,60,80,100,40,60,60,40,60]</t>
  </si>
  <si>
    <t>texas child relocation attorney</t>
  </si>
  <si>
    <t>[0,0,14,71,100,71,100,100,100,100,100,100]</t>
  </si>
  <si>
    <t>Local pack, Video, Discussions and forums, AI overview</t>
  </si>
  <si>
    <t>houston personal injury lawyers over $250 million recovered</t>
  </si>
  <si>
    <t>[27,100,9,0]</t>
  </si>
  <si>
    <t>houston drug charges attorney</t>
  </si>
  <si>
    <t>[11,11,17,23,23,41,41,29,100,64,64,41]</t>
  </si>
  <si>
    <t>texas property division lawyers</t>
  </si>
  <si>
    <t>[22,22,33,77,77,77,100,77,100,100,77,77]</t>
  </si>
  <si>
    <t>uscis naturalization timeline</t>
  </si>
  <si>
    <t>[23,66,42,100,52,66,66,52,42,42,33,42]</t>
  </si>
  <si>
    <t>Sitelinks, Video, Image, Video Carousel, Related searches, AI overview</t>
  </si>
  <si>
    <t>informational, navigational</t>
  </si>
  <si>
    <t>sex crimes attorney houston</t>
  </si>
  <si>
    <t>[34,34,42,34,53,53,42,34,34,26,26,34]</t>
  </si>
  <si>
    <t>how much is spousal support in texas</t>
  </si>
  <si>
    <t>[53,65,65,80,65,65,80,80,65,42,100,53]</t>
  </si>
  <si>
    <t>channa borman</t>
  </si>
  <si>
    <t>[5,5,5,5,5,28,28,5,5,5,5,28]</t>
  </si>
  <si>
    <t>Knowledge panel, Image pack, Sitelinks, Video</t>
  </si>
  <si>
    <t>how to enforce a divorce decree</t>
  </si>
  <si>
    <t>[19,42,11,19,19,19,19,11,15,19,34,19]</t>
  </si>
  <si>
    <t>how long is the process for naturalization</t>
  </si>
  <si>
    <t>[43,43,43,29,81,43,29,66,100,29,29,66]</t>
  </si>
  <si>
    <t>houston assault attorney</t>
  </si>
  <si>
    <t>[29,29,15,19,12,23,23,19,12,29,23,19]</t>
  </si>
  <si>
    <t>scott and associates carrollton texas</t>
  </si>
  <si>
    <t>[7,42,53,7,7,7,11,100,42,7,7,7]</t>
  </si>
  <si>
    <t>uscis naturalization processing time</t>
  </si>
  <si>
    <t>[0,39,88,32,21,48,39,48,14,59,32,4]</t>
  </si>
  <si>
    <t>car accident attorney pearland tx</t>
  </si>
  <si>
    <t>[3,6,6,6,3,6,3,3,3,21,43,15]</t>
  </si>
  <si>
    <t>mccarty larson pllc</t>
  </si>
  <si>
    <t>[8,8,3,8,3,3,6,6,3,3,3,3]</t>
  </si>
  <si>
    <t>Local pack, Image pack, Sitelinks, Image, People also ask, Related searches</t>
  </si>
  <si>
    <t>sarah brown lawyer</t>
  </si>
  <si>
    <t>[19,26,19,15,15,19,34,26,26,26,26,26]</t>
  </si>
  <si>
    <t>Knowledge panel, Image pack, Video, People also ask</t>
  </si>
  <si>
    <t>cohabitation agreement texas</t>
  </si>
  <si>
    <t>[34,43,53,53,43,53,81,100,65,53,100,43]</t>
  </si>
  <si>
    <t>family lawyer houston free consultation</t>
  </si>
  <si>
    <t>[6,21,21,9,15,12,9,9,12,9,6,9]</t>
  </si>
  <si>
    <t>questions to ask a custody lawyer during consultation</t>
  </si>
  <si>
    <t>[36,45,45,63,45,45,63,27,63,63,45,63]</t>
  </si>
  <si>
    <t>grounds for modification of custody in texas</t>
  </si>
  <si>
    <t>[43,53,53,66,66,66,53,53,82,82,82,43]</t>
  </si>
  <si>
    <t>bolton law firm the woodlands</t>
  </si>
  <si>
    <t>[0,0,0,14,42,57,42,100,100,100,28,71]</t>
  </si>
  <si>
    <t>Knowledge panel, Sitelinks, Video, Image, Ads top, Ads bottom, Related searches</t>
  </si>
  <si>
    <t>property division law firm the woodlands</t>
  </si>
  <si>
    <t>[0,0,11,55,77,55,77,77,77,77,77,100]</t>
  </si>
  <si>
    <t>drug crimes attorney houston</t>
  </si>
  <si>
    <t>[0,7,7,35,64,35,7,21,100,78,78,64]</t>
  </si>
  <si>
    <t>drug recall legal help</t>
  </si>
  <si>
    <t>[0,100,57,42,57]</t>
  </si>
  <si>
    <t>Sitelinks, Video, People also ask, Discussions and forums, AI overview</t>
  </si>
  <si>
    <t>jorgeson pittman llp</t>
  </si>
  <si>
    <t>[78,78,35,50,50,50,50,50,50,64,50,100]</t>
  </si>
  <si>
    <t>Knowledge panel, Sitelinks, Related searches</t>
  </si>
  <si>
    <t>abogado de defensa penal en houston</t>
  </si>
  <si>
    <t>[14,57,57,57,57,42,57,100,100,71,14]</t>
  </si>
  <si>
    <t>kobe divorce</t>
  </si>
  <si>
    <t>[12,5,5,28,5,5,5,5,35,53,5,5]</t>
  </si>
  <si>
    <t>love ducote law firm</t>
  </si>
  <si>
    <t>[41,29,52,52,82,82,23,100,41,52,29,11]</t>
  </si>
  <si>
    <t>std transmission lawyer</t>
  </si>
  <si>
    <t>[3,3,7,7,11,7,42,3,80,100,65,80]</t>
  </si>
  <si>
    <t>how long to take citizenship process</t>
  </si>
  <si>
    <t>[33,42,42,80,33,42,100,66,42,0,42,42]</t>
  </si>
  <si>
    <t>divorce attorney ppc</t>
  </si>
  <si>
    <t>[9,9,9,14,33,23,23,33,42,100,66,52]</t>
  </si>
  <si>
    <t>Local pack, Sitelinks, Video, Video Carousel, People also ask, Discussions and forums, AI overview</t>
  </si>
  <si>
    <t>how long does it take to process n400</t>
  </si>
  <si>
    <t>[35,64,64,100,78,78,50,35,50,50,50,50]</t>
  </si>
  <si>
    <t>houston drug offense attorney</t>
  </si>
  <si>
    <t>[0,52,64,52,100,41,64,82,41,23,29,82]</t>
  </si>
  <si>
    <t>Local pack, Sitelinks, AI overview</t>
  </si>
  <si>
    <t>n400 process time</t>
  </si>
  <si>
    <t>[0,0,0,0,0,76,0,0,0,0,5,0]</t>
  </si>
  <si>
    <t>n400 application processing time</t>
  </si>
  <si>
    <t>[23,52,52,80,42,52,52,52,66,33,42,42]</t>
  </si>
  <si>
    <t>divorce kobe</t>
  </si>
  <si>
    <t>[36,45,45,18,100,18,18,18,18,100,100,18]</t>
  </si>
  <si>
    <t>dennis croman attorney</t>
  </si>
  <si>
    <t>[14,14,14,14,14,14,78,14,78,14,78,14]</t>
  </si>
  <si>
    <t>Knowledge panel, Sitelinks, Related searches, Short videos</t>
  </si>
  <si>
    <t>law office of audra palacios cruz</t>
  </si>
  <si>
    <t>[52,11,23,100,11,11,11,11,11,64,17,11]</t>
  </si>
  <si>
    <t>Knowledge panel, Image pack, Sitelinks, Image</t>
  </si>
  <si>
    <t>questions to ask a lawyer about child custody</t>
  </si>
  <si>
    <t>[11,6,6,11,5,8,8,1,3,5,6,5]</t>
  </si>
  <si>
    <t>Image pack, Video, Related searches, AI overview</t>
  </si>
  <si>
    <t>how long does it take for us naturalization process</t>
  </si>
  <si>
    <t>[11,11,11,64,11,11,64,11,11,11,11,11]</t>
  </si>
  <si>
    <t>temporary restraining order texas</t>
  </si>
  <si>
    <t>[44,44,44,44,44,44,44,44,44,44,36,44]</t>
  </si>
  <si>
    <t>how long does n 400 take to process</t>
  </si>
  <si>
    <t>[14,21,21,35,28,100,7,50,0,64,64,78]</t>
  </si>
  <si>
    <t>std lawsuit lawyer</t>
  </si>
  <si>
    <t>[23,14,14,33,33,66,52,66,42,100,100,100]</t>
  </si>
  <si>
    <t>Sitelinks, Video, Ads bottom, People also ask, Related searches, AI overview</t>
  </si>
  <si>
    <t>jennifer brown lawyer</t>
  </si>
  <si>
    <t>[33,33,33,52,33,42,42,23,33,42,66,42]</t>
  </si>
  <si>
    <t>Local pack, Video, Video Carousel, Related searches, See results about</t>
  </si>
  <si>
    <t>cordoba law firm lake jackson</t>
  </si>
  <si>
    <t>[65,53,53,80,53,65,80,80,80,80,65,80]</t>
  </si>
  <si>
    <t>angleton criminal defense lawyer</t>
  </si>
  <si>
    <t>[18,18,18,18,27,18,27,36,27,36,100,100]</t>
  </si>
  <si>
    <t>Local pack, Sitelinks, Video, Image, Related searches, AI overview</t>
  </si>
  <si>
    <t>contractual separation in texas</t>
  </si>
  <si>
    <t>[28,28,15,28,28,28,18,81,100,81,23,23]</t>
  </si>
  <si>
    <t>Sitelinks, Ads bottom, Video Carousel, People also ask, Related searches, Ads middle, AI overview</t>
  </si>
  <si>
    <t>do you need uninsured motorist coverage in texas</t>
  </si>
  <si>
    <t>[44,33,33,33,33,77,77,55,77,100,77,77]</t>
  </si>
  <si>
    <t>citizen law firm houston reviews</t>
  </si>
  <si>
    <t>[9,9,9,9,9,52,52,52,52,33,23,23]</t>
  </si>
  <si>
    <t>Knowledge panel, Sitelinks, People also ask, Related searches</t>
  </si>
  <si>
    <t>houston modifications lawyer</t>
  </si>
  <si>
    <t>[0,0,21,28,28,28,21,35,100,100,64,35]</t>
  </si>
  <si>
    <t>new child support laws 2024</t>
  </si>
  <si>
    <t>[30,10,100,10,4,2,1,1,5,3,1,3]</t>
  </si>
  <si>
    <t>pearland criminal defense lawyer</t>
  </si>
  <si>
    <t>[18,27,27,18,36,27,27,36,100,100,81,81]</t>
  </si>
  <si>
    <t>galveston county family lawyers</t>
  </si>
  <si>
    <t>[0,0,71,0,100,71,0,71,28,57,71,14]</t>
  </si>
  <si>
    <t>sperm donor child support</t>
  </si>
  <si>
    <t>[2,1,3,2,2,3,2,2,2,1,1,1]</t>
  </si>
  <si>
    <t>spinal cord injury attorney texas</t>
  </si>
  <si>
    <t>[11,5,17,11,5,5,100,64,52,64]</t>
  </si>
  <si>
    <t>legally separated texas</t>
  </si>
  <si>
    <t>[0,3,0,100,0,0,0,0,0,0,0,0]</t>
  </si>
  <si>
    <t>head injury attorney houston</t>
  </si>
  <si>
    <t>[0,28,28,100,100,100,71,100,100,100,42,0]</t>
  </si>
  <si>
    <t>Local pack, Ads bottom</t>
  </si>
  <si>
    <t>law office of jared b ynigez</t>
  </si>
  <si>
    <t>[21,35,35,100,100,100,100,100,78,64,64,100]</t>
  </si>
  <si>
    <t>Knowledge panel, Image, Related searches</t>
  </si>
  <si>
    <t>divorce lawyers in galveston county</t>
  </si>
  <si>
    <t>[64,100,78,50,35,14,50,14,64,64,50,64]</t>
  </si>
  <si>
    <t>abogado de familia houston</t>
  </si>
  <si>
    <t>[14,9,52,52,52,52,23,19,14,23,19,42]</t>
  </si>
  <si>
    <t>n 400 application processing time</t>
  </si>
  <si>
    <t>[52,64,82,64,64,64,64,52,64,64,64,64]</t>
  </si>
  <si>
    <t>lori redmond attorney at law</t>
  </si>
  <si>
    <t>[19,53,42,26,34,53,100,26,53,53,34,42]</t>
  </si>
  <si>
    <t>Knowledge panel, Related searches</t>
  </si>
  <si>
    <t>texas spinal cord injury attorney</t>
  </si>
  <si>
    <t>[0,0,11,26,34,19,19,7,80,80,65,100]</t>
  </si>
  <si>
    <t>can police come on private property</t>
  </si>
  <si>
    <t>[26,26,42,42,42,26,34,34,42,42,53,53]</t>
  </si>
  <si>
    <t>is having sex in a car illegal in texas</t>
  </si>
  <si>
    <t>[100,100,100,100,100,78,100,0,7,100,0,50]</t>
  </si>
  <si>
    <t>army divorce lawyer</t>
  </si>
  <si>
    <t>[14,0,28,42,57,57,100,100,14,14,14,0]</t>
  </si>
  <si>
    <t>Video, Ads bottom, Video Carousel, Related searches, Discussions and forums, Ads middle, AI overview</t>
  </si>
  <si>
    <t>michael catt attorney orange texas</t>
  </si>
  <si>
    <t>[45,36,27,18,18,18,18,100,100,18,100,100]</t>
  </si>
  <si>
    <t>can you sue someone for knowingly giving you an std</t>
  </si>
  <si>
    <t>[36,27,18,18,18,27,36,36,36,36,81,100]</t>
  </si>
  <si>
    <t>texas mineral lawyers</t>
  </si>
  <si>
    <t>[100,42,57]</t>
  </si>
  <si>
    <t>Knowledge panel, Video, Ads bottom, Related searches</t>
  </si>
  <si>
    <t>s brown and associates</t>
  </si>
  <si>
    <t>[23,28,28,44,35,28,28,18,8,18,23,18]</t>
  </si>
  <si>
    <t>can police sit on private property without permission</t>
  </si>
  <si>
    <t>[45,45,45,45,27,45,18,36,18,36,36,18]</t>
  </si>
  <si>
    <t>custody lawyers in texas</t>
  </si>
  <si>
    <t>[22,66,66,100,35,54,18,43,100,14,66,100]</t>
  </si>
  <si>
    <t>silencers texas</t>
  </si>
  <si>
    <t>[8,10,5,10,13,10,3,20,16,5,4,8]</t>
  </si>
  <si>
    <t>michalk beatty &amp; alcozer lp</t>
  </si>
  <si>
    <t>[34,26,53,42,26,34,65,100,53,42,53,34]</t>
  </si>
  <si>
    <t>Knowledge panel, Image pack, Sitelinks, Related searches</t>
  </si>
  <si>
    <t>sprouse shrader</t>
  </si>
  <si>
    <t>[66,23,43,53,43,53,100,66,43,35,35,35]</t>
  </si>
  <si>
    <t>Local pack, Sitelinks, Video, People also ask, Related searches, See results about</t>
  </si>
  <si>
    <t>walters gilbreath pllc</t>
  </si>
  <si>
    <t>[81,81,66,66,44,66,100,81,54,54,66,81]</t>
  </si>
  <si>
    <t>Knowledge panel, Local pack, Sitelinks, Video, People also ask, Related searches</t>
  </si>
  <si>
    <t>christine burns brown</t>
  </si>
  <si>
    <t>[0,0,0,0,0,0,100,4,4,4,4,4]</t>
  </si>
  <si>
    <t>can cops shut down a party on private property</t>
  </si>
  <si>
    <t>[42,66,33,33,33,33,33,9,33,9,9,23]</t>
  </si>
  <si>
    <t>citizen law firm houston tx reviews</t>
  </si>
  <si>
    <t>[18,18,18,18,18,100,100,100,100,63,45,45]</t>
  </si>
  <si>
    <t>what is legally separated in texas</t>
  </si>
  <si>
    <t>[9,52,66,52,33,19,14,9,9,9,14,9]</t>
  </si>
  <si>
    <t>how long does n400 processing take</t>
  </si>
  <si>
    <t>[11,100,64,64,100,64,11,64,64,11,41,17]</t>
  </si>
  <si>
    <t>how to avoid paying alimony in texas</t>
  </si>
  <si>
    <t>[54,66,54,35,35,22,35,43,54,54,54,43]</t>
  </si>
  <si>
    <t>business dissolution lawyer houston tx</t>
  </si>
  <si>
    <t>[20,80,100,100,80]</t>
  </si>
  <si>
    <t>pearland car accident lawyers</t>
  </si>
  <si>
    <t>[7,7,7,7,21,28,21,21,35,78,78,100]</t>
  </si>
  <si>
    <t>houston public lewdness attorney</t>
  </si>
  <si>
    <t>[0,0,7,21,14,28,35,35,100,100,64,21]</t>
  </si>
  <si>
    <t>adjustment of status houston</t>
  </si>
  <si>
    <t>[0,0,0,0,0,0,0,0,0,5,66,100]</t>
  </si>
  <si>
    <t>Video, Ads bottom, People also ask, AI overview</t>
  </si>
  <si>
    <t>why did miranda lambert and blake shelton divorce</t>
  </si>
  <si>
    <t>[28,28,28,0,0,0,2,0,2,2,2,17]</t>
  </si>
  <si>
    <t>silencer legal</t>
  </si>
  <si>
    <t>[0,0,0,0,0,0,2,1,2,0,100,0]</t>
  </si>
  <si>
    <t>sjf poss cs</t>
  </si>
  <si>
    <t>[100,100,18,18,18,18,18,18,18,18,18,18]</t>
  </si>
  <si>
    <t>texas military custody</t>
  </si>
  <si>
    <t>[0,0,18,63,63,63,81,63,81,100,63,36]</t>
  </si>
  <si>
    <t>Video, Ads bottom, Video Carousel, Related searches, AI overview</t>
  </si>
  <si>
    <t>std lawyer</t>
  </si>
  <si>
    <t>[12,9,15,44,66,54,36,29,66,66,54,29]</t>
  </si>
  <si>
    <t>erinn brown attorney</t>
  </si>
  <si>
    <t>[45,36,36,36,63,63,45,18,18,100,18,18]</t>
  </si>
  <si>
    <t>Local pack, Image pack, Video, Related searches</t>
  </si>
  <si>
    <t>what is the max child support in texas</t>
  </si>
  <si>
    <t>[78,64,100,100,100,100,21,100,78,100,100,78]</t>
  </si>
  <si>
    <t>harmony schuerman</t>
  </si>
  <si>
    <t>[11,11,100,64,64,64,11,11,29,11,64,29]</t>
  </si>
  <si>
    <t>Knowledge panel, Sitelinks, Video, Image</t>
  </si>
  <si>
    <t>houston drug crime lawyer</t>
  </si>
  <si>
    <t>[19,9,9,9,9,19,23,23,23,100,81,54]</t>
  </si>
  <si>
    <t>Local pack, Sitelinks, Video, Image, AI overview</t>
  </si>
  <si>
    <t>texas legal separation of marriage</t>
  </si>
  <si>
    <t>[18,100,18,100,18,18,18,18,18,18,18,18]</t>
  </si>
  <si>
    <t>form n 400 processing time</t>
  </si>
  <si>
    <t>[5,2,19,1,100,44,0,4,3,2,1,1]</t>
  </si>
  <si>
    <t>defensa criminal en houston</t>
  </si>
  <si>
    <t>[0,17,41,82,100,82]</t>
  </si>
  <si>
    <t>std transmission lawsuit attorney</t>
  </si>
  <si>
    <t>[19,52,4,80,100,80]</t>
  </si>
  <si>
    <t>custody laws texas</t>
  </si>
  <si>
    <t>[34,100,9,9,6,9,12,12,9,28,15,21]</t>
  </si>
  <si>
    <t>texas made suppressors legal</t>
  </si>
  <si>
    <t>[14,17,21,17,7,5,5,7,7,4,9,7]</t>
  </si>
  <si>
    <t>minimum wage child support texas</t>
  </si>
  <si>
    <t>[7,10,17,23,17,17,17,0,0,2,2,2]</t>
  </si>
  <si>
    <t>filing for legal separation in texas</t>
  </si>
  <si>
    <t>[78,50,50,64,64,78,100,64,78,50,50,64]</t>
  </si>
  <si>
    <t>mineral rights attorney texas</t>
  </si>
  <si>
    <t>[64,11,17,64,23,64,41,64,17,64,64,100]</t>
  </si>
  <si>
    <t>Local pack, Video, Ads bottom, People also ask, Related searches, AI overview</t>
  </si>
  <si>
    <t>how long it takes to get a citizenship after applying</t>
  </si>
  <si>
    <t>[18,18,100,18,100,100,100,63,63,63,45,63]</t>
  </si>
  <si>
    <t>attorney deric walpole</t>
  </si>
  <si>
    <t>[5,5,0,5,100,5,5,5,5,5,5,5]</t>
  </si>
  <si>
    <t>police escort to retrieve personal belongings texas</t>
  </si>
  <si>
    <t>[14,14,100,78,14,14,14,14,14,14,14,14]</t>
  </si>
  <si>
    <t>texas child relocation attorneys</t>
  </si>
  <si>
    <t>[0,0,14,71,71,71,71,100,100,100,100,100]</t>
  </si>
  <si>
    <t>the law office of shawn c brown pc photos</t>
  </si>
  <si>
    <t>[9,18,0,0,100,100,18,18,18,18,18,18]</t>
  </si>
  <si>
    <t>Knowledge panel, Image pack, Video, Image, Related searches</t>
  </si>
  <si>
    <t>abogado de lesiones de cuello texas</t>
  </si>
  <si>
    <t>[27,9,9,18,81,100,63,45]</t>
  </si>
  <si>
    <t>People also ask, AI overview</t>
  </si>
  <si>
    <t>separation papers texas</t>
  </si>
  <si>
    <t>[40,40,40,80,40,40,40,80,100,100,40,40]</t>
  </si>
  <si>
    <t>Image pack, Video, Ads bottom, People also ask, Related searches, AI overview</t>
  </si>
  <si>
    <t>amy mclean attorney</t>
  </si>
  <si>
    <t>c.e. borman &amp; associates</t>
  </si>
  <si>
    <t>[45,45,100,63,63,0,0,0,0,0,0,0]</t>
  </si>
  <si>
    <t>faye gordon attorney angleton</t>
  </si>
  <si>
    <t>[23,23,23,23,33,23,23,33,9,9,9,9]</t>
  </si>
  <si>
    <t>does texas have legal separation</t>
  </si>
  <si>
    <t>[14,14,50,35,14,14,35,35,14,14,28,28]</t>
  </si>
  <si>
    <t>uscis n 400 processing time</t>
  </si>
  <si>
    <t>[23,29,100,36,66,100,54,66,81,66,66,66]</t>
  </si>
  <si>
    <t>Sitelinks, Video, Video Carousel, Related searches, Short videos</t>
  </si>
  <si>
    <t>houston drug crimes attorneys</t>
  </si>
  <si>
    <t>[0,0,0,0,0,5,7,7,100,17,17,23]</t>
  </si>
  <si>
    <t>busco abogado de confianza y bienes</t>
  </si>
  <si>
    <t>[23,5,100,64,82,82,82,82,100,100,52,29]</t>
  </si>
  <si>
    <t>Local pack, Video, FAQ, Related searches</t>
  </si>
  <si>
    <t>caldwell cassady</t>
  </si>
  <si>
    <t>[35,17,23,12,17,17,35,28,23,28,0,43]</t>
  </si>
  <si>
    <t>regan armstrong and associates</t>
  </si>
  <si>
    <t>[35,35,35,50,21,50,100,78,35,50,64,78]</t>
  </si>
  <si>
    <t>Local pack, Image pack, Sitelinks, Related searches</t>
  </si>
  <si>
    <t>what is legal separation in texas</t>
  </si>
  <si>
    <t>[19,19,23,33,33,23,23,14,23,23,23,23]</t>
  </si>
  <si>
    <t>houston drug crimes attorney</t>
  </si>
  <si>
    <t>[65,53,65,80,100,100,53,34,100,65,65,53]</t>
  </si>
  <si>
    <t>how to get a legal separation in texas</t>
  </si>
  <si>
    <t>[41,41,41,41,41,52,29,29,29,41,29,29]</t>
  </si>
  <si>
    <t>texas prenuptial agreements attorneys</t>
  </si>
  <si>
    <t>[0,0,22,77,77,55,100,77,100,100,77,44]</t>
  </si>
  <si>
    <t>phillip dowden</t>
  </si>
  <si>
    <t>[12,12,12,17,17,5,5,5,5,28,28,5]</t>
  </si>
  <si>
    <t>how long to process n400</t>
  </si>
  <si>
    <t>[45,45,45,63,63,81,63,63,63,63,45,45]</t>
  </si>
  <si>
    <t>indecent exposure texas</t>
  </si>
  <si>
    <t>[23,23,29,23,23,29,29,29,29,23,29,36]</t>
  </si>
  <si>
    <t>alimony and child support in texas</t>
  </si>
  <si>
    <t>[2,2,2,2,3,3,2,2,2,0,2,1]</t>
  </si>
  <si>
    <t>can you get a custody agreement without going to court</t>
  </si>
  <si>
    <t>[52,11,11,82,82,100,64,41,23,100,100,29]</t>
  </si>
  <si>
    <t>separation vs divorce texas</t>
  </si>
  <si>
    <t>[71,57,71,71,42,57,57,57,71,100,42,28]</t>
  </si>
  <si>
    <t>grounds for temporary restraining order texas</t>
  </si>
  <si>
    <t>[64,14,14,14,21,28,50,50,64,50,78,100]</t>
  </si>
  <si>
    <t>premises liability attorney south texas</t>
  </si>
  <si>
    <t>[7,7,7,11,19,26,26,34,11,80,100,80]</t>
  </si>
  <si>
    <t>Local pack, Sitelinks, Video, Ads top, Ads bottom, Related searches, AI overview</t>
  </si>
  <si>
    <t>punishment for edibles in texas</t>
  </si>
  <si>
    <t>[11,11,11,11,11,100,82,82,41,64,64,82]</t>
  </si>
  <si>
    <t>why do guys have to pay alimony</t>
  </si>
  <si>
    <t>[41,29,29,29,41,23,29,41,41,23,41,41]</t>
  </si>
  <si>
    <t>texas child support max</t>
  </si>
  <si>
    <t>[44,44,33,44,100,77,11,33,0,33,55,77]</t>
  </si>
  <si>
    <t>public sexual indecency lawyer</t>
  </si>
  <si>
    <t>[17,41,41,41,17,11,23,29,23,29,100,100]</t>
  </si>
  <si>
    <t>Video, Ads bottom, Related searches, Discussions and forums, AI overview</t>
  </si>
  <si>
    <t>max child support texas</t>
  </si>
  <si>
    <t>[82,64,100,100,82,52,52,64,64,100,64,64]</t>
  </si>
  <si>
    <t>can my husband adopt my child without biological father's consent</t>
  </si>
  <si>
    <t>[7,21,7,0,21,7,7,50,64,64,35,50]</t>
  </si>
  <si>
    <t>stephanie proffitt attorney</t>
  </si>
  <si>
    <t>[66,80,80,66,80,52,66,80,66,52,80,52]</t>
  </si>
  <si>
    <t>gary tabakman</t>
  </si>
  <si>
    <t>[41,41,41,64,52,64,41,41,64,100,82,82]</t>
  </si>
  <si>
    <t>Knowledge panel, Image pack, Sitelinks, Video, People also ask</t>
  </si>
  <si>
    <t>contested divorce attorneys in houston tx</t>
  </si>
  <si>
    <t>[17,41,100,29,41,17,11]</t>
  </si>
  <si>
    <t>sugar land juvenile defense attorney</t>
  </si>
  <si>
    <t>[28,28,28,42,57,100,100,71,42]</t>
  </si>
  <si>
    <t>craig fletcher marshall tx</t>
  </si>
  <si>
    <t>[18,18,100,100,18,18,18,18,18,18,18,18]</t>
  </si>
  <si>
    <t>what is a legal separation in texas</t>
  </si>
  <si>
    <t>[23,23,41,41,41,41,11,23,29,11,23,29]</t>
  </si>
  <si>
    <t>texas property division attorneys</t>
  </si>
  <si>
    <t>[0,23,64,52,52,52,64,64,82,100,64,52]</t>
  </si>
  <si>
    <t>n 400 naturalization processing time</t>
  </si>
  <si>
    <t>[0,0,0,0,0,0,0,0,0,100,0,0]</t>
  </si>
  <si>
    <t>houston drug crimes lawyer</t>
  </si>
  <si>
    <t>[2,28,43,12,28,23,28,35,100,82,66,53]</t>
  </si>
  <si>
    <t>what age can you ride a motorbike</t>
  </si>
  <si>
    <t>[64,35,50,35,35,28,64,100,100,64,50,64]</t>
  </si>
  <si>
    <t>how to own a suppressor in texas</t>
  </si>
  <si>
    <t>[64,52,82,52,64,82,52,64,64,64,41,64]</t>
  </si>
  <si>
    <t>Sitelinks, Video</t>
  </si>
  <si>
    <t>us naturalization processing time</t>
  </si>
  <si>
    <t>[0,0,0,0,100,15,80,19,0,0,7,3]</t>
  </si>
  <si>
    <t>does texas have grandparent rights</t>
  </si>
  <si>
    <t>[100,41,41,64,11,5,5,29,17,64,11,11]</t>
  </si>
  <si>
    <t>mineral rights preservation lawyer</t>
  </si>
  <si>
    <t>[36,81,100,63,27,45,27,36,27,81,81,81]</t>
  </si>
  <si>
    <t>what happens if u break a restraining order</t>
  </si>
  <si>
    <t>[28,23,35,53,43,43,35,35,66,23,100,35]</t>
  </si>
  <si>
    <t>open adoption in texas</t>
  </si>
  <si>
    <t>[19,9,9,9,19,23,19,23,23,19,9,9]</t>
  </si>
  <si>
    <t>Local pack, Sitelinks, Video, People also ask, Related searches, AI overview</t>
  </si>
  <si>
    <t>child support max in texas</t>
  </si>
  <si>
    <t>[27,45,63,63,36,0,36,45,81,100,63,63]</t>
  </si>
  <si>
    <t>the law offices of ossie brown</t>
  </si>
  <si>
    <t>[100,43,17,17,17,12,12,17,17,17,17,28]</t>
  </si>
  <si>
    <t>how can you tell if you're drunk</t>
  </si>
  <si>
    <t>[35,35,18,15,54,66,66,81,81,54,81,81]</t>
  </si>
  <si>
    <t>brown immigration law</t>
  </si>
  <si>
    <t>[65,82,100,65,82,82,55,55,82,82,100,82]</t>
  </si>
  <si>
    <t>child custody laws in texas</t>
  </si>
  <si>
    <t>[39,39,48,39,48,48,39,39,48,48,39,39]</t>
  </si>
  <si>
    <t>Video, Video Carousel, People also ask, Related searches, Things to know, AI overview</t>
  </si>
  <si>
    <t>indecent exposure in texas</t>
  </si>
  <si>
    <t>[0,2,10,5,7,10,10,2,23,10,23,17]</t>
  </si>
  <si>
    <t>texas child porn defense lawyer</t>
  </si>
  <si>
    <t>[28,100,100,57,14]</t>
  </si>
  <si>
    <t>texas child porn defense attorney</t>
  </si>
  <si>
    <t>[28,100,71,42,14]</t>
  </si>
  <si>
    <t>new child support law 2023 texas</t>
  </si>
  <si>
    <t>[0,0,0,0,0,1,2,3,3,3,3,3]</t>
  </si>
  <si>
    <t>curt brown attorney</t>
  </si>
  <si>
    <t>[52,100,11,11,11,11,11,11,11,11,11,11]</t>
  </si>
  <si>
    <t>Video, Related searches</t>
  </si>
  <si>
    <t>burns iwuji</t>
  </si>
  <si>
    <t>[0,0,100,18,100,100,100,18,100,18,18,18]</t>
  </si>
  <si>
    <t>Knowledge panel, Image pack, Sitelinks</t>
  </si>
  <si>
    <t>mary beth harrell</t>
  </si>
  <si>
    <t>[42,42,42,34,53,42,53,42,53,53,53,42]</t>
  </si>
  <si>
    <t>houston underage dui lawyer</t>
  </si>
  <si>
    <t>[0,0,5,5,10,10,12,17,100,43,28,35]</t>
  </si>
  <si>
    <t>Sitelinks, Video, Ads bottom, AI overview</t>
  </si>
  <si>
    <t>texas military custody issues</t>
  </si>
  <si>
    <t>[0,18,100,45,63,45,100,63,81,100,63,36]</t>
  </si>
  <si>
    <t>lawyers in sweetwater texas</t>
  </si>
  <si>
    <t>[14,0,0,28,28,35,28,21,14,50,7,28]</t>
  </si>
  <si>
    <t>contractual alimony texas</t>
  </si>
  <si>
    <t>[27,27,63,27,63,45,45,18,45,36,18,18]</t>
  </si>
  <si>
    <t>Sitelinks, Video, Video Carousel, Short videos, AI overview</t>
  </si>
  <si>
    <t>how to file for legal separation in texas</t>
  </si>
  <si>
    <t>[65,80,65,80,65,100,65,65,65,65,65,65]</t>
  </si>
  <si>
    <t>yetter coleman</t>
  </si>
  <si>
    <t>[72,59,72,72,72,59,100,72,72,59,72,72]</t>
  </si>
  <si>
    <t>brazoria county criminal lawyers</t>
  </si>
  <si>
    <t>[81,63,81,63,63,81,18,100,36,36,36,9]</t>
  </si>
  <si>
    <t>texas indecent exposure</t>
  </si>
  <si>
    <t>[9,6,15,9,15,15,15,5,9,15,12,15]</t>
  </si>
  <si>
    <t>brazoria county divorce online</t>
  </si>
  <si>
    <t>[0,72,100,4,100,4,2,2,2,4,2,2]</t>
  </si>
  <si>
    <t>Sitelinks, Ads top, Ads bottom, Ads middle</t>
  </si>
  <si>
    <t>costliest divorce</t>
  </si>
  <si>
    <t>[29,6,43,4,4,6,6,8,8,6,14,2]</t>
  </si>
  <si>
    <t>brown and musslewhite</t>
  </si>
  <si>
    <t>[11,11,11,11,11,100,64,64,11,11,11,11]</t>
  </si>
  <si>
    <t>Knowledge panel, Image pack, Sitelinks, People also ask, Related searches</t>
  </si>
  <si>
    <t>matthew m. hanley attorney at law</t>
  </si>
  <si>
    <t>[28,21,34,12,53,43,43,100,100,53,34,43]</t>
  </si>
  <si>
    <t>parental alienation phone calls</t>
  </si>
  <si>
    <t>[52,41,52,82,82,64,82,64,41,52,41,41]</t>
  </si>
  <si>
    <t>contested divorce lawyers in houston tx</t>
  </si>
  <si>
    <t>[17,41,100,41,52,11,0,0]</t>
  </si>
  <si>
    <t>Local pack, Video, Ads bottom, Related searches</t>
  </si>
  <si>
    <t>abogados de familia en houston tx</t>
  </si>
  <si>
    <t>[9,9,9,9,14,19,9,9,23,23,33,52]</t>
  </si>
  <si>
    <t>Local pack, Video, Image, Ads bottom, Related searches</t>
  </si>
  <si>
    <t>galveston county attorneys</t>
  </si>
  <si>
    <t>[66,66,66,44,36,12,36,36,36,29,36,36]</t>
  </si>
  <si>
    <t>uscis n 400 processing times</t>
  </si>
  <si>
    <t>[29,36,54,36,36,36,29,29,36,19,44,15]</t>
  </si>
  <si>
    <t>Sitelinks, Video, Video Carousel, Related searches</t>
  </si>
  <si>
    <t>donati brashear law firm</t>
  </si>
  <si>
    <t>[41,41,64,82,82,82,64,64,100,52,64,82]</t>
  </si>
  <si>
    <t>Knowledge panel, Sitelinks, Image</t>
  </si>
  <si>
    <t>john wayne beard</t>
  </si>
  <si>
    <t>[1,10,6,6,6,6,6,6,3,4,6,4]</t>
  </si>
  <si>
    <t>texas dwi vs dui</t>
  </si>
  <si>
    <t>[6,6,65,53,34,53,65,21,81,53,53,53]</t>
  </si>
  <si>
    <t>sealed your existence meaning</t>
  </si>
  <si>
    <t>[100]</t>
  </si>
  <si>
    <t>lori redmond attorney</t>
  </si>
  <si>
    <t>[81,66,100,66,54,66,81,54,66,54,54,81]</t>
  </si>
  <si>
    <t>military family care plan</t>
  </si>
  <si>
    <t>[34,42,65,65,65,53,53,80,80,65,80,100]</t>
  </si>
  <si>
    <t>spinal cord injury attorney houston</t>
  </si>
  <si>
    <t>[0,0,41,41,52,52,52,41,82,100,100,82]</t>
  </si>
  <si>
    <t>Local pack, Image, Ads bottom, AI overview</t>
  </si>
  <si>
    <t>how can you tell if your drunk</t>
  </si>
  <si>
    <t>[14,59,32,72,26,72,88,100,32,17,14,32]</t>
  </si>
  <si>
    <t>Featured snippet</t>
  </si>
  <si>
    <t>rape attorney houston</t>
  </si>
  <si>
    <t>[27,27,18,63,63,63,63,81,100,81,63,63]</t>
  </si>
  <si>
    <t>Video</t>
  </si>
  <si>
    <t>texas child support cap</t>
  </si>
  <si>
    <t>[11,11,13,13,46,37,100,13,11,8,16,25]</t>
  </si>
  <si>
    <t>drug crimes lawyer houston</t>
  </si>
  <si>
    <t>[21,28,43,34,53,81,100,28,28,65,65,53]</t>
  </si>
  <si>
    <t>spine injury attorney houston</t>
  </si>
  <si>
    <t>[0,0,0,27,81,63,81,81,45,100,100,63]</t>
  </si>
  <si>
    <t>Local pack, Sitelinks, Video, Ads bottom</t>
  </si>
  <si>
    <t>adjustment of status for spouse</t>
  </si>
  <si>
    <t>[18,100,18,100,100,36,27,18,18,18,18,18]</t>
  </si>
  <si>
    <t>obscenity charge</t>
  </si>
  <si>
    <t>[53,43,43,53,53,53,53,100,65,100,65,65]</t>
  </si>
  <si>
    <t>Sitelinks, Video, Related searches, See results about, AI overview</t>
  </si>
  <si>
    <t>ce borman and associates</t>
  </si>
  <si>
    <t>[77,55,55,100,77,33,55,77,77,55,33,33]</t>
  </si>
  <si>
    <t>brown paindiris and scott llp</t>
  </si>
  <si>
    <t>[53,28,35,35,17,28,66,66,43,43,35,100]</t>
  </si>
  <si>
    <t>Local pack, Sitelinks, Video, Video Carousel, Related searches</t>
  </si>
  <si>
    <t>walters gilbreath</t>
  </si>
  <si>
    <t>[81,81,66,81,66,66,66,54,81,100,81,100]</t>
  </si>
  <si>
    <t>custody lawyer houston</t>
  </si>
  <si>
    <t>[18,18,43,35,22,29,18,18,100,66,54,54]</t>
  </si>
  <si>
    <t>houston child custody lawyer</t>
  </si>
  <si>
    <t>[17,14,11,14,26,26,32,39,39,39,100,100]</t>
  </si>
  <si>
    <t>Local pack, Sitelinks, Video, Image, Ads bottom, People also ask, Related searches, Discussions and forums</t>
  </si>
  <si>
    <t>emergency custody lawyer</t>
  </si>
  <si>
    <t>[54,100,35,35,29,22,22,43,43,35,43,54]</t>
  </si>
  <si>
    <t>Local pack, Video, Ads bottom, Video Carousel, People also ask, Related searches</t>
  </si>
  <si>
    <t>if alcohol is poison why is it legal</t>
  </si>
  <si>
    <t>[35,10,4,43,54,43,22,4,4,4,4,4]</t>
  </si>
  <si>
    <t>car accident attorneys pearland</t>
  </si>
  <si>
    <t>[5,5,11,11,11,17,29,17,100,52,52,64]</t>
  </si>
  <si>
    <t>Local pack, Sitelinks, Image, Ads bottom, People also ask</t>
  </si>
  <si>
    <t>kuteyi law group</t>
  </si>
  <si>
    <t>[18,100,100,100,100,18,18,100,18,18,18,18]</t>
  </si>
  <si>
    <t>Knowledge panel, Sitelinks, Video, People also ask</t>
  </si>
  <si>
    <t>the woodlands property division law firm</t>
  </si>
  <si>
    <t>[0,0,14,71,100,71,71,100,100,100,100,100]</t>
  </si>
  <si>
    <t>how to tell if your drunk</t>
  </si>
  <si>
    <t>[54,81,54,44,44,44,54,66,81,66,44,36]</t>
  </si>
  <si>
    <t>slip and fall lawyers in texas</t>
  </si>
  <si>
    <t>[15,7,19,7,19,19,15,15,65,100,53,53]</t>
  </si>
  <si>
    <t>how to tell if your parents are getting divorced</t>
  </si>
  <si>
    <t>[35,50,35,50,21,64,100,78,50,64,50,64]</t>
  </si>
  <si>
    <t>restraining order houston</t>
  </si>
  <si>
    <t>[80,66,66,66,80,66,52,42,66,42,52,42]</t>
  </si>
  <si>
    <t>spinal cord injury lawyer houston</t>
  </si>
  <si>
    <t>[0,0,26,34,34,34,34,26,80,100,100,65]</t>
  </si>
  <si>
    <t>pearland motorcycle accident</t>
  </si>
  <si>
    <t>[7,7,7,7,53,7,19,15,7,7,7,7]</t>
  </si>
  <si>
    <t>Image pack, Video, Image, Video Carousel, Related searches</t>
  </si>
  <si>
    <t>texas penal code indecent exposure</t>
  </si>
  <si>
    <t>[23,12,81,100,66,100,100,100,36,29,66,100]</t>
  </si>
  <si>
    <t>Video, Video Carousel, Related searches</t>
  </si>
  <si>
    <t>texas spousal maintenance</t>
  </si>
  <si>
    <t>[3,4,4,6,3,3,2,1,3,3,4,4]</t>
  </si>
  <si>
    <t>drug lawyers in houston texas</t>
  </si>
  <si>
    <t>[45,45,81,45,45,63,45,27,63,18,18,36]</t>
  </si>
  <si>
    <t>sexting laws in texas</t>
  </si>
  <si>
    <t>[36,23,36,29,23,44,44,36,36,36,36,36]</t>
  </si>
  <si>
    <t>adjustment of status through marriage to permanent resident</t>
  </si>
  <si>
    <t>[3,1,1,1,3,2,1,2,2,2,2,1]</t>
  </si>
  <si>
    <t>texas suppressor law 2024</t>
  </si>
  <si>
    <t>[19,7,19,5,2,2,2,2,2,3,2,2]</t>
  </si>
  <si>
    <t>texas child custody laws</t>
  </si>
  <si>
    <t>[29,29,29,36,36,36,36,36,44,44,36,36]</t>
  </si>
  <si>
    <t>Sitelinks, Video, People also ask, Related searches, Short videos, Things to know, AI overview</t>
  </si>
  <si>
    <t>simple drunk</t>
  </si>
  <si>
    <t>[11,23,0,0,100,52,11,11,11,11,0,11]</t>
  </si>
  <si>
    <t>Sitelinks, Video, Image, Video Carousel, People also ask, Recipes, Related searches, AI overview</t>
  </si>
  <si>
    <t>texas city lawyer</t>
  </si>
  <si>
    <t>[14,28,71,100,57,42,42,100,71,100,42,57]</t>
  </si>
  <si>
    <t>how old to ride a motorbike</t>
  </si>
  <si>
    <t>[34,28,21,21,65,65,81,53,65,53,53,28]</t>
  </si>
  <si>
    <t>scott and associates phone number</t>
  </si>
  <si>
    <t>[34,43,43,53,53,53,65,34,53,43,53,43]</t>
  </si>
  <si>
    <t>Local pack, Video, People also ask, Related searches, See results about</t>
  </si>
  <si>
    <t>texas law about texting and driving</t>
  </si>
  <si>
    <t>[19,19,19,26,11,26,26,42,15,26,26,26]</t>
  </si>
  <si>
    <t>harris county criminal defense lawyer</t>
  </si>
  <si>
    <t>[14,14,14,28,71,42,28,28,100,100,71,71]</t>
  </si>
  <si>
    <t>spousal maintenance in texas</t>
  </si>
  <si>
    <t>[54,29,54,10,22,29,35,81,29,18,22,2]</t>
  </si>
  <si>
    <t>texas child pornography defense lawyer</t>
  </si>
  <si>
    <t>league city car accident lawyer</t>
  </si>
  <si>
    <t>[34,53,53,34,100,21,28,21,81,81,34,100]</t>
  </si>
  <si>
    <t>benefits of a naturalization lawyer</t>
  </si>
  <si>
    <t>[0,0,55,44,55,44,55,55,77,100,55,77]</t>
  </si>
  <si>
    <t>Video, Video Carousel, People also ask, AI overview</t>
  </si>
  <si>
    <t>how to get a suppressor in texas</t>
  </si>
  <si>
    <t>[10,10,8,10,7,5,5,5,7,5,5,4]</t>
  </si>
  <si>
    <t>Sitelinks, Video, People also ask, Discussions and forums</t>
  </si>
  <si>
    <t>how drunk is too drunk</t>
  </si>
  <si>
    <t>[42,42,42,42,42,23,42,42,42,23,33,33]</t>
  </si>
  <si>
    <t>when you're drunk can u not stand straight</t>
  </si>
  <si>
    <t>Sitelinks, Featured snippet, People also ask</t>
  </si>
  <si>
    <t>child custody attorney mays landing</t>
  </si>
  <si>
    <t>[71,71,100,100]</t>
  </si>
  <si>
    <t>noteboom law firm</t>
  </si>
  <si>
    <t>[66,54,54,54,54,66,66,43,54,81,54,54]</t>
  </si>
  <si>
    <t>first time offender program</t>
  </si>
  <si>
    <t>[100,80,100,80,80,80,80,100,65,100,80,65]</t>
  </si>
  <si>
    <t>contested divorce in houston tx</t>
  </si>
  <si>
    <t>[9,27,100,45,36,9]</t>
  </si>
  <si>
    <t>Sitelinks, Ads bottom, Discussions and forums, AI overview</t>
  </si>
  <si>
    <t>spousal maintenance texas</t>
  </si>
  <si>
    <t>[82,82,100,30,44,11,55,44,34,24,5,44]</t>
  </si>
  <si>
    <t>made in texas suppressor law</t>
  </si>
  <si>
    <t>[23,23,42,23,23,9,9,9,9,9,9,9]</t>
  </si>
  <si>
    <t>i'm drunk and need a ride home</t>
  </si>
  <si>
    <t>[23,29,52,17,17,23,0,11,17,23,11,23]</t>
  </si>
  <si>
    <t>Sitelinks, People also ask</t>
  </si>
  <si>
    <t>harris county criminal defense lawyers</t>
  </si>
  <si>
    <t>[81,45,100,81,63,81,63,81,63,81,63,100]</t>
  </si>
  <si>
    <t>texas adoption lawyer</t>
  </si>
  <si>
    <t>[7,7,7,19,26,42,42,53,53,100,80,53]</t>
  </si>
  <si>
    <t>how do i get a suppressor in texas</t>
  </si>
  <si>
    <t>[42,34,53,34,42,15,34,53,53,34,26,42]</t>
  </si>
  <si>
    <t>Sitelinks, Video, Discussions and forums</t>
  </si>
  <si>
    <t>grandmother rights in texas</t>
  </si>
  <si>
    <t>[45,20,81,10,5,13,6,4,10,8,13,8]</t>
  </si>
  <si>
    <t>processing times n400</t>
  </si>
  <si>
    <t>[0,0,3,1,100,35,0,0,0,0,0,0]</t>
  </si>
  <si>
    <t>Sitelinks, Video, Image, Related searches</t>
  </si>
  <si>
    <t>lawyers in sweetwater tx</t>
  </si>
  <si>
    <t>[33,19,33,33,33,23,23,19,23,33,19,19]</t>
  </si>
  <si>
    <t>how long it take to get citizenship after applying</t>
  </si>
  <si>
    <t>[4,4,22,4,22,22,22,14,14,14,10,14]</t>
  </si>
  <si>
    <t>1422 eugene heimann</t>
  </si>
  <si>
    <t>[23,35,23,12,28,82,43,17,82,53,66,12]</t>
  </si>
  <si>
    <t>neel mckoon law firm</t>
  </si>
  <si>
    <t>[18,18,18,18,100,100,18,18,100,100,100,18]</t>
  </si>
  <si>
    <t>marriage based adjustment of status</t>
  </si>
  <si>
    <t>[4,100,14,14,18,14,14,14,14,14,14,14]</t>
  </si>
  <si>
    <t>Sitelinks, Video, Video Carousel, People also ask, Related searches, Things to know, Discussions and forums, AI overview</t>
  </si>
  <si>
    <t>brazoria county district attorney office</t>
  </si>
  <si>
    <t>[15,100,19,0,0,15,0,0,3,0,0,0]</t>
  </si>
  <si>
    <t>texas suppressor freedom act</t>
  </si>
  <si>
    <t>[82,66,100,82,100,53,82,35,43,28,23,17]</t>
  </si>
  <si>
    <t>promotion of child pornography defense lawyer</t>
  </si>
  <si>
    <t>[0,42,42,100,100,57,14]</t>
  </si>
  <si>
    <t>custody law in texas</t>
  </si>
  <si>
    <t>[3,15,15,0,0,0,0,0,0,100,3,0]</t>
  </si>
  <si>
    <t>abogado de divorcios en houston</t>
  </si>
  <si>
    <t>[50,25,100,75,75,75,75,75,75,75,75,100]</t>
  </si>
  <si>
    <t>legal separation in texas vs divorce</t>
  </si>
  <si>
    <t>[63,63,81,81,63,27,18,63,63,63,45,45]</t>
  </si>
  <si>
    <t>lorenzo brown attorney desoto</t>
  </si>
  <si>
    <t>[41,64,82,64,82,82,100,41,41,64,82,82]</t>
  </si>
  <si>
    <t>kobe and divorce</t>
  </si>
  <si>
    <t>[45,45,18,100,18,18,18,18,100,100,18,18]</t>
  </si>
  <si>
    <t>Video, Image, Video Carousel, Related searches, Discussions and forums, AI overview</t>
  </si>
  <si>
    <t>albin oldner law pllc</t>
  </si>
  <si>
    <t>[45,36,63,63,63,81,81,100,100,81,81,63]</t>
  </si>
  <si>
    <t>houston domestic violence attorney</t>
  </si>
  <si>
    <t>[5,2,12,9,9,9,12,15,29,36,19,15]</t>
  </si>
  <si>
    <t>aggravated domestic assault lawyer houston</t>
  </si>
  <si>
    <t>[4,4,9,23,23,23,23,42,100,100,66,19]</t>
  </si>
  <si>
    <t>abogado de violencia de pareja en texas</t>
  </si>
  <si>
    <t>[7,14,35,100,100,100,64]</t>
  </si>
  <si>
    <t>abogados de familia en houston texas</t>
  </si>
  <si>
    <t>[28,42,57,0,28,42,28,71,57,71,100,100]</t>
  </si>
  <si>
    <t>texas postnuptial agreements attorneys</t>
  </si>
  <si>
    <t>[28,28,28,71,100,71,100,71,100,100,71,71]</t>
  </si>
  <si>
    <t>texas silencers</t>
  </si>
  <si>
    <t>[14,14,18,10,10,8,10,6,8,8,8,14]</t>
  </si>
  <si>
    <t>can police enter private property without permission</t>
  </si>
  <si>
    <t>[19,19,15,19,19,15,12,12,12,19,12,15]</t>
  </si>
  <si>
    <t>el paso child support</t>
  </si>
  <si>
    <t>[14,4,5,17,26,14,3,7,17,21,21,17]</t>
  </si>
  <si>
    <t>houston premises &amp; products liability attorneys</t>
  </si>
  <si>
    <t>[14,21,28,35,35,35,100,78,35]</t>
  </si>
  <si>
    <t>adjustment of status through marriage</t>
  </si>
  <si>
    <t>[6,6,20,8,24,8,10,6,5,6,10,13]</t>
  </si>
  <si>
    <t>Sitelinks, Video, Ads bottom, People also ask, Related searches, Things to know, AI overview</t>
  </si>
  <si>
    <t>sneed vine &amp; perry p.c</t>
  </si>
  <si>
    <t>[23,33,23,23,33,42,19,0,0,66,0,0]</t>
  </si>
  <si>
    <t>Local pack, Image pack, Sitelinks, Image, Related searches</t>
  </si>
  <si>
    <t>how to get a bond reduction</t>
  </si>
  <si>
    <t>[15,34,12,15,9,12,12,15,21,6,21,15]</t>
  </si>
  <si>
    <t>Sitelinks, Video, Ads bottom, People also ask, Related searches, Discussions and forums, AI overview</t>
  </si>
  <si>
    <t>abogados de casos criminales en houston</t>
  </si>
  <si>
    <t>[18,18,18,18,18,18,18,27,63,63,63,63]</t>
  </si>
  <si>
    <t>how long does it take to get naturalization certificate</t>
  </si>
  <si>
    <t>[64,11,64,64,11,100,11,11,11,11,11,11]</t>
  </si>
  <si>
    <t>league city car accident attorney</t>
  </si>
  <si>
    <t>[41,52,64,64,52,41,41,41,82,100,41,52]</t>
  </si>
  <si>
    <t>avery mcdaniel</t>
  </si>
  <si>
    <t>[19,23,19,33,33,33,9,52,9,9,9,9]</t>
  </si>
  <si>
    <t>jerry w melton</t>
  </si>
  <si>
    <t>[35,35,35,50,21,50,50,64,78,50,64,100]</t>
  </si>
  <si>
    <t>Knowledge panel, Image pack, Sitelinks, Video, Related searches</t>
  </si>
  <si>
    <t>galveston dwi lawyer</t>
  </si>
  <si>
    <t>[14,14,35,78,78,50,64,35,78,100,35,21]</t>
  </si>
  <si>
    <t>https://sbrownlawyer.com/blog/page/10/?refPageViewId=5b133344064ca303&amp;et_blog</t>
  </si>
  <si>
    <t>the woodlands divorce attorneys</t>
  </si>
  <si>
    <t>[0,0,36,81,100,81,100,100,81,100,100,100]</t>
  </si>
  <si>
    <t>how long does the naturalization interview take</t>
  </si>
  <si>
    <t>[100,63,100,63,63,81,100,81,81,81,81,100]</t>
  </si>
  <si>
    <t>texas parental rights attorney</t>
  </si>
  <si>
    <t>[0,0,36,63,63,45,100,36,63,63,81,63]</t>
  </si>
  <si>
    <t>christman daniell attorneys</t>
  </si>
  <si>
    <t>[41,52,52,52,82,52,82,64,82,52,64,100]</t>
  </si>
  <si>
    <t>temporary custody of grandchild</t>
  </si>
  <si>
    <t>[100,0,80,60,80,100,20,20,100,100,80,80]</t>
  </si>
  <si>
    <t>class a or b misdemeanor texas</t>
  </si>
  <si>
    <t>[2,3,2,3,1,100,52,13,3,24,52,4]</t>
  </si>
  <si>
    <t>how to fight a dui without a lawyer</t>
  </si>
  <si>
    <t>[42,33,52,52,33,52,33,42,33,66,66,42]</t>
  </si>
  <si>
    <t>galveston criminal defense lawyer</t>
  </si>
  <si>
    <t>[29,22,29,22,43,18,22,22,18,29,35,18]</t>
  </si>
  <si>
    <t>after biometrics how long for interview citizenship</t>
  </si>
  <si>
    <t>[100,63,63,45,45,0,63,36,36,36,45,18]</t>
  </si>
  <si>
    <t>texas custody laws</t>
  </si>
  <si>
    <t>[48,59,59,100,59,88,59,100,88,72,48,59]</t>
  </si>
  <si>
    <t>how to purchase a suppressor in texas</t>
  </si>
  <si>
    <t>[64,82,100,82,64,52,64,64,64,82,100,82]</t>
  </si>
  <si>
    <t>Sitelinks, Video, Video Carousel, Discussions and forums</t>
  </si>
  <si>
    <t>grandparents law in texas</t>
  </si>
  <si>
    <t>[45,20,30,13,13,5,5,55,36,24,81,6]</t>
  </si>
  <si>
    <t>dwi checkpoints in texas</t>
  </si>
  <si>
    <t>[23,23,42,23,33,52,33,42,33,23,33,33]</t>
  </si>
  <si>
    <t>how do you know if your drunk</t>
  </si>
  <si>
    <t>[36,36,55,36,16,20,20,30,24,45,30,36]</t>
  </si>
  <si>
    <t>Sitelinks, Featured snippet</t>
  </si>
  <si>
    <t>going to court for dui without a lawyer</t>
  </si>
  <si>
    <t>[22,18,18,22,35,29,18,22,18,29,22,10]</t>
  </si>
  <si>
    <t>postnuptial agreement in texas</t>
  </si>
  <si>
    <t>[100,3,3,11,34,53,26,42,15,26,11,26]</t>
  </si>
  <si>
    <t>galveston county divorce lawyers</t>
  </si>
  <si>
    <t>[17,52,17,41,29,11,52,41,100,17,17,0]</t>
  </si>
  <si>
    <t>bruce brown attorney</t>
  </si>
  <si>
    <t>[18,10,18,18,18,14,18,14,14,18,18,18]</t>
  </si>
  <si>
    <t>galveston county divorce attorney</t>
  </si>
  <si>
    <t>[17,11,23,11,5,11,23,5,5,11,23,64]</t>
  </si>
  <si>
    <t>can you refuse a breathalyzer in texas</t>
  </si>
  <si>
    <t>[28,28,28,28,35,17,17,23,17,17,28,23]</t>
  </si>
  <si>
    <t>gen z divorce rate</t>
  </si>
  <si>
    <t>[41,82,41,64,64,64,64,64,82,82,100,52]</t>
  </si>
  <si>
    <t>houston restraining order</t>
  </si>
  <si>
    <t>[64,64,78,35,100,64,50,64,35,50,50,35]</t>
  </si>
  <si>
    <t>how do i get a custody agreement</t>
  </si>
  <si>
    <t>[50,64,50,100,100,64,64,78,100,64,100,78]</t>
  </si>
  <si>
    <t>goranson bain pllc</t>
  </si>
  <si>
    <t>[41,41,29,17,41,41,52,41,41,41,64,41]</t>
  </si>
  <si>
    <t>how long does alimony last in texas</t>
  </si>
  <si>
    <t>[11,11,11,41,11,11,11,11,41,29,11,17]</t>
  </si>
  <si>
    <t>texas child abuse laws</t>
  </si>
  <si>
    <t>[63,18,45,45,81,27,63,36,63,36,63,81]</t>
  </si>
  <si>
    <t>houston adoption attorney</t>
  </si>
  <si>
    <t>[26,26,26,26,26,34,34,34,100,100,100,80]</t>
  </si>
  <si>
    <t>Local pack, Video, Image, Ads bottom</t>
  </si>
  <si>
    <t>scott jones lawyer</t>
  </si>
  <si>
    <t>[100,27,100,18,18,27,27,36,27,27,27,18]</t>
  </si>
  <si>
    <t>warmbrodt &amp; associates pllc</t>
  </si>
  <si>
    <t>[45,45,45,45,45,63,18,18,18,18,18,100]</t>
  </si>
  <si>
    <t>texas slip and fall lawyers</t>
  </si>
  <si>
    <t>[23,11,29,5,17,23,11,11,82,100,64,82]</t>
  </si>
  <si>
    <t>how do i file for legal separation in texas</t>
  </si>
  <si>
    <t>[42,52,42,52,19,42,66,66,42,33,52,66]</t>
  </si>
  <si>
    <t>Sitelinks, Ads bottom, People also ask, Related searches, Discussions and forums, AI overview</t>
  </si>
  <si>
    <t>galveston divorce lawyer</t>
  </si>
  <si>
    <t>[29,23,36,29,15,15,19,19,15,9,19,12]</t>
  </si>
  <si>
    <t>how long does naturalization interview take</t>
  </si>
  <si>
    <t>[28,23,28,17,23,23,28,28,17,23,35,35]</t>
  </si>
  <si>
    <t>bruce brown lawyer</t>
  </si>
  <si>
    <t>[29,0,41,0,23,29,0,0,0,5,41,0]</t>
  </si>
  <si>
    <t>texas divorce logo</t>
  </si>
  <si>
    <t>[100,0,0,0,0,0,0,0]</t>
  </si>
  <si>
    <t>Image pack, Sitelinks, People also ask, Related searches</t>
  </si>
  <si>
    <t>abogados de divorcio en houston</t>
  </si>
  <si>
    <t>[43,35,54,43,54,43,54,43,43,54,66,66]</t>
  </si>
  <si>
    <t>texas parental rights attorneys</t>
  </si>
  <si>
    <t>[7,14,50,64,64,64,100,50,100,100,100,78]</t>
  </si>
  <si>
    <t>robert brown immigration law</t>
  </si>
  <si>
    <t>[100,64,82,52,52,82,52,41,100,41,52,29]</t>
  </si>
  <si>
    <t>Sitelinks, Video, Ads bottom, Related searches</t>
  </si>
  <si>
    <t>murrah &amp; killough pllc</t>
  </si>
  <si>
    <t>[45,45,45,18,18,100,63,45,63,63,63,63]</t>
  </si>
  <si>
    <t>grand theft auto charge in texas</t>
  </si>
  <si>
    <t>[18,45,18,63,81,18,63,63,100,100,63,18]</t>
  </si>
  <si>
    <t>expunge vs seal</t>
  </si>
  <si>
    <t>[5,41,64,29,41,41,29,29,64,29,41,29]</t>
  </si>
  <si>
    <t>Video, Video Carousel, People also ask, Related searches, Short videos, Discussions and forums, AI overview</t>
  </si>
  <si>
    <t>how to know if ur drunk</t>
  </si>
  <si>
    <t>[7,39,11,9,7,9,21,17,26,17,14,21]</t>
  </si>
  <si>
    <t>houston drug possession lawyer</t>
  </si>
  <si>
    <t>[6,6,6,12,15,15,15,28,21,100,65,43]</t>
  </si>
  <si>
    <t>houston premises liability attorney</t>
  </si>
  <si>
    <t>[5,5,29,19,36,36,36,54,29,81,100,66]</t>
  </si>
  <si>
    <t>divorce attorney in the woodlands</t>
  </si>
  <si>
    <t>[14,14,21,21,28,50,100,28,21,28,35,35]</t>
  </si>
  <si>
    <t>can you buy a suppressor in texas</t>
  </si>
  <si>
    <t>[19,19,34,26,26,26,19,26,7,3,7,7]</t>
  </si>
  <si>
    <t>family law galveston county</t>
  </si>
  <si>
    <t>[19,19,42,19,19,11,11,42,53,15,26,26]</t>
  </si>
  <si>
    <t>houston tx adoption lawyer</t>
  </si>
  <si>
    <t>[100,50,100,64,78,28,64,100,50,78,78,100]</t>
  </si>
  <si>
    <t>Local pack, Image, Ads bottom, People also ask</t>
  </si>
  <si>
    <t>the maximum fine for a first conviction in texas</t>
  </si>
  <si>
    <t>[5,100,17,2,2,35,43,35,35,53,43,23]</t>
  </si>
  <si>
    <t>how to tell if ur drunk</t>
  </si>
  <si>
    <t>[23,29,29,100,29,0,0,23,41,41,5,5]</t>
  </si>
  <si>
    <t>Featured snippet, People also ask</t>
  </si>
  <si>
    <t>naturalization oath ceremony how long does it take</t>
  </si>
  <si>
    <t>[13,20,10,24,100,100,67,67,13,13,45,36]</t>
  </si>
  <si>
    <t>texas postnuptial agreements lawyers</t>
  </si>
  <si>
    <t>[0,0,42,71,100,71,100,71,100,100,100,71]</t>
  </si>
  <si>
    <t>law office of brent e cavazos</t>
  </si>
  <si>
    <t>[0,0,0,0,0,36,63,100,100,100,100,18]</t>
  </si>
  <si>
    <t>Local pack, Image pack, Image</t>
  </si>
  <si>
    <t>military divorce lawyer texas</t>
  </si>
  <si>
    <t>[19,14,100,52,100,100,100,42,33,66,80,52]</t>
  </si>
  <si>
    <t>Local pack, Sitelinks, Image, Related searches, Discussions and forums, AI overview</t>
  </si>
  <si>
    <t>texas slip and fall lawyer</t>
  </si>
  <si>
    <t>[54,0,28,15,18,18,18,8,81,100,66,66]</t>
  </si>
  <si>
    <t>kobe bryant divorce</t>
  </si>
  <si>
    <t>[0,7,7,7,7,7,7,7,7,7,0,0]</t>
  </si>
  <si>
    <t>Sitelinks, Video, Image, Related searches, Discussions and forums, AI overview</t>
  </si>
  <si>
    <t>abogado sucesiones</t>
  </si>
  <si>
    <t>[41,41,41,52,82,100,100,82,23,23,23,23]</t>
  </si>
  <si>
    <t>adoption lawyer texas</t>
  </si>
  <si>
    <t>[5,5,17,5,11,17,29,64,100,100,82,100]</t>
  </si>
  <si>
    <t>winnie bates</t>
  </si>
  <si>
    <t>[23,19,9,9,9,9,9,9,9,80,9,9]</t>
  </si>
  <si>
    <t>brain &amp; spinal cord injury attorneys houston</t>
  </si>
  <si>
    <t>[14,28,14,28,28,35,100,100,50,7]</t>
  </si>
  <si>
    <t>Local pack, Image, AI overview</t>
  </si>
  <si>
    <t>abogado de robo en houston</t>
  </si>
  <si>
    <t>[5,5,11,11,29,100,100,100,82]</t>
  </si>
  <si>
    <t>how to tell if someone's drunk</t>
  </si>
  <si>
    <t>[42,26,53,34,34,42,53,53,65,80,65,42]</t>
  </si>
  <si>
    <t>texas postnuptial agreements lawyer</t>
  </si>
  <si>
    <t>[0,0,0,18,45,63,45,63,45,63,63,63]</t>
  </si>
  <si>
    <t>obscenity definition law</t>
  </si>
  <si>
    <t>[43,43,66,35,66,66,100,81,29,43,35,81]</t>
  </si>
  <si>
    <t>how to tell when your drunk</t>
  </si>
  <si>
    <t>[15,23,66,15,9,12,23,66,15,100,19,19]</t>
  </si>
  <si>
    <t>how can you tell if you are drunk</t>
  </si>
  <si>
    <t>[14,14,29,18,14,14,22,22,18,18,22,22]</t>
  </si>
  <si>
    <t>questions to ask a family law lawyer</t>
  </si>
  <si>
    <t>[18,18,18,18,18,18,100,18,18,36,45,27]</t>
  </si>
  <si>
    <t>Video Carousel, Related searches, Discussions and forums, AI overview</t>
  </si>
  <si>
    <t>spine injury lawyer houston</t>
  </si>
  <si>
    <t>[14,14,14,21,64,50,50,64,50,100,100,64]</t>
  </si>
  <si>
    <t>can you ride a motorcycle at 16</t>
  </si>
  <si>
    <t>[18,18,18,18,18,100,100,100,100,100,100,18]</t>
  </si>
  <si>
    <t>texas restraining order requirements</t>
  </si>
  <si>
    <t>[33,52,42,42,52,66,66,66,52,80,66,100]</t>
  </si>
  <si>
    <t>too drunk</t>
  </si>
  <si>
    <t>[43,35,35,35,35,43,35,43,29,43,43,35]</t>
  </si>
  <si>
    <t>how much is a sperm donor in texas</t>
  </si>
  <si>
    <t>[42,42,42,28,57,57,42,28,28,57,57,42]</t>
  </si>
  <si>
    <t>Sitelinks, People also ask, Related searches, Discussions and forums, AI overview</t>
  </si>
  <si>
    <t>can you sue someone for giving you an std</t>
  </si>
  <si>
    <t>[100,84,68,84,68,68,84,100,100,100,100,68]</t>
  </si>
  <si>
    <t>first degree grand theft</t>
  </si>
  <si>
    <t>[11,11,11,100,64,11,11,11,11,11,11,11]</t>
  </si>
  <si>
    <t>brown and fortunato</t>
  </si>
  <si>
    <t>[65,65,65,65,81,65,65,81,81,100,81,53]</t>
  </si>
  <si>
    <t>what is considered reckless driving in texas</t>
  </si>
  <si>
    <t>[63,63,18,18,63,36,18,63,63,81,100,100]</t>
  </si>
  <si>
    <t>abogados en houston tx en espanol</t>
  </si>
  <si>
    <t>[23,33,42,23,52,33,33,33,80,100,80,80]</t>
  </si>
  <si>
    <t>league city tx car accident</t>
  </si>
  <si>
    <t>[4,5,3,3,3,7,10,12,4,2,2,2]</t>
  </si>
  <si>
    <t>houston child custody modifications</t>
  </si>
  <si>
    <t>[28,28,42,100,100,57,14]</t>
  </si>
  <si>
    <t>galveston criminal defense attorney</t>
  </si>
  <si>
    <t>[28,28,57,71,28,28,57,71,100,100,28,14]</t>
  </si>
  <si>
    <t>deregistration lawyers in texas</t>
  </si>
  <si>
    <t>[18,100,100,36,45,45,45,45,18,18,18,27]</t>
  </si>
  <si>
    <t>adoption lawyers in texas</t>
  </si>
  <si>
    <t>[2,11,11,11,26,14,26,14,9,59,100,72]</t>
  </si>
  <si>
    <t>primary caretaker</t>
  </si>
  <si>
    <t>[65,65,65,65,65,65,65,65,65,65,65,43]</t>
  </si>
  <si>
    <t>Knowledge panel, Video Carousel, People also ask, FAQ, Related searches, Things to know, AI overview</t>
  </si>
  <si>
    <t>lorenzo brown attorney at law</t>
  </si>
  <si>
    <t>Knowledge panel, Image pack, People also ask, Related searches</t>
  </si>
  <si>
    <t>adoption attorneys houston</t>
  </si>
  <si>
    <t>[0,40,40,60,80,80,80,80,100,100,80,100]</t>
  </si>
  <si>
    <t>texas child relocation lawyers</t>
  </si>
  <si>
    <t>[0,0,18,45,63,45,63,63,100,81,63,63]</t>
  </si>
  <si>
    <t>how to test if someone is drunk at home</t>
  </si>
  <si>
    <t>[60,100,100,60,80,60,80,40,80,80,80,60]</t>
  </si>
  <si>
    <t>how long is the naturalization interview</t>
  </si>
  <si>
    <t>[34,53,65,81,81,100,43,43,53,65,43,53]</t>
  </si>
  <si>
    <t>jon r disrud attorney</t>
  </si>
  <si>
    <t>[36,45,45,63,63,63,100,18,18,18,18,18]</t>
  </si>
  <si>
    <t>adoption attorney texas</t>
  </si>
  <si>
    <t>[0,9,9,14,9,42,19,42,80,100,80,80]</t>
  </si>
  <si>
    <t>how long for citizenship process</t>
  </si>
  <si>
    <t>[52,52,42,80,100,66,52,52,80,66,80,66]</t>
  </si>
  <si>
    <t>how long is a naturalization ceremony</t>
  </si>
  <si>
    <t>[78,78,35,50,50,50,64,64,50,78,64,50]</t>
  </si>
  <si>
    <t>texas adoption attorney</t>
  </si>
  <si>
    <t>[9,9,9,19,33,42,33,33,52,52,100,33]</t>
  </si>
  <si>
    <t>Local pack, Related searches</t>
  </si>
  <si>
    <t>https://sbrownlawyer.com/blog/page/10/?refPageViewId=7ec676ebd2ea8753&amp;et_blog</t>
  </si>
  <si>
    <t>can i get spousal support</t>
  </si>
  <si>
    <t>[80,80,80,100,53,19,26,26,65,26,26,53]</t>
  </si>
  <si>
    <t>texas child support attorney</t>
  </si>
  <si>
    <t>[27,18,0,36,63,81,81,63,63,81,100,100]</t>
  </si>
  <si>
    <t>legal separation vs divorce in texas</t>
  </si>
  <si>
    <t>[78,64,78,100,78,78,64,64,50,50,78,35]</t>
  </si>
  <si>
    <t>it support for law firms league city</t>
  </si>
  <si>
    <t>[0,0,100,26,26]</t>
  </si>
  <si>
    <t>Local pack, Sitelinks, People also ask, AI overview</t>
  </si>
  <si>
    <t>texas temporary restraining order</t>
  </si>
  <si>
    <t>[23,17,23,17,29,41,29,29,23,29,29,29]</t>
  </si>
  <si>
    <t>suppressors in texas</t>
  </si>
  <si>
    <t>[36,30,81,45,5,4,3,13,55,24,8,4]</t>
  </si>
  <si>
    <t>premises liability attorney houston</t>
  </si>
  <si>
    <t>[12,12,35,23,53,28,35,82,82,100,100,66]</t>
  </si>
  <si>
    <t>how long does the citizenship application process take</t>
  </si>
  <si>
    <t>[18,18,100,18,100,45,27,63,63,63,63,45]</t>
  </si>
  <si>
    <t>brandon wong and associates</t>
  </si>
  <si>
    <t>[18,27,18,100,36,18,18,18,18,18,18,100]</t>
  </si>
  <si>
    <t>houston divorce attorney for men</t>
  </si>
  <si>
    <t>[63,81,81,63,45,63,81,100,100,45,36,63]</t>
  </si>
  <si>
    <t>Local pack, Sitelinks, Video, Ads bottom, People also ask, Related searches, Discussions and forums, AI overview</t>
  </si>
  <si>
    <t>how to accept divorce when you don't want it</t>
  </si>
  <si>
    <t>[27,45,27,45,36,36,27,27,27,45,27,36]</t>
  </si>
  <si>
    <t>best premises liability lawyer in houston</t>
  </si>
  <si>
    <t>[100,21]</t>
  </si>
  <si>
    <t>abogados penalistas en houston tx</t>
  </si>
  <si>
    <t>[3,3,7,3,11,11,15,11,42,42,42,42]</t>
  </si>
  <si>
    <t>how to get legally separated in texas</t>
  </si>
  <si>
    <t>[33,14,33,33,19,23,23,42,52,42,33,42]</t>
  </si>
  <si>
    <t>adoption lawyer in texas</t>
  </si>
  <si>
    <t>[6,9,3,0,0,28,100,65,43,43,15,28]</t>
  </si>
  <si>
    <t>Local pack, Sitelinks, Ads bottom, Related searches, AI overview</t>
  </si>
  <si>
    <t>spinal injury cost projection expert texas</t>
  </si>
  <si>
    <t>[11,44,33,33,33,100,55,33,22]</t>
  </si>
  <si>
    <t>Sitelinks, Ads bottom, AI overview</t>
  </si>
  <si>
    <t>who gets the wedding ring in a divorce</t>
  </si>
  <si>
    <t>[100,100,100,100,100,81,100,63,45,81,63,45]</t>
  </si>
  <si>
    <t>Sitelinks, Video, Video Carousel, Related searches, Short videos, Discussions and forums, AI overview</t>
  </si>
  <si>
    <t>gray becker</t>
  </si>
  <si>
    <t>[26,26,34,34,42,42,100,53,42,42,34,42]</t>
  </si>
  <si>
    <t>family care plan military</t>
  </si>
  <si>
    <t>[33,33,55,0,11,33,0,77,55,44,100,77]</t>
  </si>
  <si>
    <t>divorce attorney galveston</t>
  </si>
  <si>
    <t>[40,20,40,40,60,100,100,100,80,60,40,40]</t>
  </si>
  <si>
    <t>Local pack, Sitelinks, Video, Image, Related searches, Discussions and forums</t>
  </si>
  <si>
    <t>spousal abuse jokes</t>
  </si>
  <si>
    <t>[17,35,23,23,12,28,12,17,12,17,28,35]</t>
  </si>
  <si>
    <t>what happens if you break a restraining order</t>
  </si>
  <si>
    <t>[81,66,100,100,66,66,81,81,66,81,81,66]</t>
  </si>
  <si>
    <t>are dui checkpoints legal in texas</t>
  </si>
  <si>
    <t>[28,28,43,28,23,66,35,100,35,43,43,43]</t>
  </si>
  <si>
    <t>Video, Related searches, Short videos, Discussions and forums, AI overview</t>
  </si>
  <si>
    <t>how to know if im drunk</t>
  </si>
  <si>
    <t>[42,26,65,15,3,42,19,34,80,100,65,34]</t>
  </si>
  <si>
    <t>adjustment of status married to us citizen</t>
  </si>
  <si>
    <t>[18,27,18,63,45,45,36,27,27,45,27,18]</t>
  </si>
  <si>
    <t>minimum child support texas</t>
  </si>
  <si>
    <t>[23,33,23,42,23,23,23,4,9,4,9,9]</t>
  </si>
  <si>
    <t>is it illegal to own a silencer</t>
  </si>
  <si>
    <t>[42,53,100,53,34,34,26,65,42,42,34,42]</t>
  </si>
  <si>
    <t>texas military divorce lawyer</t>
  </si>
  <si>
    <t>[29,35,18,29,18,35,29,29,29,22,29,29]</t>
  </si>
  <si>
    <t>Local pack, Sitelinks, Image, People also ask, Related searches, AI overview</t>
  </si>
  <si>
    <t>wyly and cook</t>
  </si>
  <si>
    <t>[9,9,9,9,52,52,9,9,9,9,9,9]</t>
  </si>
  <si>
    <t>Knowledge panel, Sitelinks, Video, Image, People also ask, Short videos</t>
  </si>
  <si>
    <t>best divorce lawyer texas</t>
  </si>
  <si>
    <t>[78,78,50,78,100,64,50,78,50,64,78,64]</t>
  </si>
  <si>
    <t>Local pack, Sitelinks, Video, Related searches, Discussions and forums</t>
  </si>
  <si>
    <t>text while driving texas</t>
  </si>
  <si>
    <t>[64,35,50,50,50,21,50,50,78,35,35,50]</t>
  </si>
  <si>
    <t>proh sexual conduct with ancestor/descendant</t>
  </si>
  <si>
    <t>[7,7,7,7,100,7,3,7,3,11,11,3]</t>
  </si>
  <si>
    <t>who gets the house in a divorce in texas</t>
  </si>
  <si>
    <t>[66,66,54,54,54,66,54,66,66,44,44,35]</t>
  </si>
  <si>
    <t>texas leaving scene of accident</t>
  </si>
  <si>
    <t>[42,26,53,34,42,19,26,100,26,34,80,26]</t>
  </si>
  <si>
    <t>divorce attorney sugar land tx</t>
  </si>
  <si>
    <t>[53,42,42,80,65,100,34,53,53,42,42,65]</t>
  </si>
  <si>
    <t>adoption lawyer houston</t>
  </si>
  <si>
    <t>[33,66,42,33,33,52,66,42,100,100,100,66]</t>
  </si>
  <si>
    <t>Local pack, Image, People also ask</t>
  </si>
  <si>
    <t>domestic violence lawyer houston</t>
  </si>
  <si>
    <t>[81,34,43,43,65,65,34,43,100,100,81,65]</t>
  </si>
  <si>
    <t>houston adoption lawyer</t>
  </si>
  <si>
    <t>[17,17,23,17,28,23,23,23,82,82,82,100]</t>
  </si>
  <si>
    <t>texas postnuptial agreements attorney</t>
  </si>
  <si>
    <t>[0,0,11,55,77,55,100,55,77,77,77,77]</t>
  </si>
  <si>
    <t>coleman chavez and associates</t>
  </si>
  <si>
    <t>[53,65,81,65,81,81,81,65,81,43,43,65]</t>
  </si>
  <si>
    <t>spillman thomas</t>
  </si>
  <si>
    <t>[2,19,4,2,4,2,4,5,5,19,9,100]</t>
  </si>
  <si>
    <t>possession of child pornography lawyer</t>
  </si>
  <si>
    <t>[0,7,21,21,7,14,78,100,64,100]</t>
  </si>
  <si>
    <t>chad baruch attorney</t>
  </si>
  <si>
    <t>[7,7,7,7,7,7,7,42,7,42,42,7]</t>
  </si>
  <si>
    <t>Local pack, Video, Related searches, See results about</t>
  </si>
  <si>
    <t>interlock installation fort worth tx</t>
  </si>
  <si>
    <t>[100,55,0]</t>
  </si>
  <si>
    <t>sprouse shrader smith</t>
  </si>
  <si>
    <t>[43,43,66,66,66,81,81,66,100,100,81,66]</t>
  </si>
  <si>
    <t>Local pack, Sitelinks, Video, Related searches, See results about</t>
  </si>
  <si>
    <t>aggravated assault lawyers houston</t>
  </si>
  <si>
    <t>[9,33,33,33,33,42,33,33,80,100,66,33]</t>
  </si>
  <si>
    <t>Local pack, Sitelinks, Video, People also ask</t>
  </si>
  <si>
    <t>custody rights in texas</t>
  </si>
  <si>
    <t>[14,78,78,14,14,14,14,14,14,35,14,14]</t>
  </si>
  <si>
    <t>scott kimberly attorney</t>
  </si>
  <si>
    <t>[50,50,50,50,78,64,78,78,78,78,78,100]</t>
  </si>
  <si>
    <t>silent divorce signs</t>
  </si>
  <si>
    <t>[5,3,8,16,10,100,36,36,36,30,24,13]</t>
  </si>
  <si>
    <t>Image pack, Video, Image, Related searches, Discussions and forums, AI overview</t>
  </si>
  <si>
    <t>first time felony waiver</t>
  </si>
  <si>
    <t>[7,42,42,26,19,26,34,26,26,11,7,7]</t>
  </si>
  <si>
    <t>family law galveston tx</t>
  </si>
  <si>
    <t>[52,66,52,42,42,52,33,80,42,66,42,52]</t>
  </si>
  <si>
    <t>marital separation in texas</t>
  </si>
  <si>
    <t>[100,18,100,18,18,18,18,18,18,18,18,18]</t>
  </si>
  <si>
    <t>Knowledge panel, Sitelinks, Video, Video Carousel, Related searches</t>
  </si>
  <si>
    <t>leaving scene of accident texas</t>
  </si>
  <si>
    <t>[23,33,14,80,66,52,23,14,66,52,42,66]</t>
  </si>
  <si>
    <t>the woodlands family law attorneys</t>
  </si>
  <si>
    <t>[0,9,0,36,81,81,63,81,81,100,100,100]</t>
  </si>
  <si>
    <t>burn injury lawyer sweetwater tx</t>
  </si>
  <si>
    <t>[22,44,100,77,11,33]</t>
  </si>
  <si>
    <t>cps attorney houston</t>
  </si>
  <si>
    <t>[100,42,53,53,19,26,26,42,26,53,42,42]</t>
  </si>
  <si>
    <t>citizenship processing timeline</t>
  </si>
  <si>
    <t>[0,36,24,20,10,8,10,100,81,0,0,45]</t>
  </si>
  <si>
    <t>Sitelinks, Video, Image, People also ask, AI overview</t>
  </si>
  <si>
    <t>visitation rights for grandparents in texas</t>
  </si>
  <si>
    <t>[15,15,11,0,8,11,100,23,11,11,11,8]</t>
  </si>
  <si>
    <t>miles franklin attorney</t>
  </si>
  <si>
    <t>[12,12,12,43,12,12,12,100,66,12,43,17]</t>
  </si>
  <si>
    <t>smith &amp; brown law group</t>
  </si>
  <si>
    <t>[78,14,14,100,35,14,14,14,0,0,14,14]</t>
  </si>
  <si>
    <t>premises &amp; products liability attorneys houston</t>
  </si>
  <si>
    <t>[7,7,7,11,15,15,19,11,65,100,34,0]</t>
  </si>
  <si>
    <t>Local pack, Ads bottom, AI overview</t>
  </si>
  <si>
    <t>divorce attorney pasadena tx</t>
  </si>
  <si>
    <t>[45,63,63,45,45,63,63,45,63,63,63,81]</t>
  </si>
  <si>
    <t>Local pack, Sitelinks, Image, Discussions and forums</t>
  </si>
  <si>
    <t>houston collaborative divorce lawyers</t>
  </si>
  <si>
    <t>[42,100,100,28,28]</t>
  </si>
  <si>
    <t>hugo pina attorney</t>
  </si>
  <si>
    <t>[41,52,52,100,41,52,100,100,100,41,82,100]</t>
  </si>
  <si>
    <t>fibich leebron</t>
  </si>
  <si>
    <t>[43,28,34,43,53,65,53,65,65,65,65,65]</t>
  </si>
  <si>
    <t>jonathan juhan attorney</t>
  </si>
  <si>
    <t>[33,42,42,52,19,66,52,52,42,33,52,66]</t>
  </si>
  <si>
    <t>men's divorce attorney houston</t>
  </si>
  <si>
    <t>[100,100,100,7,100,100,100,100,100,78,100,7]</t>
  </si>
  <si>
    <t>Local pack, Sitelinks, Video, Ads bottom, Related searches, Discussions and forums</t>
  </si>
  <si>
    <t>texas traumatic brain injury attorney</t>
  </si>
  <si>
    <t>[0,0,17,64,52,41,52,29,82,100,52,100]</t>
  </si>
  <si>
    <t>abogado de violencia doméstica en houston</t>
  </si>
  <si>
    <t>[5,5,11,11,41,100,100,100,64]</t>
  </si>
  <si>
    <t>abogado de confianza y bienes near me</t>
  </si>
  <si>
    <t>[33,11,11,77,33,55,55,77,77,100,100,44]</t>
  </si>
  <si>
    <t>Local pack, Sitelinks, FAQ, Related searches, AI overview</t>
  </si>
  <si>
    <t>fleeing the scene of an accident texas</t>
  </si>
  <si>
    <t>[54,35,35,35,22,14,35,35,29,29,14,29]</t>
  </si>
  <si>
    <t>how to tell if you are drunk</t>
  </si>
  <si>
    <t>[34,42,53,53,34,42,34,53,34,53,42,26]</t>
  </si>
  <si>
    <t>julie ketterman</t>
  </si>
  <si>
    <t>[10,14,10,10,14,14,18,22,10,10,10,4]</t>
  </si>
  <si>
    <t>becky brown attorney</t>
  </si>
  <si>
    <t>[100,18,100,18,18,18,18,100,100,100,100,100]</t>
  </si>
  <si>
    <t>Knowledge panel, Image pack, Sitelinks, Video, Related searches, Short videos</t>
  </si>
  <si>
    <t>dui checkpoints in texas</t>
  </si>
  <si>
    <t>[45,63,81,63,63,100,45,100,45,81,81,63]</t>
  </si>
  <si>
    <t>houston divorce lawyer for men</t>
  </si>
  <si>
    <t>[52,52,52,52,33,42,33,42,52,100,100,100]</t>
  </si>
  <si>
    <t>family law ppc</t>
  </si>
  <si>
    <t>[11,7,15,19,19,34,34,34,26,100,80,80]</t>
  </si>
  <si>
    <t>restraining order houston texas</t>
  </si>
  <si>
    <t>[64,35,64,64,50,35,28,50,35,64,50,50]</t>
  </si>
  <si>
    <t>motorcycles for 15 year olds</t>
  </si>
  <si>
    <t>[45,45,45,45,63,63,63,81,63,100,100,63]</t>
  </si>
  <si>
    <t>Sitelinks, Video, Image, Video Carousel, People also ask, Popular products, Related searches, AI overview</t>
  </si>
  <si>
    <t>what drunk are you</t>
  </si>
  <si>
    <t>[52,41,82,52,52,52,52,82,82,52,41,52]</t>
  </si>
  <si>
    <t>Image pack, Video, Video Carousel, People also ask, Related searches</t>
  </si>
  <si>
    <t>first time offender act</t>
  </si>
  <si>
    <t>[23,23,33,42,33,9,9,9,9,52,52,52]</t>
  </si>
  <si>
    <t>texting while driving law texas</t>
  </si>
  <si>
    <t>[63,45,45,45,63,27,63,63,100,36,63,63]</t>
  </si>
  <si>
    <t>types of child custody in texas</t>
  </si>
  <si>
    <t>[78,50,50,78,64,50,64,64,50,50,50,21]</t>
  </si>
  <si>
    <t>adoption lawyer houston tx</t>
  </si>
  <si>
    <t>[100,14,100,64,78,28,64,100,50,64,64,100]</t>
  </si>
  <si>
    <t>Local pack, Image, People also ask, Related searches, AI overview</t>
  </si>
  <si>
    <t>jimmy ortiz attorney</t>
  </si>
  <si>
    <t>[26,19,26,11,26,26,26,15,19,26,26,19]</t>
  </si>
  <si>
    <t>galveston dwi attorney</t>
  </si>
  <si>
    <t>[35,21,78,78,64,14,14,35,21,14,14,14]</t>
  </si>
  <si>
    <t>how to know if your drunk</t>
  </si>
  <si>
    <t>[45,67,45,45,55,55,100,67,100,55,45,55]</t>
  </si>
  <si>
    <t>criminal defense lawyer galveston</t>
  </si>
  <si>
    <t>[3,7,11,15,3,3,15,19,19,26,7,11]</t>
  </si>
  <si>
    <t>brain &amp; spinal cord injury attorney houston</t>
  </si>
  <si>
    <t>[11,11,26,19,15,26,80,100,53,3]</t>
  </si>
  <si>
    <t>jim brown lawyer</t>
  </si>
  <si>
    <t>[64,50,50,35,64,78,78,100,78,78,50,78]</t>
  </si>
  <si>
    <t>Knowledge panel, Sitelinks, Video, Related searches, AI overview</t>
  </si>
  <si>
    <t>divorce attorney sherman tx</t>
  </si>
  <si>
    <t>[50,78,64,100,78,100,78,78,78,50,78,78]</t>
  </si>
  <si>
    <t>audie reese</t>
  </si>
  <si>
    <t>[64,41,52,64,64,29,52,41,41,64,41,82]</t>
  </si>
  <si>
    <t>ossie brown</t>
  </si>
  <si>
    <t>[64,64,41,52,64,64,64,41,100,64,41,82]</t>
  </si>
  <si>
    <t>susan brown attorney</t>
  </si>
  <si>
    <t>[42,42,53,65,65,65,42,42,42,80,53,65]</t>
  </si>
  <si>
    <t>hazard road</t>
  </si>
  <si>
    <t>[16,16,20,20,24,24,24,20,30,30,20,16]</t>
  </si>
  <si>
    <t>Image pack, Sitelinks, Video, Image, Related searches</t>
  </si>
  <si>
    <t>kristy brown attorney</t>
  </si>
  <si>
    <t>[11,11,17,11,11,11,11,52,100,11,11,11]</t>
  </si>
  <si>
    <t>Ads bottom</t>
  </si>
  <si>
    <t>defensor penal en houston</t>
  </si>
  <si>
    <t>[0,7,50,100,100,100,78]</t>
  </si>
  <si>
    <t>how to know your drunk</t>
  </si>
  <si>
    <t>[15,53,34,26,42,26,42,65,100,53,42,34]</t>
  </si>
  <si>
    <t>houston brain &amp; spinal cord injury attorneys</t>
  </si>
  <si>
    <t>[14,28,21,28,35,35,100,100,50]</t>
  </si>
  <si>
    <t>can you buy a suppressor in texas without tax stamp</t>
  </si>
  <si>
    <t>[4,4,4,4,5,2,2,2,2,2,2,3]</t>
  </si>
  <si>
    <t>do i need uninsured motorist coverage in texas</t>
  </si>
  <si>
    <t>[63,81,36,81,63,63,27,63,45,81,100,81]</t>
  </si>
  <si>
    <t>refusing breathalyzer in texas</t>
  </si>
  <si>
    <t>[64,52,82,64,52,41,82,64,64,64,52,29]</t>
  </si>
  <si>
    <t>cps lawyer houston</t>
  </si>
  <si>
    <t>[100,33,52,42,33,23,33,42,33,42,42,52]</t>
  </si>
  <si>
    <t>custody laws in texas</t>
  </si>
  <si>
    <t>[44,36,66,100,19,23,19,29,19,9,15,19]</t>
  </si>
  <si>
    <t>attorneys in sweetwater texas</t>
  </si>
  <si>
    <t>[81,63,81,81,81,63,100,63,9,100,45,63]</t>
  </si>
  <si>
    <t>can a child be adopted without the father consent</t>
  </si>
  <si>
    <t>[52,23,0,33,42,33,4,9,4,9,14,4]</t>
  </si>
  <si>
    <t>Sitelinks, Video Carousel, Related searches, Discussions and forums, AI overview</t>
  </si>
  <si>
    <t>is alcoholism grounds for divorce</t>
  </si>
  <si>
    <t>[42,42,42,57,57,71,57,71,100,71,71,71]</t>
  </si>
  <si>
    <t>kristen brown attorney</t>
  </si>
  <si>
    <t>[14,35,35,35,100,50,28,21,0,28,21,28]</t>
  </si>
  <si>
    <t>cps attorneys in san antonio texas</t>
  </si>
  <si>
    <t>[19,19,19,19,19,11,26,26,26,3,19,26]</t>
  </si>
  <si>
    <t>the love ducote law firm llc</t>
  </si>
  <si>
    <t>[27,18,45,45,45,63,100,18,100,45,63,81]</t>
  </si>
  <si>
    <t>milam and fanning</t>
  </si>
  <si>
    <t>[66,42,42,52,52,66,66,80,100,100,100,80]</t>
  </si>
  <si>
    <t>requirements for restraining order in texas</t>
  </si>
  <si>
    <t>[64,29,64,52,64,23,52,100,100,82,41,82]</t>
  </si>
  <si>
    <t>Ads middle</t>
  </si>
  <si>
    <t>personal injury lawyer pearland</t>
  </si>
  <si>
    <t>[8,8,8,7,3,7,7,8,13,16,16,16]</t>
  </si>
  <si>
    <t>slip and fall accidents</t>
  </si>
  <si>
    <t>[30,34,44,44,44,65,65,65,55,100,82,65]</t>
  </si>
  <si>
    <t>Image pack, Ads bottom, Video Carousel, People also ask, Related searches, Discussions and forums, Ads middle, AI overview</t>
  </si>
  <si>
    <t>is it illegal to have a silencer</t>
  </si>
  <si>
    <t>[42,52,42,100,42,52,80,42,80,52,52,33]</t>
  </si>
  <si>
    <t>ride on motorcycle for 5 year old</t>
  </si>
  <si>
    <t>[0,42,100,7,26,0,0,34,34,42,0,3]</t>
  </si>
  <si>
    <t>Sitelinks, Video, Image, Video Carousel, People also ask, Popular products, Related searches</t>
  </si>
  <si>
    <t>prohibited sexual conduct with ancestor descendant</t>
  </si>
  <si>
    <t>[6,3,100,3,3,3,3,3,3,3,0,0]</t>
  </si>
  <si>
    <t>timberly davis</t>
  </si>
  <si>
    <t>[18,18,18,100,18,100,18,18,18,100,18,63]</t>
  </si>
  <si>
    <t>Knowledge panel, Image pack, Related searches</t>
  </si>
  <si>
    <t>kyle brown mcallen</t>
  </si>
  <si>
    <t>[19,19,34,34,34,26,34,53,15,26,26,26]</t>
  </si>
  <si>
    <t>the jackman law firm houston</t>
  </si>
  <si>
    <t>[28,100,43,66,23,35,7]</t>
  </si>
  <si>
    <t>daniel corno attorney</t>
  </si>
  <si>
    <t>[33,42,42,80,80,80,100,66,66,66,42,42]</t>
  </si>
  <si>
    <t>william thau attorney</t>
  </si>
  <si>
    <t>texas suppressor</t>
  </si>
  <si>
    <t>[5,36,20,16,16,13,16,8,16,13,13,13]</t>
  </si>
  <si>
    <t>leaving the scene of an accident texas no injuries</t>
  </si>
  <si>
    <t>[44,35,44,28,35,35,35,28,35,28,35,28]</t>
  </si>
  <si>
    <t>premises liability attorney in houston</t>
  </si>
  <si>
    <t>[0,0,11,100,23,17,5,5,17,52,41,29]</t>
  </si>
  <si>
    <t>rebab sexual abuse lawyer nyc</t>
  </si>
  <si>
    <t>[28,0,28,100,100,100,100,71,100,71,57,57]</t>
  </si>
  <si>
    <t>Local pack, Related searches, AI overview</t>
  </si>
  <si>
    <t>reasons grandparents can file for custody of grandchild</t>
  </si>
  <si>
    <t>[24,30,34,34,34,34,34,30,44,34,34,34]</t>
  </si>
  <si>
    <t>public indecency laws texas</t>
  </si>
  <si>
    <t>[45,45,45,45,27,63,45,18,36,36,18,18]</t>
  </si>
  <si>
    <t>how to drive drunk</t>
  </si>
  <si>
    <t>[29,41,29,29,41,41,41,41,29,11,11,11]</t>
  </si>
  <si>
    <t>how do you know if you are drunk</t>
  </si>
  <si>
    <t>[65,80,65,42,65,53,65,65,65,80,53,80]</t>
  </si>
  <si>
    <t>texas adoption lawyers</t>
  </si>
  <si>
    <t>[0,0,33,55,77,55,77,100,100,100,77,77]</t>
  </si>
  <si>
    <t>texas reckless driving</t>
  </si>
  <si>
    <t>[5,13,30,30,13,24,10,20,13,30,16,20]</t>
  </si>
  <si>
    <t>texas law for texting and driving</t>
  </si>
  <si>
    <t>[41,29,29,29,41,17,41,41,64,23,41,41]</t>
  </si>
  <si>
    <t>abogados de divorcio en houston tx</t>
  </si>
  <si>
    <t>[23,9,19,9,9,9,9,52,9,33,52,42]</t>
  </si>
  <si>
    <t>brazoria county criminal attorney</t>
  </si>
  <si>
    <t>[63,63,63,63,100,63,81,63,45,63,63,81]</t>
  </si>
  <si>
    <t>4th dwi texas jail time</t>
  </si>
  <si>
    <t>[100,80,40,40,40,60,80,80,60,80,80,40]</t>
  </si>
  <si>
    <t>family law firm the woodlands</t>
  </si>
  <si>
    <t>[9,0,0,27,63,63,45,63,63,63,63,63]</t>
  </si>
  <si>
    <t>becky brown lawyer</t>
  </si>
  <si>
    <t>Image pack, Sitelinks, Video, Related searches</t>
  </si>
  <si>
    <t>dossey and jones</t>
  </si>
  <si>
    <t>[81,53,65,65,81,65,81,81,81,65,100,81]</t>
  </si>
  <si>
    <t>deric walpole</t>
  </si>
  <si>
    <t>[1,0,1,1,1,1,100,2,2,2,1,1]</t>
  </si>
  <si>
    <t>Knowledge panel, Video, Related searches</t>
  </si>
  <si>
    <t>texas child support guidelines</t>
  </si>
  <si>
    <t>[7,5,3,4,8,8,100,13,13,7,20,25]</t>
  </si>
  <si>
    <t>mitchell bluhm and associates</t>
  </si>
  <si>
    <t>[2,5,5,7,5,7,4,5,5,4,4,2]</t>
  </si>
  <si>
    <t>proceso consular</t>
  </si>
  <si>
    <t>[63,81,81,81,81,63,100,100,100,100,100,63]</t>
  </si>
  <si>
    <t>Video, Video Carousel, People also ask, FAQ, Related searches, See results about, AI overview</t>
  </si>
  <si>
    <t>state of texas custody laws</t>
  </si>
  <si>
    <t>[36,55,30,16,8,8,13,24,3,16,100,10]</t>
  </si>
  <si>
    <t>galveston criminal defense attorneys</t>
  </si>
  <si>
    <t>[14,14,14,78,28,78,64,100,50,50,50,64]</t>
  </si>
  <si>
    <t>scott layh</t>
  </si>
  <si>
    <t>[17,17,28,23,12,17,17,12,28,17,17,17]</t>
  </si>
  <si>
    <t>Local pack, Image pack, Video, See results about</t>
  </si>
  <si>
    <t>adoption without legal papers</t>
  </si>
  <si>
    <t>no touch law texas</t>
  </si>
  <si>
    <t>[0,0,0,0,0,0,0,100,24,16,13,5]</t>
  </si>
  <si>
    <t>what is primary caretaker</t>
  </si>
  <si>
    <t>[45,45,63,81,81,63,63,45,63,63,63,45]</t>
  </si>
  <si>
    <t>texas brain injury lawyer</t>
  </si>
  <si>
    <t>[18,0,36,81,63,45,36,18,100,100,36,100]</t>
  </si>
  <si>
    <t>family law attorneys in the woodlands</t>
  </si>
  <si>
    <t>[15,28,18,23,18,18,15,28,18,23,23,44]</t>
  </si>
  <si>
    <t>divorce rates by generation</t>
  </si>
  <si>
    <t>[36,44,44,44,44,44,36,29,36,54,29,36]</t>
  </si>
  <si>
    <t>bond reduction hearing</t>
  </si>
  <si>
    <t>[64,64,82,82,64,82,52,52,64,64,52,64]</t>
  </si>
  <si>
    <t>food and drug attorney</t>
  </si>
  <si>
    <t>[50,64,64,78,28,64,100,100,50,50,50,50]</t>
  </si>
  <si>
    <t>slip and fall attorneys texas</t>
  </si>
  <si>
    <t>[1,1,6,20,36,36,13,6,8,4,100,10]</t>
  </si>
  <si>
    <t>unfit mother meaning</t>
  </si>
  <si>
    <t>[6,34,6,6,6,34,34,6,34,34,21,15]</t>
  </si>
  <si>
    <t>n 400 application for naturalization processing times</t>
  </si>
  <si>
    <t>[22,100,55,0,33,77,55,77,55,55,55,55]</t>
  </si>
  <si>
    <t>can u sue someone for giving u an std</t>
  </si>
  <si>
    <t>[17,11,11,11,11,11,29,64,64,64,41,52]</t>
  </si>
  <si>
    <t>consent age texas</t>
  </si>
  <si>
    <t>[0,44,3,1,0,2,0,0,0,0,0,2]</t>
  </si>
  <si>
    <t>rebel brown law group llc</t>
  </si>
  <si>
    <t>[45,45,45,45,81,63,45,45,63,63,63,81]</t>
  </si>
  <si>
    <t>how to tell if you're drunk</t>
  </si>
  <si>
    <t>[44,35,66,23,54,54,54,66,81,81,54,81]</t>
  </si>
  <si>
    <t>dui checkpoints texas</t>
  </si>
  <si>
    <t>[35,35,64,50,50,50,35,100,50,64,78,50]</t>
  </si>
  <si>
    <t>age of consent texas law</t>
  </si>
  <si>
    <t>[45,20,81,10,8,4,13,13,100,8,55,100]</t>
  </si>
  <si>
    <t>prenuptial agreements in texas</t>
  </si>
  <si>
    <t>[15,0,0,3,19,15,19,11,3,100,42,42]</t>
  </si>
  <si>
    <t>can you sue someone for giving you a std</t>
  </si>
  <si>
    <t>[2,2,2,2,3,3,3,3,3,2,7,5]</t>
  </si>
  <si>
    <t>houston sexual assault attorney</t>
  </si>
  <si>
    <t>[14,14,10,18,35,43,35,35,43,100,100,81]</t>
  </si>
  <si>
    <t>ballard and fleetwood</t>
  </si>
  <si>
    <t>[65,42,7,7,7,7,7,7,7,7,7,7]</t>
  </si>
  <si>
    <t>Knowledge panel, Sitelinks, Video, Image, People also ask</t>
  </si>
  <si>
    <t>grand theft lawyer</t>
  </si>
  <si>
    <t>[9,12,9,19,12,15,29,36,29,100,81,81]</t>
  </si>
  <si>
    <t>general liability insurance pearland</t>
  </si>
  <si>
    <t>[0,100,2,0]</t>
  </si>
  <si>
    <t>houston custody attorney</t>
  </si>
  <si>
    <t>[19,12,23,15,12,10,15,23,15,12,12,15]</t>
  </si>
  <si>
    <t>james s bell pc</t>
  </si>
  <si>
    <t>[65,65,80,65,65,65,26,42,65,53,53,34]</t>
  </si>
  <si>
    <t>texas military divorce attorney</t>
  </si>
  <si>
    <t>[0,27,63,63,63,81,63,81,100,63,63,63]</t>
  </si>
  <si>
    <t>Local pack, Sitelinks, Video, Image, People also ask, Related searches, Discussions and forums, AI overview</t>
  </si>
  <si>
    <t>what is the difference between an open and closed adoption</t>
  </si>
  <si>
    <t>[18,18,18,18,100,100,18,18,18,18,100,18]</t>
  </si>
  <si>
    <t>silent divorce</t>
  </si>
  <si>
    <t>[19,29,24,24,100,54,36,36,29,29,29,36]</t>
  </si>
  <si>
    <t>Sitelinks, Video, Image, Video Carousel, People also ask, Related searches, Discussions and forums, AI overview</t>
  </si>
  <si>
    <t>age on consent in texas</t>
  </si>
  <si>
    <t>[0,0,0,0,100,0,0,0,5,5,4,7]</t>
  </si>
  <si>
    <t>divorce law firm the woodlands</t>
  </si>
  <si>
    <t>[0,0,11,55,77,55,77,77,77,77,100,100]</t>
  </si>
  <si>
    <t>brown &amp; fortunato</t>
  </si>
  <si>
    <t>[42,66,80,66,66,80,66,80,100,100,100,80]</t>
  </si>
  <si>
    <t>alr reinstatement fee</t>
  </si>
  <si>
    <t>[0,0,1,1,0,0,0,0,1,1,1,2]</t>
  </si>
  <si>
    <t>premises &amp; products liability lawyer houston</t>
  </si>
  <si>
    <t>[3,11,15,15,19,11,65,100,42,0]</t>
  </si>
  <si>
    <t>Local pack, AI overview</t>
  </si>
  <si>
    <t>divorce attorneys fort bend</t>
  </si>
  <si>
    <t>[63,81,81,100,27,81,63,63,45,63,63,81]</t>
  </si>
  <si>
    <t>how to get temporary custody of my grandchild</t>
  </si>
  <si>
    <t>[45,45,45,18,18,18,18,18,18,18,18,18]</t>
  </si>
  <si>
    <t>sterling burleson</t>
  </si>
  <si>
    <t>[33,44,44,33,55,33,55,44,44,44,55,55]</t>
  </si>
  <si>
    <t>defensa de robo en houston</t>
  </si>
  <si>
    <t>[7,7,35,100,100,100,100]</t>
  </si>
  <si>
    <t>Video, Featured snippet, People also ask</t>
  </si>
  <si>
    <t>texas spousal support lawyer</t>
  </si>
  <si>
    <t>[0,0,100,23,17,23,52,29,41,64,52,41]</t>
  </si>
  <si>
    <t>legal help uber lyft accident injuries cleveland</t>
  </si>
  <si>
    <t>[100,42,0]</t>
  </si>
  <si>
    <t>Sitelinks, Video, Featured snippet, Ads bottom</t>
  </si>
  <si>
    <t>mary samaan</t>
  </si>
  <si>
    <t>[21,17,26,5,3,2,1,0,2,1,1,1]</t>
  </si>
  <si>
    <t>reckless driving in texas</t>
  </si>
  <si>
    <t>[43,21,21,21,21,6,21,100,15,43,15,65]</t>
  </si>
  <si>
    <t>monica guerrero attorney</t>
  </si>
  <si>
    <t>[7,7,7,7,7,42,7,7,7,7,7,7]</t>
  </si>
  <si>
    <t>Image pack, Video, Short videos</t>
  </si>
  <si>
    <t>dwi attorney galveston</t>
  </si>
  <si>
    <t>[14,14,14,14,50,50,35,35,21,100,100,50]</t>
  </si>
  <si>
    <t>ppc for divorce lawyers</t>
  </si>
  <si>
    <t>[11,11,11,64,41,41,52,64,52,100,100,82]</t>
  </si>
  <si>
    <t>Sitelinks, Video, Ads bottom, Video Carousel, People also ask, Related searches, Discussions and forums, AI overview</t>
  </si>
  <si>
    <t>criminal defense attorney galveston tx</t>
  </si>
  <si>
    <t>[53,53,53,43,53,43,43,28,35,23,43,28]</t>
  </si>
  <si>
    <t>Local pack, Sitelinks, Video, Image, People also ask, Related searches, AI overview</t>
  </si>
  <si>
    <t>https://sbrownlawyer.com/?refPageViewId=8df50165c6a5485b</t>
  </si>
  <si>
    <t>the woodlands divorce lawyers</t>
  </si>
  <si>
    <t>[14,14,7,21,35,64,78,64,100,78,78,100]</t>
  </si>
  <si>
    <t>auto accident attorney pearland tx</t>
  </si>
  <si>
    <t>https://sbrownlawyer.com/personal-injury-2/</t>
  </si>
  <si>
    <t>[0,0,0,0,27,63,27,36,100,36,0,27]</t>
  </si>
  <si>
    <t>harris county lawyers</t>
  </si>
  <si>
    <t>[45,63,63,100,63,100,63,63,81,81,63,100]</t>
  </si>
  <si>
    <t>slate &amp; associates attorneys at law</t>
  </si>
  <si>
    <t>[14,18,14,18,8,18,29,29,18,14,22,29]</t>
  </si>
  <si>
    <t>net worth of juvenile</t>
  </si>
  <si>
    <t>[11,30,5,2,11,44,30,20,3,20,30,11]</t>
  </si>
  <si>
    <t>abogados criminalistas en houston</t>
  </si>
  <si>
    <t>[18,18,18,18,18,18,18,18,100,100,81,81]</t>
  </si>
  <si>
    <t>how to drunk drive</t>
  </si>
  <si>
    <t>[29,29,29,29,41,41,29,29,29,11,11,11]</t>
  </si>
  <si>
    <t>gene de bullet attorney</t>
  </si>
  <si>
    <t>Image pack, Related searches</t>
  </si>
  <si>
    <t>how do you know you're drunk</t>
  </si>
  <si>
    <t>[29,52,29,29,41,52,52,52,41,52,41,41]</t>
  </si>
  <si>
    <t>car accident lawyer league city</t>
  </si>
  <si>
    <t>[41,82,52,41,64,41,41,41,52,100,100,100]</t>
  </si>
  <si>
    <t>time for citizenship process</t>
  </si>
  <si>
    <t>[20,31,8,84,84,84,68,100,0,37,0,0]</t>
  </si>
  <si>
    <t>Sitelinks, Video Carousel, FAQ, Related searches, AI overview</t>
  </si>
  <si>
    <t>is it legal to have a silencer</t>
  </si>
  <si>
    <t>[29,100,64,29,52,23,52,41,52,64,82,64]</t>
  </si>
  <si>
    <t>how to know if drunk</t>
  </si>
  <si>
    <t>[29,41,52,29,29,29,11,23,64,23,29,17]</t>
  </si>
  <si>
    <t>the woodlands divorce attorney</t>
  </si>
  <si>
    <t>[7,42,42,53,42,53,53,53,53,100,100,80]</t>
  </si>
  <si>
    <t>how to get a silencer in texas</t>
  </si>
  <si>
    <t>[42,34,53,34,42,53,53,53,42,34,34,42]</t>
  </si>
  <si>
    <t>what is child abuse in texas</t>
  </si>
  <si>
    <t>[27,18,36,100,100,81,100,100,36,36,9,0]</t>
  </si>
  <si>
    <t>Video, Featured snippet, Related searches</t>
  </si>
  <si>
    <t>locke henry attorney</t>
  </si>
  <si>
    <t>attorney for head injury</t>
  </si>
  <si>
    <t>[54,23,100,1,18,15,23,28,15,66,54,44]</t>
  </si>
  <si>
    <t>Local pack, Sitelinks, Video, Image, Ads bottom, Related searches, AI overview</t>
  </si>
  <si>
    <t>age of consent tx</t>
  </si>
  <si>
    <t>[8,1,100,8,24,16,13,24,13,13,13,13]</t>
  </si>
  <si>
    <t>daniel and halstead</t>
  </si>
  <si>
    <t>[44,33,44,22,55,100,77,77,44,44,77,55]</t>
  </si>
  <si>
    <t>leaving the scene of an accident in texas</t>
  </si>
  <si>
    <t>[22,10,18,22,18,14,18,22,18,29,22,22]</t>
  </si>
  <si>
    <t>how to get grandparents' rights in texas</t>
  </si>
  <si>
    <t>[64,64,52,64,52,82,82,82,64,52,100,82]</t>
  </si>
  <si>
    <t>Sitelinks, Video, Featured snippet, Related searches, Discussions and forums</t>
  </si>
  <si>
    <t>what is the difference between expungement and sealing</t>
  </si>
  <si>
    <t>[50,78,64,50,78,50,100,50,35,35,50,64]</t>
  </si>
  <si>
    <t>texas made suppressor law</t>
  </si>
  <si>
    <t>[11,11,11,5,2,4,3,4,3,5,5,5]</t>
  </si>
  <si>
    <t>is texting and driving illegal in texas</t>
  </si>
  <si>
    <t>[34,34,42,34,42,42,42,42,42,42,53,34]</t>
  </si>
  <si>
    <t>chad pinkerton law firm</t>
  </si>
  <si>
    <t>[53,53,65,42,42,15,53,53,42,34,53,34]</t>
  </si>
  <si>
    <t>Knowledge panel, Sitelinks, Video, Video Carousel</t>
  </si>
  <si>
    <t>can you get spousal support if you cheated</t>
  </si>
  <si>
    <t>[7,7,7,7,7,7,100,42,42,11,42,7]</t>
  </si>
  <si>
    <t>spencer browne attorney</t>
  </si>
  <si>
    <t>[75,100,50,50,100,75,75,100,50,50,75,100]</t>
  </si>
  <si>
    <t>Video, Video Carousel, Related searches, Short videos</t>
  </si>
  <si>
    <t>michael ireland and associates</t>
  </si>
  <si>
    <t>[18,18,18,18,18,18,18,18,18,100,100,18]</t>
  </si>
  <si>
    <t>divorce lawyer mission tx</t>
  </si>
  <si>
    <t>[28,28,28,28,28,28,57,28,71,100,42,28]</t>
  </si>
  <si>
    <t>family law attorney sugar land tx</t>
  </si>
  <si>
    <t>[18,18,18,18,18,18,27,27,63,100,45,27]</t>
  </si>
  <si>
    <t>brazoria county criminal defense lawyer</t>
  </si>
  <si>
    <t>[22,0,22,22,22,44,33,33,100,100,33,22]</t>
  </si>
  <si>
    <t>underage dwi attorneys houston</t>
  </si>
  <si>
    <t>[0,0,2,2,5,7,7,10,100,17,17,23]</t>
  </si>
  <si>
    <t>texas leaving the scene of an accident</t>
  </si>
  <si>
    <t>[7,14,28,7,14,28,28,35,50,50,35,35]</t>
  </si>
  <si>
    <t>brazoria county criminal defense attorney</t>
  </si>
  <si>
    <t>[11,26,34,26,19,19,42,15,42,53,15,11]</t>
  </si>
  <si>
    <t>how to give grandparents temporary guardianship</t>
  </si>
  <si>
    <t>[2,2,15,2,2,2,2,2,2,2,2,2]</t>
  </si>
  <si>
    <t>Video, Ads bottom, People also ask, Related searches, Ads middle, AI overview</t>
  </si>
  <si>
    <t>how to know if youre drunk</t>
  </si>
  <si>
    <t>[53,65,43,34,34,43,65,53,65,81,65,81]</t>
  </si>
  <si>
    <t>drug possession attorney houston</t>
  </si>
  <si>
    <t>[14,14,21,21,21,14,35,28,100,100,78,78]</t>
  </si>
  <si>
    <t>brain injury lawyer texas</t>
  </si>
  <si>
    <t>[33,0,19,9,14,19,9,9,100,80,100,80]</t>
  </si>
  <si>
    <t>lisa aceves hayes attorney</t>
  </si>
  <si>
    <t>[45,45,45,63,63,63,100,63,63,63,63,81]</t>
  </si>
  <si>
    <t>Knowledge panel, Ads bottom, Related searches</t>
  </si>
  <si>
    <t>tx age of consent</t>
  </si>
  <si>
    <t>[100,55,45,3,3,0,0,0,5,0,13,5]</t>
  </si>
  <si>
    <t>how to tell if youre drunk</t>
  </si>
  <si>
    <t>[15,43,21,21,28,100,34,34,34,34,28,28]</t>
  </si>
  <si>
    <t>dwi lawyer galveston</t>
  </si>
  <si>
    <t>[18,18,36,100,100,81,36,45,100,100,45,27]</t>
  </si>
  <si>
    <t>abogado familiar houston</t>
  </si>
  <si>
    <t>[18,18,18,45,45,36,45,63,27,18,100,27]</t>
  </si>
  <si>
    <t>morgan bourque attorney at law</t>
  </si>
  <si>
    <t>[18,100,18,100,81,100,63,18,63,18,63,100]</t>
  </si>
  <si>
    <t>Knowledge panel, Image pack, Sitelinks, Image, People also ask, Related searches</t>
  </si>
  <si>
    <t>pedestrian accident law firm houston</t>
  </si>
  <si>
    <t>[0,0,9,45,63,45,100,63,63,81,81,63]</t>
  </si>
  <si>
    <t>compensation for paralysis</t>
  </si>
  <si>
    <t>[14,0,4,19,42,52,19,4,100,100,100,100]</t>
  </si>
  <si>
    <t>bruera law firm pllc</t>
  </si>
  <si>
    <t>[14,14,100,14,64,14,14,100,50,14,14,14]</t>
  </si>
  <si>
    <t>Knowledge panel, Sitelinks, Video, Ads bottom</t>
  </si>
  <si>
    <t>law about texting and driving in texas</t>
  </si>
  <si>
    <t>are silencers for guns illegal</t>
  </si>
  <si>
    <t>[10,10,100,12,7,10,10,36,10,12,12,10]</t>
  </si>
  <si>
    <t>abogados de divorcio houston</t>
  </si>
  <si>
    <t>[63,45,63,81,100,63,100,36,36,45,63,63]</t>
  </si>
  <si>
    <t>marco brown attorney</t>
  </si>
  <si>
    <t>[57,28,28,28,28,71,100,57,71,71,100,100]</t>
  </si>
  <si>
    <t>how much does a cohabitation agreement cost</t>
  </si>
  <si>
    <t>[55,55,22,44,44,100,77,33,22,33,55,22]</t>
  </si>
  <si>
    <t>texas child support laws for non custodial parents</t>
  </si>
  <si>
    <t>[13,13,16,100,25,3,11,25,25,16,31,11]</t>
  </si>
  <si>
    <t>abogados en houston tx en español</t>
  </si>
  <si>
    <t>[28,0,14,21,28,35,35,35,64,78,78,64]</t>
  </si>
  <si>
    <t>family attorney sherman tx</t>
  </si>
  <si>
    <t>[23,23,23,23,42,52,42,42,33,33,33,33]</t>
  </si>
  <si>
    <t>mario davila attorney mcallen</t>
  </si>
  <si>
    <t>[53,34,53,80,80,100,80,100,53,100,80,80]</t>
  </si>
  <si>
    <t>Knowledge panel, Image pack, Video, Ads bottom, People also ask, Related searches</t>
  </si>
  <si>
    <t>houston sexual abuse lawyer</t>
  </si>
  <si>
    <t>[11,11,23,29,82,64,64,82,52,82,64,100]</t>
  </si>
  <si>
    <t>See results about</t>
  </si>
  <si>
    <t>what happens if you get 3 dwi in texas</t>
  </si>
  <si>
    <t>[23,29,23,23,23,29,29,11,17,11,23,11]</t>
  </si>
  <si>
    <t>grand theft 1st degree</t>
  </si>
  <si>
    <t>[45,18,100,18,45,18,18,18,18,18,36,18]</t>
  </si>
  <si>
    <t>leaving the scene of an accident texas</t>
  </si>
  <si>
    <t>[35,35,23,35,35,44,35,35,35,44,35,28]</t>
  </si>
  <si>
    <t>john bash quinn emanuel</t>
  </si>
  <si>
    <t>[36,45,81,63,100,36,63,18,18,18,18,27]</t>
  </si>
  <si>
    <t>Video, Image, Related searches</t>
  </si>
  <si>
    <t>kim brown attorney at law</t>
  </si>
  <si>
    <t>[18,18,18,18,18,100,100,100,100,100,100,81]</t>
  </si>
  <si>
    <t>how to tell if im drunk</t>
  </si>
  <si>
    <t>[50,64,50,50,35,35,64,78,78,64,35,35]</t>
  </si>
  <si>
    <t>us citizenship application time frame</t>
  </si>
  <si>
    <t>[24,45,16,55,20,10,20,20,6,13,67,45]</t>
  </si>
  <si>
    <t>dwi lawyer brazoria county</t>
  </si>
  <si>
    <t>[7,7,7,11,7,11,11,11,26,26,7,7]</t>
  </si>
  <si>
    <t>can a sperm donor be liable for child support</t>
  </si>
  <si>
    <t>[0,3,4,5,8,7,1,1,4,3,2,2]</t>
  </si>
  <si>
    <t>Video, Featured snippet, Video Carousel, People also ask, Related searches, Discussions and forums</t>
  </si>
  <si>
    <t>does texas recognize domestic partnership</t>
  </si>
  <si>
    <t>[100,64,64,50,50,50,50,50,50,50,50,50]</t>
  </si>
  <si>
    <t>daddy rights in texas</t>
  </si>
  <si>
    <t>[23,9,52,42,19,33,23,19,33,33,33,14]</t>
  </si>
  <si>
    <t>Sitelinks, Video Carousel, Related searches, AI overview</t>
  </si>
  <si>
    <t>charla bradshaw attorney denton</t>
  </si>
  <si>
    <t>[17,23,17,12,28,17,12,12,100,28,23,35]</t>
  </si>
  <si>
    <t>evans family law austin tx</t>
  </si>
  <si>
    <t>[21,43,34,28,53,43,100,34,28,34,28,28]</t>
  </si>
  <si>
    <t>what to do when too drunk</t>
  </si>
  <si>
    <t>[50,35,35,50,50,35,14,35,35,35,28,14]</t>
  </si>
  <si>
    <t>kimberly brown attorney</t>
  </si>
  <si>
    <t>[21,28,34,28,21,28,21,21,34,34,28,21]</t>
  </si>
  <si>
    <t>texas class b misdemeanor penalty</t>
  </si>
  <si>
    <t>[29,41,100,41,29,52,64,52,64,52,82,82]</t>
  </si>
  <si>
    <t>divorce attorneys the woodlands</t>
  </si>
  <si>
    <t>[100,23,43,23,28,23,28,28,28,28,35,43]</t>
  </si>
  <si>
    <t>forms of abuse in relationships</t>
  </si>
  <si>
    <t>[67,12,100,19,67,67,67,67,100,67,67,67]</t>
  </si>
  <si>
    <t>are drivers license checkpoints legal in texas</t>
  </si>
  <si>
    <t>[14,9,9,9,9,52,9,100,14,14,52,19]</t>
  </si>
  <si>
    <t>smith and brown law group</t>
  </si>
  <si>
    <t>[19,15,3,5,29,15,3,2,2,2,2,2]</t>
  </si>
  <si>
    <t>how long process citizenship</t>
  </si>
  <si>
    <t>[23,23,28,28,17,23,35,43,17,28,28,2]</t>
  </si>
  <si>
    <t>prohibited sexual conduct</t>
  </si>
  <si>
    <t>[2,11,21,11,14,9,5,4,4,5,7,9]</t>
  </si>
  <si>
    <t>can you sue a sperm donor for child support</t>
  </si>
  <si>
    <t>[7,4,0,11,2,7,2,3,2,9,7,5]</t>
  </si>
  <si>
    <t>sex offender attorney houston</t>
  </si>
  <si>
    <t>[18,18,18,18,27,100,36,63,45,100,100,100]</t>
  </si>
  <si>
    <t>separation vs divorce in texas</t>
  </si>
  <si>
    <t>[81,63,81,81,81,81,81,81,45,100,81,81]</t>
  </si>
  <si>
    <t>reckless driving charge texas</t>
  </si>
  <si>
    <t>[26,26,26,26,26,26,34,26,26,26,34,34]</t>
  </si>
  <si>
    <t>personal injury slip and fall</t>
  </si>
  <si>
    <t>[52,9,23,52,52,80,42,42,23,100,66,23]</t>
  </si>
  <si>
    <t>Sitelinks, Ads bottom, Video Carousel, Related searches, Ads middle, AI overview</t>
  </si>
  <si>
    <t>lonnie hoover attorney</t>
  </si>
  <si>
    <t>[7,26,3,7,3,26,53,3,15,26,7,7]</t>
  </si>
  <si>
    <t>age to ride motorbike</t>
  </si>
  <si>
    <t>[64,35,50,35,35,64,64,100,100,64,50,50]</t>
  </si>
  <si>
    <t>chester gonzalez brownsville attorney</t>
  </si>
  <si>
    <t>[63,45,45,81,100,100,100,81,100,63,63,100]</t>
  </si>
  <si>
    <t>Knowledge panel, Image</t>
  </si>
  <si>
    <t>motorcycles for 6 year olds</t>
  </si>
  <si>
    <t>[28,28,35,15,23,23,28,35,35,44,44,44]</t>
  </si>
  <si>
    <t>Image pack, Sitelinks, Video, Image, Video Carousel, People also ask, Popular products, Related searches, AI overview</t>
  </si>
  <si>
    <t>roberts markel weinberg butler hailey pc</t>
  </si>
  <si>
    <t>[54,66,54,66,66,81,100,100,66,81,100,81]</t>
  </si>
  <si>
    <t>texas dwi checkpoints</t>
  </si>
  <si>
    <t>[29,29,52,29,41,17,29,52,41,41,41,41]</t>
  </si>
  <si>
    <t>texas legal separation agreement</t>
  </si>
  <si>
    <t>[29,17,52,82,82,100,82,11,29,0,82,29]</t>
  </si>
  <si>
    <t>Sitelinks, People also ask, Related searches, Things to know, AI overview</t>
  </si>
  <si>
    <t>age to ride a motorbike</t>
  </si>
  <si>
    <t>[26,19,19,34,34,53,53,34,26,26,34,26]</t>
  </si>
  <si>
    <t>earl dobson denton</t>
  </si>
  <si>
    <t>[35,35,64,50,64,64,78,50,50,50,100,35]</t>
  </si>
  <si>
    <t>ways to challenge a prenup</t>
  </si>
  <si>
    <t>Video, Video Carousel, People also ask, Discussions and forums, AI overview</t>
  </si>
  <si>
    <t>age of consent texas</t>
  </si>
  <si>
    <t>[13,13,19,19,16,19,29,16,19,29,19,19]</t>
  </si>
  <si>
    <t>how to tell if drunk</t>
  </si>
  <si>
    <t>[11,64,11,11,11,23,41,11,100,23,11,11]</t>
  </si>
  <si>
    <t>personal injury attorney league-city</t>
  </si>
  <si>
    <t>[11,15,42,26,34,34,11,0,80,80,65,100]</t>
  </si>
  <si>
    <t>Local pack, Image, Ads bottom, People also ask, Related searches</t>
  </si>
  <si>
    <t>how do you know if you're drunk</t>
  </si>
  <si>
    <t>[35,44,23,44,11,66,66,81,81,54,23,81]</t>
  </si>
  <si>
    <t>can you sue someone if they give you an std</t>
  </si>
  <si>
    <t>[19,9,9,9,33,23,9,19,14,52,52,52]</t>
  </si>
  <si>
    <t>can you sue someone for giving you an sti</t>
  </si>
  <si>
    <t>[17,17,11,11,11,29,29,41,17,64,82,64]</t>
  </si>
  <si>
    <t>types of marital abuse</t>
  </si>
  <si>
    <t>[13,20,16,6,45,3,45,30,8,10,4,8]</t>
  </si>
  <si>
    <t>obscene legal definition</t>
  </si>
  <si>
    <t>[66,82,53,53,100,53,100,35,43,23,66,66]</t>
  </si>
  <si>
    <t>when can i file for adjustment of status after marriage</t>
  </si>
  <si>
    <t>[52,52,100,80,80,42,42,66,33,42,52,52]</t>
  </si>
  <si>
    <t>Sitelinks, Video, Featured snippet, People also ask, Related searches, Discussions and forums</t>
  </si>
  <si>
    <t>paralysis compensation</t>
  </si>
  <si>
    <t>[9,9,23,19,9,23,33,14,100,100,100,100]</t>
  </si>
  <si>
    <t>time to process citizenship applications</t>
  </si>
  <si>
    <t>linda brown attorney at law</t>
  </si>
  <si>
    <t>[45,45,63,63,100,63,63,63,36,63,63,81]</t>
  </si>
  <si>
    <t>Local pack, Image pack, Sitelinks, People also ask, Related searches</t>
  </si>
  <si>
    <t>what is age of consent in texas</t>
  </si>
  <si>
    <t>[39,26,26,26,32,32,32,26,39,32,26,26]</t>
  </si>
  <si>
    <t>abogado penalista en houston</t>
  </si>
  <si>
    <t>[0,5,29,82,82,100,64]</t>
  </si>
  <si>
    <t>how do you know if you re drunk</t>
  </si>
  <si>
    <t>[17,17,28,23,28,23,35,35,17,35,35,35]</t>
  </si>
  <si>
    <t>charles brown lawyer</t>
  </si>
  <si>
    <t>[5,5,4,1,2,3,2,2,2,2,2,2]</t>
  </si>
  <si>
    <t>are checkpoints legal in texas</t>
  </si>
  <si>
    <t>[28,21,43,21,21,65,34,100,28,34,28,34]</t>
  </si>
  <si>
    <t>what are grandparents rights in texas</t>
  </si>
  <si>
    <t>[52,66,42,52,42,52,52,42,52,42,52,42]</t>
  </si>
  <si>
    <t>houston tx divorce attorneys</t>
  </si>
  <si>
    <t>[100,44,54,5,8,8,5,6,5,8,8,6]</t>
  </si>
  <si>
    <t>how to purchase a silencer in texas</t>
  </si>
  <si>
    <t>[42,33,52,42,33,42,33,33,42,42,66,42]</t>
  </si>
  <si>
    <t>grandparents rights texas</t>
  </si>
  <si>
    <t>[16,16,24,20,20,20,16,41,16,20,100,20]</t>
  </si>
  <si>
    <t>child pornography attorney</t>
  </si>
  <si>
    <t>[10,1,6,16,16,16,36,36,30,67,100,45]</t>
  </si>
  <si>
    <t>child custody agreement without court texas</t>
  </si>
  <si>
    <t>[52,33,33,66,52,66,52,33,19,33,42,23]</t>
  </si>
  <si>
    <t>Image pack, Sitelinks, Video, Ads bottom, People also ask, Related searches, AI overview</t>
  </si>
  <si>
    <t>harris county legal services</t>
  </si>
  <si>
    <t>[52,29,29,41,41,64,64,52,52,41,41,52]</t>
  </si>
  <si>
    <t>brown family law sandy</t>
  </si>
  <si>
    <t>[19,33,19,19,66,52,52,66,66,80,66,52]</t>
  </si>
  <si>
    <t>boudreaux hunter &amp; associates llc</t>
  </si>
  <si>
    <t>[100,18,18,27,100,100,100,63,45,45,63,81]</t>
  </si>
  <si>
    <t>Knowledge panel, Top stories, Sitelinks, Video, Related searches</t>
  </si>
  <si>
    <t>jimmy brown attorney</t>
  </si>
  <si>
    <t>[11,11,11,11,11,11,64,100,11,11,11,11]</t>
  </si>
  <si>
    <t>best divorce lawyers in beaumont texas</t>
  </si>
  <si>
    <t>[11,11,11,17,11,11,11,11,17,41,17,11]</t>
  </si>
  <si>
    <t>Local pack, People also ask, Related searches</t>
  </si>
  <si>
    <t>when can i file for naturalization</t>
  </si>
  <si>
    <t>[1,0,0,0,0,0,0,0,13,10,5,8]</t>
  </si>
  <si>
    <t>Video, Video Carousel, People also ask, FAQ, Related searches, Short videos, Discussions and forums, AI overview</t>
  </si>
  <si>
    <t>kelli brown attorney</t>
  </si>
  <si>
    <t>[18,18,18,18,18,18,18,36,100,63,45,45]</t>
  </si>
  <si>
    <t>first time offenders act</t>
  </si>
  <si>
    <t>[23,19,33,33,9,9,9,9,52,52,52,4]</t>
  </si>
  <si>
    <t>motorcycles for 11 year olds</t>
  </si>
  <si>
    <t>[0,0,26,26,3,3,53,80,34,26,19,19]</t>
  </si>
  <si>
    <t>Image pack, Sitelinks, Video, Image, Video Carousel, Popular products, Related searches, Discussions and forums, AI overview</t>
  </si>
  <si>
    <t>how to test if someone is drunk</t>
  </si>
  <si>
    <t>[50,50,50,35,50,64,64,78,64,50,35,78]</t>
  </si>
  <si>
    <t>child support rules in texas</t>
  </si>
  <si>
    <t>[28,35,64,35,50,28,50,21,78,100,78,64]</t>
  </si>
  <si>
    <t>can you go to jail for hitting a pregnant woman</t>
  </si>
  <si>
    <t>[82,82,29,23,23,23,17,23,29,29,17,11]</t>
  </si>
  <si>
    <t>smokey brown attorney</t>
  </si>
  <si>
    <t>[63,63,63,100,63,63,63,63,100,100,63,100]</t>
  </si>
  <si>
    <t>pearland personal injury attorney</t>
  </si>
  <si>
    <t>[16,20,13,8,16,16,20,30,45,45,36,36]</t>
  </si>
  <si>
    <t>grandparents legal rights in texas</t>
  </si>
  <si>
    <t>[18,18,18,18,18,18,18,100,18,100,100,100]</t>
  </si>
  <si>
    <t>edward brown attorney</t>
  </si>
  <si>
    <t>[18,18,81,18,45,63,100,45,63,63,18,18]</t>
  </si>
  <si>
    <t>how to know if you are drunk</t>
  </si>
  <si>
    <t>[80,100,80,53,80,53,80,100,65,65,65,80]</t>
  </si>
  <si>
    <t>legal advice for child custody</t>
  </si>
  <si>
    <t>[7,2,12,10,17,12,17,12,10,12,10,7]</t>
  </si>
  <si>
    <t>rice and sanes law</t>
  </si>
  <si>
    <t>[0,0,0,0,0,0,0,100,29,4,4,4]</t>
  </si>
  <si>
    <t>Local pack, Sitelinks, Ads bottom, People also ask</t>
  </si>
  <si>
    <t>how long after probation can i apply for citizenship</t>
  </si>
  <si>
    <t>[50,50,35,100,64,78,64,35,28,35,50,28]</t>
  </si>
  <si>
    <t>branscomb law</t>
  </si>
  <si>
    <t>[81,65,53,65,65,65,65,65,53,65,65,53]</t>
  </si>
  <si>
    <t>how do you know if youre drunk</t>
  </si>
  <si>
    <t>[18,43,18,10,8,100,10,14,8,14,14,66]</t>
  </si>
  <si>
    <t>1st offender act</t>
  </si>
  <si>
    <t>[35,11,100,28,35,23,1,11,1,3,44,44]</t>
  </si>
  <si>
    <t>how long does the naturalization test take</t>
  </si>
  <si>
    <t>can you go to jail for overdosing</t>
  </si>
  <si>
    <t>[33,33,33,23,33,23,9,9,19,9,19,9]</t>
  </si>
  <si>
    <t>indecent exposure laws texas</t>
  </si>
  <si>
    <t>[71,71,100,100,71,100,100,71,28,0,28,28]</t>
  </si>
  <si>
    <t>reckless driving license suspension</t>
  </si>
  <si>
    <t>[33,23,23,23,33,23,33,33,33,52,100,100]</t>
  </si>
  <si>
    <t>laura d heard</t>
  </si>
  <si>
    <t>[100,100,81,100,63,81,81,36,36,63,45,27]</t>
  </si>
  <si>
    <t>Image pack, Sitelinks, Video, Video Carousel, People also ask, Related searches, Short videos</t>
  </si>
  <si>
    <t>how to file a temporary restraining order in texas</t>
  </si>
  <si>
    <t>[64,50,50,35,28,78,78,78,78,35,78,28]</t>
  </si>
  <si>
    <t>personal injury lawyer league-city</t>
  </si>
  <si>
    <t>[2,0,0,2,1,1,2,0,0,4,4,3]</t>
  </si>
  <si>
    <t>the difference between a felony and misdemeanor</t>
  </si>
  <si>
    <t>[29,29,29,11,11,64,100,82,11,11,11,64]</t>
  </si>
  <si>
    <t>adoption lawyer austin</t>
  </si>
  <si>
    <t>[11,11,11,41,82,82,82,82,82,100,100,100]</t>
  </si>
  <si>
    <t>family law lawyer the woodlands</t>
  </si>
  <si>
    <t>[0,18,63,81,63,63,81,100,100,100,100,81]</t>
  </si>
  <si>
    <t>age of consent in texas</t>
  </si>
  <si>
    <t>[44,54,44,36,44,36,36,44,44,44,29,24]</t>
  </si>
  <si>
    <t>lawyers in sugar land tx</t>
  </si>
  <si>
    <t>[18,27,0,9,18,27,63,9,45,36,27,45]</t>
  </si>
  <si>
    <t>how do i know if im drunk</t>
  </si>
  <si>
    <t>[53,82,35,43,53,53,82,100,100,82,66,66]</t>
  </si>
  <si>
    <t>slip and fall liability</t>
  </si>
  <si>
    <t>[15,29,15,29,44,36,36,54,54,100,100,67]</t>
  </si>
  <si>
    <t>can you sue someone for giving you std</t>
  </si>
  <si>
    <t>[10,20,24,16,8,100,76,45,55,13,16,8]</t>
  </si>
  <si>
    <t>paralysis attorney</t>
  </si>
  <si>
    <t>[6,6,8,10,16,16,36,24,100,100,30,24]</t>
  </si>
  <si>
    <t>Local pack, People also ask, AI overview</t>
  </si>
  <si>
    <t>galveston criminal lawyer</t>
  </si>
  <si>
    <t>[28,43,28,34,15,15,34,34,15,21,21,28]</t>
  </si>
  <si>
    <t>keith jackson attorney</t>
  </si>
  <si>
    <t>[12,12,6,2,4,5,4,4,4,2,4,2]</t>
  </si>
  <si>
    <t>bond reduction motion</t>
  </si>
  <si>
    <t>[42,42,57,71,71,71,100,28,100,28,71,42]</t>
  </si>
  <si>
    <t>harris county criminal lawyers</t>
  </si>
  <si>
    <t>[34,26,34,26,15,19,26,26,53,53,42,80]</t>
  </si>
  <si>
    <t>how to know if you're drunk</t>
  </si>
  <si>
    <t>[15,36,23,36,36,100,44,81,100,44,19,36]</t>
  </si>
  <si>
    <t>fathers rights lawyers in texas</t>
  </si>
  <si>
    <t>[19,26,34,34,15,26,34,26,26,26,26,19]</t>
  </si>
  <si>
    <t>michael b clayton</t>
  </si>
  <si>
    <t>[100,100,81,81,100,81,81,100,81,81,81,100]</t>
  </si>
  <si>
    <t>the woodlands family law lawyers</t>
  </si>
  <si>
    <t>[18,18,18,45,63,45,63,63,63,63,81,81]</t>
  </si>
  <si>
    <t>leigh cutter attorney</t>
  </si>
  <si>
    <t>[45,36,36,36,36,18,18,18,18,18,18,18]</t>
  </si>
  <si>
    <t>law office of richard presutti</t>
  </si>
  <si>
    <t>[41,52,82,64,82,82,82,82,82,100,52,64]</t>
  </si>
  <si>
    <t>it support for law firms friendswood</t>
  </si>
  <si>
    <t>[3,26,100,42,34,19]</t>
  </si>
  <si>
    <t>what happens if you break restraining order</t>
  </si>
  <si>
    <t>[35,50,64,64,78,78,64,78,50,78,100,64]</t>
  </si>
  <si>
    <t>stuart brown attorney</t>
  </si>
  <si>
    <t>[42,23,9,23,33,33,33,23,23,33,33,9]</t>
  </si>
  <si>
    <t>cohabitation rights</t>
  </si>
  <si>
    <t>[4,14,14,10,10,6,14,10,10,22,22,14]</t>
  </si>
  <si>
    <t>sealing records in texas</t>
  </si>
  <si>
    <t>[18,18,18,18,63,45,18,18,18,63,18,18]</t>
  </si>
  <si>
    <t>cohabitation agreement cost</t>
  </si>
  <si>
    <t>[50,50,64,78,50,100,100,21,21,28,28,35]</t>
  </si>
  <si>
    <t>drivers license office angleton tx</t>
  </si>
  <si>
    <t>[9,9,42,42,33,52,42,9,9,9,9,9]</t>
  </si>
  <si>
    <t>divorce attorney harlingen tx</t>
  </si>
  <si>
    <t>[78,100,78,100,78,100,100,64,78,64,64,64]</t>
  </si>
  <si>
    <t>age if consent in texas</t>
  </si>
  <si>
    <t>[0,0,0,5,41,64,5,41,0,82,100,82]</t>
  </si>
  <si>
    <t>grand theft auto in texas</t>
  </si>
  <si>
    <t>[7,7,7,34,19,26,34,65,26,26,26,26]</t>
  </si>
  <si>
    <t>fabian guerrero attorney at law</t>
  </si>
  <si>
    <t>[34,34,43,53,34,21,28,53,53,100,21,43]</t>
  </si>
  <si>
    <t>family law attorney fort bend county</t>
  </si>
  <si>
    <t>[10,17,5,0,7,7,10,5,10,28,23,17]</t>
  </si>
  <si>
    <t>does texas recognize legal separation</t>
  </si>
  <si>
    <t>[21,21,50,78,28,14,14,21,21,28,21,14]</t>
  </si>
  <si>
    <t>lishman law</t>
  </si>
  <si>
    <t>[11,11,11,64,64,64,82,100,82,100,64,52]</t>
  </si>
  <si>
    <t>texas legal separation laws</t>
  </si>
  <si>
    <t>[7,16,20,20,30,30,24,20,13,24,20,36]</t>
  </si>
  <si>
    <t>league city personal injury lawyer</t>
  </si>
  <si>
    <t>[42,42,26,34,65,53,34,42,100,19,42,34]</t>
  </si>
  <si>
    <t>family sponsor</t>
  </si>
  <si>
    <t>[9,15,100,65,15,12,53,15,9,9,21,9]</t>
  </si>
  <si>
    <t>houston brown</t>
  </si>
  <si>
    <t>[19,19,19,42,34,42,42,42,53,65,53,42]</t>
  </si>
  <si>
    <t>Image pack, Video, Image, Related searches, See results about</t>
  </si>
  <si>
    <t>are sound suppressors legal</t>
  </si>
  <si>
    <t>[24,30,13,16,10,8,10,24,10,55,100,13]</t>
  </si>
  <si>
    <t>Sitelinks, Video, Video Carousel, People also ask, Discussions and forums, AI overview</t>
  </si>
  <si>
    <t>how to know when your drunk</t>
  </si>
  <si>
    <t>[66,100,100,44,66,44,81,81,81,23,44,66]</t>
  </si>
  <si>
    <t>divorce lawyers victoria tx</t>
  </si>
  <si>
    <t>[28,28,57,57,57,57,71,71,100,42,100,57]</t>
  </si>
  <si>
    <t>fathers rights attorney texas</t>
  </si>
  <si>
    <t>[19,26,34,42,53,53,65,42,65,65,53,26]</t>
  </si>
  <si>
    <t>scott jones attorney</t>
  </si>
  <si>
    <t>[66,82,66,82,53,28,100,82,66,53,66,43]</t>
  </si>
  <si>
    <t>scott hamblin</t>
  </si>
  <si>
    <t>[28,28,28,35,43,35,28,35,35,43,28,28]</t>
  </si>
  <si>
    <t>separation in marriage in texas</t>
  </si>
  <si>
    <t>Knowledge panel, Sitelinks, Video Carousel, Related searches, Discussions and forums</t>
  </si>
  <si>
    <t>spousal support texas family code</t>
  </si>
  <si>
    <t>[45,63,100,63,81,81,81,81,63,63,81,81]</t>
  </si>
  <si>
    <t>how long does the application for us citizenship take</t>
  </si>
  <si>
    <t>[50,50,50,64,50,28,64,50,100,50,35,50]</t>
  </si>
  <si>
    <t>thomas hunn attorney</t>
  </si>
  <si>
    <t>[45,45,45,45,63,45,18,18,100,45,18,18]</t>
  </si>
  <si>
    <t>forms of abuse in marriage</t>
  </si>
  <si>
    <t>[45,45,45,63,18,36,36,45,27,36,36,36]</t>
  </si>
  <si>
    <t>age of.consent in texas</t>
  </si>
  <si>
    <t>[7,7,7,10,2,1,5,1,0,19,23,12]</t>
  </si>
  <si>
    <t>harris county sex offense lawyer</t>
  </si>
  <si>
    <t>[2,0,0,2,2,4,6,10,8,100,18,14]</t>
  </si>
  <si>
    <t>time frame for us citizenship</t>
  </si>
  <si>
    <t>[18,18,18,18,100,100,100,18,18,18,18,18]</t>
  </si>
  <si>
    <t>scott ray pemberton and goll</t>
  </si>
  <si>
    <t>[0,0,0,0,0,81,36,18,100,100,18,18]</t>
  </si>
  <si>
    <t>legal definition cohabitation</t>
  </si>
  <si>
    <t>[64,52,64,52,82,64,82,82,82,82,64,64]</t>
  </si>
  <si>
    <t>cowen rodriguez peacock</t>
  </si>
  <si>
    <t>[44,29,29,29,36,29,29,29,36,23,23,23]</t>
  </si>
  <si>
    <t>Knowledge panel, Local pack, Sitelinks, Video, Image, Video Carousel, Related searches</t>
  </si>
  <si>
    <t>grandparents rights in texas</t>
  </si>
  <si>
    <t>[44,44,55,55,44,55,55,44,55,55,55,44]</t>
  </si>
  <si>
    <t>the age of consent in texas</t>
  </si>
  <si>
    <t>[23,23,29,5,54,23,0,1,12,9,23,36]</t>
  </si>
  <si>
    <t>protective order texas requirements</t>
  </si>
  <si>
    <t>[80,80,66,52,33,19,33,80,80,100,33,66]</t>
  </si>
  <si>
    <t>texas texting while driving law</t>
  </si>
  <si>
    <t>[63,45,63,63,63,81,81,63,63,63,100,63]</t>
  </si>
  <si>
    <t>Sitelinks, Image, Video Carousel, People also ask, Related searches, AI overview</t>
  </si>
  <si>
    <t>texas deregistration</t>
  </si>
  <si>
    <t>[71,100,71,71,100,100,100,100,28,57,57,28]</t>
  </si>
  <si>
    <t>league city texas jail inmates</t>
  </si>
  <si>
    <t>[52,52,41,41,41,52,64,41,23,29,41,41]</t>
  </si>
  <si>
    <t>hutton ask</t>
  </si>
  <si>
    <t>[11,11,11,11,11,17,11,64,11,11,11,11]</t>
  </si>
  <si>
    <t>can you sue someone for giving you stds</t>
  </si>
  <si>
    <t>[45,45,45,63,63,63,81,27,18,100,81,81]</t>
  </si>
  <si>
    <t>fathers rights in texas</t>
  </si>
  <si>
    <t>[54,54,66,44,44,44,44,44,66,66,44,44]</t>
  </si>
  <si>
    <t>signs of a silent divorce in a man</t>
  </si>
  <si>
    <t>[5,8,13,13,16,36,20,36,100,16,16,16]</t>
  </si>
  <si>
    <t>jaime cavazos attorney</t>
  </si>
  <si>
    <t>[14,14,14,78,14,14,14,14,78,14,14,14]</t>
  </si>
  <si>
    <t>texas dui law</t>
  </si>
  <si>
    <t>[15,19,15,4,4,4,2,4,15,29,12,5]</t>
  </si>
  <si>
    <t>date rape attorney</t>
  </si>
  <si>
    <t>[7,0,11,7,15,15,15,11,80,80,65,100]</t>
  </si>
  <si>
    <t>houston sex crime attorney</t>
  </si>
  <si>
    <t>[18,18,27,36,36,27,45,81,100,100,81,81]</t>
  </si>
  <si>
    <t>what is a protective order in texas</t>
  </si>
  <si>
    <t>[42,42,53,42,42,42,42,34,34,42,53,42]</t>
  </si>
  <si>
    <t>third dwi in texas</t>
  </si>
  <si>
    <t>[7,48,39,26,32,26,39,21,26,32,26,21]</t>
  </si>
  <si>
    <t>plano public lewdness lawyers</t>
  </si>
  <si>
    <t>[42,100,71,28,14]</t>
  </si>
  <si>
    <t>lori k redmond attorney at law</t>
  </si>
  <si>
    <t>[66,66,52,80,33,100,80,100,80,100,80,80]</t>
  </si>
  <si>
    <t>Knowledge panel, Image pack, Image, People also ask, Related searches</t>
  </si>
  <si>
    <t>bond reduction form</t>
  </si>
  <si>
    <t>[81,81,81,63,63,100,81,100,63,45,45,36]</t>
  </si>
  <si>
    <t>Image pack, Sitelinks, People also ask, Related searches, AI overview</t>
  </si>
  <si>
    <t>family lawyer the woodlands</t>
  </si>
  <si>
    <t>[4,0,0,19,33,42,33,42,42,66,100,66]</t>
  </si>
  <si>
    <t>child support laws in texas</t>
  </si>
  <si>
    <t>[36,36,29,66,54,44,44,36,44,44,54,66]</t>
  </si>
  <si>
    <t>how much child support in texas</t>
  </si>
  <si>
    <t>[44,35,35,54,35,44,44,35,35,44,28,54]</t>
  </si>
  <si>
    <t>car accident lawyer pearland tx</t>
  </si>
  <si>
    <t>[10,10,23,36,81,100,54,54,44,29,23,67]</t>
  </si>
  <si>
    <t>illegal suppressor</t>
  </si>
  <si>
    <t>[52,41,100,64,41,52,29,29,41,29,41,41]</t>
  </si>
  <si>
    <t>different forms of abuse in a relationship</t>
  </si>
  <si>
    <t>[52,42,42,42,66,80,80,100,66,52,52,66]</t>
  </si>
  <si>
    <t>bruce ashworth attorney at law</t>
  </si>
  <si>
    <t>[33,11,100,22,33,44,55,44,33,44,44,44]</t>
  </si>
  <si>
    <t>general petraeus marriage</t>
  </si>
  <si>
    <t>[18,10,14,10,14,6,14,14,29,29,18,14]</t>
  </si>
  <si>
    <t>Instant answer, Knowledge panel, Image pack, Video, Video Carousel, Related searches, AI overview</t>
  </si>
  <si>
    <t>abogados criminales en houston</t>
  </si>
  <si>
    <t>[52,66,42,52,52,42,33,42,19,80,100,100]</t>
  </si>
  <si>
    <t>difference between expungement and sealing</t>
  </si>
  <si>
    <t>[21,7,14,21,50,35,100,50,28,50,35,64]</t>
  </si>
  <si>
    <t>texas legal separation</t>
  </si>
  <si>
    <t>[14,17,21,11,9,7,7,14,7,9,100,39]</t>
  </si>
  <si>
    <t>violating protective order texas</t>
  </si>
  <si>
    <t>[42,53,53,42,100,100,65,65,80,100,65,65]</t>
  </si>
  <si>
    <t>harry brown attorney</t>
  </si>
  <si>
    <t>[29,29,29,29,41,11,17,11,17,41,41,41]</t>
  </si>
  <si>
    <t>sex offender registration houston texas</t>
  </si>
  <si>
    <t>[0,0,0,23,44,18,23,100,0,0,0,0]</t>
  </si>
  <si>
    <t>jerry melton attorney</t>
  </si>
  <si>
    <t>[45,45,45,45,63,27,81,63,63,81,63,81]</t>
  </si>
  <si>
    <t>uncontested divorce lawyer houston tx</t>
  </si>
  <si>
    <t>[45,81,81,63,63,45,63,63,63,63,81,63]</t>
  </si>
  <si>
    <t>Local pack, Image, Ads bottom, People also ask, Related searches, Discussions and forums</t>
  </si>
  <si>
    <t>custody lawyers the woodlands</t>
  </si>
  <si>
    <t>[0,0,22,77,77,55,77,55,77,77,77,100]</t>
  </si>
  <si>
    <t>child custody attorneys sugar land</t>
  </si>
  <si>
    <t>[0,0,9,18,18,36,63,63,100,100,100,63]</t>
  </si>
  <si>
    <t>signs of a silent divorce in a woman</t>
  </si>
  <si>
    <t>[13,16,20,16,13,30,16,10,100,16,13,20]</t>
  </si>
  <si>
    <t>how long is the processing for us citizenship</t>
  </si>
  <si>
    <t>[28,28,43,53,100,53,43,81,65,0,0,43]</t>
  </si>
  <si>
    <t>brown pc</t>
  </si>
  <si>
    <t>[23,52,66,9,33,19,14,9,52,9,9,9]</t>
  </si>
  <si>
    <t>Knowledge panel, Image pack, Sitelinks, Video, Image, People also ask, Related searches</t>
  </si>
  <si>
    <t>protective order houston</t>
  </si>
  <si>
    <t>[41,52,52,52,23,52,52,41,41,29,41,41]</t>
  </si>
  <si>
    <t>is polygamy legal in texas</t>
  </si>
  <si>
    <t>[29,22,22,18,22,22,22,22,35,29,35,35]</t>
  </si>
  <si>
    <t>age of consent for texas</t>
  </si>
  <si>
    <t>[0,4,0,0,0,0,0,0,0,0,20,0]</t>
  </si>
  <si>
    <t>law on texting and driving in texas</t>
  </si>
  <si>
    <t>[45,45,45,63,27,63,63,100,36,63,63,63]</t>
  </si>
  <si>
    <t>motorcycles for 2 year olds</t>
  </si>
  <si>
    <t>[33,52,23,33,14,33,66,52,23,33,42,52]</t>
  </si>
  <si>
    <t>Sitelinks, Video, Image, Video Carousel, People also ask, Popular products, Related searches, Discussions and forums, AI overview</t>
  </si>
  <si>
    <t>houston sexual assault attorneys</t>
  </si>
  <si>
    <t>[9,9,18,36,45,63,45,63,100,100,81,45]</t>
  </si>
  <si>
    <t>who is the declarant in a divorce</t>
  </si>
  <si>
    <t>Image pack, Sitelinks, Video, Image, Video Carousel, Related searches, Discussions and forums, AI overview</t>
  </si>
  <si>
    <t>separation of marriage in texas</t>
  </si>
  <si>
    <t>Knowledge panel, Sitelinks, Video Carousel, People also ask, Related searches, Discussions and forums</t>
  </si>
  <si>
    <t>fathers rights texas</t>
  </si>
  <si>
    <t>[28,35,35,17,23,17,43,35,28,23,17,17]</t>
  </si>
  <si>
    <t>motorcycle license texas age</t>
  </si>
  <si>
    <t>[35,50,50,50,50,64,35,50,64,50,78,50]</t>
  </si>
  <si>
    <t>hit and run first-time offender</t>
  </si>
  <si>
    <t>[52,52,52,11,41,52,52,41,11,17,29,29]</t>
  </si>
  <si>
    <t>brown &amp; hofmeister</t>
  </si>
  <si>
    <t>[52,9,9,9,9,9,9,9,52,9,9,9]</t>
  </si>
  <si>
    <t>shawn brown law</t>
  </si>
  <si>
    <t>[19,26,7,34,65,42,100,42,65,53,80,65]</t>
  </si>
  <si>
    <t>reckless endangerment in texas</t>
  </si>
  <si>
    <t>[63,45,63,63,45,27,100,63,63,63,63,63]</t>
  </si>
  <si>
    <t>howard reiner attorney</t>
  </si>
  <si>
    <t>[81,45,45,81,45,27,63,36,45,45,45,63]</t>
  </si>
  <si>
    <t>aggravated burglary</t>
  </si>
  <si>
    <t>[62,55,62,100,55,62,62,62,55,81,62,62]</t>
  </si>
  <si>
    <t>texas laws on sex</t>
  </si>
  <si>
    <t>[14,14,14,14,50,21,64,50,50,35,35,78]</t>
  </si>
  <si>
    <t>amy thomas perez</t>
  </si>
  <si>
    <t>[28,5,5,17,5,5,5,5,28,5,5,5]</t>
  </si>
  <si>
    <t>grandparent rights in texas</t>
  </si>
  <si>
    <t>[30,24,30,24,30,81,30,30,30,30,36,45]</t>
  </si>
  <si>
    <t>frankston lawyers</t>
  </si>
  <si>
    <t>[18,36,100,45,36,45,45,36,45,9,0,0]</t>
  </si>
  <si>
    <t>Local pack, Sitelinks, Video, Image, People also ask</t>
  </si>
  <si>
    <t>parental alienation in texas</t>
  </si>
  <si>
    <t>[42,42,53,42,34,26,42,100,65,80,42,42]</t>
  </si>
  <si>
    <t>does texas have grandparents rights</t>
  </si>
  <si>
    <t>[35,29,35,43,35,43,29,43,43,14,43,22]</t>
  </si>
  <si>
    <t>questions to ask criminal defense attorney</t>
  </si>
  <si>
    <t>[18,18,18,18,100,18,100,100,18,18,18,18]</t>
  </si>
  <si>
    <t>texas age consent</t>
  </si>
  <si>
    <t>[15,0,0,9,28,34,28,21,43,100,34,34]</t>
  </si>
  <si>
    <t>divorce attorney the woodlands tx</t>
  </si>
  <si>
    <t>[29,43,66,66,22,29,81,66,43,29,22,54]</t>
  </si>
  <si>
    <t>Local pack, Sitelinks, Image, Ads bottom, People also ask, Related searches, Discussions and forums</t>
  </si>
  <si>
    <t>types of abuse in marriage</t>
  </si>
  <si>
    <t>[42,42,23,42,42,23,33,33,42,52,42,42]</t>
  </si>
  <si>
    <t>adoption ban in russia</t>
  </si>
  <si>
    <t>[4,2,100,4,4,2,2,14,2,2,2,2]</t>
  </si>
  <si>
    <t>attorney sugar land texas</t>
  </si>
  <si>
    <t>[0,45,9,9,45,63,36,45,0,9,0,36]</t>
  </si>
  <si>
    <t>how old to ride on motorcycle</t>
  </si>
  <si>
    <t>[34,28,34,65,34,65,43,34,53,21,34,28]</t>
  </si>
  <si>
    <t>dan sanchez attorney</t>
  </si>
  <si>
    <t>[50,50,50,50,64,78,78,64,64,78,100,64]</t>
  </si>
  <si>
    <t>how hard is it to fight a restraining order</t>
  </si>
  <si>
    <t>[64,50,78,64,50,35,50,64,50,50,50,35]</t>
  </si>
  <si>
    <t>difference between open adoption and closed adoption</t>
  </si>
  <si>
    <t>[27,18,18,100,18,100,18,18,18,18,100,18]</t>
  </si>
  <si>
    <t>rights for dads in texas</t>
  </si>
  <si>
    <t>[28,23,23,6,15,15,23,11,23,15,18,15]</t>
  </si>
  <si>
    <t>types of divorce in texas</t>
  </si>
  <si>
    <t>[9,9,14,33,23,9,9,23,33,23,9,9]</t>
  </si>
  <si>
    <t>temporary custody agreement for grandparents</t>
  </si>
  <si>
    <t>pearland 18-wheeler accident lawyer</t>
  </si>
  <si>
    <t>[28,78,100]</t>
  </si>
  <si>
    <t>legal age to ride a motorcycle</t>
  </si>
  <si>
    <t>[19,7,19,26,42,34,42,34,34,42,34,26]</t>
  </si>
  <si>
    <t>family reunification lawyer</t>
  </si>
  <si>
    <t>[0,0,52,9,23,23,14,33,100,100,66,52]</t>
  </si>
  <si>
    <t>child support attorney the woodlands</t>
  </si>
  <si>
    <t>[0,0,11,77,77,55,77,77,100,100,44,55]</t>
  </si>
  <si>
    <t>texas divorce lawyers houston</t>
  </si>
  <si>
    <t>[10,52,7,1,44,1,66,100,1,24,66,5]</t>
  </si>
  <si>
    <t>age of.consent texas</t>
  </si>
  <si>
    <t>[45,63,63,0,0,27,63,0,100,63,63,45]</t>
  </si>
  <si>
    <t>colleen dunbar attorney</t>
  </si>
  <si>
    <t>[18,18,18,18,100,18,18,18,18,100,18,18]</t>
  </si>
  <si>
    <t>Knowledge panel, Image pack, Ads bottom</t>
  </si>
  <si>
    <t>slate and associates</t>
  </si>
  <si>
    <t>[10,10,10,14,29,14,14,22,10,14,14,14]</t>
  </si>
  <si>
    <t>paternity lawyer the woodlands</t>
  </si>
  <si>
    <t>[0,0,0,55,77,55,77,77,77,77,100,100]</t>
  </si>
  <si>
    <t>erin brown attorney</t>
  </si>
  <si>
    <t>[2,0,1,0,1,0,0,1,1,0,0,0]</t>
  </si>
  <si>
    <t>Knowledge panel, Sitelinks, Ads bottom</t>
  </si>
  <si>
    <t>houston indecency with a child by exposure attorney</t>
  </si>
  <si>
    <t>[1,1,0,1,1,3,3,8,8,100,15,11]</t>
  </si>
  <si>
    <t>parental alienation laws texas</t>
  </si>
  <si>
    <t>[19,15,23,19,15,15,15,15,23,23,19,15]</t>
  </si>
  <si>
    <t>uscis houston field office gears road houston tx</t>
  </si>
  <si>
    <t>[18,18,18,100,18,100,100,100,100,36,45,63]</t>
  </si>
  <si>
    <t>jaime carter &amp; associates liberty</t>
  </si>
  <si>
    <t>[0,0,18,81,18,18,18,18,18,100,18,18]</t>
  </si>
  <si>
    <t>sneed mitchell</t>
  </si>
  <si>
    <t>[66,23,23,33,23,33,42,42,33,42,33,33]</t>
  </si>
  <si>
    <t>sound suppressor laws</t>
  </si>
  <si>
    <t>[10,7,27,4,52,44,44,80,100,1,5,36]</t>
  </si>
  <si>
    <t>divorce lawyers in kingwood tx</t>
  </si>
  <si>
    <t>[11,17,0,11,41,29,23,29,17,23,17,11]</t>
  </si>
  <si>
    <t>family law the woodlands</t>
  </si>
  <si>
    <t>[23,15,28,18,23,18,18,15,28,18,23,23]</t>
  </si>
  <si>
    <t>aaron chapman attorney</t>
  </si>
  <si>
    <t>[23,33,23,52,23,42,33,33,33,42,33,33]</t>
  </si>
  <si>
    <t>Local pack, Sitelinks, Video, People also ask, Related searches, Short videos</t>
  </si>
  <si>
    <t>adjust status after marriage</t>
  </si>
  <si>
    <t>[0,0,0,0,0,2,0,0,100,4,2,5]</t>
  </si>
  <si>
    <t>immigration lawyer sugar land texas</t>
  </si>
  <si>
    <t>[45,45,63,81,100,100,81,81,81,63,45,63]</t>
  </si>
  <si>
    <t>galveston criminal attorney</t>
  </si>
  <si>
    <t>[53,53,53,53,43,43,43,28,43,28,53,21]</t>
  </si>
  <si>
    <t>ewing &amp; jones</t>
  </si>
  <si>
    <t>[100,100,100,18,100,18,18,18,18,100,18,18]</t>
  </si>
  <si>
    <t>jonathan juhan attorney at law</t>
  </si>
  <si>
    <t>[64,64,82,82,82,82,64,100,100,100,64,64]</t>
  </si>
  <si>
    <t>is child support mandatory in texas</t>
  </si>
  <si>
    <t>[43,43,34,34,34,28,28,34,43,28,12,34]</t>
  </si>
  <si>
    <t>divorce statistics for military</t>
  </si>
  <si>
    <t>[24,67,13,55,100,100,76,67,13,0,36,45]</t>
  </si>
  <si>
    <t>sealing vs expungement</t>
  </si>
  <si>
    <t>[26,65,42,19,34,19,26,19,19,26,80,42]</t>
  </si>
  <si>
    <t>how hard is it to get grandparents rights in texas</t>
  </si>
  <si>
    <t>[0,0,0,0,44,77,77,77,55,100,77,0]</t>
  </si>
  <si>
    <t>texas law on grandparents rights</t>
  </si>
  <si>
    <t>[18,18,0,18,18,18,18,45,18,100,27,100]</t>
  </si>
  <si>
    <t>child support lawyers the woodlands</t>
  </si>
  <si>
    <t>[0,0,14,71,100,71,100,71,100,100,71,71]</t>
  </si>
  <si>
    <t>violating a protective order in texas</t>
  </si>
  <si>
    <t>[60,60,40,40,40,40,40,40,60,80,60,80]</t>
  </si>
  <si>
    <t>criminal lawyers in harris county</t>
  </si>
  <si>
    <t>[35,50,35,50,21,35,50,50,28,35,28,14]</t>
  </si>
  <si>
    <t>how to know if i'm drunk</t>
  </si>
  <si>
    <t>[34,34,28,21,28,28,34,43,53,34,28,28]</t>
  </si>
  <si>
    <t>texas cell phone driving laws</t>
  </si>
  <si>
    <t>[15,23,28,15,23,18,23,81,100,66,54,44]</t>
  </si>
  <si>
    <t>how do i get temporary custody of my grandson</t>
  </si>
  <si>
    <t>Sitelinks, Video, Ads bottom, Video Carousel, People also ask, Related searches, Ads middle, AI overview</t>
  </si>
  <si>
    <t>can you drive a motorcycle at 16</t>
  </si>
  <si>
    <t>[52,33,42,42,52,66,66,52,66,66,52,52]</t>
  </si>
  <si>
    <t>parental alienation texas</t>
  </si>
  <si>
    <t>[66,82,82,82,82,82,82,82,100,82,82,82]</t>
  </si>
  <si>
    <t>family law attorney in brownsville texas</t>
  </si>
  <si>
    <t>[19,19,26,26,11,26,26,26,15,19,26,26]</t>
  </si>
  <si>
    <t>custody attorneys the woodlands</t>
  </si>
  <si>
    <t>[28,28,28,28,100,100,71,100,71,100,100,100]</t>
  </si>
  <si>
    <t>kee ables attorney</t>
  </si>
  <si>
    <t>[64,64,14,14,14,14,14,14,14,14,14,14]</t>
  </si>
  <si>
    <t>legal seperation in texas</t>
  </si>
  <si>
    <t>[8,6,5,5,8,3,6,8,8,66,23,15]</t>
  </si>
  <si>
    <t>what the age of consent in texas</t>
  </si>
  <si>
    <t>[2,68,84,68,0,0,0,3,0,13,0,0]</t>
  </si>
  <si>
    <t>different forms of abuse in relationships</t>
  </si>
  <si>
    <t>[34,34,34,34,26,26,26,26,26,26,26,34]</t>
  </si>
  <si>
    <t>personal injury attorney league city</t>
  </si>
  <si>
    <t>[23,14,23,33,9,4,19,4,0,66,80,80]</t>
  </si>
  <si>
    <t>is my spouse entitled to my personal injury settlement</t>
  </si>
  <si>
    <t>[7,7,7,15,15,26,26,26,34,34,42,34]</t>
  </si>
  <si>
    <t>People also ask, Related searches, Discussions and forums, AI overview</t>
  </si>
  <si>
    <t>michael scott attorney carrollton tx</t>
  </si>
  <si>
    <t>[15,10,19,10,19,7,12,100,44,15,67,100]</t>
  </si>
  <si>
    <t>attorneys in belton tx</t>
  </si>
  <si>
    <t>[45,27,63,100,9,0,63,0,27,18,0,27]</t>
  </si>
  <si>
    <t>harry brown lawyer</t>
  </si>
  <si>
    <t>[35,35,35,35,50,28,35,35,35,50,64,100]</t>
  </si>
  <si>
    <t>top divorce attorney houston</t>
  </si>
  <si>
    <t>[81,36,45,81,63,81,9,0,0,9,9,36]</t>
  </si>
  <si>
    <t>divorce lawyer sugar land tx</t>
  </si>
  <si>
    <t>[11,9,9,9,9,9,14,11,14,32,32,26]</t>
  </si>
  <si>
    <t>leigh cutter</t>
  </si>
  <si>
    <t>[6,3,5,5,5,6,5,6,5,6,6,8]</t>
  </si>
  <si>
    <t>legal separation in texas</t>
  </si>
  <si>
    <t>[36,41,30,30,54,30,54,30,36,36,24,20]</t>
  </si>
  <si>
    <t>grand theft prison sentence</t>
  </si>
  <si>
    <t>[19,26,19,26,19,26,19,26,26,26,26,34]</t>
  </si>
  <si>
    <t>Sitelinks, Image, Video Carousel, Related searches, AI overview</t>
  </si>
  <si>
    <t>scott patton pc</t>
  </si>
  <si>
    <t>[35,64,100,50,78,64,78,78,78,78,64,100]</t>
  </si>
  <si>
    <t>injured pedestrian</t>
  </si>
  <si>
    <t>[18,18,18,100,100,100,100,18,18,18,18,18]</t>
  </si>
  <si>
    <t>Top stories, Image pack, Video, Video Carousel, People also ask, Related searches</t>
  </si>
  <si>
    <t>league-city personal injury attorney</t>
  </si>
  <si>
    <t>[11,15,34,7,26,26,19,0,80,80,80,100]</t>
  </si>
  <si>
    <t>aaron cash attorney</t>
  </si>
  <si>
    <t>[28,21,14,14,21,21,14,14,14,14,14,14]</t>
  </si>
  <si>
    <t>Image pack, Sitelinks, Video, People also ask, Related searches</t>
  </si>
  <si>
    <t>us social security administration angleton tx</t>
  </si>
  <si>
    <t>[20,30,13,100,100,100,67,67,13,45,36,45]</t>
  </si>
  <si>
    <t>Knowledge panel, Sitelinks, Image, People also ask, Related searches</t>
  </si>
  <si>
    <t>abogados en texas que hablen español</t>
  </si>
  <si>
    <t>[22,22,22,22,22,22,22,22,77,77,33,100]</t>
  </si>
  <si>
    <t>mineral rights lawyers</t>
  </si>
  <si>
    <t>[28,28,28,28,42,28,28,28,57,71,71,100]</t>
  </si>
  <si>
    <t>child support attorneys the woodlands</t>
  </si>
  <si>
    <t>[0,0,33,55,77,55,77,55,77,100,55,77]</t>
  </si>
  <si>
    <t>slip+and+fall+case</t>
  </si>
  <si>
    <t>[100,0,0,0]</t>
  </si>
  <si>
    <t>interlock fort worth tx</t>
  </si>
  <si>
    <t>Local pack, Video, Image, Ads bottom, People also ask, Related searches</t>
  </si>
  <si>
    <t>how to know when you're drunk</t>
  </si>
  <si>
    <t>[64,64,35,35,35,64,64,64,50,100,7,50]</t>
  </si>
  <si>
    <t>james makin attorney</t>
  </si>
  <si>
    <t>[23,23,23,33,33,33,33,33,33,33,23,9]</t>
  </si>
  <si>
    <t>texas domestic violence attorney</t>
  </si>
  <si>
    <t>[52,9,9,9,9,9,9,23,42,52,80,80]</t>
  </si>
  <si>
    <t>Local pack, Ads bottom, People also ask</t>
  </si>
  <si>
    <t>signs you are in a silent divorce</t>
  </si>
  <si>
    <t>[0,0,0,0,0,100,12,6,6,6,6,6]</t>
  </si>
  <si>
    <t>divorce lawyers in brownsville texas</t>
  </si>
  <si>
    <t>[26,19,42,26,100,15,26,15,26,26,42,34]</t>
  </si>
  <si>
    <t>juvenile crimes attorney texas</t>
  </si>
  <si>
    <t>[21,50,64,100,100]</t>
  </si>
  <si>
    <t>houston drug reaction accident attorneys</t>
  </si>
  <si>
    <t>[7,7,14,0,28,28,100,100,50,7]</t>
  </si>
  <si>
    <t>Local pack, Sitelinks, Video, Featured snippet, People also ask</t>
  </si>
  <si>
    <t>houston child support attorneys</t>
  </si>
  <si>
    <t>[9,0,45,63,63,63,63,9,100,100,100,100]</t>
  </si>
  <si>
    <t>internet sex crimes</t>
  </si>
  <si>
    <t>[17,43,17,28,66,28,28,53,66,100,53,66]</t>
  </si>
  <si>
    <t>what rights do grandparents have in texas</t>
  </si>
  <si>
    <t>[42,34,42,26,42,34,19,42,26,42,34,34]</t>
  </si>
  <si>
    <t>sudduth &amp; associates</t>
  </si>
  <si>
    <t>[50,64,64,50,64,64,64,100,50,50,78,100]</t>
  </si>
  <si>
    <t>Knowledge panel, Sitelinks, Video, Image, Video Carousel, Related searches</t>
  </si>
  <si>
    <t>open vs closed adoption</t>
  </si>
  <si>
    <t>[29,36,36,36,54,54,54,54,44,36,36,36]</t>
  </si>
  <si>
    <t>how long does citizenship application process take</t>
  </si>
  <si>
    <t>[18,100,18,100,45,27,63,63,63,63,45,36]</t>
  </si>
  <si>
    <t>grandparent rights texas</t>
  </si>
  <si>
    <t>[100,35,100,100,18,18,10,81,18,29,22,18]</t>
  </si>
  <si>
    <t>sugar land divorce attorney</t>
  </si>
  <si>
    <t>[21,6,3,15,15,15,21,34,43,100,100,65]</t>
  </si>
  <si>
    <t>is there legal separation in texas</t>
  </si>
  <si>
    <t>[21,15,21,21,21,21,21,28,21,21,28,28]</t>
  </si>
  <si>
    <t>family law attorney houston texas free consultation</t>
  </si>
  <si>
    <t>[35,23,43,35,35,66,66,23,53,12,28,23]</t>
  </si>
  <si>
    <t>Local pack, Sitelinks, Related searches, AI overview</t>
  </si>
  <si>
    <t>family attorney the woodlands</t>
  </si>
  <si>
    <t>[9,9,9,14,33,42,33,33,33,52,52,52]</t>
  </si>
  <si>
    <t>texas grandparent rights</t>
  </si>
  <si>
    <t>[12,23,53,12,23,53,17,82,100,100,66,66]</t>
  </si>
  <si>
    <t>lawyer for false allegations</t>
  </si>
  <si>
    <t>[4,5,5,1,7,7,7,0,0,100,5,7]</t>
  </si>
  <si>
    <t>mark m childress</t>
  </si>
  <si>
    <t>[52,52,64,100,64,82,100,82,52,52,52,52]</t>
  </si>
  <si>
    <t>Knowledge panel, Sitelinks, Video, Ads bottom, Related searches</t>
  </si>
  <si>
    <t>registered sex offenders in harris county texas</t>
  </si>
  <si>
    <t>[14,21,100,7,78,28,64,35,21,7,7,100]</t>
  </si>
  <si>
    <t>definition of obscenity law</t>
  </si>
  <si>
    <t>[53,34,65,28,53,34,34,100,53,43,21,81]</t>
  </si>
  <si>
    <t>roland brown attorney</t>
  </si>
  <si>
    <t>[71,71,71,71,28,28,28,28,28,28,28,28]</t>
  </si>
  <si>
    <t>Local pack, Video, People also ask, See results about</t>
  </si>
  <si>
    <t>head injury lawsuit</t>
  </si>
  <si>
    <t>[19,7,11,26,15,19,34,26,19,42,65,100]</t>
  </si>
  <si>
    <t>lance brown attorney</t>
  </si>
  <si>
    <t>[45,45,45,63,63,81,18,18,18,18,18,18]</t>
  </si>
  <si>
    <t>gray divorce lawyer</t>
  </si>
  <si>
    <t>[6,6,6,6,15,28,43,43,28,100,100,65]</t>
  </si>
  <si>
    <t>Local pack, Sitelinks, Video, Video Carousel, People also ask, Related searches, AI overview</t>
  </si>
  <si>
    <t>julie ketterman attorney</t>
  </si>
  <si>
    <t>[19,26,19,19,26,26,34,34,19,19,19,7]</t>
  </si>
  <si>
    <t>jobs for sex offenders texas</t>
  </si>
  <si>
    <t>[100,100,45,45,45,45,63,18,18,18,18,18]</t>
  </si>
  <si>
    <t>erin brown lawyer</t>
  </si>
  <si>
    <t>[100,100,18,36,27,18,27,36,18,18,18,18]</t>
  </si>
  <si>
    <t>motorcycle accident lawyer league city</t>
  </si>
  <si>
    <t>[0,0,9,19,80,0,4,4,52,80,80,100]</t>
  </si>
  <si>
    <t>scott evans lawyer</t>
  </si>
  <si>
    <t>[100,66,11,11,11,11,11,8,11,11,11,11]</t>
  </si>
  <si>
    <t>Local pack, Sitelinks, Video, Video Carousel</t>
  </si>
  <si>
    <t>attorney mark scott fort worth</t>
  </si>
  <si>
    <t>[0,0,0,33,33,44,44,44,77,77,77,77]</t>
  </si>
  <si>
    <t>how do i get temporary custody of my grandchild</t>
  </si>
  <si>
    <t>Sitelinks, Video, Ads bottom, People also ask, Related searches, Ads middle, AI overview</t>
  </si>
  <si>
    <t>divorcing a disabled spouse in texas</t>
  </si>
  <si>
    <t>[9,5,9,5,5,9,5,6,5,6,6,2]</t>
  </si>
  <si>
    <t>divorce lawyers in brownsville tx</t>
  </si>
  <si>
    <t>[100,21,50,21,14,14,21,7,14,14,28,28]</t>
  </si>
  <si>
    <t>how to know if you're tipsy</t>
  </si>
  <si>
    <t>[35,78,35,50,50,64,64,64,50,64,64,50]</t>
  </si>
  <si>
    <t>Image pack, Sitelinks, Video, Featured snippet, People also ask, Related searches, Discussions and forums</t>
  </si>
  <si>
    <t>mopeds for 12 year olds</t>
  </si>
  <si>
    <t>[43,21,15,9,21,3,3,21,15,21,21,28]</t>
  </si>
  <si>
    <t>Sitelinks, Video, Image, Video Carousel, Popular products, Related searches, Discussions and forums, AI overview</t>
  </si>
  <si>
    <t>houston tx divorce lawyers</t>
  </si>
  <si>
    <t>[0,11,33,44,55,44,44,44,100,100,77,55]</t>
  </si>
  <si>
    <t>criminal attorney galveston tx</t>
  </si>
  <si>
    <t>[34,21,43,28,28,28,28,34,34,21,34,21]</t>
  </si>
  <si>
    <t>Local pack, Sitelinks, Video, Image, Ads bottom, People also ask, Related searches</t>
  </si>
  <si>
    <t>criminal defense attorney galveston</t>
  </si>
  <si>
    <t>[42,42,34,42,19,26,34,26,53,34,42,15]</t>
  </si>
  <si>
    <t>signs that you're drunk</t>
  </si>
  <si>
    <t>[12,15,28,15,21,28,0,34,28,100,34,28]</t>
  </si>
  <si>
    <t>joe indelicato houston</t>
  </si>
  <si>
    <t>[63,45,45,45,63,27,63,63,63,45,63,63]</t>
  </si>
  <si>
    <t>Sitelinks, Video, See results about</t>
  </si>
  <si>
    <t>what is dwi in texas</t>
  </si>
  <si>
    <t>[9,7,11,14,11,11,17,14,11,14,17,11]</t>
  </si>
  <si>
    <t>step parent rights in texas</t>
  </si>
  <si>
    <t>[50,50,64,50,35,78,50,64,100,100,78,78]</t>
  </si>
  <si>
    <t>expungement attorneys texas</t>
  </si>
  <si>
    <t>[41,64,100]</t>
  </si>
  <si>
    <t>jason graeber attorney</t>
  </si>
  <si>
    <t>[36,45,63,81,63,63,63,100,63,100,45,63]</t>
  </si>
  <si>
    <t>parent alienation texas</t>
  </si>
  <si>
    <t>[45,36,45,63,45,63,63,81,81,100,63,27]</t>
  </si>
  <si>
    <t>charney brown</t>
  </si>
  <si>
    <t>[18,18,18,18,18,18,100,18,100,100,100,18]</t>
  </si>
  <si>
    <t>divorce lawyers in sugar land texas</t>
  </si>
  <si>
    <t>[15,9,12,15,15,34,12,53,21,34,34,34]</t>
  </si>
  <si>
    <t>texas dwi second chance law</t>
  </si>
  <si>
    <t>[82,100,64,82,82,64,52,64,52,82,82,64]</t>
  </si>
  <si>
    <t>houston drug attorney</t>
  </si>
  <si>
    <t>[23,23,33,23,33,33,23,14,33,42,52,42]</t>
  </si>
  <si>
    <t>casey brown attorney</t>
  </si>
  <si>
    <t>[18,100,18,45,36,45,36,36,36,18,18,18]</t>
  </si>
  <si>
    <t>Video, Ads bottom, Related searches</t>
  </si>
  <si>
    <t>prohibited sexual conduct meaning</t>
  </si>
  <si>
    <t>[26,26,26,53,100,26,7,7,7,7,7,7]</t>
  </si>
  <si>
    <t>lorenzo brown and associates</t>
  </si>
  <si>
    <t>[23,17,17,23,17,35,17,12,12,17,23,17]</t>
  </si>
  <si>
    <t>Knowledge panel, Image pack, Video, Related searches</t>
  </si>
  <si>
    <t>filing for separation in texas</t>
  </si>
  <si>
    <t>[64,64,52,82,82,64,64,52,41,52,41,41]</t>
  </si>
  <si>
    <t>houston domestic violence lawyers</t>
  </si>
  <si>
    <t>[3,3,6,11,11,6,5,8,8,5,5,6]</t>
  </si>
  <si>
    <t>protective order houston texas</t>
  </si>
  <si>
    <t>[50,64,64,50,35,50,35,64,50,64,64,64]</t>
  </si>
  <si>
    <t>lawsuit for slip and fall</t>
  </si>
  <si>
    <t>[4,0,22,22,10,10,6,4,22,22,14,18]</t>
  </si>
  <si>
    <t>Sitelinks, Ads bottom, Video Carousel, People also ask, Related searches, Discussions and forums, Ads middle, AI overview</t>
  </si>
  <si>
    <t>texas age of concent</t>
  </si>
  <si>
    <t>[0,0,100,0,0,0,66,0,0,19,14,19]</t>
  </si>
  <si>
    <t>paternity attorney the woodlands</t>
  </si>
  <si>
    <t>[0,0,11,55,77,55,77,77,77,100,100,100]</t>
  </si>
  <si>
    <t>how to tell if you're tipsy</t>
  </si>
  <si>
    <t>[64,64,11,11,11,17,23,17,82,82,52,29]</t>
  </si>
  <si>
    <t>Image pack, Sitelinks, Video, People also ask, Related searches, Discussions and forums, AI overview</t>
  </si>
  <si>
    <t>what is a domestic partner in texas</t>
  </si>
  <si>
    <t>[28,53,28,28,15,34,21,21,28,43,28,34]</t>
  </si>
  <si>
    <t>jim brown attorney at law</t>
  </si>
  <si>
    <t>[33,33,33,42,66,66,42,52,42,42,42,42]</t>
  </si>
  <si>
    <t>post nuptial agreement texas</t>
  </si>
  <si>
    <t>[65,81,81,81,100,100,81,81,100,100,81,65]</t>
  </si>
  <si>
    <t>questions to ask dui attorney</t>
  </si>
  <si>
    <t>[11,11,100,64,11,11,11,11,11,11,11,11]</t>
  </si>
  <si>
    <t>Video, Featured snippet, Ads bottom, People also ask, Related searches, Discussions and forums</t>
  </si>
  <si>
    <t>how do you know if your parents are getting divorced</t>
  </si>
  <si>
    <t>[29,41,29,41,17,52,82,64,41,52,41,52]</t>
  </si>
  <si>
    <t>texas sobriety test</t>
  </si>
  <si>
    <t>[18,18,18,18,18,18,100,100,100,100,63,63]</t>
  </si>
  <si>
    <t>sexual battery lawyer houston</t>
  </si>
  <si>
    <t>[42,57,28,100,100,100,100,71,100,71,57,57]</t>
  </si>
  <si>
    <t>attorney harris county</t>
  </si>
  <si>
    <t>[45,45,45,63,63,81,63,63,63,81,63,45]</t>
  </si>
  <si>
    <t>how long does a protective order last in texas</t>
  </si>
  <si>
    <t>[64,64,64,50,35,78,100,78,64,50,50,100]</t>
  </si>
  <si>
    <t>Featured snippet, People also ask, Ads middle</t>
  </si>
  <si>
    <t>houston sex offense attorney</t>
  </si>
  <si>
    <t>[29,41,41,52,41,41,52,52,82,82,100,82]</t>
  </si>
  <si>
    <t>what is a dwi in texas</t>
  </si>
  <si>
    <t>[6,5,8,10,5,16,2,1,13,10,10,16]</t>
  </si>
  <si>
    <t>brown fortunato</t>
  </si>
  <si>
    <t>[55,44,44,55,100,33,55,44,55,55,55,77]</t>
  </si>
  <si>
    <t>houston assault lawyer</t>
  </si>
  <si>
    <t>[14,21,11,14,11,11,21,21,17,72,48,39]</t>
  </si>
  <si>
    <t>aggravated assault lawyer in houston</t>
  </si>
  <si>
    <t>[28,28,50,64,50,78,100,64,35,7,7,7]</t>
  </si>
  <si>
    <t>damien brown lawyer</t>
  </si>
  <si>
    <t>[45,45,63,45,18,18,18,18,100,18,18,18]</t>
  </si>
  <si>
    <t>how do i know if i'm drunk</t>
  </si>
  <si>
    <t>[65,65,80,53,42,42,34,34,26,80,53,42]</t>
  </si>
  <si>
    <t>getting married in texas to a foreigner</t>
  </si>
  <si>
    <t>[8,22,4,14,4,4,4,4,4,4,4,4]</t>
  </si>
  <si>
    <t>legal separation in tx</t>
  </si>
  <si>
    <t>[28,23,35,53,82,82,66,53,82,82,100,66]</t>
  </si>
  <si>
    <t>definition obscenity</t>
  </si>
  <si>
    <t>[0,0,0,0,0,0,0,16,0,0,0,0]</t>
  </si>
  <si>
    <t>how to fight a restraining order</t>
  </si>
  <si>
    <t>[65,81,65,100,65,81,81,65,65,65,65,53]</t>
  </si>
  <si>
    <t>divorce lawyer harlingen tx</t>
  </si>
  <si>
    <t>[55,55,55,33,77,77,33,22,33,33,44,77]</t>
  </si>
  <si>
    <t>child custody lawyers the woodlands</t>
  </si>
  <si>
    <t>[0,0,11,55,77,55,77,55,77,100,77,77]</t>
  </si>
  <si>
    <t>texas property division</t>
  </si>
  <si>
    <t>[50,78,100,64,100,78,78,35,35,50,28,14]</t>
  </si>
  <si>
    <t>jay lauer attorney</t>
  </si>
  <si>
    <t>[18,18,100,100,18,18,18,100,18,18,100,100]</t>
  </si>
  <si>
    <t>family law lawyers the woodlands</t>
  </si>
  <si>
    <t>tyler brown attorney</t>
  </si>
  <si>
    <t>[7,12,28,10,10,7,10,7,12,12,5,5]</t>
  </si>
  <si>
    <t>divorce lawyers in victoria texas</t>
  </si>
  <si>
    <t>[42,53,80,53,65,53,65,65,65,42,53,80]</t>
  </si>
  <si>
    <t>alcohol and divorce</t>
  </si>
  <si>
    <t>[14,28,28,21,35,28,35,35,50,35,28,21]</t>
  </si>
  <si>
    <t>authorization agreement for nonparent relative</t>
  </si>
  <si>
    <t>[18,18,100,18,18,18,18,18,18,100,18,18]</t>
  </si>
  <si>
    <t>car accident lawyer league city tx</t>
  </si>
  <si>
    <t>[27,36,27,27,100,18,36,0,63,63,63,63]</t>
  </si>
  <si>
    <t>scroggins law group pllc</t>
  </si>
  <si>
    <t>[18,18,18,100,100,100,100,100,63,63,100,100]</t>
  </si>
  <si>
    <t>Local pack, Sitelinks, Video, Image, Video Carousel, People also ask, Related searches</t>
  </si>
  <si>
    <t>questions to ask dui lawyer</t>
  </si>
  <si>
    <t>[18,18,100,100,18,18,18,18,27,27,18,18]</t>
  </si>
  <si>
    <t>laws in texas about texting and driving</t>
  </si>
  <si>
    <t>Sitelinks, Featured snippet, Video Carousel, People also ask, Related searches</t>
  </si>
  <si>
    <t>miley and brown</t>
  </si>
  <si>
    <t>[53,100,100,100,100,42,100,65,80,80,80,100]</t>
  </si>
  <si>
    <t>texas law driving and texting</t>
  </si>
  <si>
    <t>texas consent age</t>
  </si>
  <si>
    <t>[7,16,8,7,24,13,16,24,13,20,16,24]</t>
  </si>
  <si>
    <t>charges for hit and run in texas</t>
  </si>
  <si>
    <t>[18,18,18,18,18,100,18,100,100,100,100,18]</t>
  </si>
  <si>
    <t>kevin rekoff lawyer</t>
  </si>
  <si>
    <t>[52,29,29,41,52,17,41,52,82,52,41,41]</t>
  </si>
  <si>
    <t>child support texas percentage</t>
  </si>
  <si>
    <t>[100,66,80,80,66,66,66,52,42,19,66,66]</t>
  </si>
  <si>
    <t>rb pool attorney</t>
  </si>
  <si>
    <t>[41,29,29,64,29,41,41,41,41,41,41,41]</t>
  </si>
  <si>
    <t>Knowledge panel, Video, People also ask</t>
  </si>
  <si>
    <t>james brown attorney</t>
  </si>
  <si>
    <t>[52,52,52,52,42,80,52,66,52,100,52,52]</t>
  </si>
  <si>
    <t>sam brown lawyer</t>
  </si>
  <si>
    <t>[55,55,55,77,77,100,77,77,77,77,55,77]</t>
  </si>
  <si>
    <t>kristin brown attorney</t>
  </si>
  <si>
    <t>[52,52,29,52,41,41,41,41,41,64,64,64]</t>
  </si>
  <si>
    <t>am i drunk</t>
  </si>
  <si>
    <t>[32,39,39,32,21,26,26,26,26,26,26,26]</t>
  </si>
  <si>
    <t>texas grandparents rights</t>
  </si>
  <si>
    <t>[23,23,29,29,29,36,29,29,29,36,36,54]</t>
  </si>
  <si>
    <t>will i have to pay alimony to my wife</t>
  </si>
  <si>
    <t>[40,40,40,40,60,40,80,60,80,40,40,40]</t>
  </si>
  <si>
    <t>Sitelinks, Video, Ads bottom, Video Carousel, People also ask, Discussions and forums</t>
  </si>
  <si>
    <t>claim settlement process</t>
  </si>
  <si>
    <t>[26,0,53,26,53,42,65,65,80,65,100,100]</t>
  </si>
  <si>
    <t>james &amp; parlange law</t>
  </si>
  <si>
    <t>[18,18,18,18,18,100,18,100,18,18,18,18]</t>
  </si>
  <si>
    <t>what is the difference between open adoption and closed adoption</t>
  </si>
  <si>
    <t>[36,18,18,18,100,100,18,18,18,18,100,18]</t>
  </si>
  <si>
    <t>texas age of consent</t>
  </si>
  <si>
    <t>[54,66,81,44,81,44,36,54,54,44,44,54]</t>
  </si>
  <si>
    <t>motion to modify custody texas</t>
  </si>
  <si>
    <t>[7,7,7,7,7,7,7,11,19,26,7,7]</t>
  </si>
  <si>
    <t>can a toddler ride on a motorcycle</t>
  </si>
  <si>
    <t>[0,0,28,57,42,100,28,71,100,100,71,100]</t>
  </si>
  <si>
    <t>houston sexual assault defense lawyer</t>
  </si>
  <si>
    <t>[0,0,0,36,36,27,36,45,100,100,63,27]</t>
  </si>
  <si>
    <t>brain injury attorney texas</t>
  </si>
  <si>
    <t>[7,0,28,14,21,35,35,14,100,100,100,100]</t>
  </si>
  <si>
    <t>Local pack, Sitelinks, Ads middle</t>
  </si>
  <si>
    <t>how old do you have to be to ride motorcycle</t>
  </si>
  <si>
    <t>[20,36,13,8,8,30,55,55,16,36,13,20]</t>
  </si>
  <si>
    <t>emailing uber customer service</t>
  </si>
  <si>
    <t>[0,0,0,0,0,81,81,100,0,0,0,0]</t>
  </si>
  <si>
    <t>hands free laws in texas</t>
  </si>
  <si>
    <t>[12,17,17,12,7,12,17,100,23,17,28,23]</t>
  </si>
  <si>
    <t>krystal garza &amp; associates</t>
  </si>
  <si>
    <t>[18,18,18,18,18,100,100,18,100,100,18,18]</t>
  </si>
  <si>
    <t>Knowledge panel, Image pack, Sitelinks, Video, Image</t>
  </si>
  <si>
    <t>the woodlands paternity lawyer</t>
  </si>
  <si>
    <t>[0,0,9,63,63,45,63,63,81,100,100,81]</t>
  </si>
  <si>
    <t>Local pack, Sitelinks, Video, Featured snippet, Ads bottom</t>
  </si>
  <si>
    <t>divorce lawyers in the woodlands tx</t>
  </si>
  <si>
    <t>[15,23,29,9,12,29,54,19,19,23,19,100]</t>
  </si>
  <si>
    <t>how do you know when you're drunk</t>
  </si>
  <si>
    <t>[26,53,34,26,34,34,65,42,42,80,34,65]</t>
  </si>
  <si>
    <t>how is spousal support calculated in texas</t>
  </si>
  <si>
    <t>[63,81,63,81,81,63,63,100,63,63,63,81]</t>
  </si>
  <si>
    <t>harris county criminal defense attorney</t>
  </si>
  <si>
    <t>[11,22,33,22,77,77,100,44,100,100,44,77]</t>
  </si>
  <si>
    <t>ryan brown attorney at law</t>
  </si>
  <si>
    <t>[18,18,100,100,100,100,100,18,18,18,18,18]</t>
  </si>
  <si>
    <t>how to prove alcoholism in divorce</t>
  </si>
  <si>
    <t>[26,11,42,34,42,34,42,26,80,80,100,100]</t>
  </si>
  <si>
    <t>felony theft amount texas</t>
  </si>
  <si>
    <t>[54,66,43,54,35,43,35,35,43,66,43,43]</t>
  </si>
  <si>
    <t>how old do have to be to drive a motorcycle</t>
  </si>
  <si>
    <t>[41,29,29,29,41,17,41,41,64,29,52,41]</t>
  </si>
  <si>
    <t>Sitelinks, Featured snippet, People also ask, Related searches</t>
  </si>
  <si>
    <t>obscene material meaning</t>
  </si>
  <si>
    <t>[11,11,11,11,100,64,64,64,41,64,82,64]</t>
  </si>
  <si>
    <t>jean brown law</t>
  </si>
  <si>
    <t>[63,81,45,81,63,63,63,81,100,81,81,63]</t>
  </si>
  <si>
    <t>is 17 the legal age of consent in texas</t>
  </si>
  <si>
    <t>[18,18,18,18,100,18,36,100,18,18,18,18]</t>
  </si>
  <si>
    <t>pbfcm law firm</t>
  </si>
  <si>
    <t>[43,43,53,66,100,66,53,100,53,82,43,53]</t>
  </si>
  <si>
    <t>50/50 custody texas</t>
  </si>
  <si>
    <t>[11,14,14,11,17,11,11,17,17,17,11,14]</t>
  </si>
  <si>
    <t>paternity issues lawyers the woodlands</t>
  </si>
  <si>
    <t>[22,22,11,55,77,55,77,77,77,77,100,77]</t>
  </si>
  <si>
    <t>law office of joseph acevedo</t>
  </si>
  <si>
    <t>[1,1,1,1,1,6,1,1,6,1,1,1]</t>
  </si>
  <si>
    <t>houston texting and driving accident attorney</t>
  </si>
  <si>
    <t>[33,22,33,44,55,44,55,22,77,100,55,77]</t>
  </si>
  <si>
    <t>family law attorney in the woodlands</t>
  </si>
  <si>
    <t>[0,0,0,18,36,27,27,27,27,36,36,36]</t>
  </si>
  <si>
    <t>damien brown attorney</t>
  </si>
  <si>
    <t>[45,63,63,27,45,18,18,100,18,18,18,18]</t>
  </si>
  <si>
    <t>chip b lewis</t>
  </si>
  <si>
    <t>[45,36,45,63,63,18,18,18,18,18,18,18]</t>
  </si>
  <si>
    <t>galveston tx lawyers</t>
  </si>
  <si>
    <t>[23,5,11,41,0,0,5,23,100,5,0,5]</t>
  </si>
  <si>
    <t>sex crime lawyers texas</t>
  </si>
  <si>
    <t>[21,50,64,100,78]</t>
  </si>
  <si>
    <t>Knowledge panel, Sitelinks, Related searches, AI overview</t>
  </si>
  <si>
    <t>domestic partner in texas</t>
  </si>
  <si>
    <t>[12,9,15,0,0,0,0,2,4,4,2,6]</t>
  </si>
  <si>
    <t>defective drugs attorney</t>
  </si>
  <si>
    <t>[0,3,5,6,11,8,11,6,81,100,66,28]</t>
  </si>
  <si>
    <t>family law firm houston tx</t>
  </si>
  <si>
    <t>[35,35,35,35,50,21,50,50,50,100,50,64]</t>
  </si>
  <si>
    <t>at what age can you ride a motorcycle</t>
  </si>
  <si>
    <t>[14,9,9,9,14,52,52,52,9,33,42,14]</t>
  </si>
  <si>
    <t>woodlands divorce attorney</t>
  </si>
  <si>
    <t>[52,52,29,52,29,41,41,29,29,52,100,82]</t>
  </si>
  <si>
    <t>settling claims</t>
  </si>
  <si>
    <t>[0,0,0,42,4,4,4,100,0,4,4,4]</t>
  </si>
  <si>
    <t>patricia brown attorney</t>
  </si>
  <si>
    <t>[81,45,36,36,36,27,36,36,27,18,18,18]</t>
  </si>
  <si>
    <t>rick brown attorney</t>
  </si>
  <si>
    <t>[64,35,35,50,50,50,50,35,35,50,50,35]</t>
  </si>
  <si>
    <t>am i entitled to spousal maintenance</t>
  </si>
  <si>
    <t>[63,45,45,81,81,63,81,63,63,45,81,100]</t>
  </si>
  <si>
    <t>how old can you ride a motorcycle</t>
  </si>
  <si>
    <t>[26,19,19,19,26,11,26,42,42,19,26,26]</t>
  </si>
  <si>
    <t>Image pack, Sitelinks, Video, Image, Video Carousel, Related searches, AI overview</t>
  </si>
  <si>
    <t>sam brown attorney</t>
  </si>
  <si>
    <t>[29,41,41,29,41,52,52,41,41,52,41,52]</t>
  </si>
  <si>
    <t>Local pack, Image pack, Sitelinks, Video, Related searches</t>
  </si>
  <si>
    <t>sean brown lawyer</t>
  </si>
  <si>
    <t>[100,100,100,100,63,45,36,27,18,27,27,27]</t>
  </si>
  <si>
    <t>how to tell if your tipsy</t>
  </si>
  <si>
    <t>[100,45,18,36,18,36,100,100,63,18,18,45]</t>
  </si>
  <si>
    <t>is there grandparents rights in texas</t>
  </si>
  <si>
    <t>[23,23,9,9,19,23,9,9,9,33,9,9]</t>
  </si>
  <si>
    <t>how to fight a protection order</t>
  </si>
  <si>
    <t>[4,9,9,19,9,42,100,14,19,19,19,14]</t>
  </si>
  <si>
    <t>are there grandparents rights in texas</t>
  </si>
  <si>
    <t>[29,29,29,17,41,17,64,17,11,100,64,41]</t>
  </si>
  <si>
    <t>shelby scott attorney</t>
  </si>
  <si>
    <t>[27,27,81,81,100,81,63,27,45,18,18,18]</t>
  </si>
  <si>
    <t>signs of a silent divorce</t>
  </si>
  <si>
    <t>[8,10,22,22,14,100,35,10,29,29,22,14]</t>
  </si>
  <si>
    <t>paternity issues lawyer the woodlands</t>
  </si>
  <si>
    <t>prenup attorneys the woodlands</t>
  </si>
  <si>
    <t>[0,0,36,63,63,63,63,63,63,81,81,100]</t>
  </si>
  <si>
    <t>how can i get temporary custody of my grandchild</t>
  </si>
  <si>
    <t>third dwi texas</t>
  </si>
  <si>
    <t>[100,2,2,2,8,8,10,0,22,4,4,18]</t>
  </si>
  <si>
    <t>texas criminal code dwi</t>
  </si>
  <si>
    <t>[18,43,43,54,54,54,54,43,14,14,29,18]</t>
  </si>
  <si>
    <t>baytown divorce attorneys</t>
  </si>
  <si>
    <t>[63,63,63,45,36,63,63,63,63,63,63,63]</t>
  </si>
  <si>
    <t>scotts hanley</t>
  </si>
  <si>
    <t>[42,7,42,7,0,0,42,7,7,7,42,7]</t>
  </si>
  <si>
    <t>Knowledge panel, Image pack, Sitelinks, Video, Image, People also ask, Related searches, AI overview</t>
  </si>
  <si>
    <t>indecency with a child texas penal code</t>
  </si>
  <si>
    <t>[0,2,28,43,0,43,23,35,35,23,43,100]</t>
  </si>
  <si>
    <t>reckless texas</t>
  </si>
  <si>
    <t>[18,0,45,0,63,63,63,63,63,45,45,63]</t>
  </si>
  <si>
    <t>Video, Image, Video Carousel, Related searches, AI overview</t>
  </si>
  <si>
    <t>morgan bourque attorney</t>
  </si>
  <si>
    <t>[6,19,12,9,5,5,29,9,12,23,12,100]</t>
  </si>
  <si>
    <t>texas indecency with a child lawyer</t>
  </si>
  <si>
    <t>[100,100,57,14]</t>
  </si>
  <si>
    <t>calvin parks attorney at law</t>
  </si>
  <si>
    <t>[7,7,7,7,42,7,7,7,7,7,7,7]</t>
  </si>
  <si>
    <t>mineral rights attorney</t>
  </si>
  <si>
    <t>[54,15,15,12,15,23,29,100,44,67,67,67]</t>
  </si>
  <si>
    <t>family law center houston tx</t>
  </si>
  <si>
    <t>[55,20,30,13,55,100,8,20,30,10,55,13]</t>
  </si>
  <si>
    <t>julie ketterman attorney houston</t>
  </si>
  <si>
    <t>[19,26,19,19,26,26,34,42,19,19,19,7]</t>
  </si>
  <si>
    <t>shawn brown lawyer</t>
  </si>
  <si>
    <t>[100,17,29,41,5,11,29,64,41,17,5,0]</t>
  </si>
  <si>
    <t>dret mchatton attorney</t>
  </si>
  <si>
    <t>[81,45,45,45,63,27,45,63,63,63,63,63]</t>
  </si>
  <si>
    <t>Knowledge panel, Sitelinks, Ads bottom, People also ask, Related searches</t>
  </si>
  <si>
    <t>age of sexual consent texas</t>
  </si>
  <si>
    <t>[0,0,0,0,0,0,0,0,0,4,100,3]</t>
  </si>
  <si>
    <t>friday milner lambert turner</t>
  </si>
  <si>
    <t>[64,35,64,64,78,78,100,78,78,78,50,50]</t>
  </si>
  <si>
    <t>cheap divorce lawyers in houston texas</t>
  </si>
  <si>
    <t>[34,53,42,53,19,34,34,26,34,42,34,42]</t>
  </si>
  <si>
    <t>adoption lawyers austin</t>
  </si>
  <si>
    <t>[0,0,0,33,77,77,77,77,77,100,100,100]</t>
  </si>
  <si>
    <t>Local pack, Discussions and forums</t>
  </si>
  <si>
    <t>scott humble attorney</t>
  </si>
  <si>
    <t>[2,2,2,2,2,11,2,11,2,2,2,100]</t>
  </si>
  <si>
    <t>what does dwi</t>
  </si>
  <si>
    <t>[19,26,19,26,19,26,26,26,26,34,34,26]</t>
  </si>
  <si>
    <t>texas age of consent law</t>
  </si>
  <si>
    <t>[0,0,5,3,0,0,0,1,0,7,8,2]</t>
  </si>
  <si>
    <t>parental alienation texas family code</t>
  </si>
  <si>
    <t>[9,9,9,14,14,14,9,14,14,19,19,23]</t>
  </si>
  <si>
    <t>age consent in texas</t>
  </si>
  <si>
    <t>[5,8,45,3,1,0,10,13,5,20,16,16]</t>
  </si>
  <si>
    <t>rick brown attorney dalton</t>
  </si>
  <si>
    <t>[63,45,45,63,45,27,63,45,63,63,63,45]</t>
  </si>
  <si>
    <t>832 lawyers</t>
  </si>
  <si>
    <t>[14,14,14,14,14,78,78,78,14,78,78,21]</t>
  </si>
  <si>
    <t>houston brain &amp; spinal cord injury lawyers</t>
  </si>
  <si>
    <t>[7,28,21,35,35,35,100,100,50,7,7]</t>
  </si>
  <si>
    <t>tpo law meaning</t>
  </si>
  <si>
    <t>[10,14,14,10,14,14,22,18,22,22,22,18]</t>
  </si>
  <si>
    <t>houston assault attorneys</t>
  </si>
  <si>
    <t>[9,0,18,18,27,27,36,36,81,100,81,45]</t>
  </si>
  <si>
    <t>Local pack, Sitelinks, People also ask</t>
  </si>
  <si>
    <t>the woodlands paternity issues attorney</t>
  </si>
  <si>
    <t>[0,0,22,55,77,55,77,77,77,100,100,77]</t>
  </si>
  <si>
    <t>visitation lawyer sugar land</t>
  </si>
  <si>
    <t>[0,22,22,33,33,33,100,100,55,22]</t>
  </si>
  <si>
    <t>describe the difference between felony and misdemeanor.</t>
  </si>
  <si>
    <t>[3,0,0,0,0,100,0,0,0,0,0,0]</t>
  </si>
  <si>
    <t>obscene definition law</t>
  </si>
  <si>
    <t>[43,82,53,53,100,82,100,53,43,43,66,53]</t>
  </si>
  <si>
    <t>divorce lawyers in lufkin tx</t>
  </si>
  <si>
    <t>[64,35,64,78,100,50,64,100,64,50,64,50]</t>
  </si>
  <si>
    <t>father's rights in texas</t>
  </si>
  <si>
    <t>[17,17,29,17,23,23,11,11,29,41,29,23]</t>
  </si>
  <si>
    <t>how long do duis stay on your record in texas</t>
  </si>
  <si>
    <t>[45,63,63,45,100,45,81,81,63,81,63,63]</t>
  </si>
  <si>
    <t>girling law</t>
  </si>
  <si>
    <t>[23,17,11,17,64,64,23,23,23,17,17,17]</t>
  </si>
  <si>
    <t>assault defense attorney houston</t>
  </si>
  <si>
    <t>[0,0,18,45,63,45,45,45,63,81,100,81]</t>
  </si>
  <si>
    <t>Local pack, Sitelinks, Video, Featured snippet</t>
  </si>
  <si>
    <t>sex crimes lawyer houston</t>
  </si>
  <si>
    <t>[35,50,64,100,100,78,64,64,28,35,50,35]</t>
  </si>
  <si>
    <t>lemaster law firm</t>
  </si>
  <si>
    <t>[64,11,64,64,64,100,64,64,41,64,64,64]</t>
  </si>
  <si>
    <t>gene toscano</t>
  </si>
  <si>
    <t>[12,15,15,12,15,15,19,15,12,15,19,19]</t>
  </si>
  <si>
    <t>divorce attorney in houston tx cheap</t>
  </si>
  <si>
    <t>[80,42,34,42,15,34,53,53,53,26,42,53]</t>
  </si>
  <si>
    <t>affordable divorce attorney houston tx</t>
  </si>
  <si>
    <t>[34,34,42,42,53,34,42,34,26,34,26,26]</t>
  </si>
  <si>
    <t>texas law on child support</t>
  </si>
  <si>
    <t>[28,21,50,28,35,100,35,35,21,21,28,35]</t>
  </si>
  <si>
    <t>uscis processing time naturalization</t>
  </si>
  <si>
    <t>[23,33,33,42,42,19,42,42,33,33,23,33]</t>
  </si>
  <si>
    <t>legal age to consent to sex in texas</t>
  </si>
  <si>
    <t>[37,5,16,5,2,5,84,100,84,4,46,84]</t>
  </si>
  <si>
    <t>motorbike age limits</t>
  </si>
  <si>
    <t>[63,45,45,45,63,27,63,63,100,45,45,63]</t>
  </si>
  <si>
    <t>slip+and+fall</t>
  </si>
  <si>
    <t>[100,0,0]</t>
  </si>
  <si>
    <t>family attorney in houston tx</t>
  </si>
  <si>
    <t>[5,5,13,0,82,55,100,65,65,3,16,34]</t>
  </si>
  <si>
    <t>the woodlands family lawyer</t>
  </si>
  <si>
    <t>[11,11,11,23,52,52,41,52,52,100,100,64]</t>
  </si>
  <si>
    <t>what is statutory rape in texas</t>
  </si>
  <si>
    <t>[3,0,3,7,15,100,65,15,7,19,26,3]</t>
  </si>
  <si>
    <t>abbott clay and bedoy</t>
  </si>
  <si>
    <t>[78,78,64,100,78,100,78,100,64,50,50,50]</t>
  </si>
  <si>
    <t>whats the age of consent in texas</t>
  </si>
  <si>
    <t>[20,29,22,29,22,29,36,36,36,29,36,29]</t>
  </si>
  <si>
    <t>divorce lawyers in the woodlands</t>
  </si>
  <si>
    <t>[4,0,0,100,19,19,19,19,19,23,80,42]</t>
  </si>
  <si>
    <t>legal definition of dwi</t>
  </si>
  <si>
    <t>[34,26,26,26,26,11,26,26,26,26,26,26]</t>
  </si>
  <si>
    <t>will i get alimony</t>
  </si>
  <si>
    <t>[52,64,64,82,82,41,41,64,100,52,82,64]</t>
  </si>
  <si>
    <t>wilvin carter attorney</t>
  </si>
  <si>
    <t>[64,78,100,78,78,78,64,64,100,64,78,64]</t>
  </si>
  <si>
    <t>league city motorcycle accident lawyer</t>
  </si>
  <si>
    <t>[0,12,12,43,0,2,0,53,53,53,66,100]</t>
  </si>
  <si>
    <t>Local pack, Image, Ads bottom</t>
  </si>
  <si>
    <t>marriage separation laws in texas</t>
  </si>
  <si>
    <t>[18,100,18,18,18,18,18,18,18,18,18,18]</t>
  </si>
  <si>
    <t>Sitelinks, Video, People also ask, Related searches, Things to know, Discussions and forums, AI overview</t>
  </si>
  <si>
    <t>indecent exposure defense lawyer</t>
  </si>
  <si>
    <t>[5,10,12,17,17,28,17,100,100,43,66,53]</t>
  </si>
  <si>
    <t>houston aggravated assault lawyer</t>
  </si>
  <si>
    <t>[11,64,64,64,64,52,41,41,82,100,64,64]</t>
  </si>
  <si>
    <t>aggravated assault attorney houston</t>
  </si>
  <si>
    <t>[6,34,34,43,34,34,34,28,100,100,65,43]</t>
  </si>
  <si>
    <t>cusic law firm</t>
  </si>
  <si>
    <t>[1,1,1,1,1,1,6,6,6,1,1,6]</t>
  </si>
  <si>
    <t>houston tx sex offender map</t>
  </si>
  <si>
    <t>[52,80,66,100,42,100,19,0,0,0,0,0]</t>
  </si>
  <si>
    <t>can u sue someone for giving you an std</t>
  </si>
  <si>
    <t>brobate for sex mean</t>
  </si>
  <si>
    <t>motorcycle for 6 year old</t>
  </si>
  <si>
    <t>[53,66,12,10,12,23,23,23,28,0,23,23]</t>
  </si>
  <si>
    <t>is it illegal to text and drive in texas</t>
  </si>
  <si>
    <t>[28,28,28,34,28,43,34,28,34,34,34,34]</t>
  </si>
  <si>
    <t>Sitelinks, Related searches, Discussions and forums, AI overview</t>
  </si>
  <si>
    <t>lawyers in cleveland tx</t>
  </si>
  <si>
    <t>[23,23,23,23,33,23,23,23,9,9,9,9]</t>
  </si>
  <si>
    <t>tracy brown lawyer</t>
  </si>
  <si>
    <t>[63,81,45,63,81,45,63,63,36,63,63,100]</t>
  </si>
  <si>
    <t>federal first offender act</t>
  </si>
  <si>
    <t>[52,33,66,52,42,66,66,52,66,100,52,42]</t>
  </si>
  <si>
    <t>child custody attorney sugar land</t>
  </si>
  <si>
    <t>[14,28,42,71,71,100,100,100,71]</t>
  </si>
  <si>
    <t>victoria brown attorney</t>
  </si>
  <si>
    <t>settling an auto accident claim</t>
  </si>
  <si>
    <t>[11,11,11,11,11,64,11,11,11,11,11,11]</t>
  </si>
  <si>
    <t>Video, Featured snippet, Ads bottom, Video Carousel, People also ask, Related searches, Ads middle</t>
  </si>
  <si>
    <t>step parents rights in texas</t>
  </si>
  <si>
    <t>[28,100,42,28,71,42,42,42,71,57,71,42]</t>
  </si>
  <si>
    <t>separation marriage texas</t>
  </si>
  <si>
    <t>Knowledge panel, Sitelinks, Video, Video Carousel, Related searches, Discussions and forums</t>
  </si>
  <si>
    <t>alimony vs spousal support</t>
  </si>
  <si>
    <t>[32,48,48,39,48,48,48,39,48,59,48,59]</t>
  </si>
  <si>
    <t>affordable divorce lawyers in houston tx</t>
  </si>
  <si>
    <t>[26,26,26,42,15,34,53,42,26,26,26,26]</t>
  </si>
  <si>
    <t>what is the legal age of sexual consent in texas</t>
  </si>
  <si>
    <t>[66,42,33,42,33,42,33,33,33,23,23,52]</t>
  </si>
  <si>
    <t>divorce lawyer victoria tx</t>
  </si>
  <si>
    <t>[50,35,50,50,50,78,35,50,50,78,78,78]</t>
  </si>
  <si>
    <t>cheap divorce attorney houston</t>
  </si>
  <si>
    <t>[28,43,34,43,34,12,28,43,43,43,21,34]</t>
  </si>
  <si>
    <t>statutory rape laws in texas</t>
  </si>
  <si>
    <t>[0,3,3,3,21,65,43,12,21,15,28,9]</t>
  </si>
  <si>
    <t>defective drugs lawyers</t>
  </si>
  <si>
    <t>[0,0,0,3,5,6,8,11,11,81,100,81]</t>
  </si>
  <si>
    <t>michael livens attorney</t>
  </si>
  <si>
    <t>[40,40,40,40,80,100,80,80,40,40,60,40]</t>
  </si>
  <si>
    <t>dog bite attorney south texas</t>
  </si>
  <si>
    <t>[9,14,9,14,9,42,23,42,33,100,100,80]</t>
  </si>
  <si>
    <t>brandon wong &amp; associates</t>
  </si>
  <si>
    <t>[35,28,35,35,50,50,64,50,78,50,50,50]</t>
  </si>
  <si>
    <t>nico lahood law firm</t>
  </si>
  <si>
    <t>[64,100,64,64,11,11,11,11,11,11,11,11]</t>
  </si>
  <si>
    <t>texting while driving texas</t>
  </si>
  <si>
    <t>[63,45,63,81,81,100,81,81,81,63,63,63]</t>
  </si>
  <si>
    <t>is divorce a civil lawsuit</t>
  </si>
  <si>
    <t>[82,66,82,66,100,100,66,66,82,66,100,100]</t>
  </si>
  <si>
    <t>texting and driving texas law</t>
  </si>
  <si>
    <t>[63,45,63,45,63,100,45,27,81,63,63,63]</t>
  </si>
  <si>
    <t>pinkerton law firm in houston texas</t>
  </si>
  <si>
    <t>[53,28,53,43,53,15,34,65,53,43,34,65]</t>
  </si>
  <si>
    <t>shawn c brown</t>
  </si>
  <si>
    <t>[42,34,53,42,42,80,42,80,34,19,100,34]</t>
  </si>
  <si>
    <t>texas law on texting and driving</t>
  </si>
  <si>
    <t>[77,55,55,55,77,100,77,55,100,44,100,77]</t>
  </si>
  <si>
    <t>divorce attorney for men houston</t>
  </si>
  <si>
    <t>[64,64,41,52,52,41,41,52,64,52,64,41]</t>
  </si>
  <si>
    <t>fall accidents</t>
  </si>
  <si>
    <t>[19,65,15,80,26,0,53,65,7,7,19,19]</t>
  </si>
  <si>
    <t>Image pack, Video, Ads bottom, Video Carousel, Related searches</t>
  </si>
  <si>
    <t>dss lawyers</t>
  </si>
  <si>
    <t>[42,34,42,42,42,42,34,26,26,34,26,34]</t>
  </si>
  <si>
    <t>michael w brown inc</t>
  </si>
  <si>
    <t>[18,18,18,100,18,100,18,18,18,18,100,100]</t>
  </si>
  <si>
    <t>Knowledge panel, Image pack, Sitelinks, People also ask</t>
  </si>
  <si>
    <t>common couple violence</t>
  </si>
  <si>
    <t>[42,11,11,7,42,11,7,7,7,11,15,19]</t>
  </si>
  <si>
    <t>texas statutory rape laws</t>
  </si>
  <si>
    <t>[14,14,6,8,54,29,22,14,14,22,6,18]</t>
  </si>
  <si>
    <t>houston indecency with a child lawyer</t>
  </si>
  <si>
    <t>[9,9,18,27,36,36,36,45,100,100,81,45]</t>
  </si>
  <si>
    <t>do i need a lawyer for a slip and fall</t>
  </si>
  <si>
    <t>[35,35,35,28,78,35,50,35,64,100,78,100]</t>
  </si>
  <si>
    <t>deregistration texas</t>
  </si>
  <si>
    <t>[18,0,36,36,36,18,36,18,18,18,18,18]</t>
  </si>
  <si>
    <t>chip evans attorney</t>
  </si>
  <si>
    <t>[9,14,19,14,19,9,9,9,9,9,9,9]</t>
  </si>
  <si>
    <t>texas modification of custody</t>
  </si>
  <si>
    <t>[26,34,65,53,53,53,42,42,34,34,34,34]</t>
  </si>
  <si>
    <t>first offense program</t>
  </si>
  <si>
    <t>[34,43,43,53,21,34,65,100,43,34,65,65]</t>
  </si>
  <si>
    <t>sugar land child support lawyer</t>
  </si>
  <si>
    <t>[0,0,11,17,29,41,52,52,100,100,82,52]</t>
  </si>
  <si>
    <t>signs you're drunk</t>
  </si>
  <si>
    <t>[23,42,23,33,42,42,52,42,33,52,52,42]</t>
  </si>
  <si>
    <t>can kids ride on motorcycles</t>
  </si>
  <si>
    <t>[10,8,6,10,54,14,35,66,66,81,66,43]</t>
  </si>
  <si>
    <t>custody lawyer the woodlands</t>
  </si>
  <si>
    <t>[0,0,22,77,77,77,77,77,77,100,77,100]</t>
  </si>
  <si>
    <t>melinda brown attorney</t>
  </si>
  <si>
    <t>[18,18,100,100,100,100,63,63,63,63,63,63]</t>
  </si>
  <si>
    <t>divorce lawyers in houston texas free consultation</t>
  </si>
  <si>
    <t>[18,35,28,44,18,23,54,54,23,18,23,28]</t>
  </si>
  <si>
    <t>Local pack, Sitelinks, Video, People also ask, Related searches, Discussions and forums, AI overview</t>
  </si>
  <si>
    <t>linda j brown attorney</t>
  </si>
  <si>
    <t>[45,45,63,63,100,63,63,63,36,63,63,18]</t>
  </si>
  <si>
    <t>domestic violence defense attorney houston</t>
  </si>
  <si>
    <t>[50,50,64,50,28,64,100,78,28,35,28,78]</t>
  </si>
  <si>
    <t>why is my car accident claim going to court</t>
  </si>
  <si>
    <t>[64,29,82,64,82,82,82,29,29,29,29,41]</t>
  </si>
  <si>
    <t>cost of annulment in catholic church</t>
  </si>
  <si>
    <t>[41,52,64,100,100,100,100,82,82,64,82,64]</t>
  </si>
  <si>
    <t>attorney family law houston tx</t>
  </si>
  <si>
    <t>[9,9,45,81,81,100,100,100,100,100,100,100]</t>
  </si>
  <si>
    <t>houston rape lawyer</t>
  </si>
  <si>
    <t>[2,0,2,12,12,17,23,28,28,100,66,43]</t>
  </si>
  <si>
    <t>houston indecency with a child attorney</t>
  </si>
  <si>
    <t>[9,9,6,12,12,15,15,34,28,100,53,53]</t>
  </si>
  <si>
    <t>sex offender attorney texas</t>
  </si>
  <si>
    <t>[78,50,14,64,35,50,28,50,7,28,28,21]</t>
  </si>
  <si>
    <t>what's the age of consent in texas</t>
  </si>
  <si>
    <t>[31,52,46,68,52,3,68,68,52,68,84,68]</t>
  </si>
  <si>
    <t>merryl jones</t>
  </si>
  <si>
    <t>[8,4,6,10,4,4,10,8,8,8,8,10]</t>
  </si>
  <si>
    <t>family law attorneys in houston texas</t>
  </si>
  <si>
    <t>[0,9,4,14,80,33,33,23,23,33,33,66]</t>
  </si>
  <si>
    <t>in-a-divorce-who-gets-the-house-in-texas</t>
  </si>
  <si>
    <t>[21,28,35,35,21,35,28,21,28,78,100,50]</t>
  </si>
  <si>
    <t>law office of sope lawson</t>
  </si>
  <si>
    <t>[100,81,81,45,81,45,36,63,63,63,45,36]</t>
  </si>
  <si>
    <t>title ix attorney texas</t>
  </si>
  <si>
    <t>[9,9,9,23,33,33,42,33,42,100,100,66]</t>
  </si>
  <si>
    <t>friendswood truck accident lawyer</t>
  </si>
  <si>
    <t>[1,0,0,1,1,1,1,66,100,11,11,54]</t>
  </si>
  <si>
    <t>texas texting while driving laws</t>
  </si>
  <si>
    <t>how to fight order of protection</t>
  </si>
  <si>
    <t>[33,42,52,66,23,100,100,100,23,52,33,42]</t>
  </si>
  <si>
    <t>indecent exposure attorney</t>
  </si>
  <si>
    <t>[10,19,23,29,29,44,36,44,29,100,100,54]</t>
  </si>
  <si>
    <t>family law lawyer houston tx</t>
  </si>
  <si>
    <t>[45,20,81,13,3,8,16,62,13,8,8,6]</t>
  </si>
  <si>
    <t>whats the legal age of consent in texas</t>
  </si>
  <si>
    <t>[0,0,4,2,8,1,6,20,5,5,2,20]</t>
  </si>
  <si>
    <t>legal separation texas</t>
  </si>
  <si>
    <t>[66,44,66,66,54,81,54,54,44,81,44,66]</t>
  </si>
  <si>
    <t>warren st john attorney</t>
  </si>
  <si>
    <t>[19,34,19,26,34,26,26,42,26,26,34,34]</t>
  </si>
  <si>
    <t>personal injury attorney league city tx</t>
  </si>
  <si>
    <t>[22,29,81,66,81,43,18,10,29,100,54,43]</t>
  </si>
  <si>
    <t>rights as a father in texas</t>
  </si>
  <si>
    <t>[35,28,28,8,18,54,28,28,18,23,28,35]</t>
  </si>
  <si>
    <t>what age can you ride a motorcycle</t>
  </si>
  <si>
    <t>[42,34,42,53,53,53,65,80,53,53,42,34]</t>
  </si>
  <si>
    <t>do you need ssn to settle lawsuit</t>
  </si>
  <si>
    <t>[45,45,27,45,27,36,36,45,45,36,45,63]</t>
  </si>
  <si>
    <t>grandparents raising grandchildren in texas</t>
  </si>
  <si>
    <t>[0,0,63,100,81,81,63,45,18,45,0,45]</t>
  </si>
  <si>
    <t>Image, Video Carousel, People also ask, Related searches, AI overview</t>
  </si>
  <si>
    <t>houston aggravated assault attorney</t>
  </si>
  <si>
    <t>[3,18,18,8,15,18,18,15,100,35,28,35]</t>
  </si>
  <si>
    <t>how to remove a protective order in texas</t>
  </si>
  <si>
    <t>[33,33,14,19,19,23,100,33,66,80,66,66]</t>
  </si>
  <si>
    <t>the woodlands paternity issues lawyer</t>
  </si>
  <si>
    <t>[0,0,11,55,77,55,77,77,77,100,77,77]</t>
  </si>
  <si>
    <t>burn injury attorney texas</t>
  </si>
  <si>
    <t>[18,18,18,9,18,27,27,27,100,100,81,100]</t>
  </si>
  <si>
    <t>Local pack, Sitelinks, Ads bottom</t>
  </si>
  <si>
    <t>houston adoption attorneys</t>
  </si>
  <si>
    <t>[14,57,42,14,14,28,42,28,100,100,100,71]</t>
  </si>
  <si>
    <t>dasean jones lawyer</t>
  </si>
  <si>
    <t>[20,4,3,3,1,3,3,3,3,3,11,7]</t>
  </si>
  <si>
    <t>Knowledge panel, Video, Related searches, Short videos</t>
  </si>
  <si>
    <t>slip and fall</t>
  </si>
  <si>
    <t>[19,24,29,24,29,36,44,36,67,44,44,44]</t>
  </si>
  <si>
    <t>Image pack, Video, Video Carousel, Related searches, AI overview</t>
  </si>
  <si>
    <t>child custody attorneys the woodlands</t>
  </si>
  <si>
    <t>[0,0,11,55,77,55,55,77,77,77,100,100]</t>
  </si>
  <si>
    <t>business owner divorce lawyer</t>
  </si>
  <si>
    <t>[11,11,22,22,77,55,44,22,77,100,77,77]</t>
  </si>
  <si>
    <t>Local pack, Sitelinks, Video Carousel, People also ask, Related searches, Discussions and forums, AI overview</t>
  </si>
  <si>
    <t>contested vs uncontested divorce in texas</t>
  </si>
  <si>
    <t>[28,28,28,28,28,42,28,42,100,100,57,57]</t>
  </si>
  <si>
    <t>questions to ask when hiring a lawyer</t>
  </si>
  <si>
    <t>[22,22,22,22,44,33,44,33,100,100,44,33]</t>
  </si>
  <si>
    <t>paternity law firm the woodlands</t>
  </si>
  <si>
    <t>suzanne brown lawyer</t>
  </si>
  <si>
    <t>Image pack, Video, Related searches</t>
  </si>
  <si>
    <t>family divorce lawyer houston</t>
  </si>
  <si>
    <t>[28,28,28,57,28,28,28,28,100,28,28,28]</t>
  </si>
  <si>
    <t>Local pack, Video, Image, Related searches, Discussions and forums</t>
  </si>
  <si>
    <t>reckless driving suspended license</t>
  </si>
  <si>
    <t>[29,41,29,29,29,41,29,41,41,100,100,100]</t>
  </si>
  <si>
    <t>how long does it take to get a naturalization certificate</t>
  </si>
  <si>
    <t>[64,11,64,100,11,64,11,11,11,11,11,11]</t>
  </si>
  <si>
    <t>texas texting and driving law</t>
  </si>
  <si>
    <t>[52,41,41,41,52,64,52,82,41,64,52,52]</t>
  </si>
  <si>
    <t>helen quintero attorney houston</t>
  </si>
  <si>
    <t>[45,18,18,18,18,18,18,18,18,100,100,18]</t>
  </si>
  <si>
    <t>sue for slip and fall injury</t>
  </si>
  <si>
    <t>[18,18,100,100,18,18,18,18,36,36,63,36]</t>
  </si>
  <si>
    <t>Local pack, Sitelinks, Video, Ads bottom, Related searches, Discussions and forums, Ads middle, AI overview</t>
  </si>
  <si>
    <t>what happens if someone breaks a restraining order</t>
  </si>
  <si>
    <t>[82,82,82,82,64,82,100,82,82,64,64,82]</t>
  </si>
  <si>
    <t>motorcycle for 10 year olds</t>
  </si>
  <si>
    <t>[80,80,11,0,0,0,0,0,0,26,3,0]</t>
  </si>
  <si>
    <t>Image pack, Sitelinks, Video, Image, Ads bottom, Video Carousel, Popular products, Related searches, AI overview</t>
  </si>
  <si>
    <t>silencers are legal</t>
  </si>
  <si>
    <t>[28,64,64,50,50,50,64,50,78,28,7,7]</t>
  </si>
  <si>
    <t>pearland car accident attorney</t>
  </si>
  <si>
    <t>[16,16,10,24,100,10,30,13,30,36,24,24]</t>
  </si>
  <si>
    <t>the woodlands divorce law firm</t>
  </si>
  <si>
    <t>[0,0,11,55,77,55,77,77,77,77,100,77]</t>
  </si>
  <si>
    <t>dwi attorney brazoria</t>
  </si>
  <si>
    <t>[9,36,18,36,45,36,100,100,45,18]</t>
  </si>
  <si>
    <t>attorney head injury</t>
  </si>
  <si>
    <t>[20,36,16,36,45,100,55,20,24,30,62,16]</t>
  </si>
  <si>
    <t>Video, Image, Ads bottom, Video Carousel, Related searches, Ads middle, AI overview</t>
  </si>
  <si>
    <t>legal age consent in texas</t>
  </si>
  <si>
    <t>[13,54,7,79,100,66,0,66,3,2,66,41]</t>
  </si>
  <si>
    <t>slip &amp; fall</t>
  </si>
  <si>
    <t>[34,13,44,24,16,65,24,34,16,44,11,34]</t>
  </si>
  <si>
    <t>how many dwis is a felony in texas</t>
  </si>
  <si>
    <t>[50,35,50,35,35,21,50,50,21,28,50,50]</t>
  </si>
  <si>
    <t>going to court for car accident settlement</t>
  </si>
  <si>
    <t>[23,19,19,52,19,33,23,23,14,42,52,23]</t>
  </si>
  <si>
    <t>Sitelinks, Video, Ads bottom, Video Carousel, Related searches, Discussions and forums, AI overview</t>
  </si>
  <si>
    <t>nerve damage attorney</t>
  </si>
  <si>
    <t>[7,11,15,26,53,53,26,80,53,65,100,65]</t>
  </si>
  <si>
    <t>Local pack, Image, Related searches, AI overview</t>
  </si>
  <si>
    <t>lawyer for class c misdemeanor</t>
  </si>
  <si>
    <t>[7,7,7,42,42,42,42,42,42,19,42,100]</t>
  </si>
  <si>
    <t>Sitelinks, Ads bottom, People also ask, Related searches, AI overview</t>
  </si>
  <si>
    <t>what percentage is child support in texas</t>
  </si>
  <si>
    <t>[78,64,64,100,78,78,78,78,7,28,35,14]</t>
  </si>
  <si>
    <t>houston indecent assault attorney</t>
  </si>
  <si>
    <t>[4,4,4,4,4,4,6,6,6,100,18,10]</t>
  </si>
  <si>
    <t>parental kidnapping texas</t>
  </si>
  <si>
    <t>[41,29,52,41,29,100,64,52,41,82,82,41]</t>
  </si>
  <si>
    <t>Video, AI overview</t>
  </si>
  <si>
    <t>family law attorneys in houston</t>
  </si>
  <si>
    <t>[10,8,10,16,3,1,0,1,3,3,3,3]</t>
  </si>
  <si>
    <t>domestic violence police officer</t>
  </si>
  <si>
    <t>[80,0,42,66,52,0,42,100,66,52,33,66]</t>
  </si>
  <si>
    <t>rodney brown attorney</t>
  </si>
  <si>
    <t>[42,19,19,19,26,26,26,15,19,26,7,7]</t>
  </si>
  <si>
    <t>definition aggravated burglary</t>
  </si>
  <si>
    <t>[29,29,29,29,41,41,41,29,41,23,41,41]</t>
  </si>
  <si>
    <t>ed brown attorney at law</t>
  </si>
  <si>
    <t>[11,11,100,52,41,17,52,82,64,41,41,29]</t>
  </si>
  <si>
    <t>brent coon &amp; associates</t>
  </si>
  <si>
    <t>[3,3,2,2,5,8,3,10,8,3,5,3]</t>
  </si>
  <si>
    <t>text and drive texas</t>
  </si>
  <si>
    <t>[78,64,50,78,64,64,35,50,78,78,64,64]</t>
  </si>
  <si>
    <t>restraining order in houston texas</t>
  </si>
  <si>
    <t>[52,41,52,52,52,23,52,52,41,41,29,41]</t>
  </si>
  <si>
    <t>is divorce considered a civil case</t>
  </si>
  <si>
    <t>[33,23,23,33,33,33,33,33,42,42,33,33]</t>
  </si>
  <si>
    <t>Image pack, Sitelinks, Video, Related searches, Discussions and forums, AI overview</t>
  </si>
  <si>
    <t>slip and fall accident</t>
  </si>
  <si>
    <t>[16,44,44,52,36,44,44,66,24,36,100,52]</t>
  </si>
  <si>
    <t>Image pack, Sitelinks, Ads bottom, People also ask, Related searches, AI overview</t>
  </si>
  <si>
    <t>what happens if both parties violate a restraining order</t>
  </si>
  <si>
    <t>[82,52,52,52,52,52,41,41,41,29,29,29]</t>
  </si>
  <si>
    <t>texas sex laws</t>
  </si>
  <si>
    <t>[0,11,11,41,52,82,41,52,29,29,100,29]</t>
  </si>
  <si>
    <t>legal age for sexual consent in texas</t>
  </si>
  <si>
    <t>[37,25,20,100,13,84,0,84,7,3,84,11]</t>
  </si>
  <si>
    <t>the woodlands family law lawyer</t>
  </si>
  <si>
    <t>[0,0,11,55,77,55,77,77,77,100,100,77]</t>
  </si>
  <si>
    <t>divorce attorney in houston</t>
  </si>
  <si>
    <t>[30,30,45,6,8,8,10,13,24,24,20,13]</t>
  </si>
  <si>
    <t>the woodlands child custody lawyers</t>
  </si>
  <si>
    <t>[0,0,14,35,50,35,50,50,50,64,78,100]</t>
  </si>
  <si>
    <t>prenup lawyers the woodlands</t>
  </si>
  <si>
    <t>Local pack, Video, Ads bottom, People also ask</t>
  </si>
  <si>
    <t>hotel sexual assault lawyer houston</t>
  </si>
  <si>
    <t>[45,100,81]</t>
  </si>
  <si>
    <t>best dog bite lawyer for children's injuries texas</t>
  </si>
  <si>
    <t>[100,100,77]</t>
  </si>
  <si>
    <t>Local pack, Sitelinks, Ads bottom, People also ask, Discussions and forums, Ads middle, AI overview</t>
  </si>
  <si>
    <t>texas father rights</t>
  </si>
  <si>
    <t>[57,28,42,42,28,0,42,0,100,100,100,100]</t>
  </si>
  <si>
    <t>relationship laws in texas</t>
  </si>
  <si>
    <t>army regulation for family care plan</t>
  </si>
  <si>
    <t>[15,28,44,44,11,15,18,15,23,35,23,54]</t>
  </si>
  <si>
    <t>Image pack, Sitelinks, Related searches, AI overview</t>
  </si>
  <si>
    <t>pom-b charge</t>
  </si>
  <si>
    <t>[9,42,33,52,23,0,33,52,4,52,52,100]</t>
  </si>
  <si>
    <t>shawn brown attorney</t>
  </si>
  <si>
    <t>[53,35,53,53,82,100,66,35,43,66,66,53]</t>
  </si>
  <si>
    <t>attorney for false accusations</t>
  </si>
  <si>
    <t>[28,43,100,34,28,53,65,65,34,21,12,81]</t>
  </si>
  <si>
    <t>foreclosures in brazoria county texas</t>
  </si>
  <si>
    <t>can i get probation for a 3rd dwi in texas</t>
  </si>
  <si>
    <t>[28,35,35,28,50,35,50,35,50,64,50,64]</t>
  </si>
  <si>
    <t>houston white collar crime defense lawyer</t>
  </si>
  <si>
    <t>[18,18,27,36,36,36,36,63,100,100,63,27]</t>
  </si>
  <si>
    <t>what is indecency with a child by exposure</t>
  </si>
  <si>
    <t>[28,50,50,64,64,35,35,64,78,100,64,100]</t>
  </si>
  <si>
    <t>different forms of domestic abuse</t>
  </si>
  <si>
    <t>[53,42,42,42,19,42,26,42,26,34,34,34]</t>
  </si>
  <si>
    <t>can you get spousal support after divorce</t>
  </si>
  <si>
    <t>[44,22,44,22,33,77,77,22,55,77,44,22]</t>
  </si>
  <si>
    <t>family lawyer jackson</t>
  </si>
  <si>
    <t>[18,18,100,100,18,100,18,18,27,27,18,18]</t>
  </si>
  <si>
    <t>statutory rape in texas</t>
  </si>
  <si>
    <t>[28,12,28,43,65,81,81,6,43,43,9,34]</t>
  </si>
  <si>
    <t>family lawyer sugar land</t>
  </si>
  <si>
    <t>[21,43,34,34,65,34,53,53,53,53,100,53]</t>
  </si>
  <si>
    <t>adoption law firm katy</t>
  </si>
  <si>
    <t>[0,0,5,29,41,29,41,64,82,82,100,100]</t>
  </si>
  <si>
    <t>divorce attorney victoria tx</t>
  </si>
  <si>
    <t>[43,43,53,35,28,23,53,53,53,23,35,43]</t>
  </si>
  <si>
    <t>the woodlands adoption lawyers</t>
  </si>
  <si>
    <t>[22,22,22,77,77,55,77,77,77,77,77,100]</t>
  </si>
  <si>
    <t>texas business valuation lawyers</t>
  </si>
  <si>
    <t>[22,22,22,55,77,55,77,77,100,77,77,55]</t>
  </si>
  <si>
    <t>the woodlands child custody lawyer</t>
  </si>
  <si>
    <t>[0,0,23,52,52,52,64,52,100,100,82,52]</t>
  </si>
  <si>
    <t>sexual battery attorney houston</t>
  </si>
  <si>
    <t>[42,57,28,100,100,100,100,100,100,100,57,57]</t>
  </si>
  <si>
    <t>robles family law firm</t>
  </si>
  <si>
    <t>[4,4,7,2,3,4,3,3,3,4,5,4]</t>
  </si>
  <si>
    <t>does women pay alimony</t>
  </si>
  <si>
    <t>[81,45,81,63,18,18,18,81,63,36,63,63]</t>
  </si>
  <si>
    <t>proh sexual conduct</t>
  </si>
  <si>
    <t>[2,11,17,11,11,5,5,4,4,5,7,14]</t>
  </si>
  <si>
    <t>dui 3rd offense texas</t>
  </si>
  <si>
    <t>[35,22,22,29,22,14,18,35,35,29,14,22]</t>
  </si>
  <si>
    <t>robert brown immigration</t>
  </si>
  <si>
    <t>[11,11,11,64,52,64,64,41,41,29,41,23]</t>
  </si>
  <si>
    <t>Sitelinks, Ads bottom, Related searches</t>
  </si>
  <si>
    <t>high net worth divorce attorney houston</t>
  </si>
  <si>
    <t>[11,11,11,11,29,29,41,41,17,100,100,82]</t>
  </si>
  <si>
    <t>Local pack, Video, People also ask, Discussions and forums, AI overview</t>
  </si>
  <si>
    <t>indecent exposure lawyer</t>
  </si>
  <si>
    <t>[16,10,13,16,24,36,30,36,30,100,100,45]</t>
  </si>
  <si>
    <t>Knowledge panel, Ads bottom, Video Carousel, Related searches, AI overview</t>
  </si>
  <si>
    <t>property division attorney the woodlands</t>
  </si>
  <si>
    <t>[0,0,0,11,55,77,55,77,77,77,77,77]</t>
  </si>
  <si>
    <t>justice by carter pllc</t>
  </si>
  <si>
    <t>[11,11,11,11,64,11,100,100,64,64,52,41]</t>
  </si>
  <si>
    <t>mary e samaan attorney</t>
  </si>
  <si>
    <t>[28,28,23,44,23,0,8,1,1,0,0,0]</t>
  </si>
  <si>
    <t>i 130 texas</t>
  </si>
  <si>
    <t>[0,0,0,0,0,0,0,100,8,2,36,79]</t>
  </si>
  <si>
    <t>Sitelinks, Video, Image, Video Carousel, People also ask, Related searches, Things to know, AI overview</t>
  </si>
  <si>
    <t>lawyers in galveston tx</t>
  </si>
  <si>
    <t>[16,30,6,10,2,6,24,10,16,24,20,3]</t>
  </si>
  <si>
    <t>how much child support for 1 child in texas</t>
  </si>
  <si>
    <t>[53,53,43,43,43,43,35,35,28,2,43,28]</t>
  </si>
  <si>
    <t>grandparent visitation rights in texas</t>
  </si>
  <si>
    <t>[28,42,71,14,28,42,42,57,71,28,0,0]</t>
  </si>
  <si>
    <t>family law attorney the woodlands tx</t>
  </si>
  <si>
    <t>[35,50,35,35,50,35,50,35,50,35,21,14]</t>
  </si>
  <si>
    <t>pearland texas jail</t>
  </si>
  <si>
    <t>[43,53,43,66,28,66,100,82,23,35,66,28]</t>
  </si>
  <si>
    <t>cps attorney</t>
  </si>
  <si>
    <t>[44,44,36,52,66,44,66,52,66,100,80,100]</t>
  </si>
  <si>
    <t>harris county divorce lawyer</t>
  </si>
  <si>
    <t>[57,28,57,100,14,28,14,28,57,71,57,57]</t>
  </si>
  <si>
    <t>child support medical expenses</t>
  </si>
  <si>
    <t>[41,23,52,64,64,64,52,52,82,100,64,64]</t>
  </si>
  <si>
    <t>john brown attorney at law</t>
  </si>
  <si>
    <t>[78,78,78,50,78,64,64,50,50,64,50,78]</t>
  </si>
  <si>
    <t>drug possession law firm texas</t>
  </si>
  <si>
    <t>[11,41,64,100,82]</t>
  </si>
  <si>
    <t>what does child support cover in texas</t>
  </si>
  <si>
    <t>[54,43,43,43,43,54,54,54,100,100,81,81]</t>
  </si>
  <si>
    <t>can a convicted felon have custody of a child</t>
  </si>
  <si>
    <t>[9,36,81,81,81,45,18,0,45,45,63,36]</t>
  </si>
  <si>
    <t>not legally separated but living apart texas</t>
  </si>
  <si>
    <t>[28,28,50,35,35,35,28,28,28,28,28,28]</t>
  </si>
  <si>
    <t>family lawyers in brownsville texas</t>
  </si>
  <si>
    <t>[45,45,63,63,27,63,81,63,63,45,63,63]</t>
  </si>
  <si>
    <t>family law attorneys in houston texas free consultation</t>
  </si>
  <si>
    <t>[21,21,28,35,64,100,28,35,64,35,35,50]</t>
  </si>
  <si>
    <t>cohabi</t>
  </si>
  <si>
    <t>[66,100,79,13,24,20,24,13,16,20,24,30]</t>
  </si>
  <si>
    <t>what is the current law on cohabitation</t>
  </si>
  <si>
    <t>[0,0,19,33,100,19,23,9,0,0,0,0]</t>
  </si>
  <si>
    <t>san antonio texas grandparents rights</t>
  </si>
  <si>
    <t>[0,14,28,100,100,71,100,100,100,100,100,100]</t>
  </si>
  <si>
    <t>paternity issues attorneys the woodlands</t>
  </si>
  <si>
    <t>[28,28,28,71,100,71,100,100,100,100,100,100]</t>
  </si>
  <si>
    <t>legal rights of cohabiting couples</t>
  </si>
  <si>
    <t>[18,18,18,63,100,36,45,36,18,18,18,18]</t>
  </si>
  <si>
    <t>temporary protective order hearing</t>
  </si>
  <si>
    <t>[52,41,52,52,41,29,52,100,64,29,41,64]</t>
  </si>
  <si>
    <t>Sitelinks, Ads top, Ads bottom</t>
  </si>
  <si>
    <t>divorce attorneys in longview texas</t>
  </si>
  <si>
    <t>[9,27,0,36,100,81,81,63,100,81,100,81]</t>
  </si>
  <si>
    <t>Local pack, Sitelinks, Video, Related searches, Discussions and forums, AI overview</t>
  </si>
  <si>
    <t>tro lawyer</t>
  </si>
  <si>
    <t>[28,0,9,100,100,3,3,3,6,6,12,15]</t>
  </si>
  <si>
    <t>Local pack, Sitelinks, Video Carousel, Related searches, AI overview</t>
  </si>
  <si>
    <t>bankruptcy and child support</t>
  </si>
  <si>
    <t>[53,34,42,53,53,26,42,19,42,53,65,53]</t>
  </si>
  <si>
    <t>3rd or more dwi in texas</t>
  </si>
  <si>
    <t>[26,19,34,11,15,7,19,19,26,26,26,34]</t>
  </si>
  <si>
    <t>reynaldo garza iii attorney at law</t>
  </si>
  <si>
    <t>[11,64,11,11,11,64,64,11,11,64,64,100]</t>
  </si>
  <si>
    <t>family law attorneys houston tx</t>
  </si>
  <si>
    <t>[9,9,9,45,45,63,45,63,45,100,100,100]</t>
  </si>
  <si>
    <t>san antonio texas spousal support</t>
  </si>
  <si>
    <t>[0,0,18,36,45,63,45,63,63,63,63,81]</t>
  </si>
  <si>
    <t>Video, Related searches, Ads middle, AI overview</t>
  </si>
  <si>
    <t>restraining order in texas law</t>
  </si>
  <si>
    <t>[11,11,64,52,17,11,52,23,100,82,64,64]</t>
  </si>
  <si>
    <t>how to get temporary custody of a grandchild</t>
  </si>
  <si>
    <t>[50,64,64,64,64,64,64,50,35,64,64,50]</t>
  </si>
  <si>
    <t>herpes sue</t>
  </si>
  <si>
    <t>[7,7,7,7,100,7,7,0,7,7,7,7]</t>
  </si>
  <si>
    <t>Sitelinks, Video, Image, Ads bottom, Related searches, AI overview</t>
  </si>
  <si>
    <t>cheap family law attorney houston</t>
  </si>
  <si>
    <t>[34,42,42,34,53,19,53,26,34,53,34,34]</t>
  </si>
  <si>
    <t>Local pack, Sitelinks, Video, People also ask, FAQ, Related searches, Discussions and forums</t>
  </si>
  <si>
    <t>sex offender lawyers in texas</t>
  </si>
  <si>
    <t>[14,64,35,50,28,50,14,35,28,28,21,50]</t>
  </si>
  <si>
    <t>People also ask, Related searches, See results about, AI overview</t>
  </si>
  <si>
    <t>san antonio texas postnuptial agreements</t>
  </si>
  <si>
    <t>[9,33,33,42,23,33,33,66,100,52,33,33]</t>
  </si>
  <si>
    <t>step parent adoption without bio father consent</t>
  </si>
  <si>
    <t>[19,19,23,12,12,12,12,12,15,15,12,19]</t>
  </si>
  <si>
    <t>how many duis is a felony in texas</t>
  </si>
  <si>
    <t>[18,18,63,18,63,100,45,63,18,36,45,18]</t>
  </si>
  <si>
    <t>child custody lawyer the woodlands</t>
  </si>
  <si>
    <t>[0,0,14,71,100,71,100,71,100,100,100,100]</t>
  </si>
  <si>
    <t>slip and fall case</t>
  </si>
  <si>
    <t>[3,1,10,10,19,19,1,19,100,36,24,44]</t>
  </si>
  <si>
    <t>Video, Ads bottom, Video Carousel, People also ask, Related searches</t>
  </si>
  <si>
    <t>consensual age in texas</t>
  </si>
  <si>
    <t>[18,18,18,18,18,18,27,18,100,100,100,100]</t>
  </si>
  <si>
    <t>age consent texas</t>
  </si>
  <si>
    <t>[0,1,2,0,0,22,0,0,2,2,2,1]</t>
  </si>
  <si>
    <t>traumatic brain injury lawyer houston</t>
  </si>
  <si>
    <t>[0,0,19,7,19,19,42,26,65,100,65,53]</t>
  </si>
  <si>
    <t>barrera sanchez and associates</t>
  </si>
  <si>
    <t>[45,45,45,63,63,63,100,81,81,81,63,63]</t>
  </si>
  <si>
    <t>cps attorney katy</t>
  </si>
  <si>
    <t>[11,55,55,55,100]</t>
  </si>
  <si>
    <t>personal injury claim settlement process</t>
  </si>
  <si>
    <t>[0,11,52,64,52,41,82,100,52,100,82,52]</t>
  </si>
  <si>
    <t>do sperm donors have to pay child support</t>
  </si>
  <si>
    <t>[14,7,14,7,5,17,4,3,14,14,14,14]</t>
  </si>
  <si>
    <t>shelby scott lawyer</t>
  </si>
  <si>
    <t>[14,14,52,42,66,42,33,14,23,9,9,9]</t>
  </si>
  <si>
    <t>family law attorney houston tx</t>
  </si>
  <si>
    <t>[34,55,44,16,11,30,24,5,24,16,13,44]</t>
  </si>
  <si>
    <t>prenuptial agreements lawyer the woodlands</t>
  </si>
  <si>
    <t>[22,0,44,77,77,55,77,77,77,77,100,100]</t>
  </si>
  <si>
    <t>child custody lawyer sugar land</t>
  </si>
  <si>
    <t>[0,0,0,15,19,19,26,34,42,80,100,80]</t>
  </si>
  <si>
    <t>Local pack, Sitelinks, Video, Image, Ads bottom</t>
  </si>
  <si>
    <t>what is a domestic relationship</t>
  </si>
  <si>
    <t>[46,46,37,37,31,52,37,31,25,25,25,25]</t>
  </si>
  <si>
    <t>mark brown attorney</t>
  </si>
  <si>
    <t>[43,35,43,43,35,35,35,43,28,43,35,35]</t>
  </si>
  <si>
    <t>do grandparents have rights in texas</t>
  </si>
  <si>
    <t>[66,54,66,66,66,66,66,81,66,66,81,81]</t>
  </si>
  <si>
    <t>burn injury attorneys tyler</t>
  </si>
  <si>
    <t>[64,64,64,41,11,41,29,29,23,82,100,100]</t>
  </si>
  <si>
    <t>car accident insurance claim settlement</t>
  </si>
  <si>
    <t>[28,5,5,12,17,23,12,17,10,35,35,17]</t>
  </si>
  <si>
    <t>slip fall injury</t>
  </si>
  <si>
    <t>[45,45,55,45,30,55,45,67,3,5,67,5]</t>
  </si>
  <si>
    <t>kimberly brown lawyer</t>
  </si>
  <si>
    <t>[81,21,15,21,28,21,21,15,21,21,21,21]</t>
  </si>
  <si>
    <t>carter and rader</t>
  </si>
  <si>
    <t>[41,29,41,41,11,11,11,64,11,11,11,11]</t>
  </si>
  <si>
    <t>Knowledge panel, Image pack, Sitelinks, Video, Ads bottom, Related searches</t>
  </si>
  <si>
    <t>theft lawyer houston</t>
  </si>
  <si>
    <t>[33,23,33,33,23,52,33,33,33,100,100,66]</t>
  </si>
  <si>
    <t>what happens if someone violates restraining order</t>
  </si>
  <si>
    <t>[0,34,65,42,0,19,42,0,65,3,42,0]</t>
  </si>
  <si>
    <t>poss cs pg2</t>
  </si>
  <si>
    <t>[0,50,50,35,78,0,28,35,35,0,0,0]</t>
  </si>
  <si>
    <t>is domestic violence only between partners</t>
  </si>
  <si>
    <t>[78,78,78,14,14,14,78,100,50,50,35,64]</t>
  </si>
  <si>
    <t>michael b clayton and associates</t>
  </si>
  <si>
    <t>[14,14,35,35,35,64,50,100,64,64,78,64]</t>
  </si>
  <si>
    <t>chad brown lawyer</t>
  </si>
  <si>
    <t>custody attorney the woodlands</t>
  </si>
  <si>
    <t>[0,28,50,64,78,64,50,100,100,78,100,100]</t>
  </si>
  <si>
    <t>tro texas</t>
  </si>
  <si>
    <t>[66,66,66,66,82,82,66,66,66,82,66,66]</t>
  </si>
  <si>
    <t>mat rueda law firm</t>
  </si>
  <si>
    <t>[8,36,30,100,30,81,81,16,30,20,24,24]</t>
  </si>
  <si>
    <t>the woodlands child custody law firm</t>
  </si>
  <si>
    <t>[0,0,11,55,77,55,77,55,77,77,100,77]</t>
  </si>
  <si>
    <t>signs youre drunk</t>
  </si>
  <si>
    <t>[0,19,9,0,4,4,14,9,100,33,4,19]</t>
  </si>
  <si>
    <t>car accident attorney galveston</t>
  </si>
  <si>
    <t>[14,28,28,28,42,100,100,71,71]</t>
  </si>
  <si>
    <t>first time offenders</t>
  </si>
  <si>
    <t>[66,81,43,22,66,22,18,43,43,14,18,18]</t>
  </si>
  <si>
    <t>texas child support attorneys</t>
  </si>
  <si>
    <t>[0,0,36,45,63,63,63,63,63,100,63,100]</t>
  </si>
  <si>
    <t>cps attorney texas</t>
  </si>
  <si>
    <t>[18,18,100,100,100,18,100,100,100,81,100,100]</t>
  </si>
  <si>
    <t>how much is child support in texas for 1 kid</t>
  </si>
  <si>
    <t>[0,0,19,19,19,26,0,15,26,26,34,42]</t>
  </si>
  <si>
    <t>family law lawyer sugar land</t>
  </si>
  <si>
    <t>[9,9,18,36,36,100,100,81,81]</t>
  </si>
  <si>
    <t>sex crime lawyer houston</t>
  </si>
  <si>
    <t>[15,15,34,26,34,42,42,42,100,100,100,65]</t>
  </si>
  <si>
    <t>collaborative divorce texas</t>
  </si>
  <si>
    <t>[66,42,80,80,100,80,66,66,100,80,80,80]</t>
  </si>
  <si>
    <t>brain damage lawyer houston</t>
  </si>
  <si>
    <t>[23,28,23,43,28,28,82,100,35,35,66,35]</t>
  </si>
  <si>
    <t>wrongful accusation lawyer</t>
  </si>
  <si>
    <t>[100,82,41,23,23,23,5,5,5,17,11,11]</t>
  </si>
  <si>
    <t>Local pack, Video Carousel, Related searches</t>
  </si>
  <si>
    <t>jones act attorney houston</t>
  </si>
  <si>
    <t>[19,19,42,42,42,34,34,42,65,100,100,80]</t>
  </si>
  <si>
    <t>cohabitation laws by state</t>
  </si>
  <si>
    <t>[34,53,34,34,53,34,26,26,34,42,19,15]</t>
  </si>
  <si>
    <t>what is the legal age for consensual sex in texas</t>
  </si>
  <si>
    <t>[45,45,63,45,63,81,63,63,63,45,45,100]</t>
  </si>
  <si>
    <t>divorce lawyers in orange texas</t>
  </si>
  <si>
    <t>toni driver attorney</t>
  </si>
  <si>
    <t>[18,18,18,18,18,18,100,100,100,100,100,100]</t>
  </si>
  <si>
    <t>houston drug reaction injury lawyers</t>
  </si>
  <si>
    <t>[14,21,28,50,64,50,100,100,50]</t>
  </si>
  <si>
    <t>probable cause to search a vehicle in texas</t>
  </si>
  <si>
    <t>[27,27,45,63,45,45,45,45,45,45,27,18]</t>
  </si>
  <si>
    <t>houston family law firm</t>
  </si>
  <si>
    <t>[9,9,6,21,28,34,28,34,34,34,43,34]</t>
  </si>
  <si>
    <t>greg terra attorney</t>
  </si>
  <si>
    <t>[52,41,52,29,41,52,41,41,100,52,64,52]</t>
  </si>
  <si>
    <t>tarek fahmy law firm</t>
  </si>
  <si>
    <t>[22,22,29,18,22,10,14,29,14,22,35,22]</t>
  </si>
  <si>
    <t>minimum child support in texas</t>
  </si>
  <si>
    <t>[53,53,53,53,100,65,65,53,12,43,43,53]</t>
  </si>
  <si>
    <t>grounds for custody change</t>
  </si>
  <si>
    <t>[27,36,45,63,63,36,27,81,100,100,63,63]</t>
  </si>
  <si>
    <t>does the state of texas have grandparents rights</t>
  </si>
  <si>
    <t>[43,35,54,22,29,66,81,29,29,66,54,100]</t>
  </si>
  <si>
    <t>texas marriage separation</t>
  </si>
  <si>
    <t>[100,28,100,28,28,28,28,28,0,28,28,28]</t>
  </si>
  <si>
    <t>what is the age of consent in texas</t>
  </si>
  <si>
    <t>[66,66,66,44,66,54,54,54,66,54,44,44]</t>
  </si>
  <si>
    <t>postnuptial agreement texas</t>
  </si>
  <si>
    <t>[44,35,44,44,44,44,44,44,54,44,35,35]</t>
  </si>
  <si>
    <t>child custody law firm the woodlands</t>
  </si>
  <si>
    <t>[0,0,11,55,77,55,55,77,77,77,100,77]</t>
  </si>
  <si>
    <t>when will silencers be legal</t>
  </si>
  <si>
    <t>[9,18,18,18,27,63,100,18,18,18]</t>
  </si>
  <si>
    <t>how do i know if i'm drunk or tipsy</t>
  </si>
  <si>
    <t>[64,100,64,64,78,64,78,78,14,78,64,50]</t>
  </si>
  <si>
    <t>stacy kosub attorney</t>
  </si>
  <si>
    <t>[21,35,35,64,50,35,50,50,35,64,50,100]</t>
  </si>
  <si>
    <t>Knowledge panel, Sitelinks, Ads bottom, Related searches</t>
  </si>
  <si>
    <t>attorney child support texas</t>
  </si>
  <si>
    <t>[0,0,3,7,19,15,19,19,100,80,34,26]</t>
  </si>
  <si>
    <t>defining obscenity</t>
  </si>
  <si>
    <t>[2,2,2,3,2,4,3,2,2,3,4,4]</t>
  </si>
  <si>
    <t>Sitelinks, Video, Featured snippet, Video Carousel, People also ask, Related searches</t>
  </si>
  <si>
    <t>obscenity examples</t>
  </si>
  <si>
    <t>[44,23,28,23,28,3,28,18,15,8,18,28]</t>
  </si>
  <si>
    <t>poss cs pg 3</t>
  </si>
  <si>
    <t>[28,17,23,53,53,53,53,43,53,53,100,53]</t>
  </si>
  <si>
    <t>kevin brown lawyer</t>
  </si>
  <si>
    <t>[22,29,18,14,10,10,10,10,14,14,14,14]</t>
  </si>
  <si>
    <t>first time offender felony</t>
  </si>
  <si>
    <t>[53,53,53,53,34,43,53,43,34,34,34,34]</t>
  </si>
  <si>
    <t>premarital agreement texas</t>
  </si>
  <si>
    <t>[81,54,54,66,81,100,36,36,36,19,23,29]</t>
  </si>
  <si>
    <t>Video, Ads bottom, Video Carousel, Related searches, Short videos</t>
  </si>
  <si>
    <t>slip and fall settlements without surgery in texas</t>
  </si>
  <si>
    <t>[28,35,50,50,35,50,28,50,50,100,78,78]</t>
  </si>
  <si>
    <t>Sitelinks, Video, Featured snippet, Ads bottom, People also ask, Discussions and forums</t>
  </si>
  <si>
    <t>denton lyft accident lawyer tx</t>
  </si>
  <si>
    <t>define obscene speech</t>
  </si>
  <si>
    <t>[9,52,9,9,52,9,52,9,9,9,9,9]</t>
  </si>
  <si>
    <t>sugar land family lawyer</t>
  </si>
  <si>
    <t>[9,9,9,23,23,23,33,33,42,100,100,66]</t>
  </si>
  <si>
    <t>violating temporary restraining order</t>
  </si>
  <si>
    <t>[18,18,45,45,63,63,63,45,63,63,100,45]</t>
  </si>
  <si>
    <t>houston traumatic brain injury lawyer</t>
  </si>
  <si>
    <t>[3,0,0,15,18,23,11,28,23,81,100,54]</t>
  </si>
  <si>
    <t>Local pack, Sitelinks, Image, Ads bottom, AI overview</t>
  </si>
  <si>
    <t>high net worth divorce in houston tx</t>
  </si>
  <si>
    <t>[0,35,100,28,35,14]</t>
  </si>
  <si>
    <t>the woodlands family lawyers</t>
  </si>
  <si>
    <t>trevor brown attorney</t>
  </si>
  <si>
    <t>[42,42,34,34,42,65,53,42,53,34,42,34]</t>
  </si>
  <si>
    <t>violate a restraining order</t>
  </si>
  <si>
    <t>[29,36,44,54,81,100,100,81,81,100,1,67]</t>
  </si>
  <si>
    <t>neil calfas attorney</t>
  </si>
  <si>
    <t>[80,65,65,65,65,65,65,80,53,53,34,34]</t>
  </si>
  <si>
    <t>how to tell if i'm drunk</t>
  </si>
  <si>
    <t>[100,81,45,27,45,63,63,0,45,0,63,18]</t>
  </si>
  <si>
    <t>how to beat a dwi in texas</t>
  </si>
  <si>
    <t>[23,41,29,11,64,64,23,82,82,64,64,82]</t>
  </si>
  <si>
    <t>how to get a custody agreement without a lawyer</t>
  </si>
  <si>
    <t>[18,100,36,18,18,18,18,18,18,18,18,18]</t>
  </si>
  <si>
    <t>in a divorce who gets the house in texas</t>
  </si>
  <si>
    <t>[22,18,29,10,14,22,22,22,22,29,29,22]</t>
  </si>
  <si>
    <t>Video Carousel, People also ask, Related searches, Discussions and forums, AI overview</t>
  </si>
  <si>
    <t>houston premises liability lawyers</t>
  </si>
  <si>
    <t>[0,0,18,18,18,18,36,27,63,100,45,100]</t>
  </si>
  <si>
    <t>child support lawyer the woodlands</t>
  </si>
  <si>
    <t>[0,0,28,100,100,71,100,100,100,100,100,42]</t>
  </si>
  <si>
    <t>houston brain injury lawyer</t>
  </si>
  <si>
    <t>[14,11,21,26,32,32,26,39,100,100,100,72]</t>
  </si>
  <si>
    <t>Local pack, Sitelinks, Image, Ads top, Ads bottom</t>
  </si>
  <si>
    <t>settling a personal injury claim with an insurance company</t>
  </si>
  <si>
    <t>[0,11,17,52,29,17,17,11,64,52,17,41]</t>
  </si>
  <si>
    <t>Sitelinks, Ads bottom, Related searches, Discussions and forums, AI overview</t>
  </si>
  <si>
    <t>back injury lawsuit</t>
  </si>
  <si>
    <t>[2,2,5,10,5,5,12,5,12,35,100,100]</t>
  </si>
  <si>
    <t>divorce attorney richmond tx</t>
  </si>
  <si>
    <t>[4,4,6,6,6,4,4,4,14,14,6,4]</t>
  </si>
  <si>
    <t>the woodlands custody lawyer</t>
  </si>
  <si>
    <t>[22,0,22,55,77,55,77,55,77,77,77,100]</t>
  </si>
  <si>
    <t>public lewdness defense lawyer</t>
  </si>
  <si>
    <t>[28,28,100,100,57,14]</t>
  </si>
  <si>
    <t>Local pack, Sitelinks, People also ask, Related searches, AI overview</t>
  </si>
  <si>
    <t>pearland slip and fall lawyer</t>
  </si>
  <si>
    <t>[27,45,36,63,100]</t>
  </si>
  <si>
    <t>texas lawyer books</t>
  </si>
  <si>
    <t>[22,43,35,14,22,29,66,66,29,29,54,100]</t>
  </si>
  <si>
    <t>how much is child support in texas for 2 child</t>
  </si>
  <si>
    <t>[53,43,81,65,65,65,81,65,53,81,81,100]</t>
  </si>
  <si>
    <t>child support lawyer sugar land</t>
  </si>
  <si>
    <t>[0,0,19,19,23,33,42,52,100,100,80,42]</t>
  </si>
  <si>
    <t>can you sue for a slip and fall accident</t>
  </si>
  <si>
    <t>[9,9,9,14,19,23,23,33,19,80,100,52]</t>
  </si>
  <si>
    <t>Video, Featured snippet, Image, Ads bottom, Related searches, Discussions and forums</t>
  </si>
  <si>
    <t>family lawyer houston tx</t>
  </si>
  <si>
    <t>[100,39,88,72,59,59,5,32,11,72,88,88]</t>
  </si>
  <si>
    <t>Local pack, Sitelinks, Image, Ads bottom, Related searches, Discussions and forums</t>
  </si>
  <si>
    <t>chad brown attorney</t>
  </si>
  <si>
    <t>[100,100,18,18,18,18,18,18,18,36,27,18]</t>
  </si>
  <si>
    <t>Local pack, Sitelinks, Video, Video Carousel, Related searches, See results about</t>
  </si>
  <si>
    <t>defective drug lawyers</t>
  </si>
  <si>
    <t>[9,9,15,28,28,28,12,6,15,100,100,65]</t>
  </si>
  <si>
    <t>domestic abuse in a relationship</t>
  </si>
  <si>
    <t>[65,42,65,34,80,80,80,80,53,26,26,53]</t>
  </si>
  <si>
    <t>mary panzu attorney</t>
  </si>
  <si>
    <t>[18,18,18,18,100,100,18,18,18,18,18,18]</t>
  </si>
  <si>
    <t>registered sex offenders houston tx</t>
  </si>
  <si>
    <t>erinn brown attorney pearland</t>
  </si>
  <si>
    <t>[45,45,36,45,36,27,63,45,18,18,100,18]</t>
  </si>
  <si>
    <t>do you pay child support with 50/50 custody in texas</t>
  </si>
  <si>
    <t>[53,65,65,100,65,65,53,53,65,80,80,100]</t>
  </si>
  <si>
    <t>the buitron law firm</t>
  </si>
  <si>
    <t>divorce attorney tomball</t>
  </si>
  <si>
    <t>[18,18,36,27,27,45,27,36,63,63,45,36]</t>
  </si>
  <si>
    <t>questions to ask a family lawyer</t>
  </si>
  <si>
    <t>[18,36,36,63,100,45,36,18,18,18,18,18]</t>
  </si>
  <si>
    <t>texas product liability</t>
  </si>
  <si>
    <t>[9,9,9,9,52,52,9,42,100,23,9,9]</t>
  </si>
  <si>
    <t>panther city law group</t>
  </si>
  <si>
    <t>[42,65,42,53,53,42,80,100,65,80,53,65]</t>
  </si>
  <si>
    <t>cps lawyers</t>
  </si>
  <si>
    <t>[52,44,80,20,20,52,52,36,36,80,80,80]</t>
  </si>
  <si>
    <t>lawyer for false accusations</t>
  </si>
  <si>
    <t>[8,5,13,6,10,16,20,20,4,13,10,100]</t>
  </si>
  <si>
    <t>Local pack, Video, Video Carousel, People also ask, Related searches</t>
  </si>
  <si>
    <t>what is a dwi</t>
  </si>
  <si>
    <t>[4,5,8,10,10,10,10,8,10,8,10,10]</t>
  </si>
  <si>
    <t>list of parents who owe child support texas</t>
  </si>
  <si>
    <t>[45,55,76,55,55,67,67,16,2,2,5,16]</t>
  </si>
  <si>
    <t>paternity issues attorney the woodlands</t>
  </si>
  <si>
    <t>[0,0,22,55,77,55,77,77,77,100,77,77]</t>
  </si>
  <si>
    <t>public sexual indecency defense attorney</t>
  </si>
  <si>
    <t>[11,22,77,100,55,77]</t>
  </si>
  <si>
    <t>Sitelinks, Ads bottom, People also ask, AI overview</t>
  </si>
  <si>
    <t>texas domestic violence attorneys</t>
  </si>
  <si>
    <t>[14,35,64,100,100]</t>
  </si>
  <si>
    <t>divorce attorneys in katy texas</t>
  </si>
  <si>
    <t>[0,0,14,42,71,100,57,57,57,71,57,57]</t>
  </si>
  <si>
    <t>houston child support attorney</t>
  </si>
  <si>
    <t>[33,19,42,33,42,52,52,42,100,100,100,100]</t>
  </si>
  <si>
    <t>questions to ask a criminal lawyer</t>
  </si>
  <si>
    <t>[22,22,22,77,22,55,77,22,22,22,22,22]</t>
  </si>
  <si>
    <t>divorce lawyers athens tx</t>
  </si>
  <si>
    <t>[45,63,45,45,100,36,63,36,45,81,45,45]</t>
  </si>
  <si>
    <t>david cantu attorney at law</t>
  </si>
  <si>
    <t>[50,64,64,78,28,100,78,64,64,50,64,50]</t>
  </si>
  <si>
    <t>possession of thc oil texas penal code</t>
  </si>
  <si>
    <t>[1,0,1,1,1,2,1,0,1,1,1,0]</t>
  </si>
  <si>
    <t>houston child support lawyer</t>
  </si>
  <si>
    <t>[23,15,23,23,28,44,44,28,100,100,81,81]</t>
  </si>
  <si>
    <t>texas grandparents rights lawyers</t>
  </si>
  <si>
    <t>[0,14,100,35,50,35,64,50,50,50,35,35]</t>
  </si>
  <si>
    <t>Local pack, Ads bottom, Related searches, AI overview</t>
  </si>
  <si>
    <t>how many grams of weed is a felony in texas</t>
  </si>
  <si>
    <t>[12,12,12,7,12,5,5,5,7,5,5,10]</t>
  </si>
  <si>
    <t>lawyers that handle dss cases</t>
  </si>
  <si>
    <t>[26,26,34,19,26,26,26,26,26,19,26,7]</t>
  </si>
  <si>
    <t>law offices of mike head &amp; justin weiner</t>
  </si>
  <si>
    <t>[11,23,11,52,100,52,41,23,11,11,11,11]</t>
  </si>
  <si>
    <t>catholic church annulment cost</t>
  </si>
  <si>
    <t>[42,33,42,52,33,19,33,100,33,33,52,42]</t>
  </si>
  <si>
    <t>legal age to ride motorcycle</t>
  </si>
  <si>
    <t>[41,29,29,29,41,41,41,41,52,41,41,29]</t>
  </si>
  <si>
    <t>incest charges</t>
  </si>
  <si>
    <t>[2,5,12,12,53,100,28,0,0,10,10,7]</t>
  </si>
  <si>
    <t>jennifer brown attorney</t>
  </si>
  <si>
    <t>[53,42,42,42,53,53,42,42,53,42,53,34]</t>
  </si>
  <si>
    <t>violation of protective order texas</t>
  </si>
  <si>
    <t>[66,66,66,66,66,100,54,66,66,100,66,66]</t>
  </si>
  <si>
    <t>violation of a protective order texas</t>
  </si>
  <si>
    <t>[2,2,2,4,6,2,8,2,6,10,22,10]</t>
  </si>
  <si>
    <t>advocates for falsely accused</t>
  </si>
  <si>
    <t>[6,9,6,12,34,9,9,6,6,12,6,15]</t>
  </si>
  <si>
    <t>texas child support cap 2025</t>
  </si>
  <si>
    <t>[5,52,41,52,41,41,100,100]</t>
  </si>
  <si>
    <t>the woodlands child support lawyer</t>
  </si>
  <si>
    <t>[0,0,0,23,52,52,52,52,66,100,100,52]</t>
  </si>
  <si>
    <t>houston offshore injury attorney</t>
  </si>
  <si>
    <t>[9,9,15,34,21,34,34,34,28,81,100,81]</t>
  </si>
  <si>
    <t>Local pack, Sitelinks, Ads top, Ads bottom, Related searches, AI overview</t>
  </si>
  <si>
    <t>can you refuse a field sobriety test in texas</t>
  </si>
  <si>
    <t>[28,35,28,35,50,64,64,100,100,64,78,78]</t>
  </si>
  <si>
    <t>guerrero law injury lawyers</t>
  </si>
  <si>
    <t>[26,19,53,42,26,34,26,34,34,34,34,19]</t>
  </si>
  <si>
    <t>the woodlands custody attorney</t>
  </si>
  <si>
    <t>[0,14,14,50,50,35,50,50,50,50,50,50]</t>
  </si>
  <si>
    <t>barrow brown pllc</t>
  </si>
  <si>
    <t>[66,52,52,52,66,33,33,23,33,23,23,23]</t>
  </si>
  <si>
    <t>parental agreement without court</t>
  </si>
  <si>
    <t>[18,100,18,18,45,100,45,18,18,18,18,18]</t>
  </si>
  <si>
    <t>Sitelinks, Video, Ads bottom, Video Carousel, People also ask, Related searches, Discussions and forums</t>
  </si>
  <si>
    <t>divorce lawyers beaumont tx</t>
  </si>
  <si>
    <t>[54,54,44,54,54,81,66,81,81,81,81,66]</t>
  </si>
  <si>
    <t>houston sexual assault lawyer</t>
  </si>
  <si>
    <t>[11,9,14,26,32,26,32,39,100,72,48,39]</t>
  </si>
  <si>
    <t>legal age for child to ride on back of motorcycle</t>
  </si>
  <si>
    <t>[0,0,5,6,11,11,5,3,15,15,5,8]</t>
  </si>
  <si>
    <t>registered sex offenders in houston texas</t>
  </si>
  <si>
    <t>[0,0,7,100,35,50,35,0,0,0,7,0]</t>
  </si>
  <si>
    <t>bond reduction</t>
  </si>
  <si>
    <t>[5,5,7,7,7,7,7,7,7,7,5,4]</t>
  </si>
  <si>
    <t>can a child ride on a motorcycle</t>
  </si>
  <si>
    <t>[5,0,1,6,15,23,23,15,23,28,23,15]</t>
  </si>
  <si>
    <t>the woodlands child support attorneys</t>
  </si>
  <si>
    <t>[0,0,36,45,63,45,63,63,63,63,45,63]</t>
  </si>
  <si>
    <t>texting and driving texas</t>
  </si>
  <si>
    <t>[21,14,28,21,21,35,50,50,78,64,28,14]</t>
  </si>
  <si>
    <t>processing time uscis n 400</t>
  </si>
  <si>
    <t>[11,15,15,18,6,15,15,18,8,11,15,18]</t>
  </si>
  <si>
    <t>legalización de un testamento abogados cerca de mi</t>
  </si>
  <si>
    <t>[9,9,9,9,33,23,33,19,80,80,52,66]</t>
  </si>
  <si>
    <t>hit and run texas laws</t>
  </si>
  <si>
    <t>[26,42,34,42,19,34,53,42,34,26,26,42]</t>
  </si>
  <si>
    <t>abogados de inmigracion brownsville tx</t>
  </si>
  <si>
    <t>[7,7,7,42,34,26,26,34,26,26,26,19]</t>
  </si>
  <si>
    <t>brain injury lawyer houston</t>
  </si>
  <si>
    <t>[0,6,11,11,23,23,15,28,81,81,66,81]</t>
  </si>
  <si>
    <t>dwi meaning law</t>
  </si>
  <si>
    <t>[20,16,16,20,20,24,13,13,8,5,8,13]</t>
  </si>
  <si>
    <t>abogado de lesiones graves texas</t>
  </si>
  <si>
    <t>[22,11,22,33,100,100,100,44]</t>
  </si>
  <si>
    <t>cruise ship injury attorney galveston</t>
  </si>
  <si>
    <t>[65,42,11,11,15,11,11,11,26,34,26,42]</t>
  </si>
  <si>
    <t>questions to ask a lawyer about dui</t>
  </si>
  <si>
    <t>settling bodily injury claims</t>
  </si>
  <si>
    <t>[28,28,71,100,28,71,28,28,28,28,28,28]</t>
  </si>
  <si>
    <t>jones act lawyer texas</t>
  </si>
  <si>
    <t>[0,0,14,23,23,33,42,33,100,100,52,33]</t>
  </si>
  <si>
    <t>slip and fall insurance</t>
  </si>
  <si>
    <t>[0,1,9,11,11,2,7,7,32,39,21,32]</t>
  </si>
  <si>
    <t>abogados criminales en houston tx</t>
  </si>
  <si>
    <t>[45,63,63,45,63,45,63,27,36,36,100,63]</t>
  </si>
  <si>
    <t>post marital agreement texas</t>
  </si>
  <si>
    <t>[28,53,43,15,21,21,53,15,34,43,34,43]</t>
  </si>
  <si>
    <t>is it 50-50 split in a divorce in texas</t>
  </si>
  <si>
    <t>[0,0,50,21,28,28,21,28,78,100,50,14]</t>
  </si>
  <si>
    <t>doré rothberg law</t>
  </si>
  <si>
    <t>[100,63,9,9,18,45,100,63,63,63,63,63]</t>
  </si>
  <si>
    <t>Knowledge panel, Sitelinks, Video Carousel, Related searches</t>
  </si>
  <si>
    <t>open adoption vs closed adoption</t>
  </si>
  <si>
    <t>[54,54,54,54,66,54,66,54,44,29,29,44]</t>
  </si>
  <si>
    <t>first time felony offense</t>
  </si>
  <si>
    <t>[42,42,100,34,26,19,15,19,15,19,7,15]</t>
  </si>
  <si>
    <t>texas grandparents rights lawyer</t>
  </si>
  <si>
    <t>[0,0,36,63,45,63,45,81,63,63,81,63]</t>
  </si>
  <si>
    <t>can i get spousal support after divorce</t>
  </si>
  <si>
    <t>[27,27,27,100,27,81,18,27,27,36,18,18]</t>
  </si>
  <si>
    <t>trey barton law</t>
  </si>
  <si>
    <t>[52,9,9,9,100,9,9,9,52,9,52,33]</t>
  </si>
  <si>
    <t>mandel charge</t>
  </si>
  <si>
    <t>[18,18,18,18,63,18,27,18,18,63,81,63]</t>
  </si>
  <si>
    <t>Image pack, Sitelinks, Video, Featured snippet, People also ask, Related searches</t>
  </si>
  <si>
    <t>divorce lawyer in houston tx</t>
  </si>
  <si>
    <t>[0,0,11,23,41,23,41,52,64,100,100,52]</t>
  </si>
  <si>
    <t>can women pay alimony</t>
  </si>
  <si>
    <t>[52,29,52,41,41,52,41,52,52,41,41,52]</t>
  </si>
  <si>
    <t>what type of divorces are there</t>
  </si>
  <si>
    <t>[77,55,33,100,77,44,55,77,55,77,77,44]</t>
  </si>
  <si>
    <t>houston sex offender lawyer</t>
  </si>
  <si>
    <t>[1,4,2,4,2,5,6,9,9,100,15,15]</t>
  </si>
  <si>
    <t>drake dunnavent law office</t>
  </si>
  <si>
    <t>[64,35,64,64,78,78,64,100,100,64,64,64]</t>
  </si>
  <si>
    <t>houston family law lawyer</t>
  </si>
  <si>
    <t>[8,10,20,5,81,6,10,10,13,30,45,100]</t>
  </si>
  <si>
    <t>richard racehorse haynes</t>
  </si>
  <si>
    <t>[82,53,53,66,53,66,66,53,82,82,66,53]</t>
  </si>
  <si>
    <t>different types of abuse in relationships</t>
  </si>
  <si>
    <t>[28,65,28,28,21,21,21,21,21,21,53,28]</t>
  </si>
  <si>
    <t>law office of alex m torres</t>
  </si>
  <si>
    <t>[50,78,78,50,50,50,100,100,64,78,100,50]</t>
  </si>
  <si>
    <t>pedestrian detection system</t>
  </si>
  <si>
    <t>[80,65,65,53,65,80,100,65,65,53,65,34]</t>
  </si>
  <si>
    <t>divorce law houston tx</t>
  </si>
  <si>
    <t>[22,22,22,22,22,22,22,22,33,77,77,100]</t>
  </si>
  <si>
    <t>Local pack, Video, Image, People also ask, Related searches, Discussions and forums, AI overview</t>
  </si>
  <si>
    <t>houston brain injury lawyers</t>
  </si>
  <si>
    <t>[0,0,35,28,21,14,14,21,100,100,78,78]</t>
  </si>
  <si>
    <t>ex wife refuses to work child support</t>
  </si>
  <si>
    <t>[0,0,57,57,71,57,57,42,100,100,57,71]</t>
  </si>
  <si>
    <t>1st offender program</t>
  </si>
  <si>
    <t>[23,28,28,12,17,23,66,66,53,53,28,28]</t>
  </si>
  <si>
    <t>cohabitant legal definition</t>
  </si>
  <si>
    <t>[33,33,42,52,52,33,52,33,52,42,42,52]</t>
  </si>
  <si>
    <t>the woodlands family law firm</t>
  </si>
  <si>
    <t>[0,0,28,100,100,100,100,100,100,100,100,100]</t>
  </si>
  <si>
    <t>best divorce lawyer the woodlands</t>
  </si>
  <si>
    <t>[42,100,57,42,57,57,57,57,57,57]</t>
  </si>
  <si>
    <t>boat accident attorney baytown</t>
  </si>
  <si>
    <t>[11,33,22,33,55,44,100,100,77,22]</t>
  </si>
  <si>
    <t>the woodlands child support attorney</t>
  </si>
  <si>
    <t>[0,0,27,63,81,63,81,63,100,100,45,45]</t>
  </si>
  <si>
    <t>questions to ask a family lawyer during consultation</t>
  </si>
  <si>
    <t>[23,35,35,43,43,35,23,43,23,17,17,17]</t>
  </si>
  <si>
    <t>houston sex offense lawyer</t>
  </si>
  <si>
    <t>[2,5,5,10,10,12,12,17,17,100,43,28]</t>
  </si>
  <si>
    <t>car accident lawsuit process</t>
  </si>
  <si>
    <t>[29,22,29,66,66,81,81,66,43,100,100,100]</t>
  </si>
  <si>
    <t>Video, Featured snippet, Related searches, Discussions and forums</t>
  </si>
  <si>
    <t>texas no touch law</t>
  </si>
  <si>
    <t>[0,0,0,0,0,0,0,0,100,18,15,11]</t>
  </si>
  <si>
    <t>sexting texas law</t>
  </si>
  <si>
    <t>[43,28,21,28,34,21,34,53,53,43,21,34]</t>
  </si>
  <si>
    <t>falsely accused lawyers</t>
  </si>
  <si>
    <t>[19,4,0,33,23,33,42,4,100,42,52,80]</t>
  </si>
  <si>
    <t>the woodlands family attorney</t>
  </si>
  <si>
    <t>[0,0,0,9,63,63,45,63,63,63,63,63]</t>
  </si>
  <si>
    <t>criminal defense attorney harris county</t>
  </si>
  <si>
    <t>[82,41,82,100,52,82,64,82,82,52,64,82]</t>
  </si>
  <si>
    <t>texas child support lawyer</t>
  </si>
  <si>
    <t>[11,0,0,41,64,82,52,64,64,82,100,41]</t>
  </si>
  <si>
    <t>houston drug reaction attorney</t>
  </si>
  <si>
    <t>[14,28,28,35,28,35,100,100,50]</t>
  </si>
  <si>
    <t>restraining order attorney the woodlands</t>
  </si>
  <si>
    <t>[0,55,55,55,44,55,77,77,100]</t>
  </si>
  <si>
    <t>domestic violence by relationship type</t>
  </si>
  <si>
    <t>[11,100,82,11,82,11,11,11,11,11,11,11]</t>
  </si>
  <si>
    <t>houston juvenile defense lawyer</t>
  </si>
  <si>
    <t>[9,9,9,33,23,33,42,42,33,100,100,80]</t>
  </si>
  <si>
    <t>violating restraining order</t>
  </si>
  <si>
    <t>[11,21,17,14,5,100,48,5,5,59,7,3]</t>
  </si>
  <si>
    <t>first-time drug possession charges in texas</t>
  </si>
  <si>
    <t>[76,76,67,76,76,100,76,67,67,67,67,67]</t>
  </si>
  <si>
    <t>alimony calculator texas</t>
  </si>
  <si>
    <t>[42,42,52,100,66,66,52,80,42,66,66,66]</t>
  </si>
  <si>
    <t>family law attorney humble tx</t>
  </si>
  <si>
    <t>[64,64,64,78,50,78,100,78,100,50,50,64]</t>
  </si>
  <si>
    <t>what is aggravated theft</t>
  </si>
  <si>
    <t>[63,45,45,45,63,63,81,63,63,81,63,63]</t>
  </si>
  <si>
    <t>does paying health insurance reduce child support in texas</t>
  </si>
  <si>
    <t>[33,33,55,77,77,77,100,77,55,77,55]</t>
  </si>
  <si>
    <t>houston family law attorneys</t>
  </si>
  <si>
    <t>[10,3,5,2,2,2,2,2,2,36,100,10]</t>
  </si>
  <si>
    <t>car accident injury claim</t>
  </si>
  <si>
    <t>[1,1,24,30,36,100,45,45,45,100,100,36]</t>
  </si>
  <si>
    <t>chip lewis lawyer</t>
  </si>
  <si>
    <t>[23,18,28,28,23,18,18,54,28,18,23,15]</t>
  </si>
  <si>
    <t>domestic violence attorney houston tx</t>
  </si>
  <si>
    <t>[64,50,50,64,50,50,50,50,50,50,35,28]</t>
  </si>
  <si>
    <t>houston spinal cord injury lawyer</t>
  </si>
  <si>
    <t>[3,3,0,18,28,35,35,35,35,28,100,100]</t>
  </si>
  <si>
    <t>Local pack, Sitelinks, Image, Ads bottom, Related searches, Ads middle, AI overview</t>
  </si>
  <si>
    <t>keith brown attorney</t>
  </si>
  <si>
    <t>[78,100,35,28,35,28,35,28,35,28,35,28]</t>
  </si>
  <si>
    <t>how long the process of naturalization</t>
  </si>
  <si>
    <t>[53,43,43,34,43,81,65,43,34,53,53,21]</t>
  </si>
  <si>
    <t>dustin brown attorney</t>
  </si>
  <si>
    <t>[54,18,29,4,4,4,4,4,4,4,4,4]</t>
  </si>
  <si>
    <t>houston statutory rape lawyer</t>
  </si>
  <si>
    <t>[0,0,18,27,18,45,45,27,100,100,63,27]</t>
  </si>
  <si>
    <t>if you violate a restraining order what happens</t>
  </si>
  <si>
    <t>[23,35,35,18,15,28,18,28,44,23,23,18]</t>
  </si>
  <si>
    <t>dui versus dwi texas</t>
  </si>
  <si>
    <t>[7,32,11,11,5,11,21,32,14,14,26,48]</t>
  </si>
  <si>
    <t>state of texas age of consent</t>
  </si>
  <si>
    <t>[0,2,0,1,2,2,0,1,0,0,2,4]</t>
  </si>
  <si>
    <t>Video, Featured snippet, Video Carousel, People also ask, Related searches</t>
  </si>
  <si>
    <t>law and associates</t>
  </si>
  <si>
    <t>[1,1,1,100,62,16,10,10,24,45,4,6]</t>
  </si>
  <si>
    <t>Local pack, Sitelinks, People also ask, See results about</t>
  </si>
  <si>
    <t>sugar land divorce attorneys</t>
  </si>
  <si>
    <t>[0,0,0,18,18,36,63,45,81,100,63,63]</t>
  </si>
  <si>
    <t>alimony law firm the woodlands</t>
  </si>
  <si>
    <t>the woodlands child custody attorney</t>
  </si>
  <si>
    <t>[0,0,18,63,63,63,63,81,81,100,100,81]</t>
  </si>
  <si>
    <t>lawyers for false accusations</t>
  </si>
  <si>
    <t>[42,80,52,100,100,100,80,80,33,80,23,19]</t>
  </si>
  <si>
    <t>Local pack, Video, Video Carousel, Related searches, AI overview</t>
  </si>
  <si>
    <t>when to apply for naturalization</t>
  </si>
  <si>
    <t>[7,5,8,7,8,13,7,5,7,7,5,7]</t>
  </si>
  <si>
    <t>grandparents temporary custody</t>
  </si>
  <si>
    <t>[63,45,100,63,81,81,63,36,45,45,100,18]</t>
  </si>
  <si>
    <t>brown legal immigration</t>
  </si>
  <si>
    <t>[18,18,100,18,100,18,18,18,18,18,18,18]</t>
  </si>
  <si>
    <t>tina brumbelow attorney at law</t>
  </si>
  <si>
    <t>[100,100,100,100,18,100,18,100,36,45,63,63]</t>
  </si>
  <si>
    <t>lawyer false accusations</t>
  </si>
  <si>
    <t>[21,35,35,28,28,28,0,0,50,64,100,50]</t>
  </si>
  <si>
    <t>family law lawyer in houston</t>
  </si>
  <si>
    <t>[12,36,19,19,9,6,100,23,9,6,9,12]</t>
  </si>
  <si>
    <t>family law attorneys in houston tx</t>
  </si>
  <si>
    <t>[10,29,2,35,43,35,35,35,29,6,14,35]</t>
  </si>
  <si>
    <t>houston aggravated assault lawyers</t>
  </si>
  <si>
    <t>[0,4,4,6,4,6,8,10,100,18,14,18]</t>
  </si>
  <si>
    <t>houston white collar crimes lawyer</t>
  </si>
  <si>
    <t>[2,5,5,7,10,12,17,23,23,100,43,43]</t>
  </si>
  <si>
    <t>child molestation lawyer houston</t>
  </si>
  <si>
    <t>[33,33,33,22,100,77,77,77,77,77,77,55]</t>
  </si>
  <si>
    <t>adoption without fathers consent</t>
  </si>
  <si>
    <t>[18,18,18,36,63,63,45,45,27,81,27,18]</t>
  </si>
  <si>
    <t>define unfit parent</t>
  </si>
  <si>
    <t>[77,55,77,55,77,77,55,100,77,77,77,77]</t>
  </si>
  <si>
    <t>ryan brown law</t>
  </si>
  <si>
    <t>[100,0,82,0,0,0,0,29,82,52,64,64]</t>
  </si>
  <si>
    <t>custody agreement without court</t>
  </si>
  <si>
    <t>[100,52,33,23,80,100,66,19,14,23,33,33]</t>
  </si>
  <si>
    <t>cps lawyer san antonio</t>
  </si>
  <si>
    <t>[19,19,19,19,26,26,26,26,26,65,19,26]</t>
  </si>
  <si>
    <t>rod ponton attorney</t>
  </si>
  <si>
    <t>[0,0,0,0,0,0,0,0,0,0,0,0]</t>
  </si>
  <si>
    <t>is texas a hands free state</t>
  </si>
  <si>
    <t>[41,11,11,11,29,11,64,64,64,64,64,100]</t>
  </si>
  <si>
    <t>ben hill turner</t>
  </si>
  <si>
    <t>[33,52,66,66,33,66,80,33,42,42,23,66]</t>
  </si>
  <si>
    <t>punishment for assaulting a pregnant woman</t>
  </si>
  <si>
    <t>[80,66,42,66,80,80,80,80,66,66,52,42]</t>
  </si>
  <si>
    <t>texas jones act injury lawyer</t>
  </si>
  <si>
    <t>[0,22,22,33,55,33,55,33,100,100,55,55]</t>
  </si>
  <si>
    <t>Local pack, Sitelinks, Video, Ads top, Ads bottom, Related searches</t>
  </si>
  <si>
    <t>houston traumatic brain injury attorney</t>
  </si>
  <si>
    <t>[0,0,29,23,17,5,23,11,64,100,64,64]</t>
  </si>
  <si>
    <t>what does obscenity mean in law</t>
  </si>
  <si>
    <t>[18,18,18,18,18,18,100,18,100,18,100,18]</t>
  </si>
  <si>
    <t>drug lawyer houston tx</t>
  </si>
  <si>
    <t>[0,0,0,0,8,3,0,0,1,30,100,82]</t>
  </si>
  <si>
    <t>date rape lawyer</t>
  </si>
  <si>
    <t>[0,0,19,19,26,19,19,19,80,80,65,100]</t>
  </si>
  <si>
    <t>legal cohabitation</t>
  </si>
  <si>
    <t>[19,0,53,65,65,53,42,34,80,53,100,42]</t>
  </si>
  <si>
    <t>beaumont divorce attorney</t>
  </si>
  <si>
    <t>[15,23,36,12,9,19,100,81,81,54,9,54]</t>
  </si>
  <si>
    <t>can you sue someone for falling on their property</t>
  </si>
  <si>
    <t>[7,7,42,19,7,7,7,7,26,7,7,7]</t>
  </si>
  <si>
    <t>divorce attorney galveston tx</t>
  </si>
  <si>
    <t>[33,66,52,52,42,100,42,33,66,52,80,66]</t>
  </si>
  <si>
    <t>pearland injury lawyer</t>
  </si>
  <si>
    <t>[0,0,0,11,5,29,52,64,64,64,64,100]</t>
  </si>
  <si>
    <t>Local pack, Sitelinks, Image, Ads top, Ads bottom, People also ask, Related searches</t>
  </si>
  <si>
    <t>the woodlands adoption attorney</t>
  </si>
  <si>
    <t>[0,22,22,55,77,55,77,77,77,100,100,77]</t>
  </si>
  <si>
    <t>Local pack, Video, Image, AI overview</t>
  </si>
  <si>
    <t>suspicion of dui</t>
  </si>
  <si>
    <t>[18,18,14,14,22,14,14,14,22,54,14,18]</t>
  </si>
  <si>
    <t>divorce lawyer brownsville tx</t>
  </si>
  <si>
    <t>[64,35,50,28,28,28,14,35,35,35,50,100]</t>
  </si>
  <si>
    <t>obscenity statute</t>
  </si>
  <si>
    <t>[23,15,23,15,15,100,81,100,29,12,6,9]</t>
  </si>
  <si>
    <t>if you refuse to take a blood alcohol content test</t>
  </si>
  <si>
    <t>[34,34,15,15,21,21,34,43,65,34,43,34]</t>
  </si>
  <si>
    <t>does texas recognize domestic partnerships</t>
  </si>
  <si>
    <t>[81,100,63,63,63,63,63,63,63,63,81,63]</t>
  </si>
  <si>
    <t>frost brown todd houston</t>
  </si>
  <si>
    <t>[28,17,12,5,17,17,5,17,17,23,28,23]</t>
  </si>
  <si>
    <t>how to find out if your spouse is hiding assets</t>
  </si>
  <si>
    <t>[14,14,14,35,35,28,28,35,35,100,100,50]</t>
  </si>
  <si>
    <t>Sitelinks, Ads bottom, Video Carousel, Related searches, AI overview</t>
  </si>
  <si>
    <t>texas military custody issues lawyers</t>
  </si>
  <si>
    <t>[0,22,22,44,77,100,77,100,77,100,77,77]</t>
  </si>
  <si>
    <t>Local pack, Video, Discussions and forums</t>
  </si>
  <si>
    <t>cooling off period in texas</t>
  </si>
  <si>
    <t>[18,18,18,100,100,100,100,18,18,27,27,18]</t>
  </si>
  <si>
    <t>types of spousal abuse</t>
  </si>
  <si>
    <t>[21,14,72,48,14,26,48,17,59,39,32,14]</t>
  </si>
  <si>
    <t>will i have to pay spousal support</t>
  </si>
  <si>
    <t>[71,71,71,71,28,28,28,28,28,28,42,28]</t>
  </si>
  <si>
    <t>Sitelinks, Video, Ads bottom, Related searches, Short videos, Discussions and forums, AI overview</t>
  </si>
  <si>
    <t>pain and suffering insurance claim</t>
  </si>
  <si>
    <t>[7,19,7,19,15,19,15,7,7,7,19,7]</t>
  </si>
  <si>
    <t>slip and fell</t>
  </si>
  <si>
    <t>[71,42,14,57,42,42,57,57,57,71,100,71]</t>
  </si>
  <si>
    <t>Image pack, Video Carousel, People also ask, Related searches</t>
  </si>
  <si>
    <t>el martillo tejano lawyer</t>
  </si>
  <si>
    <t>[7,15,19,11,11,7,7,11,11,26,26,100]</t>
  </si>
  <si>
    <t>houston tx family lawyers</t>
  </si>
  <si>
    <t>[1,0,0,7,0,0,100,65,30,0,0,13]</t>
  </si>
  <si>
    <t>sarah brown attorney</t>
  </si>
  <si>
    <t>[66,14,10,22,18,14,14,18,22,14,18,18]</t>
  </si>
  <si>
    <t>50/50 custody in texas</t>
  </si>
  <si>
    <t>[43,43,35,43,43,43,54,54,43,54,54,66]</t>
  </si>
  <si>
    <t>texas law hit and run</t>
  </si>
  <si>
    <t>[53,53,42,53,65,42,19,15,26,26,34,11]</t>
  </si>
  <si>
    <t>Image pack, Ads bottom, Video Carousel, People also ask, Related searches, AI overview</t>
  </si>
  <si>
    <t>charlie brown lawyer</t>
  </si>
  <si>
    <t>[50,50,35,50,64,50,50,64,78,64,100,64]</t>
  </si>
  <si>
    <t>how old to ride on a motorcycle</t>
  </si>
  <si>
    <t>[34,28,15,81,15,81,28,43,43,34,34,28]</t>
  </si>
  <si>
    <t>mark caldwell attorney</t>
  </si>
  <si>
    <t>[19,19,34,34,42,34,26,26,53,34,34,26]</t>
  </si>
  <si>
    <t>Local pack, Sitelinks, Video, Image, Video Carousel, Related searches</t>
  </si>
  <si>
    <t>cps lawyer</t>
  </si>
  <si>
    <t>[30,30,44,82,100,44,44,55,100,55,82,55]</t>
  </si>
  <si>
    <t>busco los mejores abogados de custodia infantil</t>
  </si>
  <si>
    <t>[0,0,64,35,21,14,7,7,64,64,64,100]</t>
  </si>
  <si>
    <t>loudermilk law</t>
  </si>
  <si>
    <t>houston family attorney</t>
  </si>
  <si>
    <t>[10,23,28,28,43,53,53,53,100,100,100,100]</t>
  </si>
  <si>
    <t>washington dc herpes transmission lawyer</t>
  </si>
  <si>
    <t>[100,100,75,100]</t>
  </si>
  <si>
    <t>sex crime attorneys texas</t>
  </si>
  <si>
    <t>[27,63,81,63,100]</t>
  </si>
  <si>
    <t>stephanie proffitt lawyer</t>
  </si>
  <si>
    <t>[41,52,52,52,23,52,82,100,100,41,64,82]</t>
  </si>
  <si>
    <t>car accident attorney pearland</t>
  </si>
  <si>
    <t>[65,65,42,3,34,34,26,26,100,100,80,100]</t>
  </si>
  <si>
    <t>list of lawyers in texas</t>
  </si>
  <si>
    <t>[66,66,33,52,33,42,52,52,80,66,66,66]</t>
  </si>
  <si>
    <t>questions to ask your dui attorney</t>
  </si>
  <si>
    <t>[7,7,42,42,7,7,7,7,7,7,7,7]</t>
  </si>
  <si>
    <t>Ads bottom, Video Carousel, People also ask, Related searches, Discussions and forums, AI overview</t>
  </si>
  <si>
    <t>erick platten attorney</t>
  </si>
  <si>
    <t>[41,100,82,64,23,41,82,41,52,41,41,52]</t>
  </si>
  <si>
    <t>texas custody laws unmarried parents</t>
  </si>
  <si>
    <t>[82,82,100,23,82,82,82,23,35,43,28,35]</t>
  </si>
  <si>
    <t>drug reaction accident lawyers houston</t>
  </si>
  <si>
    <t>[14,21,21,21,21,28,100,100,50,7]</t>
  </si>
  <si>
    <t>cruise ship accident lawyer galveston</t>
  </si>
  <si>
    <t>[100,80,66,14,14,14,14,9,9,33,33,33]</t>
  </si>
  <si>
    <t>does texas require uninsured motorist coverage</t>
  </si>
  <si>
    <t>[15,7,7,11,7,7,11,11,7,15,15,19]</t>
  </si>
  <si>
    <t>texas grandparents rights attorneys</t>
  </si>
  <si>
    <t>[5,0,23,52,41,41,29,52,41,64,52,100]</t>
  </si>
  <si>
    <t>defective drugs lawyer</t>
  </si>
  <si>
    <t>[1,1,2,4,6,12,15,19,29,81,100,66]</t>
  </si>
  <si>
    <t>free consultation divorce attorney houston</t>
  </si>
  <si>
    <t>[54,18,35,28,44,18,23,54,35,15,18,23]</t>
  </si>
  <si>
    <t>jones act injury lawyer houston</t>
  </si>
  <si>
    <t>[11,33,33,33,33,55,44,55,33,100,100,77]</t>
  </si>
  <si>
    <t>Local pack, Sitelinks, Video, Image, Ads middle, AI overview</t>
  </si>
  <si>
    <t>the cobos law firm</t>
  </si>
  <si>
    <t>[27,18,27,27,27,45,63,36,100,45,36,45]</t>
  </si>
  <si>
    <t>divorce lawyers in fort bend county texas</t>
  </si>
  <si>
    <t>[19,26,34,34,42,26,34,26,26,19,26,26]</t>
  </si>
  <si>
    <t>woodlands divorce lawyer</t>
  </si>
  <si>
    <t>[50,64,64,50,50,50,50,35,28,50,35,35]</t>
  </si>
  <si>
    <t>in a divorce who gets alimony</t>
  </si>
  <si>
    <t>[64,50,64,64,64,64,64,64,78,50,64,50]</t>
  </si>
  <si>
    <t>can you get alimony after divorce</t>
  </si>
  <si>
    <t>[5,7,5,7,7,9,9,9,5,7,7,7]</t>
  </si>
  <si>
    <t>scott ellison attorney corpus christi</t>
  </si>
  <si>
    <t>[63,18,18,18,45,63,27,36,18,18,18,18]</t>
  </si>
  <si>
    <t>christy jack attorney</t>
  </si>
  <si>
    <t>[4,8,5,5,8,8,8,5,5,4,4,5]</t>
  </si>
  <si>
    <t>types of divorce</t>
  </si>
  <si>
    <t>[88,100,72,88,100,88,88,88,100,72,88,88]</t>
  </si>
  <si>
    <t>indecency with a child by exposure meaning</t>
  </si>
  <si>
    <t>[18,63,81,45,45,45,36,63,36,27,81,100]</t>
  </si>
  <si>
    <t>dwi vs dui in texas</t>
  </si>
  <si>
    <t>[5,10,0,7,7,66,100,10,10,10,12,12]</t>
  </si>
  <si>
    <t>what happens if you refuse a breathalyzer in texas</t>
  </si>
  <si>
    <t>[6,4,5,5,8,6,6,8,8,6,5,4]</t>
  </si>
  <si>
    <t>texas military divorce lawyers</t>
  </si>
  <si>
    <t>[11,11,17,41,41,29,41,29,41,52,41,29]</t>
  </si>
  <si>
    <t>divorce lawyers in katy texas</t>
  </si>
  <si>
    <t>[0,0,60,60,80,80,80,80,60,100,80,80]</t>
  </si>
  <si>
    <t>attorney general child support texas</t>
  </si>
  <si>
    <t>[0,0,0,0,0,0,0,100,100,0,0,55]</t>
  </si>
  <si>
    <t>attorneys in galveston tx</t>
  </si>
  <si>
    <t>[52,52,100,52,52,52,66,52,100,4,80,66]</t>
  </si>
  <si>
    <t>texas child custody attorney</t>
  </si>
  <si>
    <t>[0,0,23,41,41,29,41,29,52,64,52,29]</t>
  </si>
  <si>
    <t>how much time do you get for grand larceny</t>
  </si>
  <si>
    <t>[9,100,23,23,33,33,33,23,23,23,23,33]</t>
  </si>
  <si>
    <t>how does 50/50 custody work in texas</t>
  </si>
  <si>
    <t>[22,33,44,44,44,55,55,55,77,77,100,77]</t>
  </si>
  <si>
    <t>family lawyers houston tx</t>
  </si>
  <si>
    <t>[2,0,5,7,10,12,17,5,10,10,7,7]</t>
  </si>
  <si>
    <t>settle a claim</t>
  </si>
  <si>
    <t>[5,5,5,5,7,5,10,5,10,7,5,5]</t>
  </si>
  <si>
    <t>alimony lawyers the woodlands</t>
  </si>
  <si>
    <t>[0,0,42,100,100,71,100,71,100,100,100,100]</t>
  </si>
  <si>
    <t>questions to ask your dui lawyer</t>
  </si>
  <si>
    <t>[11,11,64,64,17,11,11,17,29,29,23,29]</t>
  </si>
  <si>
    <t>Ads bottom, Video Carousel, Related searches, Discussions and forums, AI overview</t>
  </si>
  <si>
    <t>harris county criminal lawyer</t>
  </si>
  <si>
    <t>[21,35,21,21,21,21,35,28,100,100,78,50]</t>
  </si>
  <si>
    <t>what is the difference between sealing and expunging</t>
  </si>
  <si>
    <t>[55,77,100,77,100,77,77,100,77,100,11,33]</t>
  </si>
  <si>
    <t>someone gave me herpes can i sue</t>
  </si>
  <si>
    <t>[42,66,42,52,33,66,19,66,66,33,52,66]</t>
  </si>
  <si>
    <t>shell &amp; shell attorneys at law</t>
  </si>
  <si>
    <t>[82,52,64,64,82,64,64,52,52,64,64,64]</t>
  </si>
  <si>
    <t>richard brown lawyer</t>
  </si>
  <si>
    <t>[23,52,23,33,52,52,42,33,42,33,33,52]</t>
  </si>
  <si>
    <t>kim brown attorney</t>
  </si>
  <si>
    <t>[100,78,64,35,64,78,100,64,50,35,35,28]</t>
  </si>
  <si>
    <t>texting and driving laws texas</t>
  </si>
  <si>
    <t>[63,45,45,45,63,27,63,45,81,36,81,63]</t>
  </si>
  <si>
    <t>is texting while driving illegal in texas</t>
  </si>
  <si>
    <t>[26,19,26,19,34,26,42,34,42,26,34,26]</t>
  </si>
  <si>
    <t>is the no touch law in texas</t>
  </si>
  <si>
    <t>[0,0,0,0,0,0,0,0,100,18,11,5]</t>
  </si>
  <si>
    <t>family lawyers in houston texas</t>
  </si>
  <si>
    <t>[28,21,34,53,81,65,81,100,12,28,34,43]</t>
  </si>
  <si>
    <t>slip and fall attorneytexas</t>
  </si>
  <si>
    <t>[29,0,41,11,23,29,23,11,100,100,52]</t>
  </si>
  <si>
    <t>family lawyer sugar land tx</t>
  </si>
  <si>
    <t>[18,18,18,36,27,27,45,27,45,100,100,63]</t>
  </si>
  <si>
    <t>child support for 3 kids in texas</t>
  </si>
  <si>
    <t>[52,52,64,82,82,82,100,82,82,100,100,100]</t>
  </si>
  <si>
    <t>carl moore attorney</t>
  </si>
  <si>
    <t>[50,14,14,28,64,64,78,78,50,64,35,50]</t>
  </si>
  <si>
    <t>houston family law firms</t>
  </si>
  <si>
    <t>[100,7,14,78,14,7,7,7,14,7,14,7]</t>
  </si>
  <si>
    <t>sex offender registry laws in texas</t>
  </si>
  <si>
    <t>[100,18,100,100,18,63,45,63,0,0,0,0]</t>
  </si>
  <si>
    <t>dwi houston lawyer</t>
  </si>
  <si>
    <t>[67,55,76,100,3,3,3,3,2,13,8,3]</t>
  </si>
  <si>
    <t>bo nichols attorney houston</t>
  </si>
  <si>
    <t>[29,19,15,12,15,5,12,100,12,12,0,0]</t>
  </si>
  <si>
    <t>Knowledge panel, Image pack, Sitelinks, Ads bottom, Related searches</t>
  </si>
  <si>
    <t>modification of child custody in texas</t>
  </si>
  <si>
    <t>[15,21,21,15,6,3,0,6,28,28,12,3]</t>
  </si>
  <si>
    <t>kassab law firm</t>
  </si>
  <si>
    <t>[66,52,52,52,52,66,52,52,52,66,66,100]</t>
  </si>
  <si>
    <t>family divorce lawyer in houston tx</t>
  </si>
  <si>
    <t>[1,3,32,100,5,1,0]</t>
  </si>
  <si>
    <t>minimum age to ride a motorcycle</t>
  </si>
  <si>
    <t>[18,18,18,18,36,45,18,27,81,100,36,18]</t>
  </si>
  <si>
    <t>family law firm houston</t>
  </si>
  <si>
    <t>[10,10,18,22,22,100,22,22,66,29,29,29]</t>
  </si>
  <si>
    <t>questions to ask dui lawyer during consultation</t>
  </si>
  <si>
    <t>[60,40,60,60,60,40,40,60,80,100,100,100]</t>
  </si>
  <si>
    <t>the woodlands alimony law firm</t>
  </si>
  <si>
    <t>sexual abuse lawyer frisco tx</t>
  </si>
  <si>
    <t>[28,100,100,42,0]</t>
  </si>
  <si>
    <t>medical support</t>
  </si>
  <si>
    <t>[44,44,44,44,28,54,35,44,44,44,54,44]</t>
  </si>
  <si>
    <t>Image pack, Sitelinks, Video, People also ask, FAQ, Related searches, AI overview</t>
  </si>
  <si>
    <t>divorce attorney beaumont texas</t>
  </si>
  <si>
    <t>[81,3,3,0,0,0,3,3,9,12,12,53]</t>
  </si>
  <si>
    <t>divorce lawyers in texas</t>
  </si>
  <si>
    <t>[81,100,81,19,12,44,44,15,29,23,19,15]</t>
  </si>
  <si>
    <t>Local pack, Ads bottom, Related searches, Discussions and forums</t>
  </si>
  <si>
    <t>james stafford attorney houston</t>
  </si>
  <si>
    <t>[66,42,52,33,14,23,23,23,33,23,33,23]</t>
  </si>
  <si>
    <t>sugar land child custody attorneys</t>
  </si>
  <si>
    <t>[11,22,33,77,55,100,100,100,55]</t>
  </si>
  <si>
    <t>sugar land child support attorney</t>
  </si>
  <si>
    <t>[28,28,42,100,71,100,100,100,71]</t>
  </si>
  <si>
    <t>the buzbee law firm</t>
  </si>
  <si>
    <t>[34,24,82,34,13,44,34,44,65,100,82,65]</t>
  </si>
  <si>
    <t>divorce attorney humble</t>
  </si>
  <si>
    <t>[82,52,52,64,64,64,52,41,64,23,29,41]</t>
  </si>
  <si>
    <t>cohabitation law</t>
  </si>
  <si>
    <t>[53,65,43,43,100,65,65,65,21,100,81,53]</t>
  </si>
  <si>
    <t>can a grandparent be forced to pay child support</t>
  </si>
  <si>
    <t>[77,55,0,55,55,44,44,55,33,33,55,33]</t>
  </si>
  <si>
    <t>family court lawyers houston tx</t>
  </si>
  <si>
    <t>[24,10,20,10,79,79,36,41,54,100,36,16]</t>
  </si>
  <si>
    <t>emily brown lawyer</t>
  </si>
  <si>
    <t>[0,34,15,34,15,19,15,15,15,19,19,15]</t>
  </si>
  <si>
    <t>age to ride on a motorcycle</t>
  </si>
  <si>
    <t>[50,35,50,50,50,64,78,50,64,64,100,50]</t>
  </si>
  <si>
    <t>are personal injury settlements marital property</t>
  </si>
  <si>
    <t>[34,34,0,26,26,34,26,34,19,53,80,65]</t>
  </si>
  <si>
    <t>texas weed charges</t>
  </si>
  <si>
    <t>[35,21,14,7,78,0,64,50,50,35,78,50]</t>
  </si>
  <si>
    <t>how to win a protection order hearing</t>
  </si>
  <si>
    <t>[14,9,11,17,7,5,4,4,3,2,4,3]</t>
  </si>
  <si>
    <t>brownsville divorce attorneys</t>
  </si>
  <si>
    <t>[81,34,43,53,53,34,34,100,100,43,34,81]</t>
  </si>
  <si>
    <t>the woodlands child custody attorneys</t>
  </si>
  <si>
    <t>[0,0,18,45,63,45,63,63,63,63,81,81]</t>
  </si>
  <si>
    <t>lloyd capello jr attorney at law</t>
  </si>
  <si>
    <t>[55,55,55,77,11,77,77,77,77,55,100,100]</t>
  </si>
  <si>
    <t>chase clayton attorney</t>
  </si>
  <si>
    <t>[40,40,80,80,40,60,40,40,40,80,40,40]</t>
  </si>
  <si>
    <t>Sitelinks, Video, Image</t>
  </si>
  <si>
    <t>restraining order lawyer the woodlands</t>
  </si>
  <si>
    <t>[0,0,11,77,77,44,55,77,77,77,100,77]</t>
  </si>
  <si>
    <t>visitation rights for father in texas</t>
  </si>
  <si>
    <t>[3,2,0,4,5,5,1,4,100,2,5,3]</t>
  </si>
  <si>
    <t>white collar crimes lawyer houston</t>
  </si>
  <si>
    <t>[78,78,78,78,64,50,50,50,100,100,100,64]</t>
  </si>
  <si>
    <t>sugarland aggravated assault lawyer</t>
  </si>
  <si>
    <t>[42,28,100,100,57,14]</t>
  </si>
  <si>
    <t>top divorce attorneys in houston</t>
  </si>
  <si>
    <t>[3,7,7,3,4,4,4,2,7,7,3,2]</t>
  </si>
  <si>
    <t>minimum age for motorcycle passenger</t>
  </si>
  <si>
    <t>[1,0,0,0,3,3,1,1,2,2,0,1]</t>
  </si>
  <si>
    <t>what dwi</t>
  </si>
  <si>
    <t>[15,19,15,3,26,3,3,3,15,19,19,34]</t>
  </si>
  <si>
    <t>Knowledge panel, Video, Video Carousel, Related searches, Short videos, AI overview</t>
  </si>
  <si>
    <t>graves dougherty</t>
  </si>
  <si>
    <t>[52,66,66,66,66,80,80,66,66,52,66,66]</t>
  </si>
  <si>
    <t>compensation for falling on pavement</t>
  </si>
  <si>
    <t>[0,7,19,19,53,34,26,26,7,7,7,7]</t>
  </si>
  <si>
    <t>Video, Ads bottom, AI overview</t>
  </si>
  <si>
    <t>dwi fine in texas</t>
  </si>
  <si>
    <t>[35,100,35,0,35,22,18,66,66,29,22,29]</t>
  </si>
  <si>
    <t>motorcycle for 4 year old</t>
  </si>
  <si>
    <t>[52,100,100,23,23,66,42,52,42,42,66,52]</t>
  </si>
  <si>
    <t>different types of divorce</t>
  </si>
  <si>
    <t>[53,65,65,100,53,53,65,65,53,81,65,65]</t>
  </si>
  <si>
    <t>divorce lawyer beaumont tx</t>
  </si>
  <si>
    <t>[65,42,26,34,3,34,15,7,26,7,11,19]</t>
  </si>
  <si>
    <t>no touch law in texas</t>
  </si>
  <si>
    <t>[0,0,0,0,0,0,0,0,100,28,18,18]</t>
  </si>
  <si>
    <t>ashley brown attorney</t>
  </si>
  <si>
    <t>[18,100,63,81,36,45,36,45,45,18,18,18]</t>
  </si>
  <si>
    <t>mt pleasant cps early investigation lawyer</t>
  </si>
  <si>
    <t>[7,100,0,0]</t>
  </si>
  <si>
    <t>the woodlands child support lawyers</t>
  </si>
  <si>
    <t>[0,0,0,18,63,63,63,63,63,63,63,63]</t>
  </si>
  <si>
    <t>free divorce consultation houston</t>
  </si>
  <si>
    <t>[40,40,40,40,40,80,60,80,60,100,100,60]</t>
  </si>
  <si>
    <t>hit and run penalties in texas</t>
  </si>
  <si>
    <t>jim brown attorney</t>
  </si>
  <si>
    <t>[78,78,50,64,50,78,100,78,78,78,78,64]</t>
  </si>
  <si>
    <t>Local pack, Sitelinks, Video, Video Carousel, People also ask, Related searches</t>
  </si>
  <si>
    <t>pedestrian accident services</t>
  </si>
  <si>
    <t>[5,82,100,64]</t>
  </si>
  <si>
    <t>best divorce attorney in houston texas</t>
  </si>
  <si>
    <t>[82,82,35,10,23,0,5,12,17,35,2,2]</t>
  </si>
  <si>
    <t>jacqueline scott &amp; associates</t>
  </si>
  <si>
    <t>[54,28,35,15,18,6,15,35,54,23,18,23]</t>
  </si>
  <si>
    <t>Local pack, Image pack, Sitelinks, Video, Video Carousel, Related searches</t>
  </si>
  <si>
    <t>premises liability lawyer houston</t>
  </si>
  <si>
    <t>[11,15,35,23,44,54,66,66,54,81,100,66]</t>
  </si>
  <si>
    <t>can grandparents get custody</t>
  </si>
  <si>
    <t>[34,34,80,100,100,80,65,42,42,42,26,53]</t>
  </si>
  <si>
    <t>what is the consent age in texas</t>
  </si>
  <si>
    <t>[4,8,5,7,8,100,55,34,34,30,5,8]</t>
  </si>
  <si>
    <t>pearland auto accident attorney</t>
  </si>
  <si>
    <t>[0,10,0,100,0,0,0,0,0,0,0,6]</t>
  </si>
  <si>
    <t>texas divorce who gets the house</t>
  </si>
  <si>
    <t>[53,42,42,15,42,100,34,26,53,42,42,34]</t>
  </si>
  <si>
    <t>foot injury claim</t>
  </si>
  <si>
    <t>[0,28,35,64,78,78,100,7,7,0,0,7]</t>
  </si>
  <si>
    <t>Video, Image, Ads bottom, People also ask, Related searches, Discussions and forums, AI overview</t>
  </si>
  <si>
    <t>how to get a custody agreement without going to court</t>
  </si>
  <si>
    <t>[41,41,29,17,17,29,11,29,17,17,11,11]</t>
  </si>
  <si>
    <t>legal separation in the state of texas</t>
  </si>
  <si>
    <t>[13,36,7,7,4,1,10,10,2,30,36,30]</t>
  </si>
  <si>
    <t>kimbrough legal</t>
  </si>
  <si>
    <t>[29,29,36,23,36,36,36,36,44,44,44,44]</t>
  </si>
  <si>
    <t>how much is grand theft</t>
  </si>
  <si>
    <t>[81,81,100,100,81,81,81,66,66,81,81,66]</t>
  </si>
  <si>
    <t>texas slip and fall attorneys</t>
  </si>
  <si>
    <t>[23,5,29,11,11,29,5,5,82,100,64,64]</t>
  </si>
  <si>
    <t>evans family law group austin</t>
  </si>
  <si>
    <t>[42,66,66,66,80,52,100,80,33,52,100,100]</t>
  </si>
  <si>
    <t>shawn c brown san antonio</t>
  </si>
  <si>
    <t>[34,53,53,65,26,42,80,65,65,34,53,19]</t>
  </si>
  <si>
    <t>houston traumatic brain injury lawyers</t>
  </si>
  <si>
    <t>[0,0,0,2,11,2,14,3,7,7,17,1]</t>
  </si>
  <si>
    <t>divorce attorneys in houston</t>
  </si>
  <si>
    <t>[29,81,81,10,10,8,14,10,22,29,22,35]</t>
  </si>
  <si>
    <t>texting driving law texas</t>
  </si>
  <si>
    <t>woodlands child support attorney</t>
  </si>
  <si>
    <t>[20,80,100,100,60,60,80,80,60]</t>
  </si>
  <si>
    <t>Local pack, Sitelinks, Featured snippet, Image, Related searches</t>
  </si>
  <si>
    <t>how to get license back after refusing breathalyzer</t>
  </si>
  <si>
    <t>[9,14,9,9,9,9,9,52,9,14,52,14]</t>
  </si>
  <si>
    <t>cps lawyers in texas</t>
  </si>
  <si>
    <t>[18,18,18,100,100,100,18,100,100,100,63,100]</t>
  </si>
  <si>
    <t>bail reduction letter</t>
  </si>
  <si>
    <t>[63,81,45,45,45,63,63,63,36,18,18,18]</t>
  </si>
  <si>
    <t>Image pack, Sitelinks, Featured snippet, People also ask, Related searches</t>
  </si>
  <si>
    <t>temporary custody for grandparents</t>
  </si>
  <si>
    <t>[64,100,17,23,23,17,23,11,17,29,17,17]</t>
  </si>
  <si>
    <t>spousal support and alimony</t>
  </si>
  <si>
    <t>[8,4,2,3,0,0,2,79,100,3,1,3]</t>
  </si>
  <si>
    <t>pedestrian accident attorney houston</t>
  </si>
  <si>
    <t>[35,12,17,35,28,43,35,35,35,100,100,82]</t>
  </si>
  <si>
    <t>virgil brown lawyer</t>
  </si>
  <si>
    <t>[34,21,43,34,53,21,34,53,100,43,34,65]</t>
  </si>
  <si>
    <t>houston sexual assault lawyers</t>
  </si>
  <si>
    <t>[3,11,11,15,26,34,42,100,65,42,42,80]</t>
  </si>
  <si>
    <t>false accusations lawyer</t>
  </si>
  <si>
    <t>[5,1,4,24,4,4,1,100,4,6,81,4]</t>
  </si>
  <si>
    <t>Local pack, Video, Ads bottom, Video Carousel, People also ask, Related searches, AI overview</t>
  </si>
  <si>
    <t>pro bono divorce lawyers houston texas</t>
  </si>
  <si>
    <t>[18,81,63,27,63,81,36,9,36,45,18,36]</t>
  </si>
  <si>
    <t>lawyer for falsely accused</t>
  </si>
  <si>
    <t>[53,53,3,3,21,15,21,3,21,28,6,6]</t>
  </si>
  <si>
    <t>divorce lawyer houston texas</t>
  </si>
  <si>
    <t>[11,42,34,11,15,19,19,26,53,53,42,19]</t>
  </si>
  <si>
    <t>Local pack, Video, Image, Ads bottom, People also ask, Related searches, Discussions and forums</t>
  </si>
  <si>
    <t>family law lawyer houston</t>
  </si>
  <si>
    <t>[44,55,16,55,100,65,65,65,82,65,55,65]</t>
  </si>
  <si>
    <t>refusing blood test dui</t>
  </si>
  <si>
    <t>[77,77,33,0,33,77,77,22,55,22,33,55]</t>
  </si>
  <si>
    <t>how you know your drunk</t>
  </si>
  <si>
    <t>[23,67,19,19,12,15,67,67,19,15,29,67]</t>
  </si>
  <si>
    <t>buzbee law</t>
  </si>
  <si>
    <t>[0,0,100,0,0,7,0,0,0,20,2,0]</t>
  </si>
  <si>
    <t>Knowledge panel, Top stories, Sitelinks, Video, People also ask, Related searches</t>
  </si>
  <si>
    <t>hamilton lindley attorney</t>
  </si>
  <si>
    <t>[3,6,6,3,3,6,5,8,6,8,67,100]</t>
  </si>
  <si>
    <t>Video, Image</t>
  </si>
  <si>
    <t>3rd dwi in texas punishment</t>
  </si>
  <si>
    <t>[12,9,6,6,6,6,6,6,9,15,6,12]</t>
  </si>
  <si>
    <t>the woodlands adoption attorneys</t>
  </si>
  <si>
    <t>[0,0,22,55,77,55,77,77,77,77,100,77]</t>
  </si>
  <si>
    <t>divorce attorney texas</t>
  </si>
  <si>
    <t>[15,81,12,66,66,100,54,19,29,19,23,100]</t>
  </si>
  <si>
    <t>christina tillinger attorney</t>
  </si>
  <si>
    <t>[64,64,78,50,78,100,78,64,78,78,64,64]</t>
  </si>
  <si>
    <t>divorce attorneys in houston tx</t>
  </si>
  <si>
    <t>[14,14,8,10,10,8,8,10,14,14,10,14]</t>
  </si>
  <si>
    <t>karnes county attorney</t>
  </si>
  <si>
    <t>[18,18,100,18,18,18,18,18,18,18,27,36]</t>
  </si>
  <si>
    <t>settling auto accident claim without attorney</t>
  </si>
  <si>
    <t>[11,11,11,11,64,11,11,11,11,11,11,11]</t>
  </si>
  <si>
    <t>Sitelinks, Video, Video Carousel, People also ask, Related searches, Discussions and forums</t>
  </si>
  <si>
    <t>low cost divorce attorney houston tx</t>
  </si>
  <si>
    <t>[65,34,28,34,34,21,34,34,43,21,34,43]</t>
  </si>
  <si>
    <t>attorney fort bend county</t>
  </si>
  <si>
    <t>[52,52,52,52,23,52,82,64,82,41,64,82]</t>
  </si>
  <si>
    <t>adoption lawyer the woodlands</t>
  </si>
  <si>
    <t>[14,14,28,64,64,64,64,64,100,100,78,100]</t>
  </si>
  <si>
    <t>houston family law lawyers</t>
  </si>
  <si>
    <t>[11,0,11,23,29,23,29,23,41,41,29,100]</t>
  </si>
  <si>
    <t>thad whisenant attorney</t>
  </si>
  <si>
    <t>Knowledge panel, Sitelinks, Ads top, Related searches</t>
  </si>
  <si>
    <t>false accusation lawyers</t>
  </si>
  <si>
    <t>[27,0,45,9,9,18,100,100,27,18,45,18]</t>
  </si>
  <si>
    <t>adoption attorney the woodlands</t>
  </si>
  <si>
    <t>[0,0,7,3,19,26,19,26,26,34,34,34]</t>
  </si>
  <si>
    <t>difference between sealing and expungement</t>
  </si>
  <si>
    <t>[4,23,100,100,66,80,80,80]</t>
  </si>
  <si>
    <t>divorce lawyers in beaumont texas</t>
  </si>
  <si>
    <t>[12,12,15,12,65,43,15,53,53,15,6,100]</t>
  </si>
  <si>
    <t>attorney quitman tx</t>
  </si>
  <si>
    <t>[11,11,11,11,11,64,11,11,11,11,17,11]</t>
  </si>
  <si>
    <t>houston sex crime lawyer</t>
  </si>
  <si>
    <t>[9,4,4,33,23,23,42,42,42,100,100,66]</t>
  </si>
  <si>
    <t>tracy brown attorney</t>
  </si>
  <si>
    <t>[35,64,64,14,50,78,50,64,64,64,50,64]</t>
  </si>
  <si>
    <t>family law houston tx</t>
  </si>
  <si>
    <t>[42,3,0,34,42,53,53,53,53,100,80,80]</t>
  </si>
  <si>
    <t>product liability texas</t>
  </si>
  <si>
    <t>[18,18,18,18,18,18,100,100,18,18,18,18]</t>
  </si>
  <si>
    <t>Sitelinks, Ads bottom, See results about, AI overview</t>
  </si>
  <si>
    <t>family law attorney in fort bend county</t>
  </si>
  <si>
    <t>[22,33,0,22,44,33,44,77,33,77,33,33]</t>
  </si>
  <si>
    <t>Local pack, Sitelinks, Related searches, Discussions and forums</t>
  </si>
  <si>
    <t>free consultation divorce lawyers in houston tx</t>
  </si>
  <si>
    <t>[54,18,35,28,18,15,23,54,54,23,18,23]</t>
  </si>
  <si>
    <t>brown paula</t>
  </si>
  <si>
    <t>[66,54,66,54,14,54,22,54,43,29,43,54]</t>
  </si>
  <si>
    <t>Image pack, Sitelinks, Video, Image, People also ask, Related searches</t>
  </si>
  <si>
    <t>houston property division lawyer</t>
  </si>
  <si>
    <t>[9,9,9,19,33,42,23,33,33,100,100,66]</t>
  </si>
  <si>
    <t>houston aggravated sexual assault of a child investigation</t>
  </si>
  <si>
    <t>[1,1,3,5,8,5,100,11,11]</t>
  </si>
  <si>
    <t>brent caldwell attorney</t>
  </si>
  <si>
    <t>[19,19,26,26,26,26,26,26,26,34,34,42]</t>
  </si>
  <si>
    <t>sex offenders in harris county texas</t>
  </si>
  <si>
    <t>[78,64,78,28,64,100,100,64,50,78,100,64]</t>
  </si>
  <si>
    <t>robles family law</t>
  </si>
  <si>
    <t>[80,33,33,100,23,42,42,33,33,33,42,52]</t>
  </si>
  <si>
    <t>rob brown and associates</t>
  </si>
  <si>
    <t>[18,63,63,63,18,100,18,18,18,18,18,18]</t>
  </si>
  <si>
    <t>abogado gratis en houston</t>
  </si>
  <si>
    <t>[5,5,5,11,23,29,29,17,52,64,17,17]</t>
  </si>
  <si>
    <t>Local pack, Sitelinks, Video, People also ask, FAQ, Related searches</t>
  </si>
  <si>
    <t>texas drug possession attorneys</t>
  </si>
  <si>
    <t>[11,41,52,100,100]</t>
  </si>
  <si>
    <t>Local pack, Sitelinks, Image, Related searches, AI overview</t>
  </si>
  <si>
    <t>no insurance ticket in texas</t>
  </si>
  <si>
    <t>[54,100,54,54,54,54,54,36,66,54,44,54]</t>
  </si>
  <si>
    <t>scott allan brown</t>
  </si>
  <si>
    <t>[1,30,8,4,0,0,8,0,0,0,1,5]</t>
  </si>
  <si>
    <t>drug possession lawyers texas</t>
  </si>
  <si>
    <t>[11,41,52,82,100]</t>
  </si>
  <si>
    <t>child support lawyer in houston</t>
  </si>
  <si>
    <t>[0,0,44,55,77,77,55,55,77,100,77,100]</t>
  </si>
  <si>
    <t>do i qualify for spousal support</t>
  </si>
  <si>
    <t>[18,100,100,18,18,18,18,18,18,18,18,18]</t>
  </si>
  <si>
    <t>can i get alimony</t>
  </si>
  <si>
    <t>[80,80,80,66,80,80,66,100,100,100,100,80]</t>
  </si>
  <si>
    <t>how does bankruptcy affect child support</t>
  </si>
  <si>
    <t>[44,55,44,55,55,44,22,100,44,77,77,77]</t>
  </si>
  <si>
    <t>legal definition of cohabitation</t>
  </si>
  <si>
    <t>[55,44,44,55,77,77,100,77,55,77,33,55]</t>
  </si>
  <si>
    <t>military divorce lawyer the woodlands</t>
  </si>
  <si>
    <t>[11,55,55,55,55,55,77,100,33]</t>
  </si>
  <si>
    <t>Local pack, Sitelinks, Discussions and forums, AI overview</t>
  </si>
  <si>
    <t>texas child support lawyers</t>
  </si>
  <si>
    <t>[9,4,4,33,52,42,42,42,42,66,66,52]</t>
  </si>
  <si>
    <t>age for riding a motorbike</t>
  </si>
  <si>
    <t>[50,35,50,50,50,50,64,100,64,50,64,50]</t>
  </si>
  <si>
    <t>sean brown attorney</t>
  </si>
  <si>
    <t>[28,50,78,100,50,50,50,64,50,64,78,64]</t>
  </si>
  <si>
    <t>chester gonzalez attorney</t>
  </si>
  <si>
    <t>[23,42,52,52,33,42,42,23,33,42,33,23]</t>
  </si>
  <si>
    <t>Knowledge panel, Image pack, People also ask</t>
  </si>
  <si>
    <t>spousal abuse is an example of a</t>
  </si>
  <si>
    <t>[42,42,23,66,52,52,33,33,23,14,23,33]</t>
  </si>
  <si>
    <t>texas separation</t>
  </si>
  <si>
    <t>[1,0,1,0,0,0,0,0,0,0,0,1]</t>
  </si>
  <si>
    <t>Knowledge panel, Sitelinks, Video, Video Carousel, People also ask, Related searches, Short videos</t>
  </si>
  <si>
    <t>emergency modification of custody texas</t>
  </si>
  <si>
    <t>[42,42,26,15,15,11,15,19,26,19,26,15]</t>
  </si>
  <si>
    <t>prenup lawyer the woodlands</t>
  </si>
  <si>
    <t>dui no breathalyzer or blood test</t>
  </si>
  <si>
    <t>[100,18,18,18,18,18,18,18,18,18,27,18]</t>
  </si>
  <si>
    <t>what is a class b misdemeanor texas</t>
  </si>
  <si>
    <t>[35,44,54,35,54,44,54,44,44,35,44,28]</t>
  </si>
  <si>
    <t>houston white collar crimes attorney</t>
  </si>
  <si>
    <t>[64,64,64,64,52,41,41,52,82,82,100,64]</t>
  </si>
  <si>
    <t>silencers legal states</t>
  </si>
  <si>
    <t>[28,34,28,53,53,34,21,21,21,34,21,43]</t>
  </si>
  <si>
    <t>child neck injury when to see a doctor</t>
  </si>
  <si>
    <t>[63,45,36,27,45,36,36,36,45,27,27,27]</t>
  </si>
  <si>
    <t>texas sex crime attorneys</t>
  </si>
  <si>
    <t>[18,63,81,81,100]</t>
  </si>
  <si>
    <t>pasadena child support lawyer</t>
  </si>
  <si>
    <t>[5,5,11,17,23,23,29,29,100,82,64,64]</t>
  </si>
  <si>
    <t>injury lawyer pearland</t>
  </si>
  <si>
    <t>[15,21,43,81,100,81,65,43,43,34,34,43]</t>
  </si>
  <si>
    <t>first time offenders program</t>
  </si>
  <si>
    <t>[19,100,11,34,19,34,65,7,80,3,7,19]</t>
  </si>
  <si>
    <t>houston sexual performance by a child attorney</t>
  </si>
  <si>
    <t>[0,0,3,3,7,15,26,15,100,34,26,34]</t>
  </si>
  <si>
    <t>divorce lawyers in houston tx</t>
  </si>
  <si>
    <t>[15,34,53,19,26,26,34,42,100,80,53,26]</t>
  </si>
  <si>
    <t>domestic violence attorney houston</t>
  </si>
  <si>
    <t>[9,3,28,28,28,34,34,43,100,81,65,43]</t>
  </si>
  <si>
    <t>is uninsured motorist coverage required in texas</t>
  </si>
  <si>
    <t>[52,52,100,52,80,80,80,42,52,66,66,66]</t>
  </si>
  <si>
    <t>lawyer for cohabitation agreement</t>
  </si>
  <si>
    <t>[18,18,18,18,27,18,18,100,100,100,100,100]</t>
  </si>
  <si>
    <t>Local pack, Video, Ads bottom, People also ask, Related searches, Discussions and forums</t>
  </si>
  <si>
    <t>pearland injury attorney</t>
  </si>
  <si>
    <t>[0,0,0,5,5,29,64,100,82,82,82,82]</t>
  </si>
  <si>
    <t>motorcycle for 7 year old</t>
  </si>
  <si>
    <t>[5,8,2,8,8,8,2,2,3,0,0,0]</t>
  </si>
  <si>
    <t>Image pack, Sitelinks, Video, Image, Video Carousel, Popular products, Related searches, Discussions and forums</t>
  </si>
  <si>
    <t>personal injury claim car accident</t>
  </si>
  <si>
    <t>[0,29,14,18,43,18,43,18,29,35,43,18]</t>
  </si>
  <si>
    <t>Sitelinks, Video, Ads bottom, Related searches, Discussions and forums</t>
  </si>
  <si>
    <t>forms of domestic violence</t>
  </si>
  <si>
    <t>[30,54,20,54,54,54,36,30,30,20,30,79]</t>
  </si>
  <si>
    <t>Ads top, Ads bottom</t>
  </si>
  <si>
    <t>child porn attorney</t>
  </si>
  <si>
    <t>[3,0,15,19,19,26,26,19,80,100,53,34]</t>
  </si>
  <si>
    <t>does bankruptcy affect child support</t>
  </si>
  <si>
    <t>[100,71,71,71,100,71,28,71,71,71,71,100]</t>
  </si>
  <si>
    <t>texas prenup laws</t>
  </si>
  <si>
    <t>[2,5,5,3,2,4,11,2,2,3,5,2]</t>
  </si>
  <si>
    <t>enos law firm pc</t>
  </si>
  <si>
    <t>[71,71,100,71,100,100,71,28,71,71,71,100]</t>
  </si>
  <si>
    <t>new law in texas 2024</t>
  </si>
  <si>
    <t>[14,39,14,5,2,2,2,2,2,0,2,0]</t>
  </si>
  <si>
    <t>military family lawyer</t>
  </si>
  <si>
    <t>[0,0,9,19,33,42,52,52,33,100,100,33]</t>
  </si>
  <si>
    <t>Local pack, Sitelinks, Video, FAQ, Related searches, AI overview</t>
  </si>
  <si>
    <t>cassandra brown attorney</t>
  </si>
  <si>
    <t>[100,100,18,18,27,18,27,18,18,18,18,18]</t>
  </si>
  <si>
    <t>houston white collar crime lawyer</t>
  </si>
  <si>
    <t>[23,23,23,23,23,19,33,42,42,100,100,66]</t>
  </si>
  <si>
    <t>sexing texas</t>
  </si>
  <si>
    <t>[35,23,5,5,28,5,5,5,43,35,17,35]</t>
  </si>
  <si>
    <t>gary brown attorney</t>
  </si>
  <si>
    <t>[78,100,35,50,35,28,28,21,21,28,35,35]</t>
  </si>
  <si>
    <t>assault peace officer texas</t>
  </si>
  <si>
    <t>[57,42,28,100,100,100,42,71,71,71,71,71]</t>
  </si>
  <si>
    <t>who is eligible for alimony</t>
  </si>
  <si>
    <t>[66,66,80,52,80,66,80,66,52,33,52,66]</t>
  </si>
  <si>
    <t>the woodlands alimony lawyers</t>
  </si>
  <si>
    <t>[0,0,14,100,100,71,100,100,100,100,100,100]</t>
  </si>
  <si>
    <t>separation agreements attorney the woodlands</t>
  </si>
  <si>
    <t>houston felony possession lawyer</t>
  </si>
  <si>
    <t>[7,7,7,7,7,7,7,7,100,26,19,7]</t>
  </si>
  <si>
    <t>hit and run charge in texas</t>
  </si>
  <si>
    <t>[18,18,18,0,36,0,100,27,100,81,81,100]</t>
  </si>
  <si>
    <t>patrick brown attorney</t>
  </si>
  <si>
    <t>[12,12,15,21,21,21,15,12,15,9,6,6]</t>
  </si>
  <si>
    <t>lufkin divorce attorneys</t>
  </si>
  <si>
    <t>[35,35,50,50,28,50,64,100,50,50,64,50]</t>
  </si>
  <si>
    <t>divorce lawyer humble</t>
  </si>
  <si>
    <t>[35,64,64,78,64,100,78,78,35,35,50,50]</t>
  </si>
  <si>
    <t>athens rape victim lawyer</t>
  </si>
  <si>
    <t>[0,0,14,21,28,50,50,35,100,78,35,7]</t>
  </si>
  <si>
    <t>hands-free law texas</t>
  </si>
  <si>
    <t>[0,0,2,12,7,0,0,2,100,17,17,12]</t>
  </si>
  <si>
    <t>child support lawyer katy</t>
  </si>
  <si>
    <t>[14,28,28,21,50,78,78,100]</t>
  </si>
  <si>
    <t>do you lose your license for reckless driving</t>
  </si>
  <si>
    <t>[23,23,33,33,33,33,23,23,33,33,100,66]</t>
  </si>
  <si>
    <t>criminal defense lawyer the woodlands</t>
  </si>
  <si>
    <t>[18,18,18,18,18,100,18,100,63,81,81,81]</t>
  </si>
  <si>
    <t>insurance settlement</t>
  </si>
  <si>
    <t>[66,81,81,66,81,100,81,81,66,66,66,44]</t>
  </si>
  <si>
    <t>jd bucky allshouse</t>
  </si>
  <si>
    <t>[45,27,45,45,45,63,18,63,18,18,18,100]</t>
  </si>
  <si>
    <t>texas hit and run law</t>
  </si>
  <si>
    <t>[35,29,35,54,29,35,43,22,29,43,29,22]</t>
  </si>
  <si>
    <t>brian brown attorney</t>
  </si>
  <si>
    <t>[14,35,66,100,14,10,14,10,14,14,14,10]</t>
  </si>
  <si>
    <t>texas jones act lawyer</t>
  </si>
  <si>
    <t>[14,14,14,35,50,50,35,35,35,100,78,64]</t>
  </si>
  <si>
    <t>Local pack, Video, Ads top, Ads bottom</t>
  </si>
  <si>
    <t>lawyer frankston</t>
  </si>
  <si>
    <t>[57,71,71,71,71,71,71,57,71,0,0,0]</t>
  </si>
  <si>
    <t>defensa criminal</t>
  </si>
  <si>
    <t>[7,10,28,28,28,28,23,28,23,43,43,35]</t>
  </si>
  <si>
    <t>Local pack, Video, Ads bottom, Related searches, AI overview</t>
  </si>
  <si>
    <t>attorney for divorce mcallen</t>
  </si>
  <si>
    <t>[52,33,80,66,52,33,42,100,66,42,33,66]</t>
  </si>
  <si>
    <t>racehorse haynes attorney</t>
  </si>
  <si>
    <t>[80,42,33,66,52,66,66,52,100,100,66,100]</t>
  </si>
  <si>
    <t>what happens when someone violates a restraining order</t>
  </si>
  <si>
    <t>[53,42,53,53,53,42,65,53,53,53,53,42]</t>
  </si>
  <si>
    <t>Ads bottom, Related searches, Discussions and forums, AI overview</t>
  </si>
  <si>
    <t>do pedestrians have the right of way in texas</t>
  </si>
  <si>
    <t>[21,21,21,17,14,21,21,21,17,17,21,21]</t>
  </si>
  <si>
    <t>pom b charge</t>
  </si>
  <si>
    <t>[3,2,2,9,7,7,5,9,3,9,5,7]</t>
  </si>
  <si>
    <t>breathalyzer houston</t>
  </si>
  <si>
    <t>[3,3,3,3,3,3,3,3,0,100,100,81]</t>
  </si>
  <si>
    <t>can i file for spousal support after divorce</t>
  </si>
  <si>
    <t>[14,78,28,28,21,14,28,14,14,14,14,14]</t>
  </si>
  <si>
    <t>texas sexting laws</t>
  </si>
  <si>
    <t>[42,23,19,23,33,33,33,23,52,52,52,42]</t>
  </si>
  <si>
    <t>fathers custody rights texas</t>
  </si>
  <si>
    <t>[18,18,18,18,18,27,27,27,63,63,36,36]</t>
  </si>
  <si>
    <t>states with no alimony</t>
  </si>
  <si>
    <t>[9,12,15,21,12,15,12,9,34,21,12,9]</t>
  </si>
  <si>
    <t>josh brown lawyer</t>
  </si>
  <si>
    <t>[78,100,14,14,14,14,14,14,14,14,14,21]</t>
  </si>
  <si>
    <t>stephen lekas attorney</t>
  </si>
  <si>
    <t>[33,42,33,42,19,42,66,66,42,33,66,80]</t>
  </si>
  <si>
    <t>Knowledge panel, People also ask, Related searches, Short videos</t>
  </si>
  <si>
    <t>domestic violence law firm texas</t>
  </si>
  <si>
    <t>[14,50,64,78,100]</t>
  </si>
  <si>
    <t>carrolton texas juvenile crime attorney</t>
  </si>
  <si>
    <t>[22,44,22,77,77,100,77]</t>
  </si>
  <si>
    <t>domestic violence forms of abuse</t>
  </si>
  <si>
    <t>[26,26,26,26,15,34,42,42,15,26,34,65]</t>
  </si>
  <si>
    <t>mark scott attorney at law fort worth texas</t>
  </si>
  <si>
    <t>[41,52,52,29,64,52,52,82,52,41,82,100]</t>
  </si>
  <si>
    <t>texas crew boat injury attorney</t>
  </si>
  <si>
    <t>[7,28,21,28,28,28,100,78,28,21]</t>
  </si>
  <si>
    <t>Local pack, Sitelinks, Ads bottom, AI overview</t>
  </si>
  <si>
    <t>adoption attorney katy</t>
  </si>
  <si>
    <t>[0,0,9,33,33,33,33,52,66,80,80,100]</t>
  </si>
  <si>
    <t>poss cs pg3</t>
  </si>
  <si>
    <t>[14,19,23,80,52,19,100,9,9,9,52,19]</t>
  </si>
  <si>
    <t>laws for sex offenders in texas</t>
  </si>
  <si>
    <t>[53,34,65,53,80,26,42,80,65,65,42,53]</t>
  </si>
  <si>
    <t>aggravated theft</t>
  </si>
  <si>
    <t>[43,100,43,43,43,43,43,43,53,53,53,53]</t>
  </si>
  <si>
    <t>texas legal age laws</t>
  </si>
  <si>
    <t>[39,21,39,17,32,59,59,59,88,17,59,100]</t>
  </si>
  <si>
    <t>criminal defense attorney the woodlands</t>
  </si>
  <si>
    <t>[18,18,18,18,18,100,100,100,63,81,100,81]</t>
  </si>
  <si>
    <t>is texas a no fault divorce state</t>
  </si>
  <si>
    <t>[81,81,66,81,54,66,66,81,81,100,81,66]</t>
  </si>
  <si>
    <t>what is the penalty for 2nd dwi in texas</t>
  </si>
  <si>
    <t>[11,7,11,15,7,15,15,11,19,26,19,11]</t>
  </si>
  <si>
    <t>is texas a no-fault divorce state</t>
  </si>
  <si>
    <t>[36,63,45,63,45,45,45,27,45,63,100,36]</t>
  </si>
  <si>
    <t>george brown attorney</t>
  </si>
  <si>
    <t>[11,11,11,11,11,11,17,11,11,64,11,23]</t>
  </si>
  <si>
    <t>uscis tsc u.s. citizenship</t>
  </si>
  <si>
    <t>[0,0,100,0,0,0,0,0,0,0,0]</t>
  </si>
  <si>
    <t>tbi lawyer houston</t>
  </si>
  <si>
    <t>[33,0,22,44,44,33,77,77,55,100]</t>
  </si>
  <si>
    <t>texas laws age of consent</t>
  </si>
  <si>
    <t>[6,16,6,4,16,100,0,100,5,0,100,62]</t>
  </si>
  <si>
    <t>father rights in texas</t>
  </si>
  <si>
    <t>[29,52,64,52,64,64,52,64,100,100,82,29]</t>
  </si>
  <si>
    <t>houston paternity attorney</t>
  </si>
  <si>
    <t>[21,14,28,21,35,35,28,28,100,100,78,64]</t>
  </si>
  <si>
    <t>how drunk i am</t>
  </si>
  <si>
    <t>[10,19,12,19,12,12,36,36,0,15,23,0]</t>
  </si>
  <si>
    <t>houston juvenile lawyer</t>
  </si>
  <si>
    <t>[18,18,18,18,18,18,18,100,18,100,100,18]</t>
  </si>
  <si>
    <t>katy asset division lawyer</t>
  </si>
  <si>
    <t>[14,14,14,50,50,50,50,64,100,100,78,100]</t>
  </si>
  <si>
    <t>protective orders in houston tx</t>
  </si>
  <si>
    <t>[22,33,100,55,55,11]</t>
  </si>
  <si>
    <t>can assessor come on my property without permission</t>
  </si>
  <si>
    <t>[43,14,18,29,29,35,35,43,22,29,29,43]</t>
  </si>
  <si>
    <t>uninsured medical expenses</t>
  </si>
  <si>
    <t>[9,9,9,52,9,52,9,9,9,19,19,9]</t>
  </si>
  <si>
    <t>Video, FAQ, Related searches, AI overview</t>
  </si>
  <si>
    <t>https://www.sterlinglawyers.com/illinois/</t>
  </si>
  <si>
    <t>Sterling Lawyers, LLC | Illinois Divorce &amp; Family Law Firm</t>
  </si>
  <si>
    <t>https://www.sterlinglawyers.com/illinois/attorneys/reyna-herrera/reviews/</t>
  </si>
  <si>
    <t>Reviews: Attorney Reyna Herrera | Sterling Lawyers, LLC</t>
  </si>
  <si>
    <t>https://www.sterlinglawyers.com/illinois/attorneys/alexandra-isroff/reviews/</t>
  </si>
  <si>
    <t>Reviews: Attorney Alexandra Isroff | Sterling Lawyers, LLC</t>
  </si>
  <si>
    <t>https://www.sterlinglawyers.com/illinois/attorneys/cynthia-toscano/reviews/</t>
  </si>
  <si>
    <t>Reviews: Attorney Cynthia Toscano | Sterling Lawyers, LLC</t>
  </si>
  <si>
    <t>https://www.sterlinglawyers.com/illinois/locations/st-charles/</t>
  </si>
  <si>
    <t>St. Charles Family Law &amp; Divorce Lawyers | Sterling Lawyers, LLC</t>
  </si>
  <si>
    <t>https://www.sterlinglawyers.com/illinois/attorneys/ryan-shope/reviews/</t>
  </si>
  <si>
    <t>Reviews: Attorney Ryan Shope | Sterling Lawyers, LLC</t>
  </si>
  <si>
    <t>https://www.sterlinglawyers.com/illinois/attorneys/jacqueline-mcclellan/reviews/</t>
  </si>
  <si>
    <t>Reviews: Attorney Jacqueline N. McClellan | Sterling Lawyers, LLC</t>
  </si>
  <si>
    <t>https://www.sterlinglawyers.com/illinois/attorneys/jeff-hughes/reviews/</t>
  </si>
  <si>
    <t>Divorce &amp; Family Law Attorney Reviews - Attorney Jeff Hughes | Sterling Lawyers, LLC</t>
  </si>
  <si>
    <t>https://www.sterlinglawyers.com/about-us/</t>
  </si>
  <si>
    <t>About Us | Sterling Lawyers, LLC</t>
  </si>
  <si>
    <t>https://www.sterlinglawyers.com/illinois/attorneys/reyna-herrera/</t>
  </si>
  <si>
    <t>Divorce &amp; Family Law Attorney Reyna Herrera | Sterling Lawyers, LLC</t>
  </si>
  <si>
    <t>Uncontested Divorce in Illinois | Sterling Lawyers, LLC</t>
  </si>
  <si>
    <t>https://www.sterlinglawyers.com/illinois/attorneys/ryan-shope/</t>
  </si>
  <si>
    <t>Divorce &amp; Family Law Attorney Ryan Shope | Sterling Lawyers, LLC</t>
  </si>
  <si>
    <t>https://www.sterlinglawyers.com/illinois/locations/naperville/</t>
  </si>
  <si>
    <t>Naperville Family Law &amp; Divorce Lawyers | Sterling Lawyers, LLC</t>
  </si>
  <si>
    <t>https://www.sterlinglawyers.com/illinois/attorneys/katie-vandeusen/reviews/</t>
  </si>
  <si>
    <t>Reviews: Attorney Katie VanDeusen | Sterling Lawyers, LLC</t>
  </si>
  <si>
    <t>Illinois Child Custody Laws | Sterling Lawyers, LLC</t>
  </si>
  <si>
    <t>Illinois Guardianship Laws | Sterling Lawyers, LLC</t>
  </si>
  <si>
    <t>https://www.sterlinglawyers.com/reviews/</t>
  </si>
  <si>
    <t>Reviews &amp; Testimonials | Sterling Lawyers, LLC</t>
  </si>
  <si>
    <t>https://www.sterlinglawyers.com/illinois/locations/evanston/</t>
  </si>
  <si>
    <t>Evanston Family Law &amp; Divorce Lawyers | Sterling Lawyers, LLC</t>
  </si>
  <si>
    <t>https://www.sterlinglawyers.com/illinois/attorneys/jacqueline-mcclellan/</t>
  </si>
  <si>
    <t>Divorce &amp; Family Law Attorney Jacqueline N. McClellan | Sterling Lawyers, LLC</t>
  </si>
  <si>
    <t>https://www.sterlinglawyers.com/illinois/blog/protecting-interests-navigating-uncontested-divorce-evanston/</t>
  </si>
  <si>
    <t>Protecting Your Interests Navigating Uncontested Divorce in Evanston | Sterling Lawyers, LLC</t>
  </si>
  <si>
    <t>https://www.sterlinglawyers.com/illinois/attorneys/jeff-hughes/</t>
  </si>
  <si>
    <t>Divorce &amp; Family Law Attorney Jeff Hughes | Sterling Lawyers, LLC</t>
  </si>
  <si>
    <t>https://www.sterlinglawyers.com/illinois/property-division/worksheet/</t>
  </si>
  <si>
    <t>Illinois Property Division Worksheet | Sterling Lawyers, LLC</t>
  </si>
  <si>
    <t>https://www.sterlinglawyers.com/illinois/child-custody/fathers-rights/</t>
  </si>
  <si>
    <t>Father’s Rights in Illinois | Sterling Lawyers, LLC</t>
  </si>
  <si>
    <t>Illinois Locations &amp; Hours | Sterling Lawyers, LLC</t>
  </si>
  <si>
    <t>https://www.sterlinglawyers.com/illinois/attorneys/alexandra-isroff/</t>
  </si>
  <si>
    <t>Divorce &amp; Family Law Attorney Alexandra Isroff | Sterling Lawyers, LLC</t>
  </si>
  <si>
    <t>https://www.sterlinglawyers.com/illinois/locations/plainfield/</t>
  </si>
  <si>
    <t>Plainfield Family Law &amp; Divorce Lawyers | Sterling Lawyers, LLC</t>
  </si>
  <si>
    <t>https://www.sterlinglawyers.com/illinois/attorneys/cynthia-toscano/</t>
  </si>
  <si>
    <t>Cynthia Toscano | Sterling Lawyers, LLC</t>
  </si>
  <si>
    <t>https://www.sterlinglawyers.com/privacy-policy/</t>
  </si>
  <si>
    <t>Privacy Policy | Wisconsin | Sterling Lawyers, LLC</t>
  </si>
  <si>
    <t>https://www.sterlinglawyers.com/illinois/attorneys/lea-diaz/</t>
  </si>
  <si>
    <t>Divorce &amp; Family Law Attorney Lea C. Diaz | Sterling Lawyers, LLC</t>
  </si>
  <si>
    <t>Contested Divorce in Illinois | Sterling Lawyers, LLC</t>
  </si>
  <si>
    <t>https://www.sterlinglawyers.com/illinois/family-law-case-types-cost/</t>
  </si>
  <si>
    <t>Understand Case Types and Cost in Illinois | Sterling Lawyers, LLC</t>
  </si>
  <si>
    <t>https://www.sterlinglawyers.com/illinois/locations/schaumburg/</t>
  </si>
  <si>
    <t>Schaumburg Family Law &amp; Divorce Lawyers | Sterling Lawyers, LLC</t>
  </si>
  <si>
    <t>https://www.sterlinglawyers.com/lp-untying-knots/</t>
  </si>
  <si>
    <t>Before You Untie the Knot - Untying Knots</t>
  </si>
  <si>
    <t>https://www.sterlinglawyers.com/illinois/attorneys/lea-diaz/reviews/</t>
  </si>
  <si>
    <t>Reviews: Attorney Lea C. Diaz | Sterling Lawyers, LLC</t>
  </si>
  <si>
    <t>https://www.sterlinglawyers.com/illinois/blog/</t>
  </si>
  <si>
    <t>Illinois Family Law Blog | Sterling Lawyers, LLC</t>
  </si>
  <si>
    <t>https://www.sterlinglawyers.com/illinois/child-support/calculator/</t>
  </si>
  <si>
    <t>Illinois Child Support Calculator &amp; Worksheets 2026 | Sterling Lawyers, LLC</t>
  </si>
  <si>
    <t>Illinois Divorce Mediation | Sterling Lawyers, LLC</t>
  </si>
  <si>
    <t>Illinois Divorce Laws | Sterling Lawyers, LLC</t>
  </si>
  <si>
    <t>https://www.sterlinglawyers.com/illinois/attorneys/nina-kelly/</t>
  </si>
  <si>
    <t>Divorce &amp; Family Law Attorney Nina Kelly | Sterling Lawyers, LLC</t>
  </si>
  <si>
    <t>Illinois Attorneys &amp; Staff | Sterling Lawyers, LLC</t>
  </si>
  <si>
    <t>Illinois Property Division Laws</t>
  </si>
  <si>
    <t>https://www.sterlinglawyers.com/promise/</t>
  </si>
  <si>
    <t>Our Promise | Wisconsin | Sterling Lawyers, LLC</t>
  </si>
  <si>
    <t>Illinois Alimony Laws | Sterling Lawyers, LLC</t>
  </si>
  <si>
    <t>https://www.sterlinglawyers.com/illinois/reviews/</t>
  </si>
  <si>
    <t>Reviews | Sterling Lawyers, LLC</t>
  </si>
  <si>
    <t>https://www.sterlinglawyers.com/illinois/family-law-process/</t>
  </si>
  <si>
    <t>Illinois Family Law Process Start to Finish | Sterling Lawyers, LLC</t>
  </si>
  <si>
    <t>https://www.sterlinglawyers.com/careers/</t>
  </si>
  <si>
    <t>Careers | Sterling Lawyers, LLC</t>
  </si>
  <si>
    <t>https://www.sterlinglawyers.com/illinois/attorneys/natalie-mccray/</t>
  </si>
  <si>
    <t>https://www.sterlinglawyers.com/illinois/pricing/</t>
  </si>
  <si>
    <t>Family Law Pricing | Sterling Lawyers, LLC</t>
  </si>
  <si>
    <t>https://www.sterlinglawyers.com/illinois/divorce/forms/</t>
  </si>
  <si>
    <t>(Free) Illinois Divorce Forms | Sterling Lawyers, LLC</t>
  </si>
  <si>
    <t>Illinois Child Support Laws | Sterling Lawyers, LLC</t>
  </si>
  <si>
    <t>https://www.sterlinglawyers.com/illinois/attorneys/nina-kelly/reviews/</t>
  </si>
  <si>
    <t>Reviews: Attorney Nina Kelly | Sterling Lawyers, LLC</t>
  </si>
  <si>
    <t>Parental Alienation in Illinois | Sterling Lawyers, LLC</t>
  </si>
  <si>
    <t>https://www.sterlinglawyers.com/illinois/seminar/</t>
  </si>
  <si>
    <t>Divorce Workshops in Illinois | Sterling Lawyers, LLC</t>
  </si>
  <si>
    <t>https://www.sterlinglawyers.com/illinois/locations/arlington-heights/</t>
  </si>
  <si>
    <t>Arlington Heights Family Law &amp; Divorce Lawyers | Sterling Lawyers, LLC</t>
  </si>
  <si>
    <t>https://www.sterlinglawyers.com/illinois/locations/hoffman-estates/</t>
  </si>
  <si>
    <t>Hoffman Estates Family Law &amp; Divorce Lawyers | Sterling Lawyers, LLC</t>
  </si>
  <si>
    <t>https://www.sterlinglawyers.com/illinois/attorneys/katie-vandeusen/</t>
  </si>
  <si>
    <t>Divorce &amp; Family Law Attorney Katie VanDeusen | Sterling Lawyers, LLC</t>
  </si>
  <si>
    <t>https://www.sterlinglawyers.com/scholarship/</t>
  </si>
  <si>
    <t>Student Scholarship | Sterling Lawyers, LLC</t>
  </si>
  <si>
    <t>https://www.sterlinglawyers.com/illinois/divorce/diy/</t>
  </si>
  <si>
    <t>How to Get a Divorce Without a Lawyer in Illinois | Sterling Lawyers, LLC</t>
  </si>
  <si>
    <t>https://www.sterlinglawyers.com/illinois/spousal-support/calculator/</t>
  </si>
  <si>
    <t>2026 Illinois (Maintenance) Alimony Calculator | Sterling Lawyers, LLC</t>
  </si>
  <si>
    <t>Marital Property in Illinois | Sterling Lawyers, LLC</t>
  </si>
  <si>
    <t>https://www.sterlinglawyers.com/illinois/resources/</t>
  </si>
  <si>
    <t>Illinois Family Law Resources | Sterling Lawyers, LLC</t>
  </si>
  <si>
    <t>Illinois Paternity Laws | Sterling Lawyers, LLC</t>
  </si>
  <si>
    <t>Download Free Illinois Parenting Plan Template | Sterling Lawyers, LLC</t>
  </si>
  <si>
    <t>https://www.sterlinglawyers.com/illinois/faq/</t>
  </si>
  <si>
    <t>Illinois Divorce &amp; Family FAQ | Sterling Lawyers, LLC</t>
  </si>
  <si>
    <t>https://www.sterlinglawyers.com/illinois/locations/chicago/</t>
  </si>
  <si>
    <t>Chicago Family Law &amp; Divorce Lawyers | Sterling Lawyers, LLC</t>
  </si>
  <si>
    <t>https://www.sterlinglawyers.com/illinois/child-custody/co-parenting/</t>
  </si>
  <si>
    <t>Co-Parenting in Illinois | Sterling Lawyers, LLC</t>
  </si>
  <si>
    <t>https://www.sterlinglawyers.com/illinois/divorce/how-long-divorce-Illinois/</t>
  </si>
  <si>
    <t>How Long Does a Divorce Take in Illinois? | Sterling Lawyers, LLC</t>
  </si>
  <si>
    <t>https://www.sterlinglawyers.com/illinois/divorce/marriage-license/</t>
  </si>
  <si>
    <t>How Long Does It Take To Get a Marriage License in Illinois? | Sterling Lawyers, LLC</t>
  </si>
  <si>
    <t>https://www.sterlinglawyers.com/illinois/locations/chicago/child-support-lawyers/</t>
  </si>
  <si>
    <t>Chicago Child Support Lawyers | Sterling Lawyers, LLC</t>
  </si>
  <si>
    <t>https://www.sterlinglawyers.com/illinois/locations/chicago/collaborative-divorce-lawyers/</t>
  </si>
  <si>
    <t>Chicago Collaborative Divorce Lawyers | Sterling Lawyers, LLC</t>
  </si>
  <si>
    <t>https://www.sterlinglawyers.com/illinois/locations/chicago/contested-divorce-lawyers/</t>
  </si>
  <si>
    <t>Chicago Contested Divorce Lawyers | Sterling Lawyers, LLC</t>
  </si>
  <si>
    <t>https://www.sterlinglawyers.com/illinois/locations/chicago/uncontested-divorce-lawyers/</t>
  </si>
  <si>
    <t>Chicago Uncontested Divorce Lawyers | Sterling Lawyers, LLC</t>
  </si>
  <si>
    <t>https://www.sterlinglawyers.com/illinois/locations/chicago/property-division-lawyers/</t>
  </si>
  <si>
    <t>Chicago Property Division Lawyers | Sterling Lawyers, LLC</t>
  </si>
  <si>
    <t>https://www.sterlinglawyers.com/illinois/locations/chicago/child-custody-lawyers/</t>
  </si>
  <si>
    <t>Chicago Child Custody Lawyers | Sterling Lawyers, LLC</t>
  </si>
  <si>
    <t>https://www.sterlinglawyers.com/illinois/locations/chicago/paternity-lawyers/</t>
  </si>
  <si>
    <t>Chicago Paternity Lawyers | Sterling Lawyers, LLC</t>
  </si>
  <si>
    <t>https://www.sterlinglawyers.com/illinois/locations/chicago/military-divorce-lawyers/</t>
  </si>
  <si>
    <t>Chicago Military Divorce Lawyers | Sterling Lawyers, LLC</t>
  </si>
  <si>
    <t>https://www.sterlinglawyers.com/illinois/locations/chicago/divorce-mediation-lawyers/</t>
  </si>
  <si>
    <t>Chicago Divorce Mediation Lawyers | Sterling Lawyers, LLC</t>
  </si>
  <si>
    <t>https://www.sterlinglawyers.com/illinois/attorneys/reyna-herrera/reviews/page/4/</t>
  </si>
  <si>
    <t>https://www.sterlinglawyers.com/illinois/attorneys/reyna-herrera/reviews/page/2/</t>
  </si>
  <si>
    <t>https://www.sterlinglawyers.com/illinois/attorneys/reyna-herrera/reviews/page/3/</t>
  </si>
  <si>
    <t>https://www.sterlinglawyers.com/illinois/attorneys/alexandra-isroff/reviews/page/2/</t>
  </si>
  <si>
    <t>https://www.sterlinglawyers.com/illinois/attorneys/alexandra-isroff/reviews/page/43/</t>
  </si>
  <si>
    <t>https://www.sterlinglawyers.com/illinois/attorneys/cynthia-toscano/reviews/page/8/</t>
  </si>
  <si>
    <t>https://www.sterlinglawyers.com/illinois/attorneys/cynthia-toscano/reviews/page/3/</t>
  </si>
  <si>
    <t>https://www.sterlinglawyers.com/illinois/attorneys/cynthia-toscano/reviews/page/2/</t>
  </si>
  <si>
    <t>https://www.sterlinglawyers.com/illinois/locations/aurora/</t>
  </si>
  <si>
    <t>Aurora Family Law &amp; Divorce Lawyers | Sterling Lawyers, LLC</t>
  </si>
  <si>
    <t>https://www.sterlinglawyers.com/illinois/divorce/annulment/</t>
  </si>
  <si>
    <t>How to Get an Annulment in Illinois | Sterling Lawyers, LLC</t>
  </si>
  <si>
    <t>https://www.sterlinglawyers.com/illinois
/reviews/</t>
  </si>
  <si>
    <t>https://www.sterlinglawyers.com/illinois/blog/supporting-fathers-evanston-child-custody-disputes/</t>
  </si>
  <si>
    <t>Supporting Fathers in Evanston Child Custody Disputes | Sterling Lawyers, LLC</t>
  </si>
  <si>
    <t>https://www.sterlinglawyers.com/illinois/divorce/temporary-order/</t>
  </si>
  <si>
    <t>Getting a Temporary Order during an Illinois Divorce | Sterling Lawyers, LLC</t>
  </si>
  <si>
    <t>https://www.sterlinglawyers.com/illinois/divorce/how/</t>
  </si>
  <si>
    <t>Common Law Marriage in Illinois | Sterling Lawyers, LLC</t>
  </si>
  <si>
    <t>https://www.sterlinglawyers.com/illinois/divorce/grounds-for-divorce/</t>
  </si>
  <si>
    <t>Legal Grounds to File for Divorce in Illinois | Sterling Lawyers, LLC</t>
  </si>
  <si>
    <t>https://www.sterlinglawyers.com/illinois/events/</t>
  </si>
  <si>
    <t>Divorce Webinars &amp; Educational Events in Illinois | Sterling Lawyers, LLC</t>
  </si>
  <si>
    <t>https://www.sterlinglawyers.com/illinois/divorce/file-for-divorce/file-cook-county/</t>
  </si>
  <si>
    <t>How to File for Divorce in Illinois | Sterling Lawyers, LLC</t>
  </si>
  <si>
    <t>https://www.sterlinglawyers.com/illinois/divorce/waiting-period/</t>
  </si>
  <si>
    <t>Waiting Period to File for Divorce in Illinois | Sterling Lawyers, LLC</t>
  </si>
  <si>
    <t>https://www.sterlinglawyers.com/illinois/locations/st-charles/divorce-mediation-lawyers/</t>
  </si>
  <si>
    <t>St. Charles Divorce Mediation Lawyers | Sterling Lawyers, LLC</t>
  </si>
  <si>
    <t>Divorce Litigation in Illinois | Sterling Lawyers, LLC</t>
  </si>
  <si>
    <t>https://www.sterlinglawyers.com/illinois/divorce/selecting-attorney/</t>
  </si>
  <si>
    <t>What to Look for When Selecting an Attorney | Sterling Lawyers, LLC</t>
  </si>
  <si>
    <t>https://www.sterlinglawyers.com/illinois/attorneys/ryan-shope/reviews/page/16/</t>
  </si>
  <si>
    <t>https://www.sterlinglawyers.com/illinois/attorneys/ryan-shope/reviews/page/2/</t>
  </si>
  <si>
    <t>https://www.sterlinglawyers.com/illinois/attorneys/ryan-shope/reviews/page/3/</t>
  </si>
  <si>
    <t>https://www.sterlinglawyers.com/illinois/blog/surviving-property-division-storm-evanston-lawyers/</t>
  </si>
  <si>
    <t>Surviving the Property Division Storm with Evanston Lawyers | Sterling Lawyers, LLC</t>
  </si>
  <si>
    <t>https://www.sterlinglawyers.com/illinois/child-custody/50-50-schedules/</t>
  </si>
  <si>
    <t>50/50 Joint Custody in Illinois | Sterling Lawyers, LLC</t>
  </si>
  <si>
    <t>https://www.sterlinglawyers.com/illinois/attorneys/jacqueline-mcclellan/reviews/page/2/</t>
  </si>
  <si>
    <t>https://www.sterlinglawyers.com/illinois/attorneys/jacqueline-mcclellan/reviews/page/3/</t>
  </si>
  <si>
    <t>https://www.sterlinglawyers.com/illinois/child-custody/third-party-visitation/</t>
  </si>
  <si>
    <t>Grandparents Rights in Illinois Explained | Sterling Lawyers, LLC</t>
  </si>
  <si>
    <t>https://www.sterlinglawyers.com/illinois/attorneys/jacqueline-mcclellan/reviews/page/14/</t>
  </si>
  <si>
    <t>https://www.sterlinglawyers.com/illinois/blog/developing-plan-schaumburg-military-divorce/</t>
  </si>
  <si>
    <t>Developing a Plan for a Schaumburg Military Divorce | Sterling Lawyers, LLC</t>
  </si>
  <si>
    <t>https://www.sterlinglawyers.com/illinois/attorneys/jeff-hughes/reviews/page/2/</t>
  </si>
  <si>
    <t>https://www.sterlinglawyers.com/illinois/attorneys/jeff-hughes/reviews/page/3/</t>
  </si>
  <si>
    <t>https://www.sterlinglawyers.com/illinois/attorneys/jeff-hughes/reviews/page/13/</t>
  </si>
  <si>
    <t>https://www.sterlinglawyers.com/child-custody/parenting-plan/</t>
  </si>
  <si>
    <t>Parenting Plan | Sterling Lawyers, LLC</t>
  </si>
  <si>
    <t>https://www.sterlinglawyers.com/attorneys/</t>
  </si>
  <si>
    <t>Attorneys in Illinois &amp; Wisconsin | Sterling Lawyers, LLC</t>
  </si>
  <si>
    <t>https://www.sterlinglawyers.com/wisconsin/attorneys/</t>
  </si>
  <si>
    <t>Wisconsin Family Law &amp; Divorce Lawyers | Sterling Lawyers, LLC</t>
  </si>
  <si>
    <t>https://www.sterlinglawyers.com/faq/</t>
  </si>
  <si>
    <t>Divorce &amp; Family FAQ | Sterling Lawyers, LLC</t>
  </si>
  <si>
    <t>https://www.sterlinglawyers.com/divorce/forms/</t>
  </si>
  <si>
    <t>Divorce Forms | Sterling Lawyers, LLC</t>
  </si>
  <si>
    <t>https://www.sterlinglawyers.com/family-law-case-types-cost/</t>
  </si>
  <si>
    <t>Understand Case Types and Cost | Sterling Lawyers, LLC</t>
  </si>
  <si>
    <t>https://www.sterlinglawyers.com/wisconsin/locations/</t>
  </si>
  <si>
    <t>Wisconsin Locations &amp; Hours | Sterling Lawyers, LLC</t>
  </si>
  <si>
    <t>https://www.sterlinglawyers.com/property-division/</t>
  </si>
  <si>
    <t>Property Division | Sterling Lawyers, LLC</t>
  </si>
  <si>
    <t>https://www.sterlinglawyers.com/family-law-process/</t>
  </si>
  <si>
    <t>Process Start to Finish | Sterling Lawyers, LLC</t>
  </si>
  <si>
    <t>https://www.sterlinglawyers.com/locations/</t>
  </si>
  <si>
    <t>Office Locations in Illinois &amp; Wisconsin | Sterling Lawyers, LLC</t>
  </si>
  <si>
    <t>https://www.sterlinglawyers.com/pricing/</t>
  </si>
  <si>
    <t>https://www.sterlinglawyers.com/child-custody/</t>
  </si>
  <si>
    <t>Child Custody | Sterling Lawyers, LLC</t>
  </si>
  <si>
    <t>https://www.sterlinglawyers.com/effects-parental-separation-divorce-young-children/</t>
  </si>
  <si>
    <t>Effects of parental separation and divorce on very young children</t>
  </si>
  <si>
    <t>https://www.sterlinglawyers.com/child-support/</t>
  </si>
  <si>
    <t>Child Support | Sterling Lawyers, LLC</t>
  </si>
  <si>
    <t>https://www.sterlinglawyers.com/child-support/calculator/</t>
  </si>
  <si>
    <t>Child Support Calculator | Sterling Lawyers, LLC</t>
  </si>
  <si>
    <t>https://www.sterlinglawyers.com/divorce/selecting-attorney/</t>
  </si>
  <si>
    <t>https://www.sterlinglawyers.com/spousal-support/calculator/</t>
  </si>
  <si>
    <t>Alimony Calculator | Sterling Lawyers, LLC</t>
  </si>
  <si>
    <t>https://www.sterlinglawyers.com/spousal-support/</t>
  </si>
  <si>
    <t>Alimony | Sterling Lawyers, LLC</t>
  </si>
  <si>
    <t>https://www.sterlinglawyers.com/wisconsin/locations/madison/</t>
  </si>
  <si>
    <t>Madison Family Law &amp; Divorce Lawyers | Sterling Lawyers, LLC</t>
  </si>
  <si>
    <t>https://www.sterlinglawyers.com/divorce/common-law-marriage-states/</t>
  </si>
  <si>
    <t>Which States Recognize Common Law Marriage? | Sterling Lawyers</t>
  </si>
  <si>
    <t>https://www.sterlinglawyers.com/wisconsin/locations/appleton/</t>
  </si>
  <si>
    <t>Appleton Family Law &amp; Divorce Lawyers | Sterling Lawyers, LLC</t>
  </si>
  <si>
    <t>https://www.sterlinglawyers.com/wisconsin/locations/milwaukee/</t>
  </si>
  <si>
    <t>Milwaukee Family Law &amp; Divorce Lawyers | Sterling Lawyers, LLC</t>
  </si>
  <si>
    <t>https://www.sterlinglawyers.com/illinois/attorneys/alexandra-isroff/reviews/page/3/</t>
  </si>
  <si>
    <t>https://www.sterlinglawyers.com/wisconsin/reviews/</t>
  </si>
  <si>
    <t>Reviews | Wisconsin | Sterling Lawyers, LLC</t>
  </si>
  <si>
    <t>https://www.sterlinglawyers.com/</t>
  </si>
  <si>
    <t>Sterling Lawyers, LLC | Divorce &amp; Family Law Firm</t>
  </si>
  <si>
    <t>https://www.sterlinglawyers.com/divorce/</t>
  </si>
  <si>
    <t>Divorce | Sterling Lawyers, LLC</t>
  </si>
  <si>
    <t>https://www.sterlinglawyers.com/property-division/worksheet/</t>
  </si>
  <si>
    <t>Property Division Worksheet | Sterling Lawyers, LLC</t>
  </si>
  <si>
    <t>https://www.sterlinglawyers.com/divorce/what-is-divorce-mediation/</t>
  </si>
  <si>
    <t>What Is Divorce Mediation? | Sterling Lawyers, LLC</t>
  </si>
  <si>
    <t>https://www.sterlinglawyers.com/events/</t>
  </si>
  <si>
    <t>Divorce Webinars &amp; Educational Events | Sterling Lawyers, LLC</t>
  </si>
  <si>
    <t>https://www.sterlinglawyers.com/illinois/divorce/how-long-divorce-illinois/</t>
  </si>
  <si>
    <t>https://www.sterlinglawyers.com/illinois/property-division/splitting-assets-divorce/</t>
  </si>
  <si>
    <t>Splitting Assets in Divorce in Illinois | Sterling Lawyers, LLC</t>
  </si>
  <si>
    <t>https://www.sterlinglawyers.com/illinois/divorce/file-for-divorce/</t>
  </si>
  <si>
    <t>https://www.sterlinglawyers.com/illinois/divorce/adultery-laws/</t>
  </si>
  <si>
    <t>Is Adultery Illegal in Illinois? | Sterling Lawyers, LLC</t>
  </si>
  <si>
    <t>https://www.sterlinglawyers.com/illinois/blog/turning-tides-child-custody-battles-hoffman-estates-attorney/</t>
  </si>
  <si>
    <t>Turning Tides in Child Custody Battles with Hoffman Estates Attorney | Sterling Lawyers, LLC</t>
  </si>
  <si>
    <t>https://www.sterlinglawyers.com/cdn-cgi/l/email-protection</t>
  </si>
  <si>
    <t>Blocked by robots.txt</t>
  </si>
  <si>
    <t>https://www.sterlinglawyers.com/illinois/locations/naperville/collaborative-divorce-lawyers/</t>
  </si>
  <si>
    <t>Naperville Collaborative Divorce Lawyers | Sterling Lawyers, LLC</t>
  </si>
  <si>
    <t>https://www.sterlinglawyers.com/illinois/locations/naperville/alimony-lawyers/</t>
  </si>
  <si>
    <t>Naperville Spousal Support Lawyers | Sterling Lawyers, LLC</t>
  </si>
  <si>
    <t>https://www.sterlinglawyers.com/illinois/locations/naperville/contested-divorce-lawyers/</t>
  </si>
  <si>
    <t>Naperville Contested Divorce Lawyers | Sterling Lawyers, LLC</t>
  </si>
  <si>
    <t>https://www.sterlinglawyers.com/illinois/locations/naperville/property-division-lawyers/</t>
  </si>
  <si>
    <t>Naperville Property Division Lawyers | Sterling Lawyers, LLC</t>
  </si>
  <si>
    <t>https://www.sterlinglawyers.com/illinois/divorce/cost/</t>
  </si>
  <si>
    <t>The Cost of Divorce in Illinois Explained | Sterling Lawyers, LLC</t>
  </si>
  <si>
    <t>https://www.sterlinglawyers.com/illinois/divorce/order-of-protection/</t>
  </si>
  <si>
    <t>Protection Orders during a Divorce in Illinois | Sterling Lawyers, LLC</t>
  </si>
  <si>
    <t>https://www.sterlinglawyers.com/illinois/locations/naperville/child-custody-lawyers/</t>
  </si>
  <si>
    <t>Naperville Child Custody Lawyers | Sterling Lawyers, LLC</t>
  </si>
  <si>
    <t>Illinois Collaborative Divorce | Sterling Lawyers, LLC</t>
  </si>
  <si>
    <t>https://www.sterlinglawyers.com/illinois/locations/naperville/divorce-mediation-lawyers/</t>
  </si>
  <si>
    <t>Naperville Divorce Mediation Lawyers | Sterling Lawyers, LLC</t>
  </si>
  <si>
    <t>https://www.sterlinglawyers.com/illinois/locations/naperville/child-support-lawyers/</t>
  </si>
  <si>
    <t>Naperville Child Support Lawyers | Sterling Lawyers, LLC</t>
  </si>
  <si>
    <t>https://www.sterlinglawyers.com/illinois/locations/naperville/military-divorce-lawyers/</t>
  </si>
  <si>
    <t>Naperville Military Divorce Lawyers | Sterling Lawyers, LLC</t>
  </si>
  <si>
    <t>https://www.sterlinglawyers.com/illinois/locations/naperville/paternity-lawyers/</t>
  </si>
  <si>
    <t>Naperville Paternity Lawyers | Sterling Lawyers, LLC</t>
  </si>
  <si>
    <t>https://www.sterlinglawyers.com/illinois/locations/naperville/uncontested-divorce-lawyers/</t>
  </si>
  <si>
    <t>Naperville Uncontested Divorce Lawyers | Sterling Lawyers, LLC</t>
  </si>
  <si>
    <t>https://www.sterlinglawyers.com/illinois/attorneys/katie-vandeusen/reviews/page/30/</t>
  </si>
  <si>
    <t>https://www.sterlinglawyers.com/illinois/attorneys/katie-vandeusen/reviews/page/3/</t>
  </si>
  <si>
    <t>https://www.sterlinglawyers.com/illinois/attorneys/katie-vandeusen/reviews/page/2/</t>
  </si>
  <si>
    <t>https://www.sterlinglawyers.com/illinois/child-custody/name-change/</t>
  </si>
  <si>
    <t>Can I Change Child's Last Name in Illinois? | Sterling Lawyers, LLC</t>
  </si>
  <si>
    <t>https://www.sterlinglawyers.com/illinois/child-custody/custody-process/</t>
  </si>
  <si>
    <t>10 Steps to a Child Custody Case in Illinois | Sterling Lawyers, LLC</t>
  </si>
  <si>
    <t>https://www.sterlinglawyers.com/illinois/child-custody/guardian-ad-litem/</t>
  </si>
  <si>
    <t>Guardian ad Litems in Illinois | Sterling Lawyers, LLC</t>
  </si>
  <si>
    <t>https://www.sterlinglawyers.com/illinois/child-custody/enforce-orders/</t>
  </si>
  <si>
    <t>Enforce Custody Orders in Illinois | Sterling Lawyers, LLC</t>
  </si>
  <si>
    <t>https://www.sterlinglawyers.com/reviews/page/3/</t>
  </si>
  <si>
    <t>https://www.sterlinglawyers.com/reviews/page/230/</t>
  </si>
  <si>
    <t>https://www.sterlinglawyers.com/illinois/locations/evanston/divorce-mediation-lawyers/</t>
  </si>
  <si>
    <t>Evanston Divorce Mediation Lawyers | Sterling Lawyers, LLC</t>
  </si>
  <si>
    <t>https://www.sterlinglawyers.com/illinois/locations/evanston/collaborative-divorce-lawyers/</t>
  </si>
  <si>
    <t>Evanston Collaborative Divorce Lawyers | Sterling Lawyers, LLC</t>
  </si>
  <si>
    <t>https://www.sterlinglawyers.com/illinois/locations/evanston/contested-divorce-lawyers/</t>
  </si>
  <si>
    <t>Evanston Contested Divorce Lawyers | Sterling Lawyers, LLC</t>
  </si>
  <si>
    <t>https://www.sterlinglawyers.com/illinois/locations/evanston/alimony-lawyers/</t>
  </si>
  <si>
    <t>Evanston Spousal Support Lawyers | Sterling Lawyers, LLC</t>
  </si>
  <si>
    <t>https://www.sterlinglawyers.com/illinois/locations/evanston/child-support-lawyers/</t>
  </si>
  <si>
    <t>Evanston Child Support Lawyers | Sterling Lawyers, LLC</t>
  </si>
  <si>
    <t>https://www.sterlinglawyers.com/illinois/locations/evanston/military-divorce-lawyers/</t>
  </si>
  <si>
    <t>Evanston Military Divorce Lawyers | Sterling Lawyers, LLC</t>
  </si>
  <si>
    <t>https://www.sterlinglawyers.com/illinois/locations/evanston/property-division-lawyers/</t>
  </si>
  <si>
    <t>Evanston Property Division Lawyers | Sterling Lawyers, LLC</t>
  </si>
  <si>
    <t>https://www.sterlinglawyers.com/illinois/locations/evanston/uncontested-divorce-lawyers/</t>
  </si>
  <si>
    <t>Evanston Uncontested Divorce Lawyers | Sterling Lawyers, LLC</t>
  </si>
  <si>
    <t>https://www.sterlinglawyers.com/illinois/locations/evanston/paternity-lawyers/</t>
  </si>
  <si>
    <t>Evanston Paternity Lawyers | Sterling Lawyers, LLC</t>
  </si>
  <si>
    <t>https://www.sterlinglawyers.com/illinois/locations/evanston/child-custody-lawyers/</t>
  </si>
  <si>
    <t>Evanston Child Custody Lawyers | Sterling Lawyers, LLC</t>
  </si>
  <si>
    <t>https://www.sterlinglawyers.com/illinois/blog/take-charge-collaborative-divorce-evanston-lawyers/</t>
  </si>
  <si>
    <t>Take Charge of Your Collaborative Divorce with Evanston Lawyers | Sterling Lawyers, LLC</t>
  </si>
  <si>
    <t>https://www.sterlinglawyers.com/illinois/property-division/gets-marital-house-divorce/</t>
  </si>
  <si>
    <t>How to Divide the Marital Home During a Divorce | Sterling Lawyers, LLC</t>
  </si>
  <si>
    <t>https://www.sterlinglawyers.com/illinois/property-division/retirement/</t>
  </si>
  <si>
    <t>Dividing Retirement Accounts During a Divorce in Illinois | Sterling Lawyers, LLC</t>
  </si>
  <si>
    <t>How to Find Hidden Assets During a Divorce in Illinois | Sterling Lawyers, LLC</t>
  </si>
  <si>
    <t>https://www.sterlinglawyers.com/illinois/property-division/debt/</t>
  </si>
  <si>
    <t>Dividing Debt during Divorce in Illinois | Sterling Lawyers, LLC</t>
  </si>
  <si>
    <t>https://www.sterlinglawyers.com/illinois/property-division/survivorship-marital-property/</t>
  </si>
  <si>
    <t>Illinois Survivorship Property Laws | Sterling Lawyers, LLC</t>
  </si>
  <si>
    <t>https://www.sterlinglawyers.com/illinois/property-division/inheritance/</t>
  </si>
  <si>
    <t>Inheritance and Divorce in Illinois | Sterling Lawyers, LLC</t>
  </si>
  <si>
    <t>https://www.sterlinglawyers.com/illinois/child-custody/sole-orders/</t>
  </si>
  <si>
    <t>Sole Custody in Illinois | Sterling Lawyers, LLC</t>
  </si>
  <si>
    <t>Establishing Paternity in Illinois | Sterling Lawyers, LLC</t>
  </si>
  <si>
    <t>https://www.sterlinglawyers.com/illinois/child-custody/unfit-parent/</t>
  </si>
  <si>
    <t>Unfit Parents in Illinois | Sterling Lawyers, LLC</t>
  </si>
  <si>
    <t>https://www.sterlinglawyers.com/illinois/child-custody/child-best-interests/</t>
  </si>
  <si>
    <t>https://www.sterlinglawyers.com/illinois/child-custody/laws/</t>
  </si>
  <si>
    <t>https://www.sterlinglawyers.com/illinois/areas/</t>
  </si>
  <si>
    <t>Illinois Divorce &amp; Custody Lawyers | Sterling Lawyers, LLC</t>
  </si>
  <si>
    <t>https://www.sterlinglawyers.com/illinois/locations/plainfield/divorce-mediation-lawyers/</t>
  </si>
  <si>
    <t>Plainfield Divorce Mediation Lawyers | Sterling Lawyers, LLC</t>
  </si>
  <si>
    <t>https://www.sterlinglawyers.com/wisconsin/child-custody/</t>
  </si>
  <si>
    <t>Wisconsin Child Custody Laws | Sterling Lawyers, LLC</t>
  </si>
  <si>
    <t>https://www.sterlinglawyers.com/wisconsin/pricing/</t>
  </si>
  <si>
    <t>Wisconsin Fixed-Fee Family Law Pricing | Sterling Lawyers, LLC</t>
  </si>
  <si>
    <t>https://www.sterlinglawyers.com/wisconsin/spousal-support/</t>
  </si>
  <si>
    <t>Wisconsin Alimony Laws | Sterling Lawyers, LLC</t>
  </si>
  <si>
    <t>https://www.sterlinglawyers.com/wisconsin/blog/</t>
  </si>
  <si>
    <t>Wisconsin Family Law Blog | Sterling Lawyers, LLC</t>
  </si>
  <si>
    <t>https://www.sterlinglawyers.com/wisconsin/divorce/</t>
  </si>
  <si>
    <t>Wisconsin Divorce Laws | Sterling Lawyers, LLC</t>
  </si>
  <si>
    <t>https://www.sterlinglawyers.com/wisconsin/locations/mequon/</t>
  </si>
  <si>
    <t>Mequon Family Law &amp; Divorce Lawyers | Sterling Lawyers, LLC</t>
  </si>
  <si>
    <t>https://www.sterlinglawyers.com/wisconsin/locations/sheboygan/</t>
  </si>
  <si>
    <t>Sheboygan Family Law &amp; Divorce Lawyers | Sterling Lawyers, LLC</t>
  </si>
  <si>
    <t>https://www.sterlinglawyers.com/wisconsin/locations/green-bay/</t>
  </si>
  <si>
    <t>Green Bay Family Law &amp; Divorce Lawyers | Sterling Lawyers, LLC</t>
  </si>
  <si>
    <t>https://www.sterlinglawyers.com/wisconsin/locations/west-bend/</t>
  </si>
  <si>
    <t>West Bend Family Law &amp; Divorce Lawyers | Sterling Lawyers, LLC</t>
  </si>
  <si>
    <t>https://www.sterlinglawyers.com/wisconsin/faq/</t>
  </si>
  <si>
    <t>Wisconsin Family Law Questions &amp; Answers | Sterling Lawyers, LLC</t>
  </si>
  <si>
    <t>https://www.sterlinglawyers.com/wisconsin/locations/beaver-dam/</t>
  </si>
  <si>
    <t>Beaver Dam Family Law &amp; Divorce Lawyers | Sterling Lawyers, LLC</t>
  </si>
  <si>
    <t>https://www.sterlinglawyers.com/wisconsin/events/</t>
  </si>
  <si>
    <t>Wisconsin Family Law Webinars &amp; Events | Sterling Lawyers, LLC</t>
  </si>
  <si>
    <t>https://www.sterlinglawyers.com/illinois/attorneys</t>
  </si>
  <si>
    <t>https://www.sterlinglawyers.com/illinois/property-division/how/</t>
  </si>
  <si>
    <t>https://www.sterlinglawyers.com/illinois/locations/schaumburg/paternity-lawyers/</t>
  </si>
  <si>
    <t>Schaumburg Paternity Lawyers | Sterling Lawyers, LLC</t>
  </si>
  <si>
    <t>https://www.sterlinglawyers.com/illinois/blog/prioritizing-children-welfare-custody-battles-schaumburg/</t>
  </si>
  <si>
    <t>Prioritizing Children's Welfare During Legal Custody Battles in Schaumburg | Sterling Lawyers, LLC</t>
  </si>
  <si>
    <t>https://www.sterlinglawyers.com/illinois/locations/schaumburg/divorce-mediation-lawyers/</t>
  </si>
  <si>
    <t>Schaumburg Divorce Mediation Lawyers | Sterling Lawyers, LLC</t>
  </si>
  <si>
    <t>https://www.sterlinglawyers.com/illinois/divorce/common-law-marriage/</t>
  </si>
  <si>
    <t>https://www.sterlinglawyers.com/illinois/locations/schaumburg/uncontested-divorce-lawyers/</t>
  </si>
  <si>
    <t>Schaumburg Uncontested Divorce Lawyers | Sterling Lawyers, LLC</t>
  </si>
  <si>
    <t>https://www.sterlinglawyers.com/illinois/locations/schaumburg/child-custody-lawyers/</t>
  </si>
  <si>
    <t>Schaumburg Child Custody Lawyers | Sterling Lawyers, LLC</t>
  </si>
  <si>
    <t>https://www.sterlinglawyers.com/illinois/locations/schaumburg/collaborative-divorce-lawyers/</t>
  </si>
  <si>
    <t>Schaumburg Collaborative Divorce Lawyers | Sterling Lawyers, LLC</t>
  </si>
  <si>
    <t>https://www.sterlinglawyers.com/illinois/locations/schaumburg/property-division-lawyers/</t>
  </si>
  <si>
    <t>Schaumburg Property Division Lawyers | Sterling Lawyers, LLC</t>
  </si>
  <si>
    <t>https://www.sterlinglawyers.com/illinois/locations/schaumburg/contested-divorce-lawyers/</t>
  </si>
  <si>
    <t>Schaumburg Contested Divorce Lawyers | Sterling Lawyers, LLC</t>
  </si>
  <si>
    <t>https://www.sterlinglawyers.com/illinois/locations/schaumburg/alimony-lawyers/</t>
  </si>
  <si>
    <t>Schaumburg Spousal Support Lawyers | Sterling Lawyers, LLC</t>
  </si>
  <si>
    <t>https://www.sterlinglawyers.com/illinois/locations/schaumburg/military-divorce-lawyers/</t>
  </si>
  <si>
    <t>Schaumburg Military Divorce Lawyers | Sterling Lawyers, LLC</t>
  </si>
  <si>
    <t>https://www.sterlinglawyers.com/illinois/locations/schaumburg/child-support-lawyers/</t>
  </si>
  <si>
    <t>Schaumburg Child Support Lawyers | Sterling Lawyers, LLC</t>
  </si>
  <si>
    <t>https://www.sterlinglawyers.com/wisconsin/attorneys/jeff-hughes/</t>
  </si>
  <si>
    <t>https://www.sterlinglawyers.com/reviews/page/2/</t>
  </si>
  <si>
    <t>https://www.sterlinglawyers.com/lp-untying-knots/login/</t>
  </si>
  <si>
    <t>Login - Untying Knots</t>
  </si>
  <si>
    <t>https://www.sterlinglawyers.com/lp-untying-knots/register/</t>
  </si>
  <si>
    <t>Register - Untying Knots</t>
  </si>
  <si>
    <t>https://www.sterlinglawyers.com/illinois/blog/exploring-role-evanston-attorney-divorce-mediation/</t>
  </si>
  <si>
    <t>Exploring the Role of an Evanston Attorney in Divorce Mediation | Sterling Lawyers, LLC</t>
  </si>
  <si>
    <t>https://www.sterlinglawyers.com/illinois/attorneys/lea-diaz/reviews/page/3/</t>
  </si>
  <si>
    <t>https://www.sterlinglawyers.com/illinois/blog/hoffman-estates-lawyers-making-difference-contested-divorces/</t>
  </si>
  <si>
    <t>Hoffman Estates Lawyers Making a Difference in Contested Divorces | Sterling Lawyers, LLC</t>
  </si>
  <si>
    <t>https://www.sterlinglawyers.com/illinois/blog/unveiling-collaborative-divorce-naperville-mother/</t>
  </si>
  <si>
    <t>Unveiling the Collaborative Divorce Experience Through a Naperville Mother | Sterling Lawyers, LLC</t>
  </si>
  <si>
    <t>https://www.sterlinglawyers.com/illinois/blog/empathetic-counsel-evanston-child-support-matters/</t>
  </si>
  <si>
    <t>Empathetic Counsel for Evanston Child Support Matters | Sterling Lawyers, LLC</t>
  </si>
  <si>
    <t>https://www.sterlinglawyers.com/illinois/blog/why-legal-representation-matters-child-support-cases/</t>
  </si>
  <si>
    <t>Why Legal Representation Matters in Child Support Cases | Sterling Lawyers, LLC</t>
  </si>
  <si>
    <t>https://www.sterlinglawyers.com/illinois/blog/meticulous-approach-to-uncontested-divorce-resolutions/</t>
  </si>
  <si>
    <t>Meticulous Approach to Uncontested Divorce Resolutions | Sterling Lawyers, LLC</t>
  </si>
  <si>
    <t>https://www.sterlinglawyers.com/illinois/blog/unwavering-advocacy-schaumburg-property-division-cases/</t>
  </si>
  <si>
    <t>Unwavering Advocacy in Schaumburg Property Division Cases | Sterling Lawyers, LLC</t>
  </si>
  <si>
    <t>https://www.sterlinglawyers.com/illinois/blog/exploring-advocacy-paternity-laws-arlington-heights-attorney/</t>
  </si>
  <si>
    <t>Exploring Advocacy in Paternity Laws with an Arlington Heights Attorney | Sterling Lawyers, LLC</t>
  </si>
  <si>
    <t>https://www.sterlinglawyers.com/illinois/blog/deftly-steering-naperville-contested-divorce-procedures/</t>
  </si>
  <si>
    <t>Deftly Steering through Naperville Contested Divorce Procedures | Sterling Lawyers, LLC</t>
  </si>
  <si>
    <t>https://www.sterlinglawyers.com/illinois/blog/sterling-lawyers-navigate-child-custody-arlington-heights/</t>
  </si>
  <si>
    <t>Sterling Lawyers Helping Navigate Child Custody Concerns in Arlington Heights | Sterling Lawyers, LLC</t>
  </si>
  <si>
    <t>https://www.sterlinglawyers.com/illinois/blog/securing-future-evanston-spousal-support-disputes/</t>
  </si>
  <si>
    <t>Securing Your Future in Evanston Spousal Support Disputes | Sterling Lawyers, LLC</t>
  </si>
  <si>
    <t>https://www.sterlinglawyers.com/illinois/blog/page/2/?et_blog</t>
  </si>
  <si>
    <t>https://www.sterlinglawyers.com/illinois/blog/preparedness-divorce-mediation-arlington-heights-attorney/</t>
  </si>
  <si>
    <t>Preparedness in Divorce Mediation Outcomes by Arlington Heights Attorney | Sterling Lawyers, LLC</t>
  </si>
  <si>
    <t>https://www.sterlinglawyers.com/illinois/blog/conquering-legal-maze-paternity-hoffman-estates/</t>
  </si>
  <si>
    <t>Conquering the Legal Maze of Paternity in Hoffman Estates | Sterling Lawyers, LLC</t>
  </si>
  <si>
    <t>https://www.sterlinglawyers.com/illinois/blog/crafting-legal-solutions-contested-divorce-schaumburg/</t>
  </si>
  <si>
    <t>Crafting Tailored Legal Solutions for Contested Divorce in Schaumburg | Sterling Lawyers, LLC</t>
  </si>
  <si>
    <t>https://www.sterlinglawyers.com/illinois/blog/empowering-military-divorce-decisions-schaumburg-attorney/</t>
  </si>
  <si>
    <t>Facing Military Divorce Empowering Decisions with a Schaumburg Attorney | Sterling Lawyers, LLC</t>
  </si>
  <si>
    <t>https://www.sterlinglawyers.com/illinois/blog/collaborative-divorce-naperville-smoothing-path/</t>
  </si>
  <si>
    <t>Smoothing the Path of Collaborative Divorce in Naperville | Sterling Lawyers, LLC</t>
  </si>
  <si>
    <t>https://www.sterlinglawyers.com/illinois/blog/steering-course-naperville-attorneys-role-military-divorce/</t>
  </si>
  <si>
    <t>Steering the Course Naperville Attorneys Role in Military Divorce | Sterling Lawyers, LLC</t>
  </si>
  <si>
    <t>https://www.sterlinglawyers.com/illinois/blog/finding-clarity-property-division-hoffman-estates/</t>
  </si>
  <si>
    <t>Finding Clarity in the Chaos of Property Division in Hoffman Estates | Sterling Lawyers, LLC</t>
  </si>
  <si>
    <t>https://www.sterlinglawyers.com/illinois/blog/naperville-attorney-compassion-divorce-mediation/</t>
  </si>
  <si>
    <t>Naperville Attorney Embodying Compassion in Divorce Mediation | Sterling Lawyers, LLC</t>
  </si>
  <si>
    <t>https://www.sterlinglawyers.com/illinois/blog/architecting-legal-triumphs-uncontested-divorce-schaumburg-lawyers/</t>
  </si>
  <si>
    <t>Architecting Legal Triumphs in Uncontested Divorce with Schaumburg Lawyers | Sterling Lawyers, LLC</t>
  </si>
  <si>
    <t>https://www.sterlinglawyers.com/illinois/child-support/end-orders/</t>
  </si>
  <si>
    <t>End Court Ordered Child Support in Illinois | Sterling Lawyers, LLC</t>
  </si>
  <si>
    <t>https://www.sterlinglawyers.com/illinois/attorneys/lea-diaz/reviews/page/2/</t>
  </si>
  <si>
    <t>https://www.sterlinglawyers.com/illinois/attorneys/lea-diaz/reviews/page/22/</t>
  </si>
  <si>
    <t>https://www.sterlinglawyers.com/illinois/child-support/divorce/</t>
  </si>
  <si>
    <t>Child Support and Divorce in Illinois | Sterling Lawyers, LLC</t>
  </si>
  <si>
    <t>Child Support Enforcement in Illinois | Sterling Lawyers, LLC</t>
  </si>
  <si>
    <t>Modify Child Support in Illinois | Sterling Lawyers, LLC</t>
  </si>
  <si>
    <t>https://www.sterlinglawyers.com/illinois/property-division/is-illinois-a-5050-state/</t>
  </si>
  <si>
    <t>https://www.sterlinglawyers.com/illinois/property-division/investments/</t>
  </si>
  <si>
    <t>Dividing Investments During Divorce in Illinois | Sterling Lawyers, LLC</t>
  </si>
  <si>
    <t>https://www.sterlinglawyers.com/child-support-calc/index.php</t>
  </si>
  <si>
    <t>IL Child Support Calculator</t>
  </si>
  <si>
    <t>Legal Separation in Illinois | Sterling Lawyers, LLC</t>
  </si>
  <si>
    <t>https://www.sterlinglawyers.com/illinois/property-division/non-marital-property/</t>
  </si>
  <si>
    <t>Non-Marital Property in Illinois | Sterling Lawyers, LLC</t>
  </si>
  <si>
    <t>Duration of Alimony in Illinois | Sterling Lawyers, LLC</t>
  </si>
  <si>
    <t>https://www.sterlinglawyers.com/illinois/property-division/postnuptial-agreements/</t>
  </si>
  <si>
    <t>How Do Postnuptial Agreements Work in Illinois? | Sterling Lawyers, LLC</t>
  </si>
  <si>
    <t>https://www.sterlinglawyers.com/divorce/what-is-pro-se-divorce/</t>
  </si>
  <si>
    <t>What is Pro Se Divorce | Sterling Lawyers, LLC</t>
  </si>
  <si>
    <t>https://www.sterlinglawyers.com/child-custody/tax-credit/</t>
  </si>
  <si>
    <t>2021 Child Tax Credit | Sterling Lawyers, LLC</t>
  </si>
  <si>
    <t>https://www.sterlinglawyers.com/divorce/reasons-for-divorce/</t>
  </si>
  <si>
    <t>The Top Reasons for Divorce | Sterling Lawyers, LLC</t>
  </si>
  <si>
    <t>https://www.sterlinglawyers.com/child-support/military-child-support/</t>
  </si>
  <si>
    <t>Child Support for Active Military Personnel | Sterling Lawyers, LLC</t>
  </si>
  <si>
    <t>https://www.sterlinglawyers.com/illinois/spousal-support/modify-orders/</t>
  </si>
  <si>
    <t>Modify Illinois Alimony Orders | Sterling Lawyers, LLC</t>
  </si>
  <si>
    <t>https://www.sterlinglawyers.com/illinois/spousal-support/terminate-orders/</t>
  </si>
  <si>
    <t>Terminate Illinois Alimony Orders | Sterling Lawyers, LLC</t>
  </si>
  <si>
    <t>Alimony During Your Divorce in Illinois | Sterling Lawyers, LLC</t>
  </si>
  <si>
    <t>https://www.sterlinglawyers.com/illinois/spousal-support/alimony-taxes/</t>
  </si>
  <si>
    <t>Tax Implications of Alimony Payments in Illinois | Sterling Lawyers, LLC</t>
  </si>
  <si>
    <t>https://www.sterlinglawyers.com/illinois/spousal-support/enforce-orders/</t>
  </si>
  <si>
    <t>Enforce Illinois Alimony Orders | Sterling Lawyers, LLC</t>
  </si>
  <si>
    <t>https://www.sterlinglawyers.com/illinois/spousal-support/types/</t>
  </si>
  <si>
    <t>Types of Orders in Illinois | Sterling Lawyers, LLC</t>
  </si>
  <si>
    <t>https://www.sterlinglawyers.com/illinois/reviews/page/3/</t>
  </si>
  <si>
    <t>https://www.sterlinglawyers.com/illinois/reviews/page/2/</t>
  </si>
  <si>
    <t>https://www.sterlinglawyers.com/illinois/reviews/page/229/</t>
  </si>
  <si>
    <t>https://www.sterlinglawyers.com/illinois/divorce/contested-divorce/</t>
  </si>
  <si>
    <t>https://www.sterlinglawyers.com/Illinois/divorce/collaborative/</t>
  </si>
  <si>
    <t>https://www.sterlinglawyers.com/illinois/attorneys/nina-kelly/reviews/page/2/</t>
  </si>
  <si>
    <t>https://www.sterlinglawyers.com/wisconsin/child-custody/parenting-plan/</t>
  </si>
  <si>
    <t>Wisconsin Parenting Plan Template | Sterling Lawyers, LLC</t>
  </si>
  <si>
    <t>https://www.sterlinglawyers.com/illinois/attorneys/nina-kelly/reviews/page/3/</t>
  </si>
  <si>
    <t>Modify Child Custody in Illinois | Sterling Lawyers, LLC</t>
  </si>
  <si>
    <t>https://www.sterlinglawyers.com/illinois/child-custody/child-chooses-parent/</t>
  </si>
  <si>
    <t>Can a Child Choose Which Parent to Live with in Illinois? | Sterling Lawyers, LLC</t>
  </si>
  <si>
    <t>https://www.sterlinglawyers.com/illinois/locations/arlington-heights/paternity-lawyers/</t>
  </si>
  <si>
    <t>Arlington Heights Paternity Lawyers | Sterling Lawyers, LLC</t>
  </si>
  <si>
    <t>https://www.sterlinglawyers.com/illinois/locations/arlington-heights/military-divorce-lawyers/</t>
  </si>
  <si>
    <t>Arlington Heights Military Divorce Lawyers | Sterling Lawyers, LLC</t>
  </si>
  <si>
    <t>https://www.sterlinglawyers.com/illinois/locations/arlington-heights/child-custody-lawyers/</t>
  </si>
  <si>
    <t>Arlington Heights Child Custody Lawyers | Sterling Lawyers, LLC</t>
  </si>
  <si>
    <t>https://www.sterlinglawyers.com/illinois/locations/arlington-heights/divorce-mediation-lawyers/</t>
  </si>
  <si>
    <t>Arlington Heights Divorce Mediation Lawyers | Sterling Lawyers, LLC</t>
  </si>
  <si>
    <t>https://www.sterlinglawyers.com/illinois/locations/arlington-heights/child-support-lawyers/</t>
  </si>
  <si>
    <t>Arlington Heights Child Support Lawyers | Sterling Lawyers, LLC</t>
  </si>
  <si>
    <t>https://www.sterlinglawyers.com/illinois/locations/arlington-heights/alimony-lawyers/</t>
  </si>
  <si>
    <t>Arlington Heights Spousal Support Lawyers | Sterling Lawyers, LLC</t>
  </si>
  <si>
    <t>https://www.sterlinglawyers.com/illinois/locations/arlington-heights/collaborative-divorce-lawyers/</t>
  </si>
  <si>
    <t>Arlington Heights Collaborative Divorce Lawyers | Sterling Lawyers, LLC</t>
  </si>
  <si>
    <t>https://www.sterlinglawyers.com/illinois/locations/arlington-heights/property-division-lawyers/</t>
  </si>
  <si>
    <t>Arlington Heights Property Division Lawyers | Sterling Lawyers, LLC</t>
  </si>
  <si>
    <t>https://www.sterlinglawyers.com/illinois/locations/arlington-heights/contested-divorce-lawyers/</t>
  </si>
  <si>
    <t>Arlington Heights Contested Divorce Lawyers | Sterling Lawyers, LLC</t>
  </si>
  <si>
    <t>https://www.sterlinglawyers.com/illinois/locations/arlington-heights/uncontested-divorce-lawyers/</t>
  </si>
  <si>
    <t>Arlington Heights Uncontested Divorce Lawyers | Sterling Lawyers, LLC</t>
  </si>
  <si>
    <t>https://www.sterlinglawyers.com/illinois/locations/hoffman-estates/divorce-mediation-lawyers/</t>
  </si>
  <si>
    <t>Hoffman Estates Divorce Mediation Lawyers | Sterling Lawyers, LLC</t>
  </si>
  <si>
    <t>https://www.sterlinglawyers.com/illinois/locations/hoffman-estates/contested-divorce-lawyers/</t>
  </si>
  <si>
    <t>Hoffman Estates Contested Divorce Lawyers | Sterling Lawyers, LLC</t>
  </si>
  <si>
    <t>https://www.sterlinglawyers.com/illinois/locations/hoffman-estates/uncontested-divorce-lawyers/</t>
  </si>
  <si>
    <t>Hoffman Estates Uncontested Divorce Lawyers | Sterling Lawyers, LLC</t>
  </si>
  <si>
    <t>https://www.sterlinglawyers.com/illinois/locations/hoffman-estates/child-support-lawyers/</t>
  </si>
  <si>
    <t>Hoffman Estates Child Support Lawyers | Sterling Lawyers, LLC</t>
  </si>
  <si>
    <t>https://www.sterlinglawyers.com/illinois/locations/hoffman-estates/alimony-lawyers/</t>
  </si>
  <si>
    <t>Hoffman Estates Spousal Support Lawyers | Sterling Lawyers, LLC</t>
  </si>
  <si>
    <t>https://www.sterlinglawyers.com/illinois/locations/hoffman-estates/military-divorce-lawyers/</t>
  </si>
  <si>
    <t>Hoffman Estates Military Divorce Lawyers | Sterling Lawyers, LLC</t>
  </si>
  <si>
    <t>https://www.sterlinglawyers.com/illinois/locations/hoffman-estates/child-custody-lawyers/</t>
  </si>
  <si>
    <t>Hoffman Estates Child Custody Lawyers | Sterling Lawyers, LLC</t>
  </si>
  <si>
    <t>https://www.sterlinglawyers.com/illinois/locations/hoffman-estates/property-division-lawyers/</t>
  </si>
  <si>
    <t>Hoffman Estates Property Division Lawyers | Sterling Lawyers, LLC</t>
  </si>
  <si>
    <t>https://www.sterlinglawyers.com/illinois/locations/hoffman-estates/paternity-lawyers/</t>
  </si>
  <si>
    <t>Hoffman Estates Paternity Lawyers | Sterling Lawyers, LLC</t>
  </si>
  <si>
    <t>https://www.sterlinglawyers.com/illinois/locations/hoffman-estates/collaborative-divorce-lawyers/</t>
  </si>
  <si>
    <t>Hoffman Estates Collaborative Divorce Lawyers | Sterling Lawyers, LLC</t>
  </si>
  <si>
    <t>https://www.sterlinglawyers.com/divorce/what-is-a-joint-petition-for-divorce/</t>
  </si>
  <si>
    <t>What Is A Joint Petition For Divorce? | Sterling Lawyers, LLC</t>
  </si>
  <si>
    <t>https://www.sterlinglawyers.com/wisdom-from-attorney-knighton/important-factors-courts-consider-with-alimony/</t>
  </si>
  <si>
    <t>Important Factors Courts Consider With Alimony | Sterling Lawyers, LLC</t>
  </si>
  <si>
    <t>https://www.sterlinglawyers.com/illinois/property-division/enforcing-orders/</t>
  </si>
  <si>
    <t>Enforcing Property Division Orders in Illinois | Sterling Lawyers, LLC</t>
  </si>
  <si>
    <t>https://www.sterlinglawyers.com/illinois/attorneys/nina-kelly/reviews/page/45/</t>
  </si>
  <si>
    <t>https://www.sterlinglawyers.com/illinois/property-division/prenuptial-agreements/</t>
  </si>
  <si>
    <t>How Do Prenuptial Agreements Work in Illinois? | Sterling Lawyers, LLC</t>
  </si>
  <si>
    <t>https://www.sterlinglawyers.com/wisconsin/property-division/splitting-assets-divorce/</t>
  </si>
  <si>
    <t>Property Division in Divorce in Wisconsin | Sterling Lawyers, LLC</t>
  </si>
  <si>
    <t>https://www.sterlinglawyers.com/illinois/child-custody/third-party-orders/</t>
  </si>
  <si>
    <t>Third Party Custody in Illinois | Sterling Lawyers, LLC</t>
  </si>
  <si>
    <t>https://www.sterlinglawyers.com/illinois/locations/chicago/alimony-lawyers/</t>
  </si>
  <si>
    <t>Chicago Spousal Support Lawyers | Sterling Lawyers, LLC</t>
  </si>
  <si>
    <t>https://www.sterlinglawyers.com/wp-content/uploads/parenting-plan-illinois.pdf</t>
  </si>
  <si>
    <t>Illinois Statewide Form - Approved - Divorce with Children - Parenting Plan 050718</t>
  </si>
  <si>
    <t>https://www.sterlinglawyers.com/illinois/events/evaluating-custody-placement-support/</t>
  </si>
  <si>
    <t>Evaluating Custody, Placement and Support in Illinois | Sterling Lawyers, LLC</t>
  </si>
  <si>
    <t>https://www.sterlinglawyers.com/illinois/events/complete-guide-divorce-process/</t>
  </si>
  <si>
    <t>Complete Guide to the Illinois Divorce Process | Sterling Lawyers, LLC</t>
  </si>
  <si>
    <t>https://www.sterlinglawyers.com/illinois/events/questions-ask-divorce-attorney/</t>
  </si>
  <si>
    <t>Questions to Ask Your Illinois Divorce Attorney | Sterling Lawyers, LLC</t>
  </si>
  <si>
    <t>https://www.sterlinglawyers.com/wisconsin/child-custody/unfit-parent/</t>
  </si>
  <si>
    <t>Unfit Parents in Wisconsin | Sterling Lawyers, LLC</t>
  </si>
  <si>
    <t>https://www.sterlinglawyers.com/wisconsin/divorce/grounds/</t>
  </si>
  <si>
    <t>Grounds For Divorce in Wisconsin | Sterling Lawyers, LLC</t>
  </si>
  <si>
    <t>https://www.sterlinglawyers.com/wisconsin/property-division/marital-property-law/</t>
  </si>
  <si>
    <t>Wisconsin Marital Property Law | Sterling Lawyers, LLC</t>
  </si>
  <si>
    <t>https://www.sterlinglawyers.com/wisconsin/divorce/adultery-laws/</t>
  </si>
  <si>
    <t>How Wisconsin Courts Deal with Adultery | Sterling Lawyers, LLC</t>
  </si>
  <si>
    <t>https://www.sterlinglawyers.com/wisconsin/divorce/residency-requirements/</t>
  </si>
  <si>
    <t>Wisconsin Divorce Residency Requirements | Sterling Lawyers, LLC</t>
  </si>
  <si>
    <t>https://www.sterlinglawyers.com/wisconsin/divorce/marriage-license/</t>
  </si>
  <si>
    <t>Marriage License Application in Wisconsin | Sterling Lawyers, LLC</t>
  </si>
  <si>
    <t>https://www.sterlinglawyers.com/wisconsin/spousal-support/modify-orders/</t>
  </si>
  <si>
    <t>Modify Wisconsin Alimony Orders | Sterling Lawyers, LLC</t>
  </si>
  <si>
    <t>https://www.sterlinglawyers.com/wisconsin/spousal-support/terminate-orders/</t>
  </si>
  <si>
    <t>Wisconsin Spousal Support Termination | Sterling Lawyers, LLC</t>
  </si>
  <si>
    <t>https://www.sterlinglawyers.com/wisconsin/child-custody/paternity/</t>
  </si>
  <si>
    <t>Establishing Paternity in Wisconsin | Sterling Lawyers, LLC</t>
  </si>
  <si>
    <t>https://www.sterlinglawyers.com/wisconsin/divorce/separation/</t>
  </si>
  <si>
    <t>Legal Separation in Wisconsin | Sterling Lawyers, LLC</t>
  </si>
  <si>
    <t>https://www.sterlinglawyers.com/wisconsin/divorce/annulment/</t>
  </si>
  <si>
    <t>How to Get an Annulment in Wisconsin | Sterling Lawyers, LLC</t>
  </si>
  <si>
    <t>https://www.sterlinglawyers.com/wisconsin/child-support/enforcement/</t>
  </si>
  <si>
    <t>Child Support Enforcement Resources | Sterling Lawyers, LLC</t>
  </si>
  <si>
    <t>https://www.sterlinglawyers.com/wisconsin/spousal-support/cheating/</t>
  </si>
  <si>
    <t>Does Adultery Affect Alimony in Wisconsin? | Sterling Lawyers, LLC</t>
  </si>
  <si>
    <t>https://www.sterlinglawyers.com/wisconsin/divorce/remarriage/</t>
  </si>
  <si>
    <t>Remarriage After Divorce in Wisconsin | Sterling Lawyers, LLC</t>
  </si>
  <si>
    <t>https://www.sterlinglawyers.com/wisconsin/divorce/common-law-marriage/</t>
  </si>
  <si>
    <t>Common Law Marriage in Wisconsin | Sterling Lawyers, LLC</t>
  </si>
  <si>
    <t>https://www.sterlinglawyers.com/wisconsin/child-custody/third-party-visitation/</t>
  </si>
  <si>
    <t>Grandparents Visitation Rights in Wisconsin | Sterling Lawyers, LLC</t>
  </si>
  <si>
    <t>https://www.sterlinglawyers.com/wisconsin/spousal-support/length-duration/</t>
  </si>
  <si>
    <t>Length &amp; Duration of Alimony Payments in WI | Sterling Lawyers, LLC</t>
  </si>
  <si>
    <t>https://www.sterlinglawyers.com/wisconsin/child-custody/modify-orders/</t>
  </si>
  <si>
    <t>Modify Child Custody &amp; Placement Orders in Wisconsin | Sterling Lawyers, LLC</t>
  </si>
  <si>
    <t>https://www.sterlinglawyers.com/wisconsin/property-division/home-buying/</t>
  </si>
  <si>
    <t>Buy a House During a Divorce? | Sterling Lawyers, LLC</t>
  </si>
  <si>
    <t>https://www.sterlinglawyers.com/wisconsin/child-custody/50-50-schedules/</t>
  </si>
  <si>
    <t>50/50 Joint Custody Schedules | Sterling Lawyers, LLC</t>
  </si>
  <si>
    <t>https://www.sterlinglawyers.com/wisconsin/divorce/how-long-divorce-wisconsin/</t>
  </si>
  <si>
    <t>How Long Does A Divorce Take In Wisconsin | Sterling Lawyers, LLC</t>
  </si>
  <si>
    <t>https://www.sterlinglawyers.com/wisconsin/child-support/modify-orders/</t>
  </si>
  <si>
    <t>Modify Wisconsin Child Support | Sterling Lawyers, LLC</t>
  </si>
  <si>
    <t>https://www.sterlinglawyers.com/wisconsin/property-division/marital-debt/</t>
  </si>
  <si>
    <t>Marital Debt Division in Wisconsin | Sterling Lawyers, LLC</t>
  </si>
  <si>
    <t>https://www.sterlinglawyers.com/wisconsin/child-support/termination-exceptions/</t>
  </si>
  <si>
    <t>Child Support Timeline in WI | Sterling Lawyers, LLC</t>
  </si>
  <si>
    <t>https://www.sterlinglawyers.com/wisconsin/child-custody/child-chooses-parent/</t>
  </si>
  <si>
    <t>Child's Custody Preference in Wisconsin | Sterling Lawyers, LLC</t>
  </si>
  <si>
    <t>https://www.sterlinglawyers.com/wisconsin/property-division/non-marital-property/</t>
  </si>
  <si>
    <t>What is Non-Marital Property in WI? | Sterling Lawyers, LLC</t>
  </si>
  <si>
    <t>https://www.sterlinglawyers.com/wisconsin/child-custody/name-change/</t>
  </si>
  <si>
    <t>Can I Change My Child's Last Name Without Father's Consent? | Sterling Lawyers, LLC</t>
  </si>
  <si>
    <t>https://www.sterlinglawyers.com/wisconsin/child-custody/interference/</t>
  </si>
  <si>
    <t>Custodial Interference in Wisconsin | Sterling Law Office, S.C.</t>
  </si>
  <si>
    <t>https://www.sterlinglawyers.com/wisconsin/divorce/mediation/</t>
  </si>
  <si>
    <t>Wisconsin Divorce Mediation | Sterling Lawyers</t>
  </si>
  <si>
    <t>https://www.sterlinglawyers.com/wisconsin/divorce/contested-divorce/</t>
  </si>
  <si>
    <t>Contested Divorce in Wisconsin | Sterling Lawyers, LLC</t>
  </si>
  <si>
    <t>https://www.sterlinglawyers.com/wisconsin/child-custody/temporary-custody/</t>
  </si>
  <si>
    <t>Temporary Custody in Wisconsin | Sterling Lawyers, LLC</t>
  </si>
  <si>
    <t>https://www.sterlinglawyers.com/wisconsin/divorce/reversing-divorce/</t>
  </si>
  <si>
    <t>Reversing a Divorce in Wisconsin | Sterling Lawyers, LLC</t>
  </si>
  <si>
    <t>https://www.sterlinglawyers.com/illinois/events/strategically-prepare-for-divorce/</t>
  </si>
  <si>
    <t>How to Strategically Prepare for Divorce in Illinois | Sterling Lawyers, LLC</t>
  </si>
  <si>
    <t>https://www.sterlinglawyers.com/wisconsin/property-division/wedding-rings/</t>
  </si>
  <si>
    <t>Who Gets the Ring in a WI Divorce? | Sterling Lawyers, LLC</t>
  </si>
  <si>
    <t>https://www.sterlinglawyers.com/wisconsin/divorce/get-rid-of-things-that-remind-you-of-your-ex/</t>
  </si>
  <si>
    <t>Get Rid Of Things That Remind You of Your Ex | Sterling Lawyers, LLC</t>
  </si>
  <si>
    <t>https://www.sterlinglawyers.com/wisconsin/areas/</t>
  </si>
  <si>
    <t>Wisconsin Divorce &amp; Custody Lawyers | Sterling Lawyers, LLC</t>
  </si>
  <si>
    <t>https://www.sterlinglawyers.com/wisconsin/divorce/absolute-divorce/</t>
  </si>
  <si>
    <t>What Is Absolute Divorce? | Sterling Lawyers, LLC</t>
  </si>
  <si>
    <t>https://www.sterlinglawyers.com/wisconsin/blog/aiding-child-support-cases-skilled-legal-professionals/</t>
  </si>
  <si>
    <t>Aiding Child Support Cases with Skilled Legal Professionals | Sterling Lawyers, LLC</t>
  </si>
  <si>
    <t>https://www.sterlinglawyers.com/wisconsin/divorce/sex-after-separation/</t>
  </si>
  <si>
    <t>Sex After Separation | Sterling Lawyers, LLC</t>
  </si>
  <si>
    <t>https://www.sterlinglawyers.com/wisconsin/divorce/things-to-do-before-a-divorce/</t>
  </si>
  <si>
    <t>5 Things To Do Before a Divorce | Sterling Lawyers, LLC</t>
  </si>
  <si>
    <t>https://www.sterlinglawyers.com/property-division/what-is-marital-property/</t>
  </si>
  <si>
    <t>What Is The Definition of Marital Property? | Sterling Lawyers, LLC</t>
  </si>
  <si>
    <t>https://www.sterlinglawyers.com/child-custody/what-is-sole-custody-of-a-child/</t>
  </si>
  <si>
    <t>What Is Sole Custody Of A Child? | Sterling Lawyers, LLC</t>
  </si>
  <si>
    <t>https://www.sterlinglawyers.com/fixed-fee-vs-hourly-rate/</t>
  </si>
  <si>
    <t>Fixed Fee vs Hourly Rate Attorney | Sterling Lawyers, LLC</t>
  </si>
  <si>
    <t>https://www.sterlinglawyers.com/wisconsin/divorce/divorce-lawyer-consultations-need-know/</t>
  </si>
  <si>
    <t>Divorce Lawyer Consultations - What You Need to Know | Sterling Lawyers, LLC</t>
  </si>
  <si>
    <t>https://www.sterlinglawyers.com/wisconsin/divorce/5-signs-you-need-a-new-divorce-lawyer/</t>
  </si>
  <si>
    <t>5 Signs You Need a New Divorce Lawyer | Sterling Lawyers, LLC</t>
  </si>
  <si>
    <t>https://www.sterlinglawyers.com/illinois/divorce/financing/</t>
  </si>
  <si>
    <t>7 Common Ways to Pay for Divorce | Sterling Lawyers, LLC</t>
  </si>
  <si>
    <t>https://www.sterlinglawyers.com/wisconsin/divorce/when-your-spouse-doesnt-have-a-divorce-lawyer/</t>
  </si>
  <si>
    <t>When Your Spouse Doesn't Have a Divorce Lawyer | Sterling Lawyers, LLC</t>
  </si>
  <si>
    <t>https://www.sterlinglawyers.com/spousal-support/calculator/award-alimony/</t>
  </si>
  <si>
    <t>Why Courts Award Alimony | Sterling Lawyers, LLC</t>
  </si>
  <si>
    <t>https://www.sterlinglawyers.com/wisconsin/locations/madison/alimony-lawyers/</t>
  </si>
  <si>
    <t>Madison Spousal Support Lawyers | Sterling Lawyers, LLC</t>
  </si>
  <si>
    <t>https://www.sterlinglawyers.com/wisconsin/locations/madison/divorce-mediation-lawyers/</t>
  </si>
  <si>
    <t>Madison Divorce Mediation Lawyers | Sterling Lawyers, LLC</t>
  </si>
  <si>
    <t>https://www.sterlinglawyers.com/wisconsin/locations/madison/contested-divorce-lawyers/</t>
  </si>
  <si>
    <t>Madison Contested Divorce Lawyers | Sterling Lawyers, LLC</t>
  </si>
  <si>
    <t>https://www.sterlinglawyers.com/wisconsin/locations/madison/property-division-lawyers/</t>
  </si>
  <si>
    <t>Madison Property Division Lawyers | Sterling Lawyers, LLC</t>
  </si>
  <si>
    <t>https://www.sterlinglawyers.com/wisconsin/locations/madison/military-divorce-lawyers/</t>
  </si>
  <si>
    <t>Madison Military Divorce Lawyers | Sterling Lawyers, LLC</t>
  </si>
  <si>
    <t>https://www.sterlinglawyers.com/wisconsin/locations/madison/collaborative-divorce-lawyers/</t>
  </si>
  <si>
    <t>Madison Collaborative Divorce Lawyers | Sterling Lawyers, LLC</t>
  </si>
  <si>
    <t>https://www.sterlinglawyers.com/illinois/events/divide-money-divorce/</t>
  </si>
  <si>
    <t>How to Divide Money in an Illinois Divorce | Sterling Lawyers, LLC</t>
  </si>
  <si>
    <t>https://www.sterlinglawyers.com/wisconsin/locations/madison/child-support-lawyers/</t>
  </si>
  <si>
    <t>Madison Child Support Lawyers | Sterling Lawyers, LLC</t>
  </si>
  <si>
    <t>https://www.sterlinglawyers.com/wisconsin/divorce/picking-a-divorce-lawyer/</t>
  </si>
  <si>
    <t>How to Choose the Right Divorce Attorney | Sterling Lawyers, LLC</t>
  </si>
  <si>
    <t>https://www.sterlinglawyers.com/wisconsin/locations/madison/paternity-lawyers/</t>
  </si>
  <si>
    <t>Madison Paternity Lawyers | Sterling Lawyers, LLC</t>
  </si>
  <si>
    <t>https://www.sterlinglawyers.com/wisconsin/locations/madison/uncontested-divorce-lawyers/</t>
  </si>
  <si>
    <t>Madison Uncontested Divorce Lawyers | Sterling Lawyers, LLC</t>
  </si>
  <si>
    <t>https://www.sterlinglawyers.com/wisconsin/locations/appleton/contested-divorce-lawyers/</t>
  </si>
  <si>
    <t>Appleton Contested Divorce Lawyers | Sterling Lawyers, LLC</t>
  </si>
  <si>
    <t>https://www.sterlinglawyers.com/wisconsin/locations/appleton/collaborative-divorce-lawyers/</t>
  </si>
  <si>
    <t>Appleton Collaborative Divorce Lawyers | Sterling Lawyers, LLC</t>
  </si>
  <si>
    <t>https://www.sterlinglawyers.com/wisconsin/locations/appleton/divorce-mediation-lawyers/</t>
  </si>
  <si>
    <t>Appleton Divorce Mediation Lawyers | Sterling Lawyers, LLC</t>
  </si>
  <si>
    <t>https://www.sterlinglawyers.com/wisconsin/locations/appleton/uncontested-divorce-lawyers/</t>
  </si>
  <si>
    <t>Appleton Uncontested Divorce Lawyers | Sterling Lawyers, LLC</t>
  </si>
  <si>
    <t>https://www.sterlinglawyers.com/wisconsin/locations/appleton/military-divorce-lawyers/</t>
  </si>
  <si>
    <t>Appleton Military Divorce Lawyers | Sterling Lawyers, LLC</t>
  </si>
  <si>
    <t>https://www.sterlinglawyers.com/wisconsin/locations/appleton/child-custody-lawyers/</t>
  </si>
  <si>
    <t>Appleton Child Custody Lawyers | Sterling Lawyers, LLC</t>
  </si>
  <si>
    <t>https://www.sterlinglawyers.com/wisconsin/locations/appleton/property-division-lawyers/</t>
  </si>
  <si>
    <t>Appleton Property Division Lawyers | Sterling Lawyers, LLC</t>
  </si>
  <si>
    <t>https://www.sterlinglawyers.com/wisconsin/locations/appleton/paternity-lawyers/</t>
  </si>
  <si>
    <t>Appleton Paternity Lawyers | Sterling Lawyers, LLC</t>
  </si>
  <si>
    <t>https://www.sterlinglawyers.com/wisconsin/locations/appleton/alimony-lawyers/</t>
  </si>
  <si>
    <t>Appleton Spousal Support Lawyers | Sterling Lawyers, LLC</t>
  </si>
  <si>
    <t>https://www.sterlinglawyers.com/wisconsin/locations/appleton/child-support-lawyers/</t>
  </si>
  <si>
    <t>Appleton Child Support Lawyers | Sterling Lawyers, LLC</t>
  </si>
  <si>
    <t>https://www.sterlinglawyers.com/wisconsin/locations/milwaukee/divorce-mediation-lawyers/</t>
  </si>
  <si>
    <t>Milwaukee Divorce Mediation Lawyers | Sterling Lawyers, LLC</t>
  </si>
  <si>
    <t>https://www.sterlinglawyers.com/wisconsin/locations/milwaukee/paternity-lawyers/</t>
  </si>
  <si>
    <t>Milwaukee Paternity Lawyers | Sterling Lawyers, LLC</t>
  </si>
  <si>
    <t>https://www.sterlinglawyers.com/wisconsin/locations/milwaukee/uncontested-divorce-lawyers/</t>
  </si>
  <si>
    <t>Milwaukee Uncontested Divorce Lawyers | Sterling Lawyers, LLC</t>
  </si>
  <si>
    <t>https://www.sterlinglawyers.com/wisconsin/locations/milwaukee/contested-divorce-lawyers/</t>
  </si>
  <si>
    <t>Milwaukee Contested Divorce Lawyers | Sterling Lawyers, LLC</t>
  </si>
  <si>
    <t>https://www.sterlinglawyers.com/wisconsin/locations/milwaukee/child-support-lawyers/</t>
  </si>
  <si>
    <t>Milwaukee Child Support Lawyers | Sterling Lawyers, LLC</t>
  </si>
  <si>
    <t>https://www.sterlinglawyers.com/wisconsin/locations/milwaukee/child-custody-lawyers/</t>
  </si>
  <si>
    <t>Milwaukee Child Custody Lawyers | Sterling Lawyers, LLC</t>
  </si>
  <si>
    <t>https://www.sterlinglawyers.com/wisconsin/locations/milwaukee/collaborative-divorce-lawyers/</t>
  </si>
  <si>
    <t>Milwaukee Collaborative Divorce Lawyers | Sterling Lawyers, LLC</t>
  </si>
  <si>
    <t>https://www.sterlinglawyers.com/wisconsin/divorce/still-want-my-ex-back/</t>
  </si>
  <si>
    <t>I Still Want My Ex Back but Why? | Sterling Lawyers, LLC</t>
  </si>
  <si>
    <t>https://www.sterlinglawyers.com/wisconsin/locations/milwaukee/military-divorce-lawyers/</t>
  </si>
  <si>
    <t>Milwaukee Military Divorce Lawyers | Sterling Lawyers, LLC</t>
  </si>
  <si>
    <t>https://www.sterlinglawyers.com/wisconsin/locations/milwaukee/alimony-lawyers/</t>
  </si>
  <si>
    <t>Milwaukee Spousal Support Lawyers | Sterling Lawyers, LLC</t>
  </si>
  <si>
    <t>https://www.sterlinglawyers.com/wisconsin/locations/milwaukee/property-division-lawyers/</t>
  </si>
  <si>
    <t>Milwaukee Property Division Lawyers | Sterling Lawyers, LLC</t>
  </si>
  <si>
    <t>https://www.sterlinglawyers.com/wisconsin/reviews/page/2/</t>
  </si>
  <si>
    <t>https://www.sterlinglawyers.com/wisconsin/reviews/page/3/</t>
  </si>
  <si>
    <t>https://www.sterlinglawyers.com/reviews</t>
  </si>
  <si>
    <t>https://www.sterlinglawyers.com/wisconsin/locations/madison/child-custody-lawyers/</t>
  </si>
  <si>
    <t>Madison Child Custody Lawyers | Sterling Lawyers, LLC</t>
  </si>
  <si>
    <t>https://www.sterlinglawyers.com/resources/</t>
  </si>
  <si>
    <t>Family Law Resources | Sterling Lawyers, LLC</t>
  </si>
  <si>
    <t>https://www.sterlinglawyers.com/wisdom-from-attorney-knighton/complexities-of-house-appraisals-during-divorce/</t>
  </si>
  <si>
    <t>Complexities of House Appraisals During Divorce | Sterling Lawyers, LLC.</t>
  </si>
  <si>
    <t>https://www.sterlinglawyers.com/wisdom-from-attorney-knighton/how-to-strategically-prepare-for-divorce/</t>
  </si>
  <si>
    <t>How to Strategically Prepare for Divorce | Sterling Lawyers, LLC</t>
  </si>
  <si>
    <t>https://www.sterlinglawyers.com/divorce/what-is-a-collaborative-divorce/</t>
  </si>
  <si>
    <t>What Is A Collaborative Divorce? | Sterling Lawyers, LLC</t>
  </si>
  <si>
    <t>https://www.sterlinglawyers.com/illinois/divorce/evicting-spouse/</t>
  </si>
  <si>
    <t>Evicting a Spouse from the Marital Home during an Illinois Divorce | Sterling Lawyers, LLC</t>
  </si>
  <si>
    <t>https://www.sterlinglawyers.com/Illinois/divorce/mediation/</t>
  </si>
  <si>
    <t>https://www.sterlinglawyers.com/illinois/attorneys/katie-vandeusen/reviews/page/</t>
  </si>
  <si>
    <t>https://www.sterlinglawyers.com/illinois/attorneys/katie-vandeusen/reviews/page/29/</t>
  </si>
  <si>
    <t>https://www.sterlinglawyers.com/illinois/attorneys/katie-vandeusen/reviews/page/28/</t>
  </si>
  <si>
    <t>https://www.sterlinglawyers.com/illinois/attorneys/katie-vandeusen/reviews/page/5/</t>
  </si>
  <si>
    <t>https://www.sterlinglawyers.com/illinois/attorneys/katie-vandeusen/reviews/page/4/</t>
  </si>
  <si>
    <t>Temporary Custody in Illinois | Sterling Lawyers, LLC</t>
  </si>
  <si>
    <t>https://www.sterlinglawyers.com/reviews/page/4/</t>
  </si>
  <si>
    <t>https://www.sterlinglawyers.com/reviews/page/229/</t>
  </si>
  <si>
    <t>https://www.sterlinglawyers.com/illinois/attorneys/alexandra-isroff/reviews/page/5/</t>
  </si>
  <si>
    <t>https://www.sterlinglawyers.com/reviews/page/228/</t>
  </si>
  <si>
    <t>https://www.sterlinglawyers.com/reviews/page/5/</t>
  </si>
  <si>
    <t>https://sterlinglawyers.com/illinois/child-custody/</t>
  </si>
  <si>
    <t>https://www.sterlinglawyers.com/wisconsin/child-custody/fathers-rights-wisconsin/</t>
  </si>
  <si>
    <t>Father's Rights in Wisconsin | Sterling Lawyers, LLC</t>
  </si>
  <si>
    <t>https://sterlinglawyers.com/illinois/child-support/</t>
  </si>
  <si>
    <t>https://www.sterlinglawyers.com/placement-schedules</t>
  </si>
  <si>
    <t>https://www.sterlinglawyers.com/illinois/child-custody/co-parenting-with-narcissist/</t>
  </si>
  <si>
    <t>Co-Parenting with a Narcissist in Illinois | Sterling Lawyers, LLC</t>
  </si>
  <si>
    <t>https://www.sterlinglawyers.com/case-law/unfit-parent-custody/</t>
  </si>
  <si>
    <t>How to Prove You Are a Fit Parent in Court | Sterling Lawyers, LLC</t>
  </si>
  <si>
    <t>https://www.sterlinglawyers.com/illinois/areas/kane-county/south-elgin/</t>
  </si>
  <si>
    <t>South Elgin Family Law &amp; Divorce Lawyers | Sterling Lawyers, LLC</t>
  </si>
  <si>
    <t>https://www.sterlinglawyers.com/illinois/areas/kane-county/west-dundee/</t>
  </si>
  <si>
    <t>West Dundee Family Law &amp; Divorce Lawyers | Sterling Lawyers, LLC</t>
  </si>
  <si>
    <t>https://www.sterlinglawyers.com/illinois/areas/dupage-county/roselle/</t>
  </si>
  <si>
    <t>Roselle Family Law &amp; Divorce Lawyers | Sterling Lawyers, LLC</t>
  </si>
  <si>
    <t>https://www.sterlinglawyers.com/illinois/areas/dupage-county/</t>
  </si>
  <si>
    <t>DuPage County Family Law &amp; Divorce Lawyers | Sterling Lawyers, LLC</t>
  </si>
  <si>
    <t>https://www.sterlinglawyers.com/illinois/areas/dupage-county/glen-ellyn/</t>
  </si>
  <si>
    <t>Glen Ellyn Family Law &amp; Divorce Lawyers | Sterling Lawyers, LLC</t>
  </si>
  <si>
    <t>https://www.sterlinglawyers.com/illinois/areas/cook-county/morton-grove/</t>
  </si>
  <si>
    <t>Morton Grove Family Law &amp; Divorce Lawyers | Sterling Lawyers, LLC</t>
  </si>
  <si>
    <t>https://www.sterlinglawyers.com/illinois/areas/kane-county/</t>
  </si>
  <si>
    <t>Kane County Family Law &amp; Divorce Lawyers | Sterling Lawyers, LLC</t>
  </si>
  <si>
    <t>https://www.sterlinglawyers.com/illinois/areas/cook-county/skokie/</t>
  </si>
  <si>
    <t>Skokie Family Law &amp; Divorce Lawyers | Sterling Lawyers, LLC</t>
  </si>
  <si>
    <t>https://www.sterlinglawyers.com/illinois/areas/dupage-county/glendale-heights/</t>
  </si>
  <si>
    <t>Glendale Heights Family Law &amp; Divorce Lawyers | Sterling Lawyers, LLC</t>
  </si>
  <si>
    <t>https://www.sterlinglawyers.com/illinois/areas/dupage-county/bensenville/</t>
  </si>
  <si>
    <t>Bensenville Family Law &amp; Divorce Lawyers | Sterling Lawyers, LLC</t>
  </si>
  <si>
    <t>https://www.sterlinglawyers.com/illinois/areas/lake-county/long-grove/</t>
  </si>
  <si>
    <t>Long Grove Family Law &amp; Divorce Lawyers | Sterling Lawyers, LLC</t>
  </si>
  <si>
    <t>https://www.sterlinglawyers.com/illinois/areas/cook-county/palatine/</t>
  </si>
  <si>
    <t>Palatine Family Law &amp; Divorce Lawyers | Sterling Lawyers, LLC</t>
  </si>
  <si>
    <t>https://www.sterlinglawyers.com/illinois/areas/cook-county/des-plaines/</t>
  </si>
  <si>
    <t>Des Plaines Family Law &amp; Divorce Lawyers | Sterling Lawyers, LLC</t>
  </si>
  <si>
    <t>https://www.sterlinglawyers.com/illinois/areas/cook-county/schiller-park/</t>
  </si>
  <si>
    <t>Schiller Park Family Law &amp; Divorce Lawyers | Sterling Lawyers, LLC</t>
  </si>
  <si>
    <t>https://www.sterlinglawyers.com/illinois/areas/dupage-county/itasca/</t>
  </si>
  <si>
    <t>Itasca Family Law &amp; Divorce Lawyers | Sterling Lawyers, LLC</t>
  </si>
  <si>
    <t>https://www.sterlinglawyers.com/illinois/areas/dupage-county/hanover-park/</t>
  </si>
  <si>
    <t>Hanover Park Family Law &amp; Divorce Lawyers | Sterling Lawyers, LLC</t>
  </si>
  <si>
    <t>https://www.sterlinglawyers.com/illinois/areas/lake-county/highland-park/</t>
  </si>
  <si>
    <t>Highland Park Family Law &amp; Divorce Lawyers | Sterling Lawyers, LLC</t>
  </si>
  <si>
    <t>https://www.sterlinglawyers.com/illinois/areas/cook-county/elk-grove-village/</t>
  </si>
  <si>
    <t>Elk Grove Village Family Law &amp; Divorce Lawyers | Sterling Lawyers, LLC</t>
  </si>
  <si>
    <t>https://www.sterlinglawyers.com/illinois/areas/dupage-county/bloomingdale/</t>
  </si>
  <si>
    <t>Bloomingdale Family Law &amp; Divorce Lawyers | Sterling Lawyers, LLC</t>
  </si>
  <si>
    <t>https://www.sterlinglawyers.com/illinois/areas/cook-county/mount-prospect/</t>
  </si>
  <si>
    <t>Mount Prospect Family Law &amp; Divorce Lawyers | Sterling Lawyers, LLC</t>
  </si>
  <si>
    <t>https://www.sterlinglawyers.com/wisconsin/reviews/page/229/</t>
  </si>
  <si>
    <t>https://www.sterlinglawyers.com/illinois/areas/dupage-county/addison/</t>
  </si>
  <si>
    <t>Addison Family Law &amp; Divorce Lawyers | Sterling Lawyers, LLC</t>
  </si>
  <si>
    <t>https://www.sterlinglawyers.com/illinois/areas/cook-county/buffalo-grove/</t>
  </si>
  <si>
    <t>Buffalo Grove Family Law &amp; Divorce Lawyers | Sterling Lawyers, LLC</t>
  </si>
  <si>
    <t>https://www.sterlinglawyers.com/illinois/areas/dupage-county/wood-dale/</t>
  </si>
  <si>
    <t>Wood Dale Family Law &amp; Divorce Lawyers | Sterling Lawyers, LLC</t>
  </si>
  <si>
    <t>https://www.sterlinglawyers.com/illinois/areas/cook-county/wheeling/</t>
  </si>
  <si>
    <t>Wheeling Family Law &amp; Divorce Lawyers | Sterling Lawyers, LLC</t>
  </si>
  <si>
    <t>https://www.sterlinglawyers.com/illinois/areas/kane-county/carpentersville/</t>
  </si>
  <si>
    <t>Carpentersville Family Law &amp; Divorce Lawyers | Sterling Lawyers, LLC</t>
  </si>
  <si>
    <t>https://www.sterlinglawyers.com/illinois/blog/helping-guide-spousal-support-challenges-naperville/</t>
  </si>
  <si>
    <t>Helping Guide You Through Spousal Support Challenges in Naperville | Sterling Lawyers, LLC</t>
  </si>
  <si>
    <t>https://www.sterlinglawyers.com/illinois/attorneys/alexandra-isroff/reviews/page/4/</t>
  </si>
  <si>
    <t>https://www.sterlinglawyers.com/illinois/attorneys/reyna-herrera/reviews/page/</t>
  </si>
  <si>
    <t>https://www.sterlinglawyers.com/illinois/attorneys/alexandra-isroff/reviews/page/</t>
  </si>
  <si>
    <t>https://www.sterlinglawyers.com/illinois/attorneys/alexandra-isroff/reviews/page/42/</t>
  </si>
  <si>
    <t>https://www.sterlinglawyers.com/illinois/attorneys/alexandra-isroff/reviews/page/41/</t>
  </si>
  <si>
    <t>https://www.sterlinglawyers.com/illinois/attorneys/cynthia-toscano/reviews/page/7/</t>
  </si>
  <si>
    <t>https://www.sterlinglawyers.com/illinois/attorneys/cynthia-toscano/reviews/page/6/</t>
  </si>
  <si>
    <t>https://www.sterlinglawyers.com/illinois/attorneys/cynthia-toscano/reviews/page/4/</t>
  </si>
  <si>
    <t>https://www.sterlinglawyers.com/illinois/attorneys/cynthia-toscano/reviews/page/5/</t>
  </si>
  <si>
    <t>https://www.sterlinglawyers.com/illinois/attorneys/cynthia-toscano/reviews/page/</t>
  </si>
  <si>
    <t>https://www.sterlinglawyers.com/illinois/blog/managing-legal-landscape-hoffman-estates-collaborative-divorce/</t>
  </si>
  <si>
    <t>Managing the Legal Landscape of Hoffman Estates Collaborative Divorce | Sterling Lawyers, LLC</t>
  </si>
  <si>
    <t>https://www.sterlinglawyers.com/wisconsin/divorce/file-for-divorce/</t>
  </si>
  <si>
    <t>How to File for Divorce in Wisconsin | Sterling Lawyers, LLC</t>
  </si>
  <si>
    <t>https://www.sterlinglawyers.com/illinois/blog/prove-deserve-alimony-naperville-spousal-support-lawyers/</t>
  </si>
  <si>
    <t>Proving You Deserve Alimony with Naperville Spousal Support Lawyers | Sterling Lawyers, LLC</t>
  </si>
  <si>
    <t>https://www.sterlinglawyers.com/illinois/attorneys/jessica-naples/</t>
  </si>
  <si>
    <t>https://www.sterlinglawyers.com/Illinois/property-division/gets-marital-house-divorce/</t>
  </si>
  <si>
    <t>https://www.sterlinglawyers.com/Illinois/spousal-support/calculator/</t>
  </si>
  <si>
    <t>https://www.sterlinglawyers.com/Illinois/spousal-support/</t>
  </si>
  <si>
    <t>https://www.sterlinglawyers.com/Illinois/property-division/splitting-assets-divorce/</t>
  </si>
  <si>
    <t>https://www.sterlinglawyers.com/illinois/areas/kane-county/algonquin/</t>
  </si>
  <si>
    <t>Algonquin Family Law &amp; Divorce Lawyers | Sterling Lawyers, LLC</t>
  </si>
  <si>
    <t>https://www.sterlinglawyers.com/illinois/attorneys/alexandra-isroff/reviews/page/44/</t>
  </si>
  <si>
    <t>https://www.sterlinglawyers.com/illinois/areas/cook-county/</t>
  </si>
  <si>
    <t>Cook County Family Law &amp; Divorce Lawyers | Sterling Lawyers, LLC</t>
  </si>
  <si>
    <t>https://www.sterlinglawyers.com/wisconsin/</t>
  </si>
  <si>
    <t>Sterling Lawyers, LLC | Wisconsin Divorce &amp; Family Law Firm</t>
  </si>
  <si>
    <t>https://www.sterlinglawyers.com/illinois/attorneys/ryan-shope/reviews/page/14/</t>
  </si>
  <si>
    <t>https://www.sterlinglawyers.com/illinois/attorneys/ryan-shope/reviews/page/</t>
  </si>
  <si>
    <t>https://www.sterlinglawyers.com/illinois/attorneys/ryan-shope/reviews/page/15/</t>
  </si>
  <si>
    <t>https://www.sterlinglawyers.com/illinois/attorneys/ryan-shope/reviews/page/4/</t>
  </si>
  <si>
    <t>https://www.sterlinglawyers.com/divorce/selecting-attorneys/</t>
  </si>
  <si>
    <t>https://www.sterlinglawyers.com/illinois/locations/st-charles/divorce-mediation-lawyers/divorce-mediation-lawyers/</t>
  </si>
  <si>
    <t>https://www.sterlinglawyers.com/illinois/attorneys/jacqueline-mcclellan/reviews/page/</t>
  </si>
  <si>
    <t>https://www.sterlinglawyers.com/illinois/attorneys/jacqueline-mcclellan/reviews/page/4/</t>
  </si>
  <si>
    <t>https://www.sterlinglawyers.com/illinois/attorneys/ryan-shope/reviews/page/5/</t>
  </si>
  <si>
    <t>Split Custody in Illinois | Sterling Lawyers, LLC</t>
  </si>
  <si>
    <t>https://www.sterlinglawyers.com/illinois/attorneys/jacqueline-mcclellan/reviews/page/13/</t>
  </si>
  <si>
    <t>https://www.sterlinglawyers.com/illinois/attorneys/jacqueline-mcclellan/reviews/page/5/</t>
  </si>
  <si>
    <t>https://www.sterlinglawyers.com/illinois/attorneys/jeff-hughes/reviews/page/4/</t>
  </si>
  <si>
    <t>https://www.sterlinglawyers.com/illinois/attorneys/jeff-hughes/reviews/page/5/</t>
  </si>
  <si>
    <t>https://www.sterlinglawyers.com/illinois/attorneys/jeff-hughes/reviews/page/</t>
  </si>
  <si>
    <t>https://www.sterlinglawyers.com/illinois/attorneys/jeff-hughes/reviews/page/11/</t>
  </si>
  <si>
    <t>https://www.sterlinglawyers.com/wisconsin/attorneys/robert-keenan/</t>
  </si>
  <si>
    <t>Divorce &amp; Family Law Attorney Robert J. Keenan | Sterling Lawyers, LLC</t>
  </si>
  <si>
    <t>https://www.sterlinglawyers.com/illinois/attorneys/jeff-hughes/reviews/page/12/</t>
  </si>
  <si>
    <t>https://www.sterlinglawyers.com/child-custody/what-does-physical-placement-mean/</t>
  </si>
  <si>
    <t>What Does Physical Placement Mean? | Sterling Lawyers, LLC</t>
  </si>
  <si>
    <t>https://www.sterlinglawyers.com/wisconsin/attorneys/holly-mullin/</t>
  </si>
  <si>
    <t>Divorce &amp; Family Law Attorney Holly Mullin | Sterling Lawyers, LLC</t>
  </si>
  <si>
    <t>https://www.sterlinglawyers.com/wisconsin/attorneys/jack-braaten/</t>
  </si>
  <si>
    <t>Divorce &amp; Family Law Attorney Jack Braaten | Sterling Lawyers, LLC</t>
  </si>
  <si>
    <t>https://www.sterlinglawyers.com/wisconsin/attorneys/bailey-holt/</t>
  </si>
  <si>
    <t>Divorce &amp; Family Law Attorney Bailey Holt | Sterling Lawyers, LLC</t>
  </si>
  <si>
    <t>https://www.sterlinglawyers.com/wisconsin/attorneys/jeffrey-morrell/</t>
  </si>
  <si>
    <t>Divorce &amp; Family Law Attorney Jeffrey Morrell | Sterling Lawyers, LLC</t>
  </si>
  <si>
    <t>https://www.sterlinglawyers.com/wisconsin/attorneys/jeff-hughes/reviews/</t>
  </si>
  <si>
    <t>https://www.sterlinglawyers.com/illinois/attorneys/jacqueline-mcclellan/reviews/page/12/</t>
  </si>
  <si>
    <t>https://www.sterlinglawyers.com/wisconsin/attorneys/lindsay-houghton/</t>
  </si>
  <si>
    <t>Divorce &amp; Family Law Attorney Lindsay Houghton | Sterling Lawyers, LLC</t>
  </si>
  <si>
    <t>https://www.sterlinglawyers.com/wisconsin/attorneys/michelle-gordon/</t>
  </si>
  <si>
    <t>Divorce &amp; Family Law Attorney Michelle Gordon | Sterling Lawyers, LLC</t>
  </si>
  <si>
    <t>https://www.sterlinglawyers.com/wisconsin/attorneys/ellen-rhodeman/reviews/</t>
  </si>
  <si>
    <t>Reviews: Attorney Ellen Rhodeman | Sterling Lawyers, LLC</t>
  </si>
  <si>
    <t>https://www.sterlinglawyers.com/wisconsin/attorneys/bailey-holt/reviews/</t>
  </si>
  <si>
    <t>Reviews: Attorney Bailey Holt | Sterling Lawyers, LLC</t>
  </si>
  <si>
    <t>https://www.sterlinglawyers.com/wisconsin/attorneys/austin-miller/reviews/</t>
  </si>
  <si>
    <t>Reviews: Attorney Austin Miller | Sterling Lawyers, LLC</t>
  </si>
  <si>
    <t>https://www.sterlinglawyers.com/wisconsin/attorneys/kathleen-curran/reviews/</t>
  </si>
  <si>
    <t>Reviews: Attorney Kathleen O. Curran | Sterling Lawyers, LLC</t>
  </si>
  <si>
    <t>https://www.sterlinglawyers.com/wisconsin/attorneys/crawford-campbell/reviews/</t>
  </si>
  <si>
    <t>Reviews: Attorney Crawford Campbell | Sterling Lawyers, LLC</t>
  </si>
  <si>
    <t>https://www.sterlinglawyers.com/wisconsin/attorneys/lindsay-houghton/reviews/</t>
  </si>
  <si>
    <t>Reviews: Attorney Lindsay Houghton | Sterling Lawyers, LLC</t>
  </si>
  <si>
    <t>https://www.sterlinglawyers.com/wisconsin/attorneys/andria-adams/reviews/</t>
  </si>
  <si>
    <t>Reviews: Attorney Andria M. Adams | Sterling Lawyers, LLC</t>
  </si>
  <si>
    <t>https://www.sterlinglawyers.com/wisconsin/attorneys/jodi-chung/</t>
  </si>
  <si>
    <t>Divorce &amp; Family Law Attorney Jodi Chung | Sterling Lawyers, LLC</t>
  </si>
  <si>
    <t>https://www.sterlinglawyers.com/wisconsin/attorneys/crawford-campbell/</t>
  </si>
  <si>
    <t>Divorce &amp; Family Law Attorney Crawford Campbell | Sterling Lawyers, LLC</t>
  </si>
  <si>
    <t>https://www.sterlinglawyers.com/wisconsin/attorneys/alison-buzza/reviews/</t>
  </si>
  <si>
    <t>Reviews: Attorney Alison Buzza | Sterling Lawyers, LLC</t>
  </si>
  <si>
    <t>https://www.sterlinglawyers.com/wisconsin/attorneys/andria-adams/</t>
  </si>
  <si>
    <t>Divorce &amp; Family Law Attorney Andria M. Adams | Sterling Lawyers, LLC</t>
  </si>
  <si>
    <t>https://www.sterlinglawyers.com/wisconsin/attorneys/jack-braaten/reviews/</t>
  </si>
  <si>
    <t>Reviews: Attorney Jack Braaten | Sterling Lawyers, LLC</t>
  </si>
  <si>
    <t>https://www.sterlinglawyers.com/wisconsin/attorneys/kathleen-curran/</t>
  </si>
  <si>
    <t>Divorce &amp; Family Law Attorney Kathleen O. Curran | Sterling Lawyers, LLC</t>
  </si>
  <si>
    <t>https://www.sterlinglawyers.com/wisconsin/attorneys/jeffrey-morrell/reviews/</t>
  </si>
  <si>
    <t>Reviews: Attorney Jeffrey Morrell | Sterling Lawyers, LLC</t>
  </si>
  <si>
    <t>https://www.sterlinglawyers.com/wisconsin/attorneys/stella-plekan/reviews/</t>
  </si>
  <si>
    <t>Reviews: Attorney Stella Plekan | Sterling Lawyers, LLC</t>
  </si>
  <si>
    <t>https://www.sterlinglawyers.com/wisconsin/attorneys/ellen-rhodeman/</t>
  </si>
  <si>
    <t>Divorce &amp; Family Law Attorney Ellen Rhodeman | Sterling Lawyers, LLC</t>
  </si>
  <si>
    <t>https://www.sterlinglawyers.com/wisconsin/attorneys/abigail-henderson/reviews/</t>
  </si>
  <si>
    <t>Reviews: Attorney Abigail Henderson | Sterling Lawyers, LLC</t>
  </si>
  <si>
    <t>https://www.sterlinglawyers.com/wisconsin/attorneys/robert-keenan/reviews/</t>
  </si>
  <si>
    <t>Reviews: Attorney Robert J. Keenan | Sterling Lawyers, LLC</t>
  </si>
  <si>
    <t>https://www.sterlinglawyers.com/wisconsin/attorneys/alison-buzza/</t>
  </si>
  <si>
    <t>Divorce &amp; Family Law Attorney Alison Buzza | Sterling Lawyers, LLC</t>
  </si>
  <si>
    <t>https://www.sterlinglawyers.com/wisconsin/attorneys/tiffany-vogel/reviews/</t>
  </si>
  <si>
    <t>Reviews: Attorney Tiffany Vogel | Sterling Lawyers, LLC</t>
  </si>
  <si>
    <t>https://www.sterlinglawyers.com/wisconsin/attorneys/abigail-henderson/</t>
  </si>
  <si>
    <t>Divorce &amp; Family Law Attorney Abigail Henderson | Sterling Lawyers, LLC</t>
  </si>
  <si>
    <t>https://www.sterlinglawyers.com/wisconsin/attorneys/stella-plekan/</t>
  </si>
  <si>
    <t>Divorce &amp; Family Law Attorney Stella Plekan | Sterling Lawyers, LLC</t>
  </si>
  <si>
    <t>https://www.sterlinglawyers.com/wisconsin/attorneys/nikole-messerschmidt/reviews/</t>
  </si>
  <si>
    <t>Reviews: Attorney Nikole Messerschmidt | Sterling Lawyers, LLC</t>
  </si>
  <si>
    <t>https://www.sterlinglawyers.com/wisconsin/attorneys/austin-miller/</t>
  </si>
  <si>
    <t>Divorce &amp; Family Law Attorney Austin Miller | Sterling Lawyers, LLC</t>
  </si>
  <si>
    <t>https://www.sterlinglawyers.com/wisconsin/attorneys/holly-mullin/reviews/</t>
  </si>
  <si>
    <t>Reviews: Attorney Holly Mullin | Sterling Lawyers, LLC</t>
  </si>
  <si>
    <t>https://www.sterlinglawyers.com/wisconsin/attorneys/jodi-chung/reviews/</t>
  </si>
  <si>
    <t>Reviews: Attorney Jodi Chung | Sterling Lawyers, LLC</t>
  </si>
  <si>
    <t>https://www.sterlinglawyers.com/wisconsin/attorneys/tiffany-vogel/</t>
  </si>
  <si>
    <t>Divorce &amp; Family Law Attorney Tiffany Vogel | Sterling Lawyers, LLC</t>
  </si>
  <si>
    <t>https://www.sterlinglawyers.com/wisconsin/attorneys/emily-wojnowski/</t>
  </si>
  <si>
    <t>Divorce &amp; Family Law Attorney Emily Wojnowski | Sterling Lawyers, LLC</t>
  </si>
  <si>
    <t>https://www.sterlinglawyers.com/wisconsin/attorneys/nikole-messerschmidt/</t>
  </si>
  <si>
    <t>Divorce &amp; Family Law Attorney Nikole Messerschmidt | Sterling Lawyers, LLC</t>
  </si>
  <si>
    <t>https://www.sterlinglawyers.com/wisconsin/attorneys/michelle-gordon/reviews/</t>
  </si>
  <si>
    <t>Reviews: Attorney Michelle Gordon | Sterling Lawyers, LLC</t>
  </si>
  <si>
    <t>https://www.sterlinglawyers.com/wisconsin/family-law-case-types-cost</t>
  </si>
  <si>
    <t>https://www.sterlinglawyers.com/wisconsin/locations/brookfield/</t>
  </si>
  <si>
    <t>Brookfield Family Law &amp; Divorce Lawyers | Sterling Lawyers, LLC</t>
  </si>
  <si>
    <t>https://www.sterlinglawyers.com/wisconsin/locations/beloit/</t>
  </si>
  <si>
    <t>Beloit Family Law &amp; Divorce Lawyers | Sterling Lawyers, LLC</t>
  </si>
  <si>
    <t>https://www.sterlinglawyers.com/wisconsin/locations/janesville/</t>
  </si>
  <si>
    <t>Janesville Family Law &amp; Divorce Lawyers | Sterling Lawyers, LLC</t>
  </si>
  <si>
    <t>https://www.sterlinglawyers.com/wisconsin/paternity/</t>
  </si>
  <si>
    <t>Wisconsin Paternity Laws | Sterling Lawyers, LLC</t>
  </si>
  <si>
    <t>https://www.sterlinglawyers.com/wisconsin/locations/kenosha/</t>
  </si>
  <si>
    <t>Kenosha Family Law &amp; Divorce Lawyers | Sterling Lawyers, LLC</t>
  </si>
  <si>
    <t>https://www.sterlinglawyers.com/wisconsin/divorce/litigation/</t>
  </si>
  <si>
    <t>Divorce Litigation in Wisconsin | Sterling Lawyers, LLC</t>
  </si>
  <si>
    <t>https://www.sterlinglawyers.com/wisconsin/locations/baraboo/</t>
  </si>
  <si>
    <t>Baraboo Family Law &amp; Divorce Lawyers | Sterling Lawyers, LLC</t>
  </si>
  <si>
    <t>https://www.sterlinglawyers.com/wisconsin/locations/oconomowoc/</t>
  </si>
  <si>
    <t>Oconomowoc Family Law &amp; Divorce Lawyers | Sterling Lawyers, LLC</t>
  </si>
  <si>
    <t>https://www.sterlinglawyers.com/wisconsin/family-law-case-types-cost/</t>
  </si>
  <si>
    <t>Understand Case Types and Cost in Wisconsin | Sterling Lawyers, LLC</t>
  </si>
  <si>
    <t>https://www.sterlinglawyers.com/wisconsin/divorce/cost/</t>
  </si>
  <si>
    <t>How Much Does a Divorce Cost in Wisconsin? | Sterling Lawyers, LLC</t>
  </si>
  <si>
    <t>https://www.sterlinglawyers.com/wisconsin/locations/jefferson/</t>
  </si>
  <si>
    <t>Jefferson Family Law &amp; Divorce Lawyers | Sterling Lawyers, LLC</t>
  </si>
  <si>
    <t>https://www.sterlinglawyers.com/wisconsin/divorce/uncontested-divorce/</t>
  </si>
  <si>
    <t>File an Uncontested Divorce in Wisconsin | Sterling Lawyers, LLC</t>
  </si>
  <si>
    <t>https://www.sterlinglawyers.com/wisconsin/blog/kenosha-child-custody-attorneys-preserving-familial-bonds/</t>
  </si>
  <si>
    <t>Kenosha Child Custody Attorneys Preserving Familial Bonds | Sterling Lawyers, LLC</t>
  </si>
  <si>
    <t>https://www.sterlinglawyers.com/wisconsin/child-support/calculator/</t>
  </si>
  <si>
    <t>Wisconsin Child Support Calculators &amp; Worksheets 2026 | Sterling Lawyers, LLC</t>
  </si>
  <si>
    <t>https://www.sterlinglawyers.com/wisconsin/divorce/diy/</t>
  </si>
  <si>
    <t>Divorce Without a Lawyer in Wisconsin | Sterling Lawyers, LLC</t>
  </si>
  <si>
    <t>https://www.sterlinglawyers.com/wisconsin/guardianship/</t>
  </si>
  <si>
    <t>Wisconsin Guardianship Laws | Sterling Lawyers, LLC</t>
  </si>
  <si>
    <t>https://www.sterlinglawyers.com/wisconsin/attorneys/emily-wojnowski/reviews/</t>
  </si>
  <si>
    <t>Reviews: Attorney Emily Wojnowski | Sterling Lawyers, LLC</t>
  </si>
  <si>
    <t>https://www.sterlinglawyers.com/wisconsin/child-custody/enforce-orders/</t>
  </si>
  <si>
    <t>Enforce Custody Orders in Wisconsin | Sterling Lawyers, LLC</t>
  </si>
  <si>
    <t>https://www.sterlinglawyers.com/wisconsin/locations/middleton/</t>
  </si>
  <si>
    <t>Middleton Family Law &amp; Divorce Lawyers | Sterling Lawyers, LLC</t>
  </si>
  <si>
    <t>https://www.sterlinglawyers.com/wisconsin/locations/oshkosh/</t>
  </si>
  <si>
    <t>Oshkosh Family Law &amp; Divorce Lawyers | Sterling Lawyers, LLC</t>
  </si>
  <si>
    <t>https://www.sterlinglawyers.com/wisconsin/seminar/</t>
  </si>
  <si>
    <t>Divorce Workshops in Wisconsin | Sterling Lawyers, LLC</t>
  </si>
  <si>
    <t>https://www.sterlinglawyers.com/wisconsin/family-law-process/</t>
  </si>
  <si>
    <t>Wisconsin Family Law Process Start to Finish | Sterling Lawyers, LLC</t>
  </si>
  <si>
    <t>https://www.sterlinglawyers.com/wisconsin/child-support/</t>
  </si>
  <si>
    <t>Wisconsin Child Support Laws | Sterling Lawyers, LLC</t>
  </si>
  <si>
    <t>https://www.sterlinglawyers.com/wisconsin/resources/</t>
  </si>
  <si>
    <t>Wisconsin Family Law Resources | Sterling Lawyers, LLC</t>
  </si>
  <si>
    <t>https://www.sterlinglawyers.com/wisconsin
/reviews/</t>
  </si>
  <si>
    <t>https://www.sterlinglawyers.com/wisconsin/property-division/worksheet/</t>
  </si>
  <si>
    <t>Splitting Assets Worksheet for Divorce in Wisconsin | Sterling Lawyers, LLC</t>
  </si>
  <si>
    <t>https://www.sterlinglawyers.com/wisconsin/spousal-support/calculator/</t>
  </si>
  <si>
    <t>Wisconsin Alimony Calculator (2026) | Sterling Lawyers, LLC</t>
  </si>
  <si>
    <t>https://www.sterlinglawyers.com/wisconsin/property-division/</t>
  </si>
  <si>
    <t>Wisconsin Property Division Laws | Sterling Lawyers, LLC</t>
  </si>
  <si>
    <t>https://www.sterlinglawyers.com/wisconsin/locations/menomonee-falls/</t>
  </si>
  <si>
    <t>Menomonee Falls Family Law &amp; Divorce Lawyers | Sterling Lawyers, LLC</t>
  </si>
  <si>
    <t>https://www.sterlinglawyers.com/wisconsin/locations/fond-du-lac/</t>
  </si>
  <si>
    <t>Fond du Lac Family Law &amp; Divorce Lawyers | Sterling Lawyers</t>
  </si>
  <si>
    <t>https://www.sterlinglawyers.com/wisconsin/divorce/forms/</t>
  </si>
  <si>
    <t>(Free) Wisconsin Divorce Forms | Sterling Lawyers, LLC</t>
  </si>
  <si>
    <t>https://www.sterlinglawyers.com/wisconsin/locations/waukesha/</t>
  </si>
  <si>
    <t>Waukesha Family Law &amp; Divorce Lawyers | Sterling Lawyers, LLC</t>
  </si>
  <si>
    <t>https://www.sterlinglawyers.com/wisconsin/locations/racine/</t>
  </si>
  <si>
    <t>Racine Family Law &amp; Divorce Lawyers | Sterling Lawyers, LLC</t>
  </si>
  <si>
    <t>https://www.sterlinglawyers.com/wisconsin/divorce/collaborative/</t>
  </si>
  <si>
    <t>Wisconsin Collaborative Divorce | Sterling Lawyers</t>
  </si>
  <si>
    <t>https://www.sterlinglawyers.com/wisconsin/spousal-support/tax-implications/</t>
  </si>
  <si>
    <t>Tax Implications of Alimony in Wisconsin (2026) | Sterling Lawyers, LLC</t>
  </si>
  <si>
    <t>https://www.sterlinglawyers.com/wisconsin/property-division/inheritance-marital-property/</t>
  </si>
  <si>
    <t>Inheritance &amp; Divorce in Wisconsin | Sterling Lawyers, LLC</t>
  </si>
  <si>
    <t>https://www.sterlinglawyers.com/wisconsin/property-division/survivorship-marital-property/</t>
  </si>
  <si>
    <t>Wisconsin Survivorship Property Laws | Sterling Law Office, S.C.</t>
  </si>
  <si>
    <t>https://www.sterlinglawyers.com/wisconsin/child-custody/physical-custody/</t>
  </si>
  <si>
    <t>Physical Custody vs. Legal Custody in WI | Sterling Lawyers, LLC</t>
  </si>
  <si>
    <t>https://www.sterlinglawyers.com/wisconsin/child-custody/adultery/</t>
  </si>
  <si>
    <t>Adultery and Child Custody in Wisconsin | Sterling Lawyers, LLC</t>
  </si>
  <si>
    <t>https://www.sterlinglawyers.com/wisconsin/divorce/same-sex-marriage/</t>
  </si>
  <si>
    <t>Same-Sex Marriage in Wisconsin | Sterling Lawyers, LLC</t>
  </si>
  <si>
    <t>https://www.sterlinglawyers.com/wisconsin/property-division/prenuptial-agreements/</t>
  </si>
  <si>
    <t>Prenuptial Agreements in Wisconsin | Sterling Lawyers, LLC</t>
  </si>
  <si>
    <t>https://www.sterlinglawyers.com/wisconsin/divorce/abandonment/</t>
  </si>
  <si>
    <t>Spousal Abandonment Laws in Wisconsin | Sterling Lawyers, LLC</t>
  </si>
  <si>
    <t>https://www.sterlinglawyers.com/wisconsin/property-division/postnuptial-agreements/</t>
  </si>
  <si>
    <t>Postnuptial Agreements in WI | Sterling Lawyers, LLC</t>
  </si>
  <si>
    <t>https://www.sterlinglawyers.com/wisconsin/child-custody/difference-custody-placement/</t>
  </si>
  <si>
    <t>The Difference Between Custody and Placement | Sterling Lawyers, LLC</t>
  </si>
  <si>
    <t>https://www.sterlinglawyers.com/wisconsin/child-custody/third-party-orders/</t>
  </si>
  <si>
    <t>Third Party Custody in Wisconsin | Sterling Lawyers, LLC</t>
  </si>
  <si>
    <t>https://www.sterlinglawyers.com/illinois/areas/dupage-county/villa-park/</t>
  </si>
  <si>
    <t>Villa Park Family Law &amp; Divorce Lawyers | Sterling Lawyers, LLC</t>
  </si>
  <si>
    <t>https://www.sterlinglawyers.com/wisconsin/spousal-support/enforce-orders/</t>
  </si>
  <si>
    <t>Enforce Wisconsin Alimony Orders | Sterling Lawyers, LLC</t>
  </si>
  <si>
    <t>https://www.sterlinglawyers.com/illinois/areas/cook-county/rolling-meadows/</t>
  </si>
  <si>
    <t>Rolling Meadows Family Law &amp; Divorce Lawyers | Sterling Lawyers, LLC</t>
  </si>
  <si>
    <t>https://www.sterlinglawyers.com/illinois/areas/cook-county/lincolnwood/</t>
  </si>
  <si>
    <t>Lincolnwood Family Law &amp; Divorce Lawyers | Sterling Lawyers, LLC</t>
  </si>
  <si>
    <t>https://www.sterlinglawyers.com/illinois/areas/cook-county/wilmette/</t>
  </si>
  <si>
    <t>Wilmette Family Law &amp; Divorce Lawyers | Sterling Lawyers, LLC</t>
  </si>
  <si>
    <t>https://www.sterlinglawyers.com/illinois/areas/dupage-county/bartlett/</t>
  </si>
  <si>
    <t>Bartlett IL Family Law &amp; Divorce Lawyers | Sterling Lawyers, LLC</t>
  </si>
  <si>
    <t>https://www.sterlinglawyers.com/illinois/areas/cook-county/northlake/</t>
  </si>
  <si>
    <t>Northlake Family Law &amp; Divorce Lawyers | Sterling Lawyers, LLC</t>
  </si>
  <si>
    <t>https://www.sterlinglawyers.com/illinois/areas/cook-county/harwood-heights/</t>
  </si>
  <si>
    <t>Harwood Heights IL Divorce Lawyers | Sterling Lawyers, LLC</t>
  </si>
  <si>
    <t>https://www.sterlinglawyers.com/illinois/areas/cook-county/franklin-park/</t>
  </si>
  <si>
    <t>Franklin Park Family Law &amp; Divorce Lawyers | Sterling Lawyers, LLC</t>
  </si>
  <si>
    <t>https://www.sterlinglawyers.com/illinois/areas/dupage-county/elmhurst/</t>
  </si>
  <si>
    <t>Elmhurst IL Divorce Lawyers | Sterling Lawyers, LLC</t>
  </si>
  <si>
    <t>https://www.sterlinglawyers.com/illinois/areas/cook-county/norridge/</t>
  </si>
  <si>
    <t>Norridge Family Law &amp; Divorce Lawyers | Sterling Lawyers, LLC</t>
  </si>
  <si>
    <t>https://www.sterlinglawyers.com/illinois/areas/cook-county/park-ridge/</t>
  </si>
  <si>
    <t>Park Ridge Family Law &amp; Divorce Lawyers | Sterling Lawyers, LLC</t>
  </si>
  <si>
    <t>https://www.sterlinglawyers.com/illinois/areas/dupage-county/lombard/</t>
  </si>
  <si>
    <t>Lombard Family Law &amp; Divorce Lawyers | Sterling Lawyers, LLC</t>
  </si>
  <si>
    <t>https://www.sterlinglawyers.com/illinois/areas/lake-county/</t>
  </si>
  <si>
    <t>Lake County Family Law &amp; Divorce Lawyers | Sterling Lawyers, LLC</t>
  </si>
  <si>
    <t>https://www.sterlinglawyers.com/illinois/areas/kane-county/elgin/</t>
  </si>
  <si>
    <t>Elgin Family Law &amp; Divorce Lawyers | Sterling Lawyers, LLC</t>
  </si>
  <si>
    <t>https://www.sterlinglawyers.com/wisconsin/child-custody/having-a-parenting-agreement/</t>
  </si>
  <si>
    <t>Having a Parenting Agreement | Sterling Lawyers, LLC</t>
  </si>
  <si>
    <t>https://www.sterlinglawyers.com/wisconsin/child-custody/international-child-abduction/</t>
  </si>
  <si>
    <t>How to Avoid International Child Abduction | Sterling Lawyers, LLC</t>
  </si>
  <si>
    <t>https://www.sterlinglawyers.com/illinois/areas/cook-county/prospect-heights/</t>
  </si>
  <si>
    <t>Prospect Heights Family Law &amp; Divorce Lawyers | Sterling Lawyers, LLC</t>
  </si>
  <si>
    <t>https://www.sterlinglawyers.com/wisconsin/child-custody/co-parenting-wi/</t>
  </si>
  <si>
    <t>Co Parenting in Wisconsin | Sterling Lawyers, LLC</t>
  </si>
  <si>
    <t>https://www.sterlinglawyers.com/wisconsin/child-custody/placement-factors/</t>
  </si>
  <si>
    <t>https://www.sterlinglawyers.com/wisconsin/child-custody/child-custody-and-virtual-visitation-rights/</t>
  </si>
  <si>
    <t>What Is Virtual Visitation? | Sterling Lawyers, LLC</t>
  </si>
  <si>
    <t>https://www.sterlinglawyers.com/wisconsin/child-custody/relative-child-custody/</t>
  </si>
  <si>
    <t>Giving Custody Rights to Others | Sterling Lawyers, LLC</t>
  </si>
  <si>
    <t>https://www.sterlinglawyers.com/wisconsin/child-custody/can-court-take-children-relationship-divorce/</t>
  </si>
  <si>
    <t>Can a Wisconsin Court Order Me To Leave My Boyfriend? | Sterling Lawyers, LLC</t>
  </si>
  <si>
    <t>https://www.sterlinglawyers.com/wisconsin/child-custody/what-is-a-guardian-ad-litem/</t>
  </si>
  <si>
    <t>What Is a Guardian ad Litem and What Do They Do? | Sterling Lawyers, LLC</t>
  </si>
  <si>
    <t>https://www.sterlinglawyers.com/wisconsin/spousal-support/moving-in-with-new-partner-impact-maintenance/</t>
  </si>
  <si>
    <t>Cohabitation and Maintenance in Wisconsin | Sterling Lawyers, LLC</t>
  </si>
  <si>
    <t>https://www.sterlinglawyers.com/wisconsin/child-custody/sole-orders/</t>
  </si>
  <si>
    <t>Sole and Full Custody in Wisconsin | Sterling Lawyers, LLC</t>
  </si>
  <si>
    <t>https://www.sterlinglawyers.com/wisconsin/spousal-support/alimony-types/</t>
  </si>
  <si>
    <t>What are the Different Types of Alimony in WI? | Sterling Lawyers, LLC</t>
  </si>
  <si>
    <t>https://www.sterlinglawyers.com/wisconsin/spousal-support/lose-job-going-keep-alimony-payments/</t>
  </si>
  <si>
    <t>Adjusting Alimony Payments in Wisconsin | Sterling Lawyers, LLC</t>
  </si>
  <si>
    <t>https://www.sterlinglawyers.com/wisconsin/spousal-support/divorce/</t>
  </si>
  <si>
    <t>Getting Alimony during a Divorce in Wisconsin | Sterling Lawyers, LLC</t>
  </si>
  <si>
    <t>https://www.sterlinglawyers.com/wisconsin/spousal-support/can-i-receive-maintenance-in-order-to-remain-a-stay-at-home-mother/</t>
  </si>
  <si>
    <t>Maintenance Orders for Homemakers in Wisconsin | Sterling Lawyers, LLC</t>
  </si>
  <si>
    <t>https://www.sterlinglawyers.com/wisconsin/spousal-support/i-supported-my-husband-for-nearly-9-years-while-he-pursued-a-law-degree-am-i-entitled-to-maintenance-even-though-i-am-able-to-support-myself/</t>
  </si>
  <si>
    <t>Receiving Maintenance in Wisconsin | Sterling Lawyers, LLC</t>
  </si>
  <si>
    <t>https://www.sterlinglawyers.com/wisconsin/blog/fair-spousal-support-oconomowoc/</t>
  </si>
  <si>
    <t>Securing Fair Spousal Support in Oconomowoc: Why Legal Guidance Matters | Sterling Lawyers, LLC</t>
  </si>
  <si>
    <t>https://www.sterlinglawyers.com/wisconsin/blog/oconomowoc-property-division-lawyer/</t>
  </si>
  <si>
    <t>How an Oconomowoc Lawyer Simplifies Property Division | Sterling Lawyers, LLC</t>
  </si>
  <si>
    <t>https://www.sterlinglawyers.com/illinois/locations/plainfield/divorce-mediation-lawyers/divorce-mediation-lawyers/</t>
  </si>
  <si>
    <t>https://www.sterlinglawyers.com/wisconsin/blog/uncontested-divorce-west-bend-fathers-story/</t>
  </si>
  <si>
    <t>A Closer Look at Uncontested Divorces in West Bend: A Father’s Story | Sterling Lawyers, LLC</t>
  </si>
  <si>
    <t>https://www.sterlinglawyers.com/wisconsin/blog/military-divorce-lawyers-racine-family-stability/</t>
  </si>
  <si>
    <t>Racine Military Divorce Lawyers: Focused on Family and Stability | Sterling Lawyers, LLC</t>
  </si>
  <si>
    <t>https://www.sterlinglawyers.com/wisconsin/blog/legal-guidance-oconomowoc-contested-divorce/</t>
  </si>
  <si>
    <t>Why Legal Guidance Matters in Oconomowoc Contested Divorce Cases | Sterling Lawyers, LLC</t>
  </si>
  <si>
    <t>https://www.sterlinglawyers.com/wisconsin/blog/battling-balanced-spousal-support-menomonee-falls/</t>
  </si>
  <si>
    <t>Battling for Balanced Spousal Support with Menomonee Falls Lawyers | Sterling Lawyers, LLC</t>
  </si>
  <si>
    <t>https://www.sterlinglawyers.com/wisconsin/blog/legal-challenges-solutions-milwaukee-uncontested-divorce/</t>
  </si>
  <si>
    <t>Legal Challenges and Solutions in Milwaukee Uncontested Divorce | Sterling Lawyers, LLC</t>
  </si>
  <si>
    <t>https://www.sterlinglawyers.com/wisconsin/blog/resolving-paternity-conflicts-jefferson-county/</t>
  </si>
  <si>
    <t>Resolving Paternity Conflicts in Jefferson County | Sterling Lawyers, LLC</t>
  </si>
  <si>
    <t>https://www.sterlinglawyers.com/wisconsin/blog/decoding-divorce-mediation-with-sheboygan-attorney/</t>
  </si>
  <si>
    <t>Decoding the Complexities of Divorce Mediation with a Sheboygan Attorney | Sterling Lawyers, LLC</t>
  </si>
  <si>
    <t>https://www.sterlinglawyers.com/wisconsin/blog/finding-legal-help-during-military-divorce-oshkosh/</t>
  </si>
  <si>
    <t>Finding Legal Help During a Military Divorce in Oshkosh | Sterling Lawyers, LLC</t>
  </si>
  <si>
    <t>https://www.sterlinglawyers.com/wisconsin/blog/understanding-family-law-process-oshkosh-uncontested-divorce-lawyers/</t>
  </si>
  <si>
    <t>Breaking Down the Family Law Process with Oshkosh Uncontested Divorce Lawyers | Sterling Lawyers, LLC</t>
  </si>
  <si>
    <t>https://www.sterlinglawyers.com/wisconsin/blog/family-dynamics-shift-spousal-support-challenge-waukesha/</t>
  </si>
  <si>
    <t>When Family Dynamics Shift The Spousal Support Challenge in Waukesha County | Sterling Lawyers, LLC</t>
  </si>
  <si>
    <t>https://www.sterlinglawyers.com/wisconsin/blog/peaceful-collaborative-divorce-middleton/</t>
  </si>
  <si>
    <t>A Peaceful Divorce Through Collaboration in Middleton, WI | Sterling Lawyers, LLC</t>
  </si>
  <si>
    <t>https://www.sterlinglawyers.com/wisconsin/blog/unfolding-the-role-oshkosh-lawyer-child-custody-battles/</t>
  </si>
  <si>
    <t>Unfolding the Role of an Oshkosh Lawyer in Child Custody Battles | Sterling Lawyers, LLC</t>
  </si>
  <si>
    <t>https://www.sterlinglawyers.com/wisconsin/blog/why-you-need-a-beloit-uncontested-divorce-lawyer-by-your-side/</t>
  </si>
  <si>
    <t>Why You Need a Beloit Uncontested Divorce Lawyer By Your Side | Sterling Lawyers, LLC</t>
  </si>
  <si>
    <t>https://www.sterlinglawyers.com/wisconsin/blog/child-support-modification-kenosha/</t>
  </si>
  <si>
    <t>Understanding Child Support Modifications in Kenosha | Sterling Lawyers, LLC</t>
  </si>
  <si>
    <t>https://www.sterlinglawyers.com/wisconsin/blog/divorce-mediation-process-oconomowoc/</t>
  </si>
  <si>
    <t>How Divorce Mediation Can Make the Process Easier for Oconomowoc Families | Sterling Lawyers, LLC</t>
  </si>
  <si>
    <t>https://www.sterlinglawyers.com/wisconsin/blog/mequon-divorce-mediation-stress-free/</t>
  </si>
  <si>
    <t>How Lawyers Help Make Mequon Divorce Mediation Less Stressful | Sterling Lawyers, LLC</t>
  </si>
  <si>
    <t>https://www.sterlinglawyers.com/wisconsin/blog/clarity-through-beaver-dam-divorce-mediation/</t>
  </si>
  <si>
    <t>Clarity Through Beaver Dam Divorce Mediation | Sterling Lawyers, LLC</t>
  </si>
  <si>
    <t>https://www.sterlinglawyers.com/wisconsin/blog/helping-families-resolve-paternity-matters-waukesha/</t>
  </si>
  <si>
    <t>Helping Families Resolve Paternity Matters in Waukesha | Sterling Lawyers, LLC</t>
  </si>
  <si>
    <t>https://www.sterlinglawyers.com/wisconsin/blog/military-spouse-journey-divorce-oconomowoc/</t>
  </si>
  <si>
    <t>A Military Spouse’s Journey Through Divorce in Oconomowoc | Sterling Lawyers, LLC</t>
  </si>
  <si>
    <t>https://www.sterlinglawyers.com/wisconsin/blog/collaborative-divorce-approach-oconomowoc/</t>
  </si>
  <si>
    <t>Collaborative Divorce in Oconomowoc: A Family-Centered Approach | Sterling Lawyers, LLC</t>
  </si>
  <si>
    <t>https://www.sterlinglawyers.com/wisconsin/blog/soldiers-journey-military-divorce-rock-county/</t>
  </si>
  <si>
    <t>A Soldier’s Journey Through Military Divorce in Rock County | Sterling Lawyers, LLC</t>
  </si>
  <si>
    <t>https://www.sterlinglawyers.com/wisconsin/blog/child-custody-waukesha-family-lawyer/</t>
  </si>
  <si>
    <t>Why Hiring a Waukesha Family Lawyer is Crucial for Child Custody Cases | Sterling Lawyers, LLC</t>
  </si>
  <si>
    <t>https://www.sterlinglawyers.com/wisconsin/blog/page/2/?et_blog</t>
  </si>
  <si>
    <t>https://www.sterlinglawyers.com/wisconsin/blog/compassionate-divorce-mediation-mequon/</t>
  </si>
  <si>
    <t>The Compassionate Path to Divorce Mediation in Mequon | Sterling Lawyers, LLC</t>
  </si>
  <si>
    <t>https://www.sterlinglawyers.com/wisconsin/blog/brookfield-child-custody-challenges-attorneys-commitment/</t>
  </si>
  <si>
    <t>Brookfield Child Custody Challenges One Attorneys Commitment | Sterling Lawyers, LLC</t>
  </si>
  <si>
    <t>https://www.sterlinglawyers.com/wisconsin/blog/kenosha-legal-compass-collaborative-divorce-journey/</t>
  </si>
  <si>
    <t>Kenosha's Legal Compass for a Smoother Collaborative Divorce Journey | Sterling Lawyers, LLC</t>
  </si>
  <si>
    <t>https://www.sterlinglawyers.com/wisconsin/blog/weathering-storm-contested-divorce-menomonee-falls/</t>
  </si>
  <si>
    <t>Weathering the Storm of Contested Divorce in Menomonee Falls | Sterling Lawyers, LLC</t>
  </si>
  <si>
    <t>https://www.sterlinglawyers.com/wisconsin/divorce/same-sex-divorce/</t>
  </si>
  <si>
    <t>Same-Sex Divorce in Wisconsin | Sterling Lawyers, LLC</t>
  </si>
  <si>
    <t>https://www.sterlinglawyers.com/wisconsin/property-division/gets-marital-house-divorce/</t>
  </si>
  <si>
    <t>Who Gets the House in a Divorce in Wisconsin? | Sterling Lawyers, LLC</t>
  </si>
  <si>
    <t>https://www.sterlinglawyers.com/wisconsin/property-division/retirement-accounts-divorce/</t>
  </si>
  <si>
    <t>Dividing Retirement Accounts During a Divorce | Sterling Lawyers, LLC</t>
  </si>
  <si>
    <t>https://www.sterlinglawyers.com/wisconsin/divorce/no-fault-state/</t>
  </si>
  <si>
    <t>Is Wisconsin a Fault or No Fault Divorce State? | Sterling Lawyers, LLC</t>
  </si>
  <si>
    <t>https://www.sterlinglawyers.com/wisconsin/property-division/leaving-ex-family-business/</t>
  </si>
  <si>
    <t>Leaving Your Ex And the Family Business | Sterling Lawyers, LLC</t>
  </si>
  <si>
    <t>https://www.sterlinglawyers.com/wisconsin/blog/crafting-fair-property-division-baraboo/</t>
  </si>
  <si>
    <t>Crafting a Fair Property Division in Baraboo | Sterling Lawyers, LLC</t>
  </si>
  <si>
    <t>https://www.sterlinglawyers.com/wisconsin/locations/mequon/uncontested-divorce-lawyers/</t>
  </si>
  <si>
    <t>Mequon Uncontested Divorce Lawyers | Sterling Lawyers, LLC</t>
  </si>
  <si>
    <t>https://www.sterlinglawyers.com/wisconsin/locations/mequon/contested-divorce-lawyers/</t>
  </si>
  <si>
    <t>Mequon Contested Divorce Lawyers | Sterling Lawyers, LLC</t>
  </si>
  <si>
    <t>https://www.sterlinglawyers.com/wisconsin/locations/mequon/paternity-lawyers/</t>
  </si>
  <si>
    <t>Mequon Paternity Lawyers | Sterling Lawyers, LLC</t>
  </si>
  <si>
    <t>https://www.sterlinglawyers.com/wisconsin/locations/mequon/collaborative-divorce-lawyers/</t>
  </si>
  <si>
    <t>Mequon Collaborative Divorce Lawyers | Sterling Lawyers, LLC</t>
  </si>
  <si>
    <t>https://www.sterlinglawyers.com/wisconsin/locations/mequon/alimony-lawyers/</t>
  </si>
  <si>
    <t>Mequon Spousal Support Lawyers | Sterling Lawyers, LLC</t>
  </si>
  <si>
    <t>https://www.sterlinglawyers.com/wisconsin/locations/mequon/child-custody-lawyers/</t>
  </si>
  <si>
    <t>Mequon Child Custody Lawyers | Sterling Lawyers, LLC</t>
  </si>
  <si>
    <t>https://www.sterlinglawyers.com/wisconsin/locations/mequon/military-divorce-lawyers/</t>
  </si>
  <si>
    <t>Mequon Military Divorce Lawyers | Sterling Lawyers, LLC</t>
  </si>
  <si>
    <t>https://www.sterlinglawyers.com/wisconsin/locations/mequon/property-division-lawyers/</t>
  </si>
  <si>
    <t>Mequon Property Division Lawyers | Sterling Lawyers, LLC</t>
  </si>
  <si>
    <t>https://www.sterlinglawyers.com/wisconsin/locations/mequon/child-support-lawyers/</t>
  </si>
  <si>
    <t>Mequon Child Support Lawyers | Sterling Lawyers, LLC</t>
  </si>
  <si>
    <t>https://www.sterlinglawyers.com/wisconsin/locations/mequon/divorce-mediation-lawyers/</t>
  </si>
  <si>
    <t>Mequon Divorce Mediation Lawyers | Sterling Lawyers, LLC</t>
  </si>
  <si>
    <t>https://www.sterlinglawyers.com/wisconsin/locations/sheboygan/divorce-mediation-lawyers/</t>
  </si>
  <si>
    <t>Sheboygan Divorce Mediation Lawyers | Sterling Lawyers, LLC</t>
  </si>
  <si>
    <t>https://www.sterlinglawyers.com/wisconsin/locations/sheboygan/property-division-lawyers/</t>
  </si>
  <si>
    <t>Sheboygan Property Division Lawyers | Sterling Lawyers, LLC</t>
  </si>
  <si>
    <t>https://www.sterlinglawyers.com/wisconsin/locations/sheboygan/child-support-lawyers/</t>
  </si>
  <si>
    <t>Sheboygan Child Support Lawyers | Sterling Lawyers, LLC</t>
  </si>
  <si>
    <t>https://www.sterlinglawyers.com/wisconsin/locations/sheboygan/paternity-lawyers/</t>
  </si>
  <si>
    <t>Sheboygan Paternity Lawyers | Sterling Lawyers, LLC</t>
  </si>
  <si>
    <t>https://www.sterlinglawyers.com/wisconsin/locations/sheboygan/child-custody-lawyers/</t>
  </si>
  <si>
    <t>Sheboygan Child Custody Lawyers | Sterling Lawyers, LLC</t>
  </si>
  <si>
    <t>https://www.sterlinglawyers.com/wisconsin/locations/sheboygan/collaborative-divorce-lawyers/</t>
  </si>
  <si>
    <t>Sheboygan Collaborative Divorce Lawyers | Sterling Lawyers, LLC</t>
  </si>
  <si>
    <t>https://www.sterlinglawyers.com/wisconsin/locations/sheboygan/alimony-lawyers/</t>
  </si>
  <si>
    <t>Sheboygan Spousal Support Lawyers | Sterling Lawyers, LLC</t>
  </si>
  <si>
    <t>https://www.sterlinglawyers.com/wisconsin/locations/sheboygan/contested-divorce-lawyers/</t>
  </si>
  <si>
    <t>Sheboygan Contested Divorce Lawyers | Sterling Lawyers, LLC</t>
  </si>
  <si>
    <t>https://www.sterlinglawyers.com/wisconsin/locations/sheboygan/military-divorce-lawyers/</t>
  </si>
  <si>
    <t>Sheboygan Military Divorce Lawyers | Sterling Lawyers, LLC</t>
  </si>
  <si>
    <t>https://www.sterlinglawyers.com/wisconsin/locations/sheboygan/uncontested-divorce-lawyers/</t>
  </si>
  <si>
    <t>Sheboygan Uncontested Divorce Lawyers | Sterling Lawyers, LLC</t>
  </si>
  <si>
    <t>https://www.sterlinglawyers.com/wisconsin/locations/green-bay/child-support-lawyers/</t>
  </si>
  <si>
    <t>Green Bay Child Support Lawyers | Sterling Lawyers, LLC</t>
  </si>
  <si>
    <t>https://www.sterlinglawyers.com/wisconsin/locations/green-bay/alimony-lawyers/</t>
  </si>
  <si>
    <t>Green Bay Spousal Support Lawyers | Sterling Lawyers, LLC</t>
  </si>
  <si>
    <t>https://www.sterlinglawyers.com/wisconsin/locations/green-bay/collaborative-divorce-lawyers/</t>
  </si>
  <si>
    <t>Green Bay Collaborative Divorce Lawyers | Sterling Lawyers, LLC</t>
  </si>
  <si>
    <t>https://www.sterlinglawyers.com/wisconsin/locations/green-bay/property-division-lawyers/</t>
  </si>
  <si>
    <t>Green Bay Property Division Lawyers | Sterling Lawyers, LLC</t>
  </si>
  <si>
    <t>https://www.sterlinglawyers.com/wisconsin/locations/green-bay/child-custody-lawyers/</t>
  </si>
  <si>
    <t>Green Bay Child Custody Lawyers | Sterling Lawyers, LLC</t>
  </si>
  <si>
    <t>https://www.sterlinglawyers.com/wisconsin/locations/green-bay/uncontested-divorce-lawyers/</t>
  </si>
  <si>
    <t>Green Bay Uncontested Divorce Lawyers | Sterling Lawyers, LLC</t>
  </si>
  <si>
    <t>https://www.sterlinglawyers.com/wisconsin/locations/green-bay/paternity-lawyers/</t>
  </si>
  <si>
    <t>Green Bay Paternity Lawyers | Sterling Lawyers, LLC</t>
  </si>
  <si>
    <t>https://www.sterlinglawyers.com/wisconsin/locations/green-bay/contested-divorce-lawyers/</t>
  </si>
  <si>
    <t>Green Bay Contested Divorce Lawyers | Sterling Lawyers, LLC</t>
  </si>
  <si>
    <t>https://www.sterlinglawyers.com/wisconsin/locations/green-bay/divorce-mediation-lawyers/</t>
  </si>
  <si>
    <t>Green Bay Divorce Mediation Lawyers | Sterling Lawyers, LLC</t>
  </si>
  <si>
    <t>https://www.sterlinglawyers.com/wisconsin/locations/west-bend/military-divorce-lawyers/</t>
  </si>
  <si>
    <t>West Bend Military Divorce Lawyers | Sterling Lawyers, LLC</t>
  </si>
  <si>
    <t>https://www.sterlinglawyers.com/wisconsin/locations/west-bend/collaborative-divorce-lawyers/</t>
  </si>
  <si>
    <t>West Bend Collaborative Divorce Lawyers | Sterling Lawyers, LLC</t>
  </si>
  <si>
    <t>https://www.sterlinglawyers.com/wisconsin/locations/west-bend/child-custody-lawyers/</t>
  </si>
  <si>
    <t>West Bend Child Custody Lawyers | Sterling Lawyers, LLC</t>
  </si>
  <si>
    <t>https://www.sterlinglawyers.com/wisconsin/locations/west-bend/property-division-lawyers/</t>
  </si>
  <si>
    <t>West Bend Property Division Lawyers | Sterling Lawyers, LLC</t>
  </si>
  <si>
    <t>https://www.sterlinglawyers.com/wisconsin/locations/west-bend/uncontested-divorce-lawyers/</t>
  </si>
  <si>
    <t>West Bend Uncontested Divorce Lawyers | Sterling Lawyers, LLC</t>
  </si>
  <si>
    <t>https://www.sterlinglawyers.com/wisconsin/locations/west-bend/divorce-mediation-lawyers/</t>
  </si>
  <si>
    <t>West Bend Divorce Mediation Lawyers | Sterling Lawyers, LLC</t>
  </si>
  <si>
    <t>https://www.sterlinglawyers.com/wisconsin/locations/west-bend/alimony-lawyers/</t>
  </si>
  <si>
    <t>West Bend Spousal Support Lawyers | Sterling Lawyers, LLC</t>
  </si>
  <si>
    <t>https://www.sterlinglawyers.com/wisconsin/locations/west-bend/contested-divorce-lawyers/</t>
  </si>
  <si>
    <t>West Bend Contested Divorce Lawyers | Sterling Lawyers, LLC</t>
  </si>
  <si>
    <t>https://www.sterlinglawyers.com/wisconsin/locations/west-bend/child-support-lawyers/</t>
  </si>
  <si>
    <t>West Bend Child Support Lawyers | Sterling Lawyers, LLC</t>
  </si>
  <si>
    <t>https://www.sterlinglawyers.com/wisconsin/locations/west-bend/paternity-lawyers/</t>
  </si>
  <si>
    <t>West Bend Paternity Lawyers | Sterling Lawyers, LLC</t>
  </si>
  <si>
    <t>https://www.sterlinglawyers.com/wisconsin/property-division/is-wisconsin-a-5050-state/</t>
  </si>
  <si>
    <t>https://www.sterlinglawyers.com/wisconsin/child-custody/50-50-orders/</t>
  </si>
  <si>
    <t>https://www.sterlinglawyers.com/wisconsin/child-support/paternity/</t>
  </si>
  <si>
    <t>https://www.sterlinglawyers.com/wisconsin/property-division/joint-property-state/</t>
  </si>
  <si>
    <t>https://www.sterlinglawyers.com/wisconsin/locations/beaver-dam/contested-divorce-lawyers/</t>
  </si>
  <si>
    <t>Beaver Dam Contested Divorce Lawyers | Sterling Lawyers, LLC</t>
  </si>
  <si>
    <t>https://www.sterlinglawyers.com/wisconsin/locations/beaver-dam/military-divorce-lawyers/</t>
  </si>
  <si>
    <t>Beaver Dam Military Divorce Lawyers | Sterling Lawyers, LLC</t>
  </si>
  <si>
    <t>https://www.sterlinglawyers.com/wisconsin/locations/beaver-dam/divorce-mediation-lawyers/</t>
  </si>
  <si>
    <t>Beaver Dam Divorce Mediation Lawyers | Sterling Lawyers, LLC</t>
  </si>
  <si>
    <t>https://www.sterlinglawyers.com/wisconsin/locations/beaver-dam/alimony-lawyers/</t>
  </si>
  <si>
    <t>Beaver Dam Spousal Support Lawyers | Sterling Lawyers, LLC</t>
  </si>
  <si>
    <t>https://www.sterlinglawyers.com/wisconsin/locations/beaver-dam/paternity-lawyers/</t>
  </si>
  <si>
    <t>Beaver Dam Paternity Lawyers | Sterling Lawyers, LLC</t>
  </si>
  <si>
    <t>https://www.sterlinglawyers.com/wisconsin/locations/beaver-dam/property-division-lawyers/</t>
  </si>
  <si>
    <t>Beaver Dam Property Division Lawyers | Sterling Lawyers, LLC</t>
  </si>
  <si>
    <t>https://www.sterlinglawyers.com/wisconsin/locations/beaver-dam/child-custody-lawyers/</t>
  </si>
  <si>
    <t>Beaver Dam Child Custody Lawyers | Sterling Lawyers, LLC</t>
  </si>
  <si>
    <t>https://www.sterlinglawyers.com/wisconsin/locations/beaver-dam/child-support-lawyers/</t>
  </si>
  <si>
    <t>Beaver Dam Child Support Lawyers | Sterling Lawyers, LLC</t>
  </si>
  <si>
    <t>https://www.sterlinglawyers.com/wisconsin/locations/beaver-dam/uncontested-divorce-lawyers/</t>
  </si>
  <si>
    <t>Beaver Dam Uncontested Divorce Lawyers | Sterling Lawyers, LLC</t>
  </si>
  <si>
    <t>https://www.sterlinglawyers.com/wisconsin/locations/beaver-dam/collaborative-divorce-lawyers/</t>
  </si>
  <si>
    <t>Beaver Dam Collaborative Divorce Lawyers | Sterling Lawyers, LLC</t>
  </si>
  <si>
    <t>https://www.sterlinglawyers.com/wisconsin/divorce/email-proof-of-an-affair/</t>
  </si>
  <si>
    <t>Getting Proof of An Affair Through Email | Sterling Lawyers, LLC</t>
  </si>
  <si>
    <t>https://www.sterlinglawyers.com/wisconsin/divorce/depression-and-divorce/</t>
  </si>
  <si>
    <t>Depression and Divorce | Sterling Lawyers, LLC</t>
  </si>
  <si>
    <t>https://www.sterlinglawyers.com/wisconsin/blog/safeguarding-interests-green-bay-contested-divorce-lawyers/</t>
  </si>
  <si>
    <t>Safeguarding Your Interests with Green Bay Contested Divorce Lawyers | Sterling Lawyers, LLC</t>
  </si>
  <si>
    <t>https://www.sterlinglawyers.com/wisconsin/events/evaluating-custody-placement-support/</t>
  </si>
  <si>
    <t>Evaluating Custody, Placement and Support in Wisconsin | Sterling Lawyers, LLC</t>
  </si>
  <si>
    <t>https://www.sterlinglawyers.com/wisconsin/child-support/child-support-determined-can-appealed/</t>
  </si>
  <si>
    <t>Once Child Support Is Determined, Can It Be Appealed in Wisconsin?</t>
  </si>
  <si>
    <t>https://www.sterlinglawyers.com/wisconsin/locations/green-bay/military-divorce-lawyers/</t>
  </si>
  <si>
    <t>Green Bay Military Divorce Lawyers | Sterling Lawyers, LLC</t>
  </si>
  <si>
    <t>https://www.sterlinglawyers.com/wisconsin/divorce/help-child-cope-divorce/</t>
  </si>
  <si>
    <t>How to Help Your Child Cope with Divorce | Sterling Lawyers, LLC</t>
  </si>
  <si>
    <t>https://www.sterlinglawyers.com/illinois/child-custody/during-divorce/</t>
  </si>
  <si>
    <t>Custody &amp; Divorce in Illinois | Sterling Lawyers, LLC</t>
  </si>
  <si>
    <t>https://www.sterlinglawyers.com/wisconsin/events/divide-money-divorce/</t>
  </si>
  <si>
    <t>How to Divide Money in a Wisconsin Divorce | Sterling Lawyers, LLC</t>
  </si>
  <si>
    <t>https://www.sterlinglawyers.com/wisconsin/events/questions-ask-divorce-attorney/</t>
  </si>
  <si>
    <t>Questions to Ask A Divorce Attorney | Sterling Lawyers, LLC</t>
  </si>
  <si>
    <t>https://www.sterlinglawyers.com/divorce/evidentiary-hearing/</t>
  </si>
  <si>
    <t>Evidentiary Hearing in Divorce | Sterling Lawyers, LLC</t>
  </si>
  <si>
    <t>https://www.sterlinglawyers.com/lp-untying-knots/password-reset/</t>
  </si>
  <si>
    <t>Password Reset - Untying Knots</t>
  </si>
  <si>
    <t>https://www.sterlinglawyers.com/wisconsin/events/complete-guide-divorce-process/</t>
  </si>
  <si>
    <t>Complete Guide to the Wisconsin Divorce Process | Sterling Lawyers, LLC</t>
  </si>
  <si>
    <t>https://www.sterlinglawyers.com/illinois/attorneys/lea-diaz/reviews/page/5/</t>
  </si>
  <si>
    <t>https://www.sterlinglawyers.com/wisconsin/events/strategically-prepare-for-divorce/</t>
  </si>
  <si>
    <t>How to Strategically Prepare for Divorce in Wisconsin | Sterling Lawyers, LLC</t>
  </si>
  <si>
    <t>https://www.sterlinglawyers.com/illinois/attorneys/lea-diaz/reviews/page/4/</t>
  </si>
  <si>
    <t>https://www.sterlinglawyers.com/flourishing-families/benefits-creativity-art/</t>
  </si>
  <si>
    <t>Benefits of Creativity and Art | Sterling Lawyers, LLC</t>
  </si>
  <si>
    <t>https://www.sterlinglawyers.com/illinois/blog/crafting-legal-strategy-child-support-arlington-heights/</t>
  </si>
  <si>
    <t>Crafting a Legal Strategy for Child Support Enforcement in Arlington Heights | Sterling Lawyers, LLC</t>
  </si>
  <si>
    <t>https://www.sterlinglawyers.com/illinois/attorneys/lea-diaz/reviews/page/</t>
  </si>
  <si>
    <t>https://www.sterlinglawyers.com/illinois/blog/establishing-safe-harbor-child-custody-chicago-lawyers/</t>
  </si>
  <si>
    <t>Establishing a Safe Harbor in Child Custody Cases with Chicago Lawyers | Sterling Lawyers, LLC</t>
  </si>
  <si>
    <t>https://www.sterlinglawyers.com/illinois/blog/evanston-paternity-lawyers-guide-legal-procedures/</t>
  </si>
  <si>
    <t>Evanston Paternity Lawyers Guide You through Legal Procedures | Sterling Lawyers, LLC</t>
  </si>
  <si>
    <t>https://www.sterlinglawyers.com/illinois/blog/unraveling-legal-intricacies-child-support-naperville-lawyers/</t>
  </si>
  <si>
    <t>Unraveling Legal Intricacies of Child Support with Naperville Lawyers | Sterling Lawyers, LLC</t>
  </si>
  <si>
    <t>https://www.sterlinglawyers.com/illinois/blog/safeguarding-futures-chicago-lawyers-uncontested-divorces/</t>
  </si>
  <si>
    <t>Safeguarding Futures with Chicago Lawyers in Uncontested Divorces | Sterling Lawyers, LLC</t>
  </si>
  <si>
    <t>https://www.sterlinglawyers.com/illinois/blog/steadfast-legal-advocacy-spousal-support-schaumburg/</t>
  </si>
  <si>
    <t>Steadfast Legal Advocacy for Spousal Support Cases in Schaumburg | Sterling Lawyers, LLC</t>
  </si>
  <si>
    <t>https://www.sterlinglawyers.com/illinois/blog/child-support-challenges-chicago-how-to-overcome/</t>
  </si>
  <si>
    <t>Child Support Challenges in Chicago and How to Overcome Them | Sterling Lawyers, LLC</t>
  </si>
  <si>
    <t>https://www.sterlinglawyers.com/illinois/blog/paving-way-to-paternity-rights-naperville-attorney/</t>
  </si>
  <si>
    <t>Paving the Way to Paternity Rights with a Naperville Attorney | Sterling Lawyers, LLC</t>
  </si>
  <si>
    <t>https://www.sterlinglawyers.com/illinois/blog/supporting-clients-collaborative-divorce-schaumburg-lawyers/</t>
  </si>
  <si>
    <t>Supporting Clients through Collaborative Divorce with Schaumburg Lawyers | Sterling Lawyers, LLC</t>
  </si>
  <si>
    <t>https://www.sterlinglawyers.com/illinois/blog/facing-uphill-battle-contested-divorce-evanston/</t>
  </si>
  <si>
    <t>Facing the Uphill Battle of Contested Divorce in Evanston | Sterling Lawyers, LLC</t>
  </si>
  <si>
    <t>https://www.sterlinglawyers.com/illinois/blog/beacon-of-hope-property-division-matters-arlington-heights/</t>
  </si>
  <si>
    <t>A Beacon of Hope in Property Division Matters with Arlington Heights Lawyers | Sterling Lawyers, LLC</t>
  </si>
  <si>
    <t>https://www.sterlinglawyers.com/illinois/blog/drawing-strength-attorney-proficiency-military-divorce/</t>
  </si>
  <si>
    <t>Drawing Strength from Attorney Proficiency in Military Divorce | Sterling Lawyers, LLC</t>
  </si>
  <si>
    <t>https://www.sterlinglawyers.com/illinois/blog/chicago-collaborative-divorce-lawyers-advocate-for-mothers/</t>
  </si>
  <si>
    <t>Chicago Collaborative Divorce Lawyers Advocate for Mothers | Sterling Lawyers, LLC</t>
  </si>
  <si>
    <t>https://www.sterlinglawyers.com/illinois/blog/understanding-nuances-contested-divorce-hoffman-estates/</t>
  </si>
  <si>
    <t>Understanding the Nuances of Contested Divorce in Hoffman Estates | Sterling Lawyers, LLC</t>
  </si>
  <si>
    <t>https://www.sterlinglawyers.com/illinois/blog/maneuvering-spousal-support-challenges-arlington-heights-lawyers/</t>
  </si>
  <si>
    <t>Maneuvering Spousal Support Challenges with Arlington Heights Lawyers | Sterling Lawyers, LLC</t>
  </si>
  <si>
    <t>https://www.sterlinglawyers.com/news/client-comes-first/</t>
  </si>
  <si>
    <t>The Client Comes First | Sterling Lawyers, LLC</t>
  </si>
  <si>
    <t>https://www.sterlinglawyers.com/illinois/attorneys/lea-diaz/reviews/page/21/</t>
  </si>
  <si>
    <t>https://www.sterlinglawyers.com/wi-child-support-factors</t>
  </si>
  <si>
    <t>https://www.sterlinglawyers.com/illinois/blog/?et_blog</t>
  </si>
  <si>
    <t>https://www.sterlinglawyers.com/wisdom-from-attorney-knighton/what-to-consider-when-investing/</t>
  </si>
  <si>
    <t>What to Consider When Investing? | Sterling Lawyers, LLC</t>
  </si>
  <si>
    <t>https://www.sterlinglawyers.com/illinois/blog/know-rights-paternity-law-schaumburg-attorneys/</t>
  </si>
  <si>
    <t>Know Your Rights in Paternity Law with Schaumburg Attorneys | Sterling Lawyers, LLC</t>
  </si>
  <si>
    <t>https://www.sterlinglawyers.com/news/caring-divorce-attorneys/</t>
  </si>
  <si>
    <t>A Caring Place to Go for Help With a Divorce | Sterling Lawyers, LLC</t>
  </si>
  <si>
    <t>https://www.sterlinglawyers.com/il-alimony-factors/</t>
  </si>
  <si>
    <t>https://www.sterlinglawyers.com/wisconsin/divorce/age-gaps-and-divorce/</t>
  </si>
  <si>
    <t>Age Gaps and Divorce | Sterling Lawyers, LLC</t>
  </si>
  <si>
    <t>https://www.sterlinglawyers.com/il-alimony-factors</t>
  </si>
  <si>
    <t>https://www.sterlinglawyers.com/illinois/reviews/page/5/</t>
  </si>
  <si>
    <t>https://www.sterlinglawyers.com/illinois/reviews/page/230/</t>
  </si>
  <si>
    <t>https://www.sterlinglawyers.com/illinois/reviews/page/228/</t>
  </si>
  <si>
    <t>https://www.sterlinglawyers.com/illinois/blog/page/3/?et_blog</t>
  </si>
  <si>
    <t>https://www.sterlinglawyers.com/illinois/reviews/page/227/</t>
  </si>
  <si>
    <t>https://www.sterlinglawyers.com/illinois/attorneys/lea-diaz/reviews/page/20/</t>
  </si>
  <si>
    <t>https://www.sterlinglawyers.com/illinois/attorneys/nina-kelly/reviews/page/4/</t>
  </si>
  <si>
    <t>https://www.sterlinglawyers.com/news/childrens-best-interests/</t>
  </si>
  <si>
    <t>The Best Interests of the Child | Sterling Lawyers, LLC</t>
  </si>
  <si>
    <t>https://www.sterlinglawyers.com/wisconsin/divorce/co-parenting-wi/</t>
  </si>
  <si>
    <t>https://www.sterlinglawyers.com/illinois/attorneys/nina-kelly/reviews/page/</t>
  </si>
  <si>
    <t>https://www.sterlinglawyers.com/wisconsin/divorce/5-useful-holiday-tips-for-divorced-parents/</t>
  </si>
  <si>
    <t>5 Holiday Tips for Divorced Parents | Sterling Lawyers, LLC</t>
  </si>
  <si>
    <t>https://www.sterlinglawyers.com/wisconsin/child-custody/my-kid-should-be-treated-fairly-at-exs-house/</t>
  </si>
  <si>
    <t>My Kid Should Be Treated Fairly at My Ex's House | Sterling Lawyers, LLC</t>
  </si>
  <si>
    <t>https://www.sterlinglawyers.com/illinois/attorneys/nina-kelly/reviews/page/5/</t>
  </si>
  <si>
    <t>https://www.sterlinglawyers.com/case-law/best-interest-child/</t>
  </si>
  <si>
    <t>Best Interest Of The Child | Sterling Lawyers, LLC</t>
  </si>
  <si>
    <t>https://www.sterlinglawyers.com/illinois/attorneys/nina-kelly/reviews/page/43/</t>
  </si>
  <si>
    <t>https://www.sterlinglawyers.com/illinois/attorneys/nina-kelly/reviews/page/44/</t>
  </si>
  <si>
    <t>https://www.sterlinglawyers.com/wisconsin/property-division/are-pensions-divisible-in-court/</t>
  </si>
  <si>
    <t>Are Pensions Divisible in Court? | Sterling Lawyers, LLC</t>
  </si>
  <si>
    <t>https://www.sterlinglawyers.com/wisconsin/property-division/can-injury-settlement-increase-support-payments/</t>
  </si>
  <si>
    <t>Personal Injury Settlements &amp; Dividing Marital Property | Sterling Lawyers, LLC</t>
  </si>
  <si>
    <t>https://www.sterlinglawyers.com/wisconsin/property-division/property-division-pt-1-basic-rights-duties/</t>
  </si>
  <si>
    <t>The Basic Rights and Duties for Property Division Cases | Sterling Lawyers, LLC</t>
  </si>
  <si>
    <t>https://www.sterlinglawyers.com/wisconsin/property-division/is-a-personal-injury-settlement-considered-marital-property/</t>
  </si>
  <si>
    <t>Is a Personal Injury Settlement Considered Marital Property? | Sterling Lawyers, LLC</t>
  </si>
  <si>
    <t>https://www.sterlinglawyers.com/wisconsin/property-division/marital-property-act-supersede-property-division-statutes/</t>
  </si>
  <si>
    <t>Does the Wisconsin Marital Property Act Supersede Statutes? | Sterling Lawyers, LLC</t>
  </si>
  <si>
    <t>https://www.sterlinglawyers.com/wisconsin/locations/baraboo/child-support-lawyers/</t>
  </si>
  <si>
    <t>Baraboo Child Support Lawyers | Sterling Lawyers, LLC</t>
  </si>
  <si>
    <t>https://www.sterlinglawyers.com/wisconsin/property-division/who-pays-for-the-attorney-fees-in-divorce/</t>
  </si>
  <si>
    <t>Who Pays for Attorney Fees in a Divorce? | Sterling Lawyers, LLC</t>
  </si>
  <si>
    <t>https://www.sterlinglawyers.com/wisconsin/locations/oconomowoc/uncontested-divorce-lawyers/</t>
  </si>
  <si>
    <t>Oconomowoc Uncontested Divorce Lawyers | Sterling Lawyers, LLC</t>
  </si>
  <si>
    <t>https://www.sterlinglawyers.com/wisconsin/locations/oconomowoc/property-division-lawyers/</t>
  </si>
  <si>
    <t>Oconomowoc Property Division Lawyers | Sterling Lawyers, LLC</t>
  </si>
  <si>
    <t>https://www.sterlinglawyers.com/wisconsin/locations/oconomowoc/divorce-mediation-lawyers/</t>
  </si>
  <si>
    <t>Oconomowoc Divorce Mediation Lawyers | Sterling Lawyers, LLC</t>
  </si>
  <si>
    <t>https://www.sterlinglawyers.com/wisconsin/locations/oconomowoc/child-support-lawyers/</t>
  </si>
  <si>
    <t>Oconomowoc Child Support Lawyers | Sterling Lawyers, LLC</t>
  </si>
  <si>
    <t>https://www.sterlinglawyers.com/wisconsin/locations/oconomowoc/collaborative-divorce-lawyers/</t>
  </si>
  <si>
    <t>Oconomowoc Collaborative Divorce Lawyers | Sterling Lawyers, LLC</t>
  </si>
  <si>
    <t>https://www.sterlinglawyers.com/wisconsin/locations/oconomowoc/military-divorce-lawyers/</t>
  </si>
  <si>
    <t>Oconomowoc Military Divorce Lawyers | Sterling Lawyers, LLC</t>
  </si>
  <si>
    <t>https://www.sterlinglawyers.com/wisconsin/locations/oconomowoc/contested-divorce-lawyers/</t>
  </si>
  <si>
    <t>Oconomowoc Contested Divorce Lawyers | Sterling Lawyers, LLC</t>
  </si>
  <si>
    <t>https://www.sterlinglawyers.com/illinois/locations/arlington-heights/alimony-lawyers/divorce-mediation-lawyers/</t>
  </si>
  <si>
    <t>https://www.sterlinglawyers.com/wisconsin/locations/oconomowoc/child-custody-lawyers/</t>
  </si>
  <si>
    <t>Oconomowoc Child Custody Lawyers | Sterling Lawyers, LLC</t>
  </si>
  <si>
    <t>https://www.sterlinglawyers.com/wisconsin/locations/oconomowoc/paternity-lawyers/</t>
  </si>
  <si>
    <t>Oconomowoc Paternity Lawyers | Sterling Lawyers, LLC</t>
  </si>
  <si>
    <t>https://www.sterlinglawyers.com/wisconsin/attorneys</t>
  </si>
  <si>
    <t>https://www.sterlinglawyers.com/wisconsin/divorce/keep-divorce-costs-down/</t>
  </si>
  <si>
    <t>Lowering the Cost of a Wisconsin Divorce | Sterling Lawyers, LLC</t>
  </si>
  <si>
    <t>https://sterlinglawyers.com/wisconsin/divorce/litigation/</t>
  </si>
  <si>
    <t>https://www.sterlinglawyers.com/wisconsin/locations/jefferson/paternity-lawyers/</t>
  </si>
  <si>
    <t>Jefferson Paternity Lawyers | Sterling Lawyers, LLC</t>
  </si>
  <si>
    <t>https://www.sterlinglawyers.com/wisconsin/locations/jefferson/property-division-lawyers/</t>
  </si>
  <si>
    <t>Jefferson Property Division Lawyers | Sterling Lawyers, LLC</t>
  </si>
  <si>
    <t>https://www.sterlinglawyers.com/illinois/reviews/page/4/</t>
  </si>
  <si>
    <t>https://www.sterlinglawyers.com/wisconsin/locations/jefferson/military-divorce-lawyers/</t>
  </si>
  <si>
    <t>Jefferson Military Divorce Lawyers | Sterling Lawyers, LLC</t>
  </si>
  <si>
    <t>https://www.sterlinglawyers.com/wisconsin/locations/jefferson/alimony-lawyers/</t>
  </si>
  <si>
    <t>Jefferson Spousal Support Lawyers | Sterling Lawyers, LLC</t>
  </si>
  <si>
    <t>https://www.sterlinglawyers.com/wisconsin/locations/jefferson/divorce-mediation-lawyers/</t>
  </si>
  <si>
    <t>Jefferson Divorce Mediation Lawyers | Sterling Lawyers, LLC</t>
  </si>
  <si>
    <t>https://www.sterlinglawyers.com/wisconsin/locations/jefferson/child-custody-lawyers/</t>
  </si>
  <si>
    <t>Jefferson Child Custody Lawyers | Sterling Lawyers, LLC</t>
  </si>
  <si>
    <t>https://www.sterlinglawyers.com/wisconsin/locations/jefferson/collaborative-divorce-lawyers/</t>
  </si>
  <si>
    <t>Jefferson Collaborative Divorce Lawyers | Sterling Lawyers, LLC</t>
  </si>
  <si>
    <t>https://www.sterlinglawyers.com/wisconsin/locations/jefferson/uncontested-divorce-lawyers/</t>
  </si>
  <si>
    <t>Jefferson Uncontested Divorce Lawyers | Sterling Lawyers, LLC</t>
  </si>
  <si>
    <t>https://www.sterlinglawyers.com/wisconsin/locations/jefferson/contested-divorce-lawyers/</t>
  </si>
  <si>
    <t>Jefferson Contested Divorce Lawyers | Sterling Lawyers, LLC</t>
  </si>
  <si>
    <t>https://www.sterlinglawyers.com/wisconsin/locations/jefferson/child-support-lawyers/</t>
  </si>
  <si>
    <t>Jefferson Child Support Lawyers | Sterling Lawyers, LLC</t>
  </si>
  <si>
    <t>https://www.sterlinglawyers.com/wisconsin/blog/waukesha-divorce-mediation-lawyers-what-you-need-to-know/</t>
  </si>
  <si>
    <t>What You Need to Know About Waukesha Divorce Mediation Lawyers | Sterling Lawyers, LLC</t>
  </si>
  <si>
    <t>https://www.sterlinglawyers.com/wisconsin/blog/walking-through-property-division-intricacies-middleton/</t>
  </si>
  <si>
    <t>Walking through the Intricacies of Property Division with Middleton Lawyers | Sterling Lawyers, LLC</t>
  </si>
  <si>
    <t>https://www.sterlinglawyers.com/wisconsin/blog/helping-parents-establish-legal-rights-and-support-in-waukesha/</t>
  </si>
  <si>
    <t>Helping Parents Establish Legal Rights and Support for Their Children in Waukesha | Sterling Lawyers, LLC</t>
  </si>
  <si>
    <t>https://www.sterlinglawyers.com/wisconsin/blog/crafting-new-beginnings-mediation-oshkosh/</t>
  </si>
  <si>
    <t>Crafting New Beginnings with Proficient Mediation in Oshkosh | Sterling Lawyers, LLC</t>
  </si>
  <si>
    <t>https://www.sterlinglawyers.com/wisconsin/attorneys/mike-kyrios/</t>
  </si>
  <si>
    <t>https://www.sterlinglawyers.com/wisconsin/blog/helping-hand-with-brookfield-property-division-attorney/</t>
  </si>
  <si>
    <t>A Helping Hand in Difficult Times with a Brookfield Property Division Attorney | Sterling Lawyers, LLC</t>
  </si>
  <si>
    <t>https://www.sterlinglawyers.com/wp-content/uploads/wisconsin-child-support-tables.pdf</t>
  </si>
  <si>
    <t>https://www.sterlinglawyers.com/wisconsin/blog/sheboygan-lawyers-light-path-spousal-support-cases/</t>
  </si>
  <si>
    <t>How Sheboygan Lawyers Light the Path in Spousal Support Cases | Sterling Lawyers, LLC</t>
  </si>
  <si>
    <t>https://www.sterlinglawyers.com/wp-content/uploads/Wisconsin-Shared-Placement-Child-Support-Worksheet.pdf</t>
  </si>
  <si>
    <t>https://www.sterlinglawyers.com/wisconsin/divorce/absolute-divorce-basics/</t>
  </si>
  <si>
    <t>Absolute Divorce: Know the Basics | Sterling Lawyers, LLC</t>
  </si>
  <si>
    <t>https://www.sterlinglawyers.com/wisconsin/guardianship/niece-nephew/</t>
  </si>
  <si>
    <t>How to Get Custody of Your Niece or Nephew in Wisconsin | Sterling Lawyers, LLC</t>
  </si>
  <si>
    <t>https://www.sterlinglawyers.com/wisconsin/guardianship/sibling/</t>
  </si>
  <si>
    <t>How to Get Custody of Your Sibling in Wisconsin | Sterling Lawyers, LLC</t>
  </si>
  <si>
    <t>https://www.sterlinglawyers.com/wisconsin/locations/oconomowoc/alimony-lawyers/</t>
  </si>
  <si>
    <t>Oconomowoc Spousal Support Lawyers | Sterling Lawyers, LLC</t>
  </si>
  <si>
    <t>https://www.sterlinglawyers.com/wisconsin/guardianship/grandchild/</t>
  </si>
  <si>
    <t>How to Get Custody of Your Grandchild in Wisconsin | Sterling Lawyers, LLC</t>
  </si>
  <si>
    <t>https://www.sterlinglawyers.com/wisconsin/guardianship/types/</t>
  </si>
  <si>
    <t>Types of Guardianship in Wisconsin | Sterling Lawyers, LLC</t>
  </si>
  <si>
    <t>https://www.sterlinglawyers.com/wisconsin/locations/middleton/uncontested-divorce-lawyers/</t>
  </si>
  <si>
    <t>Middleton Uncontested Divorce Lawyers | Sterling Lawyers, LLC</t>
  </si>
  <si>
    <t>https://www.sterlinglawyers.com/wisconsin/guardianship/forms/</t>
  </si>
  <si>
    <t>Wisconsin Guardianship Forms | Sterling Lawyers, LLC</t>
  </si>
  <si>
    <t>https://www.sterlinglawyers.com/wisconsin/locations/middleton/divorce-mediation-lawyers/</t>
  </si>
  <si>
    <t>Middleton Divorce Mediation Lawyers | Sterling Lawyers, LLC</t>
  </si>
  <si>
    <t>https://www.sterlinglawyers.com/wisconsin/locations/middleton/child-custody-lawyers/</t>
  </si>
  <si>
    <t>Middleton Child Custody Lawyers | Sterling Lawyers, LLC</t>
  </si>
  <si>
    <t>https://www.sterlinglawyers.com/wisconsin/locations/middleton/child-support-lawyers/</t>
  </si>
  <si>
    <t>Middleton Child Support Lawyers | Sterling Lawyer, LLC</t>
  </si>
  <si>
    <t>https://www.sterlinglawyers.com/wisconsin/locations/middleton/collaborative-divorce-lawyers/</t>
  </si>
  <si>
    <t>Middleton Collaborative Divorce Lawyers | Sterling Lawyers, LLC</t>
  </si>
  <si>
    <t>https://www.sterlinglawyers.com/wisconsin/locations/middleton/paternity-lawyers/</t>
  </si>
  <si>
    <t>Middleton Paternity Lawyers | Sterling Lawyers, LLC</t>
  </si>
  <si>
    <t>https://www.sterlinglawyers.com/wisconsin/locations/middleton/contested-divorce-lawyers/</t>
  </si>
  <si>
    <t>Middleton Contested Divorce Lawyers | Sterling Lawyers, LLC</t>
  </si>
  <si>
    <t>https://www.sterlinglawyers.com/wisconsin/locations/middleton/alimony-lawyers/</t>
  </si>
  <si>
    <t>Middleton Spousal Support Lawyers | Sterling Lawyers, LLC</t>
  </si>
  <si>
    <t>https://www.sterlinglawyers.com/wisconsin/locations/middleton/property-division-lawyers/</t>
  </si>
  <si>
    <t>Middleton Property Division Lawyers | Sterling Lawyers, LLC</t>
  </si>
  <si>
    <t>https://www.sterlinglawyers.com/wisconsin/locations/middleton/military-divorce-lawyers/</t>
  </si>
  <si>
    <t>Middleton Military Divorce Lawyers | Sterling Lawyers, LLC</t>
  </si>
  <si>
    <t>https://www.sterlinglawyers.com/wisconsin/locations/oshkosh/property-division-lawyers/</t>
  </si>
  <si>
    <t>Oshkosh Property Division Lawyers | Sterling Lawyers, LLC</t>
  </si>
  <si>
    <t>https://www.sterlinglawyers.com/wisconsin/locations/oshkosh/uncontested-divorce-lawyers/</t>
  </si>
  <si>
    <t>Oshkosh Uncontested Divorce Lawyers | Sterling Lawyers, LLC</t>
  </si>
  <si>
    <t>https://www.sterlinglawyers.com/wisconsin/locations/oshkosh/paternity-lawyers/</t>
  </si>
  <si>
    <t>Oshkosh Paternity Lawyers | Sterling Lawyers, LLC</t>
  </si>
  <si>
    <t>https://www.sterlinglawyers.com/wisconsin/locations/oshkosh/collaborative-divorce-lawyers/</t>
  </si>
  <si>
    <t>Oshkosh Collaborative Divorce Lawyers | Sterling Lawyers, LLC</t>
  </si>
  <si>
    <t>https://www.sterlinglawyers.com/wisconsin/locations/oshkosh/alimony-lawyers/</t>
  </si>
  <si>
    <t>Oshkosh Spousal Support Lawyers | Sterling Lawyers, LLC</t>
  </si>
  <si>
    <t>https://www.sterlinglawyers.com/wisconsin/locations/oshkosh/divorce-mediation-lawyers/</t>
  </si>
  <si>
    <t>Oshkosh Divorce Mediation Lawyers | Sterling Lawyers, LLC</t>
  </si>
  <si>
    <t>https://www.sterlinglawyers.com/wisconsin/locations/oshkosh/contested-divorce-lawyers/</t>
  </si>
  <si>
    <t>Oshkosh Contested Divorce Lawyers | Sterling Lawyers, LLC</t>
  </si>
  <si>
    <t>https://www.sterlinglawyers.com/wisconsin/blog/swerving-obstacles-with-milwaukee-collaborative-divorce-lawyers/</t>
  </si>
  <si>
    <t>Swerving Obstacles with Milwaukee Collaborative Divorce Lawyers | Sterling Lawyers, LLC</t>
  </si>
  <si>
    <t>https://www.sterlinglawyers.com/wisconsin/locations/oshkosh/child-custody-lawyers/</t>
  </si>
  <si>
    <t>Oshkosh Child Custody Lawyers | Sterling Lawyers, LLC</t>
  </si>
  <si>
    <t>https://www.sterlinglawyers.com/wisconsin/locations/oshkosh/military-divorce-lawyers/</t>
  </si>
  <si>
    <t>Oshkosh Military Divorce Lawyers | Sterling Lawyers, LLC</t>
  </si>
  <si>
    <t>https://www.sterlinglawyers.com/wisconsin/locations/oshkosh/child-support-lawyers/</t>
  </si>
  <si>
    <t>Oshkosh Child Support Lawyers | Sterling Lawyers, LLC</t>
  </si>
  <si>
    <t>https://www.sterlinglawyers.com/Wisconsin/</t>
  </si>
  <si>
    <t>https://www.sterlinglawyers.com/Wisconsin/locations/</t>
  </si>
  <si>
    <t>https://www.sterlinglawyers.com/Wisconsin/attorneys/</t>
  </si>
  <si>
    <t>https://www.sterlinglawyers.com/wisconsin/child-support/end-orders/</t>
  </si>
  <si>
    <t>End Wisconsin Child Support Payments | Sterling Lawyers, LLC</t>
  </si>
  <si>
    <t>https://www.sterlinglawyers.com/news/divorce-property-division/</t>
  </si>
  <si>
    <t>Maneuvering Through Divorce and Property Division | Sterling Lawyers, LLC</t>
  </si>
  <si>
    <t>https://www.sterlinglawyers.com/wisconsin/divorce/find-a-new-home-after-divorce/</t>
  </si>
  <si>
    <t>Finding a New Home After a Divorce | Sterling Lawyers, LLC</t>
  </si>
  <si>
    <t>https://www.sterlinglawyers.com/wisconsin/divorce/apartment-security-deposits-and-divorce/</t>
  </si>
  <si>
    <t>Security Deposits and Divorce | Sterling Lawyers, LLC</t>
  </si>
  <si>
    <t>https://www.sterlinglawyers.com/wisconsin/locations/menomonee-falls/property-division-lawyers/</t>
  </si>
  <si>
    <t>Menomonee Falls Property Division Lawyers | Sterling Lawyers, LLC</t>
  </si>
  <si>
    <t>https://www.sterlinglawyers.com/wisconsin/locations/menomonee-falls/child-custody-lawyers/</t>
  </si>
  <si>
    <t>Menomonee Falls Child Custody Lawyers | Sterling Lawyers, LLC</t>
  </si>
  <si>
    <t>https://www.sterlinglawyers.com/wisconsin/locations/menomonee-falls/divorce-mediation-lawyers/</t>
  </si>
  <si>
    <t>Menomonee Falls Divorce Mediation Lawyers | Sterling Lawyers, LLC</t>
  </si>
  <si>
    <t>https://www.sterlinglawyers.com/wisconsin/locations/menomonee-falls/alimony-lawyers/</t>
  </si>
  <si>
    <t>Menomonee Falls Spousal Support Lawyers | Sterling Lawyers, LLC</t>
  </si>
  <si>
    <t>https://www.sterlinglawyers.com/wisconsin/locations/menomonee-falls/military-divorce-lawyers/</t>
  </si>
  <si>
    <t>Menomonee Falls Military Divorce Lawyers | Sterling Lawyers, LLC</t>
  </si>
  <si>
    <t>https://www.sterlinglawyers.com/wisconsin/locations/menomonee-falls/contested-divorce-lawyers/</t>
  </si>
  <si>
    <t>Menomonee Falls Contested Divorce Lawyers | Sterling Lawyers, LLC</t>
  </si>
  <si>
    <t>https://www.sterlinglawyers.com/wisconsin/locations/menomonee-falls/uncontested-divorce-lawyers/</t>
  </si>
  <si>
    <t>Menomonee Falls Uncontested Divorce Lawyers | Sterling Lawyers, LLC</t>
  </si>
  <si>
    <t>https://www.sterlinglawyers.com/wisconsin/locations/menomonee-falls/paternity-lawyers/</t>
  </si>
  <si>
    <t>Menomonee Falls Paternity Lawyers | Sterling Lawyers, LLC</t>
  </si>
  <si>
    <t>https://www.sterlinglawyers.com/wisconsin/locations/menomonee-falls/collaborative-divorce-lawyers/</t>
  </si>
  <si>
    <t>Menomonee Falls Collaborative Divorce Lawyers | Sterling Lawyers, LLC</t>
  </si>
  <si>
    <t>https://www.sterlinglawyers.com/wisconsin/locations/menomonee-falls/child-support-lawyers/</t>
  </si>
  <si>
    <t>Menomonee Falls Child Support Lawyers | Sterling Lawyers, LLC</t>
  </si>
  <si>
    <t>https://www.sterlinglawyers.com/wisconsin/locations/fond-du-lac/collaborative-divorce-lawyers/</t>
  </si>
  <si>
    <t>Fond du Lac Collaborative Divorce Lawyers | Sterling Lawyers</t>
  </si>
  <si>
    <t>https://www.sterlinglawyers.com/wisconsin/locations/fond-du-lac/divorce-mediation-lawyers/</t>
  </si>
  <si>
    <t>Fond du Lac Divorce Mediation Lawyers | Sterling Lawyers</t>
  </si>
  <si>
    <t>https://www.sterlinglawyers.com/wisconsin/locations/fond-du-lac/military-divorce-lawyers/</t>
  </si>
  <si>
    <t>Fond du Lac Military Divorce Lawyers | Sterling Lawyers</t>
  </si>
  <si>
    <t>https://www.sterlinglawyers.com/wisconsin/locations/fond-du-lac/alimony-lawyers/</t>
  </si>
  <si>
    <t>Fond du Lac Spousal Support Lawyers | Sterling Lawyers</t>
  </si>
  <si>
    <t>https://www.sterlinglawyers.com/wisconsin/locations/fond-du-lac/paternity-lawyers/</t>
  </si>
  <si>
    <t>Fond du Lac Paternity Lawyers | Sterling Lawyers</t>
  </si>
  <si>
    <t>https://www.sterlinglawyers.com/wisconsin/locations/fond-du-lac/child-support-lawyers/</t>
  </si>
  <si>
    <t>Fond du Lac Child Support Lawyers | Sterling Lawyers</t>
  </si>
  <si>
    <t>https://www.sterlinglawyers.com/wisconsin/locations/fond-du-lac/property-division-lawyers/</t>
  </si>
  <si>
    <t>Fond du Lac Property Division Lawyers | Sterling Lawyers</t>
  </si>
  <si>
    <t>https://www.sterlinglawyers.com/wisconsin/locations/fond-du-lac/contested-divorce-lawyers/</t>
  </si>
  <si>
    <t>Fond du Lac Contested Divorce Lawyers | Sterling Lawyers</t>
  </si>
  <si>
    <t>https://www.sterlinglawyers.com/wisconsin/locations/fond-du-lac/child-custody-lawyers/</t>
  </si>
  <si>
    <t>Fond du Lac Child Custody Lawyers | Sterling Lawyers</t>
  </si>
  <si>
    <t>https://www.sterlinglawyers.com/wisconsin/locations/waukesha/divorce-mediation-lawyers/</t>
  </si>
  <si>
    <t>Waukesha Divorce Mediation Lawyers | Sterling Lawyers, LLC</t>
  </si>
  <si>
    <t>https://www.sterlinglawyers.com/wisconsin/locations/fond-du-lac/uncontested-divorce-lawyers/</t>
  </si>
  <si>
    <t>Fond du Lac Uncontested Divorce Lawyers | Sterling Lawyers</t>
  </si>
  <si>
    <t>https://www.sterlinglawyers.com/wisconsin/locations/waukesha/contested-divorce-lawyers/</t>
  </si>
  <si>
    <t>Waukesha Contested Divorce Lawyers | Sterling Lawyers, LLC</t>
  </si>
  <si>
    <t>https://www.sterlinglawyers.com/wisconsin/locations/waukesha/paternity-lawyers/</t>
  </si>
  <si>
    <t>Waukesha Paternity Lawyers | Sterling Lawyers, LLC</t>
  </si>
  <si>
    <t>https://www.sterlinglawyers.com/wisconsin/locations/waukesha/child-support-lawyers/</t>
  </si>
  <si>
    <t>Waukesha Child Support Lawyers | Sterling Lawyers, LLC</t>
  </si>
  <si>
    <t>https://www.sterlinglawyers.com/wisconsin/locations/waukesha/military-divorce-lawyers/</t>
  </si>
  <si>
    <t>Waukesha Military Divorce Lawyers | Sterling Lawyers, LLC</t>
  </si>
  <si>
    <t>https://www.sterlinglawyers.com/wisconsin/locations/waukesha/property-division-lawyers/</t>
  </si>
  <si>
    <t>Waukesha Property Division Lawyers | Sterling Lawyers, LLC</t>
  </si>
  <si>
    <t>https://www.sterlinglawyers.com/wisconsin/locations/waukesha/collaborative-divorce-lawyers/</t>
  </si>
  <si>
    <t>Waukesha Collaborative Divorce Lawyers | Sterling Lawyers, LLC</t>
  </si>
  <si>
    <t>https://www.sterlinglawyers.com/wisconsin/locations/waukesha/uncontested-divorce-lawyers/</t>
  </si>
  <si>
    <t>Waukesha Uncontested Divorce Lawyers | Sterling Lawyers, LLC</t>
  </si>
  <si>
    <t>https://www.sterlinglawyers.com/wisconsin/locations/waukesha/alimony-lawyers/</t>
  </si>
  <si>
    <t>Waukesha Spousal Support Lawyers | Sterling Lawyers, LLC</t>
  </si>
  <si>
    <t>https://www.sterlinglawyers.com/wisconsin/locations/waukesha/child-custody-lawyers/</t>
  </si>
  <si>
    <t>Waukesha Child Custody Lawyers | Sterling Lawyers, LLC</t>
  </si>
  <si>
    <t>https://www.sterlinglawyers.com/wisconsin/child-support/enforce-orders/</t>
  </si>
  <si>
    <t>Enforce Wisconsin Child Support Orders | Sterling Lawyers, LLC</t>
  </si>
  <si>
    <t>https://www.sterlinglawyers.com/wisconsin/child-support/child-support-payments-and-exceptions/</t>
  </si>
  <si>
    <t>Child Support Payments and Exceptions | Sterling Lawyers, LLC</t>
  </si>
  <si>
    <t>https://www.sterlinglawyers.com/wisconsin/child-support/can-failure-pay-felony/</t>
  </si>
  <si>
    <t>Can Failure to Pay Child Support Be a Felony in Wisconsin? | Sterling Lawyers, LLC</t>
  </si>
  <si>
    <t>https://www.sterlinglawyers.com/wisconsin/child-support/child-support-enforcement-agencies/</t>
  </si>
  <si>
    <t>What Are Child Support Enforcement Agencies? | Sterling Lawyers, LLC</t>
  </si>
  <si>
    <t>https://www.sterlinglawyers.com/wisconsin/child-support/child-support-and-large-combined-incomes/</t>
  </si>
  <si>
    <t>Child Support Payments &amp; Large Combined Incomes | Sterling Lawyers, LLC</t>
  </si>
  <si>
    <t>https://www.sterlinglawyers.com/wisconsin/child-support/what-happens-if-i-can-no-longer-pay-child-support/</t>
  </si>
  <si>
    <t>Child Support and Visitation Rights in Wisconsin | Sterling Lawyers, LLC</t>
  </si>
  <si>
    <t>https://www.sterlinglawyers.com/wisconsin/child-custody/will-my-child-have-to-speak-in-court/</t>
  </si>
  <si>
    <t>Will My Child Have to Speak in Court? | Sterling Lawyers, LLC</t>
  </si>
  <si>
    <t>https://www.sterlinglawyers.com/wisconsin/property-division/pitfalls-of-couples-separating-who-were-never-married/</t>
  </si>
  <si>
    <t>Pitfalls of Couples Separating Who Were Never Married | Sterling Lawyers, LLC</t>
  </si>
  <si>
    <t>https://www.sterlinglawyers.com/wisconsin/property-division/unilateral-severance-prohibition/</t>
  </si>
  <si>
    <t>Unilateral Severance Prohibition | Sterling Lawyers, LLC</t>
  </si>
  <si>
    <t>https://www.sterlinglawyers.com/wisconsin/child-custody/during-divorce/</t>
  </si>
  <si>
    <t>Custody &amp; Divorce in Wisconsin | Sterling Lawyers, LLC</t>
  </si>
  <si>
    <t>https://www.sterlinglawyers.com/wisconsin/child-support/stepparents-pay-child-support/</t>
  </si>
  <si>
    <t>Stepparents and Child Support | Sterling Lawyers, LLC</t>
  </si>
  <si>
    <t>https://www.sterlinglawyers.com/wisconsin/property-division/enforce-orders/</t>
  </si>
  <si>
    <t>Enforce Wisconsin Property Division Orders | Sterling Lawyers, LLC</t>
  </si>
  <si>
    <t>https://www.sterlinglawyers.com/wisconsin/child-support/increased-income-affect-child-support/</t>
  </si>
  <si>
    <t>Will an Increase in Income Cause Child Support to Increase? | Sterling Lawyers, LLC</t>
  </si>
  <si>
    <t>https://www.sterlinglawyers.com/wisconsin/child-custody/ex-behaving-badly-in-front-of-kids/</t>
  </si>
  <si>
    <t>Ex Behaving Badly in Front of Kids | Sterling Lawyers, LLC</t>
  </si>
  <si>
    <t>https://www.sterlinglawyers.com/wisconsin/child-custody/parenting-coordinator/</t>
  </si>
  <si>
    <t>What Are Parenting Coordinators? | Sterling Lawyers, LLC</t>
  </si>
  <si>
    <t>https://www.sterlinglawyers.com/wisconsin/child-custody/civil-contempt-proceedings-and-child-custody/</t>
  </si>
  <si>
    <t>Civil Contempt Proceedings and Attorneys Fees | Sterling Lawyers, LLC</t>
  </si>
  <si>
    <t>https://www.sterlinglawyers.com/wisconsin/child-custody/custody-evaluator-and-child-custody/</t>
  </si>
  <si>
    <t>What Does a Custody Evaluator Do? | Sterling Lawyers, LLC</t>
  </si>
  <si>
    <t>https://www.sterlinglawyers.com/wp-content/uploads/response-and-counderclaim-fa-4113v.pdf</t>
  </si>
  <si>
    <t>STATE OF WISCONSIN, CIRCUIT COURT,</t>
  </si>
  <si>
    <t>https://www.sterlinglawyers.com/wisconsin/child-custody/custody-process/</t>
  </si>
  <si>
    <t>10 Steps to a Child Custody Case in Wisconsin | Sterling Lawyers, LLC</t>
  </si>
  <si>
    <t>https://www.sterlinglawyers.com/wisconsin/divorce/dealing-with-emotional-pain/</t>
  </si>
  <si>
    <t>Dealing with Emotional Pain During a Divorce | Sterling Lawyers, LLC</t>
  </si>
  <si>
    <t>https://www.sterlinglawyers.com/wisconsin/divorce/learning-to-work-together-again-starting-fresh/</t>
  </si>
  <si>
    <t>Learning to Work Together Again | Sterling Lawyers, LLC</t>
  </si>
  <si>
    <t>https://www.sterlinglawyers.com/wisconsin/divorce/10-dos-and-donts-in-divorce/</t>
  </si>
  <si>
    <t>10 Do's and Don'ts in Divorce | Sterling Lawyers, LLC</t>
  </si>
  <si>
    <t>https://www.sterlinglawyers.com/wisconsin/divorce/when-your-exs-belongings-clutter-your-space/</t>
  </si>
  <si>
    <t>When Your Ex's Belongings Clutter Your Space | Sterling Lawyers, LLC</t>
  </si>
  <si>
    <t>https://www.sterlinglawyers.com/wisconsin/areas/sauk-county/</t>
  </si>
  <si>
    <t>Sauk County Family Law &amp; Divorce Lawyers | Sterling Lawyers, LLC</t>
  </si>
  <si>
    <t>https://www.sterlinglawyers.com/wisconsin/areas/outagamie-county/buchanan/</t>
  </si>
  <si>
    <t>Buchanan Divorce Lawyers | Sterling Lawyers, LLC</t>
  </si>
  <si>
    <t>https://www.sterlinglawyers.com/wisconsin/areas/shawano-county/shawano/</t>
  </si>
  <si>
    <t>Shawano Family Law &amp; Divorce Lawyers | Sterling Lawyers, LLC</t>
  </si>
  <si>
    <t>https://www.sterlinglawyers.com/wisconsin/areas/dane-county/deforest/</t>
  </si>
  <si>
    <t>Deforest Family Law &amp; Divorce Lawyers | Sterling Lawyers, LLC</t>
  </si>
  <si>
    <t>https://www.sterlinglawyers.com/wisconsin/areas/st-croix-county/hudson/</t>
  </si>
  <si>
    <t>Hudson Family Law &amp; Divorce Lawyers | Sterling Lawyers, LLC</t>
  </si>
  <si>
    <t>https://www.sterlinglawyers.com/wisconsin/areas/milwaukee-county/st-francis/</t>
  </si>
  <si>
    <t>St. Francis Family Law &amp; Divorce Lawyers | Sterling Lawyers, LLC</t>
  </si>
  <si>
    <t>https://www.sterlinglawyers.com/wisconsin/areas/jefferson-county/fort-atkinson/</t>
  </si>
  <si>
    <t>Fort Atkinson Divorce Lawyers | Sterling Lawyers, LLC</t>
  </si>
  <si>
    <t>https://www.sterlinglawyers.com/wisconsin/areas/ozaukee-county/cedarburg/</t>
  </si>
  <si>
    <t>Cedarburg Divorce Lawyers | Sterling Lawyers, LLC</t>
  </si>
  <si>
    <t>https://www.sterlinglawyers.com/wisconsin/areas/outagamie-county/oneida/</t>
  </si>
  <si>
    <t>Oneida Family Law &amp; Divorce Lawyers | Sterling Lawyers, LLC</t>
  </si>
  <si>
    <t>https://www.sterlinglawyers.com/wisconsin/areas/waukesha-county/wales/</t>
  </si>
  <si>
    <t>Wales Family Law &amp; Divorce Lawyers | Sterling Lawyers, LLC</t>
  </si>
  <si>
    <t>https://www.sterlinglawyers.com/wisconsin/areas/door-county/</t>
  </si>
  <si>
    <t>Door County Family Law &amp; Divorce Lawyers | Sterling Lawyers, LLC</t>
  </si>
  <si>
    <t>https://www.sterlinglawyers.com/wisconsin/areas/calumet-county/</t>
  </si>
  <si>
    <t>Calumet County Family Law &amp; Divorce Lawyers | Sterling Lawyers, LLC</t>
  </si>
  <si>
    <t>https://www.sterlinglawyers.com/wisconsin/areas/monroe-county/tomah/</t>
  </si>
  <si>
    <t>Tomah Family Law &amp; Divorce Lawyers | Sterling Lawyers, LLC</t>
  </si>
  <si>
    <t>https://www.sterlinglawyers.com/wisconsin/areas/brown-county/bellevue/</t>
  </si>
  <si>
    <t>Bellevue Family Law &amp; Divorce Lawyers | Sterling Lawyers, LLC</t>
  </si>
  <si>
    <t>https://www.sterlinglawyers.com/wisconsin/areas/green-lake-county/</t>
  </si>
  <si>
    <t>Green Lake County Family Law &amp; Divorce Lawyers | Sterling Lawyers, LLC</t>
  </si>
  <si>
    <t>https://www.sterlinglawyers.com/wisconsin/areas/waukesha-county/pewaukee/</t>
  </si>
  <si>
    <t>Pewaukee Family Law &amp; Divorce Lawyers | Sterling Lawyers, LLC</t>
  </si>
  <si>
    <t>https://www.sterlinglawyers.com/wisconsin/areas/outagamie-county/</t>
  </si>
  <si>
    <t>Outagamie County Divorce Lawyers | Sterling Lawyers, LLC</t>
  </si>
  <si>
    <t>https://www.sterlinglawyers.com/wisconsin/areas/door-county/sturgeon-bay/</t>
  </si>
  <si>
    <t>Sturgeon Bay Family Law &amp; Divorce Lawyers | Sterling Lawyers, LLC</t>
  </si>
  <si>
    <t>https://www.sterlinglawyers.com/wisconsin/areas/racine-county/</t>
  </si>
  <si>
    <t>Racine County Family Law &amp; Divorce Lawyers | Sterling Lawyers, LLC</t>
  </si>
  <si>
    <t>https://www.sterlinglawyers.com/wisconsin/areas/winnebago-county/fox-crossing/</t>
  </si>
  <si>
    <t>Fox Crossing Family Law &amp; Divorce Lawyers | Sterling Lawyers, LLC</t>
  </si>
  <si>
    <t>https://www.sterlinglawyers.com/wisconsin/areas/waukesha-county/merton/</t>
  </si>
  <si>
    <t>Merton Family Law &amp; Divorce Lawyers | Sterling Lawyers, LLC</t>
  </si>
  <si>
    <t>https://www.sterlinglawyers.com/wisconsin/areas/ozaukee-county/</t>
  </si>
  <si>
    <t>Ozaukee County Family Law &amp; Divorce Lawyers | Sterling Lawyers, LLC</t>
  </si>
  <si>
    <t>https://www.sterlinglawyers.com/wisconsin/areas/kenosha-county/salem-lakes/</t>
  </si>
  <si>
    <t>Salem Lakes Family Law &amp; Divorce Lawyers | Sterling Lawyers, LLC</t>
  </si>
  <si>
    <t>https://www.sterlinglawyers.com/wisconsin/areas/waukesha-county/elm-grove/</t>
  </si>
  <si>
    <t>Elm Grove Divorce Lawyers | Sterling Lawyers, LLC</t>
  </si>
  <si>
    <t>https://www.sterlinglawyers.com/wisconsin/areas/milwaukee-county/hales-corners/</t>
  </si>
  <si>
    <t>Hales Corners Family Law &amp; Divorce Lawyers | Sterling Lawyers, LLC</t>
  </si>
  <si>
    <t>https://www.sterlinglawyers.com/wisconsin/areas/sheboygan-county/sheboygan-falls/</t>
  </si>
  <si>
    <t>Sheboygan Falls Family Law &amp; Divorce Lawyers | Sterling Lawyers, LLC</t>
  </si>
  <si>
    <t>https://www.sterlinglawyers.com/wisconsin/areas/bayfield-county/</t>
  </si>
  <si>
    <t>Bayfield County Family Law &amp; Divorce Lawyers | Sterling Lawyers, LLC</t>
  </si>
  <si>
    <t>https://www.sterlinglawyers.com/wisconsin/areas/grant-county/</t>
  </si>
  <si>
    <t>Grant County Family Law &amp; Divorce Lawyers | Sterling Lawyers, LLC</t>
  </si>
  <si>
    <t>https://www.sterlinglawyers.com/wisconsin/areas/adams-county/</t>
  </si>
  <si>
    <t>Adams County Family Law &amp; Divorce Lawyers | Sterling Lawyers, LLC</t>
  </si>
  <si>
    <t>https://www.sterlinglawyers.com/wisconsin/areas/fond-du-lac-county/ripon/</t>
  </si>
  <si>
    <t>Ripon Divorce Lawyers | Sterling Lawyers, LLC</t>
  </si>
  <si>
    <t>https://www.sterlinglawyers.com/wisconsin/areas/trempealeau-county/</t>
  </si>
  <si>
    <t>Trempealeau County Family Law &amp; Divorce Lawyers | Sterling Lawyers, LLC</t>
  </si>
  <si>
    <t>https://www.sterlinglawyers.com/wisconsin/areas/marathon-county/</t>
  </si>
  <si>
    <t>Marathon County Family Law &amp; Divorce Lawyers | Sterling Lawyers, LLC</t>
  </si>
  <si>
    <t>https://www.sterlinglawyers.com/wisconsin/areas/waukesha-county/new-berlin/</t>
  </si>
  <si>
    <t>New Berlin Family Law &amp; Divorce Lawyers | Sterling Lawyers, LLC</t>
  </si>
  <si>
    <t>https://www.sterlinglawyers.com/wisconsin/areas/sheboygan-county/plymouth/</t>
  </si>
  <si>
    <t>Plymouth Family Law &amp; Divorce Lawyers | Sterling Lawyers, LLC</t>
  </si>
  <si>
    <t>https://www.sterlinglawyers.com/wisconsin/areas/la-crosse-county/onalaska/</t>
  </si>
  <si>
    <t>Onalaska Family Law &amp; Divorce Lawyers | Sterling Lawyers, LLC</t>
  </si>
  <si>
    <t>https://www.sterlinglawyers.com/wisconsin/areas/waukesha-county/genesee/</t>
  </si>
  <si>
    <t>Genesee Divorce Lawyers | Sterling Lawyers, LLC</t>
  </si>
  <si>
    <t>https://www.sterlinglawyers.com/wisconsin/areas/dane-county/mount-horeb/</t>
  </si>
  <si>
    <t>Mount Horeb Divorce Lawyers | Sterling Lawyers, LLC</t>
  </si>
  <si>
    <t>https://www.sterlinglawyers.com/wisconsin/areas/marinette-county/marinette/</t>
  </si>
  <si>
    <t>Marinette Family Law &amp; Divorce Lawyers | Sterling Lawyers, LLC</t>
  </si>
  <si>
    <t>https://www.sterlinglawyers.com/wisconsin/areas/outagamie-county/little-chute/</t>
  </si>
  <si>
    <t>Little Chute Divorce Lawyers | Sterling Lawyers, LLC</t>
  </si>
  <si>
    <t>https://www.sterlinglawyers.com/wisconsin/areas/milwaukee-county/wauwatosa/</t>
  </si>
  <si>
    <t>Wauwatosa Divorce Lawyers | Sterling Lawyers, LLC</t>
  </si>
  <si>
    <t>https://www.sterlinglawyers.com/wisconsin/areas/dane-county/stoughton/</t>
  </si>
  <si>
    <t>Stoughton Family Law &amp; Divorce Lawyers | Sterling Lawyers, LLC</t>
  </si>
  <si>
    <t>https://www.sterlinglawyers.com/wisconsin/areas/jackson-county/</t>
  </si>
  <si>
    <t>Jackson County Family Law &amp; Divorce Lawyers | Sterling Lawyers, LLC</t>
  </si>
  <si>
    <t>https://www.sterlinglawyers.com/wisconsin/areas/monroe-county/sparta/</t>
  </si>
  <si>
    <t>Sparta Family Law &amp; Divorce Lawyers | Sterling Lawyers, LLC</t>
  </si>
  <si>
    <t>https://www.sterlinglawyers.com/wisconsin/areas/waukesha-county/vernon/</t>
  </si>
  <si>
    <t>Vernon Family Law &amp; Divorce Lawyers | Sterling Lawyers, LLC</t>
  </si>
  <si>
    <t>https://www.sterlinglawyers.com/wisconsin/areas/waukesha-county/mukwonago/</t>
  </si>
  <si>
    <t>Mukwanago Family Law &amp; Divorce Lawyers | Sterling Lawyers, LLC</t>
  </si>
  <si>
    <t>https://www.sterlinglawyers.com/wisconsin/areas/milwaukee-county/cudahy/</t>
  </si>
  <si>
    <t>Cudahy Divorce Lawyers | Sterling Lawyers, LLC</t>
  </si>
  <si>
    <t>https://www.sterlinglawyers.com/wisconsin/areas/marathon-county/wausau/</t>
  </si>
  <si>
    <t>Wausau Family Law &amp; Divorce Lawyers | Sterling Lawyers, LLC</t>
  </si>
  <si>
    <t>https://www.sterlinglawyers.com/wisconsin/areas/manitowoc-county/manitowoc/</t>
  </si>
  <si>
    <t>Manitowoc Divorce Lawyers | Sterling Lawyers, LLC</t>
  </si>
  <si>
    <t>https://www.sterlinglawyers.com/wisconsin/areas/vernon-county/</t>
  </si>
  <si>
    <t>Vernon County Family Law &amp; Divorce Lawyers | Sterling Lawyers, LLC</t>
  </si>
  <si>
    <t>https://www.sterlinglawyers.com/wisconsin/areas/waushara-county/</t>
  </si>
  <si>
    <t>Waushara County Family Law &amp; Divorce Lawyers | Sterling Lawyers, LLC</t>
  </si>
  <si>
    <t>https://www.sterlinglawyers.com/wisconsin/areas/juneau-county/</t>
  </si>
  <si>
    <t>Juneau County Family Law &amp; Divorce Lawyers | Sterling Lawyers, LLC</t>
  </si>
  <si>
    <t>https://www.sterlinglawyers.com/wisconsin/areas/washington-county/</t>
  </si>
  <si>
    <t>Washington County Divorce Lawyers | Sterling Lawyers, LLC</t>
  </si>
  <si>
    <t>https://www.sterlinglawyers.com/wisconsin/areas/dane-county/monona/</t>
  </si>
  <si>
    <t>Monona Family Law &amp; Divorce Lawyers | Sterling Lawyers, LLC</t>
  </si>
  <si>
    <t>https://www.sterlinglawyers.com/wisconsin/areas/oneida-county/</t>
  </si>
  <si>
    <t>Oneida County Family Law &amp; Divorce Lawyers | Sterling Lawyers, LLC</t>
  </si>
  <si>
    <t>https://www.sterlinglawyers.com/wisconsin/areas/walworth-county/delevan/</t>
  </si>
  <si>
    <t>Delevan Family Law &amp; Divorce Lawyers | Sterling Lawyers, LLC</t>
  </si>
  <si>
    <t>https://www.sterlinglawyers.com/wisconsin/areas/st-croix-county/new-richmond/</t>
  </si>
  <si>
    <t>New Richmond Family Law &amp; Divorce Lawyers | Sterling Lawyers, LLC</t>
  </si>
  <si>
    <t>https://www.sterlinglawyers.com/wisconsin/areas/milwaukee-county/greendale/</t>
  </si>
  <si>
    <t>Greendale Divorce Lawyers | Sterling Lawyers, LLC</t>
  </si>
  <si>
    <t>https://www.sterlinglawyers.com/wisconsin/areas/milwaukee-county/south-milwaukee/</t>
  </si>
  <si>
    <t>South Milwaukee Divorce Lawyers | Sterling Lawyers, LLC</t>
  </si>
  <si>
    <t>https://www.sterlinglawyers.com/wisconsin/areas/portage-county/</t>
  </si>
  <si>
    <t>Portage County Family Law &amp; Divorce Lawyers | Sterling Lawyers, LLC</t>
  </si>
  <si>
    <t>https://www.sterlinglawyers.com/wisconsin/areas/fond-du-lac-county/</t>
  </si>
  <si>
    <t>Fond du Lac County Divorce Lawyers | Sterling Lawyers, LLC</t>
  </si>
  <si>
    <t>https://www.sterlinglawyers.com/wisconsin/areas/outagamie-county/kimberly/</t>
  </si>
  <si>
    <t>Kimberly Family Law &amp; Divorce Lawyers | Sterling Lawyers, LLC</t>
  </si>
  <si>
    <t>https://www.sterlinglawyers.com/wisconsin/areas/washburn-county/</t>
  </si>
  <si>
    <t>Washburn County Family Law &amp; Divorce Lawyers | Sterling Lawyers, LLC</t>
  </si>
  <si>
    <t>https://www.sterlinglawyers.com/wisconsin/areas/brown-county/</t>
  </si>
  <si>
    <t>Brown County Divorce Lawyers | Sterling Lawyers, LLC</t>
  </si>
  <si>
    <t>https://www.sterlinglawyers.com/wisconsin/areas/sawyer-county/</t>
  </si>
  <si>
    <t>Sawyer County Family Law &amp; Divorce Lawyers | Sterling Lawyers, LLC</t>
  </si>
  <si>
    <t>https://www.sterlinglawyers.com/wisconsin/areas/monroe-county/</t>
  </si>
  <si>
    <t>Monroe County Family Law &amp; Divorce Lawyers | Sterling Lawyers, LLC</t>
  </si>
  <si>
    <t>https://www.sterlinglawyers.com/wisconsin/areas/green-county/</t>
  </si>
  <si>
    <t>Green County Divorce Lawyers | Sterling Lawyers, LLC</t>
  </si>
  <si>
    <t>https://www.sterlinglawyers.com/wisconsin/areas/kewaunee-county/</t>
  </si>
  <si>
    <t>Kewaunee County Divorce Lawyers | Sterling Lawyers, LLC</t>
  </si>
  <si>
    <t>https://www.sterlinglawyers.com/wisconsin/areas/waukesha-county/north-prairie/</t>
  </si>
  <si>
    <t>North Prairie Family Law &amp; Divorce Lawyers | Sterling Lawyers, LLC</t>
  </si>
  <si>
    <t>https://www.sterlinglawyers.com/wisconsin/areas/lincoln-county/merrill/</t>
  </si>
  <si>
    <t>Merrill Family Law &amp; Divorce Lawyers | Sterling Lawyers, LLC</t>
  </si>
  <si>
    <t>https://www.sterlinglawyers.com/wisconsin/areas/sheboygan-county/</t>
  </si>
  <si>
    <t>Sheboygan County Family Law &amp; Divorce Lawyers | Sterling Lawyers, LLC</t>
  </si>
  <si>
    <t>https://www.sterlinglawyers.com/wisconsin/areas/walworth-county/</t>
  </si>
  <si>
    <t>Walworth County Family Law &amp; Divorce Lawyers | Sterling Lawyers, LLC</t>
  </si>
  <si>
    <t>https://www.sterlinglawyers.com/wisconsin/areas/grant-county/platteville/</t>
  </si>
  <si>
    <t>Platteville Family Law &amp; Divorce Lawyers | Sterling Lawyers, LLC</t>
  </si>
  <si>
    <t>https://www.sterlinglawyers.com/wisconsin/areas/eau-claire-county/washington/</t>
  </si>
  <si>
    <t>Washington Family Law &amp; Divorce Lawyers | Sterling Lawyers, LLC</t>
  </si>
  <si>
    <t>https://www.sterlinglawyers.com/wisconsin/areas/dane-county/waunakee/</t>
  </si>
  <si>
    <t>Waunakee Family Law &amp; Divorce Lawyers | Sterling Lawyers, LLC</t>
  </si>
  <si>
    <t>https://www.sterlinglawyers.com/wisconsin/areas/eau-claire-county/</t>
  </si>
  <si>
    <t>Eau Claire County Family Law &amp; Divorce Lawyers | Sterling Lawyers, LLC</t>
  </si>
  <si>
    <t>https://www.sterlinglawyers.com/wisconsin/areas/milwaukee-county/west-allis/</t>
  </si>
  <si>
    <t>West Allis Divorce Lawyers | Sterling Lawyers, LLC</t>
  </si>
  <si>
    <t>https://www.sterlinglawyers.com/wisconsin/areas/racine-county/mount-pleasant/</t>
  </si>
  <si>
    <t>Mount Pleasant Family Law &amp; Divorce Lawyers | Sterling Lawyers, LLC</t>
  </si>
  <si>
    <t>https://www.sterlinglawyers.com/wisconsin/areas/wood-county/grand-rapids/</t>
  </si>
  <si>
    <t>Grand Rapids Family Law &amp; Divorce Lawyers | Sterling Lawyers, LLC</t>
  </si>
  <si>
    <t>https://www.sterlinglawyers.com/wisconsin/areas/dunn-county/menomonie/</t>
  </si>
  <si>
    <t>Menomonie Family Law &amp; Divorce Lawyers | Sterling Lawyers, LLC</t>
  </si>
  <si>
    <t>https://www.sterlinglawyers.com/wisconsin/areas/dane-county/</t>
  </si>
  <si>
    <t>Dane County Divorce Lawyers | Sterling Lawyers, LLC</t>
  </si>
  <si>
    <t>https://www.sterlinglawyers.com/wisconsin/areas/iowa-county/</t>
  </si>
  <si>
    <t>Iowa County Family Law &amp; Divorce Lawyers | Sterling Lawyers, LLC</t>
  </si>
  <si>
    <t>https://www.sterlinglawyers.com/wisconsin/areas/milwaukee-county/franklin/</t>
  </si>
  <si>
    <t>Franklin Divorce Lawyers | Sterling Lawyers, LLC</t>
  </si>
  <si>
    <t>https://www.sterlinglawyers.com/wisconsin/areas/rock-county/</t>
  </si>
  <si>
    <t>Rock County Family Law &amp; Divorce Lawyers | Sterling Lawyers, LLC</t>
  </si>
  <si>
    <t>https://www.sterlinglawyers.com/wisconsin/areas/washington-county/richfield/</t>
  </si>
  <si>
    <t>Richfield Family Law &amp; Divorce Lawyers | Sterling Lawyers, LLC</t>
  </si>
  <si>
    <t>https://www.sterlinglawyers.com/wisconsin/areas/vilas-county/</t>
  </si>
  <si>
    <t>Vilas County Family Law &amp; Divorce Lawyers | Sterling Lawyers, LLC</t>
  </si>
  <si>
    <t>https://www.sterlinglawyers.com/wisconsin/areas/marathon-county/weston/</t>
  </si>
  <si>
    <t>Weston Family Law &amp; Divorce Lawyers | Sterling Lawyers, LLC</t>
  </si>
  <si>
    <t>https://www.sterlinglawyers.com/wisconsin/areas/winnebago-county/</t>
  </si>
  <si>
    <t>Winnebago County Divorce Lawyers | Sterling Lawyers, LLC</t>
  </si>
  <si>
    <t>https://www.sterlinglawyers.com/wisconsin/areas/barron-county/</t>
  </si>
  <si>
    <t>Barron County Family Law &amp; Divorce Lawyers | Sterling Lawyers, LLC</t>
  </si>
  <si>
    <t>https://www.sterlinglawyers.com/wisconsin/areas/wood-county/wisconsin-rapids/</t>
  </si>
  <si>
    <t>Wisconsin Rapids Family Law &amp; Divorce Lawyers | Sterling Lawyers, LLC</t>
  </si>
  <si>
    <t>https://www.sterlinglawyers.com/wisconsin/areas/waukesha-county/muskego/</t>
  </si>
  <si>
    <t>Muskego Divorce Lawyers | Sterling Lawyers, LLC</t>
  </si>
  <si>
    <t>https://www.sterlinglawyers.com/wisconsin/areas/douglas-county/</t>
  </si>
  <si>
    <t>Douglas County Family Law &amp; Divorce Lawyers | Sterling Lawyers, LLC</t>
  </si>
  <si>
    <t>https://www.sterlinglawyers.com/wisconsin/areas/polk-county/</t>
  </si>
  <si>
    <t>Polk County Family Law &amp; Divorce Lawyers | Sterling Lawyers, LLC</t>
  </si>
  <si>
    <t>https://www.sterlinglawyers.com/wisconsin/areas/waupaca-county/</t>
  </si>
  <si>
    <t>Waupaca County Divorce Lawyers | Sterling Lawyers, LLC</t>
  </si>
  <si>
    <t>https://www.sterlinglawyers.com/wisconsin/areas/winnebago-county/menasha/</t>
  </si>
  <si>
    <t>Menasha Divorce Lawyers | Sterling Lawyers, LLC</t>
  </si>
  <si>
    <t>https://www.sterlinglawyers.com/wisconsin/areas/dane-county/sun-prairie/</t>
  </si>
  <si>
    <t>Sun Prairie Family Law &amp; Divorce Lawyers | Sterling Lawyers, LLC</t>
  </si>
  <si>
    <t>https://www.sterlinglawyers.com/wisconsin/areas/marinette-county/</t>
  </si>
  <si>
    <t>Marinette County Family Law &amp; Divorce Lawyers | Sterling Lawyers, LLC</t>
  </si>
  <si>
    <t>https://www.sterlinglawyers.com/wisconsin/areas/milwaukee-county/glendale/</t>
  </si>
  <si>
    <t>Glendale Divorce Lawyers | Sterling Lawyers, LLC</t>
  </si>
  <si>
    <t>https://www.sterlinglawyers.com/wisconsin/areas/marquette-county/</t>
  </si>
  <si>
    <t>Marquette County Family Law &amp; Divorce Lawyers | Sterling Lawyers, LLC</t>
  </si>
  <si>
    <t>https://www.sterlinglawyers.com/wisconsin/areas/milwaukee-county/shorewood/</t>
  </si>
  <si>
    <t>Shorewood Family Law &amp; Divorce Lawyers | Sterling Lawyers, LLC</t>
  </si>
  <si>
    <t>https://www.sterlinglawyers.com/wisconsin/areas/waupaca-county/new-london/</t>
  </si>
  <si>
    <t>New London Divorce Lawyers | Sterling Lawyers, LLC</t>
  </si>
  <si>
    <t>https://www.sterlinglawyers.com/wisconsin/areas/columbia-county/</t>
  </si>
  <si>
    <t>Columbia County Divorce Lawyers | Sterling Lawyers, LLC</t>
  </si>
  <si>
    <t>https://www.sterlinglawyers.com/wisconsin/areas/brown-county/suamico/</t>
  </si>
  <si>
    <t>Suamico Family Law &amp; Divorce Lawyers | Sterling Lawyers, LLC</t>
  </si>
  <si>
    <t>https://www.sterlinglawyers.com/wisconsin/areas/langlade-county/</t>
  </si>
  <si>
    <t>Langlade County Family Law &amp; Divorce Lawyers | Sterling Lawyers, LLC</t>
  </si>
  <si>
    <t>https://www.sterlinglawyers.com/wisconsin/areas/la-crosse-county/holmen/</t>
  </si>
  <si>
    <t>Holmen Family Law &amp; Divorce Lawyers | Sterling Lawyers, LLC</t>
  </si>
  <si>
    <t>https://www.sterlinglawyers.com/wisconsin/areas/winnebago-county/neenah/</t>
  </si>
  <si>
    <t>Neenah Divorce Lawyers | Sterling Lawyers, LLC</t>
  </si>
  <si>
    <t>https://www.sterlinglawyers.com/wisconsin/areas/columbia-county/portage/</t>
  </si>
  <si>
    <t>Portage Divorce Lawyers | Sterling Lawyers, LLC</t>
  </si>
  <si>
    <t>https://www.sterlinglawyers.com/wisconsin/areas/lincoln-county/</t>
  </si>
  <si>
    <t>Lincoln County Family Law &amp; Divorce Lawyers | Sterling Lawyers, LLC</t>
  </si>
  <si>
    <t>https://www.sterlinglawyers.com/wisconsin/areas/dodge-county/waupun/</t>
  </si>
  <si>
    <t>Waupun Divorce Lawyers | Sterling Lawyers, LLC</t>
  </si>
  <si>
    <t>https://www.sterlinglawyers.com/wisconsin/areas/oconto-county/</t>
  </si>
  <si>
    <t>Oconto County Family Law &amp; Divorce Lawyers | Sterling Lawyers, LLC</t>
  </si>
  <si>
    <t>https://www.sterlinglawyers.com/wisconsin/areas/marathon-county/marshfield/</t>
  </si>
  <si>
    <t>Marshfield Family Law &amp; Divorce Lawyers | Sterling Lawyers, LLC</t>
  </si>
  <si>
    <t>https://www.sterlinglawyers.com/wisconsin/areas/dunn-county/</t>
  </si>
  <si>
    <t>Dunn County Family Law &amp; Divorce Lawyers | Sterling Lawyers, LLC</t>
  </si>
  <si>
    <t>https://www.sterlinglawyers.com/wisconsin/areas/outagamie-county/freedom/</t>
  </si>
  <si>
    <t>Freedom Family Law &amp; Divorce Lawyers | Sterling Lawyers, LLC</t>
  </si>
  <si>
    <t>https://www.sterlinglawyers.com/wisconsin/areas/shawano-county/</t>
  </si>
  <si>
    <t>Shawano County Divorce Lawyers | Sterling Lawyers, LLC</t>
  </si>
  <si>
    <t>https://www.sterlinglawyers.com/wisconsin/areas/walworth-county/lake-geneva/</t>
  </si>
  <si>
    <t>Lake Geneva Family Law &amp; Divorce Lawyers | Sterling Lawyers, LLC</t>
  </si>
  <si>
    <t>https://www.sterlinglawyers.com/wisconsin/areas/wood-county/</t>
  </si>
  <si>
    <t>Wood County Family Law &amp; Divorce Lawyers | Sterling Lawyers, LLC</t>
  </si>
  <si>
    <t>https://www.sterlinglawyers.com/wisconsin/areas/burnett-county/</t>
  </si>
  <si>
    <t>Burnett County Family Law &amp; Divorce Lawyers | Sterling Lawyers, LLC</t>
  </si>
  <si>
    <t>https://www.sterlinglawyers.com/wisconsin/areas/crawford-county/</t>
  </si>
  <si>
    <t>Crawford County Family Law &amp; Divorce Lawyers | Sterling Lawyers, LLC</t>
  </si>
  <si>
    <t>https://www.sterlinglawyers.com/wisconsin/areas/dane-county/mcfarland/</t>
  </si>
  <si>
    <t>McFarland Family Law &amp; Divorce Lawyers | Sterling Lawyers, LLC</t>
  </si>
  <si>
    <t>https://www.sterlinglawyers.com/wisconsin/areas/waukesha-county/sussex/</t>
  </si>
  <si>
    <t>Sussex Divorce Lawyers | Sterling Lawyers, LLC</t>
  </si>
  <si>
    <t>https://www.sterlinglawyers.com/wisconsin/areas/milwaukee-county/bayside/</t>
  </si>
  <si>
    <t>Bayside Divorce Lawyers | Sterling Lawyers, LLC</t>
  </si>
  <si>
    <t>https://www.sterlinglawyers.com/wisconsin/areas/pierce-county/</t>
  </si>
  <si>
    <t>Pierce County Family Law &amp; Divorce Lawyers | Sterling Lawyers, LLC</t>
  </si>
  <si>
    <t>https://www.sterlinglawyers.com/wisconsin/areas/washington-county/erin/</t>
  </si>
  <si>
    <t>Erin Divorce Lawyers | Sterling Lawyers, LLC</t>
  </si>
  <si>
    <t>https://www.sterlinglawyers.com/wisconsin/areas/pepin-county/</t>
  </si>
  <si>
    <t>Pepin County Family Law &amp; Divorce Lawyers | Sterling Lawyers, LLC</t>
  </si>
  <si>
    <t>https://www.sterlinglawyers.com/wisconsin/areas/langlade-county/antigo/</t>
  </si>
  <si>
    <t>Antigo Family Law &amp; Divorce Lawyers | Sterling Lawyers, LLC</t>
  </si>
  <si>
    <t>https://www.sterlinglawyers.com/wisconsin/areas/washington-county/hartford/</t>
  </si>
  <si>
    <t>Hartford Divorce Lawyers | Sterling Lawyers, LLC</t>
  </si>
  <si>
    <t>https://www.sterlinglawyers.com/wisconsin/areas/milwaukee-county/greenfield/</t>
  </si>
  <si>
    <t>Greenfield Divorce Lawyers | Sterling Lawyers, LLC</t>
  </si>
  <si>
    <t>https://www.sterlinglawyers.com/wisconsin/areas/portage-county/plover/</t>
  </si>
  <si>
    <t>Plover Family Law &amp; Divorce Lawyers | Sterling Lawyers, LLC</t>
  </si>
  <si>
    <t>https://www.sterlinglawyers.com/wisconsin/areas/outagamie-county/grand-chute/</t>
  </si>
  <si>
    <t>Grand Chute Divorce Lawyers | Sterling Lawyers, LLC</t>
  </si>
  <si>
    <t>https://www.sterlinglawyers.com/wisconsin/areas/ashland-county/ashland/</t>
  </si>
  <si>
    <t>Ashland Family Law &amp; Divorce Lawyers | Sterling Lawyers, LLC</t>
  </si>
  <si>
    <t>https://www.sterlinglawyers.com/wisconsin/areas/buffalo-county/</t>
  </si>
  <si>
    <t>Buffalo County Family Law &amp; Divorce Lawyers | Sterling Lawyers, LLC</t>
  </si>
  <si>
    <t>https://www.sterlinglawyers.com/wisconsin/areas/dane-county/fitchburg/</t>
  </si>
  <si>
    <t>Fitchburg Family Law &amp; Divorce Lawyers | Sterling Lawyers, LLC</t>
  </si>
  <si>
    <t>https://www.sterlinglawyers.com/wisconsin/areas/manitowoc-county/</t>
  </si>
  <si>
    <t>Manitowoc County Family Law &amp; Divorce Lawyers | Sterling Lawyers, LLC</t>
  </si>
  <si>
    <t>https://www.sterlinglawyers.com/wisconsin/areas/waupaca-county/waupaca/</t>
  </si>
  <si>
    <t>Waupaca Divorce Lawyers | Sterling Lawyers, LLC</t>
  </si>
  <si>
    <t>https://www.sterlinglawyers.com/wisconsin/areas/chippewa-county/chippewa-falls/</t>
  </si>
  <si>
    <t>Chippewa Falls Family Law &amp; Divorce Lawyers | Sterling Lawyers, LLC</t>
  </si>
  <si>
    <t>https://www.sterlinglawyers.com/wisconsin/areas/brown-county/de-pere/</t>
  </si>
  <si>
    <t>De Pere Family Law &amp; Divorce Lawyers | Sterling Lawyers, LLC</t>
  </si>
  <si>
    <t>https://www.sterlinglawyers.com/wisconsin/areas/washington-county/jackson/</t>
  </si>
  <si>
    <t>Jackson Divorce Lawyers | Sterling Lawyers, LLC</t>
  </si>
  <si>
    <t>https://www.sterlinglawyers.com/wisconsin/areas/racine-county/caledonia/</t>
  </si>
  <si>
    <t>Caledonia Family Law &amp; Divorce Lawyers | Sterling Lawyers, LLC</t>
  </si>
  <si>
    <t>https://www.sterlinglawyers.com/wisconsin/areas/dane-county/verona/</t>
  </si>
  <si>
    <t>Verona Family Law &amp; Divorce Lawyers | Sterling Lawyers, LLC</t>
  </si>
  <si>
    <t>https://www.sterlinglawyers.com/wisconsin/areas/sauk-county/reedsburg/</t>
  </si>
  <si>
    <t>Reedsburg Divorce Lawyers | Sterling Lawyers, LLC</t>
  </si>
  <si>
    <t>https://www.sterlinglawyers.com/wisconsin/areas/waukesha-county/delafield/</t>
  </si>
  <si>
    <t>Delafield Divorce Lawyers | Sterling Lawyers, LLC</t>
  </si>
  <si>
    <t>https://www.sterlinglawyers.com/wisconsin/areas/chippewa-county/</t>
  </si>
  <si>
    <t>Chippewa County Family Law &amp; Divorce Lawyers | Sterling Lawyers, LLC</t>
  </si>
  <si>
    <t>https://www.sterlinglawyers.com/wisconsin/areas/ozaukee-county/grafton/</t>
  </si>
  <si>
    <t>Grafton Family Law &amp; Divorce Lawyers | Sterling Lawyers, LLC</t>
  </si>
  <si>
    <t>https://www.sterlinglawyers.com/wisconsin/areas/richland-county/</t>
  </si>
  <si>
    <t>Richland County Family Law &amp; Divorce Lawyers | Sterling Lawyers, LLC</t>
  </si>
  <si>
    <t>https://www.sterlinglawyers.com/wisconsin/areas/waukesha-county/summit/</t>
  </si>
  <si>
    <t>Summit Family Law &amp; Divorce Lawyers | Sterling Lawyers, LLC</t>
  </si>
  <si>
    <t>https://www.sterlinglawyers.com/wisconsin/areas/outagamie-county/kaukauna/</t>
  </si>
  <si>
    <t>Kaukauna Family Law &amp; Divorce Lawyers | Sterling Lawyers, LLC</t>
  </si>
  <si>
    <t>https://www.sterlinglawyers.com/wisconsin/areas/brown-county/allouez/</t>
  </si>
  <si>
    <t>Allouez Family Law &amp; Divorce Lawyers | Sterling Lawyers, LLC</t>
  </si>
  <si>
    <t>https://www.sterlinglawyers.com/wisconsin/areas/kenosha-county/somers/</t>
  </si>
  <si>
    <t>Somers Family Law &amp; Divorce Lawyers | Sterling Lawyers, LLC</t>
  </si>
  <si>
    <t>https://www.sterlinglawyers.com/wisconsin/areas/price-county/</t>
  </si>
  <si>
    <t>Price County Family Law &amp; Divorce Lawyers | Sterling Lawyers, LLC</t>
  </si>
  <si>
    <t>https://www.sterlinglawyers.com/wisconsin/areas/la-crosse-county/</t>
  </si>
  <si>
    <t>La Crosse County Family Law &amp; Divorce Lawyers | Sterling Lawyers, LLC</t>
  </si>
  <si>
    <t>https://www.sterlinglawyers.com/wisconsin/areas/eau-claire-county/eau-claire/</t>
  </si>
  <si>
    <t>Eau Claire Family Law &amp; Divorce Lawyers | Sterling Lawyers, LLC</t>
  </si>
  <si>
    <t>https://www.sterlinglawyers.com/wisconsin/areas/jefferson-county/watertown/</t>
  </si>
  <si>
    <t>Watertown Family Law &amp; Divorce Lawyers | Sterling Lawyers, LLC</t>
  </si>
  <si>
    <t>https://www.sterlinglawyers.com/wisconsin/areas/jefferson-county/whitewater/</t>
  </si>
  <si>
    <t>Whitewater Family Law &amp; Divorce Lawyers | Sterling Lawyers, LLC</t>
  </si>
  <si>
    <t>https://www.sterlinglawyers.com/wisconsin/areas/lafayette-county/</t>
  </si>
  <si>
    <t>Lafayette County Family Law &amp; Divorce Lawyers | Sterling Lawyers, LLC</t>
  </si>
  <si>
    <t>https://www.sterlinglawyers.com/wisconsin/areas/pierce-county/river-falls/</t>
  </si>
  <si>
    <t>River Falls Family Law &amp; Divorce Lawyers | Sterling Lawyers, LLC</t>
  </si>
  <si>
    <t>https://www.sterlinglawyers.com/wisconsin/areas/clark-county/</t>
  </si>
  <si>
    <t>Clark County Family Law &amp; Divorce Lawyers | Sterling Lawyers, LLC</t>
  </si>
  <si>
    <t>https://www.sterlinglawyers.com/wisconsin/areas/racine-county/burlington/</t>
  </si>
  <si>
    <t>Burlington Family Law &amp; Divorce Lawyers | Sterling Lawyers, LLC</t>
  </si>
  <si>
    <t>https://www.sterlinglawyers.com/wisconsin/areas/dodge-county/</t>
  </si>
  <si>
    <t>Dodge County Divorce Lawyers | Sterling Lawyers, LLC</t>
  </si>
  <si>
    <t>https://www.sterlinglawyers.com/wisconsin/areas/portage-county/stevens-point/</t>
  </si>
  <si>
    <t>Stevens Point Family Law &amp; Divorce Lawyers | Sterling Lawyers, LLC</t>
  </si>
  <si>
    <t>https://www.sterlinglawyers.com/wisconsin/areas/kenosha-county/</t>
  </si>
  <si>
    <t>Kenosha County Family Law &amp; Divorce Lawyers | Sterling Lawyers, LLC</t>
  </si>
  <si>
    <t>https://www.sterlinglawyers.com/wisconsin/areas/oneida-county/rhinelander/</t>
  </si>
  <si>
    <t>Rhinelander Family Law &amp; Divorce Lawyers | Sterling Lawyers, LLC</t>
  </si>
  <si>
    <t>https://www.sterlinglawyers.com/wisconsin/areas/ozaukee-county/port-washington/</t>
  </si>
  <si>
    <t>Port Washington Family Law &amp; Divorce Lawyers | Sterling Lawyers, LLC</t>
  </si>
  <si>
    <t>https://www.sterlinglawyers.com/wisconsin/areas/milwaukee-county/fox-point/</t>
  </si>
  <si>
    <t>Fox Point Divorce Lawyers | Sterling Lawyers, LLC</t>
  </si>
  <si>
    <t>https://www.sterlinglawyers.com/wisconsin/areas/waukesha-county/lisbon/</t>
  </si>
  <si>
    <t>Lisbon Family Law &amp; Divorce Lawyers | Sterling Lawyers, LLC</t>
  </si>
  <si>
    <t>https://www.sterlinglawyers.com/wisconsin/areas/waukesha-county/oconomowoc/</t>
  </si>
  <si>
    <t>https://www.sterlinglawyers.com/wisconsin/areas/milwaukee-county/</t>
  </si>
  <si>
    <t>Milwaukee County Family Law &amp; Divorce Lawyers | Sterling Lawyers, LLC</t>
  </si>
  <si>
    <t>https://www.sterlinglawyers.com/wisconsin/areas/ashland-county/</t>
  </si>
  <si>
    <t>Ashland County Family Law &amp; Divorce Lawyers | Sterling Lawyers, LLC</t>
  </si>
  <si>
    <t>https://www.sterlinglawyers.com/wisconsin/areas/green-county/monroe/</t>
  </si>
  <si>
    <t>Monroe Family Law &amp; Divorce Lawyers | Sterling Lawyers, LLC</t>
  </si>
  <si>
    <t>https://www.sterlinglawyers.com/wisconsin/areas/milwaukee-county/brown-deer/</t>
  </si>
  <si>
    <t>Brown Deer Divorce Lawyers | Sterling Lawyers, LLC</t>
  </si>
  <si>
    <t>https://www.sterlinglawyers.com/wisconsin/areas/milwaukee-county/whitefish-bay/</t>
  </si>
  <si>
    <t>Whitefish Bay Divorce Lawyers | Sterling Lawyers, LLC</t>
  </si>
  <si>
    <t>https://www.sterlinglawyers.com/wisconsin/areas/milwaukee-county/oak-creek/</t>
  </si>
  <si>
    <t>Oak Creek Divorce Lawyers | Sterling Lawyers, LLC</t>
  </si>
  <si>
    <t>https://www.sterlinglawyers.com/wisconsin/areas/rusk-county/</t>
  </si>
  <si>
    <t>Rusk County Family Law &amp; Divorce Lawyers | Sterling Lawyers, LLC</t>
  </si>
  <si>
    <t>https://www.sterlinglawyers.com/wisconsin/areas/st-croix-county/</t>
  </si>
  <si>
    <t>St. Croix County Family Law &amp; Divorce Lawyers | Sterling Lawyers, LLC</t>
  </si>
  <si>
    <t>https://www.sterlinglawyers.com/wisconsin/areas/walworth-county/elkhorn/</t>
  </si>
  <si>
    <t>Elkhorn Family Law &amp; Divorce Lawyers | Sterling Lawyers, LLC</t>
  </si>
  <si>
    <t>https://www.sterlinglawyers.com/wisconsin/areas/jefferson-county/</t>
  </si>
  <si>
    <t>Jefferson County Divorce Lawyers | Sterling Lawyers, LLC</t>
  </si>
  <si>
    <t>https://www.sterlinglawyers.com/wisconsin/areas/manitowoc-county/two-rivers/</t>
  </si>
  <si>
    <t>Two Rivers Family Law &amp; Divorce Lawyers | Sterling Lawyers, LLC</t>
  </si>
  <si>
    <t>https://www.sterlinglawyers.com/wisconsin/areas/waukesha-county/hartland/</t>
  </si>
  <si>
    <t>Hartland Divorce Lawyers | Sterling Lawyers, LLC</t>
  </si>
  <si>
    <t>https://www.sterlinglawyers.com/wisconsin/areas/outagamie-county/greenville/</t>
  </si>
  <si>
    <t>Greenville Family Law &amp; Divorce Lawyers | Sterling Lawyers, LLC</t>
  </si>
  <si>
    <t>https://www.sterlinglawyers.com/wisconsin/areas/la-crosse-county/la-crosse/</t>
  </si>
  <si>
    <t>La Crosse Family Law &amp; Divorce Lawyers | Sterling Lawyers, LLC</t>
  </si>
  <si>
    <t>https://www.sterlinglawyers.com/wisconsin/areas/barron-county/rice-lake/</t>
  </si>
  <si>
    <t>Rice Lake Family Law &amp; Divorce Lawyers | Sterling Lawyers, LLC</t>
  </si>
  <si>
    <t>https://www.sterlinglawyers.com/wisconsin/areas/waukesha-county/</t>
  </si>
  <si>
    <t>Waukesha County Family Law &amp; Divorce Lawyers | Sterling Lawyers, LLC</t>
  </si>
  <si>
    <t>https://www.sterlinglawyers.com/wisconsin/areas/washington-county/germantown/</t>
  </si>
  <si>
    <t>Germantown Divorce Lawyers | Sterling Lawyers, LLC</t>
  </si>
  <si>
    <t>https://www.sterlinglawyers.com/wisconsin/areas/taylor-county/</t>
  </si>
  <si>
    <t>Taylor County Family Law &amp; Divorce Lawyers | Sterling Lawyers, LLC</t>
  </si>
  <si>
    <t>https://www.sterlinglawyers.com/wisconsin/areas/waukesha-county/dousman/</t>
  </si>
  <si>
    <t>Dousman Divorce Lawyers | Sterling Lawyers, LLC</t>
  </si>
  <si>
    <t>https://www.sterlinglawyers.com/wisconsin/areas/douglas-county/superior/</t>
  </si>
  <si>
    <t>Superior Family Law &amp; Divorce Lawyers | Sterling Lawyers, LLC</t>
  </si>
  <si>
    <t>https://www.sterlinglawyers.com/wisconsin/areas/milwaukee-county/west-milwaukee/</t>
  </si>
  <si>
    <t>West Milwaukee Family Law &amp; Divorce Lawyers | Sterling Lawyers, LLC</t>
  </si>
  <si>
    <t>https://www.sterlinglawyers.com/wisconsin/areas/brown-county/howard/</t>
  </si>
  <si>
    <t>Howard Family Law &amp; Divorce Lawyers | Sterling Lawyers, LLC</t>
  </si>
  <si>
    <t>https://www.sterlinglawyers.com/wisconsin/areas/dane-county/oregon/</t>
  </si>
  <si>
    <t>Oregon Family Law &amp; Divorce Lawyers | Sterling Lawyers, LLC</t>
  </si>
  <si>
    <t>https://www.sterlinglawyers.com/wisconsin/blog/key-considerations-fathers-seeking-custody-waukesha/</t>
  </si>
  <si>
    <t>Key Considerations for Fathers Seeking Custody in Waukesha | Sterling Lawyers, LLC</t>
  </si>
  <si>
    <t>https://www.sterlinglawyers.com/wisconsin/blog/smoothing-the-path-divorce-mediation-beloit/</t>
  </si>
  <si>
    <t>Smoothing the Path of Divorce Mediation in Beloit | Sterling Lawyers, LLC</t>
  </si>
  <si>
    <t>https://www.sterlinglawyers.com/wisconsin/blog/finding-solutions-paternity-challenges-legal-guidance-resolutions/</t>
  </si>
  <si>
    <t>Finding Solutions for Paternity Challenges through Legal Guidance and Peaceful Resolutions | Sterling Lawyers, LLC</t>
  </si>
  <si>
    <t>https://www.sterlinglawyers.com/wisconsin/locations/brookfield/child-support-lawyers/</t>
  </si>
  <si>
    <t>Brookfield Child Support Lawyers | Sterling Lawyers, LLC</t>
  </si>
  <si>
    <t>https://www.sterlinglawyers.com/wisconsin/blog/decoding-divorce-mediation-jefferson-county/</t>
  </si>
  <si>
    <t>Decoding Divorce Mediation in Jefferson County | Sterling Lawyers, LLC</t>
  </si>
  <si>
    <t>https://www.sterlinglawyers.com/wisconsin/blog/building-new-start-spousal-support-cases-oshkosh/</t>
  </si>
  <si>
    <t>Building a New Start Aiding Spousal Support Cases in Oshkosh | Sterling Lawyers, LLC</t>
  </si>
  <si>
    <t>https://www.sterlinglawyers.com/wisconsin/blog/securing-your-future-with-kenosha-spousal-support-lawyers/</t>
  </si>
  <si>
    <t>Securing Your Family's Future with Kenosha Spousal Support Lawyers | Sterling Lawyers, LLC</t>
  </si>
  <si>
    <t>https://www.sterlinglawyers.com/wisconsin/blog/stability-in-child-custody-arrangements-baraboo-attorney/</t>
  </si>
  <si>
    <t>Seeking Stability in Child Custody Arrangements with a Baraboo Attorney | Sterling Lawyers, LLC</t>
  </si>
  <si>
    <t>https://www.sterlinglawyers.com/wisconsin/blog/protecting-your-future-with-mequon-uncontested-divorce-lawyers/</t>
  </si>
  <si>
    <t>Protecting Your Future with Mequon Uncontested Divorce Lawyers | Sterling Lawyers, LLC</t>
  </si>
  <si>
    <t>https://www.sterlinglawyers.com/wisconsin/divorce/what-if-my-spouse-does-not-want-a-divorce/</t>
  </si>
  <si>
    <t>What if My Spouse Does Not Want a Divorce? | Sterling Lawyers, LLC</t>
  </si>
  <si>
    <t>https://www.sterlinglawyers.com/wisconsin/divorce/helping-kids-deal-with-a-divorce-related-move/</t>
  </si>
  <si>
    <t>Helping Kids Deal With A Divorce Related Move | Sterling Lawyers, LLC</t>
  </si>
  <si>
    <t>https://www.sterlinglawyers.com/wisconsin/divorce/changing-your-passwords/</t>
  </si>
  <si>
    <t>Changing Your Passwords During Divorce | Sterling Lawyers, LLC</t>
  </si>
  <si>
    <t>https://www.sterlinglawyers.com/wisconsin/divorce/addressing-unexpected-divorce-proceeding/</t>
  </si>
  <si>
    <t>Prepare For The Unexpected During a Divorce in Wisconsin | Sterling Lawyers, LLC</t>
  </si>
  <si>
    <t>https://www.sterlinglawyers.com/spousal-support/calculator/how-much-to-pay/</t>
  </si>
  <si>
    <t>How Much to Pay Your Spouse in a Divorce | Sterling Lawyers, LLC</t>
  </si>
  <si>
    <t>https://www.sterlinglawyers.com/wisconsin/blog/undertaking-family-law-terrain-mequon-spousal-support-lawyers/</t>
  </si>
  <si>
    <t>Undertaking the Family law Terrain with Mequon Spousal Support Lawyers | Sterling Lawyers, LLC</t>
  </si>
  <si>
    <t>https://www.sterlinglawyers.com/wisconsin/blog/strategic-approaches-contested-divorce-lawyer-rock-county/</t>
  </si>
  <si>
    <t>Strategic Approaches with a Contested Divorce Lawyer in Rock County | Sterling Lawyers, LLC</t>
  </si>
  <si>
    <t>https://www.sterlinglawyers.com/wisconsin/blog/still-want-my-ex-back/</t>
  </si>
  <si>
    <t>https://www.sterlinglawyers.com/wisconsin/divorce/choosing-an-attorney/</t>
  </si>
  <si>
    <t>How to Choose an Attorney | Sterling Lawyers, LLC</t>
  </si>
  <si>
    <t>https://www.sterlinglawyers.com/wisconsin/divorce/divorcing-a-high-conflict-personality-type/</t>
  </si>
  <si>
    <t>High Conflict-Personalities During Divorce | Sterling Lawyers, LLC</t>
  </si>
  <si>
    <t>https://www.sterlinglawyers.com/wisconsin/reviews/page/230/</t>
  </si>
  <si>
    <t>https://www.sterlinglawyers.com/wisconsin/reviews/page/4/</t>
  </si>
  <si>
    <t>https://www.sterlinglawyers.com/wisconsin/divorce/counseling-or-divorce/</t>
  </si>
  <si>
    <t>Counseling or Divorce: What's Better for You? | Sterling Lawyers, LLC</t>
  </si>
  <si>
    <t>https://www.sterlinglawyers.com/wisconsin/reviews/page/5/</t>
  </si>
  <si>
    <t>https://www.sterlinglawyers.com/wisconsin/divorce/venus-v-mars-avoiding-war-worlds/</t>
  </si>
  <si>
    <t>Don't Hold It In. Communication Could Make or Break a Relationship | Sterling Lawyers, LLC</t>
  </si>
  <si>
    <t>https://www.sterlinglawyers.com/wisconsin/divorce/forms</t>
  </si>
  <si>
    <t>https://www.sterlinglawyers.com/illinois/divorce/forms</t>
  </si>
  <si>
    <t>https://www.sterlinglawyers.com/blog/what-is-the-process-of-property-division-in-wisconsin/</t>
  </si>
  <si>
    <t>https://www.sterlinglawyers.com/case-law/agree-to-divorce/</t>
  </si>
  <si>
    <t>Do Both Parties Have To Agree To A Divorce? | Sterling Lawyers, LLC</t>
  </si>
  <si>
    <t>https://www.sterlinglawyers.com/illinois/divorce/documenting-agreements/</t>
  </si>
  <si>
    <t>When to Go to Court for an Agreement in Family Law | Sterling Lawyers, LLC</t>
  </si>
  <si>
    <t>https://www.sterlinglawyers.com/divorce/documenting-agreements/</t>
  </si>
  <si>
    <t>https://www.sterlinglawyers.com/illinois/attorneys/katie-vandeusen/reviews/page/26/</t>
  </si>
  <si>
    <t>https://www.sterlinglawyers.com/illinois/attorneys/katie-vandeusen/reviews/page/6/</t>
  </si>
  <si>
    <t>https://www.sterlinglawyers.com/illinois/child-support/paternity/</t>
  </si>
  <si>
    <t>https://www.sterlinglawyers.com/reviews/page/6/</t>
  </si>
  <si>
    <t>https://www.sterlinglawyers.com/reviews/page/227/</t>
  </si>
  <si>
    <t>https://www.sterlinglawyers.com/illinois/attorneys/alexandra-isroff/reviews/page/7/</t>
  </si>
  <si>
    <t>https://www.sterlinglawyers.com/illinois/attorneys/alexandra-isroff/reviews/page/6/</t>
  </si>
  <si>
    <t>https://www.sterlinglawyers.com/reviews/page/226/</t>
  </si>
  <si>
    <t>https://www.sterlinglawyers.com/reviews/page/7/</t>
  </si>
  <si>
    <t>https://www.sterlinglawyers.com/wisconsin/blog/steadfast-advocate-contested-divorce-janesville/</t>
  </si>
  <si>
    <t>A Steadfast Advocate Amid the Storm of Contested Divorce in Janesville | Sterling Lawyers, LLC</t>
  </si>
  <si>
    <t>https://www.sterlinglawyers.com/wi-emergency-orders</t>
  </si>
  <si>
    <t>https://www.sterlinglawyers.com/illinois/areas/cook-county/barrington/</t>
  </si>
  <si>
    <t>Barrington Family Law &amp; Divorce Lawyers | Sterling Lawyers, LLC</t>
  </si>
  <si>
    <t>https://www.sterlinglawyers.com/wisconsin/reviews/page/227/</t>
  </si>
  <si>
    <t>https://www.sterlinglawyers.com/wisconsin/reviews/page/228/</t>
  </si>
  <si>
    <t>https://www.sterlinglawyers.com/illinois/attorneys/alexandra-isroff/reviews/page/40/</t>
  </si>
  <si>
    <t>https://www.sterlinglawyers.com/illinois/attorneys/katie-vandeusen/reviews/page/27/</t>
  </si>
  <si>
    <t>https://www.sterlinglawyers.com/wisconsin/property-division/how-to-fill-out-a-financial-disclosure-statement/</t>
  </si>
  <si>
    <t>How to fill out a Financial Disclosure Statement | Sterling Lawyers, LLC</t>
  </si>
  <si>
    <t>https://www.sterlinglawyers.com/wisconsin/property-division/hidden-assets/</t>
  </si>
  <si>
    <t>How to Find Hidden Assets During a Divorce in Wisconsin | Sterling Lawyers, LLC</t>
  </si>
  <si>
    <t>https://www.sterlinglawyers.com/illinois/attorneys/katie-vandeusen/reviews/page/7/</t>
  </si>
  <si>
    <t>https://www.sterlinglawyers.com/illinois/attorneys/ryan-shope/reviews/page/13/</t>
  </si>
  <si>
    <t>https://www.sterlinglawyers.com/illinois/attorneys/ryan-shope/reviews/page/6/</t>
  </si>
  <si>
    <t>https://www.sterlinglawyers.com/illinois/attorneys/jacqueline-mcclellan/reviews/page/6/</t>
  </si>
  <si>
    <t>https://www.sterlinglawyers.com/wisconsin/divorce/file-for-divorce/file-first/</t>
  </si>
  <si>
    <t>Why You Should File for Divorce First | Sterling Lawyers, LLC</t>
  </si>
  <si>
    <t>https://www.sterlinglawyers.com/illinois/attorneys/ryan-shope/reviews/page/12/</t>
  </si>
  <si>
    <t>https://www.sterlinglawyers.com/illinois/attorneys/ryan-shope/reviews/page/7/</t>
  </si>
  <si>
    <t>https://www.sterlinglawyers.com/illinois/attorneys/jacqueline-mcclellan/reviews/page/11/</t>
  </si>
  <si>
    <t>https://www.sterlinglawyers.com/illinois/attorneys/jeff-hughes/reviews/page/7/</t>
  </si>
  <si>
    <t>https://www.sterlinglawyers.com/illinois/attorneys/jeff-hughes/reviews/page/9/</t>
  </si>
  <si>
    <t>https://www.sterlinglawyers.com/illinois/attorneys/jacqueline-mcclellan/reviews/page/7/</t>
  </si>
  <si>
    <t>https://www.sterlinglawyers.com/illinois/attorneys/jeff-hughes/reviews/page/10/</t>
  </si>
  <si>
    <t>https://www.sterlinglawyers.com/illinois/attorneys/alexandra-isroff/reviews/page/39/</t>
  </si>
  <si>
    <t>https://www.sterlinglawyers.com/wisconsin/attorneys/jeff-hughes/reviews/page/13/</t>
  </si>
  <si>
    <t>https://www.sterlinglawyers.com/wisconsin/attorneys/jeff-hughes/reviews/page/2/</t>
  </si>
  <si>
    <t>https://www.sterlinglawyers.com/wisconsin/attorneys/jeff-hughes/reviews/page/3/</t>
  </si>
  <si>
    <t>https://www.sterlinglawyers.com/illinois/attorneys/jeff-hughes/reviews/page/6/</t>
  </si>
  <si>
    <t>https://www.sterlinglawyers.com/wisconsin/attorneys/ellen-rhodeman/reviews/page/3/</t>
  </si>
  <si>
    <t>https://www.sterlinglawyers.com/wisconsin/attorneys/bailey-holt/reviews/page/2/</t>
  </si>
  <si>
    <t>https://www.sterlinglawyers.com/illinois/attorneys/jacqueline-mcclellan/reviews/page/10/</t>
  </si>
  <si>
    <t>https://www.sterlinglawyers.com/wisconsin/attorneys/ellen-rhodeman/reviews/page/2/</t>
  </si>
  <si>
    <t>https://www.sterlinglawyers.com/wisconsin/attorneys/bailey-holt/reviews/page/25/</t>
  </si>
  <si>
    <t>https://www.sterlinglawyers.com/wisconsin/attorneys/austin-miller/reviews/page/3/</t>
  </si>
  <si>
    <t>https://www.sterlinglawyers.com/wisconsin/attorneys/ellen-rhodeman/reviews/page/55/</t>
  </si>
  <si>
    <t>https://www.sterlinglawyers.com/wisconsin/attorneys/austin-miller/reviews/page/35/</t>
  </si>
  <si>
    <t>https://www.sterlinglawyers.com/wisconsin/attorneys/kathleen-curran/reviews/page/36/</t>
  </si>
  <si>
    <t>https://www.sterlinglawyers.com/wisconsin/attorneys/kathleen-curran/reviews/page/3/</t>
  </si>
  <si>
    <t>https://www.sterlinglawyers.com/wisconsin/attorneys/crawford-campbell/reviews/page/5/</t>
  </si>
  <si>
    <t>https://www.sterlinglawyers.com/wisconsin/attorneys/crawford-campbell/reviews/page/3/</t>
  </si>
  <si>
    <t>https://www.sterlinglawyers.com/wisconsin/attorneys/bailey-holt/reviews/page/3/</t>
  </si>
  <si>
    <t>https://www.sterlinglawyers.com/wisconsin/attorneys/andria-adams/reviews/page/19/</t>
  </si>
  <si>
    <t>https://www.sterlinglawyers.com/wisconsin/attorneys/andria-adams/reviews/page/3/</t>
  </si>
  <si>
    <t>https://www.sterlinglawyers.com/wisconsin/attorneys/austin-miller/reviews/page/2/</t>
  </si>
  <si>
    <t>https://www.sterlinglawyers.com/wisconsin/blog/discovering-paternity-rights-legal-steps-kenosha/</t>
  </si>
  <si>
    <t>Discovering Paternity Rights and Legal Steps in Kenosha | Sterling Lawyers, LLC</t>
  </si>
  <si>
    <t>https://www.sterlinglawyers.com/wisconsin/attorneys/kathleen-curran/reviews/page/2/</t>
  </si>
  <si>
    <t>https://www.sterlinglawyers.com/wisconsin/attorneys/jack-braaten/reviews/page/29/</t>
  </si>
  <si>
    <t>https://www.sterlinglawyers.com/wisconsin/attorneys/jack-braaten/reviews/page/3/</t>
  </si>
  <si>
    <t>https://www.sterlinglawyers.com/wisconsin/attorneys/jack-braaten/reviews/page/2/</t>
  </si>
  <si>
    <t>https://www.sterlinglawyers.com/wisconsin/attorneys/jeffrey-morrell/reviews/page/3/</t>
  </si>
  <si>
    <t>https://www.sterlinglawyers.com/wisconsin/attorneys/jeffrey-morrell/reviews/page/74/</t>
  </si>
  <si>
    <t>https://www.sterlinglawyers.com/wisconsin/attorneys/crawford-campbell/reviews/page/2/</t>
  </si>
  <si>
    <t>https://www.sterlinglawyers.com/wisconsin/attorneys/jeffrey-morrell/reviews/page/2/</t>
  </si>
  <si>
    <t>https://www.sterlinglawyers.com/wisconsin/attorneys/abigail-henderson/reviews/page/2/</t>
  </si>
  <si>
    <t>https://www.sterlinglawyers.com/wisconsin/attorneys/abigail-henderson/reviews/page/20/</t>
  </si>
  <si>
    <t>https://www.sterlinglawyers.com/wisconsin/attorneys/robert-keenan/reviews/page/38/</t>
  </si>
  <si>
    <t>https://www.sterlinglawyers.com/wisconsin/attorneys/robert-keenan/reviews/page/2/</t>
  </si>
  <si>
    <t>https://www.sterlinglawyers.com/wisconsin/attorneys/abigail-henderson/reviews/page/3/</t>
  </si>
  <si>
    <t>https://www.sterlinglawyers.com/wisconsin/attorneys/andria-adams/reviews/page/2/</t>
  </si>
  <si>
    <t>https://www.sterlinglawyers.com/wisconsin/attorneys/tiffany-vogel/reviews/page/3/</t>
  </si>
  <si>
    <t>https://www.sterlinglawyers.com/wisconsin/attorneys/tiffany-vogel/reviews/page/49/</t>
  </si>
  <si>
    <t>https://www.sterlinglawyers.com/wisconsin/attorneys/tiffany-vogel/reviews/page/2/</t>
  </si>
  <si>
    <t>https://www.sterlinglawyers.com/wisconsin/attorneys/nikole-messerschmidt/reviews/page/53/</t>
  </si>
  <si>
    <t>https://www.sterlinglawyers.com/wisconsin/attorneys/nikole-messerschmidt/reviews/page/2/</t>
  </si>
  <si>
    <t>https://www.sterlinglawyers.com/wisconsin/attorneys/nikole-messerschmidt/reviews/page/3/</t>
  </si>
  <si>
    <t>https://www.sterlinglawyers.com/wisconsin/attorneys/holly-mullin/reviews/page/3/</t>
  </si>
  <si>
    <t>https://www.sterlinglawyers.com/wisconsin/attorneys/holly-mullin/reviews/page/2/</t>
  </si>
  <si>
    <t>https://www.sterlinglawyers.com/wisconsin/attorneys/holly-mullin/reviews/page/50/</t>
  </si>
  <si>
    <t>https://www.sterlinglawyers.com/wisconsin/attorneys/jodi-chung/reviews/page/3/</t>
  </si>
  <si>
    <t>https://www.sterlinglawyers.com/wisconsin/attorneys/jodi-chung/reviews/page/2/</t>
  </si>
  <si>
    <t>https://www.sterlinglawyers.com/wisconsin/attorneys/jodi-chung/reviews/page/10/</t>
  </si>
  <si>
    <t>https://www.sterlinglawyers.com/wisconsin/attorneys/michelle-gordon/reviews/page/34/</t>
  </si>
  <si>
    <t>https://www.sterlinglawyers.com/wisconsin/attorneys/michelle-gordon/reviews/page/2/</t>
  </si>
  <si>
    <t>https://www.sterlinglawyers.com/wisconsin/attorneys/michelle-gordon/reviews/page/3/</t>
  </si>
  <si>
    <t>https://www.sterlinglawyers.com/wisconsin/locations/brookfield/alimony-lawyers/</t>
  </si>
  <si>
    <t>Brookfield Spousal Support Lawyers | Sterling Lawyers, LLC</t>
  </si>
  <si>
    <t>https://www.sterlinglawyers.com/wisconsin/locations/brookfield/paternity-lawyers/</t>
  </si>
  <si>
    <t>Brookfield Paternity Lawyers | Sterling Lawyers, LLC</t>
  </si>
  <si>
    <t>https://www.sterlinglawyers.com/wisconsin/locations/brookfield/contested-divorce-lawyers/</t>
  </si>
  <si>
    <t>Brookfield Contested Divorce Lawyers | Sterling Lawyers, LLC</t>
  </si>
  <si>
    <t>https://www.sterlinglawyers.com/wisconsin/locations/brookfield/property-division-lawyers/</t>
  </si>
  <si>
    <t>Brookfield Property Division Lawyers | Sterling Lawyers, LLC</t>
  </si>
  <si>
    <t>https://www.sterlinglawyers.com/wisconsin/locations/brookfield/collaborative-divorce-lawyers/</t>
  </si>
  <si>
    <t>Brookfield Collaborative Divorce Lawyers | Sterling Lawyers, LLC</t>
  </si>
  <si>
    <t>https://www.sterlinglawyers.com/wisconsin/locations/brookfield/military-divorce-lawyers/</t>
  </si>
  <si>
    <t>Brookfield Military Divorce Lawyers | Sterling Lawyers, LLC</t>
  </si>
  <si>
    <t>https://www.sterlinglawyers.com/wisconsin/locations/brookfield/child-custody-lawyers/</t>
  </si>
  <si>
    <t>Brookfield Child Custody Lawyers | Sterling Lawyers, LLC</t>
  </si>
  <si>
    <t>https://www.sterlinglawyers.com/wisconsin/attorneys/robert-keenan/reviews/page/3/</t>
  </si>
  <si>
    <t>https://www.sterlinglawyers.com/wisconsin/locations/brookfield/divorce-mediation-lawyers/</t>
  </si>
  <si>
    <t>Brookfield Divorce Mediation Lawyers | Sterling Lawyers, LLC</t>
  </si>
  <si>
    <t>https://www.sterlinglawyers.com/wisconsin/locations/beloit/uncontested-divorce-lawyers/</t>
  </si>
  <si>
    <t>Beloit Uncontested Divorce Lawyers | Sterling Lawyers, LLC</t>
  </si>
  <si>
    <t>https://www.sterlinglawyers.com/wisconsin/locations/beloit/contested-divorce-lawyers/</t>
  </si>
  <si>
    <t>Beloit Contested Divorce Lawyers | Sterling Lawyers, LLC</t>
  </si>
  <si>
    <t>https://www.sterlinglawyers.com/wisconsin/locations/brookfield/uncontested-divorce-lawyers/</t>
  </si>
  <si>
    <t>Brookfield Uncontested Divorce Lawyers | Sterling Lawyers, LLC</t>
  </si>
  <si>
    <t>https://www.sterlinglawyers.com/wisconsin/locations/beloit/alimony-lawyers/</t>
  </si>
  <si>
    <t>Beloit Spousal Support Lawyers | Sterling Lawyers, LLC</t>
  </si>
  <si>
    <t>https://www.sterlinglawyers.com/wisconsin/locations/beloit/child-support-lawyers/</t>
  </si>
  <si>
    <t>Beloit Child Support Lawyers | Sterling Lawyers, LLC</t>
  </si>
  <si>
    <t>https://www.sterlinglawyers.com/wisconsin/locations/beloit/child-custody-lawyers/</t>
  </si>
  <si>
    <t>Beloit Child Custody Lawyers | Sterling Lawyers, LLC</t>
  </si>
  <si>
    <t>https://www.sterlinglawyers.com/wisconsin/locations/beloit/divorce-mediation-lawyers/</t>
  </si>
  <si>
    <t>Beloit Divorce Mediation Lawyers | Sterling Lawyers, LLC</t>
  </si>
  <si>
    <t>https://www.sterlinglawyers.com/wisconsin/locations/beloit/paternity-lawyers/</t>
  </si>
  <si>
    <t>Beloit Paternity Lawyers | Sterling Lawyers, LLC</t>
  </si>
  <si>
    <t>https://www.sterlinglawyers.com/wisconsin/locations/beloit/military-divorce-lawyers/</t>
  </si>
  <si>
    <t>Beloit Military Divorce Lawyers | Sterling Lawyers, LLC</t>
  </si>
  <si>
    <t>https://www.sterlinglawyers.com/wisconsin/locations/beloit/collaborative-divorce-lawyers/</t>
  </si>
  <si>
    <t>Beloit Collaborative Divorce Lawyers | Sterling Lawyers, LLC</t>
  </si>
  <si>
    <t>https://www.sterlinglawyers.com/wisconsin/locations/beloit/property-division-lawyers/</t>
  </si>
  <si>
    <t>Beloit Property Division Lawyers | Sterling Lawyers, LLC</t>
  </si>
  <si>
    <t>https://www.sterlinglawyers.com/wisconsin/locations/janesville/paternity-lawyers/</t>
  </si>
  <si>
    <t>Janesville Paternity Lawyers | Sterling Lawyers, LLC</t>
  </si>
  <si>
    <t>https://www.sterlinglawyers.com/wisconsin/locations/janesville/divorce-mediation-lawyers/</t>
  </si>
  <si>
    <t>Janesville Divorce Mediation Lawyers | Sterling Lawyers, LLC</t>
  </si>
  <si>
    <t>https://www.sterlinglawyers.com/wisconsin/locations/janesville/collaborative-divorce-lawyers/</t>
  </si>
  <si>
    <t>Janesville Collaborative Divorce Lawyers | Sterling Lawyers, LLC</t>
  </si>
  <si>
    <t>https://www.sterlinglawyers.com/wisconsin/locations/janesville/child-support-lawyers/</t>
  </si>
  <si>
    <t>Janesville Child Support Lawyers | Sterling Lawyers, LLC</t>
  </si>
  <si>
    <t>https://www.sterlinglawyers.com/wisconsin/locations/janesville/military-divorce-lawyers/</t>
  </si>
  <si>
    <t>Janesville Military Divorce Lawyers | Sterling Lawyers, LLC</t>
  </si>
  <si>
    <t>https://www.sterlinglawyers.com/wisconsin/locations/janesville/uncontested-divorce-lawyers/</t>
  </si>
  <si>
    <t>Janesville Uncontested Divorce Lawyers | Sterling Lawyers, LLC</t>
  </si>
  <si>
    <t>https://www.sterlinglawyers.com/wisconsin/locations/janesville/alimony-lawyers/</t>
  </si>
  <si>
    <t>Janesville Spousal Support Lawyers | Sterling Lawyers, LLC</t>
  </si>
  <si>
    <t>https://www.sterlinglawyers.com/wisconsin/locations/janesville/contested-divorce-lawyers/</t>
  </si>
  <si>
    <t>Janesville Contested Divorce Lawyers | Sterling Lawyers, LLC</t>
  </si>
  <si>
    <t>https://www.sterlinglawyers.com/wisconsin/locations/janesville/property-division-lawyers/</t>
  </si>
  <si>
    <t>Janesville Property Division Lawyers | Sterling Lawyers, LLC</t>
  </si>
  <si>
    <t>https://www.sterlinglawyers.com/wisconsin/locations/janesville/child-custody-lawyers/</t>
  </si>
  <si>
    <t>Janesville Child Custody Lawyers | Sterling Lawyers, LLC</t>
  </si>
  <si>
    <t>https://www.sterlinglawyers.com/wisconsin/locations/kenosha/uncontested-divorce-lawyers/</t>
  </si>
  <si>
    <t>Kenosha Uncontested Divorce Lawyers | Sterling Lawyers, LLC</t>
  </si>
  <si>
    <t>https://www.sterlinglawyers.com/wisconsin/locations/kenosha/child-custody-lawyers/</t>
  </si>
  <si>
    <t>Kenosha Child Custody Lawyers | Sterling Lawyers, LLC</t>
  </si>
  <si>
    <t>https://www.sterlinglawyers.com/wisconsin/locations/kenosha/alimony-lawyers/</t>
  </si>
  <si>
    <t>Kenosha Spousal Support Lawyers | Sterling Lawyers, LLC</t>
  </si>
  <si>
    <t>https://www.sterlinglawyers.com/wisconsin/locations/kenosha/paternity-lawyers/</t>
  </si>
  <si>
    <t>Kenosha Paternity Lawyers | Sterling Lawyers, LLC</t>
  </si>
  <si>
    <t>https://www.sterlinglawyers.com/wisconsin/locations/kenosha/military-divorce-lawyers/</t>
  </si>
  <si>
    <t>Kenosha Military Divorce Lawyers | Sterling Lawyers, LLC</t>
  </si>
  <si>
    <t>https://www.sterlinglawyers.com/wisconsin/locations/kenosha/child-support-lawyers/</t>
  </si>
  <si>
    <t>Kenosha Child Support Lawyers | Sterling Lawyers, LLC</t>
  </si>
  <si>
    <t>https://www.sterlinglawyers.com/wisconsin/locations/kenosha/contested-divorce-lawyers/</t>
  </si>
  <si>
    <t>Kenosha Contested Divorce Lawyers | Sterling Lawyers, LLC</t>
  </si>
  <si>
    <t>https://www.sterlinglawyers.com/wisconsin/locations/kenosha/property-division-lawyers/</t>
  </si>
  <si>
    <t>Kenosha Property Division Lawyers | Sterling Lawyers, LLC</t>
  </si>
  <si>
    <t>https://www.sterlinglawyers.com/wisconsin/locations/kenosha/collaborative-divorce-lawyers/</t>
  </si>
  <si>
    <t>Kenosha Collaborative Divorce Lawyers | Sterling Lawyers, LLC</t>
  </si>
  <si>
    <t>https://www.sterlinglawyers.com/wisconsin/locations/baraboo/paternity-lawyers/</t>
  </si>
  <si>
    <t>Baraboo Paternity Lawyers | Sterling Lawyers, LLC</t>
  </si>
  <si>
    <t>https://www.sterlinglawyers.com/wisconsin/locations/kenosha/divorce-mediation-lawyers/</t>
  </si>
  <si>
    <t>Kenosha Divorce Mediation Lawyers | Sterling Lawyers, LLC</t>
  </si>
  <si>
    <t>https://www.sterlinglawyers.com/wisconsin/locations/baraboo/military-divorce-lawyers/</t>
  </si>
  <si>
    <t>Baraboo Military Divorce Lawyers | Sterling Lawyers, LLC</t>
  </si>
  <si>
    <t>https://www.sterlinglawyers.com/wisconsin/locations/baraboo/divorce-mediation-lawyers/</t>
  </si>
  <si>
    <t>Baraboo Divorce Mediation Lawyers | Sterling Lawyers, LLC</t>
  </si>
  <si>
    <t>https://www.sterlinglawyers.com/wisconsin/locations/baraboo/contested-divorce-lawyers/</t>
  </si>
  <si>
    <t>Baraboo Contested Divorce Lawyers | Sterling Lawyers, LLC</t>
  </si>
  <si>
    <t>https://www.sterlinglawyers.com/wisconsin/locations/baraboo/child-custody-lawyers/</t>
  </si>
  <si>
    <t>Baraboo Child Custody Lawyers | Sterling Lawyers, LLC</t>
  </si>
  <si>
    <t>https://www.sterlinglawyers.com/wisconsin/locations/baraboo/property-division-lawyers/</t>
  </si>
  <si>
    <t>Baraboo Property Division Lawyers | Sterling Lawyers, LLC</t>
  </si>
  <si>
    <t>https://www.sterlinglawyers.com/wisconsin/locations/baraboo/collaborative-divorce-lawyers/</t>
  </si>
  <si>
    <t>Baraboo Collaborative Divorce Lawyers | Sterling Lawyers, LLC</t>
  </si>
  <si>
    <t>https://www.sterlinglawyers.com/wisconsin/locations/baraboo/alimony-lawyers/</t>
  </si>
  <si>
    <t>Baraboo Spousal Support Lawyers | Sterling Lawyers, LLC</t>
  </si>
  <si>
    <t>https://www.sterlinglawyers.com/wisconsin/locations/baraboo/uncontested-divorce-lawyers/</t>
  </si>
  <si>
    <t>Baraboo Uncontested Divorce Lawyers | Sterling Lawyers, LLC</t>
  </si>
  <si>
    <t>https://www.sterlinglawyers.com/wisconsin/blog/anchoring-rights-sheboygan-property-division/</t>
  </si>
  <si>
    <t>Anchoring Your Rights in Sheboygan Property Division with Sterling Lawyers | Sterling Lawyers, LLC</t>
  </si>
  <si>
    <t>https://www.sterlinglawyers.com/wisconsin/blog/helping-brookfield-clients-difficult-property-division/</t>
  </si>
  <si>
    <t>Helping Brookfield Clients Through Difficult Property Division | Sterling Lawyers, LLC</t>
  </si>
  <si>
    <t>https://www.sterlinglawyers.com/wisconsin/blog/promoting-fairness-with-milwaukee-divorce-mediation-lawyers/</t>
  </si>
  <si>
    <t>Promoting Fairness with Milwaukee Divorce Mediation Lawyers | Sterling Lawyers, LLC</t>
  </si>
  <si>
    <t>https://www.sterlinglawyers.com/wisconsin/blog/contested-divorce-stress-management-middleton-lawyers/</t>
  </si>
  <si>
    <t>Managing the Stress of a Contested Divorce with Middleton Lawyers | Sterling Lawyers, LLC</t>
  </si>
  <si>
    <t>https://www.sterlinglawyers.com/wisconsin/blog/parental-responsibilities-collide-sheboygan-child-support-cases/</t>
  </si>
  <si>
    <t>When Parental Responsibilities Collide in Sheboygan Child Support Cases | Sterling Lawyers, LLC</t>
  </si>
  <si>
    <t>https://www.sterlinglawyers.com/wisconsin/blog/reality-of-contested-divorce-with-menomonee-falls-lawyers/</t>
  </si>
  <si>
    <t>Examining the Reality of a Contested Divorce with Menomonee Falls Lawyers | Sterling Lawyers, LLC</t>
  </si>
  <si>
    <t>https://www.sterlinglawyers.com/wisconsin/blog/the-working-dads-guide-to-child-custody-in-oshkosh/</t>
  </si>
  <si>
    <t>The Working Dad's Guide to Child Custody in Oshkosh | Sterling Lawyers, LLC</t>
  </si>
  <si>
    <t>https://www.sterlinglawyers.com/wisconsin/blog/how-appleton-fathers-achieve-legal-paternity-recognition/</t>
  </si>
  <si>
    <t>How Appleton Fathers Can Achieve Legal Paternity Recognition | Sterling Lawyers, LLC</t>
  </si>
  <si>
    <t>https://www.sterlinglawyers.com/wisconsin/blog/sheboygan-family-law-mastering-spousal-support/</t>
  </si>
  <si>
    <t>Sheboygan Family Law Mastering the Spousal Support Conversation | Sterling Lawyers, LLC</t>
  </si>
  <si>
    <t>https://www.sterlinglawyers.com/wisconsin/blog/beloit-military-divorce-lawyers-guidance/</t>
  </si>
  <si>
    <t>Beloit Military Divorce Lawyers Guiding You Through Tough Times | Sterling Lawyers, LLC</t>
  </si>
  <si>
    <t>https://www.sterlinglawyers.com/wisconsin/blog/west-bend-child-custody-lawyers-supporting-parents-through-difficult-cases/</t>
  </si>
  <si>
    <t>West Bend Child Custody Lawyers Supporting Parents Through Difficult Cases | Sterling Lawyers, LLC</t>
  </si>
  <si>
    <t>https://www.sterlinglawyers.com/wisconsin/blog/chaos-to-cohesion-mequon-collaborative-divorce-lawyers/</t>
  </si>
  <si>
    <t>From Chaos to Cohesion with Mequon Collaborative Divorce Lawyers | Sterling Lawyers, LLC</t>
  </si>
  <si>
    <t>https://www.sterlinglawyers.com/wisconsin/blog/unwavering-advocacy-protecting-families-collaborative-divorce/</t>
  </si>
  <si>
    <t>Unwavering Advocacy Protecting Families During Collaborative Divorce | Sterling Lawyers, LLC</t>
  </si>
  <si>
    <t>https://www.sterlinglawyers.com/wisconsin/blog/untangling-knots-divorce-mediation-kenosha-lawyers/</t>
  </si>
  <si>
    <t>Untangling the Knots of Divorce Mediation with Kenosha Lawyers | Sterling Lawyers, LLC</t>
  </si>
  <si>
    <t>https://www.sterlinglawyers.com/wisconsin/blog/waukesha-attorney-compassionate-support-contested-divorces/</t>
  </si>
  <si>
    <t>The Compassionate Support of a Waukesha Attorney for Contested Divorces | Sterling Lawyers, LLC</t>
  </si>
  <si>
    <t>https://www.sterlinglawyers.com/wisconsin/blog/glimmer-hope-child-custody-battles-menomonee-falls-attorney/</t>
  </si>
  <si>
    <t>A Glimmer of Hope in Child Custody Battles with Menomonee Falls Attorney | Sterling Lawyers, LLC</t>
  </si>
  <si>
    <t>https://www.sterlinglawyers.com/wisconsin/blog/divorce-mequon-compassion-meets-judicial-precision/</t>
  </si>
  <si>
    <t>Uncontested Divorce in Mequon Compassion Meets Judicial Precision | Sterling Lawyers, LLC</t>
  </si>
  <si>
    <t>https://www.sterlinglawyers.com/wisconsin/blog/guiding-light-through-jefferson-uncontested-divorce-intricacies/</t>
  </si>
  <si>
    <t>Guiding Light Through the Intricacies of Jefferson Uncontested Divorce | Sterling Lawyers, LLC</t>
  </si>
  <si>
    <t>https://www.sterlinglawyers.com/wisconsin/blog/?et_blog</t>
  </si>
  <si>
    <t>https://www.sterlinglawyers.com/wisconsin/blog/page/3/?et_blog</t>
  </si>
  <si>
    <t>https://www.sterlinglawyers.com/wisconsin/blog/comprehensive-paternity-support-brookfield-lawyers/</t>
  </si>
  <si>
    <t>Comprehensive Paternity Support from Brookfield Lawyers | Sterling Lawyers, LLC</t>
  </si>
  <si>
    <t>https://www.sterlinglawyers.com/wisconsin/blog/a-mother-finds-reassurance-during-divorce-mediation/</t>
  </si>
  <si>
    <t>A Mother Finds Reassurance During Divorce Mediation | Sterling Lawyers, LLC</t>
  </si>
  <si>
    <t>https://www.sterlinglawyers.com/wisconsin/blog/unveiling-the-secrect-kenosha-uncontested-divorce-lawyers/</t>
  </si>
  <si>
    <t>Unveiling the Secret of Kenosha Uncontested Divorce Lawyers | Sterling Lawyers, LLC</t>
  </si>
  <si>
    <t>https://www.sterlinglawyers.com/wisconsin/blog/milwaukee-child-custody-tips-strategies-parents/</t>
  </si>
  <si>
    <t>Milwaukee Child Custody Tips and Strategies for Parents | Sterling Lawyers, LLC</t>
  </si>
  <si>
    <t>https://www.sterlinglawyers.com/wisconsin/blog/look-inside-collaborative-divorce-madison-attorney/</t>
  </si>
  <si>
    <t>A Look Inside Collaborative Divorce with a Madison Attorney | Sterling Lawyers, LLC</t>
  </si>
  <si>
    <t>https://www.sterlinglawyers.com/wisconsin/blog/steadfast-support-uncontested-divorce-winnebago-county/</t>
  </si>
  <si>
    <t>Steadfast Support for Uncontested Divorce Proceedings in Winnebago County | Sterling Lawyers, LLC</t>
  </si>
  <si>
    <t>https://www.sterlinglawyers.com/wisconsin/blog/securing-assets-peace-mind-west-bend-mediation/</t>
  </si>
  <si>
    <t>Securing Your Assets and Peace of Mind in West Bend Mediation Proceedings | Sterling Lawyers, LLC</t>
  </si>
  <si>
    <t>https://www.sterlinglawyers.com/wisconsin/blog/complications-military-divorce-milwaukee/</t>
  </si>
  <si>
    <t>The Complications of Military Divorce in Milwaukee Explained | Sterling Lawyers, LLC</t>
  </si>
  <si>
    <t>https://www.sterlinglawyers.com/wisconsin/blog/child-support-lawyers-ensuring-stability-appleton/</t>
  </si>
  <si>
    <t>Child Support Lawyers Ensuring Stability for Appleton Families | Sterling Lawyers, LLC</t>
  </si>
  <si>
    <t>https://www.sterlinglawyers.com/wisconsin/blog/insights-into-property-division-green-bay-attorney/</t>
  </si>
  <si>
    <t>Insights into Property Division from a Green Bay Attorney | Sterling Lawyers, LLC</t>
  </si>
  <si>
    <t>https://www.sterlinglawyers.com/wisconsin/blog/protecting-family-future-jefferson-child-support-attorneys/</t>
  </si>
  <si>
    <t>Protecting Your Family's Future with Jefferson Child Support Attorneys | Sterling Lawyers, LLC</t>
  </si>
  <si>
    <t>https://www.sterlinglawyers.com/wisconsin/blog/jefferson-attorney-supports-families-divorce-mediation/</t>
  </si>
  <si>
    <t>How a Jefferson Attorney Supports Families During Divorce Mediation | Sterling Lawyers, LLC</t>
  </si>
  <si>
    <t>https://www.sterlinglawyers.com/wisconsin/blog/brighter-future-middleton-child-support-lawyers/</t>
  </si>
  <si>
    <t>Securing a Brighter Future with Middleton Child Support Lawyers | Sterling Lawyers, LLC</t>
  </si>
  <si>
    <t>https://www.sterlinglawyers.com/wisconsin/blog/investing-peace-of-mind-trusted-child-custody-attorneys/</t>
  </si>
  <si>
    <t>Investing in Peace of Mind with a Trusted Child Custody Attorneys | Sterling Lawyers, LLC</t>
  </si>
  <si>
    <t>https://www.sterlinglawyers.com/wisconsin/blog/seeking-fair-resolutions-madison-divorce-mediation/</t>
  </si>
  <si>
    <t>Seeking Fair Resolutions Through Madison Divorce Mediation | Sterling Lawyers, LLC</t>
  </si>
  <si>
    <t>https://www.sterlinglawyers.com/wisconsin/blog/guiding-you-through-the-court-system-in-green-bay/</t>
  </si>
  <si>
    <t>Guiding You Through the Court System with Green Bay Contested Divorce Lawyers | Sterling Lawyers, LLC</t>
  </si>
  <si>
    <t>https://www.sterlinglawyers.com/wisconsin/blog/securing-legal-rights-responsibilities-west-bend-paternity-attorney/</t>
  </si>
  <si>
    <t>Securing Legal Rights and Responsibilities with a West Bend Paternity Attorney | Sterling Lawyers, LLC</t>
  </si>
  <si>
    <t>https://www.sterlinglawyers.com/wisconsin/blog/military-divorce-insight-assistance-sheboygan-county/</t>
  </si>
  <si>
    <t>Military Divorce Insight and Assistance in Sheboygan County | Sterling Lawyers, LLC</t>
  </si>
  <si>
    <t>https://www.sterlinglawyers.com/wisconsin/blog/tackling-uncontested-divorce-challenges-racine-lawyers/</t>
  </si>
  <si>
    <t>Tackling Uncontested Divorce Challenges with Racine Lawyers | Sterling Lawyers, LLC</t>
  </si>
  <si>
    <t>https://www.sterlinglawyers.com/wisconsin/blog/road-resilience-sheboygan-uncontested-divorce/</t>
  </si>
  <si>
    <t>The Road to Resilience in Sheboygan Uncontested Divorce Cases | Sterling Lawyers, LLC</t>
  </si>
  <si>
    <t>https://www.sterlinglawyers.com/wisconsin/blog/peace-of-mind-uncontested-divorce-west-bend/</t>
  </si>
  <si>
    <t>Peace of Mind Throughout an Uncontested Divorce in West Bend | Sterling Lawyers, LLC</t>
  </si>
  <si>
    <t>https://www.sterlinglawyers.com/wisconsin/blog/impact-compassionate-guidance-paternity-middleton/</t>
  </si>
  <si>
    <t>The Impact of Compassionate Legal Guidance in Paternity Disputes in Middleton | Sterling Lawyers, LLC</t>
  </si>
  <si>
    <t>https://www.sterlinglawyers.com/wisconsin/blog/a-look-into-uncontested-divorce-in-milwaukee-county/</t>
  </si>
  <si>
    <t>A Look Into an Uncontested Divorce in Milwaukee County | Sterling Lawyers, LLC</t>
  </si>
  <si>
    <t>https://www.sterlinglawyers.com/wisconsin/blog/legal-assistance-west-bend-military-divorce-cases/</t>
  </si>
  <si>
    <t>How Legal Assistance Can Make a Difference in West Bend Military Divorce Cases | Sterling Lawyers, LLC</t>
  </si>
  <si>
    <t>https://www.sterlinglawyers.com/wisconsin/divorce/can-i-make-my-spouse-move-out-after-divorce-papers-are-served/</t>
  </si>
  <si>
    <t>Forcing Spouses to Move during Wisconsin Divorce | Sterling Lawyers, LLC</t>
  </si>
  <si>
    <t>https://www.sterlinglawyers.com/wisconsin/blog/diligent-family-law-attorney-guiding-property-division-matters/</t>
  </si>
  <si>
    <t>The Diligent Family Law Attorney Guiding Property Division Matters | Sterling Lawyers, LLC</t>
  </si>
  <si>
    <t>https://www.sterlinglawyers.com/news/dividing-family-business/</t>
  </si>
  <si>
    <t>Dividing a Family Business During Divorce | Sterling Lawyers, LLC</t>
  </si>
  <si>
    <t>https://www.sterlinglawyers.com/wisconsin/blog/protecting-what-matters-divorce-mediation-brookfield/</t>
  </si>
  <si>
    <t>Protecting What Matters Most in Divorce Mediation with Brookfield Lawyers | Sterling Lawyers, LLC</t>
  </si>
  <si>
    <t>https://www.sterlinglawyers.com/wisconsin/blog/depression-and-divorce/</t>
  </si>
  <si>
    <t>https://www.sterlinglawyers.com/news/validating-individuals/</t>
  </si>
  <si>
    <t>Empowering Individuals Through Validation | Sterling Lawyers, LLC</t>
  </si>
  <si>
    <t>https://www.sterlinglawyers.com/wisconsin/blog/fighting-fairness-child-support-matters-oshkosh/</t>
  </si>
  <si>
    <t>Fighting for Fairness in Child Support Matters with an Oshkosh Attorney | Sterling Lawyers, LLC</t>
  </si>
  <si>
    <t>https://www.sterlinglawyers.com/wisconsin/blog/advocate-children-janesville-lawyers-enforce-support/</t>
  </si>
  <si>
    <t>Advocate for Children How Janesville Lawyers Enforce Support Orders | Sterling Lawyers, LLC</t>
  </si>
  <si>
    <t>https://www.sterlinglawyers.com/wisconsin/blog/appleton-child-custody-lawyers-turn-the-tables-in-your-favor/</t>
  </si>
  <si>
    <t>Turn the Tables in Your Favor with Appleton Child Custody Lawyers | Sterling Lawyers, LLC</t>
  </si>
  <si>
    <t>https://www.sterlinglawyers.com/wisdom-from-attorney-knighton/how-to-predict-an-award-of-child-support/</t>
  </si>
  <si>
    <t>How to Predict an Award of Child Support | Sterling Lawyers, LLC</t>
  </si>
  <si>
    <t>https://www.sterlinglawyers.com/wisconsin/blog/power-legal-guidance-milwaukee-contested-divorce/</t>
  </si>
  <si>
    <t>The Power of Legal Guidance in a Milwaukee Contested Divorce | Sterling Lawyers, LLC</t>
  </si>
  <si>
    <t>https://www.sterlinglawyers.com/wisconsin/divorce/bad-days-of-divorce/</t>
  </si>
  <si>
    <t>Bouncing Back From a Divorce | Sterling Lawyers, LLC</t>
  </si>
  <si>
    <t>https://www.sterlinglawyers.com/wisconsin/divorce/children-and-divorce/</t>
  </si>
  <si>
    <t>How to Inform Kids About the Divorce | Sterling Lawyers, LLC</t>
  </si>
  <si>
    <t>https://www.sterlinglawyers.com/wisconsin/locations/green-bay/military-divorce-lawyers/divorce-mediation-lawyers/</t>
  </si>
  <si>
    <t>https://www.sterlinglawyers.com/wisconsin/divorce/what-to-do-with-the-kids/</t>
  </si>
  <si>
    <t>What To Do With the Kids in a Divorce | Sterling Lawyers, LLC</t>
  </si>
  <si>
    <t>https://www.sterlinglawyers.com/wisconsin/divorce/breaking-news-family/</t>
  </si>
  <si>
    <t>How to Tell Your Family About Your Divorce | Sterling Lawyers, LLC</t>
  </si>
  <si>
    <t>https://www.sterlinglawyers.com/wisconsin/child-support/during-divorce/</t>
  </si>
  <si>
    <t>Child Support &amp; Divorce in Wisconsin | Sterling Lawyers, LLC</t>
  </si>
  <si>
    <t>https://www.sterlinglawyers.com/illinois/attorneys/lea-diaz/reviews/page/7/</t>
  </si>
  <si>
    <t>https://www.sterlinglawyers.com/illinois/attorneys/lea-diaz/reviews/page/6/</t>
  </si>
  <si>
    <t>https://www.sterlinglawyers.com/meet-us/importance-servant-leadership/</t>
  </si>
  <si>
    <t>Importance of Servant Leadership in Family Law | Sterling Lawyers, LLC</t>
  </si>
  <si>
    <t>https://www.sterlinglawyers.com/illinois/attorneys/ellen-rhodeman/</t>
  </si>
  <si>
    <t>https://www.sterlinglawyers.com/news/client-centered-firm/</t>
  </si>
  <si>
    <t>A Client-Centered Firm Empowering Families | Sterling Lawyers, LLC</t>
  </si>
  <si>
    <t>https://www.sterlinglawyers.com/illinois/attorneys/lea-diaz/reviews/page/19/</t>
  </si>
  <si>
    <t>https://www.sterlinglawyers.com/wisconsin/divorce/wisconsin-divorce-laws/</t>
  </si>
  <si>
    <t>https://www.sterlinglawyers.com/illinois/reviews/page/6/</t>
  </si>
  <si>
    <t>https://www.sterlinglawyers.com/illinois/reviews/page/7/</t>
  </si>
  <si>
    <t>https://www.sterlinglawyers.com/illinois/blog/sailing-through-storm-military-divorce-arlington-heights/</t>
  </si>
  <si>
    <t>Sailing through the Storm of a Military Divorce in Arlington Heights | Sterling Lawyers, LLC</t>
  </si>
  <si>
    <t>https://www.sterlinglawyers.com/illinois/blog/navigating-child-support-hoffman-estates-attorneys/</t>
  </si>
  <si>
    <t>Navigating the Intricacies of Child Support with Hoffman Estates Attorneys | Sterling Lawyers, LLC</t>
  </si>
  <si>
    <t>https://www.sterlinglawyers.com/illinois/reviews/page/226/</t>
  </si>
  <si>
    <t>https://www.sterlinglawyers.com/illinois/blog/blueprint-navigating-paternity-proceedings-chicago/</t>
  </si>
  <si>
    <t>A Blueprint for Navigating Paternity Proceedings in Chicago | Sterling Lawyers, LLC</t>
  </si>
  <si>
    <t>https://www.sterlinglawyers.com/illinois/blog/exploring-complexities-property-division-naperville-lawyers/</t>
  </si>
  <si>
    <t>Exploring the Complexities of Property Division with Naperville Lawyers | Sterling Lawyers, LLC</t>
  </si>
  <si>
    <t>https://www.sterlinglawyers.com/illinois/blog/navigating-daunting-property-division-chicago/</t>
  </si>
  <si>
    <t>Navigating the Daunting Maze of Property Division in Chicago | Sterling Lawyers, LLC</t>
  </si>
  <si>
    <t>https://www.sterlinglawyers.com/illinois/blog/securing-brighter-future-child-support-guidance-schaumburg/</t>
  </si>
  <si>
    <t>Securing a Brighter Future with Child Support Guidance in Schaumburg | Sterling Lawyers, LLC</t>
  </si>
  <si>
    <t>https://www.sterlinglawyers.com/illinois/blog/crucial-role-naperville-attorneys-uncontested-divorce/</t>
  </si>
  <si>
    <t>The Crucial Role of Naperville Attorneys in Uncontested Divorce Cases | Sterling Lawyers, LLC</t>
  </si>
  <si>
    <t>https://www.sterlinglawyers.com/illinois/blog/uncontested-divorce-hoffman-estates-legal-guidance/</t>
  </si>
  <si>
    <t>Uncontested Divorce in Hoffman Estates Simplified with Legal Guidance | Sterling Lawyers, LLC</t>
  </si>
  <si>
    <t>https://www.sterlinglawyers.com/illinois/blog/establishing-paternity-protecting-future-cook-county/</t>
  </si>
  <si>
    <t>Establishing Paternity and Protecting Your Future in Cook County | Sterling Lawyers, LLC</t>
  </si>
  <si>
    <t>https://www.sterlinglawyers.com/illinois/blog/overcoming-challenges-contested-divorce-arlington-heights/</t>
  </si>
  <si>
    <t>Overcoming the Challenges of a Contested Divorce in Arlington Heights | Sterling Lawyers, LLC</t>
  </si>
  <si>
    <t>https://www.sterlinglawyers.com/illinois/blog/decoding-divorce-mediation-hoffman-estates/</t>
  </si>
  <si>
    <t>Decoding Divorce Mediation with Sterling Lawyers in Hoffman Estates | Sterling Lawyers, LLC</t>
  </si>
  <si>
    <t>https://www.sterlinglawyers.com/illinois/blog/navigating-military-divorce-unyielding-support-unparalleled-guidance/</t>
  </si>
  <si>
    <t>Navigating Military Divorce with Unyielding Support and Unparalleled Guidance | Sterling Lawyers, LLC</t>
  </si>
  <si>
    <t>https://www.sterlinglawyers.com/illinois/blog/achieving-balance-fairness-schaumburg-divorce/</t>
  </si>
  <si>
    <t>Achieving Balance and Fairness with Schaumburg Divorce Lawyers | Sterling Lawyers, LLC</t>
  </si>
  <si>
    <t>https://www.sterlinglawyers.com/illinois/blog/client-centric-approach-arlington-heights-collaborative-divorce/</t>
  </si>
  <si>
    <t>The Client Centric Approach of Arlington Heights Attorney in Collaborative Divorce | Sterling Lawyers, LLC</t>
  </si>
  <si>
    <t>https://www.sterlinglawyers.com/illinois/blog/lessons-real-life-military-divorce-evanston/</t>
  </si>
  <si>
    <t>Lessons from a Real Life Military Divorce Case in Evanston | Sterling Lawyers, LLC</t>
  </si>
  <si>
    <t>https://www.sterlinglawyers.com/illinois/blog/unlocking-spousal-support-hoffman-estates/</t>
  </si>
  <si>
    <t>Unlocking the Complexities of Spousal Support in Hoffman Estates | Sterling Lawyers, LLC</t>
  </si>
  <si>
    <t>https://www.sterlinglawyers.com/illinois/blog/page/4/?et_blog</t>
  </si>
  <si>
    <t>https://www.sterlinglawyers.com/illinois/blog/schaumburg-divorce-mediation-journey-sterling-lawyers/</t>
  </si>
  <si>
    <t>Journey through Schaumburg Divorce Mediation with Sterling Lawyers | Sterling Lawyers, LLC</t>
  </si>
  <si>
    <t>https://www.sterlinglawyers.com/illinois/blog/challenges-triumphs-child-custody-naperville/</t>
  </si>
  <si>
    <t>The Challenges and Triumphs of Child Custody in Naperville | Sterling Lawyers, LLC</t>
  </si>
  <si>
    <t>https://www.sterlinglawyers.com/illinois/attorneys/lea-diaz/reviews/page/18/</t>
  </si>
  <si>
    <t>https://www.sterlinglawyers.com/illinois/reviews/page/225/</t>
  </si>
  <si>
    <t>https://www.sterlinglawyers.com/news/divorce-and-children/</t>
  </si>
  <si>
    <t>Talking to Your Child About Divorce | Sterling Lawyers, LLC</t>
  </si>
  <si>
    <t>https://www.sterlinglawyers.com/wisconsin/divorce/best-ways-to-approach-holidays-without-your-children/</t>
  </si>
  <si>
    <t>Best Ways to Approach Holidays Without Your Children | Sterling Lawyers, LLC</t>
  </si>
  <si>
    <t>https://www.sterlinglawyers.com/wisconsin/locations</t>
  </si>
  <si>
    <t>https://www.sterlinglawyers.com/wisconsin/divorce/when-your-parents-adore-your-ex/</t>
  </si>
  <si>
    <t>What to Do When Your Parents Adore Your Ex? | Sterling Lawyers, LLC</t>
  </si>
  <si>
    <t>https://www.sterlinglawyers.com/illinois/attorneys/nina-kelly/reviews/page/7/</t>
  </si>
  <si>
    <t>https://www.sterlinglawyers.com/wisconsin/attorneys/toby-kinsler/</t>
  </si>
  <si>
    <t>https://www.sterlinglawyers.com/illinois/attorneys/nina-kelly/reviews/page/41/</t>
  </si>
  <si>
    <t>https://www.sterlinglawyers.com/illinois/attorneys/nina-kelly/reviews/page/42/</t>
  </si>
  <si>
    <t>https://www.sterlinglawyers.com/wisconsin/divorce/entitled-ex-husbands-retirement-money-right-away/</t>
  </si>
  <si>
    <t>Dividing Retirement Assets in Wisconsin | Sterling Lawyers, LLC</t>
  </si>
  <si>
    <t>https://www.sterlinglawyers.com/wisconsin/property-division/how-stocks-are-viewed-and-divided-in-divorce/</t>
  </si>
  <si>
    <t>How Stocks Are Viewed and Divided in Divorce | Sterling Lawyers, LLC</t>
  </si>
  <si>
    <t>https://www.sterlinglawyers.com/wisconsin/property-division/benefits-disability-property-division/</t>
  </si>
  <si>
    <t>Are Benefits From Disability Included When Dividing Property? | Sterling Lawyers, LLC</t>
  </si>
  <si>
    <t>https://www.sterlinglawyers.com/wisconsin/divorce/substance-abuse-during-and-after-divorce-who-does-it-hurt/</t>
  </si>
  <si>
    <t>Substance Abuse and Divorce | Sterling Lawyers, LLC </t>
  </si>
  <si>
    <t>https://www.sterlinglawyers.com/wisconsin/blog/understanding-life-after-divorce-oshkosh-property-division-lawyers/</t>
  </si>
  <si>
    <t>Understanding Life After Divorce with Help from Oshkosh Property Division Lawyers | Sterling Lawyers, LLC</t>
  </si>
  <si>
    <t>https://www.sterlinglawyers.com/illinois/attorneys/nina-kelly/reviews/page/6/</t>
  </si>
  <si>
    <t>https://www.sterlinglawyers.com/wisconsin/blog/embrace-amicable-resolution-child-support-janesville-lawyers/</t>
  </si>
  <si>
    <t>Embrace Amicable Resolution of Child Support with Janesville Lawyers | Sterling Lawyers, LLC</t>
  </si>
  <si>
    <t>https://www.sterlinglawyers.com/wisconsin/spousal-support/ex-stopped-paying-alimony/</t>
  </si>
  <si>
    <t>What to Do If Your Ex Stopped Paying Alimony | Sterling Lawyers, LLC</t>
  </si>
  <si>
    <t>https://www.sterlinglawyers.com/wisconsin/property-division/courts-divide-property/</t>
  </si>
  <si>
    <t>https://www.sterlinglawyers.com/wisconsin/child-support/uniform-interstate-family-act-and-child-support/</t>
  </si>
  <si>
    <t>Child Support &amp; Uniform Interstate Family Act | Sterling Lawyers, LLC</t>
  </si>
  <si>
    <t>https://www.sterlinglawyers.com/wisconsin/locations/racine/uncontested-divorce-lawyers/</t>
  </si>
  <si>
    <t>Racine Uncontested Divorce Lawyers | Sterling Lawyers, LLC</t>
  </si>
  <si>
    <t>https://www.sterlinglawyers.com/wisconsin/locations/racine/alimony-lawyers/</t>
  </si>
  <si>
    <t>Racine Spousal Support Lawyers | Sterling Lawyers, LLC</t>
  </si>
  <si>
    <t>https://www.sterlinglawyers.com/wisconsin/locations/racine/paternity-lawyers/</t>
  </si>
  <si>
    <t>Racine Paternity Lawyers | Sterling Lawyers, LLC</t>
  </si>
  <si>
    <t>https://www.sterlinglawyers.com/wisconsin/locations/racine/property-division-lawyers/</t>
  </si>
  <si>
    <t>Racine Property Division Lawyers | Sterling Lawyers, LLC</t>
  </si>
  <si>
    <t>https://www.sterlinglawyers.com/wisconsin/locations/racine/collaborative-divorce-lawyers/</t>
  </si>
  <si>
    <t>Racine Collaborative Divorce Lawyers | Sterling Lawyers, LLC</t>
  </si>
  <si>
    <t>https://www.sterlinglawyers.com/wisconsin/locations/racine/contested-divorce-lawyers/</t>
  </si>
  <si>
    <t>Racine Contested Divorce Lawyers | Sterling Lawyers, LLC</t>
  </si>
  <si>
    <t>https://www.sterlinglawyers.com/wisconsin/locations/racine/child-custody-lawyers/</t>
  </si>
  <si>
    <t>Racine Child Custody Lawyers | Sterling Lawyers, LLC</t>
  </si>
  <si>
    <t>https://www.sterlinglawyers.com/wisconsin/locations/racine/military-divorce-lawyers/</t>
  </si>
  <si>
    <t>Racine Military Divorce Lawyers | Sterling Lawyers, LLC</t>
  </si>
  <si>
    <t>https://www.sterlinglawyers.com/wisconsin/locations/racine/divorce-mediation-lawyers/</t>
  </si>
  <si>
    <t>Racine Divorce Mediation Lawyers | Sterling Lawyers, LLC</t>
  </si>
  <si>
    <t>https://www.sterlinglawyers.com/wisconsin/locations/racine/child-support-lawyers/</t>
  </si>
  <si>
    <t>Racine Child Support Lawyers | Sterling Lawyers, LLC</t>
  </si>
  <si>
    <t>https://www.sterlinglawyers.com/wisconsin/child-custody/types-of-child-custody-evidence/</t>
  </si>
  <si>
    <t>Types of Child Custody Evidence | Sterling Lawyers, LLC</t>
  </si>
  <si>
    <t>https://www.sterlinglawyers.com/wisconsin/child-custody/impact-dating-child-custody/</t>
  </si>
  <si>
    <t>Dating Impact on Child Custody | Sterling Lawyers, LLC</t>
  </si>
  <si>
    <t>https://www.sterlinglawyers.com/flourishing-families/positive-parenting-solutions/</t>
  </si>
  <si>
    <t>Finding Positive Parenting Solutions | Sterling Lawyers, LLC</t>
  </si>
  <si>
    <t>https://www.sterlinglawyers.com/wisconsin/child-custody/single-parents-and-summer-vacation-trips/</t>
  </si>
  <si>
    <t>Summer Vacation Tips for Single Parents | Sterling Lawyers, LLC</t>
  </si>
  <si>
    <t>https://www.sterlinglawyers.com/wisconsin/blog/having-a-parenting-agreement/</t>
  </si>
  <si>
    <t>https://www.sterlinglawyers.com/wisconsin/blog/international-child-abduction/</t>
  </si>
  <si>
    <t>https://www.sterlinglawyers.com/wisconsin/divorce/co-parenting-with-narcissist/</t>
  </si>
  <si>
    <t>https://www.sterlinglawyers.com/wisconsin/divorce/creating-wisconsin-parenting-plan/</t>
  </si>
  <si>
    <t>https://www.sterlinglawyers.com/wisconsin/blog/child-custody-and-virtual-visitation-rights/</t>
  </si>
  <si>
    <t>https://www.sterlinglawyers.com/wisconsin/child-support/child-support-obligations-of-grandparents/</t>
  </si>
  <si>
    <t>The Child Support Obligations of Grandparents | Sterling Lawyers, LLC</t>
  </si>
  <si>
    <t>https://www.sterlinglawyers.com/wisconsin/child-custody/can-non-parent-challenge-custody-children/</t>
  </si>
  <si>
    <t>Can a Non-Parent Challenge Me for Custody of My Children? | Sterling Lawyers, LLC</t>
  </si>
  <si>
    <t>https://www.sterlinglawyers.com/wisconsin/divorce/can-finalize-divorce-still-unresolved-financial-issues/</t>
  </si>
  <si>
    <t>Finalizing Divorce with Financial Issues in Wisconsin | Sterling Lawyers, LLC</t>
  </si>
  <si>
    <t>https://www.sterlinglawyers.com/wisconsin/property-division/installment-payments/</t>
  </si>
  <si>
    <t>Will the Court Allow Installment Payments for a Property Division Order? | Sterling Lawyers, LLC</t>
  </si>
  <si>
    <t>https://www.sterlinglawyers.com/il-lump-sum-alimony</t>
  </si>
  <si>
    <t>https://www.sterlinglawyers.com/flourishing-families/financial-independence-stages/</t>
  </si>
  <si>
    <t>Stages of Financial Independence | Sterling Lawyers, LLC</t>
  </si>
  <si>
    <t>https://www.sterlinglawyers.com/wisconsin/blog/fighting-for-fair-assistance-with-milwaukee-child-support-lawyers/</t>
  </si>
  <si>
    <t>Fighting for Fair Assistance with Milwaukee Child Support Lawyers | Sterling Lawyers, LLC</t>
  </si>
  <si>
    <t>https://www.sterlinglawyers.com/wisconsin/blog/empowering-parents-child-custody-middleton/</t>
  </si>
  <si>
    <t>Empowering Parents Through the Child Custody Process in Middleton | Sterling Lawyers, LLC</t>
  </si>
  <si>
    <t>https://www.sterlinglawyers.com/wisconsin/blog/making-uncontested-divorce-less-daunting-brookfield/</t>
  </si>
  <si>
    <t>Making Uncontested Divorce Less Daunting with Brookfield Lawyers | Sterling Lawyers, LLC</t>
  </si>
  <si>
    <t>https://www.sterlinglawyers.com/wisconsin/blog/janesville-lawyers-client-interests-military-divorce/</t>
  </si>
  <si>
    <t>Janesville Lawyers Advancing Client Interests in Military Divorce | Sterling Lawyers, LLC</t>
  </si>
  <si>
    <t>https://www.sterlinglawyers.com/wisconsin/blog/roadmap-protecting-assets-appleton-property-division-lawyers/</t>
  </si>
  <si>
    <t>The Roadmap to Protecting Your Assets with Appleton Property Division Lawyers | Sterling Lawyers, LLC</t>
  </si>
  <si>
    <t>https://www.sterlinglawyers.com/wisconsin/divorce/stipulated-divorce-initiation-of-action/</t>
  </si>
  <si>
    <t>Explanation of a Stipulated Divorce: Initiation of Action | Sterling Lawyers, LLC</t>
  </si>
  <si>
    <t>https://www.sterlinglawyers.com/wisconsin/blog/transforming-futures-divorce-mediation-baraboo/</t>
  </si>
  <si>
    <t>Transforming Family Futures with Divorce Mediation in Baraboo | Sterling Lawyers, LLC</t>
  </si>
  <si>
    <t>https://www.sterlinglawyers.com/wisconsin/blog/unfolding-layers-child-custody-law-janesville/</t>
  </si>
  <si>
    <t>Unfolding the Layers of Child Custody Law in Janesville | Sterling Lawyers, LLC</t>
  </si>
  <si>
    <t>https://www.sterlinglawyers.com/wisconsin/blog/madison-uncontested-divorce-lawyers-expectations/</t>
  </si>
  <si>
    <t>What to Expect with Madison Uncontested Divorce Lawyers | Sterling Lawyers, LLC</t>
  </si>
  <si>
    <t>https://www.sterlinglawyers.com/wisconsin/blog/balancing-child-custody-rights-delicately-in-dane-county/</t>
  </si>
  <si>
    <t>Balancing Child Custody Rights Delicately in Dane County | Sterling Lawyers, LLC</t>
  </si>
  <si>
    <t>https://www.sterlinglawyers.com/wisconsin/blog/smooth-sailing-uncontested-divorce-middleton/</t>
  </si>
  <si>
    <t>Smooth Sailing Through Uncontested Divorce in Middleton | Sterling Lawyers, LLC</t>
  </si>
  <si>
    <t>https://www.sterlinglawyers.com/wisconsin/blog/racine-divorce-mediation-lawyers-make-difference/</t>
  </si>
  <si>
    <t>How Racine Divorce Mediation Lawyers Make a Difference | Sterling Lawyers, LLC</t>
  </si>
  <si>
    <t>https://www.sterlinglawyers.com/wisconsin/blog/professional-support-collaborative-divorce-sauk-county/</t>
  </si>
  <si>
    <t>Professional Support for Collaborative Divorce in Sauk County | Sterling Lawyers, LLC</t>
  </si>
  <si>
    <t>https://www.sterlinglawyers.com/wisconsin/blog/achieving-favorable-child-custody-outcomes/</t>
  </si>
  <si>
    <t>Achieving Favorable Child Custody Outcomes in Fond du Lac County | Sterling Lawyers, LLC</t>
  </si>
  <si>
    <t>https://www.sterlinglawyers.com/wisconsin/blog/protecting-your-interests-in-madison-wi-paternity-cases/</t>
  </si>
  <si>
    <t>Protecting Your Interests in Madison WI Paternity Cases | Sterling Lawyers, LLC</t>
  </si>
  <si>
    <t>https://www.sterlinglawyers.com/wisconsin/blog/understanding-importance-of-skilled-appleton-military-divorce-lawyers/</t>
  </si>
  <si>
    <t>Understanding the Importance of Skilled Appleton Lawyers in a Military Divorce | Sterling Lawyers, LLC</t>
  </si>
  <si>
    <t>https://www.sterlinglawyers.com/wisconsin/blog/overcoming-challenges-family-law-beaver-dam-military-divorce-lawyers/</t>
  </si>
  <si>
    <t>Overcoming the Challenges of Family Law with Beaver Dam Military Divorce Lawyers | Sterling Lawyers, LLC</t>
  </si>
  <si>
    <t>https://www.sterlinglawyers.com/wisconsin/blog/invaluable-guide-property-division-kenosha/</t>
  </si>
  <si>
    <t>An Invaluable Guide through Property Division in Kenosha | Sterling Lawyers, LLC</t>
  </si>
  <si>
    <t>https://www.sterlinglawyers.com/wisconsin/blog/middleton-family-harmony-divorce-mediation/</t>
  </si>
  <si>
    <t>Middleton’s Approach to Preserving Family Harmony through Divorce Mediation | Sterling Lawyers, LLC</t>
  </si>
  <si>
    <t>https://www.sterlinglawyers.com/wisconsin/blog/professional-legal-guidance-uncontested-divorce-beloit/</t>
  </si>
  <si>
    <t>Professional Legal Guidance for Uncontested Divorce in Beloit | Sterling Lawyers, LLC</t>
  </si>
  <si>
    <t>https://www.sterlinglawyers.com/wisconsin/blog/a-teachers-journey-through-property-division-in-family-law/</t>
  </si>
  <si>
    <t>A Teacher's Journey Through Property Division in Family Law | Sterling Lawyers, LLC</t>
  </si>
  <si>
    <t>https://www.sterlinglawyers.com/wisconsin/blog/clients-journey-racine-child-support-lawyer/</t>
  </si>
  <si>
    <t>A Client's Journey With a Racine Child Support Lawyer | Sterling Lawyers, LLC</t>
  </si>
  <si>
    <t>https://www.sterlinglawyers.com/wisconsin/blog/resilient-life-after-contested-divorce-madison/</t>
  </si>
  <si>
    <t>Building a Resilient Life After Contested Divorce in Madison | Sterling Lawyers, LLC</t>
  </si>
  <si>
    <t>https://www.sterlinglawyers.com/wisconsin/blog/securing-legacy-understanding-paternity-law-milwaukee/</t>
  </si>
  <si>
    <t>Securing Your Legacy Understanding Paternity Law in Milwaukee | Sterling Lawyers, LLC</t>
  </si>
  <si>
    <t>https://www.sterlinglawyers.com/wisconsin/blog/stepping-stone-stability-middleton-spousal-support-lawyers/</t>
  </si>
  <si>
    <t>Stepping Stone to Stability with Middleton Spousal Support Lawyers | Sterling Lawyers, LLC</t>
  </si>
  <si>
    <t>https://www.sterlinglawyers.com/wisconsin/blog/choose-sterling-lawyers-spousal-support-menomonee-falls/</t>
  </si>
  <si>
    <t>Why Choose Sterling Lawyers for Your Spousal Support Case in Menomonee Falls | Sterling Lawyers, LLC</t>
  </si>
  <si>
    <t>https://www.sterlinglawyers.com/wisconsin/blog/unlocking-process-collaborative-divorce-middleton-attorney/</t>
  </si>
  <si>
    <t>Unlocking the Process of Collaborative Divorce with Middleton Attorney | Sterling Lawyers, LLC</t>
  </si>
  <si>
    <t>https://www.sterlinglawyers.com/wisconsin/blog/stand-on-solid-legal-ground-beloit-contested-divorce/</t>
  </si>
  <si>
    <t>Stand on Solid Legal Ground with Beloit Attorney During a Contested Divorce | Sterling Lawyers, LLC</t>
  </si>
  <si>
    <t>https://www.sterlinglawyers.com/wisconsin/blog/embracing-fatherhood-legal-support-oshkosh/</t>
  </si>
  <si>
    <t>Embracing Fatherhood with Legal Support in Oshkosh | Sterling Lawyers, LLC</t>
  </si>
  <si>
    <t>https://www.sterlinglawyers.com/wisconsin/blog/your-path-to-family-harmony-mequon-collaborative-divorce/</t>
  </si>
  <si>
    <t>Your Path to Family Harmony Through Collaborative Divorce in Mequon | Sterling Lawyers, LLC</t>
  </si>
  <si>
    <t>https://www.sterlinglawyers.com/wisconsin/blog/illuminating-the-path-of-child-support-in-brown-county/</t>
  </si>
  <si>
    <t>Illuminating the Path of Child Support in Brown County | Sterling Lawyers, LLC</t>
  </si>
  <si>
    <t>https://www.sterlinglawyers.com/wisconsin/blog/navigating-property-division-green-bay-legal-guidance/</t>
  </si>
  <si>
    <t>Navigating Property Division in Green Bay with Legal Guidance | Sterling Lawyers, LLC</t>
  </si>
  <si>
    <t>https://www.sterlinglawyers.com/wisconsin/blog/unlocking-hope-collaborative-divorce-jefferson-county/</t>
  </si>
  <si>
    <t>Unlocking Hope in the Midst of a Collaborative Divorce in Jefferson County | Sterling Lawyers, LLC</t>
  </si>
  <si>
    <t>https://www.sterlinglawyers.com/wisconsin/blog/protecting-your-interests-with-beaver-dam-contested-divorce-lawyers/</t>
  </si>
  <si>
    <t>Protecting Your Interests with Beaver Dam Contested Divorce Lawyers | Sterling Lawyers, LLC</t>
  </si>
  <si>
    <t>https://www.sterlinglawyers.com/wisconsin/blog/sailing-through-property-division-with-milwaukee-attorney/</t>
  </si>
  <si>
    <t>Sailing through Property Division with a Milwaukee Attorney | Sterling Lawyers, LLC</t>
  </si>
  <si>
    <t>https://www.sterlinglawyers.com/wisconsin/blog/appleton-uncontested-divorce-attorneys-handle-the-details/</t>
  </si>
  <si>
    <t>Appleton Uncontested Divorce Attorneys Handle the Details so You Can Move Forward | Sterling Lawyers, LLC</t>
  </si>
  <si>
    <t>https://www.sterlinglawyers.com/wisconsin/blog/fond-du-lac-uncontested-divorce-lawyers-guide-to-independence/</t>
  </si>
  <si>
    <t>Journey Towards Independence with Fond du Lac Uncontested Divorce Lawyers | Sterling Lawyers, LLC</t>
  </si>
  <si>
    <t>https://www.sterlinglawyers.com/wisconsin/blog/resolving-conflict-with-brookfield-child-custody-lawyer/</t>
  </si>
  <si>
    <t>Resolving Child Custody Conflicts with the Help of Brookfield Child Custody Lawyers | Sterling Lawyers, LLC</t>
  </si>
  <si>
    <t>https://www.sterlinglawyers.com/wisconsin/blog/beloit-divorce-fair-home-division/</t>
  </si>
  <si>
    <t>Beloit Divorce and the Quest for a Fair Home Division | Sterling Lawyers, LLC</t>
  </si>
  <si>
    <t>https://www.sterlinglawyers.com/wisconsin/blog/father-voice-racine-paternity-law-support/</t>
  </si>
  <si>
    <t>Amplifying a Father's Voice in Racine Paternity Law and Legal Support | Sterling Lawyers, LLC</t>
  </si>
  <si>
    <t>https://www.sterlinglawyers.com/wisconsin/blog/menomonee-falls-collaborative-divorce-lawyers-help-with-separation/</t>
  </si>
  <si>
    <t>Menomonee Falls Collaborative Divorce Lawyers Help with the Separation Process | Sterling Lawyers, LLC</t>
  </si>
  <si>
    <t>https://www.sterlinglawyers.com/wisconsin/blog/a-mothers-story-with-securing-a-fair-racine-collaborative-divorce/</t>
  </si>
  <si>
    <t>A Mother's Story with Securing a Fair Racine Collaborative Divorce | Sterling Lawyers, LLC</t>
  </si>
  <si>
    <t>https://www.sterlinglawyers.com/wisconsin/blog/helping-hand-through-spousal-support-process-waukesha/</t>
  </si>
  <si>
    <t>A Helping Hand Through the Spousal Support Process in Waukesha | Sterling Lawyers, LLC</t>
  </si>
  <si>
    <t>https://www.sterlinglawyers.com/wisconsin/blog/navigating-maze-family-law-green-bay-military-divorce-lawyers/</t>
  </si>
  <si>
    <t>Navigating the Maze of Family Law with Green Bay Military Divorce Lawyers | Sterling Lawyers, LLC</t>
  </si>
  <si>
    <t>https://www.sterlinglawyers.com/wisconsin/blog/conquering-legal-challenges-family-law-beloit/</t>
  </si>
  <si>
    <t>Conquering Legal Challenges in Family Law with Compassionate Advocacy in Beloit | Sterling Lawyers, LLC</t>
  </si>
  <si>
    <t>https://www.sterlinglawyers.com/wisconsin/blog/understanding-challenges-military-divorce-ozaukee-county/</t>
  </si>
  <si>
    <t>Understanding the Unique Challenges of Military Divorce in Ozaukee County | Sterling Lawyers, LLC</t>
  </si>
  <si>
    <t>https://www.sterlinglawyers.com/wisconsin/blog/managing-family-dynamics-collaborative-divorce-kenosha/</t>
  </si>
  <si>
    <t>Managing Family Dynamics in Collaborative Divorce with Kenosha Lawyers | Sterling Lawyers, LLC</t>
  </si>
  <si>
    <t>https://www.sterlinglawyers.com/wisconsin/blog/understanding-family-law-with-jefferson-paternity-attorneys/</t>
  </si>
  <si>
    <t>The Mechanics of Family Law with Jefferson Paternity Attorneys | Sterling Lawyers, LLC</t>
  </si>
  <si>
    <t>https://www.sterlinglawyers.com/wisconsin/blog/unseen-heroes-divorce-mediation-janesville/</t>
  </si>
  <si>
    <t>The Unseen Heroes of Divorce Mediation in Janesville | Sterling Lawyers, LLC</t>
  </si>
  <si>
    <t>https://www.sterlinglawyers.com/wisconsin/blog/facing-legal-intricacies-law-waukesha-collaborative-divorce-attorneys/</t>
  </si>
  <si>
    <t>Facing the Legal Intricacies of Law with Waukesha Collaborative Divorce Attorneys | Sterling Lawyers, LLC</t>
  </si>
  <si>
    <t>https://www.sterlinglawyers.com/wisconsin/blog/beloit-spousal-support-lawyer-financial-security-future/</t>
  </si>
  <si>
    <t>The Role of a Beloit Spousal Support Lawyer in Establishing Financial Security for Your Future | Sterling Lawyers, LLC</t>
  </si>
  <si>
    <t>https://www.sterlinglawyers.com/wisconsin/blog/the-value-of-legal-experience-in-paternity-disputes-green-bay/</t>
  </si>
  <si>
    <t>The Value of Legal Experience in Paternity Disputes in Green Bay, Wisconsin | Sterling Lawyers, LLC</t>
  </si>
  <si>
    <t>https://www.sterlinglawyers.com/wisconsin/blog/personal-stories-divorce-mediation-menomonee-falls/</t>
  </si>
  <si>
    <t>Personal Stories of Divorce Mediation in Menomonee Falls | Sterling Lawyers, LLC</t>
  </si>
  <si>
    <t>https://www.sterlinglawyers.com/wisconsin/blog/rising-above-storm-military-divorce-lawyers/</t>
  </si>
  <si>
    <t>Rising Above the Storm with Military Divorce Lawyers | Sterling Lawyers, LLC</t>
  </si>
  <si>
    <t>https://www.sterlinglawyers.com/wisconsin/blog/advancing-child-support-justice-beaver-dam/</t>
  </si>
  <si>
    <t>Advancing Child Support Justice in Beaver Dam with Sterling Lawyers | Sterling Lawyers, LLC</t>
  </si>
  <si>
    <t>https://www.sterlinglawyers.com/wisconsin/blog/guiding-clients-through-paternity-pillar-beloit/</t>
  </si>
  <si>
    <t>Guiding Clients Through the Pillar of Paternity in Beloit | Sterling Lawyers, LLC</t>
  </si>
  <si>
    <t>https://www.sterlinglawyers.com/wisconsin/blog/addressing-military-divorce-concerns-with-jefferson-attorneys/</t>
  </si>
  <si>
    <t>Addressing Military Divorce Concerns with Jefferson Attorneys | Sterling Lawyers, LLC</t>
  </si>
  <si>
    <t>https://www.sterlinglawyers.com/wisconsin/blog/from-confusion-to-clarity-collaborative-divorce-janesville/</t>
  </si>
  <si>
    <t>From Confusion to Clarity When Navigating Collaborative Divorce in Janesville | Sterling Lawyers, LLC</t>
  </si>
  <si>
    <t>https://www.sterlinglawyers.com/wisconsin/blog/middleton-attorney-making-a-difference-spousal-support-cases/</t>
  </si>
  <si>
    <t>Middleton Attorney Making a Difference in Spousal Support Cases | Sterling Lawyers, LLC</t>
  </si>
  <si>
    <t>https://www.sterlinglawyers.com/wisconsin/attorneys/tiffany-biedermann/</t>
  </si>
  <si>
    <t>https://www.sterlinglawyers.com/wisconsin/blog/balancing-motherhood-contested-divorce-proceedings-kenosha/</t>
  </si>
  <si>
    <t>Balancing Motherhood and Contested Divorce Proceedings in Kenosha | Sterling Lawyers, LLC</t>
  </si>
  <si>
    <t>https://www.sterlinglawyers.com/wisconsin/blog/unpacking-legal-process-baraboo-paternity-lawyers/</t>
  </si>
  <si>
    <t>Unpacking the Legal Process with Baraboo Paternity Lawyers | Sterling Lawyers, LLC</t>
  </si>
  <si>
    <t>https://www.sterlinglawyers.com/wisconsin/blog/sheboygan-child-support-lawyer-navigate-bumpy-roads/</t>
  </si>
  <si>
    <t>How a Sheboygan Child Support Lawyer Helps Navigate Bumpy Roads | Sterling Lawyers, LLC</t>
  </si>
  <si>
    <t>https://www.sterlinglawyers.com/wisconsin/blog/gaining-insight-into-paternity-law-madison-attorney/</t>
  </si>
  <si>
    <t>Gaining Insight into Paternity Law with a Madison Attorney | Sterling Lawyers, LLC</t>
  </si>
  <si>
    <t>https://www.sterlinglawyers.com/wisconsin/blog/compassionate-advocacy-divorce-mediation-attorneys-baraboo/</t>
  </si>
  <si>
    <t>Compassionate Advocacy from Divorce Mediation Attorneys in Baraboo | Sterling Lawyers, LLC</t>
  </si>
  <si>
    <t>https://www.sterlinglawyers.com/wisconsin/blog/menomonee-falls-divorce-mediation-lawyers-journey-resolution/</t>
  </si>
  <si>
    <t>Menomonee Falls Divorce Mediation Lawyers and the Journey towards Resolution | Sterling Lawyers, LLC</t>
  </si>
  <si>
    <t>https://www.sterlinglawyers.com/wisconsin/blog/guiding-hand-child-support-west-bend/</t>
  </si>
  <si>
    <t>A Guiding Hand Through West Bend's Child Support Process | Sterling Lawyers, LLC</t>
  </si>
  <si>
    <t>https://www.sterlinglawyers.com/wisconsin/blog/positive-co-parenting-relationship-menomonee-falls-child-support-lawyer/</t>
  </si>
  <si>
    <t>Safeguarding a Positive Co-Parenting Relationship With a Menomonee Falls Child Support Lawyer | Sterling Lawyers, LLC</t>
  </si>
  <si>
    <t>https://www.sterlinglawyers.com/wisconsin/blog/journey-towards-collaborative-divorce-washington-county/</t>
  </si>
  <si>
    <t>The Journey Towards a Collaborative Divorce in Washington County | Sterling Lawyers, LLC</t>
  </si>
  <si>
    <t>https://www.sterlinglawyers.com/wisconsin/blog/why-a-mequon-paternity-lawyer-matters/</t>
  </si>
  <si>
    <t>Why a Mequon Paternity Lawyer Matters in Family Law Disputes | Sterling Lawyers, LLC</t>
  </si>
  <si>
    <t>https://www.sterlinglawyers.com/wisconsin/blog/legal-insights-modifying-child-support-mequon/</t>
  </si>
  <si>
    <t>Legal Insights for Modifying Child Support in Mequon | Sterling Lawyers, LLC</t>
  </si>
  <si>
    <t>https://www.sterlinglawyers.com/wisconsin/blog/family-advocacy-spousal-support-jefferson/</t>
  </si>
  <si>
    <t>Family Law Advocacy for Spousal Support in Jefferson | Sterling Lawyers, LLC</t>
  </si>
  <si>
    <t>https://www.sterlinglawyers.com/wisconsin/blog/janesville-property-division-lawyers-turmoil-to-tranquility/</t>
  </si>
  <si>
    <t>How Janesville Property Division Lawyers Bring Clients from Turmoil to Tranquility | Sterling Lawyers, LLC</t>
  </si>
  <si>
    <t>https://www.sterlinglawyers.com/wisconsin/attorneys/hannah-smet/</t>
  </si>
  <si>
    <t>https://www.sterlinglawyers.com/wisconsin/blog/journey-intricacies-paternity-laws-menomonee-falls/</t>
  </si>
  <si>
    <t>A Journey through the Intricacies of Paternity Laws in Menomonee Falls | Sterling Lawyers, LLC</t>
  </si>
  <si>
    <t>https://www.sterlinglawyers.com/wisconsin/blog/steps-to-seamless-uncontested-divorce-waukesha-county/</t>
  </si>
  <si>
    <t>Steps to a Seamless Uncontested Divorce in Waukesha County | Sterling Lawyers, LLC</t>
  </si>
  <si>
    <t>https://www.sterlinglawyers.com/wisconsin/blog/lighthouse-legal-support-contested-divorce-baraboo/</t>
  </si>
  <si>
    <t>The Lighthouse of Legal Support for Contested Divorce in Baraboo | Sterling Lawyers, LLC</t>
  </si>
  <si>
    <t>https://www.sterlinglawyers.com/wisconsin/blog/ensuring-family-stability-military-divorce-kenosha/</t>
  </si>
  <si>
    <t>Ensuring Family Stability During Military Divorce in Kenosha County | Sterling Lawyers, LLC</t>
  </si>
  <si>
    <t>https://www.sterlinglawyers.com/wisconsin/blog/braving-military-divorce-storm-green-bay-attorney/</t>
  </si>
  <si>
    <t>Braving the Military Divorce Storm with Green Bay Attorney | Sterling Lawyers, LLC</t>
  </si>
  <si>
    <t>https://www.sterlinglawyers.com/wisconsin/blog/standing-strong-janesville-attorneys-paternity-disputes/</t>
  </si>
  <si>
    <t>Standing Strong with Janesville Attorneys in the Face of Paternity Disputes | Sterling Lawyers, LLC</t>
  </si>
  <si>
    <t>https://www.sterlinglawyers.com/wisconsin/blog/child-custody-agreement-baraboo-parents/</t>
  </si>
  <si>
    <t>Crafting a Child Custody Agreement That Works for Parents in Baraboo | Sterling Lawyers, LLC</t>
  </si>
  <si>
    <t>https://www.sterlinglawyers.com/wisconsin/blog/protecting-welfare-families-green-bay-child-support-lawyers/</t>
  </si>
  <si>
    <t>Protecting the Welfare of Families with Green Bay Child Support Lawyers | Sterling Lawyers, LLC</t>
  </si>
  <si>
    <t>https://www.sterlinglawyers.com/wisconsin/blog/unraveling-process-beloit-divorce-mediation-lawyers/</t>
  </si>
  <si>
    <t>Unraveling the Process with Beloit Divorce Mediation Lawyers | Sterling Lawyers, LLC</t>
  </si>
  <si>
    <t>https://www.sterlinglawyers.com/wisconsin/blog/a-look-at-contested-divorces-in-sheboygan-county/</t>
  </si>
  <si>
    <t>A Look at Contested Divorces in Sheboygan County | Sterling Lawyers, LLC</t>
  </si>
  <si>
    <t>https://www.sterlinglawyers.com/wisconsin/blog/appleton-divorce-lawyer-advocate-fair-child-support/</t>
  </si>
  <si>
    <t>How an Appleton Divorce Lawyer Can Advocate for Fair Child Support | Sterling Lawyers, LLC</t>
  </si>
  <si>
    <t>https://www.sterlinglawyers.com/wisconsin/blog/protecting-military-personnel-interests-divorce/</t>
  </si>
  <si>
    <t>Protecting Military Personnel Interests during Divorce in Middleton | Sterling Lawyers, LLC</t>
  </si>
  <si>
    <t>https://www.sterlinglawyers.com/wisconsin/blog/unveiling-process-divorce-mediation-in-west-bend/</t>
  </si>
  <si>
    <t>Unveiling the Process of Divorce Mediation in West Bend | Sterling Lawyers, LLC</t>
  </si>
  <si>
    <t>https://www.sterlinglawyers.com/wisconsin/blog/advancing-through-racine-contested-divorce-with-confidence/</t>
  </si>
  <si>
    <t>Advancing through a Racine Contested Divorce with Confidence | Sterling Lawyers, LLC</t>
  </si>
  <si>
    <t>https://www.sterlinglawyers.com/wisconsin/blog/overcoming-legal-hurdles-west-bend-child-support/</t>
  </si>
  <si>
    <t>Overcoming Legal Hurdles in West Bend Child Support Cases | Sterling Lawyers, LLC</t>
  </si>
  <si>
    <t>https://www.sterlinglawyers.com/wisconsin/blog/planning-contested-divorce-with-brookfield-lawyer/</t>
  </si>
  <si>
    <t>Planning a Contested Divorce with a Brookfield Lawyer | Sterling Lawyers, LLC</t>
  </si>
  <si>
    <t>https://www.sterlinglawyers.com/wisconsin/blog/stable-spousal-support-brookfield/</t>
  </si>
  <si>
    <t>Ensuring Stable Spousal Support in Brookfield's Legal Landscape | Sterling Lawyers, LLC</t>
  </si>
  <si>
    <t>https://www.sterlinglawyers.com/wisconsin/blog/trusted-legal-support-uncontested-divorce-in-fond-du-lac/</t>
  </si>
  <si>
    <t>Trusted Legal Support for Uncontested Divorce in Fond du Lac | Sterling Lawyers, LLC</t>
  </si>
  <si>
    <t>https://www.sterlinglawyers.com/wisconsin/blog/winning-strategies-beaver-dam-spousal-support-lawyers/</t>
  </si>
  <si>
    <t>Winning Strategies from Beaver Dam Spousal Support Lawyers | Sterling Lawyers, LLC</t>
  </si>
  <si>
    <t>https://www.sterlinglawyers.com/wisconsin/blog/green-bay-attorney-empowering-mother-collaborative-divorce/</t>
  </si>
  <si>
    <t>Green Bay Attorney Empowering a Mother Through Collaborative Divorce | Sterling Lawyers, LLC</t>
  </si>
  <si>
    <t>https://www.sterlinglawyers.com/wisconsin/blog/working-together-during-the-collaborative-divorce-process-in-mequon/</t>
  </si>
  <si>
    <t>Working Together During the Collaborative Divorce Process in Mequon | Sterling Lawyers, LLC</t>
  </si>
  <si>
    <t>https://www.sterlinglawyers.com/wisconsin/blog/holistic-child-support-solutions-jefferson-attorneys/</t>
  </si>
  <si>
    <t>Holistic Child Support Solutions from Jefferson Attorneys | Sterling Lawyers, LLC</t>
  </si>
  <si>
    <t>https://www.sterlinglawyers.com/wisconsin/blog/comprehensive-support-property-division-madison/</t>
  </si>
  <si>
    <t>Comprehensive Support for Property Division in Madison | Sterling Lawyers, LLC</t>
  </si>
  <si>
    <t>https://www.sterlinglawyers.com/wisconsin/blog/overcoming-challenges-green-bay-uncontested-divorce-lawyers/</t>
  </si>
  <si>
    <t>Overcoming Challenges with Green Bay Uncontested Divorce Lawyers | Sterling Lawyers, LLC</t>
  </si>
  <si>
    <t>https://www.sterlinglawyers.com/wisconsin/blog/oshkosh-child-support-lawyers-building-bridge-over-troubled-water/</t>
  </si>
  <si>
    <t>Oshkosh Child Support Lawyers Building a Bridge Over Troubled Water | Sterling Lawyers, LLC</t>
  </si>
  <si>
    <t>https://www.sterlinglawyers.com/wisconsin/blog/simplifying-the-process-with-kenosha-property-division-lawyers/</t>
  </si>
  <si>
    <t>Simplifying the Process with Kenosha Property Division Lawyers | Sterling Lawyers, LLC</t>
  </si>
  <si>
    <t>https://www.sterlinglawyers.com/wisconsin/blog/jefferson-child-custody-lawyer-transform-case/</t>
  </si>
  <si>
    <t>How a Jefferson Child Custody Lawyer Can Transform Your Case | Sterling Lawyers, LLC</t>
  </si>
  <si>
    <t>https://www.sterlinglawyers.com/wisconsin/blog/legal-support-empathy-divorce-mediation/</t>
  </si>
  <si>
    <t>When Legal Support Meets Empathy in Divorce Mediation | Sterling Lawyers, LLC</t>
  </si>
  <si>
    <t>https://www.sterlinglawyers.com/wisconsin/blog/the-value-of-beaver-dam-paternity-lawyers-for-fathers-seeking-help/</t>
  </si>
  <si>
    <t>The Value of Beaver Dam Paternity Lawyers for Fathers Seeking Help | Sterling Lawyers, LLC</t>
  </si>
  <si>
    <t>https://www.sterlinglawyers.com/wisconsin/blog/unpacking-military-divorce-complexity-milwaukee-attorney/</t>
  </si>
  <si>
    <t>Unpacking the Complexity of Military Divorces with Milwaukee Attorney | Sterling Lawyers, LLC</t>
  </si>
  <si>
    <t>https://www.sterlinglawyers.com/wisconsin/blog/advocacy-support-paternity-case-mequon-lawyers/</t>
  </si>
  <si>
    <t>Advocacy and Support in a Paternity Case with Mequon Lawyers | Sterling Lawyers, LLC</t>
  </si>
  <si>
    <t>https://www.sterlinglawyers.com/wisconsin/blog/building-divorce-mediation-case-appleton-lawyer/</t>
  </si>
  <si>
    <t>Building a Divorce Mediation Case with an Appleton Lawyer | Sterling Lawyers, LLC</t>
  </si>
  <si>
    <t>https://www.sterlinglawyers.com/wisconsin/blog/tailored-strategies-spousal-support-challenges-brookfield/</t>
  </si>
  <si>
    <t>Tailored Strategies for Spousal Support Challenges in Brookfield | Sterling Lawyers, LLC</t>
  </si>
  <si>
    <t>https://www.sterlinglawyers.com/wisconsin/blog/importance-legal-aid-west-bend-spousal-support/</t>
  </si>
  <si>
    <t>The Importance of Legal Aid in West Bend Spousal Support Cases | Sterling Lawyers, LLC</t>
  </si>
  <si>
    <t>https://www.sterlinglawyers.com/wisconsin/blog/ensuring-stable-future-uncontested-divorce-menomonee-falls/</t>
  </si>
  <si>
    <t>Ensuring a Stable Future through an Uncontested Divorce in Menomonee Falls | Sterling Lawyers, LLC</t>
  </si>
  <si>
    <t>https://www.sterlinglawyers.com/wisconsin/blog/family-court-procedures-military-divorce-beloit/</t>
  </si>
  <si>
    <t>Family Court Procedures for Military Divorce in Beloit | Sterling Lawyers, LLC</t>
  </si>
  <si>
    <t>https://www.sterlinglawyers.com/wisconsin/blog/finding-common-ground-collaborative-divorce-benefits/</t>
  </si>
  <si>
    <t>Finding Common Ground How Collaborative Divorce Benefits Children | Sterling Lawyers, LLC</t>
  </si>
  <si>
    <t>https://www.sterlinglawyers.com/wisconsin/blog/how-milwaukee-spousal-support-attorneys-help/</t>
  </si>
  <si>
    <t>How a Milwaukee Spousal Support Attorney Can Help During a Divorce | Sterling Lawyers, LLC</t>
  </si>
  <si>
    <t>https://www.sterlinglawyers.com/wisconsin/blog/human-side-property-division-fond-du-lac/</t>
  </si>
  <si>
    <t>Unveiling the Human Side of Property Division in Fond du Lac | Sterling Lawyers, LLC</t>
  </si>
  <si>
    <t>https://www.sterlinglawyers.com/wisconsin/attorneys/andria-adams/reviews/page/</t>
  </si>
  <si>
    <t>https://www.sterlinglawyers.com/wisconsin/blog/making-sense-spousal-support-laws-fond-du-lac/</t>
  </si>
  <si>
    <t>Making Sense of Spousal Support Laws in Fond du Lac | Sterling Lawyers, LLC</t>
  </si>
  <si>
    <t>https://www.sterlinglawyers.com/wisconsin/attorneys/andria-adams/reviews/page/4/</t>
  </si>
  <si>
    <t>https://www.sterlinglawyers.com/wisconsin/blog/empowering-single-parents-paternity-appleton/</t>
  </si>
  <si>
    <t>Empowering Single Parents through Paternity Cases in Appleton | Sterling Lawyers, LLC</t>
  </si>
  <si>
    <t>https://www.sterlinglawyers.com/wisconsin/blog/riding-waves-uncontested-divorce-racine-attorney/</t>
  </si>
  <si>
    <t>Riding the Waves of an Uncontested Divorce with a Racine Attorney | Sterling Lawyers, LLC</t>
  </si>
  <si>
    <t>https://www.sterlinglawyers.com/wisconsin/attorneys/jack-braaten/reviews/page/30/</t>
  </si>
  <si>
    <t>https://www.sterlinglawyers.com/wisconsin/attorneys/jack-braaten/reviews/page/</t>
  </si>
  <si>
    <t>https://www.sterlinglawyers.com/wisconsin/attorneys/andria-adams/reviews/page/5/</t>
  </si>
  <si>
    <t>https://www.sterlinglawyers.com/wisconsin/attorneys/jack-braaten/reviews/page/27/</t>
  </si>
  <si>
    <t>https://www.sterlinglawyers.com/wisconsin/attorneys/jack-braaten/reviews/page/5/</t>
  </si>
  <si>
    <t>https://www.sterlinglawyers.com/wisconsin/attorneys/jack-braaten/reviews/page/4/</t>
  </si>
  <si>
    <t>https://www.sterlinglawyers.com/wisconsin/attorneys/andria-adams/reviews/page/18/</t>
  </si>
  <si>
    <t>https://www.sterlinglawyers.com/wisconsin/attorneys/andria-adams/reviews/page/17/</t>
  </si>
  <si>
    <t>https://www.sterlinglawyers.com/wisconsin/attorneys/jack-braaten/reviews/page/28/</t>
  </si>
  <si>
    <t>https://www.sterlinglawyers.com/wisconsin/attorneys/bailey-holt/reviews/page/5/</t>
  </si>
  <si>
    <t>https://www.sterlinglawyers.com/wisconsin/attorneys/crawford-campbell/reviews/page/4/</t>
  </si>
  <si>
    <t>https://www.sterlinglawyers.com/wisconsin/attorneys/crawford-campbell/reviews/page/</t>
  </si>
  <si>
    <t>https://www.sterlinglawyers.com/wisconsin/attorneys/kathleen-curran/reviews/page/4/</t>
  </si>
  <si>
    <t>https://www.sterlinglawyers.com/wisconsin/attorneys/kathleen-curran/reviews/page/5/</t>
  </si>
  <si>
    <t>https://www.sterlinglawyers.com/wisconsin/attorneys/kathleen-curran/reviews/page/34/</t>
  </si>
  <si>
    <t>https://www.sterlinglawyers.com/wisconsin/attorneys/kathleen-curran/reviews/page/35/</t>
  </si>
  <si>
    <t>https://www.sterlinglawyers.com/wisconsin/attorneys/austin-miller/reviews/page/33/</t>
  </si>
  <si>
    <t>https://www.sterlinglawyers.com/wisconsin/attorneys/kathleen-curran/reviews/page/</t>
  </si>
  <si>
    <t>https://www.sterlinglawyers.com/wisconsin/attorneys/ellen-rhodeman/reviews/page/54/</t>
  </si>
  <si>
    <t>https://www.sterlinglawyers.com/wisconsin/attorneys/austin-miller/reviews/page/34/</t>
  </si>
  <si>
    <t>https://www.sterlinglawyers.com/wisconsin/attorneys/austin-miller/reviews/page/</t>
  </si>
  <si>
    <t>https://www.sterlinglawyers.com/wisconsin/attorneys/austin-miller/reviews/page/4/</t>
  </si>
  <si>
    <t>https://www.sterlinglawyers.com/wisconsin/attorneys/ellen-rhodeman/reviews/page/53/</t>
  </si>
  <si>
    <t>https://www.sterlinglawyers.com/wisconsin/attorneys/austin-miller/reviews/page/5/</t>
  </si>
  <si>
    <t>https://www.sterlinglawyers.com/wisconsin/attorneys/bailey-holt/reviews/page/24/</t>
  </si>
  <si>
    <t>https://www.sterlinglawyers.com/wisconsin/attorneys/bailey-holt/reviews/page/23/</t>
  </si>
  <si>
    <t>https://www.sterlinglawyers.com/wisconsin/attorneys/bailey-holt/reviews/page/4/</t>
  </si>
  <si>
    <t>https://www.sterlinglawyers.com/wisconsin/attorneys/bailey-holt/reviews/page/</t>
  </si>
  <si>
    <t>https://www.sterlinglawyers.com/wisconsin/attorneys/ellen-rhodeman/reviews/page/4/</t>
  </si>
  <si>
    <t>https://www.sterlinglawyers.com/wisconsin/attorneys/ellen-rhodeman/reviews/page/</t>
  </si>
  <si>
    <t>https://www.sterlinglawyers.com/wisconsin/attorneys/jeff-hughes/reviews/page/5/</t>
  </si>
  <si>
    <t>https://www.sterlinglawyers.com/wisconsin/attorneys/ellen-rhodeman/reviews/page/5/</t>
  </si>
  <si>
    <t>https://www.sterlinglawyers.com/wisconsin/attorneys/jeff-hughes/reviews/page/4/</t>
  </si>
  <si>
    <t>https://www.sterlinglawyers.com/wisconsin/attorneys/jeff-hughes/reviews/page/12/</t>
  </si>
  <si>
    <t>https://www.sterlinglawyers.com/wisconsin/attorneys/jeff-hughes/reviews/page/11/</t>
  </si>
  <si>
    <t>https://www.sterlinglawyers.com/illinois/attorneys/alexandra-isroff/reviews/page/37/</t>
  </si>
  <si>
    <t>https://www.sterlinglawyers.com/wisconsin/attorneys/jeff-hughes/reviews/page/</t>
  </si>
  <si>
    <t>https://www.sterlinglawyers.com/illinois/attorneys/jeff-hughes/reviews/page/8/</t>
  </si>
  <si>
    <t>https://www.sterlinglawyers.com/illinois/attorneys/jacqueline-mcclellan/reviews/page/9/</t>
  </si>
  <si>
    <t>https://www.sterlinglawyers.com/illinois/attorneys/ryan-shope/reviews/page/9/</t>
  </si>
  <si>
    <t>https://www.sterlinglawyers.com/illinois/attorneys/ryan-shope/reviews/page/10/</t>
  </si>
  <si>
    <t>https://www.sterlinglawyers.com/wisconsin/divorce/fact-gathering-divorce/</t>
  </si>
  <si>
    <t>How to Fact Gather for a Divorce? | Sterling Lawyers, LLC</t>
  </si>
  <si>
    <t>https://www.sterlinglawyers.com/illinois/attorneys/ryan-shope/reviews/page/8/</t>
  </si>
  <si>
    <t>https://www.sterlinglawyers.com/illinois/attorneys/ryan-shope/reviews/page/11/</t>
  </si>
  <si>
    <t>https://www.sterlinglawyers.com/illinois/attorneys/jacqueline-mcclellan/reviews/page/8/</t>
  </si>
  <si>
    <t>https://www.sterlinglawyers.com/wisconsin/dirty-divorce-tricks/sneaky-investments/</t>
  </si>
  <si>
    <t>Sneaky Investments | Sterling Lawyers, LLC</t>
  </si>
  <si>
    <t>https://www.sterlinglawyers.com/wisconsin/dirty-divorce-tricks/hiding-assets/</t>
  </si>
  <si>
    <t>Hiding Assets During Divorce | Sterling Lawyers, LLC</t>
  </si>
  <si>
    <t>https://www.sterlinglawyers.com/wisconsin/divorce/a-secret-cash-stash-is-a-good-idea/</t>
  </si>
  <si>
    <t>A Secret Cash Stash is a Good Idea Prior to Marriage | Sterling Lawyers, LLC</t>
  </si>
  <si>
    <t>https://www.sterlinglawyers.com/illinois/attorneys/katie-vandeusen/reviews/page/9/</t>
  </si>
  <si>
    <t>https://www.sterlinglawyers.com/illinois/attorneys/alexandra-isroff/reviews/page/38/</t>
  </si>
  <si>
    <t>https://www.sterlinglawyers.com/wisconsin/reviews/page/226/</t>
  </si>
  <si>
    <t>https://www.sterlinglawyers.com/wisconsin/reviews/page/225/</t>
  </si>
  <si>
    <t>https://www.sterlinglawyers.com/wisconsin/blog/path-to-full-custody-green-bay-attorney/</t>
  </si>
  <si>
    <t>Unveiling the Path to Full Custody with a Green Bay Family Law Attorney | Sterling Lawyers, LLC</t>
  </si>
  <si>
    <t>https://www.sterlinglawyers.com/wisconsin/blog/hiring-fond-du-lac-divorce-mediation-lawyer-advantages/</t>
  </si>
  <si>
    <t>Benefits of Hiring a Fond du lac Divorce Mediation Lawyer During Legal Proceedings | Sterling Lawyers, LLC</t>
  </si>
  <si>
    <t>https://www.sterlinglawyers.com/wisconsin/blog/fathers-tune-advocating-paternity-rights/</t>
  </si>
  <si>
    <t>A Father's Tune Advocating for Paternity Rights in Rock County | Sterling Lawyers, LLC</t>
  </si>
  <si>
    <t>https://www.sterlinglawyers.com/reviews/page/9/</t>
  </si>
  <si>
    <t>https://www.sterlinglawyers.com/reviews/page/224/</t>
  </si>
  <si>
    <t>https://www.sterlinglawyers.com/illinois/attorneys/alexandra-isroff/reviews/page/9/</t>
  </si>
  <si>
    <t>https://www.sterlinglawyers.com/illinois/attorneys/alexandra-isroff/reviews/page/8/</t>
  </si>
  <si>
    <t>https://www.sterlinglawyers.com/reviews/page/225/</t>
  </si>
  <si>
    <t>https://www.sterlinglawyers.com/reviews/page/8/</t>
  </si>
  <si>
    <t>https://www.sterlinglawyers.com/illinois/attorneys/katie-vandeusen/reviews/page/8/</t>
  </si>
  <si>
    <t>https://www.sterlinglawyers.com/illinois/attorneys/katie-vandeusen/reviews/page/24/</t>
  </si>
  <si>
    <t>https://www.sterlinglawyers.com/illinois/attorneys/katie-vandeusen/reviews/page/25/</t>
  </si>
  <si>
    <t>https://www.sterlinglawyers.com/wisconsin/divorce/what-can-i-bring-to-court/</t>
  </si>
  <si>
    <t>What Can I Bring To Court? | Sterling Lawyers, LLC</t>
  </si>
  <si>
    <t>https://www.sterlinglawyers.com/wisdom-from-attorney-knighton/what-is-the-process-of-property-division-in-wisconsin/</t>
  </si>
  <si>
    <t>What is the Process of Property Division in Wisconsin? | Sterling Lawyers, LLC</t>
  </si>
  <si>
    <t>https://www.sterlinglawyers.com/wisconsin/divorce/knowing-assessing-problem-within/</t>
  </si>
  <si>
    <t>How to Avoid Victim Blaming | Sterling Lawyers, LLC</t>
  </si>
  <si>
    <t>https://www.sterlinglawyers.com/wisconsin/reviews/page/7/</t>
  </si>
  <si>
    <t>https://www.sterlinglawyers.com/wisconsin/divorce/attend-marriage-counseling/</t>
  </si>
  <si>
    <t>Why Attend Marriage Counseling | Sterling Lawyers, LLC</t>
  </si>
  <si>
    <t>https://www.sterlinglawyers.com/wisdom-from-attorney-knighton/one-question-must-ask-every-single-day/</t>
  </si>
  <si>
    <t>The One Question You Must Ask Yourself Every Single Day | Sterling Lawyers, LLC</t>
  </si>
  <si>
    <t>https://www.sterlinglawyers.com/wisconsin/reviews/page/6/</t>
  </si>
  <si>
    <t>https://www.sterlinglawyers.com/wisconsin/divorce/i-was-blindsided-by-divorce-papers-how-do-i-respond/</t>
  </si>
  <si>
    <t>Responding to a Wisconsin Divorce Petition | Sterling Lawyers, LLC</t>
  </si>
  <si>
    <t>https://www.sterlinglawyers.com/wisconsin/blog/empowered-dissolutions-reclaiming-control-collaborative-divorce/</t>
  </si>
  <si>
    <t>Empowered Dissolutions Reclaiming Control through Collaborative Divorce | Sterling Lawyers, LLC</t>
  </si>
  <si>
    <t>https://www.sterlinglawyers.com/wisconsin/divorce/coping-with-your-ex-seeing-someone-new/</t>
  </si>
  <si>
    <t>Coping With Your Ex Seeing Someone New | Sterling Lawyers, LLC</t>
  </si>
  <si>
    <t>https://www.sterlinglawyers.com/wisconsin/divorce/changing-your-name/</t>
  </si>
  <si>
    <t>Changing Your Name After Divorce | Sterling Lawyers, LLC</t>
  </si>
  <si>
    <t>https://www.sterlinglawyers.com/case-law/relocating-with-child/</t>
  </si>
  <si>
    <t>Relocating With Children After Divorce | Sterling Lawyers, LLC</t>
  </si>
  <si>
    <t>https://www.sterlinglawyers.com/wisconsin/blog/value-of-lawyer-baraboo-spousal-support-case/</t>
  </si>
  <si>
    <t>The Value of a Lawyer in a Baraboo Spousal Support Case | Sterling Lawyers, LLC</t>
  </si>
  <si>
    <t>https://www.sterlinglawyers.com/wisconsin/blog/madison-child-support-attorney-advocate/</t>
  </si>
  <si>
    <t>How a Madison Child Support Attorney Can Advocate for You | Sterling Lawyers, LLC</t>
  </si>
  <si>
    <t>https://www.sterlinglawyers.com/wisconsin/blog/stress-less-menomonee-falls-property-division-lawyers/</t>
  </si>
  <si>
    <t>Stress Less with Menomonee Falls Property Division Lawyers | Sterling Lawyers, LLC</t>
  </si>
  <si>
    <t>https://www.sterlinglawyers.com/wisconsin/blog/compassionate-uncontested-divorce-beaver-dam/</t>
  </si>
  <si>
    <t>The Compassionate Approach to Uncontested Divorce in Beaver Dam | Sterling Lawyers, LLC</t>
  </si>
  <si>
    <t>https://www.sterlinglawyers.com/wisconsin/divorce/kids-take-sides/</t>
  </si>
  <si>
    <t>When Your Kids Take Sides | Sterling Lawyers, LLC</t>
  </si>
  <si>
    <t>https://www.sterlinglawyers.com/wisconsin/blog/menomonee-falls-attorney-help-navigating-military-divorce/</t>
  </si>
  <si>
    <t>Menomonee Falls Attorney Helps Navigate the Muddy Waters of Military Divorce | Sterling Lawyers, LLC</t>
  </si>
  <si>
    <t>https://www.sterlinglawyers.com/wisconsin/blog/insight-from-waukesha-contested-divorce-lawyers/</t>
  </si>
  <si>
    <t>Protecting Interests and Balancing the Scale with Insight from Waukesha Contested Divorce Lawyers | Sterling Lawyers, LLC</t>
  </si>
  <si>
    <t>https://www.sterlinglawyers.com/wisconsin/blog/effective-legal-representation-property-division-jefferson/</t>
  </si>
  <si>
    <t>Effective Legal Representation for Property Division in Jefferson | Sterling Lawyers, LLC</t>
  </si>
  <si>
    <t>https://www.sterlinglawyers.com/wisconsin/blog/exploring-landscape-contested-divorce-racine/</t>
  </si>
  <si>
    <t>Exploring the Landscape of Contested Divorce in Racine | Sterling Lawyers, LLC</t>
  </si>
  <si>
    <t>https://www.sterlinglawyers.com/wisconsin/blog/leap-of-faith-navigating-paternity-case-middleton-attorney/</t>
  </si>
  <si>
    <t>Taking a Leap of Faith in Navigating a Paternity Case with Middleton Attorney | Sterling Lawyers, LLC</t>
  </si>
  <si>
    <t>https://www.sterlinglawyers.com/wisconsin/blog/shaping-future-with-fond-du-lac-military-divorce-lawyers/</t>
  </si>
  <si>
    <t>Shaping Your Future With Help from Fond du Lac Military Divorce Lawyers | Sterling Lawyers, LLC</t>
  </si>
  <si>
    <t>https://www.sterlinglawyers.com/wisconsin/blog/why-parents-need-attorney-beaver-dam-child-custody-case/</t>
  </si>
  <si>
    <t>Why Every Parent Needs an Attorney on Their Side for a Beaver Dam Child Custody Case | Sterling Lawyers, LLC</t>
  </si>
  <si>
    <t>https://www.sterlinglawyers.com/wisconsin/blog/sheboygan-lawyers-illuminate-path-military-divorce/</t>
  </si>
  <si>
    <t>Sheboygan Lawyers Illuminate the Path through Military Divorce | Sterling Lawyers, LLC</t>
  </si>
  <si>
    <t>https://www.sterlinglawyers.com/wisconsin/blog/legal-insights-property-division-families-baraboo/</t>
  </si>
  <si>
    <t>Legal Insights into Property Division for Families in Baraboo | Sterling Lawyers, LLC</t>
  </si>
  <si>
    <t>https://www.sterlinglawyers.com/wisconsin/blog/solving-puzzle-uncontested-divorce-beaver-dam-attorneys/</t>
  </si>
  <si>
    <t>Solving the Puzzle of Uncontested Divorce with Beaver Dam Attorneys | Sterling Lawyers, LLC</t>
  </si>
  <si>
    <t>https://www.sterlinglawyers.com/wisconsin/blog/journey-of-dedicated-child-custody-lawyer-in-ozaukee-county/</t>
  </si>
  <si>
    <t>The Journey of a Dedicated Child Custody Lawyer in Ozaukee County | Sterling Lawyers, LLC</t>
  </si>
  <si>
    <t>https://www.sterlinglawyers.com/wisconsin/blog/forging-new-future-spousal-support-milwaukee/</t>
  </si>
  <si>
    <t>Forging a New Future Through Spousal Support in Milwaukee | Sterling Lawyers, LLC</t>
  </si>
  <si>
    <t>https://www.sterlinglawyers.com/wisconsin/blog/child-support-advocacy-guide-middleton-lawyers/</t>
  </si>
  <si>
    <t>Your Guide to Child Support Advocacy with Middleton Lawyers | Sterling Lawyers, LLC</t>
  </si>
  <si>
    <t>https://www.sterlinglawyers.com/wisconsin/blog/securing-stability-amidst-uncertainty-racine-spousal-support-lawyers/</t>
  </si>
  <si>
    <t>Securing Stability Amidst Uncertainty with Racine Spousal Support Lawyers | Sterling Lawyers, LLC</t>
  </si>
  <si>
    <t>https://www.sterlinglawyers.com/wisconsin/blog/striving-for-equitable-child-support-baraboo/</t>
  </si>
  <si>
    <t>Striving for Equitable Child Support in Baraboo | Sterling Lawyers, LLC</t>
  </si>
  <si>
    <t>https://www.sterlinglawyers.com/wisconsin/areas/dodge-county/beaver-dam/</t>
  </si>
  <si>
    <t>https://www.sterlinglawyers.com/directions-madison-wisconsin</t>
  </si>
  <si>
    <t>https://www.sterlinglawyers.com/wisconsin/areas/jefferson-county/jefferson/</t>
  </si>
  <si>
    <t>https://www.sterlinglawyers.com/directions-jefferson-wisconsin</t>
  </si>
  <si>
    <t>https://www.sterlinglawyers.com/wisconsin/areas/douglas-county/Superior/</t>
  </si>
  <si>
    <t>https://www.sterlinglawyers.com/wisconsin/areas/barron-county/Rice-Lake/</t>
  </si>
  <si>
    <t>https://www.sterlinglawyers.com/wisconsin/areas/fond-du-lac-county/fond-du-lac/</t>
  </si>
  <si>
    <t>https://www.sterlinglawyers.com/maps-milwaukee-area</t>
  </si>
  <si>
    <t>https://www.sterlinglawyers.com/maps-madison-area</t>
  </si>
  <si>
    <t>https://www.sterlinglawyers.com/directions-menomonee-falls-wisconsin</t>
  </si>
  <si>
    <t>https://www.sterlinglawyers.com/directions-milwaukee-wisconsin</t>
  </si>
  <si>
    <t>https://www.sterlinglawyers.com/directions-waukesha-wisconsin</t>
  </si>
  <si>
    <t>https://www.sterlinglawyers.com/directions-brookfield-wisconsin</t>
  </si>
  <si>
    <t>https://www.sterlinglawyers.com/maps-fox-valley-area</t>
  </si>
  <si>
    <t>https://www.sterlinglawyers.com/wisconsin/areas/sauk-county/baraboo/</t>
  </si>
  <si>
    <t>https://www.sterlinglawyers.com/wisconsin/divorce/when-are-we-legally-separated/</t>
  </si>
  <si>
    <t>When Are We Legally Separated? | Sterling Lawyers, LLC</t>
  </si>
  <si>
    <t>https://www.sterlinglawyers.com/wisconsin/divorce/financing/</t>
  </si>
  <si>
    <t>7 Common Ways to Pay for Divorce | Sterling Lawyers</t>
  </si>
  <si>
    <t>https://www.sterlinglawyers.com/wisconsin/divorce/who-gets-custody-of-your-friends-after-divorce/</t>
  </si>
  <si>
    <t>Who Gets the Friend Group After a Divorce? | Sterling Lawyers, LLC</t>
  </si>
  <si>
    <t>https://www.sterlinglawyers.com/wisconsin/divorce/having-a-pity-party-and-a-divorce/</t>
  </si>
  <si>
    <t>It's Okay to Have a Pity Party When Getting Divorced | Sterling Lawyers, LLC</t>
  </si>
  <si>
    <t>https://www.sterlinglawyers.com/wisconsin/divorce/dealing-with-emotional-pain/_wp_link_placeholder</t>
  </si>
  <si>
    <t>https://sterlinglawyers.com/wisconsin/child-custody/fathers-rights-wisconsin/</t>
  </si>
  <si>
    <t>https://www.sterlinglawyers.com/wisconsin/locations/fund-du-lac/</t>
  </si>
  <si>
    <t>https://www.sterlinglawyers.com/wisconsin/child-custody/violating-child-custody-court-order/</t>
  </si>
  <si>
    <t>Violation of Child Custody Court Order Agreement | Sterling Lawyers, LLC</t>
  </si>
  <si>
    <t>https://www.sterlinglawyers.com/wisconsin/divorce/when-stepmoms-butt-in/</t>
  </si>
  <si>
    <t>Dealing With Troublesome Stepparents | Sterling Lawyers, LLC</t>
  </si>
  <si>
    <t>https://www.sterlinglawyers.com/wisconsin/divorce/divorce-while-pregnant/</t>
  </si>
  <si>
    <t>Getting a Divorce While Pregnant in Wisconsin | Sterling Lawyers, LLC</t>
  </si>
  <si>
    <t>https://www.sterlinglawyers.com/wisconsin/divorce</t>
  </si>
  <si>
    <t>https://www.sterlinglawyers.com/wisconsin/blog/child-support-and-large-combined-incomes/</t>
  </si>
  <si>
    <t>https://www.sterlinglawyers.com/wisconsin/blog/madison-lawyers-advice-property-division/</t>
  </si>
  <si>
    <t>Madison Lawyers Offering Tailored Advice on Property Division | Sterling Lawyers, LLC</t>
  </si>
  <si>
    <t>https://www.sterlinglawyers.com/wisconsin/blog/waukesha-military-divorce-lawyers-family-dynamics/</t>
  </si>
  <si>
    <t>How Waukesha Military Divorce Lawyers Navigate Complex Family Dynamics | Sterling Lawyers, LLC</t>
  </si>
  <si>
    <t>https://www.sterlinglawyers.com/wisconsin/blog/balancing-emotions-law-jefferson-contested-divorce/</t>
  </si>
  <si>
    <t>Balancing Emotions and the Law in Jefferson Contested Divorce | Sterling Lawyers, LLC</t>
  </si>
  <si>
    <t>https://www.sterlinglawyers.com/wisconsin/divorce/what-is-divorce-from-bed-and-board/</t>
  </si>
  <si>
    <t>What Is Divorce From Bed and Board? | Sterling Lawyers, LLC</t>
  </si>
  <si>
    <t>https://www.sterlinglawyers.com/wisconsin/locations/oconomowoc/alimony-lawyers/divorce-mediation-lawyers/</t>
  </si>
  <si>
    <t>https://www.sterlinglawyers.com/flourishing-families/siblings-foster-care/</t>
  </si>
  <si>
    <t>Bringing Foster Care Siblings Together | Sterling Lawyers, LLC</t>
  </si>
  <si>
    <t>https://www.sterlinglawyers.com/wisconsin/divorce/what-is-an-absolute-divorce/</t>
  </si>
  <si>
    <t>What Is An Absolute Divorce? | Sterling Lawyers, LLC</t>
  </si>
  <si>
    <t>https://www.sterlinglawyers.com/wisconsin/wp-content/uploads/sites/2/Wisconsin-Serial-Family-Parent-Child-Support-Worksheet.pdf</t>
  </si>
  <si>
    <t>https://www.sterlinglawyers.com/wisconsin/blog/steps-achieve-spousal-support-fond-du-lac/</t>
  </si>
  <si>
    <t>Steps to Achieve Spousal Support in Fond du Lac | Sterling Lawyers, LLC</t>
  </si>
  <si>
    <t>https://www.sterlinglawyers.com/wisconsin/blog/guidance-road-of-military-divorce-west-bend-lawyers/</t>
  </si>
  <si>
    <t>Guidance on the Road of Military Divorce with West Bend Lawyers | Sterling Lawyers, LLC</t>
  </si>
  <si>
    <t>https://www.sterlinglawyers.com/wisconsin/blog/beaver-dam-attorneys-guiding-child-custody-disputes/</t>
  </si>
  <si>
    <t>Beaver Dam Attorneys Guiding the Way in Child Custody Disputes | Sterling Lawyers, LLC</t>
  </si>
  <si>
    <t>https://www.sterlinglawyers.com/wisconsin/blog/turning-the-page-life-kenosha-contested-divorce-lawyers/</t>
  </si>
  <si>
    <t>Turning the Page in Your Life with Kenosha Contested Divorce Lawyers | Sterling Lawyers, LLC</t>
  </si>
  <si>
    <t>https://www.sterlinglawyers.com/wisconsin/blog/kenosha-fathers-quest-for-establishing-paternity/</t>
  </si>
  <si>
    <t>A Kenosha Father's Quest for Establishing Paternity | Sterling Lawyers, LLC</t>
  </si>
  <si>
    <t>https://www.sterlinglawyers.com/wisconsin/blog/empowering-clients-spousal-support-west-bend/</t>
  </si>
  <si>
    <t>Empowering Clients Through the Spousal Support Journey in West Bend | Sterling Lawyers, LLC</t>
  </si>
  <si>
    <t>https://www.sterlinglawyers.com/wisconsin/blog/mequon-property-division-lawyers-smooth-transition/</t>
  </si>
  <si>
    <t>Utilizing Mequon Property Division Lawyers for a Smooth Transition | Sterling Lawyers, LLC</t>
  </si>
  <si>
    <t>https://www.sterlinglawyers.com/wisconsin/blog/preserving-family-harmony-divorce-baraboo/</t>
  </si>
  <si>
    <t>Preserving Family Harmony During Divorce Proceedings in Baraboo | Sterling Lawyers, LLC</t>
  </si>
  <si>
    <t>https://www.sterlinglawyers.com/wisconsin/blog/closer-look-collaborative-divorce-oshkosh-lawyers/</t>
  </si>
  <si>
    <t>A Closer Look at Collaborative Divorce with Oshkosh Lawyers | Sterling Lawyers, LLC</t>
  </si>
  <si>
    <t>https://www.sterlinglawyers.com/wisconsin/blog/steering-through-contested-divorce-oshkosh/</t>
  </si>
  <si>
    <t>Steering Through the Storm of Contested Divorce in Oshkosh | Sterling Lawyers, LLC</t>
  </si>
  <si>
    <t>https://www.sterlinglawyers.com/wisconsin/blog/empowering-military-divorce-clients-in-menomonee-falls/</t>
  </si>
  <si>
    <t>Empowering Clients Going Through a Military Divorce in Menomonee Falls | Sterling Lawyers, LLC</t>
  </si>
  <si>
    <t>https://www.sterlinglawyers.com/wisconsin/blog/janesville-uncontested-divorce-legalities/</t>
  </si>
  <si>
    <t>Understanding the Legalities of Family Law with Janesville Uncontested Divorce Lawyers | Sterling Lawyers, LLC</t>
  </si>
  <si>
    <t>https://www.sterlinglawyers.com/wisconsin/divorce/waukesha-county/</t>
  </si>
  <si>
    <t>How to File for Divorce in Waukesha County | Sterling Lawyers, LLC</t>
  </si>
  <si>
    <t>https://www.sterlinglawyers.com/topic/how-to-tell-your-wife-you-want-a-divorce/</t>
  </si>
  <si>
    <t>https://www.sterlinglawyers.com/wisconsin/blog/managing-stress-emotions-family-law-racine-military-divorce-lawyers/</t>
  </si>
  <si>
    <t>Managing the Stress and Emotions of Family Law with Racine Military Divorce Lawyers | Sterling Lawyers, LLC</t>
  </si>
  <si>
    <t>https://www.sterlinglawyers.com/case-law/earning-capacity-divorce/</t>
  </si>
  <si>
    <t>How Earning Capacity is Imputed will Affect your Divorce Settlement | Sterling Lawyers, LLC</t>
  </si>
  <si>
    <t>https://www.sterlinglawyers.com/wisconsin/blog/finding-light-challenging-contested-divorce-fond-du-lac/</t>
  </si>
  <si>
    <t>Finding Light in a Challenging Contested Divorce in Fond du Lac | Sterling Lawyers, LLC</t>
  </si>
  <si>
    <t>https://www.sterlinglawyers.com/wisconsin/blog/unwavering-support-complex-brookfield-paternity/</t>
  </si>
  <si>
    <t>Unwavering Support Through the Complexity of Brookfield Paternity Law | Sterling Lawyers, LLC</t>
  </si>
  <si>
    <t>https://www.sterlinglawyers.com/wisconsin/blog/complexities-property-division-waukesha-county-attorney/</t>
  </si>
  <si>
    <t>Complexities of Property Division Unraveled by Waukesha County Attorney | Sterling Lawyers, LLC</t>
  </si>
  <si>
    <t>https://www.sterlinglawyers.com/wisconsin/blog/stepping-into-parent-shoes-child-custody-concerns-sheboygan/</t>
  </si>
  <si>
    <t>Stepping into the Shoes of a Parent Facing Child Custody Concerns in Sheboygan | Sterling Lawyers, LLC</t>
  </si>
  <si>
    <t>https://www.sterlinglawyers.com/flourishing-families/strong-family-society/</t>
  </si>
  <si>
    <t>Strong Families Build A Strong Society | Sterling Lawyers, LLC</t>
  </si>
  <si>
    <t>https://www.sterlinglawyers.com/wisconsin/divorce/convincing-spouse-to-agree-with-collaborative-divorce/</t>
  </si>
  <si>
    <t>Convincing Spouse to Agree With Collaborative Divorce | Sterling Lawyers, LLC</t>
  </si>
  <si>
    <t>https://www.sterlinglawyers.com/wisconsin/blog/collaborative-divorce-green-bay-new-beginnings/</t>
  </si>
  <si>
    <t>Collaborative Divorce in Green Bay A Pathway to New Beginnings | Sterling Lawyers, LLC</t>
  </si>
  <si>
    <t>https://www.sterlinglawyers.com/wisconsin/blog/crafting-stability-families-brookfield-collaborative-divorce/</t>
  </si>
  <si>
    <t>Crafting Stability for Families in Brookfield Through Collaborative Divorce | Sterling Lawyers, LLC</t>
  </si>
  <si>
    <t>https://www.sterlinglawyers.com/wisconsin/divorce/fundamental-communication-a-fresh-take/</t>
  </si>
  <si>
    <t>Fundamental Communication | Sterling Lawyers, LLC</t>
  </si>
  <si>
    <t>https://www.sterlinglawyers.com/wisconsin/blog/professional-legal-guidance-uncontested-divorce-beloit/%5Bactual%20attorney%20URL%5D</t>
  </si>
  <si>
    <t>https://www.sterlinglawyers.com/news/navigating-divorce/</t>
  </si>
  <si>
    <t>A Client-Centered Firm Helping Families Navigate Divorce | Sterling Lawyers, LLC</t>
  </si>
  <si>
    <t>https://www.sterlinglawyers.com/wisconsin/blog/beloit-spousal-support-lawyer-establishing-financial-security/</t>
  </si>
  <si>
    <t>The Importance of Beloit Spousal Support Lawyers in Helping Secure Your Future | Sterling Lawyers, LLC</t>
  </si>
  <si>
    <t>https://www.sterlinglawyers.com/wisconsin/blog/child-support-cases-unraveled-racine-lawyers/</t>
  </si>
  <si>
    <t>Child Support Cases Unraveled with Guidance from Racine Lawyers | Sterling Lawyers, LLC</t>
  </si>
  <si>
    <t>https://www.sterlinglawyers.com/wisconsin/divorce/how-can-i-be-officially-divorced-without-signing-anything/</t>
  </si>
  <si>
    <t>No Sign Wisconsin Default Divorce | Sterling Lawyers, LLC</t>
  </si>
  <si>
    <t>https://www.sterlinglawyers.com/wisconsin/divorce/file-for-divorce/file-dane-county/</t>
  </si>
  <si>
    <t>How to File for Divorce in Dane County, Wisconsin | Sterling Lawyers, LLC</t>
  </si>
  <si>
    <t>https://www.sterlinglawyers.com/wisconsin/divorce/dane-county/</t>
  </si>
  <si>
    <t>How to File for Divorce in Dane County | Sterling Lawyers, LLC</t>
  </si>
  <si>
    <t>https://www.sterlinglawyers.com/wisconsin/blog/unfolding-legal-process-uncontested-divorce-waukesha/</t>
  </si>
  <si>
    <t>Unfolding the Legal Process of Uncontested Divorce in Waukesha | Sterling Lawyers, LLC</t>
  </si>
  <si>
    <t>https://www.sterlinglawyers.com/wisconsin/blog/smooth-transition-collaborative-divorce-lawyers/</t>
  </si>
  <si>
    <t>Journeying Towards a Smooth Transition with Collaborative Divorce Lawyers | Sterling Lawyers, LLC</t>
  </si>
  <si>
    <t>https://www.sterlinglawyers.com/wisconsin/blog/navigating-contested-divorce-with-a-milwaukee-lawyer/</t>
  </si>
  <si>
    <t>Navigating a Contested Divorce with a Dedicated Milwaukee County Lawyer | Sterling Lawyers, LLC</t>
  </si>
  <si>
    <t>https://www.sterlinglawyers.com/wisconsin/blog/protecting-parental-rights-child-support-fond-du-lac/</t>
  </si>
  <si>
    <t>Protecting Parental Rights in Child Support Cases in Fond du Lac | Sterling Lawyers, LLC</t>
  </si>
  <si>
    <t>https://www.sterlinglawyers.com/wisconsin/child-custody/split-orders/</t>
  </si>
  <si>
    <t>Split Custody in Wisconsin | Sterling Lawyers, LLC</t>
  </si>
  <si>
    <t>https://www.sterlinglawyers.com/wisconsin/child-custody/co-parenting-with-narcissist/</t>
  </si>
  <si>
    <t>Co-Parenting With A Narcissist | Sterling Lawyers, LLC</t>
  </si>
  <si>
    <t>https://www.sterlinglawyers.com/wisconsin/divorce/creating-a-divorce-budget/</t>
  </si>
  <si>
    <t>https://www.sterlinglawyers.com/wisconsin/child-custody/will-business-travel-impact-chance-of-getting-custody/</t>
  </si>
  <si>
    <t>Will Business Travel Impact Custody? | Sterling Lawyers, LLC</t>
  </si>
  <si>
    <t>https://www.sterlinglawyers.com/wisconsin/blog/single-parents-and-summer-vacation-trips/</t>
  </si>
  <si>
    <t>https://www.sterlinglawyers.com/blog/</t>
  </si>
  <si>
    <t>Blog | Sterling Lawyers, LLC</t>
  </si>
  <si>
    <t>https://www.sterlinglawyers.com/wisconsin/blog/uniform-interstate-family-act-and-child-support/</t>
  </si>
  <si>
    <t>https://www.sterlinglawyers.com/wisconsin/blog/ex-stopped-paying-alimony/</t>
  </si>
  <si>
    <t>https://www.sterlinglawyers.com/wisconsin/property-division/tax-consequences-dividing-property-divorce/</t>
  </si>
  <si>
    <t>Tax Consequences of Property Division in Wisconsin | Sterling Lawyers, LLC</t>
  </si>
  <si>
    <t>https://www.sterlinglawyers.com/illinois/attorneys/nina-kelly/reviews/page/40/</t>
  </si>
  <si>
    <t>https://www.sterlinglawyers.com/illinois/attorneys/nina-kelly/reviews/page/39/</t>
  </si>
  <si>
    <t>https://www.sterlinglawyers.com/wisconsin/blog/oshkosh-military-divorce-quest-for-stability/</t>
  </si>
  <si>
    <t>An Oshkosh Mother's Quest for Stability Through Military Divorce | Sterling Lawyers, LLC</t>
  </si>
  <si>
    <t>https://www.sterlinglawyers.com/illinois/reviews/page/223/</t>
  </si>
  <si>
    <t>https://www.sterlinglawyers.com/illinois/attorneys/lea-diaz/reviews/page/16/</t>
  </si>
  <si>
    <t>https://www.sterlinglawyers.com/illinois/blog/paternity-quickly-cook-county/</t>
  </si>
  <si>
    <t>Acting Quickly on Paternity in Cook County | Sterling Lawyers, LLC</t>
  </si>
  <si>
    <t>https://www.sterlinglawyers.com/illinois/blog/divorce-finances-intact-property-division-hoffman-estates/</t>
  </si>
  <si>
    <t>Getting Through Divorce with Your Finances Intact During Property Division in Hoffman Estates | Sterling Lawyers, LLC</t>
  </si>
  <si>
    <t>https://www.sterlinglawyers.com/illinois/blog/planning-uncontested-divorce-schaumburg-steps/</t>
  </si>
  <si>
    <t>What to Do Next if You Are Planning an Uncontested Divorce in Schaumburg | Sterling Lawyers, LLC</t>
  </si>
  <si>
    <t>https://www.sterlinglawyers.com/illinois/attorneys/nina-kelly/reviews/page/9/</t>
  </si>
  <si>
    <t>https://www.sterlinglawyers.com/illinois/blog/balancing-professional-life-personal-crisis-evanston-spousal-support-lawyers/</t>
  </si>
  <si>
    <t>Balancing Professional Life and Personal Crisis with Evanston Spousal Support Lawyers | Sterling Lawyers, LLC</t>
  </si>
  <si>
    <t>https://www.sterlinglawyers.com/illinois/attorneys/nina-kelly/reviews/page/8/</t>
  </si>
  <si>
    <t>https://www.sterlinglawyers.com/illinois/blog/taking-an-inside-look-at-contested-divorces-in-naperville/</t>
  </si>
  <si>
    <t>Taking an Inside Look at Contested Divorces in Naperville | Sterling Lawyers, LLC</t>
  </si>
  <si>
    <t>https://www.sterlinglawyers.com/illinois/blog/arlington-heights-property-division-lawyers-expectations/</t>
  </si>
  <si>
    <t>What to Expect with Arlington Heights Property Division Lawyers | Sterling Lawyers, LLC</t>
  </si>
  <si>
    <t>https://www.sterlinglawyers.com/illinois/blog/what-can-i-expect-arlington-heights-collaborative-divorce-lawyers/</t>
  </si>
  <si>
    <t>What Can I Expect When Working with Arlington Heights Collaborative Divorce Lawyers? | Sterling Lawyers, LLC</t>
  </si>
  <si>
    <t>https://www.sterlinglawyers.com/illinois/blog/legal-experience-avoid-pitfalls-cook-county-child-custody/</t>
  </si>
  <si>
    <t>Leaning on Legal Experience to Avoid Pitfalls in Cook County Child Custody Cases | Sterling Lawyers, LLC</t>
  </si>
  <si>
    <t>https://www.sterlinglawyers.com/illinois/blog/guiding-contested-divorce-courtroom-compass/</t>
  </si>
  <si>
    <t>Guiding You Through a Contested Divorce with Your Courtroom Compass | Sterling Lawyers, LLC</t>
  </si>
  <si>
    <t>https://www.sterlinglawyers.com/illinois/blog/charting-course-child-support-challenges-naperville/</t>
  </si>
  <si>
    <t>Charting the Course Through Child Support Challenges in Naperville | Sterling Lawyers, LLC</t>
  </si>
  <si>
    <t>https://www.sterlinglawyers.com/illinois/blog/attorney-lessen-burden-arlington-heights-contested-divorce/</t>
  </si>
  <si>
    <t>How an Attorney Can Lessen the Burden During Your Arlington Heights Contested Divorce | Sterling Lawyers, LLC</t>
  </si>
  <si>
    <t>https://www.sterlinglawyers.com/illinois/blog/managing-lifes-transitions-with-evanston-military-divorce-lawyers/</t>
  </si>
  <si>
    <t>Managing Life's Transitions with Evanston Military Divorce Lawyers | Sterling Lawyers, LLC</t>
  </si>
  <si>
    <t>https://www.sterlinglawyers.com/illinois/blog/unraveling-uncontested-divorce-with-evanston-lawyer/</t>
  </si>
  <si>
    <t>Unraveling an Uncontested Divorce with an Evanston Lawyer | Sterling Lawyers, LLC</t>
  </si>
  <si>
    <t>https://www.sterlinglawyers.com/illinois/blog/turning-unknown-into-known-chicago-spousal-support-lawyers/</t>
  </si>
  <si>
    <t>Turning the Unknown into the Known with Chicago Spousal Support Lawyers | Sterling Lawyers, LLC</t>
  </si>
  <si>
    <t>https://www.sterlinglawyers.com/illinois/blog/an-insight-into-the-crucial-role-of-arlington-heights-military-divorce-attorney/</t>
  </si>
  <si>
    <t>An Insight into the Crucial Role of an Arlington Heights Military Divorce Attorney | Sterling Lawyers, LLC</t>
  </si>
  <si>
    <t>https://www.sterlinglawyers.com/illinois/blog/naperville-uncontested-divorce-lawyers-saving-time/</t>
  </si>
  <si>
    <t>Saving Time with Naperville Uncontested Divorce Lawyers | Sterling Lawyers, LLC</t>
  </si>
  <si>
    <t>https://www.sterlinglawyers.com/illinois/blog/finding-footing-navigating-hoffman-estates-divorce-mediation/</t>
  </si>
  <si>
    <t>Find Your Footing When Navigating Hoffman Estates Divorce Mediation | Sterling Lawyers, LLC</t>
  </si>
  <si>
    <t>https://www.sterlinglawyers.com/illinois/blog/property-division-cook-county-legal-guidance/</t>
  </si>
  <si>
    <t>Navigating the Nuances of Property Division in Cook County | Sterling Lawyers, LLC</t>
  </si>
  <si>
    <t>https://www.sterlinglawyers.com/illinois/blog/page/5/?et_blog</t>
  </si>
  <si>
    <t>https://www.sterlinglawyers.com/meet-us/client-centered-family-law/</t>
  </si>
  <si>
    <t>Creating a Client-Centered Family Law Firm | Sterling Lawyers, LLC</t>
  </si>
  <si>
    <t>https://www.sterlinglawyers.com/wisdom-from-attorney-knighton/the-changing-practice-of-home-appraisal/</t>
  </si>
  <si>
    <t>The Changing Practice of Home Appraisal | Sterling Lawyers, LLC</t>
  </si>
  <si>
    <t>https://www.sterlinglawyers.com/illinois/reviews/page/224/</t>
  </si>
  <si>
    <t>https://www.sterlinglawyers.com/illinois/reviews/page/9/</t>
  </si>
  <si>
    <t>https://www.sterlinglawyers.com/illinois/reviews/page/8/</t>
  </si>
  <si>
    <t>https://www.sterlinglawyers.com/illinois/attorneys/lea-diaz/reviews/page/17/</t>
  </si>
  <si>
    <t>https://www.sterlinglawyers.com/wisconsin/divorce/divorce-laws/</t>
  </si>
  <si>
    <t>https://www.sterlinglawyers.com/meet-us/sterling-leadership-values/</t>
  </si>
  <si>
    <t>Leadership, Success and Core Values | Sterling Lawyers, LLC</t>
  </si>
  <si>
    <t>https://www.sterlinglawyers.com/illinois/attorneys/lea-diaz/reviews/page/8/</t>
  </si>
  <si>
    <t>https://www.sterlinglawyers.com/illinois/attorneys/lea-diaz/reviews/page/9/</t>
  </si>
  <si>
    <t>https://www.sterlinglawyers.com/illinois/blog/understanding-child-custody-options-chicago/</t>
  </si>
  <si>
    <t>Understanding Your Options for Child Custody in Chicago | Sterling Lawyers, LLC</t>
  </si>
  <si>
    <t>https://www.sterlinglawyers.com/wisconsin/child-custody/joint-custody-with-child-support-payments/</t>
  </si>
  <si>
    <t>https://www.sterlinglawyers.com/wisconsin/blog/glimpse-divorce-mediation-journey-brookfield-lawyers/</t>
  </si>
  <si>
    <t>A Glimpse into a Divorce Mediation Journey with Brookfield Lawyers | Sterling Lawyers, LLC</t>
  </si>
  <si>
    <t>https://www.sterlinglawyers.com/wisconsin/blog/jefferson-fathers-legal-battle-child-custody-pursuit-stability/</t>
  </si>
  <si>
    <t>A Father's Legal Battle for Child Custody and the Pursuit of Stability | Sterling Lawyers, LLC</t>
  </si>
  <si>
    <t>https://www.sterlinglawyers.com/wisconsin/blog/middleton-property-division-assistance/</t>
  </si>
  <si>
    <t>Seeking Assistance with the Ins and Outs of Middleton Property Division | Sterling Lawyers, LLC</t>
  </si>
  <si>
    <t>https://www.sterlinglawyers.com/wisconsin/blog/charting-path-paternity-racine-attorneys/</t>
  </si>
  <si>
    <t>Charting the Path of a Paternity Case with Racine Attorneys | Sterling Lawyers, LLC</t>
  </si>
  <si>
    <t>https://www.sterlinglawyers.com/wisconsin/blog/navigating-sheboygan-divorce-mediation-diligence-care/</t>
  </si>
  <si>
    <t>Navigating Sheboygan Divorce Mediation with Diligence and Care | Sterling Lawyers, LLC</t>
  </si>
  <si>
    <t>https://www.sterlinglawyers.com/wisconsin/blog/traversing-trials-contested-divorce-mequon/</t>
  </si>
  <si>
    <t>Traversing the Trials of Contested Divorce in Mequon | Sterling Lawyers, LLC</t>
  </si>
  <si>
    <t>https://www.sterlinglawyers.com/wisconsin/blog/alimony-adjustments-with-madison-spousal-support-lawyers/</t>
  </si>
  <si>
    <t>Unraveling Spousal Support Adjustments with Madison Spousal Support Lawyers | Sterling Lawyers, LLC</t>
  </si>
  <si>
    <t>https://www.sterlinglawyers.com/illinois/blog/chicago-child-support-lawyers-restore-family-well-being-legal-peace/</t>
  </si>
  <si>
    <t>How Chicago Child Support Lawyers Restore Family Well-being and Legal Peace | Sterling Lawyers, LLC</t>
  </si>
  <si>
    <t>https://www.sterlinglawyers.com/wisconsin/blog/understanding-legal-landscape-contested-divorce-baraboo/</t>
  </si>
  <si>
    <t>Understanding the Legal Landscape of Contested Divorce in Baraboo | Sterling Lawyers, LLC</t>
  </si>
  <si>
    <t>https://www.sterlinglawyers.com/wisconsin/divorce/leaving-ex-family-business/</t>
  </si>
  <si>
    <t>https://www.sterlinglawyers.com/flourishing-families/impact-inc-milwaukee/</t>
  </si>
  <si>
    <t>Making an Impact in Milwaukee | Sterling Lawyers, LLC</t>
  </si>
  <si>
    <t>https://www.sterlinglawyers.com/wisconsin/blog/guide-property-division-racine-single-parents/</t>
  </si>
  <si>
    <t>A Guide to Property Division in Racine for Single Parents | Sterling Lawyers, LLC</t>
  </si>
  <si>
    <t>https://www.sterlinglawyers.com/wisconsin/blog/untangling-knots-contested-divorce-appleton/</t>
  </si>
  <si>
    <t>Untangling the Knots of Contested Divorce in Appleton | Sterling Lawyers, LLC</t>
  </si>
  <si>
    <t>https://www.sterlinglawyers.com/wisconsin/blog/harmonious-resolution-property-division-fond-du-lac-county/</t>
  </si>
  <si>
    <t>A Harmonious Resolution of Property Division in Fond du Lac County | Sterling Lawyers, LLC</t>
  </si>
  <si>
    <t>https://www.sterlinglawyers.com/wisconsin/blog/choose-right-path-oshkosh-attorney-collaborative-divorce/</t>
  </si>
  <si>
    <t>Choose the Right Path with an Oshkosh Attorney for Collaborative Divorce | Sterling Lawyers, LLC</t>
  </si>
  <si>
    <t>https://www.sterlinglawyers.com/wisconsin/blog/navigating-the-complexities-of-military-divorce-with-brookfield-lawyers/</t>
  </si>
  <si>
    <t>Navigating the Complexities of Military Divorce with Brookfield Lawyers | Sterling Lawyers, LLC</t>
  </si>
  <si>
    <t>https://www.sterlinglawyers.com/wisconsin/blog/understanding-a-pewaukee-uncontested-divorce/</t>
  </si>
  <si>
    <t>Understanding an Uncontested Divorce in Pewaukee with an Experienced Lawyer | Sterling Lawyers, LLC</t>
  </si>
  <si>
    <t>https://www.sterlinglawyers.com/wisconsin/blog/legal-advocacy-lifeline-during-beloit-property-division/</t>
  </si>
  <si>
    <t>The Lifeline of Legal Advocacy During Beloit Property Division Proceedings | Sterling Lawyers, LLC</t>
  </si>
  <si>
    <t>https://www.sterlinglawyers.com/wisconsin/blog/legal-counsel-importance-beaver-dam-collaborative-divorce-proceedings/</t>
  </si>
  <si>
    <t>The Importance of Legal Counsel During Beaver Dam Collaborative Divorce Proceedings | Sterling Lawyers, LLC</t>
  </si>
  <si>
    <t>https://www.sterlinglawyers.com/wisconsin/blog/family-focus-unanimous-divorce-jefferson/</t>
  </si>
  <si>
    <t>Family Focus for Unanimous Divorce Decisions in Jefferson County | Sterling Lawyers, LLC</t>
  </si>
  <si>
    <t>https://www.sterlinglawyers.com/wisconsin/blog/waukesha-county-child-support-challenges/</t>
  </si>
  <si>
    <t>Charting the Course through Child Support Challenges in Waukesha County | Sterling Lawyers, LLC</t>
  </si>
  <si>
    <t>https://www.sterlinglawyers.com/wisconsin/blog/child-support-challenges-mequon-lawyers/</t>
  </si>
  <si>
    <t>Mequon Lawyers Guiding the Way Through Child Support Challenges | Sterling Lawyers, LLC</t>
  </si>
  <si>
    <t>https://www.sterlinglawyers.com/case-law/wisconsin-mother-state/</t>
  </si>
  <si>
    <t>Is Wisconsin Considered a Pro Mother State? | Sterling Lawyers, LLC</t>
  </si>
  <si>
    <t>https://www.sterlinglawyers.com/wisconsin/blog/legal-light-collaborative-divorce-baraboo/</t>
  </si>
  <si>
    <t>Shining a Legal Light on Collaborative Divorce in Baraboo | Sterling Lawyers, LLC</t>
  </si>
  <si>
    <t>https://www.sterlinglawyers.com/wisconsin/blog/walking-complicated-path-contested-divorce/</t>
  </si>
  <si>
    <t>Walking the Complicated Path of Contested Divorce in West Bend | Sterling Lawyers, LLC</t>
  </si>
  <si>
    <t>https://www.sterlinglawyers.com/wisconsin/blog/behind-the-scenes-baraboo-military-divorce-case/</t>
  </si>
  <si>
    <t>Behind the Scenes of a Baraboo Military Divorce Case | Sterling Lawyers, LLC</t>
  </si>
  <si>
    <t>https://www.sterlinglawyers.com/wisconsin/blog/attorneys-compass-guiding-through-military-divorce-madison/</t>
  </si>
  <si>
    <t>An Attorney’s Compass Guiding through Military Divorce in Madison | Sterling Lawyers, LLC</t>
  </si>
  <si>
    <t>https://www.sterlinglawyers.com/wisconsin/blog/finding-right-ally-menomonee-falls-child-custody-lawyers/</t>
  </si>
  <si>
    <t>Finding the Right Ally in Legal Battles with Menomonee Falls Child Custody Lawyers | Sterling Lawyers, LLC</t>
  </si>
  <si>
    <t>https://www.sterlinglawyers.com/wisconsin/blog/insight-legal-journey-racine-child-custody-lawyers/</t>
  </si>
  <si>
    <t>Insight into the Legal Journey of Racine Child Custody Lawyers | Sterling Lawyers, LLC</t>
  </si>
  <si>
    <t>https://www.sterlinglawyers.com/wisconsin/blog/finding-strength-in-adversity-mothers-journey-paternity-case/</t>
  </si>
  <si>
    <t>Finding Strength in Adversity A Single Mothers Paternity Case Journey | Sterling Lawyers, LLC</t>
  </si>
  <si>
    <t>https://www.sterlinglawyers.com/wisconsin/blog/hope-assistance-janesville-spousal-support-lawyers/</t>
  </si>
  <si>
    <t>Hope and Assistance with Janesville Spousal Support Lawyers | Sterling Lawyers, LLC</t>
  </si>
  <si>
    <t>https://www.sterlinglawyers.com/wisconsin/blog/sterling-lawyers-support-milwaukee-fathers/</t>
  </si>
  <si>
    <t>How Sterling Lawyers Support Milwaukee Fathers During Custody Battles | Sterling Lawyers, LLC</t>
  </si>
  <si>
    <t>https://www.sterlinglawyers.com/wisconsin/blog/steering-tides-child-custody-kenosha-county/</t>
  </si>
  <si>
    <t>Steering Through the Tides of Child Custody in Kenosha County | Sterling Lawyers, LLC</t>
  </si>
  <si>
    <t>https://www.sterlinglawyers.com/wisconsin/blog/transforming-tough-fond-du-lac-paternity-cases-into-new-beginnings/</t>
  </si>
  <si>
    <t>Transforming Tough Fond du Lac Paternity Cases into New Beginnings | Sterling Lawyers, LLC</t>
  </si>
  <si>
    <t>https://www.sterlinglawyers.com/wisconsin/blog/demystifying-family-law-with-appleton-spousal-support-lawyers/</t>
  </si>
  <si>
    <t>Demystifying Family law with Appleton Spousal Support Lawyers | Sterling Lawyers, LLC</t>
  </si>
  <si>
    <t>https://www.sterlinglawyers.com/wisconsin/blog/leveraging-local-knowledge-beaver-dam-property-division-cases/</t>
  </si>
  <si>
    <t>Leveraging Local Knowledge in Beaver Dam Property Division Cases | Sterling Lawyers, LLC</t>
  </si>
  <si>
    <t>https://www.sterlinglawyers.com/wisconsin/blog/heartfelt-chronicle-resolution-divorce-mediation-fond-du-lac/</t>
  </si>
  <si>
    <t>A Heartfelt Chronicle of Resolution during Divorce Mediation in Fond du Lac | Sterling Lawyers, LLC</t>
  </si>
  <si>
    <t>https://www.sterlinglawyers.com/wisconsin/blog/foundational-legal-help-for-your-appleton-property-division-case/</t>
  </si>
  <si>
    <t>Foundational Legal Help for Your Appleton Property Division Case | Sterling Lawyers, LLC</t>
  </si>
  <si>
    <t>https://www.sterlinglawyers.com/wisconsin/attorneys/michele-macphail/</t>
  </si>
  <si>
    <t>https://www.sterlinglawyers.com/wisconsin/blog/family-law-insights-property-division-beloit/</t>
  </si>
  <si>
    <t>Family Law Insights for Complex Property Division Proceedings in Beloit | Sterling Lawyers, LLC</t>
  </si>
  <si>
    <t>https://www.sterlinglawyers.com/wisconsin/blog/advantages-collaborative-divorce-madison-wi/</t>
  </si>
  <si>
    <t>Unfolding the Advantages of Collaborative Divorce in Madison WI | Sterling Lawyers, LLC</t>
  </si>
  <si>
    <t>https://www.sterlinglawyers.com/wisconsin/blog/finding-fairness-dividing-property-washington-county/</t>
  </si>
  <si>
    <t>Finding Fairness When Dividing Property in Washington County | Sterling Lawyers, LLC</t>
  </si>
  <si>
    <t>https://www.sterlinglawyers.com/wisconsin/blog/ensuring-spousal-support-stability-madison-attorney-strategy/</t>
  </si>
  <si>
    <t>Ensuring Spousal Support Stability with a Madison Attorney's Strategic Insight | Sterling Lawyers, LLC</t>
  </si>
  <si>
    <t>https://www.sterlinglawyers.com/wisconsin/blog/how-beaver-dam-divorce-mediation-lawyer-facilitate-peaceful-divorce/</t>
  </si>
  <si>
    <t>How a Beaver Dam Divorce Mediation Lawyer Can Facilitate a Peaceful Divorce | Sterling Lawyers, LLC</t>
  </si>
  <si>
    <t>https://www.sterlinglawyers.com/wisconsin/blog/the-human-aspect-of-uncontested-divorce-sheboygan/</t>
  </si>
  <si>
    <t>The Human Aspect of Uncontested Divorce in Sheboygan County | Sterling Lawyers, LLC</t>
  </si>
  <si>
    <t>https://www.sterlinglawyers.com/wisconsin/blog/child-custody-concerns-with-appleton-lawyers/</t>
  </si>
  <si>
    <t>Navigating Child Custody Concerns with Appleton Lawyers | Sterling Lawyers, LLC</t>
  </si>
  <si>
    <t>https://www.sterlinglawyers.com/wisconsin/blog/prudent-representation-fortifying-hopes-in-divorce/</t>
  </si>
  <si>
    <t>Prudent Representation Fortifying Long Term Hopes in Divorce | Sterling Lawyers, LLC</t>
  </si>
  <si>
    <t>https://www.sterlinglawyers.com/wisconsin/blog/essential-attorney-role-appleton-contested-divorce/</t>
  </si>
  <si>
    <t>The Essential Role of an Attorney in Appleton Contested Divorce Cases | Sterling Lawyers, LLC</t>
  </si>
  <si>
    <t>https://www.sterlinglawyers.com/wisconsin/blog/complex-custody-cases-call-for-experienced-beloit-attorneys/</t>
  </si>
  <si>
    <t>Complex Custody Cases Call for Experienced Beloit Attorneys | Sterling Lawyers, LLC</t>
  </si>
  <si>
    <t>https://www.sterlinglawyers.com/wisconsin/blog/compassion-jefferson-collaborative-divorce/</t>
  </si>
  <si>
    <t>The Role of Compassion in Jefferson Collaborative Divorce Proceedings | Sterling Lawyers, LLC</t>
  </si>
  <si>
    <t>https://www.sterlinglawyers.com/wisconsin/blog/kenosha-child-support-lawyer-assistance-work-parenthood-legal-challenges/</t>
  </si>
  <si>
    <t>How a Kenosha Child Support Lawyer Helps When Juggling Work, Parenthood, and Legal Challenges | Sterling Lawyers, LLC</t>
  </si>
  <si>
    <t>https://www.sterlinglawyers.com/wisconsin/blog/guiding-families-collaborative-divorce-fond-du-lac/</t>
  </si>
  <si>
    <t>Guiding Families to Resolutions during Collaborative Divorce in Fond du Lac | Sterling Lawyers, LLC</t>
  </si>
  <si>
    <t>https://www.sterlinglawyers.com/wisconsin/blog/exploring-family-law-sheboygan-collaborative-divorce-lawyers/</t>
  </si>
  <si>
    <t>Exploring Family Law with Sheboygan Collaborative Divorce Lawyers | Sterling Lawyers, LLC</t>
  </si>
  <si>
    <t>https://www.sterlinglawyers.com/wisconsin/attorneys/robert-keenan/reviews/page/5/</t>
  </si>
  <si>
    <t>https://www.sterlinglawyers.com/wisconsin/attorneys/michelle-gordon/reviews/page/5/</t>
  </si>
  <si>
    <t>https://www.sterlinglawyers.com/wisconsin/blog/page/4/?et_blog</t>
  </si>
  <si>
    <t>https://www.sterlinglawyers.com/wisconsin/attorneys/michelle-gordon/reviews/page/32/</t>
  </si>
  <si>
    <t>https://www.sterlinglawyers.com/wisconsin/blog/why-hiring-an-attorney-matters-beaver-dam-spousal-support/</t>
  </si>
  <si>
    <t>Why Hiring an Attorney Matters in Beaver Dam Spousal Support Cases | Sterling Lawyers, LLC</t>
  </si>
  <si>
    <t>https://www.sterlinglawyers.com/wisconsin/attorneys/jodi-chung/reviews/page/9/</t>
  </si>
  <si>
    <t>https://www.sterlinglawyers.com/wisconsin/attorneys/jodi-chung/reviews/page/8/</t>
  </si>
  <si>
    <t>https://www.sterlinglawyers.com/wisconsin/attorneys/michelle-gordon/reviews/page/</t>
  </si>
  <si>
    <t>https://www.sterlinglawyers.com/wisconsin/attorneys/jodi-chung/reviews/page/4/</t>
  </si>
  <si>
    <t>https://www.sterlinglawyers.com/wisconsin/attorneys/jodi-chung/reviews/page/5/</t>
  </si>
  <si>
    <t>https://www.sterlinglawyers.com/wisconsin/attorneys/holly-mullin/reviews/page/49/</t>
  </si>
  <si>
    <t>https://www.sterlinglawyers.com/wisconsin/attorneys/holly-mullin/reviews/page/48/</t>
  </si>
  <si>
    <t>https://www.sterlinglawyers.com/wisconsin/attorneys/jodi-chung/reviews/page/</t>
  </si>
  <si>
    <t>https://www.sterlinglawyers.com/wisconsin/attorneys/holly-mullin/reviews/page/4/</t>
  </si>
  <si>
    <t>https://www.sterlinglawyers.com/wisconsin/attorneys/nikole-messerschmidt/reviews/page/5/</t>
  </si>
  <si>
    <t>https://www.sterlinglawyers.com/wisconsin/attorneys/nikole-messerschmidt/reviews/page/4/</t>
  </si>
  <si>
    <t>https://www.sterlinglawyers.com/wisconsin/attorneys/holly-mullin/reviews/page/</t>
  </si>
  <si>
    <t>https://www.sterlinglawyers.com/wisconsin/attorneys/nikole-messerschmidt/reviews/page/52/</t>
  </si>
  <si>
    <t>https://www.sterlinglawyers.com/wisconsin/attorneys/nikole-messerschmidt/reviews/page/</t>
  </si>
  <si>
    <t>https://www.sterlinglawyers.com/wisconsin/attorneys/tiffany-vogel/reviews/page/47/</t>
  </si>
  <si>
    <t>https://www.sterlinglawyers.com/wisconsin/attorneys/tiffany-vogel/reviews/page/48/</t>
  </si>
  <si>
    <t>https://www.sterlinglawyers.com/wisconsin/attorneys/tiffany-vogel/reviews/page/</t>
  </si>
  <si>
    <t>https://www.sterlinglawyers.com/wisconsin/attorneys/tiffany-vogel/reviews/page/4/</t>
  </si>
  <si>
    <t>https://www.sterlinglawyers.com/wisconsin/attorneys/michelle-gordon/reviews/page/33/</t>
  </si>
  <si>
    <t>https://www.sterlinglawyers.com/wisconsin/attorneys/tiffany-vogel/reviews/page/5/</t>
  </si>
  <si>
    <t>https://www.sterlinglawyers.com/wisconsin/attorneys/robert-keenan/reviews/page/4/</t>
  </si>
  <si>
    <t>https://www.sterlinglawyers.com/wisconsin/attorneys/abigail-henderson/reviews/page/5/</t>
  </si>
  <si>
    <t>https://www.sterlinglawyers.com/wisconsin/attorneys/robert-keenan/reviews/page/36/</t>
  </si>
  <si>
    <t>https://www.sterlinglawyers.com/wisconsin/attorneys/robert-keenan/reviews/page/</t>
  </si>
  <si>
    <t>https://www.sterlinglawyers.com/wisconsin/attorneys/michelle-gordon/reviews/page/4/</t>
  </si>
  <si>
    <t>https://www.sterlinglawyers.com/wisconsin/attorneys/robert-keenan/reviews/page/37/</t>
  </si>
  <si>
    <t>https://www.sterlinglawyers.com/wisconsin/attorneys/abigail-henderson/reviews/page/18/</t>
  </si>
  <si>
    <t>https://www.sterlinglawyers.com/wisconsin/attorneys/abigail-henderson/reviews/page/19/</t>
  </si>
  <si>
    <t>https://www.sterlinglawyers.com/wisconsin/attorneys/jeffrey-morrell/reviews/page/73/</t>
  </si>
  <si>
    <t>https://www.sterlinglawyers.com/wisconsin/attorneys/holly-mullin/reviews/page/5/</t>
  </si>
  <si>
    <t>https://www.sterlinglawyers.com/wisconsin/attorneys/jeffrey-morrell/reviews/page/72/</t>
  </si>
  <si>
    <t>https://www.sterlinglawyers.com/wisconsin/attorneys/abigail-henderson/reviews/page/</t>
  </si>
  <si>
    <t>https://www.sterlinglawyers.com/wisconsin/attorneys/jeffrey-morrell/reviews/page/4/</t>
  </si>
  <si>
    <t>https://www.sterlinglawyers.com/wisconsin/attorneys/jeffrey-morrell/reviews/page/5/</t>
  </si>
  <si>
    <t>https://www.sterlinglawyers.com/wisconsin/attorneys/jeffrey-morrell/reviews/page/</t>
  </si>
  <si>
    <t>https://www.sterlinglawyers.com/wisconsin/attorneys/jeffrey-morrell/reviews/page/6/</t>
  </si>
  <si>
    <t>https://www.sterlinglawyers.com/wisconsin/attorneys/jeffrey-morrell/reviews/page/7/</t>
  </si>
  <si>
    <t>https://www.sterlinglawyers.com/wisconsin/attorneys/jeffrey-morrell/reviews/page/70/</t>
  </si>
  <si>
    <t>https://www.sterlinglawyers.com/wisconsin/attorneys/jeffrey-morrell/reviews/page/71/</t>
  </si>
  <si>
    <t>https://www.sterlinglawyers.com/wisconsin/attorneys/holly-mullin/reviews/page/7/</t>
  </si>
  <si>
    <t>https://www.sterlinglawyers.com/wisconsin/attorneys/robert-keenan/reviews/page/34/</t>
  </si>
  <si>
    <t>https://www.sterlinglawyers.com/wisconsin/attorneys/abigail-henderson/reviews/page/16/</t>
  </si>
  <si>
    <t>https://www.sterlinglawyers.com/wisconsin/attorneys/nikole-messerschmidt/reviews/page/51/</t>
  </si>
  <si>
    <t>https://www.sterlinglawyers.com/wisconsin/attorneys/abigail-henderson/reviews/page/7/</t>
  </si>
  <si>
    <t>https://www.sterlinglawyers.com/wisconsin/attorneys/robert-keenan/reviews/page/35/</t>
  </si>
  <si>
    <t>https://www.sterlinglawyers.com/wisconsin/attorneys/nikole-messerschmidt/reviews/page/49/</t>
  </si>
  <si>
    <t>https://www.sterlinglawyers.com/wisconsin/attorneys/tiffany-vogel/reviews/page/7/</t>
  </si>
  <si>
    <t>https://www.sterlinglawyers.com/wisconsin/attorneys/tiffany-vogel/reviews/page/6/</t>
  </si>
  <si>
    <t>https://www.sterlinglawyers.com/wisconsin/attorneys/abigail-henderson/reviews/page/17/</t>
  </si>
  <si>
    <t>https://www.sterlinglawyers.com/wisconsin/attorneys/abigail-henderson/reviews/page/6/</t>
  </si>
  <si>
    <t>https://www.sterlinglawyers.com/wisconsin/attorneys/tiffany-vogel/reviews/page/45/</t>
  </si>
  <si>
    <t>https://www.sterlinglawyers.com/wisconsin/attorneys/nikole-messerschmidt/reviews/page/50/</t>
  </si>
  <si>
    <t>https://www.sterlinglawyers.com/wisconsin/attorneys/nikole-messerschmidt/reviews/page/7/</t>
  </si>
  <si>
    <t>https://www.sterlinglawyers.com/wisconsin/attorneys/nikole-messerschmidt/reviews/page/6/</t>
  </si>
  <si>
    <t>https://www.sterlinglawyers.com/wisconsin/attorneys/holly-mullin/reviews/page/6/</t>
  </si>
  <si>
    <t>https://www.sterlinglawyers.com/wisconsin/attorneys/holly-mullin/reviews/page/46/</t>
  </si>
  <si>
    <t>https://www.sterlinglawyers.com/wisconsin/attorneys/holly-mullin/reviews/page/47/</t>
  </si>
  <si>
    <t>https://www.sterlinglawyers.com/wisconsin/attorneys/jodi-chung/reviews/page/6/</t>
  </si>
  <si>
    <t>https://www.sterlinglawyers.com/wisconsin/attorneys/jodi-chung/reviews/page/7/</t>
  </si>
  <si>
    <t>https://www.sterlinglawyers.com/wisconsin/attorneys/michelle-gordon/reviews/page/30/</t>
  </si>
  <si>
    <t>https://www.sterlinglawyers.com/wisconsin/attorneys/abigail-henderson/reviews/page/4/</t>
  </si>
  <si>
    <t>https://www.sterlinglawyers.com/wisconsin/attorneys/michelle-gordon/reviews/page/7/</t>
  </si>
  <si>
    <t>https://www.sterlinglawyers.com/wisconsin/attorneys/robert-keenan/reviews/page/7/</t>
  </si>
  <si>
    <t>https://www.sterlinglawyers.com/wisconsin/attorneys/tiffany-vogel/reviews/page/46/</t>
  </si>
  <si>
    <t>https://www.sterlinglawyers.com/wisconsin/divorce/must-prove-file-claim-negligence-old-attorney/</t>
  </si>
  <si>
    <t>How to File a Claim of Negligence Against an Old Divorce Attorney</t>
  </si>
  <si>
    <t>https://www.sterlinglawyers.com/wisconsin/attorneys/michelle-gordon/reviews/page/31/</t>
  </si>
  <si>
    <t>https://www.sterlinglawyers.com/flourishing-families/day-camps-benefits/</t>
  </si>
  <si>
    <t>The Benefits of Day Camps for Kids | Sterling Lawyers, LLC</t>
  </si>
  <si>
    <t>https://www.sterlinglawyers.com/case-law/awarding-alimony-wisconsin/</t>
  </si>
  <si>
    <t>How is Alimony Awarded In Wisconsin? | Sterling Lawyers, LLC</t>
  </si>
  <si>
    <t>https://www.sterlinglawyers.com/illinois/attorneys/lea-diaz/reviews/page/11/</t>
  </si>
  <si>
    <t>https://www.sterlinglawyers.com/illinois/attorneys/lea-diaz/reviews/page/10/</t>
  </si>
  <si>
    <t>https://www.sterlinglawyers.com/meet-us/power-validating-others/</t>
  </si>
  <si>
    <t>The Power of Validating Others | Sterling Lawyers, LLC</t>
  </si>
  <si>
    <t>https://www.sterlinglawyers.com/illinois/reviews/page/10/</t>
  </si>
  <si>
    <t>https://www.sterlinglawyers.com/illinois/reviews/page/11/</t>
  </si>
  <si>
    <t>https://www.sterlinglawyers.com/illinois/blog/evanston-contested-divorce-attorney-make-difference/</t>
  </si>
  <si>
    <t>How an Evanston Contested Divorce Attorney Can Make a Difference | Sterling Lawyers, LLC</t>
  </si>
  <si>
    <t>https://www.sterlinglawyers.com/illinois/blog/naperville-paternity-lawyers-simplify-family-law-cases/</t>
  </si>
  <si>
    <t>Making Sense of Complicated Family Law Cases with Naperville Paternity Lawyers | Sterling Lawyers, LLC</t>
  </si>
  <si>
    <t>https://www.sterlinglawyers.com/illinois/blog/working-schaumburg-alimony-lawyers-stay-strong-through-storm/</t>
  </si>
  <si>
    <t>Working with Schaumburg Alimony Lawyers to Stay Strong Through the Storm | Sterling Lawyers, LLC</t>
  </si>
  <si>
    <t>https://www.sterlinglawyers.com/illinois/blog/finding-middle-ground-assistance-naperville-divorce-mediation-attorneys/</t>
  </si>
  <si>
    <t>Finding Middle Ground with the Assistance of Naperville Divorce Mediation Attorneys | Sterling Lawyers, LLC</t>
  </si>
  <si>
    <t>https://www.sterlinglawyers.com/illinois/blog/arlington-heights-divorce-mediation-attorney-resolution/</t>
  </si>
  <si>
    <t>How an Arlington Heights Divorce Mediation Attorney Helps Build the Path to Resolution | Sterling Lawyers, LLC</t>
  </si>
  <si>
    <t>https://www.sterlinglawyers.com/illinois/blog/evanston-paternity-lawyers-figure-out-fatherhood/</t>
  </si>
  <si>
    <t>How to Figure Out Fatherhood with Evanston Paternity Lawyers | Sterling Lawyers, LLC</t>
  </si>
  <si>
    <t>https://www.sterlinglawyers.com/wisconsin/attorneys/michelle-gordon/reviews/page/6/</t>
  </si>
  <si>
    <t>https://www.sterlinglawyers.com/illinois/blog/working-through-family-law-chicago-property-division-lawyers/</t>
  </si>
  <si>
    <t>Working Through Family Law with Chicago Property Division Lawyers | Sterling Lawyers, LLC</t>
  </si>
  <si>
    <t>https://www.sterlinglawyers.com/illinois/blog/family-stability-hoffman-estates-child-custody/</t>
  </si>
  <si>
    <t>Ensuring Stability for Your Family During an Hoffman Estates Child Custody Dispute | Sterling Lawyers, LLC</t>
  </si>
  <si>
    <t>https://www.sterlinglawyers.com/wisconsin/blog/page/5/?et_blog</t>
  </si>
  <si>
    <t>https://www.sterlinglawyers.com/wisconsin/attorneys/robert-keenan/reviews/page/6/</t>
  </si>
  <si>
    <t>https://www.sterlinglawyers.com/illinois/blog/arlington-heights-uncontested-divorce-attorneys-make-two-homes-feel-like-one/</t>
  </si>
  <si>
    <t>Two Homes Can Still Feel Like One with Arlington Heights Uncontested Divorce Attorneys | Sterling Lawyers, LLC</t>
  </si>
  <si>
    <t>https://www.sterlinglawyers.com/illinois/blog/naperville-property-division-pitfalls-avoidance/</t>
  </si>
  <si>
    <t>Avoiding the Pitfalls Commonly Found in Naperville Property Division Cases | Sterling Lawyers, LLC</t>
  </si>
  <si>
    <t>https://www.sterlinglawyers.com/illinois/blog/hoffman-estates-alimony-lawyers-fair-spousal-support/</t>
  </si>
  <si>
    <t>Hoffman Estates Alimony Lawyers Fighting for Fair Spousal Support | Sterling Lawyers, LLC</t>
  </si>
  <si>
    <t>https://www.sterlinglawyers.com/illinois/blog/page/6/?et_blog</t>
  </si>
  <si>
    <t>https://www.sterlinglawyers.com/illinois/blog/prepare-chicago-uncontested-divorce-lawyer/</t>
  </si>
  <si>
    <t>How to Best Prepare for Your Chicago Uncontested Divorce Lawyer | Sterling Lawyers, LLC</t>
  </si>
  <si>
    <t>https://www.sterlinglawyers.com/illinois/blog/evanston-collaborative-family-law-conflicts-solution/</t>
  </si>
  <si>
    <t>Working Collaboratively in Evanston to Solve Family Law Conflicts | Sterling Lawyers, LLC</t>
  </si>
  <si>
    <t>https://www.sterlinglawyers.com/illinois/blog/parents-schaumburg-lawyer-child-support-disputes/</t>
  </si>
  <si>
    <t>Why Parents in Schaumburg Need a Lawyer on Their Side During Child Support Disputes | Sterling Lawyers, LLC</t>
  </si>
  <si>
    <t>https://www.sterlinglawyers.com/illinois/blog/standing-strong-chicago-divorce-mediation-lawyers/</t>
  </si>
  <si>
    <t>Standing Strong with the Support of Chicago Divorce Mediation Lawyers | Sterling Lawyers, LLC</t>
  </si>
  <si>
    <t>https://www.sterlinglawyers.com/illinois/blog/confidence-with-arlington-heights-child-support-lawyers/</t>
  </si>
  <si>
    <t>Building the Confidence That You Deserve During Arlington Heights Child Support Cases | Sterling Lawyers, LLC</t>
  </si>
  <si>
    <t>https://www.sterlinglawyers.com/wisconsin/divorce/do-the-court-records-from-a-divorce-become-public-record/</t>
  </si>
  <si>
    <t>Divorce Papers &amp; Public Records in Wisconsin | Sterling Lawyers, LLC</t>
  </si>
  <si>
    <t>https://www.sterlinglawyers.com/illinois/blog/hoffman-estates-military-divorces-legal-protection/</t>
  </si>
  <si>
    <t>Protecting Yourself Legally Throughout Military Divorces in Hoffman Estates | Sterling Lawyers, LLC</t>
  </si>
  <si>
    <t>https://www.sterlinglawyers.com/illinois/attorneys/nina-kelly/reviews/page/11/</t>
  </si>
  <si>
    <t>https://www.sterlinglawyers.com/illinois/attorneys/nina-kelly/reviews/page/10/</t>
  </si>
  <si>
    <t>https://www.sterlinglawyers.com/illinois/attorneys/lea-diaz/reviews/page/15/</t>
  </si>
  <si>
    <t>https://www.sterlinglawyers.com/illinois/attorneys/lea-diaz/reviews/page/14/</t>
  </si>
  <si>
    <t>https://www.sterlinglawyers.com/wisconsin/blog/how-madison-child-custody-lawyers-help-clients/</t>
  </si>
  <si>
    <t>How Madison Child Custody Lawyers Help Struggling Clients | Sterling Lawyers, LLC</t>
  </si>
  <si>
    <t>https://www.sterlinglawyers.com/illinois/blog/strengthen-your-schaumburg-child-custody-case/</t>
  </si>
  <si>
    <t>Strengthen Your Schaumburg Child Custody Case | Sterling Lawyers, LLC</t>
  </si>
  <si>
    <t>https://www.sterlinglawyers.com/illinois/reviews/page/222/</t>
  </si>
  <si>
    <t>https://www.sterlinglawyers.com/illinois/attorneys/nina-kelly/reviews/page/37/</t>
  </si>
  <si>
    <t>https://www.sterlinglawyers.com/wisconsin/property-division</t>
  </si>
  <si>
    <t>https://www.sterlinglawyers.com/blog/news/sterling-lawyers-jefferson-family-confidence/</t>
  </si>
  <si>
    <t>Sterling Lawyers, LLC Empowers Jefferson Families to Move Forward with Confidence in the New Year</t>
  </si>
  <si>
    <t>https://www.sterlinglawyers.com/blog/news/sterling-lawyers-beloit-strengthens-families-legal-advocacy/</t>
  </si>
  <si>
    <t>Sterling Lawyers, LLC Strengthens Beloit Community by Empowering Local Families Through Legal Advocacy</t>
  </si>
  <si>
    <t>https://www.sterlinglawyers.com/blog/news/sterling-lawyers-middleton-prenuptial-agreements/</t>
  </si>
  <si>
    <t>Sterling Lawyers, LLC Guides Middleton Couples on Prenuptial Agreements During Peak Engagement Season</t>
  </si>
  <si>
    <t>https://www.sterlinglawyers.com/blog/news/smooth-holiday-custody-schedules/</t>
  </si>
  <si>
    <t>Sterling Lawyers, LLC Assists Janesville Parents Planning Meaningful Winter Holiday Custody Schedules</t>
  </si>
  <si>
    <t>https://www.sterlinglawyers.com/blog/news/brookfield-community-focused-family-law-services/</t>
  </si>
  <si>
    <t>Sterling Lawyers, LLC Strengthens Brookfield Community by Empowering Local Families Through Legal Advocacy</t>
  </si>
  <si>
    <t>https://www.sterlinglawyers.com/blog/news/announcement-plainfield-office-opening/</t>
  </si>
  <si>
    <t>Sterling Lawyers, LLC Expands Family Law Services with New Plainfield Office</t>
  </si>
  <si>
    <t>https://www.sterlinglawyers.com/blog/news/sterling-lawyers-baraboo-holiday-coparenting/</t>
  </si>
  <si>
    <t>Sterling Lawyers, LLC Offers Baraboo Families Strategies for Peaceful Holiday Co-Parenting</t>
  </si>
  <si>
    <t>https://www.sterlinglawyers.com/sterling-lawyers-madison-year-end-family-law-guide/</t>
  </si>
  <si>
    <t>Sterling Lawyers, LLC Guides Madison Families Through Year-End Family Law Considerations</t>
  </si>
  <si>
    <t>https://www.sterlinglawyers.com/blog/news/new-year-fresh-start-within-beaver-dam/</t>
  </si>
  <si>
    <t>Sterling Lawyers Supports Beaver Dam Families Making Fresh Start Decisions in New Year</t>
  </si>
  <si>
    <t>https://www.sterlinglawyers.com/blog/news/announcement-mediation-services-for-west-bend-residents/</t>
  </si>
  <si>
    <t>Sterling Lawyers, LLC Offers West Bend Families Collaborative Mediation Alternative to Litigation</t>
  </si>
  <si>
    <t>https://www.sterlinglawyers.com/blog/news/holiday-co-parenting-help-in-racine/</t>
  </si>
  <si>
    <t>Sterling Lawyers, LLC Supports Racine Parents Planning Thanksgiving and Holiday Parenting Schedules</t>
  </si>
  <si>
    <t>https://www.sterlinglawyers.com/blog/news/announcement-st-charles-office-opening/</t>
  </si>
  <si>
    <t>Sterling Lawyers, LLC Opens St. Charles Office to Serve Kane County Families</t>
  </si>
  <si>
    <t>https://www.sterlinglawyers.com/blog/news/menomonee-falls-parent-custody-update/</t>
  </si>
  <si>
    <t>Sterling Lawyers, LLC Supports Menomonee Falls Parents with Mid-Year Custody Modifications for Academic Success</t>
  </si>
  <si>
    <t>https://www.sterlinglawyers.com/blog/news/kenosha-holiday-co-parenting-planning/</t>
  </si>
  <si>
    <t>Sterling Lawyers, LLC Helps Kenosha Families Prepare Holiday Custody and Parenting Plans</t>
  </si>
  <si>
    <t>https://www.sterlinglawyers.com/news/guide-hoffman-estates-families-through-year-end-legal-decisions/</t>
  </si>
  <si>
    <t>Sterling Lawyers, LLC Guides Hoffman Estates Families Through Year-End Legal Decisions | Sterling Lawyers, LLC</t>
  </si>
  <si>
    <t>https://www.sterlinglawyers.com/blog/news/collaborative-mediation-services-for-milwaukee-families/</t>
  </si>
  <si>
    <t>Sterling Lawyers, LLC Offers Milwaukee Families Collaborative Mediation Alternative to Divorce Litigation</t>
  </si>
  <si>
    <t>https://www.sterlinglawyers.com/illinois/attorneys/nina-kelly/reviews/page/38/</t>
  </si>
  <si>
    <t>https://www.sterlinglawyers.com/blog/news/announcement-milwaukee-family-law-office-relocation/</t>
  </si>
  <si>
    <t>Sterling Lawyers, LLC Relocates Milwaukee Office, Continuing Community-Focused Family Law Services</t>
  </si>
  <si>
    <t>https://www.sterlinglawyers.com/blog/news/mequon-smooth-holiday-custody-arrangements/</t>
  </si>
  <si>
    <t>Sterling Lawyers, LLC Guides Mequon Parents in Creating Smooth Holiday Custody Arrangements</t>
  </si>
  <si>
    <t>https://www.sterlinglawyers.com/wisconsin/divorce/single-parents-and-summer-vacation-trips/</t>
  </si>
  <si>
    <t>https://www.sterlinglawyers.com/blog/page/2/?et_blog</t>
  </si>
  <si>
    <t>https://www.sterlinglawyers.com/wisconsin/blog/beloit-spousal-support-lawyer-establishing-financial-security/divorce%20lawyers%20Beloit</t>
  </si>
  <si>
    <t>https://www.sterlinglawyers.com/blog/news/announcement-for-year-end-financial-planning-waukesha/</t>
  </si>
  <si>
    <t>Sterling Lawyers, LLC Advises Waukesha Residents on Strategic Year-End Divorce Financial Planning</t>
  </si>
  <si>
    <t>https://www.sterlinglawyers.com/illinois/reviews/page/221/</t>
  </si>
  <si>
    <t>https://www.sterlinglawyers.com/wisdom-from-attorney-knighton/maintaining-communication-during-divorce/</t>
  </si>
  <si>
    <t>Maintaining Communication During Divorce | Sterling Law, LLC.</t>
  </si>
  <si>
    <t>http://www.sterlinglawyers.com/wisconsin/blog/how-to-tell-your-wife-you-want-a-divorce/</t>
  </si>
  <si>
    <t>https://www.sterlinglawyers.com/news/healthy-families/</t>
  </si>
  <si>
    <t>The Importance of Healthy and Flourishing Families | Sterling Lawyers, LLC</t>
  </si>
  <si>
    <t>https://www.sterlinglawyers.com/wisconsin/blog/crafting-child-support-strategy-beloit-lawyer/</t>
  </si>
  <si>
    <t>Crafting a Child Support Strategy with a Beloit Family Lawyer | Sterling Lawyers, LLC</t>
  </si>
  <si>
    <t>https://www.sterlinglawyers.com/illinois/divorce/abandonment/</t>
  </si>
  <si>
    <t>Spousal Abandonment in Illinois | Sterling Lawyers, LLC</t>
  </si>
  <si>
    <t>https://www.sterlinglawyers.com/wisconsin/divorce/bed-and-board-divorce/</t>
  </si>
  <si>
    <t>Who Can File for Divorce From Bed and Board? | Sterling Lawyers, LLC</t>
  </si>
  <si>
    <t>https://www.sterlinglawyers.com/wisconsin/blog/beloit-spousal-support-lawyer-establishing-financial-security/wisconsin/attorneys/jack-braaten/</t>
  </si>
  <si>
    <t>https://www.sterlinglawyers.com/wisdom-from-attorney-knighton/handling-the-emotional-turmoil-of-divorce/</t>
  </si>
  <si>
    <t>Handling the Emotional Turmoil of Divorce | Sterling Lawyers, LLC.</t>
  </si>
  <si>
    <t>https://www.sterlinglawyers.com/wisconsin/divorce/milwakee-divorce-lawyer-question-000001/</t>
  </si>
  <si>
    <t>Choosing Divorce or Legal Separation in Wisconsin | Sterling Lawyers, LLC</t>
  </si>
  <si>
    <t>https://www.sterlinglawyers.com/blog/news/oconomowoc-families-through-critical-school-year/</t>
  </si>
  <si>
    <t>Sterling Lawyers, LLC Guides Oconomowoc Families Through Critical School Year Custody Adjustments</t>
  </si>
  <si>
    <t>https://www.sterlinglawyers.com/wisconsin/child-custody/no-visitation-supervised-visitation/</t>
  </si>
  <si>
    <t>Determining If a Judge Can Regulate Visitation | Sterling Lawyers, LLC </t>
  </si>
  <si>
    <t>https://www.sterlinglawyers.com/wisconsin/divorce/journaling-about-your-divorce/</t>
  </si>
  <si>
    <t>Journaling About Your Divorce | Sterling Lawyers, LLC</t>
  </si>
  <si>
    <t>https://www.sterlinglawyers.com/wisconsin/divorce/if-i-decide-to-remarry-how-long-after-divorce-can-i/</t>
  </si>
  <si>
    <t>Getting Remarried After a Wisconsin Divorce | Sterling Lawyers, LLC</t>
  </si>
  <si>
    <t>https://www.sterlinglawyers.com/wisconsin/blog/professional-legal-guidance-uncontested-divorce-beloit/%5Bactual%20attorney%20URL%5D/</t>
  </si>
  <si>
    <t>https://www.sterlinglawyers.com/topic/in-laws-during-divorce-process/</t>
  </si>
  <si>
    <t>https://www.sterlinglawyers.com/divorce/name-change/</t>
  </si>
  <si>
    <t>Changing a Child's Name in a Divorce | Sterling Lawyers, LLC</t>
  </si>
  <si>
    <t>https://www.sterlinglawyers.com/topic/depression-and-divorce-a-self-help-checklist/</t>
  </si>
  <si>
    <t>https://www.sterlinglawyers.com/wisconsin/reviews/page/8/</t>
  </si>
  <si>
    <t>https://www.sterlinglawyers.com/divorce</t>
  </si>
  <si>
    <t>https://www.sterlinglawyers.com/illinois/attorneys/katie-vandeusen/reviews/page/23/</t>
  </si>
  <si>
    <t>https://www.sterlinglawyers.com/illinois/attorneys/alexandra-isroff/reviews/page/10/</t>
  </si>
  <si>
    <t>https://www.sterlinglawyers.com/illinois/attorneys/alexandra-isroff/reviews/page/11/</t>
  </si>
  <si>
    <t>https://www.sterlinglawyers.com/reviews/page/223/</t>
  </si>
  <si>
    <t>https://www.sterlinglawyers.com/reviews/page/222/</t>
  </si>
  <si>
    <t>https://www.sterlinglawyers.com/reviews/page/10/</t>
  </si>
  <si>
    <t>https://www.sterlinglawyers.com/reviews/page/11/</t>
  </si>
  <si>
    <t>https://www.sterlinglawyers.com/wisconsin/reviews/page/223/</t>
  </si>
  <si>
    <t>https://www.sterlinglawyers.com/wisconsin/reviews/page/224/</t>
  </si>
  <si>
    <t>https://www.sterlinglawyers.com/illinois/attorneys/katie-vandeusen/reviews/page/10/</t>
  </si>
  <si>
    <t>https://www.sterlinglawyers.com/wisconsin/divorce/dealing-with-emotional-pain/_wp_link_placeholder/</t>
  </si>
  <si>
    <t>https://www.sterlinglawyers.com/illinois/attorneys/katie-vandeusen/reviews/page/11/</t>
  </si>
  <si>
    <t>https://www.sterlinglawyers.com/property-division/hidden-assets/</t>
  </si>
  <si>
    <t>How To Find Hidden Assets During a Divorce in Wisconsin | Sterling Lawyers, LLC</t>
  </si>
  <si>
    <t>https://www.sterlinglawyers.com/dirty-divorce-tricks/</t>
  </si>
  <si>
    <t>https://www.sterlinglawyers.com/wisconsin/dirty-divorce-tricks/quitting-avoid-support/</t>
  </si>
  <si>
    <t>Quitting to Avoid Support | Sterling Lawyers, LLC</t>
  </si>
  <si>
    <t>https://www.sterlinglawyers.com/case-law/documents-needed-divorce/</t>
  </si>
  <si>
    <t>Documents Needed For Divorce | Sterling Lawyers, LLC</t>
  </si>
  <si>
    <t>https://www.sterlinglawyers.com/illinois/attorneys/katie-vandeusen/reviews/page/22/</t>
  </si>
  <si>
    <t>https://www.sterlinglawyers.com/illinois/attorneys/alexandra-isroff/reviews/page/36/</t>
  </si>
  <si>
    <t>https://www.sterlinglawyers.com/illinois/attorneys/alexandra-isroff/reviews/page/35/</t>
  </si>
  <si>
    <t>https://www.sterlinglawyers.com/wisconsin/attorneys/jeff-hughes/reviews/page/9/</t>
  </si>
  <si>
    <t>https://www.sterlinglawyers.com/wisconsin/attorneys/jeff-hughes/reviews/page/10/</t>
  </si>
  <si>
    <t>https://www.sterlinglawyers.com/wisconsin/attorneys/jeff-hughes/reviews/page/7/</t>
  </si>
  <si>
    <t>https://www.sterlinglawyers.com/wisconsin/attorneys/jeff-hughes/reviews/page/6/</t>
  </si>
  <si>
    <t>https://www.sterlinglawyers.com/wisconsin/attorneys/bailey-holt/reviews/page/21/</t>
  </si>
  <si>
    <t>https://www.sterlinglawyers.com/wisconsin/attorneys/austin-miller/reviews/page/7/</t>
  </si>
  <si>
    <t>https://www.sterlinglawyers.com/wisconsin/attorneys/bailey-holt/reviews/page/22/</t>
  </si>
  <si>
    <t>https://www.sterlinglawyers.com/wisconsin/reviews/page/9/</t>
  </si>
  <si>
    <t>https://www.sterlinglawyers.com/wisconsin/attorneys/ellen-rhodeman/reviews/page/6/</t>
  </si>
  <si>
    <t>https://www.sterlinglawyers.com/wisconsin/attorneys/ellen-rhodeman/reviews/page/51/</t>
  </si>
  <si>
    <t>https://www.sterlinglawyers.com/wisconsin/attorneys/ellen-rhodeman/reviews/page/7/</t>
  </si>
  <si>
    <t>https://www.sterlinglawyers.com/wisconsin/attorneys/austin-miller/reviews/page/32/</t>
  </si>
  <si>
    <t>https://www.sterlinglawyers.com/wisconsin/attorneys/kathleen-curran/reviews/page/33/</t>
  </si>
  <si>
    <t>https://www.sterlinglawyers.com/wisconsin/attorneys/kathleen-curran/reviews/page/7/</t>
  </si>
  <si>
    <t>https://www.sterlinglawyers.com/wisconsin/attorneys/kathleen-curran/reviews/page/32/</t>
  </si>
  <si>
    <t>https://www.sterlinglawyers.com/wisconsin/attorneys/kathleen-curran/reviews/page/6/</t>
  </si>
  <si>
    <t>https://www.sterlinglawyers.com/wisconsin/attorneys/bailey-holt/reviews/page/7/</t>
  </si>
  <si>
    <t>https://www.sterlinglawyers.com/wisconsin/attorneys/austin-miller/reviews/page/6/</t>
  </si>
  <si>
    <t>https://www.sterlinglawyers.com/wisconsin/attorneys/andria-adams/reviews/page/15/</t>
  </si>
  <si>
    <t>https://www.sterlinglawyers.com/wisconsin/attorneys/ellen-rhodeman/reviews/page/52/</t>
  </si>
  <si>
    <t>https://www.sterlinglawyers.com/wisconsin/attorneys/bailey-holt/reviews/page/6/</t>
  </si>
  <si>
    <t>https://www.sterlinglawyers.com/wisconsin/attorneys/andria-adams/reviews/page/16/</t>
  </si>
  <si>
    <t>https://www.sterlinglawyers.com/wisconsin/attorneys/jack-braaten/reviews/page/25/</t>
  </si>
  <si>
    <t>https://www.sterlinglawyers.com/wisconsin/attorneys/jack-braaten/reviews/page/7/</t>
  </si>
  <si>
    <t>https://www.sterlinglawyers.com/wisconsin/attorneys/austin-miller/reviews/page/31/</t>
  </si>
  <si>
    <t>https://www.sterlinglawyers.com/flourishing-families/choosing-financial-advisor/</t>
  </si>
  <si>
    <t>How to Choose a Financial Advisor For Your Family | Sterling Lawyers, LLC</t>
  </si>
  <si>
    <t>https://www.sterlinglawyers.com/news/naperville-families-gain-holiday-custody-clarity/</t>
  </si>
  <si>
    <t>Naperville Families Gain Holiday Custody Clarity Through Sterling Lawyers' Strategic Planning Support | Sterling Lawyers, LLC</t>
  </si>
  <si>
    <t>https://www.sterlinglawyers.com/wisdom-from-attorney-knighton/prepare-home-appraisal/</t>
  </si>
  <si>
    <t>How to Prepare for a Home Appraisal | Sterling Lawyers, LLC</t>
  </si>
  <si>
    <t>https://www.sterlinglawyers.com/wisdom-from-attorney-knighton/avoid-charged-crime-divorce/</t>
  </si>
  <si>
    <t>How to Avoid being Charged with a Crime During Divorce | Sterling Lawyers, LLC</t>
  </si>
  <si>
    <t>https://www.sterlinglawyers.com/case-law/alimony-post-divorce/</t>
  </si>
  <si>
    <t>Can the Courts Modify or Terminate Alimony post Divorce? | Sterling Lawyers, LLC</t>
  </si>
  <si>
    <t>https://www.sterlinglawyers.com/wisconsin/attorneys/andria-adams/reviews/page/7/</t>
  </si>
  <si>
    <t>https://www.sterlinglawyers.com/wisconsin/attorneys/jack-braaten/reviews/page/6/</t>
  </si>
  <si>
    <t>https://www.sterlinglawyers.com/wisconsin/attorneys/jack-braaten/reviews/page/26/</t>
  </si>
  <si>
    <t>https://www.sterlinglawyers.com/wisconsin/attorneys/andria-adams/reviews/page/6/</t>
  </si>
  <si>
    <t>https://www.sterlinglawyers.com/news/</t>
  </si>
  <si>
    <t>In The News and Media Mentions | Sterling Lawyers, LLC</t>
  </si>
  <si>
    <t>https://www.sterlinglawyers.com/illinois/attorneys/nina-kelly/reviews/page/35/</t>
  </si>
  <si>
    <t>https://www.sterlinglawyers.com/illinois/attorneys/nina-kelly/reviews/page/36/</t>
  </si>
  <si>
    <t>https://sterlinglawyers.com/illinois/attorneys/jacqueline-mcclellan/</t>
  </si>
  <si>
    <t>https://www.sterlinglawyers.com/illinois/reviews/page/220/</t>
  </si>
  <si>
    <t>https://www.sterlinglawyers.com/illinois/attorneys/nina-kelly/reviews/page/13/</t>
  </si>
  <si>
    <t>https://www.sterlinglawyers.com/illinois/attorneys/nina-kelly/reviews/page/12/</t>
  </si>
  <si>
    <t>https://www.sterlinglawyers.com/illinois/blog/reasonable-support-orders-arlington-heights/</t>
  </si>
  <si>
    <t>Securing Reasonable Support Orders in Arlington Heights | Sterling Lawyers, LLC</t>
  </si>
  <si>
    <t>https://www.sterlinglawyers.com/illinois/blog/experienced-legal-counsel-chicago-military-divorces/</t>
  </si>
  <si>
    <t>Why You Need Experienced Legal Counsel with Chicago Military Divorces | Sterling Lawyers, LLC</t>
  </si>
  <si>
    <t>https://www.sterlinglawyers.com/illinois/blog/untangling-web-schaumburg-property-division-laws/</t>
  </si>
  <si>
    <t>Untangling the Web of Property Division Laws in Schaumburg | Sterling Lawyers, LLC</t>
  </si>
  <si>
    <t>https://www.sterlinglawyers.com/illinois/blog/chicago-contested-divorce-lawyers-solve-uncertainty-heartache/</t>
  </si>
  <si>
    <t>Solving Uncertainty and Heartache with Chicago Contested Divorce Lawyers | Sterling Lawyers, LLC</t>
  </si>
  <si>
    <t>https://www.sterlinglawyers.com/illinois/blog/finding-support-chicago-collaborative-divorce/</t>
  </si>
  <si>
    <t>Finding Support Through a Chicago Collaborative Divorce | Sterling Lawyers, LLC</t>
  </si>
  <si>
    <t>https://www.sterlinglawyers.com/illinois/blog/strengthening-your-case-naperville-child-custody-lawyers/</t>
  </si>
  <si>
    <t>Strengthening Your Case with Naperville Child Custody Lawyers | Sterling Lawyers, LLC</t>
  </si>
  <si>
    <t>https://www.sterlinglawyers.com/illinois/blog/arlington-heights-child-custody-lessons-learned/</t>
  </si>
  <si>
    <t>Lessons Learned From a Arlington Heights Child Custody Case | Sterling Lawyers, LLC</t>
  </si>
  <si>
    <t>https://www.sterlinglawyers.com/illinois/blog/breaking-free-hoffman-estates-uncontested-divorce-lawyers/</t>
  </si>
  <si>
    <t>Breaking Free with the Help of Hoffman Estates Uncontested Divorce Lawyers | Sterling Lawyers, LLC</t>
  </si>
  <si>
    <t>https://www.sterlinglawyers.com/illinois/blog/evanston-property-division-skilled-legal-counsel/</t>
  </si>
  <si>
    <t>Solving Complex Evanston Property Division Cases with Skilled Legal Counsel | Sterling Lawyers, LLC</t>
  </si>
  <si>
    <t>https://www.sterlinglawyers.com/illinois/blog/cook-county-paternity-disputes-legal-representation-importance/</t>
  </si>
  <si>
    <t>The Importance of Legal Representation for Paternity Disputes in Cook County | Sterling Lawyers, LLC</t>
  </si>
  <si>
    <t>https://www.sterlinglawyers.com/illinois/blog/evanston-divorce-mediation-lawyers-bring-families-together/</t>
  </si>
  <si>
    <t>How Evanston Divorce Mediation Lawyers Bring Families Together | Sterling Lawyers, LLC</t>
  </si>
  <si>
    <t>https://www.sterlinglawyers.com/illinois/blog/spouse-wants-everything-schaumburg-contested-divorce/</t>
  </si>
  <si>
    <t>What to Do if Your Spouse Wants to Take Everything During a Schaumburg Contested Divorce | Sterling Lawyers, LLC</t>
  </si>
  <si>
    <t>https://www.sterlinglawyers.com/illinois/blog/hoffman-estates-paternity-judgments-misrepresentation-overturn/</t>
  </si>
  <si>
    <t>Overturning Paternity Judgments Based on Misrepresentation in Hoffman Estates | Sterling Lawyers, LLC</t>
  </si>
  <si>
    <t>https://sterlinglawyers.com/illinois/attorneys/jessica-naples/</t>
  </si>
  <si>
    <t>https://www.sterlinglawyers.com/illinois/blog/peace-of-mind-child-support-process-evanston/</t>
  </si>
  <si>
    <t>Peace of Mind Through the Child Support Process in Evanston | Sterling Lawyers, LLC</t>
  </si>
  <si>
    <t>https://www.sterlinglawyers.com/wisconsin/property-division/property-division-community-property-vs-equitable-distribution/</t>
  </si>
  <si>
    <t>Community Property vs. Equitable Distribution | Sterling Lawyers, LLC</t>
  </si>
  <si>
    <t>https://www.sterlinglawyers.com/illinois/reviews/page/13/</t>
  </si>
  <si>
    <t>https://www.sterlinglawyers.com/wisconsin/areas/ozaukee-county/mequon/</t>
  </si>
  <si>
    <t>https://www.sterlinglawyers.com/illinois/attorneys/lea-diaz/reviews/page/12/</t>
  </si>
  <si>
    <t>https://www.sterlinglawyers.com/case-law/cohabitating-adjust-alimony/</t>
  </si>
  <si>
    <t>Do I Pay Alimony if My Ex is Living With Someone? | Sterling Lawyers, LLC</t>
  </si>
  <si>
    <t>https://www.sterlinglawyers.com/wisconsin/attorneys/robert-keenan/reviews/page/8/</t>
  </si>
  <si>
    <t>https://www.sterlinglawyers.com/wisconsin/attorneys/robert-keenan/reviews/page/9/</t>
  </si>
  <si>
    <t>https://www.sterlinglawyers.com/wisconsin/attorneys/michelle-gordon/reviews/page/8/</t>
  </si>
  <si>
    <t>https://www.sterlinglawyers.com/wisconsin/attorneys/michelle-gordon/reviews/page/9/</t>
  </si>
  <si>
    <t>https://www.sterlinglawyers.com/wisconsin/attorneys/michelle-gordon/reviews/page/29/</t>
  </si>
  <si>
    <t>https://www.sterlinglawyers.com/wisconsin/attorneys/holly-mullin/reviews/page/44/</t>
  </si>
  <si>
    <t>https://www.sterlinglawyers.com/wisconsin/blog/page/6/?et_blog</t>
  </si>
  <si>
    <t>https://www.sterlinglawyers.com/wisconsin/attorneys/holly-mullin/reviews/page/45/</t>
  </si>
  <si>
    <t>https://www.sterlinglawyers.com/wisconsin/attorneys/nikole-messerschmidt/reviews/page/9/</t>
  </si>
  <si>
    <t>https://www.sterlinglawyers.com/wisconsin/attorneys/nikole-messerschmidt/reviews/page/8/</t>
  </si>
  <si>
    <t>https://www.sterlinglawyers.com/wisconsin/attorneys/tiffany-vogel/reviews/page/43/</t>
  </si>
  <si>
    <t>https://www.sterlinglawyers.com/wisconsin/attorneys/tiffany-vogel/reviews/page/44/</t>
  </si>
  <si>
    <t>https://www.sterlinglawyers.com/wisconsin/attorneys/tiffany-vogel/reviews/page/9/</t>
  </si>
  <si>
    <t>https://www.sterlinglawyers.com/wisconsin/attorneys/nikole-messerschmidt/reviews/page/48/</t>
  </si>
  <si>
    <t>https://www.sterlinglawyers.com/illinois/attorneys/lea-diaz/reviews/page/13/</t>
  </si>
  <si>
    <t>https://www.sterlinglawyers.com/wisconsin/attorneys/nikole-messerschmidt/reviews/page/47/</t>
  </si>
  <si>
    <t>https://www.sterlinglawyers.com/wisconsin/attorneys/abigail-henderson/reviews/page/9/</t>
  </si>
  <si>
    <t>https://www.sterlinglawyers.com/wisconsin/attorneys/abigail-henderson/reviews/page/8/</t>
  </si>
  <si>
    <t>https://www.sterlinglawyers.com/wisconsin/attorneys/abigail-henderson/reviews/page/14/</t>
  </si>
  <si>
    <t>https://www.sterlinglawyers.com/wisconsin/attorneys/abigail-henderson/reviews/page/15/</t>
  </si>
  <si>
    <t>https://www.sterlinglawyers.com/illinois/reviews/page/12/</t>
  </si>
  <si>
    <t>https://www.sterlinglawyers.com/wisconsin/attorneys/robert-keenan/reviews/page/32/</t>
  </si>
  <si>
    <t>https://www.sterlinglawyers.com/wisconsin/attorneys/michelle-gordon/reviews/page/28/</t>
  </si>
  <si>
    <t>https://www.sterlinglawyers.com/wisconsin/attorneys/holly-mullin/reviews/page/8/</t>
  </si>
  <si>
    <t>https://www.sterlinglawyers.com/wisconsin/attorneys/jeffrey-morrell/reviews/page/68/</t>
  </si>
  <si>
    <t>https://www.sterlinglawyers.com/wisconsin/attorneys/jeffrey-morrell/reviews/page/69/</t>
  </si>
  <si>
    <t>https://www.sterlinglawyers.com/wisconsin/attorneys/jeffrey-morrell/reviews/page/9/</t>
  </si>
  <si>
    <t>https://www.sterlinglawyers.com/wisconsin/attorneys/jeffrey-morrell/reviews/page/8/</t>
  </si>
  <si>
    <t>https://www.sterlinglawyers.com/wisconsin/attorneys/andria-adams/reviews/page/8/</t>
  </si>
  <si>
    <t>https://www.sterlinglawyers.com/wisconsin/attorneys/tiffany-vogel/reviews/page/8/</t>
  </si>
  <si>
    <t>https://www.sterlinglawyers.com/wisconsin/attorneys/austin-miller/reviews/page/29/</t>
  </si>
  <si>
    <t>https://www.sterlinglawyers.com/wisconsin/attorneys/jack-braaten/reviews/page/9/</t>
  </si>
  <si>
    <t>https://www.sterlinglawyers.com/wisconsin/attorneys/jack-braaten/reviews/page/8/</t>
  </si>
  <si>
    <t>https://www.sterlinglawyers.com/wisconsin/attorneys/jack-braaten/reviews/page/24/</t>
  </si>
  <si>
    <t>https://www.sterlinglawyers.com/wisconsin/attorneys/andria-adams/reviews/page/14/</t>
  </si>
  <si>
    <t>https://www.sterlinglawyers.com/wisconsin/attorneys/andria-adams/reviews/page/13/</t>
  </si>
  <si>
    <t>https://www.sterlinglawyers.com/wisconsin/attorneys/robert-keenan/reviews/page/33/</t>
  </si>
  <si>
    <t>https://www.sterlinglawyers.com/wisconsin/attorneys/holly-mullin/reviews/page/9/</t>
  </si>
  <si>
    <t>https://www.sterlinglawyers.com/wisconsin/attorneys/andria-adams/reviews/page/9/</t>
  </si>
  <si>
    <t>https://www.sterlinglawyers.com/wisconsin/attorneys/kathleen-curran/reviews/page/8/</t>
  </si>
  <si>
    <t>https://www.sterlinglawyers.com/wisconsin/attorneys/jack-braaten/reviews/page/23/</t>
  </si>
  <si>
    <t>https://www.sterlinglawyers.com/wisconsin/attorneys/kathleen-curran/reviews/page/9/</t>
  </si>
  <si>
    <t>https://www.sterlinglawyers.com/wisconsin/attorneys/kathleen-curran/reviews/page/31/</t>
  </si>
  <si>
    <t>https://www.sterlinglawyers.com/wisconsin/attorneys/austin-miller/reviews/page/30/</t>
  </si>
  <si>
    <t>https://www.sterlinglawyers.com/wisconsin/attorneys/bailey-holt/reviews/page/9/</t>
  </si>
  <si>
    <t>https://www.sterlinglawyers.com/wisconsin/attorneys/bailey-holt/reviews/page/8/</t>
  </si>
  <si>
    <t>https://www.sterlinglawyers.com/wisconsin/attorneys/kathleen-curran/reviews/page/30/</t>
  </si>
  <si>
    <t>https://www.sterlinglawyers.com/wisconsin/reviews/page/11/</t>
  </si>
  <si>
    <t>https://www.sterlinglawyers.com/wisconsin/attorneys/austin-miller/reviews/page/8/</t>
  </si>
  <si>
    <t>https://www.sterlinglawyers.com/wisconsin/attorneys/austin-miller/reviews/page/9/</t>
  </si>
  <si>
    <t>https://www.sterlinglawyers.com/wisconsin/attorneys/ellen-rhodeman/reviews/page/50/</t>
  </si>
  <si>
    <t>https://www.sterlinglawyers.com/wisconsin/attorneys/ellen-rhodeman/reviews/page/49/</t>
  </si>
  <si>
    <t>https://www.sterlinglawyers.com/wisconsin/attorneys/bailey-holt/reviews/page/20/</t>
  </si>
  <si>
    <t>https://www.sterlinglawyers.com/wisconsin/attorneys/jeff-hughes/reviews/page/8/</t>
  </si>
  <si>
    <t>https://www.sterlinglawyers.com/wisconsin/attorneys/ellen-rhodeman/reviews/page/9/</t>
  </si>
  <si>
    <t>https://www.sterlinglawyers.com/illinois/attorneys/alexandra-isroff/reviews/page/33/</t>
  </si>
  <si>
    <t>https://www.sterlinglawyers.com/illinois/attorneys/katie-vandeusen/reviews/page/20/</t>
  </si>
  <si>
    <t>https://www.sterlinglawyers.com/wisconsin/dirty-divorce-tricks/</t>
  </si>
  <si>
    <t>Dirty Divorce Tricks to Avoid | Sterling Lawyers, LLC</t>
  </si>
  <si>
    <t>https://www.sterlinglawyers.com/illinois/attorneys/katie-vandeusen/reviews/page/13/</t>
  </si>
  <si>
    <t>https://www.sterlinglawyers.com/illinois/attorneys/katie-vandeusen/reviews/page/12/</t>
  </si>
  <si>
    <t>https://www.sterlinglawyers.com/wisconsin/reviews/page/222/</t>
  </si>
  <si>
    <t>https://www.sterlinglawyers.com/wisconsin/reviews/page/221/</t>
  </si>
  <si>
    <t>https://www.sterlinglawyers.com/reviews/page/13/</t>
  </si>
  <si>
    <t>https://www.sterlinglawyers.com/reviews/page/12/</t>
  </si>
  <si>
    <t>https://www.sterlinglawyers.com/wisconsin/attorneys/ellen-rhodeman/reviews/page/8/</t>
  </si>
  <si>
    <t>https://www.sterlinglawyers.com/reviews/page/220/</t>
  </si>
  <si>
    <t>https://www.sterlinglawyers.com/reviews/page/221/</t>
  </si>
  <si>
    <t>https://www.sterlinglawyers.com/illinois/attorneys/alexandra-isroff/reviews/page/13/</t>
  </si>
  <si>
    <t>https://www.sterlinglawyers.com/illinois/attorneys/katie-vandeusen/reviews/page/21/</t>
  </si>
  <si>
    <t>http://www.sterlinglawyers.com/wisconsin/blog/depression-and-divorce-a-self-help-checklist/</t>
  </si>
  <si>
    <t>http://www.sterlinglawyers.com/wisconsin/blog/in-laws-during-divorce-process/</t>
  </si>
  <si>
    <t>https://www.sterlinglawyers.com/wisconsin/reviews/page/10/</t>
  </si>
  <si>
    <t>https://www.sterlinglawyers.com/wisconsin/divorce/keeping-self-esteem-intact-during-a-divorce/</t>
  </si>
  <si>
    <t>Keeping Self Esteem Intact During a Divorce | Sterling Lawyers, LLC</t>
  </si>
  <si>
    <t>https://www.sterlinglawyers.com/wisconsin/attorneys/bailey-holt/reviews/page/19/</t>
  </si>
  <si>
    <t>https://www.sterlinglawyers.com/illinois/attorneys/alexandra-isroff/reviews/page/34/</t>
  </si>
  <si>
    <t>https://www.sterlinglawyers.com/blog/tips-on-dealing-with-your-spouse-during-divorce/</t>
  </si>
  <si>
    <t>https://www.sterlinglawyers.com/illinois/reviews/page/219/</t>
  </si>
  <si>
    <t>https://www.sterlinglawyers.com/meet-us/power-shared-experiences/</t>
  </si>
  <si>
    <t>The Power Of Shared Experiences | Sterling Lawyers, LLC</t>
  </si>
  <si>
    <t>https://www.sterlinglawyers.com/wisconsin/blog/how-to-tell-your-wife-you-want-a-divorce/</t>
  </si>
  <si>
    <t>https://www.sterlinglawyers.com/wisdom-from-attorney-knighton/deal-spouses-debt/</t>
  </si>
  <si>
    <t>How to Deal with Your Spouse's Debt | Sterling Lawyers, LLC</t>
  </si>
  <si>
    <t>https://www.sterlinglawyers.com/wisdom-from-attorney-knighton/top-secrets-home-buying-divorcing/</t>
  </si>
  <si>
    <t>Top Secrets to Home Buying While Divorcing | Sterling Lawyers, LLC</t>
  </si>
  <si>
    <t>https://www.sterlinglawyers.com/case-law/life-insurance-divorce/</t>
  </si>
  <si>
    <t>How Does Life Insurance Work After a Divorce in Wisconsin? | Sterling Lawyers, LLC</t>
  </si>
  <si>
    <t>https://www.sterlinglawyers.com/illinois/attorneys/alexandra-isroff/reviews/page/12/</t>
  </si>
  <si>
    <t>https://www.sterlinglawyers.com/blog/?et_blog</t>
  </si>
  <si>
    <t>https://www.sterlinglawyers.com/meet-us/strong-family-society/</t>
  </si>
  <si>
    <t>https://www.sterlinglawyers.com/case-law/change-mind-divorce/</t>
  </si>
  <si>
    <t>Can I Change My Mind After Signing Divorce Papers? | Sterling Lawyers, LLC</t>
  </si>
  <si>
    <t>https://www.sterlinglawyers.com/news/schaumburg-parents-prepare-stress-free-holidays/</t>
  </si>
  <si>
    <t>Sterling Lawyers, LLC Guides Schaumburg Parents Through Collaborative Holiday Custody Planning | Sterling Lawyers, LLC</t>
  </si>
  <si>
    <t>https://www.sterlinglawyers.com/flourishing-families/shape-up-shoppe/</t>
  </si>
  <si>
    <t>Shape Up Shoppe: Neighborhood Family Fitness | Sterling Lawyers, LLC</t>
  </si>
  <si>
    <t>https://www.sterlinglawyers.com/wisdom-from-attorney-knighton/effectively-prepare-divorce-court/</t>
  </si>
  <si>
    <t>How to Effectively Prepare for Divorce Court | Sterling Lawyers, LLC</t>
  </si>
  <si>
    <t>https://www.sterlinglawyers.com/blog/page/3/?et_blog</t>
  </si>
  <si>
    <t>https://www.sterlinglawyers.com/flourishing-families/cooking-together/</t>
  </si>
  <si>
    <t>Benefits of Cooking Together as a Family | Sterling Lawyers, LLC</t>
  </si>
  <si>
    <t>https://www.sterlinglawyers.com/case-law/cheating-affects-alimony/</t>
  </si>
  <si>
    <t>Does Cheating Affect Alimony? | Sterling Lawyers, LLC</t>
  </si>
  <si>
    <t>https://www.sterlinglawyers.com/news/sterling-lawyers-advises-evanston-year-end-divorce-decisions/</t>
  </si>
  <si>
    <t>Sterling Lawyers Advises Evanston Residents on Year-End Divorce Decisions Related to Tax | Sterling Lawyers, LLC</t>
  </si>
  <si>
    <t>https://www.sterlinglawyers.com/case-law/degree-property/</t>
  </si>
  <si>
    <t>Is a Degree Considered Marital Property in a Divorce? | Sterling Lawyers, LLC</t>
  </si>
  <si>
    <t>https://www.sterlinglawyers.com/flourishing-families/gardening-food-insecurity/</t>
  </si>
  <si>
    <t>Urban Gardening as a Solution for Food Insecurity and Development of Communities | Sterling Lawyers, LLC</t>
  </si>
  <si>
    <t>https://www.sterlinglawyers.com/wisconsin/blog/beloit-spousal-support-lawyer-establishing-financial-security/divorce%20lawyers%20Beloit/</t>
  </si>
  <si>
    <t>https://www.sterlinglawyers.com/wisdom-from-attorney-knighton/create-successful-parenting-plan/</t>
  </si>
  <si>
    <t>How to Create a Successful Parenting Plan | Sterling Lawyers, LLC</t>
  </si>
  <si>
    <t>https://www.sterlinglawyers.com/wisdom-from-attorney-knighton/common-questions-on-finances-during-divorce/</t>
  </si>
  <si>
    <t>Common Questions on Finances During Divorce | Sterling Lawyers, LLC</t>
  </si>
  <si>
    <t>https://www.sterlinglawyers.com/wisdom-from-attorney-knighton/how-debt-is-divided-in-divorce/</t>
  </si>
  <si>
    <t>How Debt is Divided in Divorce | Sterling Lawyers, LLC</t>
  </si>
  <si>
    <t>https://www.sterlinglawyers.com/wisconsin/attorneys/anne-mcintyre/</t>
  </si>
  <si>
    <t>https://www.sterlinglawyers.com/wisdom-from-attorney-knighton/top-secrets-selling-home-divorce/</t>
  </si>
  <si>
    <t>Top Secrets to Selling a Home During Divorce | Sterling Lawyers, LLC</t>
  </si>
  <si>
    <t>https://www.sterlinglawyers.com/wisdom-from-attorney-knighton/effectively-serve-divorce-paperwork/</t>
  </si>
  <si>
    <t>How to Effectively Serve Divorce Paperwork | Sterling Lawyers, LLC</t>
  </si>
  <si>
    <t>https://www.sterlinglawyers.com/wisdom-from-attorney-knighton/insurance-considerations-during-a-divorce/</t>
  </si>
  <si>
    <t>Insurance Considerations During a Divorce | Sterling Lawyers, LLC</t>
  </si>
  <si>
    <t>https://www.sterlinglawyers.com/wisdom-from-attorney-knighton/propel-career-lower-alimony/</t>
  </si>
  <si>
    <t>How to Propel Your Career and Lower Alimony | Sterling Lawyers, LLC</t>
  </si>
  <si>
    <t>https://www.sterlinglawyers.com/wisdom-from-attorney-knighton/3-reasons-throw-away-goals-get-want-differently/</t>
  </si>
  <si>
    <t>3 Reasons To Throw Away Your Goals (Get What You Want Differently) | Sterling Lawyers, LLC</t>
  </si>
  <si>
    <t>https://www.sterlinglawyers.com/wisdom-from-attorney-knighton/understanding-child-placement-in-wisconsin/</t>
  </si>
  <si>
    <t>Understanding Child Placement in Wisconsin | Sterling Lawyers, LLC</t>
  </si>
  <si>
    <t>https://www.sterlinglawyers.com/wisdom-from-attorney-knighton/understanding-child-custody-in-wisconsin/</t>
  </si>
  <si>
    <t>Understanding Child Custody in Wisconsin | Sterling Lawyers, LLC</t>
  </si>
  <si>
    <t>https://www.sterlinglawyers.com/wisdom-from-attorney-knighton/3-suggestions-dealing-rude-disrespectful-spouse/</t>
  </si>
  <si>
    <t>3 Suggestions for Dealing with a Rude or Disrespectful Spouse/Co-Parent | Sterling Lawyers, S.C.</t>
  </si>
  <si>
    <t>https://www.sterlinglawyers.com/wisconsin/attorneys/erin-boyd/</t>
  </si>
  <si>
    <t>https://www.sterlinglawyers.com/wisconsin/attorneys/joanna-fraczek/</t>
  </si>
  <si>
    <t>https://www.sterlinglawyers.com/wisdom-from-attorney-knighton/how-does-life-insurance-impact-divorce/</t>
  </si>
  <si>
    <t>How Does Life Insurance Impact Divorce? | Sterling Lawyers, LLC</t>
  </si>
  <si>
    <t>https://www.sterlinglawyers.com/wisconsin/divorce/how-to-tell-your-wife-you-want-a-divorce/</t>
  </si>
  <si>
    <t>How to Tell Your Spouse You Want a Divorce | Sterling Lawyers, LLC</t>
  </si>
  <si>
    <t>https://www.sterlinglawyers.com/wisdom-from-attorney-knighton/tips-on-dealing-with-your-spouse-during-divorce/</t>
  </si>
  <si>
    <t>Tips on Dealing with Your Spouse During Divorce | Sterling Lawyers, LLC</t>
  </si>
  <si>
    <t>https://www.sterlinglawyers.com/illinois/reviews/page/217/</t>
  </si>
  <si>
    <t>https://www.sterlinglawyers.com/wisconsin/attorneys/bailey-holt/reviews/page/17/</t>
  </si>
  <si>
    <t>https://www.sterlinglawyers.com/wisconsin/blog/depression-and-divorce-a-self-help-checklist/</t>
  </si>
  <si>
    <t>https://www.sterlinglawyers.com/wisconsin/blog/in-laws-during-divorce-process/</t>
  </si>
  <si>
    <t>https://www.sterlinglawyers.com/illinois/attorneys/alexandra-isroff/reviews/page/14/</t>
  </si>
  <si>
    <t>https://www.sterlinglawyers.com/reviews/page/218/</t>
  </si>
  <si>
    <t>https://www.sterlinglawyers.com/reviews/page/219/</t>
  </si>
  <si>
    <t>https://www.sterlinglawyers.com/reviews/page/15/</t>
  </si>
  <si>
    <t>https://www.sterlinglawyers.com/wisconsin/reviews/page/219/</t>
  </si>
  <si>
    <t>https://www.sterlinglawyers.com/illinois/attorneys/katie-vandeusen/reviews/page/14/</t>
  </si>
  <si>
    <t>https://www.sterlinglawyers.com/illinois/attorneys/katie-vandeusen/reviews/page/15/</t>
  </si>
  <si>
    <t>https://www.sterlinglawyers.com/wisconsin/dirty-divorce-tricks/lying-about-abuse/</t>
  </si>
  <si>
    <t>Lying About Abuse | Sterling Lawyers, LLC</t>
  </si>
  <si>
    <t>https://www.sterlinglawyers.com/blog/page/4/?et_blog</t>
  </si>
  <si>
    <t>https://www.sterlinglawyers.com/wisconsin/dirty-divorce-tricks/spousal-starving-tactics/</t>
  </si>
  <si>
    <t>Spousal Starving Tactics | Sterling Lawyers, LLC</t>
  </si>
  <si>
    <t>https://www.sterlinglawyers.com/wisconsin/dirty-divorce-tricks/children-leverage/</t>
  </si>
  <si>
    <t>Using Children as Leverage | Sterling Lawyers, LLC</t>
  </si>
  <si>
    <t>https://www.sterlinglawyers.com/illinois/attorneys/alexandra-isroff/reviews/page/15/</t>
  </si>
  <si>
    <t>https://www.sterlinglawyers.com/wisconsin/dirty-divorce-tricks/conflicting-out-attorneys/</t>
  </si>
  <si>
    <t>Conflicting Out Attorneys | Sterling Lawyers, LLC</t>
  </si>
  <si>
    <t>https://www.sterlinglawyers.com/illinois/attorneys/katie-vandeusen/reviews/page/18/</t>
  </si>
  <si>
    <t>https://www.sterlinglawyers.com/illinois/attorneys/alexandra-isroff/reviews/page/32/</t>
  </si>
  <si>
    <t>https://www.sterlinglawyers.com/illinois/attorneys/katie-vandeusen/reviews/page/19/</t>
  </si>
  <si>
    <t>https://www.sterlinglawyers.com/reviews/page/14/</t>
  </si>
  <si>
    <t>https://www.sterlinglawyers.com/illinois/attorneys/alexandra-isroff/reviews/page/31/</t>
  </si>
  <si>
    <t>https://www.sterlinglawyers.com/wisconsin/attorneys/bailey-holt/reviews/page/18/</t>
  </si>
  <si>
    <t>https://www.sterlinglawyers.com/wisconsin/reviews/page/220/</t>
  </si>
  <si>
    <t>https://www.sterlinglawyers.com/wisconsin/attorneys/austin-miller/reviews/page/11/</t>
  </si>
  <si>
    <t>https://www.sterlinglawyers.com/wisconsin/attorneys/ellen-rhodeman/reviews/page/11/</t>
  </si>
  <si>
    <t>https://www.sterlinglawyers.com/wisconsin/reviews/page/12/</t>
  </si>
  <si>
    <t>https://www.sterlinglawyers.com/wisconsin/attorneys/ellen-rhodeman/reviews/page/47/</t>
  </si>
  <si>
    <t>https://www.sterlinglawyers.com/wisconsin/reviews/page/13/</t>
  </si>
  <si>
    <t>https://www.sterlinglawyers.com/wisconsin/attorneys/ellen-rhodeman/reviews/page/48/</t>
  </si>
  <si>
    <t>https://www.sterlinglawyers.com/wisconsin/attorneys/kathleen-curran/reviews/page/28/</t>
  </si>
  <si>
    <t>https://www.sterlinglawyers.com/wisconsin/attorneys/bailey-holt/reviews/page/11/</t>
  </si>
  <si>
    <t>https://www.sterlinglawyers.com/wisconsin/attorneys/ellen-rhodeman/reviews/page/10/</t>
  </si>
  <si>
    <t>https://www.sterlinglawyers.com/wisconsin/attorneys/bailey-holt/reviews/page/10/</t>
  </si>
  <si>
    <t>https://www.sterlinglawyers.com/wisconsin/attorneys/kathleen-curran/reviews/page/29/</t>
  </si>
  <si>
    <t>https://www.sterlinglawyers.com/wisconsin/attorneys/kathleen-curran/reviews/page/11/</t>
  </si>
  <si>
    <t>https://www.sterlinglawyers.com/wisconsin/attorneys/kathleen-curran/reviews/page/10/</t>
  </si>
  <si>
    <t>https://www.sterlinglawyers.com/wisconsin/attorneys/holly-mullin/reviews/page/11/</t>
  </si>
  <si>
    <t>https://www.sterlinglawyers.com/wisconsin/attorneys/andria-adams/reviews/page/12/</t>
  </si>
  <si>
    <t>https://www.sterlinglawyers.com/wisconsin/attorneys/jack-braaten/reviews/page/22/</t>
  </si>
  <si>
    <t>https://www.sterlinglawyers.com/wisconsin/attorneys/andria-adams/reviews/page/11/</t>
  </si>
  <si>
    <t>https://www.sterlinglawyers.com/wisconsin/attorneys/jack-braaten/reviews/page/11/</t>
  </si>
  <si>
    <t>https://www.sterlinglawyers.com/wisconsin/attorneys/austin-miller/reviews/page/27/</t>
  </si>
  <si>
    <t>https://www.sterlinglawyers.com/wisconsin/attorneys/jack-braaten/reviews/page/10/</t>
  </si>
  <si>
    <t>https://www.sterlinglawyers.com/wisconsin/attorneys/austin-miller/reviews/page/28/</t>
  </si>
  <si>
    <t>https://www.sterlinglawyers.com/wisconsin/attorneys/andria-adams/reviews/page/10/</t>
  </si>
  <si>
    <t>https://www.sterlinglawyers.com/wisconsin/attorneys/jeffrey-morrell/reviews/page/11/</t>
  </si>
  <si>
    <t>https://www.sterlinglawyers.com/wisconsin/attorneys/jeffrey-morrell/reviews/page/67/</t>
  </si>
  <si>
    <t>https://www.sterlinglawyers.com/wisconsin/attorneys/jeffrey-morrell/reviews/page/66/</t>
  </si>
  <si>
    <t>https://www.sterlinglawyers.com/wisconsin/attorneys/austin-miller/reviews/page/10/</t>
  </si>
  <si>
    <t>https://www.sterlinglawyers.com/wisconsin/attorneys/holly-mullin/reviews/page/10/</t>
  </si>
  <si>
    <t>https://www.sterlinglawyers.com/wisconsin/attorneys/robert-keenan/reviews/page/30/</t>
  </si>
  <si>
    <t>https://www.sterlinglawyers.com/wisconsin/attorneys/robert-keenan/reviews/page/31/</t>
  </si>
  <si>
    <t>https://www.sterlinglawyers.com/wisconsin/attorneys/abigail-henderson/reviews/page/12/</t>
  </si>
  <si>
    <t>https://www.sterlinglawyers.com/wisconsin/attorneys/abigail-henderson/reviews/page/13/</t>
  </si>
  <si>
    <t>https://www.sterlinglawyers.com/wisconsin/attorneys/abigail-henderson/reviews/page/10/</t>
  </si>
  <si>
    <t>https://www.sterlinglawyers.com/wisconsin/attorneys/abigail-henderson/reviews/page/11/</t>
  </si>
  <si>
    <t>https://www.sterlinglawyers.com/wisconsin/attorneys/nikole-messerschmidt/reviews/page/45/</t>
  </si>
  <si>
    <t>https://www.sterlinglawyers.com/wisconsin/attorneys/tiffany-vogel/reviews/page/10/</t>
  </si>
  <si>
    <t>https://www.sterlinglawyers.com/wisconsin/attorneys/nikole-messerschmidt/reviews/page/46/</t>
  </si>
  <si>
    <t>https://www.sterlinglawyers.com/wisconsin/attorneys/tiffany-vogel/reviews/page/11/</t>
  </si>
  <si>
    <t>https://www.sterlinglawyers.com/wisconsin/attorneys/tiffany-vogel/reviews/page/41/</t>
  </si>
  <si>
    <t>https://www.sterlinglawyers.com/wisconsin/attorneys/tiffany-vogel/reviews/page/42/</t>
  </si>
  <si>
    <t>https://www.sterlinglawyers.com/wisconsin/attorneys/jack-braaten/reviews/page/21/</t>
  </si>
  <si>
    <t>https://www.sterlinglawyers.com/wisconsin/attorneys/nikole-messerschmidt/reviews/page/11/</t>
  </si>
  <si>
    <t>https://www.sterlinglawyers.com/wisconsin/attorneys/nikole-messerschmidt/reviews/page/10/</t>
  </si>
  <si>
    <t>https://www.sterlinglawyers.com/wisconsin/attorneys/michelle-gordon/reviews/page/26/</t>
  </si>
  <si>
    <t>https://www.sterlinglawyers.com/wisconsin/attorneys/jeffrey-morrell/reviews/page/10/</t>
  </si>
  <si>
    <t>https://www.sterlinglawyers.com/wisconsin/attorneys/holly-mullin/reviews/page/42/</t>
  </si>
  <si>
    <t>https://www.sterlinglawyers.com/wisconsin/attorneys/holly-mullin/reviews/page/43/</t>
  </si>
  <si>
    <t>https://www.sterlinglawyers.com/wisconsin/attorneys/michelle-gordon/reviews/page/27/</t>
  </si>
  <si>
    <t>https://www.sterlinglawyers.com/wisconsin/attorneys/michelle-gordon/reviews/page/11/</t>
  </si>
  <si>
    <t>https://www.sterlinglawyers.com/wisconsin/attorneys/michelle-gordon/reviews/page/10/</t>
  </si>
  <si>
    <t>https://www.sterlinglawyers.com/wisconsin/attorneys/robert-keenan/reviews/page/11/</t>
  </si>
  <si>
    <t>https://www.sterlinglawyers.com/wisconsin/attorneys/robert-keenan/reviews/page/10/</t>
  </si>
  <si>
    <t>https://www.sterlinglawyers.com/wisconsin/divorce/infidelity-run-or-reconcile/</t>
  </si>
  <si>
    <t>Reconcile or Run After an Infidelity? | Sterling Lawyers, LLC</t>
  </si>
  <si>
    <t>https://www.sterlinglawyers.com/illinois/attorneys/nina-kelly/reviews/page/14/</t>
  </si>
  <si>
    <t>https://www.sterlinglawyers.com/illinois/reviews/page/218/</t>
  </si>
  <si>
    <t>https://www.sterlinglawyers.com/illinois/attorneys/nina-kelly/reviews/page/15/</t>
  </si>
  <si>
    <t>https://www.sterlinglawyers.com/wisconsin/blog/page/7/?et_blog</t>
  </si>
  <si>
    <t>https://www.sterlinglawyers.com/news/page/2/?et_blog</t>
  </si>
  <si>
    <t>https://www.sterlinglawyers.com/illinois/attorneys/nina-kelly/reviews/page/33/</t>
  </si>
  <si>
    <t>https://www.sterlinglawyers.com/illinois/attorneys/nina-kelly/reviews/page/34/</t>
  </si>
  <si>
    <t>https://www.sterlinglawyers.com/illinois/reviews/page/14/</t>
  </si>
  <si>
    <t>https://www.sterlinglawyers.com/illinois/reviews/page/15/</t>
  </si>
  <si>
    <t>https://www.sterlinglawyers.com/illinois/reviews/page/17/</t>
  </si>
  <si>
    <t>https://www.sterlinglawyers.com/illinois/attorneys/nina-kelly/reviews/page/32/</t>
  </si>
  <si>
    <t>https://www.sterlinglawyers.com/illinois/attorneys/nina-kelly/reviews/page/31/</t>
  </si>
  <si>
    <t>https://www.sterlinglawyers.com/news/page/3/?et_blog</t>
  </si>
  <si>
    <t>https://www.sterlinglawyers.com/wisdom-from-attorney-knighton/decide-say-no-friends-family/</t>
  </si>
  <si>
    <t>How to Decide When to Say "No" to Your Friends and Family | Sterling Lawyers, LLC</t>
  </si>
  <si>
    <t>https://www.sterlinglawyers.com/news/?et_blog</t>
  </si>
  <si>
    <t>https://www.sterlinglawyers.com/wisdom-from-attorney-knighton/stop-faking-actually-get-want/</t>
  </si>
  <si>
    <t>How to Stop Faking It and Get What You Want | Sterling Lawyers</t>
  </si>
  <si>
    <t>https://www.sterlinglawyers.com/wisconsin/blog/page/8/?et_blog</t>
  </si>
  <si>
    <t>https://www.sterlinglawyers.com/illinois/attorneys/nina-kelly/reviews/page/17/</t>
  </si>
  <si>
    <t>https://www.sterlinglawyers.com/wisconsin/attorneys/robert-keenan/reviews/page/12/</t>
  </si>
  <si>
    <t>https://www.sterlinglawyers.com/illinois/attorneys/nina-kelly/reviews/page/16/</t>
  </si>
  <si>
    <t>https://www.sterlinglawyers.com/wisconsin/attorneys/michelle-gordon/reviews/page/12/</t>
  </si>
  <si>
    <t>https://www.sterlinglawyers.com/wisconsin/attorneys/holly-mullin/reviews/page/40/</t>
  </si>
  <si>
    <t>https://www.sterlinglawyers.com/wisconsin/attorneys/holly-mullin/reviews/page/41/</t>
  </si>
  <si>
    <t>https://www.sterlinglawyers.com/wisconsin/attorneys/michelle-gordon/reviews/page/25/</t>
  </si>
  <si>
    <t>https://www.sterlinglawyers.com/wisconsin/attorneys/michelle-gordon/reviews/page/24/</t>
  </si>
  <si>
    <t>https://www.sterlinglawyers.com/wisconsin/attorneys/nikole-messerschmidt/reviews/page/12/</t>
  </si>
  <si>
    <t>https://www.sterlinglawyers.com/wisconsin/attorneys/nikole-messerschmidt/reviews/page/13/</t>
  </si>
  <si>
    <t>https://www.sterlinglawyers.com/wisconsin/attorneys/jack-braaten/reviews/page/19/</t>
  </si>
  <si>
    <t>https://www.sterlinglawyers.com/wisconsin/attorneys/tiffany-vogel/reviews/page/39/</t>
  </si>
  <si>
    <t>https://www.sterlinglawyers.com/wisconsin/attorneys/tiffany-vogel/reviews/page/40/</t>
  </si>
  <si>
    <t>https://www.sterlinglawyers.com/wisconsin/attorneys/tiffany-vogel/reviews/page/13/</t>
  </si>
  <si>
    <t>https://www.sterlinglawyers.com/wisconsin/attorneys/tiffany-vogel/reviews/page/12/</t>
  </si>
  <si>
    <t>https://www.sterlinglawyers.com/wisconsin/attorneys/nikole-messerschmidt/reviews/page/44/</t>
  </si>
  <si>
    <t>https://www.sterlinglawyers.com/wisconsin/attorneys/robert-keenan/reviews/page/29/</t>
  </si>
  <si>
    <t>https://www.sterlinglawyers.com/wisconsin/attorneys/robert-keenan/reviews/page/28/</t>
  </si>
  <si>
    <t>https://www.sterlinglawyers.com/wisconsin/attorneys/jeffrey-morrell/reviews/page/64/</t>
  </si>
  <si>
    <t>https://www.sterlinglawyers.com/wisconsin/attorneys/jeffrey-morrell/reviews/page/65/</t>
  </si>
  <si>
    <t>https://www.sterlinglawyers.com/illinois/reviews/page/16/</t>
  </si>
  <si>
    <t>https://www.sterlinglawyers.com/wisconsin/attorneys/jeffrey-morrell/reviews/page/13/</t>
  </si>
  <si>
    <t>https://www.sterlinglawyers.com/wisconsin/attorneys/jeffrey-morrell/reviews/page/12/</t>
  </si>
  <si>
    <t>https://www.sterlinglawyers.com/wisconsin/attorneys/austin-miller/reviews/page/26/</t>
  </si>
  <si>
    <t>https://www.sterlinglawyers.com/wisconsin/attorneys/robert-keenan/reviews/page/13/</t>
  </si>
  <si>
    <t>https://www.sterlinglawyers.com/wisconsin/attorneys/jack-braaten/reviews/page/12/</t>
  </si>
  <si>
    <t>https://www.sterlinglawyers.com/wisconsin/attorneys/michelle-gordon/reviews/page/13/</t>
  </si>
  <si>
    <t>https://www.sterlinglawyers.com/wisconsin/attorneys/jack-braaten/reviews/page/20/</t>
  </si>
  <si>
    <t>https://www.sterlinglawyers.com/wisconsin/attorneys/holly-mullin/reviews/page/12/</t>
  </si>
  <si>
    <t>https://www.sterlinglawyers.com/wisconsin/attorneys/nikole-messerschmidt/reviews/page/43/</t>
  </si>
  <si>
    <t>https://www.sterlinglawyers.com/wisconsin/attorneys/holly-mullin/reviews/page/13/</t>
  </si>
  <si>
    <t>https://www.sterlinglawyers.com/wisconsin/attorneys/jack-braaten/reviews/page/13/</t>
  </si>
  <si>
    <t>https://www.sterlinglawyers.com/wisconsin/attorneys/kathleen-curran/reviews/page/12/</t>
  </si>
  <si>
    <t>https://www.sterlinglawyers.com/wisconsin/attorneys/kathleen-curran/reviews/page/13/</t>
  </si>
  <si>
    <t>https://www.sterlinglawyers.com/wisconsin/attorneys/bailey-holt/reviews/page/12/</t>
  </si>
  <si>
    <t>https://www.sterlinglawyers.com/wisconsin/attorneys/bailey-holt/reviews/page/13/</t>
  </si>
  <si>
    <t>https://www.sterlinglawyers.com/wisconsin/attorneys/kathleen-curran/reviews/page/26/</t>
  </si>
  <si>
    <t>https://www.sterlinglawyers.com/wisconsin/attorneys/kathleen-curran/reviews/page/27/</t>
  </si>
  <si>
    <t>https://www.sterlinglawyers.com/wisconsin/reviews/page/14/</t>
  </si>
  <si>
    <t>https://www.sterlinglawyers.com/wisconsin/attorneys/austin-miller/reviews/page/25/</t>
  </si>
  <si>
    <t>https://www.sterlinglawyers.com/wisconsin/attorneys/ellen-rhodeman/reviews/page/45/</t>
  </si>
  <si>
    <t>https://www.sterlinglawyers.com/wisconsin/attorneys/austin-miller/reviews/page/12/</t>
  </si>
  <si>
    <t>https://www.sterlinglawyers.com/wisconsin/attorneys/austin-miller/reviews/page/13/</t>
  </si>
  <si>
    <t>https://www.sterlinglawyers.com/illinois/attorneys/alexandra-isroff/reviews/page/29/</t>
  </si>
  <si>
    <t>https://www.sterlinglawyers.com/illinois/attorneys/alexandra-isroff/reviews/page/30/</t>
  </si>
  <si>
    <t>https://www.sterlinglawyers.com/illinois/attorneys/alexandra-isroff/reviews/page/17/</t>
  </si>
  <si>
    <t>https://www.sterlinglawyers.com/wisconsin/attorneys/ellen-rhodeman/reviews/page/12/</t>
  </si>
  <si>
    <t>https://www.sterlinglawyers.com/wisconsin/attorneys/ellen-rhodeman/reviews/page/46/</t>
  </si>
  <si>
    <t>https://www.sterlinglawyers.com/wisconsin/divorce/good-kids-bad-things-divorce/</t>
  </si>
  <si>
    <t>When Good Kids Do Bad Things During Divorce | Sterling Lawyers, LLC</t>
  </si>
  <si>
    <t>https://www.sterlinglawyers.com/wisconsin/dirty-divorce-tricks/rewarding-children-lie/</t>
  </si>
  <si>
    <t>Rewarding Children to Lie | Sterling Lawyers, LLC</t>
  </si>
  <si>
    <t>https://www.sterlinglawyers.com/flourishing-families/madame-macaron-mke/</t>
  </si>
  <si>
    <t>The Macaron with Madame Macaron MKE | Sterling Lawyers, LLC</t>
  </si>
  <si>
    <t>https://www.sterlinglawyers.com/wisdom-from-attorney-knighton/3-ways-start-living-happier-life/</t>
  </si>
  <si>
    <t>3 Ways To Start Living A Happier Life | Sterling Lawyers, LLC</t>
  </si>
  <si>
    <t>https://www.sterlinglawyers.com/wisconsin/attorneys/ellen-rhodeman/reviews/page/13/</t>
  </si>
  <si>
    <t>https://www.sterlinglawyers.com/blog/wisdom-from-attorney-knighton/how-to-emotionally-survive-a-divorce/</t>
  </si>
  <si>
    <t>How to Emotionally Survive a Divorce | Sterling Lawyers, LLC</t>
  </si>
  <si>
    <t>https://www.sterlinglawyers.com/wisdom-from-attorney-knighton/how-to-approach-transitions-during-family-law-matters/</t>
  </si>
  <si>
    <t>How to Approach Transitions During Family Law Matters | Sterling Lawyers, LLC</t>
  </si>
  <si>
    <t>https://www.sterlinglawyers.com/wisdom-from-attorney-knighton/how-to-manage-insurance-policies-after-a-divorce/</t>
  </si>
  <si>
    <t>How to Manage Insurance Policies After a Divorce | Sterling Lawyers, LLC</t>
  </si>
  <si>
    <t>https://www.sterlinglawyers.com/wisdom-from-attorney-knighton/the-art-of-refinancing-during-a-divorce/</t>
  </si>
  <si>
    <t>The Art of Refinancing During a Divorce | Sterling Lawyers, LLC</t>
  </si>
  <si>
    <t>https://www.sterlinglawyers.com/wisdom-from-attorney-knighton/what-documents-should-you-collect-in-a-divorce/</t>
  </si>
  <si>
    <t>What Documents Should You Collect in a Divorce? | Sterling Lawyers, LLC</t>
  </si>
  <si>
    <t>https://www.sterlinglawyers.com/wisconsin/reviews/page/15/</t>
  </si>
  <si>
    <t>https://www.sterlinglawyers.com/wisdom-from-attorney-knighton/the-benefits-of-a-marital-settlement-agreement-in-divorce/</t>
  </si>
  <si>
    <t>The Benefits of a Marital Settlement Agreement in Divorce | Sterling Lawyers, LLC</t>
  </si>
  <si>
    <t>https://www.sterlinglawyers.com/wisdom-from-attorney-knighton/3-questions-will-help-know-whether-stay-leave/</t>
  </si>
  <si>
    <t>Know Whether to Stay or Leave | Sterling Lawyers, LLC</t>
  </si>
  <si>
    <t>https://www.sterlinglawyers.com/blog/page/5/?et_blog</t>
  </si>
  <si>
    <t>https://www.sterlinglawyers.com/wisdom-from-attorney-knighton/understanding-how-asset-division-works-useful-calculators/</t>
  </si>
  <si>
    <t>Understanding How Asset Division Works &amp; Useful Calculators | Sterling Lawyers, LLC</t>
  </si>
  <si>
    <t>https://www.sterlinglawyers.com/wisdom-from-attorney-knighton/the-science-of-tracking-finances-the-job-of-a-forensic-accountant/</t>
  </si>
  <si>
    <t>The Science of Tracking Finances: The Job of a Forensic Accountant | Sterling Lawyers, LLC</t>
  </si>
  <si>
    <t>https://www.sterlinglawyers.com/wisdom-from-attorney-knighton/extremely-useful-information-when-filing-taxes-for-divorcees/</t>
  </si>
  <si>
    <t>Extremely Useful Information When Filing Taxes for Divorcees | Sterling Lawyers, LLC</t>
  </si>
  <si>
    <t>https://www.sterlinglawyers.com/illinois/attorneys/katie-vandeusen/reviews/page/17/</t>
  </si>
  <si>
    <t>https://www.sterlinglawyers.com/wisconsin/reviews/page/218/</t>
  </si>
  <si>
    <t>https://www.sterlinglawyers.com/illinois/attorneys/katie-vandeusen/reviews/page/16/</t>
  </si>
  <si>
    <t>https://www.sterlinglawyers.com/wisconsin/reviews/page/217/</t>
  </si>
  <si>
    <t>https://www.sterlinglawyers.com/reviews/page/16/</t>
  </si>
  <si>
    <t>https://www.sterlinglawyers.com/reviews/page/17/</t>
  </si>
  <si>
    <t>https://www.sterlinglawyers.com/reviews/page/216/</t>
  </si>
  <si>
    <t>https://www.sterlinglawyers.com/illinois/attorneys/alexandra-isroff/reviews/page/16/</t>
  </si>
  <si>
    <t>https://www.sterlinglawyers.com/wisconsin/divorce/in-laws-during-divorce-process/</t>
  </si>
  <si>
    <t>Managing In-Laws During the Divorce Process | Sterling Lawyers, LLC</t>
  </si>
  <si>
    <t>https://www.sterlinglawyers.com/wisconsin/divorce/how-to-cope-with-divorce/</t>
  </si>
  <si>
    <t>How To Cope With Divorce | Sterling Lawyers, LLC</t>
  </si>
  <si>
    <t>https://www.sterlinglawyers.com/wisconsin/attorneys/bailey-holt/reviews/page/16/</t>
  </si>
  <si>
    <t>https://www.sterlinglawyers.com/wisconsin/attorneys/bailey-holt/reviews/page/15/</t>
  </si>
  <si>
    <t>https://www.sterlinglawyers.com/illinois/reviews/page/215/</t>
  </si>
  <si>
    <t>https://www.sterlinglawyers.com/wisconsin/divorce/the-divorce-blame-game-has-no-winner/</t>
  </si>
  <si>
    <t>The Blame Game During Divorce | Sterling Lawyers, LLC</t>
  </si>
  <si>
    <t>https://www.sterlinglawyers.com/wisconsin/divorce/knowing-your-partner-assessing-a-problem-through-the-eyes-of-your-spouse/</t>
  </si>
  <si>
    <t>Assessing a Problem Through the Eyes of Your Spouse | Sterling Lawyers, LLC</t>
  </si>
  <si>
    <t>https://www.sterlinglawyers.com/wisconsin/reviews/page/17/</t>
  </si>
  <si>
    <t>https://www.sterlinglawyers.com/wisconsin/attorneys/ellen-rhodeman/reviews/page/15/</t>
  </si>
  <si>
    <t>https://www.sterlinglawyers.com/blog/page/6/?et_blog</t>
  </si>
  <si>
    <t>https://www.sterlinglawyers.com/reviews/page/217/</t>
  </si>
  <si>
    <t>https://www.sterlinglawyers.com/illinois/attorneys/alexandra-isroff/reviews/page/19/</t>
  </si>
  <si>
    <t>https://www.sterlinglawyers.com/illinois/attorneys/alexandra-isroff/reviews/page/27/</t>
  </si>
  <si>
    <t>https://www.sterlinglawyers.com/illinois/attorneys/alexandra-isroff/reviews/page/28/</t>
  </si>
  <si>
    <t>https://www.sterlinglawyers.com/illinois/reviews/page/216/</t>
  </si>
  <si>
    <t>https://www.sterlinglawyers.com/wisconsin/attorneys/austin-miller/reviews/page/14/</t>
  </si>
  <si>
    <t>https://www.sterlinglawyers.com/wisconsin/reviews/page/216/</t>
  </si>
  <si>
    <t>https://www.sterlinglawyers.com/wisconsin/attorneys/ellen-rhodeman/reviews/page/14/</t>
  </si>
  <si>
    <t>https://www.sterlinglawyers.com/wisconsin/attorneys/austin-miller/reviews/page/23/</t>
  </si>
  <si>
    <t>https://www.sterlinglawyers.com/wisconsin/reviews/page/16/</t>
  </si>
  <si>
    <t>https://www.sterlinglawyers.com/illinois/attorneys/alexandra-isroff/reviews/page/18/</t>
  </si>
  <si>
    <t>https://www.sterlinglawyers.com/wisconsin/attorneys/kathleen-curran/reviews/page/24/</t>
  </si>
  <si>
    <t>https://www.sterlinglawyers.com/wisconsin/attorneys/kathleen-curran/reviews/page/25/</t>
  </si>
  <si>
    <t>https://www.sterlinglawyers.com/wisconsin/attorneys/bailey-holt/reviews/page/14/</t>
  </si>
  <si>
    <t>https://www.sterlinglawyers.com/wisconsin/attorneys/kathleen-curran/reviews/page/15/</t>
  </si>
  <si>
    <t>https://www.sterlinglawyers.com/wisconsin/attorneys/kathleen-curran/reviews/page/14/</t>
  </si>
  <si>
    <t>https://www.sterlinglawyers.com/wisconsin/attorneys/holly-mullin/reviews/page/15/</t>
  </si>
  <si>
    <t>https://www.sterlinglawyers.com/wisconsin/attorneys/jack-braaten/reviews/page/15/</t>
  </si>
  <si>
    <t>https://www.sterlinglawyers.com/wisconsin/attorneys/ellen-rhodeman/reviews/page/43/</t>
  </si>
  <si>
    <t>https://www.sterlinglawyers.com/wisconsin/attorneys/holly-mullin/reviews/page/14/</t>
  </si>
  <si>
    <t>https://www.sterlinglawyers.com/wisconsin/attorneys/ellen-rhodeman/reviews/page/44/</t>
  </si>
  <si>
    <t>https://www.sterlinglawyers.com/wisconsin/attorneys/austin-miller/reviews/page/15/</t>
  </si>
  <si>
    <t>https://www.sterlinglawyers.com/wisconsin/attorneys/jack-braaten/reviews/page/14/</t>
  </si>
  <si>
    <t>https://www.sterlinglawyers.com/wisconsin/attorneys/robert-keenan/reviews/page/15/</t>
  </si>
  <si>
    <t>https://www.sterlinglawyers.com/wisconsin/attorneys/austin-miller/reviews/page/24/</t>
  </si>
  <si>
    <t>https://www.sterlinglawyers.com/wisconsin/attorneys/jeffrey-morrell/reviews/page/15/</t>
  </si>
  <si>
    <t>https://www.sterlinglawyers.com/wisconsin/attorneys/jeffrey-morrell/reviews/page/14/</t>
  </si>
  <si>
    <t>https://www.sterlinglawyers.com/wisconsin/attorneys/jeffrey-morrell/reviews/page/63/</t>
  </si>
  <si>
    <t>https://www.sterlinglawyers.com/wisconsin/attorneys/jeffrey-morrell/reviews/page/62/</t>
  </si>
  <si>
    <t>https://www.sterlinglawyers.com/wisconsin/attorneys/robert-keenan/reviews/page/26/</t>
  </si>
  <si>
    <t>https://www.sterlinglawyers.com/wisconsin/attorneys/robert-keenan/reviews/page/27/</t>
  </si>
  <si>
    <t>https://www.sterlinglawyers.com/wisconsin/attorneys/nikole-messerschmidt/reviews/page/42/</t>
  </si>
  <si>
    <t>https://www.sterlinglawyers.com/wisconsin/attorneys/tiffany-vogel/reviews/page/14/</t>
  </si>
  <si>
    <t>https://www.sterlinglawyers.com/wisconsin/attorneys/tiffany-vogel/reviews/page/37/</t>
  </si>
  <si>
    <t>https://www.sterlinglawyers.com/wisconsin/attorneys/tiffany-vogel/reviews/page/15/</t>
  </si>
  <si>
    <t>https://www.sterlinglawyers.com/wisconsin/attorneys/jack-braaten/reviews/page/17/</t>
  </si>
  <si>
    <t>https://www.sterlinglawyers.com/wisconsin/attorneys/jack-braaten/reviews/page/18/</t>
  </si>
  <si>
    <t>https://www.sterlinglawyers.com/wisconsin/attorneys/nikole-messerschmidt/reviews/page/14/</t>
  </si>
  <si>
    <t>https://www.sterlinglawyers.com/wisconsin/attorneys/nikole-messerschmidt/reviews/page/15/</t>
  </si>
  <si>
    <t>https://www.sterlinglawyers.com/wisconsin/attorneys/michelle-gordon/reviews/page/22/</t>
  </si>
  <si>
    <t>https://www.sterlinglawyers.com/wisconsin/attorneys/michelle-gordon/reviews/page/23/</t>
  </si>
  <si>
    <t>https://www.sterlinglawyers.com/wisconsin/attorneys/nikole-messerschmidt/reviews/page/41/</t>
  </si>
  <si>
    <t>https://www.sterlinglawyers.com/wisconsin/attorneys/holly-mullin/reviews/page/38/</t>
  </si>
  <si>
    <t>https://www.sterlinglawyers.com/wisconsin/attorneys/michelle-gordon/reviews/page/15/</t>
  </si>
  <si>
    <t>https://www.sterlinglawyers.com/wisconsin/attorneys/robert-keenan/reviews/page/14/</t>
  </si>
  <si>
    <t>https://www.sterlinglawyers.com/illinois/attorneys/nina-kelly/reviews/page/19/</t>
  </si>
  <si>
    <t>https://www.sterlinglawyers.com/illinois/attorneys/nina-kelly/reviews/page/18/</t>
  </si>
  <si>
    <t>https://www.sterlinglawyers.com/wisconsin/attorneys/tiffany-vogel/reviews/page/38/</t>
  </si>
  <si>
    <t>https://www.sterlinglawyers.com/wisdom-from-attorney-knighton/how-to-prove-your-spouse-forged-your-signature/</t>
  </si>
  <si>
    <t>How to Prove Your Spouse Forged Your Signature | Sterling Lawyers, LLC</t>
  </si>
  <si>
    <t>https://www.sterlinglawyers.com/wisdom-from-attorney-knighton/top-tips-to-effectively-survive-divorce/</t>
  </si>
  <si>
    <t>Top Tips to Effectively Survive Divorce | Sterling Lawyers, LLC</t>
  </si>
  <si>
    <t>https://www.sterlinglawyers.com/wisdom-from-attorney-knighton/how-to-budget-after-divorce/</t>
  </si>
  <si>
    <t>How to Budget After Divorce | Sterling Lawyers, LLC</t>
  </si>
  <si>
    <t>https://www.sterlinglawyers.com/wisconsin/attorneys/holly-mullin/reviews/page/39/</t>
  </si>
  <si>
    <t>https://www.sterlinglawyers.com/wisconsin/attorneys/michelle-gordon/reviews/page/14/</t>
  </si>
  <si>
    <t>https://www.sterlinglawyers.com/news/page/4/?et_blog</t>
  </si>
  <si>
    <t>https://www.sterlinglawyers.com/illinois/attorneys/nina-kelly/reviews/page/29/</t>
  </si>
  <si>
    <t>https://www.sterlinglawyers.com/illinois/attorneys/nina-kelly/reviews/page/30/</t>
  </si>
  <si>
    <t>https://www.sterlinglawyers.com/illinois/reviews/page/19/</t>
  </si>
  <si>
    <t>https://www.sterlinglawyers.com/wisconsin/divorce/hidden-dangers-fighting-around-kids-divorce/</t>
  </si>
  <si>
    <t>The Hidden Dangers Of Fighting Around The Kids During a Divorce | Sterling Lawyers, LLC</t>
  </si>
  <si>
    <t>https://www.sterlinglawyers.com/illinois/reviews/page/18/</t>
  </si>
  <si>
    <t>https://www.sterlinglawyers.com/illinois/reviews/page/214/</t>
  </si>
  <si>
    <t>https://www.sterlinglawyers.com/illinois/reviews/page/213/</t>
  </si>
  <si>
    <t>https://www.sterlinglawyers.com/reviews/page/214/</t>
  </si>
  <si>
    <t>https://www.sterlinglawyers.com/reviews/page/215/</t>
  </si>
  <si>
    <t>https://www.sterlinglawyers.com/reviews/page/18/</t>
  </si>
  <si>
    <t>https://www.sterlinglawyers.com/wisconsin/reviews/page/215/</t>
  </si>
  <si>
    <t>https://www.sterlinglawyers.com/reviews/page/20/</t>
  </si>
  <si>
    <t>https://www.sterlinglawyers.com/reviews/page/213/</t>
  </si>
  <si>
    <t>https://www.sterlinglawyers.com/illinois/reviews/page/211/</t>
  </si>
  <si>
    <t>https://www.sterlinglawyers.com/illinois/reviews/page/212/</t>
  </si>
  <si>
    <t>https://www.sterlinglawyers.com/illinois/reviews/page/20/</t>
  </si>
  <si>
    <t>https://www.sterlinglawyers.com/illinois/reviews/page/21/</t>
  </si>
  <si>
    <t>https://www.sterlinglawyers.com/illinois/attorneys/nina-kelly/reviews/page/28/</t>
  </si>
  <si>
    <t>https://www.sterlinglawyers.com/wisconsin/blog/page/9/?et_blog</t>
  </si>
  <si>
    <t>https://www.sterlinglawyers.com/illinois/attorneys/nina-kelly/reviews/page/27/</t>
  </si>
  <si>
    <t>https://www.sterlinglawyers.com/reviews/page/19/</t>
  </si>
  <si>
    <t>https://www.sterlinglawyers.com/reviews/page/212/</t>
  </si>
  <si>
    <t>https://www.sterlinglawyers.com/news/page/5/?et_blog</t>
  </si>
  <si>
    <t>https://www.sterlinglawyers.com/reviews/page/21/</t>
  </si>
  <si>
    <t>https://www.sterlinglawyers.com/illinois/attorneys/nina-kelly/reviews/page/20/</t>
  </si>
  <si>
    <t>https://www.sterlinglawyers.com/illinois/attorneys/nina-kelly/reviews/page/21/</t>
  </si>
  <si>
    <t>https://www.sterlinglawyers.com/wisconsin/reviews/page/213/</t>
  </si>
  <si>
    <t>https://www.sterlinglawyers.com/wisconsin/attorneys/michelle-gordon/reviews/page/16/</t>
  </si>
  <si>
    <t>https://www.sterlinglawyers.com/wisconsin/attorneys/holly-mullin/reviews/page/37/</t>
  </si>
  <si>
    <t>https://www.sterlinglawyers.com/wisconsin/attorneys/nikole-messerschmidt/reviews/page/39/</t>
  </si>
  <si>
    <t>https://www.sterlinglawyers.com/wisconsin/blog/page/10/?et_blog</t>
  </si>
  <si>
    <t>https://www.sterlinglawyers.com/wisconsin/attorneys/michelle-gordon/reviews/page/20/</t>
  </si>
  <si>
    <t>https://www.sterlinglawyers.com/wisconsin/attorneys/michelle-gordon/reviews/page/21/</t>
  </si>
  <si>
    <t>https://www.sterlinglawyers.com/wisconsin/attorneys/tiffany-vogel/reviews/page/17/</t>
  </si>
  <si>
    <t>https://www.sterlinglawyers.com/wisconsin/attorneys/nikole-messerschmidt/reviews/page/16/</t>
  </si>
  <si>
    <t>https://www.sterlinglawyers.com/wisconsin/attorneys/tiffany-vogel/reviews/page/35/</t>
  </si>
  <si>
    <t>https://www.sterlinglawyers.com/wisconsin/attorneys/tiffany-vogel/reviews/page/16/</t>
  </si>
  <si>
    <t>https://www.sterlinglawyers.com/wisconsin/attorneys/nikole-messerschmidt/reviews/page/40/</t>
  </si>
  <si>
    <t>https://www.sterlinglawyers.com/wisconsin/attorneys/robert-keenan/reviews/page/25/</t>
  </si>
  <si>
    <t>https://www.sterlinglawyers.com/wisconsin/attorneys/robert-keenan/reviews/page/24/</t>
  </si>
  <si>
    <t>https://www.sterlinglawyers.com/wisconsin/attorneys/jeffrey-morrell/reviews/page/60/</t>
  </si>
  <si>
    <t>https://www.sterlinglawyers.com/wisconsin/attorneys/holly-mullin/reviews/page/36/</t>
  </si>
  <si>
    <t>https://www.sterlinglawyers.com/wisconsin/attorneys/jeffrey-morrell/reviews/page/61/</t>
  </si>
  <si>
    <t>https://www.sterlinglawyers.com/wisconsin/attorneys/jeffrey-morrell/reviews/page/16/</t>
  </si>
  <si>
    <t>https://www.sterlinglawyers.com/wisconsin/attorneys/jeffrey-morrell/reviews/page/17/</t>
  </si>
  <si>
    <t>https://www.sterlinglawyers.com/wisconsin/attorneys/robert-keenan/reviews/page/17/</t>
  </si>
  <si>
    <t>https://www.sterlinglawyers.com/wisconsin/attorneys/austin-miller/reviews/page/17/</t>
  </si>
  <si>
    <t>https://www.sterlinglawyers.com/wisconsin/attorneys/michelle-gordon/reviews/page/17/</t>
  </si>
  <si>
    <t>https://www.sterlinglawyers.com/wisconsin/attorneys/nikole-messerschmidt/reviews/page/17/</t>
  </si>
  <si>
    <t>https://www.sterlinglawyers.com/wisconsin/attorneys/jack-braaten/reviews/page/16/</t>
  </si>
  <si>
    <t>https://www.sterlinglawyers.com/wisconsin/attorneys/holly-mullin/reviews/page/16/</t>
  </si>
  <si>
    <t>https://www.sterlinglawyers.com/wisconsin/attorneys/holly-mullin/reviews/page/17/</t>
  </si>
  <si>
    <t>https://www.sterlinglawyers.com/wisconsin/attorneys/tiffany-vogel/reviews/page/36/</t>
  </si>
  <si>
    <t>https://www.sterlinglawyers.com/wisconsin/attorneys/kathleen-curran/reviews/page/16/</t>
  </si>
  <si>
    <t>https://www.sterlinglawyers.com/wisconsin/attorneys/kathleen-curran/reviews/page/17/</t>
  </si>
  <si>
    <t>https://www.sterlinglawyers.com/wisconsin/attorneys/kathleen-curran/reviews/page/23/</t>
  </si>
  <si>
    <t>https://www.sterlinglawyers.com/wisconsin/attorneys/ellen-rhodeman/reviews/page/41/</t>
  </si>
  <si>
    <t>https://www.sterlinglawyers.com/wisconsin/attorneys/ellen-rhodeman/reviews/page/42/</t>
  </si>
  <si>
    <t>https://www.sterlinglawyers.com/wisconsin/attorneys/austin-miller/reviews/page/21/</t>
  </si>
  <si>
    <t>https://www.sterlinglawyers.com/wisconsin/attorneys/austin-miller/reviews/page/16/</t>
  </si>
  <si>
    <t>https://www.sterlinglawyers.com/illinois/attorneys/alexandra-isroff/reviews/page/25/</t>
  </si>
  <si>
    <t>https://www.sterlinglawyers.com/wisconsin/attorneys/robert-keenan/reviews/page/16/</t>
  </si>
  <si>
    <t>https://www.sterlinglawyers.com/illinois/attorneys/alexandra-isroff/reviews/page/26/</t>
  </si>
  <si>
    <t>https://www.sterlinglawyers.com/illinois/attorneys/alexandra-isroff/reviews/page/20/</t>
  </si>
  <si>
    <t>https://www.sterlinglawyers.com/blog/wisdom-from-attorney-knighton/guardian-ad-litem-process/</t>
  </si>
  <si>
    <t>IEP Meetings and Guardian Ad Litem | Sterling Lawyers, LLC</t>
  </si>
  <si>
    <t>https://www.sterlinglawyers.com/wisdom-from-attorney-knighton/how-to-plan-for-retirement-divorce/</t>
  </si>
  <si>
    <t>How to Plan for Retirement &amp; Divorce | Sterling Lawyers, LLC</t>
  </si>
  <si>
    <t>https://www.sterlinglawyers.com/wisdom-from-attorney-knighton/what-is-disability-insurance-in-divorce/</t>
  </si>
  <si>
    <t>What is Disability Insurance in Divorce? | Sterling Lawyers, LLC</t>
  </si>
  <si>
    <t>https://www.sterlinglawyers.com/wisconsin/attorneys/kathleen-curran/reviews/page/22/</t>
  </si>
  <si>
    <t>https://www.sterlinglawyers.com/blog/page/7/?et_blog</t>
  </si>
  <si>
    <t>https://www.sterlinglawyers.com/wisconsin/attorneys/austin-miller/reviews/page/22/</t>
  </si>
  <si>
    <t>https://www.sterlinglawyers.com/wisconsin/attorneys/ellen-rhodeman/reviews/page/16/</t>
  </si>
  <si>
    <t>https://www.sterlinglawyers.com/wisconsin/attorneys/ellen-rhodeman/reviews/page/17/</t>
  </si>
  <si>
    <t>https://www.sterlinglawyers.com/illinois/attorneys/alexandra-isroff/reviews/page/21/</t>
  </si>
  <si>
    <t>https://www.sterlinglawyers.com/wisconsin/reviews/page/214/</t>
  </si>
  <si>
    <t>https://www.sterlinglawyers.com/wisconsin/reviews/page/19/</t>
  </si>
  <si>
    <t>https://www.sterlinglawyers.com/wisconsin/reviews/page/20/</t>
  </si>
  <si>
    <t>https://www.sterlinglawyers.com/wisconsin/reviews/page/21/</t>
  </si>
  <si>
    <t>https://www.sterlinglawyers.com/meet-us/css-kelley-shaw/</t>
  </si>
  <si>
    <t>Meet CSS MGR Kelley Shaw | Sterling Lawyers, LLC</t>
  </si>
  <si>
    <t>https://www.sterlinglawyers.com/blog/page/8/?et_blog</t>
  </si>
  <si>
    <t>https://www.sterlinglawyers.com/wisconsin/attorneys/kathleen-curran/reviews/page/20/</t>
  </si>
  <si>
    <t>https://www.sterlinglawyers.com/wisconsin/reviews/page/18/</t>
  </si>
  <si>
    <t>https://www.sterlinglawyers.com/illinois/attorneys/alexandra-isroff/reviews/page/23/</t>
  </si>
  <si>
    <t>https://www.sterlinglawyers.com/illinois/attorneys/alexandra-isroff/reviews/page/24/</t>
  </si>
  <si>
    <t>https://www.sterlinglawyers.com/wisconsin/attorneys/ellen-rhodeman/reviews/page/19/</t>
  </si>
  <si>
    <t>https://www.sterlinglawyers.com/wisconsin/attorneys/ellen-rhodeman/reviews/page/18/</t>
  </si>
  <si>
    <t>https://www.sterlinglawyers.com/wisconsin/attorneys/austin-miller/reviews/page/20/</t>
  </si>
  <si>
    <t>https://www.sterlinglawyers.com/wisconsin/attorneys/kathleen-curran/reviews/page/19/</t>
  </si>
  <si>
    <t>https://www.sterlinglawyers.com/wisconsin/attorneys/kathleen-curran/reviews/page/18/</t>
  </si>
  <si>
    <t>https://www.sterlinglawyers.com/wisconsin/attorneys/holly-mullin/reviews/page/19/</t>
  </si>
  <si>
    <t>https://www.sterlinglawyers.com/wisconsin/attorneys/ellen-rhodeman/reviews/page/40/</t>
  </si>
  <si>
    <t>https://www.sterlinglawyers.com/wisconsin/attorneys/ellen-rhodeman/reviews/page/39/</t>
  </si>
  <si>
    <t>https://www.sterlinglawyers.com/wisconsin/attorneys/austin-miller/reviews/page/18/</t>
  </si>
  <si>
    <t>https://www.sterlinglawyers.com/wisconsin/attorneys/nikole-messerschmidt/reviews/page/19/</t>
  </si>
  <si>
    <t>https://www.sterlinglawyers.com/wisconsin/attorneys/robert-keenan/reviews/page/18/</t>
  </si>
  <si>
    <t>https://www.sterlinglawyers.com/illinois/attorneys/alexandra-isroff/reviews/page/22/</t>
  </si>
  <si>
    <t>https://www.sterlinglawyers.com/wisconsin/attorneys/robert-keenan/reviews/page/19/</t>
  </si>
  <si>
    <t>https://www.sterlinglawyers.com/wisconsin/attorneys/jeffrey-morrell/reviews/page/18/</t>
  </si>
  <si>
    <t>https://www.sterlinglawyers.com/wisconsin/attorneys/kathleen-curran/reviews/page/21/</t>
  </si>
  <si>
    <t>https://www.sterlinglawyers.com/wisconsin/attorneys/holly-mullin/reviews/page/34/</t>
  </si>
  <si>
    <t>https://www.sterlinglawyers.com/wisconsin/attorneys/jeffrey-morrell/reviews/page/59/</t>
  </si>
  <si>
    <t>https://www.sterlinglawyers.com/wisconsin/attorneys/robert-keenan/reviews/page/22/</t>
  </si>
  <si>
    <t>https://www.sterlinglawyers.com/wisconsin/attorneys/holly-mullin/reviews/page/18/</t>
  </si>
  <si>
    <t>https://www.sterlinglawyers.com/wisconsin/attorneys/tiffany-vogel/reviews/page/33/</t>
  </si>
  <si>
    <t>https://www.sterlinglawyers.com/wisconsin/attorneys/tiffany-vogel/reviews/page/34/</t>
  </si>
  <si>
    <t>https://www.sterlinglawyers.com/wisconsin/attorneys/nikole-messerschmidt/reviews/page/18/</t>
  </si>
  <si>
    <t>https://www.sterlinglawyers.com/wisconsin/attorneys/tiffany-vogel/reviews/page/18/</t>
  </si>
  <si>
    <t>https://www.sterlinglawyers.com/wisconsin/attorneys/tiffany-vogel/reviews/page/19/</t>
  </si>
  <si>
    <t>https://www.sterlinglawyers.com/wisconsin/attorneys/michelle-gordon/reviews/page/19/</t>
  </si>
  <si>
    <t>https://www.sterlinglawyers.com/wisconsin/attorneys/austin-miller/reviews/page/19/</t>
  </si>
  <si>
    <t>https://www.sterlinglawyers.com/wisconsin/attorneys/jeffrey-morrell/reviews/page/19/</t>
  </si>
  <si>
    <t>https://www.sterlinglawyers.com/wisconsin/attorneys/jeffrey-morrell/reviews/page/58/</t>
  </si>
  <si>
    <t>https://www.sterlinglawyers.com/wisconsin/attorneys/robert-keenan/reviews/page/23/</t>
  </si>
  <si>
    <t>https://www.sterlinglawyers.com/wisconsin/attorneys/nikole-messerschmidt/reviews/page/38/</t>
  </si>
  <si>
    <t>https://www.sterlinglawyers.com/wisconsin/attorneys/nikole-messerschmidt/reviews/page/37/</t>
  </si>
  <si>
    <t>https://www.sterlinglawyers.com/wisconsin/attorneys/holly-mullin/reviews/page/35/</t>
  </si>
  <si>
    <t>https://www.sterlinglawyers.com/wisconsin/reviews/page/211/</t>
  </si>
  <si>
    <t>https://www.sterlinglawyers.com/wisconsin/reviews/page/212/</t>
  </si>
  <si>
    <t>https://www.sterlinglawyers.com/illinois/attorneys/nina-kelly/reviews/page/23/</t>
  </si>
  <si>
    <t>https://www.sterlinglawyers.com/illinois/attorneys/nina-kelly/reviews/page/22/</t>
  </si>
  <si>
    <t>https://www.sterlinglawyers.com/reviews/page/23/</t>
  </si>
  <si>
    <t>https://www.sterlinglawyers.com/illinois/attorneys/nina-kelly/reviews/page/25/</t>
  </si>
  <si>
    <t>https://www.sterlinglawyers.com/reviews/page/210/</t>
  </si>
  <si>
    <t>https://www.sterlinglawyers.com/illinois/reviews/page/23/</t>
  </si>
  <si>
    <t>https://www.sterlinglawyers.com/illinois/reviews/page/22/</t>
  </si>
  <si>
    <t>https://www.sterlinglawyers.com/illinois/reviews/page/210/</t>
  </si>
  <si>
    <t>https://www.sterlinglawyers.com/news/page/6/?et_blog</t>
  </si>
  <si>
    <t>https://www.sterlinglawyers.com/reviews/page/211/</t>
  </si>
  <si>
    <t>https://www.sterlinglawyers.com/wisconsin/blog/page/11/?et_blog</t>
  </si>
  <si>
    <t>https://www.sterlinglawyers.com/reviews/page/22/</t>
  </si>
  <si>
    <t>https://www.sterlinglawyers.com/wisconsin/attorneys/michelle-gordon/reviews/page/18/</t>
  </si>
  <si>
    <t>https://www.sterlinglawyers.com/illinois/attorneys/nina-kelly/reviews/page/26/</t>
  </si>
  <si>
    <t>https://www.sterlinglawyers.com/news/page/7/?et_blog</t>
  </si>
  <si>
    <t>https://www.sterlinglawyers.com/wisdom-from-attorney-knighton/achieving-goals-with-the-help-of-a-coach/</t>
  </si>
  <si>
    <t>Achieving Goals With the Help of a Coach | Sterling Lawyers, LLC</t>
  </si>
  <si>
    <t>https://www.sterlinglawyers.com/illinois/reviews/page/208/</t>
  </si>
  <si>
    <t>https://www.sterlinglawyers.com/illinois/reviews/page/25/</t>
  </si>
  <si>
    <t>https://www.sterlinglawyers.com/reviews/page/209/</t>
  </si>
  <si>
    <t>https://www.sterlinglawyers.com/reviews/page/208/</t>
  </si>
  <si>
    <t>https://www.sterlinglawyers.com/reviews/page/24/</t>
  </si>
  <si>
    <t>https://www.sterlinglawyers.com/illinois/attorneys/nina-kelly/reviews/page/24/</t>
  </si>
  <si>
    <t>https://www.sterlinglawyers.com/wisconsin/reviews/page/209/</t>
  </si>
  <si>
    <t>https://www.sterlinglawyers.com/illinois/reviews/page/209/</t>
  </si>
  <si>
    <t>https://www.sterlinglawyers.com/illinois/reviews/page/207/</t>
  </si>
  <si>
    <t>https://www.sterlinglawyers.com/wisconsin/attorneys/nikole-messerschmidt/reviews/page/35/</t>
  </si>
  <si>
    <t>https://www.sterlinglawyers.com/wisconsin/blog/page/12/?et_blog</t>
  </si>
  <si>
    <t>https://www.sterlinglawyers.com/wisconsin/attorneys/jeffrey-morrell/reviews/page/56/</t>
  </si>
  <si>
    <t>https://www.sterlinglawyers.com/wisconsin/attorneys/jeffrey-morrell/reviews/page/21/</t>
  </si>
  <si>
    <t>https://www.sterlinglawyers.com/wisconsin/attorneys/tiffany-vogel/reviews/page/21/</t>
  </si>
  <si>
    <t>https://www.sterlinglawyers.com/wisconsin/attorneys/tiffany-vogel/reviews/page/20/</t>
  </si>
  <si>
    <t>https://www.sterlinglawyers.com/illinois/reviews/page/24/</t>
  </si>
  <si>
    <t>https://www.sterlinglawyers.com/wisconsin/attorneys/tiffany-vogel/reviews/page/31/</t>
  </si>
  <si>
    <t>https://www.sterlinglawyers.com/wisconsin/attorneys/tiffany-vogel/reviews/page/32/</t>
  </si>
  <si>
    <t>https://www.sterlinglawyers.com/wisconsin/attorneys/holly-mullin/reviews/page/32/</t>
  </si>
  <si>
    <t>https://www.sterlinglawyers.com/wisconsin/attorneys/holly-mullin/reviews/page/33/</t>
  </si>
  <si>
    <t>https://www.sterlinglawyers.com/reviews/page/25/</t>
  </si>
  <si>
    <t>https://www.sterlinglawyers.com/wisconsin/attorneys/jeffrey-morrell/reviews/page/20/</t>
  </si>
  <si>
    <t>https://www.sterlinglawyers.com/wisconsin/attorneys/robert-keenan/reviews/page/21/</t>
  </si>
  <si>
    <t>https://www.sterlinglawyers.com/wisconsin/attorneys/nikole-messerschmidt/reviews/page/21/</t>
  </si>
  <si>
    <t>https://www.sterlinglawyers.com/wisconsin/attorneys/nikole-messerschmidt/reviews/page/20/</t>
  </si>
  <si>
    <t>https://www.sterlinglawyers.com/wisconsin/attorneys/nikole-messerschmidt/reviews/page/36/</t>
  </si>
  <si>
    <t>https://www.sterlinglawyers.com/wisconsin/reviews/page/210/</t>
  </si>
  <si>
    <t>https://www.sterlinglawyers.com/wisconsin/attorneys/holly-mullin/reviews/page/20/</t>
  </si>
  <si>
    <t>https://www.sterlinglawyers.com/wisconsin/attorneys/jeffrey-morrell/reviews/page/57/</t>
  </si>
  <si>
    <t>https://www.sterlinglawyers.com/wisconsin/attorneys/ellen-rhodeman/reviews/page/37/</t>
  </si>
  <si>
    <t>https://www.sterlinglawyers.com/wisconsin/attorneys/ellen-rhodeman/reviews/page/38/</t>
  </si>
  <si>
    <t>https://www.sterlinglawyers.com/case-law/</t>
  </si>
  <si>
    <t>Case Law Friday | Sterling Lawyers, LLC</t>
  </si>
  <si>
    <t>https://www.sterlinglawyers.com/wisdom-from-attorney-knighton/</t>
  </si>
  <si>
    <t>Wisdom from Attorney Knighton | Sterling Lawyers, LLC</t>
  </si>
  <si>
    <t>https://www.sterlinglawyers.com/wisconsin/attorneys/robert-keenan/reviews/page/20/</t>
  </si>
  <si>
    <t>https://www.sterlinglawyers.com/meet-us/</t>
  </si>
  <si>
    <t>Meet Us Monday | Sterling Lawyers, LLC</t>
  </si>
  <si>
    <t>https://www.sterlinglawyers.com/blog/blog/</t>
  </si>
  <si>
    <t>https://www.sterlinglawyers.com/wisconsin/reviews/page/23/</t>
  </si>
  <si>
    <t>https://www.sterlinglawyers.com/wisconsin/reviews/page/22/</t>
  </si>
  <si>
    <t>https://www.sterlinglawyers.com/flourishing-families/</t>
  </si>
  <si>
    <t>Flourishing Families | Sterling Lawyers, LLC</t>
  </si>
  <si>
    <t>https://www.sterlinglawyers.com/flourishing-families/page/2/?et_blog</t>
  </si>
  <si>
    <t>https://www.sterlinglawyers.com/wisconsin/reviews/page/24/</t>
  </si>
  <si>
    <t>https://www.sterlinglawyers.com/wisconsin/attorneys/ellen-rhodeman/reviews/page/20/</t>
  </si>
  <si>
    <t>https://www.sterlinglawyers.com/wisconsin/attorneys/ellen-rhodeman/reviews/page/21/</t>
  </si>
  <si>
    <t>https://www.sterlinglawyers.com/wisconsin/attorneys/holly-mullin/reviews/page/21/</t>
  </si>
  <si>
    <t>https://www.sterlinglawyers.com/wisconsin/attorneys/holly-mullin/reviews/page/23/</t>
  </si>
  <si>
    <t>https://www.sterlinglawyers.com/wisdom-from-attorney-knighton/page/2/?et_blog</t>
  </si>
  <si>
    <t>https://www.sterlinglawyers.com/case-law/page/2/?et_blog</t>
  </si>
  <si>
    <t>https://www.sterlinglawyers.com/wisconsin/attorneys/ellen-rhodeman/reviews/page/23/</t>
  </si>
  <si>
    <t>https://www.sterlinglawyers.com/wisconsin/attorneys/ellen-rhodeman/reviews/page/22/</t>
  </si>
  <si>
    <t>https://www.sterlinglawyers.com/wisconsin/attorneys/holly-mullin/reviews/page/22/</t>
  </si>
  <si>
    <t>https://www.sterlinglawyers.com/wisconsin/attorneys/nikole-messerschmidt/reviews/page/23/</t>
  </si>
  <si>
    <t>https://www.sterlinglawyers.com/wisconsin/reviews/page/25/</t>
  </si>
  <si>
    <t>https://www.sterlinglawyers.com/meet-us/page/2/?et_blog</t>
  </si>
  <si>
    <t>https://www.sterlinglawyers.com/wisconsin/attorneys/holly-mullin/reviews/page/30/</t>
  </si>
  <si>
    <t>https://www.sterlinglawyers.com/reviews/page/27/</t>
  </si>
  <si>
    <t>https://www.sterlinglawyers.com/wisconsin/attorneys/tiffany-vogel/reviews/page/30/</t>
  </si>
  <si>
    <t>https://www.sterlinglawyers.com/wisconsin/attorneys/ellen-rhodeman/reviews/page/35/</t>
  </si>
  <si>
    <t>https://www.sterlinglawyers.com/wisconsin/attorneys/tiffany-vogel/reviews/page/22/</t>
  </si>
  <si>
    <t>https://www.sterlinglawyers.com/wisconsin/attorneys/tiffany-vogel/reviews/page/23/</t>
  </si>
  <si>
    <t>https://www.sterlinglawyers.com/wisconsin/attorneys/ellen-rhodeman/reviews/page/36/</t>
  </si>
  <si>
    <t>https://www.sterlinglawyers.com/wisconsin/attorneys/jeffrey-morrell/reviews/page/23/</t>
  </si>
  <si>
    <t>https://www.sterlinglawyers.com/wisconsin/attorneys/nikole-messerschmidt/reviews/page/22/</t>
  </si>
  <si>
    <t>https://www.sterlinglawyers.com/wisconsin/attorneys/jeffrey-morrell/reviews/page/54/</t>
  </si>
  <si>
    <t>https://www.sterlinglawyers.com/wisconsin/attorneys/holly-mullin/reviews/page/31/</t>
  </si>
  <si>
    <t>https://www.sterlinglawyers.com/wisconsin/attorneys/tiffany-vogel/reviews/page/29/</t>
  </si>
  <si>
    <t>https://www.sterlinglawyers.com/wisconsin/attorneys/jeffrey-morrell/reviews/page/22/</t>
  </si>
  <si>
    <t>https://www.sterlinglawyers.com/wisconsin/blog/page/13/?et_blog</t>
  </si>
  <si>
    <t>https://www.sterlinglawyers.com/wisconsin/attorneys/jeffrey-morrell/reviews/page/55/</t>
  </si>
  <si>
    <t>https://www.sterlinglawyers.com/wisconsin/attorneys/nikole-messerschmidt/reviews/page/34/</t>
  </si>
  <si>
    <t>https://www.sterlinglawyers.com/wisconsin/attorneys/nikole-messerschmidt/reviews/page/33/</t>
  </si>
  <si>
    <t>https://www.sterlinglawyers.com/illinois/reviews/page/205/</t>
  </si>
  <si>
    <t>https://www.sterlinglawyers.com/wisconsin/reviews/page/208/</t>
  </si>
  <si>
    <t>https://www.sterlinglawyers.com/wisconsin/reviews/page/207/</t>
  </si>
  <si>
    <t>https://www.sterlinglawyers.com/reviews/page/206/</t>
  </si>
  <si>
    <t>https://www.sterlinglawyers.com/reviews/page/207/</t>
  </si>
  <si>
    <t>https://www.sterlinglawyers.com/illinois/reviews/page/26/</t>
  </si>
  <si>
    <t>https://www.sterlinglawyers.com/illinois/reviews/page/27/</t>
  </si>
  <si>
    <t>https://www.sterlinglawyers.com/news/page/8/?et_blog</t>
  </si>
  <si>
    <t>https://www.sterlinglawyers.com/meet-us/css-mary-sankey/</t>
  </si>
  <si>
    <t>Meet CSS Training MGR Mary Sankey | Sterling Lawyers, LLC</t>
  </si>
  <si>
    <t>https://www.sterlinglawyers.com/illinois/reviews/page/206/</t>
  </si>
  <si>
    <t>https://www.sterlinglawyers.com/meet-us/?et_blog</t>
  </si>
  <si>
    <t>https://www.sterlinglawyers.com/meet-us/page/3/?et_blog</t>
  </si>
  <si>
    <t>https://www.sterlinglawyers.com/wisconsin/reviews/page/27/</t>
  </si>
  <si>
    <t>https://www.sterlinglawyers.com/wisconsin/attorneys/nikole-messerschmidt/reviews/page/25/</t>
  </si>
  <si>
    <t>https://www.sterlinglawyers.com/wisconsin/attorneys/nikole-messerschmidt/reviews/page/24/</t>
  </si>
  <si>
    <t>https://www.sterlinglawyers.com/case-law/page/3/?et_blog</t>
  </si>
  <si>
    <t>https://www.sterlinglawyers.com/wisdom-from-attorney-knighton/?et_blog</t>
  </si>
  <si>
    <t>https://www.sterlinglawyers.com/case-law/?et_blog</t>
  </si>
  <si>
    <t>https://www.sterlinglawyers.com/wisdom-from-attorney-knighton/page/3/?et_blog</t>
  </si>
  <si>
    <t>https://www.sterlinglawyers.com/wisconsin/attorneys/holly-mullin/reviews/page/24/</t>
  </si>
  <si>
    <t>https://www.sterlinglawyers.com/wisconsin/attorneys/holly-mullin/reviews/page/25/</t>
  </si>
  <si>
    <t>https://www.sterlinglawyers.com/flourishing-families/?et_blog</t>
  </si>
  <si>
    <t>https://www.sterlinglawyers.com/flourishing-families/page/3/?et_blog</t>
  </si>
  <si>
    <t>https://www.sterlinglawyers.com/flourishing-families/parenting-coaching/</t>
  </si>
  <si>
    <t>What are the Benefits of Parenting Coaching? | Sterling Lawyers, LLC</t>
  </si>
  <si>
    <t>https://www.sterlinglawyers.com/illinois/reviews/page/29/</t>
  </si>
  <si>
    <t>https://www.sterlinglawyers.com/illinois/reviews/page/28/</t>
  </si>
  <si>
    <t>https://www.sterlinglawyers.com/wisconsin/attorneys/ellen-rhodeman/reviews/page/24/</t>
  </si>
  <si>
    <t>https://www.sterlinglawyers.com/reviews/page/205/</t>
  </si>
  <si>
    <t>https://www.sterlinglawyers.com/reviews/page/204/</t>
  </si>
  <si>
    <t>https://www.sterlinglawyers.com/wisconsin/reviews/page/205/</t>
  </si>
  <si>
    <t>https://www.sterlinglawyers.com/illinois/reviews/page/203/</t>
  </si>
  <si>
    <t>https://www.sterlinglawyers.com/illinois/reviews/page/204/</t>
  </si>
  <si>
    <t>https://www.sterlinglawyers.com/wisconsin/attorneys/nikole-messerschmidt/reviews/page/31/</t>
  </si>
  <si>
    <t>https://www.sterlinglawyers.com/wisconsin/attorneys/ellen-rhodeman/reviews/page/25/</t>
  </si>
  <si>
    <t>https://www.sterlinglawyers.com/reviews/page/26/</t>
  </si>
  <si>
    <t>https://www.sterlinglawyers.com/wisconsin/attorneys/nikole-messerschmidt/reviews/page/32/</t>
  </si>
  <si>
    <t>https://www.sterlinglawyers.com/wisconsin/blog/page/14/?et_blog</t>
  </si>
  <si>
    <t>https://www.sterlinglawyers.com/wisconsin/attorneys/tiffany-vogel/reviews/page/27/</t>
  </si>
  <si>
    <t>https://www.sterlinglawyers.com/wisconsin/attorneys/jeffrey-morrell/reviews/page/53/</t>
  </si>
  <si>
    <t>https://www.sterlinglawyers.com/wisconsin/attorneys/jeffrey-morrell/reviews/page/24/</t>
  </si>
  <si>
    <t>https://www.sterlinglawyers.com/wisconsin/attorneys/jeffrey-morrell/reviews/page/52/</t>
  </si>
  <si>
    <t>https://www.sterlinglawyers.com/wisconsin/reviews/page/26/</t>
  </si>
  <si>
    <t>https://www.sterlinglawyers.com/wisconsin/reviews/page/206/</t>
  </si>
  <si>
    <t>https://www.sterlinglawyers.com/wisconsin/attorneys/ellen-rhodeman/reviews/page/33/</t>
  </si>
  <si>
    <t>https://www.sterlinglawyers.com/wisconsin/attorneys/tiffany-vogel/reviews/page/25/</t>
  </si>
  <si>
    <t>https://www.sterlinglawyers.com/wisconsin/attorneys/tiffany-vogel/reviews/page/28/</t>
  </si>
  <si>
    <t>https://www.sterlinglawyers.com/reviews/page/28/</t>
  </si>
  <si>
    <t>https://www.sterlinglawyers.com/wisconsin/attorneys/jeffrey-morrell/reviews/page/25/</t>
  </si>
  <si>
    <t>https://www.sterlinglawyers.com/reviews/page/29/</t>
  </si>
  <si>
    <t>https://www.sterlinglawyers.com/wisconsin/attorneys/tiffany-vogel/reviews/page/24/</t>
  </si>
  <si>
    <t>https://www.sterlinglawyers.com/wisconsin/attorneys/holly-mullin/reviews/page/28/</t>
  </si>
  <si>
    <t>https://www.sterlinglawyers.com/wisconsin/attorneys/holly-mullin/reviews/page/29/</t>
  </si>
  <si>
    <t>https://www.sterlinglawyers.com/reviews/page/31/</t>
  </si>
  <si>
    <t>https://www.sterlinglawyers.com/wisconsin/attorneys/jeffrey-morrell/reviews/page/27/</t>
  </si>
  <si>
    <t>https://www.sterlinglawyers.com/reviews/page/30/</t>
  </si>
  <si>
    <t>https://www.sterlinglawyers.com/wisconsin/attorneys/jeffrey-morrell/reviews/page/50/</t>
  </si>
  <si>
    <t>https://www.sterlinglawyers.com/wisconsin/attorneys/ellen-rhodeman/reviews/page/34/</t>
  </si>
  <si>
    <t>https://www.sterlinglawyers.com/wisconsin/attorneys/jeffrey-morrell/reviews/page/26/</t>
  </si>
  <si>
    <t>https://www.sterlinglawyers.com/wisconsin/attorneys/ellen-rhodeman/reviews/page/32/</t>
  </si>
  <si>
    <t>https://www.sterlinglawyers.com/wisconsin/attorneys/ellen-rhodeman/reviews/page/31/</t>
  </si>
  <si>
    <t>https://www.sterlinglawyers.com/wisconsin/attorneys/tiffany-vogel/reviews/page/26/</t>
  </si>
  <si>
    <t>https://www.sterlinglawyers.com/wisconsin/attorneys/jeffrey-morrell/reviews/page/51/</t>
  </si>
  <si>
    <t>https://www.sterlinglawyers.com/wisconsin/attorneys/nikole-messerschmidt/reviews/page/29/</t>
  </si>
  <si>
    <t>https://www.sterlinglawyers.com/wisconsin/attorneys/nikole-messerschmidt/reviews/page/30/</t>
  </si>
  <si>
    <t>https://www.sterlinglawyers.com/illinois/reviews/page/202/</t>
  </si>
  <si>
    <t>https://www.sterlinglawyers.com/illinois/reviews/page/201/</t>
  </si>
  <si>
    <t>https://www.sterlinglawyers.com/wisconsin/reviews/page/204/</t>
  </si>
  <si>
    <t>https://www.sterlinglawyers.com/reviews/page/202/</t>
  </si>
  <si>
    <t>https://www.sterlinglawyers.com/wisconsin/reviews/page/203/</t>
  </si>
  <si>
    <t>https://www.sterlinglawyers.com/reviews/page/203/</t>
  </si>
  <si>
    <t>https://www.sterlinglawyers.com/illinois/reviews/page/30/</t>
  </si>
  <si>
    <t>https://www.sterlinglawyers.com/illinois/reviews/page/31/</t>
  </si>
  <si>
    <t>https://www.sterlinglawyers.com/flourishing-families/page/4/?et_blog</t>
  </si>
  <si>
    <t>https://www.sterlinglawyers.com/wisconsin/attorneys/holly-mullin/reviews/page/27/</t>
  </si>
  <si>
    <t>https://www.sterlinglawyers.com/wisconsin/attorneys/holly-mullin/reviews/page/26/</t>
  </si>
  <si>
    <t>https://www.sterlinglawyers.com/wisdom-from-attorney-knighton/page/4/?et_blog</t>
  </si>
  <si>
    <t>https://www.sterlinglawyers.com/case-law/page/4/?et_blog</t>
  </si>
  <si>
    <t>https://www.sterlinglawyers.com/wisconsin/attorneys/nikole-messerschmidt/reviews/page/27/</t>
  </si>
  <si>
    <t>https://www.sterlinglawyers.com/wisconsin/attorneys/nikole-messerschmidt/reviews/page/26/</t>
  </si>
  <si>
    <t>https://www.sterlinglawyers.com/wisconsin/reviews/page/28/</t>
  </si>
  <si>
    <t>https://www.sterlinglawyers.com/wisconsin/reviews/page/29/</t>
  </si>
  <si>
    <t>https://www.sterlinglawyers.com/meet-us/page/4/?et_blog</t>
  </si>
  <si>
    <t>https://www.sterlinglawyers.com/wisconsin/reviews/page/31/</t>
  </si>
  <si>
    <t>https://www.sterlinglawyers.com/meet-us/page/5/?et_blog</t>
  </si>
  <si>
    <t>https://www.sterlinglawyers.com/wisconsin/reviews/page/30/</t>
  </si>
  <si>
    <t>https://www.sterlinglawyers.com/case-law/page/5/?et_blog</t>
  </si>
  <si>
    <t>https://www.sterlinglawyers.com/wisdom-from-attorney-knighton/page/5/?et_blog</t>
  </si>
  <si>
    <t>https://www.sterlinglawyers.com/flourishing-families/page/5/?et_blog</t>
  </si>
  <si>
    <t>https://www.sterlinglawyers.com/illinois/reviews/page/33/</t>
  </si>
  <si>
    <t>https://www.sterlinglawyers.com/wisconsin/attorneys/ellen-rhodeman/reviews/page/27/</t>
  </si>
  <si>
    <t>https://www.sterlinglawyers.com/wisconsin/reviews/page/201/</t>
  </si>
  <si>
    <t>https://www.sterlinglawyers.com/wisconsin/attorneys/ellen-rhodeman/reviews/page/26/</t>
  </si>
  <si>
    <t>https://www.sterlinglawyers.com/wisconsin/blog/page/15/?et_blog</t>
  </si>
  <si>
    <t>https://www.sterlinglawyers.com/reviews/page/201/</t>
  </si>
  <si>
    <t>https://www.sterlinglawyers.com/wisconsin/attorneys/ellen-rhodeman/reviews/page/28/</t>
  </si>
  <si>
    <t>https://www.sterlinglawyers.com/wisconsin/reviews/page/202/</t>
  </si>
  <si>
    <t>https://www.sterlinglawyers.com/illinois/reviews/page/199/</t>
  </si>
  <si>
    <t>https://www.sterlinglawyers.com/illinois/reviews/page/200/</t>
  </si>
  <si>
    <t>https://www.sterlinglawyers.com/wisconsin/attorneys/nikole-messerschmidt/reviews/page/28/</t>
  </si>
  <si>
    <t>https://www.sterlinglawyers.com/illinois/reviews/page/32/</t>
  </si>
  <si>
    <t>https://www.sterlinglawyers.com/wisconsin/attorneys/jeffrey-morrell/reviews/page/49/</t>
  </si>
  <si>
    <t>https://www.sterlinglawyers.com/wisconsin/attorneys/jeffrey-morrell/reviews/page/48/</t>
  </si>
  <si>
    <t>https://www.sterlinglawyers.com/wisconsin/attorneys/jeffrey-morrell/reviews/page/29/</t>
  </si>
  <si>
    <t>https://www.sterlinglawyers.com/wisconsin/attorneys/jeffrey-morrell/reviews/page/28/</t>
  </si>
  <si>
    <t>https://www.sterlinglawyers.com/wisconsin/blog/page/16/?et_blog</t>
  </si>
  <si>
    <t>https://www.sterlinglawyers.com/reviews/page/200/</t>
  </si>
  <si>
    <t>https://www.sterlinglawyers.com/wisconsin/attorneys/ellen-rhodeman/reviews/page/29/</t>
  </si>
  <si>
    <t>https://www.sterlinglawyers.com/reviews/page/33/</t>
  </si>
  <si>
    <t>https://www.sterlinglawyers.com/wisconsin/attorneys/ellen-rhodeman/reviews/page/30/</t>
  </si>
  <si>
    <t>https://www.sterlinglawyers.com/reviews/page/198/</t>
  </si>
  <si>
    <t>https://www.sterlinglawyers.com/reviews/page/32/</t>
  </si>
  <si>
    <t>https://www.sterlinglawyers.com/reviews/page/35/</t>
  </si>
  <si>
    <t>https://www.sterlinglawyers.com/reviews/page/34/</t>
  </si>
  <si>
    <t>https://www.sterlinglawyers.com/wisconsin/attorneys/jeffrey-morrell/reviews/page/30/</t>
  </si>
  <si>
    <t>https://www.sterlinglawyers.com/wisconsin/attorneys/jeffrey-morrell/reviews/page/46/</t>
  </si>
  <si>
    <t>https://www.sterlinglawyers.com/illinois/reviews/page/198/</t>
  </si>
  <si>
    <t>https://www.sterlinglawyers.com/reviews/page/199/</t>
  </si>
  <si>
    <t>https://www.sterlinglawyers.com/illinois/reviews/page/197/</t>
  </si>
  <si>
    <t>https://www.sterlinglawyers.com/wisconsin/reviews/page/200/</t>
  </si>
  <si>
    <t>https://www.sterlinglawyers.com/wisconsin/attorneys/jeffrey-morrell/reviews/page/31/</t>
  </si>
  <si>
    <t>https://www.sterlinglawyers.com/wisconsin/attorneys/jeffrey-morrell/reviews/page/47/</t>
  </si>
  <si>
    <t>https://www.sterlinglawyers.com/illinois/reviews/page/35/</t>
  </si>
  <si>
    <t>https://www.sterlinglawyers.com/wisconsin/reviews/page/199/</t>
  </si>
  <si>
    <t>https://www.sterlinglawyers.com/meet-us/page/6/?et_blog</t>
  </si>
  <si>
    <t>https://www.sterlinglawyers.com/illinois/reviews/page/34/</t>
  </si>
  <si>
    <t>https://www.sterlinglawyers.com/wisconsin/reviews/page/32/</t>
  </si>
  <si>
    <t>https://www.sterlinglawyers.com/wisconsin/reviews/page/33/</t>
  </si>
  <si>
    <t>https://www.sterlinglawyers.com/wisconsin/reviews/page/34/</t>
  </si>
  <si>
    <t>https://www.sterlinglawyers.com/wisdom-from-attorney-knighton/page/6/?et_blog</t>
  </si>
  <si>
    <t>https://www.sterlinglawyers.com/wisconsin/reviews/page/35/</t>
  </si>
  <si>
    <t>https://www.sterlinglawyers.com/meet-us/page/7/?et_blog</t>
  </si>
  <si>
    <t>https://www.sterlinglawyers.com/wisdom-from-attorney-knighton/page/7/?et_blog</t>
  </si>
  <si>
    <t>https://www.sterlinglawyers.com/illinois/reviews/page/36/</t>
  </si>
  <si>
    <t>https://www.sterlinglawyers.com/illinois/reviews/page/37/</t>
  </si>
  <si>
    <t>https://www.sterlinglawyers.com/wisconsin/attorneys/jeffrey-morrell/reviews/page/33/</t>
  </si>
  <si>
    <t>https://www.sterlinglawyers.com/wisconsin/reviews/page/198/</t>
  </si>
  <si>
    <t>https://www.sterlinglawyers.com/flourishing-families/page/6/?et_blog</t>
  </si>
  <si>
    <t>https://www.sterlinglawyers.com/illinois/reviews/page/195/</t>
  </si>
  <si>
    <t>https://www.sterlinglawyers.com/flourishing-families/page/7/?et_blog</t>
  </si>
  <si>
    <t>https://www.sterlinglawyers.com/wisconsin/attorneys/jeffrey-morrell/reviews/page/45/</t>
  </si>
  <si>
    <t>https://www.sterlinglawyers.com/wisconsin/attorneys/jeffrey-morrell/reviews/page/44/</t>
  </si>
  <si>
    <t>https://www.sterlinglawyers.com/case-law/page/6/?et_blog</t>
  </si>
  <si>
    <t>https://www.sterlinglawyers.com/wisconsin/attorneys/jeffrey-morrell/reviews/page/32/</t>
  </si>
  <si>
    <t>https://www.sterlinglawyers.com/reviews/page/36/</t>
  </si>
  <si>
    <t>https://www.sterlinglawyers.com/case-law/page/7/?et_blog</t>
  </si>
  <si>
    <t>https://www.sterlinglawyers.com/reviews/page/37/</t>
  </si>
  <si>
    <t>https://www.sterlinglawyers.com/reviews/page/196/</t>
  </si>
  <si>
    <t>https://www.sterlinglawyers.com/reviews/page/39/</t>
  </si>
  <si>
    <t>https://www.sterlinglawyers.com/reviews/page/194/</t>
  </si>
  <si>
    <t>https://www.sterlinglawyers.com/reviews/page/195/</t>
  </si>
  <si>
    <t>https://www.sterlinglawyers.com/case-law/page/8/?et_blog</t>
  </si>
  <si>
    <t>https://www.sterlinglawyers.com/wisconsin/attorneys/jeffrey-morrell/reviews/page/42/</t>
  </si>
  <si>
    <t>https://www.sterlinglawyers.com/reviews/page/38/</t>
  </si>
  <si>
    <t>https://www.sterlinglawyers.com/flourishing-families/page/8/?et_blog</t>
  </si>
  <si>
    <t>https://www.sterlinglawyers.com/illinois/reviews/page/194/</t>
  </si>
  <si>
    <t>https://www.sterlinglawyers.com/illinois/reviews/page/193/</t>
  </si>
  <si>
    <t>https://www.sterlinglawyers.com/wisconsin/reviews/page/196/</t>
  </si>
  <si>
    <t>https://www.sterlinglawyers.com/wisconsin/reviews/page/197/</t>
  </si>
  <si>
    <t>https://www.sterlinglawyers.com/wisconsin/reviews/page/195/</t>
  </si>
  <si>
    <t>https://www.sterlinglawyers.com/wisconsin/attorneys/jeffrey-morrell/reviews/page/43/</t>
  </si>
  <si>
    <t>https://www.sterlinglawyers.com/illinois/reviews/page/196/</t>
  </si>
  <si>
    <t>https://www.sterlinglawyers.com/illinois/reviews/page/39/</t>
  </si>
  <si>
    <t>https://www.sterlinglawyers.com/illinois/reviews/page/38/</t>
  </si>
  <si>
    <t>https://www.sterlinglawyers.com/wisdom-from-attorney-knighton/page/8/?et_blog</t>
  </si>
  <si>
    <t>https://www.sterlinglawyers.com/meet-us/page/8/?et_blog</t>
  </si>
  <si>
    <t>https://www.sterlinglawyers.com/wisconsin/reviews/page/37/</t>
  </si>
  <si>
    <t>https://www.sterlinglawyers.com/wisconsin/reviews/page/36/</t>
  </si>
  <si>
    <t>https://www.sterlinglawyers.com/wisconsin/reviews/page/38/</t>
  </si>
  <si>
    <t>https://www.sterlinglawyers.com/wisconsin/reviews/page/39/</t>
  </si>
  <si>
    <t>https://www.sterlinglawyers.com/reviews/page/197/</t>
  </si>
  <si>
    <t>https://www.sterlinglawyers.com/illinois/reviews/page/40/</t>
  </si>
  <si>
    <t>https://www.sterlinglawyers.com/illinois/reviews/page/41/</t>
  </si>
  <si>
    <t>https://www.sterlinglawyers.com/wisconsin/reviews/page/193/</t>
  </si>
  <si>
    <t>https://www.sterlinglawyers.com/wisconsin/reviews/page/194/</t>
  </si>
  <si>
    <t>https://www.sterlinglawyers.com/wisconsin/attorneys/jeffrey-morrell/reviews/page/35/</t>
  </si>
  <si>
    <t>https://www.sterlinglawyers.com/illinois/reviews/page/191/</t>
  </si>
  <si>
    <t>https://www.sterlinglawyers.com/illinois/reviews/page/192/</t>
  </si>
  <si>
    <t>https://www.sterlinglawyers.com/wisconsin/attorneys/jeffrey-morrell/reviews/page/37/</t>
  </si>
  <si>
    <t>https://www.sterlinglawyers.com/wisconsin/attorneys/jeffrey-morrell/reviews/page/36/</t>
  </si>
  <si>
    <t>https://www.sterlinglawyers.com/wisconsin/attorneys/jeffrey-morrell/reviews/page/41/</t>
  </si>
  <si>
    <t>https://www.sterlinglawyers.com/wisconsin/attorneys/jeffrey-morrell/reviews/page/40/</t>
  </si>
  <si>
    <t>https://www.sterlinglawyers.com/reviews/page/193/</t>
  </si>
  <si>
    <t>https://www.sterlinglawyers.com/reviews/page/192/</t>
  </si>
  <si>
    <t>https://www.sterlinglawyers.com/reviews/page/40/</t>
  </si>
  <si>
    <t>https://www.sterlinglawyers.com/wisconsin/attorneys/jeffrey-morrell/reviews/page/34/</t>
  </si>
  <si>
    <t>https://www.sterlinglawyers.com/reviews/page/41/</t>
  </si>
  <si>
    <t>https://www.sterlinglawyers.com/reviews/page/191/</t>
  </si>
  <si>
    <t>https://www.sterlinglawyers.com/reviews/page/190/</t>
  </si>
  <si>
    <t>https://www.sterlinglawyers.com/reviews/page/42/</t>
  </si>
  <si>
    <t>https://www.sterlinglawyers.com/wisconsin/attorneys/jeffrey-morrell/reviews/page/39/</t>
  </si>
  <si>
    <t>https://www.sterlinglawyers.com/wisconsin/attorneys/jeffrey-morrell/reviews/page/38/</t>
  </si>
  <si>
    <t>https://www.sterlinglawyers.com/illinois/reviews/page/189/</t>
  </si>
  <si>
    <t>https://www.sterlinglawyers.com/wisconsin/reviews/page/192/</t>
  </si>
  <si>
    <t>https://www.sterlinglawyers.com/wisconsin/reviews/page/191/</t>
  </si>
  <si>
    <t>https://www.sterlinglawyers.com/illinois/reviews/page/43/</t>
  </si>
  <si>
    <t>https://www.sterlinglawyers.com/illinois/reviews/page/42/</t>
  </si>
  <si>
    <t>https://www.sterlinglawyers.com/wisconsin/reviews/page/41/</t>
  </si>
  <si>
    <t>https://www.sterlinglawyers.com/illinois/reviews/page/44/</t>
  </si>
  <si>
    <t>https://www.sterlinglawyers.com/wisconsin/reviews/page/42/</t>
  </si>
  <si>
    <t>https://www.sterlinglawyers.com/wisconsin/reviews/page/43/</t>
  </si>
  <si>
    <t>https://www.sterlinglawyers.com/wisconsin/reviews/page/40/</t>
  </si>
  <si>
    <t>https://www.sterlinglawyers.com/illinois/reviews/page/45/</t>
  </si>
  <si>
    <t>https://www.sterlinglawyers.com/wisconsin/reviews/page/189/</t>
  </si>
  <si>
    <t>https://www.sterlinglawyers.com/wisconsin/reviews/page/190/</t>
  </si>
  <si>
    <t>https://www.sterlinglawyers.com/illinois/reviews/page/187/</t>
  </si>
  <si>
    <t>https://www.sterlinglawyers.com/illinois/reviews/page/188/</t>
  </si>
  <si>
    <t>https://www.sterlinglawyers.com/reviews/page/44/</t>
  </si>
  <si>
    <t>https://www.sterlinglawyers.com/reviews/page/188/</t>
  </si>
  <si>
    <t>https://www.sterlinglawyers.com/reviews/page/189/</t>
  </si>
  <si>
    <t>https://www.sterlinglawyers.com/reviews/page/45/</t>
  </si>
  <si>
    <t>https://www.sterlinglawyers.com/reviews/page/186/</t>
  </si>
  <si>
    <t>https://www.sterlinglawyers.com/reviews/page/187/</t>
  </si>
  <si>
    <t>https://www.sterlinglawyers.com/reviews/page/46/</t>
  </si>
  <si>
    <t>https://www.sterlinglawyers.com/illinois/reviews/page/186/</t>
  </si>
  <si>
    <t>https://www.sterlinglawyers.com/illinois/reviews/page/185/</t>
  </si>
  <si>
    <t>https://www.sterlinglawyers.com/wisconsin/reviews/page/188/</t>
  </si>
  <si>
    <t>https://www.sterlinglawyers.com/wisconsin/reviews/page/187/</t>
  </si>
  <si>
    <t>https://www.sterlinglawyers.com/illinois/reviews/page/47/</t>
  </si>
  <si>
    <t>https://www.sterlinglawyers.com/wisconsin/reviews/page/45/</t>
  </si>
  <si>
    <t>https://www.sterlinglawyers.com/wisconsin/reviews/page/44/</t>
  </si>
  <si>
    <t>https://www.sterlinglawyers.com/illinois/reviews/page/46/</t>
  </si>
  <si>
    <t>https://www.sterlinglawyers.com/wisconsin/reviews/page/46/</t>
  </si>
  <si>
    <t>https://www.sterlinglawyers.com/wisconsin/reviews/page/47/</t>
  </si>
  <si>
    <t>https://www.sterlinglawyers.com/illinois/reviews/page/48/</t>
  </si>
  <si>
    <t>https://www.sterlinglawyers.com/wisconsin/reviews/page/186/</t>
  </si>
  <si>
    <t>https://www.sterlinglawyers.com/reviews/page/43/</t>
  </si>
  <si>
    <t>https://www.sterlinglawyers.com/reviews/page/47/</t>
  </si>
  <si>
    <t>https://www.sterlinglawyers.com/reviews/page/49/</t>
  </si>
  <si>
    <t>https://www.sterlinglawyers.com/illinois/reviews/page/190/</t>
  </si>
  <si>
    <t>https://www.sterlinglawyers.com/illinois/reviews/page/184/</t>
  </si>
  <si>
    <t>https://www.sterlinglawyers.com/reviews/page/48/</t>
  </si>
  <si>
    <t>https://www.sterlinglawyers.com/reviews/page/184/</t>
  </si>
  <si>
    <t>https://www.sterlinglawyers.com/reviews/page/182/</t>
  </si>
  <si>
    <t>https://www.sterlinglawyers.com/reviews/page/185/</t>
  </si>
  <si>
    <t>https://www.sterlinglawyers.com/illinois/reviews/page/49/</t>
  </si>
  <si>
    <t>https://www.sterlinglawyers.com/illinois/reviews/page/51/</t>
  </si>
  <si>
    <t>https://www.sterlinglawyers.com/wisconsin/reviews/page/185/</t>
  </si>
  <si>
    <t>https://www.sterlinglawyers.com/reviews/page/50/</t>
  </si>
  <si>
    <t>https://www.sterlinglawyers.com/wisconsin/reviews/page/183/</t>
  </si>
  <si>
    <t>https://www.sterlinglawyers.com/illinois/reviews/page/183/</t>
  </si>
  <si>
    <t>https://www.sterlinglawyers.com/reviews/page/51/</t>
  </si>
  <si>
    <t>https://www.sterlinglawyers.com/wisconsin/reviews/page/184/</t>
  </si>
  <si>
    <t>https://www.sterlinglawyers.com/illinois/reviews/page/181/</t>
  </si>
  <si>
    <t>https://www.sterlinglawyers.com/wisconsin/reviews/page/49/</t>
  </si>
  <si>
    <t>https://www.sterlinglawyers.com/wisconsin/reviews/page/48/</t>
  </si>
  <si>
    <t>https://www.sterlinglawyers.com/reviews/page/183/</t>
  </si>
  <si>
    <t>https://www.sterlinglawyers.com/illinois/reviews/page/182/</t>
  </si>
  <si>
    <t>https://www.sterlinglawyers.com/wisconsin/reviews/page/51/</t>
  </si>
  <si>
    <t>https://www.sterlinglawyers.com/illinois/reviews/page/179/</t>
  </si>
  <si>
    <t>https://www.sterlinglawyers.com/illinois/reviews/page/180/</t>
  </si>
  <si>
    <t>https://www.sterlinglawyers.com/reviews/page/53/</t>
  </si>
  <si>
    <t>https://www.sterlinglawyers.com/wisconsin/reviews/page/181/</t>
  </si>
  <si>
    <t>https://www.sterlinglawyers.com/wisconsin/reviews/page/182/</t>
  </si>
  <si>
    <t>https://www.sterlinglawyers.com/reviews/page/52/</t>
  </si>
  <si>
    <t>https://www.sterlinglawyers.com/illinois/reviews/page/52/</t>
  </si>
  <si>
    <t>https://www.sterlinglawyers.com/reviews/page/180/</t>
  </si>
  <si>
    <t>https://www.sterlinglawyers.com/reviews/page/181/</t>
  </si>
  <si>
    <t>https://www.sterlinglawyers.com/reviews/page/179/</t>
  </si>
  <si>
    <t>https://www.sterlinglawyers.com/reviews/page/178/</t>
  </si>
  <si>
    <t>https://www.sterlinglawyers.com/illinois/reviews/page/54/</t>
  </si>
  <si>
    <t>https://www.sterlinglawyers.com/wisconsin/reviews/page/179/</t>
  </si>
  <si>
    <t>https://www.sterlinglawyers.com/reviews/page/54/</t>
  </si>
  <si>
    <t>https://www.sterlinglawyers.com/reviews/page/55/</t>
  </si>
  <si>
    <t>https://www.sterlinglawyers.com/illinois/reviews/page/50/</t>
  </si>
  <si>
    <t>https://www.sterlinglawyers.com/illinois/reviews/page/178/</t>
  </si>
  <si>
    <t>https://www.sterlinglawyers.com/illinois/reviews/page/177/</t>
  </si>
  <si>
    <t>https://www.sterlinglawyers.com/wisconsin/reviews/page/52/</t>
  </si>
  <si>
    <t>https://www.sterlinglawyers.com/wisconsin/reviews/page/53/</t>
  </si>
  <si>
    <t>https://www.sterlinglawyers.com/wisconsin/reviews/page/54/</t>
  </si>
  <si>
    <t>https://www.sterlinglawyers.com/wisconsin/reviews/page/55/</t>
  </si>
  <si>
    <t>https://www.sterlinglawyers.com/illinois/reviews/page/175/</t>
  </si>
  <si>
    <t>https://www.sterlinglawyers.com/illinois/reviews/page/176/</t>
  </si>
  <si>
    <t>https://www.sterlinglawyers.com/reviews/page/57/</t>
  </si>
  <si>
    <t>https://www.sterlinglawyers.com/reviews/page/56/</t>
  </si>
  <si>
    <t>https://www.sterlinglawyers.com/wisconsin/reviews/page/178/</t>
  </si>
  <si>
    <t>https://www.sterlinglawyers.com/wisconsin/reviews/page/50/</t>
  </si>
  <si>
    <t>https://www.sterlinglawyers.com/illinois/reviews/page/55/</t>
  </si>
  <si>
    <t>https://www.sterlinglawyers.com/reviews/page/176/</t>
  </si>
  <si>
    <t>https://www.sterlinglawyers.com/reviews/page/177/</t>
  </si>
  <si>
    <t>https://www.sterlinglawyers.com/wisconsin/reviews/page/57/</t>
  </si>
  <si>
    <t>https://www.sterlinglawyers.com/wisconsin/reviews/page/56/</t>
  </si>
  <si>
    <t>https://www.sterlinglawyers.com/reviews/page/175/</t>
  </si>
  <si>
    <t>https://www.sterlinglawyers.com/illinois/reviews/page/53/</t>
  </si>
  <si>
    <t>https://www.sterlinglawyers.com/reviews/page/174/</t>
  </si>
  <si>
    <t>https://www.sterlinglawyers.com/illinois/reviews/page/57/</t>
  </si>
  <si>
    <t>https://www.sterlinglawyers.com/wisconsin/reviews/page/176/</t>
  </si>
  <si>
    <t>https://www.sterlinglawyers.com/illinois/reviews/page/58/</t>
  </si>
  <si>
    <t>https://www.sterlinglawyers.com/illinois/reviews/page/59/</t>
  </si>
  <si>
    <t>https://www.sterlinglawyers.com/reviews/page/58/</t>
  </si>
  <si>
    <t>https://www.sterlinglawyers.com/reviews/page/59/</t>
  </si>
  <si>
    <t>https://www.sterlinglawyers.com/illinois/reviews/page/174/</t>
  </si>
  <si>
    <t>https://www.sterlinglawyers.com/illinois/reviews/page/173/</t>
  </si>
  <si>
    <t>https://www.sterlinglawyers.com/wisconsin/reviews/page/180/</t>
  </si>
  <si>
    <t>https://www.sterlinglawyers.com/illinois/reviews/page/172/</t>
  </si>
  <si>
    <t>https://www.sterlinglawyers.com/illinois/reviews/page/171/</t>
  </si>
  <si>
    <t>https://www.sterlinglawyers.com/reviews/page/61/</t>
  </si>
  <si>
    <t>https://www.sterlinglawyers.com/illinois/reviews/page/61/</t>
  </si>
  <si>
    <t>https://www.sterlinglawyers.com/reviews/page/60/</t>
  </si>
  <si>
    <t>https://www.sterlinglawyers.com/illinois/reviews/page/60/</t>
  </si>
  <si>
    <t>https://www.sterlinglawyers.com/wisconsin/reviews/page/174/</t>
  </si>
  <si>
    <t>https://www.sterlinglawyers.com/wisconsin/reviews/page/175/</t>
  </si>
  <si>
    <t>https://www.sterlinglawyers.com/reviews/page/172/</t>
  </si>
  <si>
    <t>https://www.sterlinglawyers.com/reviews/page/173/</t>
  </si>
  <si>
    <t>https://www.sterlinglawyers.com/wisconsin/reviews/page/58/</t>
  </si>
  <si>
    <t>https://www.sterlinglawyers.com/wisconsin/reviews/page/177/</t>
  </si>
  <si>
    <t>https://www.sterlinglawyers.com/reviews/page/171/</t>
  </si>
  <si>
    <t>https://www.sterlinglawyers.com/wisconsin/reviews/page/60/</t>
  </si>
  <si>
    <t>https://www.sterlinglawyers.com/wisconsin/reviews/page/173/</t>
  </si>
  <si>
    <t>https://www.sterlinglawyers.com/reviews/page/170/</t>
  </si>
  <si>
    <t>https://www.sterlinglawyers.com/wisconsin/reviews/page/172/</t>
  </si>
  <si>
    <t>https://www.sterlinglawyers.com/wisconsin/reviews/page/171/</t>
  </si>
  <si>
    <t>https://www.sterlinglawyers.com/illinois/reviews/page/62/</t>
  </si>
  <si>
    <t>https://www.sterlinglawyers.com/illinois/reviews/page/63/</t>
  </si>
  <si>
    <t>https://www.sterlinglawyers.com/reviews/page/62/</t>
  </si>
  <si>
    <t>https://www.sterlinglawyers.com/illinois/reviews/page/56/</t>
  </si>
  <si>
    <t>https://www.sterlinglawyers.com/reviews/page/63/</t>
  </si>
  <si>
    <t>https://www.sterlinglawyers.com/illinois/reviews/page/169/</t>
  </si>
  <si>
    <t>https://www.sterlinglawyers.com/reviews/page/64/</t>
  </si>
  <si>
    <t>https://www.sterlinglawyers.com/illinois/reviews/page/170/</t>
  </si>
  <si>
    <t>https://www.sterlinglawyers.com/illinois/reviews/page/167/</t>
  </si>
  <si>
    <t>https://www.sterlinglawyers.com/reviews/page/65/</t>
  </si>
  <si>
    <t>https://www.sterlinglawyers.com/illinois/reviews/page/168/</t>
  </si>
  <si>
    <t>https://www.sterlinglawyers.com/illinois/reviews/page/64/</t>
  </si>
  <si>
    <t>https://www.sterlinglawyers.com/wisconsin/reviews/page/169/</t>
  </si>
  <si>
    <t>https://www.sterlinglawyers.com/reviews/page/168/</t>
  </si>
  <si>
    <t>https://www.sterlinglawyers.com/wisconsin/reviews/page/170/</t>
  </si>
  <si>
    <t>https://www.sterlinglawyers.com/wisconsin/reviews/page/61/</t>
  </si>
  <si>
    <t>https://www.sterlinglawyers.com/reviews/page/169/</t>
  </si>
  <si>
    <t>https://www.sterlinglawyers.com/wisconsin/reviews/page/62/</t>
  </si>
  <si>
    <t>https://www.sterlinglawyers.com/wisconsin/reviews/page/63/</t>
  </si>
  <si>
    <t>https://www.sterlinglawyers.com/wisconsin/reviews/page/64/</t>
  </si>
  <si>
    <t>https://www.sterlinglawyers.com/reviews/page/166/</t>
  </si>
  <si>
    <t>https://www.sterlinglawyers.com/reviews/page/167/</t>
  </si>
  <si>
    <t>https://www.sterlinglawyers.com/wisconsin/reviews/page/168/</t>
  </si>
  <si>
    <t>https://www.sterlinglawyers.com/wisconsin/reviews/page/167/</t>
  </si>
  <si>
    <t>https://www.sterlinglawyers.com/illinois/reviews/page/66/</t>
  </si>
  <si>
    <t>https://www.sterlinglawyers.com/illinois/reviews/page/166/</t>
  </si>
  <si>
    <t>https://www.sterlinglawyers.com/reviews/page/67/</t>
  </si>
  <si>
    <t>https://www.sterlinglawyers.com/reviews/page/66/</t>
  </si>
  <si>
    <t>https://www.sterlinglawyers.com/wisconsin/reviews/page/59/</t>
  </si>
  <si>
    <t>https://www.sterlinglawyers.com/reviews/page/68/</t>
  </si>
  <si>
    <t>https://www.sterlinglawyers.com/wisconsin/reviews/page/65/</t>
  </si>
  <si>
    <t>https://www.sterlinglawyers.com/illinois/reviews/page/164/</t>
  </si>
  <si>
    <t>https://www.sterlinglawyers.com/reviews/page/69/</t>
  </si>
  <si>
    <t>https://www.sterlinglawyers.com/illinois/reviews/page/67/</t>
  </si>
  <si>
    <t>https://www.sterlinglawyers.com/illinois/reviews/page/68/</t>
  </si>
  <si>
    <t>https://www.sterlinglawyers.com/wisconsin/reviews/page/67/</t>
  </si>
  <si>
    <t>https://www.sterlinglawyers.com/wisconsin/reviews/page/165/</t>
  </si>
  <si>
    <t>https://www.sterlinglawyers.com/wisconsin/reviews/page/166/</t>
  </si>
  <si>
    <t>https://www.sterlinglawyers.com/reviews/page/164/</t>
  </si>
  <si>
    <t>https://www.sterlinglawyers.com/reviews/page/165/</t>
  </si>
  <si>
    <t>https://www.sterlinglawyers.com/reviews/page/162/</t>
  </si>
  <si>
    <t>https://www.sterlinglawyers.com/reviews/page/163/</t>
  </si>
  <si>
    <t>https://www.sterlinglawyers.com/wisconsin/reviews/page/163/</t>
  </si>
  <si>
    <t>https://www.sterlinglawyers.com/wisconsin/reviews/page/164/</t>
  </si>
  <si>
    <t>https://www.sterlinglawyers.com/wisconsin/reviews/page/68/</t>
  </si>
  <si>
    <t>https://www.sterlinglawyers.com/illinois/reviews/page/70/</t>
  </si>
  <si>
    <t>https://www.sterlinglawyers.com/illinois/reviews/page/65/</t>
  </si>
  <si>
    <t>https://www.sterlinglawyers.com/reviews/page/71/</t>
  </si>
  <si>
    <t>https://www.sterlinglawyers.com/illinois/reviews/page/163/</t>
  </si>
  <si>
    <t>https://www.sterlinglawyers.com/illinois/reviews/page/165/</t>
  </si>
  <si>
    <t>https://www.sterlinglawyers.com/illinois/reviews/page/161/</t>
  </si>
  <si>
    <t>https://www.sterlinglawyers.com/reviews/page/70/</t>
  </si>
  <si>
    <t>https://www.sterlinglawyers.com/illinois/reviews/page/159/</t>
  </si>
  <si>
    <t>https://www.sterlinglawyers.com/illinois/reviews/page/160/</t>
  </si>
  <si>
    <t>https://www.sterlinglawyers.com/reviews/page/72/</t>
  </si>
  <si>
    <t>https://www.sterlinglawyers.com/reviews/page/73/</t>
  </si>
  <si>
    <t>https://www.sterlinglawyers.com/wisconsin/reviews/page/69/</t>
  </si>
  <si>
    <t>https://www.sterlinglawyers.com/illinois/reviews/page/69/</t>
  </si>
  <si>
    <t>https://www.sterlinglawyers.com/wisconsin/reviews/page/71/</t>
  </si>
  <si>
    <t>https://www.sterlinglawyers.com/wisconsin/reviews/page/66/</t>
  </si>
  <si>
    <t>https://www.sterlinglawyers.com/illinois/reviews/page/72/</t>
  </si>
  <si>
    <t>https://www.sterlinglawyers.com/wisconsin/reviews/page/161/</t>
  </si>
  <si>
    <t>https://www.sterlinglawyers.com/wisconsin/reviews/page/70/</t>
  </si>
  <si>
    <t>https://www.sterlinglawyers.com/reviews/page/160/</t>
  </si>
  <si>
    <t>https://www.sterlinglawyers.com/reviews/page/159/</t>
  </si>
  <si>
    <t>https://www.sterlinglawyers.com/wisconsin/reviews/page/162/</t>
  </si>
  <si>
    <t>https://www.sterlinglawyers.com/wisconsin/reviews/page/160/</t>
  </si>
  <si>
    <t>https://www.sterlinglawyers.com/wisconsin/reviews/page/159/</t>
  </si>
  <si>
    <t>https://www.sterlinglawyers.com/illinois/reviews/page/162/</t>
  </si>
  <si>
    <t>https://www.sterlinglawyers.com/illinois/reviews/page/74/</t>
  </si>
  <si>
    <t>https://www.sterlinglawyers.com/wisconsin/reviews/page/72/</t>
  </si>
  <si>
    <t>https://www.sterlinglawyers.com/wisconsin/reviews/page/73/</t>
  </si>
  <si>
    <t>https://www.sterlinglawyers.com/reviews/page/75/</t>
  </si>
  <si>
    <t>https://www.sterlinglawyers.com/reviews/page/74/</t>
  </si>
  <si>
    <t>https://www.sterlinglawyers.com/illinois/reviews/page/158/</t>
  </si>
  <si>
    <t>https://www.sterlinglawyers.com/illinois/reviews/page/157/</t>
  </si>
  <si>
    <t>https://www.sterlinglawyers.com/illinois/reviews/page/155/</t>
  </si>
  <si>
    <t>https://www.sterlinglawyers.com/illinois/reviews/page/156/</t>
  </si>
  <si>
    <t>https://www.sterlinglawyers.com/reviews/page/76/</t>
  </si>
  <si>
    <t>https://www.sterlinglawyers.com/reviews/page/77/</t>
  </si>
  <si>
    <t>https://www.sterlinglawyers.com/reviews/page/161/</t>
  </si>
  <si>
    <t>https://www.sterlinglawyers.com/wisconsin/reviews/page/75/</t>
  </si>
  <si>
    <t>https://www.sterlinglawyers.com/wisconsin/reviews/page/74/</t>
  </si>
  <si>
    <t>https://www.sterlinglawyers.com/illinois/reviews/page/75/</t>
  </si>
  <si>
    <t>https://www.sterlinglawyers.com/illinois/reviews/page/76/</t>
  </si>
  <si>
    <t>https://www.sterlinglawyers.com/wisconsin/reviews/page/157/</t>
  </si>
  <si>
    <t>https://www.sterlinglawyers.com/reviews/page/158/</t>
  </si>
  <si>
    <t>https://www.sterlinglawyers.com/wisconsin/reviews/page/158/</t>
  </si>
  <si>
    <t>https://www.sterlinglawyers.com/reviews/page/157/</t>
  </si>
  <si>
    <t>https://www.sterlinglawyers.com/reviews/page/156/</t>
  </si>
  <si>
    <t>https://www.sterlinglawyers.com/illinois/reviews/page/71/</t>
  </si>
  <si>
    <t>https://www.sterlinglawyers.com/wisconsin/reviews/page/156/</t>
  </si>
  <si>
    <t>https://www.sterlinglawyers.com/reviews/page/154/</t>
  </si>
  <si>
    <t>https://www.sterlinglawyers.com/wisconsin/reviews/page/155/</t>
  </si>
  <si>
    <t>https://www.sterlinglawyers.com/illinois/reviews/page/78/</t>
  </si>
  <si>
    <t>https://www.sterlinglawyers.com/illinois/reviews/page/77/</t>
  </si>
  <si>
    <t>https://www.sterlinglawyers.com/wisconsin/reviews/page/77/</t>
  </si>
  <si>
    <t>https://www.sterlinglawyers.com/reviews/page/79/</t>
  </si>
  <si>
    <t>https://www.sterlinglawyers.com/reviews/page/78/</t>
  </si>
  <si>
    <t>https://www.sterlinglawyers.com/illinois/reviews/page/154/</t>
  </si>
  <si>
    <t>https://www.sterlinglawyers.com/illinois/reviews/page/73/</t>
  </si>
  <si>
    <t>https://www.sterlinglawyers.com/illinois/reviews/page/153/</t>
  </si>
  <si>
    <t>https://www.sterlinglawyers.com/illinois/reviews/page/152/</t>
  </si>
  <si>
    <t>https://www.sterlinglawyers.com/illinois/reviews/page/79/</t>
  </si>
  <si>
    <t>https://www.sterlinglawyers.com/illinois/reviews/page/151/</t>
  </si>
  <si>
    <t>https://www.sterlinglawyers.com/reviews/page/80/</t>
  </si>
  <si>
    <t>https://www.sterlinglawyers.com/illinois/reviews/page/81/</t>
  </si>
  <si>
    <t>https://www.sterlinglawyers.com/reviews/page/81/</t>
  </si>
  <si>
    <t>https://www.sterlinglawyers.com/wisconsin/reviews/page/79/</t>
  </si>
  <si>
    <t>https://www.sterlinglawyers.com/wisconsin/reviews/page/78/</t>
  </si>
  <si>
    <t>https://www.sterlinglawyers.com/wisconsin/reviews/page/153/</t>
  </si>
  <si>
    <t>https://www.sterlinglawyers.com/illinois/reviews/page/80/</t>
  </si>
  <si>
    <t>https://www.sterlinglawyers.com/reviews/page/153/</t>
  </si>
  <si>
    <t>https://www.sterlinglawyers.com/reviews/page/152/</t>
  </si>
  <si>
    <t>https://www.sterlinglawyers.com/reviews/page/151/</t>
  </si>
  <si>
    <t>https://www.sterlinglawyers.com/wisconsin/reviews/page/154/</t>
  </si>
  <si>
    <t>https://www.sterlinglawyers.com/wisconsin/reviews/page/151/</t>
  </si>
  <si>
    <t>https://www.sterlinglawyers.com/reviews/page/150/</t>
  </si>
  <si>
    <t>https://www.sterlinglawyers.com/wisconsin/reviews/page/76/</t>
  </si>
  <si>
    <t>https://www.sterlinglawyers.com/reviews/page/83/</t>
  </si>
  <si>
    <t>https://www.sterlinglawyers.com/reviews/page/155/</t>
  </si>
  <si>
    <t>https://www.sterlinglawyers.com/illinois/reviews/page/82/</t>
  </si>
  <si>
    <t>https://www.sterlinglawyers.com/illinois/reviews/page/83/</t>
  </si>
  <si>
    <t>https://www.sterlinglawyers.com/reviews/page/82/</t>
  </si>
  <si>
    <t>https://www.sterlinglawyers.com/illinois/reviews/page/149/</t>
  </si>
  <si>
    <t>https://www.sterlinglawyers.com/illinois/reviews/page/150/</t>
  </si>
  <si>
    <t>https://www.sterlinglawyers.com/illinois/reviews/page/147/</t>
  </si>
  <si>
    <t>https://www.sterlinglawyers.com/illinois/reviews/page/148/</t>
  </si>
  <si>
    <t>https://www.sterlinglawyers.com/illinois/reviews/page/85/</t>
  </si>
  <si>
    <t>https://www.sterlinglawyers.com/illinois/reviews/page/84/</t>
  </si>
  <si>
    <t>https://www.sterlinglawyers.com/reviews/page/84/</t>
  </si>
  <si>
    <t>https://www.sterlinglawyers.com/reviews/page/85/</t>
  </si>
  <si>
    <t>https://www.sterlinglawyers.com/reviews/page/148/</t>
  </si>
  <si>
    <t>https://www.sterlinglawyers.com/wisconsin/reviews/page/149/</t>
  </si>
  <si>
    <t>https://www.sterlinglawyers.com/wisconsin/reviews/page/80/</t>
  </si>
  <si>
    <t>https://www.sterlinglawyers.com/reviews/page/149/</t>
  </si>
  <si>
    <t>https://www.sterlinglawyers.com/wisconsin/reviews/page/82/</t>
  </si>
  <si>
    <t>https://www.sterlinglawyers.com/wisconsin/reviews/page/148/</t>
  </si>
  <si>
    <t>https://www.sterlinglawyers.com/wisconsin/reviews/page/83/</t>
  </si>
  <si>
    <t>https://www.sterlinglawyers.com/wisconsin/reviews/page/152/</t>
  </si>
  <si>
    <t>https://www.sterlinglawyers.com/wisconsin/reviews/page/84/</t>
  </si>
  <si>
    <t>https://www.sterlinglawyers.com/wisconsin/reviews/page/147/</t>
  </si>
  <si>
    <t>https://www.sterlinglawyers.com/reviews/page/146/</t>
  </si>
  <si>
    <t>https://www.sterlinglawyers.com/wisconsin/reviews/page/81/</t>
  </si>
  <si>
    <t>https://www.sterlinglawyers.com/reviews/page/87/</t>
  </si>
  <si>
    <t>https://www.sterlinglawyers.com/reviews/page/86/</t>
  </si>
  <si>
    <t>https://www.sterlinglawyers.com/wisconsin/reviews/page/85/</t>
  </si>
  <si>
    <t>https://www.sterlinglawyers.com/illinois/reviews/page/145/</t>
  </si>
  <si>
    <t>https://www.sterlinglawyers.com/illinois/reviews/page/146/</t>
  </si>
  <si>
    <t>https://www.sterlinglawyers.com/illinois/reviews/page/143/</t>
  </si>
  <si>
    <t>https://www.sterlinglawyers.com/illinois/reviews/page/144/</t>
  </si>
  <si>
    <t>https://www.sterlinglawyers.com/wisconsin/reviews/page/87/</t>
  </si>
  <si>
    <t>https://www.sterlinglawyers.com/reviews/page/88/</t>
  </si>
  <si>
    <t>https://www.sterlinglawyers.com/reviews/page/89/</t>
  </si>
  <si>
    <t>https://www.sterlinglawyers.com/reviews/page/144/</t>
  </si>
  <si>
    <t>https://www.sterlinglawyers.com/reviews/page/145/</t>
  </si>
  <si>
    <t>https://www.sterlinglawyers.com/wisconsin/reviews/page/145/</t>
  </si>
  <si>
    <t>https://www.sterlinglawyers.com/wisconsin/reviews/page/86/</t>
  </si>
  <si>
    <t>https://www.sterlinglawyers.com/wisconsin/reviews/page/146/</t>
  </si>
  <si>
    <t>https://www.sterlinglawyers.com/wisconsin/reviews/page/150/</t>
  </si>
  <si>
    <t>https://www.sterlinglawyers.com/wisconsin/reviews/page/143/</t>
  </si>
  <si>
    <t>https://www.sterlinglawyers.com/reviews/page/147/</t>
  </si>
  <si>
    <t>https://www.sterlinglawyers.com/reviews/page/142/</t>
  </si>
  <si>
    <t>https://www.sterlinglawyers.com/reviews/page/143/</t>
  </si>
  <si>
    <t>https://www.sterlinglawyers.com/reviews/page/91/</t>
  </si>
  <si>
    <t>https://www.sterlinglawyers.com/reviews/page/90/</t>
  </si>
  <si>
    <t>https://www.sterlinglawyers.com/wisconsin/reviews/page/88/</t>
  </si>
  <si>
    <t>https://www.sterlinglawyers.com/wisconsin/reviews/page/89/</t>
  </si>
  <si>
    <t>https://www.sterlinglawyers.com/illinois/reviews/page/142/</t>
  </si>
  <si>
    <t>https://www.sterlinglawyers.com/illinois/reviews/page/141/</t>
  </si>
  <si>
    <t>https://www.sterlinglawyers.com/illinois/reviews/page/140/</t>
  </si>
  <si>
    <t>https://www.sterlinglawyers.com/illinois/reviews/page/139/</t>
  </si>
  <si>
    <t>https://www.sterlinglawyers.com/illinois/reviews/page/86/</t>
  </si>
  <si>
    <t>https://www.sterlinglawyers.com/illinois/reviews/page/87/</t>
  </si>
  <si>
    <t>https://www.sterlinglawyers.com/illinois/reviews/page/88/</t>
  </si>
  <si>
    <t>https://www.sterlinglawyers.com/illinois/reviews/page/89/</t>
  </si>
  <si>
    <t>https://www.sterlinglawyers.com/wisconsin/reviews/page/90/</t>
  </si>
  <si>
    <t>https://www.sterlinglawyers.com/illinois/reviews/page/90/</t>
  </si>
  <si>
    <t>https://www.sterlinglawyers.com/reviews/page/92/</t>
  </si>
  <si>
    <t>https://www.sterlinglawyers.com/reviews/page/93/</t>
  </si>
  <si>
    <t>https://www.sterlinglawyers.com/reviews/page/140/</t>
  </si>
  <si>
    <t>https://www.sterlinglawyers.com/reviews/page/141/</t>
  </si>
  <si>
    <t>https://www.sterlinglawyers.com/wisconsin/reviews/page/144/</t>
  </si>
  <si>
    <t>https://www.sterlinglawyers.com/wisconsin/reviews/page/91/</t>
  </si>
  <si>
    <t>https://www.sterlinglawyers.com/illinois/reviews/page/91/</t>
  </si>
  <si>
    <t>https://www.sterlinglawyers.com/wisconsin/reviews/page/93/</t>
  </si>
  <si>
    <t>https://www.sterlinglawyers.com/illinois/reviews/page/93/</t>
  </si>
  <si>
    <t>https://www.sterlinglawyers.com/reviews/page/139/</t>
  </si>
  <si>
    <t>https://www.sterlinglawyers.com/illinois/reviews/page/92/</t>
  </si>
  <si>
    <t>https://www.sterlinglawyers.com/wisconsin/reviews/page/141/</t>
  </si>
  <si>
    <t>https://www.sterlinglawyers.com/wisconsin/reviews/page/139/</t>
  </si>
  <si>
    <t>https://www.sterlinglawyers.com/wisconsin/reviews/page/140/</t>
  </si>
  <si>
    <t>https://www.sterlinglawyers.com/reviews/page/95/</t>
  </si>
  <si>
    <t>https://www.sterlinglawyers.com/reviews/page/138/</t>
  </si>
  <si>
    <t>https://www.sterlinglawyers.com/reviews/page/94/</t>
  </si>
  <si>
    <t>https://www.sterlinglawyers.com/illinois/reviews/page/137/</t>
  </si>
  <si>
    <t>https://www.sterlinglawyers.com/illinois/reviews/page/138/</t>
  </si>
  <si>
    <t>https://www.sterlinglawyers.com/illinois/reviews/page/136/</t>
  </si>
  <si>
    <t>https://www.sterlinglawyers.com/illinois/reviews/page/135/</t>
  </si>
  <si>
    <t>https://www.sterlinglawyers.com/reviews/page/136/</t>
  </si>
  <si>
    <t>https://www.sterlinglawyers.com/reviews/page/96/</t>
  </si>
  <si>
    <t>https://www.sterlinglawyers.com/wisconsin/reviews/page/142/</t>
  </si>
  <si>
    <t>https://www.sterlinglawyers.com/reviews/page/97/</t>
  </si>
  <si>
    <t>https://www.sterlinglawyers.com/wisconsin/reviews/page/138/</t>
  </si>
  <si>
    <t>https://www.sterlinglawyers.com/wisconsin/reviews/page/137/</t>
  </si>
  <si>
    <t>https://www.sterlinglawyers.com/reviews/page/137/</t>
  </si>
  <si>
    <t>https://www.sterlinglawyers.com/illinois/reviews/page/94/</t>
  </si>
  <si>
    <t>https://www.sterlinglawyers.com/wisconsin/reviews/page/95/</t>
  </si>
  <si>
    <t>https://www.sterlinglawyers.com/wisconsin/reviews/page/94/</t>
  </si>
  <si>
    <t>https://www.sterlinglawyers.com/illinois/reviews/page/96/</t>
  </si>
  <si>
    <t>https://www.sterlinglawyers.com/illinois/reviews/page/95/</t>
  </si>
  <si>
    <t>https://www.sterlinglawyers.com/wisconsin/reviews/page/97/</t>
  </si>
  <si>
    <t>https://www.sterlinglawyers.com/illinois/reviews/page/98/</t>
  </si>
  <si>
    <t>https://www.sterlinglawyers.com/illinois/reviews/page/97/</t>
  </si>
  <si>
    <t>https://www.sterlinglawyers.com/wisconsin/reviews/page/135/</t>
  </si>
  <si>
    <t>https://www.sterlinglawyers.com/illinois/reviews/page/99/</t>
  </si>
  <si>
    <t>https://www.sterlinglawyers.com/wisconsin/reviews/page/136/</t>
  </si>
  <si>
    <t>https://www.sterlinglawyers.com/reviews/page/99/</t>
  </si>
  <si>
    <t>https://www.sterlinglawyers.com/reviews/page/98/</t>
  </si>
  <si>
    <t>https://www.sterlinglawyers.com/reviews/page/135/</t>
  </si>
  <si>
    <t>https://www.sterlinglawyers.com/reviews/page/134/</t>
  </si>
  <si>
    <t>https://www.sterlinglawyers.com/illinois/reviews/page/133/</t>
  </si>
  <si>
    <t>https://www.sterlinglawyers.com/illinois/reviews/page/134/</t>
  </si>
  <si>
    <t>https://www.sterlinglawyers.com/reviews/page/132/</t>
  </si>
  <si>
    <t>https://www.sterlinglawyers.com/illinois/reviews/page/132/</t>
  </si>
  <si>
    <t>https://www.sterlinglawyers.com/illinois/reviews/page/131/</t>
  </si>
  <si>
    <t>https://www.sterlinglawyers.com/reviews/page/133/</t>
  </si>
  <si>
    <t>https://www.sterlinglawyers.com/reviews/page/100/</t>
  </si>
  <si>
    <t>https://www.sterlinglawyers.com/illinois/reviews/page/101/</t>
  </si>
  <si>
    <t>https://www.sterlinglawyers.com/wisconsin/reviews/page/133/</t>
  </si>
  <si>
    <t>https://www.sterlinglawyers.com/wisconsin/reviews/page/92/</t>
  </si>
  <si>
    <t>https://www.sterlinglawyers.com/illinois/reviews/page/100/</t>
  </si>
  <si>
    <t>https://www.sterlinglawyers.com/wisconsin/reviews/page/98/</t>
  </si>
  <si>
    <t>https://www.sterlinglawyers.com/wisconsin/reviews/page/100/</t>
  </si>
  <si>
    <t>https://www.sterlinglawyers.com/wisconsin/reviews/page/132/</t>
  </si>
  <si>
    <t>https://www.sterlinglawyers.com/wisconsin/reviews/page/96/</t>
  </si>
  <si>
    <t>https://www.sterlinglawyers.com/reviews/page/101/</t>
  </si>
  <si>
    <t>https://www.sterlinglawyers.com/illinois/reviews/page/103/</t>
  </si>
  <si>
    <t>https://www.sterlinglawyers.com/wisconsin/reviews/page/134/</t>
  </si>
  <si>
    <t>https://www.sterlinglawyers.com/reviews/page/102/</t>
  </si>
  <si>
    <t>https://www.sterlinglawyers.com/wisconsin/reviews/page/99/</t>
  </si>
  <si>
    <t>https://www.sterlinglawyers.com/illinois/reviews/page/129/</t>
  </si>
  <si>
    <t>https://www.sterlinglawyers.com/wisconsin/reviews/page/101/</t>
  </si>
  <si>
    <t>https://www.sterlinglawyers.com/wisconsin/reviews/page/131/</t>
  </si>
  <si>
    <t>https://www.sterlinglawyers.com/reviews/page/131/</t>
  </si>
  <si>
    <t>https://www.sterlinglawyers.com/reviews/page/130/</t>
  </si>
  <si>
    <t>https://www.sterlinglawyers.com/reviews/page/129/</t>
  </si>
  <si>
    <t>https://www.sterlinglawyers.com/reviews/page/128/</t>
  </si>
  <si>
    <t>https://www.sterlinglawyers.com/reviews/page/103/</t>
  </si>
  <si>
    <t>https://www.sterlinglawyers.com/reviews/page/105/</t>
  </si>
  <si>
    <t>https://www.sterlinglawyers.com/illinois/reviews/page/127/</t>
  </si>
  <si>
    <t>https://www.sterlinglawyers.com/illinois/reviews/page/130/</t>
  </si>
  <si>
    <t>https://www.sterlinglawyers.com/reviews/page/104/</t>
  </si>
  <si>
    <t>https://www.sterlinglawyers.com/illinois/reviews/page/102/</t>
  </si>
  <si>
    <t>https://www.sterlinglawyers.com/illinois/reviews/page/105/</t>
  </si>
  <si>
    <t>https://www.sterlinglawyers.com/illinois/reviews/page/104/</t>
  </si>
  <si>
    <t>https://www.sterlinglawyers.com/wisconsin/reviews/page/103/</t>
  </si>
  <si>
    <t>https://www.sterlinglawyers.com/wisconsin/reviews/page/102/</t>
  </si>
  <si>
    <t>https://www.sterlinglawyers.com/wisconsin/reviews/page/105/</t>
  </si>
  <si>
    <t>https://www.sterlinglawyers.com/wisconsin/reviews/page/104/</t>
  </si>
  <si>
    <t>https://www.sterlinglawyers.com/illinois/reviews/page/107/</t>
  </si>
  <si>
    <t>https://www.sterlinglawyers.com/wisconsin/reviews/page/129/</t>
  </si>
  <si>
    <t>https://www.sterlinglawyers.com/wisconsin/reviews/page/127/</t>
  </si>
  <si>
    <t>https://www.sterlinglawyers.com/wisconsin/reviews/page/128/</t>
  </si>
  <si>
    <t>https://www.sterlinglawyers.com/wisconsin/reviews/page/130/</t>
  </si>
  <si>
    <t>https://www.sterlinglawyers.com/reviews/page/106/</t>
  </si>
  <si>
    <t>https://www.sterlinglawyers.com/reviews/page/107/</t>
  </si>
  <si>
    <t>https://www.sterlinglawyers.com/reviews/page/126/</t>
  </si>
  <si>
    <t>https://www.sterlinglawyers.com/reviews/page/127/</t>
  </si>
  <si>
    <t>https://www.sterlinglawyers.com/illinois/reviews/page/128/</t>
  </si>
  <si>
    <t>https://www.sterlinglawyers.com/illinois/reviews/page/125/</t>
  </si>
  <si>
    <t>https://www.sterlinglawyers.com/reviews/page/124/</t>
  </si>
  <si>
    <t>https://www.sterlinglawyers.com/reviews/page/125/</t>
  </si>
  <si>
    <t>https://www.sterlinglawyers.com/illinois/reviews/page/123/</t>
  </si>
  <si>
    <t>https://www.sterlinglawyers.com/illinois/reviews/page/124/</t>
  </si>
  <si>
    <t>https://www.sterlinglawyers.com/illinois/reviews/page/106/</t>
  </si>
  <si>
    <t>https://www.sterlinglawyers.com/reviews/page/108/</t>
  </si>
  <si>
    <t>https://www.sterlinglawyers.com/wisconsin/reviews/page/126/</t>
  </si>
  <si>
    <t>https://www.sterlinglawyers.com/wisconsin/reviews/page/125/</t>
  </si>
  <si>
    <t>https://www.sterlinglawyers.com/illinois/reviews/page/109/</t>
  </si>
  <si>
    <t>https://www.sterlinglawyers.com/illinois/reviews/page/108/</t>
  </si>
  <si>
    <t>https://www.sterlinglawyers.com/wisconsin/reviews/page/107/</t>
  </si>
  <si>
    <t>https://www.sterlinglawyers.com/wisconsin/reviews/page/106/</t>
  </si>
  <si>
    <t>https://www.sterlinglawyers.com/wisconsin/reviews/page/109/</t>
  </si>
  <si>
    <t>https://www.sterlinglawyers.com/wisconsin/reviews/page/108/</t>
  </si>
  <si>
    <t>https://www.sterlinglawyers.com/wisconsin/reviews/page/123/</t>
  </si>
  <si>
    <t>https://www.sterlinglawyers.com/wisconsin/reviews/page/124/</t>
  </si>
  <si>
    <t>https://www.sterlinglawyers.com/reviews/page/110/</t>
  </si>
  <si>
    <t>https://www.sterlinglawyers.com/illinois/reviews/page/121/</t>
  </si>
  <si>
    <t>https://www.sterlinglawyers.com/illinois/reviews/page/126/</t>
  </si>
  <si>
    <t>https://www.sterlinglawyers.com/reviews/page/122/</t>
  </si>
  <si>
    <t>https://www.sterlinglawyers.com/reviews/page/123/</t>
  </si>
  <si>
    <t>https://www.sterlinglawyers.com/reviews/page/120/</t>
  </si>
  <si>
    <t>https://www.sterlinglawyers.com/reviews/page/121/</t>
  </si>
  <si>
    <t>https://www.sterlinglawyers.com/illinois/reviews/page/120/</t>
  </si>
  <si>
    <t>https://www.sterlinglawyers.com/illinois/reviews/page/119/</t>
  </si>
  <si>
    <t>https://www.sterlinglawyers.com/reviews/page/111/</t>
  </si>
  <si>
    <t>https://www.sterlinglawyers.com/reviews/page/112/</t>
  </si>
  <si>
    <t>https://www.sterlinglawyers.com/illinois/reviews/page/110/</t>
  </si>
  <si>
    <t>https://www.sterlinglawyers.com/illinois/reviews/page/112/</t>
  </si>
  <si>
    <t>https://www.sterlinglawyers.com/reviews/page/109/</t>
  </si>
  <si>
    <t>https://www.sterlinglawyers.com/illinois/reviews/page/111/</t>
  </si>
  <si>
    <t>https://www.sterlinglawyers.com/illinois/reviews/page/113/</t>
  </si>
  <si>
    <t>https://www.sterlinglawyers.com/wisconsin/reviews/page/111/</t>
  </si>
  <si>
    <t>https://www.sterlinglawyers.com/wisconsin/reviews/page/110/</t>
  </si>
  <si>
    <t>https://www.sterlinglawyers.com/illinois/reviews/page/122/</t>
  </si>
  <si>
    <t>https://www.sterlinglawyers.com/wisconsin/reviews/page/113/</t>
  </si>
  <si>
    <t>https://www.sterlinglawyers.com/illinois/reviews/page/115/</t>
  </si>
  <si>
    <t>https://www.sterlinglawyers.com/wisconsin/reviews/page/122/</t>
  </si>
  <si>
    <t>https://www.sterlinglawyers.com/wisconsin/reviews/page/120/</t>
  </si>
  <si>
    <t>https://www.sterlinglawyers.com/reviews/page/114/</t>
  </si>
  <si>
    <t>https://www.sterlinglawyers.com/wisconsin/reviews/page/121/</t>
  </si>
  <si>
    <t>https://www.sterlinglawyers.com/wisconsin/reviews/page/119/</t>
  </si>
  <si>
    <t>https://www.sterlinglawyers.com/reviews/page/113/</t>
  </si>
  <si>
    <t>https://www.sterlinglawyers.com/reviews/page/115/</t>
  </si>
  <si>
    <t>https://www.sterlinglawyers.com/reviews/page/118/</t>
  </si>
  <si>
    <t>https://www.sterlinglawyers.com/reviews/page/119/</t>
  </si>
  <si>
    <t>https://www.sterlinglawyers.com/reviews/page/117/</t>
  </si>
  <si>
    <t>https://www.sterlinglawyers.com/wisconsin/reviews/page/117/</t>
  </si>
  <si>
    <t>https://www.sterlinglawyers.com/reviews/page/116/</t>
  </si>
  <si>
    <t>https://www.sterlinglawyers.com/wisconsin/reviews/page/118/</t>
  </si>
  <si>
    <t>https://www.sterlinglawyers.com/illinois/reviews/page/116/</t>
  </si>
  <si>
    <t>https://www.sterlinglawyers.com/wisconsin/reviews/page/112/</t>
  </si>
  <si>
    <t>https://www.sterlinglawyers.com/illinois/reviews/page/117/</t>
  </si>
  <si>
    <t>https://www.sterlinglawyers.com/wisconsin/reviews/page/116/</t>
  </si>
  <si>
    <t>https://www.sterlinglawyers.com/illinois/reviews/page/114/</t>
  </si>
  <si>
    <t>https://www.sterlinglawyers.com/illinois/reviews/page/118/</t>
  </si>
  <si>
    <t>https://www.sterlinglawyers.com/wisconsin/reviews/page/114/</t>
  </si>
  <si>
    <t>https://www.sterlinglawyers.com/wisconsin/reviews/page/115/</t>
  </si>
  <si>
    <t>https://www.sterlinglawyers.com/illinois/chicago-il-restaurants/</t>
  </si>
  <si>
    <t>https://www.sterlinglawyers.com/illinois/chicago-hotels/</t>
  </si>
  <si>
    <t>https://www.sterlinglawyers.com/illinois/chicago-history/</t>
  </si>
  <si>
    <t>https://www.sterlinglawyers.com/illinois/areas/areas/</t>
  </si>
  <si>
    <t>https://www.sterlinglawyers.com/illinois/attorneys/brooke-saunders/</t>
  </si>
  <si>
    <t>https://www.sterlinglawyers.com/illinois/attorneys/brooke-saunders/reviews/</t>
  </si>
  <si>
    <t>https://www.sterlinglawyers.com/illinois/attorneys/natalie-mccray/reviews/</t>
  </si>
  <si>
    <t>Project Name</t>
  </si>
  <si>
    <t>Tier</t>
  </si>
  <si>
    <t>Impact</t>
  </si>
  <si>
    <t>Attorney Hub (Pages) - Identify if they are using the About page as the Attorney Hub (very common)</t>
  </si>
  <si>
    <t>Location Hub (Pages if not multi or Hub not present)</t>
  </si>
  <si>
    <t>1. Core Practice Area Page – Divorce
Sequencing: Build first as a core hub; used for navigation, homepage links, and cluster authority.</t>
  </si>
  <si>
    <t>Tier 1</t>
  </si>
  <si>
    <t>Build the Divorce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</si>
  <si>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Divorce searches while providing a scalable structure for supporting pages.</t>
  </si>
  <si>
    <t>2. Core Practice Area Page – Child Custody
Sequencing: Build first as a core hub; used for navigation, homepage links, and cluster authority.</t>
  </si>
  <si>
    <t>Build the Child Custody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</si>
  <si>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Child Custody searches while providing a scalable structure for supporting pages.</t>
  </si>
  <si>
    <t>3. Core Practice Area Page – Child Support
Sequencing: Build first as a core hub; used for navigation, homepage links, and cluster authority.</t>
  </si>
  <si>
    <t>Build the Child Support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</si>
  <si>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Child Support searches while providing a scalable structure for supporting pages.</t>
  </si>
  <si>
    <t>4. Core Practice Area Page – Spousal Support / Alimony
Sequencing: Build first as a core hub; used for navigation, homepage links, and cluster authority.</t>
  </si>
  <si>
    <t>Build the Spousal Support / Alimony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</si>
  <si>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Spousal Support / Alimony searches while providing a scalable structure for supporting pages.</t>
  </si>
  <si>
    <t>5. Core Practice Area Page – Property Division
Sequencing: Build first as a core hub; used for navigation, homepage links, and cluster authority.</t>
  </si>
  <si>
    <t>Build the Property Division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</si>
  <si>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Property Division searches while providing a scalable structure for supporting pages.</t>
  </si>
  <si>
    <t>6. Core Practice Area Page – Paternity
Sequencing: Build first as a core hub; used for navigation, homepage links, and cluster authority.</t>
  </si>
  <si>
    <t>Build the Paternity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</si>
  <si>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Paternity searches while providing a scalable structure for supporting pages.</t>
  </si>
  <si>
    <t>7. Core Practice Area Page – Guardianship
Sequencing: Build first as a core hub; used for navigation, homepage links, and cluster authority.</t>
  </si>
  <si>
    <t>Build the Guardianship core hub page to define the service, align to high-intent queries, and act as the primary internal linking source for related procedural and situational pages within this cluster.</t>
  </si>
  <si>
    <t>Consolidates topical authority into a single canonical hub, improving crawl prioritization and internal PageRank flow. Strengthens relevance and ranking stability for core Guardianship searches while providing a scalable structure for supporting pages.</t>
  </si>
  <si>
    <t>8. Procedural Page – Contested Divorce (Linked from: Divorce Practice Area Page)
Sequencing: Publish immediately after the Divorce hub to complete the primary divorce intent pathway.</t>
  </si>
  <si>
    <t>Create the Contested Divorce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</si>
  <si>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Expands topical depth and improves query matching for process-focused searches while reinforcing the authority of the parent hub via reciprocal linking. Helps search engines distinguish procedural intent from service and situational intent, improving ranking precision.</t>
  </si>
  <si>
    <t>9. Procedural Page – Uncontested Divorce (Linked from: Divorce Practice Area Page)
Sequencing: Publish immediately after the Divorce hub to complete the primary divorce intent pathway.</t>
  </si>
  <si>
    <t>Create the Uncontested Divorce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</si>
  <si>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10. Procedural Page – Child Custody Modification (Linked from: Child Custody Practice Area Page)
Sequencing: Publish after the parent hub (Child Custody Practice Area Page) so the page inherits authority and is not orphaned.</t>
  </si>
  <si>
    <t>Tier 2</t>
  </si>
  <si>
    <t>Create the Child Custody Modification procedural page explaining the legal/court-driven process, requirements, and what to expect. Linked from the Child Custody Practice Area Page. Must link back to the Child Custody Practice Area Page and cross-link only to directly relevant sibling procedural pages where comparison is helpful.</t>
  </si>
  <si>
    <t>11. Procedural Page – Child Support Modification (Linked from: Child Support Practice Area Page)
Sequencing: Publish after the parent hub (Child Support Practice Area Page) so the page inherits authority and is not orphaned.</t>
  </si>
  <si>
    <t>Create the Child Support Modification procedural page explaining the legal/court-driven process, requirements, and what to expect. Linked from the Child Support Practice Area Page. Must link back to the Child Support Practice Area Page and cross-link only to directly relevant sibling procedural pages where comparison is helpful.</t>
  </si>
  <si>
    <t>12. Procedural Page – Child Support Enforcement (Linked from: Child Support Practice Area Page)
Sequencing: Publish after the parent hub (Child Support Practice Area Page) so the page inherits authority and is not orphaned.</t>
  </si>
  <si>
    <t>Create the Child Support Enforcement procedural page explaining the legal/court-driven process, requirements, and what to expect. Linked from the Child Support Practice Area Page. Must link back to the Child Support Practice Area Page and cross-link only to directly relevant sibling procedural pages where comparison is helpful.</t>
  </si>
  <si>
    <t>13. Procedural Page – Parenting Plans (Linked from: Child Custody Practice Area Page)
Sequencing: Publish after the parent hub (Child Custody Practice Area Page) so the page inherits authority and is not orphaned.</t>
  </si>
  <si>
    <t>Create the Parenting Plans procedural page explaining the legal/court-driven process, requirements, and what to expect. Linked from the Child Custody Practice Area Page. Must link back to the Child Custody Practice Area Page and cross-link only to directly relevant sibling procedural pages where comparison is helpful.</t>
  </si>
  <si>
    <t>14. Procedural Page – Temporary Spousal Support (Linked from: Spousal Support / Alimony Practice Area Page)
Sequencing: Publish after the parent hub (Spousal Support / Alimony Practice Area Page) so the page inherits authority and is not orphaned.</t>
  </si>
  <si>
    <t>Create the Temporary Spousal Support procedural page explaining the legal/court-driven process, requirements, and what to expect. Linked from the Spousal Support / Alimony Practice Area Page. Must link back to the Spousal Support / Alimony Practice Area Page and cross-link only to directly relevant sibling procedural pages where comparison is helpful.</t>
  </si>
  <si>
    <t>15. Procedural Page – Equitable Distribution (Linked from: Property Division Practice Area Page)
Sequencing: Publish after the parent hub (Property Division Practice Area Page) so the page inherits authority and is not orphaned.</t>
  </si>
  <si>
    <t>Create the Equitable Distribution procedural page explaining the legal/court-driven process, requirements, and what to expect. Linked from the Property Division Practice Area Page. Must link back to the Property Division Practice Area Page and cross-link only to directly relevant sibling procedural pages where comparison is helpful.</t>
  </si>
  <si>
    <t>16. Procedural Page – Establishing Paternity (Linked from: Paternity Practice Area Page)
Sequencing: Publish after the parent hub (Paternity Practice Area Page) so the page inherits authority and is not orphaned.</t>
  </si>
  <si>
    <t>Create the Establishing Paternity procedural page explaining the legal/court-driven process, requirements, and what to expect. Linked from the Paternity Practice Area Page. Must link back to the Paternity Practice Area Page and cross-link only to directly relevant sibling procedural pages where comparison is helpful.</t>
  </si>
  <si>
    <t>17. Procedural Page – Emergency Custody Orders (Linked from: Divorce Practice Area Page)
Sequencing: Publish after the parent hub (Divorce Practice Area Page) so the page inherits authority and is not orphaned.</t>
  </si>
  <si>
    <t>Create the Emergency Custody Orders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</si>
  <si>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18. Procedural Page – Marital vs Separate Property (Linked from: Divorce Practice Area Page)
Sequencing: Publish after the parent hub (Divorce Practice Area Page) so the page inherits authority and is not orphaned.</t>
  </si>
  <si>
    <t>Create the Marital vs Separate Property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</si>
  <si>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19. Procedural Page – Long-Term Spousal Support (Linked from: Divorce Practice Area Page)
Sequencing: Publish after the parent hub (Divorce Practice Area Page) so the page inherits authority and is not orphaned.</t>
  </si>
  <si>
    <t>Create the Long-Term Spousal Support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</si>
  <si>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20. Procedural Page – Guardianship of a Minor (Linked from: Divorce Practice Area Page)
Sequencing: Publish after the parent hub (Divorce Practice Area Page) so the page inherits authority and is not orphaned.</t>
  </si>
  <si>
    <t>Create the Guardianship of a Minor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</si>
  <si>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21. Procedural Page – Adult Guardianship (Linked from: Divorce Practice Area Page)
Sequencing: Publish after the parent hub (Divorce Practice Area Page) so the page inherits authority and is not orphaned.</t>
  </si>
  <si>
    <t>Create the Adult Guardianship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</si>
  <si>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22. Procedural Page – Challenging Paternity (Linked from: Divorce Practice Area Page)
Sequencing: Publish after the parent hub (Divorce Practice Area Page) so the page inherits authority and is not orphaned.</t>
  </si>
  <si>
    <t>Create the Challenging Paternity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</si>
  <si>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23. Procedural Page – Legal Separation (Linked from: Divorce Practice Area Page)
Sequencing: Publish after the parent hub (Divorce Practice Area Page) so the page inherits authority and is not orphaned.</t>
  </si>
  <si>
    <t>Create the Legal Separation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</si>
  <si>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24. Procedural Page – Divorce Mediation (Linked from: Divorce Practice Area Page)
Sequencing: Publish after the parent hub (Divorce Practice Area Page) so the page inherits authority and is not orphaned.</t>
  </si>
  <si>
    <t>Create the Divorce Mediation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</si>
  <si>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25. Procedural Page – Collaborative Divorce (Linked from: Divorce Practice Area Page)
Sequencing: Publish after the parent hub (Divorce Practice Area Page) so the page inherits authority and is not orphaned.</t>
  </si>
  <si>
    <t>Create the Collaborative Divorce procedural page explaining the legal/court-driven process, requirements, and what to expect. Linked from the Divorce Practice Area Page. Must link back to the Divorce Practice Area Page and cross-link only to directly relevant sibling procedural pages where comparison is helpful.</t>
  </si>
  <si>
    <t>26. Procedural Page – Temporary Guardianship (Linked from: Guardianship Practice Area Page)
Sequencing: Publish after the parent hub (Guardianship Practice Area Page) so the page inherits authority and is not orphaned.</t>
  </si>
  <si>
    <t>Create the Temporary Guardianship procedural page explaining the legal/court-driven process, requirements, and what to expect. Linked from the Guardianship Practice Area Page. Must link back to the Guardianship Practice Area Page and cross-link only to directly relevant sibling procedural pages where comparison is helpful.</t>
  </si>
  <si>
    <t>27. Situational Page – High-Conflict Divorce (Linked from: Divorce Practice Area Page)
Sequencing: Publish after the parent hub and its key procedural page(s) to inherit authority and clarify intent.</t>
  </si>
  <si>
    <t>Tier 3</t>
  </si>
  <si>
    <t>Create the High-Conflict Divorce situational page addressing a real dispute/escalation scenario and the legal options available. Linked from the Divorce Practice Area Page. Must link back to the Divorce Practice Area Page and to the most relevant procedural page(s) for next-step guidance.</t>
  </si>
  <si>
    <t>Captures high-intent, urgency-driven long-tail searches while inheriting authority from the parent hub and related procedurals. Improves topical completeness and conversion pathways without cannibalizing the core hub’s rankings.</t>
  </si>
  <si>
    <t>28. Situational Page – Relocation / Move-Away Custody Disputes (Linked from: Child Custody Practice Area Page)
Sequencing: Publish after the parent hub and its key procedural page(s) to inherit authority and clarify intent.</t>
  </si>
  <si>
    <t>Create the Relocation / Move-Away Custody Disputes situational page addressing a real dispute/escalation scenario and the legal options available. Linked from the Child Custody Practice Area Page. Must link back to the Child Custody Practice Area Page and to the most relevant procedural page(s) for next-step guidance.</t>
  </si>
  <si>
    <t>29. Situational Page – Divorce Involving Business Ownership (Linked from: Divorce Practice Area Page)
Sequencing: Publish after the parent hub and its key procedural page(s) to inherit authority and clarify intent.</t>
  </si>
  <si>
    <t>Create the Divorce Involving Business Ownership situational page addressing a real dispute/escalation scenario and the legal options available. Linked from the Divorce Practice Area Page. Must link back to the Divorce Practice Area Page and to the most relevant procedural page(s) for next-step guidance.</t>
  </si>
  <si>
    <t>30. Situational Page – High-Conflict Custody (Linked from: Child Custody Practice Area Page)
Sequencing: Publish after the parent hub and its key procedural page(s) to inherit authority and clarify intent.</t>
  </si>
  <si>
    <t>Create the High-Conflict Custody situational page addressing a real dispute/escalation scenario and the legal options available. Linked from the Child Custody Practice Area Page. Must link back to the Child Custody Practice Area Page and to the most relevant procedural page(s) for next-step guidance.</t>
  </si>
  <si>
    <t>31. Situational Page – Child Support Disputes After Income Changes (Linked from: Child Support Practice Area Page)
Sequencing: Publish after the parent hub and its key procedural page(s) to inherit authority and clarify intent.</t>
  </si>
  <si>
    <t>Create the Child Support Disputes After Income Changes situational page addressing a real dispute/escalation scenario and the legal options available. Linked from the Child Support Practice Area Page. Must link back to the Child Support Practice Area Page and to the most relevant procedural page(s) for next-step guidance.</t>
  </si>
  <si>
    <t>32. Situational Page – Back Child Support / Arrears (Linked from: Child Support Practice Area Page)
Sequencing: Publish after the parent hub and its key procedural page(s) to inherit authority and clarify intent.</t>
  </si>
  <si>
    <t>Create the Back Child Support / Arrears situational page addressing a real dispute/escalation scenario and the legal options available. Linked from the Child Support Practice Area Page. Must link back to the Child Support Practice Area Page and to the most relevant procedural page(s) for next-step guidance.</t>
  </si>
  <si>
    <t>33. Situational Page – Long-Term Marriage Divorce (Linked from: Divorce Practice Area Page)
Sequencing: Publish after the parent hub and its key procedural page(s) to inherit authority and clarify intent.</t>
  </si>
  <si>
    <t>Create the Long-Term Marriage Divorce situational page addressing a real dispute/escalation scenario and the legal options available. Linked from the Divorce Practice Area Page. Must link back to the Divorce Practice Area Page and to the most relevant procedural page(s) for next-step guidance.</t>
  </si>
  <si>
    <t>34. Situational Page – Business Valuation and Division (Linked from: Property Division Practice Area Page)
Sequencing: Publish after the parent hub and its key procedural page(s) to inherit authority and clarify intent.</t>
  </si>
  <si>
    <t>Create the Business Valuation and Division situational page addressing a real dispute/escalation scenario and the legal options available. Linked from the Property Division Practice Area Page. Must link back to the Property Division Practice Area Page and to the most relevant procedural page(s) for next-step guidance.</t>
  </si>
  <si>
    <t>35. Situational Page – Emergency Guardianship (Linked from: Guardianship Practice Area Page)
Sequencing: Publish after the parent hub and its key procedural page(s) to inherit authority and clarify intent.</t>
  </si>
  <si>
    <t>Create the Emergency Guardianship situational page addressing a real dispute/escalation scenario and the legal options available. Linked from the Guardianship Practice Area Page. Must link back to the Guardianship Practice Area Page and to the most relevant procedural page(s) for next-step guidance.</t>
  </si>
  <si>
    <t>36. Situational Page – Parenting Time Disputes (Linked from: Child Custody Practice Area Page)
Sequencing: Publish after the parent hub and its key procedural page(s) to inherit authority and clarify intent.</t>
  </si>
  <si>
    <t>Create the Parenting Time Disputes situational page addressing a real dispute/escalation scenario and the legal options available. Linked from the Child Custody Practice Area Page. Must link back to the Child Custody Practice Area Page and to the most relevant procedural page(s) for next-step guidance.</t>
  </si>
  <si>
    <t>37. Situational Page – High-Income Spousal Support Disputes (Linked from: Spousal Support / Alimony Practice Area Page)
Sequencing: Publish after the parent hub and its key procedural page(s) to inherit authority and clarify intent.</t>
  </si>
  <si>
    <t>Create the High-Income Spousal Support Disputes situational page addressing a real dispute/escalation scenario and the legal options available. Linked from the Spousal Support / Alimony Practice Area Page. Must link back to the Spousal Support / Alimony Practice Area Page and to the most relevant procedural page(s) for next-step guidance.</t>
  </si>
  <si>
    <t>38. Situational Page – Self-Employed or Variable Income Support (Linked from: Child Support Practice Area Page)
Sequencing: Publish after the parent hub and its key procedural page(s) to inherit authority and clarify intent.</t>
  </si>
  <si>
    <t>Create the Self-Employed or Variable Income Support situational page addressing a real dispute/escalation scenario and the legal options available. Linked from the Child Support Practice Area Page. Must link back to the Child Support Practice Area Page and to the most relevant procedural page(s) for next-step guidance.</t>
  </si>
  <si>
    <t>39. Situational Page – Supervised Visitation (Linked from: Child Custody Practice Area Page)
Sequencing: Publish after the parent hub and its key procedural page(s) to inherit authority and clarify intent.</t>
  </si>
  <si>
    <t>Create the Supervised Visitation situational page addressing a real dispute/escalation scenario and the legal options available. Linked from the Child Custody Practice Area Page. Must link back to the Child Custody Practice Area Page and to the most relevant procedural page(s) for next-step guidance.</t>
  </si>
  <si>
    <t>40. Situational Page – Hidden Assets and Financial Misconduct (Linked from: Divorce Practice Area Page)
Sequencing: Publish after the parent hub and its key procedural page(s) to inherit authority and clarify intent.</t>
  </si>
  <si>
    <t>Create the Hidden Assets and Financial Misconduct situational page addressing a real dispute/escalation scenario and the legal options available. Linked from the Divorce Practice Area Page. Must link back to the Divorce Practice Area Page and to the most relevant procedural page(s) for next-step guidance.</t>
  </si>
  <si>
    <t>Phase 01</t>
  </si>
  <si>
    <t>Core Content Pages</t>
  </si>
  <si>
    <t>Authority Pages</t>
  </si>
  <si>
    <t>State Hub</t>
  </si>
  <si>
    <t>Sterling Lawyers Illinois</t>
  </si>
  <si>
    <t>/illinois/</t>
  </si>
  <si>
    <t>family law attorneys illinois</t>
  </si>
  <si>
    <t>Sterling Lawyers Illinois Attorneys</t>
  </si>
  <si>
    <t>/illinois/attorneys/</t>
  </si>
  <si>
    <t>illinois family law attorneys</t>
  </si>
  <si>
    <t>Phase 03</t>
  </si>
  <si>
    <t>Practice Area Pages</t>
  </si>
  <si>
    <t>Divorce Lawyer in Illinois</t>
  </si>
  <si>
    <t>/illinois/divorce/</t>
  </si>
  <si>
    <t>divorce lawyer illinois</t>
  </si>
  <si>
    <t>Child Custody Lawyer in Illinois</t>
  </si>
  <si>
    <t>/illinois/child-custody/</t>
  </si>
  <si>
    <t>child custody lawyer illinois</t>
  </si>
  <si>
    <t>Child Support Lawyer in Illinois</t>
  </si>
  <si>
    <t>/illinois/child-support/</t>
  </si>
  <si>
    <t>child support lawyer illinois</t>
  </si>
  <si>
    <t>Spousal Support Hub</t>
  </si>
  <si>
    <t>Spousal Support / Alimony Lawyer in Illinois</t>
  </si>
  <si>
    <t>/illinois/spousal-support/</t>
  </si>
  <si>
    <t>alimony lawyer illinois</t>
  </si>
  <si>
    <t>Property Division Lawyer in Illinois</t>
  </si>
  <si>
    <t>/illinois/property-division/</t>
  </si>
  <si>
    <t>property division lawyer illinois</t>
  </si>
  <si>
    <t>Paternity Lawyer in Illinois</t>
  </si>
  <si>
    <t>/illinois/paternity/</t>
  </si>
  <si>
    <t>paternity lawyer illinois</t>
  </si>
  <si>
    <t>Guardianship Hub</t>
  </si>
  <si>
    <t>Guardianship Lawyer in Illinois</t>
  </si>
  <si>
    <t>/illinois/guardianship/</t>
  </si>
  <si>
    <t>guardianship lawyer illinois</t>
  </si>
  <si>
    <t>Procedural Pages</t>
  </si>
  <si>
    <t>Contested Divorce in Illinois</t>
  </si>
  <si>
    <t>/illinois/divorce/contested/</t>
  </si>
  <si>
    <t>contested divorce illinois</t>
  </si>
  <si>
    <t>Uncontested Divorce in Illinois</t>
  </si>
  <si>
    <t>/illinois/divorce/uncontested/</t>
  </si>
  <si>
    <t>uncontested divorce illinois</t>
  </si>
  <si>
    <t>Divorce Mediation</t>
  </si>
  <si>
    <t>Divorce Mediation in Illinois</t>
  </si>
  <si>
    <t>/illinois/divorce/mediation/</t>
  </si>
  <si>
    <t>divorce mediation illinois</t>
  </si>
  <si>
    <t>Collaborative Divorce</t>
  </si>
  <si>
    <t>Collaborative Divorce in Illinois</t>
  </si>
  <si>
    <t>/illinois/divorce/collaborative/</t>
  </si>
  <si>
    <t>collaborative divorce illinois</t>
  </si>
  <si>
    <t>Legal Separation</t>
  </si>
  <si>
    <t>Legal Separation in Illinois</t>
  </si>
  <si>
    <t>/illinois/divorce/separation/</t>
  </si>
  <si>
    <t>legal separation illinois</t>
  </si>
  <si>
    <t>Grounds for Divorce</t>
  </si>
  <si>
    <t>Grounds for Divorce in Illinois</t>
  </si>
  <si>
    <t>/illinois/divorce/grounds/</t>
  </si>
  <si>
    <t>grounds for divorce illinois</t>
  </si>
  <si>
    <t>How Long Divorce Takes</t>
  </si>
  <si>
    <t>How Long Does Divorce Take in Illinois</t>
  </si>
  <si>
    <t>/illinois/divorce/how-long/</t>
  </si>
  <si>
    <t>how long does divorce take illinois</t>
  </si>
  <si>
    <t>File for Divorce</t>
  </si>
  <si>
    <t>How to File for Divorce in Illinois</t>
  </si>
  <si>
    <t>/illinois/divorce/file/</t>
  </si>
  <si>
    <t>file for divorce illinois</t>
  </si>
  <si>
    <t>Divorce Cost</t>
  </si>
  <si>
    <t>Cost of Divorce in Illinois</t>
  </si>
  <si>
    <t>/illinois/divorce/cost/</t>
  </si>
  <si>
    <t>divorce cost illinois</t>
  </si>
  <si>
    <t>DIY Divorce</t>
  </si>
  <si>
    <t>DIY Divorce in Illinois</t>
  </si>
  <si>
    <t>/illinois/divorce/diy/</t>
  </si>
  <si>
    <t>diy divorce illinois</t>
  </si>
  <si>
    <t>Divorce Forms</t>
  </si>
  <si>
    <t>Divorce Forms in Illinois</t>
  </si>
  <si>
    <t>/illinois/divorce/forms/</t>
  </si>
  <si>
    <t>divorce forms illinois</t>
  </si>
  <si>
    <t>Annulment</t>
  </si>
  <si>
    <t>Annulment in Illinois</t>
  </si>
  <si>
    <t>/illinois/divorce/annulment/</t>
  </si>
  <si>
    <t>annulment illinois</t>
  </si>
  <si>
    <t>Temporary Orders</t>
  </si>
  <si>
    <t>Temporary Orders in Illinois Divorce</t>
  </si>
  <si>
    <t>/illinois/divorce/temporary-order/</t>
  </si>
  <si>
    <t>temporary divorce order illinois</t>
  </si>
  <si>
    <t>Order of Protection</t>
  </si>
  <si>
    <t>Order of Protection in Illinois Divorce</t>
  </si>
  <si>
    <t>/illinois/divorce/order-of-protection/</t>
  </si>
  <si>
    <t>order of protection divorce illinois</t>
  </si>
  <si>
    <t>Divorce Litigation</t>
  </si>
  <si>
    <t>Divorce Litigation in Illinois</t>
  </si>
  <si>
    <t>/illinois/divorce/litigation/</t>
  </si>
  <si>
    <t>divorce litigation illinois</t>
  </si>
  <si>
    <t>Evicting Spouse</t>
  </si>
  <si>
    <t>Evicting Spouse During Divorce in Illinois</t>
  </si>
  <si>
    <t>/illinois/divorce/evicting-spouse/</t>
  </si>
  <si>
    <t>evicting spouse divorce illinois</t>
  </si>
  <si>
    <t>Abandonment</t>
  </si>
  <si>
    <t>Abandonment in Illinois Divorce</t>
  </si>
  <si>
    <t>/illinois/divorce/abandonment/</t>
  </si>
  <si>
    <t>abandonment divorce illinois</t>
  </si>
  <si>
    <t>Adultery Laws</t>
  </si>
  <si>
    <t>Adultery Laws in Illinois Divorce</t>
  </si>
  <si>
    <t>/illinois/divorce/adultery/</t>
  </si>
  <si>
    <t>adultery divorce illinois</t>
  </si>
  <si>
    <t>Common Law Marriage</t>
  </si>
  <si>
    <t>Common Law Marriage in Illinois</t>
  </si>
  <si>
    <t>/illinois/divorce/common-law-marriage/</t>
  </si>
  <si>
    <t>common law marriage illinois</t>
  </si>
  <si>
    <t>Documenting Agreements</t>
  </si>
  <si>
    <t>Documenting Divorce Agreements in Illinois</t>
  </si>
  <si>
    <t>/illinois/divorce/documenting-agreements/</t>
  </si>
  <si>
    <t>divorce agreement documentation illinois</t>
  </si>
  <si>
    <t>Divorce Financing</t>
  </si>
  <si>
    <t>Financing Divorce in Illinois</t>
  </si>
  <si>
    <t>/illinois/divorce/financing/</t>
  </si>
  <si>
    <t>divorce financing illinois</t>
  </si>
  <si>
    <t>How to Get Divorced</t>
  </si>
  <si>
    <t>How to Get Divorced in Illinois</t>
  </si>
  <si>
    <t>/illinois/divorce/how/</t>
  </si>
  <si>
    <t>how to get divorced illinois</t>
  </si>
  <si>
    <t>Divorce Waiting Period</t>
  </si>
  <si>
    <t>Divorce Waiting Period in Illinois</t>
  </si>
  <si>
    <t>/illinois/divorce/waiting-period/</t>
  </si>
  <si>
    <t>divorce waiting period illinois</t>
  </si>
  <si>
    <t>Marriage License</t>
  </si>
  <si>
    <t>Marriage License Issues in Illinois Divorce</t>
  </si>
  <si>
    <t>/illinois/divorce/marriage-license/</t>
  </si>
  <si>
    <t>marriage license divorce illinois</t>
  </si>
  <si>
    <t>Child Custody Modification in Illinois</t>
  </si>
  <si>
    <t>/illinois/child-custody/modify/</t>
  </si>
  <si>
    <t>modify custody illinois</t>
  </si>
  <si>
    <t>Custody Enforcement</t>
  </si>
  <si>
    <t>Enforcing Child Custody Orders in Illinois</t>
  </si>
  <si>
    <t>/illinois/child-custody/enforce/</t>
  </si>
  <si>
    <t>enforce custody orders illinois</t>
  </si>
  <si>
    <t>Parenting Plans in Illinois</t>
  </si>
  <si>
    <t>/illinois/child-custody/parenting-plan/</t>
  </si>
  <si>
    <t>parenting plan illinois</t>
  </si>
  <si>
    <t>Custody Process</t>
  </si>
  <si>
    <t>Child Custody Process in Illinois</t>
  </si>
  <si>
    <t>/illinois/child-custody/process/</t>
  </si>
  <si>
    <t>custody process illinois</t>
  </si>
  <si>
    <t>50/50 Custody Schedules</t>
  </si>
  <si>
    <t>50/50 Custody Schedules in Illinois</t>
  </si>
  <si>
    <t>/illinois/child-custody/50-50/</t>
  </si>
  <si>
    <t>50 50 custody illinois</t>
  </si>
  <si>
    <t>Sole Custody</t>
  </si>
  <si>
    <t>Sole Custody in Illinois</t>
  </si>
  <si>
    <t>/illinois/child-custody/sole/</t>
  </si>
  <si>
    <t>sole custody illinois</t>
  </si>
  <si>
    <t>Split Custody</t>
  </si>
  <si>
    <t>Split Custody in Illinois</t>
  </si>
  <si>
    <t>/illinois/child-custody/split/</t>
  </si>
  <si>
    <t>split custody illinois</t>
  </si>
  <si>
    <t>Father's Rights</t>
  </si>
  <si>
    <t>Father's Rights in Illinois</t>
  </si>
  <si>
    <t>/illinois/child-custody/fathers-rights/</t>
  </si>
  <si>
    <t>fathers rights illinois</t>
  </si>
  <si>
    <t>Parental Alienation</t>
  </si>
  <si>
    <t>Parental Alienation in Illinois</t>
  </si>
  <si>
    <t>/illinois/child-custody/parental-alienation/</t>
  </si>
  <si>
    <t>parental alienation illinois</t>
  </si>
  <si>
    <t>Co-Parenting</t>
  </si>
  <si>
    <t>Co-Parenting in Illinois</t>
  </si>
  <si>
    <t>/illinois/child-custody/co-parenting/</t>
  </si>
  <si>
    <t>co-parenting illinois</t>
  </si>
  <si>
    <t>Co-Parenting with Narcissist</t>
  </si>
  <si>
    <t>Co-Parenting with a Narcissist in Illinois</t>
  </si>
  <si>
    <t>/illinois/child-custody/narcissist/</t>
  </si>
  <si>
    <t>co-parenting narcissist illinois</t>
  </si>
  <si>
    <t>Unfit Parent</t>
  </si>
  <si>
    <t>Proving Unfit Parent in Illinois</t>
  </si>
  <si>
    <t>/illinois/child-custody/unfit-parent/</t>
  </si>
  <si>
    <t>unfit parent illinois</t>
  </si>
  <si>
    <t>Third Party Visitation</t>
  </si>
  <si>
    <t>Third Party Visitation Rights in Illinois</t>
  </si>
  <si>
    <t>/illinois/child-custody/third-party-visitation/</t>
  </si>
  <si>
    <t>grandparent visitation illinois</t>
  </si>
  <si>
    <t>Third Party Custody</t>
  </si>
  <si>
    <t>Third Party Custody Orders in Illinois</t>
  </si>
  <si>
    <t>/illinois/child-custody/third-party-orders/</t>
  </si>
  <si>
    <t>third party custody illinois</t>
  </si>
  <si>
    <t>Guardian ad Litem</t>
  </si>
  <si>
    <t>Guardian ad Litem in Illinois Custody</t>
  </si>
  <si>
    <t>/illinois/child-custody/guardian-ad-litem/</t>
  </si>
  <si>
    <t>guardian ad litem illinois</t>
  </si>
  <si>
    <t>Child Chooses Parent</t>
  </si>
  <si>
    <t>When Can a Child Choose Which Parent in Illinois</t>
  </si>
  <si>
    <t>/illinois/child-custody/child-choice/</t>
  </si>
  <si>
    <t>child choose parent illinois</t>
  </si>
  <si>
    <t>Custody During Divorce</t>
  </si>
  <si>
    <t>Child Custody During Divorce in Illinois</t>
  </si>
  <si>
    <t>/illinois/child-custody/during-divorce/</t>
  </si>
  <si>
    <t>custody during divorce illinois</t>
  </si>
  <si>
    <t>Temporary Parental Responsibilities</t>
  </si>
  <si>
    <t>Temporary Parental Responsibilities in Illinois</t>
  </si>
  <si>
    <t>/illinois/child-custody/temporary/</t>
  </si>
  <si>
    <t>temporary custody illinois</t>
  </si>
  <si>
    <t>Custody Name Change</t>
  </si>
  <si>
    <t>Name Change in Illinois Custody</t>
  </si>
  <si>
    <t>/illinois/child-custody/name-change/</t>
  </si>
  <si>
    <t>child name change custody illinois</t>
  </si>
  <si>
    <t>Paternity and Custody</t>
  </si>
  <si>
    <t>Paternity and Child Custody in Illinois</t>
  </si>
  <si>
    <t>/illinois/child-custody/paternity/</t>
  </si>
  <si>
    <t>paternity custody illinois</t>
  </si>
  <si>
    <t>Child Support Modification in Illinois</t>
  </si>
  <si>
    <t>/illinois/child-support/modify/</t>
  </si>
  <si>
    <t>modify child support illinois</t>
  </si>
  <si>
    <t>Enforcing Child Support in Illinois</t>
  </si>
  <si>
    <t>/illinois/child-support/enforce/</t>
  </si>
  <si>
    <t>enforce child support illinois</t>
  </si>
  <si>
    <t>Child Support Calculator</t>
  </si>
  <si>
    <t>Child Support Calculator Illinois</t>
  </si>
  <si>
    <t>/illinois/child-support/calculator/</t>
  </si>
  <si>
    <t>child support calculator illinois</t>
  </si>
  <si>
    <t>Child Support in Divorce</t>
  </si>
  <si>
    <t>Child Support in Illinois Divorce</t>
  </si>
  <si>
    <t>/illinois/child-support/divorce/</t>
  </si>
  <si>
    <t>child support divorce illinois</t>
  </si>
  <si>
    <t>End Child Support</t>
  </si>
  <si>
    <t>Ending Child Support Orders in Illinois</t>
  </si>
  <si>
    <t>/illinois/child-support/end/</t>
  </si>
  <si>
    <t>end child support illinois</t>
  </si>
  <si>
    <t>Spousal Support Modification</t>
  </si>
  <si>
    <t>Modify Spousal Support in Illinois</t>
  </si>
  <si>
    <t>/illinois/spousal-support/modify/</t>
  </si>
  <si>
    <t>modify alimony illinois</t>
  </si>
  <si>
    <t>Spousal Support Enforcement</t>
  </si>
  <si>
    <t>Enforcing Spousal Support in Illinois</t>
  </si>
  <si>
    <t>/illinois/spousal-support/enforce/</t>
  </si>
  <si>
    <t>enforce alimony illinois</t>
  </si>
  <si>
    <t>Terminate Spousal Support</t>
  </si>
  <si>
    <t>Terminating Spousal Support in Illinois</t>
  </si>
  <si>
    <t>/illinois/spousal-support/terminate/</t>
  </si>
  <si>
    <t>terminate alimony illinois</t>
  </si>
  <si>
    <t>Alimony Calculator</t>
  </si>
  <si>
    <t>Alimony Calculator Illinois</t>
  </si>
  <si>
    <t>/illinois/spousal-support/calculator/</t>
  </si>
  <si>
    <t>alimony calculator illinois</t>
  </si>
  <si>
    <t>Types of Alimony</t>
  </si>
  <si>
    <t>Types of Alimony in Illinois</t>
  </si>
  <si>
    <t>/illinois/spousal-support/types/</t>
  </si>
  <si>
    <t>types of alimony illinois</t>
  </si>
  <si>
    <t>Alimony Duration</t>
  </si>
  <si>
    <t>How Long Does Alimony Last in Illinois</t>
  </si>
  <si>
    <t>/illinois/spousal-support/duration/</t>
  </si>
  <si>
    <t>alimony duration illinois</t>
  </si>
  <si>
    <t>Alimony and Taxes</t>
  </si>
  <si>
    <t>Alimony and Taxes in Illinois</t>
  </si>
  <si>
    <t>/illinois/spousal-support/taxes/</t>
  </si>
  <si>
    <t>alimony taxes illinois</t>
  </si>
  <si>
    <t>Alimony in Divorce</t>
  </si>
  <si>
    <t>Spousal Support in Illinois Divorce</t>
  </si>
  <si>
    <t>/illinois/spousal-support/divorce/</t>
  </si>
  <si>
    <t>alimony in divorce illinois</t>
  </si>
  <si>
    <t>Marital Property</t>
  </si>
  <si>
    <t>Marital Property in Illinois</t>
  </si>
  <si>
    <t>/illinois/property-division/marital/</t>
  </si>
  <si>
    <t>marital property illinois</t>
  </si>
  <si>
    <t>Non-Marital Property</t>
  </si>
  <si>
    <t>Non-Marital Property in Illinois</t>
  </si>
  <si>
    <t>/illinois/property-division/non-marital/</t>
  </si>
  <si>
    <t>non-marital property illinois</t>
  </si>
  <si>
    <t>Hidden Assets</t>
  </si>
  <si>
    <t>Hidden Assets in Illinois Divorce</t>
  </si>
  <si>
    <t>/illinois/property-division/hidden-assets/</t>
  </si>
  <si>
    <t>hidden assets divorce illinois</t>
  </si>
  <si>
    <t>Retirement Division</t>
  </si>
  <si>
    <t>Retirement Division in Illinois Divorce</t>
  </si>
  <si>
    <t>/illinois/property-division/retirement/</t>
  </si>
  <si>
    <t>retirement division divorce illinois</t>
  </si>
  <si>
    <t>Investment Division</t>
  </si>
  <si>
    <t>Investment Division in Illinois Divorce</t>
  </si>
  <si>
    <t>/illinois/property-division/investments/</t>
  </si>
  <si>
    <t>investment division divorce illinois</t>
  </si>
  <si>
    <t>Inheritance in Divorce</t>
  </si>
  <si>
    <t>Inheritance in Illinois Divorce</t>
  </si>
  <si>
    <t>/illinois/property-division/inheritance/</t>
  </si>
  <si>
    <t>inheritance divorce illinois</t>
  </si>
  <si>
    <t>Marital House Division</t>
  </si>
  <si>
    <t>Who Gets the House in Illinois Divorce</t>
  </si>
  <si>
    <t>/illinois/property-division/house/</t>
  </si>
  <si>
    <t>who gets house divorce illinois</t>
  </si>
  <si>
    <t>Debt Division</t>
  </si>
  <si>
    <t>Debt Division in Illinois Divorce</t>
  </si>
  <si>
    <t>/illinois/property-division/debt/</t>
  </si>
  <si>
    <t>debt division divorce illinois</t>
  </si>
  <si>
    <t>Prenuptial Agreements</t>
  </si>
  <si>
    <t>Prenuptial Agreements in Illinois</t>
  </si>
  <si>
    <t>/illinois/property-division/prenup/</t>
  </si>
  <si>
    <t>prenuptial agreement illinois</t>
  </si>
  <si>
    <t>Postnuptial Agreements</t>
  </si>
  <si>
    <t>Postnuptial Agreements in Illinois</t>
  </si>
  <si>
    <t>/illinois/property-division/postnup/</t>
  </si>
  <si>
    <t>postnuptial agreement illinois</t>
  </si>
  <si>
    <t>Property Division Enforcement</t>
  </si>
  <si>
    <t>Enforcing Property Division in Illinois</t>
  </si>
  <si>
    <t>/illinois/property-division/enforce/</t>
  </si>
  <si>
    <t>enforce property division illinois</t>
  </si>
  <si>
    <t>Splitting Assets</t>
  </si>
  <si>
    <t>Splitting Assets in Illinois Divorce</t>
  </si>
  <si>
    <t>/illinois/property-division/splitting-assets/</t>
  </si>
  <si>
    <t>splitting assets divorce illinois</t>
  </si>
  <si>
    <t>Survivorship Marital Property</t>
  </si>
  <si>
    <t>Survivorship and Marital Property in Illinois</t>
  </si>
  <si>
    <t>/illinois/property-division/survivorship/</t>
  </si>
  <si>
    <t>survivorship marital property illinois</t>
  </si>
  <si>
    <t>Property Division Worksheet</t>
  </si>
  <si>
    <t>Property Division Worksheet Illinois</t>
  </si>
  <si>
    <t>/illinois/property-division/worksheet/</t>
  </si>
  <si>
    <t>property division worksheet illinois</t>
  </si>
  <si>
    <t>Existing</t>
  </si>
  <si>
    <t>Phase 02</t>
  </si>
  <si>
    <t>Equitable Distribution in Illinois</t>
  </si>
  <si>
    <t>/illinois/property-division/equitable-distribution/</t>
  </si>
  <si>
    <t>equitable distribution illinois</t>
  </si>
  <si>
    <t>GAP</t>
  </si>
  <si>
    <t>Establishing Paternity in Illinois</t>
  </si>
  <si>
    <t>/illinois/paternity/establishing-paternity/</t>
  </si>
  <si>
    <t>establish paternity illinois</t>
  </si>
  <si>
    <t>Emergency Custody Orders in Illinois</t>
  </si>
  <si>
    <t>/illinois/child-custody/emergency-custody-orders/</t>
  </si>
  <si>
    <t>emergency custody orders illinois</t>
  </si>
  <si>
    <t>Guardianship of a Minor</t>
  </si>
  <si>
    <t>Guardianship of a Minor in Illinois</t>
  </si>
  <si>
    <t>/illinois/guardianship/guardianship-of-a-minor/</t>
  </si>
  <si>
    <t>guardianship of minor illinois</t>
  </si>
  <si>
    <t>Adult Guardianship</t>
  </si>
  <si>
    <t>Adult Guardianship in Illinois</t>
  </si>
  <si>
    <t>/illinois/guardianship/adult-guardianship/</t>
  </si>
  <si>
    <t>adult guardianship illinois</t>
  </si>
  <si>
    <t>Challenging Paternity</t>
  </si>
  <si>
    <t>Challenging Paternity in Illinois</t>
  </si>
  <si>
    <t>/illinois/paternity/challenging-paternity/</t>
  </si>
  <si>
    <t>challenge paternity illinois</t>
  </si>
  <si>
    <t>Temporary Guardianship</t>
  </si>
  <si>
    <t>Temporary Guardianship in Illinois</t>
  </si>
  <si>
    <t>/illinois/guardianship/temporary-guardianship/</t>
  </si>
  <si>
    <t>temporary guardianship illinois</t>
  </si>
  <si>
    <t>Situational Pages</t>
  </si>
  <si>
    <t>High-Conflict Divorce</t>
  </si>
  <si>
    <t>High-Conflict Divorce in Illinois</t>
  </si>
  <si>
    <t>/illinois/divorce/high-conflict-divorce/</t>
  </si>
  <si>
    <t>high conflict divorce illinois</t>
  </si>
  <si>
    <t>Relocation / Move-Away Custody Disputes in Illinois</t>
  </si>
  <si>
    <t>/illinois/child-custody/relocation-move-away-custody-disputes/</t>
  </si>
  <si>
    <t>relocation custody illinois</t>
  </si>
  <si>
    <t>Divorce Involving Business Ownership in Illinois</t>
  </si>
  <si>
    <t>/illinois/divorce/divorce-involving-business-ownership/</t>
  </si>
  <si>
    <t>business owner divorce illinois</t>
  </si>
  <si>
    <t>High-Conflict Custody in Illinois</t>
  </si>
  <si>
    <t>/illinois/child-custody/high-conflict-custody/</t>
  </si>
  <si>
    <t>high conflict custody illinois</t>
  </si>
  <si>
    <t>Child Support Disputes After Income Changes</t>
  </si>
  <si>
    <t>Child Support Disputes After Income Changes in Illinois</t>
  </si>
  <si>
    <t>/illinois/child-support/child-support-disputes-after-income-changes/</t>
  </si>
  <si>
    <t>child support income change illinois</t>
  </si>
  <si>
    <t>Back Child Support / Arrears</t>
  </si>
  <si>
    <t>Back Child Support / Arrears in Illinois</t>
  </si>
  <si>
    <t>/illinois/child-support/back-child-support-arrears/</t>
  </si>
  <si>
    <t>back child support illinois</t>
  </si>
  <si>
    <t>Long-Term Marriage Divorce in Illinois</t>
  </si>
  <si>
    <t>/illinois/divorce/long-term-marriage-divorce/</t>
  </si>
  <si>
    <t>gray divorce illinois</t>
  </si>
  <si>
    <t>Business Valuation and Division in Illinois</t>
  </si>
  <si>
    <t>/illinois/property-division/business-valuation-and-division/</t>
  </si>
  <si>
    <t>business valuation divorce illinois</t>
  </si>
  <si>
    <t>Emergency Guardianship</t>
  </si>
  <si>
    <t>Emergency Guardianship in Illinois</t>
  </si>
  <si>
    <t>/illinois/guardianship/emergency-guardianship/</t>
  </si>
  <si>
    <t>emergency guardianship illinois</t>
  </si>
  <si>
    <t>Parenting Time Disputes in Illinois</t>
  </si>
  <si>
    <t>/illinois/child-custody/parenting-time-disputes/</t>
  </si>
  <si>
    <t>parenting time disputes illinois</t>
  </si>
  <si>
    <t>High-Income Spousal Support Disputes in Illinois</t>
  </si>
  <si>
    <t>/illinois/spousal-support/high-income-spousal-support-disputes/</t>
  </si>
  <si>
    <t>high income alimony illinois</t>
  </si>
  <si>
    <t>Self-Employed or Variable Income Support</t>
  </si>
  <si>
    <t>Self-Employed or Variable Income Support in Illinois</t>
  </si>
  <si>
    <t>/illinois/child-support/self-employed-or-variable-income-support/</t>
  </si>
  <si>
    <t>self employed child support illinois</t>
  </si>
  <si>
    <t>Supervised Visitation</t>
  </si>
  <si>
    <t>Supervised Visitation in Illinois</t>
  </si>
  <si>
    <t>/illinois/child-custody/supervised-visitation/</t>
  </si>
  <si>
    <t>supervised visitation illinois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</si>
</sst>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theme="1"/>
      <name val="Arial"/>
      <scheme val="minor"/>
    </font>
    <font>
      <u/>
      <color rgb="FF0000FF"/>
    </font>
    <font>
      <u/>
      <color rgb="FF0000FF"/>
      <name val="-apple-system"/>
    </font>
    <font>
      <b/>
      <color theme="1"/>
      <name val="Arial"/>
      <scheme val="minor"/>
    </font>
    <font>
      <b/>
      <color rgb="FFFFFFFF"/>
      <name val="Arial"/>
      <scheme val="minor"/>
    </font>
    <font>
      <sz val="11.0"/>
      <color theme="1"/>
      <name val="Calibri"/>
    </font>
    <font>
      <u/>
      <color rgb="FF0000FF"/>
    </font>
  </fonts>
  <fills count="3">
    <fill>
      <patternFill patternType="none"/>
    </fill>
    <fill>
      <patternFill patternType="lightGray"/>
    </fill>
    <fill>
      <patternFill patternType="solid">
        <fgColor rgb="FF1A365D"/>
        <bgColor rgb="FF1A365D"/>
      </patternFill>
    </fill>
  </fills>
  <borders count="3">
    <border/>
    <border>
      <bottom style="thin">
        <color rgb="FFDDDDDD"/>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readingOrder="0"/>
    </xf>
    <xf borderId="0" fillId="0" fontId="4" numFmtId="0" xfId="0" applyAlignment="1" applyFont="1">
      <alignment readingOrder="0"/>
    </xf>
    <xf borderId="2" fillId="2" fontId="5" numFmtId="0" xfId="0" applyAlignment="1" applyBorder="1" applyFill="1" applyFont="1">
      <alignment horizontal="center" shrinkToFit="0" wrapText="1"/>
    </xf>
    <xf borderId="2" fillId="2" fontId="5" numFmtId="0" xfId="0" applyAlignment="1" applyBorder="1" applyFont="1">
      <alignment horizontal="center" readingOrder="0" shrinkToFit="0" wrapText="1"/>
    </xf>
    <xf borderId="2" fillId="2" fontId="5" numFmtId="9" xfId="0" applyAlignment="1" applyBorder="1" applyFont="1" applyNumberFormat="1">
      <alignment horizontal="center" shrinkToFit="0" wrapText="1"/>
    </xf>
    <xf borderId="0" fillId="0" fontId="1" numFmtId="0" xfId="0" applyFont="1"/>
    <xf borderId="0" fillId="0" fontId="6" numFmtId="0" xfId="0" applyFont="1"/>
    <xf borderId="2" fillId="0" fontId="6" numFmtId="0" xfId="0" applyBorder="1" applyFont="1"/>
    <xf borderId="2" fillId="0" fontId="6" numFmtId="9" xfId="0" applyBorder="1" applyFont="1" applyNumberFormat="1"/>
    <xf borderId="2" fillId="0" fontId="6" numFmtId="10" xfId="0" applyBorder="1" applyFont="1" applyNumberFormat="1"/>
    <xf borderId="0" fillId="0" fontId="7" numFmtId="0" xfId="0" applyAlignment="1" applyFont="1">
      <alignment readingOrder="0"/>
    </xf>
    <xf borderId="2" fillId="0" fontId="1" numFmtId="0" xfId="0" applyBorder="1" applyFont="1"/>
    <xf borderId="0" fillId="0" fontId="4" numFmtId="0" xfId="0" applyFont="1"/>
    <xf borderId="0" fillId="0" fontId="1" numFmtId="10" xfId="0" applyAlignment="1" applyFont="1" applyNumberFormat="1">
      <alignment readingOrder="0"/>
    </xf>
    <xf borderId="0" fillId="0" fontId="1" numFmtId="9"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terlinglawyers.com/illinois/areas/dupage-county/roselle/" TargetMode="External"/><Relationship Id="rId190" Type="http://schemas.openxmlformats.org/officeDocument/2006/relationships/hyperlink" Target="https://www.sterlinglawyers.com/illinois/divorce/marriage-license/" TargetMode="External"/><Relationship Id="rId42" Type="http://schemas.openxmlformats.org/officeDocument/2006/relationships/hyperlink" Target="https://www.sterlinglawyers.com/illinois/areas/areas/" TargetMode="External"/><Relationship Id="rId41" Type="http://schemas.openxmlformats.org/officeDocument/2006/relationships/hyperlink" Target="https://www.sterlinglawyers.com/illinois/areas/dupage-county/wood-dale/" TargetMode="External"/><Relationship Id="rId44" Type="http://schemas.openxmlformats.org/officeDocument/2006/relationships/hyperlink" Target="https://www.sterlinglawyers.com/illinois/areas/kane-county/algonquin/" TargetMode="External"/><Relationship Id="rId194" Type="http://schemas.openxmlformats.org/officeDocument/2006/relationships/hyperlink" Target="https://www.sterlinglawyers.com/illinois/divorce/uncontested-divorce/" TargetMode="External"/><Relationship Id="rId43" Type="http://schemas.openxmlformats.org/officeDocument/2006/relationships/hyperlink" Target="https://www.sterlinglawyers.com/illinois/areas/kane-county/" TargetMode="External"/><Relationship Id="rId193" Type="http://schemas.openxmlformats.org/officeDocument/2006/relationships/hyperlink" Target="https://www.sterlinglawyers.com/illinois/divorce/waiting-period/" TargetMode="External"/><Relationship Id="rId46" Type="http://schemas.openxmlformats.org/officeDocument/2006/relationships/hyperlink" Target="https://www.sterlinglawyers.com/illinois/areas/kane-county/elgin/" TargetMode="External"/><Relationship Id="rId192" Type="http://schemas.openxmlformats.org/officeDocument/2006/relationships/hyperlink" Target="https://www.sterlinglawyers.com/illinois/divorce/abandonment/" TargetMode="External"/><Relationship Id="rId45" Type="http://schemas.openxmlformats.org/officeDocument/2006/relationships/hyperlink" Target="https://www.sterlinglawyers.com/illinois/areas/kane-county/carpentersville/" TargetMode="External"/><Relationship Id="rId191" Type="http://schemas.openxmlformats.org/officeDocument/2006/relationships/hyperlink" Target="https://www.sterlinglawyers.com/illinois/divorce/diy/" TargetMode="External"/><Relationship Id="rId48" Type="http://schemas.openxmlformats.org/officeDocument/2006/relationships/hyperlink" Target="https://www.sterlinglawyers.com/illinois/areas/cook-county/barrington/" TargetMode="External"/><Relationship Id="rId187" Type="http://schemas.openxmlformats.org/officeDocument/2006/relationships/hyperlink" Target="https://www.sterlinglawyers.com/illinois/child-support/divorce/" TargetMode="External"/><Relationship Id="rId47" Type="http://schemas.openxmlformats.org/officeDocument/2006/relationships/hyperlink" Target="https://www.sterlinglawyers.com/illinois/areas/kane-county/south-elgin/" TargetMode="External"/><Relationship Id="rId186" Type="http://schemas.openxmlformats.org/officeDocument/2006/relationships/hyperlink" Target="https://www.sterlinglawyers.com/illinois/child-support/enforce-orders/" TargetMode="External"/><Relationship Id="rId185" Type="http://schemas.openxmlformats.org/officeDocument/2006/relationships/hyperlink" Target="https://www.sterlinglawyers.com/illinois/child-support/calculator/" TargetMode="External"/><Relationship Id="rId49" Type="http://schemas.openxmlformats.org/officeDocument/2006/relationships/hyperlink" Target="https://www.sterlinglawyers.com/illinois/areas/cook-county/" TargetMode="External"/><Relationship Id="rId184" Type="http://schemas.openxmlformats.org/officeDocument/2006/relationships/hyperlink" Target="https://www.sterlinglawyers.com/illinois/child-custody/temporary-parental-responsibilities/" TargetMode="External"/><Relationship Id="rId189" Type="http://schemas.openxmlformats.org/officeDocument/2006/relationships/hyperlink" Target="https://www.sterlinglawyers.com/illinois/child-support/end-orders/" TargetMode="External"/><Relationship Id="rId188" Type="http://schemas.openxmlformats.org/officeDocument/2006/relationships/hyperlink" Target="https://www.sterlinglawyers.com/illinois/child-support/modify-orders/" TargetMode="External"/><Relationship Id="rId31" Type="http://schemas.openxmlformats.org/officeDocument/2006/relationships/hyperlink" Target="https://www.sterlinglawyers.com/illinois/areas/dupage-county/bensenville/" TargetMode="External"/><Relationship Id="rId30" Type="http://schemas.openxmlformats.org/officeDocument/2006/relationships/hyperlink" Target="https://www.sterlinglawyers.com/illinois/areas/dupage-county/bartlett/" TargetMode="External"/><Relationship Id="rId33" Type="http://schemas.openxmlformats.org/officeDocument/2006/relationships/hyperlink" Target="https://www.sterlinglawyers.com/illinois/areas/dupage-county/elmhurst/" TargetMode="External"/><Relationship Id="rId183" Type="http://schemas.openxmlformats.org/officeDocument/2006/relationships/hyperlink" Target="https://www.sterlinglawyers.com/illinois/child-custody/parenting-plan/" TargetMode="External"/><Relationship Id="rId32" Type="http://schemas.openxmlformats.org/officeDocument/2006/relationships/hyperlink" Target="https://www.sterlinglawyers.com/illinois/areas/dupage-county/bloomingdale/" TargetMode="External"/><Relationship Id="rId182" Type="http://schemas.openxmlformats.org/officeDocument/2006/relationships/hyperlink" Target="https://www.sterlinglawyers.com/illinois/child-custody/co-parenting-with-narcissist/" TargetMode="External"/><Relationship Id="rId35" Type="http://schemas.openxmlformats.org/officeDocument/2006/relationships/hyperlink" Target="https://www.sterlinglawyers.com/illinois/areas/dupage-county/glendale-heights/" TargetMode="External"/><Relationship Id="rId181" Type="http://schemas.openxmlformats.org/officeDocument/2006/relationships/hyperlink" Target="https://www.sterlinglawyers.com/illinois/child-custody/third-party-orders/" TargetMode="External"/><Relationship Id="rId34" Type="http://schemas.openxmlformats.org/officeDocument/2006/relationships/hyperlink" Target="https://www.sterlinglawyers.com/illinois/areas/dupage-county/glen-ellyn/" TargetMode="External"/><Relationship Id="rId180" Type="http://schemas.openxmlformats.org/officeDocument/2006/relationships/hyperlink" Target="https://www.sterlinglawyers.com/illinois/child-custody/50-50-schedules/" TargetMode="External"/><Relationship Id="rId37" Type="http://schemas.openxmlformats.org/officeDocument/2006/relationships/hyperlink" Target="https://www.sterlinglawyers.com/illinois/areas/dupage-county/itasca/" TargetMode="External"/><Relationship Id="rId176" Type="http://schemas.openxmlformats.org/officeDocument/2006/relationships/hyperlink" Target="https://www.sterlinglawyers.com/illinois/child-custody/modify-orders/" TargetMode="External"/><Relationship Id="rId36" Type="http://schemas.openxmlformats.org/officeDocument/2006/relationships/hyperlink" Target="https://www.sterlinglawyers.com/illinois/areas/dupage-county/hanover-park/" TargetMode="External"/><Relationship Id="rId175" Type="http://schemas.openxmlformats.org/officeDocument/2006/relationships/hyperlink" Target="https://www.sterlinglawyers.com/illinois/child-custody/name-change/" TargetMode="External"/><Relationship Id="rId39" Type="http://schemas.openxmlformats.org/officeDocument/2006/relationships/hyperlink" Target="https://www.sterlinglawyers.com/illinois/areas/dupage-county/villa-park/" TargetMode="External"/><Relationship Id="rId174" Type="http://schemas.openxmlformats.org/officeDocument/2006/relationships/hyperlink" Target="https://www.sterlinglawyers.com/illinois/child-custody/paternity/" TargetMode="External"/><Relationship Id="rId38" Type="http://schemas.openxmlformats.org/officeDocument/2006/relationships/hyperlink" Target="https://www.sterlinglawyers.com/illinois/areas/dupage-county/lombard/" TargetMode="External"/><Relationship Id="rId173" Type="http://schemas.openxmlformats.org/officeDocument/2006/relationships/hyperlink" Target="https://www.sterlinglawyers.com/illinois/child-custody/sole-orders/" TargetMode="External"/><Relationship Id="rId179" Type="http://schemas.openxmlformats.org/officeDocument/2006/relationships/hyperlink" Target="https://www.sterlinglawyers.com/illinois/child-custody/child-chooses-parent/" TargetMode="External"/><Relationship Id="rId178" Type="http://schemas.openxmlformats.org/officeDocument/2006/relationships/hyperlink" Target="https://www.sterlinglawyers.com/illinois/child-custody/enforce-orders/" TargetMode="External"/><Relationship Id="rId177" Type="http://schemas.openxmlformats.org/officeDocument/2006/relationships/hyperlink" Target="https://www.sterlinglawyers.com/illinois/child-custody/guardian-ad-litem/" TargetMode="External"/><Relationship Id="rId20" Type="http://schemas.openxmlformats.org/officeDocument/2006/relationships/hyperlink" Target="https://www.sterlinglawyers.com/illinois/chicago-il-restaurants/" TargetMode="External"/><Relationship Id="rId22" Type="http://schemas.openxmlformats.org/officeDocument/2006/relationships/hyperlink" Target="https://www.sterlinglawyers.com/illinois/chicago-history/" TargetMode="External"/><Relationship Id="rId21" Type="http://schemas.openxmlformats.org/officeDocument/2006/relationships/hyperlink" Target="https://www.sterlinglawyers.com/illinois/chicago-hotels/" TargetMode="External"/><Relationship Id="rId24" Type="http://schemas.openxmlformats.org/officeDocument/2006/relationships/hyperlink" Target="https://www.sterlinglawyers.com/illinois/areas/kane-county/west-dundee/" TargetMode="External"/><Relationship Id="rId23" Type="http://schemas.openxmlformats.org/officeDocument/2006/relationships/hyperlink" Target="https://www.sterlinglawyers.com/illinois/areas/cook-county/lincolnwood/" TargetMode="External"/><Relationship Id="rId26" Type="http://schemas.openxmlformats.org/officeDocument/2006/relationships/hyperlink" Target="https://www.sterlinglawyers.com/illinois/areas/lake-county/highland-park/" TargetMode="External"/><Relationship Id="rId25" Type="http://schemas.openxmlformats.org/officeDocument/2006/relationships/hyperlink" Target="https://www.sterlinglawyers.com/illinois/areas/lake-county/" TargetMode="External"/><Relationship Id="rId28" Type="http://schemas.openxmlformats.org/officeDocument/2006/relationships/hyperlink" Target="https://www.sterlinglawyers.com/illinois/areas/dupage-county/" TargetMode="External"/><Relationship Id="rId27" Type="http://schemas.openxmlformats.org/officeDocument/2006/relationships/hyperlink" Target="https://www.sterlinglawyers.com/illinois/areas/lake-county/long-grove/" TargetMode="External"/><Relationship Id="rId29" Type="http://schemas.openxmlformats.org/officeDocument/2006/relationships/hyperlink" Target="https://www.sterlinglawyers.com/illinois/areas/dupage-county/addison/" TargetMode="External"/><Relationship Id="rId11" Type="http://schemas.openxmlformats.org/officeDocument/2006/relationships/hyperlink" Target="https://www.sterlinglawyers.com/illinois/spousal-support/" TargetMode="External"/><Relationship Id="rId10" Type="http://schemas.openxmlformats.org/officeDocument/2006/relationships/hyperlink" Target="https://www.sterlinglawyers.com/illinois/property-division/" TargetMode="External"/><Relationship Id="rId13" Type="http://schemas.openxmlformats.org/officeDocument/2006/relationships/hyperlink" Target="https://www.sterlinglawyers.com/illinois/family-law-process/" TargetMode="External"/><Relationship Id="rId12" Type="http://schemas.openxmlformats.org/officeDocument/2006/relationships/hyperlink" Target="https://www.sterlinglawyers.com/illinois/blog/" TargetMode="External"/><Relationship Id="rId15" Type="http://schemas.openxmlformats.org/officeDocument/2006/relationships/hyperlink" Target="https://www.sterlinglawyers.com/illinois/family-law-case-types-cost/" TargetMode="External"/><Relationship Id="rId198" Type="http://schemas.openxmlformats.org/officeDocument/2006/relationships/hyperlink" Target="https://www.sterlinglawyers.com/illinois/divorce/temporary-order/" TargetMode="External"/><Relationship Id="rId14" Type="http://schemas.openxmlformats.org/officeDocument/2006/relationships/hyperlink" Target="https://www.sterlinglawyers.com/illinois/seminar/" TargetMode="External"/><Relationship Id="rId197" Type="http://schemas.openxmlformats.org/officeDocument/2006/relationships/hyperlink" Target="https://www.sterlinglawyers.com/illinois/divorce/grounds-for-divorce/" TargetMode="External"/><Relationship Id="rId17" Type="http://schemas.openxmlformats.org/officeDocument/2006/relationships/hyperlink" Target="https://www.sterlinglawyers.com/illinois/areas/" TargetMode="External"/><Relationship Id="rId196" Type="http://schemas.openxmlformats.org/officeDocument/2006/relationships/hyperlink" Target="https://www.sterlinglawyers.com/illinois/divorce/separation/" TargetMode="External"/><Relationship Id="rId16" Type="http://schemas.openxmlformats.org/officeDocument/2006/relationships/hyperlink" Target="https://www.sterlinglawyers.com/illinois/events/" TargetMode="External"/><Relationship Id="rId195" Type="http://schemas.openxmlformats.org/officeDocument/2006/relationships/hyperlink" Target="https://www.sterlinglawyers.com/illinois/divorce/order-of-protection/" TargetMode="External"/><Relationship Id="rId19" Type="http://schemas.openxmlformats.org/officeDocument/2006/relationships/hyperlink" Target="https://www.sterlinglawyers.com/illinois/resources/" TargetMode="External"/><Relationship Id="rId18" Type="http://schemas.openxmlformats.org/officeDocument/2006/relationships/hyperlink" Target="https://www.sterlinglawyers.com/illinois/faq/" TargetMode="External"/><Relationship Id="rId199" Type="http://schemas.openxmlformats.org/officeDocument/2006/relationships/hyperlink" Target="https://www.sterlinglawyers.com/illinois/divorce/evicting-spouse/" TargetMode="External"/><Relationship Id="rId84" Type="http://schemas.openxmlformats.org/officeDocument/2006/relationships/hyperlink" Target="https://www.sterlinglawyers.com/illinois/attorneys/nina-kelly/reviews/" TargetMode="External"/><Relationship Id="rId83" Type="http://schemas.openxmlformats.org/officeDocument/2006/relationships/hyperlink" Target="https://www.sterlinglawyers.com/illinois/attorneys/nina-kelly/" TargetMode="External"/><Relationship Id="rId86" Type="http://schemas.openxmlformats.org/officeDocument/2006/relationships/hyperlink" Target="https://www.sterlinglawyers.com/illinois/events/strategically-prepare-for-divorce/" TargetMode="External"/><Relationship Id="rId85" Type="http://schemas.openxmlformats.org/officeDocument/2006/relationships/hyperlink" Target="https://www.sterlinglawyers.com/illinois/attorneys/alexandra-isroff/" TargetMode="External"/><Relationship Id="rId88" Type="http://schemas.openxmlformats.org/officeDocument/2006/relationships/hyperlink" Target="https://www.sterlinglawyers.com/illinois/events/evaluating-custody-placement-support/" TargetMode="External"/><Relationship Id="rId150" Type="http://schemas.openxmlformats.org/officeDocument/2006/relationships/hyperlink" Target="https://www.sterlinglawyers.com/illinois/locations/chicago/property-division-lawyers/" TargetMode="External"/><Relationship Id="rId87" Type="http://schemas.openxmlformats.org/officeDocument/2006/relationships/hyperlink" Target="https://www.sterlinglawyers.com/illinois/events/divide-money-divorce/" TargetMode="External"/><Relationship Id="rId89" Type="http://schemas.openxmlformats.org/officeDocument/2006/relationships/hyperlink" Target="https://www.sterlinglawyers.com/illinois/events/complete-guide-divorce-process/" TargetMode="External"/><Relationship Id="rId80" Type="http://schemas.openxmlformats.org/officeDocument/2006/relationships/hyperlink" Target="https://www.sterlinglawyers.com/illinois/attorneys/ryan-shope/" TargetMode="External"/><Relationship Id="rId82" Type="http://schemas.openxmlformats.org/officeDocument/2006/relationships/hyperlink" Target="https://www.sterlinglawyers.com/illinois/attorneys/lea-diaz/reviews/" TargetMode="External"/><Relationship Id="rId81" Type="http://schemas.openxmlformats.org/officeDocument/2006/relationships/hyperlink" Target="https://www.sterlinglawyers.com/illinois/attorneys/lea-diaz/" TargetMode="External"/><Relationship Id="rId1" Type="http://schemas.openxmlformats.org/officeDocument/2006/relationships/hyperlink" Target="https://www.sterlinglawyers.com/illinois/" TargetMode="External"/><Relationship Id="rId2" Type="http://schemas.openxmlformats.org/officeDocument/2006/relationships/hyperlink" Target="https://www.sterlinglawyers.com/illinois/divorce/" TargetMode="External"/><Relationship Id="rId3" Type="http://schemas.openxmlformats.org/officeDocument/2006/relationships/hyperlink" Target="https://www.sterlinglawyers.com/illinois/paternity/" TargetMode="External"/><Relationship Id="rId149" Type="http://schemas.openxmlformats.org/officeDocument/2006/relationships/hyperlink" Target="https://www.sterlinglawyers.com/illinois/locations/chicago/alimony-lawyers/" TargetMode="External"/><Relationship Id="rId4" Type="http://schemas.openxmlformats.org/officeDocument/2006/relationships/hyperlink" Target="https://www.sterlinglawyers.com/illinois/child-custody/" TargetMode="External"/><Relationship Id="rId148" Type="http://schemas.openxmlformats.org/officeDocument/2006/relationships/hyperlink" Target="https://www.sterlinglawyers.com/illinois/locations/chicago/" TargetMode="External"/><Relationship Id="rId9" Type="http://schemas.openxmlformats.org/officeDocument/2006/relationships/hyperlink" Target="https://www.sterlinglawyers.com/illinois/child-support/" TargetMode="External"/><Relationship Id="rId143" Type="http://schemas.openxmlformats.org/officeDocument/2006/relationships/hyperlink" Target="https://www.sterlinglawyers.com/illinois/locations/hoffman-estates/divorce-mediation-lawyers/" TargetMode="External"/><Relationship Id="rId142" Type="http://schemas.openxmlformats.org/officeDocument/2006/relationships/hyperlink" Target="https://www.sterlinglawyers.com/illinois/locations/hoffman-estates/military-divorce-lawyers/" TargetMode="External"/><Relationship Id="rId141" Type="http://schemas.openxmlformats.org/officeDocument/2006/relationships/hyperlink" Target="https://www.sterlinglawyers.com/illinois/locations/hoffman-estates/paternity-lawyers/" TargetMode="External"/><Relationship Id="rId140" Type="http://schemas.openxmlformats.org/officeDocument/2006/relationships/hyperlink" Target="https://www.sterlinglawyers.com/illinois/locations/hoffman-estates/property-division-lawyers/" TargetMode="External"/><Relationship Id="rId5" Type="http://schemas.openxmlformats.org/officeDocument/2006/relationships/hyperlink" Target="https://www.sterlinglawyers.com/illinois/attorneys/" TargetMode="External"/><Relationship Id="rId147" Type="http://schemas.openxmlformats.org/officeDocument/2006/relationships/hyperlink" Target="https://www.sterlinglawyers.com/illinois/locations/chicago/contested-divorce-lawyers/" TargetMode="External"/><Relationship Id="rId6" Type="http://schemas.openxmlformats.org/officeDocument/2006/relationships/hyperlink" Target="https://www.sterlinglawyers.com/illinois/locations/" TargetMode="External"/><Relationship Id="rId146" Type="http://schemas.openxmlformats.org/officeDocument/2006/relationships/hyperlink" Target="https://www.sterlinglawyers.com/illinois/locations/naperville/" TargetMode="External"/><Relationship Id="rId7" Type="http://schemas.openxmlformats.org/officeDocument/2006/relationships/hyperlink" Target="https://www.sterlinglawyers.com/illinois/pricing/" TargetMode="External"/><Relationship Id="rId145" Type="http://schemas.openxmlformats.org/officeDocument/2006/relationships/hyperlink" Target="https://www.sterlinglawyers.com/illinois/locations/hoffman-estates/collaborative-divorce-lawyers/" TargetMode="External"/><Relationship Id="rId8" Type="http://schemas.openxmlformats.org/officeDocument/2006/relationships/hyperlink" Target="https://www.sterlinglawyers.com/illinois/guardianship/" TargetMode="External"/><Relationship Id="rId144" Type="http://schemas.openxmlformats.org/officeDocument/2006/relationships/hyperlink" Target="https://www.sterlinglawyers.com/illinois/locations/hoffman-estates/contested-divorce-lawyers/" TargetMode="External"/><Relationship Id="rId73" Type="http://schemas.openxmlformats.org/officeDocument/2006/relationships/hyperlink" Target="https://www.sterlinglawyers.com/illinois/attorneys/natalie-mccray/reviews/" TargetMode="External"/><Relationship Id="rId72" Type="http://schemas.openxmlformats.org/officeDocument/2006/relationships/hyperlink" Target="https://www.sterlinglawyers.com/illinois/attorneys/brooke-saunders/reviews/" TargetMode="External"/><Relationship Id="rId75" Type="http://schemas.openxmlformats.org/officeDocument/2006/relationships/hyperlink" Target="https://www.sterlinglawyers.com/illinois/attorneys/katie-vandeusen/reviews/" TargetMode="External"/><Relationship Id="rId74" Type="http://schemas.openxmlformats.org/officeDocument/2006/relationships/hyperlink" Target="https://www.sterlinglawyers.com/illinois/attorneys/katie-vandeusen/" TargetMode="External"/><Relationship Id="rId77" Type="http://schemas.openxmlformats.org/officeDocument/2006/relationships/hyperlink" Target="https://www.sterlinglawyers.com/illinois/attorneys/alexandra-isroff/reviews/" TargetMode="External"/><Relationship Id="rId76" Type="http://schemas.openxmlformats.org/officeDocument/2006/relationships/hyperlink" Target="https://www.sterlinglawyers.com/illinois/attorneys/ryan-shope/reviews/" TargetMode="External"/><Relationship Id="rId79" Type="http://schemas.openxmlformats.org/officeDocument/2006/relationships/hyperlink" Target="https://www.sterlinglawyers.com/illinois/attorneys/jacqueline-mcclellan/" TargetMode="External"/><Relationship Id="rId78" Type="http://schemas.openxmlformats.org/officeDocument/2006/relationships/hyperlink" Target="https://www.sterlinglawyers.com/illinois/attorneys/jacqueline-mcclellan/reviews/" TargetMode="External"/><Relationship Id="rId71" Type="http://schemas.openxmlformats.org/officeDocument/2006/relationships/hyperlink" Target="https://www.sterlinglawyers.com/illinois/attorneys/brooke-saunders/" TargetMode="External"/><Relationship Id="rId70" Type="http://schemas.openxmlformats.org/officeDocument/2006/relationships/hyperlink" Target="https://www.sterlinglawyers.com/illinois/attorneys/cynthia-toscano/" TargetMode="External"/><Relationship Id="rId139" Type="http://schemas.openxmlformats.org/officeDocument/2006/relationships/hyperlink" Target="https://www.sterlinglawyers.com/illinois/locations/hoffman-estates/alimony-lawyers/" TargetMode="External"/><Relationship Id="rId138" Type="http://schemas.openxmlformats.org/officeDocument/2006/relationships/hyperlink" Target="https://www.sterlinglawyers.com/illinois/locations/hoffman-estates/uncontested-divorce-lawyers/" TargetMode="External"/><Relationship Id="rId137" Type="http://schemas.openxmlformats.org/officeDocument/2006/relationships/hyperlink" Target="https://www.sterlinglawyers.com/illinois/locations/schaumburg/" TargetMode="External"/><Relationship Id="rId132" Type="http://schemas.openxmlformats.org/officeDocument/2006/relationships/hyperlink" Target="https://www.sterlinglawyers.com/illinois/locations/schaumburg/divorce-mediation-lawyers/" TargetMode="External"/><Relationship Id="rId131" Type="http://schemas.openxmlformats.org/officeDocument/2006/relationships/hyperlink" Target="https://www.sterlinglawyers.com/illinois/locations/schaumburg/military-divorce-lawyers/" TargetMode="External"/><Relationship Id="rId130" Type="http://schemas.openxmlformats.org/officeDocument/2006/relationships/hyperlink" Target="https://www.sterlinglawyers.com/illinois/locations/schaumburg/paternity-lawyers/" TargetMode="External"/><Relationship Id="rId136" Type="http://schemas.openxmlformats.org/officeDocument/2006/relationships/hyperlink" Target="https://www.sterlinglawyers.com/illinois/locations/schaumburg/child-custody-lawyers/" TargetMode="External"/><Relationship Id="rId135" Type="http://schemas.openxmlformats.org/officeDocument/2006/relationships/hyperlink" Target="https://www.sterlinglawyers.com/illinois/locations/schaumburg/child-support-lawyers/" TargetMode="External"/><Relationship Id="rId134" Type="http://schemas.openxmlformats.org/officeDocument/2006/relationships/hyperlink" Target="https://www.sterlinglawyers.com/illinois/locations/schaumburg/collaborative-divorce-lawyers/" TargetMode="External"/><Relationship Id="rId133" Type="http://schemas.openxmlformats.org/officeDocument/2006/relationships/hyperlink" Target="https://www.sterlinglawyers.com/illinois/locations/schaumburg/contested-divorce-lawyers/" TargetMode="External"/><Relationship Id="rId62" Type="http://schemas.openxmlformats.org/officeDocument/2006/relationships/hyperlink" Target="https://www.sterlinglawyers.com/illinois/areas/cook-county/park-ridge/" TargetMode="External"/><Relationship Id="rId61" Type="http://schemas.openxmlformats.org/officeDocument/2006/relationships/hyperlink" Target="https://www.sterlinglawyers.com/illinois/areas/cook-county/schiller-park/" TargetMode="External"/><Relationship Id="rId64" Type="http://schemas.openxmlformats.org/officeDocument/2006/relationships/hyperlink" Target="https://www.sterlinglawyers.com/illinois/areas/cook-county/skokie/" TargetMode="External"/><Relationship Id="rId63" Type="http://schemas.openxmlformats.org/officeDocument/2006/relationships/hyperlink" Target="https://www.sterlinglawyers.com/illinois/areas/cook-county/prospect-heights/" TargetMode="External"/><Relationship Id="rId66" Type="http://schemas.openxmlformats.org/officeDocument/2006/relationships/hyperlink" Target="https://www.sterlinglawyers.com/illinois/areas/cook-county/wilmette/" TargetMode="External"/><Relationship Id="rId172" Type="http://schemas.openxmlformats.org/officeDocument/2006/relationships/hyperlink" Target="https://www.sterlinglawyers.com/illinois/child-custody/third-party-visitation/" TargetMode="External"/><Relationship Id="rId65" Type="http://schemas.openxmlformats.org/officeDocument/2006/relationships/hyperlink" Target="https://www.sterlinglawyers.com/illinois/areas/cook-county/wheeling/" TargetMode="External"/><Relationship Id="rId171" Type="http://schemas.openxmlformats.org/officeDocument/2006/relationships/hyperlink" Target="https://www.sterlinglawyers.com/illinois/child-custody/unfit-parent/" TargetMode="External"/><Relationship Id="rId68" Type="http://schemas.openxmlformats.org/officeDocument/2006/relationships/hyperlink" Target="https://www.sterlinglawyers.com/illinois/attorneys/reyna-herrera/reviews/" TargetMode="External"/><Relationship Id="rId170" Type="http://schemas.openxmlformats.org/officeDocument/2006/relationships/hyperlink" Target="https://www.sterlinglawyers.com/illinois/child-custody/during-divorce/" TargetMode="External"/><Relationship Id="rId67" Type="http://schemas.openxmlformats.org/officeDocument/2006/relationships/hyperlink" Target="https://www.sterlinglawyers.com/illinois/attorneys/cynthia-toscano/reviews/" TargetMode="External"/><Relationship Id="rId60" Type="http://schemas.openxmlformats.org/officeDocument/2006/relationships/hyperlink" Target="https://www.sterlinglawyers.com/illinois/areas/cook-county/rolling-meadows/" TargetMode="External"/><Relationship Id="rId165" Type="http://schemas.openxmlformats.org/officeDocument/2006/relationships/hyperlink" Target="https://www.sterlinglawyers.com/illinois/child-custody/custody-process/" TargetMode="External"/><Relationship Id="rId69" Type="http://schemas.openxmlformats.org/officeDocument/2006/relationships/hyperlink" Target="https://www.sterlinglawyers.com/illinois/attorneys/reyna-herrera/" TargetMode="External"/><Relationship Id="rId164" Type="http://schemas.openxmlformats.org/officeDocument/2006/relationships/hyperlink" Target="https://www.sterlinglawyers.com/illinois/spousal-support/duration/" TargetMode="External"/><Relationship Id="rId163" Type="http://schemas.openxmlformats.org/officeDocument/2006/relationships/hyperlink" Target="https://www.sterlinglawyers.com/illinois/spousal-support/divorce/" TargetMode="External"/><Relationship Id="rId162" Type="http://schemas.openxmlformats.org/officeDocument/2006/relationships/hyperlink" Target="https://www.sterlinglawyers.com/illinois/spousal-support/enforce-orders/" TargetMode="External"/><Relationship Id="rId169" Type="http://schemas.openxmlformats.org/officeDocument/2006/relationships/hyperlink" Target="https://www.sterlinglawyers.com/illinois/child-custody/fathers-rights/" TargetMode="External"/><Relationship Id="rId168" Type="http://schemas.openxmlformats.org/officeDocument/2006/relationships/hyperlink" Target="https://www.sterlinglawyers.com/illinois/child-custody/parental-alienation/" TargetMode="External"/><Relationship Id="rId167" Type="http://schemas.openxmlformats.org/officeDocument/2006/relationships/hyperlink" Target="https://www.sterlinglawyers.com/illinois/child-custody/split-orders/" TargetMode="External"/><Relationship Id="rId166" Type="http://schemas.openxmlformats.org/officeDocument/2006/relationships/hyperlink" Target="https://www.sterlinglawyers.com/illinois/child-custody/co-parenting/" TargetMode="External"/><Relationship Id="rId51" Type="http://schemas.openxmlformats.org/officeDocument/2006/relationships/hyperlink" Target="https://www.sterlinglawyers.com/illinois/areas/cook-county/des-plaines/" TargetMode="External"/><Relationship Id="rId50" Type="http://schemas.openxmlformats.org/officeDocument/2006/relationships/hyperlink" Target="https://www.sterlinglawyers.com/illinois/areas/cook-county/buffalo-grove/" TargetMode="External"/><Relationship Id="rId53" Type="http://schemas.openxmlformats.org/officeDocument/2006/relationships/hyperlink" Target="https://www.sterlinglawyers.com/illinois/areas/cook-county/franklin-park/" TargetMode="External"/><Relationship Id="rId52" Type="http://schemas.openxmlformats.org/officeDocument/2006/relationships/hyperlink" Target="https://www.sterlinglawyers.com/illinois/areas/cook-county/elk-grove-village/" TargetMode="External"/><Relationship Id="rId55" Type="http://schemas.openxmlformats.org/officeDocument/2006/relationships/hyperlink" Target="https://www.sterlinglawyers.com/illinois/areas/cook-county/morton-grove/" TargetMode="External"/><Relationship Id="rId161" Type="http://schemas.openxmlformats.org/officeDocument/2006/relationships/hyperlink" Target="https://www.sterlinglawyers.com/illinois/spousal-support/modify-orders/" TargetMode="External"/><Relationship Id="rId54" Type="http://schemas.openxmlformats.org/officeDocument/2006/relationships/hyperlink" Target="https://www.sterlinglawyers.com/illinois/areas/cook-county/harwood-heights/" TargetMode="External"/><Relationship Id="rId160" Type="http://schemas.openxmlformats.org/officeDocument/2006/relationships/hyperlink" Target="https://www.sterlinglawyers.com/illinois/spousal-support/alimony-taxes/" TargetMode="External"/><Relationship Id="rId57" Type="http://schemas.openxmlformats.org/officeDocument/2006/relationships/hyperlink" Target="https://www.sterlinglawyers.com/illinois/areas/cook-county/norridge/" TargetMode="External"/><Relationship Id="rId56" Type="http://schemas.openxmlformats.org/officeDocument/2006/relationships/hyperlink" Target="https://www.sterlinglawyers.com/illinois/areas/cook-county/mount-prospect/" TargetMode="External"/><Relationship Id="rId159" Type="http://schemas.openxmlformats.org/officeDocument/2006/relationships/hyperlink" Target="https://www.sterlinglawyers.com/illinois/spousal-support/terminate-orders/" TargetMode="External"/><Relationship Id="rId59" Type="http://schemas.openxmlformats.org/officeDocument/2006/relationships/hyperlink" Target="https://www.sterlinglawyers.com/illinois/areas/cook-county/palatine/" TargetMode="External"/><Relationship Id="rId154" Type="http://schemas.openxmlformats.org/officeDocument/2006/relationships/hyperlink" Target="https://www.sterlinglawyers.com/illinois/locations/chicago/collaborative-divorce-lawyers/" TargetMode="External"/><Relationship Id="rId58" Type="http://schemas.openxmlformats.org/officeDocument/2006/relationships/hyperlink" Target="https://www.sterlinglawyers.com/illinois/areas/cook-county/northlake/" TargetMode="External"/><Relationship Id="rId153" Type="http://schemas.openxmlformats.org/officeDocument/2006/relationships/hyperlink" Target="https://www.sterlinglawyers.com/illinois/locations/chicago/divorce-mediation-lawyers/" TargetMode="External"/><Relationship Id="rId152" Type="http://schemas.openxmlformats.org/officeDocument/2006/relationships/hyperlink" Target="https://www.sterlinglawyers.com/illinois/locations/chicago/military-divorce-lawyers/" TargetMode="External"/><Relationship Id="rId151" Type="http://schemas.openxmlformats.org/officeDocument/2006/relationships/hyperlink" Target="https://www.sterlinglawyers.com/illinois/locations/chicago/paternity-lawyers/" TargetMode="External"/><Relationship Id="rId158" Type="http://schemas.openxmlformats.org/officeDocument/2006/relationships/hyperlink" Target="https://www.sterlinglawyers.com/illinois/spousal-support/types/" TargetMode="External"/><Relationship Id="rId157" Type="http://schemas.openxmlformats.org/officeDocument/2006/relationships/hyperlink" Target="https://www.sterlinglawyers.com/illinois/spousal-support/calculator/" TargetMode="External"/><Relationship Id="rId156" Type="http://schemas.openxmlformats.org/officeDocument/2006/relationships/hyperlink" Target="https://www.sterlinglawyers.com/illinois/locations/chicago/child-custody-lawyers/" TargetMode="External"/><Relationship Id="rId155" Type="http://schemas.openxmlformats.org/officeDocument/2006/relationships/hyperlink" Target="https://www.sterlinglawyers.com/illinois/locations/chicago/child-support-lawyers/" TargetMode="External"/><Relationship Id="rId107" Type="http://schemas.openxmlformats.org/officeDocument/2006/relationships/hyperlink" Target="https://www.sterlinglawyers.com/illinois/locations/evanston/property-division-lawyers/" TargetMode="External"/><Relationship Id="rId228" Type="http://schemas.openxmlformats.org/officeDocument/2006/relationships/hyperlink" Target="https://www.sterlinglawyers.com/illinois/property-division/survivorship-marital-property/" TargetMode="External"/><Relationship Id="rId106" Type="http://schemas.openxmlformats.org/officeDocument/2006/relationships/hyperlink" Target="https://www.sterlinglawyers.com/illinois/locations/evanston/alimony-lawyers/" TargetMode="External"/><Relationship Id="rId227" Type="http://schemas.openxmlformats.org/officeDocument/2006/relationships/hyperlink" Target="https://www.sterlinglawyers.com/illinois/property-division/splitting-assets-divorce/" TargetMode="External"/><Relationship Id="rId105" Type="http://schemas.openxmlformats.org/officeDocument/2006/relationships/hyperlink" Target="https://www.sterlinglawyers.com/illinois/locations/evanston/uncontested-divorce-lawyers/" TargetMode="External"/><Relationship Id="rId226" Type="http://schemas.openxmlformats.org/officeDocument/2006/relationships/hyperlink" Target="https://www.sterlinglawyers.com/illinois/property-division/hidden-assets/" TargetMode="External"/><Relationship Id="rId104" Type="http://schemas.openxmlformats.org/officeDocument/2006/relationships/hyperlink" Target="https://www.sterlinglawyers.com/illinois/locations/hoffman-estates/" TargetMode="External"/><Relationship Id="rId225" Type="http://schemas.openxmlformats.org/officeDocument/2006/relationships/hyperlink" Target="https://www.sterlinglawyers.com/illinois/property-division/retirement/" TargetMode="External"/><Relationship Id="rId109" Type="http://schemas.openxmlformats.org/officeDocument/2006/relationships/hyperlink" Target="https://www.sterlinglawyers.com/illinois/locations/evanston/military-divorce-lawyers/" TargetMode="External"/><Relationship Id="rId108" Type="http://schemas.openxmlformats.org/officeDocument/2006/relationships/hyperlink" Target="https://www.sterlinglawyers.com/illinois/locations/evanston/paternity-lawyers/" TargetMode="External"/><Relationship Id="rId229" Type="http://schemas.openxmlformats.org/officeDocument/2006/relationships/drawing" Target="../drawings/drawing1.xml"/><Relationship Id="rId220" Type="http://schemas.openxmlformats.org/officeDocument/2006/relationships/hyperlink" Target="https://www.sterlinglawyers.com/illinois/property-division/postnuptial-agreements/" TargetMode="External"/><Relationship Id="rId103" Type="http://schemas.openxmlformats.org/officeDocument/2006/relationships/hyperlink" Target="https://www.sterlinglawyers.com/illinois/locations/hoffman-estates/child-custody-lawyers/" TargetMode="External"/><Relationship Id="rId224" Type="http://schemas.openxmlformats.org/officeDocument/2006/relationships/hyperlink" Target="https://www.sterlinglawyers.com/illinois/property-division/gets-marital-house-divorce/" TargetMode="External"/><Relationship Id="rId102" Type="http://schemas.openxmlformats.org/officeDocument/2006/relationships/hyperlink" Target="https://www.sterlinglawyers.com/illinois/locations/hoffman-estates/child-support-lawyers/" TargetMode="External"/><Relationship Id="rId223" Type="http://schemas.openxmlformats.org/officeDocument/2006/relationships/hyperlink" Target="https://www.sterlinglawyers.com/illinois/property-division/inheritance/" TargetMode="External"/><Relationship Id="rId101" Type="http://schemas.openxmlformats.org/officeDocument/2006/relationships/hyperlink" Target="https://www.sterlinglawyers.com/illinois/locations/naperville/child-custody-lawyers/" TargetMode="External"/><Relationship Id="rId222" Type="http://schemas.openxmlformats.org/officeDocument/2006/relationships/hyperlink" Target="https://www.sterlinglawyers.com/illinois/property-division/marital-property/" TargetMode="External"/><Relationship Id="rId100" Type="http://schemas.openxmlformats.org/officeDocument/2006/relationships/hyperlink" Target="https://www.sterlinglawyers.com/illinois/locations/naperville/child-support-lawyers/" TargetMode="External"/><Relationship Id="rId221" Type="http://schemas.openxmlformats.org/officeDocument/2006/relationships/hyperlink" Target="https://www.sterlinglawyers.com/illinois/property-division/non-marital-property/" TargetMode="External"/><Relationship Id="rId217" Type="http://schemas.openxmlformats.org/officeDocument/2006/relationships/hyperlink" Target="https://www.sterlinglawyers.com/illinois/property-division/investments/" TargetMode="External"/><Relationship Id="rId216" Type="http://schemas.openxmlformats.org/officeDocument/2006/relationships/hyperlink" Target="https://www.sterlinglawyers.com/illinois/property-division/debt/" TargetMode="External"/><Relationship Id="rId215" Type="http://schemas.openxmlformats.org/officeDocument/2006/relationships/hyperlink" Target="https://www.sterlinglawyers.com/illinois/property-division/worksheet/" TargetMode="External"/><Relationship Id="rId214" Type="http://schemas.openxmlformats.org/officeDocument/2006/relationships/hyperlink" Target="https://www.sterlinglawyers.com/illinois/divorce/file-for-divorce/file-cook-county/" TargetMode="External"/><Relationship Id="rId219" Type="http://schemas.openxmlformats.org/officeDocument/2006/relationships/hyperlink" Target="https://www.sterlinglawyers.com/illinois/property-division/prenuptial-agreements/" TargetMode="External"/><Relationship Id="rId218" Type="http://schemas.openxmlformats.org/officeDocument/2006/relationships/hyperlink" Target="https://www.sterlinglawyers.com/illinois/property-division/enforcing-orders/" TargetMode="External"/><Relationship Id="rId213" Type="http://schemas.openxmlformats.org/officeDocument/2006/relationships/hyperlink" Target="https://www.sterlinglawyers.com/illinois/divorce/how/" TargetMode="External"/><Relationship Id="rId212" Type="http://schemas.openxmlformats.org/officeDocument/2006/relationships/hyperlink" Target="https://www.sterlinglawyers.com/illinois/divorce/financing/" TargetMode="External"/><Relationship Id="rId211" Type="http://schemas.openxmlformats.org/officeDocument/2006/relationships/hyperlink" Target="https://www.sterlinglawyers.com/illinois/divorce/documenting-agreements/" TargetMode="External"/><Relationship Id="rId210" Type="http://schemas.openxmlformats.org/officeDocument/2006/relationships/hyperlink" Target="https://www.sterlinglawyers.com/illinois/divorce/cost/" TargetMode="External"/><Relationship Id="rId129" Type="http://schemas.openxmlformats.org/officeDocument/2006/relationships/hyperlink" Target="https://www.sterlinglawyers.com/illinois/locations/schaumburg/property-division-lawyers/" TargetMode="External"/><Relationship Id="rId128" Type="http://schemas.openxmlformats.org/officeDocument/2006/relationships/hyperlink" Target="https://www.sterlinglawyers.com/illinois/locations/schaumburg/alimony-lawyers/" TargetMode="External"/><Relationship Id="rId127" Type="http://schemas.openxmlformats.org/officeDocument/2006/relationships/hyperlink" Target="https://www.sterlinglawyers.com/illinois/locations/schaumburg/uncontested-divorce-lawyers/" TargetMode="External"/><Relationship Id="rId126" Type="http://schemas.openxmlformats.org/officeDocument/2006/relationships/hyperlink" Target="https://www.sterlinglawyers.com/illinois/locations/arlington-heights/" TargetMode="External"/><Relationship Id="rId121" Type="http://schemas.openxmlformats.org/officeDocument/2006/relationships/hyperlink" Target="https://www.sterlinglawyers.com/illinois/locations/arlington-heights/divorce-mediation-lawyers/" TargetMode="External"/><Relationship Id="rId120" Type="http://schemas.openxmlformats.org/officeDocument/2006/relationships/hyperlink" Target="https://www.sterlinglawyers.com/illinois/locations/arlington-heights/military-divorce-lawyers/" TargetMode="External"/><Relationship Id="rId125" Type="http://schemas.openxmlformats.org/officeDocument/2006/relationships/hyperlink" Target="https://www.sterlinglawyers.com/illinois/locations/arlington-heights/child-custody-lawyers/" TargetMode="External"/><Relationship Id="rId124" Type="http://schemas.openxmlformats.org/officeDocument/2006/relationships/hyperlink" Target="https://www.sterlinglawyers.com/illinois/locations/arlington-heights/child-support-lawyers/" TargetMode="External"/><Relationship Id="rId123" Type="http://schemas.openxmlformats.org/officeDocument/2006/relationships/hyperlink" Target="https://www.sterlinglawyers.com/illinois/locations/arlington-heights/collaborative-divorce-lawyers/" TargetMode="External"/><Relationship Id="rId122" Type="http://schemas.openxmlformats.org/officeDocument/2006/relationships/hyperlink" Target="https://www.sterlinglawyers.com/illinois/locations/arlington-heights/contested-divorce-lawyers/" TargetMode="External"/><Relationship Id="rId95" Type="http://schemas.openxmlformats.org/officeDocument/2006/relationships/hyperlink" Target="https://www.sterlinglawyers.com/illinois/locations/naperville/paternity-lawyers/" TargetMode="External"/><Relationship Id="rId94" Type="http://schemas.openxmlformats.org/officeDocument/2006/relationships/hyperlink" Target="https://www.sterlinglawyers.com/illinois/locations/naperville/property-division-lawyers/" TargetMode="External"/><Relationship Id="rId97" Type="http://schemas.openxmlformats.org/officeDocument/2006/relationships/hyperlink" Target="https://www.sterlinglawyers.com/illinois/locations/naperville/divorce-mediation-lawyers/" TargetMode="External"/><Relationship Id="rId96" Type="http://schemas.openxmlformats.org/officeDocument/2006/relationships/hyperlink" Target="https://www.sterlinglawyers.com/illinois/locations/naperville/military-divorce-lawyers/" TargetMode="External"/><Relationship Id="rId99" Type="http://schemas.openxmlformats.org/officeDocument/2006/relationships/hyperlink" Target="https://www.sterlinglawyers.com/illinois/locations/naperville/collaborative-divorce-lawyers/" TargetMode="External"/><Relationship Id="rId98" Type="http://schemas.openxmlformats.org/officeDocument/2006/relationships/hyperlink" Target="https://www.sterlinglawyers.com/illinois/locations/naperville/contested-divorce-lawyers/" TargetMode="External"/><Relationship Id="rId91" Type="http://schemas.openxmlformats.org/officeDocument/2006/relationships/hyperlink" Target="https://www.sterlinglawyers.com/illinois/locations/chicago/uncontested-divorce-lawyers/" TargetMode="External"/><Relationship Id="rId90" Type="http://schemas.openxmlformats.org/officeDocument/2006/relationships/hyperlink" Target="https://www.sterlinglawyers.com/illinois/events/questions-ask-divorce-attorney/" TargetMode="External"/><Relationship Id="rId93" Type="http://schemas.openxmlformats.org/officeDocument/2006/relationships/hyperlink" Target="https://www.sterlinglawyers.com/illinois/locations/naperville/alimony-lawyers/" TargetMode="External"/><Relationship Id="rId92" Type="http://schemas.openxmlformats.org/officeDocument/2006/relationships/hyperlink" Target="https://www.sterlinglawyers.com/illinois/locations/naperville/uncontested-divorce-lawyers/" TargetMode="External"/><Relationship Id="rId118" Type="http://schemas.openxmlformats.org/officeDocument/2006/relationships/hyperlink" Target="https://www.sterlinglawyers.com/illinois/locations/arlington-heights/property-division-lawyers/" TargetMode="External"/><Relationship Id="rId117" Type="http://schemas.openxmlformats.org/officeDocument/2006/relationships/hyperlink" Target="https://www.sterlinglawyers.com/illinois/locations/arlington-heights/alimony-lawyers/" TargetMode="External"/><Relationship Id="rId116" Type="http://schemas.openxmlformats.org/officeDocument/2006/relationships/hyperlink" Target="https://www.sterlinglawyers.com/illinois/locations/arlington-heights/uncontested-divorce-lawyers/" TargetMode="External"/><Relationship Id="rId115" Type="http://schemas.openxmlformats.org/officeDocument/2006/relationships/hyperlink" Target="https://www.sterlinglawyers.com/illinois/locations/evanston/" TargetMode="External"/><Relationship Id="rId119" Type="http://schemas.openxmlformats.org/officeDocument/2006/relationships/hyperlink" Target="https://www.sterlinglawyers.com/illinois/locations/arlington-heights/paternity-lawyers/" TargetMode="External"/><Relationship Id="rId110" Type="http://schemas.openxmlformats.org/officeDocument/2006/relationships/hyperlink" Target="https://www.sterlinglawyers.com/illinois/locations/evanston/divorce-mediation-lawyers/" TargetMode="External"/><Relationship Id="rId114" Type="http://schemas.openxmlformats.org/officeDocument/2006/relationships/hyperlink" Target="https://www.sterlinglawyers.com/illinois/locations/evanston/child-custody-lawyers/" TargetMode="External"/><Relationship Id="rId113" Type="http://schemas.openxmlformats.org/officeDocument/2006/relationships/hyperlink" Target="https://www.sterlinglawyers.com/illinois/locations/evanston/child-support-lawyers/" TargetMode="External"/><Relationship Id="rId112" Type="http://schemas.openxmlformats.org/officeDocument/2006/relationships/hyperlink" Target="https://www.sterlinglawyers.com/illinois/locations/evanston/collaborative-divorce-lawyers/" TargetMode="External"/><Relationship Id="rId111" Type="http://schemas.openxmlformats.org/officeDocument/2006/relationships/hyperlink" Target="https://www.sterlinglawyers.com/illinois/locations/evanston/contested-divorce-lawyers/" TargetMode="External"/><Relationship Id="rId206" Type="http://schemas.openxmlformats.org/officeDocument/2006/relationships/hyperlink" Target="https://www.sterlinglawyers.com/illinois/divorce/mediation/" TargetMode="External"/><Relationship Id="rId205" Type="http://schemas.openxmlformats.org/officeDocument/2006/relationships/hyperlink" Target="https://www.sterlinglawyers.com/illinois/divorce/adultery-laws/" TargetMode="External"/><Relationship Id="rId204" Type="http://schemas.openxmlformats.org/officeDocument/2006/relationships/hyperlink" Target="https://www.sterlinglawyers.com/illinois/divorce/annulment/" TargetMode="External"/><Relationship Id="rId203" Type="http://schemas.openxmlformats.org/officeDocument/2006/relationships/hyperlink" Target="https://www.sterlinglawyers.com/illinois/divorce/collaborative/" TargetMode="External"/><Relationship Id="rId209" Type="http://schemas.openxmlformats.org/officeDocument/2006/relationships/hyperlink" Target="https://www.sterlinglawyers.com/illinois/divorce/common-law-marriage/" TargetMode="External"/><Relationship Id="rId208" Type="http://schemas.openxmlformats.org/officeDocument/2006/relationships/hyperlink" Target="https://www.sterlinglawyers.com/illinois/divorce/file-for-divorce/" TargetMode="External"/><Relationship Id="rId207" Type="http://schemas.openxmlformats.org/officeDocument/2006/relationships/hyperlink" Target="https://www.sterlinglawyers.com/illinois/divorce/how-long-divorce-illinois/" TargetMode="External"/><Relationship Id="rId202" Type="http://schemas.openxmlformats.org/officeDocument/2006/relationships/hyperlink" Target="https://www.sterlinglawyers.com/illinois/divorce/contested/" TargetMode="External"/><Relationship Id="rId201" Type="http://schemas.openxmlformats.org/officeDocument/2006/relationships/hyperlink" Target="https://www.sterlinglawyers.com/illinois/divorce/forms/" TargetMode="External"/><Relationship Id="rId200" Type="http://schemas.openxmlformats.org/officeDocument/2006/relationships/hyperlink" Target="https://www.sterlinglawyers.com/illinois/divorce/litig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terlinglawyers.com/illinois/property-division/marital-property/" TargetMode="External"/><Relationship Id="rId42" Type="http://schemas.openxmlformats.org/officeDocument/2006/relationships/hyperlink" Target="https://www.sterlinglawyers.com/illinois/spousal-support/duration/" TargetMode="External"/><Relationship Id="rId41" Type="http://schemas.openxmlformats.org/officeDocument/2006/relationships/hyperlink" Target="https://www.sterlinglawyers.com/illinois/spousal-support/duration/" TargetMode="External"/><Relationship Id="rId44" Type="http://schemas.openxmlformats.org/officeDocument/2006/relationships/hyperlink" Target="https://www.sterlinglawyers.com/illinois/guardianship/" TargetMode="External"/><Relationship Id="rId43" Type="http://schemas.openxmlformats.org/officeDocument/2006/relationships/hyperlink" Target="https://www.sterlinglawyers.com/illinois/guardianship/minor/" TargetMode="External"/><Relationship Id="rId46" Type="http://schemas.openxmlformats.org/officeDocument/2006/relationships/hyperlink" Target="https://www.sterlinglawyers.com/illinois/paternity/challenging-paternity/" TargetMode="External"/><Relationship Id="rId45" Type="http://schemas.openxmlformats.org/officeDocument/2006/relationships/hyperlink" Target="https://www.sterlinglawyers.com/illinois/guardianship/adult/" TargetMode="External"/><Relationship Id="rId48" Type="http://schemas.openxmlformats.org/officeDocument/2006/relationships/hyperlink" Target="https://www.sterlinglawyers.com/illinois/divorce/separation/" TargetMode="External"/><Relationship Id="rId47" Type="http://schemas.openxmlformats.org/officeDocument/2006/relationships/hyperlink" Target="https://www.sterlinglawyers.com/illinois/divorce/separation/" TargetMode="External"/><Relationship Id="rId49" Type="http://schemas.openxmlformats.org/officeDocument/2006/relationships/hyperlink" Target="https://www.sterlinglawyers.com/illinois/divorce/mediation/" TargetMode="External"/><Relationship Id="rId31" Type="http://schemas.openxmlformats.org/officeDocument/2006/relationships/hyperlink" Target="https://www.sterlinglawyers.com/illinois/spousal-support/temporary-support/" TargetMode="External"/><Relationship Id="rId30" Type="http://schemas.openxmlformats.org/officeDocument/2006/relationships/hyperlink" Target="https://www.sterlinglawyers.com/illinois/child-custody/parenting-plan/" TargetMode="External"/><Relationship Id="rId33" Type="http://schemas.openxmlformats.org/officeDocument/2006/relationships/hyperlink" Target="https://www.sterlinglawyers.com/illinois/property-division/equitable-distribution/" TargetMode="External"/><Relationship Id="rId32" Type="http://schemas.openxmlformats.org/officeDocument/2006/relationships/hyperlink" Target="https://www.sterlinglawyers.com/illinois/spousal-support/divorce/" TargetMode="External"/><Relationship Id="rId35" Type="http://schemas.openxmlformats.org/officeDocument/2006/relationships/hyperlink" Target="https://www.sterlinglawyers.com/illinois/paternity/establish-paternity/" TargetMode="External"/><Relationship Id="rId34" Type="http://schemas.openxmlformats.org/officeDocument/2006/relationships/hyperlink" Target="https://www.sterlinglawyers.com/illinois/property-division/" TargetMode="External"/><Relationship Id="rId37" Type="http://schemas.openxmlformats.org/officeDocument/2006/relationships/hyperlink" Target="https://www.sterlinglawyers.com/illinois/child-custody/emergency-custody-order/" TargetMode="External"/><Relationship Id="rId36" Type="http://schemas.openxmlformats.org/officeDocument/2006/relationships/hyperlink" Target="https://www.sterlinglawyers.com/illinois/child-custody/paternity/" TargetMode="External"/><Relationship Id="rId39" Type="http://schemas.openxmlformats.org/officeDocument/2006/relationships/hyperlink" Target="https://www.sterlinglawyers.com/illinois/property-division/marital-vs-non-marital-property/" TargetMode="External"/><Relationship Id="rId38" Type="http://schemas.openxmlformats.org/officeDocument/2006/relationships/hyperlink" Target="https://www.sterlinglawyers.com/illinois/child-custody/temporary-parental-responsibilities/" TargetMode="External"/><Relationship Id="rId20" Type="http://schemas.openxmlformats.org/officeDocument/2006/relationships/hyperlink" Target="https://www.sterlinglawyers.com/illinois/divorce/contested/" TargetMode="External"/><Relationship Id="rId22" Type="http://schemas.openxmlformats.org/officeDocument/2006/relationships/hyperlink" Target="https://www.sterlinglawyers.com/illinois/divorce/uncontested-divorce/" TargetMode="External"/><Relationship Id="rId21" Type="http://schemas.openxmlformats.org/officeDocument/2006/relationships/hyperlink" Target="https://www.sterlinglawyers.com/illinois/divorce/uncontested-divorce/" TargetMode="External"/><Relationship Id="rId24" Type="http://schemas.openxmlformats.org/officeDocument/2006/relationships/hyperlink" Target="https://www.sterlinglawyers.com/illinois/child-custody/modify-orders/" TargetMode="External"/><Relationship Id="rId23" Type="http://schemas.openxmlformats.org/officeDocument/2006/relationships/hyperlink" Target="https://www.sterlinglawyers.com/illinois/child-custody/modify-orders/" TargetMode="External"/><Relationship Id="rId26" Type="http://schemas.openxmlformats.org/officeDocument/2006/relationships/hyperlink" Target="https://www.sterlinglawyers.com/illinois/child-support/modify-orders/" TargetMode="External"/><Relationship Id="rId25" Type="http://schemas.openxmlformats.org/officeDocument/2006/relationships/hyperlink" Target="https://www.sterlinglawyers.com/illinois/child-support/modify-orders/" TargetMode="External"/><Relationship Id="rId28" Type="http://schemas.openxmlformats.org/officeDocument/2006/relationships/hyperlink" Target="https://www.sterlinglawyers.com/illinois/child-support/enforce-orders/" TargetMode="External"/><Relationship Id="rId27" Type="http://schemas.openxmlformats.org/officeDocument/2006/relationships/hyperlink" Target="https://www.sterlinglawyers.com/illinois/child-support/enforce-orders/" TargetMode="External"/><Relationship Id="rId29" Type="http://schemas.openxmlformats.org/officeDocument/2006/relationships/hyperlink" Target="https://www.sterlinglawyers.com/illinois/child-custody/parenting-plan/" TargetMode="External"/><Relationship Id="rId11" Type="http://schemas.openxmlformats.org/officeDocument/2006/relationships/hyperlink" Target="https://www.sterlinglawyers.com/illinois/spousal-support/" TargetMode="External"/><Relationship Id="rId10" Type="http://schemas.openxmlformats.org/officeDocument/2006/relationships/hyperlink" Target="https://www.sterlinglawyers.com/illinois/child-support/" TargetMode="External"/><Relationship Id="rId13" Type="http://schemas.openxmlformats.org/officeDocument/2006/relationships/hyperlink" Target="https://www.sterlinglawyers.com/illinois/property-division/" TargetMode="External"/><Relationship Id="rId12" Type="http://schemas.openxmlformats.org/officeDocument/2006/relationships/hyperlink" Target="https://www.sterlinglawyers.com/illinois/spousal-support/" TargetMode="External"/><Relationship Id="rId15" Type="http://schemas.openxmlformats.org/officeDocument/2006/relationships/hyperlink" Target="https://www.sterlinglawyers.com/illinois/paternity/" TargetMode="External"/><Relationship Id="rId14" Type="http://schemas.openxmlformats.org/officeDocument/2006/relationships/hyperlink" Target="https://www.sterlinglawyers.com/illinois/property-division/" TargetMode="External"/><Relationship Id="rId17" Type="http://schemas.openxmlformats.org/officeDocument/2006/relationships/hyperlink" Target="https://www.sterlinglawyers.com/illinois/guardianship/" TargetMode="External"/><Relationship Id="rId16" Type="http://schemas.openxmlformats.org/officeDocument/2006/relationships/hyperlink" Target="https://www.sterlinglawyers.com/illinois/paternity/" TargetMode="External"/><Relationship Id="rId19" Type="http://schemas.openxmlformats.org/officeDocument/2006/relationships/hyperlink" Target="https://www.sterlinglawyers.com/illinois/divorce/contested/" TargetMode="External"/><Relationship Id="rId18" Type="http://schemas.openxmlformats.org/officeDocument/2006/relationships/hyperlink" Target="https://www.sterlinglawyers.com/illinois/guardianship/" TargetMode="External"/><Relationship Id="rId1" Type="http://schemas.openxmlformats.org/officeDocument/2006/relationships/hyperlink" Target="https://www.sterlinglawyers.com/illinois/attorneys/" TargetMode="External"/><Relationship Id="rId2" Type="http://schemas.openxmlformats.org/officeDocument/2006/relationships/hyperlink" Target="https://www.sterlinglawyers.com/illinois/attorneys/" TargetMode="External"/><Relationship Id="rId3" Type="http://schemas.openxmlformats.org/officeDocument/2006/relationships/hyperlink" Target="https://www.sterlinglawyers.com/illinois/locations/" TargetMode="External"/><Relationship Id="rId4" Type="http://schemas.openxmlformats.org/officeDocument/2006/relationships/hyperlink" Target="https://www.sterlinglawyers.com/illinois/locations/" TargetMode="External"/><Relationship Id="rId9" Type="http://schemas.openxmlformats.org/officeDocument/2006/relationships/hyperlink" Target="https://www.sterlinglawyers.com/illinois/child-support/" TargetMode="External"/><Relationship Id="rId5" Type="http://schemas.openxmlformats.org/officeDocument/2006/relationships/hyperlink" Target="https://www.sterlinglawyers.com/illinois/divorce/" TargetMode="External"/><Relationship Id="rId6" Type="http://schemas.openxmlformats.org/officeDocument/2006/relationships/hyperlink" Target="https://www.sterlinglawyers.com/illinois/divorce/" TargetMode="External"/><Relationship Id="rId7" Type="http://schemas.openxmlformats.org/officeDocument/2006/relationships/hyperlink" Target="https://www.sterlinglawyers.com/illinois/child-custody/" TargetMode="External"/><Relationship Id="rId8" Type="http://schemas.openxmlformats.org/officeDocument/2006/relationships/hyperlink" Target="https://www.sterlinglawyers.com/illinois/child-custody/" TargetMode="External"/><Relationship Id="rId73" Type="http://schemas.openxmlformats.org/officeDocument/2006/relationships/hyperlink" Target="https://www.sterlinglawyers.com/illinois/property-division/hidden-assets/" TargetMode="External"/><Relationship Id="rId72" Type="http://schemas.openxmlformats.org/officeDocument/2006/relationships/hyperlink" Target="https://www.sterlinglawyers.com/illinois/child-custody/supervised-visitation/" TargetMode="External"/><Relationship Id="rId75" Type="http://schemas.openxmlformats.org/officeDocument/2006/relationships/drawing" Target="../drawings/drawing2.xml"/><Relationship Id="rId74" Type="http://schemas.openxmlformats.org/officeDocument/2006/relationships/hyperlink" Target="https://www.sterlinglawyers.com/illinois/property-division/hidden-assets/" TargetMode="External"/><Relationship Id="rId71" Type="http://schemas.openxmlformats.org/officeDocument/2006/relationships/hyperlink" Target="https://www.sterlinglawyers.com/illinois/child-support/self-employed-income/" TargetMode="External"/><Relationship Id="rId70" Type="http://schemas.openxmlformats.org/officeDocument/2006/relationships/hyperlink" Target="https://www.sterlinglawyers.com/illinois/spousal-support/high-income/" TargetMode="External"/><Relationship Id="rId62" Type="http://schemas.openxmlformats.org/officeDocument/2006/relationships/hyperlink" Target="https://www.sterlinglawyers.com/illinois/child-support/modify-orders/" TargetMode="External"/><Relationship Id="rId61" Type="http://schemas.openxmlformats.org/officeDocument/2006/relationships/hyperlink" Target="https://www.sterlinglawyers.com/illinois/child-support/income-change/" TargetMode="External"/><Relationship Id="rId64" Type="http://schemas.openxmlformats.org/officeDocument/2006/relationships/hyperlink" Target="https://www.sterlinglawyers.com/illinois/child-support/enforce-orders/" TargetMode="External"/><Relationship Id="rId63" Type="http://schemas.openxmlformats.org/officeDocument/2006/relationships/hyperlink" Target="https://www.sterlinglawyers.com/illinois/child-support/arrears/" TargetMode="External"/><Relationship Id="rId66" Type="http://schemas.openxmlformats.org/officeDocument/2006/relationships/hyperlink" Target="https://www.sterlinglawyers.com/illinois/property-division/business-valuation/" TargetMode="External"/><Relationship Id="rId65" Type="http://schemas.openxmlformats.org/officeDocument/2006/relationships/hyperlink" Target="https://www.sterlinglawyers.com/illinois/divorce/long-term-marriage/" TargetMode="External"/><Relationship Id="rId68" Type="http://schemas.openxmlformats.org/officeDocument/2006/relationships/hyperlink" Target="https://www.sterlinglawyers.com/illinois/child-custody/parenting-time-disputes/" TargetMode="External"/><Relationship Id="rId67" Type="http://schemas.openxmlformats.org/officeDocument/2006/relationships/hyperlink" Target="https://www.sterlinglawyers.com/illinois/guardianship/emergency/" TargetMode="External"/><Relationship Id="rId60" Type="http://schemas.openxmlformats.org/officeDocument/2006/relationships/hyperlink" Target="https://www.sterlinglawyers.com/illinois/child-custody/parental-alienation/" TargetMode="External"/><Relationship Id="rId69" Type="http://schemas.openxmlformats.org/officeDocument/2006/relationships/hyperlink" Target="https://www.sterlinglawyers.com/illinois/child-custody/split-orders/" TargetMode="External"/><Relationship Id="rId51" Type="http://schemas.openxmlformats.org/officeDocument/2006/relationships/hyperlink" Target="https://www.sterlinglawyers.com/illinois/divorce/collaborative/" TargetMode="External"/><Relationship Id="rId50" Type="http://schemas.openxmlformats.org/officeDocument/2006/relationships/hyperlink" Target="https://www.sterlinglawyers.com/illinois/divorce/mediation/" TargetMode="External"/><Relationship Id="rId53" Type="http://schemas.openxmlformats.org/officeDocument/2006/relationships/hyperlink" Target="https://www.sterlinglawyers.com/illinois/guardianship/temporary/" TargetMode="External"/><Relationship Id="rId52" Type="http://schemas.openxmlformats.org/officeDocument/2006/relationships/hyperlink" Target="https://www.sterlinglawyers.com/illinois/divorce/collaborative/" TargetMode="External"/><Relationship Id="rId55" Type="http://schemas.openxmlformats.org/officeDocument/2006/relationships/hyperlink" Target="https://www.sterlinglawyers.com/illinois/divorce/litigation/" TargetMode="External"/><Relationship Id="rId54" Type="http://schemas.openxmlformats.org/officeDocument/2006/relationships/hyperlink" Target="https://www.sterlinglawyers.com/illinois/divorce/high-conflict/" TargetMode="External"/><Relationship Id="rId57" Type="http://schemas.openxmlformats.org/officeDocument/2006/relationships/hyperlink" Target="https://www.sterlinglawyers.com/illinois/child-custody/" TargetMode="External"/><Relationship Id="rId56" Type="http://schemas.openxmlformats.org/officeDocument/2006/relationships/hyperlink" Target="https://www.sterlinglawyers.com/illinois/child-custody/relocation/" TargetMode="External"/><Relationship Id="rId59" Type="http://schemas.openxmlformats.org/officeDocument/2006/relationships/hyperlink" Target="https://www.sterlinglawyers.com/illinois/child-custody/high-conflict/" TargetMode="External"/><Relationship Id="rId58" Type="http://schemas.openxmlformats.org/officeDocument/2006/relationships/hyperlink" Target="https://www.sterlinglawyers.com/illinois/divorce/business-ownershi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brownlawyer.com/complex-and-contested-divorce-attorney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sbrownlawyer.com/why-do-you-need-a-divorce-lawyer/" TargetMode="External"/><Relationship Id="rId194" Type="http://schemas.openxmlformats.org/officeDocument/2006/relationships/hyperlink" Target="https://sbrownlawyer.com/pearland/" TargetMode="External"/><Relationship Id="rId193" Type="http://schemas.openxmlformats.org/officeDocument/2006/relationships/hyperlink" Target="https://sbrownlawyer.com/Financial-Steps-Individuals-Should-Take-To-Prepare-For-Divorce" TargetMode="External"/><Relationship Id="rId192" Type="http://schemas.openxmlformats.org/officeDocument/2006/relationships/hyperlink" Target="https://sbrownlawyer.com/oil-and-mineral-rights/" TargetMode="External"/><Relationship Id="rId191" Type="http://schemas.openxmlformats.org/officeDocument/2006/relationships/hyperlink" Target="https://sbrownlawyer.com/contested-custody/" TargetMode="External"/><Relationship Id="rId187" Type="http://schemas.openxmlformats.org/officeDocument/2006/relationships/hyperlink" Target="https://sbrownlawyer.com/divorce-lawyer-in-galveston-county/" TargetMode="External"/><Relationship Id="rId186" Type="http://schemas.openxmlformats.org/officeDocument/2006/relationships/hyperlink" Target="https://sbrownlawyer.com/2022/02/18/can-i-file-legal-separation-on-texas/" TargetMode="External"/><Relationship Id="rId185" Type="http://schemas.openxmlformats.org/officeDocument/2006/relationships/hyperlink" Target="https://sbrownlawyer.com/inheritances/" TargetMode="External"/><Relationship Id="rId184" Type="http://schemas.openxmlformats.org/officeDocument/2006/relationships/hyperlink" Target="https://sbrownlawyer.com/divorce-in-texas-and-the-possibility-of-spousal-support-payments/" TargetMode="External"/><Relationship Id="rId189" Type="http://schemas.openxmlformats.org/officeDocument/2006/relationships/hyperlink" Target="https://sbrownlawyer.com/League%20City-complex-and-contested-divorce/" TargetMode="External"/><Relationship Id="rId188" Type="http://schemas.openxmlformats.org/officeDocument/2006/relationships/hyperlink" Target="https://sbrownlawyer.com/assets-and-liability/" TargetMode="External"/><Relationship Id="rId183" Type="http://schemas.openxmlformats.org/officeDocument/2006/relationships/hyperlink" Target="https://sbrownlawyer.com/Attorneys/" TargetMode="External"/><Relationship Id="rId182" Type="http://schemas.openxmlformats.org/officeDocument/2006/relationships/hyperlink" Target="https://sbrownlawyer.com/domestic-abuse-and-protective-orders/" TargetMode="External"/><Relationship Id="rId181" Type="http://schemas.openxmlformats.org/officeDocument/2006/relationships/hyperlink" Target="https://sbrownlawyer.com/Modifications/" TargetMode="External"/><Relationship Id="rId180" Type="http://schemas.openxmlformats.org/officeDocument/2006/relationships/hyperlink" Target="https://sbrownlawyer.com/League%20City/" TargetMode="External"/><Relationship Id="rId176" Type="http://schemas.openxmlformats.org/officeDocument/2006/relationships/hyperlink" Target="https://sbrownlawyer.com/Property-division-during-divorce-does-not-have-to-destroy-a-business" TargetMode="External"/><Relationship Id="rId175" Type="http://schemas.openxmlformats.org/officeDocument/2006/relationships/hyperlink" Target="https://sbrownlawyer.com/the-importance-of-hiring-a-board-certified-family-law-attorney/" TargetMode="External"/><Relationship Id="rId174" Type="http://schemas.openxmlformats.org/officeDocument/2006/relationships/hyperlink" Target="https://sbrownlawyer.com/League%20City-high-net-worth-divorce-lawyer/" TargetMode="External"/><Relationship Id="rId173" Type="http://schemas.openxmlformats.org/officeDocument/2006/relationships/hyperlink" Target="https://sbrownlawyer.com/homes-and-real-estate/" TargetMode="External"/><Relationship Id="rId179" Type="http://schemas.openxmlformats.org/officeDocument/2006/relationships/hyperlink" Target="https://sbrownlawyer.com/fathers-rights/" TargetMode="External"/><Relationship Id="rId178" Type="http://schemas.openxmlformats.org/officeDocument/2006/relationships/hyperlink" Target="https://sbrownlawyer.com/planning-for-divorce/" TargetMode="External"/><Relationship Id="rId177" Type="http://schemas.openxmlformats.org/officeDocument/2006/relationships/hyperlink" Target="https://sbrownlawyer.com/physician-practices/" TargetMode="External"/><Relationship Id="rId198" Type="http://schemas.openxmlformats.org/officeDocument/2006/relationships/hyperlink" Target="https://sbrownlawyer.com/news/announcement-divorce-custody-representation-league-city/" TargetMode="External"/><Relationship Id="rId197" Type="http://schemas.openxmlformats.org/officeDocument/2006/relationships/hyperlink" Target="https://sbrownlawyer.com/criminal-defense-attorney-in-texas/" TargetMode="External"/><Relationship Id="rId196" Type="http://schemas.openxmlformats.org/officeDocument/2006/relationships/hyperlink" Target="https://sbrownlawyer.com/personal-injury-in-texas/" TargetMode="External"/><Relationship Id="rId195" Type="http://schemas.openxmlformats.org/officeDocument/2006/relationships/hyperlink" Target="https://sbrownlawyer.com/family-owned-business-protection/" TargetMode="External"/><Relationship Id="rId199" Type="http://schemas.openxmlformats.org/officeDocument/2006/relationships/hyperlink" Target="https://sbrownlawyer.com/news/angleton-school-custody-schedules/" TargetMode="External"/><Relationship Id="rId150" Type="http://schemas.openxmlformats.org/officeDocument/2006/relationships/hyperlink" Target="https://sbrownlawyer.com/Don-t-let-family-violence-allegations-affect-your-open-carry-rights" TargetMode="External"/><Relationship Id="rId392" Type="http://schemas.openxmlformats.org/officeDocument/2006/relationships/hyperlink" Target="https://sbrownlawyer.com/Division-Of-Property" TargetMode="External"/><Relationship Id="rId391" Type="http://schemas.openxmlformats.org/officeDocument/2006/relationships/hyperlink" Target="https://sbrownlawyer.com/2022/01/25/answers-to-common-questions-about-your-property-rights-when-you-divorce/" TargetMode="External"/><Relationship Id="rId390" Type="http://schemas.openxmlformats.org/officeDocument/2006/relationships/hyperlink" Target="https://sbrownlawyer.com/Domestic-Abuse-And-Protective-Orders" TargetMode="External"/><Relationship Id="rId1" Type="http://schemas.openxmlformats.org/officeDocument/2006/relationships/hyperlink" Target="https://sbrownlawyer.com/" TargetMode="External"/><Relationship Id="rId2" Type="http://schemas.openxmlformats.org/officeDocument/2006/relationships/hyperlink" Target="https://sbrownlawyer.com/texas/locations/pearland/" TargetMode="External"/><Relationship Id="rId3" Type="http://schemas.openxmlformats.org/officeDocument/2006/relationships/hyperlink" Target="https://sbrownlawyer.com/modifications/" TargetMode="External"/><Relationship Id="rId149" Type="http://schemas.openxmlformats.org/officeDocument/2006/relationships/hyperlink" Target="https://sbrownlawyer.com/articles/What-happens-to-pets-in-a-Texas-divorce" TargetMode="External"/><Relationship Id="rId4" Type="http://schemas.openxmlformats.org/officeDocument/2006/relationships/hyperlink" Target="https://sbrownlawyer.com/areas-we-serve/brazoria-county/" TargetMode="External"/><Relationship Id="rId148" Type="http://schemas.openxmlformats.org/officeDocument/2006/relationships/hyperlink" Target="https://sbrownlawyer.com/league-city-divorce-lawyer/" TargetMode="External"/><Relationship Id="rId1090" Type="http://schemas.openxmlformats.org/officeDocument/2006/relationships/hyperlink" Target="https://sbrownlawyer.com/galveston-drug-possession-lawyer/" TargetMode="External"/><Relationship Id="rId1091" Type="http://schemas.openxmlformats.org/officeDocument/2006/relationships/hyperlink" Target="https://sbrownlawyer.com/blog/page/18/?et_blog" TargetMode="External"/><Relationship Id="rId1092" Type="http://schemas.openxmlformats.org/officeDocument/2006/relationships/hyperlink" Target="https://sbrownlawyer.com/page/17/" TargetMode="External"/><Relationship Id="rId1093" Type="http://schemas.openxmlformats.org/officeDocument/2006/relationships/hyperlink" Target="https://sbrownlawyer.com/blog/page/19/?et_blog" TargetMode="External"/><Relationship Id="rId1094" Type="http://schemas.openxmlformats.org/officeDocument/2006/relationships/hyperlink" Target="https://sbrownlawyer.com/page/18/" TargetMode="External"/><Relationship Id="rId9" Type="http://schemas.openxmlformats.org/officeDocument/2006/relationships/hyperlink" Target="https://sbrownlawyer.com/areas-we-serve/galveston-county/" TargetMode="External"/><Relationship Id="rId143" Type="http://schemas.openxmlformats.org/officeDocument/2006/relationships/hyperlink" Target="https://sbrownlawyer.com/2024/10/09/legal-rights-for-pedestrian-injury-victims-in-texas/" TargetMode="External"/><Relationship Id="rId385" Type="http://schemas.openxmlformats.org/officeDocument/2006/relationships/hyperlink" Target="https://sbrownlawyer.com/Attorneys/Scott-M-Brown" TargetMode="External"/><Relationship Id="rId1095" Type="http://schemas.openxmlformats.org/officeDocument/2006/relationships/hyperlink" Target="https://sbrownlawyer.com/blog/page/20/?et_blog" TargetMode="External"/><Relationship Id="rId142" Type="http://schemas.openxmlformats.org/officeDocument/2006/relationships/hyperlink" Target="https://sbrownlawyer.com/How-is-property-divided-in-a-Texas-divorce" TargetMode="External"/><Relationship Id="rId384" Type="http://schemas.openxmlformats.org/officeDocument/2006/relationships/hyperlink" Target="https://sbrownlawyer.com/Financial-Steps-Individuals-Should-Take-To-Prepare-For-Divorce/" TargetMode="External"/><Relationship Id="rId1096" Type="http://schemas.openxmlformats.org/officeDocument/2006/relationships/hyperlink" Target="https://sbrownlawyer.com/page/19/" TargetMode="External"/><Relationship Id="rId141" Type="http://schemas.openxmlformats.org/officeDocument/2006/relationships/hyperlink" Target="https://sbrownlawyer.com/blog/page/2/?et_blog" TargetMode="External"/><Relationship Id="rId383" Type="http://schemas.openxmlformats.org/officeDocument/2006/relationships/hyperlink" Target="https://sbrownlawyer.com/2022/03/06/divorce-who-gets-the-house/" TargetMode="External"/><Relationship Id="rId1097" Type="http://schemas.openxmlformats.org/officeDocument/2006/relationships/hyperlink" Target="https://sbrownlawyer.com/blog/page/21/?et_blog" TargetMode="External"/><Relationship Id="rId140" Type="http://schemas.openxmlformats.org/officeDocument/2006/relationships/hyperlink" Target="https://sbrownlawyer.com/2024/12/23/compensation-for-paralysis-injuries-your-guide-to-texas-law/" TargetMode="External"/><Relationship Id="rId382" Type="http://schemas.openxmlformats.org/officeDocument/2006/relationships/hyperlink" Target="https://sbrownlawyer.com/video-7/" TargetMode="External"/><Relationship Id="rId1098" Type="http://schemas.openxmlformats.org/officeDocument/2006/relationships/hyperlink" Target="https://sbrownlawyer.com/page/20/" TargetMode="External"/><Relationship Id="rId5" Type="http://schemas.openxmlformats.org/officeDocument/2006/relationships/hyperlink" Target="https://sbrownlawyer.com/debt-division/" TargetMode="External"/><Relationship Id="rId147" Type="http://schemas.openxmlformats.org/officeDocument/2006/relationships/hyperlink" Target="https://sbrownlawyer.com/2024/10/18/over-55-divorce/" TargetMode="External"/><Relationship Id="rId389" Type="http://schemas.openxmlformats.org/officeDocument/2006/relationships/hyperlink" Target="https://sbrownlawyer.com/Property-division-during-divorce-does-not-have-to-destroy-a-business/" TargetMode="External"/><Relationship Id="rId1099" Type="http://schemas.openxmlformats.org/officeDocument/2006/relationships/hyperlink" Target="https://sbrownlawyer.com/blog/page/22/?et_blog" TargetMode="External"/><Relationship Id="rId6" Type="http://schemas.openxmlformats.org/officeDocument/2006/relationships/hyperlink" Target="https://sbrownlawyer.com/protective-services/" TargetMode="External"/><Relationship Id="rId146" Type="http://schemas.openxmlformats.org/officeDocument/2006/relationships/hyperlink" Target="https://sbrownlawyer.com/pearland-family-law-office/" TargetMode="External"/><Relationship Id="rId388" Type="http://schemas.openxmlformats.org/officeDocument/2006/relationships/hyperlink" Target="https://sbrownlawyer.com/Child-Protective-Services-CPS" TargetMode="External"/><Relationship Id="rId7" Type="http://schemas.openxmlformats.org/officeDocument/2006/relationships/hyperlink" Target="https://sbrownlawyer.com/texas/locations/angleton/" TargetMode="External"/><Relationship Id="rId145" Type="http://schemas.openxmlformats.org/officeDocument/2006/relationships/hyperlink" Target="https://sbrownlawyer.com/protecting-your-assets/" TargetMode="External"/><Relationship Id="rId387" Type="http://schemas.openxmlformats.org/officeDocument/2006/relationships/hyperlink" Target="https://sbrownlawyer.com/league-city-complex-and-contested-divorce/" TargetMode="External"/><Relationship Id="rId8" Type="http://schemas.openxmlformats.org/officeDocument/2006/relationships/hyperlink" Target="https://sbrownlawyer.com/careers/" TargetMode="External"/><Relationship Id="rId144" Type="http://schemas.openxmlformats.org/officeDocument/2006/relationships/hyperlink" Target="https://sbrownlawyer.com/2024/10/08/car-accident-in-houston-understanding-your-rights-and-responsibilities/" TargetMode="External"/><Relationship Id="rId386" Type="http://schemas.openxmlformats.org/officeDocument/2006/relationships/hyperlink" Target="https://sbrownlawyer.com/Paternity" TargetMode="External"/><Relationship Id="rId381" Type="http://schemas.openxmlformats.org/officeDocument/2006/relationships/hyperlink" Target="https://sbrownlawyer.com/contested-custody/Modification-of-Custody" TargetMode="External"/><Relationship Id="rId380" Type="http://schemas.openxmlformats.org/officeDocument/2006/relationships/hyperlink" Target="https://sbrownlawyer.com/2022/04/08/proving-fault-in-a-personal-injury-case-how-it-is-done-in-texas/" TargetMode="External"/><Relationship Id="rId139" Type="http://schemas.openxmlformats.org/officeDocument/2006/relationships/hyperlink" Target="https://sbrownlawyer.com/2024/08/20/no-fault-divorce-vs-fault-divorce-angleton-texas/" TargetMode="External"/><Relationship Id="rId138" Type="http://schemas.openxmlformats.org/officeDocument/2006/relationships/hyperlink" Target="https://sbrownlawyer.com/2024/07/04/expungement-vs-sealing-what-is-the-best-option/" TargetMode="External"/><Relationship Id="rId137" Type="http://schemas.openxmlformats.org/officeDocument/2006/relationships/hyperlink" Target="https://sbrownlawyer.com/2024/08/30/car-accidents/" TargetMode="External"/><Relationship Id="rId379" Type="http://schemas.openxmlformats.org/officeDocument/2006/relationships/hyperlink" Target="https://sbrownlawyer.com/school-teacher-sexual-assault/" TargetMode="External"/><Relationship Id="rId1080" Type="http://schemas.openxmlformats.org/officeDocument/2006/relationships/hyperlink" Target="https://sbrownlawyer.com/2012/12/11/divorce-of-big-bang-star-may-interest-texas-fans/" TargetMode="External"/><Relationship Id="rId1081" Type="http://schemas.openxmlformats.org/officeDocument/2006/relationships/hyperlink" Target="https://sbrownlawyer.com/2014/05/02/domestic-violence-victims-arent-alone/" TargetMode="External"/><Relationship Id="rId1082" Type="http://schemas.openxmlformats.org/officeDocument/2006/relationships/hyperlink" Target="https://sbrownlawyer.com/blog/page/16/?et_blog" TargetMode="External"/><Relationship Id="rId1083" Type="http://schemas.openxmlformats.org/officeDocument/2006/relationships/hyperlink" Target="https://sbrownlawyer.com/league-city-tx-car-accident-lawyer/" TargetMode="External"/><Relationship Id="rId132" Type="http://schemas.openxmlformats.org/officeDocument/2006/relationships/hyperlink" Target="https://sbrownlawyer.com/areas-we-serve/galveston-county/friendswood/" TargetMode="External"/><Relationship Id="rId374" Type="http://schemas.openxmlformats.org/officeDocument/2006/relationships/hyperlink" Target="https://sbrownlawyer.com/galveston-boating-and-ski-accident-lawyer/" TargetMode="External"/><Relationship Id="rId1084" Type="http://schemas.openxmlformats.org/officeDocument/2006/relationships/hyperlink" Target="https://sbrownlawyer.com/2009/03/18/what-are-factors-that-may-lead-to-divorce/" TargetMode="External"/><Relationship Id="rId131" Type="http://schemas.openxmlformats.org/officeDocument/2006/relationships/hyperlink" Target="https://sbrownlawyer.com/2023/01/06/job-opportunity-senior-attorney/" TargetMode="External"/><Relationship Id="rId373" Type="http://schemas.openxmlformats.org/officeDocument/2006/relationships/hyperlink" Target="https://sbrownlawyer.com/pedestrian-accident/" TargetMode="External"/><Relationship Id="rId1085" Type="http://schemas.openxmlformats.org/officeDocument/2006/relationships/hyperlink" Target="https://sbrownlawyer.com/page/15/" TargetMode="External"/><Relationship Id="rId130" Type="http://schemas.openxmlformats.org/officeDocument/2006/relationships/hyperlink" Target="https://sbrownlawyer.com/stepparent-rights/" TargetMode="External"/><Relationship Id="rId372" Type="http://schemas.openxmlformats.org/officeDocument/2006/relationships/hyperlink" Target="https://sbrownlawyer.com/friendswood-tx-drug-charges/" TargetMode="External"/><Relationship Id="rId1086" Type="http://schemas.openxmlformats.org/officeDocument/2006/relationships/hyperlink" Target="https://sbrownlawyer.com/2018/01/22/new-criminal-offense-in-texas-for-possession-or-promotion-of-lewd-material-depicting-a-child/" TargetMode="External"/><Relationship Id="rId371" Type="http://schemas.openxmlformats.org/officeDocument/2006/relationships/hyperlink" Target="https://sbrownlawyer.com/webster-motorcycle-accident-lawyer/" TargetMode="External"/><Relationship Id="rId1087" Type="http://schemas.openxmlformats.org/officeDocument/2006/relationships/hyperlink" Target="https://sbrownlawyer.com/2009/03/02/consent-to-medical-care-by-a-non-parent/" TargetMode="External"/><Relationship Id="rId136" Type="http://schemas.openxmlformats.org/officeDocument/2006/relationships/hyperlink" Target="https://sbrownlawyer.com/2024/08/01/felony-misdemeanor-difference-league-city/" TargetMode="External"/><Relationship Id="rId378" Type="http://schemas.openxmlformats.org/officeDocument/2006/relationships/hyperlink" Target="https://sbrownlawyer.com/league-city-juvenile-crimes-lawyer/" TargetMode="External"/><Relationship Id="rId1088" Type="http://schemas.openxmlformats.org/officeDocument/2006/relationships/hyperlink" Target="https://sbrownlawyer.com/blog/page/17/?et_blog" TargetMode="External"/><Relationship Id="rId135" Type="http://schemas.openxmlformats.org/officeDocument/2006/relationships/hyperlink" Target="https://sbrownlawyer.com/2024/09/23/is-leaving-the-scene-of-an-accident-a-felony-in-angleton/" TargetMode="External"/><Relationship Id="rId377" Type="http://schemas.openxmlformats.org/officeDocument/2006/relationships/hyperlink" Target="https://sbrownlawyer.com/personal-injury" TargetMode="External"/><Relationship Id="rId1089" Type="http://schemas.openxmlformats.org/officeDocument/2006/relationships/hyperlink" Target="https://sbrownlawyer.com/page/16/" TargetMode="External"/><Relationship Id="rId134" Type="http://schemas.openxmlformats.org/officeDocument/2006/relationships/hyperlink" Target="https://sbrownlawyer.com/areas-we-serve/galveston-county/dickinson/" TargetMode="External"/><Relationship Id="rId376" Type="http://schemas.openxmlformats.org/officeDocument/2006/relationships/hyperlink" Target="https://sbrownlawyer.com/league-city-theft-crimes/" TargetMode="External"/><Relationship Id="rId133" Type="http://schemas.openxmlformats.org/officeDocument/2006/relationships/hyperlink" Target="https://sbrownlawyer.com/Contact" TargetMode="External"/><Relationship Id="rId375" Type="http://schemas.openxmlformats.org/officeDocument/2006/relationships/hyperlink" Target="https://sbrownlawyer.com/league-city-tx-theft-crimes/" TargetMode="External"/><Relationship Id="rId172" Type="http://schemas.openxmlformats.org/officeDocument/2006/relationships/hyperlink" Target="https://sbrownlawyer.com/business-and-professional-practices-in-divorce/" TargetMode="External"/><Relationship Id="rId171" Type="http://schemas.openxmlformats.org/officeDocument/2006/relationships/hyperlink" Target="https://sbrownlawyer.com/The-basics-of-Texas-child-support-requests-factors-and-guidelines" TargetMode="External"/><Relationship Id="rId170" Type="http://schemas.openxmlformats.org/officeDocument/2006/relationships/hyperlink" Target="https://sbrownlawyer.com/Divorce-in-Texas-and-the-possibility-of-spousal-support-payments" TargetMode="External"/><Relationship Id="rId165" Type="http://schemas.openxmlformats.org/officeDocument/2006/relationships/hyperlink" Target="https://sbrownlawyer.com/league-city-tx-divorce/" TargetMode="External"/><Relationship Id="rId164" Type="http://schemas.openxmlformats.org/officeDocument/2006/relationships/hyperlink" Target="https://sbrownlawyer.com/angleton/" TargetMode="External"/><Relationship Id="rId163" Type="http://schemas.openxmlformats.org/officeDocument/2006/relationships/hyperlink" Target="https://sbrownlawyer.com/Obtaining-a-protection-order-is-one-step-in-leaving-domestic-violence" TargetMode="External"/><Relationship Id="rId162" Type="http://schemas.openxmlformats.org/officeDocument/2006/relationships/hyperlink" Target="https://sbrownlawyer.com/Hidden-assets-Some-marital-property-may-not-be-obvious" TargetMode="External"/><Relationship Id="rId169" Type="http://schemas.openxmlformats.org/officeDocument/2006/relationships/hyperlink" Target="https://sbrownlawyer.com/How-to-know-if-your-spouse-is-hiding-marital-property-and-assets" TargetMode="External"/><Relationship Id="rId168" Type="http://schemas.openxmlformats.org/officeDocument/2006/relationships/hyperlink" Target="https://sbrownlawyer.com/the-divorce-process/" TargetMode="External"/><Relationship Id="rId167" Type="http://schemas.openxmlformats.org/officeDocument/2006/relationships/hyperlink" Target="https://sbrownlawyer.com/When-parents-divorce-New-study-analyzes-impact-of-divorce-on-kids" TargetMode="External"/><Relationship Id="rId166" Type="http://schemas.openxmlformats.org/officeDocument/2006/relationships/hyperlink" Target="https://sbrownlawyer.com/investment-properties/" TargetMode="External"/><Relationship Id="rId161" Type="http://schemas.openxmlformats.org/officeDocument/2006/relationships/hyperlink" Target="https://sbrownlawyer.com/hidden-assets/" TargetMode="External"/><Relationship Id="rId160" Type="http://schemas.openxmlformats.org/officeDocument/2006/relationships/hyperlink" Target="https://sbrownlawyer.com/High-Net-Worth-Divorce/" TargetMode="External"/><Relationship Id="rId159" Type="http://schemas.openxmlformats.org/officeDocument/2006/relationships/hyperlink" Target="https://sbrownlawyer.com/Detailing-some-of-Texas-s-important-child-custody-laws" TargetMode="External"/><Relationship Id="rId154" Type="http://schemas.openxmlformats.org/officeDocument/2006/relationships/hyperlink" Target="https://sbrownlawyer.com/When-alcohol-becomes-a-factor-in-divorce-proceedings" TargetMode="External"/><Relationship Id="rId396" Type="http://schemas.openxmlformats.org/officeDocument/2006/relationships/hyperlink" Target="https://sbrownlawyer.com/Divorce/High-Net-Worth-Divorce" TargetMode="External"/><Relationship Id="rId153" Type="http://schemas.openxmlformats.org/officeDocument/2006/relationships/hyperlink" Target="https://sbrownlawyer.com/uncontested-divorce-lawyer-in-pearland/" TargetMode="External"/><Relationship Id="rId395" Type="http://schemas.openxmlformats.org/officeDocument/2006/relationships/hyperlink" Target="https://sbrownlawyer.com/business-and-professional-practices-in-divorce/Asset-Division" TargetMode="External"/><Relationship Id="rId152" Type="http://schemas.openxmlformats.org/officeDocument/2006/relationships/hyperlink" Target="https://sbrownlawyer.com/Financial-Steps-To-Take-Before-Filing-For-Divorce" TargetMode="External"/><Relationship Id="rId394" Type="http://schemas.openxmlformats.org/officeDocument/2006/relationships/hyperlink" Target="https://sbrownlawyer.com/homes-and-real-estate/Assets-And-Liability" TargetMode="External"/><Relationship Id="rId151" Type="http://schemas.openxmlformats.org/officeDocument/2006/relationships/hyperlink" Target="https://sbrownlawyer.com/rule-1-file-first/" TargetMode="External"/><Relationship Id="rId393" Type="http://schemas.openxmlformats.org/officeDocument/2006/relationships/hyperlink" Target="https://sbrownlawyer.com/Scott-M-Brown" TargetMode="External"/><Relationship Id="rId158" Type="http://schemas.openxmlformats.org/officeDocument/2006/relationships/hyperlink" Target="https://sbrownlawyer.com/complex-and-contested-divorce-attorneys/" TargetMode="External"/><Relationship Id="rId157" Type="http://schemas.openxmlformats.org/officeDocument/2006/relationships/hyperlink" Target="https://sbrownlawyer.com/The-unique-aspects-of-alimony-spousal-maintenance-in-Texas" TargetMode="External"/><Relationship Id="rId399" Type="http://schemas.openxmlformats.org/officeDocument/2006/relationships/hyperlink" Target="https://sbrownlawyer.com/How-to-know-if-your-spouse-is-hiding-marital-property-and-assets/" TargetMode="External"/><Relationship Id="rId156" Type="http://schemas.openxmlformats.org/officeDocument/2006/relationships/hyperlink" Target="https://sbrownlawyer.com/retirement-accounts/" TargetMode="External"/><Relationship Id="rId398" Type="http://schemas.openxmlformats.org/officeDocument/2006/relationships/hyperlink" Target="https://sbrownlawyer.com/Divorce-in-Texas-and-the-possibility-of-spousal-support-payments/" TargetMode="External"/><Relationship Id="rId155" Type="http://schemas.openxmlformats.org/officeDocument/2006/relationships/hyperlink" Target="https://sbrownlawyer.com/How-Divorce-Can-Actually-Benefit-Children" TargetMode="External"/><Relationship Id="rId397" Type="http://schemas.openxmlformats.org/officeDocument/2006/relationships/hyperlink" Target="https://sbrownlawyer.com/league-city-high-net-worth-divorce-lawyer/" TargetMode="External"/><Relationship Id="rId808" Type="http://schemas.openxmlformats.org/officeDocument/2006/relationships/hyperlink" Target="https://sbrownlawyer.com/2019/02/01/how-are-retirement-accounts-handled-in-a-divorce/" TargetMode="External"/><Relationship Id="rId807" Type="http://schemas.openxmlformats.org/officeDocument/2006/relationships/hyperlink" Target="https://sbrownlawyer.com/2019/03/15/arrested-for-dwi-potential-police-errors-that-may-help-your-case/" TargetMode="External"/><Relationship Id="rId806" Type="http://schemas.openxmlformats.org/officeDocument/2006/relationships/hyperlink" Target="https://sbrownlawyer.com/what-are-the-dangers-of-representing-yourself-in-a-divorce/" TargetMode="External"/><Relationship Id="rId805" Type="http://schemas.openxmlformats.org/officeDocument/2006/relationships/hyperlink" Target="https://sbrownlawyer.com/2019/09/12/find-out-how-long-your-divorce-will-take/" TargetMode="External"/><Relationship Id="rId809" Type="http://schemas.openxmlformats.org/officeDocument/2006/relationships/hyperlink" Target="https://sbrownlawyer.com/2020/03/02/enforcing-a-divorce-decree-everything-you-need-to-know/" TargetMode="External"/><Relationship Id="rId800" Type="http://schemas.openxmlformats.org/officeDocument/2006/relationships/hyperlink" Target="https://sbrownlawyer.com/2012/10/08/divorce-and-child-support-texas-several-billion-dollars-behind/" TargetMode="External"/><Relationship Id="rId804" Type="http://schemas.openxmlformats.org/officeDocument/2006/relationships/hyperlink" Target="https://sbrownlawyer.com/Obtaining-a-protection-order-is-one-step-in-leaving-domestic-violence/" TargetMode="External"/><Relationship Id="rId803" Type="http://schemas.openxmlformats.org/officeDocument/2006/relationships/hyperlink" Target="https://sbrownlawyer.com/2019/05/01/the-cost-and-legal-implications-of-a-first-time-dui/" TargetMode="External"/><Relationship Id="rId802" Type="http://schemas.openxmlformats.org/officeDocument/2006/relationships/hyperlink" Target="https://sbrownlawyer.com/2012/08/03/texas-parents-may-explore-legal-options-in-child-support-payments/" TargetMode="External"/><Relationship Id="rId801" Type="http://schemas.openxmlformats.org/officeDocument/2006/relationships/hyperlink" Target="https://sbrownlawyer.com/2015/08/14/the-hurdles-of-the-back-to-school-season/" TargetMode="External"/><Relationship Id="rId40" Type="http://schemas.openxmlformats.org/officeDocument/2006/relationships/hyperlink" Target="https://sbrownlawyer.com/grandparents-rights/" TargetMode="External"/><Relationship Id="rId42" Type="http://schemas.openxmlformats.org/officeDocument/2006/relationships/hyperlink" Target="https://sbrownlawyer.com/areas-we-serve/harris-county/" TargetMode="External"/><Relationship Id="rId41" Type="http://schemas.openxmlformats.org/officeDocument/2006/relationships/hyperlink" Target="https://sbrownlawyer.com/child-support/" TargetMode="External"/><Relationship Id="rId44" Type="http://schemas.openxmlformats.org/officeDocument/2006/relationships/hyperlink" Target="https://sbrownlawyer.com/terms-of-service" TargetMode="External"/><Relationship Id="rId43" Type="http://schemas.openxmlformats.org/officeDocument/2006/relationships/hyperlink" Target="https://sbrownlawyer.com/criminal-defense/" TargetMode="External"/><Relationship Id="rId46" Type="http://schemas.openxmlformats.org/officeDocument/2006/relationships/hyperlink" Target="https://sbrownlawyer.com/areas-we-serve/fort-bend-county/" TargetMode="External"/><Relationship Id="rId45" Type="http://schemas.openxmlformats.org/officeDocument/2006/relationships/hyperlink" Target="https://sbrownlawyer.com/criminal-law/" TargetMode="External"/><Relationship Id="rId509" Type="http://schemas.openxmlformats.org/officeDocument/2006/relationships/hyperlink" Target="https://sbrownlawyer.com/2015/01/29/property-division-considerations-include-a-variety-of-assets/" TargetMode="External"/><Relationship Id="rId508" Type="http://schemas.openxmlformats.org/officeDocument/2006/relationships/hyperlink" Target="https://sbrownlawyer.com/2015/Family-Law/Domestic-Abuse-And-Protective-Orders" TargetMode="External"/><Relationship Id="rId503" Type="http://schemas.openxmlformats.org/officeDocument/2006/relationships/hyperlink" Target="https://sbrownlawyer.com/2017/09/15/how-can-an-interlock-ignition-device-help-if-a-dui-causes-a-license-suspension-in-texas/" TargetMode="External"/><Relationship Id="rId745" Type="http://schemas.openxmlformats.org/officeDocument/2006/relationships/hyperlink" Target="https://sbrownlawyer.com/2014/07/11/texas-man-jailed-over-child-support-cant-work-to-support-child/" TargetMode="External"/><Relationship Id="rId987" Type="http://schemas.openxmlformats.org/officeDocument/2006/relationships/hyperlink" Target="https://sbrownlawyer.com/2017/02/Contact" TargetMode="External"/><Relationship Id="rId502" Type="http://schemas.openxmlformats.org/officeDocument/2006/relationships/hyperlink" Target="https://sbrownlawyer.com/2017/08/01/7-key-reasons-texas-may-shift-the-property-division-in-divorces-away-from-a-50-50-split/" TargetMode="External"/><Relationship Id="rId744" Type="http://schemas.openxmlformats.org/officeDocument/2006/relationships/hyperlink" Target="https://sbrownlawyer.com/2014/08/01/texas-man-overpays-child-support-goes-to-jail/" TargetMode="External"/><Relationship Id="rId986" Type="http://schemas.openxmlformats.org/officeDocument/2006/relationships/hyperlink" Target="https://sbrownlawyer.com/2014/blog" TargetMode="External"/><Relationship Id="rId501" Type="http://schemas.openxmlformats.org/officeDocument/2006/relationships/hyperlink" Target="https://sbrownlawyer.com/schedule-now-es/" TargetMode="External"/><Relationship Id="rId743" Type="http://schemas.openxmlformats.org/officeDocument/2006/relationships/hyperlink" Target="https://sbrownlawyer.com/2014/11/28/dealing-with-dogs-as-part-of-the-property-division-process/" TargetMode="External"/><Relationship Id="rId985" Type="http://schemas.openxmlformats.org/officeDocument/2006/relationships/hyperlink" Target="https://sbrownlawyer.com/2018/05/28/what-should-you-do-if-your-teenager-gets-a-dui/" TargetMode="External"/><Relationship Id="rId500" Type="http://schemas.openxmlformats.org/officeDocument/2006/relationships/hyperlink" Target="https://sbrownlawyer.com/dwi/Multiple-DWI-Loss-Of-License" TargetMode="External"/><Relationship Id="rId742" Type="http://schemas.openxmlformats.org/officeDocument/2006/relationships/hyperlink" Target="https://sbrownlawyer.com/2012/05/25/child-custody-hearing-lands-sanders-divorce-in-the-spotlight/" TargetMode="External"/><Relationship Id="rId984" Type="http://schemas.openxmlformats.org/officeDocument/2006/relationships/hyperlink" Target="https://sbrownlawyer.com/2018/06/15/how-does-alimony-work/" TargetMode="External"/><Relationship Id="rId507" Type="http://schemas.openxmlformats.org/officeDocument/2006/relationships/hyperlink" Target="https://sbrownlawyer.com/Parental-Relocation/" TargetMode="External"/><Relationship Id="rId749" Type="http://schemas.openxmlformats.org/officeDocument/2006/relationships/hyperlink" Target="https://sbrownlawyer.com/2012/03/08/military-marriage-presents-unique-emotional-challenges/" TargetMode="External"/><Relationship Id="rId506" Type="http://schemas.openxmlformats.org/officeDocument/2006/relationships/hyperlink" Target="https://sbrownlawyer.com/Enforcement/" TargetMode="External"/><Relationship Id="rId748" Type="http://schemas.openxmlformats.org/officeDocument/2006/relationships/hyperlink" Target="https://sbrownlawyer.com/2021/09/27/how-to-find-the-best-child-custody-lawyer-in-league-city-tx-and-how-they-can-help-your-case/" TargetMode="External"/><Relationship Id="rId505" Type="http://schemas.openxmlformats.org/officeDocument/2006/relationships/hyperlink" Target="https://sbrownlawyer.com/parental-alienation/" TargetMode="External"/><Relationship Id="rId747" Type="http://schemas.openxmlformats.org/officeDocument/2006/relationships/hyperlink" Target="https://sbrownlawyer.com/2021/11/17/6-common-questions-about-child-custody/" TargetMode="External"/><Relationship Id="rId989" Type="http://schemas.openxmlformats.org/officeDocument/2006/relationships/hyperlink" Target="https://sbrownlawyer.com/2012/10/29/texas-celebrity-couple-files-for-separation-divorce-to-follow/" TargetMode="External"/><Relationship Id="rId504" Type="http://schemas.openxmlformats.org/officeDocument/2006/relationships/hyperlink" Target="https://sbrownlawyer.com/international-custody/" TargetMode="External"/><Relationship Id="rId746" Type="http://schemas.openxmlformats.org/officeDocument/2006/relationships/hyperlink" Target="https://sbrownlawyer.com/under-age-dui-defense-in-league-city-tx/" TargetMode="External"/><Relationship Id="rId988" Type="http://schemas.openxmlformats.org/officeDocument/2006/relationships/hyperlink" Target="https://sbrownlawyer.com/2014/03/21/texas-ranks-second-in-the-nation-in-domestic-violence-incidents/" TargetMode="External"/><Relationship Id="rId48" Type="http://schemas.openxmlformats.org/officeDocument/2006/relationships/hyperlink" Target="https://sbrownlawyer.com/videos-5/" TargetMode="External"/><Relationship Id="rId47" Type="http://schemas.openxmlformats.org/officeDocument/2006/relationships/hyperlink" Target="https://sbrownlawyer.com/estate-planning-probate/" TargetMode="External"/><Relationship Id="rId49" Type="http://schemas.openxmlformats.org/officeDocument/2006/relationships/hyperlink" Target="https://sbrownlawyer.com/asset-division/" TargetMode="External"/><Relationship Id="rId741" Type="http://schemas.openxmlformats.org/officeDocument/2006/relationships/hyperlink" Target="https://sbrownlawyer.com/2012/04/27/senator-looks-into-drug-testing-for-child-support-recipients/" TargetMode="External"/><Relationship Id="rId983" Type="http://schemas.openxmlformats.org/officeDocument/2006/relationships/hyperlink" Target="https://sbrownlawyer.com/2019/07/15/9-tips-for-dealing-with-divorce/" TargetMode="External"/><Relationship Id="rId740" Type="http://schemas.openxmlformats.org/officeDocument/2006/relationships/hyperlink" Target="https://sbrownlawyer.com/2013/04/18/grandparents-rights-in-texas-should-they-be-expanded/" TargetMode="External"/><Relationship Id="rId982" Type="http://schemas.openxmlformats.org/officeDocument/2006/relationships/hyperlink" Target="https://sbrownlawyer.com/2012/07/11/superstar-divorce-holmes-may-seek-full-custody-of-daughter/" TargetMode="External"/><Relationship Id="rId981" Type="http://schemas.openxmlformats.org/officeDocument/2006/relationships/hyperlink" Target="https://sbrownlawyer.com/2019/05/16/motorcycle-laws-regarding-children-in-texas/" TargetMode="External"/><Relationship Id="rId980" Type="http://schemas.openxmlformats.org/officeDocument/2006/relationships/hyperlink" Target="https://sbrownlawyer.com/2018/03/15/preparing-to-testify-in-court/" TargetMode="External"/><Relationship Id="rId31" Type="http://schemas.openxmlformats.org/officeDocument/2006/relationships/hyperlink" Target="https://sbrownlawyer.com/cohabitation/" TargetMode="External"/><Relationship Id="rId30" Type="http://schemas.openxmlformats.org/officeDocument/2006/relationships/hyperlink" Target="https://sbrownlawyer.com/contact/" TargetMode="External"/><Relationship Id="rId33" Type="http://schemas.openxmlformats.org/officeDocument/2006/relationships/hyperlink" Target="https://sbrownlawyer.com/personal-injury/" TargetMode="External"/><Relationship Id="rId32" Type="http://schemas.openxmlformats.org/officeDocument/2006/relationships/hyperlink" Target="https://sbrownlawyer.com/areas-we-serve/" TargetMode="External"/><Relationship Id="rId35" Type="http://schemas.openxmlformats.org/officeDocument/2006/relationships/hyperlink" Target="https://sbrownlawyer.com/testimonials/" TargetMode="External"/><Relationship Id="rId34" Type="http://schemas.openxmlformats.org/officeDocument/2006/relationships/hyperlink" Target="https://sbrownlawyer.com/paternity-attorney/" TargetMode="External"/><Relationship Id="rId739" Type="http://schemas.openxmlformats.org/officeDocument/2006/relationships/hyperlink" Target="https://sbrownlawyer.com/2018/09/01/what-is-a-prenuptial-agreement/" TargetMode="External"/><Relationship Id="rId734" Type="http://schemas.openxmlformats.org/officeDocument/2006/relationships/hyperlink" Target="https://sbrownlawyer.com/League%20City-tx-child-custody-visitation-lawyer/" TargetMode="External"/><Relationship Id="rId976" Type="http://schemas.openxmlformats.org/officeDocument/2006/relationships/hyperlink" Target="https://sbrownlawyer.com/2014/06/06/killeen-gets-child-support-office-with-6-employees/" TargetMode="External"/><Relationship Id="rId733" Type="http://schemas.openxmlformats.org/officeDocument/2006/relationships/hyperlink" Target="https://sbrownlawyer.com/enforcing-child-support-orders/" TargetMode="External"/><Relationship Id="rId975" Type="http://schemas.openxmlformats.org/officeDocument/2006/relationships/hyperlink" Target="https://sbrownlawyer.com/2012/06/22/international-divorce-child-support-treaty-approved-by-house/" TargetMode="External"/><Relationship Id="rId732" Type="http://schemas.openxmlformats.org/officeDocument/2006/relationships/hyperlink" Target="https://sbrownlawyer.com/League%20City-tx-family-law-modifications-lawyer/" TargetMode="External"/><Relationship Id="rId974" Type="http://schemas.openxmlformats.org/officeDocument/2006/relationships/hyperlink" Target="https://sbrownlawyer.com/2013/03/20/texas-learns-of-former-doctor-divorce-and-money-questions/" TargetMode="External"/><Relationship Id="rId731" Type="http://schemas.openxmlformats.org/officeDocument/2006/relationships/hyperlink" Target="https://sbrownlawyer.com/2013/10/30/domestic-disturbance-leads-to-arrest-of-victoria-politician/" TargetMode="External"/><Relationship Id="rId973" Type="http://schemas.openxmlformats.org/officeDocument/2006/relationships/hyperlink" Target="https://sbrownlawyer.com/2014/08/29/professional-footballers-learn-of-harsh-domestic-violence-policy/" TargetMode="External"/><Relationship Id="rId738" Type="http://schemas.openxmlformats.org/officeDocument/2006/relationships/hyperlink" Target="https://sbrownlawyer.com/2013/06/10/division-of-property-considerations-prior-to-marriage/" TargetMode="External"/><Relationship Id="rId737" Type="http://schemas.openxmlformats.org/officeDocument/2006/relationships/hyperlink" Target="https://sbrownlawyer.com/2018/09/18/can-you-refuse-a-dwi-breath-or-blood-test-in-a-dwi-stop-in-texas/" TargetMode="External"/><Relationship Id="rId979" Type="http://schemas.openxmlformats.org/officeDocument/2006/relationships/hyperlink" Target="https://sbrownlawyer.com/2018/04/17/statutory-rape-age-of-consent-in-texas-how-old-is-too-old/" TargetMode="External"/><Relationship Id="rId736" Type="http://schemas.openxmlformats.org/officeDocument/2006/relationships/hyperlink" Target="https://sbrownlawyer.com/2019/01/08/does-cheating-affect-spousal-support/" TargetMode="External"/><Relationship Id="rId978" Type="http://schemas.openxmlformats.org/officeDocument/2006/relationships/hyperlink" Target="https://sbrownlawyer.com/2012/02/13/kobe-bryant-gives-three-homes-to-wife-in-divorce-settlement/" TargetMode="External"/><Relationship Id="rId735" Type="http://schemas.openxmlformats.org/officeDocument/2006/relationships/hyperlink" Target="https://sbrownlawyer.com/2018/07/28/who-is-liable-for-crashes-that-occur-in-borrowed-vehicles/" TargetMode="External"/><Relationship Id="rId977" Type="http://schemas.openxmlformats.org/officeDocument/2006/relationships/hyperlink" Target="https://sbrownlawyer.com/2014/10/30/what-should-i-do-if-im-a-victim-of-domestic-violence/" TargetMode="External"/><Relationship Id="rId37" Type="http://schemas.openxmlformats.org/officeDocument/2006/relationships/hyperlink" Target="https://sbrownlawyer.com/personal-injury-videos/" TargetMode="External"/><Relationship Id="rId36" Type="http://schemas.openxmlformats.org/officeDocument/2006/relationships/hyperlink" Target="https://sbrownlawyer.com/criminal-defense-book/" TargetMode="External"/><Relationship Id="rId39" Type="http://schemas.openxmlformats.org/officeDocument/2006/relationships/hyperlink" Target="https://sbrownlawyer.com/attorneys/" TargetMode="External"/><Relationship Id="rId38" Type="http://schemas.openxmlformats.org/officeDocument/2006/relationships/hyperlink" Target="https://sbrownlawyer.com/enforcement/" TargetMode="External"/><Relationship Id="rId730" Type="http://schemas.openxmlformats.org/officeDocument/2006/relationships/hyperlink" Target="https://sbrownlawyer.com/2017/03/26/causes-of-fatal-traffic-accidents-in-texas/" TargetMode="External"/><Relationship Id="rId972" Type="http://schemas.openxmlformats.org/officeDocument/2006/relationships/hyperlink" Target="https://sbrownlawyer.com/2018/08/14/how-do-you-prove-fault-in-a-slip-and-fall-accident/" TargetMode="External"/><Relationship Id="rId971" Type="http://schemas.openxmlformats.org/officeDocument/2006/relationships/hyperlink" Target="https://sbrownlawyer.com/Car-Accidents/" TargetMode="External"/><Relationship Id="rId970" Type="http://schemas.openxmlformats.org/officeDocument/2006/relationships/hyperlink" Target="https://sbrownlawyer.com/2018/07/09/2016-2017-reflect-steepest-increase-in-vehicle-fatalities-in-five-decades/" TargetMode="External"/><Relationship Id="rId1114" Type="http://schemas.openxmlformats.org/officeDocument/2006/relationships/hyperlink" Target="https://sbrownlawyer.com/page/28/" TargetMode="External"/><Relationship Id="rId1115" Type="http://schemas.openxmlformats.org/officeDocument/2006/relationships/hyperlink" Target="https://sbrownlawyer.com/blog/page/30/?et_blog" TargetMode="External"/><Relationship Id="rId20" Type="http://schemas.openxmlformats.org/officeDocument/2006/relationships/hyperlink" Target="https://sbrownlawyer.com/texas/locations/league-city/" TargetMode="External"/><Relationship Id="rId1116" Type="http://schemas.openxmlformats.org/officeDocument/2006/relationships/hyperlink" Target="https://sbrownlawyer.com/page/29/" TargetMode="External"/><Relationship Id="rId1117" Type="http://schemas.openxmlformats.org/officeDocument/2006/relationships/hyperlink" Target="https://sbrownlawyer.com/blog/page/31/?et_blog" TargetMode="External"/><Relationship Id="rId22" Type="http://schemas.openxmlformats.org/officeDocument/2006/relationships/hyperlink" Target="https://sbrownlawyer.com/news/" TargetMode="External"/><Relationship Id="rId1118" Type="http://schemas.openxmlformats.org/officeDocument/2006/relationships/hyperlink" Target="https://sbrownlawyer.com/page/30/" TargetMode="External"/><Relationship Id="rId21" Type="http://schemas.openxmlformats.org/officeDocument/2006/relationships/hyperlink" Target="https://sbrownlawyer.com/criminal-defense-videos/" TargetMode="External"/><Relationship Id="rId1119" Type="http://schemas.openxmlformats.org/officeDocument/2006/relationships/hyperlink" Target="https://sbrownlawyer.com/blog/page/32/?et_blog" TargetMode="External"/><Relationship Id="rId24" Type="http://schemas.openxmlformats.org/officeDocument/2006/relationships/hyperlink" Target="https://sbrownlawyer.com/business-owner-divorce/" TargetMode="External"/><Relationship Id="rId23" Type="http://schemas.openxmlformats.org/officeDocument/2006/relationships/hyperlink" Target="https://sbrownlawyer.com/disclaimer/" TargetMode="External"/><Relationship Id="rId525" Type="http://schemas.openxmlformats.org/officeDocument/2006/relationships/hyperlink" Target="https://sbrownlawyer.com/2021/09/27/how-to-find-the-best-child-custody-lawyer-in-League%20City-tx-and-how-they-can-help-your-case/" TargetMode="External"/><Relationship Id="rId767" Type="http://schemas.openxmlformats.org/officeDocument/2006/relationships/hyperlink" Target="https://sbrownlawyer.com/2019/10/15/married-couples-cannot-legally-separate-in-texas/" TargetMode="External"/><Relationship Id="rId524" Type="http://schemas.openxmlformats.org/officeDocument/2006/relationships/hyperlink" Target="https://sbrownlawyer.com/league-city-family-family-lawyer/" TargetMode="External"/><Relationship Id="rId766" Type="http://schemas.openxmlformats.org/officeDocument/2006/relationships/hyperlink" Target="https://sbrownlawyer.com/domestic-violence/Restraining-Orders" TargetMode="External"/><Relationship Id="rId523" Type="http://schemas.openxmlformats.org/officeDocument/2006/relationships/hyperlink" Target="https://sbrownlawyer.com/2017/04/19/grounds-for-changing-a-custody-order-in-texas/" TargetMode="External"/><Relationship Id="rId765" Type="http://schemas.openxmlformats.org/officeDocument/2006/relationships/hyperlink" Target="https://sbrownlawyer.com/domestic-violence/Child-Abuse" TargetMode="External"/><Relationship Id="rId522" Type="http://schemas.openxmlformats.org/officeDocument/2006/relationships/hyperlink" Target="https://sbrownlawyer.com/2013/11/01/considering-relocation-laws-when-making-custody-arrangements/" TargetMode="External"/><Relationship Id="rId764" Type="http://schemas.openxmlformats.org/officeDocument/2006/relationships/hyperlink" Target="https://sbrownlawyer.com/2019/09/15/how-to-fight-a-protective-order/" TargetMode="External"/><Relationship Id="rId529" Type="http://schemas.openxmlformats.org/officeDocument/2006/relationships/hyperlink" Target="https://sbrownlawyer.com/2012/05/10/family-law-do-child-custody-managers-have-too-much-power/" TargetMode="External"/><Relationship Id="rId528" Type="http://schemas.openxmlformats.org/officeDocument/2006/relationships/hyperlink" Target="https://sbrownlawyer.com/2013/05/03/texas-child-custody-battle-abduction-amber-alert-arrest/" TargetMode="External"/><Relationship Id="rId527" Type="http://schemas.openxmlformats.org/officeDocument/2006/relationships/hyperlink" Target="https://sbrownlawyer.com/2018/09/12/what-is-joint-custody/" TargetMode="External"/><Relationship Id="rId769" Type="http://schemas.openxmlformats.org/officeDocument/2006/relationships/hyperlink" Target="https://sbrownlawyer.com/2020/10/29/how-to-tell-if-youre-too-drunk-to-drive-and-how-to-prevent-yourself-from-becoming-a-drunk-driver/" TargetMode="External"/><Relationship Id="rId526" Type="http://schemas.openxmlformats.org/officeDocument/2006/relationships/hyperlink" Target="https://sbrownlawyer.com/family-law-attorney-in-galveston/" TargetMode="External"/><Relationship Id="rId768" Type="http://schemas.openxmlformats.org/officeDocument/2006/relationships/hyperlink" Target="https://sbrownlawyer.com/2020/07/23/what-is-the-best-dwi-defense-a-look-at-the-different-scenarios/" TargetMode="External"/><Relationship Id="rId26" Type="http://schemas.openxmlformats.org/officeDocument/2006/relationships/hyperlink" Target="https://sbrownlawyer.com/child-custody/" TargetMode="External"/><Relationship Id="rId25" Type="http://schemas.openxmlformats.org/officeDocument/2006/relationships/hyperlink" Target="https://sbrownlawyer.com/areas-we-serve/matagorda-county/" TargetMode="External"/><Relationship Id="rId28" Type="http://schemas.openxmlformats.org/officeDocument/2006/relationships/hyperlink" Target="https://sbrownlawyer.com/child-support/child-support-modifications/" TargetMode="External"/><Relationship Id="rId27" Type="http://schemas.openxmlformats.org/officeDocument/2006/relationships/hyperlink" Target="https://sbrownlawyer.com/Scott-M-Brown/" TargetMode="External"/><Relationship Id="rId521" Type="http://schemas.openxmlformats.org/officeDocument/2006/relationships/hyperlink" Target="https://sbrownlawyer.com/2017/12/15/domestic-violence-and-custody-determinations-in-texas/" TargetMode="External"/><Relationship Id="rId763" Type="http://schemas.openxmlformats.org/officeDocument/2006/relationships/hyperlink" Target="https://sbrownlawyer.com/guiding-your-children-through-divorce/" TargetMode="External"/><Relationship Id="rId1110" Type="http://schemas.openxmlformats.org/officeDocument/2006/relationships/hyperlink" Target="https://sbrownlawyer.com/page/26/" TargetMode="External"/><Relationship Id="rId29" Type="http://schemas.openxmlformats.org/officeDocument/2006/relationships/hyperlink" Target="https://sbrownlawyer.com/case-results/" TargetMode="External"/><Relationship Id="rId520" Type="http://schemas.openxmlformats.org/officeDocument/2006/relationships/hyperlink" Target="https://sbrownlawyer.com/2021/05/06/confronting-gender-bias-in-child-custody-arrangements/" TargetMode="External"/><Relationship Id="rId762" Type="http://schemas.openxmlformats.org/officeDocument/2006/relationships/hyperlink" Target="https://sbrownlawyer.com/2019/03/08/do-stepparents-ever-have-rights-in-a-divorce/" TargetMode="External"/><Relationship Id="rId1111" Type="http://schemas.openxmlformats.org/officeDocument/2006/relationships/hyperlink" Target="https://sbrownlawyer.com/blog/page/28/?et_blog" TargetMode="External"/><Relationship Id="rId761" Type="http://schemas.openxmlformats.org/officeDocument/2006/relationships/hyperlink" Target="https://sbrownlawyer.com/2019/02/15/how-can-social-media-affect-divorce/" TargetMode="External"/><Relationship Id="rId1112" Type="http://schemas.openxmlformats.org/officeDocument/2006/relationships/hyperlink" Target="https://sbrownlawyer.com/page/27/" TargetMode="External"/><Relationship Id="rId760" Type="http://schemas.openxmlformats.org/officeDocument/2006/relationships/hyperlink" Target="https://sbrownlawyer.com/2018/12/05/does-a-domestic-violence-charge-affect-my-joint-custody-order/" TargetMode="External"/><Relationship Id="rId1113" Type="http://schemas.openxmlformats.org/officeDocument/2006/relationships/hyperlink" Target="https://sbrownlawyer.com/blog/page/29/?et_blog" TargetMode="External"/><Relationship Id="rId1103" Type="http://schemas.openxmlformats.org/officeDocument/2006/relationships/hyperlink" Target="https://sbrownlawyer.com/blog/page/24/?et_blog" TargetMode="External"/><Relationship Id="rId1104" Type="http://schemas.openxmlformats.org/officeDocument/2006/relationships/hyperlink" Target="https://sbrownlawyer.com/page/23/" TargetMode="External"/><Relationship Id="rId1105" Type="http://schemas.openxmlformats.org/officeDocument/2006/relationships/hyperlink" Target="https://sbrownlawyer.com/blog/page/25/?et_blog" TargetMode="External"/><Relationship Id="rId1106" Type="http://schemas.openxmlformats.org/officeDocument/2006/relationships/hyperlink" Target="https://sbrownlawyer.com/page/24/" TargetMode="External"/><Relationship Id="rId11" Type="http://schemas.openxmlformats.org/officeDocument/2006/relationships/hyperlink" Target="https://sbrownlawyer.com/prenuptial-agreements/" TargetMode="External"/><Relationship Id="rId1107" Type="http://schemas.openxmlformats.org/officeDocument/2006/relationships/hyperlink" Target="https://sbrownlawyer.com/blog/page/26/?et_blog" TargetMode="External"/><Relationship Id="rId10" Type="http://schemas.openxmlformats.org/officeDocument/2006/relationships/hyperlink" Target="https://sbrownlawyer.com/adoption/" TargetMode="External"/><Relationship Id="rId1108" Type="http://schemas.openxmlformats.org/officeDocument/2006/relationships/hyperlink" Target="https://sbrownlawyer.com/page/25/" TargetMode="External"/><Relationship Id="rId13" Type="http://schemas.openxmlformats.org/officeDocument/2006/relationships/hyperlink" Target="https://sbrownlawyer.com/2024/07/08/open-vs-closed-aoption-angleton-texas/" TargetMode="External"/><Relationship Id="rId1109" Type="http://schemas.openxmlformats.org/officeDocument/2006/relationships/hyperlink" Target="https://sbrownlawyer.com/blog/page/27/?et_blog" TargetMode="External"/><Relationship Id="rId12" Type="http://schemas.openxmlformats.org/officeDocument/2006/relationships/hyperlink" Target="https://sbrownlawyer.com/blog/" TargetMode="External"/><Relationship Id="rId519" Type="http://schemas.openxmlformats.org/officeDocument/2006/relationships/hyperlink" Target="https://sbrownlawyer.com/2013/02/18/texas-child-support-debt-may-result-in-tax-refund-garnishment/" TargetMode="External"/><Relationship Id="rId514" Type="http://schemas.openxmlformats.org/officeDocument/2006/relationships/hyperlink" Target="https://sbrownlawyer.com/2016/03/25/alimony-payments-are-helpful-but-not-mandatory/" TargetMode="External"/><Relationship Id="rId756" Type="http://schemas.openxmlformats.org/officeDocument/2006/relationships/hyperlink" Target="https://sbrownlawyer.com/2021/11/17/divorce-and-child-custody/" TargetMode="External"/><Relationship Id="rId998" Type="http://schemas.openxmlformats.org/officeDocument/2006/relationships/hyperlink" Target="https://sbrownlawyer.com/blog/page/11/?et_blog" TargetMode="External"/><Relationship Id="rId513" Type="http://schemas.openxmlformats.org/officeDocument/2006/relationships/hyperlink" Target="https://sbrownlawyer.com/2016/02/26/protective-orders-and-divorce-why-you-need-an-attorney/" TargetMode="External"/><Relationship Id="rId755" Type="http://schemas.openxmlformats.org/officeDocument/2006/relationships/hyperlink" Target="https://sbrownlawyer.com/2015/06/28/child-support-enforcement-license-suspension/" TargetMode="External"/><Relationship Id="rId997" Type="http://schemas.openxmlformats.org/officeDocument/2006/relationships/hyperlink" Target="https://sbrownlawyer.com/2019/07/01/charged-with-dwi-now-what/" TargetMode="External"/><Relationship Id="rId512" Type="http://schemas.openxmlformats.org/officeDocument/2006/relationships/hyperlink" Target="https://sbrownlawyer.com/2015/05/15/what-will-happen-to-my-retirement/" TargetMode="External"/><Relationship Id="rId754" Type="http://schemas.openxmlformats.org/officeDocument/2006/relationships/hyperlink" Target="https://sbrownlawyer.com/2016/08/25/signs-that-a-spouse-is-hiding-assets/" TargetMode="External"/><Relationship Id="rId996" Type="http://schemas.openxmlformats.org/officeDocument/2006/relationships/hyperlink" Target="https://sbrownlawyer.com/page/9/" TargetMode="External"/><Relationship Id="rId511" Type="http://schemas.openxmlformats.org/officeDocument/2006/relationships/hyperlink" Target="https://sbrownlawyer.com/2015/06/12/a-bed-shortage-is-affecting-texas-domestic-violence-shelters/" TargetMode="External"/><Relationship Id="rId753" Type="http://schemas.openxmlformats.org/officeDocument/2006/relationships/hyperlink" Target="https://sbrownlawyer.com/2016/08/04/postnuptial-agreements-in-texas/" TargetMode="External"/><Relationship Id="rId995" Type="http://schemas.openxmlformats.org/officeDocument/2006/relationships/hyperlink" Target="https://sbrownlawyer.com/2014/03/28/property-division-and-other-considerations-in-adkins-divorce/" TargetMode="External"/><Relationship Id="rId518" Type="http://schemas.openxmlformats.org/officeDocument/2006/relationships/hyperlink" Target="https://sbrownlawyer.com/2013/12/20/alimony-payments-may-be-tax-deductible/" TargetMode="External"/><Relationship Id="rId517" Type="http://schemas.openxmlformats.org/officeDocument/2006/relationships/hyperlink" Target="https://sbrownlawyer.com/2014/01/17/new-texas-law-aims-to-protect-pets-during-domestic-abuse-cases/" TargetMode="External"/><Relationship Id="rId759" Type="http://schemas.openxmlformats.org/officeDocument/2006/relationships/hyperlink" Target="https://sbrownlawyer.com/2020/03/20/finding-a-dwi-attorney-what-you-need-to-know/" TargetMode="External"/><Relationship Id="rId516" Type="http://schemas.openxmlformats.org/officeDocument/2006/relationships/hyperlink" Target="https://sbrownlawyer.com/how-is-property-divided-in-a-texas-divorce/" TargetMode="External"/><Relationship Id="rId758" Type="http://schemas.openxmlformats.org/officeDocument/2006/relationships/hyperlink" Target="https://sbrownlawyer.com/2016/04/29/child-custody-agreements-can-vary-greatly-depending-on-the-case/" TargetMode="External"/><Relationship Id="rId515" Type="http://schemas.openxmlformats.org/officeDocument/2006/relationships/hyperlink" Target="https://sbrownlawyer.com/2015/02/27/divorce-trends-and-reasons-throughout-the-year/" TargetMode="External"/><Relationship Id="rId757" Type="http://schemas.openxmlformats.org/officeDocument/2006/relationships/hyperlink" Target="https://sbrownlawyer.com/2016/04/14/finances-are-an-important-aspect-of-gray-divorce/" TargetMode="External"/><Relationship Id="rId999" Type="http://schemas.openxmlformats.org/officeDocument/2006/relationships/hyperlink" Target="https://sbrownlawyer.com/2018/05/22/what-is-power-of-attorney-and-how-does-it-work/" TargetMode="External"/><Relationship Id="rId15" Type="http://schemas.openxmlformats.org/officeDocument/2006/relationships/hyperlink" Target="https://sbrownlawyer.com/privacy-policy" TargetMode="External"/><Relationship Id="rId990" Type="http://schemas.openxmlformats.org/officeDocument/2006/relationships/hyperlink" Target="https://sbrownlawyer.com/2017/02/14/the-difference-between-arbitration-mediation-and-trial-in-divorce/" TargetMode="External"/><Relationship Id="rId14" Type="http://schemas.openxmlformats.org/officeDocument/2006/relationships/hyperlink" Target="https://sbrownlawyer.com/immigration/" TargetMode="External"/><Relationship Id="rId17" Type="http://schemas.openxmlformats.org/officeDocument/2006/relationships/hyperlink" Target="https://sbrownlawyer.com/gray-divorce/" TargetMode="External"/><Relationship Id="rId16" Type="http://schemas.openxmlformats.org/officeDocument/2006/relationships/hyperlink" Target="https://sbrownlawyer.com/divorce/" TargetMode="External"/><Relationship Id="rId19" Type="http://schemas.openxmlformats.org/officeDocument/2006/relationships/hyperlink" Target="https://sbrownlawyer.com/attorneys-working-to-achieve-your-alimony-goals/" TargetMode="External"/><Relationship Id="rId510" Type="http://schemas.openxmlformats.org/officeDocument/2006/relationships/hyperlink" Target="https://sbrownlawyer.com/Family-Law/Visitation" TargetMode="External"/><Relationship Id="rId752" Type="http://schemas.openxmlformats.org/officeDocument/2006/relationships/hyperlink" Target="https://sbrownlawyer.com/2012/03/23/dennis-quaid-and-his-third-wife-move-toward-divorce/" TargetMode="External"/><Relationship Id="rId994" Type="http://schemas.openxmlformats.org/officeDocument/2006/relationships/hyperlink" Target="https://sbrownlawyer.com/blog/page/10/?et_blog" TargetMode="External"/><Relationship Id="rId18" Type="http://schemas.openxmlformats.org/officeDocument/2006/relationships/hyperlink" Target="https://sbrownlawyer.com/lgbtq-divorce/" TargetMode="External"/><Relationship Id="rId751" Type="http://schemas.openxmlformats.org/officeDocument/2006/relationships/hyperlink" Target="https://sbrownlawyer.com/2018/03/30/common-shared-parenting-myths/" TargetMode="External"/><Relationship Id="rId993" Type="http://schemas.openxmlformats.org/officeDocument/2006/relationships/hyperlink" Target="https://sbrownlawyer.com/2012/11/07/importance-of-knowing-legal-options-in-texas-child-support-fights/" TargetMode="External"/><Relationship Id="rId1100" Type="http://schemas.openxmlformats.org/officeDocument/2006/relationships/hyperlink" Target="https://sbrownlawyer.com/page/21/" TargetMode="External"/><Relationship Id="rId750" Type="http://schemas.openxmlformats.org/officeDocument/2006/relationships/hyperlink" Target="https://sbrownlawyer.com/2018/04/02/april-is-distracted-driving-awareness-month-stay-focused-on-the-road/" TargetMode="External"/><Relationship Id="rId992" Type="http://schemas.openxmlformats.org/officeDocument/2006/relationships/hyperlink" Target="https://sbrownlawyer.com/2018/05/15/what-is-medical-support-in-texas/" TargetMode="External"/><Relationship Id="rId1101" Type="http://schemas.openxmlformats.org/officeDocument/2006/relationships/hyperlink" Target="https://sbrownlawyer.com/blog/page/23/?et_blog" TargetMode="External"/><Relationship Id="rId991" Type="http://schemas.openxmlformats.org/officeDocument/2006/relationships/hyperlink" Target="https://sbrownlawyer.com/2018/05/15/prenuptial-agreements-in-texas-what-they-do-do-not-protect/" TargetMode="External"/><Relationship Id="rId1102" Type="http://schemas.openxmlformats.org/officeDocument/2006/relationships/hyperlink" Target="https://sbrownlawyer.com/page/22/" TargetMode="External"/><Relationship Id="rId84" Type="http://schemas.openxmlformats.org/officeDocument/2006/relationships/hyperlink" Target="https://sbrownlawyer.com/foot-injury/" TargetMode="External"/><Relationship Id="rId83" Type="http://schemas.openxmlformats.org/officeDocument/2006/relationships/hyperlink" Target="https://sbrownlawyer.com/consular-processing-pearland-lawyer/" TargetMode="External"/><Relationship Id="rId86" Type="http://schemas.openxmlformats.org/officeDocument/2006/relationships/hyperlink" Target="https://sbrownlawyer.com/steps-in-settling-your-claim-in-texas/" TargetMode="External"/><Relationship Id="rId85" Type="http://schemas.openxmlformats.org/officeDocument/2006/relationships/hyperlink" Target="https://sbrownlawyer.com/hiring-sexual-assault-defense-lawyer/" TargetMode="External"/><Relationship Id="rId88" Type="http://schemas.openxmlformats.org/officeDocument/2006/relationships/hyperlink" Target="https://sbrownlawyer.com/child-sex-offenses/" TargetMode="External"/><Relationship Id="rId87" Type="http://schemas.openxmlformats.org/officeDocument/2006/relationships/hyperlink" Target="https://sbrownlawyer.com/date-rape/" TargetMode="External"/><Relationship Id="rId89" Type="http://schemas.openxmlformats.org/officeDocument/2006/relationships/hyperlink" Target="https://sbrownlawyer.com/sex-crimes/sex-offender-registration/" TargetMode="External"/><Relationship Id="rId709" Type="http://schemas.openxmlformats.org/officeDocument/2006/relationships/hyperlink" Target="https://sbrownlawyer.com/League%20City-tx-criminal-defense-lawyers/" TargetMode="External"/><Relationship Id="rId708" Type="http://schemas.openxmlformats.org/officeDocument/2006/relationships/hyperlink" Target="https://sbrownlawyer.com/2016/01/01/child-support-deviations-and-you/" TargetMode="External"/><Relationship Id="rId707" Type="http://schemas.openxmlformats.org/officeDocument/2006/relationships/hyperlink" Target="https://sbrownlawyer.com/2019/11/25/how-to-create-a-parenting-plan-that-works-for-both-parties/" TargetMode="External"/><Relationship Id="rId949" Type="http://schemas.openxmlformats.org/officeDocument/2006/relationships/hyperlink" Target="https://sbrownlawyer.com/blog/2017/03/a-court-date-is-not-one-you-want-to-miss.shtml" TargetMode="External"/><Relationship Id="rId706" Type="http://schemas.openxmlformats.org/officeDocument/2006/relationships/hyperlink" Target="https://sbrownlawyer.com/pearland-law-office/" TargetMode="External"/><Relationship Id="rId948" Type="http://schemas.openxmlformats.org/officeDocument/2006/relationships/hyperlink" Target="https://sbrownlawyer.com/blog/criminal-defense/" TargetMode="External"/><Relationship Id="rId80" Type="http://schemas.openxmlformats.org/officeDocument/2006/relationships/hyperlink" Target="https://sbrownlawyer.com/product-liability/" TargetMode="External"/><Relationship Id="rId82" Type="http://schemas.openxmlformats.org/officeDocument/2006/relationships/hyperlink" Target="https://sbrownlawyer.com/vehicular-accidents/" TargetMode="External"/><Relationship Id="rId81" Type="http://schemas.openxmlformats.org/officeDocument/2006/relationships/hyperlink" Target="https://sbrownlawyer.com/face-injury/" TargetMode="External"/><Relationship Id="rId701" Type="http://schemas.openxmlformats.org/officeDocument/2006/relationships/hyperlink" Target="https://sbrownlawyer.com/page/5/" TargetMode="External"/><Relationship Id="rId943" Type="http://schemas.openxmlformats.org/officeDocument/2006/relationships/hyperlink" Target="https://sbrownlawyer.com/2018/07/15/what-to-do-when-your-ex-disregards-the-settlement-agreement/" TargetMode="External"/><Relationship Id="rId700" Type="http://schemas.openxmlformats.org/officeDocument/2006/relationships/hyperlink" Target="https://sbrownlawyer.com/2019/01/01/how-to-prepare-for-your-mediation/" TargetMode="External"/><Relationship Id="rId942" Type="http://schemas.openxmlformats.org/officeDocument/2006/relationships/hyperlink" Target="https://sbrownlawyer.com/what-to-do-after-a-serious-car-accident/Car-Accidents" TargetMode="External"/><Relationship Id="rId941" Type="http://schemas.openxmlformats.org/officeDocument/2006/relationships/hyperlink" Target="https://sbrownlawyer.com/2013/07/09/continuing-to-wait-on-russian-child-adoption-ban-to-be-lifted/" TargetMode="External"/><Relationship Id="rId940" Type="http://schemas.openxmlformats.org/officeDocument/2006/relationships/hyperlink" Target="https://sbrownlawyer.com/2018/08/15/how-does-military-deployment-affect-child-custody/" TargetMode="External"/><Relationship Id="rId705" Type="http://schemas.openxmlformats.org/officeDocument/2006/relationships/hyperlink" Target="https://sbrownlawyer.com/2019/11/02/can-digital-currency-complicate-divorce/" TargetMode="External"/><Relationship Id="rId947" Type="http://schemas.openxmlformats.org/officeDocument/2006/relationships/hyperlink" Target="https://sbrownlawyer.com/2018/08/07/does-texas-have-some-of-the-worst-roads-and-dangerous-highways/" TargetMode="External"/><Relationship Id="rId704" Type="http://schemas.openxmlformats.org/officeDocument/2006/relationships/hyperlink" Target="https://sbrownlawyer.com/2019/04/01/fighting-for-your-child-the-top-tips-for-winning-a-child-custody-battle/" TargetMode="External"/><Relationship Id="rId946" Type="http://schemas.openxmlformats.org/officeDocument/2006/relationships/hyperlink" Target="https://sbrownlawyer.com/Car-Accidents" TargetMode="External"/><Relationship Id="rId703" Type="http://schemas.openxmlformats.org/officeDocument/2006/relationships/hyperlink" Target="https://sbrownlawyer.com/2019/12/17/how-to-get-your-license-back-after-a-dwi/" TargetMode="External"/><Relationship Id="rId945" Type="http://schemas.openxmlformats.org/officeDocument/2006/relationships/hyperlink" Target="https://sbrownlawyer.com/2018/01/16/unregulated-child-custody-transfer-now-illegal/" TargetMode="External"/><Relationship Id="rId702" Type="http://schemas.openxmlformats.org/officeDocument/2006/relationships/hyperlink" Target="https://sbrownlawyer.com/2019/04/10/can-a-dwi-affect-your-divorce-proceedings/" TargetMode="External"/><Relationship Id="rId944" Type="http://schemas.openxmlformats.org/officeDocument/2006/relationships/hyperlink" Target="https://sbrownlawyer.com/juvenile-crimes/" TargetMode="External"/><Relationship Id="rId73" Type="http://schemas.openxmlformats.org/officeDocument/2006/relationships/hyperlink" Target="https://sbrownlawyer.com/criminal-law/indecent-exposure/" TargetMode="External"/><Relationship Id="rId72" Type="http://schemas.openxmlformats.org/officeDocument/2006/relationships/hyperlink" Target="https://sbrownlawyer.com/uber-lyft-accidents/" TargetMode="External"/><Relationship Id="rId75" Type="http://schemas.openxmlformats.org/officeDocument/2006/relationships/hyperlink" Target="https://sbrownlawyer.com/aggravated-sexual-assault/" TargetMode="External"/><Relationship Id="rId74" Type="http://schemas.openxmlformats.org/officeDocument/2006/relationships/hyperlink" Target="https://sbrownlawyer.com/premises-liability/" TargetMode="External"/><Relationship Id="rId77" Type="http://schemas.openxmlformats.org/officeDocument/2006/relationships/hyperlink" Target="https://sbrownlawyer.com/motorcycle-accident/" TargetMode="External"/><Relationship Id="rId76" Type="http://schemas.openxmlformats.org/officeDocument/2006/relationships/hyperlink" Target="https://sbrownlawyer.com/assault/" TargetMode="External"/><Relationship Id="rId79" Type="http://schemas.openxmlformats.org/officeDocument/2006/relationships/hyperlink" Target="https://sbrownlawyer.com/drug-crimes/" TargetMode="External"/><Relationship Id="rId78" Type="http://schemas.openxmlformats.org/officeDocument/2006/relationships/hyperlink" Target="https://sbrownlawyer.com/grand-theft/" TargetMode="External"/><Relationship Id="rId939" Type="http://schemas.openxmlformats.org/officeDocument/2006/relationships/hyperlink" Target="https://sbrownlawyer.com/2012/06/15/military-divorce-rates-continue-to-rise/" TargetMode="External"/><Relationship Id="rId938" Type="http://schemas.openxmlformats.org/officeDocument/2006/relationships/hyperlink" Target="https://sbrownlawyer.com/2013/03/28/texas-jury-in-sanders-case-makes-child-custody-ruling/" TargetMode="External"/><Relationship Id="rId937" Type="http://schemas.openxmlformats.org/officeDocument/2006/relationships/hyperlink" Target="https://sbrownlawyer.com/2014/11/06/how-can-i-handle-a-parental-abduction-in-texas/" TargetMode="External"/><Relationship Id="rId71" Type="http://schemas.openxmlformats.org/officeDocument/2006/relationships/hyperlink" Target="https://sbrownlawyer.com/rape-sexual-assault/" TargetMode="External"/><Relationship Id="rId70" Type="http://schemas.openxmlformats.org/officeDocument/2006/relationships/hyperlink" Target="https://sbrownlawyer.com/truck-accident/" TargetMode="External"/><Relationship Id="rId932" Type="http://schemas.openxmlformats.org/officeDocument/2006/relationships/hyperlink" Target="https://sbrownlawyer.com/2018/04/15/the-benefits-of-mediating-your-divorce-or-custody-case/" TargetMode="External"/><Relationship Id="rId931" Type="http://schemas.openxmlformats.org/officeDocument/2006/relationships/hyperlink" Target="https://sbrownlawyer.com/2018/03/19/what-constitutes-an-easy-divorce/" TargetMode="External"/><Relationship Id="rId930" Type="http://schemas.openxmlformats.org/officeDocument/2006/relationships/hyperlink" Target="https://sbrownlawyer.com/2019/08/01/7-common-texas-dwi-myths-busted/" TargetMode="External"/><Relationship Id="rId936" Type="http://schemas.openxmlformats.org/officeDocument/2006/relationships/hyperlink" Target="https://sbrownlawyer.com/2012/divorce" TargetMode="External"/><Relationship Id="rId935" Type="http://schemas.openxmlformats.org/officeDocument/2006/relationships/hyperlink" Target="https://sbrownlawyer.com/2014/06/13/muslim-women-dont-have-to-live-with-domestic-abuse/" TargetMode="External"/><Relationship Id="rId934" Type="http://schemas.openxmlformats.org/officeDocument/2006/relationships/hyperlink" Target="https://sbrownlawyer.com/2014/08/22/financial-considerations-during-a-divorce-in-texas/" TargetMode="External"/><Relationship Id="rId933" Type="http://schemas.openxmlformats.org/officeDocument/2006/relationships/hyperlink" Target="https://sbrownlawyer.com/2012/02/16/reduce-divorce-complications-with-a-prenuptial-agreement/" TargetMode="External"/><Relationship Id="rId62" Type="http://schemas.openxmlformats.org/officeDocument/2006/relationships/hyperlink" Target="https://sbrownlawyer.com/doctor-divorce-videos/" TargetMode="External"/><Relationship Id="rId61" Type="http://schemas.openxmlformats.org/officeDocument/2006/relationships/hyperlink" Target="https://sbrownlawyer.com/texas-family-law-attorney/" TargetMode="External"/><Relationship Id="rId64" Type="http://schemas.openxmlformats.org/officeDocument/2006/relationships/hyperlink" Target="https://sbrownlawyer.com/postnuptial-agreements/" TargetMode="External"/><Relationship Id="rId63" Type="http://schemas.openxmlformats.org/officeDocument/2006/relationships/hyperlink" Target="https://sbrownlawyer.com/2024/04/24/texas-alimony-am-i-entitled/" TargetMode="External"/><Relationship Id="rId66" Type="http://schemas.openxmlformats.org/officeDocument/2006/relationships/hyperlink" Target="https://sbrownlawyer.com/traumatic-brain-injury/" TargetMode="External"/><Relationship Id="rId65" Type="http://schemas.openxmlformats.org/officeDocument/2006/relationships/hyperlink" Target="https://sbrownlawyer.com/head-injury/" TargetMode="External"/><Relationship Id="rId68" Type="http://schemas.openxmlformats.org/officeDocument/2006/relationships/hyperlink" Target="https://sbrownlawyer.com/personal-injury-in-texas/boat-accidents/" TargetMode="External"/><Relationship Id="rId67" Type="http://schemas.openxmlformats.org/officeDocument/2006/relationships/hyperlink" Target="https://sbrownlawyer.com/divorce-book/" TargetMode="External"/><Relationship Id="rId729" Type="http://schemas.openxmlformats.org/officeDocument/2006/relationships/hyperlink" Target="https://sbrownlawyer.com/2017/12/01/texas-sb-179-aims-at-preventing-cyberbullying/" TargetMode="External"/><Relationship Id="rId728" Type="http://schemas.openxmlformats.org/officeDocument/2006/relationships/hyperlink" Target="https://sbrownlawyer.com/2017/04/25/resolving-a-high-asset-divorce-with-a-family-law-attorney/" TargetMode="External"/><Relationship Id="rId60" Type="http://schemas.openxmlformats.org/officeDocument/2006/relationships/hyperlink" Target="https://sbrownlawyer.com/family-law/visitation/" TargetMode="External"/><Relationship Id="rId723" Type="http://schemas.openxmlformats.org/officeDocument/2006/relationships/hyperlink" Target="https://sbrownlawyer.com/2016/04/05/can-someone-convicted-of-domestic-violence-own-a-gun/" TargetMode="External"/><Relationship Id="rId965" Type="http://schemas.openxmlformats.org/officeDocument/2006/relationships/hyperlink" Target="https://sbrownlawyer.com/personal-injury/Car-Accidents" TargetMode="External"/><Relationship Id="rId722" Type="http://schemas.openxmlformats.org/officeDocument/2006/relationships/hyperlink" Target="https://sbrownlawyer.com/meghan-beytebiere/" TargetMode="External"/><Relationship Id="rId964" Type="http://schemas.openxmlformats.org/officeDocument/2006/relationships/hyperlink" Target="https://sbrownlawyer.com/criminal-defense-handcuffs/" TargetMode="External"/><Relationship Id="rId721" Type="http://schemas.openxmlformats.org/officeDocument/2006/relationships/hyperlink" Target="https://sbrownlawyer.com/2016/02/12/is-there-a-way-to-avoid-monthly-alimony-payments/" TargetMode="External"/><Relationship Id="rId963" Type="http://schemas.openxmlformats.org/officeDocument/2006/relationships/hyperlink" Target="https://sbrownlawyer.com/blog/2017/03/a-court-date-is-not-one-you-want-to-miss" TargetMode="External"/><Relationship Id="rId720" Type="http://schemas.openxmlformats.org/officeDocument/2006/relationships/hyperlink" Target="https://sbrownlawyer.com/2015/05/01/mother-who-took-daughter-to-concert-isnt-bad-parent/" TargetMode="External"/><Relationship Id="rId962" Type="http://schemas.openxmlformats.org/officeDocument/2006/relationships/hyperlink" Target="https://sbrownlawyer.com/types-of-compensation-in-a-personal-injury-case/Wrongful-Death" TargetMode="External"/><Relationship Id="rId727" Type="http://schemas.openxmlformats.org/officeDocument/2006/relationships/hyperlink" Target="https://sbrownlawyer.com/2018/01/01/understanding-the-best-interests-standard-in-custody-determinations/" TargetMode="External"/><Relationship Id="rId969" Type="http://schemas.openxmlformats.org/officeDocument/2006/relationships/hyperlink" Target="https://sbrownlawyer.com/2018/08/07/fighting-back-against-allegations-of-white-collar-crime/" TargetMode="External"/><Relationship Id="rId726" Type="http://schemas.openxmlformats.org/officeDocument/2006/relationships/hyperlink" Target="https://sbrownlawyer.com/2013/02/08/tricare-rules-and-a-texas-military-divorce/" TargetMode="External"/><Relationship Id="rId968" Type="http://schemas.openxmlformats.org/officeDocument/2006/relationships/hyperlink" Target="https://sbrownlawyer.com/2013/Family-Law/Adoption" TargetMode="External"/><Relationship Id="rId725" Type="http://schemas.openxmlformats.org/officeDocument/2006/relationships/hyperlink" Target="https://sbrownlawyer.com/2015/02/12/protective-orders-are-important-in-domestic-violence-cases/" TargetMode="External"/><Relationship Id="rId967" Type="http://schemas.openxmlformats.org/officeDocument/2006/relationships/hyperlink" Target="https://sbrownlawyer.com/2013/01/15/texas-child-support-state-seeks-money-from-sperm-donor/" TargetMode="External"/><Relationship Id="rId724" Type="http://schemas.openxmlformats.org/officeDocument/2006/relationships/hyperlink" Target="https://sbrownlawyer.com/2013/12/04/bode-millers-ex-gains-custody-of-infant-son/" TargetMode="External"/><Relationship Id="rId966" Type="http://schemas.openxmlformats.org/officeDocument/2006/relationships/hyperlink" Target="https://sbrownlawyer.com/2015/04/03/out-of-court-methods-for-coming-to-a-child-custody-agreement/" TargetMode="External"/><Relationship Id="rId69" Type="http://schemas.openxmlformats.org/officeDocument/2006/relationships/hyperlink" Target="https://sbrownlawyer.com/personal-injury-2/nonvehicle-liability-insurance/" TargetMode="External"/><Relationship Id="rId961" Type="http://schemas.openxmlformats.org/officeDocument/2006/relationships/hyperlink" Target="https://sbrownlawyer.com/2017/02/28/how-will-a-divorce-affect-my-inheritance/" TargetMode="External"/><Relationship Id="rId960" Type="http://schemas.openxmlformats.org/officeDocument/2006/relationships/hyperlink" Target="https://sbrownlawyer.com/2017/03/01/how-are-retirement-accounts-handled-in-divorce/" TargetMode="External"/><Relationship Id="rId51" Type="http://schemas.openxmlformats.org/officeDocument/2006/relationships/hyperlink" Target="https://sbrownlawyer.com/immigration-videos/" TargetMode="External"/><Relationship Id="rId50" Type="http://schemas.openxmlformats.org/officeDocument/2006/relationships/hyperlink" Target="https://sbrownlawyer.com/divorce-modification/" TargetMode="External"/><Relationship Id="rId53" Type="http://schemas.openxmlformats.org/officeDocument/2006/relationships/hyperlink" Target="https://sbrownlawyer.com/privacy-policy/" TargetMode="External"/><Relationship Id="rId52" Type="http://schemas.openxmlformats.org/officeDocument/2006/relationships/hyperlink" Target="https://sbrownlawyer.com/texas/locations/sugar-land/" TargetMode="External"/><Relationship Id="rId55" Type="http://schemas.openxmlformats.org/officeDocument/2006/relationships/hyperlink" Target="https://sbrownlawyer.com/2024/03/26/grandparent-custody-rights/" TargetMode="External"/><Relationship Id="rId54" Type="http://schemas.openxmlformats.org/officeDocument/2006/relationships/hyperlink" Target="https://sbrownlawyer.com/division-of-property/" TargetMode="External"/><Relationship Id="rId57" Type="http://schemas.openxmlformats.org/officeDocument/2006/relationships/hyperlink" Target="https://sbrownlawyer.com/texas/locations/" TargetMode="External"/><Relationship Id="rId56" Type="http://schemas.openxmlformats.org/officeDocument/2006/relationships/hyperlink" Target="https://sbrownlawyer.com/client-video-testimonials/" TargetMode="External"/><Relationship Id="rId719" Type="http://schemas.openxmlformats.org/officeDocument/2006/relationships/hyperlink" Target="https://sbrownlawyer.com/2015/Criminal-Law/Domestic-Violence/Child-Abuse" TargetMode="External"/><Relationship Id="rId718" Type="http://schemas.openxmlformats.org/officeDocument/2006/relationships/hyperlink" Target="https://sbrownlawyer.com/Family-Law/Contact" TargetMode="External"/><Relationship Id="rId717" Type="http://schemas.openxmlformats.org/officeDocument/2006/relationships/hyperlink" Target="https://sbrownlawyer.com/2017/06/12/are-dwi-checkpoints-legal-in-texas/" TargetMode="External"/><Relationship Id="rId959" Type="http://schemas.openxmlformats.org/officeDocument/2006/relationships/hyperlink" Target="https://sbrownlawyer.com/2015/Family-Law/Child-Custody/Creative-Custody-Agreements" TargetMode="External"/><Relationship Id="rId712" Type="http://schemas.openxmlformats.org/officeDocument/2006/relationships/hyperlink" Target="https://sbrownlawyer.com/league-city-tx-drug-possession-defense/" TargetMode="External"/><Relationship Id="rId954" Type="http://schemas.openxmlformats.org/officeDocument/2006/relationships/hyperlink" Target="https://sbrownlawyer.com/2017/02/23/after-an-underage-dwi-insurance-rates-can-skyrocket-what-can-you-do/" TargetMode="External"/><Relationship Id="rId711" Type="http://schemas.openxmlformats.org/officeDocument/2006/relationships/hyperlink" Target="https://sbrownlawyer.com/Drug-Charges/Prescription-Drug-Charges" TargetMode="External"/><Relationship Id="rId953" Type="http://schemas.openxmlformats.org/officeDocument/2006/relationships/hyperlink" Target="https://sbrownlawyer.com/2017/03/03/a-court-date-is-not-one-you-want-to-miss/" TargetMode="External"/><Relationship Id="rId710" Type="http://schemas.openxmlformats.org/officeDocument/2006/relationships/hyperlink" Target="https://sbrownlawyer.com/field-sobriety-test/Breath-Blood-Test-Issues" TargetMode="External"/><Relationship Id="rId952" Type="http://schemas.openxmlformats.org/officeDocument/2006/relationships/hyperlink" Target="https://sbrownlawyer.com/2017/11/15/the-danger-of-parental-alienation/" TargetMode="External"/><Relationship Id="rId951" Type="http://schemas.openxmlformats.org/officeDocument/2006/relationships/hyperlink" Target="https://sbrownlawyer.com/2013/01/25/texas-taxes-a-viable-reason-for-a-divorce-some-may-say-yes/" TargetMode="External"/><Relationship Id="rId716" Type="http://schemas.openxmlformats.org/officeDocument/2006/relationships/hyperlink" Target="https://sbrownlawyer.com/2017/10/15/8-factors-that-affect-divorce-after-age-50/" TargetMode="External"/><Relationship Id="rId958" Type="http://schemas.openxmlformats.org/officeDocument/2006/relationships/hyperlink" Target="https://sbrownlawyer.com/2017/03/attorneys" TargetMode="External"/><Relationship Id="rId715" Type="http://schemas.openxmlformats.org/officeDocument/2006/relationships/hyperlink" Target="https://sbrownlawyer.com/Family-Law/Child-Protective-Services-CPS" TargetMode="External"/><Relationship Id="rId957" Type="http://schemas.openxmlformats.org/officeDocument/2006/relationships/hyperlink" Target="https://sbrownlawyer.com/2018/11/01/should-bankruptcy-be-filed-before-divorce/" TargetMode="External"/><Relationship Id="rId714" Type="http://schemas.openxmlformats.org/officeDocument/2006/relationships/hyperlink" Target="https://sbrownlawyer.com/Family-Law/Modifications" TargetMode="External"/><Relationship Id="rId956" Type="http://schemas.openxmlformats.org/officeDocument/2006/relationships/hyperlink" Target="https://sbrownlawyer.com/2015/04/07/cookie-cutter-child-custody-agreements-arent-always-best/" TargetMode="External"/><Relationship Id="rId713" Type="http://schemas.openxmlformats.org/officeDocument/2006/relationships/hyperlink" Target="https://sbrownlawyer.com/dwi" TargetMode="External"/><Relationship Id="rId955" Type="http://schemas.openxmlformats.org/officeDocument/2006/relationships/hyperlink" Target="https://sbrownlawyer.com/2016/01/22/what-are-the-penalties-for-violating-a-protective-order/" TargetMode="External"/><Relationship Id="rId59" Type="http://schemas.openxmlformats.org/officeDocument/2006/relationships/hyperlink" Target="https://sbrownlawyer.com/firm-overview/" TargetMode="External"/><Relationship Id="rId58" Type="http://schemas.openxmlformats.org/officeDocument/2006/relationships/hyperlink" Target="https://sbrownlawyer.com/high-net-worth-divorce/" TargetMode="External"/><Relationship Id="rId950" Type="http://schemas.openxmlformats.org/officeDocument/2006/relationships/hyperlink" Target="https://sbrownlawyer.com/types-of-compensation-in-a-personal-injury-case/" TargetMode="External"/><Relationship Id="rId590" Type="http://schemas.openxmlformats.org/officeDocument/2006/relationships/hyperlink" Target="https://sbrownlawyer.com/2021/01/15/do-you-have-to-hire-a-lawyer-after-drunk-driving/" TargetMode="External"/><Relationship Id="rId107" Type="http://schemas.openxmlformats.org/officeDocument/2006/relationships/hyperlink" Target="https://sbrownlawyer.com/hit-and-run/" TargetMode="External"/><Relationship Id="rId349" Type="http://schemas.openxmlformats.org/officeDocument/2006/relationships/hyperlink" Target="https://sbrownlawyer.com/espanol/family-law/" TargetMode="External"/><Relationship Id="rId106" Type="http://schemas.openxmlformats.org/officeDocument/2006/relationships/hyperlink" Target="https://sbrownlawyer.com/expungement/" TargetMode="External"/><Relationship Id="rId348" Type="http://schemas.openxmlformats.org/officeDocument/2006/relationships/hyperlink" Target="https://sbrownlawyer.com/abogado-de-naturalizacion-en-pearland/" TargetMode="External"/><Relationship Id="rId105" Type="http://schemas.openxmlformats.org/officeDocument/2006/relationships/hyperlink" Target="https://sbrownlawyer.com/brain-injury/" TargetMode="External"/><Relationship Id="rId347" Type="http://schemas.openxmlformats.org/officeDocument/2006/relationships/hyperlink" Target="https://sbrownlawyer.com/2017/09/01/how-should-divorce-child-support-and-custody-be-handled-for-parents-of-special-needs-children/" TargetMode="External"/><Relationship Id="rId589" Type="http://schemas.openxmlformats.org/officeDocument/2006/relationships/hyperlink" Target="https://sbrownlawyer.com/2020/09/27/when-is-it-time-for-a-divorce/" TargetMode="External"/><Relationship Id="rId104" Type="http://schemas.openxmlformats.org/officeDocument/2006/relationships/hyperlink" Target="https://sbrownlawyer.com/sex-crimes/" TargetMode="External"/><Relationship Id="rId346" Type="http://schemas.openxmlformats.org/officeDocument/2006/relationships/hyperlink" Target="https://sbrownlawyer.com/sex-crimes" TargetMode="External"/><Relationship Id="rId588" Type="http://schemas.openxmlformats.org/officeDocument/2006/relationships/hyperlink" Target="https://sbrownlawyer.com/2020/08/24/the-complete-guide-to-dwi-vs-dui-laws-in-texas/" TargetMode="External"/><Relationship Id="rId109" Type="http://schemas.openxmlformats.org/officeDocument/2006/relationships/hyperlink" Target="https://sbrownlawyer.com/pedestrian-accidents/" TargetMode="External"/><Relationship Id="rId108" Type="http://schemas.openxmlformats.org/officeDocument/2006/relationships/hyperlink" Target="https://sbrownlawyer.com/sex-crimes/overview-of-sex-crime-defense/" TargetMode="External"/><Relationship Id="rId341" Type="http://schemas.openxmlformats.org/officeDocument/2006/relationships/hyperlink" Target="https://sbrownlawyer.com/abogado-de-inmigracion-en-pearland/" TargetMode="External"/><Relationship Id="rId583" Type="http://schemas.openxmlformats.org/officeDocument/2006/relationships/hyperlink" Target="https://sbrownlawyer.com/2019/10/08/can-you-sue-a-partner-that-infected-you-with-an-std/" TargetMode="External"/><Relationship Id="rId340" Type="http://schemas.openxmlformats.org/officeDocument/2006/relationships/hyperlink" Target="https://sbrownlawyer.com/abogado-de-procesamiento-consular-en-pearland/" TargetMode="External"/><Relationship Id="rId582" Type="http://schemas.openxmlformats.org/officeDocument/2006/relationships/hyperlink" Target="https://sbrownlawyer.com/domestic-violence" TargetMode="External"/><Relationship Id="rId581" Type="http://schemas.openxmlformats.org/officeDocument/2006/relationships/hyperlink" Target="https://sbrownlawyer.com/domestic-violence/" TargetMode="External"/><Relationship Id="rId580" Type="http://schemas.openxmlformats.org/officeDocument/2006/relationships/hyperlink" Target="https://sbrownlawyer.com/2020/07/13/10-signs-divorced-parents-are-doing-right-by-their-kids/" TargetMode="External"/><Relationship Id="rId103" Type="http://schemas.openxmlformats.org/officeDocument/2006/relationships/hyperlink" Target="https://sbrownlawyer.com/misdemeanor/" TargetMode="External"/><Relationship Id="rId345" Type="http://schemas.openxmlformats.org/officeDocument/2006/relationships/hyperlink" Target="https://sbrownlawyer.com/abogado-de-inmigracion-basada-en-empleo-en-pearland/" TargetMode="External"/><Relationship Id="rId587" Type="http://schemas.openxmlformats.org/officeDocument/2006/relationships/hyperlink" Target="https://sbrownlawyer.com/2021/02/07/when-is-it-time-to-hire-a-family-divorce-lawyer/" TargetMode="External"/><Relationship Id="rId102" Type="http://schemas.openxmlformats.org/officeDocument/2006/relationships/hyperlink" Target="https://sbrownlawyer.com/personal-injury-2/burn-injury/" TargetMode="External"/><Relationship Id="rId344" Type="http://schemas.openxmlformats.org/officeDocument/2006/relationships/hyperlink" Target="https://sbrownlawyer.com/espanol/abogados-de-lesiones-personales/" TargetMode="External"/><Relationship Id="rId586" Type="http://schemas.openxmlformats.org/officeDocument/2006/relationships/hyperlink" Target="https://sbrownlawyer.com/2020/11/29/how-long-does-a-dwi-stay-on-your-record-in-texas/" TargetMode="External"/><Relationship Id="rId101" Type="http://schemas.openxmlformats.org/officeDocument/2006/relationships/hyperlink" Target="https://sbrownlawyer.com/obscenity/" TargetMode="External"/><Relationship Id="rId343" Type="http://schemas.openxmlformats.org/officeDocument/2006/relationships/hyperlink" Target="https://sbrownlawyer.com/espanol/defensa-criminal/" TargetMode="External"/><Relationship Id="rId585" Type="http://schemas.openxmlformats.org/officeDocument/2006/relationships/hyperlink" Target="https://sbrownlawyer.com/2020/06/16/accepting-divorce-our-advice-for-overcoming-grief-and-frustration/" TargetMode="External"/><Relationship Id="rId100" Type="http://schemas.openxmlformats.org/officeDocument/2006/relationships/hyperlink" Target="https://sbrownlawyer.com/public-indecency/" TargetMode="External"/><Relationship Id="rId342" Type="http://schemas.openxmlformats.org/officeDocument/2006/relationships/hyperlink" Target="https://sbrownlawyer.com/abogado-de-ajuste-de-estatus-en-pearland/" TargetMode="External"/><Relationship Id="rId584" Type="http://schemas.openxmlformats.org/officeDocument/2006/relationships/hyperlink" Target="https://sbrownlawyer.com/rule-1-file-first" TargetMode="External"/><Relationship Id="rId338" Type="http://schemas.openxmlformats.org/officeDocument/2006/relationships/hyperlink" Target="https://sbrownlawyer.com/Grandparents-Rights/" TargetMode="External"/><Relationship Id="rId337" Type="http://schemas.openxmlformats.org/officeDocument/2006/relationships/hyperlink" Target="https://sbrownlawyer.com/texas/locations/pasadena/" TargetMode="External"/><Relationship Id="rId579" Type="http://schemas.openxmlformats.org/officeDocument/2006/relationships/hyperlink" Target="https://sbrownlawyer.com/criminal-law/first-offenders/" TargetMode="External"/><Relationship Id="rId336" Type="http://schemas.openxmlformats.org/officeDocument/2006/relationships/hyperlink" Target="https://sbrownlawyer.com/criminal-law" TargetMode="External"/><Relationship Id="rId578" Type="http://schemas.openxmlformats.org/officeDocument/2006/relationships/hyperlink" Target="https://sbrownlawyer.com/2020/10/14/when-all-hope-is-lost-when-to-get-a-divorce/" TargetMode="External"/><Relationship Id="rId335" Type="http://schemas.openxmlformats.org/officeDocument/2006/relationships/hyperlink" Target="https://sbrownlawyer.com/pearland-slip-and-fall-accident-lawyer/" TargetMode="External"/><Relationship Id="rId577" Type="http://schemas.openxmlformats.org/officeDocument/2006/relationships/hyperlink" Target="https://sbrownlawyer.com/2020/11/13/these-are-the-different-types-of-divorce-in-texas/" TargetMode="External"/><Relationship Id="rId339" Type="http://schemas.openxmlformats.org/officeDocument/2006/relationships/hyperlink" Target="https://sbrownlawyer.com/pearland-immigration-lawyer/" TargetMode="External"/><Relationship Id="rId330" Type="http://schemas.openxmlformats.org/officeDocument/2006/relationships/hyperlink" Target="https://sbrownlawyer.com/2015/01/09/how-is-child-support-affected-by-parental-incarceration-in-texas/" TargetMode="External"/><Relationship Id="rId572" Type="http://schemas.openxmlformats.org/officeDocument/2006/relationships/hyperlink" Target="https://sbrownlawyer.com/2012/09/28/texas-divorce-communicating-when-a-former-partner-moves-on/" TargetMode="External"/><Relationship Id="rId571" Type="http://schemas.openxmlformats.org/officeDocument/2006/relationships/hyperlink" Target="https://sbrownlawyer.com/2013/Family-Law/Divorce/High-Net-Worth-Divorce" TargetMode="External"/><Relationship Id="rId570" Type="http://schemas.openxmlformats.org/officeDocument/2006/relationships/hyperlink" Target="https://sbrownlawyer.com/2013/09/18/alimony-in-a-community-property-state-such-as-texas/" TargetMode="External"/><Relationship Id="rId334" Type="http://schemas.openxmlformats.org/officeDocument/2006/relationships/hyperlink" Target="https://sbrownlawyer.com/parental-relocation/International-Custody" TargetMode="External"/><Relationship Id="rId576" Type="http://schemas.openxmlformats.org/officeDocument/2006/relationships/hyperlink" Target="https://sbrownlawyer.com/2015/08/28/discovering-hidden-assets-how-we-can-help/" TargetMode="External"/><Relationship Id="rId333" Type="http://schemas.openxmlformats.org/officeDocument/2006/relationships/hyperlink" Target="https://sbrownlawyer.com/Visitation/Parental-Alienation" TargetMode="External"/><Relationship Id="rId575" Type="http://schemas.openxmlformats.org/officeDocument/2006/relationships/hyperlink" Target="https://sbrownlawyer.com/2013/11/27/texas-police-officer-arrested-after-domestic-violence-incident/" TargetMode="External"/><Relationship Id="rId332" Type="http://schemas.openxmlformats.org/officeDocument/2006/relationships/hyperlink" Target="https://sbrownlawyer.com/Enforcement" TargetMode="External"/><Relationship Id="rId574" Type="http://schemas.openxmlformats.org/officeDocument/2006/relationships/hyperlink" Target="https://sbrownlawyer.com/2012/08/15/legal-options-in-child-support-randy-jackson-seriously-overdue/" TargetMode="External"/><Relationship Id="rId331" Type="http://schemas.openxmlformats.org/officeDocument/2006/relationships/hyperlink" Target="https://sbrownlawyer.com/Parental-Relocation" TargetMode="External"/><Relationship Id="rId573" Type="http://schemas.openxmlformats.org/officeDocument/2006/relationships/hyperlink" Target="https://sbrownlawyer.com/2015/10/09/stepparents-how-to-ease-the-transition/" TargetMode="External"/><Relationship Id="rId370" Type="http://schemas.openxmlformats.org/officeDocument/2006/relationships/hyperlink" Target="https://sbrownlawyer.com/league-city-aggravated-assault-lawyer/" TargetMode="External"/><Relationship Id="rId129" Type="http://schemas.openxmlformats.org/officeDocument/2006/relationships/hyperlink" Target="https://sbrownlawyer.com/areas-we-serve/galveston-county/texas-city/" TargetMode="External"/><Relationship Id="rId128" Type="http://schemas.openxmlformats.org/officeDocument/2006/relationships/hyperlink" Target="https://sbrownlawyer.com/areas-we-serve/galveston-county/galveston/" TargetMode="External"/><Relationship Id="rId127" Type="http://schemas.openxmlformats.org/officeDocument/2006/relationships/hyperlink" Target="https://sbrownlawyer.com/2022/08/12/job-opportunity-were-looking-for-an-associate-attorney/" TargetMode="External"/><Relationship Id="rId369" Type="http://schemas.openxmlformats.org/officeDocument/2006/relationships/hyperlink" Target="https://sbrownlawyer.com/webster-premises-liability/" TargetMode="External"/><Relationship Id="rId126" Type="http://schemas.openxmlformats.org/officeDocument/2006/relationships/hyperlink" Target="https://sbrownlawyer.com/areas-we-serve/brazoria-county/alvin/" TargetMode="External"/><Relationship Id="rId368" Type="http://schemas.openxmlformats.org/officeDocument/2006/relationships/hyperlink" Target="https://sbrownlawyer.com/galveston-truck-accident-lawyer/" TargetMode="External"/><Relationship Id="rId121" Type="http://schemas.openxmlformats.org/officeDocument/2006/relationships/hyperlink" Target="https://sbrownlawyer.com/t-bone-accident/" TargetMode="External"/><Relationship Id="rId363" Type="http://schemas.openxmlformats.org/officeDocument/2006/relationships/hyperlink" Target="https://sbrownlawyer.com/Criminal-Law/" TargetMode="External"/><Relationship Id="rId120" Type="http://schemas.openxmlformats.org/officeDocument/2006/relationships/hyperlink" Target="https://sbrownlawyer.com/areas-we-serve/brazoria-county/clute/" TargetMode="External"/><Relationship Id="rId362" Type="http://schemas.openxmlformats.org/officeDocument/2006/relationships/hyperlink" Target="https://sbrownlawyer.com/angleton-brain-injury-tbi/" TargetMode="External"/><Relationship Id="rId361" Type="http://schemas.openxmlformats.org/officeDocument/2006/relationships/hyperlink" Target="https://sbrownlawyer.com/Retirement-Accounts/" TargetMode="External"/><Relationship Id="rId360" Type="http://schemas.openxmlformats.org/officeDocument/2006/relationships/hyperlink" Target="https://sbrownlawyer.com/Business-And-Professional-Practices-In-Divorce/" TargetMode="External"/><Relationship Id="rId125" Type="http://schemas.openxmlformats.org/officeDocument/2006/relationships/hyperlink" Target="https://sbrownlawyer.com/areas-we-serve/brazoria-county/freeport/" TargetMode="External"/><Relationship Id="rId367" Type="http://schemas.openxmlformats.org/officeDocument/2006/relationships/hyperlink" Target="https://sbrownlawyer.com/friendswood-truck-accidents/" TargetMode="External"/><Relationship Id="rId124" Type="http://schemas.openxmlformats.org/officeDocument/2006/relationships/hyperlink" Target="https://sbrownlawyer.com/Firm-Overview" TargetMode="External"/><Relationship Id="rId366" Type="http://schemas.openxmlformats.org/officeDocument/2006/relationships/hyperlink" Target="https://sbrownlawyer.com/2023/01/10/how-much-is-my-personal-injury-case-worth/" TargetMode="External"/><Relationship Id="rId123" Type="http://schemas.openxmlformats.org/officeDocument/2006/relationships/hyperlink" Target="https://sbrownlawyer.com/family-law" TargetMode="External"/><Relationship Id="rId365" Type="http://schemas.openxmlformats.org/officeDocument/2006/relationships/hyperlink" Target="https://sbrownlawyer.com/child-protective-services-cps/" TargetMode="External"/><Relationship Id="rId122" Type="http://schemas.openxmlformats.org/officeDocument/2006/relationships/hyperlink" Target="https://sbrownlawyer.com/areas-we-serve/brazoria-county/lake-jackson/" TargetMode="External"/><Relationship Id="rId364" Type="http://schemas.openxmlformats.org/officeDocument/2006/relationships/hyperlink" Target="https://sbrownlawyer.com/Personal-Injury/" TargetMode="External"/><Relationship Id="rId95" Type="http://schemas.openxmlformats.org/officeDocument/2006/relationships/hyperlink" Target="https://sbrownlawyer.com/paralysis/" TargetMode="External"/><Relationship Id="rId94" Type="http://schemas.openxmlformats.org/officeDocument/2006/relationships/hyperlink" Target="https://sbrownlawyer.com/what-is-dwi/" TargetMode="External"/><Relationship Id="rId97" Type="http://schemas.openxmlformats.org/officeDocument/2006/relationships/hyperlink" Target="https://sbrownlawyer.com/domestic-violence-attorney/" TargetMode="External"/><Relationship Id="rId96" Type="http://schemas.openxmlformats.org/officeDocument/2006/relationships/hyperlink" Target="https://sbrownlawyer.com/back-injury/" TargetMode="External"/><Relationship Id="rId99" Type="http://schemas.openxmlformats.org/officeDocument/2006/relationships/hyperlink" Target="https://sbrownlawyer.com/internet-sex-crimes/" TargetMode="External"/><Relationship Id="rId98" Type="http://schemas.openxmlformats.org/officeDocument/2006/relationships/hyperlink" Target="https://sbrownlawyer.com/dog-bite-injuries/" TargetMode="External"/><Relationship Id="rId91" Type="http://schemas.openxmlformats.org/officeDocument/2006/relationships/hyperlink" Target="https://sbrownlawyer.com/child-pornography/" TargetMode="External"/><Relationship Id="rId90" Type="http://schemas.openxmlformats.org/officeDocument/2006/relationships/hyperlink" Target="https://sbrownlawyer.com/title-ix-defense-campus-sexual-assault/" TargetMode="External"/><Relationship Id="rId93" Type="http://schemas.openxmlformats.org/officeDocument/2006/relationships/hyperlink" Target="https://sbrownlawyer.com/slip-and-fall-accidents/" TargetMode="External"/><Relationship Id="rId92" Type="http://schemas.openxmlformats.org/officeDocument/2006/relationships/hyperlink" Target="https://sbrownlawyer.com/health-coverage-accident-claims/" TargetMode="External"/><Relationship Id="rId118" Type="http://schemas.openxmlformats.org/officeDocument/2006/relationships/hyperlink" Target="https://sbrownlawyer.com/Attorneys" TargetMode="External"/><Relationship Id="rId117" Type="http://schemas.openxmlformats.org/officeDocument/2006/relationships/hyperlink" Target="https://sbrownlawyer.com/Contact/" TargetMode="External"/><Relationship Id="rId359" Type="http://schemas.openxmlformats.org/officeDocument/2006/relationships/hyperlink" Target="https://sbrownlawyer.com/Assets-And-Liability/" TargetMode="External"/><Relationship Id="rId116" Type="http://schemas.openxmlformats.org/officeDocument/2006/relationships/hyperlink" Target="https://sbrownlawyer.com/sexual-abuse/" TargetMode="External"/><Relationship Id="rId358" Type="http://schemas.openxmlformats.org/officeDocument/2006/relationships/hyperlink" Target="https://sbrownlawyer.com/Family-Owned-Business-Protection/" TargetMode="External"/><Relationship Id="rId115" Type="http://schemas.openxmlformats.org/officeDocument/2006/relationships/hyperlink" Target="https://sbrownlawyer.com/sex-crimes/texas-sex-crime-law/" TargetMode="External"/><Relationship Id="rId357" Type="http://schemas.openxmlformats.org/officeDocument/2006/relationships/hyperlink" Target="https://sbrownlawyer.com/Oil-And-Mineral-Rights/" TargetMode="External"/><Relationship Id="rId599" Type="http://schemas.openxmlformats.org/officeDocument/2006/relationships/hyperlink" Target="https://sbrownlawyer.com/2021/10/10/facing-criminal-charges-why-you-need-to-contact-a-criminal-defense-lawyer-now/" TargetMode="External"/><Relationship Id="rId119" Type="http://schemas.openxmlformats.org/officeDocument/2006/relationships/hyperlink" Target="https://sbrownlawyer.com/pearland-probation-violations-lawyer/" TargetMode="External"/><Relationship Id="rId110" Type="http://schemas.openxmlformats.org/officeDocument/2006/relationships/hyperlink" Target="https://sbrownlawyer.com/road-hazard/" TargetMode="External"/><Relationship Id="rId352" Type="http://schemas.openxmlformats.org/officeDocument/2006/relationships/hyperlink" Target="https://sbrownlawyer.com/dwi/" TargetMode="External"/><Relationship Id="rId594" Type="http://schemas.openxmlformats.org/officeDocument/2006/relationships/hyperlink" Target="https://sbrownlawyer.com/2021/11/17/child-support/" TargetMode="External"/><Relationship Id="rId351" Type="http://schemas.openxmlformats.org/officeDocument/2006/relationships/hyperlink" Target="https://sbrownlawyer.com/2017/08/17/4-reasons-an-experienced-dwi-lawyer-is-essential/" TargetMode="External"/><Relationship Id="rId593" Type="http://schemas.openxmlformats.org/officeDocument/2006/relationships/hyperlink" Target="https://sbrownlawyer.com/2016/04/20/what-happens-if-my-ex-stops-paying-child-support/" TargetMode="External"/><Relationship Id="rId350" Type="http://schemas.openxmlformats.org/officeDocument/2006/relationships/hyperlink" Target="https://sbrownlawyer.com/abogado-de-inmigracion-familiar-en-pearland-texas/" TargetMode="External"/><Relationship Id="rId592" Type="http://schemas.openxmlformats.org/officeDocument/2006/relationships/hyperlink" Target="https://sbrownlawyer.com/2020/04/10/what-can-a-dwi-lawyer-do-for-a-person-charged-with-dwi/" TargetMode="External"/><Relationship Id="rId591" Type="http://schemas.openxmlformats.org/officeDocument/2006/relationships/hyperlink" Target="https://sbrownlawyer.com/2019/03/01/your-guide-to-child-custody-modification/" TargetMode="External"/><Relationship Id="rId114" Type="http://schemas.openxmlformats.org/officeDocument/2006/relationships/hyperlink" Target="https://sbrownlawyer.com/rape/" TargetMode="External"/><Relationship Id="rId356" Type="http://schemas.openxmlformats.org/officeDocument/2006/relationships/hyperlink" Target="https://sbrownlawyer.com/Asset-Division/" TargetMode="External"/><Relationship Id="rId598" Type="http://schemas.openxmlformats.org/officeDocument/2006/relationships/hyperlink" Target="https://sbrownlawyer.com/2018/04/01/calculating-child-support-in-texas/" TargetMode="External"/><Relationship Id="rId113" Type="http://schemas.openxmlformats.org/officeDocument/2006/relationships/hyperlink" Target="https://sbrownlawyer.com/team-member-testimonials/" TargetMode="External"/><Relationship Id="rId355" Type="http://schemas.openxmlformats.org/officeDocument/2006/relationships/hyperlink" Target="https://sbrownlawyer.com/Hidden-Assets/" TargetMode="External"/><Relationship Id="rId597" Type="http://schemas.openxmlformats.org/officeDocument/2006/relationships/hyperlink" Target="https://sbrownlawyer.com/2012/03/16/financial-challenges-for-texas-parents-who-owe-child-support/" TargetMode="External"/><Relationship Id="rId112" Type="http://schemas.openxmlformats.org/officeDocument/2006/relationships/hyperlink" Target="https://sbrownlawyer.com/spinal-cord-injury/" TargetMode="External"/><Relationship Id="rId354" Type="http://schemas.openxmlformats.org/officeDocument/2006/relationships/hyperlink" Target="https://sbrownlawyer.com/Homes-And-Real-Estate/" TargetMode="External"/><Relationship Id="rId596" Type="http://schemas.openxmlformats.org/officeDocument/2006/relationships/hyperlink" Target="https://sbrownlawyer.com/2016/08/16/paying-child-support-and-alimony-using-structured-settlements/" TargetMode="External"/><Relationship Id="rId111" Type="http://schemas.openxmlformats.org/officeDocument/2006/relationships/hyperlink" Target="https://sbrownlawyer.com/neck-injury/" TargetMode="External"/><Relationship Id="rId353" Type="http://schemas.openxmlformats.org/officeDocument/2006/relationships/hyperlink" Target="https://sbrownlawyer.com/Investment-Properties/" TargetMode="External"/><Relationship Id="rId595" Type="http://schemas.openxmlformats.org/officeDocument/2006/relationships/hyperlink" Target="https://sbrownlawyer.com/2015/06/23/how-do-the-courts-determine-the-primary-caretaker/" TargetMode="External"/><Relationship Id="rId1136" Type="http://schemas.openxmlformats.org/officeDocument/2006/relationships/hyperlink" Target="https://sbrownlawyer.com/page/39/" TargetMode="External"/><Relationship Id="rId1137" Type="http://schemas.openxmlformats.org/officeDocument/2006/relationships/hyperlink" Target="https://sbrownlawyer.com/blog/page/41/?et_blog" TargetMode="External"/><Relationship Id="rId1138" Type="http://schemas.openxmlformats.org/officeDocument/2006/relationships/hyperlink" Target="https://sbrownlawyer.com/page/40/" TargetMode="External"/><Relationship Id="rId1139" Type="http://schemas.openxmlformats.org/officeDocument/2006/relationships/hyperlink" Target="https://sbrownlawyer.com/blog/page/42/?et_blog" TargetMode="External"/><Relationship Id="rId305" Type="http://schemas.openxmlformats.org/officeDocument/2006/relationships/hyperlink" Target="https://sbrownlawyer.com/2015/11/27/court-says-that-embryos-owned-by-divorced-couple-can-be-destroyed/" TargetMode="External"/><Relationship Id="rId547" Type="http://schemas.openxmlformats.org/officeDocument/2006/relationships/hyperlink" Target="https://sbrownlawyer.com/2020/12/05/children-and-divorce-a-step-by-step-guide-on-child-custody/" TargetMode="External"/><Relationship Id="rId789" Type="http://schemas.openxmlformats.org/officeDocument/2006/relationships/hyperlink" Target="https://sbrownlawyer.com/assault-charges/" TargetMode="External"/><Relationship Id="rId304" Type="http://schemas.openxmlformats.org/officeDocument/2006/relationships/hyperlink" Target="https://sbrownlawyer.com/2021/03/15/who-qualifies-for-a-temporary-protective-order-in-texas-and-other-frequently-asked-questions/" TargetMode="External"/><Relationship Id="rId546" Type="http://schemas.openxmlformats.org/officeDocument/2006/relationships/hyperlink" Target="https://sbrownlawyer.com/2020/05/21/what-happens-if-you-violate-a-restraining-order/" TargetMode="External"/><Relationship Id="rId788" Type="http://schemas.openxmlformats.org/officeDocument/2006/relationships/hyperlink" Target="https://sbrownlawyer.com/Domestic-Violence/" TargetMode="External"/><Relationship Id="rId303" Type="http://schemas.openxmlformats.org/officeDocument/2006/relationships/hyperlink" Target="https://sbrownlawyer.com/2020/12/16/domestic-violence-victim-tips-on-getting-a-restraining-order/" TargetMode="External"/><Relationship Id="rId545" Type="http://schemas.openxmlformats.org/officeDocument/2006/relationships/hyperlink" Target="https://sbrownlawyer.com/2020/06/25/partner-abuse-the-many-forms-of-domestic-violence/" TargetMode="External"/><Relationship Id="rId787" Type="http://schemas.openxmlformats.org/officeDocument/2006/relationships/hyperlink" Target="https://sbrownlawyer.com/2017/01/10/dividing-some-community-assets-can-pose-challenges-during-divorce/" TargetMode="External"/><Relationship Id="rId302" Type="http://schemas.openxmlformats.org/officeDocument/2006/relationships/hyperlink" Target="https://sbrownlawyer.com/2021/04/07/reasons-grandparents-can-file-for-custody-of-grandchild-in-texas/" TargetMode="External"/><Relationship Id="rId544" Type="http://schemas.openxmlformats.org/officeDocument/2006/relationships/hyperlink" Target="https://sbrownlawyer.com/protective-orders-divorce/" TargetMode="External"/><Relationship Id="rId786" Type="http://schemas.openxmlformats.org/officeDocument/2006/relationships/hyperlink" Target="https://sbrownlawyer.com/2016/09/22/parental-alienation-its-causes-and-potential-remedies/" TargetMode="External"/><Relationship Id="rId309" Type="http://schemas.openxmlformats.org/officeDocument/2006/relationships/hyperlink" Target="https://sbrownlawyer.com/2021/05/15/what-are-the-advantages-of-hiring-a-good-divorce-attorney/" TargetMode="External"/><Relationship Id="rId308" Type="http://schemas.openxmlformats.org/officeDocument/2006/relationships/hyperlink" Target="https://sbrownlawyer.com/2021/12/10/getting-child-custody-in-texas/" TargetMode="External"/><Relationship Id="rId307" Type="http://schemas.openxmlformats.org/officeDocument/2006/relationships/hyperlink" Target="https://sbrownlawyer.com/2020/12/28/what-to-ask-your-family-lawyer-about-your-child-custody-agreement/" TargetMode="External"/><Relationship Id="rId549" Type="http://schemas.openxmlformats.org/officeDocument/2006/relationships/hyperlink" Target="https://sbrownlawyer.com/2021/04/21/dwi-consequences-in-texas-whats-the-maximum-penalty-for-a-dwi/" TargetMode="External"/><Relationship Id="rId306" Type="http://schemas.openxmlformats.org/officeDocument/2006/relationships/hyperlink" Target="https://sbrownlawyer.com/2015/11/13/is-divorce-actually-good-for-anything/" TargetMode="External"/><Relationship Id="rId548" Type="http://schemas.openxmlformats.org/officeDocument/2006/relationships/hyperlink" Target="https://sbrownlawyer.com/domestic-violence-lawyer-in-league-city-tx/" TargetMode="External"/><Relationship Id="rId781" Type="http://schemas.openxmlformats.org/officeDocument/2006/relationships/hyperlink" Target="https://sbrownlawyer.com/2021/08/10/5-next-steps-to-take-when-you-have-a-dui-in-texas/" TargetMode="External"/><Relationship Id="rId780" Type="http://schemas.openxmlformats.org/officeDocument/2006/relationships/hyperlink" Target="https://sbrownlawyer.com/2021/09/20/5-quiet-signs-of-divorce-and-what-to-do-about-it/" TargetMode="External"/><Relationship Id="rId1130" Type="http://schemas.openxmlformats.org/officeDocument/2006/relationships/hyperlink" Target="https://sbrownlawyer.com/page/36/" TargetMode="External"/><Relationship Id="rId1131" Type="http://schemas.openxmlformats.org/officeDocument/2006/relationships/hyperlink" Target="https://sbrownlawyer.com/blog/page/38/?et_blog" TargetMode="External"/><Relationship Id="rId301" Type="http://schemas.openxmlformats.org/officeDocument/2006/relationships/hyperlink" Target="https://sbrownlawyer.com/2015/09/25/the-pope-changes-marriage-annulments-making-them-fast-and-cheap/" TargetMode="External"/><Relationship Id="rId543" Type="http://schemas.openxmlformats.org/officeDocument/2006/relationships/hyperlink" Target="https://sbrownlawyer.com/2021/02/28/what-happens-after-a-second-and-third-dwi-in-texas/" TargetMode="External"/><Relationship Id="rId785" Type="http://schemas.openxmlformats.org/officeDocument/2006/relationships/hyperlink" Target="https://sbrownlawyer.com/2020/02/25/finding-a-criminal-defense-lawyer-dwi-what-you-need-to-know/" TargetMode="External"/><Relationship Id="rId1132" Type="http://schemas.openxmlformats.org/officeDocument/2006/relationships/hyperlink" Target="https://sbrownlawyer.com/page/37/" TargetMode="External"/><Relationship Id="rId300" Type="http://schemas.openxmlformats.org/officeDocument/2006/relationships/hyperlink" Target="https://sbrownlawyer.com/2015/09/10/why-are-family-care-plans-important-for-military-parents/" TargetMode="External"/><Relationship Id="rId542" Type="http://schemas.openxmlformats.org/officeDocument/2006/relationships/hyperlink" Target="https://sbrownlawyer.com/2015/12/04/child-custody-and-the-holidays/" TargetMode="External"/><Relationship Id="rId784" Type="http://schemas.openxmlformats.org/officeDocument/2006/relationships/hyperlink" Target="https://sbrownlawyer.com/page/6/" TargetMode="External"/><Relationship Id="rId1133" Type="http://schemas.openxmlformats.org/officeDocument/2006/relationships/hyperlink" Target="https://sbrownlawyer.com/blog/page/39/?et_blog" TargetMode="External"/><Relationship Id="rId541" Type="http://schemas.openxmlformats.org/officeDocument/2006/relationships/hyperlink" Target="https://sbrownlawyer.com/2015/11/06/worlds-most-expensive-divorce-comes-to-end/" TargetMode="External"/><Relationship Id="rId783" Type="http://schemas.openxmlformats.org/officeDocument/2006/relationships/hyperlink" Target="https://sbrownlawyer.com/2021/08/30/a-timeline-of-the-divorce-process-how-long-does-it-realistically-take/" TargetMode="External"/><Relationship Id="rId1134" Type="http://schemas.openxmlformats.org/officeDocument/2006/relationships/hyperlink" Target="https://sbrownlawyer.com/page/38/" TargetMode="External"/><Relationship Id="rId540" Type="http://schemas.openxmlformats.org/officeDocument/2006/relationships/hyperlink" Target="https://sbrownlawyer.com/2015/Family-Law/Spousal-Support" TargetMode="External"/><Relationship Id="rId782" Type="http://schemas.openxmlformats.org/officeDocument/2006/relationships/hyperlink" Target="https://sbrownlawyer.com/blog/page/7/?et_blog" TargetMode="External"/><Relationship Id="rId1135" Type="http://schemas.openxmlformats.org/officeDocument/2006/relationships/hyperlink" Target="https://sbrownlawyer.com/blog/page/40/?et_blog" TargetMode="External"/><Relationship Id="rId1125" Type="http://schemas.openxmlformats.org/officeDocument/2006/relationships/hyperlink" Target="https://sbrownlawyer.com/blog/page/35/?et_blog" TargetMode="External"/><Relationship Id="rId1126" Type="http://schemas.openxmlformats.org/officeDocument/2006/relationships/hyperlink" Target="https://sbrownlawyer.com/page/34/" TargetMode="External"/><Relationship Id="rId1127" Type="http://schemas.openxmlformats.org/officeDocument/2006/relationships/hyperlink" Target="https://sbrownlawyer.com/blog/page/36/?et_blog" TargetMode="External"/><Relationship Id="rId1128" Type="http://schemas.openxmlformats.org/officeDocument/2006/relationships/hyperlink" Target="https://sbrownlawyer.com/page/35/" TargetMode="External"/><Relationship Id="rId1129" Type="http://schemas.openxmlformats.org/officeDocument/2006/relationships/hyperlink" Target="https://sbrownlawyer.com/blog/page/37/?et_blog" TargetMode="External"/><Relationship Id="rId536" Type="http://schemas.openxmlformats.org/officeDocument/2006/relationships/hyperlink" Target="https://sbrownlawyer.com/2022/01/07/i-will-fight-for-you/" TargetMode="External"/><Relationship Id="rId778" Type="http://schemas.openxmlformats.org/officeDocument/2006/relationships/hyperlink" Target="https://sbrownlawyer.com/2014/02/19/texas-enters-the-fray-of-same-sex-marriage-court-battles/" TargetMode="External"/><Relationship Id="rId535" Type="http://schemas.openxmlformats.org/officeDocument/2006/relationships/hyperlink" Target="https://sbrownlawyer.com/restraining-orders/" TargetMode="External"/><Relationship Id="rId777" Type="http://schemas.openxmlformats.org/officeDocument/2006/relationships/hyperlink" Target="https://sbrownlawyer.com/2013/07/30/domestic-violence-and-the-poor/" TargetMode="External"/><Relationship Id="rId534" Type="http://schemas.openxmlformats.org/officeDocument/2006/relationships/hyperlink" Target="https://sbrownlawyer.com/2021/11/26/child-support-guidelines-in-texas-an-overview/" TargetMode="External"/><Relationship Id="rId776" Type="http://schemas.openxmlformats.org/officeDocument/2006/relationships/hyperlink" Target="https://sbrownlawyer.com/2013/09/25/tips-for-helping-the-children-while-going-through-a-divorce/" TargetMode="External"/><Relationship Id="rId533" Type="http://schemas.openxmlformats.org/officeDocument/2006/relationships/hyperlink" Target="https://sbrownlawyer.com/2021/10/25/child-custody-101-what-decides-custody-of-a-child/" TargetMode="External"/><Relationship Id="rId775" Type="http://schemas.openxmlformats.org/officeDocument/2006/relationships/hyperlink" Target="https://sbrownlawyer.com/2012/10/04/texas-parents-pay-attention-to-divorce-decrees-before-signing/" TargetMode="External"/><Relationship Id="rId539" Type="http://schemas.openxmlformats.org/officeDocument/2006/relationships/hyperlink" Target="https://sbrownlawyer.com/2020/09/10/types-of-custody-arrangements-for-divorcing-couples/" TargetMode="External"/><Relationship Id="rId538" Type="http://schemas.openxmlformats.org/officeDocument/2006/relationships/hyperlink" Target="https://sbrownlawyer.com/2021/01/05/everything-you-need-to-know-about-child-custody-in-texas/" TargetMode="External"/><Relationship Id="rId537" Type="http://schemas.openxmlformats.org/officeDocument/2006/relationships/hyperlink" Target="https://sbrownlawyer.com/2020/04/24/fighting-over-custody-need-a-divorce-family-lawyer-might-be-for-you/" TargetMode="External"/><Relationship Id="rId779" Type="http://schemas.openxmlformats.org/officeDocument/2006/relationships/hyperlink" Target="https://sbrownlawyer.com/2021/09/10/is-it-wise-to-take-on-a-dwi-case-without-a-dwi-lawyer/" TargetMode="External"/><Relationship Id="rId770" Type="http://schemas.openxmlformats.org/officeDocument/2006/relationships/hyperlink" Target="https://sbrownlawyer.com/2020/08/07/contested-vs-uncontested-divorce-in-houston-top-things-you-need-to-know/" TargetMode="External"/><Relationship Id="rId1120" Type="http://schemas.openxmlformats.org/officeDocument/2006/relationships/hyperlink" Target="https://sbrownlawyer.com/page/31/" TargetMode="External"/><Relationship Id="rId532" Type="http://schemas.openxmlformats.org/officeDocument/2006/relationships/hyperlink" Target="https://sbrownlawyer.com/2014/07/18/child-custody-battles-shouldnt-be-affected-by-deployment-status/" TargetMode="External"/><Relationship Id="rId774" Type="http://schemas.openxmlformats.org/officeDocument/2006/relationships/hyperlink" Target="https://sbrownlawyer.com/2015/10/16/how-does-alimony-affect-my-taxes/" TargetMode="External"/><Relationship Id="rId1121" Type="http://schemas.openxmlformats.org/officeDocument/2006/relationships/hyperlink" Target="https://sbrownlawyer.com/blog/page/33/?et_blog" TargetMode="External"/><Relationship Id="rId531" Type="http://schemas.openxmlformats.org/officeDocument/2006/relationships/hyperlink" Target="https://sbrownlawyer.com/2015/10/27/child-custody-cases-require-personal-attention-to-the-details/" TargetMode="External"/><Relationship Id="rId773" Type="http://schemas.openxmlformats.org/officeDocument/2006/relationships/hyperlink" Target="https://sbrownlawyer.com/2012/08/10/texas-divorce-non-holidays-find-way-into-custody-schedule/" TargetMode="External"/><Relationship Id="rId1122" Type="http://schemas.openxmlformats.org/officeDocument/2006/relationships/hyperlink" Target="https://sbrownlawyer.com/page/32/" TargetMode="External"/><Relationship Id="rId530" Type="http://schemas.openxmlformats.org/officeDocument/2006/relationships/hyperlink" Target="https://sbrownlawyer.com/2014/12/11/woman-shot-in-head-after-history-of-domestic-violence/" TargetMode="External"/><Relationship Id="rId772" Type="http://schemas.openxmlformats.org/officeDocument/2006/relationships/hyperlink" Target="https://sbrownlawyer.com/2013/11/27/texas-police-officer-accused-of-domestic-violence-still-employed/" TargetMode="External"/><Relationship Id="rId1123" Type="http://schemas.openxmlformats.org/officeDocument/2006/relationships/hyperlink" Target="https://sbrownlawyer.com/blog/page/34/?et_blog" TargetMode="External"/><Relationship Id="rId771" Type="http://schemas.openxmlformats.org/officeDocument/2006/relationships/hyperlink" Target="https://sbrownlawyer.com/2015/08/21/rutherford-reluctantly-returns-children-to-father/" TargetMode="External"/><Relationship Id="rId1124" Type="http://schemas.openxmlformats.org/officeDocument/2006/relationships/hyperlink" Target="https://sbrownlawyer.com/page/33/" TargetMode="External"/><Relationship Id="rId1158" Type="http://schemas.openxmlformats.org/officeDocument/2006/relationships/drawing" Target="../drawings/drawing7.xml"/><Relationship Id="rId327" Type="http://schemas.openxmlformats.org/officeDocument/2006/relationships/hyperlink" Target="https://sbrownlawyer.com/league-city-tx-family-law-modifications-lawyer/" TargetMode="External"/><Relationship Id="rId569" Type="http://schemas.openxmlformats.org/officeDocument/2006/relationships/hyperlink" Target="https://sbrownlawyer.com/2013/08/06/determinations-that-go-into-the-awarding-of-spousal-support/" TargetMode="External"/><Relationship Id="rId326" Type="http://schemas.openxmlformats.org/officeDocument/2006/relationships/hyperlink" Target="https://sbrownlawyer.com/2015/05/21/myths-about-custody-and-domestic-violence/" TargetMode="External"/><Relationship Id="rId568" Type="http://schemas.openxmlformats.org/officeDocument/2006/relationships/hyperlink" Target="https://sbrownlawyer.com/2014/02/14/millions-in-child-support-recovered-in-el-paso/" TargetMode="External"/><Relationship Id="rId325" Type="http://schemas.openxmlformats.org/officeDocument/2006/relationships/hyperlink" Target="https://sbrownlawyer.com/2015/06/05/child-custody-and-visitation-modifications-for-the-summer-months/" TargetMode="External"/><Relationship Id="rId567" Type="http://schemas.openxmlformats.org/officeDocument/2006/relationships/hyperlink" Target="https://sbrownlawyer.com/2021/08/01/10-things-to-know-about-tx-child-custody/" TargetMode="External"/><Relationship Id="rId324" Type="http://schemas.openxmlformats.org/officeDocument/2006/relationships/hyperlink" Target="https://sbrownlawyer.com/child-support" TargetMode="External"/><Relationship Id="rId566" Type="http://schemas.openxmlformats.org/officeDocument/2006/relationships/hyperlink" Target="https://sbrownlawyer.com/2021/07/20/8-questions-to-ask-dui-attorneys/" TargetMode="External"/><Relationship Id="rId329" Type="http://schemas.openxmlformats.org/officeDocument/2006/relationships/hyperlink" Target="https://sbrownlawyer.com/2015/01/23/can-the-court-stop-destruction-of-marital-assets-in-a-divorce/" TargetMode="External"/><Relationship Id="rId328" Type="http://schemas.openxmlformats.org/officeDocument/2006/relationships/hyperlink" Target="https://sbrownlawyer.com/harris-county-modifications-of-orders-attorney/" TargetMode="External"/><Relationship Id="rId561" Type="http://schemas.openxmlformats.org/officeDocument/2006/relationships/hyperlink" Target="https://sbrownlawyer.com/Family-Law/Divorce" TargetMode="External"/><Relationship Id="rId1150" Type="http://schemas.openxmlformats.org/officeDocument/2006/relationships/hyperlink" Target="https://sbrownlawyer.com/page/46/" TargetMode="External"/><Relationship Id="rId560" Type="http://schemas.openxmlformats.org/officeDocument/2006/relationships/hyperlink" Target="https://sbrownlawyer.com/2014/Family-Law/Domestic-Abuse-And-Protective-Orders" TargetMode="External"/><Relationship Id="rId1151" Type="http://schemas.openxmlformats.org/officeDocument/2006/relationships/hyperlink" Target="https://sbrownlawyer.com/blog/page/48/?et_blog" TargetMode="External"/><Relationship Id="rId1152" Type="http://schemas.openxmlformats.org/officeDocument/2006/relationships/hyperlink" Target="https://sbrownlawyer.com/page/47/" TargetMode="External"/><Relationship Id="rId1153" Type="http://schemas.openxmlformats.org/officeDocument/2006/relationships/hyperlink" Target="https://sbrownlawyer.com/blog/page/49/?et_blog" TargetMode="External"/><Relationship Id="rId323" Type="http://schemas.openxmlformats.org/officeDocument/2006/relationships/hyperlink" Target="https://sbrownlawyer.com/2016/03/03/what-should-i-know-about-dividing-debts-in-divorce/" TargetMode="External"/><Relationship Id="rId565" Type="http://schemas.openxmlformats.org/officeDocument/2006/relationships/hyperlink" Target="https://sbrownlawyer.com/2014/01/23/stay-at-home-moms-should-consider-postnuptial-agreements/" TargetMode="External"/><Relationship Id="rId1154" Type="http://schemas.openxmlformats.org/officeDocument/2006/relationships/hyperlink" Target="https://sbrownlawyer.com/page/48/" TargetMode="External"/><Relationship Id="rId322" Type="http://schemas.openxmlformats.org/officeDocument/2006/relationships/hyperlink" Target="https://sbrownlawyer.com/2016/03/18/rape-victims-face-complicated-child-custody-issues/" TargetMode="External"/><Relationship Id="rId564" Type="http://schemas.openxmlformats.org/officeDocument/2006/relationships/hyperlink" Target="https://sbrownlawyer.com/2014/02/07/a-change-in-child-custody-arrangements-could-be-on-the-horizon/" TargetMode="External"/><Relationship Id="rId1155" Type="http://schemas.openxmlformats.org/officeDocument/2006/relationships/hyperlink" Target="https://sbrownlawyer.com/blog/page/50/?et_blog" TargetMode="External"/><Relationship Id="rId321" Type="http://schemas.openxmlformats.org/officeDocument/2006/relationships/hyperlink" Target="https://sbrownlawyer.com/2015/03/03/help-your-child-cope-with-child-custody-schedules-after-divorce/" TargetMode="External"/><Relationship Id="rId563" Type="http://schemas.openxmlformats.org/officeDocument/2006/relationships/hyperlink" Target="https://sbrownlawyer.com/2013/08/13/costs-of-splitting-up-is-major-concern-when-considering-divorce/" TargetMode="External"/><Relationship Id="rId1156" Type="http://schemas.openxmlformats.org/officeDocument/2006/relationships/hyperlink" Target="https://sbrownlawyer.com/page/49/" TargetMode="External"/><Relationship Id="rId320" Type="http://schemas.openxmlformats.org/officeDocument/2006/relationships/hyperlink" Target="https://sbrownlawyer.com/2015/03/19/what-should-i-know-about-domestic-violence/" TargetMode="External"/><Relationship Id="rId562" Type="http://schemas.openxmlformats.org/officeDocument/2006/relationships/hyperlink" Target="https://sbrownlawyer.com/2013/09/10/mistakes-made-when-planning-a-divorce-property-settlement/" TargetMode="External"/><Relationship Id="rId1157" Type="http://schemas.openxmlformats.org/officeDocument/2006/relationships/hyperlink" Target="https://sbrownlawyer.com/page/50/" TargetMode="External"/><Relationship Id="rId1147" Type="http://schemas.openxmlformats.org/officeDocument/2006/relationships/hyperlink" Target="https://sbrownlawyer.com/blog/page/46/?et_blog" TargetMode="External"/><Relationship Id="rId1148" Type="http://schemas.openxmlformats.org/officeDocument/2006/relationships/hyperlink" Target="https://sbrownlawyer.com/page/45/" TargetMode="External"/><Relationship Id="rId1149" Type="http://schemas.openxmlformats.org/officeDocument/2006/relationships/hyperlink" Target="https://sbrownlawyer.com/blog/page/47/?et_blog" TargetMode="External"/><Relationship Id="rId316" Type="http://schemas.openxmlformats.org/officeDocument/2006/relationships/hyperlink" Target="https://sbrownlawyer.com/Family-Law/Child-Support" TargetMode="External"/><Relationship Id="rId558" Type="http://schemas.openxmlformats.org/officeDocument/2006/relationships/hyperlink" Target="https://sbrownlawyer.com/2012/09/17/could-cold-feet-be-a-sign-of-a-future-texas-divorce/" TargetMode="External"/><Relationship Id="rId315" Type="http://schemas.openxmlformats.org/officeDocument/2006/relationships/hyperlink" Target="https://sbrownlawyer.com/blog/child-support" TargetMode="External"/><Relationship Id="rId557" Type="http://schemas.openxmlformats.org/officeDocument/2006/relationships/hyperlink" Target="https://sbrownlawyer.com/2012/08/22/texas-divorce-may-require-introspection-and-reflection/" TargetMode="External"/><Relationship Id="rId799" Type="http://schemas.openxmlformats.org/officeDocument/2006/relationships/hyperlink" Target="https://sbrownlawyer.com/2013/09/30/attorney-generals-office-collects-3-6-billion-in-child-support/" TargetMode="External"/><Relationship Id="rId314" Type="http://schemas.openxmlformats.org/officeDocument/2006/relationships/hyperlink" Target="https://sbrownlawyer.com/2014/01/10/texas-man-jailed-even-after-paying-back-child-support/" TargetMode="External"/><Relationship Id="rId556" Type="http://schemas.openxmlformats.org/officeDocument/2006/relationships/hyperlink" Target="https://sbrownlawyer.com/2013/11/02/do-many-texas-couples-need-prenuptial-agreements/" TargetMode="External"/><Relationship Id="rId798" Type="http://schemas.openxmlformats.org/officeDocument/2006/relationships/hyperlink" Target="https://sbrownlawyer.com/2014/02/21/flying-high-do-marijuana-offenses-generally-fare-better-than-dwis/" TargetMode="External"/><Relationship Id="rId313" Type="http://schemas.openxmlformats.org/officeDocument/2006/relationships/hyperlink" Target="https://sbrownlawyer.com/2013/02/27/are-negative-communication-patterns-a-factor-in-texas-divorce/" TargetMode="External"/><Relationship Id="rId555" Type="http://schemas.openxmlformats.org/officeDocument/2006/relationships/hyperlink" Target="https://sbrownlawyer.com/2013/11/22/same-sex-divorce-cases-to-be-settled-in-texas-supreme-court/" TargetMode="External"/><Relationship Id="rId797" Type="http://schemas.openxmlformats.org/officeDocument/2006/relationships/hyperlink" Target="https://sbrownlawyer.com/2013/07/24/texas-military-mans-international-child-custody-dispute/" TargetMode="External"/><Relationship Id="rId319" Type="http://schemas.openxmlformats.org/officeDocument/2006/relationships/hyperlink" Target="https://sbrownlawyer.com/top-military-divorce-lawyer-in-texas/" TargetMode="External"/><Relationship Id="rId318" Type="http://schemas.openxmlformats.org/officeDocument/2006/relationships/hyperlink" Target="https://sbrownlawyer.com/2013/12/25/victims-must-be-persistent-for-domestic-violence-charges-to-stick/" TargetMode="External"/><Relationship Id="rId317" Type="http://schemas.openxmlformats.org/officeDocument/2006/relationships/hyperlink" Target="https://sbrownlawyer.com/Child-Custody/" TargetMode="External"/><Relationship Id="rId559" Type="http://schemas.openxmlformats.org/officeDocument/2006/relationships/hyperlink" Target="https://sbrownlawyer.com/2013/Family-Law/Domestic-Abuse-And-Protective-Orders" TargetMode="External"/><Relationship Id="rId550" Type="http://schemas.openxmlformats.org/officeDocument/2006/relationships/hyperlink" Target="https://sbrownlawyer.com/2020/05/07/what-you-need-to-know-about-child-custody-laws-in-texas/" TargetMode="External"/><Relationship Id="rId792" Type="http://schemas.openxmlformats.org/officeDocument/2006/relationships/hyperlink" Target="https://sbrownlawyer.com/alternative-outcomes-in-drug-cases/" TargetMode="External"/><Relationship Id="rId791" Type="http://schemas.openxmlformats.org/officeDocument/2006/relationships/hyperlink" Target="https://sbrownlawyer.com/White-Collar-Crimes/" TargetMode="External"/><Relationship Id="rId1140" Type="http://schemas.openxmlformats.org/officeDocument/2006/relationships/hyperlink" Target="https://sbrownlawyer.com/page/41/" TargetMode="External"/><Relationship Id="rId790" Type="http://schemas.openxmlformats.org/officeDocument/2006/relationships/hyperlink" Target="https://sbrownlawyer.com/prescription-drug-charges/" TargetMode="External"/><Relationship Id="rId1141" Type="http://schemas.openxmlformats.org/officeDocument/2006/relationships/hyperlink" Target="https://sbrownlawyer.com/blog/page/43/?et_blog" TargetMode="External"/><Relationship Id="rId1142" Type="http://schemas.openxmlformats.org/officeDocument/2006/relationships/hyperlink" Target="https://sbrownlawyer.com/page/42/" TargetMode="External"/><Relationship Id="rId312" Type="http://schemas.openxmlformats.org/officeDocument/2006/relationships/hyperlink" Target="https://sbrownlawyer.com/2013/03/11/support-necessary-during-a-texas-divorce/" TargetMode="External"/><Relationship Id="rId554" Type="http://schemas.openxmlformats.org/officeDocument/2006/relationships/hyperlink" Target="https://sbrownlawyer.com/2015/09/01/prenups-for-seniors/" TargetMode="External"/><Relationship Id="rId796" Type="http://schemas.openxmlformats.org/officeDocument/2006/relationships/hyperlink" Target="https://sbrownlawyer.com/Do-Not-Blow/" TargetMode="External"/><Relationship Id="rId1143" Type="http://schemas.openxmlformats.org/officeDocument/2006/relationships/hyperlink" Target="https://sbrownlawyer.com/blog/page/44/?et_blog" TargetMode="External"/><Relationship Id="rId311" Type="http://schemas.openxmlformats.org/officeDocument/2006/relationships/hyperlink" Target="https://sbrownlawyer.com/2014/12/19/domestic-violence-and-child-custody-in-texas/" TargetMode="External"/><Relationship Id="rId553" Type="http://schemas.openxmlformats.org/officeDocument/2006/relationships/hyperlink" Target="https://sbrownlawyer.com/2015/10/02/child-support-and-gender-bias-in-the-courts/" TargetMode="External"/><Relationship Id="rId795" Type="http://schemas.openxmlformats.org/officeDocument/2006/relationships/hyperlink" Target="https://sbrownlawyer.com/drug-distribution/" TargetMode="External"/><Relationship Id="rId1144" Type="http://schemas.openxmlformats.org/officeDocument/2006/relationships/hyperlink" Target="https://sbrownlawyer.com/page/43/" TargetMode="External"/><Relationship Id="rId310" Type="http://schemas.openxmlformats.org/officeDocument/2006/relationships/hyperlink" Target="https://sbrownlawyer.com/2015/01/02/how-can-texas-military-parents-deal-with-newborn-sleep-habits/" TargetMode="External"/><Relationship Id="rId552" Type="http://schemas.openxmlformats.org/officeDocument/2006/relationships/hyperlink" Target="https://sbrownlawyer.com/2021/01/30/all-about-child-custody-in-texas/" TargetMode="External"/><Relationship Id="rId794" Type="http://schemas.openxmlformats.org/officeDocument/2006/relationships/hyperlink" Target="https://sbrownlawyer.com/Major-Felonies/" TargetMode="External"/><Relationship Id="rId1145" Type="http://schemas.openxmlformats.org/officeDocument/2006/relationships/hyperlink" Target="https://sbrownlawyer.com/blog/page/45/?et_blog" TargetMode="External"/><Relationship Id="rId551" Type="http://schemas.openxmlformats.org/officeDocument/2006/relationships/hyperlink" Target="https://sbrownlawyer.com/Family-Law/Division-Of-Property" TargetMode="External"/><Relationship Id="rId793" Type="http://schemas.openxmlformats.org/officeDocument/2006/relationships/hyperlink" Target="https://sbrownlawyer.com/drug-possession/" TargetMode="External"/><Relationship Id="rId1146" Type="http://schemas.openxmlformats.org/officeDocument/2006/relationships/hyperlink" Target="https://sbrownlawyer.com/page/44/" TargetMode="External"/><Relationship Id="rId297" Type="http://schemas.openxmlformats.org/officeDocument/2006/relationships/hyperlink" Target="https://sbrownlawyer.com/2013/11/03/the-silver-lining-to-filing-a-silver-divorce/" TargetMode="External"/><Relationship Id="rId296" Type="http://schemas.openxmlformats.org/officeDocument/2006/relationships/hyperlink" Target="https://sbrownlawyer.com/2012/08/29/dealing-with-anger-in-a-texas-divorce/" TargetMode="External"/><Relationship Id="rId295" Type="http://schemas.openxmlformats.org/officeDocument/2006/relationships/hyperlink" Target="https://sbrownlawyer.com/2012/09/13/the-benefit-and-downfalls-of-using-technology-to-co-parent/" TargetMode="External"/><Relationship Id="rId294" Type="http://schemas.openxmlformats.org/officeDocument/2006/relationships/hyperlink" Target="https://sbrownlawyer.com/2013/08/20/texas-parents-in-custody-for-not-paying-child-support/" TargetMode="External"/><Relationship Id="rId299" Type="http://schemas.openxmlformats.org/officeDocument/2006/relationships/hyperlink" Target="https://sbrownlawyer.com/2015/Family-Law/Child-Protective-Services-CPS" TargetMode="External"/><Relationship Id="rId298" Type="http://schemas.openxmlformats.org/officeDocument/2006/relationships/hyperlink" Target="https://sbrownlawyer.com/2013/11/13/henderson-county-police-round-up-child-support-violators/" TargetMode="External"/><Relationship Id="rId271" Type="http://schemas.openxmlformats.org/officeDocument/2006/relationships/hyperlink" Target="https://sbrownlawyer.com/Retirement-Accounts" TargetMode="External"/><Relationship Id="rId270" Type="http://schemas.openxmlformats.org/officeDocument/2006/relationships/hyperlink" Target="https://sbrownlawyer.com/Business-And-Professional-Practices-In-Divorce" TargetMode="External"/><Relationship Id="rId269" Type="http://schemas.openxmlformats.org/officeDocument/2006/relationships/hyperlink" Target="https://sbrownlawyer.com/Assets-And-Liability" TargetMode="External"/><Relationship Id="rId264" Type="http://schemas.openxmlformats.org/officeDocument/2006/relationships/hyperlink" Target="https://sbrownlawyer.com/Homes-And-Real-Estate" TargetMode="External"/><Relationship Id="rId263" Type="http://schemas.openxmlformats.org/officeDocument/2006/relationships/hyperlink" Target="https://sbrownlawyer.com/Investment-Properties" TargetMode="External"/><Relationship Id="rId262" Type="http://schemas.openxmlformats.org/officeDocument/2006/relationships/hyperlink" Target="https://sbrownlawyer.com/2017/08/24/second-chance-bill-what-does-it-mean-now-that-its-passed/" TargetMode="External"/><Relationship Id="rId261" Type="http://schemas.openxmlformats.org/officeDocument/2006/relationships/hyperlink" Target="https://sbrownlawyer.com/sexual-assault/" TargetMode="External"/><Relationship Id="rId268" Type="http://schemas.openxmlformats.org/officeDocument/2006/relationships/hyperlink" Target="https://sbrownlawyer.com/Family-Owned-Business-Protection" TargetMode="External"/><Relationship Id="rId267" Type="http://schemas.openxmlformats.org/officeDocument/2006/relationships/hyperlink" Target="https://sbrownlawyer.com/Oil-And-Mineral-Rights" TargetMode="External"/><Relationship Id="rId266" Type="http://schemas.openxmlformats.org/officeDocument/2006/relationships/hyperlink" Target="https://sbrownlawyer.com/Asset-Division" TargetMode="External"/><Relationship Id="rId265" Type="http://schemas.openxmlformats.org/officeDocument/2006/relationships/hyperlink" Target="https://sbrownlawyer.com/Hidden-Assets" TargetMode="External"/><Relationship Id="rId260" Type="http://schemas.openxmlformats.org/officeDocument/2006/relationships/hyperlink" Target="https://sbrownlawyer.com/online-solicitation-of-a-minor/" TargetMode="External"/><Relationship Id="rId259" Type="http://schemas.openxmlformats.org/officeDocument/2006/relationships/hyperlink" Target="https://sbrownlawyer.com/abogado-de-sucesiones-en-pearland-tx/" TargetMode="External"/><Relationship Id="rId258" Type="http://schemas.openxmlformats.org/officeDocument/2006/relationships/hyperlink" Target="https://sbrownlawyer.com/human-trafficking/" TargetMode="External"/><Relationship Id="rId253" Type="http://schemas.openxmlformats.org/officeDocument/2006/relationships/hyperlink" Target="https://sbrownlawyer.com/league-city-grandparents-rights-lawyer/" TargetMode="External"/><Relationship Id="rId495" Type="http://schemas.openxmlformats.org/officeDocument/2006/relationships/hyperlink" Target="https://sbrownlawyer.com/dwi/DWI-DUI-Accident" TargetMode="External"/><Relationship Id="rId252" Type="http://schemas.openxmlformats.org/officeDocument/2006/relationships/hyperlink" Target="https://sbrownlawyer.com/areas-we-serve/harris-county/houston/" TargetMode="External"/><Relationship Id="rId494" Type="http://schemas.openxmlformats.org/officeDocument/2006/relationships/hyperlink" Target="https://sbrownlawyer.com/Homes-And-Real-Estate/Assets-And-Liability" TargetMode="External"/><Relationship Id="rId251" Type="http://schemas.openxmlformats.org/officeDocument/2006/relationships/hyperlink" Target="https://sbrownlawyer.com/Modifications" TargetMode="External"/><Relationship Id="rId493" Type="http://schemas.openxmlformats.org/officeDocument/2006/relationships/hyperlink" Target="https://sbrownlawyer.com/Business-And-Professional-Practices-In-Divorce/Asset-Division" TargetMode="External"/><Relationship Id="rId250" Type="http://schemas.openxmlformats.org/officeDocument/2006/relationships/hyperlink" Target="https://sbrownlawyer.com/attorneys" TargetMode="External"/><Relationship Id="rId492" Type="http://schemas.openxmlformats.org/officeDocument/2006/relationships/hyperlink" Target="https://sbrownlawyer.com/league-city-truck-accidents/" TargetMode="External"/><Relationship Id="rId257" Type="http://schemas.openxmlformats.org/officeDocument/2006/relationships/hyperlink" Target="https://sbrownlawyer.com/terms-of-service/" TargetMode="External"/><Relationship Id="rId499" Type="http://schemas.openxmlformats.org/officeDocument/2006/relationships/hyperlink" Target="https://sbrownlawyer.com/dwi/DWI-DUI-Drugs" TargetMode="External"/><Relationship Id="rId256" Type="http://schemas.openxmlformats.org/officeDocument/2006/relationships/hyperlink" Target="https://sbrownlawyer.com/areas-we-serve/harris-county/friendswood/" TargetMode="External"/><Relationship Id="rId498" Type="http://schemas.openxmlformats.org/officeDocument/2006/relationships/hyperlink" Target="https://sbrownlawyer.com/dwi/Field-Sobriety-Test" TargetMode="External"/><Relationship Id="rId255" Type="http://schemas.openxmlformats.org/officeDocument/2006/relationships/hyperlink" Target="https://sbrownlawyer.com/areas-we-serve/harris-county/baytown/" TargetMode="External"/><Relationship Id="rId497" Type="http://schemas.openxmlformats.org/officeDocument/2006/relationships/hyperlink" Target="https://sbrownlawyer.com/dwi/Do-Not-Blow" TargetMode="External"/><Relationship Id="rId254" Type="http://schemas.openxmlformats.org/officeDocument/2006/relationships/hyperlink" Target="https://sbrownlawyer.com/areas-we-serve/harris-county/pasadena/" TargetMode="External"/><Relationship Id="rId496" Type="http://schemas.openxmlformats.org/officeDocument/2006/relationships/hyperlink" Target="https://sbrownlawyer.com/2023/01/10/should-i-talk-to-the-other-drivers-insurance-company/" TargetMode="External"/><Relationship Id="rId293" Type="http://schemas.openxmlformats.org/officeDocument/2006/relationships/hyperlink" Target="https://sbrownlawyer.com/2013/09/03/texas-males-can-also-be-victims-of-domestic-violence/" TargetMode="External"/><Relationship Id="rId292" Type="http://schemas.openxmlformats.org/officeDocument/2006/relationships/hyperlink" Target="https://sbrownlawyer.com/2014/01/31/college-station-man-in-custody-after-domestic-violence-incident/" TargetMode="External"/><Relationship Id="rId291" Type="http://schemas.openxmlformats.org/officeDocument/2006/relationships/hyperlink" Target="https://sbrownlawyer.com/2014/01/27/study-counties-with-more-protestants-have-higher-divorce-rate/" TargetMode="External"/><Relationship Id="rId290" Type="http://schemas.openxmlformats.org/officeDocument/2006/relationships/hyperlink" Target="https://sbrownlawyer.com/2021/06/15/11-questions-to-ask-before-hiring-a-criminal-defense-attorney/" TargetMode="External"/><Relationship Id="rId286" Type="http://schemas.openxmlformats.org/officeDocument/2006/relationships/hyperlink" Target="https://sbrownlawyer.com/2024/04/26/beyond-divorce-guide-to-post-divorce-family-laws/" TargetMode="External"/><Relationship Id="rId285" Type="http://schemas.openxmlformats.org/officeDocument/2006/relationships/hyperlink" Target="https://sbrownlawyer.com/family-law/Child-Protective-Services-CPS" TargetMode="External"/><Relationship Id="rId284" Type="http://schemas.openxmlformats.org/officeDocument/2006/relationships/hyperlink" Target="https://sbrownlawyer.com/family-law/Contact" TargetMode="External"/><Relationship Id="rId283" Type="http://schemas.openxmlformats.org/officeDocument/2006/relationships/hyperlink" Target="https://sbrownlawyer.com/family-law/Modifications" TargetMode="External"/><Relationship Id="rId289" Type="http://schemas.openxmlformats.org/officeDocument/2006/relationships/hyperlink" Target="https://sbrownlawyer.com/Family-Law/Child-Custody" TargetMode="External"/><Relationship Id="rId288" Type="http://schemas.openxmlformats.org/officeDocument/2006/relationships/hyperlink" Target="https://sbrownlawyer.com/texas-family-law/" TargetMode="External"/><Relationship Id="rId287" Type="http://schemas.openxmlformats.org/officeDocument/2006/relationships/hyperlink" Target="https://sbrownlawyer.com/2021/07/05/what-to-expect-out-of-a-divorce-trial/" TargetMode="External"/><Relationship Id="rId282" Type="http://schemas.openxmlformats.org/officeDocument/2006/relationships/hyperlink" Target="https://sbrownlawyer.com/dr-divorce/" TargetMode="External"/><Relationship Id="rId281" Type="http://schemas.openxmlformats.org/officeDocument/2006/relationships/hyperlink" Target="https://sbrownlawyer.com/league-city-child-custody-attorneys/" TargetMode="External"/><Relationship Id="rId280" Type="http://schemas.openxmlformats.org/officeDocument/2006/relationships/hyperlink" Target="https://sbrownlawyer.com/Criminal-Law" TargetMode="External"/><Relationship Id="rId275" Type="http://schemas.openxmlformats.org/officeDocument/2006/relationships/hyperlink" Target="https://sbrownlawyer.com/league-city-family-law-attorney/" TargetMode="External"/><Relationship Id="rId274" Type="http://schemas.openxmlformats.org/officeDocument/2006/relationships/hyperlink" Target="https://sbrownlawyer.com/harris-county-family-law/" TargetMode="External"/><Relationship Id="rId273" Type="http://schemas.openxmlformats.org/officeDocument/2006/relationships/hyperlink" Target="https://sbrownlawyer.com/Physician-Practices/" TargetMode="External"/><Relationship Id="rId272" Type="http://schemas.openxmlformats.org/officeDocument/2006/relationships/hyperlink" Target="https://sbrownlawyer.com/2024/03/20/texas-child-support-2024/" TargetMode="External"/><Relationship Id="rId279" Type="http://schemas.openxmlformats.org/officeDocument/2006/relationships/hyperlink" Target="https://sbrownlawyer.com/galveston-child-custody-lawyer/" TargetMode="External"/><Relationship Id="rId278" Type="http://schemas.openxmlformats.org/officeDocument/2006/relationships/hyperlink" Target="https://sbrownlawyer.com/schedule-now/" TargetMode="External"/><Relationship Id="rId277" Type="http://schemas.openxmlformats.org/officeDocument/2006/relationships/hyperlink" Target="https://sbrownlawyer.com/Family-Law" TargetMode="External"/><Relationship Id="rId276" Type="http://schemas.openxmlformats.org/officeDocument/2006/relationships/hyperlink" Target="https://sbrownlawyer.com/Personal-Injury" TargetMode="External"/><Relationship Id="rId907" Type="http://schemas.openxmlformats.org/officeDocument/2006/relationships/hyperlink" Target="https://sbrownlawyer.com/how-to-hire-a-texas-criminal-defense-lawyer/" TargetMode="External"/><Relationship Id="rId906" Type="http://schemas.openxmlformats.org/officeDocument/2006/relationships/hyperlink" Target="https://sbrownlawyer.com/Domestic-Violence/Restraining-Orders" TargetMode="External"/><Relationship Id="rId905" Type="http://schemas.openxmlformats.org/officeDocument/2006/relationships/hyperlink" Target="https://sbrownlawyer.com/prescription-drug-charges/Alternative-Outcomes-In-Drug-Cases" TargetMode="External"/><Relationship Id="rId904" Type="http://schemas.openxmlformats.org/officeDocument/2006/relationships/hyperlink" Target="https://sbrownlawyer.com/Domestic-Violence/Protective-Services" TargetMode="External"/><Relationship Id="rId909" Type="http://schemas.openxmlformats.org/officeDocument/2006/relationships/hyperlink" Target="https://sbrownlawyer.com/2018/10/15/what-is-a-contested-divorce/" TargetMode="External"/><Relationship Id="rId908" Type="http://schemas.openxmlformats.org/officeDocument/2006/relationships/hyperlink" Target="https://sbrownlawyer.com/2017/01/16/how-a-divorce-attorney-can-help-with-your-divorce/" TargetMode="External"/><Relationship Id="rId903" Type="http://schemas.openxmlformats.org/officeDocument/2006/relationships/hyperlink" Target="https://sbrownlawyer.com/Domestic-Violence/Child-Abuse" TargetMode="External"/><Relationship Id="rId902" Type="http://schemas.openxmlformats.org/officeDocument/2006/relationships/hyperlink" Target="https://sbrownlawyer.com/pearland-marijuana-possession/" TargetMode="External"/><Relationship Id="rId901" Type="http://schemas.openxmlformats.org/officeDocument/2006/relationships/hyperlink" Target="https://sbrownlawyer.com/2013/07/16/should-spousal-support-be-gender-blind/" TargetMode="External"/><Relationship Id="rId900" Type="http://schemas.openxmlformats.org/officeDocument/2006/relationships/hyperlink" Target="https://sbrownlawyer.com/2013/10/10/october-is-domestic-violence-awareness-and-prevention-month/" TargetMode="External"/><Relationship Id="rId929" Type="http://schemas.openxmlformats.org/officeDocument/2006/relationships/hyperlink" Target="https://sbrownlawyer.com/2015/07/20/alimony-payments-arent-guaranteed-in-a-texas-divorce/" TargetMode="External"/><Relationship Id="rId928" Type="http://schemas.openxmlformats.org/officeDocument/2006/relationships/hyperlink" Target="https://sbrownlawyer.com/2018/06/12/what-kind-of-assets-can-a-spouse-hide-in-a-divorce/" TargetMode="External"/><Relationship Id="rId927" Type="http://schemas.openxmlformats.org/officeDocument/2006/relationships/hyperlink" Target="https://sbrownlawyer.com/2018/06/01/what-happens-when-child-support-isnt-paid/" TargetMode="External"/><Relationship Id="rId926" Type="http://schemas.openxmlformats.org/officeDocument/2006/relationships/hyperlink" Target="https://sbrownlawyer.com/2019/05/15/7-common-domestic-violence-defense-strategies/" TargetMode="External"/><Relationship Id="rId921" Type="http://schemas.openxmlformats.org/officeDocument/2006/relationships/hyperlink" Target="https://sbrownlawyer.com/2013/07/09/military-life-and-the-strains-of-divorce/" TargetMode="External"/><Relationship Id="rId920" Type="http://schemas.openxmlformats.org/officeDocument/2006/relationships/hyperlink" Target="https://sbrownlawyer.com/2014/03/14/texas-banker-to-get-over-50000-in-child-support-repayment/" TargetMode="External"/><Relationship Id="rId925" Type="http://schemas.openxmlformats.org/officeDocument/2006/relationships/hyperlink" Target="https://sbrownlawyer.com/2015/07/24/what-can-i-put-in-a-prenup/" TargetMode="External"/><Relationship Id="rId924" Type="http://schemas.openxmlformats.org/officeDocument/2006/relationships/hyperlink" Target="https://sbrownlawyer.com/distracted-driving/" TargetMode="External"/><Relationship Id="rId923" Type="http://schemas.openxmlformats.org/officeDocument/2006/relationships/hyperlink" Target="https://sbrownlawyer.com/2012/07/20/second-texas-divorce-can-hit-finances-harder-than-the-first/" TargetMode="External"/><Relationship Id="rId922" Type="http://schemas.openxmlformats.org/officeDocument/2006/relationships/hyperlink" Target="https://sbrownlawyer.com/2012/10/26/how-to-split-your-digital-assets-in-divorce/" TargetMode="External"/><Relationship Id="rId918" Type="http://schemas.openxmlformats.org/officeDocument/2006/relationships/hyperlink" Target="https://sbrownlawyer.com/page/8/" TargetMode="External"/><Relationship Id="rId917" Type="http://schemas.openxmlformats.org/officeDocument/2006/relationships/hyperlink" Target="https://sbrownlawyer.com/blog/page/9/?et_blog" TargetMode="External"/><Relationship Id="rId916" Type="http://schemas.openxmlformats.org/officeDocument/2006/relationships/hyperlink" Target="https://sbrownlawyer.com/2017/01/Contact" TargetMode="External"/><Relationship Id="rId915" Type="http://schemas.openxmlformats.org/officeDocument/2006/relationships/hyperlink" Target="https://sbrownlawyer.com/friendswood-tx-dwi/" TargetMode="External"/><Relationship Id="rId919" Type="http://schemas.openxmlformats.org/officeDocument/2006/relationships/hyperlink" Target="https://sbrownlawyer.com/2017/02/01/after-a-dwi-arrest-hire-a-lawyer-asap/" TargetMode="External"/><Relationship Id="rId910" Type="http://schemas.openxmlformats.org/officeDocument/2006/relationships/hyperlink" Target="https://sbrownlawyer.com/2018/10/01/common-issues-with-dividing-community-property-in-divorce/" TargetMode="External"/><Relationship Id="rId914" Type="http://schemas.openxmlformats.org/officeDocument/2006/relationships/hyperlink" Target="https://sbrownlawyer.com/page/7/" TargetMode="External"/><Relationship Id="rId913" Type="http://schemas.openxmlformats.org/officeDocument/2006/relationships/hyperlink" Target="https://sbrownlawyer.com/blog/page/8/?et_blog" TargetMode="External"/><Relationship Id="rId912" Type="http://schemas.openxmlformats.org/officeDocument/2006/relationships/hyperlink" Target="https://sbrownlawyer.com/faq/" TargetMode="External"/><Relationship Id="rId911" Type="http://schemas.openxmlformats.org/officeDocument/2006/relationships/hyperlink" Target="https://sbrownlawyer.com/2018/10/23/can-grandparents-get-visitation-rights-in-texas/" TargetMode="External"/><Relationship Id="rId629" Type="http://schemas.openxmlformats.org/officeDocument/2006/relationships/hyperlink" Target="https://sbrownlawyer.com/2015/06/16/improve-your-safety-when-you-flee-a-domestic-abuse-situation/" TargetMode="External"/><Relationship Id="rId624" Type="http://schemas.openxmlformats.org/officeDocument/2006/relationships/hyperlink" Target="https://sbrownlawyer.com/2013/12/12/dallas-high-school-athletes-pledge-to-help-end-domestic-violence/" TargetMode="External"/><Relationship Id="rId866" Type="http://schemas.openxmlformats.org/officeDocument/2006/relationships/hyperlink" Target="https://sbrownlawyer.com/wrongful-death/" TargetMode="External"/><Relationship Id="rId623" Type="http://schemas.openxmlformats.org/officeDocument/2006/relationships/hyperlink" Target="https://sbrownlawyer.com/2015/02/20/child-support-rights-of-grandparents-with-custody-of-a-grandchild/" TargetMode="External"/><Relationship Id="rId865" Type="http://schemas.openxmlformats.org/officeDocument/2006/relationships/hyperlink" Target="https://sbrownlawyer.com/2017/11/21/new-texas-law-bans-texting-while-driving/" TargetMode="External"/><Relationship Id="rId622" Type="http://schemas.openxmlformats.org/officeDocument/2006/relationships/hyperlink" Target="https://sbrownlawyer.com/2016/Family-Law/Spousal-Support" TargetMode="External"/><Relationship Id="rId864" Type="http://schemas.openxmlformats.org/officeDocument/2006/relationships/hyperlink" Target="https://sbrownlawyer.com/2018/01/15/grandparent-rights-in-texas-custody-cases/" TargetMode="External"/><Relationship Id="rId621" Type="http://schemas.openxmlformats.org/officeDocument/2006/relationships/hyperlink" Target="https://sbrownlawyer.com/2013/02/15/privacy-could-be-a-myth-during-a-texas-divorce/" TargetMode="External"/><Relationship Id="rId863" Type="http://schemas.openxmlformats.org/officeDocument/2006/relationships/hyperlink" Target="https://sbrownlawyer.com/pearland-cocaine-possession/" TargetMode="External"/><Relationship Id="rId628" Type="http://schemas.openxmlformats.org/officeDocument/2006/relationships/hyperlink" Target="https://sbrownlawyer.com/2015/05/08/what-if-im-accused-of-child-abuse/" TargetMode="External"/><Relationship Id="rId627" Type="http://schemas.openxmlformats.org/officeDocument/2006/relationships/hyperlink" Target="https://sbrownlawyer.com/2016/02/18/how-does-bankruptcy-affect-child-support/" TargetMode="External"/><Relationship Id="rId869" Type="http://schemas.openxmlformats.org/officeDocument/2006/relationships/hyperlink" Target="https://sbrownlawyer.com/what-to-do-after-a-serious-car-accident/" TargetMode="External"/><Relationship Id="rId626" Type="http://schemas.openxmlformats.org/officeDocument/2006/relationships/hyperlink" Target="https://sbrownlawyer.com/2016/Criminal-Law/Domestic-Violence/Protective-Orders-Divorce" TargetMode="External"/><Relationship Id="rId868" Type="http://schemas.openxmlformats.org/officeDocument/2006/relationships/hyperlink" Target="https://sbrownlawyer.com/2018/07/17/what-happens-to-you-money-from-a-personal-injury-settlement-if-you-get-divorced/" TargetMode="External"/><Relationship Id="rId625" Type="http://schemas.openxmlformats.org/officeDocument/2006/relationships/hyperlink" Target="https://sbrownlawyer.com/2016/04/01/do-i-need-an-attorney-even-if-we-dont-have-children/" TargetMode="External"/><Relationship Id="rId867" Type="http://schemas.openxmlformats.org/officeDocument/2006/relationships/hyperlink" Target="https://sbrownlawyer.com/2018/09/26/attorney-scott-m-brown-board-certified-in-family-law/" TargetMode="External"/><Relationship Id="rId620" Type="http://schemas.openxmlformats.org/officeDocument/2006/relationships/hyperlink" Target="https://sbrownlawyer.com/2013/Family-Law/Spousal-Support" TargetMode="External"/><Relationship Id="rId862" Type="http://schemas.openxmlformats.org/officeDocument/2006/relationships/hyperlink" Target="https://sbrownlawyer.com/2013/01/28/texas-divorce-facebook-couple-calls-it-quits/" TargetMode="External"/><Relationship Id="rId861" Type="http://schemas.openxmlformats.org/officeDocument/2006/relationships/hyperlink" Target="https://sbrownlawyer.com/2017/11/14/texas-among-states-with-highest-numbers-of-people-in-prison/" TargetMode="External"/><Relationship Id="rId860" Type="http://schemas.openxmlformats.org/officeDocument/2006/relationships/hyperlink" Target="https://sbrownlawyer.com/2017/05/18/what-is-a-reasonable-suspicion-to-stop-in-a-texas-duidwi-case/" TargetMode="External"/><Relationship Id="rId619" Type="http://schemas.openxmlformats.org/officeDocument/2006/relationships/hyperlink" Target="https://sbrownlawyer.com/2017/12/22/tickets-for-driving-without-car-insurnace-now-in-effect/" TargetMode="External"/><Relationship Id="rId618" Type="http://schemas.openxmlformats.org/officeDocument/2006/relationships/hyperlink" Target="https://sbrownlawyer.com/Fathers-Rights/" TargetMode="External"/><Relationship Id="rId613" Type="http://schemas.openxmlformats.org/officeDocument/2006/relationships/hyperlink" Target="https://sbrownlawyer.com/league-city-tx-family-law-attorneys/" TargetMode="External"/><Relationship Id="rId855" Type="http://schemas.openxmlformats.org/officeDocument/2006/relationships/hyperlink" Target="https://sbrownlawyer.com/blog/personal-injury/" TargetMode="External"/><Relationship Id="rId612" Type="http://schemas.openxmlformats.org/officeDocument/2006/relationships/hyperlink" Target="https://sbrownlawyer.com/galveston-spousal-support/" TargetMode="External"/><Relationship Id="rId854" Type="http://schemas.openxmlformats.org/officeDocument/2006/relationships/hyperlink" Target="https://sbrownlawyer.com/breath-blood-test-issues/Field-Sobriety-Test" TargetMode="External"/><Relationship Id="rId611" Type="http://schemas.openxmlformats.org/officeDocument/2006/relationships/hyperlink" Target="https://sbrownlawyer.com/child-support-lawyer-in-galveston/" TargetMode="External"/><Relationship Id="rId853" Type="http://schemas.openxmlformats.org/officeDocument/2006/relationships/hyperlink" Target="https://sbrownlawyer.com/2019/04/15/avoid-a-messy-divorce-how-to-choose-the-right-divorce-lawyer/" TargetMode="External"/><Relationship Id="rId610" Type="http://schemas.openxmlformats.org/officeDocument/2006/relationships/hyperlink" Target="https://sbrownlawyer.com/2018/09/15/how-does-domestic-violence-factor-into-your-family-law-case/" TargetMode="External"/><Relationship Id="rId852" Type="http://schemas.openxmlformats.org/officeDocument/2006/relationships/hyperlink" Target="https://sbrownlawyer.com/2018/11/06/benefits-to-filing-for-divorce-first-in-texas/" TargetMode="External"/><Relationship Id="rId617" Type="http://schemas.openxmlformats.org/officeDocument/2006/relationships/hyperlink" Target="https://sbrownlawyer.com/2017/04/21/the-role-of-the-life-care-planner-in-a-serious-injury-case/" TargetMode="External"/><Relationship Id="rId859" Type="http://schemas.openxmlformats.org/officeDocument/2006/relationships/hyperlink" Target="https://sbrownlawyer.com/2017/03/11/what-is-the-parental-presumption/" TargetMode="External"/><Relationship Id="rId616" Type="http://schemas.openxmlformats.org/officeDocument/2006/relationships/hyperlink" Target="https://sbrownlawyer.com/2017/12/07/new-texas-law-aims-at-children-left-in-hot-cars/" TargetMode="External"/><Relationship Id="rId858" Type="http://schemas.openxmlformats.org/officeDocument/2006/relationships/hyperlink" Target="https://sbrownlawyer.com/2016/01/29/completing-a-financial-disclosure/" TargetMode="External"/><Relationship Id="rId615" Type="http://schemas.openxmlformats.org/officeDocument/2006/relationships/hyperlink" Target="https://sbrownlawyer.com/2017/04/08/what-happens-if-i-refuse-to-take-a-test-when-arrested-for-a-dwi/" TargetMode="External"/><Relationship Id="rId857" Type="http://schemas.openxmlformats.org/officeDocument/2006/relationships/hyperlink" Target="https://sbrownlawyer.com/2015/04/17/is-your-ex-spouse-skipping-child-support-with-contract-work/" TargetMode="External"/><Relationship Id="rId614" Type="http://schemas.openxmlformats.org/officeDocument/2006/relationships/hyperlink" Target="https://sbrownlawyer.com/2013/10/31/infidelity-lies-and-breakup-not-just-in-lambert-shelton-songs/" TargetMode="External"/><Relationship Id="rId856" Type="http://schemas.openxmlformats.org/officeDocument/2006/relationships/hyperlink" Target="https://sbrownlawyer.com/2016/01/14/what-is-the-difference-between-fixed-and-reasonable-visitation/" TargetMode="External"/><Relationship Id="rId851" Type="http://schemas.openxmlformats.org/officeDocument/2006/relationships/hyperlink" Target="https://sbrownlawyer.com/2018/11/15/how-will-texas-divorces-be-different-in-2019/" TargetMode="External"/><Relationship Id="rId850" Type="http://schemas.openxmlformats.org/officeDocument/2006/relationships/hyperlink" Target="https://sbrownlawyer.com/2018/12/17/is-it-legal-for-police-to-search-your-car-during-a-traffic-stop/" TargetMode="External"/><Relationship Id="rId409" Type="http://schemas.openxmlformats.org/officeDocument/2006/relationships/hyperlink" Target="https://sbrownlawyer.com/Division-Of-Property/Oil-And-Mineral-Rights" TargetMode="External"/><Relationship Id="rId404" Type="http://schemas.openxmlformats.org/officeDocument/2006/relationships/hyperlink" Target="https://sbrownlawyer.com/complex-and-contested-divorce-attorneys/High-Net-Worth-Divorce" TargetMode="External"/><Relationship Id="rId646" Type="http://schemas.openxmlformats.org/officeDocument/2006/relationships/hyperlink" Target="https://sbrownlawyer.com/Planning-For-Divorce/" TargetMode="External"/><Relationship Id="rId888" Type="http://schemas.openxmlformats.org/officeDocument/2006/relationships/hyperlink" Target="https://sbrownlawyer.com/league-city-dwi-lawyer/" TargetMode="External"/><Relationship Id="rId403" Type="http://schemas.openxmlformats.org/officeDocument/2006/relationships/hyperlink" Target="https://sbrownlawyer.com/Division-Of-Property/Business-And-Professional-Practices-In-Divorce" TargetMode="External"/><Relationship Id="rId645" Type="http://schemas.openxmlformats.org/officeDocument/2006/relationships/hyperlink" Target="https://sbrownlawyer.com/2015/12/11/get-a-protective-order-to-handle-domestic-violence/" TargetMode="External"/><Relationship Id="rId887" Type="http://schemas.openxmlformats.org/officeDocument/2006/relationships/hyperlink" Target="https://sbrownlawyer.com/2015/07/13/same-sex-divorces-in-texas-likely-to-have-problems-for-now/" TargetMode="External"/><Relationship Id="rId402" Type="http://schemas.openxmlformats.org/officeDocument/2006/relationships/hyperlink" Target="https://sbrownlawyer.com/division-of-property" TargetMode="External"/><Relationship Id="rId644" Type="http://schemas.openxmlformats.org/officeDocument/2006/relationships/hyperlink" Target="https://sbrownlawyer.com/Business-Owner-Divorce/" TargetMode="External"/><Relationship Id="rId886" Type="http://schemas.openxmlformats.org/officeDocument/2006/relationships/hyperlink" Target="https://sbrownlawyer.com/2012/04/05/untangling-child-related-tax-exemption-questions-after-divorce/" TargetMode="External"/><Relationship Id="rId401" Type="http://schemas.openxmlformats.org/officeDocument/2006/relationships/hyperlink" Target="https://sbrownlawyer.com/obtaining-a-protective-order-is-one-step-in-leaving-domestic-violence/" TargetMode="External"/><Relationship Id="rId643" Type="http://schemas.openxmlformats.org/officeDocument/2006/relationships/hyperlink" Target="https://sbrownlawyer.com/league-city-drug-distribution-charges/" TargetMode="External"/><Relationship Id="rId885" Type="http://schemas.openxmlformats.org/officeDocument/2006/relationships/hyperlink" Target="https://sbrownlawyer.com/2019/08/10/legal-immunity-for-reporting-alcohol-poisoning/" TargetMode="External"/><Relationship Id="rId408" Type="http://schemas.openxmlformats.org/officeDocument/2006/relationships/hyperlink" Target="https://sbrownlawyer.com/Division-Of-Property/Inheritances" TargetMode="External"/><Relationship Id="rId407" Type="http://schemas.openxmlformats.org/officeDocument/2006/relationships/hyperlink" Target="https://sbrownlawyer.com/Division-Of-Property/Business-Owner-Divorce" TargetMode="External"/><Relationship Id="rId649" Type="http://schemas.openxmlformats.org/officeDocument/2006/relationships/hyperlink" Target="https://sbrownlawyer.com/Guiding-Your-Children-Through-Divorce/" TargetMode="External"/><Relationship Id="rId406" Type="http://schemas.openxmlformats.org/officeDocument/2006/relationships/hyperlink" Target="https://sbrownlawyer.com/Spousal-Support" TargetMode="External"/><Relationship Id="rId648" Type="http://schemas.openxmlformats.org/officeDocument/2006/relationships/hyperlink" Target="https://sbrownlawyer.com/Protecting-Your-Assets/" TargetMode="External"/><Relationship Id="rId405" Type="http://schemas.openxmlformats.org/officeDocument/2006/relationships/hyperlink" Target="https://sbrownlawyer.com/Child-Support" TargetMode="External"/><Relationship Id="rId647" Type="http://schemas.openxmlformats.org/officeDocument/2006/relationships/hyperlink" Target="https://sbrownlawyer.com/2015/12/23/alimony-is-a-hot-button-issue-in-divorce/" TargetMode="External"/><Relationship Id="rId889" Type="http://schemas.openxmlformats.org/officeDocument/2006/relationships/hyperlink" Target="https://sbrownlawyer.com/2019/08/30/what-to-do-in-a-hit-and-run/" TargetMode="External"/><Relationship Id="rId880" Type="http://schemas.openxmlformats.org/officeDocument/2006/relationships/hyperlink" Target="https://sbrownlawyer.com/Adoption" TargetMode="External"/><Relationship Id="rId400" Type="http://schemas.openxmlformats.org/officeDocument/2006/relationships/hyperlink" Target="https://sbrownlawyer.com/When-parents-divorce-New-study-analyzes-impact-of-divorce-on-kids/" TargetMode="External"/><Relationship Id="rId642" Type="http://schemas.openxmlformats.org/officeDocument/2006/relationships/hyperlink" Target="https://sbrownlawyer.com/League%20City-tx-drug-possession-defense/" TargetMode="External"/><Relationship Id="rId884" Type="http://schemas.openxmlformats.org/officeDocument/2006/relationships/hyperlink" Target="https://sbrownlawyer.com/Adoption/" TargetMode="External"/><Relationship Id="rId641" Type="http://schemas.openxmlformats.org/officeDocument/2006/relationships/hyperlink" Target="https://sbrownlawyer.com/do-not-blow/" TargetMode="External"/><Relationship Id="rId883" Type="http://schemas.openxmlformats.org/officeDocument/2006/relationships/hyperlink" Target="https://sbrownlawyer.com/2018/04/12/do-you-need-uninsured-motorist-auto-insurance-coverage-in-texas/" TargetMode="External"/><Relationship Id="rId640" Type="http://schemas.openxmlformats.org/officeDocument/2006/relationships/hyperlink" Target="https://sbrownlawyer.com/field-sobriety-test/" TargetMode="External"/><Relationship Id="rId882" Type="http://schemas.openxmlformats.org/officeDocument/2006/relationships/hyperlink" Target="https://sbrownlawyer.com/2018/03/23/parental-alienation-a-criminal-offense-in-texas/" TargetMode="External"/><Relationship Id="rId881" Type="http://schemas.openxmlformats.org/officeDocument/2006/relationships/hyperlink" Target="https://sbrownlawyer.com/2012/02/21/halle-berry-files-request-to-move-with-her-daughter/" TargetMode="External"/><Relationship Id="rId635" Type="http://schemas.openxmlformats.org/officeDocument/2006/relationships/hyperlink" Target="https://sbrownlawyer.com/multiple-dwi-loss-of-license/" TargetMode="External"/><Relationship Id="rId877" Type="http://schemas.openxmlformats.org/officeDocument/2006/relationships/hyperlink" Target="https://sbrownlawyer.com/2012/06/08/dealing-with-divorce-both-practically-and-emotionally/" TargetMode="External"/><Relationship Id="rId634" Type="http://schemas.openxmlformats.org/officeDocument/2006/relationships/hyperlink" Target="https://sbrownlawyer.com/2015/02/10/domestic-abuse-can-profoundly-impact-immigrants/" TargetMode="External"/><Relationship Id="rId876" Type="http://schemas.openxmlformats.org/officeDocument/2006/relationships/hyperlink" Target="https://sbrownlawyer.com/2014/Family-Law/Spousal-Support" TargetMode="External"/><Relationship Id="rId633" Type="http://schemas.openxmlformats.org/officeDocument/2006/relationships/hyperlink" Target="https://sbrownlawyer.com/visitation" TargetMode="External"/><Relationship Id="rId875" Type="http://schemas.openxmlformats.org/officeDocument/2006/relationships/hyperlink" Target="https://sbrownlawyer.com/2014/11/14/tips-for-dealing-with-child-custody-issues-in-texas/" TargetMode="External"/><Relationship Id="rId632" Type="http://schemas.openxmlformats.org/officeDocument/2006/relationships/hyperlink" Target="https://sbrownlawyer.com/Enforcement/Modifications" TargetMode="External"/><Relationship Id="rId874" Type="http://schemas.openxmlformats.org/officeDocument/2006/relationships/hyperlink" Target="https://sbrownlawyer.com/2013/04/04/more-senior-citizens-seeking-divorce-studies-say/" TargetMode="External"/><Relationship Id="rId639" Type="http://schemas.openxmlformats.org/officeDocument/2006/relationships/hyperlink" Target="https://sbrownlawyer.com/dwi-dui-drugs/" TargetMode="External"/><Relationship Id="rId638" Type="http://schemas.openxmlformats.org/officeDocument/2006/relationships/hyperlink" Target="https://sbrownlawyer.com/dwi-dui-accident/" TargetMode="External"/><Relationship Id="rId637" Type="http://schemas.openxmlformats.org/officeDocument/2006/relationships/hyperlink" Target="https://sbrownlawyer.com/2017/07/17/driving-under-the-influence-of-drugs-in-texas/" TargetMode="External"/><Relationship Id="rId879" Type="http://schemas.openxmlformats.org/officeDocument/2006/relationships/hyperlink" Target="https://sbrownlawyer.com/2014/06/20/lopez-anthony-divorce-has-interesting-child-custody-agreement/" TargetMode="External"/><Relationship Id="rId636" Type="http://schemas.openxmlformats.org/officeDocument/2006/relationships/hyperlink" Target="https://sbrownlawyer.com/2017/10/01/5-things-to-know-if-a-teenager-is-arrested-for-a-dui/" TargetMode="External"/><Relationship Id="rId878" Type="http://schemas.openxmlformats.org/officeDocument/2006/relationships/hyperlink" Target="https://sbrownlawyer.com/2014/08/15/child-support-in-texas-better-than-anywhere-in-united-states/" TargetMode="External"/><Relationship Id="rId631" Type="http://schemas.openxmlformats.org/officeDocument/2006/relationships/hyperlink" Target="https://sbrownlawyer.com/Family-Law/Visitation/" TargetMode="External"/><Relationship Id="rId873" Type="http://schemas.openxmlformats.org/officeDocument/2006/relationships/hyperlink" Target="https://sbrownlawyer.com/2018/08/18/what-should-you-look-for-when-driving-next-to-big-trucks/" TargetMode="External"/><Relationship Id="rId630" Type="http://schemas.openxmlformats.org/officeDocument/2006/relationships/hyperlink" Target="https://sbrownlawyer.com/Parental-Relocation/International-Custody" TargetMode="External"/><Relationship Id="rId872" Type="http://schemas.openxmlformats.org/officeDocument/2006/relationships/hyperlink" Target="https://sbrownlawyer.com/2013/06/24/child-support-owed-by-nfl-quarterback/" TargetMode="External"/><Relationship Id="rId871" Type="http://schemas.openxmlformats.org/officeDocument/2006/relationships/hyperlink" Target="https://sbrownlawyer.com/2012/04/13/bob-weinsteins-wife-files-for-divorce-claims-fear-of-bodily-harm/" TargetMode="External"/><Relationship Id="rId870" Type="http://schemas.openxmlformats.org/officeDocument/2006/relationships/hyperlink" Target="https://sbrownlawyer.com/2018/08/05/are-parents-personally-liable-if-their-teenager-gets-in-an-accident/" TargetMode="External"/><Relationship Id="rId829" Type="http://schemas.openxmlformats.org/officeDocument/2006/relationships/hyperlink" Target="https://sbrownlawyer.com/2018/09/24/what-rights-do-fathers-have-in-texas/" TargetMode="External"/><Relationship Id="rId828" Type="http://schemas.openxmlformats.org/officeDocument/2006/relationships/hyperlink" Target="https://sbrownlawyer.com/2013/10/21/who-gets-the-wedding-ring-in-the-event-of-a-breakup/" TargetMode="External"/><Relationship Id="rId827" Type="http://schemas.openxmlformats.org/officeDocument/2006/relationships/hyperlink" Target="https://sbrownlawyer.com/2018/07/22/take-as-many-pictures-as-you-can-after-a-car-crash/" TargetMode="External"/><Relationship Id="rId822" Type="http://schemas.openxmlformats.org/officeDocument/2006/relationships/hyperlink" Target="https://sbrownlawyer.com/2013/04/11/texas-child-support-powerball-winner-pays-past-due-30000/" TargetMode="External"/><Relationship Id="rId821" Type="http://schemas.openxmlformats.org/officeDocument/2006/relationships/hyperlink" Target="https://sbrownlawyer.com/2012/04/19/texas-sperm-donor-off-the-hook-for-child-support/" TargetMode="External"/><Relationship Id="rId820" Type="http://schemas.openxmlformats.org/officeDocument/2006/relationships/hyperlink" Target="https://sbrownlawyer.com/2014/11/20/baptist-pastor-suggests-texas-residents-bypass-formal-marriage/" TargetMode="External"/><Relationship Id="rId826" Type="http://schemas.openxmlformats.org/officeDocument/2006/relationships/hyperlink" Target="https://sbrownlawyer.com/2018/08/01/can-a-non-parent-pursue-custody/" TargetMode="External"/><Relationship Id="rId825" Type="http://schemas.openxmlformats.org/officeDocument/2006/relationships/hyperlink" Target="https://sbrownlawyer.com/2019/01/15/are-divorce-rates-decreasing/" TargetMode="External"/><Relationship Id="rId824" Type="http://schemas.openxmlformats.org/officeDocument/2006/relationships/hyperlink" Target="https://sbrownlawyer.com/2013/06/20/divorce-of-texas-man-that-was-wrongfully-incarcerated/" TargetMode="External"/><Relationship Id="rId823" Type="http://schemas.openxmlformats.org/officeDocument/2006/relationships/hyperlink" Target="https://sbrownlawyer.com/2018/08/21/do-grandparents-have-visitation-rights-in-a-divorce/" TargetMode="External"/><Relationship Id="rId819" Type="http://schemas.openxmlformats.org/officeDocument/2006/relationships/hyperlink" Target="https://sbrownlawyer.com/2012/05/30/military-divorce-rate-at-an-all-time-high/" TargetMode="External"/><Relationship Id="rId818" Type="http://schemas.openxmlformats.org/officeDocument/2006/relationships/hyperlink" Target="https://sbrownlawyer.com/2014/08/08/myths-about-texas-alimony-along-with-new-changes/" TargetMode="External"/><Relationship Id="rId817" Type="http://schemas.openxmlformats.org/officeDocument/2006/relationships/hyperlink" Target="https://sbrownlawyer.com/2014/06/27/alimony-property-division-and-other-prenuptial-agreement-issues/" TargetMode="External"/><Relationship Id="rId816" Type="http://schemas.openxmlformats.org/officeDocument/2006/relationships/hyperlink" Target="https://sbrownlawyer.com/2012/02/27/in-divorce-cases-technology-can-be-used-against-you/" TargetMode="External"/><Relationship Id="rId811" Type="http://schemas.openxmlformats.org/officeDocument/2006/relationships/hyperlink" Target="https://sbrownlawyer.com/2015/07/06/will-permanent-alimony-become-a-thing-of-the-past/" TargetMode="External"/><Relationship Id="rId810" Type="http://schemas.openxmlformats.org/officeDocument/2006/relationships/hyperlink" Target="https://sbrownlawyer.com/2019/08/15/dont-go-solo-top-3-reasons-to-hire-a-dwi-lawyer/" TargetMode="External"/><Relationship Id="rId815" Type="http://schemas.openxmlformats.org/officeDocument/2006/relationships/hyperlink" Target="https://sbrownlawyer.com/2018/03/26/can-teenagers-get-arrested-for-texting-nude-photos-in-texas/" TargetMode="External"/><Relationship Id="rId814" Type="http://schemas.openxmlformats.org/officeDocument/2006/relationships/hyperlink" Target="https://sbrownlawyer.com/2018/04/06/can-you-adopt-a-child-in-texas-without-the-biological-fathers-consent/" TargetMode="External"/><Relationship Id="rId813" Type="http://schemas.openxmlformats.org/officeDocument/2006/relationships/hyperlink" Target="https://sbrownlawyer.com/2012/03/28/new-bill-may-help-military-members-with-child-custody/" TargetMode="External"/><Relationship Id="rId812" Type="http://schemas.openxmlformats.org/officeDocument/2006/relationships/hyperlink" Target="https://sbrownlawyer.com/2016/05/06/how-can-i-protect-my-assets-and-property/" TargetMode="External"/><Relationship Id="rId609" Type="http://schemas.openxmlformats.org/officeDocument/2006/relationships/hyperlink" Target="https://sbrownlawyer.com/2013/06/03/new-domestic-violence-legislation-passed-in-texas/" TargetMode="External"/><Relationship Id="rId608" Type="http://schemas.openxmlformats.org/officeDocument/2006/relationships/hyperlink" Target="https://sbrownlawyer.com/2018/09/04/is-it-legal-for-police-to-search-your-car-in-texas/" TargetMode="External"/><Relationship Id="rId607" Type="http://schemas.openxmlformats.org/officeDocument/2006/relationships/hyperlink" Target="https://sbrownlawyer.com/2013/04/24/thirty-four-parents-arrested-in-texas-on-child-support-warrants/" TargetMode="External"/><Relationship Id="rId849" Type="http://schemas.openxmlformats.org/officeDocument/2006/relationships/hyperlink" Target="https://sbrownlawyer.com/2018/12/15/what-to-do-when-a-child-does-not-want-to-visit-the-other-parent/" TargetMode="External"/><Relationship Id="rId602" Type="http://schemas.openxmlformats.org/officeDocument/2006/relationships/hyperlink" Target="https://sbrownlawyer.com/2014/07/25/men-are-victims-of-domestic-violence-too/" TargetMode="External"/><Relationship Id="rId844" Type="http://schemas.openxmlformats.org/officeDocument/2006/relationships/hyperlink" Target="https://sbrownlawyer.com/2016/01/08/being-current-on-child-support-required-under-new-open-carry-law/" TargetMode="External"/><Relationship Id="rId601" Type="http://schemas.openxmlformats.org/officeDocument/2006/relationships/hyperlink" Target="https://sbrownlawyer.com/2014/07/16/paul-george-in-child-custody-and-paternity-case/" TargetMode="External"/><Relationship Id="rId843" Type="http://schemas.openxmlformats.org/officeDocument/2006/relationships/hyperlink" Target="https://sbrownlawyer.com/breath-blood-test-issues/" TargetMode="External"/><Relationship Id="rId600" Type="http://schemas.openxmlformats.org/officeDocument/2006/relationships/hyperlink" Target="https://sbrownlawyer.com/2021/11/05/5-things-you-need-to-know-about-child-custody-in-texas/" TargetMode="External"/><Relationship Id="rId842" Type="http://schemas.openxmlformats.org/officeDocument/2006/relationships/hyperlink" Target="https://sbrownlawyer.com/2017/05/23/what-types-of-compensation-can-i-get-after-an-accident/" TargetMode="External"/><Relationship Id="rId841" Type="http://schemas.openxmlformats.org/officeDocument/2006/relationships/hyperlink" Target="https://sbrownlawyer.com/2015/04/24/what-should-i-know-about-child-support-modification/" TargetMode="External"/><Relationship Id="rId606" Type="http://schemas.openxmlformats.org/officeDocument/2006/relationships/hyperlink" Target="https://sbrownlawyer.com/2012/05/04/couple-considers-divorce-because-of-dire-financial-situation/" TargetMode="External"/><Relationship Id="rId848" Type="http://schemas.openxmlformats.org/officeDocument/2006/relationships/hyperlink" Target="https://sbrownlawyer.com/2019/04/15/can-bad-behavior-toward-an-ex-affect-your-custody-arrangement/" TargetMode="External"/><Relationship Id="rId605" Type="http://schemas.openxmlformats.org/officeDocument/2006/relationships/hyperlink" Target="https://sbrownlawyer.com/2012/05/18/family-law-matters-land-evangelista-in-court-for-child-support/" TargetMode="External"/><Relationship Id="rId847" Type="http://schemas.openxmlformats.org/officeDocument/2006/relationships/hyperlink" Target="https://sbrownlawyer.com/2018/12/01/6-tips-for-co-parenting-effectively/" TargetMode="External"/><Relationship Id="rId604" Type="http://schemas.openxmlformats.org/officeDocument/2006/relationships/hyperlink" Target="https://sbrownlawyer.com/2014/12/04/how-can-i-make-holiday-visitation-easier-on-my-child/" TargetMode="External"/><Relationship Id="rId846" Type="http://schemas.openxmlformats.org/officeDocument/2006/relationships/hyperlink" Target="https://sbrownlawyer.com/2019/11/15/divorce-difference-for-military-personnel/" TargetMode="External"/><Relationship Id="rId603" Type="http://schemas.openxmlformats.org/officeDocument/2006/relationships/hyperlink" Target="https://sbrownlawyer.com/2015/10/23/reasons-that-alimony-may-be-cancelled/" TargetMode="External"/><Relationship Id="rId845" Type="http://schemas.openxmlformats.org/officeDocument/2006/relationships/hyperlink" Target="https://sbrownlawyer.com/2019/03/24/why-do-i-need-a-divorce-lawyer/" TargetMode="External"/><Relationship Id="rId840" Type="http://schemas.openxmlformats.org/officeDocument/2006/relationships/hyperlink" Target="https://sbrownlawyer.com/2016/02/03/effects-of-divorce-on-daughters/" TargetMode="External"/><Relationship Id="rId839" Type="http://schemas.openxmlformats.org/officeDocument/2006/relationships/hyperlink" Target="https://sbrownlawyer.com/2017/11/01/the-ins-and-outs-of-5050-custody-or-possession/" TargetMode="External"/><Relationship Id="rId838" Type="http://schemas.openxmlformats.org/officeDocument/2006/relationships/hyperlink" Target="https://sbrownlawyer.com/2013/02/08/texas-divorce-military-shows-lower-overall-divorce-rates/" TargetMode="External"/><Relationship Id="rId833" Type="http://schemas.openxmlformats.org/officeDocument/2006/relationships/hyperlink" Target="https://sbrownlawyer.com/2017/05/02/how-can-a-spouse-keep-the-house-after-a-texas-divorce/" TargetMode="External"/><Relationship Id="rId832" Type="http://schemas.openxmlformats.org/officeDocument/2006/relationships/hyperlink" Target="https://sbrownlawyer.com/2017/12/01/modifying-custody-in-the-state-of-texas/" TargetMode="External"/><Relationship Id="rId831" Type="http://schemas.openxmlformats.org/officeDocument/2006/relationships/hyperlink" Target="https://sbrownlawyer.com/league-city-spousal-support-lawyer/" TargetMode="External"/><Relationship Id="rId830" Type="http://schemas.openxmlformats.org/officeDocument/2006/relationships/hyperlink" Target="https://sbrownlawyer.com/2017/Personal-Injury/Wrongful-Death" TargetMode="External"/><Relationship Id="rId837" Type="http://schemas.openxmlformats.org/officeDocument/2006/relationships/hyperlink" Target="https://sbrownlawyer.com/2018/01/05/why-equal-parenting-bill-has-died-in-texas/" TargetMode="External"/><Relationship Id="rId836" Type="http://schemas.openxmlformats.org/officeDocument/2006/relationships/hyperlink" Target="https://sbrownlawyer.com/2016/Family-Law/Domestic-Abuse-And-Protective-Orders" TargetMode="External"/><Relationship Id="rId835" Type="http://schemas.openxmlformats.org/officeDocument/2006/relationships/hyperlink" Target="https://sbrownlawyer.com/2017/03/17/how-to-defend-against-breath-and-blood-tests-in-a-dwi-arrest/" TargetMode="External"/><Relationship Id="rId834" Type="http://schemas.openxmlformats.org/officeDocument/2006/relationships/hyperlink" Target="https://sbrownlawyer.com/league-city-tx-child-custody-visitation-lawyer/" TargetMode="External"/><Relationship Id="rId1059" Type="http://schemas.openxmlformats.org/officeDocument/2006/relationships/hyperlink" Target="https://sbrownlawyer.com/Drug-Charges/Alternative-Outcomes-In-Drug-Cases" TargetMode="External"/><Relationship Id="rId228" Type="http://schemas.openxmlformats.org/officeDocument/2006/relationships/hyperlink" Target="https://sbrownlawyer.com/creative-custody-agreements/" TargetMode="External"/><Relationship Id="rId227" Type="http://schemas.openxmlformats.org/officeDocument/2006/relationships/hyperlink" Target="https://sbrownlawyer.com/2015/01/16/guidelines-for-texas-child-support-modifications/" TargetMode="External"/><Relationship Id="rId469" Type="http://schemas.openxmlformats.org/officeDocument/2006/relationships/hyperlink" Target="https://sbrownlawyer.com/how-divorce-can-actually-benefit-children/" TargetMode="External"/><Relationship Id="rId226" Type="http://schemas.openxmlformats.org/officeDocument/2006/relationships/hyperlink" Target="https://sbrownlawyer.com/child-support-modifications/" TargetMode="External"/><Relationship Id="rId468" Type="http://schemas.openxmlformats.org/officeDocument/2006/relationships/hyperlink" Target="https://sbrownlawyer.com/Guiding-Your-Children-Through-Divorce" TargetMode="External"/><Relationship Id="rId225" Type="http://schemas.openxmlformats.org/officeDocument/2006/relationships/hyperlink" Target="https://sbrownlawyer.com/scott-m-brown/" TargetMode="External"/><Relationship Id="rId467" Type="http://schemas.openxmlformats.org/officeDocument/2006/relationships/hyperlink" Target="https://sbrownlawyer.com/league-city-marital-asset-division-lawyer/" TargetMode="External"/><Relationship Id="rId229" Type="http://schemas.openxmlformats.org/officeDocument/2006/relationships/hyperlink" Target="https://sbrownlawyer.com/league-city-2/" TargetMode="External"/><Relationship Id="rId1050" Type="http://schemas.openxmlformats.org/officeDocument/2006/relationships/hyperlink" Target="https://sbrownlawyer.com/2018/02/27/charges-for-possession-of-a-controlled-substance/" TargetMode="External"/><Relationship Id="rId220" Type="http://schemas.openxmlformats.org/officeDocument/2006/relationships/hyperlink" Target="https://sbrownlawyer.com/2015/03/13/tips-for-texas-child-custody-cases/" TargetMode="External"/><Relationship Id="rId462" Type="http://schemas.openxmlformats.org/officeDocument/2006/relationships/hyperlink" Target="https://sbrownlawyer.com/2022/08/17/how-adjusters-use-medical-records-to-reduce-your-settlement/" TargetMode="External"/><Relationship Id="rId1051" Type="http://schemas.openxmlformats.org/officeDocument/2006/relationships/hyperlink" Target="https://sbrownlawyer.com/2018/05/01/5-tips-to-prepare-for-your-divorce-consultation/" TargetMode="External"/><Relationship Id="rId461" Type="http://schemas.openxmlformats.org/officeDocument/2006/relationships/hyperlink" Target="https://sbrownlawyer.com/don-t-let-family-violence-allegations-affect-your-open-carry-rights/" TargetMode="External"/><Relationship Id="rId1052" Type="http://schemas.openxmlformats.org/officeDocument/2006/relationships/hyperlink" Target="https://sbrownlawyer.com/types-of-car-accidents/" TargetMode="External"/><Relationship Id="rId460" Type="http://schemas.openxmlformats.org/officeDocument/2006/relationships/hyperlink" Target="https://sbrownlawyer.com/2022/09/28/can-my-spouse-prevent-me-from-getting-a-divorce/" TargetMode="External"/><Relationship Id="rId1053" Type="http://schemas.openxmlformats.org/officeDocument/2006/relationships/hyperlink" Target="https://sbrownlawyer.com/2014/05/17/understanding-child-support-is-vital-for-any-non-custodial-parent/" TargetMode="External"/><Relationship Id="rId1054" Type="http://schemas.openxmlformats.org/officeDocument/2006/relationships/hyperlink" Target="https://sbrownlawyer.com/friendswood-car-accidents/" TargetMode="External"/><Relationship Id="rId224" Type="http://schemas.openxmlformats.org/officeDocument/2006/relationships/hyperlink" Target="https://sbrownlawyer.com/2015/05/29/how-can-i-handle-summer-child-custody-schedules/" TargetMode="External"/><Relationship Id="rId466" Type="http://schemas.openxmlformats.org/officeDocument/2006/relationships/hyperlink" Target="https://sbrownlawyer.com/when-alcohol-becomes-a-factor-in-divorce-proceedings/" TargetMode="External"/><Relationship Id="rId1055" Type="http://schemas.openxmlformats.org/officeDocument/2006/relationships/hyperlink" Target="https://sbrownlawyer.com/2014/09/18/domestic-violence-reported-at-university-of-texas/" TargetMode="External"/><Relationship Id="rId223" Type="http://schemas.openxmlformats.org/officeDocument/2006/relationships/hyperlink" Target="https://sbrownlawyer.com/when-parents-divorce-new-study-analyzes-impact-of-divorce-on-kids/" TargetMode="External"/><Relationship Id="rId465" Type="http://schemas.openxmlformats.org/officeDocument/2006/relationships/hyperlink" Target="https://sbrownlawyer.com/Planning-For-Divorce" TargetMode="External"/><Relationship Id="rId1056" Type="http://schemas.openxmlformats.org/officeDocument/2006/relationships/hyperlink" Target="https://sbrownlawyer.com/2014/10/09/property-division-in-texas-community-separate-and-quasi-groups/" TargetMode="External"/><Relationship Id="rId222" Type="http://schemas.openxmlformats.org/officeDocument/2006/relationships/hyperlink" Target="https://sbrownlawyer.com/detailing-some-of-texas-important-child-custody-laws/" TargetMode="External"/><Relationship Id="rId464" Type="http://schemas.openxmlformats.org/officeDocument/2006/relationships/hyperlink" Target="https://sbrownlawyer.com/Divorce/" TargetMode="External"/><Relationship Id="rId1057" Type="http://schemas.openxmlformats.org/officeDocument/2006/relationships/hyperlink" Target="https://sbrownlawyer.com/Drug-Charges/Drug-Possession" TargetMode="External"/><Relationship Id="rId221" Type="http://schemas.openxmlformats.org/officeDocument/2006/relationships/hyperlink" Target="https://sbrownlawyer.com/2016/03/11/taking-care-of-your-childs-needs-is-a-priority/" TargetMode="External"/><Relationship Id="rId463" Type="http://schemas.openxmlformats.org/officeDocument/2006/relationships/hyperlink" Target="https://sbrownlawyer.com/Visitation" TargetMode="External"/><Relationship Id="rId1058" Type="http://schemas.openxmlformats.org/officeDocument/2006/relationships/hyperlink" Target="https://sbrownlawyer.com/Drug-Charges/Drug-Distribution" TargetMode="External"/><Relationship Id="rId1048" Type="http://schemas.openxmlformats.org/officeDocument/2006/relationships/hyperlink" Target="https://sbrownlawyer.com/2019/06/15/understanding-parenting-plans-and-child-support-during-divorce/" TargetMode="External"/><Relationship Id="rId1049" Type="http://schemas.openxmlformats.org/officeDocument/2006/relationships/hyperlink" Target="https://sbrownlawyer.com/2009/04/08/parental-alienation-risk-factors-of-alienation/" TargetMode="External"/><Relationship Id="rId217" Type="http://schemas.openxmlformats.org/officeDocument/2006/relationships/hyperlink" Target="https://sbrownlawyer.com/child-custody/emergency/" TargetMode="External"/><Relationship Id="rId459" Type="http://schemas.openxmlformats.org/officeDocument/2006/relationships/hyperlink" Target="https://sbrownlawyer.com/2022/10/03/what-to-do-after-youre-arrested/" TargetMode="External"/><Relationship Id="rId216" Type="http://schemas.openxmlformats.org/officeDocument/2006/relationships/hyperlink" Target="https://sbrownlawyer.com/Child-Custody" TargetMode="External"/><Relationship Id="rId458" Type="http://schemas.openxmlformats.org/officeDocument/2006/relationships/hyperlink" Target="https://sbrownlawyer.com/2022/10/03/can-my-spouse-prevent-me-from-getting-a-divorce-2/" TargetMode="External"/><Relationship Id="rId215" Type="http://schemas.openxmlformats.org/officeDocument/2006/relationships/hyperlink" Target="https://sbrownlawyer.com/2014/01/02/organizing-child-support-may-become-easier-with-new-software/" TargetMode="External"/><Relationship Id="rId457" Type="http://schemas.openxmlformats.org/officeDocument/2006/relationships/hyperlink" Target="https://sbrownlawyer.com/page/3/" TargetMode="External"/><Relationship Id="rId699" Type="http://schemas.openxmlformats.org/officeDocument/2006/relationships/hyperlink" Target="https://sbrownlawyer.com/blog/page/6/?et_blog" TargetMode="External"/><Relationship Id="rId214" Type="http://schemas.openxmlformats.org/officeDocument/2006/relationships/hyperlink" Target="https://sbrownlawyer.com/am-i-entitled-to-modify-my-last-custody-order/" TargetMode="External"/><Relationship Id="rId456" Type="http://schemas.openxmlformats.org/officeDocument/2006/relationships/hyperlink" Target="https://sbrownlawyer.com/2022/10/03/do-i-need-a-lawyer-to-get-a-divorce/" TargetMode="External"/><Relationship Id="rId698" Type="http://schemas.openxmlformats.org/officeDocument/2006/relationships/hyperlink" Target="https://sbrownlawyer.com/2019/12/30/can-pedestrian-detection-systems-be-trusted/" TargetMode="External"/><Relationship Id="rId219" Type="http://schemas.openxmlformats.org/officeDocument/2006/relationships/hyperlink" Target="https://sbrownlawyer.com/detailing-some-of-texas-s-important-child-custody-laws/" TargetMode="External"/><Relationship Id="rId218" Type="http://schemas.openxmlformats.org/officeDocument/2006/relationships/hyperlink" Target="https://sbrownlawyer.com/custody-schedules-for-infants/" TargetMode="External"/><Relationship Id="rId451" Type="http://schemas.openxmlformats.org/officeDocument/2006/relationships/hyperlink" Target="https://sbrownlawyer.com/theft-and-shoplifting/aggravated-burglary/" TargetMode="External"/><Relationship Id="rId693" Type="http://schemas.openxmlformats.org/officeDocument/2006/relationships/hyperlink" Target="https://sbrownlawyer.com/theft-and-shoplifting/Burglary" TargetMode="External"/><Relationship Id="rId1040" Type="http://schemas.openxmlformats.org/officeDocument/2006/relationships/hyperlink" Target="https://sbrownlawyer.com/2018/05/01/can-you-be-arrested-for-overdosing-on-drugs-in-texas/" TargetMode="External"/><Relationship Id="rId450" Type="http://schemas.openxmlformats.org/officeDocument/2006/relationships/hyperlink" Target="https://sbrownlawyer.com/schedule-now-es" TargetMode="External"/><Relationship Id="rId692" Type="http://schemas.openxmlformats.org/officeDocument/2006/relationships/hyperlink" Target="https://sbrownlawyer.com/league-city-tx-dwi-dui/" TargetMode="External"/><Relationship Id="rId1041" Type="http://schemas.openxmlformats.org/officeDocument/2006/relationships/hyperlink" Target="https://sbrownlawyer.com/2018/02/15/is-parental-alienation-happening-in-your-custody-case/" TargetMode="External"/><Relationship Id="rId691" Type="http://schemas.openxmlformats.org/officeDocument/2006/relationships/hyperlink" Target="https://sbrownlawyer.com/league-city-car-accidents/" TargetMode="External"/><Relationship Id="rId1042" Type="http://schemas.openxmlformats.org/officeDocument/2006/relationships/hyperlink" Target="https://sbrownlawyer.com/2014/04/11/domestic-violence-claims-life-of-pregnant-texas-woman/" TargetMode="External"/><Relationship Id="rId690" Type="http://schemas.openxmlformats.org/officeDocument/2006/relationships/hyperlink" Target="https://sbrownlawyer.com/drug-charges" TargetMode="External"/><Relationship Id="rId1043" Type="http://schemas.openxmlformats.org/officeDocument/2006/relationships/hyperlink" Target="https://sbrownlawyer.com/reckless-driving/" TargetMode="External"/><Relationship Id="rId213" Type="http://schemas.openxmlformats.org/officeDocument/2006/relationships/hyperlink" Target="https://sbrownlawyer.com/2013/03/07/texas-child-custody-courts-are-sometimes-the-best-option/" TargetMode="External"/><Relationship Id="rId455" Type="http://schemas.openxmlformats.org/officeDocument/2006/relationships/hyperlink" Target="https://sbrownlawyer.com/2022/10/03/what-to-do-if-pulled-over-by-police/" TargetMode="External"/><Relationship Id="rId697" Type="http://schemas.openxmlformats.org/officeDocument/2006/relationships/hyperlink" Target="https://sbrownlawyer.com/2020/02/11/how-to-find-a-family-lawyer-divorce-and-child-custody/" TargetMode="External"/><Relationship Id="rId1044" Type="http://schemas.openxmlformats.org/officeDocument/2006/relationships/hyperlink" Target="https://sbrownlawyer.com/page/12/" TargetMode="External"/><Relationship Id="rId212" Type="http://schemas.openxmlformats.org/officeDocument/2006/relationships/hyperlink" Target="https://sbrownlawyer.com/2014/12/26/considerations-for-parenting-time-and-visitation-for-infants/" TargetMode="External"/><Relationship Id="rId454" Type="http://schemas.openxmlformats.org/officeDocument/2006/relationships/hyperlink" Target="https://sbrownlawyer.com/blog/page/4/?et_blog" TargetMode="External"/><Relationship Id="rId696" Type="http://schemas.openxmlformats.org/officeDocument/2006/relationships/hyperlink" Target="https://sbrownlawyer.com/2016/10/25/tech-help-for-the-co-parent/" TargetMode="External"/><Relationship Id="rId1045" Type="http://schemas.openxmlformats.org/officeDocument/2006/relationships/hyperlink" Target="https://sbrownlawyer.com/2012/11/28/texas-child-support-battles-may-end-up-back-in-court/" TargetMode="External"/><Relationship Id="rId211" Type="http://schemas.openxmlformats.org/officeDocument/2006/relationships/hyperlink" Target="https://sbrownlawyer.com/2021/05/31/your-parenting-plan-how-to-reach-a-child-custody-agreement-without-court-involvement/" TargetMode="External"/><Relationship Id="rId453" Type="http://schemas.openxmlformats.org/officeDocument/2006/relationships/hyperlink" Target="https://sbrownlawyer.com/2020/01/14/how-texas-defines-child-abuse/" TargetMode="External"/><Relationship Id="rId695" Type="http://schemas.openxmlformats.org/officeDocument/2006/relationships/hyperlink" Target="https://sbrownlawyer.com/2017/01/06/accused-of-domestic-violence-you-need-effective-representation/" TargetMode="External"/><Relationship Id="rId1046" Type="http://schemas.openxmlformats.org/officeDocument/2006/relationships/hyperlink" Target="https://sbrownlawyer.com/2018/02/19/divorcing-an-addict/" TargetMode="External"/><Relationship Id="rId210" Type="http://schemas.openxmlformats.org/officeDocument/2006/relationships/hyperlink" Target="https://sbrownlawyer.com/contact" TargetMode="External"/><Relationship Id="rId452" Type="http://schemas.openxmlformats.org/officeDocument/2006/relationships/hyperlink" Target="https://sbrownlawyer.com/2022/08/17/when-the-adjuster-says-this-what-they-really-mean-is/" TargetMode="External"/><Relationship Id="rId694" Type="http://schemas.openxmlformats.org/officeDocument/2006/relationships/hyperlink" Target="https://sbrownlawyer.com/theft-and-shoplifting" TargetMode="External"/><Relationship Id="rId1047" Type="http://schemas.openxmlformats.org/officeDocument/2006/relationships/hyperlink" Target="https://sbrownlawyer.com/blog/page/13/?et_blog" TargetMode="External"/><Relationship Id="rId491" Type="http://schemas.openxmlformats.org/officeDocument/2006/relationships/hyperlink" Target="https://sbrownlawyer.com/truck-accidents/" TargetMode="External"/><Relationship Id="rId490" Type="http://schemas.openxmlformats.org/officeDocument/2006/relationships/hyperlink" Target="https://sbrownlawyer.com/league-city-premises-liability/" TargetMode="External"/><Relationship Id="rId249" Type="http://schemas.openxmlformats.org/officeDocument/2006/relationships/hyperlink" Target="https://sbrownlawyer.com/blaire-evans/" TargetMode="External"/><Relationship Id="rId248" Type="http://schemas.openxmlformats.org/officeDocument/2006/relationships/hyperlink" Target="https://sbrownlawyer.com/child-custody" TargetMode="External"/><Relationship Id="rId247" Type="http://schemas.openxmlformats.org/officeDocument/2006/relationships/hyperlink" Target="https://sbrownlawyer.com/lourel-jones-iii/" TargetMode="External"/><Relationship Id="rId489" Type="http://schemas.openxmlformats.org/officeDocument/2006/relationships/hyperlink" Target="https://sbrownlawyer.com/league-city-motorcycle-accident-lawyer/" TargetMode="External"/><Relationship Id="rId1070" Type="http://schemas.openxmlformats.org/officeDocument/2006/relationships/hyperlink" Target="https://sbrownlawyer.com/2018/02/22/getting-a-dwi-in-texas-while-you-live-in-another-state/" TargetMode="External"/><Relationship Id="rId1071" Type="http://schemas.openxmlformats.org/officeDocument/2006/relationships/hyperlink" Target="https://sbrownlawyer.com/2012/12/03/petraeus-debacle-to-end-in-divorce/" TargetMode="External"/><Relationship Id="rId1072" Type="http://schemas.openxmlformats.org/officeDocument/2006/relationships/hyperlink" Target="https://sbrownlawyer.com/2018/02/01/the-importance-of-establishing-paternity-in-texas/" TargetMode="External"/><Relationship Id="rId242" Type="http://schemas.openxmlformats.org/officeDocument/2006/relationships/hyperlink" Target="https://sbrownlawyer.com/harris-county-child-custody-attorneys/" TargetMode="External"/><Relationship Id="rId484" Type="http://schemas.openxmlformats.org/officeDocument/2006/relationships/hyperlink" Target="https://sbrownlawyer.com/financial-steps-individuals-should-take-to-prepare-for-divorce/" TargetMode="External"/><Relationship Id="rId1073" Type="http://schemas.openxmlformats.org/officeDocument/2006/relationships/hyperlink" Target="https://sbrownlawyer.com/2018/01/28/silencers-are-not-prohibited-weapons/" TargetMode="External"/><Relationship Id="rId241" Type="http://schemas.openxmlformats.org/officeDocument/2006/relationships/hyperlink" Target="https://sbrownlawyer.com/uber-lyft-rideshare-accidents/" TargetMode="External"/><Relationship Id="rId483" Type="http://schemas.openxmlformats.org/officeDocument/2006/relationships/hyperlink" Target="https://sbrownlawyer.com/modification-of-custody/" TargetMode="External"/><Relationship Id="rId1074" Type="http://schemas.openxmlformats.org/officeDocument/2006/relationships/hyperlink" Target="https://sbrownlawyer.com/2018/02/05/texas-drug-manufacturing-and-cultivation-laws/" TargetMode="External"/><Relationship Id="rId240" Type="http://schemas.openxmlformats.org/officeDocument/2006/relationships/hyperlink" Target="https://sbrownlawyer.com/divorce" TargetMode="External"/><Relationship Id="rId482" Type="http://schemas.openxmlformats.org/officeDocument/2006/relationships/hyperlink" Target="https://sbrownlawyer.com/Paternity/" TargetMode="External"/><Relationship Id="rId1075" Type="http://schemas.openxmlformats.org/officeDocument/2006/relationships/hyperlink" Target="https://sbrownlawyer.com/2018/02/12/what-are-texas-cannabis-laws/" TargetMode="External"/><Relationship Id="rId481" Type="http://schemas.openxmlformats.org/officeDocument/2006/relationships/hyperlink" Target="https://sbrownlawyer.com/Child-Protective-Services-CPS/" TargetMode="External"/><Relationship Id="rId1076" Type="http://schemas.openxmlformats.org/officeDocument/2006/relationships/hyperlink" Target="https://sbrownlawyer.com/2014/04/25/abducted-girl-is-safe-in-texas/" TargetMode="External"/><Relationship Id="rId246" Type="http://schemas.openxmlformats.org/officeDocument/2006/relationships/hyperlink" Target="https://sbrownlawyer.com/paula-roark-cundiff/" TargetMode="External"/><Relationship Id="rId488" Type="http://schemas.openxmlformats.org/officeDocument/2006/relationships/hyperlink" Target="https://sbrownlawyer.com/league-city-prescription-drug-charges/" TargetMode="External"/><Relationship Id="rId1077" Type="http://schemas.openxmlformats.org/officeDocument/2006/relationships/hyperlink" Target="https://sbrownlawyer.com/2009/03/25/what-is-parental-alienation/" TargetMode="External"/><Relationship Id="rId245" Type="http://schemas.openxmlformats.org/officeDocument/2006/relationships/hyperlink" Target="https://sbrownlawyer.com/james-j-hanley/" TargetMode="External"/><Relationship Id="rId487" Type="http://schemas.openxmlformats.org/officeDocument/2006/relationships/hyperlink" Target="https://sbrownlawyer.com/webster-drug-distribution-charges/" TargetMode="External"/><Relationship Id="rId1078" Type="http://schemas.openxmlformats.org/officeDocument/2006/relationships/hyperlink" Target="https://sbrownlawyer.com/blog/page/15/?et_blog" TargetMode="External"/><Relationship Id="rId244" Type="http://schemas.openxmlformats.org/officeDocument/2006/relationships/hyperlink" Target="https://sbrownlawyer.com/peggy-bittick/" TargetMode="External"/><Relationship Id="rId486" Type="http://schemas.openxmlformats.org/officeDocument/2006/relationships/hyperlink" Target="https://sbrownlawyer.com/2022/03/22/false-accusations-of-abuse/" TargetMode="External"/><Relationship Id="rId1079" Type="http://schemas.openxmlformats.org/officeDocument/2006/relationships/hyperlink" Target="https://sbrownlawyer.com/page/14/" TargetMode="External"/><Relationship Id="rId243" Type="http://schemas.openxmlformats.org/officeDocument/2006/relationships/hyperlink" Target="https://sbrownlawyer.com/enforcement/Modifications" TargetMode="External"/><Relationship Id="rId485" Type="http://schemas.openxmlformats.org/officeDocument/2006/relationships/hyperlink" Target="https://sbrownlawyer.com/2022/04/20/8-rules-to-protect-your-children-during-divorce/" TargetMode="External"/><Relationship Id="rId480" Type="http://schemas.openxmlformats.org/officeDocument/2006/relationships/hyperlink" Target="https://sbrownlawyer.com/Domestic-Abuse-And-Protective-Orders/" TargetMode="External"/><Relationship Id="rId239" Type="http://schemas.openxmlformats.org/officeDocument/2006/relationships/hyperlink" Target="https://sbrownlawyer.com/league-city-personal-injury-lawyer/" TargetMode="External"/><Relationship Id="rId238" Type="http://schemas.openxmlformats.org/officeDocument/2006/relationships/hyperlink" Target="https://sbrownlawyer.com/personal-injury/nonvehicle-liability-insurance/" TargetMode="External"/><Relationship Id="rId237" Type="http://schemas.openxmlformats.org/officeDocument/2006/relationships/hyperlink" Target="https://sbrownlawyer.com/paternity/" TargetMode="External"/><Relationship Id="rId479" Type="http://schemas.openxmlformats.org/officeDocument/2006/relationships/hyperlink" Target="https://sbrownlawyer.com/property-division-during-divorce-does-not-have-to-destroy-a-business/" TargetMode="External"/><Relationship Id="rId236" Type="http://schemas.openxmlformats.org/officeDocument/2006/relationships/hyperlink" Target="https://sbrownlawyer.com/pearland-premises-liability/" TargetMode="External"/><Relationship Id="rId478" Type="http://schemas.openxmlformats.org/officeDocument/2006/relationships/hyperlink" Target="https://sbrownlawyer.com/Business-Owner-Divorce" TargetMode="External"/><Relationship Id="rId1060" Type="http://schemas.openxmlformats.org/officeDocument/2006/relationships/hyperlink" Target="https://sbrownlawyer.com/2012/12/27/what-happens-if-a-business-is-part-of-a-texas-divorce/" TargetMode="External"/><Relationship Id="rId1061" Type="http://schemas.openxmlformats.org/officeDocument/2006/relationships/hyperlink" Target="https://sbrownlawyer.com/2014/10/03/how-does-alimony-in-texas-work/" TargetMode="External"/><Relationship Id="rId231" Type="http://schemas.openxmlformats.org/officeDocument/2006/relationships/hyperlink" Target="https://sbrownlawyer.com/parental-relocation/" TargetMode="External"/><Relationship Id="rId473" Type="http://schemas.openxmlformats.org/officeDocument/2006/relationships/hyperlink" Target="https://sbrownlawyer.com/hidden-assets-some-marital-property-may-not-be-obvious/" TargetMode="External"/><Relationship Id="rId1062" Type="http://schemas.openxmlformats.org/officeDocument/2006/relationships/hyperlink" Target="https://sbrownlawyer.com/2014/09/26/complex-alimony-laws-require-staying-current-on-laws/" TargetMode="External"/><Relationship Id="rId230" Type="http://schemas.openxmlformats.org/officeDocument/2006/relationships/hyperlink" Target="https://sbrownlawyer.com/mothers-rights/" TargetMode="External"/><Relationship Id="rId472" Type="http://schemas.openxmlformats.org/officeDocument/2006/relationships/hyperlink" Target="https://sbrownlawyer.com/how-to-know-if-your-spouse-is-hiding-marital-property-and-assets/" TargetMode="External"/><Relationship Id="rId1063" Type="http://schemas.openxmlformats.org/officeDocument/2006/relationships/hyperlink" Target="https://sbrownlawyer.com/webster-tx-car-accident-lawyer/" TargetMode="External"/><Relationship Id="rId471" Type="http://schemas.openxmlformats.org/officeDocument/2006/relationships/hyperlink" Target="https://sbrownlawyer.com/financial-steps-to-take-before-filing-for-divorce/" TargetMode="External"/><Relationship Id="rId1064" Type="http://schemas.openxmlformats.org/officeDocument/2006/relationships/hyperlink" Target="https://sbrownlawyer.com/2014/05/09/mother-asks-court-for-money-to-fight-child-custody-ruling/" TargetMode="External"/><Relationship Id="rId470" Type="http://schemas.openxmlformats.org/officeDocument/2006/relationships/hyperlink" Target="https://sbrownlawyer.com/the-unique-aspects-of-alimony-spousal-maintenance-in-texas/" TargetMode="External"/><Relationship Id="rId1065" Type="http://schemas.openxmlformats.org/officeDocument/2006/relationships/hyperlink" Target="https://sbrownlawyer.com/page/13/" TargetMode="External"/><Relationship Id="rId235" Type="http://schemas.openxmlformats.org/officeDocument/2006/relationships/hyperlink" Target="https://sbrownlawyer.com/how-is-community-property-divided/" TargetMode="External"/><Relationship Id="rId477" Type="http://schemas.openxmlformats.org/officeDocument/2006/relationships/hyperlink" Target="https://sbrownlawyer.com/Division-Of-Property/" TargetMode="External"/><Relationship Id="rId1066" Type="http://schemas.openxmlformats.org/officeDocument/2006/relationships/hyperlink" Target="https://sbrownlawyer.com/2012/12/18/texas-child-support-man-pays-huge-bill-to-keep-motorcycle/" TargetMode="External"/><Relationship Id="rId234" Type="http://schemas.openxmlformats.org/officeDocument/2006/relationships/hyperlink" Target="https://sbrownlawyer.com/information-about-brazoria-county-texas/" TargetMode="External"/><Relationship Id="rId476" Type="http://schemas.openxmlformats.org/officeDocument/2006/relationships/hyperlink" Target="https://sbrownlawyer.com/Child-Support/" TargetMode="External"/><Relationship Id="rId1067" Type="http://schemas.openxmlformats.org/officeDocument/2006/relationships/hyperlink" Target="https://sbrownlawyer.com/2009/04/08/parental-alienation-a-continued-analysis/" TargetMode="External"/><Relationship Id="rId233" Type="http://schemas.openxmlformats.org/officeDocument/2006/relationships/hyperlink" Target="https://sbrownlawyer.com/league-city-tx-lake-fathers-rights-lawyer/" TargetMode="External"/><Relationship Id="rId475" Type="http://schemas.openxmlformats.org/officeDocument/2006/relationships/hyperlink" Target="https://sbrownlawyer.com/2015/12/18/spousal-support-and-pet-custody-issues-stall-celebrity-divorce/" TargetMode="External"/><Relationship Id="rId1068" Type="http://schemas.openxmlformats.org/officeDocument/2006/relationships/hyperlink" Target="https://sbrownlawyer.com/blog/page/14/?et_blog" TargetMode="External"/><Relationship Id="rId232" Type="http://schemas.openxmlformats.org/officeDocument/2006/relationships/hyperlink" Target="https://sbrownlawyer.com/league-city-simple-assault-lawyer/" TargetMode="External"/><Relationship Id="rId474" Type="http://schemas.openxmlformats.org/officeDocument/2006/relationships/hyperlink" Target="https://sbrownlawyer.com/Protecting-Your-Assets" TargetMode="External"/><Relationship Id="rId1069" Type="http://schemas.openxmlformats.org/officeDocument/2006/relationships/hyperlink" Target="https://sbrownlawyer.com/2014/04/18/no-fault-divorce-covenant-marriage-and-domestic-violence/" TargetMode="External"/><Relationship Id="rId1015" Type="http://schemas.openxmlformats.org/officeDocument/2006/relationships/hyperlink" Target="https://sbrownlawyer.com/2013/01/07/texas-military-members-may-feel-helpless-during-divorce/" TargetMode="External"/><Relationship Id="rId1016" Type="http://schemas.openxmlformats.org/officeDocument/2006/relationships/hyperlink" Target="https://sbrownlawyer.com/2018/08/14/spinal-injuries-lead-to-a-host-of-issues-for-victims/" TargetMode="External"/><Relationship Id="rId1017" Type="http://schemas.openxmlformats.org/officeDocument/2006/relationships/hyperlink" Target="https://sbrownlawyer.com/2015/03/26/texas-bill-1812-would-fund-marys-law-enforcement/" TargetMode="External"/><Relationship Id="rId1018" Type="http://schemas.openxmlformats.org/officeDocument/2006/relationships/hyperlink" Target="https://sbrownlawyer.com/angleton-serious-injuries-lawyer/" TargetMode="External"/><Relationship Id="rId1019" Type="http://schemas.openxmlformats.org/officeDocument/2006/relationships/hyperlink" Target="https://sbrownlawyer.com/Drug-Charges/" TargetMode="External"/><Relationship Id="rId426" Type="http://schemas.openxmlformats.org/officeDocument/2006/relationships/hyperlink" Target="https://sbrownlawyer.com/estate-planning/" TargetMode="External"/><Relationship Id="rId668" Type="http://schemas.openxmlformats.org/officeDocument/2006/relationships/hyperlink" Target="https://sbrownlawyer.com/2016/11/03/becoming-a-great-stepparent/" TargetMode="External"/><Relationship Id="rId425" Type="http://schemas.openxmlformats.org/officeDocument/2006/relationships/hyperlink" Target="https://sbrownlawyer.com/2024/05/28/impact-of-a-criminal-record-on-child-custody-cases/" TargetMode="External"/><Relationship Id="rId667" Type="http://schemas.openxmlformats.org/officeDocument/2006/relationships/hyperlink" Target="https://sbrownlawyer.com/League%20City-juvenile-crimes-lawyer/" TargetMode="External"/><Relationship Id="rId424" Type="http://schemas.openxmlformats.org/officeDocument/2006/relationships/hyperlink" Target="https://sbrownlawyer.com/Divorce" TargetMode="External"/><Relationship Id="rId666" Type="http://schemas.openxmlformats.org/officeDocument/2006/relationships/hyperlink" Target="https://sbrownlawyer.com/brazoria-county-dwi-lawyer/" TargetMode="External"/><Relationship Id="rId423" Type="http://schemas.openxmlformats.org/officeDocument/2006/relationships/hyperlink" Target="https://sbrownlawyer.com/Don-t-let-family-violence-allegations-affect-your-open-carry-rights/" TargetMode="External"/><Relationship Id="rId665" Type="http://schemas.openxmlformats.org/officeDocument/2006/relationships/hyperlink" Target="https://sbrownlawyer.com/2016/12/30/considering-divorce-why-you-need-an-attorney/" TargetMode="External"/><Relationship Id="rId429" Type="http://schemas.openxmlformats.org/officeDocument/2006/relationships/hyperlink" Target="https://sbrownlawyer.com/blog/?et_blog" TargetMode="External"/><Relationship Id="rId428" Type="http://schemas.openxmlformats.org/officeDocument/2006/relationships/hyperlink" Target="https://sbrownlawyer.com/How-is-property-divided-in-a-Texas-divorce/" TargetMode="External"/><Relationship Id="rId427" Type="http://schemas.openxmlformats.org/officeDocument/2006/relationships/hyperlink" Target="https://sbrownlawyer.com/league-city-divorce/" TargetMode="External"/><Relationship Id="rId669" Type="http://schemas.openxmlformats.org/officeDocument/2006/relationships/hyperlink" Target="https://sbrownlawyer.com/major-felonies/" TargetMode="External"/><Relationship Id="rId660" Type="http://schemas.openxmlformats.org/officeDocument/2006/relationships/hyperlink" Target="https://sbrownlawyer.com/blog/page/5/?et_blog" TargetMode="External"/><Relationship Id="rId1010" Type="http://schemas.openxmlformats.org/officeDocument/2006/relationships/hyperlink" Target="https://sbrownlawyer.com/2014/10/24/domestic-violence-requires-swift-action-to-keep-you-protected/" TargetMode="External"/><Relationship Id="rId422" Type="http://schemas.openxmlformats.org/officeDocument/2006/relationships/hyperlink" Target="https://sbrownlawyer.com/League%20City-marital-asset-division-lawyer/" TargetMode="External"/><Relationship Id="rId664" Type="http://schemas.openxmlformats.org/officeDocument/2006/relationships/hyperlink" Target="https://sbrownlawyer.com/theft-and-shoplifting/" TargetMode="External"/><Relationship Id="rId1011" Type="http://schemas.openxmlformats.org/officeDocument/2006/relationships/hyperlink" Target="https://sbrownlawyer.com/2012/06/29/qdro-and-texas-divorce-dividing-pensions-and-retirement-accounts/" TargetMode="External"/><Relationship Id="rId421" Type="http://schemas.openxmlformats.org/officeDocument/2006/relationships/hyperlink" Target="https://sbrownlawyer.com/When-alcohol-becomes-a-factor-in-divorce-proceedings/" TargetMode="External"/><Relationship Id="rId663" Type="http://schemas.openxmlformats.org/officeDocument/2006/relationships/hyperlink" Target="https://sbrownlawyer.com/burglary/" TargetMode="External"/><Relationship Id="rId1012" Type="http://schemas.openxmlformats.org/officeDocument/2006/relationships/hyperlink" Target="https://sbrownlawyer.com/2014/09/09/considerations-for-child-custody-in-texas-vary-for-infants/" TargetMode="External"/><Relationship Id="rId420" Type="http://schemas.openxmlformats.org/officeDocument/2006/relationships/hyperlink" Target="https://sbrownlawyer.com/what-happens-to-pets-in-a-texas-divorce/" TargetMode="External"/><Relationship Id="rId662" Type="http://schemas.openxmlformats.org/officeDocument/2006/relationships/hyperlink" Target="https://sbrownlawyer.com/2020/01/21/texas-passes-new-law-for-assault-on-a-pregnant-woman-2/" TargetMode="External"/><Relationship Id="rId1013" Type="http://schemas.openxmlformats.org/officeDocument/2006/relationships/hyperlink" Target="https://sbrownlawyer.com/angleton-slip-fall-accidents-lawyer/" TargetMode="External"/><Relationship Id="rId661" Type="http://schemas.openxmlformats.org/officeDocument/2006/relationships/hyperlink" Target="https://sbrownlawyer.com/2020/01/05/texas-passes-new-law-for-assault-on-a-pregnant-woman/" TargetMode="External"/><Relationship Id="rId1014" Type="http://schemas.openxmlformats.org/officeDocument/2006/relationships/hyperlink" Target="https://sbrownlawyer.com/2018/07/02/are-there-harsh-penalties-if-i-get-caught-with-marijuana-oils-or-edibles-in-texas/" TargetMode="External"/><Relationship Id="rId1004" Type="http://schemas.openxmlformats.org/officeDocument/2006/relationships/hyperlink" Target="https://sbrownlawyer.com/2009/05/13/the-obsessed-alienator/" TargetMode="External"/><Relationship Id="rId1005" Type="http://schemas.openxmlformats.org/officeDocument/2006/relationships/hyperlink" Target="https://sbrownlawyer.com/friendswood-motorcycle-accidents/" TargetMode="External"/><Relationship Id="rId1006" Type="http://schemas.openxmlformats.org/officeDocument/2006/relationships/hyperlink" Target="https://sbrownlawyer.com/Sex-Crimes" TargetMode="External"/><Relationship Id="rId1007" Type="http://schemas.openxmlformats.org/officeDocument/2006/relationships/hyperlink" Target="https://sbrownlawyer.com/2018/03/13/addressing-issues-for-same-sex-divorces-in-texas/" TargetMode="External"/><Relationship Id="rId1008" Type="http://schemas.openxmlformats.org/officeDocument/2006/relationships/hyperlink" Target="https://sbrownlawyer.com/2014/05/30/texas-woman-fights-to-keep-children-she-took-in-last-year/" TargetMode="External"/><Relationship Id="rId1009" Type="http://schemas.openxmlformats.org/officeDocument/2006/relationships/hyperlink" Target="https://sbrownlawyer.com/2018/04/23/how-do-bond-reductions-work/" TargetMode="External"/><Relationship Id="rId415" Type="http://schemas.openxmlformats.org/officeDocument/2006/relationships/hyperlink" Target="https://sbrownlawyer.com/Division-Of-Property/Retirement-Accounts" TargetMode="External"/><Relationship Id="rId657" Type="http://schemas.openxmlformats.org/officeDocument/2006/relationships/hyperlink" Target="https://sbrownlawyer.com/2022/06/29/should-i-take-the-plea-deal-or-take-my-chances-at-trial/" TargetMode="External"/><Relationship Id="rId899" Type="http://schemas.openxmlformats.org/officeDocument/2006/relationships/hyperlink" Target="https://sbrownlawyer.com/2012/10/19/a-texas-divorce-cannot-always-be-settled-in-a-trial-court/" TargetMode="External"/><Relationship Id="rId414" Type="http://schemas.openxmlformats.org/officeDocument/2006/relationships/hyperlink" Target="https://sbrownlawyer.com/Division-Of-Property/Homes-And-Real-Estate" TargetMode="External"/><Relationship Id="rId656" Type="http://schemas.openxmlformats.org/officeDocument/2006/relationships/hyperlink" Target="https://sbrownlawyer.com/2022/06/15/the-child-support-is-insufficient/" TargetMode="External"/><Relationship Id="rId898" Type="http://schemas.openxmlformats.org/officeDocument/2006/relationships/hyperlink" Target="https://sbrownlawyer.com/drug-possession/Drug-Distribution" TargetMode="External"/><Relationship Id="rId413" Type="http://schemas.openxmlformats.org/officeDocument/2006/relationships/hyperlink" Target="https://sbrownlawyer.com/Division-Of-Property/Investment-Properties" TargetMode="External"/><Relationship Id="rId655" Type="http://schemas.openxmlformats.org/officeDocument/2006/relationships/hyperlink" Target="https://sbrownlawyer.com/2022/04/20/divorce-with-a-joint-business/" TargetMode="External"/><Relationship Id="rId897" Type="http://schemas.openxmlformats.org/officeDocument/2006/relationships/hyperlink" Target="https://sbrownlawyer.com/2014/03/07/houston-attorney-general-takes-part-in-domestic-violence-sweep/" TargetMode="External"/><Relationship Id="rId412" Type="http://schemas.openxmlformats.org/officeDocument/2006/relationships/hyperlink" Target="https://sbrownlawyer.com/Division-Of-Property/Assets-And-Liability" TargetMode="External"/><Relationship Id="rId654" Type="http://schemas.openxmlformats.org/officeDocument/2006/relationships/hyperlink" Target="https://sbrownlawyer.com/page/4/" TargetMode="External"/><Relationship Id="rId896" Type="http://schemas.openxmlformats.org/officeDocument/2006/relationships/hyperlink" Target="https://sbrownlawyer.com/2012/07/27/child-support-ordered-for-adopted-boy-abandoned-by-mom/" TargetMode="External"/><Relationship Id="rId419" Type="http://schemas.openxmlformats.org/officeDocument/2006/relationships/hyperlink" Target="https://sbrownlawyer.com/How-Divorce-Can-Actually-Benefit-Children/" TargetMode="External"/><Relationship Id="rId418" Type="http://schemas.openxmlformats.org/officeDocument/2006/relationships/hyperlink" Target="https://sbrownlawyer.com/The-unique-aspects-of-alimony-spousal-maintenance-in-Texas/" TargetMode="External"/><Relationship Id="rId417" Type="http://schemas.openxmlformats.org/officeDocument/2006/relationships/hyperlink" Target="https://sbrownlawyer.com/rule-1-file-first/The-Divorce-Process" TargetMode="External"/><Relationship Id="rId659" Type="http://schemas.openxmlformats.org/officeDocument/2006/relationships/hyperlink" Target="https://sbrownlawyer.com/2022/05/03/how-we-help/" TargetMode="External"/><Relationship Id="rId416" Type="http://schemas.openxmlformats.org/officeDocument/2006/relationships/hyperlink" Target="https://sbrownlawyer.com/Financial-Steps-To-Take-Before-Filing-For-Divorce/" TargetMode="External"/><Relationship Id="rId658" Type="http://schemas.openxmlformats.org/officeDocument/2006/relationships/hyperlink" Target="https://sbrownlawyer.com/2022/05/03/past-case-court-order/" TargetMode="External"/><Relationship Id="rId891" Type="http://schemas.openxmlformats.org/officeDocument/2006/relationships/hyperlink" Target="https://sbrownlawyer.com/2018/06/05/driving-under-the-influence-of-medication/" TargetMode="External"/><Relationship Id="rId890" Type="http://schemas.openxmlformats.org/officeDocument/2006/relationships/hyperlink" Target="https://sbrownlawyer.com/2019/01/28/if-you-are-in-an-accident-with-a-drunk-driver-can-you-press-charges/" TargetMode="External"/><Relationship Id="rId411" Type="http://schemas.openxmlformats.org/officeDocument/2006/relationships/hyperlink" Target="https://sbrownlawyer.com/Division-Of-Property/Hidden-Assets" TargetMode="External"/><Relationship Id="rId653" Type="http://schemas.openxmlformats.org/officeDocument/2006/relationships/hyperlink" Target="https://sbrownlawyer.com/2022/06/10/should-i-hire-a-personal-injury-lawyer/" TargetMode="External"/><Relationship Id="rId895" Type="http://schemas.openxmlformats.org/officeDocument/2006/relationships/hyperlink" Target="https://sbrownlawyer.com/2019/04/18/the-connection-between-distracted-driving-and-pedestrian-accidents/" TargetMode="External"/><Relationship Id="rId1000" Type="http://schemas.openxmlformats.org/officeDocument/2006/relationships/hyperlink" Target="https://sbrownlawyer.com/page/10/" TargetMode="External"/><Relationship Id="rId410" Type="http://schemas.openxmlformats.org/officeDocument/2006/relationships/hyperlink" Target="https://sbrownlawyer.com/Hidden-assets-Some-marital-property-may-not-be-obvious/" TargetMode="External"/><Relationship Id="rId652" Type="http://schemas.openxmlformats.org/officeDocument/2006/relationships/hyperlink" Target="https://sbrownlawyer.com/2019/04/05/alternatives-to-going-to-trial/" TargetMode="External"/><Relationship Id="rId894" Type="http://schemas.openxmlformats.org/officeDocument/2006/relationships/hyperlink" Target="https://sbrownlawyer.com/2015/08/07/miranda-lambert-and-blake-shelton-divorce-finalized/" TargetMode="External"/><Relationship Id="rId1001" Type="http://schemas.openxmlformats.org/officeDocument/2006/relationships/hyperlink" Target="https://sbrownlawyer.com/2018/06/18/who-gets-the-family-pet-in-a-divorce/" TargetMode="External"/><Relationship Id="rId651" Type="http://schemas.openxmlformats.org/officeDocument/2006/relationships/hyperlink" Target="https://sbrownlawyer.com/2019/10/28/what-does-it-mean-to-be-deemed-an-unfit-parent/" TargetMode="External"/><Relationship Id="rId893" Type="http://schemas.openxmlformats.org/officeDocument/2006/relationships/hyperlink" Target="https://sbrownlawyer.com/2019/05/09/get-help-from-a-personal-injury-lawyer-after-an-accident/" TargetMode="External"/><Relationship Id="rId1002" Type="http://schemas.openxmlformats.org/officeDocument/2006/relationships/hyperlink" Target="https://sbrownlawyer.com/2012/07/06/college-after-parents-divorce-who-pays-the-bill/" TargetMode="External"/><Relationship Id="rId650" Type="http://schemas.openxmlformats.org/officeDocument/2006/relationships/hyperlink" Target="https://sbrownlawyer.com/2019/12/02/challenging-a-prenup/" TargetMode="External"/><Relationship Id="rId892" Type="http://schemas.openxmlformats.org/officeDocument/2006/relationships/hyperlink" Target="https://sbrownlawyer.com/2019/09/01/4-obvious-signs-it-might-betime-for-divorce/" TargetMode="External"/><Relationship Id="rId1003" Type="http://schemas.openxmlformats.org/officeDocument/2006/relationships/hyperlink" Target="https://sbrownlawyer.com/2019/06/01/spousal-maintenance-in-texas-everything-you-need-to-know/" TargetMode="External"/><Relationship Id="rId1037" Type="http://schemas.openxmlformats.org/officeDocument/2006/relationships/hyperlink" Target="https://sbrownlawyer.com/2012/11/19/texas-visitation-grandparents-accuse-parents-of-deprivation/" TargetMode="External"/><Relationship Id="rId1038" Type="http://schemas.openxmlformats.org/officeDocument/2006/relationships/hyperlink" Target="https://sbrownlawyer.com/2018/05/10/personal-injuries-pain-and-suffering-damages-in-texas/" TargetMode="External"/><Relationship Id="rId1039" Type="http://schemas.openxmlformats.org/officeDocument/2006/relationships/hyperlink" Target="https://sbrownlawyer.com/angleton-weapons-charge/" TargetMode="External"/><Relationship Id="rId206" Type="http://schemas.openxmlformats.org/officeDocument/2006/relationships/hyperlink" Target="https://sbrownlawyer.com/2015/09/18/domestic-violence-and-child-protective-services/" TargetMode="External"/><Relationship Id="rId448" Type="http://schemas.openxmlformats.org/officeDocument/2006/relationships/hyperlink" Target="https://sbrownlawyer.com/lesiones%20personales" TargetMode="External"/><Relationship Id="rId205" Type="http://schemas.openxmlformats.org/officeDocument/2006/relationships/hyperlink" Target="https://sbrownlawyer.com/2013/11/06/north-texas-man-involved-in-international-custody-dispute/" TargetMode="External"/><Relationship Id="rId447" Type="http://schemas.openxmlformats.org/officeDocument/2006/relationships/hyperlink" Target="https://sbrownlawyer.com/2016/11/15/staying-financially-secure-before-and-after-divorce/" TargetMode="External"/><Relationship Id="rId689" Type="http://schemas.openxmlformats.org/officeDocument/2006/relationships/hyperlink" Target="https://sbrownlawyer.com/Domestic-Violence" TargetMode="External"/><Relationship Id="rId204" Type="http://schemas.openxmlformats.org/officeDocument/2006/relationships/hyperlink" Target="https://sbrownlawyer.com/2012/09/05/texas-divorce-parent-fights-for-daughters-overseas-return/" TargetMode="External"/><Relationship Id="rId446" Type="http://schemas.openxmlformats.org/officeDocument/2006/relationships/hyperlink" Target="https://sbrownlawyer.com/blog" TargetMode="External"/><Relationship Id="rId688" Type="http://schemas.openxmlformats.org/officeDocument/2006/relationships/hyperlink" Target="https://sbrownlawyer.com/violent-crimes/Assault-Charges" TargetMode="External"/><Relationship Id="rId203" Type="http://schemas.openxmlformats.org/officeDocument/2006/relationships/hyperlink" Target="https://sbrownlawyer.com/2013/08/29/texas-dad-granted-custody-awaits-return-of-daughter-from-overseas/" TargetMode="External"/><Relationship Id="rId445" Type="http://schemas.openxmlformats.org/officeDocument/2006/relationships/hyperlink" Target="https://sbrownlawyer.com/league-city-tx-criminal-defense-lawyers/" TargetMode="External"/><Relationship Id="rId687" Type="http://schemas.openxmlformats.org/officeDocument/2006/relationships/hyperlink" Target="https://sbrownlawyer.com/drug-charges/Prescription-Drug-Charges" TargetMode="External"/><Relationship Id="rId209" Type="http://schemas.openxmlformats.org/officeDocument/2006/relationships/hyperlink" Target="https://sbrownlawyer.com/2015/11/20/new-legislation-may-affect-parents-receiving-child-support/" TargetMode="External"/><Relationship Id="rId208" Type="http://schemas.openxmlformats.org/officeDocument/2006/relationships/hyperlink" Target="https://sbrownlawyer.com/the-basics-of-texas-child-support-requests-factors-and-guidelines/" TargetMode="External"/><Relationship Id="rId207" Type="http://schemas.openxmlformats.org/officeDocument/2006/relationships/hyperlink" Target="https://sbrownlawyer.com/2021/03/30/what-can-be-done-when-the-other-parent-consistently-violates-the-child-custody-agreement/" TargetMode="External"/><Relationship Id="rId449" Type="http://schemas.openxmlformats.org/officeDocument/2006/relationships/hyperlink" Target="https://sbrownlawyer.com/2016/12/16/a-dwi-arrest-does-not-always-lead-to-a-conviction/" TargetMode="External"/><Relationship Id="rId440" Type="http://schemas.openxmlformats.org/officeDocument/2006/relationships/hyperlink" Target="https://sbrownlawyer.com/Firm-Overview/" TargetMode="External"/><Relationship Id="rId682" Type="http://schemas.openxmlformats.org/officeDocument/2006/relationships/hyperlink" Target="https://sbrownlawyer.com/drug-charges/Drug-Distribution" TargetMode="External"/><Relationship Id="rId681" Type="http://schemas.openxmlformats.org/officeDocument/2006/relationships/hyperlink" Target="https://sbrownlawyer.com/White-Collar-Crimes" TargetMode="External"/><Relationship Id="rId1030" Type="http://schemas.openxmlformats.org/officeDocument/2006/relationships/hyperlink" Target="https://sbrownlawyer.com/2019/06/10/i-was-hit-by-an-uninsured-driver-and-injured/" TargetMode="External"/><Relationship Id="rId680" Type="http://schemas.openxmlformats.org/officeDocument/2006/relationships/hyperlink" Target="https://sbrownlawyer.com/motorcycle-accidents/" TargetMode="External"/><Relationship Id="rId1031" Type="http://schemas.openxmlformats.org/officeDocument/2006/relationships/hyperlink" Target="https://sbrownlawyer.com/2018/06/25/can-new-car-technology-actually-be-distracting-to-drivers/" TargetMode="External"/><Relationship Id="rId1032" Type="http://schemas.openxmlformats.org/officeDocument/2006/relationships/hyperlink" Target="https://sbrownlawyer.com/blog/page/12/?et_blog" TargetMode="External"/><Relationship Id="rId202" Type="http://schemas.openxmlformats.org/officeDocument/2006/relationships/hyperlink" Target="https://sbrownlawyer.com/2014/01/31/will-texas-lawmakers-consider-a-shared-custody-law/" TargetMode="External"/><Relationship Id="rId444" Type="http://schemas.openxmlformats.org/officeDocument/2006/relationships/hyperlink" Target="https://sbrownlawyer.com/personal-injury-2/tbi/" TargetMode="External"/><Relationship Id="rId686" Type="http://schemas.openxmlformats.org/officeDocument/2006/relationships/hyperlink" Target="https://sbrownlawyer.com/drug-charges/Drug-Possession" TargetMode="External"/><Relationship Id="rId1033" Type="http://schemas.openxmlformats.org/officeDocument/2006/relationships/hyperlink" Target="https://sbrownlawyer.com/2019/06/19/what-is-considered-reckless-driving/" TargetMode="External"/><Relationship Id="rId201" Type="http://schemas.openxmlformats.org/officeDocument/2006/relationships/hyperlink" Target="https://sbrownlawyer.com/2021/06/26/what-are-your-rights-regarding-texas-child-custody-law/" TargetMode="External"/><Relationship Id="rId443" Type="http://schemas.openxmlformats.org/officeDocument/2006/relationships/hyperlink" Target="https://sbrownlawyer.com/Termination/" TargetMode="External"/><Relationship Id="rId685" Type="http://schemas.openxmlformats.org/officeDocument/2006/relationships/hyperlink" Target="https://sbrownlawyer.com/drug-charges/Alternative-Outcomes-In-Drug-Cases" TargetMode="External"/><Relationship Id="rId1034" Type="http://schemas.openxmlformats.org/officeDocument/2006/relationships/hyperlink" Target="https://sbrownlawyer.com/pearland-weapons-charge-lawyer/" TargetMode="External"/><Relationship Id="rId200" Type="http://schemas.openxmlformats.org/officeDocument/2006/relationships/hyperlink" Target="https://sbrownlawyer.com/family-law/" TargetMode="External"/><Relationship Id="rId442" Type="http://schemas.openxmlformats.org/officeDocument/2006/relationships/hyperlink" Target="https://sbrownlawyer.com/2016/11/30/arrested-for-misdemeanor-shoplifting/" TargetMode="External"/><Relationship Id="rId684" Type="http://schemas.openxmlformats.org/officeDocument/2006/relationships/hyperlink" Target="https://sbrownlawyer.com/termination/" TargetMode="External"/><Relationship Id="rId1035" Type="http://schemas.openxmlformats.org/officeDocument/2006/relationships/hyperlink" Target="https://sbrownlawyer.com/page/11/" TargetMode="External"/><Relationship Id="rId441" Type="http://schemas.openxmlformats.org/officeDocument/2006/relationships/hyperlink" Target="https://sbrownlawyer.com/personal-injury/tbi/" TargetMode="External"/><Relationship Id="rId683" Type="http://schemas.openxmlformats.org/officeDocument/2006/relationships/hyperlink" Target="https://sbrownlawyer.com/Major-Felonies" TargetMode="External"/><Relationship Id="rId1036" Type="http://schemas.openxmlformats.org/officeDocument/2006/relationships/hyperlink" Target="https://sbrownlawyer.com/2014/04/04/bode-millers-sons-mother-hopes-for-amicable-child-custody-plan/" TargetMode="External"/><Relationship Id="rId1026" Type="http://schemas.openxmlformats.org/officeDocument/2006/relationships/hyperlink" Target="https://sbrownlawyer.com/2018/04/27/drowsy-driving-creates-high-risk-for-car-accidents/" TargetMode="External"/><Relationship Id="rId1027" Type="http://schemas.openxmlformats.org/officeDocument/2006/relationships/hyperlink" Target="https://sbrownlawyer.com/2018/03/01/who-gets-the-pets-in-a-divorce/" TargetMode="External"/><Relationship Id="rId1028" Type="http://schemas.openxmlformats.org/officeDocument/2006/relationships/hyperlink" Target="https://sbrownlawyer.com/Sex-Crimes/" TargetMode="External"/><Relationship Id="rId1029" Type="http://schemas.openxmlformats.org/officeDocument/2006/relationships/hyperlink" Target="https://sbrownlawyer.com/2009/04/15/three-types-of-alienators-in-parental-alienation/" TargetMode="External"/><Relationship Id="rId437" Type="http://schemas.openxmlformats.org/officeDocument/2006/relationships/hyperlink" Target="https://sbrownlawyer.com/schedule-now" TargetMode="External"/><Relationship Id="rId679" Type="http://schemas.openxmlformats.org/officeDocument/2006/relationships/hyperlink" Target="https://sbrownlawyer.com/federal-criminal-defense/" TargetMode="External"/><Relationship Id="rId436" Type="http://schemas.openxmlformats.org/officeDocument/2006/relationships/hyperlink" Target="https://sbrownlawyer.com/2024/05/28/benefits-of-collaborative-divorce-in-texas/" TargetMode="External"/><Relationship Id="rId678" Type="http://schemas.openxmlformats.org/officeDocument/2006/relationships/hyperlink" Target="https://sbrownlawyer.com/drug-charges/" TargetMode="External"/><Relationship Id="rId435" Type="http://schemas.openxmlformats.org/officeDocument/2006/relationships/hyperlink" Target="https://sbrownlawyer.com/pearland-naturalization-lawyer/" TargetMode="External"/><Relationship Id="rId677" Type="http://schemas.openxmlformats.org/officeDocument/2006/relationships/hyperlink" Target="https://sbrownlawyer.com/car-accidents/" TargetMode="External"/><Relationship Id="rId434" Type="http://schemas.openxmlformats.org/officeDocument/2006/relationships/hyperlink" Target="https://sbrownlawyer.com/page/2/" TargetMode="External"/><Relationship Id="rId676" Type="http://schemas.openxmlformats.org/officeDocument/2006/relationships/hyperlink" Target="https://sbrownlawyer.com/League%20City-tx-dwi-dui/" TargetMode="External"/><Relationship Id="rId439" Type="http://schemas.openxmlformats.org/officeDocument/2006/relationships/hyperlink" Target="https://sbrownlawyer.com/Termination" TargetMode="External"/><Relationship Id="rId438" Type="http://schemas.openxmlformats.org/officeDocument/2006/relationships/hyperlink" Target="https://sbrownlawyer.com/espanol/" TargetMode="External"/><Relationship Id="rId671" Type="http://schemas.openxmlformats.org/officeDocument/2006/relationships/hyperlink" Target="https://sbrownlawyer.com/child-abuse/" TargetMode="External"/><Relationship Id="rId670" Type="http://schemas.openxmlformats.org/officeDocument/2006/relationships/hyperlink" Target="https://sbrownlawyer.com/violent-crimes/" TargetMode="External"/><Relationship Id="rId1020" Type="http://schemas.openxmlformats.org/officeDocument/2006/relationships/hyperlink" Target="https://sbrownlawyer.com/2014/09/12/how-can-i-protect-myself-after-domestic-violence/" TargetMode="External"/><Relationship Id="rId1021" Type="http://schemas.openxmlformats.org/officeDocument/2006/relationships/hyperlink" Target="https://sbrownlawyer.com/2013/01/04/texas-town-holds-dubious-divorce-honors/" TargetMode="External"/><Relationship Id="rId433" Type="http://schemas.openxmlformats.org/officeDocument/2006/relationships/hyperlink" Target="https://sbrownlawyer.com/2023/01/20/do-you-need-a-lawyer-to-get-a-divorce/" TargetMode="External"/><Relationship Id="rId675" Type="http://schemas.openxmlformats.org/officeDocument/2006/relationships/hyperlink" Target="https://sbrownlawyer.com/League%20City-aggravated-assault-lawyer/" TargetMode="External"/><Relationship Id="rId1022" Type="http://schemas.openxmlformats.org/officeDocument/2006/relationships/hyperlink" Target="https://sbrownlawyer.com/2014/Family-Law/Child-Custody/Custody-Schedules-For-Infants" TargetMode="External"/><Relationship Id="rId432" Type="http://schemas.openxmlformats.org/officeDocument/2006/relationships/hyperlink" Target="https://sbrownlawyer.com/blog/page/3/?et_blog" TargetMode="External"/><Relationship Id="rId674" Type="http://schemas.openxmlformats.org/officeDocument/2006/relationships/hyperlink" Target="https://sbrownlawyer.com/white-collar-crimes/" TargetMode="External"/><Relationship Id="rId1023" Type="http://schemas.openxmlformats.org/officeDocument/2006/relationships/hyperlink" Target="https://sbrownlawyer.com/2018/07/01/can-mental-health-impact-child-custody/" TargetMode="External"/><Relationship Id="rId431" Type="http://schemas.openxmlformats.org/officeDocument/2006/relationships/hyperlink" Target="https://sbrownlawyer.com/2023/01/20/can-your-spouse-stop-you-from-getting-a-divorce/" TargetMode="External"/><Relationship Id="rId673" Type="http://schemas.openxmlformats.org/officeDocument/2006/relationships/hyperlink" Target="https://sbrownlawyer.com/domestic-violence-lawyer-in-League%20City-tx/" TargetMode="External"/><Relationship Id="rId1024" Type="http://schemas.openxmlformats.org/officeDocument/2006/relationships/hyperlink" Target="https://sbrownlawyer.com/2014/05/30/domestic-violence-victims-can-find-help-at-shelters/" TargetMode="External"/><Relationship Id="rId430" Type="http://schemas.openxmlformats.org/officeDocument/2006/relationships/hyperlink" Target="https://sbrownlawyer.com/2023/01/25/private-property-police-search-in-texas/" TargetMode="External"/><Relationship Id="rId672" Type="http://schemas.openxmlformats.org/officeDocument/2006/relationships/hyperlink" Target="https://sbrownlawyer.com/League%20City-tx-theft-crimes/" TargetMode="External"/><Relationship Id="rId1025" Type="http://schemas.openxmlformats.org/officeDocument/2006/relationships/hyperlink" Target="https://sbrownlawyer.com/2014/10/17/iggy-azalea-isnt-married-but-she-was-sued-for-divorce-in-texas/"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brownlawyer.com/why-do-you-need-a-divorce-lawyer/" TargetMode="External"/><Relationship Id="rId194" Type="http://schemas.openxmlformats.org/officeDocument/2006/relationships/hyperlink" Target="https://sbrownlawyer.com/pearland/" TargetMode="External"/><Relationship Id="rId193" Type="http://schemas.openxmlformats.org/officeDocument/2006/relationships/hyperlink" Target="https://sbrownlawyer.com/Financial-Steps-Individuals-Should-Take-To-Prepare-For-Divorce" TargetMode="External"/><Relationship Id="rId192" Type="http://schemas.openxmlformats.org/officeDocument/2006/relationships/hyperlink" Target="https://sbrownlawyer.com/oil-and-mineral-rights/" TargetMode="External"/><Relationship Id="rId191" Type="http://schemas.openxmlformats.org/officeDocument/2006/relationships/hyperlink" Target="https://sbrownlawyer.com/contested-custody/" TargetMode="External"/><Relationship Id="rId187" Type="http://schemas.openxmlformats.org/officeDocument/2006/relationships/hyperlink" Target="https://sbrownlawyer.com/divorce-lawyer-in-galveston-county/" TargetMode="External"/><Relationship Id="rId186" Type="http://schemas.openxmlformats.org/officeDocument/2006/relationships/hyperlink" Target="https://sbrownlawyer.com/2022/02/18/can-i-file-legal-separation-on-texas/" TargetMode="External"/><Relationship Id="rId185" Type="http://schemas.openxmlformats.org/officeDocument/2006/relationships/hyperlink" Target="https://sbrownlawyer.com/inheritances/" TargetMode="External"/><Relationship Id="rId184" Type="http://schemas.openxmlformats.org/officeDocument/2006/relationships/hyperlink" Target="https://sbrownlawyer.com/divorce-in-texas-and-the-possibility-of-spousal-support-payments/" TargetMode="External"/><Relationship Id="rId189" Type="http://schemas.openxmlformats.org/officeDocument/2006/relationships/hyperlink" Target="https://sbrownlawyer.com/League%20City-complex-and-contested-divorce/" TargetMode="External"/><Relationship Id="rId188" Type="http://schemas.openxmlformats.org/officeDocument/2006/relationships/hyperlink" Target="https://sbrownlawyer.com/assets-and-liability/" TargetMode="External"/><Relationship Id="rId183" Type="http://schemas.openxmlformats.org/officeDocument/2006/relationships/hyperlink" Target="https://sbrownlawyer.com/Attorneys/" TargetMode="External"/><Relationship Id="rId182" Type="http://schemas.openxmlformats.org/officeDocument/2006/relationships/hyperlink" Target="https://sbrownlawyer.com/domestic-abuse-and-protective-orders/" TargetMode="External"/><Relationship Id="rId181" Type="http://schemas.openxmlformats.org/officeDocument/2006/relationships/hyperlink" Target="https://sbrownlawyer.com/Modifications/" TargetMode="External"/><Relationship Id="rId180" Type="http://schemas.openxmlformats.org/officeDocument/2006/relationships/hyperlink" Target="https://sbrownlawyer.com/League%20City/" TargetMode="External"/><Relationship Id="rId176" Type="http://schemas.openxmlformats.org/officeDocument/2006/relationships/hyperlink" Target="https://sbrownlawyer.com/Property-division-during-divorce-does-not-have-to-destroy-a-business" TargetMode="External"/><Relationship Id="rId175" Type="http://schemas.openxmlformats.org/officeDocument/2006/relationships/hyperlink" Target="https://sbrownlawyer.com/the-importance-of-hiring-a-board-certified-family-law-attorney/" TargetMode="External"/><Relationship Id="rId174" Type="http://schemas.openxmlformats.org/officeDocument/2006/relationships/hyperlink" Target="https://sbrownlawyer.com/League%20City-high-net-worth-divorce-lawyer/" TargetMode="External"/><Relationship Id="rId173" Type="http://schemas.openxmlformats.org/officeDocument/2006/relationships/hyperlink" Target="https://sbrownlawyer.com/homes-and-real-estate/" TargetMode="External"/><Relationship Id="rId179" Type="http://schemas.openxmlformats.org/officeDocument/2006/relationships/hyperlink" Target="https://sbrownlawyer.com/fathers-rights/" TargetMode="External"/><Relationship Id="rId178" Type="http://schemas.openxmlformats.org/officeDocument/2006/relationships/hyperlink" Target="https://sbrownlawyer.com/planning-for-divorce/" TargetMode="External"/><Relationship Id="rId177" Type="http://schemas.openxmlformats.org/officeDocument/2006/relationships/hyperlink" Target="https://sbrownlawyer.com/physician-practices/" TargetMode="External"/><Relationship Id="rId198" Type="http://schemas.openxmlformats.org/officeDocument/2006/relationships/hyperlink" Target="https://sbrownlawyer.com/news/announcement-divorce-custody-representation-league-city/" TargetMode="External"/><Relationship Id="rId197" Type="http://schemas.openxmlformats.org/officeDocument/2006/relationships/hyperlink" Target="https://sbrownlawyer.com/criminal-defense-attorney-in-texas/" TargetMode="External"/><Relationship Id="rId196" Type="http://schemas.openxmlformats.org/officeDocument/2006/relationships/hyperlink" Target="https://sbrownlawyer.com/personal-injury-in-texas/" TargetMode="External"/><Relationship Id="rId195" Type="http://schemas.openxmlformats.org/officeDocument/2006/relationships/hyperlink" Target="https://sbrownlawyer.com/family-owned-business-protection/" TargetMode="External"/><Relationship Id="rId199" Type="http://schemas.openxmlformats.org/officeDocument/2006/relationships/hyperlink" Target="https://sbrownlawyer.com/news/angleton-school-custody-schedules/" TargetMode="External"/><Relationship Id="rId150" Type="http://schemas.openxmlformats.org/officeDocument/2006/relationships/hyperlink" Target="https://sbrownlawyer.com/Don-t-let-family-violence-allegations-affect-your-open-carry-rights" TargetMode="External"/><Relationship Id="rId392" Type="http://schemas.openxmlformats.org/officeDocument/2006/relationships/hyperlink" Target="https://sbrownlawyer.com/Division-Of-Property" TargetMode="External"/><Relationship Id="rId391" Type="http://schemas.openxmlformats.org/officeDocument/2006/relationships/hyperlink" Target="https://sbrownlawyer.com/2022/01/25/answers-to-common-questions-about-your-property-rights-when-you-divorce/" TargetMode="External"/><Relationship Id="rId390" Type="http://schemas.openxmlformats.org/officeDocument/2006/relationships/hyperlink" Target="https://sbrownlawyer.com/Domestic-Abuse-And-Protective-Orders" TargetMode="External"/><Relationship Id="rId1" Type="http://schemas.openxmlformats.org/officeDocument/2006/relationships/hyperlink" Target="https://sbrownlawyer.com/" TargetMode="External"/><Relationship Id="rId2" Type="http://schemas.openxmlformats.org/officeDocument/2006/relationships/hyperlink" Target="https://sbrownlawyer.com/texas/locations/pearland/" TargetMode="External"/><Relationship Id="rId3" Type="http://schemas.openxmlformats.org/officeDocument/2006/relationships/hyperlink" Target="https://sbrownlawyer.com/modifications/" TargetMode="External"/><Relationship Id="rId149" Type="http://schemas.openxmlformats.org/officeDocument/2006/relationships/hyperlink" Target="https://sbrownlawyer.com/articles/What-happens-to-pets-in-a-Texas-divorce" TargetMode="External"/><Relationship Id="rId4" Type="http://schemas.openxmlformats.org/officeDocument/2006/relationships/hyperlink" Target="https://sbrownlawyer.com/areas-we-serve/brazoria-county/" TargetMode="External"/><Relationship Id="rId148" Type="http://schemas.openxmlformats.org/officeDocument/2006/relationships/hyperlink" Target="https://sbrownlawyer.com/league-city-divorce-lawyer/" TargetMode="External"/><Relationship Id="rId1090" Type="http://schemas.openxmlformats.org/officeDocument/2006/relationships/hyperlink" Target="https://sbrownlawyer.com/galveston-drug-possession-lawyer/" TargetMode="External"/><Relationship Id="rId1091" Type="http://schemas.openxmlformats.org/officeDocument/2006/relationships/hyperlink" Target="https://sbrownlawyer.com/blog/page/18/?et_blog" TargetMode="External"/><Relationship Id="rId1092" Type="http://schemas.openxmlformats.org/officeDocument/2006/relationships/hyperlink" Target="https://sbrownlawyer.com/page/17/" TargetMode="External"/><Relationship Id="rId1093" Type="http://schemas.openxmlformats.org/officeDocument/2006/relationships/hyperlink" Target="https://sbrownlawyer.com/blog/page/19/?et_blog" TargetMode="External"/><Relationship Id="rId1094" Type="http://schemas.openxmlformats.org/officeDocument/2006/relationships/hyperlink" Target="https://sbrownlawyer.com/page/18/" TargetMode="External"/><Relationship Id="rId9" Type="http://schemas.openxmlformats.org/officeDocument/2006/relationships/hyperlink" Target="https://sbrownlawyer.com/areas-we-serve/galveston-county/" TargetMode="External"/><Relationship Id="rId143" Type="http://schemas.openxmlformats.org/officeDocument/2006/relationships/hyperlink" Target="https://sbrownlawyer.com/2024/10/09/legal-rights-for-pedestrian-injury-victims-in-texas/" TargetMode="External"/><Relationship Id="rId385" Type="http://schemas.openxmlformats.org/officeDocument/2006/relationships/hyperlink" Target="https://sbrownlawyer.com/Attorneys/Scott-M-Brown" TargetMode="External"/><Relationship Id="rId1095" Type="http://schemas.openxmlformats.org/officeDocument/2006/relationships/hyperlink" Target="https://sbrownlawyer.com/blog/page/20/?et_blog" TargetMode="External"/><Relationship Id="rId142" Type="http://schemas.openxmlformats.org/officeDocument/2006/relationships/hyperlink" Target="https://sbrownlawyer.com/How-is-property-divided-in-a-Texas-divorce" TargetMode="External"/><Relationship Id="rId384" Type="http://schemas.openxmlformats.org/officeDocument/2006/relationships/hyperlink" Target="https://sbrownlawyer.com/Financial-Steps-Individuals-Should-Take-To-Prepare-For-Divorce/" TargetMode="External"/><Relationship Id="rId1096" Type="http://schemas.openxmlformats.org/officeDocument/2006/relationships/hyperlink" Target="https://sbrownlawyer.com/page/19/" TargetMode="External"/><Relationship Id="rId141" Type="http://schemas.openxmlformats.org/officeDocument/2006/relationships/hyperlink" Target="https://sbrownlawyer.com/blog/page/2/?et_blog" TargetMode="External"/><Relationship Id="rId383" Type="http://schemas.openxmlformats.org/officeDocument/2006/relationships/hyperlink" Target="https://sbrownlawyer.com/2022/03/06/divorce-who-gets-the-house/" TargetMode="External"/><Relationship Id="rId1097" Type="http://schemas.openxmlformats.org/officeDocument/2006/relationships/hyperlink" Target="https://sbrownlawyer.com/blog/page/21/?et_blog" TargetMode="External"/><Relationship Id="rId140" Type="http://schemas.openxmlformats.org/officeDocument/2006/relationships/hyperlink" Target="https://sbrownlawyer.com/2024/12/23/compensation-for-paralysis-injuries-your-guide-to-texas-law/" TargetMode="External"/><Relationship Id="rId382" Type="http://schemas.openxmlformats.org/officeDocument/2006/relationships/hyperlink" Target="https://sbrownlawyer.com/video-7/" TargetMode="External"/><Relationship Id="rId1098" Type="http://schemas.openxmlformats.org/officeDocument/2006/relationships/hyperlink" Target="https://sbrownlawyer.com/page/20/" TargetMode="External"/><Relationship Id="rId5" Type="http://schemas.openxmlformats.org/officeDocument/2006/relationships/hyperlink" Target="https://sbrownlawyer.com/debt-division/" TargetMode="External"/><Relationship Id="rId147" Type="http://schemas.openxmlformats.org/officeDocument/2006/relationships/hyperlink" Target="https://sbrownlawyer.com/2024/10/18/over-55-divorce/" TargetMode="External"/><Relationship Id="rId389" Type="http://schemas.openxmlformats.org/officeDocument/2006/relationships/hyperlink" Target="https://sbrownlawyer.com/Property-division-during-divorce-does-not-have-to-destroy-a-business/" TargetMode="External"/><Relationship Id="rId1099" Type="http://schemas.openxmlformats.org/officeDocument/2006/relationships/hyperlink" Target="https://sbrownlawyer.com/blog/page/22/?et_blog" TargetMode="External"/><Relationship Id="rId6" Type="http://schemas.openxmlformats.org/officeDocument/2006/relationships/hyperlink" Target="https://sbrownlawyer.com/protective-services/" TargetMode="External"/><Relationship Id="rId146" Type="http://schemas.openxmlformats.org/officeDocument/2006/relationships/hyperlink" Target="https://sbrownlawyer.com/pearland-family-law-office/" TargetMode="External"/><Relationship Id="rId388" Type="http://schemas.openxmlformats.org/officeDocument/2006/relationships/hyperlink" Target="https://sbrownlawyer.com/Child-Protective-Services-CPS" TargetMode="External"/><Relationship Id="rId7" Type="http://schemas.openxmlformats.org/officeDocument/2006/relationships/hyperlink" Target="https://sbrownlawyer.com/texas/locations/angleton/" TargetMode="External"/><Relationship Id="rId145" Type="http://schemas.openxmlformats.org/officeDocument/2006/relationships/hyperlink" Target="https://sbrownlawyer.com/protecting-your-assets/" TargetMode="External"/><Relationship Id="rId387" Type="http://schemas.openxmlformats.org/officeDocument/2006/relationships/hyperlink" Target="https://sbrownlawyer.com/league-city-complex-and-contested-divorce/" TargetMode="External"/><Relationship Id="rId8" Type="http://schemas.openxmlformats.org/officeDocument/2006/relationships/hyperlink" Target="https://sbrownlawyer.com/careers/" TargetMode="External"/><Relationship Id="rId144" Type="http://schemas.openxmlformats.org/officeDocument/2006/relationships/hyperlink" Target="https://sbrownlawyer.com/2024/10/08/car-accident-in-houston-understanding-your-rights-and-responsibilities/" TargetMode="External"/><Relationship Id="rId386" Type="http://schemas.openxmlformats.org/officeDocument/2006/relationships/hyperlink" Target="https://sbrownlawyer.com/Paternity" TargetMode="External"/><Relationship Id="rId381" Type="http://schemas.openxmlformats.org/officeDocument/2006/relationships/hyperlink" Target="https://sbrownlawyer.com/contested-custody/Modification-of-Custody" TargetMode="External"/><Relationship Id="rId380" Type="http://schemas.openxmlformats.org/officeDocument/2006/relationships/hyperlink" Target="https://sbrownlawyer.com/2022/04/08/proving-fault-in-a-personal-injury-case-how-it-is-done-in-texas/" TargetMode="External"/><Relationship Id="rId139" Type="http://schemas.openxmlformats.org/officeDocument/2006/relationships/hyperlink" Target="https://sbrownlawyer.com/2024/08/20/no-fault-divorce-vs-fault-divorce-angleton-texas/" TargetMode="External"/><Relationship Id="rId138" Type="http://schemas.openxmlformats.org/officeDocument/2006/relationships/hyperlink" Target="https://sbrownlawyer.com/2024/07/04/expungement-vs-sealing-what-is-the-best-option/" TargetMode="External"/><Relationship Id="rId137" Type="http://schemas.openxmlformats.org/officeDocument/2006/relationships/hyperlink" Target="https://sbrownlawyer.com/2024/08/30/car-accidents/" TargetMode="External"/><Relationship Id="rId379" Type="http://schemas.openxmlformats.org/officeDocument/2006/relationships/hyperlink" Target="https://sbrownlawyer.com/school-teacher-sexual-assault/" TargetMode="External"/><Relationship Id="rId1080" Type="http://schemas.openxmlformats.org/officeDocument/2006/relationships/hyperlink" Target="https://sbrownlawyer.com/2012/12/11/divorce-of-big-bang-star-may-interest-texas-fans/" TargetMode="External"/><Relationship Id="rId1081" Type="http://schemas.openxmlformats.org/officeDocument/2006/relationships/hyperlink" Target="https://sbrownlawyer.com/2014/05/02/domestic-violence-victims-arent-alone/" TargetMode="External"/><Relationship Id="rId1082" Type="http://schemas.openxmlformats.org/officeDocument/2006/relationships/hyperlink" Target="https://sbrownlawyer.com/blog/page/16/?et_blog" TargetMode="External"/><Relationship Id="rId1083" Type="http://schemas.openxmlformats.org/officeDocument/2006/relationships/hyperlink" Target="https://sbrownlawyer.com/league-city-tx-car-accident-lawyer/" TargetMode="External"/><Relationship Id="rId132" Type="http://schemas.openxmlformats.org/officeDocument/2006/relationships/hyperlink" Target="https://sbrownlawyer.com/areas-we-serve/galveston-county/friendswood/" TargetMode="External"/><Relationship Id="rId374" Type="http://schemas.openxmlformats.org/officeDocument/2006/relationships/hyperlink" Target="https://sbrownlawyer.com/galveston-boating-and-ski-accident-lawyer/" TargetMode="External"/><Relationship Id="rId1084" Type="http://schemas.openxmlformats.org/officeDocument/2006/relationships/hyperlink" Target="https://sbrownlawyer.com/2009/03/18/what-are-factors-that-may-lead-to-divorce/" TargetMode="External"/><Relationship Id="rId131" Type="http://schemas.openxmlformats.org/officeDocument/2006/relationships/hyperlink" Target="https://sbrownlawyer.com/2023/01/06/job-opportunity-senior-attorney/" TargetMode="External"/><Relationship Id="rId373" Type="http://schemas.openxmlformats.org/officeDocument/2006/relationships/hyperlink" Target="https://sbrownlawyer.com/pedestrian-accident/" TargetMode="External"/><Relationship Id="rId1085" Type="http://schemas.openxmlformats.org/officeDocument/2006/relationships/hyperlink" Target="https://sbrownlawyer.com/page/15/" TargetMode="External"/><Relationship Id="rId130" Type="http://schemas.openxmlformats.org/officeDocument/2006/relationships/hyperlink" Target="https://sbrownlawyer.com/stepparent-rights/" TargetMode="External"/><Relationship Id="rId372" Type="http://schemas.openxmlformats.org/officeDocument/2006/relationships/hyperlink" Target="https://sbrownlawyer.com/friendswood-tx-drug-charges/" TargetMode="External"/><Relationship Id="rId1086" Type="http://schemas.openxmlformats.org/officeDocument/2006/relationships/hyperlink" Target="https://sbrownlawyer.com/2018/01/22/new-criminal-offense-in-texas-for-possession-or-promotion-of-lewd-material-depicting-a-child/" TargetMode="External"/><Relationship Id="rId371" Type="http://schemas.openxmlformats.org/officeDocument/2006/relationships/hyperlink" Target="https://sbrownlawyer.com/webster-motorcycle-accident-lawyer/" TargetMode="External"/><Relationship Id="rId1087" Type="http://schemas.openxmlformats.org/officeDocument/2006/relationships/hyperlink" Target="https://sbrownlawyer.com/2009/03/02/consent-to-medical-care-by-a-non-parent/" TargetMode="External"/><Relationship Id="rId136" Type="http://schemas.openxmlformats.org/officeDocument/2006/relationships/hyperlink" Target="https://sbrownlawyer.com/2024/08/01/felony-misdemeanor-difference-league-city/" TargetMode="External"/><Relationship Id="rId378" Type="http://schemas.openxmlformats.org/officeDocument/2006/relationships/hyperlink" Target="https://sbrownlawyer.com/league-city-juvenile-crimes-lawyer/" TargetMode="External"/><Relationship Id="rId1088" Type="http://schemas.openxmlformats.org/officeDocument/2006/relationships/hyperlink" Target="https://sbrownlawyer.com/blog/page/17/?et_blog" TargetMode="External"/><Relationship Id="rId135" Type="http://schemas.openxmlformats.org/officeDocument/2006/relationships/hyperlink" Target="https://sbrownlawyer.com/2024/09/23/is-leaving-the-scene-of-an-accident-a-felony-in-angleton/" TargetMode="External"/><Relationship Id="rId377" Type="http://schemas.openxmlformats.org/officeDocument/2006/relationships/hyperlink" Target="https://sbrownlawyer.com/personal-injury" TargetMode="External"/><Relationship Id="rId1089" Type="http://schemas.openxmlformats.org/officeDocument/2006/relationships/hyperlink" Target="https://sbrownlawyer.com/page/16/" TargetMode="External"/><Relationship Id="rId134" Type="http://schemas.openxmlformats.org/officeDocument/2006/relationships/hyperlink" Target="https://sbrownlawyer.com/areas-we-serve/galveston-county/dickinson/" TargetMode="External"/><Relationship Id="rId376" Type="http://schemas.openxmlformats.org/officeDocument/2006/relationships/hyperlink" Target="https://sbrownlawyer.com/league-city-theft-crimes/" TargetMode="External"/><Relationship Id="rId133" Type="http://schemas.openxmlformats.org/officeDocument/2006/relationships/hyperlink" Target="https://sbrownlawyer.com/Contact" TargetMode="External"/><Relationship Id="rId375" Type="http://schemas.openxmlformats.org/officeDocument/2006/relationships/hyperlink" Target="https://sbrownlawyer.com/league-city-tx-theft-crimes/" TargetMode="External"/><Relationship Id="rId172" Type="http://schemas.openxmlformats.org/officeDocument/2006/relationships/hyperlink" Target="https://sbrownlawyer.com/business-and-professional-practices-in-divorce/" TargetMode="External"/><Relationship Id="rId171" Type="http://schemas.openxmlformats.org/officeDocument/2006/relationships/hyperlink" Target="https://sbrownlawyer.com/The-basics-of-Texas-child-support-requests-factors-and-guidelines" TargetMode="External"/><Relationship Id="rId170" Type="http://schemas.openxmlformats.org/officeDocument/2006/relationships/hyperlink" Target="https://sbrownlawyer.com/Divorce-in-Texas-and-the-possibility-of-spousal-support-payments" TargetMode="External"/><Relationship Id="rId165" Type="http://schemas.openxmlformats.org/officeDocument/2006/relationships/hyperlink" Target="https://sbrownlawyer.com/league-city-tx-divorce/" TargetMode="External"/><Relationship Id="rId164" Type="http://schemas.openxmlformats.org/officeDocument/2006/relationships/hyperlink" Target="https://sbrownlawyer.com/angleton/" TargetMode="External"/><Relationship Id="rId163" Type="http://schemas.openxmlformats.org/officeDocument/2006/relationships/hyperlink" Target="https://sbrownlawyer.com/Obtaining-a-protection-order-is-one-step-in-leaving-domestic-violence" TargetMode="External"/><Relationship Id="rId162" Type="http://schemas.openxmlformats.org/officeDocument/2006/relationships/hyperlink" Target="https://sbrownlawyer.com/Hidden-assets-Some-marital-property-may-not-be-obvious" TargetMode="External"/><Relationship Id="rId169" Type="http://schemas.openxmlformats.org/officeDocument/2006/relationships/hyperlink" Target="https://sbrownlawyer.com/How-to-know-if-your-spouse-is-hiding-marital-property-and-assets" TargetMode="External"/><Relationship Id="rId168" Type="http://schemas.openxmlformats.org/officeDocument/2006/relationships/hyperlink" Target="https://sbrownlawyer.com/the-divorce-process/" TargetMode="External"/><Relationship Id="rId167" Type="http://schemas.openxmlformats.org/officeDocument/2006/relationships/hyperlink" Target="https://sbrownlawyer.com/When-parents-divorce-New-study-analyzes-impact-of-divorce-on-kids" TargetMode="External"/><Relationship Id="rId166" Type="http://schemas.openxmlformats.org/officeDocument/2006/relationships/hyperlink" Target="https://sbrownlawyer.com/investment-properties/" TargetMode="External"/><Relationship Id="rId161" Type="http://schemas.openxmlformats.org/officeDocument/2006/relationships/hyperlink" Target="https://sbrownlawyer.com/hidden-assets/" TargetMode="External"/><Relationship Id="rId160" Type="http://schemas.openxmlformats.org/officeDocument/2006/relationships/hyperlink" Target="https://sbrownlawyer.com/High-Net-Worth-Divorce/" TargetMode="External"/><Relationship Id="rId159" Type="http://schemas.openxmlformats.org/officeDocument/2006/relationships/hyperlink" Target="https://sbrownlawyer.com/Detailing-some-of-Texas-s-important-child-custody-laws" TargetMode="External"/><Relationship Id="rId154" Type="http://schemas.openxmlformats.org/officeDocument/2006/relationships/hyperlink" Target="https://sbrownlawyer.com/When-alcohol-becomes-a-factor-in-divorce-proceedings" TargetMode="External"/><Relationship Id="rId396" Type="http://schemas.openxmlformats.org/officeDocument/2006/relationships/hyperlink" Target="https://sbrownlawyer.com/Divorce/High-Net-Worth-Divorce" TargetMode="External"/><Relationship Id="rId153" Type="http://schemas.openxmlformats.org/officeDocument/2006/relationships/hyperlink" Target="https://sbrownlawyer.com/uncontested-divorce-lawyer-in-pearland/" TargetMode="External"/><Relationship Id="rId395" Type="http://schemas.openxmlformats.org/officeDocument/2006/relationships/hyperlink" Target="https://sbrownlawyer.com/business-and-professional-practices-in-divorce/Asset-Division" TargetMode="External"/><Relationship Id="rId152" Type="http://schemas.openxmlformats.org/officeDocument/2006/relationships/hyperlink" Target="https://sbrownlawyer.com/Financial-Steps-To-Take-Before-Filing-For-Divorce" TargetMode="External"/><Relationship Id="rId394" Type="http://schemas.openxmlformats.org/officeDocument/2006/relationships/hyperlink" Target="https://sbrownlawyer.com/homes-and-real-estate/Assets-And-Liability" TargetMode="External"/><Relationship Id="rId151" Type="http://schemas.openxmlformats.org/officeDocument/2006/relationships/hyperlink" Target="https://sbrownlawyer.com/rule-1-file-first/" TargetMode="External"/><Relationship Id="rId393" Type="http://schemas.openxmlformats.org/officeDocument/2006/relationships/hyperlink" Target="https://sbrownlawyer.com/Scott-M-Brown" TargetMode="External"/><Relationship Id="rId158" Type="http://schemas.openxmlformats.org/officeDocument/2006/relationships/hyperlink" Target="https://sbrownlawyer.com/complex-and-contested-divorce-attorneys/" TargetMode="External"/><Relationship Id="rId157" Type="http://schemas.openxmlformats.org/officeDocument/2006/relationships/hyperlink" Target="https://sbrownlawyer.com/The-unique-aspects-of-alimony-spousal-maintenance-in-Texas" TargetMode="External"/><Relationship Id="rId399" Type="http://schemas.openxmlformats.org/officeDocument/2006/relationships/hyperlink" Target="https://sbrownlawyer.com/How-to-know-if-your-spouse-is-hiding-marital-property-and-assets/" TargetMode="External"/><Relationship Id="rId156" Type="http://schemas.openxmlformats.org/officeDocument/2006/relationships/hyperlink" Target="https://sbrownlawyer.com/retirement-accounts/" TargetMode="External"/><Relationship Id="rId398" Type="http://schemas.openxmlformats.org/officeDocument/2006/relationships/hyperlink" Target="https://sbrownlawyer.com/Divorce-in-Texas-and-the-possibility-of-spousal-support-payments/" TargetMode="External"/><Relationship Id="rId155" Type="http://schemas.openxmlformats.org/officeDocument/2006/relationships/hyperlink" Target="https://sbrownlawyer.com/How-Divorce-Can-Actually-Benefit-Children" TargetMode="External"/><Relationship Id="rId397" Type="http://schemas.openxmlformats.org/officeDocument/2006/relationships/hyperlink" Target="https://sbrownlawyer.com/league-city-high-net-worth-divorce-lawyer/" TargetMode="External"/><Relationship Id="rId808" Type="http://schemas.openxmlformats.org/officeDocument/2006/relationships/hyperlink" Target="https://sbrownlawyer.com/2019/02/01/how-are-retirement-accounts-handled-in-a-divorce/" TargetMode="External"/><Relationship Id="rId807" Type="http://schemas.openxmlformats.org/officeDocument/2006/relationships/hyperlink" Target="https://sbrownlawyer.com/2019/03/15/arrested-for-dwi-potential-police-errors-that-may-help-your-case/" TargetMode="External"/><Relationship Id="rId806" Type="http://schemas.openxmlformats.org/officeDocument/2006/relationships/hyperlink" Target="https://sbrownlawyer.com/what-are-the-dangers-of-representing-yourself-in-a-divorce/" TargetMode="External"/><Relationship Id="rId805" Type="http://schemas.openxmlformats.org/officeDocument/2006/relationships/hyperlink" Target="https://sbrownlawyer.com/2019/09/12/find-out-how-long-your-divorce-will-take/" TargetMode="External"/><Relationship Id="rId809" Type="http://schemas.openxmlformats.org/officeDocument/2006/relationships/hyperlink" Target="https://sbrownlawyer.com/2020/03/02/enforcing-a-divorce-decree-everything-you-need-to-know/" TargetMode="External"/><Relationship Id="rId800" Type="http://schemas.openxmlformats.org/officeDocument/2006/relationships/hyperlink" Target="https://sbrownlawyer.com/2012/10/08/divorce-and-child-support-texas-several-billion-dollars-behind/" TargetMode="External"/><Relationship Id="rId804" Type="http://schemas.openxmlformats.org/officeDocument/2006/relationships/hyperlink" Target="https://sbrownlawyer.com/Obtaining-a-protection-order-is-one-step-in-leaving-domestic-violence/" TargetMode="External"/><Relationship Id="rId803" Type="http://schemas.openxmlformats.org/officeDocument/2006/relationships/hyperlink" Target="https://sbrownlawyer.com/2019/05/01/the-cost-and-legal-implications-of-a-first-time-dui/" TargetMode="External"/><Relationship Id="rId802" Type="http://schemas.openxmlformats.org/officeDocument/2006/relationships/hyperlink" Target="https://sbrownlawyer.com/2012/08/03/texas-parents-may-explore-legal-options-in-child-support-payments/" TargetMode="External"/><Relationship Id="rId801" Type="http://schemas.openxmlformats.org/officeDocument/2006/relationships/hyperlink" Target="https://sbrownlawyer.com/2015/08/14/the-hurdles-of-the-back-to-school-season/" TargetMode="External"/><Relationship Id="rId40" Type="http://schemas.openxmlformats.org/officeDocument/2006/relationships/hyperlink" Target="https://sbrownlawyer.com/grandparents-rights/" TargetMode="External"/><Relationship Id="rId42" Type="http://schemas.openxmlformats.org/officeDocument/2006/relationships/hyperlink" Target="https://sbrownlawyer.com/areas-we-serve/harris-county/" TargetMode="External"/><Relationship Id="rId41" Type="http://schemas.openxmlformats.org/officeDocument/2006/relationships/hyperlink" Target="https://sbrownlawyer.com/child-support/" TargetMode="External"/><Relationship Id="rId44" Type="http://schemas.openxmlformats.org/officeDocument/2006/relationships/hyperlink" Target="https://sbrownlawyer.com/terms-of-service" TargetMode="External"/><Relationship Id="rId43" Type="http://schemas.openxmlformats.org/officeDocument/2006/relationships/hyperlink" Target="https://sbrownlawyer.com/criminal-defense/" TargetMode="External"/><Relationship Id="rId46" Type="http://schemas.openxmlformats.org/officeDocument/2006/relationships/hyperlink" Target="https://sbrownlawyer.com/areas-we-serve/fort-bend-county/" TargetMode="External"/><Relationship Id="rId45" Type="http://schemas.openxmlformats.org/officeDocument/2006/relationships/hyperlink" Target="https://sbrownlawyer.com/criminal-law/" TargetMode="External"/><Relationship Id="rId509" Type="http://schemas.openxmlformats.org/officeDocument/2006/relationships/hyperlink" Target="https://sbrownlawyer.com/2015/01/29/property-division-considerations-include-a-variety-of-assets/" TargetMode="External"/><Relationship Id="rId508" Type="http://schemas.openxmlformats.org/officeDocument/2006/relationships/hyperlink" Target="https://sbrownlawyer.com/2015/Family-Law/Domestic-Abuse-And-Protective-Orders" TargetMode="External"/><Relationship Id="rId503" Type="http://schemas.openxmlformats.org/officeDocument/2006/relationships/hyperlink" Target="https://sbrownlawyer.com/2017/09/15/how-can-an-interlock-ignition-device-help-if-a-dui-causes-a-license-suspension-in-texas/" TargetMode="External"/><Relationship Id="rId745" Type="http://schemas.openxmlformats.org/officeDocument/2006/relationships/hyperlink" Target="https://sbrownlawyer.com/2014/07/11/texas-man-jailed-over-child-support-cant-work-to-support-child/" TargetMode="External"/><Relationship Id="rId987" Type="http://schemas.openxmlformats.org/officeDocument/2006/relationships/hyperlink" Target="https://sbrownlawyer.com/2017/02/Contact" TargetMode="External"/><Relationship Id="rId502" Type="http://schemas.openxmlformats.org/officeDocument/2006/relationships/hyperlink" Target="https://sbrownlawyer.com/2017/08/01/7-key-reasons-texas-may-shift-the-property-division-in-divorces-away-from-a-50-50-split/" TargetMode="External"/><Relationship Id="rId744" Type="http://schemas.openxmlformats.org/officeDocument/2006/relationships/hyperlink" Target="https://sbrownlawyer.com/2014/08/01/texas-man-overpays-child-support-goes-to-jail/" TargetMode="External"/><Relationship Id="rId986" Type="http://schemas.openxmlformats.org/officeDocument/2006/relationships/hyperlink" Target="https://sbrownlawyer.com/2014/blog" TargetMode="External"/><Relationship Id="rId501" Type="http://schemas.openxmlformats.org/officeDocument/2006/relationships/hyperlink" Target="https://sbrownlawyer.com/schedule-now-es/" TargetMode="External"/><Relationship Id="rId743" Type="http://schemas.openxmlformats.org/officeDocument/2006/relationships/hyperlink" Target="https://sbrownlawyer.com/2014/11/28/dealing-with-dogs-as-part-of-the-property-division-process/" TargetMode="External"/><Relationship Id="rId985" Type="http://schemas.openxmlformats.org/officeDocument/2006/relationships/hyperlink" Target="https://sbrownlawyer.com/2018/05/28/what-should-you-do-if-your-teenager-gets-a-dui/" TargetMode="External"/><Relationship Id="rId500" Type="http://schemas.openxmlformats.org/officeDocument/2006/relationships/hyperlink" Target="https://sbrownlawyer.com/dwi/Multiple-DWI-Loss-Of-License" TargetMode="External"/><Relationship Id="rId742" Type="http://schemas.openxmlformats.org/officeDocument/2006/relationships/hyperlink" Target="https://sbrownlawyer.com/2012/05/25/child-custody-hearing-lands-sanders-divorce-in-the-spotlight/" TargetMode="External"/><Relationship Id="rId984" Type="http://schemas.openxmlformats.org/officeDocument/2006/relationships/hyperlink" Target="https://sbrownlawyer.com/2018/06/15/how-does-alimony-work/" TargetMode="External"/><Relationship Id="rId507" Type="http://schemas.openxmlformats.org/officeDocument/2006/relationships/hyperlink" Target="https://sbrownlawyer.com/Parental-Relocation/" TargetMode="External"/><Relationship Id="rId749" Type="http://schemas.openxmlformats.org/officeDocument/2006/relationships/hyperlink" Target="https://sbrownlawyer.com/2012/03/08/military-marriage-presents-unique-emotional-challenges/" TargetMode="External"/><Relationship Id="rId506" Type="http://schemas.openxmlformats.org/officeDocument/2006/relationships/hyperlink" Target="https://sbrownlawyer.com/Enforcement/" TargetMode="External"/><Relationship Id="rId748" Type="http://schemas.openxmlformats.org/officeDocument/2006/relationships/hyperlink" Target="https://sbrownlawyer.com/2021/09/27/how-to-find-the-best-child-custody-lawyer-in-league-city-tx-and-how-they-can-help-your-case/" TargetMode="External"/><Relationship Id="rId505" Type="http://schemas.openxmlformats.org/officeDocument/2006/relationships/hyperlink" Target="https://sbrownlawyer.com/parental-alienation/" TargetMode="External"/><Relationship Id="rId747" Type="http://schemas.openxmlformats.org/officeDocument/2006/relationships/hyperlink" Target="https://sbrownlawyer.com/2021/11/17/6-common-questions-about-child-custody/" TargetMode="External"/><Relationship Id="rId989" Type="http://schemas.openxmlformats.org/officeDocument/2006/relationships/hyperlink" Target="https://sbrownlawyer.com/2012/10/29/texas-celebrity-couple-files-for-separation-divorce-to-follow/" TargetMode="External"/><Relationship Id="rId504" Type="http://schemas.openxmlformats.org/officeDocument/2006/relationships/hyperlink" Target="https://sbrownlawyer.com/international-custody/" TargetMode="External"/><Relationship Id="rId746" Type="http://schemas.openxmlformats.org/officeDocument/2006/relationships/hyperlink" Target="https://sbrownlawyer.com/under-age-dui-defense-in-league-city-tx/" TargetMode="External"/><Relationship Id="rId988" Type="http://schemas.openxmlformats.org/officeDocument/2006/relationships/hyperlink" Target="https://sbrownlawyer.com/2014/03/21/texas-ranks-second-in-the-nation-in-domestic-violence-incidents/" TargetMode="External"/><Relationship Id="rId48" Type="http://schemas.openxmlformats.org/officeDocument/2006/relationships/hyperlink" Target="https://sbrownlawyer.com/videos-5/" TargetMode="External"/><Relationship Id="rId47" Type="http://schemas.openxmlformats.org/officeDocument/2006/relationships/hyperlink" Target="https://sbrownlawyer.com/estate-planning-probate/" TargetMode="External"/><Relationship Id="rId49" Type="http://schemas.openxmlformats.org/officeDocument/2006/relationships/hyperlink" Target="https://sbrownlawyer.com/asset-division/" TargetMode="External"/><Relationship Id="rId741" Type="http://schemas.openxmlformats.org/officeDocument/2006/relationships/hyperlink" Target="https://sbrownlawyer.com/2012/04/27/senator-looks-into-drug-testing-for-child-support-recipients/" TargetMode="External"/><Relationship Id="rId983" Type="http://schemas.openxmlformats.org/officeDocument/2006/relationships/hyperlink" Target="https://sbrownlawyer.com/2019/07/15/9-tips-for-dealing-with-divorce/" TargetMode="External"/><Relationship Id="rId740" Type="http://schemas.openxmlformats.org/officeDocument/2006/relationships/hyperlink" Target="https://sbrownlawyer.com/2013/04/18/grandparents-rights-in-texas-should-they-be-expanded/" TargetMode="External"/><Relationship Id="rId982" Type="http://schemas.openxmlformats.org/officeDocument/2006/relationships/hyperlink" Target="https://sbrownlawyer.com/2012/07/11/superstar-divorce-holmes-may-seek-full-custody-of-daughter/" TargetMode="External"/><Relationship Id="rId981" Type="http://schemas.openxmlformats.org/officeDocument/2006/relationships/hyperlink" Target="https://sbrownlawyer.com/2019/05/16/motorcycle-laws-regarding-children-in-texas/" TargetMode="External"/><Relationship Id="rId980" Type="http://schemas.openxmlformats.org/officeDocument/2006/relationships/hyperlink" Target="https://sbrownlawyer.com/2018/03/15/preparing-to-testify-in-court/" TargetMode="External"/><Relationship Id="rId31" Type="http://schemas.openxmlformats.org/officeDocument/2006/relationships/hyperlink" Target="https://sbrownlawyer.com/cohabitation/" TargetMode="External"/><Relationship Id="rId30" Type="http://schemas.openxmlformats.org/officeDocument/2006/relationships/hyperlink" Target="https://sbrownlawyer.com/contact/" TargetMode="External"/><Relationship Id="rId33" Type="http://schemas.openxmlformats.org/officeDocument/2006/relationships/hyperlink" Target="https://sbrownlawyer.com/personal-injury/" TargetMode="External"/><Relationship Id="rId32" Type="http://schemas.openxmlformats.org/officeDocument/2006/relationships/hyperlink" Target="https://sbrownlawyer.com/areas-we-serve/" TargetMode="External"/><Relationship Id="rId35" Type="http://schemas.openxmlformats.org/officeDocument/2006/relationships/hyperlink" Target="https://sbrownlawyer.com/testimonials/" TargetMode="External"/><Relationship Id="rId34" Type="http://schemas.openxmlformats.org/officeDocument/2006/relationships/hyperlink" Target="https://sbrownlawyer.com/paternity-attorney/" TargetMode="External"/><Relationship Id="rId739" Type="http://schemas.openxmlformats.org/officeDocument/2006/relationships/hyperlink" Target="https://sbrownlawyer.com/2018/09/01/what-is-a-prenuptial-agreement/" TargetMode="External"/><Relationship Id="rId734" Type="http://schemas.openxmlformats.org/officeDocument/2006/relationships/hyperlink" Target="https://sbrownlawyer.com/League%20City-tx-child-custody-visitation-lawyer/" TargetMode="External"/><Relationship Id="rId976" Type="http://schemas.openxmlformats.org/officeDocument/2006/relationships/hyperlink" Target="https://sbrownlawyer.com/2014/06/06/killeen-gets-child-support-office-with-6-employees/" TargetMode="External"/><Relationship Id="rId733" Type="http://schemas.openxmlformats.org/officeDocument/2006/relationships/hyperlink" Target="https://sbrownlawyer.com/enforcing-child-support-orders/" TargetMode="External"/><Relationship Id="rId975" Type="http://schemas.openxmlformats.org/officeDocument/2006/relationships/hyperlink" Target="https://sbrownlawyer.com/2012/06/22/international-divorce-child-support-treaty-approved-by-house/" TargetMode="External"/><Relationship Id="rId732" Type="http://schemas.openxmlformats.org/officeDocument/2006/relationships/hyperlink" Target="https://sbrownlawyer.com/League%20City-tx-family-law-modifications-lawyer/" TargetMode="External"/><Relationship Id="rId974" Type="http://schemas.openxmlformats.org/officeDocument/2006/relationships/hyperlink" Target="https://sbrownlawyer.com/2013/03/20/texas-learns-of-former-doctor-divorce-and-money-questions/" TargetMode="External"/><Relationship Id="rId731" Type="http://schemas.openxmlformats.org/officeDocument/2006/relationships/hyperlink" Target="https://sbrownlawyer.com/2013/10/30/domestic-disturbance-leads-to-arrest-of-victoria-politician/" TargetMode="External"/><Relationship Id="rId973" Type="http://schemas.openxmlformats.org/officeDocument/2006/relationships/hyperlink" Target="https://sbrownlawyer.com/2014/08/29/professional-footballers-learn-of-harsh-domestic-violence-policy/" TargetMode="External"/><Relationship Id="rId738" Type="http://schemas.openxmlformats.org/officeDocument/2006/relationships/hyperlink" Target="https://sbrownlawyer.com/2013/06/10/division-of-property-considerations-prior-to-marriage/" TargetMode="External"/><Relationship Id="rId737" Type="http://schemas.openxmlformats.org/officeDocument/2006/relationships/hyperlink" Target="https://sbrownlawyer.com/2018/09/18/can-you-refuse-a-dwi-breath-or-blood-test-in-a-dwi-stop-in-texas/" TargetMode="External"/><Relationship Id="rId979" Type="http://schemas.openxmlformats.org/officeDocument/2006/relationships/hyperlink" Target="https://sbrownlawyer.com/2018/04/17/statutory-rape-age-of-consent-in-texas-how-old-is-too-old/" TargetMode="External"/><Relationship Id="rId736" Type="http://schemas.openxmlformats.org/officeDocument/2006/relationships/hyperlink" Target="https://sbrownlawyer.com/2019/01/08/does-cheating-affect-spousal-support/" TargetMode="External"/><Relationship Id="rId978" Type="http://schemas.openxmlformats.org/officeDocument/2006/relationships/hyperlink" Target="https://sbrownlawyer.com/2012/02/13/kobe-bryant-gives-three-homes-to-wife-in-divorce-settlement/" TargetMode="External"/><Relationship Id="rId735" Type="http://schemas.openxmlformats.org/officeDocument/2006/relationships/hyperlink" Target="https://sbrownlawyer.com/2018/07/28/who-is-liable-for-crashes-that-occur-in-borrowed-vehicles/" TargetMode="External"/><Relationship Id="rId977" Type="http://schemas.openxmlformats.org/officeDocument/2006/relationships/hyperlink" Target="https://sbrownlawyer.com/2014/10/30/what-should-i-do-if-im-a-victim-of-domestic-violence/" TargetMode="External"/><Relationship Id="rId37" Type="http://schemas.openxmlformats.org/officeDocument/2006/relationships/hyperlink" Target="https://sbrownlawyer.com/personal-injury-videos/" TargetMode="External"/><Relationship Id="rId36" Type="http://schemas.openxmlformats.org/officeDocument/2006/relationships/hyperlink" Target="https://sbrownlawyer.com/criminal-defense-book/" TargetMode="External"/><Relationship Id="rId39" Type="http://schemas.openxmlformats.org/officeDocument/2006/relationships/hyperlink" Target="https://sbrownlawyer.com/attorneys/" TargetMode="External"/><Relationship Id="rId38" Type="http://schemas.openxmlformats.org/officeDocument/2006/relationships/hyperlink" Target="https://sbrownlawyer.com/enforcement/" TargetMode="External"/><Relationship Id="rId730" Type="http://schemas.openxmlformats.org/officeDocument/2006/relationships/hyperlink" Target="https://sbrownlawyer.com/2017/03/26/causes-of-fatal-traffic-accidents-in-texas/" TargetMode="External"/><Relationship Id="rId972" Type="http://schemas.openxmlformats.org/officeDocument/2006/relationships/hyperlink" Target="https://sbrownlawyer.com/2018/08/14/how-do-you-prove-fault-in-a-slip-and-fall-accident/" TargetMode="External"/><Relationship Id="rId971" Type="http://schemas.openxmlformats.org/officeDocument/2006/relationships/hyperlink" Target="https://sbrownlawyer.com/Car-Accidents/" TargetMode="External"/><Relationship Id="rId970" Type="http://schemas.openxmlformats.org/officeDocument/2006/relationships/hyperlink" Target="https://sbrownlawyer.com/2018/07/09/2016-2017-reflect-steepest-increase-in-vehicle-fatalities-in-five-decades/" TargetMode="External"/><Relationship Id="rId1114" Type="http://schemas.openxmlformats.org/officeDocument/2006/relationships/hyperlink" Target="https://sbrownlawyer.com/page/28/" TargetMode="External"/><Relationship Id="rId1115" Type="http://schemas.openxmlformats.org/officeDocument/2006/relationships/hyperlink" Target="https://sbrownlawyer.com/blog/page/30/?et_blog" TargetMode="External"/><Relationship Id="rId20" Type="http://schemas.openxmlformats.org/officeDocument/2006/relationships/hyperlink" Target="https://sbrownlawyer.com/texas/locations/league-city/" TargetMode="External"/><Relationship Id="rId1116" Type="http://schemas.openxmlformats.org/officeDocument/2006/relationships/hyperlink" Target="https://sbrownlawyer.com/page/29/" TargetMode="External"/><Relationship Id="rId1117" Type="http://schemas.openxmlformats.org/officeDocument/2006/relationships/hyperlink" Target="https://sbrownlawyer.com/blog/page/31/?et_blog" TargetMode="External"/><Relationship Id="rId22" Type="http://schemas.openxmlformats.org/officeDocument/2006/relationships/hyperlink" Target="https://sbrownlawyer.com/news/" TargetMode="External"/><Relationship Id="rId1118" Type="http://schemas.openxmlformats.org/officeDocument/2006/relationships/hyperlink" Target="https://sbrownlawyer.com/page/30/" TargetMode="External"/><Relationship Id="rId21" Type="http://schemas.openxmlformats.org/officeDocument/2006/relationships/hyperlink" Target="https://sbrownlawyer.com/criminal-defense-videos/" TargetMode="External"/><Relationship Id="rId1119" Type="http://schemas.openxmlformats.org/officeDocument/2006/relationships/hyperlink" Target="https://sbrownlawyer.com/blog/page/32/?et_blog" TargetMode="External"/><Relationship Id="rId24" Type="http://schemas.openxmlformats.org/officeDocument/2006/relationships/hyperlink" Target="https://sbrownlawyer.com/business-owner-divorce/" TargetMode="External"/><Relationship Id="rId23" Type="http://schemas.openxmlformats.org/officeDocument/2006/relationships/hyperlink" Target="https://sbrownlawyer.com/disclaimer/" TargetMode="External"/><Relationship Id="rId525" Type="http://schemas.openxmlformats.org/officeDocument/2006/relationships/hyperlink" Target="https://sbrownlawyer.com/2021/09/27/how-to-find-the-best-child-custody-lawyer-in-League%20City-tx-and-how-they-can-help-your-case/" TargetMode="External"/><Relationship Id="rId767" Type="http://schemas.openxmlformats.org/officeDocument/2006/relationships/hyperlink" Target="https://sbrownlawyer.com/2019/10/15/married-couples-cannot-legally-separate-in-texas/" TargetMode="External"/><Relationship Id="rId524" Type="http://schemas.openxmlformats.org/officeDocument/2006/relationships/hyperlink" Target="https://sbrownlawyer.com/league-city-family-family-lawyer/" TargetMode="External"/><Relationship Id="rId766" Type="http://schemas.openxmlformats.org/officeDocument/2006/relationships/hyperlink" Target="https://sbrownlawyer.com/domestic-violence/Restraining-Orders" TargetMode="External"/><Relationship Id="rId523" Type="http://schemas.openxmlformats.org/officeDocument/2006/relationships/hyperlink" Target="https://sbrownlawyer.com/2017/04/19/grounds-for-changing-a-custody-order-in-texas/" TargetMode="External"/><Relationship Id="rId765" Type="http://schemas.openxmlformats.org/officeDocument/2006/relationships/hyperlink" Target="https://sbrownlawyer.com/domestic-violence/Child-Abuse" TargetMode="External"/><Relationship Id="rId522" Type="http://schemas.openxmlformats.org/officeDocument/2006/relationships/hyperlink" Target="https://sbrownlawyer.com/2013/11/01/considering-relocation-laws-when-making-custody-arrangements/" TargetMode="External"/><Relationship Id="rId764" Type="http://schemas.openxmlformats.org/officeDocument/2006/relationships/hyperlink" Target="https://sbrownlawyer.com/2019/09/15/how-to-fight-a-protective-order/" TargetMode="External"/><Relationship Id="rId529" Type="http://schemas.openxmlformats.org/officeDocument/2006/relationships/hyperlink" Target="https://sbrownlawyer.com/2012/05/10/family-law-do-child-custody-managers-have-too-much-power/" TargetMode="External"/><Relationship Id="rId528" Type="http://schemas.openxmlformats.org/officeDocument/2006/relationships/hyperlink" Target="https://sbrownlawyer.com/2013/05/03/texas-child-custody-battle-abduction-amber-alert-arrest/" TargetMode="External"/><Relationship Id="rId527" Type="http://schemas.openxmlformats.org/officeDocument/2006/relationships/hyperlink" Target="https://sbrownlawyer.com/2018/09/12/what-is-joint-custody/" TargetMode="External"/><Relationship Id="rId769" Type="http://schemas.openxmlformats.org/officeDocument/2006/relationships/hyperlink" Target="https://sbrownlawyer.com/2020/10/29/how-to-tell-if-youre-too-drunk-to-drive-and-how-to-prevent-yourself-from-becoming-a-drunk-driver/" TargetMode="External"/><Relationship Id="rId526" Type="http://schemas.openxmlformats.org/officeDocument/2006/relationships/hyperlink" Target="https://sbrownlawyer.com/family-law-attorney-in-galveston/" TargetMode="External"/><Relationship Id="rId768" Type="http://schemas.openxmlformats.org/officeDocument/2006/relationships/hyperlink" Target="https://sbrownlawyer.com/2020/07/23/what-is-the-best-dwi-defense-a-look-at-the-different-scenarios/" TargetMode="External"/><Relationship Id="rId26" Type="http://schemas.openxmlformats.org/officeDocument/2006/relationships/hyperlink" Target="https://sbrownlawyer.com/child-custody/" TargetMode="External"/><Relationship Id="rId25" Type="http://schemas.openxmlformats.org/officeDocument/2006/relationships/hyperlink" Target="https://sbrownlawyer.com/areas-we-serve/matagorda-county/" TargetMode="External"/><Relationship Id="rId28" Type="http://schemas.openxmlformats.org/officeDocument/2006/relationships/hyperlink" Target="https://sbrownlawyer.com/child-support/child-support-modifications/" TargetMode="External"/><Relationship Id="rId27" Type="http://schemas.openxmlformats.org/officeDocument/2006/relationships/hyperlink" Target="https://sbrownlawyer.com/Scott-M-Brown/" TargetMode="External"/><Relationship Id="rId521" Type="http://schemas.openxmlformats.org/officeDocument/2006/relationships/hyperlink" Target="https://sbrownlawyer.com/2017/12/15/domestic-violence-and-custody-determinations-in-texas/" TargetMode="External"/><Relationship Id="rId763" Type="http://schemas.openxmlformats.org/officeDocument/2006/relationships/hyperlink" Target="https://sbrownlawyer.com/guiding-your-children-through-divorce/" TargetMode="External"/><Relationship Id="rId1110" Type="http://schemas.openxmlformats.org/officeDocument/2006/relationships/hyperlink" Target="https://sbrownlawyer.com/page/26/" TargetMode="External"/><Relationship Id="rId29" Type="http://schemas.openxmlformats.org/officeDocument/2006/relationships/hyperlink" Target="https://sbrownlawyer.com/case-results/" TargetMode="External"/><Relationship Id="rId520" Type="http://schemas.openxmlformats.org/officeDocument/2006/relationships/hyperlink" Target="https://sbrownlawyer.com/2021/05/06/confronting-gender-bias-in-child-custody-arrangements/" TargetMode="External"/><Relationship Id="rId762" Type="http://schemas.openxmlformats.org/officeDocument/2006/relationships/hyperlink" Target="https://sbrownlawyer.com/2019/03/08/do-stepparents-ever-have-rights-in-a-divorce/" TargetMode="External"/><Relationship Id="rId1111" Type="http://schemas.openxmlformats.org/officeDocument/2006/relationships/hyperlink" Target="https://sbrownlawyer.com/blog/page/28/?et_blog" TargetMode="External"/><Relationship Id="rId761" Type="http://schemas.openxmlformats.org/officeDocument/2006/relationships/hyperlink" Target="https://sbrownlawyer.com/2019/02/15/how-can-social-media-affect-divorce/" TargetMode="External"/><Relationship Id="rId1112" Type="http://schemas.openxmlformats.org/officeDocument/2006/relationships/hyperlink" Target="https://sbrownlawyer.com/page/27/" TargetMode="External"/><Relationship Id="rId760" Type="http://schemas.openxmlformats.org/officeDocument/2006/relationships/hyperlink" Target="https://sbrownlawyer.com/2018/12/05/does-a-domestic-violence-charge-affect-my-joint-custody-order/" TargetMode="External"/><Relationship Id="rId1113" Type="http://schemas.openxmlformats.org/officeDocument/2006/relationships/hyperlink" Target="https://sbrownlawyer.com/blog/page/29/?et_blog" TargetMode="External"/><Relationship Id="rId1103" Type="http://schemas.openxmlformats.org/officeDocument/2006/relationships/hyperlink" Target="https://sbrownlawyer.com/blog/page/24/?et_blog" TargetMode="External"/><Relationship Id="rId1104" Type="http://schemas.openxmlformats.org/officeDocument/2006/relationships/hyperlink" Target="https://sbrownlawyer.com/page/23/" TargetMode="External"/><Relationship Id="rId1105" Type="http://schemas.openxmlformats.org/officeDocument/2006/relationships/hyperlink" Target="https://sbrownlawyer.com/blog/page/25/?et_blog" TargetMode="External"/><Relationship Id="rId1106" Type="http://schemas.openxmlformats.org/officeDocument/2006/relationships/hyperlink" Target="https://sbrownlawyer.com/page/24/" TargetMode="External"/><Relationship Id="rId11" Type="http://schemas.openxmlformats.org/officeDocument/2006/relationships/hyperlink" Target="https://sbrownlawyer.com/prenuptial-agreements/" TargetMode="External"/><Relationship Id="rId1107" Type="http://schemas.openxmlformats.org/officeDocument/2006/relationships/hyperlink" Target="https://sbrownlawyer.com/blog/page/26/?et_blog" TargetMode="External"/><Relationship Id="rId10" Type="http://schemas.openxmlformats.org/officeDocument/2006/relationships/hyperlink" Target="https://sbrownlawyer.com/adoption/" TargetMode="External"/><Relationship Id="rId1108" Type="http://schemas.openxmlformats.org/officeDocument/2006/relationships/hyperlink" Target="https://sbrownlawyer.com/page/25/" TargetMode="External"/><Relationship Id="rId13" Type="http://schemas.openxmlformats.org/officeDocument/2006/relationships/hyperlink" Target="https://sbrownlawyer.com/2024/07/08/open-vs-closed-aoption-angleton-texas/" TargetMode="External"/><Relationship Id="rId1109" Type="http://schemas.openxmlformats.org/officeDocument/2006/relationships/hyperlink" Target="https://sbrownlawyer.com/blog/page/27/?et_blog" TargetMode="External"/><Relationship Id="rId12" Type="http://schemas.openxmlformats.org/officeDocument/2006/relationships/hyperlink" Target="https://sbrownlawyer.com/blog/" TargetMode="External"/><Relationship Id="rId519" Type="http://schemas.openxmlformats.org/officeDocument/2006/relationships/hyperlink" Target="https://sbrownlawyer.com/2013/02/18/texas-child-support-debt-may-result-in-tax-refund-garnishment/" TargetMode="External"/><Relationship Id="rId514" Type="http://schemas.openxmlformats.org/officeDocument/2006/relationships/hyperlink" Target="https://sbrownlawyer.com/2016/03/25/alimony-payments-are-helpful-but-not-mandatory/" TargetMode="External"/><Relationship Id="rId756" Type="http://schemas.openxmlformats.org/officeDocument/2006/relationships/hyperlink" Target="https://sbrownlawyer.com/2021/11/17/divorce-and-child-custody/" TargetMode="External"/><Relationship Id="rId998" Type="http://schemas.openxmlformats.org/officeDocument/2006/relationships/hyperlink" Target="https://sbrownlawyer.com/blog/page/11/?et_blog" TargetMode="External"/><Relationship Id="rId513" Type="http://schemas.openxmlformats.org/officeDocument/2006/relationships/hyperlink" Target="https://sbrownlawyer.com/2016/02/26/protective-orders-and-divorce-why-you-need-an-attorney/" TargetMode="External"/><Relationship Id="rId755" Type="http://schemas.openxmlformats.org/officeDocument/2006/relationships/hyperlink" Target="https://sbrownlawyer.com/2015/06/28/child-support-enforcement-license-suspension/" TargetMode="External"/><Relationship Id="rId997" Type="http://schemas.openxmlformats.org/officeDocument/2006/relationships/hyperlink" Target="https://sbrownlawyer.com/2019/07/01/charged-with-dwi-now-what/" TargetMode="External"/><Relationship Id="rId512" Type="http://schemas.openxmlformats.org/officeDocument/2006/relationships/hyperlink" Target="https://sbrownlawyer.com/2015/05/15/what-will-happen-to-my-retirement/" TargetMode="External"/><Relationship Id="rId754" Type="http://schemas.openxmlformats.org/officeDocument/2006/relationships/hyperlink" Target="https://sbrownlawyer.com/2016/08/25/signs-that-a-spouse-is-hiding-assets/" TargetMode="External"/><Relationship Id="rId996" Type="http://schemas.openxmlformats.org/officeDocument/2006/relationships/hyperlink" Target="https://sbrownlawyer.com/page/9/" TargetMode="External"/><Relationship Id="rId511" Type="http://schemas.openxmlformats.org/officeDocument/2006/relationships/hyperlink" Target="https://sbrownlawyer.com/2015/06/12/a-bed-shortage-is-affecting-texas-domestic-violence-shelters/" TargetMode="External"/><Relationship Id="rId753" Type="http://schemas.openxmlformats.org/officeDocument/2006/relationships/hyperlink" Target="https://sbrownlawyer.com/2016/08/04/postnuptial-agreements-in-texas/" TargetMode="External"/><Relationship Id="rId995" Type="http://schemas.openxmlformats.org/officeDocument/2006/relationships/hyperlink" Target="https://sbrownlawyer.com/2014/03/28/property-division-and-other-considerations-in-adkins-divorce/" TargetMode="External"/><Relationship Id="rId518" Type="http://schemas.openxmlformats.org/officeDocument/2006/relationships/hyperlink" Target="https://sbrownlawyer.com/2013/12/20/alimony-payments-may-be-tax-deductible/" TargetMode="External"/><Relationship Id="rId517" Type="http://schemas.openxmlformats.org/officeDocument/2006/relationships/hyperlink" Target="https://sbrownlawyer.com/2014/01/17/new-texas-law-aims-to-protect-pets-during-domestic-abuse-cases/" TargetMode="External"/><Relationship Id="rId759" Type="http://schemas.openxmlformats.org/officeDocument/2006/relationships/hyperlink" Target="https://sbrownlawyer.com/2020/03/20/finding-a-dwi-attorney-what-you-need-to-know/" TargetMode="External"/><Relationship Id="rId516" Type="http://schemas.openxmlformats.org/officeDocument/2006/relationships/hyperlink" Target="https://sbrownlawyer.com/how-is-property-divided-in-a-texas-divorce/" TargetMode="External"/><Relationship Id="rId758" Type="http://schemas.openxmlformats.org/officeDocument/2006/relationships/hyperlink" Target="https://sbrownlawyer.com/2016/04/29/child-custody-agreements-can-vary-greatly-depending-on-the-case/" TargetMode="External"/><Relationship Id="rId515" Type="http://schemas.openxmlformats.org/officeDocument/2006/relationships/hyperlink" Target="https://sbrownlawyer.com/2015/02/27/divorce-trends-and-reasons-throughout-the-year/" TargetMode="External"/><Relationship Id="rId757" Type="http://schemas.openxmlformats.org/officeDocument/2006/relationships/hyperlink" Target="https://sbrownlawyer.com/2016/04/14/finances-are-an-important-aspect-of-gray-divorce/" TargetMode="External"/><Relationship Id="rId999" Type="http://schemas.openxmlformats.org/officeDocument/2006/relationships/hyperlink" Target="https://sbrownlawyer.com/2018/05/22/what-is-power-of-attorney-and-how-does-it-work/" TargetMode="External"/><Relationship Id="rId15" Type="http://schemas.openxmlformats.org/officeDocument/2006/relationships/hyperlink" Target="https://sbrownlawyer.com/privacy-policy" TargetMode="External"/><Relationship Id="rId990" Type="http://schemas.openxmlformats.org/officeDocument/2006/relationships/hyperlink" Target="https://sbrownlawyer.com/2017/02/14/the-difference-between-arbitration-mediation-and-trial-in-divorce/" TargetMode="External"/><Relationship Id="rId14" Type="http://schemas.openxmlformats.org/officeDocument/2006/relationships/hyperlink" Target="https://sbrownlawyer.com/immigration/" TargetMode="External"/><Relationship Id="rId17" Type="http://schemas.openxmlformats.org/officeDocument/2006/relationships/hyperlink" Target="https://sbrownlawyer.com/gray-divorce/" TargetMode="External"/><Relationship Id="rId16" Type="http://schemas.openxmlformats.org/officeDocument/2006/relationships/hyperlink" Target="https://sbrownlawyer.com/divorce/" TargetMode="External"/><Relationship Id="rId19" Type="http://schemas.openxmlformats.org/officeDocument/2006/relationships/hyperlink" Target="https://sbrownlawyer.com/attorneys-working-to-achieve-your-alimony-goals/" TargetMode="External"/><Relationship Id="rId510" Type="http://schemas.openxmlformats.org/officeDocument/2006/relationships/hyperlink" Target="https://sbrownlawyer.com/Family-Law/Visitation" TargetMode="External"/><Relationship Id="rId752" Type="http://schemas.openxmlformats.org/officeDocument/2006/relationships/hyperlink" Target="https://sbrownlawyer.com/2012/03/23/dennis-quaid-and-his-third-wife-move-toward-divorce/" TargetMode="External"/><Relationship Id="rId994" Type="http://schemas.openxmlformats.org/officeDocument/2006/relationships/hyperlink" Target="https://sbrownlawyer.com/blog/page/10/?et_blog" TargetMode="External"/><Relationship Id="rId18" Type="http://schemas.openxmlformats.org/officeDocument/2006/relationships/hyperlink" Target="https://sbrownlawyer.com/lgbtq-divorce/" TargetMode="External"/><Relationship Id="rId751" Type="http://schemas.openxmlformats.org/officeDocument/2006/relationships/hyperlink" Target="https://sbrownlawyer.com/2018/03/30/common-shared-parenting-myths/" TargetMode="External"/><Relationship Id="rId993" Type="http://schemas.openxmlformats.org/officeDocument/2006/relationships/hyperlink" Target="https://sbrownlawyer.com/2012/11/07/importance-of-knowing-legal-options-in-texas-child-support-fights/" TargetMode="External"/><Relationship Id="rId1100" Type="http://schemas.openxmlformats.org/officeDocument/2006/relationships/hyperlink" Target="https://sbrownlawyer.com/page/21/" TargetMode="External"/><Relationship Id="rId750" Type="http://schemas.openxmlformats.org/officeDocument/2006/relationships/hyperlink" Target="https://sbrownlawyer.com/2018/04/02/april-is-distracted-driving-awareness-month-stay-focused-on-the-road/" TargetMode="External"/><Relationship Id="rId992" Type="http://schemas.openxmlformats.org/officeDocument/2006/relationships/hyperlink" Target="https://sbrownlawyer.com/2018/05/15/what-is-medical-support-in-texas/" TargetMode="External"/><Relationship Id="rId1101" Type="http://schemas.openxmlformats.org/officeDocument/2006/relationships/hyperlink" Target="https://sbrownlawyer.com/blog/page/23/?et_blog" TargetMode="External"/><Relationship Id="rId991" Type="http://schemas.openxmlformats.org/officeDocument/2006/relationships/hyperlink" Target="https://sbrownlawyer.com/2018/05/15/prenuptial-agreements-in-texas-what-they-do-do-not-protect/" TargetMode="External"/><Relationship Id="rId1102" Type="http://schemas.openxmlformats.org/officeDocument/2006/relationships/hyperlink" Target="https://sbrownlawyer.com/page/22/" TargetMode="External"/><Relationship Id="rId84" Type="http://schemas.openxmlformats.org/officeDocument/2006/relationships/hyperlink" Target="https://sbrownlawyer.com/foot-injury/" TargetMode="External"/><Relationship Id="rId83" Type="http://schemas.openxmlformats.org/officeDocument/2006/relationships/hyperlink" Target="https://sbrownlawyer.com/consular-processing-pearland-lawyer/" TargetMode="External"/><Relationship Id="rId86" Type="http://schemas.openxmlformats.org/officeDocument/2006/relationships/hyperlink" Target="https://sbrownlawyer.com/steps-in-settling-your-claim-in-texas/" TargetMode="External"/><Relationship Id="rId85" Type="http://schemas.openxmlformats.org/officeDocument/2006/relationships/hyperlink" Target="https://sbrownlawyer.com/hiring-sexual-assault-defense-lawyer/" TargetMode="External"/><Relationship Id="rId88" Type="http://schemas.openxmlformats.org/officeDocument/2006/relationships/hyperlink" Target="https://sbrownlawyer.com/child-sex-offenses/" TargetMode="External"/><Relationship Id="rId87" Type="http://schemas.openxmlformats.org/officeDocument/2006/relationships/hyperlink" Target="https://sbrownlawyer.com/date-rape/" TargetMode="External"/><Relationship Id="rId89" Type="http://schemas.openxmlformats.org/officeDocument/2006/relationships/hyperlink" Target="https://sbrownlawyer.com/sex-crimes/sex-offender-registration/" TargetMode="External"/><Relationship Id="rId709" Type="http://schemas.openxmlformats.org/officeDocument/2006/relationships/hyperlink" Target="https://sbrownlawyer.com/League%20City-tx-criminal-defense-lawyers/" TargetMode="External"/><Relationship Id="rId708" Type="http://schemas.openxmlformats.org/officeDocument/2006/relationships/hyperlink" Target="https://sbrownlawyer.com/2016/01/01/child-support-deviations-and-you/" TargetMode="External"/><Relationship Id="rId707" Type="http://schemas.openxmlformats.org/officeDocument/2006/relationships/hyperlink" Target="https://sbrownlawyer.com/2019/11/25/how-to-create-a-parenting-plan-that-works-for-both-parties/" TargetMode="External"/><Relationship Id="rId949" Type="http://schemas.openxmlformats.org/officeDocument/2006/relationships/hyperlink" Target="https://sbrownlawyer.com/blog/2017/03/a-court-date-is-not-one-you-want-to-miss.shtml" TargetMode="External"/><Relationship Id="rId706" Type="http://schemas.openxmlformats.org/officeDocument/2006/relationships/hyperlink" Target="https://sbrownlawyer.com/pearland-law-office/" TargetMode="External"/><Relationship Id="rId948" Type="http://schemas.openxmlformats.org/officeDocument/2006/relationships/hyperlink" Target="https://sbrownlawyer.com/blog/criminal-defense/" TargetMode="External"/><Relationship Id="rId80" Type="http://schemas.openxmlformats.org/officeDocument/2006/relationships/hyperlink" Target="https://sbrownlawyer.com/product-liability/" TargetMode="External"/><Relationship Id="rId82" Type="http://schemas.openxmlformats.org/officeDocument/2006/relationships/hyperlink" Target="https://sbrownlawyer.com/vehicular-accidents/" TargetMode="External"/><Relationship Id="rId81" Type="http://schemas.openxmlformats.org/officeDocument/2006/relationships/hyperlink" Target="https://sbrownlawyer.com/face-injury/" TargetMode="External"/><Relationship Id="rId701" Type="http://schemas.openxmlformats.org/officeDocument/2006/relationships/hyperlink" Target="https://sbrownlawyer.com/page/5/" TargetMode="External"/><Relationship Id="rId943" Type="http://schemas.openxmlformats.org/officeDocument/2006/relationships/hyperlink" Target="https://sbrownlawyer.com/2018/07/15/what-to-do-when-your-ex-disregards-the-settlement-agreement/" TargetMode="External"/><Relationship Id="rId700" Type="http://schemas.openxmlformats.org/officeDocument/2006/relationships/hyperlink" Target="https://sbrownlawyer.com/2019/01/01/how-to-prepare-for-your-mediation/" TargetMode="External"/><Relationship Id="rId942" Type="http://schemas.openxmlformats.org/officeDocument/2006/relationships/hyperlink" Target="https://sbrownlawyer.com/what-to-do-after-a-serious-car-accident/Car-Accidents" TargetMode="External"/><Relationship Id="rId941" Type="http://schemas.openxmlformats.org/officeDocument/2006/relationships/hyperlink" Target="https://sbrownlawyer.com/2013/07/09/continuing-to-wait-on-russian-child-adoption-ban-to-be-lifted/" TargetMode="External"/><Relationship Id="rId940" Type="http://schemas.openxmlformats.org/officeDocument/2006/relationships/hyperlink" Target="https://sbrownlawyer.com/2018/08/15/how-does-military-deployment-affect-child-custody/" TargetMode="External"/><Relationship Id="rId705" Type="http://schemas.openxmlformats.org/officeDocument/2006/relationships/hyperlink" Target="https://sbrownlawyer.com/2019/11/02/can-digital-currency-complicate-divorce/" TargetMode="External"/><Relationship Id="rId947" Type="http://schemas.openxmlformats.org/officeDocument/2006/relationships/hyperlink" Target="https://sbrownlawyer.com/2018/08/07/does-texas-have-some-of-the-worst-roads-and-dangerous-highways/" TargetMode="External"/><Relationship Id="rId704" Type="http://schemas.openxmlformats.org/officeDocument/2006/relationships/hyperlink" Target="https://sbrownlawyer.com/2019/04/01/fighting-for-your-child-the-top-tips-for-winning-a-child-custody-battle/" TargetMode="External"/><Relationship Id="rId946" Type="http://schemas.openxmlformats.org/officeDocument/2006/relationships/hyperlink" Target="https://sbrownlawyer.com/Car-Accidents" TargetMode="External"/><Relationship Id="rId703" Type="http://schemas.openxmlformats.org/officeDocument/2006/relationships/hyperlink" Target="https://sbrownlawyer.com/2019/12/17/how-to-get-your-license-back-after-a-dwi/" TargetMode="External"/><Relationship Id="rId945" Type="http://schemas.openxmlformats.org/officeDocument/2006/relationships/hyperlink" Target="https://sbrownlawyer.com/2018/01/16/unregulated-child-custody-transfer-now-illegal/" TargetMode="External"/><Relationship Id="rId702" Type="http://schemas.openxmlformats.org/officeDocument/2006/relationships/hyperlink" Target="https://sbrownlawyer.com/2019/04/10/can-a-dwi-affect-your-divorce-proceedings/" TargetMode="External"/><Relationship Id="rId944" Type="http://schemas.openxmlformats.org/officeDocument/2006/relationships/hyperlink" Target="https://sbrownlawyer.com/juvenile-crimes/" TargetMode="External"/><Relationship Id="rId73" Type="http://schemas.openxmlformats.org/officeDocument/2006/relationships/hyperlink" Target="https://sbrownlawyer.com/criminal-law/indecent-exposure/" TargetMode="External"/><Relationship Id="rId72" Type="http://schemas.openxmlformats.org/officeDocument/2006/relationships/hyperlink" Target="https://sbrownlawyer.com/uber-lyft-accidents/" TargetMode="External"/><Relationship Id="rId75" Type="http://schemas.openxmlformats.org/officeDocument/2006/relationships/hyperlink" Target="https://sbrownlawyer.com/aggravated-sexual-assault/" TargetMode="External"/><Relationship Id="rId74" Type="http://schemas.openxmlformats.org/officeDocument/2006/relationships/hyperlink" Target="https://sbrownlawyer.com/premises-liability/" TargetMode="External"/><Relationship Id="rId77" Type="http://schemas.openxmlformats.org/officeDocument/2006/relationships/hyperlink" Target="https://sbrownlawyer.com/motorcycle-accident/" TargetMode="External"/><Relationship Id="rId76" Type="http://schemas.openxmlformats.org/officeDocument/2006/relationships/hyperlink" Target="https://sbrownlawyer.com/assault/" TargetMode="External"/><Relationship Id="rId79" Type="http://schemas.openxmlformats.org/officeDocument/2006/relationships/hyperlink" Target="https://sbrownlawyer.com/drug-crimes/" TargetMode="External"/><Relationship Id="rId78" Type="http://schemas.openxmlformats.org/officeDocument/2006/relationships/hyperlink" Target="https://sbrownlawyer.com/grand-theft/" TargetMode="External"/><Relationship Id="rId939" Type="http://schemas.openxmlformats.org/officeDocument/2006/relationships/hyperlink" Target="https://sbrownlawyer.com/2012/06/15/military-divorce-rates-continue-to-rise/" TargetMode="External"/><Relationship Id="rId938" Type="http://schemas.openxmlformats.org/officeDocument/2006/relationships/hyperlink" Target="https://sbrownlawyer.com/2013/03/28/texas-jury-in-sanders-case-makes-child-custody-ruling/" TargetMode="External"/><Relationship Id="rId937" Type="http://schemas.openxmlformats.org/officeDocument/2006/relationships/hyperlink" Target="https://sbrownlawyer.com/2014/11/06/how-can-i-handle-a-parental-abduction-in-texas/" TargetMode="External"/><Relationship Id="rId71" Type="http://schemas.openxmlformats.org/officeDocument/2006/relationships/hyperlink" Target="https://sbrownlawyer.com/rape-sexual-assault/" TargetMode="External"/><Relationship Id="rId70" Type="http://schemas.openxmlformats.org/officeDocument/2006/relationships/hyperlink" Target="https://sbrownlawyer.com/truck-accident/" TargetMode="External"/><Relationship Id="rId932" Type="http://schemas.openxmlformats.org/officeDocument/2006/relationships/hyperlink" Target="https://sbrownlawyer.com/2018/04/15/the-benefits-of-mediating-your-divorce-or-custody-case/" TargetMode="External"/><Relationship Id="rId931" Type="http://schemas.openxmlformats.org/officeDocument/2006/relationships/hyperlink" Target="https://sbrownlawyer.com/2018/03/19/what-constitutes-an-easy-divorce/" TargetMode="External"/><Relationship Id="rId930" Type="http://schemas.openxmlformats.org/officeDocument/2006/relationships/hyperlink" Target="https://sbrownlawyer.com/2019/08/01/7-common-texas-dwi-myths-busted/" TargetMode="External"/><Relationship Id="rId936" Type="http://schemas.openxmlformats.org/officeDocument/2006/relationships/hyperlink" Target="https://sbrownlawyer.com/2012/divorce" TargetMode="External"/><Relationship Id="rId935" Type="http://schemas.openxmlformats.org/officeDocument/2006/relationships/hyperlink" Target="https://sbrownlawyer.com/2014/06/13/muslim-women-dont-have-to-live-with-domestic-abuse/" TargetMode="External"/><Relationship Id="rId934" Type="http://schemas.openxmlformats.org/officeDocument/2006/relationships/hyperlink" Target="https://sbrownlawyer.com/2014/08/22/financial-considerations-during-a-divorce-in-texas/" TargetMode="External"/><Relationship Id="rId933" Type="http://schemas.openxmlformats.org/officeDocument/2006/relationships/hyperlink" Target="https://sbrownlawyer.com/2012/02/16/reduce-divorce-complications-with-a-prenuptial-agreement/" TargetMode="External"/><Relationship Id="rId62" Type="http://schemas.openxmlformats.org/officeDocument/2006/relationships/hyperlink" Target="https://sbrownlawyer.com/doctor-divorce-videos/" TargetMode="External"/><Relationship Id="rId61" Type="http://schemas.openxmlformats.org/officeDocument/2006/relationships/hyperlink" Target="https://sbrownlawyer.com/texas-family-law-attorney/" TargetMode="External"/><Relationship Id="rId64" Type="http://schemas.openxmlformats.org/officeDocument/2006/relationships/hyperlink" Target="https://sbrownlawyer.com/postnuptial-agreements/" TargetMode="External"/><Relationship Id="rId63" Type="http://schemas.openxmlformats.org/officeDocument/2006/relationships/hyperlink" Target="https://sbrownlawyer.com/2024/04/24/texas-alimony-am-i-entitled/" TargetMode="External"/><Relationship Id="rId66" Type="http://schemas.openxmlformats.org/officeDocument/2006/relationships/hyperlink" Target="https://sbrownlawyer.com/traumatic-brain-injury/" TargetMode="External"/><Relationship Id="rId65" Type="http://schemas.openxmlformats.org/officeDocument/2006/relationships/hyperlink" Target="https://sbrownlawyer.com/head-injury/" TargetMode="External"/><Relationship Id="rId68" Type="http://schemas.openxmlformats.org/officeDocument/2006/relationships/hyperlink" Target="https://sbrownlawyer.com/personal-injury-in-texas/boat-accidents/" TargetMode="External"/><Relationship Id="rId67" Type="http://schemas.openxmlformats.org/officeDocument/2006/relationships/hyperlink" Target="https://sbrownlawyer.com/divorce-book/" TargetMode="External"/><Relationship Id="rId729" Type="http://schemas.openxmlformats.org/officeDocument/2006/relationships/hyperlink" Target="https://sbrownlawyer.com/2017/12/01/texas-sb-179-aims-at-preventing-cyberbullying/" TargetMode="External"/><Relationship Id="rId728" Type="http://schemas.openxmlformats.org/officeDocument/2006/relationships/hyperlink" Target="https://sbrownlawyer.com/2017/04/25/resolving-a-high-asset-divorce-with-a-family-law-attorney/" TargetMode="External"/><Relationship Id="rId60" Type="http://schemas.openxmlformats.org/officeDocument/2006/relationships/hyperlink" Target="https://sbrownlawyer.com/family-law/visitation/" TargetMode="External"/><Relationship Id="rId723" Type="http://schemas.openxmlformats.org/officeDocument/2006/relationships/hyperlink" Target="https://sbrownlawyer.com/2016/04/05/can-someone-convicted-of-domestic-violence-own-a-gun/" TargetMode="External"/><Relationship Id="rId965" Type="http://schemas.openxmlformats.org/officeDocument/2006/relationships/hyperlink" Target="https://sbrownlawyer.com/personal-injury/Car-Accidents" TargetMode="External"/><Relationship Id="rId722" Type="http://schemas.openxmlformats.org/officeDocument/2006/relationships/hyperlink" Target="https://sbrownlawyer.com/meghan-beytebiere/" TargetMode="External"/><Relationship Id="rId964" Type="http://schemas.openxmlformats.org/officeDocument/2006/relationships/hyperlink" Target="https://sbrownlawyer.com/criminal-defense-handcuffs/" TargetMode="External"/><Relationship Id="rId721" Type="http://schemas.openxmlformats.org/officeDocument/2006/relationships/hyperlink" Target="https://sbrownlawyer.com/2016/02/12/is-there-a-way-to-avoid-monthly-alimony-payments/" TargetMode="External"/><Relationship Id="rId963" Type="http://schemas.openxmlformats.org/officeDocument/2006/relationships/hyperlink" Target="https://sbrownlawyer.com/blog/2017/03/a-court-date-is-not-one-you-want-to-miss" TargetMode="External"/><Relationship Id="rId720" Type="http://schemas.openxmlformats.org/officeDocument/2006/relationships/hyperlink" Target="https://sbrownlawyer.com/2015/05/01/mother-who-took-daughter-to-concert-isnt-bad-parent/" TargetMode="External"/><Relationship Id="rId962" Type="http://schemas.openxmlformats.org/officeDocument/2006/relationships/hyperlink" Target="https://sbrownlawyer.com/types-of-compensation-in-a-personal-injury-case/Wrongful-Death" TargetMode="External"/><Relationship Id="rId727" Type="http://schemas.openxmlformats.org/officeDocument/2006/relationships/hyperlink" Target="https://sbrownlawyer.com/2018/01/01/understanding-the-best-interests-standard-in-custody-determinations/" TargetMode="External"/><Relationship Id="rId969" Type="http://schemas.openxmlformats.org/officeDocument/2006/relationships/hyperlink" Target="https://sbrownlawyer.com/2018/08/07/fighting-back-against-allegations-of-white-collar-crime/" TargetMode="External"/><Relationship Id="rId726" Type="http://schemas.openxmlformats.org/officeDocument/2006/relationships/hyperlink" Target="https://sbrownlawyer.com/2013/02/08/tricare-rules-and-a-texas-military-divorce/" TargetMode="External"/><Relationship Id="rId968" Type="http://schemas.openxmlformats.org/officeDocument/2006/relationships/hyperlink" Target="https://sbrownlawyer.com/2013/Family-Law/Adoption" TargetMode="External"/><Relationship Id="rId725" Type="http://schemas.openxmlformats.org/officeDocument/2006/relationships/hyperlink" Target="https://sbrownlawyer.com/2015/02/12/protective-orders-are-important-in-domestic-violence-cases/" TargetMode="External"/><Relationship Id="rId967" Type="http://schemas.openxmlformats.org/officeDocument/2006/relationships/hyperlink" Target="https://sbrownlawyer.com/2013/01/15/texas-child-support-state-seeks-money-from-sperm-donor/" TargetMode="External"/><Relationship Id="rId724" Type="http://schemas.openxmlformats.org/officeDocument/2006/relationships/hyperlink" Target="https://sbrownlawyer.com/2013/12/04/bode-millers-ex-gains-custody-of-infant-son/" TargetMode="External"/><Relationship Id="rId966" Type="http://schemas.openxmlformats.org/officeDocument/2006/relationships/hyperlink" Target="https://sbrownlawyer.com/2015/04/03/out-of-court-methods-for-coming-to-a-child-custody-agreement/" TargetMode="External"/><Relationship Id="rId69" Type="http://schemas.openxmlformats.org/officeDocument/2006/relationships/hyperlink" Target="https://sbrownlawyer.com/personal-injury-2/nonvehicle-liability-insurance/" TargetMode="External"/><Relationship Id="rId961" Type="http://schemas.openxmlformats.org/officeDocument/2006/relationships/hyperlink" Target="https://sbrownlawyer.com/2017/02/28/how-will-a-divorce-affect-my-inheritance/" TargetMode="External"/><Relationship Id="rId960" Type="http://schemas.openxmlformats.org/officeDocument/2006/relationships/hyperlink" Target="https://sbrownlawyer.com/2017/03/01/how-are-retirement-accounts-handled-in-divorce/" TargetMode="External"/><Relationship Id="rId51" Type="http://schemas.openxmlformats.org/officeDocument/2006/relationships/hyperlink" Target="https://sbrownlawyer.com/immigration-videos/" TargetMode="External"/><Relationship Id="rId50" Type="http://schemas.openxmlformats.org/officeDocument/2006/relationships/hyperlink" Target="https://sbrownlawyer.com/divorce-modification/" TargetMode="External"/><Relationship Id="rId53" Type="http://schemas.openxmlformats.org/officeDocument/2006/relationships/hyperlink" Target="https://sbrownlawyer.com/privacy-policy/" TargetMode="External"/><Relationship Id="rId52" Type="http://schemas.openxmlformats.org/officeDocument/2006/relationships/hyperlink" Target="https://sbrownlawyer.com/texas/locations/sugar-land/" TargetMode="External"/><Relationship Id="rId55" Type="http://schemas.openxmlformats.org/officeDocument/2006/relationships/hyperlink" Target="https://sbrownlawyer.com/2024/03/26/grandparent-custody-rights/" TargetMode="External"/><Relationship Id="rId54" Type="http://schemas.openxmlformats.org/officeDocument/2006/relationships/hyperlink" Target="https://sbrownlawyer.com/division-of-property/" TargetMode="External"/><Relationship Id="rId57" Type="http://schemas.openxmlformats.org/officeDocument/2006/relationships/hyperlink" Target="https://sbrownlawyer.com/texas/locations/" TargetMode="External"/><Relationship Id="rId56" Type="http://schemas.openxmlformats.org/officeDocument/2006/relationships/hyperlink" Target="https://sbrownlawyer.com/client-video-testimonials/" TargetMode="External"/><Relationship Id="rId719" Type="http://schemas.openxmlformats.org/officeDocument/2006/relationships/hyperlink" Target="https://sbrownlawyer.com/2015/Criminal-Law/Domestic-Violence/Child-Abuse" TargetMode="External"/><Relationship Id="rId718" Type="http://schemas.openxmlformats.org/officeDocument/2006/relationships/hyperlink" Target="https://sbrownlawyer.com/Family-Law/Contact" TargetMode="External"/><Relationship Id="rId717" Type="http://schemas.openxmlformats.org/officeDocument/2006/relationships/hyperlink" Target="https://sbrownlawyer.com/2017/06/12/are-dwi-checkpoints-legal-in-texas/" TargetMode="External"/><Relationship Id="rId959" Type="http://schemas.openxmlformats.org/officeDocument/2006/relationships/hyperlink" Target="https://sbrownlawyer.com/2015/Family-Law/Child-Custody/Creative-Custody-Agreements" TargetMode="External"/><Relationship Id="rId712" Type="http://schemas.openxmlformats.org/officeDocument/2006/relationships/hyperlink" Target="https://sbrownlawyer.com/league-city-tx-drug-possession-defense/" TargetMode="External"/><Relationship Id="rId954" Type="http://schemas.openxmlformats.org/officeDocument/2006/relationships/hyperlink" Target="https://sbrownlawyer.com/2017/02/23/after-an-underage-dwi-insurance-rates-can-skyrocket-what-can-you-do/" TargetMode="External"/><Relationship Id="rId711" Type="http://schemas.openxmlformats.org/officeDocument/2006/relationships/hyperlink" Target="https://sbrownlawyer.com/Drug-Charges/Prescription-Drug-Charges" TargetMode="External"/><Relationship Id="rId953" Type="http://schemas.openxmlformats.org/officeDocument/2006/relationships/hyperlink" Target="https://sbrownlawyer.com/2017/03/03/a-court-date-is-not-one-you-want-to-miss/" TargetMode="External"/><Relationship Id="rId710" Type="http://schemas.openxmlformats.org/officeDocument/2006/relationships/hyperlink" Target="https://sbrownlawyer.com/field-sobriety-test/Breath-Blood-Test-Issues" TargetMode="External"/><Relationship Id="rId952" Type="http://schemas.openxmlformats.org/officeDocument/2006/relationships/hyperlink" Target="https://sbrownlawyer.com/2017/11/15/the-danger-of-parental-alienation/" TargetMode="External"/><Relationship Id="rId951" Type="http://schemas.openxmlformats.org/officeDocument/2006/relationships/hyperlink" Target="https://sbrownlawyer.com/2013/01/25/texas-taxes-a-viable-reason-for-a-divorce-some-may-say-yes/" TargetMode="External"/><Relationship Id="rId716" Type="http://schemas.openxmlformats.org/officeDocument/2006/relationships/hyperlink" Target="https://sbrownlawyer.com/2017/10/15/8-factors-that-affect-divorce-after-age-50/" TargetMode="External"/><Relationship Id="rId958" Type="http://schemas.openxmlformats.org/officeDocument/2006/relationships/hyperlink" Target="https://sbrownlawyer.com/2017/03/attorneys" TargetMode="External"/><Relationship Id="rId715" Type="http://schemas.openxmlformats.org/officeDocument/2006/relationships/hyperlink" Target="https://sbrownlawyer.com/Family-Law/Child-Protective-Services-CPS" TargetMode="External"/><Relationship Id="rId957" Type="http://schemas.openxmlformats.org/officeDocument/2006/relationships/hyperlink" Target="https://sbrownlawyer.com/2018/11/01/should-bankruptcy-be-filed-before-divorce/" TargetMode="External"/><Relationship Id="rId714" Type="http://schemas.openxmlformats.org/officeDocument/2006/relationships/hyperlink" Target="https://sbrownlawyer.com/Family-Law/Modifications" TargetMode="External"/><Relationship Id="rId956" Type="http://schemas.openxmlformats.org/officeDocument/2006/relationships/hyperlink" Target="https://sbrownlawyer.com/2015/04/07/cookie-cutter-child-custody-agreements-arent-always-best/" TargetMode="External"/><Relationship Id="rId713" Type="http://schemas.openxmlformats.org/officeDocument/2006/relationships/hyperlink" Target="https://sbrownlawyer.com/dwi" TargetMode="External"/><Relationship Id="rId955" Type="http://schemas.openxmlformats.org/officeDocument/2006/relationships/hyperlink" Target="https://sbrownlawyer.com/2016/01/22/what-are-the-penalties-for-violating-a-protective-order/" TargetMode="External"/><Relationship Id="rId59" Type="http://schemas.openxmlformats.org/officeDocument/2006/relationships/hyperlink" Target="https://sbrownlawyer.com/firm-overview/" TargetMode="External"/><Relationship Id="rId58" Type="http://schemas.openxmlformats.org/officeDocument/2006/relationships/hyperlink" Target="https://sbrownlawyer.com/high-net-worth-divorce/" TargetMode="External"/><Relationship Id="rId950" Type="http://schemas.openxmlformats.org/officeDocument/2006/relationships/hyperlink" Target="https://sbrownlawyer.com/types-of-compensation-in-a-personal-injury-case/" TargetMode="External"/><Relationship Id="rId590" Type="http://schemas.openxmlformats.org/officeDocument/2006/relationships/hyperlink" Target="https://sbrownlawyer.com/2021/01/15/do-you-have-to-hire-a-lawyer-after-drunk-driving/" TargetMode="External"/><Relationship Id="rId107" Type="http://schemas.openxmlformats.org/officeDocument/2006/relationships/hyperlink" Target="https://sbrownlawyer.com/hit-and-run/" TargetMode="External"/><Relationship Id="rId349" Type="http://schemas.openxmlformats.org/officeDocument/2006/relationships/hyperlink" Target="https://sbrownlawyer.com/espanol/family-law/" TargetMode="External"/><Relationship Id="rId106" Type="http://schemas.openxmlformats.org/officeDocument/2006/relationships/hyperlink" Target="https://sbrownlawyer.com/expungement/" TargetMode="External"/><Relationship Id="rId348" Type="http://schemas.openxmlformats.org/officeDocument/2006/relationships/hyperlink" Target="https://sbrownlawyer.com/abogado-de-naturalizacion-en-pearland/" TargetMode="External"/><Relationship Id="rId105" Type="http://schemas.openxmlformats.org/officeDocument/2006/relationships/hyperlink" Target="https://sbrownlawyer.com/brain-injury/" TargetMode="External"/><Relationship Id="rId347" Type="http://schemas.openxmlformats.org/officeDocument/2006/relationships/hyperlink" Target="https://sbrownlawyer.com/2017/09/01/how-should-divorce-child-support-and-custody-be-handled-for-parents-of-special-needs-children/" TargetMode="External"/><Relationship Id="rId589" Type="http://schemas.openxmlformats.org/officeDocument/2006/relationships/hyperlink" Target="https://sbrownlawyer.com/2020/09/27/when-is-it-time-for-a-divorce/" TargetMode="External"/><Relationship Id="rId104" Type="http://schemas.openxmlformats.org/officeDocument/2006/relationships/hyperlink" Target="https://sbrownlawyer.com/sex-crimes/" TargetMode="External"/><Relationship Id="rId346" Type="http://schemas.openxmlformats.org/officeDocument/2006/relationships/hyperlink" Target="https://sbrownlawyer.com/sex-crimes" TargetMode="External"/><Relationship Id="rId588" Type="http://schemas.openxmlformats.org/officeDocument/2006/relationships/hyperlink" Target="https://sbrownlawyer.com/2020/08/24/the-complete-guide-to-dwi-vs-dui-laws-in-texas/" TargetMode="External"/><Relationship Id="rId109" Type="http://schemas.openxmlformats.org/officeDocument/2006/relationships/hyperlink" Target="https://sbrownlawyer.com/pedestrian-accidents/" TargetMode="External"/><Relationship Id="rId108" Type="http://schemas.openxmlformats.org/officeDocument/2006/relationships/hyperlink" Target="https://sbrownlawyer.com/sex-crimes/overview-of-sex-crime-defense/" TargetMode="External"/><Relationship Id="rId341" Type="http://schemas.openxmlformats.org/officeDocument/2006/relationships/hyperlink" Target="https://sbrownlawyer.com/abogado-de-inmigracion-en-pearland/" TargetMode="External"/><Relationship Id="rId583" Type="http://schemas.openxmlformats.org/officeDocument/2006/relationships/hyperlink" Target="https://sbrownlawyer.com/2019/10/08/can-you-sue-a-partner-that-infected-you-with-an-std/" TargetMode="External"/><Relationship Id="rId340" Type="http://schemas.openxmlformats.org/officeDocument/2006/relationships/hyperlink" Target="https://sbrownlawyer.com/abogado-de-procesamiento-consular-en-pearland/" TargetMode="External"/><Relationship Id="rId582" Type="http://schemas.openxmlformats.org/officeDocument/2006/relationships/hyperlink" Target="https://sbrownlawyer.com/domestic-violence" TargetMode="External"/><Relationship Id="rId581" Type="http://schemas.openxmlformats.org/officeDocument/2006/relationships/hyperlink" Target="https://sbrownlawyer.com/domestic-violence/" TargetMode="External"/><Relationship Id="rId580" Type="http://schemas.openxmlformats.org/officeDocument/2006/relationships/hyperlink" Target="https://sbrownlawyer.com/2020/07/13/10-signs-divorced-parents-are-doing-right-by-their-kids/" TargetMode="External"/><Relationship Id="rId103" Type="http://schemas.openxmlformats.org/officeDocument/2006/relationships/hyperlink" Target="https://sbrownlawyer.com/misdemeanor/" TargetMode="External"/><Relationship Id="rId345" Type="http://schemas.openxmlformats.org/officeDocument/2006/relationships/hyperlink" Target="https://sbrownlawyer.com/abogado-de-inmigracion-basada-en-empleo-en-pearland/" TargetMode="External"/><Relationship Id="rId587" Type="http://schemas.openxmlformats.org/officeDocument/2006/relationships/hyperlink" Target="https://sbrownlawyer.com/2021/02/07/when-is-it-time-to-hire-a-family-divorce-lawyer/" TargetMode="External"/><Relationship Id="rId102" Type="http://schemas.openxmlformats.org/officeDocument/2006/relationships/hyperlink" Target="https://sbrownlawyer.com/personal-injury-2/burn-injury/" TargetMode="External"/><Relationship Id="rId344" Type="http://schemas.openxmlformats.org/officeDocument/2006/relationships/hyperlink" Target="https://sbrownlawyer.com/espanol/abogados-de-lesiones-personales/" TargetMode="External"/><Relationship Id="rId586" Type="http://schemas.openxmlformats.org/officeDocument/2006/relationships/hyperlink" Target="https://sbrownlawyer.com/2020/11/29/how-long-does-a-dwi-stay-on-your-record-in-texas/" TargetMode="External"/><Relationship Id="rId101" Type="http://schemas.openxmlformats.org/officeDocument/2006/relationships/hyperlink" Target="https://sbrownlawyer.com/obscenity/" TargetMode="External"/><Relationship Id="rId343" Type="http://schemas.openxmlformats.org/officeDocument/2006/relationships/hyperlink" Target="https://sbrownlawyer.com/espanol/defensa-criminal/" TargetMode="External"/><Relationship Id="rId585" Type="http://schemas.openxmlformats.org/officeDocument/2006/relationships/hyperlink" Target="https://sbrownlawyer.com/2020/06/16/accepting-divorce-our-advice-for-overcoming-grief-and-frustration/" TargetMode="External"/><Relationship Id="rId100" Type="http://schemas.openxmlformats.org/officeDocument/2006/relationships/hyperlink" Target="https://sbrownlawyer.com/public-indecency/" TargetMode="External"/><Relationship Id="rId342" Type="http://schemas.openxmlformats.org/officeDocument/2006/relationships/hyperlink" Target="https://sbrownlawyer.com/abogado-de-ajuste-de-estatus-en-pearland/" TargetMode="External"/><Relationship Id="rId584" Type="http://schemas.openxmlformats.org/officeDocument/2006/relationships/hyperlink" Target="https://sbrownlawyer.com/rule-1-file-first" TargetMode="External"/><Relationship Id="rId338" Type="http://schemas.openxmlformats.org/officeDocument/2006/relationships/hyperlink" Target="https://sbrownlawyer.com/Grandparents-Rights/" TargetMode="External"/><Relationship Id="rId337" Type="http://schemas.openxmlformats.org/officeDocument/2006/relationships/hyperlink" Target="https://sbrownlawyer.com/texas/locations/pasadena/" TargetMode="External"/><Relationship Id="rId579" Type="http://schemas.openxmlformats.org/officeDocument/2006/relationships/hyperlink" Target="https://sbrownlawyer.com/criminal-law/first-offenders/" TargetMode="External"/><Relationship Id="rId336" Type="http://schemas.openxmlformats.org/officeDocument/2006/relationships/hyperlink" Target="https://sbrownlawyer.com/criminal-law" TargetMode="External"/><Relationship Id="rId578" Type="http://schemas.openxmlformats.org/officeDocument/2006/relationships/hyperlink" Target="https://sbrownlawyer.com/2020/10/14/when-all-hope-is-lost-when-to-get-a-divorce/" TargetMode="External"/><Relationship Id="rId335" Type="http://schemas.openxmlformats.org/officeDocument/2006/relationships/hyperlink" Target="https://sbrownlawyer.com/pearland-slip-and-fall-accident-lawyer/" TargetMode="External"/><Relationship Id="rId577" Type="http://schemas.openxmlformats.org/officeDocument/2006/relationships/hyperlink" Target="https://sbrownlawyer.com/2020/11/13/these-are-the-different-types-of-divorce-in-texas/" TargetMode="External"/><Relationship Id="rId339" Type="http://schemas.openxmlformats.org/officeDocument/2006/relationships/hyperlink" Target="https://sbrownlawyer.com/pearland-immigration-lawyer/" TargetMode="External"/><Relationship Id="rId330" Type="http://schemas.openxmlformats.org/officeDocument/2006/relationships/hyperlink" Target="https://sbrownlawyer.com/2015/01/09/how-is-child-support-affected-by-parental-incarceration-in-texas/" TargetMode="External"/><Relationship Id="rId572" Type="http://schemas.openxmlformats.org/officeDocument/2006/relationships/hyperlink" Target="https://sbrownlawyer.com/2012/09/28/texas-divorce-communicating-when-a-former-partner-moves-on/" TargetMode="External"/><Relationship Id="rId571" Type="http://schemas.openxmlformats.org/officeDocument/2006/relationships/hyperlink" Target="https://sbrownlawyer.com/2013/Family-Law/Divorce/High-Net-Worth-Divorce" TargetMode="External"/><Relationship Id="rId570" Type="http://schemas.openxmlformats.org/officeDocument/2006/relationships/hyperlink" Target="https://sbrownlawyer.com/2013/09/18/alimony-in-a-community-property-state-such-as-texas/" TargetMode="External"/><Relationship Id="rId334" Type="http://schemas.openxmlformats.org/officeDocument/2006/relationships/hyperlink" Target="https://sbrownlawyer.com/parental-relocation/International-Custody" TargetMode="External"/><Relationship Id="rId576" Type="http://schemas.openxmlformats.org/officeDocument/2006/relationships/hyperlink" Target="https://sbrownlawyer.com/2015/08/28/discovering-hidden-assets-how-we-can-help/" TargetMode="External"/><Relationship Id="rId333" Type="http://schemas.openxmlformats.org/officeDocument/2006/relationships/hyperlink" Target="https://sbrownlawyer.com/Visitation/Parental-Alienation" TargetMode="External"/><Relationship Id="rId575" Type="http://schemas.openxmlformats.org/officeDocument/2006/relationships/hyperlink" Target="https://sbrownlawyer.com/2013/11/27/texas-police-officer-arrested-after-domestic-violence-incident/" TargetMode="External"/><Relationship Id="rId332" Type="http://schemas.openxmlformats.org/officeDocument/2006/relationships/hyperlink" Target="https://sbrownlawyer.com/Enforcement" TargetMode="External"/><Relationship Id="rId574" Type="http://schemas.openxmlformats.org/officeDocument/2006/relationships/hyperlink" Target="https://sbrownlawyer.com/2012/08/15/legal-options-in-child-support-randy-jackson-seriously-overdue/" TargetMode="External"/><Relationship Id="rId331" Type="http://schemas.openxmlformats.org/officeDocument/2006/relationships/hyperlink" Target="https://sbrownlawyer.com/Parental-Relocation" TargetMode="External"/><Relationship Id="rId573" Type="http://schemas.openxmlformats.org/officeDocument/2006/relationships/hyperlink" Target="https://sbrownlawyer.com/2015/10/09/stepparents-how-to-ease-the-transition/" TargetMode="External"/><Relationship Id="rId370" Type="http://schemas.openxmlformats.org/officeDocument/2006/relationships/hyperlink" Target="https://sbrownlawyer.com/league-city-aggravated-assault-lawyer/" TargetMode="External"/><Relationship Id="rId129" Type="http://schemas.openxmlformats.org/officeDocument/2006/relationships/hyperlink" Target="https://sbrownlawyer.com/areas-we-serve/galveston-county/texas-city/" TargetMode="External"/><Relationship Id="rId128" Type="http://schemas.openxmlformats.org/officeDocument/2006/relationships/hyperlink" Target="https://sbrownlawyer.com/areas-we-serve/galveston-county/galveston/" TargetMode="External"/><Relationship Id="rId127" Type="http://schemas.openxmlformats.org/officeDocument/2006/relationships/hyperlink" Target="https://sbrownlawyer.com/2022/08/12/job-opportunity-were-looking-for-an-associate-attorney/" TargetMode="External"/><Relationship Id="rId369" Type="http://schemas.openxmlformats.org/officeDocument/2006/relationships/hyperlink" Target="https://sbrownlawyer.com/webster-premises-liability/" TargetMode="External"/><Relationship Id="rId126" Type="http://schemas.openxmlformats.org/officeDocument/2006/relationships/hyperlink" Target="https://sbrownlawyer.com/areas-we-serve/brazoria-county/alvin/" TargetMode="External"/><Relationship Id="rId368" Type="http://schemas.openxmlformats.org/officeDocument/2006/relationships/hyperlink" Target="https://sbrownlawyer.com/galveston-truck-accident-lawyer/" TargetMode="External"/><Relationship Id="rId121" Type="http://schemas.openxmlformats.org/officeDocument/2006/relationships/hyperlink" Target="https://sbrownlawyer.com/t-bone-accident/" TargetMode="External"/><Relationship Id="rId363" Type="http://schemas.openxmlformats.org/officeDocument/2006/relationships/hyperlink" Target="https://sbrownlawyer.com/Criminal-Law/" TargetMode="External"/><Relationship Id="rId120" Type="http://schemas.openxmlformats.org/officeDocument/2006/relationships/hyperlink" Target="https://sbrownlawyer.com/areas-we-serve/brazoria-county/clute/" TargetMode="External"/><Relationship Id="rId362" Type="http://schemas.openxmlformats.org/officeDocument/2006/relationships/hyperlink" Target="https://sbrownlawyer.com/angleton-brain-injury-tbi/" TargetMode="External"/><Relationship Id="rId361" Type="http://schemas.openxmlformats.org/officeDocument/2006/relationships/hyperlink" Target="https://sbrownlawyer.com/Retirement-Accounts/" TargetMode="External"/><Relationship Id="rId360" Type="http://schemas.openxmlformats.org/officeDocument/2006/relationships/hyperlink" Target="https://sbrownlawyer.com/Business-And-Professional-Practices-In-Divorce/" TargetMode="External"/><Relationship Id="rId125" Type="http://schemas.openxmlformats.org/officeDocument/2006/relationships/hyperlink" Target="https://sbrownlawyer.com/areas-we-serve/brazoria-county/freeport/" TargetMode="External"/><Relationship Id="rId367" Type="http://schemas.openxmlformats.org/officeDocument/2006/relationships/hyperlink" Target="https://sbrownlawyer.com/friendswood-truck-accidents/" TargetMode="External"/><Relationship Id="rId124" Type="http://schemas.openxmlformats.org/officeDocument/2006/relationships/hyperlink" Target="https://sbrownlawyer.com/Firm-Overview" TargetMode="External"/><Relationship Id="rId366" Type="http://schemas.openxmlformats.org/officeDocument/2006/relationships/hyperlink" Target="https://sbrownlawyer.com/2023/01/10/how-much-is-my-personal-injury-case-worth/" TargetMode="External"/><Relationship Id="rId123" Type="http://schemas.openxmlformats.org/officeDocument/2006/relationships/hyperlink" Target="https://sbrownlawyer.com/family-law" TargetMode="External"/><Relationship Id="rId365" Type="http://schemas.openxmlformats.org/officeDocument/2006/relationships/hyperlink" Target="https://sbrownlawyer.com/child-protective-services-cps/" TargetMode="External"/><Relationship Id="rId122" Type="http://schemas.openxmlformats.org/officeDocument/2006/relationships/hyperlink" Target="https://sbrownlawyer.com/areas-we-serve/brazoria-county/lake-jackson/" TargetMode="External"/><Relationship Id="rId364" Type="http://schemas.openxmlformats.org/officeDocument/2006/relationships/hyperlink" Target="https://sbrownlawyer.com/Personal-Injury/" TargetMode="External"/><Relationship Id="rId95" Type="http://schemas.openxmlformats.org/officeDocument/2006/relationships/hyperlink" Target="https://sbrownlawyer.com/paralysis/" TargetMode="External"/><Relationship Id="rId94" Type="http://schemas.openxmlformats.org/officeDocument/2006/relationships/hyperlink" Target="https://sbrownlawyer.com/what-is-dwi/" TargetMode="External"/><Relationship Id="rId97" Type="http://schemas.openxmlformats.org/officeDocument/2006/relationships/hyperlink" Target="https://sbrownlawyer.com/domestic-violence-attorney/" TargetMode="External"/><Relationship Id="rId96" Type="http://schemas.openxmlformats.org/officeDocument/2006/relationships/hyperlink" Target="https://sbrownlawyer.com/back-injury/" TargetMode="External"/><Relationship Id="rId99" Type="http://schemas.openxmlformats.org/officeDocument/2006/relationships/hyperlink" Target="https://sbrownlawyer.com/internet-sex-crimes/" TargetMode="External"/><Relationship Id="rId98" Type="http://schemas.openxmlformats.org/officeDocument/2006/relationships/hyperlink" Target="https://sbrownlawyer.com/dog-bite-injuries/" TargetMode="External"/><Relationship Id="rId91" Type="http://schemas.openxmlformats.org/officeDocument/2006/relationships/hyperlink" Target="https://sbrownlawyer.com/child-pornography/" TargetMode="External"/><Relationship Id="rId90" Type="http://schemas.openxmlformats.org/officeDocument/2006/relationships/hyperlink" Target="https://sbrownlawyer.com/title-ix-defense-campus-sexual-assault/" TargetMode="External"/><Relationship Id="rId93" Type="http://schemas.openxmlformats.org/officeDocument/2006/relationships/hyperlink" Target="https://sbrownlawyer.com/slip-and-fall-accidents/" TargetMode="External"/><Relationship Id="rId92" Type="http://schemas.openxmlformats.org/officeDocument/2006/relationships/hyperlink" Target="https://sbrownlawyer.com/health-coverage-accident-claims/" TargetMode="External"/><Relationship Id="rId118" Type="http://schemas.openxmlformats.org/officeDocument/2006/relationships/hyperlink" Target="https://sbrownlawyer.com/Attorneys" TargetMode="External"/><Relationship Id="rId117" Type="http://schemas.openxmlformats.org/officeDocument/2006/relationships/hyperlink" Target="https://sbrownlawyer.com/Contact/" TargetMode="External"/><Relationship Id="rId359" Type="http://schemas.openxmlformats.org/officeDocument/2006/relationships/hyperlink" Target="https://sbrownlawyer.com/Assets-And-Liability/" TargetMode="External"/><Relationship Id="rId116" Type="http://schemas.openxmlformats.org/officeDocument/2006/relationships/hyperlink" Target="https://sbrownlawyer.com/sexual-abuse/" TargetMode="External"/><Relationship Id="rId358" Type="http://schemas.openxmlformats.org/officeDocument/2006/relationships/hyperlink" Target="https://sbrownlawyer.com/Family-Owned-Business-Protection/" TargetMode="External"/><Relationship Id="rId115" Type="http://schemas.openxmlformats.org/officeDocument/2006/relationships/hyperlink" Target="https://sbrownlawyer.com/sex-crimes/texas-sex-crime-law/" TargetMode="External"/><Relationship Id="rId357" Type="http://schemas.openxmlformats.org/officeDocument/2006/relationships/hyperlink" Target="https://sbrownlawyer.com/Oil-And-Mineral-Rights/" TargetMode="External"/><Relationship Id="rId599" Type="http://schemas.openxmlformats.org/officeDocument/2006/relationships/hyperlink" Target="https://sbrownlawyer.com/2021/10/10/facing-criminal-charges-why-you-need-to-contact-a-criminal-defense-lawyer-now/" TargetMode="External"/><Relationship Id="rId119" Type="http://schemas.openxmlformats.org/officeDocument/2006/relationships/hyperlink" Target="https://sbrownlawyer.com/pearland-probation-violations-lawyer/" TargetMode="External"/><Relationship Id="rId110" Type="http://schemas.openxmlformats.org/officeDocument/2006/relationships/hyperlink" Target="https://sbrownlawyer.com/road-hazard/" TargetMode="External"/><Relationship Id="rId352" Type="http://schemas.openxmlformats.org/officeDocument/2006/relationships/hyperlink" Target="https://sbrownlawyer.com/dwi/" TargetMode="External"/><Relationship Id="rId594" Type="http://schemas.openxmlformats.org/officeDocument/2006/relationships/hyperlink" Target="https://sbrownlawyer.com/2021/11/17/child-support/" TargetMode="External"/><Relationship Id="rId351" Type="http://schemas.openxmlformats.org/officeDocument/2006/relationships/hyperlink" Target="https://sbrownlawyer.com/2017/08/17/4-reasons-an-experienced-dwi-lawyer-is-essential/" TargetMode="External"/><Relationship Id="rId593" Type="http://schemas.openxmlformats.org/officeDocument/2006/relationships/hyperlink" Target="https://sbrownlawyer.com/2016/04/20/what-happens-if-my-ex-stops-paying-child-support/" TargetMode="External"/><Relationship Id="rId350" Type="http://schemas.openxmlformats.org/officeDocument/2006/relationships/hyperlink" Target="https://sbrownlawyer.com/abogado-de-inmigracion-familiar-en-pearland-texas/" TargetMode="External"/><Relationship Id="rId592" Type="http://schemas.openxmlformats.org/officeDocument/2006/relationships/hyperlink" Target="https://sbrownlawyer.com/2020/04/10/what-can-a-dwi-lawyer-do-for-a-person-charged-with-dwi/" TargetMode="External"/><Relationship Id="rId591" Type="http://schemas.openxmlformats.org/officeDocument/2006/relationships/hyperlink" Target="https://sbrownlawyer.com/2019/03/01/your-guide-to-child-custody-modification/" TargetMode="External"/><Relationship Id="rId114" Type="http://schemas.openxmlformats.org/officeDocument/2006/relationships/hyperlink" Target="https://sbrownlawyer.com/rape/" TargetMode="External"/><Relationship Id="rId356" Type="http://schemas.openxmlformats.org/officeDocument/2006/relationships/hyperlink" Target="https://sbrownlawyer.com/Asset-Division/" TargetMode="External"/><Relationship Id="rId598" Type="http://schemas.openxmlformats.org/officeDocument/2006/relationships/hyperlink" Target="https://sbrownlawyer.com/2018/04/01/calculating-child-support-in-texas/" TargetMode="External"/><Relationship Id="rId113" Type="http://schemas.openxmlformats.org/officeDocument/2006/relationships/hyperlink" Target="https://sbrownlawyer.com/team-member-testimonials/" TargetMode="External"/><Relationship Id="rId355" Type="http://schemas.openxmlformats.org/officeDocument/2006/relationships/hyperlink" Target="https://sbrownlawyer.com/Hidden-Assets/" TargetMode="External"/><Relationship Id="rId597" Type="http://schemas.openxmlformats.org/officeDocument/2006/relationships/hyperlink" Target="https://sbrownlawyer.com/2012/03/16/financial-challenges-for-texas-parents-who-owe-child-support/" TargetMode="External"/><Relationship Id="rId112" Type="http://schemas.openxmlformats.org/officeDocument/2006/relationships/hyperlink" Target="https://sbrownlawyer.com/spinal-cord-injury/" TargetMode="External"/><Relationship Id="rId354" Type="http://schemas.openxmlformats.org/officeDocument/2006/relationships/hyperlink" Target="https://sbrownlawyer.com/Homes-And-Real-Estate/" TargetMode="External"/><Relationship Id="rId596" Type="http://schemas.openxmlformats.org/officeDocument/2006/relationships/hyperlink" Target="https://sbrownlawyer.com/2016/08/16/paying-child-support-and-alimony-using-structured-settlements/" TargetMode="External"/><Relationship Id="rId111" Type="http://schemas.openxmlformats.org/officeDocument/2006/relationships/hyperlink" Target="https://sbrownlawyer.com/neck-injury/" TargetMode="External"/><Relationship Id="rId353" Type="http://schemas.openxmlformats.org/officeDocument/2006/relationships/hyperlink" Target="https://sbrownlawyer.com/Investment-Properties/" TargetMode="External"/><Relationship Id="rId595" Type="http://schemas.openxmlformats.org/officeDocument/2006/relationships/hyperlink" Target="https://sbrownlawyer.com/2015/06/23/how-do-the-courts-determine-the-primary-caretaker/" TargetMode="External"/><Relationship Id="rId1136" Type="http://schemas.openxmlformats.org/officeDocument/2006/relationships/hyperlink" Target="https://sbrownlawyer.com/page/39/" TargetMode="External"/><Relationship Id="rId1137" Type="http://schemas.openxmlformats.org/officeDocument/2006/relationships/hyperlink" Target="https://sbrownlawyer.com/blog/page/41/?et_blog" TargetMode="External"/><Relationship Id="rId1138" Type="http://schemas.openxmlformats.org/officeDocument/2006/relationships/hyperlink" Target="https://sbrownlawyer.com/page/40/" TargetMode="External"/><Relationship Id="rId1139" Type="http://schemas.openxmlformats.org/officeDocument/2006/relationships/hyperlink" Target="https://sbrownlawyer.com/blog/page/42/?et_blog" TargetMode="External"/><Relationship Id="rId305" Type="http://schemas.openxmlformats.org/officeDocument/2006/relationships/hyperlink" Target="https://sbrownlawyer.com/2015/11/27/court-says-that-embryos-owned-by-divorced-couple-can-be-destroyed/" TargetMode="External"/><Relationship Id="rId547" Type="http://schemas.openxmlformats.org/officeDocument/2006/relationships/hyperlink" Target="https://sbrownlawyer.com/2020/12/05/children-and-divorce-a-step-by-step-guide-on-child-custody/" TargetMode="External"/><Relationship Id="rId789" Type="http://schemas.openxmlformats.org/officeDocument/2006/relationships/hyperlink" Target="https://sbrownlawyer.com/assault-charges/" TargetMode="External"/><Relationship Id="rId304" Type="http://schemas.openxmlformats.org/officeDocument/2006/relationships/hyperlink" Target="https://sbrownlawyer.com/2021/03/15/who-qualifies-for-a-temporary-protective-order-in-texas-and-other-frequently-asked-questions/" TargetMode="External"/><Relationship Id="rId546" Type="http://schemas.openxmlformats.org/officeDocument/2006/relationships/hyperlink" Target="https://sbrownlawyer.com/2020/05/21/what-happens-if-you-violate-a-restraining-order/" TargetMode="External"/><Relationship Id="rId788" Type="http://schemas.openxmlformats.org/officeDocument/2006/relationships/hyperlink" Target="https://sbrownlawyer.com/Domestic-Violence/" TargetMode="External"/><Relationship Id="rId303" Type="http://schemas.openxmlformats.org/officeDocument/2006/relationships/hyperlink" Target="https://sbrownlawyer.com/2020/12/16/domestic-violence-victim-tips-on-getting-a-restraining-order/" TargetMode="External"/><Relationship Id="rId545" Type="http://schemas.openxmlformats.org/officeDocument/2006/relationships/hyperlink" Target="https://sbrownlawyer.com/2020/06/25/partner-abuse-the-many-forms-of-domestic-violence/" TargetMode="External"/><Relationship Id="rId787" Type="http://schemas.openxmlformats.org/officeDocument/2006/relationships/hyperlink" Target="https://sbrownlawyer.com/2017/01/10/dividing-some-community-assets-can-pose-challenges-during-divorce/" TargetMode="External"/><Relationship Id="rId302" Type="http://schemas.openxmlformats.org/officeDocument/2006/relationships/hyperlink" Target="https://sbrownlawyer.com/2021/04/07/reasons-grandparents-can-file-for-custody-of-grandchild-in-texas/" TargetMode="External"/><Relationship Id="rId544" Type="http://schemas.openxmlformats.org/officeDocument/2006/relationships/hyperlink" Target="https://sbrownlawyer.com/protective-orders-divorce/" TargetMode="External"/><Relationship Id="rId786" Type="http://schemas.openxmlformats.org/officeDocument/2006/relationships/hyperlink" Target="https://sbrownlawyer.com/2016/09/22/parental-alienation-its-causes-and-potential-remedies/" TargetMode="External"/><Relationship Id="rId309" Type="http://schemas.openxmlformats.org/officeDocument/2006/relationships/hyperlink" Target="https://sbrownlawyer.com/2021/05/15/what-are-the-advantages-of-hiring-a-good-divorce-attorney/" TargetMode="External"/><Relationship Id="rId308" Type="http://schemas.openxmlformats.org/officeDocument/2006/relationships/hyperlink" Target="https://sbrownlawyer.com/2021/12/10/getting-child-custody-in-texas/" TargetMode="External"/><Relationship Id="rId307" Type="http://schemas.openxmlformats.org/officeDocument/2006/relationships/hyperlink" Target="https://sbrownlawyer.com/2020/12/28/what-to-ask-your-family-lawyer-about-your-child-custody-agreement/" TargetMode="External"/><Relationship Id="rId549" Type="http://schemas.openxmlformats.org/officeDocument/2006/relationships/hyperlink" Target="https://sbrownlawyer.com/2021/04/21/dwi-consequences-in-texas-whats-the-maximum-penalty-for-a-dwi/" TargetMode="External"/><Relationship Id="rId306" Type="http://schemas.openxmlformats.org/officeDocument/2006/relationships/hyperlink" Target="https://sbrownlawyer.com/2015/11/13/is-divorce-actually-good-for-anything/" TargetMode="External"/><Relationship Id="rId548" Type="http://schemas.openxmlformats.org/officeDocument/2006/relationships/hyperlink" Target="https://sbrownlawyer.com/domestic-violence-lawyer-in-league-city-tx/" TargetMode="External"/><Relationship Id="rId781" Type="http://schemas.openxmlformats.org/officeDocument/2006/relationships/hyperlink" Target="https://sbrownlawyer.com/2021/08/10/5-next-steps-to-take-when-you-have-a-dui-in-texas/" TargetMode="External"/><Relationship Id="rId780" Type="http://schemas.openxmlformats.org/officeDocument/2006/relationships/hyperlink" Target="https://sbrownlawyer.com/2021/09/20/5-quiet-signs-of-divorce-and-what-to-do-about-it/" TargetMode="External"/><Relationship Id="rId1130" Type="http://schemas.openxmlformats.org/officeDocument/2006/relationships/hyperlink" Target="https://sbrownlawyer.com/page/36/" TargetMode="External"/><Relationship Id="rId1131" Type="http://schemas.openxmlformats.org/officeDocument/2006/relationships/hyperlink" Target="https://sbrownlawyer.com/blog/page/38/?et_blog" TargetMode="External"/><Relationship Id="rId301" Type="http://schemas.openxmlformats.org/officeDocument/2006/relationships/hyperlink" Target="https://sbrownlawyer.com/2015/09/25/the-pope-changes-marriage-annulments-making-them-fast-and-cheap/" TargetMode="External"/><Relationship Id="rId543" Type="http://schemas.openxmlformats.org/officeDocument/2006/relationships/hyperlink" Target="https://sbrownlawyer.com/2021/02/28/what-happens-after-a-second-and-third-dwi-in-texas/" TargetMode="External"/><Relationship Id="rId785" Type="http://schemas.openxmlformats.org/officeDocument/2006/relationships/hyperlink" Target="https://sbrownlawyer.com/2020/02/25/finding-a-criminal-defense-lawyer-dwi-what-you-need-to-know/" TargetMode="External"/><Relationship Id="rId1132" Type="http://schemas.openxmlformats.org/officeDocument/2006/relationships/hyperlink" Target="https://sbrownlawyer.com/page/37/" TargetMode="External"/><Relationship Id="rId300" Type="http://schemas.openxmlformats.org/officeDocument/2006/relationships/hyperlink" Target="https://sbrownlawyer.com/2015/09/10/why-are-family-care-plans-important-for-military-parents/" TargetMode="External"/><Relationship Id="rId542" Type="http://schemas.openxmlformats.org/officeDocument/2006/relationships/hyperlink" Target="https://sbrownlawyer.com/2015/12/04/child-custody-and-the-holidays/" TargetMode="External"/><Relationship Id="rId784" Type="http://schemas.openxmlformats.org/officeDocument/2006/relationships/hyperlink" Target="https://sbrownlawyer.com/page/6/" TargetMode="External"/><Relationship Id="rId1133" Type="http://schemas.openxmlformats.org/officeDocument/2006/relationships/hyperlink" Target="https://sbrownlawyer.com/blog/page/39/?et_blog" TargetMode="External"/><Relationship Id="rId541" Type="http://schemas.openxmlformats.org/officeDocument/2006/relationships/hyperlink" Target="https://sbrownlawyer.com/2015/11/06/worlds-most-expensive-divorce-comes-to-end/" TargetMode="External"/><Relationship Id="rId783" Type="http://schemas.openxmlformats.org/officeDocument/2006/relationships/hyperlink" Target="https://sbrownlawyer.com/2021/08/30/a-timeline-of-the-divorce-process-how-long-does-it-realistically-take/" TargetMode="External"/><Relationship Id="rId1134" Type="http://schemas.openxmlformats.org/officeDocument/2006/relationships/hyperlink" Target="https://sbrownlawyer.com/page/38/" TargetMode="External"/><Relationship Id="rId540" Type="http://schemas.openxmlformats.org/officeDocument/2006/relationships/hyperlink" Target="https://sbrownlawyer.com/2015/Family-Law/Spousal-Support" TargetMode="External"/><Relationship Id="rId782" Type="http://schemas.openxmlformats.org/officeDocument/2006/relationships/hyperlink" Target="https://sbrownlawyer.com/blog/page/7/?et_blog" TargetMode="External"/><Relationship Id="rId1135" Type="http://schemas.openxmlformats.org/officeDocument/2006/relationships/hyperlink" Target="https://sbrownlawyer.com/blog/page/40/?et_blog" TargetMode="External"/><Relationship Id="rId1125" Type="http://schemas.openxmlformats.org/officeDocument/2006/relationships/hyperlink" Target="https://sbrownlawyer.com/blog/page/35/?et_blog" TargetMode="External"/><Relationship Id="rId1126" Type="http://schemas.openxmlformats.org/officeDocument/2006/relationships/hyperlink" Target="https://sbrownlawyer.com/page/34/" TargetMode="External"/><Relationship Id="rId1127" Type="http://schemas.openxmlformats.org/officeDocument/2006/relationships/hyperlink" Target="https://sbrownlawyer.com/blog/page/36/?et_blog" TargetMode="External"/><Relationship Id="rId1128" Type="http://schemas.openxmlformats.org/officeDocument/2006/relationships/hyperlink" Target="https://sbrownlawyer.com/page/35/" TargetMode="External"/><Relationship Id="rId1129" Type="http://schemas.openxmlformats.org/officeDocument/2006/relationships/hyperlink" Target="https://sbrownlawyer.com/blog/page/37/?et_blog" TargetMode="External"/><Relationship Id="rId536" Type="http://schemas.openxmlformats.org/officeDocument/2006/relationships/hyperlink" Target="https://sbrownlawyer.com/2022/01/07/i-will-fight-for-you/" TargetMode="External"/><Relationship Id="rId778" Type="http://schemas.openxmlformats.org/officeDocument/2006/relationships/hyperlink" Target="https://sbrownlawyer.com/2014/02/19/texas-enters-the-fray-of-same-sex-marriage-court-battles/" TargetMode="External"/><Relationship Id="rId535" Type="http://schemas.openxmlformats.org/officeDocument/2006/relationships/hyperlink" Target="https://sbrownlawyer.com/restraining-orders/" TargetMode="External"/><Relationship Id="rId777" Type="http://schemas.openxmlformats.org/officeDocument/2006/relationships/hyperlink" Target="https://sbrownlawyer.com/2013/07/30/domestic-violence-and-the-poor/" TargetMode="External"/><Relationship Id="rId534" Type="http://schemas.openxmlformats.org/officeDocument/2006/relationships/hyperlink" Target="https://sbrownlawyer.com/2021/11/26/child-support-guidelines-in-texas-an-overview/" TargetMode="External"/><Relationship Id="rId776" Type="http://schemas.openxmlformats.org/officeDocument/2006/relationships/hyperlink" Target="https://sbrownlawyer.com/2013/09/25/tips-for-helping-the-children-while-going-through-a-divorce/" TargetMode="External"/><Relationship Id="rId533" Type="http://schemas.openxmlformats.org/officeDocument/2006/relationships/hyperlink" Target="https://sbrownlawyer.com/2021/10/25/child-custody-101-what-decides-custody-of-a-child/" TargetMode="External"/><Relationship Id="rId775" Type="http://schemas.openxmlformats.org/officeDocument/2006/relationships/hyperlink" Target="https://sbrownlawyer.com/2012/10/04/texas-parents-pay-attention-to-divorce-decrees-before-signing/" TargetMode="External"/><Relationship Id="rId539" Type="http://schemas.openxmlformats.org/officeDocument/2006/relationships/hyperlink" Target="https://sbrownlawyer.com/2020/09/10/types-of-custody-arrangements-for-divorcing-couples/" TargetMode="External"/><Relationship Id="rId538" Type="http://schemas.openxmlformats.org/officeDocument/2006/relationships/hyperlink" Target="https://sbrownlawyer.com/2021/01/05/everything-you-need-to-know-about-child-custody-in-texas/" TargetMode="External"/><Relationship Id="rId537" Type="http://schemas.openxmlformats.org/officeDocument/2006/relationships/hyperlink" Target="https://sbrownlawyer.com/2020/04/24/fighting-over-custody-need-a-divorce-family-lawyer-might-be-for-you/" TargetMode="External"/><Relationship Id="rId779" Type="http://schemas.openxmlformats.org/officeDocument/2006/relationships/hyperlink" Target="https://sbrownlawyer.com/2021/09/10/is-it-wise-to-take-on-a-dwi-case-without-a-dwi-lawyer/" TargetMode="External"/><Relationship Id="rId770" Type="http://schemas.openxmlformats.org/officeDocument/2006/relationships/hyperlink" Target="https://sbrownlawyer.com/2020/08/07/contested-vs-uncontested-divorce-in-houston-top-things-you-need-to-know/" TargetMode="External"/><Relationship Id="rId1120" Type="http://schemas.openxmlformats.org/officeDocument/2006/relationships/hyperlink" Target="https://sbrownlawyer.com/page/31/" TargetMode="External"/><Relationship Id="rId532" Type="http://schemas.openxmlformats.org/officeDocument/2006/relationships/hyperlink" Target="https://sbrownlawyer.com/2014/07/18/child-custody-battles-shouldnt-be-affected-by-deployment-status/" TargetMode="External"/><Relationship Id="rId774" Type="http://schemas.openxmlformats.org/officeDocument/2006/relationships/hyperlink" Target="https://sbrownlawyer.com/2015/10/16/how-does-alimony-affect-my-taxes/" TargetMode="External"/><Relationship Id="rId1121" Type="http://schemas.openxmlformats.org/officeDocument/2006/relationships/hyperlink" Target="https://sbrownlawyer.com/blog/page/33/?et_blog" TargetMode="External"/><Relationship Id="rId531" Type="http://schemas.openxmlformats.org/officeDocument/2006/relationships/hyperlink" Target="https://sbrownlawyer.com/2015/10/27/child-custody-cases-require-personal-attention-to-the-details/" TargetMode="External"/><Relationship Id="rId773" Type="http://schemas.openxmlformats.org/officeDocument/2006/relationships/hyperlink" Target="https://sbrownlawyer.com/2012/08/10/texas-divorce-non-holidays-find-way-into-custody-schedule/" TargetMode="External"/><Relationship Id="rId1122" Type="http://schemas.openxmlformats.org/officeDocument/2006/relationships/hyperlink" Target="https://sbrownlawyer.com/page/32/" TargetMode="External"/><Relationship Id="rId530" Type="http://schemas.openxmlformats.org/officeDocument/2006/relationships/hyperlink" Target="https://sbrownlawyer.com/2014/12/11/woman-shot-in-head-after-history-of-domestic-violence/" TargetMode="External"/><Relationship Id="rId772" Type="http://schemas.openxmlformats.org/officeDocument/2006/relationships/hyperlink" Target="https://sbrownlawyer.com/2013/11/27/texas-police-officer-accused-of-domestic-violence-still-employed/" TargetMode="External"/><Relationship Id="rId1123" Type="http://schemas.openxmlformats.org/officeDocument/2006/relationships/hyperlink" Target="https://sbrownlawyer.com/blog/page/34/?et_blog" TargetMode="External"/><Relationship Id="rId771" Type="http://schemas.openxmlformats.org/officeDocument/2006/relationships/hyperlink" Target="https://sbrownlawyer.com/2015/08/21/rutherford-reluctantly-returns-children-to-father/" TargetMode="External"/><Relationship Id="rId1124" Type="http://schemas.openxmlformats.org/officeDocument/2006/relationships/hyperlink" Target="https://sbrownlawyer.com/page/33/" TargetMode="External"/><Relationship Id="rId1158" Type="http://schemas.openxmlformats.org/officeDocument/2006/relationships/drawing" Target="../drawings/drawing8.xml"/><Relationship Id="rId327" Type="http://schemas.openxmlformats.org/officeDocument/2006/relationships/hyperlink" Target="https://sbrownlawyer.com/league-city-tx-family-law-modifications-lawyer/" TargetMode="External"/><Relationship Id="rId569" Type="http://schemas.openxmlformats.org/officeDocument/2006/relationships/hyperlink" Target="https://sbrownlawyer.com/2013/08/06/determinations-that-go-into-the-awarding-of-spousal-support/" TargetMode="External"/><Relationship Id="rId326" Type="http://schemas.openxmlformats.org/officeDocument/2006/relationships/hyperlink" Target="https://sbrownlawyer.com/2015/05/21/myths-about-custody-and-domestic-violence/" TargetMode="External"/><Relationship Id="rId568" Type="http://schemas.openxmlformats.org/officeDocument/2006/relationships/hyperlink" Target="https://sbrownlawyer.com/2014/02/14/millions-in-child-support-recovered-in-el-paso/" TargetMode="External"/><Relationship Id="rId325" Type="http://schemas.openxmlformats.org/officeDocument/2006/relationships/hyperlink" Target="https://sbrownlawyer.com/2015/06/05/child-custody-and-visitation-modifications-for-the-summer-months/" TargetMode="External"/><Relationship Id="rId567" Type="http://schemas.openxmlformats.org/officeDocument/2006/relationships/hyperlink" Target="https://sbrownlawyer.com/2021/08/01/10-things-to-know-about-tx-child-custody/" TargetMode="External"/><Relationship Id="rId324" Type="http://schemas.openxmlformats.org/officeDocument/2006/relationships/hyperlink" Target="https://sbrownlawyer.com/child-support" TargetMode="External"/><Relationship Id="rId566" Type="http://schemas.openxmlformats.org/officeDocument/2006/relationships/hyperlink" Target="https://sbrownlawyer.com/2021/07/20/8-questions-to-ask-dui-attorneys/" TargetMode="External"/><Relationship Id="rId329" Type="http://schemas.openxmlformats.org/officeDocument/2006/relationships/hyperlink" Target="https://sbrownlawyer.com/2015/01/23/can-the-court-stop-destruction-of-marital-assets-in-a-divorce/" TargetMode="External"/><Relationship Id="rId328" Type="http://schemas.openxmlformats.org/officeDocument/2006/relationships/hyperlink" Target="https://sbrownlawyer.com/harris-county-modifications-of-orders-attorney/" TargetMode="External"/><Relationship Id="rId561" Type="http://schemas.openxmlformats.org/officeDocument/2006/relationships/hyperlink" Target="https://sbrownlawyer.com/Family-Law/Divorce" TargetMode="External"/><Relationship Id="rId1150" Type="http://schemas.openxmlformats.org/officeDocument/2006/relationships/hyperlink" Target="https://sbrownlawyer.com/page/46/" TargetMode="External"/><Relationship Id="rId560" Type="http://schemas.openxmlformats.org/officeDocument/2006/relationships/hyperlink" Target="https://sbrownlawyer.com/2014/Family-Law/Domestic-Abuse-And-Protective-Orders" TargetMode="External"/><Relationship Id="rId1151" Type="http://schemas.openxmlformats.org/officeDocument/2006/relationships/hyperlink" Target="https://sbrownlawyer.com/blog/page/48/?et_blog" TargetMode="External"/><Relationship Id="rId1152" Type="http://schemas.openxmlformats.org/officeDocument/2006/relationships/hyperlink" Target="https://sbrownlawyer.com/page/47/" TargetMode="External"/><Relationship Id="rId1153" Type="http://schemas.openxmlformats.org/officeDocument/2006/relationships/hyperlink" Target="https://sbrownlawyer.com/blog/page/49/?et_blog" TargetMode="External"/><Relationship Id="rId323" Type="http://schemas.openxmlformats.org/officeDocument/2006/relationships/hyperlink" Target="https://sbrownlawyer.com/2016/03/03/what-should-i-know-about-dividing-debts-in-divorce/" TargetMode="External"/><Relationship Id="rId565" Type="http://schemas.openxmlformats.org/officeDocument/2006/relationships/hyperlink" Target="https://sbrownlawyer.com/2014/01/23/stay-at-home-moms-should-consider-postnuptial-agreements/" TargetMode="External"/><Relationship Id="rId1154" Type="http://schemas.openxmlformats.org/officeDocument/2006/relationships/hyperlink" Target="https://sbrownlawyer.com/page/48/" TargetMode="External"/><Relationship Id="rId322" Type="http://schemas.openxmlformats.org/officeDocument/2006/relationships/hyperlink" Target="https://sbrownlawyer.com/2016/03/18/rape-victims-face-complicated-child-custody-issues/" TargetMode="External"/><Relationship Id="rId564" Type="http://schemas.openxmlformats.org/officeDocument/2006/relationships/hyperlink" Target="https://sbrownlawyer.com/2014/02/07/a-change-in-child-custody-arrangements-could-be-on-the-horizon/" TargetMode="External"/><Relationship Id="rId1155" Type="http://schemas.openxmlformats.org/officeDocument/2006/relationships/hyperlink" Target="https://sbrownlawyer.com/blog/page/50/?et_blog" TargetMode="External"/><Relationship Id="rId321" Type="http://schemas.openxmlformats.org/officeDocument/2006/relationships/hyperlink" Target="https://sbrownlawyer.com/2015/03/03/help-your-child-cope-with-child-custody-schedules-after-divorce/" TargetMode="External"/><Relationship Id="rId563" Type="http://schemas.openxmlformats.org/officeDocument/2006/relationships/hyperlink" Target="https://sbrownlawyer.com/2013/08/13/costs-of-splitting-up-is-major-concern-when-considering-divorce/" TargetMode="External"/><Relationship Id="rId1156" Type="http://schemas.openxmlformats.org/officeDocument/2006/relationships/hyperlink" Target="https://sbrownlawyer.com/page/49/" TargetMode="External"/><Relationship Id="rId320" Type="http://schemas.openxmlformats.org/officeDocument/2006/relationships/hyperlink" Target="https://sbrownlawyer.com/2015/03/19/what-should-i-know-about-domestic-violence/" TargetMode="External"/><Relationship Id="rId562" Type="http://schemas.openxmlformats.org/officeDocument/2006/relationships/hyperlink" Target="https://sbrownlawyer.com/2013/09/10/mistakes-made-when-planning-a-divorce-property-settlement/" TargetMode="External"/><Relationship Id="rId1157" Type="http://schemas.openxmlformats.org/officeDocument/2006/relationships/hyperlink" Target="https://sbrownlawyer.com/page/50/" TargetMode="External"/><Relationship Id="rId1147" Type="http://schemas.openxmlformats.org/officeDocument/2006/relationships/hyperlink" Target="https://sbrownlawyer.com/blog/page/46/?et_blog" TargetMode="External"/><Relationship Id="rId1148" Type="http://schemas.openxmlformats.org/officeDocument/2006/relationships/hyperlink" Target="https://sbrownlawyer.com/page/45/" TargetMode="External"/><Relationship Id="rId1149" Type="http://schemas.openxmlformats.org/officeDocument/2006/relationships/hyperlink" Target="https://sbrownlawyer.com/blog/page/47/?et_blog" TargetMode="External"/><Relationship Id="rId316" Type="http://schemas.openxmlformats.org/officeDocument/2006/relationships/hyperlink" Target="https://sbrownlawyer.com/Family-Law/Child-Support" TargetMode="External"/><Relationship Id="rId558" Type="http://schemas.openxmlformats.org/officeDocument/2006/relationships/hyperlink" Target="https://sbrownlawyer.com/2012/09/17/could-cold-feet-be-a-sign-of-a-future-texas-divorce/" TargetMode="External"/><Relationship Id="rId315" Type="http://schemas.openxmlformats.org/officeDocument/2006/relationships/hyperlink" Target="https://sbrownlawyer.com/blog/child-support" TargetMode="External"/><Relationship Id="rId557" Type="http://schemas.openxmlformats.org/officeDocument/2006/relationships/hyperlink" Target="https://sbrownlawyer.com/2012/08/22/texas-divorce-may-require-introspection-and-reflection/" TargetMode="External"/><Relationship Id="rId799" Type="http://schemas.openxmlformats.org/officeDocument/2006/relationships/hyperlink" Target="https://sbrownlawyer.com/2013/09/30/attorney-generals-office-collects-3-6-billion-in-child-support/" TargetMode="External"/><Relationship Id="rId314" Type="http://schemas.openxmlformats.org/officeDocument/2006/relationships/hyperlink" Target="https://sbrownlawyer.com/2014/01/10/texas-man-jailed-even-after-paying-back-child-support/" TargetMode="External"/><Relationship Id="rId556" Type="http://schemas.openxmlformats.org/officeDocument/2006/relationships/hyperlink" Target="https://sbrownlawyer.com/2013/11/02/do-many-texas-couples-need-prenuptial-agreements/" TargetMode="External"/><Relationship Id="rId798" Type="http://schemas.openxmlformats.org/officeDocument/2006/relationships/hyperlink" Target="https://sbrownlawyer.com/2014/02/21/flying-high-do-marijuana-offenses-generally-fare-better-than-dwis/" TargetMode="External"/><Relationship Id="rId313" Type="http://schemas.openxmlformats.org/officeDocument/2006/relationships/hyperlink" Target="https://sbrownlawyer.com/2013/02/27/are-negative-communication-patterns-a-factor-in-texas-divorce/" TargetMode="External"/><Relationship Id="rId555" Type="http://schemas.openxmlformats.org/officeDocument/2006/relationships/hyperlink" Target="https://sbrownlawyer.com/2013/11/22/same-sex-divorce-cases-to-be-settled-in-texas-supreme-court/" TargetMode="External"/><Relationship Id="rId797" Type="http://schemas.openxmlformats.org/officeDocument/2006/relationships/hyperlink" Target="https://sbrownlawyer.com/2013/07/24/texas-military-mans-international-child-custody-dispute/" TargetMode="External"/><Relationship Id="rId319" Type="http://schemas.openxmlformats.org/officeDocument/2006/relationships/hyperlink" Target="https://sbrownlawyer.com/top-military-divorce-lawyer-in-texas/" TargetMode="External"/><Relationship Id="rId318" Type="http://schemas.openxmlformats.org/officeDocument/2006/relationships/hyperlink" Target="https://sbrownlawyer.com/2013/12/25/victims-must-be-persistent-for-domestic-violence-charges-to-stick/" TargetMode="External"/><Relationship Id="rId317" Type="http://schemas.openxmlformats.org/officeDocument/2006/relationships/hyperlink" Target="https://sbrownlawyer.com/Child-Custody/" TargetMode="External"/><Relationship Id="rId559" Type="http://schemas.openxmlformats.org/officeDocument/2006/relationships/hyperlink" Target="https://sbrownlawyer.com/2013/Family-Law/Domestic-Abuse-And-Protective-Orders" TargetMode="External"/><Relationship Id="rId550" Type="http://schemas.openxmlformats.org/officeDocument/2006/relationships/hyperlink" Target="https://sbrownlawyer.com/2020/05/07/what-you-need-to-know-about-child-custody-laws-in-texas/" TargetMode="External"/><Relationship Id="rId792" Type="http://schemas.openxmlformats.org/officeDocument/2006/relationships/hyperlink" Target="https://sbrownlawyer.com/alternative-outcomes-in-drug-cases/" TargetMode="External"/><Relationship Id="rId791" Type="http://schemas.openxmlformats.org/officeDocument/2006/relationships/hyperlink" Target="https://sbrownlawyer.com/White-Collar-Crimes/" TargetMode="External"/><Relationship Id="rId1140" Type="http://schemas.openxmlformats.org/officeDocument/2006/relationships/hyperlink" Target="https://sbrownlawyer.com/page/41/" TargetMode="External"/><Relationship Id="rId790" Type="http://schemas.openxmlformats.org/officeDocument/2006/relationships/hyperlink" Target="https://sbrownlawyer.com/prescription-drug-charges/" TargetMode="External"/><Relationship Id="rId1141" Type="http://schemas.openxmlformats.org/officeDocument/2006/relationships/hyperlink" Target="https://sbrownlawyer.com/blog/page/43/?et_blog" TargetMode="External"/><Relationship Id="rId1142" Type="http://schemas.openxmlformats.org/officeDocument/2006/relationships/hyperlink" Target="https://sbrownlawyer.com/page/42/" TargetMode="External"/><Relationship Id="rId312" Type="http://schemas.openxmlformats.org/officeDocument/2006/relationships/hyperlink" Target="https://sbrownlawyer.com/2013/03/11/support-necessary-during-a-texas-divorce/" TargetMode="External"/><Relationship Id="rId554" Type="http://schemas.openxmlformats.org/officeDocument/2006/relationships/hyperlink" Target="https://sbrownlawyer.com/2015/09/01/prenups-for-seniors/" TargetMode="External"/><Relationship Id="rId796" Type="http://schemas.openxmlformats.org/officeDocument/2006/relationships/hyperlink" Target="https://sbrownlawyer.com/Do-Not-Blow/" TargetMode="External"/><Relationship Id="rId1143" Type="http://schemas.openxmlformats.org/officeDocument/2006/relationships/hyperlink" Target="https://sbrownlawyer.com/blog/page/44/?et_blog" TargetMode="External"/><Relationship Id="rId311" Type="http://schemas.openxmlformats.org/officeDocument/2006/relationships/hyperlink" Target="https://sbrownlawyer.com/2014/12/19/domestic-violence-and-child-custody-in-texas/" TargetMode="External"/><Relationship Id="rId553" Type="http://schemas.openxmlformats.org/officeDocument/2006/relationships/hyperlink" Target="https://sbrownlawyer.com/2015/10/02/child-support-and-gender-bias-in-the-courts/" TargetMode="External"/><Relationship Id="rId795" Type="http://schemas.openxmlformats.org/officeDocument/2006/relationships/hyperlink" Target="https://sbrownlawyer.com/drug-distribution/" TargetMode="External"/><Relationship Id="rId1144" Type="http://schemas.openxmlformats.org/officeDocument/2006/relationships/hyperlink" Target="https://sbrownlawyer.com/page/43/" TargetMode="External"/><Relationship Id="rId310" Type="http://schemas.openxmlformats.org/officeDocument/2006/relationships/hyperlink" Target="https://sbrownlawyer.com/2015/01/02/how-can-texas-military-parents-deal-with-newborn-sleep-habits/" TargetMode="External"/><Relationship Id="rId552" Type="http://schemas.openxmlformats.org/officeDocument/2006/relationships/hyperlink" Target="https://sbrownlawyer.com/2021/01/30/all-about-child-custody-in-texas/" TargetMode="External"/><Relationship Id="rId794" Type="http://schemas.openxmlformats.org/officeDocument/2006/relationships/hyperlink" Target="https://sbrownlawyer.com/Major-Felonies/" TargetMode="External"/><Relationship Id="rId1145" Type="http://schemas.openxmlformats.org/officeDocument/2006/relationships/hyperlink" Target="https://sbrownlawyer.com/blog/page/45/?et_blog" TargetMode="External"/><Relationship Id="rId551" Type="http://schemas.openxmlformats.org/officeDocument/2006/relationships/hyperlink" Target="https://sbrownlawyer.com/Family-Law/Division-Of-Property" TargetMode="External"/><Relationship Id="rId793" Type="http://schemas.openxmlformats.org/officeDocument/2006/relationships/hyperlink" Target="https://sbrownlawyer.com/drug-possession/" TargetMode="External"/><Relationship Id="rId1146" Type="http://schemas.openxmlformats.org/officeDocument/2006/relationships/hyperlink" Target="https://sbrownlawyer.com/page/44/" TargetMode="External"/><Relationship Id="rId297" Type="http://schemas.openxmlformats.org/officeDocument/2006/relationships/hyperlink" Target="https://sbrownlawyer.com/2013/11/03/the-silver-lining-to-filing-a-silver-divorce/" TargetMode="External"/><Relationship Id="rId296" Type="http://schemas.openxmlformats.org/officeDocument/2006/relationships/hyperlink" Target="https://sbrownlawyer.com/2012/08/29/dealing-with-anger-in-a-texas-divorce/" TargetMode="External"/><Relationship Id="rId295" Type="http://schemas.openxmlformats.org/officeDocument/2006/relationships/hyperlink" Target="https://sbrownlawyer.com/2012/09/13/the-benefit-and-downfalls-of-using-technology-to-co-parent/" TargetMode="External"/><Relationship Id="rId294" Type="http://schemas.openxmlformats.org/officeDocument/2006/relationships/hyperlink" Target="https://sbrownlawyer.com/2013/08/20/texas-parents-in-custody-for-not-paying-child-support/" TargetMode="External"/><Relationship Id="rId299" Type="http://schemas.openxmlformats.org/officeDocument/2006/relationships/hyperlink" Target="https://sbrownlawyer.com/2015/Family-Law/Child-Protective-Services-CPS" TargetMode="External"/><Relationship Id="rId298" Type="http://schemas.openxmlformats.org/officeDocument/2006/relationships/hyperlink" Target="https://sbrownlawyer.com/2013/11/13/henderson-county-police-round-up-child-support-violators/" TargetMode="External"/><Relationship Id="rId271" Type="http://schemas.openxmlformats.org/officeDocument/2006/relationships/hyperlink" Target="https://sbrownlawyer.com/Retirement-Accounts" TargetMode="External"/><Relationship Id="rId270" Type="http://schemas.openxmlformats.org/officeDocument/2006/relationships/hyperlink" Target="https://sbrownlawyer.com/Business-And-Professional-Practices-In-Divorce" TargetMode="External"/><Relationship Id="rId269" Type="http://schemas.openxmlformats.org/officeDocument/2006/relationships/hyperlink" Target="https://sbrownlawyer.com/Assets-And-Liability" TargetMode="External"/><Relationship Id="rId264" Type="http://schemas.openxmlformats.org/officeDocument/2006/relationships/hyperlink" Target="https://sbrownlawyer.com/Homes-And-Real-Estate" TargetMode="External"/><Relationship Id="rId263" Type="http://schemas.openxmlformats.org/officeDocument/2006/relationships/hyperlink" Target="https://sbrownlawyer.com/Investment-Properties" TargetMode="External"/><Relationship Id="rId262" Type="http://schemas.openxmlformats.org/officeDocument/2006/relationships/hyperlink" Target="https://sbrownlawyer.com/2017/08/24/second-chance-bill-what-does-it-mean-now-that-its-passed/" TargetMode="External"/><Relationship Id="rId261" Type="http://schemas.openxmlformats.org/officeDocument/2006/relationships/hyperlink" Target="https://sbrownlawyer.com/sexual-assault/" TargetMode="External"/><Relationship Id="rId268" Type="http://schemas.openxmlformats.org/officeDocument/2006/relationships/hyperlink" Target="https://sbrownlawyer.com/Family-Owned-Business-Protection" TargetMode="External"/><Relationship Id="rId267" Type="http://schemas.openxmlformats.org/officeDocument/2006/relationships/hyperlink" Target="https://sbrownlawyer.com/Oil-And-Mineral-Rights" TargetMode="External"/><Relationship Id="rId266" Type="http://schemas.openxmlformats.org/officeDocument/2006/relationships/hyperlink" Target="https://sbrownlawyer.com/Asset-Division" TargetMode="External"/><Relationship Id="rId265" Type="http://schemas.openxmlformats.org/officeDocument/2006/relationships/hyperlink" Target="https://sbrownlawyer.com/Hidden-Assets" TargetMode="External"/><Relationship Id="rId260" Type="http://schemas.openxmlformats.org/officeDocument/2006/relationships/hyperlink" Target="https://sbrownlawyer.com/online-solicitation-of-a-minor/" TargetMode="External"/><Relationship Id="rId259" Type="http://schemas.openxmlformats.org/officeDocument/2006/relationships/hyperlink" Target="https://sbrownlawyer.com/abogado-de-sucesiones-en-pearland-tx/" TargetMode="External"/><Relationship Id="rId258" Type="http://schemas.openxmlformats.org/officeDocument/2006/relationships/hyperlink" Target="https://sbrownlawyer.com/human-trafficking/" TargetMode="External"/><Relationship Id="rId253" Type="http://schemas.openxmlformats.org/officeDocument/2006/relationships/hyperlink" Target="https://sbrownlawyer.com/league-city-grandparents-rights-lawyer/" TargetMode="External"/><Relationship Id="rId495" Type="http://schemas.openxmlformats.org/officeDocument/2006/relationships/hyperlink" Target="https://sbrownlawyer.com/dwi/DWI-DUI-Accident" TargetMode="External"/><Relationship Id="rId252" Type="http://schemas.openxmlformats.org/officeDocument/2006/relationships/hyperlink" Target="https://sbrownlawyer.com/areas-we-serve/harris-county/houston/" TargetMode="External"/><Relationship Id="rId494" Type="http://schemas.openxmlformats.org/officeDocument/2006/relationships/hyperlink" Target="https://sbrownlawyer.com/Homes-And-Real-Estate/Assets-And-Liability" TargetMode="External"/><Relationship Id="rId251" Type="http://schemas.openxmlformats.org/officeDocument/2006/relationships/hyperlink" Target="https://sbrownlawyer.com/Modifications" TargetMode="External"/><Relationship Id="rId493" Type="http://schemas.openxmlformats.org/officeDocument/2006/relationships/hyperlink" Target="https://sbrownlawyer.com/Business-And-Professional-Practices-In-Divorce/Asset-Division" TargetMode="External"/><Relationship Id="rId250" Type="http://schemas.openxmlformats.org/officeDocument/2006/relationships/hyperlink" Target="https://sbrownlawyer.com/attorneys" TargetMode="External"/><Relationship Id="rId492" Type="http://schemas.openxmlformats.org/officeDocument/2006/relationships/hyperlink" Target="https://sbrownlawyer.com/league-city-truck-accidents/" TargetMode="External"/><Relationship Id="rId257" Type="http://schemas.openxmlformats.org/officeDocument/2006/relationships/hyperlink" Target="https://sbrownlawyer.com/terms-of-service/" TargetMode="External"/><Relationship Id="rId499" Type="http://schemas.openxmlformats.org/officeDocument/2006/relationships/hyperlink" Target="https://sbrownlawyer.com/dwi/DWI-DUI-Drugs" TargetMode="External"/><Relationship Id="rId256" Type="http://schemas.openxmlformats.org/officeDocument/2006/relationships/hyperlink" Target="https://sbrownlawyer.com/areas-we-serve/harris-county/friendswood/" TargetMode="External"/><Relationship Id="rId498" Type="http://schemas.openxmlformats.org/officeDocument/2006/relationships/hyperlink" Target="https://sbrownlawyer.com/dwi/Field-Sobriety-Test" TargetMode="External"/><Relationship Id="rId255" Type="http://schemas.openxmlformats.org/officeDocument/2006/relationships/hyperlink" Target="https://sbrownlawyer.com/areas-we-serve/harris-county/baytown/" TargetMode="External"/><Relationship Id="rId497" Type="http://schemas.openxmlformats.org/officeDocument/2006/relationships/hyperlink" Target="https://sbrownlawyer.com/dwi/Do-Not-Blow" TargetMode="External"/><Relationship Id="rId254" Type="http://schemas.openxmlformats.org/officeDocument/2006/relationships/hyperlink" Target="https://sbrownlawyer.com/areas-we-serve/harris-county/pasadena/" TargetMode="External"/><Relationship Id="rId496" Type="http://schemas.openxmlformats.org/officeDocument/2006/relationships/hyperlink" Target="https://sbrownlawyer.com/2023/01/10/should-i-talk-to-the-other-drivers-insurance-company/" TargetMode="External"/><Relationship Id="rId293" Type="http://schemas.openxmlformats.org/officeDocument/2006/relationships/hyperlink" Target="https://sbrownlawyer.com/2013/09/03/texas-males-can-also-be-victims-of-domestic-violence/" TargetMode="External"/><Relationship Id="rId292" Type="http://schemas.openxmlformats.org/officeDocument/2006/relationships/hyperlink" Target="https://sbrownlawyer.com/2014/01/31/college-station-man-in-custody-after-domestic-violence-incident/" TargetMode="External"/><Relationship Id="rId291" Type="http://schemas.openxmlformats.org/officeDocument/2006/relationships/hyperlink" Target="https://sbrownlawyer.com/2014/01/27/study-counties-with-more-protestants-have-higher-divorce-rate/" TargetMode="External"/><Relationship Id="rId290" Type="http://schemas.openxmlformats.org/officeDocument/2006/relationships/hyperlink" Target="https://sbrownlawyer.com/2021/06/15/11-questions-to-ask-before-hiring-a-criminal-defense-attorney/" TargetMode="External"/><Relationship Id="rId286" Type="http://schemas.openxmlformats.org/officeDocument/2006/relationships/hyperlink" Target="https://sbrownlawyer.com/2024/04/26/beyond-divorce-guide-to-post-divorce-family-laws/" TargetMode="External"/><Relationship Id="rId285" Type="http://schemas.openxmlformats.org/officeDocument/2006/relationships/hyperlink" Target="https://sbrownlawyer.com/family-law/Child-Protective-Services-CPS" TargetMode="External"/><Relationship Id="rId284" Type="http://schemas.openxmlformats.org/officeDocument/2006/relationships/hyperlink" Target="https://sbrownlawyer.com/family-law/Contact" TargetMode="External"/><Relationship Id="rId283" Type="http://schemas.openxmlformats.org/officeDocument/2006/relationships/hyperlink" Target="https://sbrownlawyer.com/family-law/Modifications" TargetMode="External"/><Relationship Id="rId289" Type="http://schemas.openxmlformats.org/officeDocument/2006/relationships/hyperlink" Target="https://sbrownlawyer.com/Family-Law/Child-Custody" TargetMode="External"/><Relationship Id="rId288" Type="http://schemas.openxmlformats.org/officeDocument/2006/relationships/hyperlink" Target="https://sbrownlawyer.com/texas-family-law/" TargetMode="External"/><Relationship Id="rId287" Type="http://schemas.openxmlformats.org/officeDocument/2006/relationships/hyperlink" Target="https://sbrownlawyer.com/2021/07/05/what-to-expect-out-of-a-divorce-trial/" TargetMode="External"/><Relationship Id="rId282" Type="http://schemas.openxmlformats.org/officeDocument/2006/relationships/hyperlink" Target="https://sbrownlawyer.com/dr-divorce/" TargetMode="External"/><Relationship Id="rId281" Type="http://schemas.openxmlformats.org/officeDocument/2006/relationships/hyperlink" Target="https://sbrownlawyer.com/league-city-child-custody-attorneys/" TargetMode="External"/><Relationship Id="rId280" Type="http://schemas.openxmlformats.org/officeDocument/2006/relationships/hyperlink" Target="https://sbrownlawyer.com/Criminal-Law" TargetMode="External"/><Relationship Id="rId275" Type="http://schemas.openxmlformats.org/officeDocument/2006/relationships/hyperlink" Target="https://sbrownlawyer.com/league-city-family-law-attorney/" TargetMode="External"/><Relationship Id="rId274" Type="http://schemas.openxmlformats.org/officeDocument/2006/relationships/hyperlink" Target="https://sbrownlawyer.com/harris-county-family-law/" TargetMode="External"/><Relationship Id="rId273" Type="http://schemas.openxmlformats.org/officeDocument/2006/relationships/hyperlink" Target="https://sbrownlawyer.com/Physician-Practices/" TargetMode="External"/><Relationship Id="rId272" Type="http://schemas.openxmlformats.org/officeDocument/2006/relationships/hyperlink" Target="https://sbrownlawyer.com/2024/03/20/texas-child-support-2024/" TargetMode="External"/><Relationship Id="rId279" Type="http://schemas.openxmlformats.org/officeDocument/2006/relationships/hyperlink" Target="https://sbrownlawyer.com/galveston-child-custody-lawyer/" TargetMode="External"/><Relationship Id="rId278" Type="http://schemas.openxmlformats.org/officeDocument/2006/relationships/hyperlink" Target="https://sbrownlawyer.com/schedule-now/" TargetMode="External"/><Relationship Id="rId277" Type="http://schemas.openxmlformats.org/officeDocument/2006/relationships/hyperlink" Target="https://sbrownlawyer.com/Family-Law" TargetMode="External"/><Relationship Id="rId276" Type="http://schemas.openxmlformats.org/officeDocument/2006/relationships/hyperlink" Target="https://sbrownlawyer.com/Personal-Injury" TargetMode="External"/><Relationship Id="rId907" Type="http://schemas.openxmlformats.org/officeDocument/2006/relationships/hyperlink" Target="https://sbrownlawyer.com/how-to-hire-a-texas-criminal-defense-lawyer/" TargetMode="External"/><Relationship Id="rId906" Type="http://schemas.openxmlformats.org/officeDocument/2006/relationships/hyperlink" Target="https://sbrownlawyer.com/Domestic-Violence/Restraining-Orders" TargetMode="External"/><Relationship Id="rId905" Type="http://schemas.openxmlformats.org/officeDocument/2006/relationships/hyperlink" Target="https://sbrownlawyer.com/prescription-drug-charges/Alternative-Outcomes-In-Drug-Cases" TargetMode="External"/><Relationship Id="rId904" Type="http://schemas.openxmlformats.org/officeDocument/2006/relationships/hyperlink" Target="https://sbrownlawyer.com/Domestic-Violence/Protective-Services" TargetMode="External"/><Relationship Id="rId909" Type="http://schemas.openxmlformats.org/officeDocument/2006/relationships/hyperlink" Target="https://sbrownlawyer.com/2018/10/15/what-is-a-contested-divorce/" TargetMode="External"/><Relationship Id="rId908" Type="http://schemas.openxmlformats.org/officeDocument/2006/relationships/hyperlink" Target="https://sbrownlawyer.com/2017/01/16/how-a-divorce-attorney-can-help-with-your-divorce/" TargetMode="External"/><Relationship Id="rId903" Type="http://schemas.openxmlformats.org/officeDocument/2006/relationships/hyperlink" Target="https://sbrownlawyer.com/Domestic-Violence/Child-Abuse" TargetMode="External"/><Relationship Id="rId902" Type="http://schemas.openxmlformats.org/officeDocument/2006/relationships/hyperlink" Target="https://sbrownlawyer.com/pearland-marijuana-possession/" TargetMode="External"/><Relationship Id="rId901" Type="http://schemas.openxmlformats.org/officeDocument/2006/relationships/hyperlink" Target="https://sbrownlawyer.com/2013/07/16/should-spousal-support-be-gender-blind/" TargetMode="External"/><Relationship Id="rId900" Type="http://schemas.openxmlformats.org/officeDocument/2006/relationships/hyperlink" Target="https://sbrownlawyer.com/2013/10/10/october-is-domestic-violence-awareness-and-prevention-month/" TargetMode="External"/><Relationship Id="rId929" Type="http://schemas.openxmlformats.org/officeDocument/2006/relationships/hyperlink" Target="https://sbrownlawyer.com/2015/07/20/alimony-payments-arent-guaranteed-in-a-texas-divorce/" TargetMode="External"/><Relationship Id="rId928" Type="http://schemas.openxmlformats.org/officeDocument/2006/relationships/hyperlink" Target="https://sbrownlawyer.com/2018/06/12/what-kind-of-assets-can-a-spouse-hide-in-a-divorce/" TargetMode="External"/><Relationship Id="rId927" Type="http://schemas.openxmlformats.org/officeDocument/2006/relationships/hyperlink" Target="https://sbrownlawyer.com/2018/06/01/what-happens-when-child-support-isnt-paid/" TargetMode="External"/><Relationship Id="rId926" Type="http://schemas.openxmlformats.org/officeDocument/2006/relationships/hyperlink" Target="https://sbrownlawyer.com/2019/05/15/7-common-domestic-violence-defense-strategies/" TargetMode="External"/><Relationship Id="rId921" Type="http://schemas.openxmlformats.org/officeDocument/2006/relationships/hyperlink" Target="https://sbrownlawyer.com/2013/07/09/military-life-and-the-strains-of-divorce/" TargetMode="External"/><Relationship Id="rId920" Type="http://schemas.openxmlformats.org/officeDocument/2006/relationships/hyperlink" Target="https://sbrownlawyer.com/2014/03/14/texas-banker-to-get-over-50000-in-child-support-repayment/" TargetMode="External"/><Relationship Id="rId925" Type="http://schemas.openxmlformats.org/officeDocument/2006/relationships/hyperlink" Target="https://sbrownlawyer.com/2015/07/24/what-can-i-put-in-a-prenup/" TargetMode="External"/><Relationship Id="rId924" Type="http://schemas.openxmlformats.org/officeDocument/2006/relationships/hyperlink" Target="https://sbrownlawyer.com/distracted-driving/" TargetMode="External"/><Relationship Id="rId923" Type="http://schemas.openxmlformats.org/officeDocument/2006/relationships/hyperlink" Target="https://sbrownlawyer.com/2012/07/20/second-texas-divorce-can-hit-finances-harder-than-the-first/" TargetMode="External"/><Relationship Id="rId922" Type="http://schemas.openxmlformats.org/officeDocument/2006/relationships/hyperlink" Target="https://sbrownlawyer.com/2012/10/26/how-to-split-your-digital-assets-in-divorce/" TargetMode="External"/><Relationship Id="rId918" Type="http://schemas.openxmlformats.org/officeDocument/2006/relationships/hyperlink" Target="https://sbrownlawyer.com/page/8/" TargetMode="External"/><Relationship Id="rId917" Type="http://schemas.openxmlformats.org/officeDocument/2006/relationships/hyperlink" Target="https://sbrownlawyer.com/blog/page/9/?et_blog" TargetMode="External"/><Relationship Id="rId916" Type="http://schemas.openxmlformats.org/officeDocument/2006/relationships/hyperlink" Target="https://sbrownlawyer.com/2017/01/Contact" TargetMode="External"/><Relationship Id="rId915" Type="http://schemas.openxmlformats.org/officeDocument/2006/relationships/hyperlink" Target="https://sbrownlawyer.com/friendswood-tx-dwi/" TargetMode="External"/><Relationship Id="rId919" Type="http://schemas.openxmlformats.org/officeDocument/2006/relationships/hyperlink" Target="https://sbrownlawyer.com/2017/02/01/after-a-dwi-arrest-hire-a-lawyer-asap/" TargetMode="External"/><Relationship Id="rId910" Type="http://schemas.openxmlformats.org/officeDocument/2006/relationships/hyperlink" Target="https://sbrownlawyer.com/2018/10/01/common-issues-with-dividing-community-property-in-divorce/" TargetMode="External"/><Relationship Id="rId914" Type="http://schemas.openxmlformats.org/officeDocument/2006/relationships/hyperlink" Target="https://sbrownlawyer.com/page/7/" TargetMode="External"/><Relationship Id="rId913" Type="http://schemas.openxmlformats.org/officeDocument/2006/relationships/hyperlink" Target="https://sbrownlawyer.com/blog/page/8/?et_blog" TargetMode="External"/><Relationship Id="rId912" Type="http://schemas.openxmlformats.org/officeDocument/2006/relationships/hyperlink" Target="https://sbrownlawyer.com/faq/" TargetMode="External"/><Relationship Id="rId911" Type="http://schemas.openxmlformats.org/officeDocument/2006/relationships/hyperlink" Target="https://sbrownlawyer.com/2018/10/23/can-grandparents-get-visitation-rights-in-texas/" TargetMode="External"/><Relationship Id="rId629" Type="http://schemas.openxmlformats.org/officeDocument/2006/relationships/hyperlink" Target="https://sbrownlawyer.com/2015/06/16/improve-your-safety-when-you-flee-a-domestic-abuse-situation/" TargetMode="External"/><Relationship Id="rId624" Type="http://schemas.openxmlformats.org/officeDocument/2006/relationships/hyperlink" Target="https://sbrownlawyer.com/2013/12/12/dallas-high-school-athletes-pledge-to-help-end-domestic-violence/" TargetMode="External"/><Relationship Id="rId866" Type="http://schemas.openxmlformats.org/officeDocument/2006/relationships/hyperlink" Target="https://sbrownlawyer.com/wrongful-death/" TargetMode="External"/><Relationship Id="rId623" Type="http://schemas.openxmlformats.org/officeDocument/2006/relationships/hyperlink" Target="https://sbrownlawyer.com/2015/02/20/child-support-rights-of-grandparents-with-custody-of-a-grandchild/" TargetMode="External"/><Relationship Id="rId865" Type="http://schemas.openxmlformats.org/officeDocument/2006/relationships/hyperlink" Target="https://sbrownlawyer.com/2017/11/21/new-texas-law-bans-texting-while-driving/" TargetMode="External"/><Relationship Id="rId622" Type="http://schemas.openxmlformats.org/officeDocument/2006/relationships/hyperlink" Target="https://sbrownlawyer.com/2016/Family-Law/Spousal-Support" TargetMode="External"/><Relationship Id="rId864" Type="http://schemas.openxmlformats.org/officeDocument/2006/relationships/hyperlink" Target="https://sbrownlawyer.com/2018/01/15/grandparent-rights-in-texas-custody-cases/" TargetMode="External"/><Relationship Id="rId621" Type="http://schemas.openxmlformats.org/officeDocument/2006/relationships/hyperlink" Target="https://sbrownlawyer.com/2013/02/15/privacy-could-be-a-myth-during-a-texas-divorce/" TargetMode="External"/><Relationship Id="rId863" Type="http://schemas.openxmlformats.org/officeDocument/2006/relationships/hyperlink" Target="https://sbrownlawyer.com/pearland-cocaine-possession/" TargetMode="External"/><Relationship Id="rId628" Type="http://schemas.openxmlformats.org/officeDocument/2006/relationships/hyperlink" Target="https://sbrownlawyer.com/2015/05/08/what-if-im-accused-of-child-abuse/" TargetMode="External"/><Relationship Id="rId627" Type="http://schemas.openxmlformats.org/officeDocument/2006/relationships/hyperlink" Target="https://sbrownlawyer.com/2016/02/18/how-does-bankruptcy-affect-child-support/" TargetMode="External"/><Relationship Id="rId869" Type="http://schemas.openxmlformats.org/officeDocument/2006/relationships/hyperlink" Target="https://sbrownlawyer.com/what-to-do-after-a-serious-car-accident/" TargetMode="External"/><Relationship Id="rId626" Type="http://schemas.openxmlformats.org/officeDocument/2006/relationships/hyperlink" Target="https://sbrownlawyer.com/2016/Criminal-Law/Domestic-Violence/Protective-Orders-Divorce" TargetMode="External"/><Relationship Id="rId868" Type="http://schemas.openxmlformats.org/officeDocument/2006/relationships/hyperlink" Target="https://sbrownlawyer.com/2018/07/17/what-happens-to-you-money-from-a-personal-injury-settlement-if-you-get-divorced/" TargetMode="External"/><Relationship Id="rId625" Type="http://schemas.openxmlformats.org/officeDocument/2006/relationships/hyperlink" Target="https://sbrownlawyer.com/2016/04/01/do-i-need-an-attorney-even-if-we-dont-have-children/" TargetMode="External"/><Relationship Id="rId867" Type="http://schemas.openxmlformats.org/officeDocument/2006/relationships/hyperlink" Target="https://sbrownlawyer.com/2018/09/26/attorney-scott-m-brown-board-certified-in-family-law/" TargetMode="External"/><Relationship Id="rId620" Type="http://schemas.openxmlformats.org/officeDocument/2006/relationships/hyperlink" Target="https://sbrownlawyer.com/2013/Family-Law/Spousal-Support" TargetMode="External"/><Relationship Id="rId862" Type="http://schemas.openxmlformats.org/officeDocument/2006/relationships/hyperlink" Target="https://sbrownlawyer.com/2013/01/28/texas-divorce-facebook-couple-calls-it-quits/" TargetMode="External"/><Relationship Id="rId861" Type="http://schemas.openxmlformats.org/officeDocument/2006/relationships/hyperlink" Target="https://sbrownlawyer.com/2017/11/14/texas-among-states-with-highest-numbers-of-people-in-prison/" TargetMode="External"/><Relationship Id="rId860" Type="http://schemas.openxmlformats.org/officeDocument/2006/relationships/hyperlink" Target="https://sbrownlawyer.com/2017/05/18/what-is-a-reasonable-suspicion-to-stop-in-a-texas-duidwi-case/" TargetMode="External"/><Relationship Id="rId619" Type="http://schemas.openxmlformats.org/officeDocument/2006/relationships/hyperlink" Target="https://sbrownlawyer.com/2017/12/22/tickets-for-driving-without-car-insurnace-now-in-effect/" TargetMode="External"/><Relationship Id="rId618" Type="http://schemas.openxmlformats.org/officeDocument/2006/relationships/hyperlink" Target="https://sbrownlawyer.com/Fathers-Rights/" TargetMode="External"/><Relationship Id="rId613" Type="http://schemas.openxmlformats.org/officeDocument/2006/relationships/hyperlink" Target="https://sbrownlawyer.com/league-city-tx-family-law-attorneys/" TargetMode="External"/><Relationship Id="rId855" Type="http://schemas.openxmlformats.org/officeDocument/2006/relationships/hyperlink" Target="https://sbrownlawyer.com/blog/personal-injury/" TargetMode="External"/><Relationship Id="rId612" Type="http://schemas.openxmlformats.org/officeDocument/2006/relationships/hyperlink" Target="https://sbrownlawyer.com/galveston-spousal-support/" TargetMode="External"/><Relationship Id="rId854" Type="http://schemas.openxmlformats.org/officeDocument/2006/relationships/hyperlink" Target="https://sbrownlawyer.com/breath-blood-test-issues/Field-Sobriety-Test" TargetMode="External"/><Relationship Id="rId611" Type="http://schemas.openxmlformats.org/officeDocument/2006/relationships/hyperlink" Target="https://sbrownlawyer.com/child-support-lawyer-in-galveston/" TargetMode="External"/><Relationship Id="rId853" Type="http://schemas.openxmlformats.org/officeDocument/2006/relationships/hyperlink" Target="https://sbrownlawyer.com/2019/04/15/avoid-a-messy-divorce-how-to-choose-the-right-divorce-lawyer/" TargetMode="External"/><Relationship Id="rId610" Type="http://schemas.openxmlformats.org/officeDocument/2006/relationships/hyperlink" Target="https://sbrownlawyer.com/2018/09/15/how-does-domestic-violence-factor-into-your-family-law-case/" TargetMode="External"/><Relationship Id="rId852" Type="http://schemas.openxmlformats.org/officeDocument/2006/relationships/hyperlink" Target="https://sbrownlawyer.com/2018/11/06/benefits-to-filing-for-divorce-first-in-texas/" TargetMode="External"/><Relationship Id="rId617" Type="http://schemas.openxmlformats.org/officeDocument/2006/relationships/hyperlink" Target="https://sbrownlawyer.com/2017/04/21/the-role-of-the-life-care-planner-in-a-serious-injury-case/" TargetMode="External"/><Relationship Id="rId859" Type="http://schemas.openxmlformats.org/officeDocument/2006/relationships/hyperlink" Target="https://sbrownlawyer.com/2017/03/11/what-is-the-parental-presumption/" TargetMode="External"/><Relationship Id="rId616" Type="http://schemas.openxmlformats.org/officeDocument/2006/relationships/hyperlink" Target="https://sbrownlawyer.com/2017/12/07/new-texas-law-aims-at-children-left-in-hot-cars/" TargetMode="External"/><Relationship Id="rId858" Type="http://schemas.openxmlformats.org/officeDocument/2006/relationships/hyperlink" Target="https://sbrownlawyer.com/2016/01/29/completing-a-financial-disclosure/" TargetMode="External"/><Relationship Id="rId615" Type="http://schemas.openxmlformats.org/officeDocument/2006/relationships/hyperlink" Target="https://sbrownlawyer.com/2017/04/08/what-happens-if-i-refuse-to-take-a-test-when-arrested-for-a-dwi/" TargetMode="External"/><Relationship Id="rId857" Type="http://schemas.openxmlformats.org/officeDocument/2006/relationships/hyperlink" Target="https://sbrownlawyer.com/2015/04/17/is-your-ex-spouse-skipping-child-support-with-contract-work/" TargetMode="External"/><Relationship Id="rId614" Type="http://schemas.openxmlformats.org/officeDocument/2006/relationships/hyperlink" Target="https://sbrownlawyer.com/2013/10/31/infidelity-lies-and-breakup-not-just-in-lambert-shelton-songs/" TargetMode="External"/><Relationship Id="rId856" Type="http://schemas.openxmlformats.org/officeDocument/2006/relationships/hyperlink" Target="https://sbrownlawyer.com/2016/01/14/what-is-the-difference-between-fixed-and-reasonable-visitation/" TargetMode="External"/><Relationship Id="rId851" Type="http://schemas.openxmlformats.org/officeDocument/2006/relationships/hyperlink" Target="https://sbrownlawyer.com/2018/11/15/how-will-texas-divorces-be-different-in-2019/" TargetMode="External"/><Relationship Id="rId850" Type="http://schemas.openxmlformats.org/officeDocument/2006/relationships/hyperlink" Target="https://sbrownlawyer.com/2018/12/17/is-it-legal-for-police-to-search-your-car-during-a-traffic-stop/" TargetMode="External"/><Relationship Id="rId409" Type="http://schemas.openxmlformats.org/officeDocument/2006/relationships/hyperlink" Target="https://sbrownlawyer.com/Division-Of-Property/Oil-And-Mineral-Rights" TargetMode="External"/><Relationship Id="rId404" Type="http://schemas.openxmlformats.org/officeDocument/2006/relationships/hyperlink" Target="https://sbrownlawyer.com/complex-and-contested-divorce-attorneys/High-Net-Worth-Divorce" TargetMode="External"/><Relationship Id="rId646" Type="http://schemas.openxmlformats.org/officeDocument/2006/relationships/hyperlink" Target="https://sbrownlawyer.com/Planning-For-Divorce/" TargetMode="External"/><Relationship Id="rId888" Type="http://schemas.openxmlformats.org/officeDocument/2006/relationships/hyperlink" Target="https://sbrownlawyer.com/league-city-dwi-lawyer/" TargetMode="External"/><Relationship Id="rId403" Type="http://schemas.openxmlformats.org/officeDocument/2006/relationships/hyperlink" Target="https://sbrownlawyer.com/Division-Of-Property/Business-And-Professional-Practices-In-Divorce" TargetMode="External"/><Relationship Id="rId645" Type="http://schemas.openxmlformats.org/officeDocument/2006/relationships/hyperlink" Target="https://sbrownlawyer.com/2015/12/11/get-a-protective-order-to-handle-domestic-violence/" TargetMode="External"/><Relationship Id="rId887" Type="http://schemas.openxmlformats.org/officeDocument/2006/relationships/hyperlink" Target="https://sbrownlawyer.com/2015/07/13/same-sex-divorces-in-texas-likely-to-have-problems-for-now/" TargetMode="External"/><Relationship Id="rId402" Type="http://schemas.openxmlformats.org/officeDocument/2006/relationships/hyperlink" Target="https://sbrownlawyer.com/division-of-property" TargetMode="External"/><Relationship Id="rId644" Type="http://schemas.openxmlformats.org/officeDocument/2006/relationships/hyperlink" Target="https://sbrownlawyer.com/Business-Owner-Divorce/" TargetMode="External"/><Relationship Id="rId886" Type="http://schemas.openxmlformats.org/officeDocument/2006/relationships/hyperlink" Target="https://sbrownlawyer.com/2012/04/05/untangling-child-related-tax-exemption-questions-after-divorce/" TargetMode="External"/><Relationship Id="rId401" Type="http://schemas.openxmlformats.org/officeDocument/2006/relationships/hyperlink" Target="https://sbrownlawyer.com/obtaining-a-protective-order-is-one-step-in-leaving-domestic-violence/" TargetMode="External"/><Relationship Id="rId643" Type="http://schemas.openxmlformats.org/officeDocument/2006/relationships/hyperlink" Target="https://sbrownlawyer.com/league-city-drug-distribution-charges/" TargetMode="External"/><Relationship Id="rId885" Type="http://schemas.openxmlformats.org/officeDocument/2006/relationships/hyperlink" Target="https://sbrownlawyer.com/2019/08/10/legal-immunity-for-reporting-alcohol-poisoning/" TargetMode="External"/><Relationship Id="rId408" Type="http://schemas.openxmlformats.org/officeDocument/2006/relationships/hyperlink" Target="https://sbrownlawyer.com/Division-Of-Property/Inheritances" TargetMode="External"/><Relationship Id="rId407" Type="http://schemas.openxmlformats.org/officeDocument/2006/relationships/hyperlink" Target="https://sbrownlawyer.com/Division-Of-Property/Business-Owner-Divorce" TargetMode="External"/><Relationship Id="rId649" Type="http://schemas.openxmlformats.org/officeDocument/2006/relationships/hyperlink" Target="https://sbrownlawyer.com/Guiding-Your-Children-Through-Divorce/" TargetMode="External"/><Relationship Id="rId406" Type="http://schemas.openxmlformats.org/officeDocument/2006/relationships/hyperlink" Target="https://sbrownlawyer.com/Spousal-Support" TargetMode="External"/><Relationship Id="rId648" Type="http://schemas.openxmlformats.org/officeDocument/2006/relationships/hyperlink" Target="https://sbrownlawyer.com/Protecting-Your-Assets/" TargetMode="External"/><Relationship Id="rId405" Type="http://schemas.openxmlformats.org/officeDocument/2006/relationships/hyperlink" Target="https://sbrownlawyer.com/Child-Support" TargetMode="External"/><Relationship Id="rId647" Type="http://schemas.openxmlformats.org/officeDocument/2006/relationships/hyperlink" Target="https://sbrownlawyer.com/2015/12/23/alimony-is-a-hot-button-issue-in-divorce/" TargetMode="External"/><Relationship Id="rId889" Type="http://schemas.openxmlformats.org/officeDocument/2006/relationships/hyperlink" Target="https://sbrownlawyer.com/2019/08/30/what-to-do-in-a-hit-and-run/" TargetMode="External"/><Relationship Id="rId880" Type="http://schemas.openxmlformats.org/officeDocument/2006/relationships/hyperlink" Target="https://sbrownlawyer.com/Adoption" TargetMode="External"/><Relationship Id="rId400" Type="http://schemas.openxmlformats.org/officeDocument/2006/relationships/hyperlink" Target="https://sbrownlawyer.com/When-parents-divorce-New-study-analyzes-impact-of-divorce-on-kids/" TargetMode="External"/><Relationship Id="rId642" Type="http://schemas.openxmlformats.org/officeDocument/2006/relationships/hyperlink" Target="https://sbrownlawyer.com/League%20City-tx-drug-possession-defense/" TargetMode="External"/><Relationship Id="rId884" Type="http://schemas.openxmlformats.org/officeDocument/2006/relationships/hyperlink" Target="https://sbrownlawyer.com/Adoption/" TargetMode="External"/><Relationship Id="rId641" Type="http://schemas.openxmlformats.org/officeDocument/2006/relationships/hyperlink" Target="https://sbrownlawyer.com/do-not-blow/" TargetMode="External"/><Relationship Id="rId883" Type="http://schemas.openxmlformats.org/officeDocument/2006/relationships/hyperlink" Target="https://sbrownlawyer.com/2018/04/12/do-you-need-uninsured-motorist-auto-insurance-coverage-in-texas/" TargetMode="External"/><Relationship Id="rId640" Type="http://schemas.openxmlformats.org/officeDocument/2006/relationships/hyperlink" Target="https://sbrownlawyer.com/field-sobriety-test/" TargetMode="External"/><Relationship Id="rId882" Type="http://schemas.openxmlformats.org/officeDocument/2006/relationships/hyperlink" Target="https://sbrownlawyer.com/2018/03/23/parental-alienation-a-criminal-offense-in-texas/" TargetMode="External"/><Relationship Id="rId881" Type="http://schemas.openxmlformats.org/officeDocument/2006/relationships/hyperlink" Target="https://sbrownlawyer.com/2012/02/21/halle-berry-files-request-to-move-with-her-daughter/" TargetMode="External"/><Relationship Id="rId635" Type="http://schemas.openxmlformats.org/officeDocument/2006/relationships/hyperlink" Target="https://sbrownlawyer.com/multiple-dwi-loss-of-license/" TargetMode="External"/><Relationship Id="rId877" Type="http://schemas.openxmlformats.org/officeDocument/2006/relationships/hyperlink" Target="https://sbrownlawyer.com/2012/06/08/dealing-with-divorce-both-practically-and-emotionally/" TargetMode="External"/><Relationship Id="rId634" Type="http://schemas.openxmlformats.org/officeDocument/2006/relationships/hyperlink" Target="https://sbrownlawyer.com/2015/02/10/domestic-abuse-can-profoundly-impact-immigrants/" TargetMode="External"/><Relationship Id="rId876" Type="http://schemas.openxmlformats.org/officeDocument/2006/relationships/hyperlink" Target="https://sbrownlawyer.com/2014/Family-Law/Spousal-Support" TargetMode="External"/><Relationship Id="rId633" Type="http://schemas.openxmlformats.org/officeDocument/2006/relationships/hyperlink" Target="https://sbrownlawyer.com/visitation" TargetMode="External"/><Relationship Id="rId875" Type="http://schemas.openxmlformats.org/officeDocument/2006/relationships/hyperlink" Target="https://sbrownlawyer.com/2014/11/14/tips-for-dealing-with-child-custody-issues-in-texas/" TargetMode="External"/><Relationship Id="rId632" Type="http://schemas.openxmlformats.org/officeDocument/2006/relationships/hyperlink" Target="https://sbrownlawyer.com/Enforcement/Modifications" TargetMode="External"/><Relationship Id="rId874" Type="http://schemas.openxmlformats.org/officeDocument/2006/relationships/hyperlink" Target="https://sbrownlawyer.com/2013/04/04/more-senior-citizens-seeking-divorce-studies-say/" TargetMode="External"/><Relationship Id="rId639" Type="http://schemas.openxmlformats.org/officeDocument/2006/relationships/hyperlink" Target="https://sbrownlawyer.com/dwi-dui-drugs/" TargetMode="External"/><Relationship Id="rId638" Type="http://schemas.openxmlformats.org/officeDocument/2006/relationships/hyperlink" Target="https://sbrownlawyer.com/dwi-dui-accident/" TargetMode="External"/><Relationship Id="rId637" Type="http://schemas.openxmlformats.org/officeDocument/2006/relationships/hyperlink" Target="https://sbrownlawyer.com/2017/07/17/driving-under-the-influence-of-drugs-in-texas/" TargetMode="External"/><Relationship Id="rId879" Type="http://schemas.openxmlformats.org/officeDocument/2006/relationships/hyperlink" Target="https://sbrownlawyer.com/2014/06/20/lopez-anthony-divorce-has-interesting-child-custody-agreement/" TargetMode="External"/><Relationship Id="rId636" Type="http://schemas.openxmlformats.org/officeDocument/2006/relationships/hyperlink" Target="https://sbrownlawyer.com/2017/10/01/5-things-to-know-if-a-teenager-is-arrested-for-a-dui/" TargetMode="External"/><Relationship Id="rId878" Type="http://schemas.openxmlformats.org/officeDocument/2006/relationships/hyperlink" Target="https://sbrownlawyer.com/2014/08/15/child-support-in-texas-better-than-anywhere-in-united-states/" TargetMode="External"/><Relationship Id="rId631" Type="http://schemas.openxmlformats.org/officeDocument/2006/relationships/hyperlink" Target="https://sbrownlawyer.com/Family-Law/Visitation/" TargetMode="External"/><Relationship Id="rId873" Type="http://schemas.openxmlformats.org/officeDocument/2006/relationships/hyperlink" Target="https://sbrownlawyer.com/2018/08/18/what-should-you-look-for-when-driving-next-to-big-trucks/" TargetMode="External"/><Relationship Id="rId630" Type="http://schemas.openxmlformats.org/officeDocument/2006/relationships/hyperlink" Target="https://sbrownlawyer.com/Parental-Relocation/International-Custody" TargetMode="External"/><Relationship Id="rId872" Type="http://schemas.openxmlformats.org/officeDocument/2006/relationships/hyperlink" Target="https://sbrownlawyer.com/2013/06/24/child-support-owed-by-nfl-quarterback/" TargetMode="External"/><Relationship Id="rId871" Type="http://schemas.openxmlformats.org/officeDocument/2006/relationships/hyperlink" Target="https://sbrownlawyer.com/2012/04/13/bob-weinsteins-wife-files-for-divorce-claims-fear-of-bodily-harm/" TargetMode="External"/><Relationship Id="rId870" Type="http://schemas.openxmlformats.org/officeDocument/2006/relationships/hyperlink" Target="https://sbrownlawyer.com/2018/08/05/are-parents-personally-liable-if-their-teenager-gets-in-an-accident/" TargetMode="External"/><Relationship Id="rId829" Type="http://schemas.openxmlformats.org/officeDocument/2006/relationships/hyperlink" Target="https://sbrownlawyer.com/2018/09/24/what-rights-do-fathers-have-in-texas/" TargetMode="External"/><Relationship Id="rId828" Type="http://schemas.openxmlformats.org/officeDocument/2006/relationships/hyperlink" Target="https://sbrownlawyer.com/2013/10/21/who-gets-the-wedding-ring-in-the-event-of-a-breakup/" TargetMode="External"/><Relationship Id="rId827" Type="http://schemas.openxmlformats.org/officeDocument/2006/relationships/hyperlink" Target="https://sbrownlawyer.com/2018/07/22/take-as-many-pictures-as-you-can-after-a-car-crash/" TargetMode="External"/><Relationship Id="rId822" Type="http://schemas.openxmlformats.org/officeDocument/2006/relationships/hyperlink" Target="https://sbrownlawyer.com/2013/04/11/texas-child-support-powerball-winner-pays-past-due-30000/" TargetMode="External"/><Relationship Id="rId821" Type="http://schemas.openxmlformats.org/officeDocument/2006/relationships/hyperlink" Target="https://sbrownlawyer.com/2012/04/19/texas-sperm-donor-off-the-hook-for-child-support/" TargetMode="External"/><Relationship Id="rId820" Type="http://schemas.openxmlformats.org/officeDocument/2006/relationships/hyperlink" Target="https://sbrownlawyer.com/2014/11/20/baptist-pastor-suggests-texas-residents-bypass-formal-marriage/" TargetMode="External"/><Relationship Id="rId826" Type="http://schemas.openxmlformats.org/officeDocument/2006/relationships/hyperlink" Target="https://sbrownlawyer.com/2018/08/01/can-a-non-parent-pursue-custody/" TargetMode="External"/><Relationship Id="rId825" Type="http://schemas.openxmlformats.org/officeDocument/2006/relationships/hyperlink" Target="https://sbrownlawyer.com/2019/01/15/are-divorce-rates-decreasing/" TargetMode="External"/><Relationship Id="rId824" Type="http://schemas.openxmlformats.org/officeDocument/2006/relationships/hyperlink" Target="https://sbrownlawyer.com/2013/06/20/divorce-of-texas-man-that-was-wrongfully-incarcerated/" TargetMode="External"/><Relationship Id="rId823" Type="http://schemas.openxmlformats.org/officeDocument/2006/relationships/hyperlink" Target="https://sbrownlawyer.com/2018/08/21/do-grandparents-have-visitation-rights-in-a-divorce/" TargetMode="External"/><Relationship Id="rId819" Type="http://schemas.openxmlformats.org/officeDocument/2006/relationships/hyperlink" Target="https://sbrownlawyer.com/2012/05/30/military-divorce-rate-at-an-all-time-high/" TargetMode="External"/><Relationship Id="rId818" Type="http://schemas.openxmlformats.org/officeDocument/2006/relationships/hyperlink" Target="https://sbrownlawyer.com/2014/08/08/myths-about-texas-alimony-along-with-new-changes/" TargetMode="External"/><Relationship Id="rId817" Type="http://schemas.openxmlformats.org/officeDocument/2006/relationships/hyperlink" Target="https://sbrownlawyer.com/2014/06/27/alimony-property-division-and-other-prenuptial-agreement-issues/" TargetMode="External"/><Relationship Id="rId816" Type="http://schemas.openxmlformats.org/officeDocument/2006/relationships/hyperlink" Target="https://sbrownlawyer.com/2012/02/27/in-divorce-cases-technology-can-be-used-against-you/" TargetMode="External"/><Relationship Id="rId811" Type="http://schemas.openxmlformats.org/officeDocument/2006/relationships/hyperlink" Target="https://sbrownlawyer.com/2015/07/06/will-permanent-alimony-become-a-thing-of-the-past/" TargetMode="External"/><Relationship Id="rId810" Type="http://schemas.openxmlformats.org/officeDocument/2006/relationships/hyperlink" Target="https://sbrownlawyer.com/2019/08/15/dont-go-solo-top-3-reasons-to-hire-a-dwi-lawyer/" TargetMode="External"/><Relationship Id="rId815" Type="http://schemas.openxmlformats.org/officeDocument/2006/relationships/hyperlink" Target="https://sbrownlawyer.com/2018/03/26/can-teenagers-get-arrested-for-texting-nude-photos-in-texas/" TargetMode="External"/><Relationship Id="rId814" Type="http://schemas.openxmlformats.org/officeDocument/2006/relationships/hyperlink" Target="https://sbrownlawyer.com/2018/04/06/can-you-adopt-a-child-in-texas-without-the-biological-fathers-consent/" TargetMode="External"/><Relationship Id="rId813" Type="http://schemas.openxmlformats.org/officeDocument/2006/relationships/hyperlink" Target="https://sbrownlawyer.com/2012/03/28/new-bill-may-help-military-members-with-child-custody/" TargetMode="External"/><Relationship Id="rId812" Type="http://schemas.openxmlformats.org/officeDocument/2006/relationships/hyperlink" Target="https://sbrownlawyer.com/2016/05/06/how-can-i-protect-my-assets-and-property/" TargetMode="External"/><Relationship Id="rId609" Type="http://schemas.openxmlformats.org/officeDocument/2006/relationships/hyperlink" Target="https://sbrownlawyer.com/2013/06/03/new-domestic-violence-legislation-passed-in-texas/" TargetMode="External"/><Relationship Id="rId608" Type="http://schemas.openxmlformats.org/officeDocument/2006/relationships/hyperlink" Target="https://sbrownlawyer.com/2018/09/04/is-it-legal-for-police-to-search-your-car-in-texas/" TargetMode="External"/><Relationship Id="rId607" Type="http://schemas.openxmlformats.org/officeDocument/2006/relationships/hyperlink" Target="https://sbrownlawyer.com/2013/04/24/thirty-four-parents-arrested-in-texas-on-child-support-warrants/" TargetMode="External"/><Relationship Id="rId849" Type="http://schemas.openxmlformats.org/officeDocument/2006/relationships/hyperlink" Target="https://sbrownlawyer.com/2018/12/15/what-to-do-when-a-child-does-not-want-to-visit-the-other-parent/" TargetMode="External"/><Relationship Id="rId602" Type="http://schemas.openxmlformats.org/officeDocument/2006/relationships/hyperlink" Target="https://sbrownlawyer.com/2014/07/25/men-are-victims-of-domestic-violence-too/" TargetMode="External"/><Relationship Id="rId844" Type="http://schemas.openxmlformats.org/officeDocument/2006/relationships/hyperlink" Target="https://sbrownlawyer.com/2016/01/08/being-current-on-child-support-required-under-new-open-carry-law/" TargetMode="External"/><Relationship Id="rId601" Type="http://schemas.openxmlformats.org/officeDocument/2006/relationships/hyperlink" Target="https://sbrownlawyer.com/2014/07/16/paul-george-in-child-custody-and-paternity-case/" TargetMode="External"/><Relationship Id="rId843" Type="http://schemas.openxmlformats.org/officeDocument/2006/relationships/hyperlink" Target="https://sbrownlawyer.com/breath-blood-test-issues/" TargetMode="External"/><Relationship Id="rId600" Type="http://schemas.openxmlformats.org/officeDocument/2006/relationships/hyperlink" Target="https://sbrownlawyer.com/2021/11/05/5-things-you-need-to-know-about-child-custody-in-texas/" TargetMode="External"/><Relationship Id="rId842" Type="http://schemas.openxmlformats.org/officeDocument/2006/relationships/hyperlink" Target="https://sbrownlawyer.com/2017/05/23/what-types-of-compensation-can-i-get-after-an-accident/" TargetMode="External"/><Relationship Id="rId841" Type="http://schemas.openxmlformats.org/officeDocument/2006/relationships/hyperlink" Target="https://sbrownlawyer.com/2015/04/24/what-should-i-know-about-child-support-modification/" TargetMode="External"/><Relationship Id="rId606" Type="http://schemas.openxmlformats.org/officeDocument/2006/relationships/hyperlink" Target="https://sbrownlawyer.com/2012/05/04/couple-considers-divorce-because-of-dire-financial-situation/" TargetMode="External"/><Relationship Id="rId848" Type="http://schemas.openxmlformats.org/officeDocument/2006/relationships/hyperlink" Target="https://sbrownlawyer.com/2019/04/15/can-bad-behavior-toward-an-ex-affect-your-custody-arrangement/" TargetMode="External"/><Relationship Id="rId605" Type="http://schemas.openxmlformats.org/officeDocument/2006/relationships/hyperlink" Target="https://sbrownlawyer.com/2012/05/18/family-law-matters-land-evangelista-in-court-for-child-support/" TargetMode="External"/><Relationship Id="rId847" Type="http://schemas.openxmlformats.org/officeDocument/2006/relationships/hyperlink" Target="https://sbrownlawyer.com/2018/12/01/6-tips-for-co-parenting-effectively/" TargetMode="External"/><Relationship Id="rId604" Type="http://schemas.openxmlformats.org/officeDocument/2006/relationships/hyperlink" Target="https://sbrownlawyer.com/2014/12/04/how-can-i-make-holiday-visitation-easier-on-my-child/" TargetMode="External"/><Relationship Id="rId846" Type="http://schemas.openxmlformats.org/officeDocument/2006/relationships/hyperlink" Target="https://sbrownlawyer.com/2019/11/15/divorce-difference-for-military-personnel/" TargetMode="External"/><Relationship Id="rId603" Type="http://schemas.openxmlformats.org/officeDocument/2006/relationships/hyperlink" Target="https://sbrownlawyer.com/2015/10/23/reasons-that-alimony-may-be-cancelled/" TargetMode="External"/><Relationship Id="rId845" Type="http://schemas.openxmlformats.org/officeDocument/2006/relationships/hyperlink" Target="https://sbrownlawyer.com/2019/03/24/why-do-i-need-a-divorce-lawyer/" TargetMode="External"/><Relationship Id="rId840" Type="http://schemas.openxmlformats.org/officeDocument/2006/relationships/hyperlink" Target="https://sbrownlawyer.com/2016/02/03/effects-of-divorce-on-daughters/" TargetMode="External"/><Relationship Id="rId839" Type="http://schemas.openxmlformats.org/officeDocument/2006/relationships/hyperlink" Target="https://sbrownlawyer.com/2017/11/01/the-ins-and-outs-of-5050-custody-or-possession/" TargetMode="External"/><Relationship Id="rId838" Type="http://schemas.openxmlformats.org/officeDocument/2006/relationships/hyperlink" Target="https://sbrownlawyer.com/2013/02/08/texas-divorce-military-shows-lower-overall-divorce-rates/" TargetMode="External"/><Relationship Id="rId833" Type="http://schemas.openxmlformats.org/officeDocument/2006/relationships/hyperlink" Target="https://sbrownlawyer.com/2017/05/02/how-can-a-spouse-keep-the-house-after-a-texas-divorce/" TargetMode="External"/><Relationship Id="rId832" Type="http://schemas.openxmlformats.org/officeDocument/2006/relationships/hyperlink" Target="https://sbrownlawyer.com/2017/12/01/modifying-custody-in-the-state-of-texas/" TargetMode="External"/><Relationship Id="rId831" Type="http://schemas.openxmlformats.org/officeDocument/2006/relationships/hyperlink" Target="https://sbrownlawyer.com/league-city-spousal-support-lawyer/" TargetMode="External"/><Relationship Id="rId830" Type="http://schemas.openxmlformats.org/officeDocument/2006/relationships/hyperlink" Target="https://sbrownlawyer.com/2017/Personal-Injury/Wrongful-Death" TargetMode="External"/><Relationship Id="rId837" Type="http://schemas.openxmlformats.org/officeDocument/2006/relationships/hyperlink" Target="https://sbrownlawyer.com/2018/01/05/why-equal-parenting-bill-has-died-in-texas/" TargetMode="External"/><Relationship Id="rId836" Type="http://schemas.openxmlformats.org/officeDocument/2006/relationships/hyperlink" Target="https://sbrownlawyer.com/2016/Family-Law/Domestic-Abuse-And-Protective-Orders" TargetMode="External"/><Relationship Id="rId835" Type="http://schemas.openxmlformats.org/officeDocument/2006/relationships/hyperlink" Target="https://sbrownlawyer.com/2017/03/17/how-to-defend-against-breath-and-blood-tests-in-a-dwi-arrest/" TargetMode="External"/><Relationship Id="rId834" Type="http://schemas.openxmlformats.org/officeDocument/2006/relationships/hyperlink" Target="https://sbrownlawyer.com/league-city-tx-child-custody-visitation-lawyer/" TargetMode="External"/><Relationship Id="rId1059" Type="http://schemas.openxmlformats.org/officeDocument/2006/relationships/hyperlink" Target="https://sbrownlawyer.com/Drug-Charges/Alternative-Outcomes-In-Drug-Cases" TargetMode="External"/><Relationship Id="rId228" Type="http://schemas.openxmlformats.org/officeDocument/2006/relationships/hyperlink" Target="https://sbrownlawyer.com/creative-custody-agreements/" TargetMode="External"/><Relationship Id="rId227" Type="http://schemas.openxmlformats.org/officeDocument/2006/relationships/hyperlink" Target="https://sbrownlawyer.com/2015/01/16/guidelines-for-texas-child-support-modifications/" TargetMode="External"/><Relationship Id="rId469" Type="http://schemas.openxmlformats.org/officeDocument/2006/relationships/hyperlink" Target="https://sbrownlawyer.com/how-divorce-can-actually-benefit-children/" TargetMode="External"/><Relationship Id="rId226" Type="http://schemas.openxmlformats.org/officeDocument/2006/relationships/hyperlink" Target="https://sbrownlawyer.com/child-support-modifications/" TargetMode="External"/><Relationship Id="rId468" Type="http://schemas.openxmlformats.org/officeDocument/2006/relationships/hyperlink" Target="https://sbrownlawyer.com/Guiding-Your-Children-Through-Divorce" TargetMode="External"/><Relationship Id="rId225" Type="http://schemas.openxmlformats.org/officeDocument/2006/relationships/hyperlink" Target="https://sbrownlawyer.com/scott-m-brown/" TargetMode="External"/><Relationship Id="rId467" Type="http://schemas.openxmlformats.org/officeDocument/2006/relationships/hyperlink" Target="https://sbrownlawyer.com/league-city-marital-asset-division-lawyer/" TargetMode="External"/><Relationship Id="rId229" Type="http://schemas.openxmlformats.org/officeDocument/2006/relationships/hyperlink" Target="https://sbrownlawyer.com/league-city-2/" TargetMode="External"/><Relationship Id="rId1050" Type="http://schemas.openxmlformats.org/officeDocument/2006/relationships/hyperlink" Target="https://sbrownlawyer.com/2018/02/27/charges-for-possession-of-a-controlled-substance/" TargetMode="External"/><Relationship Id="rId220" Type="http://schemas.openxmlformats.org/officeDocument/2006/relationships/hyperlink" Target="https://sbrownlawyer.com/2015/03/13/tips-for-texas-child-custody-cases/" TargetMode="External"/><Relationship Id="rId462" Type="http://schemas.openxmlformats.org/officeDocument/2006/relationships/hyperlink" Target="https://sbrownlawyer.com/2022/08/17/how-adjusters-use-medical-records-to-reduce-your-settlement/" TargetMode="External"/><Relationship Id="rId1051" Type="http://schemas.openxmlformats.org/officeDocument/2006/relationships/hyperlink" Target="https://sbrownlawyer.com/2018/05/01/5-tips-to-prepare-for-your-divorce-consultation/" TargetMode="External"/><Relationship Id="rId461" Type="http://schemas.openxmlformats.org/officeDocument/2006/relationships/hyperlink" Target="https://sbrownlawyer.com/don-t-let-family-violence-allegations-affect-your-open-carry-rights/" TargetMode="External"/><Relationship Id="rId1052" Type="http://schemas.openxmlformats.org/officeDocument/2006/relationships/hyperlink" Target="https://sbrownlawyer.com/types-of-car-accidents/" TargetMode="External"/><Relationship Id="rId460" Type="http://schemas.openxmlformats.org/officeDocument/2006/relationships/hyperlink" Target="https://sbrownlawyer.com/2022/09/28/can-my-spouse-prevent-me-from-getting-a-divorce/" TargetMode="External"/><Relationship Id="rId1053" Type="http://schemas.openxmlformats.org/officeDocument/2006/relationships/hyperlink" Target="https://sbrownlawyer.com/2014/05/17/understanding-child-support-is-vital-for-any-non-custodial-parent/" TargetMode="External"/><Relationship Id="rId1054" Type="http://schemas.openxmlformats.org/officeDocument/2006/relationships/hyperlink" Target="https://sbrownlawyer.com/friendswood-car-accidents/" TargetMode="External"/><Relationship Id="rId224" Type="http://schemas.openxmlformats.org/officeDocument/2006/relationships/hyperlink" Target="https://sbrownlawyer.com/2015/05/29/how-can-i-handle-summer-child-custody-schedules/" TargetMode="External"/><Relationship Id="rId466" Type="http://schemas.openxmlformats.org/officeDocument/2006/relationships/hyperlink" Target="https://sbrownlawyer.com/when-alcohol-becomes-a-factor-in-divorce-proceedings/" TargetMode="External"/><Relationship Id="rId1055" Type="http://schemas.openxmlformats.org/officeDocument/2006/relationships/hyperlink" Target="https://sbrownlawyer.com/2014/09/18/domestic-violence-reported-at-university-of-texas/" TargetMode="External"/><Relationship Id="rId223" Type="http://schemas.openxmlformats.org/officeDocument/2006/relationships/hyperlink" Target="https://sbrownlawyer.com/when-parents-divorce-new-study-analyzes-impact-of-divorce-on-kids/" TargetMode="External"/><Relationship Id="rId465" Type="http://schemas.openxmlformats.org/officeDocument/2006/relationships/hyperlink" Target="https://sbrownlawyer.com/Planning-For-Divorce" TargetMode="External"/><Relationship Id="rId1056" Type="http://schemas.openxmlformats.org/officeDocument/2006/relationships/hyperlink" Target="https://sbrownlawyer.com/2014/10/09/property-division-in-texas-community-separate-and-quasi-groups/" TargetMode="External"/><Relationship Id="rId222" Type="http://schemas.openxmlformats.org/officeDocument/2006/relationships/hyperlink" Target="https://sbrownlawyer.com/detailing-some-of-texas-important-child-custody-laws/" TargetMode="External"/><Relationship Id="rId464" Type="http://schemas.openxmlformats.org/officeDocument/2006/relationships/hyperlink" Target="https://sbrownlawyer.com/Divorce/" TargetMode="External"/><Relationship Id="rId1057" Type="http://schemas.openxmlformats.org/officeDocument/2006/relationships/hyperlink" Target="https://sbrownlawyer.com/Drug-Charges/Drug-Possession" TargetMode="External"/><Relationship Id="rId221" Type="http://schemas.openxmlformats.org/officeDocument/2006/relationships/hyperlink" Target="https://sbrownlawyer.com/2016/03/11/taking-care-of-your-childs-needs-is-a-priority/" TargetMode="External"/><Relationship Id="rId463" Type="http://schemas.openxmlformats.org/officeDocument/2006/relationships/hyperlink" Target="https://sbrownlawyer.com/Visitation" TargetMode="External"/><Relationship Id="rId1058" Type="http://schemas.openxmlformats.org/officeDocument/2006/relationships/hyperlink" Target="https://sbrownlawyer.com/Drug-Charges/Drug-Distribution" TargetMode="External"/><Relationship Id="rId1048" Type="http://schemas.openxmlformats.org/officeDocument/2006/relationships/hyperlink" Target="https://sbrownlawyer.com/2019/06/15/understanding-parenting-plans-and-child-support-during-divorce/" TargetMode="External"/><Relationship Id="rId1049" Type="http://schemas.openxmlformats.org/officeDocument/2006/relationships/hyperlink" Target="https://sbrownlawyer.com/2009/04/08/parental-alienation-risk-factors-of-alienation/" TargetMode="External"/><Relationship Id="rId217" Type="http://schemas.openxmlformats.org/officeDocument/2006/relationships/hyperlink" Target="https://sbrownlawyer.com/child-custody/emergency/" TargetMode="External"/><Relationship Id="rId459" Type="http://schemas.openxmlformats.org/officeDocument/2006/relationships/hyperlink" Target="https://sbrownlawyer.com/2022/10/03/what-to-do-after-youre-arrested/" TargetMode="External"/><Relationship Id="rId216" Type="http://schemas.openxmlformats.org/officeDocument/2006/relationships/hyperlink" Target="https://sbrownlawyer.com/Child-Custody" TargetMode="External"/><Relationship Id="rId458" Type="http://schemas.openxmlformats.org/officeDocument/2006/relationships/hyperlink" Target="https://sbrownlawyer.com/2022/10/03/can-my-spouse-prevent-me-from-getting-a-divorce-2/" TargetMode="External"/><Relationship Id="rId215" Type="http://schemas.openxmlformats.org/officeDocument/2006/relationships/hyperlink" Target="https://sbrownlawyer.com/2014/01/02/organizing-child-support-may-become-easier-with-new-software/" TargetMode="External"/><Relationship Id="rId457" Type="http://schemas.openxmlformats.org/officeDocument/2006/relationships/hyperlink" Target="https://sbrownlawyer.com/page/3/" TargetMode="External"/><Relationship Id="rId699" Type="http://schemas.openxmlformats.org/officeDocument/2006/relationships/hyperlink" Target="https://sbrownlawyer.com/blog/page/6/?et_blog" TargetMode="External"/><Relationship Id="rId214" Type="http://schemas.openxmlformats.org/officeDocument/2006/relationships/hyperlink" Target="https://sbrownlawyer.com/am-i-entitled-to-modify-my-last-custody-order/" TargetMode="External"/><Relationship Id="rId456" Type="http://schemas.openxmlformats.org/officeDocument/2006/relationships/hyperlink" Target="https://sbrownlawyer.com/2022/10/03/do-i-need-a-lawyer-to-get-a-divorce/" TargetMode="External"/><Relationship Id="rId698" Type="http://schemas.openxmlformats.org/officeDocument/2006/relationships/hyperlink" Target="https://sbrownlawyer.com/2019/12/30/can-pedestrian-detection-systems-be-trusted/" TargetMode="External"/><Relationship Id="rId219" Type="http://schemas.openxmlformats.org/officeDocument/2006/relationships/hyperlink" Target="https://sbrownlawyer.com/detailing-some-of-texas-s-important-child-custody-laws/" TargetMode="External"/><Relationship Id="rId218" Type="http://schemas.openxmlformats.org/officeDocument/2006/relationships/hyperlink" Target="https://sbrownlawyer.com/custody-schedules-for-infants/" TargetMode="External"/><Relationship Id="rId451" Type="http://schemas.openxmlformats.org/officeDocument/2006/relationships/hyperlink" Target="https://sbrownlawyer.com/theft-and-shoplifting/aggravated-burglary/" TargetMode="External"/><Relationship Id="rId693" Type="http://schemas.openxmlformats.org/officeDocument/2006/relationships/hyperlink" Target="https://sbrownlawyer.com/theft-and-shoplifting/Burglary" TargetMode="External"/><Relationship Id="rId1040" Type="http://schemas.openxmlformats.org/officeDocument/2006/relationships/hyperlink" Target="https://sbrownlawyer.com/2018/05/01/can-you-be-arrested-for-overdosing-on-drugs-in-texas/" TargetMode="External"/><Relationship Id="rId450" Type="http://schemas.openxmlformats.org/officeDocument/2006/relationships/hyperlink" Target="https://sbrownlawyer.com/schedule-now-es" TargetMode="External"/><Relationship Id="rId692" Type="http://schemas.openxmlformats.org/officeDocument/2006/relationships/hyperlink" Target="https://sbrownlawyer.com/league-city-tx-dwi-dui/" TargetMode="External"/><Relationship Id="rId1041" Type="http://schemas.openxmlformats.org/officeDocument/2006/relationships/hyperlink" Target="https://sbrownlawyer.com/2018/02/15/is-parental-alienation-happening-in-your-custody-case/" TargetMode="External"/><Relationship Id="rId691" Type="http://schemas.openxmlformats.org/officeDocument/2006/relationships/hyperlink" Target="https://sbrownlawyer.com/league-city-car-accidents/" TargetMode="External"/><Relationship Id="rId1042" Type="http://schemas.openxmlformats.org/officeDocument/2006/relationships/hyperlink" Target="https://sbrownlawyer.com/2014/04/11/domestic-violence-claims-life-of-pregnant-texas-woman/" TargetMode="External"/><Relationship Id="rId690" Type="http://schemas.openxmlformats.org/officeDocument/2006/relationships/hyperlink" Target="https://sbrownlawyer.com/drug-charges" TargetMode="External"/><Relationship Id="rId1043" Type="http://schemas.openxmlformats.org/officeDocument/2006/relationships/hyperlink" Target="https://sbrownlawyer.com/reckless-driving/" TargetMode="External"/><Relationship Id="rId213" Type="http://schemas.openxmlformats.org/officeDocument/2006/relationships/hyperlink" Target="https://sbrownlawyer.com/2013/03/07/texas-child-custody-courts-are-sometimes-the-best-option/" TargetMode="External"/><Relationship Id="rId455" Type="http://schemas.openxmlformats.org/officeDocument/2006/relationships/hyperlink" Target="https://sbrownlawyer.com/2022/10/03/what-to-do-if-pulled-over-by-police/" TargetMode="External"/><Relationship Id="rId697" Type="http://schemas.openxmlformats.org/officeDocument/2006/relationships/hyperlink" Target="https://sbrownlawyer.com/2020/02/11/how-to-find-a-family-lawyer-divorce-and-child-custody/" TargetMode="External"/><Relationship Id="rId1044" Type="http://schemas.openxmlformats.org/officeDocument/2006/relationships/hyperlink" Target="https://sbrownlawyer.com/page/12/" TargetMode="External"/><Relationship Id="rId212" Type="http://schemas.openxmlformats.org/officeDocument/2006/relationships/hyperlink" Target="https://sbrownlawyer.com/2014/12/26/considerations-for-parenting-time-and-visitation-for-infants/" TargetMode="External"/><Relationship Id="rId454" Type="http://schemas.openxmlformats.org/officeDocument/2006/relationships/hyperlink" Target="https://sbrownlawyer.com/blog/page/4/?et_blog" TargetMode="External"/><Relationship Id="rId696" Type="http://schemas.openxmlformats.org/officeDocument/2006/relationships/hyperlink" Target="https://sbrownlawyer.com/2016/10/25/tech-help-for-the-co-parent/" TargetMode="External"/><Relationship Id="rId1045" Type="http://schemas.openxmlformats.org/officeDocument/2006/relationships/hyperlink" Target="https://sbrownlawyer.com/2012/11/28/texas-child-support-battles-may-end-up-back-in-court/" TargetMode="External"/><Relationship Id="rId211" Type="http://schemas.openxmlformats.org/officeDocument/2006/relationships/hyperlink" Target="https://sbrownlawyer.com/2021/05/31/your-parenting-plan-how-to-reach-a-child-custody-agreement-without-court-involvement/" TargetMode="External"/><Relationship Id="rId453" Type="http://schemas.openxmlformats.org/officeDocument/2006/relationships/hyperlink" Target="https://sbrownlawyer.com/2020/01/14/how-texas-defines-child-abuse/" TargetMode="External"/><Relationship Id="rId695" Type="http://schemas.openxmlformats.org/officeDocument/2006/relationships/hyperlink" Target="https://sbrownlawyer.com/2017/01/06/accused-of-domestic-violence-you-need-effective-representation/" TargetMode="External"/><Relationship Id="rId1046" Type="http://schemas.openxmlformats.org/officeDocument/2006/relationships/hyperlink" Target="https://sbrownlawyer.com/2018/02/19/divorcing-an-addict/" TargetMode="External"/><Relationship Id="rId210" Type="http://schemas.openxmlformats.org/officeDocument/2006/relationships/hyperlink" Target="https://sbrownlawyer.com/contact" TargetMode="External"/><Relationship Id="rId452" Type="http://schemas.openxmlformats.org/officeDocument/2006/relationships/hyperlink" Target="https://sbrownlawyer.com/2022/08/17/when-the-adjuster-says-this-what-they-really-mean-is/" TargetMode="External"/><Relationship Id="rId694" Type="http://schemas.openxmlformats.org/officeDocument/2006/relationships/hyperlink" Target="https://sbrownlawyer.com/theft-and-shoplifting" TargetMode="External"/><Relationship Id="rId1047" Type="http://schemas.openxmlformats.org/officeDocument/2006/relationships/hyperlink" Target="https://sbrownlawyer.com/blog/page/13/?et_blog" TargetMode="External"/><Relationship Id="rId491" Type="http://schemas.openxmlformats.org/officeDocument/2006/relationships/hyperlink" Target="https://sbrownlawyer.com/truck-accidents/" TargetMode="External"/><Relationship Id="rId490" Type="http://schemas.openxmlformats.org/officeDocument/2006/relationships/hyperlink" Target="https://sbrownlawyer.com/league-city-premises-liability/" TargetMode="External"/><Relationship Id="rId249" Type="http://schemas.openxmlformats.org/officeDocument/2006/relationships/hyperlink" Target="https://sbrownlawyer.com/blaire-evans/" TargetMode="External"/><Relationship Id="rId248" Type="http://schemas.openxmlformats.org/officeDocument/2006/relationships/hyperlink" Target="https://sbrownlawyer.com/child-custody" TargetMode="External"/><Relationship Id="rId247" Type="http://schemas.openxmlformats.org/officeDocument/2006/relationships/hyperlink" Target="https://sbrownlawyer.com/lourel-jones-iii/" TargetMode="External"/><Relationship Id="rId489" Type="http://schemas.openxmlformats.org/officeDocument/2006/relationships/hyperlink" Target="https://sbrownlawyer.com/league-city-motorcycle-accident-lawyer/" TargetMode="External"/><Relationship Id="rId1070" Type="http://schemas.openxmlformats.org/officeDocument/2006/relationships/hyperlink" Target="https://sbrownlawyer.com/2018/02/22/getting-a-dwi-in-texas-while-you-live-in-another-state/" TargetMode="External"/><Relationship Id="rId1071" Type="http://schemas.openxmlformats.org/officeDocument/2006/relationships/hyperlink" Target="https://sbrownlawyer.com/2012/12/03/petraeus-debacle-to-end-in-divorce/" TargetMode="External"/><Relationship Id="rId1072" Type="http://schemas.openxmlformats.org/officeDocument/2006/relationships/hyperlink" Target="https://sbrownlawyer.com/2018/02/01/the-importance-of-establishing-paternity-in-texas/" TargetMode="External"/><Relationship Id="rId242" Type="http://schemas.openxmlformats.org/officeDocument/2006/relationships/hyperlink" Target="https://sbrownlawyer.com/harris-county-child-custody-attorneys/" TargetMode="External"/><Relationship Id="rId484" Type="http://schemas.openxmlformats.org/officeDocument/2006/relationships/hyperlink" Target="https://sbrownlawyer.com/financial-steps-individuals-should-take-to-prepare-for-divorce/" TargetMode="External"/><Relationship Id="rId1073" Type="http://schemas.openxmlformats.org/officeDocument/2006/relationships/hyperlink" Target="https://sbrownlawyer.com/2018/01/28/silencers-are-not-prohibited-weapons/" TargetMode="External"/><Relationship Id="rId241" Type="http://schemas.openxmlformats.org/officeDocument/2006/relationships/hyperlink" Target="https://sbrownlawyer.com/uber-lyft-rideshare-accidents/" TargetMode="External"/><Relationship Id="rId483" Type="http://schemas.openxmlformats.org/officeDocument/2006/relationships/hyperlink" Target="https://sbrownlawyer.com/modification-of-custody/" TargetMode="External"/><Relationship Id="rId1074" Type="http://schemas.openxmlformats.org/officeDocument/2006/relationships/hyperlink" Target="https://sbrownlawyer.com/2018/02/05/texas-drug-manufacturing-and-cultivation-laws/" TargetMode="External"/><Relationship Id="rId240" Type="http://schemas.openxmlformats.org/officeDocument/2006/relationships/hyperlink" Target="https://sbrownlawyer.com/divorce" TargetMode="External"/><Relationship Id="rId482" Type="http://schemas.openxmlformats.org/officeDocument/2006/relationships/hyperlink" Target="https://sbrownlawyer.com/Paternity/" TargetMode="External"/><Relationship Id="rId1075" Type="http://schemas.openxmlformats.org/officeDocument/2006/relationships/hyperlink" Target="https://sbrownlawyer.com/2018/02/12/what-are-texas-cannabis-laws/" TargetMode="External"/><Relationship Id="rId481" Type="http://schemas.openxmlformats.org/officeDocument/2006/relationships/hyperlink" Target="https://sbrownlawyer.com/Child-Protective-Services-CPS/" TargetMode="External"/><Relationship Id="rId1076" Type="http://schemas.openxmlformats.org/officeDocument/2006/relationships/hyperlink" Target="https://sbrownlawyer.com/2014/04/25/abducted-girl-is-safe-in-texas/" TargetMode="External"/><Relationship Id="rId246" Type="http://schemas.openxmlformats.org/officeDocument/2006/relationships/hyperlink" Target="https://sbrownlawyer.com/paula-roark-cundiff/" TargetMode="External"/><Relationship Id="rId488" Type="http://schemas.openxmlformats.org/officeDocument/2006/relationships/hyperlink" Target="https://sbrownlawyer.com/league-city-prescription-drug-charges/" TargetMode="External"/><Relationship Id="rId1077" Type="http://schemas.openxmlformats.org/officeDocument/2006/relationships/hyperlink" Target="https://sbrownlawyer.com/2009/03/25/what-is-parental-alienation/" TargetMode="External"/><Relationship Id="rId245" Type="http://schemas.openxmlformats.org/officeDocument/2006/relationships/hyperlink" Target="https://sbrownlawyer.com/james-j-hanley/" TargetMode="External"/><Relationship Id="rId487" Type="http://schemas.openxmlformats.org/officeDocument/2006/relationships/hyperlink" Target="https://sbrownlawyer.com/webster-drug-distribution-charges/" TargetMode="External"/><Relationship Id="rId1078" Type="http://schemas.openxmlformats.org/officeDocument/2006/relationships/hyperlink" Target="https://sbrownlawyer.com/blog/page/15/?et_blog" TargetMode="External"/><Relationship Id="rId244" Type="http://schemas.openxmlformats.org/officeDocument/2006/relationships/hyperlink" Target="https://sbrownlawyer.com/peggy-bittick/" TargetMode="External"/><Relationship Id="rId486" Type="http://schemas.openxmlformats.org/officeDocument/2006/relationships/hyperlink" Target="https://sbrownlawyer.com/2022/03/22/false-accusations-of-abuse/" TargetMode="External"/><Relationship Id="rId1079" Type="http://schemas.openxmlformats.org/officeDocument/2006/relationships/hyperlink" Target="https://sbrownlawyer.com/page/14/" TargetMode="External"/><Relationship Id="rId243" Type="http://schemas.openxmlformats.org/officeDocument/2006/relationships/hyperlink" Target="https://sbrownlawyer.com/enforcement/Modifications" TargetMode="External"/><Relationship Id="rId485" Type="http://schemas.openxmlformats.org/officeDocument/2006/relationships/hyperlink" Target="https://sbrownlawyer.com/2022/04/20/8-rules-to-protect-your-children-during-divorce/" TargetMode="External"/><Relationship Id="rId480" Type="http://schemas.openxmlformats.org/officeDocument/2006/relationships/hyperlink" Target="https://sbrownlawyer.com/Domestic-Abuse-And-Protective-Orders/" TargetMode="External"/><Relationship Id="rId239" Type="http://schemas.openxmlformats.org/officeDocument/2006/relationships/hyperlink" Target="https://sbrownlawyer.com/league-city-personal-injury-lawyer/" TargetMode="External"/><Relationship Id="rId238" Type="http://schemas.openxmlformats.org/officeDocument/2006/relationships/hyperlink" Target="https://sbrownlawyer.com/personal-injury/nonvehicle-liability-insurance/" TargetMode="External"/><Relationship Id="rId237" Type="http://schemas.openxmlformats.org/officeDocument/2006/relationships/hyperlink" Target="https://sbrownlawyer.com/paternity/" TargetMode="External"/><Relationship Id="rId479" Type="http://schemas.openxmlformats.org/officeDocument/2006/relationships/hyperlink" Target="https://sbrownlawyer.com/property-division-during-divorce-does-not-have-to-destroy-a-business/" TargetMode="External"/><Relationship Id="rId236" Type="http://schemas.openxmlformats.org/officeDocument/2006/relationships/hyperlink" Target="https://sbrownlawyer.com/pearland-premises-liability/" TargetMode="External"/><Relationship Id="rId478" Type="http://schemas.openxmlformats.org/officeDocument/2006/relationships/hyperlink" Target="https://sbrownlawyer.com/Business-Owner-Divorce" TargetMode="External"/><Relationship Id="rId1060" Type="http://schemas.openxmlformats.org/officeDocument/2006/relationships/hyperlink" Target="https://sbrownlawyer.com/2012/12/27/what-happens-if-a-business-is-part-of-a-texas-divorce/" TargetMode="External"/><Relationship Id="rId1061" Type="http://schemas.openxmlformats.org/officeDocument/2006/relationships/hyperlink" Target="https://sbrownlawyer.com/2014/10/03/how-does-alimony-in-texas-work/" TargetMode="External"/><Relationship Id="rId231" Type="http://schemas.openxmlformats.org/officeDocument/2006/relationships/hyperlink" Target="https://sbrownlawyer.com/parental-relocation/" TargetMode="External"/><Relationship Id="rId473" Type="http://schemas.openxmlformats.org/officeDocument/2006/relationships/hyperlink" Target="https://sbrownlawyer.com/hidden-assets-some-marital-property-may-not-be-obvious/" TargetMode="External"/><Relationship Id="rId1062" Type="http://schemas.openxmlformats.org/officeDocument/2006/relationships/hyperlink" Target="https://sbrownlawyer.com/2014/09/26/complex-alimony-laws-require-staying-current-on-laws/" TargetMode="External"/><Relationship Id="rId230" Type="http://schemas.openxmlformats.org/officeDocument/2006/relationships/hyperlink" Target="https://sbrownlawyer.com/mothers-rights/" TargetMode="External"/><Relationship Id="rId472" Type="http://schemas.openxmlformats.org/officeDocument/2006/relationships/hyperlink" Target="https://sbrownlawyer.com/how-to-know-if-your-spouse-is-hiding-marital-property-and-assets/" TargetMode="External"/><Relationship Id="rId1063" Type="http://schemas.openxmlformats.org/officeDocument/2006/relationships/hyperlink" Target="https://sbrownlawyer.com/webster-tx-car-accident-lawyer/" TargetMode="External"/><Relationship Id="rId471" Type="http://schemas.openxmlformats.org/officeDocument/2006/relationships/hyperlink" Target="https://sbrownlawyer.com/financial-steps-to-take-before-filing-for-divorce/" TargetMode="External"/><Relationship Id="rId1064" Type="http://schemas.openxmlformats.org/officeDocument/2006/relationships/hyperlink" Target="https://sbrownlawyer.com/2014/05/09/mother-asks-court-for-money-to-fight-child-custody-ruling/" TargetMode="External"/><Relationship Id="rId470" Type="http://schemas.openxmlformats.org/officeDocument/2006/relationships/hyperlink" Target="https://sbrownlawyer.com/the-unique-aspects-of-alimony-spousal-maintenance-in-texas/" TargetMode="External"/><Relationship Id="rId1065" Type="http://schemas.openxmlformats.org/officeDocument/2006/relationships/hyperlink" Target="https://sbrownlawyer.com/page/13/" TargetMode="External"/><Relationship Id="rId235" Type="http://schemas.openxmlformats.org/officeDocument/2006/relationships/hyperlink" Target="https://sbrownlawyer.com/how-is-community-property-divided/" TargetMode="External"/><Relationship Id="rId477" Type="http://schemas.openxmlformats.org/officeDocument/2006/relationships/hyperlink" Target="https://sbrownlawyer.com/Division-Of-Property/" TargetMode="External"/><Relationship Id="rId1066" Type="http://schemas.openxmlformats.org/officeDocument/2006/relationships/hyperlink" Target="https://sbrownlawyer.com/2012/12/18/texas-child-support-man-pays-huge-bill-to-keep-motorcycle/" TargetMode="External"/><Relationship Id="rId234" Type="http://schemas.openxmlformats.org/officeDocument/2006/relationships/hyperlink" Target="https://sbrownlawyer.com/information-about-brazoria-county-texas/" TargetMode="External"/><Relationship Id="rId476" Type="http://schemas.openxmlformats.org/officeDocument/2006/relationships/hyperlink" Target="https://sbrownlawyer.com/Child-Support/" TargetMode="External"/><Relationship Id="rId1067" Type="http://schemas.openxmlformats.org/officeDocument/2006/relationships/hyperlink" Target="https://sbrownlawyer.com/2009/04/08/parental-alienation-a-continued-analysis/" TargetMode="External"/><Relationship Id="rId233" Type="http://schemas.openxmlformats.org/officeDocument/2006/relationships/hyperlink" Target="https://sbrownlawyer.com/league-city-tx-lake-fathers-rights-lawyer/" TargetMode="External"/><Relationship Id="rId475" Type="http://schemas.openxmlformats.org/officeDocument/2006/relationships/hyperlink" Target="https://sbrownlawyer.com/2015/12/18/spousal-support-and-pet-custody-issues-stall-celebrity-divorce/" TargetMode="External"/><Relationship Id="rId1068" Type="http://schemas.openxmlformats.org/officeDocument/2006/relationships/hyperlink" Target="https://sbrownlawyer.com/blog/page/14/?et_blog" TargetMode="External"/><Relationship Id="rId232" Type="http://schemas.openxmlformats.org/officeDocument/2006/relationships/hyperlink" Target="https://sbrownlawyer.com/league-city-simple-assault-lawyer/" TargetMode="External"/><Relationship Id="rId474" Type="http://schemas.openxmlformats.org/officeDocument/2006/relationships/hyperlink" Target="https://sbrownlawyer.com/Protecting-Your-Assets" TargetMode="External"/><Relationship Id="rId1069" Type="http://schemas.openxmlformats.org/officeDocument/2006/relationships/hyperlink" Target="https://sbrownlawyer.com/2014/04/18/no-fault-divorce-covenant-marriage-and-domestic-violence/" TargetMode="External"/><Relationship Id="rId1015" Type="http://schemas.openxmlformats.org/officeDocument/2006/relationships/hyperlink" Target="https://sbrownlawyer.com/2013/01/07/texas-military-members-may-feel-helpless-during-divorce/" TargetMode="External"/><Relationship Id="rId1016" Type="http://schemas.openxmlformats.org/officeDocument/2006/relationships/hyperlink" Target="https://sbrownlawyer.com/2018/08/14/spinal-injuries-lead-to-a-host-of-issues-for-victims/" TargetMode="External"/><Relationship Id="rId1017" Type="http://schemas.openxmlformats.org/officeDocument/2006/relationships/hyperlink" Target="https://sbrownlawyer.com/2015/03/26/texas-bill-1812-would-fund-marys-law-enforcement/" TargetMode="External"/><Relationship Id="rId1018" Type="http://schemas.openxmlformats.org/officeDocument/2006/relationships/hyperlink" Target="https://sbrownlawyer.com/angleton-serious-injuries-lawyer/" TargetMode="External"/><Relationship Id="rId1019" Type="http://schemas.openxmlformats.org/officeDocument/2006/relationships/hyperlink" Target="https://sbrownlawyer.com/Drug-Charges/" TargetMode="External"/><Relationship Id="rId426" Type="http://schemas.openxmlformats.org/officeDocument/2006/relationships/hyperlink" Target="https://sbrownlawyer.com/estate-planning/" TargetMode="External"/><Relationship Id="rId668" Type="http://schemas.openxmlformats.org/officeDocument/2006/relationships/hyperlink" Target="https://sbrownlawyer.com/2016/11/03/becoming-a-great-stepparent/" TargetMode="External"/><Relationship Id="rId425" Type="http://schemas.openxmlformats.org/officeDocument/2006/relationships/hyperlink" Target="https://sbrownlawyer.com/2024/05/28/impact-of-a-criminal-record-on-child-custody-cases/" TargetMode="External"/><Relationship Id="rId667" Type="http://schemas.openxmlformats.org/officeDocument/2006/relationships/hyperlink" Target="https://sbrownlawyer.com/League%20City-juvenile-crimes-lawyer/" TargetMode="External"/><Relationship Id="rId424" Type="http://schemas.openxmlformats.org/officeDocument/2006/relationships/hyperlink" Target="https://sbrownlawyer.com/Divorce" TargetMode="External"/><Relationship Id="rId666" Type="http://schemas.openxmlformats.org/officeDocument/2006/relationships/hyperlink" Target="https://sbrownlawyer.com/brazoria-county-dwi-lawyer/" TargetMode="External"/><Relationship Id="rId423" Type="http://schemas.openxmlformats.org/officeDocument/2006/relationships/hyperlink" Target="https://sbrownlawyer.com/Don-t-let-family-violence-allegations-affect-your-open-carry-rights/" TargetMode="External"/><Relationship Id="rId665" Type="http://schemas.openxmlformats.org/officeDocument/2006/relationships/hyperlink" Target="https://sbrownlawyer.com/2016/12/30/considering-divorce-why-you-need-an-attorney/" TargetMode="External"/><Relationship Id="rId429" Type="http://schemas.openxmlformats.org/officeDocument/2006/relationships/hyperlink" Target="https://sbrownlawyer.com/blog/?et_blog" TargetMode="External"/><Relationship Id="rId428" Type="http://schemas.openxmlformats.org/officeDocument/2006/relationships/hyperlink" Target="https://sbrownlawyer.com/How-is-property-divided-in-a-Texas-divorce/" TargetMode="External"/><Relationship Id="rId427" Type="http://schemas.openxmlformats.org/officeDocument/2006/relationships/hyperlink" Target="https://sbrownlawyer.com/league-city-divorce/" TargetMode="External"/><Relationship Id="rId669" Type="http://schemas.openxmlformats.org/officeDocument/2006/relationships/hyperlink" Target="https://sbrownlawyer.com/major-felonies/" TargetMode="External"/><Relationship Id="rId660" Type="http://schemas.openxmlformats.org/officeDocument/2006/relationships/hyperlink" Target="https://sbrownlawyer.com/blog/page/5/?et_blog" TargetMode="External"/><Relationship Id="rId1010" Type="http://schemas.openxmlformats.org/officeDocument/2006/relationships/hyperlink" Target="https://sbrownlawyer.com/2014/10/24/domestic-violence-requires-swift-action-to-keep-you-protected/" TargetMode="External"/><Relationship Id="rId422" Type="http://schemas.openxmlformats.org/officeDocument/2006/relationships/hyperlink" Target="https://sbrownlawyer.com/League%20City-marital-asset-division-lawyer/" TargetMode="External"/><Relationship Id="rId664" Type="http://schemas.openxmlformats.org/officeDocument/2006/relationships/hyperlink" Target="https://sbrownlawyer.com/theft-and-shoplifting/" TargetMode="External"/><Relationship Id="rId1011" Type="http://schemas.openxmlformats.org/officeDocument/2006/relationships/hyperlink" Target="https://sbrownlawyer.com/2012/06/29/qdro-and-texas-divorce-dividing-pensions-and-retirement-accounts/" TargetMode="External"/><Relationship Id="rId421" Type="http://schemas.openxmlformats.org/officeDocument/2006/relationships/hyperlink" Target="https://sbrownlawyer.com/When-alcohol-becomes-a-factor-in-divorce-proceedings/" TargetMode="External"/><Relationship Id="rId663" Type="http://schemas.openxmlformats.org/officeDocument/2006/relationships/hyperlink" Target="https://sbrownlawyer.com/burglary/" TargetMode="External"/><Relationship Id="rId1012" Type="http://schemas.openxmlformats.org/officeDocument/2006/relationships/hyperlink" Target="https://sbrownlawyer.com/2014/09/09/considerations-for-child-custody-in-texas-vary-for-infants/" TargetMode="External"/><Relationship Id="rId420" Type="http://schemas.openxmlformats.org/officeDocument/2006/relationships/hyperlink" Target="https://sbrownlawyer.com/what-happens-to-pets-in-a-texas-divorce/" TargetMode="External"/><Relationship Id="rId662" Type="http://schemas.openxmlformats.org/officeDocument/2006/relationships/hyperlink" Target="https://sbrownlawyer.com/2020/01/21/texas-passes-new-law-for-assault-on-a-pregnant-woman-2/" TargetMode="External"/><Relationship Id="rId1013" Type="http://schemas.openxmlformats.org/officeDocument/2006/relationships/hyperlink" Target="https://sbrownlawyer.com/angleton-slip-fall-accidents-lawyer/" TargetMode="External"/><Relationship Id="rId661" Type="http://schemas.openxmlformats.org/officeDocument/2006/relationships/hyperlink" Target="https://sbrownlawyer.com/2020/01/05/texas-passes-new-law-for-assault-on-a-pregnant-woman/" TargetMode="External"/><Relationship Id="rId1014" Type="http://schemas.openxmlformats.org/officeDocument/2006/relationships/hyperlink" Target="https://sbrownlawyer.com/2018/07/02/are-there-harsh-penalties-if-i-get-caught-with-marijuana-oils-or-edibles-in-texas/" TargetMode="External"/><Relationship Id="rId1004" Type="http://schemas.openxmlformats.org/officeDocument/2006/relationships/hyperlink" Target="https://sbrownlawyer.com/2009/05/13/the-obsessed-alienator/" TargetMode="External"/><Relationship Id="rId1005" Type="http://schemas.openxmlformats.org/officeDocument/2006/relationships/hyperlink" Target="https://sbrownlawyer.com/friendswood-motorcycle-accidents/" TargetMode="External"/><Relationship Id="rId1006" Type="http://schemas.openxmlformats.org/officeDocument/2006/relationships/hyperlink" Target="https://sbrownlawyer.com/Sex-Crimes" TargetMode="External"/><Relationship Id="rId1007" Type="http://schemas.openxmlformats.org/officeDocument/2006/relationships/hyperlink" Target="https://sbrownlawyer.com/2018/03/13/addressing-issues-for-same-sex-divorces-in-texas/" TargetMode="External"/><Relationship Id="rId1008" Type="http://schemas.openxmlformats.org/officeDocument/2006/relationships/hyperlink" Target="https://sbrownlawyer.com/2014/05/30/texas-woman-fights-to-keep-children-she-took-in-last-year/" TargetMode="External"/><Relationship Id="rId1009" Type="http://schemas.openxmlformats.org/officeDocument/2006/relationships/hyperlink" Target="https://sbrownlawyer.com/2018/04/23/how-do-bond-reductions-work/" TargetMode="External"/><Relationship Id="rId415" Type="http://schemas.openxmlformats.org/officeDocument/2006/relationships/hyperlink" Target="https://sbrownlawyer.com/Division-Of-Property/Retirement-Accounts" TargetMode="External"/><Relationship Id="rId657" Type="http://schemas.openxmlformats.org/officeDocument/2006/relationships/hyperlink" Target="https://sbrownlawyer.com/2022/06/29/should-i-take-the-plea-deal-or-take-my-chances-at-trial/" TargetMode="External"/><Relationship Id="rId899" Type="http://schemas.openxmlformats.org/officeDocument/2006/relationships/hyperlink" Target="https://sbrownlawyer.com/2012/10/19/a-texas-divorce-cannot-always-be-settled-in-a-trial-court/" TargetMode="External"/><Relationship Id="rId414" Type="http://schemas.openxmlformats.org/officeDocument/2006/relationships/hyperlink" Target="https://sbrownlawyer.com/Division-Of-Property/Homes-And-Real-Estate" TargetMode="External"/><Relationship Id="rId656" Type="http://schemas.openxmlformats.org/officeDocument/2006/relationships/hyperlink" Target="https://sbrownlawyer.com/2022/06/15/the-child-support-is-insufficient/" TargetMode="External"/><Relationship Id="rId898" Type="http://schemas.openxmlformats.org/officeDocument/2006/relationships/hyperlink" Target="https://sbrownlawyer.com/drug-possession/Drug-Distribution" TargetMode="External"/><Relationship Id="rId413" Type="http://schemas.openxmlformats.org/officeDocument/2006/relationships/hyperlink" Target="https://sbrownlawyer.com/Division-Of-Property/Investment-Properties" TargetMode="External"/><Relationship Id="rId655" Type="http://schemas.openxmlformats.org/officeDocument/2006/relationships/hyperlink" Target="https://sbrownlawyer.com/2022/04/20/divorce-with-a-joint-business/" TargetMode="External"/><Relationship Id="rId897" Type="http://schemas.openxmlformats.org/officeDocument/2006/relationships/hyperlink" Target="https://sbrownlawyer.com/2014/03/07/houston-attorney-general-takes-part-in-domestic-violence-sweep/" TargetMode="External"/><Relationship Id="rId412" Type="http://schemas.openxmlformats.org/officeDocument/2006/relationships/hyperlink" Target="https://sbrownlawyer.com/Division-Of-Property/Assets-And-Liability" TargetMode="External"/><Relationship Id="rId654" Type="http://schemas.openxmlformats.org/officeDocument/2006/relationships/hyperlink" Target="https://sbrownlawyer.com/page/4/" TargetMode="External"/><Relationship Id="rId896" Type="http://schemas.openxmlformats.org/officeDocument/2006/relationships/hyperlink" Target="https://sbrownlawyer.com/2012/07/27/child-support-ordered-for-adopted-boy-abandoned-by-mom/" TargetMode="External"/><Relationship Id="rId419" Type="http://schemas.openxmlformats.org/officeDocument/2006/relationships/hyperlink" Target="https://sbrownlawyer.com/How-Divorce-Can-Actually-Benefit-Children/" TargetMode="External"/><Relationship Id="rId418" Type="http://schemas.openxmlformats.org/officeDocument/2006/relationships/hyperlink" Target="https://sbrownlawyer.com/The-unique-aspects-of-alimony-spousal-maintenance-in-Texas/" TargetMode="External"/><Relationship Id="rId417" Type="http://schemas.openxmlformats.org/officeDocument/2006/relationships/hyperlink" Target="https://sbrownlawyer.com/rule-1-file-first/The-Divorce-Process" TargetMode="External"/><Relationship Id="rId659" Type="http://schemas.openxmlformats.org/officeDocument/2006/relationships/hyperlink" Target="https://sbrownlawyer.com/2022/05/03/how-we-help/" TargetMode="External"/><Relationship Id="rId416" Type="http://schemas.openxmlformats.org/officeDocument/2006/relationships/hyperlink" Target="https://sbrownlawyer.com/Financial-Steps-To-Take-Before-Filing-For-Divorce/" TargetMode="External"/><Relationship Id="rId658" Type="http://schemas.openxmlformats.org/officeDocument/2006/relationships/hyperlink" Target="https://sbrownlawyer.com/2022/05/03/past-case-court-order/" TargetMode="External"/><Relationship Id="rId891" Type="http://schemas.openxmlformats.org/officeDocument/2006/relationships/hyperlink" Target="https://sbrownlawyer.com/2018/06/05/driving-under-the-influence-of-medication/" TargetMode="External"/><Relationship Id="rId890" Type="http://schemas.openxmlformats.org/officeDocument/2006/relationships/hyperlink" Target="https://sbrownlawyer.com/2019/01/28/if-you-are-in-an-accident-with-a-drunk-driver-can-you-press-charges/" TargetMode="External"/><Relationship Id="rId411" Type="http://schemas.openxmlformats.org/officeDocument/2006/relationships/hyperlink" Target="https://sbrownlawyer.com/Division-Of-Property/Hidden-Assets" TargetMode="External"/><Relationship Id="rId653" Type="http://schemas.openxmlformats.org/officeDocument/2006/relationships/hyperlink" Target="https://sbrownlawyer.com/2022/06/10/should-i-hire-a-personal-injury-lawyer/" TargetMode="External"/><Relationship Id="rId895" Type="http://schemas.openxmlformats.org/officeDocument/2006/relationships/hyperlink" Target="https://sbrownlawyer.com/2019/04/18/the-connection-between-distracted-driving-and-pedestrian-accidents/" TargetMode="External"/><Relationship Id="rId1000" Type="http://schemas.openxmlformats.org/officeDocument/2006/relationships/hyperlink" Target="https://sbrownlawyer.com/page/10/" TargetMode="External"/><Relationship Id="rId410" Type="http://schemas.openxmlformats.org/officeDocument/2006/relationships/hyperlink" Target="https://sbrownlawyer.com/Hidden-assets-Some-marital-property-may-not-be-obvious/" TargetMode="External"/><Relationship Id="rId652" Type="http://schemas.openxmlformats.org/officeDocument/2006/relationships/hyperlink" Target="https://sbrownlawyer.com/2019/04/05/alternatives-to-going-to-trial/" TargetMode="External"/><Relationship Id="rId894" Type="http://schemas.openxmlformats.org/officeDocument/2006/relationships/hyperlink" Target="https://sbrownlawyer.com/2015/08/07/miranda-lambert-and-blake-shelton-divorce-finalized/" TargetMode="External"/><Relationship Id="rId1001" Type="http://schemas.openxmlformats.org/officeDocument/2006/relationships/hyperlink" Target="https://sbrownlawyer.com/2018/06/18/who-gets-the-family-pet-in-a-divorce/" TargetMode="External"/><Relationship Id="rId651" Type="http://schemas.openxmlformats.org/officeDocument/2006/relationships/hyperlink" Target="https://sbrownlawyer.com/2019/10/28/what-does-it-mean-to-be-deemed-an-unfit-parent/" TargetMode="External"/><Relationship Id="rId893" Type="http://schemas.openxmlformats.org/officeDocument/2006/relationships/hyperlink" Target="https://sbrownlawyer.com/2019/05/09/get-help-from-a-personal-injury-lawyer-after-an-accident/" TargetMode="External"/><Relationship Id="rId1002" Type="http://schemas.openxmlformats.org/officeDocument/2006/relationships/hyperlink" Target="https://sbrownlawyer.com/2012/07/06/college-after-parents-divorce-who-pays-the-bill/" TargetMode="External"/><Relationship Id="rId650" Type="http://schemas.openxmlformats.org/officeDocument/2006/relationships/hyperlink" Target="https://sbrownlawyer.com/2019/12/02/challenging-a-prenup/" TargetMode="External"/><Relationship Id="rId892" Type="http://schemas.openxmlformats.org/officeDocument/2006/relationships/hyperlink" Target="https://sbrownlawyer.com/2019/09/01/4-obvious-signs-it-might-betime-for-divorce/" TargetMode="External"/><Relationship Id="rId1003" Type="http://schemas.openxmlformats.org/officeDocument/2006/relationships/hyperlink" Target="https://sbrownlawyer.com/2019/06/01/spousal-maintenance-in-texas-everything-you-need-to-know/" TargetMode="External"/><Relationship Id="rId1037" Type="http://schemas.openxmlformats.org/officeDocument/2006/relationships/hyperlink" Target="https://sbrownlawyer.com/2012/11/19/texas-visitation-grandparents-accuse-parents-of-deprivation/" TargetMode="External"/><Relationship Id="rId1038" Type="http://schemas.openxmlformats.org/officeDocument/2006/relationships/hyperlink" Target="https://sbrownlawyer.com/2018/05/10/personal-injuries-pain-and-suffering-damages-in-texas/" TargetMode="External"/><Relationship Id="rId1039" Type="http://schemas.openxmlformats.org/officeDocument/2006/relationships/hyperlink" Target="https://sbrownlawyer.com/angleton-weapons-charge/" TargetMode="External"/><Relationship Id="rId206" Type="http://schemas.openxmlformats.org/officeDocument/2006/relationships/hyperlink" Target="https://sbrownlawyer.com/2015/09/18/domestic-violence-and-child-protective-services/" TargetMode="External"/><Relationship Id="rId448" Type="http://schemas.openxmlformats.org/officeDocument/2006/relationships/hyperlink" Target="https://sbrownlawyer.com/lesiones%20personales" TargetMode="External"/><Relationship Id="rId205" Type="http://schemas.openxmlformats.org/officeDocument/2006/relationships/hyperlink" Target="https://sbrownlawyer.com/2013/11/06/north-texas-man-involved-in-international-custody-dispute/" TargetMode="External"/><Relationship Id="rId447" Type="http://schemas.openxmlformats.org/officeDocument/2006/relationships/hyperlink" Target="https://sbrownlawyer.com/2016/11/15/staying-financially-secure-before-and-after-divorce/" TargetMode="External"/><Relationship Id="rId689" Type="http://schemas.openxmlformats.org/officeDocument/2006/relationships/hyperlink" Target="https://sbrownlawyer.com/Domestic-Violence" TargetMode="External"/><Relationship Id="rId204" Type="http://schemas.openxmlformats.org/officeDocument/2006/relationships/hyperlink" Target="https://sbrownlawyer.com/2012/09/05/texas-divorce-parent-fights-for-daughters-overseas-return/" TargetMode="External"/><Relationship Id="rId446" Type="http://schemas.openxmlformats.org/officeDocument/2006/relationships/hyperlink" Target="https://sbrownlawyer.com/blog" TargetMode="External"/><Relationship Id="rId688" Type="http://schemas.openxmlformats.org/officeDocument/2006/relationships/hyperlink" Target="https://sbrownlawyer.com/violent-crimes/Assault-Charges" TargetMode="External"/><Relationship Id="rId203" Type="http://schemas.openxmlformats.org/officeDocument/2006/relationships/hyperlink" Target="https://sbrownlawyer.com/2013/08/29/texas-dad-granted-custody-awaits-return-of-daughter-from-overseas/" TargetMode="External"/><Relationship Id="rId445" Type="http://schemas.openxmlformats.org/officeDocument/2006/relationships/hyperlink" Target="https://sbrownlawyer.com/league-city-tx-criminal-defense-lawyers/" TargetMode="External"/><Relationship Id="rId687" Type="http://schemas.openxmlformats.org/officeDocument/2006/relationships/hyperlink" Target="https://sbrownlawyer.com/drug-charges/Prescription-Drug-Charges" TargetMode="External"/><Relationship Id="rId209" Type="http://schemas.openxmlformats.org/officeDocument/2006/relationships/hyperlink" Target="https://sbrownlawyer.com/2015/11/20/new-legislation-may-affect-parents-receiving-child-support/" TargetMode="External"/><Relationship Id="rId208" Type="http://schemas.openxmlformats.org/officeDocument/2006/relationships/hyperlink" Target="https://sbrownlawyer.com/the-basics-of-texas-child-support-requests-factors-and-guidelines/" TargetMode="External"/><Relationship Id="rId207" Type="http://schemas.openxmlformats.org/officeDocument/2006/relationships/hyperlink" Target="https://sbrownlawyer.com/2021/03/30/what-can-be-done-when-the-other-parent-consistently-violates-the-child-custody-agreement/" TargetMode="External"/><Relationship Id="rId449" Type="http://schemas.openxmlformats.org/officeDocument/2006/relationships/hyperlink" Target="https://sbrownlawyer.com/2016/12/16/a-dwi-arrest-does-not-always-lead-to-a-conviction/" TargetMode="External"/><Relationship Id="rId440" Type="http://schemas.openxmlformats.org/officeDocument/2006/relationships/hyperlink" Target="https://sbrownlawyer.com/Firm-Overview/" TargetMode="External"/><Relationship Id="rId682" Type="http://schemas.openxmlformats.org/officeDocument/2006/relationships/hyperlink" Target="https://sbrownlawyer.com/drug-charges/Drug-Distribution" TargetMode="External"/><Relationship Id="rId681" Type="http://schemas.openxmlformats.org/officeDocument/2006/relationships/hyperlink" Target="https://sbrownlawyer.com/White-Collar-Crimes" TargetMode="External"/><Relationship Id="rId1030" Type="http://schemas.openxmlformats.org/officeDocument/2006/relationships/hyperlink" Target="https://sbrownlawyer.com/2019/06/10/i-was-hit-by-an-uninsured-driver-and-injured/" TargetMode="External"/><Relationship Id="rId680" Type="http://schemas.openxmlformats.org/officeDocument/2006/relationships/hyperlink" Target="https://sbrownlawyer.com/motorcycle-accidents/" TargetMode="External"/><Relationship Id="rId1031" Type="http://schemas.openxmlformats.org/officeDocument/2006/relationships/hyperlink" Target="https://sbrownlawyer.com/2018/06/25/can-new-car-technology-actually-be-distracting-to-drivers/" TargetMode="External"/><Relationship Id="rId1032" Type="http://schemas.openxmlformats.org/officeDocument/2006/relationships/hyperlink" Target="https://sbrownlawyer.com/blog/page/12/?et_blog" TargetMode="External"/><Relationship Id="rId202" Type="http://schemas.openxmlformats.org/officeDocument/2006/relationships/hyperlink" Target="https://sbrownlawyer.com/2014/01/31/will-texas-lawmakers-consider-a-shared-custody-law/" TargetMode="External"/><Relationship Id="rId444" Type="http://schemas.openxmlformats.org/officeDocument/2006/relationships/hyperlink" Target="https://sbrownlawyer.com/personal-injury-2/tbi/" TargetMode="External"/><Relationship Id="rId686" Type="http://schemas.openxmlformats.org/officeDocument/2006/relationships/hyperlink" Target="https://sbrownlawyer.com/drug-charges/Drug-Possession" TargetMode="External"/><Relationship Id="rId1033" Type="http://schemas.openxmlformats.org/officeDocument/2006/relationships/hyperlink" Target="https://sbrownlawyer.com/2019/06/19/what-is-considered-reckless-driving/" TargetMode="External"/><Relationship Id="rId201" Type="http://schemas.openxmlformats.org/officeDocument/2006/relationships/hyperlink" Target="https://sbrownlawyer.com/2021/06/26/what-are-your-rights-regarding-texas-child-custody-law/" TargetMode="External"/><Relationship Id="rId443" Type="http://schemas.openxmlformats.org/officeDocument/2006/relationships/hyperlink" Target="https://sbrownlawyer.com/Termination/" TargetMode="External"/><Relationship Id="rId685" Type="http://schemas.openxmlformats.org/officeDocument/2006/relationships/hyperlink" Target="https://sbrownlawyer.com/drug-charges/Alternative-Outcomes-In-Drug-Cases" TargetMode="External"/><Relationship Id="rId1034" Type="http://schemas.openxmlformats.org/officeDocument/2006/relationships/hyperlink" Target="https://sbrownlawyer.com/pearland-weapons-charge-lawyer/" TargetMode="External"/><Relationship Id="rId200" Type="http://schemas.openxmlformats.org/officeDocument/2006/relationships/hyperlink" Target="https://sbrownlawyer.com/family-law/" TargetMode="External"/><Relationship Id="rId442" Type="http://schemas.openxmlformats.org/officeDocument/2006/relationships/hyperlink" Target="https://sbrownlawyer.com/2016/11/30/arrested-for-misdemeanor-shoplifting/" TargetMode="External"/><Relationship Id="rId684" Type="http://schemas.openxmlformats.org/officeDocument/2006/relationships/hyperlink" Target="https://sbrownlawyer.com/termination/" TargetMode="External"/><Relationship Id="rId1035" Type="http://schemas.openxmlformats.org/officeDocument/2006/relationships/hyperlink" Target="https://sbrownlawyer.com/page/11/" TargetMode="External"/><Relationship Id="rId441" Type="http://schemas.openxmlformats.org/officeDocument/2006/relationships/hyperlink" Target="https://sbrownlawyer.com/personal-injury/tbi/" TargetMode="External"/><Relationship Id="rId683" Type="http://schemas.openxmlformats.org/officeDocument/2006/relationships/hyperlink" Target="https://sbrownlawyer.com/Major-Felonies" TargetMode="External"/><Relationship Id="rId1036" Type="http://schemas.openxmlformats.org/officeDocument/2006/relationships/hyperlink" Target="https://sbrownlawyer.com/2014/04/04/bode-millers-sons-mother-hopes-for-amicable-child-custody-plan/" TargetMode="External"/><Relationship Id="rId1026" Type="http://schemas.openxmlformats.org/officeDocument/2006/relationships/hyperlink" Target="https://sbrownlawyer.com/2018/04/27/drowsy-driving-creates-high-risk-for-car-accidents/" TargetMode="External"/><Relationship Id="rId1027" Type="http://schemas.openxmlformats.org/officeDocument/2006/relationships/hyperlink" Target="https://sbrownlawyer.com/2018/03/01/who-gets-the-pets-in-a-divorce/" TargetMode="External"/><Relationship Id="rId1028" Type="http://schemas.openxmlformats.org/officeDocument/2006/relationships/hyperlink" Target="https://sbrownlawyer.com/Sex-Crimes/" TargetMode="External"/><Relationship Id="rId1029" Type="http://schemas.openxmlformats.org/officeDocument/2006/relationships/hyperlink" Target="https://sbrownlawyer.com/2009/04/15/three-types-of-alienators-in-parental-alienation/" TargetMode="External"/><Relationship Id="rId437" Type="http://schemas.openxmlformats.org/officeDocument/2006/relationships/hyperlink" Target="https://sbrownlawyer.com/schedule-now" TargetMode="External"/><Relationship Id="rId679" Type="http://schemas.openxmlformats.org/officeDocument/2006/relationships/hyperlink" Target="https://sbrownlawyer.com/federal-criminal-defense/" TargetMode="External"/><Relationship Id="rId436" Type="http://schemas.openxmlformats.org/officeDocument/2006/relationships/hyperlink" Target="https://sbrownlawyer.com/2024/05/28/benefits-of-collaborative-divorce-in-texas/" TargetMode="External"/><Relationship Id="rId678" Type="http://schemas.openxmlformats.org/officeDocument/2006/relationships/hyperlink" Target="https://sbrownlawyer.com/drug-charges/" TargetMode="External"/><Relationship Id="rId435" Type="http://schemas.openxmlformats.org/officeDocument/2006/relationships/hyperlink" Target="https://sbrownlawyer.com/pearland-naturalization-lawyer/" TargetMode="External"/><Relationship Id="rId677" Type="http://schemas.openxmlformats.org/officeDocument/2006/relationships/hyperlink" Target="https://sbrownlawyer.com/car-accidents/" TargetMode="External"/><Relationship Id="rId434" Type="http://schemas.openxmlformats.org/officeDocument/2006/relationships/hyperlink" Target="https://sbrownlawyer.com/page/2/" TargetMode="External"/><Relationship Id="rId676" Type="http://schemas.openxmlformats.org/officeDocument/2006/relationships/hyperlink" Target="https://sbrownlawyer.com/League%20City-tx-dwi-dui/" TargetMode="External"/><Relationship Id="rId439" Type="http://schemas.openxmlformats.org/officeDocument/2006/relationships/hyperlink" Target="https://sbrownlawyer.com/Termination" TargetMode="External"/><Relationship Id="rId438" Type="http://schemas.openxmlformats.org/officeDocument/2006/relationships/hyperlink" Target="https://sbrownlawyer.com/espanol/" TargetMode="External"/><Relationship Id="rId671" Type="http://schemas.openxmlformats.org/officeDocument/2006/relationships/hyperlink" Target="https://sbrownlawyer.com/child-abuse/" TargetMode="External"/><Relationship Id="rId670" Type="http://schemas.openxmlformats.org/officeDocument/2006/relationships/hyperlink" Target="https://sbrownlawyer.com/violent-crimes/" TargetMode="External"/><Relationship Id="rId1020" Type="http://schemas.openxmlformats.org/officeDocument/2006/relationships/hyperlink" Target="https://sbrownlawyer.com/2014/09/12/how-can-i-protect-myself-after-domestic-violence/" TargetMode="External"/><Relationship Id="rId1021" Type="http://schemas.openxmlformats.org/officeDocument/2006/relationships/hyperlink" Target="https://sbrownlawyer.com/2013/01/04/texas-town-holds-dubious-divorce-honors/" TargetMode="External"/><Relationship Id="rId433" Type="http://schemas.openxmlformats.org/officeDocument/2006/relationships/hyperlink" Target="https://sbrownlawyer.com/2023/01/20/do-you-need-a-lawyer-to-get-a-divorce/" TargetMode="External"/><Relationship Id="rId675" Type="http://schemas.openxmlformats.org/officeDocument/2006/relationships/hyperlink" Target="https://sbrownlawyer.com/League%20City-aggravated-assault-lawyer/" TargetMode="External"/><Relationship Id="rId1022" Type="http://schemas.openxmlformats.org/officeDocument/2006/relationships/hyperlink" Target="https://sbrownlawyer.com/2014/Family-Law/Child-Custody/Custody-Schedules-For-Infants" TargetMode="External"/><Relationship Id="rId432" Type="http://schemas.openxmlformats.org/officeDocument/2006/relationships/hyperlink" Target="https://sbrownlawyer.com/blog/page/3/?et_blog" TargetMode="External"/><Relationship Id="rId674" Type="http://schemas.openxmlformats.org/officeDocument/2006/relationships/hyperlink" Target="https://sbrownlawyer.com/white-collar-crimes/" TargetMode="External"/><Relationship Id="rId1023" Type="http://schemas.openxmlformats.org/officeDocument/2006/relationships/hyperlink" Target="https://sbrownlawyer.com/2018/07/01/can-mental-health-impact-child-custody/" TargetMode="External"/><Relationship Id="rId431" Type="http://schemas.openxmlformats.org/officeDocument/2006/relationships/hyperlink" Target="https://sbrownlawyer.com/2023/01/20/can-your-spouse-stop-you-from-getting-a-divorce/" TargetMode="External"/><Relationship Id="rId673" Type="http://schemas.openxmlformats.org/officeDocument/2006/relationships/hyperlink" Target="https://sbrownlawyer.com/domestic-violence-lawyer-in-League%20City-tx/" TargetMode="External"/><Relationship Id="rId1024" Type="http://schemas.openxmlformats.org/officeDocument/2006/relationships/hyperlink" Target="https://sbrownlawyer.com/2014/05/30/domestic-violence-victims-can-find-help-at-shelters/" TargetMode="External"/><Relationship Id="rId430" Type="http://schemas.openxmlformats.org/officeDocument/2006/relationships/hyperlink" Target="https://sbrownlawyer.com/2023/01/25/private-property-police-search-in-texas/" TargetMode="External"/><Relationship Id="rId672" Type="http://schemas.openxmlformats.org/officeDocument/2006/relationships/hyperlink" Target="https://sbrownlawyer.com/League%20City-tx-theft-crimes/" TargetMode="External"/><Relationship Id="rId1025" Type="http://schemas.openxmlformats.org/officeDocument/2006/relationships/hyperlink" Target="https://sbrownlawyer.com/2014/10/17/iggy-azalea-isnt-married-but-she-was-sued-for-divorce-in-texa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sbrownlawyer.com/why-do-you-need-a-divorce-lawyer/" TargetMode="External"/><Relationship Id="rId194" Type="http://schemas.openxmlformats.org/officeDocument/2006/relationships/hyperlink" Target="https://sbrownlawyer.com/personal-injury-in-texas/" TargetMode="External"/><Relationship Id="rId193" Type="http://schemas.openxmlformats.org/officeDocument/2006/relationships/hyperlink" Target="https://sbrownlawyer.com/pearland/" TargetMode="External"/><Relationship Id="rId192" Type="http://schemas.openxmlformats.org/officeDocument/2006/relationships/hyperlink" Target="https://sbrownlawyer.com/League%20City/" TargetMode="External"/><Relationship Id="rId191" Type="http://schemas.openxmlformats.org/officeDocument/2006/relationships/hyperlink" Target="https://sbrownlawyer.com/Financial-Steps-Individuals-Should-Take-To-Prepare-For-Divorce" TargetMode="External"/><Relationship Id="rId187" Type="http://schemas.openxmlformats.org/officeDocument/2006/relationships/hyperlink" Target="https://sbrownlawyer.com/2022/02/18/can-i-file-legal-separation-on-texas/" TargetMode="External"/><Relationship Id="rId186" Type="http://schemas.openxmlformats.org/officeDocument/2006/relationships/hyperlink" Target="https://sbrownlawyer.com/family-owned-business-protection/" TargetMode="External"/><Relationship Id="rId185" Type="http://schemas.openxmlformats.org/officeDocument/2006/relationships/hyperlink" Target="https://sbrownlawyer.com/oil-and-mineral-rights/" TargetMode="External"/><Relationship Id="rId184" Type="http://schemas.openxmlformats.org/officeDocument/2006/relationships/hyperlink" Target="https://sbrownlawyer.com/Attorneys/" TargetMode="External"/><Relationship Id="rId189" Type="http://schemas.openxmlformats.org/officeDocument/2006/relationships/hyperlink" Target="https://sbrownlawyer.com/divorce-lawyer-in-galveston-county/" TargetMode="External"/><Relationship Id="rId188" Type="http://schemas.openxmlformats.org/officeDocument/2006/relationships/hyperlink" Target="https://sbrownlawyer.com/contested-custody/" TargetMode="External"/><Relationship Id="rId183" Type="http://schemas.openxmlformats.org/officeDocument/2006/relationships/hyperlink" Target="https://sbrownlawyer.com/League%20City-complex-and-contested-divorce/" TargetMode="External"/><Relationship Id="rId182" Type="http://schemas.openxmlformats.org/officeDocument/2006/relationships/hyperlink" Target="https://sbrownlawyer.com/assets-and-liability/" TargetMode="External"/><Relationship Id="rId181" Type="http://schemas.openxmlformats.org/officeDocument/2006/relationships/hyperlink" Target="https://sbrownlawyer.com/domestic-abuse-and-protective-orders/" TargetMode="External"/><Relationship Id="rId180" Type="http://schemas.openxmlformats.org/officeDocument/2006/relationships/hyperlink" Target="https://sbrownlawyer.com/inheritances/" TargetMode="External"/><Relationship Id="rId176" Type="http://schemas.openxmlformats.org/officeDocument/2006/relationships/hyperlink" Target="https://sbrownlawyer.com/the-importance-of-hiring-a-board-certified-family-law-attorney/" TargetMode="External"/><Relationship Id="rId175" Type="http://schemas.openxmlformats.org/officeDocument/2006/relationships/hyperlink" Target="https://sbrownlawyer.com/Modifications/" TargetMode="External"/><Relationship Id="rId174" Type="http://schemas.openxmlformats.org/officeDocument/2006/relationships/hyperlink" Target="https://sbrownlawyer.com/planning-for-divorce/" TargetMode="External"/><Relationship Id="rId173" Type="http://schemas.openxmlformats.org/officeDocument/2006/relationships/hyperlink" Target="https://sbrownlawyer.com/Divorce-in-Texas-and-the-possibility-of-spousal-support-payments" TargetMode="External"/><Relationship Id="rId179" Type="http://schemas.openxmlformats.org/officeDocument/2006/relationships/hyperlink" Target="https://sbrownlawyer.com/hidden-assets/" TargetMode="External"/><Relationship Id="rId178" Type="http://schemas.openxmlformats.org/officeDocument/2006/relationships/hyperlink" Target="https://sbrownlawyer.com/fathers-rights/" TargetMode="External"/><Relationship Id="rId177" Type="http://schemas.openxmlformats.org/officeDocument/2006/relationships/hyperlink" Target="https://sbrownlawyer.com/Property-division-during-divorce-does-not-have-to-destroy-a-business" TargetMode="External"/><Relationship Id="rId198" Type="http://schemas.openxmlformats.org/officeDocument/2006/relationships/hyperlink" Target="https://sbrownlawyer.com/news/announcement-divorce-custody-representation-league-city/" TargetMode="External"/><Relationship Id="rId197" Type="http://schemas.openxmlformats.org/officeDocument/2006/relationships/hyperlink" Target="https://sbrownlawyer.com/divorce-in-texas-and-the-possibility-of-spousal-support-payments/" TargetMode="External"/><Relationship Id="rId196" Type="http://schemas.openxmlformats.org/officeDocument/2006/relationships/hyperlink" Target="https://sbrownlawyer.com/stepparent-rights/" TargetMode="External"/><Relationship Id="rId195" Type="http://schemas.openxmlformats.org/officeDocument/2006/relationships/hyperlink" Target="https://sbrownlawyer.com/criminal-defense-attorney-in-texas/" TargetMode="External"/><Relationship Id="rId199" Type="http://schemas.openxmlformats.org/officeDocument/2006/relationships/hyperlink" Target="https://sbrownlawyer.com/news/angleton-school-custody-schedules/" TargetMode="External"/><Relationship Id="rId150" Type="http://schemas.openxmlformats.org/officeDocument/2006/relationships/hyperlink" Target="https://sbrownlawyer.com/retirement-accounts/" TargetMode="External"/><Relationship Id="rId392" Type="http://schemas.openxmlformats.org/officeDocument/2006/relationships/hyperlink" Target="https://sbrownlawyer.com/Spousal-Support" TargetMode="External"/><Relationship Id="rId391" Type="http://schemas.openxmlformats.org/officeDocument/2006/relationships/hyperlink" Target="https://sbrownlawyer.com/Division-Of-Property/Hidden-Assets" TargetMode="External"/><Relationship Id="rId390" Type="http://schemas.openxmlformats.org/officeDocument/2006/relationships/hyperlink" Target="https://sbrownlawyer.com/Division-Of-Property/Investment-Properties" TargetMode="External"/><Relationship Id="rId1" Type="http://schemas.openxmlformats.org/officeDocument/2006/relationships/hyperlink" Target="https://sbrownlawyer.com/" TargetMode="External"/><Relationship Id="rId2" Type="http://schemas.openxmlformats.org/officeDocument/2006/relationships/hyperlink" Target="https://sbrownlawyer.com/areas-we-serve/brazoria-county/" TargetMode="External"/><Relationship Id="rId3" Type="http://schemas.openxmlformats.org/officeDocument/2006/relationships/hyperlink" Target="https://sbrownlawyer.com/careers/" TargetMode="External"/><Relationship Id="rId149" Type="http://schemas.openxmlformats.org/officeDocument/2006/relationships/hyperlink" Target="https://sbrownlawyer.com/uncontested-divorce-lawyer-in-pearland/" TargetMode="External"/><Relationship Id="rId4" Type="http://schemas.openxmlformats.org/officeDocument/2006/relationships/hyperlink" Target="https://sbrownlawyer.com/debt-division/" TargetMode="External"/><Relationship Id="rId148" Type="http://schemas.openxmlformats.org/officeDocument/2006/relationships/hyperlink" Target="https://sbrownlawyer.com/league-city-divorce-lawyer/" TargetMode="External"/><Relationship Id="rId1090" Type="http://schemas.openxmlformats.org/officeDocument/2006/relationships/hyperlink" Target="https://sbrownlawyer.com/blog/page/17/?et_blog" TargetMode="External"/><Relationship Id="rId1091" Type="http://schemas.openxmlformats.org/officeDocument/2006/relationships/hyperlink" Target="https://sbrownlawyer.com/blog/page/18/?et_blog" TargetMode="External"/><Relationship Id="rId1092" Type="http://schemas.openxmlformats.org/officeDocument/2006/relationships/hyperlink" Target="https://sbrownlawyer.com/page/17/" TargetMode="External"/><Relationship Id="rId1093" Type="http://schemas.openxmlformats.org/officeDocument/2006/relationships/hyperlink" Target="https://sbrownlawyer.com/blog/page/19/?et_blog" TargetMode="External"/><Relationship Id="rId1094" Type="http://schemas.openxmlformats.org/officeDocument/2006/relationships/hyperlink" Target="https://sbrownlawyer.com/blog/page/20/?et_blog" TargetMode="External"/><Relationship Id="rId9" Type="http://schemas.openxmlformats.org/officeDocument/2006/relationships/hyperlink" Target="https://sbrownlawyer.com/modifications/" TargetMode="External"/><Relationship Id="rId143" Type="http://schemas.openxmlformats.org/officeDocument/2006/relationships/hyperlink" Target="https://sbrownlawyer.com/protecting-your-assets/" TargetMode="External"/><Relationship Id="rId385" Type="http://schemas.openxmlformats.org/officeDocument/2006/relationships/hyperlink" Target="https://sbrownlawyer.com/When-alcohol-becomes-a-factor-in-divorce-proceedings/" TargetMode="External"/><Relationship Id="rId1095" Type="http://schemas.openxmlformats.org/officeDocument/2006/relationships/hyperlink" Target="https://sbrownlawyer.com/page/18/" TargetMode="External"/><Relationship Id="rId142" Type="http://schemas.openxmlformats.org/officeDocument/2006/relationships/hyperlink" Target="https://sbrownlawyer.com/family-law" TargetMode="External"/><Relationship Id="rId384" Type="http://schemas.openxmlformats.org/officeDocument/2006/relationships/hyperlink" Target="https://sbrownlawyer.com/Don-t-let-family-violence-allegations-affect-your-open-carry-rights/" TargetMode="External"/><Relationship Id="rId1096" Type="http://schemas.openxmlformats.org/officeDocument/2006/relationships/hyperlink" Target="https://sbrownlawyer.com/blog/page/21/?et_blog" TargetMode="External"/><Relationship Id="rId141" Type="http://schemas.openxmlformats.org/officeDocument/2006/relationships/hyperlink" Target="https://sbrownlawyer.com/Firm-Overview" TargetMode="External"/><Relationship Id="rId383" Type="http://schemas.openxmlformats.org/officeDocument/2006/relationships/hyperlink" Target="https://sbrownlawyer.com/what-happens-to-pets-in-a-texas-divorce/" TargetMode="External"/><Relationship Id="rId1097" Type="http://schemas.openxmlformats.org/officeDocument/2006/relationships/hyperlink" Target="https://sbrownlawyer.com/page/20/" TargetMode="External"/><Relationship Id="rId140" Type="http://schemas.openxmlformats.org/officeDocument/2006/relationships/hyperlink" Target="https://sbrownlawyer.com/2024/10/18/over-55-divorce/" TargetMode="External"/><Relationship Id="rId382" Type="http://schemas.openxmlformats.org/officeDocument/2006/relationships/hyperlink" Target="https://sbrownlawyer.com/League%20City-marital-asset-division-lawyer/" TargetMode="External"/><Relationship Id="rId1098" Type="http://schemas.openxmlformats.org/officeDocument/2006/relationships/hyperlink" Target="https://sbrownlawyer.com/page/19/" TargetMode="External"/><Relationship Id="rId5" Type="http://schemas.openxmlformats.org/officeDocument/2006/relationships/hyperlink" Target="https://sbrownlawyer.com/texas/locations/pearland/" TargetMode="External"/><Relationship Id="rId147" Type="http://schemas.openxmlformats.org/officeDocument/2006/relationships/hyperlink" Target="https://sbrownlawyer.com/pearland-family-law-office/" TargetMode="External"/><Relationship Id="rId389" Type="http://schemas.openxmlformats.org/officeDocument/2006/relationships/hyperlink" Target="https://sbrownlawyer.com/Division-Of-Property/Assets-And-Liability" TargetMode="External"/><Relationship Id="rId1099" Type="http://schemas.openxmlformats.org/officeDocument/2006/relationships/hyperlink" Target="https://sbrownlawyer.com/blog/page/22/?et_blog" TargetMode="External"/><Relationship Id="rId6" Type="http://schemas.openxmlformats.org/officeDocument/2006/relationships/hyperlink" Target="https://sbrownlawyer.com/texas/locations/angleton/" TargetMode="External"/><Relationship Id="rId146" Type="http://schemas.openxmlformats.org/officeDocument/2006/relationships/hyperlink" Target="https://sbrownlawyer.com/rule-1-file-first/" TargetMode="External"/><Relationship Id="rId388" Type="http://schemas.openxmlformats.org/officeDocument/2006/relationships/hyperlink" Target="https://sbrownlawyer.com/Division-Of-Property/Homes-And-Real-Estate" TargetMode="External"/><Relationship Id="rId7" Type="http://schemas.openxmlformats.org/officeDocument/2006/relationships/hyperlink" Target="https://sbrownlawyer.com/areas-we-serve/galveston-county/" TargetMode="External"/><Relationship Id="rId145" Type="http://schemas.openxmlformats.org/officeDocument/2006/relationships/hyperlink" Target="https://sbrownlawyer.com/How-is-property-divided-in-a-Texas-divorce" TargetMode="External"/><Relationship Id="rId387" Type="http://schemas.openxmlformats.org/officeDocument/2006/relationships/hyperlink" Target="https://sbrownlawyer.com/Division-Of-Property/Retirement-Accounts" TargetMode="External"/><Relationship Id="rId8" Type="http://schemas.openxmlformats.org/officeDocument/2006/relationships/hyperlink" Target="https://sbrownlawyer.com/gray-divorce/" TargetMode="External"/><Relationship Id="rId144" Type="http://schemas.openxmlformats.org/officeDocument/2006/relationships/hyperlink" Target="https://sbrownlawyer.com/Contact" TargetMode="External"/><Relationship Id="rId386" Type="http://schemas.openxmlformats.org/officeDocument/2006/relationships/hyperlink" Target="https://sbrownlawyer.com/Financial-Steps-To-Take-Before-Filing-For-Divorce/" TargetMode="External"/><Relationship Id="rId381" Type="http://schemas.openxmlformats.org/officeDocument/2006/relationships/hyperlink" Target="https://sbrownlawyer.com/league-city-divorce/" TargetMode="External"/><Relationship Id="rId380" Type="http://schemas.openxmlformats.org/officeDocument/2006/relationships/hyperlink" Target="https://sbrownlawyer.com/How-is-property-divided-in-a-Texas-divorce/" TargetMode="External"/><Relationship Id="rId139" Type="http://schemas.openxmlformats.org/officeDocument/2006/relationships/hyperlink" Target="https://sbrownlawyer.com/blog/page/2/?et_blog" TargetMode="External"/><Relationship Id="rId138" Type="http://schemas.openxmlformats.org/officeDocument/2006/relationships/hyperlink" Target="https://sbrownlawyer.com/2024/07/04/expungement-vs-sealing-what-is-the-best-option/" TargetMode="External"/><Relationship Id="rId137" Type="http://schemas.openxmlformats.org/officeDocument/2006/relationships/hyperlink" Target="https://sbrownlawyer.com/2024/10/08/car-accident-in-houston-understanding-your-rights-and-responsibilities/" TargetMode="External"/><Relationship Id="rId379" Type="http://schemas.openxmlformats.org/officeDocument/2006/relationships/hyperlink" Target="https://sbrownlawyer.com/rule-1-file-first/The-Divorce-Process" TargetMode="External"/><Relationship Id="rId1080" Type="http://schemas.openxmlformats.org/officeDocument/2006/relationships/hyperlink" Target="https://sbrownlawyer.com/league-city-tx-car-accident-lawyer/" TargetMode="External"/><Relationship Id="rId1081" Type="http://schemas.openxmlformats.org/officeDocument/2006/relationships/hyperlink" Target="https://sbrownlawyer.com/2009/03/25/what-is-parental-alienation/" TargetMode="External"/><Relationship Id="rId1082" Type="http://schemas.openxmlformats.org/officeDocument/2006/relationships/hyperlink" Target="https://sbrownlawyer.com/blog/page/16/?et_blog" TargetMode="External"/><Relationship Id="rId1083" Type="http://schemas.openxmlformats.org/officeDocument/2006/relationships/hyperlink" Target="https://sbrownlawyer.com/2014/05/02/domestic-violence-victims-arent-alone/" TargetMode="External"/><Relationship Id="rId132" Type="http://schemas.openxmlformats.org/officeDocument/2006/relationships/hyperlink" Target="https://sbrownlawyer.com/2024/08/01/felony-misdemeanor-difference-league-city/" TargetMode="External"/><Relationship Id="rId374" Type="http://schemas.openxmlformats.org/officeDocument/2006/relationships/hyperlink" Target="https://sbrownlawyer.com/blog/?et_blog" TargetMode="External"/><Relationship Id="rId1084" Type="http://schemas.openxmlformats.org/officeDocument/2006/relationships/hyperlink" Target="https://sbrownlawyer.com/2009/03/18/what-are-factors-that-may-lead-to-divorce/" TargetMode="External"/><Relationship Id="rId131" Type="http://schemas.openxmlformats.org/officeDocument/2006/relationships/hyperlink" Target="https://sbrownlawyer.com/2024/09/23/is-leaving-the-scene-of-an-accident-a-felony-in-angleton/" TargetMode="External"/><Relationship Id="rId373" Type="http://schemas.openxmlformats.org/officeDocument/2006/relationships/hyperlink" Target="https://sbrownlawyer.com/2024/05/28/impact-of-a-criminal-record-on-child-custody-cases/" TargetMode="External"/><Relationship Id="rId1085" Type="http://schemas.openxmlformats.org/officeDocument/2006/relationships/hyperlink" Target="https://sbrownlawyer.com/2018/01/22/new-criminal-offense-in-texas-for-possession-or-promotion-of-lewd-material-depicting-a-child/" TargetMode="External"/><Relationship Id="rId130" Type="http://schemas.openxmlformats.org/officeDocument/2006/relationships/hyperlink" Target="https://sbrownlawyer.com/Contact/" TargetMode="External"/><Relationship Id="rId372" Type="http://schemas.openxmlformats.org/officeDocument/2006/relationships/hyperlink" Target="https://sbrownlawyer.com/2023/01/20/can-your-spouse-stop-you-from-getting-a-divorce/" TargetMode="External"/><Relationship Id="rId1086" Type="http://schemas.openxmlformats.org/officeDocument/2006/relationships/hyperlink" Target="https://sbrownlawyer.com/page/15/" TargetMode="External"/><Relationship Id="rId371" Type="http://schemas.openxmlformats.org/officeDocument/2006/relationships/hyperlink" Target="https://sbrownlawyer.com/2023/01/20/do-you-need-a-lawyer-to-get-a-divorce/" TargetMode="External"/><Relationship Id="rId1087" Type="http://schemas.openxmlformats.org/officeDocument/2006/relationships/hyperlink" Target="https://sbrownlawyer.com/2009/03/02/consent-to-medical-care-by-a-non-parent/" TargetMode="External"/><Relationship Id="rId136" Type="http://schemas.openxmlformats.org/officeDocument/2006/relationships/hyperlink" Target="https://sbrownlawyer.com/2024/10/09/legal-rights-for-pedestrian-injury-victims-in-texas/" TargetMode="External"/><Relationship Id="rId378" Type="http://schemas.openxmlformats.org/officeDocument/2006/relationships/hyperlink" Target="https://sbrownlawyer.com/Divorce" TargetMode="External"/><Relationship Id="rId1088" Type="http://schemas.openxmlformats.org/officeDocument/2006/relationships/hyperlink" Target="https://sbrownlawyer.com/galveston-drug-possession-lawyer/" TargetMode="External"/><Relationship Id="rId135" Type="http://schemas.openxmlformats.org/officeDocument/2006/relationships/hyperlink" Target="https://sbrownlawyer.com/2024/12/23/compensation-for-paralysis-injuries-your-guide-to-texas-law/" TargetMode="External"/><Relationship Id="rId377" Type="http://schemas.openxmlformats.org/officeDocument/2006/relationships/hyperlink" Target="https://sbrownlawyer.com/estate-planning/" TargetMode="External"/><Relationship Id="rId1089" Type="http://schemas.openxmlformats.org/officeDocument/2006/relationships/hyperlink" Target="https://sbrownlawyer.com/page/16/" TargetMode="External"/><Relationship Id="rId134" Type="http://schemas.openxmlformats.org/officeDocument/2006/relationships/hyperlink" Target="https://sbrownlawyer.com/2024/08/20/no-fault-divorce-vs-fault-divorce-angleton-texas/" TargetMode="External"/><Relationship Id="rId376" Type="http://schemas.openxmlformats.org/officeDocument/2006/relationships/hyperlink" Target="https://sbrownlawyer.com/Firm-Overview/" TargetMode="External"/><Relationship Id="rId133" Type="http://schemas.openxmlformats.org/officeDocument/2006/relationships/hyperlink" Target="https://sbrownlawyer.com/rape/" TargetMode="External"/><Relationship Id="rId375" Type="http://schemas.openxmlformats.org/officeDocument/2006/relationships/hyperlink" Target="https://sbrownlawyer.com/page/2/" TargetMode="External"/><Relationship Id="rId172" Type="http://schemas.openxmlformats.org/officeDocument/2006/relationships/hyperlink" Target="https://sbrownlawyer.com/The-basics-of-Texas-child-support-requests-factors-and-guidelines" TargetMode="External"/><Relationship Id="rId171" Type="http://schemas.openxmlformats.org/officeDocument/2006/relationships/hyperlink" Target="https://sbrownlawyer.com/How-to-know-if-your-spouse-is-hiding-marital-property-and-assets" TargetMode="External"/><Relationship Id="rId170" Type="http://schemas.openxmlformats.org/officeDocument/2006/relationships/hyperlink" Target="https://sbrownlawyer.com/When-parents-divorce-New-study-analyzes-impact-of-divorce-on-kids" TargetMode="External"/><Relationship Id="rId165" Type="http://schemas.openxmlformats.org/officeDocument/2006/relationships/hyperlink" Target="https://sbrownlawyer.com/Obtaining-a-protection-order-is-one-step-in-leaving-domestic-violence" TargetMode="External"/><Relationship Id="rId164" Type="http://schemas.openxmlformats.org/officeDocument/2006/relationships/hyperlink" Target="https://sbrownlawyer.com/business-and-professional-practices-in-divorce/" TargetMode="External"/><Relationship Id="rId163" Type="http://schemas.openxmlformats.org/officeDocument/2006/relationships/hyperlink" Target="https://sbrownlawyer.com/homes-and-real-estate/" TargetMode="External"/><Relationship Id="rId162" Type="http://schemas.openxmlformats.org/officeDocument/2006/relationships/hyperlink" Target="https://sbrownlawyer.com/Hidden-assets-Some-marital-property-may-not-be-obvious" TargetMode="External"/><Relationship Id="rId169" Type="http://schemas.openxmlformats.org/officeDocument/2006/relationships/hyperlink" Target="https://sbrownlawyer.com/physician-practices/" TargetMode="External"/><Relationship Id="rId168" Type="http://schemas.openxmlformats.org/officeDocument/2006/relationships/hyperlink" Target="https://sbrownlawyer.com/League%20City-high-net-worth-divorce-lawyer/" TargetMode="External"/><Relationship Id="rId167" Type="http://schemas.openxmlformats.org/officeDocument/2006/relationships/hyperlink" Target="https://sbrownlawyer.com/angleton/" TargetMode="External"/><Relationship Id="rId166" Type="http://schemas.openxmlformats.org/officeDocument/2006/relationships/hyperlink" Target="https://sbrownlawyer.com/the-divorce-process/" TargetMode="External"/><Relationship Id="rId161" Type="http://schemas.openxmlformats.org/officeDocument/2006/relationships/hyperlink" Target="https://sbrownlawyer.com/High-Net-Worth-Divorce/" TargetMode="External"/><Relationship Id="rId160" Type="http://schemas.openxmlformats.org/officeDocument/2006/relationships/hyperlink" Target="https://sbrownlawyer.com/Detailing-some-of-Texas-s-important-child-custody-laws" TargetMode="External"/><Relationship Id="rId159" Type="http://schemas.openxmlformats.org/officeDocument/2006/relationships/hyperlink" Target="https://sbrownlawyer.com/investment-properties/" TargetMode="External"/><Relationship Id="rId154" Type="http://schemas.openxmlformats.org/officeDocument/2006/relationships/hyperlink" Target="https://sbrownlawyer.com/When-alcohol-becomes-a-factor-in-divorce-proceedings" TargetMode="External"/><Relationship Id="rId396" Type="http://schemas.openxmlformats.org/officeDocument/2006/relationships/hyperlink" Target="https://sbrownlawyer.com/Division-Of-Property/Business-Owner-Divorce" TargetMode="External"/><Relationship Id="rId153" Type="http://schemas.openxmlformats.org/officeDocument/2006/relationships/hyperlink" Target="https://sbrownlawyer.com/Don-t-let-family-violence-allegations-affect-your-open-carry-rights" TargetMode="External"/><Relationship Id="rId395" Type="http://schemas.openxmlformats.org/officeDocument/2006/relationships/hyperlink" Target="https://sbrownlawyer.com/Child-Support" TargetMode="External"/><Relationship Id="rId152" Type="http://schemas.openxmlformats.org/officeDocument/2006/relationships/hyperlink" Target="https://sbrownlawyer.com/league-city-tx-divorce/" TargetMode="External"/><Relationship Id="rId394" Type="http://schemas.openxmlformats.org/officeDocument/2006/relationships/hyperlink" Target="https://sbrownlawyer.com/Division-Of-Property/Inheritances" TargetMode="External"/><Relationship Id="rId151" Type="http://schemas.openxmlformats.org/officeDocument/2006/relationships/hyperlink" Target="https://sbrownlawyer.com/articles/What-happens-to-pets-in-a-Texas-divorce" TargetMode="External"/><Relationship Id="rId393" Type="http://schemas.openxmlformats.org/officeDocument/2006/relationships/hyperlink" Target="https://sbrownlawyer.com/Division-Of-Property/Oil-And-Mineral-Rights" TargetMode="External"/><Relationship Id="rId158" Type="http://schemas.openxmlformats.org/officeDocument/2006/relationships/hyperlink" Target="https://sbrownlawyer.com/How-Divorce-Can-Actually-Benefit-Children" TargetMode="External"/><Relationship Id="rId157" Type="http://schemas.openxmlformats.org/officeDocument/2006/relationships/hyperlink" Target="https://sbrownlawyer.com/The-unique-aspects-of-alimony-spousal-maintenance-in-Texas" TargetMode="External"/><Relationship Id="rId399" Type="http://schemas.openxmlformats.org/officeDocument/2006/relationships/hyperlink" Target="https://sbrownlawyer.com/The-unique-aspects-of-alimony-spousal-maintenance-in-Texas/" TargetMode="External"/><Relationship Id="rId156" Type="http://schemas.openxmlformats.org/officeDocument/2006/relationships/hyperlink" Target="https://sbrownlawyer.com/complex-and-contested-divorce-attorneys/" TargetMode="External"/><Relationship Id="rId398" Type="http://schemas.openxmlformats.org/officeDocument/2006/relationships/hyperlink" Target="https://sbrownlawyer.com/Division-Of-Property/Business-And-Professional-Practices-In-Divorce" TargetMode="External"/><Relationship Id="rId155" Type="http://schemas.openxmlformats.org/officeDocument/2006/relationships/hyperlink" Target="https://sbrownlawyer.com/Financial-Steps-To-Take-Before-Filing-For-Divorce" TargetMode="External"/><Relationship Id="rId397" Type="http://schemas.openxmlformats.org/officeDocument/2006/relationships/hyperlink" Target="https://sbrownlawyer.com/complex-and-contested-divorce-attorneys/High-Net-Worth-Divorce" TargetMode="External"/><Relationship Id="rId808" Type="http://schemas.openxmlformats.org/officeDocument/2006/relationships/hyperlink" Target="https://sbrownlawyer.com/2012/08/03/texas-parents-may-explore-legal-options-in-child-support-payments/" TargetMode="External"/><Relationship Id="rId807" Type="http://schemas.openxmlformats.org/officeDocument/2006/relationships/hyperlink" Target="https://sbrownlawyer.com/2014/02/21/flying-high-do-marijuana-offenses-generally-fare-better-than-dwis/" TargetMode="External"/><Relationship Id="rId806" Type="http://schemas.openxmlformats.org/officeDocument/2006/relationships/hyperlink" Target="https://sbrownlawyer.com/2012/10/08/divorce-and-child-support-texas-several-billion-dollars-behind/" TargetMode="External"/><Relationship Id="rId805" Type="http://schemas.openxmlformats.org/officeDocument/2006/relationships/hyperlink" Target="https://sbrownlawyer.com/Do-Not-Blow/" TargetMode="External"/><Relationship Id="rId809" Type="http://schemas.openxmlformats.org/officeDocument/2006/relationships/hyperlink" Target="https://sbrownlawyer.com/2013/07/24/texas-military-mans-international-child-custody-dispute/" TargetMode="External"/><Relationship Id="rId800" Type="http://schemas.openxmlformats.org/officeDocument/2006/relationships/hyperlink" Target="https://sbrownlawyer.com/2019/08/15/dont-go-solo-top-3-reasons-to-hire-a-dwi-lawyer/" TargetMode="External"/><Relationship Id="rId804" Type="http://schemas.openxmlformats.org/officeDocument/2006/relationships/hyperlink" Target="https://sbrownlawyer.com/2021/08/30/a-timeline-of-the-divorce-process-how-long-does-it-realistically-take/" TargetMode="External"/><Relationship Id="rId803" Type="http://schemas.openxmlformats.org/officeDocument/2006/relationships/hyperlink" Target="https://sbrownlawyer.com/2016/01/08/being-current-on-child-support-required-under-new-open-carry-law/" TargetMode="External"/><Relationship Id="rId802" Type="http://schemas.openxmlformats.org/officeDocument/2006/relationships/hyperlink" Target="https://sbrownlawyer.com/2019/03/24/why-do-i-need-a-divorce-lawyer/" TargetMode="External"/><Relationship Id="rId801" Type="http://schemas.openxmlformats.org/officeDocument/2006/relationships/hyperlink" Target="https://sbrownlawyer.com/2019/04/15/can-bad-behavior-toward-an-ex-affect-your-custody-arrangement/" TargetMode="External"/><Relationship Id="rId40" Type="http://schemas.openxmlformats.org/officeDocument/2006/relationships/hyperlink" Target="https://sbrownlawyer.com/videos-5/" TargetMode="External"/><Relationship Id="rId42" Type="http://schemas.openxmlformats.org/officeDocument/2006/relationships/hyperlink" Target="https://sbrownlawyer.com/areas-we-serve/fort-bend-county/" TargetMode="External"/><Relationship Id="rId41" Type="http://schemas.openxmlformats.org/officeDocument/2006/relationships/hyperlink" Target="https://sbrownlawyer.com/areas-we-serve/harris-county/" TargetMode="External"/><Relationship Id="rId44" Type="http://schemas.openxmlformats.org/officeDocument/2006/relationships/hyperlink" Target="https://sbrownlawyer.com/attorneys/" TargetMode="External"/><Relationship Id="rId43" Type="http://schemas.openxmlformats.org/officeDocument/2006/relationships/hyperlink" Target="https://sbrownlawyer.com/criminal-defense/" TargetMode="External"/><Relationship Id="rId46" Type="http://schemas.openxmlformats.org/officeDocument/2006/relationships/hyperlink" Target="https://sbrownlawyer.com/criminal-law/" TargetMode="External"/><Relationship Id="rId45" Type="http://schemas.openxmlformats.org/officeDocument/2006/relationships/hyperlink" Target="https://sbrownlawyer.com/terms-of-service" TargetMode="External"/><Relationship Id="rId509" Type="http://schemas.openxmlformats.org/officeDocument/2006/relationships/hyperlink" Target="https://sbrownlawyer.com/Protecting-Your-Assets" TargetMode="External"/><Relationship Id="rId508" Type="http://schemas.openxmlformats.org/officeDocument/2006/relationships/hyperlink" Target="https://sbrownlawyer.com/hidden-assets-some-marital-property-may-not-be-obvious/" TargetMode="External"/><Relationship Id="rId503" Type="http://schemas.openxmlformats.org/officeDocument/2006/relationships/hyperlink" Target="https://sbrownlawyer.com/Paternity/" TargetMode="External"/><Relationship Id="rId745" Type="http://schemas.openxmlformats.org/officeDocument/2006/relationships/hyperlink" Target="https://sbrownlawyer.com/2021/08/10/5-next-steps-to-take-when-you-have-a-dui-in-texas/" TargetMode="External"/><Relationship Id="rId987" Type="http://schemas.openxmlformats.org/officeDocument/2006/relationships/hyperlink" Target="https://sbrownlawyer.com/2015/Family-Law/Child-Custody/Creative-Custody-Agreements" TargetMode="External"/><Relationship Id="rId502" Type="http://schemas.openxmlformats.org/officeDocument/2006/relationships/hyperlink" Target="https://sbrownlawyer.com/modification-of-custody/" TargetMode="External"/><Relationship Id="rId744" Type="http://schemas.openxmlformats.org/officeDocument/2006/relationships/hyperlink" Target="https://sbrownlawyer.com/2012/10/04/texas-parents-pay-attention-to-divorce-decrees-before-signing/" TargetMode="External"/><Relationship Id="rId986" Type="http://schemas.openxmlformats.org/officeDocument/2006/relationships/hyperlink" Target="https://sbrownlawyer.com/2013/01/15/texas-child-support-state-seeks-money-from-sperm-donor/" TargetMode="External"/><Relationship Id="rId501" Type="http://schemas.openxmlformats.org/officeDocument/2006/relationships/hyperlink" Target="https://sbrownlawyer.com/2022/01/07/i-will-fight-for-you/" TargetMode="External"/><Relationship Id="rId743" Type="http://schemas.openxmlformats.org/officeDocument/2006/relationships/hyperlink" Target="https://sbrownlawyer.com/2014/02/19/texas-enters-the-fray-of-same-sex-marriage-court-battles/" TargetMode="External"/><Relationship Id="rId985" Type="http://schemas.openxmlformats.org/officeDocument/2006/relationships/hyperlink" Target="https://sbrownlawyer.com/2019/05/16/motorcycle-laws-regarding-children-in-texas/" TargetMode="External"/><Relationship Id="rId500" Type="http://schemas.openxmlformats.org/officeDocument/2006/relationships/hyperlink" Target="https://sbrownlawyer.com/Termination/" TargetMode="External"/><Relationship Id="rId742" Type="http://schemas.openxmlformats.org/officeDocument/2006/relationships/hyperlink" Target="https://sbrownlawyer.com/2012/08/10/texas-divorce-non-holidays-find-way-into-custody-schedule/" TargetMode="External"/><Relationship Id="rId984" Type="http://schemas.openxmlformats.org/officeDocument/2006/relationships/hyperlink" Target="https://sbrownlawyer.com/2014/10/30/what-should-i-do-if-im-a-victim-of-domestic-violence/" TargetMode="External"/><Relationship Id="rId507" Type="http://schemas.openxmlformats.org/officeDocument/2006/relationships/hyperlink" Target="https://sbrownlawyer.com/Division-Of-Property/" TargetMode="External"/><Relationship Id="rId749" Type="http://schemas.openxmlformats.org/officeDocument/2006/relationships/hyperlink" Target="https://sbrownlawyer.com/2019/04/01/fighting-for-your-child-the-top-tips-for-winning-a-child-custody-battle/" TargetMode="External"/><Relationship Id="rId506" Type="http://schemas.openxmlformats.org/officeDocument/2006/relationships/hyperlink" Target="https://sbrownlawyer.com/Business-Owner-Divorce" TargetMode="External"/><Relationship Id="rId748" Type="http://schemas.openxmlformats.org/officeDocument/2006/relationships/hyperlink" Target="https://sbrownlawyer.com/2019/04/10/can-a-dwi-affect-your-divorce-proceedings/" TargetMode="External"/><Relationship Id="rId505" Type="http://schemas.openxmlformats.org/officeDocument/2006/relationships/hyperlink" Target="https://sbrownlawyer.com/Domestic-Abuse-And-Protective-Orders/" TargetMode="External"/><Relationship Id="rId747" Type="http://schemas.openxmlformats.org/officeDocument/2006/relationships/hyperlink" Target="https://sbrownlawyer.com/2016/01/01/child-support-deviations-and-you/" TargetMode="External"/><Relationship Id="rId989" Type="http://schemas.openxmlformats.org/officeDocument/2006/relationships/hyperlink" Target="https://sbrownlawyer.com/2017/02/28/how-will-a-divorce-affect-my-inheritance/" TargetMode="External"/><Relationship Id="rId504" Type="http://schemas.openxmlformats.org/officeDocument/2006/relationships/hyperlink" Target="https://sbrownlawyer.com/Child-Protective-Services-CPS/" TargetMode="External"/><Relationship Id="rId746" Type="http://schemas.openxmlformats.org/officeDocument/2006/relationships/hyperlink" Target="https://sbrownlawyer.com/guiding-your-children-through-divorce/" TargetMode="External"/><Relationship Id="rId988" Type="http://schemas.openxmlformats.org/officeDocument/2006/relationships/hyperlink" Target="https://sbrownlawyer.com/2015/04/03/out-of-court-methods-for-coming-to-a-child-custody-agreement/" TargetMode="External"/><Relationship Id="rId48" Type="http://schemas.openxmlformats.org/officeDocument/2006/relationships/hyperlink" Target="https://sbrownlawyer.com/grandparents-rights/" TargetMode="External"/><Relationship Id="rId47" Type="http://schemas.openxmlformats.org/officeDocument/2006/relationships/hyperlink" Target="https://sbrownlawyer.com/estate-planning-probate/" TargetMode="External"/><Relationship Id="rId49" Type="http://schemas.openxmlformats.org/officeDocument/2006/relationships/hyperlink" Target="https://sbrownlawyer.com/division-of-property/" TargetMode="External"/><Relationship Id="rId741" Type="http://schemas.openxmlformats.org/officeDocument/2006/relationships/hyperlink" Target="https://sbrownlawyer.com/2013/07/30/domestic-violence-and-the-poor/" TargetMode="External"/><Relationship Id="rId983" Type="http://schemas.openxmlformats.org/officeDocument/2006/relationships/hyperlink" Target="https://sbrownlawyer.com/2017/02/Contact" TargetMode="External"/><Relationship Id="rId740" Type="http://schemas.openxmlformats.org/officeDocument/2006/relationships/hyperlink" Target="https://sbrownlawyer.com/2013/09/25/tips-for-helping-the-children-while-going-through-a-divorce/" TargetMode="External"/><Relationship Id="rId982" Type="http://schemas.openxmlformats.org/officeDocument/2006/relationships/hyperlink" Target="https://sbrownlawyer.com/2017/02/14/the-difference-between-arbitration-mediation-and-trial-in-divorce/" TargetMode="External"/><Relationship Id="rId981" Type="http://schemas.openxmlformats.org/officeDocument/2006/relationships/hyperlink" Target="https://sbrownlawyer.com/2018/05/28/what-should-you-do-if-your-teenager-gets-a-dui/" TargetMode="External"/><Relationship Id="rId980" Type="http://schemas.openxmlformats.org/officeDocument/2006/relationships/hyperlink" Target="https://sbrownlawyer.com/page/9/" TargetMode="External"/><Relationship Id="rId31" Type="http://schemas.openxmlformats.org/officeDocument/2006/relationships/hyperlink" Target="https://sbrownlawyer.com/child-custody/" TargetMode="External"/><Relationship Id="rId30" Type="http://schemas.openxmlformats.org/officeDocument/2006/relationships/hyperlink" Target="https://sbrownlawyer.com/criminal-defense-book/" TargetMode="External"/><Relationship Id="rId33" Type="http://schemas.openxmlformats.org/officeDocument/2006/relationships/hyperlink" Target="https://sbrownlawyer.com/contact/" TargetMode="External"/><Relationship Id="rId32" Type="http://schemas.openxmlformats.org/officeDocument/2006/relationships/hyperlink" Target="https://sbrownlawyer.com/enforcement/" TargetMode="External"/><Relationship Id="rId35" Type="http://schemas.openxmlformats.org/officeDocument/2006/relationships/hyperlink" Target="https://sbrownlawyer.com/cohabitation/" TargetMode="External"/><Relationship Id="rId34" Type="http://schemas.openxmlformats.org/officeDocument/2006/relationships/hyperlink" Target="https://sbrownlawyer.com/personal-injury/" TargetMode="External"/><Relationship Id="rId739" Type="http://schemas.openxmlformats.org/officeDocument/2006/relationships/hyperlink" Target="https://sbrownlawyer.com/2013/11/27/texas-police-officer-accused-of-domestic-violence-still-employed/" TargetMode="External"/><Relationship Id="rId734" Type="http://schemas.openxmlformats.org/officeDocument/2006/relationships/hyperlink" Target="https://sbrownlawyer.com/under-age-dui-defense-in-league-city-tx/" TargetMode="External"/><Relationship Id="rId976" Type="http://schemas.openxmlformats.org/officeDocument/2006/relationships/hyperlink" Target="https://sbrownlawyer.com/2012/10/29/texas-celebrity-couple-files-for-separation-divorce-to-follow/" TargetMode="External"/><Relationship Id="rId733" Type="http://schemas.openxmlformats.org/officeDocument/2006/relationships/hyperlink" Target="https://sbrownlawyer.com/2015/10/16/how-does-alimony-affect-my-taxes/" TargetMode="External"/><Relationship Id="rId975" Type="http://schemas.openxmlformats.org/officeDocument/2006/relationships/hyperlink" Target="https://sbrownlawyer.com/2019/07/15/9-tips-for-dealing-with-divorce/" TargetMode="External"/><Relationship Id="rId732" Type="http://schemas.openxmlformats.org/officeDocument/2006/relationships/hyperlink" Target="https://sbrownlawyer.com/2012/03/08/military-marriage-presents-unique-emotional-challenges/" TargetMode="External"/><Relationship Id="rId974" Type="http://schemas.openxmlformats.org/officeDocument/2006/relationships/hyperlink" Target="https://sbrownlawyer.com/2012/07/11/superstar-divorce-holmes-may-seek-full-custody-of-daughter/" TargetMode="External"/><Relationship Id="rId731" Type="http://schemas.openxmlformats.org/officeDocument/2006/relationships/hyperlink" Target="https://sbrownlawyer.com/2015/06/28/child-support-enforcement-license-suspension/" TargetMode="External"/><Relationship Id="rId973" Type="http://schemas.openxmlformats.org/officeDocument/2006/relationships/hyperlink" Target="https://sbrownlawyer.com/2014/blog" TargetMode="External"/><Relationship Id="rId738" Type="http://schemas.openxmlformats.org/officeDocument/2006/relationships/hyperlink" Target="https://sbrownlawyer.com/2015/08/21/rutherford-reluctantly-returns-children-to-father/" TargetMode="External"/><Relationship Id="rId737" Type="http://schemas.openxmlformats.org/officeDocument/2006/relationships/hyperlink" Target="https://sbrownlawyer.com/2020/08/07/contested-vs-uncontested-divorce-in-houston-top-things-you-need-to-know/" TargetMode="External"/><Relationship Id="rId979" Type="http://schemas.openxmlformats.org/officeDocument/2006/relationships/hyperlink" Target="https://sbrownlawyer.com/blog/page/10/?et_blog" TargetMode="External"/><Relationship Id="rId736" Type="http://schemas.openxmlformats.org/officeDocument/2006/relationships/hyperlink" Target="https://sbrownlawyer.com/2020/07/23/what-is-the-best-dwi-defense-a-look-at-the-different-scenarios/" TargetMode="External"/><Relationship Id="rId978" Type="http://schemas.openxmlformats.org/officeDocument/2006/relationships/hyperlink" Target="https://sbrownlawyer.com/2018/06/15/how-does-alimony-work/" TargetMode="External"/><Relationship Id="rId735" Type="http://schemas.openxmlformats.org/officeDocument/2006/relationships/hyperlink" Target="https://sbrownlawyer.com/2021/09/27/how-to-find-the-best-child-custody-lawyer-in-league-city-tx-and-how-they-can-help-your-case/" TargetMode="External"/><Relationship Id="rId977" Type="http://schemas.openxmlformats.org/officeDocument/2006/relationships/hyperlink" Target="https://sbrownlawyer.com/2018/05/15/prenuptial-agreements-in-texas-what-they-do-do-not-protect/" TargetMode="External"/><Relationship Id="rId37" Type="http://schemas.openxmlformats.org/officeDocument/2006/relationships/hyperlink" Target="https://sbrownlawyer.com/testimonials/" TargetMode="External"/><Relationship Id="rId36" Type="http://schemas.openxmlformats.org/officeDocument/2006/relationships/hyperlink" Target="https://sbrownlawyer.com/paternity-attorney/" TargetMode="External"/><Relationship Id="rId39" Type="http://schemas.openxmlformats.org/officeDocument/2006/relationships/hyperlink" Target="https://sbrownlawyer.com/child-support/" TargetMode="External"/><Relationship Id="rId38" Type="http://schemas.openxmlformats.org/officeDocument/2006/relationships/hyperlink" Target="https://sbrownlawyer.com/areas-we-serve/" TargetMode="External"/><Relationship Id="rId730" Type="http://schemas.openxmlformats.org/officeDocument/2006/relationships/hyperlink" Target="https://sbrownlawyer.com/2016/04/29/child-custody-agreements-can-vary-greatly-depending-on-the-case/" TargetMode="External"/><Relationship Id="rId972" Type="http://schemas.openxmlformats.org/officeDocument/2006/relationships/hyperlink" Target="https://sbrownlawyer.com/2014/03/21/texas-ranks-second-in-the-nation-in-domestic-violence-incidents/" TargetMode="External"/><Relationship Id="rId971" Type="http://schemas.openxmlformats.org/officeDocument/2006/relationships/hyperlink" Target="https://sbrownlawyer.com/2012/02/13/kobe-bryant-gives-three-homes-to-wife-in-divorce-settlement/" TargetMode="External"/><Relationship Id="rId970" Type="http://schemas.openxmlformats.org/officeDocument/2006/relationships/hyperlink" Target="https://sbrownlawyer.com/2018/03/15/preparing-to-testify-in-court/" TargetMode="External"/><Relationship Id="rId1114" Type="http://schemas.openxmlformats.org/officeDocument/2006/relationships/hyperlink" Target="https://sbrownlawyer.com/page/28/" TargetMode="External"/><Relationship Id="rId1115" Type="http://schemas.openxmlformats.org/officeDocument/2006/relationships/hyperlink" Target="https://sbrownlawyer.com/blog/page/30/?et_blog" TargetMode="External"/><Relationship Id="rId20" Type="http://schemas.openxmlformats.org/officeDocument/2006/relationships/hyperlink" Target="https://sbrownlawyer.com/texas/locations/league-city/" TargetMode="External"/><Relationship Id="rId1116" Type="http://schemas.openxmlformats.org/officeDocument/2006/relationships/hyperlink" Target="https://sbrownlawyer.com/page/29/" TargetMode="External"/><Relationship Id="rId1117" Type="http://schemas.openxmlformats.org/officeDocument/2006/relationships/hyperlink" Target="https://sbrownlawyer.com/blog/page/31/?et_blog" TargetMode="External"/><Relationship Id="rId22" Type="http://schemas.openxmlformats.org/officeDocument/2006/relationships/hyperlink" Target="https://sbrownlawyer.com/case-results/" TargetMode="External"/><Relationship Id="rId1118" Type="http://schemas.openxmlformats.org/officeDocument/2006/relationships/hyperlink" Target="https://sbrownlawyer.com/page/30/" TargetMode="External"/><Relationship Id="rId21" Type="http://schemas.openxmlformats.org/officeDocument/2006/relationships/hyperlink" Target="https://sbrownlawyer.com/areas-we-serve/matagorda-county/" TargetMode="External"/><Relationship Id="rId1119" Type="http://schemas.openxmlformats.org/officeDocument/2006/relationships/hyperlink" Target="https://sbrownlawyer.com/page/31/" TargetMode="External"/><Relationship Id="rId24" Type="http://schemas.openxmlformats.org/officeDocument/2006/relationships/hyperlink" Target="https://sbrownlawyer.com/attorneys-working-to-achieve-your-alimony-goals/" TargetMode="External"/><Relationship Id="rId23" Type="http://schemas.openxmlformats.org/officeDocument/2006/relationships/hyperlink" Target="https://sbrownlawyer.com/news/" TargetMode="External"/><Relationship Id="rId525" Type="http://schemas.openxmlformats.org/officeDocument/2006/relationships/hyperlink" Target="https://sbrownlawyer.com/2020/01/14/how-texas-defines-child-abuse/" TargetMode="External"/><Relationship Id="rId767" Type="http://schemas.openxmlformats.org/officeDocument/2006/relationships/hyperlink" Target="https://sbrownlawyer.com/White-Collar-Crimes" TargetMode="External"/><Relationship Id="rId524" Type="http://schemas.openxmlformats.org/officeDocument/2006/relationships/hyperlink" Target="https://sbrownlawyer.com/2020/04/24/fighting-over-custody-need-a-divorce-family-lawyer-might-be-for-you/" TargetMode="External"/><Relationship Id="rId766" Type="http://schemas.openxmlformats.org/officeDocument/2006/relationships/hyperlink" Target="https://sbrownlawyer.com/Major-Felonies" TargetMode="External"/><Relationship Id="rId523" Type="http://schemas.openxmlformats.org/officeDocument/2006/relationships/hyperlink" Target="https://sbrownlawyer.com/Divorce/" TargetMode="External"/><Relationship Id="rId765" Type="http://schemas.openxmlformats.org/officeDocument/2006/relationships/hyperlink" Target="https://sbrownlawyer.com/2019/11/02/can-digital-currency-complicate-divorce/" TargetMode="External"/><Relationship Id="rId522" Type="http://schemas.openxmlformats.org/officeDocument/2006/relationships/hyperlink" Target="https://sbrownlawyer.com/league-city-marital-asset-division-lawyer/" TargetMode="External"/><Relationship Id="rId764" Type="http://schemas.openxmlformats.org/officeDocument/2006/relationships/hyperlink" Target="https://sbrownlawyer.com/pearland-law-office/" TargetMode="External"/><Relationship Id="rId529" Type="http://schemas.openxmlformats.org/officeDocument/2006/relationships/hyperlink" Target="https://sbrownlawyer.com/2022/10/03/do-i-need-a-lawyer-to-get-a-divorce/" TargetMode="External"/><Relationship Id="rId528" Type="http://schemas.openxmlformats.org/officeDocument/2006/relationships/hyperlink" Target="https://sbrownlawyer.com/page/3/" TargetMode="External"/><Relationship Id="rId527" Type="http://schemas.openxmlformats.org/officeDocument/2006/relationships/hyperlink" Target="https://sbrownlawyer.com/blog/page/4/?et_blog" TargetMode="External"/><Relationship Id="rId769" Type="http://schemas.openxmlformats.org/officeDocument/2006/relationships/hyperlink" Target="https://sbrownlawyer.com/drug-charges/Alternative-Outcomes-In-Drug-Cases" TargetMode="External"/><Relationship Id="rId526" Type="http://schemas.openxmlformats.org/officeDocument/2006/relationships/hyperlink" Target="https://sbrownlawyer.com/2022/08/17/when-the-adjuster-says-this-what-they-really-mean-is/" TargetMode="External"/><Relationship Id="rId768" Type="http://schemas.openxmlformats.org/officeDocument/2006/relationships/hyperlink" Target="https://sbrownlawyer.com/drug-charges/Drug-Distribution" TargetMode="External"/><Relationship Id="rId26" Type="http://schemas.openxmlformats.org/officeDocument/2006/relationships/hyperlink" Target="https://sbrownlawyer.com/Scott-M-Brown/" TargetMode="External"/><Relationship Id="rId25" Type="http://schemas.openxmlformats.org/officeDocument/2006/relationships/hyperlink" Target="https://sbrownlawyer.com/business-owner-divorce/" TargetMode="External"/><Relationship Id="rId28" Type="http://schemas.openxmlformats.org/officeDocument/2006/relationships/hyperlink" Target="https://sbrownlawyer.com/criminal-defense-videos/" TargetMode="External"/><Relationship Id="rId27" Type="http://schemas.openxmlformats.org/officeDocument/2006/relationships/hyperlink" Target="https://sbrownlawyer.com/child-support/child-support-modifications/" TargetMode="External"/><Relationship Id="rId521" Type="http://schemas.openxmlformats.org/officeDocument/2006/relationships/hyperlink" Target="https://sbrownlawyer.com/property-division-during-divorce-does-not-have-to-destroy-a-business/" TargetMode="External"/><Relationship Id="rId763" Type="http://schemas.openxmlformats.org/officeDocument/2006/relationships/hyperlink" Target="https://sbrownlawyer.com/2019/10/15/married-couples-cannot-legally-separate-in-texas/" TargetMode="External"/><Relationship Id="rId1110" Type="http://schemas.openxmlformats.org/officeDocument/2006/relationships/hyperlink" Target="https://sbrownlawyer.com/page/26/" TargetMode="External"/><Relationship Id="rId29" Type="http://schemas.openxmlformats.org/officeDocument/2006/relationships/hyperlink" Target="https://sbrownlawyer.com/personal-injury-videos/" TargetMode="External"/><Relationship Id="rId520" Type="http://schemas.openxmlformats.org/officeDocument/2006/relationships/hyperlink" Target="https://sbrownlawyer.com/don-t-let-family-violence-allegations-affect-your-open-carry-rights/" TargetMode="External"/><Relationship Id="rId762" Type="http://schemas.openxmlformats.org/officeDocument/2006/relationships/hyperlink" Target="https://sbrownlawyer.com/2019/12/17/how-to-get-your-license-back-after-a-dwi/" TargetMode="External"/><Relationship Id="rId1111" Type="http://schemas.openxmlformats.org/officeDocument/2006/relationships/hyperlink" Target="https://sbrownlawyer.com/page/27/" TargetMode="External"/><Relationship Id="rId761" Type="http://schemas.openxmlformats.org/officeDocument/2006/relationships/hyperlink" Target="https://sbrownlawyer.com/2019/11/25/how-to-create-a-parenting-plan-that-works-for-both-parties/" TargetMode="External"/><Relationship Id="rId1112" Type="http://schemas.openxmlformats.org/officeDocument/2006/relationships/hyperlink" Target="https://sbrownlawyer.com/blog/page/28/?et_blog" TargetMode="External"/><Relationship Id="rId760" Type="http://schemas.openxmlformats.org/officeDocument/2006/relationships/hyperlink" Target="https://sbrownlawyer.com/2021/11/17/6-common-questions-about-child-custody/" TargetMode="External"/><Relationship Id="rId1113" Type="http://schemas.openxmlformats.org/officeDocument/2006/relationships/hyperlink" Target="https://sbrownlawyer.com/blog/page/29/?et_blog" TargetMode="External"/><Relationship Id="rId1103" Type="http://schemas.openxmlformats.org/officeDocument/2006/relationships/hyperlink" Target="https://sbrownlawyer.com/blog/page/24/?et_blog" TargetMode="External"/><Relationship Id="rId1104" Type="http://schemas.openxmlformats.org/officeDocument/2006/relationships/hyperlink" Target="https://sbrownlawyer.com/page/23/" TargetMode="External"/><Relationship Id="rId1105" Type="http://schemas.openxmlformats.org/officeDocument/2006/relationships/hyperlink" Target="https://sbrownlawyer.com/blog/page/25/?et_blog" TargetMode="External"/><Relationship Id="rId1106" Type="http://schemas.openxmlformats.org/officeDocument/2006/relationships/hyperlink" Target="https://sbrownlawyer.com/page/24/" TargetMode="External"/><Relationship Id="rId11" Type="http://schemas.openxmlformats.org/officeDocument/2006/relationships/hyperlink" Target="https://sbrownlawyer.com/blog/" TargetMode="External"/><Relationship Id="rId1107" Type="http://schemas.openxmlformats.org/officeDocument/2006/relationships/hyperlink" Target="https://sbrownlawyer.com/blog/page/26/?et_blog" TargetMode="External"/><Relationship Id="rId10" Type="http://schemas.openxmlformats.org/officeDocument/2006/relationships/hyperlink" Target="https://sbrownlawyer.com/prenuptial-agreements/" TargetMode="External"/><Relationship Id="rId1108" Type="http://schemas.openxmlformats.org/officeDocument/2006/relationships/hyperlink" Target="https://sbrownlawyer.com/page/25/" TargetMode="External"/><Relationship Id="rId13" Type="http://schemas.openxmlformats.org/officeDocument/2006/relationships/hyperlink" Target="https://sbrownlawyer.com/2024/07/08/open-vs-closed-aoption-angleton-texas/" TargetMode="External"/><Relationship Id="rId1109" Type="http://schemas.openxmlformats.org/officeDocument/2006/relationships/hyperlink" Target="https://sbrownlawyer.com/blog/page/27/?et_blog" TargetMode="External"/><Relationship Id="rId12" Type="http://schemas.openxmlformats.org/officeDocument/2006/relationships/hyperlink" Target="https://sbrownlawyer.com/protective-services/" TargetMode="External"/><Relationship Id="rId519" Type="http://schemas.openxmlformats.org/officeDocument/2006/relationships/hyperlink" Target="https://sbrownlawyer.com/Visitation" TargetMode="External"/><Relationship Id="rId514" Type="http://schemas.openxmlformats.org/officeDocument/2006/relationships/hyperlink" Target="https://sbrownlawyer.com/Child-Support/" TargetMode="External"/><Relationship Id="rId756" Type="http://schemas.openxmlformats.org/officeDocument/2006/relationships/hyperlink" Target="https://sbrownlawyer.com/blog/page/6/?et_blog" TargetMode="External"/><Relationship Id="rId998" Type="http://schemas.openxmlformats.org/officeDocument/2006/relationships/hyperlink" Target="https://sbrownlawyer.com/2013/01/07/texas-military-members-may-feel-helpless-during-divorce/" TargetMode="External"/><Relationship Id="rId513" Type="http://schemas.openxmlformats.org/officeDocument/2006/relationships/hyperlink" Target="https://sbrownlawyer.com/how-to-know-if-your-spouse-is-hiding-marital-property-and-assets/" TargetMode="External"/><Relationship Id="rId755" Type="http://schemas.openxmlformats.org/officeDocument/2006/relationships/hyperlink" Target="https://sbrownlawyer.com/2019/02/15/how-can-social-media-affect-divorce/" TargetMode="External"/><Relationship Id="rId997" Type="http://schemas.openxmlformats.org/officeDocument/2006/relationships/hyperlink" Target="https://sbrownlawyer.com/friendswood-motorcycle-accidents/" TargetMode="External"/><Relationship Id="rId512" Type="http://schemas.openxmlformats.org/officeDocument/2006/relationships/hyperlink" Target="https://sbrownlawyer.com/the-unique-aspects-of-alimony-spousal-maintenance-in-texas/" TargetMode="External"/><Relationship Id="rId754" Type="http://schemas.openxmlformats.org/officeDocument/2006/relationships/hyperlink" Target="https://sbrownlawyer.com/2020/02/11/how-to-find-a-family-lawyer-divorce-and-child-custody/" TargetMode="External"/><Relationship Id="rId996" Type="http://schemas.openxmlformats.org/officeDocument/2006/relationships/hyperlink" Target="https://sbrownlawyer.com/2019/06/01/spousal-maintenance-in-texas-everything-you-need-to-know/" TargetMode="External"/><Relationship Id="rId511" Type="http://schemas.openxmlformats.org/officeDocument/2006/relationships/hyperlink" Target="https://sbrownlawyer.com/how-divorce-can-actually-benefit-children/" TargetMode="External"/><Relationship Id="rId753" Type="http://schemas.openxmlformats.org/officeDocument/2006/relationships/hyperlink" Target="https://sbrownlawyer.com/2019/12/30/can-pedestrian-detection-systems-be-trusted/" TargetMode="External"/><Relationship Id="rId995" Type="http://schemas.openxmlformats.org/officeDocument/2006/relationships/hyperlink" Target="https://sbrownlawyer.com/2015/03/26/texas-bill-1812-would-fund-marys-law-enforcement/" TargetMode="External"/><Relationship Id="rId518" Type="http://schemas.openxmlformats.org/officeDocument/2006/relationships/hyperlink" Target="https://sbrownlawyer.com/when-alcohol-becomes-a-factor-in-divorce-proceedings/" TargetMode="External"/><Relationship Id="rId517" Type="http://schemas.openxmlformats.org/officeDocument/2006/relationships/hyperlink" Target="https://sbrownlawyer.com/Planning-For-Divorce" TargetMode="External"/><Relationship Id="rId759" Type="http://schemas.openxmlformats.org/officeDocument/2006/relationships/hyperlink" Target="https://sbrownlawyer.com/page/5/" TargetMode="External"/><Relationship Id="rId516" Type="http://schemas.openxmlformats.org/officeDocument/2006/relationships/hyperlink" Target="https://sbrownlawyer.com/financial-steps-to-take-before-filing-for-divorce/" TargetMode="External"/><Relationship Id="rId758" Type="http://schemas.openxmlformats.org/officeDocument/2006/relationships/hyperlink" Target="https://sbrownlawyer.com/2021/11/17/divorce-and-child-custody/" TargetMode="External"/><Relationship Id="rId515" Type="http://schemas.openxmlformats.org/officeDocument/2006/relationships/hyperlink" Target="https://sbrownlawyer.com/2015/12/18/spousal-support-and-pet-custody-issues-stall-celebrity-divorce/" TargetMode="External"/><Relationship Id="rId757" Type="http://schemas.openxmlformats.org/officeDocument/2006/relationships/hyperlink" Target="https://sbrownlawyer.com/2019/01/01/how-to-prepare-for-your-mediation/" TargetMode="External"/><Relationship Id="rId999" Type="http://schemas.openxmlformats.org/officeDocument/2006/relationships/hyperlink" Target="https://sbrownlawyer.com/blog/page/11/?et_blog" TargetMode="External"/><Relationship Id="rId15" Type="http://schemas.openxmlformats.org/officeDocument/2006/relationships/hyperlink" Target="https://sbrownlawyer.com/divorce/" TargetMode="External"/><Relationship Id="rId990" Type="http://schemas.openxmlformats.org/officeDocument/2006/relationships/hyperlink" Target="https://sbrownlawyer.com/criminal-defense-handcuffs/" TargetMode="External"/><Relationship Id="rId14" Type="http://schemas.openxmlformats.org/officeDocument/2006/relationships/hyperlink" Target="https://sbrownlawyer.com/immigration/" TargetMode="External"/><Relationship Id="rId17" Type="http://schemas.openxmlformats.org/officeDocument/2006/relationships/hyperlink" Target="https://sbrownlawyer.com/privacy-policy" TargetMode="External"/><Relationship Id="rId16" Type="http://schemas.openxmlformats.org/officeDocument/2006/relationships/hyperlink" Target="https://sbrownlawyer.com/lgbtq-divorce/" TargetMode="External"/><Relationship Id="rId19" Type="http://schemas.openxmlformats.org/officeDocument/2006/relationships/hyperlink" Target="https://sbrownlawyer.com/disclaimer/" TargetMode="External"/><Relationship Id="rId510" Type="http://schemas.openxmlformats.org/officeDocument/2006/relationships/hyperlink" Target="https://sbrownlawyer.com/Guiding-Your-Children-Through-Divorce" TargetMode="External"/><Relationship Id="rId752" Type="http://schemas.openxmlformats.org/officeDocument/2006/relationships/hyperlink" Target="https://sbrownlawyer.com/2019/03/08/do-stepparents-ever-have-rights-in-a-divorce/" TargetMode="External"/><Relationship Id="rId994" Type="http://schemas.openxmlformats.org/officeDocument/2006/relationships/hyperlink" Target="https://sbrownlawyer.com/2014/10/24/domestic-violence-requires-swift-action-to-keep-you-protected/" TargetMode="External"/><Relationship Id="rId18" Type="http://schemas.openxmlformats.org/officeDocument/2006/relationships/hyperlink" Target="https://sbrownlawyer.com/adoption/" TargetMode="External"/><Relationship Id="rId751" Type="http://schemas.openxmlformats.org/officeDocument/2006/relationships/hyperlink" Target="https://sbrownlawyer.com/2018/12/05/does-a-domestic-violence-charge-affect-my-joint-custody-order/" TargetMode="External"/><Relationship Id="rId993" Type="http://schemas.openxmlformats.org/officeDocument/2006/relationships/hyperlink" Target="https://sbrownlawyer.com/2017/03/01/how-are-retirement-accounts-handled-in-divorce/" TargetMode="External"/><Relationship Id="rId1100" Type="http://schemas.openxmlformats.org/officeDocument/2006/relationships/hyperlink" Target="https://sbrownlawyer.com/page/21/" TargetMode="External"/><Relationship Id="rId750" Type="http://schemas.openxmlformats.org/officeDocument/2006/relationships/hyperlink" Target="https://sbrownlawyer.com/2020/03/20/finding-a-dwi-attorney-what-you-need-to-know/" TargetMode="External"/><Relationship Id="rId992" Type="http://schemas.openxmlformats.org/officeDocument/2006/relationships/hyperlink" Target="https://sbrownlawyer.com/2017/03/attorneys" TargetMode="External"/><Relationship Id="rId1101" Type="http://schemas.openxmlformats.org/officeDocument/2006/relationships/hyperlink" Target="https://sbrownlawyer.com/blog/page/23/?et_blog" TargetMode="External"/><Relationship Id="rId991" Type="http://schemas.openxmlformats.org/officeDocument/2006/relationships/hyperlink" Target="https://sbrownlawyer.com/blog/2017/03/a-court-date-is-not-one-you-want-to-miss" TargetMode="External"/><Relationship Id="rId1102" Type="http://schemas.openxmlformats.org/officeDocument/2006/relationships/hyperlink" Target="https://sbrownlawyer.com/page/22/" TargetMode="External"/><Relationship Id="rId84" Type="http://schemas.openxmlformats.org/officeDocument/2006/relationships/hyperlink" Target="https://sbrownlawyer.com/foot-injury/" TargetMode="External"/><Relationship Id="rId83" Type="http://schemas.openxmlformats.org/officeDocument/2006/relationships/hyperlink" Target="https://sbrownlawyer.com/vehicular-accidents/" TargetMode="External"/><Relationship Id="rId86" Type="http://schemas.openxmlformats.org/officeDocument/2006/relationships/hyperlink" Target="https://sbrownlawyer.com/face-injury/" TargetMode="External"/><Relationship Id="rId85" Type="http://schemas.openxmlformats.org/officeDocument/2006/relationships/hyperlink" Target="https://sbrownlawyer.com/grand-theft/" TargetMode="External"/><Relationship Id="rId88" Type="http://schemas.openxmlformats.org/officeDocument/2006/relationships/hyperlink" Target="https://sbrownlawyer.com/title-ix-defense-campus-sexual-assault/" TargetMode="External"/><Relationship Id="rId87" Type="http://schemas.openxmlformats.org/officeDocument/2006/relationships/hyperlink" Target="https://sbrownlawyer.com/child-sex-offenses/" TargetMode="External"/><Relationship Id="rId89" Type="http://schemas.openxmlformats.org/officeDocument/2006/relationships/hyperlink" Target="https://sbrownlawyer.com/areas-we-serve/brazoria-county/alvin/" TargetMode="External"/><Relationship Id="rId709" Type="http://schemas.openxmlformats.org/officeDocument/2006/relationships/hyperlink" Target="https://sbrownlawyer.com/2017/03/26/causes-of-fatal-traffic-accidents-in-texas/" TargetMode="External"/><Relationship Id="rId708" Type="http://schemas.openxmlformats.org/officeDocument/2006/relationships/hyperlink" Target="https://sbrownlawyer.com/2017/12/01/texas-sb-179-aims-at-preventing-cyberbullying/" TargetMode="External"/><Relationship Id="rId707" Type="http://schemas.openxmlformats.org/officeDocument/2006/relationships/hyperlink" Target="https://sbrownlawyer.com/2017/04/25/resolving-a-high-asset-divorce-with-a-family-law-attorney/" TargetMode="External"/><Relationship Id="rId949" Type="http://schemas.openxmlformats.org/officeDocument/2006/relationships/hyperlink" Target="https://sbrownlawyer.com/blog/criminal-defense/" TargetMode="External"/><Relationship Id="rId706" Type="http://schemas.openxmlformats.org/officeDocument/2006/relationships/hyperlink" Target="https://sbrownlawyer.com/2013/10/30/domestic-disturbance-leads-to-arrest-of-victoria-politician/" TargetMode="External"/><Relationship Id="rId948" Type="http://schemas.openxmlformats.org/officeDocument/2006/relationships/hyperlink" Target="https://sbrownlawyer.com/blog/2017/03/a-court-date-is-not-one-you-want-to-miss.shtml" TargetMode="External"/><Relationship Id="rId80" Type="http://schemas.openxmlformats.org/officeDocument/2006/relationships/hyperlink" Target="https://sbrownlawyer.com/aggravated-sexual-assault/" TargetMode="External"/><Relationship Id="rId82" Type="http://schemas.openxmlformats.org/officeDocument/2006/relationships/hyperlink" Target="https://sbrownlawyer.com/assault/" TargetMode="External"/><Relationship Id="rId81" Type="http://schemas.openxmlformats.org/officeDocument/2006/relationships/hyperlink" Target="https://sbrownlawyer.com/product-liability/" TargetMode="External"/><Relationship Id="rId701" Type="http://schemas.openxmlformats.org/officeDocument/2006/relationships/hyperlink" Target="https://sbrownlawyer.com/2016/02/12/is-there-a-way-to-avoid-monthly-alimony-payments/" TargetMode="External"/><Relationship Id="rId943" Type="http://schemas.openxmlformats.org/officeDocument/2006/relationships/hyperlink" Target="https://sbrownlawyer.com/juvenile-crimes/" TargetMode="External"/><Relationship Id="rId700" Type="http://schemas.openxmlformats.org/officeDocument/2006/relationships/hyperlink" Target="https://sbrownlawyer.com/Family-Law/Modifications" TargetMode="External"/><Relationship Id="rId942" Type="http://schemas.openxmlformats.org/officeDocument/2006/relationships/hyperlink" Target="https://sbrownlawyer.com/2018/08/15/how-does-military-deployment-affect-child-custody/" TargetMode="External"/><Relationship Id="rId941" Type="http://schemas.openxmlformats.org/officeDocument/2006/relationships/hyperlink" Target="https://sbrownlawyer.com/2012/divorce" TargetMode="External"/><Relationship Id="rId940" Type="http://schemas.openxmlformats.org/officeDocument/2006/relationships/hyperlink" Target="https://sbrownlawyer.com/2012/06/15/military-divorce-rates-continue-to-rise/" TargetMode="External"/><Relationship Id="rId705" Type="http://schemas.openxmlformats.org/officeDocument/2006/relationships/hyperlink" Target="https://sbrownlawyer.com/2015/Criminal-Law/Domestic-Violence/Child-Abuse" TargetMode="External"/><Relationship Id="rId947" Type="http://schemas.openxmlformats.org/officeDocument/2006/relationships/hyperlink" Target="https://sbrownlawyer.com/2017/03/03/a-court-date-is-not-one-you-want-to-miss/" TargetMode="External"/><Relationship Id="rId704" Type="http://schemas.openxmlformats.org/officeDocument/2006/relationships/hyperlink" Target="https://sbrownlawyer.com/2015/05/01/mother-who-took-daughter-to-concert-isnt-bad-parent/" TargetMode="External"/><Relationship Id="rId946" Type="http://schemas.openxmlformats.org/officeDocument/2006/relationships/hyperlink" Target="https://sbrownlawyer.com/Car-Accidents" TargetMode="External"/><Relationship Id="rId703" Type="http://schemas.openxmlformats.org/officeDocument/2006/relationships/hyperlink" Target="https://sbrownlawyer.com/Family-Law/Contact" TargetMode="External"/><Relationship Id="rId945" Type="http://schemas.openxmlformats.org/officeDocument/2006/relationships/hyperlink" Target="https://sbrownlawyer.com/2018/01/16/unregulated-child-custody-transfer-now-illegal/" TargetMode="External"/><Relationship Id="rId702" Type="http://schemas.openxmlformats.org/officeDocument/2006/relationships/hyperlink" Target="https://sbrownlawyer.com/Family-Law/Child-Protective-Services-CPS" TargetMode="External"/><Relationship Id="rId944" Type="http://schemas.openxmlformats.org/officeDocument/2006/relationships/hyperlink" Target="https://sbrownlawyer.com/2018/08/07/does-texas-have-some-of-the-worst-roads-and-dangerous-highways/" TargetMode="External"/><Relationship Id="rId73" Type="http://schemas.openxmlformats.org/officeDocument/2006/relationships/hyperlink" Target="https://sbrownlawyer.com/criminal-law/indecent-exposure/" TargetMode="External"/><Relationship Id="rId72" Type="http://schemas.openxmlformats.org/officeDocument/2006/relationships/hyperlink" Target="https://sbrownlawyer.com/head-injury/" TargetMode="External"/><Relationship Id="rId75" Type="http://schemas.openxmlformats.org/officeDocument/2006/relationships/hyperlink" Target="https://sbrownlawyer.com/uber-lyft-accidents/" TargetMode="External"/><Relationship Id="rId74" Type="http://schemas.openxmlformats.org/officeDocument/2006/relationships/hyperlink" Target="https://sbrownlawyer.com/truck-accident/" TargetMode="External"/><Relationship Id="rId77" Type="http://schemas.openxmlformats.org/officeDocument/2006/relationships/hyperlink" Target="https://sbrownlawyer.com/premises-liability/" TargetMode="External"/><Relationship Id="rId76" Type="http://schemas.openxmlformats.org/officeDocument/2006/relationships/hyperlink" Target="https://sbrownlawyer.com/rape-sexual-assault/" TargetMode="External"/><Relationship Id="rId79" Type="http://schemas.openxmlformats.org/officeDocument/2006/relationships/hyperlink" Target="https://sbrownlawyer.com/drug-crimes/" TargetMode="External"/><Relationship Id="rId78" Type="http://schemas.openxmlformats.org/officeDocument/2006/relationships/hyperlink" Target="https://sbrownlawyer.com/motorcycle-accident/" TargetMode="External"/><Relationship Id="rId939" Type="http://schemas.openxmlformats.org/officeDocument/2006/relationships/hyperlink" Target="https://sbrownlawyer.com/2014/06/13/muslim-women-dont-have-to-live-with-domestic-abuse/" TargetMode="External"/><Relationship Id="rId938" Type="http://schemas.openxmlformats.org/officeDocument/2006/relationships/hyperlink" Target="https://sbrownlawyer.com/2018/07/15/what-to-do-when-your-ex-disregards-the-settlement-agreement/" TargetMode="External"/><Relationship Id="rId937" Type="http://schemas.openxmlformats.org/officeDocument/2006/relationships/hyperlink" Target="https://sbrownlawyer.com/what-to-do-after-a-serious-car-accident/Car-Accidents" TargetMode="External"/><Relationship Id="rId71" Type="http://schemas.openxmlformats.org/officeDocument/2006/relationships/hyperlink" Target="https://sbrownlawyer.com/personal-injury-2/nonvehicle-liability-insurance/" TargetMode="External"/><Relationship Id="rId70" Type="http://schemas.openxmlformats.org/officeDocument/2006/relationships/hyperlink" Target="https://sbrownlawyer.com/traumatic-brain-injury/" TargetMode="External"/><Relationship Id="rId932" Type="http://schemas.openxmlformats.org/officeDocument/2006/relationships/hyperlink" Target="https://sbrownlawyer.com/2018/04/15/the-benefits-of-mediating-your-divorce-or-custody-case/" TargetMode="External"/><Relationship Id="rId931" Type="http://schemas.openxmlformats.org/officeDocument/2006/relationships/hyperlink" Target="https://sbrownlawyer.com/2018/03/19/what-constitutes-an-easy-divorce/" TargetMode="External"/><Relationship Id="rId930" Type="http://schemas.openxmlformats.org/officeDocument/2006/relationships/hyperlink" Target="https://sbrownlawyer.com/2015/07/20/alimony-payments-arent-guaranteed-in-a-texas-divorce/" TargetMode="External"/><Relationship Id="rId936" Type="http://schemas.openxmlformats.org/officeDocument/2006/relationships/hyperlink" Target="https://sbrownlawyer.com/types-of-compensation-in-a-personal-injury-case/" TargetMode="External"/><Relationship Id="rId935" Type="http://schemas.openxmlformats.org/officeDocument/2006/relationships/hyperlink" Target="https://sbrownlawyer.com/2013/07/09/continuing-to-wait-on-russian-child-adoption-ban-to-be-lifted/" TargetMode="External"/><Relationship Id="rId934" Type="http://schemas.openxmlformats.org/officeDocument/2006/relationships/hyperlink" Target="https://sbrownlawyer.com/2014/08/22/financial-considerations-during-a-divorce-in-texas/" TargetMode="External"/><Relationship Id="rId933" Type="http://schemas.openxmlformats.org/officeDocument/2006/relationships/hyperlink" Target="https://sbrownlawyer.com/2013/03/28/texas-jury-in-sanders-case-makes-child-custody-ruling/" TargetMode="External"/><Relationship Id="rId62" Type="http://schemas.openxmlformats.org/officeDocument/2006/relationships/hyperlink" Target="https://sbrownlawyer.com/doctor-divorce-videos/" TargetMode="External"/><Relationship Id="rId61" Type="http://schemas.openxmlformats.org/officeDocument/2006/relationships/hyperlink" Target="https://sbrownlawyer.com/2024/04/24/texas-alimony-am-i-entitled/" TargetMode="External"/><Relationship Id="rId64" Type="http://schemas.openxmlformats.org/officeDocument/2006/relationships/hyperlink" Target="https://sbrownlawyer.com/firm-overview/" TargetMode="External"/><Relationship Id="rId63" Type="http://schemas.openxmlformats.org/officeDocument/2006/relationships/hyperlink" Target="https://sbrownlawyer.com/divorce-book/" TargetMode="External"/><Relationship Id="rId66" Type="http://schemas.openxmlformats.org/officeDocument/2006/relationships/hyperlink" Target="https://sbrownlawyer.com/personal-injury-in-texas/boat-accidents/" TargetMode="External"/><Relationship Id="rId65" Type="http://schemas.openxmlformats.org/officeDocument/2006/relationships/hyperlink" Target="https://sbrownlawyer.com/postnuptial-agreements/" TargetMode="External"/><Relationship Id="rId68" Type="http://schemas.openxmlformats.org/officeDocument/2006/relationships/hyperlink" Target="https://sbrownlawyer.com/areas-we-serve/brazoria-county/clute/" TargetMode="External"/><Relationship Id="rId67" Type="http://schemas.openxmlformats.org/officeDocument/2006/relationships/hyperlink" Target="https://sbrownlawyer.com/areas-we-serve/brazoria-county/freeport/" TargetMode="External"/><Relationship Id="rId729" Type="http://schemas.openxmlformats.org/officeDocument/2006/relationships/hyperlink" Target="https://sbrownlawyer.com/2016/08/25/signs-that-a-spouse-is-hiding-assets/" TargetMode="External"/><Relationship Id="rId728" Type="http://schemas.openxmlformats.org/officeDocument/2006/relationships/hyperlink" Target="https://sbrownlawyer.com/2016/04/14/finances-are-an-important-aspect-of-gray-divorce/" TargetMode="External"/><Relationship Id="rId60" Type="http://schemas.openxmlformats.org/officeDocument/2006/relationships/hyperlink" Target="https://sbrownlawyer.com/texas/locations/" TargetMode="External"/><Relationship Id="rId723" Type="http://schemas.openxmlformats.org/officeDocument/2006/relationships/hyperlink" Target="https://sbrownlawyer.com/2013/04/18/grandparents-rights-in-texas-should-they-be-expanded/" TargetMode="External"/><Relationship Id="rId965" Type="http://schemas.openxmlformats.org/officeDocument/2006/relationships/hyperlink" Target="https://sbrownlawyer.com/2013/Family-Law/Adoption" TargetMode="External"/><Relationship Id="rId722" Type="http://schemas.openxmlformats.org/officeDocument/2006/relationships/hyperlink" Target="https://sbrownlawyer.com/2013/06/10/division-of-property-considerations-prior-to-marriage/" TargetMode="External"/><Relationship Id="rId964" Type="http://schemas.openxmlformats.org/officeDocument/2006/relationships/hyperlink" Target="https://sbrownlawyer.com/2018/07/09/2016-2017-reflect-steepest-increase-in-vehicle-fatalities-in-five-decades/" TargetMode="External"/><Relationship Id="rId721" Type="http://schemas.openxmlformats.org/officeDocument/2006/relationships/hyperlink" Target="https://sbrownlawyer.com/2014/08/01/texas-man-overpays-child-support-goes-to-jail/" TargetMode="External"/><Relationship Id="rId963" Type="http://schemas.openxmlformats.org/officeDocument/2006/relationships/hyperlink" Target="https://sbrownlawyer.com/2012/06/22/international-divorce-child-support-treaty-approved-by-house/" TargetMode="External"/><Relationship Id="rId720" Type="http://schemas.openxmlformats.org/officeDocument/2006/relationships/hyperlink" Target="https://sbrownlawyer.com/2019/01/08/does-cheating-affect-spousal-support/" TargetMode="External"/><Relationship Id="rId962" Type="http://schemas.openxmlformats.org/officeDocument/2006/relationships/hyperlink" Target="https://sbrownlawyer.com/2014/06/06/killeen-gets-child-support-office-with-6-employees/" TargetMode="External"/><Relationship Id="rId727" Type="http://schemas.openxmlformats.org/officeDocument/2006/relationships/hyperlink" Target="https://sbrownlawyer.com/2018/03/30/common-shared-parenting-myths/" TargetMode="External"/><Relationship Id="rId969" Type="http://schemas.openxmlformats.org/officeDocument/2006/relationships/hyperlink" Target="https://sbrownlawyer.com/2018/04/17/statutory-rape-age-of-consent-in-texas-how-old-is-too-old/" TargetMode="External"/><Relationship Id="rId726" Type="http://schemas.openxmlformats.org/officeDocument/2006/relationships/hyperlink" Target="https://sbrownlawyer.com/2016/08/04/postnuptial-agreements-in-texas/" TargetMode="External"/><Relationship Id="rId968" Type="http://schemas.openxmlformats.org/officeDocument/2006/relationships/hyperlink" Target="https://sbrownlawyer.com/types-of-compensation-in-a-personal-injury-case/Wrongful-Death" TargetMode="External"/><Relationship Id="rId725" Type="http://schemas.openxmlformats.org/officeDocument/2006/relationships/hyperlink" Target="https://sbrownlawyer.com/2012/03/23/dennis-quaid-and-his-third-wife-move-toward-divorce/" TargetMode="External"/><Relationship Id="rId967" Type="http://schemas.openxmlformats.org/officeDocument/2006/relationships/hyperlink" Target="https://sbrownlawyer.com/2013/03/20/texas-learns-of-former-doctor-divorce-and-money-questions/" TargetMode="External"/><Relationship Id="rId724" Type="http://schemas.openxmlformats.org/officeDocument/2006/relationships/hyperlink" Target="https://sbrownlawyer.com/2018/04/02/april-is-distracted-driving-awareness-month-stay-focused-on-the-road/" TargetMode="External"/><Relationship Id="rId966" Type="http://schemas.openxmlformats.org/officeDocument/2006/relationships/hyperlink" Target="https://sbrownlawyer.com/2014/08/29/professional-footballers-learn-of-harsh-domestic-violence-policy/" TargetMode="External"/><Relationship Id="rId69" Type="http://schemas.openxmlformats.org/officeDocument/2006/relationships/hyperlink" Target="https://sbrownlawyer.com/areas-we-serve/brazoria-county/lake-jackson/" TargetMode="External"/><Relationship Id="rId961" Type="http://schemas.openxmlformats.org/officeDocument/2006/relationships/hyperlink" Target="https://sbrownlawyer.com/2018/08/14/how-do-you-prove-fault-in-a-slip-and-fall-accident/" TargetMode="External"/><Relationship Id="rId960" Type="http://schemas.openxmlformats.org/officeDocument/2006/relationships/hyperlink" Target="https://sbrownlawyer.com/personal-injury/Car-Accidents" TargetMode="External"/><Relationship Id="rId51" Type="http://schemas.openxmlformats.org/officeDocument/2006/relationships/hyperlink" Target="https://sbrownlawyer.com/privacy-policy/" TargetMode="External"/><Relationship Id="rId50" Type="http://schemas.openxmlformats.org/officeDocument/2006/relationships/hyperlink" Target="https://sbrownlawyer.com/divorce-modification/" TargetMode="External"/><Relationship Id="rId53" Type="http://schemas.openxmlformats.org/officeDocument/2006/relationships/hyperlink" Target="https://sbrownlawyer.com/immigration-videos/" TargetMode="External"/><Relationship Id="rId52" Type="http://schemas.openxmlformats.org/officeDocument/2006/relationships/hyperlink" Target="https://sbrownlawyer.com/asset-division/" TargetMode="External"/><Relationship Id="rId55" Type="http://schemas.openxmlformats.org/officeDocument/2006/relationships/hyperlink" Target="https://sbrownlawyer.com/high-net-worth-divorce/" TargetMode="External"/><Relationship Id="rId54" Type="http://schemas.openxmlformats.org/officeDocument/2006/relationships/hyperlink" Target="https://sbrownlawyer.com/client-video-testimonials/" TargetMode="External"/><Relationship Id="rId57" Type="http://schemas.openxmlformats.org/officeDocument/2006/relationships/hyperlink" Target="https://sbrownlawyer.com/family-law/visitation/" TargetMode="External"/><Relationship Id="rId56" Type="http://schemas.openxmlformats.org/officeDocument/2006/relationships/hyperlink" Target="https://sbrownlawyer.com/texas/locations/sugar-land/" TargetMode="External"/><Relationship Id="rId719" Type="http://schemas.openxmlformats.org/officeDocument/2006/relationships/hyperlink" Target="https://sbrownlawyer.com/2018/07/28/who-is-liable-for-crashes-that-occur-in-borrowed-vehicles/" TargetMode="External"/><Relationship Id="rId718" Type="http://schemas.openxmlformats.org/officeDocument/2006/relationships/hyperlink" Target="https://sbrownlawyer.com/2014/07/11/texas-man-jailed-over-child-support-cant-work-to-support-child/" TargetMode="External"/><Relationship Id="rId717" Type="http://schemas.openxmlformats.org/officeDocument/2006/relationships/hyperlink" Target="https://sbrownlawyer.com/2012/05/25/child-custody-hearing-lands-sanders-divorce-in-the-spotlight/" TargetMode="External"/><Relationship Id="rId959" Type="http://schemas.openxmlformats.org/officeDocument/2006/relationships/hyperlink" Target="https://sbrownlawyer.com/2018/08/07/fighting-back-against-allegations-of-white-collar-crime/" TargetMode="External"/><Relationship Id="rId712" Type="http://schemas.openxmlformats.org/officeDocument/2006/relationships/hyperlink" Target="https://sbrownlawyer.com/2018/09/01/what-is-a-prenuptial-agreement/" TargetMode="External"/><Relationship Id="rId954" Type="http://schemas.openxmlformats.org/officeDocument/2006/relationships/hyperlink" Target="https://sbrownlawyer.com/distracted-driving/" TargetMode="External"/><Relationship Id="rId711" Type="http://schemas.openxmlformats.org/officeDocument/2006/relationships/hyperlink" Target="https://sbrownlawyer.com/2018/09/18/can-you-refuse-a-dwi-breath-or-blood-test-in-a-dwi-stop-in-texas/" TargetMode="External"/><Relationship Id="rId953" Type="http://schemas.openxmlformats.org/officeDocument/2006/relationships/hyperlink" Target="https://sbrownlawyer.com/2013/01/25/texas-taxes-a-viable-reason-for-a-divorce-some-may-say-yes/" TargetMode="External"/><Relationship Id="rId710" Type="http://schemas.openxmlformats.org/officeDocument/2006/relationships/hyperlink" Target="https://sbrownlawyer.com/2018/01/01/understanding-the-best-interests-standard-in-custody-determinations/" TargetMode="External"/><Relationship Id="rId952" Type="http://schemas.openxmlformats.org/officeDocument/2006/relationships/hyperlink" Target="https://sbrownlawyer.com/2016/01/22/what-are-the-penalties-for-violating-a-protective-order/" TargetMode="External"/><Relationship Id="rId951" Type="http://schemas.openxmlformats.org/officeDocument/2006/relationships/hyperlink" Target="https://sbrownlawyer.com/2015/04/07/cookie-cutter-child-custody-agreements-arent-always-best/" TargetMode="External"/><Relationship Id="rId716" Type="http://schemas.openxmlformats.org/officeDocument/2006/relationships/hyperlink" Target="https://sbrownlawyer.com/2012/04/27/senator-looks-into-drug-testing-for-child-support-recipients/" TargetMode="External"/><Relationship Id="rId958" Type="http://schemas.openxmlformats.org/officeDocument/2006/relationships/hyperlink" Target="https://sbrownlawyer.com/2014/11/06/how-can-i-handle-a-parental-abduction-in-texas/" TargetMode="External"/><Relationship Id="rId715" Type="http://schemas.openxmlformats.org/officeDocument/2006/relationships/hyperlink" Target="https://sbrownlawyer.com/League%20City-tx-child-custody-visitation-lawyer/" TargetMode="External"/><Relationship Id="rId957" Type="http://schemas.openxmlformats.org/officeDocument/2006/relationships/hyperlink" Target="https://sbrownlawyer.com/Car-Accidents/" TargetMode="External"/><Relationship Id="rId714" Type="http://schemas.openxmlformats.org/officeDocument/2006/relationships/hyperlink" Target="https://sbrownlawyer.com/League%20City-tx-family-law-modifications-lawyer/" TargetMode="External"/><Relationship Id="rId956" Type="http://schemas.openxmlformats.org/officeDocument/2006/relationships/hyperlink" Target="https://sbrownlawyer.com/2017/11/15/the-danger-of-parental-alienation/" TargetMode="External"/><Relationship Id="rId713" Type="http://schemas.openxmlformats.org/officeDocument/2006/relationships/hyperlink" Target="https://sbrownlawyer.com/enforcing-child-support-orders/" TargetMode="External"/><Relationship Id="rId955" Type="http://schemas.openxmlformats.org/officeDocument/2006/relationships/hyperlink" Target="https://sbrownlawyer.com/2019/05/15/7-common-domestic-violence-defense-strategies/" TargetMode="External"/><Relationship Id="rId59" Type="http://schemas.openxmlformats.org/officeDocument/2006/relationships/hyperlink" Target="https://sbrownlawyer.com/2024/03/26/grandparent-custody-rights/" TargetMode="External"/><Relationship Id="rId58" Type="http://schemas.openxmlformats.org/officeDocument/2006/relationships/hyperlink" Target="https://sbrownlawyer.com/texas-family-law-attorney/" TargetMode="External"/><Relationship Id="rId950" Type="http://schemas.openxmlformats.org/officeDocument/2006/relationships/hyperlink" Target="https://sbrownlawyer.com/2017/02/23/after-an-underage-dwi-insurance-rates-can-skyrocket-what-can-you-do/" TargetMode="External"/><Relationship Id="rId590" Type="http://schemas.openxmlformats.org/officeDocument/2006/relationships/hyperlink" Target="https://sbrownlawyer.com/child-abuse/" TargetMode="External"/><Relationship Id="rId107" Type="http://schemas.openxmlformats.org/officeDocument/2006/relationships/hyperlink" Target="https://sbrownlawyer.com/obscenity/" TargetMode="External"/><Relationship Id="rId349" Type="http://schemas.openxmlformats.org/officeDocument/2006/relationships/hyperlink" Target="https://sbrownlawyer.com/league-city-aggravated-assault-lawyer/" TargetMode="External"/><Relationship Id="rId106" Type="http://schemas.openxmlformats.org/officeDocument/2006/relationships/hyperlink" Target="https://sbrownlawyer.com/public-indecency/" TargetMode="External"/><Relationship Id="rId348" Type="http://schemas.openxmlformats.org/officeDocument/2006/relationships/hyperlink" Target="https://sbrownlawyer.com/friendswood-truck-accidents/" TargetMode="External"/><Relationship Id="rId105" Type="http://schemas.openxmlformats.org/officeDocument/2006/relationships/hyperlink" Target="https://sbrownlawyer.com/brain-injury/" TargetMode="External"/><Relationship Id="rId347" Type="http://schemas.openxmlformats.org/officeDocument/2006/relationships/hyperlink" Target="https://sbrownlawyer.com/angleton-brain-injury-tbi/" TargetMode="External"/><Relationship Id="rId589" Type="http://schemas.openxmlformats.org/officeDocument/2006/relationships/hyperlink" Target="https://sbrownlawyer.com/League%20City-tx-theft-crimes/" TargetMode="External"/><Relationship Id="rId104" Type="http://schemas.openxmlformats.org/officeDocument/2006/relationships/hyperlink" Target="https://sbrownlawyer.com/misdemeanor/" TargetMode="External"/><Relationship Id="rId346" Type="http://schemas.openxmlformats.org/officeDocument/2006/relationships/hyperlink" Target="https://sbrownlawyer.com/2023/01/10/how-much-is-my-personal-injury-case-worth/" TargetMode="External"/><Relationship Id="rId588" Type="http://schemas.openxmlformats.org/officeDocument/2006/relationships/hyperlink" Target="https://sbrownlawyer.com/League%20City-juvenile-crimes-lawyer/" TargetMode="External"/><Relationship Id="rId109" Type="http://schemas.openxmlformats.org/officeDocument/2006/relationships/hyperlink" Target="https://sbrownlawyer.com/dog-bite-injuries/" TargetMode="External"/><Relationship Id="rId108" Type="http://schemas.openxmlformats.org/officeDocument/2006/relationships/hyperlink" Target="https://sbrownlawyer.com/expungement/" TargetMode="External"/><Relationship Id="rId341" Type="http://schemas.openxmlformats.org/officeDocument/2006/relationships/hyperlink" Target="https://sbrownlawyer.com/dwi/" TargetMode="External"/><Relationship Id="rId583" Type="http://schemas.openxmlformats.org/officeDocument/2006/relationships/hyperlink" Target="https://sbrownlawyer.com/theft-and-shoplifting/" TargetMode="External"/><Relationship Id="rId340" Type="http://schemas.openxmlformats.org/officeDocument/2006/relationships/hyperlink" Target="https://sbrownlawyer.com/2017/08/17/4-reasons-an-experienced-dwi-lawyer-is-essential/" TargetMode="External"/><Relationship Id="rId582" Type="http://schemas.openxmlformats.org/officeDocument/2006/relationships/hyperlink" Target="https://sbrownlawyer.com/2016/11/03/becoming-a-great-stepparent/" TargetMode="External"/><Relationship Id="rId581" Type="http://schemas.openxmlformats.org/officeDocument/2006/relationships/hyperlink" Target="https://sbrownlawyer.com/car-accidents/" TargetMode="External"/><Relationship Id="rId580" Type="http://schemas.openxmlformats.org/officeDocument/2006/relationships/hyperlink" Target="https://sbrownlawyer.com/motorcycle-accidents/" TargetMode="External"/><Relationship Id="rId103" Type="http://schemas.openxmlformats.org/officeDocument/2006/relationships/hyperlink" Target="https://sbrownlawyer.com/personal-injury-2/burn-injury/" TargetMode="External"/><Relationship Id="rId345" Type="http://schemas.openxmlformats.org/officeDocument/2006/relationships/hyperlink" Target="https://sbrownlawyer.com/Criminal-Law/" TargetMode="External"/><Relationship Id="rId587" Type="http://schemas.openxmlformats.org/officeDocument/2006/relationships/hyperlink" Target="https://sbrownlawyer.com/major-felonies/" TargetMode="External"/><Relationship Id="rId102" Type="http://schemas.openxmlformats.org/officeDocument/2006/relationships/hyperlink" Target="https://sbrownlawyer.com/internet-sex-crimes/" TargetMode="External"/><Relationship Id="rId344" Type="http://schemas.openxmlformats.org/officeDocument/2006/relationships/hyperlink" Target="https://sbrownlawyer.com/2017/09/01/how-should-divorce-child-support-and-custody-be-handled-for-parents-of-special-needs-children/" TargetMode="External"/><Relationship Id="rId586" Type="http://schemas.openxmlformats.org/officeDocument/2006/relationships/hyperlink" Target="https://sbrownlawyer.com/brazoria-county-dwi-lawyer/" TargetMode="External"/><Relationship Id="rId101" Type="http://schemas.openxmlformats.org/officeDocument/2006/relationships/hyperlink" Target="https://sbrownlawyer.com/paralysis/" TargetMode="External"/><Relationship Id="rId343" Type="http://schemas.openxmlformats.org/officeDocument/2006/relationships/hyperlink" Target="https://sbrownlawyer.com/Personal-Injury/" TargetMode="External"/><Relationship Id="rId585" Type="http://schemas.openxmlformats.org/officeDocument/2006/relationships/hyperlink" Target="https://sbrownlawyer.com/2016/12/30/considering-divorce-why-you-need-an-attorney/" TargetMode="External"/><Relationship Id="rId100" Type="http://schemas.openxmlformats.org/officeDocument/2006/relationships/hyperlink" Target="https://sbrownlawyer.com/consular-processing-pearland-lawyer/" TargetMode="External"/><Relationship Id="rId342" Type="http://schemas.openxmlformats.org/officeDocument/2006/relationships/hyperlink" Target="https://sbrownlawyer.com/child-protective-services-cps/" TargetMode="External"/><Relationship Id="rId584" Type="http://schemas.openxmlformats.org/officeDocument/2006/relationships/hyperlink" Target="https://sbrownlawyer.com/burglary/" TargetMode="External"/><Relationship Id="rId338" Type="http://schemas.openxmlformats.org/officeDocument/2006/relationships/hyperlink" Target="https://sbrownlawyer.com/Retirement-Accounts/" TargetMode="External"/><Relationship Id="rId337" Type="http://schemas.openxmlformats.org/officeDocument/2006/relationships/hyperlink" Target="https://sbrownlawyer.com/Asset-Division/" TargetMode="External"/><Relationship Id="rId579" Type="http://schemas.openxmlformats.org/officeDocument/2006/relationships/hyperlink" Target="https://sbrownlawyer.com/league-city-drug-distribution-charges/" TargetMode="External"/><Relationship Id="rId336" Type="http://schemas.openxmlformats.org/officeDocument/2006/relationships/hyperlink" Target="https://sbrownlawyer.com/Family-Owned-Business-Protection/" TargetMode="External"/><Relationship Id="rId578" Type="http://schemas.openxmlformats.org/officeDocument/2006/relationships/hyperlink" Target="https://sbrownlawyer.com/League%20City-tx-drug-possession-defense/" TargetMode="External"/><Relationship Id="rId335" Type="http://schemas.openxmlformats.org/officeDocument/2006/relationships/hyperlink" Target="https://sbrownlawyer.com/Assets-And-Liability/" TargetMode="External"/><Relationship Id="rId577" Type="http://schemas.openxmlformats.org/officeDocument/2006/relationships/hyperlink" Target="https://sbrownlawyer.com/dwi-dui-accident/" TargetMode="External"/><Relationship Id="rId339" Type="http://schemas.openxmlformats.org/officeDocument/2006/relationships/hyperlink" Target="https://sbrownlawyer.com/Business-And-Professional-Practices-In-Divorce/" TargetMode="External"/><Relationship Id="rId330" Type="http://schemas.openxmlformats.org/officeDocument/2006/relationships/hyperlink" Target="https://sbrownlawyer.com/Grandparents-Rights/" TargetMode="External"/><Relationship Id="rId572" Type="http://schemas.openxmlformats.org/officeDocument/2006/relationships/hyperlink" Target="https://sbrownlawyer.com/field-sobriety-test/" TargetMode="External"/><Relationship Id="rId571" Type="http://schemas.openxmlformats.org/officeDocument/2006/relationships/hyperlink" Target="https://sbrownlawyer.com/visitation" TargetMode="External"/><Relationship Id="rId570" Type="http://schemas.openxmlformats.org/officeDocument/2006/relationships/hyperlink" Target="https://sbrownlawyer.com/2017/07/17/driving-under-the-influence-of-drugs-in-texas/" TargetMode="External"/><Relationship Id="rId334" Type="http://schemas.openxmlformats.org/officeDocument/2006/relationships/hyperlink" Target="https://sbrownlawyer.com/Hidden-Assets/" TargetMode="External"/><Relationship Id="rId576" Type="http://schemas.openxmlformats.org/officeDocument/2006/relationships/hyperlink" Target="https://sbrownlawyer.com/do-not-blow/" TargetMode="External"/><Relationship Id="rId333" Type="http://schemas.openxmlformats.org/officeDocument/2006/relationships/hyperlink" Target="https://sbrownlawyer.com/Oil-And-Mineral-Rights/" TargetMode="External"/><Relationship Id="rId575" Type="http://schemas.openxmlformats.org/officeDocument/2006/relationships/hyperlink" Target="https://sbrownlawyer.com/2017/10/01/5-things-to-know-if-a-teenager-is-arrested-for-a-dui/" TargetMode="External"/><Relationship Id="rId332" Type="http://schemas.openxmlformats.org/officeDocument/2006/relationships/hyperlink" Target="https://sbrownlawyer.com/Investment-Properties/" TargetMode="External"/><Relationship Id="rId574" Type="http://schemas.openxmlformats.org/officeDocument/2006/relationships/hyperlink" Target="https://sbrownlawyer.com/dwi-dui-drugs/" TargetMode="External"/><Relationship Id="rId331" Type="http://schemas.openxmlformats.org/officeDocument/2006/relationships/hyperlink" Target="https://sbrownlawyer.com/Homes-And-Real-Estate/" TargetMode="External"/><Relationship Id="rId573" Type="http://schemas.openxmlformats.org/officeDocument/2006/relationships/hyperlink" Target="https://sbrownlawyer.com/multiple-dwi-loss-of-license/" TargetMode="External"/><Relationship Id="rId370" Type="http://schemas.openxmlformats.org/officeDocument/2006/relationships/hyperlink" Target="https://sbrownlawyer.com/2023/01/25/private-property-police-search-in-texas/" TargetMode="External"/><Relationship Id="rId129" Type="http://schemas.openxmlformats.org/officeDocument/2006/relationships/hyperlink" Target="https://sbrownlawyer.com/Attorneys" TargetMode="External"/><Relationship Id="rId128" Type="http://schemas.openxmlformats.org/officeDocument/2006/relationships/hyperlink" Target="https://sbrownlawyer.com/2024/08/30/car-accidents/" TargetMode="External"/><Relationship Id="rId127" Type="http://schemas.openxmlformats.org/officeDocument/2006/relationships/hyperlink" Target="https://sbrownlawyer.com/areas-we-serve/galveston-county/dickinson/" TargetMode="External"/><Relationship Id="rId369" Type="http://schemas.openxmlformats.org/officeDocument/2006/relationships/hyperlink" Target="https://sbrownlawyer.com/blog/page/3/?et_blog" TargetMode="External"/><Relationship Id="rId126" Type="http://schemas.openxmlformats.org/officeDocument/2006/relationships/hyperlink" Target="https://sbrownlawyer.com/areas-we-serve/galveston-county/galveston/" TargetMode="External"/><Relationship Id="rId368" Type="http://schemas.openxmlformats.org/officeDocument/2006/relationships/hyperlink" Target="https://sbrownlawyer.com/2024/05/28/benefits-of-collaborative-divorce-in-texas/" TargetMode="External"/><Relationship Id="rId121" Type="http://schemas.openxmlformats.org/officeDocument/2006/relationships/hyperlink" Target="https://sbrownlawyer.com/pearland-probation-violations-lawyer/" TargetMode="External"/><Relationship Id="rId363" Type="http://schemas.openxmlformats.org/officeDocument/2006/relationships/hyperlink" Target="https://sbrownlawyer.com/league-city-juvenile-crimes-lawyer/" TargetMode="External"/><Relationship Id="rId120" Type="http://schemas.openxmlformats.org/officeDocument/2006/relationships/hyperlink" Target="https://sbrownlawyer.com/t-bone-accident/" TargetMode="External"/><Relationship Id="rId362" Type="http://schemas.openxmlformats.org/officeDocument/2006/relationships/hyperlink" Target="https://sbrownlawyer.com/2016/11/30/arrested-for-misdemeanor-shoplifting/" TargetMode="External"/><Relationship Id="rId361" Type="http://schemas.openxmlformats.org/officeDocument/2006/relationships/hyperlink" Target="https://sbrownlawyer.com/video-7/" TargetMode="External"/><Relationship Id="rId360" Type="http://schemas.openxmlformats.org/officeDocument/2006/relationships/hyperlink" Target="https://sbrownlawyer.com/personal-injury/tbi/" TargetMode="External"/><Relationship Id="rId125" Type="http://schemas.openxmlformats.org/officeDocument/2006/relationships/hyperlink" Target="https://sbrownlawyer.com/areas-we-serve/galveston-county/texas-city/" TargetMode="External"/><Relationship Id="rId367" Type="http://schemas.openxmlformats.org/officeDocument/2006/relationships/hyperlink" Target="https://sbrownlawyer.com/espanol/" TargetMode="External"/><Relationship Id="rId124" Type="http://schemas.openxmlformats.org/officeDocument/2006/relationships/hyperlink" Target="https://sbrownlawyer.com/areas-we-serve/galveston-county/friendswood/" TargetMode="External"/><Relationship Id="rId366" Type="http://schemas.openxmlformats.org/officeDocument/2006/relationships/hyperlink" Target="https://sbrownlawyer.com/pearland-naturalization-lawyer/" TargetMode="External"/><Relationship Id="rId123" Type="http://schemas.openxmlformats.org/officeDocument/2006/relationships/hyperlink" Target="https://sbrownlawyer.com/2022/08/12/job-opportunity-were-looking-for-an-associate-attorney/" TargetMode="External"/><Relationship Id="rId365" Type="http://schemas.openxmlformats.org/officeDocument/2006/relationships/hyperlink" Target="https://sbrownlawyer.com/schedule-now" TargetMode="External"/><Relationship Id="rId122" Type="http://schemas.openxmlformats.org/officeDocument/2006/relationships/hyperlink" Target="https://sbrownlawyer.com/2023/01/06/job-opportunity-senior-attorney/" TargetMode="External"/><Relationship Id="rId364" Type="http://schemas.openxmlformats.org/officeDocument/2006/relationships/hyperlink" Target="https://sbrownlawyer.com/2022/04/08/proving-fault-in-a-personal-injury-case-how-it-is-done-in-texas/" TargetMode="External"/><Relationship Id="rId95" Type="http://schemas.openxmlformats.org/officeDocument/2006/relationships/hyperlink" Target="https://sbrownlawyer.com/child-pornography/" TargetMode="External"/><Relationship Id="rId94" Type="http://schemas.openxmlformats.org/officeDocument/2006/relationships/hyperlink" Target="https://sbrownlawyer.com/what-is-dwi/" TargetMode="External"/><Relationship Id="rId97" Type="http://schemas.openxmlformats.org/officeDocument/2006/relationships/hyperlink" Target="https://sbrownlawyer.com/back-injury/" TargetMode="External"/><Relationship Id="rId96" Type="http://schemas.openxmlformats.org/officeDocument/2006/relationships/hyperlink" Target="https://sbrownlawyer.com/sex-crimes/sex-offender-registration/" TargetMode="External"/><Relationship Id="rId99" Type="http://schemas.openxmlformats.org/officeDocument/2006/relationships/hyperlink" Target="https://sbrownlawyer.com/domestic-violence-attorney/" TargetMode="External"/><Relationship Id="rId98" Type="http://schemas.openxmlformats.org/officeDocument/2006/relationships/hyperlink" Target="https://sbrownlawyer.com/slip-and-fall-accidents/" TargetMode="External"/><Relationship Id="rId91" Type="http://schemas.openxmlformats.org/officeDocument/2006/relationships/hyperlink" Target="https://sbrownlawyer.com/hiring-sexual-assault-defense-lawyer/" TargetMode="External"/><Relationship Id="rId90" Type="http://schemas.openxmlformats.org/officeDocument/2006/relationships/hyperlink" Target="https://sbrownlawyer.com/health-coverage-accident-claims/" TargetMode="External"/><Relationship Id="rId93" Type="http://schemas.openxmlformats.org/officeDocument/2006/relationships/hyperlink" Target="https://sbrownlawyer.com/date-rape/" TargetMode="External"/><Relationship Id="rId92" Type="http://schemas.openxmlformats.org/officeDocument/2006/relationships/hyperlink" Target="https://sbrownlawyer.com/steps-in-settling-your-claim-in-texas/" TargetMode="External"/><Relationship Id="rId118" Type="http://schemas.openxmlformats.org/officeDocument/2006/relationships/hyperlink" Target="https://sbrownlawyer.com/team-member-testimonials/" TargetMode="External"/><Relationship Id="rId117" Type="http://schemas.openxmlformats.org/officeDocument/2006/relationships/hyperlink" Target="https://sbrownlawyer.com/sex-crimes/texas-sex-crime-law/" TargetMode="External"/><Relationship Id="rId359" Type="http://schemas.openxmlformats.org/officeDocument/2006/relationships/hyperlink" Target="https://sbrownlawyer.com/personal-injury" TargetMode="External"/><Relationship Id="rId116" Type="http://schemas.openxmlformats.org/officeDocument/2006/relationships/hyperlink" Target="https://sbrownlawyer.com/spinal-cord-injury/" TargetMode="External"/><Relationship Id="rId358" Type="http://schemas.openxmlformats.org/officeDocument/2006/relationships/hyperlink" Target="https://sbrownlawyer.com/school-teacher-sexual-assault/" TargetMode="External"/><Relationship Id="rId115" Type="http://schemas.openxmlformats.org/officeDocument/2006/relationships/hyperlink" Target="https://sbrownlawyer.com/neck-injury/" TargetMode="External"/><Relationship Id="rId357" Type="http://schemas.openxmlformats.org/officeDocument/2006/relationships/hyperlink" Target="https://sbrownlawyer.com/pedestrian-accident/" TargetMode="External"/><Relationship Id="rId599" Type="http://schemas.openxmlformats.org/officeDocument/2006/relationships/hyperlink" Target="https://sbrownlawyer.com/2022/04/20/divorce-with-a-joint-business/" TargetMode="External"/><Relationship Id="rId119" Type="http://schemas.openxmlformats.org/officeDocument/2006/relationships/hyperlink" Target="https://sbrownlawyer.com/sexual-abuse/" TargetMode="External"/><Relationship Id="rId110" Type="http://schemas.openxmlformats.org/officeDocument/2006/relationships/hyperlink" Target="https://sbrownlawyer.com/sex-crimes/overview-of-sex-crime-defense/" TargetMode="External"/><Relationship Id="rId352" Type="http://schemas.openxmlformats.org/officeDocument/2006/relationships/hyperlink" Target="https://sbrownlawyer.com/webster-premises-liability/" TargetMode="External"/><Relationship Id="rId594" Type="http://schemas.openxmlformats.org/officeDocument/2006/relationships/hyperlink" Target="https://sbrownlawyer.com/drug-charges/" TargetMode="External"/><Relationship Id="rId351" Type="http://schemas.openxmlformats.org/officeDocument/2006/relationships/hyperlink" Target="https://sbrownlawyer.com/galveston-truck-accident-lawyer/" TargetMode="External"/><Relationship Id="rId593" Type="http://schemas.openxmlformats.org/officeDocument/2006/relationships/hyperlink" Target="https://sbrownlawyer.com/League%20City-tx-dwi-dui/" TargetMode="External"/><Relationship Id="rId350" Type="http://schemas.openxmlformats.org/officeDocument/2006/relationships/hyperlink" Target="https://sbrownlawyer.com/galveston-boating-and-ski-accident-lawyer/" TargetMode="External"/><Relationship Id="rId592" Type="http://schemas.openxmlformats.org/officeDocument/2006/relationships/hyperlink" Target="https://sbrownlawyer.com/white-collar-crimes/" TargetMode="External"/><Relationship Id="rId591" Type="http://schemas.openxmlformats.org/officeDocument/2006/relationships/hyperlink" Target="https://sbrownlawyer.com/violent-crimes/" TargetMode="External"/><Relationship Id="rId114" Type="http://schemas.openxmlformats.org/officeDocument/2006/relationships/hyperlink" Target="https://sbrownlawyer.com/pedestrian-accidents/" TargetMode="External"/><Relationship Id="rId356" Type="http://schemas.openxmlformats.org/officeDocument/2006/relationships/hyperlink" Target="https://sbrownlawyer.com/league-city-theft-crimes/" TargetMode="External"/><Relationship Id="rId598" Type="http://schemas.openxmlformats.org/officeDocument/2006/relationships/hyperlink" Target="https://sbrownlawyer.com/2022/06/10/should-i-hire-a-personal-injury-lawyer/" TargetMode="External"/><Relationship Id="rId113" Type="http://schemas.openxmlformats.org/officeDocument/2006/relationships/hyperlink" Target="https://sbrownlawyer.com/road-hazard/" TargetMode="External"/><Relationship Id="rId355" Type="http://schemas.openxmlformats.org/officeDocument/2006/relationships/hyperlink" Target="https://sbrownlawyer.com/league-city-tx-theft-crimes/" TargetMode="External"/><Relationship Id="rId597" Type="http://schemas.openxmlformats.org/officeDocument/2006/relationships/hyperlink" Target="https://sbrownlawyer.com/2019/12/02/challenging-a-prenup/" TargetMode="External"/><Relationship Id="rId112" Type="http://schemas.openxmlformats.org/officeDocument/2006/relationships/hyperlink" Target="https://sbrownlawyer.com/sex-crimes/" TargetMode="External"/><Relationship Id="rId354" Type="http://schemas.openxmlformats.org/officeDocument/2006/relationships/hyperlink" Target="https://sbrownlawyer.com/webster-motorcycle-accident-lawyer/" TargetMode="External"/><Relationship Id="rId596" Type="http://schemas.openxmlformats.org/officeDocument/2006/relationships/hyperlink" Target="https://sbrownlawyer.com/2019/10/28/what-does-it-mean-to-be-deemed-an-unfit-parent/" TargetMode="External"/><Relationship Id="rId111" Type="http://schemas.openxmlformats.org/officeDocument/2006/relationships/hyperlink" Target="https://sbrownlawyer.com/hit-and-run/" TargetMode="External"/><Relationship Id="rId353" Type="http://schemas.openxmlformats.org/officeDocument/2006/relationships/hyperlink" Target="https://sbrownlawyer.com/friendswood-tx-drug-charges/" TargetMode="External"/><Relationship Id="rId595" Type="http://schemas.openxmlformats.org/officeDocument/2006/relationships/hyperlink" Target="https://sbrownlawyer.com/federal-criminal-defense/" TargetMode="External"/><Relationship Id="rId1136" Type="http://schemas.openxmlformats.org/officeDocument/2006/relationships/hyperlink" Target="https://sbrownlawyer.com/page/39/" TargetMode="External"/><Relationship Id="rId1137" Type="http://schemas.openxmlformats.org/officeDocument/2006/relationships/hyperlink" Target="https://sbrownlawyer.com/blog/page/41/?et_blog" TargetMode="External"/><Relationship Id="rId1138" Type="http://schemas.openxmlformats.org/officeDocument/2006/relationships/hyperlink" Target="https://sbrownlawyer.com/page/40/" TargetMode="External"/><Relationship Id="rId1139" Type="http://schemas.openxmlformats.org/officeDocument/2006/relationships/hyperlink" Target="https://sbrownlawyer.com/blog/page/42/?et_blog" TargetMode="External"/><Relationship Id="rId305" Type="http://schemas.openxmlformats.org/officeDocument/2006/relationships/hyperlink" Target="https://sbrownlawyer.com/2015/06/05/child-custody-and-visitation-modifications-for-the-summer-months/" TargetMode="External"/><Relationship Id="rId547" Type="http://schemas.openxmlformats.org/officeDocument/2006/relationships/hyperlink" Target="https://sbrownlawyer.com/league-city-prescription-drug-charges/" TargetMode="External"/><Relationship Id="rId789" Type="http://schemas.openxmlformats.org/officeDocument/2006/relationships/hyperlink" Target="https://sbrownlawyer.com/2018/11/15/how-will-texas-divorces-be-different-in-2019/" TargetMode="External"/><Relationship Id="rId304" Type="http://schemas.openxmlformats.org/officeDocument/2006/relationships/hyperlink" Target="https://sbrownlawyer.com/top-military-divorce-lawyer-in-texas/" TargetMode="External"/><Relationship Id="rId546" Type="http://schemas.openxmlformats.org/officeDocument/2006/relationships/hyperlink" Target="https://sbrownlawyer.com/webster-drug-distribution-charges/" TargetMode="External"/><Relationship Id="rId788" Type="http://schemas.openxmlformats.org/officeDocument/2006/relationships/hyperlink" Target="https://sbrownlawyer.com/2019/11/15/divorce-difference-for-military-personnel/" TargetMode="External"/><Relationship Id="rId303" Type="http://schemas.openxmlformats.org/officeDocument/2006/relationships/hyperlink" Target="https://sbrownlawyer.com/2016/03/03/what-should-i-know-about-dividing-debts-in-divorce/" TargetMode="External"/><Relationship Id="rId545" Type="http://schemas.openxmlformats.org/officeDocument/2006/relationships/hyperlink" Target="https://sbrownlawyer.com/league-city-motorcycle-accident-lawyer/" TargetMode="External"/><Relationship Id="rId787" Type="http://schemas.openxmlformats.org/officeDocument/2006/relationships/hyperlink" Target="https://sbrownlawyer.com/Major-Felonies/" TargetMode="External"/><Relationship Id="rId302" Type="http://schemas.openxmlformats.org/officeDocument/2006/relationships/hyperlink" Target="https://sbrownlawyer.com/2016/03/18/rape-victims-face-complicated-child-custody-issues/" TargetMode="External"/><Relationship Id="rId544" Type="http://schemas.openxmlformats.org/officeDocument/2006/relationships/hyperlink" Target="https://sbrownlawyer.com/personal-injury-2/tbi/" TargetMode="External"/><Relationship Id="rId786" Type="http://schemas.openxmlformats.org/officeDocument/2006/relationships/hyperlink" Target="https://sbrownlawyer.com/drug-distribution/" TargetMode="External"/><Relationship Id="rId309" Type="http://schemas.openxmlformats.org/officeDocument/2006/relationships/hyperlink" Target="https://sbrownlawyer.com/league-city-tx-family-law-modifications-lawyer/" TargetMode="External"/><Relationship Id="rId308" Type="http://schemas.openxmlformats.org/officeDocument/2006/relationships/hyperlink" Target="https://sbrownlawyer.com/harris-county-modifications-of-orders-attorney/" TargetMode="External"/><Relationship Id="rId307" Type="http://schemas.openxmlformats.org/officeDocument/2006/relationships/hyperlink" Target="https://sbrownlawyer.com/child-support" TargetMode="External"/><Relationship Id="rId549" Type="http://schemas.openxmlformats.org/officeDocument/2006/relationships/hyperlink" Target="https://sbrownlawyer.com/truck-accidents/" TargetMode="External"/><Relationship Id="rId306" Type="http://schemas.openxmlformats.org/officeDocument/2006/relationships/hyperlink" Target="https://sbrownlawyer.com/2015/05/21/myths-about-custody-and-domestic-violence/" TargetMode="External"/><Relationship Id="rId548" Type="http://schemas.openxmlformats.org/officeDocument/2006/relationships/hyperlink" Target="https://sbrownlawyer.com/league-city-premises-liability/" TargetMode="External"/><Relationship Id="rId781" Type="http://schemas.openxmlformats.org/officeDocument/2006/relationships/hyperlink" Target="https://sbrownlawyer.com/drug-possession/" TargetMode="External"/><Relationship Id="rId780" Type="http://schemas.openxmlformats.org/officeDocument/2006/relationships/hyperlink" Target="https://sbrownlawyer.com/2016/10/25/tech-help-for-the-co-parent/" TargetMode="External"/><Relationship Id="rId1130" Type="http://schemas.openxmlformats.org/officeDocument/2006/relationships/hyperlink" Target="https://sbrownlawyer.com/page/36/" TargetMode="External"/><Relationship Id="rId1131" Type="http://schemas.openxmlformats.org/officeDocument/2006/relationships/hyperlink" Target="https://sbrownlawyer.com/blog/page/38/?et_blog" TargetMode="External"/><Relationship Id="rId301" Type="http://schemas.openxmlformats.org/officeDocument/2006/relationships/hyperlink" Target="https://sbrownlawyer.com/Child-Custody/" TargetMode="External"/><Relationship Id="rId543" Type="http://schemas.openxmlformats.org/officeDocument/2006/relationships/hyperlink" Target="https://sbrownlawyer.com/2016/11/15/staying-financially-secure-before-and-after-divorce/" TargetMode="External"/><Relationship Id="rId785" Type="http://schemas.openxmlformats.org/officeDocument/2006/relationships/hyperlink" Target="https://sbrownlawyer.com/White-Collar-Crimes/" TargetMode="External"/><Relationship Id="rId1132" Type="http://schemas.openxmlformats.org/officeDocument/2006/relationships/hyperlink" Target="https://sbrownlawyer.com/page/37/" TargetMode="External"/><Relationship Id="rId300" Type="http://schemas.openxmlformats.org/officeDocument/2006/relationships/hyperlink" Target="https://sbrownlawyer.com/2015/03/03/help-your-child-cope-with-child-custody-schedules-after-divorce/" TargetMode="External"/><Relationship Id="rId542" Type="http://schemas.openxmlformats.org/officeDocument/2006/relationships/hyperlink" Target="https://sbrownlawyer.com/theft-and-shoplifting/aggravated-burglary/" TargetMode="External"/><Relationship Id="rId784" Type="http://schemas.openxmlformats.org/officeDocument/2006/relationships/hyperlink" Target="https://sbrownlawyer.com/2017/01/10/dividing-some-community-assets-can-pose-challenges-during-divorce/" TargetMode="External"/><Relationship Id="rId1133" Type="http://schemas.openxmlformats.org/officeDocument/2006/relationships/hyperlink" Target="https://sbrownlawyer.com/blog/page/39/?et_blog" TargetMode="External"/><Relationship Id="rId541" Type="http://schemas.openxmlformats.org/officeDocument/2006/relationships/hyperlink" Target="https://sbrownlawyer.com/2016/12/16/a-dwi-arrest-does-not-always-lead-to-a-conviction/" TargetMode="External"/><Relationship Id="rId783" Type="http://schemas.openxmlformats.org/officeDocument/2006/relationships/hyperlink" Target="https://sbrownlawyer.com/alternative-outcomes-in-drug-cases/" TargetMode="External"/><Relationship Id="rId1134" Type="http://schemas.openxmlformats.org/officeDocument/2006/relationships/hyperlink" Target="https://sbrownlawyer.com/page/38/" TargetMode="External"/><Relationship Id="rId540" Type="http://schemas.openxmlformats.org/officeDocument/2006/relationships/hyperlink" Target="https://sbrownlawyer.com/2022/04/20/8-rules-to-protect-your-children-during-divorce/" TargetMode="External"/><Relationship Id="rId782" Type="http://schemas.openxmlformats.org/officeDocument/2006/relationships/hyperlink" Target="https://sbrownlawyer.com/assault-charges/" TargetMode="External"/><Relationship Id="rId1135" Type="http://schemas.openxmlformats.org/officeDocument/2006/relationships/hyperlink" Target="https://sbrownlawyer.com/blog/page/40/?et_blog" TargetMode="External"/><Relationship Id="rId1125" Type="http://schemas.openxmlformats.org/officeDocument/2006/relationships/hyperlink" Target="https://sbrownlawyer.com/blog/page/35/?et_blog" TargetMode="External"/><Relationship Id="rId1126" Type="http://schemas.openxmlformats.org/officeDocument/2006/relationships/hyperlink" Target="https://sbrownlawyer.com/page/34/" TargetMode="External"/><Relationship Id="rId1127" Type="http://schemas.openxmlformats.org/officeDocument/2006/relationships/hyperlink" Target="https://sbrownlawyer.com/blog/page/36/?et_blog" TargetMode="External"/><Relationship Id="rId1128" Type="http://schemas.openxmlformats.org/officeDocument/2006/relationships/hyperlink" Target="https://sbrownlawyer.com/page/35/" TargetMode="External"/><Relationship Id="rId1129" Type="http://schemas.openxmlformats.org/officeDocument/2006/relationships/hyperlink" Target="https://sbrownlawyer.com/blog/page/37/?et_blog" TargetMode="External"/><Relationship Id="rId536" Type="http://schemas.openxmlformats.org/officeDocument/2006/relationships/hyperlink" Target="https://sbrownlawyer.com/lesiones%20personales" TargetMode="External"/><Relationship Id="rId778" Type="http://schemas.openxmlformats.org/officeDocument/2006/relationships/hyperlink" Target="https://sbrownlawyer.com/2017/01/06/accused-of-domestic-violence-you-need-effective-representation/" TargetMode="External"/><Relationship Id="rId535" Type="http://schemas.openxmlformats.org/officeDocument/2006/relationships/hyperlink" Target="https://sbrownlawyer.com/2022/10/03/what-to-do-after-youre-arrested/" TargetMode="External"/><Relationship Id="rId777" Type="http://schemas.openxmlformats.org/officeDocument/2006/relationships/hyperlink" Target="https://sbrownlawyer.com/theft-and-shoplifting" TargetMode="External"/><Relationship Id="rId534" Type="http://schemas.openxmlformats.org/officeDocument/2006/relationships/hyperlink" Target="https://sbrownlawyer.com/league-city-tx-criminal-defense-lawyers/" TargetMode="External"/><Relationship Id="rId776" Type="http://schemas.openxmlformats.org/officeDocument/2006/relationships/hyperlink" Target="https://sbrownlawyer.com/theft-and-shoplifting/Burglary" TargetMode="External"/><Relationship Id="rId533" Type="http://schemas.openxmlformats.org/officeDocument/2006/relationships/hyperlink" Target="https://sbrownlawyer.com/2022/08/17/how-adjusters-use-medical-records-to-reduce-your-settlement/" TargetMode="External"/><Relationship Id="rId775" Type="http://schemas.openxmlformats.org/officeDocument/2006/relationships/hyperlink" Target="https://sbrownlawyer.com/drug-charges" TargetMode="External"/><Relationship Id="rId539" Type="http://schemas.openxmlformats.org/officeDocument/2006/relationships/hyperlink" Target="https://sbrownlawyer.com/2022/03/22/false-accusations-of-abuse/" TargetMode="External"/><Relationship Id="rId538" Type="http://schemas.openxmlformats.org/officeDocument/2006/relationships/hyperlink" Target="https://sbrownlawyer.com/blog" TargetMode="External"/><Relationship Id="rId537" Type="http://schemas.openxmlformats.org/officeDocument/2006/relationships/hyperlink" Target="https://sbrownlawyer.com/schedule-now-es" TargetMode="External"/><Relationship Id="rId779" Type="http://schemas.openxmlformats.org/officeDocument/2006/relationships/hyperlink" Target="https://sbrownlawyer.com/Domestic-Violence/" TargetMode="External"/><Relationship Id="rId770" Type="http://schemas.openxmlformats.org/officeDocument/2006/relationships/hyperlink" Target="https://sbrownlawyer.com/drug-charges/Drug-Possession" TargetMode="External"/><Relationship Id="rId1120" Type="http://schemas.openxmlformats.org/officeDocument/2006/relationships/hyperlink" Target="https://sbrownlawyer.com/blog/page/32/?et_blog" TargetMode="External"/><Relationship Id="rId532" Type="http://schemas.openxmlformats.org/officeDocument/2006/relationships/hyperlink" Target="https://sbrownlawyer.com/2022/10/03/can-my-spouse-prevent-me-from-getting-a-divorce-2/" TargetMode="External"/><Relationship Id="rId774" Type="http://schemas.openxmlformats.org/officeDocument/2006/relationships/hyperlink" Target="https://sbrownlawyer.com/Domestic-Violence" TargetMode="External"/><Relationship Id="rId1121" Type="http://schemas.openxmlformats.org/officeDocument/2006/relationships/hyperlink" Target="https://sbrownlawyer.com/blog/page/33/?et_blog" TargetMode="External"/><Relationship Id="rId531" Type="http://schemas.openxmlformats.org/officeDocument/2006/relationships/hyperlink" Target="https://sbrownlawyer.com/2022/09/28/can-my-spouse-prevent-me-from-getting-a-divorce/" TargetMode="External"/><Relationship Id="rId773" Type="http://schemas.openxmlformats.org/officeDocument/2006/relationships/hyperlink" Target="https://sbrownlawyer.com/violent-crimes/Assault-Charges" TargetMode="External"/><Relationship Id="rId1122" Type="http://schemas.openxmlformats.org/officeDocument/2006/relationships/hyperlink" Target="https://sbrownlawyer.com/page/32/" TargetMode="External"/><Relationship Id="rId530" Type="http://schemas.openxmlformats.org/officeDocument/2006/relationships/hyperlink" Target="https://sbrownlawyer.com/2022/10/03/what-to-do-if-pulled-over-by-police/" TargetMode="External"/><Relationship Id="rId772" Type="http://schemas.openxmlformats.org/officeDocument/2006/relationships/hyperlink" Target="https://sbrownlawyer.com/drug-charges/Prescription-Drug-Charges" TargetMode="External"/><Relationship Id="rId1123" Type="http://schemas.openxmlformats.org/officeDocument/2006/relationships/hyperlink" Target="https://sbrownlawyer.com/blog/page/34/?et_blog" TargetMode="External"/><Relationship Id="rId771" Type="http://schemas.openxmlformats.org/officeDocument/2006/relationships/hyperlink" Target="https://sbrownlawyer.com/league-city-tx-dwi-dui/" TargetMode="External"/><Relationship Id="rId1124" Type="http://schemas.openxmlformats.org/officeDocument/2006/relationships/hyperlink" Target="https://sbrownlawyer.com/page/33/" TargetMode="External"/><Relationship Id="rId1158" Type="http://schemas.openxmlformats.org/officeDocument/2006/relationships/drawing" Target="../drawings/drawing10.xml"/><Relationship Id="rId327" Type="http://schemas.openxmlformats.org/officeDocument/2006/relationships/hyperlink" Target="https://sbrownlawyer.com/abogado-de-naturalizacion-en-pearland/" TargetMode="External"/><Relationship Id="rId569" Type="http://schemas.openxmlformats.org/officeDocument/2006/relationships/hyperlink" Target="https://sbrownlawyer.com/Parental-Relocation/International-Custody" TargetMode="External"/><Relationship Id="rId326" Type="http://schemas.openxmlformats.org/officeDocument/2006/relationships/hyperlink" Target="https://sbrownlawyer.com/abogado-de-inmigracion-en-pearland/" TargetMode="External"/><Relationship Id="rId568" Type="http://schemas.openxmlformats.org/officeDocument/2006/relationships/hyperlink" Target="https://sbrownlawyer.com/Enforcement/Modifications" TargetMode="External"/><Relationship Id="rId325" Type="http://schemas.openxmlformats.org/officeDocument/2006/relationships/hyperlink" Target="https://sbrownlawyer.com/espanol/abogados-de-lesiones-personales/" TargetMode="External"/><Relationship Id="rId567" Type="http://schemas.openxmlformats.org/officeDocument/2006/relationships/hyperlink" Target="https://sbrownlawyer.com/2015/02/10/domestic-abuse-can-profoundly-impact-immigrants/" TargetMode="External"/><Relationship Id="rId324" Type="http://schemas.openxmlformats.org/officeDocument/2006/relationships/hyperlink" Target="https://sbrownlawyer.com/abogado-de-inmigracion-basada-en-empleo-en-pearland/" TargetMode="External"/><Relationship Id="rId566" Type="http://schemas.openxmlformats.org/officeDocument/2006/relationships/hyperlink" Target="https://sbrownlawyer.com/2015/01/29/property-division-considerations-include-a-variety-of-assets/" TargetMode="External"/><Relationship Id="rId329" Type="http://schemas.openxmlformats.org/officeDocument/2006/relationships/hyperlink" Target="https://sbrownlawyer.com/abogado-de-inmigracion-familiar-en-pearland-texas/" TargetMode="External"/><Relationship Id="rId328" Type="http://schemas.openxmlformats.org/officeDocument/2006/relationships/hyperlink" Target="https://sbrownlawyer.com/espanol/family-law/" TargetMode="External"/><Relationship Id="rId561" Type="http://schemas.openxmlformats.org/officeDocument/2006/relationships/hyperlink" Target="https://sbrownlawyer.com/schedule-now-es/" TargetMode="External"/><Relationship Id="rId1150" Type="http://schemas.openxmlformats.org/officeDocument/2006/relationships/hyperlink" Target="https://sbrownlawyer.com/page/46/" TargetMode="External"/><Relationship Id="rId560" Type="http://schemas.openxmlformats.org/officeDocument/2006/relationships/hyperlink" Target="https://sbrownlawyer.com/Homes-And-Real-Estate/Assets-And-Liability" TargetMode="External"/><Relationship Id="rId1151" Type="http://schemas.openxmlformats.org/officeDocument/2006/relationships/hyperlink" Target="https://sbrownlawyer.com/blog/page/48/?et_blog" TargetMode="External"/><Relationship Id="rId1152" Type="http://schemas.openxmlformats.org/officeDocument/2006/relationships/hyperlink" Target="https://sbrownlawyer.com/page/47/" TargetMode="External"/><Relationship Id="rId1153" Type="http://schemas.openxmlformats.org/officeDocument/2006/relationships/hyperlink" Target="https://sbrownlawyer.com/blog/page/49/?et_blog" TargetMode="External"/><Relationship Id="rId323" Type="http://schemas.openxmlformats.org/officeDocument/2006/relationships/hyperlink" Target="https://sbrownlawyer.com/espanol/defensa-criminal/" TargetMode="External"/><Relationship Id="rId565" Type="http://schemas.openxmlformats.org/officeDocument/2006/relationships/hyperlink" Target="https://sbrownlawyer.com/international-custody/" TargetMode="External"/><Relationship Id="rId1154" Type="http://schemas.openxmlformats.org/officeDocument/2006/relationships/hyperlink" Target="https://sbrownlawyer.com/page/48/" TargetMode="External"/><Relationship Id="rId322" Type="http://schemas.openxmlformats.org/officeDocument/2006/relationships/hyperlink" Target="https://sbrownlawyer.com/pearland-immigration-lawyer/" TargetMode="External"/><Relationship Id="rId564" Type="http://schemas.openxmlformats.org/officeDocument/2006/relationships/hyperlink" Target="https://sbrownlawyer.com/Parental-Relocation/" TargetMode="External"/><Relationship Id="rId1155" Type="http://schemas.openxmlformats.org/officeDocument/2006/relationships/hyperlink" Target="https://sbrownlawyer.com/blog/page/50/?et_blog" TargetMode="External"/><Relationship Id="rId321" Type="http://schemas.openxmlformats.org/officeDocument/2006/relationships/hyperlink" Target="https://sbrownlawyer.com/sex-crimes" TargetMode="External"/><Relationship Id="rId563" Type="http://schemas.openxmlformats.org/officeDocument/2006/relationships/hyperlink" Target="https://sbrownlawyer.com/Enforcement/" TargetMode="External"/><Relationship Id="rId1156" Type="http://schemas.openxmlformats.org/officeDocument/2006/relationships/hyperlink" Target="https://sbrownlawyer.com/page/49/" TargetMode="External"/><Relationship Id="rId320" Type="http://schemas.openxmlformats.org/officeDocument/2006/relationships/hyperlink" Target="https://sbrownlawyer.com/abogado-de-ajuste-de-estatus-en-pearland/" TargetMode="External"/><Relationship Id="rId562" Type="http://schemas.openxmlformats.org/officeDocument/2006/relationships/hyperlink" Target="https://sbrownlawyer.com/parental-alienation/" TargetMode="External"/><Relationship Id="rId1157" Type="http://schemas.openxmlformats.org/officeDocument/2006/relationships/hyperlink" Target="https://sbrownlawyer.com/page/50/" TargetMode="External"/><Relationship Id="rId1147" Type="http://schemas.openxmlformats.org/officeDocument/2006/relationships/hyperlink" Target="https://sbrownlawyer.com/page/45/" TargetMode="External"/><Relationship Id="rId1148" Type="http://schemas.openxmlformats.org/officeDocument/2006/relationships/hyperlink" Target="https://sbrownlawyer.com/blog/page/46/?et_blog" TargetMode="External"/><Relationship Id="rId1149" Type="http://schemas.openxmlformats.org/officeDocument/2006/relationships/hyperlink" Target="https://sbrownlawyer.com/blog/page/47/?et_blog" TargetMode="External"/><Relationship Id="rId316" Type="http://schemas.openxmlformats.org/officeDocument/2006/relationships/hyperlink" Target="https://sbrownlawyer.com/pearland-slip-and-fall-accident-lawyer/" TargetMode="External"/><Relationship Id="rId558" Type="http://schemas.openxmlformats.org/officeDocument/2006/relationships/hyperlink" Target="https://sbrownlawyer.com/2017/08/01/7-key-reasons-texas-may-shift-the-property-division-in-divorces-away-from-a-50-50-split/" TargetMode="External"/><Relationship Id="rId315" Type="http://schemas.openxmlformats.org/officeDocument/2006/relationships/hyperlink" Target="https://sbrownlawyer.com/Visitation/Parental-Alienation" TargetMode="External"/><Relationship Id="rId557" Type="http://schemas.openxmlformats.org/officeDocument/2006/relationships/hyperlink" Target="https://sbrownlawyer.com/dwi/DWI-DUI-Drugs" TargetMode="External"/><Relationship Id="rId799" Type="http://schemas.openxmlformats.org/officeDocument/2006/relationships/hyperlink" Target="https://sbrownlawyer.com/2020/03/02/enforcing-a-divorce-decree-everything-you-need-to-know/" TargetMode="External"/><Relationship Id="rId314" Type="http://schemas.openxmlformats.org/officeDocument/2006/relationships/hyperlink" Target="https://sbrownlawyer.com/Enforcement" TargetMode="External"/><Relationship Id="rId556" Type="http://schemas.openxmlformats.org/officeDocument/2006/relationships/hyperlink" Target="https://sbrownlawyer.com/dwi/Multiple-DWI-Loss-Of-License" TargetMode="External"/><Relationship Id="rId798" Type="http://schemas.openxmlformats.org/officeDocument/2006/relationships/hyperlink" Target="https://sbrownlawyer.com/2018/12/15/what-to-do-when-a-child-does-not-want-to-visit-the-other-parent/" TargetMode="External"/><Relationship Id="rId313" Type="http://schemas.openxmlformats.org/officeDocument/2006/relationships/hyperlink" Target="https://sbrownlawyer.com/Parental-Relocation" TargetMode="External"/><Relationship Id="rId555" Type="http://schemas.openxmlformats.org/officeDocument/2006/relationships/hyperlink" Target="https://sbrownlawyer.com/dwi/Field-Sobriety-Test" TargetMode="External"/><Relationship Id="rId797" Type="http://schemas.openxmlformats.org/officeDocument/2006/relationships/hyperlink" Target="https://sbrownlawyer.com/2018/12/01/6-tips-for-co-parenting-effectively/" TargetMode="External"/><Relationship Id="rId319" Type="http://schemas.openxmlformats.org/officeDocument/2006/relationships/hyperlink" Target="https://sbrownlawyer.com/abogado-de-procesamiento-consular-en-pearland/" TargetMode="External"/><Relationship Id="rId318" Type="http://schemas.openxmlformats.org/officeDocument/2006/relationships/hyperlink" Target="https://sbrownlawyer.com/criminal-law" TargetMode="External"/><Relationship Id="rId317" Type="http://schemas.openxmlformats.org/officeDocument/2006/relationships/hyperlink" Target="https://sbrownlawyer.com/texas/locations/pasadena/" TargetMode="External"/><Relationship Id="rId559" Type="http://schemas.openxmlformats.org/officeDocument/2006/relationships/hyperlink" Target="https://sbrownlawyer.com/Business-And-Professional-Practices-In-Divorce/Asset-Division" TargetMode="External"/><Relationship Id="rId550" Type="http://schemas.openxmlformats.org/officeDocument/2006/relationships/hyperlink" Target="https://sbrownlawyer.com/league-city-truck-accidents/" TargetMode="External"/><Relationship Id="rId792" Type="http://schemas.openxmlformats.org/officeDocument/2006/relationships/hyperlink" Target="https://sbrownlawyer.com/blog/page/7/?et_blog" TargetMode="External"/><Relationship Id="rId791" Type="http://schemas.openxmlformats.org/officeDocument/2006/relationships/hyperlink" Target="https://sbrownlawyer.com/page/6/" TargetMode="External"/><Relationship Id="rId1140" Type="http://schemas.openxmlformats.org/officeDocument/2006/relationships/hyperlink" Target="https://sbrownlawyer.com/page/41/" TargetMode="External"/><Relationship Id="rId790" Type="http://schemas.openxmlformats.org/officeDocument/2006/relationships/hyperlink" Target="https://sbrownlawyer.com/2021/09/10/is-it-wise-to-take-on-a-dwi-case-without-a-dwi-lawyer/" TargetMode="External"/><Relationship Id="rId1141" Type="http://schemas.openxmlformats.org/officeDocument/2006/relationships/hyperlink" Target="https://sbrownlawyer.com/blog/page/43/?et_blog" TargetMode="External"/><Relationship Id="rId1142" Type="http://schemas.openxmlformats.org/officeDocument/2006/relationships/hyperlink" Target="https://sbrownlawyer.com/page/42/" TargetMode="External"/><Relationship Id="rId312" Type="http://schemas.openxmlformats.org/officeDocument/2006/relationships/hyperlink" Target="https://sbrownlawyer.com/parental-relocation/International-Custody" TargetMode="External"/><Relationship Id="rId554" Type="http://schemas.openxmlformats.org/officeDocument/2006/relationships/hyperlink" Target="https://sbrownlawyer.com/dwi/DWI-DUI-Accident" TargetMode="External"/><Relationship Id="rId796" Type="http://schemas.openxmlformats.org/officeDocument/2006/relationships/hyperlink" Target="https://sbrownlawyer.com/what-are-the-dangers-of-representing-yourself-in-a-divorce/" TargetMode="External"/><Relationship Id="rId1143" Type="http://schemas.openxmlformats.org/officeDocument/2006/relationships/hyperlink" Target="https://sbrownlawyer.com/page/43/" TargetMode="External"/><Relationship Id="rId311" Type="http://schemas.openxmlformats.org/officeDocument/2006/relationships/hyperlink" Target="https://sbrownlawyer.com/2015/01/09/how-is-child-support-affected-by-parental-incarceration-in-texas/" TargetMode="External"/><Relationship Id="rId553" Type="http://schemas.openxmlformats.org/officeDocument/2006/relationships/hyperlink" Target="https://sbrownlawyer.com/dwi/Do-Not-Blow" TargetMode="External"/><Relationship Id="rId795" Type="http://schemas.openxmlformats.org/officeDocument/2006/relationships/hyperlink" Target="https://sbrownlawyer.com/2019/03/15/arrested-for-dwi-potential-police-errors-that-may-help-your-case/" TargetMode="External"/><Relationship Id="rId1144" Type="http://schemas.openxmlformats.org/officeDocument/2006/relationships/hyperlink" Target="https://sbrownlawyer.com/blog/page/44/?et_blog" TargetMode="External"/><Relationship Id="rId310" Type="http://schemas.openxmlformats.org/officeDocument/2006/relationships/hyperlink" Target="https://sbrownlawyer.com/2015/01/23/can-the-court-stop-destruction-of-marital-assets-in-a-divorce/" TargetMode="External"/><Relationship Id="rId552" Type="http://schemas.openxmlformats.org/officeDocument/2006/relationships/hyperlink" Target="https://sbrownlawyer.com/2017/09/15/how-can-an-interlock-ignition-device-help-if-a-dui-causes-a-license-suspension-in-texas/" TargetMode="External"/><Relationship Id="rId794" Type="http://schemas.openxmlformats.org/officeDocument/2006/relationships/hyperlink" Target="https://sbrownlawyer.com/2020/02/25/finding-a-criminal-defense-lawyer-dwi-what-you-need-to-know/" TargetMode="External"/><Relationship Id="rId1145" Type="http://schemas.openxmlformats.org/officeDocument/2006/relationships/hyperlink" Target="https://sbrownlawyer.com/blog/page/45/?et_blog" TargetMode="External"/><Relationship Id="rId551" Type="http://schemas.openxmlformats.org/officeDocument/2006/relationships/hyperlink" Target="https://sbrownlawyer.com/2023/01/10/should-i-talk-to-the-other-drivers-insurance-company/" TargetMode="External"/><Relationship Id="rId793" Type="http://schemas.openxmlformats.org/officeDocument/2006/relationships/hyperlink" Target="https://sbrownlawyer.com/2019/02/01/how-are-retirement-accounts-handled-in-a-divorce/" TargetMode="External"/><Relationship Id="rId1146" Type="http://schemas.openxmlformats.org/officeDocument/2006/relationships/hyperlink" Target="https://sbrownlawyer.com/page/44/" TargetMode="External"/><Relationship Id="rId297" Type="http://schemas.openxmlformats.org/officeDocument/2006/relationships/hyperlink" Target="https://sbrownlawyer.com/Family-Law/Child-Support" TargetMode="External"/><Relationship Id="rId296" Type="http://schemas.openxmlformats.org/officeDocument/2006/relationships/hyperlink" Target="https://sbrownlawyer.com/blog/child-support" TargetMode="External"/><Relationship Id="rId295" Type="http://schemas.openxmlformats.org/officeDocument/2006/relationships/hyperlink" Target="https://sbrownlawyer.com/2014/01/10/texas-man-jailed-even-after-paying-back-child-support/" TargetMode="External"/><Relationship Id="rId294" Type="http://schemas.openxmlformats.org/officeDocument/2006/relationships/hyperlink" Target="https://sbrownlawyer.com/2013/02/27/are-negative-communication-patterns-a-factor-in-texas-divorce/" TargetMode="External"/><Relationship Id="rId299" Type="http://schemas.openxmlformats.org/officeDocument/2006/relationships/hyperlink" Target="https://sbrownlawyer.com/2015/03/19/what-should-i-know-about-domestic-violence/" TargetMode="External"/><Relationship Id="rId298" Type="http://schemas.openxmlformats.org/officeDocument/2006/relationships/hyperlink" Target="https://sbrownlawyer.com/2013/12/25/victims-must-be-persistent-for-domestic-violence-charges-to-stick/" TargetMode="External"/><Relationship Id="rId271" Type="http://schemas.openxmlformats.org/officeDocument/2006/relationships/hyperlink" Target="https://sbrownlawyer.com/Retirement-Accounts" TargetMode="External"/><Relationship Id="rId270" Type="http://schemas.openxmlformats.org/officeDocument/2006/relationships/hyperlink" Target="https://sbrownlawyer.com/Business-And-Professional-Practices-In-Divorce" TargetMode="External"/><Relationship Id="rId269" Type="http://schemas.openxmlformats.org/officeDocument/2006/relationships/hyperlink" Target="https://sbrownlawyer.com/Family-Owned-Business-Protection" TargetMode="External"/><Relationship Id="rId264" Type="http://schemas.openxmlformats.org/officeDocument/2006/relationships/hyperlink" Target="https://sbrownlawyer.com/Oil-And-Mineral-Rights" TargetMode="External"/><Relationship Id="rId263" Type="http://schemas.openxmlformats.org/officeDocument/2006/relationships/hyperlink" Target="https://sbrownlawyer.com/Investment-Properties" TargetMode="External"/><Relationship Id="rId262" Type="http://schemas.openxmlformats.org/officeDocument/2006/relationships/hyperlink" Target="https://sbrownlawyer.com/Homes-And-Real-Estate" TargetMode="External"/><Relationship Id="rId261" Type="http://schemas.openxmlformats.org/officeDocument/2006/relationships/hyperlink" Target="https://sbrownlawyer.com/child-custody" TargetMode="External"/><Relationship Id="rId268" Type="http://schemas.openxmlformats.org/officeDocument/2006/relationships/hyperlink" Target="https://sbrownlawyer.com/Assets-And-Liability" TargetMode="External"/><Relationship Id="rId267" Type="http://schemas.openxmlformats.org/officeDocument/2006/relationships/hyperlink" Target="https://sbrownlawyer.com/Physician-Practices/" TargetMode="External"/><Relationship Id="rId266" Type="http://schemas.openxmlformats.org/officeDocument/2006/relationships/hyperlink" Target="https://sbrownlawyer.com/Hidden-Assets" TargetMode="External"/><Relationship Id="rId265" Type="http://schemas.openxmlformats.org/officeDocument/2006/relationships/hyperlink" Target="https://sbrownlawyer.com/Asset-Division" TargetMode="External"/><Relationship Id="rId260" Type="http://schemas.openxmlformats.org/officeDocument/2006/relationships/hyperlink" Target="https://sbrownlawyer.com/lourel-jones-iii/" TargetMode="External"/><Relationship Id="rId259" Type="http://schemas.openxmlformats.org/officeDocument/2006/relationships/hyperlink" Target="https://sbrownlawyer.com/terms-of-service/" TargetMode="External"/><Relationship Id="rId258" Type="http://schemas.openxmlformats.org/officeDocument/2006/relationships/hyperlink" Target="https://sbrownlawyer.com/league-city-grandparents-rights-lawyer/" TargetMode="External"/><Relationship Id="rId253" Type="http://schemas.openxmlformats.org/officeDocument/2006/relationships/hyperlink" Target="https://sbrownlawyer.com/james-j-hanley/" TargetMode="External"/><Relationship Id="rId495" Type="http://schemas.openxmlformats.org/officeDocument/2006/relationships/hyperlink" Target="https://sbrownlawyer.com/2012/09/17/could-cold-feet-be-a-sign-of-a-future-texas-divorce/" TargetMode="External"/><Relationship Id="rId252" Type="http://schemas.openxmlformats.org/officeDocument/2006/relationships/hyperlink" Target="https://sbrownlawyer.com/sexual-assault/" TargetMode="External"/><Relationship Id="rId494" Type="http://schemas.openxmlformats.org/officeDocument/2006/relationships/hyperlink" Target="https://sbrownlawyer.com/2014/02/07/a-change-in-child-custody-arrangements-could-be-on-the-horizon/" TargetMode="External"/><Relationship Id="rId251" Type="http://schemas.openxmlformats.org/officeDocument/2006/relationships/hyperlink" Target="https://sbrownlawyer.com/online-solicitation-of-a-minor/" TargetMode="External"/><Relationship Id="rId493" Type="http://schemas.openxmlformats.org/officeDocument/2006/relationships/hyperlink" Target="https://sbrownlawyer.com/2012/08/22/texas-divorce-may-require-introspection-and-reflection/" TargetMode="External"/><Relationship Id="rId250" Type="http://schemas.openxmlformats.org/officeDocument/2006/relationships/hyperlink" Target="https://sbrownlawyer.com/human-trafficking/" TargetMode="External"/><Relationship Id="rId492" Type="http://schemas.openxmlformats.org/officeDocument/2006/relationships/hyperlink" Target="https://sbrownlawyer.com/2013/09/10/mistakes-made-when-planning-a-divorce-property-settlement/" TargetMode="External"/><Relationship Id="rId257" Type="http://schemas.openxmlformats.org/officeDocument/2006/relationships/hyperlink" Target="https://sbrownlawyer.com/abogado-de-sucesiones-en-pearland-tx/" TargetMode="External"/><Relationship Id="rId499" Type="http://schemas.openxmlformats.org/officeDocument/2006/relationships/hyperlink" Target="https://sbrownlawyer.com/financial-steps-individuals-should-take-to-prepare-for-divorce/" TargetMode="External"/><Relationship Id="rId256" Type="http://schemas.openxmlformats.org/officeDocument/2006/relationships/hyperlink" Target="https://sbrownlawyer.com/blaire-evans/" TargetMode="External"/><Relationship Id="rId498" Type="http://schemas.openxmlformats.org/officeDocument/2006/relationships/hyperlink" Target="https://sbrownlawyer.com/2021/07/20/8-questions-to-ask-dui-attorneys/" TargetMode="External"/><Relationship Id="rId255" Type="http://schemas.openxmlformats.org/officeDocument/2006/relationships/hyperlink" Target="https://sbrownlawyer.com/paula-roark-cundiff/" TargetMode="External"/><Relationship Id="rId497" Type="http://schemas.openxmlformats.org/officeDocument/2006/relationships/hyperlink" Target="https://sbrownlawyer.com/Family-Law/Divorce" TargetMode="External"/><Relationship Id="rId254" Type="http://schemas.openxmlformats.org/officeDocument/2006/relationships/hyperlink" Target="https://sbrownlawyer.com/peggy-bittick/" TargetMode="External"/><Relationship Id="rId496" Type="http://schemas.openxmlformats.org/officeDocument/2006/relationships/hyperlink" Target="https://sbrownlawyer.com/2014/01/23/stay-at-home-moms-should-consider-postnuptial-agreements/" TargetMode="External"/><Relationship Id="rId293" Type="http://schemas.openxmlformats.org/officeDocument/2006/relationships/hyperlink" Target="https://sbrownlawyer.com/2013/03/11/support-necessary-during-a-texas-divorce/" TargetMode="External"/><Relationship Id="rId292" Type="http://schemas.openxmlformats.org/officeDocument/2006/relationships/hyperlink" Target="https://sbrownlawyer.com/2021/03/15/who-qualifies-for-a-temporary-protective-order-in-texas-and-other-frequently-asked-questions/" TargetMode="External"/><Relationship Id="rId291" Type="http://schemas.openxmlformats.org/officeDocument/2006/relationships/hyperlink" Target="https://sbrownlawyer.com/2020/12/16/domestic-violence-victim-tips-on-getting-a-restraining-order/" TargetMode="External"/><Relationship Id="rId290" Type="http://schemas.openxmlformats.org/officeDocument/2006/relationships/hyperlink" Target="https://sbrownlawyer.com/2021/04/07/reasons-grandparents-can-file-for-custody-of-grandchild-in-texas/" TargetMode="External"/><Relationship Id="rId286" Type="http://schemas.openxmlformats.org/officeDocument/2006/relationships/hyperlink" Target="https://sbrownlawyer.com/2024/04/26/beyond-divorce-guide-to-post-divorce-family-laws/" TargetMode="External"/><Relationship Id="rId285" Type="http://schemas.openxmlformats.org/officeDocument/2006/relationships/hyperlink" Target="https://sbrownlawyer.com/Criminal-Law" TargetMode="External"/><Relationship Id="rId284" Type="http://schemas.openxmlformats.org/officeDocument/2006/relationships/hyperlink" Target="https://sbrownlawyer.com/Family-Law" TargetMode="External"/><Relationship Id="rId283" Type="http://schemas.openxmlformats.org/officeDocument/2006/relationships/hyperlink" Target="https://sbrownlawyer.com/schedule-now/" TargetMode="External"/><Relationship Id="rId289" Type="http://schemas.openxmlformats.org/officeDocument/2006/relationships/hyperlink" Target="https://sbrownlawyer.com/2014/12/19/domestic-violence-and-child-custody-in-texas/" TargetMode="External"/><Relationship Id="rId288" Type="http://schemas.openxmlformats.org/officeDocument/2006/relationships/hyperlink" Target="https://sbrownlawyer.com/2015/01/02/how-can-texas-military-parents-deal-with-newborn-sleep-habits/" TargetMode="External"/><Relationship Id="rId287" Type="http://schemas.openxmlformats.org/officeDocument/2006/relationships/hyperlink" Target="https://sbrownlawyer.com/texas-family-law/" TargetMode="External"/><Relationship Id="rId282" Type="http://schemas.openxmlformats.org/officeDocument/2006/relationships/hyperlink" Target="https://sbrownlawyer.com/Personal-Injury" TargetMode="External"/><Relationship Id="rId281" Type="http://schemas.openxmlformats.org/officeDocument/2006/relationships/hyperlink" Target="https://sbrownlawyer.com/league-city-family-law-attorney/" TargetMode="External"/><Relationship Id="rId280" Type="http://schemas.openxmlformats.org/officeDocument/2006/relationships/hyperlink" Target="https://sbrownlawyer.com/league-city-child-custody-attorneys/" TargetMode="External"/><Relationship Id="rId275" Type="http://schemas.openxmlformats.org/officeDocument/2006/relationships/hyperlink" Target="https://sbrownlawyer.com/family-law/Contact" TargetMode="External"/><Relationship Id="rId274" Type="http://schemas.openxmlformats.org/officeDocument/2006/relationships/hyperlink" Target="https://sbrownlawyer.com/family-law/Child-Protective-Services-CPS" TargetMode="External"/><Relationship Id="rId273" Type="http://schemas.openxmlformats.org/officeDocument/2006/relationships/hyperlink" Target="https://sbrownlawyer.com/dr-divorce/" TargetMode="External"/><Relationship Id="rId272" Type="http://schemas.openxmlformats.org/officeDocument/2006/relationships/hyperlink" Target="https://sbrownlawyer.com/2017/08/24/second-chance-bill-what-does-it-mean-now-that-its-passed/" TargetMode="External"/><Relationship Id="rId279" Type="http://schemas.openxmlformats.org/officeDocument/2006/relationships/hyperlink" Target="https://sbrownlawyer.com/harris-county-family-law/" TargetMode="External"/><Relationship Id="rId278" Type="http://schemas.openxmlformats.org/officeDocument/2006/relationships/hyperlink" Target="https://sbrownlawyer.com/galveston-child-custody-lawyer/" TargetMode="External"/><Relationship Id="rId277" Type="http://schemas.openxmlformats.org/officeDocument/2006/relationships/hyperlink" Target="https://sbrownlawyer.com/2024/03/20/texas-child-support-2024/" TargetMode="External"/><Relationship Id="rId276" Type="http://schemas.openxmlformats.org/officeDocument/2006/relationships/hyperlink" Target="https://sbrownlawyer.com/family-law/Modifications" TargetMode="External"/><Relationship Id="rId907" Type="http://schemas.openxmlformats.org/officeDocument/2006/relationships/hyperlink" Target="https://sbrownlawyer.com/2018/10/23/can-grandparents-get-visitation-rights-in-texas/" TargetMode="External"/><Relationship Id="rId906" Type="http://schemas.openxmlformats.org/officeDocument/2006/relationships/hyperlink" Target="https://sbrownlawyer.com/page/7/" TargetMode="External"/><Relationship Id="rId905" Type="http://schemas.openxmlformats.org/officeDocument/2006/relationships/hyperlink" Target="https://sbrownlawyer.com/2018/10/01/common-issues-with-dividing-community-property-in-divorce/" TargetMode="External"/><Relationship Id="rId904" Type="http://schemas.openxmlformats.org/officeDocument/2006/relationships/hyperlink" Target="https://sbrownlawyer.com/2018/10/15/what-is-a-contested-divorce/" TargetMode="External"/><Relationship Id="rId909" Type="http://schemas.openxmlformats.org/officeDocument/2006/relationships/hyperlink" Target="https://sbrownlawyer.com/how-to-hire-a-texas-criminal-defense-lawyer/" TargetMode="External"/><Relationship Id="rId908" Type="http://schemas.openxmlformats.org/officeDocument/2006/relationships/hyperlink" Target="https://sbrownlawyer.com/friendswood-tx-dwi/" TargetMode="External"/><Relationship Id="rId903" Type="http://schemas.openxmlformats.org/officeDocument/2006/relationships/hyperlink" Target="https://sbrownlawyer.com/2019/01/28/if-you-are-in-an-accident-with-a-drunk-driver-can-you-press-charges/" TargetMode="External"/><Relationship Id="rId902" Type="http://schemas.openxmlformats.org/officeDocument/2006/relationships/hyperlink" Target="https://sbrownlawyer.com/blog/page/8/?et_blog" TargetMode="External"/><Relationship Id="rId901" Type="http://schemas.openxmlformats.org/officeDocument/2006/relationships/hyperlink" Target="https://sbrownlawyer.com/2018/06/05/driving-under-the-influence-of-medication/" TargetMode="External"/><Relationship Id="rId900" Type="http://schemas.openxmlformats.org/officeDocument/2006/relationships/hyperlink" Target="https://sbrownlawyer.com/2019/08/10/legal-immunity-for-reporting-alcohol-poisoning/" TargetMode="External"/><Relationship Id="rId929" Type="http://schemas.openxmlformats.org/officeDocument/2006/relationships/hyperlink" Target="https://sbrownlawyer.com/2012/02/16/reduce-divorce-complications-with-a-prenuptial-agreement/" TargetMode="External"/><Relationship Id="rId928" Type="http://schemas.openxmlformats.org/officeDocument/2006/relationships/hyperlink" Target="https://sbrownlawyer.com/2014/03/14/texas-banker-to-get-over-50000-in-child-support-repayment/" TargetMode="External"/><Relationship Id="rId927" Type="http://schemas.openxmlformats.org/officeDocument/2006/relationships/hyperlink" Target="https://sbrownlawyer.com/2015/07/24/what-can-i-put-in-a-prenup/" TargetMode="External"/><Relationship Id="rId926" Type="http://schemas.openxmlformats.org/officeDocument/2006/relationships/hyperlink" Target="https://sbrownlawyer.com/2012/07/20/second-texas-divorce-can-hit-finances-harder-than-the-first/" TargetMode="External"/><Relationship Id="rId921" Type="http://schemas.openxmlformats.org/officeDocument/2006/relationships/hyperlink" Target="https://sbrownlawyer.com/page/8/" TargetMode="External"/><Relationship Id="rId920" Type="http://schemas.openxmlformats.org/officeDocument/2006/relationships/hyperlink" Target="https://sbrownlawyer.com/blog/page/9/?et_blog" TargetMode="External"/><Relationship Id="rId925" Type="http://schemas.openxmlformats.org/officeDocument/2006/relationships/hyperlink" Target="https://sbrownlawyer.com/2013/07/09/military-life-and-the-strains-of-divorce/" TargetMode="External"/><Relationship Id="rId924" Type="http://schemas.openxmlformats.org/officeDocument/2006/relationships/hyperlink" Target="https://sbrownlawyer.com/2012/10/26/how-to-split-your-digital-assets-in-divorce/" TargetMode="External"/><Relationship Id="rId923" Type="http://schemas.openxmlformats.org/officeDocument/2006/relationships/hyperlink" Target="https://sbrownlawyer.com/2019/08/01/7-common-texas-dwi-myths-busted/" TargetMode="External"/><Relationship Id="rId922" Type="http://schemas.openxmlformats.org/officeDocument/2006/relationships/hyperlink" Target="https://sbrownlawyer.com/2018/06/12/what-kind-of-assets-can-a-spouse-hide-in-a-divorce/" TargetMode="External"/><Relationship Id="rId918" Type="http://schemas.openxmlformats.org/officeDocument/2006/relationships/hyperlink" Target="https://sbrownlawyer.com/2018/11/01/should-bankruptcy-be-filed-before-divorce/" TargetMode="External"/><Relationship Id="rId917" Type="http://schemas.openxmlformats.org/officeDocument/2006/relationships/hyperlink" Target="https://sbrownlawyer.com/2017/01/Contact" TargetMode="External"/><Relationship Id="rId916" Type="http://schemas.openxmlformats.org/officeDocument/2006/relationships/hyperlink" Target="https://sbrownlawyer.com/Domestic-Violence/Restraining-Orders" TargetMode="External"/><Relationship Id="rId915" Type="http://schemas.openxmlformats.org/officeDocument/2006/relationships/hyperlink" Target="https://sbrownlawyer.com/2017/02/01/after-a-dwi-arrest-hire-a-lawyer-asap/" TargetMode="External"/><Relationship Id="rId919" Type="http://schemas.openxmlformats.org/officeDocument/2006/relationships/hyperlink" Target="https://sbrownlawyer.com/2018/06/01/what-happens-when-child-support-isnt-paid/" TargetMode="External"/><Relationship Id="rId910" Type="http://schemas.openxmlformats.org/officeDocument/2006/relationships/hyperlink" Target="https://sbrownlawyer.com/2018/11/06/benefits-to-filing-for-divorce-first-in-texas/" TargetMode="External"/><Relationship Id="rId914" Type="http://schemas.openxmlformats.org/officeDocument/2006/relationships/hyperlink" Target="https://sbrownlawyer.com/Domestic-Violence/Child-Abuse" TargetMode="External"/><Relationship Id="rId913" Type="http://schemas.openxmlformats.org/officeDocument/2006/relationships/hyperlink" Target="https://sbrownlawyer.com/drug-possession/Drug-Distribution" TargetMode="External"/><Relationship Id="rId912" Type="http://schemas.openxmlformats.org/officeDocument/2006/relationships/hyperlink" Target="https://sbrownlawyer.com/Domestic-Violence/Protective-Services" TargetMode="External"/><Relationship Id="rId911" Type="http://schemas.openxmlformats.org/officeDocument/2006/relationships/hyperlink" Target="https://sbrownlawyer.com/2017/01/16/how-a-divorce-attorney-can-help-with-your-divorce/" TargetMode="External"/><Relationship Id="rId629" Type="http://schemas.openxmlformats.org/officeDocument/2006/relationships/hyperlink" Target="https://sbrownlawyer.com/2021/10/10/facing-criminal-charges-why-you-need-to-contact-a-criminal-defense-lawyer-now/" TargetMode="External"/><Relationship Id="rId624" Type="http://schemas.openxmlformats.org/officeDocument/2006/relationships/hyperlink" Target="https://sbrownlawyer.com/2015/08/28/discovering-hidden-assets-how-we-can-help/" TargetMode="External"/><Relationship Id="rId866" Type="http://schemas.openxmlformats.org/officeDocument/2006/relationships/hyperlink" Target="https://sbrownlawyer.com/wrongful-death/" TargetMode="External"/><Relationship Id="rId623" Type="http://schemas.openxmlformats.org/officeDocument/2006/relationships/hyperlink" Target="https://sbrownlawyer.com/2013/09/18/alimony-in-a-community-property-state-such-as-texas/" TargetMode="External"/><Relationship Id="rId865" Type="http://schemas.openxmlformats.org/officeDocument/2006/relationships/hyperlink" Target="https://sbrownlawyer.com/2017/11/21/new-texas-law-bans-texting-while-driving/" TargetMode="External"/><Relationship Id="rId622" Type="http://schemas.openxmlformats.org/officeDocument/2006/relationships/hyperlink" Target="https://sbrownlawyer.com/2013/11/27/texas-police-officer-arrested-after-domestic-violence-incident/" TargetMode="External"/><Relationship Id="rId864" Type="http://schemas.openxmlformats.org/officeDocument/2006/relationships/hyperlink" Target="https://sbrownlawyer.com/2017/05/18/what-is-a-reasonable-suspicion-to-stop-in-a-texas-duidwi-case/" TargetMode="External"/><Relationship Id="rId621" Type="http://schemas.openxmlformats.org/officeDocument/2006/relationships/hyperlink" Target="https://sbrownlawyer.com/2013/08/06/determinations-that-go-into-the-awarding-of-spousal-support/" TargetMode="External"/><Relationship Id="rId863" Type="http://schemas.openxmlformats.org/officeDocument/2006/relationships/hyperlink" Target="https://sbrownlawyer.com/2015/04/17/is-your-ex-spouse-skipping-child-support-with-contract-work/" TargetMode="External"/><Relationship Id="rId628" Type="http://schemas.openxmlformats.org/officeDocument/2006/relationships/hyperlink" Target="https://sbrownlawyer.com/2020/09/27/when-is-it-time-for-a-divorce/" TargetMode="External"/><Relationship Id="rId627" Type="http://schemas.openxmlformats.org/officeDocument/2006/relationships/hyperlink" Target="https://sbrownlawyer.com/2013/Family-Law/Divorce/High-Net-Worth-Divorce" TargetMode="External"/><Relationship Id="rId869" Type="http://schemas.openxmlformats.org/officeDocument/2006/relationships/hyperlink" Target="https://sbrownlawyer.com/2018/09/26/attorney-scott-m-brown-board-certified-in-family-law/" TargetMode="External"/><Relationship Id="rId626" Type="http://schemas.openxmlformats.org/officeDocument/2006/relationships/hyperlink" Target="https://sbrownlawyer.com/2020/08/24/the-complete-guide-to-dwi-vs-dui-laws-in-texas/" TargetMode="External"/><Relationship Id="rId868" Type="http://schemas.openxmlformats.org/officeDocument/2006/relationships/hyperlink" Target="https://sbrownlawyer.com/2017/03/11/what-is-the-parental-presumption/" TargetMode="External"/><Relationship Id="rId625" Type="http://schemas.openxmlformats.org/officeDocument/2006/relationships/hyperlink" Target="https://sbrownlawyer.com/2015/12/11/get-a-protective-order-to-handle-domestic-violence/" TargetMode="External"/><Relationship Id="rId867" Type="http://schemas.openxmlformats.org/officeDocument/2006/relationships/hyperlink" Target="https://sbrownlawyer.com/2018/01/15/grandparent-rights-in-texas-custody-cases/" TargetMode="External"/><Relationship Id="rId620" Type="http://schemas.openxmlformats.org/officeDocument/2006/relationships/hyperlink" Target="https://sbrownlawyer.com/2012/08/15/legal-options-in-child-support-randy-jackson-seriously-overdue/" TargetMode="External"/><Relationship Id="rId862" Type="http://schemas.openxmlformats.org/officeDocument/2006/relationships/hyperlink" Target="https://sbrownlawyer.com/2016/01/29/completing-a-financial-disclosure/" TargetMode="External"/><Relationship Id="rId861" Type="http://schemas.openxmlformats.org/officeDocument/2006/relationships/hyperlink" Target="https://sbrownlawyer.com/2019/09/01/4-obvious-signs-it-might-betime-for-divorce/" TargetMode="External"/><Relationship Id="rId860" Type="http://schemas.openxmlformats.org/officeDocument/2006/relationships/hyperlink" Target="https://sbrownlawyer.com/2013/01/28/texas-divorce-facebook-couple-calls-it-quits/" TargetMode="External"/><Relationship Id="rId619" Type="http://schemas.openxmlformats.org/officeDocument/2006/relationships/hyperlink" Target="https://sbrownlawyer.com/2014/02/14/millions-in-child-support-recovered-in-el-paso/" TargetMode="External"/><Relationship Id="rId618" Type="http://schemas.openxmlformats.org/officeDocument/2006/relationships/hyperlink" Target="https://sbrownlawyer.com/2012/09/28/texas-divorce-communicating-when-a-former-partner-moves-on/" TargetMode="External"/><Relationship Id="rId613" Type="http://schemas.openxmlformats.org/officeDocument/2006/relationships/hyperlink" Target="https://sbrownlawyer.com/Guiding-Your-Children-Through-Divorce/" TargetMode="External"/><Relationship Id="rId855" Type="http://schemas.openxmlformats.org/officeDocument/2006/relationships/hyperlink" Target="https://sbrownlawyer.com/prescription-drug-charges/Alternative-Outcomes-In-Drug-Cases" TargetMode="External"/><Relationship Id="rId612" Type="http://schemas.openxmlformats.org/officeDocument/2006/relationships/hyperlink" Target="https://sbrownlawyer.com/2015/12/23/alimony-is-a-hot-button-issue-in-divorce/" TargetMode="External"/><Relationship Id="rId854" Type="http://schemas.openxmlformats.org/officeDocument/2006/relationships/hyperlink" Target="https://sbrownlawyer.com/pearland-cocaine-possession/" TargetMode="External"/><Relationship Id="rId611" Type="http://schemas.openxmlformats.org/officeDocument/2006/relationships/hyperlink" Target="https://sbrownlawyer.com/Planning-For-Divorce/" TargetMode="External"/><Relationship Id="rId853" Type="http://schemas.openxmlformats.org/officeDocument/2006/relationships/hyperlink" Target="https://sbrownlawyer.com/breath-blood-test-issues/Field-Sobriety-Test" TargetMode="External"/><Relationship Id="rId610" Type="http://schemas.openxmlformats.org/officeDocument/2006/relationships/hyperlink" Target="https://sbrownlawyer.com/2019/04/05/alternatives-to-going-to-trial/" TargetMode="External"/><Relationship Id="rId852" Type="http://schemas.openxmlformats.org/officeDocument/2006/relationships/hyperlink" Target="https://sbrownlawyer.com/2017/11/14/texas-among-states-with-highest-numbers-of-people-in-prison/" TargetMode="External"/><Relationship Id="rId617" Type="http://schemas.openxmlformats.org/officeDocument/2006/relationships/hyperlink" Target="https://sbrownlawyer.com/2021/08/01/10-things-to-know-about-tx-child-custody/" TargetMode="External"/><Relationship Id="rId859" Type="http://schemas.openxmlformats.org/officeDocument/2006/relationships/hyperlink" Target="https://sbrownlawyer.com/blog/personal-injury/" TargetMode="External"/><Relationship Id="rId616" Type="http://schemas.openxmlformats.org/officeDocument/2006/relationships/hyperlink" Target="https://sbrownlawyer.com/termination/" TargetMode="External"/><Relationship Id="rId858" Type="http://schemas.openxmlformats.org/officeDocument/2006/relationships/hyperlink" Target="https://sbrownlawyer.com/2019/04/18/the-connection-between-distracted-driving-and-pedestrian-accidents/" TargetMode="External"/><Relationship Id="rId615" Type="http://schemas.openxmlformats.org/officeDocument/2006/relationships/hyperlink" Target="https://sbrownlawyer.com/Business-Owner-Divorce/" TargetMode="External"/><Relationship Id="rId857" Type="http://schemas.openxmlformats.org/officeDocument/2006/relationships/hyperlink" Target="https://sbrownlawyer.com/2019/05/09/get-help-from-a-personal-injury-lawyer-after-an-accident/" TargetMode="External"/><Relationship Id="rId614" Type="http://schemas.openxmlformats.org/officeDocument/2006/relationships/hyperlink" Target="https://sbrownlawyer.com/Protecting-Your-Assets/" TargetMode="External"/><Relationship Id="rId856" Type="http://schemas.openxmlformats.org/officeDocument/2006/relationships/hyperlink" Target="https://sbrownlawyer.com/2014/11/14/tips-for-dealing-with-child-custody-issues-in-texas/" TargetMode="External"/><Relationship Id="rId851" Type="http://schemas.openxmlformats.org/officeDocument/2006/relationships/hyperlink" Target="https://sbrownlawyer.com/2017/11/01/the-ins-and-outs-of-5050-custody-or-possession/" TargetMode="External"/><Relationship Id="rId850" Type="http://schemas.openxmlformats.org/officeDocument/2006/relationships/hyperlink" Target="https://sbrownlawyer.com/breath-blood-test-issues/" TargetMode="External"/><Relationship Id="rId409" Type="http://schemas.openxmlformats.org/officeDocument/2006/relationships/hyperlink" Target="https://sbrownlawyer.com/How-to-know-if-your-spouse-is-hiding-marital-property-and-assets/" TargetMode="External"/><Relationship Id="rId404" Type="http://schemas.openxmlformats.org/officeDocument/2006/relationships/hyperlink" Target="https://sbrownlawyer.com/obtaining-a-protective-order-is-one-step-in-leaving-domestic-violence/" TargetMode="External"/><Relationship Id="rId646" Type="http://schemas.openxmlformats.org/officeDocument/2006/relationships/hyperlink" Target="https://sbrownlawyer.com/2012/05/04/couple-considers-divorce-because-of-dire-financial-situation/" TargetMode="External"/><Relationship Id="rId888" Type="http://schemas.openxmlformats.org/officeDocument/2006/relationships/hyperlink" Target="https://sbrownlawyer.com/faq/" TargetMode="External"/><Relationship Id="rId403" Type="http://schemas.openxmlformats.org/officeDocument/2006/relationships/hyperlink" Target="https://sbrownlawyer.com/homes-and-real-estate/Assets-And-Liability" TargetMode="External"/><Relationship Id="rId645" Type="http://schemas.openxmlformats.org/officeDocument/2006/relationships/hyperlink" Target="https://sbrownlawyer.com/2012/05/18/family-law-matters-land-evangelista-in-court-for-child-support/" TargetMode="External"/><Relationship Id="rId887" Type="http://schemas.openxmlformats.org/officeDocument/2006/relationships/hyperlink" Target="https://sbrownlawyer.com/2012/02/21/halle-berry-files-request-to-move-with-her-daughter/" TargetMode="External"/><Relationship Id="rId402" Type="http://schemas.openxmlformats.org/officeDocument/2006/relationships/hyperlink" Target="https://sbrownlawyer.com/Hidden-assets-Some-marital-property-may-not-be-obvious/" TargetMode="External"/><Relationship Id="rId644" Type="http://schemas.openxmlformats.org/officeDocument/2006/relationships/hyperlink" Target="https://sbrownlawyer.com/2014/07/16/paul-george-in-child-custody-and-paternity-case/" TargetMode="External"/><Relationship Id="rId886" Type="http://schemas.openxmlformats.org/officeDocument/2006/relationships/hyperlink" Target="https://sbrownlawyer.com/2015/07/13/same-sex-divorces-in-texas-likely-to-have-problems-for-now/" TargetMode="External"/><Relationship Id="rId401" Type="http://schemas.openxmlformats.org/officeDocument/2006/relationships/hyperlink" Target="https://sbrownlawyer.com/division-of-property" TargetMode="External"/><Relationship Id="rId643" Type="http://schemas.openxmlformats.org/officeDocument/2006/relationships/hyperlink" Target="https://sbrownlawyer.com/galveston-spousal-support/" TargetMode="External"/><Relationship Id="rId885" Type="http://schemas.openxmlformats.org/officeDocument/2006/relationships/hyperlink" Target="https://sbrownlawyer.com/2018/03/23/parental-alienation-a-criminal-offense-in-texas/" TargetMode="External"/><Relationship Id="rId408" Type="http://schemas.openxmlformats.org/officeDocument/2006/relationships/hyperlink" Target="https://sbrownlawyer.com/When-parents-divorce-New-study-analyzes-impact-of-divorce-on-kids/" TargetMode="External"/><Relationship Id="rId407" Type="http://schemas.openxmlformats.org/officeDocument/2006/relationships/hyperlink" Target="https://sbrownlawyer.com/league-city-high-net-worth-divorce-lawyer/" TargetMode="External"/><Relationship Id="rId649" Type="http://schemas.openxmlformats.org/officeDocument/2006/relationships/hyperlink" Target="https://sbrownlawyer.com/2018/09/15/how-does-domestic-violence-factor-into-your-family-law-case/" TargetMode="External"/><Relationship Id="rId406" Type="http://schemas.openxmlformats.org/officeDocument/2006/relationships/hyperlink" Target="https://sbrownlawyer.com/business-and-professional-practices-in-divorce/Asset-Division" TargetMode="External"/><Relationship Id="rId648" Type="http://schemas.openxmlformats.org/officeDocument/2006/relationships/hyperlink" Target="https://sbrownlawyer.com/2018/09/04/is-it-legal-for-police-to-search-your-car-in-texas/" TargetMode="External"/><Relationship Id="rId405" Type="http://schemas.openxmlformats.org/officeDocument/2006/relationships/hyperlink" Target="https://sbrownlawyer.com/Divorce/High-Net-Worth-Divorce" TargetMode="External"/><Relationship Id="rId647" Type="http://schemas.openxmlformats.org/officeDocument/2006/relationships/hyperlink" Target="https://sbrownlawyer.com/league-city-tx-family-law-attorneys/" TargetMode="External"/><Relationship Id="rId889" Type="http://schemas.openxmlformats.org/officeDocument/2006/relationships/hyperlink" Target="https://sbrownlawyer.com/2015/08/07/miranda-lambert-and-blake-shelton-divorce-finalized/" TargetMode="External"/><Relationship Id="rId880" Type="http://schemas.openxmlformats.org/officeDocument/2006/relationships/hyperlink" Target="https://sbrownlawyer.com/2013/04/04/more-senior-citizens-seeking-divorce-studies-say/" TargetMode="External"/><Relationship Id="rId400" Type="http://schemas.openxmlformats.org/officeDocument/2006/relationships/hyperlink" Target="https://sbrownlawyer.com/How-Divorce-Can-Actually-Benefit-Children/" TargetMode="External"/><Relationship Id="rId642" Type="http://schemas.openxmlformats.org/officeDocument/2006/relationships/hyperlink" Target="https://sbrownlawyer.com/child-support-lawyer-in-galveston/" TargetMode="External"/><Relationship Id="rId884" Type="http://schemas.openxmlformats.org/officeDocument/2006/relationships/hyperlink" Target="https://sbrownlawyer.com/2012/04/05/untangling-child-related-tax-exemption-questions-after-divorce/" TargetMode="External"/><Relationship Id="rId641" Type="http://schemas.openxmlformats.org/officeDocument/2006/relationships/hyperlink" Target="https://sbrownlawyer.com/2015/10/23/reasons-that-alimony-may-be-cancelled/" TargetMode="External"/><Relationship Id="rId883" Type="http://schemas.openxmlformats.org/officeDocument/2006/relationships/hyperlink" Target="https://sbrownlawyer.com/Adoption/" TargetMode="External"/><Relationship Id="rId640" Type="http://schemas.openxmlformats.org/officeDocument/2006/relationships/hyperlink" Target="https://sbrownlawyer.com/2014/07/25/men-are-victims-of-domestic-violence-too/" TargetMode="External"/><Relationship Id="rId882" Type="http://schemas.openxmlformats.org/officeDocument/2006/relationships/hyperlink" Target="https://sbrownlawyer.com/2018/04/12/do-you-need-uninsured-motorist-auto-insurance-coverage-in-texas/" TargetMode="External"/><Relationship Id="rId881" Type="http://schemas.openxmlformats.org/officeDocument/2006/relationships/hyperlink" Target="https://sbrownlawyer.com/Adoption" TargetMode="External"/><Relationship Id="rId635" Type="http://schemas.openxmlformats.org/officeDocument/2006/relationships/hyperlink" Target="https://sbrownlawyer.com/2016/08/16/paying-child-support-and-alimony-using-structured-settlements/" TargetMode="External"/><Relationship Id="rId877" Type="http://schemas.openxmlformats.org/officeDocument/2006/relationships/hyperlink" Target="https://sbrownlawyer.com/2014/08/15/child-support-in-texas-better-than-anywhere-in-united-states/" TargetMode="External"/><Relationship Id="rId634" Type="http://schemas.openxmlformats.org/officeDocument/2006/relationships/hyperlink" Target="https://sbrownlawyer.com/2016/04/20/what-happens-if-my-ex-stops-paying-child-support/" TargetMode="External"/><Relationship Id="rId876" Type="http://schemas.openxmlformats.org/officeDocument/2006/relationships/hyperlink" Target="https://sbrownlawyer.com/what-to-do-after-a-serious-car-accident/" TargetMode="External"/><Relationship Id="rId633" Type="http://schemas.openxmlformats.org/officeDocument/2006/relationships/hyperlink" Target="https://sbrownlawyer.com/2015/06/23/how-do-the-courts-determine-the-primary-caretaker/" TargetMode="External"/><Relationship Id="rId875" Type="http://schemas.openxmlformats.org/officeDocument/2006/relationships/hyperlink" Target="https://sbrownlawyer.com/2018/07/17/what-happens-to-you-money-from-a-personal-injury-settlement-if-you-get-divorced/" TargetMode="External"/><Relationship Id="rId632" Type="http://schemas.openxmlformats.org/officeDocument/2006/relationships/hyperlink" Target="https://sbrownlawyer.com/2021/11/17/child-support/" TargetMode="External"/><Relationship Id="rId874" Type="http://schemas.openxmlformats.org/officeDocument/2006/relationships/hyperlink" Target="https://sbrownlawyer.com/2014/06/20/lopez-anthony-divorce-has-interesting-child-custody-agreement/" TargetMode="External"/><Relationship Id="rId639" Type="http://schemas.openxmlformats.org/officeDocument/2006/relationships/hyperlink" Target="https://sbrownlawyer.com/2013/06/03/new-domestic-violence-legislation-passed-in-texas/" TargetMode="External"/><Relationship Id="rId638" Type="http://schemas.openxmlformats.org/officeDocument/2006/relationships/hyperlink" Target="https://sbrownlawyer.com/2013/04/24/thirty-four-parents-arrested-in-texas-on-child-support-warrants/" TargetMode="External"/><Relationship Id="rId637" Type="http://schemas.openxmlformats.org/officeDocument/2006/relationships/hyperlink" Target="https://sbrownlawyer.com/2018/04/01/calculating-child-support-in-texas/" TargetMode="External"/><Relationship Id="rId879" Type="http://schemas.openxmlformats.org/officeDocument/2006/relationships/hyperlink" Target="https://sbrownlawyer.com/2014/Family-Law/Spousal-Support" TargetMode="External"/><Relationship Id="rId636" Type="http://schemas.openxmlformats.org/officeDocument/2006/relationships/hyperlink" Target="https://sbrownlawyer.com/2012/03/16/financial-challenges-for-texas-parents-who-owe-child-support/" TargetMode="External"/><Relationship Id="rId878" Type="http://schemas.openxmlformats.org/officeDocument/2006/relationships/hyperlink" Target="https://sbrownlawyer.com/2013/06/24/child-support-owed-by-nfl-quarterback/" TargetMode="External"/><Relationship Id="rId631" Type="http://schemas.openxmlformats.org/officeDocument/2006/relationships/hyperlink" Target="https://sbrownlawyer.com/2021/11/05/5-things-you-need-to-know-about-child-custody-in-texas/" TargetMode="External"/><Relationship Id="rId873" Type="http://schemas.openxmlformats.org/officeDocument/2006/relationships/hyperlink" Target="https://sbrownlawyer.com/2012/06/08/dealing-with-divorce-both-practically-and-emotionally/" TargetMode="External"/><Relationship Id="rId630" Type="http://schemas.openxmlformats.org/officeDocument/2006/relationships/hyperlink" Target="https://sbrownlawyer.com/2015/10/09/stepparents-how-to-ease-the-transition/" TargetMode="External"/><Relationship Id="rId872" Type="http://schemas.openxmlformats.org/officeDocument/2006/relationships/hyperlink" Target="https://sbrownlawyer.com/2012/04/13/bob-weinsteins-wife-files-for-divorce-claims-fear-of-bodily-harm/" TargetMode="External"/><Relationship Id="rId871" Type="http://schemas.openxmlformats.org/officeDocument/2006/relationships/hyperlink" Target="https://sbrownlawyer.com/2018/08/18/what-should-you-look-for-when-driving-next-to-big-trucks/" TargetMode="External"/><Relationship Id="rId870" Type="http://schemas.openxmlformats.org/officeDocument/2006/relationships/hyperlink" Target="https://sbrownlawyer.com/2018/08/05/are-parents-personally-liable-if-their-teenager-gets-in-an-accident/" TargetMode="External"/><Relationship Id="rId829" Type="http://schemas.openxmlformats.org/officeDocument/2006/relationships/hyperlink" Target="https://sbrownlawyer.com/league-city-tx-child-custody-visitation-lawyer/" TargetMode="External"/><Relationship Id="rId828" Type="http://schemas.openxmlformats.org/officeDocument/2006/relationships/hyperlink" Target="https://sbrownlawyer.com/2012/04/19/texas-sperm-donor-off-the-hook-for-child-support/" TargetMode="External"/><Relationship Id="rId827" Type="http://schemas.openxmlformats.org/officeDocument/2006/relationships/hyperlink" Target="https://sbrownlawyer.com/2012/05/30/military-divorce-rate-at-an-all-time-high/" TargetMode="External"/><Relationship Id="rId822" Type="http://schemas.openxmlformats.org/officeDocument/2006/relationships/hyperlink" Target="https://sbrownlawyer.com/2014/08/08/myths-about-texas-alimony-along-with-new-changes/" TargetMode="External"/><Relationship Id="rId821" Type="http://schemas.openxmlformats.org/officeDocument/2006/relationships/hyperlink" Target="https://sbrownlawyer.com/2013/06/20/divorce-of-texas-man-that-was-wrongfully-incarcerated/" TargetMode="External"/><Relationship Id="rId820" Type="http://schemas.openxmlformats.org/officeDocument/2006/relationships/hyperlink" Target="https://sbrownlawyer.com/2013/04/11/texas-child-support-powerball-winner-pays-past-due-30000/" TargetMode="External"/><Relationship Id="rId826" Type="http://schemas.openxmlformats.org/officeDocument/2006/relationships/hyperlink" Target="https://sbrownlawyer.com/2014/06/27/alimony-property-division-and-other-prenuptial-agreement-issues/" TargetMode="External"/><Relationship Id="rId825" Type="http://schemas.openxmlformats.org/officeDocument/2006/relationships/hyperlink" Target="https://sbrownlawyer.com/2018/07/22/take-as-many-pictures-as-you-can-after-a-car-crash/" TargetMode="External"/><Relationship Id="rId824" Type="http://schemas.openxmlformats.org/officeDocument/2006/relationships/hyperlink" Target="https://sbrownlawyer.com/2019/01/15/are-divorce-rates-decreasing/" TargetMode="External"/><Relationship Id="rId823" Type="http://schemas.openxmlformats.org/officeDocument/2006/relationships/hyperlink" Target="https://sbrownlawyer.com/league-city-spousal-support-lawyer/" TargetMode="External"/><Relationship Id="rId819" Type="http://schemas.openxmlformats.org/officeDocument/2006/relationships/hyperlink" Target="https://sbrownlawyer.com/2018/04/06/can-you-adopt-a-child-in-texas-without-the-biological-fathers-consent/" TargetMode="External"/><Relationship Id="rId818" Type="http://schemas.openxmlformats.org/officeDocument/2006/relationships/hyperlink" Target="https://sbrownlawyer.com/2012/03/28/new-bill-may-help-military-members-with-child-custody/" TargetMode="External"/><Relationship Id="rId817" Type="http://schemas.openxmlformats.org/officeDocument/2006/relationships/hyperlink" Target="https://sbrownlawyer.com/2016/05/06/how-can-i-protect-my-assets-and-property/" TargetMode="External"/><Relationship Id="rId816" Type="http://schemas.openxmlformats.org/officeDocument/2006/relationships/hyperlink" Target="https://sbrownlawyer.com/2018/03/26/can-teenagers-get-arrested-for-texting-nude-photos-in-texas/" TargetMode="External"/><Relationship Id="rId811" Type="http://schemas.openxmlformats.org/officeDocument/2006/relationships/hyperlink" Target="https://sbrownlawyer.com/2015/08/14/the-hurdles-of-the-back-to-school-season/" TargetMode="External"/><Relationship Id="rId810" Type="http://schemas.openxmlformats.org/officeDocument/2006/relationships/hyperlink" Target="https://sbrownlawyer.com/2013/09/30/attorney-generals-office-collects-3-6-billion-in-child-support/" TargetMode="External"/><Relationship Id="rId815" Type="http://schemas.openxmlformats.org/officeDocument/2006/relationships/hyperlink" Target="https://sbrownlawyer.com/2016/09/22/parental-alienation-its-causes-and-potential-remedies/" TargetMode="External"/><Relationship Id="rId814" Type="http://schemas.openxmlformats.org/officeDocument/2006/relationships/hyperlink" Target="https://sbrownlawyer.com/2015/07/06/will-permanent-alimony-become-a-thing-of-the-past/" TargetMode="External"/><Relationship Id="rId813" Type="http://schemas.openxmlformats.org/officeDocument/2006/relationships/hyperlink" Target="https://sbrownlawyer.com/2012/02/27/in-divorce-cases-technology-can-be-used-against-you/" TargetMode="External"/><Relationship Id="rId812" Type="http://schemas.openxmlformats.org/officeDocument/2006/relationships/hyperlink" Target="https://sbrownlawyer.com/2021/09/20/5-quiet-signs-of-divorce-and-what-to-do-about-it/" TargetMode="External"/><Relationship Id="rId609" Type="http://schemas.openxmlformats.org/officeDocument/2006/relationships/hyperlink" Target="https://sbrownlawyer.com/2020/04/10/what-can-a-dwi-lawyer-do-for-a-person-charged-with-dwi/" TargetMode="External"/><Relationship Id="rId608" Type="http://schemas.openxmlformats.org/officeDocument/2006/relationships/hyperlink" Target="https://sbrownlawyer.com/2019/03/01/your-guide-to-child-custody-modification/" TargetMode="External"/><Relationship Id="rId607" Type="http://schemas.openxmlformats.org/officeDocument/2006/relationships/hyperlink" Target="https://sbrownlawyer.com/2020/01/05/texas-passes-new-law-for-assault-on-a-pregnant-woman/" TargetMode="External"/><Relationship Id="rId849" Type="http://schemas.openxmlformats.org/officeDocument/2006/relationships/hyperlink" Target="https://sbrownlawyer.com/prescription-drug-charges/" TargetMode="External"/><Relationship Id="rId602" Type="http://schemas.openxmlformats.org/officeDocument/2006/relationships/hyperlink" Target="https://sbrownlawyer.com/2022/05/03/past-case-court-order/" TargetMode="External"/><Relationship Id="rId844" Type="http://schemas.openxmlformats.org/officeDocument/2006/relationships/hyperlink" Target="https://sbrownlawyer.com/2019/05/01/the-cost-and-legal-implications-of-a-first-time-dui/" TargetMode="External"/><Relationship Id="rId601" Type="http://schemas.openxmlformats.org/officeDocument/2006/relationships/hyperlink" Target="https://sbrownlawyer.com/2022/06/29/should-i-take-the-plea-deal-or-take-my-chances-at-trial/" TargetMode="External"/><Relationship Id="rId843" Type="http://schemas.openxmlformats.org/officeDocument/2006/relationships/hyperlink" Target="https://sbrownlawyer.com/2019/09/12/find-out-how-long-your-divorce-will-take/" TargetMode="External"/><Relationship Id="rId600" Type="http://schemas.openxmlformats.org/officeDocument/2006/relationships/hyperlink" Target="https://sbrownlawyer.com/2022/06/15/the-child-support-is-insufficient/" TargetMode="External"/><Relationship Id="rId842" Type="http://schemas.openxmlformats.org/officeDocument/2006/relationships/hyperlink" Target="https://sbrownlawyer.com/2013/02/08/texas-divorce-military-shows-lower-overall-divorce-rates/" TargetMode="External"/><Relationship Id="rId841" Type="http://schemas.openxmlformats.org/officeDocument/2006/relationships/hyperlink" Target="https://sbrownlawyer.com/2016/02/03/effects-of-divorce-on-daughters/" TargetMode="External"/><Relationship Id="rId606" Type="http://schemas.openxmlformats.org/officeDocument/2006/relationships/hyperlink" Target="https://sbrownlawyer.com/2020/01/21/texas-passes-new-law-for-assault-on-a-pregnant-woman-2/" TargetMode="External"/><Relationship Id="rId848" Type="http://schemas.openxmlformats.org/officeDocument/2006/relationships/hyperlink" Target="https://sbrownlawyer.com/Obtaining-a-protection-order-is-one-step-in-leaving-domestic-violence/" TargetMode="External"/><Relationship Id="rId605" Type="http://schemas.openxmlformats.org/officeDocument/2006/relationships/hyperlink" Target="https://sbrownlawyer.com/page/4/" TargetMode="External"/><Relationship Id="rId847" Type="http://schemas.openxmlformats.org/officeDocument/2006/relationships/hyperlink" Target="https://sbrownlawyer.com/2014/11/20/baptist-pastor-suggests-texas-residents-bypass-formal-marriage/" TargetMode="External"/><Relationship Id="rId604" Type="http://schemas.openxmlformats.org/officeDocument/2006/relationships/hyperlink" Target="https://sbrownlawyer.com/2022/05/03/how-we-help/" TargetMode="External"/><Relationship Id="rId846" Type="http://schemas.openxmlformats.org/officeDocument/2006/relationships/hyperlink" Target="https://sbrownlawyer.com/2017/05/23/what-types-of-compensation-can-i-get-after-an-accident/" TargetMode="External"/><Relationship Id="rId603" Type="http://schemas.openxmlformats.org/officeDocument/2006/relationships/hyperlink" Target="https://sbrownlawyer.com/blog/page/5/?et_blog" TargetMode="External"/><Relationship Id="rId845" Type="http://schemas.openxmlformats.org/officeDocument/2006/relationships/hyperlink" Target="https://sbrownlawyer.com/2016/Family-Law/Domestic-Abuse-And-Protective-Orders" TargetMode="External"/><Relationship Id="rId840" Type="http://schemas.openxmlformats.org/officeDocument/2006/relationships/hyperlink" Target="https://sbrownlawyer.com/2015/04/24/what-should-i-know-about-child-support-modification/" TargetMode="External"/><Relationship Id="rId839" Type="http://schemas.openxmlformats.org/officeDocument/2006/relationships/hyperlink" Target="https://sbrownlawyer.com/2013/10/21/who-gets-the-wedding-ring-in-the-event-of-a-breakup/" TargetMode="External"/><Relationship Id="rId838" Type="http://schemas.openxmlformats.org/officeDocument/2006/relationships/hyperlink" Target="https://sbrownlawyer.com/2017/05/02/how-can-a-spouse-keep-the-house-after-a-texas-divorce/" TargetMode="External"/><Relationship Id="rId833" Type="http://schemas.openxmlformats.org/officeDocument/2006/relationships/hyperlink" Target="https://sbrownlawyer.com/2018/01/05/why-equal-parenting-bill-has-died-in-texas/" TargetMode="External"/><Relationship Id="rId832" Type="http://schemas.openxmlformats.org/officeDocument/2006/relationships/hyperlink" Target="https://sbrownlawyer.com/2018/08/01/can-a-non-parent-pursue-custody/" TargetMode="External"/><Relationship Id="rId831" Type="http://schemas.openxmlformats.org/officeDocument/2006/relationships/hyperlink" Target="https://sbrownlawyer.com/2018/09/24/what-rights-do-fathers-have-in-texas/" TargetMode="External"/><Relationship Id="rId830" Type="http://schemas.openxmlformats.org/officeDocument/2006/relationships/hyperlink" Target="https://sbrownlawyer.com/2018/08/21/do-grandparents-have-visitation-rights-in-a-divorce/" TargetMode="External"/><Relationship Id="rId837" Type="http://schemas.openxmlformats.org/officeDocument/2006/relationships/hyperlink" Target="https://sbrownlawyer.com/2017/12/01/modifying-custody-in-the-state-of-texas/" TargetMode="External"/><Relationship Id="rId836" Type="http://schemas.openxmlformats.org/officeDocument/2006/relationships/hyperlink" Target="https://sbrownlawyer.com/2018/12/17/is-it-legal-for-police-to-search-your-car-during-a-traffic-stop/" TargetMode="External"/><Relationship Id="rId835" Type="http://schemas.openxmlformats.org/officeDocument/2006/relationships/hyperlink" Target="https://sbrownlawyer.com/2017/Personal-Injury/Wrongful-Death" TargetMode="External"/><Relationship Id="rId834" Type="http://schemas.openxmlformats.org/officeDocument/2006/relationships/hyperlink" Target="https://sbrownlawyer.com/2017/03/17/how-to-defend-against-breath-and-blood-tests-in-a-dwi-arrest/" TargetMode="External"/><Relationship Id="rId1059" Type="http://schemas.openxmlformats.org/officeDocument/2006/relationships/hyperlink" Target="https://sbrownlawyer.com/2009/04/08/parental-alienation-risk-factors-of-alienation/" TargetMode="External"/><Relationship Id="rId228" Type="http://schemas.openxmlformats.org/officeDocument/2006/relationships/hyperlink" Target="https://sbrownlawyer.com/2015/01/16/guidelines-for-texas-child-support-modifications/" TargetMode="External"/><Relationship Id="rId227" Type="http://schemas.openxmlformats.org/officeDocument/2006/relationships/hyperlink" Target="https://sbrownlawyer.com/child-support-modifications/" TargetMode="External"/><Relationship Id="rId469" Type="http://schemas.openxmlformats.org/officeDocument/2006/relationships/hyperlink" Target="https://sbrownlawyer.com/2017/04/19/grounds-for-changing-a-custody-order-in-texas/" TargetMode="External"/><Relationship Id="rId226" Type="http://schemas.openxmlformats.org/officeDocument/2006/relationships/hyperlink" Target="https://sbrownlawyer.com/2015/05/29/how-can-i-handle-summer-child-custody-schedules/" TargetMode="External"/><Relationship Id="rId468" Type="http://schemas.openxmlformats.org/officeDocument/2006/relationships/hyperlink" Target="https://sbrownlawyer.com/2013/11/01/considering-relocation-laws-when-making-custody-arrangements/" TargetMode="External"/><Relationship Id="rId225" Type="http://schemas.openxmlformats.org/officeDocument/2006/relationships/hyperlink" Target="https://sbrownlawyer.com/when-parents-divorce-new-study-analyzes-impact-of-divorce-on-kids/" TargetMode="External"/><Relationship Id="rId467" Type="http://schemas.openxmlformats.org/officeDocument/2006/relationships/hyperlink" Target="https://sbrownlawyer.com/2021/05/06/confronting-gender-bias-in-child-custody-arrangements/" TargetMode="External"/><Relationship Id="rId229" Type="http://schemas.openxmlformats.org/officeDocument/2006/relationships/hyperlink" Target="https://sbrownlawyer.com/creative-custody-agreements/" TargetMode="External"/><Relationship Id="rId1050" Type="http://schemas.openxmlformats.org/officeDocument/2006/relationships/hyperlink" Target="https://sbrownlawyer.com/2014/04/11/domestic-violence-claims-life-of-pregnant-texas-woman/" TargetMode="External"/><Relationship Id="rId220" Type="http://schemas.openxmlformats.org/officeDocument/2006/relationships/hyperlink" Target="https://sbrownlawyer.com/2016/03/11/taking-care-of-your-childs-needs-is-a-priority/" TargetMode="External"/><Relationship Id="rId462" Type="http://schemas.openxmlformats.org/officeDocument/2006/relationships/hyperlink" Target="https://sbrownlawyer.com/how-is-property-divided-in-a-texas-divorce/" TargetMode="External"/><Relationship Id="rId1051" Type="http://schemas.openxmlformats.org/officeDocument/2006/relationships/hyperlink" Target="https://sbrownlawyer.com/2018/02/27/charges-for-possession-of-a-controlled-substance/" TargetMode="External"/><Relationship Id="rId461" Type="http://schemas.openxmlformats.org/officeDocument/2006/relationships/hyperlink" Target="https://sbrownlawyer.com/Family-Law/Visitation" TargetMode="External"/><Relationship Id="rId1052" Type="http://schemas.openxmlformats.org/officeDocument/2006/relationships/hyperlink" Target="https://sbrownlawyer.com/2018/05/01/5-tips-to-prepare-for-your-divorce-consultation/" TargetMode="External"/><Relationship Id="rId460" Type="http://schemas.openxmlformats.org/officeDocument/2006/relationships/hyperlink" Target="https://sbrownlawyer.com/2016/02/26/protective-orders-and-divorce-why-you-need-an-attorney/" TargetMode="External"/><Relationship Id="rId1053" Type="http://schemas.openxmlformats.org/officeDocument/2006/relationships/hyperlink" Target="https://sbrownlawyer.com/types-of-car-accidents/" TargetMode="External"/><Relationship Id="rId1054" Type="http://schemas.openxmlformats.org/officeDocument/2006/relationships/hyperlink" Target="https://sbrownlawyer.com/friendswood-car-accidents/" TargetMode="External"/><Relationship Id="rId224" Type="http://schemas.openxmlformats.org/officeDocument/2006/relationships/hyperlink" Target="https://sbrownlawyer.com/detailing-some-of-texas-important-child-custody-laws/" TargetMode="External"/><Relationship Id="rId466" Type="http://schemas.openxmlformats.org/officeDocument/2006/relationships/hyperlink" Target="https://sbrownlawyer.com/2015/05/15/what-will-happen-to-my-retirement/" TargetMode="External"/><Relationship Id="rId1055" Type="http://schemas.openxmlformats.org/officeDocument/2006/relationships/hyperlink" Target="https://sbrownlawyer.com/Drug-Charges/Drug-Possession" TargetMode="External"/><Relationship Id="rId223" Type="http://schemas.openxmlformats.org/officeDocument/2006/relationships/hyperlink" Target="https://sbrownlawyer.com/child-custody/emergency/" TargetMode="External"/><Relationship Id="rId465" Type="http://schemas.openxmlformats.org/officeDocument/2006/relationships/hyperlink" Target="https://sbrownlawyer.com/Family-Law/Division-Of-Property" TargetMode="External"/><Relationship Id="rId1056" Type="http://schemas.openxmlformats.org/officeDocument/2006/relationships/hyperlink" Target="https://sbrownlawyer.com/2014/09/18/domestic-violence-reported-at-university-of-texas/" TargetMode="External"/><Relationship Id="rId222" Type="http://schemas.openxmlformats.org/officeDocument/2006/relationships/hyperlink" Target="https://sbrownlawyer.com/custody-schedules-for-infants/" TargetMode="External"/><Relationship Id="rId464" Type="http://schemas.openxmlformats.org/officeDocument/2006/relationships/hyperlink" Target="https://sbrownlawyer.com/2015/Family-Law/Domestic-Abuse-And-Protective-Orders" TargetMode="External"/><Relationship Id="rId1057" Type="http://schemas.openxmlformats.org/officeDocument/2006/relationships/hyperlink" Target="https://sbrownlawyer.com/2014/05/17/understanding-child-support-is-vital-for-any-non-custodial-parent/" TargetMode="External"/><Relationship Id="rId221" Type="http://schemas.openxmlformats.org/officeDocument/2006/relationships/hyperlink" Target="https://sbrownlawyer.com/detailing-some-of-texas-s-important-child-custody-laws/" TargetMode="External"/><Relationship Id="rId463" Type="http://schemas.openxmlformats.org/officeDocument/2006/relationships/hyperlink" Target="https://sbrownlawyer.com/2015/06/12/a-bed-shortage-is-affecting-texas-domestic-violence-shelters/" TargetMode="External"/><Relationship Id="rId1058" Type="http://schemas.openxmlformats.org/officeDocument/2006/relationships/hyperlink" Target="https://sbrownlawyer.com/Drug-Charges/Drug-Distribution" TargetMode="External"/><Relationship Id="rId1048" Type="http://schemas.openxmlformats.org/officeDocument/2006/relationships/hyperlink" Target="https://sbrownlawyer.com/2019/06/15/understanding-parenting-plans-and-child-support-during-divorce/" TargetMode="External"/><Relationship Id="rId1049" Type="http://schemas.openxmlformats.org/officeDocument/2006/relationships/hyperlink" Target="https://sbrownlawyer.com/reckless-driving/" TargetMode="External"/><Relationship Id="rId217" Type="http://schemas.openxmlformats.org/officeDocument/2006/relationships/hyperlink" Target="https://sbrownlawyer.com/2014/01/02/organizing-child-support-may-become-easier-with-new-software/" TargetMode="External"/><Relationship Id="rId459" Type="http://schemas.openxmlformats.org/officeDocument/2006/relationships/hyperlink" Target="https://sbrownlawyer.com/2016/03/25/alimony-payments-are-helpful-but-not-mandatory/" TargetMode="External"/><Relationship Id="rId216" Type="http://schemas.openxmlformats.org/officeDocument/2006/relationships/hyperlink" Target="https://sbrownlawyer.com/contact" TargetMode="External"/><Relationship Id="rId458" Type="http://schemas.openxmlformats.org/officeDocument/2006/relationships/hyperlink" Target="https://sbrownlawyer.com/2015/02/27/divorce-trends-and-reasons-throughout-the-year/" TargetMode="External"/><Relationship Id="rId215" Type="http://schemas.openxmlformats.org/officeDocument/2006/relationships/hyperlink" Target="https://sbrownlawyer.com/am-i-entitled-to-modify-my-last-custody-order/" TargetMode="External"/><Relationship Id="rId457" Type="http://schemas.openxmlformats.org/officeDocument/2006/relationships/hyperlink" Target="https://sbrownlawyer.com/2013/12/20/alimony-payments-may-be-tax-deductible/" TargetMode="External"/><Relationship Id="rId699" Type="http://schemas.openxmlformats.org/officeDocument/2006/relationships/hyperlink" Target="https://sbrownlawyer.com/2016/04/05/can-someone-convicted-of-domestic-violence-own-a-gun/" TargetMode="External"/><Relationship Id="rId214" Type="http://schemas.openxmlformats.org/officeDocument/2006/relationships/hyperlink" Target="https://sbrownlawyer.com/2013/03/07/texas-child-custody-courts-are-sometimes-the-best-option/" TargetMode="External"/><Relationship Id="rId456" Type="http://schemas.openxmlformats.org/officeDocument/2006/relationships/hyperlink" Target="https://sbrownlawyer.com/2013/02/18/texas-child-support-debt-may-result-in-tax-refund-garnishment/" TargetMode="External"/><Relationship Id="rId698" Type="http://schemas.openxmlformats.org/officeDocument/2006/relationships/hyperlink" Target="https://sbrownlawyer.com/meghan-beytebiere/" TargetMode="External"/><Relationship Id="rId219" Type="http://schemas.openxmlformats.org/officeDocument/2006/relationships/hyperlink" Target="https://sbrownlawyer.com/Child-Custody" TargetMode="External"/><Relationship Id="rId218" Type="http://schemas.openxmlformats.org/officeDocument/2006/relationships/hyperlink" Target="https://sbrownlawyer.com/2015/03/13/tips-for-texas-child-custody-cases/" TargetMode="External"/><Relationship Id="rId451" Type="http://schemas.openxmlformats.org/officeDocument/2006/relationships/hyperlink" Target="https://sbrownlawyer.com/protective-orders-divorce/" TargetMode="External"/><Relationship Id="rId693" Type="http://schemas.openxmlformats.org/officeDocument/2006/relationships/hyperlink" Target="https://sbrownlawyer.com/domestic-violence/Child-Abuse" TargetMode="External"/><Relationship Id="rId1040" Type="http://schemas.openxmlformats.org/officeDocument/2006/relationships/hyperlink" Target="https://sbrownlawyer.com/angleton-weapons-charge/" TargetMode="External"/><Relationship Id="rId450" Type="http://schemas.openxmlformats.org/officeDocument/2006/relationships/hyperlink" Target="https://sbrownlawyer.com/2020/05/21/what-happens-if-you-violate-a-restraining-order/" TargetMode="External"/><Relationship Id="rId692" Type="http://schemas.openxmlformats.org/officeDocument/2006/relationships/hyperlink" Target="https://sbrownlawyer.com/domestic-violence/Restraining-Orders" TargetMode="External"/><Relationship Id="rId1041" Type="http://schemas.openxmlformats.org/officeDocument/2006/relationships/hyperlink" Target="https://sbrownlawyer.com/2014/10/09/property-division-in-texas-community-separate-and-quasi-groups/" TargetMode="External"/><Relationship Id="rId691" Type="http://schemas.openxmlformats.org/officeDocument/2006/relationships/hyperlink" Target="https://sbrownlawyer.com/2014/11/28/dealing-with-dogs-as-part-of-the-property-division-process/" TargetMode="External"/><Relationship Id="rId1042" Type="http://schemas.openxmlformats.org/officeDocument/2006/relationships/hyperlink" Target="https://sbrownlawyer.com/page/12/" TargetMode="External"/><Relationship Id="rId690" Type="http://schemas.openxmlformats.org/officeDocument/2006/relationships/hyperlink" Target="https://sbrownlawyer.com/2015/02/12/protective-orders-are-important-in-domestic-violence-cases/" TargetMode="External"/><Relationship Id="rId1043" Type="http://schemas.openxmlformats.org/officeDocument/2006/relationships/hyperlink" Target="https://sbrownlawyer.com/blog/page/13/?et_blog" TargetMode="External"/><Relationship Id="rId213" Type="http://schemas.openxmlformats.org/officeDocument/2006/relationships/hyperlink" Target="https://sbrownlawyer.com/2021/03/30/what-can-be-done-when-the-other-parent-consistently-violates-the-child-custody-agreement/" TargetMode="External"/><Relationship Id="rId455" Type="http://schemas.openxmlformats.org/officeDocument/2006/relationships/hyperlink" Target="https://sbrownlawyer.com/2014/01/17/new-texas-law-aims-to-protect-pets-during-domestic-abuse-cases/" TargetMode="External"/><Relationship Id="rId697" Type="http://schemas.openxmlformats.org/officeDocument/2006/relationships/hyperlink" Target="https://sbrownlawyer.com/2013/12/04/bode-millers-ex-gains-custody-of-infant-son/" TargetMode="External"/><Relationship Id="rId1044" Type="http://schemas.openxmlformats.org/officeDocument/2006/relationships/hyperlink" Target="https://sbrownlawyer.com/2018/02/15/is-parental-alienation-happening-in-your-custody-case/" TargetMode="External"/><Relationship Id="rId212" Type="http://schemas.openxmlformats.org/officeDocument/2006/relationships/hyperlink" Target="https://sbrownlawyer.com/the-basics-of-texas-child-support-requests-factors-and-guidelines/" TargetMode="External"/><Relationship Id="rId454" Type="http://schemas.openxmlformats.org/officeDocument/2006/relationships/hyperlink" Target="https://sbrownlawyer.com/2013/Family-Law/Domestic-Abuse-And-Protective-Orders" TargetMode="External"/><Relationship Id="rId696" Type="http://schemas.openxmlformats.org/officeDocument/2006/relationships/hyperlink" Target="https://sbrownlawyer.com/2013/02/08/tricare-rules-and-a-texas-military-divorce/" TargetMode="External"/><Relationship Id="rId1045" Type="http://schemas.openxmlformats.org/officeDocument/2006/relationships/hyperlink" Target="https://sbrownlawyer.com/2018/02/19/divorcing-an-addict/" TargetMode="External"/><Relationship Id="rId211" Type="http://schemas.openxmlformats.org/officeDocument/2006/relationships/hyperlink" Target="https://sbrownlawyer.com/2014/12/26/considerations-for-parenting-time-and-visitation-for-infants/" TargetMode="External"/><Relationship Id="rId453" Type="http://schemas.openxmlformats.org/officeDocument/2006/relationships/hyperlink" Target="https://sbrownlawyer.com/2021/02/28/what-happens-after-a-second-and-third-dwi-in-texas/" TargetMode="External"/><Relationship Id="rId695" Type="http://schemas.openxmlformats.org/officeDocument/2006/relationships/hyperlink" Target="https://sbrownlawyer.com/2019/09/15/how-to-fight-a-protective-order/" TargetMode="External"/><Relationship Id="rId1046" Type="http://schemas.openxmlformats.org/officeDocument/2006/relationships/hyperlink" Target="https://sbrownlawyer.com/2018/05/01/can-you-be-arrested-for-overdosing-on-drugs-in-texas/" TargetMode="External"/><Relationship Id="rId210" Type="http://schemas.openxmlformats.org/officeDocument/2006/relationships/hyperlink" Target="https://sbrownlawyer.com/2021/05/31/your-parenting-plan-how-to-reach-a-child-custody-agreement-without-court-involvement/" TargetMode="External"/><Relationship Id="rId452" Type="http://schemas.openxmlformats.org/officeDocument/2006/relationships/hyperlink" Target="https://sbrownlawyer.com/2020/06/25/partner-abuse-the-many-forms-of-domestic-violence/" TargetMode="External"/><Relationship Id="rId694" Type="http://schemas.openxmlformats.org/officeDocument/2006/relationships/hyperlink" Target="https://sbrownlawyer.com/2020/10/29/how-to-tell-if-youre-too-drunk-to-drive-and-how-to-prevent-yourself-from-becoming-a-drunk-driver/" TargetMode="External"/><Relationship Id="rId1047" Type="http://schemas.openxmlformats.org/officeDocument/2006/relationships/hyperlink" Target="https://sbrownlawyer.com/2012/11/28/texas-child-support-battles-may-end-up-back-in-court/" TargetMode="External"/><Relationship Id="rId491" Type="http://schemas.openxmlformats.org/officeDocument/2006/relationships/hyperlink" Target="https://sbrownlawyer.com/2013/08/13/costs-of-splitting-up-is-major-concern-when-considering-divorce/" TargetMode="External"/><Relationship Id="rId490" Type="http://schemas.openxmlformats.org/officeDocument/2006/relationships/hyperlink" Target="https://sbrownlawyer.com/2013/11/22/same-sex-divorce-cases-to-be-settled-in-texas-supreme-court/" TargetMode="External"/><Relationship Id="rId249" Type="http://schemas.openxmlformats.org/officeDocument/2006/relationships/hyperlink" Target="https://sbrownlawyer.com/areas-we-serve/harris-county/friendswood/" TargetMode="External"/><Relationship Id="rId248" Type="http://schemas.openxmlformats.org/officeDocument/2006/relationships/hyperlink" Target="https://sbrownlawyer.com/areas-we-serve/harris-county/pasadena/" TargetMode="External"/><Relationship Id="rId247" Type="http://schemas.openxmlformats.org/officeDocument/2006/relationships/hyperlink" Target="https://sbrownlawyer.com/areas-we-serve/harris-county/houston/" TargetMode="External"/><Relationship Id="rId489" Type="http://schemas.openxmlformats.org/officeDocument/2006/relationships/hyperlink" Target="https://sbrownlawyer.com/2013/11/02/do-many-texas-couples-need-prenuptial-agreements/" TargetMode="External"/><Relationship Id="rId1070" Type="http://schemas.openxmlformats.org/officeDocument/2006/relationships/hyperlink" Target="https://sbrownlawyer.com/2018/02/12/what-are-texas-cannabis-laws/" TargetMode="External"/><Relationship Id="rId1071" Type="http://schemas.openxmlformats.org/officeDocument/2006/relationships/hyperlink" Target="https://sbrownlawyer.com/2018/02/01/the-importance-of-establishing-paternity-in-texas/" TargetMode="External"/><Relationship Id="rId1072" Type="http://schemas.openxmlformats.org/officeDocument/2006/relationships/hyperlink" Target="https://sbrownlawyer.com/2014/10/03/how-does-alimony-in-texas-work/" TargetMode="External"/><Relationship Id="rId242" Type="http://schemas.openxmlformats.org/officeDocument/2006/relationships/hyperlink" Target="https://sbrownlawyer.com/league-city-personal-injury-lawyer/" TargetMode="External"/><Relationship Id="rId484" Type="http://schemas.openxmlformats.org/officeDocument/2006/relationships/hyperlink" Target="https://sbrownlawyer.com/2015/12/04/child-custody-and-the-holidays/" TargetMode="External"/><Relationship Id="rId1073" Type="http://schemas.openxmlformats.org/officeDocument/2006/relationships/hyperlink" Target="https://sbrownlawyer.com/2012/12/18/texas-child-support-man-pays-huge-bill-to-keep-motorcycle/" TargetMode="External"/><Relationship Id="rId241" Type="http://schemas.openxmlformats.org/officeDocument/2006/relationships/hyperlink" Target="https://sbrownlawyer.com/paternity/" TargetMode="External"/><Relationship Id="rId483" Type="http://schemas.openxmlformats.org/officeDocument/2006/relationships/hyperlink" Target="https://sbrownlawyer.com/2020/09/10/types-of-custody-arrangements-for-divorcing-couples/" TargetMode="External"/><Relationship Id="rId1074" Type="http://schemas.openxmlformats.org/officeDocument/2006/relationships/hyperlink" Target="https://sbrownlawyer.com/2018/01/28/silencers-are-not-prohibited-weapons/" TargetMode="External"/><Relationship Id="rId240" Type="http://schemas.openxmlformats.org/officeDocument/2006/relationships/hyperlink" Target="https://sbrownlawyer.com/league-city-simple-assault-lawyer/" TargetMode="External"/><Relationship Id="rId482" Type="http://schemas.openxmlformats.org/officeDocument/2006/relationships/hyperlink" Target="https://sbrownlawyer.com/2021/01/05/everything-you-need-to-know-about-child-custody-in-texas/" TargetMode="External"/><Relationship Id="rId1075" Type="http://schemas.openxmlformats.org/officeDocument/2006/relationships/hyperlink" Target="https://sbrownlawyer.com/blog/page/15/?et_blog" TargetMode="External"/><Relationship Id="rId481" Type="http://schemas.openxmlformats.org/officeDocument/2006/relationships/hyperlink" Target="https://sbrownlawyer.com/2021/10/25/child-custody-101-what-decides-custody-of-a-child/" TargetMode="External"/><Relationship Id="rId1076" Type="http://schemas.openxmlformats.org/officeDocument/2006/relationships/hyperlink" Target="https://sbrownlawyer.com/page/14/" TargetMode="External"/><Relationship Id="rId246" Type="http://schemas.openxmlformats.org/officeDocument/2006/relationships/hyperlink" Target="https://sbrownlawyer.com/areas-we-serve/harris-county/baytown/" TargetMode="External"/><Relationship Id="rId488" Type="http://schemas.openxmlformats.org/officeDocument/2006/relationships/hyperlink" Target="https://sbrownlawyer.com/2015/11/06/worlds-most-expensive-divorce-comes-to-end/" TargetMode="External"/><Relationship Id="rId1077" Type="http://schemas.openxmlformats.org/officeDocument/2006/relationships/hyperlink" Target="https://sbrownlawyer.com/2018/02/05/texas-drug-manufacturing-and-cultivation-laws/" TargetMode="External"/><Relationship Id="rId245" Type="http://schemas.openxmlformats.org/officeDocument/2006/relationships/hyperlink" Target="https://sbrownlawyer.com/Modifications" TargetMode="External"/><Relationship Id="rId487" Type="http://schemas.openxmlformats.org/officeDocument/2006/relationships/hyperlink" Target="https://sbrownlawyer.com/2015/Family-Law/Spousal-Support" TargetMode="External"/><Relationship Id="rId1078" Type="http://schemas.openxmlformats.org/officeDocument/2006/relationships/hyperlink" Target="https://sbrownlawyer.com/2012/12/11/divorce-of-big-bang-star-may-interest-texas-fans/" TargetMode="External"/><Relationship Id="rId244" Type="http://schemas.openxmlformats.org/officeDocument/2006/relationships/hyperlink" Target="https://sbrownlawyer.com/attorneys" TargetMode="External"/><Relationship Id="rId486" Type="http://schemas.openxmlformats.org/officeDocument/2006/relationships/hyperlink" Target="https://sbrownlawyer.com/2015/09/01/prenups-for-seniors/" TargetMode="External"/><Relationship Id="rId1079" Type="http://schemas.openxmlformats.org/officeDocument/2006/relationships/hyperlink" Target="https://sbrownlawyer.com/2014/04/25/abducted-girl-is-safe-in-texas/" TargetMode="External"/><Relationship Id="rId243" Type="http://schemas.openxmlformats.org/officeDocument/2006/relationships/hyperlink" Target="https://sbrownlawyer.com/harris-county-child-custody-attorneys/" TargetMode="External"/><Relationship Id="rId485" Type="http://schemas.openxmlformats.org/officeDocument/2006/relationships/hyperlink" Target="https://sbrownlawyer.com/2015/10/02/child-support-and-gender-bias-in-the-courts/" TargetMode="External"/><Relationship Id="rId480" Type="http://schemas.openxmlformats.org/officeDocument/2006/relationships/hyperlink" Target="https://sbrownlawyer.com/restraining-orders/" TargetMode="External"/><Relationship Id="rId239" Type="http://schemas.openxmlformats.org/officeDocument/2006/relationships/hyperlink" Target="https://sbrownlawyer.com/pearland-premises-liability/" TargetMode="External"/><Relationship Id="rId238" Type="http://schemas.openxmlformats.org/officeDocument/2006/relationships/hyperlink" Target="https://sbrownlawyer.com/how-is-community-property-divided/" TargetMode="External"/><Relationship Id="rId237" Type="http://schemas.openxmlformats.org/officeDocument/2006/relationships/hyperlink" Target="https://sbrownlawyer.com/information-about-brazoria-county-texas/" TargetMode="External"/><Relationship Id="rId479" Type="http://schemas.openxmlformats.org/officeDocument/2006/relationships/hyperlink" Target="https://sbrownlawyer.com/2021/11/26/child-support-guidelines-in-texas-an-overview/" TargetMode="External"/><Relationship Id="rId236" Type="http://schemas.openxmlformats.org/officeDocument/2006/relationships/hyperlink" Target="https://sbrownlawyer.com/league-city-tx-lake-fathers-rights-lawyer/" TargetMode="External"/><Relationship Id="rId478" Type="http://schemas.openxmlformats.org/officeDocument/2006/relationships/hyperlink" Target="https://sbrownlawyer.com/2013/05/03/texas-child-custody-battle-abduction-amber-alert-arrest/" TargetMode="External"/><Relationship Id="rId1060" Type="http://schemas.openxmlformats.org/officeDocument/2006/relationships/hyperlink" Target="https://sbrownlawyer.com/2014/05/09/mother-asks-court-for-money-to-fight-child-custody-ruling/" TargetMode="External"/><Relationship Id="rId1061" Type="http://schemas.openxmlformats.org/officeDocument/2006/relationships/hyperlink" Target="https://sbrownlawyer.com/Drug-Charges/Alternative-Outcomes-In-Drug-Cases" TargetMode="External"/><Relationship Id="rId231" Type="http://schemas.openxmlformats.org/officeDocument/2006/relationships/hyperlink" Target="https://sbrownlawyer.com/parental-relocation/" TargetMode="External"/><Relationship Id="rId473" Type="http://schemas.openxmlformats.org/officeDocument/2006/relationships/hyperlink" Target="https://sbrownlawyer.com/2021/09/27/how-to-find-the-best-child-custody-lawyer-in-League%20City-tx-and-how-they-can-help-your-case/" TargetMode="External"/><Relationship Id="rId1062" Type="http://schemas.openxmlformats.org/officeDocument/2006/relationships/hyperlink" Target="https://sbrownlawyer.com/2014/09/26/complex-alimony-laws-require-staying-current-on-laws/" TargetMode="External"/><Relationship Id="rId230" Type="http://schemas.openxmlformats.org/officeDocument/2006/relationships/hyperlink" Target="https://sbrownlawyer.com/enforcement/Modifications" TargetMode="External"/><Relationship Id="rId472" Type="http://schemas.openxmlformats.org/officeDocument/2006/relationships/hyperlink" Target="https://sbrownlawyer.com/2018/09/12/what-is-joint-custody/" TargetMode="External"/><Relationship Id="rId1063" Type="http://schemas.openxmlformats.org/officeDocument/2006/relationships/hyperlink" Target="https://sbrownlawyer.com/2009/04/08/parental-alienation-a-continued-analysis/" TargetMode="External"/><Relationship Id="rId471" Type="http://schemas.openxmlformats.org/officeDocument/2006/relationships/hyperlink" Target="https://sbrownlawyer.com/league-city-family-family-lawyer/" TargetMode="External"/><Relationship Id="rId1064" Type="http://schemas.openxmlformats.org/officeDocument/2006/relationships/hyperlink" Target="https://sbrownlawyer.com/webster-tx-car-accident-lawyer/" TargetMode="External"/><Relationship Id="rId470" Type="http://schemas.openxmlformats.org/officeDocument/2006/relationships/hyperlink" Target="https://sbrownlawyer.com/2017/12/15/domestic-violence-and-custody-determinations-in-texas/" TargetMode="External"/><Relationship Id="rId1065" Type="http://schemas.openxmlformats.org/officeDocument/2006/relationships/hyperlink" Target="https://sbrownlawyer.com/2014/04/18/no-fault-divorce-covenant-marriage-and-domestic-violence/" TargetMode="External"/><Relationship Id="rId235" Type="http://schemas.openxmlformats.org/officeDocument/2006/relationships/hyperlink" Target="https://sbrownlawyer.com/mothers-rights/" TargetMode="External"/><Relationship Id="rId477" Type="http://schemas.openxmlformats.org/officeDocument/2006/relationships/hyperlink" Target="https://sbrownlawyer.com/2014/07/18/child-custody-battles-shouldnt-be-affected-by-deployment-status/" TargetMode="External"/><Relationship Id="rId1066" Type="http://schemas.openxmlformats.org/officeDocument/2006/relationships/hyperlink" Target="https://sbrownlawyer.com/2012/12/03/petraeus-debacle-to-end-in-divorce/" TargetMode="External"/><Relationship Id="rId234" Type="http://schemas.openxmlformats.org/officeDocument/2006/relationships/hyperlink" Target="https://sbrownlawyer.com/league-city-2/" TargetMode="External"/><Relationship Id="rId476" Type="http://schemas.openxmlformats.org/officeDocument/2006/relationships/hyperlink" Target="https://sbrownlawyer.com/2015/10/27/child-custody-cases-require-personal-attention-to-the-details/" TargetMode="External"/><Relationship Id="rId1067" Type="http://schemas.openxmlformats.org/officeDocument/2006/relationships/hyperlink" Target="https://sbrownlawyer.com/2018/02/22/getting-a-dwi-in-texas-while-you-live-in-another-state/" TargetMode="External"/><Relationship Id="rId233" Type="http://schemas.openxmlformats.org/officeDocument/2006/relationships/hyperlink" Target="https://sbrownlawyer.com/uber-lyft-rideshare-accidents/" TargetMode="External"/><Relationship Id="rId475" Type="http://schemas.openxmlformats.org/officeDocument/2006/relationships/hyperlink" Target="https://sbrownlawyer.com/family-law-attorney-in-galveston/" TargetMode="External"/><Relationship Id="rId1068" Type="http://schemas.openxmlformats.org/officeDocument/2006/relationships/hyperlink" Target="https://sbrownlawyer.com/page/13/" TargetMode="External"/><Relationship Id="rId232" Type="http://schemas.openxmlformats.org/officeDocument/2006/relationships/hyperlink" Target="https://sbrownlawyer.com/personal-injury/nonvehicle-liability-insurance/" TargetMode="External"/><Relationship Id="rId474" Type="http://schemas.openxmlformats.org/officeDocument/2006/relationships/hyperlink" Target="https://sbrownlawyer.com/2012/05/10/family-law-do-child-custody-managers-have-too-much-power/" TargetMode="External"/><Relationship Id="rId1069" Type="http://schemas.openxmlformats.org/officeDocument/2006/relationships/hyperlink" Target="https://sbrownlawyer.com/blog/page/14/?et_blog" TargetMode="External"/><Relationship Id="rId1015" Type="http://schemas.openxmlformats.org/officeDocument/2006/relationships/hyperlink" Target="https://sbrownlawyer.com/2012/06/29/qdro-and-texas-divorce-dividing-pensions-and-retirement-accounts/" TargetMode="External"/><Relationship Id="rId1016" Type="http://schemas.openxmlformats.org/officeDocument/2006/relationships/hyperlink" Target="https://sbrownlawyer.com/angleton-slip-fall-accidents-lawyer/" TargetMode="External"/><Relationship Id="rId1017" Type="http://schemas.openxmlformats.org/officeDocument/2006/relationships/hyperlink" Target="https://sbrownlawyer.com/2018/08/14/spinal-injuries-lead-to-a-host-of-issues-for-victims/" TargetMode="External"/><Relationship Id="rId1018" Type="http://schemas.openxmlformats.org/officeDocument/2006/relationships/hyperlink" Target="https://sbrownlawyer.com/angleton-serious-injuries-lawyer/" TargetMode="External"/><Relationship Id="rId1019" Type="http://schemas.openxmlformats.org/officeDocument/2006/relationships/hyperlink" Target="https://sbrownlawyer.com/2009/04/15/three-types-of-alienators-in-parental-alienation/" TargetMode="External"/><Relationship Id="rId426" Type="http://schemas.openxmlformats.org/officeDocument/2006/relationships/hyperlink" Target="https://sbrownlawyer.com/2021/06/15/11-questions-to-ask-before-hiring-a-criminal-defense-attorney/" TargetMode="External"/><Relationship Id="rId668" Type="http://schemas.openxmlformats.org/officeDocument/2006/relationships/hyperlink" Target="https://sbrownlawyer.com/2019/10/08/can-you-sue-a-partner-that-infected-you-with-an-std/" TargetMode="External"/><Relationship Id="rId425" Type="http://schemas.openxmlformats.org/officeDocument/2006/relationships/hyperlink" Target="https://sbrownlawyer.com/Family-Law/Child-Custody" TargetMode="External"/><Relationship Id="rId667" Type="http://schemas.openxmlformats.org/officeDocument/2006/relationships/hyperlink" Target="https://sbrownlawyer.com/2020/07/13/10-signs-divorced-parents-are-doing-right-by-their-kids/" TargetMode="External"/><Relationship Id="rId424" Type="http://schemas.openxmlformats.org/officeDocument/2006/relationships/hyperlink" Target="https://sbrownlawyer.com/2021/07/05/what-to-expect-out-of-a-divorce-trial/" TargetMode="External"/><Relationship Id="rId666" Type="http://schemas.openxmlformats.org/officeDocument/2006/relationships/hyperlink" Target="https://sbrownlawyer.com/2013/02/15/privacy-could-be-a-myth-during-a-texas-divorce/" TargetMode="External"/><Relationship Id="rId423" Type="http://schemas.openxmlformats.org/officeDocument/2006/relationships/hyperlink" Target="https://sbrownlawyer.com/Financial-Steps-Individuals-Should-Take-To-Prepare-For-Divorce/" TargetMode="External"/><Relationship Id="rId665" Type="http://schemas.openxmlformats.org/officeDocument/2006/relationships/hyperlink" Target="https://sbrownlawyer.com/2013/Family-Law/Spousal-Support" TargetMode="External"/><Relationship Id="rId429" Type="http://schemas.openxmlformats.org/officeDocument/2006/relationships/hyperlink" Target="https://sbrownlawyer.com/2012/09/13/the-benefit-and-downfalls-of-using-technology-to-co-parent/" TargetMode="External"/><Relationship Id="rId428" Type="http://schemas.openxmlformats.org/officeDocument/2006/relationships/hyperlink" Target="https://sbrownlawyer.com/2014/01/31/college-station-man-in-custody-after-domestic-violence-incident/" TargetMode="External"/><Relationship Id="rId427" Type="http://schemas.openxmlformats.org/officeDocument/2006/relationships/hyperlink" Target="https://sbrownlawyer.com/2014/01/27/study-counties-with-more-protestants-have-higher-divorce-rate/" TargetMode="External"/><Relationship Id="rId669" Type="http://schemas.openxmlformats.org/officeDocument/2006/relationships/hyperlink" Target="https://sbrownlawyer.com/domestic-violence" TargetMode="External"/><Relationship Id="rId660" Type="http://schemas.openxmlformats.org/officeDocument/2006/relationships/hyperlink" Target="https://sbrownlawyer.com/2016/04/01/do-i-need-an-attorney-even-if-we-dont-have-children/" TargetMode="External"/><Relationship Id="rId1010" Type="http://schemas.openxmlformats.org/officeDocument/2006/relationships/hyperlink" Target="https://sbrownlawyer.com/2014/09/09/considerations-for-child-custody-in-texas-vary-for-infants/" TargetMode="External"/><Relationship Id="rId422" Type="http://schemas.openxmlformats.org/officeDocument/2006/relationships/hyperlink" Target="https://sbrownlawyer.com/Termination" TargetMode="External"/><Relationship Id="rId664" Type="http://schemas.openxmlformats.org/officeDocument/2006/relationships/hyperlink" Target="https://sbrownlawyer.com/2013/12/12/dallas-high-school-athletes-pledge-to-help-end-domestic-violence/" TargetMode="External"/><Relationship Id="rId1011" Type="http://schemas.openxmlformats.org/officeDocument/2006/relationships/hyperlink" Target="https://sbrownlawyer.com/Sex-Crimes" TargetMode="External"/><Relationship Id="rId421" Type="http://schemas.openxmlformats.org/officeDocument/2006/relationships/hyperlink" Target="https://sbrownlawyer.com/2022/01/25/answers-to-common-questions-about-your-property-rights-when-you-divorce/" TargetMode="External"/><Relationship Id="rId663" Type="http://schemas.openxmlformats.org/officeDocument/2006/relationships/hyperlink" Target="https://sbrownlawyer.com/2015/02/20/child-support-rights-of-grandparents-with-custody-of-a-grandchild/" TargetMode="External"/><Relationship Id="rId1012" Type="http://schemas.openxmlformats.org/officeDocument/2006/relationships/hyperlink" Target="https://sbrownlawyer.com/2018/07/02/are-there-harsh-penalties-if-i-get-caught-with-marijuana-oils-or-edibles-in-texas/" TargetMode="External"/><Relationship Id="rId420" Type="http://schemas.openxmlformats.org/officeDocument/2006/relationships/hyperlink" Target="https://sbrownlawyer.com/2022/03/06/divorce-who-gets-the-house/" TargetMode="External"/><Relationship Id="rId662" Type="http://schemas.openxmlformats.org/officeDocument/2006/relationships/hyperlink" Target="https://sbrownlawyer.com/2016/Family-Law/Spousal-Support" TargetMode="External"/><Relationship Id="rId1013" Type="http://schemas.openxmlformats.org/officeDocument/2006/relationships/hyperlink" Target="https://sbrownlawyer.com/2009/05/13/the-obsessed-alienator/" TargetMode="External"/><Relationship Id="rId661" Type="http://schemas.openxmlformats.org/officeDocument/2006/relationships/hyperlink" Target="https://sbrownlawyer.com/2016/Criminal-Law/Domestic-Violence/Protective-Orders-Divorce" TargetMode="External"/><Relationship Id="rId1014" Type="http://schemas.openxmlformats.org/officeDocument/2006/relationships/hyperlink" Target="https://sbrownlawyer.com/2014/05/30/texas-woman-fights-to-keep-children-she-took-in-last-year/" TargetMode="External"/><Relationship Id="rId1004" Type="http://schemas.openxmlformats.org/officeDocument/2006/relationships/hyperlink" Target="https://sbrownlawyer.com/2019/07/01/charged-with-dwi-now-what/" TargetMode="External"/><Relationship Id="rId1005" Type="http://schemas.openxmlformats.org/officeDocument/2006/relationships/hyperlink" Target="https://sbrownlawyer.com/2018/06/18/who-gets-the-family-pet-in-a-divorce/" TargetMode="External"/><Relationship Id="rId1006" Type="http://schemas.openxmlformats.org/officeDocument/2006/relationships/hyperlink" Target="https://sbrownlawyer.com/2012/07/06/college-after-parents-divorce-who-pays-the-bill/" TargetMode="External"/><Relationship Id="rId1007" Type="http://schemas.openxmlformats.org/officeDocument/2006/relationships/hyperlink" Target="https://sbrownlawyer.com/2014/03/28/property-division-and-other-considerations-in-adkins-divorce/" TargetMode="External"/><Relationship Id="rId1008" Type="http://schemas.openxmlformats.org/officeDocument/2006/relationships/hyperlink" Target="https://sbrownlawyer.com/2018/03/13/addressing-issues-for-same-sex-divorces-in-texas/" TargetMode="External"/><Relationship Id="rId1009" Type="http://schemas.openxmlformats.org/officeDocument/2006/relationships/hyperlink" Target="https://sbrownlawyer.com/2018/04/23/how-do-bond-reductions-work/" TargetMode="External"/><Relationship Id="rId415" Type="http://schemas.openxmlformats.org/officeDocument/2006/relationships/hyperlink" Target="https://sbrownlawyer.com/Child-Protective-Services-CPS" TargetMode="External"/><Relationship Id="rId657" Type="http://schemas.openxmlformats.org/officeDocument/2006/relationships/hyperlink" Target="https://sbrownlawyer.com/2015/06/16/improve-your-safety-when-you-flee-a-domestic-abuse-situation/" TargetMode="External"/><Relationship Id="rId899" Type="http://schemas.openxmlformats.org/officeDocument/2006/relationships/hyperlink" Target="https://sbrownlawyer.com/2019/08/30/what-to-do-in-a-hit-and-run/" TargetMode="External"/><Relationship Id="rId414" Type="http://schemas.openxmlformats.org/officeDocument/2006/relationships/hyperlink" Target="https://sbrownlawyer.com/Property-division-during-divorce-does-not-have-to-destroy-a-business/" TargetMode="External"/><Relationship Id="rId656" Type="http://schemas.openxmlformats.org/officeDocument/2006/relationships/hyperlink" Target="https://sbrownlawyer.com/2015/05/08/what-if-im-accused-of-child-abuse/" TargetMode="External"/><Relationship Id="rId898" Type="http://schemas.openxmlformats.org/officeDocument/2006/relationships/hyperlink" Target="https://sbrownlawyer.com/league-city-dwi-lawyer/" TargetMode="External"/><Relationship Id="rId413" Type="http://schemas.openxmlformats.org/officeDocument/2006/relationships/hyperlink" Target="https://sbrownlawyer.com/Domestic-Abuse-And-Protective-Orders" TargetMode="External"/><Relationship Id="rId655" Type="http://schemas.openxmlformats.org/officeDocument/2006/relationships/hyperlink" Target="https://sbrownlawyer.com/Fathers-Rights/" TargetMode="External"/><Relationship Id="rId897" Type="http://schemas.openxmlformats.org/officeDocument/2006/relationships/hyperlink" Target="https://sbrownlawyer.com/2019/04/15/avoid-a-messy-divorce-how-to-choose-the-right-divorce-lawyer/" TargetMode="External"/><Relationship Id="rId412" Type="http://schemas.openxmlformats.org/officeDocument/2006/relationships/hyperlink" Target="https://sbrownlawyer.com/Scott-M-Brown" TargetMode="External"/><Relationship Id="rId654" Type="http://schemas.openxmlformats.org/officeDocument/2006/relationships/hyperlink" Target="https://sbrownlawyer.com/2013/10/31/infidelity-lies-and-breakup-not-just-in-lambert-shelton-songs/" TargetMode="External"/><Relationship Id="rId896" Type="http://schemas.openxmlformats.org/officeDocument/2006/relationships/hyperlink" Target="https://sbrownlawyer.com/2016/01/14/what-is-the-difference-between-fixed-and-reasonable-visitation/" TargetMode="External"/><Relationship Id="rId419" Type="http://schemas.openxmlformats.org/officeDocument/2006/relationships/hyperlink" Target="https://sbrownlawyer.com/league-city-complex-and-contested-divorce/" TargetMode="External"/><Relationship Id="rId418" Type="http://schemas.openxmlformats.org/officeDocument/2006/relationships/hyperlink" Target="https://sbrownlawyer.com/contested-custody/Modification-of-Custody" TargetMode="External"/><Relationship Id="rId417" Type="http://schemas.openxmlformats.org/officeDocument/2006/relationships/hyperlink" Target="https://sbrownlawyer.com/Attorneys/Scott-M-Brown" TargetMode="External"/><Relationship Id="rId659" Type="http://schemas.openxmlformats.org/officeDocument/2006/relationships/hyperlink" Target="https://sbrownlawyer.com/2016/02/18/how-does-bankruptcy-affect-child-support/" TargetMode="External"/><Relationship Id="rId416" Type="http://schemas.openxmlformats.org/officeDocument/2006/relationships/hyperlink" Target="https://sbrownlawyer.com/Paternity" TargetMode="External"/><Relationship Id="rId658" Type="http://schemas.openxmlformats.org/officeDocument/2006/relationships/hyperlink" Target="https://sbrownlawyer.com/Family-Law/Visitation/" TargetMode="External"/><Relationship Id="rId891" Type="http://schemas.openxmlformats.org/officeDocument/2006/relationships/hyperlink" Target="https://sbrownlawyer.com/2012/07/27/child-support-ordered-for-adopted-boy-abandoned-by-mom/" TargetMode="External"/><Relationship Id="rId890" Type="http://schemas.openxmlformats.org/officeDocument/2006/relationships/hyperlink" Target="https://sbrownlawyer.com/2013/10/10/october-is-domestic-violence-awareness-and-prevention-month/" TargetMode="External"/><Relationship Id="rId411" Type="http://schemas.openxmlformats.org/officeDocument/2006/relationships/hyperlink" Target="https://sbrownlawyer.com/Divorce-in-Texas-and-the-possibility-of-spousal-support-payments/" TargetMode="External"/><Relationship Id="rId653" Type="http://schemas.openxmlformats.org/officeDocument/2006/relationships/hyperlink" Target="https://sbrownlawyer.com/2017/12/07/new-texas-law-aims-at-children-left-in-hot-cars/" TargetMode="External"/><Relationship Id="rId895" Type="http://schemas.openxmlformats.org/officeDocument/2006/relationships/hyperlink" Target="https://sbrownlawyer.com/2012/10/19/a-texas-divorce-cannot-always-be-settled-in-a-trial-court/" TargetMode="External"/><Relationship Id="rId1000" Type="http://schemas.openxmlformats.org/officeDocument/2006/relationships/hyperlink" Target="https://sbrownlawyer.com/page/10/" TargetMode="External"/><Relationship Id="rId410" Type="http://schemas.openxmlformats.org/officeDocument/2006/relationships/hyperlink" Target="https://sbrownlawyer.com/Division-Of-Property" TargetMode="External"/><Relationship Id="rId652" Type="http://schemas.openxmlformats.org/officeDocument/2006/relationships/hyperlink" Target="https://sbrownlawyer.com/2017/04/21/the-role-of-the-life-care-planner-in-a-serious-injury-case/" TargetMode="External"/><Relationship Id="rId894" Type="http://schemas.openxmlformats.org/officeDocument/2006/relationships/hyperlink" Target="https://sbrownlawyer.com/2014/03/07/houston-attorney-general-takes-part-in-domestic-violence-sweep/" TargetMode="External"/><Relationship Id="rId1001" Type="http://schemas.openxmlformats.org/officeDocument/2006/relationships/hyperlink" Target="https://sbrownlawyer.com/2018/05/15/what-is-medical-support-in-texas/" TargetMode="External"/><Relationship Id="rId651" Type="http://schemas.openxmlformats.org/officeDocument/2006/relationships/hyperlink" Target="https://sbrownlawyer.com/2017/04/08/what-happens-if-i-refuse-to-take-a-test-when-arrested-for-a-dwi/" TargetMode="External"/><Relationship Id="rId893" Type="http://schemas.openxmlformats.org/officeDocument/2006/relationships/hyperlink" Target="https://sbrownlawyer.com/pearland-marijuana-possession/" TargetMode="External"/><Relationship Id="rId1002" Type="http://schemas.openxmlformats.org/officeDocument/2006/relationships/hyperlink" Target="https://sbrownlawyer.com/2018/05/22/what-is-power-of-attorney-and-how-does-it-work/" TargetMode="External"/><Relationship Id="rId650" Type="http://schemas.openxmlformats.org/officeDocument/2006/relationships/hyperlink" Target="https://sbrownlawyer.com/2017/12/22/tickets-for-driving-without-car-insurnace-now-in-effect/" TargetMode="External"/><Relationship Id="rId892" Type="http://schemas.openxmlformats.org/officeDocument/2006/relationships/hyperlink" Target="https://sbrownlawyer.com/2013/07/16/should-spousal-support-be-gender-blind/" TargetMode="External"/><Relationship Id="rId1003" Type="http://schemas.openxmlformats.org/officeDocument/2006/relationships/hyperlink" Target="https://sbrownlawyer.com/2012/11/07/importance-of-knowing-legal-options-in-texas-child-support-fights/" TargetMode="External"/><Relationship Id="rId1037" Type="http://schemas.openxmlformats.org/officeDocument/2006/relationships/hyperlink" Target="https://sbrownlawyer.com/2019/06/10/i-was-hit-by-an-uninsured-driver-and-injured/" TargetMode="External"/><Relationship Id="rId1038" Type="http://schemas.openxmlformats.org/officeDocument/2006/relationships/hyperlink" Target="https://sbrownlawyer.com/2014/10/17/iggy-azalea-isnt-married-but-she-was-sued-for-divorce-in-texas/" TargetMode="External"/><Relationship Id="rId1039" Type="http://schemas.openxmlformats.org/officeDocument/2006/relationships/hyperlink" Target="https://sbrownlawyer.com/2012/12/27/what-happens-if-a-business-is-part-of-a-texas-divorce/" TargetMode="External"/><Relationship Id="rId206" Type="http://schemas.openxmlformats.org/officeDocument/2006/relationships/hyperlink" Target="https://sbrownlawyer.com/2013/08/29/texas-dad-granted-custody-awaits-return-of-daughter-from-overseas/" TargetMode="External"/><Relationship Id="rId448" Type="http://schemas.openxmlformats.org/officeDocument/2006/relationships/hyperlink" Target="https://sbrownlawyer.com/domestic-violence-lawyer-in-league-city-tx/" TargetMode="External"/><Relationship Id="rId205" Type="http://schemas.openxmlformats.org/officeDocument/2006/relationships/hyperlink" Target="https://sbrownlawyer.com/2012/09/05/texas-divorce-parent-fights-for-daughters-overseas-return/" TargetMode="External"/><Relationship Id="rId447" Type="http://schemas.openxmlformats.org/officeDocument/2006/relationships/hyperlink" Target="https://sbrownlawyer.com/2021/04/21/dwi-consequences-in-texas-whats-the-maximum-penalty-for-a-dwi/" TargetMode="External"/><Relationship Id="rId689" Type="http://schemas.openxmlformats.org/officeDocument/2006/relationships/hyperlink" Target="https://sbrownlawyer.com/2017/06/12/are-dwi-checkpoints-legal-in-texas/" TargetMode="External"/><Relationship Id="rId204" Type="http://schemas.openxmlformats.org/officeDocument/2006/relationships/hyperlink" Target="https://sbrownlawyer.com/family-law/" TargetMode="External"/><Relationship Id="rId446" Type="http://schemas.openxmlformats.org/officeDocument/2006/relationships/hyperlink" Target="https://sbrownlawyer.com/2020/05/07/what-you-need-to-know-about-child-custody-laws-in-texas/" TargetMode="External"/><Relationship Id="rId688" Type="http://schemas.openxmlformats.org/officeDocument/2006/relationships/hyperlink" Target="https://sbrownlawyer.com/field-sobriety-test/Breath-Blood-Test-Issues" TargetMode="External"/><Relationship Id="rId203" Type="http://schemas.openxmlformats.org/officeDocument/2006/relationships/hyperlink" Target="https://sbrownlawyer.com/2014/01/31/will-texas-lawmakers-consider-a-shared-custody-law/" TargetMode="External"/><Relationship Id="rId445" Type="http://schemas.openxmlformats.org/officeDocument/2006/relationships/hyperlink" Target="https://sbrownlawyer.com/2021/01/30/all-about-child-custody-in-texas/" TargetMode="External"/><Relationship Id="rId687" Type="http://schemas.openxmlformats.org/officeDocument/2006/relationships/hyperlink" Target="https://sbrownlawyer.com/dwi" TargetMode="External"/><Relationship Id="rId209" Type="http://schemas.openxmlformats.org/officeDocument/2006/relationships/hyperlink" Target="https://sbrownlawyer.com/2015/09/18/domestic-violence-and-child-protective-services/" TargetMode="External"/><Relationship Id="rId208" Type="http://schemas.openxmlformats.org/officeDocument/2006/relationships/hyperlink" Target="https://sbrownlawyer.com/2015/11/20/new-legislation-may-affect-parents-receiving-child-support/" TargetMode="External"/><Relationship Id="rId207" Type="http://schemas.openxmlformats.org/officeDocument/2006/relationships/hyperlink" Target="https://sbrownlawyer.com/2013/11/06/north-texas-man-involved-in-international-custody-dispute/" TargetMode="External"/><Relationship Id="rId449" Type="http://schemas.openxmlformats.org/officeDocument/2006/relationships/hyperlink" Target="https://sbrownlawyer.com/2020/12/05/children-and-divorce-a-step-by-step-guide-on-child-custody/" TargetMode="External"/><Relationship Id="rId440" Type="http://schemas.openxmlformats.org/officeDocument/2006/relationships/hyperlink" Target="https://sbrownlawyer.com/2020/12/28/what-to-ask-your-family-lawyer-about-your-child-custody-agreement/" TargetMode="External"/><Relationship Id="rId682" Type="http://schemas.openxmlformats.org/officeDocument/2006/relationships/hyperlink" Target="https://sbrownlawyer.com/league-city-car-accidents/" TargetMode="External"/><Relationship Id="rId681" Type="http://schemas.openxmlformats.org/officeDocument/2006/relationships/hyperlink" Target="https://sbrownlawyer.com/2014/12/04/how-can-i-make-holiday-visitation-easier-on-my-child/" TargetMode="External"/><Relationship Id="rId1030" Type="http://schemas.openxmlformats.org/officeDocument/2006/relationships/hyperlink" Target="https://sbrownlawyer.com/2018/06/25/can-new-car-technology-actually-be-distracting-to-drivers/" TargetMode="External"/><Relationship Id="rId680" Type="http://schemas.openxmlformats.org/officeDocument/2006/relationships/hyperlink" Target="https://sbrownlawyer.com/2021/02/07/when-is-it-time-to-hire-a-family-divorce-lawyer/" TargetMode="External"/><Relationship Id="rId1031" Type="http://schemas.openxmlformats.org/officeDocument/2006/relationships/hyperlink" Target="https://sbrownlawyer.com/2012/11/19/texas-visitation-grandparents-accuse-parents-of-deprivation/" TargetMode="External"/><Relationship Id="rId1032" Type="http://schemas.openxmlformats.org/officeDocument/2006/relationships/hyperlink" Target="https://sbrownlawyer.com/2018/05/10/personal-injuries-pain-and-suffering-damages-in-texas/" TargetMode="External"/><Relationship Id="rId202" Type="http://schemas.openxmlformats.org/officeDocument/2006/relationships/hyperlink" Target="https://sbrownlawyer.com/2021/06/26/what-are-your-rights-regarding-texas-child-custody-law/" TargetMode="External"/><Relationship Id="rId444" Type="http://schemas.openxmlformats.org/officeDocument/2006/relationships/hyperlink" Target="https://sbrownlawyer.com/2014/Family-Law/Domestic-Abuse-And-Protective-Orders" TargetMode="External"/><Relationship Id="rId686" Type="http://schemas.openxmlformats.org/officeDocument/2006/relationships/hyperlink" Target="https://sbrownlawyer.com/Drug-Charges/Prescription-Drug-Charges" TargetMode="External"/><Relationship Id="rId1033" Type="http://schemas.openxmlformats.org/officeDocument/2006/relationships/hyperlink" Target="https://sbrownlawyer.com/page/11/" TargetMode="External"/><Relationship Id="rId201" Type="http://schemas.openxmlformats.org/officeDocument/2006/relationships/hyperlink" Target="https://sbrownlawyer.com/divorce" TargetMode="External"/><Relationship Id="rId443" Type="http://schemas.openxmlformats.org/officeDocument/2006/relationships/hyperlink" Target="https://sbrownlawyer.com/2014/12/11/woman-shot-in-head-after-history-of-domestic-violence/" TargetMode="External"/><Relationship Id="rId685" Type="http://schemas.openxmlformats.org/officeDocument/2006/relationships/hyperlink" Target="https://sbrownlawyer.com/2017/10/15/8-factors-that-affect-divorce-after-age-50/" TargetMode="External"/><Relationship Id="rId1034" Type="http://schemas.openxmlformats.org/officeDocument/2006/relationships/hyperlink" Target="https://sbrownlawyer.com/blog/page/12/?et_blog" TargetMode="External"/><Relationship Id="rId200" Type="http://schemas.openxmlformats.org/officeDocument/2006/relationships/hyperlink" Target="https://sbrownlawyer.com/scott-m-brown/" TargetMode="External"/><Relationship Id="rId442" Type="http://schemas.openxmlformats.org/officeDocument/2006/relationships/hyperlink" Target="https://sbrownlawyer.com/2021/05/15/what-are-the-advantages-of-hiring-a-good-divorce-attorney/" TargetMode="External"/><Relationship Id="rId684" Type="http://schemas.openxmlformats.org/officeDocument/2006/relationships/hyperlink" Target="https://sbrownlawyer.com/league-city-tx-drug-possession-defense/" TargetMode="External"/><Relationship Id="rId1035" Type="http://schemas.openxmlformats.org/officeDocument/2006/relationships/hyperlink" Target="https://sbrownlawyer.com/pearland-weapons-charge-lawyer/" TargetMode="External"/><Relationship Id="rId441" Type="http://schemas.openxmlformats.org/officeDocument/2006/relationships/hyperlink" Target="https://sbrownlawyer.com/2021/12/10/getting-child-custody-in-texas/" TargetMode="External"/><Relationship Id="rId683" Type="http://schemas.openxmlformats.org/officeDocument/2006/relationships/hyperlink" Target="https://sbrownlawyer.com/League%20City-tx-criminal-defense-lawyers/" TargetMode="External"/><Relationship Id="rId1036" Type="http://schemas.openxmlformats.org/officeDocument/2006/relationships/hyperlink" Target="https://sbrownlawyer.com/2013/01/04/texas-town-holds-dubious-divorce-honors/" TargetMode="External"/><Relationship Id="rId1026" Type="http://schemas.openxmlformats.org/officeDocument/2006/relationships/hyperlink" Target="https://sbrownlawyer.com/2014/Family-Law/Child-Custody/Custody-Schedules-For-Infants" TargetMode="External"/><Relationship Id="rId1027" Type="http://schemas.openxmlformats.org/officeDocument/2006/relationships/hyperlink" Target="https://sbrownlawyer.com/2018/03/01/who-gets-the-pets-in-a-divorce/" TargetMode="External"/><Relationship Id="rId1028" Type="http://schemas.openxmlformats.org/officeDocument/2006/relationships/hyperlink" Target="https://sbrownlawyer.com/2014/04/04/bode-millers-sons-mother-hopes-for-amicable-child-custody-plan/" TargetMode="External"/><Relationship Id="rId1029" Type="http://schemas.openxmlformats.org/officeDocument/2006/relationships/hyperlink" Target="https://sbrownlawyer.com/2019/06/19/what-is-considered-reckless-driving/" TargetMode="External"/><Relationship Id="rId437" Type="http://schemas.openxmlformats.org/officeDocument/2006/relationships/hyperlink" Target="https://sbrownlawyer.com/2015/11/27/court-says-that-embryos-owned-by-divorced-couple-can-be-destroyed/" TargetMode="External"/><Relationship Id="rId679" Type="http://schemas.openxmlformats.org/officeDocument/2006/relationships/hyperlink" Target="https://sbrownlawyer.com/2021/01/15/do-you-have-to-hire-a-lawyer-after-drunk-driving/" TargetMode="External"/><Relationship Id="rId436" Type="http://schemas.openxmlformats.org/officeDocument/2006/relationships/hyperlink" Target="https://sbrownlawyer.com/2015/09/10/why-are-family-care-plans-important-for-military-parents/" TargetMode="External"/><Relationship Id="rId678" Type="http://schemas.openxmlformats.org/officeDocument/2006/relationships/hyperlink" Target="https://sbrownlawyer.com/League%20City-aggravated-assault-lawyer/" TargetMode="External"/><Relationship Id="rId435" Type="http://schemas.openxmlformats.org/officeDocument/2006/relationships/hyperlink" Target="https://sbrownlawyer.com/2015/11/13/is-divorce-actually-good-for-anything/" TargetMode="External"/><Relationship Id="rId677" Type="http://schemas.openxmlformats.org/officeDocument/2006/relationships/hyperlink" Target="https://sbrownlawyer.com/domestic-violence-lawyer-in-League%20City-tx/" TargetMode="External"/><Relationship Id="rId434" Type="http://schemas.openxmlformats.org/officeDocument/2006/relationships/hyperlink" Target="https://sbrownlawyer.com/2013/11/13/henderson-county-police-round-up-child-support-violators/" TargetMode="External"/><Relationship Id="rId676" Type="http://schemas.openxmlformats.org/officeDocument/2006/relationships/hyperlink" Target="https://sbrownlawyer.com/2020/11/29/how-long-does-a-dwi-stay-on-your-record-in-texas/" TargetMode="External"/><Relationship Id="rId439" Type="http://schemas.openxmlformats.org/officeDocument/2006/relationships/hyperlink" Target="https://sbrownlawyer.com/2015/09/25/the-pope-changes-marriage-annulments-making-them-fast-and-cheap/" TargetMode="External"/><Relationship Id="rId438" Type="http://schemas.openxmlformats.org/officeDocument/2006/relationships/hyperlink" Target="https://sbrownlawyer.com/2015/Family-Law/Child-Protective-Services-CPS" TargetMode="External"/><Relationship Id="rId671" Type="http://schemas.openxmlformats.org/officeDocument/2006/relationships/hyperlink" Target="https://sbrownlawyer.com/domestic-violence/" TargetMode="External"/><Relationship Id="rId670" Type="http://schemas.openxmlformats.org/officeDocument/2006/relationships/hyperlink" Target="https://sbrownlawyer.com/rule-1-file-first" TargetMode="External"/><Relationship Id="rId1020" Type="http://schemas.openxmlformats.org/officeDocument/2006/relationships/hyperlink" Target="https://sbrownlawyer.com/2018/07/01/can-mental-health-impact-child-custody/" TargetMode="External"/><Relationship Id="rId1021" Type="http://schemas.openxmlformats.org/officeDocument/2006/relationships/hyperlink" Target="https://sbrownlawyer.com/Drug-Charges/" TargetMode="External"/><Relationship Id="rId433" Type="http://schemas.openxmlformats.org/officeDocument/2006/relationships/hyperlink" Target="https://sbrownlawyer.com/2013/11/03/the-silver-lining-to-filing-a-silver-divorce/" TargetMode="External"/><Relationship Id="rId675" Type="http://schemas.openxmlformats.org/officeDocument/2006/relationships/hyperlink" Target="https://sbrownlawyer.com/2020/10/14/when-all-hope-is-lost-when-to-get-a-divorce/" TargetMode="External"/><Relationship Id="rId1022" Type="http://schemas.openxmlformats.org/officeDocument/2006/relationships/hyperlink" Target="https://sbrownlawyer.com/Sex-Crimes/" TargetMode="External"/><Relationship Id="rId432" Type="http://schemas.openxmlformats.org/officeDocument/2006/relationships/hyperlink" Target="https://sbrownlawyer.com/2013/08/20/texas-parents-in-custody-for-not-paying-child-support/" TargetMode="External"/><Relationship Id="rId674" Type="http://schemas.openxmlformats.org/officeDocument/2006/relationships/hyperlink" Target="https://sbrownlawyer.com/2020/11/13/these-are-the-different-types-of-divorce-in-texas/" TargetMode="External"/><Relationship Id="rId1023" Type="http://schemas.openxmlformats.org/officeDocument/2006/relationships/hyperlink" Target="https://sbrownlawyer.com/2014/09/12/how-can-i-protect-myself-after-domestic-violence/" TargetMode="External"/><Relationship Id="rId431" Type="http://schemas.openxmlformats.org/officeDocument/2006/relationships/hyperlink" Target="https://sbrownlawyer.com/2013/09/03/texas-males-can-also-be-victims-of-domestic-violence/" TargetMode="External"/><Relationship Id="rId673" Type="http://schemas.openxmlformats.org/officeDocument/2006/relationships/hyperlink" Target="https://sbrownlawyer.com/2020/06/16/accepting-divorce-our-advice-for-overcoming-grief-and-frustration/" TargetMode="External"/><Relationship Id="rId1024" Type="http://schemas.openxmlformats.org/officeDocument/2006/relationships/hyperlink" Target="https://sbrownlawyer.com/2014/05/30/domestic-violence-victims-can-find-help-at-shelters/" TargetMode="External"/><Relationship Id="rId430" Type="http://schemas.openxmlformats.org/officeDocument/2006/relationships/hyperlink" Target="https://sbrownlawyer.com/2012/08/29/dealing-with-anger-in-a-texas-divorce/" TargetMode="External"/><Relationship Id="rId672" Type="http://schemas.openxmlformats.org/officeDocument/2006/relationships/hyperlink" Target="https://sbrownlawyer.com/criminal-law/first-offenders/" TargetMode="External"/><Relationship Id="rId1025" Type="http://schemas.openxmlformats.org/officeDocument/2006/relationships/hyperlink" Target="https://sbrownlawyer.com/2018/04/27/drowsy-driving-creates-high-risk-for-car-accidents/"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sbrownlawyer.com/health-coverage-accident-claims/" TargetMode="External"/><Relationship Id="rId194" Type="http://schemas.openxmlformats.org/officeDocument/2006/relationships/hyperlink" Target="https://sbrownlawyer.com/debt-division/" TargetMode="External"/><Relationship Id="rId193" Type="http://schemas.openxmlformats.org/officeDocument/2006/relationships/hyperlink" Target="https://sbrownlawyer.com/jennifer-fraker/" TargetMode="External"/><Relationship Id="rId192" Type="http://schemas.openxmlformats.org/officeDocument/2006/relationships/hyperlink" Target="https://sbrownlawyer.com/enforcing-child-support-orders/" TargetMode="External"/><Relationship Id="rId191" Type="http://schemas.openxmlformats.org/officeDocument/2006/relationships/hyperlink" Target="https://sbrownlawyer.com/2018/08/01/can-a-non-parent-pursue-custody/" TargetMode="External"/><Relationship Id="rId187" Type="http://schemas.openxmlformats.org/officeDocument/2006/relationships/hyperlink" Target="https://sbrownlawyer.com/2021/01/30/all-about-child-custody-in-texas/" TargetMode="External"/><Relationship Id="rId186" Type="http://schemas.openxmlformats.org/officeDocument/2006/relationships/hyperlink" Target="https://sbrownlawyer.com/gray-divorce/" TargetMode="External"/><Relationship Id="rId185" Type="http://schemas.openxmlformats.org/officeDocument/2006/relationships/hyperlink" Target="https://sbrownlawyer.com/abogado-de-ajuste-de-estatus-en-pearland/" TargetMode="External"/><Relationship Id="rId184" Type="http://schemas.openxmlformats.org/officeDocument/2006/relationships/hyperlink" Target="https://sbrownlawyer.com/domestic-abuse-and-protective-orders/" TargetMode="External"/><Relationship Id="rId189" Type="http://schemas.openxmlformats.org/officeDocument/2006/relationships/hyperlink" Target="https://sbrownlawyer.com/2018/08/15/how-does-military-deployment-affect-child-custody/" TargetMode="External"/><Relationship Id="rId188" Type="http://schemas.openxmlformats.org/officeDocument/2006/relationships/hyperlink" Target="https://sbrownlawyer.com/2017/04/19/grounds-for-changing-a-custody-order-in-texas/" TargetMode="External"/><Relationship Id="rId183" Type="http://schemas.openxmlformats.org/officeDocument/2006/relationships/hyperlink" Target="https://sbrownlawyer.com/espanol/family-law/" TargetMode="External"/><Relationship Id="rId182" Type="http://schemas.openxmlformats.org/officeDocument/2006/relationships/hyperlink" Target="https://sbrownlawyer.com/galveston-child-custody-lawyer/" TargetMode="External"/><Relationship Id="rId181" Type="http://schemas.openxmlformats.org/officeDocument/2006/relationships/hyperlink" Target="https://sbrownlawyer.com/termination/" TargetMode="External"/><Relationship Id="rId180" Type="http://schemas.openxmlformats.org/officeDocument/2006/relationships/hyperlink" Target="https://sbrownlawyer.com/2024/05/28/benefits-of-collaborative-divorce-in-texas/" TargetMode="External"/><Relationship Id="rId176" Type="http://schemas.openxmlformats.org/officeDocument/2006/relationships/hyperlink" Target="https://sbrownlawyer.com/criminal-defense-lawyer-galveston-county/" TargetMode="External"/><Relationship Id="rId175" Type="http://schemas.openxmlformats.org/officeDocument/2006/relationships/hyperlink" Target="https://sbrownlawyer.com/public-indecency/" TargetMode="External"/><Relationship Id="rId174" Type="http://schemas.openxmlformats.org/officeDocument/2006/relationships/hyperlink" Target="https://sbrownlawyer.com/grandparents-rights/" TargetMode="External"/><Relationship Id="rId173" Type="http://schemas.openxmlformats.org/officeDocument/2006/relationships/hyperlink" Target="https://sbrownlawyer.com/dog-bite-injuries/" TargetMode="External"/><Relationship Id="rId179" Type="http://schemas.openxmlformats.org/officeDocument/2006/relationships/hyperlink" Target="https://sbrownlawyer.com/divorce-lawyer-in-galveston-county/" TargetMode="External"/><Relationship Id="rId178" Type="http://schemas.openxmlformats.org/officeDocument/2006/relationships/hyperlink" Target="https://sbrownlawyer.com/restraining-orders/" TargetMode="External"/><Relationship Id="rId177" Type="http://schemas.openxmlformats.org/officeDocument/2006/relationships/hyperlink" Target="https://sbrownlawyer.com/adjustment-of-status-pearland-lawyer/" TargetMode="External"/><Relationship Id="rId198" Type="http://schemas.openxmlformats.org/officeDocument/2006/relationships/hyperlink" Target="https://sbrownlawyer.com/ella-heath/" TargetMode="External"/><Relationship Id="rId197" Type="http://schemas.openxmlformats.org/officeDocument/2006/relationships/hyperlink" Target="https://sbrownlawyer.com/2014/04/04/bode-millers-sons-mother-hopes-for-amicable-child-custody-plan/" TargetMode="External"/><Relationship Id="rId196" Type="http://schemas.openxmlformats.org/officeDocument/2006/relationships/hyperlink" Target="https://sbrownlawyer.com/2016/01/08/being-current-on-child-support-required-under-new-open-carry-law/" TargetMode="External"/><Relationship Id="rId195" Type="http://schemas.openxmlformats.org/officeDocument/2006/relationships/hyperlink" Target="https://sbrownlawyer.com/texas-family-law/" TargetMode="External"/><Relationship Id="rId199" Type="http://schemas.openxmlformats.org/officeDocument/2006/relationships/hyperlink" Target="https://sbrownlawyer.com/john-c-caldwell/" TargetMode="External"/><Relationship Id="rId150" Type="http://schemas.openxmlformats.org/officeDocument/2006/relationships/hyperlink" Target="https://sbrownlawyer.com/2021/08/30/a-timeline-of-the-divorce-process-how-long-does-it-realistically-take/" TargetMode="External"/><Relationship Id="rId392" Type="http://schemas.openxmlformats.org/officeDocument/2006/relationships/hyperlink" Target="https://sbrownlawyer.com/why-do-you-need-a-divorce-lawyer/" TargetMode="External"/><Relationship Id="rId391" Type="http://schemas.openxmlformats.org/officeDocument/2006/relationships/hyperlink" Target="https://sbrownlawyer.com/major-felonies/" TargetMode="External"/><Relationship Id="rId390" Type="http://schemas.openxmlformats.org/officeDocument/2006/relationships/hyperlink" Target="https://sbrownlawyer.com/2018/01/15/grandparent-rights-in-texas-custody-cases/" TargetMode="External"/><Relationship Id="rId1" Type="http://schemas.openxmlformats.org/officeDocument/2006/relationships/hyperlink" Target="https://sbrownlawyer.com/2024/03/20/texas-child-support-2024/" TargetMode="External"/><Relationship Id="rId2" Type="http://schemas.openxmlformats.org/officeDocument/2006/relationships/hyperlink" Target="https://sbrownlawyer.com/2024/04/24/texas-alimony-am-i-entitled/" TargetMode="External"/><Relationship Id="rId3" Type="http://schemas.openxmlformats.org/officeDocument/2006/relationships/hyperlink" Target="https://sbrownlawyer.com/" TargetMode="External"/><Relationship Id="rId149" Type="http://schemas.openxmlformats.org/officeDocument/2006/relationships/hyperlink" Target="https://sbrownlawyer.com/pearland-probation-violations-lawyer/" TargetMode="External"/><Relationship Id="rId4" Type="http://schemas.openxmlformats.org/officeDocument/2006/relationships/hyperlink" Target="https://sbrownlawyer.com/2020/10/29/how-to-tell-if-youre-too-drunk-to-drive-and-how-to-prevent-yourself-from-becoming-a-drunk-driver/" TargetMode="External"/><Relationship Id="rId148" Type="http://schemas.openxmlformats.org/officeDocument/2006/relationships/hyperlink" Target="https://sbrownlawyer.com/oil-and-mineral-rights/" TargetMode="External"/><Relationship Id="rId9" Type="http://schemas.openxmlformats.org/officeDocument/2006/relationships/hyperlink" Target="https://sbrownlawyer.com/2021/04/07/reasons-grandparents-can-file-for-custody-of-grandchild-in-texas/" TargetMode="External"/><Relationship Id="rId143" Type="http://schemas.openxmlformats.org/officeDocument/2006/relationships/hyperlink" Target="https://sbrownlawyer.com/2014/01/10/texas-man-jailed-even-after-paying-back-child-support/" TargetMode="External"/><Relationship Id="rId385" Type="http://schemas.openxmlformats.org/officeDocument/2006/relationships/hyperlink" Target="https://sbrownlawyer.com/motorcycle-accidents/" TargetMode="External"/><Relationship Id="rId142" Type="http://schemas.openxmlformats.org/officeDocument/2006/relationships/hyperlink" Target="https://sbrownlawyer.com/2014/07/16/paul-george-in-child-custody-and-paternity-case/" TargetMode="External"/><Relationship Id="rId384" Type="http://schemas.openxmlformats.org/officeDocument/2006/relationships/hyperlink" Target="https://sbrownlawyer.com/family-law/visitation/" TargetMode="External"/><Relationship Id="rId141" Type="http://schemas.openxmlformats.org/officeDocument/2006/relationships/hyperlink" Target="https://sbrownlawyer.com/dr-divorce/" TargetMode="External"/><Relationship Id="rId383" Type="http://schemas.openxmlformats.org/officeDocument/2006/relationships/hyperlink" Target="https://sbrownlawyer.com/league-city-motorcycle-accident-lawyer/" TargetMode="External"/><Relationship Id="rId140" Type="http://schemas.openxmlformats.org/officeDocument/2006/relationships/hyperlink" Target="https://sbrownlawyer.com/2022/04/08/proving-fault-in-a-personal-injury-case-how-it-is-done-in-texas/" TargetMode="External"/><Relationship Id="rId382" Type="http://schemas.openxmlformats.org/officeDocument/2006/relationships/hyperlink" Target="https://sbrownlawyer.com/modification-of-custody/" TargetMode="External"/><Relationship Id="rId5" Type="http://schemas.openxmlformats.org/officeDocument/2006/relationships/hyperlink" Target="https://sbrownlawyer.com/2024/05/28/impact-of-a-criminal-record-on-child-custody-cases/" TargetMode="External"/><Relationship Id="rId147" Type="http://schemas.openxmlformats.org/officeDocument/2006/relationships/hyperlink" Target="https://sbrownlawyer.com/league-city-juvenile-crimes-lawyer/" TargetMode="External"/><Relationship Id="rId389" Type="http://schemas.openxmlformats.org/officeDocument/2006/relationships/hyperlink" Target="https://sbrownlawyer.com/retirement-accounts/" TargetMode="External"/><Relationship Id="rId6" Type="http://schemas.openxmlformats.org/officeDocument/2006/relationships/hyperlink" Target="https://sbrownlawyer.com/2020/01/05/texas-passes-new-law-for-assault-on-a-pregnant-woman/" TargetMode="External"/><Relationship Id="rId146" Type="http://schemas.openxmlformats.org/officeDocument/2006/relationships/hyperlink" Target="https://sbrownlawyer.com/head-injury/" TargetMode="External"/><Relationship Id="rId388" Type="http://schemas.openxmlformats.org/officeDocument/2006/relationships/hyperlink" Target="https://sbrownlawyer.com/truck-accidents/" TargetMode="External"/><Relationship Id="rId7" Type="http://schemas.openxmlformats.org/officeDocument/2006/relationships/hyperlink" Target="https://sbrownlawyer.com/criminal-law/first-offenders/" TargetMode="External"/><Relationship Id="rId145" Type="http://schemas.openxmlformats.org/officeDocument/2006/relationships/hyperlink" Target="https://sbrownlawyer.com/asset-division/" TargetMode="External"/><Relationship Id="rId387" Type="http://schemas.openxmlformats.org/officeDocument/2006/relationships/hyperlink" Target="https://sbrownlawyer.com/abogado-de-inmigracion-basada-en-empleo-en-pearland/" TargetMode="External"/><Relationship Id="rId8" Type="http://schemas.openxmlformats.org/officeDocument/2006/relationships/hyperlink" Target="http://www.sbrownlawyer.com/?utm_campaign=gmbangleton" TargetMode="External"/><Relationship Id="rId144" Type="http://schemas.openxmlformats.org/officeDocument/2006/relationships/hyperlink" Target="https://sbrownlawyer.com/2013/11/27/texas-police-officer-accused-of-domestic-violence-still-employed/" TargetMode="External"/><Relationship Id="rId386" Type="http://schemas.openxmlformats.org/officeDocument/2006/relationships/hyperlink" Target="https://sbrownlawyer.com/2017/12/01/modifying-custody-in-the-state-of-texas/" TargetMode="External"/><Relationship Id="rId381" Type="http://schemas.openxmlformats.org/officeDocument/2006/relationships/hyperlink" Target="https://sbrownlawyer.com/pearland-employment-based-immigration-lawyer/" TargetMode="External"/><Relationship Id="rId380" Type="http://schemas.openxmlformats.org/officeDocument/2006/relationships/hyperlink" Target="https://sbrownlawyer.com/league-city-tx-theft-crimes/" TargetMode="External"/><Relationship Id="rId139" Type="http://schemas.openxmlformats.org/officeDocument/2006/relationships/hyperlink" Target="https://sbrownlawyer.com/friendswood-tx-drug-charges/" TargetMode="External"/><Relationship Id="rId138" Type="http://schemas.openxmlformats.org/officeDocument/2006/relationships/hyperlink" Target="https://sbrownlawyer.com/2024/11/29/how-to-meet-texas-adjustment-of-status-requirements-for-spouses/" TargetMode="External"/><Relationship Id="rId137" Type="http://schemas.openxmlformats.org/officeDocument/2006/relationships/hyperlink" Target="https://sbrownlawyer.com/2012/02/13/kobe-bryant-gives-three-homes-to-wife-in-divorce-settlement/" TargetMode="External"/><Relationship Id="rId379" Type="http://schemas.openxmlformats.org/officeDocument/2006/relationships/hyperlink" Target="https://sbrownlawyer.com/2020/07/23/what-is-the-best-dwi-defense-a-look-at-the-different-scenarios/" TargetMode="External"/><Relationship Id="rId132" Type="http://schemas.openxmlformats.org/officeDocument/2006/relationships/hyperlink" Target="https://sbrownlawyer.com/2020/12/16/domestic-violence-victim-tips-on-getting-a-restraining-order/" TargetMode="External"/><Relationship Id="rId374" Type="http://schemas.openxmlformats.org/officeDocument/2006/relationships/hyperlink" Target="https://sbrownlawyer.com/paternity/" TargetMode="External"/><Relationship Id="rId131" Type="http://schemas.openxmlformats.org/officeDocument/2006/relationships/hyperlink" Target="https://sbrownlawyer.com/mothers-rights/" TargetMode="External"/><Relationship Id="rId373" Type="http://schemas.openxmlformats.org/officeDocument/2006/relationships/hyperlink" Target="https://sbrownlawyer.com/abogado-de-inmigracion-familiar-en-pearland-texas/" TargetMode="External"/><Relationship Id="rId130" Type="http://schemas.openxmlformats.org/officeDocument/2006/relationships/hyperlink" Target="https://sbrownlawyer.com/2021/07/05/what-to-expect-out-of-a-divorce-trial/" TargetMode="External"/><Relationship Id="rId372" Type="http://schemas.openxmlformats.org/officeDocument/2006/relationships/hyperlink" Target="https://sbrownlawyer.com/angleton-weapons-charge/" TargetMode="External"/><Relationship Id="rId371" Type="http://schemas.openxmlformats.org/officeDocument/2006/relationships/hyperlink" Target="https://sbrownlawyer.com/personal-injury/neck-and-back-injuries/" TargetMode="External"/><Relationship Id="rId136" Type="http://schemas.openxmlformats.org/officeDocument/2006/relationships/hyperlink" Target="https://sbrownlawyer.com/2009/04/15/three-types-of-alienators-in-parental-alienation/" TargetMode="External"/><Relationship Id="rId378" Type="http://schemas.openxmlformats.org/officeDocument/2006/relationships/hyperlink" Target="https://sbrownlawyer.com/league-city-marital-asset-division-lawyer/" TargetMode="External"/><Relationship Id="rId135" Type="http://schemas.openxmlformats.org/officeDocument/2006/relationships/hyperlink" Target="https://sbrownlawyer.com/2020/11/13/these-are-the-different-types-of-divorce-in-texas/" TargetMode="External"/><Relationship Id="rId377" Type="http://schemas.openxmlformats.org/officeDocument/2006/relationships/hyperlink" Target="https://sbrownlawyer.com/2018/11/06/benefits-to-filing-for-divorce-first-in-texas/" TargetMode="External"/><Relationship Id="rId134" Type="http://schemas.openxmlformats.org/officeDocument/2006/relationships/hyperlink" Target="https://sbrownlawyer.com/2014/10/17/iggy-azalea-isnt-married-but-she-was-sued-for-divorce-in-texas/" TargetMode="External"/><Relationship Id="rId376" Type="http://schemas.openxmlformats.org/officeDocument/2006/relationships/hyperlink" Target="https://sbrownlawyer.com/2019/10/28/what-does-it-mean-to-be-deemed-an-unfit-parent/" TargetMode="External"/><Relationship Id="rId133" Type="http://schemas.openxmlformats.org/officeDocument/2006/relationships/hyperlink" Target="https://sbrownlawyer.com/2017/08/01/7-key-reasons-texas-may-shift-the-property-division-in-divorces-away-from-a-50-50-split/" TargetMode="External"/><Relationship Id="rId375" Type="http://schemas.openxmlformats.org/officeDocument/2006/relationships/hyperlink" Target="https://sbrownlawyer.com/2019/12/17/how-to-get-your-license-back-after-a-dwi/" TargetMode="External"/><Relationship Id="rId172" Type="http://schemas.openxmlformats.org/officeDocument/2006/relationships/hyperlink" Target="https://sbrownlawyer.com/neck-injury/" TargetMode="External"/><Relationship Id="rId171" Type="http://schemas.openxmlformats.org/officeDocument/2006/relationships/hyperlink" Target="https://sbrownlawyer.com/postnuptial-agreements/" TargetMode="External"/><Relationship Id="rId170" Type="http://schemas.openxmlformats.org/officeDocument/2006/relationships/hyperlink" Target="https://sbrownlawyer.com/galveston-personal-injury-lawyer/" TargetMode="External"/><Relationship Id="rId165" Type="http://schemas.openxmlformats.org/officeDocument/2006/relationships/hyperlink" Target="https://sbrownlawyer.com/brain-injury/" TargetMode="External"/><Relationship Id="rId164" Type="http://schemas.openxmlformats.org/officeDocument/2006/relationships/hyperlink" Target="https://sbrownlawyer.com/personal-injury/" TargetMode="External"/><Relationship Id="rId163" Type="http://schemas.openxmlformats.org/officeDocument/2006/relationships/hyperlink" Target="https://sbrownlawyer.com/2013/02/27/are-negative-communication-patterns-a-factor-in-texas-divorce/" TargetMode="External"/><Relationship Id="rId162" Type="http://schemas.openxmlformats.org/officeDocument/2006/relationships/hyperlink" Target="https://sbrownlawyer.com/2014/01/17/new-texas-law-aims-to-protect-pets-during-domestic-abuse-cases/" TargetMode="External"/><Relationship Id="rId169" Type="http://schemas.openxmlformats.org/officeDocument/2006/relationships/hyperlink" Target="https://sbrownlawyer.com/prenuptial-agreements/" TargetMode="External"/><Relationship Id="rId168" Type="http://schemas.openxmlformats.org/officeDocument/2006/relationships/hyperlink" Target="https://sbrownlawyer.com/personal-injury/tbi/" TargetMode="External"/><Relationship Id="rId167" Type="http://schemas.openxmlformats.org/officeDocument/2006/relationships/hyperlink" Target="https://sbrownlawyer.com/domestic-violence-attorney/" TargetMode="External"/><Relationship Id="rId166" Type="http://schemas.openxmlformats.org/officeDocument/2006/relationships/hyperlink" Target="https://sbrownlawyer.com/child-custody/" TargetMode="External"/><Relationship Id="rId161" Type="http://schemas.openxmlformats.org/officeDocument/2006/relationships/hyperlink" Target="https://sbrownlawyer.com/2018/01/22/new-criminal-offense-in-texas-for-possession-or-promotion-of-lewd-material-depicting-a-child/" TargetMode="External"/><Relationship Id="rId160" Type="http://schemas.openxmlformats.org/officeDocument/2006/relationships/hyperlink" Target="https://sbrownlawyer.com/2017/08/24/second-chance-bill-what-does-it-mean-now-that-its-passed/" TargetMode="External"/><Relationship Id="rId159" Type="http://schemas.openxmlformats.org/officeDocument/2006/relationships/hyperlink" Target="https://sbrownlawyer.com/lindsey-howard/" TargetMode="External"/><Relationship Id="rId154" Type="http://schemas.openxmlformats.org/officeDocument/2006/relationships/hyperlink" Target="https://sbrownlawyer.com/sex-crimes/" TargetMode="External"/><Relationship Id="rId396" Type="http://schemas.openxmlformats.org/officeDocument/2006/relationships/hyperlink" Target="https://sbrownlawyer.com/pearland-naturalization-lawyer/" TargetMode="External"/><Relationship Id="rId153" Type="http://schemas.openxmlformats.org/officeDocument/2006/relationships/hyperlink" Target="https://sbrownlawyer.com/homes-and-real-estate/" TargetMode="External"/><Relationship Id="rId395" Type="http://schemas.openxmlformats.org/officeDocument/2006/relationships/hyperlink" Target="https://sbrownlawyer.com/drug-distribution/" TargetMode="External"/><Relationship Id="rId152" Type="http://schemas.openxmlformats.org/officeDocument/2006/relationships/hyperlink" Target="https://sbrownlawyer.com/2018/03/26/can-teenagers-get-arrested-for-texting-nude-photos-in-texas/" TargetMode="External"/><Relationship Id="rId394" Type="http://schemas.openxmlformats.org/officeDocument/2006/relationships/hyperlink" Target="https://sbrownlawyer.com/2012/06/15/military-divorce-rates-continue-to-rise/" TargetMode="External"/><Relationship Id="rId151" Type="http://schemas.openxmlformats.org/officeDocument/2006/relationships/hyperlink" Target="https://sbrownlawyer.com/2021/02/28/what-happens-after-a-second-and-third-dwi-in-texas/" TargetMode="External"/><Relationship Id="rId393" Type="http://schemas.openxmlformats.org/officeDocument/2006/relationships/hyperlink" Target="https://sbrownlawyer.com/abogado-de-naturalizacion-en-pearland/" TargetMode="External"/><Relationship Id="rId158" Type="http://schemas.openxmlformats.org/officeDocument/2006/relationships/hyperlink" Target="https://sbrownlawyer.com/2018/07/28/who-is-liable-for-crashes-that-occur-in-borrowed-vehicles/" TargetMode="External"/><Relationship Id="rId157" Type="http://schemas.openxmlformats.org/officeDocument/2006/relationships/hyperlink" Target="https://sbrownlawyer.com/child-custody/emergency/" TargetMode="External"/><Relationship Id="rId399" Type="http://schemas.openxmlformats.org/officeDocument/2006/relationships/hyperlink" Target="https://sbrownlawyer.com/hidden-assets/" TargetMode="External"/><Relationship Id="rId156" Type="http://schemas.openxmlformats.org/officeDocument/2006/relationships/hyperlink" Target="https://sbrownlawyer.com/child-support-lawyer-in-galveston/" TargetMode="External"/><Relationship Id="rId398" Type="http://schemas.openxmlformats.org/officeDocument/2006/relationships/hyperlink" Target="https://sbrownlawyer.com/car-accidents/" TargetMode="External"/><Relationship Id="rId155" Type="http://schemas.openxmlformats.org/officeDocument/2006/relationships/hyperlink" Target="https://sbrownlawyer.com/2018/03/23/parental-alienation-a-criminal-offense-in-texas/" TargetMode="External"/><Relationship Id="rId397" Type="http://schemas.openxmlformats.org/officeDocument/2006/relationships/hyperlink" Target="https://sbrownlawyer.com/2020/07/13/10-signs-divorced-parents-are-doing-right-by-their-kids/" TargetMode="External"/><Relationship Id="rId808" Type="http://schemas.openxmlformats.org/officeDocument/2006/relationships/hyperlink" Target="https://sbrownlawyer.com/2013/01/07/texas-military-members-may-feel-helpless-during-divorce/" TargetMode="External"/><Relationship Id="rId807" Type="http://schemas.openxmlformats.org/officeDocument/2006/relationships/hyperlink" Target="https://sbrownlawyer.com/2016/03/11/taking-care-of-your-childs-needs-is-a-priority/" TargetMode="External"/><Relationship Id="rId806" Type="http://schemas.openxmlformats.org/officeDocument/2006/relationships/hyperlink" Target="https://sbrownlawyer.com/blog/page/29/?refPageViewId=8b93d6f86518474c&amp;et_blog" TargetMode="External"/><Relationship Id="rId805" Type="http://schemas.openxmlformats.org/officeDocument/2006/relationships/hyperlink" Target="https://sbrownlawyer.com/2019/03/24/why-do-i-need-a-divorce-lawyer/" TargetMode="External"/><Relationship Id="rId809" Type="http://schemas.openxmlformats.org/officeDocument/2006/relationships/hyperlink" Target="https://sbrownlawyer.com/category/family-law/" TargetMode="External"/><Relationship Id="rId800" Type="http://schemas.openxmlformats.org/officeDocument/2006/relationships/hyperlink" Target="https://sbrownlawyer.com/2018/07/22/take-as-many-pictures-as-you-can-after-a-car-crash/" TargetMode="External"/><Relationship Id="rId804" Type="http://schemas.openxmlformats.org/officeDocument/2006/relationships/hyperlink" Target="https://sbrownlawyer.com/league-city-family-family-lawyer/" TargetMode="External"/><Relationship Id="rId803" Type="http://schemas.openxmlformats.org/officeDocument/2006/relationships/hyperlink" Target="https://sbrownlawyer.com/thank-you/" TargetMode="External"/><Relationship Id="rId802" Type="http://schemas.openxmlformats.org/officeDocument/2006/relationships/hyperlink" Target="https://sbrownlawyer.com/blog/page/33/?refPageViewId=8af33536a6ad72f9&amp;et_blog" TargetMode="External"/><Relationship Id="rId801" Type="http://schemas.openxmlformats.org/officeDocument/2006/relationships/hyperlink" Target="https://sbrownlawyer.com/blog/page/16/?refPageViewId=5b1ad708b784f242&amp;et_blog" TargetMode="External"/><Relationship Id="rId40" Type="http://schemas.openxmlformats.org/officeDocument/2006/relationships/hyperlink" Target="https://sbrownlawyer.com/2016/08/16/paying-child-support-and-alimony-using-structured-settlements/" TargetMode="External"/><Relationship Id="rId42" Type="http://schemas.openxmlformats.org/officeDocument/2006/relationships/hyperlink" Target="https://sbrownlawyer.com/firm-overview/" TargetMode="External"/><Relationship Id="rId41" Type="http://schemas.openxmlformats.org/officeDocument/2006/relationships/hyperlink" Target="https://sbrownlawyer.com/friendswood/" TargetMode="External"/><Relationship Id="rId44" Type="http://schemas.openxmlformats.org/officeDocument/2006/relationships/hyperlink" Target="https://sbrownlawyer.com/2018/04/23/how-do-bond-reductions-work/" TargetMode="External"/><Relationship Id="rId43" Type="http://schemas.openxmlformats.org/officeDocument/2006/relationships/hyperlink" Target="https://sbrownlawyer.com/2024/03/26/grandparent-custody-rights/" TargetMode="External"/><Relationship Id="rId46" Type="http://schemas.openxmlformats.org/officeDocument/2006/relationships/hyperlink" Target="https://sbrownlawyer.com/2018/05/01/can-you-be-arrested-for-overdosing-on-drugs-in-texas/" TargetMode="External"/><Relationship Id="rId45" Type="http://schemas.openxmlformats.org/officeDocument/2006/relationships/hyperlink" Target="https://sbrownlawyer.com/league-city-tx-office-of-scott-m-brown-associates/" TargetMode="External"/><Relationship Id="rId509" Type="http://schemas.openxmlformats.org/officeDocument/2006/relationships/hyperlink" Target="https://sbrownlawyer.com/2012/02/21/halle-berry-files-request-to-move-with-her-daughter/" TargetMode="External"/><Relationship Id="rId508" Type="http://schemas.openxmlformats.org/officeDocument/2006/relationships/hyperlink" Target="https://sbrownlawyer.com/blog/" TargetMode="External"/><Relationship Id="rId503" Type="http://schemas.openxmlformats.org/officeDocument/2006/relationships/hyperlink" Target="https://sbrownlawyer.com/2018/09/12/what-is-joint-custody/" TargetMode="External"/><Relationship Id="rId745" Type="http://schemas.openxmlformats.org/officeDocument/2006/relationships/hyperlink" Target="https://sbrownlawyer.com/2014/01/31/will-texas-lawmakers-consider-a-shared-custody-law/" TargetMode="External"/><Relationship Id="rId502" Type="http://schemas.openxmlformats.org/officeDocument/2006/relationships/hyperlink" Target="https://sbrownlawyer.com/2012/03/23/dennis-quaid-and-his-third-wife-move-toward-divorce/" TargetMode="External"/><Relationship Id="rId744" Type="http://schemas.openxmlformats.org/officeDocument/2006/relationships/hyperlink" Target="https://sbrownlawyer.com/2009/04/08/parental-alienation-a-continued-analysis/" TargetMode="External"/><Relationship Id="rId501" Type="http://schemas.openxmlformats.org/officeDocument/2006/relationships/hyperlink" Target="https://sbrownlawyer.com/family-owned-business-protection/" TargetMode="External"/><Relationship Id="rId743" Type="http://schemas.openxmlformats.org/officeDocument/2006/relationships/hyperlink" Target="https://sbrownlawyer.com/2022/05/03/how-we-help/" TargetMode="External"/><Relationship Id="rId500" Type="http://schemas.openxmlformats.org/officeDocument/2006/relationships/hyperlink" Target="https://sbrownlawyer.com/galveston-tx-dui-lawyer/" TargetMode="External"/><Relationship Id="rId742" Type="http://schemas.openxmlformats.org/officeDocument/2006/relationships/hyperlink" Target="https://sbrownlawyer.com/2012/11/19/texas-visitation-grandparents-accuse-parents-of-deprivation/" TargetMode="External"/><Relationship Id="rId507" Type="http://schemas.openxmlformats.org/officeDocument/2006/relationships/hyperlink" Target="https://sbrownlawyer.com/2014/03/28/property-division-and-other-considerations-in-adkins-divorce/" TargetMode="External"/><Relationship Id="rId749" Type="http://schemas.openxmlformats.org/officeDocument/2006/relationships/hyperlink" Target="https://sbrownlawyer.com/2013/04/04/more-senior-citizens-seeking-divorce-studies-say/" TargetMode="External"/><Relationship Id="rId506" Type="http://schemas.openxmlformats.org/officeDocument/2006/relationships/hyperlink" Target="https://sbrownlawyer.com/league-city-divorce/" TargetMode="External"/><Relationship Id="rId748" Type="http://schemas.openxmlformats.org/officeDocument/2006/relationships/hyperlink" Target="https://sbrownlawyer.com/blog/page/15/?refPageViewId=8b4031af35d8a37e&amp;et_blog" TargetMode="External"/><Relationship Id="rId505" Type="http://schemas.openxmlformats.org/officeDocument/2006/relationships/hyperlink" Target="https://sbrownlawyer.com/2020/02/11/how-to-find-a-family-lawyer-divorce-and-child-custody/" TargetMode="External"/><Relationship Id="rId747" Type="http://schemas.openxmlformats.org/officeDocument/2006/relationships/hyperlink" Target="https://sbrownlawyer.com/2021/11/17/child-support/" TargetMode="External"/><Relationship Id="rId504" Type="http://schemas.openxmlformats.org/officeDocument/2006/relationships/hyperlink" Target="https://sbrownlawyer.com/2019/01/08/does-cheating-affect-spousal-support/" TargetMode="External"/><Relationship Id="rId746" Type="http://schemas.openxmlformats.org/officeDocument/2006/relationships/hyperlink" Target="https://sbrownlawyer.com/2016/10/25/tech-help-for-the-co-parent/" TargetMode="External"/><Relationship Id="rId48" Type="http://schemas.openxmlformats.org/officeDocument/2006/relationships/hyperlink" Target="https://sbrownlawyer.com/2019/04/10/can-a-dwi-affect-your-divorce-proceedings/" TargetMode="External"/><Relationship Id="rId47" Type="http://schemas.openxmlformats.org/officeDocument/2006/relationships/hyperlink" Target="https://sbrownlawyer.com/2019/09/15/how-to-fight-a-protective-order/" TargetMode="External"/><Relationship Id="rId49" Type="http://schemas.openxmlformats.org/officeDocument/2006/relationships/hyperlink" Target="https://sbrownlawyer.com/contact/" TargetMode="External"/><Relationship Id="rId741" Type="http://schemas.openxmlformats.org/officeDocument/2006/relationships/hyperlink" Target="https://sbrownlawyer.com/blog/page/28/?refPageViewId=8b4087a326ff75b8&amp;et_blog" TargetMode="External"/><Relationship Id="rId740" Type="http://schemas.openxmlformats.org/officeDocument/2006/relationships/hyperlink" Target="https://sbrownlawyer.com/2022/08/17/how-adjusters-use-medical-records-to-reduce-your-settlement/" TargetMode="External"/><Relationship Id="rId31" Type="http://schemas.openxmlformats.org/officeDocument/2006/relationships/hyperlink" Target="https://sbrownlawyer.com/league-city-family-law-attorney/?utm_campaign=gmbleaguecity" TargetMode="External"/><Relationship Id="rId30" Type="http://schemas.openxmlformats.org/officeDocument/2006/relationships/hyperlink" Target="https://sbrownlawyer.com/james-j-hanley/" TargetMode="External"/><Relationship Id="rId33" Type="http://schemas.openxmlformats.org/officeDocument/2006/relationships/hyperlink" Target="https://sbrownlawyer.com/2020/06/16/accepting-divorce-our-advice-for-overcoming-grief-and-frustration/" TargetMode="External"/><Relationship Id="rId32" Type="http://schemas.openxmlformats.org/officeDocument/2006/relationships/hyperlink" Target="https://sbrownlawyer.com/divorce/" TargetMode="External"/><Relationship Id="rId35" Type="http://schemas.openxmlformats.org/officeDocument/2006/relationships/hyperlink" Target="https://sbrownlawyer.com/obscenity/" TargetMode="External"/><Relationship Id="rId34" Type="http://schemas.openxmlformats.org/officeDocument/2006/relationships/hyperlink" Target="https://sbrownlawyer.com/2018/07/15/what-to-do-when-your-ex-disregards-the-settlement-agreement/" TargetMode="External"/><Relationship Id="rId739" Type="http://schemas.openxmlformats.org/officeDocument/2006/relationships/hyperlink" Target="https://sbrownlawyer.com/blog/page/5/?refPageViewId=8af33536a6ad72f9&amp;et_blog" TargetMode="External"/><Relationship Id="rId734" Type="http://schemas.openxmlformats.org/officeDocument/2006/relationships/hyperlink" Target="https://sbrownlawyer.com/blog/page/46/?refPageViewId=5b1ad708b784f242&amp;et_blog" TargetMode="External"/><Relationship Id="rId733" Type="http://schemas.openxmlformats.org/officeDocument/2006/relationships/hyperlink" Target="https://sbrownlawyer.com/league-city-aggravated-assault-lawyer-2/" TargetMode="External"/><Relationship Id="rId732" Type="http://schemas.openxmlformats.org/officeDocument/2006/relationships/hyperlink" Target="https://sbrownlawyer.com/blog/page/41/?refPageViewId=8ae91978247de832&amp;et_blog" TargetMode="External"/><Relationship Id="rId731" Type="http://schemas.openxmlformats.org/officeDocument/2006/relationships/hyperlink" Target="https://sbrownlawyer.com/child-custody-lp/" TargetMode="External"/><Relationship Id="rId738" Type="http://schemas.openxmlformats.org/officeDocument/2006/relationships/hyperlink" Target="https://sbrownlawyer.com/divorce-lp/" TargetMode="External"/><Relationship Id="rId737" Type="http://schemas.openxmlformats.org/officeDocument/2006/relationships/hyperlink" Target="https://sbrownlawyer.com/2015/01/29/property-division-considerations-include-a-variety-of-assets/" TargetMode="External"/><Relationship Id="rId736" Type="http://schemas.openxmlformats.org/officeDocument/2006/relationships/hyperlink" Target="https://sbrownlawyer.com/2013/01/28/texas-divorce-facebook-couple-calls-it-quits/" TargetMode="External"/><Relationship Id="rId735" Type="http://schemas.openxmlformats.org/officeDocument/2006/relationships/hyperlink" Target="https://sbrownlawyer.com/2012/05/25/child-custody-hearing-lands-sanders-divorce-in-the-spotlight/" TargetMode="External"/><Relationship Id="rId37" Type="http://schemas.openxmlformats.org/officeDocument/2006/relationships/hyperlink" Target="https://sbrownlawyer.com/sex-crimes/texas-sex-crime-law/" TargetMode="External"/><Relationship Id="rId36" Type="http://schemas.openxmlformats.org/officeDocument/2006/relationships/hyperlink" Target="https://sbrownlawyer.com/2024/12/27/understanding-the-naturalization-timeline-for-texas-residents/" TargetMode="External"/><Relationship Id="rId39" Type="http://schemas.openxmlformats.org/officeDocument/2006/relationships/hyperlink" Target="https://sbrownlawyer.com/2024/10/09/legal-rights-for-pedestrian-injury-victims-in-texas/" TargetMode="External"/><Relationship Id="rId38" Type="http://schemas.openxmlformats.org/officeDocument/2006/relationships/hyperlink" Target="https://sbrownlawyer.com/2019/10/08/can-you-sue-a-partner-that-infected-you-with-an-std/" TargetMode="External"/><Relationship Id="rId730" Type="http://schemas.openxmlformats.org/officeDocument/2006/relationships/hyperlink" Target="https://sbrownlawyer.com/blog/page/45/?refPageViewId=5b1ad708b784f242&amp;et_blog" TargetMode="External"/><Relationship Id="rId20" Type="http://schemas.openxmlformats.org/officeDocument/2006/relationships/hyperlink" Target="https://sbrownlawyer.com/2021/03/15/who-qualifies-for-a-temporary-protective-order-in-texas-and-other-frequently-asked-questions/" TargetMode="External"/><Relationship Id="rId22" Type="http://schemas.openxmlformats.org/officeDocument/2006/relationships/hyperlink" Target="https://sbrownlawyer.com/2020/12/28/what-to-ask-your-family-lawyer-about-your-child-custody-agreement/" TargetMode="External"/><Relationship Id="rId21" Type="http://schemas.openxmlformats.org/officeDocument/2006/relationships/hyperlink" Target="https://sbrownlawyer.com/paula-roark-cundiff/" TargetMode="External"/><Relationship Id="rId24" Type="http://schemas.openxmlformats.org/officeDocument/2006/relationships/hyperlink" Target="https://sbrownlawyer.com/cohabitation/" TargetMode="External"/><Relationship Id="rId23" Type="http://schemas.openxmlformats.org/officeDocument/2006/relationships/hyperlink" Target="https://sbrownlawyer.com/lourel-jones-iii/" TargetMode="External"/><Relationship Id="rId525" Type="http://schemas.openxmlformats.org/officeDocument/2006/relationships/hyperlink" Target="https://sbrownlawyer.com/2014/01/27/study-counties-with-more-protestants-have-higher-divorce-rate/" TargetMode="External"/><Relationship Id="rId767" Type="http://schemas.openxmlformats.org/officeDocument/2006/relationships/hyperlink" Target="https://sbrownlawyer.com/blog/page/40/?refPageViewId=8ad1522bb2d107f1&amp;et_blog" TargetMode="External"/><Relationship Id="rId524" Type="http://schemas.openxmlformats.org/officeDocument/2006/relationships/hyperlink" Target="https://sbrownlawyer.com/2017/04/25/resolving-a-high-asset-divorce-with-a-family-law-attorney/" TargetMode="External"/><Relationship Id="rId766" Type="http://schemas.openxmlformats.org/officeDocument/2006/relationships/hyperlink" Target="https://sbrownlawyer.com/2013/06/10/division-of-property-considerations-prior-to-marriage/" TargetMode="External"/><Relationship Id="rId523" Type="http://schemas.openxmlformats.org/officeDocument/2006/relationships/hyperlink" Target="https://sbrownlawyer.com/2019/01/15/are-divorce-rates-decreasing/" TargetMode="External"/><Relationship Id="rId765" Type="http://schemas.openxmlformats.org/officeDocument/2006/relationships/hyperlink" Target="https://sbrownlawyer.com/2012/09/28/texas-divorce-communicating-when-a-former-partner-moves-on/" TargetMode="External"/><Relationship Id="rId522" Type="http://schemas.openxmlformats.org/officeDocument/2006/relationships/hyperlink" Target="https://sbrownlawyer.com/2018/04/02/april-is-distracted-driving-awareness-month-stay-focused-on-the-road/" TargetMode="External"/><Relationship Id="rId764" Type="http://schemas.openxmlformats.org/officeDocument/2006/relationships/hyperlink" Target="https://sbrownlawyer.com/blog/page/46/?refPageViewId=8b06a730e0b22094&amp;et_blog" TargetMode="External"/><Relationship Id="rId529" Type="http://schemas.openxmlformats.org/officeDocument/2006/relationships/hyperlink" Target="https://sbrownlawyer.com/2014/03/21/texas-ranks-second-in-the-nation-in-domestic-violence-incidents/" TargetMode="External"/><Relationship Id="rId528" Type="http://schemas.openxmlformats.org/officeDocument/2006/relationships/hyperlink" Target="https://sbrownlawyer.com/2018/06/25/can-new-car-technology-actually-be-distracting-to-drivers/" TargetMode="External"/><Relationship Id="rId527" Type="http://schemas.openxmlformats.org/officeDocument/2006/relationships/hyperlink" Target="https://sbrownlawyer.com/2012/05/30/military-divorce-rate-at-an-all-time-high/" TargetMode="External"/><Relationship Id="rId769" Type="http://schemas.openxmlformats.org/officeDocument/2006/relationships/hyperlink" Target="https://sbrownlawyer.com/blog/page/18/?refPageViewId=8b1842ca51c46bf5&amp;et_blog" TargetMode="External"/><Relationship Id="rId526" Type="http://schemas.openxmlformats.org/officeDocument/2006/relationships/hyperlink" Target="https://sbrownlawyer.com/2018/02/12/what-are-texas-cannabis-laws/" TargetMode="External"/><Relationship Id="rId768" Type="http://schemas.openxmlformats.org/officeDocument/2006/relationships/hyperlink" Target="https://sbrownlawyer.com/2014/01/02/organizing-child-support-may-become-easier-with-new-software/" TargetMode="External"/><Relationship Id="rId26" Type="http://schemas.openxmlformats.org/officeDocument/2006/relationships/hyperlink" Target="https://sbrownlawyer.com/top-military-divorce-lawyer-in-texas/" TargetMode="External"/><Relationship Id="rId25" Type="http://schemas.openxmlformats.org/officeDocument/2006/relationships/hyperlink" Target="https://sbrownlawyer.com/slip-and-fall-accidents/" TargetMode="External"/><Relationship Id="rId28" Type="http://schemas.openxmlformats.org/officeDocument/2006/relationships/hyperlink" Target="https://sbrownlawyer.com/2018/05/15/what-is-medical-support-in-texas/" TargetMode="External"/><Relationship Id="rId27" Type="http://schemas.openxmlformats.org/officeDocument/2006/relationships/hyperlink" Target="https://sbrownlawyer.com/when-alcohol-becomes-a-factor-in-divorce-proceedings/" TargetMode="External"/><Relationship Id="rId521" Type="http://schemas.openxmlformats.org/officeDocument/2006/relationships/hyperlink" Target="https://sbrownlawyer.com/2012/04/13/bob-weinsteins-wife-files-for-divorce-claims-fear-of-bodily-harm/" TargetMode="External"/><Relationship Id="rId763" Type="http://schemas.openxmlformats.org/officeDocument/2006/relationships/hyperlink" Target="https://sbrownlawyer.com/blog/page/46/?refPageViewId=8ae91978247de832&amp;et_blog" TargetMode="External"/><Relationship Id="rId29" Type="http://schemas.openxmlformats.org/officeDocument/2006/relationships/hyperlink" Target="https://sbrownlawyer.com/sex-crimes/sex-offender-registration/" TargetMode="External"/><Relationship Id="rId520" Type="http://schemas.openxmlformats.org/officeDocument/2006/relationships/hyperlink" Target="https://sbrownlawyer.com/2015/10/23/reasons-that-alimony-may-be-cancelled/" TargetMode="External"/><Relationship Id="rId762" Type="http://schemas.openxmlformats.org/officeDocument/2006/relationships/hyperlink" Target="https://sbrownlawyer.com/2018/06/18/who-gets-the-family-pet-in-a-divorce/" TargetMode="External"/><Relationship Id="rId761" Type="http://schemas.openxmlformats.org/officeDocument/2006/relationships/hyperlink" Target="https://sbrownlawyer.com/2018/04/15/the-benefits-of-mediating-your-divorce-or-custody-case/" TargetMode="External"/><Relationship Id="rId760" Type="http://schemas.openxmlformats.org/officeDocument/2006/relationships/hyperlink" Target="https://sbrownlawyer.com/blog/page/12/?refPageViewId=8b93d6f86518474c&amp;et_blog" TargetMode="External"/><Relationship Id="rId11" Type="http://schemas.openxmlformats.org/officeDocument/2006/relationships/hyperlink" Target="https://sbrownlawyer.com/2018/04/06/can-you-adopt-a-child-in-texas-without-the-biological-fathers-consent/" TargetMode="External"/><Relationship Id="rId10" Type="http://schemas.openxmlformats.org/officeDocument/2006/relationships/hyperlink" Target="https://sbrownlawyer.com/scott-m-brown/" TargetMode="External"/><Relationship Id="rId13" Type="http://schemas.openxmlformats.org/officeDocument/2006/relationships/hyperlink" Target="https://sbrownlawyer.com/2023/01/25/private-property-police-search-in-texas/" TargetMode="External"/><Relationship Id="rId12" Type="http://schemas.openxmlformats.org/officeDocument/2006/relationships/hyperlink" Target="http://www.sbrownlawyer.com/?utm_campaign=gmbpearland" TargetMode="External"/><Relationship Id="rId519" Type="http://schemas.openxmlformats.org/officeDocument/2006/relationships/hyperlink" Target="https://sbrownlawyer.com/2014/06/06/killeen-gets-child-support-office-with-6-employees/" TargetMode="External"/><Relationship Id="rId514" Type="http://schemas.openxmlformats.org/officeDocument/2006/relationships/hyperlink" Target="https://sbrownlawyer.com/complex-and-contested-divorce-attorneys/" TargetMode="External"/><Relationship Id="rId756" Type="http://schemas.openxmlformats.org/officeDocument/2006/relationships/hyperlink" Target="https://sbrownlawyer.com/2019/07/15/9-tips-for-dealing-with-divorce/" TargetMode="External"/><Relationship Id="rId513" Type="http://schemas.openxmlformats.org/officeDocument/2006/relationships/hyperlink" Target="https://sbrownlawyer.com/league-city-tx-adoption-lawyer/" TargetMode="External"/><Relationship Id="rId755" Type="http://schemas.openxmlformats.org/officeDocument/2006/relationships/hyperlink" Target="https://sbrownlawyer.com/2014/05/02/domestic-violence-victims-arent-alone/" TargetMode="External"/><Relationship Id="rId512" Type="http://schemas.openxmlformats.org/officeDocument/2006/relationships/hyperlink" Target="https://sbrownlawyer.com/2013/03/28/texas-jury-in-sanders-case-makes-child-custody-ruling/" TargetMode="External"/><Relationship Id="rId754" Type="http://schemas.openxmlformats.org/officeDocument/2006/relationships/hyperlink" Target="https://sbrownlawyer.com/2013/09/30/attorney-generals-office-collects-3-6-billion-in-child-support/" TargetMode="External"/><Relationship Id="rId511" Type="http://schemas.openxmlformats.org/officeDocument/2006/relationships/hyperlink" Target="https://sbrownlawyer.com/custody-schedules-for-infants/" TargetMode="External"/><Relationship Id="rId753" Type="http://schemas.openxmlformats.org/officeDocument/2006/relationships/hyperlink" Target="https://sbrownlawyer.com/2014/05/17/understanding-child-support-is-vital-for-any-non-custodial-parent/" TargetMode="External"/><Relationship Id="rId518" Type="http://schemas.openxmlformats.org/officeDocument/2006/relationships/hyperlink" Target="https://sbrownlawyer.com/league-city-simple-assault-lawyer/" TargetMode="External"/><Relationship Id="rId517" Type="http://schemas.openxmlformats.org/officeDocument/2006/relationships/hyperlink" Target="https://sbrownlawyer.com/immigration-videos/" TargetMode="External"/><Relationship Id="rId759" Type="http://schemas.openxmlformats.org/officeDocument/2006/relationships/hyperlink" Target="https://sbrownlawyer.com/2013/07/30/domestic-violence-and-the-poor/" TargetMode="External"/><Relationship Id="rId516" Type="http://schemas.openxmlformats.org/officeDocument/2006/relationships/hyperlink" Target="https://sbrownlawyer.com/2017/10/01/5-things-to-know-if-a-teenager-is-arrested-for-a-dui/" TargetMode="External"/><Relationship Id="rId758" Type="http://schemas.openxmlformats.org/officeDocument/2006/relationships/hyperlink" Target="https://sbrownlawyer.com/videos-4/" TargetMode="External"/><Relationship Id="rId515" Type="http://schemas.openxmlformats.org/officeDocument/2006/relationships/hyperlink" Target="https://sbrownlawyer.com/financial-steps-to-take-before-filing-for-divorce/" TargetMode="External"/><Relationship Id="rId757" Type="http://schemas.openxmlformats.org/officeDocument/2006/relationships/hyperlink" Target="https://sbrownlawyer.com/2013/01/25/texas-taxes-a-viable-reason-for-a-divorce-some-may-say-yes/" TargetMode="External"/><Relationship Id="rId15" Type="http://schemas.openxmlformats.org/officeDocument/2006/relationships/hyperlink" Target="https://sbrownlawyer.com/peggy-bittick/" TargetMode="External"/><Relationship Id="rId14" Type="http://schemas.openxmlformats.org/officeDocument/2006/relationships/hyperlink" Target="https://sbrownlawyer.com/2019/05/16/motorcycle-laws-regarding-children-in-texas/" TargetMode="External"/><Relationship Id="rId17" Type="http://schemas.openxmlformats.org/officeDocument/2006/relationships/hyperlink" Target="https://sbrownlawyer.com/attorneys/" TargetMode="External"/><Relationship Id="rId16" Type="http://schemas.openxmlformats.org/officeDocument/2006/relationships/hyperlink" Target="https://sbrownlawyer.com/2021/03/30/what-can-be-done-when-the-other-parent-consistently-violates-the-child-custody-agreement/" TargetMode="External"/><Relationship Id="rId19" Type="http://schemas.openxmlformats.org/officeDocument/2006/relationships/hyperlink" Target="https://sbrownlawyer.com/pearland-family-law-office/" TargetMode="External"/><Relationship Id="rId510" Type="http://schemas.openxmlformats.org/officeDocument/2006/relationships/hyperlink" Target="https://sbrownlawyer.com/2017/03/11/what-is-the-parental-presumption/" TargetMode="External"/><Relationship Id="rId752" Type="http://schemas.openxmlformats.org/officeDocument/2006/relationships/hyperlink" Target="https://sbrownlawyer.com/2019/11/15/divorce-difference-for-military-personnel/" TargetMode="External"/><Relationship Id="rId18" Type="http://schemas.openxmlformats.org/officeDocument/2006/relationships/hyperlink" Target="https://sbrownlawyer.com/angleton/" TargetMode="External"/><Relationship Id="rId751" Type="http://schemas.openxmlformats.org/officeDocument/2006/relationships/hyperlink" Target="https://sbrownlawyer.com/2015/03/03/help-your-child-cope-with-child-custody-schedules-after-divorce/" TargetMode="External"/><Relationship Id="rId750" Type="http://schemas.openxmlformats.org/officeDocument/2006/relationships/hyperlink" Target="https://sbrownlawyer.com/2018/09/24/what-rights-do-fathers-have-in-texas/" TargetMode="External"/><Relationship Id="rId84" Type="http://schemas.openxmlformats.org/officeDocument/2006/relationships/hyperlink" Target="https://sbrownlawyer.com/2021/11/26/child-support-guidelines-in-texas-an-overview/" TargetMode="External"/><Relationship Id="rId83" Type="http://schemas.openxmlformats.org/officeDocument/2006/relationships/hyperlink" Target="https://sbrownlawyer.com/do-not-blow/" TargetMode="External"/><Relationship Id="rId86" Type="http://schemas.openxmlformats.org/officeDocument/2006/relationships/hyperlink" Target="https://sbrownlawyer.com/how-to-know-if-your-spouse-is-hiding-marital-property-and-assets/" TargetMode="External"/><Relationship Id="rId85" Type="http://schemas.openxmlformats.org/officeDocument/2006/relationships/hyperlink" Target="https://sbrownlawyer.com/sex-crimes/overview-of-sex-crime-defense/" TargetMode="External"/><Relationship Id="rId88" Type="http://schemas.openxmlformats.org/officeDocument/2006/relationships/hyperlink" Target="https://sbrownlawyer.com/2024/04/26/beyond-divorce-guide-to-post-divorce-family-laws/" TargetMode="External"/><Relationship Id="rId87" Type="http://schemas.openxmlformats.org/officeDocument/2006/relationships/hyperlink" Target="https://sbrownlawyer.com/2021/06/15/11-questions-to-ask-before-hiring-a-criminal-defense-attorney/" TargetMode="External"/><Relationship Id="rId89" Type="http://schemas.openxmlformats.org/officeDocument/2006/relationships/hyperlink" Target="https://sbrownlawyer.com/galveston-juvenile-crimes-attorney/" TargetMode="External"/><Relationship Id="rId709" Type="http://schemas.openxmlformats.org/officeDocument/2006/relationships/hyperlink" Target="https://sbrownlawyer.com/2016/11/03/becoming-a-great-stepparent/" TargetMode="External"/><Relationship Id="rId708" Type="http://schemas.openxmlformats.org/officeDocument/2006/relationships/hyperlink" Target="https://sbrownlawyer.com/2012/02/16/reduce-divorce-complications-with-a-prenuptial-agreement/" TargetMode="External"/><Relationship Id="rId707" Type="http://schemas.openxmlformats.org/officeDocument/2006/relationships/hyperlink" Target="https://sbrownlawyer.com/2013/07/24/texas-military-mans-international-child-custody-dispute/" TargetMode="External"/><Relationship Id="rId706" Type="http://schemas.openxmlformats.org/officeDocument/2006/relationships/hyperlink" Target="https://sbrownlawyer.com/2012/10/26/how-to-split-your-digital-assets-in-divorce/" TargetMode="External"/><Relationship Id="rId80" Type="http://schemas.openxmlformats.org/officeDocument/2006/relationships/hyperlink" Target="https://sbrownlawyer.com/falsely-accused/" TargetMode="External"/><Relationship Id="rId82" Type="http://schemas.openxmlformats.org/officeDocument/2006/relationships/hyperlink" Target="https://sbrownlawyer.com/2021/09/10/is-it-wise-to-take-on-a-dwi-case-without-a-dwi-lawyer/" TargetMode="External"/><Relationship Id="rId81" Type="http://schemas.openxmlformats.org/officeDocument/2006/relationships/hyperlink" Target="https://sbrownlawyer.com/internet-sex-crimes/" TargetMode="External"/><Relationship Id="rId701" Type="http://schemas.openxmlformats.org/officeDocument/2006/relationships/hyperlink" Target="https://sbrownlawyer.com/video-7/" TargetMode="External"/><Relationship Id="rId700" Type="http://schemas.openxmlformats.org/officeDocument/2006/relationships/hyperlink" Target="https://sbrownlawyer.com/2015/01/09/how-is-child-support-affected-by-parental-incarceration-in-texas/" TargetMode="External"/><Relationship Id="rId705" Type="http://schemas.openxmlformats.org/officeDocument/2006/relationships/hyperlink" Target="https://sbrownlawyer.com/2015/11/20/new-legislation-may-affect-parents-receiving-child-support/" TargetMode="External"/><Relationship Id="rId704" Type="http://schemas.openxmlformats.org/officeDocument/2006/relationships/hyperlink" Target="https://sbrownlawyer.com/category/child-custody/" TargetMode="External"/><Relationship Id="rId703" Type="http://schemas.openxmlformats.org/officeDocument/2006/relationships/hyperlink" Target="https://sbrownlawyer.com/2014/12/26/considerations-for-parenting-time-and-visitation-for-infants/" TargetMode="External"/><Relationship Id="rId702" Type="http://schemas.openxmlformats.org/officeDocument/2006/relationships/hyperlink" Target="https://sbrownlawyer.com/2016/04/14/finances-are-an-important-aspect-of-gray-divorce/" TargetMode="External"/><Relationship Id="rId73" Type="http://schemas.openxmlformats.org/officeDocument/2006/relationships/hyperlink" Target="https://sbrownlawyer.com/estate-planning/" TargetMode="External"/><Relationship Id="rId72" Type="http://schemas.openxmlformats.org/officeDocument/2006/relationships/hyperlink" Target="https://sbrownlawyer.com/uncontested-divorce-lawyer-in-pearland/" TargetMode="External"/><Relationship Id="rId75" Type="http://schemas.openxmlformats.org/officeDocument/2006/relationships/hyperlink" Target="https://sbrownlawyer.com/2024/10/08/car-accident-in-houston-understanding-your-rights-and-responsibilities/" TargetMode="External"/><Relationship Id="rId74" Type="http://schemas.openxmlformats.org/officeDocument/2006/relationships/hyperlink" Target="https://sbrownlawyer.com/2024/07/04/expungement-vs-sealing-what-is-the-best-option/" TargetMode="External"/><Relationship Id="rId77" Type="http://schemas.openxmlformats.org/officeDocument/2006/relationships/hyperlink" Target="https://sbrownlawyer.com/espanol/" TargetMode="External"/><Relationship Id="rId76" Type="http://schemas.openxmlformats.org/officeDocument/2006/relationships/hyperlink" Target="https://sbrownlawyer.com/pearland/" TargetMode="External"/><Relationship Id="rId79" Type="http://schemas.openxmlformats.org/officeDocument/2006/relationships/hyperlink" Target="https://sbrownlawyer.com/theft-and-shoplifting/aggravated-burglary/" TargetMode="External"/><Relationship Id="rId78" Type="http://schemas.openxmlformats.org/officeDocument/2006/relationships/hyperlink" Target="https://sbrownlawyer.com/2024/07/08/open-vs-closed-aoption-angleton-texas/" TargetMode="External"/><Relationship Id="rId71" Type="http://schemas.openxmlformats.org/officeDocument/2006/relationships/hyperlink" Target="https://sbrownlawyer.com/2019/04/15/can-bad-behavior-toward-an-ex-affect-your-custody-arrangement/" TargetMode="External"/><Relationship Id="rId70" Type="http://schemas.openxmlformats.org/officeDocument/2006/relationships/hyperlink" Target="https://sbrownlawyer.com/testimonials/" TargetMode="External"/><Relationship Id="rId62" Type="http://schemas.openxmlformats.org/officeDocument/2006/relationships/hyperlink" Target="https://sbrownlawyer.com/2021/04/21/dwi-consequences-in-texas-whats-the-maximum-penalty-for-a-dwi/" TargetMode="External"/><Relationship Id="rId61" Type="http://schemas.openxmlformats.org/officeDocument/2006/relationships/hyperlink" Target="https://sbrownlawyer.com/2018/01/28/silencers-are-not-prohibited-weapons/" TargetMode="External"/><Relationship Id="rId64" Type="http://schemas.openxmlformats.org/officeDocument/2006/relationships/hyperlink" Target="https://sbrownlawyer.com/faq/" TargetMode="External"/><Relationship Id="rId63" Type="http://schemas.openxmlformats.org/officeDocument/2006/relationships/hyperlink" Target="https://sbrownlawyer.com/2015/10/02/child-support-and-gender-bias-in-the-courts/" TargetMode="External"/><Relationship Id="rId66" Type="http://schemas.openxmlformats.org/officeDocument/2006/relationships/hyperlink" Target="https://sbrownlawyer.com/2020/05/21/what-happens-if-you-violate-a-restraining-order/" TargetMode="External"/><Relationship Id="rId65" Type="http://schemas.openxmlformats.org/officeDocument/2006/relationships/hyperlink" Target="https://sbrownlawyer.com/2024/08/01/felony-misdemeanor-difference-league-city/" TargetMode="External"/><Relationship Id="rId68" Type="http://schemas.openxmlformats.org/officeDocument/2006/relationships/hyperlink" Target="https://sbrownlawyer.com/2021/05/06/confronting-gender-bias-in-child-custody-arrangements/" TargetMode="External"/><Relationship Id="rId67" Type="http://schemas.openxmlformats.org/officeDocument/2006/relationships/hyperlink" Target="https://sbrownlawyer.com/2020/03/02/enforcing-a-divorce-decree-everything-you-need-to-know/" TargetMode="External"/><Relationship Id="rId729" Type="http://schemas.openxmlformats.org/officeDocument/2006/relationships/hyperlink" Target="https://sbrownlawyer.com/2019/06/19/what-is-considered-reckless-driving/" TargetMode="External"/><Relationship Id="rId728" Type="http://schemas.openxmlformats.org/officeDocument/2006/relationships/hyperlink" Target="https://sbrownlawyer.com/blog/page/23/" TargetMode="External"/><Relationship Id="rId60" Type="http://schemas.openxmlformats.org/officeDocument/2006/relationships/hyperlink" Target="https://sbrownlawyer.com/2014/08/01/texas-man-overpays-child-support-goes-to-jail/" TargetMode="External"/><Relationship Id="rId723" Type="http://schemas.openxmlformats.org/officeDocument/2006/relationships/hyperlink" Target="https://sbrownlawyer.com/2015/11/06/worlds-most-expensive-divorce-comes-to-end/" TargetMode="External"/><Relationship Id="rId722" Type="http://schemas.openxmlformats.org/officeDocument/2006/relationships/hyperlink" Target="https://sbrownlawyer.com/dui-dwi-lp/thank-you/" TargetMode="External"/><Relationship Id="rId721" Type="http://schemas.openxmlformats.org/officeDocument/2006/relationships/hyperlink" Target="https://sbrownlawyer.com/2013/12/25/victims-must-be-persistent-for-domestic-violence-charges-to-stick/" TargetMode="External"/><Relationship Id="rId720" Type="http://schemas.openxmlformats.org/officeDocument/2006/relationships/hyperlink" Target="https://sbrownlawyer.com/dui-dwi-lp/" TargetMode="External"/><Relationship Id="rId727" Type="http://schemas.openxmlformats.org/officeDocument/2006/relationships/hyperlink" Target="https://sbrownlawyer.com/blog/page/15/?refPageViewId=8b4087a326ff75b8&amp;et_blog" TargetMode="External"/><Relationship Id="rId726" Type="http://schemas.openxmlformats.org/officeDocument/2006/relationships/hyperlink" Target="https://sbrownlawyer.com/2012/09/05/texas-divorce-parent-fights-for-daughters-overseas-return/" TargetMode="External"/><Relationship Id="rId725" Type="http://schemas.openxmlformats.org/officeDocument/2006/relationships/hyperlink" Target="https://sbrownlawyer.com/2019/06/15/understanding-parenting-plans-and-child-support-during-divorce/" TargetMode="External"/><Relationship Id="rId724" Type="http://schemas.openxmlformats.org/officeDocument/2006/relationships/hyperlink" Target="https://sbrownlawyer.com/2018/02/05/texas-drug-manufacturing-and-cultivation-laws/" TargetMode="External"/><Relationship Id="rId69" Type="http://schemas.openxmlformats.org/officeDocument/2006/relationships/hyperlink" Target="https://sbrownlawyer.com/francisco-guerrero-ii/" TargetMode="External"/><Relationship Id="rId51" Type="http://schemas.openxmlformats.org/officeDocument/2006/relationships/hyperlink" Target="https://sbrownlawyer.com/2019/08/10/legal-immunity-for-reporting-alcohol-poisoning/" TargetMode="External"/><Relationship Id="rId50" Type="http://schemas.openxmlformats.org/officeDocument/2006/relationships/hyperlink" Target="https://sbrownlawyer.com/2020/01/14/how-texas-defines-child-abuse/" TargetMode="External"/><Relationship Id="rId53" Type="http://schemas.openxmlformats.org/officeDocument/2006/relationships/hyperlink" Target="https://sbrownlawyer.com/steps-in-settling-your-claim-in-texas/" TargetMode="External"/><Relationship Id="rId52" Type="http://schemas.openxmlformats.org/officeDocument/2006/relationships/hyperlink" Target="http://www.sbrownlawyer.com/?utm_campaign=gmbhouston" TargetMode="External"/><Relationship Id="rId55" Type="http://schemas.openxmlformats.org/officeDocument/2006/relationships/hyperlink" Target="https://sbrownlawyer.com/2024/10/09/texas-family-sponsorship-immigration-process/" TargetMode="External"/><Relationship Id="rId54" Type="http://schemas.openxmlformats.org/officeDocument/2006/relationships/hyperlink" Target="https://sbrownlawyer.com/2013/04/11/texas-child-support-powerball-winner-pays-past-due-30000/" TargetMode="External"/><Relationship Id="rId57" Type="http://schemas.openxmlformats.org/officeDocument/2006/relationships/hyperlink" Target="https://sbrownlawyer.com/child-pornography/" TargetMode="External"/><Relationship Id="rId56" Type="http://schemas.openxmlformats.org/officeDocument/2006/relationships/hyperlink" Target="https://sbrownlawyer.com/scott-boates/" TargetMode="External"/><Relationship Id="rId719" Type="http://schemas.openxmlformats.org/officeDocument/2006/relationships/hyperlink" Target="https://sbrownlawyer.com/2022/06/29/should-i-take-the-plea-deal-or-take-my-chances-at-trial/" TargetMode="External"/><Relationship Id="rId718" Type="http://schemas.openxmlformats.org/officeDocument/2006/relationships/hyperlink" Target="https://sbrownlawyer.com/2022/06/15/the-child-support-is-insufficient/" TargetMode="External"/><Relationship Id="rId717" Type="http://schemas.openxmlformats.org/officeDocument/2006/relationships/hyperlink" Target="https://sbrownlawyer.com/2018/07/09/2016-2017-reflect-steepest-increase-in-vehicle-fatalities-in-five-decades/" TargetMode="External"/><Relationship Id="rId712" Type="http://schemas.openxmlformats.org/officeDocument/2006/relationships/hyperlink" Target="https://sbrownlawyer.com/2015/01/16/guidelines-for-texas-child-support-modifications/" TargetMode="External"/><Relationship Id="rId711" Type="http://schemas.openxmlformats.org/officeDocument/2006/relationships/hyperlink" Target="https://sbrownlawyer.com/2012/06/29/qdro-and-texas-divorce-dividing-pensions-and-retirement-accounts/" TargetMode="External"/><Relationship Id="rId710" Type="http://schemas.openxmlformats.org/officeDocument/2006/relationships/hyperlink" Target="https://sbrownlawyer.com/2018/12/01/6-tips-for-co-parenting-effectively/" TargetMode="External"/><Relationship Id="rId716" Type="http://schemas.openxmlformats.org/officeDocument/2006/relationships/hyperlink" Target="http://sbrownlawyer.com/2018/08/14/how-do-you-prove-fault-in-a-slip-and-fall-accident/" TargetMode="External"/><Relationship Id="rId715" Type="http://schemas.openxmlformats.org/officeDocument/2006/relationships/hyperlink" Target="https://sbrownlawyer.com/2012/04/05/untangling-child-related-tax-exemption-questions-after-divorce/" TargetMode="External"/><Relationship Id="rId714" Type="http://schemas.openxmlformats.org/officeDocument/2006/relationships/hyperlink" Target="https://sbrownlawyer.com/2018/08/14/spinal-injuries-lead-to-a-host-of-issues-for-victims/" TargetMode="External"/><Relationship Id="rId713" Type="http://schemas.openxmlformats.org/officeDocument/2006/relationships/hyperlink" Target="https://sbrownlawyer.com/2013/11/06/north-texas-man-involved-in-international-custody-dispute/" TargetMode="External"/><Relationship Id="rId59" Type="http://schemas.openxmlformats.org/officeDocument/2006/relationships/hyperlink" Target="https://sbrownlawyer.com/what-happens-to-pets-in-a-texas-divorce/" TargetMode="External"/><Relationship Id="rId58" Type="http://schemas.openxmlformats.org/officeDocument/2006/relationships/hyperlink" Target="https://sbrownlawyer.com/2015/02/20/child-support-rights-of-grandparents-with-custody-of-a-grandchild/" TargetMode="External"/><Relationship Id="rId590" Type="http://schemas.openxmlformats.org/officeDocument/2006/relationships/hyperlink" Target="https://sbrownlawyer.com/2017/08/17/4-reasons-an-experienced-dwi-lawyer-is-essential/" TargetMode="External"/><Relationship Id="rId107" Type="http://schemas.openxmlformats.org/officeDocument/2006/relationships/hyperlink" Target="https://sbrownlawyer.com/vehicular-accidents/" TargetMode="External"/><Relationship Id="rId349" Type="http://schemas.openxmlformats.org/officeDocument/2006/relationships/hyperlink" Target="https://sbrownlawyer.com/how-do-i-find-the-best-duidwi-lawyer/" TargetMode="External"/><Relationship Id="rId106" Type="http://schemas.openxmlformats.org/officeDocument/2006/relationships/hyperlink" Target="https://sbrownlawyer.com/criminal-defense-attorney-in-texas/" TargetMode="External"/><Relationship Id="rId348" Type="http://schemas.openxmlformats.org/officeDocument/2006/relationships/hyperlink" Target="https://sbrownlawyer.com/galveston-boating-and-ski-accident-lawyer/" TargetMode="External"/><Relationship Id="rId105" Type="http://schemas.openxmlformats.org/officeDocument/2006/relationships/hyperlink" Target="https://sbrownlawyer.com/abogado-de-sucesiones-en-pearland-tx/" TargetMode="External"/><Relationship Id="rId347" Type="http://schemas.openxmlformats.org/officeDocument/2006/relationships/hyperlink" Target="https://sbrownlawyer.com/modifications/" TargetMode="External"/><Relationship Id="rId589" Type="http://schemas.openxmlformats.org/officeDocument/2006/relationships/hyperlink" Target="https://sbrownlawyer.com/protecting-your-assets/" TargetMode="External"/><Relationship Id="rId104" Type="http://schemas.openxmlformats.org/officeDocument/2006/relationships/hyperlink" Target="https://sbrownlawyer.com/2009/03/02/consent-to-medical-care-by-a-non-parent/" TargetMode="External"/><Relationship Id="rId346" Type="http://schemas.openxmlformats.org/officeDocument/2006/relationships/hyperlink" Target="https://sbrownlawyer.com/attorneys-working-to-achieve-your-alimony-goals/" TargetMode="External"/><Relationship Id="rId588" Type="http://schemas.openxmlformats.org/officeDocument/2006/relationships/hyperlink" Target="https://sbrownlawyer.com/2021/10/25/child-custody-101-what-decides-custody-of-a-child/" TargetMode="External"/><Relationship Id="rId109" Type="http://schemas.openxmlformats.org/officeDocument/2006/relationships/hyperlink" Target="https://sbrownlawyer.com/2021/05/31/your-parenting-plan-how-to-reach-a-child-custody-agreement-without-court-involvement/" TargetMode="External"/><Relationship Id="rId108" Type="http://schemas.openxmlformats.org/officeDocument/2006/relationships/hyperlink" Target="https://sbrownlawyer.com/protective-services/" TargetMode="External"/><Relationship Id="rId341" Type="http://schemas.openxmlformats.org/officeDocument/2006/relationships/hyperlink" Target="https://sbrownlawyer.com/galveston-aggravated-assault-lawyer/" TargetMode="External"/><Relationship Id="rId583" Type="http://schemas.openxmlformats.org/officeDocument/2006/relationships/hyperlink" Target="https://sbrownlawyer.com/2022/03/22/false-accusations-of-abuse/" TargetMode="External"/><Relationship Id="rId340" Type="http://schemas.openxmlformats.org/officeDocument/2006/relationships/hyperlink" Target="https://sbrownlawyer.com/friendswood-truck-accidents/" TargetMode="External"/><Relationship Id="rId582" Type="http://schemas.openxmlformats.org/officeDocument/2006/relationships/hyperlink" Target="https://sbrownlawyer.com/2017/11/14/texas-among-states-with-highest-numbers-of-people-in-prison/" TargetMode="External"/><Relationship Id="rId581" Type="http://schemas.openxmlformats.org/officeDocument/2006/relationships/hyperlink" Target="https://sbrownlawyer.com/2015/05/29/how-can-i-handle-summer-child-custody-schedules/" TargetMode="External"/><Relationship Id="rId580" Type="http://schemas.openxmlformats.org/officeDocument/2006/relationships/hyperlink" Target="https://sbrownlawyer.com/2018/07/02/are-there-harsh-penalties-if-i-get-caught-with-marijuana-oils-or-edibles-in-texas/" TargetMode="External"/><Relationship Id="rId103" Type="http://schemas.openxmlformats.org/officeDocument/2006/relationships/hyperlink" Target="https://sbrownlawyer.com/2015/04/17/is-your-ex-spouse-skipping-child-support-with-contract-work/" TargetMode="External"/><Relationship Id="rId345" Type="http://schemas.openxmlformats.org/officeDocument/2006/relationships/hyperlink" Target="https://sbrownlawyer.com/burglary/" TargetMode="External"/><Relationship Id="rId587" Type="http://schemas.openxmlformats.org/officeDocument/2006/relationships/hyperlink" Target="https://sbrownlawyer.com/2015/06/28/child-support-enforcement-license-suspension/" TargetMode="External"/><Relationship Id="rId102" Type="http://schemas.openxmlformats.org/officeDocument/2006/relationships/hyperlink" Target="https://sbrownlawyer.com/2018/07/17/what-happens-to-you-money-from-a-personal-injury-settlement-if-you-get-divorced/" TargetMode="External"/><Relationship Id="rId344" Type="http://schemas.openxmlformats.org/officeDocument/2006/relationships/hyperlink" Target="https://sbrownlawyer.com/2020/05/07/what-you-need-to-know-about-child-custody-laws-in-texas/" TargetMode="External"/><Relationship Id="rId586" Type="http://schemas.openxmlformats.org/officeDocument/2006/relationships/hyperlink" Target="https://sbrownlawyer.com/2019/12/30/can-pedestrian-detection-systems-be-trusted/" TargetMode="External"/><Relationship Id="rId101" Type="http://schemas.openxmlformats.org/officeDocument/2006/relationships/hyperlink" Target="https://sbrownlawyer.com/tv-advertising/" TargetMode="External"/><Relationship Id="rId343" Type="http://schemas.openxmlformats.org/officeDocument/2006/relationships/hyperlink" Target="https://sbrownlawyer.com/lgbtq-divorce/" TargetMode="External"/><Relationship Id="rId585" Type="http://schemas.openxmlformats.org/officeDocument/2006/relationships/hyperlink" Target="https://sbrownlawyer.com/planning-for-divorce/" TargetMode="External"/><Relationship Id="rId100" Type="http://schemas.openxmlformats.org/officeDocument/2006/relationships/hyperlink" Target="https://sbrownlawyer.com/2019/12/02/challenging-a-prenup/" TargetMode="External"/><Relationship Id="rId342" Type="http://schemas.openxmlformats.org/officeDocument/2006/relationships/hyperlink" Target="https://sbrownlawyer.com/divorce-modification/" TargetMode="External"/><Relationship Id="rId584" Type="http://schemas.openxmlformats.org/officeDocument/2006/relationships/hyperlink" Target="https://sbrownlawyer.com/2015/03/26/texas-bill-1812-would-fund-marys-law-enforcement/" TargetMode="External"/><Relationship Id="rId338" Type="http://schemas.openxmlformats.org/officeDocument/2006/relationships/hyperlink" Target="https://sbrownlawyer.com/online-solicitation-of-a-minor/" TargetMode="External"/><Relationship Id="rId337" Type="http://schemas.openxmlformats.org/officeDocument/2006/relationships/hyperlink" Target="https://sbrownlawyer.com/drug-possession/" TargetMode="External"/><Relationship Id="rId579" Type="http://schemas.openxmlformats.org/officeDocument/2006/relationships/hyperlink" Target="https://sbrownlawyer.com/2015/06/16/improve-your-safety-when-you-flee-a-domestic-abuse-situation/" TargetMode="External"/><Relationship Id="rId336" Type="http://schemas.openxmlformats.org/officeDocument/2006/relationships/hyperlink" Target="https://sbrownlawyer.com/league-city-tx-criminal-defense-lawyers/" TargetMode="External"/><Relationship Id="rId578" Type="http://schemas.openxmlformats.org/officeDocument/2006/relationships/hyperlink" Target="https://sbrownlawyer.com/2009/03/18/what-are-factors-that-may-lead-to-divorce/" TargetMode="External"/><Relationship Id="rId335" Type="http://schemas.openxmlformats.org/officeDocument/2006/relationships/hyperlink" Target="https://sbrownlawyer.com/family-based-immigration/" TargetMode="External"/><Relationship Id="rId577" Type="http://schemas.openxmlformats.org/officeDocument/2006/relationships/hyperlink" Target="https://sbrownlawyer.com/2014/10/09/property-division-in-texas-community-separate-and-quasi-groups/" TargetMode="External"/><Relationship Id="rId339" Type="http://schemas.openxmlformats.org/officeDocument/2006/relationships/hyperlink" Target="https://sbrownlawyer.com/pearland-premises-liability/" TargetMode="External"/><Relationship Id="rId330" Type="http://schemas.openxmlformats.org/officeDocument/2006/relationships/hyperlink" Target="https://sbrownlawyer.com/human-trafficking/" TargetMode="External"/><Relationship Id="rId572" Type="http://schemas.openxmlformats.org/officeDocument/2006/relationships/hyperlink" Target="https://sbrownlawyer.com/newsletter/" TargetMode="External"/><Relationship Id="rId571" Type="http://schemas.openxmlformats.org/officeDocument/2006/relationships/hyperlink" Target="https://sbrownlawyer.com/2016/08/25/signs-that-a-spouse-is-hiding-assets/" TargetMode="External"/><Relationship Id="rId570" Type="http://schemas.openxmlformats.org/officeDocument/2006/relationships/hyperlink" Target="https://sbrownlawyer.com/2019/03/08/do-stepparents-ever-have-rights-in-a-divorce/" TargetMode="External"/><Relationship Id="rId334" Type="http://schemas.openxmlformats.org/officeDocument/2006/relationships/hyperlink" Target="https://sbrownlawyer.com/foot-injury/" TargetMode="External"/><Relationship Id="rId576" Type="http://schemas.openxmlformats.org/officeDocument/2006/relationships/hyperlink" Target="https://sbrownlawyer.com/league-city-spousal-support-lawyer/" TargetMode="External"/><Relationship Id="rId333" Type="http://schemas.openxmlformats.org/officeDocument/2006/relationships/hyperlink" Target="https://sbrownlawyer.com/product-liability/" TargetMode="External"/><Relationship Id="rId575" Type="http://schemas.openxmlformats.org/officeDocument/2006/relationships/hyperlink" Target="https://sbrownlawyer.com/league-city-tx-family-law-modifications-lawyer/" TargetMode="External"/><Relationship Id="rId332" Type="http://schemas.openxmlformats.org/officeDocument/2006/relationships/hyperlink" Target="https://sbrownlawyer.com/investment-properties/" TargetMode="External"/><Relationship Id="rId574" Type="http://schemas.openxmlformats.org/officeDocument/2006/relationships/hyperlink" Target="https://sbrownlawyer.com/2018/08/18/what-should-you-look-for-when-driving-next-to-big-trucks/" TargetMode="External"/><Relationship Id="rId331" Type="http://schemas.openxmlformats.org/officeDocument/2006/relationships/hyperlink" Target="https://sbrownlawyer.com/friendswood-car-accidents/" TargetMode="External"/><Relationship Id="rId573" Type="http://schemas.openxmlformats.org/officeDocument/2006/relationships/hyperlink" Target="https://sbrownlawyer.com/the-divorce-process/" TargetMode="External"/><Relationship Id="rId370" Type="http://schemas.openxmlformats.org/officeDocument/2006/relationships/hyperlink" Target="https://sbrownlawyer.com/criminal-defense-videos/" TargetMode="External"/><Relationship Id="rId129" Type="http://schemas.openxmlformats.org/officeDocument/2006/relationships/hyperlink" Target="https://sbrownlawyer.com/2017/05/02/how-can-a-spouse-keep-the-house-after-a-texas-divorce/" TargetMode="External"/><Relationship Id="rId128" Type="http://schemas.openxmlformats.org/officeDocument/2006/relationships/hyperlink" Target="https://sbrownlawyer.com/2013/01/15/texas-child-support-state-seeks-money-from-sperm-donor/" TargetMode="External"/><Relationship Id="rId127" Type="http://schemas.openxmlformats.org/officeDocument/2006/relationships/hyperlink" Target="https://sbrownlawyer.com/fathers-rights/" TargetMode="External"/><Relationship Id="rId369" Type="http://schemas.openxmlformats.org/officeDocument/2006/relationships/hyperlink" Target="https://sbrownlawyer.com/2018/04/12/do-you-need-uninsured-motorist-auto-insurance-coverage-in-texas/" TargetMode="External"/><Relationship Id="rId126" Type="http://schemas.openxmlformats.org/officeDocument/2006/relationships/hyperlink" Target="https://sbrownlawyer.com/misdemeanor/" TargetMode="External"/><Relationship Id="rId368" Type="http://schemas.openxmlformats.org/officeDocument/2006/relationships/hyperlink" Target="https://sbrownlawyer.com/2017/06/12/are-dwi-checkpoints-legal-in-texas/" TargetMode="External"/><Relationship Id="rId121" Type="http://schemas.openxmlformats.org/officeDocument/2006/relationships/hyperlink" Target="https://sbrownlawyer.com/title-ix-defense-campus-sexual-assault/" TargetMode="External"/><Relationship Id="rId363" Type="http://schemas.openxmlformats.org/officeDocument/2006/relationships/hyperlink" Target="https://sbrownlawyer.com/big-rig-accidents/" TargetMode="External"/><Relationship Id="rId120" Type="http://schemas.openxmlformats.org/officeDocument/2006/relationships/hyperlink" Target="https://sbrownlawyer.com/2018/01/05/why-equal-parenting-bill-has-died-in-texas/" TargetMode="External"/><Relationship Id="rId362" Type="http://schemas.openxmlformats.org/officeDocument/2006/relationships/hyperlink" Target="https://sbrownlawyer.com/hidden-assets-some-marital-property-may-not-be-obvious/" TargetMode="External"/><Relationship Id="rId361" Type="http://schemas.openxmlformats.org/officeDocument/2006/relationships/hyperlink" Target="https://sbrownlawyer.com/2018/01/01/understanding-the-best-interests-standard-in-custody-determinations/" TargetMode="External"/><Relationship Id="rId360" Type="http://schemas.openxmlformats.org/officeDocument/2006/relationships/hyperlink" Target="https://sbrownlawyer.com/league-city-tx-lake-fathers-rights-lawyer/" TargetMode="External"/><Relationship Id="rId125" Type="http://schemas.openxmlformats.org/officeDocument/2006/relationships/hyperlink" Target="https://sbrownlawyer.com/aggravated-sexual-assault/" TargetMode="External"/><Relationship Id="rId367" Type="http://schemas.openxmlformats.org/officeDocument/2006/relationships/hyperlink" Target="https://sbrownlawyer.com/stepparent-rights/" TargetMode="External"/><Relationship Id="rId124" Type="http://schemas.openxmlformats.org/officeDocument/2006/relationships/hyperlink" Target="https://sbrownlawyer.com/hiring-sexual-assault-defense-lawyer/" TargetMode="External"/><Relationship Id="rId366" Type="http://schemas.openxmlformats.org/officeDocument/2006/relationships/hyperlink" Target="https://sbrownlawyer.com/financial-steps-individuals-should-take-to-prepare-for-divorce/" TargetMode="External"/><Relationship Id="rId123" Type="http://schemas.openxmlformats.org/officeDocument/2006/relationships/hyperlink" Target="https://sbrownlawyer.com/criminal-law/indecent-exposure/" TargetMode="External"/><Relationship Id="rId365" Type="http://schemas.openxmlformats.org/officeDocument/2006/relationships/hyperlink" Target="https://sbrownlawyer.com/the-unique-aspects-of-alimony-spousal-maintenance-in-texas/" TargetMode="External"/><Relationship Id="rId122" Type="http://schemas.openxmlformats.org/officeDocument/2006/relationships/hyperlink" Target="https://sbrownlawyer.com/grand-theft/" TargetMode="External"/><Relationship Id="rId364" Type="http://schemas.openxmlformats.org/officeDocument/2006/relationships/hyperlink" Target="https://sbrownlawyer.com/league-city-high-net-worth-divorce-lawyer/" TargetMode="External"/><Relationship Id="rId95" Type="http://schemas.openxmlformats.org/officeDocument/2006/relationships/hyperlink" Target="https://sbrownlawyer.com/harris-county-family-law/" TargetMode="External"/><Relationship Id="rId94" Type="http://schemas.openxmlformats.org/officeDocument/2006/relationships/hyperlink" Target="https://sbrownlawyer.com/league-city-2/" TargetMode="External"/><Relationship Id="rId97" Type="http://schemas.openxmlformats.org/officeDocument/2006/relationships/hyperlink" Target="https://sbrownlawyer.com/reckless-driving/" TargetMode="External"/><Relationship Id="rId96" Type="http://schemas.openxmlformats.org/officeDocument/2006/relationships/hyperlink" Target="https://sbrownlawyer.com/business-owner-divorce/" TargetMode="External"/><Relationship Id="rId99" Type="http://schemas.openxmlformats.org/officeDocument/2006/relationships/hyperlink" Target="https://sbrownlawyer.com/sexual-abuse/" TargetMode="External"/><Relationship Id="rId98" Type="http://schemas.openxmlformats.org/officeDocument/2006/relationships/hyperlink" Target="https://sbrownlawyer.com/division-of-property/" TargetMode="External"/><Relationship Id="rId91" Type="http://schemas.openxmlformats.org/officeDocument/2006/relationships/hyperlink" Target="https://sbrownlawyer.com/2019/01/28/if-you-are-in-an-accident-with-a-drunk-driver-can-you-press-charges/" TargetMode="External"/><Relationship Id="rId90" Type="http://schemas.openxmlformats.org/officeDocument/2006/relationships/hyperlink" Target="https://sbrownlawyer.com/2014/04/18/no-fault-divorce-covenant-marriage-and-domestic-violence/" TargetMode="External"/><Relationship Id="rId93" Type="http://schemas.openxmlformats.org/officeDocument/2006/relationships/hyperlink" Target="https://sbrownlawyer.com/spinal-cord-injury/" TargetMode="External"/><Relationship Id="rId92" Type="http://schemas.openxmlformats.org/officeDocument/2006/relationships/hyperlink" Target="https://sbrownlawyer.com/2009/05/13/the-obsessed-alienator/" TargetMode="External"/><Relationship Id="rId118" Type="http://schemas.openxmlformats.org/officeDocument/2006/relationships/hyperlink" Target="https://sbrownlawyer.com/ryan-r-putz/" TargetMode="External"/><Relationship Id="rId117" Type="http://schemas.openxmlformats.org/officeDocument/2006/relationships/hyperlink" Target="https://sbrownlawyer.com/child-sex-offenses/" TargetMode="External"/><Relationship Id="rId359" Type="http://schemas.openxmlformats.org/officeDocument/2006/relationships/hyperlink" Target="https://sbrownlawyer.com/galveston-spousal-support/" TargetMode="External"/><Relationship Id="rId116" Type="http://schemas.openxmlformats.org/officeDocument/2006/relationships/hyperlink" Target="https://sbrownlawyer.com/careers/" TargetMode="External"/><Relationship Id="rId358" Type="http://schemas.openxmlformats.org/officeDocument/2006/relationships/hyperlink" Target="https://sbrownlawyer.com/galveston-motorcycle-accidents-2/" TargetMode="External"/><Relationship Id="rId115" Type="http://schemas.openxmlformats.org/officeDocument/2006/relationships/hyperlink" Target="https://sbrownlawyer.com/criminal-defense-book/" TargetMode="External"/><Relationship Id="rId357" Type="http://schemas.openxmlformats.org/officeDocument/2006/relationships/hyperlink" Target="https://sbrownlawyer.com/friendswood-motorcycle-accidents/" TargetMode="External"/><Relationship Id="rId599" Type="http://schemas.openxmlformats.org/officeDocument/2006/relationships/hyperlink" Target="https://sbrownlawyer.com/league-city-tx-drug-possession-defense/" TargetMode="External"/><Relationship Id="rId119" Type="http://schemas.openxmlformats.org/officeDocument/2006/relationships/hyperlink" Target="https://sbrownlawyer.com/2018/12/05/does-a-domestic-violence-charge-affect-my-joint-custody-order/" TargetMode="External"/><Relationship Id="rId110" Type="http://schemas.openxmlformats.org/officeDocument/2006/relationships/hyperlink" Target="https://sbrownlawyer.com/paralysis/" TargetMode="External"/><Relationship Id="rId352" Type="http://schemas.openxmlformats.org/officeDocument/2006/relationships/hyperlink" Target="https://sbrownlawyer.com/how-is-property-divided-in-a-texas-divorce/" TargetMode="External"/><Relationship Id="rId594" Type="http://schemas.openxmlformats.org/officeDocument/2006/relationships/hyperlink" Target="https://sbrownlawyer.com/wp-content/uploads/2017/06/december-newsletter.pdf" TargetMode="External"/><Relationship Id="rId351" Type="http://schemas.openxmlformats.org/officeDocument/2006/relationships/hyperlink" Target="https://sbrownlawyer.com/violent-crimes/" TargetMode="External"/><Relationship Id="rId593" Type="http://schemas.openxmlformats.org/officeDocument/2006/relationships/hyperlink" Target="https://sbrownlawyer.com/league-city-drug-distribution-charges/" TargetMode="External"/><Relationship Id="rId350" Type="http://schemas.openxmlformats.org/officeDocument/2006/relationships/hyperlink" Target="https://sbrownlawyer.com/high-net-worth-divorce/" TargetMode="External"/><Relationship Id="rId592" Type="http://schemas.openxmlformats.org/officeDocument/2006/relationships/hyperlink" Target="https://sbrownlawyer.com/league-city-construction-accidents/" TargetMode="External"/><Relationship Id="rId591" Type="http://schemas.openxmlformats.org/officeDocument/2006/relationships/hyperlink" Target="https://sbrownlawyer.com/2014/03/14/texas-banker-to-get-over-50000-in-child-support-repayment/" TargetMode="External"/><Relationship Id="rId114" Type="http://schemas.openxmlformats.org/officeDocument/2006/relationships/hyperlink" Target="https://sbrownlawyer.com/pearland-marijuana-possession/" TargetMode="External"/><Relationship Id="rId356" Type="http://schemas.openxmlformats.org/officeDocument/2006/relationships/hyperlink" Target="https://sbrownlawyer.com/personal-injury-in-texas/boat-accidents/" TargetMode="External"/><Relationship Id="rId598" Type="http://schemas.openxmlformats.org/officeDocument/2006/relationships/hyperlink" Target="https://sbrownlawyer.com/2009/03/25/what-is-parental-alienation/" TargetMode="External"/><Relationship Id="rId113" Type="http://schemas.openxmlformats.org/officeDocument/2006/relationships/hyperlink" Target="https://sbrownlawyer.com/parental-alienation/" TargetMode="External"/><Relationship Id="rId355" Type="http://schemas.openxmlformats.org/officeDocument/2006/relationships/hyperlink" Target="https://sbrownlawyer.com/league-city-child-custody-attorneys/" TargetMode="External"/><Relationship Id="rId597" Type="http://schemas.openxmlformats.org/officeDocument/2006/relationships/hyperlink" Target="https://sbrownlawyer.com/2016/02/18/how-does-bankruptcy-affect-child-support/" TargetMode="External"/><Relationship Id="rId112" Type="http://schemas.openxmlformats.org/officeDocument/2006/relationships/hyperlink" Target="https://sbrownlawyer.com/2020/09/10/types-of-custody-arrangements-for-divorcing-couples/" TargetMode="External"/><Relationship Id="rId354" Type="http://schemas.openxmlformats.org/officeDocument/2006/relationships/hyperlink" Target="https://sbrownlawyer.com/2020/08/07/contested-vs-uncontested-divorce-in-houston-top-things-you-need-to-know/" TargetMode="External"/><Relationship Id="rId596" Type="http://schemas.openxmlformats.org/officeDocument/2006/relationships/hyperlink" Target="https://sbrownlawyer.com/2019/02/01/how-are-retirement-accounts-handled-in-a-divorce/" TargetMode="External"/><Relationship Id="rId111" Type="http://schemas.openxmlformats.org/officeDocument/2006/relationships/hyperlink" Target="https://sbrownlawyer.com/2024/09/23/is-leaving-the-scene-of-an-accident-a-felony-in-angleton/" TargetMode="External"/><Relationship Id="rId353" Type="http://schemas.openxmlformats.org/officeDocument/2006/relationships/hyperlink" Target="https://sbrownlawyer.com/league-city-truck-accidents/" TargetMode="External"/><Relationship Id="rId595" Type="http://schemas.openxmlformats.org/officeDocument/2006/relationships/hyperlink" Target="https://sbrownlawyer.com/2022/08/12/job-opportunity-were-looking-for-an-associate-attorney/" TargetMode="External"/><Relationship Id="rId305" Type="http://schemas.openxmlformats.org/officeDocument/2006/relationships/hyperlink" Target="https://sbrownlawyer.com/offshore-injuries/" TargetMode="External"/><Relationship Id="rId547" Type="http://schemas.openxmlformats.org/officeDocument/2006/relationships/hyperlink" Target="https://sbrownlawyer.com/2018/06/05/driving-under-the-influence-of-medication/" TargetMode="External"/><Relationship Id="rId789" Type="http://schemas.openxmlformats.org/officeDocument/2006/relationships/hyperlink" Target="https://sbrownlawyer.com/blog/page/48/?refPageViewId=5b1ad708b784f242&amp;et_blog" TargetMode="External"/><Relationship Id="rId304" Type="http://schemas.openxmlformats.org/officeDocument/2006/relationships/hyperlink" Target="https://sbrownlawyer.com/t-bone-accident/" TargetMode="External"/><Relationship Id="rId546" Type="http://schemas.openxmlformats.org/officeDocument/2006/relationships/hyperlink" Target="https://sbrownlawyer.com/2018/06/12/what-kind-of-assets-can-a-spouse-hide-in-a-divorce/" TargetMode="External"/><Relationship Id="rId788" Type="http://schemas.openxmlformats.org/officeDocument/2006/relationships/hyperlink" Target="https://sbrownlawyer.com/2015/09/18/domestic-violence-and-child-protective-services/" TargetMode="External"/><Relationship Id="rId303" Type="http://schemas.openxmlformats.org/officeDocument/2006/relationships/hyperlink" Target="https://sbrownlawyer.com/2018/04/17/statutory-rape-age-of-consent-in-texas-how-old-is-too-old/" TargetMode="External"/><Relationship Id="rId545" Type="http://schemas.openxmlformats.org/officeDocument/2006/relationships/hyperlink" Target="https://sbrownlawyer.com/privacy-policy/" TargetMode="External"/><Relationship Id="rId787" Type="http://schemas.openxmlformats.org/officeDocument/2006/relationships/hyperlink" Target="https://sbrownlawyer.com/blog/page/47/?refPageViewId=5b1ad708b784f242&amp;et_blog" TargetMode="External"/><Relationship Id="rId302" Type="http://schemas.openxmlformats.org/officeDocument/2006/relationships/hyperlink" Target="https://sbrownlawyer.com/category/careers/" TargetMode="External"/><Relationship Id="rId544" Type="http://schemas.openxmlformats.org/officeDocument/2006/relationships/hyperlink" Target="https://sbrownlawyer.com/2018/09/01/what-is-a-prenuptial-agreement/" TargetMode="External"/><Relationship Id="rId786" Type="http://schemas.openxmlformats.org/officeDocument/2006/relationships/hyperlink" Target="https://sbrownlawyer.com/blog/page/38/?refPageViewId=5b0e815433bd7f68&amp;et_blog" TargetMode="External"/><Relationship Id="rId309" Type="http://schemas.openxmlformats.org/officeDocument/2006/relationships/hyperlink" Target="https://sbrownlawyer.com/2024/08/30/car-accidents/" TargetMode="External"/><Relationship Id="rId308" Type="http://schemas.openxmlformats.org/officeDocument/2006/relationships/hyperlink" Target="https://sbrownlawyer.com/motorcycle-accident/" TargetMode="External"/><Relationship Id="rId307" Type="http://schemas.openxmlformats.org/officeDocument/2006/relationships/hyperlink" Target="https://sbrownlawyer.com/personal-injury/burn-injury/" TargetMode="External"/><Relationship Id="rId549" Type="http://schemas.openxmlformats.org/officeDocument/2006/relationships/hyperlink" Target="https://sbrownlawyer.com/2019/02/15/how-can-social-media-affect-divorce/" TargetMode="External"/><Relationship Id="rId306" Type="http://schemas.openxmlformats.org/officeDocument/2006/relationships/hyperlink" Target="https://sbrownlawyer.com/2017/04/21/the-role-of-the-life-care-planner-in-a-serious-injury-case/" TargetMode="External"/><Relationship Id="rId548" Type="http://schemas.openxmlformats.org/officeDocument/2006/relationships/hyperlink" Target="https://sbrownlawyer.com/physician-practices/" TargetMode="External"/><Relationship Id="rId781" Type="http://schemas.openxmlformats.org/officeDocument/2006/relationships/hyperlink" Target="https://sbrownlawyer.com/category/sex-crimes/" TargetMode="External"/><Relationship Id="rId780" Type="http://schemas.openxmlformats.org/officeDocument/2006/relationships/hyperlink" Target="https://sbrownlawyer.com/2019/08/15/dont-go-solo-top-3-reasons-to-hire-a-dwi-lawyer/" TargetMode="External"/><Relationship Id="rId301" Type="http://schemas.openxmlformats.org/officeDocument/2006/relationships/hyperlink" Target="https://sbrownlawyer.com/2012/04/27/senator-looks-into-drug-testing-for-child-support-recipients/" TargetMode="External"/><Relationship Id="rId543" Type="http://schemas.openxmlformats.org/officeDocument/2006/relationships/hyperlink" Target="https://sbrownlawyer.com/what-to-do-after-a-serious-car-accident/" TargetMode="External"/><Relationship Id="rId785" Type="http://schemas.openxmlformats.org/officeDocument/2006/relationships/hyperlink" Target="https://sbrownlawyer.com/2018/05/10/personal-injuries-pain-and-suffering-damages-in-texas/" TargetMode="External"/><Relationship Id="rId300" Type="http://schemas.openxmlformats.org/officeDocument/2006/relationships/hyperlink" Target="https://sbrownlawyer.com/blog/page/24/?et_blog" TargetMode="External"/><Relationship Id="rId542" Type="http://schemas.openxmlformats.org/officeDocument/2006/relationships/hyperlink" Target="https://sbrownlawyer.com/2016/02/03/effects-of-divorce-on-daughters/" TargetMode="External"/><Relationship Id="rId784" Type="http://schemas.openxmlformats.org/officeDocument/2006/relationships/hyperlink" Target="https://sbrownlawyer.com/2014/04/25/abducted-girl-is-safe-in-texas/" TargetMode="External"/><Relationship Id="rId541" Type="http://schemas.openxmlformats.org/officeDocument/2006/relationships/hyperlink" Target="https://sbrownlawyer.com/category/immigration-law/" TargetMode="External"/><Relationship Id="rId783" Type="http://schemas.openxmlformats.org/officeDocument/2006/relationships/hyperlink" Target="https://sbrownlawyer.com/2012/10/29/texas-celebrity-couple-files-for-separation-divorce-to-follow/" TargetMode="External"/><Relationship Id="rId540" Type="http://schemas.openxmlformats.org/officeDocument/2006/relationships/hyperlink" Target="https://sbrownlawyer.com/2014/06/13/muslim-women-dont-have-to-live-with-domestic-abuse/" TargetMode="External"/><Relationship Id="rId782" Type="http://schemas.openxmlformats.org/officeDocument/2006/relationships/hyperlink" Target="https://sbrownlawyer.com/family-law-father-lp/thank-you/" TargetMode="External"/><Relationship Id="rId536" Type="http://schemas.openxmlformats.org/officeDocument/2006/relationships/hyperlink" Target="https://sbrownlawyer.com/2018/05/01/5-tips-to-prepare-for-your-divorce-consultation/" TargetMode="External"/><Relationship Id="rId778" Type="http://schemas.openxmlformats.org/officeDocument/2006/relationships/hyperlink" Target="https://sbrownlawyer.com/?wordfence_lh=1&amp;hid=A6898B9B26DB5B6FF4EA1DD50EAFD2CB" TargetMode="External"/><Relationship Id="rId535" Type="http://schemas.openxmlformats.org/officeDocument/2006/relationships/hyperlink" Target="https://sbrownlawyer.com/2018/03/15/preparing-to-testify-in-court/" TargetMode="External"/><Relationship Id="rId777" Type="http://schemas.openxmlformats.org/officeDocument/2006/relationships/hyperlink" Target="https://sbrownlawyer.com/2018/12/15/what-to-do-when-a-child-does-not-want-to-visit-the-other-parent/" TargetMode="External"/><Relationship Id="rId534" Type="http://schemas.openxmlformats.org/officeDocument/2006/relationships/hyperlink" Target="https://sbrownlawyer.com/2018/09/18/can-you-refuse-a-dwi-breath-or-blood-test-in-a-dwi-stop-in-texas/" TargetMode="External"/><Relationship Id="rId776" Type="http://schemas.openxmlformats.org/officeDocument/2006/relationships/hyperlink" Target="https://sbrownlawyer.com/family-law-lp/" TargetMode="External"/><Relationship Id="rId533" Type="http://schemas.openxmlformats.org/officeDocument/2006/relationships/hyperlink" Target="https://sbrownlawyer.com/assault-charges/" TargetMode="External"/><Relationship Id="rId775" Type="http://schemas.openxmlformats.org/officeDocument/2006/relationships/hyperlink" Target="https://sbrownlawyer.com/blog/page/30/?refPageViewId=8ad1522bb2d107f1&amp;et_blog" TargetMode="External"/><Relationship Id="rId539" Type="http://schemas.openxmlformats.org/officeDocument/2006/relationships/hyperlink" Target="https://sbrownlawyer.com/2023/01/06/job-opportunity-senior-attorney/" TargetMode="External"/><Relationship Id="rId538" Type="http://schemas.openxmlformats.org/officeDocument/2006/relationships/hyperlink" Target="https://sbrownlawyer.com/2015/10/16/how-does-alimony-affect-my-taxes/" TargetMode="External"/><Relationship Id="rId537" Type="http://schemas.openxmlformats.org/officeDocument/2006/relationships/hyperlink" Target="https://sbrownlawyer.com/league-city-tx-car-accident-lawyer/" TargetMode="External"/><Relationship Id="rId779" Type="http://schemas.openxmlformats.org/officeDocument/2006/relationships/hyperlink" Target="https://sbrownlawyer.com/2012/08/10/texas-divorce-non-holidays-find-way-into-custody-schedule/" TargetMode="External"/><Relationship Id="rId770" Type="http://schemas.openxmlformats.org/officeDocument/2006/relationships/hyperlink" Target="https://sbrownlawyer.com/2015/02/12/protective-orders-are-important-in-domestic-violence-cases/" TargetMode="External"/><Relationship Id="rId532" Type="http://schemas.openxmlformats.org/officeDocument/2006/relationships/hyperlink" Target="https://sbrownlawyer.com/2015/07/13/same-sex-divorces-in-texas-likely-to-have-problems-for-now/" TargetMode="External"/><Relationship Id="rId774" Type="http://schemas.openxmlformats.org/officeDocument/2006/relationships/hyperlink" Target="https://sbrownlawyer.com/?refPageViewId=8c7af837169e062c" TargetMode="External"/><Relationship Id="rId531" Type="http://schemas.openxmlformats.org/officeDocument/2006/relationships/hyperlink" Target="https://sbrownlawyer.com/how-to-hire-a-texas-criminal-defense-lawyer/" TargetMode="External"/><Relationship Id="rId773" Type="http://schemas.openxmlformats.org/officeDocument/2006/relationships/hyperlink" Target="https://sbrownlawyer.com/2016/05/06/how-can-i-protect-my-assets-and-property/" TargetMode="External"/><Relationship Id="rId530" Type="http://schemas.openxmlformats.org/officeDocument/2006/relationships/hyperlink" Target="https://sbrownlawyer.com/2024/11/26/eb-2-visa-how-immigration-attorneys-can-help-you-apply/" TargetMode="External"/><Relationship Id="rId772" Type="http://schemas.openxmlformats.org/officeDocument/2006/relationships/hyperlink" Target="https://sbrownlawyer.com/2014/11/28/dealing-with-dogs-as-part-of-the-property-division-process/" TargetMode="External"/><Relationship Id="rId771" Type="http://schemas.openxmlformats.org/officeDocument/2006/relationships/hyperlink" Target="https://sbrownlawyer.com/2016/01/01/child-support-deviations-and-you/" TargetMode="External"/><Relationship Id="rId327" Type="http://schemas.openxmlformats.org/officeDocument/2006/relationships/hyperlink" Target="https://sbrownlawyer.com/petrochemical-plant-accidents/" TargetMode="External"/><Relationship Id="rId569" Type="http://schemas.openxmlformats.org/officeDocument/2006/relationships/hyperlink" Target="https://sbrownlawyer.com/2016/03/25/alimony-payments-are-helpful-but-not-mandatory/" TargetMode="External"/><Relationship Id="rId326" Type="http://schemas.openxmlformats.org/officeDocument/2006/relationships/hyperlink" Target="https://sbrownlawyer.com/galveston-truck-accident-lawyer/" TargetMode="External"/><Relationship Id="rId568" Type="http://schemas.openxmlformats.org/officeDocument/2006/relationships/hyperlink" Target="https://sbrownlawyer.com/spanish-lp/" TargetMode="External"/><Relationship Id="rId325" Type="http://schemas.openxmlformats.org/officeDocument/2006/relationships/hyperlink" Target="https://sbrownlawyer.com/white-collar-crimes/" TargetMode="External"/><Relationship Id="rId567" Type="http://schemas.openxmlformats.org/officeDocument/2006/relationships/hyperlink" Target="https://sbrownlawyer.com/2015/01/02/how-can-texas-military-parents-deal-with-newborn-sleep-habits/" TargetMode="External"/><Relationship Id="rId324" Type="http://schemas.openxmlformats.org/officeDocument/2006/relationships/hyperlink" Target="https://sbrownlawyer.com/dwi-attorney-in-galveston-county/" TargetMode="External"/><Relationship Id="rId566" Type="http://schemas.openxmlformats.org/officeDocument/2006/relationships/hyperlink" Target="https://sbrownlawyer.com/business-and-professional-practices-in-divorce/" TargetMode="External"/><Relationship Id="rId329" Type="http://schemas.openxmlformats.org/officeDocument/2006/relationships/hyperlink" Target="https://sbrownlawyer.com/truck-accident/" TargetMode="External"/><Relationship Id="rId328" Type="http://schemas.openxmlformats.org/officeDocument/2006/relationships/hyperlink" Target="https://sbrownlawyer.com/under-age-dui-defense-in-league-city-tx/" TargetMode="External"/><Relationship Id="rId561" Type="http://schemas.openxmlformats.org/officeDocument/2006/relationships/hyperlink" Target="https://sbrownlawyer.com/don-t-let-family-violence-allegations-affect-your-open-carry-rights/" TargetMode="External"/><Relationship Id="rId560" Type="http://schemas.openxmlformats.org/officeDocument/2006/relationships/hyperlink" Target="https://sbrownlawyer.com/wp-content/uploads/2017/06/january-newsletter.pdf" TargetMode="External"/><Relationship Id="rId323" Type="http://schemas.openxmlformats.org/officeDocument/2006/relationships/hyperlink" Target="https://sbrownlawyer.com/pedestrian-accidents/" TargetMode="External"/><Relationship Id="rId565" Type="http://schemas.openxmlformats.org/officeDocument/2006/relationships/hyperlink" Target="https://sbrownlawyer.com/2013/11/03/the-silver-lining-to-filing-a-silver-divorce/" TargetMode="External"/><Relationship Id="rId322" Type="http://schemas.openxmlformats.org/officeDocument/2006/relationships/hyperlink" Target="https://sbrownlawyer.com/uninsured-motorists-accidents/" TargetMode="External"/><Relationship Id="rId564" Type="http://schemas.openxmlformats.org/officeDocument/2006/relationships/hyperlink" Target="https://sbrownlawyer.com/schedule-now/" TargetMode="External"/><Relationship Id="rId321" Type="http://schemas.openxmlformats.org/officeDocument/2006/relationships/hyperlink" Target="https://sbrownlawyer.com/2024/08/20/no-fault-divorce-vs-fault-divorce-angleton-texas/" TargetMode="External"/><Relationship Id="rId563" Type="http://schemas.openxmlformats.org/officeDocument/2006/relationships/hyperlink" Target="https://sbrownlawyer.com/league-city-slip-fall-accidents/" TargetMode="External"/><Relationship Id="rId320" Type="http://schemas.openxmlformats.org/officeDocument/2006/relationships/hyperlink" Target="https://sbrownlawyer.com/child-support/child-support-modifications/" TargetMode="External"/><Relationship Id="rId562" Type="http://schemas.openxmlformats.org/officeDocument/2006/relationships/hyperlink" Target="http://sbrownlawyer.com/2009/04/08/parental-alienation-risk-factors-of-alienation/" TargetMode="External"/><Relationship Id="rId316" Type="http://schemas.openxmlformats.org/officeDocument/2006/relationships/hyperlink" Target="https://sbrownlawyer.com/birth-injuries/" TargetMode="External"/><Relationship Id="rId558" Type="http://schemas.openxmlformats.org/officeDocument/2006/relationships/hyperlink" Target="https://sbrownlawyer.com/2022/01/07/i-will-fight-for-you/" TargetMode="External"/><Relationship Id="rId315" Type="http://schemas.openxmlformats.org/officeDocument/2006/relationships/hyperlink" Target="https://sbrownlawyer.com/jones-act-claims/" TargetMode="External"/><Relationship Id="rId557" Type="http://schemas.openxmlformats.org/officeDocument/2006/relationships/hyperlink" Target="https://sbrownlawyer.com/2015/07/24/what-can-i-put-in-a-prenup/" TargetMode="External"/><Relationship Id="rId799" Type="http://schemas.openxmlformats.org/officeDocument/2006/relationships/hyperlink" Target="https://sbrownlawyer.com/2013/04/18/grandparents-rights-in-texas-should-they-be-expanded/" TargetMode="External"/><Relationship Id="rId314" Type="http://schemas.openxmlformats.org/officeDocument/2006/relationships/hyperlink" Target="https://sbrownlawyer.com/league-city-car-accidents/" TargetMode="External"/><Relationship Id="rId556" Type="http://schemas.openxmlformats.org/officeDocument/2006/relationships/hyperlink" Target="https://sbrownlawyer.com/2017/04/08/what-happens-if-i-refuse-to-take-a-test-when-arrested-for-a-dwi/" TargetMode="External"/><Relationship Id="rId798" Type="http://schemas.openxmlformats.org/officeDocument/2006/relationships/hyperlink" Target="https://sbrownlawyer.com/2012/11/07/importance-of-knowing-legal-options-in-texas-child-support-fights/" TargetMode="External"/><Relationship Id="rId313" Type="http://schemas.openxmlformats.org/officeDocument/2006/relationships/hyperlink" Target="https://sbrownlawyer.com/assault/" TargetMode="External"/><Relationship Id="rId555" Type="http://schemas.openxmlformats.org/officeDocument/2006/relationships/hyperlink" Target="https://sbrownlawyer.com/2018/02/22/getting-a-dwi-in-texas-while-you-live-in-another-state/" TargetMode="External"/><Relationship Id="rId797" Type="http://schemas.openxmlformats.org/officeDocument/2006/relationships/hyperlink" Target="https://sbrownlawyer.com/blog/page/27/?refPageViewId=8b1842ca51c46bf5&amp;et_blog" TargetMode="External"/><Relationship Id="rId319" Type="http://schemas.openxmlformats.org/officeDocument/2006/relationships/hyperlink" Target="https://sbrownlawyer.com/field-sobriety-test/" TargetMode="External"/><Relationship Id="rId318" Type="http://schemas.openxmlformats.org/officeDocument/2006/relationships/hyperlink" Target="https://sbrownlawyer.com/family-law-attorney-in-galveston/" TargetMode="External"/><Relationship Id="rId317" Type="http://schemas.openxmlformats.org/officeDocument/2006/relationships/hyperlink" Target="https://sbrownlawyer.com/paternity-attorney/" TargetMode="External"/><Relationship Id="rId559" Type="http://schemas.openxmlformats.org/officeDocument/2006/relationships/hyperlink" Target="https://sbrownlawyer.com/disclaimer/" TargetMode="External"/><Relationship Id="rId550" Type="http://schemas.openxmlformats.org/officeDocument/2006/relationships/hyperlink" Target="https://sbrownlawyer.com/2016/11/30/arrested-for-misdemeanor-shoplifting/" TargetMode="External"/><Relationship Id="rId792" Type="http://schemas.openxmlformats.org/officeDocument/2006/relationships/hyperlink" Target="https://sbrownlawyer.com/blog/page/31/?refPageViewId=8b93d6f86518474c&amp;et_blog" TargetMode="External"/><Relationship Id="rId791" Type="http://schemas.openxmlformats.org/officeDocument/2006/relationships/hyperlink" Target="https://sbrownlawyer.com/2018/05/22/what-is-power-of-attorney-and-how-does-it-work/" TargetMode="External"/><Relationship Id="rId790" Type="http://schemas.openxmlformats.org/officeDocument/2006/relationships/hyperlink" Target="https://sbrownlawyer.com/category/criminal-defense/" TargetMode="External"/><Relationship Id="rId312" Type="http://schemas.openxmlformats.org/officeDocument/2006/relationships/hyperlink" Target="https://sbrownlawyer.com/league-city-aggravated-assault-lawyer/" TargetMode="External"/><Relationship Id="rId554" Type="http://schemas.openxmlformats.org/officeDocument/2006/relationships/hyperlink" Target="https://sbrownlawyer.com/contested-custody/" TargetMode="External"/><Relationship Id="rId796" Type="http://schemas.openxmlformats.org/officeDocument/2006/relationships/hyperlink" Target="https://sbrownlawyer.com/blog/page/13/?et_blog" TargetMode="External"/><Relationship Id="rId311" Type="http://schemas.openxmlformats.org/officeDocument/2006/relationships/hyperlink" Target="https://sbrownlawyer.com/traumatic-brain-injury/" TargetMode="External"/><Relationship Id="rId553" Type="http://schemas.openxmlformats.org/officeDocument/2006/relationships/hyperlink" Target="https://sbrownlawyer.com/2012/08/15/legal-options-in-child-support-randy-jackson-seriously-overdue/" TargetMode="External"/><Relationship Id="rId795" Type="http://schemas.openxmlformats.org/officeDocument/2006/relationships/hyperlink" Target="https://sbrownlawyer.com/2022/08/17/when-the-adjuster-says-this-what-they-really-mean-is/" TargetMode="External"/><Relationship Id="rId310" Type="http://schemas.openxmlformats.org/officeDocument/2006/relationships/hyperlink" Target="https://sbrownlawyer.com/dwi/" TargetMode="External"/><Relationship Id="rId552" Type="http://schemas.openxmlformats.org/officeDocument/2006/relationships/hyperlink" Target="https://sbrownlawyer.com/2016/03/18/rape-victims-face-complicated-child-custody-issues/" TargetMode="External"/><Relationship Id="rId794" Type="http://schemas.openxmlformats.org/officeDocument/2006/relationships/hyperlink" Target="https://sbrownlawyer.com/2013/07/09/military-life-and-the-strains-of-divorce/" TargetMode="External"/><Relationship Id="rId551" Type="http://schemas.openxmlformats.org/officeDocument/2006/relationships/hyperlink" Target="https://sbrownlawyer.com/2012/07/06/college-after-parents-divorce-who-pays-the-bill/" TargetMode="External"/><Relationship Id="rId793" Type="http://schemas.openxmlformats.org/officeDocument/2006/relationships/hyperlink" Target="https://sbrownlawyer.com/sample-page/" TargetMode="External"/><Relationship Id="rId297" Type="http://schemas.openxmlformats.org/officeDocument/2006/relationships/hyperlink" Target="https://sbrownlawyer.com/2013/06/03/new-domestic-violence-legislation-passed-in-texas/" TargetMode="External"/><Relationship Id="rId296" Type="http://schemas.openxmlformats.org/officeDocument/2006/relationships/hyperlink" Target="https://sbrownlawyer.com/when-parents-divorce-new-study-analyzes-impact-of-divorce-on-kids/" TargetMode="External"/><Relationship Id="rId295" Type="http://schemas.openxmlformats.org/officeDocument/2006/relationships/hyperlink" Target="https://sbrownlawyer.com/2012/10/19/a-texas-divorce-cannot-always-be-settled-in-a-trial-court/" TargetMode="External"/><Relationship Id="rId294" Type="http://schemas.openxmlformats.org/officeDocument/2006/relationships/hyperlink" Target="https://sbrownlawyer.com/creative-custody-agreements/" TargetMode="External"/><Relationship Id="rId299" Type="http://schemas.openxmlformats.org/officeDocument/2006/relationships/hyperlink" Target="https://sbrownlawyer.com/family-law-father-lp/" TargetMode="External"/><Relationship Id="rId298" Type="http://schemas.openxmlformats.org/officeDocument/2006/relationships/hyperlink" Target="https://sbrownlawyer.com/2014/01/23/stay-at-home-moms-should-consider-postnuptial-agreements/" TargetMode="External"/><Relationship Id="rId271" Type="http://schemas.openxmlformats.org/officeDocument/2006/relationships/hyperlink" Target="https://sbrownlawyer.com/category/military-family-law/" TargetMode="External"/><Relationship Id="rId270" Type="http://schemas.openxmlformats.org/officeDocument/2006/relationships/hyperlink" Target="https://sbrownlawyer.com/2013/02/08/tricare-rules-and-a-texas-military-divorce/" TargetMode="External"/><Relationship Id="rId269" Type="http://schemas.openxmlformats.org/officeDocument/2006/relationships/hyperlink" Target="https://sbrownlawyer.com/2013/02/18/texas-child-support-debt-may-result-in-tax-refund-garnishment/" TargetMode="External"/><Relationship Id="rId264" Type="http://schemas.openxmlformats.org/officeDocument/2006/relationships/hyperlink" Target="https://sbrownlawyer.com/galveston-drug-charge-lawyer/" TargetMode="External"/><Relationship Id="rId263" Type="http://schemas.openxmlformats.org/officeDocument/2006/relationships/hyperlink" Target="https://sbrownlawyer.com/2020/06/25/partner-abuse-the-many-forms-of-domestic-violence/" TargetMode="External"/><Relationship Id="rId262" Type="http://schemas.openxmlformats.org/officeDocument/2006/relationships/hyperlink" Target="https://sbrownlawyer.com/face-injury/" TargetMode="External"/><Relationship Id="rId261" Type="http://schemas.openxmlformats.org/officeDocument/2006/relationships/hyperlink" Target="https://sbrownlawyer.com/international-custody/" TargetMode="External"/><Relationship Id="rId268" Type="http://schemas.openxmlformats.org/officeDocument/2006/relationships/hyperlink" Target="https://sbrownlawyer.com/2019/01/01/how-to-prepare-for-your-mediation/" TargetMode="External"/><Relationship Id="rId267" Type="http://schemas.openxmlformats.org/officeDocument/2006/relationships/hyperlink" Target="https://sbrownlawyer.com/2017/12/15/domestic-violence-and-custody-determinations-in-texas/" TargetMode="External"/><Relationship Id="rId266" Type="http://schemas.openxmlformats.org/officeDocument/2006/relationships/hyperlink" Target="https://sbrownlawyer.com/2012/07/20/second-texas-divorce-can-hit-finances-harder-than-the-first/" TargetMode="External"/><Relationship Id="rId265" Type="http://schemas.openxmlformats.org/officeDocument/2006/relationships/hyperlink" Target="https://sbrownlawyer.com/2024/12/23/compensation-for-paralysis-injuries-your-guide-to-texas-law/" TargetMode="External"/><Relationship Id="rId260" Type="http://schemas.openxmlformats.org/officeDocument/2006/relationships/hyperlink" Target="https://sbrownlawyer.com/abogado-de-procesamiento-consular-en-pearland/" TargetMode="External"/><Relationship Id="rId259" Type="http://schemas.openxmlformats.org/officeDocument/2006/relationships/hyperlink" Target="https://sbrownlawyer.com/2018/07/01/can-mental-health-impact-child-custody/" TargetMode="External"/><Relationship Id="rId258" Type="http://schemas.openxmlformats.org/officeDocument/2006/relationships/hyperlink" Target="https://sbrownlawyer.com/2013/10/21/who-gets-the-wedding-ring-in-the-event-of-a-breakup/" TargetMode="External"/><Relationship Id="rId253" Type="http://schemas.openxmlformats.org/officeDocument/2006/relationships/hyperlink" Target="https://sbrownlawyer.com/2014/11/06/how-can-i-handle-a-parental-abduction-in-texas/" TargetMode="External"/><Relationship Id="rId495" Type="http://schemas.openxmlformats.org/officeDocument/2006/relationships/hyperlink" Target="https://sbrownlawyer.com/2015/09/25/the-pope-changes-marriage-annulments-making-them-fast-and-cheap/" TargetMode="External"/><Relationship Id="rId252" Type="http://schemas.openxmlformats.org/officeDocument/2006/relationships/hyperlink" Target="https://sbrownlawyer.com/galveston-tx-simple-assault-defense/" TargetMode="External"/><Relationship Id="rId494" Type="http://schemas.openxmlformats.org/officeDocument/2006/relationships/hyperlink" Target="https://sbrownlawyer.com/2018/02/15/is-parental-alienation-happening-in-your-custody-case/" TargetMode="External"/><Relationship Id="rId251" Type="http://schemas.openxmlformats.org/officeDocument/2006/relationships/hyperlink" Target="https://sbrownlawyer.com/road-hazard/" TargetMode="External"/><Relationship Id="rId493" Type="http://schemas.openxmlformats.org/officeDocument/2006/relationships/hyperlink" Target="https://sbrownlawyer.com/videos-5/" TargetMode="External"/><Relationship Id="rId250" Type="http://schemas.openxmlformats.org/officeDocument/2006/relationships/hyperlink" Target="https://sbrownlawyer.com/galveston-drug-possession-lawyer/" TargetMode="External"/><Relationship Id="rId492" Type="http://schemas.openxmlformats.org/officeDocument/2006/relationships/hyperlink" Target="https://sbrownlawyer.com/2013/06/24/child-support-owed-by-nfl-quarterback/" TargetMode="External"/><Relationship Id="rId257" Type="http://schemas.openxmlformats.org/officeDocument/2006/relationships/hyperlink" Target="https://sbrownlawyer.com/school-teacher-sexual-assault/" TargetMode="External"/><Relationship Id="rId499" Type="http://schemas.openxmlformats.org/officeDocument/2006/relationships/hyperlink" Target="https://sbrownlawyer.com/2017/11/21/new-texas-law-bans-texting-while-driving/" TargetMode="External"/><Relationship Id="rId256" Type="http://schemas.openxmlformats.org/officeDocument/2006/relationships/hyperlink" Target="https://sbrownlawyer.com/distracted-driving/" TargetMode="External"/><Relationship Id="rId498" Type="http://schemas.openxmlformats.org/officeDocument/2006/relationships/hyperlink" Target="https://sbrownlawyer.com/2021/01/15/do-you-have-to-hire-a-lawyer-after-drunk-driving/" TargetMode="External"/><Relationship Id="rId255" Type="http://schemas.openxmlformats.org/officeDocument/2006/relationships/hyperlink" Target="https://sbrownlawyer.com/2021/08/10/5-next-steps-to-take-when-you-have-a-dui-in-texas/" TargetMode="External"/><Relationship Id="rId497" Type="http://schemas.openxmlformats.org/officeDocument/2006/relationships/hyperlink" Target="https://sbrownlawyer.com/2015/09/10/why-are-family-care-plans-important-for-military-parents/" TargetMode="External"/><Relationship Id="rId254" Type="http://schemas.openxmlformats.org/officeDocument/2006/relationships/hyperlink" Target="https://sbrownlawyer.com/underage-drinking-lawyer-in-galveston/" TargetMode="External"/><Relationship Id="rId496" Type="http://schemas.openxmlformats.org/officeDocument/2006/relationships/hyperlink" Target="https://sbrownlawyer.com/types-of-car-accidents/" TargetMode="External"/><Relationship Id="rId293" Type="http://schemas.openxmlformats.org/officeDocument/2006/relationships/hyperlink" Target="https://sbrownlawyer.com/2013/05/03/texas-child-custody-battle-abduction-amber-alert-arrest/" TargetMode="External"/><Relationship Id="rId292" Type="http://schemas.openxmlformats.org/officeDocument/2006/relationships/hyperlink" Target="https://sbrownlawyer.com/2015/05/08/what-if-im-accused-of-child-abuse/" TargetMode="External"/><Relationship Id="rId291" Type="http://schemas.openxmlformats.org/officeDocument/2006/relationships/hyperlink" Target="https://sbrownlawyer.com/2015/04/07/cookie-cutter-child-custody-agreements-arent-always-best/" TargetMode="External"/><Relationship Id="rId290" Type="http://schemas.openxmlformats.org/officeDocument/2006/relationships/hyperlink" Target="https://sbrownlawyer.com/homicide/" TargetMode="External"/><Relationship Id="rId286" Type="http://schemas.openxmlformats.org/officeDocument/2006/relationships/hyperlink" Target="https://sbrownlawyer.com/case-results/" TargetMode="External"/><Relationship Id="rId285" Type="http://schemas.openxmlformats.org/officeDocument/2006/relationships/hyperlink" Target="https://sbrownlawyer.com/2015/06/12/a-bed-shortage-is-affecting-texas-domestic-violence-shelters/" TargetMode="External"/><Relationship Id="rId284" Type="http://schemas.openxmlformats.org/officeDocument/2006/relationships/hyperlink" Target="https://sbrownlawyer.com/pharmaceutical-litigation/" TargetMode="External"/><Relationship Id="rId283" Type="http://schemas.openxmlformats.org/officeDocument/2006/relationships/hyperlink" Target="https://sbrownlawyer.com/category/duidwi/" TargetMode="External"/><Relationship Id="rId289" Type="http://schemas.openxmlformats.org/officeDocument/2006/relationships/hyperlink" Target="https://sbrownlawyer.com/2017/02/23/after-an-underage-dwi-insurance-rates-can-skyrocket-what-can-you-do/" TargetMode="External"/><Relationship Id="rId288" Type="http://schemas.openxmlformats.org/officeDocument/2006/relationships/hyperlink" Target="https://sbrownlawyer.com/2012/02/27/in-divorce-cases-technology-can-be-used-against-you/" TargetMode="External"/><Relationship Id="rId287" Type="http://schemas.openxmlformats.org/officeDocument/2006/relationships/hyperlink" Target="https://sbrownlawyer.com/2013/12/20/alimony-payments-may-be-tax-deductible/" TargetMode="External"/><Relationship Id="rId282" Type="http://schemas.openxmlformats.org/officeDocument/2006/relationships/hyperlink" Target="https://sbrownlawyer.com/2018/02/19/divorcing-an-addict/" TargetMode="External"/><Relationship Id="rId281" Type="http://schemas.openxmlformats.org/officeDocument/2006/relationships/hyperlink" Target="https://sbrownlawyer.com/2018/03/30/common-shared-parenting-myths/" TargetMode="External"/><Relationship Id="rId280" Type="http://schemas.openxmlformats.org/officeDocument/2006/relationships/hyperlink" Target="https://sbrownlawyer.com/2017/11/01/the-ins-and-outs-of-5050-custody-or-possession/" TargetMode="External"/><Relationship Id="rId275" Type="http://schemas.openxmlformats.org/officeDocument/2006/relationships/hyperlink" Target="https://sbrownlawyer.com/meghan-beytebiere/" TargetMode="External"/><Relationship Id="rId274" Type="http://schemas.openxmlformats.org/officeDocument/2006/relationships/hyperlink" Target="https://sbrownlawyer.com/2018/08/05/are-parents-personally-liable-if-their-teenager-gets-in-an-accident/" TargetMode="External"/><Relationship Id="rId273" Type="http://schemas.openxmlformats.org/officeDocument/2006/relationships/hyperlink" Target="https://sbrownlawyer.com/2013/12/04/bode-millers-ex-gains-custody-of-infant-son/" TargetMode="External"/><Relationship Id="rId272" Type="http://schemas.openxmlformats.org/officeDocument/2006/relationships/hyperlink" Target="https://sbrownlawyer.com/2015/07/06/will-permanent-alimony-become-a-thing-of-the-past/" TargetMode="External"/><Relationship Id="rId279" Type="http://schemas.openxmlformats.org/officeDocument/2006/relationships/hyperlink" Target="https://sbrownlawyer.com/2013/09/03/texas-males-can-also-be-victims-of-domestic-violence/" TargetMode="External"/><Relationship Id="rId278" Type="http://schemas.openxmlformats.org/officeDocument/2006/relationships/hyperlink" Target="https://sbrownlawyer.com/2024/10/18/over-55-divorce/" TargetMode="External"/><Relationship Id="rId277" Type="http://schemas.openxmlformats.org/officeDocument/2006/relationships/hyperlink" Target="https://sbrownlawyer.com/2014/01/31/college-station-man-in-custody-after-domestic-violence-incident/" TargetMode="External"/><Relationship Id="rId276" Type="http://schemas.openxmlformats.org/officeDocument/2006/relationships/hyperlink" Target="https://sbrownlawyer.com/2020/04/10/what-can-a-dwi-lawyer-do-for-a-person-charged-with-dwi/" TargetMode="External"/><Relationship Id="rId629" Type="http://schemas.openxmlformats.org/officeDocument/2006/relationships/hyperlink" Target="https://sbrownlawyer.com/2018/08/07/does-texas-have-some-of-the-worst-roads-and-dangerous-highways/" TargetMode="External"/><Relationship Id="rId624" Type="http://schemas.openxmlformats.org/officeDocument/2006/relationships/hyperlink" Target="https://sbrownlawyer.com/2015/05/01/mother-who-took-daughter-to-concert-isnt-bad-parent/" TargetMode="External"/><Relationship Id="rId623" Type="http://schemas.openxmlformats.org/officeDocument/2006/relationships/hyperlink" Target="https://sbrownlawyer.com/2017/03/01/how-are-retirement-accounts-handled-in-divorce/" TargetMode="External"/><Relationship Id="rId622" Type="http://schemas.openxmlformats.org/officeDocument/2006/relationships/hyperlink" Target="https://sbrownlawyer.com/2017/01/06/accused-of-domestic-violence-you-need-effective-representation/" TargetMode="External"/><Relationship Id="rId621" Type="http://schemas.openxmlformats.org/officeDocument/2006/relationships/hyperlink" Target="https://sbrownlawyer.com/personal-injury/types/" TargetMode="External"/><Relationship Id="rId628" Type="http://schemas.openxmlformats.org/officeDocument/2006/relationships/hyperlink" Target="https://sbrownlawyer.com/2018/04/27/drowsy-driving-creates-high-risk-for-car-accidents/" TargetMode="External"/><Relationship Id="rId627" Type="http://schemas.openxmlformats.org/officeDocument/2006/relationships/hyperlink" Target="https://sbrownlawyer.com/blog/page/10/?refPageViewId=8b1842ca51c46bf5&amp;et_blog" TargetMode="External"/><Relationship Id="rId626" Type="http://schemas.openxmlformats.org/officeDocument/2006/relationships/hyperlink" Target="https://sbrownlawyer.com/2012/07/27/child-support-ordered-for-adopted-boy-abandoned-by-mom/" TargetMode="External"/><Relationship Id="rId625" Type="http://schemas.openxmlformats.org/officeDocument/2006/relationships/hyperlink" Target="https://sbrownlawyer.com/2015/12/23/alimony-is-a-hot-button-issue-in-divorce/" TargetMode="External"/><Relationship Id="rId620" Type="http://schemas.openxmlformats.org/officeDocument/2006/relationships/hyperlink" Target="https://sbrownlawyer.com/2014/08/29/professional-footballers-learn-of-harsh-domestic-violence-policy/" TargetMode="External"/><Relationship Id="rId619" Type="http://schemas.openxmlformats.org/officeDocument/2006/relationships/hyperlink" Target="https://sbrownlawyer.com/2012/03/16/financial-challenges-for-texas-parents-who-owe-child-support/" TargetMode="External"/><Relationship Id="rId618" Type="http://schemas.openxmlformats.org/officeDocument/2006/relationships/hyperlink" Target="https://sbrownlawyer.com/2014/07/18/child-custody-battles-shouldnt-be-affected-by-deployment-status/" TargetMode="External"/><Relationship Id="rId613" Type="http://schemas.openxmlformats.org/officeDocument/2006/relationships/hyperlink" Target="https://sbrownlawyer.com/2012/08/29/dealing-with-anger-in-a-texas-divorce/" TargetMode="External"/><Relationship Id="rId612" Type="http://schemas.openxmlformats.org/officeDocument/2006/relationships/hyperlink" Target="https://sbrownlawyer.com/2015/08/21/rutherford-reluctantly-returns-children-to-father/" TargetMode="External"/><Relationship Id="rId611" Type="http://schemas.openxmlformats.org/officeDocument/2006/relationships/hyperlink" Target="https://sbrownlawyer.com/2017/09/01/how-should-divorce-child-support-and-custody-be-handled-for-parents-of-special-needs-children/" TargetMode="External"/><Relationship Id="rId610" Type="http://schemas.openxmlformats.org/officeDocument/2006/relationships/hyperlink" Target="https://sbrownlawyer.com/thank-you-2/" TargetMode="External"/><Relationship Id="rId617" Type="http://schemas.openxmlformats.org/officeDocument/2006/relationships/hyperlink" Target="https://sbrownlawyer.com/sitemap.xml" TargetMode="External"/><Relationship Id="rId616" Type="http://schemas.openxmlformats.org/officeDocument/2006/relationships/hyperlink" Target="https://sbrownlawyer.com/2013/10/30/domestic-disturbance-leads-to-arrest-of-victoria-politician/" TargetMode="External"/><Relationship Id="rId615" Type="http://schemas.openxmlformats.org/officeDocument/2006/relationships/hyperlink" Target="https://sbrownlawyer.com/2017/03/26/causes-of-fatal-traffic-accidents-in-texas/" TargetMode="External"/><Relationship Id="rId614" Type="http://schemas.openxmlformats.org/officeDocument/2006/relationships/hyperlink" Target="https://sbrownlawyer.com/2014/08/22/financial-considerations-during-a-divorce-in-texas/" TargetMode="External"/><Relationship Id="rId409" Type="http://schemas.openxmlformats.org/officeDocument/2006/relationships/hyperlink" Target="https://sbrownlawyer.com/angleton-divorce/" TargetMode="External"/><Relationship Id="rId404" Type="http://schemas.openxmlformats.org/officeDocument/2006/relationships/hyperlink" Target="https://sbrownlawyer.com/child-endangerment/" TargetMode="External"/><Relationship Id="rId646" Type="http://schemas.openxmlformats.org/officeDocument/2006/relationships/hyperlink" Target="https://sbrownlawyer.com/2016/12/16/a-dwi-arrest-does-not-always-lead-to-a-conviction/" TargetMode="External"/><Relationship Id="rId403" Type="http://schemas.openxmlformats.org/officeDocument/2006/relationships/hyperlink" Target="https://sbrownlawyer.com/angleton-probation-violations-lawyer/" TargetMode="External"/><Relationship Id="rId645" Type="http://schemas.openxmlformats.org/officeDocument/2006/relationships/hyperlink" Target="https://sbrownlawyer.com/2013/04/24/thirty-four-parents-arrested-in-texas-on-child-support-warrants/" TargetMode="External"/><Relationship Id="rId402" Type="http://schemas.openxmlformats.org/officeDocument/2006/relationships/hyperlink" Target="https://sbrownlawyer.com/2020/03/20/finding-a-dwi-attorney-what-you-need-to-know/" TargetMode="External"/><Relationship Id="rId644" Type="http://schemas.openxmlformats.org/officeDocument/2006/relationships/hyperlink" Target="https://sbrownlawyer.com/2016/04/05/can-someone-convicted-of-domestic-violence-own-a-gun/" TargetMode="External"/><Relationship Id="rId401" Type="http://schemas.openxmlformats.org/officeDocument/2006/relationships/hyperlink" Target="https://sbrownlawyer.com/prescription-drug-charges/" TargetMode="External"/><Relationship Id="rId643" Type="http://schemas.openxmlformats.org/officeDocument/2006/relationships/hyperlink" Target="https://sbrownlawyer.com/2014/03/07/houston-attorney-general-takes-part-in-domestic-violence-sweep/" TargetMode="External"/><Relationship Id="rId408" Type="http://schemas.openxmlformats.org/officeDocument/2006/relationships/hyperlink" Target="https://sbrownlawyer.com/dwi-dui-accident/" TargetMode="External"/><Relationship Id="rId407" Type="http://schemas.openxmlformats.org/officeDocument/2006/relationships/hyperlink" Target="https://sbrownlawyer.com/league-city-theft-crimes/" TargetMode="External"/><Relationship Id="rId649" Type="http://schemas.openxmlformats.org/officeDocument/2006/relationships/hyperlink" Target="https://sbrownlawyer.com/2013/09/10/mistakes-made-when-planning-a-divorce-property-settlement/" TargetMode="External"/><Relationship Id="rId406" Type="http://schemas.openxmlformats.org/officeDocument/2006/relationships/hyperlink" Target="https://sbrownlawyer.com/2020/11/29/how-long-does-a-dwi-stay-on-your-record-in-texas/" TargetMode="External"/><Relationship Id="rId648" Type="http://schemas.openxmlformats.org/officeDocument/2006/relationships/hyperlink" Target="https://sbrownlawyer.com/2017/02/28/how-will-a-divorce-affect-my-inheritance/" TargetMode="External"/><Relationship Id="rId405" Type="http://schemas.openxmlformats.org/officeDocument/2006/relationships/hyperlink" Target="https://sbrownlawyer.com/league-city-grandparents-rights-lawyer/" TargetMode="External"/><Relationship Id="rId647" Type="http://schemas.openxmlformats.org/officeDocument/2006/relationships/hyperlink" Target="https://sbrownlawyer.com/2012/10/04/texas-parents-pay-attention-to-divorce-decrees-before-signing/" TargetMode="External"/><Relationship Id="rId400" Type="http://schemas.openxmlformats.org/officeDocument/2006/relationships/hyperlink" Target="https://sbrownlawyer.com/2021/05/15/what-are-the-advantages-of-hiring-a-good-divorce-attorney/" TargetMode="External"/><Relationship Id="rId642" Type="http://schemas.openxmlformats.org/officeDocument/2006/relationships/hyperlink" Target="https://sbrownlawyer.com/2020/12/05/children-and-divorce-a-step-by-step-guide-on-child-custody/" TargetMode="External"/><Relationship Id="rId641" Type="http://schemas.openxmlformats.org/officeDocument/2006/relationships/hyperlink" Target="https://sbrownlawyer.com/category/personal-injury/" TargetMode="External"/><Relationship Id="rId640" Type="http://schemas.openxmlformats.org/officeDocument/2006/relationships/hyperlink" Target="https://sbrownlawyer.com/2021/11/17/divorce-and-child-custody/" TargetMode="External"/><Relationship Id="rId635" Type="http://schemas.openxmlformats.org/officeDocument/2006/relationships/hyperlink" Target="https://sbrownlawyer.com/2013/07/09/continuing-to-wait-on-russian-child-adoption-ban-to-be-lifted/" TargetMode="External"/><Relationship Id="rId634" Type="http://schemas.openxmlformats.org/officeDocument/2006/relationships/hyperlink" Target="https://sbrownlawyer.com/2022/05/03/past-case-court-order/" TargetMode="External"/><Relationship Id="rId633" Type="http://schemas.openxmlformats.org/officeDocument/2006/relationships/hyperlink" Target="https://sbrownlawyer.com/2012/08/22/texas-divorce-may-require-introspection-and-reflection/" TargetMode="External"/><Relationship Id="rId632" Type="http://schemas.openxmlformats.org/officeDocument/2006/relationships/hyperlink" Target="https://sbrownlawyer.com/wp-content/uploads/2017/06/november-newsletter.pdf" TargetMode="External"/><Relationship Id="rId639" Type="http://schemas.openxmlformats.org/officeDocument/2006/relationships/hyperlink" Target="https://sbrownlawyer.com/2016/01/22/what-are-the-penalties-for-violating-a-protective-order/" TargetMode="External"/><Relationship Id="rId638" Type="http://schemas.openxmlformats.org/officeDocument/2006/relationships/hyperlink" Target="https://sbrownlawyer.com/2013/11/22/same-sex-divorce-cases-to-be-settled-in-texas-supreme-court/" TargetMode="External"/><Relationship Id="rId637" Type="http://schemas.openxmlformats.org/officeDocument/2006/relationships/hyperlink" Target="https://sbrownlawyer.com/blog/page/22/?refPageViewId=8b4031af35d8a37e&amp;et_blog" TargetMode="External"/><Relationship Id="rId636" Type="http://schemas.openxmlformats.org/officeDocument/2006/relationships/hyperlink" Target="https://sbrownlawyer.com/2016/09/22/parental-alienation-its-causes-and-potential-remedies/" TargetMode="External"/><Relationship Id="rId631" Type="http://schemas.openxmlformats.org/officeDocument/2006/relationships/hyperlink" Target="https://sbrownlawyer.com/2014/09/09/considerations-for-child-custody-in-texas-vary-for-infants/" TargetMode="External"/><Relationship Id="rId630" Type="http://schemas.openxmlformats.org/officeDocument/2006/relationships/hyperlink" Target="https://sbrownlawyer.com/2013/03/20/texas-learns-of-former-doctor-divorce-and-money-questions/" TargetMode="External"/><Relationship Id="rId829" Type="http://schemas.openxmlformats.org/officeDocument/2006/relationships/hyperlink" Target="https://sbrownlawyer.com/blog/page/7/?et_blog" TargetMode="External"/><Relationship Id="rId828" Type="http://schemas.openxmlformats.org/officeDocument/2006/relationships/hyperlink" Target="https://sbrownlawyer.com/2014/09/12/how-can-i-protect-myself-after-domestic-violence/" TargetMode="External"/><Relationship Id="rId827" Type="http://schemas.openxmlformats.org/officeDocument/2006/relationships/hyperlink" Target="https://sbrownlawyer.com/2022/04/20/divorce-with-a-joint-business/" TargetMode="External"/><Relationship Id="rId822" Type="http://schemas.openxmlformats.org/officeDocument/2006/relationships/hyperlink" Target="https://sbrownlawyer.com/2018/08/14/how-do-you-prove-fault-in-a-slip-and-fall-accident/" TargetMode="External"/><Relationship Id="rId821" Type="http://schemas.openxmlformats.org/officeDocument/2006/relationships/hyperlink" Target="https://sbrownlawyer.com/2015/04/24/what-should-i-know-about-child-support-modification/" TargetMode="External"/><Relationship Id="rId820" Type="http://schemas.openxmlformats.org/officeDocument/2006/relationships/hyperlink" Target="https://sbrownlawyer.com/2015/03/13/tips-for-texas-child-custody-cases/" TargetMode="External"/><Relationship Id="rId826" Type="http://schemas.openxmlformats.org/officeDocument/2006/relationships/hyperlink" Target="https://sbrownlawyer.com/2015/12/04/child-custody-and-the-holidays/" TargetMode="External"/><Relationship Id="rId825" Type="http://schemas.openxmlformats.org/officeDocument/2006/relationships/hyperlink" Target="https://sbrownlawyer.com/2013/09/25/tips-for-helping-the-children-while-going-through-a-divorce/" TargetMode="External"/><Relationship Id="rId824" Type="http://schemas.openxmlformats.org/officeDocument/2006/relationships/hyperlink" Target="https://sbrownlawyer.com/2022/01/25/answers-to-common-questions-about-your-property-rights-when-you-divorce/" TargetMode="External"/><Relationship Id="rId823" Type="http://schemas.openxmlformats.org/officeDocument/2006/relationships/hyperlink" Target="https://sbrownlawyer.com/team-member-testimonials/" TargetMode="External"/><Relationship Id="rId819" Type="http://schemas.openxmlformats.org/officeDocument/2006/relationships/hyperlink" Target="https://sbrownlawyer.com/videos-3/" TargetMode="External"/><Relationship Id="rId818" Type="http://schemas.openxmlformats.org/officeDocument/2006/relationships/hyperlink" Target="https://sbrownlawyer.com/category/divorce/page/2/?et_blog" TargetMode="External"/><Relationship Id="rId817" Type="http://schemas.openxmlformats.org/officeDocument/2006/relationships/hyperlink" Target="https://sbrownlawyer.com/2012/06/08/dealing-with-divorce-both-practically-and-emotionally/" TargetMode="External"/><Relationship Id="rId816" Type="http://schemas.openxmlformats.org/officeDocument/2006/relationships/hyperlink" Target="https://sbrownlawyer.com/2014/04/11/domestic-violence-claims-life-of-pregnant-texas-woman/" TargetMode="External"/><Relationship Id="rId811" Type="http://schemas.openxmlformats.org/officeDocument/2006/relationships/hyperlink" Target="https://sbrownlawyer.com/obtaining-a-protective-order-is-one-step-in-leaving-domestic-violence/" TargetMode="External"/><Relationship Id="rId810" Type="http://schemas.openxmlformats.org/officeDocument/2006/relationships/hyperlink" Target="https://sbrownlawyer.com/?refPageViewId=8be3cfe006056c51" TargetMode="External"/><Relationship Id="rId815" Type="http://schemas.openxmlformats.org/officeDocument/2006/relationships/hyperlink" Target="https://sbrownlawyer.com/2014/09/26/complex-alimony-laws-require-staying-current-on-laws/" TargetMode="External"/><Relationship Id="rId814" Type="http://schemas.openxmlformats.org/officeDocument/2006/relationships/hyperlink" Target="https://sbrownlawyer.com/2014/07/11/texas-man-jailed-over-child-support-cant-work-to-support-child/" TargetMode="External"/><Relationship Id="rId813" Type="http://schemas.openxmlformats.org/officeDocument/2006/relationships/hyperlink" Target="https://sbrownlawyer.com/2017/03/17/how-to-defend-against-breath-and-blood-tests-in-a-dwi-arrest/" TargetMode="External"/><Relationship Id="rId812" Type="http://schemas.openxmlformats.org/officeDocument/2006/relationships/hyperlink" Target="https://sbrownlawyer.com/2014/02/07/a-change-in-child-custody-arrangements-could-be-on-the-horizon/" TargetMode="External"/><Relationship Id="rId609" Type="http://schemas.openxmlformats.org/officeDocument/2006/relationships/hyperlink" Target="https://sbrownlawyer.com/2015/06/23/how-do-the-courts-determine-the-primary-caretaker/" TargetMode="External"/><Relationship Id="rId608" Type="http://schemas.openxmlformats.org/officeDocument/2006/relationships/hyperlink" Target="https://sbrownlawyer.com/2015/09/01/prenups-for-seniors/" TargetMode="External"/><Relationship Id="rId607" Type="http://schemas.openxmlformats.org/officeDocument/2006/relationships/hyperlink" Target="https://sbrownlawyer.com/blog/page/22/?et_blog" TargetMode="External"/><Relationship Id="rId602" Type="http://schemas.openxmlformats.org/officeDocument/2006/relationships/hyperlink" Target="https://sbrownlawyer.com/articles/" TargetMode="External"/><Relationship Id="rId601" Type="http://schemas.openxmlformats.org/officeDocument/2006/relationships/hyperlink" Target="https://sbrownlawyer.com/2012/09/17/could-cold-feet-be-a-sign-of-a-future-texas-divorce/" TargetMode="External"/><Relationship Id="rId600" Type="http://schemas.openxmlformats.org/officeDocument/2006/relationships/hyperlink" Target="https://sbrownlawyer.com/2012/07/11/superstar-divorce-holmes-may-seek-full-custody-of-daughter/" TargetMode="External"/><Relationship Id="rId606" Type="http://schemas.openxmlformats.org/officeDocument/2006/relationships/hyperlink" Target="https://sbrownlawyer.com/league-city-tx-personal-injury-lawyer/" TargetMode="External"/><Relationship Id="rId605" Type="http://schemas.openxmlformats.org/officeDocument/2006/relationships/hyperlink" Target="https://sbrownlawyer.com/2013/10/31/infidelity-lies-and-breakup-not-just-in-lambert-shelton-songs/" TargetMode="External"/><Relationship Id="rId604" Type="http://schemas.openxmlformats.org/officeDocument/2006/relationships/hyperlink" Target="https://sbrownlawyer.com/2013/01/04/texas-town-holds-dubious-divorce-honors/" TargetMode="External"/><Relationship Id="rId603" Type="http://schemas.openxmlformats.org/officeDocument/2006/relationships/hyperlink" Target="https://sbrownlawyer.com/2013/11/27/texas-police-officer-arrested-after-domestic-violence-incident/" TargetMode="External"/><Relationship Id="rId833" Type="http://schemas.openxmlformats.org/officeDocument/2006/relationships/hyperlink" Target="https://sbrownlawyer.com/2019/08/01/7-common-texas-dwi-myths-busted/" TargetMode="External"/><Relationship Id="rId832" Type="http://schemas.openxmlformats.org/officeDocument/2006/relationships/hyperlink" Target="https://sbrownlawyer.com/blog/page/4/" TargetMode="External"/><Relationship Id="rId831" Type="http://schemas.openxmlformats.org/officeDocument/2006/relationships/hyperlink" Target="https://sbrownlawyer.com/2016/04/20/what-happens-if-my-ex-stops-paying-child-support/" TargetMode="External"/><Relationship Id="rId830" Type="http://schemas.openxmlformats.org/officeDocument/2006/relationships/hyperlink" Target="https://sbrownlawyer.com/2021/11/17/6-common-questions-about-child-custody/" TargetMode="External"/><Relationship Id="rId834" Type="http://schemas.openxmlformats.org/officeDocument/2006/relationships/drawing" Target="../drawings/drawing11.xml"/><Relationship Id="rId228" Type="http://schemas.openxmlformats.org/officeDocument/2006/relationships/hyperlink" Target="https://sbrownlawyer.com/divorce-in-texas-and-the-possibility-of-spousal-support-payments/" TargetMode="External"/><Relationship Id="rId227" Type="http://schemas.openxmlformats.org/officeDocument/2006/relationships/hyperlink" Target="https://sbrownlawyer.com/harris-county-child-custody-attorneys/" TargetMode="External"/><Relationship Id="rId469" Type="http://schemas.openxmlformats.org/officeDocument/2006/relationships/hyperlink" Target="https://sbrownlawyer.com/angleton-brain-injury-tbi/" TargetMode="External"/><Relationship Id="rId226" Type="http://schemas.openxmlformats.org/officeDocument/2006/relationships/hyperlink" Target="https://sbrownlawyer.com/uber-lyft-accidents/" TargetMode="External"/><Relationship Id="rId468" Type="http://schemas.openxmlformats.org/officeDocument/2006/relationships/hyperlink" Target="https://sbrownlawyer.com/2015/01/23/can-the-court-stop-destruction-of-marital-assets-in-a-divorce/" TargetMode="External"/><Relationship Id="rId225" Type="http://schemas.openxmlformats.org/officeDocument/2006/relationships/hyperlink" Target="https://sbrownlawyer.com/date-rape/" TargetMode="External"/><Relationship Id="rId467" Type="http://schemas.openxmlformats.org/officeDocument/2006/relationships/hyperlink" Target="https://sbrownlawyer.com/2012/06/22/international-divorce-child-support-treaty-approved-by-house/" TargetMode="External"/><Relationship Id="rId229" Type="http://schemas.openxmlformats.org/officeDocument/2006/relationships/hyperlink" Target="https://sbrownlawyer.com/pearland-weapons-charge-lawyer/" TargetMode="External"/><Relationship Id="rId220" Type="http://schemas.openxmlformats.org/officeDocument/2006/relationships/hyperlink" Target="https://sbrownlawyer.com/personal-injury/nonvehicle-liability-insurance/" TargetMode="External"/><Relationship Id="rId462" Type="http://schemas.openxmlformats.org/officeDocument/2006/relationships/hyperlink" Target="https://sbrownlawyer.com/2019/11/02/can-digital-currency-complicate-divorce/" TargetMode="External"/><Relationship Id="rId461" Type="http://schemas.openxmlformats.org/officeDocument/2006/relationships/hyperlink" Target="https://sbrownlawyer.com/2018/02/01/the-importance-of-establishing-paternity-in-texas/" TargetMode="External"/><Relationship Id="rId460" Type="http://schemas.openxmlformats.org/officeDocument/2006/relationships/hyperlink" Target="https://sbrownlawyer.com/2016/01/14/what-is-the-difference-between-fixed-and-reasonable-visitation/" TargetMode="External"/><Relationship Id="rId224" Type="http://schemas.openxmlformats.org/officeDocument/2006/relationships/hyperlink" Target="https://sbrownlawyer.com/detailing-some-of-texas-important-child-custody-laws/" TargetMode="External"/><Relationship Id="rId466" Type="http://schemas.openxmlformats.org/officeDocument/2006/relationships/hyperlink" Target="https://sbrownlawyer.com/rule-1-file-first/" TargetMode="External"/><Relationship Id="rId223" Type="http://schemas.openxmlformats.org/officeDocument/2006/relationships/hyperlink" Target="https://sbrownlawyer.com/espanol/defensa-criminal/" TargetMode="External"/><Relationship Id="rId465" Type="http://schemas.openxmlformats.org/officeDocument/2006/relationships/hyperlink" Target="https://sbrownlawyer.com/league-city-tx-child-custody-visitation-lawyer/" TargetMode="External"/><Relationship Id="rId222" Type="http://schemas.openxmlformats.org/officeDocument/2006/relationships/hyperlink" Target="https://sbrownlawyer.com/galveston-theft-crimes/" TargetMode="External"/><Relationship Id="rId464" Type="http://schemas.openxmlformats.org/officeDocument/2006/relationships/hyperlink" Target="https://sbrownlawyer.com/2017/12/22/tickets-for-driving-without-car-insurnace-now-in-effect/" TargetMode="External"/><Relationship Id="rId221" Type="http://schemas.openxmlformats.org/officeDocument/2006/relationships/hyperlink" Target="https://sbrownlawyer.com/hit-and-run/" TargetMode="External"/><Relationship Id="rId463" Type="http://schemas.openxmlformats.org/officeDocument/2006/relationships/hyperlink" Target="https://sbrownlawyer.com/pearland-serious-injuries-lawyer/" TargetMode="External"/><Relationship Id="rId217" Type="http://schemas.openxmlformats.org/officeDocument/2006/relationships/hyperlink" Target="https://sbrownlawyer.com/child-protective-services-cps/" TargetMode="External"/><Relationship Id="rId459" Type="http://schemas.openxmlformats.org/officeDocument/2006/relationships/hyperlink" Target="https://sbrownlawyer.com/2017/05/18/what-is-a-reasonable-suspicion-to-stop-in-a-texas-duidwi-case/" TargetMode="External"/><Relationship Id="rId216" Type="http://schemas.openxmlformats.org/officeDocument/2006/relationships/hyperlink" Target="https://sbrownlawyer.com/domestic-violence/" TargetMode="External"/><Relationship Id="rId458" Type="http://schemas.openxmlformats.org/officeDocument/2006/relationships/hyperlink" Target="https://sbrownlawyer.com/what-are-the-dangers-of-representing-yourself-in-a-divorce/" TargetMode="External"/><Relationship Id="rId215" Type="http://schemas.openxmlformats.org/officeDocument/2006/relationships/hyperlink" Target="https://sbrownlawyer.com/harris-county-criminal-defense/" TargetMode="External"/><Relationship Id="rId457" Type="http://schemas.openxmlformats.org/officeDocument/2006/relationships/hyperlink" Target="https://sbrownlawyer.com/league-city-tx-dwi-dui/" TargetMode="External"/><Relationship Id="rId699" Type="http://schemas.openxmlformats.org/officeDocument/2006/relationships/hyperlink" Target="https://sbrownlawyer.com/2018/03/19/what-constitutes-an-easy-divorce/" TargetMode="External"/><Relationship Id="rId214" Type="http://schemas.openxmlformats.org/officeDocument/2006/relationships/hyperlink" Target="https://sbrownlawyer.com/texas-family-law-attorney/" TargetMode="External"/><Relationship Id="rId456" Type="http://schemas.openxmlformats.org/officeDocument/2006/relationships/hyperlink" Target="https://sbrownlawyer.com/2013/02/15/privacy-could-be-a-myth-during-a-texas-divorce/" TargetMode="External"/><Relationship Id="rId698" Type="http://schemas.openxmlformats.org/officeDocument/2006/relationships/hyperlink" Target="https://sbrownlawyer.com/2017/12/07/new-texas-law-aims-at-children-left-in-hot-cars/" TargetMode="External"/><Relationship Id="rId219" Type="http://schemas.openxmlformats.org/officeDocument/2006/relationships/hyperlink" Target="https://sbrownlawyer.com/expungement/" TargetMode="External"/><Relationship Id="rId218" Type="http://schemas.openxmlformats.org/officeDocument/2006/relationships/hyperlink" Target="https://sbrownlawyer.com/harris-county-modifications-of-orders-attorney/" TargetMode="External"/><Relationship Id="rId451" Type="http://schemas.openxmlformats.org/officeDocument/2006/relationships/hyperlink" Target="https://sbrownlawyer.com/2022/06/10/should-i-hire-a-personal-injury-lawyer/" TargetMode="External"/><Relationship Id="rId693" Type="http://schemas.openxmlformats.org/officeDocument/2006/relationships/hyperlink" Target="https://sbrownlawyer.com/guiding-your-children-through-divorce/" TargetMode="External"/><Relationship Id="rId450" Type="http://schemas.openxmlformats.org/officeDocument/2006/relationships/hyperlink" Target="https://sbrownlawyer.com/2019/04/05/alternatives-to-going-to-trial/" TargetMode="External"/><Relationship Id="rId692" Type="http://schemas.openxmlformats.org/officeDocument/2006/relationships/hyperlink" Target="https://sbrownlawyer.com/2014/05/09/mother-asks-court-for-money-to-fight-child-custody-ruling/" TargetMode="External"/><Relationship Id="rId691" Type="http://schemas.openxmlformats.org/officeDocument/2006/relationships/hyperlink" Target="https://sbrownlawyer.com/2009/04/08/parental-alienation-risk-factors-of-alienation/" TargetMode="External"/><Relationship Id="rId690" Type="http://schemas.openxmlformats.org/officeDocument/2006/relationships/hyperlink" Target="https://sbrownlawyer.com/2018/11/15/how-will-texas-divorces-be-different-in-2019/" TargetMode="External"/><Relationship Id="rId213" Type="http://schemas.openxmlformats.org/officeDocument/2006/relationships/hyperlink" Target="https://sbrownlawyer.com/child-abuse/" TargetMode="External"/><Relationship Id="rId455" Type="http://schemas.openxmlformats.org/officeDocument/2006/relationships/hyperlink" Target="https://sbrownlawyer.com/2012/09/13/the-benefit-and-downfalls-of-using-technology-to-co-parent/" TargetMode="External"/><Relationship Id="rId697" Type="http://schemas.openxmlformats.org/officeDocument/2006/relationships/hyperlink" Target="https://sbrownlawyer.com/2014/05/30/domestic-violence-victims-can-find-help-at-shelters/" TargetMode="External"/><Relationship Id="rId212" Type="http://schemas.openxmlformats.org/officeDocument/2006/relationships/hyperlink" Target="https://sbrownlawyer.com/2022/02/18/can-i-file-legal-separation-on-texas/" TargetMode="External"/><Relationship Id="rId454" Type="http://schemas.openxmlformats.org/officeDocument/2006/relationships/hyperlink" Target="https://sbrownlawyer.com/car-accident-lawyer-in-galveston/" TargetMode="External"/><Relationship Id="rId696" Type="http://schemas.openxmlformats.org/officeDocument/2006/relationships/hyperlink" Target="https://sbrownlawyer.com/2016/04/01/do-i-need-an-attorney-even-if-we-dont-have-children/" TargetMode="External"/><Relationship Id="rId211" Type="http://schemas.openxmlformats.org/officeDocument/2006/relationships/hyperlink" Target="https://sbrownlawyer.com/what-is-dwi/" TargetMode="External"/><Relationship Id="rId453" Type="http://schemas.openxmlformats.org/officeDocument/2006/relationships/hyperlink" Target="https://sbrownlawyer.com/2012/12/03/petraeus-debacle-to-end-in-divorce/" TargetMode="External"/><Relationship Id="rId695" Type="http://schemas.openxmlformats.org/officeDocument/2006/relationships/hyperlink" Target="https://sbrownlawyer.com/2014/08/08/myths-about-texas-alimony-along-with-new-changes/" TargetMode="External"/><Relationship Id="rId210" Type="http://schemas.openxmlformats.org/officeDocument/2006/relationships/hyperlink" Target="https://sbrownlawyer.com/league-city-family-law-attorney/" TargetMode="External"/><Relationship Id="rId452" Type="http://schemas.openxmlformats.org/officeDocument/2006/relationships/hyperlink" Target="https://sbrownlawyer.com/inheritances/" TargetMode="External"/><Relationship Id="rId694" Type="http://schemas.openxmlformats.org/officeDocument/2006/relationships/hyperlink" Target="https://sbrownlawyer.com/2019/11/25/how-to-create-a-parenting-plan-that-works-for-both-parties/" TargetMode="External"/><Relationship Id="rId491" Type="http://schemas.openxmlformats.org/officeDocument/2006/relationships/hyperlink" Target="https://sbrownlawyer.com/2018/08/21/do-grandparents-have-visitation-rights-in-a-divorce/" TargetMode="External"/><Relationship Id="rId490" Type="http://schemas.openxmlformats.org/officeDocument/2006/relationships/hyperlink" Target="https://sbrownlawyer.com/2021/08/01/10-things-to-know-about-tx-child-custody/" TargetMode="External"/><Relationship Id="rId249" Type="http://schemas.openxmlformats.org/officeDocument/2006/relationships/hyperlink" Target="https://sbrownlawyer.com/probate-lawyer-in-pearland-tx/" TargetMode="External"/><Relationship Id="rId248" Type="http://schemas.openxmlformats.org/officeDocument/2006/relationships/hyperlink" Target="https://sbrownlawyer.com/pearland-immigration-lawyer/" TargetMode="External"/><Relationship Id="rId247" Type="http://schemas.openxmlformats.org/officeDocument/2006/relationships/hyperlink" Target="https://sbrownlawyer.com/2020/08/24/the-complete-guide-to-dwi-vs-dui-laws-in-texas/" TargetMode="External"/><Relationship Id="rId489" Type="http://schemas.openxmlformats.org/officeDocument/2006/relationships/hyperlink" Target="https://sbrownlawyer.com/league-city-divorce-2/" TargetMode="External"/><Relationship Id="rId242" Type="http://schemas.openxmlformats.org/officeDocument/2006/relationships/hyperlink" Target="https://sbrownlawyer.com/2022/03/06/divorce-who-gets-the-house/" TargetMode="External"/><Relationship Id="rId484" Type="http://schemas.openxmlformats.org/officeDocument/2006/relationships/hyperlink" Target="https://sbrownlawyer.com/2017/02/14/the-difference-between-arbitration-mediation-and-trial-in-divorce/" TargetMode="External"/><Relationship Id="rId241" Type="http://schemas.openxmlformats.org/officeDocument/2006/relationships/hyperlink" Target="https://sbrownlawyer.com/consular-processing-pearland-lawyer/" TargetMode="External"/><Relationship Id="rId483" Type="http://schemas.openxmlformats.org/officeDocument/2006/relationships/hyperlink" Target="https://sbrownlawyer.com/property-division-during-divorce-does-not-have-to-destroy-a-business/" TargetMode="External"/><Relationship Id="rId240" Type="http://schemas.openxmlformats.org/officeDocument/2006/relationships/hyperlink" Target="https://sbrownlawyer.com/rape/" TargetMode="External"/><Relationship Id="rId482" Type="http://schemas.openxmlformats.org/officeDocument/2006/relationships/hyperlink" Target="https://sbrownlawyer.com/2019/05/15/7-common-domestic-violence-defense-strategies/" TargetMode="External"/><Relationship Id="rId481" Type="http://schemas.openxmlformats.org/officeDocument/2006/relationships/hyperlink" Target="https://sbrownlawyer.com/uber-lyft-rideshare-accidents/" TargetMode="External"/><Relationship Id="rId246" Type="http://schemas.openxmlformats.org/officeDocument/2006/relationships/hyperlink" Target="https://sbrownlawyer.com/2021/02/07/when-is-it-time-to-hire-a-family-divorce-lawyer/" TargetMode="External"/><Relationship Id="rId488" Type="http://schemas.openxmlformats.org/officeDocument/2006/relationships/hyperlink" Target="https://sbrownlawyer.com/league-city-tx-assault-lawyer/" TargetMode="External"/><Relationship Id="rId245" Type="http://schemas.openxmlformats.org/officeDocument/2006/relationships/hyperlink" Target="https://sbrownlawyer.com/2017/09/15/how-can-an-interlock-ignition-device-help-if-a-dui-causes-a-license-suspension-in-texas/" TargetMode="External"/><Relationship Id="rId487" Type="http://schemas.openxmlformats.org/officeDocument/2006/relationships/hyperlink" Target="https://sbrownlawyer.com/2014/06/20/lopez-anthony-divorce-has-interesting-child-custody-agreement/" TargetMode="External"/><Relationship Id="rId244" Type="http://schemas.openxmlformats.org/officeDocument/2006/relationships/hyperlink" Target="https://sbrownlawyer.com/divorce-book/" TargetMode="External"/><Relationship Id="rId486" Type="http://schemas.openxmlformats.org/officeDocument/2006/relationships/hyperlink" Target="https://sbrownlawyer.com/abogado-de-inmigracion-en-pearland/" TargetMode="External"/><Relationship Id="rId243" Type="http://schemas.openxmlformats.org/officeDocument/2006/relationships/hyperlink" Target="https://sbrownlawyer.com/domestic-violence-lawyer-in-league-city-tx/" TargetMode="External"/><Relationship Id="rId485" Type="http://schemas.openxmlformats.org/officeDocument/2006/relationships/hyperlink" Target="https://sbrownlawyer.com/juvenile-crimes/" TargetMode="External"/><Relationship Id="rId480" Type="http://schemas.openxmlformats.org/officeDocument/2006/relationships/hyperlink" Target="https://sbrownlawyer.com/2019/03/01/your-guide-to-child-custody-modification/" TargetMode="External"/><Relationship Id="rId239" Type="http://schemas.openxmlformats.org/officeDocument/2006/relationships/hyperlink" Target="https://sbrownlawyer.com/2021/06/26/what-are-your-rights-regarding-texas-child-custody-law/" TargetMode="External"/><Relationship Id="rId238" Type="http://schemas.openxmlformats.org/officeDocument/2006/relationships/hyperlink" Target="https://sbrownlawyer.com/enforcement/" TargetMode="External"/><Relationship Id="rId237" Type="http://schemas.openxmlformats.org/officeDocument/2006/relationships/hyperlink" Target="https://sbrownlawyer.com/league-city-tx-divorce/" TargetMode="External"/><Relationship Id="rId479" Type="http://schemas.openxmlformats.org/officeDocument/2006/relationships/hyperlink" Target="https://sbrownlawyer.com/2020/10/14/when-all-hope-is-lost-when-to-get-a-divorce/" TargetMode="External"/><Relationship Id="rId236" Type="http://schemas.openxmlformats.org/officeDocument/2006/relationships/hyperlink" Target="https://sbrownlawyer.com/information-about-brazoria-county-texas/" TargetMode="External"/><Relationship Id="rId478" Type="http://schemas.openxmlformats.org/officeDocument/2006/relationships/hyperlink" Target="https://sbrownlawyer.com/bicycle-accidents/" TargetMode="External"/><Relationship Id="rId231" Type="http://schemas.openxmlformats.org/officeDocument/2006/relationships/hyperlink" Target="https://sbrownlawyer.com/league-city-complex-and-contested-divorce/" TargetMode="External"/><Relationship Id="rId473" Type="http://schemas.openxmlformats.org/officeDocument/2006/relationships/hyperlink" Target="https://sbrownlawyer.com/blog/page/17/?et_blog" TargetMode="External"/><Relationship Id="rId230" Type="http://schemas.openxmlformats.org/officeDocument/2006/relationships/hyperlink" Target="https://sbrownlawyer.com/areas-we-serve/" TargetMode="External"/><Relationship Id="rId472" Type="http://schemas.openxmlformats.org/officeDocument/2006/relationships/hyperlink" Target="https://sbrownlawyer.com/parental-relocation/" TargetMode="External"/><Relationship Id="rId471" Type="http://schemas.openxmlformats.org/officeDocument/2006/relationships/hyperlink" Target="https://sbrownlawyer.com/drug-charges/" TargetMode="External"/><Relationship Id="rId470" Type="http://schemas.openxmlformats.org/officeDocument/2006/relationships/hyperlink" Target="https://sbrownlawyer.com/2018/09/04/is-it-legal-for-police-to-search-your-car-in-texas/" TargetMode="External"/><Relationship Id="rId235" Type="http://schemas.openxmlformats.org/officeDocument/2006/relationships/hyperlink" Target="https://sbrownlawyer.com/the-importance-of-hiring-a-board-certified-family-law-attorney/" TargetMode="External"/><Relationship Id="rId477" Type="http://schemas.openxmlformats.org/officeDocument/2006/relationships/hyperlink" Target="https://sbrownlawyer.com/2017/07/17/driving-under-the-influence-of-drugs-in-texas/" TargetMode="External"/><Relationship Id="rId234" Type="http://schemas.openxmlformats.org/officeDocument/2006/relationships/hyperlink" Target="https://sbrownlawyer.com/2019/09/01/4-obvious-signs-it-might-betime-for-divorce/" TargetMode="External"/><Relationship Id="rId476" Type="http://schemas.openxmlformats.org/officeDocument/2006/relationships/hyperlink" Target="https://sbrownlawyer.com/wrongful-death/" TargetMode="External"/><Relationship Id="rId233" Type="http://schemas.openxmlformats.org/officeDocument/2006/relationships/hyperlink" Target="https://sbrownlawyer.com/2021/07/20/8-questions-to-ask-dui-attorneys/" TargetMode="External"/><Relationship Id="rId475" Type="http://schemas.openxmlformats.org/officeDocument/2006/relationships/hyperlink" Target="https://sbrownlawyer.com/alternative-outcomes-in-drug-cases/" TargetMode="External"/><Relationship Id="rId232" Type="http://schemas.openxmlformats.org/officeDocument/2006/relationships/hyperlink" Target="https://sbrownlawyer.com/angleton-slip-fall-accidents-lawyer/" TargetMode="External"/><Relationship Id="rId474" Type="http://schemas.openxmlformats.org/officeDocument/2006/relationships/hyperlink" Target="https://sbrownlawyer.com/2018/06/01/what-happens-when-child-support-isnt-paid/" TargetMode="External"/><Relationship Id="rId426" Type="http://schemas.openxmlformats.org/officeDocument/2006/relationships/hyperlink" Target="https://sbrownlawyer.com/2019/10/15/married-couples-cannot-legally-separate-in-texas/" TargetMode="External"/><Relationship Id="rId668" Type="http://schemas.openxmlformats.org/officeDocument/2006/relationships/hyperlink" Target="https://sbrownlawyer.com/2012/03/08/military-marriage-presents-unique-emotional-challenges/" TargetMode="External"/><Relationship Id="rId425" Type="http://schemas.openxmlformats.org/officeDocument/2006/relationships/hyperlink" Target="https://sbrownlawyer.com/2020/09/27/when-is-it-time-for-a-divorce/" TargetMode="External"/><Relationship Id="rId667" Type="http://schemas.openxmlformats.org/officeDocument/2006/relationships/hyperlink" Target="https://sbrownlawyer.com/2019/04/15/avoid-a-messy-divorce-how-to-choose-the-right-divorce-lawyer/" TargetMode="External"/><Relationship Id="rId424" Type="http://schemas.openxmlformats.org/officeDocument/2006/relationships/hyperlink" Target="https://sbrownlawyer.com/theft-and-shoplifting/" TargetMode="External"/><Relationship Id="rId666" Type="http://schemas.openxmlformats.org/officeDocument/2006/relationships/hyperlink" Target="https://sbrownlawyer.com/assets-and-liability/" TargetMode="External"/><Relationship Id="rId423" Type="http://schemas.openxmlformats.org/officeDocument/2006/relationships/hyperlink" Target="https://sbrownlawyer.com/sexual-assault/" TargetMode="External"/><Relationship Id="rId665" Type="http://schemas.openxmlformats.org/officeDocument/2006/relationships/hyperlink" Target="https://sbrownlawyer.com/2017/01/10/dividing-some-community-assets-can-pose-challenges-during-divorce/" TargetMode="External"/><Relationship Id="rId429" Type="http://schemas.openxmlformats.org/officeDocument/2006/relationships/hyperlink" Target="https://sbrownlawyer.com/2018/06/15/how-does-alimony-work/" TargetMode="External"/><Relationship Id="rId428" Type="http://schemas.openxmlformats.org/officeDocument/2006/relationships/hyperlink" Target="https://sbrownlawyer.com/pearland-divorce/" TargetMode="External"/><Relationship Id="rId427" Type="http://schemas.openxmlformats.org/officeDocument/2006/relationships/hyperlink" Target="https://sbrownlawyer.com/espanol/abogados-de-lesiones-personales/" TargetMode="External"/><Relationship Id="rId669" Type="http://schemas.openxmlformats.org/officeDocument/2006/relationships/hyperlink" Target="https://sbrownlawyer.com/2021/12/10/getting-child-custody-in-texas/" TargetMode="External"/><Relationship Id="rId660" Type="http://schemas.openxmlformats.org/officeDocument/2006/relationships/hyperlink" Target="https://sbrownlawyer.com/2014/02/19/texas-enters-the-fray-of-same-sex-marriage-court-battles/" TargetMode="External"/><Relationship Id="rId422" Type="http://schemas.openxmlformats.org/officeDocument/2006/relationships/hyperlink" Target="https://sbrownlawyer.com/2016/08/04/postnuptial-agreements-in-texas/" TargetMode="External"/><Relationship Id="rId664" Type="http://schemas.openxmlformats.org/officeDocument/2006/relationships/hyperlink" Target="https://sbrownlawyer.com/2015/12/18/spousal-support-and-pet-custody-issues-stall-celebrity-divorce/" TargetMode="External"/><Relationship Id="rId421" Type="http://schemas.openxmlformats.org/officeDocument/2006/relationships/hyperlink" Target="https://sbrownlawyer.com/2017/03/03/a-court-date-is-not-one-you-want-to-miss/" TargetMode="External"/><Relationship Id="rId663" Type="http://schemas.openxmlformats.org/officeDocument/2006/relationships/hyperlink" Target="https://sbrownlawyer.com/scheduler-event-trigger-pi-page/" TargetMode="External"/><Relationship Id="rId420" Type="http://schemas.openxmlformats.org/officeDocument/2006/relationships/hyperlink" Target="https://sbrownlawyer.com/types-of-compensation-in-a-personal-injury-case/" TargetMode="External"/><Relationship Id="rId662" Type="http://schemas.openxmlformats.org/officeDocument/2006/relationships/hyperlink" Target="https://sbrownlawyer.com/2018/05/28/what-should-you-do-if-your-teenager-gets-a-dui/" TargetMode="External"/><Relationship Id="rId661" Type="http://schemas.openxmlformats.org/officeDocument/2006/relationships/hyperlink" Target="https://sbrownlawyer.com/2012/05/04/couple-considers-divorce-because-of-dire-financial-situation/" TargetMode="External"/><Relationship Id="rId415" Type="http://schemas.openxmlformats.org/officeDocument/2006/relationships/hyperlink" Target="https://sbrownlawyer.com/2018/04/01/calculating-child-support-in-texas/" TargetMode="External"/><Relationship Id="rId657" Type="http://schemas.openxmlformats.org/officeDocument/2006/relationships/hyperlink" Target="https://sbrownlawyer.com/2016/04/29/child-custody-agreements-can-vary-greatly-depending-on-the-case/" TargetMode="External"/><Relationship Id="rId414" Type="http://schemas.openxmlformats.org/officeDocument/2006/relationships/hyperlink" Target="https://sbrownlawyer.com/2018/10/15/what-is-a-contested-divorce/" TargetMode="External"/><Relationship Id="rId656" Type="http://schemas.openxmlformats.org/officeDocument/2006/relationships/hyperlink" Target="https://sbrownlawyer.com/category/alimony/" TargetMode="External"/><Relationship Id="rId413" Type="http://schemas.openxmlformats.org/officeDocument/2006/relationships/hyperlink" Target="https://sbrownlawyer.com/breath-blood-test-issues/" TargetMode="External"/><Relationship Id="rId655" Type="http://schemas.openxmlformats.org/officeDocument/2006/relationships/hyperlink" Target="https://sbrownlawyer.com/2013/12/12/dallas-high-school-athletes-pledge-to-help-end-domestic-violence/" TargetMode="External"/><Relationship Id="rId412" Type="http://schemas.openxmlformats.org/officeDocument/2006/relationships/hyperlink" Target="https://sbrownlawyer.com/2021/09/20/5-quiet-signs-of-divorce-and-what-to-do-about-it/" TargetMode="External"/><Relationship Id="rId654" Type="http://schemas.openxmlformats.org/officeDocument/2006/relationships/hyperlink" Target="https://sbrownlawyer.com/family-law-tools-and-links/" TargetMode="External"/><Relationship Id="rId419" Type="http://schemas.openxmlformats.org/officeDocument/2006/relationships/hyperlink" Target="https://sbrownlawyer.com/2019/05/01/the-cost-and-legal-implications-of-a-first-time-dui/" TargetMode="External"/><Relationship Id="rId418" Type="http://schemas.openxmlformats.org/officeDocument/2006/relationships/hyperlink" Target="https://sbrownlawyer.com/child-support-modifications/" TargetMode="External"/><Relationship Id="rId417" Type="http://schemas.openxmlformats.org/officeDocument/2006/relationships/hyperlink" Target="https://sbrownlawyer.com/multiple-dwi-loss-of-license/" TargetMode="External"/><Relationship Id="rId659" Type="http://schemas.openxmlformats.org/officeDocument/2006/relationships/hyperlink" Target="https://sbrownlawyer.com/2017/02/01/after-a-dwi-arrest-hire-a-lawyer-asap/" TargetMode="External"/><Relationship Id="rId416" Type="http://schemas.openxmlformats.org/officeDocument/2006/relationships/hyperlink" Target="https://sbrownlawyer.com/league-city-dwi-lawyer/" TargetMode="External"/><Relationship Id="rId658" Type="http://schemas.openxmlformats.org/officeDocument/2006/relationships/hyperlink" Target="https://sbrownlawyer.com/category/rj-videos/" TargetMode="External"/><Relationship Id="rId411" Type="http://schemas.openxmlformats.org/officeDocument/2006/relationships/hyperlink" Target="https://sbrownlawyer.com/friendswood-tx-dwi/" TargetMode="External"/><Relationship Id="rId653" Type="http://schemas.openxmlformats.org/officeDocument/2006/relationships/hyperlink" Target="https://sbrownlawyer.com/2019/09/12/find-out-how-long-your-divorce-will-take/" TargetMode="External"/><Relationship Id="rId410" Type="http://schemas.openxmlformats.org/officeDocument/2006/relationships/hyperlink" Target="https://sbrownlawyer.com/personal-injury-in-texas/" TargetMode="External"/><Relationship Id="rId652" Type="http://schemas.openxmlformats.org/officeDocument/2006/relationships/hyperlink" Target="https://sbrownlawyer.com/2018/09/15/how-does-domestic-violence-factor-into-your-family-law-case/" TargetMode="External"/><Relationship Id="rId651" Type="http://schemas.openxmlformats.org/officeDocument/2006/relationships/hyperlink" Target="https://sbrownlawyer.com/2019/04/18/the-connection-between-distracted-driving-and-pedestrian-accidents/" TargetMode="External"/><Relationship Id="rId650" Type="http://schemas.openxmlformats.org/officeDocument/2006/relationships/hyperlink" Target="https://sbrownlawyer.com/2012/12/11/divorce-of-big-bang-star-may-interest-texas-fans/" TargetMode="External"/><Relationship Id="rId206" Type="http://schemas.openxmlformats.org/officeDocument/2006/relationships/hyperlink" Target="https://sbrownlawyer.com/adoption/" TargetMode="External"/><Relationship Id="rId448" Type="http://schemas.openxmlformats.org/officeDocument/2006/relationships/hyperlink" Target="https://sbrownlawyer.com/dwi-dui-drugs/" TargetMode="External"/><Relationship Id="rId205" Type="http://schemas.openxmlformats.org/officeDocument/2006/relationships/hyperlink" Target="https://sbrownlawyer.com/drug-crimes/" TargetMode="External"/><Relationship Id="rId447" Type="http://schemas.openxmlformats.org/officeDocument/2006/relationships/hyperlink" Target="https://sbrownlawyer.com/2014/02/14/millions-in-child-support-recovered-in-el-paso/" TargetMode="External"/><Relationship Id="rId689" Type="http://schemas.openxmlformats.org/officeDocument/2006/relationships/hyperlink" Target="https://sbrownlawyer.com/2012/12/18/texas-child-support-man-pays-huge-bill-to-keep-motorcycle/" TargetMode="External"/><Relationship Id="rId204" Type="http://schemas.openxmlformats.org/officeDocument/2006/relationships/hyperlink" Target="https://sbrownlawyer.com/back-injury/" TargetMode="External"/><Relationship Id="rId446" Type="http://schemas.openxmlformats.org/officeDocument/2006/relationships/hyperlink" Target="https://sbrownlawyer.com/blog/page/20/" TargetMode="External"/><Relationship Id="rId688" Type="http://schemas.openxmlformats.org/officeDocument/2006/relationships/hyperlink" Target="https://sbrownlawyer.com/blog/page/20/?refPageViewId=8b06a730e0b22094&amp;et_blog" TargetMode="External"/><Relationship Id="rId203" Type="http://schemas.openxmlformats.org/officeDocument/2006/relationships/hyperlink" Target="https://sbrownlawyer.com/2014/11/20/baptist-pastor-suggests-texas-residents-bypass-formal-marriage/" TargetMode="External"/><Relationship Id="rId445" Type="http://schemas.openxmlformats.org/officeDocument/2006/relationships/hyperlink" Target="https://sbrownlawyer.com/league-city-premises-liability/" TargetMode="External"/><Relationship Id="rId687" Type="http://schemas.openxmlformats.org/officeDocument/2006/relationships/hyperlink" Target="https://sbrownlawyer.com/2016/01/29/completing-a-financial-disclosure/" TargetMode="External"/><Relationship Id="rId209" Type="http://schemas.openxmlformats.org/officeDocument/2006/relationships/hyperlink" Target="https://sbrownlawyer.com/rape-sexual-assault/" TargetMode="External"/><Relationship Id="rId208" Type="http://schemas.openxmlformats.org/officeDocument/2006/relationships/hyperlink" Target="https://sbrownlawyer.com/premises-liability/" TargetMode="External"/><Relationship Id="rId207" Type="http://schemas.openxmlformats.org/officeDocument/2006/relationships/hyperlink" Target="https://sbrownlawyer.com/child-support/" TargetMode="External"/><Relationship Id="rId449" Type="http://schemas.openxmlformats.org/officeDocument/2006/relationships/hyperlink" Target="https://sbrownlawyer.com/personal-injury-videos/" TargetMode="External"/><Relationship Id="rId440" Type="http://schemas.openxmlformats.org/officeDocument/2006/relationships/hyperlink" Target="https://sbrownlawyer.com/2021/01/05/everything-you-need-to-know-about-child-custody-in-texas/" TargetMode="External"/><Relationship Id="rId682" Type="http://schemas.openxmlformats.org/officeDocument/2006/relationships/hyperlink" Target="https://sbrownlawyer.com/how-is-community-property-divided/" TargetMode="External"/><Relationship Id="rId681" Type="http://schemas.openxmlformats.org/officeDocument/2006/relationships/hyperlink" Target="https://sbrownlawyer.com/why-is-talking-to-the-police-a-bad-idea/" TargetMode="External"/><Relationship Id="rId680" Type="http://schemas.openxmlformats.org/officeDocument/2006/relationships/hyperlink" Target="https://sbrownlawyer.com/2019/07/01/charged-with-dwi-now-what/" TargetMode="External"/><Relationship Id="rId202" Type="http://schemas.openxmlformats.org/officeDocument/2006/relationships/hyperlink" Target="https://sbrownlawyer.com/2014/12/11/woman-shot-in-head-after-history-of-domestic-violence/" TargetMode="External"/><Relationship Id="rId444" Type="http://schemas.openxmlformats.org/officeDocument/2006/relationships/hyperlink" Target="https://sbrownlawyer.com/custody-and-visitation-dos-and-donts/" TargetMode="External"/><Relationship Id="rId686" Type="http://schemas.openxmlformats.org/officeDocument/2006/relationships/hyperlink" Target="https://sbrownlawyer.com/2014/05/30/texas-woman-fights-to-keep-children-she-took-in-last-year/" TargetMode="External"/><Relationship Id="rId201" Type="http://schemas.openxmlformats.org/officeDocument/2006/relationships/hyperlink" Target="https://sbrownlawyer.com/2012/05/10/family-law-do-child-custody-managers-have-too-much-power/" TargetMode="External"/><Relationship Id="rId443" Type="http://schemas.openxmlformats.org/officeDocument/2006/relationships/hyperlink" Target="https://sbrownlawyer.com/2021/10/10/facing-criminal-charges-why-you-need-to-contact-a-criminal-defense-lawyer-now/" TargetMode="External"/><Relationship Id="rId685" Type="http://schemas.openxmlformats.org/officeDocument/2006/relationships/hyperlink" Target="https://sbrownlawyer.com/divorce-2/" TargetMode="External"/><Relationship Id="rId200" Type="http://schemas.openxmlformats.org/officeDocument/2006/relationships/hyperlink" Target="https://sbrownlawyer.com/client-video-testimonials/" TargetMode="External"/><Relationship Id="rId442" Type="http://schemas.openxmlformats.org/officeDocument/2006/relationships/hyperlink" Target="https://sbrownlawyer.com/2015/08/07/miranda-lambert-and-blake-shelton-divorce-finalized/" TargetMode="External"/><Relationship Id="rId684" Type="http://schemas.openxmlformats.org/officeDocument/2006/relationships/hyperlink" Target="https://sbrownlawyer.com/how-divorce-can-actually-benefit-children/" TargetMode="External"/><Relationship Id="rId441" Type="http://schemas.openxmlformats.org/officeDocument/2006/relationships/hyperlink" Target="https://sbrownlawyer.com/doctor-divorce-videos/" TargetMode="External"/><Relationship Id="rId683" Type="http://schemas.openxmlformats.org/officeDocument/2006/relationships/hyperlink" Target="https://sbrownlawyer.com/category/estate-planning/" TargetMode="External"/><Relationship Id="rId437" Type="http://schemas.openxmlformats.org/officeDocument/2006/relationships/hyperlink" Target="http://sbrownlawyer.com/league-city-spousal-support-lawyer/" TargetMode="External"/><Relationship Id="rId679" Type="http://schemas.openxmlformats.org/officeDocument/2006/relationships/hyperlink" Target="https://sbrownlawyer.com/2020/01/21/texas-passes-new-law-for-assault-on-a-pregnant-woman-2/" TargetMode="External"/><Relationship Id="rId436" Type="http://schemas.openxmlformats.org/officeDocument/2006/relationships/hyperlink" Target="https://sbrownlawyer.com/2018/05/15/prenuptial-agreements-in-texas-what-they-do-do-not-protect/" TargetMode="External"/><Relationship Id="rId678" Type="http://schemas.openxmlformats.org/officeDocument/2006/relationships/hyperlink" Target="https://sbrownlawyer.com/2013/02/08/texas-divorce-military-shows-lower-overall-divorce-rates/" TargetMode="External"/><Relationship Id="rId435" Type="http://schemas.openxmlformats.org/officeDocument/2006/relationships/hyperlink" Target="https://sbrownlawyer.com/2017/11/15/the-danger-of-parental-alienation/" TargetMode="External"/><Relationship Id="rId677" Type="http://schemas.openxmlformats.org/officeDocument/2006/relationships/hyperlink" Target="https://sbrownlawyer.com/2018/12/17/is-it-legal-for-police-to-search-your-car-during-a-traffic-stop/" TargetMode="External"/><Relationship Id="rId434" Type="http://schemas.openxmlformats.org/officeDocument/2006/relationships/hyperlink" Target="https://sbrownlawyer.com/pearland-cocaine-possession/" TargetMode="External"/><Relationship Id="rId676" Type="http://schemas.openxmlformats.org/officeDocument/2006/relationships/hyperlink" Target="https://sbrownlawyer.com/2018/08/07/fighting-back-against-allegations-of-white-collar-crime/" TargetMode="External"/><Relationship Id="rId439" Type="http://schemas.openxmlformats.org/officeDocument/2006/relationships/hyperlink" Target="https://sbrownlawyer.com/general-family-law-lp/" TargetMode="External"/><Relationship Id="rId438" Type="http://schemas.openxmlformats.org/officeDocument/2006/relationships/hyperlink" Target="https://sbrownlawyer.com/2018/03/13/addressing-issues-for-same-sex-divorces-in-texas/" TargetMode="External"/><Relationship Id="rId671" Type="http://schemas.openxmlformats.org/officeDocument/2006/relationships/hyperlink" Target="https://sbrownlawyer.com/blog/page/2/?et_blog" TargetMode="External"/><Relationship Id="rId670" Type="http://schemas.openxmlformats.org/officeDocument/2006/relationships/hyperlink" Target="https://sbrownlawyer.com/category/divorce/" TargetMode="External"/><Relationship Id="rId433" Type="http://schemas.openxmlformats.org/officeDocument/2006/relationships/hyperlink" Target="https://sbrownlawyer.com/2013/11/13/henderson-county-police-round-up-child-support-violators/" TargetMode="External"/><Relationship Id="rId675" Type="http://schemas.openxmlformats.org/officeDocument/2006/relationships/hyperlink" Target="https://sbrownlawyer.com/2015/05/21/myths-about-custody-and-domestic-violence/" TargetMode="External"/><Relationship Id="rId432" Type="http://schemas.openxmlformats.org/officeDocument/2006/relationships/hyperlink" Target="https://sbrownlawyer.com/2020/02/25/finding-a-criminal-defense-lawyer-dwi-what-you-need-to-know/" TargetMode="External"/><Relationship Id="rId674" Type="http://schemas.openxmlformats.org/officeDocument/2006/relationships/hyperlink" Target="https://sbrownlawyer.com/2012/05/18/family-law-matters-land-evangelista-in-court-for-child-support/" TargetMode="External"/><Relationship Id="rId431" Type="http://schemas.openxmlformats.org/officeDocument/2006/relationships/hyperlink" Target="https://sbrownlawyer.com/angelton-uncontensed-divorce/" TargetMode="External"/><Relationship Id="rId673" Type="http://schemas.openxmlformats.org/officeDocument/2006/relationships/hyperlink" Target="https://sbrownlawyer.com/2021/11/05/5-things-you-need-to-know-about-child-custody-in-texas/" TargetMode="External"/><Relationship Id="rId430" Type="http://schemas.openxmlformats.org/officeDocument/2006/relationships/hyperlink" Target="https://sbrownlawyer.com/protective-orders-divorce/" TargetMode="External"/><Relationship Id="rId672" Type="http://schemas.openxmlformats.org/officeDocument/2006/relationships/hyperlink" Target="https://sbrownlawyer.com/2016/02/12/is-there-a-way-to-avoid-monthly-alimony-payment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92" Type="http://schemas.openxmlformats.org/officeDocument/2006/relationships/hyperlink" Target="https://sbrownlawyer.com/grand-theft/" TargetMode="External"/><Relationship Id="rId391" Type="http://schemas.openxmlformats.org/officeDocument/2006/relationships/hyperlink" Target="https://sbrownlawyer.com/2024/04/24/texas-alimony-am-i-entitled/" TargetMode="External"/><Relationship Id="rId390" Type="http://schemas.openxmlformats.org/officeDocument/2006/relationships/hyperlink" Target="https://sbrownlawyer.com/2024/07/08/open-vs-closed-aoption-angleton-texas/" TargetMode="External"/><Relationship Id="rId2180" Type="http://schemas.openxmlformats.org/officeDocument/2006/relationships/hyperlink" Target="https://sbrownlawyer.com/2022/02/18/can-i-file-legal-separation-on-texas/" TargetMode="External"/><Relationship Id="rId2181" Type="http://schemas.openxmlformats.org/officeDocument/2006/relationships/hyperlink" Target="https://sbrownlawyer.com/" TargetMode="External"/><Relationship Id="rId2182" Type="http://schemas.openxmlformats.org/officeDocument/2006/relationships/hyperlink" Target="https://sbrownlawyer.com/2024/04/24/texas-alimony-am-i-entitled/" TargetMode="External"/><Relationship Id="rId2183" Type="http://schemas.openxmlformats.org/officeDocument/2006/relationships/hyperlink" Target="https://sbrownlawyer.com/2019/05/16/motorcycle-laws-regarding-children-in-texas/" TargetMode="External"/><Relationship Id="rId385" Type="http://schemas.openxmlformats.org/officeDocument/2006/relationships/hyperlink" Target="https://sbrownlawyer.com/league-city-tx-office-of-scott-m-brown-associates/" TargetMode="External"/><Relationship Id="rId2184" Type="http://schemas.openxmlformats.org/officeDocument/2006/relationships/hyperlink" Target="https://sbrownlawyer.com/attorneys/" TargetMode="External"/><Relationship Id="rId384" Type="http://schemas.openxmlformats.org/officeDocument/2006/relationships/hyperlink" Target="https://sbrownlawyer.com/divorce/" TargetMode="External"/><Relationship Id="rId2185" Type="http://schemas.openxmlformats.org/officeDocument/2006/relationships/hyperlink" Target="https://sbrownlawyer.com/" TargetMode="External"/><Relationship Id="rId383" Type="http://schemas.openxmlformats.org/officeDocument/2006/relationships/hyperlink" Target="https://sbrownlawyer.com/criminal-defense-book/" TargetMode="External"/><Relationship Id="rId2186" Type="http://schemas.openxmlformats.org/officeDocument/2006/relationships/hyperlink" Target="https://sbrownlawyer.com/obscenity/" TargetMode="External"/><Relationship Id="rId382" Type="http://schemas.openxmlformats.org/officeDocument/2006/relationships/hyperlink" Target="https://sbrownlawyer.com/2018/04/23/how-do-bond-reductions-work/" TargetMode="External"/><Relationship Id="rId2187" Type="http://schemas.openxmlformats.org/officeDocument/2006/relationships/hyperlink" Target="https://sbrownlawyer.com/" TargetMode="External"/><Relationship Id="rId389" Type="http://schemas.openxmlformats.org/officeDocument/2006/relationships/hyperlink" Target="https://sbrownlawyer.com/friendswood/" TargetMode="External"/><Relationship Id="rId2188" Type="http://schemas.openxmlformats.org/officeDocument/2006/relationships/hyperlink" Target="https://sbrownlawyer.com/2020/10/29/how-to-tell-if-youre-too-drunk-to-drive-and-how-to-prevent-yourself-from-becoming-a-drunk-driver/" TargetMode="External"/><Relationship Id="rId388" Type="http://schemas.openxmlformats.org/officeDocument/2006/relationships/hyperlink" Target="https://sbrownlawyer.com/league-city-tx-criminal-defense-lawyers/" TargetMode="External"/><Relationship Id="rId2189" Type="http://schemas.openxmlformats.org/officeDocument/2006/relationships/hyperlink" Target="https://sbrownlawyer.com/2021/09/20/5-quiet-signs-of-divorce-and-what-to-do-about-it/" TargetMode="External"/><Relationship Id="rId387" Type="http://schemas.openxmlformats.org/officeDocument/2006/relationships/hyperlink" Target="https://sbrownlawyer.com/category/duidwi/" TargetMode="External"/><Relationship Id="rId386" Type="http://schemas.openxmlformats.org/officeDocument/2006/relationships/hyperlink" Target="https://sbrownlawyer.com/2024/12/27/understanding-the-naturalization-timeline-for-texas-residents/" TargetMode="External"/><Relationship Id="rId381" Type="http://schemas.openxmlformats.org/officeDocument/2006/relationships/hyperlink" Target="https://sbrownlawyer.com/" TargetMode="External"/><Relationship Id="rId380" Type="http://schemas.openxmlformats.org/officeDocument/2006/relationships/hyperlink" Target="https://sbrownlawyer.com/2024/12/27/understanding-the-naturalization-timeline-for-texas-residents/" TargetMode="External"/><Relationship Id="rId379" Type="http://schemas.openxmlformats.org/officeDocument/2006/relationships/hyperlink" Target="https://sbrownlawyer.com/2024/12/27/understanding-the-naturalization-timeline-for-texas-residents/" TargetMode="External"/><Relationship Id="rId2170" Type="http://schemas.openxmlformats.org/officeDocument/2006/relationships/hyperlink" Target="https://sbrownlawyer.com/sex-crimes/overview-of-sex-crime-defense/" TargetMode="External"/><Relationship Id="rId2171" Type="http://schemas.openxmlformats.org/officeDocument/2006/relationships/hyperlink" Target="https://sbrownlawyer.com/cohabitation/" TargetMode="External"/><Relationship Id="rId2172" Type="http://schemas.openxmlformats.org/officeDocument/2006/relationships/hyperlink" Target="https://sbrownlawyer.com/pharmaceutical-litigation/" TargetMode="External"/><Relationship Id="rId374" Type="http://schemas.openxmlformats.org/officeDocument/2006/relationships/hyperlink" Target="https://sbrownlawyer.com/" TargetMode="External"/><Relationship Id="rId2173" Type="http://schemas.openxmlformats.org/officeDocument/2006/relationships/hyperlink" Target="https://sbrownlawyer.com/" TargetMode="External"/><Relationship Id="rId373" Type="http://schemas.openxmlformats.org/officeDocument/2006/relationships/hyperlink" Target="https://sbrownlawyer.com/texas/locations/angleton/" TargetMode="External"/><Relationship Id="rId2174" Type="http://schemas.openxmlformats.org/officeDocument/2006/relationships/hyperlink" Target="https://sbrownlawyer.com/2019/05/16/motorcycle-laws-regarding-children-in-texas/" TargetMode="External"/><Relationship Id="rId372" Type="http://schemas.openxmlformats.org/officeDocument/2006/relationships/hyperlink" Target="https://sbrownlawyer.com/doctor-divorce-videos/" TargetMode="External"/><Relationship Id="rId2175" Type="http://schemas.openxmlformats.org/officeDocument/2006/relationships/hyperlink" Target="https://sbrownlawyer.com/" TargetMode="External"/><Relationship Id="rId371" Type="http://schemas.openxmlformats.org/officeDocument/2006/relationships/hyperlink" Target="https://sbrownlawyer.com/2024/04/24/texas-alimony-am-i-entitled/" TargetMode="External"/><Relationship Id="rId2176" Type="http://schemas.openxmlformats.org/officeDocument/2006/relationships/hyperlink" Target="https://sbrownlawyer.com/league-city-tx-office-of-scott-m-brown-associates/" TargetMode="External"/><Relationship Id="rId378" Type="http://schemas.openxmlformats.org/officeDocument/2006/relationships/hyperlink" Target="https://sbrownlawyer.com/2020/07/13/10-signs-divorced-parents-are-doing-right-by-their-kids/" TargetMode="External"/><Relationship Id="rId2177" Type="http://schemas.openxmlformats.org/officeDocument/2006/relationships/hyperlink" Target="https://sbrownlawyer.com/steps-in-settling-your-claim-in-texas/" TargetMode="External"/><Relationship Id="rId377" Type="http://schemas.openxmlformats.org/officeDocument/2006/relationships/hyperlink" Target="https://sbrownlawyer.com/2020/07/13/10-signs-divorced-parents-are-doing-right-by-their-kids/" TargetMode="External"/><Relationship Id="rId2178" Type="http://schemas.openxmlformats.org/officeDocument/2006/relationships/hyperlink" Target="https://sbrownlawyer.com/2024/12/27/understanding-the-naturalization-timeline-for-texas-residents/" TargetMode="External"/><Relationship Id="rId376" Type="http://schemas.openxmlformats.org/officeDocument/2006/relationships/hyperlink" Target="https://sbrownlawyer.com/2024/12/27/understanding-the-naturalization-timeline-for-texas-residents/" TargetMode="External"/><Relationship Id="rId2179" Type="http://schemas.openxmlformats.org/officeDocument/2006/relationships/hyperlink" Target="https://sbrownlawyer.com/" TargetMode="External"/><Relationship Id="rId375" Type="http://schemas.openxmlformats.org/officeDocument/2006/relationships/hyperlink" Target="https://sbrownlawyer.com/friendswood/" TargetMode="External"/><Relationship Id="rId2190" Type="http://schemas.openxmlformats.org/officeDocument/2006/relationships/hyperlink" Target="https://sbrownlawyer.com/2024/03/26/grandparent-custody-rights/" TargetMode="External"/><Relationship Id="rId2191" Type="http://schemas.openxmlformats.org/officeDocument/2006/relationships/hyperlink" Target="https://sbrownlawyer.com/2019/09/15/how-to-fight-a-protective-order/" TargetMode="External"/><Relationship Id="rId2192" Type="http://schemas.openxmlformats.org/officeDocument/2006/relationships/hyperlink" Target="https://sbrownlawyer.com/2024/03/26/grandparent-custody-rights/" TargetMode="External"/><Relationship Id="rId2193" Type="http://schemas.openxmlformats.org/officeDocument/2006/relationships/hyperlink" Target="https://sbrownlawyer.com/attorneys/" TargetMode="External"/><Relationship Id="rId2194" Type="http://schemas.openxmlformats.org/officeDocument/2006/relationships/hyperlink" Target="https://sbrownlawyer.com/2021/09/20/5-quiet-signs-of-divorce-and-what-to-do-about-it/" TargetMode="External"/><Relationship Id="rId396" Type="http://schemas.openxmlformats.org/officeDocument/2006/relationships/hyperlink" Target="https://sbrownlawyer.com/areas-we-serve/brazoria-county/" TargetMode="External"/><Relationship Id="rId2195" Type="http://schemas.openxmlformats.org/officeDocument/2006/relationships/hyperlink" Target="https://sbrownlawyer.com/texas/locations/pearland/" TargetMode="External"/><Relationship Id="rId395" Type="http://schemas.openxmlformats.org/officeDocument/2006/relationships/hyperlink" Target="https://sbrownlawyer.com/" TargetMode="External"/><Relationship Id="rId2196" Type="http://schemas.openxmlformats.org/officeDocument/2006/relationships/hyperlink" Target="https://sbrownlawyer.com/league-city-complex-and-contested-divorce/" TargetMode="External"/><Relationship Id="rId394" Type="http://schemas.openxmlformats.org/officeDocument/2006/relationships/hyperlink" Target="https://sbrownlawyer.com/2018/01/28/silencers-are-not-prohibited-weapons/" TargetMode="External"/><Relationship Id="rId2197" Type="http://schemas.openxmlformats.org/officeDocument/2006/relationships/hyperlink" Target="https://sbrownlawyer.com/" TargetMode="External"/><Relationship Id="rId393" Type="http://schemas.openxmlformats.org/officeDocument/2006/relationships/hyperlink" Target="https://sbrownlawyer.com/texas/locations/sugar-land/" TargetMode="External"/><Relationship Id="rId2198" Type="http://schemas.openxmlformats.org/officeDocument/2006/relationships/hyperlink" Target="https://sbrownlawyer.com/2021/04/07/reasons-grandparents-can-file-for-custody-of-grandchild-in-texas/" TargetMode="External"/><Relationship Id="rId2199" Type="http://schemas.openxmlformats.org/officeDocument/2006/relationships/hyperlink" Target="https://sbrownlawyer.com/2021/02/28/what-happens-after-a-second-and-third-dwi-in-texas/" TargetMode="External"/><Relationship Id="rId399" Type="http://schemas.openxmlformats.org/officeDocument/2006/relationships/hyperlink" Target="https://sbrownlawyer.com/criminal-law/first-offenders/" TargetMode="External"/><Relationship Id="rId398" Type="http://schemas.openxmlformats.org/officeDocument/2006/relationships/hyperlink" Target="https://sbrownlawyer.com/2018/01/28/silencers-are-not-prohibited-weapons/" TargetMode="External"/><Relationship Id="rId397" Type="http://schemas.openxmlformats.org/officeDocument/2006/relationships/hyperlink" Target="https://sbrownlawyer.com/areas-we-serve/galveston-county/" TargetMode="External"/><Relationship Id="rId1730" Type="http://schemas.openxmlformats.org/officeDocument/2006/relationships/hyperlink" Target="https://sbrownlawyer.com/2021/05/31/your-parenting-plan-how-to-reach-a-child-custody-agreement-without-court-involvement/" TargetMode="External"/><Relationship Id="rId1731" Type="http://schemas.openxmlformats.org/officeDocument/2006/relationships/hyperlink" Target="https://sbrownlawyer.com/harris-county-family-law/" TargetMode="External"/><Relationship Id="rId1732" Type="http://schemas.openxmlformats.org/officeDocument/2006/relationships/hyperlink" Target="https://sbrownlawyer.com/" TargetMode="External"/><Relationship Id="rId1733" Type="http://schemas.openxmlformats.org/officeDocument/2006/relationships/hyperlink" Target="https://sbrownlawyer.com/attorneys/" TargetMode="External"/><Relationship Id="rId1734" Type="http://schemas.openxmlformats.org/officeDocument/2006/relationships/hyperlink" Target="https://sbrownlawyer.com/espanol/" TargetMode="External"/><Relationship Id="rId1735" Type="http://schemas.openxmlformats.org/officeDocument/2006/relationships/hyperlink" Target="https://sbrownlawyer.com/attorneys/" TargetMode="External"/><Relationship Id="rId1736" Type="http://schemas.openxmlformats.org/officeDocument/2006/relationships/hyperlink" Target="https://sbrownlawyer.com/divorce/" TargetMode="External"/><Relationship Id="rId1737" Type="http://schemas.openxmlformats.org/officeDocument/2006/relationships/hyperlink" Target="https://sbrownlawyer.com/attorneys/" TargetMode="External"/><Relationship Id="rId1738" Type="http://schemas.openxmlformats.org/officeDocument/2006/relationships/hyperlink" Target="https://sbrownlawyer.com/2024/12/27/understanding-the-naturalization-timeline-for-texas-residents/" TargetMode="External"/><Relationship Id="rId1739" Type="http://schemas.openxmlformats.org/officeDocument/2006/relationships/hyperlink" Target="https://sbrownlawyer.com/news/" TargetMode="External"/><Relationship Id="rId1720" Type="http://schemas.openxmlformats.org/officeDocument/2006/relationships/hyperlink" Target="https://sbrownlawyer.com/2020/10/29/how-to-tell-if-youre-too-drunk-to-drive-and-how-to-prevent-yourself-from-becoming-a-drunk-driver/" TargetMode="External"/><Relationship Id="rId1721" Type="http://schemas.openxmlformats.org/officeDocument/2006/relationships/hyperlink" Target="https://sbrownlawyer.com/" TargetMode="External"/><Relationship Id="rId1722" Type="http://schemas.openxmlformats.org/officeDocument/2006/relationships/hyperlink" Target="https://sbrownlawyer.com/2017/06/12/are-dwi-checkpoints-legal-in-texas/" TargetMode="External"/><Relationship Id="rId1723" Type="http://schemas.openxmlformats.org/officeDocument/2006/relationships/hyperlink" Target="https://sbrownlawyer.com/2024/03/26/grandparent-custody-rights/" TargetMode="External"/><Relationship Id="rId1724" Type="http://schemas.openxmlformats.org/officeDocument/2006/relationships/hyperlink" Target="https://sbrownlawyer.com/" TargetMode="External"/><Relationship Id="rId1725" Type="http://schemas.openxmlformats.org/officeDocument/2006/relationships/hyperlink" Target="https://sbrownlawyer.com/2018/01/28/silencers-are-not-prohibited-weapons/" TargetMode="External"/><Relationship Id="rId1726" Type="http://schemas.openxmlformats.org/officeDocument/2006/relationships/hyperlink" Target="https://sbrownlawyer.com/attorneys/" TargetMode="External"/><Relationship Id="rId1727" Type="http://schemas.openxmlformats.org/officeDocument/2006/relationships/hyperlink" Target="https://sbrownlawyer.com/multiple-dwi-loss-of-license/" TargetMode="External"/><Relationship Id="rId1728" Type="http://schemas.openxmlformats.org/officeDocument/2006/relationships/hyperlink" Target="https://sbrownlawyer.com/2024/03/26/grandparent-custody-rights/" TargetMode="External"/><Relationship Id="rId1729" Type="http://schemas.openxmlformats.org/officeDocument/2006/relationships/hyperlink" Target="https://sbrownlawyer.com/child-pornography/" TargetMode="External"/><Relationship Id="rId1752" Type="http://schemas.openxmlformats.org/officeDocument/2006/relationships/hyperlink" Target="https://sbrownlawyer.com/2020/10/29/how-to-tell-if-youre-too-drunk-to-drive-and-how-to-prevent-yourself-from-becoming-a-drunk-driver/" TargetMode="External"/><Relationship Id="rId1753" Type="http://schemas.openxmlformats.org/officeDocument/2006/relationships/hyperlink" Target="https://sbrownlawyer.com/2020/12/28/what-to-ask-your-family-lawyer-about-your-child-custody-agreement/" TargetMode="External"/><Relationship Id="rId1754" Type="http://schemas.openxmlformats.org/officeDocument/2006/relationships/hyperlink" Target="https://sbrownlawyer.com/attorneys/" TargetMode="External"/><Relationship Id="rId1755" Type="http://schemas.openxmlformats.org/officeDocument/2006/relationships/hyperlink" Target="https://sbrownlawyer.com/2024/12/27/understanding-the-naturalization-timeline-for-texas-residents/" TargetMode="External"/><Relationship Id="rId1756" Type="http://schemas.openxmlformats.org/officeDocument/2006/relationships/hyperlink" Target="https://sbrownlawyer.com/attorneys/" TargetMode="External"/><Relationship Id="rId1757" Type="http://schemas.openxmlformats.org/officeDocument/2006/relationships/hyperlink" Target="https://sbrownlawyer.com/2017/11/21/new-texas-law-bans-texting-while-driving/" TargetMode="External"/><Relationship Id="rId1758" Type="http://schemas.openxmlformats.org/officeDocument/2006/relationships/hyperlink" Target="https://sbrownlawyer.com/2020/10/29/how-to-tell-if-youre-too-drunk-to-drive-and-how-to-prevent-yourself-from-becoming-a-drunk-driver/" TargetMode="External"/><Relationship Id="rId1759" Type="http://schemas.openxmlformats.org/officeDocument/2006/relationships/hyperlink" Target="https://sbrownlawyer.com/criminal-law/first-offenders/" TargetMode="External"/><Relationship Id="rId1750" Type="http://schemas.openxmlformats.org/officeDocument/2006/relationships/hyperlink" Target="https://sbrownlawyer.com/attorneys/" TargetMode="External"/><Relationship Id="rId1751" Type="http://schemas.openxmlformats.org/officeDocument/2006/relationships/hyperlink" Target="https://sbrownlawyer.com/" TargetMode="External"/><Relationship Id="rId1741" Type="http://schemas.openxmlformats.org/officeDocument/2006/relationships/hyperlink" Target="https://sbrownlawyer.com/2019/05/16/motorcycle-laws-regarding-children-in-texas/" TargetMode="External"/><Relationship Id="rId1742" Type="http://schemas.openxmlformats.org/officeDocument/2006/relationships/hyperlink" Target="https://sbrownlawyer.com/texas/locations/" TargetMode="External"/><Relationship Id="rId1743" Type="http://schemas.openxmlformats.org/officeDocument/2006/relationships/hyperlink" Target="https://sbrownlawyer.com/2024/12/27/understanding-the-naturalization-timeline-for-texas-residents/" TargetMode="External"/><Relationship Id="rId1744" Type="http://schemas.openxmlformats.org/officeDocument/2006/relationships/hyperlink" Target="https://sbrownlawyer.com/2020/10/29/how-to-tell-if-youre-too-drunk-to-drive-and-how-to-prevent-yourself-from-becoming-a-drunk-driver/" TargetMode="External"/><Relationship Id="rId1745" Type="http://schemas.openxmlformats.org/officeDocument/2006/relationships/hyperlink" Target="https://sbrownlawyer.com/2021/11/26/child-support-guidelines-in-texas-an-overview/" TargetMode="External"/><Relationship Id="rId1746" Type="http://schemas.openxmlformats.org/officeDocument/2006/relationships/hyperlink" Target="https://sbrownlawyer.com/2020/01/05/texas-passes-new-law-for-assault-on-a-pregnant-woman/" TargetMode="External"/><Relationship Id="rId1747" Type="http://schemas.openxmlformats.org/officeDocument/2006/relationships/hyperlink" Target="https://sbrownlawyer.com/attorneys/" TargetMode="External"/><Relationship Id="rId1748" Type="http://schemas.openxmlformats.org/officeDocument/2006/relationships/hyperlink" Target="https://sbrownlawyer.com/personal-injury/" TargetMode="External"/><Relationship Id="rId1749" Type="http://schemas.openxmlformats.org/officeDocument/2006/relationships/hyperlink" Target="https://sbrownlawyer.com/2024/03/26/grandparent-custody-rights/" TargetMode="External"/><Relationship Id="rId1740" Type="http://schemas.openxmlformats.org/officeDocument/2006/relationships/hyperlink" Target="https://sbrownlawyer.com/criminal-law/first-offenders/" TargetMode="External"/><Relationship Id="rId1710" Type="http://schemas.openxmlformats.org/officeDocument/2006/relationships/hyperlink" Target="https://sbrownlawyer.com/obscenity/" TargetMode="External"/><Relationship Id="rId1711" Type="http://schemas.openxmlformats.org/officeDocument/2006/relationships/hyperlink" Target="https://sbrownlawyer.com/adjustment-of-status-pearland-lawyer/" TargetMode="External"/><Relationship Id="rId1712" Type="http://schemas.openxmlformats.org/officeDocument/2006/relationships/hyperlink" Target="https://sbrownlawyer.com/2024/11/29/how-to-meet-texas-adjustment-of-status-requirements-for-spouses/" TargetMode="External"/><Relationship Id="rId1713" Type="http://schemas.openxmlformats.org/officeDocument/2006/relationships/hyperlink" Target="https://sbrownlawyer.com/2024/12/23/compensation-for-paralysis-injuries-your-guide-to-texas-law/" TargetMode="External"/><Relationship Id="rId1714" Type="http://schemas.openxmlformats.org/officeDocument/2006/relationships/hyperlink" Target="https://sbrownlawyer.com/attorneys/" TargetMode="External"/><Relationship Id="rId1715" Type="http://schemas.openxmlformats.org/officeDocument/2006/relationships/hyperlink" Target="https://sbrownlawyer.com/" TargetMode="External"/><Relationship Id="rId1716" Type="http://schemas.openxmlformats.org/officeDocument/2006/relationships/hyperlink" Target="https://sbrownlawyer.com/2024/12/27/understanding-the-naturalization-timeline-for-texas-residents/" TargetMode="External"/><Relationship Id="rId1717" Type="http://schemas.openxmlformats.org/officeDocument/2006/relationships/hyperlink" Target="https://sbrownlawyer.com/" TargetMode="External"/><Relationship Id="rId1718" Type="http://schemas.openxmlformats.org/officeDocument/2006/relationships/hyperlink" Target="https://sbrownlawyer.com/2018/04/17/statutory-rape-age-of-consent-in-texas-how-old-is-too-old/" TargetMode="External"/><Relationship Id="rId1719" Type="http://schemas.openxmlformats.org/officeDocument/2006/relationships/hyperlink" Target="https://sbrownlawyer.com/espanol/" TargetMode="External"/><Relationship Id="rId1700" Type="http://schemas.openxmlformats.org/officeDocument/2006/relationships/hyperlink" Target="https://sbrownlawyer.com/2019/05/16/motorcycle-laws-regarding-children-in-texas/" TargetMode="External"/><Relationship Id="rId1701" Type="http://schemas.openxmlformats.org/officeDocument/2006/relationships/hyperlink" Target="https://sbrownlawyer.com/" TargetMode="External"/><Relationship Id="rId1702" Type="http://schemas.openxmlformats.org/officeDocument/2006/relationships/hyperlink" Target="https://sbrownlawyer.com/2019/12/02/challenging-a-prenup/" TargetMode="External"/><Relationship Id="rId1703" Type="http://schemas.openxmlformats.org/officeDocument/2006/relationships/hyperlink" Target="https://sbrownlawyer.com/2018/04/17/statutory-rape-age-of-consent-in-texas-how-old-is-too-old/" TargetMode="External"/><Relationship Id="rId1704" Type="http://schemas.openxmlformats.org/officeDocument/2006/relationships/hyperlink" Target="https://sbrownlawyer.com/2020/10/29/how-to-tell-if-youre-too-drunk-to-drive-and-how-to-prevent-yourself-from-becoming-a-drunk-driver/" TargetMode="External"/><Relationship Id="rId1705" Type="http://schemas.openxmlformats.org/officeDocument/2006/relationships/hyperlink" Target="https://sbrownlawyer.com/league-city-slip-fall-accidents/" TargetMode="External"/><Relationship Id="rId1706" Type="http://schemas.openxmlformats.org/officeDocument/2006/relationships/hyperlink" Target="https://sbrownlawyer.com/2020/10/29/how-to-tell-if-youre-too-drunk-to-drive-and-how-to-prevent-yourself-from-becoming-a-drunk-driver/" TargetMode="External"/><Relationship Id="rId1707" Type="http://schemas.openxmlformats.org/officeDocument/2006/relationships/hyperlink" Target="https://sbrownlawyer.com/2019/10/08/can-you-sue-a-partner-that-infected-you-with-an-std/" TargetMode="External"/><Relationship Id="rId1708" Type="http://schemas.openxmlformats.org/officeDocument/2006/relationships/hyperlink" Target="https://sbrownlawyer.com/2019/10/08/can-you-sue-a-partner-that-infected-you-with-an-std/" TargetMode="External"/><Relationship Id="rId1709" Type="http://schemas.openxmlformats.org/officeDocument/2006/relationships/hyperlink" Target="https://sbrownlawyer.com/2020/06/25/partner-abuse-the-many-forms-of-domestic-violence/" TargetMode="External"/><Relationship Id="rId40" Type="http://schemas.openxmlformats.org/officeDocument/2006/relationships/hyperlink" Target="https://sbrownlawyer.com/2014/06/20/lopez-anthony-divorce-has-interesting-child-custody-agreement/" TargetMode="External"/><Relationship Id="rId42" Type="http://schemas.openxmlformats.org/officeDocument/2006/relationships/hyperlink" Target="https://sbrownlawyer.com/2014/06/20/lopez-anthony-divorce-has-interesting-child-custody-agreement/" TargetMode="External"/><Relationship Id="rId41" Type="http://schemas.openxmlformats.org/officeDocument/2006/relationships/hyperlink" Target="https://sbrownlawyer.com/2014/06/20/lopez-anthony-divorce-has-interesting-child-custody-agreement/" TargetMode="External"/><Relationship Id="rId44" Type="http://schemas.openxmlformats.org/officeDocument/2006/relationships/hyperlink" Target="https://sbrownlawyer.com/criminal-law/first-offenders/" TargetMode="External"/><Relationship Id="rId43" Type="http://schemas.openxmlformats.org/officeDocument/2006/relationships/hyperlink" Target="https://sbrownlawyer.com/2014/06/20/lopez-anthony-divorce-has-interesting-child-custody-agreement/" TargetMode="External"/><Relationship Id="rId46" Type="http://schemas.openxmlformats.org/officeDocument/2006/relationships/hyperlink" Target="https://sbrownlawyer.com/texas/locations/angleton/?utm_campaign=gmbangleton" TargetMode="External"/><Relationship Id="rId45" Type="http://schemas.openxmlformats.org/officeDocument/2006/relationships/hyperlink" Target="https://sbrownlawyer.com/2014/06/20/lopez-anthony-divorce-has-interesting-child-custody-agreement/" TargetMode="External"/><Relationship Id="rId48" Type="http://schemas.openxmlformats.org/officeDocument/2006/relationships/hyperlink" Target="https://sbrownlawyer.com/criminal-law/indecent-exposure/" TargetMode="External"/><Relationship Id="rId47" Type="http://schemas.openxmlformats.org/officeDocument/2006/relationships/hyperlink" Target="https://sbrownlawyer.com/criminal-law/indecent-exposure/" TargetMode="External"/><Relationship Id="rId49" Type="http://schemas.openxmlformats.org/officeDocument/2006/relationships/hyperlink" Target="https://sbrownlawyer.com/2014/06/20/lopez-anthony-divorce-has-interesting-child-custody-agreement/" TargetMode="External"/><Relationship Id="rId31" Type="http://schemas.openxmlformats.org/officeDocument/2006/relationships/hyperlink" Target="https://sbrownlawyer.com/criminal-law/first-offenders/" TargetMode="External"/><Relationship Id="rId30" Type="http://schemas.openxmlformats.org/officeDocument/2006/relationships/hyperlink" Target="https://sbrownlawyer.com/criminal-law/first-offenders/" TargetMode="External"/><Relationship Id="rId33" Type="http://schemas.openxmlformats.org/officeDocument/2006/relationships/hyperlink" Target="https://sbrownlawyer.com/2018/05/15/prenuptial-agreements-in-texas-what-they-do-do-not-protect/" TargetMode="External"/><Relationship Id="rId32" Type="http://schemas.openxmlformats.org/officeDocument/2006/relationships/hyperlink" Target="https://sbrownlawyer.com/criminal-law/first-offenders/" TargetMode="External"/><Relationship Id="rId35" Type="http://schemas.openxmlformats.org/officeDocument/2006/relationships/hyperlink" Target="https://sbrownlawyer.com/2014/06/20/lopez-anthony-divorce-has-interesting-child-custody-agreement/" TargetMode="External"/><Relationship Id="rId34" Type="http://schemas.openxmlformats.org/officeDocument/2006/relationships/hyperlink" Target="https://sbrownlawyer.com/2024/04/24/texas-alimony-am-i-entitled/" TargetMode="External"/><Relationship Id="rId37" Type="http://schemas.openxmlformats.org/officeDocument/2006/relationships/hyperlink" Target="https://sbrownlawyer.com/2014/06/20/lopez-anthony-divorce-has-interesting-child-custody-agreement/" TargetMode="External"/><Relationship Id="rId36" Type="http://schemas.openxmlformats.org/officeDocument/2006/relationships/hyperlink" Target="https://sbrownlawyer.com/2014/06/20/lopez-anthony-divorce-has-interesting-child-custody-agreement/" TargetMode="External"/><Relationship Id="rId39" Type="http://schemas.openxmlformats.org/officeDocument/2006/relationships/hyperlink" Target="https://sbrownlawyer.com/2014/06/20/lopez-anthony-divorce-has-interesting-child-custody-agreement/" TargetMode="External"/><Relationship Id="rId38" Type="http://schemas.openxmlformats.org/officeDocument/2006/relationships/hyperlink" Target="https://sbrownlawyer.com/2020/10/29/how-to-tell-if-youre-too-drunk-to-drive-and-how-to-prevent-yourself-from-becoming-a-drunk-driver/" TargetMode="External"/><Relationship Id="rId2203" Type="http://schemas.openxmlformats.org/officeDocument/2006/relationships/hyperlink" Target="https://sbrownlawyer.com/page/26/" TargetMode="External"/><Relationship Id="rId2204" Type="http://schemas.openxmlformats.org/officeDocument/2006/relationships/hyperlink" Target="https://sbrownlawyer.com/james-j-hanley/" TargetMode="External"/><Relationship Id="rId20" Type="http://schemas.openxmlformats.org/officeDocument/2006/relationships/hyperlink" Target="https://sbrownlawyer.com/criminal-law/first-offenders/" TargetMode="External"/><Relationship Id="rId2205" Type="http://schemas.openxmlformats.org/officeDocument/2006/relationships/hyperlink" Target="https://sbrownlawyer.com/criminal-law/indecent-exposure/" TargetMode="External"/><Relationship Id="rId2206" Type="http://schemas.openxmlformats.org/officeDocument/2006/relationships/hyperlink" Target="https://sbrownlawyer.com/reckless-driving/" TargetMode="External"/><Relationship Id="rId22" Type="http://schemas.openxmlformats.org/officeDocument/2006/relationships/hyperlink" Target="https://sbrownlawyer.com/2018/05/15/prenuptial-agreements-in-texas-what-they-do-do-not-protect/" TargetMode="External"/><Relationship Id="rId2207" Type="http://schemas.openxmlformats.org/officeDocument/2006/relationships/hyperlink" Target="https://sbrownlawyer.com/attorneys/" TargetMode="External"/><Relationship Id="rId21" Type="http://schemas.openxmlformats.org/officeDocument/2006/relationships/hyperlink" Target="https://sbrownlawyer.com/texas/locations/pearland/?utm_campaign=gmbpearland" TargetMode="External"/><Relationship Id="rId2208" Type="http://schemas.openxmlformats.org/officeDocument/2006/relationships/hyperlink" Target="https://sbrownlawyer.com/public-indecency/" TargetMode="External"/><Relationship Id="rId24" Type="http://schemas.openxmlformats.org/officeDocument/2006/relationships/hyperlink" Target="https://sbrownlawyer.com/2014/06/20/lopez-anthony-divorce-has-interesting-child-custody-agreement/" TargetMode="External"/><Relationship Id="rId2209" Type="http://schemas.openxmlformats.org/officeDocument/2006/relationships/hyperlink" Target="https://sbrownlawyer.com/attorneys/" TargetMode="External"/><Relationship Id="rId23" Type="http://schemas.openxmlformats.org/officeDocument/2006/relationships/hyperlink" Target="https://sbrownlawyer.com/2024/12/27/understanding-the-naturalization-timeline-for-texas-residents/" TargetMode="External"/><Relationship Id="rId26" Type="http://schemas.openxmlformats.org/officeDocument/2006/relationships/hyperlink" Target="https://sbrownlawyer.com/2014/06/20/lopez-anthony-divorce-has-interesting-child-custody-agreement/" TargetMode="External"/><Relationship Id="rId25" Type="http://schemas.openxmlformats.org/officeDocument/2006/relationships/hyperlink" Target="https://sbrownlawyer.com/2014/06/20/lopez-anthony-divorce-has-interesting-child-custody-agreement/" TargetMode="External"/><Relationship Id="rId28" Type="http://schemas.openxmlformats.org/officeDocument/2006/relationships/hyperlink" Target="https://sbrownlawyer.com/2014/06/20/lopez-anthony-divorce-has-interesting-child-custody-agreement/" TargetMode="External"/><Relationship Id="rId27" Type="http://schemas.openxmlformats.org/officeDocument/2006/relationships/hyperlink" Target="https://sbrownlawyer.com/2020/10/29/how-to-tell-if-youre-too-drunk-to-drive-and-how-to-prevent-yourself-from-becoming-a-drunk-driver/" TargetMode="External"/><Relationship Id="rId29" Type="http://schemas.openxmlformats.org/officeDocument/2006/relationships/hyperlink" Target="https://sbrownlawyer.com/2018/04/06/can-you-adopt-a-child-in-texas-without-the-biological-fathers-consent/" TargetMode="External"/><Relationship Id="rId2200" Type="http://schemas.openxmlformats.org/officeDocument/2006/relationships/hyperlink" Target="https://sbrownlawyer.com/what-is-dwi/" TargetMode="External"/><Relationship Id="rId2201" Type="http://schemas.openxmlformats.org/officeDocument/2006/relationships/hyperlink" Target="https://sbrownlawyer.com/" TargetMode="External"/><Relationship Id="rId2202" Type="http://schemas.openxmlformats.org/officeDocument/2006/relationships/hyperlink" Target="https://sbrownlawyer.com/2019/10/28/what-does-it-mean-to-be-deemed-an-unfit-parent/" TargetMode="External"/><Relationship Id="rId11" Type="http://schemas.openxmlformats.org/officeDocument/2006/relationships/hyperlink" Target="https://sbrownlawyer.com/2024/04/24/texas-alimony-am-i-entitled/" TargetMode="External"/><Relationship Id="rId10" Type="http://schemas.openxmlformats.org/officeDocument/2006/relationships/hyperlink" Target="https://sbrownlawyer.com/texas/locations/angleton/?utm_campaign=gmbangleton" TargetMode="External"/><Relationship Id="rId13" Type="http://schemas.openxmlformats.org/officeDocument/2006/relationships/hyperlink" Target="https://sbrownlawyer.com/2024/04/24/texas-alimony-am-i-entitled/" TargetMode="External"/><Relationship Id="rId12" Type="http://schemas.openxmlformats.org/officeDocument/2006/relationships/hyperlink" Target="https://sbrownlawyer.com/2020/10/29/how-to-tell-if-youre-too-drunk-to-drive-and-how-to-prevent-yourself-from-becoming-a-drunk-driver/" TargetMode="External"/><Relationship Id="rId15" Type="http://schemas.openxmlformats.org/officeDocument/2006/relationships/hyperlink" Target="https://sbrownlawyer.com/2024/04/24/texas-alimony-am-i-entitled/" TargetMode="External"/><Relationship Id="rId14" Type="http://schemas.openxmlformats.org/officeDocument/2006/relationships/hyperlink" Target="https://sbrownlawyer.com/2024/04/24/texas-alimony-am-i-entitled/" TargetMode="External"/><Relationship Id="rId17" Type="http://schemas.openxmlformats.org/officeDocument/2006/relationships/hyperlink" Target="https://sbrownlawyer.com/2014/06/20/lopez-anthony-divorce-has-interesting-child-custody-agreement/" TargetMode="External"/><Relationship Id="rId16" Type="http://schemas.openxmlformats.org/officeDocument/2006/relationships/hyperlink" Target="https://sbrownlawyer.com/2014/06/20/lopez-anthony-divorce-has-interesting-child-custody-agreement/" TargetMode="External"/><Relationship Id="rId19" Type="http://schemas.openxmlformats.org/officeDocument/2006/relationships/hyperlink" Target="https://sbrownlawyer.com/criminal-law/first-offenders/" TargetMode="External"/><Relationship Id="rId18" Type="http://schemas.openxmlformats.org/officeDocument/2006/relationships/hyperlink" Target="https://sbrownlawyer.com/2024/04/24/texas-alimony-am-i-entitled/" TargetMode="External"/><Relationship Id="rId84" Type="http://schemas.openxmlformats.org/officeDocument/2006/relationships/hyperlink" Target="https://sbrownlawyer.com/texas/locations/angleton/?utm_campaign=gmbangleton" TargetMode="External"/><Relationship Id="rId1774" Type="http://schemas.openxmlformats.org/officeDocument/2006/relationships/hyperlink" Target="https://sbrownlawyer.com/2018/04/17/statutory-rape-age-of-consent-in-texas-how-old-is-too-old/" TargetMode="External"/><Relationship Id="rId83" Type="http://schemas.openxmlformats.org/officeDocument/2006/relationships/hyperlink" Target="https://sbrownlawyer.com/texas/locations/angleton/?utm_campaign=gmbangleton" TargetMode="External"/><Relationship Id="rId1775" Type="http://schemas.openxmlformats.org/officeDocument/2006/relationships/hyperlink" Target="https://sbrownlawyer.com/texas/locations/sugar-land/" TargetMode="External"/><Relationship Id="rId86" Type="http://schemas.openxmlformats.org/officeDocument/2006/relationships/hyperlink" Target="https://sbrownlawyer.com/texas/locations/angleton/?utm_campaign=gmbangleton" TargetMode="External"/><Relationship Id="rId1776" Type="http://schemas.openxmlformats.org/officeDocument/2006/relationships/hyperlink" Target="https://sbrownlawyer.com/2020/10/29/how-to-tell-if-youre-too-drunk-to-drive-and-how-to-prevent-yourself-from-becoming-a-drunk-driver/" TargetMode="External"/><Relationship Id="rId85" Type="http://schemas.openxmlformats.org/officeDocument/2006/relationships/hyperlink" Target="https://sbrownlawyer.com/2024/12/27/understanding-the-naturalization-timeline-for-texas-residents/" TargetMode="External"/><Relationship Id="rId1777" Type="http://schemas.openxmlformats.org/officeDocument/2006/relationships/hyperlink" Target="https://sbrownlawyer.com/slip-and-fall-accidents/" TargetMode="External"/><Relationship Id="rId88" Type="http://schemas.openxmlformats.org/officeDocument/2006/relationships/hyperlink" Target="https://sbrownlawyer.com/texas/locations/angleton/?utm_campaign=gmbangleton" TargetMode="External"/><Relationship Id="rId1778" Type="http://schemas.openxmlformats.org/officeDocument/2006/relationships/hyperlink" Target="https://sbrownlawyer.com/" TargetMode="External"/><Relationship Id="rId87" Type="http://schemas.openxmlformats.org/officeDocument/2006/relationships/hyperlink" Target="https://sbrownlawyer.com/2024/12/27/understanding-the-naturalization-timeline-for-texas-residents/" TargetMode="External"/><Relationship Id="rId1779" Type="http://schemas.openxmlformats.org/officeDocument/2006/relationships/hyperlink" Target="https://sbrownlawyer.com/2019/10/08/can-you-sue-a-partner-that-infected-you-with-an-std/" TargetMode="External"/><Relationship Id="rId89" Type="http://schemas.openxmlformats.org/officeDocument/2006/relationships/hyperlink" Target="https://sbrownlawyer.com/texas/locations/league-city/?utm_campaign=gmbleaguecity" TargetMode="External"/><Relationship Id="rId80" Type="http://schemas.openxmlformats.org/officeDocument/2006/relationships/hyperlink" Target="https://sbrownlawyer.com/texas/locations/angleton/?utm_campaign=gmbangleton" TargetMode="External"/><Relationship Id="rId82" Type="http://schemas.openxmlformats.org/officeDocument/2006/relationships/hyperlink" Target="https://sbrownlawyer.com/reckless-driving/" TargetMode="External"/><Relationship Id="rId81" Type="http://schemas.openxmlformats.org/officeDocument/2006/relationships/hyperlink" Target="https://sbrownlawyer.com/postnuptial-agreements/" TargetMode="External"/><Relationship Id="rId1770" Type="http://schemas.openxmlformats.org/officeDocument/2006/relationships/hyperlink" Target="https://sbrownlawyer.com/2024/08/01/felony-misdemeanor-difference-league-city/" TargetMode="External"/><Relationship Id="rId1771" Type="http://schemas.openxmlformats.org/officeDocument/2006/relationships/hyperlink" Target="https://sbrownlawyer.com/adoption/" TargetMode="External"/><Relationship Id="rId1772" Type="http://schemas.openxmlformats.org/officeDocument/2006/relationships/hyperlink" Target="https://sbrownlawyer.com/2024/12/27/understanding-the-naturalization-timeline-for-texas-residents/" TargetMode="External"/><Relationship Id="rId1773" Type="http://schemas.openxmlformats.org/officeDocument/2006/relationships/hyperlink" Target="https://sbrownlawyer.com/" TargetMode="External"/><Relationship Id="rId73" Type="http://schemas.openxmlformats.org/officeDocument/2006/relationships/hyperlink" Target="https://sbrownlawyer.com/texas/locations/angleton/?utm_campaign=gmbangleton" TargetMode="External"/><Relationship Id="rId1763" Type="http://schemas.openxmlformats.org/officeDocument/2006/relationships/hyperlink" Target="https://sbrownlawyer.com/divorce/" TargetMode="External"/><Relationship Id="rId72" Type="http://schemas.openxmlformats.org/officeDocument/2006/relationships/hyperlink" Target="https://sbrownlawyer.com/" TargetMode="External"/><Relationship Id="rId1764" Type="http://schemas.openxmlformats.org/officeDocument/2006/relationships/hyperlink" Target="https://sbrownlawyer.com/criminal-law/indecent-exposure/" TargetMode="External"/><Relationship Id="rId75" Type="http://schemas.openxmlformats.org/officeDocument/2006/relationships/hyperlink" Target="https://sbrownlawyer.com/texas/locations/angleton/?utm_campaign=gmbangleton" TargetMode="External"/><Relationship Id="rId1765" Type="http://schemas.openxmlformats.org/officeDocument/2006/relationships/hyperlink" Target="https://sbrownlawyer.com/attorneys/" TargetMode="External"/><Relationship Id="rId74" Type="http://schemas.openxmlformats.org/officeDocument/2006/relationships/hyperlink" Target="https://sbrownlawyer.com/reckless-driving/" TargetMode="External"/><Relationship Id="rId1766" Type="http://schemas.openxmlformats.org/officeDocument/2006/relationships/hyperlink" Target="https://sbrownlawyer.com/reckless-driving/" TargetMode="External"/><Relationship Id="rId77" Type="http://schemas.openxmlformats.org/officeDocument/2006/relationships/hyperlink" Target="https://sbrownlawyer.com/" TargetMode="External"/><Relationship Id="rId1767" Type="http://schemas.openxmlformats.org/officeDocument/2006/relationships/hyperlink" Target="https://sbrownlawyer.com/attorneys/" TargetMode="External"/><Relationship Id="rId76" Type="http://schemas.openxmlformats.org/officeDocument/2006/relationships/hyperlink" Target="https://sbrownlawyer.com/texas/locations/pearland/?utm_campaign=gmbpearland" TargetMode="External"/><Relationship Id="rId1768" Type="http://schemas.openxmlformats.org/officeDocument/2006/relationships/hyperlink" Target="https://sbrownlawyer.com/2021/03/15/who-qualifies-for-a-temporary-protective-order-in-texas-and-other-frequently-asked-questions/" TargetMode="External"/><Relationship Id="rId79" Type="http://schemas.openxmlformats.org/officeDocument/2006/relationships/hyperlink" Target="https://sbrownlawyer.com/texas/locations/angleton/?utm_campaign=gmbangleton" TargetMode="External"/><Relationship Id="rId1769" Type="http://schemas.openxmlformats.org/officeDocument/2006/relationships/hyperlink" Target="https://sbrownlawyer.com/league-city-tx-personal-injury-lawyer/" TargetMode="External"/><Relationship Id="rId78" Type="http://schemas.openxmlformats.org/officeDocument/2006/relationships/hyperlink" Target="https://sbrownlawyer.com/texas/locations/angleton/?utm_campaign=gmbangleton" TargetMode="External"/><Relationship Id="rId71" Type="http://schemas.openxmlformats.org/officeDocument/2006/relationships/hyperlink" Target="https://sbrownlawyer.com/texas/locations/angleton/?utm_campaign=gmbangleton" TargetMode="External"/><Relationship Id="rId70" Type="http://schemas.openxmlformats.org/officeDocument/2006/relationships/hyperlink" Target="https://sbrownlawyer.com/texas/locations/pearland/?utm_campaign=gmbpearland" TargetMode="External"/><Relationship Id="rId1760" Type="http://schemas.openxmlformats.org/officeDocument/2006/relationships/hyperlink" Target="https://sbrownlawyer.com/2024/12/27/understanding-the-naturalization-timeline-for-texas-residents/" TargetMode="External"/><Relationship Id="rId1761" Type="http://schemas.openxmlformats.org/officeDocument/2006/relationships/hyperlink" Target="https://sbrownlawyer.com/2018/05/01/can-you-be-arrested-for-overdosing-on-drugs-in-texas/" TargetMode="External"/><Relationship Id="rId1762" Type="http://schemas.openxmlformats.org/officeDocument/2006/relationships/hyperlink" Target="https://sbrownlawyer.com/personal-injury/" TargetMode="External"/><Relationship Id="rId62" Type="http://schemas.openxmlformats.org/officeDocument/2006/relationships/hyperlink" Target="https://sbrownlawyer.com/2020/06/16/accepting-divorce-our-advice-for-overcoming-grief-and-frustration/" TargetMode="External"/><Relationship Id="rId1796" Type="http://schemas.openxmlformats.org/officeDocument/2006/relationships/hyperlink" Target="https://sbrownlawyer.com/cohabitation/" TargetMode="External"/><Relationship Id="rId61" Type="http://schemas.openxmlformats.org/officeDocument/2006/relationships/hyperlink" Target="https://sbrownlawyer.com/grand-theft/" TargetMode="External"/><Relationship Id="rId1797" Type="http://schemas.openxmlformats.org/officeDocument/2006/relationships/hyperlink" Target="https://sbrownlawyer.com/2024/07/04/expungement-vs-sealing-what-is-the-best-option/" TargetMode="External"/><Relationship Id="rId64" Type="http://schemas.openxmlformats.org/officeDocument/2006/relationships/hyperlink" Target="https://sbrownlawyer.com/grand-theft/" TargetMode="External"/><Relationship Id="rId1798" Type="http://schemas.openxmlformats.org/officeDocument/2006/relationships/hyperlink" Target="https://sbrownlawyer.com/cohabitation/" TargetMode="External"/><Relationship Id="rId63" Type="http://schemas.openxmlformats.org/officeDocument/2006/relationships/hyperlink" Target="https://sbrownlawyer.com/2020/06/16/accepting-divorce-our-advice-for-overcoming-grief-and-frustration/" TargetMode="External"/><Relationship Id="rId1799" Type="http://schemas.openxmlformats.org/officeDocument/2006/relationships/hyperlink" Target="https://sbrownlawyer.com/2017/09/15/how-can-an-interlock-ignition-device-help-if-a-dui-causes-a-license-suspension-in-texas/" TargetMode="External"/><Relationship Id="rId66" Type="http://schemas.openxmlformats.org/officeDocument/2006/relationships/hyperlink" Target="https://sbrownlawyer.com/texas/locations/angleton/?utm_campaign=gmbangleton" TargetMode="External"/><Relationship Id="rId65" Type="http://schemas.openxmlformats.org/officeDocument/2006/relationships/hyperlink" Target="https://sbrownlawyer.com/criminal-law/indecent-exposure/" TargetMode="External"/><Relationship Id="rId68" Type="http://schemas.openxmlformats.org/officeDocument/2006/relationships/hyperlink" Target="https://sbrownlawyer.com/ryan-r-putz/" TargetMode="External"/><Relationship Id="rId67" Type="http://schemas.openxmlformats.org/officeDocument/2006/relationships/hyperlink" Target="https://sbrownlawyer.com/2024/03/20/texas-child-support-2024/" TargetMode="External"/><Relationship Id="rId60" Type="http://schemas.openxmlformats.org/officeDocument/2006/relationships/hyperlink" Target="https://sbrownlawyer.com/2024/03/20/texas-child-support-2024/" TargetMode="External"/><Relationship Id="rId69" Type="http://schemas.openxmlformats.org/officeDocument/2006/relationships/hyperlink" Target="https://sbrownlawyer.com/texas/locations/angleton/?utm_campaign=gmbangleton" TargetMode="External"/><Relationship Id="rId1790" Type="http://schemas.openxmlformats.org/officeDocument/2006/relationships/hyperlink" Target="https://sbrownlawyer.com/texas/locations/pearland/" TargetMode="External"/><Relationship Id="rId1791" Type="http://schemas.openxmlformats.org/officeDocument/2006/relationships/hyperlink" Target="https://sbrownlawyer.com/attorneys/" TargetMode="External"/><Relationship Id="rId1792" Type="http://schemas.openxmlformats.org/officeDocument/2006/relationships/hyperlink" Target="https://sbrownlawyer.com/attorneys/" TargetMode="External"/><Relationship Id="rId1793" Type="http://schemas.openxmlformats.org/officeDocument/2006/relationships/hyperlink" Target="https://sbrownlawyer.com/friendswood/" TargetMode="External"/><Relationship Id="rId1794" Type="http://schemas.openxmlformats.org/officeDocument/2006/relationships/hyperlink" Target="https://sbrownlawyer.com/2020/05/21/what-happens-if-you-violate-a-restraining-order/" TargetMode="External"/><Relationship Id="rId1795" Type="http://schemas.openxmlformats.org/officeDocument/2006/relationships/hyperlink" Target="https://sbrownlawyer.com/" TargetMode="External"/><Relationship Id="rId51" Type="http://schemas.openxmlformats.org/officeDocument/2006/relationships/hyperlink" Target="https://sbrownlawyer.com/reckless-driving/" TargetMode="External"/><Relationship Id="rId1785" Type="http://schemas.openxmlformats.org/officeDocument/2006/relationships/hyperlink" Target="https://sbrownlawyer.com/harris-county-criminal-defense/" TargetMode="External"/><Relationship Id="rId50" Type="http://schemas.openxmlformats.org/officeDocument/2006/relationships/hyperlink" Target="https://sbrownlawyer.com/2014/06/20/lopez-anthony-divorce-has-interesting-child-custody-agreement/" TargetMode="External"/><Relationship Id="rId1786" Type="http://schemas.openxmlformats.org/officeDocument/2006/relationships/hyperlink" Target="https://sbrownlawyer.com/2020/10/29/how-to-tell-if-youre-too-drunk-to-drive-and-how-to-prevent-yourself-from-becoming-a-drunk-driver/" TargetMode="External"/><Relationship Id="rId53" Type="http://schemas.openxmlformats.org/officeDocument/2006/relationships/hyperlink" Target="https://sbrownlawyer.com/2024/03/20/texas-child-support-2024/" TargetMode="External"/><Relationship Id="rId1787" Type="http://schemas.openxmlformats.org/officeDocument/2006/relationships/hyperlink" Target="https://sbrownlawyer.com/fathers-rights/" TargetMode="External"/><Relationship Id="rId52" Type="http://schemas.openxmlformats.org/officeDocument/2006/relationships/hyperlink" Target="https://sbrownlawyer.com/2009/04/15/three-types-of-alienators-in-parental-alienation/" TargetMode="External"/><Relationship Id="rId1788" Type="http://schemas.openxmlformats.org/officeDocument/2006/relationships/hyperlink" Target="https://sbrownlawyer.com/attorneys/" TargetMode="External"/><Relationship Id="rId55" Type="http://schemas.openxmlformats.org/officeDocument/2006/relationships/hyperlink" Target="https://sbrownlawyer.com/reckless-driving/" TargetMode="External"/><Relationship Id="rId1789" Type="http://schemas.openxmlformats.org/officeDocument/2006/relationships/hyperlink" Target="https://sbrownlawyer.com/public-indecency/" TargetMode="External"/><Relationship Id="rId54" Type="http://schemas.openxmlformats.org/officeDocument/2006/relationships/hyperlink" Target="https://sbrownlawyer.com/reckless-driving/" TargetMode="External"/><Relationship Id="rId57" Type="http://schemas.openxmlformats.org/officeDocument/2006/relationships/hyperlink" Target="https://sbrownlawyer.com/2024/03/20/texas-child-support-2024/" TargetMode="External"/><Relationship Id="rId56" Type="http://schemas.openxmlformats.org/officeDocument/2006/relationships/hyperlink" Target="https://sbrownlawyer.com/2014/06/20/lopez-anthony-divorce-has-interesting-child-custody-agreement/" TargetMode="External"/><Relationship Id="rId59" Type="http://schemas.openxmlformats.org/officeDocument/2006/relationships/hyperlink" Target="https://sbrownlawyer.com/criminal-law/indecent-exposure/" TargetMode="External"/><Relationship Id="rId58" Type="http://schemas.openxmlformats.org/officeDocument/2006/relationships/hyperlink" Target="https://sbrownlawyer.com/2014/06/20/lopez-anthony-divorce-has-interesting-child-custody-agreement/" TargetMode="External"/><Relationship Id="rId1780" Type="http://schemas.openxmlformats.org/officeDocument/2006/relationships/hyperlink" Target="https://sbrownlawyer.com/paralysis/" TargetMode="External"/><Relationship Id="rId1781" Type="http://schemas.openxmlformats.org/officeDocument/2006/relationships/hyperlink" Target="https://sbrownlawyer.com/attorneys/" TargetMode="External"/><Relationship Id="rId1782" Type="http://schemas.openxmlformats.org/officeDocument/2006/relationships/hyperlink" Target="https://sbrownlawyer.com/criminal-defense-lawyer-galveston-county/" TargetMode="External"/><Relationship Id="rId1783" Type="http://schemas.openxmlformats.org/officeDocument/2006/relationships/hyperlink" Target="https://sbrownlawyer.com/attorneys/" TargetMode="External"/><Relationship Id="rId1784" Type="http://schemas.openxmlformats.org/officeDocument/2006/relationships/hyperlink" Target="https://sbrownlawyer.com/2018/04/23/how-do-bond-reductions-work/" TargetMode="External"/><Relationship Id="rId2269" Type="http://schemas.openxmlformats.org/officeDocument/2006/relationships/hyperlink" Target="https://sbrownlawyer.com/2022/02/18/can-i-file-legal-separation-on-texas/" TargetMode="External"/><Relationship Id="rId349" Type="http://schemas.openxmlformats.org/officeDocument/2006/relationships/hyperlink" Target="https://sbrownlawyer.com/2024/03/20/texas-child-support-2024/" TargetMode="External"/><Relationship Id="rId348" Type="http://schemas.openxmlformats.org/officeDocument/2006/relationships/hyperlink" Target="https://sbrownlawyer.com/texas/locations/league-city/" TargetMode="External"/><Relationship Id="rId347" Type="http://schemas.openxmlformats.org/officeDocument/2006/relationships/hyperlink" Target="https://sbrownlawyer.com/2024/12/27/understanding-the-naturalization-timeline-for-texas-residents/" TargetMode="External"/><Relationship Id="rId346" Type="http://schemas.openxmlformats.org/officeDocument/2006/relationships/hyperlink" Target="https://sbrownlawyer.com/2024/12/27/understanding-the-naturalization-timeline-for-texas-residents/" TargetMode="External"/><Relationship Id="rId2260" Type="http://schemas.openxmlformats.org/officeDocument/2006/relationships/hyperlink" Target="https://sbrownlawyer.com/attorneys/" TargetMode="External"/><Relationship Id="rId341" Type="http://schemas.openxmlformats.org/officeDocument/2006/relationships/hyperlink" Target="https://sbrownlawyer.com/blaire-evans/" TargetMode="External"/><Relationship Id="rId2261" Type="http://schemas.openxmlformats.org/officeDocument/2006/relationships/hyperlink" Target="https://sbrownlawyer.com/attorneys/" TargetMode="External"/><Relationship Id="rId340" Type="http://schemas.openxmlformats.org/officeDocument/2006/relationships/hyperlink" Target="https://sbrownlawyer.com/2024/04/24/texas-alimony-am-i-entitled/" TargetMode="External"/><Relationship Id="rId2262" Type="http://schemas.openxmlformats.org/officeDocument/2006/relationships/hyperlink" Target="https://sbrownlawyer.com/2018/04/17/statutory-rape-age-of-consent-in-texas-how-old-is-too-old/" TargetMode="External"/><Relationship Id="rId2263" Type="http://schemas.openxmlformats.org/officeDocument/2006/relationships/hyperlink" Target="https://sbrownlawyer.com/" TargetMode="External"/><Relationship Id="rId2264" Type="http://schemas.openxmlformats.org/officeDocument/2006/relationships/hyperlink" Target="https://sbrownlawyer.com/2020/08/24/the-complete-guide-to-dwi-vs-dui-laws-in-texas/" TargetMode="External"/><Relationship Id="rId345" Type="http://schemas.openxmlformats.org/officeDocument/2006/relationships/hyperlink" Target="https://sbrownlawyer.com/obscenity/" TargetMode="External"/><Relationship Id="rId2265" Type="http://schemas.openxmlformats.org/officeDocument/2006/relationships/hyperlink" Target="https://sbrownlawyer.com/public-indecency/" TargetMode="External"/><Relationship Id="rId344" Type="http://schemas.openxmlformats.org/officeDocument/2006/relationships/hyperlink" Target="https://sbrownlawyer.com/texas/locations/angleton/" TargetMode="External"/><Relationship Id="rId2266" Type="http://schemas.openxmlformats.org/officeDocument/2006/relationships/hyperlink" Target="https://sbrownlawyer.com/2024/04/24/texas-alimony-am-i-entitled/" TargetMode="External"/><Relationship Id="rId343" Type="http://schemas.openxmlformats.org/officeDocument/2006/relationships/hyperlink" Target="https://sbrownlawyer.com/2024/04/24/texas-alimony-am-i-entitled/" TargetMode="External"/><Relationship Id="rId2267" Type="http://schemas.openxmlformats.org/officeDocument/2006/relationships/hyperlink" Target="https://sbrownlawyer.com/attorneys/" TargetMode="External"/><Relationship Id="rId342" Type="http://schemas.openxmlformats.org/officeDocument/2006/relationships/hyperlink" Target="https://sbrownlawyer.com/" TargetMode="External"/><Relationship Id="rId2268" Type="http://schemas.openxmlformats.org/officeDocument/2006/relationships/hyperlink" Target="https://sbrownlawyer.com/hit-and-run/" TargetMode="External"/><Relationship Id="rId2258" Type="http://schemas.openxmlformats.org/officeDocument/2006/relationships/hyperlink" Target="https://sbrownlawyer.com/texas/locations/pearland/" TargetMode="External"/><Relationship Id="rId2259" Type="http://schemas.openxmlformats.org/officeDocument/2006/relationships/hyperlink" Target="https://sbrownlawyer.com/2018/04/17/statutory-rape-age-of-consent-in-texas-how-old-is-too-old/" TargetMode="External"/><Relationship Id="rId338" Type="http://schemas.openxmlformats.org/officeDocument/2006/relationships/hyperlink" Target="https://sbrownlawyer.com/texas/locations/league-city/" TargetMode="External"/><Relationship Id="rId337" Type="http://schemas.openxmlformats.org/officeDocument/2006/relationships/hyperlink" Target="https://sbrownlawyer.com/texas/locations/league-city/" TargetMode="External"/><Relationship Id="rId336" Type="http://schemas.openxmlformats.org/officeDocument/2006/relationships/hyperlink" Target="https://sbrownlawyer.com/2024/12/27/understanding-the-naturalization-timeline-for-texas-residents/" TargetMode="External"/><Relationship Id="rId335" Type="http://schemas.openxmlformats.org/officeDocument/2006/relationships/hyperlink" Target="https://sbrownlawyer.com/texas/locations/angleton/" TargetMode="External"/><Relationship Id="rId339" Type="http://schemas.openxmlformats.org/officeDocument/2006/relationships/hyperlink" Target="https://sbrownlawyer.com/2024/12/27/understanding-the-naturalization-timeline-for-texas-residents/" TargetMode="External"/><Relationship Id="rId330" Type="http://schemas.openxmlformats.org/officeDocument/2006/relationships/hyperlink" Target="https://sbrownlawyer.com/texas/locations/angleton/" TargetMode="External"/><Relationship Id="rId2250" Type="http://schemas.openxmlformats.org/officeDocument/2006/relationships/hyperlink" Target="https://sbrownlawyer.com/" TargetMode="External"/><Relationship Id="rId2251" Type="http://schemas.openxmlformats.org/officeDocument/2006/relationships/hyperlink" Target="https://sbrownlawyer.com/2021/11/26/child-support-guidelines-in-texas-an-overview/" TargetMode="External"/><Relationship Id="rId2252" Type="http://schemas.openxmlformats.org/officeDocument/2006/relationships/hyperlink" Target="https://sbrownlawyer.com/2024/12/27/understanding-the-naturalization-timeline-for-texas-residents/" TargetMode="External"/><Relationship Id="rId2253" Type="http://schemas.openxmlformats.org/officeDocument/2006/relationships/hyperlink" Target="https://sbrownlawyer.com/2018/04/17/statutory-rape-age-of-consent-in-texas-how-old-is-too-old/" TargetMode="External"/><Relationship Id="rId334" Type="http://schemas.openxmlformats.org/officeDocument/2006/relationships/hyperlink" Target="https://sbrownlawyer.com/" TargetMode="External"/><Relationship Id="rId2254" Type="http://schemas.openxmlformats.org/officeDocument/2006/relationships/hyperlink" Target="https://sbrownlawyer.com/2019/05/16/motorcycle-laws-regarding-children-in-texas/" TargetMode="External"/><Relationship Id="rId333" Type="http://schemas.openxmlformats.org/officeDocument/2006/relationships/hyperlink" Target="https://sbrownlawyer.com/2024/12/27/understanding-the-naturalization-timeline-for-texas-residents/" TargetMode="External"/><Relationship Id="rId2255" Type="http://schemas.openxmlformats.org/officeDocument/2006/relationships/hyperlink" Target="https://sbrownlawyer.com/slip-and-fall-accidents/" TargetMode="External"/><Relationship Id="rId332" Type="http://schemas.openxmlformats.org/officeDocument/2006/relationships/hyperlink" Target="https://sbrownlawyer.com/texas/locations/angleton/" TargetMode="External"/><Relationship Id="rId2256" Type="http://schemas.openxmlformats.org/officeDocument/2006/relationships/hyperlink" Target="https://sbrownlawyer.com/" TargetMode="External"/><Relationship Id="rId331" Type="http://schemas.openxmlformats.org/officeDocument/2006/relationships/hyperlink" Target="https://sbrownlawyer.com/areas-we-serve/galveston-county/" TargetMode="External"/><Relationship Id="rId2257" Type="http://schemas.openxmlformats.org/officeDocument/2006/relationships/hyperlink" Target="https://sbrownlawyer.com/child-protective-services-cps/" TargetMode="External"/><Relationship Id="rId370" Type="http://schemas.openxmlformats.org/officeDocument/2006/relationships/hyperlink" Target="https://sbrownlawyer.com/texas/locations/angleton/" TargetMode="External"/><Relationship Id="rId369" Type="http://schemas.openxmlformats.org/officeDocument/2006/relationships/hyperlink" Target="https://sbrownlawyer.com/2017/04/21/the-role-of-the-life-care-planner-in-a-serious-injury-case/" TargetMode="External"/><Relationship Id="rId368" Type="http://schemas.openxmlformats.org/officeDocument/2006/relationships/hyperlink" Target="https://sbrownlawyer.com/galveston-boating-and-ski-accident-lawyer/" TargetMode="External"/><Relationship Id="rId2280" Type="http://schemas.openxmlformats.org/officeDocument/2006/relationships/hyperlink" Target="https://sbrownlawyer.com/" TargetMode="External"/><Relationship Id="rId2281" Type="http://schemas.openxmlformats.org/officeDocument/2006/relationships/hyperlink" Target="https://sbrownlawyer.com/criminal-law/first-offenders/" TargetMode="External"/><Relationship Id="rId2282" Type="http://schemas.openxmlformats.org/officeDocument/2006/relationships/hyperlink" Target="https://sbrownlawyer.com/firm-overview/" TargetMode="External"/><Relationship Id="rId363" Type="http://schemas.openxmlformats.org/officeDocument/2006/relationships/hyperlink" Target="https://sbrownlawyer.com/texas/locations/angleton/" TargetMode="External"/><Relationship Id="rId2283" Type="http://schemas.openxmlformats.org/officeDocument/2006/relationships/hyperlink" Target="https://sbrownlawyer.com/2021/04/07/reasons-grandparents-can-file-for-custody-of-grandchild-in-texas/" TargetMode="External"/><Relationship Id="rId362" Type="http://schemas.openxmlformats.org/officeDocument/2006/relationships/hyperlink" Target="https://sbrownlawyer.com/texas/locations/pearland/" TargetMode="External"/><Relationship Id="rId2284" Type="http://schemas.openxmlformats.org/officeDocument/2006/relationships/hyperlink" Target="https://sbrownlawyer.com/" TargetMode="External"/><Relationship Id="rId361" Type="http://schemas.openxmlformats.org/officeDocument/2006/relationships/hyperlink" Target="https://sbrownlawyer.com/family-based-immigration/" TargetMode="External"/><Relationship Id="rId2285" Type="http://schemas.openxmlformats.org/officeDocument/2006/relationships/hyperlink" Target="https://sbrownlawyer.com/attorneys/" TargetMode="External"/><Relationship Id="rId360" Type="http://schemas.openxmlformats.org/officeDocument/2006/relationships/hyperlink" Target="https://sbrownlawyer.com/2024/04/24/texas-alimony-am-i-entitled/" TargetMode="External"/><Relationship Id="rId2286" Type="http://schemas.openxmlformats.org/officeDocument/2006/relationships/hyperlink" Target="https://sbrownlawyer.com/steps-in-settling-your-claim-in-texas/" TargetMode="External"/><Relationship Id="rId367" Type="http://schemas.openxmlformats.org/officeDocument/2006/relationships/hyperlink" Target="https://sbrownlawyer.com/" TargetMode="External"/><Relationship Id="rId2287" Type="http://schemas.openxmlformats.org/officeDocument/2006/relationships/hyperlink" Target="https://sbrownlawyer.com/2019/03/08/do-stepparents-ever-have-rights-in-a-divorce/" TargetMode="External"/><Relationship Id="rId366" Type="http://schemas.openxmlformats.org/officeDocument/2006/relationships/hyperlink" Target="https://sbrownlawyer.com/2024/04/24/texas-alimony-am-i-entitled/" TargetMode="External"/><Relationship Id="rId2288" Type="http://schemas.openxmlformats.org/officeDocument/2006/relationships/hyperlink" Target="https://sbrownlawyer.com/underage-drinking-lawyer-in-galveston/" TargetMode="External"/><Relationship Id="rId365" Type="http://schemas.openxmlformats.org/officeDocument/2006/relationships/hyperlink" Target="https://sbrownlawyer.com/texas/locations/angleton/" TargetMode="External"/><Relationship Id="rId2289" Type="http://schemas.openxmlformats.org/officeDocument/2006/relationships/hyperlink" Target="https://sbrownlawyer.com/2022/02/18/can-i-file-legal-separation-on-texas/" TargetMode="External"/><Relationship Id="rId364" Type="http://schemas.openxmlformats.org/officeDocument/2006/relationships/hyperlink" Target="https://sbrownlawyer.com/texas/locations/angleton/" TargetMode="External"/><Relationship Id="rId95" Type="http://schemas.openxmlformats.org/officeDocument/2006/relationships/hyperlink" Target="https://sbrownlawyer.com/texas/locations/league-city/?utm_campaign=gmbleaguecity" TargetMode="External"/><Relationship Id="rId94" Type="http://schemas.openxmlformats.org/officeDocument/2006/relationships/hyperlink" Target="https://sbrownlawyer.com/" TargetMode="External"/><Relationship Id="rId97" Type="http://schemas.openxmlformats.org/officeDocument/2006/relationships/hyperlink" Target="https://sbrownlawyer.com/texas/locations/angleton/?utm_campaign=gmbangleton" TargetMode="External"/><Relationship Id="rId96" Type="http://schemas.openxmlformats.org/officeDocument/2006/relationships/hyperlink" Target="https://sbrownlawyer.com/texas/locations/pearland/?utm_campaign=gmbpearland" TargetMode="External"/><Relationship Id="rId99" Type="http://schemas.openxmlformats.org/officeDocument/2006/relationships/hyperlink" Target="https://sbrownlawyer.com/texas/locations/angleton/?utm_campaign=gmbangleton" TargetMode="External"/><Relationship Id="rId98" Type="http://schemas.openxmlformats.org/officeDocument/2006/relationships/hyperlink" Target="https://sbrownlawyer.com/2024/12/27/understanding-the-naturalization-timeline-for-texas-residents/" TargetMode="External"/><Relationship Id="rId91" Type="http://schemas.openxmlformats.org/officeDocument/2006/relationships/hyperlink" Target="https://sbrownlawyer.com/texas/locations/pearland/?utm_campaign=gmbpearland" TargetMode="External"/><Relationship Id="rId90" Type="http://schemas.openxmlformats.org/officeDocument/2006/relationships/hyperlink" Target="https://sbrownlawyer.com/texas/locations/angleton/?utm_campaign=gmbangleton" TargetMode="External"/><Relationship Id="rId93" Type="http://schemas.openxmlformats.org/officeDocument/2006/relationships/hyperlink" Target="https://sbrownlawyer.com/postnuptial-agreements/" TargetMode="External"/><Relationship Id="rId92" Type="http://schemas.openxmlformats.org/officeDocument/2006/relationships/hyperlink" Target="https://sbrownlawyer.com/" TargetMode="External"/><Relationship Id="rId359" Type="http://schemas.openxmlformats.org/officeDocument/2006/relationships/hyperlink" Target="https://sbrownlawyer.com/2024/12/27/understanding-the-naturalization-timeline-for-texas-residents/" TargetMode="External"/><Relationship Id="rId358" Type="http://schemas.openxmlformats.org/officeDocument/2006/relationships/hyperlink" Target="https://sbrownlawyer.com/2024/04/24/texas-alimony-am-i-entitled/" TargetMode="External"/><Relationship Id="rId357" Type="http://schemas.openxmlformats.org/officeDocument/2006/relationships/hyperlink" Target="https://sbrownlawyer.com/sex-crimes/texas-sex-crime-law/" TargetMode="External"/><Relationship Id="rId2270" Type="http://schemas.openxmlformats.org/officeDocument/2006/relationships/hyperlink" Target="https://sbrownlawyer.com/criminal-law/indecent-exposure/" TargetMode="External"/><Relationship Id="rId2271" Type="http://schemas.openxmlformats.org/officeDocument/2006/relationships/hyperlink" Target="https://sbrownlawyer.com/assault/" TargetMode="External"/><Relationship Id="rId352" Type="http://schemas.openxmlformats.org/officeDocument/2006/relationships/hyperlink" Target="https://sbrownlawyer.com/hiring-sexual-assault-defense-lawyer/" TargetMode="External"/><Relationship Id="rId2272" Type="http://schemas.openxmlformats.org/officeDocument/2006/relationships/hyperlink" Target="https://sbrownlawyer.com/assault/" TargetMode="External"/><Relationship Id="rId351" Type="http://schemas.openxmlformats.org/officeDocument/2006/relationships/hyperlink" Target="https://sbrownlawyer.com/texas/locations/angleton/" TargetMode="External"/><Relationship Id="rId2273" Type="http://schemas.openxmlformats.org/officeDocument/2006/relationships/hyperlink" Target="https://sbrownlawyer.com/attorneys/" TargetMode="External"/><Relationship Id="rId350" Type="http://schemas.openxmlformats.org/officeDocument/2006/relationships/hyperlink" Target="https://sbrownlawyer.com/" TargetMode="External"/><Relationship Id="rId2274" Type="http://schemas.openxmlformats.org/officeDocument/2006/relationships/hyperlink" Target="https://sbrownlawyer.com/sex-crimes/overview-of-sex-crime-defense/" TargetMode="External"/><Relationship Id="rId2275" Type="http://schemas.openxmlformats.org/officeDocument/2006/relationships/hyperlink" Target="https://sbrownlawyer.com/2019/10/08/can-you-sue-a-partner-that-infected-you-with-an-std/" TargetMode="External"/><Relationship Id="rId356" Type="http://schemas.openxmlformats.org/officeDocument/2006/relationships/hyperlink" Target="https://sbrownlawyer.com/" TargetMode="External"/><Relationship Id="rId2276" Type="http://schemas.openxmlformats.org/officeDocument/2006/relationships/hyperlink" Target="https://sbrownlawyer.com/probate-lawyer-in-pearland-tx/" TargetMode="External"/><Relationship Id="rId355" Type="http://schemas.openxmlformats.org/officeDocument/2006/relationships/hyperlink" Target="https://sbrownlawyer.com/2024/12/27/understanding-the-naturalization-timeline-for-texas-residents/" TargetMode="External"/><Relationship Id="rId2277" Type="http://schemas.openxmlformats.org/officeDocument/2006/relationships/hyperlink" Target="https://sbrownlawyer.com/2019/05/16/motorcycle-laws-regarding-children-in-texas/" TargetMode="External"/><Relationship Id="rId354" Type="http://schemas.openxmlformats.org/officeDocument/2006/relationships/hyperlink" Target="https://sbrownlawyer.com/2021/03/30/what-can-be-done-when-the-other-parent-consistently-violates-the-child-custody-agreement/" TargetMode="External"/><Relationship Id="rId2278" Type="http://schemas.openxmlformats.org/officeDocument/2006/relationships/hyperlink" Target="https://sbrownlawyer.com/2017/11/21/new-texas-law-bans-texting-while-driving/" TargetMode="External"/><Relationship Id="rId353" Type="http://schemas.openxmlformats.org/officeDocument/2006/relationships/hyperlink" Target="https://sbrownlawyer.com/espanol/abogados-de-lesiones-personales/" TargetMode="External"/><Relationship Id="rId2279" Type="http://schemas.openxmlformats.org/officeDocument/2006/relationships/hyperlink" Target="https://sbrownlawyer.com/" TargetMode="External"/><Relationship Id="rId2225" Type="http://schemas.openxmlformats.org/officeDocument/2006/relationships/hyperlink" Target="https://sbrownlawyer.com/2018/04/17/statutory-rape-age-of-consent-in-texas-how-old-is-too-old/" TargetMode="External"/><Relationship Id="rId2226" Type="http://schemas.openxmlformats.org/officeDocument/2006/relationships/hyperlink" Target="https://sbrownlawyer.com/2018/03/23/parental-alienation-a-criminal-offense-in-texas/" TargetMode="External"/><Relationship Id="rId2227" Type="http://schemas.openxmlformats.org/officeDocument/2006/relationships/hyperlink" Target="https://sbrownlawyer.com/2018/04/17/statutory-rape-age-of-consent-in-texas-how-old-is-too-old/" TargetMode="External"/><Relationship Id="rId2228" Type="http://schemas.openxmlformats.org/officeDocument/2006/relationships/hyperlink" Target="https://sbrownlawyer.com/" TargetMode="External"/><Relationship Id="rId2229" Type="http://schemas.openxmlformats.org/officeDocument/2006/relationships/hyperlink" Target="https://sbrownlawyer.com/2018/04/17/statutory-rape-age-of-consent-in-texas-how-old-is-too-old/" TargetMode="External"/><Relationship Id="rId305" Type="http://schemas.openxmlformats.org/officeDocument/2006/relationships/hyperlink" Target="https://sbrownlawyer.com/2024/04/24/texas-alimony-am-i-entitled/" TargetMode="External"/><Relationship Id="rId304" Type="http://schemas.openxmlformats.org/officeDocument/2006/relationships/hyperlink" Target="https://sbrownlawyer.com/texas/locations/league-city/" TargetMode="External"/><Relationship Id="rId303" Type="http://schemas.openxmlformats.org/officeDocument/2006/relationships/hyperlink" Target="https://sbrownlawyer.com/2021/04/07/reasons-grandparents-can-file-for-custody-of-grandchild-in-texas/" TargetMode="External"/><Relationship Id="rId302" Type="http://schemas.openxmlformats.org/officeDocument/2006/relationships/hyperlink" Target="https://sbrownlawyer.com/texas/locations/angleton/" TargetMode="External"/><Relationship Id="rId309" Type="http://schemas.openxmlformats.org/officeDocument/2006/relationships/hyperlink" Target="https://sbrownlawyer.com/texas/locations/league-city/" TargetMode="External"/><Relationship Id="rId308" Type="http://schemas.openxmlformats.org/officeDocument/2006/relationships/hyperlink" Target="https://sbrownlawyer.com/friendswood/" TargetMode="External"/><Relationship Id="rId307" Type="http://schemas.openxmlformats.org/officeDocument/2006/relationships/hyperlink" Target="https://sbrownlawyer.com/2024/04/24/texas-alimony-am-i-entitled/" TargetMode="External"/><Relationship Id="rId306" Type="http://schemas.openxmlformats.org/officeDocument/2006/relationships/hyperlink" Target="https://sbrownlawyer.com/2024/07/08/open-vs-closed-aoption-angleton-texas/" TargetMode="External"/><Relationship Id="rId2220" Type="http://schemas.openxmlformats.org/officeDocument/2006/relationships/hyperlink" Target="https://sbrownlawyer.com/" TargetMode="External"/><Relationship Id="rId301" Type="http://schemas.openxmlformats.org/officeDocument/2006/relationships/hyperlink" Target="https://sbrownlawyer.com/2024/04/24/texas-alimony-am-i-entitled/" TargetMode="External"/><Relationship Id="rId2221" Type="http://schemas.openxmlformats.org/officeDocument/2006/relationships/hyperlink" Target="https://sbrownlawyer.com/adoption/" TargetMode="External"/><Relationship Id="rId300" Type="http://schemas.openxmlformats.org/officeDocument/2006/relationships/hyperlink" Target="https://sbrownlawyer.com/texas/locations/league-city/" TargetMode="External"/><Relationship Id="rId2222" Type="http://schemas.openxmlformats.org/officeDocument/2006/relationships/hyperlink" Target="https://sbrownlawyer.com/attorneys/" TargetMode="External"/><Relationship Id="rId2223" Type="http://schemas.openxmlformats.org/officeDocument/2006/relationships/hyperlink" Target="https://sbrownlawyer.com/what-is-dwi/" TargetMode="External"/><Relationship Id="rId2224" Type="http://schemas.openxmlformats.org/officeDocument/2006/relationships/hyperlink" Target="https://sbrownlawyer.com/divorce-lawyer-in-galveston-county/" TargetMode="External"/><Relationship Id="rId2214" Type="http://schemas.openxmlformats.org/officeDocument/2006/relationships/hyperlink" Target="https://sbrownlawyer.com/" TargetMode="External"/><Relationship Id="rId2215" Type="http://schemas.openxmlformats.org/officeDocument/2006/relationships/hyperlink" Target="https://sbrownlawyer.com/attorneys/" TargetMode="External"/><Relationship Id="rId2216" Type="http://schemas.openxmlformats.org/officeDocument/2006/relationships/hyperlink" Target="https://sbrownlawyer.com/2020/06/25/partner-abuse-the-many-forms-of-domestic-violence/" TargetMode="External"/><Relationship Id="rId2217" Type="http://schemas.openxmlformats.org/officeDocument/2006/relationships/hyperlink" Target="https://sbrownlawyer.com/modification-of-custody/" TargetMode="External"/><Relationship Id="rId2218" Type="http://schemas.openxmlformats.org/officeDocument/2006/relationships/hyperlink" Target="https://sbrownlawyer.com/2018/04/17/statutory-rape-age-of-consent-in-texas-how-old-is-too-old/" TargetMode="External"/><Relationship Id="rId2219" Type="http://schemas.openxmlformats.org/officeDocument/2006/relationships/hyperlink" Target="https://sbrownlawyer.com/attorneys/" TargetMode="External"/><Relationship Id="rId2210" Type="http://schemas.openxmlformats.org/officeDocument/2006/relationships/hyperlink" Target="https://sbrownlawyer.com/texas/locations/" TargetMode="External"/><Relationship Id="rId2211" Type="http://schemas.openxmlformats.org/officeDocument/2006/relationships/hyperlink" Target="https://sbrownlawyer.com/oil-and-mineral-rights/" TargetMode="External"/><Relationship Id="rId2212" Type="http://schemas.openxmlformats.org/officeDocument/2006/relationships/hyperlink" Target="https://sbrownlawyer.com/harris-county-family-law/" TargetMode="External"/><Relationship Id="rId2213" Type="http://schemas.openxmlformats.org/officeDocument/2006/relationships/hyperlink" Target="https://sbrownlawyer.com/attorneys/" TargetMode="External"/><Relationship Id="rId2247" Type="http://schemas.openxmlformats.org/officeDocument/2006/relationships/hyperlink" Target="https://sbrownlawyer.com/attorneys/" TargetMode="External"/><Relationship Id="rId2248" Type="http://schemas.openxmlformats.org/officeDocument/2006/relationships/hyperlink" Target="https://sbrownlawyer.com/attorneys/" TargetMode="External"/><Relationship Id="rId2249" Type="http://schemas.openxmlformats.org/officeDocument/2006/relationships/hyperlink" Target="https://sbrownlawyer.com/" TargetMode="External"/><Relationship Id="rId327" Type="http://schemas.openxmlformats.org/officeDocument/2006/relationships/hyperlink" Target="https://sbrownlawyer.com/texas/locations/league-city/" TargetMode="External"/><Relationship Id="rId326" Type="http://schemas.openxmlformats.org/officeDocument/2006/relationships/hyperlink" Target="https://sbrownlawyer.com/2024/04/24/texas-alimony-am-i-entitled/" TargetMode="External"/><Relationship Id="rId325" Type="http://schemas.openxmlformats.org/officeDocument/2006/relationships/hyperlink" Target="https://sbrownlawyer.com/texas/locations/angleton/" TargetMode="External"/><Relationship Id="rId324" Type="http://schemas.openxmlformats.org/officeDocument/2006/relationships/hyperlink" Target="https://sbrownlawyer.com/texas/locations/league-city/" TargetMode="External"/><Relationship Id="rId329" Type="http://schemas.openxmlformats.org/officeDocument/2006/relationships/hyperlink" Target="https://sbrownlawyer.com/2024/12/27/understanding-the-naturalization-timeline-for-texas-residents/" TargetMode="External"/><Relationship Id="rId328" Type="http://schemas.openxmlformats.org/officeDocument/2006/relationships/hyperlink" Target="https://sbrownlawyer.com/2020/07/13/10-signs-divorced-parents-are-doing-right-by-their-kids/" TargetMode="External"/><Relationship Id="rId2240" Type="http://schemas.openxmlformats.org/officeDocument/2006/relationships/hyperlink" Target="https://sbrownlawyer.com/divorce/" TargetMode="External"/><Relationship Id="rId2241" Type="http://schemas.openxmlformats.org/officeDocument/2006/relationships/hyperlink" Target="https://sbrownlawyer.com/fathers-rights/" TargetMode="External"/><Relationship Id="rId2242" Type="http://schemas.openxmlformats.org/officeDocument/2006/relationships/hyperlink" Target="https://sbrownlawyer.com/2020/11/29/how-long-does-a-dwi-stay-on-your-record-in-texas/" TargetMode="External"/><Relationship Id="rId323" Type="http://schemas.openxmlformats.org/officeDocument/2006/relationships/hyperlink" Target="https://sbrownlawyer.com/texas/locations/league-city/" TargetMode="External"/><Relationship Id="rId2243" Type="http://schemas.openxmlformats.org/officeDocument/2006/relationships/hyperlink" Target="https://sbrownlawyer.com/detailing-some-of-texas-important-child-custody-laws/" TargetMode="External"/><Relationship Id="rId322" Type="http://schemas.openxmlformats.org/officeDocument/2006/relationships/hyperlink" Target="https://sbrownlawyer.com/2024/04/24/texas-alimony-am-i-entitled/" TargetMode="External"/><Relationship Id="rId2244" Type="http://schemas.openxmlformats.org/officeDocument/2006/relationships/hyperlink" Target="https://sbrownlawyer.com/attorneys/" TargetMode="External"/><Relationship Id="rId321" Type="http://schemas.openxmlformats.org/officeDocument/2006/relationships/hyperlink" Target="https://sbrownlawyer.com/2024/12/27/understanding-the-naturalization-timeline-for-texas-residents/" TargetMode="External"/><Relationship Id="rId2245" Type="http://schemas.openxmlformats.org/officeDocument/2006/relationships/hyperlink" Target="https://sbrownlawyer.com/assault/" TargetMode="External"/><Relationship Id="rId320" Type="http://schemas.openxmlformats.org/officeDocument/2006/relationships/hyperlink" Target="https://sbrownlawyer.com/" TargetMode="External"/><Relationship Id="rId2246" Type="http://schemas.openxmlformats.org/officeDocument/2006/relationships/hyperlink" Target="https://sbrownlawyer.com/sex-crimes/" TargetMode="External"/><Relationship Id="rId2236" Type="http://schemas.openxmlformats.org/officeDocument/2006/relationships/hyperlink" Target="https://sbrownlawyer.com/texas/locations/pearland/" TargetMode="External"/><Relationship Id="rId2237" Type="http://schemas.openxmlformats.org/officeDocument/2006/relationships/hyperlink" Target="https://sbrownlawyer.com/texas/locations/sugar-land/" TargetMode="External"/><Relationship Id="rId2238" Type="http://schemas.openxmlformats.org/officeDocument/2006/relationships/hyperlink" Target="https://sbrownlawyer.com/2024/08/01/felony-misdemeanor-difference-league-city/" TargetMode="External"/><Relationship Id="rId2239" Type="http://schemas.openxmlformats.org/officeDocument/2006/relationships/hyperlink" Target="https://sbrownlawyer.com/obscenity/" TargetMode="External"/><Relationship Id="rId316" Type="http://schemas.openxmlformats.org/officeDocument/2006/relationships/hyperlink" Target="https://sbrownlawyer.com/" TargetMode="External"/><Relationship Id="rId315" Type="http://schemas.openxmlformats.org/officeDocument/2006/relationships/hyperlink" Target="https://sbrownlawyer.com/texas/locations/angleton/" TargetMode="External"/><Relationship Id="rId314" Type="http://schemas.openxmlformats.org/officeDocument/2006/relationships/hyperlink" Target="https://sbrownlawyer.com/texas/locations/angleton/" TargetMode="External"/><Relationship Id="rId313" Type="http://schemas.openxmlformats.org/officeDocument/2006/relationships/hyperlink" Target="https://sbrownlawyer.com/grandparents-rights/" TargetMode="External"/><Relationship Id="rId319" Type="http://schemas.openxmlformats.org/officeDocument/2006/relationships/hyperlink" Target="https://sbrownlawyer.com/2024/04/24/texas-alimony-am-i-entitled/" TargetMode="External"/><Relationship Id="rId318" Type="http://schemas.openxmlformats.org/officeDocument/2006/relationships/hyperlink" Target="https://sbrownlawyer.com/" TargetMode="External"/><Relationship Id="rId317" Type="http://schemas.openxmlformats.org/officeDocument/2006/relationships/hyperlink" Target="https://sbrownlawyer.com/2024/04/24/texas-alimony-am-i-entitled/" TargetMode="External"/><Relationship Id="rId2230" Type="http://schemas.openxmlformats.org/officeDocument/2006/relationships/hyperlink" Target="https://sbrownlawyer.com/league-city-tx-office-of-scott-m-brown-associates/" TargetMode="External"/><Relationship Id="rId2231" Type="http://schemas.openxmlformats.org/officeDocument/2006/relationships/hyperlink" Target="https://sbrownlawyer.com/domestic-violence-attorney/" TargetMode="External"/><Relationship Id="rId312" Type="http://schemas.openxmlformats.org/officeDocument/2006/relationships/hyperlink" Target="https://sbrownlawyer.com/2024/04/24/texas-alimony-am-i-entitled/" TargetMode="External"/><Relationship Id="rId2232" Type="http://schemas.openxmlformats.org/officeDocument/2006/relationships/hyperlink" Target="https://sbrownlawyer.com/attorneys/" TargetMode="External"/><Relationship Id="rId311" Type="http://schemas.openxmlformats.org/officeDocument/2006/relationships/hyperlink" Target="https://sbrownlawyer.com/2024/04/24/texas-alimony-am-i-entitled/" TargetMode="External"/><Relationship Id="rId2233" Type="http://schemas.openxmlformats.org/officeDocument/2006/relationships/hyperlink" Target="https://sbrownlawyer.com/spinal-cord-injury/" TargetMode="External"/><Relationship Id="rId310" Type="http://schemas.openxmlformats.org/officeDocument/2006/relationships/hyperlink" Target="https://sbrownlawyer.com/2024/04/24/texas-alimony-am-i-entitled/" TargetMode="External"/><Relationship Id="rId2234" Type="http://schemas.openxmlformats.org/officeDocument/2006/relationships/hyperlink" Target="https://sbrownlawyer.com/2021/03/15/who-qualifies-for-a-temporary-protective-order-in-texas-and-other-frequently-asked-questions/" TargetMode="External"/><Relationship Id="rId2235" Type="http://schemas.openxmlformats.org/officeDocument/2006/relationships/hyperlink" Target="https://sbrownlawyer.com/assault/" TargetMode="External"/><Relationship Id="rId297" Type="http://schemas.openxmlformats.org/officeDocument/2006/relationships/hyperlink" Target="https://sbrownlawyer.com/texas/locations/angleton/" TargetMode="External"/><Relationship Id="rId296" Type="http://schemas.openxmlformats.org/officeDocument/2006/relationships/hyperlink" Target="https://sbrownlawyer.com/espanol/abogados-de-lesiones-personales/" TargetMode="External"/><Relationship Id="rId295" Type="http://schemas.openxmlformats.org/officeDocument/2006/relationships/hyperlink" Target="https://sbrownlawyer.com/sex-crimes/texas-sex-crime-law/" TargetMode="External"/><Relationship Id="rId294" Type="http://schemas.openxmlformats.org/officeDocument/2006/relationships/hyperlink" Target="https://sbrownlawyer.com/abogado-de-sucesiones-en-pearland-tx/" TargetMode="External"/><Relationship Id="rId299" Type="http://schemas.openxmlformats.org/officeDocument/2006/relationships/hyperlink" Target="https://sbrownlawyer.com/sex-crimes/texas-sex-crime-law/" TargetMode="External"/><Relationship Id="rId298" Type="http://schemas.openxmlformats.org/officeDocument/2006/relationships/hyperlink" Target="https://sbrownlawyer.com/2024/04/24/texas-alimony-am-i-entitled/" TargetMode="External"/><Relationship Id="rId271" Type="http://schemas.openxmlformats.org/officeDocument/2006/relationships/hyperlink" Target="https://sbrownlawyer.com/" TargetMode="External"/><Relationship Id="rId270" Type="http://schemas.openxmlformats.org/officeDocument/2006/relationships/hyperlink" Target="https://sbrownlawyer.com/texas/locations/pearland/" TargetMode="External"/><Relationship Id="rId269" Type="http://schemas.openxmlformats.org/officeDocument/2006/relationships/hyperlink" Target="https://sbrownlawyer.com/james-j-hanley/" TargetMode="External"/><Relationship Id="rId264" Type="http://schemas.openxmlformats.org/officeDocument/2006/relationships/hyperlink" Target="https://sbrownlawyer.com/texas/locations/league-city/" TargetMode="External"/><Relationship Id="rId263" Type="http://schemas.openxmlformats.org/officeDocument/2006/relationships/hyperlink" Target="https://sbrownlawyer.com/texas/locations/pearland/" TargetMode="External"/><Relationship Id="rId262" Type="http://schemas.openxmlformats.org/officeDocument/2006/relationships/hyperlink" Target="https://sbrownlawyer.com/" TargetMode="External"/><Relationship Id="rId261" Type="http://schemas.openxmlformats.org/officeDocument/2006/relationships/hyperlink" Target="https://sbrownlawyer.com/texas/locations/angleton/" TargetMode="External"/><Relationship Id="rId268" Type="http://schemas.openxmlformats.org/officeDocument/2006/relationships/hyperlink" Target="https://sbrownlawyer.com/texas/locations/pearland/" TargetMode="External"/><Relationship Id="rId267" Type="http://schemas.openxmlformats.org/officeDocument/2006/relationships/hyperlink" Target="https://sbrownlawyer.com/texas/locations/pearland/" TargetMode="External"/><Relationship Id="rId266" Type="http://schemas.openxmlformats.org/officeDocument/2006/relationships/hyperlink" Target="https://sbrownlawyer.com/2019/10/08/can-you-sue-a-partner-that-infected-you-with-an-std/" TargetMode="External"/><Relationship Id="rId265" Type="http://schemas.openxmlformats.org/officeDocument/2006/relationships/hyperlink" Target="https://sbrownlawyer.com/" TargetMode="External"/><Relationship Id="rId260" Type="http://schemas.openxmlformats.org/officeDocument/2006/relationships/hyperlink" Target="https://sbrownlawyer.com/texas/locations/league-city/" TargetMode="External"/><Relationship Id="rId259" Type="http://schemas.openxmlformats.org/officeDocument/2006/relationships/hyperlink" Target="https://sbrownlawyer.com/" TargetMode="External"/><Relationship Id="rId258" Type="http://schemas.openxmlformats.org/officeDocument/2006/relationships/hyperlink" Target="https://sbrownlawyer.com/texas/locations/pearland/" TargetMode="External"/><Relationship Id="rId2290" Type="http://schemas.openxmlformats.org/officeDocument/2006/relationships/hyperlink" Target="https://sbrownlawyer.com/2024/04/24/texas-alimony-am-i-entitled/" TargetMode="External"/><Relationship Id="rId2291" Type="http://schemas.openxmlformats.org/officeDocument/2006/relationships/hyperlink" Target="https://sbrownlawyer.com/" TargetMode="External"/><Relationship Id="rId2292" Type="http://schemas.openxmlformats.org/officeDocument/2006/relationships/hyperlink" Target="https://sbrownlawyer.com/2018/04/17/statutory-rape-age-of-consent-in-texas-how-old-is-too-old/" TargetMode="External"/><Relationship Id="rId2293" Type="http://schemas.openxmlformats.org/officeDocument/2006/relationships/hyperlink" Target="https://sbrownlawyer.com/divorce/" TargetMode="External"/><Relationship Id="rId253" Type="http://schemas.openxmlformats.org/officeDocument/2006/relationships/hyperlink" Target="https://sbrownlawyer.com/texas/locations/angleton/?utm_campaign=gmbangleton" TargetMode="External"/><Relationship Id="rId2294" Type="http://schemas.openxmlformats.org/officeDocument/2006/relationships/hyperlink" Target="https://sbrownlawyer.com/divorce/" TargetMode="External"/><Relationship Id="rId252" Type="http://schemas.openxmlformats.org/officeDocument/2006/relationships/hyperlink" Target="https://sbrownlawyer.com/texas/locations/league-city/" TargetMode="External"/><Relationship Id="rId2295" Type="http://schemas.openxmlformats.org/officeDocument/2006/relationships/hyperlink" Target="https://sbrownlawyer.com/" TargetMode="External"/><Relationship Id="rId251" Type="http://schemas.openxmlformats.org/officeDocument/2006/relationships/hyperlink" Target="https://sbrownlawyer.com/2020/01/05/texas-passes-new-law-for-assault-on-a-pregnant-woman/" TargetMode="External"/><Relationship Id="rId2296" Type="http://schemas.openxmlformats.org/officeDocument/2006/relationships/hyperlink" Target="https://sbrownlawyer.com/2018/04/17/statutory-rape-age-of-consent-in-texas-how-old-is-too-old/" TargetMode="External"/><Relationship Id="rId250" Type="http://schemas.openxmlformats.org/officeDocument/2006/relationships/hyperlink" Target="https://sbrownlawyer.com/" TargetMode="External"/><Relationship Id="rId2297" Type="http://schemas.openxmlformats.org/officeDocument/2006/relationships/hyperlink" Target="https://sbrownlawyer.com/" TargetMode="External"/><Relationship Id="rId257" Type="http://schemas.openxmlformats.org/officeDocument/2006/relationships/hyperlink" Target="https://sbrownlawyer.com/" TargetMode="External"/><Relationship Id="rId2298" Type="http://schemas.openxmlformats.org/officeDocument/2006/relationships/hyperlink" Target="https://sbrownlawyer.com/pharmaceutical-litigation/" TargetMode="External"/><Relationship Id="rId256" Type="http://schemas.openxmlformats.org/officeDocument/2006/relationships/hyperlink" Target="https://sbrownlawyer.com/texas/locations/angleton/?utm_campaign=gmbangleton" TargetMode="External"/><Relationship Id="rId2299" Type="http://schemas.openxmlformats.org/officeDocument/2006/relationships/hyperlink" Target="https://sbrownlawyer.com/attorneys/" TargetMode="External"/><Relationship Id="rId255" Type="http://schemas.openxmlformats.org/officeDocument/2006/relationships/hyperlink" Target="https://sbrownlawyer.com/2019/10/08/can-you-sue-a-partner-that-infected-you-with-an-std/" TargetMode="External"/><Relationship Id="rId254" Type="http://schemas.openxmlformats.org/officeDocument/2006/relationships/hyperlink" Target="https://sbrownlawyer.com/texas/locations/league-city/" TargetMode="External"/><Relationship Id="rId293" Type="http://schemas.openxmlformats.org/officeDocument/2006/relationships/hyperlink" Target="https://sbrownlawyer.com/2024/04/24/texas-alimony-am-i-entitled/" TargetMode="External"/><Relationship Id="rId292" Type="http://schemas.openxmlformats.org/officeDocument/2006/relationships/hyperlink" Target="https://sbrownlawyer.com/2024/04/24/texas-alimony-am-i-entitled/" TargetMode="External"/><Relationship Id="rId291" Type="http://schemas.openxmlformats.org/officeDocument/2006/relationships/hyperlink" Target="https://sbrownlawyer.com/texas/locations/pearland/" TargetMode="External"/><Relationship Id="rId290" Type="http://schemas.openxmlformats.org/officeDocument/2006/relationships/hyperlink" Target="https://sbrownlawyer.com/texas/locations/league-city/" TargetMode="External"/><Relationship Id="rId286" Type="http://schemas.openxmlformats.org/officeDocument/2006/relationships/hyperlink" Target="https://sbrownlawyer.com/2020/07/13/10-signs-divorced-parents-are-doing-right-by-their-kids/" TargetMode="External"/><Relationship Id="rId285" Type="http://schemas.openxmlformats.org/officeDocument/2006/relationships/hyperlink" Target="https://sbrownlawyer.com/texas/locations/league-city/" TargetMode="External"/><Relationship Id="rId284" Type="http://schemas.openxmlformats.org/officeDocument/2006/relationships/hyperlink" Target="https://sbrownlawyer.com/2024/03/20/texas-child-support-2024/" TargetMode="External"/><Relationship Id="rId283" Type="http://schemas.openxmlformats.org/officeDocument/2006/relationships/hyperlink" Target="https://sbrownlawyer.com/areas-we-serve/harris-county/pasadena/" TargetMode="External"/><Relationship Id="rId289" Type="http://schemas.openxmlformats.org/officeDocument/2006/relationships/hyperlink" Target="https://sbrownlawyer.com/2024/04/24/texas-alimony-am-i-entitled/" TargetMode="External"/><Relationship Id="rId288" Type="http://schemas.openxmlformats.org/officeDocument/2006/relationships/hyperlink" Target="https://sbrownlawyer.com/" TargetMode="External"/><Relationship Id="rId287" Type="http://schemas.openxmlformats.org/officeDocument/2006/relationships/hyperlink" Target="https://sbrownlawyer.com/2024/10/18/over-55-divorce/" TargetMode="External"/><Relationship Id="rId282" Type="http://schemas.openxmlformats.org/officeDocument/2006/relationships/hyperlink" Target="https://sbrownlawyer.com/league-city-tx-office-of-scott-m-brown-associates/" TargetMode="External"/><Relationship Id="rId281" Type="http://schemas.openxmlformats.org/officeDocument/2006/relationships/hyperlink" Target="https://sbrownlawyer.com/bicycle-accidents/" TargetMode="External"/><Relationship Id="rId280" Type="http://schemas.openxmlformats.org/officeDocument/2006/relationships/hyperlink" Target="https://sbrownlawyer.com/abogado-de-sucesiones-en-pearland-tx/" TargetMode="External"/><Relationship Id="rId275" Type="http://schemas.openxmlformats.org/officeDocument/2006/relationships/hyperlink" Target="https://sbrownlawyer.com/texas/locations/league-city/" TargetMode="External"/><Relationship Id="rId274" Type="http://schemas.openxmlformats.org/officeDocument/2006/relationships/hyperlink" Target="https://sbrownlawyer.com/texas/locations/league-city/" TargetMode="External"/><Relationship Id="rId273" Type="http://schemas.openxmlformats.org/officeDocument/2006/relationships/hyperlink" Target="https://sbrownlawyer.com/2024/04/24/texas-alimony-am-i-entitled/" TargetMode="External"/><Relationship Id="rId272" Type="http://schemas.openxmlformats.org/officeDocument/2006/relationships/hyperlink" Target="https://sbrownlawyer.com/2013/11/22/same-sex-divorce-cases-to-be-settled-in-texas-supreme-court/" TargetMode="External"/><Relationship Id="rId279" Type="http://schemas.openxmlformats.org/officeDocument/2006/relationships/hyperlink" Target="https://sbrownlawyer.com/texas/locations/league-city/" TargetMode="External"/><Relationship Id="rId278" Type="http://schemas.openxmlformats.org/officeDocument/2006/relationships/hyperlink" Target="https://sbrownlawyer.com/friendswood/" TargetMode="External"/><Relationship Id="rId277" Type="http://schemas.openxmlformats.org/officeDocument/2006/relationships/hyperlink" Target="https://sbrownlawyer.com/2024/04/24/texas-alimony-am-i-entitled/" TargetMode="External"/><Relationship Id="rId276" Type="http://schemas.openxmlformats.org/officeDocument/2006/relationships/hyperlink" Target="https://sbrownlawyer.com/texas/locations/league-city/" TargetMode="External"/><Relationship Id="rId1851" Type="http://schemas.openxmlformats.org/officeDocument/2006/relationships/hyperlink" Target="https://sbrownlawyer.com/2021/03/15/who-qualifies-for-a-temporary-protective-order-in-texas-and-other-frequently-asked-questions/" TargetMode="External"/><Relationship Id="rId1852" Type="http://schemas.openxmlformats.org/officeDocument/2006/relationships/hyperlink" Target="https://sbrownlawyer.com/2021/02/28/what-happens-after-a-second-and-third-dwi-in-texas/" TargetMode="External"/><Relationship Id="rId1853" Type="http://schemas.openxmlformats.org/officeDocument/2006/relationships/hyperlink" Target="https://sbrownlawyer.com/public-indecency/" TargetMode="External"/><Relationship Id="rId1854" Type="http://schemas.openxmlformats.org/officeDocument/2006/relationships/hyperlink" Target="https://sbrownlawyer.com/attorneys/" TargetMode="External"/><Relationship Id="rId1855" Type="http://schemas.openxmlformats.org/officeDocument/2006/relationships/hyperlink" Target="https://sbrownlawyer.com/divorce/" TargetMode="External"/><Relationship Id="rId1856" Type="http://schemas.openxmlformats.org/officeDocument/2006/relationships/hyperlink" Target="https://sbrownlawyer.com/2018/04/23/how-do-bond-reductions-work/" TargetMode="External"/><Relationship Id="rId1857" Type="http://schemas.openxmlformats.org/officeDocument/2006/relationships/hyperlink" Target="https://sbrownlawyer.com/" TargetMode="External"/><Relationship Id="rId1858" Type="http://schemas.openxmlformats.org/officeDocument/2006/relationships/hyperlink" Target="https://sbrownlawyer.com/2021/11/26/child-support-guidelines-in-texas-an-overview/" TargetMode="External"/><Relationship Id="rId1859" Type="http://schemas.openxmlformats.org/officeDocument/2006/relationships/hyperlink" Target="https://sbrownlawyer.com/2024/03/20/texas-child-support-2024/" TargetMode="External"/><Relationship Id="rId1850" Type="http://schemas.openxmlformats.org/officeDocument/2006/relationships/hyperlink" Target="https://sbrownlawyer.com/sex-crimes/" TargetMode="External"/><Relationship Id="rId1840" Type="http://schemas.openxmlformats.org/officeDocument/2006/relationships/hyperlink" Target="https://sbrownlawyer.com/2017/11/21/new-texas-law-bans-texting-while-driving/" TargetMode="External"/><Relationship Id="rId1841" Type="http://schemas.openxmlformats.org/officeDocument/2006/relationships/hyperlink" Target="https://sbrownlawyer.com/sex-crimes/sex-offender-registration/" TargetMode="External"/><Relationship Id="rId1842" Type="http://schemas.openxmlformats.org/officeDocument/2006/relationships/hyperlink" Target="https://sbrownlawyer.com/league-city-tx-assault-lawyer/" TargetMode="External"/><Relationship Id="rId1843" Type="http://schemas.openxmlformats.org/officeDocument/2006/relationships/hyperlink" Target="https://sbrownlawyer.com/attorneys/" TargetMode="External"/><Relationship Id="rId1844" Type="http://schemas.openxmlformats.org/officeDocument/2006/relationships/hyperlink" Target="https://sbrownlawyer.com/2019/10/08/can-you-sue-a-partner-that-infected-you-with-an-std/" TargetMode="External"/><Relationship Id="rId1845" Type="http://schemas.openxmlformats.org/officeDocument/2006/relationships/hyperlink" Target="https://sbrownlawyer.com/2018/09/24/what-rights-do-fathers-have-in-texas/" TargetMode="External"/><Relationship Id="rId1846" Type="http://schemas.openxmlformats.org/officeDocument/2006/relationships/hyperlink" Target="https://sbrownlawyer.com/2021/09/20/5-quiet-signs-of-divorce-and-what-to-do-about-it/" TargetMode="External"/><Relationship Id="rId1847" Type="http://schemas.openxmlformats.org/officeDocument/2006/relationships/hyperlink" Target="https://sbrownlawyer.com/attorneys/" TargetMode="External"/><Relationship Id="rId1848" Type="http://schemas.openxmlformats.org/officeDocument/2006/relationships/hyperlink" Target="https://sbrownlawyer.com/2020/08/24/the-complete-guide-to-dwi-vs-dui-laws-in-texas/" TargetMode="External"/><Relationship Id="rId1849" Type="http://schemas.openxmlformats.org/officeDocument/2006/relationships/hyperlink" Target="https://sbrownlawyer.com/date-rape/" TargetMode="External"/><Relationship Id="rId1873" Type="http://schemas.openxmlformats.org/officeDocument/2006/relationships/hyperlink" Target="https://sbrownlawyer.com/league-city-complex-and-contested-divorce/" TargetMode="External"/><Relationship Id="rId1874" Type="http://schemas.openxmlformats.org/officeDocument/2006/relationships/hyperlink" Target="https://sbrownlawyer.com/uncontested-divorce-lawyer-in-pearland/" TargetMode="External"/><Relationship Id="rId1875" Type="http://schemas.openxmlformats.org/officeDocument/2006/relationships/hyperlink" Target="https://sbrownlawyer.com/" TargetMode="External"/><Relationship Id="rId1876" Type="http://schemas.openxmlformats.org/officeDocument/2006/relationships/hyperlink" Target="https://sbrownlawyer.com/texas/locations/sugar-land/" TargetMode="External"/><Relationship Id="rId1877" Type="http://schemas.openxmlformats.org/officeDocument/2006/relationships/hyperlink" Target="https://sbrownlawyer.com/2021/09/20/5-quiet-signs-of-divorce-and-what-to-do-about-it/" TargetMode="External"/><Relationship Id="rId1878" Type="http://schemas.openxmlformats.org/officeDocument/2006/relationships/hyperlink" Target="https://sbrownlawyer.com/2024/12/27/understanding-the-naturalization-timeline-for-texas-residents/" TargetMode="External"/><Relationship Id="rId1879" Type="http://schemas.openxmlformats.org/officeDocument/2006/relationships/hyperlink" Target="https://sbrownlawyer.com/attorneys/" TargetMode="External"/><Relationship Id="rId1870" Type="http://schemas.openxmlformats.org/officeDocument/2006/relationships/hyperlink" Target="https://sbrownlawyer.com/sex-crimes/" TargetMode="External"/><Relationship Id="rId1871" Type="http://schemas.openxmlformats.org/officeDocument/2006/relationships/hyperlink" Target="https://sbrownlawyer.com/attorneys/" TargetMode="External"/><Relationship Id="rId1872" Type="http://schemas.openxmlformats.org/officeDocument/2006/relationships/hyperlink" Target="https://sbrownlawyer.com/attorneys/" TargetMode="External"/><Relationship Id="rId1862" Type="http://schemas.openxmlformats.org/officeDocument/2006/relationships/hyperlink" Target="https://sbrownlawyer.com/2020/06/25/partner-abuse-the-many-forms-of-domestic-violence/" TargetMode="External"/><Relationship Id="rId1863" Type="http://schemas.openxmlformats.org/officeDocument/2006/relationships/hyperlink" Target="https://sbrownlawyer.com/attorneys/" TargetMode="External"/><Relationship Id="rId1864" Type="http://schemas.openxmlformats.org/officeDocument/2006/relationships/hyperlink" Target="https://sbrownlawyer.com/2012/12/03/petraeus-debacle-to-end-in-divorce/" TargetMode="External"/><Relationship Id="rId1865" Type="http://schemas.openxmlformats.org/officeDocument/2006/relationships/hyperlink" Target="https://sbrownlawyer.com/espanol/" TargetMode="External"/><Relationship Id="rId1866" Type="http://schemas.openxmlformats.org/officeDocument/2006/relationships/hyperlink" Target="https://sbrownlawyer.com/2024/07/04/expungement-vs-sealing-what-is-the-best-option/" TargetMode="External"/><Relationship Id="rId1867" Type="http://schemas.openxmlformats.org/officeDocument/2006/relationships/hyperlink" Target="https://sbrownlawyer.com/2022/02/18/can-i-file-legal-separation-on-texas/" TargetMode="External"/><Relationship Id="rId1868" Type="http://schemas.openxmlformats.org/officeDocument/2006/relationships/hyperlink" Target="https://sbrownlawyer.com/2020/05/21/what-happens-if-you-violate-a-restraining-order/" TargetMode="External"/><Relationship Id="rId1869" Type="http://schemas.openxmlformats.org/officeDocument/2006/relationships/hyperlink" Target="https://sbrownlawyer.com/attorneys/" TargetMode="External"/><Relationship Id="rId1860" Type="http://schemas.openxmlformats.org/officeDocument/2006/relationships/hyperlink" Target="https://sbrownlawyer.com/t-bone-accident/" TargetMode="External"/><Relationship Id="rId1861" Type="http://schemas.openxmlformats.org/officeDocument/2006/relationships/hyperlink" Target="https://sbrownlawyer.com/2018/01/28/silencers-are-not-prohibited-weapons/" TargetMode="External"/><Relationship Id="rId1810" Type="http://schemas.openxmlformats.org/officeDocument/2006/relationships/hyperlink" Target="https://sbrownlawyer.com/2022/02/18/can-i-file-legal-separation-on-texas/" TargetMode="External"/><Relationship Id="rId1811" Type="http://schemas.openxmlformats.org/officeDocument/2006/relationships/hyperlink" Target="https://sbrownlawyer.com/2017/06/12/are-dwi-checkpoints-legal-in-texas/" TargetMode="External"/><Relationship Id="rId1812" Type="http://schemas.openxmlformats.org/officeDocument/2006/relationships/hyperlink" Target="https://sbrownlawyer.com/criminal-defense-lawyer-galveston-county/" TargetMode="External"/><Relationship Id="rId1813" Type="http://schemas.openxmlformats.org/officeDocument/2006/relationships/hyperlink" Target="https://sbrownlawyer.com/hit-and-run/" TargetMode="External"/><Relationship Id="rId1814" Type="http://schemas.openxmlformats.org/officeDocument/2006/relationships/hyperlink" Target="https://sbrownlawyer.com/criminal-defense-book/" TargetMode="External"/><Relationship Id="rId1815" Type="http://schemas.openxmlformats.org/officeDocument/2006/relationships/hyperlink" Target="https://sbrownlawyer.com/2024/10/09/texas-family-sponsorship-immigration-process/" TargetMode="External"/><Relationship Id="rId1816" Type="http://schemas.openxmlformats.org/officeDocument/2006/relationships/hyperlink" Target="https://sbrownlawyer.com/scott-m-brown/" TargetMode="External"/><Relationship Id="rId1817" Type="http://schemas.openxmlformats.org/officeDocument/2006/relationships/hyperlink" Target="https://sbrownlawyer.com/2018/01/28/silencers-are-not-prohibited-weapons/" TargetMode="External"/><Relationship Id="rId1818" Type="http://schemas.openxmlformats.org/officeDocument/2006/relationships/hyperlink" Target="https://sbrownlawyer.com/2020/10/29/how-to-tell-if-youre-too-drunk-to-drive-and-how-to-prevent-yourself-from-becoming-a-drunk-driver/" TargetMode="External"/><Relationship Id="rId1819" Type="http://schemas.openxmlformats.org/officeDocument/2006/relationships/hyperlink" Target="https://sbrownlawyer.com/divorce/" TargetMode="External"/><Relationship Id="rId1800" Type="http://schemas.openxmlformats.org/officeDocument/2006/relationships/hyperlink" Target="https://sbrownlawyer.com/truck-accidents/" TargetMode="External"/><Relationship Id="rId1801" Type="http://schemas.openxmlformats.org/officeDocument/2006/relationships/hyperlink" Target="https://sbrownlawyer.com/" TargetMode="External"/><Relationship Id="rId1802" Type="http://schemas.openxmlformats.org/officeDocument/2006/relationships/hyperlink" Target="https://sbrownlawyer.com/attorneys/" TargetMode="External"/><Relationship Id="rId1803" Type="http://schemas.openxmlformats.org/officeDocument/2006/relationships/hyperlink" Target="https://sbrownlawyer.com/2018/04/17/statutory-rape-age-of-consent-in-texas-how-old-is-too-old/" TargetMode="External"/><Relationship Id="rId1804" Type="http://schemas.openxmlformats.org/officeDocument/2006/relationships/hyperlink" Target="https://sbrownlawyer.com/grand-theft/" TargetMode="External"/><Relationship Id="rId1805" Type="http://schemas.openxmlformats.org/officeDocument/2006/relationships/hyperlink" Target="https://sbrownlawyer.com/francisco-guerrero-ii/" TargetMode="External"/><Relationship Id="rId1806" Type="http://schemas.openxmlformats.org/officeDocument/2006/relationships/hyperlink" Target="https://sbrownlawyer.com/" TargetMode="External"/><Relationship Id="rId1807" Type="http://schemas.openxmlformats.org/officeDocument/2006/relationships/hyperlink" Target="https://sbrownlawyer.com/league-city-tx-theft-crimes/" TargetMode="External"/><Relationship Id="rId1808" Type="http://schemas.openxmlformats.org/officeDocument/2006/relationships/hyperlink" Target="https://sbrownlawyer.com/2022/02/18/can-i-file-legal-separation-on-texas/" TargetMode="External"/><Relationship Id="rId1809" Type="http://schemas.openxmlformats.org/officeDocument/2006/relationships/hyperlink" Target="https://sbrownlawyer.com/attorneys/" TargetMode="External"/><Relationship Id="rId1830" Type="http://schemas.openxmlformats.org/officeDocument/2006/relationships/hyperlink" Target="https://sbrownlawyer.com/2018/04/17/statutory-rape-age-of-consent-in-texas-how-old-is-too-old/" TargetMode="External"/><Relationship Id="rId1831" Type="http://schemas.openxmlformats.org/officeDocument/2006/relationships/hyperlink" Target="https://sbrownlawyer.com/harris-county-criminal-defense/" TargetMode="External"/><Relationship Id="rId1832" Type="http://schemas.openxmlformats.org/officeDocument/2006/relationships/hyperlink" Target="https://sbrownlawyer.com/2024/12/27/understanding-the-naturalization-timeline-for-texas-residents/" TargetMode="External"/><Relationship Id="rId1833" Type="http://schemas.openxmlformats.org/officeDocument/2006/relationships/hyperlink" Target="https://sbrownlawyer.com/attorneys/" TargetMode="External"/><Relationship Id="rId1834" Type="http://schemas.openxmlformats.org/officeDocument/2006/relationships/hyperlink" Target="https://sbrownlawyer.com/obscenity/" TargetMode="External"/><Relationship Id="rId1835" Type="http://schemas.openxmlformats.org/officeDocument/2006/relationships/hyperlink" Target="https://sbrownlawyer.com/cohabitation/" TargetMode="External"/><Relationship Id="rId1836" Type="http://schemas.openxmlformats.org/officeDocument/2006/relationships/hyperlink" Target="https://sbrownlawyer.com/attorneys/" TargetMode="External"/><Relationship Id="rId1837" Type="http://schemas.openxmlformats.org/officeDocument/2006/relationships/hyperlink" Target="https://sbrownlawyer.com/2024/03/26/grandparent-custody-rights/" TargetMode="External"/><Relationship Id="rId1838" Type="http://schemas.openxmlformats.org/officeDocument/2006/relationships/hyperlink" Target="https://sbrownlawyer.com/2018/04/17/statutory-rape-age-of-consent-in-texas-how-old-is-too-old/" TargetMode="External"/><Relationship Id="rId1839" Type="http://schemas.openxmlformats.org/officeDocument/2006/relationships/hyperlink" Target="https://sbrownlawyer.com/2021/03/15/who-qualifies-for-a-temporary-protective-order-in-texas-and-other-frequently-asked-questions/" TargetMode="External"/><Relationship Id="rId1820" Type="http://schemas.openxmlformats.org/officeDocument/2006/relationships/hyperlink" Target="https://sbrownlawyer.com/fathers-rights/" TargetMode="External"/><Relationship Id="rId1821" Type="http://schemas.openxmlformats.org/officeDocument/2006/relationships/hyperlink" Target="https://sbrownlawyer.com/attorneys/" TargetMode="External"/><Relationship Id="rId1822" Type="http://schemas.openxmlformats.org/officeDocument/2006/relationships/hyperlink" Target="https://sbrownlawyer.com/divorce/" TargetMode="External"/><Relationship Id="rId1823" Type="http://schemas.openxmlformats.org/officeDocument/2006/relationships/hyperlink" Target="https://sbrownlawyer.com/stepparent-rights/" TargetMode="External"/><Relationship Id="rId1824" Type="http://schemas.openxmlformats.org/officeDocument/2006/relationships/hyperlink" Target="https://sbrownlawyer.com/attorneys/" TargetMode="External"/><Relationship Id="rId1825" Type="http://schemas.openxmlformats.org/officeDocument/2006/relationships/hyperlink" Target="https://sbrownlawyer.com/2022/02/18/can-i-file-legal-separation-on-texas/" TargetMode="External"/><Relationship Id="rId1826" Type="http://schemas.openxmlformats.org/officeDocument/2006/relationships/hyperlink" Target="https://sbrownlawyer.com/2024/04/24/texas-alimony-am-i-entitled/" TargetMode="External"/><Relationship Id="rId1827" Type="http://schemas.openxmlformats.org/officeDocument/2006/relationships/hyperlink" Target="https://sbrownlawyer.com/2024/12/27/understanding-the-naturalization-timeline-for-texas-residents/" TargetMode="External"/><Relationship Id="rId1828" Type="http://schemas.openxmlformats.org/officeDocument/2006/relationships/hyperlink" Target="https://sbrownlawyer.com/attorneys/" TargetMode="External"/><Relationship Id="rId1829" Type="http://schemas.openxmlformats.org/officeDocument/2006/relationships/hyperlink" Target="https://sbrownlawyer.com/2020/06/25/partner-abuse-the-many-forms-of-domestic-violence/" TargetMode="External"/><Relationship Id="rId2302" Type="http://schemas.openxmlformats.org/officeDocument/2006/relationships/hyperlink" Target="https://sbrownlawyer.com/divorce/" TargetMode="External"/><Relationship Id="rId2303" Type="http://schemas.openxmlformats.org/officeDocument/2006/relationships/hyperlink" Target="https://sbrownlawyer.com/attorneys/" TargetMode="External"/><Relationship Id="rId2304" Type="http://schemas.openxmlformats.org/officeDocument/2006/relationships/hyperlink" Target="https://sbrownlawyer.com/2017/11/21/new-texas-law-bans-texting-while-driving/" TargetMode="External"/><Relationship Id="rId2305" Type="http://schemas.openxmlformats.org/officeDocument/2006/relationships/hyperlink" Target="https://sbrownlawyer.com/faq/" TargetMode="External"/><Relationship Id="rId2306" Type="http://schemas.openxmlformats.org/officeDocument/2006/relationships/hyperlink" Target="https://sbrownlawyer.com/2017/11/21/new-texas-law-bans-texting-while-driving/" TargetMode="External"/><Relationship Id="rId2307" Type="http://schemas.openxmlformats.org/officeDocument/2006/relationships/hyperlink" Target="https://sbrownlawyer.com/" TargetMode="External"/><Relationship Id="rId2308" Type="http://schemas.openxmlformats.org/officeDocument/2006/relationships/hyperlink" Target="https://sbrownlawyer.com/attorneys/" TargetMode="External"/><Relationship Id="rId2309" Type="http://schemas.openxmlformats.org/officeDocument/2006/relationships/hyperlink" Target="https://sbrownlawyer.com/2017/11/21/new-texas-law-bans-texting-while-driving/" TargetMode="External"/><Relationship Id="rId2300" Type="http://schemas.openxmlformats.org/officeDocument/2006/relationships/hyperlink" Target="https://sbrownlawyer.com/dog-bite-injuries/" TargetMode="External"/><Relationship Id="rId2301" Type="http://schemas.openxmlformats.org/officeDocument/2006/relationships/hyperlink" Target="https://sbrownlawyer.com/attorneys/" TargetMode="External"/><Relationship Id="rId2324" Type="http://schemas.openxmlformats.org/officeDocument/2006/relationships/hyperlink" Target="https://sbrownlawyer.com/2020/10/29/how-to-tell-if-youre-too-drunk-to-drive-and-how-to-prevent-yourself-from-becoming-a-drunk-driver/" TargetMode="External"/><Relationship Id="rId2325" Type="http://schemas.openxmlformats.org/officeDocument/2006/relationships/hyperlink" Target="https://sbrownlawyer.com/galveston-child-custody-lawyer/" TargetMode="External"/><Relationship Id="rId2326" Type="http://schemas.openxmlformats.org/officeDocument/2006/relationships/hyperlink" Target="https://sbrownlawyer.com/2019/05/16/motorcycle-laws-regarding-children-in-texas/" TargetMode="External"/><Relationship Id="rId2327" Type="http://schemas.openxmlformats.org/officeDocument/2006/relationships/hyperlink" Target="https://sbrownlawyer.com/" TargetMode="External"/><Relationship Id="rId2328" Type="http://schemas.openxmlformats.org/officeDocument/2006/relationships/hyperlink" Target="https://sbrownlawyer.com/" TargetMode="External"/><Relationship Id="rId2329" Type="http://schemas.openxmlformats.org/officeDocument/2006/relationships/hyperlink" Target="https://sbrownlawyer.com/" TargetMode="External"/><Relationship Id="rId2320" Type="http://schemas.openxmlformats.org/officeDocument/2006/relationships/hyperlink" Target="https://sbrownlawyer.com/2017/12/01/modifying-custody-in-the-state-of-texas/" TargetMode="External"/><Relationship Id="rId2321" Type="http://schemas.openxmlformats.org/officeDocument/2006/relationships/hyperlink" Target="https://sbrownlawyer.com/under-age-dui-defense-in-league-city-tx/" TargetMode="External"/><Relationship Id="rId2322" Type="http://schemas.openxmlformats.org/officeDocument/2006/relationships/hyperlink" Target="https://sbrownlawyer.com/criminal-law/first-offenders/" TargetMode="External"/><Relationship Id="rId2323" Type="http://schemas.openxmlformats.org/officeDocument/2006/relationships/hyperlink" Target="https://sbrownlawyer.com/areas-we-serve/fort-bend-county/" TargetMode="External"/><Relationship Id="rId2313" Type="http://schemas.openxmlformats.org/officeDocument/2006/relationships/hyperlink" Target="https://sbrownlawyer.com/" TargetMode="External"/><Relationship Id="rId2314" Type="http://schemas.openxmlformats.org/officeDocument/2006/relationships/hyperlink" Target="https://sbrownlawyer.com/2020/06/25/partner-abuse-the-many-forms-of-domestic-violence/" TargetMode="External"/><Relationship Id="rId2315" Type="http://schemas.openxmlformats.org/officeDocument/2006/relationships/hyperlink" Target="https://sbrownlawyer.com/2018/04/17/statutory-rape-age-of-consent-in-texas-how-old-is-too-old/" TargetMode="External"/><Relationship Id="rId2316" Type="http://schemas.openxmlformats.org/officeDocument/2006/relationships/hyperlink" Target="https://sbrownlawyer.com/child-pornography/" TargetMode="External"/><Relationship Id="rId2317" Type="http://schemas.openxmlformats.org/officeDocument/2006/relationships/hyperlink" Target="https://sbrownlawyer.com/slip-and-fall-accidents/" TargetMode="External"/><Relationship Id="rId2318" Type="http://schemas.openxmlformats.org/officeDocument/2006/relationships/hyperlink" Target="https://sbrownlawyer.com/sex-crimes/sex-offender-registration/" TargetMode="External"/><Relationship Id="rId2319" Type="http://schemas.openxmlformats.org/officeDocument/2006/relationships/hyperlink" Target="https://sbrownlawyer.com/attorneys/" TargetMode="External"/><Relationship Id="rId2310" Type="http://schemas.openxmlformats.org/officeDocument/2006/relationships/hyperlink" Target="https://sbrownlawyer.com/" TargetMode="External"/><Relationship Id="rId2311" Type="http://schemas.openxmlformats.org/officeDocument/2006/relationships/hyperlink" Target="https://sbrownlawyer.com/slip-and-fall-accidents/" TargetMode="External"/><Relationship Id="rId2312" Type="http://schemas.openxmlformats.org/officeDocument/2006/relationships/hyperlink" Target="https://sbrownlawyer.com/child-protective-services-cps/" TargetMode="External"/><Relationship Id="rId1895" Type="http://schemas.openxmlformats.org/officeDocument/2006/relationships/hyperlink" Target="https://sbrownlawyer.com/" TargetMode="External"/><Relationship Id="rId1896" Type="http://schemas.openxmlformats.org/officeDocument/2006/relationships/hyperlink" Target="https://sbrownlawyer.com/reckless-driving/" TargetMode="External"/><Relationship Id="rId1897" Type="http://schemas.openxmlformats.org/officeDocument/2006/relationships/hyperlink" Target="https://sbrownlawyer.com/attorneys/" TargetMode="External"/><Relationship Id="rId1898" Type="http://schemas.openxmlformats.org/officeDocument/2006/relationships/hyperlink" Target="https://sbrownlawyer.com/2024/03/26/grandparent-custody-rights/" TargetMode="External"/><Relationship Id="rId1899" Type="http://schemas.openxmlformats.org/officeDocument/2006/relationships/hyperlink" Target="https://sbrownlawyer.com/theft-and-shoplifting/aggravated-burglary/" TargetMode="External"/><Relationship Id="rId1890" Type="http://schemas.openxmlformats.org/officeDocument/2006/relationships/hyperlink" Target="https://sbrownlawyer.com/2022/02/18/can-i-file-legal-separation-on-texas/" TargetMode="External"/><Relationship Id="rId1891" Type="http://schemas.openxmlformats.org/officeDocument/2006/relationships/hyperlink" Target="https://sbrownlawyer.com/fathers-rights/" TargetMode="External"/><Relationship Id="rId1892" Type="http://schemas.openxmlformats.org/officeDocument/2006/relationships/hyperlink" Target="https://sbrownlawyer.com/2019/05/16/motorcycle-laws-regarding-children-in-texas/" TargetMode="External"/><Relationship Id="rId1893" Type="http://schemas.openxmlformats.org/officeDocument/2006/relationships/hyperlink" Target="https://sbrownlawyer.com/criminal-law/first-offenders/" TargetMode="External"/><Relationship Id="rId1894" Type="http://schemas.openxmlformats.org/officeDocument/2006/relationships/hyperlink" Target="https://sbrownlawyer.com/attorneys/" TargetMode="External"/><Relationship Id="rId1884" Type="http://schemas.openxmlformats.org/officeDocument/2006/relationships/hyperlink" Target="https://sbrownlawyer.com/league-city-aggravated-assault-lawyer/" TargetMode="External"/><Relationship Id="rId1885" Type="http://schemas.openxmlformats.org/officeDocument/2006/relationships/hyperlink" Target="https://sbrownlawyer.com/2017/11/21/new-texas-law-bans-texting-while-driving/" TargetMode="External"/><Relationship Id="rId1886" Type="http://schemas.openxmlformats.org/officeDocument/2006/relationships/hyperlink" Target="https://sbrownlawyer.com/2019/05/16/motorcycle-laws-regarding-children-in-texas/" TargetMode="External"/><Relationship Id="rId1887" Type="http://schemas.openxmlformats.org/officeDocument/2006/relationships/hyperlink" Target="https://sbrownlawyer.com/aggravated-sexual-assault/" TargetMode="External"/><Relationship Id="rId1888" Type="http://schemas.openxmlformats.org/officeDocument/2006/relationships/hyperlink" Target="https://sbrownlawyer.com/angelton-uncontensed-divorce/" TargetMode="External"/><Relationship Id="rId1889" Type="http://schemas.openxmlformats.org/officeDocument/2006/relationships/hyperlink" Target="https://sbrownlawyer.com/faq/" TargetMode="External"/><Relationship Id="rId1880" Type="http://schemas.openxmlformats.org/officeDocument/2006/relationships/hyperlink" Target="https://sbrownlawyer.com/domestic-abuse-and-protective-orders/" TargetMode="External"/><Relationship Id="rId1881" Type="http://schemas.openxmlformats.org/officeDocument/2006/relationships/hyperlink" Target="https://sbrownlawyer.com/galveston-child-custody-lawyer/" TargetMode="External"/><Relationship Id="rId1882" Type="http://schemas.openxmlformats.org/officeDocument/2006/relationships/hyperlink" Target="https://sbrownlawyer.com/cohabitation/" TargetMode="External"/><Relationship Id="rId1883" Type="http://schemas.openxmlformats.org/officeDocument/2006/relationships/hyperlink" Target="https://sbrownlawyer.com/2018/04/17/statutory-rape-age-of-consent-in-texas-how-old-is-too-old/" TargetMode="External"/><Relationship Id="rId1059" Type="http://schemas.openxmlformats.org/officeDocument/2006/relationships/hyperlink" Target="https://sbrownlawyer.com/2018/07/02/are-there-harsh-penalties-if-i-get-caught-with-marijuana-oils-or-edibles-in-texas/" TargetMode="External"/><Relationship Id="rId228" Type="http://schemas.openxmlformats.org/officeDocument/2006/relationships/hyperlink" Target="https://sbrownlawyer.com/" TargetMode="External"/><Relationship Id="rId227" Type="http://schemas.openxmlformats.org/officeDocument/2006/relationships/hyperlink" Target="https://sbrownlawyer.com/texas/locations/pearland/" TargetMode="External"/><Relationship Id="rId226" Type="http://schemas.openxmlformats.org/officeDocument/2006/relationships/hyperlink" Target="https://sbrownlawyer.com/texas/locations/pearland/" TargetMode="External"/><Relationship Id="rId225" Type="http://schemas.openxmlformats.org/officeDocument/2006/relationships/hyperlink" Target="https://sbrownlawyer.com/" TargetMode="External"/><Relationship Id="rId2380" Type="http://schemas.openxmlformats.org/officeDocument/2006/relationships/hyperlink" Target="https://sbrownlawyer.com/2018/01/28/silencers-are-not-prohibited-weapons/" TargetMode="External"/><Relationship Id="rId229" Type="http://schemas.openxmlformats.org/officeDocument/2006/relationships/hyperlink" Target="https://sbrownlawyer.com/texas/locations/pearland/" TargetMode="External"/><Relationship Id="rId1050" Type="http://schemas.openxmlformats.org/officeDocument/2006/relationships/hyperlink" Target="https://sbrownlawyer.com/prenuptial-agreements/" TargetMode="External"/><Relationship Id="rId2381" Type="http://schemas.openxmlformats.org/officeDocument/2006/relationships/hyperlink" Target="https://sbrownlawyer.com/family-law-attorney-in-galveston/" TargetMode="External"/><Relationship Id="rId220" Type="http://schemas.openxmlformats.org/officeDocument/2006/relationships/hyperlink" Target="https://sbrownlawyer.com/texas/locations/pearland/" TargetMode="External"/><Relationship Id="rId1051" Type="http://schemas.openxmlformats.org/officeDocument/2006/relationships/hyperlink" Target="https://sbrownlawyer.com/attorneys/" TargetMode="External"/><Relationship Id="rId2382" Type="http://schemas.openxmlformats.org/officeDocument/2006/relationships/hyperlink" Target="https://sbrownlawyer.com/attorneys/" TargetMode="External"/><Relationship Id="rId1052" Type="http://schemas.openxmlformats.org/officeDocument/2006/relationships/hyperlink" Target="https://sbrownlawyer.com/2024/12/27/understanding-the-naturalization-timeline-for-texas-residents/" TargetMode="External"/><Relationship Id="rId2383" Type="http://schemas.openxmlformats.org/officeDocument/2006/relationships/hyperlink" Target="https://sbrownlawyer.com/t-bone-accident/" TargetMode="External"/><Relationship Id="rId1053" Type="http://schemas.openxmlformats.org/officeDocument/2006/relationships/hyperlink" Target="https://sbrownlawyer.com/criminal-law/indecent-exposure/" TargetMode="External"/><Relationship Id="rId2384" Type="http://schemas.openxmlformats.org/officeDocument/2006/relationships/hyperlink" Target="https://sbrownlawyer.com/" TargetMode="External"/><Relationship Id="rId1054" Type="http://schemas.openxmlformats.org/officeDocument/2006/relationships/hyperlink" Target="https://sbrownlawyer.com/2024/04/24/texas-alimony-am-i-entitled/" TargetMode="External"/><Relationship Id="rId2385" Type="http://schemas.openxmlformats.org/officeDocument/2006/relationships/hyperlink" Target="https://sbrownlawyer.com/divorce/" TargetMode="External"/><Relationship Id="rId224" Type="http://schemas.openxmlformats.org/officeDocument/2006/relationships/hyperlink" Target="https://sbrownlawyer.com/" TargetMode="External"/><Relationship Id="rId1055" Type="http://schemas.openxmlformats.org/officeDocument/2006/relationships/hyperlink" Target="https://sbrownlawyer.com/2021/05/31/your-parenting-plan-how-to-reach-a-child-custody-agreement-without-court-involvement/" TargetMode="External"/><Relationship Id="rId2386" Type="http://schemas.openxmlformats.org/officeDocument/2006/relationships/hyperlink" Target="https://sbrownlawyer.com/attorneys/" TargetMode="External"/><Relationship Id="rId223" Type="http://schemas.openxmlformats.org/officeDocument/2006/relationships/hyperlink" Target="https://sbrownlawyer.com/2014/10/17/iggy-azalea-isnt-married-but-she-was-sued-for-divorce-in-texas/" TargetMode="External"/><Relationship Id="rId1056" Type="http://schemas.openxmlformats.org/officeDocument/2006/relationships/hyperlink" Target="https://sbrownlawyer.com/2022/02/18/can-i-file-legal-separation-on-texas/" TargetMode="External"/><Relationship Id="rId2387" Type="http://schemas.openxmlformats.org/officeDocument/2006/relationships/hyperlink" Target="https://sbrownlawyer.com/head-injury/" TargetMode="External"/><Relationship Id="rId222" Type="http://schemas.openxmlformats.org/officeDocument/2006/relationships/hyperlink" Target="https://sbrownlawyer.com/2014/10/17/iggy-azalea-isnt-married-but-she-was-sued-for-divorce-in-texas/" TargetMode="External"/><Relationship Id="rId1057" Type="http://schemas.openxmlformats.org/officeDocument/2006/relationships/hyperlink" Target="https://sbrownlawyer.com/2021/03/15/who-qualifies-for-a-temporary-protective-order-in-texas-and-other-frequently-asked-questions/" TargetMode="External"/><Relationship Id="rId2388" Type="http://schemas.openxmlformats.org/officeDocument/2006/relationships/hyperlink" Target="https://sbrownlawyer.com/2018/04/17/statutory-rape-age-of-consent-in-texas-how-old-is-too-old/" TargetMode="External"/><Relationship Id="rId221" Type="http://schemas.openxmlformats.org/officeDocument/2006/relationships/hyperlink" Target="https://sbrownlawyer.com/texas/locations/pearland/" TargetMode="External"/><Relationship Id="rId1058" Type="http://schemas.openxmlformats.org/officeDocument/2006/relationships/hyperlink" Target="https://sbrownlawyer.com/premises-liability/" TargetMode="External"/><Relationship Id="rId2389" Type="http://schemas.openxmlformats.org/officeDocument/2006/relationships/hyperlink" Target="https://sbrownlawyer.com/slip-and-fall-accidents/" TargetMode="External"/><Relationship Id="rId1048" Type="http://schemas.openxmlformats.org/officeDocument/2006/relationships/hyperlink" Target="https://sbrownlawyer.com/drug-crimes/" TargetMode="External"/><Relationship Id="rId2379" Type="http://schemas.openxmlformats.org/officeDocument/2006/relationships/hyperlink" Target="https://sbrownlawyer.com/2019/05/16/motorcycle-laws-regarding-children-in-texas/" TargetMode="External"/><Relationship Id="rId1049" Type="http://schemas.openxmlformats.org/officeDocument/2006/relationships/hyperlink" Target="https://sbrownlawyer.com/2022/02/18/can-i-file-legal-separation-on-texas/" TargetMode="External"/><Relationship Id="rId217" Type="http://schemas.openxmlformats.org/officeDocument/2006/relationships/hyperlink" Target="https://sbrownlawyer.com/texas/locations/pearland/" TargetMode="External"/><Relationship Id="rId216" Type="http://schemas.openxmlformats.org/officeDocument/2006/relationships/hyperlink" Target="https://sbrownlawyer.com/texas/locations/pearland/" TargetMode="External"/><Relationship Id="rId215" Type="http://schemas.openxmlformats.org/officeDocument/2006/relationships/hyperlink" Target="https://sbrownlawyer.com/texas/locations/pearland/" TargetMode="External"/><Relationship Id="rId214" Type="http://schemas.openxmlformats.org/officeDocument/2006/relationships/hyperlink" Target="https://sbrownlawyer.com/texas/locations/pearland/" TargetMode="External"/><Relationship Id="rId219" Type="http://schemas.openxmlformats.org/officeDocument/2006/relationships/hyperlink" Target="https://sbrownlawyer.com/texas/locations/pearland/" TargetMode="External"/><Relationship Id="rId218" Type="http://schemas.openxmlformats.org/officeDocument/2006/relationships/hyperlink" Target="https://sbrownlawyer.com/" TargetMode="External"/><Relationship Id="rId2370" Type="http://schemas.openxmlformats.org/officeDocument/2006/relationships/hyperlink" Target="https://sbrownlawyer.com/paternity-attorney/" TargetMode="External"/><Relationship Id="rId1040" Type="http://schemas.openxmlformats.org/officeDocument/2006/relationships/hyperlink" Target="https://sbrownlawyer.com/" TargetMode="External"/><Relationship Id="rId2371" Type="http://schemas.openxmlformats.org/officeDocument/2006/relationships/hyperlink" Target="https://sbrownlawyer.com/" TargetMode="External"/><Relationship Id="rId1041" Type="http://schemas.openxmlformats.org/officeDocument/2006/relationships/hyperlink" Target="https://sbrownlawyer.com/2022/02/18/can-i-file-legal-separation-on-texas/" TargetMode="External"/><Relationship Id="rId2372" Type="http://schemas.openxmlformats.org/officeDocument/2006/relationships/hyperlink" Target="https://sbrownlawyer.com/" TargetMode="External"/><Relationship Id="rId1042" Type="http://schemas.openxmlformats.org/officeDocument/2006/relationships/hyperlink" Target="https://sbrownlawyer.com/2024/12/27/understanding-the-naturalization-timeline-for-texas-residents/" TargetMode="External"/><Relationship Id="rId2373" Type="http://schemas.openxmlformats.org/officeDocument/2006/relationships/hyperlink" Target="https://sbrownlawyer.com/reckless-driving/" TargetMode="External"/><Relationship Id="rId1043" Type="http://schemas.openxmlformats.org/officeDocument/2006/relationships/hyperlink" Target="https://sbrownlawyer.com/drug-crimes/" TargetMode="External"/><Relationship Id="rId2374" Type="http://schemas.openxmlformats.org/officeDocument/2006/relationships/hyperlink" Target="https://sbrownlawyer.com/2024/12/27/understanding-the-naturalization-timeline-for-texas-residents/" TargetMode="External"/><Relationship Id="rId213" Type="http://schemas.openxmlformats.org/officeDocument/2006/relationships/hyperlink" Target="https://sbrownlawyer.com/" TargetMode="External"/><Relationship Id="rId1044" Type="http://schemas.openxmlformats.org/officeDocument/2006/relationships/hyperlink" Target="https://sbrownlawyer.com/espanol/" TargetMode="External"/><Relationship Id="rId2375" Type="http://schemas.openxmlformats.org/officeDocument/2006/relationships/hyperlink" Target="https://sbrownlawyer.com/2017/11/21/new-texas-law-bans-texting-while-driving/" TargetMode="External"/><Relationship Id="rId212" Type="http://schemas.openxmlformats.org/officeDocument/2006/relationships/hyperlink" Target="https://sbrownlawyer.com/texas/locations/pearland/" TargetMode="External"/><Relationship Id="rId1045" Type="http://schemas.openxmlformats.org/officeDocument/2006/relationships/hyperlink" Target="https://sbrownlawyer.com/attorneys/" TargetMode="External"/><Relationship Id="rId2376" Type="http://schemas.openxmlformats.org/officeDocument/2006/relationships/hyperlink" Target="https://sbrownlawyer.com/attorneys/" TargetMode="External"/><Relationship Id="rId211" Type="http://schemas.openxmlformats.org/officeDocument/2006/relationships/hyperlink" Target="https://sbrownlawyer.com/texas/locations/pearland/" TargetMode="External"/><Relationship Id="rId1046" Type="http://schemas.openxmlformats.org/officeDocument/2006/relationships/hyperlink" Target="https://sbrownlawyer.com/attorneys/" TargetMode="External"/><Relationship Id="rId2377" Type="http://schemas.openxmlformats.org/officeDocument/2006/relationships/hyperlink" Target="https://sbrownlawyer.com/slip-and-fall-accidents/" TargetMode="External"/><Relationship Id="rId210" Type="http://schemas.openxmlformats.org/officeDocument/2006/relationships/hyperlink" Target="https://sbrownlawyer.com/" TargetMode="External"/><Relationship Id="rId1047" Type="http://schemas.openxmlformats.org/officeDocument/2006/relationships/hyperlink" Target="https://sbrownlawyer.com/2022/02/18/can-i-file-legal-separation-on-texas/" TargetMode="External"/><Relationship Id="rId2378" Type="http://schemas.openxmlformats.org/officeDocument/2006/relationships/hyperlink" Target="https://sbrownlawyer.com/2020/05/21/what-happens-if-you-violate-a-restraining-order/" TargetMode="External"/><Relationship Id="rId249" Type="http://schemas.openxmlformats.org/officeDocument/2006/relationships/hyperlink" Target="https://sbrownlawyer.com/2024/03/20/texas-child-support-2024/" TargetMode="External"/><Relationship Id="rId248" Type="http://schemas.openxmlformats.org/officeDocument/2006/relationships/hyperlink" Target="https://sbrownlawyer.com/" TargetMode="External"/><Relationship Id="rId247" Type="http://schemas.openxmlformats.org/officeDocument/2006/relationships/hyperlink" Target="https://sbrownlawyer.com/texas/locations/pearland/" TargetMode="External"/><Relationship Id="rId1070" Type="http://schemas.openxmlformats.org/officeDocument/2006/relationships/hyperlink" Target="https://sbrownlawyer.com/complex-and-contested-divorce-attorneys/" TargetMode="External"/><Relationship Id="rId1071" Type="http://schemas.openxmlformats.org/officeDocument/2006/relationships/hyperlink" Target="https://sbrownlawyer.com/juvenile-crimes/" TargetMode="External"/><Relationship Id="rId1072" Type="http://schemas.openxmlformats.org/officeDocument/2006/relationships/hyperlink" Target="https://sbrownlawyer.com/areas-we-serve/brazoria-county/" TargetMode="External"/><Relationship Id="rId242" Type="http://schemas.openxmlformats.org/officeDocument/2006/relationships/hyperlink" Target="https://sbrownlawyer.com/james-j-hanley/" TargetMode="External"/><Relationship Id="rId1073" Type="http://schemas.openxmlformats.org/officeDocument/2006/relationships/hyperlink" Target="https://sbrownlawyer.com/attorneys/" TargetMode="External"/><Relationship Id="rId241" Type="http://schemas.openxmlformats.org/officeDocument/2006/relationships/hyperlink" Target="https://sbrownlawyer.com/" TargetMode="External"/><Relationship Id="rId1074" Type="http://schemas.openxmlformats.org/officeDocument/2006/relationships/hyperlink" Target="https://sbrownlawyer.com/2022/02/18/can-i-file-legal-separation-on-texas/" TargetMode="External"/><Relationship Id="rId240" Type="http://schemas.openxmlformats.org/officeDocument/2006/relationships/hyperlink" Target="https://sbrownlawyer.com/texas/locations/angleton/" TargetMode="External"/><Relationship Id="rId1075" Type="http://schemas.openxmlformats.org/officeDocument/2006/relationships/hyperlink" Target="https://sbrownlawyer.com/asset-division/" TargetMode="External"/><Relationship Id="rId1076" Type="http://schemas.openxmlformats.org/officeDocument/2006/relationships/hyperlink" Target="https://sbrownlawyer.com/2024/12/27/understanding-the-naturalization-timeline-for-texas-residents/" TargetMode="External"/><Relationship Id="rId246" Type="http://schemas.openxmlformats.org/officeDocument/2006/relationships/hyperlink" Target="https://sbrownlawyer.com/texas/locations/pearland/" TargetMode="External"/><Relationship Id="rId1077" Type="http://schemas.openxmlformats.org/officeDocument/2006/relationships/hyperlink" Target="https://sbrownlawyer.com/drug-crimes/" TargetMode="External"/><Relationship Id="rId245" Type="http://schemas.openxmlformats.org/officeDocument/2006/relationships/hyperlink" Target="https://sbrownlawyer.com/2020/01/05/texas-passes-new-law-for-assault-on-a-pregnant-woman/" TargetMode="External"/><Relationship Id="rId1078" Type="http://schemas.openxmlformats.org/officeDocument/2006/relationships/hyperlink" Target="https://sbrownlawyer.com/2024/03/26/grandparent-custody-rights/" TargetMode="External"/><Relationship Id="rId244" Type="http://schemas.openxmlformats.org/officeDocument/2006/relationships/hyperlink" Target="https://sbrownlawyer.com/" TargetMode="External"/><Relationship Id="rId1079" Type="http://schemas.openxmlformats.org/officeDocument/2006/relationships/hyperlink" Target="https://sbrownlawyer.com/2019/05/16/motorcycle-laws-regarding-children-in-texas/" TargetMode="External"/><Relationship Id="rId243" Type="http://schemas.openxmlformats.org/officeDocument/2006/relationships/hyperlink" Target="https://sbrownlawyer.com/texas/locations/pearland/" TargetMode="External"/><Relationship Id="rId239" Type="http://schemas.openxmlformats.org/officeDocument/2006/relationships/hyperlink" Target="https://sbrownlawyer.com/2024/04/24/texas-alimony-am-i-entitled/" TargetMode="External"/><Relationship Id="rId238" Type="http://schemas.openxmlformats.org/officeDocument/2006/relationships/hyperlink" Target="https://sbrownlawyer.com/" TargetMode="External"/><Relationship Id="rId237" Type="http://schemas.openxmlformats.org/officeDocument/2006/relationships/hyperlink" Target="https://sbrownlawyer.com/texas/locations/pearland/" TargetMode="External"/><Relationship Id="rId236" Type="http://schemas.openxmlformats.org/officeDocument/2006/relationships/hyperlink" Target="https://sbrownlawyer.com/2020/01/05/texas-passes-new-law-for-assault-on-a-pregnant-woman/" TargetMode="External"/><Relationship Id="rId2390" Type="http://schemas.openxmlformats.org/officeDocument/2006/relationships/hyperlink" Target="https://sbrownlawyer.com/2021/04/21/dwi-consequences-in-texas-whats-the-maximum-penalty-for-a-dwi/" TargetMode="External"/><Relationship Id="rId1060" Type="http://schemas.openxmlformats.org/officeDocument/2006/relationships/hyperlink" Target="https://sbrownlawyer.com/2024/04/24/texas-alimony-am-i-entitled/" TargetMode="External"/><Relationship Id="rId2391" Type="http://schemas.openxmlformats.org/officeDocument/2006/relationships/hyperlink" Target="https://sbrownlawyer.com/steps-in-settling-your-claim-in-texas/" TargetMode="External"/><Relationship Id="rId1061" Type="http://schemas.openxmlformats.org/officeDocument/2006/relationships/hyperlink" Target="https://sbrownlawyer.com/2024/03/20/texas-child-support-2024/" TargetMode="External"/><Relationship Id="rId2392" Type="http://schemas.openxmlformats.org/officeDocument/2006/relationships/hyperlink" Target="https://sbrownlawyer.com/paralysis/" TargetMode="External"/><Relationship Id="rId231" Type="http://schemas.openxmlformats.org/officeDocument/2006/relationships/hyperlink" Target="https://sbrownlawyer.com/texas/locations/pearland/" TargetMode="External"/><Relationship Id="rId1062" Type="http://schemas.openxmlformats.org/officeDocument/2006/relationships/hyperlink" Target="https://sbrownlawyer.com/" TargetMode="External"/><Relationship Id="rId2393" Type="http://schemas.openxmlformats.org/officeDocument/2006/relationships/hyperlink" Target="https://sbrownlawyer.com/misdemeanor/" TargetMode="External"/><Relationship Id="rId230" Type="http://schemas.openxmlformats.org/officeDocument/2006/relationships/hyperlink" Target="https://sbrownlawyer.com/texas/locations/angleton/" TargetMode="External"/><Relationship Id="rId1063" Type="http://schemas.openxmlformats.org/officeDocument/2006/relationships/hyperlink" Target="https://sbrownlawyer.com/public-indecency/" TargetMode="External"/><Relationship Id="rId2394" Type="http://schemas.openxmlformats.org/officeDocument/2006/relationships/hyperlink" Target="https://sbrownlawyer.com/2024/03/20/texas-child-support-2024/" TargetMode="External"/><Relationship Id="rId1064" Type="http://schemas.openxmlformats.org/officeDocument/2006/relationships/hyperlink" Target="https://sbrownlawyer.com/attorneys/" TargetMode="External"/><Relationship Id="rId2395" Type="http://schemas.openxmlformats.org/officeDocument/2006/relationships/hyperlink" Target="https://sbrownlawyer.com/aggravated-sexual-assault/" TargetMode="External"/><Relationship Id="rId1065" Type="http://schemas.openxmlformats.org/officeDocument/2006/relationships/hyperlink" Target="https://sbrownlawyer.com/2024/03/20/texas-child-support-2024/" TargetMode="External"/><Relationship Id="rId2396" Type="http://schemas.openxmlformats.org/officeDocument/2006/relationships/hyperlink" Target="https://sbrownlawyer.com/2014/11/06/how-can-i-handle-a-parental-abduction-in-texas/" TargetMode="External"/><Relationship Id="rId235" Type="http://schemas.openxmlformats.org/officeDocument/2006/relationships/hyperlink" Target="https://sbrownlawyer.com/texas/locations/angleton/" TargetMode="External"/><Relationship Id="rId1066" Type="http://schemas.openxmlformats.org/officeDocument/2006/relationships/hyperlink" Target="https://sbrownlawyer.com/2018/04/06/can-you-adopt-a-child-in-texas-without-the-biological-fathers-consent/" TargetMode="External"/><Relationship Id="rId2397" Type="http://schemas.openxmlformats.org/officeDocument/2006/relationships/hyperlink" Target="https://sbrownlawyer.com/" TargetMode="External"/><Relationship Id="rId234" Type="http://schemas.openxmlformats.org/officeDocument/2006/relationships/hyperlink" Target="https://sbrownlawyer.com/2020/01/05/texas-passes-new-law-for-assault-on-a-pregnant-woman/" TargetMode="External"/><Relationship Id="rId1067" Type="http://schemas.openxmlformats.org/officeDocument/2006/relationships/hyperlink" Target="https://sbrownlawyer.com/attorneys/" TargetMode="External"/><Relationship Id="rId2398" Type="http://schemas.openxmlformats.org/officeDocument/2006/relationships/hyperlink" Target="https://sbrownlawyer.com/2013/11/27/texas-police-officer-accused-of-domestic-violence-still-employed/" TargetMode="External"/><Relationship Id="rId233" Type="http://schemas.openxmlformats.org/officeDocument/2006/relationships/hyperlink" Target="https://sbrownlawyer.com/texas/locations/pearland/" TargetMode="External"/><Relationship Id="rId1068" Type="http://schemas.openxmlformats.org/officeDocument/2006/relationships/hyperlink" Target="https://sbrownlawyer.com/2024/04/24/texas-alimony-am-i-entitled/" TargetMode="External"/><Relationship Id="rId2399" Type="http://schemas.openxmlformats.org/officeDocument/2006/relationships/hyperlink" Target="https://sbrownlawyer.com/" TargetMode="External"/><Relationship Id="rId232" Type="http://schemas.openxmlformats.org/officeDocument/2006/relationships/hyperlink" Target="https://sbrownlawyer.com/texas/locations/pearland/" TargetMode="External"/><Relationship Id="rId1069" Type="http://schemas.openxmlformats.org/officeDocument/2006/relationships/hyperlink" Target="https://sbrownlawyer.com/attorneys/" TargetMode="External"/><Relationship Id="rId1015" Type="http://schemas.openxmlformats.org/officeDocument/2006/relationships/hyperlink" Target="https://sbrownlawyer.com/texas/locations/league-city/" TargetMode="External"/><Relationship Id="rId2346" Type="http://schemas.openxmlformats.org/officeDocument/2006/relationships/hyperlink" Target="https://sbrownlawyer.com/friendswood/" TargetMode="External"/><Relationship Id="rId1016" Type="http://schemas.openxmlformats.org/officeDocument/2006/relationships/hyperlink" Target="https://sbrownlawyer.com/2024/03/20/texas-child-support-2024/" TargetMode="External"/><Relationship Id="rId2347" Type="http://schemas.openxmlformats.org/officeDocument/2006/relationships/hyperlink" Target="https://sbrownlawyer.com/2017/11/21/new-texas-law-bans-texting-while-driving/" TargetMode="External"/><Relationship Id="rId1017" Type="http://schemas.openxmlformats.org/officeDocument/2006/relationships/hyperlink" Target="https://sbrownlawyer.com/attorneys/" TargetMode="External"/><Relationship Id="rId2348" Type="http://schemas.openxmlformats.org/officeDocument/2006/relationships/hyperlink" Target="https://sbrownlawyer.com/2019/09/15/how-to-fight-a-protective-order/" TargetMode="External"/><Relationship Id="rId1018" Type="http://schemas.openxmlformats.org/officeDocument/2006/relationships/hyperlink" Target="https://sbrownlawyer.com/drug-crimes/" TargetMode="External"/><Relationship Id="rId2349" Type="http://schemas.openxmlformats.org/officeDocument/2006/relationships/hyperlink" Target="https://sbrownlawyer.com/criminal-law/indecent-exposure/" TargetMode="External"/><Relationship Id="rId1019" Type="http://schemas.openxmlformats.org/officeDocument/2006/relationships/hyperlink" Target="https://sbrownlawyer.com/2022/02/18/can-i-file-legal-separation-on-texas/" TargetMode="External"/><Relationship Id="rId2340" Type="http://schemas.openxmlformats.org/officeDocument/2006/relationships/hyperlink" Target="https://sbrownlawyer.com/attorneys/" TargetMode="External"/><Relationship Id="rId1010" Type="http://schemas.openxmlformats.org/officeDocument/2006/relationships/hyperlink" Target="https://sbrownlawyer.com/2018/08/15/how-does-military-deployment-affect-child-custody/" TargetMode="External"/><Relationship Id="rId2341" Type="http://schemas.openxmlformats.org/officeDocument/2006/relationships/hyperlink" Target="https://sbrownlawyer.com/sex-crimes/" TargetMode="External"/><Relationship Id="rId1011" Type="http://schemas.openxmlformats.org/officeDocument/2006/relationships/hyperlink" Target="https://sbrownlawyer.com/peggy-bittick/" TargetMode="External"/><Relationship Id="rId2342" Type="http://schemas.openxmlformats.org/officeDocument/2006/relationships/hyperlink" Target="https://sbrownlawyer.com/" TargetMode="External"/><Relationship Id="rId1012" Type="http://schemas.openxmlformats.org/officeDocument/2006/relationships/hyperlink" Target="https://sbrownlawyer.com/2019/10/08/can-you-sue-a-partner-that-infected-you-with-an-std/" TargetMode="External"/><Relationship Id="rId2343" Type="http://schemas.openxmlformats.org/officeDocument/2006/relationships/hyperlink" Target="https://sbrownlawyer.com/2017/05/02/how-can-a-spouse-keep-the-house-after-a-texas-divorce/" TargetMode="External"/><Relationship Id="rId1013" Type="http://schemas.openxmlformats.org/officeDocument/2006/relationships/hyperlink" Target="https://sbrownlawyer.com/texas/locations/pearland/" TargetMode="External"/><Relationship Id="rId2344" Type="http://schemas.openxmlformats.org/officeDocument/2006/relationships/hyperlink" Target="https://sbrownlawyer.com/attorneys/" TargetMode="External"/><Relationship Id="rId1014" Type="http://schemas.openxmlformats.org/officeDocument/2006/relationships/hyperlink" Target="https://sbrownlawyer.com/" TargetMode="External"/><Relationship Id="rId2345" Type="http://schemas.openxmlformats.org/officeDocument/2006/relationships/hyperlink" Target="https://sbrownlawyer.com/title-ix-defense-campus-sexual-assault/" TargetMode="External"/><Relationship Id="rId1004" Type="http://schemas.openxmlformats.org/officeDocument/2006/relationships/hyperlink" Target="https://sbrownlawyer.com/2024/11/29/how-to-meet-texas-adjustment-of-status-requirements-for-spouses/" TargetMode="External"/><Relationship Id="rId2335" Type="http://schemas.openxmlformats.org/officeDocument/2006/relationships/hyperlink" Target="https://sbrownlawyer.com/" TargetMode="External"/><Relationship Id="rId1005" Type="http://schemas.openxmlformats.org/officeDocument/2006/relationships/hyperlink" Target="https://sbrownlawyer.com/league-city-complex-and-contested-divorce/" TargetMode="External"/><Relationship Id="rId2336" Type="http://schemas.openxmlformats.org/officeDocument/2006/relationships/hyperlink" Target="https://sbrownlawyer.com/hiring-sexual-assault-defense-lawyer/" TargetMode="External"/><Relationship Id="rId1006" Type="http://schemas.openxmlformats.org/officeDocument/2006/relationships/hyperlink" Target="https://sbrownlawyer.com/2015/08/07/miranda-lambert-and-blake-shelton-divorce-finalized/" TargetMode="External"/><Relationship Id="rId2337" Type="http://schemas.openxmlformats.org/officeDocument/2006/relationships/hyperlink" Target="https://sbrownlawyer.com/child-pornography/" TargetMode="External"/><Relationship Id="rId1007" Type="http://schemas.openxmlformats.org/officeDocument/2006/relationships/hyperlink" Target="https://sbrownlawyer.com/texas/locations/angleton/" TargetMode="External"/><Relationship Id="rId2338" Type="http://schemas.openxmlformats.org/officeDocument/2006/relationships/hyperlink" Target="https://sbrownlawyer.com/sex-crimes/overview-of-sex-crime-defense/" TargetMode="External"/><Relationship Id="rId1008" Type="http://schemas.openxmlformats.org/officeDocument/2006/relationships/hyperlink" Target="https://sbrownlawyer.com/2018/01/28/silencers-are-not-prohibited-weapons/" TargetMode="External"/><Relationship Id="rId2339" Type="http://schemas.openxmlformats.org/officeDocument/2006/relationships/hyperlink" Target="https://sbrownlawyer.com/2018/04/17/statutory-rape-age-of-consent-in-texas-how-old-is-too-old/" TargetMode="External"/><Relationship Id="rId1009" Type="http://schemas.openxmlformats.org/officeDocument/2006/relationships/hyperlink" Target="https://sbrownlawyer.com/drug-possession/" TargetMode="External"/><Relationship Id="rId2330" Type="http://schemas.openxmlformats.org/officeDocument/2006/relationships/hyperlink" Target="https://sbrownlawyer.com/attorneys/" TargetMode="External"/><Relationship Id="rId1000" Type="http://schemas.openxmlformats.org/officeDocument/2006/relationships/hyperlink" Target="https://sbrownlawyer.com/texas/locations/angleton/" TargetMode="External"/><Relationship Id="rId2331" Type="http://schemas.openxmlformats.org/officeDocument/2006/relationships/hyperlink" Target="https://sbrownlawyer.com/divorce/" TargetMode="External"/><Relationship Id="rId1001" Type="http://schemas.openxmlformats.org/officeDocument/2006/relationships/hyperlink" Target="https://sbrownlawyer.com/physician-practices/" TargetMode="External"/><Relationship Id="rId2332" Type="http://schemas.openxmlformats.org/officeDocument/2006/relationships/hyperlink" Target="https://sbrownlawyer.com/domestic-violence-attorney/" TargetMode="External"/><Relationship Id="rId1002" Type="http://schemas.openxmlformats.org/officeDocument/2006/relationships/hyperlink" Target="https://sbrownlawyer.com/2024/08/30/car-accidents/" TargetMode="External"/><Relationship Id="rId2333" Type="http://schemas.openxmlformats.org/officeDocument/2006/relationships/hyperlink" Target="https://sbrownlawyer.com/steps-in-settling-your-claim-in-texas/" TargetMode="External"/><Relationship Id="rId1003" Type="http://schemas.openxmlformats.org/officeDocument/2006/relationships/hyperlink" Target="https://sbrownlawyer.com/criminal-law/indecent-exposure/" TargetMode="External"/><Relationship Id="rId2334" Type="http://schemas.openxmlformats.org/officeDocument/2006/relationships/hyperlink" Target="https://sbrownlawyer.com/2015/09/25/the-pope-changes-marriage-annulments-making-them-fast-and-cheap/" TargetMode="External"/><Relationship Id="rId1037" Type="http://schemas.openxmlformats.org/officeDocument/2006/relationships/hyperlink" Target="https://sbrownlawyer.com/2018/01/28/silencers-are-not-prohibited-weapons/" TargetMode="External"/><Relationship Id="rId2368" Type="http://schemas.openxmlformats.org/officeDocument/2006/relationships/hyperlink" Target="https://sbrownlawyer.com/2020/08/07/contested-vs-uncontested-divorce-in-houston-top-things-you-need-to-know/" TargetMode="External"/><Relationship Id="rId1038" Type="http://schemas.openxmlformats.org/officeDocument/2006/relationships/hyperlink" Target="https://sbrownlawyer.com/attorneys/" TargetMode="External"/><Relationship Id="rId2369" Type="http://schemas.openxmlformats.org/officeDocument/2006/relationships/hyperlink" Target="https://sbrownlawyer.com/2021/06/15/11-questions-to-ask-before-hiring-a-criminal-defense-attorney/" TargetMode="External"/><Relationship Id="rId1039" Type="http://schemas.openxmlformats.org/officeDocument/2006/relationships/hyperlink" Target="https://sbrownlawyer.com/" TargetMode="External"/><Relationship Id="rId206" Type="http://schemas.openxmlformats.org/officeDocument/2006/relationships/hyperlink" Target="https://sbrownlawyer.com/grandparents-rights/" TargetMode="External"/><Relationship Id="rId205" Type="http://schemas.openxmlformats.org/officeDocument/2006/relationships/hyperlink" Target="https://sbrownlawyer.com/" TargetMode="External"/><Relationship Id="rId204" Type="http://schemas.openxmlformats.org/officeDocument/2006/relationships/hyperlink" Target="https://sbrownlawyer.com/2020/10/29/how-to-tell-if-youre-too-drunk-to-drive-and-how-to-prevent-yourself-from-becoming-a-drunk-driver/" TargetMode="External"/><Relationship Id="rId203" Type="http://schemas.openxmlformats.org/officeDocument/2006/relationships/hyperlink" Target="https://sbrownlawyer.com/2024/04/24/texas-alimony-am-i-entitled/" TargetMode="External"/><Relationship Id="rId209" Type="http://schemas.openxmlformats.org/officeDocument/2006/relationships/hyperlink" Target="https://sbrownlawyer.com/texas/locations/pearland/" TargetMode="External"/><Relationship Id="rId208" Type="http://schemas.openxmlformats.org/officeDocument/2006/relationships/hyperlink" Target="https://sbrownlawyer.com/texas/locations/pearland/" TargetMode="External"/><Relationship Id="rId207" Type="http://schemas.openxmlformats.org/officeDocument/2006/relationships/hyperlink" Target="https://sbrownlawyer.com/" TargetMode="External"/><Relationship Id="rId2360" Type="http://schemas.openxmlformats.org/officeDocument/2006/relationships/hyperlink" Target="https://sbrownlawyer.com/2019/09/15/how-to-fight-a-protective-order/" TargetMode="External"/><Relationship Id="rId1030" Type="http://schemas.openxmlformats.org/officeDocument/2006/relationships/hyperlink" Target="https://sbrownlawyer.com/2024/04/24/texas-alimony-am-i-entitled/" TargetMode="External"/><Relationship Id="rId2361" Type="http://schemas.openxmlformats.org/officeDocument/2006/relationships/hyperlink" Target="https://sbrownlawyer.com/" TargetMode="External"/><Relationship Id="rId1031" Type="http://schemas.openxmlformats.org/officeDocument/2006/relationships/hyperlink" Target="https://sbrownlawyer.com/2023/01/25/private-property-police-search-in-texas/" TargetMode="External"/><Relationship Id="rId2362" Type="http://schemas.openxmlformats.org/officeDocument/2006/relationships/hyperlink" Target="https://sbrownlawyer.com/personal-injury-2/burn-injury/" TargetMode="External"/><Relationship Id="rId1032" Type="http://schemas.openxmlformats.org/officeDocument/2006/relationships/hyperlink" Target="https://sbrownlawyer.com/parental-relocation/" TargetMode="External"/><Relationship Id="rId2363" Type="http://schemas.openxmlformats.org/officeDocument/2006/relationships/hyperlink" Target="https://sbrownlawyer.com/adoption/" TargetMode="External"/><Relationship Id="rId202" Type="http://schemas.openxmlformats.org/officeDocument/2006/relationships/hyperlink" Target="https://sbrownlawyer.com/2024/12/27/understanding-the-naturalization-timeline-for-texas-residents/" TargetMode="External"/><Relationship Id="rId1033" Type="http://schemas.openxmlformats.org/officeDocument/2006/relationships/hyperlink" Target="https://sbrownlawyer.com/debt-division/" TargetMode="External"/><Relationship Id="rId2364" Type="http://schemas.openxmlformats.org/officeDocument/2006/relationships/hyperlink" Target="https://sbrownlawyer.com/attorneys/" TargetMode="External"/><Relationship Id="rId201" Type="http://schemas.openxmlformats.org/officeDocument/2006/relationships/hyperlink" Target="https://sbrownlawyer.com/2024/12/27/understanding-the-naturalization-timeline-for-texas-residents/" TargetMode="External"/><Relationship Id="rId1034" Type="http://schemas.openxmlformats.org/officeDocument/2006/relationships/hyperlink" Target="https://sbrownlawyer.com/attorneys/" TargetMode="External"/><Relationship Id="rId2365" Type="http://schemas.openxmlformats.org/officeDocument/2006/relationships/hyperlink" Target="https://sbrownlawyer.com/slip-and-fall-accidents/" TargetMode="External"/><Relationship Id="rId200" Type="http://schemas.openxmlformats.org/officeDocument/2006/relationships/hyperlink" Target="https://sbrownlawyer.com/katie-stahl/" TargetMode="External"/><Relationship Id="rId1035" Type="http://schemas.openxmlformats.org/officeDocument/2006/relationships/hyperlink" Target="https://sbrownlawyer.com/espanol/abogados-de-lesiones-personales/" TargetMode="External"/><Relationship Id="rId2366" Type="http://schemas.openxmlformats.org/officeDocument/2006/relationships/hyperlink" Target="https://sbrownlawyer.com/" TargetMode="External"/><Relationship Id="rId1036" Type="http://schemas.openxmlformats.org/officeDocument/2006/relationships/hyperlink" Target="https://sbrownlawyer.com/2022/02/18/can-i-file-legal-separation-on-texas/" TargetMode="External"/><Relationship Id="rId2367" Type="http://schemas.openxmlformats.org/officeDocument/2006/relationships/hyperlink" Target="https://sbrownlawyer.com/business-owner-divorce/" TargetMode="External"/><Relationship Id="rId1026" Type="http://schemas.openxmlformats.org/officeDocument/2006/relationships/hyperlink" Target="https://sbrownlawyer.com/2022/02/18/can-i-file-legal-separation-on-texas/" TargetMode="External"/><Relationship Id="rId2357" Type="http://schemas.openxmlformats.org/officeDocument/2006/relationships/hyperlink" Target="https://sbrownlawyer.com/steps-in-settling-your-claim-in-texas/" TargetMode="External"/><Relationship Id="rId1027" Type="http://schemas.openxmlformats.org/officeDocument/2006/relationships/hyperlink" Target="https://sbrownlawyer.com/oil-and-mineral-rights/" TargetMode="External"/><Relationship Id="rId2358" Type="http://schemas.openxmlformats.org/officeDocument/2006/relationships/hyperlink" Target="https://sbrownlawyer.com/2024/03/26/grandparent-custody-rights/" TargetMode="External"/><Relationship Id="rId1028" Type="http://schemas.openxmlformats.org/officeDocument/2006/relationships/hyperlink" Target="https://sbrownlawyer.com/2024/12/27/understanding-the-naturalization-timeline-for-texas-residents/" TargetMode="External"/><Relationship Id="rId2359" Type="http://schemas.openxmlformats.org/officeDocument/2006/relationships/hyperlink" Target="https://sbrownlawyer.com/assault/" TargetMode="External"/><Relationship Id="rId1029" Type="http://schemas.openxmlformats.org/officeDocument/2006/relationships/hyperlink" Target="https://sbrownlawyer.com/attorneys/" TargetMode="External"/><Relationship Id="rId2350" Type="http://schemas.openxmlformats.org/officeDocument/2006/relationships/hyperlink" Target="https://sbrownlawyer.com/" TargetMode="External"/><Relationship Id="rId1020" Type="http://schemas.openxmlformats.org/officeDocument/2006/relationships/hyperlink" Target="https://sbrownlawyer.com/2024/12/27/understanding-the-naturalization-timeline-for-texas-residents/" TargetMode="External"/><Relationship Id="rId2351" Type="http://schemas.openxmlformats.org/officeDocument/2006/relationships/hyperlink" Target="https://sbrownlawyer.com/2018/04/17/statutory-rape-age-of-consent-in-texas-how-old-is-too-old/" TargetMode="External"/><Relationship Id="rId1021" Type="http://schemas.openxmlformats.org/officeDocument/2006/relationships/hyperlink" Target="https://sbrownlawyer.com/espanol/defensa-criminal/" TargetMode="External"/><Relationship Id="rId2352" Type="http://schemas.openxmlformats.org/officeDocument/2006/relationships/hyperlink" Target="https://sbrownlawyer.com/2022/02/18/can-i-file-legal-separation-on-texas/" TargetMode="External"/><Relationship Id="rId1022" Type="http://schemas.openxmlformats.org/officeDocument/2006/relationships/hyperlink" Target="https://sbrownlawyer.com/2019/10/08/can-you-sue-a-partner-that-infected-you-with-an-std/" TargetMode="External"/><Relationship Id="rId2353" Type="http://schemas.openxmlformats.org/officeDocument/2006/relationships/hyperlink" Target="https://sbrownlawyer.com/attorneys/" TargetMode="External"/><Relationship Id="rId1023" Type="http://schemas.openxmlformats.org/officeDocument/2006/relationships/hyperlink" Target="https://sbrownlawyer.com/detailing-some-of-texas-important-child-custody-laws/" TargetMode="External"/><Relationship Id="rId2354" Type="http://schemas.openxmlformats.org/officeDocument/2006/relationships/hyperlink" Target="https://sbrownlawyer.com/hit-and-run/" TargetMode="External"/><Relationship Id="rId1024" Type="http://schemas.openxmlformats.org/officeDocument/2006/relationships/hyperlink" Target="https://sbrownlawyer.com/2018/01/28/silencers-are-not-prohibited-weapons/" TargetMode="External"/><Relationship Id="rId2355" Type="http://schemas.openxmlformats.org/officeDocument/2006/relationships/hyperlink" Target="https://sbrownlawyer.com/2018/09/24/what-rights-do-fathers-have-in-texas/" TargetMode="External"/><Relationship Id="rId1025" Type="http://schemas.openxmlformats.org/officeDocument/2006/relationships/hyperlink" Target="https://sbrownlawyer.com/2024/03/20/texas-child-support-2024/" TargetMode="External"/><Relationship Id="rId2356" Type="http://schemas.openxmlformats.org/officeDocument/2006/relationships/hyperlink" Target="https://sbrownlawyer.com/2019/05/16/motorcycle-laws-regarding-children-in-texas/" TargetMode="External"/><Relationship Id="rId1910" Type="http://schemas.openxmlformats.org/officeDocument/2006/relationships/hyperlink" Target="https://sbrownlawyer.com/2018/04/17/statutory-rape-age-of-consent-in-texas-how-old-is-too-old/" TargetMode="External"/><Relationship Id="rId1911" Type="http://schemas.openxmlformats.org/officeDocument/2006/relationships/hyperlink" Target="https://sbrownlawyer.com/" TargetMode="External"/><Relationship Id="rId1912" Type="http://schemas.openxmlformats.org/officeDocument/2006/relationships/hyperlink" Target="https://sbrownlawyer.com/2020/06/25/partner-abuse-the-many-forms-of-domestic-violence/" TargetMode="External"/><Relationship Id="rId1913" Type="http://schemas.openxmlformats.org/officeDocument/2006/relationships/hyperlink" Target="https://sbrownlawyer.com/divorce/" TargetMode="External"/><Relationship Id="rId1914" Type="http://schemas.openxmlformats.org/officeDocument/2006/relationships/hyperlink" Target="https://sbrownlawyer.com/2013/07/09/continuing-to-wait-on-russian-child-adoption-ban-to-be-lifted/" TargetMode="External"/><Relationship Id="rId1915" Type="http://schemas.openxmlformats.org/officeDocument/2006/relationships/hyperlink" Target="https://sbrownlawyer.com/texas-family-law-attorney/" TargetMode="External"/><Relationship Id="rId1916" Type="http://schemas.openxmlformats.org/officeDocument/2006/relationships/hyperlink" Target="https://sbrownlawyer.com/texas/locations/sugar-land/" TargetMode="External"/><Relationship Id="rId1917" Type="http://schemas.openxmlformats.org/officeDocument/2006/relationships/hyperlink" Target="https://sbrownlawyer.com/2019/05/16/motorcycle-laws-regarding-children-in-texas/" TargetMode="External"/><Relationship Id="rId1918" Type="http://schemas.openxmlformats.org/officeDocument/2006/relationships/hyperlink" Target="https://sbrownlawyer.com/attorneys/" TargetMode="External"/><Relationship Id="rId1919" Type="http://schemas.openxmlformats.org/officeDocument/2006/relationships/hyperlink" Target="https://sbrownlawyer.com/2019/09/15/how-to-fight-a-protective-order/" TargetMode="External"/><Relationship Id="rId1900" Type="http://schemas.openxmlformats.org/officeDocument/2006/relationships/hyperlink" Target="https://sbrownlawyer.com/sex-crimes/texas-sex-crime-law/" TargetMode="External"/><Relationship Id="rId1901" Type="http://schemas.openxmlformats.org/officeDocument/2006/relationships/hyperlink" Target="https://sbrownlawyer.com/2020/01/14/how-texas-defines-child-abuse/" TargetMode="External"/><Relationship Id="rId1902" Type="http://schemas.openxmlformats.org/officeDocument/2006/relationships/hyperlink" Target="https://sbrownlawyer.com/attorneys/" TargetMode="External"/><Relationship Id="rId1903" Type="http://schemas.openxmlformats.org/officeDocument/2006/relationships/hyperlink" Target="https://sbrownlawyer.com/2024/03/26/grandparent-custody-rights/" TargetMode="External"/><Relationship Id="rId1904" Type="http://schemas.openxmlformats.org/officeDocument/2006/relationships/hyperlink" Target="https://sbrownlawyer.com/" TargetMode="External"/><Relationship Id="rId1905" Type="http://schemas.openxmlformats.org/officeDocument/2006/relationships/hyperlink" Target="https://sbrownlawyer.com/2018/03/23/parental-alienation-a-criminal-offense-in-texas/" TargetMode="External"/><Relationship Id="rId1906" Type="http://schemas.openxmlformats.org/officeDocument/2006/relationships/hyperlink" Target="https://sbrownlawyer.com/2024/03/26/grandparent-custody-rights/" TargetMode="External"/><Relationship Id="rId1907" Type="http://schemas.openxmlformats.org/officeDocument/2006/relationships/hyperlink" Target="https://sbrownlawyer.com/" TargetMode="External"/><Relationship Id="rId1908" Type="http://schemas.openxmlformats.org/officeDocument/2006/relationships/hyperlink" Target="https://sbrownlawyer.com/2021/06/15/11-questions-to-ask-before-hiring-a-criminal-defense-attorney/" TargetMode="External"/><Relationship Id="rId1909" Type="http://schemas.openxmlformats.org/officeDocument/2006/relationships/hyperlink" Target="https://sbrownlawyer.com/child-protective-services-cps/" TargetMode="External"/><Relationship Id="rId1090" Type="http://schemas.openxmlformats.org/officeDocument/2006/relationships/hyperlink" Target="https://sbrownlawyer.com/" TargetMode="External"/><Relationship Id="rId1091" Type="http://schemas.openxmlformats.org/officeDocument/2006/relationships/hyperlink" Target="https://sbrownlawyer.com/2020/10/29/how-to-tell-if-youre-too-drunk-to-drive-and-how-to-prevent-yourself-from-becoming-a-drunk-driver/" TargetMode="External"/><Relationship Id="rId1092" Type="http://schemas.openxmlformats.org/officeDocument/2006/relationships/hyperlink" Target="https://sbrownlawyer.com/immigration/" TargetMode="External"/><Relationship Id="rId1093" Type="http://schemas.openxmlformats.org/officeDocument/2006/relationships/hyperlink" Target="https://sbrownlawyer.com/detailing-some-of-texas-important-child-custody-laws/" TargetMode="External"/><Relationship Id="rId1094" Type="http://schemas.openxmlformats.org/officeDocument/2006/relationships/hyperlink" Target="https://sbrownlawyer.com/criminal-law/indecent-exposure/" TargetMode="External"/><Relationship Id="rId1095" Type="http://schemas.openxmlformats.org/officeDocument/2006/relationships/hyperlink" Target="https://sbrownlawyer.com/child-pornography/" TargetMode="External"/><Relationship Id="rId1096" Type="http://schemas.openxmlformats.org/officeDocument/2006/relationships/hyperlink" Target="https://sbrownlawyer.com/child-pornography/" TargetMode="External"/><Relationship Id="rId1097" Type="http://schemas.openxmlformats.org/officeDocument/2006/relationships/hyperlink" Target="https://sbrownlawyer.com/2024/03/20/texas-child-support-2024/" TargetMode="External"/><Relationship Id="rId1098" Type="http://schemas.openxmlformats.org/officeDocument/2006/relationships/hyperlink" Target="https://sbrownlawyer.com/areas-we-serve/brazoria-county/" TargetMode="External"/><Relationship Id="rId1099" Type="http://schemas.openxmlformats.org/officeDocument/2006/relationships/hyperlink" Target="https://sbrownlawyer.com/attorneys/" TargetMode="External"/><Relationship Id="rId1080" Type="http://schemas.openxmlformats.org/officeDocument/2006/relationships/hyperlink" Target="https://sbrownlawyer.com/2018/01/28/silencers-are-not-prohibited-weapons/" TargetMode="External"/><Relationship Id="rId1081" Type="http://schemas.openxmlformats.org/officeDocument/2006/relationships/hyperlink" Target="https://sbrownlawyer.com/2024/12/27/understanding-the-naturalization-timeline-for-texas-residents/" TargetMode="External"/><Relationship Id="rId1082" Type="http://schemas.openxmlformats.org/officeDocument/2006/relationships/hyperlink" Target="https://sbrownlawyer.com/2024/03/26/grandparent-custody-rights/" TargetMode="External"/><Relationship Id="rId1083" Type="http://schemas.openxmlformats.org/officeDocument/2006/relationships/hyperlink" Target="https://sbrownlawyer.com/uncontested-divorce-lawyer-in-pearland/" TargetMode="External"/><Relationship Id="rId1084" Type="http://schemas.openxmlformats.org/officeDocument/2006/relationships/hyperlink" Target="https://sbrownlawyer.com/oil-and-mineral-rights/" TargetMode="External"/><Relationship Id="rId1085" Type="http://schemas.openxmlformats.org/officeDocument/2006/relationships/hyperlink" Target="https://sbrownlawyer.com/public-indecency/" TargetMode="External"/><Relationship Id="rId1086" Type="http://schemas.openxmlformats.org/officeDocument/2006/relationships/hyperlink" Target="https://sbrownlawyer.com/texas/locations/pearland/" TargetMode="External"/><Relationship Id="rId1087" Type="http://schemas.openxmlformats.org/officeDocument/2006/relationships/hyperlink" Target="https://sbrownlawyer.com/2020/05/21/what-happens-if-you-violate-a-restraining-order/" TargetMode="External"/><Relationship Id="rId1088" Type="http://schemas.openxmlformats.org/officeDocument/2006/relationships/hyperlink" Target="https://sbrownlawyer.com/2024/07/08/open-vs-closed-aoption-angleton-texas/" TargetMode="External"/><Relationship Id="rId1089" Type="http://schemas.openxmlformats.org/officeDocument/2006/relationships/hyperlink" Target="https://sbrownlawyer.com/2024/03/20/texas-child-support-2024/" TargetMode="External"/><Relationship Id="rId1972" Type="http://schemas.openxmlformats.org/officeDocument/2006/relationships/hyperlink" Target="https://sbrownlawyer.com/2018/04/17/statutory-rape-age-of-consent-in-texas-how-old-is-too-old/" TargetMode="External"/><Relationship Id="rId1973" Type="http://schemas.openxmlformats.org/officeDocument/2006/relationships/hyperlink" Target="https://sbrownlawyer.com/2018/04/06/can-you-adopt-a-child-in-texas-without-the-biological-fathers-consent/" TargetMode="External"/><Relationship Id="rId1974" Type="http://schemas.openxmlformats.org/officeDocument/2006/relationships/hyperlink" Target="https://sbrownlawyer.com/2020/06/25/partner-abuse-the-many-forms-of-domestic-violence/" TargetMode="External"/><Relationship Id="rId1975" Type="http://schemas.openxmlformats.org/officeDocument/2006/relationships/hyperlink" Target="https://sbrownlawyer.com/league-city-tx-personal-injury-lawyer/" TargetMode="External"/><Relationship Id="rId1976" Type="http://schemas.openxmlformats.org/officeDocument/2006/relationships/hyperlink" Target="https://sbrownlawyer.com/2018/07/17/what-happens-to-you-money-from-a-personal-injury-settlement-if-you-get-divorced/" TargetMode="External"/><Relationship Id="rId1977" Type="http://schemas.openxmlformats.org/officeDocument/2006/relationships/hyperlink" Target="https://sbrownlawyer.com/" TargetMode="External"/><Relationship Id="rId1978" Type="http://schemas.openxmlformats.org/officeDocument/2006/relationships/hyperlink" Target="https://sbrownlawyer.com/" TargetMode="External"/><Relationship Id="rId1979" Type="http://schemas.openxmlformats.org/officeDocument/2006/relationships/hyperlink" Target="https://sbrownlawyer.com/attorneys/" TargetMode="External"/><Relationship Id="rId1970" Type="http://schemas.openxmlformats.org/officeDocument/2006/relationships/hyperlink" Target="https://sbrownlawyer.com/2022/02/18/can-i-file-legal-separation-on-texas/" TargetMode="External"/><Relationship Id="rId1971" Type="http://schemas.openxmlformats.org/officeDocument/2006/relationships/hyperlink" Target="https://sbrownlawyer.com/2021/11/26/child-support-guidelines-in-texas-an-overview/" TargetMode="External"/><Relationship Id="rId1961" Type="http://schemas.openxmlformats.org/officeDocument/2006/relationships/hyperlink" Target="https://sbrownlawyer.com/2021/04/07/reasons-grandparents-can-file-for-custody-of-grandchild-in-texas/" TargetMode="External"/><Relationship Id="rId1962" Type="http://schemas.openxmlformats.org/officeDocument/2006/relationships/hyperlink" Target="https://sbrownlawyer.com/2019/05/16/motorcycle-laws-regarding-children-in-texas/" TargetMode="External"/><Relationship Id="rId1963" Type="http://schemas.openxmlformats.org/officeDocument/2006/relationships/hyperlink" Target="https://sbrownlawyer.com/parental-alienation/" TargetMode="External"/><Relationship Id="rId1964" Type="http://schemas.openxmlformats.org/officeDocument/2006/relationships/hyperlink" Target="https://sbrownlawyer.com/" TargetMode="External"/><Relationship Id="rId1965" Type="http://schemas.openxmlformats.org/officeDocument/2006/relationships/hyperlink" Target="https://sbrownlawyer.com/" TargetMode="External"/><Relationship Id="rId1966" Type="http://schemas.openxmlformats.org/officeDocument/2006/relationships/hyperlink" Target="https://sbrownlawyer.com/2013/07/24/texas-military-mans-international-child-custody-dispute/" TargetMode="External"/><Relationship Id="rId1967" Type="http://schemas.openxmlformats.org/officeDocument/2006/relationships/hyperlink" Target="https://sbrownlawyer.com/attorneys/" TargetMode="External"/><Relationship Id="rId1968" Type="http://schemas.openxmlformats.org/officeDocument/2006/relationships/hyperlink" Target="https://sbrownlawyer.com/" TargetMode="External"/><Relationship Id="rId1969" Type="http://schemas.openxmlformats.org/officeDocument/2006/relationships/hyperlink" Target="https://sbrownlawyer.com/attorneys/" TargetMode="External"/><Relationship Id="rId1960" Type="http://schemas.openxmlformats.org/officeDocument/2006/relationships/hyperlink" Target="https://sbrownlawyer.com/2017/11/21/new-texas-law-bans-texting-while-driving/" TargetMode="External"/><Relationship Id="rId1994" Type="http://schemas.openxmlformats.org/officeDocument/2006/relationships/hyperlink" Target="https://sbrownlawyer.com/" TargetMode="External"/><Relationship Id="rId1995" Type="http://schemas.openxmlformats.org/officeDocument/2006/relationships/hyperlink" Target="https://sbrownlawyer.com/uninsured-motorists-accidents/" TargetMode="External"/><Relationship Id="rId1996" Type="http://schemas.openxmlformats.org/officeDocument/2006/relationships/hyperlink" Target="https://sbrownlawyer.com/slip-and-fall-accidents/" TargetMode="External"/><Relationship Id="rId1997" Type="http://schemas.openxmlformats.org/officeDocument/2006/relationships/hyperlink" Target="https://sbrownlawyer.com/2017/09/15/how-can-an-interlock-ignition-device-help-if-a-dui-causes-a-license-suspension-in-texas/" TargetMode="External"/><Relationship Id="rId1998" Type="http://schemas.openxmlformats.org/officeDocument/2006/relationships/hyperlink" Target="https://sbrownlawyer.com/2020/10/29/how-to-tell-if-youre-too-drunk-to-drive-and-how-to-prevent-yourself-from-becoming-a-drunk-driver/" TargetMode="External"/><Relationship Id="rId1999" Type="http://schemas.openxmlformats.org/officeDocument/2006/relationships/hyperlink" Target="https://sbrownlawyer.com/attorneys/" TargetMode="External"/><Relationship Id="rId1990" Type="http://schemas.openxmlformats.org/officeDocument/2006/relationships/hyperlink" Target="https://sbrownlawyer.com/privacy-policy/" TargetMode="External"/><Relationship Id="rId1991" Type="http://schemas.openxmlformats.org/officeDocument/2006/relationships/hyperlink" Target="https://sbrownlawyer.com/uncontested-divorce-lawyer-in-pearland/" TargetMode="External"/><Relationship Id="rId1992" Type="http://schemas.openxmlformats.org/officeDocument/2006/relationships/hyperlink" Target="https://sbrownlawyer.com/espanol/" TargetMode="External"/><Relationship Id="rId1993" Type="http://schemas.openxmlformats.org/officeDocument/2006/relationships/hyperlink" Target="https://sbrownlawyer.com/oil-and-mineral-rights/" TargetMode="External"/><Relationship Id="rId1983" Type="http://schemas.openxmlformats.org/officeDocument/2006/relationships/hyperlink" Target="https://sbrownlawyer.com/2022/02/18/can-i-file-legal-separation-on-texas/" TargetMode="External"/><Relationship Id="rId1984" Type="http://schemas.openxmlformats.org/officeDocument/2006/relationships/hyperlink" Target="https://sbrownlawyer.com/grand-theft/" TargetMode="External"/><Relationship Id="rId1985" Type="http://schemas.openxmlformats.org/officeDocument/2006/relationships/hyperlink" Target="https://sbrownlawyer.com/2024/07/04/expungement-vs-sealing-what-is-the-best-option/" TargetMode="External"/><Relationship Id="rId1986" Type="http://schemas.openxmlformats.org/officeDocument/2006/relationships/hyperlink" Target="https://sbrownlawyer.com/attorneys/" TargetMode="External"/><Relationship Id="rId1987" Type="http://schemas.openxmlformats.org/officeDocument/2006/relationships/hyperlink" Target="https://sbrownlawyer.com/pedestrian-accidents/" TargetMode="External"/><Relationship Id="rId1988" Type="http://schemas.openxmlformats.org/officeDocument/2006/relationships/hyperlink" Target="https://sbrownlawyer.com/league-city-slip-fall-accidents/" TargetMode="External"/><Relationship Id="rId1989" Type="http://schemas.openxmlformats.org/officeDocument/2006/relationships/hyperlink" Target="https://sbrownlawyer.com/attorneys/" TargetMode="External"/><Relationship Id="rId1980" Type="http://schemas.openxmlformats.org/officeDocument/2006/relationships/hyperlink" Target="https://sbrownlawyer.com/" TargetMode="External"/><Relationship Id="rId1981" Type="http://schemas.openxmlformats.org/officeDocument/2006/relationships/hyperlink" Target="https://sbrownlawyer.com/" TargetMode="External"/><Relationship Id="rId1982" Type="http://schemas.openxmlformats.org/officeDocument/2006/relationships/hyperlink" Target="https://sbrownlawyer.com/attorneys/" TargetMode="External"/><Relationship Id="rId1930" Type="http://schemas.openxmlformats.org/officeDocument/2006/relationships/hyperlink" Target="https://sbrownlawyer.com/2018/04/17/statutory-rape-age-of-consent-in-texas-how-old-is-too-old/" TargetMode="External"/><Relationship Id="rId1931" Type="http://schemas.openxmlformats.org/officeDocument/2006/relationships/hyperlink" Target="https://sbrownlawyer.com/attorneys/" TargetMode="External"/><Relationship Id="rId1932" Type="http://schemas.openxmlformats.org/officeDocument/2006/relationships/hyperlink" Target="https://sbrownlawyer.com/attorneys/" TargetMode="External"/><Relationship Id="rId1933" Type="http://schemas.openxmlformats.org/officeDocument/2006/relationships/hyperlink" Target="https://sbrownlawyer.com/" TargetMode="External"/><Relationship Id="rId1934" Type="http://schemas.openxmlformats.org/officeDocument/2006/relationships/hyperlink" Target="https://sbrownlawyer.com/" TargetMode="External"/><Relationship Id="rId1935" Type="http://schemas.openxmlformats.org/officeDocument/2006/relationships/hyperlink" Target="https://sbrownlawyer.com/criminal-law/indecent-exposure/" TargetMode="External"/><Relationship Id="rId1936" Type="http://schemas.openxmlformats.org/officeDocument/2006/relationships/hyperlink" Target="https://sbrownlawyer.com/parental-alienation/" TargetMode="External"/><Relationship Id="rId1937" Type="http://schemas.openxmlformats.org/officeDocument/2006/relationships/hyperlink" Target="https://sbrownlawyer.com/2024/12/27/understanding-the-naturalization-timeline-for-texas-residents/" TargetMode="External"/><Relationship Id="rId1938" Type="http://schemas.openxmlformats.org/officeDocument/2006/relationships/hyperlink" Target="https://sbrownlawyer.com/attorneys/" TargetMode="External"/><Relationship Id="rId1939" Type="http://schemas.openxmlformats.org/officeDocument/2006/relationships/hyperlink" Target="https://sbrownlawyer.com/attorneys/" TargetMode="External"/><Relationship Id="rId1920" Type="http://schemas.openxmlformats.org/officeDocument/2006/relationships/hyperlink" Target="https://sbrownlawyer.com/2024/07/08/open-vs-closed-aoption-angleton-texas/" TargetMode="External"/><Relationship Id="rId1921" Type="http://schemas.openxmlformats.org/officeDocument/2006/relationships/hyperlink" Target="https://sbrownlawyer.com/2018/09/24/what-rights-do-fathers-have-in-texas/" TargetMode="External"/><Relationship Id="rId1922" Type="http://schemas.openxmlformats.org/officeDocument/2006/relationships/hyperlink" Target="https://sbrownlawyer.com/2020/11/13/these-are-the-different-types-of-divorce-in-texas/" TargetMode="External"/><Relationship Id="rId1923" Type="http://schemas.openxmlformats.org/officeDocument/2006/relationships/hyperlink" Target="https://sbrownlawyer.com/2021/04/07/reasons-grandparents-can-file-for-custody-of-grandchild-in-texas/" TargetMode="External"/><Relationship Id="rId1924" Type="http://schemas.openxmlformats.org/officeDocument/2006/relationships/hyperlink" Target="https://sbrownlawyer.com/truck-accident/" TargetMode="External"/><Relationship Id="rId1925" Type="http://schemas.openxmlformats.org/officeDocument/2006/relationships/hyperlink" Target="https://sbrownlawyer.com/2019/05/16/motorcycle-laws-regarding-children-in-texas/" TargetMode="External"/><Relationship Id="rId1926" Type="http://schemas.openxmlformats.org/officeDocument/2006/relationships/hyperlink" Target="https://sbrownlawyer.com/family-based-immigration/" TargetMode="External"/><Relationship Id="rId1927" Type="http://schemas.openxmlformats.org/officeDocument/2006/relationships/hyperlink" Target="https://sbrownlawyer.com/" TargetMode="External"/><Relationship Id="rId1928" Type="http://schemas.openxmlformats.org/officeDocument/2006/relationships/hyperlink" Target="https://sbrownlawyer.com/sexual-abuse/" TargetMode="External"/><Relationship Id="rId1929" Type="http://schemas.openxmlformats.org/officeDocument/2006/relationships/hyperlink" Target="https://sbrownlawyer.com/" TargetMode="External"/><Relationship Id="rId1950" Type="http://schemas.openxmlformats.org/officeDocument/2006/relationships/hyperlink" Target="https://sbrownlawyer.com/2021/11/26/child-support-guidelines-in-texas-an-overview/" TargetMode="External"/><Relationship Id="rId1951" Type="http://schemas.openxmlformats.org/officeDocument/2006/relationships/hyperlink" Target="https://sbrownlawyer.com/2012/06/15/military-divorce-rates-continue-to-rise/" TargetMode="External"/><Relationship Id="rId1952" Type="http://schemas.openxmlformats.org/officeDocument/2006/relationships/hyperlink" Target="https://sbrownlawyer.com/2024/07/04/expungement-vs-sealing-what-is-the-best-option/" TargetMode="External"/><Relationship Id="rId1953" Type="http://schemas.openxmlformats.org/officeDocument/2006/relationships/hyperlink" Target="https://sbrownlawyer.com/2024/03/26/grandparent-custody-rights/" TargetMode="External"/><Relationship Id="rId1954" Type="http://schemas.openxmlformats.org/officeDocument/2006/relationships/hyperlink" Target="https://sbrownlawyer.com/2024/03/26/grandparent-custody-rights/" TargetMode="External"/><Relationship Id="rId1955" Type="http://schemas.openxmlformats.org/officeDocument/2006/relationships/hyperlink" Target="https://sbrownlawyer.com/" TargetMode="External"/><Relationship Id="rId1956" Type="http://schemas.openxmlformats.org/officeDocument/2006/relationships/hyperlink" Target="https://sbrownlawyer.com/2016/01/22/what-are-the-penalties-for-violating-a-protective-order/" TargetMode="External"/><Relationship Id="rId1957" Type="http://schemas.openxmlformats.org/officeDocument/2006/relationships/hyperlink" Target="https://sbrownlawyer.com/harris-county-criminal-defense/" TargetMode="External"/><Relationship Id="rId1958" Type="http://schemas.openxmlformats.org/officeDocument/2006/relationships/hyperlink" Target="https://sbrownlawyer.com/2020/10/29/how-to-tell-if-youre-too-drunk-to-drive-and-how-to-prevent-yourself-from-becoming-a-drunk-driver/" TargetMode="External"/><Relationship Id="rId1959" Type="http://schemas.openxmlformats.org/officeDocument/2006/relationships/hyperlink" Target="https://sbrownlawyer.com/uncontested-divorce-lawyer-in-pearland/" TargetMode="External"/><Relationship Id="rId1940" Type="http://schemas.openxmlformats.org/officeDocument/2006/relationships/hyperlink" Target="https://sbrownlawyer.com/2018/01/28/silencers-are-not-prohibited-weapons/" TargetMode="External"/><Relationship Id="rId1941" Type="http://schemas.openxmlformats.org/officeDocument/2006/relationships/hyperlink" Target="https://sbrownlawyer.com/" TargetMode="External"/><Relationship Id="rId1942" Type="http://schemas.openxmlformats.org/officeDocument/2006/relationships/hyperlink" Target="https://sbrownlawyer.com/" TargetMode="External"/><Relationship Id="rId1943" Type="http://schemas.openxmlformats.org/officeDocument/2006/relationships/hyperlink" Target="https://sbrownlawyer.com/attorneys/" TargetMode="External"/><Relationship Id="rId1944" Type="http://schemas.openxmlformats.org/officeDocument/2006/relationships/hyperlink" Target="https://sbrownlawyer.com/2024/11/29/how-to-meet-texas-adjustment-of-status-requirements-for-spouses/" TargetMode="External"/><Relationship Id="rId1945" Type="http://schemas.openxmlformats.org/officeDocument/2006/relationships/hyperlink" Target="https://sbrownlawyer.com/2024/04/24/texas-alimony-am-i-entitled/" TargetMode="External"/><Relationship Id="rId1946" Type="http://schemas.openxmlformats.org/officeDocument/2006/relationships/hyperlink" Target="https://sbrownlawyer.com/immigration/" TargetMode="External"/><Relationship Id="rId1947" Type="http://schemas.openxmlformats.org/officeDocument/2006/relationships/hyperlink" Target="https://sbrownlawyer.com/criminal-defense-lawyer-galveston-county/" TargetMode="External"/><Relationship Id="rId1948" Type="http://schemas.openxmlformats.org/officeDocument/2006/relationships/hyperlink" Target="https://sbrownlawyer.com/attorneys/" TargetMode="External"/><Relationship Id="rId1949" Type="http://schemas.openxmlformats.org/officeDocument/2006/relationships/hyperlink" Target="https://sbrownlawyer.com/attorneys/" TargetMode="External"/><Relationship Id="rId2423" Type="http://schemas.openxmlformats.org/officeDocument/2006/relationships/hyperlink" Target="https://sbrownlawyer.com/attorneys/" TargetMode="External"/><Relationship Id="rId2424" Type="http://schemas.openxmlformats.org/officeDocument/2006/relationships/hyperlink" Target="https://sbrownlawyer.com/falsely-accused/" TargetMode="External"/><Relationship Id="rId2425" Type="http://schemas.openxmlformats.org/officeDocument/2006/relationships/hyperlink" Target="https://sbrownlawyer.com/division-of-property/" TargetMode="External"/><Relationship Id="rId2426" Type="http://schemas.openxmlformats.org/officeDocument/2006/relationships/hyperlink" Target="https://sbrownlawyer.com/2021/02/28/what-happens-after-a-second-and-third-dwi-in-texas/" TargetMode="External"/><Relationship Id="rId2427" Type="http://schemas.openxmlformats.org/officeDocument/2006/relationships/hyperlink" Target="https://sbrownlawyer.com/white-collar-crimes/" TargetMode="External"/><Relationship Id="rId2428" Type="http://schemas.openxmlformats.org/officeDocument/2006/relationships/hyperlink" Target="https://sbrownlawyer.com/criminal-law/indecent-exposure/" TargetMode="External"/><Relationship Id="rId2429" Type="http://schemas.openxmlformats.org/officeDocument/2006/relationships/hyperlink" Target="https://sbrownlawyer.com/2018/01/28/silencers-are-not-prohibited-weapons/" TargetMode="External"/><Relationship Id="rId509" Type="http://schemas.openxmlformats.org/officeDocument/2006/relationships/hyperlink" Target="https://sbrownlawyer.com/" TargetMode="External"/><Relationship Id="rId508" Type="http://schemas.openxmlformats.org/officeDocument/2006/relationships/hyperlink" Target="https://sbrownlawyer.com/texas/locations/angleton/" TargetMode="External"/><Relationship Id="rId503" Type="http://schemas.openxmlformats.org/officeDocument/2006/relationships/hyperlink" Target="https://sbrownlawyer.com/areas-we-serve/galveston-county/" TargetMode="External"/><Relationship Id="rId502" Type="http://schemas.openxmlformats.org/officeDocument/2006/relationships/hyperlink" Target="https://sbrownlawyer.com/family-law-attorney-in-galveston/" TargetMode="External"/><Relationship Id="rId501" Type="http://schemas.openxmlformats.org/officeDocument/2006/relationships/hyperlink" Target="https://sbrownlawyer.com/homes-and-real-estate/" TargetMode="External"/><Relationship Id="rId500" Type="http://schemas.openxmlformats.org/officeDocument/2006/relationships/hyperlink" Target="https://sbrownlawyer.com/2024/12/27/understanding-the-naturalization-timeline-for-texas-residents/" TargetMode="External"/><Relationship Id="rId507" Type="http://schemas.openxmlformats.org/officeDocument/2006/relationships/hyperlink" Target="https://sbrownlawyer.com/" TargetMode="External"/><Relationship Id="rId506" Type="http://schemas.openxmlformats.org/officeDocument/2006/relationships/hyperlink" Target="https://sbrownlawyer.com/2020/10/29/how-to-tell-if-youre-too-drunk-to-drive-and-how-to-prevent-yourself-from-becoming-a-drunk-driver/" TargetMode="External"/><Relationship Id="rId505" Type="http://schemas.openxmlformats.org/officeDocument/2006/relationships/hyperlink" Target="https://sbrownlawyer.com/espanol/" TargetMode="External"/><Relationship Id="rId504" Type="http://schemas.openxmlformats.org/officeDocument/2006/relationships/hyperlink" Target="https://sbrownlawyer.com/" TargetMode="External"/><Relationship Id="rId2420" Type="http://schemas.openxmlformats.org/officeDocument/2006/relationships/hyperlink" Target="https://sbrownlawyer.com/2017/11/21/new-texas-law-bans-texting-while-driving/" TargetMode="External"/><Relationship Id="rId2421" Type="http://schemas.openxmlformats.org/officeDocument/2006/relationships/hyperlink" Target="https://sbrownlawyer.com/2015/09/10/why-are-family-care-plans-important-for-military-parents/" TargetMode="External"/><Relationship Id="rId2422" Type="http://schemas.openxmlformats.org/officeDocument/2006/relationships/hyperlink" Target="https://sbrownlawyer.com/drug-possession/" TargetMode="External"/><Relationship Id="rId2412" Type="http://schemas.openxmlformats.org/officeDocument/2006/relationships/hyperlink" Target="https://sbrownlawyer.com/" TargetMode="External"/><Relationship Id="rId2413" Type="http://schemas.openxmlformats.org/officeDocument/2006/relationships/hyperlink" Target="https://sbrownlawyer.com/" TargetMode="External"/><Relationship Id="rId2414" Type="http://schemas.openxmlformats.org/officeDocument/2006/relationships/hyperlink" Target="https://sbrownlawyer.com/" TargetMode="External"/><Relationship Id="rId2415" Type="http://schemas.openxmlformats.org/officeDocument/2006/relationships/hyperlink" Target="https://sbrownlawyer.com/sexual-abuse/" TargetMode="External"/><Relationship Id="rId2416" Type="http://schemas.openxmlformats.org/officeDocument/2006/relationships/hyperlink" Target="https://sbrownlawyer.com/texas/locations/" TargetMode="External"/><Relationship Id="rId2417" Type="http://schemas.openxmlformats.org/officeDocument/2006/relationships/hyperlink" Target="https://sbrownlawyer.com/dog-bite-injuries/" TargetMode="External"/><Relationship Id="rId2418" Type="http://schemas.openxmlformats.org/officeDocument/2006/relationships/hyperlink" Target="https://sbrownlawyer.com/2018/09/24/what-rights-do-fathers-have-in-texas/" TargetMode="External"/><Relationship Id="rId2419" Type="http://schemas.openxmlformats.org/officeDocument/2006/relationships/hyperlink" Target="https://sbrownlawyer.com/cohabitation/" TargetMode="External"/><Relationship Id="rId2410" Type="http://schemas.openxmlformats.org/officeDocument/2006/relationships/hyperlink" Target="https://sbrownlawyer.com/2018/04/17/statutory-rape-age-of-consent-in-texas-how-old-is-too-old/" TargetMode="External"/><Relationship Id="rId2411" Type="http://schemas.openxmlformats.org/officeDocument/2006/relationships/hyperlink" Target="https://sbrownlawyer.com/" TargetMode="External"/><Relationship Id="rId1114" Type="http://schemas.openxmlformats.org/officeDocument/2006/relationships/hyperlink" Target="https://sbrownlawyer.com/criminal-law/indecent-exposure/" TargetMode="External"/><Relationship Id="rId2445" Type="http://schemas.openxmlformats.org/officeDocument/2006/relationships/hyperlink" Target="https://sbrownlawyer.com/2024/04/24/texas-alimony-am-i-entitled/" TargetMode="External"/><Relationship Id="rId1115" Type="http://schemas.openxmlformats.org/officeDocument/2006/relationships/hyperlink" Target="https://sbrownlawyer.com/divorce/" TargetMode="External"/><Relationship Id="rId2446" Type="http://schemas.openxmlformats.org/officeDocument/2006/relationships/hyperlink" Target="https://sbrownlawyer.com/sex-crimes/texas-sex-crime-law/" TargetMode="External"/><Relationship Id="rId1116" Type="http://schemas.openxmlformats.org/officeDocument/2006/relationships/hyperlink" Target="https://sbrownlawyer.com/2015/11/06/worlds-most-expensive-divorce-comes-to-end/" TargetMode="External"/><Relationship Id="rId2447" Type="http://schemas.openxmlformats.org/officeDocument/2006/relationships/hyperlink" Target="https://sbrownlawyer.com/2021/02/28/what-happens-after-a-second-and-third-dwi-in-texas/" TargetMode="External"/><Relationship Id="rId1117" Type="http://schemas.openxmlformats.org/officeDocument/2006/relationships/hyperlink" Target="https://sbrownlawyer.com/attorneys/" TargetMode="External"/><Relationship Id="rId2448" Type="http://schemas.openxmlformats.org/officeDocument/2006/relationships/hyperlink" Target="https://sbrownlawyer.com/immigration/" TargetMode="External"/><Relationship Id="rId1118" Type="http://schemas.openxmlformats.org/officeDocument/2006/relationships/hyperlink" Target="https://sbrownlawyer.com/attorneys/" TargetMode="External"/><Relationship Id="rId2449" Type="http://schemas.openxmlformats.org/officeDocument/2006/relationships/hyperlink" Target="https://sbrownlawyer.com/" TargetMode="External"/><Relationship Id="rId1119" Type="http://schemas.openxmlformats.org/officeDocument/2006/relationships/hyperlink" Target="https://sbrownlawyer.com/2018/03/23/parental-alienation-a-criminal-offense-in-texas/" TargetMode="External"/><Relationship Id="rId525" Type="http://schemas.openxmlformats.org/officeDocument/2006/relationships/hyperlink" Target="https://sbrownlawyer.com/attorneys/" TargetMode="External"/><Relationship Id="rId524" Type="http://schemas.openxmlformats.org/officeDocument/2006/relationships/hyperlink" Target="https://sbrownlawyer.com/" TargetMode="External"/><Relationship Id="rId523" Type="http://schemas.openxmlformats.org/officeDocument/2006/relationships/hyperlink" Target="https://sbrownlawyer.com/2024/12/27/understanding-the-naturalization-timeline-for-texas-residents/" TargetMode="External"/><Relationship Id="rId522" Type="http://schemas.openxmlformats.org/officeDocument/2006/relationships/hyperlink" Target="https://sbrownlawyer.com/2018/01/28/silencers-are-not-prohibited-weapons/" TargetMode="External"/><Relationship Id="rId529" Type="http://schemas.openxmlformats.org/officeDocument/2006/relationships/hyperlink" Target="https://sbrownlawyer.com/" TargetMode="External"/><Relationship Id="rId528" Type="http://schemas.openxmlformats.org/officeDocument/2006/relationships/hyperlink" Target="https://sbrownlawyer.com/pearland-probation-violations-lawyer/" TargetMode="External"/><Relationship Id="rId527" Type="http://schemas.openxmlformats.org/officeDocument/2006/relationships/hyperlink" Target="https://sbrownlawyer.com/areas-we-serve/fort-bend-county/" TargetMode="External"/><Relationship Id="rId526" Type="http://schemas.openxmlformats.org/officeDocument/2006/relationships/hyperlink" Target="https://sbrownlawyer.com/areas-we-serve/brazoria-county/" TargetMode="External"/><Relationship Id="rId2440" Type="http://schemas.openxmlformats.org/officeDocument/2006/relationships/hyperlink" Target="https://sbrownlawyer.com/adoption/" TargetMode="External"/><Relationship Id="rId521" Type="http://schemas.openxmlformats.org/officeDocument/2006/relationships/hyperlink" Target="https://sbrownlawyer.com/2024/12/27/understanding-the-naturalization-timeline-for-texas-residents/" TargetMode="External"/><Relationship Id="rId1110" Type="http://schemas.openxmlformats.org/officeDocument/2006/relationships/hyperlink" Target="https://sbrownlawyer.com/attorneys/" TargetMode="External"/><Relationship Id="rId2441" Type="http://schemas.openxmlformats.org/officeDocument/2006/relationships/hyperlink" Target="https://sbrownlawyer.com/business-owner-divorce/" TargetMode="External"/><Relationship Id="rId520" Type="http://schemas.openxmlformats.org/officeDocument/2006/relationships/hyperlink" Target="https://sbrownlawyer.com/galveston-motorcycle-accidents-2/" TargetMode="External"/><Relationship Id="rId1111" Type="http://schemas.openxmlformats.org/officeDocument/2006/relationships/hyperlink" Target="https://sbrownlawyer.com/peggy-bittick/" TargetMode="External"/><Relationship Id="rId2442" Type="http://schemas.openxmlformats.org/officeDocument/2006/relationships/hyperlink" Target="https://sbrownlawyer.com/" TargetMode="External"/><Relationship Id="rId1112" Type="http://schemas.openxmlformats.org/officeDocument/2006/relationships/hyperlink" Target="https://sbrownlawyer.com/firm-overview/" TargetMode="External"/><Relationship Id="rId2443" Type="http://schemas.openxmlformats.org/officeDocument/2006/relationships/hyperlink" Target="https://sbrownlawyer.com/rape-sexual-assault/" TargetMode="External"/><Relationship Id="rId1113" Type="http://schemas.openxmlformats.org/officeDocument/2006/relationships/hyperlink" Target="https://sbrownlawyer.com/oil-and-mineral-rights/" TargetMode="External"/><Relationship Id="rId2444" Type="http://schemas.openxmlformats.org/officeDocument/2006/relationships/hyperlink" Target="https://sbrownlawyer.com/attorneys/" TargetMode="External"/><Relationship Id="rId1103" Type="http://schemas.openxmlformats.org/officeDocument/2006/relationships/hyperlink" Target="https://sbrownlawyer.com/peggy-bittick/" TargetMode="External"/><Relationship Id="rId2434" Type="http://schemas.openxmlformats.org/officeDocument/2006/relationships/hyperlink" Target="https://sbrownlawyer.com/2018/04/17/statutory-rape-age-of-consent-in-texas-how-old-is-too-old/" TargetMode="External"/><Relationship Id="rId1104" Type="http://schemas.openxmlformats.org/officeDocument/2006/relationships/hyperlink" Target="https://sbrownlawyer.com/under-age-dui-defense-in-league-city-tx/" TargetMode="External"/><Relationship Id="rId2435" Type="http://schemas.openxmlformats.org/officeDocument/2006/relationships/hyperlink" Target="https://sbrownlawyer.com/" TargetMode="External"/><Relationship Id="rId1105" Type="http://schemas.openxmlformats.org/officeDocument/2006/relationships/hyperlink" Target="https://sbrownlawyer.com/2018/08/15/how-does-military-deployment-affect-child-custody/" TargetMode="External"/><Relationship Id="rId2436" Type="http://schemas.openxmlformats.org/officeDocument/2006/relationships/hyperlink" Target="https://sbrownlawyer.com/2018/03/23/parental-alienation-a-criminal-offense-in-texas/" TargetMode="External"/><Relationship Id="rId1106" Type="http://schemas.openxmlformats.org/officeDocument/2006/relationships/hyperlink" Target="https://sbrownlawyer.com/" TargetMode="External"/><Relationship Id="rId2437" Type="http://schemas.openxmlformats.org/officeDocument/2006/relationships/hyperlink" Target="https://sbrownlawyer.com/texas/locations/pearland/" TargetMode="External"/><Relationship Id="rId1107" Type="http://schemas.openxmlformats.org/officeDocument/2006/relationships/hyperlink" Target="https://sbrownlawyer.com/drug-crimes/" TargetMode="External"/><Relationship Id="rId2438" Type="http://schemas.openxmlformats.org/officeDocument/2006/relationships/hyperlink" Target="https://sbrownlawyer.com/adoption/" TargetMode="External"/><Relationship Id="rId1108" Type="http://schemas.openxmlformats.org/officeDocument/2006/relationships/hyperlink" Target="https://sbrownlawyer.com/2024/04/24/texas-alimony-am-i-entitled/" TargetMode="External"/><Relationship Id="rId2439" Type="http://schemas.openxmlformats.org/officeDocument/2006/relationships/hyperlink" Target="https://sbrownlawyer.com/divorce/" TargetMode="External"/><Relationship Id="rId1109" Type="http://schemas.openxmlformats.org/officeDocument/2006/relationships/hyperlink" Target="https://sbrownlawyer.com/2022/02/18/can-i-file-legal-separation-on-texas/" TargetMode="External"/><Relationship Id="rId519" Type="http://schemas.openxmlformats.org/officeDocument/2006/relationships/hyperlink" Target="https://sbrownlawyer.com/2018/01/28/silencers-are-not-prohibited-weapons/" TargetMode="External"/><Relationship Id="rId514" Type="http://schemas.openxmlformats.org/officeDocument/2006/relationships/hyperlink" Target="https://sbrownlawyer.com/2024/12/27/understanding-the-naturalization-timeline-for-texas-residents/" TargetMode="External"/><Relationship Id="rId513" Type="http://schemas.openxmlformats.org/officeDocument/2006/relationships/hyperlink" Target="https://sbrownlawyer.com/2024/12/27/understanding-the-naturalization-timeline-for-texas-residents/" TargetMode="External"/><Relationship Id="rId512" Type="http://schemas.openxmlformats.org/officeDocument/2006/relationships/hyperlink" Target="https://sbrownlawyer.com/" TargetMode="External"/><Relationship Id="rId511" Type="http://schemas.openxmlformats.org/officeDocument/2006/relationships/hyperlink" Target="https://sbrownlawyer.com/2024/12/27/understanding-the-naturalization-timeline-for-texas-residents/" TargetMode="External"/><Relationship Id="rId518" Type="http://schemas.openxmlformats.org/officeDocument/2006/relationships/hyperlink" Target="https://sbrownlawyer.com/" TargetMode="External"/><Relationship Id="rId517" Type="http://schemas.openxmlformats.org/officeDocument/2006/relationships/hyperlink" Target="https://sbrownlawyer.com/2024/04/24/texas-alimony-am-i-entitled/" TargetMode="External"/><Relationship Id="rId516" Type="http://schemas.openxmlformats.org/officeDocument/2006/relationships/hyperlink" Target="https://sbrownlawyer.com/texas/locations/pearland/" TargetMode="External"/><Relationship Id="rId515" Type="http://schemas.openxmlformats.org/officeDocument/2006/relationships/hyperlink" Target="https://sbrownlawyer.com/2024/12/27/understanding-the-naturalization-timeline-for-texas-residents/" TargetMode="External"/><Relationship Id="rId510" Type="http://schemas.openxmlformats.org/officeDocument/2006/relationships/hyperlink" Target="https://sbrownlawyer.com/divorce/" TargetMode="External"/><Relationship Id="rId2430" Type="http://schemas.openxmlformats.org/officeDocument/2006/relationships/hyperlink" Target="https://sbrownlawyer.com/2020/06/25/partner-abuse-the-many-forms-of-domestic-violence/" TargetMode="External"/><Relationship Id="rId1100" Type="http://schemas.openxmlformats.org/officeDocument/2006/relationships/hyperlink" Target="https://sbrownlawyer.com/" TargetMode="External"/><Relationship Id="rId2431" Type="http://schemas.openxmlformats.org/officeDocument/2006/relationships/hyperlink" Target="https://sbrownlawyer.com/international-custody/" TargetMode="External"/><Relationship Id="rId1101" Type="http://schemas.openxmlformats.org/officeDocument/2006/relationships/hyperlink" Target="https://sbrownlawyer.com/attorneys/" TargetMode="External"/><Relationship Id="rId2432" Type="http://schemas.openxmlformats.org/officeDocument/2006/relationships/hyperlink" Target="https://sbrownlawyer.com/2024/04/24/texas-alimony-am-i-entitled/" TargetMode="External"/><Relationship Id="rId1102" Type="http://schemas.openxmlformats.org/officeDocument/2006/relationships/hyperlink" Target="https://sbrownlawyer.com/attorneys/" TargetMode="External"/><Relationship Id="rId2433" Type="http://schemas.openxmlformats.org/officeDocument/2006/relationships/hyperlink" Target="https://sbrownlawyer.com/areas-we-serve/brazoria-county/lake-jackson/" TargetMode="External"/><Relationship Id="rId2401" Type="http://schemas.openxmlformats.org/officeDocument/2006/relationships/hyperlink" Target="https://sbrownlawyer.com/" TargetMode="External"/><Relationship Id="rId2402" Type="http://schemas.openxmlformats.org/officeDocument/2006/relationships/hyperlink" Target="https://sbrownlawyer.com/attorneys/" TargetMode="External"/><Relationship Id="rId2403" Type="http://schemas.openxmlformats.org/officeDocument/2006/relationships/hyperlink" Target="https://sbrownlawyer.com/2017/11/21/new-texas-law-bans-texting-while-driving/" TargetMode="External"/><Relationship Id="rId2404" Type="http://schemas.openxmlformats.org/officeDocument/2006/relationships/hyperlink" Target="https://sbrownlawyer.com/domestic-abuse-and-protective-orders/" TargetMode="External"/><Relationship Id="rId2405" Type="http://schemas.openxmlformats.org/officeDocument/2006/relationships/hyperlink" Target="https://sbrownlawyer.com/faq/" TargetMode="External"/><Relationship Id="rId2406" Type="http://schemas.openxmlformats.org/officeDocument/2006/relationships/hyperlink" Target="https://sbrownlawyer.com/slip-and-fall-accidents/" TargetMode="External"/><Relationship Id="rId2407" Type="http://schemas.openxmlformats.org/officeDocument/2006/relationships/hyperlink" Target="https://sbrownlawyer.com/homicide/" TargetMode="External"/><Relationship Id="rId2408" Type="http://schemas.openxmlformats.org/officeDocument/2006/relationships/hyperlink" Target="https://sbrownlawyer.com/2020/05/21/what-happens-if-you-violate-a-restraining-order/" TargetMode="External"/><Relationship Id="rId2409" Type="http://schemas.openxmlformats.org/officeDocument/2006/relationships/hyperlink" Target="https://sbrownlawyer.com/sex-crimes/texas-sex-crime-law/" TargetMode="External"/><Relationship Id="rId2400" Type="http://schemas.openxmlformats.org/officeDocument/2006/relationships/hyperlink" Target="https://sbrownlawyer.com/theft-and-shoplifting/aggravated-burglary/" TargetMode="External"/><Relationship Id="rId590" Type="http://schemas.openxmlformats.org/officeDocument/2006/relationships/hyperlink" Target="https://sbrownlawyer.com/" TargetMode="External"/><Relationship Id="rId589" Type="http://schemas.openxmlformats.org/officeDocument/2006/relationships/hyperlink" Target="https://sbrownlawyer.com/child-custody/" TargetMode="External"/><Relationship Id="rId588" Type="http://schemas.openxmlformats.org/officeDocument/2006/relationships/hyperlink" Target="https://sbrownlawyer.com/2024/04/24/texas-alimony-am-i-entitled/" TargetMode="External"/><Relationship Id="rId1170" Type="http://schemas.openxmlformats.org/officeDocument/2006/relationships/hyperlink" Target="https://sbrownlawyer.com/2017/11/21/new-texas-law-bans-texting-while-driving/" TargetMode="External"/><Relationship Id="rId1171" Type="http://schemas.openxmlformats.org/officeDocument/2006/relationships/hyperlink" Target="https://sbrownlawyer.com/harris-county-criminal-defense/" TargetMode="External"/><Relationship Id="rId583" Type="http://schemas.openxmlformats.org/officeDocument/2006/relationships/hyperlink" Target="https://sbrownlawyer.com/league-city-tx-criminal-defense-lawyers/" TargetMode="External"/><Relationship Id="rId1172" Type="http://schemas.openxmlformats.org/officeDocument/2006/relationships/hyperlink" Target="https://sbrownlawyer.com/2024/04/24/texas-alimony-am-i-entitled/" TargetMode="External"/><Relationship Id="rId582" Type="http://schemas.openxmlformats.org/officeDocument/2006/relationships/hyperlink" Target="https://sbrownlawyer.com/attorneys/" TargetMode="External"/><Relationship Id="rId1173" Type="http://schemas.openxmlformats.org/officeDocument/2006/relationships/hyperlink" Target="https://sbrownlawyer.com/child-pornography/" TargetMode="External"/><Relationship Id="rId581" Type="http://schemas.openxmlformats.org/officeDocument/2006/relationships/hyperlink" Target="https://sbrownlawyer.com/2018/01/28/silencers-are-not-prohibited-weapons/" TargetMode="External"/><Relationship Id="rId1174" Type="http://schemas.openxmlformats.org/officeDocument/2006/relationships/hyperlink" Target="https://sbrownlawyer.com/family-law-attorney-in-galveston/" TargetMode="External"/><Relationship Id="rId580" Type="http://schemas.openxmlformats.org/officeDocument/2006/relationships/hyperlink" Target="https://sbrownlawyer.com/" TargetMode="External"/><Relationship Id="rId1175" Type="http://schemas.openxmlformats.org/officeDocument/2006/relationships/hyperlink" Target="https://sbrownlawyer.com/hit-and-run/" TargetMode="External"/><Relationship Id="rId587" Type="http://schemas.openxmlformats.org/officeDocument/2006/relationships/hyperlink" Target="https://sbrownlawyer.com/espanol/" TargetMode="External"/><Relationship Id="rId1176" Type="http://schemas.openxmlformats.org/officeDocument/2006/relationships/hyperlink" Target="https://sbrownlawyer.com/pearland-naturalization-lawyer/" TargetMode="External"/><Relationship Id="rId586" Type="http://schemas.openxmlformats.org/officeDocument/2006/relationships/hyperlink" Target="https://sbrownlawyer.com/2024/12/27/understanding-the-naturalization-timeline-for-texas-residents/" TargetMode="External"/><Relationship Id="rId1177" Type="http://schemas.openxmlformats.org/officeDocument/2006/relationships/hyperlink" Target="https://sbrownlawyer.com/2018/01/28/silencers-are-not-prohibited-weapons/" TargetMode="External"/><Relationship Id="rId585" Type="http://schemas.openxmlformats.org/officeDocument/2006/relationships/hyperlink" Target="https://sbrownlawyer.com/texas/locations/pearland/" TargetMode="External"/><Relationship Id="rId1178" Type="http://schemas.openxmlformats.org/officeDocument/2006/relationships/hyperlink" Target="https://sbrownlawyer.com/2020/10/29/how-to-tell-if-youre-too-drunk-to-drive-and-how-to-prevent-yourself-from-becoming-a-drunk-driver/" TargetMode="External"/><Relationship Id="rId584" Type="http://schemas.openxmlformats.org/officeDocument/2006/relationships/hyperlink" Target="https://sbrownlawyer.com/obscenity/" TargetMode="External"/><Relationship Id="rId1179" Type="http://schemas.openxmlformats.org/officeDocument/2006/relationships/hyperlink" Target="https://sbrownlawyer.com/2020/10/29/how-to-tell-if-youre-too-drunk-to-drive-and-how-to-prevent-yourself-from-becoming-a-drunk-driver/" TargetMode="External"/><Relationship Id="rId1169" Type="http://schemas.openxmlformats.org/officeDocument/2006/relationships/hyperlink" Target="https://sbrownlawyer.com/contact/" TargetMode="External"/><Relationship Id="rId579" Type="http://schemas.openxmlformats.org/officeDocument/2006/relationships/hyperlink" Target="https://sbrownlawyer.com/" TargetMode="External"/><Relationship Id="rId578" Type="http://schemas.openxmlformats.org/officeDocument/2006/relationships/hyperlink" Target="https://sbrownlawyer.com/areas-we-serve/brazoria-county/" TargetMode="External"/><Relationship Id="rId577" Type="http://schemas.openxmlformats.org/officeDocument/2006/relationships/hyperlink" Target="https://sbrownlawyer.com/human-trafficking/" TargetMode="External"/><Relationship Id="rId2490" Type="http://schemas.openxmlformats.org/officeDocument/2006/relationships/hyperlink" Target="https://sbrownlawyer.com/" TargetMode="External"/><Relationship Id="rId1160" Type="http://schemas.openxmlformats.org/officeDocument/2006/relationships/hyperlink" Target="https://sbrownlawyer.com/drug-crimes/" TargetMode="External"/><Relationship Id="rId2491" Type="http://schemas.openxmlformats.org/officeDocument/2006/relationships/hyperlink" Target="https://sbrownlawyer.com/attorneys/" TargetMode="External"/><Relationship Id="rId572" Type="http://schemas.openxmlformats.org/officeDocument/2006/relationships/hyperlink" Target="https://sbrownlawyer.com/2024/04/24/texas-alimony-am-i-entitled/" TargetMode="External"/><Relationship Id="rId1161" Type="http://schemas.openxmlformats.org/officeDocument/2006/relationships/hyperlink" Target="https://sbrownlawyer.com/2018/03/26/can-teenagers-get-arrested-for-texting-nude-photos-in-texas/" TargetMode="External"/><Relationship Id="rId2492" Type="http://schemas.openxmlformats.org/officeDocument/2006/relationships/hyperlink" Target="https://sbrownlawyer.com/2024/04/24/texas-alimony-am-i-entitled/" TargetMode="External"/><Relationship Id="rId571" Type="http://schemas.openxmlformats.org/officeDocument/2006/relationships/hyperlink" Target="https://sbrownlawyer.com/2024/12/27/understanding-the-naturalization-timeline-for-texas-residents/" TargetMode="External"/><Relationship Id="rId1162" Type="http://schemas.openxmlformats.org/officeDocument/2006/relationships/hyperlink" Target="https://sbrownlawyer.com/2024/11/29/how-to-meet-texas-adjustment-of-status-requirements-for-spouses/" TargetMode="External"/><Relationship Id="rId2493" Type="http://schemas.openxmlformats.org/officeDocument/2006/relationships/hyperlink" Target="https://sbrownlawyer.com/2021/03/15/who-qualifies-for-a-temporary-protective-order-in-texas-and-other-frequently-asked-questions/" TargetMode="External"/><Relationship Id="rId570" Type="http://schemas.openxmlformats.org/officeDocument/2006/relationships/hyperlink" Target="https://sbrownlawyer.com/divorce/" TargetMode="External"/><Relationship Id="rId1163" Type="http://schemas.openxmlformats.org/officeDocument/2006/relationships/hyperlink" Target="https://sbrownlawyer.com/2024/03/26/grandparent-custody-rights/" TargetMode="External"/><Relationship Id="rId2494" Type="http://schemas.openxmlformats.org/officeDocument/2006/relationships/hyperlink" Target="https://sbrownlawyer.com/2021/04/07/reasons-grandparents-can-file-for-custody-of-grandchild-in-texas/" TargetMode="External"/><Relationship Id="rId1164" Type="http://schemas.openxmlformats.org/officeDocument/2006/relationships/hyperlink" Target="https://sbrownlawyer.com/2018/01/28/silencers-are-not-prohibited-weapons/" TargetMode="External"/><Relationship Id="rId2495" Type="http://schemas.openxmlformats.org/officeDocument/2006/relationships/hyperlink" Target="https://sbrownlawyer.com/attorneys/" TargetMode="External"/><Relationship Id="rId576" Type="http://schemas.openxmlformats.org/officeDocument/2006/relationships/hyperlink" Target="https://sbrownlawyer.com/2018/01/28/silencers-are-not-prohibited-weapons/" TargetMode="External"/><Relationship Id="rId1165" Type="http://schemas.openxmlformats.org/officeDocument/2006/relationships/hyperlink" Target="https://sbrownlawyer.com/detailing-some-of-texas-important-child-custody-laws/" TargetMode="External"/><Relationship Id="rId2496" Type="http://schemas.openxmlformats.org/officeDocument/2006/relationships/hyperlink" Target="https://sbrownlawyer.com/2019/10/08/can-you-sue-a-partner-that-infected-you-with-an-std/" TargetMode="External"/><Relationship Id="rId575" Type="http://schemas.openxmlformats.org/officeDocument/2006/relationships/hyperlink" Target="https://sbrownlawyer.com/2024/04/24/texas-alimony-am-i-entitled/" TargetMode="External"/><Relationship Id="rId1166" Type="http://schemas.openxmlformats.org/officeDocument/2006/relationships/hyperlink" Target="https://sbrownlawyer.com/2020/10/29/how-to-tell-if-youre-too-drunk-to-drive-and-how-to-prevent-yourself-from-becoming-a-drunk-driver/" TargetMode="External"/><Relationship Id="rId2497" Type="http://schemas.openxmlformats.org/officeDocument/2006/relationships/hyperlink" Target="https://sbrownlawyer.com/family-law-attorney-in-galveston/" TargetMode="External"/><Relationship Id="rId574" Type="http://schemas.openxmlformats.org/officeDocument/2006/relationships/hyperlink" Target="https://sbrownlawyer.com/" TargetMode="External"/><Relationship Id="rId1167" Type="http://schemas.openxmlformats.org/officeDocument/2006/relationships/hyperlink" Target="https://sbrownlawyer.com/attorneys/" TargetMode="External"/><Relationship Id="rId2498" Type="http://schemas.openxmlformats.org/officeDocument/2006/relationships/hyperlink" Target="https://sbrownlawyer.com/" TargetMode="External"/><Relationship Id="rId573" Type="http://schemas.openxmlformats.org/officeDocument/2006/relationships/hyperlink" Target="https://sbrownlawyer.com/2024/04/24/texas-alimony-am-i-entitled/" TargetMode="External"/><Relationship Id="rId1168" Type="http://schemas.openxmlformats.org/officeDocument/2006/relationships/hyperlink" Target="https://sbrownlawyer.com/2019/05/16/motorcycle-laws-regarding-children-in-texas/" TargetMode="External"/><Relationship Id="rId2499" Type="http://schemas.openxmlformats.org/officeDocument/2006/relationships/hyperlink" Target="https://sbrownlawyer.com/hit-and-run/" TargetMode="External"/><Relationship Id="rId1190" Type="http://schemas.openxmlformats.org/officeDocument/2006/relationships/hyperlink" Target="https://sbrownlawyer.com/peggy-bittick/" TargetMode="External"/><Relationship Id="rId1191" Type="http://schemas.openxmlformats.org/officeDocument/2006/relationships/hyperlink" Target="https://sbrownlawyer.com/2018/01/28/silencers-are-not-prohibited-weapons/" TargetMode="External"/><Relationship Id="rId1192" Type="http://schemas.openxmlformats.org/officeDocument/2006/relationships/hyperlink" Target="https://sbrownlawyer.com/2024/03/26/grandparent-custody-rights/" TargetMode="External"/><Relationship Id="rId1193" Type="http://schemas.openxmlformats.org/officeDocument/2006/relationships/hyperlink" Target="https://sbrownlawyer.com/2024/12/27/understanding-the-naturalization-timeline-for-texas-residents/" TargetMode="External"/><Relationship Id="rId1194" Type="http://schemas.openxmlformats.org/officeDocument/2006/relationships/hyperlink" Target="https://sbrownlawyer.com/" TargetMode="External"/><Relationship Id="rId1195" Type="http://schemas.openxmlformats.org/officeDocument/2006/relationships/hyperlink" Target="https://sbrownlawyer.com/2024/12/27/understanding-the-naturalization-timeline-for-texas-residents/" TargetMode="External"/><Relationship Id="rId1196" Type="http://schemas.openxmlformats.org/officeDocument/2006/relationships/hyperlink" Target="https://sbrownlawyer.com/2024/12/27/understanding-the-naturalization-timeline-for-texas-residents/" TargetMode="External"/><Relationship Id="rId1197" Type="http://schemas.openxmlformats.org/officeDocument/2006/relationships/hyperlink" Target="https://sbrownlawyer.com/areas-we-serve/fort-bend-county/" TargetMode="External"/><Relationship Id="rId1198" Type="http://schemas.openxmlformats.org/officeDocument/2006/relationships/hyperlink" Target="https://sbrownlawyer.com/attorneys/" TargetMode="External"/><Relationship Id="rId1199" Type="http://schemas.openxmlformats.org/officeDocument/2006/relationships/hyperlink" Target="https://sbrownlawyer.com/2024/11/29/how-to-meet-texas-adjustment-of-status-requirements-for-spouses/" TargetMode="External"/><Relationship Id="rId599" Type="http://schemas.openxmlformats.org/officeDocument/2006/relationships/hyperlink" Target="https://sbrownlawyer.com/2024/07/04/expungement-vs-sealing-what-is-the-best-option/" TargetMode="External"/><Relationship Id="rId1180" Type="http://schemas.openxmlformats.org/officeDocument/2006/relationships/hyperlink" Target="https://sbrownlawyer.com/sex-crimes/texas-sex-crime-law/" TargetMode="External"/><Relationship Id="rId1181" Type="http://schemas.openxmlformats.org/officeDocument/2006/relationships/hyperlink" Target="https://sbrownlawyer.com/attorneys/" TargetMode="External"/><Relationship Id="rId1182" Type="http://schemas.openxmlformats.org/officeDocument/2006/relationships/hyperlink" Target="https://sbrownlawyer.com/attorneys/" TargetMode="External"/><Relationship Id="rId594" Type="http://schemas.openxmlformats.org/officeDocument/2006/relationships/hyperlink" Target="https://sbrownlawyer.com/2024/04/24/texas-alimony-am-i-entitled/" TargetMode="External"/><Relationship Id="rId1183" Type="http://schemas.openxmlformats.org/officeDocument/2006/relationships/hyperlink" Target="https://sbrownlawyer.com/criminal-law/first-offenders/" TargetMode="External"/><Relationship Id="rId593" Type="http://schemas.openxmlformats.org/officeDocument/2006/relationships/hyperlink" Target="https://sbrownlawyer.com/2023/01/25/private-property-police-search-in-texas/" TargetMode="External"/><Relationship Id="rId1184" Type="http://schemas.openxmlformats.org/officeDocument/2006/relationships/hyperlink" Target="https://sbrownlawyer.com/2020/08/07/contested-vs-uncontested-divorce-in-houston-top-things-you-need-to-know/" TargetMode="External"/><Relationship Id="rId592" Type="http://schemas.openxmlformats.org/officeDocument/2006/relationships/hyperlink" Target="https://sbrownlawyer.com/2024/12/27/understanding-the-naturalization-timeline-for-texas-residents/" TargetMode="External"/><Relationship Id="rId1185" Type="http://schemas.openxmlformats.org/officeDocument/2006/relationships/hyperlink" Target="https://sbrownlawyer.com/2024/04/24/texas-alimony-am-i-entitled/" TargetMode="External"/><Relationship Id="rId591" Type="http://schemas.openxmlformats.org/officeDocument/2006/relationships/hyperlink" Target="https://sbrownlawyer.com/obscenity/" TargetMode="External"/><Relationship Id="rId1186" Type="http://schemas.openxmlformats.org/officeDocument/2006/relationships/hyperlink" Target="https://sbrownlawyer.com/2018/01/28/silencers-are-not-prohibited-weapons/" TargetMode="External"/><Relationship Id="rId598" Type="http://schemas.openxmlformats.org/officeDocument/2006/relationships/hyperlink" Target="https://sbrownlawyer.com/family-law/visitation/" TargetMode="External"/><Relationship Id="rId1187" Type="http://schemas.openxmlformats.org/officeDocument/2006/relationships/hyperlink" Target="https://sbrownlawyer.com/2020/10/29/how-to-tell-if-youre-too-drunk-to-drive-and-how-to-prevent-yourself-from-becoming-a-drunk-driver/" TargetMode="External"/><Relationship Id="rId597" Type="http://schemas.openxmlformats.org/officeDocument/2006/relationships/hyperlink" Target="https://sbrownlawyer.com/2020/10/29/how-to-tell-if-youre-too-drunk-to-drive-and-how-to-prevent-yourself-from-becoming-a-drunk-driver/" TargetMode="External"/><Relationship Id="rId1188" Type="http://schemas.openxmlformats.org/officeDocument/2006/relationships/hyperlink" Target="https://sbrownlawyer.com/harris-county-criminal-defense/" TargetMode="External"/><Relationship Id="rId596" Type="http://schemas.openxmlformats.org/officeDocument/2006/relationships/hyperlink" Target="https://sbrownlawyer.com/family-law/visitation/" TargetMode="External"/><Relationship Id="rId1189" Type="http://schemas.openxmlformats.org/officeDocument/2006/relationships/hyperlink" Target="https://sbrownlawyer.com/adoption/" TargetMode="External"/><Relationship Id="rId595" Type="http://schemas.openxmlformats.org/officeDocument/2006/relationships/hyperlink" Target="https://sbrownlawyer.com/2024/04/24/texas-alimony-am-i-entitled/" TargetMode="External"/><Relationship Id="rId1136" Type="http://schemas.openxmlformats.org/officeDocument/2006/relationships/hyperlink" Target="https://sbrownlawyer.com/drug-crimes/" TargetMode="External"/><Relationship Id="rId2467" Type="http://schemas.openxmlformats.org/officeDocument/2006/relationships/hyperlink" Target="https://sbrownlawyer.com/family-based-immigration/" TargetMode="External"/><Relationship Id="rId1137" Type="http://schemas.openxmlformats.org/officeDocument/2006/relationships/hyperlink" Target="https://sbrownlawyer.com/spinal-cord-injury/" TargetMode="External"/><Relationship Id="rId2468" Type="http://schemas.openxmlformats.org/officeDocument/2006/relationships/hyperlink" Target="https://sbrownlawyer.com/drug-possession/" TargetMode="External"/><Relationship Id="rId1138" Type="http://schemas.openxmlformats.org/officeDocument/2006/relationships/hyperlink" Target="https://sbrownlawyer.com/2024/11/29/how-to-meet-texas-adjustment-of-status-requirements-for-spouses/" TargetMode="External"/><Relationship Id="rId2469" Type="http://schemas.openxmlformats.org/officeDocument/2006/relationships/hyperlink" Target="https://sbrownlawyer.com/2021/11/26/child-support-guidelines-in-texas-an-overview/" TargetMode="External"/><Relationship Id="rId1139" Type="http://schemas.openxmlformats.org/officeDocument/2006/relationships/hyperlink" Target="https://sbrownlawyer.com/obscenity/" TargetMode="External"/><Relationship Id="rId547" Type="http://schemas.openxmlformats.org/officeDocument/2006/relationships/hyperlink" Target="https://sbrownlawyer.com/" TargetMode="External"/><Relationship Id="rId546" Type="http://schemas.openxmlformats.org/officeDocument/2006/relationships/hyperlink" Target="https://sbrownlawyer.com/" TargetMode="External"/><Relationship Id="rId545" Type="http://schemas.openxmlformats.org/officeDocument/2006/relationships/hyperlink" Target="https://sbrownlawyer.com/" TargetMode="External"/><Relationship Id="rId544" Type="http://schemas.openxmlformats.org/officeDocument/2006/relationships/hyperlink" Target="https://sbrownlawyer.com/2024/04/24/texas-alimony-am-i-entitled/" TargetMode="External"/><Relationship Id="rId549" Type="http://schemas.openxmlformats.org/officeDocument/2006/relationships/hyperlink" Target="https://sbrownlawyer.com/texas/locations/sugar-land/" TargetMode="External"/><Relationship Id="rId548" Type="http://schemas.openxmlformats.org/officeDocument/2006/relationships/hyperlink" Target="https://sbrownlawyer.com/abogado-de-inmigracion-basada-en-empleo-en-pearland/" TargetMode="External"/><Relationship Id="rId2460" Type="http://schemas.openxmlformats.org/officeDocument/2006/relationships/hyperlink" Target="https://sbrownlawyer.com/" TargetMode="External"/><Relationship Id="rId1130" Type="http://schemas.openxmlformats.org/officeDocument/2006/relationships/hyperlink" Target="https://sbrownlawyer.com/attorneys/" TargetMode="External"/><Relationship Id="rId2461" Type="http://schemas.openxmlformats.org/officeDocument/2006/relationships/hyperlink" Target="https://sbrownlawyer.com/2024/05/28/impact-of-a-criminal-record-on-child-custody-cases/" TargetMode="External"/><Relationship Id="rId1131" Type="http://schemas.openxmlformats.org/officeDocument/2006/relationships/hyperlink" Target="https://sbrownlawyer.com/2015/09/10/why-are-family-care-plans-important-for-military-parents/" TargetMode="External"/><Relationship Id="rId2462" Type="http://schemas.openxmlformats.org/officeDocument/2006/relationships/hyperlink" Target="https://sbrownlawyer.com/protective-services/" TargetMode="External"/><Relationship Id="rId543" Type="http://schemas.openxmlformats.org/officeDocument/2006/relationships/hyperlink" Target="https://sbrownlawyer.com/" TargetMode="External"/><Relationship Id="rId1132" Type="http://schemas.openxmlformats.org/officeDocument/2006/relationships/hyperlink" Target="https://sbrownlawyer.com/spinal-cord-injury/" TargetMode="External"/><Relationship Id="rId2463" Type="http://schemas.openxmlformats.org/officeDocument/2006/relationships/hyperlink" Target="https://sbrownlawyer.com/harris-county-family-law/" TargetMode="External"/><Relationship Id="rId542" Type="http://schemas.openxmlformats.org/officeDocument/2006/relationships/hyperlink" Target="https://sbrownlawyer.com/2024/04/24/texas-alimony-am-i-entitled/" TargetMode="External"/><Relationship Id="rId1133" Type="http://schemas.openxmlformats.org/officeDocument/2006/relationships/hyperlink" Target="https://sbrownlawyer.com/2020/10/29/how-to-tell-if-youre-too-drunk-to-drive-and-how-to-prevent-yourself-from-becoming-a-drunk-driver/" TargetMode="External"/><Relationship Id="rId2464" Type="http://schemas.openxmlformats.org/officeDocument/2006/relationships/hyperlink" Target="https://sbrownlawyer.com/reckless-driving/" TargetMode="External"/><Relationship Id="rId541" Type="http://schemas.openxmlformats.org/officeDocument/2006/relationships/hyperlink" Target="https://sbrownlawyer.com/2024/04/24/texas-alimony-am-i-entitled/" TargetMode="External"/><Relationship Id="rId1134" Type="http://schemas.openxmlformats.org/officeDocument/2006/relationships/hyperlink" Target="https://sbrownlawyer.com/aggravated-sexual-assault/" TargetMode="External"/><Relationship Id="rId2465" Type="http://schemas.openxmlformats.org/officeDocument/2006/relationships/hyperlink" Target="https://sbrownlawyer.com/2018/05/15/what-is-medical-support-in-texas/" TargetMode="External"/><Relationship Id="rId540" Type="http://schemas.openxmlformats.org/officeDocument/2006/relationships/hyperlink" Target="https://sbrownlawyer.com/" TargetMode="External"/><Relationship Id="rId1135" Type="http://schemas.openxmlformats.org/officeDocument/2006/relationships/hyperlink" Target="https://sbrownlawyer.com/2024/03/20/texas-child-support-2024/" TargetMode="External"/><Relationship Id="rId2466" Type="http://schemas.openxmlformats.org/officeDocument/2006/relationships/hyperlink" Target="https://sbrownlawyer.com/attorneys/" TargetMode="External"/><Relationship Id="rId1125" Type="http://schemas.openxmlformats.org/officeDocument/2006/relationships/hyperlink" Target="https://sbrownlawyer.com/2019/10/08/can-you-sue-a-partner-that-infected-you-with-an-std/" TargetMode="External"/><Relationship Id="rId2456" Type="http://schemas.openxmlformats.org/officeDocument/2006/relationships/hyperlink" Target="https://sbrownlawyer.com/car-accidents/" TargetMode="External"/><Relationship Id="rId1126" Type="http://schemas.openxmlformats.org/officeDocument/2006/relationships/hyperlink" Target="https://sbrownlawyer.com/attorneys/" TargetMode="External"/><Relationship Id="rId2457" Type="http://schemas.openxmlformats.org/officeDocument/2006/relationships/hyperlink" Target="https://sbrownlawyer.com/family-law-attorney-in-galveston/" TargetMode="External"/><Relationship Id="rId1127" Type="http://schemas.openxmlformats.org/officeDocument/2006/relationships/hyperlink" Target="https://sbrownlawyer.com/attorneys/" TargetMode="External"/><Relationship Id="rId2458" Type="http://schemas.openxmlformats.org/officeDocument/2006/relationships/hyperlink" Target="https://sbrownlawyer.com/2024/03/20/texas-child-support-2024/" TargetMode="External"/><Relationship Id="rId1128" Type="http://schemas.openxmlformats.org/officeDocument/2006/relationships/hyperlink" Target="https://sbrownlawyer.com/2020/08/24/the-complete-guide-to-dwi-vs-dui-laws-in-texas/" TargetMode="External"/><Relationship Id="rId2459" Type="http://schemas.openxmlformats.org/officeDocument/2006/relationships/hyperlink" Target="https://sbrownlawyer.com/grandparents-rights/" TargetMode="External"/><Relationship Id="rId1129" Type="http://schemas.openxmlformats.org/officeDocument/2006/relationships/hyperlink" Target="https://sbrownlawyer.com/2024/07/04/expungement-vs-sealing-what-is-the-best-option/" TargetMode="External"/><Relationship Id="rId536" Type="http://schemas.openxmlformats.org/officeDocument/2006/relationships/hyperlink" Target="https://sbrownlawyer.com/2018/01/28/silencers-are-not-prohibited-weapons/" TargetMode="External"/><Relationship Id="rId535" Type="http://schemas.openxmlformats.org/officeDocument/2006/relationships/hyperlink" Target="https://sbrownlawyer.com/2024/12/27/understanding-the-naturalization-timeline-for-texas-residents/" TargetMode="External"/><Relationship Id="rId534" Type="http://schemas.openxmlformats.org/officeDocument/2006/relationships/hyperlink" Target="https://sbrownlawyer.com/" TargetMode="External"/><Relationship Id="rId533" Type="http://schemas.openxmlformats.org/officeDocument/2006/relationships/hyperlink" Target="https://sbrownlawyer.com/2024/12/27/understanding-the-naturalization-timeline-for-texas-residents/" TargetMode="External"/><Relationship Id="rId539" Type="http://schemas.openxmlformats.org/officeDocument/2006/relationships/hyperlink" Target="https://sbrownlawyer.com/head-injury/" TargetMode="External"/><Relationship Id="rId538" Type="http://schemas.openxmlformats.org/officeDocument/2006/relationships/hyperlink" Target="https://sbrownlawyer.com/" TargetMode="External"/><Relationship Id="rId537" Type="http://schemas.openxmlformats.org/officeDocument/2006/relationships/hyperlink" Target="https://sbrownlawyer.com/2024/12/27/understanding-the-naturalization-timeline-for-texas-residents/" TargetMode="External"/><Relationship Id="rId2450" Type="http://schemas.openxmlformats.org/officeDocument/2006/relationships/hyperlink" Target="https://sbrownlawyer.com/criminal-law/indecent-exposure/" TargetMode="External"/><Relationship Id="rId1120" Type="http://schemas.openxmlformats.org/officeDocument/2006/relationships/hyperlink" Target="https://sbrownlawyer.com/complex-and-contested-divorce-attorneys/" TargetMode="External"/><Relationship Id="rId2451" Type="http://schemas.openxmlformats.org/officeDocument/2006/relationships/hyperlink" Target="https://sbrownlawyer.com/" TargetMode="External"/><Relationship Id="rId532" Type="http://schemas.openxmlformats.org/officeDocument/2006/relationships/hyperlink" Target="https://sbrownlawyer.com/2024/12/27/understanding-the-naturalization-timeline-for-texas-residents/" TargetMode="External"/><Relationship Id="rId1121" Type="http://schemas.openxmlformats.org/officeDocument/2006/relationships/hyperlink" Target="https://sbrownlawyer.com/espanol/" TargetMode="External"/><Relationship Id="rId2452" Type="http://schemas.openxmlformats.org/officeDocument/2006/relationships/hyperlink" Target="https://sbrownlawyer.com/division-of-property/" TargetMode="External"/><Relationship Id="rId531" Type="http://schemas.openxmlformats.org/officeDocument/2006/relationships/hyperlink" Target="https://sbrownlawyer.com/2024/12/27/understanding-the-naturalization-timeline-for-texas-residents/" TargetMode="External"/><Relationship Id="rId1122" Type="http://schemas.openxmlformats.org/officeDocument/2006/relationships/hyperlink" Target="https://sbrownlawyer.com/areas-we-serve/galveston-county/" TargetMode="External"/><Relationship Id="rId2453" Type="http://schemas.openxmlformats.org/officeDocument/2006/relationships/hyperlink" Target="https://sbrownlawyer.com/attorneys/" TargetMode="External"/><Relationship Id="rId530" Type="http://schemas.openxmlformats.org/officeDocument/2006/relationships/hyperlink" Target="https://sbrownlawyer.com/cohabitation/" TargetMode="External"/><Relationship Id="rId1123" Type="http://schemas.openxmlformats.org/officeDocument/2006/relationships/hyperlink" Target="https://sbrownlawyer.com/family-law-attorney-in-galveston/" TargetMode="External"/><Relationship Id="rId2454" Type="http://schemas.openxmlformats.org/officeDocument/2006/relationships/hyperlink" Target="https://sbrownlawyer.com/attorneys/" TargetMode="External"/><Relationship Id="rId1124" Type="http://schemas.openxmlformats.org/officeDocument/2006/relationships/hyperlink" Target="https://sbrownlawyer.com/2024/12/27/understanding-the-naturalization-timeline-for-texas-residents/" TargetMode="External"/><Relationship Id="rId2455" Type="http://schemas.openxmlformats.org/officeDocument/2006/relationships/hyperlink" Target="https://sbrownlawyer.com/2024/11/29/how-to-meet-texas-adjustment-of-status-requirements-for-spouses/" TargetMode="External"/><Relationship Id="rId1158" Type="http://schemas.openxmlformats.org/officeDocument/2006/relationships/hyperlink" Target="https://sbrownlawyer.com/criminal-law/indecent-exposure/" TargetMode="External"/><Relationship Id="rId2489" Type="http://schemas.openxmlformats.org/officeDocument/2006/relationships/hyperlink" Target="https://sbrownlawyer.com/how-is-property-divided-in-a-texas-divorce/" TargetMode="External"/><Relationship Id="rId1159" Type="http://schemas.openxmlformats.org/officeDocument/2006/relationships/hyperlink" Target="https://sbrownlawyer.com/2024/04/24/texas-alimony-am-i-entitled/" TargetMode="External"/><Relationship Id="rId569" Type="http://schemas.openxmlformats.org/officeDocument/2006/relationships/hyperlink" Target="https://sbrownlawyer.com/2018/01/28/silencers-are-not-prohibited-weapons/" TargetMode="External"/><Relationship Id="rId568" Type="http://schemas.openxmlformats.org/officeDocument/2006/relationships/hyperlink" Target="https://sbrownlawyer.com/child-protective-services-cps/" TargetMode="External"/><Relationship Id="rId567" Type="http://schemas.openxmlformats.org/officeDocument/2006/relationships/hyperlink" Target="https://sbrownlawyer.com/2024/12/27/understanding-the-naturalization-timeline-for-texas-residents/" TargetMode="External"/><Relationship Id="rId566" Type="http://schemas.openxmlformats.org/officeDocument/2006/relationships/hyperlink" Target="https://sbrownlawyer.com/title-ix-defense-campus-sexual-assault/" TargetMode="External"/><Relationship Id="rId2480" Type="http://schemas.openxmlformats.org/officeDocument/2006/relationships/hyperlink" Target="https://sbrownlawyer.com/paternity-attorney/" TargetMode="External"/><Relationship Id="rId561" Type="http://schemas.openxmlformats.org/officeDocument/2006/relationships/hyperlink" Target="https://sbrownlawyer.com/attorneys/" TargetMode="External"/><Relationship Id="rId1150" Type="http://schemas.openxmlformats.org/officeDocument/2006/relationships/hyperlink" Target="https://sbrownlawyer.com/" TargetMode="External"/><Relationship Id="rId2481" Type="http://schemas.openxmlformats.org/officeDocument/2006/relationships/hyperlink" Target="https://sbrownlawyer.com/cohabitation/" TargetMode="External"/><Relationship Id="rId560" Type="http://schemas.openxmlformats.org/officeDocument/2006/relationships/hyperlink" Target="https://sbrownlawyer.com/2024/12/27/understanding-the-naturalization-timeline-for-texas-residents/" TargetMode="External"/><Relationship Id="rId1151" Type="http://schemas.openxmlformats.org/officeDocument/2006/relationships/hyperlink" Target="https://sbrownlawyer.com/2020/10/29/how-to-tell-if-youre-too-drunk-to-drive-and-how-to-prevent-yourself-from-becoming-a-drunk-driver/" TargetMode="External"/><Relationship Id="rId2482" Type="http://schemas.openxmlformats.org/officeDocument/2006/relationships/hyperlink" Target="https://sbrownlawyer.com/2021/03/15/who-qualifies-for-a-temporary-protective-order-in-texas-and-other-frequently-asked-questions/" TargetMode="External"/><Relationship Id="rId1152" Type="http://schemas.openxmlformats.org/officeDocument/2006/relationships/hyperlink" Target="https://sbrownlawyer.com/galveston-motorcycle-accidents-2/" TargetMode="External"/><Relationship Id="rId2483" Type="http://schemas.openxmlformats.org/officeDocument/2006/relationships/hyperlink" Target="https://sbrownlawyer.com/attorneys/" TargetMode="External"/><Relationship Id="rId1153" Type="http://schemas.openxmlformats.org/officeDocument/2006/relationships/hyperlink" Target="https://sbrownlawyer.com/slip-and-fall-accidents/" TargetMode="External"/><Relationship Id="rId2484" Type="http://schemas.openxmlformats.org/officeDocument/2006/relationships/hyperlink" Target="https://sbrownlawyer.com/divorce/" TargetMode="External"/><Relationship Id="rId565" Type="http://schemas.openxmlformats.org/officeDocument/2006/relationships/hyperlink" Target="https://sbrownlawyer.com/league-city-tx-criminal-defense-lawyers/" TargetMode="External"/><Relationship Id="rId1154" Type="http://schemas.openxmlformats.org/officeDocument/2006/relationships/hyperlink" Target="https://sbrownlawyer.com/2020/07/13/10-signs-divorced-parents-are-doing-right-by-their-kids/" TargetMode="External"/><Relationship Id="rId2485" Type="http://schemas.openxmlformats.org/officeDocument/2006/relationships/hyperlink" Target="https://sbrownlawyer.com/restraining-orders/" TargetMode="External"/><Relationship Id="rId564" Type="http://schemas.openxmlformats.org/officeDocument/2006/relationships/hyperlink" Target="https://sbrownlawyer.com/espanol/" TargetMode="External"/><Relationship Id="rId1155" Type="http://schemas.openxmlformats.org/officeDocument/2006/relationships/hyperlink" Target="https://sbrownlawyer.com/restraining-orders/" TargetMode="External"/><Relationship Id="rId2486" Type="http://schemas.openxmlformats.org/officeDocument/2006/relationships/hyperlink" Target="https://sbrownlawyer.com/2016/02/18/how-does-bankruptcy-affect-child-support/" TargetMode="External"/><Relationship Id="rId563" Type="http://schemas.openxmlformats.org/officeDocument/2006/relationships/hyperlink" Target="https://sbrownlawyer.com/oil-and-mineral-rights/" TargetMode="External"/><Relationship Id="rId1156" Type="http://schemas.openxmlformats.org/officeDocument/2006/relationships/hyperlink" Target="https://sbrownlawyer.com/spinal-cord-injury/" TargetMode="External"/><Relationship Id="rId2487" Type="http://schemas.openxmlformats.org/officeDocument/2006/relationships/hyperlink" Target="https://sbrownlawyer.com/2021/02/28/what-happens-after-a-second-and-third-dwi-in-texas/" TargetMode="External"/><Relationship Id="rId562" Type="http://schemas.openxmlformats.org/officeDocument/2006/relationships/hyperlink" Target="https://sbrownlawyer.com/2024/12/27/understanding-the-naturalization-timeline-for-texas-residents/" TargetMode="External"/><Relationship Id="rId1157" Type="http://schemas.openxmlformats.org/officeDocument/2006/relationships/hyperlink" Target="https://sbrownlawyer.com/postnuptial-agreements/" TargetMode="External"/><Relationship Id="rId2488" Type="http://schemas.openxmlformats.org/officeDocument/2006/relationships/hyperlink" Target="https://sbrownlawyer.com/attorneys/" TargetMode="External"/><Relationship Id="rId1147" Type="http://schemas.openxmlformats.org/officeDocument/2006/relationships/hyperlink" Target="https://sbrownlawyer.com/2019/08/10/legal-immunity-for-reporting-alcohol-poisoning/" TargetMode="External"/><Relationship Id="rId2478" Type="http://schemas.openxmlformats.org/officeDocument/2006/relationships/hyperlink" Target="https://sbrownlawyer.com/2024/03/26/grandparent-custody-rights/" TargetMode="External"/><Relationship Id="rId1148" Type="http://schemas.openxmlformats.org/officeDocument/2006/relationships/hyperlink" Target="https://sbrownlawyer.com/2024/08/30/car-accidents/" TargetMode="External"/><Relationship Id="rId2479" Type="http://schemas.openxmlformats.org/officeDocument/2006/relationships/hyperlink" Target="https://sbrownlawyer.com/2024/04/24/texas-alimony-am-i-entitled/" TargetMode="External"/><Relationship Id="rId1149" Type="http://schemas.openxmlformats.org/officeDocument/2006/relationships/hyperlink" Target="https://sbrownlawyer.com/attorneys/" TargetMode="External"/><Relationship Id="rId558" Type="http://schemas.openxmlformats.org/officeDocument/2006/relationships/hyperlink" Target="https://sbrownlawyer.com/2024/12/27/understanding-the-naturalization-timeline-for-texas-residents/" TargetMode="External"/><Relationship Id="rId557" Type="http://schemas.openxmlformats.org/officeDocument/2006/relationships/hyperlink" Target="https://sbrownlawyer.com/child-custody/" TargetMode="External"/><Relationship Id="rId556" Type="http://schemas.openxmlformats.org/officeDocument/2006/relationships/hyperlink" Target="https://sbrownlawyer.com/2024/12/27/understanding-the-naturalization-timeline-for-texas-residents/" TargetMode="External"/><Relationship Id="rId555" Type="http://schemas.openxmlformats.org/officeDocument/2006/relationships/hyperlink" Target="https://sbrownlawyer.com/" TargetMode="External"/><Relationship Id="rId559" Type="http://schemas.openxmlformats.org/officeDocument/2006/relationships/hyperlink" Target="https://sbrownlawyer.com/2024/04/24/texas-alimony-am-i-entitled/" TargetMode="External"/><Relationship Id="rId550" Type="http://schemas.openxmlformats.org/officeDocument/2006/relationships/hyperlink" Target="https://sbrownlawyer.com/" TargetMode="External"/><Relationship Id="rId2470" Type="http://schemas.openxmlformats.org/officeDocument/2006/relationships/hyperlink" Target="https://sbrownlawyer.com/2024/05/28/impact-of-a-criminal-record-on-child-custody-cases/" TargetMode="External"/><Relationship Id="rId1140" Type="http://schemas.openxmlformats.org/officeDocument/2006/relationships/hyperlink" Target="https://sbrownlawyer.com/" TargetMode="External"/><Relationship Id="rId2471" Type="http://schemas.openxmlformats.org/officeDocument/2006/relationships/hyperlink" Target="https://sbrownlawyer.com/2024/04/24/texas-alimony-am-i-entitled/" TargetMode="External"/><Relationship Id="rId1141" Type="http://schemas.openxmlformats.org/officeDocument/2006/relationships/hyperlink" Target="https://sbrownlawyer.com/" TargetMode="External"/><Relationship Id="rId2472" Type="http://schemas.openxmlformats.org/officeDocument/2006/relationships/hyperlink" Target="https://sbrownlawyer.com/2022/02/18/can-i-file-legal-separation-on-texas/" TargetMode="External"/><Relationship Id="rId1142" Type="http://schemas.openxmlformats.org/officeDocument/2006/relationships/hyperlink" Target="https://sbrownlawyer.com/firm-overview/" TargetMode="External"/><Relationship Id="rId2473" Type="http://schemas.openxmlformats.org/officeDocument/2006/relationships/hyperlink" Target="https://sbrownlawyer.com/league-city-child-custody-attorneys/" TargetMode="External"/><Relationship Id="rId554" Type="http://schemas.openxmlformats.org/officeDocument/2006/relationships/hyperlink" Target="https://sbrownlawyer.com/2024/04/24/texas-alimony-am-i-entitled/" TargetMode="External"/><Relationship Id="rId1143" Type="http://schemas.openxmlformats.org/officeDocument/2006/relationships/hyperlink" Target="https://sbrownlawyer.com/attorneys/" TargetMode="External"/><Relationship Id="rId2474" Type="http://schemas.openxmlformats.org/officeDocument/2006/relationships/hyperlink" Target="https://sbrownlawyer.com/" TargetMode="External"/><Relationship Id="rId553" Type="http://schemas.openxmlformats.org/officeDocument/2006/relationships/hyperlink" Target="https://sbrownlawyer.com/2024/04/24/texas-alimony-am-i-entitled/" TargetMode="External"/><Relationship Id="rId1144" Type="http://schemas.openxmlformats.org/officeDocument/2006/relationships/hyperlink" Target="https://sbrownlawyer.com/child-custody/" TargetMode="External"/><Relationship Id="rId2475" Type="http://schemas.openxmlformats.org/officeDocument/2006/relationships/hyperlink" Target="https://sbrownlawyer.com/" TargetMode="External"/><Relationship Id="rId552" Type="http://schemas.openxmlformats.org/officeDocument/2006/relationships/hyperlink" Target="https://sbrownlawyer.com/2024/04/24/texas-alimony-am-i-entitled/" TargetMode="External"/><Relationship Id="rId1145" Type="http://schemas.openxmlformats.org/officeDocument/2006/relationships/hyperlink" Target="https://sbrownlawyer.com/child-custody/" TargetMode="External"/><Relationship Id="rId2476" Type="http://schemas.openxmlformats.org/officeDocument/2006/relationships/hyperlink" Target="https://sbrownlawyer.com/cohabitation/" TargetMode="External"/><Relationship Id="rId551" Type="http://schemas.openxmlformats.org/officeDocument/2006/relationships/hyperlink" Target="https://sbrownlawyer.com/2024/12/27/understanding-the-naturalization-timeline-for-texas-residents/" TargetMode="External"/><Relationship Id="rId1146" Type="http://schemas.openxmlformats.org/officeDocument/2006/relationships/hyperlink" Target="https://sbrownlawyer.com/child-custody/emergency/" TargetMode="External"/><Relationship Id="rId2477" Type="http://schemas.openxmlformats.org/officeDocument/2006/relationships/hyperlink" Target="https://sbrownlawyer.com/cohabitation/" TargetMode="External"/><Relationship Id="rId495" Type="http://schemas.openxmlformats.org/officeDocument/2006/relationships/hyperlink" Target="https://sbrownlawyer.com/areas-we-serve/fort-bend-county/" TargetMode="External"/><Relationship Id="rId494" Type="http://schemas.openxmlformats.org/officeDocument/2006/relationships/hyperlink" Target="https://sbrownlawyer.com/2024/04/24/texas-alimony-am-i-entitled/" TargetMode="External"/><Relationship Id="rId493" Type="http://schemas.openxmlformats.org/officeDocument/2006/relationships/hyperlink" Target="https://sbrownlawyer.com/information-about-brazoria-county-texas/" TargetMode="External"/><Relationship Id="rId492" Type="http://schemas.openxmlformats.org/officeDocument/2006/relationships/hyperlink" Target="https://sbrownlawyer.com/2019/09/15/how-to-fight-a-protective-order/" TargetMode="External"/><Relationship Id="rId499" Type="http://schemas.openxmlformats.org/officeDocument/2006/relationships/hyperlink" Target="https://sbrownlawyer.com/2024/12/27/understanding-the-naturalization-timeline-for-texas-residents/" TargetMode="External"/><Relationship Id="rId498" Type="http://schemas.openxmlformats.org/officeDocument/2006/relationships/hyperlink" Target="https://sbrownlawyer.com/" TargetMode="External"/><Relationship Id="rId497" Type="http://schemas.openxmlformats.org/officeDocument/2006/relationships/hyperlink" Target="https://sbrownlawyer.com/2015/08/07/miranda-lambert-and-blake-shelton-divorce-finalized/" TargetMode="External"/><Relationship Id="rId496" Type="http://schemas.openxmlformats.org/officeDocument/2006/relationships/hyperlink" Target="https://sbrownlawyer.com/2024/12/27/understanding-the-naturalization-timeline-for-texas-residents/" TargetMode="External"/><Relationship Id="rId1213" Type="http://schemas.openxmlformats.org/officeDocument/2006/relationships/hyperlink" Target="https://sbrownlawyer.com/espanol/" TargetMode="External"/><Relationship Id="rId2544" Type="http://schemas.openxmlformats.org/officeDocument/2006/relationships/hyperlink" Target="https://sbrownlawyer.com/2020/10/29/how-to-tell-if-youre-too-drunk-to-drive-and-how-to-prevent-yourself-from-becoming-a-drunk-driver/" TargetMode="External"/><Relationship Id="rId1214" Type="http://schemas.openxmlformats.org/officeDocument/2006/relationships/hyperlink" Target="https://sbrownlawyer.com/postnuptial-agreements/" TargetMode="External"/><Relationship Id="rId2545" Type="http://schemas.openxmlformats.org/officeDocument/2006/relationships/hyperlink" Target="https://sbrownlawyer.com/galveston-truck-accident-lawyer/" TargetMode="External"/><Relationship Id="rId1215" Type="http://schemas.openxmlformats.org/officeDocument/2006/relationships/hyperlink" Target="https://sbrownlawyer.com/2018/01/28/silencers-are-not-prohibited-weapons/" TargetMode="External"/><Relationship Id="rId2546" Type="http://schemas.openxmlformats.org/officeDocument/2006/relationships/hyperlink" Target="https://sbrownlawyer.com/criminal-law/first-offenders/" TargetMode="External"/><Relationship Id="rId1216" Type="http://schemas.openxmlformats.org/officeDocument/2006/relationships/hyperlink" Target="https://sbrownlawyer.com/2023/01/25/private-property-police-search-in-texas/" TargetMode="External"/><Relationship Id="rId2547" Type="http://schemas.openxmlformats.org/officeDocument/2006/relationships/hyperlink" Target="https://sbrownlawyer.com/child-support/" TargetMode="External"/><Relationship Id="rId1217" Type="http://schemas.openxmlformats.org/officeDocument/2006/relationships/hyperlink" Target="https://sbrownlawyer.com/2014/02/14/millions-in-child-support-recovered-in-el-paso/" TargetMode="External"/><Relationship Id="rId2548" Type="http://schemas.openxmlformats.org/officeDocument/2006/relationships/hyperlink" Target="https://sbrownlawyer.com/protective-services/" TargetMode="External"/><Relationship Id="rId1218" Type="http://schemas.openxmlformats.org/officeDocument/2006/relationships/hyperlink" Target="https://sbrownlawyer.com/premises-liability/" TargetMode="External"/><Relationship Id="rId2549" Type="http://schemas.openxmlformats.org/officeDocument/2006/relationships/hyperlink" Target="https://sbrownlawyer.com/2024/03/20/texas-child-support-2024/" TargetMode="External"/><Relationship Id="rId1219" Type="http://schemas.openxmlformats.org/officeDocument/2006/relationships/hyperlink" Target="https://sbrownlawyer.com/league-city-divorce-2/" TargetMode="External"/><Relationship Id="rId2540" Type="http://schemas.openxmlformats.org/officeDocument/2006/relationships/hyperlink" Target="https://sbrownlawyer.com/scott-m-brown/" TargetMode="External"/><Relationship Id="rId1210" Type="http://schemas.openxmlformats.org/officeDocument/2006/relationships/hyperlink" Target="https://sbrownlawyer.com/domestic-violence-attorney/" TargetMode="External"/><Relationship Id="rId2541" Type="http://schemas.openxmlformats.org/officeDocument/2006/relationships/hyperlink" Target="https://sbrownlawyer.com/2021/03/15/who-qualifies-for-a-temporary-protective-order-in-texas-and-other-frequently-asked-questions/" TargetMode="External"/><Relationship Id="rId1211" Type="http://schemas.openxmlformats.org/officeDocument/2006/relationships/hyperlink" Target="https://sbrownlawyer.com/assault/" TargetMode="External"/><Relationship Id="rId2542" Type="http://schemas.openxmlformats.org/officeDocument/2006/relationships/hyperlink" Target="https://sbrownlawyer.com/attorneys/" TargetMode="External"/><Relationship Id="rId1212" Type="http://schemas.openxmlformats.org/officeDocument/2006/relationships/hyperlink" Target="https://sbrownlawyer.com/espanol/" TargetMode="External"/><Relationship Id="rId2543" Type="http://schemas.openxmlformats.org/officeDocument/2006/relationships/hyperlink" Target="https://sbrownlawyer.com/" TargetMode="External"/><Relationship Id="rId1202" Type="http://schemas.openxmlformats.org/officeDocument/2006/relationships/hyperlink" Target="https://sbrownlawyer.com/child-pornography/" TargetMode="External"/><Relationship Id="rId2533" Type="http://schemas.openxmlformats.org/officeDocument/2006/relationships/hyperlink" Target="https://sbrownlawyer.com/2017/11/21/new-texas-law-bans-texting-while-driving/" TargetMode="External"/><Relationship Id="rId1203" Type="http://schemas.openxmlformats.org/officeDocument/2006/relationships/hyperlink" Target="https://sbrownlawyer.com/league-city-theft-crimes/" TargetMode="External"/><Relationship Id="rId2534" Type="http://schemas.openxmlformats.org/officeDocument/2006/relationships/hyperlink" Target="https://sbrownlawyer.com/2020/05/21/what-happens-if-you-violate-a-restraining-order/" TargetMode="External"/><Relationship Id="rId1204" Type="http://schemas.openxmlformats.org/officeDocument/2006/relationships/hyperlink" Target="https://sbrownlawyer.com/detailing-some-of-texas-important-child-custody-laws/" TargetMode="External"/><Relationship Id="rId2535" Type="http://schemas.openxmlformats.org/officeDocument/2006/relationships/hyperlink" Target="https://sbrownlawyer.com/drug-possession/" TargetMode="External"/><Relationship Id="rId1205" Type="http://schemas.openxmlformats.org/officeDocument/2006/relationships/hyperlink" Target="https://sbrownlawyer.com/espanol/" TargetMode="External"/><Relationship Id="rId2536" Type="http://schemas.openxmlformats.org/officeDocument/2006/relationships/hyperlink" Target="https://sbrownlawyer.com/2020/06/25/partner-abuse-the-many-forms-of-domestic-violence/" TargetMode="External"/><Relationship Id="rId1206" Type="http://schemas.openxmlformats.org/officeDocument/2006/relationships/hyperlink" Target="https://sbrownlawyer.com/2022/02/18/can-i-file-legal-separation-on-texas/" TargetMode="External"/><Relationship Id="rId2537" Type="http://schemas.openxmlformats.org/officeDocument/2006/relationships/hyperlink" Target="https://sbrownlawyer.com/attorneys/" TargetMode="External"/><Relationship Id="rId1207" Type="http://schemas.openxmlformats.org/officeDocument/2006/relationships/hyperlink" Target="https://sbrownlawyer.com/" TargetMode="External"/><Relationship Id="rId2538" Type="http://schemas.openxmlformats.org/officeDocument/2006/relationships/hyperlink" Target="https://sbrownlawyer.com/attorneys/" TargetMode="External"/><Relationship Id="rId1208" Type="http://schemas.openxmlformats.org/officeDocument/2006/relationships/hyperlink" Target="https://sbrownlawyer.com/2012/02/13/kobe-bryant-gives-three-homes-to-wife-in-divorce-settlement/" TargetMode="External"/><Relationship Id="rId2539" Type="http://schemas.openxmlformats.org/officeDocument/2006/relationships/hyperlink" Target="https://sbrownlawyer.com/" TargetMode="External"/><Relationship Id="rId1209" Type="http://schemas.openxmlformats.org/officeDocument/2006/relationships/hyperlink" Target="https://sbrownlawyer.com/attorneys/" TargetMode="External"/><Relationship Id="rId2530" Type="http://schemas.openxmlformats.org/officeDocument/2006/relationships/hyperlink" Target="https://sbrownlawyer.com/attorneys/" TargetMode="External"/><Relationship Id="rId1200" Type="http://schemas.openxmlformats.org/officeDocument/2006/relationships/hyperlink" Target="https://sbrownlawyer.com/information-about-brazoria-county-texas/" TargetMode="External"/><Relationship Id="rId2531" Type="http://schemas.openxmlformats.org/officeDocument/2006/relationships/hyperlink" Target="https://sbrownlawyer.com/division-of-property/" TargetMode="External"/><Relationship Id="rId1201" Type="http://schemas.openxmlformats.org/officeDocument/2006/relationships/hyperlink" Target="https://sbrownlawyer.com/2018/01/28/silencers-are-not-prohibited-weapons/" TargetMode="External"/><Relationship Id="rId2532" Type="http://schemas.openxmlformats.org/officeDocument/2006/relationships/hyperlink" Target="https://sbrownlawyer.com/grand-theft/" TargetMode="External"/><Relationship Id="rId1235" Type="http://schemas.openxmlformats.org/officeDocument/2006/relationships/hyperlink" Target="https://sbrownlawyer.com/child-custody/" TargetMode="External"/><Relationship Id="rId2566" Type="http://schemas.openxmlformats.org/officeDocument/2006/relationships/hyperlink" Target="https://sbrownlawyer.com/" TargetMode="External"/><Relationship Id="rId1236" Type="http://schemas.openxmlformats.org/officeDocument/2006/relationships/hyperlink" Target="https://sbrownlawyer.com/attorneys/" TargetMode="External"/><Relationship Id="rId2567" Type="http://schemas.openxmlformats.org/officeDocument/2006/relationships/hyperlink" Target="https://sbrownlawyer.com/attorneys/" TargetMode="External"/><Relationship Id="rId1237" Type="http://schemas.openxmlformats.org/officeDocument/2006/relationships/hyperlink" Target="https://sbrownlawyer.com/2021/04/07/reasons-grandparents-can-file-for-custody-of-grandchild-in-texas/" TargetMode="External"/><Relationship Id="rId2568" Type="http://schemas.openxmlformats.org/officeDocument/2006/relationships/hyperlink" Target="https://sbrownlawyer.com/drug-crimes/" TargetMode="External"/><Relationship Id="rId1238" Type="http://schemas.openxmlformats.org/officeDocument/2006/relationships/hyperlink" Target="https://sbrownlawyer.com/misdemeanor/" TargetMode="External"/><Relationship Id="rId2569" Type="http://schemas.openxmlformats.org/officeDocument/2006/relationships/hyperlink" Target="https://sbrownlawyer.com/2021/03/15/who-qualifies-for-a-temporary-protective-order-in-texas-and-other-frequently-asked-questions/" TargetMode="External"/><Relationship Id="rId1239" Type="http://schemas.openxmlformats.org/officeDocument/2006/relationships/hyperlink" Target="https://sbrownlawyer.com/2021/09/10/is-it-wise-to-take-on-a-dwi-case-without-a-dwi-lawyer/" TargetMode="External"/><Relationship Id="rId409" Type="http://schemas.openxmlformats.org/officeDocument/2006/relationships/hyperlink" Target="https://sbrownlawyer.com/2024/12/27/understanding-the-naturalization-timeline-for-texas-residents/" TargetMode="External"/><Relationship Id="rId404" Type="http://schemas.openxmlformats.org/officeDocument/2006/relationships/hyperlink" Target="https://sbrownlawyer.com/areas-we-serve/fort-bend-county/" TargetMode="External"/><Relationship Id="rId403" Type="http://schemas.openxmlformats.org/officeDocument/2006/relationships/hyperlink" Target="https://sbrownlawyer.com/2018/01/28/silencers-are-not-prohibited-weapons/" TargetMode="External"/><Relationship Id="rId402" Type="http://schemas.openxmlformats.org/officeDocument/2006/relationships/hyperlink" Target="https://sbrownlawyer.com/texas/locations/angleton/" TargetMode="External"/><Relationship Id="rId401" Type="http://schemas.openxmlformats.org/officeDocument/2006/relationships/hyperlink" Target="https://sbrownlawyer.com/league-city-tx-theft-crimes/" TargetMode="External"/><Relationship Id="rId408" Type="http://schemas.openxmlformats.org/officeDocument/2006/relationships/hyperlink" Target="https://sbrownlawyer.com/friendswood-car-accidents/" TargetMode="External"/><Relationship Id="rId407" Type="http://schemas.openxmlformats.org/officeDocument/2006/relationships/hyperlink" Target="https://sbrownlawyer.com/criminal-law/first-offenders/" TargetMode="External"/><Relationship Id="rId406" Type="http://schemas.openxmlformats.org/officeDocument/2006/relationships/hyperlink" Target="https://sbrownlawyer.com/2018/01/28/silencers-are-not-prohibited-weapons/" TargetMode="External"/><Relationship Id="rId405" Type="http://schemas.openxmlformats.org/officeDocument/2006/relationships/hyperlink" Target="https://sbrownlawyer.com/field-sobriety-test/" TargetMode="External"/><Relationship Id="rId2560" Type="http://schemas.openxmlformats.org/officeDocument/2006/relationships/hyperlink" Target="https://sbrownlawyer.com/falsely-accused/" TargetMode="External"/><Relationship Id="rId1230" Type="http://schemas.openxmlformats.org/officeDocument/2006/relationships/hyperlink" Target="https://sbrownlawyer.com/dwi-attorney-in-galveston-county/" TargetMode="External"/><Relationship Id="rId2561" Type="http://schemas.openxmlformats.org/officeDocument/2006/relationships/hyperlink" Target="https://sbrownlawyer.com/texas/locations/pearland/" TargetMode="External"/><Relationship Id="rId400" Type="http://schemas.openxmlformats.org/officeDocument/2006/relationships/hyperlink" Target="https://sbrownlawyer.com/2018/01/28/silencers-are-not-prohibited-weapons/" TargetMode="External"/><Relationship Id="rId1231" Type="http://schemas.openxmlformats.org/officeDocument/2006/relationships/hyperlink" Target="https://sbrownlawyer.com/blog/page/10/?refPageViewId=5b133344064ca303&amp;et_blog" TargetMode="External"/><Relationship Id="rId2562" Type="http://schemas.openxmlformats.org/officeDocument/2006/relationships/hyperlink" Target="https://sbrownlawyer.com/jones-act-claims/" TargetMode="External"/><Relationship Id="rId1232" Type="http://schemas.openxmlformats.org/officeDocument/2006/relationships/hyperlink" Target="https://sbrownlawyer.com/" TargetMode="External"/><Relationship Id="rId2563" Type="http://schemas.openxmlformats.org/officeDocument/2006/relationships/hyperlink" Target="https://sbrownlawyer.com/cohabitation/" TargetMode="External"/><Relationship Id="rId1233" Type="http://schemas.openxmlformats.org/officeDocument/2006/relationships/hyperlink" Target="https://sbrownlawyer.com/divorce/" TargetMode="External"/><Relationship Id="rId2564" Type="http://schemas.openxmlformats.org/officeDocument/2006/relationships/hyperlink" Target="https://sbrownlawyer.com/attorneys/" TargetMode="External"/><Relationship Id="rId1234" Type="http://schemas.openxmlformats.org/officeDocument/2006/relationships/hyperlink" Target="https://sbrownlawyer.com/2024/12/27/understanding-the-naturalization-timeline-for-texas-residents/" TargetMode="External"/><Relationship Id="rId2565" Type="http://schemas.openxmlformats.org/officeDocument/2006/relationships/hyperlink" Target="https://sbrownlawyer.com/2018/04/17/statutory-rape-age-of-consent-in-texas-how-old-is-too-old/" TargetMode="External"/><Relationship Id="rId1224" Type="http://schemas.openxmlformats.org/officeDocument/2006/relationships/hyperlink" Target="https://sbrownlawyer.com/espanol/" TargetMode="External"/><Relationship Id="rId2555" Type="http://schemas.openxmlformats.org/officeDocument/2006/relationships/hyperlink" Target="https://sbrownlawyer.com/2024/05/28/benefits-of-collaborative-divorce-in-texas/" TargetMode="External"/><Relationship Id="rId1225" Type="http://schemas.openxmlformats.org/officeDocument/2006/relationships/hyperlink" Target="https://sbrownlawyer.com/2024/12/27/understanding-the-naturalization-timeline-for-texas-residents/" TargetMode="External"/><Relationship Id="rId2556" Type="http://schemas.openxmlformats.org/officeDocument/2006/relationships/hyperlink" Target="https://sbrownlawyer.com/hiring-sexual-assault-defense-lawyer/" TargetMode="External"/><Relationship Id="rId1226" Type="http://schemas.openxmlformats.org/officeDocument/2006/relationships/hyperlink" Target="https://sbrownlawyer.com/estate-planning/" TargetMode="External"/><Relationship Id="rId2557" Type="http://schemas.openxmlformats.org/officeDocument/2006/relationships/hyperlink" Target="https://sbrownlawyer.com/brain-injury/" TargetMode="External"/><Relationship Id="rId1227" Type="http://schemas.openxmlformats.org/officeDocument/2006/relationships/hyperlink" Target="https://sbrownlawyer.com/hit-and-run/" TargetMode="External"/><Relationship Id="rId2558" Type="http://schemas.openxmlformats.org/officeDocument/2006/relationships/hyperlink" Target="https://sbrownlawyer.com/" TargetMode="External"/><Relationship Id="rId1228" Type="http://schemas.openxmlformats.org/officeDocument/2006/relationships/hyperlink" Target="https://sbrownlawyer.com/attorneys/" TargetMode="External"/><Relationship Id="rId2559" Type="http://schemas.openxmlformats.org/officeDocument/2006/relationships/hyperlink" Target="https://sbrownlawyer.com/grandparents-rights/" TargetMode="External"/><Relationship Id="rId1229" Type="http://schemas.openxmlformats.org/officeDocument/2006/relationships/hyperlink" Target="https://sbrownlawyer.com/attorneys/" TargetMode="External"/><Relationship Id="rId2550" Type="http://schemas.openxmlformats.org/officeDocument/2006/relationships/hyperlink" Target="https://sbrownlawyer.com/league-city-tx-car-accident-lawyer/" TargetMode="External"/><Relationship Id="rId1220" Type="http://schemas.openxmlformats.org/officeDocument/2006/relationships/hyperlink" Target="https://sbrownlawyer.com/premises-liability/" TargetMode="External"/><Relationship Id="rId2551" Type="http://schemas.openxmlformats.org/officeDocument/2006/relationships/hyperlink" Target="https://sbrownlawyer.com/family-law-attorney-in-galveston/" TargetMode="External"/><Relationship Id="rId1221" Type="http://schemas.openxmlformats.org/officeDocument/2006/relationships/hyperlink" Target="https://sbrownlawyer.com/2024/11/29/how-to-meet-texas-adjustment-of-status-requirements-for-spouses/" TargetMode="External"/><Relationship Id="rId2552" Type="http://schemas.openxmlformats.org/officeDocument/2006/relationships/hyperlink" Target="https://sbrownlawyer.com/" TargetMode="External"/><Relationship Id="rId1222" Type="http://schemas.openxmlformats.org/officeDocument/2006/relationships/hyperlink" Target="https://sbrownlawyer.com/attorneys/" TargetMode="External"/><Relationship Id="rId2553" Type="http://schemas.openxmlformats.org/officeDocument/2006/relationships/hyperlink" Target="https://sbrownlawyer.com/2021/11/26/child-support-guidelines-in-texas-an-overview/" TargetMode="External"/><Relationship Id="rId1223" Type="http://schemas.openxmlformats.org/officeDocument/2006/relationships/hyperlink" Target="https://sbrownlawyer.com/2018/04/23/how-do-bond-reductions-work/" TargetMode="External"/><Relationship Id="rId2554" Type="http://schemas.openxmlformats.org/officeDocument/2006/relationships/hyperlink" Target="https://sbrownlawyer.com/sex-crimes/" TargetMode="External"/><Relationship Id="rId2500" Type="http://schemas.openxmlformats.org/officeDocument/2006/relationships/hyperlink" Target="https://sbrownlawyer.com/sex-crimes/overview-of-sex-crime-defense/" TargetMode="External"/><Relationship Id="rId2501" Type="http://schemas.openxmlformats.org/officeDocument/2006/relationships/hyperlink" Target="https://sbrownlawyer.com/postnuptial-agreements/" TargetMode="External"/><Relationship Id="rId2502" Type="http://schemas.openxmlformats.org/officeDocument/2006/relationships/hyperlink" Target="https://sbrownlawyer.com/2018/04/06/can-you-adopt-a-child-in-texas-without-the-biological-fathers-consent/" TargetMode="External"/><Relationship Id="rId2503" Type="http://schemas.openxmlformats.org/officeDocument/2006/relationships/hyperlink" Target="https://sbrownlawyer.com/2021/04/21/dwi-consequences-in-texas-whats-the-maximum-penalty-for-a-dwi/" TargetMode="External"/><Relationship Id="rId2504" Type="http://schemas.openxmlformats.org/officeDocument/2006/relationships/hyperlink" Target="https://sbrownlawyer.com/2021/03/15/who-qualifies-for-a-temporary-protective-order-in-texas-and-other-frequently-asked-questions/" TargetMode="External"/><Relationship Id="rId2505" Type="http://schemas.openxmlformats.org/officeDocument/2006/relationships/hyperlink" Target="https://sbrownlawyer.com/" TargetMode="External"/><Relationship Id="rId2506" Type="http://schemas.openxmlformats.org/officeDocument/2006/relationships/hyperlink" Target="https://sbrownlawyer.com/slip-and-fall-accidents/" TargetMode="External"/><Relationship Id="rId2507" Type="http://schemas.openxmlformats.org/officeDocument/2006/relationships/hyperlink" Target="https://sbrownlawyer.com/" TargetMode="External"/><Relationship Id="rId2508" Type="http://schemas.openxmlformats.org/officeDocument/2006/relationships/hyperlink" Target="https://sbrownlawyer.com/2018/04/17/statutory-rape-age-of-consent-in-texas-how-old-is-too-old/" TargetMode="External"/><Relationship Id="rId2509" Type="http://schemas.openxmlformats.org/officeDocument/2006/relationships/hyperlink" Target="https://sbrownlawyer.com/cohabitation/" TargetMode="External"/><Relationship Id="rId2522" Type="http://schemas.openxmlformats.org/officeDocument/2006/relationships/hyperlink" Target="https://sbrownlawyer.com/" TargetMode="External"/><Relationship Id="rId2523" Type="http://schemas.openxmlformats.org/officeDocument/2006/relationships/hyperlink" Target="https://sbrownlawyer.com/assault/" TargetMode="External"/><Relationship Id="rId2524" Type="http://schemas.openxmlformats.org/officeDocument/2006/relationships/hyperlink" Target="https://sbrownlawyer.com/2024/03/26/grandparent-custody-rights/" TargetMode="External"/><Relationship Id="rId2525" Type="http://schemas.openxmlformats.org/officeDocument/2006/relationships/hyperlink" Target="https://sbrownlawyer.com/personal-injury-2/burn-injury/" TargetMode="External"/><Relationship Id="rId2526" Type="http://schemas.openxmlformats.org/officeDocument/2006/relationships/hyperlink" Target="https://sbrownlawyer.com/steps-in-settling-your-claim-in-texas/" TargetMode="External"/><Relationship Id="rId2527" Type="http://schemas.openxmlformats.org/officeDocument/2006/relationships/hyperlink" Target="https://sbrownlawyer.com/slip-and-fall-accidents/" TargetMode="External"/><Relationship Id="rId2528" Type="http://schemas.openxmlformats.org/officeDocument/2006/relationships/hyperlink" Target="https://sbrownlawyer.com/" TargetMode="External"/><Relationship Id="rId2529" Type="http://schemas.openxmlformats.org/officeDocument/2006/relationships/hyperlink" Target="https://sbrownlawyer.com/attorneys/" TargetMode="External"/><Relationship Id="rId2520" Type="http://schemas.openxmlformats.org/officeDocument/2006/relationships/hyperlink" Target="https://sbrownlawyer.com/" TargetMode="External"/><Relationship Id="rId2521" Type="http://schemas.openxmlformats.org/officeDocument/2006/relationships/hyperlink" Target="https://sbrownlawyer.com/2020/06/25/partner-abuse-the-many-forms-of-domestic-violence/" TargetMode="External"/><Relationship Id="rId2511" Type="http://schemas.openxmlformats.org/officeDocument/2006/relationships/hyperlink" Target="https://sbrownlawyer.com/brain-injury/" TargetMode="External"/><Relationship Id="rId2512" Type="http://schemas.openxmlformats.org/officeDocument/2006/relationships/hyperlink" Target="https://sbrownlawyer.com/attorneys/" TargetMode="External"/><Relationship Id="rId2513" Type="http://schemas.openxmlformats.org/officeDocument/2006/relationships/hyperlink" Target="https://sbrownlawyer.com/protective-services/" TargetMode="External"/><Relationship Id="rId2514" Type="http://schemas.openxmlformats.org/officeDocument/2006/relationships/hyperlink" Target="https://sbrownlawyer.com/steps-in-settling-your-claim-in-texas/" TargetMode="External"/><Relationship Id="rId2515" Type="http://schemas.openxmlformats.org/officeDocument/2006/relationships/hyperlink" Target="https://sbrownlawyer.com/2013/01/15/texas-child-support-state-seeks-money-from-sperm-donor/" TargetMode="External"/><Relationship Id="rId2516" Type="http://schemas.openxmlformats.org/officeDocument/2006/relationships/hyperlink" Target="https://sbrownlawyer.com/tv-advertising/" TargetMode="External"/><Relationship Id="rId2517" Type="http://schemas.openxmlformats.org/officeDocument/2006/relationships/hyperlink" Target="https://sbrownlawyer.com/" TargetMode="External"/><Relationship Id="rId2518" Type="http://schemas.openxmlformats.org/officeDocument/2006/relationships/hyperlink" Target="https://sbrownlawyer.com/brain-injury/" TargetMode="External"/><Relationship Id="rId2519" Type="http://schemas.openxmlformats.org/officeDocument/2006/relationships/hyperlink" Target="https://sbrownlawyer.com/" TargetMode="External"/><Relationship Id="rId2510" Type="http://schemas.openxmlformats.org/officeDocument/2006/relationships/hyperlink" Target="https://sbrownlawyer.com/2018/04/17/statutory-rape-age-of-consent-in-texas-how-old-is-too-old/" TargetMode="External"/><Relationship Id="rId469" Type="http://schemas.openxmlformats.org/officeDocument/2006/relationships/hyperlink" Target="https://sbrownlawyer.com/2024/04/24/texas-alimony-am-i-entitled/" TargetMode="External"/><Relationship Id="rId468" Type="http://schemas.openxmlformats.org/officeDocument/2006/relationships/hyperlink" Target="https://sbrownlawyer.com/2024/12/27/understanding-the-naturalization-timeline-for-texas-residents/" TargetMode="External"/><Relationship Id="rId467" Type="http://schemas.openxmlformats.org/officeDocument/2006/relationships/hyperlink" Target="https://sbrownlawyer.com/2024/08/01/felony-misdemeanor-difference-league-city/" TargetMode="External"/><Relationship Id="rId1290" Type="http://schemas.openxmlformats.org/officeDocument/2006/relationships/hyperlink" Target="https://sbrownlawyer.com/2021/04/21/dwi-consequences-in-texas-whats-the-maximum-penalty-for-a-dwi/" TargetMode="External"/><Relationship Id="rId1291" Type="http://schemas.openxmlformats.org/officeDocument/2006/relationships/hyperlink" Target="https://sbrownlawyer.com/2020/10/29/how-to-tell-if-youre-too-drunk-to-drive-and-how-to-prevent-yourself-from-becoming-a-drunk-driver/" TargetMode="External"/><Relationship Id="rId1292" Type="http://schemas.openxmlformats.org/officeDocument/2006/relationships/hyperlink" Target="https://sbrownlawyer.com/league-city-complex-and-contested-divorce/" TargetMode="External"/><Relationship Id="rId462" Type="http://schemas.openxmlformats.org/officeDocument/2006/relationships/hyperlink" Target="https://sbrownlawyer.com/2024/12/27/understanding-the-naturalization-timeline-for-texas-residents/" TargetMode="External"/><Relationship Id="rId1293" Type="http://schemas.openxmlformats.org/officeDocument/2006/relationships/hyperlink" Target="https://sbrownlawyer.com/2024/12/27/understanding-the-naturalization-timeline-for-texas-residents/" TargetMode="External"/><Relationship Id="rId461" Type="http://schemas.openxmlformats.org/officeDocument/2006/relationships/hyperlink" Target="https://sbrownlawyer.com/obscenity/" TargetMode="External"/><Relationship Id="rId1294" Type="http://schemas.openxmlformats.org/officeDocument/2006/relationships/hyperlink" Target="https://sbrownlawyer.com/postnuptial-agreements/" TargetMode="External"/><Relationship Id="rId460" Type="http://schemas.openxmlformats.org/officeDocument/2006/relationships/hyperlink" Target="https://sbrownlawyer.com/2024/12/27/understanding-the-naturalization-timeline-for-texas-residents/" TargetMode="External"/><Relationship Id="rId1295" Type="http://schemas.openxmlformats.org/officeDocument/2006/relationships/hyperlink" Target="https://sbrownlawyer.com/modification-of-custody/" TargetMode="External"/><Relationship Id="rId1296" Type="http://schemas.openxmlformats.org/officeDocument/2006/relationships/hyperlink" Target="https://sbrownlawyer.com/attorneys/" TargetMode="External"/><Relationship Id="rId466" Type="http://schemas.openxmlformats.org/officeDocument/2006/relationships/hyperlink" Target="https://sbrownlawyer.com/" TargetMode="External"/><Relationship Id="rId1297" Type="http://schemas.openxmlformats.org/officeDocument/2006/relationships/hyperlink" Target="https://sbrownlawyer.com/divorce/" TargetMode="External"/><Relationship Id="rId465" Type="http://schemas.openxmlformats.org/officeDocument/2006/relationships/hyperlink" Target="https://sbrownlawyer.com/" TargetMode="External"/><Relationship Id="rId1298" Type="http://schemas.openxmlformats.org/officeDocument/2006/relationships/hyperlink" Target="https://sbrownlawyer.com/league-city-theft-crimes/" TargetMode="External"/><Relationship Id="rId464" Type="http://schemas.openxmlformats.org/officeDocument/2006/relationships/hyperlink" Target="https://sbrownlawyer.com/2024/04/24/texas-alimony-am-i-entitled/" TargetMode="External"/><Relationship Id="rId1299" Type="http://schemas.openxmlformats.org/officeDocument/2006/relationships/hyperlink" Target="https://sbrownlawyer.com/top-military-divorce-lawyer-in-texas/" TargetMode="External"/><Relationship Id="rId463" Type="http://schemas.openxmlformats.org/officeDocument/2006/relationships/hyperlink" Target="https://sbrownlawyer.com/2024/12/27/understanding-the-naturalization-timeline-for-texas-residents/" TargetMode="External"/><Relationship Id="rId459" Type="http://schemas.openxmlformats.org/officeDocument/2006/relationships/hyperlink" Target="https://sbrownlawyer.com/2018/01/28/silencers-are-not-prohibited-weapons/" TargetMode="External"/><Relationship Id="rId458" Type="http://schemas.openxmlformats.org/officeDocument/2006/relationships/hyperlink" Target="https://sbrownlawyer.com/2019/05/16/motorcycle-laws-regarding-children-in-texas/" TargetMode="External"/><Relationship Id="rId457" Type="http://schemas.openxmlformats.org/officeDocument/2006/relationships/hyperlink" Target="https://sbrownlawyer.com/" TargetMode="External"/><Relationship Id="rId456" Type="http://schemas.openxmlformats.org/officeDocument/2006/relationships/hyperlink" Target="https://sbrownlawyer.com/" TargetMode="External"/><Relationship Id="rId1280" Type="http://schemas.openxmlformats.org/officeDocument/2006/relationships/hyperlink" Target="https://sbrownlawyer.com/contact/" TargetMode="External"/><Relationship Id="rId1281" Type="http://schemas.openxmlformats.org/officeDocument/2006/relationships/hyperlink" Target="https://sbrownlawyer.com/2020/10/29/how-to-tell-if-youre-too-drunk-to-drive-and-how-to-prevent-yourself-from-becoming-a-drunk-driver/" TargetMode="External"/><Relationship Id="rId451" Type="http://schemas.openxmlformats.org/officeDocument/2006/relationships/hyperlink" Target="https://sbrownlawyer.com/galveston-motorcycle-accidents-2/" TargetMode="External"/><Relationship Id="rId1282" Type="http://schemas.openxmlformats.org/officeDocument/2006/relationships/hyperlink" Target="https://sbrownlawyer.com/drug-possession/" TargetMode="External"/><Relationship Id="rId450" Type="http://schemas.openxmlformats.org/officeDocument/2006/relationships/hyperlink" Target="https://sbrownlawyer.com/league-city-tx-criminal-defense-lawyers/" TargetMode="External"/><Relationship Id="rId1283" Type="http://schemas.openxmlformats.org/officeDocument/2006/relationships/hyperlink" Target="https://sbrownlawyer.com/premises-liability/" TargetMode="External"/><Relationship Id="rId1284" Type="http://schemas.openxmlformats.org/officeDocument/2006/relationships/hyperlink" Target="https://sbrownlawyer.com/league-city-child-custody-attorneys/" TargetMode="External"/><Relationship Id="rId1285" Type="http://schemas.openxmlformats.org/officeDocument/2006/relationships/hyperlink" Target="https://sbrownlawyer.com/" TargetMode="External"/><Relationship Id="rId455" Type="http://schemas.openxmlformats.org/officeDocument/2006/relationships/hyperlink" Target="https://sbrownlawyer.com/2014/04/18/no-fault-divorce-covenant-marriage-and-domestic-violence/" TargetMode="External"/><Relationship Id="rId1286" Type="http://schemas.openxmlformats.org/officeDocument/2006/relationships/hyperlink" Target="https://sbrownlawyer.com/2018/01/28/silencers-are-not-prohibited-weapons/" TargetMode="External"/><Relationship Id="rId454" Type="http://schemas.openxmlformats.org/officeDocument/2006/relationships/hyperlink" Target="https://sbrownlawyer.com/criminal-law/indecent-exposure/" TargetMode="External"/><Relationship Id="rId1287" Type="http://schemas.openxmlformats.org/officeDocument/2006/relationships/hyperlink" Target="https://sbrownlawyer.com/uncontested-divorce-lawyer-in-pearland/" TargetMode="External"/><Relationship Id="rId453" Type="http://schemas.openxmlformats.org/officeDocument/2006/relationships/hyperlink" Target="https://sbrownlawyer.com/2024/12/27/understanding-the-naturalization-timeline-for-texas-residents/" TargetMode="External"/><Relationship Id="rId1288" Type="http://schemas.openxmlformats.org/officeDocument/2006/relationships/hyperlink" Target="https://sbrownlawyer.com/galveston-child-custody-lawyer/" TargetMode="External"/><Relationship Id="rId452" Type="http://schemas.openxmlformats.org/officeDocument/2006/relationships/hyperlink" Target="https://sbrownlawyer.com/2024/04/24/texas-alimony-am-i-entitled/" TargetMode="External"/><Relationship Id="rId1289" Type="http://schemas.openxmlformats.org/officeDocument/2006/relationships/hyperlink" Target="https://sbrownlawyer.com/adoption/" TargetMode="External"/><Relationship Id="rId3018" Type="http://schemas.openxmlformats.org/officeDocument/2006/relationships/hyperlink" Target="https://sbrownlawyer.com/domestic-abuse-and-protective-orders/" TargetMode="External"/><Relationship Id="rId3017" Type="http://schemas.openxmlformats.org/officeDocument/2006/relationships/hyperlink" Target="https://sbrownlawyer.com/protective-services/" TargetMode="External"/><Relationship Id="rId3019" Type="http://schemas.openxmlformats.org/officeDocument/2006/relationships/hyperlink" Target="https://sbrownlawyer.com/2018/04/23/how-do-bond-reductions-work/" TargetMode="External"/><Relationship Id="rId491" Type="http://schemas.openxmlformats.org/officeDocument/2006/relationships/hyperlink" Target="https://sbrownlawyer.com/2018/01/28/silencers-are-not-prohibited-weapons/" TargetMode="External"/><Relationship Id="rId490" Type="http://schemas.openxmlformats.org/officeDocument/2006/relationships/hyperlink" Target="https://sbrownlawyer.com/2024/04/24/texas-alimony-am-i-entitled/" TargetMode="External"/><Relationship Id="rId489" Type="http://schemas.openxmlformats.org/officeDocument/2006/relationships/hyperlink" Target="https://sbrownlawyer.com/2024/04/24/texas-alimony-am-i-entitled/" TargetMode="External"/><Relationship Id="rId484" Type="http://schemas.openxmlformats.org/officeDocument/2006/relationships/hyperlink" Target="https://sbrownlawyer.com/2020/06/16/accepting-divorce-our-advice-for-overcoming-grief-and-frustration/" TargetMode="External"/><Relationship Id="rId3010" Type="http://schemas.openxmlformats.org/officeDocument/2006/relationships/hyperlink" Target="https://sbrownlawyer.com/attorneys/" TargetMode="External"/><Relationship Id="rId483" Type="http://schemas.openxmlformats.org/officeDocument/2006/relationships/hyperlink" Target="https://sbrownlawyer.com/" TargetMode="External"/><Relationship Id="rId482" Type="http://schemas.openxmlformats.org/officeDocument/2006/relationships/hyperlink" Target="https://sbrownlawyer.com/2018/03/19/what-constitutes-an-easy-divorce/" TargetMode="External"/><Relationship Id="rId3012" Type="http://schemas.openxmlformats.org/officeDocument/2006/relationships/hyperlink" Target="https://sbrownlawyer.com/brain-injury/" TargetMode="External"/><Relationship Id="rId481" Type="http://schemas.openxmlformats.org/officeDocument/2006/relationships/hyperlink" Target="https://sbrownlawyer.com/" TargetMode="External"/><Relationship Id="rId3011" Type="http://schemas.openxmlformats.org/officeDocument/2006/relationships/hyperlink" Target="https://sbrownlawyer.com/2018/03/23/parental-alienation-a-criminal-offense-in-texas/" TargetMode="External"/><Relationship Id="rId488" Type="http://schemas.openxmlformats.org/officeDocument/2006/relationships/hyperlink" Target="https://sbrownlawyer.com/2024/04/24/texas-alimony-am-i-entitled/" TargetMode="External"/><Relationship Id="rId3014" Type="http://schemas.openxmlformats.org/officeDocument/2006/relationships/hyperlink" Target="https://sbrownlawyer.com/2017/11/21/new-texas-law-bans-texting-while-driving/" TargetMode="External"/><Relationship Id="rId487" Type="http://schemas.openxmlformats.org/officeDocument/2006/relationships/hyperlink" Target="https://sbrownlawyer.com/2024/12/27/understanding-the-naturalization-timeline-for-texas-residents/" TargetMode="External"/><Relationship Id="rId3013" Type="http://schemas.openxmlformats.org/officeDocument/2006/relationships/hyperlink" Target="https://sbrownlawyer.com/" TargetMode="External"/><Relationship Id="rId486" Type="http://schemas.openxmlformats.org/officeDocument/2006/relationships/hyperlink" Target="https://sbrownlawyer.com/2018/01/28/silencers-are-not-prohibited-weapons/" TargetMode="External"/><Relationship Id="rId3016" Type="http://schemas.openxmlformats.org/officeDocument/2006/relationships/hyperlink" Target="https://sbrownlawyer.com/2019/12/17/how-to-get-your-license-back-after-a-dwi/" TargetMode="External"/><Relationship Id="rId485" Type="http://schemas.openxmlformats.org/officeDocument/2006/relationships/hyperlink" Target="https://sbrownlawyer.com/2024/12/27/understanding-the-naturalization-timeline-for-texas-residents/" TargetMode="External"/><Relationship Id="rId3015" Type="http://schemas.openxmlformats.org/officeDocument/2006/relationships/hyperlink" Target="https://sbrownlawyer.com/" TargetMode="External"/><Relationship Id="rId3007" Type="http://schemas.openxmlformats.org/officeDocument/2006/relationships/hyperlink" Target="https://sbrownlawyer.com/2024/08/01/felony-misdemeanor-difference-league-city/" TargetMode="External"/><Relationship Id="rId3006" Type="http://schemas.openxmlformats.org/officeDocument/2006/relationships/hyperlink" Target="https://sbrownlawyer.com/grand-theft/" TargetMode="External"/><Relationship Id="rId3009" Type="http://schemas.openxmlformats.org/officeDocument/2006/relationships/hyperlink" Target="https://sbrownlawyer.com/blaire-evans/" TargetMode="External"/><Relationship Id="rId3008" Type="http://schemas.openxmlformats.org/officeDocument/2006/relationships/hyperlink" Target="https://sbrownlawyer.com/slip-and-fall-accidents/" TargetMode="External"/><Relationship Id="rId480" Type="http://schemas.openxmlformats.org/officeDocument/2006/relationships/hyperlink" Target="https://sbrownlawyer.com/" TargetMode="External"/><Relationship Id="rId479" Type="http://schemas.openxmlformats.org/officeDocument/2006/relationships/hyperlink" Target="https://sbrownlawyer.com/" TargetMode="External"/><Relationship Id="rId478" Type="http://schemas.openxmlformats.org/officeDocument/2006/relationships/hyperlink" Target="https://sbrownlawyer.com/2021/03/15/who-qualifies-for-a-temporary-protective-order-in-texas-and-other-frequently-asked-questions/" TargetMode="External"/><Relationship Id="rId473" Type="http://schemas.openxmlformats.org/officeDocument/2006/relationships/hyperlink" Target="https://sbrownlawyer.com/texas/locations/pearland/" TargetMode="External"/><Relationship Id="rId472" Type="http://schemas.openxmlformats.org/officeDocument/2006/relationships/hyperlink" Target="https://sbrownlawyer.com/2024/12/27/understanding-the-naturalization-timeline-for-texas-residents/" TargetMode="External"/><Relationship Id="rId471" Type="http://schemas.openxmlformats.org/officeDocument/2006/relationships/hyperlink" Target="https://sbrownlawyer.com/pharmaceutical-litigation/" TargetMode="External"/><Relationship Id="rId3001" Type="http://schemas.openxmlformats.org/officeDocument/2006/relationships/hyperlink" Target="https://sbrownlawyer.com/2022/03/06/divorce-who-gets-the-house/" TargetMode="External"/><Relationship Id="rId470" Type="http://schemas.openxmlformats.org/officeDocument/2006/relationships/hyperlink" Target="https://sbrownlawyer.com/" TargetMode="External"/><Relationship Id="rId3000" Type="http://schemas.openxmlformats.org/officeDocument/2006/relationships/hyperlink" Target="https://sbrownlawyer.com/t-bone-accident/" TargetMode="External"/><Relationship Id="rId477" Type="http://schemas.openxmlformats.org/officeDocument/2006/relationships/hyperlink" Target="https://sbrownlawyer.com/cohabitation/" TargetMode="External"/><Relationship Id="rId3003" Type="http://schemas.openxmlformats.org/officeDocument/2006/relationships/hyperlink" Target="https://sbrownlawyer.com/2021/05/31/your-parenting-plan-how-to-reach-a-child-custody-agreement-without-court-involvement/" TargetMode="External"/><Relationship Id="rId476" Type="http://schemas.openxmlformats.org/officeDocument/2006/relationships/hyperlink" Target="https://sbrownlawyer.com/2014/10/17/iggy-azalea-isnt-married-but-she-was-sued-for-divorce-in-texas/" TargetMode="External"/><Relationship Id="rId3002" Type="http://schemas.openxmlformats.org/officeDocument/2006/relationships/hyperlink" Target="https://sbrownlawyer.com/foot-injury/" TargetMode="External"/><Relationship Id="rId475" Type="http://schemas.openxmlformats.org/officeDocument/2006/relationships/hyperlink" Target="https://sbrownlawyer.com/" TargetMode="External"/><Relationship Id="rId3005" Type="http://schemas.openxmlformats.org/officeDocument/2006/relationships/hyperlink" Target="https://sbrownlawyer.com/attorneys/" TargetMode="External"/><Relationship Id="rId474" Type="http://schemas.openxmlformats.org/officeDocument/2006/relationships/hyperlink" Target="https://sbrownlawyer.com/" TargetMode="External"/><Relationship Id="rId3004" Type="http://schemas.openxmlformats.org/officeDocument/2006/relationships/hyperlink" Target="https://sbrownlawyer.com/2022/02/18/can-i-file-legal-separation-on-texas/" TargetMode="External"/><Relationship Id="rId1257" Type="http://schemas.openxmlformats.org/officeDocument/2006/relationships/hyperlink" Target="https://sbrownlawyer.com/criminal-defense/" TargetMode="External"/><Relationship Id="rId2588" Type="http://schemas.openxmlformats.org/officeDocument/2006/relationships/hyperlink" Target="https://sbrownlawyer.com/attorneys/" TargetMode="External"/><Relationship Id="rId1258" Type="http://schemas.openxmlformats.org/officeDocument/2006/relationships/hyperlink" Target="https://sbrownlawyer.com/2019/01/15/are-divorce-rates-decreasing/" TargetMode="External"/><Relationship Id="rId2589" Type="http://schemas.openxmlformats.org/officeDocument/2006/relationships/hyperlink" Target="https://sbrownlawyer.com/child-support/" TargetMode="External"/><Relationship Id="rId1259" Type="http://schemas.openxmlformats.org/officeDocument/2006/relationships/hyperlink" Target="https://sbrownlawyer.com/restraining-orders/" TargetMode="External"/><Relationship Id="rId426" Type="http://schemas.openxmlformats.org/officeDocument/2006/relationships/hyperlink" Target="https://sbrownlawyer.com/texas/locations/angleton/" TargetMode="External"/><Relationship Id="rId425" Type="http://schemas.openxmlformats.org/officeDocument/2006/relationships/hyperlink" Target="https://sbrownlawyer.com/obscenity/" TargetMode="External"/><Relationship Id="rId424" Type="http://schemas.openxmlformats.org/officeDocument/2006/relationships/hyperlink" Target="https://sbrownlawyer.com/areas-we-serve/fort-bend-county/" TargetMode="External"/><Relationship Id="rId423" Type="http://schemas.openxmlformats.org/officeDocument/2006/relationships/hyperlink" Target="https://sbrownlawyer.com/2018/01/28/silencers-are-not-prohibited-weapons/" TargetMode="External"/><Relationship Id="rId429" Type="http://schemas.openxmlformats.org/officeDocument/2006/relationships/hyperlink" Target="https://sbrownlawyer.com/2024/12/27/understanding-the-naturalization-timeline-for-texas-residents/" TargetMode="External"/><Relationship Id="rId428" Type="http://schemas.openxmlformats.org/officeDocument/2006/relationships/hyperlink" Target="https://sbrownlawyer.com/2024/12/27/understanding-the-naturalization-timeline-for-texas-residents/" TargetMode="External"/><Relationship Id="rId427" Type="http://schemas.openxmlformats.org/officeDocument/2006/relationships/hyperlink" Target="https://sbrownlawyer.com/2020/07/13/10-signs-divorced-parents-are-doing-right-by-their-kids/" TargetMode="External"/><Relationship Id="rId2580" Type="http://schemas.openxmlformats.org/officeDocument/2006/relationships/hyperlink" Target="https://sbrownlawyer.com/2018/04/17/statutory-rape-age-of-consent-in-texas-how-old-is-too-old/" TargetMode="External"/><Relationship Id="rId1250" Type="http://schemas.openxmlformats.org/officeDocument/2006/relationships/hyperlink" Target="https://sbrownlawyer.com/2021/09/10/is-it-wise-to-take-on-a-dwi-case-without-a-dwi-lawyer/" TargetMode="External"/><Relationship Id="rId2581" Type="http://schemas.openxmlformats.org/officeDocument/2006/relationships/hyperlink" Target="https://sbrownlawyer.com/postnuptial-agreements/" TargetMode="External"/><Relationship Id="rId1251" Type="http://schemas.openxmlformats.org/officeDocument/2006/relationships/hyperlink" Target="https://sbrownlawyer.com/prenuptial-agreements/" TargetMode="External"/><Relationship Id="rId2582" Type="http://schemas.openxmlformats.org/officeDocument/2006/relationships/hyperlink" Target="https://sbrownlawyer.com/" TargetMode="External"/><Relationship Id="rId1252" Type="http://schemas.openxmlformats.org/officeDocument/2006/relationships/hyperlink" Target="https://sbrownlawyer.com/family-law-attorney-in-galveston/" TargetMode="External"/><Relationship Id="rId2583" Type="http://schemas.openxmlformats.org/officeDocument/2006/relationships/hyperlink" Target="https://sbrownlawyer.com/sexual-abuse/" TargetMode="External"/><Relationship Id="rId422" Type="http://schemas.openxmlformats.org/officeDocument/2006/relationships/hyperlink" Target="https://sbrownlawyer.com/galveston-boating-and-ski-accident-lawyer/" TargetMode="External"/><Relationship Id="rId1253" Type="http://schemas.openxmlformats.org/officeDocument/2006/relationships/hyperlink" Target="https://sbrownlawyer.com/" TargetMode="External"/><Relationship Id="rId2584" Type="http://schemas.openxmlformats.org/officeDocument/2006/relationships/hyperlink" Target="https://sbrownlawyer.com/2018/01/28/silencers-are-not-prohibited-weapons/" TargetMode="External"/><Relationship Id="rId421" Type="http://schemas.openxmlformats.org/officeDocument/2006/relationships/hyperlink" Target="https://sbrownlawyer.com/2024/04/24/texas-alimony-am-i-entitled/" TargetMode="External"/><Relationship Id="rId1254" Type="http://schemas.openxmlformats.org/officeDocument/2006/relationships/hyperlink" Target="https://sbrownlawyer.com/galveston-child-custody-lawyer/" TargetMode="External"/><Relationship Id="rId2585" Type="http://schemas.openxmlformats.org/officeDocument/2006/relationships/hyperlink" Target="https://sbrownlawyer.com/2020/10/29/how-to-tell-if-youre-too-drunk-to-drive-and-how-to-prevent-yourself-from-becoming-a-drunk-driver/" TargetMode="External"/><Relationship Id="rId420" Type="http://schemas.openxmlformats.org/officeDocument/2006/relationships/hyperlink" Target="https://sbrownlawyer.com/2018/01/28/silencers-are-not-prohibited-weapons/" TargetMode="External"/><Relationship Id="rId1255" Type="http://schemas.openxmlformats.org/officeDocument/2006/relationships/hyperlink" Target="https://sbrownlawyer.com/league-city-complex-and-contested-divorce/" TargetMode="External"/><Relationship Id="rId2586" Type="http://schemas.openxmlformats.org/officeDocument/2006/relationships/hyperlink" Target="https://sbrownlawyer.com/drug-possession/" TargetMode="External"/><Relationship Id="rId1256" Type="http://schemas.openxmlformats.org/officeDocument/2006/relationships/hyperlink" Target="https://sbrownlawyer.com/do-not-blow/" TargetMode="External"/><Relationship Id="rId2587" Type="http://schemas.openxmlformats.org/officeDocument/2006/relationships/hyperlink" Target="https://sbrownlawyer.com/2020/08/24/the-complete-guide-to-dwi-vs-dui-laws-in-texas/" TargetMode="External"/><Relationship Id="rId1246" Type="http://schemas.openxmlformats.org/officeDocument/2006/relationships/hyperlink" Target="https://sbrownlawyer.com/2017/06/12/are-dwi-checkpoints-legal-in-texas/" TargetMode="External"/><Relationship Id="rId2577" Type="http://schemas.openxmlformats.org/officeDocument/2006/relationships/hyperlink" Target="https://sbrownlawyer.com/2017/04/19/grounds-for-changing-a-custody-order-in-texas/" TargetMode="External"/><Relationship Id="rId1247" Type="http://schemas.openxmlformats.org/officeDocument/2006/relationships/hyperlink" Target="https://sbrownlawyer.com/2020/10/29/how-to-tell-if-youre-too-drunk-to-drive-and-how-to-prevent-yourself-from-becoming-a-drunk-driver/" TargetMode="External"/><Relationship Id="rId2578" Type="http://schemas.openxmlformats.org/officeDocument/2006/relationships/hyperlink" Target="https://sbrownlawyer.com/2024/03/26/grandparent-custody-rights/" TargetMode="External"/><Relationship Id="rId1248" Type="http://schemas.openxmlformats.org/officeDocument/2006/relationships/hyperlink" Target="https://sbrownlawyer.com/texas/locations/pearland/" TargetMode="External"/><Relationship Id="rId2579" Type="http://schemas.openxmlformats.org/officeDocument/2006/relationships/hyperlink" Target="https://sbrownlawyer.com/2022/02/18/can-i-file-legal-separation-on-texas/" TargetMode="External"/><Relationship Id="rId1249" Type="http://schemas.openxmlformats.org/officeDocument/2006/relationships/hyperlink" Target="https://sbrownlawyer.com/2012/02/13/kobe-bryant-gives-three-homes-to-wife-in-divorce-settlement/" TargetMode="External"/><Relationship Id="rId415" Type="http://schemas.openxmlformats.org/officeDocument/2006/relationships/hyperlink" Target="https://sbrownlawyer.com/2024/12/27/understanding-the-naturalization-timeline-for-texas-residents/" TargetMode="External"/><Relationship Id="rId414" Type="http://schemas.openxmlformats.org/officeDocument/2006/relationships/hyperlink" Target="https://sbrownlawyer.com/criminal-law/first-offenders/" TargetMode="External"/><Relationship Id="rId413" Type="http://schemas.openxmlformats.org/officeDocument/2006/relationships/hyperlink" Target="https://sbrownlawyer.com/" TargetMode="External"/><Relationship Id="rId412" Type="http://schemas.openxmlformats.org/officeDocument/2006/relationships/hyperlink" Target="https://sbrownlawyer.com/" TargetMode="External"/><Relationship Id="rId419" Type="http://schemas.openxmlformats.org/officeDocument/2006/relationships/hyperlink" Target="https://sbrownlawyer.com/2024/04/24/texas-alimony-am-i-entitled/" TargetMode="External"/><Relationship Id="rId418" Type="http://schemas.openxmlformats.org/officeDocument/2006/relationships/hyperlink" Target="https://sbrownlawyer.com/client-video-testimonials/" TargetMode="External"/><Relationship Id="rId417" Type="http://schemas.openxmlformats.org/officeDocument/2006/relationships/hyperlink" Target="https://sbrownlawyer.com/texas/locations/pearland/" TargetMode="External"/><Relationship Id="rId416" Type="http://schemas.openxmlformats.org/officeDocument/2006/relationships/hyperlink" Target="https://sbrownlawyer.com/texas/locations/angleton/" TargetMode="External"/><Relationship Id="rId2570" Type="http://schemas.openxmlformats.org/officeDocument/2006/relationships/hyperlink" Target="https://sbrownlawyer.com/2018/09/04/is-it-legal-for-police-to-search-your-car-in-texas/" TargetMode="External"/><Relationship Id="rId1240" Type="http://schemas.openxmlformats.org/officeDocument/2006/relationships/hyperlink" Target="https://sbrownlawyer.com/galveston-theft-crimes/" TargetMode="External"/><Relationship Id="rId2571" Type="http://schemas.openxmlformats.org/officeDocument/2006/relationships/hyperlink" Target="https://sbrownlawyer.com/" TargetMode="External"/><Relationship Id="rId1241" Type="http://schemas.openxmlformats.org/officeDocument/2006/relationships/hyperlink" Target="https://sbrownlawyer.com/" TargetMode="External"/><Relationship Id="rId2572" Type="http://schemas.openxmlformats.org/officeDocument/2006/relationships/hyperlink" Target="https://sbrownlawyer.com/2017/11/21/new-texas-law-bans-texting-while-driving/" TargetMode="External"/><Relationship Id="rId411" Type="http://schemas.openxmlformats.org/officeDocument/2006/relationships/hyperlink" Target="https://sbrownlawyer.com/2024/12/27/understanding-the-naturalization-timeline-for-texas-residents/" TargetMode="External"/><Relationship Id="rId1242" Type="http://schemas.openxmlformats.org/officeDocument/2006/relationships/hyperlink" Target="https://sbrownlawyer.com/2024/12/27/understanding-the-naturalization-timeline-for-texas-residents/" TargetMode="External"/><Relationship Id="rId2573" Type="http://schemas.openxmlformats.org/officeDocument/2006/relationships/hyperlink" Target="https://sbrownlawyer.com/2024/04/24/texas-alimony-am-i-entitled/" TargetMode="External"/><Relationship Id="rId410" Type="http://schemas.openxmlformats.org/officeDocument/2006/relationships/hyperlink" Target="https://sbrownlawyer.com/katie-stahl/" TargetMode="External"/><Relationship Id="rId1243" Type="http://schemas.openxmlformats.org/officeDocument/2006/relationships/hyperlink" Target="https://sbrownlawyer.com/detailing-some-of-texas-important-child-custody-laws/" TargetMode="External"/><Relationship Id="rId2574" Type="http://schemas.openxmlformats.org/officeDocument/2006/relationships/hyperlink" Target="https://sbrownlawyer.com/attorneys/" TargetMode="External"/><Relationship Id="rId1244" Type="http://schemas.openxmlformats.org/officeDocument/2006/relationships/hyperlink" Target="https://sbrownlawyer.com/2018/01/28/silencers-are-not-prohibited-weapons/" TargetMode="External"/><Relationship Id="rId2575" Type="http://schemas.openxmlformats.org/officeDocument/2006/relationships/hyperlink" Target="https://sbrownlawyer.com/attorneys/" TargetMode="External"/><Relationship Id="rId1245" Type="http://schemas.openxmlformats.org/officeDocument/2006/relationships/hyperlink" Target="https://sbrownlawyer.com/2024/03/26/grandparent-custody-rights/" TargetMode="External"/><Relationship Id="rId2576" Type="http://schemas.openxmlformats.org/officeDocument/2006/relationships/hyperlink" Target="https://sbrownlawyer.com/2021/11/26/child-support-guidelines-in-texas-an-overview/" TargetMode="External"/><Relationship Id="rId1279" Type="http://schemas.openxmlformats.org/officeDocument/2006/relationships/hyperlink" Target="https://sbrownlawyer.com/2024/07/04/expungement-vs-sealing-what-is-the-best-option/" TargetMode="External"/><Relationship Id="rId448" Type="http://schemas.openxmlformats.org/officeDocument/2006/relationships/hyperlink" Target="https://sbrownlawyer.com/2018/01/28/silencers-are-not-prohibited-weapons/" TargetMode="External"/><Relationship Id="rId447" Type="http://schemas.openxmlformats.org/officeDocument/2006/relationships/hyperlink" Target="https://sbrownlawyer.com/areas-we-serve/galveston-county/" TargetMode="External"/><Relationship Id="rId446" Type="http://schemas.openxmlformats.org/officeDocument/2006/relationships/hyperlink" Target="https://sbrownlawyer.com/criminal-law/indecent-exposure/" TargetMode="External"/><Relationship Id="rId445" Type="http://schemas.openxmlformats.org/officeDocument/2006/relationships/hyperlink" Target="https://sbrownlawyer.com/areas-we-serve/fort-bend-county/" TargetMode="External"/><Relationship Id="rId449" Type="http://schemas.openxmlformats.org/officeDocument/2006/relationships/hyperlink" Target="https://sbrownlawyer.com/attorneys/" TargetMode="External"/><Relationship Id="rId1270" Type="http://schemas.openxmlformats.org/officeDocument/2006/relationships/hyperlink" Target="https://sbrownlawyer.com/2024/12/27/understanding-the-naturalization-timeline-for-texas-residents/" TargetMode="External"/><Relationship Id="rId440" Type="http://schemas.openxmlformats.org/officeDocument/2006/relationships/hyperlink" Target="https://sbrownlawyer.com/2024/12/27/understanding-the-naturalization-timeline-for-texas-residents/" TargetMode="External"/><Relationship Id="rId1271" Type="http://schemas.openxmlformats.org/officeDocument/2006/relationships/hyperlink" Target="https://sbrownlawyer.com/areas-we-serve/brazoria-county/" TargetMode="External"/><Relationship Id="rId1272" Type="http://schemas.openxmlformats.org/officeDocument/2006/relationships/hyperlink" Target="https://sbrownlawyer.com/" TargetMode="External"/><Relationship Id="rId1273" Type="http://schemas.openxmlformats.org/officeDocument/2006/relationships/hyperlink" Target="https://sbrownlawyer.com/" TargetMode="External"/><Relationship Id="rId1274" Type="http://schemas.openxmlformats.org/officeDocument/2006/relationships/hyperlink" Target="https://sbrownlawyer.com/espanol/" TargetMode="External"/><Relationship Id="rId444" Type="http://schemas.openxmlformats.org/officeDocument/2006/relationships/hyperlink" Target="https://sbrownlawyer.com/2024/04/24/texas-alimony-am-i-entitled/" TargetMode="External"/><Relationship Id="rId1275" Type="http://schemas.openxmlformats.org/officeDocument/2006/relationships/hyperlink" Target="https://sbrownlawyer.com/child-custody/" TargetMode="External"/><Relationship Id="rId443" Type="http://schemas.openxmlformats.org/officeDocument/2006/relationships/hyperlink" Target="https://sbrownlawyer.com/2024/04/24/texas-alimony-am-i-entitled/" TargetMode="External"/><Relationship Id="rId1276" Type="http://schemas.openxmlformats.org/officeDocument/2006/relationships/hyperlink" Target="https://sbrownlawyer.com/immigration/" TargetMode="External"/><Relationship Id="rId442" Type="http://schemas.openxmlformats.org/officeDocument/2006/relationships/hyperlink" Target="https://sbrownlawyer.com/texas/locations/angleton/" TargetMode="External"/><Relationship Id="rId1277" Type="http://schemas.openxmlformats.org/officeDocument/2006/relationships/hyperlink" Target="https://sbrownlawyer.com/attorneys/" TargetMode="External"/><Relationship Id="rId441" Type="http://schemas.openxmlformats.org/officeDocument/2006/relationships/hyperlink" Target="https://sbrownlawyer.com/2018/01/28/silencers-are-not-prohibited-weapons/" TargetMode="External"/><Relationship Id="rId1278" Type="http://schemas.openxmlformats.org/officeDocument/2006/relationships/hyperlink" Target="https://sbrownlawyer.com/grand-theft/" TargetMode="External"/><Relationship Id="rId1268" Type="http://schemas.openxmlformats.org/officeDocument/2006/relationships/hyperlink" Target="https://sbrownlawyer.com/2022/02/18/can-i-file-legal-separation-on-texas/" TargetMode="External"/><Relationship Id="rId2599" Type="http://schemas.openxmlformats.org/officeDocument/2006/relationships/hyperlink" Target="https://sbrownlawyer.com/obscenity/" TargetMode="External"/><Relationship Id="rId1269" Type="http://schemas.openxmlformats.org/officeDocument/2006/relationships/hyperlink" Target="https://sbrownlawyer.com/areas-we-serve/galveston-county/dickinson/" TargetMode="External"/><Relationship Id="rId437" Type="http://schemas.openxmlformats.org/officeDocument/2006/relationships/hyperlink" Target="https://sbrownlawyer.com/2024/04/24/texas-alimony-am-i-entitled/" TargetMode="External"/><Relationship Id="rId436" Type="http://schemas.openxmlformats.org/officeDocument/2006/relationships/hyperlink" Target="https://sbrownlawyer.com/spinal-cord-injury/" TargetMode="External"/><Relationship Id="rId435" Type="http://schemas.openxmlformats.org/officeDocument/2006/relationships/hyperlink" Target="https://sbrownlawyer.com/2024/12/27/understanding-the-naturalization-timeline-for-texas-residents/" TargetMode="External"/><Relationship Id="rId434" Type="http://schemas.openxmlformats.org/officeDocument/2006/relationships/hyperlink" Target="https://sbrownlawyer.com/homes-and-real-estate/" TargetMode="External"/><Relationship Id="rId439" Type="http://schemas.openxmlformats.org/officeDocument/2006/relationships/hyperlink" Target="https://sbrownlawyer.com/2024/12/27/understanding-the-naturalization-timeline-for-texas-residents/" TargetMode="External"/><Relationship Id="rId438" Type="http://schemas.openxmlformats.org/officeDocument/2006/relationships/hyperlink" Target="https://sbrownlawyer.com/2024/04/24/texas-alimony-am-i-entitled/" TargetMode="External"/><Relationship Id="rId2590" Type="http://schemas.openxmlformats.org/officeDocument/2006/relationships/hyperlink" Target="https://sbrownlawyer.com/league-city-child-custody-attorneys/" TargetMode="External"/><Relationship Id="rId1260" Type="http://schemas.openxmlformats.org/officeDocument/2006/relationships/hyperlink" Target="https://sbrownlawyer.com/2021/05/31/your-parenting-plan-how-to-reach-a-child-custody-agreement-without-court-involvement/" TargetMode="External"/><Relationship Id="rId2591" Type="http://schemas.openxmlformats.org/officeDocument/2006/relationships/hyperlink" Target="https://sbrownlawyer.com/obscenity/" TargetMode="External"/><Relationship Id="rId1261" Type="http://schemas.openxmlformats.org/officeDocument/2006/relationships/hyperlink" Target="https://sbrownlawyer.com/attorneys/" TargetMode="External"/><Relationship Id="rId2592" Type="http://schemas.openxmlformats.org/officeDocument/2006/relationships/hyperlink" Target="https://sbrownlawyer.com/obscenity/" TargetMode="External"/><Relationship Id="rId1262" Type="http://schemas.openxmlformats.org/officeDocument/2006/relationships/hyperlink" Target="https://sbrownlawyer.com/2024/04/24/texas-alimony-am-i-entitled/" TargetMode="External"/><Relationship Id="rId2593" Type="http://schemas.openxmlformats.org/officeDocument/2006/relationships/hyperlink" Target="https://sbrownlawyer.com/drug-possession/" TargetMode="External"/><Relationship Id="rId1263" Type="http://schemas.openxmlformats.org/officeDocument/2006/relationships/hyperlink" Target="https://sbrownlawyer.com/2020/01/14/how-texas-defines-child-abuse/" TargetMode="External"/><Relationship Id="rId2594" Type="http://schemas.openxmlformats.org/officeDocument/2006/relationships/hyperlink" Target="https://sbrownlawyer.com/" TargetMode="External"/><Relationship Id="rId433" Type="http://schemas.openxmlformats.org/officeDocument/2006/relationships/hyperlink" Target="https://sbrownlawyer.com/2024/12/27/understanding-the-naturalization-timeline-for-texas-residents/" TargetMode="External"/><Relationship Id="rId1264" Type="http://schemas.openxmlformats.org/officeDocument/2006/relationships/hyperlink" Target="https://sbrownlawyer.com/adoption/" TargetMode="External"/><Relationship Id="rId2595" Type="http://schemas.openxmlformats.org/officeDocument/2006/relationships/hyperlink" Target="https://sbrownlawyer.com/criminal-law/first-offenders/" TargetMode="External"/><Relationship Id="rId432" Type="http://schemas.openxmlformats.org/officeDocument/2006/relationships/hyperlink" Target="https://sbrownlawyer.com/criminal-defense/" TargetMode="External"/><Relationship Id="rId1265" Type="http://schemas.openxmlformats.org/officeDocument/2006/relationships/hyperlink" Target="https://sbrownlawyer.com/attorneys/" TargetMode="External"/><Relationship Id="rId2596" Type="http://schemas.openxmlformats.org/officeDocument/2006/relationships/hyperlink" Target="https://sbrownlawyer.com/prenuptial-agreements/" TargetMode="External"/><Relationship Id="rId431" Type="http://schemas.openxmlformats.org/officeDocument/2006/relationships/hyperlink" Target="https://sbrownlawyer.com/2024/12/27/understanding-the-naturalization-timeline-for-texas-residents/" TargetMode="External"/><Relationship Id="rId1266" Type="http://schemas.openxmlformats.org/officeDocument/2006/relationships/hyperlink" Target="https://sbrownlawyer.com/attorneys/" TargetMode="External"/><Relationship Id="rId2597" Type="http://schemas.openxmlformats.org/officeDocument/2006/relationships/hyperlink" Target="https://sbrownlawyer.com/slip-and-fall-accidents/" TargetMode="External"/><Relationship Id="rId430" Type="http://schemas.openxmlformats.org/officeDocument/2006/relationships/hyperlink" Target="https://sbrownlawyer.com/obscenity/" TargetMode="External"/><Relationship Id="rId1267" Type="http://schemas.openxmlformats.org/officeDocument/2006/relationships/hyperlink" Target="https://sbrownlawyer.com/slip-and-fall-accidents/" TargetMode="External"/><Relationship Id="rId2598" Type="http://schemas.openxmlformats.org/officeDocument/2006/relationships/hyperlink" Target="https://sbrownlawyer.com/uber-lyft-accidents/" TargetMode="External"/><Relationship Id="rId3070" Type="http://schemas.openxmlformats.org/officeDocument/2006/relationships/hyperlink" Target="https://sbrownlawyer.com/attorneys/" TargetMode="External"/><Relationship Id="rId3072" Type="http://schemas.openxmlformats.org/officeDocument/2006/relationships/hyperlink" Target="https://sbrownlawyer.com/asset-division/" TargetMode="External"/><Relationship Id="rId3071" Type="http://schemas.openxmlformats.org/officeDocument/2006/relationships/hyperlink" Target="https://sbrownlawyer.com/paula-roark-cundiff/" TargetMode="External"/><Relationship Id="rId3074" Type="http://schemas.openxmlformats.org/officeDocument/2006/relationships/hyperlink" Target="https://sbrownlawyer.com/aggravated-sexual-assault/" TargetMode="External"/><Relationship Id="rId3073" Type="http://schemas.openxmlformats.org/officeDocument/2006/relationships/hyperlink" Target="https://sbrownlawyer.com/information-about-brazoria-county-texas/" TargetMode="External"/><Relationship Id="rId3076" Type="http://schemas.openxmlformats.org/officeDocument/2006/relationships/hyperlink" Target="https://sbrownlawyer.com/contact/" TargetMode="External"/><Relationship Id="rId3075" Type="http://schemas.openxmlformats.org/officeDocument/2006/relationships/hyperlink" Target="https://sbrownlawyer.com/attorneys/" TargetMode="External"/><Relationship Id="rId3078" Type="http://schemas.openxmlformats.org/officeDocument/2006/relationships/hyperlink" Target="https://sbrownlawyer.com/2024/03/26/grandparent-custody-rights/" TargetMode="External"/><Relationship Id="rId3077" Type="http://schemas.openxmlformats.org/officeDocument/2006/relationships/hyperlink" Target="https://sbrownlawyer.com/texas/locations/angleton/" TargetMode="External"/><Relationship Id="rId3079" Type="http://schemas.openxmlformats.org/officeDocument/2006/relationships/hyperlink" Target="https://sbrownlawyer.com/sex-crimes/sex-offender-registration/" TargetMode="External"/><Relationship Id="rId3061" Type="http://schemas.openxmlformats.org/officeDocument/2006/relationships/hyperlink" Target="https://sbrownlawyer.com/2024/07/04/expungement-vs-sealing-what-is-the-best-option/" TargetMode="External"/><Relationship Id="rId3060" Type="http://schemas.openxmlformats.org/officeDocument/2006/relationships/hyperlink" Target="https://sbrownlawyer.com/adoption/" TargetMode="External"/><Relationship Id="rId3063" Type="http://schemas.openxmlformats.org/officeDocument/2006/relationships/hyperlink" Target="https://sbrownlawyer.com/attorneys/" TargetMode="External"/><Relationship Id="rId3062" Type="http://schemas.openxmlformats.org/officeDocument/2006/relationships/hyperlink" Target="https://sbrownlawyer.com/divorce/" TargetMode="External"/><Relationship Id="rId3065" Type="http://schemas.openxmlformats.org/officeDocument/2006/relationships/hyperlink" Target="https://sbrownlawyer.com/" TargetMode="External"/><Relationship Id="rId3064" Type="http://schemas.openxmlformats.org/officeDocument/2006/relationships/hyperlink" Target="https://sbrownlawyer.com/sex-crimes/" TargetMode="External"/><Relationship Id="rId3067" Type="http://schemas.openxmlformats.org/officeDocument/2006/relationships/hyperlink" Target="https://sbrownlawyer.com/product-liability/" TargetMode="External"/><Relationship Id="rId3066" Type="http://schemas.openxmlformats.org/officeDocument/2006/relationships/hyperlink" Target="https://sbrownlawyer.com/" TargetMode="External"/><Relationship Id="rId3069" Type="http://schemas.openxmlformats.org/officeDocument/2006/relationships/hyperlink" Target="https://sbrownlawyer.com/" TargetMode="External"/><Relationship Id="rId3068" Type="http://schemas.openxmlformats.org/officeDocument/2006/relationships/hyperlink" Target="https://sbrownlawyer.com/" TargetMode="External"/><Relationship Id="rId3090" Type="http://schemas.openxmlformats.org/officeDocument/2006/relationships/hyperlink" Target="https://sbrownlawyer.com/family-law-attorney-in-galveston/" TargetMode="External"/><Relationship Id="rId3092" Type="http://schemas.openxmlformats.org/officeDocument/2006/relationships/hyperlink" Target="https://sbrownlawyer.com/drug-possession/" TargetMode="External"/><Relationship Id="rId3091" Type="http://schemas.openxmlformats.org/officeDocument/2006/relationships/hyperlink" Target="https://sbrownlawyer.com/scott-m-brown/" TargetMode="External"/><Relationship Id="rId3094" Type="http://schemas.openxmlformats.org/officeDocument/2006/relationships/hyperlink" Target="https://sbrownlawyer.com/2024/04/24/texas-alimony-am-i-entitled/" TargetMode="External"/><Relationship Id="rId3093" Type="http://schemas.openxmlformats.org/officeDocument/2006/relationships/hyperlink" Target="https://sbrownlawyer.com/child-support/" TargetMode="External"/><Relationship Id="rId3096" Type="http://schemas.openxmlformats.org/officeDocument/2006/relationships/hyperlink" Target="https://sbrownlawyer.com/divorce/" TargetMode="External"/><Relationship Id="rId3095" Type="http://schemas.openxmlformats.org/officeDocument/2006/relationships/hyperlink" Target="https://sbrownlawyer.com/2024/04/24/texas-alimony-am-i-entitled/" TargetMode="External"/><Relationship Id="rId3098" Type="http://schemas.openxmlformats.org/officeDocument/2006/relationships/hyperlink" Target="https://sbrownlawyer.com/peggy-bittick/" TargetMode="External"/><Relationship Id="rId3097" Type="http://schemas.openxmlformats.org/officeDocument/2006/relationships/hyperlink" Target="https://sbrownlawyer.com/2016/02/18/how-does-bankruptcy-affect-child-support/" TargetMode="External"/><Relationship Id="rId3099" Type="http://schemas.openxmlformats.org/officeDocument/2006/relationships/hyperlink" Target="https://sbrownlawyer.com/cohabitation/" TargetMode="External"/><Relationship Id="rId3081" Type="http://schemas.openxmlformats.org/officeDocument/2006/relationships/hyperlink" Target="https://sbrownlawyer.com/attorneys/" TargetMode="External"/><Relationship Id="rId3080" Type="http://schemas.openxmlformats.org/officeDocument/2006/relationships/hyperlink" Target="https://sbrownlawyer.com/" TargetMode="External"/><Relationship Id="rId3083" Type="http://schemas.openxmlformats.org/officeDocument/2006/relationships/hyperlink" Target="https://sbrownlawyer.com/firm-overview/" TargetMode="External"/><Relationship Id="rId3082" Type="http://schemas.openxmlformats.org/officeDocument/2006/relationships/hyperlink" Target="https://sbrownlawyer.com/2017/12/01/modifying-custody-in-the-state-of-texas/" TargetMode="External"/><Relationship Id="rId3085" Type="http://schemas.openxmlformats.org/officeDocument/2006/relationships/hyperlink" Target="https://sbrownlawyer.com/espanol/" TargetMode="External"/><Relationship Id="rId3084" Type="http://schemas.openxmlformats.org/officeDocument/2006/relationships/hyperlink" Target="https://sbrownlawyer.com/divorce/" TargetMode="External"/><Relationship Id="rId3087" Type="http://schemas.openxmlformats.org/officeDocument/2006/relationships/hyperlink" Target="https://sbrownlawyer.com/drug-possession/" TargetMode="External"/><Relationship Id="rId3086" Type="http://schemas.openxmlformats.org/officeDocument/2006/relationships/hyperlink" Target="https://sbrownlawyer.com/brain-injury/" TargetMode="External"/><Relationship Id="rId3089" Type="http://schemas.openxmlformats.org/officeDocument/2006/relationships/hyperlink" Target="https://sbrownlawyer.com/division-of-property/" TargetMode="External"/><Relationship Id="rId3088" Type="http://schemas.openxmlformats.org/officeDocument/2006/relationships/hyperlink" Target="https://sbrownlawyer.com/2017/12/22/tickets-for-driving-without-car-insurnace-now-in-effect/" TargetMode="External"/><Relationship Id="rId3039" Type="http://schemas.openxmlformats.org/officeDocument/2006/relationships/hyperlink" Target="https://sbrownlawyer.com/attorneys/" TargetMode="External"/><Relationship Id="rId1" Type="http://schemas.openxmlformats.org/officeDocument/2006/relationships/hyperlink" Target="https://sbrownlawyer.com/2014/06/20/lopez-anthony-divorce-has-interesting-child-custody-agreement/" TargetMode="External"/><Relationship Id="rId2" Type="http://schemas.openxmlformats.org/officeDocument/2006/relationships/hyperlink" Target="https://sbrownlawyer.com/2024/04/24/texas-alimony-am-i-entitled/" TargetMode="External"/><Relationship Id="rId3" Type="http://schemas.openxmlformats.org/officeDocument/2006/relationships/hyperlink" Target="https://sbrownlawyer.com/2018/05/15/prenuptial-agreements-in-texas-what-they-do-do-not-protect/" TargetMode="External"/><Relationship Id="rId4" Type="http://schemas.openxmlformats.org/officeDocument/2006/relationships/hyperlink" Target="https://sbrownlawyer.com/2024/04/24/texas-alimony-am-i-entitled/" TargetMode="External"/><Relationship Id="rId3030" Type="http://schemas.openxmlformats.org/officeDocument/2006/relationships/hyperlink" Target="https://sbrownlawyer.com/falsely-accused/" TargetMode="External"/><Relationship Id="rId9" Type="http://schemas.openxmlformats.org/officeDocument/2006/relationships/hyperlink" Target="https://sbrownlawyer.com/2018/04/23/how-do-bond-reductions-work/" TargetMode="External"/><Relationship Id="rId3032" Type="http://schemas.openxmlformats.org/officeDocument/2006/relationships/hyperlink" Target="https://sbrownlawyer.com/hit-and-run/" TargetMode="External"/><Relationship Id="rId3031" Type="http://schemas.openxmlformats.org/officeDocument/2006/relationships/hyperlink" Target="https://sbrownlawyer.com/" TargetMode="External"/><Relationship Id="rId3034" Type="http://schemas.openxmlformats.org/officeDocument/2006/relationships/hyperlink" Target="https://sbrownlawyer.com/galveston-theft-crimes/" TargetMode="External"/><Relationship Id="rId3033" Type="http://schemas.openxmlformats.org/officeDocument/2006/relationships/hyperlink" Target="https://sbrownlawyer.com/" TargetMode="External"/><Relationship Id="rId5" Type="http://schemas.openxmlformats.org/officeDocument/2006/relationships/hyperlink" Target="https://sbrownlawyer.com/2014/06/20/lopez-anthony-divorce-has-interesting-child-custody-agreement/" TargetMode="External"/><Relationship Id="rId3036" Type="http://schemas.openxmlformats.org/officeDocument/2006/relationships/hyperlink" Target="https://sbrownlawyer.com/" TargetMode="External"/><Relationship Id="rId6" Type="http://schemas.openxmlformats.org/officeDocument/2006/relationships/hyperlink" Target="https://sbrownlawyer.com/2014/06/20/lopez-anthony-divorce-has-interesting-child-custody-agreement/" TargetMode="External"/><Relationship Id="rId3035" Type="http://schemas.openxmlformats.org/officeDocument/2006/relationships/hyperlink" Target="https://sbrownlawyer.com/2017/04/08/what-happens-if-i-refuse-to-take-a-test-when-arrested-for-a-dwi/" TargetMode="External"/><Relationship Id="rId7" Type="http://schemas.openxmlformats.org/officeDocument/2006/relationships/hyperlink" Target="https://sbrownlawyer.com/criminal-law/first-offenders/" TargetMode="External"/><Relationship Id="rId3038" Type="http://schemas.openxmlformats.org/officeDocument/2006/relationships/hyperlink" Target="https://sbrownlawyer.com/espanol/" TargetMode="External"/><Relationship Id="rId8" Type="http://schemas.openxmlformats.org/officeDocument/2006/relationships/hyperlink" Target="https://sbrownlawyer.com/2018/04/23/how-do-bond-reductions-work/" TargetMode="External"/><Relationship Id="rId3037" Type="http://schemas.openxmlformats.org/officeDocument/2006/relationships/hyperlink" Target="https://sbrownlawyer.com/2020/10/29/how-to-tell-if-youre-too-drunk-to-drive-and-how-to-prevent-yourself-from-becoming-a-drunk-driver/" TargetMode="External"/><Relationship Id="rId3029" Type="http://schemas.openxmlformats.org/officeDocument/2006/relationships/hyperlink" Target="https://sbrownlawyer.com/" TargetMode="External"/><Relationship Id="rId3028" Type="http://schemas.openxmlformats.org/officeDocument/2006/relationships/hyperlink" Target="https://sbrownlawyer.com/falsely-accused/" TargetMode="External"/><Relationship Id="rId3021" Type="http://schemas.openxmlformats.org/officeDocument/2006/relationships/hyperlink" Target="https://sbrownlawyer.com/2024/04/24/texas-alimony-am-i-entitled/" TargetMode="External"/><Relationship Id="rId3020" Type="http://schemas.openxmlformats.org/officeDocument/2006/relationships/hyperlink" Target="https://sbrownlawyer.com/2021/04/07/reasons-grandparents-can-file-for-custody-of-grandchild-in-texas/" TargetMode="External"/><Relationship Id="rId3023" Type="http://schemas.openxmlformats.org/officeDocument/2006/relationships/hyperlink" Target="https://sbrownlawyer.com/2024/04/24/texas-alimony-am-i-entitled/" TargetMode="External"/><Relationship Id="rId3022" Type="http://schemas.openxmlformats.org/officeDocument/2006/relationships/hyperlink" Target="https://sbrownlawyer.com/pedestrian-accidents/" TargetMode="External"/><Relationship Id="rId3025" Type="http://schemas.openxmlformats.org/officeDocument/2006/relationships/hyperlink" Target="https://sbrownlawyer.com/attorneys/" TargetMode="External"/><Relationship Id="rId3024" Type="http://schemas.openxmlformats.org/officeDocument/2006/relationships/hyperlink" Target="https://sbrownlawyer.com/league-city-tx-dwi-dui/" TargetMode="External"/><Relationship Id="rId3027" Type="http://schemas.openxmlformats.org/officeDocument/2006/relationships/hyperlink" Target="https://sbrownlawyer.com/aggravated-sexual-assault/" TargetMode="External"/><Relationship Id="rId3026" Type="http://schemas.openxmlformats.org/officeDocument/2006/relationships/hyperlink" Target="https://sbrownlawyer.com/?refPageViewId=8df50165c6a5485b" TargetMode="External"/><Relationship Id="rId3050" Type="http://schemas.openxmlformats.org/officeDocument/2006/relationships/hyperlink" Target="https://sbrownlawyer.com/attorneys/" TargetMode="External"/><Relationship Id="rId3052" Type="http://schemas.openxmlformats.org/officeDocument/2006/relationships/hyperlink" Target="https://sbrownlawyer.com/divorce/" TargetMode="External"/><Relationship Id="rId3051" Type="http://schemas.openxmlformats.org/officeDocument/2006/relationships/hyperlink" Target="https://sbrownlawyer.com/" TargetMode="External"/><Relationship Id="rId3054" Type="http://schemas.openxmlformats.org/officeDocument/2006/relationships/hyperlink" Target="https://sbrownlawyer.com/adoption/" TargetMode="External"/><Relationship Id="rId3053" Type="http://schemas.openxmlformats.org/officeDocument/2006/relationships/hyperlink" Target="https://sbrownlawyer.com/areas-we-serve/fort-bend-county/" TargetMode="External"/><Relationship Id="rId3056" Type="http://schemas.openxmlformats.org/officeDocument/2006/relationships/hyperlink" Target="https://sbrownlawyer.com/attorneys/" TargetMode="External"/><Relationship Id="rId3055" Type="http://schemas.openxmlformats.org/officeDocument/2006/relationships/hyperlink" Target="https://sbrownlawyer.com/" TargetMode="External"/><Relationship Id="rId3058" Type="http://schemas.openxmlformats.org/officeDocument/2006/relationships/hyperlink" Target="https://sbrownlawyer.com/friendswood-tx-drug-charges/" TargetMode="External"/><Relationship Id="rId3057" Type="http://schemas.openxmlformats.org/officeDocument/2006/relationships/hyperlink" Target="https://sbrownlawyer.com/falsely-accused/" TargetMode="External"/><Relationship Id="rId3059" Type="http://schemas.openxmlformats.org/officeDocument/2006/relationships/hyperlink" Target="https://sbrownlawyer.com/attorneys/" TargetMode="External"/><Relationship Id="rId3041" Type="http://schemas.openxmlformats.org/officeDocument/2006/relationships/hyperlink" Target="https://sbrownlawyer.com/2021/02/28/what-happens-after-a-second-and-third-dwi-in-texas/" TargetMode="External"/><Relationship Id="rId3040" Type="http://schemas.openxmlformats.org/officeDocument/2006/relationships/hyperlink" Target="https://sbrownlawyer.com/attorneys/" TargetMode="External"/><Relationship Id="rId3043" Type="http://schemas.openxmlformats.org/officeDocument/2006/relationships/hyperlink" Target="https://sbrownlawyer.com/adoption/" TargetMode="External"/><Relationship Id="rId3042" Type="http://schemas.openxmlformats.org/officeDocument/2006/relationships/hyperlink" Target="https://sbrownlawyer.com/2019/10/08/can-you-sue-a-partner-that-infected-you-with-an-std/" TargetMode="External"/><Relationship Id="rId3045" Type="http://schemas.openxmlformats.org/officeDocument/2006/relationships/hyperlink" Target="https://sbrownlawyer.com/attorneys/" TargetMode="External"/><Relationship Id="rId3044" Type="http://schemas.openxmlformats.org/officeDocument/2006/relationships/hyperlink" Target="https://sbrownlawyer.com/divorce/" TargetMode="External"/><Relationship Id="rId3047" Type="http://schemas.openxmlformats.org/officeDocument/2006/relationships/hyperlink" Target="https://sbrownlawyer.com/attorneys/" TargetMode="External"/><Relationship Id="rId3046" Type="http://schemas.openxmlformats.org/officeDocument/2006/relationships/hyperlink" Target="https://sbrownlawyer.com/" TargetMode="External"/><Relationship Id="rId3049" Type="http://schemas.openxmlformats.org/officeDocument/2006/relationships/hyperlink" Target="https://sbrownlawyer.com/steps-in-settling-your-claim-in-texas/" TargetMode="External"/><Relationship Id="rId3048" Type="http://schemas.openxmlformats.org/officeDocument/2006/relationships/hyperlink" Target="https://sbrownlawyer.com/attorneys/" TargetMode="External"/><Relationship Id="rId2600" Type="http://schemas.openxmlformats.org/officeDocument/2006/relationships/hyperlink" Target="https://sbrownlawyer.com/texas/locations/pearland/" TargetMode="External"/><Relationship Id="rId2601" Type="http://schemas.openxmlformats.org/officeDocument/2006/relationships/hyperlink" Target="https://sbrownlawyer.com/2020/05/21/what-happens-if-you-violate-a-restraining-order/" TargetMode="External"/><Relationship Id="rId2602" Type="http://schemas.openxmlformats.org/officeDocument/2006/relationships/hyperlink" Target="https://sbrownlawyer.com/brain-injury/" TargetMode="External"/><Relationship Id="rId2603" Type="http://schemas.openxmlformats.org/officeDocument/2006/relationships/hyperlink" Target="https://sbrownlawyer.com/league-city-high-net-worth-divorce-lawyer/" TargetMode="External"/><Relationship Id="rId2604" Type="http://schemas.openxmlformats.org/officeDocument/2006/relationships/hyperlink" Target="https://sbrownlawyer.com/parental-alienation/" TargetMode="External"/><Relationship Id="rId2605" Type="http://schemas.openxmlformats.org/officeDocument/2006/relationships/hyperlink" Target="https://sbrownlawyer.com/" TargetMode="External"/><Relationship Id="rId2606" Type="http://schemas.openxmlformats.org/officeDocument/2006/relationships/hyperlink" Target="https://sbrownlawyer.com/" TargetMode="External"/><Relationship Id="rId808" Type="http://schemas.openxmlformats.org/officeDocument/2006/relationships/hyperlink" Target="https://sbrownlawyer.com/2024/11/29/how-to-meet-texas-adjustment-of-status-requirements-for-spouses/" TargetMode="External"/><Relationship Id="rId2607" Type="http://schemas.openxmlformats.org/officeDocument/2006/relationships/hyperlink" Target="https://sbrownlawyer.com/2020/05/21/what-happens-if-you-violate-a-restraining-order/" TargetMode="External"/><Relationship Id="rId807" Type="http://schemas.openxmlformats.org/officeDocument/2006/relationships/hyperlink" Target="https://sbrownlawyer.com/" TargetMode="External"/><Relationship Id="rId2608" Type="http://schemas.openxmlformats.org/officeDocument/2006/relationships/hyperlink" Target="https://sbrownlawyer.com/attorneys/" TargetMode="External"/><Relationship Id="rId806" Type="http://schemas.openxmlformats.org/officeDocument/2006/relationships/hyperlink" Target="https://sbrownlawyer.com/dwi/" TargetMode="External"/><Relationship Id="rId2609" Type="http://schemas.openxmlformats.org/officeDocument/2006/relationships/hyperlink" Target="https://sbrownlawyer.com/2020/10/29/how-to-tell-if-youre-too-drunk-to-drive-and-how-to-prevent-yourself-from-becoming-a-drunk-driver/" TargetMode="External"/><Relationship Id="rId805" Type="http://schemas.openxmlformats.org/officeDocument/2006/relationships/hyperlink" Target="https://sbrownlawyer.com/attorneys/" TargetMode="External"/><Relationship Id="rId809" Type="http://schemas.openxmlformats.org/officeDocument/2006/relationships/hyperlink" Target="https://sbrownlawyer.com/2024/12/27/understanding-the-naturalization-timeline-for-texas-residents/" TargetMode="External"/><Relationship Id="rId800" Type="http://schemas.openxmlformats.org/officeDocument/2006/relationships/hyperlink" Target="https://sbrownlawyer.com/2014/04/18/no-fault-divorce-covenant-marriage-and-domestic-violence/" TargetMode="External"/><Relationship Id="rId804" Type="http://schemas.openxmlformats.org/officeDocument/2006/relationships/hyperlink" Target="https://sbrownlawyer.com/2022/02/18/can-i-file-legal-separation-on-texas/" TargetMode="External"/><Relationship Id="rId803" Type="http://schemas.openxmlformats.org/officeDocument/2006/relationships/hyperlink" Target="https://sbrownlawyer.com/criminal-defense-book/" TargetMode="External"/><Relationship Id="rId802" Type="http://schemas.openxmlformats.org/officeDocument/2006/relationships/hyperlink" Target="https://sbrownlawyer.com/obscenity/" TargetMode="External"/><Relationship Id="rId801" Type="http://schemas.openxmlformats.org/officeDocument/2006/relationships/hyperlink" Target="https://sbrownlawyer.com/2024/12/27/understanding-the-naturalization-timeline-for-texas-residents/" TargetMode="External"/><Relationship Id="rId1334" Type="http://schemas.openxmlformats.org/officeDocument/2006/relationships/hyperlink" Target="https://sbrownlawyer.com/sex-crimes/sex-offender-registration/" TargetMode="External"/><Relationship Id="rId2665" Type="http://schemas.openxmlformats.org/officeDocument/2006/relationships/hyperlink" Target="https://sbrownlawyer.com/2018/02/12/what-are-texas-cannabis-laws/" TargetMode="External"/><Relationship Id="rId1335" Type="http://schemas.openxmlformats.org/officeDocument/2006/relationships/hyperlink" Target="https://sbrownlawyer.com/adoption/" TargetMode="External"/><Relationship Id="rId2666" Type="http://schemas.openxmlformats.org/officeDocument/2006/relationships/hyperlink" Target="https://sbrownlawyer.com/child-protective-services-cps/" TargetMode="External"/><Relationship Id="rId1336" Type="http://schemas.openxmlformats.org/officeDocument/2006/relationships/hyperlink" Target="https://sbrownlawyer.com/2015/06/23/how-do-the-courts-determine-the-primary-caretaker/" TargetMode="External"/><Relationship Id="rId2667" Type="http://schemas.openxmlformats.org/officeDocument/2006/relationships/hyperlink" Target="https://sbrownlawyer.com/2017/06/12/are-dwi-checkpoints-legal-in-texas/" TargetMode="External"/><Relationship Id="rId1337" Type="http://schemas.openxmlformats.org/officeDocument/2006/relationships/hyperlink" Target="https://sbrownlawyer.com/" TargetMode="External"/><Relationship Id="rId2668" Type="http://schemas.openxmlformats.org/officeDocument/2006/relationships/hyperlink" Target="https://sbrownlawyer.com/attorneys/" TargetMode="External"/><Relationship Id="rId1338" Type="http://schemas.openxmlformats.org/officeDocument/2006/relationships/hyperlink" Target="https://sbrownlawyer.com/adoption/" TargetMode="External"/><Relationship Id="rId2669" Type="http://schemas.openxmlformats.org/officeDocument/2006/relationships/hyperlink" Target="https://sbrownlawyer.com/2015/09/25/the-pope-changes-marriage-annulments-making-them-fast-and-cheap/" TargetMode="External"/><Relationship Id="rId1339" Type="http://schemas.openxmlformats.org/officeDocument/2006/relationships/hyperlink" Target="https://sbrownlawyer.com/parental-relocation/" TargetMode="External"/><Relationship Id="rId745" Type="http://schemas.openxmlformats.org/officeDocument/2006/relationships/hyperlink" Target="https://sbrownlawyer.com/2024/03/20/texas-child-support-2024/" TargetMode="External"/><Relationship Id="rId744" Type="http://schemas.openxmlformats.org/officeDocument/2006/relationships/hyperlink" Target="https://sbrownlawyer.com/sex-crimes/texas-sex-crime-law/" TargetMode="External"/><Relationship Id="rId743" Type="http://schemas.openxmlformats.org/officeDocument/2006/relationships/hyperlink" Target="https://sbrownlawyer.com/dwi/" TargetMode="External"/><Relationship Id="rId742" Type="http://schemas.openxmlformats.org/officeDocument/2006/relationships/hyperlink" Target="https://sbrownlawyer.com/dwi/" TargetMode="External"/><Relationship Id="rId749" Type="http://schemas.openxmlformats.org/officeDocument/2006/relationships/hyperlink" Target="https://sbrownlawyer.com/2024/03/26/grandparent-custody-rights/" TargetMode="External"/><Relationship Id="rId748" Type="http://schemas.openxmlformats.org/officeDocument/2006/relationships/hyperlink" Target="https://sbrownlawyer.com/2024/03/20/texas-child-support-2024/" TargetMode="External"/><Relationship Id="rId747" Type="http://schemas.openxmlformats.org/officeDocument/2006/relationships/hyperlink" Target="https://sbrownlawyer.com/2024/12/27/understanding-the-naturalization-timeline-for-texas-residents/" TargetMode="External"/><Relationship Id="rId746" Type="http://schemas.openxmlformats.org/officeDocument/2006/relationships/hyperlink" Target="https://sbrownlawyer.com/divorce/" TargetMode="External"/><Relationship Id="rId2660" Type="http://schemas.openxmlformats.org/officeDocument/2006/relationships/hyperlink" Target="https://sbrownlawyer.com/2018/07/02/are-there-harsh-penalties-if-i-get-caught-with-marijuana-oils-or-edibles-in-texas/" TargetMode="External"/><Relationship Id="rId741" Type="http://schemas.openxmlformats.org/officeDocument/2006/relationships/hyperlink" Target="https://sbrownlawyer.com/grand-theft/" TargetMode="External"/><Relationship Id="rId1330" Type="http://schemas.openxmlformats.org/officeDocument/2006/relationships/hyperlink" Target="https://sbrownlawyer.com/espanol/" TargetMode="External"/><Relationship Id="rId2661" Type="http://schemas.openxmlformats.org/officeDocument/2006/relationships/hyperlink" Target="https://sbrownlawyer.com/misdemeanor/" TargetMode="External"/><Relationship Id="rId740" Type="http://schemas.openxmlformats.org/officeDocument/2006/relationships/hyperlink" Target="https://sbrownlawyer.com/2024/12/27/understanding-the-naturalization-timeline-for-texas-residents/" TargetMode="External"/><Relationship Id="rId1331" Type="http://schemas.openxmlformats.org/officeDocument/2006/relationships/hyperlink" Target="https://sbrownlawyer.com/hit-and-run/" TargetMode="External"/><Relationship Id="rId2662" Type="http://schemas.openxmlformats.org/officeDocument/2006/relationships/hyperlink" Target="https://sbrownlawyer.com/cohabitation/" TargetMode="External"/><Relationship Id="rId1332" Type="http://schemas.openxmlformats.org/officeDocument/2006/relationships/hyperlink" Target="https://sbrownlawyer.com/modifications/" TargetMode="External"/><Relationship Id="rId2663" Type="http://schemas.openxmlformats.org/officeDocument/2006/relationships/hyperlink" Target="https://sbrownlawyer.com/child-support/" TargetMode="External"/><Relationship Id="rId1333" Type="http://schemas.openxmlformats.org/officeDocument/2006/relationships/hyperlink" Target="https://sbrownlawyer.com/criminal-defense-lawyer-galveston-county/" TargetMode="External"/><Relationship Id="rId2664" Type="http://schemas.openxmlformats.org/officeDocument/2006/relationships/hyperlink" Target="https://sbrownlawyer.com/grandparents-rights/" TargetMode="External"/><Relationship Id="rId1323" Type="http://schemas.openxmlformats.org/officeDocument/2006/relationships/hyperlink" Target="https://sbrownlawyer.com/texas/locations/pearland/" TargetMode="External"/><Relationship Id="rId2654" Type="http://schemas.openxmlformats.org/officeDocument/2006/relationships/hyperlink" Target="https://sbrownlawyer.com/child-support/" TargetMode="External"/><Relationship Id="rId1324" Type="http://schemas.openxmlformats.org/officeDocument/2006/relationships/hyperlink" Target="https://sbrownlawyer.com/2019/10/08/can-you-sue-a-partner-that-infected-you-with-an-std/" TargetMode="External"/><Relationship Id="rId2655" Type="http://schemas.openxmlformats.org/officeDocument/2006/relationships/hyperlink" Target="https://sbrownlawyer.com/2021/06/15/11-questions-to-ask-before-hiring-a-criminal-defense-attorney/" TargetMode="External"/><Relationship Id="rId1325" Type="http://schemas.openxmlformats.org/officeDocument/2006/relationships/hyperlink" Target="https://sbrownlawyer.com/2024/12/27/understanding-the-naturalization-timeline-for-texas-residents/" TargetMode="External"/><Relationship Id="rId2656" Type="http://schemas.openxmlformats.org/officeDocument/2006/relationships/hyperlink" Target="https://sbrownlawyer.com/divorce/" TargetMode="External"/><Relationship Id="rId1326" Type="http://schemas.openxmlformats.org/officeDocument/2006/relationships/hyperlink" Target="https://sbrownlawyer.com/league-city-theft-crimes/" TargetMode="External"/><Relationship Id="rId2657" Type="http://schemas.openxmlformats.org/officeDocument/2006/relationships/hyperlink" Target="https://sbrownlawyer.com/information-about-brazoria-county-texas/" TargetMode="External"/><Relationship Id="rId1327" Type="http://schemas.openxmlformats.org/officeDocument/2006/relationships/hyperlink" Target="https://sbrownlawyer.com/grand-theft/" TargetMode="External"/><Relationship Id="rId2658" Type="http://schemas.openxmlformats.org/officeDocument/2006/relationships/hyperlink" Target="https://sbrownlawyer.com/peggy-bittick/" TargetMode="External"/><Relationship Id="rId1328" Type="http://schemas.openxmlformats.org/officeDocument/2006/relationships/hyperlink" Target="https://sbrownlawyer.com/" TargetMode="External"/><Relationship Id="rId2659" Type="http://schemas.openxmlformats.org/officeDocument/2006/relationships/hyperlink" Target="https://sbrownlawyer.com/attorneys/" TargetMode="External"/><Relationship Id="rId1329" Type="http://schemas.openxmlformats.org/officeDocument/2006/relationships/hyperlink" Target="https://sbrownlawyer.com/reckless-driving/" TargetMode="External"/><Relationship Id="rId739" Type="http://schemas.openxmlformats.org/officeDocument/2006/relationships/hyperlink" Target="https://sbrownlawyer.com/2024/03/20/texas-child-support-2024/" TargetMode="External"/><Relationship Id="rId734" Type="http://schemas.openxmlformats.org/officeDocument/2006/relationships/hyperlink" Target="https://sbrownlawyer.com/areas-we-serve/fort-bend-county/" TargetMode="External"/><Relationship Id="rId733" Type="http://schemas.openxmlformats.org/officeDocument/2006/relationships/hyperlink" Target="https://sbrownlawyer.com/2024/04/24/texas-alimony-am-i-entitled/" TargetMode="External"/><Relationship Id="rId732" Type="http://schemas.openxmlformats.org/officeDocument/2006/relationships/hyperlink" Target="https://sbrownlawyer.com/retirement-accounts/" TargetMode="External"/><Relationship Id="rId731" Type="http://schemas.openxmlformats.org/officeDocument/2006/relationships/hyperlink" Target="https://sbrownlawyer.com/2024/12/27/understanding-the-naturalization-timeline-for-texas-residents/" TargetMode="External"/><Relationship Id="rId738" Type="http://schemas.openxmlformats.org/officeDocument/2006/relationships/hyperlink" Target="https://sbrownlawyer.com/2024/03/20/texas-child-support-2024/" TargetMode="External"/><Relationship Id="rId737" Type="http://schemas.openxmlformats.org/officeDocument/2006/relationships/hyperlink" Target="https://sbrownlawyer.com/attorneys/" TargetMode="External"/><Relationship Id="rId736" Type="http://schemas.openxmlformats.org/officeDocument/2006/relationships/hyperlink" Target="https://sbrownlawyer.com/reckless-driving/" TargetMode="External"/><Relationship Id="rId735" Type="http://schemas.openxmlformats.org/officeDocument/2006/relationships/hyperlink" Target="https://sbrownlawyer.com/friendswood/" TargetMode="External"/><Relationship Id="rId730" Type="http://schemas.openxmlformats.org/officeDocument/2006/relationships/hyperlink" Target="https://sbrownlawyer.com/" TargetMode="External"/><Relationship Id="rId2650" Type="http://schemas.openxmlformats.org/officeDocument/2006/relationships/hyperlink" Target="https://sbrownlawyer.com/public-indecency/" TargetMode="External"/><Relationship Id="rId1320" Type="http://schemas.openxmlformats.org/officeDocument/2006/relationships/hyperlink" Target="https://sbrownlawyer.com/2021/03/15/who-qualifies-for-a-temporary-protective-order-in-texas-and-other-frequently-asked-questions/" TargetMode="External"/><Relationship Id="rId2651" Type="http://schemas.openxmlformats.org/officeDocument/2006/relationships/hyperlink" Target="https://sbrownlawyer.com/domestic-violence-attorney/" TargetMode="External"/><Relationship Id="rId1321" Type="http://schemas.openxmlformats.org/officeDocument/2006/relationships/hyperlink" Target="https://sbrownlawyer.com/2020/10/29/how-to-tell-if-youre-too-drunk-to-drive-and-how-to-prevent-yourself-from-becoming-a-drunk-driver/" TargetMode="External"/><Relationship Id="rId2652" Type="http://schemas.openxmlformats.org/officeDocument/2006/relationships/hyperlink" Target="https://sbrownlawyer.com/protective-orders-divorce/" TargetMode="External"/><Relationship Id="rId1322" Type="http://schemas.openxmlformats.org/officeDocument/2006/relationships/hyperlink" Target="https://sbrownlawyer.com/2013/01/15/texas-child-support-state-seeks-money-from-sperm-donor/" TargetMode="External"/><Relationship Id="rId2653" Type="http://schemas.openxmlformats.org/officeDocument/2006/relationships/hyperlink" Target="https://sbrownlawyer.com/" TargetMode="External"/><Relationship Id="rId1356" Type="http://schemas.openxmlformats.org/officeDocument/2006/relationships/hyperlink" Target="https://sbrownlawyer.com/2021/03/15/who-qualifies-for-a-temporary-protective-order-in-texas-and-other-frequently-asked-questions/" TargetMode="External"/><Relationship Id="rId2687" Type="http://schemas.openxmlformats.org/officeDocument/2006/relationships/hyperlink" Target="https://sbrownlawyer.com/divorce/" TargetMode="External"/><Relationship Id="rId1357" Type="http://schemas.openxmlformats.org/officeDocument/2006/relationships/hyperlink" Target="https://sbrownlawyer.com/2018/01/28/silencers-are-not-prohibited-weapons/" TargetMode="External"/><Relationship Id="rId2688" Type="http://schemas.openxmlformats.org/officeDocument/2006/relationships/hyperlink" Target="https://sbrownlawyer.com/hiring-sexual-assault-defense-lawyer/" TargetMode="External"/><Relationship Id="rId1358" Type="http://schemas.openxmlformats.org/officeDocument/2006/relationships/hyperlink" Target="https://sbrownlawyer.com/league-city-complex-and-contested-divorce/" TargetMode="External"/><Relationship Id="rId2689" Type="http://schemas.openxmlformats.org/officeDocument/2006/relationships/hyperlink" Target="https://sbrownlawyer.com/2019/05/16/motorcycle-laws-regarding-children-in-texas/" TargetMode="External"/><Relationship Id="rId1359" Type="http://schemas.openxmlformats.org/officeDocument/2006/relationships/hyperlink" Target="https://sbrownlawyer.com/premises-liability/" TargetMode="External"/><Relationship Id="rId767" Type="http://schemas.openxmlformats.org/officeDocument/2006/relationships/hyperlink" Target="https://sbrownlawyer.com/texas/locations/pearland/" TargetMode="External"/><Relationship Id="rId766" Type="http://schemas.openxmlformats.org/officeDocument/2006/relationships/hyperlink" Target="https://sbrownlawyer.com/2018/04/23/how-do-bond-reductions-work/" TargetMode="External"/><Relationship Id="rId765" Type="http://schemas.openxmlformats.org/officeDocument/2006/relationships/hyperlink" Target="https://sbrownlawyer.com/attorneys/" TargetMode="External"/><Relationship Id="rId764" Type="http://schemas.openxmlformats.org/officeDocument/2006/relationships/hyperlink" Target="https://sbrownlawyer.com/dr-divorce/" TargetMode="External"/><Relationship Id="rId769" Type="http://schemas.openxmlformats.org/officeDocument/2006/relationships/hyperlink" Target="https://sbrownlawyer.com/texas/locations/pearland/" TargetMode="External"/><Relationship Id="rId768" Type="http://schemas.openxmlformats.org/officeDocument/2006/relationships/hyperlink" Target="https://sbrownlawyer.com/dr-divorce/" TargetMode="External"/><Relationship Id="rId2680" Type="http://schemas.openxmlformats.org/officeDocument/2006/relationships/hyperlink" Target="https://sbrownlawyer.com/contact/" TargetMode="External"/><Relationship Id="rId1350" Type="http://schemas.openxmlformats.org/officeDocument/2006/relationships/hyperlink" Target="https://sbrownlawyer.com/adoption/" TargetMode="External"/><Relationship Id="rId2681" Type="http://schemas.openxmlformats.org/officeDocument/2006/relationships/hyperlink" Target="https://sbrownlawyer.com/2019/05/16/motorcycle-laws-regarding-children-in-texas/" TargetMode="External"/><Relationship Id="rId1351" Type="http://schemas.openxmlformats.org/officeDocument/2006/relationships/hyperlink" Target="https://sbrownlawyer.com/blog/page/10/?refPageViewId=7ec676ebd2ea8753&amp;et_blog" TargetMode="External"/><Relationship Id="rId2682" Type="http://schemas.openxmlformats.org/officeDocument/2006/relationships/hyperlink" Target="https://sbrownlawyer.com/field-sobriety-test/" TargetMode="External"/><Relationship Id="rId763" Type="http://schemas.openxmlformats.org/officeDocument/2006/relationships/hyperlink" Target="https://sbrownlawyer.com/2024/04/24/texas-alimony-am-i-entitled/" TargetMode="External"/><Relationship Id="rId1352" Type="http://schemas.openxmlformats.org/officeDocument/2006/relationships/hyperlink" Target="https://sbrownlawyer.com/2024/04/24/texas-alimony-am-i-entitled/" TargetMode="External"/><Relationship Id="rId2683" Type="http://schemas.openxmlformats.org/officeDocument/2006/relationships/hyperlink" Target="https://sbrownlawyer.com/francisco-guerrero-ii/" TargetMode="External"/><Relationship Id="rId762" Type="http://schemas.openxmlformats.org/officeDocument/2006/relationships/hyperlink" Target="https://sbrownlawyer.com/2013/12/04/bode-millers-ex-gains-custody-of-infant-son/" TargetMode="External"/><Relationship Id="rId1353" Type="http://schemas.openxmlformats.org/officeDocument/2006/relationships/hyperlink" Target="https://sbrownlawyer.com/child-support/" TargetMode="External"/><Relationship Id="rId2684" Type="http://schemas.openxmlformats.org/officeDocument/2006/relationships/hyperlink" Target="https://sbrownlawyer.com/" TargetMode="External"/><Relationship Id="rId761" Type="http://schemas.openxmlformats.org/officeDocument/2006/relationships/hyperlink" Target="https://sbrownlawyer.com/2023/01/25/private-property-police-search-in-texas/" TargetMode="External"/><Relationship Id="rId1354" Type="http://schemas.openxmlformats.org/officeDocument/2006/relationships/hyperlink" Target="https://sbrownlawyer.com/2022/02/18/can-i-file-legal-separation-on-texas/" TargetMode="External"/><Relationship Id="rId2685" Type="http://schemas.openxmlformats.org/officeDocument/2006/relationships/hyperlink" Target="https://sbrownlawyer.com/" TargetMode="External"/><Relationship Id="rId760" Type="http://schemas.openxmlformats.org/officeDocument/2006/relationships/hyperlink" Target="https://sbrownlawyer.com/2024/12/27/understanding-the-naturalization-timeline-for-texas-residents/" TargetMode="External"/><Relationship Id="rId1355" Type="http://schemas.openxmlformats.org/officeDocument/2006/relationships/hyperlink" Target="https://sbrownlawyer.com/" TargetMode="External"/><Relationship Id="rId2686" Type="http://schemas.openxmlformats.org/officeDocument/2006/relationships/hyperlink" Target="https://sbrownlawyer.com/2021/05/31/your-parenting-plan-how-to-reach-a-child-custody-agreement-without-court-involvement/" TargetMode="External"/><Relationship Id="rId1345" Type="http://schemas.openxmlformats.org/officeDocument/2006/relationships/hyperlink" Target="https://sbrownlawyer.com/texas/locations/pearland/" TargetMode="External"/><Relationship Id="rId2676" Type="http://schemas.openxmlformats.org/officeDocument/2006/relationships/hyperlink" Target="https://sbrownlawyer.com/falsely-accused/" TargetMode="External"/><Relationship Id="rId1346" Type="http://schemas.openxmlformats.org/officeDocument/2006/relationships/hyperlink" Target="https://sbrownlawyer.com/attorneys/" TargetMode="External"/><Relationship Id="rId2677" Type="http://schemas.openxmlformats.org/officeDocument/2006/relationships/hyperlink" Target="https://sbrownlawyer.com/2024/03/20/texas-child-support-2024/" TargetMode="External"/><Relationship Id="rId1347" Type="http://schemas.openxmlformats.org/officeDocument/2006/relationships/hyperlink" Target="https://sbrownlawyer.com/adoption/" TargetMode="External"/><Relationship Id="rId2678" Type="http://schemas.openxmlformats.org/officeDocument/2006/relationships/hyperlink" Target="https://sbrownlawyer.com/" TargetMode="External"/><Relationship Id="rId1348" Type="http://schemas.openxmlformats.org/officeDocument/2006/relationships/hyperlink" Target="https://sbrownlawyer.com/2024/12/27/understanding-the-naturalization-timeline-for-texas-residents/" TargetMode="External"/><Relationship Id="rId2679" Type="http://schemas.openxmlformats.org/officeDocument/2006/relationships/hyperlink" Target="https://sbrownlawyer.com/offshore-injuries/" TargetMode="External"/><Relationship Id="rId1349" Type="http://schemas.openxmlformats.org/officeDocument/2006/relationships/hyperlink" Target="https://sbrownlawyer.com/2024/12/27/understanding-the-naturalization-timeline-for-texas-residents/" TargetMode="External"/><Relationship Id="rId756" Type="http://schemas.openxmlformats.org/officeDocument/2006/relationships/hyperlink" Target="https://sbrownlawyer.com/family-law/visitation/" TargetMode="External"/><Relationship Id="rId755" Type="http://schemas.openxmlformats.org/officeDocument/2006/relationships/hyperlink" Target="https://sbrownlawyer.com/friendswood-tx-drug-charges/" TargetMode="External"/><Relationship Id="rId754" Type="http://schemas.openxmlformats.org/officeDocument/2006/relationships/hyperlink" Target="https://sbrownlawyer.com/online-solicitation-of-a-minor/" TargetMode="External"/><Relationship Id="rId753" Type="http://schemas.openxmlformats.org/officeDocument/2006/relationships/hyperlink" Target="https://sbrownlawyer.com/attorneys/" TargetMode="External"/><Relationship Id="rId759" Type="http://schemas.openxmlformats.org/officeDocument/2006/relationships/hyperlink" Target="https://sbrownlawyer.com/" TargetMode="External"/><Relationship Id="rId758" Type="http://schemas.openxmlformats.org/officeDocument/2006/relationships/hyperlink" Target="https://sbrownlawyer.com/" TargetMode="External"/><Relationship Id="rId757" Type="http://schemas.openxmlformats.org/officeDocument/2006/relationships/hyperlink" Target="https://sbrownlawyer.com/areas-we-serve/galveston-county/" TargetMode="External"/><Relationship Id="rId2670" Type="http://schemas.openxmlformats.org/officeDocument/2006/relationships/hyperlink" Target="https://sbrownlawyer.com/2019/05/16/motorcycle-laws-regarding-children-in-texas/" TargetMode="External"/><Relationship Id="rId1340" Type="http://schemas.openxmlformats.org/officeDocument/2006/relationships/hyperlink" Target="https://sbrownlawyer.com/2020/10/29/how-to-tell-if-youre-too-drunk-to-drive-and-how-to-prevent-yourself-from-becoming-a-drunk-driver/" TargetMode="External"/><Relationship Id="rId2671" Type="http://schemas.openxmlformats.org/officeDocument/2006/relationships/hyperlink" Target="https://sbrownlawyer.com/sex-crimes/texas-sex-crime-law/" TargetMode="External"/><Relationship Id="rId752" Type="http://schemas.openxmlformats.org/officeDocument/2006/relationships/hyperlink" Target="https://sbrownlawyer.com/2024/12/27/understanding-the-naturalization-timeline-for-texas-residents/" TargetMode="External"/><Relationship Id="rId1341" Type="http://schemas.openxmlformats.org/officeDocument/2006/relationships/hyperlink" Target="https://sbrownlawyer.com/2024/12/27/understanding-the-naturalization-timeline-for-texas-residents/" TargetMode="External"/><Relationship Id="rId2672" Type="http://schemas.openxmlformats.org/officeDocument/2006/relationships/hyperlink" Target="https://sbrownlawyer.com/attorneys/" TargetMode="External"/><Relationship Id="rId751" Type="http://schemas.openxmlformats.org/officeDocument/2006/relationships/hyperlink" Target="https://sbrownlawyer.com/espanol/" TargetMode="External"/><Relationship Id="rId1342" Type="http://schemas.openxmlformats.org/officeDocument/2006/relationships/hyperlink" Target="https://sbrownlawyer.com/family-law/visitation/" TargetMode="External"/><Relationship Id="rId2673" Type="http://schemas.openxmlformats.org/officeDocument/2006/relationships/hyperlink" Target="https://sbrownlawyer.com/2019/05/16/motorcycle-laws-regarding-children-in-texas/" TargetMode="External"/><Relationship Id="rId750" Type="http://schemas.openxmlformats.org/officeDocument/2006/relationships/hyperlink" Target="https://sbrownlawyer.com/theft-and-shoplifting/aggravated-burglary/" TargetMode="External"/><Relationship Id="rId1343" Type="http://schemas.openxmlformats.org/officeDocument/2006/relationships/hyperlink" Target="https://sbrownlawyer.com/attorneys/" TargetMode="External"/><Relationship Id="rId2674" Type="http://schemas.openxmlformats.org/officeDocument/2006/relationships/hyperlink" Target="https://sbrownlawyer.com/2020/05/21/what-happens-if-you-violate-a-restraining-order/" TargetMode="External"/><Relationship Id="rId1344" Type="http://schemas.openxmlformats.org/officeDocument/2006/relationships/hyperlink" Target="https://sbrownlawyer.com/divorce/" TargetMode="External"/><Relationship Id="rId2675" Type="http://schemas.openxmlformats.org/officeDocument/2006/relationships/hyperlink" Target="https://sbrownlawyer.com/2020/05/21/what-happens-if-you-violate-a-restraining-order/" TargetMode="External"/><Relationship Id="rId2621" Type="http://schemas.openxmlformats.org/officeDocument/2006/relationships/hyperlink" Target="https://sbrownlawyer.com/" TargetMode="External"/><Relationship Id="rId2622" Type="http://schemas.openxmlformats.org/officeDocument/2006/relationships/hyperlink" Target="https://sbrownlawyer.com/areas-we-serve/fort-bend-county/" TargetMode="External"/><Relationship Id="rId2623" Type="http://schemas.openxmlformats.org/officeDocument/2006/relationships/hyperlink" Target="https://sbrownlawyer.com/public-indecency/" TargetMode="External"/><Relationship Id="rId2624" Type="http://schemas.openxmlformats.org/officeDocument/2006/relationships/hyperlink" Target="https://sbrownlawyer.com/pearland-premises-liability/" TargetMode="External"/><Relationship Id="rId2625" Type="http://schemas.openxmlformats.org/officeDocument/2006/relationships/hyperlink" Target="https://sbrownlawyer.com/league-city-tx-car-accident-lawyer/" TargetMode="External"/><Relationship Id="rId2626" Type="http://schemas.openxmlformats.org/officeDocument/2006/relationships/hyperlink" Target="https://sbrownlawyer.com/criminal-defense-book/" TargetMode="External"/><Relationship Id="rId2627" Type="http://schemas.openxmlformats.org/officeDocument/2006/relationships/hyperlink" Target="https://sbrownlawyer.com/2024/03/20/texas-child-support-2024/" TargetMode="External"/><Relationship Id="rId2628" Type="http://schemas.openxmlformats.org/officeDocument/2006/relationships/hyperlink" Target="https://sbrownlawyer.com/" TargetMode="External"/><Relationship Id="rId709" Type="http://schemas.openxmlformats.org/officeDocument/2006/relationships/hyperlink" Target="https://sbrownlawyer.com/child-custody/" TargetMode="External"/><Relationship Id="rId2629" Type="http://schemas.openxmlformats.org/officeDocument/2006/relationships/hyperlink" Target="https://sbrownlawyer.com/slip-and-fall-accidents/" TargetMode="External"/><Relationship Id="rId708" Type="http://schemas.openxmlformats.org/officeDocument/2006/relationships/hyperlink" Target="https://sbrownlawyer.com/2024/04/24/texas-alimony-am-i-entitled/" TargetMode="External"/><Relationship Id="rId707" Type="http://schemas.openxmlformats.org/officeDocument/2006/relationships/hyperlink" Target="https://sbrownlawyer.com/divorce/" TargetMode="External"/><Relationship Id="rId706" Type="http://schemas.openxmlformats.org/officeDocument/2006/relationships/hyperlink" Target="https://sbrownlawyer.com/" TargetMode="External"/><Relationship Id="rId701" Type="http://schemas.openxmlformats.org/officeDocument/2006/relationships/hyperlink" Target="https://sbrownlawyer.com/family-law-attorney-in-galveston/" TargetMode="External"/><Relationship Id="rId700" Type="http://schemas.openxmlformats.org/officeDocument/2006/relationships/hyperlink" Target="https://sbrownlawyer.com/cohabitation/" TargetMode="External"/><Relationship Id="rId705" Type="http://schemas.openxmlformats.org/officeDocument/2006/relationships/hyperlink" Target="https://sbrownlawyer.com/top-military-divorce-lawyer-in-texas/" TargetMode="External"/><Relationship Id="rId704" Type="http://schemas.openxmlformats.org/officeDocument/2006/relationships/hyperlink" Target="https://sbrownlawyer.com/2024/12/27/understanding-the-naturalization-timeline-for-texas-residents/" TargetMode="External"/><Relationship Id="rId703" Type="http://schemas.openxmlformats.org/officeDocument/2006/relationships/hyperlink" Target="https://sbrownlawyer.com/2014/04/18/no-fault-divorce-covenant-marriage-and-domestic-violence/" TargetMode="External"/><Relationship Id="rId702" Type="http://schemas.openxmlformats.org/officeDocument/2006/relationships/hyperlink" Target="https://sbrownlawyer.com/2020/01/14/how-texas-defines-child-abuse/" TargetMode="External"/><Relationship Id="rId2620" Type="http://schemas.openxmlformats.org/officeDocument/2006/relationships/hyperlink" Target="https://sbrownlawyer.com/" TargetMode="External"/><Relationship Id="rId2610" Type="http://schemas.openxmlformats.org/officeDocument/2006/relationships/hyperlink" Target="https://sbrownlawyer.com/2021/08/10/5-next-steps-to-take-when-you-have-a-dui-in-texas/" TargetMode="External"/><Relationship Id="rId2611" Type="http://schemas.openxmlformats.org/officeDocument/2006/relationships/hyperlink" Target="https://sbrownlawyer.com/texas/locations/pearland/" TargetMode="External"/><Relationship Id="rId2612" Type="http://schemas.openxmlformats.org/officeDocument/2006/relationships/hyperlink" Target="https://sbrownlawyer.com/2021/05/31/your-parenting-plan-how-to-reach-a-child-custody-agreement-without-court-involvement/" TargetMode="External"/><Relationship Id="rId2613" Type="http://schemas.openxmlformats.org/officeDocument/2006/relationships/hyperlink" Target="https://sbrownlawyer.com/2022/03/06/divorce-who-gets-the-house/" TargetMode="External"/><Relationship Id="rId2614" Type="http://schemas.openxmlformats.org/officeDocument/2006/relationships/hyperlink" Target="https://sbrownlawyer.com/premises-liability/" TargetMode="External"/><Relationship Id="rId2615" Type="http://schemas.openxmlformats.org/officeDocument/2006/relationships/hyperlink" Target="https://sbrownlawyer.com/" TargetMode="External"/><Relationship Id="rId2616" Type="http://schemas.openxmlformats.org/officeDocument/2006/relationships/hyperlink" Target="https://sbrownlawyer.com/brain-injury/" TargetMode="External"/><Relationship Id="rId2617" Type="http://schemas.openxmlformats.org/officeDocument/2006/relationships/hyperlink" Target="https://sbrownlawyer.com/steps-in-settling-your-claim-in-texas/" TargetMode="External"/><Relationship Id="rId2618" Type="http://schemas.openxmlformats.org/officeDocument/2006/relationships/hyperlink" Target="https://sbrownlawyer.com/back-injury/" TargetMode="External"/><Relationship Id="rId2619" Type="http://schemas.openxmlformats.org/officeDocument/2006/relationships/hyperlink" Target="https://sbrownlawyer.com/paternity-attorney/" TargetMode="External"/><Relationship Id="rId1312" Type="http://schemas.openxmlformats.org/officeDocument/2006/relationships/hyperlink" Target="https://sbrownlawyer.com/2020/10/29/how-to-tell-if-youre-too-drunk-to-drive-and-how-to-prevent-yourself-from-becoming-a-drunk-driver/" TargetMode="External"/><Relationship Id="rId2643" Type="http://schemas.openxmlformats.org/officeDocument/2006/relationships/hyperlink" Target="https://sbrownlawyer.com/product-liability/" TargetMode="External"/><Relationship Id="rId1313" Type="http://schemas.openxmlformats.org/officeDocument/2006/relationships/hyperlink" Target="https://sbrownlawyer.com/2020/10/29/how-to-tell-if-youre-too-drunk-to-drive-and-how-to-prevent-yourself-from-becoming-a-drunk-driver/" TargetMode="External"/><Relationship Id="rId2644" Type="http://schemas.openxmlformats.org/officeDocument/2006/relationships/hyperlink" Target="https://sbrownlawyer.com/attorneys/" TargetMode="External"/><Relationship Id="rId1314" Type="http://schemas.openxmlformats.org/officeDocument/2006/relationships/hyperlink" Target="https://sbrownlawyer.com/peggy-bittick/" TargetMode="External"/><Relationship Id="rId2645" Type="http://schemas.openxmlformats.org/officeDocument/2006/relationships/hyperlink" Target="https://sbrownlawyer.com/protective-services/" TargetMode="External"/><Relationship Id="rId1315" Type="http://schemas.openxmlformats.org/officeDocument/2006/relationships/hyperlink" Target="https://sbrownlawyer.com/blog/page/10/?refPageViewId=5b133344064ca303&amp;et_blog" TargetMode="External"/><Relationship Id="rId2646" Type="http://schemas.openxmlformats.org/officeDocument/2006/relationships/hyperlink" Target="https://sbrownlawyer.com/falsely-accused/" TargetMode="External"/><Relationship Id="rId1316" Type="http://schemas.openxmlformats.org/officeDocument/2006/relationships/hyperlink" Target="https://sbrownlawyer.com/2020/12/28/what-to-ask-your-family-lawyer-about-your-child-custody-agreement/" TargetMode="External"/><Relationship Id="rId2647" Type="http://schemas.openxmlformats.org/officeDocument/2006/relationships/hyperlink" Target="https://sbrownlawyer.com/what-is-dwi/" TargetMode="External"/><Relationship Id="rId1317" Type="http://schemas.openxmlformats.org/officeDocument/2006/relationships/hyperlink" Target="https://sbrownlawyer.com/spinal-cord-injury/" TargetMode="External"/><Relationship Id="rId2648" Type="http://schemas.openxmlformats.org/officeDocument/2006/relationships/hyperlink" Target="https://sbrownlawyer.com/2013/04/24/thirty-four-parents-arrested-in-texas-on-child-support-warrants/" TargetMode="External"/><Relationship Id="rId1318" Type="http://schemas.openxmlformats.org/officeDocument/2006/relationships/hyperlink" Target="https://sbrownlawyer.com/2019/05/16/motorcycle-laws-regarding-children-in-texas/" TargetMode="External"/><Relationship Id="rId2649" Type="http://schemas.openxmlformats.org/officeDocument/2006/relationships/hyperlink" Target="https://sbrownlawyer.com/paternity-attorney/" TargetMode="External"/><Relationship Id="rId1319" Type="http://schemas.openxmlformats.org/officeDocument/2006/relationships/hyperlink" Target="https://sbrownlawyer.com/2021/03/15/who-qualifies-for-a-temporary-protective-order-in-texas-and-other-frequently-asked-questions/" TargetMode="External"/><Relationship Id="rId729" Type="http://schemas.openxmlformats.org/officeDocument/2006/relationships/hyperlink" Target="https://sbrownlawyer.com/attorneys/" TargetMode="External"/><Relationship Id="rId728" Type="http://schemas.openxmlformats.org/officeDocument/2006/relationships/hyperlink" Target="https://sbrownlawyer.com/family-law/visitation/" TargetMode="External"/><Relationship Id="rId723" Type="http://schemas.openxmlformats.org/officeDocument/2006/relationships/hyperlink" Target="https://sbrownlawyer.com/falsely-accused/" TargetMode="External"/><Relationship Id="rId722" Type="http://schemas.openxmlformats.org/officeDocument/2006/relationships/hyperlink" Target="https://sbrownlawyer.com/aggravated-sexual-assault/" TargetMode="External"/><Relationship Id="rId721" Type="http://schemas.openxmlformats.org/officeDocument/2006/relationships/hyperlink" Target="https://sbrownlawyer.com/scott-m-brown/" TargetMode="External"/><Relationship Id="rId720" Type="http://schemas.openxmlformats.org/officeDocument/2006/relationships/hyperlink" Target="https://sbrownlawyer.com/" TargetMode="External"/><Relationship Id="rId727" Type="http://schemas.openxmlformats.org/officeDocument/2006/relationships/hyperlink" Target="https://sbrownlawyer.com/league-city-tx-theft-crimes/" TargetMode="External"/><Relationship Id="rId726" Type="http://schemas.openxmlformats.org/officeDocument/2006/relationships/hyperlink" Target="https://sbrownlawyer.com/child-support/" TargetMode="External"/><Relationship Id="rId725" Type="http://schemas.openxmlformats.org/officeDocument/2006/relationships/hyperlink" Target="https://sbrownlawyer.com/galveston-motorcycle-accidents-2/" TargetMode="External"/><Relationship Id="rId724" Type="http://schemas.openxmlformats.org/officeDocument/2006/relationships/hyperlink" Target="https://sbrownlawyer.com/" TargetMode="External"/><Relationship Id="rId2640" Type="http://schemas.openxmlformats.org/officeDocument/2006/relationships/hyperlink" Target="https://sbrownlawyer.com/" TargetMode="External"/><Relationship Id="rId1310" Type="http://schemas.openxmlformats.org/officeDocument/2006/relationships/hyperlink" Target="https://sbrownlawyer.com/postnuptial-agreements/" TargetMode="External"/><Relationship Id="rId2641" Type="http://schemas.openxmlformats.org/officeDocument/2006/relationships/hyperlink" Target="https://sbrownlawyer.com/" TargetMode="External"/><Relationship Id="rId1311" Type="http://schemas.openxmlformats.org/officeDocument/2006/relationships/hyperlink" Target="https://sbrownlawyer.com/obscenity/" TargetMode="External"/><Relationship Id="rId2642" Type="http://schemas.openxmlformats.org/officeDocument/2006/relationships/hyperlink" Target="https://sbrownlawyer.com/2020/12/28/what-to-ask-your-family-lawyer-about-your-child-custody-agreement/" TargetMode="External"/><Relationship Id="rId1301" Type="http://schemas.openxmlformats.org/officeDocument/2006/relationships/hyperlink" Target="https://sbrownlawyer.com/2012/02/13/kobe-bryant-gives-three-homes-to-wife-in-divorce-settlement/" TargetMode="External"/><Relationship Id="rId2632" Type="http://schemas.openxmlformats.org/officeDocument/2006/relationships/hyperlink" Target="https://sbrownlawyer.com/pharmaceutical-litigation/" TargetMode="External"/><Relationship Id="rId1302" Type="http://schemas.openxmlformats.org/officeDocument/2006/relationships/hyperlink" Target="https://sbrownlawyer.com/abogado-de-sucesiones-en-pearland-tx/" TargetMode="External"/><Relationship Id="rId2633" Type="http://schemas.openxmlformats.org/officeDocument/2006/relationships/hyperlink" Target="https://sbrownlawyer.com/2020/06/25/partner-abuse-the-many-forms-of-domestic-violence/" TargetMode="External"/><Relationship Id="rId1303" Type="http://schemas.openxmlformats.org/officeDocument/2006/relationships/hyperlink" Target="https://sbrownlawyer.com/stepparent-rights/" TargetMode="External"/><Relationship Id="rId2634" Type="http://schemas.openxmlformats.org/officeDocument/2006/relationships/hyperlink" Target="https://sbrownlawyer.com/attorneys/" TargetMode="External"/><Relationship Id="rId1304" Type="http://schemas.openxmlformats.org/officeDocument/2006/relationships/hyperlink" Target="https://sbrownlawyer.com/adoption/" TargetMode="External"/><Relationship Id="rId2635" Type="http://schemas.openxmlformats.org/officeDocument/2006/relationships/hyperlink" Target="https://sbrownlawyer.com/sex-crimes/sex-offender-registration/" TargetMode="External"/><Relationship Id="rId1305" Type="http://schemas.openxmlformats.org/officeDocument/2006/relationships/hyperlink" Target="https://sbrownlawyer.com/attorneys/" TargetMode="External"/><Relationship Id="rId2636" Type="http://schemas.openxmlformats.org/officeDocument/2006/relationships/hyperlink" Target="https://sbrownlawyer.com/friendswood/" TargetMode="External"/><Relationship Id="rId1306" Type="http://schemas.openxmlformats.org/officeDocument/2006/relationships/hyperlink" Target="https://sbrownlawyer.com/spinal-cord-injury/" TargetMode="External"/><Relationship Id="rId2637" Type="http://schemas.openxmlformats.org/officeDocument/2006/relationships/hyperlink" Target="https://sbrownlawyer.com/texas/locations/pearland/" TargetMode="External"/><Relationship Id="rId1307" Type="http://schemas.openxmlformats.org/officeDocument/2006/relationships/hyperlink" Target="https://sbrownlawyer.com/espanol/" TargetMode="External"/><Relationship Id="rId2638" Type="http://schemas.openxmlformats.org/officeDocument/2006/relationships/hyperlink" Target="https://sbrownlawyer.com/2021/11/26/child-support-guidelines-in-texas-an-overview/" TargetMode="External"/><Relationship Id="rId1308" Type="http://schemas.openxmlformats.org/officeDocument/2006/relationships/hyperlink" Target="https://sbrownlawyer.com/2020/10/29/how-to-tell-if-youre-too-drunk-to-drive-and-how-to-prevent-yourself-from-becoming-a-drunk-driver/" TargetMode="External"/><Relationship Id="rId2639" Type="http://schemas.openxmlformats.org/officeDocument/2006/relationships/hyperlink" Target="https://sbrownlawyer.com/2022/03/06/divorce-who-gets-the-house/" TargetMode="External"/><Relationship Id="rId1309" Type="http://schemas.openxmlformats.org/officeDocument/2006/relationships/hyperlink" Target="https://sbrownlawyer.com/" TargetMode="External"/><Relationship Id="rId719" Type="http://schemas.openxmlformats.org/officeDocument/2006/relationships/hyperlink" Target="https://sbrownlawyer.com/2023/01/25/private-property-police-search-in-texas/" TargetMode="External"/><Relationship Id="rId718" Type="http://schemas.openxmlformats.org/officeDocument/2006/relationships/hyperlink" Target="https://sbrownlawyer.com/league-city-divorce-2/" TargetMode="External"/><Relationship Id="rId717" Type="http://schemas.openxmlformats.org/officeDocument/2006/relationships/hyperlink" Target="https://sbrownlawyer.com/league-city-tx-theft-crimes/" TargetMode="External"/><Relationship Id="rId712" Type="http://schemas.openxmlformats.org/officeDocument/2006/relationships/hyperlink" Target="https://sbrownlawyer.com/2024/12/27/understanding-the-naturalization-timeline-for-texas-residents/" TargetMode="External"/><Relationship Id="rId711" Type="http://schemas.openxmlformats.org/officeDocument/2006/relationships/hyperlink" Target="https://sbrownlawyer.com/2024/12/27/understanding-the-naturalization-timeline-for-texas-residents/" TargetMode="External"/><Relationship Id="rId710" Type="http://schemas.openxmlformats.org/officeDocument/2006/relationships/hyperlink" Target="https://sbrownlawyer.com/attorneys/" TargetMode="External"/><Relationship Id="rId716" Type="http://schemas.openxmlformats.org/officeDocument/2006/relationships/hyperlink" Target="https://sbrownlawyer.com/divorce/" TargetMode="External"/><Relationship Id="rId715" Type="http://schemas.openxmlformats.org/officeDocument/2006/relationships/hyperlink" Target="https://sbrownlawyer.com/divorce/" TargetMode="External"/><Relationship Id="rId714" Type="http://schemas.openxmlformats.org/officeDocument/2006/relationships/hyperlink" Target="https://sbrownlawyer.com/2024/04/24/texas-alimony-am-i-entitled/" TargetMode="External"/><Relationship Id="rId713" Type="http://schemas.openxmlformats.org/officeDocument/2006/relationships/hyperlink" Target="https://sbrownlawyer.com/2024/12/27/understanding-the-naturalization-timeline-for-texas-residents/" TargetMode="External"/><Relationship Id="rId2630" Type="http://schemas.openxmlformats.org/officeDocument/2006/relationships/hyperlink" Target="https://sbrownlawyer.com/" TargetMode="External"/><Relationship Id="rId1300" Type="http://schemas.openxmlformats.org/officeDocument/2006/relationships/hyperlink" Target="https://sbrownlawyer.com/slip-and-fall-accidents/" TargetMode="External"/><Relationship Id="rId2631" Type="http://schemas.openxmlformats.org/officeDocument/2006/relationships/hyperlink" Target="https://sbrownlawyer.com/attorneys/" TargetMode="External"/><Relationship Id="rId3117" Type="http://schemas.openxmlformats.org/officeDocument/2006/relationships/hyperlink" Target="https://sbrownlawyer.com/spinal-cord-injury/" TargetMode="External"/><Relationship Id="rId3116" Type="http://schemas.openxmlformats.org/officeDocument/2006/relationships/hyperlink" Target="https://sbrownlawyer.com/neck-injury/" TargetMode="External"/><Relationship Id="rId3119" Type="http://schemas.openxmlformats.org/officeDocument/2006/relationships/hyperlink" Target="https://sbrownlawyer.com/areas-we-serve/harris-county/pasadena/" TargetMode="External"/><Relationship Id="rId3118" Type="http://schemas.openxmlformats.org/officeDocument/2006/relationships/hyperlink" Target="https://sbrownlawyer.com/sex-crimes/overview-of-sex-crime-defense/" TargetMode="External"/><Relationship Id="rId3111" Type="http://schemas.openxmlformats.org/officeDocument/2006/relationships/hyperlink" Target="https://sbrownlawyer.com/" TargetMode="External"/><Relationship Id="rId3110" Type="http://schemas.openxmlformats.org/officeDocument/2006/relationships/hyperlink" Target="https://sbrownlawyer.com/2017/12/01/modifying-custody-in-the-state-of-texas/" TargetMode="External"/><Relationship Id="rId3113" Type="http://schemas.openxmlformats.org/officeDocument/2006/relationships/hyperlink" Target="https://sbrownlawyer.com/misdemeanor/" TargetMode="External"/><Relationship Id="rId3112" Type="http://schemas.openxmlformats.org/officeDocument/2006/relationships/hyperlink" Target="https://sbrownlawyer.com/2017/04/08/what-happens-if-i-refuse-to-take-a-test-when-arrested-for-a-dwi/" TargetMode="External"/><Relationship Id="rId3115" Type="http://schemas.openxmlformats.org/officeDocument/2006/relationships/hyperlink" Target="https://sbrownlawyer.com/2018/01/28/silencers-are-not-prohibited-weapons/" TargetMode="External"/><Relationship Id="rId3114" Type="http://schemas.openxmlformats.org/officeDocument/2006/relationships/hyperlink" Target="https://sbrownlawyer.com/white-collar-crimes/" TargetMode="External"/><Relationship Id="rId3106" Type="http://schemas.openxmlformats.org/officeDocument/2006/relationships/hyperlink" Target="https://sbrownlawyer.com/attorneys/" TargetMode="External"/><Relationship Id="rId3105" Type="http://schemas.openxmlformats.org/officeDocument/2006/relationships/hyperlink" Target="https://sbrownlawyer.com/2021/12/10/getting-child-custody-in-texas/" TargetMode="External"/><Relationship Id="rId3108" Type="http://schemas.openxmlformats.org/officeDocument/2006/relationships/hyperlink" Target="https://sbrownlawyer.com/hit-and-run/" TargetMode="External"/><Relationship Id="rId3107" Type="http://schemas.openxmlformats.org/officeDocument/2006/relationships/hyperlink" Target="https://sbrownlawyer.com/2020/06/25/partner-abuse-the-many-forms-of-domestic-violence/" TargetMode="External"/><Relationship Id="rId3109" Type="http://schemas.openxmlformats.org/officeDocument/2006/relationships/hyperlink" Target="https://sbrownlawyer.com/2022/02/18/can-i-file-legal-separation-on-texas/" TargetMode="External"/><Relationship Id="rId3100" Type="http://schemas.openxmlformats.org/officeDocument/2006/relationships/hyperlink" Target="https://sbrownlawyer.com/top-military-divorce-lawyer-in-texas/" TargetMode="External"/><Relationship Id="rId3102" Type="http://schemas.openxmlformats.org/officeDocument/2006/relationships/hyperlink" Target="https://sbrownlawyer.com/2019/05/16/motorcycle-laws-regarding-children-in-texas/" TargetMode="External"/><Relationship Id="rId3101" Type="http://schemas.openxmlformats.org/officeDocument/2006/relationships/hyperlink" Target="https://sbrownlawyer.com/child-support/" TargetMode="External"/><Relationship Id="rId3104" Type="http://schemas.openxmlformats.org/officeDocument/2006/relationships/hyperlink" Target="https://sbrownlawyer.com/" TargetMode="External"/><Relationship Id="rId3103" Type="http://schemas.openxmlformats.org/officeDocument/2006/relationships/hyperlink" Target="https://sbrownlawyer.com/attorneys/" TargetMode="External"/><Relationship Id="rId3139" Type="http://schemas.openxmlformats.org/officeDocument/2006/relationships/hyperlink" Target="https://sbrownlawyer.com/top-military-divorce-lawyer-in-texas/" TargetMode="External"/><Relationship Id="rId3138" Type="http://schemas.openxmlformats.org/officeDocument/2006/relationships/hyperlink" Target="https://sbrownlawyer.com/2024/03/20/texas-child-support-2024/" TargetMode="External"/><Relationship Id="rId3131" Type="http://schemas.openxmlformats.org/officeDocument/2006/relationships/hyperlink" Target="https://sbrownlawyer.com/2019/05/16/motorcycle-laws-regarding-children-in-texas/" TargetMode="External"/><Relationship Id="rId3130" Type="http://schemas.openxmlformats.org/officeDocument/2006/relationships/hyperlink" Target="https://sbrownlawyer.com/texas/locations/pearland/" TargetMode="External"/><Relationship Id="rId3133" Type="http://schemas.openxmlformats.org/officeDocument/2006/relationships/hyperlink" Target="https://sbrownlawyer.com/2020/06/25/partner-abuse-the-many-forms-of-domestic-violence/" TargetMode="External"/><Relationship Id="rId3132" Type="http://schemas.openxmlformats.org/officeDocument/2006/relationships/hyperlink" Target="https://sbrownlawyer.com/steps-in-settling-your-claim-in-texas/" TargetMode="External"/><Relationship Id="rId3135" Type="http://schemas.openxmlformats.org/officeDocument/2006/relationships/hyperlink" Target="https://sbrownlawyer.com/2016/02/18/how-does-bankruptcy-affect-child-support/" TargetMode="External"/><Relationship Id="rId3134" Type="http://schemas.openxmlformats.org/officeDocument/2006/relationships/hyperlink" Target="https://sbrownlawyer.com/child-pornography/" TargetMode="External"/><Relationship Id="rId3137" Type="http://schemas.openxmlformats.org/officeDocument/2006/relationships/hyperlink" Target="https://sbrownlawyer.com/texas/locations/" TargetMode="External"/><Relationship Id="rId3136" Type="http://schemas.openxmlformats.org/officeDocument/2006/relationships/hyperlink" Target="https://sbrownlawyer.com/2018/05/15/prenuptial-agreements-in-texas-what-they-do-do-not-protect/" TargetMode="External"/><Relationship Id="rId3128" Type="http://schemas.openxmlformats.org/officeDocument/2006/relationships/hyperlink" Target="https://sbrownlawyer.com/2018/04/12/do-you-need-uninsured-motorist-auto-insurance-coverage-in-texas/" TargetMode="External"/><Relationship Id="rId3127" Type="http://schemas.openxmlformats.org/officeDocument/2006/relationships/hyperlink" Target="https://sbrownlawyer.com/domestic-violence-attorney/" TargetMode="External"/><Relationship Id="rId3129" Type="http://schemas.openxmlformats.org/officeDocument/2006/relationships/hyperlink" Target="https://sbrownlawyer.com/cohabitation/" TargetMode="External"/><Relationship Id="rId3120" Type="http://schemas.openxmlformats.org/officeDocument/2006/relationships/hyperlink" Target="https://sbrownlawyer.com/t-bone-accident/" TargetMode="External"/><Relationship Id="rId3122" Type="http://schemas.openxmlformats.org/officeDocument/2006/relationships/hyperlink" Target="https://sbrownlawyer.com/title-ix-defense-campus-sexual-assault/" TargetMode="External"/><Relationship Id="rId3121" Type="http://schemas.openxmlformats.org/officeDocument/2006/relationships/hyperlink" Target="https://sbrownlawyer.com/criminal-law/first-offenders/" TargetMode="External"/><Relationship Id="rId3124" Type="http://schemas.openxmlformats.org/officeDocument/2006/relationships/hyperlink" Target="https://sbrownlawyer.com/league-city-tx-personal-injury-lawyer/" TargetMode="External"/><Relationship Id="rId3123" Type="http://schemas.openxmlformats.org/officeDocument/2006/relationships/hyperlink" Target="https://sbrownlawyer.com/" TargetMode="External"/><Relationship Id="rId3126" Type="http://schemas.openxmlformats.org/officeDocument/2006/relationships/hyperlink" Target="https://sbrownlawyer.com/league-city-complex-and-contested-divorce/" TargetMode="External"/><Relationship Id="rId3125" Type="http://schemas.openxmlformats.org/officeDocument/2006/relationships/hyperlink" Target="https://sbrownlawyer.com/hit-and-run/" TargetMode="External"/><Relationship Id="rId1378" Type="http://schemas.openxmlformats.org/officeDocument/2006/relationships/hyperlink" Target="https://sbrownlawyer.com/2015/09/10/why-are-family-care-plans-important-for-military-parents/" TargetMode="External"/><Relationship Id="rId1379" Type="http://schemas.openxmlformats.org/officeDocument/2006/relationships/hyperlink" Target="https://sbrownlawyer.com/divorce-lawyer-in-galveston-county/" TargetMode="External"/><Relationship Id="rId789" Type="http://schemas.openxmlformats.org/officeDocument/2006/relationships/hyperlink" Target="https://sbrownlawyer.com/league-city-theft-crimes/" TargetMode="External"/><Relationship Id="rId788" Type="http://schemas.openxmlformats.org/officeDocument/2006/relationships/hyperlink" Target="https://sbrownlawyer.com/harris-county-family-law/" TargetMode="External"/><Relationship Id="rId787" Type="http://schemas.openxmlformats.org/officeDocument/2006/relationships/hyperlink" Target="https://sbrownlawyer.com/attorneys/" TargetMode="External"/><Relationship Id="rId786" Type="http://schemas.openxmlformats.org/officeDocument/2006/relationships/hyperlink" Target="https://sbrownlawyer.com/theft-and-shoplifting/aggravated-burglary/" TargetMode="External"/><Relationship Id="rId781" Type="http://schemas.openxmlformats.org/officeDocument/2006/relationships/hyperlink" Target="https://sbrownlawyer.com/2024/12/27/understanding-the-naturalization-timeline-for-texas-residents/" TargetMode="External"/><Relationship Id="rId1370" Type="http://schemas.openxmlformats.org/officeDocument/2006/relationships/hyperlink" Target="https://sbrownlawyer.com/league-city-complex-and-contested-divorce/" TargetMode="External"/><Relationship Id="rId780" Type="http://schemas.openxmlformats.org/officeDocument/2006/relationships/hyperlink" Target="https://sbrownlawyer.com/2024/03/20/texas-child-support-2024/" TargetMode="External"/><Relationship Id="rId1371" Type="http://schemas.openxmlformats.org/officeDocument/2006/relationships/hyperlink" Target="https://sbrownlawyer.com/adoption/" TargetMode="External"/><Relationship Id="rId1372" Type="http://schemas.openxmlformats.org/officeDocument/2006/relationships/hyperlink" Target="https://sbrownlawyer.com/spinal-cord-injury/" TargetMode="External"/><Relationship Id="rId1373" Type="http://schemas.openxmlformats.org/officeDocument/2006/relationships/hyperlink" Target="https://sbrownlawyer.com/galveston-child-custody-lawyer/" TargetMode="External"/><Relationship Id="rId785" Type="http://schemas.openxmlformats.org/officeDocument/2006/relationships/hyperlink" Target="https://sbrownlawyer.com/2024/12/27/understanding-the-naturalization-timeline-for-texas-residents/" TargetMode="External"/><Relationship Id="rId1374" Type="http://schemas.openxmlformats.org/officeDocument/2006/relationships/hyperlink" Target="https://sbrownlawyer.com/areas-we-serve/brazoria-county/" TargetMode="External"/><Relationship Id="rId784" Type="http://schemas.openxmlformats.org/officeDocument/2006/relationships/hyperlink" Target="https://sbrownlawyer.com/" TargetMode="External"/><Relationship Id="rId1375" Type="http://schemas.openxmlformats.org/officeDocument/2006/relationships/hyperlink" Target="https://sbrownlawyer.com/2013/10/21/who-gets-the-wedding-ring-in-the-event-of-a-breakup/" TargetMode="External"/><Relationship Id="rId783" Type="http://schemas.openxmlformats.org/officeDocument/2006/relationships/hyperlink" Target="https://sbrownlawyer.com/" TargetMode="External"/><Relationship Id="rId1376" Type="http://schemas.openxmlformats.org/officeDocument/2006/relationships/hyperlink" Target="https://sbrownlawyer.com/abogado-de-sucesiones-en-pearland-tx/" TargetMode="External"/><Relationship Id="rId782" Type="http://schemas.openxmlformats.org/officeDocument/2006/relationships/hyperlink" Target="https://sbrownlawyer.com/league-city-divorce-2/" TargetMode="External"/><Relationship Id="rId1377" Type="http://schemas.openxmlformats.org/officeDocument/2006/relationships/hyperlink" Target="https://sbrownlawyer.com/attorneys/" TargetMode="External"/><Relationship Id="rId1367" Type="http://schemas.openxmlformats.org/officeDocument/2006/relationships/hyperlink" Target="https://sbrownlawyer.com/criminal-defense-lawyer-galveston-county/" TargetMode="External"/><Relationship Id="rId2698" Type="http://schemas.openxmlformats.org/officeDocument/2006/relationships/hyperlink" Target="https://sbrownlawyer.com/hit-and-run/" TargetMode="External"/><Relationship Id="rId1368" Type="http://schemas.openxmlformats.org/officeDocument/2006/relationships/hyperlink" Target="https://sbrownlawyer.com/espanol/" TargetMode="External"/><Relationship Id="rId2699" Type="http://schemas.openxmlformats.org/officeDocument/2006/relationships/hyperlink" Target="https://sbrownlawyer.com/immigration/" TargetMode="External"/><Relationship Id="rId1369" Type="http://schemas.openxmlformats.org/officeDocument/2006/relationships/hyperlink" Target="https://sbrownlawyer.com/2022/02/18/can-i-file-legal-separation-on-texas/" TargetMode="External"/><Relationship Id="rId778" Type="http://schemas.openxmlformats.org/officeDocument/2006/relationships/hyperlink" Target="https://sbrownlawyer.com/harris-county-family-law/" TargetMode="External"/><Relationship Id="rId777" Type="http://schemas.openxmlformats.org/officeDocument/2006/relationships/hyperlink" Target="https://sbrownlawyer.com/2024/12/27/understanding-the-naturalization-timeline-for-texas-residents/" TargetMode="External"/><Relationship Id="rId776" Type="http://schemas.openxmlformats.org/officeDocument/2006/relationships/hyperlink" Target="https://sbrownlawyer.com/2024/12/27/understanding-the-naturalization-timeline-for-texas-residents/" TargetMode="External"/><Relationship Id="rId775" Type="http://schemas.openxmlformats.org/officeDocument/2006/relationships/hyperlink" Target="https://sbrownlawyer.com/2024/12/27/understanding-the-naturalization-timeline-for-texas-residents/" TargetMode="External"/><Relationship Id="rId779" Type="http://schemas.openxmlformats.org/officeDocument/2006/relationships/hyperlink" Target="https://sbrownlawyer.com/league-city-tx-theft-crimes/" TargetMode="External"/><Relationship Id="rId770" Type="http://schemas.openxmlformats.org/officeDocument/2006/relationships/hyperlink" Target="https://sbrownlawyer.com/dr-divorce/" TargetMode="External"/><Relationship Id="rId2690" Type="http://schemas.openxmlformats.org/officeDocument/2006/relationships/hyperlink" Target="https://sbrownlawyer.com/sex-crimes/sex-offender-registration/" TargetMode="External"/><Relationship Id="rId1360" Type="http://schemas.openxmlformats.org/officeDocument/2006/relationships/hyperlink" Target="https://sbrownlawyer.com/2024/12/27/understanding-the-naturalization-timeline-for-texas-residents/" TargetMode="External"/><Relationship Id="rId2691" Type="http://schemas.openxmlformats.org/officeDocument/2006/relationships/hyperlink" Target="https://sbrownlawyer.com/2018/04/23/how-do-bond-reductions-work/" TargetMode="External"/><Relationship Id="rId1361" Type="http://schemas.openxmlformats.org/officeDocument/2006/relationships/hyperlink" Target="https://sbrownlawyer.com/" TargetMode="External"/><Relationship Id="rId2692" Type="http://schemas.openxmlformats.org/officeDocument/2006/relationships/hyperlink" Target="https://sbrownlawyer.com/violent-crimes/" TargetMode="External"/><Relationship Id="rId1362" Type="http://schemas.openxmlformats.org/officeDocument/2006/relationships/hyperlink" Target="https://sbrownlawyer.com/2024/04/24/texas-alimony-am-i-entitled/" TargetMode="External"/><Relationship Id="rId2693" Type="http://schemas.openxmlformats.org/officeDocument/2006/relationships/hyperlink" Target="https://sbrownlawyer.com/2019/05/16/motorcycle-laws-regarding-children-in-texas/" TargetMode="External"/><Relationship Id="rId774" Type="http://schemas.openxmlformats.org/officeDocument/2006/relationships/hyperlink" Target="https://sbrownlawyer.com/2023/01/25/private-property-police-search-in-texas/" TargetMode="External"/><Relationship Id="rId1363" Type="http://schemas.openxmlformats.org/officeDocument/2006/relationships/hyperlink" Target="https://sbrownlawyer.com/2024/04/24/texas-alimony-am-i-entitled/" TargetMode="External"/><Relationship Id="rId2694" Type="http://schemas.openxmlformats.org/officeDocument/2006/relationships/hyperlink" Target="https://sbrownlawyer.com/" TargetMode="External"/><Relationship Id="rId773" Type="http://schemas.openxmlformats.org/officeDocument/2006/relationships/hyperlink" Target="https://sbrownlawyer.com/domestic-violence-attorney/" TargetMode="External"/><Relationship Id="rId1364" Type="http://schemas.openxmlformats.org/officeDocument/2006/relationships/hyperlink" Target="https://sbrownlawyer.com/" TargetMode="External"/><Relationship Id="rId2695" Type="http://schemas.openxmlformats.org/officeDocument/2006/relationships/hyperlink" Target="https://sbrownlawyer.com/2017/11/21/new-texas-law-bans-texting-while-driving/" TargetMode="External"/><Relationship Id="rId772" Type="http://schemas.openxmlformats.org/officeDocument/2006/relationships/hyperlink" Target="https://sbrownlawyer.com/online-solicitation-of-a-minor/" TargetMode="External"/><Relationship Id="rId1365" Type="http://schemas.openxmlformats.org/officeDocument/2006/relationships/hyperlink" Target="https://sbrownlawyer.com/2020/06/16/accepting-divorce-our-advice-for-overcoming-grief-and-frustration/" TargetMode="External"/><Relationship Id="rId2696" Type="http://schemas.openxmlformats.org/officeDocument/2006/relationships/hyperlink" Target="https://sbrownlawyer.com/2024/12/27/understanding-the-naturalization-timeline-for-texas-residents/" TargetMode="External"/><Relationship Id="rId771" Type="http://schemas.openxmlformats.org/officeDocument/2006/relationships/hyperlink" Target="https://sbrownlawyer.com/texas/locations/pearland/" TargetMode="External"/><Relationship Id="rId1366" Type="http://schemas.openxmlformats.org/officeDocument/2006/relationships/hyperlink" Target="https://sbrownlawyer.com/premises-liability/" TargetMode="External"/><Relationship Id="rId2697" Type="http://schemas.openxmlformats.org/officeDocument/2006/relationships/hyperlink" Target="https://sbrownlawyer.com/abogado-de-sucesiones-en-pearland-tx/" TargetMode="External"/><Relationship Id="rId1390" Type="http://schemas.openxmlformats.org/officeDocument/2006/relationships/hyperlink" Target="https://sbrownlawyer.com/" TargetMode="External"/><Relationship Id="rId1391" Type="http://schemas.openxmlformats.org/officeDocument/2006/relationships/hyperlink" Target="https://sbrownlawyer.com/2017/11/21/new-texas-law-bans-texting-while-driving/" TargetMode="External"/><Relationship Id="rId1392" Type="http://schemas.openxmlformats.org/officeDocument/2006/relationships/hyperlink" Target="https://sbrownlawyer.com/sex-crimes/texas-sex-crime-law/" TargetMode="External"/><Relationship Id="rId1393" Type="http://schemas.openxmlformats.org/officeDocument/2006/relationships/hyperlink" Target="https://sbrownlawyer.com/2017/05/02/how-can-a-spouse-keep-the-house-after-a-texas-divorce/" TargetMode="External"/><Relationship Id="rId1394" Type="http://schemas.openxmlformats.org/officeDocument/2006/relationships/hyperlink" Target="https://sbrownlawyer.com/2024/09/23/is-leaving-the-scene-of-an-accident-a-felony-in-angleton/" TargetMode="External"/><Relationship Id="rId1395" Type="http://schemas.openxmlformats.org/officeDocument/2006/relationships/hyperlink" Target="https://sbrownlawyer.com/2024/12/27/understanding-the-naturalization-timeline-for-texas-residents/" TargetMode="External"/><Relationship Id="rId1396" Type="http://schemas.openxmlformats.org/officeDocument/2006/relationships/hyperlink" Target="https://sbrownlawyer.com/texas/locations/sugar-land/" TargetMode="External"/><Relationship Id="rId1397" Type="http://schemas.openxmlformats.org/officeDocument/2006/relationships/hyperlink" Target="https://sbrownlawyer.com/adoption/" TargetMode="External"/><Relationship Id="rId1398" Type="http://schemas.openxmlformats.org/officeDocument/2006/relationships/hyperlink" Target="https://sbrownlawyer.com/league-city-complex-and-contested-divorce/" TargetMode="External"/><Relationship Id="rId1399" Type="http://schemas.openxmlformats.org/officeDocument/2006/relationships/hyperlink" Target="https://sbrownlawyer.com/domestic-violence-attorney/" TargetMode="External"/><Relationship Id="rId1389" Type="http://schemas.openxmlformats.org/officeDocument/2006/relationships/hyperlink" Target="https://sbrownlawyer.com/attorneys/" TargetMode="External"/><Relationship Id="rId799" Type="http://schemas.openxmlformats.org/officeDocument/2006/relationships/hyperlink" Target="https://sbrownlawyer.com/areas-we-serve/fort-bend-county/" TargetMode="External"/><Relationship Id="rId798" Type="http://schemas.openxmlformats.org/officeDocument/2006/relationships/hyperlink" Target="https://sbrownlawyer.com/espanol/" TargetMode="External"/><Relationship Id="rId797" Type="http://schemas.openxmlformats.org/officeDocument/2006/relationships/hyperlink" Target="https://sbrownlawyer.com/obscenity/" TargetMode="External"/><Relationship Id="rId1380" Type="http://schemas.openxmlformats.org/officeDocument/2006/relationships/hyperlink" Target="https://sbrownlawyer.com/2020/06/25/partner-abuse-the-many-forms-of-domestic-violence/" TargetMode="External"/><Relationship Id="rId792" Type="http://schemas.openxmlformats.org/officeDocument/2006/relationships/hyperlink" Target="https://sbrownlawyer.com/attorneys/" TargetMode="External"/><Relationship Id="rId1381" Type="http://schemas.openxmlformats.org/officeDocument/2006/relationships/hyperlink" Target="https://sbrownlawyer.com/2020/05/21/what-happens-if-you-violate-a-restraining-order/" TargetMode="External"/><Relationship Id="rId791" Type="http://schemas.openxmlformats.org/officeDocument/2006/relationships/hyperlink" Target="https://sbrownlawyer.com/" TargetMode="External"/><Relationship Id="rId1382" Type="http://schemas.openxmlformats.org/officeDocument/2006/relationships/hyperlink" Target="https://sbrownlawyer.com/2017/06/12/are-dwi-checkpoints-legal-in-texas/" TargetMode="External"/><Relationship Id="rId790" Type="http://schemas.openxmlformats.org/officeDocument/2006/relationships/hyperlink" Target="https://sbrownlawyer.com/child-custody/" TargetMode="External"/><Relationship Id="rId1383" Type="http://schemas.openxmlformats.org/officeDocument/2006/relationships/hyperlink" Target="https://sbrownlawyer.com/2020/10/29/how-to-tell-if-youre-too-drunk-to-drive-and-how-to-prevent-yourself-from-becoming-a-drunk-driver/" TargetMode="External"/><Relationship Id="rId1384" Type="http://schemas.openxmlformats.org/officeDocument/2006/relationships/hyperlink" Target="https://sbrownlawyer.com/2024/11/29/how-to-meet-texas-adjustment-of-status-requirements-for-spouses/" TargetMode="External"/><Relationship Id="rId796" Type="http://schemas.openxmlformats.org/officeDocument/2006/relationships/hyperlink" Target="https://sbrownlawyer.com/2017/08/24/second-chance-bill-what-does-it-mean-now-that-its-passed/" TargetMode="External"/><Relationship Id="rId1385" Type="http://schemas.openxmlformats.org/officeDocument/2006/relationships/hyperlink" Target="https://sbrownlawyer.com/2021/11/26/child-support-guidelines-in-texas-an-overview/" TargetMode="External"/><Relationship Id="rId795" Type="http://schemas.openxmlformats.org/officeDocument/2006/relationships/hyperlink" Target="https://sbrownlawyer.com/2024/04/24/texas-alimony-am-i-entitled/" TargetMode="External"/><Relationship Id="rId1386" Type="http://schemas.openxmlformats.org/officeDocument/2006/relationships/hyperlink" Target="https://sbrownlawyer.com/2018/01/28/silencers-are-not-prohibited-weapons/" TargetMode="External"/><Relationship Id="rId794" Type="http://schemas.openxmlformats.org/officeDocument/2006/relationships/hyperlink" Target="https://sbrownlawyer.com/attorneys/" TargetMode="External"/><Relationship Id="rId1387" Type="http://schemas.openxmlformats.org/officeDocument/2006/relationships/hyperlink" Target="https://sbrownlawyer.com/top-military-divorce-lawyer-in-texas/" TargetMode="External"/><Relationship Id="rId793" Type="http://schemas.openxmlformats.org/officeDocument/2006/relationships/hyperlink" Target="https://sbrownlawyer.com/" TargetMode="External"/><Relationship Id="rId1388" Type="http://schemas.openxmlformats.org/officeDocument/2006/relationships/hyperlink" Target="https://sbrownlawyer.com/league-city-divorce-2/" TargetMode="External"/><Relationship Id="rId3191" Type="http://schemas.openxmlformats.org/officeDocument/2006/relationships/hyperlink" Target="https://sbrownlawyer.com/personal-injury-in-texas/boat-accidents/" TargetMode="External"/><Relationship Id="rId3190" Type="http://schemas.openxmlformats.org/officeDocument/2006/relationships/hyperlink" Target="https://sbrownlawyer.com/" TargetMode="External"/><Relationship Id="rId3193" Type="http://schemas.openxmlformats.org/officeDocument/2006/relationships/hyperlink" Target="https://sbrownlawyer.com/attorneys/" TargetMode="External"/><Relationship Id="rId3192" Type="http://schemas.openxmlformats.org/officeDocument/2006/relationships/hyperlink" Target="https://sbrownlawyer.com/adoption/" TargetMode="External"/><Relationship Id="rId3195" Type="http://schemas.openxmlformats.org/officeDocument/2006/relationships/hyperlink" Target="https://sbrownlawyer.com/sex-crimes/sex-offender-registration/" TargetMode="External"/><Relationship Id="rId3194" Type="http://schemas.openxmlformats.org/officeDocument/2006/relationships/hyperlink" Target="https://sbrownlawyer.com/drug-possession/" TargetMode="External"/><Relationship Id="rId3197" Type="http://schemas.openxmlformats.org/officeDocument/2006/relationships/hyperlink" Target="https://sbrownlawyer.com/2018/04/17/statutory-rape-age-of-consent-in-texas-how-old-is-too-old/" TargetMode="External"/><Relationship Id="rId3196" Type="http://schemas.openxmlformats.org/officeDocument/2006/relationships/hyperlink" Target="https://sbrownlawyer.com/theft-and-shoplifting/aggravated-burglary/" TargetMode="External"/><Relationship Id="rId3199" Type="http://schemas.openxmlformats.org/officeDocument/2006/relationships/hyperlink" Target="https://sbrownlawyer.com/2024/08/20/no-fault-divorce-vs-fault-divorce-angleton-texas/" TargetMode="External"/><Relationship Id="rId3198" Type="http://schemas.openxmlformats.org/officeDocument/2006/relationships/hyperlink" Target="https://sbrownlawyer.com/criminal-defense/" TargetMode="External"/><Relationship Id="rId3180" Type="http://schemas.openxmlformats.org/officeDocument/2006/relationships/hyperlink" Target="https://sbrownlawyer.com/2024/04/24/texas-alimony-am-i-entitled/" TargetMode="External"/><Relationship Id="rId3182" Type="http://schemas.openxmlformats.org/officeDocument/2006/relationships/hyperlink" Target="https://sbrownlawyer.com/2018/09/24/what-rights-do-fathers-have-in-texas/" TargetMode="External"/><Relationship Id="rId3181" Type="http://schemas.openxmlformats.org/officeDocument/2006/relationships/hyperlink" Target="https://sbrownlawyer.com/2018/03/26/can-teenagers-get-arrested-for-texting-nude-photos-in-texas/" TargetMode="External"/><Relationship Id="rId3184" Type="http://schemas.openxmlformats.org/officeDocument/2006/relationships/hyperlink" Target="https://sbrownlawyer.com/" TargetMode="External"/><Relationship Id="rId3183" Type="http://schemas.openxmlformats.org/officeDocument/2006/relationships/hyperlink" Target="https://sbrownlawyer.com/2024/04/24/texas-alimony-am-i-entitled/" TargetMode="External"/><Relationship Id="rId3186" Type="http://schemas.openxmlformats.org/officeDocument/2006/relationships/hyperlink" Target="https://sbrownlawyer.com/domestic-violence-attorney/" TargetMode="External"/><Relationship Id="rId3185" Type="http://schemas.openxmlformats.org/officeDocument/2006/relationships/hyperlink" Target="https://sbrownlawyer.com/attorneys/" TargetMode="External"/><Relationship Id="rId3188" Type="http://schemas.openxmlformats.org/officeDocument/2006/relationships/hyperlink" Target="https://sbrownlawyer.com/2020/06/25/partner-abuse-the-many-forms-of-domestic-violence/" TargetMode="External"/><Relationship Id="rId3187" Type="http://schemas.openxmlformats.org/officeDocument/2006/relationships/hyperlink" Target="https://sbrownlawyer.com/juvenile-crimes/" TargetMode="External"/><Relationship Id="rId3189" Type="http://schemas.openxmlformats.org/officeDocument/2006/relationships/hyperlink" Target="https://sbrownlawyer.com/league-city-tx-criminal-defense-lawyers/" TargetMode="External"/><Relationship Id="rId3151" Type="http://schemas.openxmlformats.org/officeDocument/2006/relationships/hyperlink" Target="https://sbrownlawyer.com/texas/locations/sugar-land/" TargetMode="External"/><Relationship Id="rId3150" Type="http://schemas.openxmlformats.org/officeDocument/2006/relationships/hyperlink" Target="https://sbrownlawyer.com/texas/locations/pearland/" TargetMode="External"/><Relationship Id="rId3153" Type="http://schemas.openxmlformats.org/officeDocument/2006/relationships/hyperlink" Target="https://sbrownlawyer.com/drug-possession/" TargetMode="External"/><Relationship Id="rId3152" Type="http://schemas.openxmlformats.org/officeDocument/2006/relationships/hyperlink" Target="https://sbrownlawyer.com/2018/09/24/what-rights-do-fathers-have-in-texas/" TargetMode="External"/><Relationship Id="rId3155" Type="http://schemas.openxmlformats.org/officeDocument/2006/relationships/hyperlink" Target="https://sbrownlawyer.com/attorneys/" TargetMode="External"/><Relationship Id="rId3154" Type="http://schemas.openxmlformats.org/officeDocument/2006/relationships/hyperlink" Target="https://sbrownlawyer.com/hit-and-run/" TargetMode="External"/><Relationship Id="rId3157" Type="http://schemas.openxmlformats.org/officeDocument/2006/relationships/hyperlink" Target="https://sbrownlawyer.com/" TargetMode="External"/><Relationship Id="rId3156" Type="http://schemas.openxmlformats.org/officeDocument/2006/relationships/hyperlink" Target="https://sbrownlawyer.com/divorce/" TargetMode="External"/><Relationship Id="rId3159" Type="http://schemas.openxmlformats.org/officeDocument/2006/relationships/hyperlink" Target="https://sbrownlawyer.com/sexual-abuse/" TargetMode="External"/><Relationship Id="rId3158" Type="http://schemas.openxmlformats.org/officeDocument/2006/relationships/hyperlink" Target="https://sbrownlawyer.com/attorneys/" TargetMode="External"/><Relationship Id="rId3149" Type="http://schemas.openxmlformats.org/officeDocument/2006/relationships/hyperlink" Target="https://sbrownlawyer.com/" TargetMode="External"/><Relationship Id="rId3140" Type="http://schemas.openxmlformats.org/officeDocument/2006/relationships/hyperlink" Target="https://sbrownlawyer.com/" TargetMode="External"/><Relationship Id="rId3142" Type="http://schemas.openxmlformats.org/officeDocument/2006/relationships/hyperlink" Target="https://sbrownlawyer.com/white-collar-crimes/" TargetMode="External"/><Relationship Id="rId3141" Type="http://schemas.openxmlformats.org/officeDocument/2006/relationships/hyperlink" Target="https://sbrownlawyer.com/scott-m-brown/" TargetMode="External"/><Relationship Id="rId3144" Type="http://schemas.openxmlformats.org/officeDocument/2006/relationships/hyperlink" Target="https://sbrownlawyer.com/attorneys/" TargetMode="External"/><Relationship Id="rId3143" Type="http://schemas.openxmlformats.org/officeDocument/2006/relationships/hyperlink" Target="https://sbrownlawyer.com/sex-crimes/texas-sex-crime-law/" TargetMode="External"/><Relationship Id="rId3146" Type="http://schemas.openxmlformats.org/officeDocument/2006/relationships/hyperlink" Target="https://sbrownlawyer.com/2013/11/27/texas-police-officer-accused-of-domestic-violence-still-employed/" TargetMode="External"/><Relationship Id="rId3145" Type="http://schemas.openxmlformats.org/officeDocument/2006/relationships/hyperlink" Target="https://sbrownlawyer.com/attorneys/" TargetMode="External"/><Relationship Id="rId3148" Type="http://schemas.openxmlformats.org/officeDocument/2006/relationships/hyperlink" Target="https://sbrownlawyer.com/" TargetMode="External"/><Relationship Id="rId3147" Type="http://schemas.openxmlformats.org/officeDocument/2006/relationships/hyperlink" Target="https://sbrownlawyer.com/2024/04/24/texas-alimony-am-i-entitled/" TargetMode="External"/><Relationship Id="rId3171" Type="http://schemas.openxmlformats.org/officeDocument/2006/relationships/hyperlink" Target="https://sbrownlawyer.com/public-indecency/" TargetMode="External"/><Relationship Id="rId3170" Type="http://schemas.openxmlformats.org/officeDocument/2006/relationships/hyperlink" Target="https://sbrownlawyer.com/sex-crimes/sex-offender-registration/" TargetMode="External"/><Relationship Id="rId3173" Type="http://schemas.openxmlformats.org/officeDocument/2006/relationships/hyperlink" Target="https://sbrownlawyer.com/divorce/" TargetMode="External"/><Relationship Id="rId3172" Type="http://schemas.openxmlformats.org/officeDocument/2006/relationships/hyperlink" Target="https://sbrownlawyer.com/espanol/defensa-criminal/" TargetMode="External"/><Relationship Id="rId3175" Type="http://schemas.openxmlformats.org/officeDocument/2006/relationships/hyperlink" Target="https://sbrownlawyer.com/attorneys/" TargetMode="External"/><Relationship Id="rId3174" Type="http://schemas.openxmlformats.org/officeDocument/2006/relationships/hyperlink" Target="https://sbrownlawyer.com/galveston-child-custody-lawyer/" TargetMode="External"/><Relationship Id="rId3177" Type="http://schemas.openxmlformats.org/officeDocument/2006/relationships/hyperlink" Target="https://sbrownlawyer.com/2024/10/09/legal-rights-for-pedestrian-injury-victims-in-texas/" TargetMode="External"/><Relationship Id="rId3176" Type="http://schemas.openxmlformats.org/officeDocument/2006/relationships/hyperlink" Target="https://sbrownlawyer.com/2020/05/21/what-happens-if-you-violate-a-restraining-order/" TargetMode="External"/><Relationship Id="rId3179" Type="http://schemas.openxmlformats.org/officeDocument/2006/relationships/hyperlink" Target="https://sbrownlawyer.com/do-not-blow/" TargetMode="External"/><Relationship Id="rId3178" Type="http://schemas.openxmlformats.org/officeDocument/2006/relationships/hyperlink" Target="https://sbrownlawyer.com/drug-possession/" TargetMode="External"/><Relationship Id="rId3160" Type="http://schemas.openxmlformats.org/officeDocument/2006/relationships/hyperlink" Target="https://sbrownlawyer.com/2017/11/21/new-texas-law-bans-texting-while-driving/" TargetMode="External"/><Relationship Id="rId3162" Type="http://schemas.openxmlformats.org/officeDocument/2006/relationships/hyperlink" Target="https://sbrownlawyer.com/reckless-driving/" TargetMode="External"/><Relationship Id="rId3161" Type="http://schemas.openxmlformats.org/officeDocument/2006/relationships/hyperlink" Target="https://sbrownlawyer.com/child-support/" TargetMode="External"/><Relationship Id="rId3164" Type="http://schemas.openxmlformats.org/officeDocument/2006/relationships/hyperlink" Target="https://sbrownlawyer.com/steps-in-settling-your-claim-in-texas/" TargetMode="External"/><Relationship Id="rId3163" Type="http://schemas.openxmlformats.org/officeDocument/2006/relationships/hyperlink" Target="https://sbrownlawyer.com/criminal-defense/" TargetMode="External"/><Relationship Id="rId3166" Type="http://schemas.openxmlformats.org/officeDocument/2006/relationships/hyperlink" Target="https://sbrownlawyer.com/hit-and-run/" TargetMode="External"/><Relationship Id="rId3165" Type="http://schemas.openxmlformats.org/officeDocument/2006/relationships/hyperlink" Target="https://sbrownlawyer.com/attorneys/" TargetMode="External"/><Relationship Id="rId3168" Type="http://schemas.openxmlformats.org/officeDocument/2006/relationships/hyperlink" Target="https://sbrownlawyer.com/jones-act-claims/" TargetMode="External"/><Relationship Id="rId3167" Type="http://schemas.openxmlformats.org/officeDocument/2006/relationships/hyperlink" Target="https://sbrownlawyer.com/scott-m-brown/" TargetMode="External"/><Relationship Id="rId3169" Type="http://schemas.openxmlformats.org/officeDocument/2006/relationships/hyperlink" Target="https://sbrownlawyer.com/" TargetMode="External"/><Relationship Id="rId2700" Type="http://schemas.openxmlformats.org/officeDocument/2006/relationships/hyperlink" Target="https://sbrownlawyer.com/brain-injury/" TargetMode="External"/><Relationship Id="rId2701" Type="http://schemas.openxmlformats.org/officeDocument/2006/relationships/hyperlink" Target="https://sbrownlawyer.com/what-is-dwi/" TargetMode="External"/><Relationship Id="rId2702" Type="http://schemas.openxmlformats.org/officeDocument/2006/relationships/hyperlink" Target="https://sbrownlawyer.com/espanol/abogados-de-lesiones-personales/" TargetMode="External"/><Relationship Id="rId2703" Type="http://schemas.openxmlformats.org/officeDocument/2006/relationships/hyperlink" Target="https://sbrownlawyer.com/galveston-boating-and-ski-accident-lawyer/" TargetMode="External"/><Relationship Id="rId2704" Type="http://schemas.openxmlformats.org/officeDocument/2006/relationships/hyperlink" Target="https://sbrownlawyer.com/2021/07/20/8-questions-to-ask-dui-attorneys/" TargetMode="External"/><Relationship Id="rId2705" Type="http://schemas.openxmlformats.org/officeDocument/2006/relationships/hyperlink" Target="https://sbrownlawyer.com/steps-in-settling-your-claim-in-texas/" TargetMode="External"/><Relationship Id="rId2706" Type="http://schemas.openxmlformats.org/officeDocument/2006/relationships/hyperlink" Target="https://sbrownlawyer.com/grandparents-rights/" TargetMode="External"/><Relationship Id="rId2707" Type="http://schemas.openxmlformats.org/officeDocument/2006/relationships/hyperlink" Target="https://sbrownlawyer.com/jones-act-claims/" TargetMode="External"/><Relationship Id="rId2708" Type="http://schemas.openxmlformats.org/officeDocument/2006/relationships/hyperlink" Target="https://sbrownlawyer.com/slip-and-fall-accidents/" TargetMode="External"/><Relationship Id="rId2709" Type="http://schemas.openxmlformats.org/officeDocument/2006/relationships/hyperlink" Target="https://sbrownlawyer.com/espanol/" TargetMode="External"/><Relationship Id="rId2720" Type="http://schemas.openxmlformats.org/officeDocument/2006/relationships/hyperlink" Target="https://sbrownlawyer.com/2018/03/23/parental-alienation-a-criminal-offense-in-texas/" TargetMode="External"/><Relationship Id="rId2721" Type="http://schemas.openxmlformats.org/officeDocument/2006/relationships/hyperlink" Target="https://sbrownlawyer.com/" TargetMode="External"/><Relationship Id="rId2722" Type="http://schemas.openxmlformats.org/officeDocument/2006/relationships/hyperlink" Target="https://sbrownlawyer.com/2024/04/24/texas-alimony-am-i-entitled/" TargetMode="External"/><Relationship Id="rId2723" Type="http://schemas.openxmlformats.org/officeDocument/2006/relationships/hyperlink" Target="https://sbrownlawyer.com/2020/11/13/these-are-the-different-types-of-divorce-in-texas/" TargetMode="External"/><Relationship Id="rId2724" Type="http://schemas.openxmlformats.org/officeDocument/2006/relationships/hyperlink" Target="https://sbrownlawyer.com/sex-crimes/" TargetMode="External"/><Relationship Id="rId2725" Type="http://schemas.openxmlformats.org/officeDocument/2006/relationships/hyperlink" Target="https://sbrownlawyer.com/attorneys/" TargetMode="External"/><Relationship Id="rId2726" Type="http://schemas.openxmlformats.org/officeDocument/2006/relationships/hyperlink" Target="https://sbrownlawyer.com/" TargetMode="External"/><Relationship Id="rId2727" Type="http://schemas.openxmlformats.org/officeDocument/2006/relationships/hyperlink" Target="https://sbrownlawyer.com/attorneys/" TargetMode="External"/><Relationship Id="rId2728" Type="http://schemas.openxmlformats.org/officeDocument/2006/relationships/hyperlink" Target="https://sbrownlawyer.com/2020/06/25/partner-abuse-the-many-forms-of-domestic-violence/" TargetMode="External"/><Relationship Id="rId2729" Type="http://schemas.openxmlformats.org/officeDocument/2006/relationships/hyperlink" Target="https://sbrownlawyer.com/" TargetMode="External"/><Relationship Id="rId2710" Type="http://schemas.openxmlformats.org/officeDocument/2006/relationships/hyperlink" Target="https://sbrownlawyer.com/postnuptial-agreements/" TargetMode="External"/><Relationship Id="rId2711" Type="http://schemas.openxmlformats.org/officeDocument/2006/relationships/hyperlink" Target="https://sbrownlawyer.com/2017/08/01/7-key-reasons-texas-may-shift-the-property-division-in-divorces-away-from-a-50-50-split/" TargetMode="External"/><Relationship Id="rId2712" Type="http://schemas.openxmlformats.org/officeDocument/2006/relationships/hyperlink" Target="https://sbrownlawyer.com/attorneys/" TargetMode="External"/><Relationship Id="rId2713" Type="http://schemas.openxmlformats.org/officeDocument/2006/relationships/hyperlink" Target="https://sbrownlawyer.com/criminal-law/indecent-exposure/" TargetMode="External"/><Relationship Id="rId2714" Type="http://schemas.openxmlformats.org/officeDocument/2006/relationships/hyperlink" Target="https://sbrownlawyer.com/2024/07/08/open-vs-closed-aoption-angleton-texas/" TargetMode="External"/><Relationship Id="rId2715" Type="http://schemas.openxmlformats.org/officeDocument/2006/relationships/hyperlink" Target="https://sbrownlawyer.com/criminal-law/first-offenders/" TargetMode="External"/><Relationship Id="rId2716" Type="http://schemas.openxmlformats.org/officeDocument/2006/relationships/hyperlink" Target="https://sbrownlawyer.com/grandparents-rights/" TargetMode="External"/><Relationship Id="rId2717" Type="http://schemas.openxmlformats.org/officeDocument/2006/relationships/hyperlink" Target="https://sbrownlawyer.com/2024/04/24/texas-alimony-am-i-entitled/" TargetMode="External"/><Relationship Id="rId2718" Type="http://schemas.openxmlformats.org/officeDocument/2006/relationships/hyperlink" Target="https://sbrownlawyer.com/attorneys/" TargetMode="External"/><Relationship Id="rId2719" Type="http://schemas.openxmlformats.org/officeDocument/2006/relationships/hyperlink" Target="https://sbrownlawyer.com/2018/02/05/texas-drug-manufacturing-and-cultivation-laws/" TargetMode="External"/><Relationship Id="rId1455" Type="http://schemas.openxmlformats.org/officeDocument/2006/relationships/hyperlink" Target="https://sbrownlawyer.com/restraining-orders/" TargetMode="External"/><Relationship Id="rId2786" Type="http://schemas.openxmlformats.org/officeDocument/2006/relationships/hyperlink" Target="https://sbrownlawyer.com/2024/12/27/understanding-the-naturalization-timeline-for-texas-residents/" TargetMode="External"/><Relationship Id="rId1456" Type="http://schemas.openxmlformats.org/officeDocument/2006/relationships/hyperlink" Target="https://sbrownlawyer.com/2019/05/16/motorcycle-laws-regarding-children-in-texas/" TargetMode="External"/><Relationship Id="rId2787" Type="http://schemas.openxmlformats.org/officeDocument/2006/relationships/hyperlink" Target="https://sbrownlawyer.com/2021/04/07/reasons-grandparents-can-file-for-custody-of-grandchild-in-texas/" TargetMode="External"/><Relationship Id="rId1457" Type="http://schemas.openxmlformats.org/officeDocument/2006/relationships/hyperlink" Target="https://sbrownlawyer.com/2020/10/29/how-to-tell-if-youre-too-drunk-to-drive-and-how-to-prevent-yourself-from-becoming-a-drunk-driver/" TargetMode="External"/><Relationship Id="rId2788" Type="http://schemas.openxmlformats.org/officeDocument/2006/relationships/hyperlink" Target="https://sbrownlawyer.com/immigration/" TargetMode="External"/><Relationship Id="rId1458" Type="http://schemas.openxmlformats.org/officeDocument/2006/relationships/hyperlink" Target="https://sbrownlawyer.com/criminal-law/first-offenders/" TargetMode="External"/><Relationship Id="rId2789" Type="http://schemas.openxmlformats.org/officeDocument/2006/relationships/hyperlink" Target="https://sbrownlawyer.com/attorneys/" TargetMode="External"/><Relationship Id="rId1459" Type="http://schemas.openxmlformats.org/officeDocument/2006/relationships/hyperlink" Target="https://sbrownlawyer.com/2017/11/21/new-texas-law-bans-texting-while-driving/" TargetMode="External"/><Relationship Id="rId629" Type="http://schemas.openxmlformats.org/officeDocument/2006/relationships/hyperlink" Target="https://sbrownlawyer.com/2024/12/27/understanding-the-naturalization-timeline-for-texas-residents/" TargetMode="External"/><Relationship Id="rId624" Type="http://schemas.openxmlformats.org/officeDocument/2006/relationships/hyperlink" Target="https://sbrownlawyer.com/" TargetMode="External"/><Relationship Id="rId623" Type="http://schemas.openxmlformats.org/officeDocument/2006/relationships/hyperlink" Target="https://sbrownlawyer.com/2024/04/24/texas-alimony-am-i-entitled/" TargetMode="External"/><Relationship Id="rId622" Type="http://schemas.openxmlformats.org/officeDocument/2006/relationships/hyperlink" Target="https://sbrownlawyer.com/child-protective-services-cps/" TargetMode="External"/><Relationship Id="rId621" Type="http://schemas.openxmlformats.org/officeDocument/2006/relationships/hyperlink" Target="https://sbrownlawyer.com/slip-and-fall-accidents/" TargetMode="External"/><Relationship Id="rId628" Type="http://schemas.openxmlformats.org/officeDocument/2006/relationships/hyperlink" Target="https://sbrownlawyer.com/2024/04/24/texas-alimony-am-i-entitled/" TargetMode="External"/><Relationship Id="rId627" Type="http://schemas.openxmlformats.org/officeDocument/2006/relationships/hyperlink" Target="https://sbrownlawyer.com/obscenity/" TargetMode="External"/><Relationship Id="rId626" Type="http://schemas.openxmlformats.org/officeDocument/2006/relationships/hyperlink" Target="https://sbrownlawyer.com/2014/05/30/texas-woman-fights-to-keep-children-she-took-in-last-year/" TargetMode="External"/><Relationship Id="rId625" Type="http://schemas.openxmlformats.org/officeDocument/2006/relationships/hyperlink" Target="https://sbrownlawyer.com/attorneys/" TargetMode="External"/><Relationship Id="rId2780" Type="http://schemas.openxmlformats.org/officeDocument/2006/relationships/hyperlink" Target="https://sbrownlawyer.com/" TargetMode="External"/><Relationship Id="rId1450" Type="http://schemas.openxmlformats.org/officeDocument/2006/relationships/hyperlink" Target="https://sbrownlawyer.com/2017/06/12/are-dwi-checkpoints-legal-in-texas/" TargetMode="External"/><Relationship Id="rId2781" Type="http://schemas.openxmlformats.org/officeDocument/2006/relationships/hyperlink" Target="https://sbrownlawyer.com/texas/locations/sugar-land/" TargetMode="External"/><Relationship Id="rId620" Type="http://schemas.openxmlformats.org/officeDocument/2006/relationships/hyperlink" Target="https://sbrownlawyer.com/2018/01/28/silencers-are-not-prohibited-weapons/" TargetMode="External"/><Relationship Id="rId1451" Type="http://schemas.openxmlformats.org/officeDocument/2006/relationships/hyperlink" Target="https://sbrownlawyer.com/" TargetMode="External"/><Relationship Id="rId2782" Type="http://schemas.openxmlformats.org/officeDocument/2006/relationships/hyperlink" Target="https://sbrownlawyer.com/espanol/defensa-criminal/" TargetMode="External"/><Relationship Id="rId1452" Type="http://schemas.openxmlformats.org/officeDocument/2006/relationships/hyperlink" Target="https://sbrownlawyer.com/league-city-complex-and-contested-divorce/" TargetMode="External"/><Relationship Id="rId2783" Type="http://schemas.openxmlformats.org/officeDocument/2006/relationships/hyperlink" Target="https://sbrownlawyer.com/" TargetMode="External"/><Relationship Id="rId1453" Type="http://schemas.openxmlformats.org/officeDocument/2006/relationships/hyperlink" Target="https://sbrownlawyer.com/" TargetMode="External"/><Relationship Id="rId2784" Type="http://schemas.openxmlformats.org/officeDocument/2006/relationships/hyperlink" Target="https://sbrownlawyer.com/" TargetMode="External"/><Relationship Id="rId1454" Type="http://schemas.openxmlformats.org/officeDocument/2006/relationships/hyperlink" Target="https://sbrownlawyer.com/league-city-complex-and-contested-divorce/" TargetMode="External"/><Relationship Id="rId2785" Type="http://schemas.openxmlformats.org/officeDocument/2006/relationships/hyperlink" Target="https://sbrownlawyer.com/falsely-accused/" TargetMode="External"/><Relationship Id="rId1444" Type="http://schemas.openxmlformats.org/officeDocument/2006/relationships/hyperlink" Target="https://sbrownlawyer.com/espanol/" TargetMode="External"/><Relationship Id="rId2775" Type="http://schemas.openxmlformats.org/officeDocument/2006/relationships/hyperlink" Target="https://sbrownlawyer.com/rape-sexual-assault/" TargetMode="External"/><Relationship Id="rId1445" Type="http://schemas.openxmlformats.org/officeDocument/2006/relationships/hyperlink" Target="https://sbrownlawyer.com/2024/09/23/is-leaving-the-scene-of-an-accident-a-felony-in-angleton/" TargetMode="External"/><Relationship Id="rId2776" Type="http://schemas.openxmlformats.org/officeDocument/2006/relationships/hyperlink" Target="https://sbrownlawyer.com/2020/05/21/what-happens-if-you-violate-a-restraining-order/" TargetMode="External"/><Relationship Id="rId1446" Type="http://schemas.openxmlformats.org/officeDocument/2006/relationships/hyperlink" Target="https://sbrownlawyer.com/2020/10/29/how-to-tell-if-youre-too-drunk-to-drive-and-how-to-prevent-yourself-from-becoming-a-drunk-driver/" TargetMode="External"/><Relationship Id="rId2777" Type="http://schemas.openxmlformats.org/officeDocument/2006/relationships/hyperlink" Target="https://sbrownlawyer.com/2020/08/24/the-complete-guide-to-dwi-vs-dui-laws-in-texas/" TargetMode="External"/><Relationship Id="rId1447" Type="http://schemas.openxmlformats.org/officeDocument/2006/relationships/hyperlink" Target="https://sbrownlawyer.com/attorneys/" TargetMode="External"/><Relationship Id="rId2778" Type="http://schemas.openxmlformats.org/officeDocument/2006/relationships/hyperlink" Target="https://sbrownlawyer.com/2018/04/17/statutory-rape-age-of-consent-in-texas-how-old-is-too-old/" TargetMode="External"/><Relationship Id="rId1448" Type="http://schemas.openxmlformats.org/officeDocument/2006/relationships/hyperlink" Target="https://sbrownlawyer.com/2020/12/28/what-to-ask-your-family-lawyer-about-your-child-custody-agreement/" TargetMode="External"/><Relationship Id="rId2779" Type="http://schemas.openxmlformats.org/officeDocument/2006/relationships/hyperlink" Target="https://sbrownlawyer.com/attorneys/" TargetMode="External"/><Relationship Id="rId1449" Type="http://schemas.openxmlformats.org/officeDocument/2006/relationships/hyperlink" Target="https://sbrownlawyer.com/" TargetMode="External"/><Relationship Id="rId619" Type="http://schemas.openxmlformats.org/officeDocument/2006/relationships/hyperlink" Target="https://sbrownlawyer.com/slip-and-fall-accidents/" TargetMode="External"/><Relationship Id="rId618" Type="http://schemas.openxmlformats.org/officeDocument/2006/relationships/hyperlink" Target="https://sbrownlawyer.com/slip-and-fall-accidents/" TargetMode="External"/><Relationship Id="rId613" Type="http://schemas.openxmlformats.org/officeDocument/2006/relationships/hyperlink" Target="https://sbrownlawyer.com/2024/12/27/understanding-the-naturalization-timeline-for-texas-residents/" TargetMode="External"/><Relationship Id="rId612" Type="http://schemas.openxmlformats.org/officeDocument/2006/relationships/hyperlink" Target="https://sbrownlawyer.com/2024/12/27/understanding-the-naturalization-timeline-for-texas-residents/" TargetMode="External"/><Relationship Id="rId611" Type="http://schemas.openxmlformats.org/officeDocument/2006/relationships/hyperlink" Target="https://sbrownlawyer.com/" TargetMode="External"/><Relationship Id="rId610" Type="http://schemas.openxmlformats.org/officeDocument/2006/relationships/hyperlink" Target="https://sbrownlawyer.com/family-law-attorney-in-galveston/" TargetMode="External"/><Relationship Id="rId617" Type="http://schemas.openxmlformats.org/officeDocument/2006/relationships/hyperlink" Target="https://sbrownlawyer.com/2024/04/24/texas-alimony-am-i-entitled/" TargetMode="External"/><Relationship Id="rId616" Type="http://schemas.openxmlformats.org/officeDocument/2006/relationships/hyperlink" Target="https://sbrownlawyer.com/2024/04/24/texas-alimony-am-i-entitled/" TargetMode="External"/><Relationship Id="rId615" Type="http://schemas.openxmlformats.org/officeDocument/2006/relationships/hyperlink" Target="https://sbrownlawyer.com/2015/02/20/child-support-rights-of-grandparents-with-custody-of-a-grandchild/" TargetMode="External"/><Relationship Id="rId614" Type="http://schemas.openxmlformats.org/officeDocument/2006/relationships/hyperlink" Target="https://sbrownlawyer.com/criminal-defense/" TargetMode="External"/><Relationship Id="rId2770" Type="http://schemas.openxmlformats.org/officeDocument/2006/relationships/hyperlink" Target="https://sbrownlawyer.com/spinal-cord-injury/" TargetMode="External"/><Relationship Id="rId1440" Type="http://schemas.openxmlformats.org/officeDocument/2006/relationships/hyperlink" Target="https://sbrownlawyer.com/league-city-divorce-2/" TargetMode="External"/><Relationship Id="rId2771" Type="http://schemas.openxmlformats.org/officeDocument/2006/relationships/hyperlink" Target="https://sbrownlawyer.com/" TargetMode="External"/><Relationship Id="rId1441" Type="http://schemas.openxmlformats.org/officeDocument/2006/relationships/hyperlink" Target="https://sbrownlawyer.com/" TargetMode="External"/><Relationship Id="rId2772" Type="http://schemas.openxmlformats.org/officeDocument/2006/relationships/hyperlink" Target="https://sbrownlawyer.com/2024/12/27/understanding-the-naturalization-timeline-for-texas-residents/" TargetMode="External"/><Relationship Id="rId1442" Type="http://schemas.openxmlformats.org/officeDocument/2006/relationships/hyperlink" Target="https://sbrownlawyer.com/brain-injury/" TargetMode="External"/><Relationship Id="rId2773" Type="http://schemas.openxmlformats.org/officeDocument/2006/relationships/hyperlink" Target="https://sbrownlawyer.com/attorneys/" TargetMode="External"/><Relationship Id="rId1443" Type="http://schemas.openxmlformats.org/officeDocument/2006/relationships/hyperlink" Target="https://sbrownlawyer.com/espanol/" TargetMode="External"/><Relationship Id="rId2774" Type="http://schemas.openxmlformats.org/officeDocument/2006/relationships/hyperlink" Target="https://sbrownlawyer.com/information-about-brazoria-county-texas/" TargetMode="External"/><Relationship Id="rId1477" Type="http://schemas.openxmlformats.org/officeDocument/2006/relationships/hyperlink" Target="https://sbrownlawyer.com/" TargetMode="External"/><Relationship Id="rId1478" Type="http://schemas.openxmlformats.org/officeDocument/2006/relationships/hyperlink" Target="https://sbrownlawyer.com/road-hazard/" TargetMode="External"/><Relationship Id="rId1479" Type="http://schemas.openxmlformats.org/officeDocument/2006/relationships/hyperlink" Target="https://sbrownlawyer.com/" TargetMode="External"/><Relationship Id="rId646" Type="http://schemas.openxmlformats.org/officeDocument/2006/relationships/hyperlink" Target="https://sbrownlawyer.com/2024/04/24/texas-alimony-am-i-entitled/" TargetMode="External"/><Relationship Id="rId645" Type="http://schemas.openxmlformats.org/officeDocument/2006/relationships/hyperlink" Target="https://sbrownlawyer.com/grand-theft/" TargetMode="External"/><Relationship Id="rId644" Type="http://schemas.openxmlformats.org/officeDocument/2006/relationships/hyperlink" Target="https://sbrownlawyer.com/" TargetMode="External"/><Relationship Id="rId643" Type="http://schemas.openxmlformats.org/officeDocument/2006/relationships/hyperlink" Target="https://sbrownlawyer.com/theft-and-shoplifting/aggravated-burglary/" TargetMode="External"/><Relationship Id="rId649" Type="http://schemas.openxmlformats.org/officeDocument/2006/relationships/hyperlink" Target="https://sbrownlawyer.com/divorce/" TargetMode="External"/><Relationship Id="rId648" Type="http://schemas.openxmlformats.org/officeDocument/2006/relationships/hyperlink" Target="https://sbrownlawyer.com/divorce/" TargetMode="External"/><Relationship Id="rId647" Type="http://schemas.openxmlformats.org/officeDocument/2006/relationships/hyperlink" Target="https://sbrownlawyer.com/title-ix-defense-campus-sexual-assault/" TargetMode="External"/><Relationship Id="rId1470" Type="http://schemas.openxmlformats.org/officeDocument/2006/relationships/hyperlink" Target="https://sbrownlawyer.com/brain-injury/" TargetMode="External"/><Relationship Id="rId1471" Type="http://schemas.openxmlformats.org/officeDocument/2006/relationships/hyperlink" Target="https://sbrownlawyer.com/attorneys/" TargetMode="External"/><Relationship Id="rId1472" Type="http://schemas.openxmlformats.org/officeDocument/2006/relationships/hyperlink" Target="https://sbrownlawyer.com/divorce/" TargetMode="External"/><Relationship Id="rId642" Type="http://schemas.openxmlformats.org/officeDocument/2006/relationships/hyperlink" Target="https://sbrownlawyer.com/texas/locations/pearland/" TargetMode="External"/><Relationship Id="rId1473" Type="http://schemas.openxmlformats.org/officeDocument/2006/relationships/hyperlink" Target="https://sbrownlawyer.com/" TargetMode="External"/><Relationship Id="rId641" Type="http://schemas.openxmlformats.org/officeDocument/2006/relationships/hyperlink" Target="https://sbrownlawyer.com/texas/locations/sugar-land/" TargetMode="External"/><Relationship Id="rId1474" Type="http://schemas.openxmlformats.org/officeDocument/2006/relationships/hyperlink" Target="https://sbrownlawyer.com/attorneys/" TargetMode="External"/><Relationship Id="rId640" Type="http://schemas.openxmlformats.org/officeDocument/2006/relationships/hyperlink" Target="https://sbrownlawyer.com/2024/03/20/texas-child-support-2024/" TargetMode="External"/><Relationship Id="rId1475" Type="http://schemas.openxmlformats.org/officeDocument/2006/relationships/hyperlink" Target="https://sbrownlawyer.com/league-city-tx-theft-crimes/" TargetMode="External"/><Relationship Id="rId1476" Type="http://schemas.openxmlformats.org/officeDocument/2006/relationships/hyperlink" Target="https://sbrownlawyer.com/" TargetMode="External"/><Relationship Id="rId1466" Type="http://schemas.openxmlformats.org/officeDocument/2006/relationships/hyperlink" Target="https://sbrownlawyer.com/2020/10/29/how-to-tell-if-youre-too-drunk-to-drive-and-how-to-prevent-yourself-from-becoming-a-drunk-driver/" TargetMode="External"/><Relationship Id="rId2797" Type="http://schemas.openxmlformats.org/officeDocument/2006/relationships/hyperlink" Target="https://sbrownlawyer.com/adoption/" TargetMode="External"/><Relationship Id="rId1467" Type="http://schemas.openxmlformats.org/officeDocument/2006/relationships/hyperlink" Target="https://sbrownlawyer.com/league-city-divorce-2/" TargetMode="External"/><Relationship Id="rId2798" Type="http://schemas.openxmlformats.org/officeDocument/2006/relationships/hyperlink" Target="https://sbrownlawyer.com/espanol/" TargetMode="External"/><Relationship Id="rId1468" Type="http://schemas.openxmlformats.org/officeDocument/2006/relationships/hyperlink" Target="https://sbrownlawyer.com/texas/locations/pearland/" TargetMode="External"/><Relationship Id="rId2799" Type="http://schemas.openxmlformats.org/officeDocument/2006/relationships/hyperlink" Target="https://sbrownlawyer.com/white-collar-crimes/" TargetMode="External"/><Relationship Id="rId1469" Type="http://schemas.openxmlformats.org/officeDocument/2006/relationships/hyperlink" Target="https://sbrownlawyer.com/criminal-defense-lawyer-galveston-county/" TargetMode="External"/><Relationship Id="rId635" Type="http://schemas.openxmlformats.org/officeDocument/2006/relationships/hyperlink" Target="https://sbrownlawyer.com/2024/12/27/understanding-the-naturalization-timeline-for-texas-residents/" TargetMode="External"/><Relationship Id="rId634" Type="http://schemas.openxmlformats.org/officeDocument/2006/relationships/hyperlink" Target="https://sbrownlawyer.com/scott-m-brown/" TargetMode="External"/><Relationship Id="rId633" Type="http://schemas.openxmlformats.org/officeDocument/2006/relationships/hyperlink" Target="https://sbrownlawyer.com/truck-accident/" TargetMode="External"/><Relationship Id="rId632" Type="http://schemas.openxmlformats.org/officeDocument/2006/relationships/hyperlink" Target="https://sbrownlawyer.com/" TargetMode="External"/><Relationship Id="rId639" Type="http://schemas.openxmlformats.org/officeDocument/2006/relationships/hyperlink" Target="https://sbrownlawyer.com/" TargetMode="External"/><Relationship Id="rId638" Type="http://schemas.openxmlformats.org/officeDocument/2006/relationships/hyperlink" Target="https://sbrownlawyer.com/family-law-attorney-in-galveston/" TargetMode="External"/><Relationship Id="rId637" Type="http://schemas.openxmlformats.org/officeDocument/2006/relationships/hyperlink" Target="https://sbrownlawyer.com/espanol/" TargetMode="External"/><Relationship Id="rId636" Type="http://schemas.openxmlformats.org/officeDocument/2006/relationships/hyperlink" Target="https://sbrownlawyer.com/2024/12/27/understanding-the-naturalization-timeline-for-texas-residents/" TargetMode="External"/><Relationship Id="rId2790" Type="http://schemas.openxmlformats.org/officeDocument/2006/relationships/hyperlink" Target="https://sbrownlawyer.com/falsely-accused/" TargetMode="External"/><Relationship Id="rId1460" Type="http://schemas.openxmlformats.org/officeDocument/2006/relationships/hyperlink" Target="https://sbrownlawyer.com/league-city-complex-and-contested-divorce/" TargetMode="External"/><Relationship Id="rId2791" Type="http://schemas.openxmlformats.org/officeDocument/2006/relationships/hyperlink" Target="https://sbrownlawyer.com/attorneys/" TargetMode="External"/><Relationship Id="rId1461" Type="http://schemas.openxmlformats.org/officeDocument/2006/relationships/hyperlink" Target="https://sbrownlawyer.com/detailing-some-of-texas-important-child-custody-laws/" TargetMode="External"/><Relationship Id="rId2792" Type="http://schemas.openxmlformats.org/officeDocument/2006/relationships/hyperlink" Target="https://sbrownlawyer.com/obscenity/" TargetMode="External"/><Relationship Id="rId631" Type="http://schemas.openxmlformats.org/officeDocument/2006/relationships/hyperlink" Target="https://sbrownlawyer.com/top-military-divorce-lawyer-in-texas/" TargetMode="External"/><Relationship Id="rId1462" Type="http://schemas.openxmlformats.org/officeDocument/2006/relationships/hyperlink" Target="https://sbrownlawyer.com/adoption/" TargetMode="External"/><Relationship Id="rId2793" Type="http://schemas.openxmlformats.org/officeDocument/2006/relationships/hyperlink" Target="https://sbrownlawyer.com/" TargetMode="External"/><Relationship Id="rId630" Type="http://schemas.openxmlformats.org/officeDocument/2006/relationships/hyperlink" Target="https://sbrownlawyer.com/espanol/" TargetMode="External"/><Relationship Id="rId1463" Type="http://schemas.openxmlformats.org/officeDocument/2006/relationships/hyperlink" Target="https://sbrownlawyer.com/attorneys/" TargetMode="External"/><Relationship Id="rId2794" Type="http://schemas.openxmlformats.org/officeDocument/2006/relationships/hyperlink" Target="https://sbrownlawyer.com/" TargetMode="External"/><Relationship Id="rId1464" Type="http://schemas.openxmlformats.org/officeDocument/2006/relationships/hyperlink" Target="https://sbrownlawyer.com/dwi-attorney-in-galveston-county/" TargetMode="External"/><Relationship Id="rId2795" Type="http://schemas.openxmlformats.org/officeDocument/2006/relationships/hyperlink" Target="https://sbrownlawyer.com/angelton-uncontensed-divorce/" TargetMode="External"/><Relationship Id="rId1465" Type="http://schemas.openxmlformats.org/officeDocument/2006/relationships/hyperlink" Target="https://sbrownlawyer.com/modification-of-custody/" TargetMode="External"/><Relationship Id="rId2796" Type="http://schemas.openxmlformats.org/officeDocument/2006/relationships/hyperlink" Target="https://sbrownlawyer.com/assault/" TargetMode="External"/><Relationship Id="rId1411" Type="http://schemas.openxmlformats.org/officeDocument/2006/relationships/hyperlink" Target="https://sbrownlawyer.com/" TargetMode="External"/><Relationship Id="rId2742" Type="http://schemas.openxmlformats.org/officeDocument/2006/relationships/hyperlink" Target="https://sbrownlawyer.com/2021/04/07/reasons-grandparents-can-file-for-custody-of-grandchild-in-texas/" TargetMode="External"/><Relationship Id="rId1412" Type="http://schemas.openxmlformats.org/officeDocument/2006/relationships/hyperlink" Target="https://sbrownlawyer.com/2021/09/20/5-quiet-signs-of-divorce-and-what-to-do-about-it/" TargetMode="External"/><Relationship Id="rId2743" Type="http://schemas.openxmlformats.org/officeDocument/2006/relationships/hyperlink" Target="https://sbrownlawyer.com/" TargetMode="External"/><Relationship Id="rId1413" Type="http://schemas.openxmlformats.org/officeDocument/2006/relationships/hyperlink" Target="https://sbrownlawyer.com/criminal-law/first-offenders/" TargetMode="External"/><Relationship Id="rId2744" Type="http://schemas.openxmlformats.org/officeDocument/2006/relationships/hyperlink" Target="https://sbrownlawyer.com/2020/12/28/what-to-ask-your-family-lawyer-about-your-child-custody-agreement/" TargetMode="External"/><Relationship Id="rId1414" Type="http://schemas.openxmlformats.org/officeDocument/2006/relationships/hyperlink" Target="https://sbrownlawyer.com/galveston-child-custody-lawyer/" TargetMode="External"/><Relationship Id="rId2745" Type="http://schemas.openxmlformats.org/officeDocument/2006/relationships/hyperlink" Target="https://sbrownlawyer.com/sex-crimes/" TargetMode="External"/><Relationship Id="rId1415" Type="http://schemas.openxmlformats.org/officeDocument/2006/relationships/hyperlink" Target="https://sbrownlawyer.com/divorce/" TargetMode="External"/><Relationship Id="rId2746" Type="http://schemas.openxmlformats.org/officeDocument/2006/relationships/hyperlink" Target="https://sbrownlawyer.com/steps-in-settling-your-claim-in-texas/" TargetMode="External"/><Relationship Id="rId1416" Type="http://schemas.openxmlformats.org/officeDocument/2006/relationships/hyperlink" Target="https://sbrownlawyer.com/2022/02/18/can-i-file-legal-separation-on-texas/" TargetMode="External"/><Relationship Id="rId2747" Type="http://schemas.openxmlformats.org/officeDocument/2006/relationships/hyperlink" Target="https://sbrownlawyer.com/attorneys/" TargetMode="External"/><Relationship Id="rId1417" Type="http://schemas.openxmlformats.org/officeDocument/2006/relationships/hyperlink" Target="https://sbrownlawyer.com/2024/09/23/is-leaving-the-scene-of-an-accident-a-felony-in-angleton/" TargetMode="External"/><Relationship Id="rId2748" Type="http://schemas.openxmlformats.org/officeDocument/2006/relationships/hyperlink" Target="https://sbrownlawyer.com/2017/11/21/new-texas-law-bans-texting-while-driving/" TargetMode="External"/><Relationship Id="rId1418" Type="http://schemas.openxmlformats.org/officeDocument/2006/relationships/hyperlink" Target="https://sbrownlawyer.com/" TargetMode="External"/><Relationship Id="rId2749" Type="http://schemas.openxmlformats.org/officeDocument/2006/relationships/hyperlink" Target="https://sbrownlawyer.com/2018/03/26/can-teenagers-get-arrested-for-texting-nude-photos-in-texas/" TargetMode="External"/><Relationship Id="rId1419" Type="http://schemas.openxmlformats.org/officeDocument/2006/relationships/hyperlink" Target="https://sbrownlawyer.com/personal-injury-2/burn-injury/" TargetMode="External"/><Relationship Id="rId2740" Type="http://schemas.openxmlformats.org/officeDocument/2006/relationships/hyperlink" Target="https://sbrownlawyer.com/personal-injury-in-texas/boat-accidents/" TargetMode="External"/><Relationship Id="rId1410" Type="http://schemas.openxmlformats.org/officeDocument/2006/relationships/hyperlink" Target="https://sbrownlawyer.com/detailing-some-of-texas-important-child-custody-laws/" TargetMode="External"/><Relationship Id="rId2741" Type="http://schemas.openxmlformats.org/officeDocument/2006/relationships/hyperlink" Target="https://sbrownlawyer.com/attorneys/" TargetMode="External"/><Relationship Id="rId1400" Type="http://schemas.openxmlformats.org/officeDocument/2006/relationships/hyperlink" Target="https://sbrownlawyer.com/adoption/" TargetMode="External"/><Relationship Id="rId2731" Type="http://schemas.openxmlformats.org/officeDocument/2006/relationships/hyperlink" Target="https://sbrownlawyer.com/" TargetMode="External"/><Relationship Id="rId1401" Type="http://schemas.openxmlformats.org/officeDocument/2006/relationships/hyperlink" Target="https://sbrownlawyer.com/postnuptial-agreements/" TargetMode="External"/><Relationship Id="rId2732" Type="http://schemas.openxmlformats.org/officeDocument/2006/relationships/hyperlink" Target="https://sbrownlawyer.com/brain-injury/" TargetMode="External"/><Relationship Id="rId1402" Type="http://schemas.openxmlformats.org/officeDocument/2006/relationships/hyperlink" Target="https://sbrownlawyer.com/attorneys/" TargetMode="External"/><Relationship Id="rId2733" Type="http://schemas.openxmlformats.org/officeDocument/2006/relationships/hyperlink" Target="https://sbrownlawyer.com/2015/04/17/is-your-ex-spouse-skipping-child-support-with-contract-work/" TargetMode="External"/><Relationship Id="rId1403" Type="http://schemas.openxmlformats.org/officeDocument/2006/relationships/hyperlink" Target="https://sbrownlawyer.com/attorneys/" TargetMode="External"/><Relationship Id="rId2734" Type="http://schemas.openxmlformats.org/officeDocument/2006/relationships/hyperlink" Target="https://sbrownlawyer.com/criminal-law/first-offenders/" TargetMode="External"/><Relationship Id="rId1404" Type="http://schemas.openxmlformats.org/officeDocument/2006/relationships/hyperlink" Target="https://sbrownlawyer.com/child-pornography/" TargetMode="External"/><Relationship Id="rId2735" Type="http://schemas.openxmlformats.org/officeDocument/2006/relationships/hyperlink" Target="https://sbrownlawyer.com/cohabitation/" TargetMode="External"/><Relationship Id="rId1405" Type="http://schemas.openxmlformats.org/officeDocument/2006/relationships/hyperlink" Target="https://sbrownlawyer.com/attorneys/" TargetMode="External"/><Relationship Id="rId2736" Type="http://schemas.openxmlformats.org/officeDocument/2006/relationships/hyperlink" Target="https://sbrownlawyer.com/texas/locations/pearland/" TargetMode="External"/><Relationship Id="rId1406" Type="http://schemas.openxmlformats.org/officeDocument/2006/relationships/hyperlink" Target="https://sbrownlawyer.com/2017/09/15/how-can-an-interlock-ignition-device-help-if-a-dui-causes-a-license-suspension-in-texas/" TargetMode="External"/><Relationship Id="rId2737" Type="http://schemas.openxmlformats.org/officeDocument/2006/relationships/hyperlink" Target="https://sbrownlawyer.com/" TargetMode="External"/><Relationship Id="rId1407" Type="http://schemas.openxmlformats.org/officeDocument/2006/relationships/hyperlink" Target="https://sbrownlawyer.com/attorneys/" TargetMode="External"/><Relationship Id="rId2738" Type="http://schemas.openxmlformats.org/officeDocument/2006/relationships/hyperlink" Target="https://sbrownlawyer.com/espanol/" TargetMode="External"/><Relationship Id="rId1408" Type="http://schemas.openxmlformats.org/officeDocument/2006/relationships/hyperlink" Target="https://sbrownlawyer.com/attorneys/" TargetMode="External"/><Relationship Id="rId2739" Type="http://schemas.openxmlformats.org/officeDocument/2006/relationships/hyperlink" Target="https://sbrownlawyer.com/hit-and-run/" TargetMode="External"/><Relationship Id="rId1409" Type="http://schemas.openxmlformats.org/officeDocument/2006/relationships/hyperlink" Target="https://sbrownlawyer.com/assault/" TargetMode="External"/><Relationship Id="rId2730" Type="http://schemas.openxmlformats.org/officeDocument/2006/relationships/hyperlink" Target="https://sbrownlawyer.com/2019/12/30/can-pedestrian-detection-systems-be-trusted/" TargetMode="External"/><Relationship Id="rId1433" Type="http://schemas.openxmlformats.org/officeDocument/2006/relationships/hyperlink" Target="https://sbrownlawyer.com/premises-liability/" TargetMode="External"/><Relationship Id="rId2764" Type="http://schemas.openxmlformats.org/officeDocument/2006/relationships/hyperlink" Target="https://sbrownlawyer.com/2018/05/15/what-is-medical-support-in-texas/" TargetMode="External"/><Relationship Id="rId1434" Type="http://schemas.openxmlformats.org/officeDocument/2006/relationships/hyperlink" Target="https://sbrownlawyer.com/areas-we-serve/harris-county/pasadena/" TargetMode="External"/><Relationship Id="rId2765" Type="http://schemas.openxmlformats.org/officeDocument/2006/relationships/hyperlink" Target="https://sbrownlawyer.com/" TargetMode="External"/><Relationship Id="rId1435" Type="http://schemas.openxmlformats.org/officeDocument/2006/relationships/hyperlink" Target="https://sbrownlawyer.com/2024/05/28/benefits-of-collaborative-divorce-in-texas/" TargetMode="External"/><Relationship Id="rId2766" Type="http://schemas.openxmlformats.org/officeDocument/2006/relationships/hyperlink" Target="https://sbrownlawyer.com/steps-in-settling-your-claim-in-texas/" TargetMode="External"/><Relationship Id="rId1436" Type="http://schemas.openxmlformats.org/officeDocument/2006/relationships/hyperlink" Target="https://sbrownlawyer.com/" TargetMode="External"/><Relationship Id="rId2767" Type="http://schemas.openxmlformats.org/officeDocument/2006/relationships/hyperlink" Target="https://sbrownlawyer.com/faq/" TargetMode="External"/><Relationship Id="rId1437" Type="http://schemas.openxmlformats.org/officeDocument/2006/relationships/hyperlink" Target="https://sbrownlawyer.com/attorneys/" TargetMode="External"/><Relationship Id="rId2768" Type="http://schemas.openxmlformats.org/officeDocument/2006/relationships/hyperlink" Target="https://sbrownlawyer.com/attorneys/" TargetMode="External"/><Relationship Id="rId1438" Type="http://schemas.openxmlformats.org/officeDocument/2006/relationships/hyperlink" Target="https://sbrownlawyer.com/attorneys/" TargetMode="External"/><Relationship Id="rId2769" Type="http://schemas.openxmlformats.org/officeDocument/2006/relationships/hyperlink" Target="https://sbrownlawyer.com/domestic-violence-attorney/" TargetMode="External"/><Relationship Id="rId1439" Type="http://schemas.openxmlformats.org/officeDocument/2006/relationships/hyperlink" Target="https://sbrownlawyer.com/attorneys/" TargetMode="External"/><Relationship Id="rId609" Type="http://schemas.openxmlformats.org/officeDocument/2006/relationships/hyperlink" Target="https://sbrownlawyer.com/2019/09/15/how-to-fight-a-protective-order/" TargetMode="External"/><Relationship Id="rId608" Type="http://schemas.openxmlformats.org/officeDocument/2006/relationships/hyperlink" Target="https://sbrownlawyer.com/2024/04/24/texas-alimony-am-i-entitled/" TargetMode="External"/><Relationship Id="rId607" Type="http://schemas.openxmlformats.org/officeDocument/2006/relationships/hyperlink" Target="https://sbrownlawyer.com/2014/04/18/no-fault-divorce-covenant-marriage-and-domestic-violence/" TargetMode="External"/><Relationship Id="rId602" Type="http://schemas.openxmlformats.org/officeDocument/2006/relationships/hyperlink" Target="https://sbrownlawyer.com/aggravated-sexual-assault/" TargetMode="External"/><Relationship Id="rId601" Type="http://schemas.openxmlformats.org/officeDocument/2006/relationships/hyperlink" Target="https://sbrownlawyer.com/attorneys/" TargetMode="External"/><Relationship Id="rId600" Type="http://schemas.openxmlformats.org/officeDocument/2006/relationships/hyperlink" Target="https://sbrownlawyer.com/" TargetMode="External"/><Relationship Id="rId606" Type="http://schemas.openxmlformats.org/officeDocument/2006/relationships/hyperlink" Target="https://sbrownlawyer.com/online-solicitation-of-a-minor/" TargetMode="External"/><Relationship Id="rId605" Type="http://schemas.openxmlformats.org/officeDocument/2006/relationships/hyperlink" Target="https://sbrownlawyer.com/" TargetMode="External"/><Relationship Id="rId604" Type="http://schemas.openxmlformats.org/officeDocument/2006/relationships/hyperlink" Target="https://sbrownlawyer.com/how-is-property-divided-in-a-texas-divorce/" TargetMode="External"/><Relationship Id="rId603" Type="http://schemas.openxmlformats.org/officeDocument/2006/relationships/hyperlink" Target="https://sbrownlawyer.com/retirement-accounts/" TargetMode="External"/><Relationship Id="rId2760" Type="http://schemas.openxmlformats.org/officeDocument/2006/relationships/hyperlink" Target="https://sbrownlawyer.com/drug-possession/" TargetMode="External"/><Relationship Id="rId1430" Type="http://schemas.openxmlformats.org/officeDocument/2006/relationships/hyperlink" Target="https://sbrownlawyer.com/attorneys/" TargetMode="External"/><Relationship Id="rId2761" Type="http://schemas.openxmlformats.org/officeDocument/2006/relationships/hyperlink" Target="https://sbrownlawyer.com/2024/04/24/texas-alimony-am-i-entitled/" TargetMode="External"/><Relationship Id="rId1431" Type="http://schemas.openxmlformats.org/officeDocument/2006/relationships/hyperlink" Target="https://sbrownlawyer.com/2021/11/26/child-support-guidelines-in-texas-an-overview/" TargetMode="External"/><Relationship Id="rId2762" Type="http://schemas.openxmlformats.org/officeDocument/2006/relationships/hyperlink" Target="https://sbrownlawyer.com/" TargetMode="External"/><Relationship Id="rId1432" Type="http://schemas.openxmlformats.org/officeDocument/2006/relationships/hyperlink" Target="https://sbrownlawyer.com/" TargetMode="External"/><Relationship Id="rId2763" Type="http://schemas.openxmlformats.org/officeDocument/2006/relationships/hyperlink" Target="https://sbrownlawyer.com/theft-and-shoplifting/aggravated-burglary/" TargetMode="External"/><Relationship Id="rId1422" Type="http://schemas.openxmlformats.org/officeDocument/2006/relationships/hyperlink" Target="https://sbrownlawyer.com/contact/" TargetMode="External"/><Relationship Id="rId2753" Type="http://schemas.openxmlformats.org/officeDocument/2006/relationships/hyperlink" Target="https://sbrownlawyer.com/child-support/" TargetMode="External"/><Relationship Id="rId1423" Type="http://schemas.openxmlformats.org/officeDocument/2006/relationships/hyperlink" Target="https://sbrownlawyer.com/prenuptial-agreements/" TargetMode="External"/><Relationship Id="rId2754" Type="http://schemas.openxmlformats.org/officeDocument/2006/relationships/hyperlink" Target="https://sbrownlawyer.com/pharmaceutical-litigation/" TargetMode="External"/><Relationship Id="rId1424" Type="http://schemas.openxmlformats.org/officeDocument/2006/relationships/hyperlink" Target="https://sbrownlawyer.com/uncontested-divorce-lawyer-in-pearland/" TargetMode="External"/><Relationship Id="rId2755" Type="http://schemas.openxmlformats.org/officeDocument/2006/relationships/hyperlink" Target="https://sbrownlawyer.com/domestic-abuse-and-protective-orders/" TargetMode="External"/><Relationship Id="rId1425" Type="http://schemas.openxmlformats.org/officeDocument/2006/relationships/hyperlink" Target="https://sbrownlawyer.com/protective-services/" TargetMode="External"/><Relationship Id="rId2756" Type="http://schemas.openxmlformats.org/officeDocument/2006/relationships/hyperlink" Target="https://sbrownlawyer.com/" TargetMode="External"/><Relationship Id="rId1426" Type="http://schemas.openxmlformats.org/officeDocument/2006/relationships/hyperlink" Target="https://sbrownlawyer.com/2024/12/27/understanding-the-naturalization-timeline-for-texas-residents/" TargetMode="External"/><Relationship Id="rId2757" Type="http://schemas.openxmlformats.org/officeDocument/2006/relationships/hyperlink" Target="https://sbrownlawyer.com/2020/06/25/partner-abuse-the-many-forms-of-domestic-violence/" TargetMode="External"/><Relationship Id="rId1427" Type="http://schemas.openxmlformats.org/officeDocument/2006/relationships/hyperlink" Target="https://sbrownlawyer.com/firm-overview/" TargetMode="External"/><Relationship Id="rId2758" Type="http://schemas.openxmlformats.org/officeDocument/2006/relationships/hyperlink" Target="https://sbrownlawyer.com/juvenile-crimes/" TargetMode="External"/><Relationship Id="rId1428" Type="http://schemas.openxmlformats.org/officeDocument/2006/relationships/hyperlink" Target="https://sbrownlawyer.com/2024/03/26/grandparent-custody-rights/" TargetMode="External"/><Relationship Id="rId2759" Type="http://schemas.openxmlformats.org/officeDocument/2006/relationships/hyperlink" Target="https://sbrownlawyer.com/2020/05/21/what-happens-if-you-violate-a-restraining-order/" TargetMode="External"/><Relationship Id="rId1429" Type="http://schemas.openxmlformats.org/officeDocument/2006/relationships/hyperlink" Target="https://sbrownlawyer.com/areas-we-serve/galveston-county/" TargetMode="External"/><Relationship Id="rId2750" Type="http://schemas.openxmlformats.org/officeDocument/2006/relationships/hyperlink" Target="https://sbrownlawyer.com/falsely-accused/" TargetMode="External"/><Relationship Id="rId1420" Type="http://schemas.openxmlformats.org/officeDocument/2006/relationships/hyperlink" Target="https://sbrownlawyer.com/texas/locations/pearland/" TargetMode="External"/><Relationship Id="rId2751" Type="http://schemas.openxmlformats.org/officeDocument/2006/relationships/hyperlink" Target="https://sbrownlawyer.com/" TargetMode="External"/><Relationship Id="rId1421" Type="http://schemas.openxmlformats.org/officeDocument/2006/relationships/hyperlink" Target="https://sbrownlawyer.com/2024/12/27/understanding-the-naturalization-timeline-for-texas-residents/" TargetMode="External"/><Relationship Id="rId2752" Type="http://schemas.openxmlformats.org/officeDocument/2006/relationships/hyperlink" Target="https://sbrownlawyer.com/harris-county-criminal-defense/" TargetMode="External"/><Relationship Id="rId699" Type="http://schemas.openxmlformats.org/officeDocument/2006/relationships/hyperlink" Target="https://sbrownlawyer.com/" TargetMode="External"/><Relationship Id="rId698" Type="http://schemas.openxmlformats.org/officeDocument/2006/relationships/hyperlink" Target="https://sbrownlawyer.com/2024/12/27/understanding-the-naturalization-timeline-for-texas-residents/" TargetMode="External"/><Relationship Id="rId693" Type="http://schemas.openxmlformats.org/officeDocument/2006/relationships/hyperlink" Target="https://sbrownlawyer.com/slip-and-fall-accidents/" TargetMode="External"/><Relationship Id="rId692" Type="http://schemas.openxmlformats.org/officeDocument/2006/relationships/hyperlink" Target="https://sbrownlawyer.com/theft-and-shoplifting/" TargetMode="External"/><Relationship Id="rId691" Type="http://schemas.openxmlformats.org/officeDocument/2006/relationships/hyperlink" Target="https://sbrownlawyer.com/2020/03/02/enforcing-a-divorce-decree-everything-you-need-to-know/" TargetMode="External"/><Relationship Id="rId690" Type="http://schemas.openxmlformats.org/officeDocument/2006/relationships/hyperlink" Target="https://sbrownlawyer.com/pearland-immigration-lawyer/" TargetMode="External"/><Relationship Id="rId697" Type="http://schemas.openxmlformats.org/officeDocument/2006/relationships/hyperlink" Target="https://sbrownlawyer.com/attorneys/" TargetMode="External"/><Relationship Id="rId696" Type="http://schemas.openxmlformats.org/officeDocument/2006/relationships/hyperlink" Target="https://sbrownlawyer.com/top-military-divorce-lawyer-in-texas/" TargetMode="External"/><Relationship Id="rId695" Type="http://schemas.openxmlformats.org/officeDocument/2006/relationships/hyperlink" Target="https://sbrownlawyer.com/retirement-accounts/" TargetMode="External"/><Relationship Id="rId694" Type="http://schemas.openxmlformats.org/officeDocument/2006/relationships/hyperlink" Target="https://sbrownlawyer.com/2015/02/20/child-support-rights-of-grandparents-with-custody-of-a-grandchild/" TargetMode="External"/><Relationship Id="rId1499" Type="http://schemas.openxmlformats.org/officeDocument/2006/relationships/hyperlink" Target="https://sbrownlawyer.com/slip-and-fall-accidents/" TargetMode="External"/><Relationship Id="rId668" Type="http://schemas.openxmlformats.org/officeDocument/2006/relationships/hyperlink" Target="https://sbrownlawyer.com/2024/12/27/understanding-the-naturalization-timeline-for-texas-residents/" TargetMode="External"/><Relationship Id="rId667" Type="http://schemas.openxmlformats.org/officeDocument/2006/relationships/hyperlink" Target="https://sbrownlawyer.com/2024/12/27/understanding-the-naturalization-timeline-for-texas-residents/" TargetMode="External"/><Relationship Id="rId666" Type="http://schemas.openxmlformats.org/officeDocument/2006/relationships/hyperlink" Target="https://sbrownlawyer.com/texas/locations/pearland/" TargetMode="External"/><Relationship Id="rId665" Type="http://schemas.openxmlformats.org/officeDocument/2006/relationships/hyperlink" Target="https://sbrownlawyer.com/2024/12/27/understanding-the-naturalization-timeline-for-texas-residents/" TargetMode="External"/><Relationship Id="rId669" Type="http://schemas.openxmlformats.org/officeDocument/2006/relationships/hyperlink" Target="https://sbrownlawyer.com/attorneys/" TargetMode="External"/><Relationship Id="rId1490" Type="http://schemas.openxmlformats.org/officeDocument/2006/relationships/hyperlink" Target="https://sbrownlawyer.com/2018/04/06/can-you-adopt-a-child-in-texas-without-the-biological-fathers-consent/" TargetMode="External"/><Relationship Id="rId660" Type="http://schemas.openxmlformats.org/officeDocument/2006/relationships/hyperlink" Target="https://sbrownlawyer.com/attorneys/" TargetMode="External"/><Relationship Id="rId1491" Type="http://schemas.openxmlformats.org/officeDocument/2006/relationships/hyperlink" Target="https://sbrownlawyer.com/when-alcohol-becomes-a-factor-in-divorce-proceedings/" TargetMode="External"/><Relationship Id="rId1492" Type="http://schemas.openxmlformats.org/officeDocument/2006/relationships/hyperlink" Target="https://sbrownlawyer.com/" TargetMode="External"/><Relationship Id="rId1493" Type="http://schemas.openxmlformats.org/officeDocument/2006/relationships/hyperlink" Target="https://sbrownlawyer.com/protective-services/" TargetMode="External"/><Relationship Id="rId1494" Type="http://schemas.openxmlformats.org/officeDocument/2006/relationships/hyperlink" Target="https://sbrownlawyer.com/divorce-lawyer-in-galveston-county/" TargetMode="External"/><Relationship Id="rId664" Type="http://schemas.openxmlformats.org/officeDocument/2006/relationships/hyperlink" Target="https://sbrownlawyer.com/2024/04/24/texas-alimony-am-i-entitled/" TargetMode="External"/><Relationship Id="rId1495" Type="http://schemas.openxmlformats.org/officeDocument/2006/relationships/hyperlink" Target="https://sbrownlawyer.com/attorneys/" TargetMode="External"/><Relationship Id="rId663" Type="http://schemas.openxmlformats.org/officeDocument/2006/relationships/hyperlink" Target="https://sbrownlawyer.com/" TargetMode="External"/><Relationship Id="rId1496" Type="http://schemas.openxmlformats.org/officeDocument/2006/relationships/hyperlink" Target="https://sbrownlawyer.com/attorneys/" TargetMode="External"/><Relationship Id="rId662" Type="http://schemas.openxmlformats.org/officeDocument/2006/relationships/hyperlink" Target="https://sbrownlawyer.com/title-ix-defense-campus-sexual-assault/" TargetMode="External"/><Relationship Id="rId1497" Type="http://schemas.openxmlformats.org/officeDocument/2006/relationships/hyperlink" Target="https://sbrownlawyer.com/2021/03/15/who-qualifies-for-a-temporary-protective-order-in-texas-and-other-frequently-asked-questions/" TargetMode="External"/><Relationship Id="rId661" Type="http://schemas.openxmlformats.org/officeDocument/2006/relationships/hyperlink" Target="https://sbrownlawyer.com/2019/10/08/can-you-sue-a-partner-that-infected-you-with-an-std/" TargetMode="External"/><Relationship Id="rId1498" Type="http://schemas.openxmlformats.org/officeDocument/2006/relationships/hyperlink" Target="https://sbrownlawyer.com/personal-injury-2/burn-injury/" TargetMode="External"/><Relationship Id="rId1488" Type="http://schemas.openxmlformats.org/officeDocument/2006/relationships/hyperlink" Target="https://sbrownlawyer.com/detailing-some-of-texas-important-child-custody-laws/" TargetMode="External"/><Relationship Id="rId1489" Type="http://schemas.openxmlformats.org/officeDocument/2006/relationships/hyperlink" Target="https://sbrownlawyer.com/" TargetMode="External"/><Relationship Id="rId657" Type="http://schemas.openxmlformats.org/officeDocument/2006/relationships/hyperlink" Target="https://sbrownlawyer.com/asset-division/" TargetMode="External"/><Relationship Id="rId656" Type="http://schemas.openxmlformats.org/officeDocument/2006/relationships/hyperlink" Target="https://sbrownlawyer.com/galveston-truck-accident-lawyer/" TargetMode="External"/><Relationship Id="rId655" Type="http://schemas.openxmlformats.org/officeDocument/2006/relationships/hyperlink" Target="https://sbrownlawyer.com/2024/12/27/understanding-the-naturalization-timeline-for-texas-residents/" TargetMode="External"/><Relationship Id="rId654" Type="http://schemas.openxmlformats.org/officeDocument/2006/relationships/hyperlink" Target="https://sbrownlawyer.com/dwi/" TargetMode="External"/><Relationship Id="rId659" Type="http://schemas.openxmlformats.org/officeDocument/2006/relationships/hyperlink" Target="https://sbrownlawyer.com/2024/12/27/understanding-the-naturalization-timeline-for-texas-residents/" TargetMode="External"/><Relationship Id="rId658" Type="http://schemas.openxmlformats.org/officeDocument/2006/relationships/hyperlink" Target="https://sbrownlawyer.com/oil-and-mineral-rights/" TargetMode="External"/><Relationship Id="rId1480" Type="http://schemas.openxmlformats.org/officeDocument/2006/relationships/hyperlink" Target="https://sbrownlawyer.com/espanol/defensa-criminal/" TargetMode="External"/><Relationship Id="rId1481" Type="http://schemas.openxmlformats.org/officeDocument/2006/relationships/hyperlink" Target="https://sbrownlawyer.com/2020/10/29/how-to-tell-if-youre-too-drunk-to-drive-and-how-to-prevent-yourself-from-becoming-a-drunk-driver/" TargetMode="External"/><Relationship Id="rId1482" Type="http://schemas.openxmlformats.org/officeDocument/2006/relationships/hyperlink" Target="https://sbrownlawyer.com/spinal-cord-injury/" TargetMode="External"/><Relationship Id="rId1483" Type="http://schemas.openxmlformats.org/officeDocument/2006/relationships/hyperlink" Target="https://sbrownlawyer.com/2018/01/28/silencers-are-not-prohibited-weapons/" TargetMode="External"/><Relationship Id="rId653" Type="http://schemas.openxmlformats.org/officeDocument/2006/relationships/hyperlink" Target="https://sbrownlawyer.com/2024/09/23/is-leaving-the-scene-of-an-accident-a-felony-in-angleton/" TargetMode="External"/><Relationship Id="rId1484" Type="http://schemas.openxmlformats.org/officeDocument/2006/relationships/hyperlink" Target="https://sbrownlawyer.com/2018/04/12/do-you-need-uninsured-motorist-auto-insurance-coverage-in-texas/" TargetMode="External"/><Relationship Id="rId652" Type="http://schemas.openxmlformats.org/officeDocument/2006/relationships/hyperlink" Target="https://sbrownlawyer.com/2020/06/16/accepting-divorce-our-advice-for-overcoming-grief-and-frustration/" TargetMode="External"/><Relationship Id="rId1485" Type="http://schemas.openxmlformats.org/officeDocument/2006/relationships/hyperlink" Target="https://sbrownlawyer.com/do-not-blow/" TargetMode="External"/><Relationship Id="rId651" Type="http://schemas.openxmlformats.org/officeDocument/2006/relationships/hyperlink" Target="https://sbrownlawyer.com/2024/12/27/understanding-the-naturalization-timeline-for-texas-residents/" TargetMode="External"/><Relationship Id="rId1486" Type="http://schemas.openxmlformats.org/officeDocument/2006/relationships/hyperlink" Target="https://sbrownlawyer.com/texas/locations/pearland/" TargetMode="External"/><Relationship Id="rId650" Type="http://schemas.openxmlformats.org/officeDocument/2006/relationships/hyperlink" Target="https://sbrownlawyer.com/attorneys/" TargetMode="External"/><Relationship Id="rId1487" Type="http://schemas.openxmlformats.org/officeDocument/2006/relationships/hyperlink" Target="https://sbrownlawyer.com/protective-services/" TargetMode="External"/><Relationship Id="rId3216" Type="http://schemas.openxmlformats.org/officeDocument/2006/relationships/hyperlink" Target="https://sbrownlawyer.com/2018/05/15/what-is-medical-support-in-texas/" TargetMode="External"/><Relationship Id="rId3215" Type="http://schemas.openxmlformats.org/officeDocument/2006/relationships/hyperlink" Target="https://sbrownlawyer.com/2023/01/25/private-property-police-search-in-texas/" TargetMode="External"/><Relationship Id="rId3218" Type="http://schemas.openxmlformats.org/officeDocument/2006/relationships/drawing" Target="../drawings/drawing13.xml"/><Relationship Id="rId3217" Type="http://schemas.openxmlformats.org/officeDocument/2006/relationships/hyperlink" Target="https://sbrownlawyer.com/2020/05/21/what-happens-if-you-violate-a-restraining-order/" TargetMode="External"/><Relationship Id="rId689" Type="http://schemas.openxmlformats.org/officeDocument/2006/relationships/hyperlink" Target="https://sbrownlawyer.com/2019/09/15/how-to-fight-a-protective-order/" TargetMode="External"/><Relationship Id="rId688" Type="http://schemas.openxmlformats.org/officeDocument/2006/relationships/hyperlink" Target="https://sbrownlawyer.com/2020/01/14/how-texas-defines-child-abuse/" TargetMode="External"/><Relationship Id="rId687" Type="http://schemas.openxmlformats.org/officeDocument/2006/relationships/hyperlink" Target="https://sbrownlawyer.com/texas/locations/league-city/" TargetMode="External"/><Relationship Id="rId682" Type="http://schemas.openxmlformats.org/officeDocument/2006/relationships/hyperlink" Target="https://sbrownlawyer.com/areas-we-serve/fort-bend-county/" TargetMode="External"/><Relationship Id="rId681" Type="http://schemas.openxmlformats.org/officeDocument/2006/relationships/hyperlink" Target="https://sbrownlawyer.com/2018/01/28/silencers-are-not-prohibited-weapons/" TargetMode="External"/><Relationship Id="rId680" Type="http://schemas.openxmlformats.org/officeDocument/2006/relationships/hyperlink" Target="https://sbrownlawyer.com/modification-of-custody/" TargetMode="External"/><Relationship Id="rId3210" Type="http://schemas.openxmlformats.org/officeDocument/2006/relationships/hyperlink" Target="https://sbrownlawyer.com/" TargetMode="External"/><Relationship Id="rId686" Type="http://schemas.openxmlformats.org/officeDocument/2006/relationships/hyperlink" Target="https://sbrownlawyer.com/2020/03/02/enforcing-a-divorce-decree-everything-you-need-to-know/" TargetMode="External"/><Relationship Id="rId3212" Type="http://schemas.openxmlformats.org/officeDocument/2006/relationships/hyperlink" Target="https://sbrownlawyer.com/galveston-juvenile-crimes-attorney/" TargetMode="External"/><Relationship Id="rId685" Type="http://schemas.openxmlformats.org/officeDocument/2006/relationships/hyperlink" Target="https://sbrownlawyer.com/dwi-attorney-in-galveston-county/" TargetMode="External"/><Relationship Id="rId3211" Type="http://schemas.openxmlformats.org/officeDocument/2006/relationships/hyperlink" Target="https://sbrownlawyer.com/2020/10/29/how-to-tell-if-youre-too-drunk-to-drive-and-how-to-prevent-yourself-from-becoming-a-drunk-driver/" TargetMode="External"/><Relationship Id="rId684" Type="http://schemas.openxmlformats.org/officeDocument/2006/relationships/hyperlink" Target="https://sbrownlawyer.com/2024/12/27/understanding-the-naturalization-timeline-for-texas-residents/" TargetMode="External"/><Relationship Id="rId3214" Type="http://schemas.openxmlformats.org/officeDocument/2006/relationships/hyperlink" Target="https://sbrownlawyer.com/restraining-orders/" TargetMode="External"/><Relationship Id="rId683" Type="http://schemas.openxmlformats.org/officeDocument/2006/relationships/hyperlink" Target="https://sbrownlawyer.com/2020/03/02/enforcing-a-divorce-decree-everything-you-need-to-know/" TargetMode="External"/><Relationship Id="rId3213" Type="http://schemas.openxmlformats.org/officeDocument/2006/relationships/hyperlink" Target="https://sbrownlawyer.com/areas-we-serve/fort-bend-county/" TargetMode="External"/><Relationship Id="rId3205" Type="http://schemas.openxmlformats.org/officeDocument/2006/relationships/hyperlink" Target="https://sbrownlawyer.com/family-law-attorney-in-galveston/" TargetMode="External"/><Relationship Id="rId3204" Type="http://schemas.openxmlformats.org/officeDocument/2006/relationships/hyperlink" Target="https://sbrownlawyer.com/2016/01/22/what-are-the-penalties-for-violating-a-protective-order/" TargetMode="External"/><Relationship Id="rId3207" Type="http://schemas.openxmlformats.org/officeDocument/2006/relationships/hyperlink" Target="https://sbrownlawyer.com/personal-injury-2/tbi/" TargetMode="External"/><Relationship Id="rId3206" Type="http://schemas.openxmlformats.org/officeDocument/2006/relationships/hyperlink" Target="https://sbrownlawyer.com/2024/12/27/understanding-the-naturalization-timeline-for-texas-residents/" TargetMode="External"/><Relationship Id="rId3209" Type="http://schemas.openxmlformats.org/officeDocument/2006/relationships/hyperlink" Target="https://sbrownlawyer.com/2018/09/24/what-rights-do-fathers-have-in-texas/" TargetMode="External"/><Relationship Id="rId3208" Type="http://schemas.openxmlformats.org/officeDocument/2006/relationships/hyperlink" Target="https://sbrownlawyer.com/2018/04/17/statutory-rape-age-of-consent-in-texas-how-old-is-too-old/" TargetMode="External"/><Relationship Id="rId679" Type="http://schemas.openxmlformats.org/officeDocument/2006/relationships/hyperlink" Target="https://sbrownlawyer.com/harris-county-family-law/" TargetMode="External"/><Relationship Id="rId678" Type="http://schemas.openxmlformats.org/officeDocument/2006/relationships/hyperlink" Target="https://sbrownlawyer.com/2024/03/20/texas-child-support-2024/" TargetMode="External"/><Relationship Id="rId677" Type="http://schemas.openxmlformats.org/officeDocument/2006/relationships/hyperlink" Target="https://sbrownlawyer.com/texas/locations/" TargetMode="External"/><Relationship Id="rId676" Type="http://schemas.openxmlformats.org/officeDocument/2006/relationships/hyperlink" Target="https://sbrownlawyer.com/top-military-divorce-lawyer-in-texas/" TargetMode="External"/><Relationship Id="rId671" Type="http://schemas.openxmlformats.org/officeDocument/2006/relationships/hyperlink" Target="https://sbrownlawyer.com/league-city-child-custody-attorneys/" TargetMode="External"/><Relationship Id="rId670" Type="http://schemas.openxmlformats.org/officeDocument/2006/relationships/hyperlink" Target="https://sbrownlawyer.com/2024/04/24/texas-alimony-am-i-entitled/" TargetMode="External"/><Relationship Id="rId675" Type="http://schemas.openxmlformats.org/officeDocument/2006/relationships/hyperlink" Target="https://sbrownlawyer.com/2024/12/27/understanding-the-naturalization-timeline-for-texas-residents/" TargetMode="External"/><Relationship Id="rId3201" Type="http://schemas.openxmlformats.org/officeDocument/2006/relationships/hyperlink" Target="https://sbrownlawyer.com/2024/08/20/no-fault-divorce-vs-fault-divorce-angleton-texas/" TargetMode="External"/><Relationship Id="rId674" Type="http://schemas.openxmlformats.org/officeDocument/2006/relationships/hyperlink" Target="https://sbrownlawyer.com/dr-divorce/" TargetMode="External"/><Relationship Id="rId3200" Type="http://schemas.openxmlformats.org/officeDocument/2006/relationships/hyperlink" Target="https://sbrownlawyer.com/2021/02/28/what-happens-after-a-second-and-third-dwi-in-texas/" TargetMode="External"/><Relationship Id="rId673" Type="http://schemas.openxmlformats.org/officeDocument/2006/relationships/hyperlink" Target="https://sbrownlawyer.com/2024/07/04/expungement-vs-sealing-what-is-the-best-option/" TargetMode="External"/><Relationship Id="rId3203" Type="http://schemas.openxmlformats.org/officeDocument/2006/relationships/hyperlink" Target="https://sbrownlawyer.com/attorneys/" TargetMode="External"/><Relationship Id="rId672" Type="http://schemas.openxmlformats.org/officeDocument/2006/relationships/hyperlink" Target="https://sbrownlawyer.com/brazoria-county-dwi-lawyer/" TargetMode="External"/><Relationship Id="rId3202" Type="http://schemas.openxmlformats.org/officeDocument/2006/relationships/hyperlink" Target="https://sbrownlawyer.com/pharmaceutical-litigation/" TargetMode="External"/><Relationship Id="rId190" Type="http://schemas.openxmlformats.org/officeDocument/2006/relationships/hyperlink" Target="https://sbrownlawyer.com/" TargetMode="External"/><Relationship Id="rId194" Type="http://schemas.openxmlformats.org/officeDocument/2006/relationships/hyperlink" Target="https://sbrownlawyer.com/texas/locations/league-city/" TargetMode="External"/><Relationship Id="rId193" Type="http://schemas.openxmlformats.org/officeDocument/2006/relationships/hyperlink" Target="https://sbrownlawyer.com/" TargetMode="External"/><Relationship Id="rId192" Type="http://schemas.openxmlformats.org/officeDocument/2006/relationships/hyperlink" Target="https://sbrownlawyer.com/criminal-law/indecent-exposure/" TargetMode="External"/><Relationship Id="rId191" Type="http://schemas.openxmlformats.org/officeDocument/2006/relationships/hyperlink" Target="https://sbrownlawyer.com/2024/04/24/texas-alimony-am-i-entitled/" TargetMode="External"/><Relationship Id="rId187" Type="http://schemas.openxmlformats.org/officeDocument/2006/relationships/hyperlink" Target="https://sbrownlawyer.com/" TargetMode="External"/><Relationship Id="rId186" Type="http://schemas.openxmlformats.org/officeDocument/2006/relationships/hyperlink" Target="https://sbrownlawyer.com/2024/12/27/understanding-the-naturalization-timeline-for-texas-residents/" TargetMode="External"/><Relationship Id="rId185" Type="http://schemas.openxmlformats.org/officeDocument/2006/relationships/hyperlink" Target="https://sbrownlawyer.com/scott-m-brown/" TargetMode="External"/><Relationship Id="rId184" Type="http://schemas.openxmlformats.org/officeDocument/2006/relationships/hyperlink" Target="https://sbrownlawyer.com/scott-m-brown/" TargetMode="External"/><Relationship Id="rId189" Type="http://schemas.openxmlformats.org/officeDocument/2006/relationships/hyperlink" Target="https://sbrownlawyer.com/2024/03/20/texas-child-support-2024/" TargetMode="External"/><Relationship Id="rId188" Type="http://schemas.openxmlformats.org/officeDocument/2006/relationships/hyperlink" Target="https://sbrownlawyer.com/2024/04/24/texas-alimony-am-i-entitled/" TargetMode="External"/><Relationship Id="rId183" Type="http://schemas.openxmlformats.org/officeDocument/2006/relationships/hyperlink" Target="https://sbrownlawyer.com/" TargetMode="External"/><Relationship Id="rId182" Type="http://schemas.openxmlformats.org/officeDocument/2006/relationships/hyperlink" Target="https://sbrownlawyer.com/" TargetMode="External"/><Relationship Id="rId181" Type="http://schemas.openxmlformats.org/officeDocument/2006/relationships/hyperlink" Target="https://sbrownlawyer.com/2024/03/20/texas-child-support-2024/" TargetMode="External"/><Relationship Id="rId180" Type="http://schemas.openxmlformats.org/officeDocument/2006/relationships/hyperlink" Target="https://sbrownlawyer.com/2024/03/20/texas-child-support-2024/" TargetMode="External"/><Relationship Id="rId176" Type="http://schemas.openxmlformats.org/officeDocument/2006/relationships/hyperlink" Target="https://sbrownlawyer.com/2024/04/24/texas-alimony-am-i-entitled/" TargetMode="External"/><Relationship Id="rId175" Type="http://schemas.openxmlformats.org/officeDocument/2006/relationships/hyperlink" Target="https://sbrownlawyer.com/" TargetMode="External"/><Relationship Id="rId174" Type="http://schemas.openxmlformats.org/officeDocument/2006/relationships/hyperlink" Target="https://sbrownlawyer.com/" TargetMode="External"/><Relationship Id="rId173" Type="http://schemas.openxmlformats.org/officeDocument/2006/relationships/hyperlink" Target="https://sbrownlawyer.com/criminal-law/indecent-exposure/" TargetMode="External"/><Relationship Id="rId179" Type="http://schemas.openxmlformats.org/officeDocument/2006/relationships/hyperlink" Target="https://sbrownlawyer.com/2014/06/20/lopez-anthony-divorce-has-interesting-child-custody-agreement/" TargetMode="External"/><Relationship Id="rId178" Type="http://schemas.openxmlformats.org/officeDocument/2006/relationships/hyperlink" Target="https://sbrownlawyer.com/2020/10/29/how-to-tell-if-youre-too-drunk-to-drive-and-how-to-prevent-yourself-from-becoming-a-drunk-driver/" TargetMode="External"/><Relationship Id="rId177" Type="http://schemas.openxmlformats.org/officeDocument/2006/relationships/hyperlink" Target="https://sbrownlawyer.com/2014/06/20/lopez-anthony-divorce-has-interesting-child-custody-agreement/" TargetMode="External"/><Relationship Id="rId198" Type="http://schemas.openxmlformats.org/officeDocument/2006/relationships/hyperlink" Target="https://sbrownlawyer.com/texas/locations/angleton/?utm_campaign=gmbangleton" TargetMode="External"/><Relationship Id="rId197" Type="http://schemas.openxmlformats.org/officeDocument/2006/relationships/hyperlink" Target="https://sbrownlawyer.com/texas/locations/pearland/?utm_campaign=gmbpearland" TargetMode="External"/><Relationship Id="rId196" Type="http://schemas.openxmlformats.org/officeDocument/2006/relationships/hyperlink" Target="https://sbrownlawyer.com/texas/locations/league-city/?utm_campaign=gmbleaguecity" TargetMode="External"/><Relationship Id="rId195" Type="http://schemas.openxmlformats.org/officeDocument/2006/relationships/hyperlink" Target="https://sbrownlawyer.com/" TargetMode="External"/><Relationship Id="rId199" Type="http://schemas.openxmlformats.org/officeDocument/2006/relationships/hyperlink" Target="https://sbrownlawyer.com/" TargetMode="External"/><Relationship Id="rId150" Type="http://schemas.openxmlformats.org/officeDocument/2006/relationships/hyperlink" Target="https://sbrownlawyer.com/2024/03/20/texas-child-support-2024/" TargetMode="External"/><Relationship Id="rId149" Type="http://schemas.openxmlformats.org/officeDocument/2006/relationships/hyperlink" Target="https://sbrownlawyer.com/2024/04/24/texas-alimony-am-i-entitled/" TargetMode="External"/><Relationship Id="rId148" Type="http://schemas.openxmlformats.org/officeDocument/2006/relationships/hyperlink" Target="https://sbrownlawyer.com/2024/04/24/texas-alimony-am-i-entitled/" TargetMode="External"/><Relationship Id="rId143" Type="http://schemas.openxmlformats.org/officeDocument/2006/relationships/hyperlink" Target="https://sbrownlawyer.com/criminal-law/indecent-exposure/" TargetMode="External"/><Relationship Id="rId142" Type="http://schemas.openxmlformats.org/officeDocument/2006/relationships/hyperlink" Target="https://sbrownlawyer.com/criminal-law/indecent-exposure/" TargetMode="External"/><Relationship Id="rId141" Type="http://schemas.openxmlformats.org/officeDocument/2006/relationships/hyperlink" Target="https://sbrownlawyer.com/2024/03/20/texas-child-support-2024/" TargetMode="External"/><Relationship Id="rId140" Type="http://schemas.openxmlformats.org/officeDocument/2006/relationships/hyperlink" Target="https://sbrownlawyer.com/2020/10/29/how-to-tell-if-youre-too-drunk-to-drive-and-how-to-prevent-yourself-from-becoming-a-drunk-driver/" TargetMode="External"/><Relationship Id="rId147" Type="http://schemas.openxmlformats.org/officeDocument/2006/relationships/hyperlink" Target="https://sbrownlawyer.com/texas/locations/angleton/?utm_campaign=gmbangleton" TargetMode="External"/><Relationship Id="rId146" Type="http://schemas.openxmlformats.org/officeDocument/2006/relationships/hyperlink" Target="https://sbrownlawyer.com/texas/locations/angleton/?utm_campaign=gmbangleton" TargetMode="External"/><Relationship Id="rId145" Type="http://schemas.openxmlformats.org/officeDocument/2006/relationships/hyperlink" Target="https://sbrownlawyer.com/texas/locations/angleton/?utm_campaign=gmbangleton" TargetMode="External"/><Relationship Id="rId144" Type="http://schemas.openxmlformats.org/officeDocument/2006/relationships/hyperlink" Target="https://sbrownlawyer.com/2023/01/25/private-property-police-search-in-texas/" TargetMode="External"/><Relationship Id="rId139" Type="http://schemas.openxmlformats.org/officeDocument/2006/relationships/hyperlink" Target="https://sbrownlawyer.com/2020/10/29/how-to-tell-if-youre-too-drunk-to-drive-and-how-to-prevent-yourself-from-becoming-a-drunk-driver/" TargetMode="External"/><Relationship Id="rId138" Type="http://schemas.openxmlformats.org/officeDocument/2006/relationships/hyperlink" Target="https://sbrownlawyer.com/2024/12/27/understanding-the-naturalization-timeline-for-texas-residents/" TargetMode="External"/><Relationship Id="rId137" Type="http://schemas.openxmlformats.org/officeDocument/2006/relationships/hyperlink" Target="https://sbrownlawyer.com/criminal-law/indecent-exposure/" TargetMode="External"/><Relationship Id="rId132" Type="http://schemas.openxmlformats.org/officeDocument/2006/relationships/hyperlink" Target="https://sbrownlawyer.com/criminal-law/indecent-exposure/" TargetMode="External"/><Relationship Id="rId131" Type="http://schemas.openxmlformats.org/officeDocument/2006/relationships/hyperlink" Target="https://sbrownlawyer.com/criminal-law/indecent-exposure/" TargetMode="External"/><Relationship Id="rId130" Type="http://schemas.openxmlformats.org/officeDocument/2006/relationships/hyperlink" Target="https://sbrownlawyer.com/2024/12/27/understanding-the-naturalization-timeline-for-texas-residents/" TargetMode="External"/><Relationship Id="rId136" Type="http://schemas.openxmlformats.org/officeDocument/2006/relationships/hyperlink" Target="https://sbrownlawyer.com/criminal-law/indecent-exposure/" TargetMode="External"/><Relationship Id="rId135" Type="http://schemas.openxmlformats.org/officeDocument/2006/relationships/hyperlink" Target="https://sbrownlawyer.com/2024/03/20/texas-child-support-2024/" TargetMode="External"/><Relationship Id="rId134" Type="http://schemas.openxmlformats.org/officeDocument/2006/relationships/hyperlink" Target="https://sbrownlawyer.com/2024/03/20/texas-child-support-2024/" TargetMode="External"/><Relationship Id="rId133" Type="http://schemas.openxmlformats.org/officeDocument/2006/relationships/hyperlink" Target="https://sbrownlawyer.com/2013/10/21/who-gets-the-wedding-ring-in-the-event-of-a-breakup/" TargetMode="External"/><Relationship Id="rId172" Type="http://schemas.openxmlformats.org/officeDocument/2006/relationships/hyperlink" Target="https://sbrownlawyer.com/scott-m-brown/" TargetMode="External"/><Relationship Id="rId171" Type="http://schemas.openxmlformats.org/officeDocument/2006/relationships/hyperlink" Target="https://sbrownlawyer.com/2024/12/27/understanding-the-naturalization-timeline-for-texas-residents/" TargetMode="External"/><Relationship Id="rId170" Type="http://schemas.openxmlformats.org/officeDocument/2006/relationships/hyperlink" Target="https://sbrownlawyer.com/" TargetMode="External"/><Relationship Id="rId165" Type="http://schemas.openxmlformats.org/officeDocument/2006/relationships/hyperlink" Target="https://sbrownlawyer.com/" TargetMode="External"/><Relationship Id="rId164" Type="http://schemas.openxmlformats.org/officeDocument/2006/relationships/hyperlink" Target="https://sbrownlawyer.com/criminal-law/first-offenders/" TargetMode="External"/><Relationship Id="rId163" Type="http://schemas.openxmlformats.org/officeDocument/2006/relationships/hyperlink" Target="https://sbrownlawyer.com/2014/06/20/lopez-anthony-divorce-has-interesting-child-custody-agreement/" TargetMode="External"/><Relationship Id="rId162" Type="http://schemas.openxmlformats.org/officeDocument/2006/relationships/hyperlink" Target="https://sbrownlawyer.com/2014/06/20/lopez-anthony-divorce-has-interesting-child-custody-agreement/" TargetMode="External"/><Relationship Id="rId169" Type="http://schemas.openxmlformats.org/officeDocument/2006/relationships/hyperlink" Target="https://sbrownlawyer.com/" TargetMode="External"/><Relationship Id="rId168" Type="http://schemas.openxmlformats.org/officeDocument/2006/relationships/hyperlink" Target="https://sbrownlawyer.com/" TargetMode="External"/><Relationship Id="rId167" Type="http://schemas.openxmlformats.org/officeDocument/2006/relationships/hyperlink" Target="https://sbrownlawyer.com/ryan-r-putz/" TargetMode="External"/><Relationship Id="rId166" Type="http://schemas.openxmlformats.org/officeDocument/2006/relationships/hyperlink" Target="https://sbrownlawyer.com/2024/03/20/texas-child-support-2024/" TargetMode="External"/><Relationship Id="rId161" Type="http://schemas.openxmlformats.org/officeDocument/2006/relationships/hyperlink" Target="https://sbrownlawyer.com/criminal-law/first-offenders/" TargetMode="External"/><Relationship Id="rId160" Type="http://schemas.openxmlformats.org/officeDocument/2006/relationships/hyperlink" Target="https://sbrownlawyer.com/2020/10/29/how-to-tell-if-youre-too-drunk-to-drive-and-how-to-prevent-yourself-from-becoming-a-drunk-driver/" TargetMode="External"/><Relationship Id="rId159" Type="http://schemas.openxmlformats.org/officeDocument/2006/relationships/hyperlink" Target="https://sbrownlawyer.com/2024/12/27/understanding-the-naturalization-timeline-for-texas-residents/" TargetMode="External"/><Relationship Id="rId154" Type="http://schemas.openxmlformats.org/officeDocument/2006/relationships/hyperlink" Target="https://sbrownlawyer.com/neck-injury/" TargetMode="External"/><Relationship Id="rId153" Type="http://schemas.openxmlformats.org/officeDocument/2006/relationships/hyperlink" Target="https://sbrownlawyer.com/2024/12/27/understanding-the-naturalization-timeline-for-texas-residents/" TargetMode="External"/><Relationship Id="rId152" Type="http://schemas.openxmlformats.org/officeDocument/2006/relationships/hyperlink" Target="https://sbrownlawyer.com/2024/12/27/understanding-the-naturalization-timeline-for-texas-residents/" TargetMode="External"/><Relationship Id="rId151" Type="http://schemas.openxmlformats.org/officeDocument/2006/relationships/hyperlink" Target="https://sbrownlawyer.com/reckless-driving/" TargetMode="External"/><Relationship Id="rId158" Type="http://schemas.openxmlformats.org/officeDocument/2006/relationships/hyperlink" Target="https://sbrownlawyer.com/reckless-driving/" TargetMode="External"/><Relationship Id="rId157" Type="http://schemas.openxmlformats.org/officeDocument/2006/relationships/hyperlink" Target="https://sbrownlawyer.com/2024/04/24/texas-alimony-am-i-entitled/" TargetMode="External"/><Relationship Id="rId156" Type="http://schemas.openxmlformats.org/officeDocument/2006/relationships/hyperlink" Target="https://sbrownlawyer.com/2024/12/27/understanding-the-naturalization-timeline-for-texas-residents/" TargetMode="External"/><Relationship Id="rId155" Type="http://schemas.openxmlformats.org/officeDocument/2006/relationships/hyperlink" Target="https://sbrownlawyer.com/2024/05/28/impact-of-a-criminal-record-on-child-custody-cases/" TargetMode="External"/><Relationship Id="rId2820" Type="http://schemas.openxmlformats.org/officeDocument/2006/relationships/hyperlink" Target="https://sbrownlawyer.com/drug-crimes/" TargetMode="External"/><Relationship Id="rId2821" Type="http://schemas.openxmlformats.org/officeDocument/2006/relationships/hyperlink" Target="https://sbrownlawyer.com/date-rape/" TargetMode="External"/><Relationship Id="rId2822" Type="http://schemas.openxmlformats.org/officeDocument/2006/relationships/hyperlink" Target="https://sbrownlawyer.com/" TargetMode="External"/><Relationship Id="rId2823" Type="http://schemas.openxmlformats.org/officeDocument/2006/relationships/hyperlink" Target="https://sbrownlawyer.com/cohabitation/" TargetMode="External"/><Relationship Id="rId2824" Type="http://schemas.openxmlformats.org/officeDocument/2006/relationships/hyperlink" Target="https://sbrownlawyer.com/divorce/" TargetMode="External"/><Relationship Id="rId2825" Type="http://schemas.openxmlformats.org/officeDocument/2006/relationships/hyperlink" Target="https://sbrownlawyer.com/slip-and-fall-accidents/" TargetMode="External"/><Relationship Id="rId2826" Type="http://schemas.openxmlformats.org/officeDocument/2006/relationships/hyperlink" Target="https://sbrownlawyer.com/divorce-lawyer-in-galveston-county/" TargetMode="External"/><Relationship Id="rId2827" Type="http://schemas.openxmlformats.org/officeDocument/2006/relationships/hyperlink" Target="https://sbrownlawyer.com/" TargetMode="External"/><Relationship Id="rId2828" Type="http://schemas.openxmlformats.org/officeDocument/2006/relationships/hyperlink" Target="https://sbrownlawyer.com/texas/locations/pearland/" TargetMode="External"/><Relationship Id="rId2829" Type="http://schemas.openxmlformats.org/officeDocument/2006/relationships/hyperlink" Target="https://sbrownlawyer.com/adoption/" TargetMode="External"/><Relationship Id="rId2810" Type="http://schemas.openxmlformats.org/officeDocument/2006/relationships/hyperlink" Target="https://sbrownlawyer.com/attorneys/" TargetMode="External"/><Relationship Id="rId2811" Type="http://schemas.openxmlformats.org/officeDocument/2006/relationships/hyperlink" Target="https://sbrownlawyer.com/2020/01/05/texas-passes-new-law-for-assault-on-a-pregnant-woman/" TargetMode="External"/><Relationship Id="rId2812" Type="http://schemas.openxmlformats.org/officeDocument/2006/relationships/hyperlink" Target="https://sbrownlawyer.com/child-custody/" TargetMode="External"/><Relationship Id="rId2813" Type="http://schemas.openxmlformats.org/officeDocument/2006/relationships/hyperlink" Target="https://sbrownlawyer.com/" TargetMode="External"/><Relationship Id="rId2814" Type="http://schemas.openxmlformats.org/officeDocument/2006/relationships/hyperlink" Target="https://sbrownlawyer.com/jones-act-claims/" TargetMode="External"/><Relationship Id="rId2815" Type="http://schemas.openxmlformats.org/officeDocument/2006/relationships/hyperlink" Target="https://sbrownlawyer.com/brain-injury/" TargetMode="External"/><Relationship Id="rId2816" Type="http://schemas.openxmlformats.org/officeDocument/2006/relationships/hyperlink" Target="https://sbrownlawyer.com/slip-and-fall-accidents/" TargetMode="External"/><Relationship Id="rId2817" Type="http://schemas.openxmlformats.org/officeDocument/2006/relationships/hyperlink" Target="https://sbrownlawyer.com/2017/11/21/new-texas-law-bans-texting-while-driving/" TargetMode="External"/><Relationship Id="rId2818" Type="http://schemas.openxmlformats.org/officeDocument/2006/relationships/hyperlink" Target="https://sbrownlawyer.com/obscenity/" TargetMode="External"/><Relationship Id="rId2819" Type="http://schemas.openxmlformats.org/officeDocument/2006/relationships/hyperlink" Target="https://sbrownlawyer.com/attorneys/" TargetMode="External"/><Relationship Id="rId1510" Type="http://schemas.openxmlformats.org/officeDocument/2006/relationships/hyperlink" Target="https://sbrownlawyer.com/premises-liability/" TargetMode="External"/><Relationship Id="rId2841" Type="http://schemas.openxmlformats.org/officeDocument/2006/relationships/hyperlink" Target="https://sbrownlawyer.com/2024/04/24/texas-alimony-am-i-entitled/" TargetMode="External"/><Relationship Id="rId1511" Type="http://schemas.openxmlformats.org/officeDocument/2006/relationships/hyperlink" Target="https://sbrownlawyer.com/league-city-tx-office-of-scott-m-brown-associates/" TargetMode="External"/><Relationship Id="rId2842" Type="http://schemas.openxmlformats.org/officeDocument/2006/relationships/hyperlink" Target="https://sbrownlawyer.com/steps-in-settling-your-claim-in-texas/" TargetMode="External"/><Relationship Id="rId1512" Type="http://schemas.openxmlformats.org/officeDocument/2006/relationships/hyperlink" Target="https://sbrownlawyer.com/sexual-abuse/" TargetMode="External"/><Relationship Id="rId2843" Type="http://schemas.openxmlformats.org/officeDocument/2006/relationships/hyperlink" Target="https://sbrownlawyer.com/" TargetMode="External"/><Relationship Id="rId1513" Type="http://schemas.openxmlformats.org/officeDocument/2006/relationships/hyperlink" Target="https://sbrownlawyer.com/2021/04/07/reasons-grandparents-can-file-for-custody-of-grandchild-in-texas/" TargetMode="External"/><Relationship Id="rId2844" Type="http://schemas.openxmlformats.org/officeDocument/2006/relationships/hyperlink" Target="https://sbrownlawyer.com/slip-and-fall-accidents/" TargetMode="External"/><Relationship Id="rId1514" Type="http://schemas.openxmlformats.org/officeDocument/2006/relationships/hyperlink" Target="https://sbrownlawyer.com/public-indecency/" TargetMode="External"/><Relationship Id="rId2845" Type="http://schemas.openxmlformats.org/officeDocument/2006/relationships/hyperlink" Target="https://sbrownlawyer.com/attorneys/" TargetMode="External"/><Relationship Id="rId1515" Type="http://schemas.openxmlformats.org/officeDocument/2006/relationships/hyperlink" Target="https://sbrownlawyer.com/2020/10/29/how-to-tell-if-youre-too-drunk-to-drive-and-how-to-prevent-yourself-from-becoming-a-drunk-driver/" TargetMode="External"/><Relationship Id="rId2846" Type="http://schemas.openxmlformats.org/officeDocument/2006/relationships/hyperlink" Target="https://sbrownlawyer.com/" TargetMode="External"/><Relationship Id="rId1516" Type="http://schemas.openxmlformats.org/officeDocument/2006/relationships/hyperlink" Target="https://sbrownlawyer.com/2020/10/29/how-to-tell-if-youre-too-drunk-to-drive-and-how-to-prevent-yourself-from-becoming-a-drunk-driver/" TargetMode="External"/><Relationship Id="rId2847" Type="http://schemas.openxmlformats.org/officeDocument/2006/relationships/hyperlink" Target="https://sbrownlawyer.com/" TargetMode="External"/><Relationship Id="rId1517" Type="http://schemas.openxmlformats.org/officeDocument/2006/relationships/hyperlink" Target="https://sbrownlawyer.com/theft-and-shoplifting/" TargetMode="External"/><Relationship Id="rId2848" Type="http://schemas.openxmlformats.org/officeDocument/2006/relationships/hyperlink" Target="https://sbrownlawyer.com/2017/11/01/the-ins-and-outs-of-5050-custody-or-possession/" TargetMode="External"/><Relationship Id="rId1518" Type="http://schemas.openxmlformats.org/officeDocument/2006/relationships/hyperlink" Target="https://sbrownlawyer.com/adoption/" TargetMode="External"/><Relationship Id="rId2849" Type="http://schemas.openxmlformats.org/officeDocument/2006/relationships/hyperlink" Target="https://sbrownlawyer.com/league-city-tx-assault-lawyer/" TargetMode="External"/><Relationship Id="rId1519" Type="http://schemas.openxmlformats.org/officeDocument/2006/relationships/hyperlink" Target="https://sbrownlawyer.com/reckless-driving/" TargetMode="External"/><Relationship Id="rId2840" Type="http://schemas.openxmlformats.org/officeDocument/2006/relationships/hyperlink" Target="https://sbrownlawyer.com/2020/06/25/partner-abuse-the-many-forms-of-domestic-violence/" TargetMode="External"/><Relationship Id="rId2830" Type="http://schemas.openxmlformats.org/officeDocument/2006/relationships/hyperlink" Target="https://sbrownlawyer.com/2017/05/18/what-is-a-reasonable-suspicion-to-stop-in-a-texas-duidwi-case/" TargetMode="External"/><Relationship Id="rId1500" Type="http://schemas.openxmlformats.org/officeDocument/2006/relationships/hyperlink" Target="https://sbrownlawyer.com/2018/01/28/silencers-are-not-prohibited-weapons/" TargetMode="External"/><Relationship Id="rId2831" Type="http://schemas.openxmlformats.org/officeDocument/2006/relationships/hyperlink" Target="https://sbrownlawyer.com/divorce/" TargetMode="External"/><Relationship Id="rId1501" Type="http://schemas.openxmlformats.org/officeDocument/2006/relationships/hyperlink" Target="https://sbrownlawyer.com/2019/05/16/motorcycle-laws-regarding-children-in-texas/" TargetMode="External"/><Relationship Id="rId2832" Type="http://schemas.openxmlformats.org/officeDocument/2006/relationships/hyperlink" Target="https://sbrownlawyer.com/obscenity/" TargetMode="External"/><Relationship Id="rId1502" Type="http://schemas.openxmlformats.org/officeDocument/2006/relationships/hyperlink" Target="https://sbrownlawyer.com/sex-crimes/texas-sex-crime-law/" TargetMode="External"/><Relationship Id="rId2833" Type="http://schemas.openxmlformats.org/officeDocument/2006/relationships/hyperlink" Target="https://sbrownlawyer.com/2017/04/08/what-happens-if-i-refuse-to-take-a-test-when-arrested-for-a-dwi/" TargetMode="External"/><Relationship Id="rId1503" Type="http://schemas.openxmlformats.org/officeDocument/2006/relationships/hyperlink" Target="https://sbrownlawyer.com/attorneys/" TargetMode="External"/><Relationship Id="rId2834" Type="http://schemas.openxmlformats.org/officeDocument/2006/relationships/hyperlink" Target="https://sbrownlawyer.com/cohabitation/" TargetMode="External"/><Relationship Id="rId1504" Type="http://schemas.openxmlformats.org/officeDocument/2006/relationships/hyperlink" Target="https://sbrownlawyer.com/scott-m-brown/" TargetMode="External"/><Relationship Id="rId2835" Type="http://schemas.openxmlformats.org/officeDocument/2006/relationships/hyperlink" Target="https://sbrownlawyer.com/2024/04/24/texas-alimony-am-i-entitled/" TargetMode="External"/><Relationship Id="rId1505" Type="http://schemas.openxmlformats.org/officeDocument/2006/relationships/hyperlink" Target="https://sbrownlawyer.com/" TargetMode="External"/><Relationship Id="rId2836" Type="http://schemas.openxmlformats.org/officeDocument/2006/relationships/hyperlink" Target="https://sbrownlawyer.com/attorneys/" TargetMode="External"/><Relationship Id="rId1506" Type="http://schemas.openxmlformats.org/officeDocument/2006/relationships/hyperlink" Target="https://sbrownlawyer.com/attorneys/" TargetMode="External"/><Relationship Id="rId2837" Type="http://schemas.openxmlformats.org/officeDocument/2006/relationships/hyperlink" Target="https://sbrownlawyer.com/how-to-know-if-your-spouse-is-hiding-marital-property-and-assets/" TargetMode="External"/><Relationship Id="rId1507" Type="http://schemas.openxmlformats.org/officeDocument/2006/relationships/hyperlink" Target="https://sbrownlawyer.com/attorneys/" TargetMode="External"/><Relationship Id="rId2838" Type="http://schemas.openxmlformats.org/officeDocument/2006/relationships/hyperlink" Target="https://sbrownlawyer.com/top-military-divorce-lawyer-in-texas/" TargetMode="External"/><Relationship Id="rId1508" Type="http://schemas.openxmlformats.org/officeDocument/2006/relationships/hyperlink" Target="https://sbrownlawyer.com/2018/01/28/silencers-are-not-prohibited-weapons/" TargetMode="External"/><Relationship Id="rId2839" Type="http://schemas.openxmlformats.org/officeDocument/2006/relationships/hyperlink" Target="https://sbrownlawyer.com/2014/04/18/no-fault-divorce-covenant-marriage-and-domestic-violence/" TargetMode="External"/><Relationship Id="rId1509" Type="http://schemas.openxmlformats.org/officeDocument/2006/relationships/hyperlink" Target="https://sbrownlawyer.com/2024/09/23/is-leaving-the-scene-of-an-accident-a-felony-in-angleton/" TargetMode="External"/><Relationship Id="rId2800" Type="http://schemas.openxmlformats.org/officeDocument/2006/relationships/hyperlink" Target="https://sbrownlawyer.com/2024/11/26/eb-2-visa-how-immigration-attorneys-can-help-you-apply/" TargetMode="External"/><Relationship Id="rId2801" Type="http://schemas.openxmlformats.org/officeDocument/2006/relationships/hyperlink" Target="https://sbrownlawyer.com/child-pornography/" TargetMode="External"/><Relationship Id="rId2802" Type="http://schemas.openxmlformats.org/officeDocument/2006/relationships/hyperlink" Target="https://sbrownlawyer.com/2018/04/06/can-you-adopt-a-child-in-texas-without-the-biological-fathers-consent/" TargetMode="External"/><Relationship Id="rId2803" Type="http://schemas.openxmlformats.org/officeDocument/2006/relationships/hyperlink" Target="https://sbrownlawyer.com/2019/10/28/what-does-it-mean-to-be-deemed-an-unfit-parent/" TargetMode="External"/><Relationship Id="rId2804" Type="http://schemas.openxmlformats.org/officeDocument/2006/relationships/hyperlink" Target="https://sbrownlawyer.com/attorneys/" TargetMode="External"/><Relationship Id="rId2805" Type="http://schemas.openxmlformats.org/officeDocument/2006/relationships/hyperlink" Target="https://sbrownlawyer.com/2021/05/31/your-parenting-plan-how-to-reach-a-child-custody-agreement-without-court-involvement/" TargetMode="External"/><Relationship Id="rId2806" Type="http://schemas.openxmlformats.org/officeDocument/2006/relationships/hyperlink" Target="https://sbrownlawyer.com/protective-services/" TargetMode="External"/><Relationship Id="rId2807" Type="http://schemas.openxmlformats.org/officeDocument/2006/relationships/hyperlink" Target="https://sbrownlawyer.com/attorneys/" TargetMode="External"/><Relationship Id="rId2808" Type="http://schemas.openxmlformats.org/officeDocument/2006/relationships/hyperlink" Target="https://sbrownlawyer.com/divorce-book/" TargetMode="External"/><Relationship Id="rId2809" Type="http://schemas.openxmlformats.org/officeDocument/2006/relationships/hyperlink" Target="https://sbrownlawyer.com/2017/11/21/new-texas-law-bans-texting-while-driving/" TargetMode="External"/><Relationship Id="rId1576" Type="http://schemas.openxmlformats.org/officeDocument/2006/relationships/hyperlink" Target="https://sbrownlawyer.com/divorce/" TargetMode="External"/><Relationship Id="rId1577" Type="http://schemas.openxmlformats.org/officeDocument/2006/relationships/hyperlink" Target="https://sbrownlawyer.com/uber-lyft-accidents/" TargetMode="External"/><Relationship Id="rId1578" Type="http://schemas.openxmlformats.org/officeDocument/2006/relationships/hyperlink" Target="https://sbrownlawyer.com/attorneys/" TargetMode="External"/><Relationship Id="rId1579" Type="http://schemas.openxmlformats.org/officeDocument/2006/relationships/hyperlink" Target="https://sbrownlawyer.com/reckless-driving/" TargetMode="External"/><Relationship Id="rId987" Type="http://schemas.openxmlformats.org/officeDocument/2006/relationships/hyperlink" Target="https://sbrownlawyer.com/child-custody/" TargetMode="External"/><Relationship Id="rId986" Type="http://schemas.openxmlformats.org/officeDocument/2006/relationships/hyperlink" Target="https://sbrownlawyer.com/texas/locations/league-city/" TargetMode="External"/><Relationship Id="rId985" Type="http://schemas.openxmlformats.org/officeDocument/2006/relationships/hyperlink" Target="https://sbrownlawyer.com/head-injury/" TargetMode="External"/><Relationship Id="rId984" Type="http://schemas.openxmlformats.org/officeDocument/2006/relationships/hyperlink" Target="https://sbrownlawyer.com/spinal-cord-injury/" TargetMode="External"/><Relationship Id="rId989" Type="http://schemas.openxmlformats.org/officeDocument/2006/relationships/hyperlink" Target="https://sbrownlawyer.com/2018/01/28/silencers-are-not-prohibited-weapons/" TargetMode="External"/><Relationship Id="rId988" Type="http://schemas.openxmlformats.org/officeDocument/2006/relationships/hyperlink" Target="https://sbrownlawyer.com/divorce/" TargetMode="External"/><Relationship Id="rId1570" Type="http://schemas.openxmlformats.org/officeDocument/2006/relationships/hyperlink" Target="https://sbrownlawyer.com/texas/locations/pearland/" TargetMode="External"/><Relationship Id="rId1571" Type="http://schemas.openxmlformats.org/officeDocument/2006/relationships/hyperlink" Target="https://sbrownlawyer.com/areas-we-serve/fort-bend-county/" TargetMode="External"/><Relationship Id="rId983" Type="http://schemas.openxmlformats.org/officeDocument/2006/relationships/hyperlink" Target="https://sbrownlawyer.com/2023/01/25/private-property-police-search-in-texas/" TargetMode="External"/><Relationship Id="rId1572" Type="http://schemas.openxmlformats.org/officeDocument/2006/relationships/hyperlink" Target="https://sbrownlawyer.com/2021/04/07/reasons-grandparents-can-file-for-custody-of-grandchild-in-texas/" TargetMode="External"/><Relationship Id="rId982" Type="http://schemas.openxmlformats.org/officeDocument/2006/relationships/hyperlink" Target="https://sbrownlawyer.com/estate-planning/" TargetMode="External"/><Relationship Id="rId1573" Type="http://schemas.openxmlformats.org/officeDocument/2006/relationships/hyperlink" Target="https://sbrownlawyer.com/attorneys/" TargetMode="External"/><Relationship Id="rId981" Type="http://schemas.openxmlformats.org/officeDocument/2006/relationships/hyperlink" Target="https://sbrownlawyer.com/scott-m-brown/" TargetMode="External"/><Relationship Id="rId1574" Type="http://schemas.openxmlformats.org/officeDocument/2006/relationships/hyperlink" Target="https://sbrownlawyer.com/espanol/" TargetMode="External"/><Relationship Id="rId980" Type="http://schemas.openxmlformats.org/officeDocument/2006/relationships/hyperlink" Target="https://sbrownlawyer.com/oil-and-mineral-rights/" TargetMode="External"/><Relationship Id="rId1575" Type="http://schemas.openxmlformats.org/officeDocument/2006/relationships/hyperlink" Target="https://sbrownlawyer.com/2024/04/24/texas-alimony-am-i-entitled/" TargetMode="External"/><Relationship Id="rId1565" Type="http://schemas.openxmlformats.org/officeDocument/2006/relationships/hyperlink" Target="https://sbrownlawyer.com/" TargetMode="External"/><Relationship Id="rId2896" Type="http://schemas.openxmlformats.org/officeDocument/2006/relationships/hyperlink" Target="https://sbrownlawyer.com/criminal-law/indecent-exposure/" TargetMode="External"/><Relationship Id="rId1566" Type="http://schemas.openxmlformats.org/officeDocument/2006/relationships/hyperlink" Target="https://sbrownlawyer.com/attorneys/" TargetMode="External"/><Relationship Id="rId2897" Type="http://schemas.openxmlformats.org/officeDocument/2006/relationships/hyperlink" Target="https://sbrownlawyer.com/child-custody/" TargetMode="External"/><Relationship Id="rId1567" Type="http://schemas.openxmlformats.org/officeDocument/2006/relationships/hyperlink" Target="https://sbrownlawyer.com/2019/12/17/how-to-get-your-license-back-after-a-dwi/" TargetMode="External"/><Relationship Id="rId2898" Type="http://schemas.openxmlformats.org/officeDocument/2006/relationships/hyperlink" Target="https://sbrownlawyer.com/grand-theft/" TargetMode="External"/><Relationship Id="rId1568" Type="http://schemas.openxmlformats.org/officeDocument/2006/relationships/hyperlink" Target="https://sbrownlawyer.com/2020/10/29/how-to-tell-if-youre-too-drunk-to-drive-and-how-to-prevent-yourself-from-becoming-a-drunk-driver/" TargetMode="External"/><Relationship Id="rId2899" Type="http://schemas.openxmlformats.org/officeDocument/2006/relationships/hyperlink" Target="https://sbrownlawyer.com/sex-crimes/overview-of-sex-crime-defense/" TargetMode="External"/><Relationship Id="rId1569" Type="http://schemas.openxmlformats.org/officeDocument/2006/relationships/hyperlink" Target="https://sbrownlawyer.com/premises-liability/" TargetMode="External"/><Relationship Id="rId976" Type="http://schemas.openxmlformats.org/officeDocument/2006/relationships/hyperlink" Target="https://sbrownlawyer.com/sex-crimes/texas-sex-crime-law/" TargetMode="External"/><Relationship Id="rId975" Type="http://schemas.openxmlformats.org/officeDocument/2006/relationships/hyperlink" Target="https://sbrownlawyer.com/2023/01/25/private-property-police-search-in-texas/" TargetMode="External"/><Relationship Id="rId974" Type="http://schemas.openxmlformats.org/officeDocument/2006/relationships/hyperlink" Target="https://sbrownlawyer.com/spinal-cord-injury/" TargetMode="External"/><Relationship Id="rId973" Type="http://schemas.openxmlformats.org/officeDocument/2006/relationships/hyperlink" Target="https://sbrownlawyer.com/league-city-divorce-2/" TargetMode="External"/><Relationship Id="rId979" Type="http://schemas.openxmlformats.org/officeDocument/2006/relationships/hyperlink" Target="https://sbrownlawyer.com/2019/10/08/can-you-sue-a-partner-that-infected-you-with-an-std/" TargetMode="External"/><Relationship Id="rId978" Type="http://schemas.openxmlformats.org/officeDocument/2006/relationships/hyperlink" Target="https://sbrownlawyer.com/attorneys/" TargetMode="External"/><Relationship Id="rId977" Type="http://schemas.openxmlformats.org/officeDocument/2006/relationships/hyperlink" Target="https://sbrownlawyer.com/top-military-divorce-lawyer-in-texas/" TargetMode="External"/><Relationship Id="rId2890" Type="http://schemas.openxmlformats.org/officeDocument/2006/relationships/hyperlink" Target="https://sbrownlawyer.com/do-not-blow/" TargetMode="External"/><Relationship Id="rId1560" Type="http://schemas.openxmlformats.org/officeDocument/2006/relationships/hyperlink" Target="https://sbrownlawyer.com/attorneys/" TargetMode="External"/><Relationship Id="rId2891" Type="http://schemas.openxmlformats.org/officeDocument/2006/relationships/hyperlink" Target="https://sbrownlawyer.com/top-military-divorce-lawyer-in-texas/" TargetMode="External"/><Relationship Id="rId972" Type="http://schemas.openxmlformats.org/officeDocument/2006/relationships/hyperlink" Target="https://sbrownlawyer.com/attorneys/" TargetMode="External"/><Relationship Id="rId1561" Type="http://schemas.openxmlformats.org/officeDocument/2006/relationships/hyperlink" Target="https://sbrownlawyer.com/top-military-divorce-lawyer-in-texas/" TargetMode="External"/><Relationship Id="rId2892" Type="http://schemas.openxmlformats.org/officeDocument/2006/relationships/hyperlink" Target="https://sbrownlawyer.com/" TargetMode="External"/><Relationship Id="rId971" Type="http://schemas.openxmlformats.org/officeDocument/2006/relationships/hyperlink" Target="https://sbrownlawyer.com/2024/12/27/understanding-the-naturalization-timeline-for-texas-residents/" TargetMode="External"/><Relationship Id="rId1562" Type="http://schemas.openxmlformats.org/officeDocument/2006/relationships/hyperlink" Target="https://sbrownlawyer.com/2024/07/08/open-vs-closed-aoption-angleton-texas/" TargetMode="External"/><Relationship Id="rId2893" Type="http://schemas.openxmlformats.org/officeDocument/2006/relationships/hyperlink" Target="https://sbrownlawyer.com/child-support/" TargetMode="External"/><Relationship Id="rId970" Type="http://schemas.openxmlformats.org/officeDocument/2006/relationships/hyperlink" Target="https://sbrownlawyer.com/espanol/" TargetMode="External"/><Relationship Id="rId1563" Type="http://schemas.openxmlformats.org/officeDocument/2006/relationships/hyperlink" Target="https://sbrownlawyer.com/2021/09/20/5-quiet-signs-of-divorce-and-what-to-do-about-it/" TargetMode="External"/><Relationship Id="rId2894" Type="http://schemas.openxmlformats.org/officeDocument/2006/relationships/hyperlink" Target="https://sbrownlawyer.com/family-law-attorney-in-galveston/" TargetMode="External"/><Relationship Id="rId1564" Type="http://schemas.openxmlformats.org/officeDocument/2006/relationships/hyperlink" Target="https://sbrownlawyer.com/2018/04/17/statutory-rape-age-of-consent-in-texas-how-old-is-too-old/" TargetMode="External"/><Relationship Id="rId2895" Type="http://schemas.openxmlformats.org/officeDocument/2006/relationships/hyperlink" Target="https://sbrownlawyer.com/sex-crimes/sex-offender-registration/" TargetMode="External"/><Relationship Id="rId1598" Type="http://schemas.openxmlformats.org/officeDocument/2006/relationships/hyperlink" Target="https://sbrownlawyer.com/2024/12/27/understanding-the-naturalization-timeline-for-texas-residents/" TargetMode="External"/><Relationship Id="rId1599" Type="http://schemas.openxmlformats.org/officeDocument/2006/relationships/hyperlink" Target="https://sbrownlawyer.com/2018/01/28/silencers-are-not-prohibited-weapons/" TargetMode="External"/><Relationship Id="rId1590" Type="http://schemas.openxmlformats.org/officeDocument/2006/relationships/hyperlink" Target="https://sbrownlawyer.com/uncontested-divorce-lawyer-in-pearland/" TargetMode="External"/><Relationship Id="rId1591" Type="http://schemas.openxmlformats.org/officeDocument/2006/relationships/hyperlink" Target="https://sbrownlawyer.com/juvenile-crimes/" TargetMode="External"/><Relationship Id="rId1592" Type="http://schemas.openxmlformats.org/officeDocument/2006/relationships/hyperlink" Target="https://sbrownlawyer.com/espanol/" TargetMode="External"/><Relationship Id="rId1593" Type="http://schemas.openxmlformats.org/officeDocument/2006/relationships/hyperlink" Target="https://sbrownlawyer.com/2020/10/29/how-to-tell-if-youre-too-drunk-to-drive-and-how-to-prevent-yourself-from-becoming-a-drunk-driver/" TargetMode="External"/><Relationship Id="rId1594" Type="http://schemas.openxmlformats.org/officeDocument/2006/relationships/hyperlink" Target="https://sbrownlawyer.com/attorneys/" TargetMode="External"/><Relationship Id="rId1595" Type="http://schemas.openxmlformats.org/officeDocument/2006/relationships/hyperlink" Target="https://sbrownlawyer.com/2020/10/29/how-to-tell-if-youre-too-drunk-to-drive-and-how-to-prevent-yourself-from-becoming-a-drunk-driver/" TargetMode="External"/><Relationship Id="rId1596" Type="http://schemas.openxmlformats.org/officeDocument/2006/relationships/hyperlink" Target="https://sbrownlawyer.com/divorce/" TargetMode="External"/><Relationship Id="rId1597" Type="http://schemas.openxmlformats.org/officeDocument/2006/relationships/hyperlink" Target="https://sbrownlawyer.com/hit-and-run/" TargetMode="External"/><Relationship Id="rId1587" Type="http://schemas.openxmlformats.org/officeDocument/2006/relationships/hyperlink" Target="https://sbrownlawyer.com/personal-injury-2/" TargetMode="External"/><Relationship Id="rId1588" Type="http://schemas.openxmlformats.org/officeDocument/2006/relationships/hyperlink" Target="https://sbrownlawyer.com/harris-county-family-law/" TargetMode="External"/><Relationship Id="rId1589" Type="http://schemas.openxmlformats.org/officeDocument/2006/relationships/hyperlink" Target="https://sbrownlawyer.com/attorneys/" TargetMode="External"/><Relationship Id="rId998" Type="http://schemas.openxmlformats.org/officeDocument/2006/relationships/hyperlink" Target="https://sbrownlawyer.com/2024/04/24/texas-alimony-am-i-entitled/" TargetMode="External"/><Relationship Id="rId997" Type="http://schemas.openxmlformats.org/officeDocument/2006/relationships/hyperlink" Target="https://sbrownlawyer.com/2024/12/27/understanding-the-naturalization-timeline-for-texas-residents/" TargetMode="External"/><Relationship Id="rId996" Type="http://schemas.openxmlformats.org/officeDocument/2006/relationships/hyperlink" Target="https://sbrownlawyer.com/2022/02/18/can-i-file-legal-separation-on-texas/" TargetMode="External"/><Relationship Id="rId995" Type="http://schemas.openxmlformats.org/officeDocument/2006/relationships/hyperlink" Target="https://sbrownlawyer.com/" TargetMode="External"/><Relationship Id="rId999" Type="http://schemas.openxmlformats.org/officeDocument/2006/relationships/hyperlink" Target="https://sbrownlawyer.com/" TargetMode="External"/><Relationship Id="rId990" Type="http://schemas.openxmlformats.org/officeDocument/2006/relationships/hyperlink" Target="https://sbrownlawyer.com/attorneys/" TargetMode="External"/><Relationship Id="rId1580" Type="http://schemas.openxmlformats.org/officeDocument/2006/relationships/hyperlink" Target="https://sbrownlawyer.com/francisco-guerrero-ii/" TargetMode="External"/><Relationship Id="rId1581" Type="http://schemas.openxmlformats.org/officeDocument/2006/relationships/hyperlink" Target="https://sbrownlawyer.com/dwi-attorney-in-galveston-county/" TargetMode="External"/><Relationship Id="rId1582" Type="http://schemas.openxmlformats.org/officeDocument/2006/relationships/hyperlink" Target="https://sbrownlawyer.com/" TargetMode="External"/><Relationship Id="rId994" Type="http://schemas.openxmlformats.org/officeDocument/2006/relationships/hyperlink" Target="https://sbrownlawyer.com/2023/01/25/private-property-police-search-in-texas/" TargetMode="External"/><Relationship Id="rId1583" Type="http://schemas.openxmlformats.org/officeDocument/2006/relationships/hyperlink" Target="https://sbrownlawyer.com/firm-overview/" TargetMode="External"/><Relationship Id="rId993" Type="http://schemas.openxmlformats.org/officeDocument/2006/relationships/hyperlink" Target="https://sbrownlawyer.com/attorneys/" TargetMode="External"/><Relationship Id="rId1584" Type="http://schemas.openxmlformats.org/officeDocument/2006/relationships/hyperlink" Target="https://sbrownlawyer.com/galveston-theft-crimes/" TargetMode="External"/><Relationship Id="rId992" Type="http://schemas.openxmlformats.org/officeDocument/2006/relationships/hyperlink" Target="https://sbrownlawyer.com/attorneys/" TargetMode="External"/><Relationship Id="rId1585" Type="http://schemas.openxmlformats.org/officeDocument/2006/relationships/hyperlink" Target="https://sbrownlawyer.com/?refPageViewId=8df50165c6a5485b" TargetMode="External"/><Relationship Id="rId991" Type="http://schemas.openxmlformats.org/officeDocument/2006/relationships/hyperlink" Target="https://sbrownlawyer.com/attorneys/" TargetMode="External"/><Relationship Id="rId1586" Type="http://schemas.openxmlformats.org/officeDocument/2006/relationships/hyperlink" Target="https://sbrownlawyer.com/" TargetMode="External"/><Relationship Id="rId1532" Type="http://schemas.openxmlformats.org/officeDocument/2006/relationships/hyperlink" Target="https://sbrownlawyer.com/abogado-de-procesamiento-consular-en-pearland/" TargetMode="External"/><Relationship Id="rId2863" Type="http://schemas.openxmlformats.org/officeDocument/2006/relationships/hyperlink" Target="https://sbrownlawyer.com/division-of-property/" TargetMode="External"/><Relationship Id="rId1533" Type="http://schemas.openxmlformats.org/officeDocument/2006/relationships/hyperlink" Target="https://sbrownlawyer.com/detailing-some-of-texas-important-child-custody-laws/" TargetMode="External"/><Relationship Id="rId2864" Type="http://schemas.openxmlformats.org/officeDocument/2006/relationships/hyperlink" Target="https://sbrownlawyer.com/protective-services/" TargetMode="External"/><Relationship Id="rId1534" Type="http://schemas.openxmlformats.org/officeDocument/2006/relationships/hyperlink" Target="https://sbrownlawyer.com/criminal-defense-lawyer-galveston-county/" TargetMode="External"/><Relationship Id="rId2865" Type="http://schemas.openxmlformats.org/officeDocument/2006/relationships/hyperlink" Target="https://sbrownlawyer.com/attorneys/" TargetMode="External"/><Relationship Id="rId1535" Type="http://schemas.openxmlformats.org/officeDocument/2006/relationships/hyperlink" Target="https://sbrownlawyer.com/attorneys/" TargetMode="External"/><Relationship Id="rId2866" Type="http://schemas.openxmlformats.org/officeDocument/2006/relationships/hyperlink" Target="https://sbrownlawyer.com/attorneys/" TargetMode="External"/><Relationship Id="rId1536" Type="http://schemas.openxmlformats.org/officeDocument/2006/relationships/hyperlink" Target="https://sbrownlawyer.com/2018/04/06/can-you-adopt-a-child-in-texas-without-the-biological-fathers-consent/" TargetMode="External"/><Relationship Id="rId2867" Type="http://schemas.openxmlformats.org/officeDocument/2006/relationships/hyperlink" Target="https://sbrownlawyer.com/2021/07/20/8-questions-to-ask-dui-attorneys/" TargetMode="External"/><Relationship Id="rId1537" Type="http://schemas.openxmlformats.org/officeDocument/2006/relationships/hyperlink" Target="https://sbrownlawyer.com/2017/11/21/new-texas-law-bans-texting-while-driving/" TargetMode="External"/><Relationship Id="rId2868" Type="http://schemas.openxmlformats.org/officeDocument/2006/relationships/hyperlink" Target="https://sbrownlawyer.com/attorneys/" TargetMode="External"/><Relationship Id="rId1538" Type="http://schemas.openxmlformats.org/officeDocument/2006/relationships/hyperlink" Target="https://sbrownlawyer.com/2015/06/23/how-do-the-courts-determine-the-primary-caretaker/" TargetMode="External"/><Relationship Id="rId2869" Type="http://schemas.openxmlformats.org/officeDocument/2006/relationships/hyperlink" Target="https://sbrownlawyer.com/2021/06/26/what-are-your-rights-regarding-texas-child-custody-law/" TargetMode="External"/><Relationship Id="rId1539" Type="http://schemas.openxmlformats.org/officeDocument/2006/relationships/hyperlink" Target="https://sbrownlawyer.com/brain-injury/" TargetMode="External"/><Relationship Id="rId949" Type="http://schemas.openxmlformats.org/officeDocument/2006/relationships/hyperlink" Target="https://sbrownlawyer.com/2024/12/27/understanding-the-naturalization-timeline-for-texas-residents/" TargetMode="External"/><Relationship Id="rId948" Type="http://schemas.openxmlformats.org/officeDocument/2006/relationships/hyperlink" Target="https://sbrownlawyer.com/2021/03/15/who-qualifies-for-a-temporary-protective-order-in-texas-and-other-frequently-asked-questions/" TargetMode="External"/><Relationship Id="rId943" Type="http://schemas.openxmlformats.org/officeDocument/2006/relationships/hyperlink" Target="https://sbrownlawyer.com/2012/02/13/kobe-bryant-gives-three-homes-to-wife-in-divorce-settlement/" TargetMode="External"/><Relationship Id="rId942" Type="http://schemas.openxmlformats.org/officeDocument/2006/relationships/hyperlink" Target="https://sbrownlawyer.com/2024/12/27/understanding-the-naturalization-timeline-for-texas-residents/" TargetMode="External"/><Relationship Id="rId941" Type="http://schemas.openxmlformats.org/officeDocument/2006/relationships/hyperlink" Target="https://sbrownlawyer.com/2024/12/27/understanding-the-naturalization-timeline-for-texas-residents/" TargetMode="External"/><Relationship Id="rId940" Type="http://schemas.openxmlformats.org/officeDocument/2006/relationships/hyperlink" Target="https://sbrownlawyer.com/drug-crimes/" TargetMode="External"/><Relationship Id="rId947" Type="http://schemas.openxmlformats.org/officeDocument/2006/relationships/hyperlink" Target="https://sbrownlawyer.com/2024/12/27/understanding-the-naturalization-timeline-for-texas-residents/" TargetMode="External"/><Relationship Id="rId946" Type="http://schemas.openxmlformats.org/officeDocument/2006/relationships/hyperlink" Target="https://sbrownlawyer.com/2020/12/28/what-to-ask-your-family-lawyer-about-your-child-custody-agreement/" TargetMode="External"/><Relationship Id="rId945" Type="http://schemas.openxmlformats.org/officeDocument/2006/relationships/hyperlink" Target="https://sbrownlawyer.com/attorneys/" TargetMode="External"/><Relationship Id="rId944" Type="http://schemas.openxmlformats.org/officeDocument/2006/relationships/hyperlink" Target="https://sbrownlawyer.com/attorneys/" TargetMode="External"/><Relationship Id="rId2860" Type="http://schemas.openxmlformats.org/officeDocument/2006/relationships/hyperlink" Target="https://sbrownlawyer.com/sex-crimes/overview-of-sex-crime-defense/" TargetMode="External"/><Relationship Id="rId1530" Type="http://schemas.openxmlformats.org/officeDocument/2006/relationships/hyperlink" Target="https://sbrownlawyer.com/2021/11/26/child-support-guidelines-in-texas-an-overview/" TargetMode="External"/><Relationship Id="rId2861" Type="http://schemas.openxmlformats.org/officeDocument/2006/relationships/hyperlink" Target="https://sbrownlawyer.com/attorneys/" TargetMode="External"/><Relationship Id="rId1531" Type="http://schemas.openxmlformats.org/officeDocument/2006/relationships/hyperlink" Target="https://sbrownlawyer.com/attorneys/" TargetMode="External"/><Relationship Id="rId2862" Type="http://schemas.openxmlformats.org/officeDocument/2006/relationships/hyperlink" Target="https://sbrownlawyer.com/t-bone-accident/" TargetMode="External"/><Relationship Id="rId1521" Type="http://schemas.openxmlformats.org/officeDocument/2006/relationships/hyperlink" Target="https://sbrownlawyer.com/espanol/" TargetMode="External"/><Relationship Id="rId2852" Type="http://schemas.openxmlformats.org/officeDocument/2006/relationships/hyperlink" Target="https://sbrownlawyer.com/2019/05/16/motorcycle-laws-regarding-children-in-texas/" TargetMode="External"/><Relationship Id="rId1522" Type="http://schemas.openxmlformats.org/officeDocument/2006/relationships/hyperlink" Target="https://sbrownlawyer.com/attorneys/" TargetMode="External"/><Relationship Id="rId2853" Type="http://schemas.openxmlformats.org/officeDocument/2006/relationships/hyperlink" Target="https://sbrownlawyer.com/attorneys/" TargetMode="External"/><Relationship Id="rId1523" Type="http://schemas.openxmlformats.org/officeDocument/2006/relationships/hyperlink" Target="https://sbrownlawyer.com/areas-we-serve/brazoria-county/" TargetMode="External"/><Relationship Id="rId2854" Type="http://schemas.openxmlformats.org/officeDocument/2006/relationships/hyperlink" Target="https://sbrownlawyer.com/protective-services/" TargetMode="External"/><Relationship Id="rId1524" Type="http://schemas.openxmlformats.org/officeDocument/2006/relationships/hyperlink" Target="https://sbrownlawyer.com/uncontested-divorce-lawyer-in-pearland/" TargetMode="External"/><Relationship Id="rId2855" Type="http://schemas.openxmlformats.org/officeDocument/2006/relationships/hyperlink" Target="https://sbrownlawyer.com/espanol/family-law/" TargetMode="External"/><Relationship Id="rId1525" Type="http://schemas.openxmlformats.org/officeDocument/2006/relationships/hyperlink" Target="https://sbrownlawyer.com/2021/04/21/dwi-consequences-in-texas-whats-the-maximum-penalty-for-a-dwi/" TargetMode="External"/><Relationship Id="rId2856" Type="http://schemas.openxmlformats.org/officeDocument/2006/relationships/hyperlink" Target="https://sbrownlawyer.com/attorneys/" TargetMode="External"/><Relationship Id="rId1526" Type="http://schemas.openxmlformats.org/officeDocument/2006/relationships/hyperlink" Target="https://sbrownlawyer.com/" TargetMode="External"/><Relationship Id="rId2857" Type="http://schemas.openxmlformats.org/officeDocument/2006/relationships/hyperlink" Target="https://sbrownlawyer.com/criminal-law/first-offenders/" TargetMode="External"/><Relationship Id="rId1527" Type="http://schemas.openxmlformats.org/officeDocument/2006/relationships/hyperlink" Target="https://sbrownlawyer.com/" TargetMode="External"/><Relationship Id="rId2858" Type="http://schemas.openxmlformats.org/officeDocument/2006/relationships/hyperlink" Target="https://sbrownlawyer.com/" TargetMode="External"/><Relationship Id="rId1528" Type="http://schemas.openxmlformats.org/officeDocument/2006/relationships/hyperlink" Target="https://sbrownlawyer.com/attorneys/" TargetMode="External"/><Relationship Id="rId2859" Type="http://schemas.openxmlformats.org/officeDocument/2006/relationships/hyperlink" Target="https://sbrownlawyer.com/2019/10/08/can-you-sue-a-partner-that-infected-you-with-an-std/" TargetMode="External"/><Relationship Id="rId1529" Type="http://schemas.openxmlformats.org/officeDocument/2006/relationships/hyperlink" Target="https://sbrownlawyer.com/attorneys/" TargetMode="External"/><Relationship Id="rId939" Type="http://schemas.openxmlformats.org/officeDocument/2006/relationships/hyperlink" Target="https://sbrownlawyer.com/2024/12/27/understanding-the-naturalization-timeline-for-texas-residents/" TargetMode="External"/><Relationship Id="rId938" Type="http://schemas.openxmlformats.org/officeDocument/2006/relationships/hyperlink" Target="https://sbrownlawyer.com/" TargetMode="External"/><Relationship Id="rId937" Type="http://schemas.openxmlformats.org/officeDocument/2006/relationships/hyperlink" Target="https://sbrownlawyer.com/2024/12/27/understanding-the-naturalization-timeline-for-texas-residents/" TargetMode="External"/><Relationship Id="rId932" Type="http://schemas.openxmlformats.org/officeDocument/2006/relationships/hyperlink" Target="https://sbrownlawyer.com/attorneys/" TargetMode="External"/><Relationship Id="rId931" Type="http://schemas.openxmlformats.org/officeDocument/2006/relationships/hyperlink" Target="https://sbrownlawyer.com/pharmaceutical-litigation/" TargetMode="External"/><Relationship Id="rId930" Type="http://schemas.openxmlformats.org/officeDocument/2006/relationships/hyperlink" Target="https://sbrownlawyer.com/drug-crimes/" TargetMode="External"/><Relationship Id="rId936" Type="http://schemas.openxmlformats.org/officeDocument/2006/relationships/hyperlink" Target="https://sbrownlawyer.com/2019/10/08/can-you-sue-a-partner-that-infected-you-with-an-std/" TargetMode="External"/><Relationship Id="rId935" Type="http://schemas.openxmlformats.org/officeDocument/2006/relationships/hyperlink" Target="https://sbrownlawyer.com/attorneys/" TargetMode="External"/><Relationship Id="rId934" Type="http://schemas.openxmlformats.org/officeDocument/2006/relationships/hyperlink" Target="https://sbrownlawyer.com/2012/02/13/kobe-bryant-gives-three-homes-to-wife-in-divorce-settlement/" TargetMode="External"/><Relationship Id="rId933" Type="http://schemas.openxmlformats.org/officeDocument/2006/relationships/hyperlink" Target="https://sbrownlawyer.com/espanol/defensa-criminal/" TargetMode="External"/><Relationship Id="rId2850" Type="http://schemas.openxmlformats.org/officeDocument/2006/relationships/hyperlink" Target="https://sbrownlawyer.com/hit-and-run/" TargetMode="External"/><Relationship Id="rId1520" Type="http://schemas.openxmlformats.org/officeDocument/2006/relationships/hyperlink" Target="https://sbrownlawyer.com/2017/11/21/new-texas-law-bans-texting-while-driving/" TargetMode="External"/><Relationship Id="rId2851" Type="http://schemas.openxmlformats.org/officeDocument/2006/relationships/hyperlink" Target="https://sbrownlawyer.com/attorneys/" TargetMode="External"/><Relationship Id="rId1554" Type="http://schemas.openxmlformats.org/officeDocument/2006/relationships/hyperlink" Target="https://sbrownlawyer.com/2019/10/08/can-you-sue-a-partner-that-infected-you-with-an-std/" TargetMode="External"/><Relationship Id="rId2885" Type="http://schemas.openxmlformats.org/officeDocument/2006/relationships/hyperlink" Target="https://sbrownlawyer.com/attorneys/" TargetMode="External"/><Relationship Id="rId1555" Type="http://schemas.openxmlformats.org/officeDocument/2006/relationships/hyperlink" Target="https://sbrownlawyer.com/aggravated-sexual-assault/" TargetMode="External"/><Relationship Id="rId2886" Type="http://schemas.openxmlformats.org/officeDocument/2006/relationships/hyperlink" Target="https://sbrownlawyer.com/attorneys/" TargetMode="External"/><Relationship Id="rId1556" Type="http://schemas.openxmlformats.org/officeDocument/2006/relationships/hyperlink" Target="https://sbrownlawyer.com/attorneys/" TargetMode="External"/><Relationship Id="rId2887" Type="http://schemas.openxmlformats.org/officeDocument/2006/relationships/hyperlink" Target="https://sbrownlawyer.com/2020/11/13/these-are-the-different-types-of-divorce-in-texas/" TargetMode="External"/><Relationship Id="rId1557" Type="http://schemas.openxmlformats.org/officeDocument/2006/relationships/hyperlink" Target="https://sbrownlawyer.com/grand-theft/" TargetMode="External"/><Relationship Id="rId2888" Type="http://schemas.openxmlformats.org/officeDocument/2006/relationships/hyperlink" Target="https://sbrownlawyer.com/criminal-law/indecent-exposure/" TargetMode="External"/><Relationship Id="rId1558" Type="http://schemas.openxmlformats.org/officeDocument/2006/relationships/hyperlink" Target="https://sbrownlawyer.com/personal-injury-2/nonvehicle-liability-insurance/" TargetMode="External"/><Relationship Id="rId2889" Type="http://schemas.openxmlformats.org/officeDocument/2006/relationships/hyperlink" Target="https://sbrownlawyer.com/2020/08/24/the-complete-guide-to-dwi-vs-dui-laws-in-texas/" TargetMode="External"/><Relationship Id="rId1559" Type="http://schemas.openxmlformats.org/officeDocument/2006/relationships/hyperlink" Target="https://sbrownlawyer.com/child-custody/" TargetMode="External"/><Relationship Id="rId965" Type="http://schemas.openxmlformats.org/officeDocument/2006/relationships/hyperlink" Target="https://sbrownlawyer.com/2022/02/18/can-i-file-legal-separation-on-texas/" TargetMode="External"/><Relationship Id="rId964" Type="http://schemas.openxmlformats.org/officeDocument/2006/relationships/hyperlink" Target="https://sbrownlawyer.com/spinal-cord-injury/" TargetMode="External"/><Relationship Id="rId963" Type="http://schemas.openxmlformats.org/officeDocument/2006/relationships/hyperlink" Target="https://sbrownlawyer.com/2013/01/15/texas-child-support-state-seeks-money-from-sperm-donor/" TargetMode="External"/><Relationship Id="rId962" Type="http://schemas.openxmlformats.org/officeDocument/2006/relationships/hyperlink" Target="https://sbrownlawyer.com/family-law-attorney-in-galveston/" TargetMode="External"/><Relationship Id="rId969" Type="http://schemas.openxmlformats.org/officeDocument/2006/relationships/hyperlink" Target="https://sbrownlawyer.com/areas-we-serve/galveston-county/" TargetMode="External"/><Relationship Id="rId968" Type="http://schemas.openxmlformats.org/officeDocument/2006/relationships/hyperlink" Target="https://sbrownlawyer.com/attorneys/" TargetMode="External"/><Relationship Id="rId967" Type="http://schemas.openxmlformats.org/officeDocument/2006/relationships/hyperlink" Target="https://sbrownlawyer.com/head-injury/" TargetMode="External"/><Relationship Id="rId966" Type="http://schemas.openxmlformats.org/officeDocument/2006/relationships/hyperlink" Target="https://sbrownlawyer.com/uncontested-divorce-lawyer-in-pearland/" TargetMode="External"/><Relationship Id="rId2880" Type="http://schemas.openxmlformats.org/officeDocument/2006/relationships/hyperlink" Target="https://sbrownlawyer.com/league-city-high-net-worth-divorce-lawyer/" TargetMode="External"/><Relationship Id="rId961" Type="http://schemas.openxmlformats.org/officeDocument/2006/relationships/hyperlink" Target="https://sbrownlawyer.com/criminal-defense-book/" TargetMode="External"/><Relationship Id="rId1550" Type="http://schemas.openxmlformats.org/officeDocument/2006/relationships/hyperlink" Target="https://sbrownlawyer.com/2020/10/29/how-to-tell-if-youre-too-drunk-to-drive-and-how-to-prevent-yourself-from-becoming-a-drunk-driver/" TargetMode="External"/><Relationship Id="rId2881" Type="http://schemas.openxmlformats.org/officeDocument/2006/relationships/hyperlink" Target="https://sbrownlawyer.com/" TargetMode="External"/><Relationship Id="rId960" Type="http://schemas.openxmlformats.org/officeDocument/2006/relationships/hyperlink" Target="https://sbrownlawyer.com/protective-services/" TargetMode="External"/><Relationship Id="rId1551" Type="http://schemas.openxmlformats.org/officeDocument/2006/relationships/hyperlink" Target="https://sbrownlawyer.com/2017/06/12/are-dwi-checkpoints-legal-in-texas/" TargetMode="External"/><Relationship Id="rId2882" Type="http://schemas.openxmlformats.org/officeDocument/2006/relationships/hyperlink" Target="https://sbrownlawyer.com/" TargetMode="External"/><Relationship Id="rId1552" Type="http://schemas.openxmlformats.org/officeDocument/2006/relationships/hyperlink" Target="https://sbrownlawyer.com/2018/04/17/statutory-rape-age-of-consent-in-texas-how-old-is-too-old/" TargetMode="External"/><Relationship Id="rId2883" Type="http://schemas.openxmlformats.org/officeDocument/2006/relationships/hyperlink" Target="https://sbrownlawyer.com/2024/04/24/texas-alimony-am-i-entitled/" TargetMode="External"/><Relationship Id="rId1553" Type="http://schemas.openxmlformats.org/officeDocument/2006/relationships/hyperlink" Target="https://sbrownlawyer.com/prenuptial-agreements/" TargetMode="External"/><Relationship Id="rId2884" Type="http://schemas.openxmlformats.org/officeDocument/2006/relationships/hyperlink" Target="https://sbrownlawyer.com/2024/04/24/texas-alimony-am-i-entitled/" TargetMode="External"/><Relationship Id="rId1543" Type="http://schemas.openxmlformats.org/officeDocument/2006/relationships/hyperlink" Target="https://sbrownlawyer.com/pharmaceutical-litigation/" TargetMode="External"/><Relationship Id="rId2874" Type="http://schemas.openxmlformats.org/officeDocument/2006/relationships/hyperlink" Target="https://sbrownlawyer.com/divorce/" TargetMode="External"/><Relationship Id="rId1544" Type="http://schemas.openxmlformats.org/officeDocument/2006/relationships/hyperlink" Target="https://sbrownlawyer.com/slip-and-fall-accidents/" TargetMode="External"/><Relationship Id="rId2875" Type="http://schemas.openxmlformats.org/officeDocument/2006/relationships/hyperlink" Target="https://sbrownlawyer.com/grandparents-rights/" TargetMode="External"/><Relationship Id="rId1545" Type="http://schemas.openxmlformats.org/officeDocument/2006/relationships/hyperlink" Target="https://sbrownlawyer.com/2019/10/28/what-does-it-mean-to-be-deemed-an-unfit-parent/" TargetMode="External"/><Relationship Id="rId2876" Type="http://schemas.openxmlformats.org/officeDocument/2006/relationships/hyperlink" Target="https://sbrownlawyer.com/pharmaceutical-litigation/" TargetMode="External"/><Relationship Id="rId1546" Type="http://schemas.openxmlformats.org/officeDocument/2006/relationships/hyperlink" Target="https://sbrownlawyer.com/2024/12/27/understanding-the-naturalization-timeline-for-texas-residents/" TargetMode="External"/><Relationship Id="rId2877" Type="http://schemas.openxmlformats.org/officeDocument/2006/relationships/hyperlink" Target="https://sbrownlawyer.com/" TargetMode="External"/><Relationship Id="rId1547" Type="http://schemas.openxmlformats.org/officeDocument/2006/relationships/hyperlink" Target="https://sbrownlawyer.com/2019/10/08/can-you-sue-a-partner-that-infected-you-with-an-std/" TargetMode="External"/><Relationship Id="rId2878" Type="http://schemas.openxmlformats.org/officeDocument/2006/relationships/hyperlink" Target="https://sbrownlawyer.com/jones-act-claims/" TargetMode="External"/><Relationship Id="rId1548" Type="http://schemas.openxmlformats.org/officeDocument/2006/relationships/hyperlink" Target="https://sbrownlawyer.com/2018/04/17/statutory-rape-age-of-consent-in-texas-how-old-is-too-old/" TargetMode="External"/><Relationship Id="rId2879" Type="http://schemas.openxmlformats.org/officeDocument/2006/relationships/hyperlink" Target="https://sbrownlawyer.com/attorneys/" TargetMode="External"/><Relationship Id="rId1549" Type="http://schemas.openxmlformats.org/officeDocument/2006/relationships/hyperlink" Target="https://sbrownlawyer.com/" TargetMode="External"/><Relationship Id="rId959" Type="http://schemas.openxmlformats.org/officeDocument/2006/relationships/hyperlink" Target="https://sbrownlawyer.com/2024/03/20/texas-child-support-2024/" TargetMode="External"/><Relationship Id="rId954" Type="http://schemas.openxmlformats.org/officeDocument/2006/relationships/hyperlink" Target="https://sbrownlawyer.com/assault-charges/" TargetMode="External"/><Relationship Id="rId953" Type="http://schemas.openxmlformats.org/officeDocument/2006/relationships/hyperlink" Target="https://sbrownlawyer.com/league-city-divorce-2/" TargetMode="External"/><Relationship Id="rId952" Type="http://schemas.openxmlformats.org/officeDocument/2006/relationships/hyperlink" Target="https://sbrownlawyer.com/areas-we-serve/brazoria-county/lake-jackson/" TargetMode="External"/><Relationship Id="rId951" Type="http://schemas.openxmlformats.org/officeDocument/2006/relationships/hyperlink" Target="https://sbrownlawyer.com/" TargetMode="External"/><Relationship Id="rId958" Type="http://schemas.openxmlformats.org/officeDocument/2006/relationships/hyperlink" Target="https://sbrownlawyer.com/harris-county-modifications-of-orders-attorney/" TargetMode="External"/><Relationship Id="rId957" Type="http://schemas.openxmlformats.org/officeDocument/2006/relationships/hyperlink" Target="https://sbrownlawyer.com/" TargetMode="External"/><Relationship Id="rId956" Type="http://schemas.openxmlformats.org/officeDocument/2006/relationships/hyperlink" Target="https://sbrownlawyer.com/2018/04/12/do-you-need-uninsured-motorist-auto-insurance-coverage-in-texas/" TargetMode="External"/><Relationship Id="rId955" Type="http://schemas.openxmlformats.org/officeDocument/2006/relationships/hyperlink" Target="https://sbrownlawyer.com/2022/02/18/can-i-file-legal-separation-on-texas/" TargetMode="External"/><Relationship Id="rId950" Type="http://schemas.openxmlformats.org/officeDocument/2006/relationships/hyperlink" Target="https://sbrownlawyer.com/2019/10/08/can-you-sue-a-partner-that-infected-you-with-an-std/" TargetMode="External"/><Relationship Id="rId2870" Type="http://schemas.openxmlformats.org/officeDocument/2006/relationships/hyperlink" Target="https://sbrownlawyer.com/pharmaceutical-litigation/" TargetMode="External"/><Relationship Id="rId1540" Type="http://schemas.openxmlformats.org/officeDocument/2006/relationships/hyperlink" Target="https://sbrownlawyer.com/" TargetMode="External"/><Relationship Id="rId2871" Type="http://schemas.openxmlformats.org/officeDocument/2006/relationships/hyperlink" Target="https://sbrownlawyer.com/galveston-boating-and-ski-accident-lawyer/" TargetMode="External"/><Relationship Id="rId1541" Type="http://schemas.openxmlformats.org/officeDocument/2006/relationships/hyperlink" Target="https://sbrownlawyer.com/2019/01/15/are-divorce-rates-decreasing/" TargetMode="External"/><Relationship Id="rId2872" Type="http://schemas.openxmlformats.org/officeDocument/2006/relationships/hyperlink" Target="https://sbrownlawyer.com/texas/locations/league-city/" TargetMode="External"/><Relationship Id="rId1542" Type="http://schemas.openxmlformats.org/officeDocument/2006/relationships/hyperlink" Target="https://sbrownlawyer.com/2018/04/23/how-do-bond-reductions-work/" TargetMode="External"/><Relationship Id="rId2873" Type="http://schemas.openxmlformats.org/officeDocument/2006/relationships/hyperlink" Target="https://sbrownlawyer.com/2018/04/12/do-you-need-uninsured-motorist-auto-insurance-coverage-in-texas/" TargetMode="External"/><Relationship Id="rId2027" Type="http://schemas.openxmlformats.org/officeDocument/2006/relationships/hyperlink" Target="https://sbrownlawyer.com/" TargetMode="External"/><Relationship Id="rId2028" Type="http://schemas.openxmlformats.org/officeDocument/2006/relationships/hyperlink" Target="https://sbrownlawyer.com/gray-divorce/" TargetMode="External"/><Relationship Id="rId2029" Type="http://schemas.openxmlformats.org/officeDocument/2006/relationships/hyperlink" Target="https://sbrownlawyer.com/attorneys/" TargetMode="External"/><Relationship Id="rId107" Type="http://schemas.openxmlformats.org/officeDocument/2006/relationships/hyperlink" Target="https://sbrownlawyer.com/texas/locations/pearland/?utm_campaign=gmbpearland" TargetMode="External"/><Relationship Id="rId106" Type="http://schemas.openxmlformats.org/officeDocument/2006/relationships/hyperlink" Target="https://sbrownlawyer.com/texas/locations/league-city/?utm_campaign=gmbleaguecity" TargetMode="External"/><Relationship Id="rId105" Type="http://schemas.openxmlformats.org/officeDocument/2006/relationships/hyperlink" Target="https://sbrownlawyer.com/grand-theft/" TargetMode="External"/><Relationship Id="rId104" Type="http://schemas.openxmlformats.org/officeDocument/2006/relationships/hyperlink" Target="https://sbrownlawyer.com/grand-theft/" TargetMode="External"/><Relationship Id="rId109" Type="http://schemas.openxmlformats.org/officeDocument/2006/relationships/hyperlink" Target="https://sbrownlawyer.com/" TargetMode="External"/><Relationship Id="rId108" Type="http://schemas.openxmlformats.org/officeDocument/2006/relationships/hyperlink" Target="https://sbrownlawyer.com/texas/locations/angleton/?utm_campaign=gmbangleton" TargetMode="External"/><Relationship Id="rId2020" Type="http://schemas.openxmlformats.org/officeDocument/2006/relationships/hyperlink" Target="https://sbrownlawyer.com/2024/03/26/grandparent-custody-rights/" TargetMode="External"/><Relationship Id="rId2021" Type="http://schemas.openxmlformats.org/officeDocument/2006/relationships/hyperlink" Target="https://sbrownlawyer.com/falsely-accused/" TargetMode="External"/><Relationship Id="rId2022" Type="http://schemas.openxmlformats.org/officeDocument/2006/relationships/hyperlink" Target="https://sbrownlawyer.com/attorneys/" TargetMode="External"/><Relationship Id="rId103" Type="http://schemas.openxmlformats.org/officeDocument/2006/relationships/hyperlink" Target="https://sbrownlawyer.com/texas/locations/angleton/?utm_campaign=gmbangleton" TargetMode="External"/><Relationship Id="rId2023" Type="http://schemas.openxmlformats.org/officeDocument/2006/relationships/hyperlink" Target="https://sbrownlawyer.com/sex-crimes/sex-offender-registration/" TargetMode="External"/><Relationship Id="rId102" Type="http://schemas.openxmlformats.org/officeDocument/2006/relationships/hyperlink" Target="https://sbrownlawyer.com/reckless-driving/" TargetMode="External"/><Relationship Id="rId2024" Type="http://schemas.openxmlformats.org/officeDocument/2006/relationships/hyperlink" Target="https://sbrownlawyer.com/obscenity/" TargetMode="External"/><Relationship Id="rId101" Type="http://schemas.openxmlformats.org/officeDocument/2006/relationships/hyperlink" Target="https://sbrownlawyer.com/reckless-driving/" TargetMode="External"/><Relationship Id="rId2025" Type="http://schemas.openxmlformats.org/officeDocument/2006/relationships/hyperlink" Target="https://sbrownlawyer.com/attorneys/" TargetMode="External"/><Relationship Id="rId100" Type="http://schemas.openxmlformats.org/officeDocument/2006/relationships/hyperlink" Target="https://sbrownlawyer.com/2024/12/27/understanding-the-naturalization-timeline-for-texas-residents/" TargetMode="External"/><Relationship Id="rId2026" Type="http://schemas.openxmlformats.org/officeDocument/2006/relationships/hyperlink" Target="https://sbrownlawyer.com/head-injury/" TargetMode="External"/><Relationship Id="rId2016" Type="http://schemas.openxmlformats.org/officeDocument/2006/relationships/hyperlink" Target="https://sbrownlawyer.com/" TargetMode="External"/><Relationship Id="rId2017" Type="http://schemas.openxmlformats.org/officeDocument/2006/relationships/hyperlink" Target="https://sbrownlawyer.com/2013/01/15/texas-child-support-state-seeks-money-from-sperm-donor/" TargetMode="External"/><Relationship Id="rId2018" Type="http://schemas.openxmlformats.org/officeDocument/2006/relationships/hyperlink" Target="https://sbrownlawyer.com/" TargetMode="External"/><Relationship Id="rId2019" Type="http://schemas.openxmlformats.org/officeDocument/2006/relationships/hyperlink" Target="https://sbrownlawyer.com/firm-overview/" TargetMode="External"/><Relationship Id="rId2010" Type="http://schemas.openxmlformats.org/officeDocument/2006/relationships/hyperlink" Target="https://sbrownlawyer.com/attorneys/" TargetMode="External"/><Relationship Id="rId2011" Type="http://schemas.openxmlformats.org/officeDocument/2006/relationships/hyperlink" Target="https://sbrownlawyer.com/2024/07/08/open-vs-closed-aoption-angleton-texas/" TargetMode="External"/><Relationship Id="rId2012" Type="http://schemas.openxmlformats.org/officeDocument/2006/relationships/hyperlink" Target="https://sbrownlawyer.com/2024/12/27/understanding-the-naturalization-timeline-for-texas-residents/" TargetMode="External"/><Relationship Id="rId2013" Type="http://schemas.openxmlformats.org/officeDocument/2006/relationships/hyperlink" Target="https://sbrownlawyer.com/2024/03/26/grandparent-custody-rights/" TargetMode="External"/><Relationship Id="rId2014" Type="http://schemas.openxmlformats.org/officeDocument/2006/relationships/hyperlink" Target="https://sbrownlawyer.com/" TargetMode="External"/><Relationship Id="rId2015" Type="http://schemas.openxmlformats.org/officeDocument/2006/relationships/hyperlink" Target="https://sbrownlawyer.com/2022/02/18/can-i-file-legal-separation-on-texas/" TargetMode="External"/><Relationship Id="rId2049" Type="http://schemas.openxmlformats.org/officeDocument/2006/relationships/hyperlink" Target="https://sbrownlawyer.com/2019/03/08/do-stepparents-ever-have-rights-in-a-divorce/" TargetMode="External"/><Relationship Id="rId129" Type="http://schemas.openxmlformats.org/officeDocument/2006/relationships/hyperlink" Target="https://sbrownlawyer.com/2018/04/23/how-do-bond-reductions-work/" TargetMode="External"/><Relationship Id="rId128" Type="http://schemas.openxmlformats.org/officeDocument/2006/relationships/hyperlink" Target="https://sbrownlawyer.com/texas/locations/angleton/?utm_campaign=gmbangleton" TargetMode="External"/><Relationship Id="rId127" Type="http://schemas.openxmlformats.org/officeDocument/2006/relationships/hyperlink" Target="https://sbrownlawyer.com/2019/10/08/can-you-sue-a-partner-that-infected-you-with-an-std/" TargetMode="External"/><Relationship Id="rId126" Type="http://schemas.openxmlformats.org/officeDocument/2006/relationships/hyperlink" Target="https://sbrownlawyer.com/texas/locations/pearland/?utm_campaign=gmbpearland" TargetMode="External"/><Relationship Id="rId2040" Type="http://schemas.openxmlformats.org/officeDocument/2006/relationships/hyperlink" Target="https://sbrownlawyer.com/2020/10/29/how-to-tell-if-youre-too-drunk-to-drive-and-how-to-prevent-yourself-from-becoming-a-drunk-driver/" TargetMode="External"/><Relationship Id="rId121" Type="http://schemas.openxmlformats.org/officeDocument/2006/relationships/hyperlink" Target="https://sbrownlawyer.com/texas/locations/pearland/?utm_campaign=gmbpearland" TargetMode="External"/><Relationship Id="rId2041" Type="http://schemas.openxmlformats.org/officeDocument/2006/relationships/hyperlink" Target="https://sbrownlawyer.com/league-city-theft-crimes/" TargetMode="External"/><Relationship Id="rId120" Type="http://schemas.openxmlformats.org/officeDocument/2006/relationships/hyperlink" Target="https://sbrownlawyer.com/texas/locations/angleton/?utm_campaign=gmbangleton" TargetMode="External"/><Relationship Id="rId2042" Type="http://schemas.openxmlformats.org/officeDocument/2006/relationships/hyperlink" Target="https://sbrownlawyer.com/2019/05/16/motorcycle-laws-regarding-children-in-texas/" TargetMode="External"/><Relationship Id="rId2043" Type="http://schemas.openxmlformats.org/officeDocument/2006/relationships/hyperlink" Target="https://sbrownlawyer.com/" TargetMode="External"/><Relationship Id="rId2044" Type="http://schemas.openxmlformats.org/officeDocument/2006/relationships/hyperlink" Target="https://sbrownlawyer.com/galveston-theft-crimes/" TargetMode="External"/><Relationship Id="rId125" Type="http://schemas.openxmlformats.org/officeDocument/2006/relationships/hyperlink" Target="https://sbrownlawyer.com/2019/10/08/can-you-sue-a-partner-that-infected-you-with-an-std/" TargetMode="External"/><Relationship Id="rId2045" Type="http://schemas.openxmlformats.org/officeDocument/2006/relationships/hyperlink" Target="https://sbrownlawyer.com/galveston-theft-crimes/" TargetMode="External"/><Relationship Id="rId124" Type="http://schemas.openxmlformats.org/officeDocument/2006/relationships/hyperlink" Target="https://sbrownlawyer.com/2024/04/24/texas-alimony-am-i-entitled/" TargetMode="External"/><Relationship Id="rId2046" Type="http://schemas.openxmlformats.org/officeDocument/2006/relationships/hyperlink" Target="https://sbrownlawyer.com/2020/10/29/how-to-tell-if-youre-too-drunk-to-drive-and-how-to-prevent-yourself-from-becoming-a-drunk-driver/" TargetMode="External"/><Relationship Id="rId123" Type="http://schemas.openxmlformats.org/officeDocument/2006/relationships/hyperlink" Target="https://sbrownlawyer.com/2024/03/20/texas-child-support-2024/" TargetMode="External"/><Relationship Id="rId2047" Type="http://schemas.openxmlformats.org/officeDocument/2006/relationships/hyperlink" Target="https://sbrownlawyer.com/attorneys/" TargetMode="External"/><Relationship Id="rId122" Type="http://schemas.openxmlformats.org/officeDocument/2006/relationships/hyperlink" Target="https://sbrownlawyer.com/" TargetMode="External"/><Relationship Id="rId2048" Type="http://schemas.openxmlformats.org/officeDocument/2006/relationships/hyperlink" Target="https://sbrownlawyer.com/what-is-dwi/" TargetMode="External"/><Relationship Id="rId2038" Type="http://schemas.openxmlformats.org/officeDocument/2006/relationships/hyperlink" Target="https://sbrownlawyer.com/2024/04/24/texas-alimony-am-i-entitled/" TargetMode="External"/><Relationship Id="rId2039" Type="http://schemas.openxmlformats.org/officeDocument/2006/relationships/hyperlink" Target="https://sbrownlawyer.com/" TargetMode="External"/><Relationship Id="rId118" Type="http://schemas.openxmlformats.org/officeDocument/2006/relationships/hyperlink" Target="https://sbrownlawyer.com/misdemeanor/" TargetMode="External"/><Relationship Id="rId117" Type="http://schemas.openxmlformats.org/officeDocument/2006/relationships/hyperlink" Target="https://sbrownlawyer.com/" TargetMode="External"/><Relationship Id="rId116" Type="http://schemas.openxmlformats.org/officeDocument/2006/relationships/hyperlink" Target="https://sbrownlawyer.com/texas/locations/angleton/?utm_campaign=gmbangleton" TargetMode="External"/><Relationship Id="rId115" Type="http://schemas.openxmlformats.org/officeDocument/2006/relationships/hyperlink" Target="https://sbrownlawyer.com/texas/locations/pearland/?utm_campaign=gmbpearland" TargetMode="External"/><Relationship Id="rId119" Type="http://schemas.openxmlformats.org/officeDocument/2006/relationships/hyperlink" Target="https://sbrownlawyer.com/texas/locations/league-city/?utm_campaign=gmbleaguecity" TargetMode="External"/><Relationship Id="rId110" Type="http://schemas.openxmlformats.org/officeDocument/2006/relationships/hyperlink" Target="https://sbrownlawyer.com/postnuptial-agreements/" TargetMode="External"/><Relationship Id="rId2030" Type="http://schemas.openxmlformats.org/officeDocument/2006/relationships/hyperlink" Target="https://sbrownlawyer.com/sex-crimes/sex-offender-registration/" TargetMode="External"/><Relationship Id="rId2031" Type="http://schemas.openxmlformats.org/officeDocument/2006/relationships/hyperlink" Target="https://sbrownlawyer.com/immigration/" TargetMode="External"/><Relationship Id="rId2032" Type="http://schemas.openxmlformats.org/officeDocument/2006/relationships/hyperlink" Target="https://sbrownlawyer.com/harris-county-child-custody-attorneys/" TargetMode="External"/><Relationship Id="rId2033" Type="http://schemas.openxmlformats.org/officeDocument/2006/relationships/hyperlink" Target="https://sbrownlawyer.com/hit-and-run/" TargetMode="External"/><Relationship Id="rId114" Type="http://schemas.openxmlformats.org/officeDocument/2006/relationships/hyperlink" Target="https://sbrownlawyer.com/texas/locations/league-city/?utm_campaign=gmbleaguecity" TargetMode="External"/><Relationship Id="rId2034" Type="http://schemas.openxmlformats.org/officeDocument/2006/relationships/hyperlink" Target="https://sbrownlawyer.com/blaire-evans/" TargetMode="External"/><Relationship Id="rId113" Type="http://schemas.openxmlformats.org/officeDocument/2006/relationships/hyperlink" Target="https://sbrownlawyer.com/2024/10/18/over-55-divorce/" TargetMode="External"/><Relationship Id="rId2035" Type="http://schemas.openxmlformats.org/officeDocument/2006/relationships/hyperlink" Target="https://sbrownlawyer.com/" TargetMode="External"/><Relationship Id="rId112" Type="http://schemas.openxmlformats.org/officeDocument/2006/relationships/hyperlink" Target="https://sbrownlawyer.com/2024/04/24/texas-alimony-am-i-entitled/" TargetMode="External"/><Relationship Id="rId2036" Type="http://schemas.openxmlformats.org/officeDocument/2006/relationships/hyperlink" Target="https://sbrownlawyer.com/league-city-tx-theft-crimes/" TargetMode="External"/><Relationship Id="rId111" Type="http://schemas.openxmlformats.org/officeDocument/2006/relationships/hyperlink" Target="https://sbrownlawyer.com/2024/12/27/understanding-the-naturalization-timeline-for-texas-residents/" TargetMode="External"/><Relationship Id="rId2037" Type="http://schemas.openxmlformats.org/officeDocument/2006/relationships/hyperlink" Target="https://sbrownlawyer.com/2021/04/07/reasons-grandparents-can-file-for-custody-of-grandchild-in-texas/" TargetMode="External"/><Relationship Id="rId2005" Type="http://schemas.openxmlformats.org/officeDocument/2006/relationships/hyperlink" Target="https://sbrownlawyer.com/child-support/" TargetMode="External"/><Relationship Id="rId2006" Type="http://schemas.openxmlformats.org/officeDocument/2006/relationships/hyperlink" Target="https://sbrownlawyer.com/attorneys/" TargetMode="External"/><Relationship Id="rId2007" Type="http://schemas.openxmlformats.org/officeDocument/2006/relationships/hyperlink" Target="https://sbrownlawyer.com/2020/10/29/how-to-tell-if-youre-too-drunk-to-drive-and-how-to-prevent-yourself-from-becoming-a-drunk-driver/" TargetMode="External"/><Relationship Id="rId2008" Type="http://schemas.openxmlformats.org/officeDocument/2006/relationships/hyperlink" Target="https://sbrownlawyer.com/internet-sex-crimes/" TargetMode="External"/><Relationship Id="rId2009" Type="http://schemas.openxmlformats.org/officeDocument/2006/relationships/hyperlink" Target="https://sbrownlawyer.com/2024/03/26/grandparent-custody-rights/" TargetMode="External"/><Relationship Id="rId2000" Type="http://schemas.openxmlformats.org/officeDocument/2006/relationships/hyperlink" Target="https://sbrownlawyer.com/domestic-violence-attorney/" TargetMode="External"/><Relationship Id="rId2001" Type="http://schemas.openxmlformats.org/officeDocument/2006/relationships/hyperlink" Target="https://sbrownlawyer.com/2021/09/20/5-quiet-signs-of-divorce-and-what-to-do-about-it/" TargetMode="External"/><Relationship Id="rId2002" Type="http://schemas.openxmlformats.org/officeDocument/2006/relationships/hyperlink" Target="https://sbrownlawyer.com/" TargetMode="External"/><Relationship Id="rId2003" Type="http://schemas.openxmlformats.org/officeDocument/2006/relationships/hyperlink" Target="https://sbrownlawyer.com/galveston-juvenile-crimes-attorney/" TargetMode="External"/><Relationship Id="rId2004" Type="http://schemas.openxmlformats.org/officeDocument/2006/relationships/hyperlink" Target="https://sbrownlawyer.com/drug-crimes/" TargetMode="External"/><Relationship Id="rId2090" Type="http://schemas.openxmlformats.org/officeDocument/2006/relationships/hyperlink" Target="https://sbrownlawyer.com/" TargetMode="External"/><Relationship Id="rId2091" Type="http://schemas.openxmlformats.org/officeDocument/2006/relationships/hyperlink" Target="https://sbrownlawyer.com/" TargetMode="External"/><Relationship Id="rId2092" Type="http://schemas.openxmlformats.org/officeDocument/2006/relationships/hyperlink" Target="https://sbrownlawyer.com/2020/10/29/how-to-tell-if-youre-too-drunk-to-drive-and-how-to-prevent-yourself-from-becoming-a-drunk-driver/" TargetMode="External"/><Relationship Id="rId2093" Type="http://schemas.openxmlformats.org/officeDocument/2006/relationships/hyperlink" Target="https://sbrownlawyer.com/2024/11/29/how-to-meet-texas-adjustment-of-status-requirements-for-spouses/" TargetMode="External"/><Relationship Id="rId2094" Type="http://schemas.openxmlformats.org/officeDocument/2006/relationships/hyperlink" Target="https://sbrownlawyer.com/2022/02/18/can-i-file-legal-separation-on-texas/" TargetMode="External"/><Relationship Id="rId2095" Type="http://schemas.openxmlformats.org/officeDocument/2006/relationships/hyperlink" Target="https://sbrownlawyer.com/" TargetMode="External"/><Relationship Id="rId2096" Type="http://schemas.openxmlformats.org/officeDocument/2006/relationships/hyperlink" Target="https://sbrownlawyer.com/obscenity/" TargetMode="External"/><Relationship Id="rId2097" Type="http://schemas.openxmlformats.org/officeDocument/2006/relationships/hyperlink" Target="https://sbrownlawyer.com/2019/09/15/how-to-fight-a-protective-order/" TargetMode="External"/><Relationship Id="rId2098" Type="http://schemas.openxmlformats.org/officeDocument/2006/relationships/hyperlink" Target="https://sbrownlawyer.com/" TargetMode="External"/><Relationship Id="rId2099" Type="http://schemas.openxmlformats.org/officeDocument/2006/relationships/hyperlink" Target="https://sbrownlawyer.com/texas/locations/angleton/" TargetMode="External"/><Relationship Id="rId2060" Type="http://schemas.openxmlformats.org/officeDocument/2006/relationships/hyperlink" Target="https://sbrownlawyer.com/sex-crimes/texas-sex-crime-law/" TargetMode="External"/><Relationship Id="rId2061" Type="http://schemas.openxmlformats.org/officeDocument/2006/relationships/hyperlink" Target="https://sbrownlawyer.com/league-city-tx-office-of-scott-m-brown-associates/" TargetMode="External"/><Relationship Id="rId2062" Type="http://schemas.openxmlformats.org/officeDocument/2006/relationships/hyperlink" Target="https://sbrownlawyer.com/grand-theft/" TargetMode="External"/><Relationship Id="rId2063" Type="http://schemas.openxmlformats.org/officeDocument/2006/relationships/hyperlink" Target="https://sbrownlawyer.com/2022/02/18/can-i-file-legal-separation-on-texas/" TargetMode="External"/><Relationship Id="rId2064" Type="http://schemas.openxmlformats.org/officeDocument/2006/relationships/hyperlink" Target="https://sbrownlawyer.com/domestic-violence-attorney/" TargetMode="External"/><Relationship Id="rId2065" Type="http://schemas.openxmlformats.org/officeDocument/2006/relationships/hyperlink" Target="https://sbrownlawyer.com/domestic-abuse-and-protective-orders/" TargetMode="External"/><Relationship Id="rId2066" Type="http://schemas.openxmlformats.org/officeDocument/2006/relationships/hyperlink" Target="https://sbrownlawyer.com/slip-and-fall-accidents/" TargetMode="External"/><Relationship Id="rId2067" Type="http://schemas.openxmlformats.org/officeDocument/2006/relationships/hyperlink" Target="https://sbrownlawyer.com/2018/04/17/statutory-rape-age-of-consent-in-texas-how-old-is-too-old/" TargetMode="External"/><Relationship Id="rId2068" Type="http://schemas.openxmlformats.org/officeDocument/2006/relationships/hyperlink" Target="https://sbrownlawyer.com/" TargetMode="External"/><Relationship Id="rId2069" Type="http://schemas.openxmlformats.org/officeDocument/2006/relationships/hyperlink" Target="https://sbrownlawyer.com/2020/10/29/how-to-tell-if-youre-too-drunk-to-drive-and-how-to-prevent-yourself-from-becoming-a-drunk-driver/" TargetMode="External"/><Relationship Id="rId2050" Type="http://schemas.openxmlformats.org/officeDocument/2006/relationships/hyperlink" Target="https://sbrownlawyer.com/expungement/" TargetMode="External"/><Relationship Id="rId2051" Type="http://schemas.openxmlformats.org/officeDocument/2006/relationships/hyperlink" Target="https://sbrownlawyer.com/theft-and-shoplifting/aggravated-burglary/" TargetMode="External"/><Relationship Id="rId2052" Type="http://schemas.openxmlformats.org/officeDocument/2006/relationships/hyperlink" Target="https://sbrownlawyer.com/attorneys/" TargetMode="External"/><Relationship Id="rId2053" Type="http://schemas.openxmlformats.org/officeDocument/2006/relationships/hyperlink" Target="https://sbrownlawyer.com/parental-alienation/" TargetMode="External"/><Relationship Id="rId2054" Type="http://schemas.openxmlformats.org/officeDocument/2006/relationships/hyperlink" Target="https://sbrownlawyer.com/attorneys/" TargetMode="External"/><Relationship Id="rId2055" Type="http://schemas.openxmlformats.org/officeDocument/2006/relationships/hyperlink" Target="https://sbrownlawyer.com/" TargetMode="External"/><Relationship Id="rId2056" Type="http://schemas.openxmlformats.org/officeDocument/2006/relationships/hyperlink" Target="https://sbrownlawyer.com/2017/08/24/second-chance-bill-what-does-it-mean-now-that-its-passed/" TargetMode="External"/><Relationship Id="rId2057" Type="http://schemas.openxmlformats.org/officeDocument/2006/relationships/hyperlink" Target="https://sbrownlawyer.com/drug-crimes/" TargetMode="External"/><Relationship Id="rId2058" Type="http://schemas.openxmlformats.org/officeDocument/2006/relationships/hyperlink" Target="https://sbrownlawyer.com/" TargetMode="External"/><Relationship Id="rId2059" Type="http://schemas.openxmlformats.org/officeDocument/2006/relationships/hyperlink" Target="https://sbrownlawyer.com/uncontested-divorce-lawyer-in-pearland/" TargetMode="External"/><Relationship Id="rId2080" Type="http://schemas.openxmlformats.org/officeDocument/2006/relationships/hyperlink" Target="https://sbrownlawyer.com/2021/03/15/who-qualifies-for-a-temporary-protective-order-in-texas-and-other-frequently-asked-questions/" TargetMode="External"/><Relationship Id="rId2081" Type="http://schemas.openxmlformats.org/officeDocument/2006/relationships/hyperlink" Target="https://sbrownlawyer.com/sex-crimes/" TargetMode="External"/><Relationship Id="rId2082" Type="http://schemas.openxmlformats.org/officeDocument/2006/relationships/hyperlink" Target="https://sbrownlawyer.com/2019/10/08/can-you-sue-a-partner-that-infected-you-with-an-std/" TargetMode="External"/><Relationship Id="rId2083" Type="http://schemas.openxmlformats.org/officeDocument/2006/relationships/hyperlink" Target="https://sbrownlawyer.com/what-is-dwi/" TargetMode="External"/><Relationship Id="rId2084" Type="http://schemas.openxmlformats.org/officeDocument/2006/relationships/hyperlink" Target="https://sbrownlawyer.com/2024/12/27/understanding-the-naturalization-timeline-for-texas-residents/" TargetMode="External"/><Relationship Id="rId2085" Type="http://schemas.openxmlformats.org/officeDocument/2006/relationships/hyperlink" Target="https://sbrownlawyer.com/attorneys/" TargetMode="External"/><Relationship Id="rId2086" Type="http://schemas.openxmlformats.org/officeDocument/2006/relationships/hyperlink" Target="https://sbrownlawyer.com/assault/" TargetMode="External"/><Relationship Id="rId2087" Type="http://schemas.openxmlformats.org/officeDocument/2006/relationships/hyperlink" Target="https://sbrownlawyer.com/" TargetMode="External"/><Relationship Id="rId2088" Type="http://schemas.openxmlformats.org/officeDocument/2006/relationships/hyperlink" Target="https://sbrownlawyer.com/assault/" TargetMode="External"/><Relationship Id="rId2089" Type="http://schemas.openxmlformats.org/officeDocument/2006/relationships/hyperlink" Target="https://sbrownlawyer.com/falsely-accused/" TargetMode="External"/><Relationship Id="rId2070" Type="http://schemas.openxmlformats.org/officeDocument/2006/relationships/hyperlink" Target="https://sbrownlawyer.com/cohabitation/" TargetMode="External"/><Relationship Id="rId2071" Type="http://schemas.openxmlformats.org/officeDocument/2006/relationships/hyperlink" Target="https://sbrownlawyer.com/attorneys/" TargetMode="External"/><Relationship Id="rId2072" Type="http://schemas.openxmlformats.org/officeDocument/2006/relationships/hyperlink" Target="https://sbrownlawyer.com/divorce-lawyer-in-galveston-county/" TargetMode="External"/><Relationship Id="rId2073" Type="http://schemas.openxmlformats.org/officeDocument/2006/relationships/hyperlink" Target="https://sbrownlawyer.com/postnuptial-agreements/" TargetMode="External"/><Relationship Id="rId2074" Type="http://schemas.openxmlformats.org/officeDocument/2006/relationships/hyperlink" Target="https://sbrownlawyer.com/attorneys/" TargetMode="External"/><Relationship Id="rId2075" Type="http://schemas.openxmlformats.org/officeDocument/2006/relationships/hyperlink" Target="https://sbrownlawyer.com/2021/07/20/8-questions-to-ask-dui-attorneys/" TargetMode="External"/><Relationship Id="rId2076" Type="http://schemas.openxmlformats.org/officeDocument/2006/relationships/hyperlink" Target="https://sbrownlawyer.com/2020/07/13/10-signs-divorced-parents-are-doing-right-by-their-kids/" TargetMode="External"/><Relationship Id="rId2077" Type="http://schemas.openxmlformats.org/officeDocument/2006/relationships/hyperlink" Target="https://sbrownlawyer.com/do-not-blow/" TargetMode="External"/><Relationship Id="rId2078" Type="http://schemas.openxmlformats.org/officeDocument/2006/relationships/hyperlink" Target="https://sbrownlawyer.com/hiring-sexual-assault-defense-lawyer/" TargetMode="External"/><Relationship Id="rId2079" Type="http://schemas.openxmlformats.org/officeDocument/2006/relationships/hyperlink" Target="https://sbrownlawyer.com/harris-county-family-law/" TargetMode="External"/><Relationship Id="rId2940" Type="http://schemas.openxmlformats.org/officeDocument/2006/relationships/hyperlink" Target="https://sbrownlawyer.com/2018/05/15/what-is-medical-support-in-texas/" TargetMode="External"/><Relationship Id="rId1610" Type="http://schemas.openxmlformats.org/officeDocument/2006/relationships/hyperlink" Target="https://sbrownlawyer.com/attorneys/" TargetMode="External"/><Relationship Id="rId2941" Type="http://schemas.openxmlformats.org/officeDocument/2006/relationships/hyperlink" Target="https://sbrownlawyer.com/divorce/" TargetMode="External"/><Relationship Id="rId1611" Type="http://schemas.openxmlformats.org/officeDocument/2006/relationships/hyperlink" Target="https://sbrownlawyer.com/attorneys/" TargetMode="External"/><Relationship Id="rId2942" Type="http://schemas.openxmlformats.org/officeDocument/2006/relationships/hyperlink" Target="https://sbrownlawyer.com/" TargetMode="External"/><Relationship Id="rId1612" Type="http://schemas.openxmlformats.org/officeDocument/2006/relationships/hyperlink" Target="https://sbrownlawyer.com/sex-crimes/texas-sex-crime-law/" TargetMode="External"/><Relationship Id="rId2943" Type="http://schemas.openxmlformats.org/officeDocument/2006/relationships/hyperlink" Target="https://sbrownlawyer.com/league-city-tx-personal-injury-lawyer/" TargetMode="External"/><Relationship Id="rId1613" Type="http://schemas.openxmlformats.org/officeDocument/2006/relationships/hyperlink" Target="https://sbrownlawyer.com/2024/09/23/is-leaving-the-scene-of-an-accident-a-felony-in-angleton/" TargetMode="External"/><Relationship Id="rId2944" Type="http://schemas.openxmlformats.org/officeDocument/2006/relationships/hyperlink" Target="https://sbrownlawyer.com/attorneys/" TargetMode="External"/><Relationship Id="rId1614" Type="http://schemas.openxmlformats.org/officeDocument/2006/relationships/hyperlink" Target="https://sbrownlawyer.com/2024/03/26/grandparent-custody-rights/" TargetMode="External"/><Relationship Id="rId2945" Type="http://schemas.openxmlformats.org/officeDocument/2006/relationships/hyperlink" Target="https://sbrownlawyer.com/attorneys/" TargetMode="External"/><Relationship Id="rId1615" Type="http://schemas.openxmlformats.org/officeDocument/2006/relationships/hyperlink" Target="https://sbrownlawyer.com/2024/07/04/expungement-vs-sealing-what-is-the-best-option/" TargetMode="External"/><Relationship Id="rId2946" Type="http://schemas.openxmlformats.org/officeDocument/2006/relationships/hyperlink" Target="https://sbrownlawyer.com/criminal-defense-book/" TargetMode="External"/><Relationship Id="rId1616" Type="http://schemas.openxmlformats.org/officeDocument/2006/relationships/hyperlink" Target="https://sbrownlawyer.com/2018/01/28/silencers-are-not-prohibited-weapons/" TargetMode="External"/><Relationship Id="rId2947" Type="http://schemas.openxmlformats.org/officeDocument/2006/relationships/hyperlink" Target="https://sbrownlawyer.com/assault/" TargetMode="External"/><Relationship Id="rId907" Type="http://schemas.openxmlformats.org/officeDocument/2006/relationships/hyperlink" Target="https://sbrownlawyer.com/asset-division/" TargetMode="External"/><Relationship Id="rId1617" Type="http://schemas.openxmlformats.org/officeDocument/2006/relationships/hyperlink" Target="https://sbrownlawyer.com/2017/11/21/new-texas-law-bans-texting-while-driving/" TargetMode="External"/><Relationship Id="rId2948" Type="http://schemas.openxmlformats.org/officeDocument/2006/relationships/hyperlink" Target="https://sbrownlawyer.com/" TargetMode="External"/><Relationship Id="rId906" Type="http://schemas.openxmlformats.org/officeDocument/2006/relationships/hyperlink" Target="https://sbrownlawyer.com/drug-crimes/" TargetMode="External"/><Relationship Id="rId1618" Type="http://schemas.openxmlformats.org/officeDocument/2006/relationships/hyperlink" Target="https://sbrownlawyer.com/attorneys/" TargetMode="External"/><Relationship Id="rId2949" Type="http://schemas.openxmlformats.org/officeDocument/2006/relationships/hyperlink" Target="https://sbrownlawyer.com/areas-we-serve/fort-bend-county/" TargetMode="External"/><Relationship Id="rId905" Type="http://schemas.openxmlformats.org/officeDocument/2006/relationships/hyperlink" Target="https://sbrownlawyer.com/criminal-defense/" TargetMode="External"/><Relationship Id="rId1619" Type="http://schemas.openxmlformats.org/officeDocument/2006/relationships/hyperlink" Target="https://sbrownlawyer.com/2019/01/08/does-cheating-affect-spousal-support/" TargetMode="External"/><Relationship Id="rId904" Type="http://schemas.openxmlformats.org/officeDocument/2006/relationships/hyperlink" Target="https://sbrownlawyer.com/" TargetMode="External"/><Relationship Id="rId909" Type="http://schemas.openxmlformats.org/officeDocument/2006/relationships/hyperlink" Target="https://sbrownlawyer.com/sex-crimes/" TargetMode="External"/><Relationship Id="rId908" Type="http://schemas.openxmlformats.org/officeDocument/2006/relationships/hyperlink" Target="https://sbrownlawyer.com/2024/12/27/understanding-the-naturalization-timeline-for-texas-residents/" TargetMode="External"/><Relationship Id="rId903" Type="http://schemas.openxmlformats.org/officeDocument/2006/relationships/hyperlink" Target="https://sbrownlawyer.com/2024/03/20/texas-child-support-2024/" TargetMode="External"/><Relationship Id="rId902" Type="http://schemas.openxmlformats.org/officeDocument/2006/relationships/hyperlink" Target="https://sbrownlawyer.com/personal-injury/" TargetMode="External"/><Relationship Id="rId901" Type="http://schemas.openxmlformats.org/officeDocument/2006/relationships/hyperlink" Target="https://sbrownlawyer.com/parental-relocation/" TargetMode="External"/><Relationship Id="rId900" Type="http://schemas.openxmlformats.org/officeDocument/2006/relationships/hyperlink" Target="https://sbrownlawyer.com/2020/12/28/what-to-ask-your-family-lawyer-about-your-child-custody-agreement/" TargetMode="External"/><Relationship Id="rId2930" Type="http://schemas.openxmlformats.org/officeDocument/2006/relationships/hyperlink" Target="https://sbrownlawyer.com/2017/11/01/the-ins-and-outs-of-5050-custody-or-possession/" TargetMode="External"/><Relationship Id="rId1600" Type="http://schemas.openxmlformats.org/officeDocument/2006/relationships/hyperlink" Target="https://sbrownlawyer.com/galveston-child-custody-lawyer/" TargetMode="External"/><Relationship Id="rId2931" Type="http://schemas.openxmlformats.org/officeDocument/2006/relationships/hyperlink" Target="https://sbrownlawyer.com/2017/12/01/modifying-custody-in-the-state-of-texas/" TargetMode="External"/><Relationship Id="rId1601" Type="http://schemas.openxmlformats.org/officeDocument/2006/relationships/hyperlink" Target="https://sbrownlawyer.com/public-indecency/" TargetMode="External"/><Relationship Id="rId2932" Type="http://schemas.openxmlformats.org/officeDocument/2006/relationships/hyperlink" Target="https://sbrownlawyer.com/attorneys/" TargetMode="External"/><Relationship Id="rId1602" Type="http://schemas.openxmlformats.org/officeDocument/2006/relationships/hyperlink" Target="https://sbrownlawyer.com/reckless-driving/" TargetMode="External"/><Relationship Id="rId2933" Type="http://schemas.openxmlformats.org/officeDocument/2006/relationships/hyperlink" Target="https://sbrownlawyer.com/" TargetMode="External"/><Relationship Id="rId1603" Type="http://schemas.openxmlformats.org/officeDocument/2006/relationships/hyperlink" Target="https://sbrownlawyer.com/2020/10/29/how-to-tell-if-youre-too-drunk-to-drive-and-how-to-prevent-yourself-from-becoming-a-drunk-driver/" TargetMode="External"/><Relationship Id="rId2934" Type="http://schemas.openxmlformats.org/officeDocument/2006/relationships/hyperlink" Target="https://sbrownlawyer.com/2019/05/16/motorcycle-laws-regarding-children-in-texas/" TargetMode="External"/><Relationship Id="rId1604" Type="http://schemas.openxmlformats.org/officeDocument/2006/relationships/hyperlink" Target="https://sbrownlawyer.com/" TargetMode="External"/><Relationship Id="rId2935" Type="http://schemas.openxmlformats.org/officeDocument/2006/relationships/hyperlink" Target="https://sbrownlawyer.com/" TargetMode="External"/><Relationship Id="rId1605" Type="http://schemas.openxmlformats.org/officeDocument/2006/relationships/hyperlink" Target="https://sbrownlawyer.com/2018/01/28/silencers-are-not-prohibited-weapons/" TargetMode="External"/><Relationship Id="rId2936" Type="http://schemas.openxmlformats.org/officeDocument/2006/relationships/hyperlink" Target="https://sbrownlawyer.com/2021/07/20/8-questions-to-ask-dui-attorneys/" TargetMode="External"/><Relationship Id="rId1606" Type="http://schemas.openxmlformats.org/officeDocument/2006/relationships/hyperlink" Target="https://sbrownlawyer.com/2020/01/14/how-texas-defines-child-abuse/" TargetMode="External"/><Relationship Id="rId2937" Type="http://schemas.openxmlformats.org/officeDocument/2006/relationships/hyperlink" Target="https://sbrownlawyer.com/" TargetMode="External"/><Relationship Id="rId1607" Type="http://schemas.openxmlformats.org/officeDocument/2006/relationships/hyperlink" Target="https://sbrownlawyer.com/attorneys/" TargetMode="External"/><Relationship Id="rId2938" Type="http://schemas.openxmlformats.org/officeDocument/2006/relationships/hyperlink" Target="https://sbrownlawyer.com/rape-sexual-assault/" TargetMode="External"/><Relationship Id="rId1608" Type="http://schemas.openxmlformats.org/officeDocument/2006/relationships/hyperlink" Target="https://sbrownlawyer.com/head-injury/" TargetMode="External"/><Relationship Id="rId2939" Type="http://schemas.openxmlformats.org/officeDocument/2006/relationships/hyperlink" Target="https://sbrownlawyer.com/falsely-accused/" TargetMode="External"/><Relationship Id="rId1609" Type="http://schemas.openxmlformats.org/officeDocument/2006/relationships/hyperlink" Target="https://sbrownlawyer.com/2018/04/17/statutory-rape-age-of-consent-in-texas-how-old-is-too-old/" TargetMode="External"/><Relationship Id="rId1631" Type="http://schemas.openxmlformats.org/officeDocument/2006/relationships/hyperlink" Target="https://sbrownlawyer.com/2021/04/07/reasons-grandparents-can-file-for-custody-of-grandchild-in-texas/" TargetMode="External"/><Relationship Id="rId2962" Type="http://schemas.openxmlformats.org/officeDocument/2006/relationships/hyperlink" Target="https://sbrownlawyer.com/" TargetMode="External"/><Relationship Id="rId1632" Type="http://schemas.openxmlformats.org/officeDocument/2006/relationships/hyperlink" Target="https://sbrownlawyer.com/2020/10/29/how-to-tell-if-youre-too-drunk-to-drive-and-how-to-prevent-yourself-from-becoming-a-drunk-driver/" TargetMode="External"/><Relationship Id="rId2963" Type="http://schemas.openxmlformats.org/officeDocument/2006/relationships/hyperlink" Target="https://sbrownlawyer.com/" TargetMode="External"/><Relationship Id="rId1633" Type="http://schemas.openxmlformats.org/officeDocument/2006/relationships/hyperlink" Target="https://sbrownlawyer.com/drug-possession/" TargetMode="External"/><Relationship Id="rId2964" Type="http://schemas.openxmlformats.org/officeDocument/2006/relationships/hyperlink" Target="https://sbrownlawyer.com/attorneys/" TargetMode="External"/><Relationship Id="rId1634" Type="http://schemas.openxmlformats.org/officeDocument/2006/relationships/hyperlink" Target="https://sbrownlawyer.com/brain-injury/" TargetMode="External"/><Relationship Id="rId2965" Type="http://schemas.openxmlformats.org/officeDocument/2006/relationships/hyperlink" Target="https://sbrownlawyer.com/attorneys/" TargetMode="External"/><Relationship Id="rId1635" Type="http://schemas.openxmlformats.org/officeDocument/2006/relationships/hyperlink" Target="https://sbrownlawyer.com/attorneys/" TargetMode="External"/><Relationship Id="rId2966" Type="http://schemas.openxmlformats.org/officeDocument/2006/relationships/hyperlink" Target="https://sbrownlawyer.com/domestic-abuse-and-protective-orders/" TargetMode="External"/><Relationship Id="rId1636" Type="http://schemas.openxmlformats.org/officeDocument/2006/relationships/hyperlink" Target="https://sbrownlawyer.com/attorneys/" TargetMode="External"/><Relationship Id="rId2967" Type="http://schemas.openxmlformats.org/officeDocument/2006/relationships/hyperlink" Target="https://sbrownlawyer.com/uncontested-divorce-lawyer-in-pearland/" TargetMode="External"/><Relationship Id="rId1637" Type="http://schemas.openxmlformats.org/officeDocument/2006/relationships/hyperlink" Target="https://sbrownlawyer.com/2018/04/17/statutory-rape-age-of-consent-in-texas-how-old-is-too-old/" TargetMode="External"/><Relationship Id="rId2968" Type="http://schemas.openxmlformats.org/officeDocument/2006/relationships/hyperlink" Target="https://sbrownlawyer.com/2018/09/24/what-rights-do-fathers-have-in-texas/" TargetMode="External"/><Relationship Id="rId1638" Type="http://schemas.openxmlformats.org/officeDocument/2006/relationships/hyperlink" Target="https://sbrownlawyer.com/2020/10/29/how-to-tell-if-youre-too-drunk-to-drive-and-how-to-prevent-yourself-from-becoming-a-drunk-driver/" TargetMode="External"/><Relationship Id="rId2969" Type="http://schemas.openxmlformats.org/officeDocument/2006/relationships/hyperlink" Target="https://sbrownlawyer.com/white-collar-crimes/" TargetMode="External"/><Relationship Id="rId929" Type="http://schemas.openxmlformats.org/officeDocument/2006/relationships/hyperlink" Target="https://sbrownlawyer.com/" TargetMode="External"/><Relationship Id="rId1639" Type="http://schemas.openxmlformats.org/officeDocument/2006/relationships/hyperlink" Target="https://sbrownlawyer.com/dwi-attorney-in-galveston-county/" TargetMode="External"/><Relationship Id="rId928" Type="http://schemas.openxmlformats.org/officeDocument/2006/relationships/hyperlink" Target="https://sbrownlawyer.com/" TargetMode="External"/><Relationship Id="rId927" Type="http://schemas.openxmlformats.org/officeDocument/2006/relationships/hyperlink" Target="https://sbrownlawyer.com/2017/04/19/grounds-for-changing-a-custody-order-in-texas/" TargetMode="External"/><Relationship Id="rId926" Type="http://schemas.openxmlformats.org/officeDocument/2006/relationships/hyperlink" Target="https://sbrownlawyer.com/2020/12/28/what-to-ask-your-family-lawyer-about-your-child-custody-agreement/" TargetMode="External"/><Relationship Id="rId921" Type="http://schemas.openxmlformats.org/officeDocument/2006/relationships/hyperlink" Target="https://sbrownlawyer.com/attorneys/" TargetMode="External"/><Relationship Id="rId920" Type="http://schemas.openxmlformats.org/officeDocument/2006/relationships/hyperlink" Target="https://sbrownlawyer.com/2024/08/30/car-accidents/" TargetMode="External"/><Relationship Id="rId925" Type="http://schemas.openxmlformats.org/officeDocument/2006/relationships/hyperlink" Target="https://sbrownlawyer.com/james-j-hanley/" TargetMode="External"/><Relationship Id="rId924" Type="http://schemas.openxmlformats.org/officeDocument/2006/relationships/hyperlink" Target="https://sbrownlawyer.com/" TargetMode="External"/><Relationship Id="rId923" Type="http://schemas.openxmlformats.org/officeDocument/2006/relationships/hyperlink" Target="https://sbrownlawyer.com/cohabitation/" TargetMode="External"/><Relationship Id="rId922" Type="http://schemas.openxmlformats.org/officeDocument/2006/relationships/hyperlink" Target="https://sbrownlawyer.com/" TargetMode="External"/><Relationship Id="rId2960" Type="http://schemas.openxmlformats.org/officeDocument/2006/relationships/hyperlink" Target="https://sbrownlawyer.com/sex-crimes/" TargetMode="External"/><Relationship Id="rId1630" Type="http://schemas.openxmlformats.org/officeDocument/2006/relationships/hyperlink" Target="https://sbrownlawyer.com/areas-we-serve/brazoria-county/" TargetMode="External"/><Relationship Id="rId2961" Type="http://schemas.openxmlformats.org/officeDocument/2006/relationships/hyperlink" Target="https://sbrownlawyer.com/2019/09/15/how-to-fight-a-protective-order/" TargetMode="External"/><Relationship Id="rId1620" Type="http://schemas.openxmlformats.org/officeDocument/2006/relationships/hyperlink" Target="https://sbrownlawyer.com/" TargetMode="External"/><Relationship Id="rId2951" Type="http://schemas.openxmlformats.org/officeDocument/2006/relationships/hyperlink" Target="https://sbrownlawyer.com/" TargetMode="External"/><Relationship Id="rId1621" Type="http://schemas.openxmlformats.org/officeDocument/2006/relationships/hyperlink" Target="https://sbrownlawyer.com/attorneys/" TargetMode="External"/><Relationship Id="rId2952" Type="http://schemas.openxmlformats.org/officeDocument/2006/relationships/hyperlink" Target="https://sbrownlawyer.com/cohabitation/" TargetMode="External"/><Relationship Id="rId1622" Type="http://schemas.openxmlformats.org/officeDocument/2006/relationships/hyperlink" Target="https://sbrownlawyer.com/" TargetMode="External"/><Relationship Id="rId2953" Type="http://schemas.openxmlformats.org/officeDocument/2006/relationships/hyperlink" Target="https://sbrownlawyer.com/2015/02/20/child-support-rights-of-grandparents-with-custody-of-a-grandchild/" TargetMode="External"/><Relationship Id="rId1623" Type="http://schemas.openxmlformats.org/officeDocument/2006/relationships/hyperlink" Target="https://sbrownlawyer.com/" TargetMode="External"/><Relationship Id="rId2954" Type="http://schemas.openxmlformats.org/officeDocument/2006/relationships/hyperlink" Target="https://sbrownlawyer.com/" TargetMode="External"/><Relationship Id="rId1624" Type="http://schemas.openxmlformats.org/officeDocument/2006/relationships/hyperlink" Target="https://sbrownlawyer.com/modification-of-custody/" TargetMode="External"/><Relationship Id="rId2955" Type="http://schemas.openxmlformats.org/officeDocument/2006/relationships/hyperlink" Target="https://sbrownlawyer.com/" TargetMode="External"/><Relationship Id="rId1625" Type="http://schemas.openxmlformats.org/officeDocument/2006/relationships/hyperlink" Target="https://sbrownlawyer.com/texas/locations/sugar-land/" TargetMode="External"/><Relationship Id="rId2956" Type="http://schemas.openxmlformats.org/officeDocument/2006/relationships/hyperlink" Target="https://sbrownlawyer.com/2019/05/16/motorcycle-laws-regarding-children-in-texas/" TargetMode="External"/><Relationship Id="rId1626" Type="http://schemas.openxmlformats.org/officeDocument/2006/relationships/hyperlink" Target="https://sbrownlawyer.com/areas-we-serve/brazoria-county/" TargetMode="External"/><Relationship Id="rId2957" Type="http://schemas.openxmlformats.org/officeDocument/2006/relationships/hyperlink" Target="https://sbrownlawyer.com/2018/07/17/what-happens-to-you-money-from-a-personal-injury-settlement-if-you-get-divorced/" TargetMode="External"/><Relationship Id="rId1627" Type="http://schemas.openxmlformats.org/officeDocument/2006/relationships/hyperlink" Target="https://sbrownlawyer.com/underage-drinking-lawyer-in-galveston/" TargetMode="External"/><Relationship Id="rId2958" Type="http://schemas.openxmlformats.org/officeDocument/2006/relationships/hyperlink" Target="https://sbrownlawyer.com/steps-in-settling-your-claim-in-texas/" TargetMode="External"/><Relationship Id="rId918" Type="http://schemas.openxmlformats.org/officeDocument/2006/relationships/hyperlink" Target="https://sbrownlawyer.com/contact/" TargetMode="External"/><Relationship Id="rId1628" Type="http://schemas.openxmlformats.org/officeDocument/2006/relationships/hyperlink" Target="https://sbrownlawyer.com/divorce/" TargetMode="External"/><Relationship Id="rId2959" Type="http://schemas.openxmlformats.org/officeDocument/2006/relationships/hyperlink" Target="https://sbrownlawyer.com/2018/02/12/what-are-texas-cannabis-laws/" TargetMode="External"/><Relationship Id="rId917" Type="http://schemas.openxmlformats.org/officeDocument/2006/relationships/hyperlink" Target="https://sbrownlawyer.com/league-city-divorce-2/" TargetMode="External"/><Relationship Id="rId1629" Type="http://schemas.openxmlformats.org/officeDocument/2006/relationships/hyperlink" Target="https://sbrownlawyer.com/2024/09/23/is-leaving-the-scene-of-an-accident-a-felony-in-angleton/" TargetMode="External"/><Relationship Id="rId916" Type="http://schemas.openxmlformats.org/officeDocument/2006/relationships/hyperlink" Target="https://sbrownlawyer.com/assault/" TargetMode="External"/><Relationship Id="rId915" Type="http://schemas.openxmlformats.org/officeDocument/2006/relationships/hyperlink" Target="https://sbrownlawyer.com/2024/12/27/understanding-the-naturalization-timeline-for-texas-residents/" TargetMode="External"/><Relationship Id="rId919" Type="http://schemas.openxmlformats.org/officeDocument/2006/relationships/hyperlink" Target="https://sbrownlawyer.com/2024/12/27/understanding-the-naturalization-timeline-for-texas-residents/" TargetMode="External"/><Relationship Id="rId910" Type="http://schemas.openxmlformats.org/officeDocument/2006/relationships/hyperlink" Target="https://sbrownlawyer.com/2024/04/24/texas-alimony-am-i-entitled/" TargetMode="External"/><Relationship Id="rId914" Type="http://schemas.openxmlformats.org/officeDocument/2006/relationships/hyperlink" Target="https://sbrownlawyer.com/league-city-divorce-2/" TargetMode="External"/><Relationship Id="rId913" Type="http://schemas.openxmlformats.org/officeDocument/2006/relationships/hyperlink" Target="https://sbrownlawyer.com/2020/03/02/enforcing-a-divorce-decree-everything-you-need-to-know/" TargetMode="External"/><Relationship Id="rId912" Type="http://schemas.openxmlformats.org/officeDocument/2006/relationships/hyperlink" Target="https://sbrownlawyer.com/attorneys/" TargetMode="External"/><Relationship Id="rId911" Type="http://schemas.openxmlformats.org/officeDocument/2006/relationships/hyperlink" Target="https://sbrownlawyer.com/attorneys/" TargetMode="External"/><Relationship Id="rId2950" Type="http://schemas.openxmlformats.org/officeDocument/2006/relationships/hyperlink" Target="https://sbrownlawyer.com/attorneys/" TargetMode="External"/><Relationship Id="rId2900" Type="http://schemas.openxmlformats.org/officeDocument/2006/relationships/hyperlink" Target="https://sbrownlawyer.com/2017/11/01/the-ins-and-outs-of-5050-custody-or-possession/" TargetMode="External"/><Relationship Id="rId2901" Type="http://schemas.openxmlformats.org/officeDocument/2006/relationships/hyperlink" Target="https://sbrownlawyer.com/" TargetMode="External"/><Relationship Id="rId2902" Type="http://schemas.openxmlformats.org/officeDocument/2006/relationships/hyperlink" Target="https://sbrownlawyer.com/steps-in-settling-your-claim-in-texas/" TargetMode="External"/><Relationship Id="rId2903" Type="http://schemas.openxmlformats.org/officeDocument/2006/relationships/hyperlink" Target="https://sbrownlawyer.com/" TargetMode="External"/><Relationship Id="rId2904" Type="http://schemas.openxmlformats.org/officeDocument/2006/relationships/hyperlink" Target="https://sbrownlawyer.com/2021/07/20/8-questions-to-ask-dui-attorneys/" TargetMode="External"/><Relationship Id="rId2905" Type="http://schemas.openxmlformats.org/officeDocument/2006/relationships/hyperlink" Target="https://sbrownlawyer.com/harris-county-criminal-defense/" TargetMode="External"/><Relationship Id="rId2906" Type="http://schemas.openxmlformats.org/officeDocument/2006/relationships/hyperlink" Target="https://sbrownlawyer.com/2024/07/04/expungement-vs-sealing-what-is-the-best-option/" TargetMode="External"/><Relationship Id="rId2907" Type="http://schemas.openxmlformats.org/officeDocument/2006/relationships/hyperlink" Target="https://sbrownlawyer.com/texas/locations/" TargetMode="External"/><Relationship Id="rId2908" Type="http://schemas.openxmlformats.org/officeDocument/2006/relationships/hyperlink" Target="https://sbrownlawyer.com/2019/10/08/can-you-sue-a-partner-that-infected-you-with-an-std/" TargetMode="External"/><Relationship Id="rId2909" Type="http://schemas.openxmlformats.org/officeDocument/2006/relationships/hyperlink" Target="https://sbrownlawyer.com/attorneys/" TargetMode="External"/><Relationship Id="rId2920" Type="http://schemas.openxmlformats.org/officeDocument/2006/relationships/hyperlink" Target="https://sbrownlawyer.com/uncontested-divorce-lawyer-in-pearland/" TargetMode="External"/><Relationship Id="rId2921" Type="http://schemas.openxmlformats.org/officeDocument/2006/relationships/hyperlink" Target="https://sbrownlawyer.com/2021/11/26/child-support-guidelines-in-texas-an-overview/" TargetMode="External"/><Relationship Id="rId2922" Type="http://schemas.openxmlformats.org/officeDocument/2006/relationships/hyperlink" Target="https://sbrownlawyer.com/attorneys/" TargetMode="External"/><Relationship Id="rId2923" Type="http://schemas.openxmlformats.org/officeDocument/2006/relationships/hyperlink" Target="https://sbrownlawyer.com/" TargetMode="External"/><Relationship Id="rId2924" Type="http://schemas.openxmlformats.org/officeDocument/2006/relationships/hyperlink" Target="https://sbrownlawyer.com/sex-crimes/sex-offender-registration/" TargetMode="External"/><Relationship Id="rId2925" Type="http://schemas.openxmlformats.org/officeDocument/2006/relationships/hyperlink" Target="https://sbrownlawyer.com/dwi/" TargetMode="External"/><Relationship Id="rId2926" Type="http://schemas.openxmlformats.org/officeDocument/2006/relationships/hyperlink" Target="https://sbrownlawyer.com/attorneys/" TargetMode="External"/><Relationship Id="rId2927" Type="http://schemas.openxmlformats.org/officeDocument/2006/relationships/hyperlink" Target="https://sbrownlawyer.com/2024/08/01/felony-misdemeanor-difference-league-city/" TargetMode="External"/><Relationship Id="rId2928" Type="http://schemas.openxmlformats.org/officeDocument/2006/relationships/hyperlink" Target="https://sbrownlawyer.com/attorneys/" TargetMode="External"/><Relationship Id="rId2929" Type="http://schemas.openxmlformats.org/officeDocument/2006/relationships/hyperlink" Target="https://sbrownlawyer.com/criminal-law/indecent-exposure/" TargetMode="External"/><Relationship Id="rId2910" Type="http://schemas.openxmlformats.org/officeDocument/2006/relationships/hyperlink" Target="https://sbrownlawyer.com/attorneys/" TargetMode="External"/><Relationship Id="rId2911" Type="http://schemas.openxmlformats.org/officeDocument/2006/relationships/hyperlink" Target="https://sbrownlawyer.com/slip-and-fall-accidents/" TargetMode="External"/><Relationship Id="rId2912" Type="http://schemas.openxmlformats.org/officeDocument/2006/relationships/hyperlink" Target="https://sbrownlawyer.com/" TargetMode="External"/><Relationship Id="rId2913" Type="http://schemas.openxmlformats.org/officeDocument/2006/relationships/hyperlink" Target="https://sbrownlawyer.com/2017/11/21/new-texas-law-bans-texting-while-driving/" TargetMode="External"/><Relationship Id="rId2914" Type="http://schemas.openxmlformats.org/officeDocument/2006/relationships/hyperlink" Target="https://sbrownlawyer.com/2017/11/21/new-texas-law-bans-texting-while-driving/" TargetMode="External"/><Relationship Id="rId2915" Type="http://schemas.openxmlformats.org/officeDocument/2006/relationships/hyperlink" Target="https://sbrownlawyer.com/2017/04/08/what-happens-if-i-refuse-to-take-a-test-when-arrested-for-a-dwi/" TargetMode="External"/><Relationship Id="rId2916" Type="http://schemas.openxmlformats.org/officeDocument/2006/relationships/hyperlink" Target="https://sbrownlawyer.com/2017/11/21/new-texas-law-bans-texting-while-driving/" TargetMode="External"/><Relationship Id="rId2917" Type="http://schemas.openxmlformats.org/officeDocument/2006/relationships/hyperlink" Target="https://sbrownlawyer.com/" TargetMode="External"/><Relationship Id="rId2918" Type="http://schemas.openxmlformats.org/officeDocument/2006/relationships/hyperlink" Target="https://sbrownlawyer.com/slip-and-fall-accidents/" TargetMode="External"/><Relationship Id="rId2919" Type="http://schemas.openxmlformats.org/officeDocument/2006/relationships/hyperlink" Target="https://sbrownlawyer.com/" TargetMode="External"/><Relationship Id="rId1697" Type="http://schemas.openxmlformats.org/officeDocument/2006/relationships/hyperlink" Target="https://sbrownlawyer.com/2017/06/12/are-dwi-checkpoints-legal-in-texas/" TargetMode="External"/><Relationship Id="rId1698" Type="http://schemas.openxmlformats.org/officeDocument/2006/relationships/hyperlink" Target="https://sbrownlawyer.com/criminal-defense-book/" TargetMode="External"/><Relationship Id="rId1699" Type="http://schemas.openxmlformats.org/officeDocument/2006/relationships/hyperlink" Target="https://sbrownlawyer.com/2022/02/18/can-i-file-legal-separation-on-texas/" TargetMode="External"/><Relationship Id="rId866" Type="http://schemas.openxmlformats.org/officeDocument/2006/relationships/hyperlink" Target="https://sbrownlawyer.com/2024/12/27/understanding-the-naturalization-timeline-for-texas-residents/" TargetMode="External"/><Relationship Id="rId865" Type="http://schemas.openxmlformats.org/officeDocument/2006/relationships/hyperlink" Target="https://sbrownlawyer.com/2022/02/18/can-i-file-legal-separation-on-texas/" TargetMode="External"/><Relationship Id="rId864" Type="http://schemas.openxmlformats.org/officeDocument/2006/relationships/hyperlink" Target="https://sbrownlawyer.com/2020/12/28/what-to-ask-your-family-lawyer-about-your-child-custody-agreement/" TargetMode="External"/><Relationship Id="rId863" Type="http://schemas.openxmlformats.org/officeDocument/2006/relationships/hyperlink" Target="https://sbrownlawyer.com/league-city-tx-personal-injury-lawyer/" TargetMode="External"/><Relationship Id="rId869" Type="http://schemas.openxmlformats.org/officeDocument/2006/relationships/hyperlink" Target="https://sbrownlawyer.com/2024/12/27/understanding-the-naturalization-timeline-for-texas-residents/" TargetMode="External"/><Relationship Id="rId868" Type="http://schemas.openxmlformats.org/officeDocument/2006/relationships/hyperlink" Target="https://sbrownlawyer.com/divorce/" TargetMode="External"/><Relationship Id="rId867" Type="http://schemas.openxmlformats.org/officeDocument/2006/relationships/hyperlink" Target="https://sbrownlawyer.com/2018/04/23/how-do-bond-reductions-work/" TargetMode="External"/><Relationship Id="rId1690" Type="http://schemas.openxmlformats.org/officeDocument/2006/relationships/hyperlink" Target="https://sbrownlawyer.com/slip-and-fall-accidents/" TargetMode="External"/><Relationship Id="rId1691" Type="http://schemas.openxmlformats.org/officeDocument/2006/relationships/hyperlink" Target="https://sbrownlawyer.com/attorneys/" TargetMode="External"/><Relationship Id="rId1692" Type="http://schemas.openxmlformats.org/officeDocument/2006/relationships/hyperlink" Target="https://sbrownlawyer.com/attorneys/" TargetMode="External"/><Relationship Id="rId862" Type="http://schemas.openxmlformats.org/officeDocument/2006/relationships/hyperlink" Target="https://sbrownlawyer.com/2024/04/24/texas-alimony-am-i-entitled/" TargetMode="External"/><Relationship Id="rId1693" Type="http://schemas.openxmlformats.org/officeDocument/2006/relationships/hyperlink" Target="https://sbrownlawyer.com/2019/05/16/motorcycle-laws-regarding-children-in-texas/" TargetMode="External"/><Relationship Id="rId861" Type="http://schemas.openxmlformats.org/officeDocument/2006/relationships/hyperlink" Target="https://sbrownlawyer.com/texas/locations/pearland/" TargetMode="External"/><Relationship Id="rId1694" Type="http://schemas.openxmlformats.org/officeDocument/2006/relationships/hyperlink" Target="https://sbrownlawyer.com/attorneys/" TargetMode="External"/><Relationship Id="rId860" Type="http://schemas.openxmlformats.org/officeDocument/2006/relationships/hyperlink" Target="https://sbrownlawyer.com/attorneys/" TargetMode="External"/><Relationship Id="rId1695" Type="http://schemas.openxmlformats.org/officeDocument/2006/relationships/hyperlink" Target="https://sbrownlawyer.com/2019/05/16/motorcycle-laws-regarding-children-in-texas/" TargetMode="External"/><Relationship Id="rId1696" Type="http://schemas.openxmlformats.org/officeDocument/2006/relationships/hyperlink" Target="https://sbrownlawyer.com/attorneys/" TargetMode="External"/><Relationship Id="rId1686" Type="http://schemas.openxmlformats.org/officeDocument/2006/relationships/hyperlink" Target="https://sbrownlawyer.com/sex-crimes/overview-of-sex-crime-defense/" TargetMode="External"/><Relationship Id="rId1687" Type="http://schemas.openxmlformats.org/officeDocument/2006/relationships/hyperlink" Target="https://sbrownlawyer.com/2022/02/18/can-i-file-legal-separation-on-texas/" TargetMode="External"/><Relationship Id="rId1688" Type="http://schemas.openxmlformats.org/officeDocument/2006/relationships/hyperlink" Target="https://sbrownlawyer.com/reckless-driving/" TargetMode="External"/><Relationship Id="rId1689" Type="http://schemas.openxmlformats.org/officeDocument/2006/relationships/hyperlink" Target="https://sbrownlawyer.com/2021/11/26/child-support-guidelines-in-texas-an-overview/" TargetMode="External"/><Relationship Id="rId855" Type="http://schemas.openxmlformats.org/officeDocument/2006/relationships/hyperlink" Target="https://sbrownlawyer.com/areas-we-serve/fort-bend-county/" TargetMode="External"/><Relationship Id="rId854" Type="http://schemas.openxmlformats.org/officeDocument/2006/relationships/hyperlink" Target="https://sbrownlawyer.com/espanol/family-law/" TargetMode="External"/><Relationship Id="rId853" Type="http://schemas.openxmlformats.org/officeDocument/2006/relationships/hyperlink" Target="https://sbrownlawyer.com/theft-and-shoplifting/aggravated-burglary/" TargetMode="External"/><Relationship Id="rId852" Type="http://schemas.openxmlformats.org/officeDocument/2006/relationships/hyperlink" Target="https://sbrownlawyer.com/texas/locations/pearland/" TargetMode="External"/><Relationship Id="rId859" Type="http://schemas.openxmlformats.org/officeDocument/2006/relationships/hyperlink" Target="https://sbrownlawyer.com/areas-we-serve/fort-bend-county/" TargetMode="External"/><Relationship Id="rId858" Type="http://schemas.openxmlformats.org/officeDocument/2006/relationships/hyperlink" Target="https://sbrownlawyer.com/2020/03/02/enforcing-a-divorce-decree-everything-you-need-to-know/" TargetMode="External"/><Relationship Id="rId857" Type="http://schemas.openxmlformats.org/officeDocument/2006/relationships/hyperlink" Target="https://sbrownlawyer.com/child-custody/emergency/" TargetMode="External"/><Relationship Id="rId856" Type="http://schemas.openxmlformats.org/officeDocument/2006/relationships/hyperlink" Target="https://sbrownlawyer.com/domestic-violence-attorney/" TargetMode="External"/><Relationship Id="rId1680" Type="http://schemas.openxmlformats.org/officeDocument/2006/relationships/hyperlink" Target="https://sbrownlawyer.com/texas/locations/angleton/" TargetMode="External"/><Relationship Id="rId1681" Type="http://schemas.openxmlformats.org/officeDocument/2006/relationships/hyperlink" Target="https://sbrownlawyer.com/" TargetMode="External"/><Relationship Id="rId851" Type="http://schemas.openxmlformats.org/officeDocument/2006/relationships/hyperlink" Target="https://sbrownlawyer.com/" TargetMode="External"/><Relationship Id="rId1682" Type="http://schemas.openxmlformats.org/officeDocument/2006/relationships/hyperlink" Target="https://sbrownlawyer.com/2024/12/27/understanding-the-naturalization-timeline-for-texas-residents/" TargetMode="External"/><Relationship Id="rId850" Type="http://schemas.openxmlformats.org/officeDocument/2006/relationships/hyperlink" Target="https://sbrownlawyer.com/league-city-grandparents-rights-lawyer/" TargetMode="External"/><Relationship Id="rId1683" Type="http://schemas.openxmlformats.org/officeDocument/2006/relationships/hyperlink" Target="https://sbrownlawyer.com/sex-crimes/texas-sex-crime-law/" TargetMode="External"/><Relationship Id="rId1684" Type="http://schemas.openxmlformats.org/officeDocument/2006/relationships/hyperlink" Target="https://sbrownlawyer.com/2013/01/15/texas-child-support-state-seeks-money-from-sperm-donor/" TargetMode="External"/><Relationship Id="rId1685" Type="http://schemas.openxmlformats.org/officeDocument/2006/relationships/hyperlink" Target="https://sbrownlawyer.com/league-city-complex-and-contested-divorce/" TargetMode="External"/><Relationship Id="rId888" Type="http://schemas.openxmlformats.org/officeDocument/2006/relationships/hyperlink" Target="https://sbrownlawyer.com/2017/08/24/second-chance-bill-what-does-it-mean-now-that-its-passed/" TargetMode="External"/><Relationship Id="rId887" Type="http://schemas.openxmlformats.org/officeDocument/2006/relationships/hyperlink" Target="https://sbrownlawyer.com/sex-crimes/" TargetMode="External"/><Relationship Id="rId886" Type="http://schemas.openxmlformats.org/officeDocument/2006/relationships/hyperlink" Target="https://sbrownlawyer.com/2019/10/08/can-you-sue-a-partner-that-infected-you-with-an-std/" TargetMode="External"/><Relationship Id="rId885" Type="http://schemas.openxmlformats.org/officeDocument/2006/relationships/hyperlink" Target="https://sbrownlawyer.com/criminal-defense/" TargetMode="External"/><Relationship Id="rId889" Type="http://schemas.openxmlformats.org/officeDocument/2006/relationships/hyperlink" Target="https://sbrownlawyer.com/league-city-divorce-2/" TargetMode="External"/><Relationship Id="rId880" Type="http://schemas.openxmlformats.org/officeDocument/2006/relationships/hyperlink" Target="https://sbrownlawyer.com/2024/04/24/texas-alimony-am-i-entitled/" TargetMode="External"/><Relationship Id="rId884" Type="http://schemas.openxmlformats.org/officeDocument/2006/relationships/hyperlink" Target="https://sbrownlawyer.com/league-city-divorce-2/" TargetMode="External"/><Relationship Id="rId883" Type="http://schemas.openxmlformats.org/officeDocument/2006/relationships/hyperlink" Target="https://sbrownlawyer.com/league-city-tx-lake-fathers-rights-lawyer/" TargetMode="External"/><Relationship Id="rId882" Type="http://schemas.openxmlformats.org/officeDocument/2006/relationships/hyperlink" Target="https://sbrownlawyer.com/2023/01/25/private-property-police-search-in-texas/" TargetMode="External"/><Relationship Id="rId881" Type="http://schemas.openxmlformats.org/officeDocument/2006/relationships/hyperlink" Target="https://sbrownlawyer.com/league-city-tx-personal-injury-lawyer/" TargetMode="External"/><Relationship Id="rId877" Type="http://schemas.openxmlformats.org/officeDocument/2006/relationships/hyperlink" Target="https://sbrownlawyer.com/2024/03/20/texas-child-support-2024/" TargetMode="External"/><Relationship Id="rId876" Type="http://schemas.openxmlformats.org/officeDocument/2006/relationships/hyperlink" Target="https://sbrownlawyer.com/attorneys/" TargetMode="External"/><Relationship Id="rId875" Type="http://schemas.openxmlformats.org/officeDocument/2006/relationships/hyperlink" Target="https://sbrownlawyer.com/criminal-law/indecent-exposure/" TargetMode="External"/><Relationship Id="rId874" Type="http://schemas.openxmlformats.org/officeDocument/2006/relationships/hyperlink" Target="https://sbrownlawyer.com/league-city-grandparents-rights-lawyer/" TargetMode="External"/><Relationship Id="rId879" Type="http://schemas.openxmlformats.org/officeDocument/2006/relationships/hyperlink" Target="https://sbrownlawyer.com/league-city-divorce-2/" TargetMode="External"/><Relationship Id="rId878" Type="http://schemas.openxmlformats.org/officeDocument/2006/relationships/hyperlink" Target="https://sbrownlawyer.com/attorneys/" TargetMode="External"/><Relationship Id="rId873" Type="http://schemas.openxmlformats.org/officeDocument/2006/relationships/hyperlink" Target="https://sbrownlawyer.com/" TargetMode="External"/><Relationship Id="rId872" Type="http://schemas.openxmlformats.org/officeDocument/2006/relationships/hyperlink" Target="https://sbrownlawyer.com/2024/04/24/texas-alimony-am-i-entitled/" TargetMode="External"/><Relationship Id="rId871" Type="http://schemas.openxmlformats.org/officeDocument/2006/relationships/hyperlink" Target="https://sbrownlawyer.com/2024/12/27/understanding-the-naturalization-timeline-for-texas-residents/" TargetMode="External"/><Relationship Id="rId870" Type="http://schemas.openxmlformats.org/officeDocument/2006/relationships/hyperlink" Target="https://sbrownlawyer.com/2024/12/27/understanding-the-naturalization-timeline-for-texas-residents/" TargetMode="External"/><Relationship Id="rId1653" Type="http://schemas.openxmlformats.org/officeDocument/2006/relationships/hyperlink" Target="https://sbrownlawyer.com/" TargetMode="External"/><Relationship Id="rId2984" Type="http://schemas.openxmlformats.org/officeDocument/2006/relationships/hyperlink" Target="https://sbrownlawyer.com/divorce/" TargetMode="External"/><Relationship Id="rId1654" Type="http://schemas.openxmlformats.org/officeDocument/2006/relationships/hyperlink" Target="https://sbrownlawyer.com/attorneys/" TargetMode="External"/><Relationship Id="rId2985" Type="http://schemas.openxmlformats.org/officeDocument/2006/relationships/hyperlink" Target="https://sbrownlawyer.com/attorneys/" TargetMode="External"/><Relationship Id="rId1655" Type="http://schemas.openxmlformats.org/officeDocument/2006/relationships/hyperlink" Target="https://sbrownlawyer.com/title-ix-defense-campus-sexual-assault/" TargetMode="External"/><Relationship Id="rId2986" Type="http://schemas.openxmlformats.org/officeDocument/2006/relationships/hyperlink" Target="https://sbrownlawyer.com/2017/11/21/new-texas-law-bans-texting-while-driving/" TargetMode="External"/><Relationship Id="rId1656" Type="http://schemas.openxmlformats.org/officeDocument/2006/relationships/hyperlink" Target="https://sbrownlawyer.com/2021/02/28/what-happens-after-a-second-and-third-dwi-in-texas/" TargetMode="External"/><Relationship Id="rId2987" Type="http://schemas.openxmlformats.org/officeDocument/2006/relationships/hyperlink" Target="https://sbrownlawyer.com/" TargetMode="External"/><Relationship Id="rId1657" Type="http://schemas.openxmlformats.org/officeDocument/2006/relationships/hyperlink" Target="https://sbrownlawyer.com/grand-theft/" TargetMode="External"/><Relationship Id="rId2988" Type="http://schemas.openxmlformats.org/officeDocument/2006/relationships/hyperlink" Target="https://sbrownlawyer.com/protective-services/" TargetMode="External"/><Relationship Id="rId1658" Type="http://schemas.openxmlformats.org/officeDocument/2006/relationships/hyperlink" Target="https://sbrownlawyer.com/2024/09/23/is-leaving-the-scene-of-an-accident-a-felony-in-angleton/" TargetMode="External"/><Relationship Id="rId2989" Type="http://schemas.openxmlformats.org/officeDocument/2006/relationships/hyperlink" Target="https://sbrownlawyer.com/" TargetMode="External"/><Relationship Id="rId1659" Type="http://schemas.openxmlformats.org/officeDocument/2006/relationships/hyperlink" Target="https://sbrownlawyer.com/attorneys/" TargetMode="External"/><Relationship Id="rId829" Type="http://schemas.openxmlformats.org/officeDocument/2006/relationships/hyperlink" Target="https://sbrownlawyer.com/top-military-divorce-lawyer-in-texas/" TargetMode="External"/><Relationship Id="rId828" Type="http://schemas.openxmlformats.org/officeDocument/2006/relationships/hyperlink" Target="https://sbrownlawyer.com/page/26/" TargetMode="External"/><Relationship Id="rId827" Type="http://schemas.openxmlformats.org/officeDocument/2006/relationships/hyperlink" Target="https://sbrownlawyer.com/" TargetMode="External"/><Relationship Id="rId822" Type="http://schemas.openxmlformats.org/officeDocument/2006/relationships/hyperlink" Target="https://sbrownlawyer.com/2020/12/28/what-to-ask-your-family-lawyer-about-your-child-custody-agreement/" TargetMode="External"/><Relationship Id="rId821" Type="http://schemas.openxmlformats.org/officeDocument/2006/relationships/hyperlink" Target="https://sbrownlawyer.com/retirement-accounts/" TargetMode="External"/><Relationship Id="rId820" Type="http://schemas.openxmlformats.org/officeDocument/2006/relationships/hyperlink" Target="https://sbrownlawyer.com/attorneys/" TargetMode="External"/><Relationship Id="rId826" Type="http://schemas.openxmlformats.org/officeDocument/2006/relationships/hyperlink" Target="https://sbrownlawyer.com/2024/07/08/open-vs-closed-aoption-angleton-texas/" TargetMode="External"/><Relationship Id="rId825" Type="http://schemas.openxmlformats.org/officeDocument/2006/relationships/hyperlink" Target="https://sbrownlawyer.com/league-city-theft-crimes/" TargetMode="External"/><Relationship Id="rId824" Type="http://schemas.openxmlformats.org/officeDocument/2006/relationships/hyperlink" Target="https://sbrownlawyer.com/2024/03/20/texas-child-support-2024/" TargetMode="External"/><Relationship Id="rId823" Type="http://schemas.openxmlformats.org/officeDocument/2006/relationships/hyperlink" Target="https://sbrownlawyer.com/2019/10/08/can-you-sue-a-partner-that-infected-you-with-an-std/" TargetMode="External"/><Relationship Id="rId2980" Type="http://schemas.openxmlformats.org/officeDocument/2006/relationships/hyperlink" Target="https://sbrownlawyer.com/slip-and-fall-accidents/" TargetMode="External"/><Relationship Id="rId1650" Type="http://schemas.openxmlformats.org/officeDocument/2006/relationships/hyperlink" Target="https://sbrownlawyer.com/cohabitation/" TargetMode="External"/><Relationship Id="rId2981" Type="http://schemas.openxmlformats.org/officeDocument/2006/relationships/hyperlink" Target="https://sbrownlawyer.com/2021/04/21/dwi-consequences-in-texas-whats-the-maximum-penalty-for-a-dwi/" TargetMode="External"/><Relationship Id="rId1651" Type="http://schemas.openxmlformats.org/officeDocument/2006/relationships/hyperlink" Target="https://sbrownlawyer.com/2021/11/26/child-support-guidelines-in-texas-an-overview/" TargetMode="External"/><Relationship Id="rId2982" Type="http://schemas.openxmlformats.org/officeDocument/2006/relationships/hyperlink" Target="https://sbrownlawyer.com/2019/05/16/motorcycle-laws-regarding-children-in-texas/" TargetMode="External"/><Relationship Id="rId1652" Type="http://schemas.openxmlformats.org/officeDocument/2006/relationships/hyperlink" Target="https://sbrownlawyer.com/espanol/" TargetMode="External"/><Relationship Id="rId2983" Type="http://schemas.openxmlformats.org/officeDocument/2006/relationships/hyperlink" Target="https://sbrownlawyer.com/2020/11/13/these-are-the-different-types-of-divorce-in-texas/" TargetMode="External"/><Relationship Id="rId1642" Type="http://schemas.openxmlformats.org/officeDocument/2006/relationships/hyperlink" Target="https://sbrownlawyer.com/attorneys/" TargetMode="External"/><Relationship Id="rId2973" Type="http://schemas.openxmlformats.org/officeDocument/2006/relationships/hyperlink" Target="https://sbrownlawyer.com/falsely-accused/" TargetMode="External"/><Relationship Id="rId1643" Type="http://schemas.openxmlformats.org/officeDocument/2006/relationships/hyperlink" Target="https://sbrownlawyer.com/pedestrian-accidents/" TargetMode="External"/><Relationship Id="rId2974" Type="http://schemas.openxmlformats.org/officeDocument/2006/relationships/hyperlink" Target="https://sbrownlawyer.com/drug-crimes/" TargetMode="External"/><Relationship Id="rId1644" Type="http://schemas.openxmlformats.org/officeDocument/2006/relationships/hyperlink" Target="https://sbrownlawyer.com/2024/12/23/compensation-for-paralysis-injuries-your-guide-to-texas-law/" TargetMode="External"/><Relationship Id="rId2975" Type="http://schemas.openxmlformats.org/officeDocument/2006/relationships/hyperlink" Target="https://sbrownlawyer.com/" TargetMode="External"/><Relationship Id="rId1645" Type="http://schemas.openxmlformats.org/officeDocument/2006/relationships/hyperlink" Target="https://sbrownlawyer.com/attorneys/" TargetMode="External"/><Relationship Id="rId2976" Type="http://schemas.openxmlformats.org/officeDocument/2006/relationships/hyperlink" Target="https://sbrownlawyer.com/2019/05/16/motorcycle-laws-regarding-children-in-texas/" TargetMode="External"/><Relationship Id="rId1646" Type="http://schemas.openxmlformats.org/officeDocument/2006/relationships/hyperlink" Target="https://sbrownlawyer.com/2017/11/21/new-texas-law-bans-texting-while-driving/" TargetMode="External"/><Relationship Id="rId2977" Type="http://schemas.openxmlformats.org/officeDocument/2006/relationships/hyperlink" Target="https://sbrownlawyer.com/what-is-dwi/" TargetMode="External"/><Relationship Id="rId1647" Type="http://schemas.openxmlformats.org/officeDocument/2006/relationships/hyperlink" Target="https://sbrownlawyer.com/2018/01/28/silencers-are-not-prohibited-weapons/" TargetMode="External"/><Relationship Id="rId2978" Type="http://schemas.openxmlformats.org/officeDocument/2006/relationships/hyperlink" Target="https://sbrownlawyer.com/slip-and-fall-accidents/" TargetMode="External"/><Relationship Id="rId1648" Type="http://schemas.openxmlformats.org/officeDocument/2006/relationships/hyperlink" Target="https://sbrownlawyer.com/espanol/" TargetMode="External"/><Relationship Id="rId2979" Type="http://schemas.openxmlformats.org/officeDocument/2006/relationships/hyperlink" Target="https://sbrownlawyer.com/attorneys/" TargetMode="External"/><Relationship Id="rId1649" Type="http://schemas.openxmlformats.org/officeDocument/2006/relationships/hyperlink" Target="https://sbrownlawyer.com/attorneys/" TargetMode="External"/><Relationship Id="rId819" Type="http://schemas.openxmlformats.org/officeDocument/2006/relationships/hyperlink" Target="https://sbrownlawyer.com/2024/04/24/texas-alimony-am-i-entitled/" TargetMode="External"/><Relationship Id="rId818" Type="http://schemas.openxmlformats.org/officeDocument/2006/relationships/hyperlink" Target="https://sbrownlawyer.com/slip-and-fall-accidents/" TargetMode="External"/><Relationship Id="rId817" Type="http://schemas.openxmlformats.org/officeDocument/2006/relationships/hyperlink" Target="https://sbrownlawyer.com/attorneys/" TargetMode="External"/><Relationship Id="rId816" Type="http://schemas.openxmlformats.org/officeDocument/2006/relationships/hyperlink" Target="https://sbrownlawyer.com/2018/01/28/silencers-are-not-prohibited-weapons/" TargetMode="External"/><Relationship Id="rId811" Type="http://schemas.openxmlformats.org/officeDocument/2006/relationships/hyperlink" Target="https://sbrownlawyer.com/abogado-de-procesamiento-consular-en-pearland/" TargetMode="External"/><Relationship Id="rId810" Type="http://schemas.openxmlformats.org/officeDocument/2006/relationships/hyperlink" Target="https://sbrownlawyer.com/" TargetMode="External"/><Relationship Id="rId815" Type="http://schemas.openxmlformats.org/officeDocument/2006/relationships/hyperlink" Target="https://sbrownlawyer.com/2020/03/02/enforcing-a-divorce-decree-everything-you-need-to-know/" TargetMode="External"/><Relationship Id="rId814" Type="http://schemas.openxmlformats.org/officeDocument/2006/relationships/hyperlink" Target="https://sbrownlawyer.com/" TargetMode="External"/><Relationship Id="rId813" Type="http://schemas.openxmlformats.org/officeDocument/2006/relationships/hyperlink" Target="https://sbrownlawyer.com/head-injury/" TargetMode="External"/><Relationship Id="rId812" Type="http://schemas.openxmlformats.org/officeDocument/2006/relationships/hyperlink" Target="https://sbrownlawyer.com/public-indecency/" TargetMode="External"/><Relationship Id="rId2970" Type="http://schemas.openxmlformats.org/officeDocument/2006/relationships/hyperlink" Target="https://sbrownlawyer.com/information-about-brazoria-county-texas/" TargetMode="External"/><Relationship Id="rId1640" Type="http://schemas.openxmlformats.org/officeDocument/2006/relationships/hyperlink" Target="https://sbrownlawyer.com/reckless-driving/" TargetMode="External"/><Relationship Id="rId2971" Type="http://schemas.openxmlformats.org/officeDocument/2006/relationships/hyperlink" Target="https://sbrownlawyer.com/" TargetMode="External"/><Relationship Id="rId1641" Type="http://schemas.openxmlformats.org/officeDocument/2006/relationships/hyperlink" Target="https://sbrownlawyer.com/espanol/" TargetMode="External"/><Relationship Id="rId2972" Type="http://schemas.openxmlformats.org/officeDocument/2006/relationships/hyperlink" Target="https://sbrownlawyer.com/criminal-defense/" TargetMode="External"/><Relationship Id="rId1675" Type="http://schemas.openxmlformats.org/officeDocument/2006/relationships/hyperlink" Target="https://sbrownlawyer.com/uncontested-divorce-lawyer-in-pearland/" TargetMode="External"/><Relationship Id="rId1676" Type="http://schemas.openxmlformats.org/officeDocument/2006/relationships/hyperlink" Target="https://sbrownlawyer.com/misdemeanor/" TargetMode="External"/><Relationship Id="rId1677" Type="http://schemas.openxmlformats.org/officeDocument/2006/relationships/hyperlink" Target="https://sbrownlawyer.com/" TargetMode="External"/><Relationship Id="rId1678" Type="http://schemas.openxmlformats.org/officeDocument/2006/relationships/hyperlink" Target="https://sbrownlawyer.com/2020/06/25/partner-abuse-the-many-forms-of-domestic-violence/" TargetMode="External"/><Relationship Id="rId1679" Type="http://schemas.openxmlformats.org/officeDocument/2006/relationships/hyperlink" Target="https://sbrownlawyer.com/2017/06/12/are-dwi-checkpoints-legal-in-texas/" TargetMode="External"/><Relationship Id="rId849" Type="http://schemas.openxmlformats.org/officeDocument/2006/relationships/hyperlink" Target="https://sbrownlawyer.com/child-custody/" TargetMode="External"/><Relationship Id="rId844" Type="http://schemas.openxmlformats.org/officeDocument/2006/relationships/hyperlink" Target="https://sbrownlawyer.com/2024/12/27/understanding-the-naturalization-timeline-for-texas-residents/" TargetMode="External"/><Relationship Id="rId843" Type="http://schemas.openxmlformats.org/officeDocument/2006/relationships/hyperlink" Target="https://sbrownlawyer.com/2024/12/27/understanding-the-naturalization-timeline-for-texas-residents/" TargetMode="External"/><Relationship Id="rId842" Type="http://schemas.openxmlformats.org/officeDocument/2006/relationships/hyperlink" Target="https://sbrownlawyer.com/2018/01/28/silencers-are-not-prohibited-weapons/" TargetMode="External"/><Relationship Id="rId841" Type="http://schemas.openxmlformats.org/officeDocument/2006/relationships/hyperlink" Target="https://sbrownlawyer.com/divorce-lawyer-in-galveston-county/" TargetMode="External"/><Relationship Id="rId848" Type="http://schemas.openxmlformats.org/officeDocument/2006/relationships/hyperlink" Target="https://sbrownlawyer.com/" TargetMode="External"/><Relationship Id="rId847" Type="http://schemas.openxmlformats.org/officeDocument/2006/relationships/hyperlink" Target="https://sbrownlawyer.com/2019/10/08/can-you-sue-a-partner-that-infected-you-with-an-std/" TargetMode="External"/><Relationship Id="rId846" Type="http://schemas.openxmlformats.org/officeDocument/2006/relationships/hyperlink" Target="https://sbrownlawyer.com/divorce/" TargetMode="External"/><Relationship Id="rId845" Type="http://schemas.openxmlformats.org/officeDocument/2006/relationships/hyperlink" Target="https://sbrownlawyer.com/attorneys/" TargetMode="External"/><Relationship Id="rId1670" Type="http://schemas.openxmlformats.org/officeDocument/2006/relationships/hyperlink" Target="https://sbrownlawyer.com/2018/09/24/what-rights-do-fathers-have-in-texas/" TargetMode="External"/><Relationship Id="rId840" Type="http://schemas.openxmlformats.org/officeDocument/2006/relationships/hyperlink" Target="https://sbrownlawyer.com/" TargetMode="External"/><Relationship Id="rId1671" Type="http://schemas.openxmlformats.org/officeDocument/2006/relationships/hyperlink" Target="https://sbrownlawyer.com/attorneys/" TargetMode="External"/><Relationship Id="rId1672" Type="http://schemas.openxmlformats.org/officeDocument/2006/relationships/hyperlink" Target="https://sbrownlawyer.com/blaire-evans/" TargetMode="External"/><Relationship Id="rId1673" Type="http://schemas.openxmlformats.org/officeDocument/2006/relationships/hyperlink" Target="https://sbrownlawyer.com/2020/10/29/how-to-tell-if-youre-too-drunk-to-drive-and-how-to-prevent-yourself-from-becoming-a-drunk-driver/" TargetMode="External"/><Relationship Id="rId1674" Type="http://schemas.openxmlformats.org/officeDocument/2006/relationships/hyperlink" Target="https://sbrownlawyer.com/" TargetMode="External"/><Relationship Id="rId1664" Type="http://schemas.openxmlformats.org/officeDocument/2006/relationships/hyperlink" Target="https://sbrownlawyer.com/public-indecency/" TargetMode="External"/><Relationship Id="rId2995" Type="http://schemas.openxmlformats.org/officeDocument/2006/relationships/hyperlink" Target="https://sbrownlawyer.com/" TargetMode="External"/><Relationship Id="rId1665" Type="http://schemas.openxmlformats.org/officeDocument/2006/relationships/hyperlink" Target="https://sbrownlawyer.com/attorneys/" TargetMode="External"/><Relationship Id="rId2996" Type="http://schemas.openxmlformats.org/officeDocument/2006/relationships/hyperlink" Target="https://sbrownlawyer.com/attorneys/" TargetMode="External"/><Relationship Id="rId1666" Type="http://schemas.openxmlformats.org/officeDocument/2006/relationships/hyperlink" Target="https://sbrownlawyer.com/2024/12/27/understanding-the-naturalization-timeline-for-texas-residents/" TargetMode="External"/><Relationship Id="rId2997" Type="http://schemas.openxmlformats.org/officeDocument/2006/relationships/hyperlink" Target="https://sbrownlawyer.com/premises-liability/" TargetMode="External"/><Relationship Id="rId1667" Type="http://schemas.openxmlformats.org/officeDocument/2006/relationships/hyperlink" Target="https://sbrownlawyer.com/divorce/" TargetMode="External"/><Relationship Id="rId2998" Type="http://schemas.openxmlformats.org/officeDocument/2006/relationships/hyperlink" Target="https://sbrownlawyer.com/2024/03/26/grandparent-custody-rights/" TargetMode="External"/><Relationship Id="rId1668" Type="http://schemas.openxmlformats.org/officeDocument/2006/relationships/hyperlink" Target="https://sbrownlawyer.com/2013/01/15/texas-child-support-state-seeks-money-from-sperm-donor/" TargetMode="External"/><Relationship Id="rId2999" Type="http://schemas.openxmlformats.org/officeDocument/2006/relationships/hyperlink" Target="https://sbrownlawyer.com/2018/04/17/statutory-rape-age-of-consent-in-texas-how-old-is-too-old/" TargetMode="External"/><Relationship Id="rId1669" Type="http://schemas.openxmlformats.org/officeDocument/2006/relationships/hyperlink" Target="https://sbrownlawyer.com/cohabitation/" TargetMode="External"/><Relationship Id="rId839" Type="http://schemas.openxmlformats.org/officeDocument/2006/relationships/hyperlink" Target="https://sbrownlawyer.com/theft-and-shoplifting/aggravated-burglary/" TargetMode="External"/><Relationship Id="rId838" Type="http://schemas.openxmlformats.org/officeDocument/2006/relationships/hyperlink" Target="https://sbrownlawyer.com/" TargetMode="External"/><Relationship Id="rId833" Type="http://schemas.openxmlformats.org/officeDocument/2006/relationships/hyperlink" Target="https://sbrownlawyer.com/2024/11/26/eb-2-visa-how-immigration-attorneys-can-help-you-apply/" TargetMode="External"/><Relationship Id="rId832" Type="http://schemas.openxmlformats.org/officeDocument/2006/relationships/hyperlink" Target="https://sbrownlawyer.com/public-indecency/" TargetMode="External"/><Relationship Id="rId831" Type="http://schemas.openxmlformats.org/officeDocument/2006/relationships/hyperlink" Target="https://sbrownlawyer.com/2024/12/27/understanding-the-naturalization-timeline-for-texas-residents/" TargetMode="External"/><Relationship Id="rId830" Type="http://schemas.openxmlformats.org/officeDocument/2006/relationships/hyperlink" Target="https://sbrownlawyer.com/league-city-tx-office-of-scott-m-brown-associates/" TargetMode="External"/><Relationship Id="rId837" Type="http://schemas.openxmlformats.org/officeDocument/2006/relationships/hyperlink" Target="https://sbrownlawyer.com/grand-theft/" TargetMode="External"/><Relationship Id="rId836" Type="http://schemas.openxmlformats.org/officeDocument/2006/relationships/hyperlink" Target="https://sbrownlawyer.com/2024/12/27/understanding-the-naturalization-timeline-for-texas-residents/" TargetMode="External"/><Relationship Id="rId835" Type="http://schemas.openxmlformats.org/officeDocument/2006/relationships/hyperlink" Target="https://sbrownlawyer.com/2015/02/20/child-support-rights-of-grandparents-with-custody-of-a-grandchild/" TargetMode="External"/><Relationship Id="rId834" Type="http://schemas.openxmlformats.org/officeDocument/2006/relationships/hyperlink" Target="https://sbrownlawyer.com/2024/12/27/understanding-the-naturalization-timeline-for-texas-residents/" TargetMode="External"/><Relationship Id="rId2990" Type="http://schemas.openxmlformats.org/officeDocument/2006/relationships/hyperlink" Target="https://sbrownlawyer.com/drug-crimes/" TargetMode="External"/><Relationship Id="rId1660" Type="http://schemas.openxmlformats.org/officeDocument/2006/relationships/hyperlink" Target="https://sbrownlawyer.com/" TargetMode="External"/><Relationship Id="rId2991" Type="http://schemas.openxmlformats.org/officeDocument/2006/relationships/hyperlink" Target="https://sbrownlawyer.com/" TargetMode="External"/><Relationship Id="rId1661" Type="http://schemas.openxmlformats.org/officeDocument/2006/relationships/hyperlink" Target="https://sbrownlawyer.com/league-city-complex-and-contested-divorce/" TargetMode="External"/><Relationship Id="rId2992" Type="http://schemas.openxmlformats.org/officeDocument/2006/relationships/hyperlink" Target="https://sbrownlawyer.com/hit-and-run/" TargetMode="External"/><Relationship Id="rId1662" Type="http://schemas.openxmlformats.org/officeDocument/2006/relationships/hyperlink" Target="https://sbrownlawyer.com/2020/10/29/how-to-tell-if-youre-too-drunk-to-drive-and-how-to-prevent-yourself-from-becoming-a-drunk-driver/" TargetMode="External"/><Relationship Id="rId2993" Type="http://schemas.openxmlformats.org/officeDocument/2006/relationships/hyperlink" Target="https://sbrownlawyer.com/attorneys/" TargetMode="External"/><Relationship Id="rId1663" Type="http://schemas.openxmlformats.org/officeDocument/2006/relationships/hyperlink" Target="https://sbrownlawyer.com/" TargetMode="External"/><Relationship Id="rId2994" Type="http://schemas.openxmlformats.org/officeDocument/2006/relationships/hyperlink" Target="https://sbrownlawyer.com/pedestrian-accidents/" TargetMode="External"/><Relationship Id="rId2148" Type="http://schemas.openxmlformats.org/officeDocument/2006/relationships/hyperlink" Target="https://sbrownlawyer.com/scott-m-brown/" TargetMode="External"/><Relationship Id="rId2149" Type="http://schemas.openxmlformats.org/officeDocument/2006/relationships/hyperlink" Target="https://sbrownlawyer.com/when-alcohol-becomes-a-factor-in-divorce-proceedings/" TargetMode="External"/><Relationship Id="rId2140" Type="http://schemas.openxmlformats.org/officeDocument/2006/relationships/hyperlink" Target="https://sbrownlawyer.com/contact/" TargetMode="External"/><Relationship Id="rId2141" Type="http://schemas.openxmlformats.org/officeDocument/2006/relationships/hyperlink" Target="https://sbrownlawyer.com/2017/11/21/new-texas-law-bans-texting-while-driving/" TargetMode="External"/><Relationship Id="rId2142" Type="http://schemas.openxmlformats.org/officeDocument/2006/relationships/hyperlink" Target="https://sbrownlawyer.com/attorneys/" TargetMode="External"/><Relationship Id="rId2143" Type="http://schemas.openxmlformats.org/officeDocument/2006/relationships/hyperlink" Target="https://sbrownlawyer.com/" TargetMode="External"/><Relationship Id="rId2144" Type="http://schemas.openxmlformats.org/officeDocument/2006/relationships/hyperlink" Target="https://sbrownlawyer.com/" TargetMode="External"/><Relationship Id="rId2145" Type="http://schemas.openxmlformats.org/officeDocument/2006/relationships/hyperlink" Target="https://sbrownlawyer.com/2020/10/29/how-to-tell-if-youre-too-drunk-to-drive-and-how-to-prevent-yourself-from-becoming-a-drunk-driver/" TargetMode="External"/><Relationship Id="rId2146" Type="http://schemas.openxmlformats.org/officeDocument/2006/relationships/hyperlink" Target="https://sbrownlawyer.com/2024/04/24/texas-alimony-am-i-entitled/" TargetMode="External"/><Relationship Id="rId2147" Type="http://schemas.openxmlformats.org/officeDocument/2006/relationships/hyperlink" Target="https://sbrownlawyer.com/harris-county-criminal-defense/" TargetMode="External"/><Relationship Id="rId2137" Type="http://schemas.openxmlformats.org/officeDocument/2006/relationships/hyperlink" Target="https://sbrownlawyer.com/brain-injury/" TargetMode="External"/><Relationship Id="rId2138" Type="http://schemas.openxmlformats.org/officeDocument/2006/relationships/hyperlink" Target="https://sbrownlawyer.com/2019/05/16/motorcycle-laws-regarding-children-in-texas/" TargetMode="External"/><Relationship Id="rId2139" Type="http://schemas.openxmlformats.org/officeDocument/2006/relationships/hyperlink" Target="https://sbrownlawyer.com/attorneys/" TargetMode="External"/><Relationship Id="rId2130" Type="http://schemas.openxmlformats.org/officeDocument/2006/relationships/hyperlink" Target="https://sbrownlawyer.com/attorneys/" TargetMode="External"/><Relationship Id="rId2131" Type="http://schemas.openxmlformats.org/officeDocument/2006/relationships/hyperlink" Target="https://sbrownlawyer.com/scott-m-brown/" TargetMode="External"/><Relationship Id="rId2132" Type="http://schemas.openxmlformats.org/officeDocument/2006/relationships/hyperlink" Target="https://sbrownlawyer.com/2024/07/08/open-vs-closed-aoption-angleton-texas/" TargetMode="External"/><Relationship Id="rId2133" Type="http://schemas.openxmlformats.org/officeDocument/2006/relationships/hyperlink" Target="https://sbrownlawyer.com/2018/04/17/statutory-rape-age-of-consent-in-texas-how-old-is-too-old/" TargetMode="External"/><Relationship Id="rId2134" Type="http://schemas.openxmlformats.org/officeDocument/2006/relationships/hyperlink" Target="https://sbrownlawyer.com/2017/12/01/modifying-custody-in-the-state-of-texas/" TargetMode="External"/><Relationship Id="rId2135" Type="http://schemas.openxmlformats.org/officeDocument/2006/relationships/hyperlink" Target="https://sbrownlawyer.com/2019/05/16/motorcycle-laws-regarding-children-in-texas/" TargetMode="External"/><Relationship Id="rId2136" Type="http://schemas.openxmlformats.org/officeDocument/2006/relationships/hyperlink" Target="https://sbrownlawyer.com/hiring-sexual-assault-defense-lawyer/" TargetMode="External"/><Relationship Id="rId2160" Type="http://schemas.openxmlformats.org/officeDocument/2006/relationships/hyperlink" Target="https://sbrownlawyer.com/2022/02/18/can-i-file-legal-separation-on-texas/" TargetMode="External"/><Relationship Id="rId2161" Type="http://schemas.openxmlformats.org/officeDocument/2006/relationships/hyperlink" Target="https://sbrownlawyer.com/attorneys/" TargetMode="External"/><Relationship Id="rId2162" Type="http://schemas.openxmlformats.org/officeDocument/2006/relationships/hyperlink" Target="https://sbrownlawyer.com/2017/11/01/the-ins-and-outs-of-5050-custody-or-possession/" TargetMode="External"/><Relationship Id="rId2163" Type="http://schemas.openxmlformats.org/officeDocument/2006/relationships/hyperlink" Target="https://sbrownlawyer.com/texas/locations/pearland/" TargetMode="External"/><Relationship Id="rId2164" Type="http://schemas.openxmlformats.org/officeDocument/2006/relationships/hyperlink" Target="https://sbrownlawyer.com/attorneys/" TargetMode="External"/><Relationship Id="rId2165" Type="http://schemas.openxmlformats.org/officeDocument/2006/relationships/hyperlink" Target="https://sbrownlawyer.com/distracted-driving/" TargetMode="External"/><Relationship Id="rId2166" Type="http://schemas.openxmlformats.org/officeDocument/2006/relationships/hyperlink" Target="https://sbrownlawyer.com/" TargetMode="External"/><Relationship Id="rId2167" Type="http://schemas.openxmlformats.org/officeDocument/2006/relationships/hyperlink" Target="https://sbrownlawyer.com/attorneys/" TargetMode="External"/><Relationship Id="rId2168" Type="http://schemas.openxmlformats.org/officeDocument/2006/relationships/hyperlink" Target="https://sbrownlawyer.com/attorneys/" TargetMode="External"/><Relationship Id="rId2169" Type="http://schemas.openxmlformats.org/officeDocument/2006/relationships/hyperlink" Target="https://sbrownlawyer.com/family-law-attorney-in-galveston/" TargetMode="External"/><Relationship Id="rId2159" Type="http://schemas.openxmlformats.org/officeDocument/2006/relationships/hyperlink" Target="https://sbrownlawyer.com/attorneys/" TargetMode="External"/><Relationship Id="rId2150" Type="http://schemas.openxmlformats.org/officeDocument/2006/relationships/hyperlink" Target="https://sbrownlawyer.com/what-is-dwi/" TargetMode="External"/><Relationship Id="rId2151" Type="http://schemas.openxmlformats.org/officeDocument/2006/relationships/hyperlink" Target="https://sbrownlawyer.com/grand-theft/" TargetMode="External"/><Relationship Id="rId2152" Type="http://schemas.openxmlformats.org/officeDocument/2006/relationships/hyperlink" Target="https://sbrownlawyer.com/2019/05/16/motorcycle-laws-regarding-children-in-texas/" TargetMode="External"/><Relationship Id="rId2153" Type="http://schemas.openxmlformats.org/officeDocument/2006/relationships/hyperlink" Target="https://sbrownlawyer.com/back-injury/" TargetMode="External"/><Relationship Id="rId2154" Type="http://schemas.openxmlformats.org/officeDocument/2006/relationships/hyperlink" Target="https://sbrownlawyer.com/obscenity/" TargetMode="External"/><Relationship Id="rId2155" Type="http://schemas.openxmlformats.org/officeDocument/2006/relationships/hyperlink" Target="https://sbrownlawyer.com/sex-crimes/sex-offender-registration/" TargetMode="External"/><Relationship Id="rId2156" Type="http://schemas.openxmlformats.org/officeDocument/2006/relationships/hyperlink" Target="https://sbrownlawyer.com/attorneys/" TargetMode="External"/><Relationship Id="rId2157" Type="http://schemas.openxmlformats.org/officeDocument/2006/relationships/hyperlink" Target="https://sbrownlawyer.com/2018/04/17/statutory-rape-age-of-consent-in-texas-how-old-is-too-old/" TargetMode="External"/><Relationship Id="rId2158" Type="http://schemas.openxmlformats.org/officeDocument/2006/relationships/hyperlink" Target="https://sbrownlawyer.com/harris-county-family-law/" TargetMode="External"/><Relationship Id="rId2104" Type="http://schemas.openxmlformats.org/officeDocument/2006/relationships/hyperlink" Target="https://sbrownlawyer.com/scott-m-brown/" TargetMode="External"/><Relationship Id="rId2105" Type="http://schemas.openxmlformats.org/officeDocument/2006/relationships/hyperlink" Target="https://sbrownlawyer.com/divorce/" TargetMode="External"/><Relationship Id="rId2106" Type="http://schemas.openxmlformats.org/officeDocument/2006/relationships/hyperlink" Target="https://sbrownlawyer.com/when-alcohol-becomes-a-factor-in-divorce-proceedings/" TargetMode="External"/><Relationship Id="rId2107" Type="http://schemas.openxmlformats.org/officeDocument/2006/relationships/hyperlink" Target="https://sbrownlawyer.com/league-city-tx-theft-crimes/" TargetMode="External"/><Relationship Id="rId2108" Type="http://schemas.openxmlformats.org/officeDocument/2006/relationships/hyperlink" Target="https://sbrownlawyer.com/2009/03/02/consent-to-medical-care-by-a-non-parent/" TargetMode="External"/><Relationship Id="rId2109" Type="http://schemas.openxmlformats.org/officeDocument/2006/relationships/hyperlink" Target="https://sbrownlawyer.com/league-city-tx-personal-injury-lawyer/" TargetMode="External"/><Relationship Id="rId2100" Type="http://schemas.openxmlformats.org/officeDocument/2006/relationships/hyperlink" Target="https://sbrownlawyer.com/" TargetMode="External"/><Relationship Id="rId2101" Type="http://schemas.openxmlformats.org/officeDocument/2006/relationships/hyperlink" Target="https://sbrownlawyer.com/how-is-property-divided-in-a-texas-divorce/" TargetMode="External"/><Relationship Id="rId2102" Type="http://schemas.openxmlformats.org/officeDocument/2006/relationships/hyperlink" Target="https://sbrownlawyer.com/attorneys/" TargetMode="External"/><Relationship Id="rId2103" Type="http://schemas.openxmlformats.org/officeDocument/2006/relationships/hyperlink" Target="https://sbrownlawyer.com/" TargetMode="External"/><Relationship Id="rId899" Type="http://schemas.openxmlformats.org/officeDocument/2006/relationships/hyperlink" Target="https://sbrownlawyer.com/2024/12/27/understanding-the-naturalization-timeline-for-texas-residents/" TargetMode="External"/><Relationship Id="rId898" Type="http://schemas.openxmlformats.org/officeDocument/2006/relationships/hyperlink" Target="https://sbrownlawyer.com/2024/03/20/texas-child-support-2024/" TargetMode="External"/><Relationship Id="rId897" Type="http://schemas.openxmlformats.org/officeDocument/2006/relationships/hyperlink" Target="https://sbrownlawyer.com/league-city-divorce-2/" TargetMode="External"/><Relationship Id="rId896" Type="http://schemas.openxmlformats.org/officeDocument/2006/relationships/hyperlink" Target="https://sbrownlawyer.com/2020/12/28/what-to-ask-your-family-lawyer-about-your-child-custody-agreement/" TargetMode="External"/><Relationship Id="rId891" Type="http://schemas.openxmlformats.org/officeDocument/2006/relationships/hyperlink" Target="https://sbrownlawyer.com/attorneys/" TargetMode="External"/><Relationship Id="rId890" Type="http://schemas.openxmlformats.org/officeDocument/2006/relationships/hyperlink" Target="https://sbrownlawyer.com/criminal-defense/" TargetMode="External"/><Relationship Id="rId895" Type="http://schemas.openxmlformats.org/officeDocument/2006/relationships/hyperlink" Target="https://sbrownlawyer.com/league-city-tx-personal-injury-lawyer/" TargetMode="External"/><Relationship Id="rId894" Type="http://schemas.openxmlformats.org/officeDocument/2006/relationships/hyperlink" Target="https://sbrownlawyer.com/attorneys/" TargetMode="External"/><Relationship Id="rId893" Type="http://schemas.openxmlformats.org/officeDocument/2006/relationships/hyperlink" Target="https://sbrownlawyer.com/harris-county-family-law/" TargetMode="External"/><Relationship Id="rId892" Type="http://schemas.openxmlformats.org/officeDocument/2006/relationships/hyperlink" Target="https://sbrownlawyer.com/league-city-tx-office-of-scott-m-brown-associates/" TargetMode="External"/><Relationship Id="rId2126" Type="http://schemas.openxmlformats.org/officeDocument/2006/relationships/hyperlink" Target="https://sbrownlawyer.com/2020/10/29/how-to-tell-if-youre-too-drunk-to-drive-and-how-to-prevent-yourself-from-becoming-a-drunk-driver/" TargetMode="External"/><Relationship Id="rId2127" Type="http://schemas.openxmlformats.org/officeDocument/2006/relationships/hyperlink" Target="https://sbrownlawyer.com/2024/03/26/grandparent-custody-rights/" TargetMode="External"/><Relationship Id="rId2128" Type="http://schemas.openxmlformats.org/officeDocument/2006/relationships/hyperlink" Target="https://sbrownlawyer.com/2024/04/24/texas-alimony-am-i-entitled/" TargetMode="External"/><Relationship Id="rId2129" Type="http://schemas.openxmlformats.org/officeDocument/2006/relationships/hyperlink" Target="https://sbrownlawyer.com/steps-in-settling-your-claim-in-texas/" TargetMode="External"/><Relationship Id="rId2120" Type="http://schemas.openxmlformats.org/officeDocument/2006/relationships/hyperlink" Target="https://sbrownlawyer.com/2018/07/17/what-happens-to-you-money-from-a-personal-injury-settlement-if-you-get-divorced/" TargetMode="External"/><Relationship Id="rId2121" Type="http://schemas.openxmlformats.org/officeDocument/2006/relationships/hyperlink" Target="https://sbrownlawyer.com/2024/03/20/texas-child-support-2024/" TargetMode="External"/><Relationship Id="rId2122" Type="http://schemas.openxmlformats.org/officeDocument/2006/relationships/hyperlink" Target="https://sbrownlawyer.com/attorneys/" TargetMode="External"/><Relationship Id="rId2123" Type="http://schemas.openxmlformats.org/officeDocument/2006/relationships/hyperlink" Target="https://sbrownlawyer.com/attorneys/" TargetMode="External"/><Relationship Id="rId2124" Type="http://schemas.openxmlformats.org/officeDocument/2006/relationships/hyperlink" Target="https://sbrownlawyer.com/" TargetMode="External"/><Relationship Id="rId2125" Type="http://schemas.openxmlformats.org/officeDocument/2006/relationships/hyperlink" Target="https://sbrownlawyer.com/" TargetMode="External"/><Relationship Id="rId2115" Type="http://schemas.openxmlformats.org/officeDocument/2006/relationships/hyperlink" Target="https://sbrownlawyer.com/2017/11/21/new-texas-law-bans-texting-while-driving/" TargetMode="External"/><Relationship Id="rId2116" Type="http://schemas.openxmlformats.org/officeDocument/2006/relationships/hyperlink" Target="https://sbrownlawyer.com/2018/04/17/statutory-rape-age-of-consent-in-texas-how-old-is-too-old/" TargetMode="External"/><Relationship Id="rId2117" Type="http://schemas.openxmlformats.org/officeDocument/2006/relationships/hyperlink" Target="https://sbrownlawyer.com/hit-and-run/" TargetMode="External"/><Relationship Id="rId2118" Type="http://schemas.openxmlformats.org/officeDocument/2006/relationships/hyperlink" Target="https://sbrownlawyer.com/attorneys/" TargetMode="External"/><Relationship Id="rId2119" Type="http://schemas.openxmlformats.org/officeDocument/2006/relationships/hyperlink" Target="https://sbrownlawyer.com/reckless-driving/" TargetMode="External"/><Relationship Id="rId2110" Type="http://schemas.openxmlformats.org/officeDocument/2006/relationships/hyperlink" Target="https://sbrownlawyer.com/" TargetMode="External"/><Relationship Id="rId2111" Type="http://schemas.openxmlformats.org/officeDocument/2006/relationships/hyperlink" Target="https://sbrownlawyer.com/2021/07/20/8-questions-to-ask-dui-attorneys/" TargetMode="External"/><Relationship Id="rId2112" Type="http://schemas.openxmlformats.org/officeDocument/2006/relationships/hyperlink" Target="https://sbrownlawyer.com/2017/11/21/new-texas-law-bans-texting-while-driving/" TargetMode="External"/><Relationship Id="rId2113" Type="http://schemas.openxmlformats.org/officeDocument/2006/relationships/hyperlink" Target="https://sbrownlawyer.com/contact/" TargetMode="External"/><Relationship Id="rId2114" Type="http://schemas.openxmlformats.org/officeDocument/2006/relationships/hyperlink" Target="https://sbrownlawyer.com/attorneys/" TargetMode="External"/></Relationships>
</file>

<file path=xl/worksheets/_rels/sheet14.xml.rels><?xml version="1.0" encoding="UTF-8" standalone="yes"?><Relationships xmlns="http://schemas.openxmlformats.org/package/2006/relationships"><Relationship Id="rId392" Type="http://schemas.openxmlformats.org/officeDocument/2006/relationships/hyperlink" Target="https://www.sterlinglawyers.com/wisconsin/locations/madison/child-custody-lawyers/" TargetMode="External"/><Relationship Id="rId391" Type="http://schemas.openxmlformats.org/officeDocument/2006/relationships/hyperlink" Target="https://www.sterlinglawyers.com/reviews" TargetMode="External"/><Relationship Id="rId390" Type="http://schemas.openxmlformats.org/officeDocument/2006/relationships/hyperlink" Target="https://www.sterlinglawyers.com/wisconsin/reviews/page/3/" TargetMode="External"/><Relationship Id="rId2180" Type="http://schemas.openxmlformats.org/officeDocument/2006/relationships/hyperlink" Target="https://www.sterlinglawyers.com/wisconsin/attorneys/robert-keenan/reviews/page/12/" TargetMode="External"/><Relationship Id="rId2181" Type="http://schemas.openxmlformats.org/officeDocument/2006/relationships/hyperlink" Target="https://www.sterlinglawyers.com/illinois/attorneys/nina-kelly/reviews/page/16/" TargetMode="External"/><Relationship Id="rId2182" Type="http://schemas.openxmlformats.org/officeDocument/2006/relationships/hyperlink" Target="https://www.sterlinglawyers.com/wisconsin/attorneys/michelle-gordon/reviews/page/12/" TargetMode="External"/><Relationship Id="rId2183" Type="http://schemas.openxmlformats.org/officeDocument/2006/relationships/hyperlink" Target="https://www.sterlinglawyers.com/wisconsin/attorneys/holly-mullin/reviews/page/40/" TargetMode="External"/><Relationship Id="rId385" Type="http://schemas.openxmlformats.org/officeDocument/2006/relationships/hyperlink" Target="https://www.sterlinglawyers.com/wisconsin/divorce/still-want-my-ex-back/" TargetMode="External"/><Relationship Id="rId2184" Type="http://schemas.openxmlformats.org/officeDocument/2006/relationships/hyperlink" Target="https://www.sterlinglawyers.com/wisconsin/attorneys/holly-mullin/reviews/page/41/" TargetMode="External"/><Relationship Id="rId384" Type="http://schemas.openxmlformats.org/officeDocument/2006/relationships/hyperlink" Target="https://www.sterlinglawyers.com/wisconsin/locations/milwaukee/collaborative-divorce-lawyers/" TargetMode="External"/><Relationship Id="rId2185" Type="http://schemas.openxmlformats.org/officeDocument/2006/relationships/hyperlink" Target="https://www.sterlinglawyers.com/wisconsin/attorneys/michelle-gordon/reviews/page/25/" TargetMode="External"/><Relationship Id="rId383" Type="http://schemas.openxmlformats.org/officeDocument/2006/relationships/hyperlink" Target="https://www.sterlinglawyers.com/wisconsin/locations/milwaukee/child-custody-lawyers/" TargetMode="External"/><Relationship Id="rId2186" Type="http://schemas.openxmlformats.org/officeDocument/2006/relationships/hyperlink" Target="https://www.sterlinglawyers.com/wisconsin/attorneys/michelle-gordon/reviews/page/24/" TargetMode="External"/><Relationship Id="rId382" Type="http://schemas.openxmlformats.org/officeDocument/2006/relationships/hyperlink" Target="https://www.sterlinglawyers.com/wisconsin/locations/milwaukee/child-support-lawyers/" TargetMode="External"/><Relationship Id="rId2187" Type="http://schemas.openxmlformats.org/officeDocument/2006/relationships/hyperlink" Target="https://www.sterlinglawyers.com/wisconsin/attorneys/nikole-messerschmidt/reviews/page/12/" TargetMode="External"/><Relationship Id="rId389" Type="http://schemas.openxmlformats.org/officeDocument/2006/relationships/hyperlink" Target="https://www.sterlinglawyers.com/wisconsin/reviews/page/2/" TargetMode="External"/><Relationship Id="rId2188" Type="http://schemas.openxmlformats.org/officeDocument/2006/relationships/hyperlink" Target="https://www.sterlinglawyers.com/wisconsin/attorneys/nikole-messerschmidt/reviews/page/13/" TargetMode="External"/><Relationship Id="rId388" Type="http://schemas.openxmlformats.org/officeDocument/2006/relationships/hyperlink" Target="https://www.sterlinglawyers.com/wisconsin/locations/milwaukee/property-division-lawyers/" TargetMode="External"/><Relationship Id="rId2189" Type="http://schemas.openxmlformats.org/officeDocument/2006/relationships/hyperlink" Target="https://www.sterlinglawyers.com/wisconsin/attorneys/jack-braaten/reviews/page/19/" TargetMode="External"/><Relationship Id="rId387" Type="http://schemas.openxmlformats.org/officeDocument/2006/relationships/hyperlink" Target="https://www.sterlinglawyers.com/wisconsin/locations/milwaukee/alimony-lawyers/" TargetMode="External"/><Relationship Id="rId386" Type="http://schemas.openxmlformats.org/officeDocument/2006/relationships/hyperlink" Target="https://www.sterlinglawyers.com/wisconsin/locations/milwaukee/military-divorce-lawyers/" TargetMode="External"/><Relationship Id="rId381" Type="http://schemas.openxmlformats.org/officeDocument/2006/relationships/hyperlink" Target="https://www.sterlinglawyers.com/wisconsin/locations/milwaukee/contested-divorce-lawyers/" TargetMode="External"/><Relationship Id="rId380" Type="http://schemas.openxmlformats.org/officeDocument/2006/relationships/hyperlink" Target="https://www.sterlinglawyers.com/wisconsin/locations/milwaukee/uncontested-divorce-lawyers/" TargetMode="External"/><Relationship Id="rId379" Type="http://schemas.openxmlformats.org/officeDocument/2006/relationships/hyperlink" Target="https://www.sterlinglawyers.com/wisconsin/locations/milwaukee/paternity-lawyers/" TargetMode="External"/><Relationship Id="rId2170" Type="http://schemas.openxmlformats.org/officeDocument/2006/relationships/hyperlink" Target="https://www.sterlinglawyers.com/illinois/reviews/page/15/" TargetMode="External"/><Relationship Id="rId2171" Type="http://schemas.openxmlformats.org/officeDocument/2006/relationships/hyperlink" Target="https://www.sterlinglawyers.com/illinois/reviews/page/17/" TargetMode="External"/><Relationship Id="rId2172" Type="http://schemas.openxmlformats.org/officeDocument/2006/relationships/hyperlink" Target="https://www.sterlinglawyers.com/illinois/attorneys/nina-kelly/reviews/page/32/" TargetMode="External"/><Relationship Id="rId374" Type="http://schemas.openxmlformats.org/officeDocument/2006/relationships/hyperlink" Target="https://www.sterlinglawyers.com/wisconsin/locations/appleton/property-division-lawyers/" TargetMode="External"/><Relationship Id="rId2173" Type="http://schemas.openxmlformats.org/officeDocument/2006/relationships/hyperlink" Target="https://www.sterlinglawyers.com/illinois/attorneys/nina-kelly/reviews/page/31/" TargetMode="External"/><Relationship Id="rId373" Type="http://schemas.openxmlformats.org/officeDocument/2006/relationships/hyperlink" Target="https://www.sterlinglawyers.com/wisconsin/locations/appleton/child-custody-lawyers/" TargetMode="External"/><Relationship Id="rId2174" Type="http://schemas.openxmlformats.org/officeDocument/2006/relationships/hyperlink" Target="https://www.sterlinglawyers.com/news/page/3/?et_blog" TargetMode="External"/><Relationship Id="rId372" Type="http://schemas.openxmlformats.org/officeDocument/2006/relationships/hyperlink" Target="https://www.sterlinglawyers.com/wisconsin/locations/appleton/military-divorce-lawyers/" TargetMode="External"/><Relationship Id="rId2175" Type="http://schemas.openxmlformats.org/officeDocument/2006/relationships/hyperlink" Target="https://www.sterlinglawyers.com/wisdom-from-attorney-knighton/decide-say-no-friends-family/" TargetMode="External"/><Relationship Id="rId371" Type="http://schemas.openxmlformats.org/officeDocument/2006/relationships/hyperlink" Target="https://www.sterlinglawyers.com/wisconsin/locations/appleton/uncontested-divorce-lawyers/" TargetMode="External"/><Relationship Id="rId2176" Type="http://schemas.openxmlformats.org/officeDocument/2006/relationships/hyperlink" Target="https://www.sterlinglawyers.com/news/?et_blog" TargetMode="External"/><Relationship Id="rId378" Type="http://schemas.openxmlformats.org/officeDocument/2006/relationships/hyperlink" Target="https://www.sterlinglawyers.com/wisconsin/locations/milwaukee/divorce-mediation-lawyers/" TargetMode="External"/><Relationship Id="rId2177" Type="http://schemas.openxmlformats.org/officeDocument/2006/relationships/hyperlink" Target="https://www.sterlinglawyers.com/wisdom-from-attorney-knighton/stop-faking-actually-get-want/" TargetMode="External"/><Relationship Id="rId377" Type="http://schemas.openxmlformats.org/officeDocument/2006/relationships/hyperlink" Target="https://www.sterlinglawyers.com/wisconsin/locations/appleton/child-support-lawyers/" TargetMode="External"/><Relationship Id="rId2178" Type="http://schemas.openxmlformats.org/officeDocument/2006/relationships/hyperlink" Target="https://www.sterlinglawyers.com/wisconsin/blog/page/8/?et_blog" TargetMode="External"/><Relationship Id="rId376" Type="http://schemas.openxmlformats.org/officeDocument/2006/relationships/hyperlink" Target="https://www.sterlinglawyers.com/wisconsin/locations/appleton/alimony-lawyers/" TargetMode="External"/><Relationship Id="rId2179" Type="http://schemas.openxmlformats.org/officeDocument/2006/relationships/hyperlink" Target="https://www.sterlinglawyers.com/illinois/attorneys/nina-kelly/reviews/page/17/" TargetMode="External"/><Relationship Id="rId375" Type="http://schemas.openxmlformats.org/officeDocument/2006/relationships/hyperlink" Target="https://www.sterlinglawyers.com/wisconsin/locations/appleton/paternity-lawyers/" TargetMode="External"/><Relationship Id="rId2190" Type="http://schemas.openxmlformats.org/officeDocument/2006/relationships/hyperlink" Target="https://www.sterlinglawyers.com/wisconsin/attorneys/tiffany-vogel/reviews/page/39/" TargetMode="External"/><Relationship Id="rId2191" Type="http://schemas.openxmlformats.org/officeDocument/2006/relationships/hyperlink" Target="https://www.sterlinglawyers.com/wisconsin/attorneys/tiffany-vogel/reviews/page/40/" TargetMode="External"/><Relationship Id="rId2192" Type="http://schemas.openxmlformats.org/officeDocument/2006/relationships/hyperlink" Target="https://www.sterlinglawyers.com/wisconsin/attorneys/tiffany-vogel/reviews/page/13/" TargetMode="External"/><Relationship Id="rId2193" Type="http://schemas.openxmlformats.org/officeDocument/2006/relationships/hyperlink" Target="https://www.sterlinglawyers.com/wisconsin/attorneys/tiffany-vogel/reviews/page/12/" TargetMode="External"/><Relationship Id="rId2194" Type="http://schemas.openxmlformats.org/officeDocument/2006/relationships/hyperlink" Target="https://www.sterlinglawyers.com/wisconsin/attorneys/nikole-messerschmidt/reviews/page/44/" TargetMode="External"/><Relationship Id="rId396" Type="http://schemas.openxmlformats.org/officeDocument/2006/relationships/hyperlink" Target="https://www.sterlinglawyers.com/divorce/what-is-a-collaborative-divorce/" TargetMode="External"/><Relationship Id="rId2195" Type="http://schemas.openxmlformats.org/officeDocument/2006/relationships/hyperlink" Target="https://www.sterlinglawyers.com/wisconsin/attorneys/robert-keenan/reviews/page/29/" TargetMode="External"/><Relationship Id="rId395" Type="http://schemas.openxmlformats.org/officeDocument/2006/relationships/hyperlink" Target="https://www.sterlinglawyers.com/wisdom-from-attorney-knighton/how-to-strategically-prepare-for-divorce/" TargetMode="External"/><Relationship Id="rId2196" Type="http://schemas.openxmlformats.org/officeDocument/2006/relationships/hyperlink" Target="https://www.sterlinglawyers.com/wisconsin/attorneys/robert-keenan/reviews/page/28/" TargetMode="External"/><Relationship Id="rId394" Type="http://schemas.openxmlformats.org/officeDocument/2006/relationships/hyperlink" Target="https://www.sterlinglawyers.com/wisdom-from-attorney-knighton/complexities-of-house-appraisals-during-divorce/" TargetMode="External"/><Relationship Id="rId2197" Type="http://schemas.openxmlformats.org/officeDocument/2006/relationships/hyperlink" Target="https://www.sterlinglawyers.com/wisconsin/attorneys/jeffrey-morrell/reviews/page/64/" TargetMode="External"/><Relationship Id="rId393" Type="http://schemas.openxmlformats.org/officeDocument/2006/relationships/hyperlink" Target="https://www.sterlinglawyers.com/resources/" TargetMode="External"/><Relationship Id="rId2198" Type="http://schemas.openxmlformats.org/officeDocument/2006/relationships/hyperlink" Target="https://www.sterlinglawyers.com/wisconsin/attorneys/jeffrey-morrell/reviews/page/65/" TargetMode="External"/><Relationship Id="rId2199" Type="http://schemas.openxmlformats.org/officeDocument/2006/relationships/hyperlink" Target="https://www.sterlinglawyers.com/illinois/reviews/page/16/" TargetMode="External"/><Relationship Id="rId399" Type="http://schemas.openxmlformats.org/officeDocument/2006/relationships/hyperlink" Target="https://www.sterlinglawyers.com/illinois/attorneys/katie-vandeusen/reviews/page/" TargetMode="External"/><Relationship Id="rId398" Type="http://schemas.openxmlformats.org/officeDocument/2006/relationships/hyperlink" Target="https://www.sterlinglawyers.com/Illinois/divorce/mediation/" TargetMode="External"/><Relationship Id="rId397" Type="http://schemas.openxmlformats.org/officeDocument/2006/relationships/hyperlink" Target="https://www.sterlinglawyers.com/illinois/divorce/evicting-spouse/" TargetMode="External"/><Relationship Id="rId1730" Type="http://schemas.openxmlformats.org/officeDocument/2006/relationships/hyperlink" Target="https://www.sterlinglawyers.com/wisconsin/blog/ensuring-spousal-support-stability-madison-attorney-strategy/" TargetMode="External"/><Relationship Id="rId1731" Type="http://schemas.openxmlformats.org/officeDocument/2006/relationships/hyperlink" Target="https://www.sterlinglawyers.com/wisconsin/blog/how-beaver-dam-divorce-mediation-lawyer-facilitate-peaceful-divorce/" TargetMode="External"/><Relationship Id="rId1732" Type="http://schemas.openxmlformats.org/officeDocument/2006/relationships/hyperlink" Target="https://www.sterlinglawyers.com/wisconsin/blog/the-human-aspect-of-uncontested-divorce-sheboygan/" TargetMode="External"/><Relationship Id="rId1733" Type="http://schemas.openxmlformats.org/officeDocument/2006/relationships/hyperlink" Target="https://www.sterlinglawyers.com/wisconsin/blog/child-custody-concerns-with-appleton-lawyers/" TargetMode="External"/><Relationship Id="rId1734" Type="http://schemas.openxmlformats.org/officeDocument/2006/relationships/hyperlink" Target="https://www.sterlinglawyers.com/wisconsin/blog/prudent-representation-fortifying-hopes-in-divorce/" TargetMode="External"/><Relationship Id="rId1735" Type="http://schemas.openxmlformats.org/officeDocument/2006/relationships/hyperlink" Target="https://www.sterlinglawyers.com/wisconsin/blog/essential-attorney-role-appleton-contested-divorce/" TargetMode="External"/><Relationship Id="rId1736" Type="http://schemas.openxmlformats.org/officeDocument/2006/relationships/hyperlink" Target="https://www.sterlinglawyers.com/wisconsin/blog/complex-custody-cases-call-for-experienced-beloit-attorneys/" TargetMode="External"/><Relationship Id="rId1737" Type="http://schemas.openxmlformats.org/officeDocument/2006/relationships/hyperlink" Target="https://www.sterlinglawyers.com/wisconsin/blog/compassion-jefferson-collaborative-divorce/" TargetMode="External"/><Relationship Id="rId1738" Type="http://schemas.openxmlformats.org/officeDocument/2006/relationships/hyperlink" Target="https://www.sterlinglawyers.com/wisconsin/blog/kenosha-child-support-lawyer-assistance-work-parenthood-legal-challenges/" TargetMode="External"/><Relationship Id="rId1739" Type="http://schemas.openxmlformats.org/officeDocument/2006/relationships/hyperlink" Target="https://www.sterlinglawyers.com/wisconsin/blog/guiding-families-collaborative-divorce-fond-du-lac/" TargetMode="External"/><Relationship Id="rId1720" Type="http://schemas.openxmlformats.org/officeDocument/2006/relationships/hyperlink" Target="https://www.sterlinglawyers.com/wisconsin/blog/steering-tides-child-custody-kenosha-county/" TargetMode="External"/><Relationship Id="rId1721" Type="http://schemas.openxmlformats.org/officeDocument/2006/relationships/hyperlink" Target="https://www.sterlinglawyers.com/wisconsin/blog/transforming-tough-fond-du-lac-paternity-cases-into-new-beginnings/" TargetMode="External"/><Relationship Id="rId1722" Type="http://schemas.openxmlformats.org/officeDocument/2006/relationships/hyperlink" Target="https://www.sterlinglawyers.com/wisconsin/blog/demystifying-family-law-with-appleton-spousal-support-lawyers/" TargetMode="External"/><Relationship Id="rId1723" Type="http://schemas.openxmlformats.org/officeDocument/2006/relationships/hyperlink" Target="https://www.sterlinglawyers.com/wisconsin/blog/leveraging-local-knowledge-beaver-dam-property-division-cases/" TargetMode="External"/><Relationship Id="rId1724" Type="http://schemas.openxmlformats.org/officeDocument/2006/relationships/hyperlink" Target="https://www.sterlinglawyers.com/wisconsin/blog/heartfelt-chronicle-resolution-divorce-mediation-fond-du-lac/" TargetMode="External"/><Relationship Id="rId1725" Type="http://schemas.openxmlformats.org/officeDocument/2006/relationships/hyperlink" Target="https://www.sterlinglawyers.com/wisconsin/blog/foundational-legal-help-for-your-appleton-property-division-case/" TargetMode="External"/><Relationship Id="rId1726" Type="http://schemas.openxmlformats.org/officeDocument/2006/relationships/hyperlink" Target="https://www.sterlinglawyers.com/wisconsin/attorneys/michele-macphail/" TargetMode="External"/><Relationship Id="rId1727" Type="http://schemas.openxmlformats.org/officeDocument/2006/relationships/hyperlink" Target="https://www.sterlinglawyers.com/wisconsin/blog/family-law-insights-property-division-beloit/" TargetMode="External"/><Relationship Id="rId1728" Type="http://schemas.openxmlformats.org/officeDocument/2006/relationships/hyperlink" Target="https://www.sterlinglawyers.com/wisconsin/blog/advantages-collaborative-divorce-madison-wi/" TargetMode="External"/><Relationship Id="rId1729" Type="http://schemas.openxmlformats.org/officeDocument/2006/relationships/hyperlink" Target="https://www.sterlinglawyers.com/wisconsin/blog/finding-fairness-dividing-property-washington-county/" TargetMode="External"/><Relationship Id="rId1752" Type="http://schemas.openxmlformats.org/officeDocument/2006/relationships/hyperlink" Target="https://www.sterlinglawyers.com/wisconsin/attorneys/holly-mullin/reviews/page/48/" TargetMode="External"/><Relationship Id="rId1753" Type="http://schemas.openxmlformats.org/officeDocument/2006/relationships/hyperlink" Target="https://www.sterlinglawyers.com/wisconsin/attorneys/jodi-chung/reviews/page/" TargetMode="External"/><Relationship Id="rId1754" Type="http://schemas.openxmlformats.org/officeDocument/2006/relationships/hyperlink" Target="https://www.sterlinglawyers.com/wisconsin/attorneys/holly-mullin/reviews/page/4/" TargetMode="External"/><Relationship Id="rId1755" Type="http://schemas.openxmlformats.org/officeDocument/2006/relationships/hyperlink" Target="https://www.sterlinglawyers.com/wisconsin/attorneys/nikole-messerschmidt/reviews/page/5/" TargetMode="External"/><Relationship Id="rId1756" Type="http://schemas.openxmlformats.org/officeDocument/2006/relationships/hyperlink" Target="https://www.sterlinglawyers.com/wisconsin/attorneys/nikole-messerschmidt/reviews/page/4/" TargetMode="External"/><Relationship Id="rId1757" Type="http://schemas.openxmlformats.org/officeDocument/2006/relationships/hyperlink" Target="https://www.sterlinglawyers.com/wisconsin/attorneys/holly-mullin/reviews/page/" TargetMode="External"/><Relationship Id="rId1758" Type="http://schemas.openxmlformats.org/officeDocument/2006/relationships/hyperlink" Target="https://www.sterlinglawyers.com/wisconsin/attorneys/nikole-messerschmidt/reviews/page/52/" TargetMode="External"/><Relationship Id="rId1759" Type="http://schemas.openxmlformats.org/officeDocument/2006/relationships/hyperlink" Target="https://www.sterlinglawyers.com/wisconsin/attorneys/nikole-messerschmidt/reviews/page/" TargetMode="External"/><Relationship Id="rId1750" Type="http://schemas.openxmlformats.org/officeDocument/2006/relationships/hyperlink" Target="https://www.sterlinglawyers.com/wisconsin/attorneys/jodi-chung/reviews/page/5/" TargetMode="External"/><Relationship Id="rId1751" Type="http://schemas.openxmlformats.org/officeDocument/2006/relationships/hyperlink" Target="https://www.sterlinglawyers.com/wisconsin/attorneys/holly-mullin/reviews/page/49/" TargetMode="External"/><Relationship Id="rId1741" Type="http://schemas.openxmlformats.org/officeDocument/2006/relationships/hyperlink" Target="https://www.sterlinglawyers.com/wisconsin/attorneys/robert-keenan/reviews/page/5/" TargetMode="External"/><Relationship Id="rId1742" Type="http://schemas.openxmlformats.org/officeDocument/2006/relationships/hyperlink" Target="https://www.sterlinglawyers.com/wisconsin/attorneys/michelle-gordon/reviews/page/5/" TargetMode="External"/><Relationship Id="rId1743" Type="http://schemas.openxmlformats.org/officeDocument/2006/relationships/hyperlink" Target="https://www.sterlinglawyers.com/wisconsin/blog/page/4/?et_blog" TargetMode="External"/><Relationship Id="rId1744" Type="http://schemas.openxmlformats.org/officeDocument/2006/relationships/hyperlink" Target="https://www.sterlinglawyers.com/wisconsin/attorneys/michelle-gordon/reviews/page/32/" TargetMode="External"/><Relationship Id="rId1745" Type="http://schemas.openxmlformats.org/officeDocument/2006/relationships/hyperlink" Target="https://www.sterlinglawyers.com/wisconsin/blog/why-hiring-an-attorney-matters-beaver-dam-spousal-support/" TargetMode="External"/><Relationship Id="rId1746" Type="http://schemas.openxmlformats.org/officeDocument/2006/relationships/hyperlink" Target="https://www.sterlinglawyers.com/wisconsin/attorneys/jodi-chung/reviews/page/9/" TargetMode="External"/><Relationship Id="rId1747" Type="http://schemas.openxmlformats.org/officeDocument/2006/relationships/hyperlink" Target="https://www.sterlinglawyers.com/wisconsin/attorneys/jodi-chung/reviews/page/8/" TargetMode="External"/><Relationship Id="rId1748" Type="http://schemas.openxmlformats.org/officeDocument/2006/relationships/hyperlink" Target="https://www.sterlinglawyers.com/wisconsin/attorneys/michelle-gordon/reviews/page/" TargetMode="External"/><Relationship Id="rId1749" Type="http://schemas.openxmlformats.org/officeDocument/2006/relationships/hyperlink" Target="https://www.sterlinglawyers.com/wisconsin/attorneys/jodi-chung/reviews/page/4/" TargetMode="External"/><Relationship Id="rId1740" Type="http://schemas.openxmlformats.org/officeDocument/2006/relationships/hyperlink" Target="https://www.sterlinglawyers.com/wisconsin/blog/exploring-family-law-sheboygan-collaborative-divorce-lawyers/" TargetMode="External"/><Relationship Id="rId1710" Type="http://schemas.openxmlformats.org/officeDocument/2006/relationships/hyperlink" Target="https://www.sterlinglawyers.com/case-law/wisconsin-mother-state/" TargetMode="External"/><Relationship Id="rId1711" Type="http://schemas.openxmlformats.org/officeDocument/2006/relationships/hyperlink" Target="https://www.sterlinglawyers.com/wisconsin/blog/legal-light-collaborative-divorce-baraboo/" TargetMode="External"/><Relationship Id="rId1712" Type="http://schemas.openxmlformats.org/officeDocument/2006/relationships/hyperlink" Target="https://www.sterlinglawyers.com/wisconsin/blog/walking-complicated-path-contested-divorce/" TargetMode="External"/><Relationship Id="rId1713" Type="http://schemas.openxmlformats.org/officeDocument/2006/relationships/hyperlink" Target="https://www.sterlinglawyers.com/wisconsin/blog/behind-the-scenes-baraboo-military-divorce-case/" TargetMode="External"/><Relationship Id="rId1714" Type="http://schemas.openxmlformats.org/officeDocument/2006/relationships/hyperlink" Target="https://www.sterlinglawyers.com/wisconsin/blog/attorneys-compass-guiding-through-military-divorce-madison/" TargetMode="External"/><Relationship Id="rId1715" Type="http://schemas.openxmlformats.org/officeDocument/2006/relationships/hyperlink" Target="https://www.sterlinglawyers.com/wisconsin/blog/finding-right-ally-menomonee-falls-child-custody-lawyers/" TargetMode="External"/><Relationship Id="rId1716" Type="http://schemas.openxmlformats.org/officeDocument/2006/relationships/hyperlink" Target="https://www.sterlinglawyers.com/wisconsin/blog/insight-legal-journey-racine-child-custody-lawyers/" TargetMode="External"/><Relationship Id="rId1717" Type="http://schemas.openxmlformats.org/officeDocument/2006/relationships/hyperlink" Target="https://www.sterlinglawyers.com/wisconsin/blog/finding-strength-in-adversity-mothers-journey-paternity-case/" TargetMode="External"/><Relationship Id="rId1718" Type="http://schemas.openxmlformats.org/officeDocument/2006/relationships/hyperlink" Target="https://www.sterlinglawyers.com/wisconsin/blog/hope-assistance-janesville-spousal-support-lawyers/" TargetMode="External"/><Relationship Id="rId1719" Type="http://schemas.openxmlformats.org/officeDocument/2006/relationships/hyperlink" Target="https://www.sterlinglawyers.com/wisconsin/blog/sterling-lawyers-support-milwaukee-fathers/" TargetMode="External"/><Relationship Id="rId1700" Type="http://schemas.openxmlformats.org/officeDocument/2006/relationships/hyperlink" Target="https://www.sterlinglawyers.com/wisconsin/blog/untangling-knots-contested-divorce-appleton/" TargetMode="External"/><Relationship Id="rId1701" Type="http://schemas.openxmlformats.org/officeDocument/2006/relationships/hyperlink" Target="https://www.sterlinglawyers.com/wisconsin/blog/harmonious-resolution-property-division-fond-du-lac-county/" TargetMode="External"/><Relationship Id="rId1702" Type="http://schemas.openxmlformats.org/officeDocument/2006/relationships/hyperlink" Target="https://www.sterlinglawyers.com/wisconsin/blog/choose-right-path-oshkosh-attorney-collaborative-divorce/" TargetMode="External"/><Relationship Id="rId1703" Type="http://schemas.openxmlformats.org/officeDocument/2006/relationships/hyperlink" Target="https://www.sterlinglawyers.com/wisconsin/blog/navigating-the-complexities-of-military-divorce-with-brookfield-lawyers/" TargetMode="External"/><Relationship Id="rId1704" Type="http://schemas.openxmlformats.org/officeDocument/2006/relationships/hyperlink" Target="https://www.sterlinglawyers.com/wisconsin/blog/understanding-a-pewaukee-uncontested-divorce/" TargetMode="External"/><Relationship Id="rId1705" Type="http://schemas.openxmlformats.org/officeDocument/2006/relationships/hyperlink" Target="https://www.sterlinglawyers.com/wisconsin/blog/legal-advocacy-lifeline-during-beloit-property-division/" TargetMode="External"/><Relationship Id="rId1706" Type="http://schemas.openxmlformats.org/officeDocument/2006/relationships/hyperlink" Target="https://www.sterlinglawyers.com/wisconsin/blog/legal-counsel-importance-beaver-dam-collaborative-divorce-proceedings/" TargetMode="External"/><Relationship Id="rId1707" Type="http://schemas.openxmlformats.org/officeDocument/2006/relationships/hyperlink" Target="https://www.sterlinglawyers.com/wisconsin/blog/family-focus-unanimous-divorce-jefferson/" TargetMode="External"/><Relationship Id="rId1708" Type="http://schemas.openxmlformats.org/officeDocument/2006/relationships/hyperlink" Target="https://www.sterlinglawyers.com/wisconsin/blog/waukesha-county-child-support-challenges/" TargetMode="External"/><Relationship Id="rId1709" Type="http://schemas.openxmlformats.org/officeDocument/2006/relationships/hyperlink" Target="https://www.sterlinglawyers.com/wisconsin/blog/child-support-challenges-mequon-lawyers/" TargetMode="External"/><Relationship Id="rId40" Type="http://schemas.openxmlformats.org/officeDocument/2006/relationships/hyperlink" Target="https://www.sterlinglawyers.com/illinois/attorneys/" TargetMode="External"/><Relationship Id="rId42" Type="http://schemas.openxmlformats.org/officeDocument/2006/relationships/hyperlink" Target="https://www.sterlinglawyers.com/promise/" TargetMode="External"/><Relationship Id="rId41" Type="http://schemas.openxmlformats.org/officeDocument/2006/relationships/hyperlink" Target="https://www.sterlinglawyers.com/illinois/property-division/" TargetMode="External"/><Relationship Id="rId44" Type="http://schemas.openxmlformats.org/officeDocument/2006/relationships/hyperlink" Target="https://www.sterlinglawyers.com/illinois/reviews/" TargetMode="External"/><Relationship Id="rId43" Type="http://schemas.openxmlformats.org/officeDocument/2006/relationships/hyperlink" Target="https://www.sterlinglawyers.com/illinois/spousal-support/" TargetMode="External"/><Relationship Id="rId46" Type="http://schemas.openxmlformats.org/officeDocument/2006/relationships/hyperlink" Target="https://www.sterlinglawyers.com/careers/" TargetMode="External"/><Relationship Id="rId45" Type="http://schemas.openxmlformats.org/officeDocument/2006/relationships/hyperlink" Target="https://www.sterlinglawyers.com/illinois/family-law-process/" TargetMode="External"/><Relationship Id="rId48" Type="http://schemas.openxmlformats.org/officeDocument/2006/relationships/hyperlink" Target="https://www.sterlinglawyers.com/illinois/pricing/" TargetMode="External"/><Relationship Id="rId47" Type="http://schemas.openxmlformats.org/officeDocument/2006/relationships/hyperlink" Target="https://www.sterlinglawyers.com/illinois/attorneys/natalie-mccray/" TargetMode="External"/><Relationship Id="rId49" Type="http://schemas.openxmlformats.org/officeDocument/2006/relationships/hyperlink" Target="https://www.sterlinglawyers.com/illinois/divorce/forms/" TargetMode="External"/><Relationship Id="rId31" Type="http://schemas.openxmlformats.org/officeDocument/2006/relationships/hyperlink" Target="https://www.sterlinglawyers.com/illinois/family-law-case-types-cost/" TargetMode="External"/><Relationship Id="rId30" Type="http://schemas.openxmlformats.org/officeDocument/2006/relationships/hyperlink" Target="https://www.sterlinglawyers.com/illinois/divorce/contested/" TargetMode="External"/><Relationship Id="rId33" Type="http://schemas.openxmlformats.org/officeDocument/2006/relationships/hyperlink" Target="https://www.sterlinglawyers.com/lp-untying-knots/" TargetMode="External"/><Relationship Id="rId32" Type="http://schemas.openxmlformats.org/officeDocument/2006/relationships/hyperlink" Target="https://www.sterlinglawyers.com/illinois/locations/schaumburg/" TargetMode="External"/><Relationship Id="rId35" Type="http://schemas.openxmlformats.org/officeDocument/2006/relationships/hyperlink" Target="https://www.sterlinglawyers.com/illinois/blog/" TargetMode="External"/><Relationship Id="rId34" Type="http://schemas.openxmlformats.org/officeDocument/2006/relationships/hyperlink" Target="https://www.sterlinglawyers.com/illinois/attorneys/lea-diaz/reviews/" TargetMode="External"/><Relationship Id="rId37" Type="http://schemas.openxmlformats.org/officeDocument/2006/relationships/hyperlink" Target="https://www.sterlinglawyers.com/illinois/divorce/mediation/" TargetMode="External"/><Relationship Id="rId36" Type="http://schemas.openxmlformats.org/officeDocument/2006/relationships/hyperlink" Target="https://www.sterlinglawyers.com/illinois/child-support/calculator/" TargetMode="External"/><Relationship Id="rId39" Type="http://schemas.openxmlformats.org/officeDocument/2006/relationships/hyperlink" Target="https://www.sterlinglawyers.com/illinois/attorneys/nina-kelly/" TargetMode="External"/><Relationship Id="rId38" Type="http://schemas.openxmlformats.org/officeDocument/2006/relationships/hyperlink" Target="https://www.sterlinglawyers.com/illinois/divorce/" TargetMode="External"/><Relationship Id="rId2203" Type="http://schemas.openxmlformats.org/officeDocument/2006/relationships/hyperlink" Target="https://www.sterlinglawyers.com/wisconsin/attorneys/robert-keenan/reviews/page/13/" TargetMode="External"/><Relationship Id="rId2204" Type="http://schemas.openxmlformats.org/officeDocument/2006/relationships/hyperlink" Target="https://www.sterlinglawyers.com/wisconsin/attorneys/jack-braaten/reviews/page/12/" TargetMode="External"/><Relationship Id="rId20" Type="http://schemas.openxmlformats.org/officeDocument/2006/relationships/hyperlink" Target="https://www.sterlinglawyers.com/illinois/blog/protecting-interests-navigating-uncontested-divorce-evanston/" TargetMode="External"/><Relationship Id="rId2205" Type="http://schemas.openxmlformats.org/officeDocument/2006/relationships/hyperlink" Target="https://www.sterlinglawyers.com/wisconsin/attorneys/michelle-gordon/reviews/page/13/" TargetMode="External"/><Relationship Id="rId2206" Type="http://schemas.openxmlformats.org/officeDocument/2006/relationships/hyperlink" Target="https://www.sterlinglawyers.com/wisconsin/attorneys/jack-braaten/reviews/page/20/" TargetMode="External"/><Relationship Id="rId22" Type="http://schemas.openxmlformats.org/officeDocument/2006/relationships/hyperlink" Target="https://www.sterlinglawyers.com/illinois/property-division/worksheet/" TargetMode="External"/><Relationship Id="rId2207" Type="http://schemas.openxmlformats.org/officeDocument/2006/relationships/hyperlink" Target="https://www.sterlinglawyers.com/wisconsin/attorneys/holly-mullin/reviews/page/12/" TargetMode="External"/><Relationship Id="rId21" Type="http://schemas.openxmlformats.org/officeDocument/2006/relationships/hyperlink" Target="https://www.sterlinglawyers.com/illinois/attorneys/jeff-hughes/" TargetMode="External"/><Relationship Id="rId2208" Type="http://schemas.openxmlformats.org/officeDocument/2006/relationships/hyperlink" Target="https://www.sterlinglawyers.com/wisconsin/attorneys/nikole-messerschmidt/reviews/page/43/" TargetMode="External"/><Relationship Id="rId24" Type="http://schemas.openxmlformats.org/officeDocument/2006/relationships/hyperlink" Target="https://www.sterlinglawyers.com/illinois/locations/" TargetMode="External"/><Relationship Id="rId2209" Type="http://schemas.openxmlformats.org/officeDocument/2006/relationships/hyperlink" Target="https://www.sterlinglawyers.com/wisconsin/attorneys/holly-mullin/reviews/page/13/" TargetMode="External"/><Relationship Id="rId23" Type="http://schemas.openxmlformats.org/officeDocument/2006/relationships/hyperlink" Target="https://www.sterlinglawyers.com/illinois/child-custody/fathers-rights/" TargetMode="External"/><Relationship Id="rId26" Type="http://schemas.openxmlformats.org/officeDocument/2006/relationships/hyperlink" Target="https://www.sterlinglawyers.com/illinois/locations/plainfield/" TargetMode="External"/><Relationship Id="rId25" Type="http://schemas.openxmlformats.org/officeDocument/2006/relationships/hyperlink" Target="https://www.sterlinglawyers.com/illinois/attorneys/alexandra-isroff/" TargetMode="External"/><Relationship Id="rId28" Type="http://schemas.openxmlformats.org/officeDocument/2006/relationships/hyperlink" Target="https://www.sterlinglawyers.com/privacy-policy/" TargetMode="External"/><Relationship Id="rId27" Type="http://schemas.openxmlformats.org/officeDocument/2006/relationships/hyperlink" Target="https://www.sterlinglawyers.com/illinois/attorneys/cynthia-toscano/" TargetMode="External"/><Relationship Id="rId29" Type="http://schemas.openxmlformats.org/officeDocument/2006/relationships/hyperlink" Target="https://www.sterlinglawyers.com/illinois/attorneys/lea-diaz/" TargetMode="External"/><Relationship Id="rId2200" Type="http://schemas.openxmlformats.org/officeDocument/2006/relationships/hyperlink" Target="https://www.sterlinglawyers.com/wisconsin/attorneys/jeffrey-morrell/reviews/page/13/" TargetMode="External"/><Relationship Id="rId2201" Type="http://schemas.openxmlformats.org/officeDocument/2006/relationships/hyperlink" Target="https://www.sterlinglawyers.com/wisconsin/attorneys/jeffrey-morrell/reviews/page/12/" TargetMode="External"/><Relationship Id="rId2202" Type="http://schemas.openxmlformats.org/officeDocument/2006/relationships/hyperlink" Target="https://www.sterlinglawyers.com/wisconsin/attorneys/austin-miller/reviews/page/26/" TargetMode="External"/><Relationship Id="rId11" Type="http://schemas.openxmlformats.org/officeDocument/2006/relationships/hyperlink" Target="https://www.sterlinglawyers.com/illinois/divorce/uncontested-divorce/" TargetMode="External"/><Relationship Id="rId10" Type="http://schemas.openxmlformats.org/officeDocument/2006/relationships/hyperlink" Target="https://www.sterlinglawyers.com/illinois/attorneys/reyna-herrera/" TargetMode="External"/><Relationship Id="rId13" Type="http://schemas.openxmlformats.org/officeDocument/2006/relationships/hyperlink" Target="https://www.sterlinglawyers.com/illinois/locations/naperville/" TargetMode="External"/><Relationship Id="rId12" Type="http://schemas.openxmlformats.org/officeDocument/2006/relationships/hyperlink" Target="https://www.sterlinglawyers.com/illinois/attorneys/ryan-shope/" TargetMode="External"/><Relationship Id="rId15" Type="http://schemas.openxmlformats.org/officeDocument/2006/relationships/hyperlink" Target="https://www.sterlinglawyers.com/illinois/child-custody/" TargetMode="External"/><Relationship Id="rId14" Type="http://schemas.openxmlformats.org/officeDocument/2006/relationships/hyperlink" Target="https://www.sterlinglawyers.com/illinois/attorneys/katie-vandeusen/reviews/" TargetMode="External"/><Relationship Id="rId17" Type="http://schemas.openxmlformats.org/officeDocument/2006/relationships/hyperlink" Target="https://www.sterlinglawyers.com/reviews/" TargetMode="External"/><Relationship Id="rId16" Type="http://schemas.openxmlformats.org/officeDocument/2006/relationships/hyperlink" Target="https://www.sterlinglawyers.com/illinois/guardianship/" TargetMode="External"/><Relationship Id="rId19" Type="http://schemas.openxmlformats.org/officeDocument/2006/relationships/hyperlink" Target="https://www.sterlinglawyers.com/illinois/attorneys/jacqueline-mcclellan/" TargetMode="External"/><Relationship Id="rId18" Type="http://schemas.openxmlformats.org/officeDocument/2006/relationships/hyperlink" Target="https://www.sterlinglawyers.com/illinois/locations/evanston/" TargetMode="External"/><Relationship Id="rId84" Type="http://schemas.openxmlformats.org/officeDocument/2006/relationships/hyperlink" Target="https://www.sterlinglawyers.com/illinois/attorneys/cynthia-toscano/reviews/page/3/" TargetMode="External"/><Relationship Id="rId1774" Type="http://schemas.openxmlformats.org/officeDocument/2006/relationships/hyperlink" Target="https://www.sterlinglawyers.com/wisconsin/attorneys/jeffrey-morrell/reviews/page/73/" TargetMode="External"/><Relationship Id="rId83" Type="http://schemas.openxmlformats.org/officeDocument/2006/relationships/hyperlink" Target="https://www.sterlinglawyers.com/illinois/attorneys/cynthia-toscano/reviews/page/8/" TargetMode="External"/><Relationship Id="rId1775" Type="http://schemas.openxmlformats.org/officeDocument/2006/relationships/hyperlink" Target="https://www.sterlinglawyers.com/wisconsin/attorneys/holly-mullin/reviews/page/5/" TargetMode="External"/><Relationship Id="rId86" Type="http://schemas.openxmlformats.org/officeDocument/2006/relationships/hyperlink" Target="https://www.sterlinglawyers.com/illinois/locations/aurora/" TargetMode="External"/><Relationship Id="rId1776" Type="http://schemas.openxmlformats.org/officeDocument/2006/relationships/hyperlink" Target="https://www.sterlinglawyers.com/wisconsin/attorneys/jeffrey-morrell/reviews/page/72/" TargetMode="External"/><Relationship Id="rId85" Type="http://schemas.openxmlformats.org/officeDocument/2006/relationships/hyperlink" Target="https://www.sterlinglawyers.com/illinois/attorneys/cynthia-toscano/reviews/page/2/" TargetMode="External"/><Relationship Id="rId1777" Type="http://schemas.openxmlformats.org/officeDocument/2006/relationships/hyperlink" Target="https://www.sterlinglawyers.com/wisconsin/attorneys/abigail-henderson/reviews/page/" TargetMode="External"/><Relationship Id="rId88" Type="http://schemas.openxmlformats.org/officeDocument/2006/relationships/hyperlink" Target="https://www.sterlinglawyers.com/illinois/blog/supporting-fathers-evanston-child-custody-disputes/" TargetMode="External"/><Relationship Id="rId1778" Type="http://schemas.openxmlformats.org/officeDocument/2006/relationships/hyperlink" Target="https://www.sterlinglawyers.com/wisconsin/attorneys/jeffrey-morrell/reviews/page/4/" TargetMode="External"/><Relationship Id="rId87" Type="http://schemas.openxmlformats.org/officeDocument/2006/relationships/hyperlink" Target="https://www.sterlinglawyers.com/illinois/divorce/annulment/" TargetMode="External"/><Relationship Id="rId1779" Type="http://schemas.openxmlformats.org/officeDocument/2006/relationships/hyperlink" Target="https://www.sterlinglawyers.com/wisconsin/attorneys/jeffrey-morrell/reviews/page/5/" TargetMode="External"/><Relationship Id="rId89" Type="http://schemas.openxmlformats.org/officeDocument/2006/relationships/hyperlink" Target="https://www.sterlinglawyers.com/illinois/divorce/temporary-order/" TargetMode="External"/><Relationship Id="rId80" Type="http://schemas.openxmlformats.org/officeDocument/2006/relationships/hyperlink" Target="https://www.sterlinglawyers.com/illinois/attorneys/reyna-herrera/reviews/page/3/" TargetMode="External"/><Relationship Id="rId82" Type="http://schemas.openxmlformats.org/officeDocument/2006/relationships/hyperlink" Target="https://www.sterlinglawyers.com/illinois/attorneys/alexandra-isroff/reviews/page/43/" TargetMode="External"/><Relationship Id="rId81" Type="http://schemas.openxmlformats.org/officeDocument/2006/relationships/hyperlink" Target="https://www.sterlinglawyers.com/illinois/attorneys/alexandra-isroff/reviews/page/2/" TargetMode="External"/><Relationship Id="rId1770" Type="http://schemas.openxmlformats.org/officeDocument/2006/relationships/hyperlink" Target="https://www.sterlinglawyers.com/wisconsin/attorneys/michelle-gordon/reviews/page/4/" TargetMode="External"/><Relationship Id="rId1771" Type="http://schemas.openxmlformats.org/officeDocument/2006/relationships/hyperlink" Target="https://www.sterlinglawyers.com/wisconsin/attorneys/robert-keenan/reviews/page/37/" TargetMode="External"/><Relationship Id="rId1772" Type="http://schemas.openxmlformats.org/officeDocument/2006/relationships/hyperlink" Target="https://www.sterlinglawyers.com/wisconsin/attorneys/abigail-henderson/reviews/page/18/" TargetMode="External"/><Relationship Id="rId1773" Type="http://schemas.openxmlformats.org/officeDocument/2006/relationships/hyperlink" Target="https://www.sterlinglawyers.com/wisconsin/attorneys/abigail-henderson/reviews/page/19/" TargetMode="External"/><Relationship Id="rId73" Type="http://schemas.openxmlformats.org/officeDocument/2006/relationships/hyperlink" Target="https://www.sterlinglawyers.com/illinois/locations/chicago/property-division-lawyers/" TargetMode="External"/><Relationship Id="rId1763" Type="http://schemas.openxmlformats.org/officeDocument/2006/relationships/hyperlink" Target="https://www.sterlinglawyers.com/wisconsin/attorneys/tiffany-vogel/reviews/page/4/" TargetMode="External"/><Relationship Id="rId72" Type="http://schemas.openxmlformats.org/officeDocument/2006/relationships/hyperlink" Target="https://www.sterlinglawyers.com/illinois/locations/chicago/uncontested-divorce-lawyers/" TargetMode="External"/><Relationship Id="rId1764" Type="http://schemas.openxmlformats.org/officeDocument/2006/relationships/hyperlink" Target="https://www.sterlinglawyers.com/wisconsin/attorneys/michelle-gordon/reviews/page/33/" TargetMode="External"/><Relationship Id="rId75" Type="http://schemas.openxmlformats.org/officeDocument/2006/relationships/hyperlink" Target="https://www.sterlinglawyers.com/illinois/locations/chicago/paternity-lawyers/" TargetMode="External"/><Relationship Id="rId1765" Type="http://schemas.openxmlformats.org/officeDocument/2006/relationships/hyperlink" Target="https://www.sterlinglawyers.com/wisconsin/attorneys/tiffany-vogel/reviews/page/5/" TargetMode="External"/><Relationship Id="rId74" Type="http://schemas.openxmlformats.org/officeDocument/2006/relationships/hyperlink" Target="https://www.sterlinglawyers.com/illinois/locations/chicago/child-custody-lawyers/" TargetMode="External"/><Relationship Id="rId1766" Type="http://schemas.openxmlformats.org/officeDocument/2006/relationships/hyperlink" Target="https://www.sterlinglawyers.com/wisconsin/attorneys/robert-keenan/reviews/page/4/" TargetMode="External"/><Relationship Id="rId77" Type="http://schemas.openxmlformats.org/officeDocument/2006/relationships/hyperlink" Target="https://www.sterlinglawyers.com/illinois/locations/chicago/divorce-mediation-lawyers/" TargetMode="External"/><Relationship Id="rId1767" Type="http://schemas.openxmlformats.org/officeDocument/2006/relationships/hyperlink" Target="https://www.sterlinglawyers.com/wisconsin/attorneys/abigail-henderson/reviews/page/5/" TargetMode="External"/><Relationship Id="rId76" Type="http://schemas.openxmlformats.org/officeDocument/2006/relationships/hyperlink" Target="https://www.sterlinglawyers.com/illinois/locations/chicago/military-divorce-lawyers/" TargetMode="External"/><Relationship Id="rId1768" Type="http://schemas.openxmlformats.org/officeDocument/2006/relationships/hyperlink" Target="https://www.sterlinglawyers.com/wisconsin/attorneys/robert-keenan/reviews/page/36/" TargetMode="External"/><Relationship Id="rId79" Type="http://schemas.openxmlformats.org/officeDocument/2006/relationships/hyperlink" Target="https://www.sterlinglawyers.com/illinois/attorneys/reyna-herrera/reviews/page/2/" TargetMode="External"/><Relationship Id="rId1769" Type="http://schemas.openxmlformats.org/officeDocument/2006/relationships/hyperlink" Target="https://www.sterlinglawyers.com/wisconsin/attorneys/robert-keenan/reviews/page/" TargetMode="External"/><Relationship Id="rId78" Type="http://schemas.openxmlformats.org/officeDocument/2006/relationships/hyperlink" Target="https://www.sterlinglawyers.com/illinois/attorneys/reyna-herrera/reviews/page/4/" TargetMode="External"/><Relationship Id="rId71" Type="http://schemas.openxmlformats.org/officeDocument/2006/relationships/hyperlink" Target="https://www.sterlinglawyers.com/illinois/locations/chicago/contested-divorce-lawyers/" TargetMode="External"/><Relationship Id="rId70" Type="http://schemas.openxmlformats.org/officeDocument/2006/relationships/hyperlink" Target="https://www.sterlinglawyers.com/illinois/locations/chicago/collaborative-divorce-lawyers/" TargetMode="External"/><Relationship Id="rId1760" Type="http://schemas.openxmlformats.org/officeDocument/2006/relationships/hyperlink" Target="https://www.sterlinglawyers.com/wisconsin/attorneys/tiffany-vogel/reviews/page/47/" TargetMode="External"/><Relationship Id="rId1761" Type="http://schemas.openxmlformats.org/officeDocument/2006/relationships/hyperlink" Target="https://www.sterlinglawyers.com/wisconsin/attorneys/tiffany-vogel/reviews/page/48/" TargetMode="External"/><Relationship Id="rId1762" Type="http://schemas.openxmlformats.org/officeDocument/2006/relationships/hyperlink" Target="https://www.sterlinglawyers.com/wisconsin/attorneys/tiffany-vogel/reviews/page/" TargetMode="External"/><Relationship Id="rId62" Type="http://schemas.openxmlformats.org/officeDocument/2006/relationships/hyperlink" Target="https://www.sterlinglawyers.com/illinois/paternity/" TargetMode="External"/><Relationship Id="rId1796" Type="http://schemas.openxmlformats.org/officeDocument/2006/relationships/hyperlink" Target="https://www.sterlinglawyers.com/wisconsin/attorneys/tiffany-vogel/reviews/page/45/" TargetMode="External"/><Relationship Id="rId61" Type="http://schemas.openxmlformats.org/officeDocument/2006/relationships/hyperlink" Target="https://www.sterlinglawyers.com/illinois/resources/" TargetMode="External"/><Relationship Id="rId1797" Type="http://schemas.openxmlformats.org/officeDocument/2006/relationships/hyperlink" Target="https://www.sterlinglawyers.com/wisconsin/attorneys/nikole-messerschmidt/reviews/page/50/" TargetMode="External"/><Relationship Id="rId64" Type="http://schemas.openxmlformats.org/officeDocument/2006/relationships/hyperlink" Target="https://www.sterlinglawyers.com/illinois/faq/" TargetMode="External"/><Relationship Id="rId1798" Type="http://schemas.openxmlformats.org/officeDocument/2006/relationships/hyperlink" Target="https://www.sterlinglawyers.com/wisconsin/attorneys/nikole-messerschmidt/reviews/page/7/" TargetMode="External"/><Relationship Id="rId63" Type="http://schemas.openxmlformats.org/officeDocument/2006/relationships/hyperlink" Target="https://www.sterlinglawyers.com/illinois/child-custody/parenting-plan/" TargetMode="External"/><Relationship Id="rId1799" Type="http://schemas.openxmlformats.org/officeDocument/2006/relationships/hyperlink" Target="https://www.sterlinglawyers.com/wisconsin/attorneys/nikole-messerschmidt/reviews/page/6/" TargetMode="External"/><Relationship Id="rId66" Type="http://schemas.openxmlformats.org/officeDocument/2006/relationships/hyperlink" Target="https://www.sterlinglawyers.com/illinois/child-custody/co-parenting/" TargetMode="External"/><Relationship Id="rId65" Type="http://schemas.openxmlformats.org/officeDocument/2006/relationships/hyperlink" Target="https://www.sterlinglawyers.com/illinois/locations/chicago/" TargetMode="External"/><Relationship Id="rId68" Type="http://schemas.openxmlformats.org/officeDocument/2006/relationships/hyperlink" Target="https://www.sterlinglawyers.com/illinois/divorce/marriage-license/" TargetMode="External"/><Relationship Id="rId67" Type="http://schemas.openxmlformats.org/officeDocument/2006/relationships/hyperlink" Target="https://www.sterlinglawyers.com/illinois/divorce/how-long-divorce-Illinois/" TargetMode="External"/><Relationship Id="rId60" Type="http://schemas.openxmlformats.org/officeDocument/2006/relationships/hyperlink" Target="https://www.sterlinglawyers.com/illinois/property-division/marital-property/" TargetMode="External"/><Relationship Id="rId69" Type="http://schemas.openxmlformats.org/officeDocument/2006/relationships/hyperlink" Target="https://www.sterlinglawyers.com/illinois/locations/chicago/child-support-lawyers/" TargetMode="External"/><Relationship Id="rId1790" Type="http://schemas.openxmlformats.org/officeDocument/2006/relationships/hyperlink" Target="https://www.sterlinglawyers.com/wisconsin/attorneys/robert-keenan/reviews/page/35/" TargetMode="External"/><Relationship Id="rId1791" Type="http://schemas.openxmlformats.org/officeDocument/2006/relationships/hyperlink" Target="https://www.sterlinglawyers.com/wisconsin/attorneys/nikole-messerschmidt/reviews/page/49/" TargetMode="External"/><Relationship Id="rId1792" Type="http://schemas.openxmlformats.org/officeDocument/2006/relationships/hyperlink" Target="https://www.sterlinglawyers.com/wisconsin/attorneys/tiffany-vogel/reviews/page/7/" TargetMode="External"/><Relationship Id="rId1793" Type="http://schemas.openxmlformats.org/officeDocument/2006/relationships/hyperlink" Target="https://www.sterlinglawyers.com/wisconsin/attorneys/tiffany-vogel/reviews/page/6/" TargetMode="External"/><Relationship Id="rId1794" Type="http://schemas.openxmlformats.org/officeDocument/2006/relationships/hyperlink" Target="https://www.sterlinglawyers.com/wisconsin/attorneys/abigail-henderson/reviews/page/17/" TargetMode="External"/><Relationship Id="rId1795" Type="http://schemas.openxmlformats.org/officeDocument/2006/relationships/hyperlink" Target="https://www.sterlinglawyers.com/wisconsin/attorneys/abigail-henderson/reviews/page/6/" TargetMode="External"/><Relationship Id="rId51" Type="http://schemas.openxmlformats.org/officeDocument/2006/relationships/hyperlink" Target="https://www.sterlinglawyers.com/illinois/attorneys/nina-kelly/reviews/" TargetMode="External"/><Relationship Id="rId1785" Type="http://schemas.openxmlformats.org/officeDocument/2006/relationships/hyperlink" Target="https://www.sterlinglawyers.com/wisconsin/attorneys/holly-mullin/reviews/page/7/" TargetMode="External"/><Relationship Id="rId50" Type="http://schemas.openxmlformats.org/officeDocument/2006/relationships/hyperlink" Target="https://www.sterlinglawyers.com/illinois/child-support/" TargetMode="External"/><Relationship Id="rId1786" Type="http://schemas.openxmlformats.org/officeDocument/2006/relationships/hyperlink" Target="https://www.sterlinglawyers.com/wisconsin/attorneys/robert-keenan/reviews/page/34/" TargetMode="External"/><Relationship Id="rId53" Type="http://schemas.openxmlformats.org/officeDocument/2006/relationships/hyperlink" Target="https://www.sterlinglawyers.com/illinois/seminar/" TargetMode="External"/><Relationship Id="rId1787" Type="http://schemas.openxmlformats.org/officeDocument/2006/relationships/hyperlink" Target="https://www.sterlinglawyers.com/wisconsin/attorneys/abigail-henderson/reviews/page/16/" TargetMode="External"/><Relationship Id="rId52" Type="http://schemas.openxmlformats.org/officeDocument/2006/relationships/hyperlink" Target="https://www.sterlinglawyers.com/illinois/child-custody/parental-alienation/" TargetMode="External"/><Relationship Id="rId1788" Type="http://schemas.openxmlformats.org/officeDocument/2006/relationships/hyperlink" Target="https://www.sterlinglawyers.com/wisconsin/attorneys/nikole-messerschmidt/reviews/page/51/" TargetMode="External"/><Relationship Id="rId55" Type="http://schemas.openxmlformats.org/officeDocument/2006/relationships/hyperlink" Target="https://www.sterlinglawyers.com/illinois/locations/hoffman-estates/" TargetMode="External"/><Relationship Id="rId1789" Type="http://schemas.openxmlformats.org/officeDocument/2006/relationships/hyperlink" Target="https://www.sterlinglawyers.com/wisconsin/attorneys/abigail-henderson/reviews/page/7/" TargetMode="External"/><Relationship Id="rId54" Type="http://schemas.openxmlformats.org/officeDocument/2006/relationships/hyperlink" Target="https://www.sterlinglawyers.com/illinois/locations/arlington-heights/" TargetMode="External"/><Relationship Id="rId57" Type="http://schemas.openxmlformats.org/officeDocument/2006/relationships/hyperlink" Target="https://www.sterlinglawyers.com/scholarship/" TargetMode="External"/><Relationship Id="rId56" Type="http://schemas.openxmlformats.org/officeDocument/2006/relationships/hyperlink" Target="https://www.sterlinglawyers.com/illinois/attorneys/katie-vandeusen/" TargetMode="External"/><Relationship Id="rId59" Type="http://schemas.openxmlformats.org/officeDocument/2006/relationships/hyperlink" Target="https://www.sterlinglawyers.com/illinois/spousal-support/calculator/" TargetMode="External"/><Relationship Id="rId58" Type="http://schemas.openxmlformats.org/officeDocument/2006/relationships/hyperlink" Target="https://www.sterlinglawyers.com/illinois/divorce/diy/" TargetMode="External"/><Relationship Id="rId1780" Type="http://schemas.openxmlformats.org/officeDocument/2006/relationships/hyperlink" Target="https://www.sterlinglawyers.com/wisconsin/attorneys/jeffrey-morrell/reviews/page/" TargetMode="External"/><Relationship Id="rId1781" Type="http://schemas.openxmlformats.org/officeDocument/2006/relationships/hyperlink" Target="https://www.sterlinglawyers.com/wisconsin/attorneys/jeffrey-morrell/reviews/page/6/" TargetMode="External"/><Relationship Id="rId1782" Type="http://schemas.openxmlformats.org/officeDocument/2006/relationships/hyperlink" Target="https://www.sterlinglawyers.com/wisconsin/attorneys/jeffrey-morrell/reviews/page/7/" TargetMode="External"/><Relationship Id="rId1783" Type="http://schemas.openxmlformats.org/officeDocument/2006/relationships/hyperlink" Target="https://www.sterlinglawyers.com/wisconsin/attorneys/jeffrey-morrell/reviews/page/70/" TargetMode="External"/><Relationship Id="rId1784" Type="http://schemas.openxmlformats.org/officeDocument/2006/relationships/hyperlink" Target="https://www.sterlinglawyers.com/wisconsin/attorneys/jeffrey-morrell/reviews/page/71/" TargetMode="External"/><Relationship Id="rId2269" Type="http://schemas.openxmlformats.org/officeDocument/2006/relationships/hyperlink" Target="https://www.sterlinglawyers.com/wisconsin/attorneys/ellen-rhodeman/reviews/page/14/" TargetMode="External"/><Relationship Id="rId349" Type="http://schemas.openxmlformats.org/officeDocument/2006/relationships/hyperlink" Target="https://www.sterlinglawyers.com/property-division/what-is-marital-property/" TargetMode="External"/><Relationship Id="rId348" Type="http://schemas.openxmlformats.org/officeDocument/2006/relationships/hyperlink" Target="https://www.sterlinglawyers.com/wisconsin/divorce/things-to-do-before-a-divorce/" TargetMode="External"/><Relationship Id="rId347" Type="http://schemas.openxmlformats.org/officeDocument/2006/relationships/hyperlink" Target="https://www.sterlinglawyers.com/wisconsin/divorce/sex-after-separation/" TargetMode="External"/><Relationship Id="rId346" Type="http://schemas.openxmlformats.org/officeDocument/2006/relationships/hyperlink" Target="https://www.sterlinglawyers.com/wisconsin/blog/aiding-child-support-cases-skilled-legal-professionals/" TargetMode="External"/><Relationship Id="rId2260" Type="http://schemas.openxmlformats.org/officeDocument/2006/relationships/hyperlink" Target="https://www.sterlinglawyers.com/wisconsin/attorneys/ellen-rhodeman/reviews/page/15/" TargetMode="External"/><Relationship Id="rId341" Type="http://schemas.openxmlformats.org/officeDocument/2006/relationships/hyperlink" Target="https://www.sterlinglawyers.com/illinois/events/strategically-prepare-for-divorce/" TargetMode="External"/><Relationship Id="rId2261" Type="http://schemas.openxmlformats.org/officeDocument/2006/relationships/hyperlink" Target="https://www.sterlinglawyers.com/blog/page/6/?et_blog" TargetMode="External"/><Relationship Id="rId340" Type="http://schemas.openxmlformats.org/officeDocument/2006/relationships/hyperlink" Target="https://www.sterlinglawyers.com/wisconsin/divorce/reversing-divorce/" TargetMode="External"/><Relationship Id="rId2262" Type="http://schemas.openxmlformats.org/officeDocument/2006/relationships/hyperlink" Target="https://www.sterlinglawyers.com/reviews/page/217/" TargetMode="External"/><Relationship Id="rId2263" Type="http://schemas.openxmlformats.org/officeDocument/2006/relationships/hyperlink" Target="https://www.sterlinglawyers.com/illinois/attorneys/alexandra-isroff/reviews/page/19/" TargetMode="External"/><Relationship Id="rId2264" Type="http://schemas.openxmlformats.org/officeDocument/2006/relationships/hyperlink" Target="https://www.sterlinglawyers.com/illinois/attorneys/alexandra-isroff/reviews/page/27/" TargetMode="External"/><Relationship Id="rId345" Type="http://schemas.openxmlformats.org/officeDocument/2006/relationships/hyperlink" Target="https://www.sterlinglawyers.com/wisconsin/divorce/absolute-divorce/" TargetMode="External"/><Relationship Id="rId2265" Type="http://schemas.openxmlformats.org/officeDocument/2006/relationships/hyperlink" Target="https://www.sterlinglawyers.com/illinois/attorneys/alexandra-isroff/reviews/page/28/" TargetMode="External"/><Relationship Id="rId344" Type="http://schemas.openxmlformats.org/officeDocument/2006/relationships/hyperlink" Target="https://www.sterlinglawyers.com/wisconsin/areas/" TargetMode="External"/><Relationship Id="rId2266" Type="http://schemas.openxmlformats.org/officeDocument/2006/relationships/hyperlink" Target="https://www.sterlinglawyers.com/illinois/reviews/page/216/" TargetMode="External"/><Relationship Id="rId343" Type="http://schemas.openxmlformats.org/officeDocument/2006/relationships/hyperlink" Target="https://www.sterlinglawyers.com/wisconsin/divorce/get-rid-of-things-that-remind-you-of-your-ex/" TargetMode="External"/><Relationship Id="rId2267" Type="http://schemas.openxmlformats.org/officeDocument/2006/relationships/hyperlink" Target="https://www.sterlinglawyers.com/wisconsin/attorneys/austin-miller/reviews/page/14/" TargetMode="External"/><Relationship Id="rId342" Type="http://schemas.openxmlformats.org/officeDocument/2006/relationships/hyperlink" Target="https://www.sterlinglawyers.com/wisconsin/property-division/wedding-rings/" TargetMode="External"/><Relationship Id="rId2268" Type="http://schemas.openxmlformats.org/officeDocument/2006/relationships/hyperlink" Target="https://www.sterlinglawyers.com/wisconsin/reviews/page/216/" TargetMode="External"/><Relationship Id="rId2258" Type="http://schemas.openxmlformats.org/officeDocument/2006/relationships/hyperlink" Target="https://www.sterlinglawyers.com/wisconsin/divorce/knowing-your-partner-assessing-a-problem-through-the-eyes-of-your-spouse/" TargetMode="External"/><Relationship Id="rId2259" Type="http://schemas.openxmlformats.org/officeDocument/2006/relationships/hyperlink" Target="https://www.sterlinglawyers.com/wisconsin/reviews/page/17/" TargetMode="External"/><Relationship Id="rId338" Type="http://schemas.openxmlformats.org/officeDocument/2006/relationships/hyperlink" Target="https://www.sterlinglawyers.com/wisconsin/divorce/contested-divorce/" TargetMode="External"/><Relationship Id="rId337" Type="http://schemas.openxmlformats.org/officeDocument/2006/relationships/hyperlink" Target="https://www.sterlinglawyers.com/wisconsin/divorce/mediation/" TargetMode="External"/><Relationship Id="rId336" Type="http://schemas.openxmlformats.org/officeDocument/2006/relationships/hyperlink" Target="https://www.sterlinglawyers.com/wisconsin/child-custody/interference/" TargetMode="External"/><Relationship Id="rId335" Type="http://schemas.openxmlformats.org/officeDocument/2006/relationships/hyperlink" Target="https://www.sterlinglawyers.com/wisconsin/child-custody/name-change/" TargetMode="External"/><Relationship Id="rId339" Type="http://schemas.openxmlformats.org/officeDocument/2006/relationships/hyperlink" Target="https://www.sterlinglawyers.com/wisconsin/child-custody/temporary-custody/" TargetMode="External"/><Relationship Id="rId330" Type="http://schemas.openxmlformats.org/officeDocument/2006/relationships/hyperlink" Target="https://www.sterlinglawyers.com/wisconsin/child-support/modify-orders/" TargetMode="External"/><Relationship Id="rId2250" Type="http://schemas.openxmlformats.org/officeDocument/2006/relationships/hyperlink" Target="https://www.sterlinglawyers.com/reviews/page/216/" TargetMode="External"/><Relationship Id="rId2251" Type="http://schemas.openxmlformats.org/officeDocument/2006/relationships/hyperlink" Target="https://www.sterlinglawyers.com/illinois/attorneys/alexandra-isroff/reviews/page/16/" TargetMode="External"/><Relationship Id="rId2252" Type="http://schemas.openxmlformats.org/officeDocument/2006/relationships/hyperlink" Target="https://www.sterlinglawyers.com/wisconsin/divorce/in-laws-during-divorce-process/" TargetMode="External"/><Relationship Id="rId2253" Type="http://schemas.openxmlformats.org/officeDocument/2006/relationships/hyperlink" Target="https://www.sterlinglawyers.com/wisconsin/divorce/how-to-cope-with-divorce/" TargetMode="External"/><Relationship Id="rId334" Type="http://schemas.openxmlformats.org/officeDocument/2006/relationships/hyperlink" Target="https://www.sterlinglawyers.com/wisconsin/property-division/non-marital-property/" TargetMode="External"/><Relationship Id="rId2254" Type="http://schemas.openxmlformats.org/officeDocument/2006/relationships/hyperlink" Target="https://www.sterlinglawyers.com/wisconsin/attorneys/bailey-holt/reviews/page/16/" TargetMode="External"/><Relationship Id="rId333" Type="http://schemas.openxmlformats.org/officeDocument/2006/relationships/hyperlink" Target="https://www.sterlinglawyers.com/wisconsin/child-custody/child-chooses-parent/" TargetMode="External"/><Relationship Id="rId2255" Type="http://schemas.openxmlformats.org/officeDocument/2006/relationships/hyperlink" Target="https://www.sterlinglawyers.com/wisconsin/attorneys/bailey-holt/reviews/page/15/" TargetMode="External"/><Relationship Id="rId332" Type="http://schemas.openxmlformats.org/officeDocument/2006/relationships/hyperlink" Target="https://www.sterlinglawyers.com/wisconsin/child-support/termination-exceptions/" TargetMode="External"/><Relationship Id="rId2256" Type="http://schemas.openxmlformats.org/officeDocument/2006/relationships/hyperlink" Target="https://www.sterlinglawyers.com/illinois/reviews/page/215/" TargetMode="External"/><Relationship Id="rId331" Type="http://schemas.openxmlformats.org/officeDocument/2006/relationships/hyperlink" Target="https://www.sterlinglawyers.com/wisconsin/property-division/marital-debt/" TargetMode="External"/><Relationship Id="rId2257" Type="http://schemas.openxmlformats.org/officeDocument/2006/relationships/hyperlink" Target="https://www.sterlinglawyers.com/wisconsin/divorce/the-divorce-blame-game-has-no-winner/" TargetMode="External"/><Relationship Id="rId370" Type="http://schemas.openxmlformats.org/officeDocument/2006/relationships/hyperlink" Target="https://www.sterlinglawyers.com/wisconsin/locations/appleton/divorce-mediation-lawyers/" TargetMode="External"/><Relationship Id="rId369" Type="http://schemas.openxmlformats.org/officeDocument/2006/relationships/hyperlink" Target="https://www.sterlinglawyers.com/wisconsin/locations/appleton/collaborative-divorce-lawyers/" TargetMode="External"/><Relationship Id="rId368" Type="http://schemas.openxmlformats.org/officeDocument/2006/relationships/hyperlink" Target="https://www.sterlinglawyers.com/wisconsin/locations/appleton/contested-divorce-lawyers/" TargetMode="External"/><Relationship Id="rId2280" Type="http://schemas.openxmlformats.org/officeDocument/2006/relationships/hyperlink" Target="https://www.sterlinglawyers.com/wisconsin/attorneys/ellen-rhodeman/reviews/page/43/" TargetMode="External"/><Relationship Id="rId2281" Type="http://schemas.openxmlformats.org/officeDocument/2006/relationships/hyperlink" Target="https://www.sterlinglawyers.com/wisconsin/attorneys/holly-mullin/reviews/page/14/" TargetMode="External"/><Relationship Id="rId2282" Type="http://schemas.openxmlformats.org/officeDocument/2006/relationships/hyperlink" Target="https://www.sterlinglawyers.com/wisconsin/attorneys/ellen-rhodeman/reviews/page/44/" TargetMode="External"/><Relationship Id="rId363" Type="http://schemas.openxmlformats.org/officeDocument/2006/relationships/hyperlink" Target="https://www.sterlinglawyers.com/illinois/events/divide-money-divorce/" TargetMode="External"/><Relationship Id="rId2283" Type="http://schemas.openxmlformats.org/officeDocument/2006/relationships/hyperlink" Target="https://www.sterlinglawyers.com/wisconsin/attorneys/austin-miller/reviews/page/15/" TargetMode="External"/><Relationship Id="rId362" Type="http://schemas.openxmlformats.org/officeDocument/2006/relationships/hyperlink" Target="https://www.sterlinglawyers.com/wisconsin/locations/madison/collaborative-divorce-lawyers/" TargetMode="External"/><Relationship Id="rId2284" Type="http://schemas.openxmlformats.org/officeDocument/2006/relationships/hyperlink" Target="https://www.sterlinglawyers.com/wisconsin/attorneys/jack-braaten/reviews/page/14/" TargetMode="External"/><Relationship Id="rId361" Type="http://schemas.openxmlformats.org/officeDocument/2006/relationships/hyperlink" Target="https://www.sterlinglawyers.com/wisconsin/locations/madison/military-divorce-lawyers/" TargetMode="External"/><Relationship Id="rId2285" Type="http://schemas.openxmlformats.org/officeDocument/2006/relationships/hyperlink" Target="https://www.sterlinglawyers.com/wisconsin/attorneys/robert-keenan/reviews/page/15/" TargetMode="External"/><Relationship Id="rId360" Type="http://schemas.openxmlformats.org/officeDocument/2006/relationships/hyperlink" Target="https://www.sterlinglawyers.com/wisconsin/locations/madison/property-division-lawyers/" TargetMode="External"/><Relationship Id="rId2286" Type="http://schemas.openxmlformats.org/officeDocument/2006/relationships/hyperlink" Target="https://www.sterlinglawyers.com/wisconsin/attorneys/austin-miller/reviews/page/24/" TargetMode="External"/><Relationship Id="rId367" Type="http://schemas.openxmlformats.org/officeDocument/2006/relationships/hyperlink" Target="https://www.sterlinglawyers.com/wisconsin/locations/madison/uncontested-divorce-lawyers/" TargetMode="External"/><Relationship Id="rId2287" Type="http://schemas.openxmlformats.org/officeDocument/2006/relationships/hyperlink" Target="https://www.sterlinglawyers.com/wisconsin/attorneys/jeffrey-morrell/reviews/page/15/" TargetMode="External"/><Relationship Id="rId366" Type="http://schemas.openxmlformats.org/officeDocument/2006/relationships/hyperlink" Target="https://www.sterlinglawyers.com/wisconsin/locations/madison/paternity-lawyers/" TargetMode="External"/><Relationship Id="rId2288" Type="http://schemas.openxmlformats.org/officeDocument/2006/relationships/hyperlink" Target="https://www.sterlinglawyers.com/wisconsin/attorneys/jeffrey-morrell/reviews/page/14/" TargetMode="External"/><Relationship Id="rId365" Type="http://schemas.openxmlformats.org/officeDocument/2006/relationships/hyperlink" Target="https://www.sterlinglawyers.com/wisconsin/divorce/picking-a-divorce-lawyer/" TargetMode="External"/><Relationship Id="rId2289" Type="http://schemas.openxmlformats.org/officeDocument/2006/relationships/hyperlink" Target="https://www.sterlinglawyers.com/wisconsin/attorneys/jeffrey-morrell/reviews/page/63/" TargetMode="External"/><Relationship Id="rId364" Type="http://schemas.openxmlformats.org/officeDocument/2006/relationships/hyperlink" Target="https://www.sterlinglawyers.com/wisconsin/locations/madison/child-support-lawyers/" TargetMode="External"/><Relationship Id="rId95" Type="http://schemas.openxmlformats.org/officeDocument/2006/relationships/hyperlink" Target="https://www.sterlinglawyers.com/illinois/locations/st-charles/divorce-mediation-lawyers/" TargetMode="External"/><Relationship Id="rId94" Type="http://schemas.openxmlformats.org/officeDocument/2006/relationships/hyperlink" Target="https://www.sterlinglawyers.com/illinois/divorce/waiting-period/" TargetMode="External"/><Relationship Id="rId97" Type="http://schemas.openxmlformats.org/officeDocument/2006/relationships/hyperlink" Target="https://www.sterlinglawyers.com/illinois/divorce/selecting-attorney/" TargetMode="External"/><Relationship Id="rId96" Type="http://schemas.openxmlformats.org/officeDocument/2006/relationships/hyperlink" Target="https://www.sterlinglawyers.com/illinois/divorce/litigation/" TargetMode="External"/><Relationship Id="rId99" Type="http://schemas.openxmlformats.org/officeDocument/2006/relationships/hyperlink" Target="https://www.sterlinglawyers.com/illinois/attorneys/ryan-shope/reviews/page/2/" TargetMode="External"/><Relationship Id="rId98" Type="http://schemas.openxmlformats.org/officeDocument/2006/relationships/hyperlink" Target="https://www.sterlinglawyers.com/illinois/attorneys/ryan-shope/reviews/page/16/" TargetMode="External"/><Relationship Id="rId91" Type="http://schemas.openxmlformats.org/officeDocument/2006/relationships/hyperlink" Target="https://www.sterlinglawyers.com/illinois/divorce/grounds-for-divorce/" TargetMode="External"/><Relationship Id="rId90" Type="http://schemas.openxmlformats.org/officeDocument/2006/relationships/hyperlink" Target="https://www.sterlinglawyers.com/illinois/divorce/how/" TargetMode="External"/><Relationship Id="rId93" Type="http://schemas.openxmlformats.org/officeDocument/2006/relationships/hyperlink" Target="https://www.sterlinglawyers.com/illinois/divorce/file-for-divorce/file-cook-county/" TargetMode="External"/><Relationship Id="rId92" Type="http://schemas.openxmlformats.org/officeDocument/2006/relationships/hyperlink" Target="https://www.sterlinglawyers.com/illinois/events/" TargetMode="External"/><Relationship Id="rId359" Type="http://schemas.openxmlformats.org/officeDocument/2006/relationships/hyperlink" Target="https://www.sterlinglawyers.com/wisconsin/locations/madison/contested-divorce-lawyers/" TargetMode="External"/><Relationship Id="rId358" Type="http://schemas.openxmlformats.org/officeDocument/2006/relationships/hyperlink" Target="https://www.sterlinglawyers.com/wisconsin/locations/madison/divorce-mediation-lawyers/" TargetMode="External"/><Relationship Id="rId357" Type="http://schemas.openxmlformats.org/officeDocument/2006/relationships/hyperlink" Target="https://www.sterlinglawyers.com/wisconsin/locations/madison/alimony-lawyers/" TargetMode="External"/><Relationship Id="rId2270" Type="http://schemas.openxmlformats.org/officeDocument/2006/relationships/hyperlink" Target="https://www.sterlinglawyers.com/wisconsin/attorneys/austin-miller/reviews/page/23/" TargetMode="External"/><Relationship Id="rId2271" Type="http://schemas.openxmlformats.org/officeDocument/2006/relationships/hyperlink" Target="https://www.sterlinglawyers.com/wisconsin/reviews/page/16/" TargetMode="External"/><Relationship Id="rId352" Type="http://schemas.openxmlformats.org/officeDocument/2006/relationships/hyperlink" Target="https://www.sterlinglawyers.com/wisconsin/divorce/divorce-lawyer-consultations-need-know/" TargetMode="External"/><Relationship Id="rId2272" Type="http://schemas.openxmlformats.org/officeDocument/2006/relationships/hyperlink" Target="https://www.sterlinglawyers.com/illinois/attorneys/alexandra-isroff/reviews/page/18/" TargetMode="External"/><Relationship Id="rId351" Type="http://schemas.openxmlformats.org/officeDocument/2006/relationships/hyperlink" Target="https://www.sterlinglawyers.com/fixed-fee-vs-hourly-rate/" TargetMode="External"/><Relationship Id="rId2273" Type="http://schemas.openxmlformats.org/officeDocument/2006/relationships/hyperlink" Target="https://www.sterlinglawyers.com/wisconsin/attorneys/kathleen-curran/reviews/page/24/" TargetMode="External"/><Relationship Id="rId350" Type="http://schemas.openxmlformats.org/officeDocument/2006/relationships/hyperlink" Target="https://www.sterlinglawyers.com/child-custody/what-is-sole-custody-of-a-child/" TargetMode="External"/><Relationship Id="rId2274" Type="http://schemas.openxmlformats.org/officeDocument/2006/relationships/hyperlink" Target="https://www.sterlinglawyers.com/wisconsin/attorneys/kathleen-curran/reviews/page/25/" TargetMode="External"/><Relationship Id="rId2275" Type="http://schemas.openxmlformats.org/officeDocument/2006/relationships/hyperlink" Target="https://www.sterlinglawyers.com/wisconsin/attorneys/bailey-holt/reviews/page/14/" TargetMode="External"/><Relationship Id="rId356" Type="http://schemas.openxmlformats.org/officeDocument/2006/relationships/hyperlink" Target="https://www.sterlinglawyers.com/spousal-support/calculator/award-alimony/" TargetMode="External"/><Relationship Id="rId2276" Type="http://schemas.openxmlformats.org/officeDocument/2006/relationships/hyperlink" Target="https://www.sterlinglawyers.com/wisconsin/attorneys/kathleen-curran/reviews/page/15/" TargetMode="External"/><Relationship Id="rId355" Type="http://schemas.openxmlformats.org/officeDocument/2006/relationships/hyperlink" Target="https://www.sterlinglawyers.com/wisconsin/divorce/when-your-spouse-doesnt-have-a-divorce-lawyer/" TargetMode="External"/><Relationship Id="rId2277" Type="http://schemas.openxmlformats.org/officeDocument/2006/relationships/hyperlink" Target="https://www.sterlinglawyers.com/wisconsin/attorneys/kathleen-curran/reviews/page/14/" TargetMode="External"/><Relationship Id="rId354" Type="http://schemas.openxmlformats.org/officeDocument/2006/relationships/hyperlink" Target="https://www.sterlinglawyers.com/illinois/divorce/financing/" TargetMode="External"/><Relationship Id="rId2278" Type="http://schemas.openxmlformats.org/officeDocument/2006/relationships/hyperlink" Target="https://www.sterlinglawyers.com/wisconsin/attorneys/holly-mullin/reviews/page/15/" TargetMode="External"/><Relationship Id="rId353" Type="http://schemas.openxmlformats.org/officeDocument/2006/relationships/hyperlink" Target="https://www.sterlinglawyers.com/wisconsin/divorce/5-signs-you-need-a-new-divorce-lawyer/" TargetMode="External"/><Relationship Id="rId2279" Type="http://schemas.openxmlformats.org/officeDocument/2006/relationships/hyperlink" Target="https://www.sterlinglawyers.com/wisconsin/attorneys/jack-braaten/reviews/page/15/" TargetMode="External"/><Relationship Id="rId2225" Type="http://schemas.openxmlformats.org/officeDocument/2006/relationships/hyperlink" Target="https://www.sterlinglawyers.com/wisconsin/attorneys/ellen-rhodeman/reviews/page/12/" TargetMode="External"/><Relationship Id="rId2226" Type="http://schemas.openxmlformats.org/officeDocument/2006/relationships/hyperlink" Target="https://www.sterlinglawyers.com/wisconsin/attorneys/ellen-rhodeman/reviews/page/46/" TargetMode="External"/><Relationship Id="rId2227" Type="http://schemas.openxmlformats.org/officeDocument/2006/relationships/hyperlink" Target="https://www.sterlinglawyers.com/wisconsin/divorce/good-kids-bad-things-divorce/" TargetMode="External"/><Relationship Id="rId2228" Type="http://schemas.openxmlformats.org/officeDocument/2006/relationships/hyperlink" Target="https://www.sterlinglawyers.com/wisconsin/dirty-divorce-tricks/rewarding-children-lie/" TargetMode="External"/><Relationship Id="rId2229" Type="http://schemas.openxmlformats.org/officeDocument/2006/relationships/hyperlink" Target="https://www.sterlinglawyers.com/flourishing-families/madame-macaron-mke/" TargetMode="External"/><Relationship Id="rId305" Type="http://schemas.openxmlformats.org/officeDocument/2006/relationships/hyperlink" Target="https://www.sterlinglawyers.com/wp-content/uploads/parenting-plan-illinois.pdf" TargetMode="External"/><Relationship Id="rId304" Type="http://schemas.openxmlformats.org/officeDocument/2006/relationships/hyperlink" Target="https://www.sterlinglawyers.com/illinois/locations/chicago/alimony-lawyers/" TargetMode="External"/><Relationship Id="rId303" Type="http://schemas.openxmlformats.org/officeDocument/2006/relationships/hyperlink" Target="https://www.sterlinglawyers.com/illinois/child-custody/third-party-orders/" TargetMode="External"/><Relationship Id="rId302" Type="http://schemas.openxmlformats.org/officeDocument/2006/relationships/hyperlink" Target="https://www.sterlinglawyers.com/wisconsin/property-division/splitting-assets-divorce/" TargetMode="External"/><Relationship Id="rId309" Type="http://schemas.openxmlformats.org/officeDocument/2006/relationships/hyperlink" Target="https://www.sterlinglawyers.com/wisconsin/child-custody/unfit-parent/" TargetMode="External"/><Relationship Id="rId308" Type="http://schemas.openxmlformats.org/officeDocument/2006/relationships/hyperlink" Target="https://www.sterlinglawyers.com/illinois/events/questions-ask-divorce-attorney/" TargetMode="External"/><Relationship Id="rId307" Type="http://schemas.openxmlformats.org/officeDocument/2006/relationships/hyperlink" Target="https://www.sterlinglawyers.com/illinois/events/complete-guide-divorce-process/" TargetMode="External"/><Relationship Id="rId306" Type="http://schemas.openxmlformats.org/officeDocument/2006/relationships/hyperlink" Target="https://www.sterlinglawyers.com/illinois/events/evaluating-custody-placement-support/" TargetMode="External"/><Relationship Id="rId2220" Type="http://schemas.openxmlformats.org/officeDocument/2006/relationships/hyperlink" Target="https://www.sterlinglawyers.com/wisconsin/attorneys/austin-miller/reviews/page/12/" TargetMode="External"/><Relationship Id="rId301" Type="http://schemas.openxmlformats.org/officeDocument/2006/relationships/hyperlink" Target="https://www.sterlinglawyers.com/illinois/property-division/prenuptial-agreements/" TargetMode="External"/><Relationship Id="rId2221" Type="http://schemas.openxmlformats.org/officeDocument/2006/relationships/hyperlink" Target="https://www.sterlinglawyers.com/wisconsin/attorneys/austin-miller/reviews/page/13/" TargetMode="External"/><Relationship Id="rId300" Type="http://schemas.openxmlformats.org/officeDocument/2006/relationships/hyperlink" Target="https://www.sterlinglawyers.com/illinois/attorneys/nina-kelly/reviews/page/45/" TargetMode="External"/><Relationship Id="rId2222" Type="http://schemas.openxmlformats.org/officeDocument/2006/relationships/hyperlink" Target="https://www.sterlinglawyers.com/illinois/attorneys/alexandra-isroff/reviews/page/29/" TargetMode="External"/><Relationship Id="rId2223" Type="http://schemas.openxmlformats.org/officeDocument/2006/relationships/hyperlink" Target="https://www.sterlinglawyers.com/illinois/attorneys/alexandra-isroff/reviews/page/30/" TargetMode="External"/><Relationship Id="rId2224" Type="http://schemas.openxmlformats.org/officeDocument/2006/relationships/hyperlink" Target="https://www.sterlinglawyers.com/illinois/attorneys/alexandra-isroff/reviews/page/17/" TargetMode="External"/><Relationship Id="rId2214" Type="http://schemas.openxmlformats.org/officeDocument/2006/relationships/hyperlink" Target="https://www.sterlinglawyers.com/wisconsin/attorneys/bailey-holt/reviews/page/13/" TargetMode="External"/><Relationship Id="rId2215" Type="http://schemas.openxmlformats.org/officeDocument/2006/relationships/hyperlink" Target="https://www.sterlinglawyers.com/wisconsin/attorneys/kathleen-curran/reviews/page/26/" TargetMode="External"/><Relationship Id="rId2216" Type="http://schemas.openxmlformats.org/officeDocument/2006/relationships/hyperlink" Target="https://www.sterlinglawyers.com/wisconsin/attorneys/kathleen-curran/reviews/page/27/" TargetMode="External"/><Relationship Id="rId2217" Type="http://schemas.openxmlformats.org/officeDocument/2006/relationships/hyperlink" Target="https://www.sterlinglawyers.com/wisconsin/reviews/page/14/" TargetMode="External"/><Relationship Id="rId2218" Type="http://schemas.openxmlformats.org/officeDocument/2006/relationships/hyperlink" Target="https://www.sterlinglawyers.com/wisconsin/attorneys/austin-miller/reviews/page/25/" TargetMode="External"/><Relationship Id="rId2219" Type="http://schemas.openxmlformats.org/officeDocument/2006/relationships/hyperlink" Target="https://www.sterlinglawyers.com/wisconsin/attorneys/ellen-rhodeman/reviews/page/45/" TargetMode="External"/><Relationship Id="rId2210" Type="http://schemas.openxmlformats.org/officeDocument/2006/relationships/hyperlink" Target="https://www.sterlinglawyers.com/wisconsin/attorneys/jack-braaten/reviews/page/13/" TargetMode="External"/><Relationship Id="rId2211" Type="http://schemas.openxmlformats.org/officeDocument/2006/relationships/hyperlink" Target="https://www.sterlinglawyers.com/wisconsin/attorneys/kathleen-curran/reviews/page/12/" TargetMode="External"/><Relationship Id="rId2212" Type="http://schemas.openxmlformats.org/officeDocument/2006/relationships/hyperlink" Target="https://www.sterlinglawyers.com/wisconsin/attorneys/kathleen-curran/reviews/page/13/" TargetMode="External"/><Relationship Id="rId2213" Type="http://schemas.openxmlformats.org/officeDocument/2006/relationships/hyperlink" Target="https://www.sterlinglawyers.com/wisconsin/attorneys/bailey-holt/reviews/page/12/" TargetMode="External"/><Relationship Id="rId2247" Type="http://schemas.openxmlformats.org/officeDocument/2006/relationships/hyperlink" Target="https://www.sterlinglawyers.com/wisconsin/reviews/page/217/" TargetMode="External"/><Relationship Id="rId2248" Type="http://schemas.openxmlformats.org/officeDocument/2006/relationships/hyperlink" Target="https://www.sterlinglawyers.com/reviews/page/16/" TargetMode="External"/><Relationship Id="rId2249" Type="http://schemas.openxmlformats.org/officeDocument/2006/relationships/hyperlink" Target="https://www.sterlinglawyers.com/reviews/page/17/" TargetMode="External"/><Relationship Id="rId327" Type="http://schemas.openxmlformats.org/officeDocument/2006/relationships/hyperlink" Target="https://www.sterlinglawyers.com/wisconsin/property-division/home-buying/" TargetMode="External"/><Relationship Id="rId326" Type="http://schemas.openxmlformats.org/officeDocument/2006/relationships/hyperlink" Target="https://www.sterlinglawyers.com/wisconsin/child-custody/modify-orders/" TargetMode="External"/><Relationship Id="rId325" Type="http://schemas.openxmlformats.org/officeDocument/2006/relationships/hyperlink" Target="https://www.sterlinglawyers.com/wisconsin/spousal-support/length-duration/" TargetMode="External"/><Relationship Id="rId324" Type="http://schemas.openxmlformats.org/officeDocument/2006/relationships/hyperlink" Target="https://www.sterlinglawyers.com/wisconsin/child-custody/third-party-visitation/" TargetMode="External"/><Relationship Id="rId329" Type="http://schemas.openxmlformats.org/officeDocument/2006/relationships/hyperlink" Target="https://www.sterlinglawyers.com/wisconsin/divorce/how-long-divorce-wisconsin/" TargetMode="External"/><Relationship Id="rId328" Type="http://schemas.openxmlformats.org/officeDocument/2006/relationships/hyperlink" Target="https://www.sterlinglawyers.com/wisconsin/child-custody/50-50-schedules/" TargetMode="External"/><Relationship Id="rId2240" Type="http://schemas.openxmlformats.org/officeDocument/2006/relationships/hyperlink" Target="https://www.sterlinglawyers.com/blog/page/5/?et_blog" TargetMode="External"/><Relationship Id="rId2241" Type="http://schemas.openxmlformats.org/officeDocument/2006/relationships/hyperlink" Target="https://www.sterlinglawyers.com/wisdom-from-attorney-knighton/understanding-how-asset-division-works-useful-calculators/" TargetMode="External"/><Relationship Id="rId2242" Type="http://schemas.openxmlformats.org/officeDocument/2006/relationships/hyperlink" Target="https://www.sterlinglawyers.com/wisdom-from-attorney-knighton/the-science-of-tracking-finances-the-job-of-a-forensic-accountant/" TargetMode="External"/><Relationship Id="rId323" Type="http://schemas.openxmlformats.org/officeDocument/2006/relationships/hyperlink" Target="https://www.sterlinglawyers.com/wisconsin/divorce/common-law-marriage/" TargetMode="External"/><Relationship Id="rId2243" Type="http://schemas.openxmlformats.org/officeDocument/2006/relationships/hyperlink" Target="https://www.sterlinglawyers.com/wisdom-from-attorney-knighton/extremely-useful-information-when-filing-taxes-for-divorcees/" TargetMode="External"/><Relationship Id="rId322" Type="http://schemas.openxmlformats.org/officeDocument/2006/relationships/hyperlink" Target="https://www.sterlinglawyers.com/wisconsin/divorce/remarriage/" TargetMode="External"/><Relationship Id="rId2244" Type="http://schemas.openxmlformats.org/officeDocument/2006/relationships/hyperlink" Target="https://www.sterlinglawyers.com/illinois/attorneys/katie-vandeusen/reviews/page/17/" TargetMode="External"/><Relationship Id="rId321" Type="http://schemas.openxmlformats.org/officeDocument/2006/relationships/hyperlink" Target="https://www.sterlinglawyers.com/wisconsin/spousal-support/cheating/" TargetMode="External"/><Relationship Id="rId2245" Type="http://schemas.openxmlformats.org/officeDocument/2006/relationships/hyperlink" Target="https://www.sterlinglawyers.com/wisconsin/reviews/page/218/" TargetMode="External"/><Relationship Id="rId320" Type="http://schemas.openxmlformats.org/officeDocument/2006/relationships/hyperlink" Target="https://www.sterlinglawyers.com/wisconsin/child-support/enforcement/" TargetMode="External"/><Relationship Id="rId2246" Type="http://schemas.openxmlformats.org/officeDocument/2006/relationships/hyperlink" Target="https://www.sterlinglawyers.com/illinois/attorneys/katie-vandeusen/reviews/page/16/" TargetMode="External"/><Relationship Id="rId2236" Type="http://schemas.openxmlformats.org/officeDocument/2006/relationships/hyperlink" Target="https://www.sterlinglawyers.com/wisdom-from-attorney-knighton/what-documents-should-you-collect-in-a-divorce/" TargetMode="External"/><Relationship Id="rId2237" Type="http://schemas.openxmlformats.org/officeDocument/2006/relationships/hyperlink" Target="https://www.sterlinglawyers.com/wisconsin/reviews/page/15/" TargetMode="External"/><Relationship Id="rId2238" Type="http://schemas.openxmlformats.org/officeDocument/2006/relationships/hyperlink" Target="https://www.sterlinglawyers.com/wisdom-from-attorney-knighton/the-benefits-of-a-marital-settlement-agreement-in-divorce/" TargetMode="External"/><Relationship Id="rId2239" Type="http://schemas.openxmlformats.org/officeDocument/2006/relationships/hyperlink" Target="https://www.sterlinglawyers.com/wisdom-from-attorney-knighton/3-questions-will-help-know-whether-stay-leave/" TargetMode="External"/><Relationship Id="rId316" Type="http://schemas.openxmlformats.org/officeDocument/2006/relationships/hyperlink" Target="https://www.sterlinglawyers.com/wisconsin/spousal-support/terminate-orders/" TargetMode="External"/><Relationship Id="rId315" Type="http://schemas.openxmlformats.org/officeDocument/2006/relationships/hyperlink" Target="https://www.sterlinglawyers.com/wisconsin/spousal-support/modify-orders/" TargetMode="External"/><Relationship Id="rId314" Type="http://schemas.openxmlformats.org/officeDocument/2006/relationships/hyperlink" Target="https://www.sterlinglawyers.com/wisconsin/divorce/marriage-license/" TargetMode="External"/><Relationship Id="rId313" Type="http://schemas.openxmlformats.org/officeDocument/2006/relationships/hyperlink" Target="https://www.sterlinglawyers.com/wisconsin/divorce/residency-requirements/" TargetMode="External"/><Relationship Id="rId319" Type="http://schemas.openxmlformats.org/officeDocument/2006/relationships/hyperlink" Target="https://www.sterlinglawyers.com/wisconsin/divorce/annulment/" TargetMode="External"/><Relationship Id="rId318" Type="http://schemas.openxmlformats.org/officeDocument/2006/relationships/hyperlink" Target="https://www.sterlinglawyers.com/wisconsin/divorce/separation/" TargetMode="External"/><Relationship Id="rId317" Type="http://schemas.openxmlformats.org/officeDocument/2006/relationships/hyperlink" Target="https://www.sterlinglawyers.com/wisconsin/child-custody/paternity/" TargetMode="External"/><Relationship Id="rId2230" Type="http://schemas.openxmlformats.org/officeDocument/2006/relationships/hyperlink" Target="https://www.sterlinglawyers.com/wisdom-from-attorney-knighton/3-ways-start-living-happier-life/" TargetMode="External"/><Relationship Id="rId2231" Type="http://schemas.openxmlformats.org/officeDocument/2006/relationships/hyperlink" Target="https://www.sterlinglawyers.com/wisconsin/attorneys/ellen-rhodeman/reviews/page/13/" TargetMode="External"/><Relationship Id="rId312" Type="http://schemas.openxmlformats.org/officeDocument/2006/relationships/hyperlink" Target="https://www.sterlinglawyers.com/wisconsin/divorce/adultery-laws/" TargetMode="External"/><Relationship Id="rId2232" Type="http://schemas.openxmlformats.org/officeDocument/2006/relationships/hyperlink" Target="https://www.sterlinglawyers.com/blog/wisdom-from-attorney-knighton/how-to-emotionally-survive-a-divorce/" TargetMode="External"/><Relationship Id="rId311" Type="http://schemas.openxmlformats.org/officeDocument/2006/relationships/hyperlink" Target="https://www.sterlinglawyers.com/wisconsin/property-division/marital-property-law/" TargetMode="External"/><Relationship Id="rId2233" Type="http://schemas.openxmlformats.org/officeDocument/2006/relationships/hyperlink" Target="https://www.sterlinglawyers.com/wisdom-from-attorney-knighton/how-to-approach-transitions-during-family-law-matters/" TargetMode="External"/><Relationship Id="rId310" Type="http://schemas.openxmlformats.org/officeDocument/2006/relationships/hyperlink" Target="https://www.sterlinglawyers.com/wisconsin/divorce/grounds/" TargetMode="External"/><Relationship Id="rId2234" Type="http://schemas.openxmlformats.org/officeDocument/2006/relationships/hyperlink" Target="https://www.sterlinglawyers.com/wisdom-from-attorney-knighton/how-to-manage-insurance-policies-after-a-divorce/" TargetMode="External"/><Relationship Id="rId2235" Type="http://schemas.openxmlformats.org/officeDocument/2006/relationships/hyperlink" Target="https://www.sterlinglawyers.com/wisdom-from-attorney-knighton/the-art-of-refinancing-during-a-divorce/" TargetMode="External"/><Relationship Id="rId297" Type="http://schemas.openxmlformats.org/officeDocument/2006/relationships/hyperlink" Target="https://www.sterlinglawyers.com/divorce/what-is-a-joint-petition-for-divorce/" TargetMode="External"/><Relationship Id="rId296" Type="http://schemas.openxmlformats.org/officeDocument/2006/relationships/hyperlink" Target="https://www.sterlinglawyers.com/illinois/locations/hoffman-estates/collaborative-divorce-lawyers/" TargetMode="External"/><Relationship Id="rId295" Type="http://schemas.openxmlformats.org/officeDocument/2006/relationships/hyperlink" Target="https://www.sterlinglawyers.com/illinois/locations/hoffman-estates/paternity-lawyers/" TargetMode="External"/><Relationship Id="rId294" Type="http://schemas.openxmlformats.org/officeDocument/2006/relationships/hyperlink" Target="https://www.sterlinglawyers.com/illinois/locations/hoffman-estates/property-division-lawyers/" TargetMode="External"/><Relationship Id="rId299" Type="http://schemas.openxmlformats.org/officeDocument/2006/relationships/hyperlink" Target="https://www.sterlinglawyers.com/illinois/property-division/enforcing-orders/" TargetMode="External"/><Relationship Id="rId298" Type="http://schemas.openxmlformats.org/officeDocument/2006/relationships/hyperlink" Target="https://www.sterlinglawyers.com/wisdom-from-attorney-knighton/important-factors-courts-consider-with-alimony/" TargetMode="External"/><Relationship Id="rId271" Type="http://schemas.openxmlformats.org/officeDocument/2006/relationships/hyperlink" Target="https://www.sterlinglawyers.com/Illinois/divorce/collaborative/" TargetMode="External"/><Relationship Id="rId270" Type="http://schemas.openxmlformats.org/officeDocument/2006/relationships/hyperlink" Target="https://www.sterlinglawyers.com/illinois/divorce/contested-divorce/" TargetMode="External"/><Relationship Id="rId269" Type="http://schemas.openxmlformats.org/officeDocument/2006/relationships/hyperlink" Target="https://www.sterlinglawyers.com/illinois/reviews/page/229/" TargetMode="External"/><Relationship Id="rId264" Type="http://schemas.openxmlformats.org/officeDocument/2006/relationships/hyperlink" Target="https://www.sterlinglawyers.com/illinois/spousal-support/alimony-taxes/" TargetMode="External"/><Relationship Id="rId263" Type="http://schemas.openxmlformats.org/officeDocument/2006/relationships/hyperlink" Target="https://www.sterlinglawyers.com/illinois/spousal-support/divorce/" TargetMode="External"/><Relationship Id="rId262" Type="http://schemas.openxmlformats.org/officeDocument/2006/relationships/hyperlink" Target="https://www.sterlinglawyers.com/illinois/spousal-support/terminate-orders/" TargetMode="External"/><Relationship Id="rId261" Type="http://schemas.openxmlformats.org/officeDocument/2006/relationships/hyperlink" Target="https://www.sterlinglawyers.com/illinois/spousal-support/modify-orders/" TargetMode="External"/><Relationship Id="rId268" Type="http://schemas.openxmlformats.org/officeDocument/2006/relationships/hyperlink" Target="https://www.sterlinglawyers.com/illinois/reviews/page/2/" TargetMode="External"/><Relationship Id="rId267" Type="http://schemas.openxmlformats.org/officeDocument/2006/relationships/hyperlink" Target="https://www.sterlinglawyers.com/illinois/reviews/page/3/" TargetMode="External"/><Relationship Id="rId266" Type="http://schemas.openxmlformats.org/officeDocument/2006/relationships/hyperlink" Target="https://www.sterlinglawyers.com/illinois/spousal-support/types/" TargetMode="External"/><Relationship Id="rId265" Type="http://schemas.openxmlformats.org/officeDocument/2006/relationships/hyperlink" Target="https://www.sterlinglawyers.com/illinois/spousal-support/enforce-orders/" TargetMode="External"/><Relationship Id="rId260" Type="http://schemas.openxmlformats.org/officeDocument/2006/relationships/hyperlink" Target="https://www.sterlinglawyers.com/child-support/military-child-support/" TargetMode="External"/><Relationship Id="rId259" Type="http://schemas.openxmlformats.org/officeDocument/2006/relationships/hyperlink" Target="https://www.sterlinglawyers.com/divorce/reasons-for-divorce/" TargetMode="External"/><Relationship Id="rId258" Type="http://schemas.openxmlformats.org/officeDocument/2006/relationships/hyperlink" Target="https://www.sterlinglawyers.com/child-custody/tax-credit/" TargetMode="External"/><Relationship Id="rId2290" Type="http://schemas.openxmlformats.org/officeDocument/2006/relationships/hyperlink" Target="https://www.sterlinglawyers.com/wisconsin/attorneys/jeffrey-morrell/reviews/page/62/" TargetMode="External"/><Relationship Id="rId2291" Type="http://schemas.openxmlformats.org/officeDocument/2006/relationships/hyperlink" Target="https://www.sterlinglawyers.com/wisconsin/attorneys/robert-keenan/reviews/page/26/" TargetMode="External"/><Relationship Id="rId2292" Type="http://schemas.openxmlformats.org/officeDocument/2006/relationships/hyperlink" Target="https://www.sterlinglawyers.com/wisconsin/attorneys/robert-keenan/reviews/page/27/" TargetMode="External"/><Relationship Id="rId2293" Type="http://schemas.openxmlformats.org/officeDocument/2006/relationships/hyperlink" Target="https://www.sterlinglawyers.com/wisconsin/attorneys/nikole-messerschmidt/reviews/page/42/" TargetMode="External"/><Relationship Id="rId253" Type="http://schemas.openxmlformats.org/officeDocument/2006/relationships/hyperlink" Target="https://www.sterlinglawyers.com/illinois/divorce/separation/" TargetMode="External"/><Relationship Id="rId2294" Type="http://schemas.openxmlformats.org/officeDocument/2006/relationships/hyperlink" Target="https://www.sterlinglawyers.com/wisconsin/attorneys/tiffany-vogel/reviews/page/14/" TargetMode="External"/><Relationship Id="rId252" Type="http://schemas.openxmlformats.org/officeDocument/2006/relationships/hyperlink" Target="https://www.sterlinglawyers.com/child-support-calc/index.php" TargetMode="External"/><Relationship Id="rId2295" Type="http://schemas.openxmlformats.org/officeDocument/2006/relationships/hyperlink" Target="https://www.sterlinglawyers.com/wisconsin/attorneys/tiffany-vogel/reviews/page/37/" TargetMode="External"/><Relationship Id="rId251" Type="http://schemas.openxmlformats.org/officeDocument/2006/relationships/hyperlink" Target="https://www.sterlinglawyers.com/illinois/property-division/investments/" TargetMode="External"/><Relationship Id="rId2296" Type="http://schemas.openxmlformats.org/officeDocument/2006/relationships/hyperlink" Target="https://www.sterlinglawyers.com/wisconsin/attorneys/tiffany-vogel/reviews/page/15/" TargetMode="External"/><Relationship Id="rId250" Type="http://schemas.openxmlformats.org/officeDocument/2006/relationships/hyperlink" Target="https://www.sterlinglawyers.com/illinois/property-division/is-illinois-a-5050-state/" TargetMode="External"/><Relationship Id="rId2297" Type="http://schemas.openxmlformats.org/officeDocument/2006/relationships/hyperlink" Target="https://www.sterlinglawyers.com/wisconsin/attorneys/jack-braaten/reviews/page/17/" TargetMode="External"/><Relationship Id="rId257" Type="http://schemas.openxmlformats.org/officeDocument/2006/relationships/hyperlink" Target="https://www.sterlinglawyers.com/divorce/what-is-pro-se-divorce/" TargetMode="External"/><Relationship Id="rId2298" Type="http://schemas.openxmlformats.org/officeDocument/2006/relationships/hyperlink" Target="https://www.sterlinglawyers.com/wisconsin/attorneys/jack-braaten/reviews/page/18/" TargetMode="External"/><Relationship Id="rId256" Type="http://schemas.openxmlformats.org/officeDocument/2006/relationships/hyperlink" Target="https://www.sterlinglawyers.com/illinois/property-division/postnuptial-agreements/" TargetMode="External"/><Relationship Id="rId2299" Type="http://schemas.openxmlformats.org/officeDocument/2006/relationships/hyperlink" Target="https://www.sterlinglawyers.com/wisconsin/attorneys/nikole-messerschmidt/reviews/page/14/" TargetMode="External"/><Relationship Id="rId255" Type="http://schemas.openxmlformats.org/officeDocument/2006/relationships/hyperlink" Target="https://www.sterlinglawyers.com/illinois/spousal-support/duration/" TargetMode="External"/><Relationship Id="rId254" Type="http://schemas.openxmlformats.org/officeDocument/2006/relationships/hyperlink" Target="https://www.sterlinglawyers.com/illinois/property-division/non-marital-property/" TargetMode="External"/><Relationship Id="rId293" Type="http://schemas.openxmlformats.org/officeDocument/2006/relationships/hyperlink" Target="https://www.sterlinglawyers.com/illinois/locations/hoffman-estates/child-custody-lawyers/" TargetMode="External"/><Relationship Id="rId292" Type="http://schemas.openxmlformats.org/officeDocument/2006/relationships/hyperlink" Target="https://www.sterlinglawyers.com/illinois/locations/hoffman-estates/military-divorce-lawyers/" TargetMode="External"/><Relationship Id="rId291" Type="http://schemas.openxmlformats.org/officeDocument/2006/relationships/hyperlink" Target="https://www.sterlinglawyers.com/illinois/locations/hoffman-estates/alimony-lawyers/" TargetMode="External"/><Relationship Id="rId290" Type="http://schemas.openxmlformats.org/officeDocument/2006/relationships/hyperlink" Target="https://www.sterlinglawyers.com/illinois/locations/hoffman-estates/child-support-lawyers/" TargetMode="External"/><Relationship Id="rId286" Type="http://schemas.openxmlformats.org/officeDocument/2006/relationships/hyperlink" Target="https://www.sterlinglawyers.com/illinois/locations/arlington-heights/uncontested-divorce-lawyers/" TargetMode="External"/><Relationship Id="rId285" Type="http://schemas.openxmlformats.org/officeDocument/2006/relationships/hyperlink" Target="https://www.sterlinglawyers.com/illinois/locations/arlington-heights/contested-divorce-lawyers/" TargetMode="External"/><Relationship Id="rId284" Type="http://schemas.openxmlformats.org/officeDocument/2006/relationships/hyperlink" Target="https://www.sterlinglawyers.com/illinois/locations/arlington-heights/property-division-lawyers/" TargetMode="External"/><Relationship Id="rId283" Type="http://schemas.openxmlformats.org/officeDocument/2006/relationships/hyperlink" Target="https://www.sterlinglawyers.com/illinois/locations/arlington-heights/collaborative-divorce-lawyers/" TargetMode="External"/><Relationship Id="rId289" Type="http://schemas.openxmlformats.org/officeDocument/2006/relationships/hyperlink" Target="https://www.sterlinglawyers.com/illinois/locations/hoffman-estates/uncontested-divorce-lawyers/" TargetMode="External"/><Relationship Id="rId288" Type="http://schemas.openxmlformats.org/officeDocument/2006/relationships/hyperlink" Target="https://www.sterlinglawyers.com/illinois/locations/hoffman-estates/contested-divorce-lawyers/" TargetMode="External"/><Relationship Id="rId287" Type="http://schemas.openxmlformats.org/officeDocument/2006/relationships/hyperlink" Target="https://www.sterlinglawyers.com/illinois/locations/hoffman-estates/divorce-mediation-lawyers/" TargetMode="External"/><Relationship Id="rId282" Type="http://schemas.openxmlformats.org/officeDocument/2006/relationships/hyperlink" Target="https://www.sterlinglawyers.com/illinois/locations/arlington-heights/alimony-lawyers/" TargetMode="External"/><Relationship Id="rId281" Type="http://schemas.openxmlformats.org/officeDocument/2006/relationships/hyperlink" Target="https://www.sterlinglawyers.com/illinois/locations/arlington-heights/child-support-lawyers/" TargetMode="External"/><Relationship Id="rId280" Type="http://schemas.openxmlformats.org/officeDocument/2006/relationships/hyperlink" Target="https://www.sterlinglawyers.com/illinois/locations/arlington-heights/divorce-mediation-lawyers/" TargetMode="External"/><Relationship Id="rId275" Type="http://schemas.openxmlformats.org/officeDocument/2006/relationships/hyperlink" Target="https://www.sterlinglawyers.com/illinois/child-custody/modify-orders/" TargetMode="External"/><Relationship Id="rId274" Type="http://schemas.openxmlformats.org/officeDocument/2006/relationships/hyperlink" Target="https://www.sterlinglawyers.com/illinois/attorneys/nina-kelly/reviews/page/3/" TargetMode="External"/><Relationship Id="rId273" Type="http://schemas.openxmlformats.org/officeDocument/2006/relationships/hyperlink" Target="https://www.sterlinglawyers.com/wisconsin/child-custody/parenting-plan/" TargetMode="External"/><Relationship Id="rId272" Type="http://schemas.openxmlformats.org/officeDocument/2006/relationships/hyperlink" Target="https://www.sterlinglawyers.com/illinois/attorneys/nina-kelly/reviews/page/2/" TargetMode="External"/><Relationship Id="rId279" Type="http://schemas.openxmlformats.org/officeDocument/2006/relationships/hyperlink" Target="https://www.sterlinglawyers.com/illinois/locations/arlington-heights/child-custody-lawyers/" TargetMode="External"/><Relationship Id="rId278" Type="http://schemas.openxmlformats.org/officeDocument/2006/relationships/hyperlink" Target="https://www.sterlinglawyers.com/illinois/locations/arlington-heights/military-divorce-lawyers/" TargetMode="External"/><Relationship Id="rId277" Type="http://schemas.openxmlformats.org/officeDocument/2006/relationships/hyperlink" Target="https://www.sterlinglawyers.com/illinois/locations/arlington-heights/paternity-lawyers/" TargetMode="External"/><Relationship Id="rId276" Type="http://schemas.openxmlformats.org/officeDocument/2006/relationships/hyperlink" Target="https://www.sterlinglawyers.com/illinois/child-custody/child-chooses-parent/" TargetMode="External"/><Relationship Id="rId1851" Type="http://schemas.openxmlformats.org/officeDocument/2006/relationships/hyperlink" Target="https://www.sterlinglawyers.com/blog/news/sterling-lawyers-beloit-strengthens-families-legal-advocacy/" TargetMode="External"/><Relationship Id="rId1852" Type="http://schemas.openxmlformats.org/officeDocument/2006/relationships/hyperlink" Target="https://www.sterlinglawyers.com/blog/news/sterling-lawyers-middleton-prenuptial-agreements/" TargetMode="External"/><Relationship Id="rId1853" Type="http://schemas.openxmlformats.org/officeDocument/2006/relationships/hyperlink" Target="https://www.sterlinglawyers.com/blog/news/smooth-holiday-custody-schedules/" TargetMode="External"/><Relationship Id="rId1854" Type="http://schemas.openxmlformats.org/officeDocument/2006/relationships/hyperlink" Target="https://www.sterlinglawyers.com/blog/news/brookfield-community-focused-family-law-services/" TargetMode="External"/><Relationship Id="rId1855" Type="http://schemas.openxmlformats.org/officeDocument/2006/relationships/hyperlink" Target="https://www.sterlinglawyers.com/blog/news/announcement-plainfield-office-opening/" TargetMode="External"/><Relationship Id="rId1856" Type="http://schemas.openxmlformats.org/officeDocument/2006/relationships/hyperlink" Target="https://www.sterlinglawyers.com/blog/news/sterling-lawyers-baraboo-holiday-coparenting/" TargetMode="External"/><Relationship Id="rId1857" Type="http://schemas.openxmlformats.org/officeDocument/2006/relationships/hyperlink" Target="https://www.sterlinglawyers.com/sterling-lawyers-madison-year-end-family-law-guide/" TargetMode="External"/><Relationship Id="rId1858" Type="http://schemas.openxmlformats.org/officeDocument/2006/relationships/hyperlink" Target="https://www.sterlinglawyers.com/blog/news/new-year-fresh-start-within-beaver-dam/" TargetMode="External"/><Relationship Id="rId1859" Type="http://schemas.openxmlformats.org/officeDocument/2006/relationships/hyperlink" Target="https://www.sterlinglawyers.com/blog/news/announcement-mediation-services-for-west-bend-residents/" TargetMode="External"/><Relationship Id="rId1850" Type="http://schemas.openxmlformats.org/officeDocument/2006/relationships/hyperlink" Target="https://www.sterlinglawyers.com/blog/news/sterling-lawyers-jefferson-family-confidence/" TargetMode="External"/><Relationship Id="rId1840" Type="http://schemas.openxmlformats.org/officeDocument/2006/relationships/hyperlink" Target="https://www.sterlinglawyers.com/illinois/blog/hoffman-estates-military-divorces-legal-protection/" TargetMode="External"/><Relationship Id="rId1841" Type="http://schemas.openxmlformats.org/officeDocument/2006/relationships/hyperlink" Target="https://www.sterlinglawyers.com/illinois/attorneys/nina-kelly/reviews/page/11/" TargetMode="External"/><Relationship Id="rId1842" Type="http://schemas.openxmlformats.org/officeDocument/2006/relationships/hyperlink" Target="https://www.sterlinglawyers.com/illinois/attorneys/nina-kelly/reviews/page/10/" TargetMode="External"/><Relationship Id="rId1843" Type="http://schemas.openxmlformats.org/officeDocument/2006/relationships/hyperlink" Target="https://www.sterlinglawyers.com/illinois/attorneys/lea-diaz/reviews/page/15/" TargetMode="External"/><Relationship Id="rId1844" Type="http://schemas.openxmlformats.org/officeDocument/2006/relationships/hyperlink" Target="https://www.sterlinglawyers.com/illinois/attorneys/lea-diaz/reviews/page/14/" TargetMode="External"/><Relationship Id="rId1845" Type="http://schemas.openxmlformats.org/officeDocument/2006/relationships/hyperlink" Target="https://www.sterlinglawyers.com/wisconsin/blog/how-madison-child-custody-lawyers-help-clients/" TargetMode="External"/><Relationship Id="rId1846" Type="http://schemas.openxmlformats.org/officeDocument/2006/relationships/hyperlink" Target="https://www.sterlinglawyers.com/illinois/blog/strengthen-your-schaumburg-child-custody-case/" TargetMode="External"/><Relationship Id="rId1847" Type="http://schemas.openxmlformats.org/officeDocument/2006/relationships/hyperlink" Target="https://www.sterlinglawyers.com/illinois/reviews/page/222/" TargetMode="External"/><Relationship Id="rId1848" Type="http://schemas.openxmlformats.org/officeDocument/2006/relationships/hyperlink" Target="https://www.sterlinglawyers.com/illinois/attorneys/nina-kelly/reviews/page/37/" TargetMode="External"/><Relationship Id="rId1849" Type="http://schemas.openxmlformats.org/officeDocument/2006/relationships/hyperlink" Target="https://www.sterlinglawyers.com/wisconsin/property-division" TargetMode="External"/><Relationship Id="rId1873" Type="http://schemas.openxmlformats.org/officeDocument/2006/relationships/hyperlink" Target="https://www.sterlinglawyers.com/illinois/reviews/page/221/" TargetMode="External"/><Relationship Id="rId1874" Type="http://schemas.openxmlformats.org/officeDocument/2006/relationships/hyperlink" Target="https://www.sterlinglawyers.com/wisdom-from-attorney-knighton/maintaining-communication-during-divorce/" TargetMode="External"/><Relationship Id="rId1875" Type="http://schemas.openxmlformats.org/officeDocument/2006/relationships/hyperlink" Target="http://www.sterlinglawyers.com/wisconsin/blog/how-to-tell-your-wife-you-want-a-divorce/" TargetMode="External"/><Relationship Id="rId1876" Type="http://schemas.openxmlformats.org/officeDocument/2006/relationships/hyperlink" Target="https://www.sterlinglawyers.com/news/healthy-families/" TargetMode="External"/><Relationship Id="rId1877" Type="http://schemas.openxmlformats.org/officeDocument/2006/relationships/hyperlink" Target="https://www.sterlinglawyers.com/wisconsin/blog/crafting-child-support-strategy-beloit-lawyer/" TargetMode="External"/><Relationship Id="rId1878" Type="http://schemas.openxmlformats.org/officeDocument/2006/relationships/hyperlink" Target="https://www.sterlinglawyers.com/illinois/divorce/abandonment/" TargetMode="External"/><Relationship Id="rId1879" Type="http://schemas.openxmlformats.org/officeDocument/2006/relationships/hyperlink" Target="https://www.sterlinglawyers.com/wisconsin/divorce/bed-and-board-divorce/" TargetMode="External"/><Relationship Id="rId1870" Type="http://schemas.openxmlformats.org/officeDocument/2006/relationships/hyperlink" Target="https://www.sterlinglawyers.com/blog/page/2/?et_blog" TargetMode="External"/><Relationship Id="rId1871" Type="http://schemas.openxmlformats.org/officeDocument/2006/relationships/hyperlink" Target="https://www.sterlinglawyers.com/wisconsin/blog/beloit-spousal-support-lawyer-establishing-financial-security/divorce%20lawyers%20Beloit" TargetMode="External"/><Relationship Id="rId1872" Type="http://schemas.openxmlformats.org/officeDocument/2006/relationships/hyperlink" Target="https://www.sterlinglawyers.com/blog/news/announcement-for-year-end-financial-planning-waukesha/" TargetMode="External"/><Relationship Id="rId1862" Type="http://schemas.openxmlformats.org/officeDocument/2006/relationships/hyperlink" Target="https://www.sterlinglawyers.com/blog/news/menomonee-falls-parent-custody-update/" TargetMode="External"/><Relationship Id="rId1863" Type="http://schemas.openxmlformats.org/officeDocument/2006/relationships/hyperlink" Target="https://www.sterlinglawyers.com/blog/news/kenosha-holiday-co-parenting-planning/" TargetMode="External"/><Relationship Id="rId1864" Type="http://schemas.openxmlformats.org/officeDocument/2006/relationships/hyperlink" Target="https://www.sterlinglawyers.com/news/guide-hoffman-estates-families-through-year-end-legal-decisions/" TargetMode="External"/><Relationship Id="rId1865" Type="http://schemas.openxmlformats.org/officeDocument/2006/relationships/hyperlink" Target="https://www.sterlinglawyers.com/blog/news/collaborative-mediation-services-for-milwaukee-families/" TargetMode="External"/><Relationship Id="rId1866" Type="http://schemas.openxmlformats.org/officeDocument/2006/relationships/hyperlink" Target="https://www.sterlinglawyers.com/illinois/attorneys/nina-kelly/reviews/page/38/" TargetMode="External"/><Relationship Id="rId1867" Type="http://schemas.openxmlformats.org/officeDocument/2006/relationships/hyperlink" Target="https://www.sterlinglawyers.com/blog/news/announcement-milwaukee-family-law-office-relocation/" TargetMode="External"/><Relationship Id="rId1868" Type="http://schemas.openxmlformats.org/officeDocument/2006/relationships/hyperlink" Target="https://www.sterlinglawyers.com/blog/news/mequon-smooth-holiday-custody-arrangements/" TargetMode="External"/><Relationship Id="rId1869" Type="http://schemas.openxmlformats.org/officeDocument/2006/relationships/hyperlink" Target="https://www.sterlinglawyers.com/wisconsin/divorce/single-parents-and-summer-vacation-trips/" TargetMode="External"/><Relationship Id="rId1860" Type="http://schemas.openxmlformats.org/officeDocument/2006/relationships/hyperlink" Target="https://www.sterlinglawyers.com/blog/news/holiday-co-parenting-help-in-racine/" TargetMode="External"/><Relationship Id="rId1861" Type="http://schemas.openxmlformats.org/officeDocument/2006/relationships/hyperlink" Target="https://www.sterlinglawyers.com/blog/news/announcement-st-charles-office-opening/" TargetMode="External"/><Relationship Id="rId1810" Type="http://schemas.openxmlformats.org/officeDocument/2006/relationships/hyperlink" Target="https://www.sterlinglawyers.com/wisconsin/divorce/must-prove-file-claim-negligence-old-attorney/" TargetMode="External"/><Relationship Id="rId1811" Type="http://schemas.openxmlformats.org/officeDocument/2006/relationships/hyperlink" Target="https://www.sterlinglawyers.com/wisconsin/attorneys/michelle-gordon/reviews/page/31/" TargetMode="External"/><Relationship Id="rId1812" Type="http://schemas.openxmlformats.org/officeDocument/2006/relationships/hyperlink" Target="https://www.sterlinglawyers.com/flourishing-families/day-camps-benefits/" TargetMode="External"/><Relationship Id="rId1813" Type="http://schemas.openxmlformats.org/officeDocument/2006/relationships/hyperlink" Target="https://www.sterlinglawyers.com/case-law/awarding-alimony-wisconsin/" TargetMode="External"/><Relationship Id="rId1814" Type="http://schemas.openxmlformats.org/officeDocument/2006/relationships/hyperlink" Target="https://www.sterlinglawyers.com/illinois/attorneys/lea-diaz/reviews/page/11/" TargetMode="External"/><Relationship Id="rId1815" Type="http://schemas.openxmlformats.org/officeDocument/2006/relationships/hyperlink" Target="https://www.sterlinglawyers.com/illinois/attorneys/lea-diaz/reviews/page/10/" TargetMode="External"/><Relationship Id="rId1816" Type="http://schemas.openxmlformats.org/officeDocument/2006/relationships/hyperlink" Target="https://www.sterlinglawyers.com/meet-us/power-validating-others/" TargetMode="External"/><Relationship Id="rId1817" Type="http://schemas.openxmlformats.org/officeDocument/2006/relationships/hyperlink" Target="https://www.sterlinglawyers.com/illinois/reviews/page/10/" TargetMode="External"/><Relationship Id="rId1818" Type="http://schemas.openxmlformats.org/officeDocument/2006/relationships/hyperlink" Target="https://www.sterlinglawyers.com/illinois/reviews/page/11/" TargetMode="External"/><Relationship Id="rId1819" Type="http://schemas.openxmlformats.org/officeDocument/2006/relationships/hyperlink" Target="https://www.sterlinglawyers.com/illinois/blog/evanston-contested-divorce-attorney-make-difference/" TargetMode="External"/><Relationship Id="rId1800" Type="http://schemas.openxmlformats.org/officeDocument/2006/relationships/hyperlink" Target="https://www.sterlinglawyers.com/wisconsin/attorneys/holly-mullin/reviews/page/6/" TargetMode="External"/><Relationship Id="rId1801" Type="http://schemas.openxmlformats.org/officeDocument/2006/relationships/hyperlink" Target="https://www.sterlinglawyers.com/wisconsin/attorneys/holly-mullin/reviews/page/46/" TargetMode="External"/><Relationship Id="rId1802" Type="http://schemas.openxmlformats.org/officeDocument/2006/relationships/hyperlink" Target="https://www.sterlinglawyers.com/wisconsin/attorneys/holly-mullin/reviews/page/47/" TargetMode="External"/><Relationship Id="rId1803" Type="http://schemas.openxmlformats.org/officeDocument/2006/relationships/hyperlink" Target="https://www.sterlinglawyers.com/wisconsin/attorneys/jodi-chung/reviews/page/6/" TargetMode="External"/><Relationship Id="rId1804" Type="http://schemas.openxmlformats.org/officeDocument/2006/relationships/hyperlink" Target="https://www.sterlinglawyers.com/wisconsin/attorneys/jodi-chung/reviews/page/7/" TargetMode="External"/><Relationship Id="rId1805" Type="http://schemas.openxmlformats.org/officeDocument/2006/relationships/hyperlink" Target="https://www.sterlinglawyers.com/wisconsin/attorneys/michelle-gordon/reviews/page/30/" TargetMode="External"/><Relationship Id="rId1806" Type="http://schemas.openxmlformats.org/officeDocument/2006/relationships/hyperlink" Target="https://www.sterlinglawyers.com/wisconsin/attorneys/abigail-henderson/reviews/page/4/" TargetMode="External"/><Relationship Id="rId1807" Type="http://schemas.openxmlformats.org/officeDocument/2006/relationships/hyperlink" Target="https://www.sterlinglawyers.com/wisconsin/attorneys/michelle-gordon/reviews/page/7/" TargetMode="External"/><Relationship Id="rId1808" Type="http://schemas.openxmlformats.org/officeDocument/2006/relationships/hyperlink" Target="https://www.sterlinglawyers.com/wisconsin/attorneys/robert-keenan/reviews/page/7/" TargetMode="External"/><Relationship Id="rId1809" Type="http://schemas.openxmlformats.org/officeDocument/2006/relationships/hyperlink" Target="https://www.sterlinglawyers.com/wisconsin/attorneys/tiffany-vogel/reviews/page/46/" TargetMode="External"/><Relationship Id="rId1830" Type="http://schemas.openxmlformats.org/officeDocument/2006/relationships/hyperlink" Target="https://www.sterlinglawyers.com/illinois/blog/arlington-heights-uncontested-divorce-attorneys-make-two-homes-feel-like-one/" TargetMode="External"/><Relationship Id="rId1831" Type="http://schemas.openxmlformats.org/officeDocument/2006/relationships/hyperlink" Target="https://www.sterlinglawyers.com/illinois/blog/naperville-property-division-pitfalls-avoidance/" TargetMode="External"/><Relationship Id="rId1832" Type="http://schemas.openxmlformats.org/officeDocument/2006/relationships/hyperlink" Target="https://www.sterlinglawyers.com/illinois/blog/hoffman-estates-alimony-lawyers-fair-spousal-support/" TargetMode="External"/><Relationship Id="rId1833" Type="http://schemas.openxmlformats.org/officeDocument/2006/relationships/hyperlink" Target="https://www.sterlinglawyers.com/illinois/blog/page/6/?et_blog" TargetMode="External"/><Relationship Id="rId1834" Type="http://schemas.openxmlformats.org/officeDocument/2006/relationships/hyperlink" Target="https://www.sterlinglawyers.com/illinois/blog/prepare-chicago-uncontested-divorce-lawyer/" TargetMode="External"/><Relationship Id="rId1835" Type="http://schemas.openxmlformats.org/officeDocument/2006/relationships/hyperlink" Target="https://www.sterlinglawyers.com/illinois/blog/evanston-collaborative-family-law-conflicts-solution/" TargetMode="External"/><Relationship Id="rId1836" Type="http://schemas.openxmlformats.org/officeDocument/2006/relationships/hyperlink" Target="https://www.sterlinglawyers.com/illinois/blog/parents-schaumburg-lawyer-child-support-disputes/" TargetMode="External"/><Relationship Id="rId1837" Type="http://schemas.openxmlformats.org/officeDocument/2006/relationships/hyperlink" Target="https://www.sterlinglawyers.com/illinois/blog/standing-strong-chicago-divorce-mediation-lawyers/" TargetMode="External"/><Relationship Id="rId1838" Type="http://schemas.openxmlformats.org/officeDocument/2006/relationships/hyperlink" Target="https://www.sterlinglawyers.com/illinois/blog/confidence-with-arlington-heights-child-support-lawyers/" TargetMode="External"/><Relationship Id="rId1839" Type="http://schemas.openxmlformats.org/officeDocument/2006/relationships/hyperlink" Target="https://www.sterlinglawyers.com/wisconsin/divorce/do-the-court-records-from-a-divorce-become-public-record/" TargetMode="External"/><Relationship Id="rId1820" Type="http://schemas.openxmlformats.org/officeDocument/2006/relationships/hyperlink" Target="https://www.sterlinglawyers.com/illinois/blog/naperville-paternity-lawyers-simplify-family-law-cases/" TargetMode="External"/><Relationship Id="rId1821" Type="http://schemas.openxmlformats.org/officeDocument/2006/relationships/hyperlink" Target="https://www.sterlinglawyers.com/illinois/blog/working-schaumburg-alimony-lawyers-stay-strong-through-storm/" TargetMode="External"/><Relationship Id="rId1822" Type="http://schemas.openxmlformats.org/officeDocument/2006/relationships/hyperlink" Target="https://www.sterlinglawyers.com/illinois/blog/finding-middle-ground-assistance-naperville-divorce-mediation-attorneys/" TargetMode="External"/><Relationship Id="rId1823" Type="http://schemas.openxmlformats.org/officeDocument/2006/relationships/hyperlink" Target="https://www.sterlinglawyers.com/illinois/blog/arlington-heights-divorce-mediation-attorney-resolution/" TargetMode="External"/><Relationship Id="rId1824" Type="http://schemas.openxmlformats.org/officeDocument/2006/relationships/hyperlink" Target="https://www.sterlinglawyers.com/illinois/blog/evanston-paternity-lawyers-figure-out-fatherhood/" TargetMode="External"/><Relationship Id="rId1825" Type="http://schemas.openxmlformats.org/officeDocument/2006/relationships/hyperlink" Target="https://www.sterlinglawyers.com/wisconsin/attorneys/michelle-gordon/reviews/page/6/" TargetMode="External"/><Relationship Id="rId1826" Type="http://schemas.openxmlformats.org/officeDocument/2006/relationships/hyperlink" Target="https://www.sterlinglawyers.com/illinois/blog/working-through-family-law-chicago-property-division-lawyers/" TargetMode="External"/><Relationship Id="rId1827" Type="http://schemas.openxmlformats.org/officeDocument/2006/relationships/hyperlink" Target="https://www.sterlinglawyers.com/illinois/blog/family-stability-hoffman-estates-child-custody/" TargetMode="External"/><Relationship Id="rId1828" Type="http://schemas.openxmlformats.org/officeDocument/2006/relationships/hyperlink" Target="https://www.sterlinglawyers.com/wisconsin/blog/page/5/?et_blog" TargetMode="External"/><Relationship Id="rId1829" Type="http://schemas.openxmlformats.org/officeDocument/2006/relationships/hyperlink" Target="https://www.sterlinglawyers.com/wisconsin/attorneys/robert-keenan/reviews/page/6/" TargetMode="External"/><Relationship Id="rId2302" Type="http://schemas.openxmlformats.org/officeDocument/2006/relationships/hyperlink" Target="https://www.sterlinglawyers.com/wisconsin/attorneys/michelle-gordon/reviews/page/23/" TargetMode="External"/><Relationship Id="rId2303" Type="http://schemas.openxmlformats.org/officeDocument/2006/relationships/hyperlink" Target="https://www.sterlinglawyers.com/wisconsin/attorneys/nikole-messerschmidt/reviews/page/41/" TargetMode="External"/><Relationship Id="rId2304" Type="http://schemas.openxmlformats.org/officeDocument/2006/relationships/hyperlink" Target="https://www.sterlinglawyers.com/wisconsin/attorneys/holly-mullin/reviews/page/38/" TargetMode="External"/><Relationship Id="rId2305" Type="http://schemas.openxmlformats.org/officeDocument/2006/relationships/hyperlink" Target="https://www.sterlinglawyers.com/wisconsin/attorneys/michelle-gordon/reviews/page/15/" TargetMode="External"/><Relationship Id="rId2306" Type="http://schemas.openxmlformats.org/officeDocument/2006/relationships/hyperlink" Target="https://www.sterlinglawyers.com/wisconsin/attorneys/robert-keenan/reviews/page/14/" TargetMode="External"/><Relationship Id="rId2307" Type="http://schemas.openxmlformats.org/officeDocument/2006/relationships/hyperlink" Target="https://www.sterlinglawyers.com/illinois/attorneys/nina-kelly/reviews/page/19/" TargetMode="External"/><Relationship Id="rId2308" Type="http://schemas.openxmlformats.org/officeDocument/2006/relationships/hyperlink" Target="https://www.sterlinglawyers.com/illinois/attorneys/nina-kelly/reviews/page/18/" TargetMode="External"/><Relationship Id="rId2309" Type="http://schemas.openxmlformats.org/officeDocument/2006/relationships/hyperlink" Target="https://www.sterlinglawyers.com/wisconsin/attorneys/tiffany-vogel/reviews/page/38/" TargetMode="External"/><Relationship Id="rId2300" Type="http://schemas.openxmlformats.org/officeDocument/2006/relationships/hyperlink" Target="https://www.sterlinglawyers.com/wisconsin/attorneys/nikole-messerschmidt/reviews/page/15/" TargetMode="External"/><Relationship Id="rId2301" Type="http://schemas.openxmlformats.org/officeDocument/2006/relationships/hyperlink" Target="https://www.sterlinglawyers.com/wisconsin/attorneys/michelle-gordon/reviews/page/22/" TargetMode="External"/><Relationship Id="rId2324" Type="http://schemas.openxmlformats.org/officeDocument/2006/relationships/hyperlink" Target="https://www.sterlinglawyers.com/reviews/page/215/" TargetMode="External"/><Relationship Id="rId2325" Type="http://schemas.openxmlformats.org/officeDocument/2006/relationships/hyperlink" Target="https://www.sterlinglawyers.com/reviews/page/18/" TargetMode="External"/><Relationship Id="rId2326" Type="http://schemas.openxmlformats.org/officeDocument/2006/relationships/hyperlink" Target="https://www.sterlinglawyers.com/wisconsin/reviews/page/215/" TargetMode="External"/><Relationship Id="rId2327" Type="http://schemas.openxmlformats.org/officeDocument/2006/relationships/hyperlink" Target="https://www.sterlinglawyers.com/reviews/page/20/" TargetMode="External"/><Relationship Id="rId2328" Type="http://schemas.openxmlformats.org/officeDocument/2006/relationships/hyperlink" Target="https://www.sterlinglawyers.com/reviews/page/213/" TargetMode="External"/><Relationship Id="rId2329" Type="http://schemas.openxmlformats.org/officeDocument/2006/relationships/hyperlink" Target="https://www.sterlinglawyers.com/illinois/reviews/page/211/" TargetMode="External"/><Relationship Id="rId2320" Type="http://schemas.openxmlformats.org/officeDocument/2006/relationships/hyperlink" Target="https://www.sterlinglawyers.com/illinois/reviews/page/18/" TargetMode="External"/><Relationship Id="rId2321" Type="http://schemas.openxmlformats.org/officeDocument/2006/relationships/hyperlink" Target="https://www.sterlinglawyers.com/illinois/reviews/page/214/" TargetMode="External"/><Relationship Id="rId2322" Type="http://schemas.openxmlformats.org/officeDocument/2006/relationships/hyperlink" Target="https://www.sterlinglawyers.com/illinois/reviews/page/213/" TargetMode="External"/><Relationship Id="rId2323" Type="http://schemas.openxmlformats.org/officeDocument/2006/relationships/hyperlink" Target="https://www.sterlinglawyers.com/reviews/page/214/" TargetMode="External"/><Relationship Id="rId2313" Type="http://schemas.openxmlformats.org/officeDocument/2006/relationships/hyperlink" Target="https://www.sterlinglawyers.com/wisconsin/attorneys/holly-mullin/reviews/page/39/" TargetMode="External"/><Relationship Id="rId2314" Type="http://schemas.openxmlformats.org/officeDocument/2006/relationships/hyperlink" Target="https://www.sterlinglawyers.com/wisconsin/attorneys/michelle-gordon/reviews/page/14/" TargetMode="External"/><Relationship Id="rId2315" Type="http://schemas.openxmlformats.org/officeDocument/2006/relationships/hyperlink" Target="https://www.sterlinglawyers.com/news/page/4/?et_blog" TargetMode="External"/><Relationship Id="rId2316" Type="http://schemas.openxmlformats.org/officeDocument/2006/relationships/hyperlink" Target="https://www.sterlinglawyers.com/illinois/attorneys/nina-kelly/reviews/page/29/" TargetMode="External"/><Relationship Id="rId2317" Type="http://schemas.openxmlformats.org/officeDocument/2006/relationships/hyperlink" Target="https://www.sterlinglawyers.com/illinois/attorneys/nina-kelly/reviews/page/30/" TargetMode="External"/><Relationship Id="rId2318" Type="http://schemas.openxmlformats.org/officeDocument/2006/relationships/hyperlink" Target="https://www.sterlinglawyers.com/illinois/reviews/page/19/" TargetMode="External"/><Relationship Id="rId2319" Type="http://schemas.openxmlformats.org/officeDocument/2006/relationships/hyperlink" Target="https://www.sterlinglawyers.com/wisconsin/divorce/hidden-dangers-fighting-around-kids-divorce/" TargetMode="External"/><Relationship Id="rId2310" Type="http://schemas.openxmlformats.org/officeDocument/2006/relationships/hyperlink" Target="https://www.sterlinglawyers.com/wisdom-from-attorney-knighton/how-to-prove-your-spouse-forged-your-signature/" TargetMode="External"/><Relationship Id="rId2311" Type="http://schemas.openxmlformats.org/officeDocument/2006/relationships/hyperlink" Target="https://www.sterlinglawyers.com/wisdom-from-attorney-knighton/top-tips-to-effectively-survive-divorce/" TargetMode="External"/><Relationship Id="rId2312" Type="http://schemas.openxmlformats.org/officeDocument/2006/relationships/hyperlink" Target="https://www.sterlinglawyers.com/wisdom-from-attorney-knighton/how-to-budget-after-divorce/" TargetMode="External"/><Relationship Id="rId1895" Type="http://schemas.openxmlformats.org/officeDocument/2006/relationships/hyperlink" Target="https://www.sterlinglawyers.com/illinois/attorneys/alexandra-isroff/reviews/page/11/" TargetMode="External"/><Relationship Id="rId1896" Type="http://schemas.openxmlformats.org/officeDocument/2006/relationships/hyperlink" Target="https://www.sterlinglawyers.com/reviews/page/223/" TargetMode="External"/><Relationship Id="rId1897" Type="http://schemas.openxmlformats.org/officeDocument/2006/relationships/hyperlink" Target="https://www.sterlinglawyers.com/reviews/page/222/" TargetMode="External"/><Relationship Id="rId1898" Type="http://schemas.openxmlformats.org/officeDocument/2006/relationships/hyperlink" Target="https://www.sterlinglawyers.com/reviews/page/10/" TargetMode="External"/><Relationship Id="rId1899" Type="http://schemas.openxmlformats.org/officeDocument/2006/relationships/hyperlink" Target="https://www.sterlinglawyers.com/reviews/page/11/" TargetMode="External"/><Relationship Id="rId1890" Type="http://schemas.openxmlformats.org/officeDocument/2006/relationships/hyperlink" Target="https://www.sterlinglawyers.com/topic/depression-and-divorce-a-self-help-checklist/" TargetMode="External"/><Relationship Id="rId1891" Type="http://schemas.openxmlformats.org/officeDocument/2006/relationships/hyperlink" Target="https://www.sterlinglawyers.com/wisconsin/reviews/page/8/" TargetMode="External"/><Relationship Id="rId1892" Type="http://schemas.openxmlformats.org/officeDocument/2006/relationships/hyperlink" Target="https://www.sterlinglawyers.com/divorce" TargetMode="External"/><Relationship Id="rId1893" Type="http://schemas.openxmlformats.org/officeDocument/2006/relationships/hyperlink" Target="https://www.sterlinglawyers.com/illinois/attorneys/katie-vandeusen/reviews/page/23/" TargetMode="External"/><Relationship Id="rId1894" Type="http://schemas.openxmlformats.org/officeDocument/2006/relationships/hyperlink" Target="https://www.sterlinglawyers.com/illinois/attorneys/alexandra-isroff/reviews/page/10/" TargetMode="External"/><Relationship Id="rId1884" Type="http://schemas.openxmlformats.org/officeDocument/2006/relationships/hyperlink" Target="https://www.sterlinglawyers.com/wisconsin/child-custody/no-visitation-supervised-visitation/" TargetMode="External"/><Relationship Id="rId1885" Type="http://schemas.openxmlformats.org/officeDocument/2006/relationships/hyperlink" Target="https://www.sterlinglawyers.com/wisconsin/divorce/journaling-about-your-divorce/" TargetMode="External"/><Relationship Id="rId1886" Type="http://schemas.openxmlformats.org/officeDocument/2006/relationships/hyperlink" Target="https://www.sterlinglawyers.com/wisconsin/divorce/if-i-decide-to-remarry-how-long-after-divorce-can-i/" TargetMode="External"/><Relationship Id="rId1887" Type="http://schemas.openxmlformats.org/officeDocument/2006/relationships/hyperlink" Target="https://www.sterlinglawyers.com/wisconsin/blog/professional-legal-guidance-uncontested-divorce-beloit/%5Bactual%20attorney%20URL%5D/" TargetMode="External"/><Relationship Id="rId1888" Type="http://schemas.openxmlformats.org/officeDocument/2006/relationships/hyperlink" Target="https://www.sterlinglawyers.com/topic/in-laws-during-divorce-process/" TargetMode="External"/><Relationship Id="rId1889" Type="http://schemas.openxmlformats.org/officeDocument/2006/relationships/hyperlink" Target="https://www.sterlinglawyers.com/divorce/name-change/" TargetMode="External"/><Relationship Id="rId1880" Type="http://schemas.openxmlformats.org/officeDocument/2006/relationships/hyperlink" Target="https://www.sterlinglawyers.com/wisconsin/blog/beloit-spousal-support-lawyer-establishing-financial-security/wisconsin/attorneys/jack-braaten/" TargetMode="External"/><Relationship Id="rId1881" Type="http://schemas.openxmlformats.org/officeDocument/2006/relationships/hyperlink" Target="https://www.sterlinglawyers.com/wisdom-from-attorney-knighton/handling-the-emotional-turmoil-of-divorce/" TargetMode="External"/><Relationship Id="rId1882" Type="http://schemas.openxmlformats.org/officeDocument/2006/relationships/hyperlink" Target="https://www.sterlinglawyers.com/wisconsin/divorce/milwakee-divorce-lawyer-question-000001/" TargetMode="External"/><Relationship Id="rId1883" Type="http://schemas.openxmlformats.org/officeDocument/2006/relationships/hyperlink" Target="https://www.sterlinglawyers.com/blog/news/oconomowoc-families-through-critical-school-year/" TargetMode="External"/><Relationship Id="rId1059" Type="http://schemas.openxmlformats.org/officeDocument/2006/relationships/hyperlink" Target="https://www.sterlinglawyers.com/wisconsin/areas/brown-county/howard/" TargetMode="External"/><Relationship Id="rId228" Type="http://schemas.openxmlformats.org/officeDocument/2006/relationships/hyperlink" Target="https://www.sterlinglawyers.com/illinois/blog/meticulous-approach-to-uncontested-divorce-resolutions/" TargetMode="External"/><Relationship Id="rId227" Type="http://schemas.openxmlformats.org/officeDocument/2006/relationships/hyperlink" Target="https://www.sterlinglawyers.com/illinois/blog/why-legal-representation-matters-child-support-cases/" TargetMode="External"/><Relationship Id="rId226" Type="http://schemas.openxmlformats.org/officeDocument/2006/relationships/hyperlink" Target="https://www.sterlinglawyers.com/illinois/blog/empathetic-counsel-evanston-child-support-matters/" TargetMode="External"/><Relationship Id="rId225" Type="http://schemas.openxmlformats.org/officeDocument/2006/relationships/hyperlink" Target="https://www.sterlinglawyers.com/illinois/blog/unveiling-collaborative-divorce-naperville-mother/" TargetMode="External"/><Relationship Id="rId2380" Type="http://schemas.openxmlformats.org/officeDocument/2006/relationships/hyperlink" Target="https://www.sterlinglawyers.com/blog/wisdom-from-attorney-knighton/guardian-ad-litem-process/" TargetMode="External"/><Relationship Id="rId229" Type="http://schemas.openxmlformats.org/officeDocument/2006/relationships/hyperlink" Target="https://www.sterlinglawyers.com/illinois/blog/unwavering-advocacy-schaumburg-property-division-cases/" TargetMode="External"/><Relationship Id="rId1050" Type="http://schemas.openxmlformats.org/officeDocument/2006/relationships/hyperlink" Target="https://www.sterlinglawyers.com/wisconsin/areas/outagamie-county/greenville/" TargetMode="External"/><Relationship Id="rId2381" Type="http://schemas.openxmlformats.org/officeDocument/2006/relationships/hyperlink" Target="https://www.sterlinglawyers.com/wisdom-from-attorney-knighton/how-to-plan-for-retirement-divorce/" TargetMode="External"/><Relationship Id="rId220" Type="http://schemas.openxmlformats.org/officeDocument/2006/relationships/hyperlink" Target="https://www.sterlinglawyers.com/lp-untying-knots/login/" TargetMode="External"/><Relationship Id="rId1051" Type="http://schemas.openxmlformats.org/officeDocument/2006/relationships/hyperlink" Target="https://www.sterlinglawyers.com/wisconsin/areas/la-crosse-county/la-crosse/" TargetMode="External"/><Relationship Id="rId2382" Type="http://schemas.openxmlformats.org/officeDocument/2006/relationships/hyperlink" Target="https://www.sterlinglawyers.com/wisdom-from-attorney-knighton/what-is-disability-insurance-in-divorce/" TargetMode="External"/><Relationship Id="rId1052" Type="http://schemas.openxmlformats.org/officeDocument/2006/relationships/hyperlink" Target="https://www.sterlinglawyers.com/wisconsin/areas/barron-county/rice-lake/" TargetMode="External"/><Relationship Id="rId2383" Type="http://schemas.openxmlformats.org/officeDocument/2006/relationships/hyperlink" Target="https://www.sterlinglawyers.com/wisconsin/attorneys/kathleen-curran/reviews/page/22/" TargetMode="External"/><Relationship Id="rId1053" Type="http://schemas.openxmlformats.org/officeDocument/2006/relationships/hyperlink" Target="https://www.sterlinglawyers.com/wisconsin/areas/waukesha-county/" TargetMode="External"/><Relationship Id="rId2384" Type="http://schemas.openxmlformats.org/officeDocument/2006/relationships/hyperlink" Target="https://www.sterlinglawyers.com/blog/page/7/?et_blog" TargetMode="External"/><Relationship Id="rId1054" Type="http://schemas.openxmlformats.org/officeDocument/2006/relationships/hyperlink" Target="https://www.sterlinglawyers.com/wisconsin/areas/washington-county/germantown/" TargetMode="External"/><Relationship Id="rId2385" Type="http://schemas.openxmlformats.org/officeDocument/2006/relationships/hyperlink" Target="https://www.sterlinglawyers.com/wisconsin/attorneys/austin-miller/reviews/page/22/" TargetMode="External"/><Relationship Id="rId224" Type="http://schemas.openxmlformats.org/officeDocument/2006/relationships/hyperlink" Target="https://www.sterlinglawyers.com/illinois/blog/hoffman-estates-lawyers-making-difference-contested-divorces/" TargetMode="External"/><Relationship Id="rId1055" Type="http://schemas.openxmlformats.org/officeDocument/2006/relationships/hyperlink" Target="https://www.sterlinglawyers.com/wisconsin/areas/taylor-county/" TargetMode="External"/><Relationship Id="rId2386" Type="http://schemas.openxmlformats.org/officeDocument/2006/relationships/hyperlink" Target="https://www.sterlinglawyers.com/wisconsin/attorneys/ellen-rhodeman/reviews/page/16/" TargetMode="External"/><Relationship Id="rId223" Type="http://schemas.openxmlformats.org/officeDocument/2006/relationships/hyperlink" Target="https://www.sterlinglawyers.com/illinois/attorneys/lea-diaz/reviews/page/3/" TargetMode="External"/><Relationship Id="rId1056" Type="http://schemas.openxmlformats.org/officeDocument/2006/relationships/hyperlink" Target="https://www.sterlinglawyers.com/wisconsin/areas/waukesha-county/dousman/" TargetMode="External"/><Relationship Id="rId2387" Type="http://schemas.openxmlformats.org/officeDocument/2006/relationships/hyperlink" Target="https://www.sterlinglawyers.com/wisconsin/attorneys/ellen-rhodeman/reviews/page/17/" TargetMode="External"/><Relationship Id="rId222" Type="http://schemas.openxmlformats.org/officeDocument/2006/relationships/hyperlink" Target="https://www.sterlinglawyers.com/illinois/blog/exploring-role-evanston-attorney-divorce-mediation/" TargetMode="External"/><Relationship Id="rId1057" Type="http://schemas.openxmlformats.org/officeDocument/2006/relationships/hyperlink" Target="https://www.sterlinglawyers.com/wisconsin/areas/douglas-county/superior/" TargetMode="External"/><Relationship Id="rId2388" Type="http://schemas.openxmlformats.org/officeDocument/2006/relationships/hyperlink" Target="https://www.sterlinglawyers.com/illinois/attorneys/alexandra-isroff/reviews/page/21/" TargetMode="External"/><Relationship Id="rId221" Type="http://schemas.openxmlformats.org/officeDocument/2006/relationships/hyperlink" Target="https://www.sterlinglawyers.com/lp-untying-knots/register/" TargetMode="External"/><Relationship Id="rId1058" Type="http://schemas.openxmlformats.org/officeDocument/2006/relationships/hyperlink" Target="https://www.sterlinglawyers.com/wisconsin/areas/milwaukee-county/west-milwaukee/" TargetMode="External"/><Relationship Id="rId2389" Type="http://schemas.openxmlformats.org/officeDocument/2006/relationships/hyperlink" Target="https://www.sterlinglawyers.com/wisconsin/reviews/page/214/" TargetMode="External"/><Relationship Id="rId1048" Type="http://schemas.openxmlformats.org/officeDocument/2006/relationships/hyperlink" Target="https://www.sterlinglawyers.com/wisconsin/areas/manitowoc-county/two-rivers/" TargetMode="External"/><Relationship Id="rId2379" Type="http://schemas.openxmlformats.org/officeDocument/2006/relationships/hyperlink" Target="https://www.sterlinglawyers.com/illinois/attorneys/alexandra-isroff/reviews/page/20/" TargetMode="External"/><Relationship Id="rId1049" Type="http://schemas.openxmlformats.org/officeDocument/2006/relationships/hyperlink" Target="https://www.sterlinglawyers.com/wisconsin/areas/waukesha-county/hartland/" TargetMode="External"/><Relationship Id="rId217" Type="http://schemas.openxmlformats.org/officeDocument/2006/relationships/hyperlink" Target="https://www.sterlinglawyers.com/illinois/locations/schaumburg/child-support-lawyers/" TargetMode="External"/><Relationship Id="rId216" Type="http://schemas.openxmlformats.org/officeDocument/2006/relationships/hyperlink" Target="https://www.sterlinglawyers.com/illinois/locations/schaumburg/military-divorce-lawyers/" TargetMode="External"/><Relationship Id="rId215" Type="http://schemas.openxmlformats.org/officeDocument/2006/relationships/hyperlink" Target="https://www.sterlinglawyers.com/illinois/locations/schaumburg/alimony-lawyers/" TargetMode="External"/><Relationship Id="rId214" Type="http://schemas.openxmlformats.org/officeDocument/2006/relationships/hyperlink" Target="https://www.sterlinglawyers.com/illinois/locations/schaumburg/contested-divorce-lawyers/" TargetMode="External"/><Relationship Id="rId219" Type="http://schemas.openxmlformats.org/officeDocument/2006/relationships/hyperlink" Target="https://www.sterlinglawyers.com/reviews/page/2/" TargetMode="External"/><Relationship Id="rId218" Type="http://schemas.openxmlformats.org/officeDocument/2006/relationships/hyperlink" Target="https://www.sterlinglawyers.com/wisconsin/attorneys/jeff-hughes/" TargetMode="External"/><Relationship Id="rId2370" Type="http://schemas.openxmlformats.org/officeDocument/2006/relationships/hyperlink" Target="https://www.sterlinglawyers.com/wisconsin/attorneys/kathleen-curran/reviews/page/17/" TargetMode="External"/><Relationship Id="rId1040" Type="http://schemas.openxmlformats.org/officeDocument/2006/relationships/hyperlink" Target="https://www.sterlinglawyers.com/wisconsin/areas/green-county/monroe/" TargetMode="External"/><Relationship Id="rId2371" Type="http://schemas.openxmlformats.org/officeDocument/2006/relationships/hyperlink" Target="https://www.sterlinglawyers.com/wisconsin/attorneys/kathleen-curran/reviews/page/23/" TargetMode="External"/><Relationship Id="rId1041" Type="http://schemas.openxmlformats.org/officeDocument/2006/relationships/hyperlink" Target="https://www.sterlinglawyers.com/wisconsin/areas/milwaukee-county/brown-deer/" TargetMode="External"/><Relationship Id="rId2372" Type="http://schemas.openxmlformats.org/officeDocument/2006/relationships/hyperlink" Target="https://www.sterlinglawyers.com/wisconsin/attorneys/ellen-rhodeman/reviews/page/41/" TargetMode="External"/><Relationship Id="rId1042" Type="http://schemas.openxmlformats.org/officeDocument/2006/relationships/hyperlink" Target="https://www.sterlinglawyers.com/wisconsin/areas/milwaukee-county/whitefish-bay/" TargetMode="External"/><Relationship Id="rId2373" Type="http://schemas.openxmlformats.org/officeDocument/2006/relationships/hyperlink" Target="https://www.sterlinglawyers.com/wisconsin/attorneys/ellen-rhodeman/reviews/page/42/" TargetMode="External"/><Relationship Id="rId1043" Type="http://schemas.openxmlformats.org/officeDocument/2006/relationships/hyperlink" Target="https://www.sterlinglawyers.com/wisconsin/areas/milwaukee-county/oak-creek/" TargetMode="External"/><Relationship Id="rId2374" Type="http://schemas.openxmlformats.org/officeDocument/2006/relationships/hyperlink" Target="https://www.sterlinglawyers.com/wisconsin/attorneys/austin-miller/reviews/page/21/" TargetMode="External"/><Relationship Id="rId213" Type="http://schemas.openxmlformats.org/officeDocument/2006/relationships/hyperlink" Target="https://www.sterlinglawyers.com/illinois/locations/schaumburg/property-division-lawyers/" TargetMode="External"/><Relationship Id="rId1044" Type="http://schemas.openxmlformats.org/officeDocument/2006/relationships/hyperlink" Target="https://www.sterlinglawyers.com/wisconsin/areas/rusk-county/" TargetMode="External"/><Relationship Id="rId2375" Type="http://schemas.openxmlformats.org/officeDocument/2006/relationships/hyperlink" Target="https://www.sterlinglawyers.com/wisconsin/attorneys/austin-miller/reviews/page/16/" TargetMode="External"/><Relationship Id="rId212" Type="http://schemas.openxmlformats.org/officeDocument/2006/relationships/hyperlink" Target="https://www.sterlinglawyers.com/illinois/locations/schaumburg/collaborative-divorce-lawyers/" TargetMode="External"/><Relationship Id="rId1045" Type="http://schemas.openxmlformats.org/officeDocument/2006/relationships/hyperlink" Target="https://www.sterlinglawyers.com/wisconsin/areas/st-croix-county/" TargetMode="External"/><Relationship Id="rId2376" Type="http://schemas.openxmlformats.org/officeDocument/2006/relationships/hyperlink" Target="https://www.sterlinglawyers.com/illinois/attorneys/alexandra-isroff/reviews/page/25/" TargetMode="External"/><Relationship Id="rId211" Type="http://schemas.openxmlformats.org/officeDocument/2006/relationships/hyperlink" Target="https://www.sterlinglawyers.com/illinois/locations/schaumburg/child-custody-lawyers/" TargetMode="External"/><Relationship Id="rId1046" Type="http://schemas.openxmlformats.org/officeDocument/2006/relationships/hyperlink" Target="https://www.sterlinglawyers.com/wisconsin/areas/walworth-county/elkhorn/" TargetMode="External"/><Relationship Id="rId2377" Type="http://schemas.openxmlformats.org/officeDocument/2006/relationships/hyperlink" Target="https://www.sterlinglawyers.com/wisconsin/attorneys/robert-keenan/reviews/page/16/" TargetMode="External"/><Relationship Id="rId210" Type="http://schemas.openxmlformats.org/officeDocument/2006/relationships/hyperlink" Target="https://www.sterlinglawyers.com/illinois/locations/schaumburg/uncontested-divorce-lawyers/" TargetMode="External"/><Relationship Id="rId1047" Type="http://schemas.openxmlformats.org/officeDocument/2006/relationships/hyperlink" Target="https://www.sterlinglawyers.com/wisconsin/areas/jefferson-county/" TargetMode="External"/><Relationship Id="rId2378" Type="http://schemas.openxmlformats.org/officeDocument/2006/relationships/hyperlink" Target="https://www.sterlinglawyers.com/illinois/attorneys/alexandra-isroff/reviews/page/26/" TargetMode="External"/><Relationship Id="rId249" Type="http://schemas.openxmlformats.org/officeDocument/2006/relationships/hyperlink" Target="https://www.sterlinglawyers.com/illinois/child-support/modify-orders/" TargetMode="External"/><Relationship Id="rId248" Type="http://schemas.openxmlformats.org/officeDocument/2006/relationships/hyperlink" Target="https://www.sterlinglawyers.com/illinois/child-support/enforce-orders/" TargetMode="External"/><Relationship Id="rId247" Type="http://schemas.openxmlformats.org/officeDocument/2006/relationships/hyperlink" Target="https://www.sterlinglawyers.com/illinois/child-support/divorce/" TargetMode="External"/><Relationship Id="rId1070" Type="http://schemas.openxmlformats.org/officeDocument/2006/relationships/hyperlink" Target="https://www.sterlinglawyers.com/wisconsin/divorce/what-if-my-spouse-does-not-want-a-divorce/" TargetMode="External"/><Relationship Id="rId1071" Type="http://schemas.openxmlformats.org/officeDocument/2006/relationships/hyperlink" Target="https://www.sterlinglawyers.com/wisconsin/divorce/helping-kids-deal-with-a-divorce-related-move/" TargetMode="External"/><Relationship Id="rId1072" Type="http://schemas.openxmlformats.org/officeDocument/2006/relationships/hyperlink" Target="https://www.sterlinglawyers.com/wisconsin/divorce/changing-your-passwords/" TargetMode="External"/><Relationship Id="rId242" Type="http://schemas.openxmlformats.org/officeDocument/2006/relationships/hyperlink" Target="https://www.sterlinglawyers.com/illinois/blog/naperville-attorney-compassion-divorce-mediation/" TargetMode="External"/><Relationship Id="rId1073" Type="http://schemas.openxmlformats.org/officeDocument/2006/relationships/hyperlink" Target="https://www.sterlinglawyers.com/wisconsin/divorce/addressing-unexpected-divorce-proceeding/" TargetMode="External"/><Relationship Id="rId241" Type="http://schemas.openxmlformats.org/officeDocument/2006/relationships/hyperlink" Target="https://www.sterlinglawyers.com/illinois/blog/finding-clarity-property-division-hoffman-estates/" TargetMode="External"/><Relationship Id="rId1074" Type="http://schemas.openxmlformats.org/officeDocument/2006/relationships/hyperlink" Target="https://www.sterlinglawyers.com/spousal-support/calculator/how-much-to-pay/" TargetMode="External"/><Relationship Id="rId240" Type="http://schemas.openxmlformats.org/officeDocument/2006/relationships/hyperlink" Target="https://www.sterlinglawyers.com/illinois/blog/steering-course-naperville-attorneys-role-military-divorce/" TargetMode="External"/><Relationship Id="rId1075" Type="http://schemas.openxmlformats.org/officeDocument/2006/relationships/hyperlink" Target="https://www.sterlinglawyers.com/wisconsin/blog/undertaking-family-law-terrain-mequon-spousal-support-lawyers/" TargetMode="External"/><Relationship Id="rId1076" Type="http://schemas.openxmlformats.org/officeDocument/2006/relationships/hyperlink" Target="https://www.sterlinglawyers.com/wisconsin/blog/strategic-approaches-contested-divorce-lawyer-rock-county/" TargetMode="External"/><Relationship Id="rId246" Type="http://schemas.openxmlformats.org/officeDocument/2006/relationships/hyperlink" Target="https://www.sterlinglawyers.com/illinois/attorneys/lea-diaz/reviews/page/22/" TargetMode="External"/><Relationship Id="rId1077" Type="http://schemas.openxmlformats.org/officeDocument/2006/relationships/hyperlink" Target="https://www.sterlinglawyers.com/wisconsin/blog/still-want-my-ex-back/" TargetMode="External"/><Relationship Id="rId245" Type="http://schemas.openxmlformats.org/officeDocument/2006/relationships/hyperlink" Target="https://www.sterlinglawyers.com/illinois/attorneys/lea-diaz/reviews/page/2/" TargetMode="External"/><Relationship Id="rId1078" Type="http://schemas.openxmlformats.org/officeDocument/2006/relationships/hyperlink" Target="https://www.sterlinglawyers.com/wisconsin/divorce/choosing-an-attorney/" TargetMode="External"/><Relationship Id="rId244" Type="http://schemas.openxmlformats.org/officeDocument/2006/relationships/hyperlink" Target="https://www.sterlinglawyers.com/illinois/child-support/end-orders/" TargetMode="External"/><Relationship Id="rId1079" Type="http://schemas.openxmlformats.org/officeDocument/2006/relationships/hyperlink" Target="https://www.sterlinglawyers.com/wisconsin/divorce/divorcing-a-high-conflict-personality-type/" TargetMode="External"/><Relationship Id="rId243" Type="http://schemas.openxmlformats.org/officeDocument/2006/relationships/hyperlink" Target="https://www.sterlinglawyers.com/illinois/blog/architecting-legal-triumphs-uncontested-divorce-schaumburg-lawyers/" TargetMode="External"/><Relationship Id="rId239" Type="http://schemas.openxmlformats.org/officeDocument/2006/relationships/hyperlink" Target="https://www.sterlinglawyers.com/illinois/blog/collaborative-divorce-naperville-smoothing-path/" TargetMode="External"/><Relationship Id="rId238" Type="http://schemas.openxmlformats.org/officeDocument/2006/relationships/hyperlink" Target="https://www.sterlinglawyers.com/illinois/blog/empowering-military-divorce-decisions-schaumburg-attorney/" TargetMode="External"/><Relationship Id="rId237" Type="http://schemas.openxmlformats.org/officeDocument/2006/relationships/hyperlink" Target="https://www.sterlinglawyers.com/illinois/blog/crafting-legal-solutions-contested-divorce-schaumburg/" TargetMode="External"/><Relationship Id="rId236" Type="http://schemas.openxmlformats.org/officeDocument/2006/relationships/hyperlink" Target="https://www.sterlinglawyers.com/illinois/blog/conquering-legal-maze-paternity-hoffman-estates/" TargetMode="External"/><Relationship Id="rId2390" Type="http://schemas.openxmlformats.org/officeDocument/2006/relationships/hyperlink" Target="https://www.sterlinglawyers.com/wisconsin/reviews/page/19/" TargetMode="External"/><Relationship Id="rId1060" Type="http://schemas.openxmlformats.org/officeDocument/2006/relationships/hyperlink" Target="https://www.sterlinglawyers.com/wisconsin/areas/dane-county/oregon/" TargetMode="External"/><Relationship Id="rId2391" Type="http://schemas.openxmlformats.org/officeDocument/2006/relationships/hyperlink" Target="https://www.sterlinglawyers.com/wisconsin/reviews/page/20/" TargetMode="External"/><Relationship Id="rId1061" Type="http://schemas.openxmlformats.org/officeDocument/2006/relationships/hyperlink" Target="https://www.sterlinglawyers.com/wisconsin/blog/key-considerations-fathers-seeking-custody-waukesha/" TargetMode="External"/><Relationship Id="rId2392" Type="http://schemas.openxmlformats.org/officeDocument/2006/relationships/hyperlink" Target="https://www.sterlinglawyers.com/wisconsin/reviews/page/21/" TargetMode="External"/><Relationship Id="rId231" Type="http://schemas.openxmlformats.org/officeDocument/2006/relationships/hyperlink" Target="https://www.sterlinglawyers.com/illinois/blog/deftly-steering-naperville-contested-divorce-procedures/" TargetMode="External"/><Relationship Id="rId1062" Type="http://schemas.openxmlformats.org/officeDocument/2006/relationships/hyperlink" Target="https://www.sterlinglawyers.com/wisconsin/blog/smoothing-the-path-divorce-mediation-beloit/" TargetMode="External"/><Relationship Id="rId2393" Type="http://schemas.openxmlformats.org/officeDocument/2006/relationships/hyperlink" Target="https://www.sterlinglawyers.com/meet-us/css-kelley-shaw/" TargetMode="External"/><Relationship Id="rId230" Type="http://schemas.openxmlformats.org/officeDocument/2006/relationships/hyperlink" Target="https://www.sterlinglawyers.com/illinois/blog/exploring-advocacy-paternity-laws-arlington-heights-attorney/" TargetMode="External"/><Relationship Id="rId1063" Type="http://schemas.openxmlformats.org/officeDocument/2006/relationships/hyperlink" Target="https://www.sterlinglawyers.com/wisconsin/blog/finding-solutions-paternity-challenges-legal-guidance-resolutions/" TargetMode="External"/><Relationship Id="rId2394" Type="http://schemas.openxmlformats.org/officeDocument/2006/relationships/hyperlink" Target="https://www.sterlinglawyers.com/blog/page/8/?et_blog" TargetMode="External"/><Relationship Id="rId1064" Type="http://schemas.openxmlformats.org/officeDocument/2006/relationships/hyperlink" Target="https://www.sterlinglawyers.com/wisconsin/locations/brookfield/child-support-lawyers/" TargetMode="External"/><Relationship Id="rId2395" Type="http://schemas.openxmlformats.org/officeDocument/2006/relationships/hyperlink" Target="https://www.sterlinglawyers.com/wisconsin/attorneys/kathleen-curran/reviews/page/20/" TargetMode="External"/><Relationship Id="rId1065" Type="http://schemas.openxmlformats.org/officeDocument/2006/relationships/hyperlink" Target="https://www.sterlinglawyers.com/wisconsin/blog/decoding-divorce-mediation-jefferson-county/" TargetMode="External"/><Relationship Id="rId2396" Type="http://schemas.openxmlformats.org/officeDocument/2006/relationships/hyperlink" Target="https://www.sterlinglawyers.com/wisconsin/reviews/page/18/" TargetMode="External"/><Relationship Id="rId235" Type="http://schemas.openxmlformats.org/officeDocument/2006/relationships/hyperlink" Target="https://www.sterlinglawyers.com/illinois/blog/preparedness-divorce-mediation-arlington-heights-attorney/" TargetMode="External"/><Relationship Id="rId1066" Type="http://schemas.openxmlformats.org/officeDocument/2006/relationships/hyperlink" Target="https://www.sterlinglawyers.com/wisconsin/blog/building-new-start-spousal-support-cases-oshkosh/" TargetMode="External"/><Relationship Id="rId2397" Type="http://schemas.openxmlformats.org/officeDocument/2006/relationships/hyperlink" Target="https://www.sterlinglawyers.com/illinois/attorneys/alexandra-isroff/reviews/page/23/" TargetMode="External"/><Relationship Id="rId234" Type="http://schemas.openxmlformats.org/officeDocument/2006/relationships/hyperlink" Target="https://www.sterlinglawyers.com/illinois/blog/page/2/?et_blog" TargetMode="External"/><Relationship Id="rId1067" Type="http://schemas.openxmlformats.org/officeDocument/2006/relationships/hyperlink" Target="https://www.sterlinglawyers.com/wisconsin/blog/securing-your-future-with-kenosha-spousal-support-lawyers/" TargetMode="External"/><Relationship Id="rId2398" Type="http://schemas.openxmlformats.org/officeDocument/2006/relationships/hyperlink" Target="https://www.sterlinglawyers.com/illinois/attorneys/alexandra-isroff/reviews/page/24/" TargetMode="External"/><Relationship Id="rId233" Type="http://schemas.openxmlformats.org/officeDocument/2006/relationships/hyperlink" Target="https://www.sterlinglawyers.com/illinois/blog/securing-future-evanston-spousal-support-disputes/" TargetMode="External"/><Relationship Id="rId1068" Type="http://schemas.openxmlformats.org/officeDocument/2006/relationships/hyperlink" Target="https://www.sterlinglawyers.com/wisconsin/blog/stability-in-child-custody-arrangements-baraboo-attorney/" TargetMode="External"/><Relationship Id="rId2399" Type="http://schemas.openxmlformats.org/officeDocument/2006/relationships/hyperlink" Target="https://www.sterlinglawyers.com/wisconsin/attorneys/ellen-rhodeman/reviews/page/19/" TargetMode="External"/><Relationship Id="rId232" Type="http://schemas.openxmlformats.org/officeDocument/2006/relationships/hyperlink" Target="https://www.sterlinglawyers.com/illinois/blog/sterling-lawyers-navigate-child-custody-arlington-heights/" TargetMode="External"/><Relationship Id="rId1069" Type="http://schemas.openxmlformats.org/officeDocument/2006/relationships/hyperlink" Target="https://www.sterlinglawyers.com/wisconsin/blog/protecting-your-future-with-mequon-uncontested-divorce-lawyers/" TargetMode="External"/><Relationship Id="rId1015" Type="http://schemas.openxmlformats.org/officeDocument/2006/relationships/hyperlink" Target="https://www.sterlinglawyers.com/wisconsin/areas/ozaukee-county/grafton/" TargetMode="External"/><Relationship Id="rId2346" Type="http://schemas.openxmlformats.org/officeDocument/2006/relationships/hyperlink" Target="https://www.sterlinglawyers.com/wisconsin/blog/page/10/?et_blog" TargetMode="External"/><Relationship Id="rId1016" Type="http://schemas.openxmlformats.org/officeDocument/2006/relationships/hyperlink" Target="https://www.sterlinglawyers.com/wisconsin/areas/richland-county/" TargetMode="External"/><Relationship Id="rId2347" Type="http://schemas.openxmlformats.org/officeDocument/2006/relationships/hyperlink" Target="https://www.sterlinglawyers.com/wisconsin/attorneys/michelle-gordon/reviews/page/20/" TargetMode="External"/><Relationship Id="rId1017" Type="http://schemas.openxmlformats.org/officeDocument/2006/relationships/hyperlink" Target="https://www.sterlinglawyers.com/wisconsin/areas/waukesha-county/summit/" TargetMode="External"/><Relationship Id="rId2348" Type="http://schemas.openxmlformats.org/officeDocument/2006/relationships/hyperlink" Target="https://www.sterlinglawyers.com/wisconsin/attorneys/michelle-gordon/reviews/page/21/" TargetMode="External"/><Relationship Id="rId1018" Type="http://schemas.openxmlformats.org/officeDocument/2006/relationships/hyperlink" Target="https://www.sterlinglawyers.com/wisconsin/areas/outagamie-county/kaukauna/" TargetMode="External"/><Relationship Id="rId2349" Type="http://schemas.openxmlformats.org/officeDocument/2006/relationships/hyperlink" Target="https://www.sterlinglawyers.com/wisconsin/attorneys/tiffany-vogel/reviews/page/17/" TargetMode="External"/><Relationship Id="rId1019" Type="http://schemas.openxmlformats.org/officeDocument/2006/relationships/hyperlink" Target="https://www.sterlinglawyers.com/wisconsin/areas/brown-county/allouez/" TargetMode="External"/><Relationship Id="rId2340" Type="http://schemas.openxmlformats.org/officeDocument/2006/relationships/hyperlink" Target="https://www.sterlinglawyers.com/illinois/attorneys/nina-kelly/reviews/page/20/" TargetMode="External"/><Relationship Id="rId1010" Type="http://schemas.openxmlformats.org/officeDocument/2006/relationships/hyperlink" Target="https://www.sterlinglawyers.com/wisconsin/areas/racine-county/caledonia/" TargetMode="External"/><Relationship Id="rId2341" Type="http://schemas.openxmlformats.org/officeDocument/2006/relationships/hyperlink" Target="https://www.sterlinglawyers.com/illinois/attorneys/nina-kelly/reviews/page/21/" TargetMode="External"/><Relationship Id="rId1011" Type="http://schemas.openxmlformats.org/officeDocument/2006/relationships/hyperlink" Target="https://www.sterlinglawyers.com/wisconsin/areas/dane-county/verona/" TargetMode="External"/><Relationship Id="rId2342" Type="http://schemas.openxmlformats.org/officeDocument/2006/relationships/hyperlink" Target="https://www.sterlinglawyers.com/wisconsin/reviews/page/213/" TargetMode="External"/><Relationship Id="rId1012" Type="http://schemas.openxmlformats.org/officeDocument/2006/relationships/hyperlink" Target="https://www.sterlinglawyers.com/wisconsin/areas/sauk-county/reedsburg/" TargetMode="External"/><Relationship Id="rId2343" Type="http://schemas.openxmlformats.org/officeDocument/2006/relationships/hyperlink" Target="https://www.sterlinglawyers.com/wisconsin/attorneys/michelle-gordon/reviews/page/16/" TargetMode="External"/><Relationship Id="rId1013" Type="http://schemas.openxmlformats.org/officeDocument/2006/relationships/hyperlink" Target="https://www.sterlinglawyers.com/wisconsin/areas/waukesha-county/delafield/" TargetMode="External"/><Relationship Id="rId2344" Type="http://schemas.openxmlformats.org/officeDocument/2006/relationships/hyperlink" Target="https://www.sterlinglawyers.com/wisconsin/attorneys/holly-mullin/reviews/page/37/" TargetMode="External"/><Relationship Id="rId1014" Type="http://schemas.openxmlformats.org/officeDocument/2006/relationships/hyperlink" Target="https://www.sterlinglawyers.com/wisconsin/areas/chippewa-county/" TargetMode="External"/><Relationship Id="rId2345" Type="http://schemas.openxmlformats.org/officeDocument/2006/relationships/hyperlink" Target="https://www.sterlinglawyers.com/wisconsin/attorneys/nikole-messerschmidt/reviews/page/39/" TargetMode="External"/><Relationship Id="rId1004" Type="http://schemas.openxmlformats.org/officeDocument/2006/relationships/hyperlink" Target="https://www.sterlinglawyers.com/wisconsin/areas/dane-county/fitchburg/" TargetMode="External"/><Relationship Id="rId2335" Type="http://schemas.openxmlformats.org/officeDocument/2006/relationships/hyperlink" Target="https://www.sterlinglawyers.com/illinois/attorneys/nina-kelly/reviews/page/27/" TargetMode="External"/><Relationship Id="rId1005" Type="http://schemas.openxmlformats.org/officeDocument/2006/relationships/hyperlink" Target="https://www.sterlinglawyers.com/wisconsin/areas/manitowoc-county/" TargetMode="External"/><Relationship Id="rId2336" Type="http://schemas.openxmlformats.org/officeDocument/2006/relationships/hyperlink" Target="https://www.sterlinglawyers.com/reviews/page/19/" TargetMode="External"/><Relationship Id="rId1006" Type="http://schemas.openxmlformats.org/officeDocument/2006/relationships/hyperlink" Target="https://www.sterlinglawyers.com/wisconsin/areas/waupaca-county/waupaca/" TargetMode="External"/><Relationship Id="rId2337" Type="http://schemas.openxmlformats.org/officeDocument/2006/relationships/hyperlink" Target="https://www.sterlinglawyers.com/reviews/page/212/" TargetMode="External"/><Relationship Id="rId1007" Type="http://schemas.openxmlformats.org/officeDocument/2006/relationships/hyperlink" Target="https://www.sterlinglawyers.com/wisconsin/areas/chippewa-county/chippewa-falls/" TargetMode="External"/><Relationship Id="rId2338" Type="http://schemas.openxmlformats.org/officeDocument/2006/relationships/hyperlink" Target="https://www.sterlinglawyers.com/news/page/5/?et_blog" TargetMode="External"/><Relationship Id="rId1008" Type="http://schemas.openxmlformats.org/officeDocument/2006/relationships/hyperlink" Target="https://www.sterlinglawyers.com/wisconsin/areas/brown-county/de-pere/" TargetMode="External"/><Relationship Id="rId2339" Type="http://schemas.openxmlformats.org/officeDocument/2006/relationships/hyperlink" Target="https://www.sterlinglawyers.com/reviews/page/21/" TargetMode="External"/><Relationship Id="rId1009" Type="http://schemas.openxmlformats.org/officeDocument/2006/relationships/hyperlink" Target="https://www.sterlinglawyers.com/wisconsin/areas/washington-county/jackson/" TargetMode="External"/><Relationship Id="rId2330" Type="http://schemas.openxmlformats.org/officeDocument/2006/relationships/hyperlink" Target="https://www.sterlinglawyers.com/illinois/reviews/page/212/" TargetMode="External"/><Relationship Id="rId1000" Type="http://schemas.openxmlformats.org/officeDocument/2006/relationships/hyperlink" Target="https://www.sterlinglawyers.com/wisconsin/areas/portage-county/plover/" TargetMode="External"/><Relationship Id="rId2331" Type="http://schemas.openxmlformats.org/officeDocument/2006/relationships/hyperlink" Target="https://www.sterlinglawyers.com/illinois/reviews/page/20/" TargetMode="External"/><Relationship Id="rId1001" Type="http://schemas.openxmlformats.org/officeDocument/2006/relationships/hyperlink" Target="https://www.sterlinglawyers.com/wisconsin/areas/outagamie-county/grand-chute/" TargetMode="External"/><Relationship Id="rId2332" Type="http://schemas.openxmlformats.org/officeDocument/2006/relationships/hyperlink" Target="https://www.sterlinglawyers.com/illinois/reviews/page/21/" TargetMode="External"/><Relationship Id="rId1002" Type="http://schemas.openxmlformats.org/officeDocument/2006/relationships/hyperlink" Target="https://www.sterlinglawyers.com/wisconsin/areas/ashland-county/ashland/" TargetMode="External"/><Relationship Id="rId2333" Type="http://schemas.openxmlformats.org/officeDocument/2006/relationships/hyperlink" Target="https://www.sterlinglawyers.com/illinois/attorneys/nina-kelly/reviews/page/28/" TargetMode="External"/><Relationship Id="rId1003" Type="http://schemas.openxmlformats.org/officeDocument/2006/relationships/hyperlink" Target="https://www.sterlinglawyers.com/wisconsin/areas/buffalo-county/" TargetMode="External"/><Relationship Id="rId2334" Type="http://schemas.openxmlformats.org/officeDocument/2006/relationships/hyperlink" Target="https://www.sterlinglawyers.com/wisconsin/blog/page/9/?et_blog" TargetMode="External"/><Relationship Id="rId1037" Type="http://schemas.openxmlformats.org/officeDocument/2006/relationships/hyperlink" Target="https://www.sterlinglawyers.com/wisconsin/areas/waukesha-county/oconomowoc/" TargetMode="External"/><Relationship Id="rId2368" Type="http://schemas.openxmlformats.org/officeDocument/2006/relationships/hyperlink" Target="https://www.sterlinglawyers.com/wisconsin/attorneys/tiffany-vogel/reviews/page/36/" TargetMode="External"/><Relationship Id="rId1038" Type="http://schemas.openxmlformats.org/officeDocument/2006/relationships/hyperlink" Target="https://www.sterlinglawyers.com/wisconsin/areas/milwaukee-county/" TargetMode="External"/><Relationship Id="rId2369" Type="http://schemas.openxmlformats.org/officeDocument/2006/relationships/hyperlink" Target="https://www.sterlinglawyers.com/wisconsin/attorneys/kathleen-curran/reviews/page/16/" TargetMode="External"/><Relationship Id="rId1039" Type="http://schemas.openxmlformats.org/officeDocument/2006/relationships/hyperlink" Target="https://www.sterlinglawyers.com/wisconsin/areas/ashland-county/" TargetMode="External"/><Relationship Id="rId206" Type="http://schemas.openxmlformats.org/officeDocument/2006/relationships/hyperlink" Target="https://www.sterlinglawyers.com/illinois/locations/schaumburg/paternity-lawyers/" TargetMode="External"/><Relationship Id="rId205" Type="http://schemas.openxmlformats.org/officeDocument/2006/relationships/hyperlink" Target="https://www.sterlinglawyers.com/illinois/property-division/how/" TargetMode="External"/><Relationship Id="rId204" Type="http://schemas.openxmlformats.org/officeDocument/2006/relationships/hyperlink" Target="https://www.sterlinglawyers.com/illinois/attorneys" TargetMode="External"/><Relationship Id="rId203" Type="http://schemas.openxmlformats.org/officeDocument/2006/relationships/hyperlink" Target="https://www.sterlinglawyers.com/wisconsin/events/" TargetMode="External"/><Relationship Id="rId209" Type="http://schemas.openxmlformats.org/officeDocument/2006/relationships/hyperlink" Target="https://www.sterlinglawyers.com/illinois/divorce/common-law-marriage/" TargetMode="External"/><Relationship Id="rId208" Type="http://schemas.openxmlformats.org/officeDocument/2006/relationships/hyperlink" Target="https://www.sterlinglawyers.com/illinois/locations/schaumburg/divorce-mediation-lawyers/" TargetMode="External"/><Relationship Id="rId207" Type="http://schemas.openxmlformats.org/officeDocument/2006/relationships/hyperlink" Target="https://www.sterlinglawyers.com/illinois/blog/prioritizing-children-welfare-custody-battles-schaumburg/" TargetMode="External"/><Relationship Id="rId2360" Type="http://schemas.openxmlformats.org/officeDocument/2006/relationships/hyperlink" Target="https://www.sterlinglawyers.com/wisconsin/attorneys/jeffrey-morrell/reviews/page/17/" TargetMode="External"/><Relationship Id="rId1030" Type="http://schemas.openxmlformats.org/officeDocument/2006/relationships/hyperlink" Target="https://www.sterlinglawyers.com/wisconsin/areas/dodge-county/" TargetMode="External"/><Relationship Id="rId2361" Type="http://schemas.openxmlformats.org/officeDocument/2006/relationships/hyperlink" Target="https://www.sterlinglawyers.com/wisconsin/attorneys/robert-keenan/reviews/page/17/" TargetMode="External"/><Relationship Id="rId1031" Type="http://schemas.openxmlformats.org/officeDocument/2006/relationships/hyperlink" Target="https://www.sterlinglawyers.com/wisconsin/areas/portage-county/stevens-point/" TargetMode="External"/><Relationship Id="rId2362" Type="http://schemas.openxmlformats.org/officeDocument/2006/relationships/hyperlink" Target="https://www.sterlinglawyers.com/wisconsin/attorneys/austin-miller/reviews/page/17/" TargetMode="External"/><Relationship Id="rId1032" Type="http://schemas.openxmlformats.org/officeDocument/2006/relationships/hyperlink" Target="https://www.sterlinglawyers.com/wisconsin/areas/kenosha-county/" TargetMode="External"/><Relationship Id="rId2363" Type="http://schemas.openxmlformats.org/officeDocument/2006/relationships/hyperlink" Target="https://www.sterlinglawyers.com/wisconsin/attorneys/michelle-gordon/reviews/page/17/" TargetMode="External"/><Relationship Id="rId202" Type="http://schemas.openxmlformats.org/officeDocument/2006/relationships/hyperlink" Target="https://www.sterlinglawyers.com/wisconsin/locations/beaver-dam/" TargetMode="External"/><Relationship Id="rId1033" Type="http://schemas.openxmlformats.org/officeDocument/2006/relationships/hyperlink" Target="https://www.sterlinglawyers.com/wisconsin/areas/oneida-county/rhinelander/" TargetMode="External"/><Relationship Id="rId2364" Type="http://schemas.openxmlformats.org/officeDocument/2006/relationships/hyperlink" Target="https://www.sterlinglawyers.com/wisconsin/attorneys/nikole-messerschmidt/reviews/page/17/" TargetMode="External"/><Relationship Id="rId201" Type="http://schemas.openxmlformats.org/officeDocument/2006/relationships/hyperlink" Target="https://www.sterlinglawyers.com/wisconsin/faq/" TargetMode="External"/><Relationship Id="rId1034" Type="http://schemas.openxmlformats.org/officeDocument/2006/relationships/hyperlink" Target="https://www.sterlinglawyers.com/wisconsin/areas/ozaukee-county/port-washington/" TargetMode="External"/><Relationship Id="rId2365" Type="http://schemas.openxmlformats.org/officeDocument/2006/relationships/hyperlink" Target="https://www.sterlinglawyers.com/wisconsin/attorneys/jack-braaten/reviews/page/16/" TargetMode="External"/><Relationship Id="rId200" Type="http://schemas.openxmlformats.org/officeDocument/2006/relationships/hyperlink" Target="https://www.sterlinglawyers.com/wisconsin/locations/west-bend/" TargetMode="External"/><Relationship Id="rId1035" Type="http://schemas.openxmlformats.org/officeDocument/2006/relationships/hyperlink" Target="https://www.sterlinglawyers.com/wisconsin/areas/milwaukee-county/fox-point/" TargetMode="External"/><Relationship Id="rId2366" Type="http://schemas.openxmlformats.org/officeDocument/2006/relationships/hyperlink" Target="https://www.sterlinglawyers.com/wisconsin/attorneys/holly-mullin/reviews/page/16/" TargetMode="External"/><Relationship Id="rId1036" Type="http://schemas.openxmlformats.org/officeDocument/2006/relationships/hyperlink" Target="https://www.sterlinglawyers.com/wisconsin/areas/waukesha-county/lisbon/" TargetMode="External"/><Relationship Id="rId2367" Type="http://schemas.openxmlformats.org/officeDocument/2006/relationships/hyperlink" Target="https://www.sterlinglawyers.com/wisconsin/attorneys/holly-mullin/reviews/page/17/" TargetMode="External"/><Relationship Id="rId1026" Type="http://schemas.openxmlformats.org/officeDocument/2006/relationships/hyperlink" Target="https://www.sterlinglawyers.com/wisconsin/areas/lafayette-county/" TargetMode="External"/><Relationship Id="rId2357" Type="http://schemas.openxmlformats.org/officeDocument/2006/relationships/hyperlink" Target="https://www.sterlinglawyers.com/wisconsin/attorneys/holly-mullin/reviews/page/36/" TargetMode="External"/><Relationship Id="rId1027" Type="http://schemas.openxmlformats.org/officeDocument/2006/relationships/hyperlink" Target="https://www.sterlinglawyers.com/wisconsin/areas/pierce-county/river-falls/" TargetMode="External"/><Relationship Id="rId2358" Type="http://schemas.openxmlformats.org/officeDocument/2006/relationships/hyperlink" Target="https://www.sterlinglawyers.com/wisconsin/attorneys/jeffrey-morrell/reviews/page/61/" TargetMode="External"/><Relationship Id="rId1028" Type="http://schemas.openxmlformats.org/officeDocument/2006/relationships/hyperlink" Target="https://www.sterlinglawyers.com/wisconsin/areas/clark-county/" TargetMode="External"/><Relationship Id="rId2359" Type="http://schemas.openxmlformats.org/officeDocument/2006/relationships/hyperlink" Target="https://www.sterlinglawyers.com/wisconsin/attorneys/jeffrey-morrell/reviews/page/16/" TargetMode="External"/><Relationship Id="rId1029" Type="http://schemas.openxmlformats.org/officeDocument/2006/relationships/hyperlink" Target="https://www.sterlinglawyers.com/wisconsin/areas/racine-county/burlington/" TargetMode="External"/><Relationship Id="rId2350" Type="http://schemas.openxmlformats.org/officeDocument/2006/relationships/hyperlink" Target="https://www.sterlinglawyers.com/wisconsin/attorneys/nikole-messerschmidt/reviews/page/16/" TargetMode="External"/><Relationship Id="rId1020" Type="http://schemas.openxmlformats.org/officeDocument/2006/relationships/hyperlink" Target="https://www.sterlinglawyers.com/wisconsin/areas/kenosha-county/somers/" TargetMode="External"/><Relationship Id="rId2351" Type="http://schemas.openxmlformats.org/officeDocument/2006/relationships/hyperlink" Target="https://www.sterlinglawyers.com/wisconsin/attorneys/tiffany-vogel/reviews/page/35/" TargetMode="External"/><Relationship Id="rId1021" Type="http://schemas.openxmlformats.org/officeDocument/2006/relationships/hyperlink" Target="https://www.sterlinglawyers.com/wisconsin/areas/price-county/" TargetMode="External"/><Relationship Id="rId2352" Type="http://schemas.openxmlformats.org/officeDocument/2006/relationships/hyperlink" Target="https://www.sterlinglawyers.com/wisconsin/attorneys/tiffany-vogel/reviews/page/16/" TargetMode="External"/><Relationship Id="rId1022" Type="http://schemas.openxmlformats.org/officeDocument/2006/relationships/hyperlink" Target="https://www.sterlinglawyers.com/wisconsin/areas/la-crosse-county/" TargetMode="External"/><Relationship Id="rId2353" Type="http://schemas.openxmlformats.org/officeDocument/2006/relationships/hyperlink" Target="https://www.sterlinglawyers.com/wisconsin/attorneys/nikole-messerschmidt/reviews/page/40/" TargetMode="External"/><Relationship Id="rId1023" Type="http://schemas.openxmlformats.org/officeDocument/2006/relationships/hyperlink" Target="https://www.sterlinglawyers.com/wisconsin/areas/eau-claire-county/eau-claire/" TargetMode="External"/><Relationship Id="rId2354" Type="http://schemas.openxmlformats.org/officeDocument/2006/relationships/hyperlink" Target="https://www.sterlinglawyers.com/wisconsin/attorneys/robert-keenan/reviews/page/25/" TargetMode="External"/><Relationship Id="rId1024" Type="http://schemas.openxmlformats.org/officeDocument/2006/relationships/hyperlink" Target="https://www.sterlinglawyers.com/wisconsin/areas/jefferson-county/watertown/" TargetMode="External"/><Relationship Id="rId2355" Type="http://schemas.openxmlformats.org/officeDocument/2006/relationships/hyperlink" Target="https://www.sterlinglawyers.com/wisconsin/attorneys/robert-keenan/reviews/page/24/" TargetMode="External"/><Relationship Id="rId1025" Type="http://schemas.openxmlformats.org/officeDocument/2006/relationships/hyperlink" Target="https://www.sterlinglawyers.com/wisconsin/areas/jefferson-county/whitewater/" TargetMode="External"/><Relationship Id="rId2356" Type="http://schemas.openxmlformats.org/officeDocument/2006/relationships/hyperlink" Target="https://www.sterlinglawyers.com/wisconsin/attorneys/jeffrey-morrell/reviews/page/60/" TargetMode="External"/><Relationship Id="rId1910" Type="http://schemas.openxmlformats.org/officeDocument/2006/relationships/hyperlink" Target="https://www.sterlinglawyers.com/illinois/attorneys/alexandra-isroff/reviews/page/36/" TargetMode="External"/><Relationship Id="rId1911" Type="http://schemas.openxmlformats.org/officeDocument/2006/relationships/hyperlink" Target="https://www.sterlinglawyers.com/illinois/attorneys/alexandra-isroff/reviews/page/35/" TargetMode="External"/><Relationship Id="rId1912" Type="http://schemas.openxmlformats.org/officeDocument/2006/relationships/hyperlink" Target="https://www.sterlinglawyers.com/wisconsin/attorneys/jeff-hughes/reviews/page/9/" TargetMode="External"/><Relationship Id="rId1913" Type="http://schemas.openxmlformats.org/officeDocument/2006/relationships/hyperlink" Target="https://www.sterlinglawyers.com/wisconsin/attorneys/jeff-hughes/reviews/page/10/" TargetMode="External"/><Relationship Id="rId1914" Type="http://schemas.openxmlformats.org/officeDocument/2006/relationships/hyperlink" Target="https://www.sterlinglawyers.com/wisconsin/attorneys/jeff-hughes/reviews/page/7/" TargetMode="External"/><Relationship Id="rId1915" Type="http://schemas.openxmlformats.org/officeDocument/2006/relationships/hyperlink" Target="https://www.sterlinglawyers.com/wisconsin/attorneys/jeff-hughes/reviews/page/6/" TargetMode="External"/><Relationship Id="rId1916" Type="http://schemas.openxmlformats.org/officeDocument/2006/relationships/hyperlink" Target="https://www.sterlinglawyers.com/wisconsin/attorneys/bailey-holt/reviews/page/21/" TargetMode="External"/><Relationship Id="rId1917" Type="http://schemas.openxmlformats.org/officeDocument/2006/relationships/hyperlink" Target="https://www.sterlinglawyers.com/wisconsin/attorneys/austin-miller/reviews/page/7/" TargetMode="External"/><Relationship Id="rId1918" Type="http://schemas.openxmlformats.org/officeDocument/2006/relationships/hyperlink" Target="https://www.sterlinglawyers.com/wisconsin/attorneys/bailey-holt/reviews/page/22/" TargetMode="External"/><Relationship Id="rId1919" Type="http://schemas.openxmlformats.org/officeDocument/2006/relationships/hyperlink" Target="https://www.sterlinglawyers.com/wisconsin/reviews/page/9/" TargetMode="External"/><Relationship Id="rId1900" Type="http://schemas.openxmlformats.org/officeDocument/2006/relationships/hyperlink" Target="https://www.sterlinglawyers.com/wisconsin/reviews/page/223/" TargetMode="External"/><Relationship Id="rId1901" Type="http://schemas.openxmlformats.org/officeDocument/2006/relationships/hyperlink" Target="https://www.sterlinglawyers.com/wisconsin/reviews/page/224/" TargetMode="External"/><Relationship Id="rId1902" Type="http://schemas.openxmlformats.org/officeDocument/2006/relationships/hyperlink" Target="https://www.sterlinglawyers.com/illinois/attorneys/katie-vandeusen/reviews/page/10/" TargetMode="External"/><Relationship Id="rId1903" Type="http://schemas.openxmlformats.org/officeDocument/2006/relationships/hyperlink" Target="https://www.sterlinglawyers.com/wisconsin/divorce/dealing-with-emotional-pain/_wp_link_placeholder/" TargetMode="External"/><Relationship Id="rId1904" Type="http://schemas.openxmlformats.org/officeDocument/2006/relationships/hyperlink" Target="https://www.sterlinglawyers.com/illinois/attorneys/katie-vandeusen/reviews/page/11/" TargetMode="External"/><Relationship Id="rId1905" Type="http://schemas.openxmlformats.org/officeDocument/2006/relationships/hyperlink" Target="https://www.sterlinglawyers.com/property-division/hidden-assets/" TargetMode="External"/><Relationship Id="rId1906" Type="http://schemas.openxmlformats.org/officeDocument/2006/relationships/hyperlink" Target="https://www.sterlinglawyers.com/dirty-divorce-tricks/" TargetMode="External"/><Relationship Id="rId1907" Type="http://schemas.openxmlformats.org/officeDocument/2006/relationships/hyperlink" Target="https://www.sterlinglawyers.com/wisconsin/dirty-divorce-tricks/quitting-avoid-support/" TargetMode="External"/><Relationship Id="rId1908" Type="http://schemas.openxmlformats.org/officeDocument/2006/relationships/hyperlink" Target="https://www.sterlinglawyers.com/case-law/documents-needed-divorce/" TargetMode="External"/><Relationship Id="rId1909" Type="http://schemas.openxmlformats.org/officeDocument/2006/relationships/hyperlink" Target="https://www.sterlinglawyers.com/illinois/attorneys/katie-vandeusen/reviews/page/22/" TargetMode="External"/><Relationship Id="rId1090" Type="http://schemas.openxmlformats.org/officeDocument/2006/relationships/hyperlink" Target="https://www.sterlinglawyers.com/divorce/documenting-agreements/" TargetMode="External"/><Relationship Id="rId1091" Type="http://schemas.openxmlformats.org/officeDocument/2006/relationships/hyperlink" Target="https://www.sterlinglawyers.com/illinois/attorneys/katie-vandeusen/reviews/page/26/" TargetMode="External"/><Relationship Id="rId1092" Type="http://schemas.openxmlformats.org/officeDocument/2006/relationships/hyperlink" Target="https://www.sterlinglawyers.com/illinois/attorneys/katie-vandeusen/reviews/page/6/" TargetMode="External"/><Relationship Id="rId1093" Type="http://schemas.openxmlformats.org/officeDocument/2006/relationships/hyperlink" Target="https://www.sterlinglawyers.com/illinois/child-support/paternity/" TargetMode="External"/><Relationship Id="rId1094" Type="http://schemas.openxmlformats.org/officeDocument/2006/relationships/hyperlink" Target="https://www.sterlinglawyers.com/reviews/page/6/" TargetMode="External"/><Relationship Id="rId1095" Type="http://schemas.openxmlformats.org/officeDocument/2006/relationships/hyperlink" Target="https://www.sterlinglawyers.com/reviews/page/227/" TargetMode="External"/><Relationship Id="rId1096" Type="http://schemas.openxmlformats.org/officeDocument/2006/relationships/hyperlink" Target="https://www.sterlinglawyers.com/illinois/attorneys/alexandra-isroff/reviews/page/7/" TargetMode="External"/><Relationship Id="rId1097" Type="http://schemas.openxmlformats.org/officeDocument/2006/relationships/hyperlink" Target="https://www.sterlinglawyers.com/illinois/attorneys/alexandra-isroff/reviews/page/6/" TargetMode="External"/><Relationship Id="rId1098" Type="http://schemas.openxmlformats.org/officeDocument/2006/relationships/hyperlink" Target="https://www.sterlinglawyers.com/reviews/page/226/" TargetMode="External"/><Relationship Id="rId1099" Type="http://schemas.openxmlformats.org/officeDocument/2006/relationships/hyperlink" Target="https://www.sterlinglawyers.com/reviews/page/7/" TargetMode="External"/><Relationship Id="rId1080" Type="http://schemas.openxmlformats.org/officeDocument/2006/relationships/hyperlink" Target="https://www.sterlinglawyers.com/wisconsin/reviews/page/230/" TargetMode="External"/><Relationship Id="rId1081" Type="http://schemas.openxmlformats.org/officeDocument/2006/relationships/hyperlink" Target="https://www.sterlinglawyers.com/wisconsin/reviews/page/4/" TargetMode="External"/><Relationship Id="rId1082" Type="http://schemas.openxmlformats.org/officeDocument/2006/relationships/hyperlink" Target="https://www.sterlinglawyers.com/wisconsin/divorce/counseling-or-divorce/" TargetMode="External"/><Relationship Id="rId1083" Type="http://schemas.openxmlformats.org/officeDocument/2006/relationships/hyperlink" Target="https://www.sterlinglawyers.com/wisconsin/reviews/page/5/" TargetMode="External"/><Relationship Id="rId1084" Type="http://schemas.openxmlformats.org/officeDocument/2006/relationships/hyperlink" Target="https://www.sterlinglawyers.com/wisconsin/divorce/venus-v-mars-avoiding-war-worlds/" TargetMode="External"/><Relationship Id="rId1085" Type="http://schemas.openxmlformats.org/officeDocument/2006/relationships/hyperlink" Target="https://www.sterlinglawyers.com/wisconsin/divorce/forms" TargetMode="External"/><Relationship Id="rId1086" Type="http://schemas.openxmlformats.org/officeDocument/2006/relationships/hyperlink" Target="https://www.sterlinglawyers.com/illinois/divorce/forms" TargetMode="External"/><Relationship Id="rId1087" Type="http://schemas.openxmlformats.org/officeDocument/2006/relationships/hyperlink" Target="https://www.sterlinglawyers.com/blog/what-is-the-process-of-property-division-in-wisconsin/" TargetMode="External"/><Relationship Id="rId1088" Type="http://schemas.openxmlformats.org/officeDocument/2006/relationships/hyperlink" Target="https://www.sterlinglawyers.com/case-law/agree-to-divorce/" TargetMode="External"/><Relationship Id="rId1089" Type="http://schemas.openxmlformats.org/officeDocument/2006/relationships/hyperlink" Target="https://www.sterlinglawyers.com/illinois/divorce/documenting-agreements/" TargetMode="External"/><Relationship Id="rId1972" Type="http://schemas.openxmlformats.org/officeDocument/2006/relationships/hyperlink" Target="https://www.sterlinglawyers.com/case-law/cohabitating-adjust-alimony/" TargetMode="External"/><Relationship Id="rId1973" Type="http://schemas.openxmlformats.org/officeDocument/2006/relationships/hyperlink" Target="https://www.sterlinglawyers.com/wisconsin/attorneys/robert-keenan/reviews/page/8/" TargetMode="External"/><Relationship Id="rId1974" Type="http://schemas.openxmlformats.org/officeDocument/2006/relationships/hyperlink" Target="https://www.sterlinglawyers.com/wisconsin/attorneys/robert-keenan/reviews/page/9/" TargetMode="External"/><Relationship Id="rId1975" Type="http://schemas.openxmlformats.org/officeDocument/2006/relationships/hyperlink" Target="https://www.sterlinglawyers.com/wisconsin/attorneys/michelle-gordon/reviews/page/8/" TargetMode="External"/><Relationship Id="rId1976" Type="http://schemas.openxmlformats.org/officeDocument/2006/relationships/hyperlink" Target="https://www.sterlinglawyers.com/wisconsin/attorneys/michelle-gordon/reviews/page/9/" TargetMode="External"/><Relationship Id="rId1977" Type="http://schemas.openxmlformats.org/officeDocument/2006/relationships/hyperlink" Target="https://www.sterlinglawyers.com/wisconsin/attorneys/michelle-gordon/reviews/page/29/" TargetMode="External"/><Relationship Id="rId1978" Type="http://schemas.openxmlformats.org/officeDocument/2006/relationships/hyperlink" Target="https://www.sterlinglawyers.com/wisconsin/attorneys/holly-mullin/reviews/page/44/" TargetMode="External"/><Relationship Id="rId1979" Type="http://schemas.openxmlformats.org/officeDocument/2006/relationships/hyperlink" Target="https://www.sterlinglawyers.com/wisconsin/blog/page/6/?et_blog" TargetMode="External"/><Relationship Id="rId1970" Type="http://schemas.openxmlformats.org/officeDocument/2006/relationships/hyperlink" Target="https://www.sterlinglawyers.com/wisconsin/areas/ozaukee-county/mequon/" TargetMode="External"/><Relationship Id="rId1971" Type="http://schemas.openxmlformats.org/officeDocument/2006/relationships/hyperlink" Target="https://www.sterlinglawyers.com/illinois/attorneys/lea-diaz/reviews/page/12/" TargetMode="External"/><Relationship Id="rId1961" Type="http://schemas.openxmlformats.org/officeDocument/2006/relationships/hyperlink" Target="https://www.sterlinglawyers.com/illinois/blog/evanston-property-division-skilled-legal-counsel/" TargetMode="External"/><Relationship Id="rId1962" Type="http://schemas.openxmlformats.org/officeDocument/2006/relationships/hyperlink" Target="https://www.sterlinglawyers.com/illinois/blog/cook-county-paternity-disputes-legal-representation-importance/" TargetMode="External"/><Relationship Id="rId1963" Type="http://schemas.openxmlformats.org/officeDocument/2006/relationships/hyperlink" Target="https://www.sterlinglawyers.com/illinois/blog/evanston-divorce-mediation-lawyers-bring-families-together/" TargetMode="External"/><Relationship Id="rId1964" Type="http://schemas.openxmlformats.org/officeDocument/2006/relationships/hyperlink" Target="https://www.sterlinglawyers.com/illinois/blog/spouse-wants-everything-schaumburg-contested-divorce/" TargetMode="External"/><Relationship Id="rId1965" Type="http://schemas.openxmlformats.org/officeDocument/2006/relationships/hyperlink" Target="https://www.sterlinglawyers.com/illinois/blog/hoffman-estates-paternity-judgments-misrepresentation-overturn/" TargetMode="External"/><Relationship Id="rId1966" Type="http://schemas.openxmlformats.org/officeDocument/2006/relationships/hyperlink" Target="https://sterlinglawyers.com/illinois/attorneys/jessica-naples/" TargetMode="External"/><Relationship Id="rId1967" Type="http://schemas.openxmlformats.org/officeDocument/2006/relationships/hyperlink" Target="https://www.sterlinglawyers.com/illinois/blog/peace-of-mind-child-support-process-evanston/" TargetMode="External"/><Relationship Id="rId1968" Type="http://schemas.openxmlformats.org/officeDocument/2006/relationships/hyperlink" Target="https://www.sterlinglawyers.com/wisconsin/property-division/property-division-community-property-vs-equitable-distribution/" TargetMode="External"/><Relationship Id="rId1969" Type="http://schemas.openxmlformats.org/officeDocument/2006/relationships/hyperlink" Target="https://www.sterlinglawyers.com/illinois/reviews/page/13/" TargetMode="External"/><Relationship Id="rId1960" Type="http://schemas.openxmlformats.org/officeDocument/2006/relationships/hyperlink" Target="https://www.sterlinglawyers.com/illinois/blog/breaking-free-hoffman-estates-uncontested-divorce-lawyers/" TargetMode="External"/><Relationship Id="rId1994" Type="http://schemas.openxmlformats.org/officeDocument/2006/relationships/hyperlink" Target="https://www.sterlinglawyers.com/wisconsin/attorneys/robert-keenan/reviews/page/32/" TargetMode="External"/><Relationship Id="rId1995" Type="http://schemas.openxmlformats.org/officeDocument/2006/relationships/hyperlink" Target="https://www.sterlinglawyers.com/wisconsin/attorneys/michelle-gordon/reviews/page/28/" TargetMode="External"/><Relationship Id="rId1996" Type="http://schemas.openxmlformats.org/officeDocument/2006/relationships/hyperlink" Target="https://www.sterlinglawyers.com/wisconsin/attorneys/holly-mullin/reviews/page/8/" TargetMode="External"/><Relationship Id="rId1997" Type="http://schemas.openxmlformats.org/officeDocument/2006/relationships/hyperlink" Target="https://www.sterlinglawyers.com/wisconsin/attorneys/jeffrey-morrell/reviews/page/68/" TargetMode="External"/><Relationship Id="rId1998" Type="http://schemas.openxmlformats.org/officeDocument/2006/relationships/hyperlink" Target="https://www.sterlinglawyers.com/wisconsin/attorneys/jeffrey-morrell/reviews/page/69/" TargetMode="External"/><Relationship Id="rId1999" Type="http://schemas.openxmlformats.org/officeDocument/2006/relationships/hyperlink" Target="https://www.sterlinglawyers.com/wisconsin/attorneys/jeffrey-morrell/reviews/page/9/" TargetMode="External"/><Relationship Id="rId1990" Type="http://schemas.openxmlformats.org/officeDocument/2006/relationships/hyperlink" Target="https://www.sterlinglawyers.com/wisconsin/attorneys/abigail-henderson/reviews/page/8/" TargetMode="External"/><Relationship Id="rId1991" Type="http://schemas.openxmlformats.org/officeDocument/2006/relationships/hyperlink" Target="https://www.sterlinglawyers.com/wisconsin/attorneys/abigail-henderson/reviews/page/14/" TargetMode="External"/><Relationship Id="rId1992" Type="http://schemas.openxmlformats.org/officeDocument/2006/relationships/hyperlink" Target="https://www.sterlinglawyers.com/wisconsin/attorneys/abigail-henderson/reviews/page/15/" TargetMode="External"/><Relationship Id="rId1993" Type="http://schemas.openxmlformats.org/officeDocument/2006/relationships/hyperlink" Target="https://www.sterlinglawyers.com/illinois/reviews/page/12/" TargetMode="External"/><Relationship Id="rId1983" Type="http://schemas.openxmlformats.org/officeDocument/2006/relationships/hyperlink" Target="https://www.sterlinglawyers.com/wisconsin/attorneys/tiffany-vogel/reviews/page/43/" TargetMode="External"/><Relationship Id="rId1984" Type="http://schemas.openxmlformats.org/officeDocument/2006/relationships/hyperlink" Target="https://www.sterlinglawyers.com/wisconsin/attorneys/tiffany-vogel/reviews/page/44/" TargetMode="External"/><Relationship Id="rId1985" Type="http://schemas.openxmlformats.org/officeDocument/2006/relationships/hyperlink" Target="https://www.sterlinglawyers.com/wisconsin/attorneys/tiffany-vogel/reviews/page/9/" TargetMode="External"/><Relationship Id="rId1986" Type="http://schemas.openxmlformats.org/officeDocument/2006/relationships/hyperlink" Target="https://www.sterlinglawyers.com/wisconsin/attorneys/nikole-messerschmidt/reviews/page/48/" TargetMode="External"/><Relationship Id="rId1987" Type="http://schemas.openxmlformats.org/officeDocument/2006/relationships/hyperlink" Target="https://www.sterlinglawyers.com/illinois/attorneys/lea-diaz/reviews/page/13/" TargetMode="External"/><Relationship Id="rId1988" Type="http://schemas.openxmlformats.org/officeDocument/2006/relationships/hyperlink" Target="https://www.sterlinglawyers.com/wisconsin/attorneys/nikole-messerschmidt/reviews/page/47/" TargetMode="External"/><Relationship Id="rId1989" Type="http://schemas.openxmlformats.org/officeDocument/2006/relationships/hyperlink" Target="https://www.sterlinglawyers.com/wisconsin/attorneys/abigail-henderson/reviews/page/9/" TargetMode="External"/><Relationship Id="rId1980" Type="http://schemas.openxmlformats.org/officeDocument/2006/relationships/hyperlink" Target="https://www.sterlinglawyers.com/wisconsin/attorneys/holly-mullin/reviews/page/45/" TargetMode="External"/><Relationship Id="rId1981" Type="http://schemas.openxmlformats.org/officeDocument/2006/relationships/hyperlink" Target="https://www.sterlinglawyers.com/wisconsin/attorneys/nikole-messerschmidt/reviews/page/9/" TargetMode="External"/><Relationship Id="rId1982" Type="http://schemas.openxmlformats.org/officeDocument/2006/relationships/hyperlink" Target="https://www.sterlinglawyers.com/wisconsin/attorneys/nikole-messerschmidt/reviews/page/8/" TargetMode="External"/><Relationship Id="rId1930" Type="http://schemas.openxmlformats.org/officeDocument/2006/relationships/hyperlink" Target="https://www.sterlinglawyers.com/wisconsin/attorneys/andria-adams/reviews/page/15/" TargetMode="External"/><Relationship Id="rId1931" Type="http://schemas.openxmlformats.org/officeDocument/2006/relationships/hyperlink" Target="https://www.sterlinglawyers.com/wisconsin/attorneys/ellen-rhodeman/reviews/page/52/" TargetMode="External"/><Relationship Id="rId1932" Type="http://schemas.openxmlformats.org/officeDocument/2006/relationships/hyperlink" Target="https://www.sterlinglawyers.com/wisconsin/attorneys/bailey-holt/reviews/page/6/" TargetMode="External"/><Relationship Id="rId1933" Type="http://schemas.openxmlformats.org/officeDocument/2006/relationships/hyperlink" Target="https://www.sterlinglawyers.com/wisconsin/attorneys/andria-adams/reviews/page/16/" TargetMode="External"/><Relationship Id="rId1934" Type="http://schemas.openxmlformats.org/officeDocument/2006/relationships/hyperlink" Target="https://www.sterlinglawyers.com/wisconsin/attorneys/jack-braaten/reviews/page/25/" TargetMode="External"/><Relationship Id="rId1935" Type="http://schemas.openxmlformats.org/officeDocument/2006/relationships/hyperlink" Target="https://www.sterlinglawyers.com/wisconsin/attorneys/jack-braaten/reviews/page/7/" TargetMode="External"/><Relationship Id="rId1936" Type="http://schemas.openxmlformats.org/officeDocument/2006/relationships/hyperlink" Target="https://www.sterlinglawyers.com/wisconsin/attorneys/austin-miller/reviews/page/31/" TargetMode="External"/><Relationship Id="rId1937" Type="http://schemas.openxmlformats.org/officeDocument/2006/relationships/hyperlink" Target="https://www.sterlinglawyers.com/flourishing-families/choosing-financial-advisor/" TargetMode="External"/><Relationship Id="rId1938" Type="http://schemas.openxmlformats.org/officeDocument/2006/relationships/hyperlink" Target="https://www.sterlinglawyers.com/news/naperville-families-gain-holiday-custody-clarity/" TargetMode="External"/><Relationship Id="rId1939" Type="http://schemas.openxmlformats.org/officeDocument/2006/relationships/hyperlink" Target="https://www.sterlinglawyers.com/wisdom-from-attorney-knighton/prepare-home-appraisal/" TargetMode="External"/><Relationship Id="rId1920" Type="http://schemas.openxmlformats.org/officeDocument/2006/relationships/hyperlink" Target="https://www.sterlinglawyers.com/wisconsin/attorneys/ellen-rhodeman/reviews/page/6/" TargetMode="External"/><Relationship Id="rId1921" Type="http://schemas.openxmlformats.org/officeDocument/2006/relationships/hyperlink" Target="https://www.sterlinglawyers.com/wisconsin/attorneys/ellen-rhodeman/reviews/page/51/" TargetMode="External"/><Relationship Id="rId1922" Type="http://schemas.openxmlformats.org/officeDocument/2006/relationships/hyperlink" Target="https://www.sterlinglawyers.com/wisconsin/attorneys/ellen-rhodeman/reviews/page/7/" TargetMode="External"/><Relationship Id="rId1923" Type="http://schemas.openxmlformats.org/officeDocument/2006/relationships/hyperlink" Target="https://www.sterlinglawyers.com/wisconsin/attorneys/austin-miller/reviews/page/32/" TargetMode="External"/><Relationship Id="rId1924" Type="http://schemas.openxmlformats.org/officeDocument/2006/relationships/hyperlink" Target="https://www.sterlinglawyers.com/wisconsin/attorneys/kathleen-curran/reviews/page/33/" TargetMode="External"/><Relationship Id="rId1925" Type="http://schemas.openxmlformats.org/officeDocument/2006/relationships/hyperlink" Target="https://www.sterlinglawyers.com/wisconsin/attorneys/kathleen-curran/reviews/page/7/" TargetMode="External"/><Relationship Id="rId1926" Type="http://schemas.openxmlformats.org/officeDocument/2006/relationships/hyperlink" Target="https://www.sterlinglawyers.com/wisconsin/attorneys/kathleen-curran/reviews/page/32/" TargetMode="External"/><Relationship Id="rId1927" Type="http://schemas.openxmlformats.org/officeDocument/2006/relationships/hyperlink" Target="https://www.sterlinglawyers.com/wisconsin/attorneys/kathleen-curran/reviews/page/6/" TargetMode="External"/><Relationship Id="rId1928" Type="http://schemas.openxmlformats.org/officeDocument/2006/relationships/hyperlink" Target="https://www.sterlinglawyers.com/wisconsin/attorneys/bailey-holt/reviews/page/7/" TargetMode="External"/><Relationship Id="rId1929" Type="http://schemas.openxmlformats.org/officeDocument/2006/relationships/hyperlink" Target="https://www.sterlinglawyers.com/wisconsin/attorneys/austin-miller/reviews/page/6/" TargetMode="External"/><Relationship Id="rId1950" Type="http://schemas.openxmlformats.org/officeDocument/2006/relationships/hyperlink" Target="https://www.sterlinglawyers.com/illinois/reviews/page/220/" TargetMode="External"/><Relationship Id="rId1951" Type="http://schemas.openxmlformats.org/officeDocument/2006/relationships/hyperlink" Target="https://www.sterlinglawyers.com/illinois/attorneys/nina-kelly/reviews/page/13/" TargetMode="External"/><Relationship Id="rId1952" Type="http://schemas.openxmlformats.org/officeDocument/2006/relationships/hyperlink" Target="https://www.sterlinglawyers.com/illinois/attorneys/nina-kelly/reviews/page/12/" TargetMode="External"/><Relationship Id="rId1953" Type="http://schemas.openxmlformats.org/officeDocument/2006/relationships/hyperlink" Target="https://www.sterlinglawyers.com/illinois/blog/reasonable-support-orders-arlington-heights/" TargetMode="External"/><Relationship Id="rId1954" Type="http://schemas.openxmlformats.org/officeDocument/2006/relationships/hyperlink" Target="https://www.sterlinglawyers.com/illinois/blog/experienced-legal-counsel-chicago-military-divorces/" TargetMode="External"/><Relationship Id="rId1955" Type="http://schemas.openxmlformats.org/officeDocument/2006/relationships/hyperlink" Target="https://www.sterlinglawyers.com/illinois/blog/untangling-web-schaumburg-property-division-laws/" TargetMode="External"/><Relationship Id="rId1956" Type="http://schemas.openxmlformats.org/officeDocument/2006/relationships/hyperlink" Target="https://www.sterlinglawyers.com/illinois/blog/chicago-contested-divorce-lawyers-solve-uncertainty-heartache/" TargetMode="External"/><Relationship Id="rId1957" Type="http://schemas.openxmlformats.org/officeDocument/2006/relationships/hyperlink" Target="https://www.sterlinglawyers.com/illinois/blog/finding-support-chicago-collaborative-divorce/" TargetMode="External"/><Relationship Id="rId1958" Type="http://schemas.openxmlformats.org/officeDocument/2006/relationships/hyperlink" Target="https://www.sterlinglawyers.com/illinois/blog/strengthening-your-case-naperville-child-custody-lawyers/" TargetMode="External"/><Relationship Id="rId1959" Type="http://schemas.openxmlformats.org/officeDocument/2006/relationships/hyperlink" Target="https://www.sterlinglawyers.com/illinois/blog/arlington-heights-child-custody-lessons-learned/" TargetMode="External"/><Relationship Id="rId1940" Type="http://schemas.openxmlformats.org/officeDocument/2006/relationships/hyperlink" Target="https://www.sterlinglawyers.com/wisdom-from-attorney-knighton/avoid-charged-crime-divorce/" TargetMode="External"/><Relationship Id="rId1941" Type="http://schemas.openxmlformats.org/officeDocument/2006/relationships/hyperlink" Target="https://www.sterlinglawyers.com/case-law/alimony-post-divorce/" TargetMode="External"/><Relationship Id="rId1942" Type="http://schemas.openxmlformats.org/officeDocument/2006/relationships/hyperlink" Target="https://www.sterlinglawyers.com/wisconsin/attorneys/andria-adams/reviews/page/7/" TargetMode="External"/><Relationship Id="rId1943" Type="http://schemas.openxmlformats.org/officeDocument/2006/relationships/hyperlink" Target="https://www.sterlinglawyers.com/wisconsin/attorneys/jack-braaten/reviews/page/6/" TargetMode="External"/><Relationship Id="rId1944" Type="http://schemas.openxmlformats.org/officeDocument/2006/relationships/hyperlink" Target="https://www.sterlinglawyers.com/wisconsin/attorneys/jack-braaten/reviews/page/26/" TargetMode="External"/><Relationship Id="rId1945" Type="http://schemas.openxmlformats.org/officeDocument/2006/relationships/hyperlink" Target="https://www.sterlinglawyers.com/wisconsin/attorneys/andria-adams/reviews/page/6/" TargetMode="External"/><Relationship Id="rId1946" Type="http://schemas.openxmlformats.org/officeDocument/2006/relationships/hyperlink" Target="https://www.sterlinglawyers.com/news/" TargetMode="External"/><Relationship Id="rId1947" Type="http://schemas.openxmlformats.org/officeDocument/2006/relationships/hyperlink" Target="https://www.sterlinglawyers.com/illinois/attorneys/nina-kelly/reviews/page/35/" TargetMode="External"/><Relationship Id="rId1948" Type="http://schemas.openxmlformats.org/officeDocument/2006/relationships/hyperlink" Target="https://www.sterlinglawyers.com/illinois/attorneys/nina-kelly/reviews/page/36/" TargetMode="External"/><Relationship Id="rId1949" Type="http://schemas.openxmlformats.org/officeDocument/2006/relationships/hyperlink" Target="https://sterlinglawyers.com/illinois/attorneys/jacqueline-mcclellan/" TargetMode="External"/><Relationship Id="rId2423" Type="http://schemas.openxmlformats.org/officeDocument/2006/relationships/hyperlink" Target="https://www.sterlinglawyers.com/wisconsin/attorneys/michelle-gordon/reviews/page/19/" TargetMode="External"/><Relationship Id="rId2424" Type="http://schemas.openxmlformats.org/officeDocument/2006/relationships/hyperlink" Target="https://www.sterlinglawyers.com/wisconsin/attorneys/austin-miller/reviews/page/19/" TargetMode="External"/><Relationship Id="rId2425" Type="http://schemas.openxmlformats.org/officeDocument/2006/relationships/hyperlink" Target="https://www.sterlinglawyers.com/wisconsin/attorneys/jeffrey-morrell/reviews/page/19/" TargetMode="External"/><Relationship Id="rId2426" Type="http://schemas.openxmlformats.org/officeDocument/2006/relationships/hyperlink" Target="https://www.sterlinglawyers.com/wisconsin/attorneys/jeffrey-morrell/reviews/page/58/" TargetMode="External"/><Relationship Id="rId2427" Type="http://schemas.openxmlformats.org/officeDocument/2006/relationships/hyperlink" Target="https://www.sterlinglawyers.com/wisconsin/attorneys/robert-keenan/reviews/page/23/" TargetMode="External"/><Relationship Id="rId2428" Type="http://schemas.openxmlformats.org/officeDocument/2006/relationships/hyperlink" Target="https://www.sterlinglawyers.com/wisconsin/attorneys/nikole-messerschmidt/reviews/page/38/" TargetMode="External"/><Relationship Id="rId2429" Type="http://schemas.openxmlformats.org/officeDocument/2006/relationships/hyperlink" Target="https://www.sterlinglawyers.com/wisconsin/attorneys/nikole-messerschmidt/reviews/page/37/" TargetMode="External"/><Relationship Id="rId509" Type="http://schemas.openxmlformats.org/officeDocument/2006/relationships/hyperlink" Target="https://www.sterlinglawyers.com/wisconsin/attorneys/robert-keenan/reviews/" TargetMode="External"/><Relationship Id="rId508" Type="http://schemas.openxmlformats.org/officeDocument/2006/relationships/hyperlink" Target="https://www.sterlinglawyers.com/wisconsin/attorneys/abigail-henderson/reviews/" TargetMode="External"/><Relationship Id="rId503" Type="http://schemas.openxmlformats.org/officeDocument/2006/relationships/hyperlink" Target="https://www.sterlinglawyers.com/wisconsin/attorneys/jack-braaten/reviews/" TargetMode="External"/><Relationship Id="rId502" Type="http://schemas.openxmlformats.org/officeDocument/2006/relationships/hyperlink" Target="https://www.sterlinglawyers.com/wisconsin/attorneys/andria-adams/" TargetMode="External"/><Relationship Id="rId501" Type="http://schemas.openxmlformats.org/officeDocument/2006/relationships/hyperlink" Target="https://www.sterlinglawyers.com/wisconsin/attorneys/alison-buzza/reviews/" TargetMode="External"/><Relationship Id="rId500" Type="http://schemas.openxmlformats.org/officeDocument/2006/relationships/hyperlink" Target="https://www.sterlinglawyers.com/wisconsin/attorneys/crawford-campbell/" TargetMode="External"/><Relationship Id="rId507" Type="http://schemas.openxmlformats.org/officeDocument/2006/relationships/hyperlink" Target="https://www.sterlinglawyers.com/wisconsin/attorneys/ellen-rhodeman/" TargetMode="External"/><Relationship Id="rId506" Type="http://schemas.openxmlformats.org/officeDocument/2006/relationships/hyperlink" Target="https://www.sterlinglawyers.com/wisconsin/attorneys/stella-plekan/reviews/" TargetMode="External"/><Relationship Id="rId505" Type="http://schemas.openxmlformats.org/officeDocument/2006/relationships/hyperlink" Target="https://www.sterlinglawyers.com/wisconsin/attorneys/jeffrey-morrell/reviews/" TargetMode="External"/><Relationship Id="rId504" Type="http://schemas.openxmlformats.org/officeDocument/2006/relationships/hyperlink" Target="https://www.sterlinglawyers.com/wisconsin/attorneys/kathleen-curran/" TargetMode="External"/><Relationship Id="rId2420" Type="http://schemas.openxmlformats.org/officeDocument/2006/relationships/hyperlink" Target="https://www.sterlinglawyers.com/wisconsin/attorneys/nikole-messerschmidt/reviews/page/18/" TargetMode="External"/><Relationship Id="rId2421" Type="http://schemas.openxmlformats.org/officeDocument/2006/relationships/hyperlink" Target="https://www.sterlinglawyers.com/wisconsin/attorneys/tiffany-vogel/reviews/page/18/" TargetMode="External"/><Relationship Id="rId2422" Type="http://schemas.openxmlformats.org/officeDocument/2006/relationships/hyperlink" Target="https://www.sterlinglawyers.com/wisconsin/attorneys/tiffany-vogel/reviews/page/19/" TargetMode="External"/><Relationship Id="rId2412" Type="http://schemas.openxmlformats.org/officeDocument/2006/relationships/hyperlink" Target="https://www.sterlinglawyers.com/wisconsin/attorneys/jeffrey-morrell/reviews/page/18/" TargetMode="External"/><Relationship Id="rId2413" Type="http://schemas.openxmlformats.org/officeDocument/2006/relationships/hyperlink" Target="https://www.sterlinglawyers.com/wisconsin/attorneys/kathleen-curran/reviews/page/21/" TargetMode="External"/><Relationship Id="rId2414" Type="http://schemas.openxmlformats.org/officeDocument/2006/relationships/hyperlink" Target="https://www.sterlinglawyers.com/wisconsin/attorneys/holly-mullin/reviews/page/34/" TargetMode="External"/><Relationship Id="rId2415" Type="http://schemas.openxmlformats.org/officeDocument/2006/relationships/hyperlink" Target="https://www.sterlinglawyers.com/wisconsin/attorneys/jeffrey-morrell/reviews/page/59/" TargetMode="External"/><Relationship Id="rId2416" Type="http://schemas.openxmlformats.org/officeDocument/2006/relationships/hyperlink" Target="https://www.sterlinglawyers.com/wisconsin/attorneys/robert-keenan/reviews/page/22/" TargetMode="External"/><Relationship Id="rId2417" Type="http://schemas.openxmlformats.org/officeDocument/2006/relationships/hyperlink" Target="https://www.sterlinglawyers.com/wisconsin/attorneys/holly-mullin/reviews/page/18/" TargetMode="External"/><Relationship Id="rId2418" Type="http://schemas.openxmlformats.org/officeDocument/2006/relationships/hyperlink" Target="https://www.sterlinglawyers.com/wisconsin/attorneys/tiffany-vogel/reviews/page/33/" TargetMode="External"/><Relationship Id="rId2419" Type="http://schemas.openxmlformats.org/officeDocument/2006/relationships/hyperlink" Target="https://www.sterlinglawyers.com/wisconsin/attorneys/tiffany-vogel/reviews/page/34/" TargetMode="External"/><Relationship Id="rId2410" Type="http://schemas.openxmlformats.org/officeDocument/2006/relationships/hyperlink" Target="https://www.sterlinglawyers.com/illinois/attorneys/alexandra-isroff/reviews/page/22/" TargetMode="External"/><Relationship Id="rId2411" Type="http://schemas.openxmlformats.org/officeDocument/2006/relationships/hyperlink" Target="https://www.sterlinglawyers.com/wisconsin/attorneys/robert-keenan/reviews/page/19/" TargetMode="External"/><Relationship Id="rId1114" Type="http://schemas.openxmlformats.org/officeDocument/2006/relationships/hyperlink" Target="https://www.sterlinglawyers.com/illinois/attorneys/ryan-shope/reviews/page/12/" TargetMode="External"/><Relationship Id="rId2445" Type="http://schemas.openxmlformats.org/officeDocument/2006/relationships/hyperlink" Target="https://www.sterlinglawyers.com/wisconsin/attorneys/michelle-gordon/reviews/page/18/" TargetMode="External"/><Relationship Id="rId1115" Type="http://schemas.openxmlformats.org/officeDocument/2006/relationships/hyperlink" Target="https://www.sterlinglawyers.com/illinois/attorneys/ryan-shope/reviews/page/7/" TargetMode="External"/><Relationship Id="rId2446" Type="http://schemas.openxmlformats.org/officeDocument/2006/relationships/hyperlink" Target="https://www.sterlinglawyers.com/illinois/attorneys/nina-kelly/reviews/page/26/" TargetMode="External"/><Relationship Id="rId1116" Type="http://schemas.openxmlformats.org/officeDocument/2006/relationships/hyperlink" Target="https://www.sterlinglawyers.com/illinois/attorneys/jacqueline-mcclellan/reviews/page/11/" TargetMode="External"/><Relationship Id="rId2447" Type="http://schemas.openxmlformats.org/officeDocument/2006/relationships/hyperlink" Target="https://www.sterlinglawyers.com/news/page/7/?et_blog" TargetMode="External"/><Relationship Id="rId1117" Type="http://schemas.openxmlformats.org/officeDocument/2006/relationships/hyperlink" Target="https://www.sterlinglawyers.com/illinois/attorneys/jeff-hughes/reviews/page/7/" TargetMode="External"/><Relationship Id="rId2448" Type="http://schemas.openxmlformats.org/officeDocument/2006/relationships/hyperlink" Target="https://www.sterlinglawyers.com/wisdom-from-attorney-knighton/achieving-goals-with-the-help-of-a-coach/" TargetMode="External"/><Relationship Id="rId1118" Type="http://schemas.openxmlformats.org/officeDocument/2006/relationships/hyperlink" Target="https://www.sterlinglawyers.com/illinois/attorneys/jeff-hughes/reviews/page/9/" TargetMode="External"/><Relationship Id="rId2449" Type="http://schemas.openxmlformats.org/officeDocument/2006/relationships/hyperlink" Target="https://www.sterlinglawyers.com/illinois/reviews/page/208/" TargetMode="External"/><Relationship Id="rId1119" Type="http://schemas.openxmlformats.org/officeDocument/2006/relationships/hyperlink" Target="https://www.sterlinglawyers.com/illinois/attorneys/jacqueline-mcclellan/reviews/page/7/" TargetMode="External"/><Relationship Id="rId525" Type="http://schemas.openxmlformats.org/officeDocument/2006/relationships/hyperlink" Target="https://www.sterlinglawyers.com/wisconsin/locations/janesville/" TargetMode="External"/><Relationship Id="rId524" Type="http://schemas.openxmlformats.org/officeDocument/2006/relationships/hyperlink" Target="https://www.sterlinglawyers.com/wisconsin/locations/beloit/" TargetMode="External"/><Relationship Id="rId523" Type="http://schemas.openxmlformats.org/officeDocument/2006/relationships/hyperlink" Target="https://www.sterlinglawyers.com/wisconsin/locations/brookfield/" TargetMode="External"/><Relationship Id="rId522" Type="http://schemas.openxmlformats.org/officeDocument/2006/relationships/hyperlink" Target="https://www.sterlinglawyers.com/wisconsin/family-law-case-types-cost" TargetMode="External"/><Relationship Id="rId529" Type="http://schemas.openxmlformats.org/officeDocument/2006/relationships/hyperlink" Target="https://www.sterlinglawyers.com/wisconsin/locations/baraboo/" TargetMode="External"/><Relationship Id="rId528" Type="http://schemas.openxmlformats.org/officeDocument/2006/relationships/hyperlink" Target="https://www.sterlinglawyers.com/wisconsin/divorce/litigation/" TargetMode="External"/><Relationship Id="rId527" Type="http://schemas.openxmlformats.org/officeDocument/2006/relationships/hyperlink" Target="https://www.sterlinglawyers.com/wisconsin/locations/kenosha/" TargetMode="External"/><Relationship Id="rId526" Type="http://schemas.openxmlformats.org/officeDocument/2006/relationships/hyperlink" Target="https://www.sterlinglawyers.com/wisconsin/paternity/" TargetMode="External"/><Relationship Id="rId2440" Type="http://schemas.openxmlformats.org/officeDocument/2006/relationships/hyperlink" Target="https://www.sterlinglawyers.com/illinois/reviews/page/210/" TargetMode="External"/><Relationship Id="rId521" Type="http://schemas.openxmlformats.org/officeDocument/2006/relationships/hyperlink" Target="https://www.sterlinglawyers.com/wisconsin/attorneys/michelle-gordon/reviews/" TargetMode="External"/><Relationship Id="rId1110" Type="http://schemas.openxmlformats.org/officeDocument/2006/relationships/hyperlink" Target="https://www.sterlinglawyers.com/illinois/attorneys/ryan-shope/reviews/page/13/" TargetMode="External"/><Relationship Id="rId2441" Type="http://schemas.openxmlformats.org/officeDocument/2006/relationships/hyperlink" Target="https://www.sterlinglawyers.com/news/page/6/?et_blog" TargetMode="External"/><Relationship Id="rId520" Type="http://schemas.openxmlformats.org/officeDocument/2006/relationships/hyperlink" Target="https://www.sterlinglawyers.com/wisconsin/attorneys/nikole-messerschmidt/" TargetMode="External"/><Relationship Id="rId1111" Type="http://schemas.openxmlformats.org/officeDocument/2006/relationships/hyperlink" Target="https://www.sterlinglawyers.com/illinois/attorneys/ryan-shope/reviews/page/6/" TargetMode="External"/><Relationship Id="rId2442" Type="http://schemas.openxmlformats.org/officeDocument/2006/relationships/hyperlink" Target="https://www.sterlinglawyers.com/reviews/page/211/" TargetMode="External"/><Relationship Id="rId1112" Type="http://schemas.openxmlformats.org/officeDocument/2006/relationships/hyperlink" Target="https://www.sterlinglawyers.com/illinois/attorneys/jacqueline-mcclellan/reviews/page/6/" TargetMode="External"/><Relationship Id="rId2443" Type="http://schemas.openxmlformats.org/officeDocument/2006/relationships/hyperlink" Target="https://www.sterlinglawyers.com/wisconsin/blog/page/11/?et_blog" TargetMode="External"/><Relationship Id="rId1113" Type="http://schemas.openxmlformats.org/officeDocument/2006/relationships/hyperlink" Target="https://www.sterlinglawyers.com/wisconsin/divorce/file-for-divorce/file-first/" TargetMode="External"/><Relationship Id="rId2444" Type="http://schemas.openxmlformats.org/officeDocument/2006/relationships/hyperlink" Target="https://www.sterlinglawyers.com/reviews/page/22/" TargetMode="External"/><Relationship Id="rId1103" Type="http://schemas.openxmlformats.org/officeDocument/2006/relationships/hyperlink" Target="https://www.sterlinglawyers.com/wisconsin/reviews/page/227/" TargetMode="External"/><Relationship Id="rId2434" Type="http://schemas.openxmlformats.org/officeDocument/2006/relationships/hyperlink" Target="https://www.sterlinglawyers.com/illinois/attorneys/nina-kelly/reviews/page/22/" TargetMode="External"/><Relationship Id="rId1104" Type="http://schemas.openxmlformats.org/officeDocument/2006/relationships/hyperlink" Target="https://www.sterlinglawyers.com/wisconsin/reviews/page/228/" TargetMode="External"/><Relationship Id="rId2435" Type="http://schemas.openxmlformats.org/officeDocument/2006/relationships/hyperlink" Target="https://www.sterlinglawyers.com/reviews/page/23/" TargetMode="External"/><Relationship Id="rId1105" Type="http://schemas.openxmlformats.org/officeDocument/2006/relationships/hyperlink" Target="https://www.sterlinglawyers.com/illinois/attorneys/alexandra-isroff/reviews/page/40/" TargetMode="External"/><Relationship Id="rId2436" Type="http://schemas.openxmlformats.org/officeDocument/2006/relationships/hyperlink" Target="https://www.sterlinglawyers.com/illinois/attorneys/nina-kelly/reviews/page/25/" TargetMode="External"/><Relationship Id="rId1106" Type="http://schemas.openxmlformats.org/officeDocument/2006/relationships/hyperlink" Target="https://www.sterlinglawyers.com/illinois/attorneys/katie-vandeusen/reviews/page/27/" TargetMode="External"/><Relationship Id="rId2437" Type="http://schemas.openxmlformats.org/officeDocument/2006/relationships/hyperlink" Target="https://www.sterlinglawyers.com/reviews/page/210/" TargetMode="External"/><Relationship Id="rId1107" Type="http://schemas.openxmlformats.org/officeDocument/2006/relationships/hyperlink" Target="https://www.sterlinglawyers.com/wisconsin/property-division/how-to-fill-out-a-financial-disclosure-statement/" TargetMode="External"/><Relationship Id="rId2438" Type="http://schemas.openxmlformats.org/officeDocument/2006/relationships/hyperlink" Target="https://www.sterlinglawyers.com/illinois/reviews/page/23/" TargetMode="External"/><Relationship Id="rId1108" Type="http://schemas.openxmlformats.org/officeDocument/2006/relationships/hyperlink" Target="https://www.sterlinglawyers.com/wisconsin/property-division/hidden-assets/" TargetMode="External"/><Relationship Id="rId2439" Type="http://schemas.openxmlformats.org/officeDocument/2006/relationships/hyperlink" Target="https://www.sterlinglawyers.com/illinois/reviews/page/22/" TargetMode="External"/><Relationship Id="rId1109" Type="http://schemas.openxmlformats.org/officeDocument/2006/relationships/hyperlink" Target="https://www.sterlinglawyers.com/illinois/attorneys/katie-vandeusen/reviews/page/7/" TargetMode="External"/><Relationship Id="rId519" Type="http://schemas.openxmlformats.org/officeDocument/2006/relationships/hyperlink" Target="https://www.sterlinglawyers.com/wisconsin/attorneys/emily-wojnowski/" TargetMode="External"/><Relationship Id="rId514" Type="http://schemas.openxmlformats.org/officeDocument/2006/relationships/hyperlink" Target="https://www.sterlinglawyers.com/wisconsin/attorneys/nikole-messerschmidt/reviews/" TargetMode="External"/><Relationship Id="rId513" Type="http://schemas.openxmlformats.org/officeDocument/2006/relationships/hyperlink" Target="https://www.sterlinglawyers.com/wisconsin/attorneys/stella-plekan/" TargetMode="External"/><Relationship Id="rId512" Type="http://schemas.openxmlformats.org/officeDocument/2006/relationships/hyperlink" Target="https://www.sterlinglawyers.com/wisconsin/attorneys/abigail-henderson/" TargetMode="External"/><Relationship Id="rId511" Type="http://schemas.openxmlformats.org/officeDocument/2006/relationships/hyperlink" Target="https://www.sterlinglawyers.com/wisconsin/attorneys/tiffany-vogel/reviews/" TargetMode="External"/><Relationship Id="rId518" Type="http://schemas.openxmlformats.org/officeDocument/2006/relationships/hyperlink" Target="https://www.sterlinglawyers.com/wisconsin/attorneys/tiffany-vogel/" TargetMode="External"/><Relationship Id="rId517" Type="http://schemas.openxmlformats.org/officeDocument/2006/relationships/hyperlink" Target="https://www.sterlinglawyers.com/wisconsin/attorneys/jodi-chung/reviews/" TargetMode="External"/><Relationship Id="rId516" Type="http://schemas.openxmlformats.org/officeDocument/2006/relationships/hyperlink" Target="https://www.sterlinglawyers.com/wisconsin/attorneys/holly-mullin/reviews/" TargetMode="External"/><Relationship Id="rId515" Type="http://schemas.openxmlformats.org/officeDocument/2006/relationships/hyperlink" Target="https://www.sterlinglawyers.com/wisconsin/attorneys/austin-miller/" TargetMode="External"/><Relationship Id="rId510" Type="http://schemas.openxmlformats.org/officeDocument/2006/relationships/hyperlink" Target="https://www.sterlinglawyers.com/wisconsin/attorneys/alison-buzza/" TargetMode="External"/><Relationship Id="rId2430" Type="http://schemas.openxmlformats.org/officeDocument/2006/relationships/hyperlink" Target="https://www.sterlinglawyers.com/wisconsin/attorneys/holly-mullin/reviews/page/35/" TargetMode="External"/><Relationship Id="rId1100" Type="http://schemas.openxmlformats.org/officeDocument/2006/relationships/hyperlink" Target="https://www.sterlinglawyers.com/wisconsin/blog/steadfast-advocate-contested-divorce-janesville/" TargetMode="External"/><Relationship Id="rId2431" Type="http://schemas.openxmlformats.org/officeDocument/2006/relationships/hyperlink" Target="https://www.sterlinglawyers.com/wisconsin/reviews/page/211/" TargetMode="External"/><Relationship Id="rId1101" Type="http://schemas.openxmlformats.org/officeDocument/2006/relationships/hyperlink" Target="https://www.sterlinglawyers.com/wi-emergency-orders" TargetMode="External"/><Relationship Id="rId2432" Type="http://schemas.openxmlformats.org/officeDocument/2006/relationships/hyperlink" Target="https://www.sterlinglawyers.com/wisconsin/reviews/page/212/" TargetMode="External"/><Relationship Id="rId1102" Type="http://schemas.openxmlformats.org/officeDocument/2006/relationships/hyperlink" Target="https://www.sterlinglawyers.com/illinois/areas/cook-county/barrington/" TargetMode="External"/><Relationship Id="rId2433" Type="http://schemas.openxmlformats.org/officeDocument/2006/relationships/hyperlink" Target="https://www.sterlinglawyers.com/illinois/attorneys/nina-kelly/reviews/page/23/" TargetMode="External"/><Relationship Id="rId2401" Type="http://schemas.openxmlformats.org/officeDocument/2006/relationships/hyperlink" Target="https://www.sterlinglawyers.com/wisconsin/attorneys/austin-miller/reviews/page/20/" TargetMode="External"/><Relationship Id="rId2402" Type="http://schemas.openxmlformats.org/officeDocument/2006/relationships/hyperlink" Target="https://www.sterlinglawyers.com/wisconsin/attorneys/kathleen-curran/reviews/page/19/" TargetMode="External"/><Relationship Id="rId2403" Type="http://schemas.openxmlformats.org/officeDocument/2006/relationships/hyperlink" Target="https://www.sterlinglawyers.com/wisconsin/attorneys/kathleen-curran/reviews/page/18/" TargetMode="External"/><Relationship Id="rId2404" Type="http://schemas.openxmlformats.org/officeDocument/2006/relationships/hyperlink" Target="https://www.sterlinglawyers.com/wisconsin/attorneys/holly-mullin/reviews/page/19/" TargetMode="External"/><Relationship Id="rId2405" Type="http://schemas.openxmlformats.org/officeDocument/2006/relationships/hyperlink" Target="https://www.sterlinglawyers.com/wisconsin/attorneys/ellen-rhodeman/reviews/page/40/" TargetMode="External"/><Relationship Id="rId2406" Type="http://schemas.openxmlformats.org/officeDocument/2006/relationships/hyperlink" Target="https://www.sterlinglawyers.com/wisconsin/attorneys/ellen-rhodeman/reviews/page/39/" TargetMode="External"/><Relationship Id="rId2407" Type="http://schemas.openxmlformats.org/officeDocument/2006/relationships/hyperlink" Target="https://www.sterlinglawyers.com/wisconsin/attorneys/austin-miller/reviews/page/18/" TargetMode="External"/><Relationship Id="rId2408" Type="http://schemas.openxmlformats.org/officeDocument/2006/relationships/hyperlink" Target="https://www.sterlinglawyers.com/wisconsin/attorneys/nikole-messerschmidt/reviews/page/19/" TargetMode="External"/><Relationship Id="rId2409" Type="http://schemas.openxmlformats.org/officeDocument/2006/relationships/hyperlink" Target="https://www.sterlinglawyers.com/wisconsin/attorneys/robert-keenan/reviews/page/18/" TargetMode="External"/><Relationship Id="rId2400" Type="http://schemas.openxmlformats.org/officeDocument/2006/relationships/hyperlink" Target="https://www.sterlinglawyers.com/wisconsin/attorneys/ellen-rhodeman/reviews/page/18/" TargetMode="External"/><Relationship Id="rId590" Type="http://schemas.openxmlformats.org/officeDocument/2006/relationships/hyperlink" Target="https://www.sterlinglawyers.com/wisconsin/child-custody/what-is-a-guardian-ad-litem/" TargetMode="External"/><Relationship Id="rId589" Type="http://schemas.openxmlformats.org/officeDocument/2006/relationships/hyperlink" Target="https://www.sterlinglawyers.com/wisconsin/child-custody/can-court-take-children-relationship-divorce/" TargetMode="External"/><Relationship Id="rId588" Type="http://schemas.openxmlformats.org/officeDocument/2006/relationships/hyperlink" Target="https://www.sterlinglawyers.com/wisconsin/child-custody/relative-child-custody/" TargetMode="External"/><Relationship Id="rId1170" Type="http://schemas.openxmlformats.org/officeDocument/2006/relationships/hyperlink" Target="https://www.sterlinglawyers.com/wisconsin/attorneys/michelle-gordon/reviews/page/2/" TargetMode="External"/><Relationship Id="rId1171" Type="http://schemas.openxmlformats.org/officeDocument/2006/relationships/hyperlink" Target="https://www.sterlinglawyers.com/wisconsin/attorneys/michelle-gordon/reviews/page/3/" TargetMode="External"/><Relationship Id="rId583" Type="http://schemas.openxmlformats.org/officeDocument/2006/relationships/hyperlink" Target="https://www.sterlinglawyers.com/wisconsin/child-custody/international-child-abduction/" TargetMode="External"/><Relationship Id="rId1172" Type="http://schemas.openxmlformats.org/officeDocument/2006/relationships/hyperlink" Target="https://www.sterlinglawyers.com/wisconsin/locations/brookfield/alimony-lawyers/" TargetMode="External"/><Relationship Id="rId582" Type="http://schemas.openxmlformats.org/officeDocument/2006/relationships/hyperlink" Target="https://www.sterlinglawyers.com/wisconsin/child-custody/having-a-parenting-agreement/" TargetMode="External"/><Relationship Id="rId1173" Type="http://schemas.openxmlformats.org/officeDocument/2006/relationships/hyperlink" Target="https://www.sterlinglawyers.com/wisconsin/locations/brookfield/paternity-lawyers/" TargetMode="External"/><Relationship Id="rId581" Type="http://schemas.openxmlformats.org/officeDocument/2006/relationships/hyperlink" Target="https://www.sterlinglawyers.com/illinois/areas/kane-county/elgin/" TargetMode="External"/><Relationship Id="rId1174" Type="http://schemas.openxmlformats.org/officeDocument/2006/relationships/hyperlink" Target="https://www.sterlinglawyers.com/wisconsin/locations/brookfield/contested-divorce-lawyers/" TargetMode="External"/><Relationship Id="rId580" Type="http://schemas.openxmlformats.org/officeDocument/2006/relationships/hyperlink" Target="https://www.sterlinglawyers.com/illinois/areas/lake-county/" TargetMode="External"/><Relationship Id="rId1175" Type="http://schemas.openxmlformats.org/officeDocument/2006/relationships/hyperlink" Target="https://www.sterlinglawyers.com/wisconsin/locations/brookfield/property-division-lawyers/" TargetMode="External"/><Relationship Id="rId587" Type="http://schemas.openxmlformats.org/officeDocument/2006/relationships/hyperlink" Target="https://www.sterlinglawyers.com/wisconsin/child-custody/child-custody-and-virtual-visitation-rights/" TargetMode="External"/><Relationship Id="rId1176" Type="http://schemas.openxmlformats.org/officeDocument/2006/relationships/hyperlink" Target="https://www.sterlinglawyers.com/wisconsin/locations/brookfield/collaborative-divorce-lawyers/" TargetMode="External"/><Relationship Id="rId586" Type="http://schemas.openxmlformats.org/officeDocument/2006/relationships/hyperlink" Target="https://www.sterlinglawyers.com/wisconsin/child-custody/placement-factors/" TargetMode="External"/><Relationship Id="rId1177" Type="http://schemas.openxmlformats.org/officeDocument/2006/relationships/hyperlink" Target="https://www.sterlinglawyers.com/wisconsin/locations/brookfield/military-divorce-lawyers/" TargetMode="External"/><Relationship Id="rId585" Type="http://schemas.openxmlformats.org/officeDocument/2006/relationships/hyperlink" Target="https://www.sterlinglawyers.com/wisconsin/child-custody/co-parenting-wi/" TargetMode="External"/><Relationship Id="rId1178" Type="http://schemas.openxmlformats.org/officeDocument/2006/relationships/hyperlink" Target="https://www.sterlinglawyers.com/wisconsin/locations/brookfield/child-custody-lawyers/" TargetMode="External"/><Relationship Id="rId584" Type="http://schemas.openxmlformats.org/officeDocument/2006/relationships/hyperlink" Target="https://www.sterlinglawyers.com/illinois/areas/cook-county/prospect-heights/" TargetMode="External"/><Relationship Id="rId1179" Type="http://schemas.openxmlformats.org/officeDocument/2006/relationships/hyperlink" Target="https://www.sterlinglawyers.com/wisconsin/attorneys/robert-keenan/reviews/page/3/" TargetMode="External"/><Relationship Id="rId1169" Type="http://schemas.openxmlformats.org/officeDocument/2006/relationships/hyperlink" Target="https://www.sterlinglawyers.com/wisconsin/attorneys/michelle-gordon/reviews/page/34/" TargetMode="External"/><Relationship Id="rId579" Type="http://schemas.openxmlformats.org/officeDocument/2006/relationships/hyperlink" Target="https://www.sterlinglawyers.com/illinois/areas/dupage-county/lombard/" TargetMode="External"/><Relationship Id="rId578" Type="http://schemas.openxmlformats.org/officeDocument/2006/relationships/hyperlink" Target="https://www.sterlinglawyers.com/illinois/areas/cook-county/park-ridge/" TargetMode="External"/><Relationship Id="rId577" Type="http://schemas.openxmlformats.org/officeDocument/2006/relationships/hyperlink" Target="https://www.sterlinglawyers.com/illinois/areas/cook-county/norridge/" TargetMode="External"/><Relationship Id="rId2490" Type="http://schemas.openxmlformats.org/officeDocument/2006/relationships/hyperlink" Target="https://www.sterlinglawyers.com/wisconsin/attorneys/ellen-rhodeman/reviews/page/20/" TargetMode="External"/><Relationship Id="rId1160" Type="http://schemas.openxmlformats.org/officeDocument/2006/relationships/hyperlink" Target="https://www.sterlinglawyers.com/wisconsin/attorneys/nikole-messerschmidt/reviews/page/53/" TargetMode="External"/><Relationship Id="rId2491" Type="http://schemas.openxmlformats.org/officeDocument/2006/relationships/hyperlink" Target="https://www.sterlinglawyers.com/wisconsin/attorneys/ellen-rhodeman/reviews/page/21/" TargetMode="External"/><Relationship Id="rId572" Type="http://schemas.openxmlformats.org/officeDocument/2006/relationships/hyperlink" Target="https://www.sterlinglawyers.com/illinois/areas/dupage-county/bartlett/" TargetMode="External"/><Relationship Id="rId1161" Type="http://schemas.openxmlformats.org/officeDocument/2006/relationships/hyperlink" Target="https://www.sterlinglawyers.com/wisconsin/attorneys/nikole-messerschmidt/reviews/page/2/" TargetMode="External"/><Relationship Id="rId2492" Type="http://schemas.openxmlformats.org/officeDocument/2006/relationships/hyperlink" Target="https://www.sterlinglawyers.com/wisconsin/attorneys/holly-mullin/reviews/page/21/" TargetMode="External"/><Relationship Id="rId571" Type="http://schemas.openxmlformats.org/officeDocument/2006/relationships/hyperlink" Target="https://www.sterlinglawyers.com/illinois/areas/cook-county/wilmette/" TargetMode="External"/><Relationship Id="rId1162" Type="http://schemas.openxmlformats.org/officeDocument/2006/relationships/hyperlink" Target="https://www.sterlinglawyers.com/wisconsin/attorneys/nikole-messerschmidt/reviews/page/3/" TargetMode="External"/><Relationship Id="rId2493" Type="http://schemas.openxmlformats.org/officeDocument/2006/relationships/hyperlink" Target="https://www.sterlinglawyers.com/wisconsin/attorneys/holly-mullin/reviews/page/23/" TargetMode="External"/><Relationship Id="rId570" Type="http://schemas.openxmlformats.org/officeDocument/2006/relationships/hyperlink" Target="https://www.sterlinglawyers.com/illinois/areas/cook-county/lincolnwood/" TargetMode="External"/><Relationship Id="rId1163" Type="http://schemas.openxmlformats.org/officeDocument/2006/relationships/hyperlink" Target="https://www.sterlinglawyers.com/wisconsin/attorneys/holly-mullin/reviews/page/3/" TargetMode="External"/><Relationship Id="rId2494" Type="http://schemas.openxmlformats.org/officeDocument/2006/relationships/hyperlink" Target="https://www.sterlinglawyers.com/wisdom-from-attorney-knighton/page/2/?et_blog" TargetMode="External"/><Relationship Id="rId1164" Type="http://schemas.openxmlformats.org/officeDocument/2006/relationships/hyperlink" Target="https://www.sterlinglawyers.com/wisconsin/attorneys/holly-mullin/reviews/page/2/" TargetMode="External"/><Relationship Id="rId2495" Type="http://schemas.openxmlformats.org/officeDocument/2006/relationships/hyperlink" Target="https://www.sterlinglawyers.com/case-law/page/2/?et_blog" TargetMode="External"/><Relationship Id="rId576" Type="http://schemas.openxmlformats.org/officeDocument/2006/relationships/hyperlink" Target="https://www.sterlinglawyers.com/illinois/areas/dupage-county/elmhurst/" TargetMode="External"/><Relationship Id="rId1165" Type="http://schemas.openxmlformats.org/officeDocument/2006/relationships/hyperlink" Target="https://www.sterlinglawyers.com/wisconsin/attorneys/holly-mullin/reviews/page/50/" TargetMode="External"/><Relationship Id="rId2496" Type="http://schemas.openxmlformats.org/officeDocument/2006/relationships/hyperlink" Target="https://www.sterlinglawyers.com/wisconsin/attorneys/ellen-rhodeman/reviews/page/23/" TargetMode="External"/><Relationship Id="rId575" Type="http://schemas.openxmlformats.org/officeDocument/2006/relationships/hyperlink" Target="https://www.sterlinglawyers.com/illinois/areas/cook-county/franklin-park/" TargetMode="External"/><Relationship Id="rId1166" Type="http://schemas.openxmlformats.org/officeDocument/2006/relationships/hyperlink" Target="https://www.sterlinglawyers.com/wisconsin/attorneys/jodi-chung/reviews/page/3/" TargetMode="External"/><Relationship Id="rId2497" Type="http://schemas.openxmlformats.org/officeDocument/2006/relationships/hyperlink" Target="https://www.sterlinglawyers.com/wisconsin/attorneys/ellen-rhodeman/reviews/page/22/" TargetMode="External"/><Relationship Id="rId574" Type="http://schemas.openxmlformats.org/officeDocument/2006/relationships/hyperlink" Target="https://www.sterlinglawyers.com/illinois/areas/cook-county/harwood-heights/" TargetMode="External"/><Relationship Id="rId1167" Type="http://schemas.openxmlformats.org/officeDocument/2006/relationships/hyperlink" Target="https://www.sterlinglawyers.com/wisconsin/attorneys/jodi-chung/reviews/page/2/" TargetMode="External"/><Relationship Id="rId2498" Type="http://schemas.openxmlformats.org/officeDocument/2006/relationships/hyperlink" Target="https://www.sterlinglawyers.com/wisconsin/attorneys/holly-mullin/reviews/page/22/" TargetMode="External"/><Relationship Id="rId573" Type="http://schemas.openxmlformats.org/officeDocument/2006/relationships/hyperlink" Target="https://www.sterlinglawyers.com/illinois/areas/cook-county/northlake/" TargetMode="External"/><Relationship Id="rId1168" Type="http://schemas.openxmlformats.org/officeDocument/2006/relationships/hyperlink" Target="https://www.sterlinglawyers.com/wisconsin/attorneys/jodi-chung/reviews/page/10/" TargetMode="External"/><Relationship Id="rId2499" Type="http://schemas.openxmlformats.org/officeDocument/2006/relationships/hyperlink" Target="https://www.sterlinglawyers.com/wisconsin/attorneys/nikole-messerschmidt/reviews/page/23/" TargetMode="External"/><Relationship Id="rId1190" Type="http://schemas.openxmlformats.org/officeDocument/2006/relationships/hyperlink" Target="https://www.sterlinglawyers.com/wisconsin/locations/beloit/collaborative-divorce-lawyers/" TargetMode="External"/><Relationship Id="rId1191" Type="http://schemas.openxmlformats.org/officeDocument/2006/relationships/hyperlink" Target="https://www.sterlinglawyers.com/wisconsin/locations/beloit/property-division-lawyers/" TargetMode="External"/><Relationship Id="rId1192" Type="http://schemas.openxmlformats.org/officeDocument/2006/relationships/hyperlink" Target="https://www.sterlinglawyers.com/wisconsin/locations/janesville/paternity-lawyers/" TargetMode="External"/><Relationship Id="rId1193" Type="http://schemas.openxmlformats.org/officeDocument/2006/relationships/hyperlink" Target="https://www.sterlinglawyers.com/wisconsin/locations/janesville/divorce-mediation-lawyers/" TargetMode="External"/><Relationship Id="rId1194" Type="http://schemas.openxmlformats.org/officeDocument/2006/relationships/hyperlink" Target="https://www.sterlinglawyers.com/wisconsin/locations/janesville/collaborative-divorce-lawyers/" TargetMode="External"/><Relationship Id="rId1195" Type="http://schemas.openxmlformats.org/officeDocument/2006/relationships/hyperlink" Target="https://www.sterlinglawyers.com/wisconsin/locations/janesville/child-support-lawyers/" TargetMode="External"/><Relationship Id="rId1196" Type="http://schemas.openxmlformats.org/officeDocument/2006/relationships/hyperlink" Target="https://www.sterlinglawyers.com/wisconsin/locations/janesville/military-divorce-lawyers/" TargetMode="External"/><Relationship Id="rId1197" Type="http://schemas.openxmlformats.org/officeDocument/2006/relationships/hyperlink" Target="https://www.sterlinglawyers.com/wisconsin/locations/janesville/uncontested-divorce-lawyers/" TargetMode="External"/><Relationship Id="rId1198" Type="http://schemas.openxmlformats.org/officeDocument/2006/relationships/hyperlink" Target="https://www.sterlinglawyers.com/wisconsin/locations/janesville/alimony-lawyers/" TargetMode="External"/><Relationship Id="rId1199" Type="http://schemas.openxmlformats.org/officeDocument/2006/relationships/hyperlink" Target="https://www.sterlinglawyers.com/wisconsin/locations/janesville/contested-divorce-lawyers/" TargetMode="External"/><Relationship Id="rId599" Type="http://schemas.openxmlformats.org/officeDocument/2006/relationships/hyperlink" Target="https://www.sterlinglawyers.com/wisconsin/blog/oconomowoc-property-division-lawyer/" TargetMode="External"/><Relationship Id="rId1180" Type="http://schemas.openxmlformats.org/officeDocument/2006/relationships/hyperlink" Target="https://www.sterlinglawyers.com/wisconsin/locations/brookfield/divorce-mediation-lawyers/" TargetMode="External"/><Relationship Id="rId1181" Type="http://schemas.openxmlformats.org/officeDocument/2006/relationships/hyperlink" Target="https://www.sterlinglawyers.com/wisconsin/locations/beloit/uncontested-divorce-lawyers/" TargetMode="External"/><Relationship Id="rId1182" Type="http://schemas.openxmlformats.org/officeDocument/2006/relationships/hyperlink" Target="https://www.sterlinglawyers.com/wisconsin/locations/beloit/contested-divorce-lawyers/" TargetMode="External"/><Relationship Id="rId594" Type="http://schemas.openxmlformats.org/officeDocument/2006/relationships/hyperlink" Target="https://www.sterlinglawyers.com/wisconsin/spousal-support/lose-job-going-keep-alimony-payments/" TargetMode="External"/><Relationship Id="rId1183" Type="http://schemas.openxmlformats.org/officeDocument/2006/relationships/hyperlink" Target="https://www.sterlinglawyers.com/wisconsin/locations/brookfield/uncontested-divorce-lawyers/" TargetMode="External"/><Relationship Id="rId593" Type="http://schemas.openxmlformats.org/officeDocument/2006/relationships/hyperlink" Target="https://www.sterlinglawyers.com/wisconsin/spousal-support/alimony-types/" TargetMode="External"/><Relationship Id="rId1184" Type="http://schemas.openxmlformats.org/officeDocument/2006/relationships/hyperlink" Target="https://www.sterlinglawyers.com/wisconsin/locations/beloit/alimony-lawyers/" TargetMode="External"/><Relationship Id="rId592" Type="http://schemas.openxmlformats.org/officeDocument/2006/relationships/hyperlink" Target="https://www.sterlinglawyers.com/wisconsin/child-custody/sole-orders/" TargetMode="External"/><Relationship Id="rId1185" Type="http://schemas.openxmlformats.org/officeDocument/2006/relationships/hyperlink" Target="https://www.sterlinglawyers.com/wisconsin/locations/beloit/child-support-lawyers/" TargetMode="External"/><Relationship Id="rId591" Type="http://schemas.openxmlformats.org/officeDocument/2006/relationships/hyperlink" Target="https://www.sterlinglawyers.com/wisconsin/spousal-support/moving-in-with-new-partner-impact-maintenance/" TargetMode="External"/><Relationship Id="rId1186" Type="http://schemas.openxmlformats.org/officeDocument/2006/relationships/hyperlink" Target="https://www.sterlinglawyers.com/wisconsin/locations/beloit/child-custody-lawyers/" TargetMode="External"/><Relationship Id="rId598" Type="http://schemas.openxmlformats.org/officeDocument/2006/relationships/hyperlink" Target="https://www.sterlinglawyers.com/wisconsin/blog/fair-spousal-support-oconomowoc/" TargetMode="External"/><Relationship Id="rId1187" Type="http://schemas.openxmlformats.org/officeDocument/2006/relationships/hyperlink" Target="https://www.sterlinglawyers.com/wisconsin/locations/beloit/divorce-mediation-lawyers/" TargetMode="External"/><Relationship Id="rId597" Type="http://schemas.openxmlformats.org/officeDocument/2006/relationships/hyperlink" Target="https://www.sterlinglawyers.com/wisconsin/spousal-support/i-supported-my-husband-for-nearly-9-years-while-he-pursued-a-law-degree-am-i-entitled-to-maintenance-even-though-i-am-able-to-support-myself/" TargetMode="External"/><Relationship Id="rId1188" Type="http://schemas.openxmlformats.org/officeDocument/2006/relationships/hyperlink" Target="https://www.sterlinglawyers.com/wisconsin/locations/beloit/paternity-lawyers/" TargetMode="External"/><Relationship Id="rId596" Type="http://schemas.openxmlformats.org/officeDocument/2006/relationships/hyperlink" Target="https://www.sterlinglawyers.com/wisconsin/spousal-support/can-i-receive-maintenance-in-order-to-remain-a-stay-at-home-mother/" TargetMode="External"/><Relationship Id="rId1189" Type="http://schemas.openxmlformats.org/officeDocument/2006/relationships/hyperlink" Target="https://www.sterlinglawyers.com/wisconsin/locations/beloit/military-divorce-lawyers/" TargetMode="External"/><Relationship Id="rId595" Type="http://schemas.openxmlformats.org/officeDocument/2006/relationships/hyperlink" Target="https://www.sterlinglawyers.com/wisconsin/spousal-support/divorce/" TargetMode="External"/><Relationship Id="rId1136" Type="http://schemas.openxmlformats.org/officeDocument/2006/relationships/hyperlink" Target="https://www.sterlinglawyers.com/wisconsin/attorneys/crawford-campbell/reviews/page/5/" TargetMode="External"/><Relationship Id="rId2467" Type="http://schemas.openxmlformats.org/officeDocument/2006/relationships/hyperlink" Target="https://www.sterlinglawyers.com/wisconsin/attorneys/holly-mullin/reviews/page/32/" TargetMode="External"/><Relationship Id="rId1137" Type="http://schemas.openxmlformats.org/officeDocument/2006/relationships/hyperlink" Target="https://www.sterlinglawyers.com/wisconsin/attorneys/crawford-campbell/reviews/page/3/" TargetMode="External"/><Relationship Id="rId2468" Type="http://schemas.openxmlformats.org/officeDocument/2006/relationships/hyperlink" Target="https://www.sterlinglawyers.com/wisconsin/attorneys/holly-mullin/reviews/page/33/" TargetMode="External"/><Relationship Id="rId1138" Type="http://schemas.openxmlformats.org/officeDocument/2006/relationships/hyperlink" Target="https://www.sterlinglawyers.com/wisconsin/attorneys/bailey-holt/reviews/page/3/" TargetMode="External"/><Relationship Id="rId2469" Type="http://schemas.openxmlformats.org/officeDocument/2006/relationships/hyperlink" Target="https://www.sterlinglawyers.com/reviews/page/25/" TargetMode="External"/><Relationship Id="rId1139" Type="http://schemas.openxmlformats.org/officeDocument/2006/relationships/hyperlink" Target="https://www.sterlinglawyers.com/wisconsin/attorneys/andria-adams/reviews/page/19/" TargetMode="External"/><Relationship Id="rId547" Type="http://schemas.openxmlformats.org/officeDocument/2006/relationships/hyperlink" Target="https://www.sterlinglawyers.com/wisconsin/property-division/worksheet/" TargetMode="External"/><Relationship Id="rId546" Type="http://schemas.openxmlformats.org/officeDocument/2006/relationships/hyperlink" Target="https://www.sterlinglawyers.com/wisconsin/resources/" TargetMode="External"/><Relationship Id="rId545" Type="http://schemas.openxmlformats.org/officeDocument/2006/relationships/hyperlink" Target="https://www.sterlinglawyers.com/wisconsin/child-support/" TargetMode="External"/><Relationship Id="rId544" Type="http://schemas.openxmlformats.org/officeDocument/2006/relationships/hyperlink" Target="https://www.sterlinglawyers.com/wisconsin/family-law-process/" TargetMode="External"/><Relationship Id="rId549" Type="http://schemas.openxmlformats.org/officeDocument/2006/relationships/hyperlink" Target="https://www.sterlinglawyers.com/wisconsin/property-division/" TargetMode="External"/><Relationship Id="rId548" Type="http://schemas.openxmlformats.org/officeDocument/2006/relationships/hyperlink" Target="https://www.sterlinglawyers.com/wisconsin/spousal-support/calculator/" TargetMode="External"/><Relationship Id="rId2460" Type="http://schemas.openxmlformats.org/officeDocument/2006/relationships/hyperlink" Target="https://www.sterlinglawyers.com/wisconsin/attorneys/jeffrey-morrell/reviews/page/56/" TargetMode="External"/><Relationship Id="rId1130" Type="http://schemas.openxmlformats.org/officeDocument/2006/relationships/hyperlink" Target="https://www.sterlinglawyers.com/wisconsin/attorneys/bailey-holt/reviews/page/25/" TargetMode="External"/><Relationship Id="rId2461" Type="http://schemas.openxmlformats.org/officeDocument/2006/relationships/hyperlink" Target="https://www.sterlinglawyers.com/wisconsin/attorneys/jeffrey-morrell/reviews/page/21/" TargetMode="External"/><Relationship Id="rId1131" Type="http://schemas.openxmlformats.org/officeDocument/2006/relationships/hyperlink" Target="https://www.sterlinglawyers.com/wisconsin/attorneys/austin-miller/reviews/page/3/" TargetMode="External"/><Relationship Id="rId2462" Type="http://schemas.openxmlformats.org/officeDocument/2006/relationships/hyperlink" Target="https://www.sterlinglawyers.com/wisconsin/attorneys/tiffany-vogel/reviews/page/21/" TargetMode="External"/><Relationship Id="rId543" Type="http://schemas.openxmlformats.org/officeDocument/2006/relationships/hyperlink" Target="https://www.sterlinglawyers.com/wisconsin/seminar/" TargetMode="External"/><Relationship Id="rId1132" Type="http://schemas.openxmlformats.org/officeDocument/2006/relationships/hyperlink" Target="https://www.sterlinglawyers.com/wisconsin/attorneys/ellen-rhodeman/reviews/page/55/" TargetMode="External"/><Relationship Id="rId2463" Type="http://schemas.openxmlformats.org/officeDocument/2006/relationships/hyperlink" Target="https://www.sterlinglawyers.com/wisconsin/attorneys/tiffany-vogel/reviews/page/20/" TargetMode="External"/><Relationship Id="rId542" Type="http://schemas.openxmlformats.org/officeDocument/2006/relationships/hyperlink" Target="https://www.sterlinglawyers.com/wisconsin/locations/oshkosh/" TargetMode="External"/><Relationship Id="rId1133" Type="http://schemas.openxmlformats.org/officeDocument/2006/relationships/hyperlink" Target="https://www.sterlinglawyers.com/wisconsin/attorneys/austin-miller/reviews/page/35/" TargetMode="External"/><Relationship Id="rId2464" Type="http://schemas.openxmlformats.org/officeDocument/2006/relationships/hyperlink" Target="https://www.sterlinglawyers.com/illinois/reviews/page/24/" TargetMode="External"/><Relationship Id="rId541" Type="http://schemas.openxmlformats.org/officeDocument/2006/relationships/hyperlink" Target="https://www.sterlinglawyers.com/wisconsin/locations/middleton/" TargetMode="External"/><Relationship Id="rId1134" Type="http://schemas.openxmlformats.org/officeDocument/2006/relationships/hyperlink" Target="https://www.sterlinglawyers.com/wisconsin/attorneys/kathleen-curran/reviews/page/36/" TargetMode="External"/><Relationship Id="rId2465" Type="http://schemas.openxmlformats.org/officeDocument/2006/relationships/hyperlink" Target="https://www.sterlinglawyers.com/wisconsin/attorneys/tiffany-vogel/reviews/page/31/" TargetMode="External"/><Relationship Id="rId540" Type="http://schemas.openxmlformats.org/officeDocument/2006/relationships/hyperlink" Target="https://www.sterlinglawyers.com/wisconsin/child-custody/enforce-orders/" TargetMode="External"/><Relationship Id="rId1135" Type="http://schemas.openxmlformats.org/officeDocument/2006/relationships/hyperlink" Target="https://www.sterlinglawyers.com/wisconsin/attorneys/kathleen-curran/reviews/page/3/" TargetMode="External"/><Relationship Id="rId2466" Type="http://schemas.openxmlformats.org/officeDocument/2006/relationships/hyperlink" Target="https://www.sterlinglawyers.com/wisconsin/attorneys/tiffany-vogel/reviews/page/32/" TargetMode="External"/><Relationship Id="rId1125" Type="http://schemas.openxmlformats.org/officeDocument/2006/relationships/hyperlink" Target="https://www.sterlinglawyers.com/illinois/attorneys/jeff-hughes/reviews/page/6/" TargetMode="External"/><Relationship Id="rId2456" Type="http://schemas.openxmlformats.org/officeDocument/2006/relationships/hyperlink" Target="https://www.sterlinglawyers.com/illinois/reviews/page/209/" TargetMode="External"/><Relationship Id="rId1126" Type="http://schemas.openxmlformats.org/officeDocument/2006/relationships/hyperlink" Target="https://www.sterlinglawyers.com/wisconsin/attorneys/ellen-rhodeman/reviews/page/3/" TargetMode="External"/><Relationship Id="rId2457" Type="http://schemas.openxmlformats.org/officeDocument/2006/relationships/hyperlink" Target="https://www.sterlinglawyers.com/illinois/reviews/page/207/" TargetMode="External"/><Relationship Id="rId1127" Type="http://schemas.openxmlformats.org/officeDocument/2006/relationships/hyperlink" Target="https://www.sterlinglawyers.com/wisconsin/attorneys/bailey-holt/reviews/page/2/" TargetMode="External"/><Relationship Id="rId2458" Type="http://schemas.openxmlformats.org/officeDocument/2006/relationships/hyperlink" Target="https://www.sterlinglawyers.com/wisconsin/attorneys/nikole-messerschmidt/reviews/page/35/" TargetMode="External"/><Relationship Id="rId1128" Type="http://schemas.openxmlformats.org/officeDocument/2006/relationships/hyperlink" Target="https://www.sterlinglawyers.com/illinois/attorneys/jacqueline-mcclellan/reviews/page/10/" TargetMode="External"/><Relationship Id="rId2459" Type="http://schemas.openxmlformats.org/officeDocument/2006/relationships/hyperlink" Target="https://www.sterlinglawyers.com/wisconsin/blog/page/12/?et_blog" TargetMode="External"/><Relationship Id="rId1129" Type="http://schemas.openxmlformats.org/officeDocument/2006/relationships/hyperlink" Target="https://www.sterlinglawyers.com/wisconsin/attorneys/ellen-rhodeman/reviews/page/2/" TargetMode="External"/><Relationship Id="rId536" Type="http://schemas.openxmlformats.org/officeDocument/2006/relationships/hyperlink" Target="https://www.sterlinglawyers.com/wisconsin/child-support/calculator/" TargetMode="External"/><Relationship Id="rId535" Type="http://schemas.openxmlformats.org/officeDocument/2006/relationships/hyperlink" Target="https://www.sterlinglawyers.com/wisconsin/blog/kenosha-child-custody-attorneys-preserving-familial-bonds/" TargetMode="External"/><Relationship Id="rId534" Type="http://schemas.openxmlformats.org/officeDocument/2006/relationships/hyperlink" Target="https://www.sterlinglawyers.com/wisconsin/divorce/uncontested-divorce/" TargetMode="External"/><Relationship Id="rId533" Type="http://schemas.openxmlformats.org/officeDocument/2006/relationships/hyperlink" Target="https://www.sterlinglawyers.com/wisconsin/locations/jefferson/" TargetMode="External"/><Relationship Id="rId539" Type="http://schemas.openxmlformats.org/officeDocument/2006/relationships/hyperlink" Target="https://www.sterlinglawyers.com/wisconsin/attorneys/emily-wojnowski/reviews/" TargetMode="External"/><Relationship Id="rId538" Type="http://schemas.openxmlformats.org/officeDocument/2006/relationships/hyperlink" Target="https://www.sterlinglawyers.com/wisconsin/guardianship/" TargetMode="External"/><Relationship Id="rId537" Type="http://schemas.openxmlformats.org/officeDocument/2006/relationships/hyperlink" Target="https://www.sterlinglawyers.com/wisconsin/divorce/diy/" TargetMode="External"/><Relationship Id="rId2450" Type="http://schemas.openxmlformats.org/officeDocument/2006/relationships/hyperlink" Target="https://www.sterlinglawyers.com/illinois/reviews/page/25/" TargetMode="External"/><Relationship Id="rId1120" Type="http://schemas.openxmlformats.org/officeDocument/2006/relationships/hyperlink" Target="https://www.sterlinglawyers.com/illinois/attorneys/jeff-hughes/reviews/page/10/" TargetMode="External"/><Relationship Id="rId2451" Type="http://schemas.openxmlformats.org/officeDocument/2006/relationships/hyperlink" Target="https://www.sterlinglawyers.com/reviews/page/209/" TargetMode="External"/><Relationship Id="rId532" Type="http://schemas.openxmlformats.org/officeDocument/2006/relationships/hyperlink" Target="https://www.sterlinglawyers.com/wisconsin/divorce/cost/" TargetMode="External"/><Relationship Id="rId1121" Type="http://schemas.openxmlformats.org/officeDocument/2006/relationships/hyperlink" Target="https://www.sterlinglawyers.com/illinois/attorneys/alexandra-isroff/reviews/page/39/" TargetMode="External"/><Relationship Id="rId2452" Type="http://schemas.openxmlformats.org/officeDocument/2006/relationships/hyperlink" Target="https://www.sterlinglawyers.com/reviews/page/208/" TargetMode="External"/><Relationship Id="rId531" Type="http://schemas.openxmlformats.org/officeDocument/2006/relationships/hyperlink" Target="https://www.sterlinglawyers.com/wisconsin/family-law-case-types-cost/" TargetMode="External"/><Relationship Id="rId1122" Type="http://schemas.openxmlformats.org/officeDocument/2006/relationships/hyperlink" Target="https://www.sterlinglawyers.com/wisconsin/attorneys/jeff-hughes/reviews/page/13/" TargetMode="External"/><Relationship Id="rId2453" Type="http://schemas.openxmlformats.org/officeDocument/2006/relationships/hyperlink" Target="https://www.sterlinglawyers.com/reviews/page/24/" TargetMode="External"/><Relationship Id="rId530" Type="http://schemas.openxmlformats.org/officeDocument/2006/relationships/hyperlink" Target="https://www.sterlinglawyers.com/wisconsin/locations/oconomowoc/" TargetMode="External"/><Relationship Id="rId1123" Type="http://schemas.openxmlformats.org/officeDocument/2006/relationships/hyperlink" Target="https://www.sterlinglawyers.com/wisconsin/attorneys/jeff-hughes/reviews/page/2/" TargetMode="External"/><Relationship Id="rId2454" Type="http://schemas.openxmlformats.org/officeDocument/2006/relationships/hyperlink" Target="https://www.sterlinglawyers.com/illinois/attorneys/nina-kelly/reviews/page/24/" TargetMode="External"/><Relationship Id="rId1124" Type="http://schemas.openxmlformats.org/officeDocument/2006/relationships/hyperlink" Target="https://www.sterlinglawyers.com/wisconsin/attorneys/jeff-hughes/reviews/page/3/" TargetMode="External"/><Relationship Id="rId2455" Type="http://schemas.openxmlformats.org/officeDocument/2006/relationships/hyperlink" Target="https://www.sterlinglawyers.com/wisconsin/reviews/page/209/" TargetMode="External"/><Relationship Id="rId1158" Type="http://schemas.openxmlformats.org/officeDocument/2006/relationships/hyperlink" Target="https://www.sterlinglawyers.com/wisconsin/attorneys/tiffany-vogel/reviews/page/49/" TargetMode="External"/><Relationship Id="rId2489" Type="http://schemas.openxmlformats.org/officeDocument/2006/relationships/hyperlink" Target="https://www.sterlinglawyers.com/wisconsin/reviews/page/24/" TargetMode="External"/><Relationship Id="rId1159" Type="http://schemas.openxmlformats.org/officeDocument/2006/relationships/hyperlink" Target="https://www.sterlinglawyers.com/wisconsin/attorneys/tiffany-vogel/reviews/page/2/" TargetMode="External"/><Relationship Id="rId569" Type="http://schemas.openxmlformats.org/officeDocument/2006/relationships/hyperlink" Target="https://www.sterlinglawyers.com/illinois/areas/cook-county/rolling-meadows/" TargetMode="External"/><Relationship Id="rId568" Type="http://schemas.openxmlformats.org/officeDocument/2006/relationships/hyperlink" Target="https://www.sterlinglawyers.com/wisconsin/spousal-support/enforce-orders/" TargetMode="External"/><Relationship Id="rId567" Type="http://schemas.openxmlformats.org/officeDocument/2006/relationships/hyperlink" Target="https://www.sterlinglawyers.com/illinois/areas/dupage-county/villa-park/" TargetMode="External"/><Relationship Id="rId566" Type="http://schemas.openxmlformats.org/officeDocument/2006/relationships/hyperlink" Target="https://www.sterlinglawyers.com/wisconsin/child-custody/third-party-orders/" TargetMode="External"/><Relationship Id="rId2480" Type="http://schemas.openxmlformats.org/officeDocument/2006/relationships/hyperlink" Target="https://www.sterlinglawyers.com/case-law/" TargetMode="External"/><Relationship Id="rId561" Type="http://schemas.openxmlformats.org/officeDocument/2006/relationships/hyperlink" Target="https://www.sterlinglawyers.com/wisconsin/divorce/same-sex-marriage/" TargetMode="External"/><Relationship Id="rId1150" Type="http://schemas.openxmlformats.org/officeDocument/2006/relationships/hyperlink" Target="https://www.sterlinglawyers.com/wisconsin/attorneys/jeffrey-morrell/reviews/page/2/" TargetMode="External"/><Relationship Id="rId2481" Type="http://schemas.openxmlformats.org/officeDocument/2006/relationships/hyperlink" Target="https://www.sterlinglawyers.com/wisdom-from-attorney-knighton/" TargetMode="External"/><Relationship Id="rId560" Type="http://schemas.openxmlformats.org/officeDocument/2006/relationships/hyperlink" Target="https://www.sterlinglawyers.com/wisconsin/child-custody/adultery/" TargetMode="External"/><Relationship Id="rId1151" Type="http://schemas.openxmlformats.org/officeDocument/2006/relationships/hyperlink" Target="https://www.sterlinglawyers.com/wisconsin/attorneys/abigail-henderson/reviews/page/2/" TargetMode="External"/><Relationship Id="rId2482" Type="http://schemas.openxmlformats.org/officeDocument/2006/relationships/hyperlink" Target="https://www.sterlinglawyers.com/wisconsin/attorneys/robert-keenan/reviews/page/20/" TargetMode="External"/><Relationship Id="rId1152" Type="http://schemas.openxmlformats.org/officeDocument/2006/relationships/hyperlink" Target="https://www.sterlinglawyers.com/wisconsin/attorneys/abigail-henderson/reviews/page/20/" TargetMode="External"/><Relationship Id="rId2483" Type="http://schemas.openxmlformats.org/officeDocument/2006/relationships/hyperlink" Target="https://www.sterlinglawyers.com/meet-us/" TargetMode="External"/><Relationship Id="rId1153" Type="http://schemas.openxmlformats.org/officeDocument/2006/relationships/hyperlink" Target="https://www.sterlinglawyers.com/wisconsin/attorneys/robert-keenan/reviews/page/38/" TargetMode="External"/><Relationship Id="rId2484" Type="http://schemas.openxmlformats.org/officeDocument/2006/relationships/hyperlink" Target="https://www.sterlinglawyers.com/blog/blog/" TargetMode="External"/><Relationship Id="rId565" Type="http://schemas.openxmlformats.org/officeDocument/2006/relationships/hyperlink" Target="https://www.sterlinglawyers.com/wisconsin/child-custody/difference-custody-placement/" TargetMode="External"/><Relationship Id="rId1154" Type="http://schemas.openxmlformats.org/officeDocument/2006/relationships/hyperlink" Target="https://www.sterlinglawyers.com/wisconsin/attorneys/robert-keenan/reviews/page/2/" TargetMode="External"/><Relationship Id="rId2485" Type="http://schemas.openxmlformats.org/officeDocument/2006/relationships/hyperlink" Target="https://www.sterlinglawyers.com/wisconsin/reviews/page/23/" TargetMode="External"/><Relationship Id="rId564" Type="http://schemas.openxmlformats.org/officeDocument/2006/relationships/hyperlink" Target="https://www.sterlinglawyers.com/wisconsin/property-division/postnuptial-agreements/" TargetMode="External"/><Relationship Id="rId1155" Type="http://schemas.openxmlformats.org/officeDocument/2006/relationships/hyperlink" Target="https://www.sterlinglawyers.com/wisconsin/attorneys/abigail-henderson/reviews/page/3/" TargetMode="External"/><Relationship Id="rId2486" Type="http://schemas.openxmlformats.org/officeDocument/2006/relationships/hyperlink" Target="https://www.sterlinglawyers.com/wisconsin/reviews/page/22/" TargetMode="External"/><Relationship Id="rId563" Type="http://schemas.openxmlformats.org/officeDocument/2006/relationships/hyperlink" Target="https://www.sterlinglawyers.com/wisconsin/divorce/abandonment/" TargetMode="External"/><Relationship Id="rId1156" Type="http://schemas.openxmlformats.org/officeDocument/2006/relationships/hyperlink" Target="https://www.sterlinglawyers.com/wisconsin/attorneys/andria-adams/reviews/page/2/" TargetMode="External"/><Relationship Id="rId2487" Type="http://schemas.openxmlformats.org/officeDocument/2006/relationships/hyperlink" Target="https://www.sterlinglawyers.com/flourishing-families/" TargetMode="External"/><Relationship Id="rId562" Type="http://schemas.openxmlformats.org/officeDocument/2006/relationships/hyperlink" Target="https://www.sterlinglawyers.com/wisconsin/property-division/prenuptial-agreements/" TargetMode="External"/><Relationship Id="rId1157" Type="http://schemas.openxmlformats.org/officeDocument/2006/relationships/hyperlink" Target="https://www.sterlinglawyers.com/wisconsin/attorneys/tiffany-vogel/reviews/page/3/" TargetMode="External"/><Relationship Id="rId2488" Type="http://schemas.openxmlformats.org/officeDocument/2006/relationships/hyperlink" Target="https://www.sterlinglawyers.com/flourishing-families/page/2/?et_blog" TargetMode="External"/><Relationship Id="rId1147" Type="http://schemas.openxmlformats.org/officeDocument/2006/relationships/hyperlink" Target="https://www.sterlinglawyers.com/wisconsin/attorneys/jeffrey-morrell/reviews/page/3/" TargetMode="External"/><Relationship Id="rId2478" Type="http://schemas.openxmlformats.org/officeDocument/2006/relationships/hyperlink" Target="https://www.sterlinglawyers.com/wisconsin/attorneys/ellen-rhodeman/reviews/page/37/" TargetMode="External"/><Relationship Id="rId1148" Type="http://schemas.openxmlformats.org/officeDocument/2006/relationships/hyperlink" Target="https://www.sterlinglawyers.com/wisconsin/attorneys/jeffrey-morrell/reviews/page/74/" TargetMode="External"/><Relationship Id="rId2479" Type="http://schemas.openxmlformats.org/officeDocument/2006/relationships/hyperlink" Target="https://www.sterlinglawyers.com/wisconsin/attorneys/ellen-rhodeman/reviews/page/38/" TargetMode="External"/><Relationship Id="rId1149" Type="http://schemas.openxmlformats.org/officeDocument/2006/relationships/hyperlink" Target="https://www.sterlinglawyers.com/wisconsin/attorneys/crawford-campbell/reviews/page/2/" TargetMode="External"/><Relationship Id="rId558" Type="http://schemas.openxmlformats.org/officeDocument/2006/relationships/hyperlink" Target="https://www.sterlinglawyers.com/wisconsin/property-division/survivorship-marital-property/" TargetMode="External"/><Relationship Id="rId557" Type="http://schemas.openxmlformats.org/officeDocument/2006/relationships/hyperlink" Target="https://www.sterlinglawyers.com/wisconsin/property-division/inheritance-marital-property/" TargetMode="External"/><Relationship Id="rId556" Type="http://schemas.openxmlformats.org/officeDocument/2006/relationships/hyperlink" Target="https://www.sterlinglawyers.com/wisconsin/spousal-support/tax-implications/" TargetMode="External"/><Relationship Id="rId555" Type="http://schemas.openxmlformats.org/officeDocument/2006/relationships/hyperlink" Target="https://www.sterlinglawyers.com/wisconsin/divorce/collaborative/" TargetMode="External"/><Relationship Id="rId559" Type="http://schemas.openxmlformats.org/officeDocument/2006/relationships/hyperlink" Target="https://www.sterlinglawyers.com/wisconsin/child-custody/physical-custody/" TargetMode="External"/><Relationship Id="rId550" Type="http://schemas.openxmlformats.org/officeDocument/2006/relationships/hyperlink" Target="https://www.sterlinglawyers.com/wisconsin/locations/menomonee-falls/" TargetMode="External"/><Relationship Id="rId2470" Type="http://schemas.openxmlformats.org/officeDocument/2006/relationships/hyperlink" Target="https://www.sterlinglawyers.com/wisconsin/attorneys/jeffrey-morrell/reviews/page/20/" TargetMode="External"/><Relationship Id="rId1140" Type="http://schemas.openxmlformats.org/officeDocument/2006/relationships/hyperlink" Target="https://www.sterlinglawyers.com/wisconsin/attorneys/andria-adams/reviews/page/3/" TargetMode="External"/><Relationship Id="rId2471" Type="http://schemas.openxmlformats.org/officeDocument/2006/relationships/hyperlink" Target="https://www.sterlinglawyers.com/wisconsin/attorneys/robert-keenan/reviews/page/21/" TargetMode="External"/><Relationship Id="rId1141" Type="http://schemas.openxmlformats.org/officeDocument/2006/relationships/hyperlink" Target="https://www.sterlinglawyers.com/wisconsin/attorneys/austin-miller/reviews/page/2/" TargetMode="External"/><Relationship Id="rId2472" Type="http://schemas.openxmlformats.org/officeDocument/2006/relationships/hyperlink" Target="https://www.sterlinglawyers.com/wisconsin/attorneys/nikole-messerschmidt/reviews/page/21/" TargetMode="External"/><Relationship Id="rId1142" Type="http://schemas.openxmlformats.org/officeDocument/2006/relationships/hyperlink" Target="https://www.sterlinglawyers.com/wisconsin/blog/discovering-paternity-rights-legal-steps-kenosha/" TargetMode="External"/><Relationship Id="rId2473" Type="http://schemas.openxmlformats.org/officeDocument/2006/relationships/hyperlink" Target="https://www.sterlinglawyers.com/wisconsin/attorneys/nikole-messerschmidt/reviews/page/20/" TargetMode="External"/><Relationship Id="rId554" Type="http://schemas.openxmlformats.org/officeDocument/2006/relationships/hyperlink" Target="https://www.sterlinglawyers.com/wisconsin/locations/racine/" TargetMode="External"/><Relationship Id="rId1143" Type="http://schemas.openxmlformats.org/officeDocument/2006/relationships/hyperlink" Target="https://www.sterlinglawyers.com/wisconsin/attorneys/kathleen-curran/reviews/page/2/" TargetMode="External"/><Relationship Id="rId2474" Type="http://schemas.openxmlformats.org/officeDocument/2006/relationships/hyperlink" Target="https://www.sterlinglawyers.com/wisconsin/attorneys/nikole-messerschmidt/reviews/page/36/" TargetMode="External"/><Relationship Id="rId553" Type="http://schemas.openxmlformats.org/officeDocument/2006/relationships/hyperlink" Target="https://www.sterlinglawyers.com/wisconsin/locations/waukesha/" TargetMode="External"/><Relationship Id="rId1144" Type="http://schemas.openxmlformats.org/officeDocument/2006/relationships/hyperlink" Target="https://www.sterlinglawyers.com/wisconsin/attorneys/jack-braaten/reviews/page/29/" TargetMode="External"/><Relationship Id="rId2475" Type="http://schemas.openxmlformats.org/officeDocument/2006/relationships/hyperlink" Target="https://www.sterlinglawyers.com/wisconsin/reviews/page/210/" TargetMode="External"/><Relationship Id="rId552" Type="http://schemas.openxmlformats.org/officeDocument/2006/relationships/hyperlink" Target="https://www.sterlinglawyers.com/wisconsin/divorce/forms/" TargetMode="External"/><Relationship Id="rId1145" Type="http://schemas.openxmlformats.org/officeDocument/2006/relationships/hyperlink" Target="https://www.sterlinglawyers.com/wisconsin/attorneys/jack-braaten/reviews/page/3/" TargetMode="External"/><Relationship Id="rId2476" Type="http://schemas.openxmlformats.org/officeDocument/2006/relationships/hyperlink" Target="https://www.sterlinglawyers.com/wisconsin/attorneys/holly-mullin/reviews/page/20/" TargetMode="External"/><Relationship Id="rId551" Type="http://schemas.openxmlformats.org/officeDocument/2006/relationships/hyperlink" Target="https://www.sterlinglawyers.com/wisconsin/locations/fond-du-lac/" TargetMode="External"/><Relationship Id="rId1146" Type="http://schemas.openxmlformats.org/officeDocument/2006/relationships/hyperlink" Target="https://www.sterlinglawyers.com/wisconsin/attorneys/jack-braaten/reviews/page/2/" TargetMode="External"/><Relationship Id="rId2477" Type="http://schemas.openxmlformats.org/officeDocument/2006/relationships/hyperlink" Target="https://www.sterlinglawyers.com/wisconsin/attorneys/jeffrey-morrell/reviews/page/57/" TargetMode="External"/><Relationship Id="rId495" Type="http://schemas.openxmlformats.org/officeDocument/2006/relationships/hyperlink" Target="https://www.sterlinglawyers.com/wisconsin/attorneys/kathleen-curran/reviews/" TargetMode="External"/><Relationship Id="rId494" Type="http://schemas.openxmlformats.org/officeDocument/2006/relationships/hyperlink" Target="https://www.sterlinglawyers.com/wisconsin/attorneys/austin-miller/reviews/" TargetMode="External"/><Relationship Id="rId493" Type="http://schemas.openxmlformats.org/officeDocument/2006/relationships/hyperlink" Target="https://www.sterlinglawyers.com/wisconsin/attorneys/bailey-holt/reviews/" TargetMode="External"/><Relationship Id="rId492" Type="http://schemas.openxmlformats.org/officeDocument/2006/relationships/hyperlink" Target="https://www.sterlinglawyers.com/wisconsin/attorneys/ellen-rhodeman/reviews/" TargetMode="External"/><Relationship Id="rId499" Type="http://schemas.openxmlformats.org/officeDocument/2006/relationships/hyperlink" Target="https://www.sterlinglawyers.com/wisconsin/attorneys/jodi-chung/" TargetMode="External"/><Relationship Id="rId498" Type="http://schemas.openxmlformats.org/officeDocument/2006/relationships/hyperlink" Target="https://www.sterlinglawyers.com/wisconsin/attorneys/andria-adams/reviews/" TargetMode="External"/><Relationship Id="rId497" Type="http://schemas.openxmlformats.org/officeDocument/2006/relationships/hyperlink" Target="https://www.sterlinglawyers.com/wisconsin/attorneys/lindsay-houghton/reviews/" TargetMode="External"/><Relationship Id="rId496" Type="http://schemas.openxmlformats.org/officeDocument/2006/relationships/hyperlink" Target="https://www.sterlinglawyers.com/wisconsin/attorneys/crawford-campbell/reviews/" TargetMode="External"/><Relationship Id="rId1213" Type="http://schemas.openxmlformats.org/officeDocument/2006/relationships/hyperlink" Target="https://www.sterlinglawyers.com/wisconsin/locations/baraboo/military-divorce-lawyers/" TargetMode="External"/><Relationship Id="rId2544" Type="http://schemas.openxmlformats.org/officeDocument/2006/relationships/hyperlink" Target="https://www.sterlinglawyers.com/illinois/reviews/page/28/" TargetMode="External"/><Relationship Id="rId1214" Type="http://schemas.openxmlformats.org/officeDocument/2006/relationships/hyperlink" Target="https://www.sterlinglawyers.com/wisconsin/locations/baraboo/divorce-mediation-lawyers/" TargetMode="External"/><Relationship Id="rId2545" Type="http://schemas.openxmlformats.org/officeDocument/2006/relationships/hyperlink" Target="https://www.sterlinglawyers.com/wisconsin/attorneys/ellen-rhodeman/reviews/page/24/" TargetMode="External"/><Relationship Id="rId1215" Type="http://schemas.openxmlformats.org/officeDocument/2006/relationships/hyperlink" Target="https://www.sterlinglawyers.com/wisconsin/locations/baraboo/contested-divorce-lawyers/" TargetMode="External"/><Relationship Id="rId2546" Type="http://schemas.openxmlformats.org/officeDocument/2006/relationships/hyperlink" Target="https://www.sterlinglawyers.com/reviews/page/205/" TargetMode="External"/><Relationship Id="rId1216" Type="http://schemas.openxmlformats.org/officeDocument/2006/relationships/hyperlink" Target="https://www.sterlinglawyers.com/wisconsin/locations/baraboo/child-custody-lawyers/" TargetMode="External"/><Relationship Id="rId2547" Type="http://schemas.openxmlformats.org/officeDocument/2006/relationships/hyperlink" Target="https://www.sterlinglawyers.com/reviews/page/204/" TargetMode="External"/><Relationship Id="rId1217" Type="http://schemas.openxmlformats.org/officeDocument/2006/relationships/hyperlink" Target="https://www.sterlinglawyers.com/wisconsin/locations/baraboo/property-division-lawyers/" TargetMode="External"/><Relationship Id="rId2548" Type="http://schemas.openxmlformats.org/officeDocument/2006/relationships/hyperlink" Target="https://www.sterlinglawyers.com/wisconsin/reviews/page/205/" TargetMode="External"/><Relationship Id="rId1218" Type="http://schemas.openxmlformats.org/officeDocument/2006/relationships/hyperlink" Target="https://www.sterlinglawyers.com/wisconsin/locations/baraboo/collaborative-divorce-lawyers/" TargetMode="External"/><Relationship Id="rId2549" Type="http://schemas.openxmlformats.org/officeDocument/2006/relationships/hyperlink" Target="https://www.sterlinglawyers.com/illinois/reviews/page/203/" TargetMode="External"/><Relationship Id="rId1219" Type="http://schemas.openxmlformats.org/officeDocument/2006/relationships/hyperlink" Target="https://www.sterlinglawyers.com/wisconsin/locations/baraboo/alimony-lawyers/" TargetMode="External"/><Relationship Id="rId2540" Type="http://schemas.openxmlformats.org/officeDocument/2006/relationships/hyperlink" Target="https://www.sterlinglawyers.com/flourishing-families/?et_blog" TargetMode="External"/><Relationship Id="rId1210" Type="http://schemas.openxmlformats.org/officeDocument/2006/relationships/hyperlink" Target="https://www.sterlinglawyers.com/wisconsin/locations/kenosha/collaborative-divorce-lawyers/" TargetMode="External"/><Relationship Id="rId2541" Type="http://schemas.openxmlformats.org/officeDocument/2006/relationships/hyperlink" Target="https://www.sterlinglawyers.com/flourishing-families/page/3/?et_blog" TargetMode="External"/><Relationship Id="rId1211" Type="http://schemas.openxmlformats.org/officeDocument/2006/relationships/hyperlink" Target="https://www.sterlinglawyers.com/wisconsin/locations/baraboo/paternity-lawyers/" TargetMode="External"/><Relationship Id="rId2542" Type="http://schemas.openxmlformats.org/officeDocument/2006/relationships/hyperlink" Target="https://www.sterlinglawyers.com/flourishing-families/parenting-coaching/" TargetMode="External"/><Relationship Id="rId1212" Type="http://schemas.openxmlformats.org/officeDocument/2006/relationships/hyperlink" Target="https://www.sterlinglawyers.com/wisconsin/locations/kenosha/divorce-mediation-lawyers/" TargetMode="External"/><Relationship Id="rId2543" Type="http://schemas.openxmlformats.org/officeDocument/2006/relationships/hyperlink" Target="https://www.sterlinglawyers.com/illinois/reviews/page/29/" TargetMode="External"/><Relationship Id="rId1202" Type="http://schemas.openxmlformats.org/officeDocument/2006/relationships/hyperlink" Target="https://www.sterlinglawyers.com/wisconsin/locations/kenosha/uncontested-divorce-lawyers/" TargetMode="External"/><Relationship Id="rId2533" Type="http://schemas.openxmlformats.org/officeDocument/2006/relationships/hyperlink" Target="https://www.sterlinglawyers.com/wisconsin/attorneys/nikole-messerschmidt/reviews/page/24/" TargetMode="External"/><Relationship Id="rId1203" Type="http://schemas.openxmlformats.org/officeDocument/2006/relationships/hyperlink" Target="https://www.sterlinglawyers.com/wisconsin/locations/kenosha/child-custody-lawyers/" TargetMode="External"/><Relationship Id="rId2534" Type="http://schemas.openxmlformats.org/officeDocument/2006/relationships/hyperlink" Target="https://www.sterlinglawyers.com/case-law/page/3/?et_blog" TargetMode="External"/><Relationship Id="rId1204" Type="http://schemas.openxmlformats.org/officeDocument/2006/relationships/hyperlink" Target="https://www.sterlinglawyers.com/wisconsin/locations/kenosha/alimony-lawyers/" TargetMode="External"/><Relationship Id="rId2535" Type="http://schemas.openxmlformats.org/officeDocument/2006/relationships/hyperlink" Target="https://www.sterlinglawyers.com/wisdom-from-attorney-knighton/?et_blog" TargetMode="External"/><Relationship Id="rId1205" Type="http://schemas.openxmlformats.org/officeDocument/2006/relationships/hyperlink" Target="https://www.sterlinglawyers.com/wisconsin/locations/kenosha/paternity-lawyers/" TargetMode="External"/><Relationship Id="rId2536" Type="http://schemas.openxmlformats.org/officeDocument/2006/relationships/hyperlink" Target="https://www.sterlinglawyers.com/case-law/?et_blog" TargetMode="External"/><Relationship Id="rId1206" Type="http://schemas.openxmlformats.org/officeDocument/2006/relationships/hyperlink" Target="https://www.sterlinglawyers.com/wisconsin/locations/kenosha/military-divorce-lawyers/" TargetMode="External"/><Relationship Id="rId2537" Type="http://schemas.openxmlformats.org/officeDocument/2006/relationships/hyperlink" Target="https://www.sterlinglawyers.com/wisdom-from-attorney-knighton/page/3/?et_blog" TargetMode="External"/><Relationship Id="rId1207" Type="http://schemas.openxmlformats.org/officeDocument/2006/relationships/hyperlink" Target="https://www.sterlinglawyers.com/wisconsin/locations/kenosha/child-support-lawyers/" TargetMode="External"/><Relationship Id="rId2538" Type="http://schemas.openxmlformats.org/officeDocument/2006/relationships/hyperlink" Target="https://www.sterlinglawyers.com/wisconsin/attorneys/holly-mullin/reviews/page/24/" TargetMode="External"/><Relationship Id="rId1208" Type="http://schemas.openxmlformats.org/officeDocument/2006/relationships/hyperlink" Target="https://www.sterlinglawyers.com/wisconsin/locations/kenosha/contested-divorce-lawyers/" TargetMode="External"/><Relationship Id="rId2539" Type="http://schemas.openxmlformats.org/officeDocument/2006/relationships/hyperlink" Target="https://www.sterlinglawyers.com/wisconsin/attorneys/holly-mullin/reviews/page/25/" TargetMode="External"/><Relationship Id="rId1209" Type="http://schemas.openxmlformats.org/officeDocument/2006/relationships/hyperlink" Target="https://www.sterlinglawyers.com/wisconsin/locations/kenosha/property-division-lawyers/" TargetMode="External"/><Relationship Id="rId2530" Type="http://schemas.openxmlformats.org/officeDocument/2006/relationships/hyperlink" Target="https://www.sterlinglawyers.com/meet-us/page/3/?et_blog" TargetMode="External"/><Relationship Id="rId1200" Type="http://schemas.openxmlformats.org/officeDocument/2006/relationships/hyperlink" Target="https://www.sterlinglawyers.com/wisconsin/locations/janesville/property-division-lawyers/" TargetMode="External"/><Relationship Id="rId2531" Type="http://schemas.openxmlformats.org/officeDocument/2006/relationships/hyperlink" Target="https://www.sterlinglawyers.com/wisconsin/reviews/page/27/" TargetMode="External"/><Relationship Id="rId1201" Type="http://schemas.openxmlformats.org/officeDocument/2006/relationships/hyperlink" Target="https://www.sterlinglawyers.com/wisconsin/locations/janesville/child-custody-lawyers/" TargetMode="External"/><Relationship Id="rId2532" Type="http://schemas.openxmlformats.org/officeDocument/2006/relationships/hyperlink" Target="https://www.sterlinglawyers.com/wisconsin/attorneys/nikole-messerschmidt/reviews/page/25/" TargetMode="External"/><Relationship Id="rId1235" Type="http://schemas.openxmlformats.org/officeDocument/2006/relationships/hyperlink" Target="https://www.sterlinglawyers.com/wisconsin/blog/waukesha-attorney-compassionate-support-contested-divorces/" TargetMode="External"/><Relationship Id="rId2566" Type="http://schemas.openxmlformats.org/officeDocument/2006/relationships/hyperlink" Target="https://www.sterlinglawyers.com/wisconsin/attorneys/jeffrey-morrell/reviews/page/25/" TargetMode="External"/><Relationship Id="rId1236" Type="http://schemas.openxmlformats.org/officeDocument/2006/relationships/hyperlink" Target="https://www.sterlinglawyers.com/wisconsin/blog/glimmer-hope-child-custody-battles-menomonee-falls-attorney/" TargetMode="External"/><Relationship Id="rId2567" Type="http://schemas.openxmlformats.org/officeDocument/2006/relationships/hyperlink" Target="https://www.sterlinglawyers.com/reviews/page/29/" TargetMode="External"/><Relationship Id="rId1237" Type="http://schemas.openxmlformats.org/officeDocument/2006/relationships/hyperlink" Target="https://www.sterlinglawyers.com/wisconsin/blog/divorce-mequon-compassion-meets-judicial-precision/" TargetMode="External"/><Relationship Id="rId2568" Type="http://schemas.openxmlformats.org/officeDocument/2006/relationships/hyperlink" Target="https://www.sterlinglawyers.com/wisconsin/attorneys/tiffany-vogel/reviews/page/24/" TargetMode="External"/><Relationship Id="rId1238" Type="http://schemas.openxmlformats.org/officeDocument/2006/relationships/hyperlink" Target="https://www.sterlinglawyers.com/wisconsin/blog/guiding-light-through-jefferson-uncontested-divorce-intricacies/" TargetMode="External"/><Relationship Id="rId2569" Type="http://schemas.openxmlformats.org/officeDocument/2006/relationships/hyperlink" Target="https://www.sterlinglawyers.com/wisconsin/attorneys/holly-mullin/reviews/page/28/" TargetMode="External"/><Relationship Id="rId1239" Type="http://schemas.openxmlformats.org/officeDocument/2006/relationships/hyperlink" Target="https://www.sterlinglawyers.com/wisconsin/blog/?et_blog" TargetMode="External"/><Relationship Id="rId409" Type="http://schemas.openxmlformats.org/officeDocument/2006/relationships/hyperlink" Target="https://www.sterlinglawyers.com/reviews/page/5/" TargetMode="External"/><Relationship Id="rId404" Type="http://schemas.openxmlformats.org/officeDocument/2006/relationships/hyperlink" Target="https://www.sterlinglawyers.com/illinois/child-custody/temporary-parental-responsibilities/" TargetMode="External"/><Relationship Id="rId403" Type="http://schemas.openxmlformats.org/officeDocument/2006/relationships/hyperlink" Target="https://www.sterlinglawyers.com/illinois/attorneys/katie-vandeusen/reviews/page/4/" TargetMode="External"/><Relationship Id="rId402" Type="http://schemas.openxmlformats.org/officeDocument/2006/relationships/hyperlink" Target="https://www.sterlinglawyers.com/illinois/attorneys/katie-vandeusen/reviews/page/5/" TargetMode="External"/><Relationship Id="rId401" Type="http://schemas.openxmlformats.org/officeDocument/2006/relationships/hyperlink" Target="https://www.sterlinglawyers.com/illinois/attorneys/katie-vandeusen/reviews/page/28/" TargetMode="External"/><Relationship Id="rId408" Type="http://schemas.openxmlformats.org/officeDocument/2006/relationships/hyperlink" Target="https://www.sterlinglawyers.com/reviews/page/228/" TargetMode="External"/><Relationship Id="rId407" Type="http://schemas.openxmlformats.org/officeDocument/2006/relationships/hyperlink" Target="https://www.sterlinglawyers.com/illinois/attorneys/alexandra-isroff/reviews/page/5/" TargetMode="External"/><Relationship Id="rId406" Type="http://schemas.openxmlformats.org/officeDocument/2006/relationships/hyperlink" Target="https://www.sterlinglawyers.com/reviews/page/229/" TargetMode="External"/><Relationship Id="rId405" Type="http://schemas.openxmlformats.org/officeDocument/2006/relationships/hyperlink" Target="https://www.sterlinglawyers.com/reviews/page/4/" TargetMode="External"/><Relationship Id="rId2560" Type="http://schemas.openxmlformats.org/officeDocument/2006/relationships/hyperlink" Target="https://www.sterlinglawyers.com/wisconsin/reviews/page/26/" TargetMode="External"/><Relationship Id="rId1230" Type="http://schemas.openxmlformats.org/officeDocument/2006/relationships/hyperlink" Target="https://www.sterlinglawyers.com/wisconsin/blog/beloit-military-divorce-lawyers-guidance/" TargetMode="External"/><Relationship Id="rId2561" Type="http://schemas.openxmlformats.org/officeDocument/2006/relationships/hyperlink" Target="https://www.sterlinglawyers.com/wisconsin/reviews/page/206/" TargetMode="External"/><Relationship Id="rId400" Type="http://schemas.openxmlformats.org/officeDocument/2006/relationships/hyperlink" Target="https://www.sterlinglawyers.com/illinois/attorneys/katie-vandeusen/reviews/page/29/" TargetMode="External"/><Relationship Id="rId1231" Type="http://schemas.openxmlformats.org/officeDocument/2006/relationships/hyperlink" Target="https://www.sterlinglawyers.com/wisconsin/blog/west-bend-child-custody-lawyers-supporting-parents-through-difficult-cases/" TargetMode="External"/><Relationship Id="rId2562" Type="http://schemas.openxmlformats.org/officeDocument/2006/relationships/hyperlink" Target="https://www.sterlinglawyers.com/wisconsin/attorneys/ellen-rhodeman/reviews/page/33/" TargetMode="External"/><Relationship Id="rId1232" Type="http://schemas.openxmlformats.org/officeDocument/2006/relationships/hyperlink" Target="https://www.sterlinglawyers.com/wisconsin/blog/chaos-to-cohesion-mequon-collaborative-divorce-lawyers/" TargetMode="External"/><Relationship Id="rId2563" Type="http://schemas.openxmlformats.org/officeDocument/2006/relationships/hyperlink" Target="https://www.sterlinglawyers.com/wisconsin/attorneys/tiffany-vogel/reviews/page/25/" TargetMode="External"/><Relationship Id="rId1233" Type="http://schemas.openxmlformats.org/officeDocument/2006/relationships/hyperlink" Target="https://www.sterlinglawyers.com/wisconsin/blog/unwavering-advocacy-protecting-families-collaborative-divorce/" TargetMode="External"/><Relationship Id="rId2564" Type="http://schemas.openxmlformats.org/officeDocument/2006/relationships/hyperlink" Target="https://www.sterlinglawyers.com/wisconsin/attorneys/tiffany-vogel/reviews/page/28/" TargetMode="External"/><Relationship Id="rId1234" Type="http://schemas.openxmlformats.org/officeDocument/2006/relationships/hyperlink" Target="https://www.sterlinglawyers.com/wisconsin/blog/untangling-knots-divorce-mediation-kenosha-lawyers/" TargetMode="External"/><Relationship Id="rId2565" Type="http://schemas.openxmlformats.org/officeDocument/2006/relationships/hyperlink" Target="https://www.sterlinglawyers.com/reviews/page/28/" TargetMode="External"/><Relationship Id="rId1224" Type="http://schemas.openxmlformats.org/officeDocument/2006/relationships/hyperlink" Target="https://www.sterlinglawyers.com/wisconsin/blog/contested-divorce-stress-management-middleton-lawyers/" TargetMode="External"/><Relationship Id="rId2555" Type="http://schemas.openxmlformats.org/officeDocument/2006/relationships/hyperlink" Target="https://www.sterlinglawyers.com/wisconsin/blog/page/14/?et_blog" TargetMode="External"/><Relationship Id="rId1225" Type="http://schemas.openxmlformats.org/officeDocument/2006/relationships/hyperlink" Target="https://www.sterlinglawyers.com/wisconsin/blog/parental-responsibilities-collide-sheboygan-child-support-cases/" TargetMode="External"/><Relationship Id="rId2556" Type="http://schemas.openxmlformats.org/officeDocument/2006/relationships/hyperlink" Target="https://www.sterlinglawyers.com/wisconsin/attorneys/tiffany-vogel/reviews/page/27/" TargetMode="External"/><Relationship Id="rId1226" Type="http://schemas.openxmlformats.org/officeDocument/2006/relationships/hyperlink" Target="https://www.sterlinglawyers.com/wisconsin/blog/reality-of-contested-divorce-with-menomonee-falls-lawyers/" TargetMode="External"/><Relationship Id="rId2557" Type="http://schemas.openxmlformats.org/officeDocument/2006/relationships/hyperlink" Target="https://www.sterlinglawyers.com/wisconsin/attorneys/jeffrey-morrell/reviews/page/53/" TargetMode="External"/><Relationship Id="rId1227" Type="http://schemas.openxmlformats.org/officeDocument/2006/relationships/hyperlink" Target="https://www.sterlinglawyers.com/wisconsin/blog/the-working-dads-guide-to-child-custody-in-oshkosh/" TargetMode="External"/><Relationship Id="rId2558" Type="http://schemas.openxmlformats.org/officeDocument/2006/relationships/hyperlink" Target="https://www.sterlinglawyers.com/wisconsin/attorneys/jeffrey-morrell/reviews/page/24/" TargetMode="External"/><Relationship Id="rId1228" Type="http://schemas.openxmlformats.org/officeDocument/2006/relationships/hyperlink" Target="https://www.sterlinglawyers.com/wisconsin/blog/how-appleton-fathers-achieve-legal-paternity-recognition/" TargetMode="External"/><Relationship Id="rId2559" Type="http://schemas.openxmlformats.org/officeDocument/2006/relationships/hyperlink" Target="https://www.sterlinglawyers.com/wisconsin/attorneys/jeffrey-morrell/reviews/page/52/" TargetMode="External"/><Relationship Id="rId1229" Type="http://schemas.openxmlformats.org/officeDocument/2006/relationships/hyperlink" Target="https://www.sterlinglawyers.com/wisconsin/blog/sheboygan-family-law-mastering-spousal-support/" TargetMode="External"/><Relationship Id="rId2550" Type="http://schemas.openxmlformats.org/officeDocument/2006/relationships/hyperlink" Target="https://www.sterlinglawyers.com/illinois/reviews/page/204/" TargetMode="External"/><Relationship Id="rId1220" Type="http://schemas.openxmlformats.org/officeDocument/2006/relationships/hyperlink" Target="https://www.sterlinglawyers.com/wisconsin/locations/baraboo/uncontested-divorce-lawyers/" TargetMode="External"/><Relationship Id="rId2551" Type="http://schemas.openxmlformats.org/officeDocument/2006/relationships/hyperlink" Target="https://www.sterlinglawyers.com/wisconsin/attorneys/nikole-messerschmidt/reviews/page/31/" TargetMode="External"/><Relationship Id="rId1221" Type="http://schemas.openxmlformats.org/officeDocument/2006/relationships/hyperlink" Target="https://www.sterlinglawyers.com/wisconsin/blog/anchoring-rights-sheboygan-property-division/" TargetMode="External"/><Relationship Id="rId2552" Type="http://schemas.openxmlformats.org/officeDocument/2006/relationships/hyperlink" Target="https://www.sterlinglawyers.com/wisconsin/attorneys/ellen-rhodeman/reviews/page/25/" TargetMode="External"/><Relationship Id="rId1222" Type="http://schemas.openxmlformats.org/officeDocument/2006/relationships/hyperlink" Target="https://www.sterlinglawyers.com/wisconsin/blog/helping-brookfield-clients-difficult-property-division/" TargetMode="External"/><Relationship Id="rId2553" Type="http://schemas.openxmlformats.org/officeDocument/2006/relationships/hyperlink" Target="https://www.sterlinglawyers.com/reviews/page/26/" TargetMode="External"/><Relationship Id="rId1223" Type="http://schemas.openxmlformats.org/officeDocument/2006/relationships/hyperlink" Target="https://www.sterlinglawyers.com/wisconsin/blog/promoting-fairness-with-milwaukee-divorce-mediation-lawyers/" TargetMode="External"/><Relationship Id="rId2554" Type="http://schemas.openxmlformats.org/officeDocument/2006/relationships/hyperlink" Target="https://www.sterlinglawyers.com/wisconsin/attorneys/nikole-messerschmidt/reviews/page/32/" TargetMode="External"/><Relationship Id="rId2500" Type="http://schemas.openxmlformats.org/officeDocument/2006/relationships/hyperlink" Target="https://www.sterlinglawyers.com/wisconsin/reviews/page/25/" TargetMode="External"/><Relationship Id="rId2501" Type="http://schemas.openxmlformats.org/officeDocument/2006/relationships/hyperlink" Target="https://www.sterlinglawyers.com/meet-us/page/2/?et_blog" TargetMode="External"/><Relationship Id="rId2502" Type="http://schemas.openxmlformats.org/officeDocument/2006/relationships/hyperlink" Target="https://www.sterlinglawyers.com/wisconsin/attorneys/holly-mullin/reviews/page/30/" TargetMode="External"/><Relationship Id="rId2503" Type="http://schemas.openxmlformats.org/officeDocument/2006/relationships/hyperlink" Target="https://www.sterlinglawyers.com/reviews/page/27/" TargetMode="External"/><Relationship Id="rId2504" Type="http://schemas.openxmlformats.org/officeDocument/2006/relationships/hyperlink" Target="https://www.sterlinglawyers.com/wisconsin/attorneys/tiffany-vogel/reviews/page/30/" TargetMode="External"/><Relationship Id="rId2505" Type="http://schemas.openxmlformats.org/officeDocument/2006/relationships/hyperlink" Target="https://www.sterlinglawyers.com/wisconsin/attorneys/ellen-rhodeman/reviews/page/35/" TargetMode="External"/><Relationship Id="rId2506" Type="http://schemas.openxmlformats.org/officeDocument/2006/relationships/hyperlink" Target="https://www.sterlinglawyers.com/wisconsin/attorneys/tiffany-vogel/reviews/page/22/" TargetMode="External"/><Relationship Id="rId2507" Type="http://schemas.openxmlformats.org/officeDocument/2006/relationships/hyperlink" Target="https://www.sterlinglawyers.com/wisconsin/attorneys/tiffany-vogel/reviews/page/23/" TargetMode="External"/><Relationship Id="rId2508" Type="http://schemas.openxmlformats.org/officeDocument/2006/relationships/hyperlink" Target="https://www.sterlinglawyers.com/wisconsin/attorneys/ellen-rhodeman/reviews/page/36/" TargetMode="External"/><Relationship Id="rId2509" Type="http://schemas.openxmlformats.org/officeDocument/2006/relationships/hyperlink" Target="https://www.sterlinglawyers.com/wisconsin/attorneys/jeffrey-morrell/reviews/page/23/" TargetMode="External"/><Relationship Id="rId2522" Type="http://schemas.openxmlformats.org/officeDocument/2006/relationships/hyperlink" Target="https://www.sterlinglawyers.com/reviews/page/206/" TargetMode="External"/><Relationship Id="rId2523" Type="http://schemas.openxmlformats.org/officeDocument/2006/relationships/hyperlink" Target="https://www.sterlinglawyers.com/reviews/page/207/" TargetMode="External"/><Relationship Id="rId2524" Type="http://schemas.openxmlformats.org/officeDocument/2006/relationships/hyperlink" Target="https://www.sterlinglawyers.com/illinois/reviews/page/26/" TargetMode="External"/><Relationship Id="rId2525" Type="http://schemas.openxmlformats.org/officeDocument/2006/relationships/hyperlink" Target="https://www.sterlinglawyers.com/illinois/reviews/page/27/" TargetMode="External"/><Relationship Id="rId2526" Type="http://schemas.openxmlformats.org/officeDocument/2006/relationships/hyperlink" Target="https://www.sterlinglawyers.com/news/page/8/?et_blog" TargetMode="External"/><Relationship Id="rId2527" Type="http://schemas.openxmlformats.org/officeDocument/2006/relationships/hyperlink" Target="https://www.sterlinglawyers.com/meet-us/css-mary-sankey/" TargetMode="External"/><Relationship Id="rId2528" Type="http://schemas.openxmlformats.org/officeDocument/2006/relationships/hyperlink" Target="https://www.sterlinglawyers.com/illinois/reviews/page/206/" TargetMode="External"/><Relationship Id="rId2529" Type="http://schemas.openxmlformats.org/officeDocument/2006/relationships/hyperlink" Target="https://www.sterlinglawyers.com/meet-us/?et_blog" TargetMode="External"/><Relationship Id="rId2520" Type="http://schemas.openxmlformats.org/officeDocument/2006/relationships/hyperlink" Target="https://www.sterlinglawyers.com/wisconsin/reviews/page/208/" TargetMode="External"/><Relationship Id="rId2521" Type="http://schemas.openxmlformats.org/officeDocument/2006/relationships/hyperlink" Target="https://www.sterlinglawyers.com/wisconsin/reviews/page/207/" TargetMode="External"/><Relationship Id="rId2511" Type="http://schemas.openxmlformats.org/officeDocument/2006/relationships/hyperlink" Target="https://www.sterlinglawyers.com/wisconsin/attorneys/jeffrey-morrell/reviews/page/54/" TargetMode="External"/><Relationship Id="rId2512" Type="http://schemas.openxmlformats.org/officeDocument/2006/relationships/hyperlink" Target="https://www.sterlinglawyers.com/wisconsin/attorneys/holly-mullin/reviews/page/31/" TargetMode="External"/><Relationship Id="rId2513" Type="http://schemas.openxmlformats.org/officeDocument/2006/relationships/hyperlink" Target="https://www.sterlinglawyers.com/wisconsin/attorneys/tiffany-vogel/reviews/page/29/" TargetMode="External"/><Relationship Id="rId2514" Type="http://schemas.openxmlformats.org/officeDocument/2006/relationships/hyperlink" Target="https://www.sterlinglawyers.com/wisconsin/attorneys/jeffrey-morrell/reviews/page/22/" TargetMode="External"/><Relationship Id="rId2515" Type="http://schemas.openxmlformats.org/officeDocument/2006/relationships/hyperlink" Target="https://www.sterlinglawyers.com/wisconsin/blog/page/13/?et_blog" TargetMode="External"/><Relationship Id="rId2516" Type="http://schemas.openxmlformats.org/officeDocument/2006/relationships/hyperlink" Target="https://www.sterlinglawyers.com/wisconsin/attorneys/jeffrey-morrell/reviews/page/55/" TargetMode="External"/><Relationship Id="rId2517" Type="http://schemas.openxmlformats.org/officeDocument/2006/relationships/hyperlink" Target="https://www.sterlinglawyers.com/wisconsin/attorneys/nikole-messerschmidt/reviews/page/34/" TargetMode="External"/><Relationship Id="rId2518" Type="http://schemas.openxmlformats.org/officeDocument/2006/relationships/hyperlink" Target="https://www.sterlinglawyers.com/wisconsin/attorneys/nikole-messerschmidt/reviews/page/33/" TargetMode="External"/><Relationship Id="rId2519" Type="http://schemas.openxmlformats.org/officeDocument/2006/relationships/hyperlink" Target="https://www.sterlinglawyers.com/illinois/reviews/page/205/" TargetMode="External"/><Relationship Id="rId2510" Type="http://schemas.openxmlformats.org/officeDocument/2006/relationships/hyperlink" Target="https://www.sterlinglawyers.com/wisconsin/attorneys/nikole-messerschmidt/reviews/page/22/" TargetMode="External"/><Relationship Id="rId469" Type="http://schemas.openxmlformats.org/officeDocument/2006/relationships/hyperlink" Target="https://www.sterlinglawyers.com/divorce/selecting-attorneys/" TargetMode="External"/><Relationship Id="rId468" Type="http://schemas.openxmlformats.org/officeDocument/2006/relationships/hyperlink" Target="https://www.sterlinglawyers.com/illinois/attorneys/ryan-shope/reviews/page/4/" TargetMode="External"/><Relationship Id="rId467" Type="http://schemas.openxmlformats.org/officeDocument/2006/relationships/hyperlink" Target="https://www.sterlinglawyers.com/illinois/attorneys/ryan-shope/reviews/page/15/" TargetMode="External"/><Relationship Id="rId1290" Type="http://schemas.openxmlformats.org/officeDocument/2006/relationships/hyperlink" Target="https://www.sterlinglawyers.com/illinois/reviews/page/7/" TargetMode="External"/><Relationship Id="rId1291" Type="http://schemas.openxmlformats.org/officeDocument/2006/relationships/hyperlink" Target="https://www.sterlinglawyers.com/illinois/blog/sailing-through-storm-military-divorce-arlington-heights/" TargetMode="External"/><Relationship Id="rId1292" Type="http://schemas.openxmlformats.org/officeDocument/2006/relationships/hyperlink" Target="https://www.sterlinglawyers.com/illinois/blog/navigating-child-support-hoffman-estates-attorneys/" TargetMode="External"/><Relationship Id="rId462" Type="http://schemas.openxmlformats.org/officeDocument/2006/relationships/hyperlink" Target="https://www.sterlinglawyers.com/illinois/attorneys/alexandra-isroff/reviews/page/44/" TargetMode="External"/><Relationship Id="rId1293" Type="http://schemas.openxmlformats.org/officeDocument/2006/relationships/hyperlink" Target="https://www.sterlinglawyers.com/illinois/reviews/page/226/" TargetMode="External"/><Relationship Id="rId461" Type="http://schemas.openxmlformats.org/officeDocument/2006/relationships/hyperlink" Target="https://www.sterlinglawyers.com/illinois/areas/kane-county/algonquin/" TargetMode="External"/><Relationship Id="rId1294" Type="http://schemas.openxmlformats.org/officeDocument/2006/relationships/hyperlink" Target="https://www.sterlinglawyers.com/illinois/blog/blueprint-navigating-paternity-proceedings-chicago/" TargetMode="External"/><Relationship Id="rId460" Type="http://schemas.openxmlformats.org/officeDocument/2006/relationships/hyperlink" Target="https://www.sterlinglawyers.com/Illinois/property-division/splitting-assets-divorce/" TargetMode="External"/><Relationship Id="rId1295" Type="http://schemas.openxmlformats.org/officeDocument/2006/relationships/hyperlink" Target="https://www.sterlinglawyers.com/illinois/blog/exploring-complexities-property-division-naperville-lawyers/" TargetMode="External"/><Relationship Id="rId1296" Type="http://schemas.openxmlformats.org/officeDocument/2006/relationships/hyperlink" Target="https://www.sterlinglawyers.com/illinois/blog/navigating-daunting-property-division-chicago/" TargetMode="External"/><Relationship Id="rId466" Type="http://schemas.openxmlformats.org/officeDocument/2006/relationships/hyperlink" Target="https://www.sterlinglawyers.com/illinois/attorneys/ryan-shope/reviews/page/" TargetMode="External"/><Relationship Id="rId1297" Type="http://schemas.openxmlformats.org/officeDocument/2006/relationships/hyperlink" Target="https://www.sterlinglawyers.com/illinois/blog/securing-brighter-future-child-support-guidance-schaumburg/" TargetMode="External"/><Relationship Id="rId465" Type="http://schemas.openxmlformats.org/officeDocument/2006/relationships/hyperlink" Target="https://www.sterlinglawyers.com/illinois/attorneys/ryan-shope/reviews/page/14/" TargetMode="External"/><Relationship Id="rId1298" Type="http://schemas.openxmlformats.org/officeDocument/2006/relationships/hyperlink" Target="https://www.sterlinglawyers.com/illinois/blog/crucial-role-naperville-attorneys-uncontested-divorce/" TargetMode="External"/><Relationship Id="rId464" Type="http://schemas.openxmlformats.org/officeDocument/2006/relationships/hyperlink" Target="https://www.sterlinglawyers.com/wisconsin/" TargetMode="External"/><Relationship Id="rId1299" Type="http://schemas.openxmlformats.org/officeDocument/2006/relationships/hyperlink" Target="https://www.sterlinglawyers.com/illinois/blog/uncontested-divorce-hoffman-estates-legal-guidance/" TargetMode="External"/><Relationship Id="rId463" Type="http://schemas.openxmlformats.org/officeDocument/2006/relationships/hyperlink" Target="https://www.sterlinglawyers.com/illinois/areas/cook-county/" TargetMode="External"/><Relationship Id="rId459" Type="http://schemas.openxmlformats.org/officeDocument/2006/relationships/hyperlink" Target="https://www.sterlinglawyers.com/Illinois/spousal-support/" TargetMode="External"/><Relationship Id="rId458" Type="http://schemas.openxmlformats.org/officeDocument/2006/relationships/hyperlink" Target="https://www.sterlinglawyers.com/Illinois/spousal-support/calculator/" TargetMode="External"/><Relationship Id="rId457" Type="http://schemas.openxmlformats.org/officeDocument/2006/relationships/hyperlink" Target="https://www.sterlinglawyers.com/Illinois/property-division/gets-marital-house-divorce/" TargetMode="External"/><Relationship Id="rId456" Type="http://schemas.openxmlformats.org/officeDocument/2006/relationships/hyperlink" Target="https://www.sterlinglawyers.com/illinois/attorneys/jessica-naples/" TargetMode="External"/><Relationship Id="rId1280" Type="http://schemas.openxmlformats.org/officeDocument/2006/relationships/hyperlink" Target="https://www.sterlinglawyers.com/wisconsin/divorce/breaking-news-family/" TargetMode="External"/><Relationship Id="rId1281" Type="http://schemas.openxmlformats.org/officeDocument/2006/relationships/hyperlink" Target="https://www.sterlinglawyers.com/wisconsin/child-support/during-divorce/" TargetMode="External"/><Relationship Id="rId451" Type="http://schemas.openxmlformats.org/officeDocument/2006/relationships/hyperlink" Target="https://www.sterlinglawyers.com/illinois/attorneys/cynthia-toscano/reviews/page/5/" TargetMode="External"/><Relationship Id="rId1282" Type="http://schemas.openxmlformats.org/officeDocument/2006/relationships/hyperlink" Target="https://www.sterlinglawyers.com/illinois/attorneys/lea-diaz/reviews/page/7/" TargetMode="External"/><Relationship Id="rId450" Type="http://schemas.openxmlformats.org/officeDocument/2006/relationships/hyperlink" Target="https://www.sterlinglawyers.com/illinois/attorneys/cynthia-toscano/reviews/page/4/" TargetMode="External"/><Relationship Id="rId1283" Type="http://schemas.openxmlformats.org/officeDocument/2006/relationships/hyperlink" Target="https://www.sterlinglawyers.com/illinois/attorneys/lea-diaz/reviews/page/6/" TargetMode="External"/><Relationship Id="rId1284" Type="http://schemas.openxmlformats.org/officeDocument/2006/relationships/hyperlink" Target="https://www.sterlinglawyers.com/meet-us/importance-servant-leadership/" TargetMode="External"/><Relationship Id="rId1285" Type="http://schemas.openxmlformats.org/officeDocument/2006/relationships/hyperlink" Target="https://www.sterlinglawyers.com/illinois/attorneys/ellen-rhodeman/" TargetMode="External"/><Relationship Id="rId455" Type="http://schemas.openxmlformats.org/officeDocument/2006/relationships/hyperlink" Target="https://www.sterlinglawyers.com/illinois/blog/prove-deserve-alimony-naperville-spousal-support-lawyers/" TargetMode="External"/><Relationship Id="rId1286" Type="http://schemas.openxmlformats.org/officeDocument/2006/relationships/hyperlink" Target="https://www.sterlinglawyers.com/news/client-centered-firm/" TargetMode="External"/><Relationship Id="rId454" Type="http://schemas.openxmlformats.org/officeDocument/2006/relationships/hyperlink" Target="https://www.sterlinglawyers.com/wisconsin/divorce/file-for-divorce/" TargetMode="External"/><Relationship Id="rId1287" Type="http://schemas.openxmlformats.org/officeDocument/2006/relationships/hyperlink" Target="https://www.sterlinglawyers.com/illinois/attorneys/lea-diaz/reviews/page/19/" TargetMode="External"/><Relationship Id="rId453" Type="http://schemas.openxmlformats.org/officeDocument/2006/relationships/hyperlink" Target="https://www.sterlinglawyers.com/illinois/blog/managing-legal-landscape-hoffman-estates-collaborative-divorce/" TargetMode="External"/><Relationship Id="rId1288" Type="http://schemas.openxmlformats.org/officeDocument/2006/relationships/hyperlink" Target="https://www.sterlinglawyers.com/wisconsin/divorce/wisconsin-divorce-laws/" TargetMode="External"/><Relationship Id="rId452" Type="http://schemas.openxmlformats.org/officeDocument/2006/relationships/hyperlink" Target="https://www.sterlinglawyers.com/illinois/attorneys/cynthia-toscano/reviews/page/" TargetMode="External"/><Relationship Id="rId1289" Type="http://schemas.openxmlformats.org/officeDocument/2006/relationships/hyperlink" Target="https://www.sterlinglawyers.com/illinois/reviews/page/6/" TargetMode="External"/><Relationship Id="rId3018" Type="http://schemas.openxmlformats.org/officeDocument/2006/relationships/hyperlink" Target="https://www.sterlinglawyers.com/illinois/reviews/page/92/" TargetMode="External"/><Relationship Id="rId3017" Type="http://schemas.openxmlformats.org/officeDocument/2006/relationships/hyperlink" Target="https://www.sterlinglawyers.com/reviews/page/139/" TargetMode="External"/><Relationship Id="rId3019" Type="http://schemas.openxmlformats.org/officeDocument/2006/relationships/hyperlink" Target="https://www.sterlinglawyers.com/wisconsin/reviews/page/141/" TargetMode="External"/><Relationship Id="rId491" Type="http://schemas.openxmlformats.org/officeDocument/2006/relationships/hyperlink" Target="https://www.sterlinglawyers.com/wisconsin/attorneys/michelle-gordon/" TargetMode="External"/><Relationship Id="rId490" Type="http://schemas.openxmlformats.org/officeDocument/2006/relationships/hyperlink" Target="https://www.sterlinglawyers.com/wisconsin/attorneys/lindsay-houghton/" TargetMode="External"/><Relationship Id="rId489" Type="http://schemas.openxmlformats.org/officeDocument/2006/relationships/hyperlink" Target="https://www.sterlinglawyers.com/illinois/attorneys/jacqueline-mcclellan/reviews/page/12/" TargetMode="External"/><Relationship Id="rId484" Type="http://schemas.openxmlformats.org/officeDocument/2006/relationships/hyperlink" Target="https://www.sterlinglawyers.com/wisconsin/attorneys/holly-mullin/" TargetMode="External"/><Relationship Id="rId3010" Type="http://schemas.openxmlformats.org/officeDocument/2006/relationships/hyperlink" Target="https://www.sterlinglawyers.com/reviews/page/140/" TargetMode="External"/><Relationship Id="rId483" Type="http://schemas.openxmlformats.org/officeDocument/2006/relationships/hyperlink" Target="https://www.sterlinglawyers.com/child-custody/what-does-physical-placement-mean/" TargetMode="External"/><Relationship Id="rId482" Type="http://schemas.openxmlformats.org/officeDocument/2006/relationships/hyperlink" Target="https://www.sterlinglawyers.com/illinois/attorneys/jeff-hughes/reviews/page/12/" TargetMode="External"/><Relationship Id="rId3012" Type="http://schemas.openxmlformats.org/officeDocument/2006/relationships/hyperlink" Target="https://www.sterlinglawyers.com/wisconsin/reviews/page/144/" TargetMode="External"/><Relationship Id="rId481" Type="http://schemas.openxmlformats.org/officeDocument/2006/relationships/hyperlink" Target="https://www.sterlinglawyers.com/wisconsin/attorneys/robert-keenan/" TargetMode="External"/><Relationship Id="rId3011" Type="http://schemas.openxmlformats.org/officeDocument/2006/relationships/hyperlink" Target="https://www.sterlinglawyers.com/reviews/page/141/" TargetMode="External"/><Relationship Id="rId488" Type="http://schemas.openxmlformats.org/officeDocument/2006/relationships/hyperlink" Target="https://www.sterlinglawyers.com/wisconsin/attorneys/jeff-hughes/reviews/" TargetMode="External"/><Relationship Id="rId3014" Type="http://schemas.openxmlformats.org/officeDocument/2006/relationships/hyperlink" Target="https://www.sterlinglawyers.com/illinois/reviews/page/91/" TargetMode="External"/><Relationship Id="rId487" Type="http://schemas.openxmlformats.org/officeDocument/2006/relationships/hyperlink" Target="https://www.sterlinglawyers.com/wisconsin/attorneys/jeffrey-morrell/" TargetMode="External"/><Relationship Id="rId3013" Type="http://schemas.openxmlformats.org/officeDocument/2006/relationships/hyperlink" Target="https://www.sterlinglawyers.com/wisconsin/reviews/page/91/" TargetMode="External"/><Relationship Id="rId486" Type="http://schemas.openxmlformats.org/officeDocument/2006/relationships/hyperlink" Target="https://www.sterlinglawyers.com/wisconsin/attorneys/bailey-holt/" TargetMode="External"/><Relationship Id="rId3016" Type="http://schemas.openxmlformats.org/officeDocument/2006/relationships/hyperlink" Target="https://www.sterlinglawyers.com/illinois/reviews/page/93/" TargetMode="External"/><Relationship Id="rId485" Type="http://schemas.openxmlformats.org/officeDocument/2006/relationships/hyperlink" Target="https://www.sterlinglawyers.com/wisconsin/attorneys/jack-braaten/" TargetMode="External"/><Relationship Id="rId3015" Type="http://schemas.openxmlformats.org/officeDocument/2006/relationships/hyperlink" Target="https://www.sterlinglawyers.com/wisconsin/reviews/page/93/" TargetMode="External"/><Relationship Id="rId3007" Type="http://schemas.openxmlformats.org/officeDocument/2006/relationships/hyperlink" Target="https://www.sterlinglawyers.com/illinois/reviews/page/90/" TargetMode="External"/><Relationship Id="rId3006" Type="http://schemas.openxmlformats.org/officeDocument/2006/relationships/hyperlink" Target="https://www.sterlinglawyers.com/wisconsin/reviews/page/90/" TargetMode="External"/><Relationship Id="rId3009" Type="http://schemas.openxmlformats.org/officeDocument/2006/relationships/hyperlink" Target="https://www.sterlinglawyers.com/reviews/page/93/" TargetMode="External"/><Relationship Id="rId3008" Type="http://schemas.openxmlformats.org/officeDocument/2006/relationships/hyperlink" Target="https://www.sterlinglawyers.com/reviews/page/92/" TargetMode="External"/><Relationship Id="rId480" Type="http://schemas.openxmlformats.org/officeDocument/2006/relationships/hyperlink" Target="https://www.sterlinglawyers.com/illinois/attorneys/jeff-hughes/reviews/page/11/" TargetMode="External"/><Relationship Id="rId479" Type="http://schemas.openxmlformats.org/officeDocument/2006/relationships/hyperlink" Target="https://www.sterlinglawyers.com/illinois/attorneys/jeff-hughes/reviews/page/" TargetMode="External"/><Relationship Id="rId478" Type="http://schemas.openxmlformats.org/officeDocument/2006/relationships/hyperlink" Target="https://www.sterlinglawyers.com/illinois/attorneys/jeff-hughes/reviews/page/5/" TargetMode="External"/><Relationship Id="rId473" Type="http://schemas.openxmlformats.org/officeDocument/2006/relationships/hyperlink" Target="https://www.sterlinglawyers.com/illinois/attorneys/ryan-shope/reviews/page/5/" TargetMode="External"/><Relationship Id="rId472" Type="http://schemas.openxmlformats.org/officeDocument/2006/relationships/hyperlink" Target="https://www.sterlinglawyers.com/illinois/attorneys/jacqueline-mcclellan/reviews/page/4/" TargetMode="External"/><Relationship Id="rId471" Type="http://schemas.openxmlformats.org/officeDocument/2006/relationships/hyperlink" Target="https://www.sterlinglawyers.com/illinois/attorneys/jacqueline-mcclellan/reviews/page/" TargetMode="External"/><Relationship Id="rId3001" Type="http://schemas.openxmlformats.org/officeDocument/2006/relationships/hyperlink" Target="https://www.sterlinglawyers.com/illinois/reviews/page/139/" TargetMode="External"/><Relationship Id="rId470" Type="http://schemas.openxmlformats.org/officeDocument/2006/relationships/hyperlink" Target="https://www.sterlinglawyers.com/illinois/locations/st-charles/divorce-mediation-lawyers/divorce-mediation-lawyers/" TargetMode="External"/><Relationship Id="rId3000" Type="http://schemas.openxmlformats.org/officeDocument/2006/relationships/hyperlink" Target="https://www.sterlinglawyers.com/illinois/reviews/page/140/" TargetMode="External"/><Relationship Id="rId477" Type="http://schemas.openxmlformats.org/officeDocument/2006/relationships/hyperlink" Target="https://www.sterlinglawyers.com/illinois/attorneys/jeff-hughes/reviews/page/4/" TargetMode="External"/><Relationship Id="rId3003" Type="http://schemas.openxmlformats.org/officeDocument/2006/relationships/hyperlink" Target="https://www.sterlinglawyers.com/illinois/reviews/page/87/" TargetMode="External"/><Relationship Id="rId476" Type="http://schemas.openxmlformats.org/officeDocument/2006/relationships/hyperlink" Target="https://www.sterlinglawyers.com/illinois/attorneys/jacqueline-mcclellan/reviews/page/5/" TargetMode="External"/><Relationship Id="rId3002" Type="http://schemas.openxmlformats.org/officeDocument/2006/relationships/hyperlink" Target="https://www.sterlinglawyers.com/illinois/reviews/page/86/" TargetMode="External"/><Relationship Id="rId475" Type="http://schemas.openxmlformats.org/officeDocument/2006/relationships/hyperlink" Target="https://www.sterlinglawyers.com/illinois/attorneys/jacqueline-mcclellan/reviews/page/13/" TargetMode="External"/><Relationship Id="rId3005" Type="http://schemas.openxmlformats.org/officeDocument/2006/relationships/hyperlink" Target="https://www.sterlinglawyers.com/illinois/reviews/page/89/" TargetMode="External"/><Relationship Id="rId474" Type="http://schemas.openxmlformats.org/officeDocument/2006/relationships/hyperlink" Target="https://www.sterlinglawyers.com/illinois/child-custody/split-orders/" TargetMode="External"/><Relationship Id="rId3004" Type="http://schemas.openxmlformats.org/officeDocument/2006/relationships/hyperlink" Target="https://www.sterlinglawyers.com/illinois/reviews/page/88/" TargetMode="External"/><Relationship Id="rId1257" Type="http://schemas.openxmlformats.org/officeDocument/2006/relationships/hyperlink" Target="https://www.sterlinglawyers.com/wisconsin/blog/securing-legal-rights-responsibilities-west-bend-paternity-attorney/" TargetMode="External"/><Relationship Id="rId2588" Type="http://schemas.openxmlformats.org/officeDocument/2006/relationships/hyperlink" Target="https://www.sterlinglawyers.com/reviews/page/203/" TargetMode="External"/><Relationship Id="rId1258" Type="http://schemas.openxmlformats.org/officeDocument/2006/relationships/hyperlink" Target="https://www.sterlinglawyers.com/wisconsin/blog/military-divorce-insight-assistance-sheboygan-county/" TargetMode="External"/><Relationship Id="rId2589" Type="http://schemas.openxmlformats.org/officeDocument/2006/relationships/hyperlink" Target="https://www.sterlinglawyers.com/illinois/reviews/page/30/" TargetMode="External"/><Relationship Id="rId1259" Type="http://schemas.openxmlformats.org/officeDocument/2006/relationships/hyperlink" Target="https://www.sterlinglawyers.com/wisconsin/blog/tackling-uncontested-divorce-challenges-racine-lawyers/" TargetMode="External"/><Relationship Id="rId426" Type="http://schemas.openxmlformats.org/officeDocument/2006/relationships/hyperlink" Target="https://www.sterlinglawyers.com/illinois/areas/lake-county/long-grove/" TargetMode="External"/><Relationship Id="rId425" Type="http://schemas.openxmlformats.org/officeDocument/2006/relationships/hyperlink" Target="https://www.sterlinglawyers.com/illinois/areas/dupage-county/bensenville/" TargetMode="External"/><Relationship Id="rId424" Type="http://schemas.openxmlformats.org/officeDocument/2006/relationships/hyperlink" Target="https://www.sterlinglawyers.com/illinois/areas/dupage-county/glendale-heights/" TargetMode="External"/><Relationship Id="rId423" Type="http://schemas.openxmlformats.org/officeDocument/2006/relationships/hyperlink" Target="https://www.sterlinglawyers.com/illinois/areas/cook-county/skokie/" TargetMode="External"/><Relationship Id="rId429" Type="http://schemas.openxmlformats.org/officeDocument/2006/relationships/hyperlink" Target="https://www.sterlinglawyers.com/illinois/areas/cook-county/schiller-park/" TargetMode="External"/><Relationship Id="rId428" Type="http://schemas.openxmlformats.org/officeDocument/2006/relationships/hyperlink" Target="https://www.sterlinglawyers.com/illinois/areas/cook-county/des-plaines/" TargetMode="External"/><Relationship Id="rId427" Type="http://schemas.openxmlformats.org/officeDocument/2006/relationships/hyperlink" Target="https://www.sterlinglawyers.com/illinois/areas/cook-county/palatine/" TargetMode="External"/><Relationship Id="rId2580" Type="http://schemas.openxmlformats.org/officeDocument/2006/relationships/hyperlink" Target="https://www.sterlinglawyers.com/wisconsin/attorneys/jeffrey-morrell/reviews/page/51/" TargetMode="External"/><Relationship Id="rId1250" Type="http://schemas.openxmlformats.org/officeDocument/2006/relationships/hyperlink" Target="https://www.sterlinglawyers.com/wisconsin/blog/insights-into-property-division-green-bay-attorney/" TargetMode="External"/><Relationship Id="rId2581" Type="http://schemas.openxmlformats.org/officeDocument/2006/relationships/hyperlink" Target="https://www.sterlinglawyers.com/wisconsin/attorneys/nikole-messerschmidt/reviews/page/29/" TargetMode="External"/><Relationship Id="rId1251" Type="http://schemas.openxmlformats.org/officeDocument/2006/relationships/hyperlink" Target="https://www.sterlinglawyers.com/wisconsin/blog/protecting-family-future-jefferson-child-support-attorneys/" TargetMode="External"/><Relationship Id="rId2582" Type="http://schemas.openxmlformats.org/officeDocument/2006/relationships/hyperlink" Target="https://www.sterlinglawyers.com/wisconsin/attorneys/nikole-messerschmidt/reviews/page/30/" TargetMode="External"/><Relationship Id="rId1252" Type="http://schemas.openxmlformats.org/officeDocument/2006/relationships/hyperlink" Target="https://www.sterlinglawyers.com/wisconsin/blog/jefferson-attorney-supports-families-divorce-mediation/" TargetMode="External"/><Relationship Id="rId2583" Type="http://schemas.openxmlformats.org/officeDocument/2006/relationships/hyperlink" Target="https://www.sterlinglawyers.com/illinois/reviews/page/202/" TargetMode="External"/><Relationship Id="rId422" Type="http://schemas.openxmlformats.org/officeDocument/2006/relationships/hyperlink" Target="https://www.sterlinglawyers.com/illinois/areas/kane-county/" TargetMode="External"/><Relationship Id="rId1253" Type="http://schemas.openxmlformats.org/officeDocument/2006/relationships/hyperlink" Target="https://www.sterlinglawyers.com/wisconsin/blog/brighter-future-middleton-child-support-lawyers/" TargetMode="External"/><Relationship Id="rId2584" Type="http://schemas.openxmlformats.org/officeDocument/2006/relationships/hyperlink" Target="https://www.sterlinglawyers.com/illinois/reviews/page/201/" TargetMode="External"/><Relationship Id="rId421" Type="http://schemas.openxmlformats.org/officeDocument/2006/relationships/hyperlink" Target="https://www.sterlinglawyers.com/illinois/areas/cook-county/morton-grove/" TargetMode="External"/><Relationship Id="rId1254" Type="http://schemas.openxmlformats.org/officeDocument/2006/relationships/hyperlink" Target="https://www.sterlinglawyers.com/wisconsin/blog/investing-peace-of-mind-trusted-child-custody-attorneys/" TargetMode="External"/><Relationship Id="rId2585" Type="http://schemas.openxmlformats.org/officeDocument/2006/relationships/hyperlink" Target="https://www.sterlinglawyers.com/wisconsin/reviews/page/204/" TargetMode="External"/><Relationship Id="rId420" Type="http://schemas.openxmlformats.org/officeDocument/2006/relationships/hyperlink" Target="https://www.sterlinglawyers.com/illinois/areas/dupage-county/glen-ellyn/" TargetMode="External"/><Relationship Id="rId1255" Type="http://schemas.openxmlformats.org/officeDocument/2006/relationships/hyperlink" Target="https://www.sterlinglawyers.com/wisconsin/blog/seeking-fair-resolutions-madison-divorce-mediation/" TargetMode="External"/><Relationship Id="rId2586" Type="http://schemas.openxmlformats.org/officeDocument/2006/relationships/hyperlink" Target="https://www.sterlinglawyers.com/reviews/page/202/" TargetMode="External"/><Relationship Id="rId1256" Type="http://schemas.openxmlformats.org/officeDocument/2006/relationships/hyperlink" Target="https://www.sterlinglawyers.com/wisconsin/blog/guiding-you-through-the-court-system-in-green-bay/" TargetMode="External"/><Relationship Id="rId2587" Type="http://schemas.openxmlformats.org/officeDocument/2006/relationships/hyperlink" Target="https://www.sterlinglawyers.com/wisconsin/reviews/page/203/" TargetMode="External"/><Relationship Id="rId1246" Type="http://schemas.openxmlformats.org/officeDocument/2006/relationships/hyperlink" Target="https://www.sterlinglawyers.com/wisconsin/blog/steadfast-support-uncontested-divorce-winnebago-county/" TargetMode="External"/><Relationship Id="rId2577" Type="http://schemas.openxmlformats.org/officeDocument/2006/relationships/hyperlink" Target="https://www.sterlinglawyers.com/wisconsin/attorneys/ellen-rhodeman/reviews/page/32/" TargetMode="External"/><Relationship Id="rId1247" Type="http://schemas.openxmlformats.org/officeDocument/2006/relationships/hyperlink" Target="https://www.sterlinglawyers.com/wisconsin/blog/securing-assets-peace-mind-west-bend-mediation/" TargetMode="External"/><Relationship Id="rId2578" Type="http://schemas.openxmlformats.org/officeDocument/2006/relationships/hyperlink" Target="https://www.sterlinglawyers.com/wisconsin/attorneys/ellen-rhodeman/reviews/page/31/" TargetMode="External"/><Relationship Id="rId1248" Type="http://schemas.openxmlformats.org/officeDocument/2006/relationships/hyperlink" Target="https://www.sterlinglawyers.com/wisconsin/blog/complications-military-divorce-milwaukee/" TargetMode="External"/><Relationship Id="rId2579" Type="http://schemas.openxmlformats.org/officeDocument/2006/relationships/hyperlink" Target="https://www.sterlinglawyers.com/wisconsin/attorneys/tiffany-vogel/reviews/page/26/" TargetMode="External"/><Relationship Id="rId1249" Type="http://schemas.openxmlformats.org/officeDocument/2006/relationships/hyperlink" Target="https://www.sterlinglawyers.com/wisconsin/blog/child-support-lawyers-ensuring-stability-appleton/" TargetMode="External"/><Relationship Id="rId415" Type="http://schemas.openxmlformats.org/officeDocument/2006/relationships/hyperlink" Target="https://www.sterlinglawyers.com/case-law/unfit-parent-custody/" TargetMode="External"/><Relationship Id="rId414" Type="http://schemas.openxmlformats.org/officeDocument/2006/relationships/hyperlink" Target="https://www.sterlinglawyers.com/illinois/child-custody/co-parenting-with-narcissist/" TargetMode="External"/><Relationship Id="rId413" Type="http://schemas.openxmlformats.org/officeDocument/2006/relationships/hyperlink" Target="https://www.sterlinglawyers.com/placement-schedules" TargetMode="External"/><Relationship Id="rId412" Type="http://schemas.openxmlformats.org/officeDocument/2006/relationships/hyperlink" Target="https://sterlinglawyers.com/illinois/child-support/" TargetMode="External"/><Relationship Id="rId419" Type="http://schemas.openxmlformats.org/officeDocument/2006/relationships/hyperlink" Target="https://www.sterlinglawyers.com/illinois/areas/dupage-county/" TargetMode="External"/><Relationship Id="rId418" Type="http://schemas.openxmlformats.org/officeDocument/2006/relationships/hyperlink" Target="https://www.sterlinglawyers.com/illinois/areas/dupage-county/roselle/" TargetMode="External"/><Relationship Id="rId417" Type="http://schemas.openxmlformats.org/officeDocument/2006/relationships/hyperlink" Target="https://www.sterlinglawyers.com/illinois/areas/kane-county/west-dundee/" TargetMode="External"/><Relationship Id="rId416" Type="http://schemas.openxmlformats.org/officeDocument/2006/relationships/hyperlink" Target="https://www.sterlinglawyers.com/illinois/areas/kane-county/south-elgin/" TargetMode="External"/><Relationship Id="rId2570" Type="http://schemas.openxmlformats.org/officeDocument/2006/relationships/hyperlink" Target="https://www.sterlinglawyers.com/wisconsin/attorneys/holly-mullin/reviews/page/29/" TargetMode="External"/><Relationship Id="rId1240" Type="http://schemas.openxmlformats.org/officeDocument/2006/relationships/hyperlink" Target="https://www.sterlinglawyers.com/wisconsin/blog/page/3/?et_blog" TargetMode="External"/><Relationship Id="rId2571" Type="http://schemas.openxmlformats.org/officeDocument/2006/relationships/hyperlink" Target="https://www.sterlinglawyers.com/reviews/page/31/" TargetMode="External"/><Relationship Id="rId1241" Type="http://schemas.openxmlformats.org/officeDocument/2006/relationships/hyperlink" Target="https://www.sterlinglawyers.com/wisconsin/blog/comprehensive-paternity-support-brookfield-lawyers/" TargetMode="External"/><Relationship Id="rId2572" Type="http://schemas.openxmlformats.org/officeDocument/2006/relationships/hyperlink" Target="https://www.sterlinglawyers.com/wisconsin/attorneys/jeffrey-morrell/reviews/page/27/" TargetMode="External"/><Relationship Id="rId411" Type="http://schemas.openxmlformats.org/officeDocument/2006/relationships/hyperlink" Target="https://www.sterlinglawyers.com/wisconsin/child-custody/fathers-rights-wisconsin/" TargetMode="External"/><Relationship Id="rId1242" Type="http://schemas.openxmlformats.org/officeDocument/2006/relationships/hyperlink" Target="https://www.sterlinglawyers.com/wisconsin/blog/a-mother-finds-reassurance-during-divorce-mediation/" TargetMode="External"/><Relationship Id="rId2573" Type="http://schemas.openxmlformats.org/officeDocument/2006/relationships/hyperlink" Target="https://www.sterlinglawyers.com/reviews/page/30/" TargetMode="External"/><Relationship Id="rId410" Type="http://schemas.openxmlformats.org/officeDocument/2006/relationships/hyperlink" Target="https://sterlinglawyers.com/illinois/child-custody/" TargetMode="External"/><Relationship Id="rId1243" Type="http://schemas.openxmlformats.org/officeDocument/2006/relationships/hyperlink" Target="https://www.sterlinglawyers.com/wisconsin/blog/unveiling-the-secrect-kenosha-uncontested-divorce-lawyers/" TargetMode="External"/><Relationship Id="rId2574" Type="http://schemas.openxmlformats.org/officeDocument/2006/relationships/hyperlink" Target="https://www.sterlinglawyers.com/wisconsin/attorneys/jeffrey-morrell/reviews/page/50/" TargetMode="External"/><Relationship Id="rId1244" Type="http://schemas.openxmlformats.org/officeDocument/2006/relationships/hyperlink" Target="https://www.sterlinglawyers.com/wisconsin/blog/milwaukee-child-custody-tips-strategies-parents/" TargetMode="External"/><Relationship Id="rId2575" Type="http://schemas.openxmlformats.org/officeDocument/2006/relationships/hyperlink" Target="https://www.sterlinglawyers.com/wisconsin/attorneys/ellen-rhodeman/reviews/page/34/" TargetMode="External"/><Relationship Id="rId1245" Type="http://schemas.openxmlformats.org/officeDocument/2006/relationships/hyperlink" Target="https://www.sterlinglawyers.com/wisconsin/blog/look-inside-collaborative-divorce-madison-attorney/" TargetMode="External"/><Relationship Id="rId2576" Type="http://schemas.openxmlformats.org/officeDocument/2006/relationships/hyperlink" Target="https://www.sterlinglawyers.com/wisconsin/attorneys/jeffrey-morrell/reviews/page/26/" TargetMode="External"/><Relationship Id="rId1279" Type="http://schemas.openxmlformats.org/officeDocument/2006/relationships/hyperlink" Target="https://www.sterlinglawyers.com/wisconsin/divorce/what-to-do-with-the-kids/" TargetMode="External"/><Relationship Id="rId448" Type="http://schemas.openxmlformats.org/officeDocument/2006/relationships/hyperlink" Target="https://www.sterlinglawyers.com/illinois/attorneys/cynthia-toscano/reviews/page/7/" TargetMode="External"/><Relationship Id="rId447" Type="http://schemas.openxmlformats.org/officeDocument/2006/relationships/hyperlink" Target="https://www.sterlinglawyers.com/illinois/attorneys/alexandra-isroff/reviews/page/41/" TargetMode="External"/><Relationship Id="rId446" Type="http://schemas.openxmlformats.org/officeDocument/2006/relationships/hyperlink" Target="https://www.sterlinglawyers.com/illinois/attorneys/alexandra-isroff/reviews/page/42/" TargetMode="External"/><Relationship Id="rId445" Type="http://schemas.openxmlformats.org/officeDocument/2006/relationships/hyperlink" Target="https://www.sterlinglawyers.com/illinois/attorneys/alexandra-isroff/reviews/page/" TargetMode="External"/><Relationship Id="rId449" Type="http://schemas.openxmlformats.org/officeDocument/2006/relationships/hyperlink" Target="https://www.sterlinglawyers.com/illinois/attorneys/cynthia-toscano/reviews/page/6/" TargetMode="External"/><Relationship Id="rId1270" Type="http://schemas.openxmlformats.org/officeDocument/2006/relationships/hyperlink" Target="https://www.sterlinglawyers.com/news/validating-individuals/" TargetMode="External"/><Relationship Id="rId440" Type="http://schemas.openxmlformats.org/officeDocument/2006/relationships/hyperlink" Target="https://www.sterlinglawyers.com/illinois/areas/cook-county/wheeling/" TargetMode="External"/><Relationship Id="rId1271" Type="http://schemas.openxmlformats.org/officeDocument/2006/relationships/hyperlink" Target="https://www.sterlinglawyers.com/wisconsin/blog/fighting-fairness-child-support-matters-oshkosh/" TargetMode="External"/><Relationship Id="rId1272" Type="http://schemas.openxmlformats.org/officeDocument/2006/relationships/hyperlink" Target="https://www.sterlinglawyers.com/wisconsin/blog/advocate-children-janesville-lawyers-enforce-support/" TargetMode="External"/><Relationship Id="rId1273" Type="http://schemas.openxmlformats.org/officeDocument/2006/relationships/hyperlink" Target="https://www.sterlinglawyers.com/wisconsin/blog/appleton-child-custody-lawyers-turn-the-tables-in-your-favor/" TargetMode="External"/><Relationship Id="rId1274" Type="http://schemas.openxmlformats.org/officeDocument/2006/relationships/hyperlink" Target="https://www.sterlinglawyers.com/wisdom-from-attorney-knighton/how-to-predict-an-award-of-child-support/" TargetMode="External"/><Relationship Id="rId444" Type="http://schemas.openxmlformats.org/officeDocument/2006/relationships/hyperlink" Target="https://www.sterlinglawyers.com/illinois/attorneys/reyna-herrera/reviews/page/" TargetMode="External"/><Relationship Id="rId1275" Type="http://schemas.openxmlformats.org/officeDocument/2006/relationships/hyperlink" Target="https://www.sterlinglawyers.com/wisconsin/blog/power-legal-guidance-milwaukee-contested-divorce/" TargetMode="External"/><Relationship Id="rId443" Type="http://schemas.openxmlformats.org/officeDocument/2006/relationships/hyperlink" Target="https://www.sterlinglawyers.com/illinois/attorneys/alexandra-isroff/reviews/page/4/" TargetMode="External"/><Relationship Id="rId1276" Type="http://schemas.openxmlformats.org/officeDocument/2006/relationships/hyperlink" Target="https://www.sterlinglawyers.com/wisconsin/divorce/bad-days-of-divorce/" TargetMode="External"/><Relationship Id="rId442" Type="http://schemas.openxmlformats.org/officeDocument/2006/relationships/hyperlink" Target="https://www.sterlinglawyers.com/illinois/blog/helping-guide-spousal-support-challenges-naperville/" TargetMode="External"/><Relationship Id="rId1277" Type="http://schemas.openxmlformats.org/officeDocument/2006/relationships/hyperlink" Target="https://www.sterlinglawyers.com/wisconsin/divorce/children-and-divorce/" TargetMode="External"/><Relationship Id="rId441" Type="http://schemas.openxmlformats.org/officeDocument/2006/relationships/hyperlink" Target="https://www.sterlinglawyers.com/illinois/areas/kane-county/carpentersville/" TargetMode="External"/><Relationship Id="rId1278" Type="http://schemas.openxmlformats.org/officeDocument/2006/relationships/hyperlink" Target="https://www.sterlinglawyers.com/wisconsin/locations/green-bay/military-divorce-lawyers/divorce-mediation-lawyers/" TargetMode="External"/><Relationship Id="rId1268" Type="http://schemas.openxmlformats.org/officeDocument/2006/relationships/hyperlink" Target="https://www.sterlinglawyers.com/wisconsin/blog/protecting-what-matters-divorce-mediation-brookfield/" TargetMode="External"/><Relationship Id="rId2599" Type="http://schemas.openxmlformats.org/officeDocument/2006/relationships/hyperlink" Target="https://www.sterlinglawyers.com/wisconsin/reviews/page/29/" TargetMode="External"/><Relationship Id="rId1269" Type="http://schemas.openxmlformats.org/officeDocument/2006/relationships/hyperlink" Target="https://www.sterlinglawyers.com/wisconsin/blog/depression-and-divorce/" TargetMode="External"/><Relationship Id="rId437" Type="http://schemas.openxmlformats.org/officeDocument/2006/relationships/hyperlink" Target="https://www.sterlinglawyers.com/illinois/areas/dupage-county/addison/" TargetMode="External"/><Relationship Id="rId436" Type="http://schemas.openxmlformats.org/officeDocument/2006/relationships/hyperlink" Target="https://www.sterlinglawyers.com/wisconsin/reviews/page/229/" TargetMode="External"/><Relationship Id="rId435" Type="http://schemas.openxmlformats.org/officeDocument/2006/relationships/hyperlink" Target="https://www.sterlinglawyers.com/illinois/areas/cook-county/mount-prospect/" TargetMode="External"/><Relationship Id="rId434" Type="http://schemas.openxmlformats.org/officeDocument/2006/relationships/hyperlink" Target="https://www.sterlinglawyers.com/illinois/areas/dupage-county/bloomingdale/" TargetMode="External"/><Relationship Id="rId439" Type="http://schemas.openxmlformats.org/officeDocument/2006/relationships/hyperlink" Target="https://www.sterlinglawyers.com/illinois/areas/dupage-county/wood-dale/" TargetMode="External"/><Relationship Id="rId438" Type="http://schemas.openxmlformats.org/officeDocument/2006/relationships/hyperlink" Target="https://www.sterlinglawyers.com/illinois/areas/cook-county/buffalo-grove/" TargetMode="External"/><Relationship Id="rId2590" Type="http://schemas.openxmlformats.org/officeDocument/2006/relationships/hyperlink" Target="https://www.sterlinglawyers.com/illinois/reviews/page/31/" TargetMode="External"/><Relationship Id="rId1260" Type="http://schemas.openxmlformats.org/officeDocument/2006/relationships/hyperlink" Target="https://www.sterlinglawyers.com/wisconsin/blog/road-resilience-sheboygan-uncontested-divorce/" TargetMode="External"/><Relationship Id="rId2591" Type="http://schemas.openxmlformats.org/officeDocument/2006/relationships/hyperlink" Target="https://www.sterlinglawyers.com/flourishing-families/page/4/?et_blog" TargetMode="External"/><Relationship Id="rId1261" Type="http://schemas.openxmlformats.org/officeDocument/2006/relationships/hyperlink" Target="https://www.sterlinglawyers.com/wisconsin/blog/peace-of-mind-uncontested-divorce-west-bend/" TargetMode="External"/><Relationship Id="rId2592" Type="http://schemas.openxmlformats.org/officeDocument/2006/relationships/hyperlink" Target="https://www.sterlinglawyers.com/wisconsin/attorneys/holly-mullin/reviews/page/27/" TargetMode="External"/><Relationship Id="rId1262" Type="http://schemas.openxmlformats.org/officeDocument/2006/relationships/hyperlink" Target="https://www.sterlinglawyers.com/wisconsin/blog/impact-compassionate-guidance-paternity-middleton/" TargetMode="External"/><Relationship Id="rId2593" Type="http://schemas.openxmlformats.org/officeDocument/2006/relationships/hyperlink" Target="https://www.sterlinglawyers.com/wisconsin/attorneys/holly-mullin/reviews/page/26/" TargetMode="External"/><Relationship Id="rId1263" Type="http://schemas.openxmlformats.org/officeDocument/2006/relationships/hyperlink" Target="https://www.sterlinglawyers.com/wisconsin/blog/a-look-into-uncontested-divorce-in-milwaukee-county/" TargetMode="External"/><Relationship Id="rId2594" Type="http://schemas.openxmlformats.org/officeDocument/2006/relationships/hyperlink" Target="https://www.sterlinglawyers.com/wisdom-from-attorney-knighton/page/4/?et_blog" TargetMode="External"/><Relationship Id="rId433" Type="http://schemas.openxmlformats.org/officeDocument/2006/relationships/hyperlink" Target="https://www.sterlinglawyers.com/illinois/areas/cook-county/elk-grove-village/" TargetMode="External"/><Relationship Id="rId1264" Type="http://schemas.openxmlformats.org/officeDocument/2006/relationships/hyperlink" Target="https://www.sterlinglawyers.com/wisconsin/blog/legal-assistance-west-bend-military-divorce-cases/" TargetMode="External"/><Relationship Id="rId2595" Type="http://schemas.openxmlformats.org/officeDocument/2006/relationships/hyperlink" Target="https://www.sterlinglawyers.com/case-law/page/4/?et_blog" TargetMode="External"/><Relationship Id="rId432" Type="http://schemas.openxmlformats.org/officeDocument/2006/relationships/hyperlink" Target="https://www.sterlinglawyers.com/illinois/areas/lake-county/highland-park/" TargetMode="External"/><Relationship Id="rId1265" Type="http://schemas.openxmlformats.org/officeDocument/2006/relationships/hyperlink" Target="https://www.sterlinglawyers.com/wisconsin/divorce/can-i-make-my-spouse-move-out-after-divorce-papers-are-served/" TargetMode="External"/><Relationship Id="rId2596" Type="http://schemas.openxmlformats.org/officeDocument/2006/relationships/hyperlink" Target="https://www.sterlinglawyers.com/wisconsin/attorneys/nikole-messerschmidt/reviews/page/27/" TargetMode="External"/><Relationship Id="rId431" Type="http://schemas.openxmlformats.org/officeDocument/2006/relationships/hyperlink" Target="https://www.sterlinglawyers.com/illinois/areas/dupage-county/hanover-park/" TargetMode="External"/><Relationship Id="rId1266" Type="http://schemas.openxmlformats.org/officeDocument/2006/relationships/hyperlink" Target="https://www.sterlinglawyers.com/wisconsin/blog/diligent-family-law-attorney-guiding-property-division-matters/" TargetMode="External"/><Relationship Id="rId2597" Type="http://schemas.openxmlformats.org/officeDocument/2006/relationships/hyperlink" Target="https://www.sterlinglawyers.com/wisconsin/attorneys/nikole-messerschmidt/reviews/page/26/" TargetMode="External"/><Relationship Id="rId430" Type="http://schemas.openxmlformats.org/officeDocument/2006/relationships/hyperlink" Target="https://www.sterlinglawyers.com/illinois/areas/dupage-county/itasca/" TargetMode="External"/><Relationship Id="rId1267" Type="http://schemas.openxmlformats.org/officeDocument/2006/relationships/hyperlink" Target="https://www.sterlinglawyers.com/news/dividing-family-business/" TargetMode="External"/><Relationship Id="rId2598" Type="http://schemas.openxmlformats.org/officeDocument/2006/relationships/hyperlink" Target="https://www.sterlinglawyers.com/wisconsin/reviews/page/28/" TargetMode="External"/><Relationship Id="rId3070" Type="http://schemas.openxmlformats.org/officeDocument/2006/relationships/hyperlink" Target="https://www.sterlinglawyers.com/wisconsin/reviews/page/99/" TargetMode="External"/><Relationship Id="rId3072" Type="http://schemas.openxmlformats.org/officeDocument/2006/relationships/hyperlink" Target="https://www.sterlinglawyers.com/wisconsin/reviews/page/101/" TargetMode="External"/><Relationship Id="rId3071" Type="http://schemas.openxmlformats.org/officeDocument/2006/relationships/hyperlink" Target="https://www.sterlinglawyers.com/illinois/reviews/page/129/" TargetMode="External"/><Relationship Id="rId3074" Type="http://schemas.openxmlformats.org/officeDocument/2006/relationships/hyperlink" Target="https://www.sterlinglawyers.com/reviews/page/131/" TargetMode="External"/><Relationship Id="rId3073" Type="http://schemas.openxmlformats.org/officeDocument/2006/relationships/hyperlink" Target="https://www.sterlinglawyers.com/wisconsin/reviews/page/131/" TargetMode="External"/><Relationship Id="rId3076" Type="http://schemas.openxmlformats.org/officeDocument/2006/relationships/hyperlink" Target="https://www.sterlinglawyers.com/reviews/page/129/" TargetMode="External"/><Relationship Id="rId3075" Type="http://schemas.openxmlformats.org/officeDocument/2006/relationships/hyperlink" Target="https://www.sterlinglawyers.com/reviews/page/130/" TargetMode="External"/><Relationship Id="rId3078" Type="http://schemas.openxmlformats.org/officeDocument/2006/relationships/hyperlink" Target="https://www.sterlinglawyers.com/reviews/page/103/" TargetMode="External"/><Relationship Id="rId3077" Type="http://schemas.openxmlformats.org/officeDocument/2006/relationships/hyperlink" Target="https://www.sterlinglawyers.com/reviews/page/128/" TargetMode="External"/><Relationship Id="rId3079" Type="http://schemas.openxmlformats.org/officeDocument/2006/relationships/hyperlink" Target="https://www.sterlinglawyers.com/reviews/page/105/" TargetMode="External"/><Relationship Id="rId3061" Type="http://schemas.openxmlformats.org/officeDocument/2006/relationships/hyperlink" Target="https://www.sterlinglawyers.com/illinois/reviews/page/100/" TargetMode="External"/><Relationship Id="rId3060" Type="http://schemas.openxmlformats.org/officeDocument/2006/relationships/hyperlink" Target="https://www.sterlinglawyers.com/wisconsin/reviews/page/92/" TargetMode="External"/><Relationship Id="rId3063" Type="http://schemas.openxmlformats.org/officeDocument/2006/relationships/hyperlink" Target="https://www.sterlinglawyers.com/wisconsin/reviews/page/100/" TargetMode="External"/><Relationship Id="rId3062" Type="http://schemas.openxmlformats.org/officeDocument/2006/relationships/hyperlink" Target="https://www.sterlinglawyers.com/wisconsin/reviews/page/98/" TargetMode="External"/><Relationship Id="rId3065" Type="http://schemas.openxmlformats.org/officeDocument/2006/relationships/hyperlink" Target="https://www.sterlinglawyers.com/wisconsin/reviews/page/96/" TargetMode="External"/><Relationship Id="rId3064" Type="http://schemas.openxmlformats.org/officeDocument/2006/relationships/hyperlink" Target="https://www.sterlinglawyers.com/wisconsin/reviews/page/132/" TargetMode="External"/><Relationship Id="rId3067" Type="http://schemas.openxmlformats.org/officeDocument/2006/relationships/hyperlink" Target="https://www.sterlinglawyers.com/illinois/reviews/page/103/" TargetMode="External"/><Relationship Id="rId3066" Type="http://schemas.openxmlformats.org/officeDocument/2006/relationships/hyperlink" Target="https://www.sterlinglawyers.com/reviews/page/101/" TargetMode="External"/><Relationship Id="rId3069" Type="http://schemas.openxmlformats.org/officeDocument/2006/relationships/hyperlink" Target="https://www.sterlinglawyers.com/reviews/page/102/" TargetMode="External"/><Relationship Id="rId3068" Type="http://schemas.openxmlformats.org/officeDocument/2006/relationships/hyperlink" Target="https://www.sterlinglawyers.com/wisconsin/reviews/page/134/" TargetMode="External"/><Relationship Id="rId3090" Type="http://schemas.openxmlformats.org/officeDocument/2006/relationships/hyperlink" Target="https://www.sterlinglawyers.com/illinois/reviews/page/107/" TargetMode="External"/><Relationship Id="rId3092" Type="http://schemas.openxmlformats.org/officeDocument/2006/relationships/hyperlink" Target="https://www.sterlinglawyers.com/wisconsin/reviews/page/127/" TargetMode="External"/><Relationship Id="rId3091" Type="http://schemas.openxmlformats.org/officeDocument/2006/relationships/hyperlink" Target="https://www.sterlinglawyers.com/wisconsin/reviews/page/129/" TargetMode="External"/><Relationship Id="rId3094" Type="http://schemas.openxmlformats.org/officeDocument/2006/relationships/hyperlink" Target="https://www.sterlinglawyers.com/wisconsin/reviews/page/130/" TargetMode="External"/><Relationship Id="rId3093" Type="http://schemas.openxmlformats.org/officeDocument/2006/relationships/hyperlink" Target="https://www.sterlinglawyers.com/wisconsin/reviews/page/128/" TargetMode="External"/><Relationship Id="rId3096" Type="http://schemas.openxmlformats.org/officeDocument/2006/relationships/hyperlink" Target="https://www.sterlinglawyers.com/reviews/page/107/" TargetMode="External"/><Relationship Id="rId3095" Type="http://schemas.openxmlformats.org/officeDocument/2006/relationships/hyperlink" Target="https://www.sterlinglawyers.com/reviews/page/106/" TargetMode="External"/><Relationship Id="rId3098" Type="http://schemas.openxmlformats.org/officeDocument/2006/relationships/hyperlink" Target="https://www.sterlinglawyers.com/reviews/page/127/" TargetMode="External"/><Relationship Id="rId3097" Type="http://schemas.openxmlformats.org/officeDocument/2006/relationships/hyperlink" Target="https://www.sterlinglawyers.com/reviews/page/126/" TargetMode="External"/><Relationship Id="rId3099" Type="http://schemas.openxmlformats.org/officeDocument/2006/relationships/hyperlink" Target="https://www.sterlinglawyers.com/illinois/reviews/page/128/" TargetMode="External"/><Relationship Id="rId3081" Type="http://schemas.openxmlformats.org/officeDocument/2006/relationships/hyperlink" Target="https://www.sterlinglawyers.com/illinois/reviews/page/130/" TargetMode="External"/><Relationship Id="rId3080" Type="http://schemas.openxmlformats.org/officeDocument/2006/relationships/hyperlink" Target="https://www.sterlinglawyers.com/illinois/reviews/page/127/" TargetMode="External"/><Relationship Id="rId3083" Type="http://schemas.openxmlformats.org/officeDocument/2006/relationships/hyperlink" Target="https://www.sterlinglawyers.com/illinois/reviews/page/102/" TargetMode="External"/><Relationship Id="rId3082" Type="http://schemas.openxmlformats.org/officeDocument/2006/relationships/hyperlink" Target="https://www.sterlinglawyers.com/reviews/page/104/" TargetMode="External"/><Relationship Id="rId3085" Type="http://schemas.openxmlformats.org/officeDocument/2006/relationships/hyperlink" Target="https://www.sterlinglawyers.com/illinois/reviews/page/104/" TargetMode="External"/><Relationship Id="rId3084" Type="http://schemas.openxmlformats.org/officeDocument/2006/relationships/hyperlink" Target="https://www.sterlinglawyers.com/illinois/reviews/page/105/" TargetMode="External"/><Relationship Id="rId3087" Type="http://schemas.openxmlformats.org/officeDocument/2006/relationships/hyperlink" Target="https://www.sterlinglawyers.com/wisconsin/reviews/page/102/" TargetMode="External"/><Relationship Id="rId3086" Type="http://schemas.openxmlformats.org/officeDocument/2006/relationships/hyperlink" Target="https://www.sterlinglawyers.com/wisconsin/reviews/page/103/" TargetMode="External"/><Relationship Id="rId3089" Type="http://schemas.openxmlformats.org/officeDocument/2006/relationships/hyperlink" Target="https://www.sterlinglawyers.com/wisconsin/reviews/page/104/" TargetMode="External"/><Relationship Id="rId3088" Type="http://schemas.openxmlformats.org/officeDocument/2006/relationships/hyperlink" Target="https://www.sterlinglawyers.com/wisconsin/reviews/page/105/" TargetMode="External"/><Relationship Id="rId3039" Type="http://schemas.openxmlformats.org/officeDocument/2006/relationships/hyperlink" Target="https://www.sterlinglawyers.com/illinois/reviews/page/96/" TargetMode="External"/><Relationship Id="rId1" Type="http://schemas.openxmlformats.org/officeDocument/2006/relationships/hyperlink" Target="https://www.sterlinglawyers.com/illinois/" TargetMode="External"/><Relationship Id="rId2" Type="http://schemas.openxmlformats.org/officeDocument/2006/relationships/hyperlink" Target="https://www.sterlinglawyers.com/illinois/attorneys/reyna-herrera/reviews/" TargetMode="External"/><Relationship Id="rId3" Type="http://schemas.openxmlformats.org/officeDocument/2006/relationships/hyperlink" Target="https://www.sterlinglawyers.com/illinois/attorneys/alexandra-isroff/reviews/" TargetMode="External"/><Relationship Id="rId4" Type="http://schemas.openxmlformats.org/officeDocument/2006/relationships/hyperlink" Target="https://www.sterlinglawyers.com/illinois/attorneys/cynthia-toscano/reviews/" TargetMode="External"/><Relationship Id="rId3030" Type="http://schemas.openxmlformats.org/officeDocument/2006/relationships/hyperlink" Target="https://www.sterlinglawyers.com/reviews/page/96/" TargetMode="External"/><Relationship Id="rId9" Type="http://schemas.openxmlformats.org/officeDocument/2006/relationships/hyperlink" Target="https://www.sterlinglawyers.com/about-us/" TargetMode="External"/><Relationship Id="rId3032" Type="http://schemas.openxmlformats.org/officeDocument/2006/relationships/hyperlink" Target="https://www.sterlinglawyers.com/reviews/page/97/" TargetMode="External"/><Relationship Id="rId3031" Type="http://schemas.openxmlformats.org/officeDocument/2006/relationships/hyperlink" Target="https://www.sterlinglawyers.com/wisconsin/reviews/page/142/" TargetMode="External"/><Relationship Id="rId3034" Type="http://schemas.openxmlformats.org/officeDocument/2006/relationships/hyperlink" Target="https://www.sterlinglawyers.com/wisconsin/reviews/page/137/" TargetMode="External"/><Relationship Id="rId3033" Type="http://schemas.openxmlformats.org/officeDocument/2006/relationships/hyperlink" Target="https://www.sterlinglawyers.com/wisconsin/reviews/page/138/" TargetMode="External"/><Relationship Id="rId5" Type="http://schemas.openxmlformats.org/officeDocument/2006/relationships/hyperlink" Target="https://www.sterlinglawyers.com/illinois/locations/st-charles/" TargetMode="External"/><Relationship Id="rId3036" Type="http://schemas.openxmlformats.org/officeDocument/2006/relationships/hyperlink" Target="https://www.sterlinglawyers.com/illinois/reviews/page/94/" TargetMode="External"/><Relationship Id="rId6" Type="http://schemas.openxmlformats.org/officeDocument/2006/relationships/hyperlink" Target="https://www.sterlinglawyers.com/illinois/attorneys/ryan-shope/reviews/" TargetMode="External"/><Relationship Id="rId3035" Type="http://schemas.openxmlformats.org/officeDocument/2006/relationships/hyperlink" Target="https://www.sterlinglawyers.com/reviews/page/137/" TargetMode="External"/><Relationship Id="rId7" Type="http://schemas.openxmlformats.org/officeDocument/2006/relationships/hyperlink" Target="https://www.sterlinglawyers.com/illinois/attorneys/jacqueline-mcclellan/reviews/" TargetMode="External"/><Relationship Id="rId3038" Type="http://schemas.openxmlformats.org/officeDocument/2006/relationships/hyperlink" Target="https://www.sterlinglawyers.com/wisconsin/reviews/page/94/" TargetMode="External"/><Relationship Id="rId8" Type="http://schemas.openxmlformats.org/officeDocument/2006/relationships/hyperlink" Target="https://www.sterlinglawyers.com/illinois/attorneys/jeff-hughes/reviews/" TargetMode="External"/><Relationship Id="rId3037" Type="http://schemas.openxmlformats.org/officeDocument/2006/relationships/hyperlink" Target="https://www.sterlinglawyers.com/wisconsin/reviews/page/95/" TargetMode="External"/><Relationship Id="rId3029" Type="http://schemas.openxmlformats.org/officeDocument/2006/relationships/hyperlink" Target="https://www.sterlinglawyers.com/reviews/page/136/" TargetMode="External"/><Relationship Id="rId3028" Type="http://schemas.openxmlformats.org/officeDocument/2006/relationships/hyperlink" Target="https://www.sterlinglawyers.com/illinois/reviews/page/135/" TargetMode="External"/><Relationship Id="rId3021" Type="http://schemas.openxmlformats.org/officeDocument/2006/relationships/hyperlink" Target="https://www.sterlinglawyers.com/wisconsin/reviews/page/140/" TargetMode="External"/><Relationship Id="rId3020" Type="http://schemas.openxmlformats.org/officeDocument/2006/relationships/hyperlink" Target="https://www.sterlinglawyers.com/wisconsin/reviews/page/139/" TargetMode="External"/><Relationship Id="rId3023" Type="http://schemas.openxmlformats.org/officeDocument/2006/relationships/hyperlink" Target="https://www.sterlinglawyers.com/reviews/page/138/" TargetMode="External"/><Relationship Id="rId3022" Type="http://schemas.openxmlformats.org/officeDocument/2006/relationships/hyperlink" Target="https://www.sterlinglawyers.com/reviews/page/95/" TargetMode="External"/><Relationship Id="rId3025" Type="http://schemas.openxmlformats.org/officeDocument/2006/relationships/hyperlink" Target="https://www.sterlinglawyers.com/illinois/reviews/page/137/" TargetMode="External"/><Relationship Id="rId3024" Type="http://schemas.openxmlformats.org/officeDocument/2006/relationships/hyperlink" Target="https://www.sterlinglawyers.com/reviews/page/94/" TargetMode="External"/><Relationship Id="rId3027" Type="http://schemas.openxmlformats.org/officeDocument/2006/relationships/hyperlink" Target="https://www.sterlinglawyers.com/illinois/reviews/page/136/" TargetMode="External"/><Relationship Id="rId3026" Type="http://schemas.openxmlformats.org/officeDocument/2006/relationships/hyperlink" Target="https://www.sterlinglawyers.com/illinois/reviews/page/138/" TargetMode="External"/><Relationship Id="rId3050" Type="http://schemas.openxmlformats.org/officeDocument/2006/relationships/hyperlink" Target="https://www.sterlinglawyers.com/reviews/page/134/" TargetMode="External"/><Relationship Id="rId3052" Type="http://schemas.openxmlformats.org/officeDocument/2006/relationships/hyperlink" Target="https://www.sterlinglawyers.com/illinois/reviews/page/134/" TargetMode="External"/><Relationship Id="rId3051" Type="http://schemas.openxmlformats.org/officeDocument/2006/relationships/hyperlink" Target="https://www.sterlinglawyers.com/illinois/reviews/page/133/" TargetMode="External"/><Relationship Id="rId3054" Type="http://schemas.openxmlformats.org/officeDocument/2006/relationships/hyperlink" Target="https://www.sterlinglawyers.com/illinois/reviews/page/132/" TargetMode="External"/><Relationship Id="rId3053" Type="http://schemas.openxmlformats.org/officeDocument/2006/relationships/hyperlink" Target="https://www.sterlinglawyers.com/reviews/page/132/" TargetMode="External"/><Relationship Id="rId3056" Type="http://schemas.openxmlformats.org/officeDocument/2006/relationships/hyperlink" Target="https://www.sterlinglawyers.com/reviews/page/133/" TargetMode="External"/><Relationship Id="rId3055" Type="http://schemas.openxmlformats.org/officeDocument/2006/relationships/hyperlink" Target="https://www.sterlinglawyers.com/illinois/reviews/page/131/" TargetMode="External"/><Relationship Id="rId3058" Type="http://schemas.openxmlformats.org/officeDocument/2006/relationships/hyperlink" Target="https://www.sterlinglawyers.com/illinois/reviews/page/101/" TargetMode="External"/><Relationship Id="rId3057" Type="http://schemas.openxmlformats.org/officeDocument/2006/relationships/hyperlink" Target="https://www.sterlinglawyers.com/reviews/page/100/" TargetMode="External"/><Relationship Id="rId3059" Type="http://schemas.openxmlformats.org/officeDocument/2006/relationships/hyperlink" Target="https://www.sterlinglawyers.com/wisconsin/reviews/page/133/" TargetMode="External"/><Relationship Id="rId3041" Type="http://schemas.openxmlformats.org/officeDocument/2006/relationships/hyperlink" Target="https://www.sterlinglawyers.com/wisconsin/reviews/page/97/" TargetMode="External"/><Relationship Id="rId3040" Type="http://schemas.openxmlformats.org/officeDocument/2006/relationships/hyperlink" Target="https://www.sterlinglawyers.com/illinois/reviews/page/95/" TargetMode="External"/><Relationship Id="rId3043" Type="http://schemas.openxmlformats.org/officeDocument/2006/relationships/hyperlink" Target="https://www.sterlinglawyers.com/illinois/reviews/page/97/" TargetMode="External"/><Relationship Id="rId3042" Type="http://schemas.openxmlformats.org/officeDocument/2006/relationships/hyperlink" Target="https://www.sterlinglawyers.com/illinois/reviews/page/98/" TargetMode="External"/><Relationship Id="rId3045" Type="http://schemas.openxmlformats.org/officeDocument/2006/relationships/hyperlink" Target="https://www.sterlinglawyers.com/illinois/reviews/page/99/" TargetMode="External"/><Relationship Id="rId3044" Type="http://schemas.openxmlformats.org/officeDocument/2006/relationships/hyperlink" Target="https://www.sterlinglawyers.com/wisconsin/reviews/page/135/" TargetMode="External"/><Relationship Id="rId3047" Type="http://schemas.openxmlformats.org/officeDocument/2006/relationships/hyperlink" Target="https://www.sterlinglawyers.com/reviews/page/99/" TargetMode="External"/><Relationship Id="rId3046" Type="http://schemas.openxmlformats.org/officeDocument/2006/relationships/hyperlink" Target="https://www.sterlinglawyers.com/wisconsin/reviews/page/136/" TargetMode="External"/><Relationship Id="rId3049" Type="http://schemas.openxmlformats.org/officeDocument/2006/relationships/hyperlink" Target="https://www.sterlinglawyers.com/reviews/page/135/" TargetMode="External"/><Relationship Id="rId3048" Type="http://schemas.openxmlformats.org/officeDocument/2006/relationships/hyperlink" Target="https://www.sterlinglawyers.com/reviews/page/98/" TargetMode="External"/><Relationship Id="rId2600" Type="http://schemas.openxmlformats.org/officeDocument/2006/relationships/hyperlink" Target="https://www.sterlinglawyers.com/meet-us/page/4/?et_blog" TargetMode="External"/><Relationship Id="rId2601" Type="http://schemas.openxmlformats.org/officeDocument/2006/relationships/hyperlink" Target="https://www.sterlinglawyers.com/wisconsin/reviews/page/31/" TargetMode="External"/><Relationship Id="rId2602" Type="http://schemas.openxmlformats.org/officeDocument/2006/relationships/hyperlink" Target="https://www.sterlinglawyers.com/meet-us/page/5/?et_blog" TargetMode="External"/><Relationship Id="rId2603" Type="http://schemas.openxmlformats.org/officeDocument/2006/relationships/hyperlink" Target="https://www.sterlinglawyers.com/wisconsin/reviews/page/30/" TargetMode="External"/><Relationship Id="rId2604" Type="http://schemas.openxmlformats.org/officeDocument/2006/relationships/hyperlink" Target="https://www.sterlinglawyers.com/case-law/page/5/?et_blog" TargetMode="External"/><Relationship Id="rId2605" Type="http://schemas.openxmlformats.org/officeDocument/2006/relationships/hyperlink" Target="https://www.sterlinglawyers.com/wisdom-from-attorney-knighton/page/5/?et_blog" TargetMode="External"/><Relationship Id="rId2606" Type="http://schemas.openxmlformats.org/officeDocument/2006/relationships/hyperlink" Target="https://www.sterlinglawyers.com/flourishing-families/page/5/?et_blog" TargetMode="External"/><Relationship Id="rId808" Type="http://schemas.openxmlformats.org/officeDocument/2006/relationships/hyperlink" Target="https://www.sterlinglawyers.com/wisconsin/locations/oshkosh/divorce-mediation-lawyers/" TargetMode="External"/><Relationship Id="rId2607" Type="http://schemas.openxmlformats.org/officeDocument/2006/relationships/hyperlink" Target="https://www.sterlinglawyers.com/illinois/reviews/page/33/" TargetMode="External"/><Relationship Id="rId807" Type="http://schemas.openxmlformats.org/officeDocument/2006/relationships/hyperlink" Target="https://www.sterlinglawyers.com/wisconsin/locations/oshkosh/alimony-lawyers/" TargetMode="External"/><Relationship Id="rId2608" Type="http://schemas.openxmlformats.org/officeDocument/2006/relationships/hyperlink" Target="https://www.sterlinglawyers.com/wisconsin/attorneys/ellen-rhodeman/reviews/page/27/" TargetMode="External"/><Relationship Id="rId806" Type="http://schemas.openxmlformats.org/officeDocument/2006/relationships/hyperlink" Target="https://www.sterlinglawyers.com/wisconsin/locations/oshkosh/collaborative-divorce-lawyers/" TargetMode="External"/><Relationship Id="rId2609" Type="http://schemas.openxmlformats.org/officeDocument/2006/relationships/hyperlink" Target="https://www.sterlinglawyers.com/wisconsin/reviews/page/201/" TargetMode="External"/><Relationship Id="rId805" Type="http://schemas.openxmlformats.org/officeDocument/2006/relationships/hyperlink" Target="https://www.sterlinglawyers.com/wisconsin/locations/oshkosh/paternity-lawyers/" TargetMode="External"/><Relationship Id="rId809" Type="http://schemas.openxmlformats.org/officeDocument/2006/relationships/hyperlink" Target="https://www.sterlinglawyers.com/wisconsin/locations/oshkosh/contested-divorce-lawyers/" TargetMode="External"/><Relationship Id="rId800" Type="http://schemas.openxmlformats.org/officeDocument/2006/relationships/hyperlink" Target="https://www.sterlinglawyers.com/wisconsin/locations/middleton/alimony-lawyers/" TargetMode="External"/><Relationship Id="rId804" Type="http://schemas.openxmlformats.org/officeDocument/2006/relationships/hyperlink" Target="https://www.sterlinglawyers.com/wisconsin/locations/oshkosh/uncontested-divorce-lawyers/" TargetMode="External"/><Relationship Id="rId803" Type="http://schemas.openxmlformats.org/officeDocument/2006/relationships/hyperlink" Target="https://www.sterlinglawyers.com/wisconsin/locations/oshkosh/property-division-lawyers/" TargetMode="External"/><Relationship Id="rId802" Type="http://schemas.openxmlformats.org/officeDocument/2006/relationships/hyperlink" Target="https://www.sterlinglawyers.com/wisconsin/locations/middleton/military-divorce-lawyers/" TargetMode="External"/><Relationship Id="rId801" Type="http://schemas.openxmlformats.org/officeDocument/2006/relationships/hyperlink" Target="https://www.sterlinglawyers.com/wisconsin/locations/middleton/property-division-lawyers/" TargetMode="External"/><Relationship Id="rId1334" Type="http://schemas.openxmlformats.org/officeDocument/2006/relationships/hyperlink" Target="https://www.sterlinglawyers.com/wisconsin/locations/racine/property-division-lawyers/" TargetMode="External"/><Relationship Id="rId2665" Type="http://schemas.openxmlformats.org/officeDocument/2006/relationships/hyperlink" Target="https://www.sterlinglawyers.com/reviews/page/196/" TargetMode="External"/><Relationship Id="rId1335" Type="http://schemas.openxmlformats.org/officeDocument/2006/relationships/hyperlink" Target="https://www.sterlinglawyers.com/wisconsin/locations/racine/collaborative-divorce-lawyers/" TargetMode="External"/><Relationship Id="rId2666" Type="http://schemas.openxmlformats.org/officeDocument/2006/relationships/hyperlink" Target="https://www.sterlinglawyers.com/reviews/page/39/" TargetMode="External"/><Relationship Id="rId1336" Type="http://schemas.openxmlformats.org/officeDocument/2006/relationships/hyperlink" Target="https://www.sterlinglawyers.com/wisconsin/locations/racine/contested-divorce-lawyers/" TargetMode="External"/><Relationship Id="rId2667" Type="http://schemas.openxmlformats.org/officeDocument/2006/relationships/hyperlink" Target="https://www.sterlinglawyers.com/reviews/page/194/" TargetMode="External"/><Relationship Id="rId1337" Type="http://schemas.openxmlformats.org/officeDocument/2006/relationships/hyperlink" Target="https://www.sterlinglawyers.com/wisconsin/locations/racine/child-custody-lawyers/" TargetMode="External"/><Relationship Id="rId2668" Type="http://schemas.openxmlformats.org/officeDocument/2006/relationships/hyperlink" Target="https://www.sterlinglawyers.com/reviews/page/195/" TargetMode="External"/><Relationship Id="rId1338" Type="http://schemas.openxmlformats.org/officeDocument/2006/relationships/hyperlink" Target="https://www.sterlinglawyers.com/wisconsin/locations/racine/military-divorce-lawyers/" TargetMode="External"/><Relationship Id="rId2669" Type="http://schemas.openxmlformats.org/officeDocument/2006/relationships/hyperlink" Target="https://www.sterlinglawyers.com/case-law/page/8/?et_blog" TargetMode="External"/><Relationship Id="rId1339" Type="http://schemas.openxmlformats.org/officeDocument/2006/relationships/hyperlink" Target="https://www.sterlinglawyers.com/wisconsin/locations/racine/divorce-mediation-lawyers/" TargetMode="External"/><Relationship Id="rId745" Type="http://schemas.openxmlformats.org/officeDocument/2006/relationships/hyperlink" Target="https://www.sterlinglawyers.com/illinois/attorneys/nina-kelly/reviews/page/44/" TargetMode="External"/><Relationship Id="rId744" Type="http://schemas.openxmlformats.org/officeDocument/2006/relationships/hyperlink" Target="https://www.sterlinglawyers.com/illinois/attorneys/nina-kelly/reviews/page/43/" TargetMode="External"/><Relationship Id="rId743" Type="http://schemas.openxmlformats.org/officeDocument/2006/relationships/hyperlink" Target="https://www.sterlinglawyers.com/case-law/best-interest-child/" TargetMode="External"/><Relationship Id="rId742" Type="http://schemas.openxmlformats.org/officeDocument/2006/relationships/hyperlink" Target="https://www.sterlinglawyers.com/illinois/attorneys/nina-kelly/reviews/page/5/" TargetMode="External"/><Relationship Id="rId749" Type="http://schemas.openxmlformats.org/officeDocument/2006/relationships/hyperlink" Target="https://www.sterlinglawyers.com/wisconsin/property-division/is-a-personal-injury-settlement-considered-marital-property/" TargetMode="External"/><Relationship Id="rId748" Type="http://schemas.openxmlformats.org/officeDocument/2006/relationships/hyperlink" Target="https://www.sterlinglawyers.com/wisconsin/property-division/property-division-pt-1-basic-rights-duties/" TargetMode="External"/><Relationship Id="rId747" Type="http://schemas.openxmlformats.org/officeDocument/2006/relationships/hyperlink" Target="https://www.sterlinglawyers.com/wisconsin/property-division/can-injury-settlement-increase-support-payments/" TargetMode="External"/><Relationship Id="rId746" Type="http://schemas.openxmlformats.org/officeDocument/2006/relationships/hyperlink" Target="https://www.sterlinglawyers.com/wisconsin/property-division/are-pensions-divisible-in-court/" TargetMode="External"/><Relationship Id="rId2660" Type="http://schemas.openxmlformats.org/officeDocument/2006/relationships/hyperlink" Target="https://www.sterlinglawyers.com/case-law/page/6/?et_blog" TargetMode="External"/><Relationship Id="rId741" Type="http://schemas.openxmlformats.org/officeDocument/2006/relationships/hyperlink" Target="https://www.sterlinglawyers.com/wisconsin/child-custody/my-kid-should-be-treated-fairly-at-exs-house/" TargetMode="External"/><Relationship Id="rId1330" Type="http://schemas.openxmlformats.org/officeDocument/2006/relationships/hyperlink" Target="https://www.sterlinglawyers.com/wisconsin/child-support/uniform-interstate-family-act-and-child-support/" TargetMode="External"/><Relationship Id="rId2661" Type="http://schemas.openxmlformats.org/officeDocument/2006/relationships/hyperlink" Target="https://www.sterlinglawyers.com/wisconsin/attorneys/jeffrey-morrell/reviews/page/32/" TargetMode="External"/><Relationship Id="rId740" Type="http://schemas.openxmlformats.org/officeDocument/2006/relationships/hyperlink" Target="https://www.sterlinglawyers.com/wisconsin/divorce/5-useful-holiday-tips-for-divorced-parents/" TargetMode="External"/><Relationship Id="rId1331" Type="http://schemas.openxmlformats.org/officeDocument/2006/relationships/hyperlink" Target="https://www.sterlinglawyers.com/wisconsin/locations/racine/uncontested-divorce-lawyers/" TargetMode="External"/><Relationship Id="rId2662" Type="http://schemas.openxmlformats.org/officeDocument/2006/relationships/hyperlink" Target="https://www.sterlinglawyers.com/reviews/page/36/" TargetMode="External"/><Relationship Id="rId1332" Type="http://schemas.openxmlformats.org/officeDocument/2006/relationships/hyperlink" Target="https://www.sterlinglawyers.com/wisconsin/locations/racine/alimony-lawyers/" TargetMode="External"/><Relationship Id="rId2663" Type="http://schemas.openxmlformats.org/officeDocument/2006/relationships/hyperlink" Target="https://www.sterlinglawyers.com/case-law/page/7/?et_blog" TargetMode="External"/><Relationship Id="rId1333" Type="http://schemas.openxmlformats.org/officeDocument/2006/relationships/hyperlink" Target="https://www.sterlinglawyers.com/wisconsin/locations/racine/paternity-lawyers/" TargetMode="External"/><Relationship Id="rId2664" Type="http://schemas.openxmlformats.org/officeDocument/2006/relationships/hyperlink" Target="https://www.sterlinglawyers.com/reviews/page/37/" TargetMode="External"/><Relationship Id="rId1323" Type="http://schemas.openxmlformats.org/officeDocument/2006/relationships/hyperlink" Target="https://www.sterlinglawyers.com/wisconsin/property-division/benefits-disability-property-division/" TargetMode="External"/><Relationship Id="rId2654" Type="http://schemas.openxmlformats.org/officeDocument/2006/relationships/hyperlink" Target="https://www.sterlinglawyers.com/wisconsin/reviews/page/198/" TargetMode="External"/><Relationship Id="rId1324" Type="http://schemas.openxmlformats.org/officeDocument/2006/relationships/hyperlink" Target="https://www.sterlinglawyers.com/wisconsin/divorce/substance-abuse-during-and-after-divorce-who-does-it-hurt/" TargetMode="External"/><Relationship Id="rId2655" Type="http://schemas.openxmlformats.org/officeDocument/2006/relationships/hyperlink" Target="https://www.sterlinglawyers.com/flourishing-families/page/6/?et_blog" TargetMode="External"/><Relationship Id="rId1325" Type="http://schemas.openxmlformats.org/officeDocument/2006/relationships/hyperlink" Target="https://www.sterlinglawyers.com/wisconsin/blog/understanding-life-after-divorce-oshkosh-property-division-lawyers/" TargetMode="External"/><Relationship Id="rId2656" Type="http://schemas.openxmlformats.org/officeDocument/2006/relationships/hyperlink" Target="https://www.sterlinglawyers.com/illinois/reviews/page/195/" TargetMode="External"/><Relationship Id="rId1326" Type="http://schemas.openxmlformats.org/officeDocument/2006/relationships/hyperlink" Target="https://www.sterlinglawyers.com/illinois/attorneys/nina-kelly/reviews/page/6/" TargetMode="External"/><Relationship Id="rId2657" Type="http://schemas.openxmlformats.org/officeDocument/2006/relationships/hyperlink" Target="https://www.sterlinglawyers.com/flourishing-families/page/7/?et_blog" TargetMode="External"/><Relationship Id="rId1327" Type="http://schemas.openxmlformats.org/officeDocument/2006/relationships/hyperlink" Target="https://www.sterlinglawyers.com/wisconsin/blog/embrace-amicable-resolution-child-support-janesville-lawyers/" TargetMode="External"/><Relationship Id="rId2658" Type="http://schemas.openxmlformats.org/officeDocument/2006/relationships/hyperlink" Target="https://www.sterlinglawyers.com/wisconsin/attorneys/jeffrey-morrell/reviews/page/45/" TargetMode="External"/><Relationship Id="rId1328" Type="http://schemas.openxmlformats.org/officeDocument/2006/relationships/hyperlink" Target="https://www.sterlinglawyers.com/wisconsin/spousal-support/ex-stopped-paying-alimony/" TargetMode="External"/><Relationship Id="rId2659" Type="http://schemas.openxmlformats.org/officeDocument/2006/relationships/hyperlink" Target="https://www.sterlinglawyers.com/wisconsin/attorneys/jeffrey-morrell/reviews/page/44/" TargetMode="External"/><Relationship Id="rId1329" Type="http://schemas.openxmlformats.org/officeDocument/2006/relationships/hyperlink" Target="https://www.sterlinglawyers.com/wisconsin/property-division/courts-divide-property/" TargetMode="External"/><Relationship Id="rId739" Type="http://schemas.openxmlformats.org/officeDocument/2006/relationships/hyperlink" Target="https://www.sterlinglawyers.com/illinois/attorneys/nina-kelly/reviews/page/" TargetMode="External"/><Relationship Id="rId734" Type="http://schemas.openxmlformats.org/officeDocument/2006/relationships/hyperlink" Target="https://www.sterlinglawyers.com/illinois/reviews/page/227/" TargetMode="External"/><Relationship Id="rId733" Type="http://schemas.openxmlformats.org/officeDocument/2006/relationships/hyperlink" Target="https://www.sterlinglawyers.com/illinois/blog/page/3/?et_blog" TargetMode="External"/><Relationship Id="rId732" Type="http://schemas.openxmlformats.org/officeDocument/2006/relationships/hyperlink" Target="https://www.sterlinglawyers.com/illinois/reviews/page/228/" TargetMode="External"/><Relationship Id="rId731" Type="http://schemas.openxmlformats.org/officeDocument/2006/relationships/hyperlink" Target="https://www.sterlinglawyers.com/illinois/reviews/page/230/" TargetMode="External"/><Relationship Id="rId738" Type="http://schemas.openxmlformats.org/officeDocument/2006/relationships/hyperlink" Target="https://www.sterlinglawyers.com/wisconsin/divorce/co-parenting-wi/" TargetMode="External"/><Relationship Id="rId737" Type="http://schemas.openxmlformats.org/officeDocument/2006/relationships/hyperlink" Target="https://www.sterlinglawyers.com/news/childrens-best-interests/" TargetMode="External"/><Relationship Id="rId736" Type="http://schemas.openxmlformats.org/officeDocument/2006/relationships/hyperlink" Target="https://www.sterlinglawyers.com/illinois/attorneys/nina-kelly/reviews/page/4/" TargetMode="External"/><Relationship Id="rId735" Type="http://schemas.openxmlformats.org/officeDocument/2006/relationships/hyperlink" Target="https://www.sterlinglawyers.com/illinois/attorneys/lea-diaz/reviews/page/20/" TargetMode="External"/><Relationship Id="rId730" Type="http://schemas.openxmlformats.org/officeDocument/2006/relationships/hyperlink" Target="https://www.sterlinglawyers.com/illinois/reviews/page/5/" TargetMode="External"/><Relationship Id="rId2650" Type="http://schemas.openxmlformats.org/officeDocument/2006/relationships/hyperlink" Target="https://www.sterlinglawyers.com/wisdom-from-attorney-knighton/page/7/?et_blog" TargetMode="External"/><Relationship Id="rId1320" Type="http://schemas.openxmlformats.org/officeDocument/2006/relationships/hyperlink" Target="https://www.sterlinglawyers.com/illinois/attorneys/nina-kelly/reviews/page/42/" TargetMode="External"/><Relationship Id="rId2651" Type="http://schemas.openxmlformats.org/officeDocument/2006/relationships/hyperlink" Target="https://www.sterlinglawyers.com/illinois/reviews/page/36/" TargetMode="External"/><Relationship Id="rId1321" Type="http://schemas.openxmlformats.org/officeDocument/2006/relationships/hyperlink" Target="https://www.sterlinglawyers.com/wisconsin/divorce/entitled-ex-husbands-retirement-money-right-away/" TargetMode="External"/><Relationship Id="rId2652" Type="http://schemas.openxmlformats.org/officeDocument/2006/relationships/hyperlink" Target="https://www.sterlinglawyers.com/illinois/reviews/page/37/" TargetMode="External"/><Relationship Id="rId1322" Type="http://schemas.openxmlformats.org/officeDocument/2006/relationships/hyperlink" Target="https://www.sterlinglawyers.com/wisconsin/property-division/how-stocks-are-viewed-and-divided-in-divorce/" TargetMode="External"/><Relationship Id="rId2653" Type="http://schemas.openxmlformats.org/officeDocument/2006/relationships/hyperlink" Target="https://www.sterlinglawyers.com/wisconsin/attorneys/jeffrey-morrell/reviews/page/33/" TargetMode="External"/><Relationship Id="rId1356" Type="http://schemas.openxmlformats.org/officeDocument/2006/relationships/hyperlink" Target="https://www.sterlinglawyers.com/wisconsin/blog/fighting-for-fair-assistance-with-milwaukee-child-support-lawyers/" TargetMode="External"/><Relationship Id="rId2687" Type="http://schemas.openxmlformats.org/officeDocument/2006/relationships/hyperlink" Target="https://www.sterlinglawyers.com/wisconsin/reviews/page/39/" TargetMode="External"/><Relationship Id="rId1357" Type="http://schemas.openxmlformats.org/officeDocument/2006/relationships/hyperlink" Target="https://www.sterlinglawyers.com/wisconsin/blog/empowering-parents-child-custody-middleton/" TargetMode="External"/><Relationship Id="rId2688" Type="http://schemas.openxmlformats.org/officeDocument/2006/relationships/hyperlink" Target="https://www.sterlinglawyers.com/reviews/page/197/" TargetMode="External"/><Relationship Id="rId1358" Type="http://schemas.openxmlformats.org/officeDocument/2006/relationships/hyperlink" Target="https://www.sterlinglawyers.com/wisconsin/blog/making-uncontested-divorce-less-daunting-brookfield/" TargetMode="External"/><Relationship Id="rId2689" Type="http://schemas.openxmlformats.org/officeDocument/2006/relationships/hyperlink" Target="https://www.sterlinglawyers.com/illinois/reviews/page/40/" TargetMode="External"/><Relationship Id="rId1359" Type="http://schemas.openxmlformats.org/officeDocument/2006/relationships/hyperlink" Target="https://www.sterlinglawyers.com/wisconsin/blog/janesville-lawyers-client-interests-military-divorce/" TargetMode="External"/><Relationship Id="rId767" Type="http://schemas.openxmlformats.org/officeDocument/2006/relationships/hyperlink" Target="https://www.sterlinglawyers.com/wisconsin/locations/jefferson/property-division-lawyers/" TargetMode="External"/><Relationship Id="rId766" Type="http://schemas.openxmlformats.org/officeDocument/2006/relationships/hyperlink" Target="https://www.sterlinglawyers.com/wisconsin/locations/jefferson/paternity-lawyers/" TargetMode="External"/><Relationship Id="rId765" Type="http://schemas.openxmlformats.org/officeDocument/2006/relationships/hyperlink" Target="https://sterlinglawyers.com/wisconsin/divorce/litigation/" TargetMode="External"/><Relationship Id="rId764" Type="http://schemas.openxmlformats.org/officeDocument/2006/relationships/hyperlink" Target="https://www.sterlinglawyers.com/wisconsin/divorce/keep-divorce-costs-down/" TargetMode="External"/><Relationship Id="rId769" Type="http://schemas.openxmlformats.org/officeDocument/2006/relationships/hyperlink" Target="https://www.sterlinglawyers.com/wisconsin/locations/jefferson/military-divorce-lawyers/" TargetMode="External"/><Relationship Id="rId768" Type="http://schemas.openxmlformats.org/officeDocument/2006/relationships/hyperlink" Target="https://www.sterlinglawyers.com/illinois/reviews/page/4/" TargetMode="External"/><Relationship Id="rId2680" Type="http://schemas.openxmlformats.org/officeDocument/2006/relationships/hyperlink" Target="https://www.sterlinglawyers.com/illinois/reviews/page/39/" TargetMode="External"/><Relationship Id="rId1350" Type="http://schemas.openxmlformats.org/officeDocument/2006/relationships/hyperlink" Target="https://www.sterlinglawyers.com/wisconsin/child-support/child-support-obligations-of-grandparents/" TargetMode="External"/><Relationship Id="rId2681" Type="http://schemas.openxmlformats.org/officeDocument/2006/relationships/hyperlink" Target="https://www.sterlinglawyers.com/illinois/reviews/page/38/" TargetMode="External"/><Relationship Id="rId1351" Type="http://schemas.openxmlformats.org/officeDocument/2006/relationships/hyperlink" Target="https://www.sterlinglawyers.com/wisconsin/child-custody/can-non-parent-challenge-custody-children/" TargetMode="External"/><Relationship Id="rId2682" Type="http://schemas.openxmlformats.org/officeDocument/2006/relationships/hyperlink" Target="https://www.sterlinglawyers.com/wisdom-from-attorney-knighton/page/8/?et_blog" TargetMode="External"/><Relationship Id="rId763" Type="http://schemas.openxmlformats.org/officeDocument/2006/relationships/hyperlink" Target="https://www.sterlinglawyers.com/wisconsin/attorneys" TargetMode="External"/><Relationship Id="rId1352" Type="http://schemas.openxmlformats.org/officeDocument/2006/relationships/hyperlink" Target="https://www.sterlinglawyers.com/wisconsin/divorce/can-finalize-divorce-still-unresolved-financial-issues/" TargetMode="External"/><Relationship Id="rId2683" Type="http://schemas.openxmlformats.org/officeDocument/2006/relationships/hyperlink" Target="https://www.sterlinglawyers.com/meet-us/page/8/?et_blog" TargetMode="External"/><Relationship Id="rId762" Type="http://schemas.openxmlformats.org/officeDocument/2006/relationships/hyperlink" Target="https://www.sterlinglawyers.com/wisconsin/locations/oconomowoc/paternity-lawyers/" TargetMode="External"/><Relationship Id="rId1353" Type="http://schemas.openxmlformats.org/officeDocument/2006/relationships/hyperlink" Target="https://www.sterlinglawyers.com/wisconsin/property-division/installment-payments/" TargetMode="External"/><Relationship Id="rId2684" Type="http://schemas.openxmlformats.org/officeDocument/2006/relationships/hyperlink" Target="https://www.sterlinglawyers.com/wisconsin/reviews/page/37/" TargetMode="External"/><Relationship Id="rId761" Type="http://schemas.openxmlformats.org/officeDocument/2006/relationships/hyperlink" Target="https://www.sterlinglawyers.com/wisconsin/locations/oconomowoc/child-custody-lawyers/" TargetMode="External"/><Relationship Id="rId1354" Type="http://schemas.openxmlformats.org/officeDocument/2006/relationships/hyperlink" Target="https://www.sterlinglawyers.com/il-lump-sum-alimony" TargetMode="External"/><Relationship Id="rId2685" Type="http://schemas.openxmlformats.org/officeDocument/2006/relationships/hyperlink" Target="https://www.sterlinglawyers.com/wisconsin/reviews/page/36/" TargetMode="External"/><Relationship Id="rId760" Type="http://schemas.openxmlformats.org/officeDocument/2006/relationships/hyperlink" Target="https://www.sterlinglawyers.com/illinois/locations/arlington-heights/alimony-lawyers/divorce-mediation-lawyers/" TargetMode="External"/><Relationship Id="rId1355" Type="http://schemas.openxmlformats.org/officeDocument/2006/relationships/hyperlink" Target="https://www.sterlinglawyers.com/flourishing-families/financial-independence-stages/" TargetMode="External"/><Relationship Id="rId2686" Type="http://schemas.openxmlformats.org/officeDocument/2006/relationships/hyperlink" Target="https://www.sterlinglawyers.com/wisconsin/reviews/page/38/" TargetMode="External"/><Relationship Id="rId1345" Type="http://schemas.openxmlformats.org/officeDocument/2006/relationships/hyperlink" Target="https://www.sterlinglawyers.com/wisconsin/blog/having-a-parenting-agreement/" TargetMode="External"/><Relationship Id="rId2676" Type="http://schemas.openxmlformats.org/officeDocument/2006/relationships/hyperlink" Target="https://www.sterlinglawyers.com/wisconsin/reviews/page/197/" TargetMode="External"/><Relationship Id="rId1346" Type="http://schemas.openxmlformats.org/officeDocument/2006/relationships/hyperlink" Target="https://www.sterlinglawyers.com/wisconsin/blog/international-child-abduction/" TargetMode="External"/><Relationship Id="rId2677" Type="http://schemas.openxmlformats.org/officeDocument/2006/relationships/hyperlink" Target="https://www.sterlinglawyers.com/wisconsin/reviews/page/195/" TargetMode="External"/><Relationship Id="rId1347" Type="http://schemas.openxmlformats.org/officeDocument/2006/relationships/hyperlink" Target="https://www.sterlinglawyers.com/wisconsin/divorce/co-parenting-with-narcissist/" TargetMode="External"/><Relationship Id="rId2678" Type="http://schemas.openxmlformats.org/officeDocument/2006/relationships/hyperlink" Target="https://www.sterlinglawyers.com/wisconsin/attorneys/jeffrey-morrell/reviews/page/43/" TargetMode="External"/><Relationship Id="rId1348" Type="http://schemas.openxmlformats.org/officeDocument/2006/relationships/hyperlink" Target="https://www.sterlinglawyers.com/wisconsin/divorce/creating-wisconsin-parenting-plan/" TargetMode="External"/><Relationship Id="rId2679" Type="http://schemas.openxmlformats.org/officeDocument/2006/relationships/hyperlink" Target="https://www.sterlinglawyers.com/illinois/reviews/page/196/" TargetMode="External"/><Relationship Id="rId1349" Type="http://schemas.openxmlformats.org/officeDocument/2006/relationships/hyperlink" Target="https://www.sterlinglawyers.com/wisconsin/blog/child-custody-and-virtual-visitation-rights/" TargetMode="External"/><Relationship Id="rId756" Type="http://schemas.openxmlformats.org/officeDocument/2006/relationships/hyperlink" Target="https://www.sterlinglawyers.com/wisconsin/locations/oconomowoc/child-support-lawyers/" TargetMode="External"/><Relationship Id="rId755" Type="http://schemas.openxmlformats.org/officeDocument/2006/relationships/hyperlink" Target="https://www.sterlinglawyers.com/wisconsin/locations/oconomowoc/divorce-mediation-lawyers/" TargetMode="External"/><Relationship Id="rId754" Type="http://schemas.openxmlformats.org/officeDocument/2006/relationships/hyperlink" Target="https://www.sterlinglawyers.com/wisconsin/locations/oconomowoc/property-division-lawyers/" TargetMode="External"/><Relationship Id="rId753" Type="http://schemas.openxmlformats.org/officeDocument/2006/relationships/hyperlink" Target="https://www.sterlinglawyers.com/wisconsin/locations/oconomowoc/uncontested-divorce-lawyers/" TargetMode="External"/><Relationship Id="rId759" Type="http://schemas.openxmlformats.org/officeDocument/2006/relationships/hyperlink" Target="https://www.sterlinglawyers.com/wisconsin/locations/oconomowoc/contested-divorce-lawyers/" TargetMode="External"/><Relationship Id="rId758" Type="http://schemas.openxmlformats.org/officeDocument/2006/relationships/hyperlink" Target="https://www.sterlinglawyers.com/wisconsin/locations/oconomowoc/military-divorce-lawyers/" TargetMode="External"/><Relationship Id="rId757" Type="http://schemas.openxmlformats.org/officeDocument/2006/relationships/hyperlink" Target="https://www.sterlinglawyers.com/wisconsin/locations/oconomowoc/collaborative-divorce-lawyers/" TargetMode="External"/><Relationship Id="rId2670" Type="http://schemas.openxmlformats.org/officeDocument/2006/relationships/hyperlink" Target="https://www.sterlinglawyers.com/wisconsin/attorneys/jeffrey-morrell/reviews/page/42/" TargetMode="External"/><Relationship Id="rId1340" Type="http://schemas.openxmlformats.org/officeDocument/2006/relationships/hyperlink" Target="https://www.sterlinglawyers.com/wisconsin/locations/racine/child-support-lawyers/" TargetMode="External"/><Relationship Id="rId2671" Type="http://schemas.openxmlformats.org/officeDocument/2006/relationships/hyperlink" Target="https://www.sterlinglawyers.com/reviews/page/38/" TargetMode="External"/><Relationship Id="rId752" Type="http://schemas.openxmlformats.org/officeDocument/2006/relationships/hyperlink" Target="https://www.sterlinglawyers.com/wisconsin/property-division/who-pays-for-the-attorney-fees-in-divorce/" TargetMode="External"/><Relationship Id="rId1341" Type="http://schemas.openxmlformats.org/officeDocument/2006/relationships/hyperlink" Target="https://www.sterlinglawyers.com/wisconsin/child-custody/types-of-child-custody-evidence/" TargetMode="External"/><Relationship Id="rId2672" Type="http://schemas.openxmlformats.org/officeDocument/2006/relationships/hyperlink" Target="https://www.sterlinglawyers.com/flourishing-families/page/8/?et_blog" TargetMode="External"/><Relationship Id="rId751" Type="http://schemas.openxmlformats.org/officeDocument/2006/relationships/hyperlink" Target="https://www.sterlinglawyers.com/wisconsin/locations/baraboo/child-support-lawyers/" TargetMode="External"/><Relationship Id="rId1342" Type="http://schemas.openxmlformats.org/officeDocument/2006/relationships/hyperlink" Target="https://www.sterlinglawyers.com/wisconsin/child-custody/impact-dating-child-custody/" TargetMode="External"/><Relationship Id="rId2673" Type="http://schemas.openxmlformats.org/officeDocument/2006/relationships/hyperlink" Target="https://www.sterlinglawyers.com/illinois/reviews/page/194/" TargetMode="External"/><Relationship Id="rId750" Type="http://schemas.openxmlformats.org/officeDocument/2006/relationships/hyperlink" Target="https://www.sterlinglawyers.com/wisconsin/property-division/marital-property-act-supersede-property-division-statutes/" TargetMode="External"/><Relationship Id="rId1343" Type="http://schemas.openxmlformats.org/officeDocument/2006/relationships/hyperlink" Target="https://www.sterlinglawyers.com/flourishing-families/positive-parenting-solutions/" TargetMode="External"/><Relationship Id="rId2674" Type="http://schemas.openxmlformats.org/officeDocument/2006/relationships/hyperlink" Target="https://www.sterlinglawyers.com/illinois/reviews/page/193/" TargetMode="External"/><Relationship Id="rId1344" Type="http://schemas.openxmlformats.org/officeDocument/2006/relationships/hyperlink" Target="https://www.sterlinglawyers.com/wisconsin/child-custody/single-parents-and-summer-vacation-trips/" TargetMode="External"/><Relationship Id="rId2675" Type="http://schemas.openxmlformats.org/officeDocument/2006/relationships/hyperlink" Target="https://www.sterlinglawyers.com/wisconsin/reviews/page/196/" TargetMode="External"/><Relationship Id="rId2621" Type="http://schemas.openxmlformats.org/officeDocument/2006/relationships/hyperlink" Target="https://www.sterlinglawyers.com/wisconsin/attorneys/jeffrey-morrell/reviews/page/29/" TargetMode="External"/><Relationship Id="rId2622" Type="http://schemas.openxmlformats.org/officeDocument/2006/relationships/hyperlink" Target="https://www.sterlinglawyers.com/wisconsin/attorneys/jeffrey-morrell/reviews/page/28/" TargetMode="External"/><Relationship Id="rId2623" Type="http://schemas.openxmlformats.org/officeDocument/2006/relationships/hyperlink" Target="https://www.sterlinglawyers.com/wisconsin/blog/page/16/?et_blog" TargetMode="External"/><Relationship Id="rId2624" Type="http://schemas.openxmlformats.org/officeDocument/2006/relationships/hyperlink" Target="https://www.sterlinglawyers.com/reviews/page/200/" TargetMode="External"/><Relationship Id="rId2625" Type="http://schemas.openxmlformats.org/officeDocument/2006/relationships/hyperlink" Target="https://www.sterlinglawyers.com/wisconsin/attorneys/ellen-rhodeman/reviews/page/29/" TargetMode="External"/><Relationship Id="rId2626" Type="http://schemas.openxmlformats.org/officeDocument/2006/relationships/hyperlink" Target="https://www.sterlinglawyers.com/reviews/page/33/" TargetMode="External"/><Relationship Id="rId2627" Type="http://schemas.openxmlformats.org/officeDocument/2006/relationships/hyperlink" Target="https://www.sterlinglawyers.com/wisconsin/attorneys/ellen-rhodeman/reviews/page/30/" TargetMode="External"/><Relationship Id="rId2628" Type="http://schemas.openxmlformats.org/officeDocument/2006/relationships/hyperlink" Target="https://www.sterlinglawyers.com/reviews/page/198/" TargetMode="External"/><Relationship Id="rId709" Type="http://schemas.openxmlformats.org/officeDocument/2006/relationships/hyperlink" Target="https://www.sterlinglawyers.com/illinois/blog/safeguarding-futures-chicago-lawyers-uncontested-divorces/" TargetMode="External"/><Relationship Id="rId2629" Type="http://schemas.openxmlformats.org/officeDocument/2006/relationships/hyperlink" Target="https://www.sterlinglawyers.com/reviews/page/32/" TargetMode="External"/><Relationship Id="rId708" Type="http://schemas.openxmlformats.org/officeDocument/2006/relationships/hyperlink" Target="https://www.sterlinglawyers.com/illinois/blog/unraveling-legal-intricacies-child-support-naperville-lawyers/" TargetMode="External"/><Relationship Id="rId707" Type="http://schemas.openxmlformats.org/officeDocument/2006/relationships/hyperlink" Target="https://www.sterlinglawyers.com/illinois/blog/evanston-paternity-lawyers-guide-legal-procedures/" TargetMode="External"/><Relationship Id="rId706" Type="http://schemas.openxmlformats.org/officeDocument/2006/relationships/hyperlink" Target="https://www.sterlinglawyers.com/illinois/blog/establishing-safe-harbor-child-custody-chicago-lawyers/" TargetMode="External"/><Relationship Id="rId701" Type="http://schemas.openxmlformats.org/officeDocument/2006/relationships/hyperlink" Target="https://www.sterlinglawyers.com/wisconsin/events/strategically-prepare-for-divorce/" TargetMode="External"/><Relationship Id="rId700" Type="http://schemas.openxmlformats.org/officeDocument/2006/relationships/hyperlink" Target="https://www.sterlinglawyers.com/illinois/attorneys/lea-diaz/reviews/page/5/" TargetMode="External"/><Relationship Id="rId705" Type="http://schemas.openxmlformats.org/officeDocument/2006/relationships/hyperlink" Target="https://www.sterlinglawyers.com/illinois/attorneys/lea-diaz/reviews/page/" TargetMode="External"/><Relationship Id="rId704" Type="http://schemas.openxmlformats.org/officeDocument/2006/relationships/hyperlink" Target="https://www.sterlinglawyers.com/illinois/blog/crafting-legal-strategy-child-support-arlington-heights/" TargetMode="External"/><Relationship Id="rId703" Type="http://schemas.openxmlformats.org/officeDocument/2006/relationships/hyperlink" Target="https://www.sterlinglawyers.com/flourishing-families/benefits-creativity-art/" TargetMode="External"/><Relationship Id="rId702" Type="http://schemas.openxmlformats.org/officeDocument/2006/relationships/hyperlink" Target="https://www.sterlinglawyers.com/illinois/attorneys/lea-diaz/reviews/page/4/" TargetMode="External"/><Relationship Id="rId2620" Type="http://schemas.openxmlformats.org/officeDocument/2006/relationships/hyperlink" Target="https://www.sterlinglawyers.com/wisconsin/attorneys/jeffrey-morrell/reviews/page/48/" TargetMode="External"/><Relationship Id="rId2610" Type="http://schemas.openxmlformats.org/officeDocument/2006/relationships/hyperlink" Target="https://www.sterlinglawyers.com/wisconsin/attorneys/ellen-rhodeman/reviews/page/26/" TargetMode="External"/><Relationship Id="rId2611" Type="http://schemas.openxmlformats.org/officeDocument/2006/relationships/hyperlink" Target="https://www.sterlinglawyers.com/wisconsin/blog/page/15/?et_blog" TargetMode="External"/><Relationship Id="rId2612" Type="http://schemas.openxmlformats.org/officeDocument/2006/relationships/hyperlink" Target="https://www.sterlinglawyers.com/reviews/page/201/" TargetMode="External"/><Relationship Id="rId2613" Type="http://schemas.openxmlformats.org/officeDocument/2006/relationships/hyperlink" Target="https://www.sterlinglawyers.com/wisconsin/attorneys/ellen-rhodeman/reviews/page/28/" TargetMode="External"/><Relationship Id="rId2614" Type="http://schemas.openxmlformats.org/officeDocument/2006/relationships/hyperlink" Target="https://www.sterlinglawyers.com/wisconsin/reviews/page/202/" TargetMode="External"/><Relationship Id="rId2615" Type="http://schemas.openxmlformats.org/officeDocument/2006/relationships/hyperlink" Target="https://www.sterlinglawyers.com/illinois/reviews/page/199/" TargetMode="External"/><Relationship Id="rId2616" Type="http://schemas.openxmlformats.org/officeDocument/2006/relationships/hyperlink" Target="https://www.sterlinglawyers.com/illinois/reviews/page/200/" TargetMode="External"/><Relationship Id="rId2617" Type="http://schemas.openxmlformats.org/officeDocument/2006/relationships/hyperlink" Target="https://www.sterlinglawyers.com/wisconsin/attorneys/nikole-messerschmidt/reviews/page/28/" TargetMode="External"/><Relationship Id="rId2618" Type="http://schemas.openxmlformats.org/officeDocument/2006/relationships/hyperlink" Target="https://www.sterlinglawyers.com/illinois/reviews/page/32/" TargetMode="External"/><Relationship Id="rId2619" Type="http://schemas.openxmlformats.org/officeDocument/2006/relationships/hyperlink" Target="https://www.sterlinglawyers.com/wisconsin/attorneys/jeffrey-morrell/reviews/page/49/" TargetMode="External"/><Relationship Id="rId1312" Type="http://schemas.openxmlformats.org/officeDocument/2006/relationships/hyperlink" Target="https://www.sterlinglawyers.com/illinois/reviews/page/225/" TargetMode="External"/><Relationship Id="rId2643" Type="http://schemas.openxmlformats.org/officeDocument/2006/relationships/hyperlink" Target="https://www.sterlinglawyers.com/illinois/reviews/page/34/" TargetMode="External"/><Relationship Id="rId1313" Type="http://schemas.openxmlformats.org/officeDocument/2006/relationships/hyperlink" Target="https://www.sterlinglawyers.com/news/divorce-and-children/" TargetMode="External"/><Relationship Id="rId2644" Type="http://schemas.openxmlformats.org/officeDocument/2006/relationships/hyperlink" Target="https://www.sterlinglawyers.com/wisconsin/reviews/page/32/" TargetMode="External"/><Relationship Id="rId1314" Type="http://schemas.openxmlformats.org/officeDocument/2006/relationships/hyperlink" Target="https://www.sterlinglawyers.com/wisconsin/divorce/best-ways-to-approach-holidays-without-your-children/" TargetMode="External"/><Relationship Id="rId2645" Type="http://schemas.openxmlformats.org/officeDocument/2006/relationships/hyperlink" Target="https://www.sterlinglawyers.com/wisconsin/reviews/page/33/" TargetMode="External"/><Relationship Id="rId1315" Type="http://schemas.openxmlformats.org/officeDocument/2006/relationships/hyperlink" Target="https://www.sterlinglawyers.com/wisconsin/locations" TargetMode="External"/><Relationship Id="rId2646" Type="http://schemas.openxmlformats.org/officeDocument/2006/relationships/hyperlink" Target="https://www.sterlinglawyers.com/wisconsin/reviews/page/34/" TargetMode="External"/><Relationship Id="rId1316" Type="http://schemas.openxmlformats.org/officeDocument/2006/relationships/hyperlink" Target="https://www.sterlinglawyers.com/wisconsin/divorce/when-your-parents-adore-your-ex/" TargetMode="External"/><Relationship Id="rId2647" Type="http://schemas.openxmlformats.org/officeDocument/2006/relationships/hyperlink" Target="https://www.sterlinglawyers.com/wisdom-from-attorney-knighton/page/6/?et_blog" TargetMode="External"/><Relationship Id="rId1317" Type="http://schemas.openxmlformats.org/officeDocument/2006/relationships/hyperlink" Target="https://www.sterlinglawyers.com/illinois/attorneys/nina-kelly/reviews/page/7/" TargetMode="External"/><Relationship Id="rId2648" Type="http://schemas.openxmlformats.org/officeDocument/2006/relationships/hyperlink" Target="https://www.sterlinglawyers.com/wisconsin/reviews/page/35/" TargetMode="External"/><Relationship Id="rId1318" Type="http://schemas.openxmlformats.org/officeDocument/2006/relationships/hyperlink" Target="https://www.sterlinglawyers.com/wisconsin/attorneys/toby-kinsler/" TargetMode="External"/><Relationship Id="rId2649" Type="http://schemas.openxmlformats.org/officeDocument/2006/relationships/hyperlink" Target="https://www.sterlinglawyers.com/meet-us/page/7/?et_blog" TargetMode="External"/><Relationship Id="rId1319" Type="http://schemas.openxmlformats.org/officeDocument/2006/relationships/hyperlink" Target="https://www.sterlinglawyers.com/illinois/attorneys/nina-kelly/reviews/page/41/" TargetMode="External"/><Relationship Id="rId729" Type="http://schemas.openxmlformats.org/officeDocument/2006/relationships/hyperlink" Target="https://www.sterlinglawyers.com/il-alimony-factors" TargetMode="External"/><Relationship Id="rId728" Type="http://schemas.openxmlformats.org/officeDocument/2006/relationships/hyperlink" Target="https://www.sterlinglawyers.com/wisconsin/divorce/age-gaps-and-divorce/" TargetMode="External"/><Relationship Id="rId723" Type="http://schemas.openxmlformats.org/officeDocument/2006/relationships/hyperlink" Target="https://www.sterlinglawyers.com/illinois/blog/?et_blog" TargetMode="External"/><Relationship Id="rId722" Type="http://schemas.openxmlformats.org/officeDocument/2006/relationships/hyperlink" Target="https://www.sterlinglawyers.com/wi-child-support-factors" TargetMode="External"/><Relationship Id="rId721" Type="http://schemas.openxmlformats.org/officeDocument/2006/relationships/hyperlink" Target="https://www.sterlinglawyers.com/illinois/attorneys/lea-diaz/reviews/page/21/" TargetMode="External"/><Relationship Id="rId720" Type="http://schemas.openxmlformats.org/officeDocument/2006/relationships/hyperlink" Target="https://www.sterlinglawyers.com/news/client-comes-first/" TargetMode="External"/><Relationship Id="rId727" Type="http://schemas.openxmlformats.org/officeDocument/2006/relationships/hyperlink" Target="https://www.sterlinglawyers.com/il-alimony-factors/" TargetMode="External"/><Relationship Id="rId726" Type="http://schemas.openxmlformats.org/officeDocument/2006/relationships/hyperlink" Target="https://www.sterlinglawyers.com/news/caring-divorce-attorneys/" TargetMode="External"/><Relationship Id="rId725" Type="http://schemas.openxmlformats.org/officeDocument/2006/relationships/hyperlink" Target="https://www.sterlinglawyers.com/illinois/blog/know-rights-paternity-law-schaumburg-attorneys/" TargetMode="External"/><Relationship Id="rId724" Type="http://schemas.openxmlformats.org/officeDocument/2006/relationships/hyperlink" Target="https://www.sterlinglawyers.com/wisdom-from-attorney-knighton/what-to-consider-when-investing/" TargetMode="External"/><Relationship Id="rId2640" Type="http://schemas.openxmlformats.org/officeDocument/2006/relationships/hyperlink" Target="https://www.sterlinglawyers.com/illinois/reviews/page/35/" TargetMode="External"/><Relationship Id="rId1310" Type="http://schemas.openxmlformats.org/officeDocument/2006/relationships/hyperlink" Target="https://www.sterlinglawyers.com/illinois/blog/challenges-triumphs-child-custody-naperville/" TargetMode="External"/><Relationship Id="rId2641" Type="http://schemas.openxmlformats.org/officeDocument/2006/relationships/hyperlink" Target="https://www.sterlinglawyers.com/wisconsin/reviews/page/199/" TargetMode="External"/><Relationship Id="rId1311" Type="http://schemas.openxmlformats.org/officeDocument/2006/relationships/hyperlink" Target="https://www.sterlinglawyers.com/illinois/attorneys/lea-diaz/reviews/page/18/" TargetMode="External"/><Relationship Id="rId2642" Type="http://schemas.openxmlformats.org/officeDocument/2006/relationships/hyperlink" Target="https://www.sterlinglawyers.com/meet-us/page/6/?et_blog" TargetMode="External"/><Relationship Id="rId1301" Type="http://schemas.openxmlformats.org/officeDocument/2006/relationships/hyperlink" Target="https://www.sterlinglawyers.com/illinois/blog/overcoming-challenges-contested-divorce-arlington-heights/" TargetMode="External"/><Relationship Id="rId2632" Type="http://schemas.openxmlformats.org/officeDocument/2006/relationships/hyperlink" Target="https://www.sterlinglawyers.com/wisconsin/attorneys/jeffrey-morrell/reviews/page/30/" TargetMode="External"/><Relationship Id="rId1302" Type="http://schemas.openxmlformats.org/officeDocument/2006/relationships/hyperlink" Target="https://www.sterlinglawyers.com/illinois/blog/decoding-divorce-mediation-hoffman-estates/" TargetMode="External"/><Relationship Id="rId2633" Type="http://schemas.openxmlformats.org/officeDocument/2006/relationships/hyperlink" Target="https://www.sterlinglawyers.com/wisconsin/attorneys/jeffrey-morrell/reviews/page/46/" TargetMode="External"/><Relationship Id="rId1303" Type="http://schemas.openxmlformats.org/officeDocument/2006/relationships/hyperlink" Target="https://www.sterlinglawyers.com/illinois/blog/navigating-military-divorce-unyielding-support-unparalleled-guidance/" TargetMode="External"/><Relationship Id="rId2634" Type="http://schemas.openxmlformats.org/officeDocument/2006/relationships/hyperlink" Target="https://www.sterlinglawyers.com/illinois/reviews/page/198/" TargetMode="External"/><Relationship Id="rId1304" Type="http://schemas.openxmlformats.org/officeDocument/2006/relationships/hyperlink" Target="https://www.sterlinglawyers.com/illinois/blog/achieving-balance-fairness-schaumburg-divorce/" TargetMode="External"/><Relationship Id="rId2635" Type="http://schemas.openxmlformats.org/officeDocument/2006/relationships/hyperlink" Target="https://www.sterlinglawyers.com/reviews/page/199/" TargetMode="External"/><Relationship Id="rId1305" Type="http://schemas.openxmlformats.org/officeDocument/2006/relationships/hyperlink" Target="https://www.sterlinglawyers.com/illinois/blog/client-centric-approach-arlington-heights-collaborative-divorce/" TargetMode="External"/><Relationship Id="rId2636" Type="http://schemas.openxmlformats.org/officeDocument/2006/relationships/hyperlink" Target="https://www.sterlinglawyers.com/illinois/reviews/page/197/" TargetMode="External"/><Relationship Id="rId1306" Type="http://schemas.openxmlformats.org/officeDocument/2006/relationships/hyperlink" Target="https://www.sterlinglawyers.com/illinois/blog/lessons-real-life-military-divorce-evanston/" TargetMode="External"/><Relationship Id="rId2637" Type="http://schemas.openxmlformats.org/officeDocument/2006/relationships/hyperlink" Target="https://www.sterlinglawyers.com/wisconsin/reviews/page/200/" TargetMode="External"/><Relationship Id="rId1307" Type="http://schemas.openxmlformats.org/officeDocument/2006/relationships/hyperlink" Target="https://www.sterlinglawyers.com/illinois/blog/unlocking-spousal-support-hoffman-estates/" TargetMode="External"/><Relationship Id="rId2638" Type="http://schemas.openxmlformats.org/officeDocument/2006/relationships/hyperlink" Target="https://www.sterlinglawyers.com/wisconsin/attorneys/jeffrey-morrell/reviews/page/31/" TargetMode="External"/><Relationship Id="rId1308" Type="http://schemas.openxmlformats.org/officeDocument/2006/relationships/hyperlink" Target="https://www.sterlinglawyers.com/illinois/blog/page/4/?et_blog" TargetMode="External"/><Relationship Id="rId2639" Type="http://schemas.openxmlformats.org/officeDocument/2006/relationships/hyperlink" Target="https://www.sterlinglawyers.com/wisconsin/attorneys/jeffrey-morrell/reviews/page/47/" TargetMode="External"/><Relationship Id="rId1309" Type="http://schemas.openxmlformats.org/officeDocument/2006/relationships/hyperlink" Target="https://www.sterlinglawyers.com/illinois/blog/schaumburg-divorce-mediation-journey-sterling-lawyers/" TargetMode="External"/><Relationship Id="rId719" Type="http://schemas.openxmlformats.org/officeDocument/2006/relationships/hyperlink" Target="https://www.sterlinglawyers.com/illinois/blog/maneuvering-spousal-support-challenges-arlington-heights-lawyers/" TargetMode="External"/><Relationship Id="rId718" Type="http://schemas.openxmlformats.org/officeDocument/2006/relationships/hyperlink" Target="https://www.sterlinglawyers.com/illinois/blog/understanding-nuances-contested-divorce-hoffman-estates/" TargetMode="External"/><Relationship Id="rId717" Type="http://schemas.openxmlformats.org/officeDocument/2006/relationships/hyperlink" Target="https://www.sterlinglawyers.com/illinois/blog/chicago-collaborative-divorce-lawyers-advocate-for-mothers/" TargetMode="External"/><Relationship Id="rId712" Type="http://schemas.openxmlformats.org/officeDocument/2006/relationships/hyperlink" Target="https://www.sterlinglawyers.com/illinois/blog/paving-way-to-paternity-rights-naperville-attorney/" TargetMode="External"/><Relationship Id="rId711" Type="http://schemas.openxmlformats.org/officeDocument/2006/relationships/hyperlink" Target="https://www.sterlinglawyers.com/illinois/blog/child-support-challenges-chicago-how-to-overcome/" TargetMode="External"/><Relationship Id="rId710" Type="http://schemas.openxmlformats.org/officeDocument/2006/relationships/hyperlink" Target="https://www.sterlinglawyers.com/illinois/blog/steadfast-legal-advocacy-spousal-support-schaumburg/" TargetMode="External"/><Relationship Id="rId716" Type="http://schemas.openxmlformats.org/officeDocument/2006/relationships/hyperlink" Target="https://www.sterlinglawyers.com/illinois/blog/drawing-strength-attorney-proficiency-military-divorce/" TargetMode="External"/><Relationship Id="rId715" Type="http://schemas.openxmlformats.org/officeDocument/2006/relationships/hyperlink" Target="https://www.sterlinglawyers.com/illinois/blog/beacon-of-hope-property-division-matters-arlington-heights/" TargetMode="External"/><Relationship Id="rId714" Type="http://schemas.openxmlformats.org/officeDocument/2006/relationships/hyperlink" Target="https://www.sterlinglawyers.com/illinois/blog/facing-uphill-battle-contested-divorce-evanston/" TargetMode="External"/><Relationship Id="rId713" Type="http://schemas.openxmlformats.org/officeDocument/2006/relationships/hyperlink" Target="https://www.sterlinglawyers.com/illinois/blog/supporting-clients-collaborative-divorce-schaumburg-lawyers/" TargetMode="External"/><Relationship Id="rId2630" Type="http://schemas.openxmlformats.org/officeDocument/2006/relationships/hyperlink" Target="https://www.sterlinglawyers.com/reviews/page/35/" TargetMode="External"/><Relationship Id="rId1300" Type="http://schemas.openxmlformats.org/officeDocument/2006/relationships/hyperlink" Target="https://www.sterlinglawyers.com/illinois/blog/establishing-paternity-protecting-future-cook-county/" TargetMode="External"/><Relationship Id="rId2631" Type="http://schemas.openxmlformats.org/officeDocument/2006/relationships/hyperlink" Target="https://www.sterlinglawyers.com/reviews/page/34/" TargetMode="External"/><Relationship Id="rId3117" Type="http://schemas.openxmlformats.org/officeDocument/2006/relationships/hyperlink" Target="https://www.sterlinglawyers.com/reviews/page/110/" TargetMode="External"/><Relationship Id="rId3116" Type="http://schemas.openxmlformats.org/officeDocument/2006/relationships/hyperlink" Target="https://www.sterlinglawyers.com/wisconsin/reviews/page/124/" TargetMode="External"/><Relationship Id="rId3119" Type="http://schemas.openxmlformats.org/officeDocument/2006/relationships/hyperlink" Target="https://www.sterlinglawyers.com/illinois/reviews/page/126/" TargetMode="External"/><Relationship Id="rId3118" Type="http://schemas.openxmlformats.org/officeDocument/2006/relationships/hyperlink" Target="https://www.sterlinglawyers.com/illinois/reviews/page/121/" TargetMode="External"/><Relationship Id="rId3111" Type="http://schemas.openxmlformats.org/officeDocument/2006/relationships/hyperlink" Target="https://www.sterlinglawyers.com/wisconsin/reviews/page/107/" TargetMode="External"/><Relationship Id="rId3110" Type="http://schemas.openxmlformats.org/officeDocument/2006/relationships/hyperlink" Target="https://www.sterlinglawyers.com/illinois/reviews/page/108/" TargetMode="External"/><Relationship Id="rId3113" Type="http://schemas.openxmlformats.org/officeDocument/2006/relationships/hyperlink" Target="https://www.sterlinglawyers.com/wisconsin/reviews/page/109/" TargetMode="External"/><Relationship Id="rId3112" Type="http://schemas.openxmlformats.org/officeDocument/2006/relationships/hyperlink" Target="https://www.sterlinglawyers.com/wisconsin/reviews/page/106/" TargetMode="External"/><Relationship Id="rId3115" Type="http://schemas.openxmlformats.org/officeDocument/2006/relationships/hyperlink" Target="https://www.sterlinglawyers.com/wisconsin/reviews/page/123/" TargetMode="External"/><Relationship Id="rId3114" Type="http://schemas.openxmlformats.org/officeDocument/2006/relationships/hyperlink" Target="https://www.sterlinglawyers.com/wisconsin/reviews/page/108/" TargetMode="External"/><Relationship Id="rId3106" Type="http://schemas.openxmlformats.org/officeDocument/2006/relationships/hyperlink" Target="https://www.sterlinglawyers.com/reviews/page/108/" TargetMode="External"/><Relationship Id="rId3105" Type="http://schemas.openxmlformats.org/officeDocument/2006/relationships/hyperlink" Target="https://www.sterlinglawyers.com/illinois/reviews/page/106/" TargetMode="External"/><Relationship Id="rId3108" Type="http://schemas.openxmlformats.org/officeDocument/2006/relationships/hyperlink" Target="https://www.sterlinglawyers.com/wisconsin/reviews/page/125/" TargetMode="External"/><Relationship Id="rId3107" Type="http://schemas.openxmlformats.org/officeDocument/2006/relationships/hyperlink" Target="https://www.sterlinglawyers.com/wisconsin/reviews/page/126/" TargetMode="External"/><Relationship Id="rId3109" Type="http://schemas.openxmlformats.org/officeDocument/2006/relationships/hyperlink" Target="https://www.sterlinglawyers.com/illinois/reviews/page/109/" TargetMode="External"/><Relationship Id="rId3100" Type="http://schemas.openxmlformats.org/officeDocument/2006/relationships/hyperlink" Target="https://www.sterlinglawyers.com/illinois/reviews/page/125/" TargetMode="External"/><Relationship Id="rId3102" Type="http://schemas.openxmlformats.org/officeDocument/2006/relationships/hyperlink" Target="https://www.sterlinglawyers.com/reviews/page/125/" TargetMode="External"/><Relationship Id="rId3101" Type="http://schemas.openxmlformats.org/officeDocument/2006/relationships/hyperlink" Target="https://www.sterlinglawyers.com/reviews/page/124/" TargetMode="External"/><Relationship Id="rId3104" Type="http://schemas.openxmlformats.org/officeDocument/2006/relationships/hyperlink" Target="https://www.sterlinglawyers.com/illinois/reviews/page/124/" TargetMode="External"/><Relationship Id="rId3103" Type="http://schemas.openxmlformats.org/officeDocument/2006/relationships/hyperlink" Target="https://www.sterlinglawyers.com/illinois/reviews/page/123/" TargetMode="External"/><Relationship Id="rId3139" Type="http://schemas.openxmlformats.org/officeDocument/2006/relationships/hyperlink" Target="https://www.sterlinglawyers.com/wisconsin/reviews/page/120/" TargetMode="External"/><Relationship Id="rId3138" Type="http://schemas.openxmlformats.org/officeDocument/2006/relationships/hyperlink" Target="https://www.sterlinglawyers.com/wisconsin/reviews/page/122/" TargetMode="External"/><Relationship Id="rId3131" Type="http://schemas.openxmlformats.org/officeDocument/2006/relationships/hyperlink" Target="https://www.sterlinglawyers.com/illinois/reviews/page/111/" TargetMode="External"/><Relationship Id="rId3130" Type="http://schemas.openxmlformats.org/officeDocument/2006/relationships/hyperlink" Target="https://www.sterlinglawyers.com/reviews/page/109/" TargetMode="External"/><Relationship Id="rId3133" Type="http://schemas.openxmlformats.org/officeDocument/2006/relationships/hyperlink" Target="https://www.sterlinglawyers.com/wisconsin/reviews/page/111/" TargetMode="External"/><Relationship Id="rId3132" Type="http://schemas.openxmlformats.org/officeDocument/2006/relationships/hyperlink" Target="https://www.sterlinglawyers.com/illinois/reviews/page/113/" TargetMode="External"/><Relationship Id="rId3135" Type="http://schemas.openxmlformats.org/officeDocument/2006/relationships/hyperlink" Target="https://www.sterlinglawyers.com/illinois/reviews/page/122/" TargetMode="External"/><Relationship Id="rId3134" Type="http://schemas.openxmlformats.org/officeDocument/2006/relationships/hyperlink" Target="https://www.sterlinglawyers.com/wisconsin/reviews/page/110/" TargetMode="External"/><Relationship Id="rId3137" Type="http://schemas.openxmlformats.org/officeDocument/2006/relationships/hyperlink" Target="https://www.sterlinglawyers.com/illinois/reviews/page/115/" TargetMode="External"/><Relationship Id="rId3136" Type="http://schemas.openxmlformats.org/officeDocument/2006/relationships/hyperlink" Target="https://www.sterlinglawyers.com/wisconsin/reviews/page/113/" TargetMode="External"/><Relationship Id="rId3128" Type="http://schemas.openxmlformats.org/officeDocument/2006/relationships/hyperlink" Target="https://www.sterlinglawyers.com/illinois/reviews/page/110/" TargetMode="External"/><Relationship Id="rId3127" Type="http://schemas.openxmlformats.org/officeDocument/2006/relationships/hyperlink" Target="https://www.sterlinglawyers.com/reviews/page/112/" TargetMode="External"/><Relationship Id="rId3129" Type="http://schemas.openxmlformats.org/officeDocument/2006/relationships/hyperlink" Target="https://www.sterlinglawyers.com/illinois/reviews/page/112/" TargetMode="External"/><Relationship Id="rId3120" Type="http://schemas.openxmlformats.org/officeDocument/2006/relationships/hyperlink" Target="https://www.sterlinglawyers.com/reviews/page/122/" TargetMode="External"/><Relationship Id="rId3122" Type="http://schemas.openxmlformats.org/officeDocument/2006/relationships/hyperlink" Target="https://www.sterlinglawyers.com/reviews/page/120/" TargetMode="External"/><Relationship Id="rId3121" Type="http://schemas.openxmlformats.org/officeDocument/2006/relationships/hyperlink" Target="https://www.sterlinglawyers.com/reviews/page/123/" TargetMode="External"/><Relationship Id="rId3124" Type="http://schemas.openxmlformats.org/officeDocument/2006/relationships/hyperlink" Target="https://www.sterlinglawyers.com/illinois/reviews/page/120/" TargetMode="External"/><Relationship Id="rId3123" Type="http://schemas.openxmlformats.org/officeDocument/2006/relationships/hyperlink" Target="https://www.sterlinglawyers.com/reviews/page/121/" TargetMode="External"/><Relationship Id="rId3126" Type="http://schemas.openxmlformats.org/officeDocument/2006/relationships/hyperlink" Target="https://www.sterlinglawyers.com/reviews/page/111/" TargetMode="External"/><Relationship Id="rId3125" Type="http://schemas.openxmlformats.org/officeDocument/2006/relationships/hyperlink" Target="https://www.sterlinglawyers.com/illinois/reviews/page/119/" TargetMode="External"/><Relationship Id="rId1378" Type="http://schemas.openxmlformats.org/officeDocument/2006/relationships/hyperlink" Target="https://www.sterlinglawyers.com/wisconsin/blog/resilient-life-after-contested-divorce-madison/" TargetMode="External"/><Relationship Id="rId1379" Type="http://schemas.openxmlformats.org/officeDocument/2006/relationships/hyperlink" Target="https://www.sterlinglawyers.com/wisconsin/blog/securing-legacy-understanding-paternity-law-milwaukee/" TargetMode="External"/><Relationship Id="rId789" Type="http://schemas.openxmlformats.org/officeDocument/2006/relationships/hyperlink" Target="https://www.sterlinglawyers.com/wisconsin/locations/oconomowoc/alimony-lawyers/" TargetMode="External"/><Relationship Id="rId788" Type="http://schemas.openxmlformats.org/officeDocument/2006/relationships/hyperlink" Target="https://www.sterlinglawyers.com/wisconsin/guardianship/sibling/" TargetMode="External"/><Relationship Id="rId787" Type="http://schemas.openxmlformats.org/officeDocument/2006/relationships/hyperlink" Target="https://www.sterlinglawyers.com/wisconsin/guardianship/niece-nephew/" TargetMode="External"/><Relationship Id="rId786" Type="http://schemas.openxmlformats.org/officeDocument/2006/relationships/hyperlink" Target="https://www.sterlinglawyers.com/wisconsin/divorce/absolute-divorce-basics/" TargetMode="External"/><Relationship Id="rId781" Type="http://schemas.openxmlformats.org/officeDocument/2006/relationships/hyperlink" Target="https://www.sterlinglawyers.com/wisconsin/attorneys/mike-kyrios/" TargetMode="External"/><Relationship Id="rId1370" Type="http://schemas.openxmlformats.org/officeDocument/2006/relationships/hyperlink" Target="https://www.sterlinglawyers.com/wisconsin/blog/protecting-your-interests-in-madison-wi-paternity-cases/" TargetMode="External"/><Relationship Id="rId780" Type="http://schemas.openxmlformats.org/officeDocument/2006/relationships/hyperlink" Target="https://www.sterlinglawyers.com/wisconsin/blog/crafting-new-beginnings-mediation-oshkosh/" TargetMode="External"/><Relationship Id="rId1371" Type="http://schemas.openxmlformats.org/officeDocument/2006/relationships/hyperlink" Target="https://www.sterlinglawyers.com/wisconsin/blog/understanding-importance-of-skilled-appleton-military-divorce-lawyers/" TargetMode="External"/><Relationship Id="rId1372" Type="http://schemas.openxmlformats.org/officeDocument/2006/relationships/hyperlink" Target="https://www.sterlinglawyers.com/wisconsin/blog/overcoming-challenges-family-law-beaver-dam-military-divorce-lawyers/" TargetMode="External"/><Relationship Id="rId1373" Type="http://schemas.openxmlformats.org/officeDocument/2006/relationships/hyperlink" Target="https://www.sterlinglawyers.com/wisconsin/blog/invaluable-guide-property-division-kenosha/" TargetMode="External"/><Relationship Id="rId785" Type="http://schemas.openxmlformats.org/officeDocument/2006/relationships/hyperlink" Target="https://www.sterlinglawyers.com/wp-content/uploads/Wisconsin-Shared-Placement-Child-Support-Worksheet.pdf" TargetMode="External"/><Relationship Id="rId1374" Type="http://schemas.openxmlformats.org/officeDocument/2006/relationships/hyperlink" Target="https://www.sterlinglawyers.com/wisconsin/blog/middleton-family-harmony-divorce-mediation/" TargetMode="External"/><Relationship Id="rId784" Type="http://schemas.openxmlformats.org/officeDocument/2006/relationships/hyperlink" Target="https://www.sterlinglawyers.com/wisconsin/blog/sheboygan-lawyers-light-path-spousal-support-cases/" TargetMode="External"/><Relationship Id="rId1375" Type="http://schemas.openxmlformats.org/officeDocument/2006/relationships/hyperlink" Target="https://www.sterlinglawyers.com/wisconsin/blog/professional-legal-guidance-uncontested-divorce-beloit/" TargetMode="External"/><Relationship Id="rId783" Type="http://schemas.openxmlformats.org/officeDocument/2006/relationships/hyperlink" Target="https://www.sterlinglawyers.com/wp-content/uploads/wisconsin-child-support-tables.pdf" TargetMode="External"/><Relationship Id="rId1376" Type="http://schemas.openxmlformats.org/officeDocument/2006/relationships/hyperlink" Target="https://www.sterlinglawyers.com/wisconsin/blog/a-teachers-journey-through-property-division-in-family-law/" TargetMode="External"/><Relationship Id="rId782" Type="http://schemas.openxmlformats.org/officeDocument/2006/relationships/hyperlink" Target="https://www.sterlinglawyers.com/wisconsin/blog/helping-hand-with-brookfield-property-division-attorney/" TargetMode="External"/><Relationship Id="rId1377" Type="http://schemas.openxmlformats.org/officeDocument/2006/relationships/hyperlink" Target="https://www.sterlinglawyers.com/wisconsin/blog/clients-journey-racine-child-support-lawyer/" TargetMode="External"/><Relationship Id="rId1367" Type="http://schemas.openxmlformats.org/officeDocument/2006/relationships/hyperlink" Target="https://www.sterlinglawyers.com/wisconsin/blog/racine-divorce-mediation-lawyers-make-difference/" TargetMode="External"/><Relationship Id="rId2698" Type="http://schemas.openxmlformats.org/officeDocument/2006/relationships/hyperlink" Target="https://www.sterlinglawyers.com/wisconsin/attorneys/jeffrey-morrell/reviews/page/41/" TargetMode="External"/><Relationship Id="rId1368" Type="http://schemas.openxmlformats.org/officeDocument/2006/relationships/hyperlink" Target="https://www.sterlinglawyers.com/wisconsin/blog/professional-support-collaborative-divorce-sauk-county/" TargetMode="External"/><Relationship Id="rId2699" Type="http://schemas.openxmlformats.org/officeDocument/2006/relationships/hyperlink" Target="https://www.sterlinglawyers.com/wisconsin/attorneys/jeffrey-morrell/reviews/page/40/" TargetMode="External"/><Relationship Id="rId1369" Type="http://schemas.openxmlformats.org/officeDocument/2006/relationships/hyperlink" Target="https://www.sterlinglawyers.com/wisconsin/blog/achieving-favorable-child-custody-outcomes/" TargetMode="External"/><Relationship Id="rId778" Type="http://schemas.openxmlformats.org/officeDocument/2006/relationships/hyperlink" Target="https://www.sterlinglawyers.com/wisconsin/blog/walking-through-property-division-intricacies-middleton/" TargetMode="External"/><Relationship Id="rId777" Type="http://schemas.openxmlformats.org/officeDocument/2006/relationships/hyperlink" Target="https://www.sterlinglawyers.com/wisconsin/blog/waukesha-divorce-mediation-lawyers-what-you-need-to-know/" TargetMode="External"/><Relationship Id="rId776" Type="http://schemas.openxmlformats.org/officeDocument/2006/relationships/hyperlink" Target="https://www.sterlinglawyers.com/wisconsin/locations/jefferson/child-support-lawyers/" TargetMode="External"/><Relationship Id="rId775" Type="http://schemas.openxmlformats.org/officeDocument/2006/relationships/hyperlink" Target="https://www.sterlinglawyers.com/wisconsin/locations/jefferson/contested-divorce-lawyers/" TargetMode="External"/><Relationship Id="rId779" Type="http://schemas.openxmlformats.org/officeDocument/2006/relationships/hyperlink" Target="https://www.sterlinglawyers.com/wisconsin/blog/helping-parents-establish-legal-rights-and-support-in-waukesha/" TargetMode="External"/><Relationship Id="rId770" Type="http://schemas.openxmlformats.org/officeDocument/2006/relationships/hyperlink" Target="https://www.sterlinglawyers.com/wisconsin/locations/jefferson/alimony-lawyers/" TargetMode="External"/><Relationship Id="rId2690" Type="http://schemas.openxmlformats.org/officeDocument/2006/relationships/hyperlink" Target="https://www.sterlinglawyers.com/illinois/reviews/page/41/" TargetMode="External"/><Relationship Id="rId1360" Type="http://schemas.openxmlformats.org/officeDocument/2006/relationships/hyperlink" Target="https://www.sterlinglawyers.com/wisconsin/blog/roadmap-protecting-assets-appleton-property-division-lawyers/" TargetMode="External"/><Relationship Id="rId2691" Type="http://schemas.openxmlformats.org/officeDocument/2006/relationships/hyperlink" Target="https://www.sterlinglawyers.com/wisconsin/reviews/page/193/" TargetMode="External"/><Relationship Id="rId1361" Type="http://schemas.openxmlformats.org/officeDocument/2006/relationships/hyperlink" Target="https://www.sterlinglawyers.com/wisconsin/divorce/stipulated-divorce-initiation-of-action/" TargetMode="External"/><Relationship Id="rId2692" Type="http://schemas.openxmlformats.org/officeDocument/2006/relationships/hyperlink" Target="https://www.sterlinglawyers.com/wisconsin/reviews/page/194/" TargetMode="External"/><Relationship Id="rId1362" Type="http://schemas.openxmlformats.org/officeDocument/2006/relationships/hyperlink" Target="https://www.sterlinglawyers.com/wisconsin/blog/transforming-futures-divorce-mediation-baraboo/" TargetMode="External"/><Relationship Id="rId2693" Type="http://schemas.openxmlformats.org/officeDocument/2006/relationships/hyperlink" Target="https://www.sterlinglawyers.com/wisconsin/attorneys/jeffrey-morrell/reviews/page/35/" TargetMode="External"/><Relationship Id="rId774" Type="http://schemas.openxmlformats.org/officeDocument/2006/relationships/hyperlink" Target="https://www.sterlinglawyers.com/wisconsin/locations/jefferson/uncontested-divorce-lawyers/" TargetMode="External"/><Relationship Id="rId1363" Type="http://schemas.openxmlformats.org/officeDocument/2006/relationships/hyperlink" Target="https://www.sterlinglawyers.com/wisconsin/blog/unfolding-layers-child-custody-law-janesville/" TargetMode="External"/><Relationship Id="rId2694" Type="http://schemas.openxmlformats.org/officeDocument/2006/relationships/hyperlink" Target="https://www.sterlinglawyers.com/illinois/reviews/page/191/" TargetMode="External"/><Relationship Id="rId773" Type="http://schemas.openxmlformats.org/officeDocument/2006/relationships/hyperlink" Target="https://www.sterlinglawyers.com/wisconsin/locations/jefferson/collaborative-divorce-lawyers/" TargetMode="External"/><Relationship Id="rId1364" Type="http://schemas.openxmlformats.org/officeDocument/2006/relationships/hyperlink" Target="https://www.sterlinglawyers.com/wisconsin/blog/madison-uncontested-divorce-lawyers-expectations/" TargetMode="External"/><Relationship Id="rId2695" Type="http://schemas.openxmlformats.org/officeDocument/2006/relationships/hyperlink" Target="https://www.sterlinglawyers.com/illinois/reviews/page/192/" TargetMode="External"/><Relationship Id="rId772" Type="http://schemas.openxmlformats.org/officeDocument/2006/relationships/hyperlink" Target="https://www.sterlinglawyers.com/wisconsin/locations/jefferson/child-custody-lawyers/" TargetMode="External"/><Relationship Id="rId1365" Type="http://schemas.openxmlformats.org/officeDocument/2006/relationships/hyperlink" Target="https://www.sterlinglawyers.com/wisconsin/blog/balancing-child-custody-rights-delicately-in-dane-county/" TargetMode="External"/><Relationship Id="rId2696" Type="http://schemas.openxmlformats.org/officeDocument/2006/relationships/hyperlink" Target="https://www.sterlinglawyers.com/wisconsin/attorneys/jeffrey-morrell/reviews/page/37/" TargetMode="External"/><Relationship Id="rId771" Type="http://schemas.openxmlformats.org/officeDocument/2006/relationships/hyperlink" Target="https://www.sterlinglawyers.com/wisconsin/locations/jefferson/divorce-mediation-lawyers/" TargetMode="External"/><Relationship Id="rId1366" Type="http://schemas.openxmlformats.org/officeDocument/2006/relationships/hyperlink" Target="https://www.sterlinglawyers.com/wisconsin/blog/smooth-sailing-uncontested-divorce-middleton/" TargetMode="External"/><Relationship Id="rId2697" Type="http://schemas.openxmlformats.org/officeDocument/2006/relationships/hyperlink" Target="https://www.sterlinglawyers.com/wisconsin/attorneys/jeffrey-morrell/reviews/page/36/" TargetMode="External"/><Relationship Id="rId1390" Type="http://schemas.openxmlformats.org/officeDocument/2006/relationships/hyperlink" Target="https://www.sterlinglawyers.com/wisconsin/blog/sailing-through-property-division-with-milwaukee-attorney/" TargetMode="External"/><Relationship Id="rId1391" Type="http://schemas.openxmlformats.org/officeDocument/2006/relationships/hyperlink" Target="https://www.sterlinglawyers.com/wisconsin/blog/appleton-uncontested-divorce-attorneys-handle-the-details/" TargetMode="External"/><Relationship Id="rId1392" Type="http://schemas.openxmlformats.org/officeDocument/2006/relationships/hyperlink" Target="https://www.sterlinglawyers.com/wisconsin/blog/fond-du-lac-uncontested-divorce-lawyers-guide-to-independence/" TargetMode="External"/><Relationship Id="rId1393" Type="http://schemas.openxmlformats.org/officeDocument/2006/relationships/hyperlink" Target="https://www.sterlinglawyers.com/wisconsin/blog/resolving-conflict-with-brookfield-child-custody-lawyer/" TargetMode="External"/><Relationship Id="rId1394" Type="http://schemas.openxmlformats.org/officeDocument/2006/relationships/hyperlink" Target="https://www.sterlinglawyers.com/wisconsin/blog/beloit-divorce-fair-home-division/" TargetMode="External"/><Relationship Id="rId1395" Type="http://schemas.openxmlformats.org/officeDocument/2006/relationships/hyperlink" Target="https://www.sterlinglawyers.com/wisconsin/blog/father-voice-racine-paternity-law-support/" TargetMode="External"/><Relationship Id="rId1396" Type="http://schemas.openxmlformats.org/officeDocument/2006/relationships/hyperlink" Target="https://www.sterlinglawyers.com/wisconsin/blog/menomonee-falls-collaborative-divorce-lawyers-help-with-separation/" TargetMode="External"/><Relationship Id="rId1397" Type="http://schemas.openxmlformats.org/officeDocument/2006/relationships/hyperlink" Target="https://www.sterlinglawyers.com/wisconsin/blog/a-mothers-story-with-securing-a-fair-racine-collaborative-divorce/" TargetMode="External"/><Relationship Id="rId1398" Type="http://schemas.openxmlformats.org/officeDocument/2006/relationships/hyperlink" Target="https://www.sterlinglawyers.com/wisconsin/blog/helping-hand-through-spousal-support-process-waukesha/" TargetMode="External"/><Relationship Id="rId1399" Type="http://schemas.openxmlformats.org/officeDocument/2006/relationships/hyperlink" Target="https://www.sterlinglawyers.com/wisconsin/blog/navigating-maze-family-law-green-bay-military-divorce-lawyers/" TargetMode="External"/><Relationship Id="rId1389" Type="http://schemas.openxmlformats.org/officeDocument/2006/relationships/hyperlink" Target="https://www.sterlinglawyers.com/wisconsin/blog/protecting-your-interests-with-beaver-dam-contested-divorce-lawyers/" TargetMode="External"/><Relationship Id="rId799" Type="http://schemas.openxmlformats.org/officeDocument/2006/relationships/hyperlink" Target="https://www.sterlinglawyers.com/wisconsin/locations/middleton/contested-divorce-lawyers/" TargetMode="External"/><Relationship Id="rId798" Type="http://schemas.openxmlformats.org/officeDocument/2006/relationships/hyperlink" Target="https://www.sterlinglawyers.com/wisconsin/locations/middleton/paternity-lawyers/" TargetMode="External"/><Relationship Id="rId797" Type="http://schemas.openxmlformats.org/officeDocument/2006/relationships/hyperlink" Target="https://www.sterlinglawyers.com/wisconsin/locations/middleton/collaborative-divorce-lawyers/" TargetMode="External"/><Relationship Id="rId1380" Type="http://schemas.openxmlformats.org/officeDocument/2006/relationships/hyperlink" Target="https://www.sterlinglawyers.com/wisconsin/blog/stepping-stone-stability-middleton-spousal-support-lawyers/" TargetMode="External"/><Relationship Id="rId792" Type="http://schemas.openxmlformats.org/officeDocument/2006/relationships/hyperlink" Target="https://www.sterlinglawyers.com/wisconsin/locations/middleton/uncontested-divorce-lawyers/" TargetMode="External"/><Relationship Id="rId1381" Type="http://schemas.openxmlformats.org/officeDocument/2006/relationships/hyperlink" Target="https://www.sterlinglawyers.com/wisconsin/blog/choose-sterling-lawyers-spousal-support-menomonee-falls/" TargetMode="External"/><Relationship Id="rId791" Type="http://schemas.openxmlformats.org/officeDocument/2006/relationships/hyperlink" Target="https://www.sterlinglawyers.com/wisconsin/guardianship/types/" TargetMode="External"/><Relationship Id="rId1382" Type="http://schemas.openxmlformats.org/officeDocument/2006/relationships/hyperlink" Target="https://www.sterlinglawyers.com/wisconsin/blog/unlocking-process-collaborative-divorce-middleton-attorney/" TargetMode="External"/><Relationship Id="rId790" Type="http://schemas.openxmlformats.org/officeDocument/2006/relationships/hyperlink" Target="https://www.sterlinglawyers.com/wisconsin/guardianship/grandchild/" TargetMode="External"/><Relationship Id="rId1383" Type="http://schemas.openxmlformats.org/officeDocument/2006/relationships/hyperlink" Target="https://www.sterlinglawyers.com/wisconsin/blog/stand-on-solid-legal-ground-beloit-contested-divorce/" TargetMode="External"/><Relationship Id="rId1384" Type="http://schemas.openxmlformats.org/officeDocument/2006/relationships/hyperlink" Target="https://www.sterlinglawyers.com/wisconsin/blog/embracing-fatherhood-legal-support-oshkosh/" TargetMode="External"/><Relationship Id="rId796" Type="http://schemas.openxmlformats.org/officeDocument/2006/relationships/hyperlink" Target="https://www.sterlinglawyers.com/wisconsin/locations/middleton/child-support-lawyers/" TargetMode="External"/><Relationship Id="rId1385" Type="http://schemas.openxmlformats.org/officeDocument/2006/relationships/hyperlink" Target="https://www.sterlinglawyers.com/wisconsin/blog/your-path-to-family-harmony-mequon-collaborative-divorce/" TargetMode="External"/><Relationship Id="rId795" Type="http://schemas.openxmlformats.org/officeDocument/2006/relationships/hyperlink" Target="https://www.sterlinglawyers.com/wisconsin/locations/middleton/child-custody-lawyers/" TargetMode="External"/><Relationship Id="rId1386" Type="http://schemas.openxmlformats.org/officeDocument/2006/relationships/hyperlink" Target="https://www.sterlinglawyers.com/wisconsin/blog/illuminating-the-path-of-child-support-in-brown-county/" TargetMode="External"/><Relationship Id="rId794" Type="http://schemas.openxmlformats.org/officeDocument/2006/relationships/hyperlink" Target="https://www.sterlinglawyers.com/wisconsin/locations/middleton/divorce-mediation-lawyers/" TargetMode="External"/><Relationship Id="rId1387" Type="http://schemas.openxmlformats.org/officeDocument/2006/relationships/hyperlink" Target="https://www.sterlinglawyers.com/wisconsin/blog/navigating-property-division-green-bay-legal-guidance/" TargetMode="External"/><Relationship Id="rId793" Type="http://schemas.openxmlformats.org/officeDocument/2006/relationships/hyperlink" Target="https://www.sterlinglawyers.com/wisconsin/guardianship/forms/" TargetMode="External"/><Relationship Id="rId1388" Type="http://schemas.openxmlformats.org/officeDocument/2006/relationships/hyperlink" Target="https://www.sterlinglawyers.com/wisconsin/blog/unlocking-hope-collaborative-divorce-jefferson-county/" TargetMode="External"/><Relationship Id="rId3151" Type="http://schemas.openxmlformats.org/officeDocument/2006/relationships/hyperlink" Target="https://www.sterlinglawyers.com/illinois/reviews/page/116/" TargetMode="External"/><Relationship Id="rId3150" Type="http://schemas.openxmlformats.org/officeDocument/2006/relationships/hyperlink" Target="https://www.sterlinglawyers.com/wisconsin/reviews/page/118/" TargetMode="External"/><Relationship Id="rId3153" Type="http://schemas.openxmlformats.org/officeDocument/2006/relationships/hyperlink" Target="https://www.sterlinglawyers.com/illinois/reviews/page/117/" TargetMode="External"/><Relationship Id="rId3152" Type="http://schemas.openxmlformats.org/officeDocument/2006/relationships/hyperlink" Target="https://www.sterlinglawyers.com/wisconsin/reviews/page/112/" TargetMode="External"/><Relationship Id="rId3155" Type="http://schemas.openxmlformats.org/officeDocument/2006/relationships/hyperlink" Target="https://www.sterlinglawyers.com/illinois/reviews/page/114/" TargetMode="External"/><Relationship Id="rId3154" Type="http://schemas.openxmlformats.org/officeDocument/2006/relationships/hyperlink" Target="https://www.sterlinglawyers.com/wisconsin/reviews/page/116/" TargetMode="External"/><Relationship Id="rId3157" Type="http://schemas.openxmlformats.org/officeDocument/2006/relationships/hyperlink" Target="https://www.sterlinglawyers.com/wisconsin/reviews/page/114/" TargetMode="External"/><Relationship Id="rId3156" Type="http://schemas.openxmlformats.org/officeDocument/2006/relationships/hyperlink" Target="https://www.sterlinglawyers.com/illinois/reviews/page/118/" TargetMode="External"/><Relationship Id="rId3159" Type="http://schemas.openxmlformats.org/officeDocument/2006/relationships/drawing" Target="../drawings/drawing14.xml"/><Relationship Id="rId3158" Type="http://schemas.openxmlformats.org/officeDocument/2006/relationships/hyperlink" Target="https://www.sterlinglawyers.com/wisconsin/reviews/page/115/" TargetMode="External"/><Relationship Id="rId3149" Type="http://schemas.openxmlformats.org/officeDocument/2006/relationships/hyperlink" Target="https://www.sterlinglawyers.com/reviews/page/116/" TargetMode="External"/><Relationship Id="rId3140" Type="http://schemas.openxmlformats.org/officeDocument/2006/relationships/hyperlink" Target="https://www.sterlinglawyers.com/reviews/page/114/" TargetMode="External"/><Relationship Id="rId3142" Type="http://schemas.openxmlformats.org/officeDocument/2006/relationships/hyperlink" Target="https://www.sterlinglawyers.com/wisconsin/reviews/page/119/" TargetMode="External"/><Relationship Id="rId3141" Type="http://schemas.openxmlformats.org/officeDocument/2006/relationships/hyperlink" Target="https://www.sterlinglawyers.com/wisconsin/reviews/page/121/" TargetMode="External"/><Relationship Id="rId3144" Type="http://schemas.openxmlformats.org/officeDocument/2006/relationships/hyperlink" Target="https://www.sterlinglawyers.com/reviews/page/115/" TargetMode="External"/><Relationship Id="rId3143" Type="http://schemas.openxmlformats.org/officeDocument/2006/relationships/hyperlink" Target="https://www.sterlinglawyers.com/reviews/page/113/" TargetMode="External"/><Relationship Id="rId3146" Type="http://schemas.openxmlformats.org/officeDocument/2006/relationships/hyperlink" Target="https://www.sterlinglawyers.com/reviews/page/119/" TargetMode="External"/><Relationship Id="rId3145" Type="http://schemas.openxmlformats.org/officeDocument/2006/relationships/hyperlink" Target="https://www.sterlinglawyers.com/reviews/page/118/" TargetMode="External"/><Relationship Id="rId3148" Type="http://schemas.openxmlformats.org/officeDocument/2006/relationships/hyperlink" Target="https://www.sterlinglawyers.com/wisconsin/reviews/page/117/" TargetMode="External"/><Relationship Id="rId3147" Type="http://schemas.openxmlformats.org/officeDocument/2006/relationships/hyperlink" Target="https://www.sterlinglawyers.com/reviews/page/117/" TargetMode="External"/><Relationship Id="rId2700" Type="http://schemas.openxmlformats.org/officeDocument/2006/relationships/hyperlink" Target="https://www.sterlinglawyers.com/reviews/page/193/" TargetMode="External"/><Relationship Id="rId2701" Type="http://schemas.openxmlformats.org/officeDocument/2006/relationships/hyperlink" Target="https://www.sterlinglawyers.com/reviews/page/192/" TargetMode="External"/><Relationship Id="rId2702" Type="http://schemas.openxmlformats.org/officeDocument/2006/relationships/hyperlink" Target="https://www.sterlinglawyers.com/reviews/page/40/" TargetMode="External"/><Relationship Id="rId2703" Type="http://schemas.openxmlformats.org/officeDocument/2006/relationships/hyperlink" Target="https://www.sterlinglawyers.com/wisconsin/attorneys/jeffrey-morrell/reviews/page/34/" TargetMode="External"/><Relationship Id="rId2704" Type="http://schemas.openxmlformats.org/officeDocument/2006/relationships/hyperlink" Target="https://www.sterlinglawyers.com/reviews/page/41/" TargetMode="External"/><Relationship Id="rId2705" Type="http://schemas.openxmlformats.org/officeDocument/2006/relationships/hyperlink" Target="https://www.sterlinglawyers.com/reviews/page/191/" TargetMode="External"/><Relationship Id="rId2706" Type="http://schemas.openxmlformats.org/officeDocument/2006/relationships/hyperlink" Target="https://www.sterlinglawyers.com/reviews/page/190/" TargetMode="External"/><Relationship Id="rId2707" Type="http://schemas.openxmlformats.org/officeDocument/2006/relationships/hyperlink" Target="https://www.sterlinglawyers.com/reviews/page/42/" TargetMode="External"/><Relationship Id="rId2708" Type="http://schemas.openxmlformats.org/officeDocument/2006/relationships/hyperlink" Target="https://www.sterlinglawyers.com/wisconsin/attorneys/jeffrey-morrell/reviews/page/39/" TargetMode="External"/><Relationship Id="rId2709" Type="http://schemas.openxmlformats.org/officeDocument/2006/relationships/hyperlink" Target="https://www.sterlinglawyers.com/wisconsin/attorneys/jeffrey-morrell/reviews/page/38/" TargetMode="External"/><Relationship Id="rId2720" Type="http://schemas.openxmlformats.org/officeDocument/2006/relationships/hyperlink" Target="https://www.sterlinglawyers.com/illinois/reviews/page/45/" TargetMode="External"/><Relationship Id="rId2721" Type="http://schemas.openxmlformats.org/officeDocument/2006/relationships/hyperlink" Target="https://www.sterlinglawyers.com/wisconsin/reviews/page/189/" TargetMode="External"/><Relationship Id="rId2722" Type="http://schemas.openxmlformats.org/officeDocument/2006/relationships/hyperlink" Target="https://www.sterlinglawyers.com/wisconsin/reviews/page/190/" TargetMode="External"/><Relationship Id="rId2723" Type="http://schemas.openxmlformats.org/officeDocument/2006/relationships/hyperlink" Target="https://www.sterlinglawyers.com/illinois/reviews/page/187/" TargetMode="External"/><Relationship Id="rId2724" Type="http://schemas.openxmlformats.org/officeDocument/2006/relationships/hyperlink" Target="https://www.sterlinglawyers.com/illinois/reviews/page/188/" TargetMode="External"/><Relationship Id="rId2725" Type="http://schemas.openxmlformats.org/officeDocument/2006/relationships/hyperlink" Target="https://www.sterlinglawyers.com/reviews/page/44/" TargetMode="External"/><Relationship Id="rId2726" Type="http://schemas.openxmlformats.org/officeDocument/2006/relationships/hyperlink" Target="https://www.sterlinglawyers.com/reviews/page/188/" TargetMode="External"/><Relationship Id="rId2727" Type="http://schemas.openxmlformats.org/officeDocument/2006/relationships/hyperlink" Target="https://www.sterlinglawyers.com/reviews/page/189/" TargetMode="External"/><Relationship Id="rId2728" Type="http://schemas.openxmlformats.org/officeDocument/2006/relationships/hyperlink" Target="https://www.sterlinglawyers.com/reviews/page/45/" TargetMode="External"/><Relationship Id="rId2729" Type="http://schemas.openxmlformats.org/officeDocument/2006/relationships/hyperlink" Target="https://www.sterlinglawyers.com/reviews/page/186/" TargetMode="External"/><Relationship Id="rId2710" Type="http://schemas.openxmlformats.org/officeDocument/2006/relationships/hyperlink" Target="https://www.sterlinglawyers.com/illinois/reviews/page/189/" TargetMode="External"/><Relationship Id="rId2711" Type="http://schemas.openxmlformats.org/officeDocument/2006/relationships/hyperlink" Target="https://www.sterlinglawyers.com/wisconsin/reviews/page/192/" TargetMode="External"/><Relationship Id="rId2712" Type="http://schemas.openxmlformats.org/officeDocument/2006/relationships/hyperlink" Target="https://www.sterlinglawyers.com/wisconsin/reviews/page/191/" TargetMode="External"/><Relationship Id="rId2713" Type="http://schemas.openxmlformats.org/officeDocument/2006/relationships/hyperlink" Target="https://www.sterlinglawyers.com/illinois/reviews/page/43/" TargetMode="External"/><Relationship Id="rId2714" Type="http://schemas.openxmlformats.org/officeDocument/2006/relationships/hyperlink" Target="https://www.sterlinglawyers.com/illinois/reviews/page/42/" TargetMode="External"/><Relationship Id="rId2715" Type="http://schemas.openxmlformats.org/officeDocument/2006/relationships/hyperlink" Target="https://www.sterlinglawyers.com/wisconsin/reviews/page/41/" TargetMode="External"/><Relationship Id="rId2716" Type="http://schemas.openxmlformats.org/officeDocument/2006/relationships/hyperlink" Target="https://www.sterlinglawyers.com/illinois/reviews/page/44/" TargetMode="External"/><Relationship Id="rId2717" Type="http://schemas.openxmlformats.org/officeDocument/2006/relationships/hyperlink" Target="https://www.sterlinglawyers.com/wisconsin/reviews/page/42/" TargetMode="External"/><Relationship Id="rId2718" Type="http://schemas.openxmlformats.org/officeDocument/2006/relationships/hyperlink" Target="https://www.sterlinglawyers.com/wisconsin/reviews/page/43/" TargetMode="External"/><Relationship Id="rId2719" Type="http://schemas.openxmlformats.org/officeDocument/2006/relationships/hyperlink" Target="https://www.sterlinglawyers.com/wisconsin/reviews/page/40/" TargetMode="External"/><Relationship Id="rId1455" Type="http://schemas.openxmlformats.org/officeDocument/2006/relationships/hyperlink" Target="https://www.sterlinglawyers.com/wisconsin/blog/simplifying-the-process-with-kenosha-property-division-lawyers/" TargetMode="External"/><Relationship Id="rId2786" Type="http://schemas.openxmlformats.org/officeDocument/2006/relationships/hyperlink" Target="https://www.sterlinglawyers.com/wisconsin/reviews/page/53/" TargetMode="External"/><Relationship Id="rId1456" Type="http://schemas.openxmlformats.org/officeDocument/2006/relationships/hyperlink" Target="https://www.sterlinglawyers.com/wisconsin/blog/jefferson-child-custody-lawyer-transform-case/" TargetMode="External"/><Relationship Id="rId2787" Type="http://schemas.openxmlformats.org/officeDocument/2006/relationships/hyperlink" Target="https://www.sterlinglawyers.com/wisconsin/reviews/page/54/" TargetMode="External"/><Relationship Id="rId1457" Type="http://schemas.openxmlformats.org/officeDocument/2006/relationships/hyperlink" Target="https://www.sterlinglawyers.com/wisconsin/blog/legal-support-empathy-divorce-mediation/" TargetMode="External"/><Relationship Id="rId2788" Type="http://schemas.openxmlformats.org/officeDocument/2006/relationships/hyperlink" Target="https://www.sterlinglawyers.com/wisconsin/reviews/page/55/" TargetMode="External"/><Relationship Id="rId1458" Type="http://schemas.openxmlformats.org/officeDocument/2006/relationships/hyperlink" Target="https://www.sterlinglawyers.com/wisconsin/blog/the-value-of-beaver-dam-paternity-lawyers-for-fathers-seeking-help/" TargetMode="External"/><Relationship Id="rId2789" Type="http://schemas.openxmlformats.org/officeDocument/2006/relationships/hyperlink" Target="https://www.sterlinglawyers.com/illinois/reviews/page/175/" TargetMode="External"/><Relationship Id="rId1459" Type="http://schemas.openxmlformats.org/officeDocument/2006/relationships/hyperlink" Target="https://www.sterlinglawyers.com/wisconsin/blog/unpacking-military-divorce-complexity-milwaukee-attorney/" TargetMode="External"/><Relationship Id="rId629" Type="http://schemas.openxmlformats.org/officeDocument/2006/relationships/hyperlink" Target="https://www.sterlinglawyers.com/wisconsin/property-division/gets-marital-house-divorce/" TargetMode="External"/><Relationship Id="rId624" Type="http://schemas.openxmlformats.org/officeDocument/2006/relationships/hyperlink" Target="https://www.sterlinglawyers.com/wisconsin/blog/compassionate-divorce-mediation-mequon/" TargetMode="External"/><Relationship Id="rId623" Type="http://schemas.openxmlformats.org/officeDocument/2006/relationships/hyperlink" Target="https://www.sterlinglawyers.com/wisconsin/blog/page/2/?et_blog" TargetMode="External"/><Relationship Id="rId622" Type="http://schemas.openxmlformats.org/officeDocument/2006/relationships/hyperlink" Target="https://www.sterlinglawyers.com/wisconsin/blog/child-custody-waukesha-family-lawyer/" TargetMode="External"/><Relationship Id="rId621" Type="http://schemas.openxmlformats.org/officeDocument/2006/relationships/hyperlink" Target="https://www.sterlinglawyers.com/wisconsin/blog/soldiers-journey-military-divorce-rock-county/" TargetMode="External"/><Relationship Id="rId628" Type="http://schemas.openxmlformats.org/officeDocument/2006/relationships/hyperlink" Target="https://www.sterlinglawyers.com/wisconsin/divorce/same-sex-divorce/" TargetMode="External"/><Relationship Id="rId627" Type="http://schemas.openxmlformats.org/officeDocument/2006/relationships/hyperlink" Target="https://www.sterlinglawyers.com/wisconsin/blog/weathering-storm-contested-divorce-menomonee-falls/" TargetMode="External"/><Relationship Id="rId626" Type="http://schemas.openxmlformats.org/officeDocument/2006/relationships/hyperlink" Target="https://www.sterlinglawyers.com/wisconsin/blog/kenosha-legal-compass-collaborative-divorce-journey/" TargetMode="External"/><Relationship Id="rId625" Type="http://schemas.openxmlformats.org/officeDocument/2006/relationships/hyperlink" Target="https://www.sterlinglawyers.com/wisconsin/blog/brookfield-child-custody-challenges-attorneys-commitment/" TargetMode="External"/><Relationship Id="rId2780" Type="http://schemas.openxmlformats.org/officeDocument/2006/relationships/hyperlink" Target="https://www.sterlinglawyers.com/reviews/page/54/" TargetMode="External"/><Relationship Id="rId1450" Type="http://schemas.openxmlformats.org/officeDocument/2006/relationships/hyperlink" Target="https://www.sterlinglawyers.com/wisconsin/blog/working-together-during-the-collaborative-divorce-process-in-mequon/" TargetMode="External"/><Relationship Id="rId2781" Type="http://schemas.openxmlformats.org/officeDocument/2006/relationships/hyperlink" Target="https://www.sterlinglawyers.com/reviews/page/55/" TargetMode="External"/><Relationship Id="rId620" Type="http://schemas.openxmlformats.org/officeDocument/2006/relationships/hyperlink" Target="https://www.sterlinglawyers.com/wisconsin/blog/collaborative-divorce-approach-oconomowoc/" TargetMode="External"/><Relationship Id="rId1451" Type="http://schemas.openxmlformats.org/officeDocument/2006/relationships/hyperlink" Target="https://www.sterlinglawyers.com/wisconsin/blog/holistic-child-support-solutions-jefferson-attorneys/" TargetMode="External"/><Relationship Id="rId2782" Type="http://schemas.openxmlformats.org/officeDocument/2006/relationships/hyperlink" Target="https://www.sterlinglawyers.com/illinois/reviews/page/50/" TargetMode="External"/><Relationship Id="rId1452" Type="http://schemas.openxmlformats.org/officeDocument/2006/relationships/hyperlink" Target="https://www.sterlinglawyers.com/wisconsin/blog/comprehensive-support-property-division-madison/" TargetMode="External"/><Relationship Id="rId2783" Type="http://schemas.openxmlformats.org/officeDocument/2006/relationships/hyperlink" Target="https://www.sterlinglawyers.com/illinois/reviews/page/178/" TargetMode="External"/><Relationship Id="rId1453" Type="http://schemas.openxmlformats.org/officeDocument/2006/relationships/hyperlink" Target="https://www.sterlinglawyers.com/wisconsin/blog/overcoming-challenges-green-bay-uncontested-divorce-lawyers/" TargetMode="External"/><Relationship Id="rId2784" Type="http://schemas.openxmlformats.org/officeDocument/2006/relationships/hyperlink" Target="https://www.sterlinglawyers.com/illinois/reviews/page/177/" TargetMode="External"/><Relationship Id="rId1454" Type="http://schemas.openxmlformats.org/officeDocument/2006/relationships/hyperlink" Target="https://www.sterlinglawyers.com/wisconsin/blog/oshkosh-child-support-lawyers-building-bridge-over-troubled-water/" TargetMode="External"/><Relationship Id="rId2785" Type="http://schemas.openxmlformats.org/officeDocument/2006/relationships/hyperlink" Target="https://www.sterlinglawyers.com/wisconsin/reviews/page/52/" TargetMode="External"/><Relationship Id="rId1444" Type="http://schemas.openxmlformats.org/officeDocument/2006/relationships/hyperlink" Target="https://www.sterlinglawyers.com/wisconsin/blog/overcoming-legal-hurdles-west-bend-child-support/" TargetMode="External"/><Relationship Id="rId2775" Type="http://schemas.openxmlformats.org/officeDocument/2006/relationships/hyperlink" Target="https://www.sterlinglawyers.com/reviews/page/181/" TargetMode="External"/><Relationship Id="rId1445" Type="http://schemas.openxmlformats.org/officeDocument/2006/relationships/hyperlink" Target="https://www.sterlinglawyers.com/wisconsin/blog/planning-contested-divorce-with-brookfield-lawyer/" TargetMode="External"/><Relationship Id="rId2776" Type="http://schemas.openxmlformats.org/officeDocument/2006/relationships/hyperlink" Target="https://www.sterlinglawyers.com/reviews/page/179/" TargetMode="External"/><Relationship Id="rId1446" Type="http://schemas.openxmlformats.org/officeDocument/2006/relationships/hyperlink" Target="https://www.sterlinglawyers.com/wisconsin/blog/stable-spousal-support-brookfield/" TargetMode="External"/><Relationship Id="rId2777" Type="http://schemas.openxmlformats.org/officeDocument/2006/relationships/hyperlink" Target="https://www.sterlinglawyers.com/reviews/page/178/" TargetMode="External"/><Relationship Id="rId1447" Type="http://schemas.openxmlformats.org/officeDocument/2006/relationships/hyperlink" Target="https://www.sterlinglawyers.com/wisconsin/blog/trusted-legal-support-uncontested-divorce-in-fond-du-lac/" TargetMode="External"/><Relationship Id="rId2778" Type="http://schemas.openxmlformats.org/officeDocument/2006/relationships/hyperlink" Target="https://www.sterlinglawyers.com/illinois/reviews/page/54/" TargetMode="External"/><Relationship Id="rId1448" Type="http://schemas.openxmlformats.org/officeDocument/2006/relationships/hyperlink" Target="https://www.sterlinglawyers.com/wisconsin/blog/winning-strategies-beaver-dam-spousal-support-lawyers/" TargetMode="External"/><Relationship Id="rId2779" Type="http://schemas.openxmlformats.org/officeDocument/2006/relationships/hyperlink" Target="https://www.sterlinglawyers.com/wisconsin/reviews/page/179/" TargetMode="External"/><Relationship Id="rId1449" Type="http://schemas.openxmlformats.org/officeDocument/2006/relationships/hyperlink" Target="https://www.sterlinglawyers.com/wisconsin/blog/green-bay-attorney-empowering-mother-collaborative-divorce/" TargetMode="External"/><Relationship Id="rId619" Type="http://schemas.openxmlformats.org/officeDocument/2006/relationships/hyperlink" Target="https://www.sterlinglawyers.com/wisconsin/blog/military-spouse-journey-divorce-oconomowoc/" TargetMode="External"/><Relationship Id="rId618" Type="http://schemas.openxmlformats.org/officeDocument/2006/relationships/hyperlink" Target="https://www.sterlinglawyers.com/wisconsin/blog/helping-families-resolve-paternity-matters-waukesha/" TargetMode="External"/><Relationship Id="rId613" Type="http://schemas.openxmlformats.org/officeDocument/2006/relationships/hyperlink" Target="https://www.sterlinglawyers.com/wisconsin/blog/why-you-need-a-beloit-uncontested-divorce-lawyer-by-your-side/" TargetMode="External"/><Relationship Id="rId612" Type="http://schemas.openxmlformats.org/officeDocument/2006/relationships/hyperlink" Target="https://www.sterlinglawyers.com/wisconsin/blog/unfolding-the-role-oshkosh-lawyer-child-custody-battles/" TargetMode="External"/><Relationship Id="rId611" Type="http://schemas.openxmlformats.org/officeDocument/2006/relationships/hyperlink" Target="https://www.sterlinglawyers.com/wisconsin/blog/peaceful-collaborative-divorce-middleton/" TargetMode="External"/><Relationship Id="rId610" Type="http://schemas.openxmlformats.org/officeDocument/2006/relationships/hyperlink" Target="https://www.sterlinglawyers.com/wisconsin/blog/family-dynamics-shift-spousal-support-challenge-waukesha/" TargetMode="External"/><Relationship Id="rId617" Type="http://schemas.openxmlformats.org/officeDocument/2006/relationships/hyperlink" Target="https://www.sterlinglawyers.com/wisconsin/blog/clarity-through-beaver-dam-divorce-mediation/" TargetMode="External"/><Relationship Id="rId616" Type="http://schemas.openxmlformats.org/officeDocument/2006/relationships/hyperlink" Target="https://www.sterlinglawyers.com/wisconsin/blog/mequon-divorce-mediation-stress-free/" TargetMode="External"/><Relationship Id="rId615" Type="http://schemas.openxmlformats.org/officeDocument/2006/relationships/hyperlink" Target="https://www.sterlinglawyers.com/wisconsin/blog/divorce-mediation-process-oconomowoc/" TargetMode="External"/><Relationship Id="rId614" Type="http://schemas.openxmlformats.org/officeDocument/2006/relationships/hyperlink" Target="https://www.sterlinglawyers.com/wisconsin/blog/child-support-modification-kenosha/" TargetMode="External"/><Relationship Id="rId2770" Type="http://schemas.openxmlformats.org/officeDocument/2006/relationships/hyperlink" Target="https://www.sterlinglawyers.com/wisconsin/reviews/page/181/" TargetMode="External"/><Relationship Id="rId1440" Type="http://schemas.openxmlformats.org/officeDocument/2006/relationships/hyperlink" Target="https://www.sterlinglawyers.com/wisconsin/blog/appleton-divorce-lawyer-advocate-fair-child-support/" TargetMode="External"/><Relationship Id="rId2771" Type="http://schemas.openxmlformats.org/officeDocument/2006/relationships/hyperlink" Target="https://www.sterlinglawyers.com/wisconsin/reviews/page/182/" TargetMode="External"/><Relationship Id="rId1441" Type="http://schemas.openxmlformats.org/officeDocument/2006/relationships/hyperlink" Target="https://www.sterlinglawyers.com/wisconsin/blog/protecting-military-personnel-interests-divorce/" TargetMode="External"/><Relationship Id="rId2772" Type="http://schemas.openxmlformats.org/officeDocument/2006/relationships/hyperlink" Target="https://www.sterlinglawyers.com/reviews/page/52/" TargetMode="External"/><Relationship Id="rId1442" Type="http://schemas.openxmlformats.org/officeDocument/2006/relationships/hyperlink" Target="https://www.sterlinglawyers.com/wisconsin/blog/unveiling-process-divorce-mediation-in-west-bend/" TargetMode="External"/><Relationship Id="rId2773" Type="http://schemas.openxmlformats.org/officeDocument/2006/relationships/hyperlink" Target="https://www.sterlinglawyers.com/illinois/reviews/page/52/" TargetMode="External"/><Relationship Id="rId1443" Type="http://schemas.openxmlformats.org/officeDocument/2006/relationships/hyperlink" Target="https://www.sterlinglawyers.com/wisconsin/blog/advancing-through-racine-contested-divorce-with-confidence/" TargetMode="External"/><Relationship Id="rId2774" Type="http://schemas.openxmlformats.org/officeDocument/2006/relationships/hyperlink" Target="https://www.sterlinglawyers.com/reviews/page/180/" TargetMode="External"/><Relationship Id="rId1477" Type="http://schemas.openxmlformats.org/officeDocument/2006/relationships/hyperlink" Target="https://www.sterlinglawyers.com/wisconsin/attorneys/jack-braaten/reviews/page/27/" TargetMode="External"/><Relationship Id="rId1478" Type="http://schemas.openxmlformats.org/officeDocument/2006/relationships/hyperlink" Target="https://www.sterlinglawyers.com/wisconsin/attorneys/jack-braaten/reviews/page/5/" TargetMode="External"/><Relationship Id="rId1479" Type="http://schemas.openxmlformats.org/officeDocument/2006/relationships/hyperlink" Target="https://www.sterlinglawyers.com/wisconsin/attorneys/jack-braaten/reviews/page/4/" TargetMode="External"/><Relationship Id="rId646" Type="http://schemas.openxmlformats.org/officeDocument/2006/relationships/hyperlink" Target="https://www.sterlinglawyers.com/wisconsin/locations/sheboygan/child-support-lawyers/" TargetMode="External"/><Relationship Id="rId645" Type="http://schemas.openxmlformats.org/officeDocument/2006/relationships/hyperlink" Target="https://www.sterlinglawyers.com/wisconsin/locations/sheboygan/property-division-lawyers/" TargetMode="External"/><Relationship Id="rId644" Type="http://schemas.openxmlformats.org/officeDocument/2006/relationships/hyperlink" Target="https://www.sterlinglawyers.com/wisconsin/locations/sheboygan/divorce-mediation-lawyers/" TargetMode="External"/><Relationship Id="rId643" Type="http://schemas.openxmlformats.org/officeDocument/2006/relationships/hyperlink" Target="https://www.sterlinglawyers.com/wisconsin/locations/mequon/divorce-mediation-lawyers/" TargetMode="External"/><Relationship Id="rId649" Type="http://schemas.openxmlformats.org/officeDocument/2006/relationships/hyperlink" Target="https://www.sterlinglawyers.com/wisconsin/locations/sheboygan/collaborative-divorce-lawyers/" TargetMode="External"/><Relationship Id="rId648" Type="http://schemas.openxmlformats.org/officeDocument/2006/relationships/hyperlink" Target="https://www.sterlinglawyers.com/wisconsin/locations/sheboygan/child-custody-lawyers/" TargetMode="External"/><Relationship Id="rId647" Type="http://schemas.openxmlformats.org/officeDocument/2006/relationships/hyperlink" Target="https://www.sterlinglawyers.com/wisconsin/locations/sheboygan/paternity-lawyers/" TargetMode="External"/><Relationship Id="rId1470" Type="http://schemas.openxmlformats.org/officeDocument/2006/relationships/hyperlink" Target="https://www.sterlinglawyers.com/wisconsin/blog/making-sense-spousal-support-laws-fond-du-lac/" TargetMode="External"/><Relationship Id="rId1471" Type="http://schemas.openxmlformats.org/officeDocument/2006/relationships/hyperlink" Target="https://www.sterlinglawyers.com/wisconsin/attorneys/andria-adams/reviews/page/4/" TargetMode="External"/><Relationship Id="rId1472" Type="http://schemas.openxmlformats.org/officeDocument/2006/relationships/hyperlink" Target="https://www.sterlinglawyers.com/wisconsin/blog/empowering-single-parents-paternity-appleton/" TargetMode="External"/><Relationship Id="rId642" Type="http://schemas.openxmlformats.org/officeDocument/2006/relationships/hyperlink" Target="https://www.sterlinglawyers.com/wisconsin/locations/mequon/child-support-lawyers/" TargetMode="External"/><Relationship Id="rId1473" Type="http://schemas.openxmlformats.org/officeDocument/2006/relationships/hyperlink" Target="https://www.sterlinglawyers.com/wisconsin/blog/riding-waves-uncontested-divorce-racine-attorney/" TargetMode="External"/><Relationship Id="rId641" Type="http://schemas.openxmlformats.org/officeDocument/2006/relationships/hyperlink" Target="https://www.sterlinglawyers.com/wisconsin/locations/mequon/property-division-lawyers/" TargetMode="External"/><Relationship Id="rId1474" Type="http://schemas.openxmlformats.org/officeDocument/2006/relationships/hyperlink" Target="https://www.sterlinglawyers.com/wisconsin/attorneys/jack-braaten/reviews/page/30/" TargetMode="External"/><Relationship Id="rId640" Type="http://schemas.openxmlformats.org/officeDocument/2006/relationships/hyperlink" Target="https://www.sterlinglawyers.com/wisconsin/locations/mequon/military-divorce-lawyers/" TargetMode="External"/><Relationship Id="rId1475" Type="http://schemas.openxmlformats.org/officeDocument/2006/relationships/hyperlink" Target="https://www.sterlinglawyers.com/wisconsin/attorneys/jack-braaten/reviews/page/" TargetMode="External"/><Relationship Id="rId1476" Type="http://schemas.openxmlformats.org/officeDocument/2006/relationships/hyperlink" Target="https://www.sterlinglawyers.com/wisconsin/attorneys/andria-adams/reviews/page/5/" TargetMode="External"/><Relationship Id="rId1466" Type="http://schemas.openxmlformats.org/officeDocument/2006/relationships/hyperlink" Target="https://www.sterlinglawyers.com/wisconsin/blog/finding-common-ground-collaborative-divorce-benefits/" TargetMode="External"/><Relationship Id="rId2797" Type="http://schemas.openxmlformats.org/officeDocument/2006/relationships/hyperlink" Target="https://www.sterlinglawyers.com/reviews/page/177/" TargetMode="External"/><Relationship Id="rId1467" Type="http://schemas.openxmlformats.org/officeDocument/2006/relationships/hyperlink" Target="https://www.sterlinglawyers.com/wisconsin/blog/how-milwaukee-spousal-support-attorneys-help/" TargetMode="External"/><Relationship Id="rId2798" Type="http://schemas.openxmlformats.org/officeDocument/2006/relationships/hyperlink" Target="https://www.sterlinglawyers.com/wisconsin/reviews/page/57/" TargetMode="External"/><Relationship Id="rId1468" Type="http://schemas.openxmlformats.org/officeDocument/2006/relationships/hyperlink" Target="https://www.sterlinglawyers.com/wisconsin/blog/human-side-property-division-fond-du-lac/" TargetMode="External"/><Relationship Id="rId2799" Type="http://schemas.openxmlformats.org/officeDocument/2006/relationships/hyperlink" Target="https://www.sterlinglawyers.com/wisconsin/reviews/page/56/" TargetMode="External"/><Relationship Id="rId1469" Type="http://schemas.openxmlformats.org/officeDocument/2006/relationships/hyperlink" Target="https://www.sterlinglawyers.com/wisconsin/attorneys/andria-adams/reviews/page/" TargetMode="External"/><Relationship Id="rId635" Type="http://schemas.openxmlformats.org/officeDocument/2006/relationships/hyperlink" Target="https://www.sterlinglawyers.com/wisconsin/locations/mequon/contested-divorce-lawyers/" TargetMode="External"/><Relationship Id="rId634" Type="http://schemas.openxmlformats.org/officeDocument/2006/relationships/hyperlink" Target="https://www.sterlinglawyers.com/wisconsin/locations/mequon/uncontested-divorce-lawyers/" TargetMode="External"/><Relationship Id="rId633" Type="http://schemas.openxmlformats.org/officeDocument/2006/relationships/hyperlink" Target="https://www.sterlinglawyers.com/wisconsin/blog/crafting-fair-property-division-baraboo/" TargetMode="External"/><Relationship Id="rId632" Type="http://schemas.openxmlformats.org/officeDocument/2006/relationships/hyperlink" Target="https://www.sterlinglawyers.com/wisconsin/property-division/leaving-ex-family-business/" TargetMode="External"/><Relationship Id="rId639" Type="http://schemas.openxmlformats.org/officeDocument/2006/relationships/hyperlink" Target="https://www.sterlinglawyers.com/wisconsin/locations/mequon/child-custody-lawyers/" TargetMode="External"/><Relationship Id="rId638" Type="http://schemas.openxmlformats.org/officeDocument/2006/relationships/hyperlink" Target="https://www.sterlinglawyers.com/wisconsin/locations/mequon/alimony-lawyers/" TargetMode="External"/><Relationship Id="rId637" Type="http://schemas.openxmlformats.org/officeDocument/2006/relationships/hyperlink" Target="https://www.sterlinglawyers.com/wisconsin/locations/mequon/collaborative-divorce-lawyers/" TargetMode="External"/><Relationship Id="rId636" Type="http://schemas.openxmlformats.org/officeDocument/2006/relationships/hyperlink" Target="https://www.sterlinglawyers.com/wisconsin/locations/mequon/paternity-lawyers/" TargetMode="External"/><Relationship Id="rId2790" Type="http://schemas.openxmlformats.org/officeDocument/2006/relationships/hyperlink" Target="https://www.sterlinglawyers.com/illinois/reviews/page/176/" TargetMode="External"/><Relationship Id="rId1460" Type="http://schemas.openxmlformats.org/officeDocument/2006/relationships/hyperlink" Target="https://www.sterlinglawyers.com/wisconsin/blog/advocacy-support-paternity-case-mequon-lawyers/" TargetMode="External"/><Relationship Id="rId2791" Type="http://schemas.openxmlformats.org/officeDocument/2006/relationships/hyperlink" Target="https://www.sterlinglawyers.com/reviews/page/57/" TargetMode="External"/><Relationship Id="rId1461" Type="http://schemas.openxmlformats.org/officeDocument/2006/relationships/hyperlink" Target="https://www.sterlinglawyers.com/wisconsin/blog/building-divorce-mediation-case-appleton-lawyer/" TargetMode="External"/><Relationship Id="rId2792" Type="http://schemas.openxmlformats.org/officeDocument/2006/relationships/hyperlink" Target="https://www.sterlinglawyers.com/reviews/page/56/" TargetMode="External"/><Relationship Id="rId631" Type="http://schemas.openxmlformats.org/officeDocument/2006/relationships/hyperlink" Target="https://www.sterlinglawyers.com/wisconsin/divorce/no-fault-state/" TargetMode="External"/><Relationship Id="rId1462" Type="http://schemas.openxmlformats.org/officeDocument/2006/relationships/hyperlink" Target="https://www.sterlinglawyers.com/wisconsin/blog/tailored-strategies-spousal-support-challenges-brookfield/" TargetMode="External"/><Relationship Id="rId2793" Type="http://schemas.openxmlformats.org/officeDocument/2006/relationships/hyperlink" Target="https://www.sterlinglawyers.com/wisconsin/reviews/page/178/" TargetMode="External"/><Relationship Id="rId630" Type="http://schemas.openxmlformats.org/officeDocument/2006/relationships/hyperlink" Target="https://www.sterlinglawyers.com/wisconsin/property-division/retirement-accounts-divorce/" TargetMode="External"/><Relationship Id="rId1463" Type="http://schemas.openxmlformats.org/officeDocument/2006/relationships/hyperlink" Target="https://www.sterlinglawyers.com/wisconsin/blog/importance-legal-aid-west-bend-spousal-support/" TargetMode="External"/><Relationship Id="rId2794" Type="http://schemas.openxmlformats.org/officeDocument/2006/relationships/hyperlink" Target="https://www.sterlinglawyers.com/wisconsin/reviews/page/50/" TargetMode="External"/><Relationship Id="rId1464" Type="http://schemas.openxmlformats.org/officeDocument/2006/relationships/hyperlink" Target="https://www.sterlinglawyers.com/wisconsin/blog/ensuring-stable-future-uncontested-divorce-menomonee-falls/" TargetMode="External"/><Relationship Id="rId2795" Type="http://schemas.openxmlformats.org/officeDocument/2006/relationships/hyperlink" Target="https://www.sterlinglawyers.com/illinois/reviews/page/55/" TargetMode="External"/><Relationship Id="rId1465" Type="http://schemas.openxmlformats.org/officeDocument/2006/relationships/hyperlink" Target="https://www.sterlinglawyers.com/wisconsin/blog/family-court-procedures-military-divorce-beloit/" TargetMode="External"/><Relationship Id="rId2796" Type="http://schemas.openxmlformats.org/officeDocument/2006/relationships/hyperlink" Target="https://www.sterlinglawyers.com/reviews/page/176/" TargetMode="External"/><Relationship Id="rId1411" Type="http://schemas.openxmlformats.org/officeDocument/2006/relationships/hyperlink" Target="https://www.sterlinglawyers.com/wisconsin/blog/guiding-clients-through-paternity-pillar-beloit/" TargetMode="External"/><Relationship Id="rId2742" Type="http://schemas.openxmlformats.org/officeDocument/2006/relationships/hyperlink" Target="https://www.sterlinglawyers.com/illinois/reviews/page/48/" TargetMode="External"/><Relationship Id="rId1412" Type="http://schemas.openxmlformats.org/officeDocument/2006/relationships/hyperlink" Target="https://www.sterlinglawyers.com/wisconsin/blog/addressing-military-divorce-concerns-with-jefferson-attorneys/" TargetMode="External"/><Relationship Id="rId2743" Type="http://schemas.openxmlformats.org/officeDocument/2006/relationships/hyperlink" Target="https://www.sterlinglawyers.com/wisconsin/reviews/page/186/" TargetMode="External"/><Relationship Id="rId1413" Type="http://schemas.openxmlformats.org/officeDocument/2006/relationships/hyperlink" Target="https://www.sterlinglawyers.com/wisconsin/blog/from-confusion-to-clarity-collaborative-divorce-janesville/" TargetMode="External"/><Relationship Id="rId2744" Type="http://schemas.openxmlformats.org/officeDocument/2006/relationships/hyperlink" Target="https://www.sterlinglawyers.com/reviews/page/43/" TargetMode="External"/><Relationship Id="rId1414" Type="http://schemas.openxmlformats.org/officeDocument/2006/relationships/hyperlink" Target="https://www.sterlinglawyers.com/wisconsin/blog/middleton-attorney-making-a-difference-spousal-support-cases/" TargetMode="External"/><Relationship Id="rId2745" Type="http://schemas.openxmlformats.org/officeDocument/2006/relationships/hyperlink" Target="https://www.sterlinglawyers.com/reviews/page/47/" TargetMode="External"/><Relationship Id="rId1415" Type="http://schemas.openxmlformats.org/officeDocument/2006/relationships/hyperlink" Target="https://www.sterlinglawyers.com/wisconsin/attorneys/tiffany-biedermann/" TargetMode="External"/><Relationship Id="rId2746" Type="http://schemas.openxmlformats.org/officeDocument/2006/relationships/hyperlink" Target="https://www.sterlinglawyers.com/reviews/page/49/" TargetMode="External"/><Relationship Id="rId1416" Type="http://schemas.openxmlformats.org/officeDocument/2006/relationships/hyperlink" Target="https://www.sterlinglawyers.com/wisconsin/blog/balancing-motherhood-contested-divorce-proceedings-kenosha/" TargetMode="External"/><Relationship Id="rId2747" Type="http://schemas.openxmlformats.org/officeDocument/2006/relationships/hyperlink" Target="https://www.sterlinglawyers.com/illinois/reviews/page/190/" TargetMode="External"/><Relationship Id="rId1417" Type="http://schemas.openxmlformats.org/officeDocument/2006/relationships/hyperlink" Target="https://www.sterlinglawyers.com/wisconsin/blog/unpacking-legal-process-baraboo-paternity-lawyers/" TargetMode="External"/><Relationship Id="rId2748" Type="http://schemas.openxmlformats.org/officeDocument/2006/relationships/hyperlink" Target="https://www.sterlinglawyers.com/illinois/reviews/page/184/" TargetMode="External"/><Relationship Id="rId1418" Type="http://schemas.openxmlformats.org/officeDocument/2006/relationships/hyperlink" Target="https://www.sterlinglawyers.com/wisconsin/blog/sheboygan-child-support-lawyer-navigate-bumpy-roads/" TargetMode="External"/><Relationship Id="rId2749" Type="http://schemas.openxmlformats.org/officeDocument/2006/relationships/hyperlink" Target="https://www.sterlinglawyers.com/reviews/page/48/" TargetMode="External"/><Relationship Id="rId1419" Type="http://schemas.openxmlformats.org/officeDocument/2006/relationships/hyperlink" Target="https://www.sterlinglawyers.com/wisconsin/blog/gaining-insight-into-paternity-law-madison-attorney/" TargetMode="External"/><Relationship Id="rId2740" Type="http://schemas.openxmlformats.org/officeDocument/2006/relationships/hyperlink" Target="https://www.sterlinglawyers.com/wisconsin/reviews/page/46/" TargetMode="External"/><Relationship Id="rId1410" Type="http://schemas.openxmlformats.org/officeDocument/2006/relationships/hyperlink" Target="https://www.sterlinglawyers.com/wisconsin/blog/advancing-child-support-justice-beaver-dam/" TargetMode="External"/><Relationship Id="rId2741" Type="http://schemas.openxmlformats.org/officeDocument/2006/relationships/hyperlink" Target="https://www.sterlinglawyers.com/wisconsin/reviews/page/47/" TargetMode="External"/><Relationship Id="rId1400" Type="http://schemas.openxmlformats.org/officeDocument/2006/relationships/hyperlink" Target="https://www.sterlinglawyers.com/wisconsin/blog/conquering-legal-challenges-family-law-beloit/" TargetMode="External"/><Relationship Id="rId2731" Type="http://schemas.openxmlformats.org/officeDocument/2006/relationships/hyperlink" Target="https://www.sterlinglawyers.com/reviews/page/46/" TargetMode="External"/><Relationship Id="rId1401" Type="http://schemas.openxmlformats.org/officeDocument/2006/relationships/hyperlink" Target="https://www.sterlinglawyers.com/wisconsin/blog/understanding-challenges-military-divorce-ozaukee-county/" TargetMode="External"/><Relationship Id="rId2732" Type="http://schemas.openxmlformats.org/officeDocument/2006/relationships/hyperlink" Target="https://www.sterlinglawyers.com/illinois/reviews/page/186/" TargetMode="External"/><Relationship Id="rId1402" Type="http://schemas.openxmlformats.org/officeDocument/2006/relationships/hyperlink" Target="https://www.sterlinglawyers.com/wisconsin/blog/managing-family-dynamics-collaborative-divorce-kenosha/" TargetMode="External"/><Relationship Id="rId2733" Type="http://schemas.openxmlformats.org/officeDocument/2006/relationships/hyperlink" Target="https://www.sterlinglawyers.com/illinois/reviews/page/185/" TargetMode="External"/><Relationship Id="rId1403" Type="http://schemas.openxmlformats.org/officeDocument/2006/relationships/hyperlink" Target="https://www.sterlinglawyers.com/wisconsin/blog/understanding-family-law-with-jefferson-paternity-attorneys/" TargetMode="External"/><Relationship Id="rId2734" Type="http://schemas.openxmlformats.org/officeDocument/2006/relationships/hyperlink" Target="https://www.sterlinglawyers.com/wisconsin/reviews/page/188/" TargetMode="External"/><Relationship Id="rId1404" Type="http://schemas.openxmlformats.org/officeDocument/2006/relationships/hyperlink" Target="https://www.sterlinglawyers.com/wisconsin/blog/unseen-heroes-divorce-mediation-janesville/" TargetMode="External"/><Relationship Id="rId2735" Type="http://schemas.openxmlformats.org/officeDocument/2006/relationships/hyperlink" Target="https://www.sterlinglawyers.com/wisconsin/reviews/page/187/" TargetMode="External"/><Relationship Id="rId1405" Type="http://schemas.openxmlformats.org/officeDocument/2006/relationships/hyperlink" Target="https://www.sterlinglawyers.com/wisconsin/blog/facing-legal-intricacies-law-waukesha-collaborative-divorce-attorneys/" TargetMode="External"/><Relationship Id="rId2736" Type="http://schemas.openxmlformats.org/officeDocument/2006/relationships/hyperlink" Target="https://www.sterlinglawyers.com/illinois/reviews/page/47/" TargetMode="External"/><Relationship Id="rId1406" Type="http://schemas.openxmlformats.org/officeDocument/2006/relationships/hyperlink" Target="https://www.sterlinglawyers.com/wisconsin/blog/beloit-spousal-support-lawyer-financial-security-future/" TargetMode="External"/><Relationship Id="rId2737" Type="http://schemas.openxmlformats.org/officeDocument/2006/relationships/hyperlink" Target="https://www.sterlinglawyers.com/wisconsin/reviews/page/45/" TargetMode="External"/><Relationship Id="rId1407" Type="http://schemas.openxmlformats.org/officeDocument/2006/relationships/hyperlink" Target="https://www.sterlinglawyers.com/wisconsin/blog/the-value-of-legal-experience-in-paternity-disputes-green-bay/" TargetMode="External"/><Relationship Id="rId2738" Type="http://schemas.openxmlformats.org/officeDocument/2006/relationships/hyperlink" Target="https://www.sterlinglawyers.com/wisconsin/reviews/page/44/" TargetMode="External"/><Relationship Id="rId1408" Type="http://schemas.openxmlformats.org/officeDocument/2006/relationships/hyperlink" Target="https://www.sterlinglawyers.com/wisconsin/blog/personal-stories-divorce-mediation-menomonee-falls/" TargetMode="External"/><Relationship Id="rId2739" Type="http://schemas.openxmlformats.org/officeDocument/2006/relationships/hyperlink" Target="https://www.sterlinglawyers.com/illinois/reviews/page/46/" TargetMode="External"/><Relationship Id="rId1409" Type="http://schemas.openxmlformats.org/officeDocument/2006/relationships/hyperlink" Target="https://www.sterlinglawyers.com/wisconsin/blog/rising-above-storm-military-divorce-lawyers/" TargetMode="External"/><Relationship Id="rId2730" Type="http://schemas.openxmlformats.org/officeDocument/2006/relationships/hyperlink" Target="https://www.sterlinglawyers.com/reviews/page/187/" TargetMode="External"/><Relationship Id="rId1433" Type="http://schemas.openxmlformats.org/officeDocument/2006/relationships/hyperlink" Target="https://www.sterlinglawyers.com/wisconsin/blog/ensuring-family-stability-military-divorce-kenosha/" TargetMode="External"/><Relationship Id="rId2764" Type="http://schemas.openxmlformats.org/officeDocument/2006/relationships/hyperlink" Target="https://www.sterlinglawyers.com/reviews/page/183/" TargetMode="External"/><Relationship Id="rId1434" Type="http://schemas.openxmlformats.org/officeDocument/2006/relationships/hyperlink" Target="https://www.sterlinglawyers.com/wisconsin/blog/braving-military-divorce-storm-green-bay-attorney/" TargetMode="External"/><Relationship Id="rId2765" Type="http://schemas.openxmlformats.org/officeDocument/2006/relationships/hyperlink" Target="https://www.sterlinglawyers.com/illinois/reviews/page/182/" TargetMode="External"/><Relationship Id="rId1435" Type="http://schemas.openxmlformats.org/officeDocument/2006/relationships/hyperlink" Target="https://www.sterlinglawyers.com/wisconsin/blog/standing-strong-janesville-attorneys-paternity-disputes/" TargetMode="External"/><Relationship Id="rId2766" Type="http://schemas.openxmlformats.org/officeDocument/2006/relationships/hyperlink" Target="https://www.sterlinglawyers.com/wisconsin/reviews/page/51/" TargetMode="External"/><Relationship Id="rId1436" Type="http://schemas.openxmlformats.org/officeDocument/2006/relationships/hyperlink" Target="https://www.sterlinglawyers.com/wisconsin/blog/child-custody-agreement-baraboo-parents/" TargetMode="External"/><Relationship Id="rId2767" Type="http://schemas.openxmlformats.org/officeDocument/2006/relationships/hyperlink" Target="https://www.sterlinglawyers.com/illinois/reviews/page/179/" TargetMode="External"/><Relationship Id="rId1437" Type="http://schemas.openxmlformats.org/officeDocument/2006/relationships/hyperlink" Target="https://www.sterlinglawyers.com/wisconsin/blog/protecting-welfare-families-green-bay-child-support-lawyers/" TargetMode="External"/><Relationship Id="rId2768" Type="http://schemas.openxmlformats.org/officeDocument/2006/relationships/hyperlink" Target="https://www.sterlinglawyers.com/illinois/reviews/page/180/" TargetMode="External"/><Relationship Id="rId1438" Type="http://schemas.openxmlformats.org/officeDocument/2006/relationships/hyperlink" Target="https://www.sterlinglawyers.com/wisconsin/blog/unraveling-process-beloit-divorce-mediation-lawyers/" TargetMode="External"/><Relationship Id="rId2769" Type="http://schemas.openxmlformats.org/officeDocument/2006/relationships/hyperlink" Target="https://www.sterlinglawyers.com/reviews/page/53/" TargetMode="External"/><Relationship Id="rId1439" Type="http://schemas.openxmlformats.org/officeDocument/2006/relationships/hyperlink" Target="https://www.sterlinglawyers.com/wisconsin/blog/a-look-at-contested-divorces-in-sheboygan-county/" TargetMode="External"/><Relationship Id="rId609" Type="http://schemas.openxmlformats.org/officeDocument/2006/relationships/hyperlink" Target="https://www.sterlinglawyers.com/wisconsin/blog/understanding-family-law-process-oshkosh-uncontested-divorce-lawyers/" TargetMode="External"/><Relationship Id="rId608" Type="http://schemas.openxmlformats.org/officeDocument/2006/relationships/hyperlink" Target="https://www.sterlinglawyers.com/wisconsin/blog/finding-legal-help-during-military-divorce-oshkosh/" TargetMode="External"/><Relationship Id="rId607" Type="http://schemas.openxmlformats.org/officeDocument/2006/relationships/hyperlink" Target="https://www.sterlinglawyers.com/wisconsin/blog/decoding-divorce-mediation-with-sheboygan-attorney/" TargetMode="External"/><Relationship Id="rId602" Type="http://schemas.openxmlformats.org/officeDocument/2006/relationships/hyperlink" Target="https://www.sterlinglawyers.com/wisconsin/blog/military-divorce-lawyers-racine-family-stability/" TargetMode="External"/><Relationship Id="rId601" Type="http://schemas.openxmlformats.org/officeDocument/2006/relationships/hyperlink" Target="https://www.sterlinglawyers.com/wisconsin/blog/uncontested-divorce-west-bend-fathers-story/" TargetMode="External"/><Relationship Id="rId600" Type="http://schemas.openxmlformats.org/officeDocument/2006/relationships/hyperlink" Target="https://www.sterlinglawyers.com/illinois/locations/plainfield/divorce-mediation-lawyers/divorce-mediation-lawyers/" TargetMode="External"/><Relationship Id="rId606" Type="http://schemas.openxmlformats.org/officeDocument/2006/relationships/hyperlink" Target="https://www.sterlinglawyers.com/wisconsin/blog/resolving-paternity-conflicts-jefferson-county/" TargetMode="External"/><Relationship Id="rId605" Type="http://schemas.openxmlformats.org/officeDocument/2006/relationships/hyperlink" Target="https://www.sterlinglawyers.com/wisconsin/blog/legal-challenges-solutions-milwaukee-uncontested-divorce/" TargetMode="External"/><Relationship Id="rId604" Type="http://schemas.openxmlformats.org/officeDocument/2006/relationships/hyperlink" Target="https://www.sterlinglawyers.com/wisconsin/blog/battling-balanced-spousal-support-menomonee-falls/" TargetMode="External"/><Relationship Id="rId603" Type="http://schemas.openxmlformats.org/officeDocument/2006/relationships/hyperlink" Target="https://www.sterlinglawyers.com/wisconsin/blog/legal-guidance-oconomowoc-contested-divorce/" TargetMode="External"/><Relationship Id="rId2760" Type="http://schemas.openxmlformats.org/officeDocument/2006/relationships/hyperlink" Target="https://www.sterlinglawyers.com/wisconsin/reviews/page/184/" TargetMode="External"/><Relationship Id="rId1430" Type="http://schemas.openxmlformats.org/officeDocument/2006/relationships/hyperlink" Target="https://www.sterlinglawyers.com/wisconsin/blog/journey-intricacies-paternity-laws-menomonee-falls/" TargetMode="External"/><Relationship Id="rId2761" Type="http://schemas.openxmlformats.org/officeDocument/2006/relationships/hyperlink" Target="https://www.sterlinglawyers.com/illinois/reviews/page/181/" TargetMode="External"/><Relationship Id="rId1431" Type="http://schemas.openxmlformats.org/officeDocument/2006/relationships/hyperlink" Target="https://www.sterlinglawyers.com/wisconsin/blog/steps-to-seamless-uncontested-divorce-waukesha-county/" TargetMode="External"/><Relationship Id="rId2762" Type="http://schemas.openxmlformats.org/officeDocument/2006/relationships/hyperlink" Target="https://www.sterlinglawyers.com/wisconsin/reviews/page/49/" TargetMode="External"/><Relationship Id="rId1432" Type="http://schemas.openxmlformats.org/officeDocument/2006/relationships/hyperlink" Target="https://www.sterlinglawyers.com/wisconsin/blog/lighthouse-legal-support-contested-divorce-baraboo/" TargetMode="External"/><Relationship Id="rId2763" Type="http://schemas.openxmlformats.org/officeDocument/2006/relationships/hyperlink" Target="https://www.sterlinglawyers.com/wisconsin/reviews/page/48/" TargetMode="External"/><Relationship Id="rId1422" Type="http://schemas.openxmlformats.org/officeDocument/2006/relationships/hyperlink" Target="https://www.sterlinglawyers.com/wisconsin/blog/guiding-hand-child-support-west-bend/" TargetMode="External"/><Relationship Id="rId2753" Type="http://schemas.openxmlformats.org/officeDocument/2006/relationships/hyperlink" Target="https://www.sterlinglawyers.com/illinois/reviews/page/49/" TargetMode="External"/><Relationship Id="rId1423" Type="http://schemas.openxmlformats.org/officeDocument/2006/relationships/hyperlink" Target="https://www.sterlinglawyers.com/wisconsin/blog/positive-co-parenting-relationship-menomonee-falls-child-support-lawyer/" TargetMode="External"/><Relationship Id="rId2754" Type="http://schemas.openxmlformats.org/officeDocument/2006/relationships/hyperlink" Target="https://www.sterlinglawyers.com/illinois/reviews/page/51/" TargetMode="External"/><Relationship Id="rId1424" Type="http://schemas.openxmlformats.org/officeDocument/2006/relationships/hyperlink" Target="https://www.sterlinglawyers.com/wisconsin/blog/journey-towards-collaborative-divorce-washington-county/" TargetMode="External"/><Relationship Id="rId2755" Type="http://schemas.openxmlformats.org/officeDocument/2006/relationships/hyperlink" Target="https://www.sterlinglawyers.com/wisconsin/reviews/page/185/" TargetMode="External"/><Relationship Id="rId1425" Type="http://schemas.openxmlformats.org/officeDocument/2006/relationships/hyperlink" Target="https://www.sterlinglawyers.com/wisconsin/blog/why-a-mequon-paternity-lawyer-matters/" TargetMode="External"/><Relationship Id="rId2756" Type="http://schemas.openxmlformats.org/officeDocument/2006/relationships/hyperlink" Target="https://www.sterlinglawyers.com/reviews/page/50/" TargetMode="External"/><Relationship Id="rId1426" Type="http://schemas.openxmlformats.org/officeDocument/2006/relationships/hyperlink" Target="https://www.sterlinglawyers.com/wisconsin/blog/legal-insights-modifying-child-support-mequon/" TargetMode="External"/><Relationship Id="rId2757" Type="http://schemas.openxmlformats.org/officeDocument/2006/relationships/hyperlink" Target="https://www.sterlinglawyers.com/wisconsin/reviews/page/183/" TargetMode="External"/><Relationship Id="rId1427" Type="http://schemas.openxmlformats.org/officeDocument/2006/relationships/hyperlink" Target="https://www.sterlinglawyers.com/wisconsin/blog/family-advocacy-spousal-support-jefferson/" TargetMode="External"/><Relationship Id="rId2758" Type="http://schemas.openxmlformats.org/officeDocument/2006/relationships/hyperlink" Target="https://www.sterlinglawyers.com/illinois/reviews/page/183/" TargetMode="External"/><Relationship Id="rId1428" Type="http://schemas.openxmlformats.org/officeDocument/2006/relationships/hyperlink" Target="https://www.sterlinglawyers.com/wisconsin/blog/janesville-property-division-lawyers-turmoil-to-tranquility/" TargetMode="External"/><Relationship Id="rId2759" Type="http://schemas.openxmlformats.org/officeDocument/2006/relationships/hyperlink" Target="https://www.sterlinglawyers.com/reviews/page/51/" TargetMode="External"/><Relationship Id="rId1429" Type="http://schemas.openxmlformats.org/officeDocument/2006/relationships/hyperlink" Target="https://www.sterlinglawyers.com/wisconsin/attorneys/hannah-smet/" TargetMode="External"/><Relationship Id="rId2750" Type="http://schemas.openxmlformats.org/officeDocument/2006/relationships/hyperlink" Target="https://www.sterlinglawyers.com/reviews/page/184/" TargetMode="External"/><Relationship Id="rId1420" Type="http://schemas.openxmlformats.org/officeDocument/2006/relationships/hyperlink" Target="https://www.sterlinglawyers.com/wisconsin/blog/compassionate-advocacy-divorce-mediation-attorneys-baraboo/" TargetMode="External"/><Relationship Id="rId2751" Type="http://schemas.openxmlformats.org/officeDocument/2006/relationships/hyperlink" Target="https://www.sterlinglawyers.com/reviews/page/182/" TargetMode="External"/><Relationship Id="rId1421" Type="http://schemas.openxmlformats.org/officeDocument/2006/relationships/hyperlink" Target="https://www.sterlinglawyers.com/wisconsin/blog/menomonee-falls-divorce-mediation-lawyers-journey-resolution/" TargetMode="External"/><Relationship Id="rId2752" Type="http://schemas.openxmlformats.org/officeDocument/2006/relationships/hyperlink" Target="https://www.sterlinglawyers.com/reviews/page/185/" TargetMode="External"/><Relationship Id="rId699" Type="http://schemas.openxmlformats.org/officeDocument/2006/relationships/hyperlink" Target="https://www.sterlinglawyers.com/wisconsin/events/complete-guide-divorce-process/" TargetMode="External"/><Relationship Id="rId698" Type="http://schemas.openxmlformats.org/officeDocument/2006/relationships/hyperlink" Target="https://www.sterlinglawyers.com/lp-untying-knots/password-reset/" TargetMode="External"/><Relationship Id="rId693" Type="http://schemas.openxmlformats.org/officeDocument/2006/relationships/hyperlink" Target="https://www.sterlinglawyers.com/wisconsin/divorce/help-child-cope-divorce/" TargetMode="External"/><Relationship Id="rId692" Type="http://schemas.openxmlformats.org/officeDocument/2006/relationships/hyperlink" Target="https://www.sterlinglawyers.com/wisconsin/locations/green-bay/military-divorce-lawyers/" TargetMode="External"/><Relationship Id="rId691" Type="http://schemas.openxmlformats.org/officeDocument/2006/relationships/hyperlink" Target="https://www.sterlinglawyers.com/wisconsin/child-support/child-support-determined-can-appealed/" TargetMode="External"/><Relationship Id="rId690" Type="http://schemas.openxmlformats.org/officeDocument/2006/relationships/hyperlink" Target="https://www.sterlinglawyers.com/wisconsin/events/evaluating-custody-placement-support/" TargetMode="External"/><Relationship Id="rId697" Type="http://schemas.openxmlformats.org/officeDocument/2006/relationships/hyperlink" Target="https://www.sterlinglawyers.com/divorce/evidentiary-hearing/" TargetMode="External"/><Relationship Id="rId696" Type="http://schemas.openxmlformats.org/officeDocument/2006/relationships/hyperlink" Target="https://www.sterlinglawyers.com/wisconsin/events/questions-ask-divorce-attorney/" TargetMode="External"/><Relationship Id="rId695" Type="http://schemas.openxmlformats.org/officeDocument/2006/relationships/hyperlink" Target="https://www.sterlinglawyers.com/wisconsin/events/divide-money-divorce/" TargetMode="External"/><Relationship Id="rId694" Type="http://schemas.openxmlformats.org/officeDocument/2006/relationships/hyperlink" Target="https://www.sterlinglawyers.com/illinois/child-custody/during-divorce/" TargetMode="External"/><Relationship Id="rId1499" Type="http://schemas.openxmlformats.org/officeDocument/2006/relationships/hyperlink" Target="https://www.sterlinglawyers.com/wisconsin/attorneys/bailey-holt/reviews/page/23/" TargetMode="External"/><Relationship Id="rId668" Type="http://schemas.openxmlformats.org/officeDocument/2006/relationships/hyperlink" Target="https://www.sterlinglawyers.com/wisconsin/locations/west-bend/divorce-mediation-lawyers/" TargetMode="External"/><Relationship Id="rId667" Type="http://schemas.openxmlformats.org/officeDocument/2006/relationships/hyperlink" Target="https://www.sterlinglawyers.com/wisconsin/locations/west-bend/uncontested-divorce-lawyers/" TargetMode="External"/><Relationship Id="rId666" Type="http://schemas.openxmlformats.org/officeDocument/2006/relationships/hyperlink" Target="https://www.sterlinglawyers.com/wisconsin/locations/west-bend/property-division-lawyers/" TargetMode="External"/><Relationship Id="rId665" Type="http://schemas.openxmlformats.org/officeDocument/2006/relationships/hyperlink" Target="https://www.sterlinglawyers.com/wisconsin/locations/west-bend/child-custody-lawyers/" TargetMode="External"/><Relationship Id="rId669" Type="http://schemas.openxmlformats.org/officeDocument/2006/relationships/hyperlink" Target="https://www.sterlinglawyers.com/wisconsin/locations/west-bend/alimony-lawyers/" TargetMode="External"/><Relationship Id="rId1490" Type="http://schemas.openxmlformats.org/officeDocument/2006/relationships/hyperlink" Target="https://www.sterlinglawyers.com/wisconsin/attorneys/austin-miller/reviews/page/33/" TargetMode="External"/><Relationship Id="rId660" Type="http://schemas.openxmlformats.org/officeDocument/2006/relationships/hyperlink" Target="https://www.sterlinglawyers.com/wisconsin/locations/green-bay/paternity-lawyers/" TargetMode="External"/><Relationship Id="rId1491" Type="http://schemas.openxmlformats.org/officeDocument/2006/relationships/hyperlink" Target="https://www.sterlinglawyers.com/wisconsin/attorneys/kathleen-curran/reviews/page/" TargetMode="External"/><Relationship Id="rId1492" Type="http://schemas.openxmlformats.org/officeDocument/2006/relationships/hyperlink" Target="https://www.sterlinglawyers.com/wisconsin/attorneys/ellen-rhodeman/reviews/page/54/" TargetMode="External"/><Relationship Id="rId1493" Type="http://schemas.openxmlformats.org/officeDocument/2006/relationships/hyperlink" Target="https://www.sterlinglawyers.com/wisconsin/attorneys/austin-miller/reviews/page/34/" TargetMode="External"/><Relationship Id="rId1494" Type="http://schemas.openxmlformats.org/officeDocument/2006/relationships/hyperlink" Target="https://www.sterlinglawyers.com/wisconsin/attorneys/austin-miller/reviews/page/" TargetMode="External"/><Relationship Id="rId664" Type="http://schemas.openxmlformats.org/officeDocument/2006/relationships/hyperlink" Target="https://www.sterlinglawyers.com/wisconsin/locations/west-bend/collaborative-divorce-lawyers/" TargetMode="External"/><Relationship Id="rId1495" Type="http://schemas.openxmlformats.org/officeDocument/2006/relationships/hyperlink" Target="https://www.sterlinglawyers.com/wisconsin/attorneys/austin-miller/reviews/page/4/" TargetMode="External"/><Relationship Id="rId663" Type="http://schemas.openxmlformats.org/officeDocument/2006/relationships/hyperlink" Target="https://www.sterlinglawyers.com/wisconsin/locations/west-bend/military-divorce-lawyers/" TargetMode="External"/><Relationship Id="rId1496" Type="http://schemas.openxmlformats.org/officeDocument/2006/relationships/hyperlink" Target="https://www.sterlinglawyers.com/wisconsin/attorneys/ellen-rhodeman/reviews/page/53/" TargetMode="External"/><Relationship Id="rId662" Type="http://schemas.openxmlformats.org/officeDocument/2006/relationships/hyperlink" Target="https://www.sterlinglawyers.com/wisconsin/locations/green-bay/divorce-mediation-lawyers/" TargetMode="External"/><Relationship Id="rId1497" Type="http://schemas.openxmlformats.org/officeDocument/2006/relationships/hyperlink" Target="https://www.sterlinglawyers.com/wisconsin/attorneys/austin-miller/reviews/page/5/" TargetMode="External"/><Relationship Id="rId661" Type="http://schemas.openxmlformats.org/officeDocument/2006/relationships/hyperlink" Target="https://www.sterlinglawyers.com/wisconsin/locations/green-bay/contested-divorce-lawyers/" TargetMode="External"/><Relationship Id="rId1498" Type="http://schemas.openxmlformats.org/officeDocument/2006/relationships/hyperlink" Target="https://www.sterlinglawyers.com/wisconsin/attorneys/bailey-holt/reviews/page/24/" TargetMode="External"/><Relationship Id="rId1488" Type="http://schemas.openxmlformats.org/officeDocument/2006/relationships/hyperlink" Target="https://www.sterlinglawyers.com/wisconsin/attorneys/kathleen-curran/reviews/page/34/" TargetMode="External"/><Relationship Id="rId1489" Type="http://schemas.openxmlformats.org/officeDocument/2006/relationships/hyperlink" Target="https://www.sterlinglawyers.com/wisconsin/attorneys/kathleen-curran/reviews/page/35/" TargetMode="External"/><Relationship Id="rId657" Type="http://schemas.openxmlformats.org/officeDocument/2006/relationships/hyperlink" Target="https://www.sterlinglawyers.com/wisconsin/locations/green-bay/property-division-lawyers/" TargetMode="External"/><Relationship Id="rId656" Type="http://schemas.openxmlformats.org/officeDocument/2006/relationships/hyperlink" Target="https://www.sterlinglawyers.com/wisconsin/locations/green-bay/collaborative-divorce-lawyers/" TargetMode="External"/><Relationship Id="rId655" Type="http://schemas.openxmlformats.org/officeDocument/2006/relationships/hyperlink" Target="https://www.sterlinglawyers.com/wisconsin/locations/green-bay/alimony-lawyers/" TargetMode="External"/><Relationship Id="rId654" Type="http://schemas.openxmlformats.org/officeDocument/2006/relationships/hyperlink" Target="https://www.sterlinglawyers.com/wisconsin/locations/green-bay/child-support-lawyers/" TargetMode="External"/><Relationship Id="rId659" Type="http://schemas.openxmlformats.org/officeDocument/2006/relationships/hyperlink" Target="https://www.sterlinglawyers.com/wisconsin/locations/green-bay/uncontested-divorce-lawyers/" TargetMode="External"/><Relationship Id="rId658" Type="http://schemas.openxmlformats.org/officeDocument/2006/relationships/hyperlink" Target="https://www.sterlinglawyers.com/wisconsin/locations/green-bay/child-custody-lawyers/" TargetMode="External"/><Relationship Id="rId1480" Type="http://schemas.openxmlformats.org/officeDocument/2006/relationships/hyperlink" Target="https://www.sterlinglawyers.com/wisconsin/attorneys/andria-adams/reviews/page/18/" TargetMode="External"/><Relationship Id="rId1481" Type="http://schemas.openxmlformats.org/officeDocument/2006/relationships/hyperlink" Target="https://www.sterlinglawyers.com/wisconsin/attorneys/andria-adams/reviews/page/17/" TargetMode="External"/><Relationship Id="rId1482" Type="http://schemas.openxmlformats.org/officeDocument/2006/relationships/hyperlink" Target="https://www.sterlinglawyers.com/wisconsin/attorneys/jack-braaten/reviews/page/28/" TargetMode="External"/><Relationship Id="rId1483" Type="http://schemas.openxmlformats.org/officeDocument/2006/relationships/hyperlink" Target="https://www.sterlinglawyers.com/wisconsin/attorneys/bailey-holt/reviews/page/5/" TargetMode="External"/><Relationship Id="rId653" Type="http://schemas.openxmlformats.org/officeDocument/2006/relationships/hyperlink" Target="https://www.sterlinglawyers.com/wisconsin/locations/sheboygan/uncontested-divorce-lawyers/" TargetMode="External"/><Relationship Id="rId1484" Type="http://schemas.openxmlformats.org/officeDocument/2006/relationships/hyperlink" Target="https://www.sterlinglawyers.com/wisconsin/attorneys/crawford-campbell/reviews/page/4/" TargetMode="External"/><Relationship Id="rId652" Type="http://schemas.openxmlformats.org/officeDocument/2006/relationships/hyperlink" Target="https://www.sterlinglawyers.com/wisconsin/locations/sheboygan/military-divorce-lawyers/" TargetMode="External"/><Relationship Id="rId1485" Type="http://schemas.openxmlformats.org/officeDocument/2006/relationships/hyperlink" Target="https://www.sterlinglawyers.com/wisconsin/attorneys/crawford-campbell/reviews/page/" TargetMode="External"/><Relationship Id="rId651" Type="http://schemas.openxmlformats.org/officeDocument/2006/relationships/hyperlink" Target="https://www.sterlinglawyers.com/wisconsin/locations/sheboygan/contested-divorce-lawyers/" TargetMode="External"/><Relationship Id="rId1486" Type="http://schemas.openxmlformats.org/officeDocument/2006/relationships/hyperlink" Target="https://www.sterlinglawyers.com/wisconsin/attorneys/kathleen-curran/reviews/page/4/" TargetMode="External"/><Relationship Id="rId650" Type="http://schemas.openxmlformats.org/officeDocument/2006/relationships/hyperlink" Target="https://www.sterlinglawyers.com/wisconsin/locations/sheboygan/alimony-lawyers/" TargetMode="External"/><Relationship Id="rId1487" Type="http://schemas.openxmlformats.org/officeDocument/2006/relationships/hyperlink" Target="https://www.sterlinglawyers.com/wisconsin/attorneys/kathleen-curran/reviews/page/5/" TargetMode="External"/><Relationship Id="rId689" Type="http://schemas.openxmlformats.org/officeDocument/2006/relationships/hyperlink" Target="https://www.sterlinglawyers.com/wisconsin/blog/safeguarding-interests-green-bay-contested-divorce-lawyers/" TargetMode="External"/><Relationship Id="rId688" Type="http://schemas.openxmlformats.org/officeDocument/2006/relationships/hyperlink" Target="https://www.sterlinglawyers.com/wisconsin/divorce/depression-and-divorce/" TargetMode="External"/><Relationship Id="rId687" Type="http://schemas.openxmlformats.org/officeDocument/2006/relationships/hyperlink" Target="https://www.sterlinglawyers.com/wisconsin/divorce/email-proof-of-an-affair/" TargetMode="External"/><Relationship Id="rId682" Type="http://schemas.openxmlformats.org/officeDocument/2006/relationships/hyperlink" Target="https://www.sterlinglawyers.com/wisconsin/locations/beaver-dam/property-division-lawyers/" TargetMode="External"/><Relationship Id="rId681" Type="http://schemas.openxmlformats.org/officeDocument/2006/relationships/hyperlink" Target="https://www.sterlinglawyers.com/wisconsin/locations/beaver-dam/paternity-lawyers/" TargetMode="External"/><Relationship Id="rId680" Type="http://schemas.openxmlformats.org/officeDocument/2006/relationships/hyperlink" Target="https://www.sterlinglawyers.com/wisconsin/locations/beaver-dam/alimony-lawyers/" TargetMode="External"/><Relationship Id="rId686" Type="http://schemas.openxmlformats.org/officeDocument/2006/relationships/hyperlink" Target="https://www.sterlinglawyers.com/wisconsin/locations/beaver-dam/collaborative-divorce-lawyers/" TargetMode="External"/><Relationship Id="rId685" Type="http://schemas.openxmlformats.org/officeDocument/2006/relationships/hyperlink" Target="https://www.sterlinglawyers.com/wisconsin/locations/beaver-dam/uncontested-divorce-lawyers/" TargetMode="External"/><Relationship Id="rId684" Type="http://schemas.openxmlformats.org/officeDocument/2006/relationships/hyperlink" Target="https://www.sterlinglawyers.com/wisconsin/locations/beaver-dam/child-support-lawyers/" TargetMode="External"/><Relationship Id="rId683" Type="http://schemas.openxmlformats.org/officeDocument/2006/relationships/hyperlink" Target="https://www.sterlinglawyers.com/wisconsin/locations/beaver-dam/child-custody-lawyers/" TargetMode="External"/><Relationship Id="rId679" Type="http://schemas.openxmlformats.org/officeDocument/2006/relationships/hyperlink" Target="https://www.sterlinglawyers.com/wisconsin/locations/beaver-dam/divorce-mediation-lawyers/" TargetMode="External"/><Relationship Id="rId678" Type="http://schemas.openxmlformats.org/officeDocument/2006/relationships/hyperlink" Target="https://www.sterlinglawyers.com/wisconsin/locations/beaver-dam/military-divorce-lawyers/" TargetMode="External"/><Relationship Id="rId677" Type="http://schemas.openxmlformats.org/officeDocument/2006/relationships/hyperlink" Target="https://www.sterlinglawyers.com/wisconsin/locations/beaver-dam/contested-divorce-lawyers/" TargetMode="External"/><Relationship Id="rId676" Type="http://schemas.openxmlformats.org/officeDocument/2006/relationships/hyperlink" Target="https://www.sterlinglawyers.com/wisconsin/property-division/joint-property-state/" TargetMode="External"/><Relationship Id="rId671" Type="http://schemas.openxmlformats.org/officeDocument/2006/relationships/hyperlink" Target="https://www.sterlinglawyers.com/wisconsin/locations/west-bend/child-support-lawyers/" TargetMode="External"/><Relationship Id="rId670" Type="http://schemas.openxmlformats.org/officeDocument/2006/relationships/hyperlink" Target="https://www.sterlinglawyers.com/wisconsin/locations/west-bend/contested-divorce-lawyers/" TargetMode="External"/><Relationship Id="rId675" Type="http://schemas.openxmlformats.org/officeDocument/2006/relationships/hyperlink" Target="https://www.sterlinglawyers.com/wisconsin/child-support/paternity/" TargetMode="External"/><Relationship Id="rId674" Type="http://schemas.openxmlformats.org/officeDocument/2006/relationships/hyperlink" Target="https://www.sterlinglawyers.com/wisconsin/child-custody/50-50-orders/" TargetMode="External"/><Relationship Id="rId673" Type="http://schemas.openxmlformats.org/officeDocument/2006/relationships/hyperlink" Target="https://www.sterlinglawyers.com/wisconsin/property-division/is-wisconsin-a-5050-state/" TargetMode="External"/><Relationship Id="rId672" Type="http://schemas.openxmlformats.org/officeDocument/2006/relationships/hyperlink" Target="https://www.sterlinglawyers.com/wisconsin/locations/west-bend/paternity-lawyers/" TargetMode="External"/><Relationship Id="rId190" Type="http://schemas.openxmlformats.org/officeDocument/2006/relationships/hyperlink" Target="https://www.sterlinglawyers.com/illinois/areas/" TargetMode="External"/><Relationship Id="rId194" Type="http://schemas.openxmlformats.org/officeDocument/2006/relationships/hyperlink" Target="https://www.sterlinglawyers.com/wisconsin/spousal-support/" TargetMode="External"/><Relationship Id="rId193" Type="http://schemas.openxmlformats.org/officeDocument/2006/relationships/hyperlink" Target="https://www.sterlinglawyers.com/wisconsin/pricing/" TargetMode="External"/><Relationship Id="rId192" Type="http://schemas.openxmlformats.org/officeDocument/2006/relationships/hyperlink" Target="https://www.sterlinglawyers.com/wisconsin/child-custody/" TargetMode="External"/><Relationship Id="rId191" Type="http://schemas.openxmlformats.org/officeDocument/2006/relationships/hyperlink" Target="https://www.sterlinglawyers.com/illinois/locations/plainfield/divorce-mediation-lawyers/" TargetMode="External"/><Relationship Id="rId187" Type="http://schemas.openxmlformats.org/officeDocument/2006/relationships/hyperlink" Target="https://www.sterlinglawyers.com/illinois/child-custody/unfit-parent/" TargetMode="External"/><Relationship Id="rId186" Type="http://schemas.openxmlformats.org/officeDocument/2006/relationships/hyperlink" Target="https://www.sterlinglawyers.com/illinois/child-custody/paternity/" TargetMode="External"/><Relationship Id="rId185" Type="http://schemas.openxmlformats.org/officeDocument/2006/relationships/hyperlink" Target="https://www.sterlinglawyers.com/illinois/child-custody/sole-orders/" TargetMode="External"/><Relationship Id="rId184" Type="http://schemas.openxmlformats.org/officeDocument/2006/relationships/hyperlink" Target="https://www.sterlinglawyers.com/illinois/property-division/inheritance/" TargetMode="External"/><Relationship Id="rId189" Type="http://schemas.openxmlformats.org/officeDocument/2006/relationships/hyperlink" Target="https://www.sterlinglawyers.com/illinois/child-custody/laws/" TargetMode="External"/><Relationship Id="rId188" Type="http://schemas.openxmlformats.org/officeDocument/2006/relationships/hyperlink" Target="https://www.sterlinglawyers.com/illinois/child-custody/child-best-interests/" TargetMode="External"/><Relationship Id="rId183" Type="http://schemas.openxmlformats.org/officeDocument/2006/relationships/hyperlink" Target="https://www.sterlinglawyers.com/illinois/property-division/survivorship-marital-property/" TargetMode="External"/><Relationship Id="rId182" Type="http://schemas.openxmlformats.org/officeDocument/2006/relationships/hyperlink" Target="https://www.sterlinglawyers.com/illinois/property-division/debt/" TargetMode="External"/><Relationship Id="rId181" Type="http://schemas.openxmlformats.org/officeDocument/2006/relationships/hyperlink" Target="https://www.sterlinglawyers.com/illinois/property-division/hidden-assets/" TargetMode="External"/><Relationship Id="rId180" Type="http://schemas.openxmlformats.org/officeDocument/2006/relationships/hyperlink" Target="https://www.sterlinglawyers.com/illinois/property-division/retirement/" TargetMode="External"/><Relationship Id="rId176" Type="http://schemas.openxmlformats.org/officeDocument/2006/relationships/hyperlink" Target="https://www.sterlinglawyers.com/illinois/locations/evanston/paternity-lawyers/" TargetMode="External"/><Relationship Id="rId175" Type="http://schemas.openxmlformats.org/officeDocument/2006/relationships/hyperlink" Target="https://www.sterlinglawyers.com/illinois/locations/evanston/uncontested-divorce-lawyers/" TargetMode="External"/><Relationship Id="rId174" Type="http://schemas.openxmlformats.org/officeDocument/2006/relationships/hyperlink" Target="https://www.sterlinglawyers.com/illinois/locations/evanston/property-division-lawyers/" TargetMode="External"/><Relationship Id="rId173" Type="http://schemas.openxmlformats.org/officeDocument/2006/relationships/hyperlink" Target="https://www.sterlinglawyers.com/illinois/locations/evanston/military-divorce-lawyers/" TargetMode="External"/><Relationship Id="rId179" Type="http://schemas.openxmlformats.org/officeDocument/2006/relationships/hyperlink" Target="https://www.sterlinglawyers.com/illinois/property-division/gets-marital-house-divorce/" TargetMode="External"/><Relationship Id="rId178" Type="http://schemas.openxmlformats.org/officeDocument/2006/relationships/hyperlink" Target="https://www.sterlinglawyers.com/illinois/blog/take-charge-collaborative-divorce-evanston-lawyers/" TargetMode="External"/><Relationship Id="rId177" Type="http://schemas.openxmlformats.org/officeDocument/2006/relationships/hyperlink" Target="https://www.sterlinglawyers.com/illinois/locations/evanston/child-custody-lawyers/" TargetMode="External"/><Relationship Id="rId198" Type="http://schemas.openxmlformats.org/officeDocument/2006/relationships/hyperlink" Target="https://www.sterlinglawyers.com/wisconsin/locations/sheboygan/" TargetMode="External"/><Relationship Id="rId197" Type="http://schemas.openxmlformats.org/officeDocument/2006/relationships/hyperlink" Target="https://www.sterlinglawyers.com/wisconsin/locations/mequon/" TargetMode="External"/><Relationship Id="rId196" Type="http://schemas.openxmlformats.org/officeDocument/2006/relationships/hyperlink" Target="https://www.sterlinglawyers.com/wisconsin/divorce/" TargetMode="External"/><Relationship Id="rId195" Type="http://schemas.openxmlformats.org/officeDocument/2006/relationships/hyperlink" Target="https://www.sterlinglawyers.com/wisconsin/blog/" TargetMode="External"/><Relationship Id="rId199" Type="http://schemas.openxmlformats.org/officeDocument/2006/relationships/hyperlink" Target="https://www.sterlinglawyers.com/wisconsin/locations/green-bay/" TargetMode="External"/><Relationship Id="rId150" Type="http://schemas.openxmlformats.org/officeDocument/2006/relationships/hyperlink" Target="https://www.sterlinglawyers.com/illinois/divorce/cost/" TargetMode="External"/><Relationship Id="rId149" Type="http://schemas.openxmlformats.org/officeDocument/2006/relationships/hyperlink" Target="https://www.sterlinglawyers.com/illinois/locations/naperville/property-division-lawyers/" TargetMode="External"/><Relationship Id="rId148" Type="http://schemas.openxmlformats.org/officeDocument/2006/relationships/hyperlink" Target="https://www.sterlinglawyers.com/illinois/locations/naperville/contested-divorce-lawyers/" TargetMode="External"/><Relationship Id="rId143" Type="http://schemas.openxmlformats.org/officeDocument/2006/relationships/hyperlink" Target="https://www.sterlinglawyers.com/illinois/divorce/adultery-laws/" TargetMode="External"/><Relationship Id="rId142" Type="http://schemas.openxmlformats.org/officeDocument/2006/relationships/hyperlink" Target="https://www.sterlinglawyers.com/illinois/divorce/file-for-divorce/" TargetMode="External"/><Relationship Id="rId141" Type="http://schemas.openxmlformats.org/officeDocument/2006/relationships/hyperlink" Target="https://www.sterlinglawyers.com/illinois/property-division/splitting-assets-divorce/" TargetMode="External"/><Relationship Id="rId140" Type="http://schemas.openxmlformats.org/officeDocument/2006/relationships/hyperlink" Target="https://www.sterlinglawyers.com/illinois/divorce/how-long-divorce-illinois/" TargetMode="External"/><Relationship Id="rId147" Type="http://schemas.openxmlformats.org/officeDocument/2006/relationships/hyperlink" Target="https://www.sterlinglawyers.com/illinois/locations/naperville/alimony-lawyers/" TargetMode="External"/><Relationship Id="rId146" Type="http://schemas.openxmlformats.org/officeDocument/2006/relationships/hyperlink" Target="https://www.sterlinglawyers.com/illinois/locations/naperville/collaborative-divorce-lawyers/" TargetMode="External"/><Relationship Id="rId145" Type="http://schemas.openxmlformats.org/officeDocument/2006/relationships/hyperlink" Target="https://www.sterlinglawyers.com/cdn-cgi/l/email-protection" TargetMode="External"/><Relationship Id="rId144" Type="http://schemas.openxmlformats.org/officeDocument/2006/relationships/hyperlink" Target="https://www.sterlinglawyers.com/illinois/blog/turning-tides-child-custody-battles-hoffman-estates-attorney/" TargetMode="External"/><Relationship Id="rId139" Type="http://schemas.openxmlformats.org/officeDocument/2006/relationships/hyperlink" Target="https://www.sterlinglawyers.com/events/" TargetMode="External"/><Relationship Id="rId138" Type="http://schemas.openxmlformats.org/officeDocument/2006/relationships/hyperlink" Target="https://www.sterlinglawyers.com/divorce/what-is-divorce-mediation/" TargetMode="External"/><Relationship Id="rId137" Type="http://schemas.openxmlformats.org/officeDocument/2006/relationships/hyperlink" Target="https://www.sterlinglawyers.com/property-division/worksheet/" TargetMode="External"/><Relationship Id="rId132" Type="http://schemas.openxmlformats.org/officeDocument/2006/relationships/hyperlink" Target="https://www.sterlinglawyers.com/wisconsin/locations/milwaukee/" TargetMode="External"/><Relationship Id="rId131" Type="http://schemas.openxmlformats.org/officeDocument/2006/relationships/hyperlink" Target="https://www.sterlinglawyers.com/wisconsin/locations/appleton/" TargetMode="External"/><Relationship Id="rId130" Type="http://schemas.openxmlformats.org/officeDocument/2006/relationships/hyperlink" Target="https://www.sterlinglawyers.com/divorce/common-law-marriage-states/" TargetMode="External"/><Relationship Id="rId136" Type="http://schemas.openxmlformats.org/officeDocument/2006/relationships/hyperlink" Target="https://www.sterlinglawyers.com/divorce/" TargetMode="External"/><Relationship Id="rId135" Type="http://schemas.openxmlformats.org/officeDocument/2006/relationships/hyperlink" Target="https://www.sterlinglawyers.com/" TargetMode="External"/><Relationship Id="rId134" Type="http://schemas.openxmlformats.org/officeDocument/2006/relationships/hyperlink" Target="https://www.sterlinglawyers.com/wisconsin/reviews/" TargetMode="External"/><Relationship Id="rId133" Type="http://schemas.openxmlformats.org/officeDocument/2006/relationships/hyperlink" Target="https://www.sterlinglawyers.com/illinois/attorneys/alexandra-isroff/reviews/page/3/" TargetMode="External"/><Relationship Id="rId172" Type="http://schemas.openxmlformats.org/officeDocument/2006/relationships/hyperlink" Target="https://www.sterlinglawyers.com/illinois/locations/evanston/child-support-lawyers/" TargetMode="External"/><Relationship Id="rId171" Type="http://schemas.openxmlformats.org/officeDocument/2006/relationships/hyperlink" Target="https://www.sterlinglawyers.com/illinois/locations/evanston/alimony-lawyers/" TargetMode="External"/><Relationship Id="rId170" Type="http://schemas.openxmlformats.org/officeDocument/2006/relationships/hyperlink" Target="https://www.sterlinglawyers.com/illinois/locations/evanston/contested-divorce-lawyers/" TargetMode="External"/><Relationship Id="rId165" Type="http://schemas.openxmlformats.org/officeDocument/2006/relationships/hyperlink" Target="https://www.sterlinglawyers.com/illinois/child-custody/enforce-orders/" TargetMode="External"/><Relationship Id="rId164" Type="http://schemas.openxmlformats.org/officeDocument/2006/relationships/hyperlink" Target="https://www.sterlinglawyers.com/illinois/child-custody/guardian-ad-litem/" TargetMode="External"/><Relationship Id="rId163" Type="http://schemas.openxmlformats.org/officeDocument/2006/relationships/hyperlink" Target="https://www.sterlinglawyers.com/illinois/child-custody/custody-process/" TargetMode="External"/><Relationship Id="rId162" Type="http://schemas.openxmlformats.org/officeDocument/2006/relationships/hyperlink" Target="https://www.sterlinglawyers.com/illinois/child-custody/name-change/" TargetMode="External"/><Relationship Id="rId169" Type="http://schemas.openxmlformats.org/officeDocument/2006/relationships/hyperlink" Target="https://www.sterlinglawyers.com/illinois/locations/evanston/collaborative-divorce-lawyers/" TargetMode="External"/><Relationship Id="rId168" Type="http://schemas.openxmlformats.org/officeDocument/2006/relationships/hyperlink" Target="https://www.sterlinglawyers.com/illinois/locations/evanston/divorce-mediation-lawyers/" TargetMode="External"/><Relationship Id="rId167" Type="http://schemas.openxmlformats.org/officeDocument/2006/relationships/hyperlink" Target="https://www.sterlinglawyers.com/reviews/page/230/" TargetMode="External"/><Relationship Id="rId166" Type="http://schemas.openxmlformats.org/officeDocument/2006/relationships/hyperlink" Target="https://www.sterlinglawyers.com/reviews/page/3/" TargetMode="External"/><Relationship Id="rId161" Type="http://schemas.openxmlformats.org/officeDocument/2006/relationships/hyperlink" Target="https://www.sterlinglawyers.com/illinois/attorneys/katie-vandeusen/reviews/page/2/" TargetMode="External"/><Relationship Id="rId160" Type="http://schemas.openxmlformats.org/officeDocument/2006/relationships/hyperlink" Target="https://www.sterlinglawyers.com/illinois/attorneys/katie-vandeusen/reviews/page/3/" TargetMode="External"/><Relationship Id="rId159" Type="http://schemas.openxmlformats.org/officeDocument/2006/relationships/hyperlink" Target="https://www.sterlinglawyers.com/illinois/attorneys/katie-vandeusen/reviews/page/30/" TargetMode="External"/><Relationship Id="rId154" Type="http://schemas.openxmlformats.org/officeDocument/2006/relationships/hyperlink" Target="https://www.sterlinglawyers.com/illinois/locations/naperville/divorce-mediation-lawyers/" TargetMode="External"/><Relationship Id="rId153" Type="http://schemas.openxmlformats.org/officeDocument/2006/relationships/hyperlink" Target="https://www.sterlinglawyers.com/illinois/divorce/collaborative/" TargetMode="External"/><Relationship Id="rId152" Type="http://schemas.openxmlformats.org/officeDocument/2006/relationships/hyperlink" Target="https://www.sterlinglawyers.com/illinois/locations/naperville/child-custody-lawyers/" TargetMode="External"/><Relationship Id="rId151" Type="http://schemas.openxmlformats.org/officeDocument/2006/relationships/hyperlink" Target="https://www.sterlinglawyers.com/illinois/divorce/order-of-protection/" TargetMode="External"/><Relationship Id="rId158" Type="http://schemas.openxmlformats.org/officeDocument/2006/relationships/hyperlink" Target="https://www.sterlinglawyers.com/illinois/locations/naperville/uncontested-divorce-lawyers/" TargetMode="External"/><Relationship Id="rId157" Type="http://schemas.openxmlformats.org/officeDocument/2006/relationships/hyperlink" Target="https://www.sterlinglawyers.com/illinois/locations/naperville/paternity-lawyers/" TargetMode="External"/><Relationship Id="rId156" Type="http://schemas.openxmlformats.org/officeDocument/2006/relationships/hyperlink" Target="https://www.sterlinglawyers.com/illinois/locations/naperville/military-divorce-lawyers/" TargetMode="External"/><Relationship Id="rId155" Type="http://schemas.openxmlformats.org/officeDocument/2006/relationships/hyperlink" Target="https://www.sterlinglawyers.com/illinois/locations/naperville/child-support-lawyers/" TargetMode="External"/><Relationship Id="rId2820" Type="http://schemas.openxmlformats.org/officeDocument/2006/relationships/hyperlink" Target="https://www.sterlinglawyers.com/reviews/page/172/" TargetMode="External"/><Relationship Id="rId2821" Type="http://schemas.openxmlformats.org/officeDocument/2006/relationships/hyperlink" Target="https://www.sterlinglawyers.com/reviews/page/173/" TargetMode="External"/><Relationship Id="rId2822" Type="http://schemas.openxmlformats.org/officeDocument/2006/relationships/hyperlink" Target="https://www.sterlinglawyers.com/wisconsin/reviews/page/58/" TargetMode="External"/><Relationship Id="rId2823" Type="http://schemas.openxmlformats.org/officeDocument/2006/relationships/hyperlink" Target="https://www.sterlinglawyers.com/wisconsin/reviews/page/177/" TargetMode="External"/><Relationship Id="rId2824" Type="http://schemas.openxmlformats.org/officeDocument/2006/relationships/hyperlink" Target="https://www.sterlinglawyers.com/reviews/page/171/" TargetMode="External"/><Relationship Id="rId2825" Type="http://schemas.openxmlformats.org/officeDocument/2006/relationships/hyperlink" Target="https://www.sterlinglawyers.com/wisconsin/reviews/page/60/" TargetMode="External"/><Relationship Id="rId2826" Type="http://schemas.openxmlformats.org/officeDocument/2006/relationships/hyperlink" Target="https://www.sterlinglawyers.com/wisconsin/reviews/page/173/" TargetMode="External"/><Relationship Id="rId2827" Type="http://schemas.openxmlformats.org/officeDocument/2006/relationships/hyperlink" Target="https://www.sterlinglawyers.com/reviews/page/170/" TargetMode="External"/><Relationship Id="rId2828" Type="http://schemas.openxmlformats.org/officeDocument/2006/relationships/hyperlink" Target="https://www.sterlinglawyers.com/wisconsin/reviews/page/172/" TargetMode="External"/><Relationship Id="rId2829" Type="http://schemas.openxmlformats.org/officeDocument/2006/relationships/hyperlink" Target="https://www.sterlinglawyers.com/wisconsin/reviews/page/171/" TargetMode="External"/><Relationship Id="rId2810" Type="http://schemas.openxmlformats.org/officeDocument/2006/relationships/hyperlink" Target="https://www.sterlinglawyers.com/illinois/reviews/page/173/" TargetMode="External"/><Relationship Id="rId2811" Type="http://schemas.openxmlformats.org/officeDocument/2006/relationships/hyperlink" Target="https://www.sterlinglawyers.com/wisconsin/reviews/page/180/" TargetMode="External"/><Relationship Id="rId2812" Type="http://schemas.openxmlformats.org/officeDocument/2006/relationships/hyperlink" Target="https://www.sterlinglawyers.com/illinois/reviews/page/172/" TargetMode="External"/><Relationship Id="rId2813" Type="http://schemas.openxmlformats.org/officeDocument/2006/relationships/hyperlink" Target="https://www.sterlinglawyers.com/illinois/reviews/page/171/" TargetMode="External"/><Relationship Id="rId2814" Type="http://schemas.openxmlformats.org/officeDocument/2006/relationships/hyperlink" Target="https://www.sterlinglawyers.com/reviews/page/61/" TargetMode="External"/><Relationship Id="rId2815" Type="http://schemas.openxmlformats.org/officeDocument/2006/relationships/hyperlink" Target="https://www.sterlinglawyers.com/illinois/reviews/page/61/" TargetMode="External"/><Relationship Id="rId2816" Type="http://schemas.openxmlformats.org/officeDocument/2006/relationships/hyperlink" Target="https://www.sterlinglawyers.com/reviews/page/60/" TargetMode="External"/><Relationship Id="rId2817" Type="http://schemas.openxmlformats.org/officeDocument/2006/relationships/hyperlink" Target="https://www.sterlinglawyers.com/illinois/reviews/page/60/" TargetMode="External"/><Relationship Id="rId2818" Type="http://schemas.openxmlformats.org/officeDocument/2006/relationships/hyperlink" Target="https://www.sterlinglawyers.com/wisconsin/reviews/page/174/" TargetMode="External"/><Relationship Id="rId2819" Type="http://schemas.openxmlformats.org/officeDocument/2006/relationships/hyperlink" Target="https://www.sterlinglawyers.com/wisconsin/reviews/page/175/" TargetMode="External"/><Relationship Id="rId1510" Type="http://schemas.openxmlformats.org/officeDocument/2006/relationships/hyperlink" Target="https://www.sterlinglawyers.com/wisconsin/attorneys/jeff-hughes/reviews/page/" TargetMode="External"/><Relationship Id="rId2841" Type="http://schemas.openxmlformats.org/officeDocument/2006/relationships/hyperlink" Target="https://www.sterlinglawyers.com/illinois/reviews/page/64/" TargetMode="External"/><Relationship Id="rId1511" Type="http://schemas.openxmlformats.org/officeDocument/2006/relationships/hyperlink" Target="https://www.sterlinglawyers.com/illinois/attorneys/jeff-hughes/reviews/page/8/" TargetMode="External"/><Relationship Id="rId2842" Type="http://schemas.openxmlformats.org/officeDocument/2006/relationships/hyperlink" Target="https://www.sterlinglawyers.com/wisconsin/reviews/page/169/" TargetMode="External"/><Relationship Id="rId1512" Type="http://schemas.openxmlformats.org/officeDocument/2006/relationships/hyperlink" Target="https://www.sterlinglawyers.com/illinois/attorneys/jacqueline-mcclellan/reviews/page/9/" TargetMode="External"/><Relationship Id="rId2843" Type="http://schemas.openxmlformats.org/officeDocument/2006/relationships/hyperlink" Target="https://www.sterlinglawyers.com/reviews/page/168/" TargetMode="External"/><Relationship Id="rId1513" Type="http://schemas.openxmlformats.org/officeDocument/2006/relationships/hyperlink" Target="https://www.sterlinglawyers.com/illinois/attorneys/ryan-shope/reviews/page/9/" TargetMode="External"/><Relationship Id="rId2844" Type="http://schemas.openxmlformats.org/officeDocument/2006/relationships/hyperlink" Target="https://www.sterlinglawyers.com/wisconsin/reviews/page/170/" TargetMode="External"/><Relationship Id="rId1514" Type="http://schemas.openxmlformats.org/officeDocument/2006/relationships/hyperlink" Target="https://www.sterlinglawyers.com/illinois/attorneys/ryan-shope/reviews/page/10/" TargetMode="External"/><Relationship Id="rId2845" Type="http://schemas.openxmlformats.org/officeDocument/2006/relationships/hyperlink" Target="https://www.sterlinglawyers.com/wisconsin/reviews/page/61/" TargetMode="External"/><Relationship Id="rId1515" Type="http://schemas.openxmlformats.org/officeDocument/2006/relationships/hyperlink" Target="https://www.sterlinglawyers.com/wisconsin/divorce/fact-gathering-divorce/" TargetMode="External"/><Relationship Id="rId2846" Type="http://schemas.openxmlformats.org/officeDocument/2006/relationships/hyperlink" Target="https://www.sterlinglawyers.com/reviews/page/169/" TargetMode="External"/><Relationship Id="rId1516" Type="http://schemas.openxmlformats.org/officeDocument/2006/relationships/hyperlink" Target="https://www.sterlinglawyers.com/illinois/attorneys/ryan-shope/reviews/page/8/" TargetMode="External"/><Relationship Id="rId2847" Type="http://schemas.openxmlformats.org/officeDocument/2006/relationships/hyperlink" Target="https://www.sterlinglawyers.com/wisconsin/reviews/page/62/" TargetMode="External"/><Relationship Id="rId1517" Type="http://schemas.openxmlformats.org/officeDocument/2006/relationships/hyperlink" Target="https://www.sterlinglawyers.com/illinois/attorneys/ryan-shope/reviews/page/11/" TargetMode="External"/><Relationship Id="rId2848" Type="http://schemas.openxmlformats.org/officeDocument/2006/relationships/hyperlink" Target="https://www.sterlinglawyers.com/wisconsin/reviews/page/63/" TargetMode="External"/><Relationship Id="rId1518" Type="http://schemas.openxmlformats.org/officeDocument/2006/relationships/hyperlink" Target="https://www.sterlinglawyers.com/illinois/attorneys/jacqueline-mcclellan/reviews/page/8/" TargetMode="External"/><Relationship Id="rId2849" Type="http://schemas.openxmlformats.org/officeDocument/2006/relationships/hyperlink" Target="https://www.sterlinglawyers.com/wisconsin/reviews/page/64/" TargetMode="External"/><Relationship Id="rId1519" Type="http://schemas.openxmlformats.org/officeDocument/2006/relationships/hyperlink" Target="https://www.sterlinglawyers.com/wisconsin/dirty-divorce-tricks/sneaky-investments/" TargetMode="External"/><Relationship Id="rId2840" Type="http://schemas.openxmlformats.org/officeDocument/2006/relationships/hyperlink" Target="https://www.sterlinglawyers.com/illinois/reviews/page/168/" TargetMode="External"/><Relationship Id="rId2830" Type="http://schemas.openxmlformats.org/officeDocument/2006/relationships/hyperlink" Target="https://www.sterlinglawyers.com/illinois/reviews/page/62/" TargetMode="External"/><Relationship Id="rId1500" Type="http://schemas.openxmlformats.org/officeDocument/2006/relationships/hyperlink" Target="https://www.sterlinglawyers.com/wisconsin/attorneys/bailey-holt/reviews/page/4/" TargetMode="External"/><Relationship Id="rId2831" Type="http://schemas.openxmlformats.org/officeDocument/2006/relationships/hyperlink" Target="https://www.sterlinglawyers.com/illinois/reviews/page/63/" TargetMode="External"/><Relationship Id="rId1501" Type="http://schemas.openxmlformats.org/officeDocument/2006/relationships/hyperlink" Target="https://www.sterlinglawyers.com/wisconsin/attorneys/bailey-holt/reviews/page/" TargetMode="External"/><Relationship Id="rId2832" Type="http://schemas.openxmlformats.org/officeDocument/2006/relationships/hyperlink" Target="https://www.sterlinglawyers.com/reviews/page/62/" TargetMode="External"/><Relationship Id="rId1502" Type="http://schemas.openxmlformats.org/officeDocument/2006/relationships/hyperlink" Target="https://www.sterlinglawyers.com/wisconsin/attorneys/ellen-rhodeman/reviews/page/4/" TargetMode="External"/><Relationship Id="rId2833" Type="http://schemas.openxmlformats.org/officeDocument/2006/relationships/hyperlink" Target="https://www.sterlinglawyers.com/illinois/reviews/page/56/" TargetMode="External"/><Relationship Id="rId1503" Type="http://schemas.openxmlformats.org/officeDocument/2006/relationships/hyperlink" Target="https://www.sterlinglawyers.com/wisconsin/attorneys/ellen-rhodeman/reviews/page/" TargetMode="External"/><Relationship Id="rId2834" Type="http://schemas.openxmlformats.org/officeDocument/2006/relationships/hyperlink" Target="https://www.sterlinglawyers.com/reviews/page/63/" TargetMode="External"/><Relationship Id="rId1504" Type="http://schemas.openxmlformats.org/officeDocument/2006/relationships/hyperlink" Target="https://www.sterlinglawyers.com/wisconsin/attorneys/jeff-hughes/reviews/page/5/" TargetMode="External"/><Relationship Id="rId2835" Type="http://schemas.openxmlformats.org/officeDocument/2006/relationships/hyperlink" Target="https://www.sterlinglawyers.com/illinois/reviews/page/169/" TargetMode="External"/><Relationship Id="rId1505" Type="http://schemas.openxmlformats.org/officeDocument/2006/relationships/hyperlink" Target="https://www.sterlinglawyers.com/wisconsin/attorneys/ellen-rhodeman/reviews/page/5/" TargetMode="External"/><Relationship Id="rId2836" Type="http://schemas.openxmlformats.org/officeDocument/2006/relationships/hyperlink" Target="https://www.sterlinglawyers.com/reviews/page/64/" TargetMode="External"/><Relationship Id="rId1506" Type="http://schemas.openxmlformats.org/officeDocument/2006/relationships/hyperlink" Target="https://www.sterlinglawyers.com/wisconsin/attorneys/jeff-hughes/reviews/page/4/" TargetMode="External"/><Relationship Id="rId2837" Type="http://schemas.openxmlformats.org/officeDocument/2006/relationships/hyperlink" Target="https://www.sterlinglawyers.com/illinois/reviews/page/170/" TargetMode="External"/><Relationship Id="rId1507" Type="http://schemas.openxmlformats.org/officeDocument/2006/relationships/hyperlink" Target="https://www.sterlinglawyers.com/wisconsin/attorneys/jeff-hughes/reviews/page/12/" TargetMode="External"/><Relationship Id="rId2838" Type="http://schemas.openxmlformats.org/officeDocument/2006/relationships/hyperlink" Target="https://www.sterlinglawyers.com/illinois/reviews/page/167/" TargetMode="External"/><Relationship Id="rId1508" Type="http://schemas.openxmlformats.org/officeDocument/2006/relationships/hyperlink" Target="https://www.sterlinglawyers.com/wisconsin/attorneys/jeff-hughes/reviews/page/11/" TargetMode="External"/><Relationship Id="rId2839" Type="http://schemas.openxmlformats.org/officeDocument/2006/relationships/hyperlink" Target="https://www.sterlinglawyers.com/reviews/page/65/" TargetMode="External"/><Relationship Id="rId1509" Type="http://schemas.openxmlformats.org/officeDocument/2006/relationships/hyperlink" Target="https://www.sterlinglawyers.com/illinois/attorneys/alexandra-isroff/reviews/page/37/" TargetMode="External"/><Relationship Id="rId2800" Type="http://schemas.openxmlformats.org/officeDocument/2006/relationships/hyperlink" Target="https://www.sterlinglawyers.com/reviews/page/175/" TargetMode="External"/><Relationship Id="rId2801" Type="http://schemas.openxmlformats.org/officeDocument/2006/relationships/hyperlink" Target="https://www.sterlinglawyers.com/illinois/reviews/page/53/" TargetMode="External"/><Relationship Id="rId2802" Type="http://schemas.openxmlformats.org/officeDocument/2006/relationships/hyperlink" Target="https://www.sterlinglawyers.com/reviews/page/174/" TargetMode="External"/><Relationship Id="rId2803" Type="http://schemas.openxmlformats.org/officeDocument/2006/relationships/hyperlink" Target="https://www.sterlinglawyers.com/illinois/reviews/page/57/" TargetMode="External"/><Relationship Id="rId2804" Type="http://schemas.openxmlformats.org/officeDocument/2006/relationships/hyperlink" Target="https://www.sterlinglawyers.com/wisconsin/reviews/page/176/" TargetMode="External"/><Relationship Id="rId2805" Type="http://schemas.openxmlformats.org/officeDocument/2006/relationships/hyperlink" Target="https://www.sterlinglawyers.com/illinois/reviews/page/58/" TargetMode="External"/><Relationship Id="rId2806" Type="http://schemas.openxmlformats.org/officeDocument/2006/relationships/hyperlink" Target="https://www.sterlinglawyers.com/illinois/reviews/page/59/" TargetMode="External"/><Relationship Id="rId2807" Type="http://schemas.openxmlformats.org/officeDocument/2006/relationships/hyperlink" Target="https://www.sterlinglawyers.com/reviews/page/58/" TargetMode="External"/><Relationship Id="rId2808" Type="http://schemas.openxmlformats.org/officeDocument/2006/relationships/hyperlink" Target="https://www.sterlinglawyers.com/reviews/page/59/" TargetMode="External"/><Relationship Id="rId2809" Type="http://schemas.openxmlformats.org/officeDocument/2006/relationships/hyperlink" Target="https://www.sterlinglawyers.com/illinois/reviews/page/174/" TargetMode="External"/><Relationship Id="rId1576" Type="http://schemas.openxmlformats.org/officeDocument/2006/relationships/hyperlink" Target="https://www.sterlinglawyers.com/wisconsin/areas/fond-du-lac-county/fond-du-lac/" TargetMode="External"/><Relationship Id="rId1577" Type="http://schemas.openxmlformats.org/officeDocument/2006/relationships/hyperlink" Target="https://www.sterlinglawyers.com/maps-milwaukee-area" TargetMode="External"/><Relationship Id="rId1578" Type="http://schemas.openxmlformats.org/officeDocument/2006/relationships/hyperlink" Target="https://www.sterlinglawyers.com/maps-madison-area" TargetMode="External"/><Relationship Id="rId1579" Type="http://schemas.openxmlformats.org/officeDocument/2006/relationships/hyperlink" Target="https://www.sterlinglawyers.com/directions-menomonee-falls-wisconsin" TargetMode="External"/><Relationship Id="rId987" Type="http://schemas.openxmlformats.org/officeDocument/2006/relationships/hyperlink" Target="https://www.sterlinglawyers.com/wisconsin/areas/walworth-county/lake-geneva/" TargetMode="External"/><Relationship Id="rId986" Type="http://schemas.openxmlformats.org/officeDocument/2006/relationships/hyperlink" Target="https://www.sterlinglawyers.com/wisconsin/areas/shawano-county/" TargetMode="External"/><Relationship Id="rId985" Type="http://schemas.openxmlformats.org/officeDocument/2006/relationships/hyperlink" Target="https://www.sterlinglawyers.com/wisconsin/areas/outagamie-county/freedom/" TargetMode="External"/><Relationship Id="rId984" Type="http://schemas.openxmlformats.org/officeDocument/2006/relationships/hyperlink" Target="https://www.sterlinglawyers.com/wisconsin/areas/dunn-county/" TargetMode="External"/><Relationship Id="rId989" Type="http://schemas.openxmlformats.org/officeDocument/2006/relationships/hyperlink" Target="https://www.sterlinglawyers.com/wisconsin/areas/burnett-county/" TargetMode="External"/><Relationship Id="rId988" Type="http://schemas.openxmlformats.org/officeDocument/2006/relationships/hyperlink" Target="https://www.sterlinglawyers.com/wisconsin/areas/wood-county/" TargetMode="External"/><Relationship Id="rId1570" Type="http://schemas.openxmlformats.org/officeDocument/2006/relationships/hyperlink" Target="https://www.sterlinglawyers.com/wisconsin/areas/dodge-county/beaver-dam/" TargetMode="External"/><Relationship Id="rId1571" Type="http://schemas.openxmlformats.org/officeDocument/2006/relationships/hyperlink" Target="https://www.sterlinglawyers.com/directions-madison-wisconsin" TargetMode="External"/><Relationship Id="rId983" Type="http://schemas.openxmlformats.org/officeDocument/2006/relationships/hyperlink" Target="https://www.sterlinglawyers.com/wisconsin/areas/marathon-county/marshfield/" TargetMode="External"/><Relationship Id="rId1572" Type="http://schemas.openxmlformats.org/officeDocument/2006/relationships/hyperlink" Target="https://www.sterlinglawyers.com/wisconsin/areas/jefferson-county/jefferson/" TargetMode="External"/><Relationship Id="rId982" Type="http://schemas.openxmlformats.org/officeDocument/2006/relationships/hyperlink" Target="https://www.sterlinglawyers.com/wisconsin/areas/oconto-county/" TargetMode="External"/><Relationship Id="rId1573" Type="http://schemas.openxmlformats.org/officeDocument/2006/relationships/hyperlink" Target="https://www.sterlinglawyers.com/directions-jefferson-wisconsin" TargetMode="External"/><Relationship Id="rId981" Type="http://schemas.openxmlformats.org/officeDocument/2006/relationships/hyperlink" Target="https://www.sterlinglawyers.com/wisconsin/areas/dodge-county/waupun/" TargetMode="External"/><Relationship Id="rId1574" Type="http://schemas.openxmlformats.org/officeDocument/2006/relationships/hyperlink" Target="https://www.sterlinglawyers.com/wisconsin/areas/douglas-county/Superior/" TargetMode="External"/><Relationship Id="rId980" Type="http://schemas.openxmlformats.org/officeDocument/2006/relationships/hyperlink" Target="https://www.sterlinglawyers.com/wisconsin/areas/lincoln-county/" TargetMode="External"/><Relationship Id="rId1575" Type="http://schemas.openxmlformats.org/officeDocument/2006/relationships/hyperlink" Target="https://www.sterlinglawyers.com/wisconsin/areas/barron-county/Rice-Lake/" TargetMode="External"/><Relationship Id="rId1565" Type="http://schemas.openxmlformats.org/officeDocument/2006/relationships/hyperlink" Target="https://www.sterlinglawyers.com/wisconsin/blog/journey-of-dedicated-child-custody-lawyer-in-ozaukee-county/" TargetMode="External"/><Relationship Id="rId2896" Type="http://schemas.openxmlformats.org/officeDocument/2006/relationships/hyperlink" Target="https://www.sterlinglawyers.com/wisconsin/reviews/page/160/" TargetMode="External"/><Relationship Id="rId1566" Type="http://schemas.openxmlformats.org/officeDocument/2006/relationships/hyperlink" Target="https://www.sterlinglawyers.com/wisconsin/blog/forging-new-future-spousal-support-milwaukee/" TargetMode="External"/><Relationship Id="rId2897" Type="http://schemas.openxmlformats.org/officeDocument/2006/relationships/hyperlink" Target="https://www.sterlinglawyers.com/wisconsin/reviews/page/159/" TargetMode="External"/><Relationship Id="rId1567" Type="http://schemas.openxmlformats.org/officeDocument/2006/relationships/hyperlink" Target="https://www.sterlinglawyers.com/wisconsin/blog/child-support-advocacy-guide-middleton-lawyers/" TargetMode="External"/><Relationship Id="rId2898" Type="http://schemas.openxmlformats.org/officeDocument/2006/relationships/hyperlink" Target="https://www.sterlinglawyers.com/illinois/reviews/page/162/" TargetMode="External"/><Relationship Id="rId1568" Type="http://schemas.openxmlformats.org/officeDocument/2006/relationships/hyperlink" Target="https://www.sterlinglawyers.com/wisconsin/blog/securing-stability-amidst-uncertainty-racine-spousal-support-lawyers/" TargetMode="External"/><Relationship Id="rId2899" Type="http://schemas.openxmlformats.org/officeDocument/2006/relationships/hyperlink" Target="https://www.sterlinglawyers.com/illinois/reviews/page/74/" TargetMode="External"/><Relationship Id="rId1569" Type="http://schemas.openxmlformats.org/officeDocument/2006/relationships/hyperlink" Target="https://www.sterlinglawyers.com/wisconsin/blog/striving-for-equitable-child-support-baraboo/" TargetMode="External"/><Relationship Id="rId976" Type="http://schemas.openxmlformats.org/officeDocument/2006/relationships/hyperlink" Target="https://www.sterlinglawyers.com/wisconsin/areas/langlade-county/" TargetMode="External"/><Relationship Id="rId975" Type="http://schemas.openxmlformats.org/officeDocument/2006/relationships/hyperlink" Target="https://www.sterlinglawyers.com/wisconsin/areas/brown-county/suamico/" TargetMode="External"/><Relationship Id="rId974" Type="http://schemas.openxmlformats.org/officeDocument/2006/relationships/hyperlink" Target="https://www.sterlinglawyers.com/wisconsin/areas/columbia-county/" TargetMode="External"/><Relationship Id="rId973" Type="http://schemas.openxmlformats.org/officeDocument/2006/relationships/hyperlink" Target="https://www.sterlinglawyers.com/wisconsin/areas/waupaca-county/new-london/" TargetMode="External"/><Relationship Id="rId979" Type="http://schemas.openxmlformats.org/officeDocument/2006/relationships/hyperlink" Target="https://www.sterlinglawyers.com/wisconsin/areas/columbia-county/portage/" TargetMode="External"/><Relationship Id="rId978" Type="http://schemas.openxmlformats.org/officeDocument/2006/relationships/hyperlink" Target="https://www.sterlinglawyers.com/wisconsin/areas/winnebago-county/neenah/" TargetMode="External"/><Relationship Id="rId977" Type="http://schemas.openxmlformats.org/officeDocument/2006/relationships/hyperlink" Target="https://www.sterlinglawyers.com/wisconsin/areas/la-crosse-county/holmen/" TargetMode="External"/><Relationship Id="rId2890" Type="http://schemas.openxmlformats.org/officeDocument/2006/relationships/hyperlink" Target="https://www.sterlinglawyers.com/illinois/reviews/page/72/" TargetMode="External"/><Relationship Id="rId1560" Type="http://schemas.openxmlformats.org/officeDocument/2006/relationships/hyperlink" Target="https://www.sterlinglawyers.com/wisconsin/blog/shaping-future-with-fond-du-lac-military-divorce-lawyers/" TargetMode="External"/><Relationship Id="rId2891" Type="http://schemas.openxmlformats.org/officeDocument/2006/relationships/hyperlink" Target="https://www.sterlinglawyers.com/wisconsin/reviews/page/161/" TargetMode="External"/><Relationship Id="rId972" Type="http://schemas.openxmlformats.org/officeDocument/2006/relationships/hyperlink" Target="https://www.sterlinglawyers.com/wisconsin/areas/milwaukee-county/shorewood/" TargetMode="External"/><Relationship Id="rId1561" Type="http://schemas.openxmlformats.org/officeDocument/2006/relationships/hyperlink" Target="https://www.sterlinglawyers.com/wisconsin/blog/why-parents-need-attorney-beaver-dam-child-custody-case/" TargetMode="External"/><Relationship Id="rId2892" Type="http://schemas.openxmlformats.org/officeDocument/2006/relationships/hyperlink" Target="https://www.sterlinglawyers.com/wisconsin/reviews/page/70/" TargetMode="External"/><Relationship Id="rId971" Type="http://schemas.openxmlformats.org/officeDocument/2006/relationships/hyperlink" Target="https://www.sterlinglawyers.com/wisconsin/areas/marquette-county/" TargetMode="External"/><Relationship Id="rId1562" Type="http://schemas.openxmlformats.org/officeDocument/2006/relationships/hyperlink" Target="https://www.sterlinglawyers.com/wisconsin/blog/sheboygan-lawyers-illuminate-path-military-divorce/" TargetMode="External"/><Relationship Id="rId2893" Type="http://schemas.openxmlformats.org/officeDocument/2006/relationships/hyperlink" Target="https://www.sterlinglawyers.com/reviews/page/160/" TargetMode="External"/><Relationship Id="rId970" Type="http://schemas.openxmlformats.org/officeDocument/2006/relationships/hyperlink" Target="https://www.sterlinglawyers.com/wisconsin/areas/milwaukee-county/glendale/" TargetMode="External"/><Relationship Id="rId1563" Type="http://schemas.openxmlformats.org/officeDocument/2006/relationships/hyperlink" Target="https://www.sterlinglawyers.com/wisconsin/blog/legal-insights-property-division-families-baraboo/" TargetMode="External"/><Relationship Id="rId2894" Type="http://schemas.openxmlformats.org/officeDocument/2006/relationships/hyperlink" Target="https://www.sterlinglawyers.com/reviews/page/159/" TargetMode="External"/><Relationship Id="rId1564" Type="http://schemas.openxmlformats.org/officeDocument/2006/relationships/hyperlink" Target="https://www.sterlinglawyers.com/wisconsin/blog/solving-puzzle-uncontested-divorce-beaver-dam-attorneys/" TargetMode="External"/><Relationship Id="rId2895" Type="http://schemas.openxmlformats.org/officeDocument/2006/relationships/hyperlink" Target="https://www.sterlinglawyers.com/wisconsin/reviews/page/162/" TargetMode="External"/><Relationship Id="rId1598" Type="http://schemas.openxmlformats.org/officeDocument/2006/relationships/hyperlink" Target="https://www.sterlinglawyers.com/wisconsin/blog/waukesha-military-divorce-lawyers-family-dynamics/" TargetMode="External"/><Relationship Id="rId1599" Type="http://schemas.openxmlformats.org/officeDocument/2006/relationships/hyperlink" Target="https://www.sterlinglawyers.com/wisconsin/blog/balancing-emotions-law-jefferson-contested-divorce/" TargetMode="External"/><Relationship Id="rId1590" Type="http://schemas.openxmlformats.org/officeDocument/2006/relationships/hyperlink" Target="https://sterlinglawyers.com/wisconsin/child-custody/fathers-rights-wisconsin/" TargetMode="External"/><Relationship Id="rId1591" Type="http://schemas.openxmlformats.org/officeDocument/2006/relationships/hyperlink" Target="https://www.sterlinglawyers.com/wisconsin/locations/fund-du-lac/" TargetMode="External"/><Relationship Id="rId1592" Type="http://schemas.openxmlformats.org/officeDocument/2006/relationships/hyperlink" Target="https://www.sterlinglawyers.com/wisconsin/child-custody/violating-child-custody-court-order/" TargetMode="External"/><Relationship Id="rId1593" Type="http://schemas.openxmlformats.org/officeDocument/2006/relationships/hyperlink" Target="https://www.sterlinglawyers.com/wisconsin/divorce/when-stepmoms-butt-in/" TargetMode="External"/><Relationship Id="rId1594" Type="http://schemas.openxmlformats.org/officeDocument/2006/relationships/hyperlink" Target="https://www.sterlinglawyers.com/wisconsin/divorce/divorce-while-pregnant/" TargetMode="External"/><Relationship Id="rId1595" Type="http://schemas.openxmlformats.org/officeDocument/2006/relationships/hyperlink" Target="https://www.sterlinglawyers.com/wisconsin/divorce" TargetMode="External"/><Relationship Id="rId1596" Type="http://schemas.openxmlformats.org/officeDocument/2006/relationships/hyperlink" Target="https://www.sterlinglawyers.com/wisconsin/blog/child-support-and-large-combined-incomes/" TargetMode="External"/><Relationship Id="rId1597" Type="http://schemas.openxmlformats.org/officeDocument/2006/relationships/hyperlink" Target="https://www.sterlinglawyers.com/wisconsin/blog/madison-lawyers-advice-property-division/" TargetMode="External"/><Relationship Id="rId1587" Type="http://schemas.openxmlformats.org/officeDocument/2006/relationships/hyperlink" Target="https://www.sterlinglawyers.com/wisconsin/divorce/who-gets-custody-of-your-friends-after-divorce/" TargetMode="External"/><Relationship Id="rId1588" Type="http://schemas.openxmlformats.org/officeDocument/2006/relationships/hyperlink" Target="https://www.sterlinglawyers.com/wisconsin/divorce/having-a-pity-party-and-a-divorce/" TargetMode="External"/><Relationship Id="rId1589" Type="http://schemas.openxmlformats.org/officeDocument/2006/relationships/hyperlink" Target="https://www.sterlinglawyers.com/wisconsin/divorce/dealing-with-emotional-pain/_wp_link_placeholder" TargetMode="External"/><Relationship Id="rId998" Type="http://schemas.openxmlformats.org/officeDocument/2006/relationships/hyperlink" Target="https://www.sterlinglawyers.com/wisconsin/areas/washington-county/hartford/" TargetMode="External"/><Relationship Id="rId997" Type="http://schemas.openxmlformats.org/officeDocument/2006/relationships/hyperlink" Target="https://www.sterlinglawyers.com/wisconsin/areas/langlade-county/antigo/" TargetMode="External"/><Relationship Id="rId996" Type="http://schemas.openxmlformats.org/officeDocument/2006/relationships/hyperlink" Target="https://www.sterlinglawyers.com/wisconsin/areas/pepin-county/" TargetMode="External"/><Relationship Id="rId995" Type="http://schemas.openxmlformats.org/officeDocument/2006/relationships/hyperlink" Target="https://www.sterlinglawyers.com/wisconsin/areas/washington-county/erin/" TargetMode="External"/><Relationship Id="rId999" Type="http://schemas.openxmlformats.org/officeDocument/2006/relationships/hyperlink" Target="https://www.sterlinglawyers.com/wisconsin/areas/milwaukee-county/greenfield/" TargetMode="External"/><Relationship Id="rId990" Type="http://schemas.openxmlformats.org/officeDocument/2006/relationships/hyperlink" Target="https://www.sterlinglawyers.com/wisconsin/areas/crawford-county/" TargetMode="External"/><Relationship Id="rId1580" Type="http://schemas.openxmlformats.org/officeDocument/2006/relationships/hyperlink" Target="https://www.sterlinglawyers.com/directions-milwaukee-wisconsin" TargetMode="External"/><Relationship Id="rId1581" Type="http://schemas.openxmlformats.org/officeDocument/2006/relationships/hyperlink" Target="https://www.sterlinglawyers.com/directions-waukesha-wisconsin" TargetMode="External"/><Relationship Id="rId1582" Type="http://schemas.openxmlformats.org/officeDocument/2006/relationships/hyperlink" Target="https://www.sterlinglawyers.com/directions-brookfield-wisconsin" TargetMode="External"/><Relationship Id="rId994" Type="http://schemas.openxmlformats.org/officeDocument/2006/relationships/hyperlink" Target="https://www.sterlinglawyers.com/wisconsin/areas/pierce-county/" TargetMode="External"/><Relationship Id="rId1583" Type="http://schemas.openxmlformats.org/officeDocument/2006/relationships/hyperlink" Target="https://www.sterlinglawyers.com/maps-fox-valley-area" TargetMode="External"/><Relationship Id="rId993" Type="http://schemas.openxmlformats.org/officeDocument/2006/relationships/hyperlink" Target="https://www.sterlinglawyers.com/wisconsin/areas/milwaukee-county/bayside/" TargetMode="External"/><Relationship Id="rId1584" Type="http://schemas.openxmlformats.org/officeDocument/2006/relationships/hyperlink" Target="https://www.sterlinglawyers.com/wisconsin/areas/sauk-county/baraboo/" TargetMode="External"/><Relationship Id="rId992" Type="http://schemas.openxmlformats.org/officeDocument/2006/relationships/hyperlink" Target="https://www.sterlinglawyers.com/wisconsin/areas/waukesha-county/sussex/" TargetMode="External"/><Relationship Id="rId1585" Type="http://schemas.openxmlformats.org/officeDocument/2006/relationships/hyperlink" Target="https://www.sterlinglawyers.com/wisconsin/divorce/when-are-we-legally-separated/" TargetMode="External"/><Relationship Id="rId991" Type="http://schemas.openxmlformats.org/officeDocument/2006/relationships/hyperlink" Target="https://www.sterlinglawyers.com/wisconsin/areas/dane-county/mcfarland/" TargetMode="External"/><Relationship Id="rId1586" Type="http://schemas.openxmlformats.org/officeDocument/2006/relationships/hyperlink" Target="https://www.sterlinglawyers.com/wisconsin/divorce/financing/" TargetMode="External"/><Relationship Id="rId1532" Type="http://schemas.openxmlformats.org/officeDocument/2006/relationships/hyperlink" Target="https://www.sterlinglawyers.com/illinois/attorneys/alexandra-isroff/reviews/page/8/" TargetMode="External"/><Relationship Id="rId2863" Type="http://schemas.openxmlformats.org/officeDocument/2006/relationships/hyperlink" Target="https://www.sterlinglawyers.com/illinois/reviews/page/67/" TargetMode="External"/><Relationship Id="rId1533" Type="http://schemas.openxmlformats.org/officeDocument/2006/relationships/hyperlink" Target="https://www.sterlinglawyers.com/reviews/page/225/" TargetMode="External"/><Relationship Id="rId2864" Type="http://schemas.openxmlformats.org/officeDocument/2006/relationships/hyperlink" Target="https://www.sterlinglawyers.com/illinois/reviews/page/68/" TargetMode="External"/><Relationship Id="rId1534" Type="http://schemas.openxmlformats.org/officeDocument/2006/relationships/hyperlink" Target="https://www.sterlinglawyers.com/reviews/page/8/" TargetMode="External"/><Relationship Id="rId2865" Type="http://schemas.openxmlformats.org/officeDocument/2006/relationships/hyperlink" Target="https://www.sterlinglawyers.com/wisconsin/reviews/page/67/" TargetMode="External"/><Relationship Id="rId1535" Type="http://schemas.openxmlformats.org/officeDocument/2006/relationships/hyperlink" Target="https://www.sterlinglawyers.com/illinois/attorneys/katie-vandeusen/reviews/page/8/" TargetMode="External"/><Relationship Id="rId2866" Type="http://schemas.openxmlformats.org/officeDocument/2006/relationships/hyperlink" Target="https://www.sterlinglawyers.com/wisconsin/reviews/page/165/" TargetMode="External"/><Relationship Id="rId1536" Type="http://schemas.openxmlformats.org/officeDocument/2006/relationships/hyperlink" Target="https://www.sterlinglawyers.com/illinois/attorneys/katie-vandeusen/reviews/page/24/" TargetMode="External"/><Relationship Id="rId2867" Type="http://schemas.openxmlformats.org/officeDocument/2006/relationships/hyperlink" Target="https://www.sterlinglawyers.com/wisconsin/reviews/page/166/" TargetMode="External"/><Relationship Id="rId1537" Type="http://schemas.openxmlformats.org/officeDocument/2006/relationships/hyperlink" Target="https://www.sterlinglawyers.com/illinois/attorneys/katie-vandeusen/reviews/page/25/" TargetMode="External"/><Relationship Id="rId2868" Type="http://schemas.openxmlformats.org/officeDocument/2006/relationships/hyperlink" Target="https://www.sterlinglawyers.com/reviews/page/164/" TargetMode="External"/><Relationship Id="rId1538" Type="http://schemas.openxmlformats.org/officeDocument/2006/relationships/hyperlink" Target="https://www.sterlinglawyers.com/wisconsin/divorce/what-can-i-bring-to-court/" TargetMode="External"/><Relationship Id="rId2869" Type="http://schemas.openxmlformats.org/officeDocument/2006/relationships/hyperlink" Target="https://www.sterlinglawyers.com/reviews/page/165/" TargetMode="External"/><Relationship Id="rId1539" Type="http://schemas.openxmlformats.org/officeDocument/2006/relationships/hyperlink" Target="https://www.sterlinglawyers.com/wisdom-from-attorney-knighton/what-is-the-process-of-property-division-in-wisconsin/" TargetMode="External"/><Relationship Id="rId949" Type="http://schemas.openxmlformats.org/officeDocument/2006/relationships/hyperlink" Target="https://www.sterlinglawyers.com/wisconsin/areas/milwaukee-county/west-allis/" TargetMode="External"/><Relationship Id="rId948" Type="http://schemas.openxmlformats.org/officeDocument/2006/relationships/hyperlink" Target="https://www.sterlinglawyers.com/wisconsin/areas/eau-claire-county/" TargetMode="External"/><Relationship Id="rId943" Type="http://schemas.openxmlformats.org/officeDocument/2006/relationships/hyperlink" Target="https://www.sterlinglawyers.com/wisconsin/areas/sheboygan-county/" TargetMode="External"/><Relationship Id="rId942" Type="http://schemas.openxmlformats.org/officeDocument/2006/relationships/hyperlink" Target="https://www.sterlinglawyers.com/wisconsin/areas/lincoln-county/merrill/" TargetMode="External"/><Relationship Id="rId941" Type="http://schemas.openxmlformats.org/officeDocument/2006/relationships/hyperlink" Target="https://www.sterlinglawyers.com/wisconsin/areas/waukesha-county/north-prairie/" TargetMode="External"/><Relationship Id="rId940" Type="http://schemas.openxmlformats.org/officeDocument/2006/relationships/hyperlink" Target="https://www.sterlinglawyers.com/wisconsin/areas/kewaunee-county/" TargetMode="External"/><Relationship Id="rId947" Type="http://schemas.openxmlformats.org/officeDocument/2006/relationships/hyperlink" Target="https://www.sterlinglawyers.com/wisconsin/areas/dane-county/waunakee/" TargetMode="External"/><Relationship Id="rId946" Type="http://schemas.openxmlformats.org/officeDocument/2006/relationships/hyperlink" Target="https://www.sterlinglawyers.com/wisconsin/areas/eau-claire-county/washington/" TargetMode="External"/><Relationship Id="rId945" Type="http://schemas.openxmlformats.org/officeDocument/2006/relationships/hyperlink" Target="https://www.sterlinglawyers.com/wisconsin/areas/grant-county/platteville/" TargetMode="External"/><Relationship Id="rId944" Type="http://schemas.openxmlformats.org/officeDocument/2006/relationships/hyperlink" Target="https://www.sterlinglawyers.com/wisconsin/areas/walworth-county/" TargetMode="External"/><Relationship Id="rId2860" Type="http://schemas.openxmlformats.org/officeDocument/2006/relationships/hyperlink" Target="https://www.sterlinglawyers.com/wisconsin/reviews/page/65/" TargetMode="External"/><Relationship Id="rId1530" Type="http://schemas.openxmlformats.org/officeDocument/2006/relationships/hyperlink" Target="https://www.sterlinglawyers.com/reviews/page/224/" TargetMode="External"/><Relationship Id="rId2861" Type="http://schemas.openxmlformats.org/officeDocument/2006/relationships/hyperlink" Target="https://www.sterlinglawyers.com/illinois/reviews/page/164/" TargetMode="External"/><Relationship Id="rId1531" Type="http://schemas.openxmlformats.org/officeDocument/2006/relationships/hyperlink" Target="https://www.sterlinglawyers.com/illinois/attorneys/alexandra-isroff/reviews/page/9/" TargetMode="External"/><Relationship Id="rId2862" Type="http://schemas.openxmlformats.org/officeDocument/2006/relationships/hyperlink" Target="https://www.sterlinglawyers.com/reviews/page/69/" TargetMode="External"/><Relationship Id="rId1521" Type="http://schemas.openxmlformats.org/officeDocument/2006/relationships/hyperlink" Target="https://www.sterlinglawyers.com/wisconsin/divorce/a-secret-cash-stash-is-a-good-idea/" TargetMode="External"/><Relationship Id="rId2852" Type="http://schemas.openxmlformats.org/officeDocument/2006/relationships/hyperlink" Target="https://www.sterlinglawyers.com/wisconsin/reviews/page/168/" TargetMode="External"/><Relationship Id="rId1522" Type="http://schemas.openxmlformats.org/officeDocument/2006/relationships/hyperlink" Target="https://www.sterlinglawyers.com/illinois/attorneys/katie-vandeusen/reviews/page/9/" TargetMode="External"/><Relationship Id="rId2853" Type="http://schemas.openxmlformats.org/officeDocument/2006/relationships/hyperlink" Target="https://www.sterlinglawyers.com/wisconsin/reviews/page/167/" TargetMode="External"/><Relationship Id="rId1523" Type="http://schemas.openxmlformats.org/officeDocument/2006/relationships/hyperlink" Target="https://www.sterlinglawyers.com/illinois/attorneys/alexandra-isroff/reviews/page/38/" TargetMode="External"/><Relationship Id="rId2854" Type="http://schemas.openxmlformats.org/officeDocument/2006/relationships/hyperlink" Target="https://www.sterlinglawyers.com/illinois/reviews/page/66/" TargetMode="External"/><Relationship Id="rId1524" Type="http://schemas.openxmlformats.org/officeDocument/2006/relationships/hyperlink" Target="https://www.sterlinglawyers.com/wisconsin/reviews/page/226/" TargetMode="External"/><Relationship Id="rId2855" Type="http://schemas.openxmlformats.org/officeDocument/2006/relationships/hyperlink" Target="https://www.sterlinglawyers.com/illinois/reviews/page/166/" TargetMode="External"/><Relationship Id="rId1525" Type="http://schemas.openxmlformats.org/officeDocument/2006/relationships/hyperlink" Target="https://www.sterlinglawyers.com/wisconsin/reviews/page/225/" TargetMode="External"/><Relationship Id="rId2856" Type="http://schemas.openxmlformats.org/officeDocument/2006/relationships/hyperlink" Target="https://www.sterlinglawyers.com/reviews/page/67/" TargetMode="External"/><Relationship Id="rId1526" Type="http://schemas.openxmlformats.org/officeDocument/2006/relationships/hyperlink" Target="https://www.sterlinglawyers.com/wisconsin/blog/path-to-full-custody-green-bay-attorney/" TargetMode="External"/><Relationship Id="rId2857" Type="http://schemas.openxmlformats.org/officeDocument/2006/relationships/hyperlink" Target="https://www.sterlinglawyers.com/reviews/page/66/" TargetMode="External"/><Relationship Id="rId1527" Type="http://schemas.openxmlformats.org/officeDocument/2006/relationships/hyperlink" Target="https://www.sterlinglawyers.com/wisconsin/blog/hiring-fond-du-lac-divorce-mediation-lawyer-advantages/" TargetMode="External"/><Relationship Id="rId2858" Type="http://schemas.openxmlformats.org/officeDocument/2006/relationships/hyperlink" Target="https://www.sterlinglawyers.com/wisconsin/reviews/page/59/" TargetMode="External"/><Relationship Id="rId1528" Type="http://schemas.openxmlformats.org/officeDocument/2006/relationships/hyperlink" Target="https://www.sterlinglawyers.com/wisconsin/blog/fathers-tune-advocating-paternity-rights/" TargetMode="External"/><Relationship Id="rId2859" Type="http://schemas.openxmlformats.org/officeDocument/2006/relationships/hyperlink" Target="https://www.sterlinglawyers.com/reviews/page/68/" TargetMode="External"/><Relationship Id="rId1529" Type="http://schemas.openxmlformats.org/officeDocument/2006/relationships/hyperlink" Target="https://www.sterlinglawyers.com/reviews/page/9/" TargetMode="External"/><Relationship Id="rId939" Type="http://schemas.openxmlformats.org/officeDocument/2006/relationships/hyperlink" Target="https://www.sterlinglawyers.com/wisconsin/areas/green-county/" TargetMode="External"/><Relationship Id="rId938" Type="http://schemas.openxmlformats.org/officeDocument/2006/relationships/hyperlink" Target="https://www.sterlinglawyers.com/wisconsin/areas/monroe-county/" TargetMode="External"/><Relationship Id="rId937" Type="http://schemas.openxmlformats.org/officeDocument/2006/relationships/hyperlink" Target="https://www.sterlinglawyers.com/wisconsin/areas/sawyer-county/" TargetMode="External"/><Relationship Id="rId932" Type="http://schemas.openxmlformats.org/officeDocument/2006/relationships/hyperlink" Target="https://www.sterlinglawyers.com/wisconsin/areas/portage-county/" TargetMode="External"/><Relationship Id="rId931" Type="http://schemas.openxmlformats.org/officeDocument/2006/relationships/hyperlink" Target="https://www.sterlinglawyers.com/wisconsin/areas/milwaukee-county/south-milwaukee/" TargetMode="External"/><Relationship Id="rId930" Type="http://schemas.openxmlformats.org/officeDocument/2006/relationships/hyperlink" Target="https://www.sterlinglawyers.com/wisconsin/areas/milwaukee-county/greendale/" TargetMode="External"/><Relationship Id="rId936" Type="http://schemas.openxmlformats.org/officeDocument/2006/relationships/hyperlink" Target="https://www.sterlinglawyers.com/wisconsin/areas/brown-county/" TargetMode="External"/><Relationship Id="rId935" Type="http://schemas.openxmlformats.org/officeDocument/2006/relationships/hyperlink" Target="https://www.sterlinglawyers.com/wisconsin/areas/washburn-county/" TargetMode="External"/><Relationship Id="rId934" Type="http://schemas.openxmlformats.org/officeDocument/2006/relationships/hyperlink" Target="https://www.sterlinglawyers.com/wisconsin/areas/outagamie-county/kimberly/" TargetMode="External"/><Relationship Id="rId933" Type="http://schemas.openxmlformats.org/officeDocument/2006/relationships/hyperlink" Target="https://www.sterlinglawyers.com/wisconsin/areas/fond-du-lac-county/" TargetMode="External"/><Relationship Id="rId2850" Type="http://schemas.openxmlformats.org/officeDocument/2006/relationships/hyperlink" Target="https://www.sterlinglawyers.com/reviews/page/166/" TargetMode="External"/><Relationship Id="rId1520" Type="http://schemas.openxmlformats.org/officeDocument/2006/relationships/hyperlink" Target="https://www.sterlinglawyers.com/wisconsin/dirty-divorce-tricks/hiding-assets/" TargetMode="External"/><Relationship Id="rId2851" Type="http://schemas.openxmlformats.org/officeDocument/2006/relationships/hyperlink" Target="https://www.sterlinglawyers.com/reviews/page/167/" TargetMode="External"/><Relationship Id="rId1554" Type="http://schemas.openxmlformats.org/officeDocument/2006/relationships/hyperlink" Target="https://www.sterlinglawyers.com/wisconsin/divorce/kids-take-sides/" TargetMode="External"/><Relationship Id="rId2885" Type="http://schemas.openxmlformats.org/officeDocument/2006/relationships/hyperlink" Target="https://www.sterlinglawyers.com/reviews/page/73/" TargetMode="External"/><Relationship Id="rId1555" Type="http://schemas.openxmlformats.org/officeDocument/2006/relationships/hyperlink" Target="https://www.sterlinglawyers.com/wisconsin/blog/menomonee-falls-attorney-help-navigating-military-divorce/" TargetMode="External"/><Relationship Id="rId2886" Type="http://schemas.openxmlformats.org/officeDocument/2006/relationships/hyperlink" Target="https://www.sterlinglawyers.com/wisconsin/reviews/page/69/" TargetMode="External"/><Relationship Id="rId1556" Type="http://schemas.openxmlformats.org/officeDocument/2006/relationships/hyperlink" Target="https://www.sterlinglawyers.com/wisconsin/blog/insight-from-waukesha-contested-divorce-lawyers/" TargetMode="External"/><Relationship Id="rId2887" Type="http://schemas.openxmlformats.org/officeDocument/2006/relationships/hyperlink" Target="https://www.sterlinglawyers.com/illinois/reviews/page/69/" TargetMode="External"/><Relationship Id="rId1557" Type="http://schemas.openxmlformats.org/officeDocument/2006/relationships/hyperlink" Target="https://www.sterlinglawyers.com/wisconsin/blog/effective-legal-representation-property-division-jefferson/" TargetMode="External"/><Relationship Id="rId2888" Type="http://schemas.openxmlformats.org/officeDocument/2006/relationships/hyperlink" Target="https://www.sterlinglawyers.com/wisconsin/reviews/page/71/" TargetMode="External"/><Relationship Id="rId1558" Type="http://schemas.openxmlformats.org/officeDocument/2006/relationships/hyperlink" Target="https://www.sterlinglawyers.com/wisconsin/blog/exploring-landscape-contested-divorce-racine/" TargetMode="External"/><Relationship Id="rId2889" Type="http://schemas.openxmlformats.org/officeDocument/2006/relationships/hyperlink" Target="https://www.sterlinglawyers.com/wisconsin/reviews/page/66/" TargetMode="External"/><Relationship Id="rId1559" Type="http://schemas.openxmlformats.org/officeDocument/2006/relationships/hyperlink" Target="https://www.sterlinglawyers.com/wisconsin/blog/leap-of-faith-navigating-paternity-case-middleton-attorney/" TargetMode="External"/><Relationship Id="rId965" Type="http://schemas.openxmlformats.org/officeDocument/2006/relationships/hyperlink" Target="https://www.sterlinglawyers.com/wisconsin/areas/polk-county/" TargetMode="External"/><Relationship Id="rId964" Type="http://schemas.openxmlformats.org/officeDocument/2006/relationships/hyperlink" Target="https://www.sterlinglawyers.com/wisconsin/areas/douglas-county/" TargetMode="External"/><Relationship Id="rId963" Type="http://schemas.openxmlformats.org/officeDocument/2006/relationships/hyperlink" Target="https://www.sterlinglawyers.com/wisconsin/areas/waukesha-county/muskego/" TargetMode="External"/><Relationship Id="rId962" Type="http://schemas.openxmlformats.org/officeDocument/2006/relationships/hyperlink" Target="https://www.sterlinglawyers.com/wisconsin/areas/wood-county/wisconsin-rapids/" TargetMode="External"/><Relationship Id="rId969" Type="http://schemas.openxmlformats.org/officeDocument/2006/relationships/hyperlink" Target="https://www.sterlinglawyers.com/wisconsin/areas/marinette-county/" TargetMode="External"/><Relationship Id="rId968" Type="http://schemas.openxmlformats.org/officeDocument/2006/relationships/hyperlink" Target="https://www.sterlinglawyers.com/wisconsin/areas/dane-county/sun-prairie/" TargetMode="External"/><Relationship Id="rId967" Type="http://schemas.openxmlformats.org/officeDocument/2006/relationships/hyperlink" Target="https://www.sterlinglawyers.com/wisconsin/areas/winnebago-county/menasha/" TargetMode="External"/><Relationship Id="rId966" Type="http://schemas.openxmlformats.org/officeDocument/2006/relationships/hyperlink" Target="https://www.sterlinglawyers.com/wisconsin/areas/waupaca-county/" TargetMode="External"/><Relationship Id="rId2880" Type="http://schemas.openxmlformats.org/officeDocument/2006/relationships/hyperlink" Target="https://www.sterlinglawyers.com/illinois/reviews/page/161/" TargetMode="External"/><Relationship Id="rId961" Type="http://schemas.openxmlformats.org/officeDocument/2006/relationships/hyperlink" Target="https://www.sterlinglawyers.com/wisconsin/areas/barron-county/" TargetMode="External"/><Relationship Id="rId1550" Type="http://schemas.openxmlformats.org/officeDocument/2006/relationships/hyperlink" Target="https://www.sterlinglawyers.com/wisconsin/blog/value-of-lawyer-baraboo-spousal-support-case/" TargetMode="External"/><Relationship Id="rId2881" Type="http://schemas.openxmlformats.org/officeDocument/2006/relationships/hyperlink" Target="https://www.sterlinglawyers.com/reviews/page/70/" TargetMode="External"/><Relationship Id="rId960" Type="http://schemas.openxmlformats.org/officeDocument/2006/relationships/hyperlink" Target="https://www.sterlinglawyers.com/wisconsin/areas/winnebago-county/" TargetMode="External"/><Relationship Id="rId1551" Type="http://schemas.openxmlformats.org/officeDocument/2006/relationships/hyperlink" Target="https://www.sterlinglawyers.com/wisconsin/blog/madison-child-support-attorney-advocate/" TargetMode="External"/><Relationship Id="rId2882" Type="http://schemas.openxmlformats.org/officeDocument/2006/relationships/hyperlink" Target="https://www.sterlinglawyers.com/illinois/reviews/page/159/" TargetMode="External"/><Relationship Id="rId1552" Type="http://schemas.openxmlformats.org/officeDocument/2006/relationships/hyperlink" Target="https://www.sterlinglawyers.com/wisconsin/blog/stress-less-menomonee-falls-property-division-lawyers/" TargetMode="External"/><Relationship Id="rId2883" Type="http://schemas.openxmlformats.org/officeDocument/2006/relationships/hyperlink" Target="https://www.sterlinglawyers.com/illinois/reviews/page/160/" TargetMode="External"/><Relationship Id="rId1553" Type="http://schemas.openxmlformats.org/officeDocument/2006/relationships/hyperlink" Target="https://www.sterlinglawyers.com/wisconsin/blog/compassionate-uncontested-divorce-beaver-dam/" TargetMode="External"/><Relationship Id="rId2884" Type="http://schemas.openxmlformats.org/officeDocument/2006/relationships/hyperlink" Target="https://www.sterlinglawyers.com/reviews/page/72/" TargetMode="External"/><Relationship Id="rId1543" Type="http://schemas.openxmlformats.org/officeDocument/2006/relationships/hyperlink" Target="https://www.sterlinglawyers.com/wisdom-from-attorney-knighton/one-question-must-ask-every-single-day/" TargetMode="External"/><Relationship Id="rId2874" Type="http://schemas.openxmlformats.org/officeDocument/2006/relationships/hyperlink" Target="https://www.sterlinglawyers.com/wisconsin/reviews/page/68/" TargetMode="External"/><Relationship Id="rId1544" Type="http://schemas.openxmlformats.org/officeDocument/2006/relationships/hyperlink" Target="https://www.sterlinglawyers.com/wisconsin/reviews/page/6/" TargetMode="External"/><Relationship Id="rId2875" Type="http://schemas.openxmlformats.org/officeDocument/2006/relationships/hyperlink" Target="https://www.sterlinglawyers.com/illinois/reviews/page/70/" TargetMode="External"/><Relationship Id="rId1545" Type="http://schemas.openxmlformats.org/officeDocument/2006/relationships/hyperlink" Target="https://www.sterlinglawyers.com/wisconsin/divorce/i-was-blindsided-by-divorce-papers-how-do-i-respond/" TargetMode="External"/><Relationship Id="rId2876" Type="http://schemas.openxmlformats.org/officeDocument/2006/relationships/hyperlink" Target="https://www.sterlinglawyers.com/illinois/reviews/page/65/" TargetMode="External"/><Relationship Id="rId1546" Type="http://schemas.openxmlformats.org/officeDocument/2006/relationships/hyperlink" Target="https://www.sterlinglawyers.com/wisconsin/blog/empowered-dissolutions-reclaiming-control-collaborative-divorce/" TargetMode="External"/><Relationship Id="rId2877" Type="http://schemas.openxmlformats.org/officeDocument/2006/relationships/hyperlink" Target="https://www.sterlinglawyers.com/reviews/page/71/" TargetMode="External"/><Relationship Id="rId1547" Type="http://schemas.openxmlformats.org/officeDocument/2006/relationships/hyperlink" Target="https://www.sterlinglawyers.com/wisconsin/divorce/coping-with-your-ex-seeing-someone-new/" TargetMode="External"/><Relationship Id="rId2878" Type="http://schemas.openxmlformats.org/officeDocument/2006/relationships/hyperlink" Target="https://www.sterlinglawyers.com/illinois/reviews/page/163/" TargetMode="External"/><Relationship Id="rId1548" Type="http://schemas.openxmlformats.org/officeDocument/2006/relationships/hyperlink" Target="https://www.sterlinglawyers.com/wisconsin/divorce/changing-your-name/" TargetMode="External"/><Relationship Id="rId2879" Type="http://schemas.openxmlformats.org/officeDocument/2006/relationships/hyperlink" Target="https://www.sterlinglawyers.com/illinois/reviews/page/165/" TargetMode="External"/><Relationship Id="rId1549" Type="http://schemas.openxmlformats.org/officeDocument/2006/relationships/hyperlink" Target="https://www.sterlinglawyers.com/case-law/relocating-with-child/" TargetMode="External"/><Relationship Id="rId959" Type="http://schemas.openxmlformats.org/officeDocument/2006/relationships/hyperlink" Target="https://www.sterlinglawyers.com/wisconsin/areas/marathon-county/weston/" TargetMode="External"/><Relationship Id="rId954" Type="http://schemas.openxmlformats.org/officeDocument/2006/relationships/hyperlink" Target="https://www.sterlinglawyers.com/wisconsin/areas/iowa-county/" TargetMode="External"/><Relationship Id="rId953" Type="http://schemas.openxmlformats.org/officeDocument/2006/relationships/hyperlink" Target="https://www.sterlinglawyers.com/wisconsin/areas/dane-county/" TargetMode="External"/><Relationship Id="rId952" Type="http://schemas.openxmlformats.org/officeDocument/2006/relationships/hyperlink" Target="https://www.sterlinglawyers.com/wisconsin/areas/dunn-county/menomonie/" TargetMode="External"/><Relationship Id="rId951" Type="http://schemas.openxmlformats.org/officeDocument/2006/relationships/hyperlink" Target="https://www.sterlinglawyers.com/wisconsin/areas/wood-county/grand-rapids/" TargetMode="External"/><Relationship Id="rId958" Type="http://schemas.openxmlformats.org/officeDocument/2006/relationships/hyperlink" Target="https://www.sterlinglawyers.com/wisconsin/areas/vilas-county/" TargetMode="External"/><Relationship Id="rId957" Type="http://schemas.openxmlformats.org/officeDocument/2006/relationships/hyperlink" Target="https://www.sterlinglawyers.com/wisconsin/areas/washington-county/richfield/" TargetMode="External"/><Relationship Id="rId956" Type="http://schemas.openxmlformats.org/officeDocument/2006/relationships/hyperlink" Target="https://www.sterlinglawyers.com/wisconsin/areas/rock-county/" TargetMode="External"/><Relationship Id="rId955" Type="http://schemas.openxmlformats.org/officeDocument/2006/relationships/hyperlink" Target="https://www.sterlinglawyers.com/wisconsin/areas/milwaukee-county/franklin/" TargetMode="External"/><Relationship Id="rId950" Type="http://schemas.openxmlformats.org/officeDocument/2006/relationships/hyperlink" Target="https://www.sterlinglawyers.com/wisconsin/areas/racine-county/mount-pleasant/" TargetMode="External"/><Relationship Id="rId2870" Type="http://schemas.openxmlformats.org/officeDocument/2006/relationships/hyperlink" Target="https://www.sterlinglawyers.com/reviews/page/162/" TargetMode="External"/><Relationship Id="rId1540" Type="http://schemas.openxmlformats.org/officeDocument/2006/relationships/hyperlink" Target="https://www.sterlinglawyers.com/wisconsin/divorce/knowing-assessing-problem-within/" TargetMode="External"/><Relationship Id="rId2871" Type="http://schemas.openxmlformats.org/officeDocument/2006/relationships/hyperlink" Target="https://www.sterlinglawyers.com/reviews/page/163/" TargetMode="External"/><Relationship Id="rId1541" Type="http://schemas.openxmlformats.org/officeDocument/2006/relationships/hyperlink" Target="https://www.sterlinglawyers.com/wisconsin/reviews/page/7/" TargetMode="External"/><Relationship Id="rId2872" Type="http://schemas.openxmlformats.org/officeDocument/2006/relationships/hyperlink" Target="https://www.sterlinglawyers.com/wisconsin/reviews/page/163/" TargetMode="External"/><Relationship Id="rId1542" Type="http://schemas.openxmlformats.org/officeDocument/2006/relationships/hyperlink" Target="https://www.sterlinglawyers.com/wisconsin/divorce/attend-marriage-counseling/" TargetMode="External"/><Relationship Id="rId2873" Type="http://schemas.openxmlformats.org/officeDocument/2006/relationships/hyperlink" Target="https://www.sterlinglawyers.com/wisconsin/reviews/page/164/" TargetMode="External"/><Relationship Id="rId2027" Type="http://schemas.openxmlformats.org/officeDocument/2006/relationships/hyperlink" Target="https://www.sterlinglawyers.com/wisconsin/attorneys/ellen-rhodeman/reviews/page/9/" TargetMode="External"/><Relationship Id="rId2028" Type="http://schemas.openxmlformats.org/officeDocument/2006/relationships/hyperlink" Target="https://www.sterlinglawyers.com/illinois/attorneys/alexandra-isroff/reviews/page/33/" TargetMode="External"/><Relationship Id="rId2029" Type="http://schemas.openxmlformats.org/officeDocument/2006/relationships/hyperlink" Target="https://www.sterlinglawyers.com/illinois/attorneys/katie-vandeusen/reviews/page/20/" TargetMode="External"/><Relationship Id="rId107" Type="http://schemas.openxmlformats.org/officeDocument/2006/relationships/hyperlink" Target="https://www.sterlinglawyers.com/illinois/blog/developing-plan-schaumburg-military-divorce/" TargetMode="External"/><Relationship Id="rId106" Type="http://schemas.openxmlformats.org/officeDocument/2006/relationships/hyperlink" Target="https://www.sterlinglawyers.com/illinois/attorneys/jacqueline-mcclellan/reviews/page/14/" TargetMode="External"/><Relationship Id="rId105" Type="http://schemas.openxmlformats.org/officeDocument/2006/relationships/hyperlink" Target="https://www.sterlinglawyers.com/illinois/child-custody/third-party-visitation/" TargetMode="External"/><Relationship Id="rId104" Type="http://schemas.openxmlformats.org/officeDocument/2006/relationships/hyperlink" Target="https://www.sterlinglawyers.com/illinois/attorneys/jacqueline-mcclellan/reviews/page/3/" TargetMode="External"/><Relationship Id="rId109" Type="http://schemas.openxmlformats.org/officeDocument/2006/relationships/hyperlink" Target="https://www.sterlinglawyers.com/illinois/attorneys/jeff-hughes/reviews/page/3/" TargetMode="External"/><Relationship Id="rId108" Type="http://schemas.openxmlformats.org/officeDocument/2006/relationships/hyperlink" Target="https://www.sterlinglawyers.com/illinois/attorneys/jeff-hughes/reviews/page/2/" TargetMode="External"/><Relationship Id="rId2020" Type="http://schemas.openxmlformats.org/officeDocument/2006/relationships/hyperlink" Target="https://www.sterlinglawyers.com/wisconsin/reviews/page/11/" TargetMode="External"/><Relationship Id="rId2021" Type="http://schemas.openxmlformats.org/officeDocument/2006/relationships/hyperlink" Target="https://www.sterlinglawyers.com/wisconsin/attorneys/austin-miller/reviews/page/8/" TargetMode="External"/><Relationship Id="rId2022" Type="http://schemas.openxmlformats.org/officeDocument/2006/relationships/hyperlink" Target="https://www.sterlinglawyers.com/wisconsin/attorneys/austin-miller/reviews/page/9/" TargetMode="External"/><Relationship Id="rId103" Type="http://schemas.openxmlformats.org/officeDocument/2006/relationships/hyperlink" Target="https://www.sterlinglawyers.com/illinois/attorneys/jacqueline-mcclellan/reviews/page/2/" TargetMode="External"/><Relationship Id="rId2023" Type="http://schemas.openxmlformats.org/officeDocument/2006/relationships/hyperlink" Target="https://www.sterlinglawyers.com/wisconsin/attorneys/ellen-rhodeman/reviews/page/50/" TargetMode="External"/><Relationship Id="rId102" Type="http://schemas.openxmlformats.org/officeDocument/2006/relationships/hyperlink" Target="https://www.sterlinglawyers.com/illinois/child-custody/50-50-schedules/" TargetMode="External"/><Relationship Id="rId2024" Type="http://schemas.openxmlformats.org/officeDocument/2006/relationships/hyperlink" Target="https://www.sterlinglawyers.com/wisconsin/attorneys/ellen-rhodeman/reviews/page/49/" TargetMode="External"/><Relationship Id="rId101" Type="http://schemas.openxmlformats.org/officeDocument/2006/relationships/hyperlink" Target="https://www.sterlinglawyers.com/illinois/blog/surviving-property-division-storm-evanston-lawyers/" TargetMode="External"/><Relationship Id="rId2025" Type="http://schemas.openxmlformats.org/officeDocument/2006/relationships/hyperlink" Target="https://www.sterlinglawyers.com/wisconsin/attorneys/bailey-holt/reviews/page/20/" TargetMode="External"/><Relationship Id="rId100" Type="http://schemas.openxmlformats.org/officeDocument/2006/relationships/hyperlink" Target="https://www.sterlinglawyers.com/illinois/attorneys/ryan-shope/reviews/page/3/" TargetMode="External"/><Relationship Id="rId2026" Type="http://schemas.openxmlformats.org/officeDocument/2006/relationships/hyperlink" Target="https://www.sterlinglawyers.com/wisconsin/attorneys/jeff-hughes/reviews/page/8/" TargetMode="External"/><Relationship Id="rId2016" Type="http://schemas.openxmlformats.org/officeDocument/2006/relationships/hyperlink" Target="https://www.sterlinglawyers.com/wisconsin/attorneys/austin-miller/reviews/page/30/" TargetMode="External"/><Relationship Id="rId2017" Type="http://schemas.openxmlformats.org/officeDocument/2006/relationships/hyperlink" Target="https://www.sterlinglawyers.com/wisconsin/attorneys/bailey-holt/reviews/page/9/" TargetMode="External"/><Relationship Id="rId2018" Type="http://schemas.openxmlformats.org/officeDocument/2006/relationships/hyperlink" Target="https://www.sterlinglawyers.com/wisconsin/attorneys/bailey-holt/reviews/page/8/" TargetMode="External"/><Relationship Id="rId2019" Type="http://schemas.openxmlformats.org/officeDocument/2006/relationships/hyperlink" Target="https://www.sterlinglawyers.com/wisconsin/attorneys/kathleen-curran/reviews/page/30/" TargetMode="External"/><Relationship Id="rId2010" Type="http://schemas.openxmlformats.org/officeDocument/2006/relationships/hyperlink" Target="https://www.sterlinglawyers.com/wisconsin/attorneys/holly-mullin/reviews/page/9/" TargetMode="External"/><Relationship Id="rId2011" Type="http://schemas.openxmlformats.org/officeDocument/2006/relationships/hyperlink" Target="https://www.sterlinglawyers.com/wisconsin/attorneys/andria-adams/reviews/page/9/" TargetMode="External"/><Relationship Id="rId2012" Type="http://schemas.openxmlformats.org/officeDocument/2006/relationships/hyperlink" Target="https://www.sterlinglawyers.com/wisconsin/attorneys/kathleen-curran/reviews/page/8/" TargetMode="External"/><Relationship Id="rId2013" Type="http://schemas.openxmlformats.org/officeDocument/2006/relationships/hyperlink" Target="https://www.sterlinglawyers.com/wisconsin/attorneys/jack-braaten/reviews/page/23/" TargetMode="External"/><Relationship Id="rId2014" Type="http://schemas.openxmlformats.org/officeDocument/2006/relationships/hyperlink" Target="https://www.sterlinglawyers.com/wisconsin/attorneys/kathleen-curran/reviews/page/9/" TargetMode="External"/><Relationship Id="rId2015" Type="http://schemas.openxmlformats.org/officeDocument/2006/relationships/hyperlink" Target="https://www.sterlinglawyers.com/wisconsin/attorneys/kathleen-curran/reviews/page/31/" TargetMode="External"/><Relationship Id="rId2049" Type="http://schemas.openxmlformats.org/officeDocument/2006/relationships/hyperlink" Target="https://www.sterlinglawyers.com/illinois/reviews/page/219/" TargetMode="External"/><Relationship Id="rId129" Type="http://schemas.openxmlformats.org/officeDocument/2006/relationships/hyperlink" Target="https://www.sterlinglawyers.com/wisconsin/locations/madison/" TargetMode="External"/><Relationship Id="rId128" Type="http://schemas.openxmlformats.org/officeDocument/2006/relationships/hyperlink" Target="https://www.sterlinglawyers.com/spousal-support/" TargetMode="External"/><Relationship Id="rId127" Type="http://schemas.openxmlformats.org/officeDocument/2006/relationships/hyperlink" Target="https://www.sterlinglawyers.com/spousal-support/calculator/" TargetMode="External"/><Relationship Id="rId126" Type="http://schemas.openxmlformats.org/officeDocument/2006/relationships/hyperlink" Target="https://www.sterlinglawyers.com/divorce/selecting-attorney/" TargetMode="External"/><Relationship Id="rId2040" Type="http://schemas.openxmlformats.org/officeDocument/2006/relationships/hyperlink" Target="https://www.sterlinglawyers.com/illinois/attorneys/alexandra-isroff/reviews/page/13/" TargetMode="External"/><Relationship Id="rId121" Type="http://schemas.openxmlformats.org/officeDocument/2006/relationships/hyperlink" Target="https://www.sterlinglawyers.com/pricing/" TargetMode="External"/><Relationship Id="rId2041" Type="http://schemas.openxmlformats.org/officeDocument/2006/relationships/hyperlink" Target="https://www.sterlinglawyers.com/illinois/attorneys/katie-vandeusen/reviews/page/21/" TargetMode="External"/><Relationship Id="rId120" Type="http://schemas.openxmlformats.org/officeDocument/2006/relationships/hyperlink" Target="https://www.sterlinglawyers.com/locations/" TargetMode="External"/><Relationship Id="rId2042" Type="http://schemas.openxmlformats.org/officeDocument/2006/relationships/hyperlink" Target="http://www.sterlinglawyers.com/wisconsin/blog/depression-and-divorce-a-self-help-checklist/" TargetMode="External"/><Relationship Id="rId2043" Type="http://schemas.openxmlformats.org/officeDocument/2006/relationships/hyperlink" Target="http://www.sterlinglawyers.com/wisconsin/blog/in-laws-during-divorce-process/" TargetMode="External"/><Relationship Id="rId2044" Type="http://schemas.openxmlformats.org/officeDocument/2006/relationships/hyperlink" Target="https://www.sterlinglawyers.com/wisconsin/reviews/page/10/" TargetMode="External"/><Relationship Id="rId125" Type="http://schemas.openxmlformats.org/officeDocument/2006/relationships/hyperlink" Target="https://www.sterlinglawyers.com/child-support/calculator/" TargetMode="External"/><Relationship Id="rId2045" Type="http://schemas.openxmlformats.org/officeDocument/2006/relationships/hyperlink" Target="https://www.sterlinglawyers.com/wisconsin/divorce/keeping-self-esteem-intact-during-a-divorce/" TargetMode="External"/><Relationship Id="rId124" Type="http://schemas.openxmlformats.org/officeDocument/2006/relationships/hyperlink" Target="https://www.sterlinglawyers.com/child-support/" TargetMode="External"/><Relationship Id="rId2046" Type="http://schemas.openxmlformats.org/officeDocument/2006/relationships/hyperlink" Target="https://www.sterlinglawyers.com/wisconsin/attorneys/bailey-holt/reviews/page/19/" TargetMode="External"/><Relationship Id="rId123" Type="http://schemas.openxmlformats.org/officeDocument/2006/relationships/hyperlink" Target="https://www.sterlinglawyers.com/effects-parental-separation-divorce-young-children/" TargetMode="External"/><Relationship Id="rId2047" Type="http://schemas.openxmlformats.org/officeDocument/2006/relationships/hyperlink" Target="https://www.sterlinglawyers.com/illinois/attorneys/alexandra-isroff/reviews/page/34/" TargetMode="External"/><Relationship Id="rId122" Type="http://schemas.openxmlformats.org/officeDocument/2006/relationships/hyperlink" Target="https://www.sterlinglawyers.com/child-custody/" TargetMode="External"/><Relationship Id="rId2048" Type="http://schemas.openxmlformats.org/officeDocument/2006/relationships/hyperlink" Target="https://www.sterlinglawyers.com/blog/tips-on-dealing-with-your-spouse-during-divorce/" TargetMode="External"/><Relationship Id="rId2038" Type="http://schemas.openxmlformats.org/officeDocument/2006/relationships/hyperlink" Target="https://www.sterlinglawyers.com/reviews/page/220/" TargetMode="External"/><Relationship Id="rId2039" Type="http://schemas.openxmlformats.org/officeDocument/2006/relationships/hyperlink" Target="https://www.sterlinglawyers.com/reviews/page/221/" TargetMode="External"/><Relationship Id="rId118" Type="http://schemas.openxmlformats.org/officeDocument/2006/relationships/hyperlink" Target="https://www.sterlinglawyers.com/property-division/" TargetMode="External"/><Relationship Id="rId117" Type="http://schemas.openxmlformats.org/officeDocument/2006/relationships/hyperlink" Target="https://www.sterlinglawyers.com/wisconsin/locations/" TargetMode="External"/><Relationship Id="rId116" Type="http://schemas.openxmlformats.org/officeDocument/2006/relationships/hyperlink" Target="https://www.sterlinglawyers.com/family-law-case-types-cost/" TargetMode="External"/><Relationship Id="rId115" Type="http://schemas.openxmlformats.org/officeDocument/2006/relationships/hyperlink" Target="https://www.sterlinglawyers.com/divorce/forms/" TargetMode="External"/><Relationship Id="rId119" Type="http://schemas.openxmlformats.org/officeDocument/2006/relationships/hyperlink" Target="https://www.sterlinglawyers.com/family-law-process/" TargetMode="External"/><Relationship Id="rId110" Type="http://schemas.openxmlformats.org/officeDocument/2006/relationships/hyperlink" Target="https://www.sterlinglawyers.com/illinois/attorneys/jeff-hughes/reviews/page/13/" TargetMode="External"/><Relationship Id="rId2030" Type="http://schemas.openxmlformats.org/officeDocument/2006/relationships/hyperlink" Target="https://www.sterlinglawyers.com/wisconsin/dirty-divorce-tricks/" TargetMode="External"/><Relationship Id="rId2031" Type="http://schemas.openxmlformats.org/officeDocument/2006/relationships/hyperlink" Target="https://www.sterlinglawyers.com/illinois/attorneys/katie-vandeusen/reviews/page/13/" TargetMode="External"/><Relationship Id="rId2032" Type="http://schemas.openxmlformats.org/officeDocument/2006/relationships/hyperlink" Target="https://www.sterlinglawyers.com/illinois/attorneys/katie-vandeusen/reviews/page/12/" TargetMode="External"/><Relationship Id="rId2033" Type="http://schemas.openxmlformats.org/officeDocument/2006/relationships/hyperlink" Target="https://www.sterlinglawyers.com/wisconsin/reviews/page/222/" TargetMode="External"/><Relationship Id="rId114" Type="http://schemas.openxmlformats.org/officeDocument/2006/relationships/hyperlink" Target="https://www.sterlinglawyers.com/faq/" TargetMode="External"/><Relationship Id="rId2034" Type="http://schemas.openxmlformats.org/officeDocument/2006/relationships/hyperlink" Target="https://www.sterlinglawyers.com/wisconsin/reviews/page/221/" TargetMode="External"/><Relationship Id="rId113" Type="http://schemas.openxmlformats.org/officeDocument/2006/relationships/hyperlink" Target="https://www.sterlinglawyers.com/wisconsin/attorneys/" TargetMode="External"/><Relationship Id="rId2035" Type="http://schemas.openxmlformats.org/officeDocument/2006/relationships/hyperlink" Target="https://www.sterlinglawyers.com/reviews/page/13/" TargetMode="External"/><Relationship Id="rId112" Type="http://schemas.openxmlformats.org/officeDocument/2006/relationships/hyperlink" Target="https://www.sterlinglawyers.com/attorneys/" TargetMode="External"/><Relationship Id="rId2036" Type="http://schemas.openxmlformats.org/officeDocument/2006/relationships/hyperlink" Target="https://www.sterlinglawyers.com/reviews/page/12/" TargetMode="External"/><Relationship Id="rId111" Type="http://schemas.openxmlformats.org/officeDocument/2006/relationships/hyperlink" Target="https://www.sterlinglawyers.com/child-custody/parenting-plan/" TargetMode="External"/><Relationship Id="rId2037" Type="http://schemas.openxmlformats.org/officeDocument/2006/relationships/hyperlink" Target="https://www.sterlinglawyers.com/wisconsin/attorneys/ellen-rhodeman/reviews/page/8/" TargetMode="External"/><Relationship Id="rId2005" Type="http://schemas.openxmlformats.org/officeDocument/2006/relationships/hyperlink" Target="https://www.sterlinglawyers.com/wisconsin/attorneys/jack-braaten/reviews/page/8/" TargetMode="External"/><Relationship Id="rId2006" Type="http://schemas.openxmlformats.org/officeDocument/2006/relationships/hyperlink" Target="https://www.sterlinglawyers.com/wisconsin/attorneys/jack-braaten/reviews/page/24/" TargetMode="External"/><Relationship Id="rId2007" Type="http://schemas.openxmlformats.org/officeDocument/2006/relationships/hyperlink" Target="https://www.sterlinglawyers.com/wisconsin/attorneys/andria-adams/reviews/page/14/" TargetMode="External"/><Relationship Id="rId2008" Type="http://schemas.openxmlformats.org/officeDocument/2006/relationships/hyperlink" Target="https://www.sterlinglawyers.com/wisconsin/attorneys/andria-adams/reviews/page/13/" TargetMode="External"/><Relationship Id="rId2009" Type="http://schemas.openxmlformats.org/officeDocument/2006/relationships/hyperlink" Target="https://www.sterlinglawyers.com/wisconsin/attorneys/robert-keenan/reviews/page/33/" TargetMode="External"/><Relationship Id="rId2000" Type="http://schemas.openxmlformats.org/officeDocument/2006/relationships/hyperlink" Target="https://www.sterlinglawyers.com/wisconsin/attorneys/jeffrey-morrell/reviews/page/8/" TargetMode="External"/><Relationship Id="rId2001" Type="http://schemas.openxmlformats.org/officeDocument/2006/relationships/hyperlink" Target="https://www.sterlinglawyers.com/wisconsin/attorneys/andria-adams/reviews/page/8/" TargetMode="External"/><Relationship Id="rId2002" Type="http://schemas.openxmlformats.org/officeDocument/2006/relationships/hyperlink" Target="https://www.sterlinglawyers.com/wisconsin/attorneys/tiffany-vogel/reviews/page/8/" TargetMode="External"/><Relationship Id="rId2003" Type="http://schemas.openxmlformats.org/officeDocument/2006/relationships/hyperlink" Target="https://www.sterlinglawyers.com/wisconsin/attorneys/austin-miller/reviews/page/29/" TargetMode="External"/><Relationship Id="rId2004" Type="http://schemas.openxmlformats.org/officeDocument/2006/relationships/hyperlink" Target="https://www.sterlinglawyers.com/wisconsin/attorneys/jack-braaten/reviews/page/9/" TargetMode="External"/><Relationship Id="rId2090" Type="http://schemas.openxmlformats.org/officeDocument/2006/relationships/hyperlink" Target="https://www.sterlinglawyers.com/illinois/attorneys/alexandra-isroff/reviews/page/14/" TargetMode="External"/><Relationship Id="rId2091" Type="http://schemas.openxmlformats.org/officeDocument/2006/relationships/hyperlink" Target="https://www.sterlinglawyers.com/reviews/page/218/" TargetMode="External"/><Relationship Id="rId2092" Type="http://schemas.openxmlformats.org/officeDocument/2006/relationships/hyperlink" Target="https://www.sterlinglawyers.com/reviews/page/219/" TargetMode="External"/><Relationship Id="rId2093" Type="http://schemas.openxmlformats.org/officeDocument/2006/relationships/hyperlink" Target="https://www.sterlinglawyers.com/reviews/page/15/" TargetMode="External"/><Relationship Id="rId2094" Type="http://schemas.openxmlformats.org/officeDocument/2006/relationships/hyperlink" Target="https://www.sterlinglawyers.com/wisconsin/reviews/page/219/" TargetMode="External"/><Relationship Id="rId2095" Type="http://schemas.openxmlformats.org/officeDocument/2006/relationships/hyperlink" Target="https://www.sterlinglawyers.com/illinois/attorneys/katie-vandeusen/reviews/page/14/" TargetMode="External"/><Relationship Id="rId2096" Type="http://schemas.openxmlformats.org/officeDocument/2006/relationships/hyperlink" Target="https://www.sterlinglawyers.com/illinois/attorneys/katie-vandeusen/reviews/page/15/" TargetMode="External"/><Relationship Id="rId2097" Type="http://schemas.openxmlformats.org/officeDocument/2006/relationships/hyperlink" Target="https://www.sterlinglawyers.com/wisconsin/dirty-divorce-tricks/lying-about-abuse/" TargetMode="External"/><Relationship Id="rId2098" Type="http://schemas.openxmlformats.org/officeDocument/2006/relationships/hyperlink" Target="https://www.sterlinglawyers.com/blog/page/4/?et_blog" TargetMode="External"/><Relationship Id="rId2099" Type="http://schemas.openxmlformats.org/officeDocument/2006/relationships/hyperlink" Target="https://www.sterlinglawyers.com/wisconsin/dirty-divorce-tricks/spousal-starving-tactics/" TargetMode="External"/><Relationship Id="rId2060" Type="http://schemas.openxmlformats.org/officeDocument/2006/relationships/hyperlink" Target="https://www.sterlinglawyers.com/flourishing-families/shape-up-shoppe/" TargetMode="External"/><Relationship Id="rId2061" Type="http://schemas.openxmlformats.org/officeDocument/2006/relationships/hyperlink" Target="https://www.sterlinglawyers.com/wisdom-from-attorney-knighton/effectively-prepare-divorce-court/" TargetMode="External"/><Relationship Id="rId2062" Type="http://schemas.openxmlformats.org/officeDocument/2006/relationships/hyperlink" Target="https://www.sterlinglawyers.com/blog/page/3/?et_blog" TargetMode="External"/><Relationship Id="rId2063" Type="http://schemas.openxmlformats.org/officeDocument/2006/relationships/hyperlink" Target="https://www.sterlinglawyers.com/flourishing-families/cooking-together/" TargetMode="External"/><Relationship Id="rId2064" Type="http://schemas.openxmlformats.org/officeDocument/2006/relationships/hyperlink" Target="https://www.sterlinglawyers.com/case-law/cheating-affects-alimony/" TargetMode="External"/><Relationship Id="rId2065" Type="http://schemas.openxmlformats.org/officeDocument/2006/relationships/hyperlink" Target="https://www.sterlinglawyers.com/news/sterling-lawyers-advises-evanston-year-end-divorce-decisions/" TargetMode="External"/><Relationship Id="rId2066" Type="http://schemas.openxmlformats.org/officeDocument/2006/relationships/hyperlink" Target="https://www.sterlinglawyers.com/case-law/degree-property/" TargetMode="External"/><Relationship Id="rId2067" Type="http://schemas.openxmlformats.org/officeDocument/2006/relationships/hyperlink" Target="https://www.sterlinglawyers.com/flourishing-families/gardening-food-insecurity/" TargetMode="External"/><Relationship Id="rId2068" Type="http://schemas.openxmlformats.org/officeDocument/2006/relationships/hyperlink" Target="https://www.sterlinglawyers.com/wisconsin/blog/beloit-spousal-support-lawyer-establishing-financial-security/divorce%20lawyers%20Beloit/" TargetMode="External"/><Relationship Id="rId2069" Type="http://schemas.openxmlformats.org/officeDocument/2006/relationships/hyperlink" Target="https://www.sterlinglawyers.com/wisdom-from-attorney-knighton/create-successful-parenting-plan/" TargetMode="External"/><Relationship Id="rId2050" Type="http://schemas.openxmlformats.org/officeDocument/2006/relationships/hyperlink" Target="https://www.sterlinglawyers.com/meet-us/power-shared-experiences/" TargetMode="External"/><Relationship Id="rId2051" Type="http://schemas.openxmlformats.org/officeDocument/2006/relationships/hyperlink" Target="https://www.sterlinglawyers.com/wisconsin/blog/how-to-tell-your-wife-you-want-a-divorce/" TargetMode="External"/><Relationship Id="rId2052" Type="http://schemas.openxmlformats.org/officeDocument/2006/relationships/hyperlink" Target="https://www.sterlinglawyers.com/wisdom-from-attorney-knighton/deal-spouses-debt/" TargetMode="External"/><Relationship Id="rId2053" Type="http://schemas.openxmlformats.org/officeDocument/2006/relationships/hyperlink" Target="https://www.sterlinglawyers.com/wisdom-from-attorney-knighton/top-secrets-home-buying-divorcing/" TargetMode="External"/><Relationship Id="rId2054" Type="http://schemas.openxmlformats.org/officeDocument/2006/relationships/hyperlink" Target="https://www.sterlinglawyers.com/case-law/life-insurance-divorce/" TargetMode="External"/><Relationship Id="rId2055" Type="http://schemas.openxmlformats.org/officeDocument/2006/relationships/hyperlink" Target="https://www.sterlinglawyers.com/illinois/attorneys/alexandra-isroff/reviews/page/12/" TargetMode="External"/><Relationship Id="rId2056" Type="http://schemas.openxmlformats.org/officeDocument/2006/relationships/hyperlink" Target="https://www.sterlinglawyers.com/blog/?et_blog" TargetMode="External"/><Relationship Id="rId2057" Type="http://schemas.openxmlformats.org/officeDocument/2006/relationships/hyperlink" Target="https://www.sterlinglawyers.com/meet-us/strong-family-society/" TargetMode="External"/><Relationship Id="rId2058" Type="http://schemas.openxmlformats.org/officeDocument/2006/relationships/hyperlink" Target="https://www.sterlinglawyers.com/case-law/change-mind-divorce/" TargetMode="External"/><Relationship Id="rId2059" Type="http://schemas.openxmlformats.org/officeDocument/2006/relationships/hyperlink" Target="https://www.sterlinglawyers.com/news/schaumburg-parents-prepare-stress-free-holidays/" TargetMode="External"/><Relationship Id="rId2080" Type="http://schemas.openxmlformats.org/officeDocument/2006/relationships/hyperlink" Target="https://www.sterlinglawyers.com/wisdom-from-attorney-knighton/3-suggestions-dealing-rude-disrespectful-spouse/" TargetMode="External"/><Relationship Id="rId2081" Type="http://schemas.openxmlformats.org/officeDocument/2006/relationships/hyperlink" Target="https://www.sterlinglawyers.com/wisconsin/attorneys/erin-boyd/" TargetMode="External"/><Relationship Id="rId2082" Type="http://schemas.openxmlformats.org/officeDocument/2006/relationships/hyperlink" Target="https://www.sterlinglawyers.com/wisconsin/attorneys/joanna-fraczek/" TargetMode="External"/><Relationship Id="rId2083" Type="http://schemas.openxmlformats.org/officeDocument/2006/relationships/hyperlink" Target="https://www.sterlinglawyers.com/wisdom-from-attorney-knighton/how-does-life-insurance-impact-divorce/" TargetMode="External"/><Relationship Id="rId2084" Type="http://schemas.openxmlformats.org/officeDocument/2006/relationships/hyperlink" Target="https://www.sterlinglawyers.com/wisconsin/divorce/how-to-tell-your-wife-you-want-a-divorce/" TargetMode="External"/><Relationship Id="rId2085" Type="http://schemas.openxmlformats.org/officeDocument/2006/relationships/hyperlink" Target="https://www.sterlinglawyers.com/wisdom-from-attorney-knighton/tips-on-dealing-with-your-spouse-during-divorce/" TargetMode="External"/><Relationship Id="rId2086" Type="http://schemas.openxmlformats.org/officeDocument/2006/relationships/hyperlink" Target="https://www.sterlinglawyers.com/illinois/reviews/page/217/" TargetMode="External"/><Relationship Id="rId2087" Type="http://schemas.openxmlformats.org/officeDocument/2006/relationships/hyperlink" Target="https://www.sterlinglawyers.com/wisconsin/attorneys/bailey-holt/reviews/page/17/" TargetMode="External"/><Relationship Id="rId2088" Type="http://schemas.openxmlformats.org/officeDocument/2006/relationships/hyperlink" Target="https://www.sterlinglawyers.com/wisconsin/blog/depression-and-divorce-a-self-help-checklist/" TargetMode="External"/><Relationship Id="rId2089" Type="http://schemas.openxmlformats.org/officeDocument/2006/relationships/hyperlink" Target="https://www.sterlinglawyers.com/wisconsin/blog/in-laws-during-divorce-process/" TargetMode="External"/><Relationship Id="rId2070" Type="http://schemas.openxmlformats.org/officeDocument/2006/relationships/hyperlink" Target="https://www.sterlinglawyers.com/wisdom-from-attorney-knighton/common-questions-on-finances-during-divorce/" TargetMode="External"/><Relationship Id="rId2071" Type="http://schemas.openxmlformats.org/officeDocument/2006/relationships/hyperlink" Target="https://www.sterlinglawyers.com/wisdom-from-attorney-knighton/how-debt-is-divided-in-divorce/" TargetMode="External"/><Relationship Id="rId2072" Type="http://schemas.openxmlformats.org/officeDocument/2006/relationships/hyperlink" Target="https://www.sterlinglawyers.com/wisconsin/attorneys/anne-mcintyre/" TargetMode="External"/><Relationship Id="rId2073" Type="http://schemas.openxmlformats.org/officeDocument/2006/relationships/hyperlink" Target="https://www.sterlinglawyers.com/wisdom-from-attorney-knighton/top-secrets-selling-home-divorce/" TargetMode="External"/><Relationship Id="rId2074" Type="http://schemas.openxmlformats.org/officeDocument/2006/relationships/hyperlink" Target="https://www.sterlinglawyers.com/wisdom-from-attorney-knighton/effectively-serve-divorce-paperwork/" TargetMode="External"/><Relationship Id="rId2075" Type="http://schemas.openxmlformats.org/officeDocument/2006/relationships/hyperlink" Target="https://www.sterlinglawyers.com/wisdom-from-attorney-knighton/insurance-considerations-during-a-divorce/" TargetMode="External"/><Relationship Id="rId2076" Type="http://schemas.openxmlformats.org/officeDocument/2006/relationships/hyperlink" Target="https://www.sterlinglawyers.com/wisdom-from-attorney-knighton/propel-career-lower-alimony/" TargetMode="External"/><Relationship Id="rId2077" Type="http://schemas.openxmlformats.org/officeDocument/2006/relationships/hyperlink" Target="https://www.sterlinglawyers.com/wisdom-from-attorney-knighton/3-reasons-throw-away-goals-get-want-differently/" TargetMode="External"/><Relationship Id="rId2078" Type="http://schemas.openxmlformats.org/officeDocument/2006/relationships/hyperlink" Target="https://www.sterlinglawyers.com/wisdom-from-attorney-knighton/understanding-child-placement-in-wisconsin/" TargetMode="External"/><Relationship Id="rId2079" Type="http://schemas.openxmlformats.org/officeDocument/2006/relationships/hyperlink" Target="https://www.sterlinglawyers.com/wisdom-from-attorney-knighton/understanding-child-custody-in-wisconsin/" TargetMode="External"/><Relationship Id="rId2940" Type="http://schemas.openxmlformats.org/officeDocument/2006/relationships/hyperlink" Target="https://www.sterlinglawyers.com/wisconsin/reviews/page/153/" TargetMode="External"/><Relationship Id="rId1610" Type="http://schemas.openxmlformats.org/officeDocument/2006/relationships/hyperlink" Target="https://www.sterlinglawyers.com/wisconsin/blog/empowering-clients-spousal-support-west-bend/" TargetMode="External"/><Relationship Id="rId2941" Type="http://schemas.openxmlformats.org/officeDocument/2006/relationships/hyperlink" Target="https://www.sterlinglawyers.com/illinois/reviews/page/80/" TargetMode="External"/><Relationship Id="rId1611" Type="http://schemas.openxmlformats.org/officeDocument/2006/relationships/hyperlink" Target="https://www.sterlinglawyers.com/wisconsin/blog/mequon-property-division-lawyers-smooth-transition/" TargetMode="External"/><Relationship Id="rId2942" Type="http://schemas.openxmlformats.org/officeDocument/2006/relationships/hyperlink" Target="https://www.sterlinglawyers.com/reviews/page/153/" TargetMode="External"/><Relationship Id="rId1612" Type="http://schemas.openxmlformats.org/officeDocument/2006/relationships/hyperlink" Target="https://www.sterlinglawyers.com/wisconsin/blog/preserving-family-harmony-divorce-baraboo/" TargetMode="External"/><Relationship Id="rId2943" Type="http://schemas.openxmlformats.org/officeDocument/2006/relationships/hyperlink" Target="https://www.sterlinglawyers.com/reviews/page/152/" TargetMode="External"/><Relationship Id="rId1613" Type="http://schemas.openxmlformats.org/officeDocument/2006/relationships/hyperlink" Target="https://www.sterlinglawyers.com/wisconsin/blog/closer-look-collaborative-divorce-oshkosh-lawyers/" TargetMode="External"/><Relationship Id="rId2944" Type="http://schemas.openxmlformats.org/officeDocument/2006/relationships/hyperlink" Target="https://www.sterlinglawyers.com/reviews/page/151/" TargetMode="External"/><Relationship Id="rId1614" Type="http://schemas.openxmlformats.org/officeDocument/2006/relationships/hyperlink" Target="https://www.sterlinglawyers.com/wisconsin/blog/steering-through-contested-divorce-oshkosh/" TargetMode="External"/><Relationship Id="rId2945" Type="http://schemas.openxmlformats.org/officeDocument/2006/relationships/hyperlink" Target="https://www.sterlinglawyers.com/wisconsin/reviews/page/154/" TargetMode="External"/><Relationship Id="rId1615" Type="http://schemas.openxmlformats.org/officeDocument/2006/relationships/hyperlink" Target="https://www.sterlinglawyers.com/wisconsin/blog/empowering-military-divorce-clients-in-menomonee-falls/" TargetMode="External"/><Relationship Id="rId2946" Type="http://schemas.openxmlformats.org/officeDocument/2006/relationships/hyperlink" Target="https://www.sterlinglawyers.com/wisconsin/reviews/page/151/" TargetMode="External"/><Relationship Id="rId1616" Type="http://schemas.openxmlformats.org/officeDocument/2006/relationships/hyperlink" Target="https://www.sterlinglawyers.com/wisconsin/blog/janesville-uncontested-divorce-legalities/" TargetMode="External"/><Relationship Id="rId2947" Type="http://schemas.openxmlformats.org/officeDocument/2006/relationships/hyperlink" Target="https://www.sterlinglawyers.com/reviews/page/150/" TargetMode="External"/><Relationship Id="rId907" Type="http://schemas.openxmlformats.org/officeDocument/2006/relationships/hyperlink" Target="https://www.sterlinglawyers.com/wisconsin/areas/sheboygan-county/plymouth/" TargetMode="External"/><Relationship Id="rId1617" Type="http://schemas.openxmlformats.org/officeDocument/2006/relationships/hyperlink" Target="https://www.sterlinglawyers.com/wisconsin/divorce/waukesha-county/" TargetMode="External"/><Relationship Id="rId2948" Type="http://schemas.openxmlformats.org/officeDocument/2006/relationships/hyperlink" Target="https://www.sterlinglawyers.com/wisconsin/reviews/page/76/" TargetMode="External"/><Relationship Id="rId906" Type="http://schemas.openxmlformats.org/officeDocument/2006/relationships/hyperlink" Target="https://www.sterlinglawyers.com/wisconsin/areas/waukesha-county/new-berlin/" TargetMode="External"/><Relationship Id="rId1618" Type="http://schemas.openxmlformats.org/officeDocument/2006/relationships/hyperlink" Target="https://www.sterlinglawyers.com/topic/how-to-tell-your-wife-you-want-a-divorce/" TargetMode="External"/><Relationship Id="rId2949" Type="http://schemas.openxmlformats.org/officeDocument/2006/relationships/hyperlink" Target="https://www.sterlinglawyers.com/reviews/page/83/" TargetMode="External"/><Relationship Id="rId905" Type="http://schemas.openxmlformats.org/officeDocument/2006/relationships/hyperlink" Target="https://www.sterlinglawyers.com/wisconsin/areas/marathon-county/" TargetMode="External"/><Relationship Id="rId1619" Type="http://schemas.openxmlformats.org/officeDocument/2006/relationships/hyperlink" Target="https://www.sterlinglawyers.com/wisconsin/blog/managing-stress-emotions-family-law-racine-military-divorce-lawyers/" TargetMode="External"/><Relationship Id="rId904" Type="http://schemas.openxmlformats.org/officeDocument/2006/relationships/hyperlink" Target="https://www.sterlinglawyers.com/wisconsin/areas/trempealeau-county/" TargetMode="External"/><Relationship Id="rId909" Type="http://schemas.openxmlformats.org/officeDocument/2006/relationships/hyperlink" Target="https://www.sterlinglawyers.com/wisconsin/areas/waukesha-county/genesee/" TargetMode="External"/><Relationship Id="rId908" Type="http://schemas.openxmlformats.org/officeDocument/2006/relationships/hyperlink" Target="https://www.sterlinglawyers.com/wisconsin/areas/la-crosse-county/onalaska/" TargetMode="External"/><Relationship Id="rId903" Type="http://schemas.openxmlformats.org/officeDocument/2006/relationships/hyperlink" Target="https://www.sterlinglawyers.com/wisconsin/areas/fond-du-lac-county/ripon/" TargetMode="External"/><Relationship Id="rId902" Type="http://schemas.openxmlformats.org/officeDocument/2006/relationships/hyperlink" Target="https://www.sterlinglawyers.com/wisconsin/areas/adams-county/" TargetMode="External"/><Relationship Id="rId901" Type="http://schemas.openxmlformats.org/officeDocument/2006/relationships/hyperlink" Target="https://www.sterlinglawyers.com/wisconsin/areas/grant-county/" TargetMode="External"/><Relationship Id="rId900" Type="http://schemas.openxmlformats.org/officeDocument/2006/relationships/hyperlink" Target="https://www.sterlinglawyers.com/wisconsin/areas/bayfield-county/" TargetMode="External"/><Relationship Id="rId2930" Type="http://schemas.openxmlformats.org/officeDocument/2006/relationships/hyperlink" Target="https://www.sterlinglawyers.com/illinois/reviews/page/73/" TargetMode="External"/><Relationship Id="rId1600" Type="http://schemas.openxmlformats.org/officeDocument/2006/relationships/hyperlink" Target="https://www.sterlinglawyers.com/wisconsin/divorce/what-is-divorce-from-bed-and-board/" TargetMode="External"/><Relationship Id="rId2931" Type="http://schemas.openxmlformats.org/officeDocument/2006/relationships/hyperlink" Target="https://www.sterlinglawyers.com/illinois/reviews/page/153/" TargetMode="External"/><Relationship Id="rId1601" Type="http://schemas.openxmlformats.org/officeDocument/2006/relationships/hyperlink" Target="https://www.sterlinglawyers.com/wisconsin/locations/oconomowoc/alimony-lawyers/divorce-mediation-lawyers/" TargetMode="External"/><Relationship Id="rId2932" Type="http://schemas.openxmlformats.org/officeDocument/2006/relationships/hyperlink" Target="https://www.sterlinglawyers.com/illinois/reviews/page/152/" TargetMode="External"/><Relationship Id="rId1602" Type="http://schemas.openxmlformats.org/officeDocument/2006/relationships/hyperlink" Target="https://www.sterlinglawyers.com/flourishing-families/siblings-foster-care/" TargetMode="External"/><Relationship Id="rId2933" Type="http://schemas.openxmlformats.org/officeDocument/2006/relationships/hyperlink" Target="https://www.sterlinglawyers.com/illinois/reviews/page/79/" TargetMode="External"/><Relationship Id="rId1603" Type="http://schemas.openxmlformats.org/officeDocument/2006/relationships/hyperlink" Target="https://www.sterlinglawyers.com/wisconsin/divorce/what-is-an-absolute-divorce/" TargetMode="External"/><Relationship Id="rId2934" Type="http://schemas.openxmlformats.org/officeDocument/2006/relationships/hyperlink" Target="https://www.sterlinglawyers.com/illinois/reviews/page/151/" TargetMode="External"/><Relationship Id="rId1604" Type="http://schemas.openxmlformats.org/officeDocument/2006/relationships/hyperlink" Target="https://www.sterlinglawyers.com/wisconsin/wp-content/uploads/sites/2/Wisconsin-Serial-Family-Parent-Child-Support-Worksheet.pdf" TargetMode="External"/><Relationship Id="rId2935" Type="http://schemas.openxmlformats.org/officeDocument/2006/relationships/hyperlink" Target="https://www.sterlinglawyers.com/reviews/page/80/" TargetMode="External"/><Relationship Id="rId1605" Type="http://schemas.openxmlformats.org/officeDocument/2006/relationships/hyperlink" Target="https://www.sterlinglawyers.com/wisconsin/blog/steps-achieve-spousal-support-fond-du-lac/" TargetMode="External"/><Relationship Id="rId2936" Type="http://schemas.openxmlformats.org/officeDocument/2006/relationships/hyperlink" Target="https://www.sterlinglawyers.com/illinois/reviews/page/81/" TargetMode="External"/><Relationship Id="rId1606" Type="http://schemas.openxmlformats.org/officeDocument/2006/relationships/hyperlink" Target="https://www.sterlinglawyers.com/wisconsin/blog/guidance-road-of-military-divorce-west-bend-lawyers/" TargetMode="External"/><Relationship Id="rId2937" Type="http://schemas.openxmlformats.org/officeDocument/2006/relationships/hyperlink" Target="https://www.sterlinglawyers.com/reviews/page/81/" TargetMode="External"/><Relationship Id="rId1607" Type="http://schemas.openxmlformats.org/officeDocument/2006/relationships/hyperlink" Target="https://www.sterlinglawyers.com/wisconsin/blog/beaver-dam-attorneys-guiding-child-custody-disputes/" TargetMode="External"/><Relationship Id="rId2938" Type="http://schemas.openxmlformats.org/officeDocument/2006/relationships/hyperlink" Target="https://www.sterlinglawyers.com/wisconsin/reviews/page/79/" TargetMode="External"/><Relationship Id="rId1608" Type="http://schemas.openxmlformats.org/officeDocument/2006/relationships/hyperlink" Target="https://www.sterlinglawyers.com/wisconsin/blog/turning-the-page-life-kenosha-contested-divorce-lawyers/" TargetMode="External"/><Relationship Id="rId2939" Type="http://schemas.openxmlformats.org/officeDocument/2006/relationships/hyperlink" Target="https://www.sterlinglawyers.com/wisconsin/reviews/page/78/" TargetMode="External"/><Relationship Id="rId1609" Type="http://schemas.openxmlformats.org/officeDocument/2006/relationships/hyperlink" Target="https://www.sterlinglawyers.com/wisconsin/blog/kenosha-fathers-quest-for-establishing-paternity/" TargetMode="External"/><Relationship Id="rId1631" Type="http://schemas.openxmlformats.org/officeDocument/2006/relationships/hyperlink" Target="https://www.sterlinglawyers.com/news/navigating-divorce/" TargetMode="External"/><Relationship Id="rId2962" Type="http://schemas.openxmlformats.org/officeDocument/2006/relationships/hyperlink" Target="https://www.sterlinglawyers.com/reviews/page/148/" TargetMode="External"/><Relationship Id="rId1632" Type="http://schemas.openxmlformats.org/officeDocument/2006/relationships/hyperlink" Target="https://www.sterlinglawyers.com/wisconsin/blog/beloit-spousal-support-lawyer-establishing-financial-security/" TargetMode="External"/><Relationship Id="rId2963" Type="http://schemas.openxmlformats.org/officeDocument/2006/relationships/hyperlink" Target="https://www.sterlinglawyers.com/wisconsin/reviews/page/149/" TargetMode="External"/><Relationship Id="rId1633" Type="http://schemas.openxmlformats.org/officeDocument/2006/relationships/hyperlink" Target="https://www.sterlinglawyers.com/wisconsin/blog/child-support-cases-unraveled-racine-lawyers/" TargetMode="External"/><Relationship Id="rId2964" Type="http://schemas.openxmlformats.org/officeDocument/2006/relationships/hyperlink" Target="https://www.sterlinglawyers.com/wisconsin/reviews/page/80/" TargetMode="External"/><Relationship Id="rId1634" Type="http://schemas.openxmlformats.org/officeDocument/2006/relationships/hyperlink" Target="https://www.sterlinglawyers.com/wisconsin/divorce/how-can-i-be-officially-divorced-without-signing-anything/" TargetMode="External"/><Relationship Id="rId2965" Type="http://schemas.openxmlformats.org/officeDocument/2006/relationships/hyperlink" Target="https://www.sterlinglawyers.com/reviews/page/149/" TargetMode="External"/><Relationship Id="rId1635" Type="http://schemas.openxmlformats.org/officeDocument/2006/relationships/hyperlink" Target="https://www.sterlinglawyers.com/wisconsin/divorce/file-for-divorce/file-dane-county/" TargetMode="External"/><Relationship Id="rId2966" Type="http://schemas.openxmlformats.org/officeDocument/2006/relationships/hyperlink" Target="https://www.sterlinglawyers.com/wisconsin/reviews/page/82/" TargetMode="External"/><Relationship Id="rId1636" Type="http://schemas.openxmlformats.org/officeDocument/2006/relationships/hyperlink" Target="https://www.sterlinglawyers.com/wisconsin/divorce/dane-county/" TargetMode="External"/><Relationship Id="rId2967" Type="http://schemas.openxmlformats.org/officeDocument/2006/relationships/hyperlink" Target="https://www.sterlinglawyers.com/wisconsin/reviews/page/148/" TargetMode="External"/><Relationship Id="rId1637" Type="http://schemas.openxmlformats.org/officeDocument/2006/relationships/hyperlink" Target="https://www.sterlinglawyers.com/wisconsin/blog/unfolding-legal-process-uncontested-divorce-waukesha/" TargetMode="External"/><Relationship Id="rId2968" Type="http://schemas.openxmlformats.org/officeDocument/2006/relationships/hyperlink" Target="https://www.sterlinglawyers.com/wisconsin/reviews/page/83/" TargetMode="External"/><Relationship Id="rId1638" Type="http://schemas.openxmlformats.org/officeDocument/2006/relationships/hyperlink" Target="https://www.sterlinglawyers.com/wisconsin/blog/smooth-transition-collaborative-divorce-lawyers/" TargetMode="External"/><Relationship Id="rId2969" Type="http://schemas.openxmlformats.org/officeDocument/2006/relationships/hyperlink" Target="https://www.sterlinglawyers.com/wisconsin/reviews/page/152/" TargetMode="External"/><Relationship Id="rId929" Type="http://schemas.openxmlformats.org/officeDocument/2006/relationships/hyperlink" Target="https://www.sterlinglawyers.com/wisconsin/areas/st-croix-county/new-richmond/" TargetMode="External"/><Relationship Id="rId1639" Type="http://schemas.openxmlformats.org/officeDocument/2006/relationships/hyperlink" Target="https://www.sterlinglawyers.com/wisconsin/blog/navigating-contested-divorce-with-a-milwaukee-lawyer/" TargetMode="External"/><Relationship Id="rId928" Type="http://schemas.openxmlformats.org/officeDocument/2006/relationships/hyperlink" Target="https://www.sterlinglawyers.com/wisconsin/areas/walworth-county/delevan/" TargetMode="External"/><Relationship Id="rId927" Type="http://schemas.openxmlformats.org/officeDocument/2006/relationships/hyperlink" Target="https://www.sterlinglawyers.com/wisconsin/areas/oneida-county/" TargetMode="External"/><Relationship Id="rId926" Type="http://schemas.openxmlformats.org/officeDocument/2006/relationships/hyperlink" Target="https://www.sterlinglawyers.com/wisconsin/areas/dane-county/monona/" TargetMode="External"/><Relationship Id="rId921" Type="http://schemas.openxmlformats.org/officeDocument/2006/relationships/hyperlink" Target="https://www.sterlinglawyers.com/wisconsin/areas/manitowoc-county/manitowoc/" TargetMode="External"/><Relationship Id="rId920" Type="http://schemas.openxmlformats.org/officeDocument/2006/relationships/hyperlink" Target="https://www.sterlinglawyers.com/wisconsin/areas/marathon-county/wausau/" TargetMode="External"/><Relationship Id="rId925" Type="http://schemas.openxmlformats.org/officeDocument/2006/relationships/hyperlink" Target="https://www.sterlinglawyers.com/wisconsin/areas/washington-county/" TargetMode="External"/><Relationship Id="rId924" Type="http://schemas.openxmlformats.org/officeDocument/2006/relationships/hyperlink" Target="https://www.sterlinglawyers.com/wisconsin/areas/juneau-county/" TargetMode="External"/><Relationship Id="rId923" Type="http://schemas.openxmlformats.org/officeDocument/2006/relationships/hyperlink" Target="https://www.sterlinglawyers.com/wisconsin/areas/waushara-county/" TargetMode="External"/><Relationship Id="rId922" Type="http://schemas.openxmlformats.org/officeDocument/2006/relationships/hyperlink" Target="https://www.sterlinglawyers.com/wisconsin/areas/vernon-county/" TargetMode="External"/><Relationship Id="rId2960" Type="http://schemas.openxmlformats.org/officeDocument/2006/relationships/hyperlink" Target="https://www.sterlinglawyers.com/reviews/page/84/" TargetMode="External"/><Relationship Id="rId1630" Type="http://schemas.openxmlformats.org/officeDocument/2006/relationships/hyperlink" Target="https://www.sterlinglawyers.com/wisconsin/blog/professional-legal-guidance-uncontested-divorce-beloit/%5Bactual%20attorney%20URL%5D" TargetMode="External"/><Relationship Id="rId2961" Type="http://schemas.openxmlformats.org/officeDocument/2006/relationships/hyperlink" Target="https://www.sterlinglawyers.com/reviews/page/85/" TargetMode="External"/><Relationship Id="rId1620" Type="http://schemas.openxmlformats.org/officeDocument/2006/relationships/hyperlink" Target="https://www.sterlinglawyers.com/case-law/earning-capacity-divorce/" TargetMode="External"/><Relationship Id="rId2951" Type="http://schemas.openxmlformats.org/officeDocument/2006/relationships/hyperlink" Target="https://www.sterlinglawyers.com/illinois/reviews/page/82/" TargetMode="External"/><Relationship Id="rId1621" Type="http://schemas.openxmlformats.org/officeDocument/2006/relationships/hyperlink" Target="https://www.sterlinglawyers.com/wisconsin/blog/finding-light-challenging-contested-divorce-fond-du-lac/" TargetMode="External"/><Relationship Id="rId2952" Type="http://schemas.openxmlformats.org/officeDocument/2006/relationships/hyperlink" Target="https://www.sterlinglawyers.com/illinois/reviews/page/83/" TargetMode="External"/><Relationship Id="rId1622" Type="http://schemas.openxmlformats.org/officeDocument/2006/relationships/hyperlink" Target="https://www.sterlinglawyers.com/wisconsin/blog/unwavering-support-complex-brookfield-paternity/" TargetMode="External"/><Relationship Id="rId2953" Type="http://schemas.openxmlformats.org/officeDocument/2006/relationships/hyperlink" Target="https://www.sterlinglawyers.com/reviews/page/82/" TargetMode="External"/><Relationship Id="rId1623" Type="http://schemas.openxmlformats.org/officeDocument/2006/relationships/hyperlink" Target="https://www.sterlinglawyers.com/wisconsin/blog/complexities-property-division-waukesha-county-attorney/" TargetMode="External"/><Relationship Id="rId2954" Type="http://schemas.openxmlformats.org/officeDocument/2006/relationships/hyperlink" Target="https://www.sterlinglawyers.com/illinois/reviews/page/149/" TargetMode="External"/><Relationship Id="rId1624" Type="http://schemas.openxmlformats.org/officeDocument/2006/relationships/hyperlink" Target="https://www.sterlinglawyers.com/wisconsin/blog/stepping-into-parent-shoes-child-custody-concerns-sheboygan/" TargetMode="External"/><Relationship Id="rId2955" Type="http://schemas.openxmlformats.org/officeDocument/2006/relationships/hyperlink" Target="https://www.sterlinglawyers.com/illinois/reviews/page/150/" TargetMode="External"/><Relationship Id="rId1625" Type="http://schemas.openxmlformats.org/officeDocument/2006/relationships/hyperlink" Target="https://www.sterlinglawyers.com/flourishing-families/strong-family-society/" TargetMode="External"/><Relationship Id="rId2956" Type="http://schemas.openxmlformats.org/officeDocument/2006/relationships/hyperlink" Target="https://www.sterlinglawyers.com/illinois/reviews/page/147/" TargetMode="External"/><Relationship Id="rId1626" Type="http://schemas.openxmlformats.org/officeDocument/2006/relationships/hyperlink" Target="https://www.sterlinglawyers.com/wisconsin/divorce/convincing-spouse-to-agree-with-collaborative-divorce/" TargetMode="External"/><Relationship Id="rId2957" Type="http://schemas.openxmlformats.org/officeDocument/2006/relationships/hyperlink" Target="https://www.sterlinglawyers.com/illinois/reviews/page/148/" TargetMode="External"/><Relationship Id="rId1627" Type="http://schemas.openxmlformats.org/officeDocument/2006/relationships/hyperlink" Target="https://www.sterlinglawyers.com/wisconsin/blog/collaborative-divorce-green-bay-new-beginnings/" TargetMode="External"/><Relationship Id="rId2958" Type="http://schemas.openxmlformats.org/officeDocument/2006/relationships/hyperlink" Target="https://www.sterlinglawyers.com/illinois/reviews/page/85/" TargetMode="External"/><Relationship Id="rId918" Type="http://schemas.openxmlformats.org/officeDocument/2006/relationships/hyperlink" Target="https://www.sterlinglawyers.com/wisconsin/areas/waukesha-county/mukwonago/" TargetMode="External"/><Relationship Id="rId1628" Type="http://schemas.openxmlformats.org/officeDocument/2006/relationships/hyperlink" Target="https://www.sterlinglawyers.com/wisconsin/blog/crafting-stability-families-brookfield-collaborative-divorce/" TargetMode="External"/><Relationship Id="rId2959" Type="http://schemas.openxmlformats.org/officeDocument/2006/relationships/hyperlink" Target="https://www.sterlinglawyers.com/illinois/reviews/page/84/" TargetMode="External"/><Relationship Id="rId917" Type="http://schemas.openxmlformats.org/officeDocument/2006/relationships/hyperlink" Target="https://www.sterlinglawyers.com/wisconsin/areas/waukesha-county/vernon/" TargetMode="External"/><Relationship Id="rId1629" Type="http://schemas.openxmlformats.org/officeDocument/2006/relationships/hyperlink" Target="https://www.sterlinglawyers.com/wisconsin/divorce/fundamental-communication-a-fresh-take/" TargetMode="External"/><Relationship Id="rId916" Type="http://schemas.openxmlformats.org/officeDocument/2006/relationships/hyperlink" Target="https://www.sterlinglawyers.com/wisconsin/areas/monroe-county/sparta/" TargetMode="External"/><Relationship Id="rId915" Type="http://schemas.openxmlformats.org/officeDocument/2006/relationships/hyperlink" Target="https://www.sterlinglawyers.com/wisconsin/areas/jackson-county/" TargetMode="External"/><Relationship Id="rId919" Type="http://schemas.openxmlformats.org/officeDocument/2006/relationships/hyperlink" Target="https://www.sterlinglawyers.com/wisconsin/areas/milwaukee-county/cudahy/" TargetMode="External"/><Relationship Id="rId910" Type="http://schemas.openxmlformats.org/officeDocument/2006/relationships/hyperlink" Target="https://www.sterlinglawyers.com/wisconsin/areas/dane-county/mount-horeb/" TargetMode="External"/><Relationship Id="rId914" Type="http://schemas.openxmlformats.org/officeDocument/2006/relationships/hyperlink" Target="https://www.sterlinglawyers.com/wisconsin/areas/dane-county/stoughton/" TargetMode="External"/><Relationship Id="rId913" Type="http://schemas.openxmlformats.org/officeDocument/2006/relationships/hyperlink" Target="https://www.sterlinglawyers.com/wisconsin/areas/milwaukee-county/wauwatosa/" TargetMode="External"/><Relationship Id="rId912" Type="http://schemas.openxmlformats.org/officeDocument/2006/relationships/hyperlink" Target="https://www.sterlinglawyers.com/wisconsin/areas/outagamie-county/little-chute/" TargetMode="External"/><Relationship Id="rId911" Type="http://schemas.openxmlformats.org/officeDocument/2006/relationships/hyperlink" Target="https://www.sterlinglawyers.com/wisconsin/areas/marinette-county/marinette/" TargetMode="External"/><Relationship Id="rId2950" Type="http://schemas.openxmlformats.org/officeDocument/2006/relationships/hyperlink" Target="https://www.sterlinglawyers.com/reviews/page/155/" TargetMode="External"/><Relationship Id="rId2900" Type="http://schemas.openxmlformats.org/officeDocument/2006/relationships/hyperlink" Target="https://www.sterlinglawyers.com/wisconsin/reviews/page/72/" TargetMode="External"/><Relationship Id="rId2901" Type="http://schemas.openxmlformats.org/officeDocument/2006/relationships/hyperlink" Target="https://www.sterlinglawyers.com/wisconsin/reviews/page/73/" TargetMode="External"/><Relationship Id="rId2902" Type="http://schemas.openxmlformats.org/officeDocument/2006/relationships/hyperlink" Target="https://www.sterlinglawyers.com/reviews/page/75/" TargetMode="External"/><Relationship Id="rId2903" Type="http://schemas.openxmlformats.org/officeDocument/2006/relationships/hyperlink" Target="https://www.sterlinglawyers.com/reviews/page/74/" TargetMode="External"/><Relationship Id="rId2904" Type="http://schemas.openxmlformats.org/officeDocument/2006/relationships/hyperlink" Target="https://www.sterlinglawyers.com/illinois/reviews/page/158/" TargetMode="External"/><Relationship Id="rId2905" Type="http://schemas.openxmlformats.org/officeDocument/2006/relationships/hyperlink" Target="https://www.sterlinglawyers.com/illinois/reviews/page/157/" TargetMode="External"/><Relationship Id="rId2906" Type="http://schemas.openxmlformats.org/officeDocument/2006/relationships/hyperlink" Target="https://www.sterlinglawyers.com/illinois/reviews/page/155/" TargetMode="External"/><Relationship Id="rId2907" Type="http://schemas.openxmlformats.org/officeDocument/2006/relationships/hyperlink" Target="https://www.sterlinglawyers.com/illinois/reviews/page/156/" TargetMode="External"/><Relationship Id="rId2908" Type="http://schemas.openxmlformats.org/officeDocument/2006/relationships/hyperlink" Target="https://www.sterlinglawyers.com/reviews/page/76/" TargetMode="External"/><Relationship Id="rId2909" Type="http://schemas.openxmlformats.org/officeDocument/2006/relationships/hyperlink" Target="https://www.sterlinglawyers.com/reviews/page/77/" TargetMode="External"/><Relationship Id="rId2920" Type="http://schemas.openxmlformats.org/officeDocument/2006/relationships/hyperlink" Target="https://www.sterlinglawyers.com/illinois/reviews/page/71/" TargetMode="External"/><Relationship Id="rId2921" Type="http://schemas.openxmlformats.org/officeDocument/2006/relationships/hyperlink" Target="https://www.sterlinglawyers.com/wisconsin/reviews/page/156/" TargetMode="External"/><Relationship Id="rId2922" Type="http://schemas.openxmlformats.org/officeDocument/2006/relationships/hyperlink" Target="https://www.sterlinglawyers.com/reviews/page/154/" TargetMode="External"/><Relationship Id="rId2923" Type="http://schemas.openxmlformats.org/officeDocument/2006/relationships/hyperlink" Target="https://www.sterlinglawyers.com/wisconsin/reviews/page/155/" TargetMode="External"/><Relationship Id="rId2924" Type="http://schemas.openxmlformats.org/officeDocument/2006/relationships/hyperlink" Target="https://www.sterlinglawyers.com/illinois/reviews/page/78/" TargetMode="External"/><Relationship Id="rId2925" Type="http://schemas.openxmlformats.org/officeDocument/2006/relationships/hyperlink" Target="https://www.sterlinglawyers.com/illinois/reviews/page/77/" TargetMode="External"/><Relationship Id="rId2926" Type="http://schemas.openxmlformats.org/officeDocument/2006/relationships/hyperlink" Target="https://www.sterlinglawyers.com/wisconsin/reviews/page/77/" TargetMode="External"/><Relationship Id="rId2927" Type="http://schemas.openxmlformats.org/officeDocument/2006/relationships/hyperlink" Target="https://www.sterlinglawyers.com/reviews/page/79/" TargetMode="External"/><Relationship Id="rId2928" Type="http://schemas.openxmlformats.org/officeDocument/2006/relationships/hyperlink" Target="https://www.sterlinglawyers.com/reviews/page/78/" TargetMode="External"/><Relationship Id="rId2929" Type="http://schemas.openxmlformats.org/officeDocument/2006/relationships/hyperlink" Target="https://www.sterlinglawyers.com/illinois/reviews/page/154/" TargetMode="External"/><Relationship Id="rId2910" Type="http://schemas.openxmlformats.org/officeDocument/2006/relationships/hyperlink" Target="https://www.sterlinglawyers.com/reviews/page/161/" TargetMode="External"/><Relationship Id="rId2911" Type="http://schemas.openxmlformats.org/officeDocument/2006/relationships/hyperlink" Target="https://www.sterlinglawyers.com/wisconsin/reviews/page/75/" TargetMode="External"/><Relationship Id="rId2912" Type="http://schemas.openxmlformats.org/officeDocument/2006/relationships/hyperlink" Target="https://www.sterlinglawyers.com/wisconsin/reviews/page/74/" TargetMode="External"/><Relationship Id="rId2913" Type="http://schemas.openxmlformats.org/officeDocument/2006/relationships/hyperlink" Target="https://www.sterlinglawyers.com/illinois/reviews/page/75/" TargetMode="External"/><Relationship Id="rId2914" Type="http://schemas.openxmlformats.org/officeDocument/2006/relationships/hyperlink" Target="https://www.sterlinglawyers.com/illinois/reviews/page/76/" TargetMode="External"/><Relationship Id="rId2915" Type="http://schemas.openxmlformats.org/officeDocument/2006/relationships/hyperlink" Target="https://www.sterlinglawyers.com/wisconsin/reviews/page/157/" TargetMode="External"/><Relationship Id="rId2916" Type="http://schemas.openxmlformats.org/officeDocument/2006/relationships/hyperlink" Target="https://www.sterlinglawyers.com/reviews/page/158/" TargetMode="External"/><Relationship Id="rId2917" Type="http://schemas.openxmlformats.org/officeDocument/2006/relationships/hyperlink" Target="https://www.sterlinglawyers.com/wisconsin/reviews/page/158/" TargetMode="External"/><Relationship Id="rId2918" Type="http://schemas.openxmlformats.org/officeDocument/2006/relationships/hyperlink" Target="https://www.sterlinglawyers.com/reviews/page/157/" TargetMode="External"/><Relationship Id="rId2919" Type="http://schemas.openxmlformats.org/officeDocument/2006/relationships/hyperlink" Target="https://www.sterlinglawyers.com/reviews/page/156/" TargetMode="External"/><Relationship Id="rId1697" Type="http://schemas.openxmlformats.org/officeDocument/2006/relationships/hyperlink" Target="https://www.sterlinglawyers.com/wisconsin/divorce/leaving-ex-family-business/" TargetMode="External"/><Relationship Id="rId1698" Type="http://schemas.openxmlformats.org/officeDocument/2006/relationships/hyperlink" Target="https://www.sterlinglawyers.com/flourishing-families/impact-inc-milwaukee/" TargetMode="External"/><Relationship Id="rId1699" Type="http://schemas.openxmlformats.org/officeDocument/2006/relationships/hyperlink" Target="https://www.sterlinglawyers.com/wisconsin/blog/guide-property-division-racine-single-parents/" TargetMode="External"/><Relationship Id="rId866" Type="http://schemas.openxmlformats.org/officeDocument/2006/relationships/hyperlink" Target="https://www.sterlinglawyers.com/wisconsin/child-custody/civil-contempt-proceedings-and-child-custody/" TargetMode="External"/><Relationship Id="rId865" Type="http://schemas.openxmlformats.org/officeDocument/2006/relationships/hyperlink" Target="https://www.sterlinglawyers.com/wisconsin/child-custody/parenting-coordinator/" TargetMode="External"/><Relationship Id="rId864" Type="http://schemas.openxmlformats.org/officeDocument/2006/relationships/hyperlink" Target="https://www.sterlinglawyers.com/wisconsin/child-custody/ex-behaving-badly-in-front-of-kids/" TargetMode="External"/><Relationship Id="rId863" Type="http://schemas.openxmlformats.org/officeDocument/2006/relationships/hyperlink" Target="https://www.sterlinglawyers.com/wisconsin/child-support/increased-income-affect-child-support/" TargetMode="External"/><Relationship Id="rId869" Type="http://schemas.openxmlformats.org/officeDocument/2006/relationships/hyperlink" Target="https://www.sterlinglawyers.com/wisconsin/child-custody/custody-process/" TargetMode="External"/><Relationship Id="rId868" Type="http://schemas.openxmlformats.org/officeDocument/2006/relationships/hyperlink" Target="https://www.sterlinglawyers.com/wp-content/uploads/response-and-counderclaim-fa-4113v.pdf" TargetMode="External"/><Relationship Id="rId867" Type="http://schemas.openxmlformats.org/officeDocument/2006/relationships/hyperlink" Target="https://www.sterlinglawyers.com/wisconsin/child-custody/custody-evaluator-and-child-custody/" TargetMode="External"/><Relationship Id="rId1690" Type="http://schemas.openxmlformats.org/officeDocument/2006/relationships/hyperlink" Target="https://www.sterlinglawyers.com/wisconsin/blog/middleton-property-division-assistance/" TargetMode="External"/><Relationship Id="rId1691" Type="http://schemas.openxmlformats.org/officeDocument/2006/relationships/hyperlink" Target="https://www.sterlinglawyers.com/wisconsin/blog/charting-path-paternity-racine-attorneys/" TargetMode="External"/><Relationship Id="rId1692" Type="http://schemas.openxmlformats.org/officeDocument/2006/relationships/hyperlink" Target="https://www.sterlinglawyers.com/wisconsin/blog/navigating-sheboygan-divorce-mediation-diligence-care/" TargetMode="External"/><Relationship Id="rId862" Type="http://schemas.openxmlformats.org/officeDocument/2006/relationships/hyperlink" Target="https://www.sterlinglawyers.com/wisconsin/property-division/enforce-orders/" TargetMode="External"/><Relationship Id="rId1693" Type="http://schemas.openxmlformats.org/officeDocument/2006/relationships/hyperlink" Target="https://www.sterlinglawyers.com/wisconsin/blog/traversing-trials-contested-divorce-mequon/" TargetMode="External"/><Relationship Id="rId861" Type="http://schemas.openxmlformats.org/officeDocument/2006/relationships/hyperlink" Target="https://www.sterlinglawyers.com/wisconsin/child-support/stepparents-pay-child-support/" TargetMode="External"/><Relationship Id="rId1694" Type="http://schemas.openxmlformats.org/officeDocument/2006/relationships/hyperlink" Target="https://www.sterlinglawyers.com/wisconsin/blog/alimony-adjustments-with-madison-spousal-support-lawyers/" TargetMode="External"/><Relationship Id="rId860" Type="http://schemas.openxmlformats.org/officeDocument/2006/relationships/hyperlink" Target="https://www.sterlinglawyers.com/wisconsin/child-custody/during-divorce/" TargetMode="External"/><Relationship Id="rId1695" Type="http://schemas.openxmlformats.org/officeDocument/2006/relationships/hyperlink" Target="https://www.sterlinglawyers.com/illinois/blog/chicago-child-support-lawyers-restore-family-well-being-legal-peace/" TargetMode="External"/><Relationship Id="rId1696" Type="http://schemas.openxmlformats.org/officeDocument/2006/relationships/hyperlink" Target="https://www.sterlinglawyers.com/wisconsin/blog/understanding-legal-landscape-contested-divorce-baraboo/" TargetMode="External"/><Relationship Id="rId1686" Type="http://schemas.openxmlformats.org/officeDocument/2006/relationships/hyperlink" Target="https://www.sterlinglawyers.com/illinois/blog/understanding-child-custody-options-chicago/" TargetMode="External"/><Relationship Id="rId1687" Type="http://schemas.openxmlformats.org/officeDocument/2006/relationships/hyperlink" Target="https://www.sterlinglawyers.com/wisconsin/child-custody/joint-custody-with-child-support-payments/" TargetMode="External"/><Relationship Id="rId1688" Type="http://schemas.openxmlformats.org/officeDocument/2006/relationships/hyperlink" Target="https://www.sterlinglawyers.com/wisconsin/blog/glimpse-divorce-mediation-journey-brookfield-lawyers/" TargetMode="External"/><Relationship Id="rId1689" Type="http://schemas.openxmlformats.org/officeDocument/2006/relationships/hyperlink" Target="https://www.sterlinglawyers.com/wisconsin/blog/jefferson-fathers-legal-battle-child-custody-pursuit-stability/" TargetMode="External"/><Relationship Id="rId855" Type="http://schemas.openxmlformats.org/officeDocument/2006/relationships/hyperlink" Target="https://www.sterlinglawyers.com/wisconsin/child-support/child-support-and-large-combined-incomes/" TargetMode="External"/><Relationship Id="rId854" Type="http://schemas.openxmlformats.org/officeDocument/2006/relationships/hyperlink" Target="https://www.sterlinglawyers.com/wisconsin/child-support/child-support-enforcement-agencies/" TargetMode="External"/><Relationship Id="rId853" Type="http://schemas.openxmlformats.org/officeDocument/2006/relationships/hyperlink" Target="https://www.sterlinglawyers.com/wisconsin/child-support/can-failure-pay-felony/" TargetMode="External"/><Relationship Id="rId852" Type="http://schemas.openxmlformats.org/officeDocument/2006/relationships/hyperlink" Target="https://www.sterlinglawyers.com/wisconsin/child-support/child-support-payments-and-exceptions/" TargetMode="External"/><Relationship Id="rId859" Type="http://schemas.openxmlformats.org/officeDocument/2006/relationships/hyperlink" Target="https://www.sterlinglawyers.com/wisconsin/property-division/unilateral-severance-prohibition/" TargetMode="External"/><Relationship Id="rId858" Type="http://schemas.openxmlformats.org/officeDocument/2006/relationships/hyperlink" Target="https://www.sterlinglawyers.com/wisconsin/property-division/pitfalls-of-couples-separating-who-were-never-married/" TargetMode="External"/><Relationship Id="rId857" Type="http://schemas.openxmlformats.org/officeDocument/2006/relationships/hyperlink" Target="https://www.sterlinglawyers.com/wisconsin/child-custody/will-my-child-have-to-speak-in-court/" TargetMode="External"/><Relationship Id="rId856" Type="http://schemas.openxmlformats.org/officeDocument/2006/relationships/hyperlink" Target="https://www.sterlinglawyers.com/wisconsin/child-support/what-happens-if-i-can-no-longer-pay-child-support/" TargetMode="External"/><Relationship Id="rId1680" Type="http://schemas.openxmlformats.org/officeDocument/2006/relationships/hyperlink" Target="https://www.sterlinglawyers.com/illinois/reviews/page/8/" TargetMode="External"/><Relationship Id="rId1681" Type="http://schemas.openxmlformats.org/officeDocument/2006/relationships/hyperlink" Target="https://www.sterlinglawyers.com/illinois/attorneys/lea-diaz/reviews/page/17/" TargetMode="External"/><Relationship Id="rId851" Type="http://schemas.openxmlformats.org/officeDocument/2006/relationships/hyperlink" Target="https://www.sterlinglawyers.com/wisconsin/child-support/enforce-orders/" TargetMode="External"/><Relationship Id="rId1682" Type="http://schemas.openxmlformats.org/officeDocument/2006/relationships/hyperlink" Target="https://www.sterlinglawyers.com/wisconsin/divorce/divorce-laws/" TargetMode="External"/><Relationship Id="rId850" Type="http://schemas.openxmlformats.org/officeDocument/2006/relationships/hyperlink" Target="https://www.sterlinglawyers.com/wisconsin/locations/waukesha/child-custody-lawyers/" TargetMode="External"/><Relationship Id="rId1683" Type="http://schemas.openxmlformats.org/officeDocument/2006/relationships/hyperlink" Target="https://www.sterlinglawyers.com/meet-us/sterling-leadership-values/" TargetMode="External"/><Relationship Id="rId1684" Type="http://schemas.openxmlformats.org/officeDocument/2006/relationships/hyperlink" Target="https://www.sterlinglawyers.com/illinois/attorneys/lea-diaz/reviews/page/8/" TargetMode="External"/><Relationship Id="rId1685" Type="http://schemas.openxmlformats.org/officeDocument/2006/relationships/hyperlink" Target="https://www.sterlinglawyers.com/illinois/attorneys/lea-diaz/reviews/page/9/" TargetMode="External"/><Relationship Id="rId888" Type="http://schemas.openxmlformats.org/officeDocument/2006/relationships/hyperlink" Target="https://www.sterlinglawyers.com/wisconsin/areas/green-lake-county/" TargetMode="External"/><Relationship Id="rId887" Type="http://schemas.openxmlformats.org/officeDocument/2006/relationships/hyperlink" Target="https://www.sterlinglawyers.com/wisconsin/areas/brown-county/bellevue/" TargetMode="External"/><Relationship Id="rId886" Type="http://schemas.openxmlformats.org/officeDocument/2006/relationships/hyperlink" Target="https://www.sterlinglawyers.com/wisconsin/areas/monroe-county/tomah/" TargetMode="External"/><Relationship Id="rId885" Type="http://schemas.openxmlformats.org/officeDocument/2006/relationships/hyperlink" Target="https://www.sterlinglawyers.com/wisconsin/areas/calumet-county/" TargetMode="External"/><Relationship Id="rId889" Type="http://schemas.openxmlformats.org/officeDocument/2006/relationships/hyperlink" Target="https://www.sterlinglawyers.com/wisconsin/areas/waukesha-county/pewaukee/" TargetMode="External"/><Relationship Id="rId880" Type="http://schemas.openxmlformats.org/officeDocument/2006/relationships/hyperlink" Target="https://www.sterlinglawyers.com/wisconsin/areas/jefferson-county/fort-atkinson/" TargetMode="External"/><Relationship Id="rId884" Type="http://schemas.openxmlformats.org/officeDocument/2006/relationships/hyperlink" Target="https://www.sterlinglawyers.com/wisconsin/areas/door-county/" TargetMode="External"/><Relationship Id="rId883" Type="http://schemas.openxmlformats.org/officeDocument/2006/relationships/hyperlink" Target="https://www.sterlinglawyers.com/wisconsin/areas/waukesha-county/wales/" TargetMode="External"/><Relationship Id="rId882" Type="http://schemas.openxmlformats.org/officeDocument/2006/relationships/hyperlink" Target="https://www.sterlinglawyers.com/wisconsin/areas/outagamie-county/oneida/" TargetMode="External"/><Relationship Id="rId881" Type="http://schemas.openxmlformats.org/officeDocument/2006/relationships/hyperlink" Target="https://www.sterlinglawyers.com/wisconsin/areas/ozaukee-county/cedarburg/" TargetMode="External"/><Relationship Id="rId877" Type="http://schemas.openxmlformats.org/officeDocument/2006/relationships/hyperlink" Target="https://www.sterlinglawyers.com/wisconsin/areas/dane-county/deforest/" TargetMode="External"/><Relationship Id="rId876" Type="http://schemas.openxmlformats.org/officeDocument/2006/relationships/hyperlink" Target="https://www.sterlinglawyers.com/wisconsin/areas/shawano-county/shawano/" TargetMode="External"/><Relationship Id="rId875" Type="http://schemas.openxmlformats.org/officeDocument/2006/relationships/hyperlink" Target="https://www.sterlinglawyers.com/wisconsin/areas/outagamie-county/buchanan/" TargetMode="External"/><Relationship Id="rId874" Type="http://schemas.openxmlformats.org/officeDocument/2006/relationships/hyperlink" Target="https://www.sterlinglawyers.com/wisconsin/areas/sauk-county/" TargetMode="External"/><Relationship Id="rId879" Type="http://schemas.openxmlformats.org/officeDocument/2006/relationships/hyperlink" Target="https://www.sterlinglawyers.com/wisconsin/areas/milwaukee-county/st-francis/" TargetMode="External"/><Relationship Id="rId878" Type="http://schemas.openxmlformats.org/officeDocument/2006/relationships/hyperlink" Target="https://www.sterlinglawyers.com/wisconsin/areas/st-croix-county/hudson/" TargetMode="External"/><Relationship Id="rId873" Type="http://schemas.openxmlformats.org/officeDocument/2006/relationships/hyperlink" Target="https://www.sterlinglawyers.com/wisconsin/divorce/when-your-exs-belongings-clutter-your-space/" TargetMode="External"/><Relationship Id="rId872" Type="http://schemas.openxmlformats.org/officeDocument/2006/relationships/hyperlink" Target="https://www.sterlinglawyers.com/wisconsin/divorce/10-dos-and-donts-in-divorce/" TargetMode="External"/><Relationship Id="rId871" Type="http://schemas.openxmlformats.org/officeDocument/2006/relationships/hyperlink" Target="https://www.sterlinglawyers.com/wisconsin/divorce/learning-to-work-together-again-starting-fresh/" TargetMode="External"/><Relationship Id="rId870" Type="http://schemas.openxmlformats.org/officeDocument/2006/relationships/hyperlink" Target="https://www.sterlinglawyers.com/wisconsin/divorce/dealing-with-emotional-pain/" TargetMode="External"/><Relationship Id="rId1653" Type="http://schemas.openxmlformats.org/officeDocument/2006/relationships/hyperlink" Target="https://www.sterlinglawyers.com/illinois/reviews/page/223/" TargetMode="External"/><Relationship Id="rId2984" Type="http://schemas.openxmlformats.org/officeDocument/2006/relationships/hyperlink" Target="https://www.sterlinglawyers.com/reviews/page/144/" TargetMode="External"/><Relationship Id="rId1654" Type="http://schemas.openxmlformats.org/officeDocument/2006/relationships/hyperlink" Target="https://www.sterlinglawyers.com/illinois/attorneys/lea-diaz/reviews/page/16/" TargetMode="External"/><Relationship Id="rId2985" Type="http://schemas.openxmlformats.org/officeDocument/2006/relationships/hyperlink" Target="https://www.sterlinglawyers.com/reviews/page/145/" TargetMode="External"/><Relationship Id="rId1655" Type="http://schemas.openxmlformats.org/officeDocument/2006/relationships/hyperlink" Target="https://www.sterlinglawyers.com/illinois/blog/paternity-quickly-cook-county/" TargetMode="External"/><Relationship Id="rId2986" Type="http://schemas.openxmlformats.org/officeDocument/2006/relationships/hyperlink" Target="https://www.sterlinglawyers.com/wisconsin/reviews/page/145/" TargetMode="External"/><Relationship Id="rId1656" Type="http://schemas.openxmlformats.org/officeDocument/2006/relationships/hyperlink" Target="https://www.sterlinglawyers.com/illinois/blog/divorce-finances-intact-property-division-hoffman-estates/" TargetMode="External"/><Relationship Id="rId2987" Type="http://schemas.openxmlformats.org/officeDocument/2006/relationships/hyperlink" Target="https://www.sterlinglawyers.com/wisconsin/reviews/page/86/" TargetMode="External"/><Relationship Id="rId1657" Type="http://schemas.openxmlformats.org/officeDocument/2006/relationships/hyperlink" Target="https://www.sterlinglawyers.com/illinois/blog/planning-uncontested-divorce-schaumburg-steps/" TargetMode="External"/><Relationship Id="rId2988" Type="http://schemas.openxmlformats.org/officeDocument/2006/relationships/hyperlink" Target="https://www.sterlinglawyers.com/wisconsin/reviews/page/146/" TargetMode="External"/><Relationship Id="rId1658" Type="http://schemas.openxmlformats.org/officeDocument/2006/relationships/hyperlink" Target="https://www.sterlinglawyers.com/illinois/attorneys/nina-kelly/reviews/page/9/" TargetMode="External"/><Relationship Id="rId2989" Type="http://schemas.openxmlformats.org/officeDocument/2006/relationships/hyperlink" Target="https://www.sterlinglawyers.com/wisconsin/reviews/page/150/" TargetMode="External"/><Relationship Id="rId1659" Type="http://schemas.openxmlformats.org/officeDocument/2006/relationships/hyperlink" Target="https://www.sterlinglawyers.com/illinois/blog/balancing-professional-life-personal-crisis-evanston-spousal-support-lawyers/" TargetMode="External"/><Relationship Id="rId829" Type="http://schemas.openxmlformats.org/officeDocument/2006/relationships/hyperlink" Target="https://www.sterlinglawyers.com/wisconsin/locations/menomonee-falls/collaborative-divorce-lawyers/" TargetMode="External"/><Relationship Id="rId828" Type="http://schemas.openxmlformats.org/officeDocument/2006/relationships/hyperlink" Target="https://www.sterlinglawyers.com/wisconsin/locations/menomonee-falls/paternity-lawyers/" TargetMode="External"/><Relationship Id="rId827" Type="http://schemas.openxmlformats.org/officeDocument/2006/relationships/hyperlink" Target="https://www.sterlinglawyers.com/wisconsin/locations/menomonee-falls/uncontested-divorce-lawyers/" TargetMode="External"/><Relationship Id="rId822" Type="http://schemas.openxmlformats.org/officeDocument/2006/relationships/hyperlink" Target="https://www.sterlinglawyers.com/wisconsin/locations/menomonee-falls/child-custody-lawyers/" TargetMode="External"/><Relationship Id="rId821" Type="http://schemas.openxmlformats.org/officeDocument/2006/relationships/hyperlink" Target="https://www.sterlinglawyers.com/wisconsin/locations/menomonee-falls/property-division-lawyers/" TargetMode="External"/><Relationship Id="rId820" Type="http://schemas.openxmlformats.org/officeDocument/2006/relationships/hyperlink" Target="https://www.sterlinglawyers.com/wisconsin/divorce/apartment-security-deposits-and-divorce/" TargetMode="External"/><Relationship Id="rId826" Type="http://schemas.openxmlformats.org/officeDocument/2006/relationships/hyperlink" Target="https://www.sterlinglawyers.com/wisconsin/locations/menomonee-falls/contested-divorce-lawyers/" TargetMode="External"/><Relationship Id="rId825" Type="http://schemas.openxmlformats.org/officeDocument/2006/relationships/hyperlink" Target="https://www.sterlinglawyers.com/wisconsin/locations/menomonee-falls/military-divorce-lawyers/" TargetMode="External"/><Relationship Id="rId824" Type="http://schemas.openxmlformats.org/officeDocument/2006/relationships/hyperlink" Target="https://www.sterlinglawyers.com/wisconsin/locations/menomonee-falls/alimony-lawyers/" TargetMode="External"/><Relationship Id="rId823" Type="http://schemas.openxmlformats.org/officeDocument/2006/relationships/hyperlink" Target="https://www.sterlinglawyers.com/wisconsin/locations/menomonee-falls/divorce-mediation-lawyers/" TargetMode="External"/><Relationship Id="rId2980" Type="http://schemas.openxmlformats.org/officeDocument/2006/relationships/hyperlink" Target="https://www.sterlinglawyers.com/illinois/reviews/page/144/" TargetMode="External"/><Relationship Id="rId1650" Type="http://schemas.openxmlformats.org/officeDocument/2006/relationships/hyperlink" Target="https://www.sterlinglawyers.com/illinois/attorneys/nina-kelly/reviews/page/40/" TargetMode="External"/><Relationship Id="rId2981" Type="http://schemas.openxmlformats.org/officeDocument/2006/relationships/hyperlink" Target="https://www.sterlinglawyers.com/wisconsin/reviews/page/87/" TargetMode="External"/><Relationship Id="rId1651" Type="http://schemas.openxmlformats.org/officeDocument/2006/relationships/hyperlink" Target="https://www.sterlinglawyers.com/illinois/attorneys/nina-kelly/reviews/page/39/" TargetMode="External"/><Relationship Id="rId2982" Type="http://schemas.openxmlformats.org/officeDocument/2006/relationships/hyperlink" Target="https://www.sterlinglawyers.com/reviews/page/88/" TargetMode="External"/><Relationship Id="rId1652" Type="http://schemas.openxmlformats.org/officeDocument/2006/relationships/hyperlink" Target="https://www.sterlinglawyers.com/wisconsin/blog/oshkosh-military-divorce-quest-for-stability/" TargetMode="External"/><Relationship Id="rId2983" Type="http://schemas.openxmlformats.org/officeDocument/2006/relationships/hyperlink" Target="https://www.sterlinglawyers.com/reviews/page/89/" TargetMode="External"/><Relationship Id="rId1642" Type="http://schemas.openxmlformats.org/officeDocument/2006/relationships/hyperlink" Target="https://www.sterlinglawyers.com/wisconsin/child-custody/co-parenting-with-narcissist/" TargetMode="External"/><Relationship Id="rId2973" Type="http://schemas.openxmlformats.org/officeDocument/2006/relationships/hyperlink" Target="https://www.sterlinglawyers.com/wisconsin/reviews/page/81/" TargetMode="External"/><Relationship Id="rId1643" Type="http://schemas.openxmlformats.org/officeDocument/2006/relationships/hyperlink" Target="https://www.sterlinglawyers.com/wisconsin/divorce/creating-a-divorce-budget/" TargetMode="External"/><Relationship Id="rId2974" Type="http://schemas.openxmlformats.org/officeDocument/2006/relationships/hyperlink" Target="https://www.sterlinglawyers.com/reviews/page/87/" TargetMode="External"/><Relationship Id="rId1644" Type="http://schemas.openxmlformats.org/officeDocument/2006/relationships/hyperlink" Target="https://www.sterlinglawyers.com/wisconsin/child-custody/will-business-travel-impact-chance-of-getting-custody/" TargetMode="External"/><Relationship Id="rId2975" Type="http://schemas.openxmlformats.org/officeDocument/2006/relationships/hyperlink" Target="https://www.sterlinglawyers.com/reviews/page/86/" TargetMode="External"/><Relationship Id="rId1645" Type="http://schemas.openxmlformats.org/officeDocument/2006/relationships/hyperlink" Target="https://www.sterlinglawyers.com/wisconsin/blog/single-parents-and-summer-vacation-trips/" TargetMode="External"/><Relationship Id="rId2976" Type="http://schemas.openxmlformats.org/officeDocument/2006/relationships/hyperlink" Target="https://www.sterlinglawyers.com/wisconsin/reviews/page/85/" TargetMode="External"/><Relationship Id="rId1646" Type="http://schemas.openxmlformats.org/officeDocument/2006/relationships/hyperlink" Target="https://www.sterlinglawyers.com/blog/" TargetMode="External"/><Relationship Id="rId2977" Type="http://schemas.openxmlformats.org/officeDocument/2006/relationships/hyperlink" Target="https://www.sterlinglawyers.com/illinois/reviews/page/145/" TargetMode="External"/><Relationship Id="rId1647" Type="http://schemas.openxmlformats.org/officeDocument/2006/relationships/hyperlink" Target="https://www.sterlinglawyers.com/wisconsin/blog/uniform-interstate-family-act-and-child-support/" TargetMode="External"/><Relationship Id="rId2978" Type="http://schemas.openxmlformats.org/officeDocument/2006/relationships/hyperlink" Target="https://www.sterlinglawyers.com/illinois/reviews/page/146/" TargetMode="External"/><Relationship Id="rId1648" Type="http://schemas.openxmlformats.org/officeDocument/2006/relationships/hyperlink" Target="https://www.sterlinglawyers.com/wisconsin/blog/ex-stopped-paying-alimony/" TargetMode="External"/><Relationship Id="rId2979" Type="http://schemas.openxmlformats.org/officeDocument/2006/relationships/hyperlink" Target="https://www.sterlinglawyers.com/illinois/reviews/page/143/" TargetMode="External"/><Relationship Id="rId1649" Type="http://schemas.openxmlformats.org/officeDocument/2006/relationships/hyperlink" Target="https://www.sterlinglawyers.com/wisconsin/property-division/tax-consequences-dividing-property-divorce/" TargetMode="External"/><Relationship Id="rId819" Type="http://schemas.openxmlformats.org/officeDocument/2006/relationships/hyperlink" Target="https://www.sterlinglawyers.com/wisconsin/divorce/find-a-new-home-after-divorce/" TargetMode="External"/><Relationship Id="rId818" Type="http://schemas.openxmlformats.org/officeDocument/2006/relationships/hyperlink" Target="https://www.sterlinglawyers.com/news/divorce-property-division/" TargetMode="External"/><Relationship Id="rId817" Type="http://schemas.openxmlformats.org/officeDocument/2006/relationships/hyperlink" Target="https://www.sterlinglawyers.com/wisconsin/child-support/end-orders/" TargetMode="External"/><Relationship Id="rId816" Type="http://schemas.openxmlformats.org/officeDocument/2006/relationships/hyperlink" Target="https://www.sterlinglawyers.com/Wisconsin/attorneys/" TargetMode="External"/><Relationship Id="rId811" Type="http://schemas.openxmlformats.org/officeDocument/2006/relationships/hyperlink" Target="https://www.sterlinglawyers.com/wisconsin/locations/oshkosh/child-custody-lawyers/" TargetMode="External"/><Relationship Id="rId810" Type="http://schemas.openxmlformats.org/officeDocument/2006/relationships/hyperlink" Target="https://www.sterlinglawyers.com/wisconsin/blog/swerving-obstacles-with-milwaukee-collaborative-divorce-lawyers/" TargetMode="External"/><Relationship Id="rId815" Type="http://schemas.openxmlformats.org/officeDocument/2006/relationships/hyperlink" Target="https://www.sterlinglawyers.com/Wisconsin/locations/" TargetMode="External"/><Relationship Id="rId814" Type="http://schemas.openxmlformats.org/officeDocument/2006/relationships/hyperlink" Target="https://www.sterlinglawyers.com/Wisconsin/" TargetMode="External"/><Relationship Id="rId813" Type="http://schemas.openxmlformats.org/officeDocument/2006/relationships/hyperlink" Target="https://www.sterlinglawyers.com/wisconsin/locations/oshkosh/child-support-lawyers/" TargetMode="External"/><Relationship Id="rId812" Type="http://schemas.openxmlformats.org/officeDocument/2006/relationships/hyperlink" Target="https://www.sterlinglawyers.com/wisconsin/locations/oshkosh/military-divorce-lawyers/" TargetMode="External"/><Relationship Id="rId2970" Type="http://schemas.openxmlformats.org/officeDocument/2006/relationships/hyperlink" Target="https://www.sterlinglawyers.com/wisconsin/reviews/page/84/" TargetMode="External"/><Relationship Id="rId1640" Type="http://schemas.openxmlformats.org/officeDocument/2006/relationships/hyperlink" Target="https://www.sterlinglawyers.com/wisconsin/blog/protecting-parental-rights-child-support-fond-du-lac/" TargetMode="External"/><Relationship Id="rId2971" Type="http://schemas.openxmlformats.org/officeDocument/2006/relationships/hyperlink" Target="https://www.sterlinglawyers.com/wisconsin/reviews/page/147/" TargetMode="External"/><Relationship Id="rId1641" Type="http://schemas.openxmlformats.org/officeDocument/2006/relationships/hyperlink" Target="https://www.sterlinglawyers.com/wisconsin/child-custody/split-orders/" TargetMode="External"/><Relationship Id="rId2972" Type="http://schemas.openxmlformats.org/officeDocument/2006/relationships/hyperlink" Target="https://www.sterlinglawyers.com/reviews/page/146/" TargetMode="External"/><Relationship Id="rId1675" Type="http://schemas.openxmlformats.org/officeDocument/2006/relationships/hyperlink" Target="https://www.sterlinglawyers.com/illinois/blog/page/5/?et_blog" TargetMode="External"/><Relationship Id="rId1676" Type="http://schemas.openxmlformats.org/officeDocument/2006/relationships/hyperlink" Target="https://www.sterlinglawyers.com/meet-us/client-centered-family-law/" TargetMode="External"/><Relationship Id="rId1677" Type="http://schemas.openxmlformats.org/officeDocument/2006/relationships/hyperlink" Target="https://www.sterlinglawyers.com/wisdom-from-attorney-knighton/the-changing-practice-of-home-appraisal/" TargetMode="External"/><Relationship Id="rId1678" Type="http://schemas.openxmlformats.org/officeDocument/2006/relationships/hyperlink" Target="https://www.sterlinglawyers.com/illinois/reviews/page/224/" TargetMode="External"/><Relationship Id="rId1679" Type="http://schemas.openxmlformats.org/officeDocument/2006/relationships/hyperlink" Target="https://www.sterlinglawyers.com/illinois/reviews/page/9/" TargetMode="External"/><Relationship Id="rId849" Type="http://schemas.openxmlformats.org/officeDocument/2006/relationships/hyperlink" Target="https://www.sterlinglawyers.com/wisconsin/locations/waukesha/alimony-lawyers/" TargetMode="External"/><Relationship Id="rId844" Type="http://schemas.openxmlformats.org/officeDocument/2006/relationships/hyperlink" Target="https://www.sterlinglawyers.com/wisconsin/locations/waukesha/child-support-lawyers/" TargetMode="External"/><Relationship Id="rId843" Type="http://schemas.openxmlformats.org/officeDocument/2006/relationships/hyperlink" Target="https://www.sterlinglawyers.com/wisconsin/locations/waukesha/paternity-lawyers/" TargetMode="External"/><Relationship Id="rId842" Type="http://schemas.openxmlformats.org/officeDocument/2006/relationships/hyperlink" Target="https://www.sterlinglawyers.com/wisconsin/locations/waukesha/contested-divorce-lawyers/" TargetMode="External"/><Relationship Id="rId841" Type="http://schemas.openxmlformats.org/officeDocument/2006/relationships/hyperlink" Target="https://www.sterlinglawyers.com/wisconsin/locations/fond-du-lac/uncontested-divorce-lawyers/" TargetMode="External"/><Relationship Id="rId848" Type="http://schemas.openxmlformats.org/officeDocument/2006/relationships/hyperlink" Target="https://www.sterlinglawyers.com/wisconsin/locations/waukesha/uncontested-divorce-lawyers/" TargetMode="External"/><Relationship Id="rId847" Type="http://schemas.openxmlformats.org/officeDocument/2006/relationships/hyperlink" Target="https://www.sterlinglawyers.com/wisconsin/locations/waukesha/collaborative-divorce-lawyers/" TargetMode="External"/><Relationship Id="rId846" Type="http://schemas.openxmlformats.org/officeDocument/2006/relationships/hyperlink" Target="https://www.sterlinglawyers.com/wisconsin/locations/waukesha/property-division-lawyers/" TargetMode="External"/><Relationship Id="rId845" Type="http://schemas.openxmlformats.org/officeDocument/2006/relationships/hyperlink" Target="https://www.sterlinglawyers.com/wisconsin/locations/waukesha/military-divorce-lawyers/" TargetMode="External"/><Relationship Id="rId1670" Type="http://schemas.openxmlformats.org/officeDocument/2006/relationships/hyperlink" Target="https://www.sterlinglawyers.com/illinois/blog/turning-unknown-into-known-chicago-spousal-support-lawyers/" TargetMode="External"/><Relationship Id="rId840" Type="http://schemas.openxmlformats.org/officeDocument/2006/relationships/hyperlink" Target="https://www.sterlinglawyers.com/wisconsin/locations/waukesha/divorce-mediation-lawyers/" TargetMode="External"/><Relationship Id="rId1671" Type="http://schemas.openxmlformats.org/officeDocument/2006/relationships/hyperlink" Target="https://www.sterlinglawyers.com/illinois/blog/an-insight-into-the-crucial-role-of-arlington-heights-military-divorce-attorney/" TargetMode="External"/><Relationship Id="rId1672" Type="http://schemas.openxmlformats.org/officeDocument/2006/relationships/hyperlink" Target="https://www.sterlinglawyers.com/illinois/blog/naperville-uncontested-divorce-lawyers-saving-time/" TargetMode="External"/><Relationship Id="rId1673" Type="http://schemas.openxmlformats.org/officeDocument/2006/relationships/hyperlink" Target="https://www.sterlinglawyers.com/illinois/blog/finding-footing-navigating-hoffman-estates-divorce-mediation/" TargetMode="External"/><Relationship Id="rId1674" Type="http://schemas.openxmlformats.org/officeDocument/2006/relationships/hyperlink" Target="https://www.sterlinglawyers.com/illinois/blog/property-division-cook-county-legal-guidance/" TargetMode="External"/><Relationship Id="rId1664" Type="http://schemas.openxmlformats.org/officeDocument/2006/relationships/hyperlink" Target="https://www.sterlinglawyers.com/illinois/blog/legal-experience-avoid-pitfalls-cook-county-child-custody/" TargetMode="External"/><Relationship Id="rId2995" Type="http://schemas.openxmlformats.org/officeDocument/2006/relationships/hyperlink" Target="https://www.sterlinglawyers.com/reviews/page/90/" TargetMode="External"/><Relationship Id="rId1665" Type="http://schemas.openxmlformats.org/officeDocument/2006/relationships/hyperlink" Target="https://www.sterlinglawyers.com/illinois/blog/guiding-contested-divorce-courtroom-compass/" TargetMode="External"/><Relationship Id="rId2996" Type="http://schemas.openxmlformats.org/officeDocument/2006/relationships/hyperlink" Target="https://www.sterlinglawyers.com/wisconsin/reviews/page/88/" TargetMode="External"/><Relationship Id="rId1666" Type="http://schemas.openxmlformats.org/officeDocument/2006/relationships/hyperlink" Target="https://www.sterlinglawyers.com/illinois/blog/charting-course-child-support-challenges-naperville/" TargetMode="External"/><Relationship Id="rId2997" Type="http://schemas.openxmlformats.org/officeDocument/2006/relationships/hyperlink" Target="https://www.sterlinglawyers.com/wisconsin/reviews/page/89/" TargetMode="External"/><Relationship Id="rId1667" Type="http://schemas.openxmlformats.org/officeDocument/2006/relationships/hyperlink" Target="https://www.sterlinglawyers.com/illinois/blog/attorney-lessen-burden-arlington-heights-contested-divorce/" TargetMode="External"/><Relationship Id="rId2998" Type="http://schemas.openxmlformats.org/officeDocument/2006/relationships/hyperlink" Target="https://www.sterlinglawyers.com/illinois/reviews/page/142/" TargetMode="External"/><Relationship Id="rId1668" Type="http://schemas.openxmlformats.org/officeDocument/2006/relationships/hyperlink" Target="https://www.sterlinglawyers.com/illinois/blog/managing-lifes-transitions-with-evanston-military-divorce-lawyers/" TargetMode="External"/><Relationship Id="rId2999" Type="http://schemas.openxmlformats.org/officeDocument/2006/relationships/hyperlink" Target="https://www.sterlinglawyers.com/illinois/reviews/page/141/" TargetMode="External"/><Relationship Id="rId1669" Type="http://schemas.openxmlformats.org/officeDocument/2006/relationships/hyperlink" Target="https://www.sterlinglawyers.com/illinois/blog/unraveling-uncontested-divorce-with-evanston-lawyer/" TargetMode="External"/><Relationship Id="rId839" Type="http://schemas.openxmlformats.org/officeDocument/2006/relationships/hyperlink" Target="https://www.sterlinglawyers.com/wisconsin/locations/fond-du-lac/child-custody-lawyers/" TargetMode="External"/><Relationship Id="rId838" Type="http://schemas.openxmlformats.org/officeDocument/2006/relationships/hyperlink" Target="https://www.sterlinglawyers.com/wisconsin/locations/fond-du-lac/contested-divorce-lawyers/" TargetMode="External"/><Relationship Id="rId833" Type="http://schemas.openxmlformats.org/officeDocument/2006/relationships/hyperlink" Target="https://www.sterlinglawyers.com/wisconsin/locations/fond-du-lac/military-divorce-lawyers/" TargetMode="External"/><Relationship Id="rId832" Type="http://schemas.openxmlformats.org/officeDocument/2006/relationships/hyperlink" Target="https://www.sterlinglawyers.com/wisconsin/locations/fond-du-lac/divorce-mediation-lawyers/" TargetMode="External"/><Relationship Id="rId831" Type="http://schemas.openxmlformats.org/officeDocument/2006/relationships/hyperlink" Target="https://www.sterlinglawyers.com/wisconsin/locations/fond-du-lac/collaborative-divorce-lawyers/" TargetMode="External"/><Relationship Id="rId830" Type="http://schemas.openxmlformats.org/officeDocument/2006/relationships/hyperlink" Target="https://www.sterlinglawyers.com/wisconsin/locations/menomonee-falls/child-support-lawyers/" TargetMode="External"/><Relationship Id="rId837" Type="http://schemas.openxmlformats.org/officeDocument/2006/relationships/hyperlink" Target="https://www.sterlinglawyers.com/wisconsin/locations/fond-du-lac/property-division-lawyers/" TargetMode="External"/><Relationship Id="rId836" Type="http://schemas.openxmlformats.org/officeDocument/2006/relationships/hyperlink" Target="https://www.sterlinglawyers.com/wisconsin/locations/fond-du-lac/child-support-lawyers/" TargetMode="External"/><Relationship Id="rId835" Type="http://schemas.openxmlformats.org/officeDocument/2006/relationships/hyperlink" Target="https://www.sterlinglawyers.com/wisconsin/locations/fond-du-lac/paternity-lawyers/" TargetMode="External"/><Relationship Id="rId834" Type="http://schemas.openxmlformats.org/officeDocument/2006/relationships/hyperlink" Target="https://www.sterlinglawyers.com/wisconsin/locations/fond-du-lac/alimony-lawyers/" TargetMode="External"/><Relationship Id="rId2990" Type="http://schemas.openxmlformats.org/officeDocument/2006/relationships/hyperlink" Target="https://www.sterlinglawyers.com/wisconsin/reviews/page/143/" TargetMode="External"/><Relationship Id="rId1660" Type="http://schemas.openxmlformats.org/officeDocument/2006/relationships/hyperlink" Target="https://www.sterlinglawyers.com/illinois/attorneys/nina-kelly/reviews/page/8/" TargetMode="External"/><Relationship Id="rId2991" Type="http://schemas.openxmlformats.org/officeDocument/2006/relationships/hyperlink" Target="https://www.sterlinglawyers.com/reviews/page/147/" TargetMode="External"/><Relationship Id="rId1661" Type="http://schemas.openxmlformats.org/officeDocument/2006/relationships/hyperlink" Target="https://www.sterlinglawyers.com/illinois/blog/taking-an-inside-look-at-contested-divorces-in-naperville/" TargetMode="External"/><Relationship Id="rId2992" Type="http://schemas.openxmlformats.org/officeDocument/2006/relationships/hyperlink" Target="https://www.sterlinglawyers.com/reviews/page/142/" TargetMode="External"/><Relationship Id="rId1662" Type="http://schemas.openxmlformats.org/officeDocument/2006/relationships/hyperlink" Target="https://www.sterlinglawyers.com/illinois/blog/arlington-heights-property-division-lawyers-expectations/" TargetMode="External"/><Relationship Id="rId2993" Type="http://schemas.openxmlformats.org/officeDocument/2006/relationships/hyperlink" Target="https://www.sterlinglawyers.com/reviews/page/143/" TargetMode="External"/><Relationship Id="rId1663" Type="http://schemas.openxmlformats.org/officeDocument/2006/relationships/hyperlink" Target="https://www.sterlinglawyers.com/illinois/blog/what-can-i-expect-arlington-heights-collaborative-divorce-lawyers/" TargetMode="External"/><Relationship Id="rId2994" Type="http://schemas.openxmlformats.org/officeDocument/2006/relationships/hyperlink" Target="https://www.sterlinglawyers.com/reviews/page/91/" TargetMode="External"/><Relationship Id="rId2148" Type="http://schemas.openxmlformats.org/officeDocument/2006/relationships/hyperlink" Target="https://www.sterlinglawyers.com/wisconsin/attorneys/tiffany-vogel/reviews/page/42/" TargetMode="External"/><Relationship Id="rId2149" Type="http://schemas.openxmlformats.org/officeDocument/2006/relationships/hyperlink" Target="https://www.sterlinglawyers.com/wisconsin/attorneys/jack-braaten/reviews/page/21/" TargetMode="External"/><Relationship Id="rId2140" Type="http://schemas.openxmlformats.org/officeDocument/2006/relationships/hyperlink" Target="https://www.sterlinglawyers.com/wisconsin/attorneys/abigail-henderson/reviews/page/13/" TargetMode="External"/><Relationship Id="rId2141" Type="http://schemas.openxmlformats.org/officeDocument/2006/relationships/hyperlink" Target="https://www.sterlinglawyers.com/wisconsin/attorneys/abigail-henderson/reviews/page/10/" TargetMode="External"/><Relationship Id="rId2142" Type="http://schemas.openxmlformats.org/officeDocument/2006/relationships/hyperlink" Target="https://www.sterlinglawyers.com/wisconsin/attorneys/abigail-henderson/reviews/page/11/" TargetMode="External"/><Relationship Id="rId2143" Type="http://schemas.openxmlformats.org/officeDocument/2006/relationships/hyperlink" Target="https://www.sterlinglawyers.com/wisconsin/attorneys/nikole-messerschmidt/reviews/page/45/" TargetMode="External"/><Relationship Id="rId2144" Type="http://schemas.openxmlformats.org/officeDocument/2006/relationships/hyperlink" Target="https://www.sterlinglawyers.com/wisconsin/attorneys/tiffany-vogel/reviews/page/10/" TargetMode="External"/><Relationship Id="rId2145" Type="http://schemas.openxmlformats.org/officeDocument/2006/relationships/hyperlink" Target="https://www.sterlinglawyers.com/wisconsin/attorneys/nikole-messerschmidt/reviews/page/46/" TargetMode="External"/><Relationship Id="rId2146" Type="http://schemas.openxmlformats.org/officeDocument/2006/relationships/hyperlink" Target="https://www.sterlinglawyers.com/wisconsin/attorneys/tiffany-vogel/reviews/page/11/" TargetMode="External"/><Relationship Id="rId2147" Type="http://schemas.openxmlformats.org/officeDocument/2006/relationships/hyperlink" Target="https://www.sterlinglawyers.com/wisconsin/attorneys/tiffany-vogel/reviews/page/41/" TargetMode="External"/><Relationship Id="rId2137" Type="http://schemas.openxmlformats.org/officeDocument/2006/relationships/hyperlink" Target="https://www.sterlinglawyers.com/wisconsin/attorneys/robert-keenan/reviews/page/30/" TargetMode="External"/><Relationship Id="rId2138" Type="http://schemas.openxmlformats.org/officeDocument/2006/relationships/hyperlink" Target="https://www.sterlinglawyers.com/wisconsin/attorneys/robert-keenan/reviews/page/31/" TargetMode="External"/><Relationship Id="rId2139" Type="http://schemas.openxmlformats.org/officeDocument/2006/relationships/hyperlink" Target="https://www.sterlinglawyers.com/wisconsin/attorneys/abigail-henderson/reviews/page/12/" TargetMode="External"/><Relationship Id="rId2130" Type="http://schemas.openxmlformats.org/officeDocument/2006/relationships/hyperlink" Target="https://www.sterlinglawyers.com/wisconsin/attorneys/austin-miller/reviews/page/28/" TargetMode="External"/><Relationship Id="rId2131" Type="http://schemas.openxmlformats.org/officeDocument/2006/relationships/hyperlink" Target="https://www.sterlinglawyers.com/wisconsin/attorneys/andria-adams/reviews/page/10/" TargetMode="External"/><Relationship Id="rId2132" Type="http://schemas.openxmlformats.org/officeDocument/2006/relationships/hyperlink" Target="https://www.sterlinglawyers.com/wisconsin/attorneys/jeffrey-morrell/reviews/page/11/" TargetMode="External"/><Relationship Id="rId2133" Type="http://schemas.openxmlformats.org/officeDocument/2006/relationships/hyperlink" Target="https://www.sterlinglawyers.com/wisconsin/attorneys/jeffrey-morrell/reviews/page/67/" TargetMode="External"/><Relationship Id="rId2134" Type="http://schemas.openxmlformats.org/officeDocument/2006/relationships/hyperlink" Target="https://www.sterlinglawyers.com/wisconsin/attorneys/jeffrey-morrell/reviews/page/66/" TargetMode="External"/><Relationship Id="rId2135" Type="http://schemas.openxmlformats.org/officeDocument/2006/relationships/hyperlink" Target="https://www.sterlinglawyers.com/wisconsin/attorneys/austin-miller/reviews/page/10/" TargetMode="External"/><Relationship Id="rId2136" Type="http://schemas.openxmlformats.org/officeDocument/2006/relationships/hyperlink" Target="https://www.sterlinglawyers.com/wisconsin/attorneys/holly-mullin/reviews/page/10/" TargetMode="External"/><Relationship Id="rId2160" Type="http://schemas.openxmlformats.org/officeDocument/2006/relationships/hyperlink" Target="https://www.sterlinglawyers.com/wisconsin/attorneys/robert-keenan/reviews/page/10/" TargetMode="External"/><Relationship Id="rId2161" Type="http://schemas.openxmlformats.org/officeDocument/2006/relationships/hyperlink" Target="https://www.sterlinglawyers.com/wisconsin/divorce/infidelity-run-or-reconcile/" TargetMode="External"/><Relationship Id="rId2162" Type="http://schemas.openxmlformats.org/officeDocument/2006/relationships/hyperlink" Target="https://www.sterlinglawyers.com/illinois/attorneys/nina-kelly/reviews/page/14/" TargetMode="External"/><Relationship Id="rId2163" Type="http://schemas.openxmlformats.org/officeDocument/2006/relationships/hyperlink" Target="https://www.sterlinglawyers.com/illinois/reviews/page/218/" TargetMode="External"/><Relationship Id="rId2164" Type="http://schemas.openxmlformats.org/officeDocument/2006/relationships/hyperlink" Target="https://www.sterlinglawyers.com/illinois/attorneys/nina-kelly/reviews/page/15/" TargetMode="External"/><Relationship Id="rId2165" Type="http://schemas.openxmlformats.org/officeDocument/2006/relationships/hyperlink" Target="https://www.sterlinglawyers.com/wisconsin/blog/page/7/?et_blog" TargetMode="External"/><Relationship Id="rId2166" Type="http://schemas.openxmlformats.org/officeDocument/2006/relationships/hyperlink" Target="https://www.sterlinglawyers.com/news/page/2/?et_blog" TargetMode="External"/><Relationship Id="rId2167" Type="http://schemas.openxmlformats.org/officeDocument/2006/relationships/hyperlink" Target="https://www.sterlinglawyers.com/illinois/attorneys/nina-kelly/reviews/page/33/" TargetMode="External"/><Relationship Id="rId2168" Type="http://schemas.openxmlformats.org/officeDocument/2006/relationships/hyperlink" Target="https://www.sterlinglawyers.com/illinois/attorneys/nina-kelly/reviews/page/34/" TargetMode="External"/><Relationship Id="rId2169" Type="http://schemas.openxmlformats.org/officeDocument/2006/relationships/hyperlink" Target="https://www.sterlinglawyers.com/illinois/reviews/page/14/" TargetMode="External"/><Relationship Id="rId2159" Type="http://schemas.openxmlformats.org/officeDocument/2006/relationships/hyperlink" Target="https://www.sterlinglawyers.com/wisconsin/attorneys/robert-keenan/reviews/page/11/" TargetMode="External"/><Relationship Id="rId2150" Type="http://schemas.openxmlformats.org/officeDocument/2006/relationships/hyperlink" Target="https://www.sterlinglawyers.com/wisconsin/attorneys/nikole-messerschmidt/reviews/page/11/" TargetMode="External"/><Relationship Id="rId2151" Type="http://schemas.openxmlformats.org/officeDocument/2006/relationships/hyperlink" Target="https://www.sterlinglawyers.com/wisconsin/attorneys/nikole-messerschmidt/reviews/page/10/" TargetMode="External"/><Relationship Id="rId2152" Type="http://schemas.openxmlformats.org/officeDocument/2006/relationships/hyperlink" Target="https://www.sterlinglawyers.com/wisconsin/attorneys/michelle-gordon/reviews/page/26/" TargetMode="External"/><Relationship Id="rId2153" Type="http://schemas.openxmlformats.org/officeDocument/2006/relationships/hyperlink" Target="https://www.sterlinglawyers.com/wisconsin/attorneys/jeffrey-morrell/reviews/page/10/" TargetMode="External"/><Relationship Id="rId2154" Type="http://schemas.openxmlformats.org/officeDocument/2006/relationships/hyperlink" Target="https://www.sterlinglawyers.com/wisconsin/attorneys/holly-mullin/reviews/page/42/" TargetMode="External"/><Relationship Id="rId2155" Type="http://schemas.openxmlformats.org/officeDocument/2006/relationships/hyperlink" Target="https://www.sterlinglawyers.com/wisconsin/attorneys/holly-mullin/reviews/page/43/" TargetMode="External"/><Relationship Id="rId2156" Type="http://schemas.openxmlformats.org/officeDocument/2006/relationships/hyperlink" Target="https://www.sterlinglawyers.com/wisconsin/attorneys/michelle-gordon/reviews/page/27/" TargetMode="External"/><Relationship Id="rId2157" Type="http://schemas.openxmlformats.org/officeDocument/2006/relationships/hyperlink" Target="https://www.sterlinglawyers.com/wisconsin/attorneys/michelle-gordon/reviews/page/11/" TargetMode="External"/><Relationship Id="rId2158" Type="http://schemas.openxmlformats.org/officeDocument/2006/relationships/hyperlink" Target="https://www.sterlinglawyers.com/wisconsin/attorneys/michelle-gordon/reviews/page/10/" TargetMode="External"/><Relationship Id="rId2104" Type="http://schemas.openxmlformats.org/officeDocument/2006/relationships/hyperlink" Target="https://www.sterlinglawyers.com/illinois/attorneys/alexandra-isroff/reviews/page/32/" TargetMode="External"/><Relationship Id="rId2105" Type="http://schemas.openxmlformats.org/officeDocument/2006/relationships/hyperlink" Target="https://www.sterlinglawyers.com/illinois/attorneys/katie-vandeusen/reviews/page/19/" TargetMode="External"/><Relationship Id="rId2106" Type="http://schemas.openxmlformats.org/officeDocument/2006/relationships/hyperlink" Target="https://www.sterlinglawyers.com/reviews/page/14/" TargetMode="External"/><Relationship Id="rId2107" Type="http://schemas.openxmlformats.org/officeDocument/2006/relationships/hyperlink" Target="https://www.sterlinglawyers.com/illinois/attorneys/alexandra-isroff/reviews/page/31/" TargetMode="External"/><Relationship Id="rId2108" Type="http://schemas.openxmlformats.org/officeDocument/2006/relationships/hyperlink" Target="https://www.sterlinglawyers.com/wisconsin/attorneys/bailey-holt/reviews/page/18/" TargetMode="External"/><Relationship Id="rId2109" Type="http://schemas.openxmlformats.org/officeDocument/2006/relationships/hyperlink" Target="https://www.sterlinglawyers.com/wisconsin/reviews/page/220/" TargetMode="External"/><Relationship Id="rId2100" Type="http://schemas.openxmlformats.org/officeDocument/2006/relationships/hyperlink" Target="https://www.sterlinglawyers.com/wisconsin/dirty-divorce-tricks/children-leverage/" TargetMode="External"/><Relationship Id="rId2101" Type="http://schemas.openxmlformats.org/officeDocument/2006/relationships/hyperlink" Target="https://www.sterlinglawyers.com/illinois/attorneys/alexandra-isroff/reviews/page/15/" TargetMode="External"/><Relationship Id="rId2102" Type="http://schemas.openxmlformats.org/officeDocument/2006/relationships/hyperlink" Target="https://www.sterlinglawyers.com/wisconsin/dirty-divorce-tricks/conflicting-out-attorneys/" TargetMode="External"/><Relationship Id="rId2103" Type="http://schemas.openxmlformats.org/officeDocument/2006/relationships/hyperlink" Target="https://www.sterlinglawyers.com/illinois/attorneys/katie-vandeusen/reviews/page/18/" TargetMode="External"/><Relationship Id="rId899" Type="http://schemas.openxmlformats.org/officeDocument/2006/relationships/hyperlink" Target="https://www.sterlinglawyers.com/wisconsin/areas/sheboygan-county/sheboygan-falls/" TargetMode="External"/><Relationship Id="rId898" Type="http://schemas.openxmlformats.org/officeDocument/2006/relationships/hyperlink" Target="https://www.sterlinglawyers.com/wisconsin/areas/milwaukee-county/hales-corners/" TargetMode="External"/><Relationship Id="rId897" Type="http://schemas.openxmlformats.org/officeDocument/2006/relationships/hyperlink" Target="https://www.sterlinglawyers.com/wisconsin/areas/waukesha-county/elm-grove/" TargetMode="External"/><Relationship Id="rId896" Type="http://schemas.openxmlformats.org/officeDocument/2006/relationships/hyperlink" Target="https://www.sterlinglawyers.com/wisconsin/areas/kenosha-county/salem-lakes/" TargetMode="External"/><Relationship Id="rId891" Type="http://schemas.openxmlformats.org/officeDocument/2006/relationships/hyperlink" Target="https://www.sterlinglawyers.com/wisconsin/areas/door-county/sturgeon-bay/" TargetMode="External"/><Relationship Id="rId890" Type="http://schemas.openxmlformats.org/officeDocument/2006/relationships/hyperlink" Target="https://www.sterlinglawyers.com/wisconsin/areas/outagamie-county/" TargetMode="External"/><Relationship Id="rId895" Type="http://schemas.openxmlformats.org/officeDocument/2006/relationships/hyperlink" Target="https://www.sterlinglawyers.com/wisconsin/areas/ozaukee-county/" TargetMode="External"/><Relationship Id="rId894" Type="http://schemas.openxmlformats.org/officeDocument/2006/relationships/hyperlink" Target="https://www.sterlinglawyers.com/wisconsin/areas/waukesha-county/merton/" TargetMode="External"/><Relationship Id="rId893" Type="http://schemas.openxmlformats.org/officeDocument/2006/relationships/hyperlink" Target="https://www.sterlinglawyers.com/wisconsin/areas/winnebago-county/fox-crossing/" TargetMode="External"/><Relationship Id="rId892" Type="http://schemas.openxmlformats.org/officeDocument/2006/relationships/hyperlink" Target="https://www.sterlinglawyers.com/wisconsin/areas/racine-county/" TargetMode="External"/><Relationship Id="rId2126" Type="http://schemas.openxmlformats.org/officeDocument/2006/relationships/hyperlink" Target="https://www.sterlinglawyers.com/wisconsin/attorneys/andria-adams/reviews/page/11/" TargetMode="External"/><Relationship Id="rId2127" Type="http://schemas.openxmlformats.org/officeDocument/2006/relationships/hyperlink" Target="https://www.sterlinglawyers.com/wisconsin/attorneys/jack-braaten/reviews/page/11/" TargetMode="External"/><Relationship Id="rId2128" Type="http://schemas.openxmlformats.org/officeDocument/2006/relationships/hyperlink" Target="https://www.sterlinglawyers.com/wisconsin/attorneys/austin-miller/reviews/page/27/" TargetMode="External"/><Relationship Id="rId2129" Type="http://schemas.openxmlformats.org/officeDocument/2006/relationships/hyperlink" Target="https://www.sterlinglawyers.com/wisconsin/attorneys/jack-braaten/reviews/page/10/" TargetMode="External"/><Relationship Id="rId2120" Type="http://schemas.openxmlformats.org/officeDocument/2006/relationships/hyperlink" Target="https://www.sterlinglawyers.com/wisconsin/attorneys/kathleen-curran/reviews/page/29/" TargetMode="External"/><Relationship Id="rId2121" Type="http://schemas.openxmlformats.org/officeDocument/2006/relationships/hyperlink" Target="https://www.sterlinglawyers.com/wisconsin/attorneys/kathleen-curran/reviews/page/11/" TargetMode="External"/><Relationship Id="rId2122" Type="http://schemas.openxmlformats.org/officeDocument/2006/relationships/hyperlink" Target="https://www.sterlinglawyers.com/wisconsin/attorneys/kathleen-curran/reviews/page/10/" TargetMode="External"/><Relationship Id="rId2123" Type="http://schemas.openxmlformats.org/officeDocument/2006/relationships/hyperlink" Target="https://www.sterlinglawyers.com/wisconsin/attorneys/holly-mullin/reviews/page/11/" TargetMode="External"/><Relationship Id="rId2124" Type="http://schemas.openxmlformats.org/officeDocument/2006/relationships/hyperlink" Target="https://www.sterlinglawyers.com/wisconsin/attorneys/andria-adams/reviews/page/12/" TargetMode="External"/><Relationship Id="rId2125" Type="http://schemas.openxmlformats.org/officeDocument/2006/relationships/hyperlink" Target="https://www.sterlinglawyers.com/wisconsin/attorneys/jack-braaten/reviews/page/22/" TargetMode="External"/><Relationship Id="rId2115" Type="http://schemas.openxmlformats.org/officeDocument/2006/relationships/hyperlink" Target="https://www.sterlinglawyers.com/wisconsin/attorneys/ellen-rhodeman/reviews/page/48/" TargetMode="External"/><Relationship Id="rId2116" Type="http://schemas.openxmlformats.org/officeDocument/2006/relationships/hyperlink" Target="https://www.sterlinglawyers.com/wisconsin/attorneys/kathleen-curran/reviews/page/28/" TargetMode="External"/><Relationship Id="rId2117" Type="http://schemas.openxmlformats.org/officeDocument/2006/relationships/hyperlink" Target="https://www.sterlinglawyers.com/wisconsin/attorneys/bailey-holt/reviews/page/11/" TargetMode="External"/><Relationship Id="rId2118" Type="http://schemas.openxmlformats.org/officeDocument/2006/relationships/hyperlink" Target="https://www.sterlinglawyers.com/wisconsin/attorneys/ellen-rhodeman/reviews/page/10/" TargetMode="External"/><Relationship Id="rId2119" Type="http://schemas.openxmlformats.org/officeDocument/2006/relationships/hyperlink" Target="https://www.sterlinglawyers.com/wisconsin/attorneys/bailey-holt/reviews/page/10/" TargetMode="External"/><Relationship Id="rId2110" Type="http://schemas.openxmlformats.org/officeDocument/2006/relationships/hyperlink" Target="https://www.sterlinglawyers.com/wisconsin/attorneys/austin-miller/reviews/page/11/" TargetMode="External"/><Relationship Id="rId2111" Type="http://schemas.openxmlformats.org/officeDocument/2006/relationships/hyperlink" Target="https://www.sterlinglawyers.com/wisconsin/attorneys/ellen-rhodeman/reviews/page/11/" TargetMode="External"/><Relationship Id="rId2112" Type="http://schemas.openxmlformats.org/officeDocument/2006/relationships/hyperlink" Target="https://www.sterlinglawyers.com/wisconsin/reviews/page/12/" TargetMode="External"/><Relationship Id="rId2113" Type="http://schemas.openxmlformats.org/officeDocument/2006/relationships/hyperlink" Target="https://www.sterlinglawyers.com/wisconsin/attorneys/ellen-rhodeman/reviews/page/47/" TargetMode="External"/><Relationship Id="rId2114" Type="http://schemas.openxmlformats.org/officeDocument/2006/relationships/hyperlink" Target="https://www.sterlinglawyers.com/wisconsin/reviews/page/13/"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sterlinglawyers.com/illinois/areas/dupage-county/roselle/" TargetMode="External"/><Relationship Id="rId42" Type="http://schemas.openxmlformats.org/officeDocument/2006/relationships/hyperlink" Target="https://www.sterlinglawyers.com/illinois/areas/areas/" TargetMode="External"/><Relationship Id="rId41" Type="http://schemas.openxmlformats.org/officeDocument/2006/relationships/hyperlink" Target="https://www.sterlinglawyers.com/illinois/areas/dupage-county/wood-dale/" TargetMode="External"/><Relationship Id="rId44" Type="http://schemas.openxmlformats.org/officeDocument/2006/relationships/hyperlink" Target="https://www.sterlinglawyers.com/illinois/areas/kane-county/algonquin/" TargetMode="External"/><Relationship Id="rId43" Type="http://schemas.openxmlformats.org/officeDocument/2006/relationships/hyperlink" Target="https://www.sterlinglawyers.com/illinois/areas/kane-county/" TargetMode="External"/><Relationship Id="rId46" Type="http://schemas.openxmlformats.org/officeDocument/2006/relationships/hyperlink" Target="https://www.sterlinglawyers.com/illinois/areas/kane-county/elgin/" TargetMode="External"/><Relationship Id="rId45" Type="http://schemas.openxmlformats.org/officeDocument/2006/relationships/hyperlink" Target="https://www.sterlinglawyers.com/illinois/areas/kane-county/carpentersville/" TargetMode="External"/><Relationship Id="rId48" Type="http://schemas.openxmlformats.org/officeDocument/2006/relationships/hyperlink" Target="https://www.sterlinglawyers.com/illinois/areas/cook-county/barrington/" TargetMode="External"/><Relationship Id="rId47" Type="http://schemas.openxmlformats.org/officeDocument/2006/relationships/hyperlink" Target="https://www.sterlinglawyers.com/illinois/areas/kane-county/south-elgin/" TargetMode="External"/><Relationship Id="rId49" Type="http://schemas.openxmlformats.org/officeDocument/2006/relationships/hyperlink" Target="https://www.sterlinglawyers.com/illinois/areas/cook-county/" TargetMode="External"/><Relationship Id="rId31" Type="http://schemas.openxmlformats.org/officeDocument/2006/relationships/hyperlink" Target="https://www.sterlinglawyers.com/illinois/areas/dupage-county/bensenville/" TargetMode="External"/><Relationship Id="rId30" Type="http://schemas.openxmlformats.org/officeDocument/2006/relationships/hyperlink" Target="https://www.sterlinglawyers.com/illinois/areas/dupage-county/bartlett/" TargetMode="External"/><Relationship Id="rId33" Type="http://schemas.openxmlformats.org/officeDocument/2006/relationships/hyperlink" Target="https://www.sterlinglawyers.com/illinois/areas/dupage-county/elmhurst/" TargetMode="External"/><Relationship Id="rId32" Type="http://schemas.openxmlformats.org/officeDocument/2006/relationships/hyperlink" Target="https://www.sterlinglawyers.com/illinois/areas/dupage-county/bloomingdale/" TargetMode="External"/><Relationship Id="rId35" Type="http://schemas.openxmlformats.org/officeDocument/2006/relationships/hyperlink" Target="https://www.sterlinglawyers.com/illinois/areas/dupage-county/glendale-heights/" TargetMode="External"/><Relationship Id="rId34" Type="http://schemas.openxmlformats.org/officeDocument/2006/relationships/hyperlink" Target="https://www.sterlinglawyers.com/illinois/areas/dupage-county/glen-ellyn/" TargetMode="External"/><Relationship Id="rId37" Type="http://schemas.openxmlformats.org/officeDocument/2006/relationships/hyperlink" Target="https://www.sterlinglawyers.com/illinois/areas/dupage-county/itasca/" TargetMode="External"/><Relationship Id="rId36" Type="http://schemas.openxmlformats.org/officeDocument/2006/relationships/hyperlink" Target="https://www.sterlinglawyers.com/illinois/areas/dupage-county/hanover-park/" TargetMode="External"/><Relationship Id="rId39" Type="http://schemas.openxmlformats.org/officeDocument/2006/relationships/hyperlink" Target="https://www.sterlinglawyers.com/illinois/areas/dupage-county/villa-park/" TargetMode="External"/><Relationship Id="rId38" Type="http://schemas.openxmlformats.org/officeDocument/2006/relationships/hyperlink" Target="https://www.sterlinglawyers.com/illinois/areas/dupage-county/lombard/" TargetMode="External"/><Relationship Id="rId20" Type="http://schemas.openxmlformats.org/officeDocument/2006/relationships/hyperlink" Target="https://www.sterlinglawyers.com/illinois/chicago-il-restaurants/" TargetMode="External"/><Relationship Id="rId22" Type="http://schemas.openxmlformats.org/officeDocument/2006/relationships/hyperlink" Target="https://www.sterlinglawyers.com/illinois/chicago-history/" TargetMode="External"/><Relationship Id="rId21" Type="http://schemas.openxmlformats.org/officeDocument/2006/relationships/hyperlink" Target="https://www.sterlinglawyers.com/illinois/chicago-hotels/" TargetMode="External"/><Relationship Id="rId24" Type="http://schemas.openxmlformats.org/officeDocument/2006/relationships/hyperlink" Target="https://www.sterlinglawyers.com/illinois/areas/kane-county/west-dundee/" TargetMode="External"/><Relationship Id="rId23" Type="http://schemas.openxmlformats.org/officeDocument/2006/relationships/hyperlink" Target="https://www.sterlinglawyers.com/illinois/areas/cook-county/lincolnwood/" TargetMode="External"/><Relationship Id="rId26" Type="http://schemas.openxmlformats.org/officeDocument/2006/relationships/hyperlink" Target="https://www.sterlinglawyers.com/illinois/areas/lake-county/highland-park/" TargetMode="External"/><Relationship Id="rId25" Type="http://schemas.openxmlformats.org/officeDocument/2006/relationships/hyperlink" Target="https://www.sterlinglawyers.com/illinois/areas/lake-county/" TargetMode="External"/><Relationship Id="rId28" Type="http://schemas.openxmlformats.org/officeDocument/2006/relationships/hyperlink" Target="https://www.sterlinglawyers.com/illinois/areas/dupage-county/" TargetMode="External"/><Relationship Id="rId27" Type="http://schemas.openxmlformats.org/officeDocument/2006/relationships/hyperlink" Target="https://www.sterlinglawyers.com/illinois/areas/lake-county/long-grove/" TargetMode="External"/><Relationship Id="rId29" Type="http://schemas.openxmlformats.org/officeDocument/2006/relationships/hyperlink" Target="https://www.sterlinglawyers.com/illinois/areas/dupage-county/addison/" TargetMode="External"/><Relationship Id="rId11" Type="http://schemas.openxmlformats.org/officeDocument/2006/relationships/hyperlink" Target="https://www.sterlinglawyers.com/illinois/spousal-support/" TargetMode="External"/><Relationship Id="rId10" Type="http://schemas.openxmlformats.org/officeDocument/2006/relationships/hyperlink" Target="https://www.sterlinglawyers.com/illinois/property-division/" TargetMode="External"/><Relationship Id="rId13" Type="http://schemas.openxmlformats.org/officeDocument/2006/relationships/hyperlink" Target="https://www.sterlinglawyers.com/illinois/family-law-process/" TargetMode="External"/><Relationship Id="rId12" Type="http://schemas.openxmlformats.org/officeDocument/2006/relationships/hyperlink" Target="https://www.sterlinglawyers.com/illinois/blog/" TargetMode="External"/><Relationship Id="rId15" Type="http://schemas.openxmlformats.org/officeDocument/2006/relationships/hyperlink" Target="https://www.sterlinglawyers.com/illinois/family-law-case-types-cost/" TargetMode="External"/><Relationship Id="rId14" Type="http://schemas.openxmlformats.org/officeDocument/2006/relationships/hyperlink" Target="https://www.sterlinglawyers.com/illinois/seminar/" TargetMode="External"/><Relationship Id="rId17" Type="http://schemas.openxmlformats.org/officeDocument/2006/relationships/hyperlink" Target="https://www.sterlinglawyers.com/illinois/areas/" TargetMode="External"/><Relationship Id="rId16" Type="http://schemas.openxmlformats.org/officeDocument/2006/relationships/hyperlink" Target="https://www.sterlinglawyers.com/illinois/events/" TargetMode="External"/><Relationship Id="rId19" Type="http://schemas.openxmlformats.org/officeDocument/2006/relationships/hyperlink" Target="https://www.sterlinglawyers.com/illinois/resources/" TargetMode="External"/><Relationship Id="rId18" Type="http://schemas.openxmlformats.org/officeDocument/2006/relationships/hyperlink" Target="https://www.sterlinglawyers.com/illinois/faq/" TargetMode="External"/><Relationship Id="rId84" Type="http://schemas.openxmlformats.org/officeDocument/2006/relationships/hyperlink" Target="https://www.sterlinglawyers.com/illinois/attorneys/nina-kelly/reviews/" TargetMode="External"/><Relationship Id="rId83" Type="http://schemas.openxmlformats.org/officeDocument/2006/relationships/hyperlink" Target="https://www.sterlinglawyers.com/illinois/attorneys/nina-kelly/" TargetMode="External"/><Relationship Id="rId86" Type="http://schemas.openxmlformats.org/officeDocument/2006/relationships/hyperlink" Target="https://www.sterlinglawyers.com/illinois/events/strategically-prepare-for-divorce/" TargetMode="External"/><Relationship Id="rId85" Type="http://schemas.openxmlformats.org/officeDocument/2006/relationships/hyperlink" Target="https://www.sterlinglawyers.com/illinois/attorneys/alexandra-isroff/" TargetMode="External"/><Relationship Id="rId88" Type="http://schemas.openxmlformats.org/officeDocument/2006/relationships/hyperlink" Target="https://www.sterlinglawyers.com/illinois/events/evaluating-custody-placement-support/" TargetMode="External"/><Relationship Id="rId87" Type="http://schemas.openxmlformats.org/officeDocument/2006/relationships/hyperlink" Target="https://www.sterlinglawyers.com/illinois/events/divide-money-divorce/" TargetMode="External"/><Relationship Id="rId89" Type="http://schemas.openxmlformats.org/officeDocument/2006/relationships/hyperlink" Target="https://www.sterlinglawyers.com/illinois/events/complete-guide-divorce-process/" TargetMode="External"/><Relationship Id="rId80" Type="http://schemas.openxmlformats.org/officeDocument/2006/relationships/hyperlink" Target="https://www.sterlinglawyers.com/illinois/attorneys/ryan-shope/" TargetMode="External"/><Relationship Id="rId82" Type="http://schemas.openxmlformats.org/officeDocument/2006/relationships/hyperlink" Target="https://www.sterlinglawyers.com/illinois/attorneys/lea-diaz/reviews/" TargetMode="External"/><Relationship Id="rId81" Type="http://schemas.openxmlformats.org/officeDocument/2006/relationships/hyperlink" Target="https://www.sterlinglawyers.com/illinois/attorneys/lea-diaz/" TargetMode="External"/><Relationship Id="rId73" Type="http://schemas.openxmlformats.org/officeDocument/2006/relationships/hyperlink" Target="https://www.sterlinglawyers.com/illinois/attorneys/natalie-mccray/reviews/" TargetMode="External"/><Relationship Id="rId72" Type="http://schemas.openxmlformats.org/officeDocument/2006/relationships/hyperlink" Target="https://www.sterlinglawyers.com/illinois/attorneys/brooke-saunders/reviews/" TargetMode="External"/><Relationship Id="rId75" Type="http://schemas.openxmlformats.org/officeDocument/2006/relationships/hyperlink" Target="https://www.sterlinglawyers.com/illinois/attorneys/katie-vandeusen/reviews/" TargetMode="External"/><Relationship Id="rId74" Type="http://schemas.openxmlformats.org/officeDocument/2006/relationships/hyperlink" Target="https://www.sterlinglawyers.com/illinois/attorneys/katie-vandeusen/" TargetMode="External"/><Relationship Id="rId77" Type="http://schemas.openxmlformats.org/officeDocument/2006/relationships/hyperlink" Target="https://www.sterlinglawyers.com/illinois/attorneys/alexandra-isroff/reviews/" TargetMode="External"/><Relationship Id="rId76" Type="http://schemas.openxmlformats.org/officeDocument/2006/relationships/hyperlink" Target="https://www.sterlinglawyers.com/illinois/attorneys/ryan-shope/reviews/" TargetMode="External"/><Relationship Id="rId79" Type="http://schemas.openxmlformats.org/officeDocument/2006/relationships/hyperlink" Target="https://www.sterlinglawyers.com/illinois/attorneys/jacqueline-mcclellan/" TargetMode="External"/><Relationship Id="rId78" Type="http://schemas.openxmlformats.org/officeDocument/2006/relationships/hyperlink" Target="https://www.sterlinglawyers.com/illinois/attorneys/jacqueline-mcclellan/reviews/" TargetMode="External"/><Relationship Id="rId71" Type="http://schemas.openxmlformats.org/officeDocument/2006/relationships/hyperlink" Target="https://www.sterlinglawyers.com/illinois/attorneys/brooke-saunders/" TargetMode="External"/><Relationship Id="rId70" Type="http://schemas.openxmlformats.org/officeDocument/2006/relationships/hyperlink" Target="https://www.sterlinglawyers.com/illinois/attorneys/cynthia-toscano/" TargetMode="External"/><Relationship Id="rId62" Type="http://schemas.openxmlformats.org/officeDocument/2006/relationships/hyperlink" Target="https://www.sterlinglawyers.com/illinois/areas/cook-county/park-ridge/" TargetMode="External"/><Relationship Id="rId61" Type="http://schemas.openxmlformats.org/officeDocument/2006/relationships/hyperlink" Target="https://www.sterlinglawyers.com/illinois/areas/cook-county/schiller-park/" TargetMode="External"/><Relationship Id="rId64" Type="http://schemas.openxmlformats.org/officeDocument/2006/relationships/hyperlink" Target="https://www.sterlinglawyers.com/illinois/areas/cook-county/skokie/" TargetMode="External"/><Relationship Id="rId63" Type="http://schemas.openxmlformats.org/officeDocument/2006/relationships/hyperlink" Target="https://www.sterlinglawyers.com/illinois/areas/cook-county/prospect-heights/" TargetMode="External"/><Relationship Id="rId66" Type="http://schemas.openxmlformats.org/officeDocument/2006/relationships/hyperlink" Target="https://www.sterlinglawyers.com/illinois/areas/cook-county/wilmette/" TargetMode="External"/><Relationship Id="rId65" Type="http://schemas.openxmlformats.org/officeDocument/2006/relationships/hyperlink" Target="https://www.sterlinglawyers.com/illinois/areas/cook-county/wheeling/" TargetMode="External"/><Relationship Id="rId68" Type="http://schemas.openxmlformats.org/officeDocument/2006/relationships/hyperlink" Target="https://www.sterlinglawyers.com/illinois/attorneys/reyna-herrera/reviews/" TargetMode="External"/><Relationship Id="rId67" Type="http://schemas.openxmlformats.org/officeDocument/2006/relationships/hyperlink" Target="https://www.sterlinglawyers.com/illinois/attorneys/cynthia-toscano/reviews/" TargetMode="External"/><Relationship Id="rId60" Type="http://schemas.openxmlformats.org/officeDocument/2006/relationships/hyperlink" Target="https://www.sterlinglawyers.com/illinois/areas/cook-county/rolling-meadows/" TargetMode="External"/><Relationship Id="rId69" Type="http://schemas.openxmlformats.org/officeDocument/2006/relationships/hyperlink" Target="https://www.sterlinglawyers.com/illinois/attorneys/reyna-herrera/" TargetMode="External"/><Relationship Id="rId51" Type="http://schemas.openxmlformats.org/officeDocument/2006/relationships/hyperlink" Target="https://www.sterlinglawyers.com/illinois/areas/cook-county/des-plaines/" TargetMode="External"/><Relationship Id="rId50" Type="http://schemas.openxmlformats.org/officeDocument/2006/relationships/hyperlink" Target="https://www.sterlinglawyers.com/illinois/areas/cook-county/buffalo-grove/" TargetMode="External"/><Relationship Id="rId53" Type="http://schemas.openxmlformats.org/officeDocument/2006/relationships/hyperlink" Target="https://www.sterlinglawyers.com/illinois/areas/cook-county/franklin-park/" TargetMode="External"/><Relationship Id="rId52" Type="http://schemas.openxmlformats.org/officeDocument/2006/relationships/hyperlink" Target="https://www.sterlinglawyers.com/illinois/areas/cook-county/elk-grove-village/" TargetMode="External"/><Relationship Id="rId55" Type="http://schemas.openxmlformats.org/officeDocument/2006/relationships/hyperlink" Target="https://www.sterlinglawyers.com/illinois/areas/cook-county/morton-grove/" TargetMode="External"/><Relationship Id="rId54" Type="http://schemas.openxmlformats.org/officeDocument/2006/relationships/hyperlink" Target="https://www.sterlinglawyers.com/illinois/areas/cook-county/harwood-heights/" TargetMode="External"/><Relationship Id="rId57" Type="http://schemas.openxmlformats.org/officeDocument/2006/relationships/hyperlink" Target="https://www.sterlinglawyers.com/illinois/areas/cook-county/norridge/" TargetMode="External"/><Relationship Id="rId56" Type="http://schemas.openxmlformats.org/officeDocument/2006/relationships/hyperlink" Target="https://www.sterlinglawyers.com/illinois/areas/cook-county/mount-prospect/" TargetMode="External"/><Relationship Id="rId59" Type="http://schemas.openxmlformats.org/officeDocument/2006/relationships/hyperlink" Target="https://www.sterlinglawyers.com/illinois/areas/cook-county/palatine/" TargetMode="External"/><Relationship Id="rId58" Type="http://schemas.openxmlformats.org/officeDocument/2006/relationships/hyperlink" Target="https://www.sterlinglawyers.com/illinois/areas/cook-county/northlake/" TargetMode="External"/><Relationship Id="rId95" Type="http://schemas.openxmlformats.org/officeDocument/2006/relationships/hyperlink" Target="https://www.sterlinglawyers.com/illinois/locations/naperville/paternity-lawyers/" TargetMode="External"/><Relationship Id="rId94" Type="http://schemas.openxmlformats.org/officeDocument/2006/relationships/hyperlink" Target="https://www.sterlinglawyers.com/illinois/locations/naperville/property-division-lawyers/" TargetMode="External"/><Relationship Id="rId97" Type="http://schemas.openxmlformats.org/officeDocument/2006/relationships/hyperlink" Target="https://www.sterlinglawyers.com/illinois/locations/naperville/divorce-mediation-lawyers/" TargetMode="External"/><Relationship Id="rId96" Type="http://schemas.openxmlformats.org/officeDocument/2006/relationships/hyperlink" Target="https://www.sterlinglawyers.com/illinois/locations/naperville/military-divorce-lawyers/" TargetMode="External"/><Relationship Id="rId99" Type="http://schemas.openxmlformats.org/officeDocument/2006/relationships/hyperlink" Target="https://www.sterlinglawyers.com/illinois/locations/naperville/collaborative-divorce-lawyers/" TargetMode="External"/><Relationship Id="rId98" Type="http://schemas.openxmlformats.org/officeDocument/2006/relationships/hyperlink" Target="https://www.sterlinglawyers.com/illinois/locations/naperville/contested-divorce-lawyers/" TargetMode="External"/><Relationship Id="rId91" Type="http://schemas.openxmlformats.org/officeDocument/2006/relationships/hyperlink" Target="https://www.sterlinglawyers.com/illinois/locations/chicago/uncontested-divorce-lawyers/" TargetMode="External"/><Relationship Id="rId90" Type="http://schemas.openxmlformats.org/officeDocument/2006/relationships/hyperlink" Target="https://www.sterlinglawyers.com/illinois/events/questions-ask-divorce-attorney/" TargetMode="External"/><Relationship Id="rId93" Type="http://schemas.openxmlformats.org/officeDocument/2006/relationships/hyperlink" Target="https://www.sterlinglawyers.com/illinois/locations/naperville/alimony-lawyers/" TargetMode="External"/><Relationship Id="rId92" Type="http://schemas.openxmlformats.org/officeDocument/2006/relationships/hyperlink" Target="https://www.sterlinglawyers.com/illinois/locations/naperville/uncontested-divorce-lawyers/" TargetMode="External"/><Relationship Id="rId228" Type="http://schemas.openxmlformats.org/officeDocument/2006/relationships/hyperlink" Target="https://www.sterlinglawyers.com/illinois/property-division/survivorship-marital-property/" TargetMode="External"/><Relationship Id="rId227" Type="http://schemas.openxmlformats.org/officeDocument/2006/relationships/hyperlink" Target="https://www.sterlinglawyers.com/illinois/property-division/splitting-assets-divorce/" TargetMode="External"/><Relationship Id="rId226" Type="http://schemas.openxmlformats.org/officeDocument/2006/relationships/hyperlink" Target="https://www.sterlinglawyers.com/illinois/property-division/hidden-assets/" TargetMode="External"/><Relationship Id="rId225" Type="http://schemas.openxmlformats.org/officeDocument/2006/relationships/hyperlink" Target="https://www.sterlinglawyers.com/illinois/property-division/retirement/" TargetMode="External"/><Relationship Id="rId229" Type="http://schemas.openxmlformats.org/officeDocument/2006/relationships/drawing" Target="../drawings/drawing15.xml"/><Relationship Id="rId220" Type="http://schemas.openxmlformats.org/officeDocument/2006/relationships/hyperlink" Target="https://www.sterlinglawyers.com/illinois/property-division/postnuptial-agreements/" TargetMode="External"/><Relationship Id="rId224" Type="http://schemas.openxmlformats.org/officeDocument/2006/relationships/hyperlink" Target="https://www.sterlinglawyers.com/illinois/property-division/gets-marital-house-divorce/" TargetMode="External"/><Relationship Id="rId223" Type="http://schemas.openxmlformats.org/officeDocument/2006/relationships/hyperlink" Target="https://www.sterlinglawyers.com/illinois/property-division/inheritance/" TargetMode="External"/><Relationship Id="rId222" Type="http://schemas.openxmlformats.org/officeDocument/2006/relationships/hyperlink" Target="https://www.sterlinglawyers.com/illinois/property-division/marital-property/" TargetMode="External"/><Relationship Id="rId221" Type="http://schemas.openxmlformats.org/officeDocument/2006/relationships/hyperlink" Target="https://www.sterlinglawyers.com/illinois/property-division/non-marital-property/" TargetMode="External"/><Relationship Id="rId217" Type="http://schemas.openxmlformats.org/officeDocument/2006/relationships/hyperlink" Target="https://www.sterlinglawyers.com/illinois/property-division/investments/" TargetMode="External"/><Relationship Id="rId216" Type="http://schemas.openxmlformats.org/officeDocument/2006/relationships/hyperlink" Target="https://www.sterlinglawyers.com/illinois/property-division/debt/" TargetMode="External"/><Relationship Id="rId215" Type="http://schemas.openxmlformats.org/officeDocument/2006/relationships/hyperlink" Target="https://www.sterlinglawyers.com/illinois/property-division/worksheet/" TargetMode="External"/><Relationship Id="rId214" Type="http://schemas.openxmlformats.org/officeDocument/2006/relationships/hyperlink" Target="https://www.sterlinglawyers.com/illinois/divorce/file-for-divorce/file-cook-county/" TargetMode="External"/><Relationship Id="rId219" Type="http://schemas.openxmlformats.org/officeDocument/2006/relationships/hyperlink" Target="https://www.sterlinglawyers.com/illinois/property-division/prenuptial-agreements/" TargetMode="External"/><Relationship Id="rId218" Type="http://schemas.openxmlformats.org/officeDocument/2006/relationships/hyperlink" Target="https://www.sterlinglawyers.com/illinois/property-division/enforcing-orders/" TargetMode="External"/><Relationship Id="rId213" Type="http://schemas.openxmlformats.org/officeDocument/2006/relationships/hyperlink" Target="https://www.sterlinglawyers.com/illinois/divorce/how/" TargetMode="External"/><Relationship Id="rId212" Type="http://schemas.openxmlformats.org/officeDocument/2006/relationships/hyperlink" Target="https://www.sterlinglawyers.com/illinois/divorce/financing/" TargetMode="External"/><Relationship Id="rId211" Type="http://schemas.openxmlformats.org/officeDocument/2006/relationships/hyperlink" Target="https://www.sterlinglawyers.com/illinois/divorce/documenting-agreements/" TargetMode="External"/><Relationship Id="rId210" Type="http://schemas.openxmlformats.org/officeDocument/2006/relationships/hyperlink" Target="https://www.sterlinglawyers.com/illinois/divorce/cost/" TargetMode="External"/><Relationship Id="rId206" Type="http://schemas.openxmlformats.org/officeDocument/2006/relationships/hyperlink" Target="https://www.sterlinglawyers.com/illinois/divorce/mediation/" TargetMode="External"/><Relationship Id="rId205" Type="http://schemas.openxmlformats.org/officeDocument/2006/relationships/hyperlink" Target="https://www.sterlinglawyers.com/illinois/divorce/adultery-laws/" TargetMode="External"/><Relationship Id="rId204" Type="http://schemas.openxmlformats.org/officeDocument/2006/relationships/hyperlink" Target="https://www.sterlinglawyers.com/illinois/divorce/annulment/" TargetMode="External"/><Relationship Id="rId203" Type="http://schemas.openxmlformats.org/officeDocument/2006/relationships/hyperlink" Target="https://www.sterlinglawyers.com/illinois/divorce/collaborative/" TargetMode="External"/><Relationship Id="rId209" Type="http://schemas.openxmlformats.org/officeDocument/2006/relationships/hyperlink" Target="https://www.sterlinglawyers.com/illinois/divorce/common-law-marriage/" TargetMode="External"/><Relationship Id="rId208" Type="http://schemas.openxmlformats.org/officeDocument/2006/relationships/hyperlink" Target="https://www.sterlinglawyers.com/illinois/divorce/file-for-divorce/" TargetMode="External"/><Relationship Id="rId207" Type="http://schemas.openxmlformats.org/officeDocument/2006/relationships/hyperlink" Target="https://www.sterlinglawyers.com/illinois/divorce/how-long-divorce-illinois/" TargetMode="External"/><Relationship Id="rId202" Type="http://schemas.openxmlformats.org/officeDocument/2006/relationships/hyperlink" Target="https://www.sterlinglawyers.com/illinois/divorce/contested/" TargetMode="External"/><Relationship Id="rId201" Type="http://schemas.openxmlformats.org/officeDocument/2006/relationships/hyperlink" Target="https://www.sterlinglawyers.com/illinois/divorce/forms/" TargetMode="External"/><Relationship Id="rId200" Type="http://schemas.openxmlformats.org/officeDocument/2006/relationships/hyperlink" Target="https://www.sterlinglawyers.com/illinois/divorce/litigation/" TargetMode="External"/><Relationship Id="rId1" Type="http://schemas.openxmlformats.org/officeDocument/2006/relationships/hyperlink" Target="https://www.sterlinglawyers.com/illinois/" TargetMode="External"/><Relationship Id="rId2" Type="http://schemas.openxmlformats.org/officeDocument/2006/relationships/hyperlink" Target="https://www.sterlinglawyers.com/illinois/divorce/" TargetMode="External"/><Relationship Id="rId3" Type="http://schemas.openxmlformats.org/officeDocument/2006/relationships/hyperlink" Target="https://www.sterlinglawyers.com/illinois/paternity/" TargetMode="External"/><Relationship Id="rId4" Type="http://schemas.openxmlformats.org/officeDocument/2006/relationships/hyperlink" Target="https://www.sterlinglawyers.com/illinois/child-custody/" TargetMode="External"/><Relationship Id="rId9" Type="http://schemas.openxmlformats.org/officeDocument/2006/relationships/hyperlink" Target="https://www.sterlinglawyers.com/illinois/child-support/" TargetMode="External"/><Relationship Id="rId5" Type="http://schemas.openxmlformats.org/officeDocument/2006/relationships/hyperlink" Target="https://www.sterlinglawyers.com/illinois/attorneys/" TargetMode="External"/><Relationship Id="rId6" Type="http://schemas.openxmlformats.org/officeDocument/2006/relationships/hyperlink" Target="https://www.sterlinglawyers.com/illinois/locations/" TargetMode="External"/><Relationship Id="rId7" Type="http://schemas.openxmlformats.org/officeDocument/2006/relationships/hyperlink" Target="https://www.sterlinglawyers.com/illinois/pricing/" TargetMode="External"/><Relationship Id="rId8" Type="http://schemas.openxmlformats.org/officeDocument/2006/relationships/hyperlink" Target="https://www.sterlinglawyers.com/illinois/guardianship/" TargetMode="External"/><Relationship Id="rId190" Type="http://schemas.openxmlformats.org/officeDocument/2006/relationships/hyperlink" Target="https://www.sterlinglawyers.com/illinois/divorce/marriage-license/" TargetMode="External"/><Relationship Id="rId194" Type="http://schemas.openxmlformats.org/officeDocument/2006/relationships/hyperlink" Target="https://www.sterlinglawyers.com/illinois/divorce/uncontested-divorce/" TargetMode="External"/><Relationship Id="rId193" Type="http://schemas.openxmlformats.org/officeDocument/2006/relationships/hyperlink" Target="https://www.sterlinglawyers.com/illinois/divorce/waiting-period/" TargetMode="External"/><Relationship Id="rId192" Type="http://schemas.openxmlformats.org/officeDocument/2006/relationships/hyperlink" Target="https://www.sterlinglawyers.com/illinois/divorce/abandonment/" TargetMode="External"/><Relationship Id="rId191" Type="http://schemas.openxmlformats.org/officeDocument/2006/relationships/hyperlink" Target="https://www.sterlinglawyers.com/illinois/divorce/diy/" TargetMode="External"/><Relationship Id="rId187" Type="http://schemas.openxmlformats.org/officeDocument/2006/relationships/hyperlink" Target="https://www.sterlinglawyers.com/illinois/child-support/divorce/" TargetMode="External"/><Relationship Id="rId186" Type="http://schemas.openxmlformats.org/officeDocument/2006/relationships/hyperlink" Target="https://www.sterlinglawyers.com/illinois/child-support/enforce-orders/" TargetMode="External"/><Relationship Id="rId185" Type="http://schemas.openxmlformats.org/officeDocument/2006/relationships/hyperlink" Target="https://www.sterlinglawyers.com/illinois/child-support/calculator/" TargetMode="External"/><Relationship Id="rId184" Type="http://schemas.openxmlformats.org/officeDocument/2006/relationships/hyperlink" Target="https://www.sterlinglawyers.com/illinois/child-custody/temporary-parental-responsibilities/" TargetMode="External"/><Relationship Id="rId189" Type="http://schemas.openxmlformats.org/officeDocument/2006/relationships/hyperlink" Target="https://www.sterlinglawyers.com/illinois/child-support/end-orders/" TargetMode="External"/><Relationship Id="rId188" Type="http://schemas.openxmlformats.org/officeDocument/2006/relationships/hyperlink" Target="https://www.sterlinglawyers.com/illinois/child-support/modify-orders/" TargetMode="External"/><Relationship Id="rId183" Type="http://schemas.openxmlformats.org/officeDocument/2006/relationships/hyperlink" Target="https://www.sterlinglawyers.com/illinois/child-custody/parenting-plan/" TargetMode="External"/><Relationship Id="rId182" Type="http://schemas.openxmlformats.org/officeDocument/2006/relationships/hyperlink" Target="https://www.sterlinglawyers.com/illinois/child-custody/co-parenting-with-narcissist/" TargetMode="External"/><Relationship Id="rId181" Type="http://schemas.openxmlformats.org/officeDocument/2006/relationships/hyperlink" Target="https://www.sterlinglawyers.com/illinois/child-custody/third-party-orders/" TargetMode="External"/><Relationship Id="rId180" Type="http://schemas.openxmlformats.org/officeDocument/2006/relationships/hyperlink" Target="https://www.sterlinglawyers.com/illinois/child-custody/50-50-schedules/" TargetMode="External"/><Relationship Id="rId176" Type="http://schemas.openxmlformats.org/officeDocument/2006/relationships/hyperlink" Target="https://www.sterlinglawyers.com/illinois/child-custody/modify-orders/" TargetMode="External"/><Relationship Id="rId175" Type="http://schemas.openxmlformats.org/officeDocument/2006/relationships/hyperlink" Target="https://www.sterlinglawyers.com/illinois/child-custody/name-change/" TargetMode="External"/><Relationship Id="rId174" Type="http://schemas.openxmlformats.org/officeDocument/2006/relationships/hyperlink" Target="https://www.sterlinglawyers.com/illinois/child-custody/paternity/" TargetMode="External"/><Relationship Id="rId173" Type="http://schemas.openxmlformats.org/officeDocument/2006/relationships/hyperlink" Target="https://www.sterlinglawyers.com/illinois/child-custody/sole-orders/" TargetMode="External"/><Relationship Id="rId179" Type="http://schemas.openxmlformats.org/officeDocument/2006/relationships/hyperlink" Target="https://www.sterlinglawyers.com/illinois/child-custody/child-chooses-parent/" TargetMode="External"/><Relationship Id="rId178" Type="http://schemas.openxmlformats.org/officeDocument/2006/relationships/hyperlink" Target="https://www.sterlinglawyers.com/illinois/child-custody/enforce-orders/" TargetMode="External"/><Relationship Id="rId177" Type="http://schemas.openxmlformats.org/officeDocument/2006/relationships/hyperlink" Target="https://www.sterlinglawyers.com/illinois/child-custody/guardian-ad-litem/" TargetMode="External"/><Relationship Id="rId198" Type="http://schemas.openxmlformats.org/officeDocument/2006/relationships/hyperlink" Target="https://www.sterlinglawyers.com/illinois/divorce/temporary-order/" TargetMode="External"/><Relationship Id="rId197" Type="http://schemas.openxmlformats.org/officeDocument/2006/relationships/hyperlink" Target="https://www.sterlinglawyers.com/illinois/divorce/grounds-for-divorce/" TargetMode="External"/><Relationship Id="rId196" Type="http://schemas.openxmlformats.org/officeDocument/2006/relationships/hyperlink" Target="https://www.sterlinglawyers.com/illinois/divorce/separation/" TargetMode="External"/><Relationship Id="rId195" Type="http://schemas.openxmlformats.org/officeDocument/2006/relationships/hyperlink" Target="https://www.sterlinglawyers.com/illinois/divorce/order-of-protection/" TargetMode="External"/><Relationship Id="rId199" Type="http://schemas.openxmlformats.org/officeDocument/2006/relationships/hyperlink" Target="https://www.sterlinglawyers.com/illinois/divorce/evicting-spouse/" TargetMode="External"/><Relationship Id="rId150" Type="http://schemas.openxmlformats.org/officeDocument/2006/relationships/hyperlink" Target="https://www.sterlinglawyers.com/illinois/locations/chicago/property-division-lawyers/" TargetMode="External"/><Relationship Id="rId149" Type="http://schemas.openxmlformats.org/officeDocument/2006/relationships/hyperlink" Target="https://www.sterlinglawyers.com/illinois/locations/chicago/alimony-lawyers/" TargetMode="External"/><Relationship Id="rId148" Type="http://schemas.openxmlformats.org/officeDocument/2006/relationships/hyperlink" Target="https://www.sterlinglawyers.com/illinois/locations/chicago/" TargetMode="External"/><Relationship Id="rId143" Type="http://schemas.openxmlformats.org/officeDocument/2006/relationships/hyperlink" Target="https://www.sterlinglawyers.com/illinois/locations/hoffman-estates/divorce-mediation-lawyers/" TargetMode="External"/><Relationship Id="rId142" Type="http://schemas.openxmlformats.org/officeDocument/2006/relationships/hyperlink" Target="https://www.sterlinglawyers.com/illinois/locations/hoffman-estates/military-divorce-lawyers/" TargetMode="External"/><Relationship Id="rId141" Type="http://schemas.openxmlformats.org/officeDocument/2006/relationships/hyperlink" Target="https://www.sterlinglawyers.com/illinois/locations/hoffman-estates/paternity-lawyers/" TargetMode="External"/><Relationship Id="rId140" Type="http://schemas.openxmlformats.org/officeDocument/2006/relationships/hyperlink" Target="https://www.sterlinglawyers.com/illinois/locations/hoffman-estates/property-division-lawyers/" TargetMode="External"/><Relationship Id="rId147" Type="http://schemas.openxmlformats.org/officeDocument/2006/relationships/hyperlink" Target="https://www.sterlinglawyers.com/illinois/locations/chicago/contested-divorce-lawyers/" TargetMode="External"/><Relationship Id="rId146" Type="http://schemas.openxmlformats.org/officeDocument/2006/relationships/hyperlink" Target="https://www.sterlinglawyers.com/illinois/locations/naperville/" TargetMode="External"/><Relationship Id="rId145" Type="http://schemas.openxmlformats.org/officeDocument/2006/relationships/hyperlink" Target="https://www.sterlinglawyers.com/illinois/locations/hoffman-estates/collaborative-divorce-lawyers/" TargetMode="External"/><Relationship Id="rId144" Type="http://schemas.openxmlformats.org/officeDocument/2006/relationships/hyperlink" Target="https://www.sterlinglawyers.com/illinois/locations/hoffman-estates/contested-divorce-lawyers/" TargetMode="External"/><Relationship Id="rId139" Type="http://schemas.openxmlformats.org/officeDocument/2006/relationships/hyperlink" Target="https://www.sterlinglawyers.com/illinois/locations/hoffman-estates/alimony-lawyers/" TargetMode="External"/><Relationship Id="rId138" Type="http://schemas.openxmlformats.org/officeDocument/2006/relationships/hyperlink" Target="https://www.sterlinglawyers.com/illinois/locations/hoffman-estates/uncontested-divorce-lawyers/" TargetMode="External"/><Relationship Id="rId137" Type="http://schemas.openxmlformats.org/officeDocument/2006/relationships/hyperlink" Target="https://www.sterlinglawyers.com/illinois/locations/schaumburg/" TargetMode="External"/><Relationship Id="rId132" Type="http://schemas.openxmlformats.org/officeDocument/2006/relationships/hyperlink" Target="https://www.sterlinglawyers.com/illinois/locations/schaumburg/divorce-mediation-lawyers/" TargetMode="External"/><Relationship Id="rId131" Type="http://schemas.openxmlformats.org/officeDocument/2006/relationships/hyperlink" Target="https://www.sterlinglawyers.com/illinois/locations/schaumburg/military-divorce-lawyers/" TargetMode="External"/><Relationship Id="rId130" Type="http://schemas.openxmlformats.org/officeDocument/2006/relationships/hyperlink" Target="https://www.sterlinglawyers.com/illinois/locations/schaumburg/paternity-lawyers/" TargetMode="External"/><Relationship Id="rId136" Type="http://schemas.openxmlformats.org/officeDocument/2006/relationships/hyperlink" Target="https://www.sterlinglawyers.com/illinois/locations/schaumburg/child-custody-lawyers/" TargetMode="External"/><Relationship Id="rId135" Type="http://schemas.openxmlformats.org/officeDocument/2006/relationships/hyperlink" Target="https://www.sterlinglawyers.com/illinois/locations/schaumburg/child-support-lawyers/" TargetMode="External"/><Relationship Id="rId134" Type="http://schemas.openxmlformats.org/officeDocument/2006/relationships/hyperlink" Target="https://www.sterlinglawyers.com/illinois/locations/schaumburg/collaborative-divorce-lawyers/" TargetMode="External"/><Relationship Id="rId133" Type="http://schemas.openxmlformats.org/officeDocument/2006/relationships/hyperlink" Target="https://www.sterlinglawyers.com/illinois/locations/schaumburg/contested-divorce-lawyers/" TargetMode="External"/><Relationship Id="rId172" Type="http://schemas.openxmlformats.org/officeDocument/2006/relationships/hyperlink" Target="https://www.sterlinglawyers.com/illinois/child-custody/third-party-visitation/" TargetMode="External"/><Relationship Id="rId171" Type="http://schemas.openxmlformats.org/officeDocument/2006/relationships/hyperlink" Target="https://www.sterlinglawyers.com/illinois/child-custody/unfit-parent/" TargetMode="External"/><Relationship Id="rId170" Type="http://schemas.openxmlformats.org/officeDocument/2006/relationships/hyperlink" Target="https://www.sterlinglawyers.com/illinois/child-custody/during-divorce/" TargetMode="External"/><Relationship Id="rId165" Type="http://schemas.openxmlformats.org/officeDocument/2006/relationships/hyperlink" Target="https://www.sterlinglawyers.com/illinois/child-custody/custody-process/" TargetMode="External"/><Relationship Id="rId164" Type="http://schemas.openxmlformats.org/officeDocument/2006/relationships/hyperlink" Target="https://www.sterlinglawyers.com/illinois/spousal-support/duration/" TargetMode="External"/><Relationship Id="rId163" Type="http://schemas.openxmlformats.org/officeDocument/2006/relationships/hyperlink" Target="https://www.sterlinglawyers.com/illinois/spousal-support/divorce/" TargetMode="External"/><Relationship Id="rId162" Type="http://schemas.openxmlformats.org/officeDocument/2006/relationships/hyperlink" Target="https://www.sterlinglawyers.com/illinois/spousal-support/enforce-orders/" TargetMode="External"/><Relationship Id="rId169" Type="http://schemas.openxmlformats.org/officeDocument/2006/relationships/hyperlink" Target="https://www.sterlinglawyers.com/illinois/child-custody/fathers-rights/" TargetMode="External"/><Relationship Id="rId168" Type="http://schemas.openxmlformats.org/officeDocument/2006/relationships/hyperlink" Target="https://www.sterlinglawyers.com/illinois/child-custody/parental-alienation/" TargetMode="External"/><Relationship Id="rId167" Type="http://schemas.openxmlformats.org/officeDocument/2006/relationships/hyperlink" Target="https://www.sterlinglawyers.com/illinois/child-custody/split-orders/" TargetMode="External"/><Relationship Id="rId166" Type="http://schemas.openxmlformats.org/officeDocument/2006/relationships/hyperlink" Target="https://www.sterlinglawyers.com/illinois/child-custody/co-parenting/" TargetMode="External"/><Relationship Id="rId161" Type="http://schemas.openxmlformats.org/officeDocument/2006/relationships/hyperlink" Target="https://www.sterlinglawyers.com/illinois/spousal-support/modify-orders/" TargetMode="External"/><Relationship Id="rId160" Type="http://schemas.openxmlformats.org/officeDocument/2006/relationships/hyperlink" Target="https://www.sterlinglawyers.com/illinois/spousal-support/alimony-taxes/" TargetMode="External"/><Relationship Id="rId159" Type="http://schemas.openxmlformats.org/officeDocument/2006/relationships/hyperlink" Target="https://www.sterlinglawyers.com/illinois/spousal-support/terminate-orders/" TargetMode="External"/><Relationship Id="rId154" Type="http://schemas.openxmlformats.org/officeDocument/2006/relationships/hyperlink" Target="https://www.sterlinglawyers.com/illinois/locations/chicago/collaborative-divorce-lawyers/" TargetMode="External"/><Relationship Id="rId153" Type="http://schemas.openxmlformats.org/officeDocument/2006/relationships/hyperlink" Target="https://www.sterlinglawyers.com/illinois/locations/chicago/divorce-mediation-lawyers/" TargetMode="External"/><Relationship Id="rId152" Type="http://schemas.openxmlformats.org/officeDocument/2006/relationships/hyperlink" Target="https://www.sterlinglawyers.com/illinois/locations/chicago/military-divorce-lawyers/" TargetMode="External"/><Relationship Id="rId151" Type="http://schemas.openxmlformats.org/officeDocument/2006/relationships/hyperlink" Target="https://www.sterlinglawyers.com/illinois/locations/chicago/paternity-lawyers/" TargetMode="External"/><Relationship Id="rId158" Type="http://schemas.openxmlformats.org/officeDocument/2006/relationships/hyperlink" Target="https://www.sterlinglawyers.com/illinois/spousal-support/types/" TargetMode="External"/><Relationship Id="rId157" Type="http://schemas.openxmlformats.org/officeDocument/2006/relationships/hyperlink" Target="https://www.sterlinglawyers.com/illinois/spousal-support/calculator/" TargetMode="External"/><Relationship Id="rId156" Type="http://schemas.openxmlformats.org/officeDocument/2006/relationships/hyperlink" Target="https://www.sterlinglawyers.com/illinois/locations/chicago/child-custody-lawyers/" TargetMode="External"/><Relationship Id="rId155" Type="http://schemas.openxmlformats.org/officeDocument/2006/relationships/hyperlink" Target="https://www.sterlinglawyers.com/illinois/locations/chicago/child-support-lawyers/" TargetMode="External"/><Relationship Id="rId107" Type="http://schemas.openxmlformats.org/officeDocument/2006/relationships/hyperlink" Target="https://www.sterlinglawyers.com/illinois/locations/evanston/property-division-lawyers/" TargetMode="External"/><Relationship Id="rId106" Type="http://schemas.openxmlformats.org/officeDocument/2006/relationships/hyperlink" Target="https://www.sterlinglawyers.com/illinois/locations/evanston/alimony-lawyers/" TargetMode="External"/><Relationship Id="rId105" Type="http://schemas.openxmlformats.org/officeDocument/2006/relationships/hyperlink" Target="https://www.sterlinglawyers.com/illinois/locations/evanston/uncontested-divorce-lawyers/" TargetMode="External"/><Relationship Id="rId104" Type="http://schemas.openxmlformats.org/officeDocument/2006/relationships/hyperlink" Target="https://www.sterlinglawyers.com/illinois/locations/hoffman-estates/" TargetMode="External"/><Relationship Id="rId109" Type="http://schemas.openxmlformats.org/officeDocument/2006/relationships/hyperlink" Target="https://www.sterlinglawyers.com/illinois/locations/evanston/military-divorce-lawyers/" TargetMode="External"/><Relationship Id="rId108" Type="http://schemas.openxmlformats.org/officeDocument/2006/relationships/hyperlink" Target="https://www.sterlinglawyers.com/illinois/locations/evanston/paternity-lawyers/" TargetMode="External"/><Relationship Id="rId103" Type="http://schemas.openxmlformats.org/officeDocument/2006/relationships/hyperlink" Target="https://www.sterlinglawyers.com/illinois/locations/hoffman-estates/child-custody-lawyers/" TargetMode="External"/><Relationship Id="rId102" Type="http://schemas.openxmlformats.org/officeDocument/2006/relationships/hyperlink" Target="https://www.sterlinglawyers.com/illinois/locations/hoffman-estates/child-support-lawyers/" TargetMode="External"/><Relationship Id="rId101" Type="http://schemas.openxmlformats.org/officeDocument/2006/relationships/hyperlink" Target="https://www.sterlinglawyers.com/illinois/locations/naperville/child-custody-lawyers/" TargetMode="External"/><Relationship Id="rId100" Type="http://schemas.openxmlformats.org/officeDocument/2006/relationships/hyperlink" Target="https://www.sterlinglawyers.com/illinois/locations/naperville/child-support-lawyers/" TargetMode="External"/><Relationship Id="rId129" Type="http://schemas.openxmlformats.org/officeDocument/2006/relationships/hyperlink" Target="https://www.sterlinglawyers.com/illinois/locations/schaumburg/property-division-lawyers/" TargetMode="External"/><Relationship Id="rId128" Type="http://schemas.openxmlformats.org/officeDocument/2006/relationships/hyperlink" Target="https://www.sterlinglawyers.com/illinois/locations/schaumburg/alimony-lawyers/" TargetMode="External"/><Relationship Id="rId127" Type="http://schemas.openxmlformats.org/officeDocument/2006/relationships/hyperlink" Target="https://www.sterlinglawyers.com/illinois/locations/schaumburg/uncontested-divorce-lawyers/" TargetMode="External"/><Relationship Id="rId126" Type="http://schemas.openxmlformats.org/officeDocument/2006/relationships/hyperlink" Target="https://www.sterlinglawyers.com/illinois/locations/arlington-heights/" TargetMode="External"/><Relationship Id="rId121" Type="http://schemas.openxmlformats.org/officeDocument/2006/relationships/hyperlink" Target="https://www.sterlinglawyers.com/illinois/locations/arlington-heights/divorce-mediation-lawyers/" TargetMode="External"/><Relationship Id="rId120" Type="http://schemas.openxmlformats.org/officeDocument/2006/relationships/hyperlink" Target="https://www.sterlinglawyers.com/illinois/locations/arlington-heights/military-divorce-lawyers/" TargetMode="External"/><Relationship Id="rId125" Type="http://schemas.openxmlformats.org/officeDocument/2006/relationships/hyperlink" Target="https://www.sterlinglawyers.com/illinois/locations/arlington-heights/child-custody-lawyers/" TargetMode="External"/><Relationship Id="rId124" Type="http://schemas.openxmlformats.org/officeDocument/2006/relationships/hyperlink" Target="https://www.sterlinglawyers.com/illinois/locations/arlington-heights/child-support-lawyers/" TargetMode="External"/><Relationship Id="rId123" Type="http://schemas.openxmlformats.org/officeDocument/2006/relationships/hyperlink" Target="https://www.sterlinglawyers.com/illinois/locations/arlington-heights/collaborative-divorce-lawyers/" TargetMode="External"/><Relationship Id="rId122" Type="http://schemas.openxmlformats.org/officeDocument/2006/relationships/hyperlink" Target="https://www.sterlinglawyers.com/illinois/locations/arlington-heights/contested-divorce-lawyers/" TargetMode="External"/><Relationship Id="rId118" Type="http://schemas.openxmlformats.org/officeDocument/2006/relationships/hyperlink" Target="https://www.sterlinglawyers.com/illinois/locations/arlington-heights/property-division-lawyers/" TargetMode="External"/><Relationship Id="rId117" Type="http://schemas.openxmlformats.org/officeDocument/2006/relationships/hyperlink" Target="https://www.sterlinglawyers.com/illinois/locations/arlington-heights/alimony-lawyers/" TargetMode="External"/><Relationship Id="rId116" Type="http://schemas.openxmlformats.org/officeDocument/2006/relationships/hyperlink" Target="https://www.sterlinglawyers.com/illinois/locations/arlington-heights/uncontested-divorce-lawyers/" TargetMode="External"/><Relationship Id="rId115" Type="http://schemas.openxmlformats.org/officeDocument/2006/relationships/hyperlink" Target="https://www.sterlinglawyers.com/illinois/locations/evanston/" TargetMode="External"/><Relationship Id="rId119" Type="http://schemas.openxmlformats.org/officeDocument/2006/relationships/hyperlink" Target="https://www.sterlinglawyers.com/illinois/locations/arlington-heights/paternity-lawyers/" TargetMode="External"/><Relationship Id="rId110" Type="http://schemas.openxmlformats.org/officeDocument/2006/relationships/hyperlink" Target="https://www.sterlinglawyers.com/illinois/locations/evanston/divorce-mediation-lawyers/" TargetMode="External"/><Relationship Id="rId114" Type="http://schemas.openxmlformats.org/officeDocument/2006/relationships/hyperlink" Target="https://www.sterlinglawyers.com/illinois/locations/evanston/child-custody-lawyers/" TargetMode="External"/><Relationship Id="rId113" Type="http://schemas.openxmlformats.org/officeDocument/2006/relationships/hyperlink" Target="https://www.sterlinglawyers.com/illinois/locations/evanston/child-support-lawyers/" TargetMode="External"/><Relationship Id="rId112" Type="http://schemas.openxmlformats.org/officeDocument/2006/relationships/hyperlink" Target="https://www.sterlinglawyers.com/illinois/locations/evanston/collaborative-divorce-lawyers/" TargetMode="External"/><Relationship Id="rId111" Type="http://schemas.openxmlformats.org/officeDocument/2006/relationships/hyperlink" Target="https://www.sterlinglawyers.com/illinois/locations/evanston/contested-divorce-lawyer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www.sterlinglawyers.com/illinois/child-custody/split-orders/" TargetMode="External"/><Relationship Id="rId42" Type="http://schemas.openxmlformats.org/officeDocument/2006/relationships/hyperlink" Target="https://www.sterlinglawyers.com/illinois/child-custody/parental-alienation/" TargetMode="External"/><Relationship Id="rId41" Type="http://schemas.openxmlformats.org/officeDocument/2006/relationships/hyperlink" Target="https://www.sterlinglawyers.com/illinois/child-custody/fathers-rights/" TargetMode="External"/><Relationship Id="rId44" Type="http://schemas.openxmlformats.org/officeDocument/2006/relationships/hyperlink" Target="https://www.sterlinglawyers.com/illinois/child-custody/co-parenting-with-narcissist/" TargetMode="External"/><Relationship Id="rId43" Type="http://schemas.openxmlformats.org/officeDocument/2006/relationships/hyperlink" Target="https://www.sterlinglawyers.com/illinois/child-custody/co-parenting/" TargetMode="External"/><Relationship Id="rId46" Type="http://schemas.openxmlformats.org/officeDocument/2006/relationships/hyperlink" Target="https://www.sterlinglawyers.com/illinois/child-custody/third-party-visitation/" TargetMode="External"/><Relationship Id="rId45" Type="http://schemas.openxmlformats.org/officeDocument/2006/relationships/hyperlink" Target="https://www.sterlinglawyers.com/illinois/child-custody/unfit-parent/" TargetMode="External"/><Relationship Id="rId48" Type="http://schemas.openxmlformats.org/officeDocument/2006/relationships/hyperlink" Target="https://www.sterlinglawyers.com/illinois/child-custody/guardian-ad-litem/" TargetMode="External"/><Relationship Id="rId47" Type="http://schemas.openxmlformats.org/officeDocument/2006/relationships/hyperlink" Target="https://www.sterlinglawyers.com/illinois/child-custody/third-party-orders/" TargetMode="External"/><Relationship Id="rId49" Type="http://schemas.openxmlformats.org/officeDocument/2006/relationships/hyperlink" Target="https://www.sterlinglawyers.com/illinois/child-custody/child-chooses-parent/" TargetMode="External"/><Relationship Id="rId31" Type="http://schemas.openxmlformats.org/officeDocument/2006/relationships/hyperlink" Target="https://www.sterlinglawyers.com/illinois/divorce/how/" TargetMode="External"/><Relationship Id="rId30" Type="http://schemas.openxmlformats.org/officeDocument/2006/relationships/hyperlink" Target="https://www.sterlinglawyers.com/illinois/divorce/financing/" TargetMode="External"/><Relationship Id="rId33" Type="http://schemas.openxmlformats.org/officeDocument/2006/relationships/hyperlink" Target="https://www.sterlinglawyers.com/illinois/divorce/marriage-license/" TargetMode="External"/><Relationship Id="rId32" Type="http://schemas.openxmlformats.org/officeDocument/2006/relationships/hyperlink" Target="https://www.sterlinglawyers.com/illinois/divorce/waiting-period/" TargetMode="External"/><Relationship Id="rId35" Type="http://schemas.openxmlformats.org/officeDocument/2006/relationships/hyperlink" Target="https://www.sterlinglawyers.com/illinois/child-custody/enforce-orders/" TargetMode="External"/><Relationship Id="rId34" Type="http://schemas.openxmlformats.org/officeDocument/2006/relationships/hyperlink" Target="https://www.sterlinglawyers.com/illinois/child-custody/modify-orders/" TargetMode="External"/><Relationship Id="rId37" Type="http://schemas.openxmlformats.org/officeDocument/2006/relationships/hyperlink" Target="https://www.sterlinglawyers.com/illinois/child-custody/custody-process/" TargetMode="External"/><Relationship Id="rId36" Type="http://schemas.openxmlformats.org/officeDocument/2006/relationships/hyperlink" Target="https://www.sterlinglawyers.com/illinois/child-custody/parenting-plan/" TargetMode="External"/><Relationship Id="rId39" Type="http://schemas.openxmlformats.org/officeDocument/2006/relationships/hyperlink" Target="https://www.sterlinglawyers.com/illinois/child-custody/sole-orders/" TargetMode="External"/><Relationship Id="rId38" Type="http://schemas.openxmlformats.org/officeDocument/2006/relationships/hyperlink" Target="https://www.sterlinglawyers.com/illinois/child-custody/50-50-schedules/" TargetMode="External"/><Relationship Id="rId20" Type="http://schemas.openxmlformats.org/officeDocument/2006/relationships/hyperlink" Target="https://www.sterlinglawyers.com/illinois/divorce/forms/" TargetMode="External"/><Relationship Id="rId22" Type="http://schemas.openxmlformats.org/officeDocument/2006/relationships/hyperlink" Target="https://www.sterlinglawyers.com/illinois/divorce/temporary-order/" TargetMode="External"/><Relationship Id="rId21" Type="http://schemas.openxmlformats.org/officeDocument/2006/relationships/hyperlink" Target="https://www.sterlinglawyers.com/illinois/divorce/annulment/" TargetMode="External"/><Relationship Id="rId24" Type="http://schemas.openxmlformats.org/officeDocument/2006/relationships/hyperlink" Target="https://www.sterlinglawyers.com/illinois/divorce/litigation/" TargetMode="External"/><Relationship Id="rId23" Type="http://schemas.openxmlformats.org/officeDocument/2006/relationships/hyperlink" Target="https://www.sterlinglawyers.com/illinois/divorce/order-of-protection/" TargetMode="External"/><Relationship Id="rId26" Type="http://schemas.openxmlformats.org/officeDocument/2006/relationships/hyperlink" Target="https://www.sterlinglawyers.com/illinois/divorce/abandonment/" TargetMode="External"/><Relationship Id="rId25" Type="http://schemas.openxmlformats.org/officeDocument/2006/relationships/hyperlink" Target="https://www.sterlinglawyers.com/illinois/divorce/evicting-spouse/" TargetMode="External"/><Relationship Id="rId28" Type="http://schemas.openxmlformats.org/officeDocument/2006/relationships/hyperlink" Target="https://www.sterlinglawyers.com/illinois/divorce/common-law-marriage/" TargetMode="External"/><Relationship Id="rId27" Type="http://schemas.openxmlformats.org/officeDocument/2006/relationships/hyperlink" Target="https://www.sterlinglawyers.com/illinois/divorce/adultery-laws/" TargetMode="External"/><Relationship Id="rId29" Type="http://schemas.openxmlformats.org/officeDocument/2006/relationships/hyperlink" Target="https://www.sterlinglawyers.com/illinois/divorce/documenting-agreements/" TargetMode="External"/><Relationship Id="rId11" Type="http://schemas.openxmlformats.org/officeDocument/2006/relationships/hyperlink" Target="https://www.sterlinglawyers.com/illinois/divorce/uncontested-divorce/" TargetMode="External"/><Relationship Id="rId10" Type="http://schemas.openxmlformats.org/officeDocument/2006/relationships/hyperlink" Target="https://www.sterlinglawyers.com/illinois/divorce/contested/" TargetMode="External"/><Relationship Id="rId13" Type="http://schemas.openxmlformats.org/officeDocument/2006/relationships/hyperlink" Target="https://www.sterlinglawyers.com/illinois/divorce/collaborative/" TargetMode="External"/><Relationship Id="rId12" Type="http://schemas.openxmlformats.org/officeDocument/2006/relationships/hyperlink" Target="https://www.sterlinglawyers.com/illinois/divorce/mediation/" TargetMode="External"/><Relationship Id="rId15" Type="http://schemas.openxmlformats.org/officeDocument/2006/relationships/hyperlink" Target="https://www.sterlinglawyers.com/illinois/divorce/grounds-for-divorce/" TargetMode="External"/><Relationship Id="rId14" Type="http://schemas.openxmlformats.org/officeDocument/2006/relationships/hyperlink" Target="https://www.sterlinglawyers.com/illinois/divorce/separation/" TargetMode="External"/><Relationship Id="rId17" Type="http://schemas.openxmlformats.org/officeDocument/2006/relationships/hyperlink" Target="https://www.sterlinglawyers.com/illinois/divorce/file-for-divorce/" TargetMode="External"/><Relationship Id="rId16" Type="http://schemas.openxmlformats.org/officeDocument/2006/relationships/hyperlink" Target="https://www.sterlinglawyers.com/illinois/divorce/how-long-divorce-illinois/" TargetMode="External"/><Relationship Id="rId19" Type="http://schemas.openxmlformats.org/officeDocument/2006/relationships/hyperlink" Target="https://www.sterlinglawyers.com/illinois/divorce/diy/" TargetMode="External"/><Relationship Id="rId18" Type="http://schemas.openxmlformats.org/officeDocument/2006/relationships/hyperlink" Target="https://www.sterlinglawyers.com/illinois/divorce/cost/" TargetMode="External"/><Relationship Id="rId80" Type="http://schemas.openxmlformats.org/officeDocument/2006/relationships/hyperlink" Target="https://www.sterlinglawyers.com/illinois/property-division/worksheet/" TargetMode="External"/><Relationship Id="rId81" Type="http://schemas.openxmlformats.org/officeDocument/2006/relationships/drawing" Target="../drawings/drawing17.xml"/><Relationship Id="rId73" Type="http://schemas.openxmlformats.org/officeDocument/2006/relationships/hyperlink" Target="https://www.sterlinglawyers.com/illinois/property-division/gets-marital-house-divorce/" TargetMode="External"/><Relationship Id="rId72" Type="http://schemas.openxmlformats.org/officeDocument/2006/relationships/hyperlink" Target="https://www.sterlinglawyers.com/illinois/property-division/inheritance/" TargetMode="External"/><Relationship Id="rId75" Type="http://schemas.openxmlformats.org/officeDocument/2006/relationships/hyperlink" Target="https://www.sterlinglawyers.com/illinois/property-division/prenuptial-agreements/" TargetMode="External"/><Relationship Id="rId74" Type="http://schemas.openxmlformats.org/officeDocument/2006/relationships/hyperlink" Target="https://www.sterlinglawyers.com/illinois/property-division/debt/" TargetMode="External"/><Relationship Id="rId77" Type="http://schemas.openxmlformats.org/officeDocument/2006/relationships/hyperlink" Target="https://www.sterlinglawyers.com/illinois/property-division/enforcing-orders/" TargetMode="External"/><Relationship Id="rId76" Type="http://schemas.openxmlformats.org/officeDocument/2006/relationships/hyperlink" Target="https://www.sterlinglawyers.com/illinois/property-division/postnuptial-agreements/" TargetMode="External"/><Relationship Id="rId79" Type="http://schemas.openxmlformats.org/officeDocument/2006/relationships/hyperlink" Target="https://www.sterlinglawyers.com/illinois/property-division/survivorship-marital-property/" TargetMode="External"/><Relationship Id="rId78" Type="http://schemas.openxmlformats.org/officeDocument/2006/relationships/hyperlink" Target="https://www.sterlinglawyers.com/illinois/property-division/splitting-assets-divorce/" TargetMode="External"/><Relationship Id="rId71" Type="http://schemas.openxmlformats.org/officeDocument/2006/relationships/hyperlink" Target="https://www.sterlinglawyers.com/illinois/property-division/investments/" TargetMode="External"/><Relationship Id="rId70" Type="http://schemas.openxmlformats.org/officeDocument/2006/relationships/hyperlink" Target="https://www.sterlinglawyers.com/illinois/property-division/retirement/" TargetMode="External"/><Relationship Id="rId62" Type="http://schemas.openxmlformats.org/officeDocument/2006/relationships/hyperlink" Target="https://www.sterlinglawyers.com/illinois/spousal-support/calculator/" TargetMode="External"/><Relationship Id="rId61" Type="http://schemas.openxmlformats.org/officeDocument/2006/relationships/hyperlink" Target="https://www.sterlinglawyers.com/illinois/spousal-support/terminate-orders/" TargetMode="External"/><Relationship Id="rId64" Type="http://schemas.openxmlformats.org/officeDocument/2006/relationships/hyperlink" Target="https://www.sterlinglawyers.com/illinois/spousal-support/duration/" TargetMode="External"/><Relationship Id="rId63" Type="http://schemas.openxmlformats.org/officeDocument/2006/relationships/hyperlink" Target="https://www.sterlinglawyers.com/illinois/spousal-support/types/" TargetMode="External"/><Relationship Id="rId66" Type="http://schemas.openxmlformats.org/officeDocument/2006/relationships/hyperlink" Target="https://www.sterlinglawyers.com/illinois/spousal-support/divorce/" TargetMode="External"/><Relationship Id="rId65" Type="http://schemas.openxmlformats.org/officeDocument/2006/relationships/hyperlink" Target="https://www.sterlinglawyers.com/illinois/spousal-support/alimony-taxes/" TargetMode="External"/><Relationship Id="rId68" Type="http://schemas.openxmlformats.org/officeDocument/2006/relationships/hyperlink" Target="https://www.sterlinglawyers.com/illinois/property-division/non-marital-property/" TargetMode="External"/><Relationship Id="rId67" Type="http://schemas.openxmlformats.org/officeDocument/2006/relationships/hyperlink" Target="https://www.sterlinglawyers.com/illinois/property-division/marital-property/" TargetMode="External"/><Relationship Id="rId60" Type="http://schemas.openxmlformats.org/officeDocument/2006/relationships/hyperlink" Target="https://www.sterlinglawyers.com/illinois/spousal-support/enforce-orders/" TargetMode="External"/><Relationship Id="rId69" Type="http://schemas.openxmlformats.org/officeDocument/2006/relationships/hyperlink" Target="https://www.sterlinglawyers.com/illinois/property-division/hidden-assets/" TargetMode="External"/><Relationship Id="rId51" Type="http://schemas.openxmlformats.org/officeDocument/2006/relationships/hyperlink" Target="https://www.sterlinglawyers.com/illinois/child-custody/temporary-parental-responsibilities/" TargetMode="External"/><Relationship Id="rId50" Type="http://schemas.openxmlformats.org/officeDocument/2006/relationships/hyperlink" Target="https://www.sterlinglawyers.com/illinois/child-custody/during-divorce/" TargetMode="External"/><Relationship Id="rId53" Type="http://schemas.openxmlformats.org/officeDocument/2006/relationships/hyperlink" Target="https://www.sterlinglawyers.com/illinois/child-custody/paternity/" TargetMode="External"/><Relationship Id="rId52" Type="http://schemas.openxmlformats.org/officeDocument/2006/relationships/hyperlink" Target="https://www.sterlinglawyers.com/illinois/child-custody/name-change/" TargetMode="External"/><Relationship Id="rId55" Type="http://schemas.openxmlformats.org/officeDocument/2006/relationships/hyperlink" Target="https://www.sterlinglawyers.com/illinois/child-support/enforce-orders/" TargetMode="External"/><Relationship Id="rId54" Type="http://schemas.openxmlformats.org/officeDocument/2006/relationships/hyperlink" Target="https://www.sterlinglawyers.com/illinois/child-support/modify-orders/" TargetMode="External"/><Relationship Id="rId57" Type="http://schemas.openxmlformats.org/officeDocument/2006/relationships/hyperlink" Target="https://www.sterlinglawyers.com/illinois/child-support/divorce/" TargetMode="External"/><Relationship Id="rId56" Type="http://schemas.openxmlformats.org/officeDocument/2006/relationships/hyperlink" Target="https://www.sterlinglawyers.com/illinois/child-support/calculator/" TargetMode="External"/><Relationship Id="rId59" Type="http://schemas.openxmlformats.org/officeDocument/2006/relationships/hyperlink" Target="https://www.sterlinglawyers.com/illinois/spousal-support/modify-orders/" TargetMode="External"/><Relationship Id="rId58" Type="http://schemas.openxmlformats.org/officeDocument/2006/relationships/hyperlink" Target="https://www.sterlinglawyers.com/illinois/child-support/end-orders/" TargetMode="External"/><Relationship Id="rId1" Type="http://schemas.openxmlformats.org/officeDocument/2006/relationships/hyperlink" Target="https://www.sterlinglawyers.com/illinois/" TargetMode="External"/><Relationship Id="rId2" Type="http://schemas.openxmlformats.org/officeDocument/2006/relationships/hyperlink" Target="https://www.sterlinglawyers.com/illinois/attorneys/" TargetMode="External"/><Relationship Id="rId3" Type="http://schemas.openxmlformats.org/officeDocument/2006/relationships/hyperlink" Target="https://www.sterlinglawyers.com/illinois/divorce/" TargetMode="External"/><Relationship Id="rId4" Type="http://schemas.openxmlformats.org/officeDocument/2006/relationships/hyperlink" Target="https://www.sterlinglawyers.com/illinois/child-custody/" TargetMode="External"/><Relationship Id="rId9" Type="http://schemas.openxmlformats.org/officeDocument/2006/relationships/hyperlink" Target="https://www.sterlinglawyers.com/illinois/guardianship/" TargetMode="External"/><Relationship Id="rId5" Type="http://schemas.openxmlformats.org/officeDocument/2006/relationships/hyperlink" Target="https://www.sterlinglawyers.com/illinois/child-support/" TargetMode="External"/><Relationship Id="rId6" Type="http://schemas.openxmlformats.org/officeDocument/2006/relationships/hyperlink" Target="https://www.sterlinglawyers.com/illinois/spousal-support/" TargetMode="External"/><Relationship Id="rId7" Type="http://schemas.openxmlformats.org/officeDocument/2006/relationships/hyperlink" Target="https://www.sterlinglawyers.com/illinois/property-division/" TargetMode="External"/><Relationship Id="rId8" Type="http://schemas.openxmlformats.org/officeDocument/2006/relationships/hyperlink" Target="https://www.sterlinglawyers.com/illinois/paternity/"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sterlinglawyers.com/illinois/child-custody/split-orders/" TargetMode="External"/><Relationship Id="rId42" Type="http://schemas.openxmlformats.org/officeDocument/2006/relationships/hyperlink" Target="https://www.sterlinglawyers.com/illinois/child-custody/parental-alienation/" TargetMode="External"/><Relationship Id="rId41" Type="http://schemas.openxmlformats.org/officeDocument/2006/relationships/hyperlink" Target="https://www.sterlinglawyers.com/illinois/child-custody/fathers-rights/" TargetMode="External"/><Relationship Id="rId44" Type="http://schemas.openxmlformats.org/officeDocument/2006/relationships/hyperlink" Target="https://www.sterlinglawyers.com/illinois/child-custody/co-parenting-with-narcissist/" TargetMode="External"/><Relationship Id="rId43" Type="http://schemas.openxmlformats.org/officeDocument/2006/relationships/hyperlink" Target="https://www.sterlinglawyers.com/illinois/child-custody/co-parenting/" TargetMode="External"/><Relationship Id="rId46" Type="http://schemas.openxmlformats.org/officeDocument/2006/relationships/hyperlink" Target="https://www.sterlinglawyers.com/illinois/child-custody/third-party-visitation/" TargetMode="External"/><Relationship Id="rId45" Type="http://schemas.openxmlformats.org/officeDocument/2006/relationships/hyperlink" Target="https://www.sterlinglawyers.com/illinois/child-custody/unfit-parent/" TargetMode="External"/><Relationship Id="rId48" Type="http://schemas.openxmlformats.org/officeDocument/2006/relationships/hyperlink" Target="https://www.sterlinglawyers.com/illinois/child-custody/guardian-ad-litem/" TargetMode="External"/><Relationship Id="rId47" Type="http://schemas.openxmlformats.org/officeDocument/2006/relationships/hyperlink" Target="https://www.sterlinglawyers.com/illinois/child-custody/third-party-orders/" TargetMode="External"/><Relationship Id="rId49" Type="http://schemas.openxmlformats.org/officeDocument/2006/relationships/hyperlink" Target="https://www.sterlinglawyers.com/illinois/child-custody/child-chooses-parent/" TargetMode="External"/><Relationship Id="rId31" Type="http://schemas.openxmlformats.org/officeDocument/2006/relationships/hyperlink" Target="https://www.sterlinglawyers.com/illinois/divorce/how/" TargetMode="External"/><Relationship Id="rId30" Type="http://schemas.openxmlformats.org/officeDocument/2006/relationships/hyperlink" Target="https://www.sterlinglawyers.com/illinois/divorce/financing/" TargetMode="External"/><Relationship Id="rId33" Type="http://schemas.openxmlformats.org/officeDocument/2006/relationships/hyperlink" Target="https://www.sterlinglawyers.com/illinois/divorce/marriage-license/" TargetMode="External"/><Relationship Id="rId32" Type="http://schemas.openxmlformats.org/officeDocument/2006/relationships/hyperlink" Target="https://www.sterlinglawyers.com/illinois/divorce/waiting-period/" TargetMode="External"/><Relationship Id="rId35" Type="http://schemas.openxmlformats.org/officeDocument/2006/relationships/hyperlink" Target="https://www.sterlinglawyers.com/illinois/child-custody/enforce-orders/" TargetMode="External"/><Relationship Id="rId34" Type="http://schemas.openxmlformats.org/officeDocument/2006/relationships/hyperlink" Target="https://www.sterlinglawyers.com/illinois/child-custody/modify-orders/" TargetMode="External"/><Relationship Id="rId37" Type="http://schemas.openxmlformats.org/officeDocument/2006/relationships/hyperlink" Target="https://www.sterlinglawyers.com/illinois/child-custody/custody-process/" TargetMode="External"/><Relationship Id="rId36" Type="http://schemas.openxmlformats.org/officeDocument/2006/relationships/hyperlink" Target="https://www.sterlinglawyers.com/illinois/child-custody/parenting-plan/" TargetMode="External"/><Relationship Id="rId39" Type="http://schemas.openxmlformats.org/officeDocument/2006/relationships/hyperlink" Target="https://www.sterlinglawyers.com/illinois/child-custody/sole-orders/" TargetMode="External"/><Relationship Id="rId38" Type="http://schemas.openxmlformats.org/officeDocument/2006/relationships/hyperlink" Target="https://www.sterlinglawyers.com/illinois/child-custody/50-50-schedules/" TargetMode="External"/><Relationship Id="rId20" Type="http://schemas.openxmlformats.org/officeDocument/2006/relationships/hyperlink" Target="https://www.sterlinglawyers.com/illinois/divorce/forms/" TargetMode="External"/><Relationship Id="rId22" Type="http://schemas.openxmlformats.org/officeDocument/2006/relationships/hyperlink" Target="https://www.sterlinglawyers.com/illinois/divorce/temporary-order/" TargetMode="External"/><Relationship Id="rId21" Type="http://schemas.openxmlformats.org/officeDocument/2006/relationships/hyperlink" Target="https://www.sterlinglawyers.com/illinois/divorce/annulment/" TargetMode="External"/><Relationship Id="rId24" Type="http://schemas.openxmlformats.org/officeDocument/2006/relationships/hyperlink" Target="https://www.sterlinglawyers.com/illinois/divorce/litigation/" TargetMode="External"/><Relationship Id="rId23" Type="http://schemas.openxmlformats.org/officeDocument/2006/relationships/hyperlink" Target="https://www.sterlinglawyers.com/illinois/divorce/order-of-protection/" TargetMode="External"/><Relationship Id="rId26" Type="http://schemas.openxmlformats.org/officeDocument/2006/relationships/hyperlink" Target="https://www.sterlinglawyers.com/illinois/divorce/abandonment/" TargetMode="External"/><Relationship Id="rId25" Type="http://schemas.openxmlformats.org/officeDocument/2006/relationships/hyperlink" Target="https://www.sterlinglawyers.com/illinois/divorce/evicting-spouse/" TargetMode="External"/><Relationship Id="rId28" Type="http://schemas.openxmlformats.org/officeDocument/2006/relationships/hyperlink" Target="https://www.sterlinglawyers.com/illinois/divorce/common-law-marriage/" TargetMode="External"/><Relationship Id="rId27" Type="http://schemas.openxmlformats.org/officeDocument/2006/relationships/hyperlink" Target="https://www.sterlinglawyers.com/illinois/divorce/adultery-laws/" TargetMode="External"/><Relationship Id="rId29" Type="http://schemas.openxmlformats.org/officeDocument/2006/relationships/hyperlink" Target="https://www.sterlinglawyers.com/illinois/divorce/documenting-agreements/" TargetMode="External"/><Relationship Id="rId11" Type="http://schemas.openxmlformats.org/officeDocument/2006/relationships/hyperlink" Target="https://www.sterlinglawyers.com/illinois/divorce/uncontested-divorce/" TargetMode="External"/><Relationship Id="rId10" Type="http://schemas.openxmlformats.org/officeDocument/2006/relationships/hyperlink" Target="https://www.sterlinglawyers.com/illinois/divorce/contested/" TargetMode="External"/><Relationship Id="rId13" Type="http://schemas.openxmlformats.org/officeDocument/2006/relationships/hyperlink" Target="https://www.sterlinglawyers.com/illinois/divorce/collaborative/" TargetMode="External"/><Relationship Id="rId12" Type="http://schemas.openxmlformats.org/officeDocument/2006/relationships/hyperlink" Target="https://www.sterlinglawyers.com/illinois/divorce/mediation/" TargetMode="External"/><Relationship Id="rId15" Type="http://schemas.openxmlformats.org/officeDocument/2006/relationships/hyperlink" Target="https://www.sterlinglawyers.com/illinois/divorce/grounds-for-divorce/" TargetMode="External"/><Relationship Id="rId14" Type="http://schemas.openxmlformats.org/officeDocument/2006/relationships/hyperlink" Target="https://www.sterlinglawyers.com/illinois/divorce/separation/" TargetMode="External"/><Relationship Id="rId17" Type="http://schemas.openxmlformats.org/officeDocument/2006/relationships/hyperlink" Target="https://www.sterlinglawyers.com/illinois/divorce/file-for-divorce/" TargetMode="External"/><Relationship Id="rId16" Type="http://schemas.openxmlformats.org/officeDocument/2006/relationships/hyperlink" Target="https://www.sterlinglawyers.com/illinois/divorce/how-long-divorce-illinois/" TargetMode="External"/><Relationship Id="rId19" Type="http://schemas.openxmlformats.org/officeDocument/2006/relationships/hyperlink" Target="https://www.sterlinglawyers.com/illinois/divorce/diy/" TargetMode="External"/><Relationship Id="rId18" Type="http://schemas.openxmlformats.org/officeDocument/2006/relationships/hyperlink" Target="https://www.sterlinglawyers.com/illinois/divorce/cost/" TargetMode="External"/><Relationship Id="rId80" Type="http://schemas.openxmlformats.org/officeDocument/2006/relationships/hyperlink" Target="https://www.sterlinglawyers.com/illinois/property-division/worksheet/" TargetMode="External"/><Relationship Id="rId81" Type="http://schemas.openxmlformats.org/officeDocument/2006/relationships/drawing" Target="../drawings/drawing18.xml"/><Relationship Id="rId73" Type="http://schemas.openxmlformats.org/officeDocument/2006/relationships/hyperlink" Target="https://www.sterlinglawyers.com/illinois/property-division/gets-marital-house-divorce/" TargetMode="External"/><Relationship Id="rId72" Type="http://schemas.openxmlformats.org/officeDocument/2006/relationships/hyperlink" Target="https://www.sterlinglawyers.com/illinois/property-division/inheritance/" TargetMode="External"/><Relationship Id="rId75" Type="http://schemas.openxmlformats.org/officeDocument/2006/relationships/hyperlink" Target="https://www.sterlinglawyers.com/illinois/property-division/prenuptial-agreements/" TargetMode="External"/><Relationship Id="rId74" Type="http://schemas.openxmlformats.org/officeDocument/2006/relationships/hyperlink" Target="https://www.sterlinglawyers.com/illinois/property-division/debt/" TargetMode="External"/><Relationship Id="rId77" Type="http://schemas.openxmlformats.org/officeDocument/2006/relationships/hyperlink" Target="https://www.sterlinglawyers.com/illinois/property-division/enforcing-orders/" TargetMode="External"/><Relationship Id="rId76" Type="http://schemas.openxmlformats.org/officeDocument/2006/relationships/hyperlink" Target="https://www.sterlinglawyers.com/illinois/property-division/postnuptial-agreements/" TargetMode="External"/><Relationship Id="rId79" Type="http://schemas.openxmlformats.org/officeDocument/2006/relationships/hyperlink" Target="https://www.sterlinglawyers.com/illinois/property-division/survivorship-marital-property/" TargetMode="External"/><Relationship Id="rId78" Type="http://schemas.openxmlformats.org/officeDocument/2006/relationships/hyperlink" Target="https://www.sterlinglawyers.com/illinois/property-division/splitting-assets-divorce/" TargetMode="External"/><Relationship Id="rId71" Type="http://schemas.openxmlformats.org/officeDocument/2006/relationships/hyperlink" Target="https://www.sterlinglawyers.com/illinois/property-division/investments/" TargetMode="External"/><Relationship Id="rId70" Type="http://schemas.openxmlformats.org/officeDocument/2006/relationships/hyperlink" Target="https://www.sterlinglawyers.com/illinois/property-division/retirement/" TargetMode="External"/><Relationship Id="rId62" Type="http://schemas.openxmlformats.org/officeDocument/2006/relationships/hyperlink" Target="https://www.sterlinglawyers.com/illinois/spousal-support/calculator/" TargetMode="External"/><Relationship Id="rId61" Type="http://schemas.openxmlformats.org/officeDocument/2006/relationships/hyperlink" Target="https://www.sterlinglawyers.com/illinois/spousal-support/terminate-orders/" TargetMode="External"/><Relationship Id="rId64" Type="http://schemas.openxmlformats.org/officeDocument/2006/relationships/hyperlink" Target="https://www.sterlinglawyers.com/illinois/spousal-support/duration/" TargetMode="External"/><Relationship Id="rId63" Type="http://schemas.openxmlformats.org/officeDocument/2006/relationships/hyperlink" Target="https://www.sterlinglawyers.com/illinois/spousal-support/types/" TargetMode="External"/><Relationship Id="rId66" Type="http://schemas.openxmlformats.org/officeDocument/2006/relationships/hyperlink" Target="https://www.sterlinglawyers.com/illinois/spousal-support/divorce/" TargetMode="External"/><Relationship Id="rId65" Type="http://schemas.openxmlformats.org/officeDocument/2006/relationships/hyperlink" Target="https://www.sterlinglawyers.com/illinois/spousal-support/alimony-taxes/" TargetMode="External"/><Relationship Id="rId68" Type="http://schemas.openxmlformats.org/officeDocument/2006/relationships/hyperlink" Target="https://www.sterlinglawyers.com/illinois/property-division/non-marital-property/" TargetMode="External"/><Relationship Id="rId67" Type="http://schemas.openxmlformats.org/officeDocument/2006/relationships/hyperlink" Target="https://www.sterlinglawyers.com/illinois/property-division/marital-property/" TargetMode="External"/><Relationship Id="rId60" Type="http://schemas.openxmlformats.org/officeDocument/2006/relationships/hyperlink" Target="https://www.sterlinglawyers.com/illinois/spousal-support/enforce-orders/" TargetMode="External"/><Relationship Id="rId69" Type="http://schemas.openxmlformats.org/officeDocument/2006/relationships/hyperlink" Target="https://www.sterlinglawyers.com/illinois/property-division/hidden-assets/" TargetMode="External"/><Relationship Id="rId51" Type="http://schemas.openxmlformats.org/officeDocument/2006/relationships/hyperlink" Target="https://www.sterlinglawyers.com/illinois/child-custody/temporary-parental-responsibilities/" TargetMode="External"/><Relationship Id="rId50" Type="http://schemas.openxmlformats.org/officeDocument/2006/relationships/hyperlink" Target="https://www.sterlinglawyers.com/illinois/child-custody/during-divorce/" TargetMode="External"/><Relationship Id="rId53" Type="http://schemas.openxmlformats.org/officeDocument/2006/relationships/hyperlink" Target="https://www.sterlinglawyers.com/illinois/child-custody/paternity/" TargetMode="External"/><Relationship Id="rId52" Type="http://schemas.openxmlformats.org/officeDocument/2006/relationships/hyperlink" Target="https://www.sterlinglawyers.com/illinois/child-custody/name-change/" TargetMode="External"/><Relationship Id="rId55" Type="http://schemas.openxmlformats.org/officeDocument/2006/relationships/hyperlink" Target="https://www.sterlinglawyers.com/illinois/child-support/enforce-orders/" TargetMode="External"/><Relationship Id="rId54" Type="http://schemas.openxmlformats.org/officeDocument/2006/relationships/hyperlink" Target="https://www.sterlinglawyers.com/illinois/child-support/modify-orders/" TargetMode="External"/><Relationship Id="rId57" Type="http://schemas.openxmlformats.org/officeDocument/2006/relationships/hyperlink" Target="https://www.sterlinglawyers.com/illinois/child-support/divorce/" TargetMode="External"/><Relationship Id="rId56" Type="http://schemas.openxmlformats.org/officeDocument/2006/relationships/hyperlink" Target="https://www.sterlinglawyers.com/illinois/child-support/calculator/" TargetMode="External"/><Relationship Id="rId59" Type="http://schemas.openxmlformats.org/officeDocument/2006/relationships/hyperlink" Target="https://www.sterlinglawyers.com/illinois/spousal-support/modify-orders/" TargetMode="External"/><Relationship Id="rId58" Type="http://schemas.openxmlformats.org/officeDocument/2006/relationships/hyperlink" Target="https://www.sterlinglawyers.com/illinois/child-support/end-orders/" TargetMode="External"/><Relationship Id="rId1" Type="http://schemas.openxmlformats.org/officeDocument/2006/relationships/hyperlink" Target="https://www.sterlinglawyers.com/illinois/" TargetMode="External"/><Relationship Id="rId2" Type="http://schemas.openxmlformats.org/officeDocument/2006/relationships/hyperlink" Target="https://www.sterlinglawyers.com/illinois/attorneys/" TargetMode="External"/><Relationship Id="rId3" Type="http://schemas.openxmlformats.org/officeDocument/2006/relationships/hyperlink" Target="https://www.sterlinglawyers.com/illinois/divorce/" TargetMode="External"/><Relationship Id="rId4" Type="http://schemas.openxmlformats.org/officeDocument/2006/relationships/hyperlink" Target="https://www.sterlinglawyers.com/illinois/child-custody/" TargetMode="External"/><Relationship Id="rId9" Type="http://schemas.openxmlformats.org/officeDocument/2006/relationships/hyperlink" Target="https://www.sterlinglawyers.com/illinois/guardianship/" TargetMode="External"/><Relationship Id="rId5" Type="http://schemas.openxmlformats.org/officeDocument/2006/relationships/hyperlink" Target="https://www.sterlinglawyers.com/illinois/child-support/" TargetMode="External"/><Relationship Id="rId6" Type="http://schemas.openxmlformats.org/officeDocument/2006/relationships/hyperlink" Target="https://www.sterlinglawyers.com/illinois/spousal-support/" TargetMode="External"/><Relationship Id="rId7" Type="http://schemas.openxmlformats.org/officeDocument/2006/relationships/hyperlink" Target="https://www.sterlinglawyers.com/illinois/property-division/" TargetMode="External"/><Relationship Id="rId8" Type="http://schemas.openxmlformats.org/officeDocument/2006/relationships/hyperlink" Target="https://www.sterlinglawyers.com/illinois/paterni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88"/>
  </cols>
  <sheetData>
    <row r="1">
      <c r="A1" s="1" t="s">
        <v>0</v>
      </c>
    </row>
    <row r="2">
      <c r="A2" s="2" t="s">
        <v>1</v>
      </c>
    </row>
    <row r="3">
      <c r="A3" s="3" t="s">
        <v>2</v>
      </c>
    </row>
    <row r="4">
      <c r="A4" s="3" t="s">
        <v>3</v>
      </c>
    </row>
    <row r="5">
      <c r="A5" s="3" t="s">
        <v>4</v>
      </c>
    </row>
    <row r="6">
      <c r="A6" s="3" t="s">
        <v>5</v>
      </c>
    </row>
    <row r="7">
      <c r="A7" s="3" t="s">
        <v>6</v>
      </c>
    </row>
    <row r="8">
      <c r="A8" s="3" t="s">
        <v>7</v>
      </c>
    </row>
    <row r="9">
      <c r="A9" s="3" t="s">
        <v>8</v>
      </c>
    </row>
    <row r="10">
      <c r="A10" s="3" t="s">
        <v>9</v>
      </c>
    </row>
    <row r="11">
      <c r="A11" s="3" t="s">
        <v>10</v>
      </c>
    </row>
    <row r="12">
      <c r="A12" s="3" t="s">
        <v>11</v>
      </c>
    </row>
    <row r="13">
      <c r="A13" s="3" t="s">
        <v>12</v>
      </c>
    </row>
    <row r="14">
      <c r="A14" s="3" t="s">
        <v>13</v>
      </c>
    </row>
    <row r="15">
      <c r="A15" s="3" t="s">
        <v>14</v>
      </c>
    </row>
    <row r="16">
      <c r="A16" s="3" t="s">
        <v>15</v>
      </c>
    </row>
    <row r="17">
      <c r="A17" s="3" t="s">
        <v>16</v>
      </c>
    </row>
    <row r="18">
      <c r="A18" s="3" t="s">
        <v>17</v>
      </c>
    </row>
    <row r="19">
      <c r="A19" s="3" t="s">
        <v>18</v>
      </c>
    </row>
    <row r="20">
      <c r="A20" s="3" t="s">
        <v>19</v>
      </c>
    </row>
    <row r="21">
      <c r="A21" s="3" t="s">
        <v>20</v>
      </c>
    </row>
    <row r="22">
      <c r="A22" s="3" t="s">
        <v>21</v>
      </c>
    </row>
    <row r="23">
      <c r="A23" s="3" t="s">
        <v>22</v>
      </c>
    </row>
    <row r="24">
      <c r="A24" s="3" t="s">
        <v>23</v>
      </c>
    </row>
    <row r="25">
      <c r="A25" s="3" t="s">
        <v>24</v>
      </c>
    </row>
    <row r="26">
      <c r="A26" s="3" t="s">
        <v>25</v>
      </c>
    </row>
    <row r="27">
      <c r="A27" s="3" t="s">
        <v>26</v>
      </c>
    </row>
    <row r="28">
      <c r="A28" s="3" t="s">
        <v>27</v>
      </c>
    </row>
    <row r="29">
      <c r="A29" s="3" t="s">
        <v>28</v>
      </c>
    </row>
    <row r="30">
      <c r="A30" s="3" t="s">
        <v>29</v>
      </c>
    </row>
    <row r="31">
      <c r="A31" s="3" t="s">
        <v>30</v>
      </c>
    </row>
    <row r="32">
      <c r="A32" s="3" t="s">
        <v>31</v>
      </c>
    </row>
    <row r="33">
      <c r="A33" s="3" t="s">
        <v>32</v>
      </c>
    </row>
    <row r="34">
      <c r="A34" s="3" t="s">
        <v>33</v>
      </c>
    </row>
    <row r="35">
      <c r="A35" s="3" t="s">
        <v>34</v>
      </c>
    </row>
    <row r="36">
      <c r="A36" s="3" t="s">
        <v>35</v>
      </c>
    </row>
    <row r="37">
      <c r="A37" s="3" t="s">
        <v>36</v>
      </c>
    </row>
    <row r="38">
      <c r="A38" s="3" t="s">
        <v>37</v>
      </c>
    </row>
    <row r="39">
      <c r="A39" s="3" t="s">
        <v>38</v>
      </c>
    </row>
    <row r="40">
      <c r="A40" s="3" t="s">
        <v>39</v>
      </c>
    </row>
    <row r="41">
      <c r="A41" s="3" t="s">
        <v>40</v>
      </c>
    </row>
    <row r="42">
      <c r="A42" s="3" t="s">
        <v>41</v>
      </c>
    </row>
    <row r="43">
      <c r="A43" s="3" t="s">
        <v>42</v>
      </c>
    </row>
    <row r="44">
      <c r="A44" s="3" t="s">
        <v>43</v>
      </c>
    </row>
    <row r="45">
      <c r="A45" s="3" t="s">
        <v>44</v>
      </c>
    </row>
    <row r="46">
      <c r="A46" s="3" t="s">
        <v>45</v>
      </c>
    </row>
    <row r="47">
      <c r="A47" s="3" t="s">
        <v>46</v>
      </c>
    </row>
    <row r="48">
      <c r="A48" s="3" t="s">
        <v>47</v>
      </c>
    </row>
    <row r="49">
      <c r="A49" s="3" t="s">
        <v>48</v>
      </c>
    </row>
    <row r="50">
      <c r="A50" s="3" t="s">
        <v>49</v>
      </c>
    </row>
    <row r="51">
      <c r="A51" s="3" t="s">
        <v>50</v>
      </c>
    </row>
    <row r="52">
      <c r="A52" s="3" t="s">
        <v>51</v>
      </c>
    </row>
    <row r="53">
      <c r="A53" s="3" t="s">
        <v>52</v>
      </c>
    </row>
    <row r="54">
      <c r="A54" s="3" t="s">
        <v>53</v>
      </c>
    </row>
    <row r="55">
      <c r="A55" s="3" t="s">
        <v>54</v>
      </c>
    </row>
    <row r="56">
      <c r="A56" s="3" t="s">
        <v>55</v>
      </c>
    </row>
    <row r="57">
      <c r="A57" s="3" t="s">
        <v>56</v>
      </c>
    </row>
    <row r="58">
      <c r="A58" s="3" t="s">
        <v>57</v>
      </c>
    </row>
    <row r="59">
      <c r="A59" s="3" t="s">
        <v>58</v>
      </c>
    </row>
    <row r="60">
      <c r="A60" s="3" t="s">
        <v>59</v>
      </c>
    </row>
    <row r="61">
      <c r="A61" s="3" t="s">
        <v>60</v>
      </c>
    </row>
    <row r="62">
      <c r="A62" s="3" t="s">
        <v>61</v>
      </c>
    </row>
    <row r="63">
      <c r="A63" s="3" t="s">
        <v>62</v>
      </c>
    </row>
    <row r="64">
      <c r="A64" s="3" t="s">
        <v>63</v>
      </c>
    </row>
    <row r="65">
      <c r="A65" s="3" t="s">
        <v>64</v>
      </c>
    </row>
    <row r="66">
      <c r="A66" s="3" t="s">
        <v>65</v>
      </c>
    </row>
    <row r="67">
      <c r="A67" s="3" t="s">
        <v>66</v>
      </c>
    </row>
    <row r="68">
      <c r="A68" s="3" t="s">
        <v>67</v>
      </c>
    </row>
    <row r="69">
      <c r="A69" s="3" t="s">
        <v>68</v>
      </c>
    </row>
    <row r="70">
      <c r="A70" s="3" t="s">
        <v>69</v>
      </c>
    </row>
    <row r="71">
      <c r="A71" s="3" t="s">
        <v>70</v>
      </c>
    </row>
    <row r="72">
      <c r="A72" s="3" t="s">
        <v>71</v>
      </c>
    </row>
    <row r="73">
      <c r="A73" s="3" t="s">
        <v>72</v>
      </c>
    </row>
    <row r="74">
      <c r="A74" s="3" t="s">
        <v>73</v>
      </c>
    </row>
    <row r="75">
      <c r="A75" s="3" t="s">
        <v>74</v>
      </c>
    </row>
    <row r="76">
      <c r="A76" s="3" t="s">
        <v>75</v>
      </c>
    </row>
    <row r="77">
      <c r="A77" s="3" t="s">
        <v>76</v>
      </c>
    </row>
    <row r="78">
      <c r="A78" s="3" t="s">
        <v>77</v>
      </c>
    </row>
    <row r="79">
      <c r="A79" s="3" t="s">
        <v>78</v>
      </c>
    </row>
    <row r="80">
      <c r="A80" s="3" t="s">
        <v>79</v>
      </c>
    </row>
    <row r="81">
      <c r="A81" s="3" t="s">
        <v>80</v>
      </c>
    </row>
    <row r="82">
      <c r="A82" s="3" t="s">
        <v>81</v>
      </c>
    </row>
    <row r="83">
      <c r="A83" s="3" t="s">
        <v>82</v>
      </c>
    </row>
    <row r="84">
      <c r="A84" s="3" t="s">
        <v>83</v>
      </c>
    </row>
    <row r="85">
      <c r="A85" s="3" t="s">
        <v>84</v>
      </c>
    </row>
    <row r="86">
      <c r="A86" s="3" t="s">
        <v>85</v>
      </c>
    </row>
    <row r="87">
      <c r="A87" s="3" t="s">
        <v>86</v>
      </c>
    </row>
    <row r="88">
      <c r="A88" s="3" t="s">
        <v>87</v>
      </c>
    </row>
    <row r="89">
      <c r="A89" s="3" t="s">
        <v>88</v>
      </c>
    </row>
    <row r="90">
      <c r="A90" s="3" t="s">
        <v>89</v>
      </c>
    </row>
    <row r="91">
      <c r="A91" s="3" t="s">
        <v>90</v>
      </c>
    </row>
    <row r="92">
      <c r="A92" s="3" t="s">
        <v>91</v>
      </c>
    </row>
    <row r="93">
      <c r="A93" s="3" t="s">
        <v>92</v>
      </c>
    </row>
    <row r="94">
      <c r="A94" s="3" t="s">
        <v>93</v>
      </c>
    </row>
    <row r="95">
      <c r="A95" s="3" t="s">
        <v>94</v>
      </c>
    </row>
    <row r="96">
      <c r="A96" s="3" t="s">
        <v>95</v>
      </c>
    </row>
    <row r="97">
      <c r="A97" s="3" t="s">
        <v>96</v>
      </c>
    </row>
    <row r="98">
      <c r="A98" s="3" t="s">
        <v>97</v>
      </c>
    </row>
    <row r="99">
      <c r="A99" s="3" t="s">
        <v>98</v>
      </c>
    </row>
    <row r="100">
      <c r="A100" s="3" t="s">
        <v>99</v>
      </c>
    </row>
    <row r="101">
      <c r="A101" s="3" t="s">
        <v>100</v>
      </c>
    </row>
    <row r="102">
      <c r="A102" s="3" t="s">
        <v>101</v>
      </c>
    </row>
    <row r="103">
      <c r="A103" s="3" t="s">
        <v>102</v>
      </c>
    </row>
    <row r="104">
      <c r="A104" s="3" t="s">
        <v>103</v>
      </c>
    </row>
    <row r="105">
      <c r="A105" s="3" t="s">
        <v>104</v>
      </c>
    </row>
    <row r="106">
      <c r="A106" s="3" t="s">
        <v>105</v>
      </c>
    </row>
    <row r="107">
      <c r="A107" s="3" t="s">
        <v>106</v>
      </c>
    </row>
    <row r="108">
      <c r="A108" s="3" t="s">
        <v>107</v>
      </c>
    </row>
    <row r="109">
      <c r="A109" s="3" t="s">
        <v>108</v>
      </c>
    </row>
    <row r="110">
      <c r="A110" s="3" t="s">
        <v>109</v>
      </c>
    </row>
    <row r="111">
      <c r="A111" s="3" t="s">
        <v>110</v>
      </c>
    </row>
    <row r="112">
      <c r="A112" s="3" t="s">
        <v>111</v>
      </c>
    </row>
    <row r="113">
      <c r="A113" s="3" t="s">
        <v>112</v>
      </c>
    </row>
    <row r="114">
      <c r="A114" s="3" t="s">
        <v>113</v>
      </c>
    </row>
    <row r="115">
      <c r="A115" s="3" t="s">
        <v>114</v>
      </c>
    </row>
    <row r="116">
      <c r="A116" s="3" t="s">
        <v>115</v>
      </c>
    </row>
    <row r="117">
      <c r="A117" s="3" t="s">
        <v>116</v>
      </c>
    </row>
    <row r="118">
      <c r="A118" s="3" t="s">
        <v>117</v>
      </c>
    </row>
    <row r="119">
      <c r="A119" s="3" t="s">
        <v>118</v>
      </c>
    </row>
    <row r="120">
      <c r="A120" s="3" t="s">
        <v>119</v>
      </c>
    </row>
    <row r="121">
      <c r="A121" s="3" t="s">
        <v>120</v>
      </c>
    </row>
    <row r="122">
      <c r="A122" s="3" t="s">
        <v>121</v>
      </c>
    </row>
    <row r="123">
      <c r="A123" s="3" t="s">
        <v>122</v>
      </c>
    </row>
    <row r="124">
      <c r="A124" s="3" t="s">
        <v>123</v>
      </c>
    </row>
    <row r="125">
      <c r="A125" s="3" t="s">
        <v>124</v>
      </c>
    </row>
    <row r="126">
      <c r="A126" s="3" t="s">
        <v>125</v>
      </c>
    </row>
    <row r="127">
      <c r="A127" s="3" t="s">
        <v>126</v>
      </c>
    </row>
    <row r="128">
      <c r="A128" s="3" t="s">
        <v>127</v>
      </c>
    </row>
    <row r="129">
      <c r="A129" s="3" t="s">
        <v>128</v>
      </c>
    </row>
    <row r="130">
      <c r="A130" s="3" t="s">
        <v>129</v>
      </c>
    </row>
    <row r="131">
      <c r="A131" s="3" t="s">
        <v>130</v>
      </c>
    </row>
    <row r="132">
      <c r="A132" s="3" t="s">
        <v>131</v>
      </c>
    </row>
    <row r="133">
      <c r="A133" s="3" t="s">
        <v>132</v>
      </c>
    </row>
    <row r="134">
      <c r="A134" s="3" t="s">
        <v>133</v>
      </c>
    </row>
    <row r="135">
      <c r="A135" s="3" t="s">
        <v>134</v>
      </c>
    </row>
    <row r="136">
      <c r="A136" s="3" t="s">
        <v>135</v>
      </c>
    </row>
    <row r="137">
      <c r="A137" s="3" t="s">
        <v>136</v>
      </c>
    </row>
    <row r="138">
      <c r="A138" s="3" t="s">
        <v>137</v>
      </c>
    </row>
    <row r="139">
      <c r="A139" s="3" t="s">
        <v>138</v>
      </c>
    </row>
    <row r="140">
      <c r="A140" s="3" t="s">
        <v>139</v>
      </c>
    </row>
    <row r="141">
      <c r="A141" s="3" t="s">
        <v>140</v>
      </c>
    </row>
    <row r="142">
      <c r="A142" s="3" t="s">
        <v>141</v>
      </c>
    </row>
    <row r="143">
      <c r="A143" s="3" t="s">
        <v>142</v>
      </c>
    </row>
    <row r="144">
      <c r="A144" s="3" t="s">
        <v>143</v>
      </c>
    </row>
    <row r="145">
      <c r="A145" s="3" t="s">
        <v>144</v>
      </c>
    </row>
    <row r="146">
      <c r="A146" s="3" t="s">
        <v>145</v>
      </c>
    </row>
    <row r="147">
      <c r="A147" s="3" t="s">
        <v>146</v>
      </c>
    </row>
    <row r="148">
      <c r="A148" s="3" t="s">
        <v>147</v>
      </c>
    </row>
    <row r="149">
      <c r="A149" s="3" t="s">
        <v>148</v>
      </c>
    </row>
    <row r="150">
      <c r="A150" s="3" t="s">
        <v>149</v>
      </c>
    </row>
    <row r="151">
      <c r="A151" s="3" t="s">
        <v>150</v>
      </c>
    </row>
    <row r="152">
      <c r="A152" s="3" t="s">
        <v>151</v>
      </c>
    </row>
    <row r="153">
      <c r="A153" s="3" t="s">
        <v>152</v>
      </c>
    </row>
    <row r="154">
      <c r="A154" s="3" t="s">
        <v>153</v>
      </c>
    </row>
    <row r="155">
      <c r="A155" s="3" t="s">
        <v>154</v>
      </c>
    </row>
    <row r="156">
      <c r="A156" s="3" t="s">
        <v>155</v>
      </c>
    </row>
    <row r="157">
      <c r="A157" s="3" t="s">
        <v>156</v>
      </c>
    </row>
    <row r="158">
      <c r="A158" s="3" t="s">
        <v>157</v>
      </c>
    </row>
    <row r="159">
      <c r="A159" s="3" t="s">
        <v>158</v>
      </c>
    </row>
    <row r="160">
      <c r="A160" s="3" t="s">
        <v>159</v>
      </c>
    </row>
    <row r="161">
      <c r="A161" s="3" t="s">
        <v>160</v>
      </c>
    </row>
    <row r="162">
      <c r="A162" s="3" t="s">
        <v>161</v>
      </c>
    </row>
    <row r="163">
      <c r="A163" s="3" t="s">
        <v>162</v>
      </c>
    </row>
    <row r="164">
      <c r="A164" s="3" t="s">
        <v>163</v>
      </c>
    </row>
    <row r="165">
      <c r="A165" s="3" t="s">
        <v>164</v>
      </c>
    </row>
    <row r="166">
      <c r="A166" s="3" t="s">
        <v>165</v>
      </c>
    </row>
    <row r="167">
      <c r="A167" s="3" t="s">
        <v>166</v>
      </c>
    </row>
    <row r="168">
      <c r="A168" s="3" t="s">
        <v>167</v>
      </c>
    </row>
    <row r="169">
      <c r="A169" s="3" t="s">
        <v>168</v>
      </c>
    </row>
    <row r="170">
      <c r="A170" s="3" t="s">
        <v>169</v>
      </c>
    </row>
    <row r="171">
      <c r="A171" s="3" t="s">
        <v>170</v>
      </c>
    </row>
    <row r="172">
      <c r="A172" s="3" t="s">
        <v>171</v>
      </c>
    </row>
    <row r="173">
      <c r="A173" s="3" t="s">
        <v>172</v>
      </c>
    </row>
    <row r="174">
      <c r="A174" s="3" t="s">
        <v>173</v>
      </c>
    </row>
    <row r="175">
      <c r="A175" s="3" t="s">
        <v>174</v>
      </c>
    </row>
    <row r="176">
      <c r="A176" s="3" t="s">
        <v>175</v>
      </c>
    </row>
    <row r="177">
      <c r="A177" s="3" t="s">
        <v>176</v>
      </c>
    </row>
    <row r="178">
      <c r="A178" s="3" t="s">
        <v>177</v>
      </c>
    </row>
    <row r="179">
      <c r="A179" s="3" t="s">
        <v>178</v>
      </c>
    </row>
    <row r="180">
      <c r="A180" s="3" t="s">
        <v>179</v>
      </c>
    </row>
    <row r="181">
      <c r="A181" s="3" t="s">
        <v>180</v>
      </c>
    </row>
    <row r="182">
      <c r="A182" s="3" t="s">
        <v>181</v>
      </c>
    </row>
    <row r="183">
      <c r="A183" s="3" t="s">
        <v>182</v>
      </c>
    </row>
    <row r="184">
      <c r="A184" s="3" t="s">
        <v>183</v>
      </c>
    </row>
    <row r="185">
      <c r="A185" s="3" t="s">
        <v>184</v>
      </c>
    </row>
    <row r="186">
      <c r="A186" s="3" t="s">
        <v>185</v>
      </c>
    </row>
    <row r="187">
      <c r="A187" s="3" t="s">
        <v>186</v>
      </c>
    </row>
    <row r="188">
      <c r="A188" s="3" t="s">
        <v>187</v>
      </c>
    </row>
    <row r="189">
      <c r="A189" s="3" t="s">
        <v>188</v>
      </c>
    </row>
    <row r="190">
      <c r="A190" s="3" t="s">
        <v>189</v>
      </c>
    </row>
    <row r="191">
      <c r="A191" s="3" t="s">
        <v>190</v>
      </c>
    </row>
    <row r="192">
      <c r="A192" s="3" t="s">
        <v>191</v>
      </c>
    </row>
    <row r="193">
      <c r="A193" s="3" t="s">
        <v>192</v>
      </c>
    </row>
    <row r="194">
      <c r="A194" s="3" t="s">
        <v>193</v>
      </c>
    </row>
    <row r="195">
      <c r="A195" s="3" t="s">
        <v>194</v>
      </c>
    </row>
    <row r="196">
      <c r="A196" s="3" t="s">
        <v>195</v>
      </c>
    </row>
    <row r="197">
      <c r="A197" s="3" t="s">
        <v>196</v>
      </c>
    </row>
    <row r="198">
      <c r="A198" s="3" t="s">
        <v>197</v>
      </c>
    </row>
    <row r="199">
      <c r="A199" s="3" t="s">
        <v>198</v>
      </c>
    </row>
    <row r="200">
      <c r="A200" s="3" t="s">
        <v>199</v>
      </c>
    </row>
    <row r="201">
      <c r="A201" s="3" t="s">
        <v>200</v>
      </c>
    </row>
    <row r="202">
      <c r="A202" s="3" t="s">
        <v>201</v>
      </c>
    </row>
    <row r="203">
      <c r="A203" s="3" t="s">
        <v>202</v>
      </c>
    </row>
    <row r="204">
      <c r="A204" s="3" t="s">
        <v>203</v>
      </c>
    </row>
    <row r="205">
      <c r="A205" s="3" t="s">
        <v>204</v>
      </c>
    </row>
    <row r="206">
      <c r="A206" s="3" t="s">
        <v>205</v>
      </c>
    </row>
    <row r="207">
      <c r="A207" s="3" t="s">
        <v>206</v>
      </c>
    </row>
    <row r="208">
      <c r="A208" s="3" t="s">
        <v>207</v>
      </c>
    </row>
    <row r="209">
      <c r="A209" s="3" t="s">
        <v>208</v>
      </c>
    </row>
    <row r="210">
      <c r="A210" s="3" t="s">
        <v>209</v>
      </c>
    </row>
    <row r="211">
      <c r="A211" s="3" t="s">
        <v>210</v>
      </c>
    </row>
    <row r="212">
      <c r="A212" s="3" t="s">
        <v>211</v>
      </c>
    </row>
    <row r="213">
      <c r="A213" s="3" t="s">
        <v>212</v>
      </c>
    </row>
    <row r="214">
      <c r="A214" s="3" t="s">
        <v>213</v>
      </c>
    </row>
    <row r="215">
      <c r="A215" s="3" t="s">
        <v>214</v>
      </c>
    </row>
    <row r="216">
      <c r="A216" s="3" t="s">
        <v>215</v>
      </c>
    </row>
    <row r="217">
      <c r="A217" s="3" t="s">
        <v>216</v>
      </c>
    </row>
    <row r="218">
      <c r="A218" s="3" t="s">
        <v>217</v>
      </c>
    </row>
    <row r="219">
      <c r="A219" s="3" t="s">
        <v>218</v>
      </c>
    </row>
    <row r="220">
      <c r="A220" s="3" t="s">
        <v>219</v>
      </c>
    </row>
    <row r="221">
      <c r="A221" s="3" t="s">
        <v>220</v>
      </c>
    </row>
    <row r="222">
      <c r="A222" s="3" t="s">
        <v>221</v>
      </c>
    </row>
    <row r="223">
      <c r="A223" s="3" t="s">
        <v>222</v>
      </c>
    </row>
    <row r="224">
      <c r="A224" s="3" t="s">
        <v>223</v>
      </c>
    </row>
    <row r="225">
      <c r="A225" s="3" t="s">
        <v>224</v>
      </c>
    </row>
    <row r="226">
      <c r="A226" s="3" t="s">
        <v>225</v>
      </c>
    </row>
    <row r="227">
      <c r="A227" s="3" t="s">
        <v>226</v>
      </c>
    </row>
    <row r="228">
      <c r="A228" s="3" t="s">
        <v>227</v>
      </c>
    </row>
    <row r="229">
      <c r="A229" s="3" t="s">
        <v>228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s>
  <drawing r:id="rId2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4" max="4" width="25.38"/>
    <col customWidth="1" min="5" max="5" width="22.38"/>
    <col customWidth="1" min="6" max="6" width="57.38"/>
    <col customWidth="1" min="7" max="7" width="59.88"/>
    <col customWidth="1" min="8" max="8" width="39.38"/>
    <col customWidth="1" min="9" max="9" width="54.75"/>
    <col customWidth="1" min="10" max="10" width="17.63"/>
  </cols>
  <sheetData>
    <row r="1">
      <c r="A1" s="4" t="s">
        <v>229</v>
      </c>
      <c r="B1" s="4" t="s">
        <v>230</v>
      </c>
      <c r="C1" s="4" t="s">
        <v>231</v>
      </c>
      <c r="D1" s="4" t="s">
        <v>232</v>
      </c>
      <c r="E1" s="4" t="s">
        <v>233</v>
      </c>
      <c r="F1" s="4" t="s">
        <v>234</v>
      </c>
      <c r="G1" s="4" t="s">
        <v>235</v>
      </c>
      <c r="H1" s="4" t="s">
        <v>236</v>
      </c>
      <c r="I1" s="4" t="s">
        <v>237</v>
      </c>
      <c r="J1" s="4" t="s">
        <v>238</v>
      </c>
      <c r="K1" s="4" t="s">
        <v>239</v>
      </c>
      <c r="L1" s="1" t="s">
        <v>240</v>
      </c>
    </row>
    <row r="2">
      <c r="A2" s="1" t="s">
        <v>241</v>
      </c>
      <c r="B2" s="1" t="s">
        <v>242</v>
      </c>
      <c r="C2" s="1" t="s">
        <v>243</v>
      </c>
      <c r="D2" s="1" t="s">
        <v>244</v>
      </c>
      <c r="E2" s="1" t="s">
        <v>245</v>
      </c>
      <c r="F2" s="1" t="s">
        <v>246</v>
      </c>
      <c r="G2" s="2" t="s">
        <v>247</v>
      </c>
      <c r="H2" s="1" t="s">
        <v>248</v>
      </c>
      <c r="I2" s="2" t="s">
        <v>247</v>
      </c>
      <c r="J2" s="1" t="s">
        <v>249</v>
      </c>
      <c r="K2" s="1" t="s">
        <v>250</v>
      </c>
    </row>
    <row r="3">
      <c r="A3" s="1" t="s">
        <v>251</v>
      </c>
      <c r="B3" s="1" t="s">
        <v>242</v>
      </c>
      <c r="C3" s="1" t="s">
        <v>243</v>
      </c>
      <c r="D3" s="1" t="s">
        <v>252</v>
      </c>
      <c r="E3" s="1" t="s">
        <v>245</v>
      </c>
      <c r="F3" s="1" t="s">
        <v>253</v>
      </c>
      <c r="G3" s="2" t="s">
        <v>254</v>
      </c>
      <c r="H3" s="1" t="s">
        <v>255</v>
      </c>
      <c r="I3" s="2" t="s">
        <v>254</v>
      </c>
      <c r="J3" s="1" t="s">
        <v>249</v>
      </c>
      <c r="K3" s="1" t="s">
        <v>256</v>
      </c>
    </row>
    <row r="4">
      <c r="A4" s="1">
        <v>1.0</v>
      </c>
      <c r="B4" s="1" t="s">
        <v>242</v>
      </c>
      <c r="C4" s="1" t="s">
        <v>257</v>
      </c>
      <c r="D4" s="1" t="s">
        <v>258</v>
      </c>
      <c r="E4" s="1" t="s">
        <v>259</v>
      </c>
      <c r="F4" s="1" t="s">
        <v>260</v>
      </c>
      <c r="G4" s="2" t="s">
        <v>261</v>
      </c>
      <c r="H4" s="1" t="s">
        <v>262</v>
      </c>
      <c r="I4" s="2" t="s">
        <v>261</v>
      </c>
      <c r="J4" s="1" t="s">
        <v>249</v>
      </c>
      <c r="K4" s="1" t="s">
        <v>263</v>
      </c>
    </row>
    <row r="5">
      <c r="A5" s="1">
        <v>2.0</v>
      </c>
      <c r="B5" s="1" t="s">
        <v>242</v>
      </c>
      <c r="C5" s="1" t="s">
        <v>257</v>
      </c>
      <c r="D5" s="1" t="s">
        <v>258</v>
      </c>
      <c r="E5" s="1" t="s">
        <v>259</v>
      </c>
      <c r="F5" s="1" t="s">
        <v>264</v>
      </c>
      <c r="G5" s="2" t="s">
        <v>265</v>
      </c>
      <c r="H5" s="1" t="s">
        <v>266</v>
      </c>
      <c r="I5" s="2" t="s">
        <v>265</v>
      </c>
      <c r="J5" s="1" t="s">
        <v>249</v>
      </c>
      <c r="K5" s="1" t="s">
        <v>263</v>
      </c>
    </row>
    <row r="6">
      <c r="A6" s="1">
        <v>3.0</v>
      </c>
      <c r="B6" s="1" t="s">
        <v>242</v>
      </c>
      <c r="C6" s="1" t="s">
        <v>257</v>
      </c>
      <c r="D6" s="1" t="s">
        <v>258</v>
      </c>
      <c r="E6" s="1" t="s">
        <v>259</v>
      </c>
      <c r="F6" s="1" t="s">
        <v>267</v>
      </c>
      <c r="G6" s="2" t="s">
        <v>268</v>
      </c>
      <c r="H6" s="1" t="s">
        <v>269</v>
      </c>
      <c r="I6" s="2" t="s">
        <v>268</v>
      </c>
      <c r="J6" s="1" t="s">
        <v>249</v>
      </c>
      <c r="K6" s="1" t="s">
        <v>263</v>
      </c>
    </row>
    <row r="7">
      <c r="A7" s="1">
        <v>4.0</v>
      </c>
      <c r="B7" s="1" t="s">
        <v>242</v>
      </c>
      <c r="C7" s="1" t="s">
        <v>257</v>
      </c>
      <c r="D7" s="1" t="s">
        <v>258</v>
      </c>
      <c r="E7" s="1" t="s">
        <v>259</v>
      </c>
      <c r="F7" s="1" t="s">
        <v>270</v>
      </c>
      <c r="G7" s="2" t="s">
        <v>271</v>
      </c>
      <c r="H7" s="1" t="s">
        <v>272</v>
      </c>
      <c r="I7" s="2" t="s">
        <v>271</v>
      </c>
      <c r="J7" s="1" t="s">
        <v>249</v>
      </c>
      <c r="K7" s="1" t="s">
        <v>273</v>
      </c>
    </row>
    <row r="8">
      <c r="A8" s="1">
        <v>5.0</v>
      </c>
      <c r="B8" s="1" t="s">
        <v>242</v>
      </c>
      <c r="C8" s="1" t="s">
        <v>257</v>
      </c>
      <c r="D8" s="1" t="s">
        <v>258</v>
      </c>
      <c r="E8" s="1" t="s">
        <v>259</v>
      </c>
      <c r="F8" s="1" t="s">
        <v>274</v>
      </c>
      <c r="G8" s="2" t="s">
        <v>275</v>
      </c>
      <c r="H8" s="1" t="s">
        <v>276</v>
      </c>
      <c r="I8" s="2" t="s">
        <v>275</v>
      </c>
      <c r="J8" s="1" t="s">
        <v>249</v>
      </c>
      <c r="K8" s="1" t="s">
        <v>263</v>
      </c>
    </row>
    <row r="9">
      <c r="A9" s="1">
        <v>6.0</v>
      </c>
      <c r="B9" s="1" t="s">
        <v>242</v>
      </c>
      <c r="C9" s="1" t="s">
        <v>257</v>
      </c>
      <c r="D9" s="1" t="s">
        <v>258</v>
      </c>
      <c r="E9" s="1" t="s">
        <v>259</v>
      </c>
      <c r="F9" s="1" t="s">
        <v>277</v>
      </c>
      <c r="G9" s="2" t="s">
        <v>278</v>
      </c>
      <c r="H9" s="1" t="s">
        <v>279</v>
      </c>
      <c r="I9" s="2" t="s">
        <v>278</v>
      </c>
      <c r="J9" s="1" t="s">
        <v>249</v>
      </c>
      <c r="K9" s="1" t="s">
        <v>280</v>
      </c>
    </row>
    <row r="10">
      <c r="A10" s="1">
        <v>7.0</v>
      </c>
      <c r="B10" s="1" t="s">
        <v>242</v>
      </c>
      <c r="C10" s="1" t="s">
        <v>257</v>
      </c>
      <c r="D10" s="1" t="s">
        <v>258</v>
      </c>
      <c r="E10" s="1" t="s">
        <v>259</v>
      </c>
      <c r="F10" s="1" t="s">
        <v>281</v>
      </c>
      <c r="G10" s="2" t="s">
        <v>282</v>
      </c>
      <c r="H10" s="1" t="s">
        <v>283</v>
      </c>
      <c r="I10" s="2" t="s">
        <v>282</v>
      </c>
      <c r="J10" s="1" t="s">
        <v>249</v>
      </c>
      <c r="K10" s="1" t="s">
        <v>263</v>
      </c>
    </row>
    <row r="11">
      <c r="A11" s="1">
        <v>8.0</v>
      </c>
      <c r="B11" s="1" t="s">
        <v>242</v>
      </c>
      <c r="C11" s="1" t="s">
        <v>284</v>
      </c>
      <c r="D11" s="1" t="s">
        <v>285</v>
      </c>
      <c r="E11" s="1" t="s">
        <v>286</v>
      </c>
      <c r="F11" s="1" t="s">
        <v>287</v>
      </c>
      <c r="G11" s="2" t="s">
        <v>288</v>
      </c>
      <c r="H11" s="1" t="s">
        <v>289</v>
      </c>
      <c r="I11" s="2" t="s">
        <v>288</v>
      </c>
      <c r="J11" s="1" t="s">
        <v>249</v>
      </c>
      <c r="K11" s="1" t="s">
        <v>263</v>
      </c>
    </row>
    <row r="12">
      <c r="A12" s="1">
        <v>9.0</v>
      </c>
      <c r="B12" s="1" t="s">
        <v>242</v>
      </c>
      <c r="C12" s="1" t="s">
        <v>284</v>
      </c>
      <c r="D12" s="1" t="s">
        <v>285</v>
      </c>
      <c r="E12" s="1" t="s">
        <v>286</v>
      </c>
      <c r="F12" s="1" t="s">
        <v>290</v>
      </c>
      <c r="G12" s="2" t="s">
        <v>291</v>
      </c>
      <c r="H12" s="1" t="s">
        <v>292</v>
      </c>
      <c r="I12" s="2" t="s">
        <v>291</v>
      </c>
      <c r="J12" s="1" t="s">
        <v>249</v>
      </c>
      <c r="K12" s="1" t="s">
        <v>263</v>
      </c>
    </row>
    <row r="13">
      <c r="A13" s="1">
        <v>10.0</v>
      </c>
      <c r="B13" s="1" t="s">
        <v>293</v>
      </c>
      <c r="C13" s="1" t="s">
        <v>284</v>
      </c>
      <c r="D13" s="1" t="s">
        <v>285</v>
      </c>
      <c r="E13" s="1" t="s">
        <v>286</v>
      </c>
      <c r="F13" s="1" t="s">
        <v>294</v>
      </c>
      <c r="G13" s="2" t="s">
        <v>295</v>
      </c>
      <c r="H13" s="1" t="s">
        <v>296</v>
      </c>
      <c r="I13" s="2" t="s">
        <v>295</v>
      </c>
      <c r="J13" s="1" t="s">
        <v>249</v>
      </c>
      <c r="K13" s="1" t="s">
        <v>263</v>
      </c>
    </row>
    <row r="14">
      <c r="A14" s="1">
        <v>11.0</v>
      </c>
      <c r="B14" s="1" t="s">
        <v>293</v>
      </c>
      <c r="C14" s="1" t="s">
        <v>284</v>
      </c>
      <c r="D14" s="1" t="s">
        <v>285</v>
      </c>
      <c r="E14" s="1" t="s">
        <v>286</v>
      </c>
      <c r="F14" s="1" t="s">
        <v>297</v>
      </c>
      <c r="G14" s="2" t="s">
        <v>298</v>
      </c>
      <c r="H14" s="1" t="s">
        <v>299</v>
      </c>
      <c r="I14" s="2" t="s">
        <v>298</v>
      </c>
      <c r="J14" s="1" t="s">
        <v>249</v>
      </c>
      <c r="K14" s="1" t="s">
        <v>263</v>
      </c>
    </row>
    <row r="15">
      <c r="A15" s="1">
        <v>12.0</v>
      </c>
      <c r="B15" s="1" t="s">
        <v>293</v>
      </c>
      <c r="C15" s="1" t="s">
        <v>284</v>
      </c>
      <c r="D15" s="1" t="s">
        <v>285</v>
      </c>
      <c r="E15" s="1" t="s">
        <v>286</v>
      </c>
      <c r="F15" s="1" t="s">
        <v>300</v>
      </c>
      <c r="G15" s="2" t="s">
        <v>301</v>
      </c>
      <c r="H15" s="1" t="s">
        <v>302</v>
      </c>
      <c r="I15" s="2" t="s">
        <v>301</v>
      </c>
      <c r="J15" s="1" t="s">
        <v>249</v>
      </c>
      <c r="K15" s="1" t="s">
        <v>263</v>
      </c>
    </row>
    <row r="16">
      <c r="A16" s="1">
        <v>13.0</v>
      </c>
      <c r="B16" s="1" t="s">
        <v>293</v>
      </c>
      <c r="C16" s="1" t="s">
        <v>284</v>
      </c>
      <c r="D16" s="1" t="s">
        <v>285</v>
      </c>
      <c r="E16" s="1" t="s">
        <v>286</v>
      </c>
      <c r="F16" s="1" t="s">
        <v>303</v>
      </c>
      <c r="G16" s="2" t="s">
        <v>304</v>
      </c>
      <c r="H16" s="1" t="s">
        <v>305</v>
      </c>
      <c r="I16" s="2" t="s">
        <v>304</v>
      </c>
      <c r="J16" s="1" t="s">
        <v>249</v>
      </c>
      <c r="K16" s="1" t="s">
        <v>263</v>
      </c>
    </row>
    <row r="17">
      <c r="A17" s="1">
        <v>14.0</v>
      </c>
      <c r="B17" s="1" t="s">
        <v>293</v>
      </c>
      <c r="C17" s="1" t="s">
        <v>284</v>
      </c>
      <c r="D17" s="1" t="s">
        <v>285</v>
      </c>
      <c r="E17" s="1" t="s">
        <v>286</v>
      </c>
      <c r="F17" s="1" t="s">
        <v>306</v>
      </c>
      <c r="G17" s="2" t="s">
        <v>307</v>
      </c>
      <c r="H17" s="1" t="s">
        <v>308</v>
      </c>
      <c r="I17" s="2" t="s">
        <v>309</v>
      </c>
      <c r="J17" s="1" t="s">
        <v>310</v>
      </c>
      <c r="K17" s="1" t="s">
        <v>311</v>
      </c>
    </row>
    <row r="18">
      <c r="A18" s="1">
        <v>15.0</v>
      </c>
      <c r="B18" s="1" t="s">
        <v>293</v>
      </c>
      <c r="C18" s="1" t="s">
        <v>284</v>
      </c>
      <c r="D18" s="1" t="s">
        <v>285</v>
      </c>
      <c r="E18" s="1" t="s">
        <v>286</v>
      </c>
      <c r="F18" s="1" t="s">
        <v>312</v>
      </c>
      <c r="G18" s="2" t="s">
        <v>313</v>
      </c>
      <c r="H18" s="1" t="s">
        <v>314</v>
      </c>
      <c r="I18" s="2" t="s">
        <v>275</v>
      </c>
      <c r="J18" s="1" t="s">
        <v>310</v>
      </c>
      <c r="K18" s="1" t="s">
        <v>315</v>
      </c>
    </row>
    <row r="19">
      <c r="A19" s="1">
        <v>16.0</v>
      </c>
      <c r="B19" s="1" t="s">
        <v>293</v>
      </c>
      <c r="C19" s="1" t="s">
        <v>284</v>
      </c>
      <c r="D19" s="1" t="s">
        <v>285</v>
      </c>
      <c r="E19" s="1" t="s">
        <v>286</v>
      </c>
      <c r="F19" s="1" t="s">
        <v>316</v>
      </c>
      <c r="G19" s="2" t="s">
        <v>317</v>
      </c>
      <c r="H19" s="1" t="s">
        <v>318</v>
      </c>
      <c r="I19" s="2" t="s">
        <v>319</v>
      </c>
      <c r="J19" s="1" t="s">
        <v>249</v>
      </c>
      <c r="K19" s="1" t="s">
        <v>320</v>
      </c>
    </row>
    <row r="20">
      <c r="A20" s="1">
        <v>17.0</v>
      </c>
      <c r="B20" s="1" t="s">
        <v>293</v>
      </c>
      <c r="C20" s="1" t="s">
        <v>284</v>
      </c>
      <c r="D20" s="1" t="s">
        <v>285</v>
      </c>
      <c r="E20" s="1" t="s">
        <v>286</v>
      </c>
      <c r="F20" s="1" t="s">
        <v>321</v>
      </c>
      <c r="G20" s="2" t="s">
        <v>322</v>
      </c>
      <c r="H20" s="1" t="s">
        <v>323</v>
      </c>
      <c r="I20" s="2" t="s">
        <v>324</v>
      </c>
      <c r="J20" s="1" t="s">
        <v>310</v>
      </c>
      <c r="K20" s="1" t="s">
        <v>325</v>
      </c>
    </row>
    <row r="21">
      <c r="A21" s="1">
        <v>18.0</v>
      </c>
      <c r="B21" s="1" t="s">
        <v>293</v>
      </c>
      <c r="C21" s="1" t="s">
        <v>284</v>
      </c>
      <c r="D21" s="1" t="s">
        <v>285</v>
      </c>
      <c r="E21" s="1" t="s">
        <v>286</v>
      </c>
      <c r="F21" s="1" t="s">
        <v>326</v>
      </c>
      <c r="G21" s="2" t="s">
        <v>327</v>
      </c>
      <c r="H21" s="1" t="s">
        <v>328</v>
      </c>
      <c r="I21" s="2" t="s">
        <v>329</v>
      </c>
      <c r="J21" s="1" t="s">
        <v>249</v>
      </c>
      <c r="K21" s="1" t="s">
        <v>330</v>
      </c>
    </row>
    <row r="22">
      <c r="A22" s="1">
        <v>19.0</v>
      </c>
      <c r="B22" s="1" t="s">
        <v>293</v>
      </c>
      <c r="C22" s="1" t="s">
        <v>284</v>
      </c>
      <c r="D22" s="1" t="s">
        <v>285</v>
      </c>
      <c r="E22" s="1" t="s">
        <v>286</v>
      </c>
      <c r="F22" s="1" t="s">
        <v>331</v>
      </c>
      <c r="G22" s="2" t="s">
        <v>332</v>
      </c>
      <c r="H22" s="1" t="s">
        <v>333</v>
      </c>
      <c r="I22" s="2" t="s">
        <v>332</v>
      </c>
      <c r="J22" s="1" t="s">
        <v>249</v>
      </c>
      <c r="K22" s="1" t="s">
        <v>263</v>
      </c>
    </row>
    <row r="23">
      <c r="A23" s="1">
        <v>20.0</v>
      </c>
      <c r="B23" s="1" t="s">
        <v>293</v>
      </c>
      <c r="C23" s="1" t="s">
        <v>284</v>
      </c>
      <c r="D23" s="1" t="s">
        <v>285</v>
      </c>
      <c r="E23" s="1" t="s">
        <v>286</v>
      </c>
      <c r="F23" s="1" t="s">
        <v>334</v>
      </c>
      <c r="G23" s="2" t="s">
        <v>335</v>
      </c>
      <c r="H23" s="1" t="s">
        <v>336</v>
      </c>
      <c r="I23" s="2" t="s">
        <v>282</v>
      </c>
      <c r="J23" s="1" t="s">
        <v>310</v>
      </c>
      <c r="K23" s="1" t="s">
        <v>337</v>
      </c>
    </row>
    <row r="24">
      <c r="A24" s="1">
        <v>21.0</v>
      </c>
      <c r="B24" s="1" t="s">
        <v>293</v>
      </c>
      <c r="C24" s="1" t="s">
        <v>284</v>
      </c>
      <c r="D24" s="1" t="s">
        <v>285</v>
      </c>
      <c r="E24" s="1" t="s">
        <v>286</v>
      </c>
      <c r="F24" s="1" t="s">
        <v>338</v>
      </c>
      <c r="G24" s="2" t="s">
        <v>339</v>
      </c>
      <c r="H24" s="1" t="s">
        <v>340</v>
      </c>
      <c r="J24" s="1" t="s">
        <v>341</v>
      </c>
      <c r="K24" s="1" t="s">
        <v>342</v>
      </c>
    </row>
    <row r="25">
      <c r="A25" s="1">
        <v>22.0</v>
      </c>
      <c r="B25" s="1" t="s">
        <v>293</v>
      </c>
      <c r="C25" s="1" t="s">
        <v>284</v>
      </c>
      <c r="D25" s="1" t="s">
        <v>285</v>
      </c>
      <c r="E25" s="1" t="s">
        <v>286</v>
      </c>
      <c r="F25" s="1" t="s">
        <v>343</v>
      </c>
      <c r="G25" s="2" t="s">
        <v>344</v>
      </c>
      <c r="H25" s="1" t="s">
        <v>345</v>
      </c>
      <c r="J25" s="1" t="s">
        <v>341</v>
      </c>
      <c r="K25" s="1" t="s">
        <v>346</v>
      </c>
    </row>
    <row r="26">
      <c r="A26" s="1">
        <v>23.0</v>
      </c>
      <c r="B26" s="1" t="s">
        <v>293</v>
      </c>
      <c r="C26" s="1" t="s">
        <v>284</v>
      </c>
      <c r="D26" s="1" t="s">
        <v>285</v>
      </c>
      <c r="E26" s="1" t="s">
        <v>286</v>
      </c>
      <c r="F26" s="1" t="s">
        <v>347</v>
      </c>
      <c r="G26" s="2" t="s">
        <v>348</v>
      </c>
      <c r="H26" s="1" t="s">
        <v>349</v>
      </c>
      <c r="I26" s="2" t="s">
        <v>348</v>
      </c>
      <c r="J26" s="1" t="s">
        <v>249</v>
      </c>
      <c r="K26" s="1" t="s">
        <v>263</v>
      </c>
    </row>
    <row r="27">
      <c r="A27" s="1">
        <v>24.0</v>
      </c>
      <c r="B27" s="1" t="s">
        <v>293</v>
      </c>
      <c r="C27" s="1" t="s">
        <v>284</v>
      </c>
      <c r="D27" s="1" t="s">
        <v>285</v>
      </c>
      <c r="E27" s="1" t="s">
        <v>286</v>
      </c>
      <c r="F27" s="1" t="s">
        <v>350</v>
      </c>
      <c r="G27" s="2" t="s">
        <v>351</v>
      </c>
      <c r="H27" s="1" t="s">
        <v>352</v>
      </c>
      <c r="I27" s="2" t="s">
        <v>351</v>
      </c>
      <c r="J27" s="1" t="s">
        <v>249</v>
      </c>
      <c r="K27" s="1" t="s">
        <v>263</v>
      </c>
    </row>
    <row r="28">
      <c r="A28" s="1">
        <v>25.0</v>
      </c>
      <c r="B28" s="1" t="s">
        <v>293</v>
      </c>
      <c r="C28" s="1" t="s">
        <v>284</v>
      </c>
      <c r="D28" s="1" t="s">
        <v>285</v>
      </c>
      <c r="E28" s="1" t="s">
        <v>286</v>
      </c>
      <c r="F28" s="1" t="s">
        <v>353</v>
      </c>
      <c r="G28" s="2" t="s">
        <v>354</v>
      </c>
      <c r="H28" s="1" t="s">
        <v>355</v>
      </c>
      <c r="I28" s="2" t="s">
        <v>354</v>
      </c>
      <c r="J28" s="1" t="s">
        <v>249</v>
      </c>
      <c r="K28" s="1" t="s">
        <v>263</v>
      </c>
    </row>
    <row r="29">
      <c r="A29" s="1">
        <v>26.0</v>
      </c>
      <c r="B29" s="1" t="s">
        <v>293</v>
      </c>
      <c r="C29" s="1" t="s">
        <v>284</v>
      </c>
      <c r="D29" s="1" t="s">
        <v>285</v>
      </c>
      <c r="E29" s="1" t="s">
        <v>286</v>
      </c>
      <c r="F29" s="1" t="s">
        <v>356</v>
      </c>
      <c r="G29" s="2" t="s">
        <v>357</v>
      </c>
      <c r="H29" s="1" t="s">
        <v>358</v>
      </c>
      <c r="J29" s="1" t="s">
        <v>341</v>
      </c>
      <c r="K29" s="1" t="s">
        <v>359</v>
      </c>
    </row>
    <row r="30">
      <c r="A30" s="1">
        <v>27.0</v>
      </c>
      <c r="B30" s="1" t="s">
        <v>360</v>
      </c>
      <c r="C30" s="1" t="s">
        <v>361</v>
      </c>
      <c r="D30" s="1" t="s">
        <v>362</v>
      </c>
      <c r="E30" s="1" t="s">
        <v>286</v>
      </c>
      <c r="F30" s="1" t="s">
        <v>363</v>
      </c>
      <c r="G30" s="2" t="s">
        <v>364</v>
      </c>
      <c r="H30" s="1" t="s">
        <v>365</v>
      </c>
      <c r="I30" s="2" t="s">
        <v>366</v>
      </c>
      <c r="J30" s="1" t="s">
        <v>310</v>
      </c>
      <c r="K30" s="1" t="s">
        <v>367</v>
      </c>
    </row>
    <row r="31">
      <c r="A31" s="1">
        <v>28.0</v>
      </c>
      <c r="B31" s="1" t="s">
        <v>360</v>
      </c>
      <c r="C31" s="1" t="s">
        <v>361</v>
      </c>
      <c r="D31" s="1" t="s">
        <v>362</v>
      </c>
      <c r="E31" s="1" t="s">
        <v>286</v>
      </c>
      <c r="F31" s="1" t="s">
        <v>368</v>
      </c>
      <c r="G31" s="2" t="s">
        <v>369</v>
      </c>
      <c r="H31" s="1" t="s">
        <v>370</v>
      </c>
      <c r="I31" s="2" t="s">
        <v>265</v>
      </c>
      <c r="J31" s="1" t="s">
        <v>310</v>
      </c>
      <c r="K31" s="1" t="s">
        <v>371</v>
      </c>
    </row>
    <row r="32">
      <c r="A32" s="1">
        <v>29.0</v>
      </c>
      <c r="B32" s="1" t="s">
        <v>360</v>
      </c>
      <c r="C32" s="1" t="s">
        <v>361</v>
      </c>
      <c r="D32" s="1" t="s">
        <v>362</v>
      </c>
      <c r="E32" s="1" t="s">
        <v>286</v>
      </c>
      <c r="F32" s="1" t="s">
        <v>372</v>
      </c>
      <c r="G32" s="2" t="s">
        <v>373</v>
      </c>
      <c r="H32" s="1" t="s">
        <v>374</v>
      </c>
      <c r="J32" s="1" t="s">
        <v>341</v>
      </c>
      <c r="K32" s="1" t="s">
        <v>375</v>
      </c>
    </row>
    <row r="33">
      <c r="A33" s="1">
        <v>30.0</v>
      </c>
      <c r="B33" s="1" t="s">
        <v>360</v>
      </c>
      <c r="C33" s="1" t="s">
        <v>361</v>
      </c>
      <c r="D33" s="1" t="s">
        <v>362</v>
      </c>
      <c r="E33" s="1" t="s">
        <v>286</v>
      </c>
      <c r="F33" s="1" t="s">
        <v>376</v>
      </c>
      <c r="G33" s="2" t="s">
        <v>377</v>
      </c>
      <c r="H33" s="1" t="s">
        <v>378</v>
      </c>
      <c r="I33" s="2" t="s">
        <v>379</v>
      </c>
      <c r="J33" s="1" t="s">
        <v>310</v>
      </c>
      <c r="K33" s="1" t="s">
        <v>380</v>
      </c>
    </row>
    <row r="34">
      <c r="A34" s="1">
        <v>31.0</v>
      </c>
      <c r="B34" s="1" t="s">
        <v>360</v>
      </c>
      <c r="C34" s="1" t="s">
        <v>361</v>
      </c>
      <c r="D34" s="1" t="s">
        <v>362</v>
      </c>
      <c r="E34" s="1" t="s">
        <v>286</v>
      </c>
      <c r="F34" s="1" t="s">
        <v>381</v>
      </c>
      <c r="G34" s="2" t="s">
        <v>382</v>
      </c>
      <c r="H34" s="1" t="s">
        <v>383</v>
      </c>
      <c r="I34" s="2" t="s">
        <v>298</v>
      </c>
      <c r="J34" s="1" t="s">
        <v>310</v>
      </c>
      <c r="K34" s="1" t="s">
        <v>384</v>
      </c>
    </row>
    <row r="35">
      <c r="A35" s="1">
        <v>32.0</v>
      </c>
      <c r="B35" s="1" t="s">
        <v>360</v>
      </c>
      <c r="C35" s="1" t="s">
        <v>361</v>
      </c>
      <c r="D35" s="1" t="s">
        <v>362</v>
      </c>
      <c r="E35" s="1" t="s">
        <v>286</v>
      </c>
      <c r="F35" s="1" t="s">
        <v>385</v>
      </c>
      <c r="G35" s="2" t="s">
        <v>386</v>
      </c>
      <c r="H35" s="1" t="s">
        <v>387</v>
      </c>
      <c r="I35" s="2" t="s">
        <v>301</v>
      </c>
      <c r="J35" s="1" t="s">
        <v>310</v>
      </c>
      <c r="K35" s="1" t="s">
        <v>388</v>
      </c>
    </row>
    <row r="36">
      <c r="A36" s="1">
        <v>33.0</v>
      </c>
      <c r="B36" s="1" t="s">
        <v>360</v>
      </c>
      <c r="C36" s="1" t="s">
        <v>361</v>
      </c>
      <c r="D36" s="1" t="s">
        <v>362</v>
      </c>
      <c r="E36" s="1" t="s">
        <v>286</v>
      </c>
      <c r="F36" s="1" t="s">
        <v>389</v>
      </c>
      <c r="G36" s="2" t="s">
        <v>390</v>
      </c>
      <c r="H36" s="1" t="s">
        <v>391</v>
      </c>
      <c r="J36" s="1" t="s">
        <v>341</v>
      </c>
      <c r="K36" s="1" t="s">
        <v>392</v>
      </c>
    </row>
    <row r="37">
      <c r="A37" s="1">
        <v>34.0</v>
      </c>
      <c r="B37" s="1" t="s">
        <v>360</v>
      </c>
      <c r="C37" s="1" t="s">
        <v>361</v>
      </c>
      <c r="D37" s="1" t="s">
        <v>362</v>
      </c>
      <c r="E37" s="1" t="s">
        <v>286</v>
      </c>
      <c r="F37" s="1" t="s">
        <v>393</v>
      </c>
      <c r="G37" s="2" t="s">
        <v>394</v>
      </c>
      <c r="H37" s="1" t="s">
        <v>395</v>
      </c>
      <c r="J37" s="1" t="s">
        <v>341</v>
      </c>
      <c r="K37" s="1" t="s">
        <v>396</v>
      </c>
    </row>
    <row r="38">
      <c r="A38" s="1">
        <v>35.0</v>
      </c>
      <c r="B38" s="1" t="s">
        <v>360</v>
      </c>
      <c r="C38" s="1" t="s">
        <v>361</v>
      </c>
      <c r="D38" s="1" t="s">
        <v>362</v>
      </c>
      <c r="E38" s="1" t="s">
        <v>286</v>
      </c>
      <c r="F38" s="1" t="s">
        <v>397</v>
      </c>
      <c r="G38" s="2" t="s">
        <v>398</v>
      </c>
      <c r="H38" s="1" t="s">
        <v>399</v>
      </c>
      <c r="J38" s="1" t="s">
        <v>341</v>
      </c>
      <c r="K38" s="1" t="s">
        <v>400</v>
      </c>
    </row>
    <row r="39">
      <c r="A39" s="1">
        <v>36.0</v>
      </c>
      <c r="B39" s="1" t="s">
        <v>360</v>
      </c>
      <c r="C39" s="1" t="s">
        <v>361</v>
      </c>
      <c r="D39" s="1" t="s">
        <v>362</v>
      </c>
      <c r="E39" s="1" t="s">
        <v>286</v>
      </c>
      <c r="F39" s="1" t="s">
        <v>401</v>
      </c>
      <c r="G39" s="2" t="s">
        <v>402</v>
      </c>
      <c r="H39" s="1" t="s">
        <v>403</v>
      </c>
      <c r="I39" s="2" t="s">
        <v>404</v>
      </c>
      <c r="J39" s="1" t="s">
        <v>310</v>
      </c>
      <c r="K39" s="1" t="s">
        <v>405</v>
      </c>
    </row>
    <row r="40">
      <c r="A40" s="1">
        <v>37.0</v>
      </c>
      <c r="B40" s="1" t="s">
        <v>360</v>
      </c>
      <c r="C40" s="1" t="s">
        <v>361</v>
      </c>
      <c r="D40" s="1" t="s">
        <v>362</v>
      </c>
      <c r="E40" s="1" t="s">
        <v>286</v>
      </c>
      <c r="F40" s="1" t="s">
        <v>406</v>
      </c>
      <c r="G40" s="2" t="s">
        <v>407</v>
      </c>
      <c r="H40" s="1" t="s">
        <v>408</v>
      </c>
      <c r="J40" s="1" t="s">
        <v>341</v>
      </c>
      <c r="K40" s="1" t="s">
        <v>409</v>
      </c>
    </row>
    <row r="41">
      <c r="A41" s="1">
        <v>38.0</v>
      </c>
      <c r="B41" s="1" t="s">
        <v>360</v>
      </c>
      <c r="C41" s="1" t="s">
        <v>361</v>
      </c>
      <c r="D41" s="1" t="s">
        <v>362</v>
      </c>
      <c r="E41" s="1" t="s">
        <v>286</v>
      </c>
      <c r="F41" s="1" t="s">
        <v>410</v>
      </c>
      <c r="G41" s="2" t="s">
        <v>411</v>
      </c>
      <c r="H41" s="1" t="s">
        <v>412</v>
      </c>
      <c r="J41" s="1" t="s">
        <v>341</v>
      </c>
      <c r="K41" s="1" t="s">
        <v>413</v>
      </c>
    </row>
    <row r="42">
      <c r="A42" s="1">
        <v>39.0</v>
      </c>
      <c r="B42" s="1" t="s">
        <v>360</v>
      </c>
      <c r="C42" s="1" t="s">
        <v>361</v>
      </c>
      <c r="D42" s="1" t="s">
        <v>362</v>
      </c>
      <c r="E42" s="1" t="s">
        <v>286</v>
      </c>
      <c r="F42" s="1" t="s">
        <v>414</v>
      </c>
      <c r="G42" s="2" t="s">
        <v>415</v>
      </c>
      <c r="H42" s="1" t="s">
        <v>416</v>
      </c>
      <c r="J42" s="1" t="s">
        <v>341</v>
      </c>
      <c r="K42" s="1" t="s">
        <v>417</v>
      </c>
    </row>
    <row r="43">
      <c r="A43" s="1">
        <v>40.0</v>
      </c>
      <c r="B43" s="1" t="s">
        <v>360</v>
      </c>
      <c r="C43" s="1" t="s">
        <v>361</v>
      </c>
      <c r="D43" s="1" t="s">
        <v>362</v>
      </c>
      <c r="E43" s="1" t="s">
        <v>286</v>
      </c>
      <c r="F43" s="1" t="s">
        <v>418</v>
      </c>
      <c r="G43" s="2" t="s">
        <v>419</v>
      </c>
      <c r="H43" s="1" t="s">
        <v>420</v>
      </c>
      <c r="I43" s="2" t="s">
        <v>419</v>
      </c>
      <c r="J43" s="1" t="s">
        <v>249</v>
      </c>
      <c r="K43" s="1" t="s">
        <v>263</v>
      </c>
    </row>
  </sheetData>
  <autoFilter ref="$C$1:$L$43"/>
  <dataValidations>
    <dataValidation type="list" allowBlank="1" showErrorMessage="1" sqref="J2:J43">
      <formula1>"GAP - MISSING,MAPPED,PARTIAL"</formula1>
    </dataValidation>
  </dataValidations>
  <hyperlinks>
    <hyperlink r:id="rId1" ref="G2"/>
    <hyperlink r:id="rId2" ref="I2"/>
    <hyperlink r:id="rId3" ref="G3"/>
    <hyperlink r:id="rId4" ref="I3"/>
    <hyperlink r:id="rId5" ref="G4"/>
    <hyperlink r:id="rId6" ref="I4"/>
    <hyperlink r:id="rId7" ref="G5"/>
    <hyperlink r:id="rId8" ref="I5"/>
    <hyperlink r:id="rId9" ref="G6"/>
    <hyperlink r:id="rId10" ref="I6"/>
    <hyperlink r:id="rId11" ref="G7"/>
    <hyperlink r:id="rId12" ref="I7"/>
    <hyperlink r:id="rId13" ref="G8"/>
    <hyperlink r:id="rId14" ref="I8"/>
    <hyperlink r:id="rId15" ref="G9"/>
    <hyperlink r:id="rId16" ref="I9"/>
    <hyperlink r:id="rId17" ref="G10"/>
    <hyperlink r:id="rId18" ref="I10"/>
    <hyperlink r:id="rId19" ref="G11"/>
    <hyperlink r:id="rId20" ref="I11"/>
    <hyperlink r:id="rId21" ref="G12"/>
    <hyperlink r:id="rId22" ref="I12"/>
    <hyperlink r:id="rId23" ref="G13"/>
    <hyperlink r:id="rId24" ref="I13"/>
    <hyperlink r:id="rId25" ref="G14"/>
    <hyperlink r:id="rId26" ref="I14"/>
    <hyperlink r:id="rId27" ref="G15"/>
    <hyperlink r:id="rId28" ref="I15"/>
    <hyperlink r:id="rId29" ref="G16"/>
    <hyperlink r:id="rId30" ref="I16"/>
    <hyperlink r:id="rId31" ref="G17"/>
    <hyperlink r:id="rId32" ref="I17"/>
    <hyperlink r:id="rId33" ref="G18"/>
    <hyperlink r:id="rId34" ref="I18"/>
    <hyperlink r:id="rId35" ref="G19"/>
    <hyperlink r:id="rId36" ref="I19"/>
    <hyperlink r:id="rId37" ref="G20"/>
    <hyperlink r:id="rId38" ref="I20"/>
    <hyperlink r:id="rId39" ref="G21"/>
    <hyperlink r:id="rId40" ref="I21"/>
    <hyperlink r:id="rId41" ref="G22"/>
    <hyperlink r:id="rId42" ref="I22"/>
    <hyperlink r:id="rId43" ref="G23"/>
    <hyperlink r:id="rId44" ref="I23"/>
    <hyperlink r:id="rId45" ref="G24"/>
    <hyperlink r:id="rId46" ref="G25"/>
    <hyperlink r:id="rId47" ref="G26"/>
    <hyperlink r:id="rId48" ref="I26"/>
    <hyperlink r:id="rId49" ref="G27"/>
    <hyperlink r:id="rId50" ref="I27"/>
    <hyperlink r:id="rId51" ref="G28"/>
    <hyperlink r:id="rId52" ref="I28"/>
    <hyperlink r:id="rId53" ref="G29"/>
    <hyperlink r:id="rId54" ref="G30"/>
    <hyperlink r:id="rId55" ref="I30"/>
    <hyperlink r:id="rId56" ref="G31"/>
    <hyperlink r:id="rId57" ref="I31"/>
    <hyperlink r:id="rId58" ref="G32"/>
    <hyperlink r:id="rId59" ref="G33"/>
    <hyperlink r:id="rId60" ref="I33"/>
    <hyperlink r:id="rId61" ref="G34"/>
    <hyperlink r:id="rId62" ref="I34"/>
    <hyperlink r:id="rId63" ref="G35"/>
    <hyperlink r:id="rId64" ref="I35"/>
    <hyperlink r:id="rId65" ref="G36"/>
    <hyperlink r:id="rId66" ref="G37"/>
    <hyperlink r:id="rId67" ref="G38"/>
    <hyperlink r:id="rId68" ref="G39"/>
    <hyperlink r:id="rId69" ref="I39"/>
    <hyperlink r:id="rId70" ref="G40"/>
    <hyperlink r:id="rId71" ref="G41"/>
    <hyperlink r:id="rId72" ref="G42"/>
    <hyperlink r:id="rId73" ref="G43"/>
    <hyperlink r:id="rId74" ref="I43"/>
  </hyperlinks>
  <drawing r:id="rId7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0"/>
    <col customWidth="1" min="2" max="2" width="48.75"/>
    <col customWidth="1" min="3" max="3" width="30.63"/>
    <col customWidth="1" min="4" max="4" width="48.13"/>
    <col customWidth="1" hidden="1" min="5" max="5" width="37.75"/>
    <col customWidth="1" hidden="1" min="6" max="6" width="10.5"/>
    <col customWidth="1" min="7" max="7" width="10.5"/>
    <col customWidth="1" min="8" max="8" width="12.25"/>
    <col customWidth="1" min="9" max="9" width="10.5"/>
    <col customWidth="1" min="10" max="10" width="13.13"/>
    <col customWidth="1" min="11" max="11" width="14.88"/>
    <col customWidth="1" min="12" max="12" width="10.5"/>
    <col customWidth="1" min="13" max="13" width="12.25"/>
    <col customWidth="1" min="14" max="14" width="14.0"/>
    <col customWidth="1" min="15" max="15" width="10.5"/>
    <col customWidth="1" min="16" max="16" width="12.25"/>
    <col customWidth="1" min="17" max="17" width="14.0"/>
    <col customWidth="1" min="18" max="18" width="10.5"/>
  </cols>
  <sheetData>
    <row r="1">
      <c r="A1" s="5" t="s">
        <v>229</v>
      </c>
      <c r="B1" s="5" t="s">
        <v>421</v>
      </c>
      <c r="C1" s="5" t="s">
        <v>422</v>
      </c>
      <c r="D1" s="5" t="s">
        <v>423</v>
      </c>
      <c r="E1" s="5"/>
      <c r="F1" s="6" t="s">
        <v>424</v>
      </c>
      <c r="G1" s="5" t="s">
        <v>425</v>
      </c>
      <c r="H1" s="5" t="s">
        <v>426</v>
      </c>
      <c r="I1" s="7" t="s">
        <v>427</v>
      </c>
      <c r="J1" s="5" t="s">
        <v>428</v>
      </c>
      <c r="K1" s="5" t="s">
        <v>429</v>
      </c>
      <c r="L1" s="7" t="s">
        <v>430</v>
      </c>
      <c r="M1" s="5" t="s">
        <v>431</v>
      </c>
      <c r="N1" s="5" t="s">
        <v>432</v>
      </c>
      <c r="O1" s="5" t="s">
        <v>433</v>
      </c>
      <c r="P1" s="5" t="s">
        <v>434</v>
      </c>
      <c r="Q1" s="5" t="s">
        <v>435</v>
      </c>
      <c r="R1" s="5" t="s">
        <v>436</v>
      </c>
    </row>
    <row r="2">
      <c r="A2" s="8">
        <v>1.0</v>
      </c>
      <c r="B2" s="8" t="s">
        <v>437</v>
      </c>
      <c r="C2" s="8" t="s">
        <v>438</v>
      </c>
      <c r="D2" s="8" t="s">
        <v>439</v>
      </c>
      <c r="E2" s="1" t="s">
        <v>440</v>
      </c>
      <c r="F2" s="9">
        <f>vlookup(D2,L3m_search_console_all!A:B,2,0)</f>
        <v>200</v>
      </c>
      <c r="G2" s="10">
        <f>vlookup(D2,L3m_search_console_all!A:F,6,0)</f>
        <v>57</v>
      </c>
      <c r="H2" s="10">
        <f>vlookup(D2,P3m_search_console!A:F,6,0)</f>
        <v>101</v>
      </c>
      <c r="I2" s="11">
        <f t="shared" ref="I2:I28" si="1">IF(H2&gt;0,(G2-H2)/H2,"N/A")</f>
        <v>-0.4356435644</v>
      </c>
      <c r="J2" s="10">
        <f>vlookup(D2,L3m_search_console_all!A:G,7,0)</f>
        <v>19373</v>
      </c>
      <c r="K2" s="10">
        <f>vlookup(D2,P3m_search_console!A:G,7,0)</f>
        <v>34633</v>
      </c>
      <c r="L2" s="11">
        <f t="shared" ref="L2:L28" si="2">IF(K2&gt;0,(J2-K2)/K2,"N/A")</f>
        <v>-0.4406202177</v>
      </c>
      <c r="M2" s="10">
        <f>vlookup(D2,L3m_analytics_all!A:M,13,0)</f>
        <v>71</v>
      </c>
      <c r="N2" s="10">
        <f>vlookup(E2,P3M_analytics!A:D,4,0)</f>
        <v>125</v>
      </c>
      <c r="O2" s="11">
        <f t="shared" ref="O2:O28" si="3">IF(N2&gt;0,(M2-N2)/N2,"N/A")</f>
        <v>-0.432</v>
      </c>
      <c r="P2" s="10">
        <f>vlookup(D2,L3m_analytics_all!A:J,10,0)</f>
        <v>0</v>
      </c>
      <c r="Q2" s="10">
        <f>vlookup(E2,P3M_analytics!A:F,6,0)</f>
        <v>11</v>
      </c>
      <c r="R2" s="12">
        <f t="shared" ref="R2:R28" si="4">IF(Q2&gt;0,(P2-Q2)/Q2,"N/A")</f>
        <v>-1</v>
      </c>
    </row>
    <row r="3">
      <c r="A3" s="8">
        <v>2.0</v>
      </c>
      <c r="B3" s="8" t="s">
        <v>441</v>
      </c>
      <c r="C3" s="8" t="s">
        <v>442</v>
      </c>
      <c r="D3" s="8" t="s">
        <v>443</v>
      </c>
      <c r="E3" s="1" t="s">
        <v>444</v>
      </c>
      <c r="F3" s="9">
        <f>vlookup(D3,L3m_search_console_all!A:B,2,0)</f>
        <v>200</v>
      </c>
      <c r="G3" s="10">
        <f>vlookup(D3,L3m_search_console_all!A:F,6,0)</f>
        <v>2</v>
      </c>
      <c r="H3" s="10">
        <f>vlookup(D3,P3m_search_console!A:F,6,0)</f>
        <v>0</v>
      </c>
      <c r="I3" s="11" t="str">
        <f t="shared" si="1"/>
        <v>N/A</v>
      </c>
      <c r="J3" s="10">
        <f>vlookup(D3,L3m_search_console_all!A:G,7,0)</f>
        <v>1703</v>
      </c>
      <c r="K3" s="10">
        <f>vlookup(D3,P3m_search_console!A:G,7,0)</f>
        <v>300</v>
      </c>
      <c r="L3" s="11">
        <f t="shared" si="2"/>
        <v>4.676666667</v>
      </c>
      <c r="M3" s="10">
        <f>vlookup(D3,L3m_analytics_all!A:M,13,0)</f>
        <v>8</v>
      </c>
      <c r="N3" s="10">
        <f>vlookup(E3,P3M_analytics!A:D,4,0)</f>
        <v>11</v>
      </c>
      <c r="O3" s="11">
        <f t="shared" si="3"/>
        <v>-0.2727272727</v>
      </c>
      <c r="P3" s="10">
        <f>vlookup(D3,L3m_analytics_all!A:J,10,0)</f>
        <v>1</v>
      </c>
      <c r="Q3" s="10">
        <f>vlookup(E3,P3M_analytics!A:F,6,0)</f>
        <v>0</v>
      </c>
      <c r="R3" s="12" t="str">
        <f t="shared" si="4"/>
        <v>N/A</v>
      </c>
    </row>
    <row r="4">
      <c r="A4" s="8">
        <v>3.0</v>
      </c>
      <c r="B4" s="8" t="s">
        <v>445</v>
      </c>
      <c r="C4" s="8" t="s">
        <v>446</v>
      </c>
      <c r="D4" s="8" t="s">
        <v>447</v>
      </c>
      <c r="E4" s="1" t="s">
        <v>448</v>
      </c>
      <c r="F4" s="9">
        <f>vlookup(D4,L3m_search_console_all!A:B,2,0)</f>
        <v>200</v>
      </c>
      <c r="G4" s="10">
        <f>vlookup(D4,L3m_search_console_all!A:F,6,0)</f>
        <v>7</v>
      </c>
      <c r="H4" s="10">
        <f>vlookup(D4,P3m_search_console!A:F,6,0)</f>
        <v>24</v>
      </c>
      <c r="I4" s="11">
        <f t="shared" si="1"/>
        <v>-0.7083333333</v>
      </c>
      <c r="J4" s="10">
        <f>vlookup(D4,L3m_search_console_all!A:G,7,0)</f>
        <v>12101</v>
      </c>
      <c r="K4" s="10">
        <f>vlookup(D4,P3m_search_console!A:G,7,0)</f>
        <v>18218</v>
      </c>
      <c r="L4" s="11">
        <f t="shared" si="2"/>
        <v>-0.335766824</v>
      </c>
      <c r="M4" s="10">
        <f>vlookup(D4,L3m_analytics_all!A:M,13,0)</f>
        <v>13</v>
      </c>
      <c r="N4" s="10">
        <f>vlookup(E4,P3M_analytics!A:D,4,0)</f>
        <v>32</v>
      </c>
      <c r="O4" s="11">
        <f t="shared" si="3"/>
        <v>-0.59375</v>
      </c>
      <c r="P4" s="10">
        <f>vlookup(D4,L3m_analytics_all!A:J,10,0)</f>
        <v>0</v>
      </c>
      <c r="Q4" s="10">
        <f>vlookup(E4,P3M_analytics!A:F,6,0)</f>
        <v>1</v>
      </c>
      <c r="R4" s="12">
        <f t="shared" si="4"/>
        <v>-1</v>
      </c>
    </row>
    <row r="5">
      <c r="A5" s="8">
        <v>4.0</v>
      </c>
      <c r="B5" s="8" t="s">
        <v>449</v>
      </c>
      <c r="C5" s="8" t="s">
        <v>450</v>
      </c>
      <c r="D5" s="8" t="s">
        <v>451</v>
      </c>
      <c r="E5" s="1" t="s">
        <v>452</v>
      </c>
      <c r="F5" s="9">
        <f>vlookup(D5,L3m_search_console_all!A:B,2,0)</f>
        <v>200</v>
      </c>
      <c r="G5" s="10">
        <f>vlookup(D5,L3m_search_console_all!A:F,6,0)</f>
        <v>2</v>
      </c>
      <c r="H5" s="10">
        <f>vlookup(D5,P3m_search_console!A:F,6,0)</f>
        <v>9</v>
      </c>
      <c r="I5" s="11">
        <f t="shared" si="1"/>
        <v>-0.7777777778</v>
      </c>
      <c r="J5" s="10">
        <f>vlookup(D5,L3m_search_console_all!A:G,7,0)</f>
        <v>3310</v>
      </c>
      <c r="K5" s="10">
        <f>vlookup(D5,P3m_search_console!A:G,7,0)</f>
        <v>28578</v>
      </c>
      <c r="L5" s="11">
        <f t="shared" si="2"/>
        <v>-0.8841766394</v>
      </c>
      <c r="M5" s="10">
        <f>vlookup(D5,L3m_analytics_all!A:M,13,0)</f>
        <v>5</v>
      </c>
      <c r="N5" s="10">
        <f>vlookup(E5,P3M_analytics!A:D,4,0)</f>
        <v>11</v>
      </c>
      <c r="O5" s="11">
        <f t="shared" si="3"/>
        <v>-0.5454545455</v>
      </c>
      <c r="P5" s="10">
        <f>vlookup(D5,L3m_analytics_all!A:J,10,0)</f>
        <v>1</v>
      </c>
      <c r="Q5" s="10">
        <f>vlookup(E5,P3M_analytics!A:F,6,0)</f>
        <v>0</v>
      </c>
      <c r="R5" s="12" t="str">
        <f t="shared" si="4"/>
        <v>N/A</v>
      </c>
    </row>
    <row r="6">
      <c r="A6" s="8">
        <v>5.0</v>
      </c>
      <c r="B6" s="8" t="s">
        <v>453</v>
      </c>
      <c r="C6" s="8" t="s">
        <v>454</v>
      </c>
      <c r="D6" s="8" t="s">
        <v>455</v>
      </c>
      <c r="E6" s="1" t="s">
        <v>456</v>
      </c>
      <c r="F6" s="9">
        <f>vlookup(D6,L3m_search_console_all!A:B,2,0)</f>
        <v>200</v>
      </c>
      <c r="G6" s="10">
        <f>vlookup(D6,L3m_search_console_all!A:F,6,0)</f>
        <v>1</v>
      </c>
      <c r="H6" s="10">
        <f>vlookup(D6,P3m_search_console!A:F,6,0)</f>
        <v>1</v>
      </c>
      <c r="I6" s="11">
        <f t="shared" si="1"/>
        <v>0</v>
      </c>
      <c r="J6" s="10">
        <f>vlookup(D6,L3m_search_console_all!A:G,7,0)</f>
        <v>2110</v>
      </c>
      <c r="K6" s="10">
        <f>vlookup(D6,P3m_search_console!A:G,7,0)</f>
        <v>4643</v>
      </c>
      <c r="L6" s="11">
        <f t="shared" si="2"/>
        <v>-0.5455524445</v>
      </c>
      <c r="M6" s="10">
        <f>vlookup(D6,L3m_analytics_all!A:M,13,0)</f>
        <v>3</v>
      </c>
      <c r="N6" s="10">
        <f>vlookup(E6,P3M_analytics!A:D,4,0)</f>
        <v>6</v>
      </c>
      <c r="O6" s="11">
        <f t="shared" si="3"/>
        <v>-0.5</v>
      </c>
      <c r="P6" s="10">
        <f>vlookup(D6,L3m_analytics_all!A:J,10,0)</f>
        <v>1</v>
      </c>
      <c r="Q6" s="10">
        <f>vlookup(E6,P3M_analytics!A:F,6,0)</f>
        <v>0</v>
      </c>
      <c r="R6" s="12" t="str">
        <f t="shared" si="4"/>
        <v>N/A</v>
      </c>
    </row>
    <row r="7">
      <c r="A7" s="8">
        <v>6.0</v>
      </c>
      <c r="B7" s="8" t="s">
        <v>457</v>
      </c>
      <c r="C7" s="8" t="s">
        <v>458</v>
      </c>
      <c r="D7" s="8" t="s">
        <v>459</v>
      </c>
      <c r="E7" s="1" t="s">
        <v>460</v>
      </c>
      <c r="F7" s="9">
        <f>vlookup(D7,L3m_search_console_all!A:B,2,0)</f>
        <v>200</v>
      </c>
      <c r="G7" s="10">
        <f>vlookup(D7,L3m_search_console_all!A:F,6,0)</f>
        <v>0</v>
      </c>
      <c r="H7" s="10">
        <f>vlookup(D7,P3m_search_console!A:F,6,0)</f>
        <v>3</v>
      </c>
      <c r="I7" s="11">
        <f t="shared" si="1"/>
        <v>-1</v>
      </c>
      <c r="J7" s="10">
        <f>vlookup(D7,L3m_search_console_all!A:G,7,0)</f>
        <v>535</v>
      </c>
      <c r="K7" s="10">
        <f>vlookup(D7,P3m_search_console!A:G,7,0)</f>
        <v>1731</v>
      </c>
      <c r="L7" s="11">
        <f t="shared" si="2"/>
        <v>-0.6909300982</v>
      </c>
      <c r="M7" s="10">
        <f>vlookup(D7,L3m_analytics_all!A:M,13,0)</f>
        <v>1</v>
      </c>
      <c r="N7" s="10">
        <f>vlookup(E7,P3M_analytics!A:D,4,0)</f>
        <v>2</v>
      </c>
      <c r="O7" s="11">
        <f t="shared" si="3"/>
        <v>-0.5</v>
      </c>
      <c r="P7" s="10">
        <f>vlookup(D7,L3m_analytics_all!A:J,10,0)</f>
        <v>0</v>
      </c>
      <c r="Q7" s="10">
        <f>vlookup(E7,P3M_analytics!A:F,6,0)</f>
        <v>0</v>
      </c>
      <c r="R7" s="12" t="str">
        <f t="shared" si="4"/>
        <v>N/A</v>
      </c>
    </row>
    <row r="8">
      <c r="A8" s="8">
        <v>7.0</v>
      </c>
      <c r="B8" s="8" t="s">
        <v>461</v>
      </c>
      <c r="C8" s="8" t="s">
        <v>462</v>
      </c>
      <c r="D8" s="8" t="s">
        <v>463</v>
      </c>
      <c r="E8" s="1" t="s">
        <v>464</v>
      </c>
      <c r="F8" s="9">
        <f>vlookup(D8,L3m_search_console_all!A:B,2,0)</f>
        <v>200</v>
      </c>
      <c r="G8" s="10">
        <f>vlookup(D8,L3m_search_console_all!A:F,6,0)</f>
        <v>2</v>
      </c>
      <c r="H8" s="10">
        <f>vlookup(D8,P3m_search_console!A:F,6,0)</f>
        <v>5</v>
      </c>
      <c r="I8" s="11">
        <f t="shared" si="1"/>
        <v>-0.6</v>
      </c>
      <c r="J8" s="10">
        <f>vlookup(D8,L3m_search_console_all!A:G,7,0)</f>
        <v>499</v>
      </c>
      <c r="K8" s="10">
        <f>vlookup(D8,P3m_search_console!A:G,7,0)</f>
        <v>577</v>
      </c>
      <c r="L8" s="11">
        <f t="shared" si="2"/>
        <v>-0.1351819757</v>
      </c>
      <c r="M8" s="10">
        <f>vlookup(D8,L3m_analytics_all!A:M,13,0)</f>
        <v>4</v>
      </c>
      <c r="N8" s="10">
        <f>vlookup(E8,P3M_analytics!A:D,4,0)</f>
        <v>5</v>
      </c>
      <c r="O8" s="11">
        <f t="shared" si="3"/>
        <v>-0.2</v>
      </c>
      <c r="P8" s="10">
        <f>vlookup(D8,L3m_analytics_all!A:J,10,0)</f>
        <v>0</v>
      </c>
      <c r="Q8" s="10">
        <f>vlookup(E8,P3M_analytics!A:F,6,0)</f>
        <v>0</v>
      </c>
      <c r="R8" s="12" t="str">
        <f t="shared" si="4"/>
        <v>N/A</v>
      </c>
    </row>
    <row r="9">
      <c r="A9" s="8">
        <v>8.0</v>
      </c>
      <c r="B9" s="8" t="s">
        <v>465</v>
      </c>
      <c r="C9" s="8" t="s">
        <v>466</v>
      </c>
      <c r="D9" s="8" t="s">
        <v>467</v>
      </c>
      <c r="E9" s="1" t="s">
        <v>468</v>
      </c>
      <c r="F9" s="9">
        <f>vlookup(D9,L3m_search_console_all!A:B,2,0)</f>
        <v>200</v>
      </c>
      <c r="G9" s="10">
        <f>vlookup(D9,L3m_search_console_all!A:F,6,0)</f>
        <v>0</v>
      </c>
      <c r="H9" s="10">
        <f>vlookup(D9,P3m_search_console!A:F,6,0)</f>
        <v>0</v>
      </c>
      <c r="I9" s="11" t="str">
        <f t="shared" si="1"/>
        <v>N/A</v>
      </c>
      <c r="J9" s="10">
        <f>vlookup(D9,L3m_search_console_all!A:G,7,0)</f>
        <v>112</v>
      </c>
      <c r="K9" s="10">
        <f>vlookup(D9,P3m_search_console!A:G,7,0)</f>
        <v>356</v>
      </c>
      <c r="L9" s="11">
        <f t="shared" si="2"/>
        <v>-0.6853932584</v>
      </c>
      <c r="M9" s="10">
        <f>vlookup(D9,L3m_analytics_all!A:M,13,0)</f>
        <v>1</v>
      </c>
      <c r="N9" s="10">
        <f>vlookup(E9,P3M_analytics!A:D,4,0)</f>
        <v>1</v>
      </c>
      <c r="O9" s="11">
        <f t="shared" si="3"/>
        <v>0</v>
      </c>
      <c r="P9" s="10">
        <f>vlookup(D9,L3m_analytics_all!A:J,10,0)</f>
        <v>0</v>
      </c>
      <c r="Q9" s="10">
        <f>vlookup(E9,P3M_analytics!A:F,6,0)</f>
        <v>0</v>
      </c>
      <c r="R9" s="12" t="str">
        <f t="shared" si="4"/>
        <v>N/A</v>
      </c>
    </row>
    <row r="10">
      <c r="A10" s="8">
        <v>10.0</v>
      </c>
      <c r="B10" s="8" t="s">
        <v>469</v>
      </c>
      <c r="C10" s="8" t="s">
        <v>470</v>
      </c>
      <c r="D10" s="13" t="s">
        <v>471</v>
      </c>
      <c r="E10" s="1" t="s">
        <v>472</v>
      </c>
      <c r="F10" s="9">
        <f>vlookup(D10,L3m_search_console_all!A:B,2,0)</f>
        <v>200</v>
      </c>
      <c r="G10" s="10">
        <f>vlookup(D10,L3m_search_console_all!A:F,6,0)</f>
        <v>0</v>
      </c>
      <c r="H10" s="10">
        <f>vlookup(D10,P3m_search_console!A:F,6,0)</f>
        <v>0</v>
      </c>
      <c r="I10" s="11" t="str">
        <f t="shared" si="1"/>
        <v>N/A</v>
      </c>
      <c r="J10" s="10">
        <f>vlookup(D10,L3m_search_console_all!A:G,7,0)</f>
        <v>58</v>
      </c>
      <c r="K10" s="10">
        <f>vlookup(D10,P3m_search_console!A:G,7,0)</f>
        <v>16</v>
      </c>
      <c r="L10" s="11">
        <f t="shared" si="2"/>
        <v>2.625</v>
      </c>
      <c r="M10" s="10">
        <f>vlookup(D10,L3m_analytics_all!A:M,13,0)</f>
        <v>1</v>
      </c>
      <c r="N10" s="10" t="str">
        <f>vlookup(E10,P3M_analytics!A:D,4,0)</f>
        <v>#N/A</v>
      </c>
      <c r="O10" s="11" t="str">
        <f t="shared" si="3"/>
        <v>#N/A</v>
      </c>
      <c r="P10" s="10">
        <f>vlookup(D10,L3m_analytics_all!A:J,10,0)</f>
        <v>0</v>
      </c>
      <c r="Q10" s="10" t="str">
        <f>vlookup(E10,P3M_analytics!A:F,6,0)</f>
        <v>#N/A</v>
      </c>
      <c r="R10" s="12" t="str">
        <f t="shared" si="4"/>
        <v>#N/A</v>
      </c>
    </row>
    <row r="11">
      <c r="A11" s="8">
        <v>11.0</v>
      </c>
      <c r="B11" s="8" t="s">
        <v>473</v>
      </c>
      <c r="C11" s="8" t="s">
        <v>474</v>
      </c>
      <c r="D11" s="8" t="s">
        <v>475</v>
      </c>
      <c r="E11" s="1" t="s">
        <v>476</v>
      </c>
      <c r="F11" s="9">
        <f>vlookup(D11,L3m_search_console_all!A:B,2,0)</f>
        <v>200</v>
      </c>
      <c r="G11" s="10">
        <f>vlookup(D11,L3m_search_console_all!A:F,6,0)</f>
        <v>4</v>
      </c>
      <c r="H11" s="10">
        <f>vlookup(D11,P3m_search_console!A:F,6,0)</f>
        <v>7</v>
      </c>
      <c r="I11" s="11">
        <f t="shared" si="1"/>
        <v>-0.4285714286</v>
      </c>
      <c r="J11" s="10">
        <f>vlookup(D11,L3m_search_console_all!A:G,7,0)</f>
        <v>1454</v>
      </c>
      <c r="K11" s="10">
        <f>vlookup(D11,P3m_search_console!A:G,7,0)</f>
        <v>1754</v>
      </c>
      <c r="L11" s="11">
        <f t="shared" si="2"/>
        <v>-0.1710376283</v>
      </c>
      <c r="M11" s="10">
        <f>vlookup(D11,L3m_analytics_all!A:M,13,0)</f>
        <v>6</v>
      </c>
      <c r="N11" s="10">
        <f>vlookup(E11,P3M_analytics!A:D,4,0)</f>
        <v>4</v>
      </c>
      <c r="O11" s="11">
        <f t="shared" si="3"/>
        <v>0.5</v>
      </c>
      <c r="P11" s="10">
        <f>vlookup(D11,L3m_analytics_all!A:J,10,0)</f>
        <v>1</v>
      </c>
      <c r="Q11" s="10">
        <f>vlookup(E11,P3M_analytics!A:F,6,0)</f>
        <v>0</v>
      </c>
      <c r="R11" s="12" t="str">
        <f t="shared" si="4"/>
        <v>N/A</v>
      </c>
    </row>
    <row r="12">
      <c r="A12" s="8">
        <v>12.0</v>
      </c>
      <c r="B12" s="8" t="s">
        <v>477</v>
      </c>
      <c r="C12" s="8" t="s">
        <v>478</v>
      </c>
      <c r="D12" s="8" t="s">
        <v>479</v>
      </c>
      <c r="E12" s="1" t="s">
        <v>480</v>
      </c>
      <c r="F12" s="9">
        <f>vlookup(D12,L3m_search_console_all!A:B,2,0)</f>
        <v>200</v>
      </c>
      <c r="G12" s="10">
        <f>vlookup(D12,L3m_search_console_all!A:F,6,0)</f>
        <v>1</v>
      </c>
      <c r="H12" s="10">
        <f>vlookup(D12,P3m_search_console!A:F,6,0)</f>
        <v>0</v>
      </c>
      <c r="I12" s="11" t="str">
        <f t="shared" si="1"/>
        <v>N/A</v>
      </c>
      <c r="J12" s="10">
        <f>vlookup(D12,L3m_search_console_all!A:G,7,0)</f>
        <v>475</v>
      </c>
      <c r="K12" s="10">
        <f>vlookup(D12,P3m_search_console!A:G,7,0)</f>
        <v>563</v>
      </c>
      <c r="L12" s="11">
        <f t="shared" si="2"/>
        <v>-0.1563055062</v>
      </c>
      <c r="M12" s="10">
        <f>vlookup(D12,L3m_analytics_all!A:M,13,0)</f>
        <v>1</v>
      </c>
      <c r="N12" s="10" t="str">
        <f>vlookup(E12,P3M_analytics!A:D,4,0)</f>
        <v>#N/A</v>
      </c>
      <c r="O12" s="11" t="str">
        <f t="shared" si="3"/>
        <v>#N/A</v>
      </c>
      <c r="P12" s="10">
        <f>vlookup(D12,L3m_analytics_all!A:J,10,0)</f>
        <v>0</v>
      </c>
      <c r="Q12" s="10" t="str">
        <f>vlookup(E12,P3M_analytics!A:F,6,0)</f>
        <v>#N/A</v>
      </c>
      <c r="R12" s="12" t="str">
        <f t="shared" si="4"/>
        <v>#N/A</v>
      </c>
    </row>
    <row r="13">
      <c r="A13" s="8">
        <v>13.0</v>
      </c>
      <c r="B13" s="8" t="s">
        <v>481</v>
      </c>
      <c r="C13" s="8" t="s">
        <v>482</v>
      </c>
      <c r="D13" s="8" t="s">
        <v>483</v>
      </c>
      <c r="E13" s="1" t="s">
        <v>484</v>
      </c>
      <c r="F13" s="9">
        <f>vlookup(D13,L3m_search_console_all!A:B,2,0)</f>
        <v>200</v>
      </c>
      <c r="G13" s="10">
        <f>vlookup(D13,L3m_search_console_all!A:F,6,0)</f>
        <v>0</v>
      </c>
      <c r="H13" s="10">
        <f>vlookup(D13,P3m_search_console!A:F,6,0)</f>
        <v>0</v>
      </c>
      <c r="I13" s="11" t="str">
        <f t="shared" si="1"/>
        <v>N/A</v>
      </c>
      <c r="J13" s="10">
        <f>vlookup(D13,L3m_search_console_all!A:G,7,0)</f>
        <v>193</v>
      </c>
      <c r="K13" s="10">
        <f>vlookup(D13,P3m_search_console!A:G,7,0)</f>
        <v>514</v>
      </c>
      <c r="L13" s="11">
        <f t="shared" si="2"/>
        <v>-0.6245136187</v>
      </c>
      <c r="M13" s="10" t="str">
        <f>vlookup(D13,L3m_analytics_all!A:M,13,0)</f>
        <v/>
      </c>
      <c r="N13" s="10">
        <f>vlookup(E13,P3M_analytics!A:D,4,0)</f>
        <v>2</v>
      </c>
      <c r="O13" s="11">
        <f t="shared" si="3"/>
        <v>-1</v>
      </c>
      <c r="P13" s="10" t="str">
        <f>vlookup(D13,L3m_analytics_all!A:J,10,0)</f>
        <v/>
      </c>
      <c r="Q13" s="10">
        <f>vlookup(E13,P3M_analytics!A:F,6,0)</f>
        <v>0</v>
      </c>
      <c r="R13" s="12" t="str">
        <f t="shared" si="4"/>
        <v>N/A</v>
      </c>
    </row>
    <row r="14">
      <c r="A14" s="8">
        <v>14.0</v>
      </c>
      <c r="B14" s="8" t="s">
        <v>485</v>
      </c>
      <c r="C14" s="8" t="s">
        <v>486</v>
      </c>
      <c r="D14" s="8" t="s">
        <v>487</v>
      </c>
      <c r="E14" s="1" t="s">
        <v>488</v>
      </c>
      <c r="F14" s="9">
        <f>vlookup(D14,L3m_search_console_all!A:B,2,0)</f>
        <v>200</v>
      </c>
      <c r="G14" s="10">
        <f>vlookup(D14,L3m_search_console_all!A:F,6,0)</f>
        <v>2</v>
      </c>
      <c r="H14" s="10">
        <f>vlookup(D14,P3m_search_console!A:F,6,0)</f>
        <v>2</v>
      </c>
      <c r="I14" s="11">
        <f t="shared" si="1"/>
        <v>0</v>
      </c>
      <c r="J14" s="10">
        <f>vlookup(D14,L3m_search_console_all!A:G,7,0)</f>
        <v>127</v>
      </c>
      <c r="K14" s="10">
        <f>vlookup(D14,P3m_search_console!A:G,7,0)</f>
        <v>172</v>
      </c>
      <c r="L14" s="11">
        <f t="shared" si="2"/>
        <v>-0.261627907</v>
      </c>
      <c r="M14" s="10">
        <f>vlookup(D14,L3m_analytics_all!A:M,13,0)</f>
        <v>3</v>
      </c>
      <c r="N14" s="10">
        <f>vlookup(E14,P3M_analytics!A:D,4,0)</f>
        <v>2</v>
      </c>
      <c r="O14" s="11">
        <f t="shared" si="3"/>
        <v>0.5</v>
      </c>
      <c r="P14" s="10">
        <f>vlookup(D14,L3m_analytics_all!A:J,10,0)</f>
        <v>0</v>
      </c>
      <c r="Q14" s="10">
        <f>vlookup(E14,P3M_analytics!A:F,6,0)</f>
        <v>0</v>
      </c>
      <c r="R14" s="12" t="str">
        <f t="shared" si="4"/>
        <v>N/A</v>
      </c>
    </row>
    <row r="15">
      <c r="A15" s="8">
        <v>15.0</v>
      </c>
      <c r="B15" s="8" t="s">
        <v>489</v>
      </c>
      <c r="C15" s="8" t="s">
        <v>490</v>
      </c>
      <c r="D15" s="8" t="s">
        <v>491</v>
      </c>
      <c r="E15" s="1" t="s">
        <v>492</v>
      </c>
      <c r="F15" s="9">
        <f>vlookup(D15,L3m_search_console_all!A:B,2,0)</f>
        <v>200</v>
      </c>
      <c r="G15" s="10">
        <f>vlookup(D15,L3m_search_console_all!A:F,6,0)</f>
        <v>0</v>
      </c>
      <c r="H15" s="10">
        <f>vlookup(D15,P3m_search_console!A:F,6,0)</f>
        <v>0</v>
      </c>
      <c r="I15" s="11" t="str">
        <f t="shared" si="1"/>
        <v>N/A</v>
      </c>
      <c r="J15" s="10">
        <f>vlookup(D15,L3m_search_console_all!A:G,7,0)</f>
        <v>59</v>
      </c>
      <c r="K15" s="10">
        <f>vlookup(D15,P3m_search_console!A:G,7,0)</f>
        <v>20</v>
      </c>
      <c r="L15" s="11">
        <f t="shared" si="2"/>
        <v>1.95</v>
      </c>
      <c r="M15" s="10" t="str">
        <f>vlookup(D15,L3m_analytics_all!A:M,13,0)</f>
        <v/>
      </c>
      <c r="N15" s="10" t="str">
        <f>vlookup(E15,P3M_analytics!A:D,4,0)</f>
        <v>#N/A</v>
      </c>
      <c r="O15" s="11" t="str">
        <f t="shared" si="3"/>
        <v>#N/A</v>
      </c>
      <c r="P15" s="10" t="str">
        <f>vlookup(D15,L3m_analytics_all!A:J,10,0)</f>
        <v/>
      </c>
      <c r="Q15" s="10" t="str">
        <f>vlookup(E15,P3M_analytics!A:F,6,0)</f>
        <v>#N/A</v>
      </c>
      <c r="R15" s="12" t="str">
        <f t="shared" si="4"/>
        <v>#N/A</v>
      </c>
    </row>
    <row r="16">
      <c r="A16" s="8">
        <v>17.0</v>
      </c>
      <c r="B16" s="8" t="s">
        <v>493</v>
      </c>
      <c r="C16" s="8" t="s">
        <v>494</v>
      </c>
      <c r="D16" s="8" t="s">
        <v>495</v>
      </c>
      <c r="E16" s="1" t="s">
        <v>496</v>
      </c>
      <c r="F16" s="9">
        <f>vlookup(D16,L3m_search_console_all!A:B,2,0)</f>
        <v>200</v>
      </c>
      <c r="G16" s="10">
        <f>vlookup(D16,L3m_search_console_all!A:F,6,0)</f>
        <v>0</v>
      </c>
      <c r="H16" s="10">
        <f>vlookup(D16,P3m_search_console!A:F,6,0)</f>
        <v>0</v>
      </c>
      <c r="I16" s="11" t="str">
        <f t="shared" si="1"/>
        <v>N/A</v>
      </c>
      <c r="J16" s="10">
        <f>vlookup(D16,L3m_search_console_all!A:G,7,0)</f>
        <v>13</v>
      </c>
      <c r="K16" s="10">
        <f>vlookup(D16,P3m_search_console!A:G,7,0)</f>
        <v>6</v>
      </c>
      <c r="L16" s="11">
        <f t="shared" si="2"/>
        <v>1.166666667</v>
      </c>
      <c r="M16" s="10" t="str">
        <f>vlookup(D16,L3m_analytics_all!A:M,13,0)</f>
        <v/>
      </c>
      <c r="N16" s="10" t="str">
        <f>vlookup(E16,P3M_analytics!A:D,4,0)</f>
        <v>#N/A</v>
      </c>
      <c r="O16" s="11" t="str">
        <f t="shared" si="3"/>
        <v>#N/A</v>
      </c>
      <c r="P16" s="10" t="str">
        <f>vlookup(D16,L3m_analytics_all!A:J,10,0)</f>
        <v/>
      </c>
      <c r="Q16" s="10" t="str">
        <f>vlookup(E16,P3M_analytics!A:F,6,0)</f>
        <v>#N/A</v>
      </c>
      <c r="R16" s="12" t="str">
        <f t="shared" si="4"/>
        <v>#N/A</v>
      </c>
    </row>
    <row r="17">
      <c r="A17" s="8">
        <v>18.0</v>
      </c>
      <c r="B17" s="8" t="s">
        <v>497</v>
      </c>
      <c r="C17" s="8" t="s">
        <v>498</v>
      </c>
      <c r="D17" s="8" t="s">
        <v>499</v>
      </c>
      <c r="E17" s="1" t="s">
        <v>500</v>
      </c>
      <c r="F17" s="9">
        <f>vlookup(D17,L3m_search_console_all!A:B,2,0)</f>
        <v>200</v>
      </c>
      <c r="G17" s="10">
        <f>vlookup(D17,L3m_search_console_all!A:F,6,0)</f>
        <v>1</v>
      </c>
      <c r="H17" s="10">
        <f>vlookup(D17,P3m_search_console!A:F,6,0)</f>
        <v>0</v>
      </c>
      <c r="I17" s="11" t="str">
        <f t="shared" si="1"/>
        <v>N/A</v>
      </c>
      <c r="J17" s="10">
        <f>vlookup(D17,L3m_search_console_all!A:G,7,0)</f>
        <v>954</v>
      </c>
      <c r="K17" s="10">
        <f>vlookup(D17,P3m_search_console!A:G,7,0)</f>
        <v>4461</v>
      </c>
      <c r="L17" s="11">
        <f t="shared" si="2"/>
        <v>-0.7861466039</v>
      </c>
      <c r="M17" s="10">
        <f>vlookup(D17,L3m_analytics_all!A:M,13,0)</f>
        <v>3</v>
      </c>
      <c r="N17" s="10">
        <f>vlookup(E17,P3M_analytics!A:D,4,0)</f>
        <v>2</v>
      </c>
      <c r="O17" s="11">
        <f t="shared" si="3"/>
        <v>0.5</v>
      </c>
      <c r="P17" s="10">
        <f>vlookup(D17,L3m_analytics_all!A:J,10,0)</f>
        <v>0</v>
      </c>
      <c r="Q17" s="10">
        <f>vlookup(E17,P3M_analytics!A:F,6,0)</f>
        <v>0</v>
      </c>
      <c r="R17" s="12" t="str">
        <f t="shared" si="4"/>
        <v>N/A</v>
      </c>
    </row>
    <row r="18">
      <c r="A18" s="8">
        <v>19.0</v>
      </c>
      <c r="B18" s="8" t="s">
        <v>501</v>
      </c>
      <c r="C18" s="8" t="s">
        <v>502</v>
      </c>
      <c r="D18" s="8" t="s">
        <v>503</v>
      </c>
      <c r="E18" s="1" t="s">
        <v>504</v>
      </c>
      <c r="F18" s="9">
        <f>vlookup(D18,L3m_search_console_all!A:B,2,0)</f>
        <v>200</v>
      </c>
      <c r="G18" s="10">
        <f>vlookup(D18,L3m_search_console_all!A:F,6,0)</f>
        <v>0</v>
      </c>
      <c r="H18" s="10">
        <f>vlookup(D18,P3m_search_console!A:F,6,0)</f>
        <v>4</v>
      </c>
      <c r="I18" s="11">
        <f t="shared" si="1"/>
        <v>-1</v>
      </c>
      <c r="J18" s="10">
        <f>vlookup(D18,L3m_search_console_all!A:G,7,0)</f>
        <v>330</v>
      </c>
      <c r="K18" s="10">
        <f>vlookup(D18,P3m_search_console!A:G,7,0)</f>
        <v>1368</v>
      </c>
      <c r="L18" s="11">
        <f t="shared" si="2"/>
        <v>-0.7587719298</v>
      </c>
      <c r="M18" s="10" t="str">
        <f>vlookup(D18,L3m_analytics_all!A:M,13,0)</f>
        <v/>
      </c>
      <c r="N18" s="10">
        <f>vlookup(E18,P3M_analytics!A:D,4,0)</f>
        <v>4</v>
      </c>
      <c r="O18" s="11">
        <f t="shared" si="3"/>
        <v>-1</v>
      </c>
      <c r="P18" s="10" t="str">
        <f>vlookup(D18,L3m_analytics_all!A:J,10,0)</f>
        <v/>
      </c>
      <c r="Q18" s="10">
        <f>vlookup(E18,P3M_analytics!A:F,6,0)</f>
        <v>0</v>
      </c>
      <c r="R18" s="12" t="str">
        <f t="shared" si="4"/>
        <v>N/A</v>
      </c>
    </row>
    <row r="19">
      <c r="A19" s="8">
        <v>20.0</v>
      </c>
      <c r="B19" s="8" t="s">
        <v>505</v>
      </c>
      <c r="C19" s="8" t="s">
        <v>506</v>
      </c>
      <c r="D19" s="8" t="s">
        <v>507</v>
      </c>
      <c r="E19" s="1" t="s">
        <v>508</v>
      </c>
      <c r="F19" s="9">
        <f>vlookup(D19,L3m_search_console_all!A:B,2,0)</f>
        <v>200</v>
      </c>
      <c r="G19" s="10">
        <f>vlookup(D19,L3m_search_console_all!A:F,6,0)</f>
        <v>0</v>
      </c>
      <c r="H19" s="10">
        <f>vlookup(D19,P3m_search_console!A:F,6,0)</f>
        <v>0</v>
      </c>
      <c r="I19" s="11" t="str">
        <f t="shared" si="1"/>
        <v>N/A</v>
      </c>
      <c r="J19" s="10">
        <f>vlookup(D19,L3m_search_console_all!A:G,7,0)</f>
        <v>14</v>
      </c>
      <c r="K19" s="10">
        <f>vlookup(D19,P3m_search_console!A:G,7,0)</f>
        <v>2</v>
      </c>
      <c r="L19" s="11">
        <f t="shared" si="2"/>
        <v>6</v>
      </c>
      <c r="M19" s="10">
        <f>vlookup(D19,L3m_analytics_all!A:M,13,0)</f>
        <v>1</v>
      </c>
      <c r="N19" s="10" t="str">
        <f>vlookup(E19,P3M_analytics!A:D,4,0)</f>
        <v>#N/A</v>
      </c>
      <c r="O19" s="11" t="str">
        <f t="shared" si="3"/>
        <v>#N/A</v>
      </c>
      <c r="P19" s="10">
        <f>vlookup(D19,L3m_analytics_all!A:J,10,0)</f>
        <v>0</v>
      </c>
      <c r="Q19" s="10" t="str">
        <f>vlookup(E19,P3M_analytics!A:F,6,0)</f>
        <v>#N/A</v>
      </c>
      <c r="R19" s="12" t="str">
        <f t="shared" si="4"/>
        <v>#N/A</v>
      </c>
    </row>
    <row r="20">
      <c r="A20" s="8">
        <v>21.0</v>
      </c>
      <c r="B20" s="8" t="s">
        <v>509</v>
      </c>
      <c r="C20" s="8" t="s">
        <v>510</v>
      </c>
      <c r="D20" s="8" t="s">
        <v>511</v>
      </c>
      <c r="E20" s="1" t="s">
        <v>512</v>
      </c>
      <c r="F20" s="9">
        <f>vlookup(D20,L3m_search_console_all!A:B,2,0)</f>
        <v>200</v>
      </c>
      <c r="G20" s="10" t="str">
        <f>vlookup(D20,L3m_search_console_all!A:F,6,0)</f>
        <v/>
      </c>
      <c r="H20" s="10" t="str">
        <f>vlookup(D20,P3m_search_console!A:F,6,0)</f>
        <v/>
      </c>
      <c r="I20" s="11" t="str">
        <f t="shared" si="1"/>
        <v>N/A</v>
      </c>
      <c r="J20" s="10" t="str">
        <f>vlookup(D20,L3m_search_console_all!A:G,7,0)</f>
        <v/>
      </c>
      <c r="K20" s="10" t="str">
        <f>vlookup(D20,P3m_search_console!A:G,7,0)</f>
        <v/>
      </c>
      <c r="L20" s="11" t="str">
        <f t="shared" si="2"/>
        <v>N/A</v>
      </c>
      <c r="M20" s="10" t="str">
        <f>vlookup(D20,L3m_analytics_all!A:M,13,0)</f>
        <v/>
      </c>
      <c r="N20" s="10" t="str">
        <f>vlookup(E20,P3M_analytics!A:D,4,0)</f>
        <v>#N/A</v>
      </c>
      <c r="O20" s="11" t="str">
        <f t="shared" si="3"/>
        <v>#N/A</v>
      </c>
      <c r="P20" s="10" t="str">
        <f>vlookup(D20,L3m_analytics_all!A:J,10,0)</f>
        <v/>
      </c>
      <c r="Q20" s="10" t="str">
        <f>vlookup(E20,P3M_analytics!A:F,6,0)</f>
        <v>#N/A</v>
      </c>
      <c r="R20" s="12" t="str">
        <f t="shared" si="4"/>
        <v>#N/A</v>
      </c>
    </row>
    <row r="21">
      <c r="A21" s="8">
        <v>30.0</v>
      </c>
      <c r="B21" s="8" t="s">
        <v>513</v>
      </c>
      <c r="C21" s="8" t="s">
        <v>514</v>
      </c>
      <c r="D21" s="8" t="s">
        <v>515</v>
      </c>
      <c r="E21" s="1" t="s">
        <v>516</v>
      </c>
      <c r="F21" s="9">
        <f>vlookup(D21,L3m_search_console_all!A:B,2,0)</f>
        <v>200</v>
      </c>
      <c r="G21" s="10">
        <f>vlookup(D21,L3m_search_console_all!A:F,6,0)</f>
        <v>0</v>
      </c>
      <c r="H21" s="10">
        <f>vlookup(D21,P3m_search_console!A:F,6,0)</f>
        <v>0</v>
      </c>
      <c r="I21" s="11" t="str">
        <f t="shared" si="1"/>
        <v>N/A</v>
      </c>
      <c r="J21" s="10">
        <f>vlookup(D21,L3m_search_console_all!A:G,7,0)</f>
        <v>252</v>
      </c>
      <c r="K21" s="10">
        <f>vlookup(D21,P3m_search_console!A:G,7,0)</f>
        <v>635</v>
      </c>
      <c r="L21" s="11">
        <f t="shared" si="2"/>
        <v>-0.6031496063</v>
      </c>
      <c r="M21" s="10">
        <f>vlookup(D21,L3m_analytics_all!A:M,13,0)</f>
        <v>1</v>
      </c>
      <c r="N21" s="10" t="str">
        <f>vlookup(E21,P3M_analytics!A:D,4,0)</f>
        <v>#N/A</v>
      </c>
      <c r="O21" s="11" t="str">
        <f t="shared" si="3"/>
        <v>#N/A</v>
      </c>
      <c r="P21" s="10">
        <f>vlookup(D21,L3m_analytics_all!A:J,10,0)</f>
        <v>0</v>
      </c>
      <c r="Q21" s="10" t="str">
        <f>vlookup(E21,P3M_analytics!A:F,6,0)</f>
        <v>#N/A</v>
      </c>
      <c r="R21" s="12" t="str">
        <f t="shared" si="4"/>
        <v>#N/A</v>
      </c>
    </row>
    <row r="22">
      <c r="A22" s="8">
        <v>31.0</v>
      </c>
      <c r="B22" s="8" t="s">
        <v>517</v>
      </c>
      <c r="C22" s="8" t="s">
        <v>518</v>
      </c>
      <c r="D22" s="8" t="s">
        <v>519</v>
      </c>
      <c r="E22" s="1" t="s">
        <v>520</v>
      </c>
      <c r="F22" s="9">
        <f>vlookup(D22,L3m_search_console_all!A:B,2,0)</f>
        <v>200</v>
      </c>
      <c r="G22" s="10">
        <f>vlookup(D22,L3m_search_console_all!A:F,6,0)</f>
        <v>1</v>
      </c>
      <c r="H22" s="10">
        <f>vlookup(D22,P3m_search_console!A:F,6,0)</f>
        <v>0</v>
      </c>
      <c r="I22" s="11" t="str">
        <f t="shared" si="1"/>
        <v>N/A</v>
      </c>
      <c r="J22" s="10">
        <f>vlookup(D22,L3m_search_console_all!A:G,7,0)</f>
        <v>1534</v>
      </c>
      <c r="K22" s="10">
        <f>vlookup(D22,P3m_search_console!A:G,7,0)</f>
        <v>3324</v>
      </c>
      <c r="L22" s="11">
        <f t="shared" si="2"/>
        <v>-0.5385078219</v>
      </c>
      <c r="M22" s="10">
        <f>vlookup(D22,L3m_analytics_all!A:M,13,0)</f>
        <v>2</v>
      </c>
      <c r="N22" s="10">
        <f>vlookup(E22,P3M_analytics!A:D,4,0)</f>
        <v>5</v>
      </c>
      <c r="O22" s="11">
        <f t="shared" si="3"/>
        <v>-0.6</v>
      </c>
      <c r="P22" s="10">
        <f>vlookup(D22,L3m_analytics_all!A:J,10,0)</f>
        <v>0</v>
      </c>
      <c r="Q22" s="10">
        <f>vlookup(E22,P3M_analytics!A:F,6,0)</f>
        <v>0</v>
      </c>
      <c r="R22" s="12" t="str">
        <f t="shared" si="4"/>
        <v>N/A</v>
      </c>
    </row>
    <row r="23">
      <c r="A23" s="8">
        <v>32.0</v>
      </c>
      <c r="B23" s="8" t="s">
        <v>521</v>
      </c>
      <c r="C23" s="8" t="s">
        <v>522</v>
      </c>
      <c r="D23" s="8" t="s">
        <v>523</v>
      </c>
      <c r="E23" s="1" t="s">
        <v>524</v>
      </c>
      <c r="F23" s="9">
        <f>vlookup(D23,L3m_search_console_all!A:B,2,0)</f>
        <v>200</v>
      </c>
      <c r="G23" s="10">
        <f>vlookup(D23,L3m_search_console_all!A:F,6,0)</f>
        <v>0</v>
      </c>
      <c r="H23" s="10">
        <f>vlookup(D23,P3m_search_console!A:F,6,0)</f>
        <v>0</v>
      </c>
      <c r="I23" s="11" t="str">
        <f t="shared" si="1"/>
        <v>N/A</v>
      </c>
      <c r="J23" s="10">
        <f>vlookup(D23,L3m_search_console_all!A:G,7,0)</f>
        <v>7</v>
      </c>
      <c r="K23" s="10">
        <f>vlookup(D23,P3m_search_console!A:G,7,0)</f>
        <v>55</v>
      </c>
      <c r="L23" s="11">
        <f t="shared" si="2"/>
        <v>-0.8727272727</v>
      </c>
      <c r="M23" s="10" t="str">
        <f>vlookup(D23,L3m_analytics_all!A:M,13,0)</f>
        <v/>
      </c>
      <c r="N23" s="10">
        <f>vlookup(E23,P3M_analytics!A:D,4,0)</f>
        <v>1</v>
      </c>
      <c r="O23" s="11">
        <f t="shared" si="3"/>
        <v>-1</v>
      </c>
      <c r="P23" s="10" t="str">
        <f>vlookup(D23,L3m_analytics_all!A:J,10,0)</f>
        <v/>
      </c>
      <c r="Q23" s="10">
        <f>vlookup(E23,P3M_analytics!A:F,6,0)</f>
        <v>0</v>
      </c>
      <c r="R23" s="12" t="str">
        <f t="shared" si="4"/>
        <v>N/A</v>
      </c>
    </row>
    <row r="24">
      <c r="A24" s="8">
        <v>35.0</v>
      </c>
      <c r="B24" s="8" t="s">
        <v>525</v>
      </c>
      <c r="C24" s="8" t="s">
        <v>526</v>
      </c>
      <c r="D24" s="8" t="s">
        <v>527</v>
      </c>
      <c r="E24" s="1" t="s">
        <v>528</v>
      </c>
      <c r="F24" s="9">
        <f>vlookup(D24,L3m_search_console_all!A:B,2,0)</f>
        <v>200</v>
      </c>
      <c r="G24" s="10">
        <f>vlookup(D24,L3m_search_console_all!A:F,6,0)</f>
        <v>1</v>
      </c>
      <c r="H24" s="10">
        <f>vlookup(D24,P3m_search_console!A:F,6,0)</f>
        <v>0</v>
      </c>
      <c r="I24" s="11" t="str">
        <f t="shared" si="1"/>
        <v>N/A</v>
      </c>
      <c r="J24" s="10">
        <f>vlookup(D24,L3m_search_console_all!A:G,7,0)</f>
        <v>760</v>
      </c>
      <c r="K24" s="10">
        <f>vlookup(D24,P3m_search_console!A:G,7,0)</f>
        <v>2258</v>
      </c>
      <c r="L24" s="11">
        <f t="shared" si="2"/>
        <v>-0.6634189548</v>
      </c>
      <c r="M24" s="10">
        <f>vlookup(D24,L3m_analytics_all!A:M,13,0)</f>
        <v>3</v>
      </c>
      <c r="N24" s="10">
        <f>vlookup(E24,P3M_analytics!A:D,4,0)</f>
        <v>2</v>
      </c>
      <c r="O24" s="11">
        <f t="shared" si="3"/>
        <v>0.5</v>
      </c>
      <c r="P24" s="10">
        <f>vlookup(D24,L3m_analytics_all!A:J,10,0)</f>
        <v>0</v>
      </c>
      <c r="Q24" s="10">
        <f>vlookup(E24,P3M_analytics!A:F,6,0)</f>
        <v>0</v>
      </c>
      <c r="R24" s="12" t="str">
        <f t="shared" si="4"/>
        <v>N/A</v>
      </c>
    </row>
    <row r="25">
      <c r="A25" s="8">
        <v>36.0</v>
      </c>
      <c r="B25" s="8" t="s">
        <v>529</v>
      </c>
      <c r="C25" s="8" t="s">
        <v>530</v>
      </c>
      <c r="D25" s="8" t="s">
        <v>531</v>
      </c>
      <c r="E25" s="1" t="s">
        <v>532</v>
      </c>
      <c r="F25" s="9">
        <f>vlookup(D25,L3m_search_console_all!A:B,2,0)</f>
        <v>200</v>
      </c>
      <c r="G25" s="10" t="str">
        <f>vlookup(D25,L3m_search_console_all!A:F,6,0)</f>
        <v/>
      </c>
      <c r="H25" s="10">
        <f>vlookup(D25,P3m_search_console!A:F,6,0)</f>
        <v>0</v>
      </c>
      <c r="I25" s="11" t="str">
        <f t="shared" si="1"/>
        <v>N/A</v>
      </c>
      <c r="J25" s="10" t="str">
        <f>vlookup(D25,L3m_search_console_all!A:G,7,0)</f>
        <v/>
      </c>
      <c r="K25" s="10">
        <f>vlookup(D25,P3m_search_console!A:G,7,0)</f>
        <v>12</v>
      </c>
      <c r="L25" s="11">
        <f t="shared" si="2"/>
        <v>-1</v>
      </c>
      <c r="M25" s="10">
        <f>vlookup(D25,L3m_analytics_all!A:M,13,0)</f>
        <v>2</v>
      </c>
      <c r="N25" s="10" t="str">
        <f>vlookup(E25,P3M_analytics!A:D,4,0)</f>
        <v>#N/A</v>
      </c>
      <c r="O25" s="11" t="str">
        <f t="shared" si="3"/>
        <v>#N/A</v>
      </c>
      <c r="P25" s="10">
        <f>vlookup(D25,L3m_analytics_all!A:J,10,0)</f>
        <v>0</v>
      </c>
      <c r="Q25" s="10" t="str">
        <f>vlookup(E25,P3M_analytics!A:F,6,0)</f>
        <v>#N/A</v>
      </c>
      <c r="R25" s="12" t="str">
        <f t="shared" si="4"/>
        <v>#N/A</v>
      </c>
    </row>
    <row r="26">
      <c r="A26" s="8">
        <v>38.0</v>
      </c>
      <c r="B26" s="8" t="s">
        <v>533</v>
      </c>
      <c r="C26" s="8" t="s">
        <v>534</v>
      </c>
      <c r="D26" s="8" t="s">
        <v>535</v>
      </c>
      <c r="E26" s="1" t="s">
        <v>536</v>
      </c>
      <c r="F26" s="9">
        <f>vlookup(D26,L3m_search_console_all!A:B,2,0)</f>
        <v>200</v>
      </c>
      <c r="G26" s="10">
        <f>vlookup(D26,L3m_search_console_all!A:F,6,0)</f>
        <v>0</v>
      </c>
      <c r="H26" s="10">
        <f>vlookup(D26,P3m_search_console!A:F,6,0)</f>
        <v>0</v>
      </c>
      <c r="I26" s="11" t="str">
        <f t="shared" si="1"/>
        <v>N/A</v>
      </c>
      <c r="J26" s="10">
        <f>vlookup(D26,L3m_search_console_all!A:G,7,0)</f>
        <v>253</v>
      </c>
      <c r="K26" s="10">
        <f>vlookup(D26,P3m_search_console!A:G,7,0)</f>
        <v>695</v>
      </c>
      <c r="L26" s="11">
        <f t="shared" si="2"/>
        <v>-0.635971223</v>
      </c>
      <c r="M26" s="10">
        <f>vlookup(D26,L3m_analytics_all!A:M,13,0)</f>
        <v>1</v>
      </c>
      <c r="N26" s="10" t="str">
        <f>vlookup(E26,P3M_analytics!A:D,4,0)</f>
        <v>#N/A</v>
      </c>
      <c r="O26" s="11" t="str">
        <f t="shared" si="3"/>
        <v>#N/A</v>
      </c>
      <c r="P26" s="10">
        <f>vlookup(D26,L3m_analytics_all!A:J,10,0)</f>
        <v>0</v>
      </c>
      <c r="Q26" s="10" t="str">
        <f>vlookup(E26,P3M_analytics!A:F,6,0)</f>
        <v>#N/A</v>
      </c>
      <c r="R26" s="12" t="str">
        <f t="shared" si="4"/>
        <v>#N/A</v>
      </c>
    </row>
    <row r="27">
      <c r="A27" s="8">
        <v>39.0</v>
      </c>
      <c r="B27" s="8" t="s">
        <v>537</v>
      </c>
      <c r="C27" s="8" t="s">
        <v>538</v>
      </c>
      <c r="D27" s="8" t="s">
        <v>539</v>
      </c>
      <c r="E27" s="1" t="s">
        <v>540</v>
      </c>
      <c r="F27" s="9">
        <f>vlookup(D27,L3m_search_console_all!A:B,2,0)</f>
        <v>200</v>
      </c>
      <c r="G27" s="10">
        <f>vlookup(D27,L3m_search_console_all!A:F,6,0)</f>
        <v>0</v>
      </c>
      <c r="H27" s="10">
        <f>vlookup(D27,P3m_search_console!A:F,6,0)</f>
        <v>0</v>
      </c>
      <c r="I27" s="11" t="str">
        <f t="shared" si="1"/>
        <v>N/A</v>
      </c>
      <c r="J27" s="10">
        <f>vlookup(D27,L3m_search_console_all!A:G,7,0)</f>
        <v>176</v>
      </c>
      <c r="K27" s="10">
        <f>vlookup(D27,P3m_search_console!A:G,7,0)</f>
        <v>411</v>
      </c>
      <c r="L27" s="11">
        <f t="shared" si="2"/>
        <v>-0.5717761557</v>
      </c>
      <c r="M27" s="10">
        <f>vlookup(D27,L3m_analytics_all!A:M,13,0)</f>
        <v>2</v>
      </c>
      <c r="N27" s="10">
        <f>vlookup(E27,P3M_analytics!A:D,4,0)</f>
        <v>2</v>
      </c>
      <c r="O27" s="11">
        <f t="shared" si="3"/>
        <v>0</v>
      </c>
      <c r="P27" s="10">
        <f>vlookup(D27,L3m_analytics_all!A:J,10,0)</f>
        <v>0</v>
      </c>
      <c r="Q27" s="10">
        <f>vlookup(E27,P3M_analytics!A:F,6,0)</f>
        <v>0</v>
      </c>
      <c r="R27" s="12" t="str">
        <f t="shared" si="4"/>
        <v>N/A</v>
      </c>
    </row>
    <row r="28">
      <c r="A28" s="8">
        <v>42.0</v>
      </c>
      <c r="B28" s="8" t="s">
        <v>541</v>
      </c>
      <c r="C28" s="8" t="s">
        <v>542</v>
      </c>
      <c r="D28" s="8" t="s">
        <v>543</v>
      </c>
      <c r="E28" s="1" t="s">
        <v>544</v>
      </c>
      <c r="F28" s="9">
        <f>vlookup(D28,L3m_search_console_all!A:B,2,0)</f>
        <v>200</v>
      </c>
      <c r="G28" s="10">
        <f>vlookup(D28,L3m_search_console_all!A:F,6,0)</f>
        <v>1</v>
      </c>
      <c r="H28" s="10">
        <f>vlookup(D28,P3m_search_console!A:F,6,0)</f>
        <v>0</v>
      </c>
      <c r="I28" s="11" t="str">
        <f t="shared" si="1"/>
        <v>N/A</v>
      </c>
      <c r="J28" s="10">
        <f>vlookup(D28,L3m_search_console_all!A:G,7,0)</f>
        <v>5</v>
      </c>
      <c r="K28" s="10">
        <f>vlookup(D28,P3m_search_console!A:G,7,0)</f>
        <v>6</v>
      </c>
      <c r="L28" s="11">
        <f t="shared" si="2"/>
        <v>-0.1666666667</v>
      </c>
      <c r="M28" s="10">
        <f>vlookup(D28,L3m_analytics_all!A:M,13,0)</f>
        <v>2</v>
      </c>
      <c r="N28" s="10" t="str">
        <f>vlookup(E28,P3M_analytics!A:D,4,0)</f>
        <v>#N/A</v>
      </c>
      <c r="O28" s="11" t="str">
        <f t="shared" si="3"/>
        <v>#N/A</v>
      </c>
      <c r="P28" s="10">
        <f>vlookup(D28,L3m_analytics_all!A:J,10,0)</f>
        <v>0</v>
      </c>
      <c r="Q28" s="10" t="str">
        <f>vlookup(E28,P3M_analytics!A:F,6,0)</f>
        <v>#N/A</v>
      </c>
      <c r="R28" s="12" t="str">
        <f t="shared" si="4"/>
        <v>#N/A</v>
      </c>
    </row>
  </sheetData>
  <conditionalFormatting sqref="I2:I28 L2:L28 O2:O28 R2:R28">
    <cfRule type="cellIs" dxfId="0" priority="1" operator="greaterThan">
      <formula>0</formula>
    </cfRule>
  </conditionalFormatting>
  <conditionalFormatting sqref="I2:I28 L2:L28 O2:O28 R2:R28">
    <cfRule type="cellIs" dxfId="1" priority="2" operator="lessThan">
      <formula>0</formula>
    </cfRule>
  </conditionalFormatting>
  <hyperlinks>
    <hyperlink r:id="rId1" ref="D10"/>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0"/>
    <col customWidth="1" min="2" max="2" width="21.88"/>
    <col customWidth="1" min="3" max="3" width="30.63"/>
    <col customWidth="1" min="4" max="4" width="48.13"/>
    <col customWidth="1" min="5" max="5" width="10.5"/>
    <col customWidth="1" min="6" max="6" width="12.25"/>
    <col customWidth="1" min="7" max="7" width="10.5"/>
    <col customWidth="1" min="8" max="8" width="13.13"/>
    <col customWidth="1" min="9" max="9" width="14.88"/>
    <col customWidth="1" min="10" max="10" width="10.5"/>
    <col customWidth="1" min="11" max="26" width="7.63"/>
  </cols>
  <sheetData>
    <row r="1">
      <c r="A1" s="5" t="s">
        <v>229</v>
      </c>
      <c r="B1" s="5" t="s">
        <v>421</v>
      </c>
      <c r="C1" s="5" t="s">
        <v>422</v>
      </c>
      <c r="D1" s="5" t="s">
        <v>423</v>
      </c>
      <c r="E1" s="5" t="s">
        <v>425</v>
      </c>
      <c r="F1" s="5" t="s">
        <v>545</v>
      </c>
      <c r="G1" s="5" t="s">
        <v>546</v>
      </c>
      <c r="H1" s="5" t="s">
        <v>428</v>
      </c>
      <c r="I1" s="5" t="s">
        <v>547</v>
      </c>
      <c r="J1" s="5" t="s">
        <v>546</v>
      </c>
    </row>
    <row r="2">
      <c r="A2" s="8">
        <v>1.0</v>
      </c>
      <c r="B2" s="8" t="s">
        <v>437</v>
      </c>
      <c r="C2" s="8" t="s">
        <v>438</v>
      </c>
      <c r="D2" s="8" t="s">
        <v>439</v>
      </c>
      <c r="E2" s="10">
        <f>vlookup(D2,L3m_search_console_all!A:F,6,0)</f>
        <v>57</v>
      </c>
      <c r="F2" s="10">
        <f>vlookup(D2,L3M_LY_search_console!A:B,2,0)</f>
        <v>54</v>
      </c>
      <c r="G2" s="11">
        <f t="shared" ref="G2:G28" si="1">IF(F2&gt;0,(E2-F2)/F2,"N/A")</f>
        <v>0.05555555556</v>
      </c>
      <c r="H2" s="10">
        <f>vlookup(D2,L3m_search_console_all!A:G,7,0)</f>
        <v>19373</v>
      </c>
      <c r="I2" s="10">
        <f>vlookup(D2,L3M_LY_search_console!A:C,3,0)</f>
        <v>15958</v>
      </c>
      <c r="J2" s="11">
        <f t="shared" ref="J2:J28" si="2">IF(I2&gt;0,(H2-I2)/I2,"N/A")</f>
        <v>0.213999248</v>
      </c>
    </row>
    <row r="3">
      <c r="A3" s="8">
        <v>2.0</v>
      </c>
      <c r="B3" s="8" t="s">
        <v>441</v>
      </c>
      <c r="C3" s="8" t="s">
        <v>442</v>
      </c>
      <c r="D3" s="8" t="s">
        <v>443</v>
      </c>
      <c r="E3" s="10">
        <f>vlookup(D3,L3m_search_console_all!A:F,6,0)</f>
        <v>2</v>
      </c>
      <c r="F3" s="10" t="str">
        <f>vlookup(D3,L3M_LY_search_console!A:B,2,0)</f>
        <v>#N/A</v>
      </c>
      <c r="G3" s="11" t="str">
        <f t="shared" si="1"/>
        <v>#N/A</v>
      </c>
      <c r="H3" s="10">
        <f>vlookup(D3,L3m_search_console_all!A:G,7,0)</f>
        <v>1703</v>
      </c>
      <c r="I3" s="10" t="str">
        <f>vlookup(D3,L3M_LY_search_console!A:C,3,0)</f>
        <v>#N/A</v>
      </c>
      <c r="J3" s="11" t="str">
        <f t="shared" si="2"/>
        <v>#N/A</v>
      </c>
    </row>
    <row r="4">
      <c r="A4" s="8">
        <v>3.0</v>
      </c>
      <c r="B4" s="8" t="s">
        <v>445</v>
      </c>
      <c r="C4" s="8" t="s">
        <v>446</v>
      </c>
      <c r="D4" s="8" t="s">
        <v>447</v>
      </c>
      <c r="E4" s="10">
        <f>vlookup(D4,L3m_search_console_all!A:F,6,0)</f>
        <v>7</v>
      </c>
      <c r="F4" s="10">
        <f>vlookup(D4,L3M_LY_search_console!A:B,2,0)</f>
        <v>29</v>
      </c>
      <c r="G4" s="11">
        <f t="shared" si="1"/>
        <v>-0.7586206897</v>
      </c>
      <c r="H4" s="10">
        <f>vlookup(D4,L3m_search_console_all!A:G,7,0)</f>
        <v>12101</v>
      </c>
      <c r="I4" s="10">
        <f>vlookup(D4,L3M_LY_search_console!A:C,3,0)</f>
        <v>16016</v>
      </c>
      <c r="J4" s="11">
        <f t="shared" si="2"/>
        <v>-0.2444430569</v>
      </c>
    </row>
    <row r="5">
      <c r="A5" s="8">
        <v>4.0</v>
      </c>
      <c r="B5" s="8" t="s">
        <v>449</v>
      </c>
      <c r="C5" s="8" t="s">
        <v>450</v>
      </c>
      <c r="D5" s="8" t="s">
        <v>451</v>
      </c>
      <c r="E5" s="10">
        <f>vlookup(D5,L3m_search_console_all!A:F,6,0)</f>
        <v>2</v>
      </c>
      <c r="F5" s="10">
        <f>vlookup(D5,L3M_LY_search_console!A:B,2,0)</f>
        <v>2</v>
      </c>
      <c r="G5" s="11">
        <f t="shared" si="1"/>
        <v>0</v>
      </c>
      <c r="H5" s="10">
        <f>vlookup(D5,L3m_search_console_all!A:G,7,0)</f>
        <v>3310</v>
      </c>
      <c r="I5" s="10">
        <f>vlookup(D5,L3M_LY_search_console!A:C,3,0)</f>
        <v>8796</v>
      </c>
      <c r="J5" s="11">
        <f t="shared" si="2"/>
        <v>-0.6236925875</v>
      </c>
    </row>
    <row r="6">
      <c r="A6" s="8">
        <v>5.0</v>
      </c>
      <c r="B6" s="8" t="s">
        <v>453</v>
      </c>
      <c r="C6" s="8" t="s">
        <v>454</v>
      </c>
      <c r="D6" s="8" t="s">
        <v>455</v>
      </c>
      <c r="E6" s="10">
        <f>vlookup(D6,L3m_search_console_all!A:F,6,0)</f>
        <v>1</v>
      </c>
      <c r="F6" s="10">
        <f>vlookup(D6,L3M_LY_search_console!A:B,2,0)</f>
        <v>1</v>
      </c>
      <c r="G6" s="11">
        <f t="shared" si="1"/>
        <v>0</v>
      </c>
      <c r="H6" s="10">
        <f>vlookup(D6,L3m_search_console_all!A:G,7,0)</f>
        <v>2110</v>
      </c>
      <c r="I6" s="10">
        <f>vlookup(D6,L3M_LY_search_console!A:C,3,0)</f>
        <v>6838</v>
      </c>
      <c r="J6" s="11">
        <f t="shared" si="2"/>
        <v>-0.6914302428</v>
      </c>
    </row>
    <row r="7">
      <c r="A7" s="8">
        <v>6.0</v>
      </c>
      <c r="B7" s="8" t="s">
        <v>457</v>
      </c>
      <c r="C7" s="8" t="s">
        <v>458</v>
      </c>
      <c r="D7" s="8" t="s">
        <v>459</v>
      </c>
      <c r="E7" s="10">
        <f>vlookup(D7,L3m_search_console_all!A:F,6,0)</f>
        <v>0</v>
      </c>
      <c r="F7" s="10">
        <f>vlookup(D7,L3M_LY_search_console!A:B,2,0)</f>
        <v>0</v>
      </c>
      <c r="G7" s="11" t="str">
        <f t="shared" si="1"/>
        <v>N/A</v>
      </c>
      <c r="H7" s="10">
        <f>vlookup(D7,L3m_search_console_all!A:G,7,0)</f>
        <v>535</v>
      </c>
      <c r="I7" s="10">
        <f>vlookup(D7,L3M_LY_search_console!A:C,3,0)</f>
        <v>892</v>
      </c>
      <c r="J7" s="11">
        <f t="shared" si="2"/>
        <v>-0.4002242152</v>
      </c>
    </row>
    <row r="8">
      <c r="A8" s="8">
        <v>7.0</v>
      </c>
      <c r="B8" s="8" t="s">
        <v>461</v>
      </c>
      <c r="C8" s="8" t="s">
        <v>462</v>
      </c>
      <c r="D8" s="8" t="s">
        <v>463</v>
      </c>
      <c r="E8" s="10">
        <f>vlookup(D8,L3m_search_console_all!A:F,6,0)</f>
        <v>2</v>
      </c>
      <c r="F8" s="10">
        <f>vlookup(D8,L3M_LY_search_console!A:B,2,0)</f>
        <v>6</v>
      </c>
      <c r="G8" s="11">
        <f t="shared" si="1"/>
        <v>-0.6666666667</v>
      </c>
      <c r="H8" s="10">
        <f>vlookup(D8,L3m_search_console_all!A:G,7,0)</f>
        <v>499</v>
      </c>
      <c r="I8" s="10">
        <f>vlookup(D8,L3M_LY_search_console!A:C,3,0)</f>
        <v>2126</v>
      </c>
      <c r="J8" s="11">
        <f t="shared" si="2"/>
        <v>-0.7652869238</v>
      </c>
    </row>
    <row r="9">
      <c r="A9" s="8">
        <v>8.0</v>
      </c>
      <c r="B9" s="8" t="s">
        <v>465</v>
      </c>
      <c r="C9" s="8" t="s">
        <v>466</v>
      </c>
      <c r="D9" s="8" t="s">
        <v>467</v>
      </c>
      <c r="E9" s="10">
        <f>vlookup(D9,L3m_search_console_all!A:F,6,0)</f>
        <v>0</v>
      </c>
      <c r="F9" s="10">
        <f>vlookup(D9,L3M_LY_search_console!A:B,2,0)</f>
        <v>0</v>
      </c>
      <c r="G9" s="11" t="str">
        <f t="shared" si="1"/>
        <v>N/A</v>
      </c>
      <c r="H9" s="10">
        <f>vlookup(D9,L3m_search_console_all!A:G,7,0)</f>
        <v>112</v>
      </c>
      <c r="I9" s="10">
        <f>vlookup(D9,L3M_LY_search_console!A:C,3,0)</f>
        <v>476</v>
      </c>
      <c r="J9" s="11">
        <f t="shared" si="2"/>
        <v>-0.7647058824</v>
      </c>
    </row>
    <row r="10">
      <c r="A10" s="8">
        <v>10.0</v>
      </c>
      <c r="B10" s="8" t="s">
        <v>469</v>
      </c>
      <c r="C10" s="8" t="s">
        <v>470</v>
      </c>
      <c r="D10" s="8" t="s">
        <v>471</v>
      </c>
      <c r="E10" s="10">
        <f>vlookup(D10,L3m_search_console_all!A:F,6,0)</f>
        <v>0</v>
      </c>
      <c r="F10" s="10">
        <f>vlookup(D10,L3M_LY_search_console!A:B,2,0)</f>
        <v>0</v>
      </c>
      <c r="G10" s="11" t="str">
        <f t="shared" si="1"/>
        <v>N/A</v>
      </c>
      <c r="H10" s="10">
        <f>vlookup(D10,L3m_search_console_all!A:G,7,0)</f>
        <v>58</v>
      </c>
      <c r="I10" s="10">
        <f>vlookup(D10,L3M_LY_search_console!A:C,3,0)</f>
        <v>44</v>
      </c>
      <c r="J10" s="11">
        <f t="shared" si="2"/>
        <v>0.3181818182</v>
      </c>
    </row>
    <row r="11">
      <c r="A11" s="8">
        <v>11.0</v>
      </c>
      <c r="B11" s="8" t="s">
        <v>473</v>
      </c>
      <c r="C11" s="8" t="s">
        <v>474</v>
      </c>
      <c r="D11" s="8" t="s">
        <v>475</v>
      </c>
      <c r="E11" s="10">
        <f>vlookup(D11,L3m_search_console_all!A:F,6,0)</f>
        <v>4</v>
      </c>
      <c r="F11" s="10">
        <f>vlookup(D11,L3M_LY_search_console!A:B,2,0)</f>
        <v>8</v>
      </c>
      <c r="G11" s="11">
        <f t="shared" si="1"/>
        <v>-0.5</v>
      </c>
      <c r="H11" s="10">
        <f>vlookup(D11,L3m_search_console_all!A:G,7,0)</f>
        <v>1454</v>
      </c>
      <c r="I11" s="10">
        <f>vlookup(D11,L3M_LY_search_console!A:C,3,0)</f>
        <v>3452</v>
      </c>
      <c r="J11" s="11">
        <f t="shared" si="2"/>
        <v>-0.5787949015</v>
      </c>
    </row>
    <row r="12">
      <c r="A12" s="8">
        <v>12.0</v>
      </c>
      <c r="B12" s="8" t="s">
        <v>477</v>
      </c>
      <c r="C12" s="8" t="s">
        <v>478</v>
      </c>
      <c r="D12" s="8" t="s">
        <v>479</v>
      </c>
      <c r="E12" s="10">
        <f>vlookup(D12,L3m_search_console_all!A:F,6,0)</f>
        <v>1</v>
      </c>
      <c r="F12" s="10">
        <f>vlookup(D12,L3M_LY_search_console!A:B,2,0)</f>
        <v>0</v>
      </c>
      <c r="G12" s="11" t="str">
        <f t="shared" si="1"/>
        <v>N/A</v>
      </c>
      <c r="H12" s="10">
        <f>vlookup(D12,L3m_search_console_all!A:G,7,0)</f>
        <v>475</v>
      </c>
      <c r="I12" s="10">
        <f>vlookup(D12,L3M_LY_search_console!A:C,3,0)</f>
        <v>396</v>
      </c>
      <c r="J12" s="11">
        <f t="shared" si="2"/>
        <v>0.1994949495</v>
      </c>
    </row>
    <row r="13">
      <c r="A13" s="8">
        <v>13.0</v>
      </c>
      <c r="B13" s="8" t="s">
        <v>481</v>
      </c>
      <c r="C13" s="8" t="s">
        <v>482</v>
      </c>
      <c r="D13" s="8" t="s">
        <v>483</v>
      </c>
      <c r="E13" s="10">
        <f>vlookup(D13,L3m_search_console_all!A:F,6,0)</f>
        <v>0</v>
      </c>
      <c r="F13" s="10">
        <f>vlookup(D13,L3M_LY_search_console!A:B,2,0)</f>
        <v>0</v>
      </c>
      <c r="G13" s="11" t="str">
        <f t="shared" si="1"/>
        <v>N/A</v>
      </c>
      <c r="H13" s="10">
        <f>vlookup(D13,L3m_search_console_all!A:G,7,0)</f>
        <v>193</v>
      </c>
      <c r="I13" s="10">
        <f>vlookup(D13,L3M_LY_search_console!A:C,3,0)</f>
        <v>214</v>
      </c>
      <c r="J13" s="11">
        <f t="shared" si="2"/>
        <v>-0.09813084112</v>
      </c>
    </row>
    <row r="14">
      <c r="A14" s="8">
        <v>14.0</v>
      </c>
      <c r="B14" s="8" t="s">
        <v>485</v>
      </c>
      <c r="C14" s="8" t="s">
        <v>486</v>
      </c>
      <c r="D14" s="8" t="s">
        <v>487</v>
      </c>
      <c r="E14" s="10">
        <f>vlookup(D14,L3m_search_console_all!A:F,6,0)</f>
        <v>2</v>
      </c>
      <c r="F14" s="10">
        <f>vlookup(D14,L3M_LY_search_console!A:B,2,0)</f>
        <v>2</v>
      </c>
      <c r="G14" s="11">
        <f t="shared" si="1"/>
        <v>0</v>
      </c>
      <c r="H14" s="10">
        <f>vlookup(D14,L3m_search_console_all!A:G,7,0)</f>
        <v>127</v>
      </c>
      <c r="I14" s="10">
        <f>vlookup(D14,L3M_LY_search_console!A:C,3,0)</f>
        <v>236</v>
      </c>
      <c r="J14" s="11">
        <f t="shared" si="2"/>
        <v>-0.4618644068</v>
      </c>
    </row>
    <row r="15">
      <c r="A15" s="8">
        <v>15.0</v>
      </c>
      <c r="B15" s="8" t="s">
        <v>489</v>
      </c>
      <c r="C15" s="8" t="s">
        <v>490</v>
      </c>
      <c r="D15" s="8" t="s">
        <v>491</v>
      </c>
      <c r="E15" s="10">
        <f>vlookup(D15,L3m_search_console_all!A:F,6,0)</f>
        <v>0</v>
      </c>
      <c r="F15" s="10">
        <f>vlookup(D15,L3M_LY_search_console!A:B,2,0)</f>
        <v>1</v>
      </c>
      <c r="G15" s="11">
        <f t="shared" si="1"/>
        <v>-1</v>
      </c>
      <c r="H15" s="10">
        <f>vlookup(D15,L3m_search_console_all!A:G,7,0)</f>
        <v>59</v>
      </c>
      <c r="I15" s="10">
        <f>vlookup(D15,L3M_LY_search_console!A:C,3,0)</f>
        <v>7</v>
      </c>
      <c r="J15" s="11">
        <f t="shared" si="2"/>
        <v>7.428571429</v>
      </c>
    </row>
    <row r="16">
      <c r="A16" s="8">
        <v>17.0</v>
      </c>
      <c r="B16" s="8" t="s">
        <v>493</v>
      </c>
      <c r="C16" s="8" t="s">
        <v>494</v>
      </c>
      <c r="D16" s="8" t="s">
        <v>495</v>
      </c>
      <c r="E16" s="10">
        <f>vlookup(D16,L3m_search_console_all!A:F,6,0)</f>
        <v>0</v>
      </c>
      <c r="F16" s="10">
        <f>vlookup(D16,L3M_LY_search_console!A:B,2,0)</f>
        <v>0</v>
      </c>
      <c r="G16" s="11" t="str">
        <f t="shared" si="1"/>
        <v>N/A</v>
      </c>
      <c r="H16" s="10">
        <f>vlookup(D16,L3m_search_console_all!A:G,7,0)</f>
        <v>13</v>
      </c>
      <c r="I16" s="10">
        <f>vlookup(D16,L3M_LY_search_console!A:C,3,0)</f>
        <v>4</v>
      </c>
      <c r="J16" s="11">
        <f t="shared" si="2"/>
        <v>2.25</v>
      </c>
    </row>
    <row r="17">
      <c r="A17" s="8">
        <v>18.0</v>
      </c>
      <c r="B17" s="8" t="s">
        <v>497</v>
      </c>
      <c r="C17" s="8" t="s">
        <v>498</v>
      </c>
      <c r="D17" s="8" t="s">
        <v>499</v>
      </c>
      <c r="E17" s="10">
        <f>vlookup(D17,L3m_search_console_all!A:F,6,0)</f>
        <v>1</v>
      </c>
      <c r="F17" s="10">
        <f>vlookup(D17,L3M_LY_search_console!A:B,2,0)</f>
        <v>0</v>
      </c>
      <c r="G17" s="11" t="str">
        <f t="shared" si="1"/>
        <v>N/A</v>
      </c>
      <c r="H17" s="10">
        <f>vlookup(D17,L3m_search_console_all!A:G,7,0)</f>
        <v>954</v>
      </c>
      <c r="I17" s="10">
        <f>vlookup(D17,L3M_LY_search_console!A:C,3,0)</f>
        <v>2460</v>
      </c>
      <c r="J17" s="11">
        <f t="shared" si="2"/>
        <v>-0.612195122</v>
      </c>
    </row>
    <row r="18">
      <c r="A18" s="8">
        <v>19.0</v>
      </c>
      <c r="B18" s="8" t="s">
        <v>501</v>
      </c>
      <c r="C18" s="8" t="s">
        <v>502</v>
      </c>
      <c r="D18" s="8" t="s">
        <v>503</v>
      </c>
      <c r="E18" s="10">
        <f>vlookup(D18,L3m_search_console_all!A:F,6,0)</f>
        <v>0</v>
      </c>
      <c r="F18" s="10">
        <f>vlookup(D18,L3M_LY_search_console!A:B,2,0)</f>
        <v>3</v>
      </c>
      <c r="G18" s="11">
        <f t="shared" si="1"/>
        <v>-1</v>
      </c>
      <c r="H18" s="10">
        <f>vlookup(D18,L3m_search_console_all!A:G,7,0)</f>
        <v>330</v>
      </c>
      <c r="I18" s="10">
        <f>vlookup(D18,L3M_LY_search_console!A:C,3,0)</f>
        <v>446</v>
      </c>
      <c r="J18" s="11">
        <f t="shared" si="2"/>
        <v>-0.2600896861</v>
      </c>
    </row>
    <row r="19">
      <c r="A19" s="8">
        <v>20.0</v>
      </c>
      <c r="B19" s="8" t="s">
        <v>505</v>
      </c>
      <c r="C19" s="8" t="s">
        <v>506</v>
      </c>
      <c r="D19" s="8" t="s">
        <v>507</v>
      </c>
      <c r="E19" s="10">
        <f>vlookup(D19,L3m_search_console_all!A:F,6,0)</f>
        <v>0</v>
      </c>
      <c r="F19" s="10">
        <f>vlookup(D19,L3M_LY_search_console!A:B,2,0)</f>
        <v>0</v>
      </c>
      <c r="G19" s="11" t="str">
        <f t="shared" si="1"/>
        <v>N/A</v>
      </c>
      <c r="H19" s="10">
        <f>vlookup(D19,L3m_search_console_all!A:G,7,0)</f>
        <v>14</v>
      </c>
      <c r="I19" s="10">
        <f>vlookup(D19,L3M_LY_search_console!A:C,3,0)</f>
        <v>5</v>
      </c>
      <c r="J19" s="11">
        <f t="shared" si="2"/>
        <v>1.8</v>
      </c>
    </row>
    <row r="20">
      <c r="A20" s="8">
        <v>21.0</v>
      </c>
      <c r="B20" s="8" t="s">
        <v>509</v>
      </c>
      <c r="C20" s="8" t="s">
        <v>510</v>
      </c>
      <c r="D20" s="8" t="s">
        <v>511</v>
      </c>
      <c r="E20" s="10" t="str">
        <f>vlookup(D20,L3m_search_console_all!A:F,6,0)</f>
        <v/>
      </c>
      <c r="F20" s="10">
        <f>vlookup(D20,L3M_LY_search_console!A:B,2,0)</f>
        <v>0</v>
      </c>
      <c r="G20" s="11" t="str">
        <f t="shared" si="1"/>
        <v>N/A</v>
      </c>
      <c r="H20" s="10" t="str">
        <f>vlookup(D20,L3m_search_console_all!A:G,7,0)</f>
        <v/>
      </c>
      <c r="I20" s="10">
        <f>vlookup(D20,L3M_LY_search_console!A:C,3,0)</f>
        <v>616</v>
      </c>
      <c r="J20" s="11">
        <f t="shared" si="2"/>
        <v>-1</v>
      </c>
    </row>
    <row r="21">
      <c r="A21" s="8">
        <v>30.0</v>
      </c>
      <c r="B21" s="8" t="s">
        <v>513</v>
      </c>
      <c r="C21" s="8" t="s">
        <v>514</v>
      </c>
      <c r="D21" s="8" t="s">
        <v>515</v>
      </c>
      <c r="E21" s="10">
        <f>vlookup(D21,L3m_search_console_all!A:F,6,0)</f>
        <v>0</v>
      </c>
      <c r="F21" s="10">
        <f>vlookup(D21,L3M_LY_search_console!A:B,2,0)</f>
        <v>0</v>
      </c>
      <c r="G21" s="11" t="str">
        <f t="shared" si="1"/>
        <v>N/A</v>
      </c>
      <c r="H21" s="10">
        <f>vlookup(D21,L3m_search_console_all!A:G,7,0)</f>
        <v>252</v>
      </c>
      <c r="I21" s="10">
        <f>vlookup(D21,L3M_LY_search_console!A:C,3,0)</f>
        <v>73</v>
      </c>
      <c r="J21" s="11">
        <f t="shared" si="2"/>
        <v>2.452054795</v>
      </c>
    </row>
    <row r="22">
      <c r="A22" s="8">
        <v>31.0</v>
      </c>
      <c r="B22" s="8" t="s">
        <v>517</v>
      </c>
      <c r="C22" s="8" t="s">
        <v>518</v>
      </c>
      <c r="D22" s="8" t="s">
        <v>519</v>
      </c>
      <c r="E22" s="10">
        <f>vlookup(D22,L3m_search_console_all!A:F,6,0)</f>
        <v>1</v>
      </c>
      <c r="F22" s="10">
        <f>vlookup(D22,L3M_LY_search_console!A:B,2,0)</f>
        <v>6</v>
      </c>
      <c r="G22" s="11">
        <f t="shared" si="1"/>
        <v>-0.8333333333</v>
      </c>
      <c r="H22" s="10">
        <f>vlookup(D22,L3m_search_console_all!A:G,7,0)</f>
        <v>1534</v>
      </c>
      <c r="I22" s="10">
        <f>vlookup(D22,L3M_LY_search_console!A:C,3,0)</f>
        <v>3292</v>
      </c>
      <c r="J22" s="11">
        <f t="shared" si="2"/>
        <v>-0.5340218712</v>
      </c>
    </row>
    <row r="23">
      <c r="A23" s="8">
        <v>32.0</v>
      </c>
      <c r="B23" s="8" t="s">
        <v>521</v>
      </c>
      <c r="C23" s="8" t="s">
        <v>522</v>
      </c>
      <c r="D23" s="8" t="s">
        <v>523</v>
      </c>
      <c r="E23" s="10">
        <f>vlookup(D23,L3m_search_console_all!A:F,6,0)</f>
        <v>0</v>
      </c>
      <c r="F23" s="10">
        <f>vlookup(D23,L3M_LY_search_console!A:B,2,0)</f>
        <v>0</v>
      </c>
      <c r="G23" s="11" t="str">
        <f t="shared" si="1"/>
        <v>N/A</v>
      </c>
      <c r="H23" s="10">
        <f>vlookup(D23,L3m_search_console_all!A:G,7,0)</f>
        <v>7</v>
      </c>
      <c r="I23" s="10">
        <f>vlookup(D23,L3M_LY_search_console!A:C,3,0)</f>
        <v>23</v>
      </c>
      <c r="J23" s="11">
        <f t="shared" si="2"/>
        <v>-0.6956521739</v>
      </c>
    </row>
    <row r="24">
      <c r="A24" s="8">
        <v>35.0</v>
      </c>
      <c r="B24" s="8" t="s">
        <v>525</v>
      </c>
      <c r="C24" s="8" t="s">
        <v>526</v>
      </c>
      <c r="D24" s="8" t="s">
        <v>527</v>
      </c>
      <c r="E24" s="10">
        <f>vlookup(D24,L3m_search_console_all!A:F,6,0)</f>
        <v>1</v>
      </c>
      <c r="F24" s="10">
        <f>vlookup(D24,L3M_LY_search_console!A:B,2,0)</f>
        <v>2</v>
      </c>
      <c r="G24" s="11">
        <f t="shared" si="1"/>
        <v>-0.5</v>
      </c>
      <c r="H24" s="10">
        <f>vlookup(D24,L3m_search_console_all!A:G,7,0)</f>
        <v>760</v>
      </c>
      <c r="I24" s="10">
        <f>vlookup(D24,L3M_LY_search_console!A:C,3,0)</f>
        <v>596</v>
      </c>
      <c r="J24" s="11">
        <f t="shared" si="2"/>
        <v>0.2751677852</v>
      </c>
    </row>
    <row r="25">
      <c r="A25" s="8">
        <v>36.0</v>
      </c>
      <c r="B25" s="8" t="s">
        <v>529</v>
      </c>
      <c r="C25" s="8" t="s">
        <v>530</v>
      </c>
      <c r="D25" s="8" t="s">
        <v>531</v>
      </c>
      <c r="E25" s="10" t="str">
        <f>vlookup(D25,L3m_search_console_all!A:F,6,0)</f>
        <v/>
      </c>
      <c r="F25" s="10">
        <f>vlookup(D25,L3M_LY_search_console!A:B,2,0)</f>
        <v>0</v>
      </c>
      <c r="G25" s="11" t="str">
        <f t="shared" si="1"/>
        <v>N/A</v>
      </c>
      <c r="H25" s="10" t="str">
        <f>vlookup(D25,L3m_search_console_all!A:G,7,0)</f>
        <v/>
      </c>
      <c r="I25" s="10">
        <f>vlookup(D25,L3M_LY_search_console!A:C,3,0)</f>
        <v>18</v>
      </c>
      <c r="J25" s="11">
        <f t="shared" si="2"/>
        <v>-1</v>
      </c>
    </row>
    <row r="26">
      <c r="A26" s="8">
        <v>38.0</v>
      </c>
      <c r="B26" s="8" t="s">
        <v>533</v>
      </c>
      <c r="C26" s="8" t="s">
        <v>534</v>
      </c>
      <c r="D26" s="8" t="s">
        <v>535</v>
      </c>
      <c r="E26" s="10">
        <f>vlookup(D26,L3m_search_console_all!A:F,6,0)</f>
        <v>0</v>
      </c>
      <c r="F26" s="10">
        <f>vlookup(D26,L3M_LY_search_console!A:B,2,0)</f>
        <v>0</v>
      </c>
      <c r="G26" s="11" t="str">
        <f t="shared" si="1"/>
        <v>N/A</v>
      </c>
      <c r="H26" s="10">
        <f>vlookup(D26,L3m_search_console_all!A:G,7,0)</f>
        <v>253</v>
      </c>
      <c r="I26" s="10">
        <f>vlookup(D26,L3M_LY_search_console!A:C,3,0)</f>
        <v>391</v>
      </c>
      <c r="J26" s="11">
        <f t="shared" si="2"/>
        <v>-0.3529411765</v>
      </c>
    </row>
    <row r="27">
      <c r="A27" s="8">
        <v>39.0</v>
      </c>
      <c r="B27" s="8" t="s">
        <v>537</v>
      </c>
      <c r="C27" s="8" t="s">
        <v>538</v>
      </c>
      <c r="D27" s="8" t="s">
        <v>539</v>
      </c>
      <c r="E27" s="10">
        <f>vlookup(D27,L3m_search_console_all!A:F,6,0)</f>
        <v>0</v>
      </c>
      <c r="F27" s="10">
        <f>vlookup(D27,L3M_LY_search_console!A:B,2,0)</f>
        <v>0</v>
      </c>
      <c r="G27" s="11" t="str">
        <f t="shared" si="1"/>
        <v>N/A</v>
      </c>
      <c r="H27" s="10">
        <f>vlookup(D27,L3m_search_console_all!A:G,7,0)</f>
        <v>176</v>
      </c>
      <c r="I27" s="10">
        <f>vlookup(D27,L3M_LY_search_console!A:C,3,0)</f>
        <v>842</v>
      </c>
      <c r="J27" s="11">
        <f t="shared" si="2"/>
        <v>-0.7909738717</v>
      </c>
    </row>
    <row r="28">
      <c r="A28" s="8">
        <v>42.0</v>
      </c>
      <c r="B28" s="8" t="s">
        <v>541</v>
      </c>
      <c r="C28" s="8" t="s">
        <v>542</v>
      </c>
      <c r="D28" s="8" t="s">
        <v>543</v>
      </c>
      <c r="E28" s="10">
        <f>vlookup(D28,L3m_search_console_all!A:F,6,0)</f>
        <v>1</v>
      </c>
      <c r="F28" s="10">
        <f>vlookup(D28,L3M_LY_search_console!A:B,2,0)</f>
        <v>0</v>
      </c>
      <c r="G28" s="11" t="str">
        <f t="shared" si="1"/>
        <v>N/A</v>
      </c>
      <c r="H28" s="10">
        <f>vlookup(D28,L3m_search_console_all!A:G,7,0)</f>
        <v>5</v>
      </c>
      <c r="I28" s="10">
        <f>vlookup(D28,L3M_LY_search_console!A:C,3,0)</f>
        <v>316</v>
      </c>
      <c r="J28" s="11">
        <f t="shared" si="2"/>
        <v>-0.9841772152</v>
      </c>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G2:G28 J2:J28">
    <cfRule type="cellIs" dxfId="0" priority="1" operator="greaterThan">
      <formula>0</formula>
    </cfRule>
  </conditionalFormatting>
  <conditionalFormatting sqref="G2:G28 J2:J28">
    <cfRule type="cellIs" dxfId="1" priority="2" operator="lessThan">
      <formula>0</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0"/>
    <col customWidth="1" min="2" max="2" width="37.63"/>
    <col customWidth="1" min="3" max="3" width="48.13"/>
    <col customWidth="1" min="4" max="4" width="35.75"/>
    <col customWidth="1" min="5" max="5" width="10.5"/>
    <col customWidth="1" min="6" max="6" width="8.75"/>
    <col customWidth="1" min="7" max="7" width="26.25"/>
    <col customWidth="1" min="8" max="8" width="10.5"/>
    <col customWidth="1" min="9" max="9" width="8.75"/>
    <col customWidth="1" min="10" max="10" width="26.25"/>
    <col customWidth="1" min="11" max="11" width="10.5"/>
    <col customWidth="1" min="12" max="12" width="8.75"/>
  </cols>
  <sheetData>
    <row r="1">
      <c r="A1" s="5" t="s">
        <v>229</v>
      </c>
      <c r="B1" s="5" t="s">
        <v>421</v>
      </c>
      <c r="C1" s="5" t="s">
        <v>423</v>
      </c>
      <c r="D1" s="5" t="s">
        <v>548</v>
      </c>
      <c r="E1" s="5" t="s">
        <v>549</v>
      </c>
      <c r="F1" s="5" t="s">
        <v>550</v>
      </c>
      <c r="G1" s="5" t="s">
        <v>551</v>
      </c>
      <c r="H1" s="5" t="s">
        <v>552</v>
      </c>
      <c r="I1" s="5" t="s">
        <v>553</v>
      </c>
      <c r="J1" s="5" t="s">
        <v>554</v>
      </c>
      <c r="K1" s="5" t="s">
        <v>555</v>
      </c>
      <c r="L1" s="5" t="s">
        <v>556</v>
      </c>
    </row>
    <row r="2">
      <c r="A2" s="8">
        <v>1.0</v>
      </c>
      <c r="B2" s="8" t="s">
        <v>437</v>
      </c>
      <c r="C2" s="14" t="s">
        <v>439</v>
      </c>
      <c r="D2" s="10" t="str">
        <f>IFERROR(__xludf.DUMMYFUNCTION("IFERROR(INDEX(SORT(FILTER(semrush_keywords!A:D, semrush_keywords!D:D=$C2), 2, 1), 1, 1), """")"),"mary e samaan attorney photos")</f>
        <v>mary e samaan attorney photos</v>
      </c>
      <c r="E2" s="10">
        <f>IFERROR(__xludf.DUMMYFUNCTION("IFERROR(INDEX(SORT(FILTER(semrush_keywords!A:D, semrush_keywords!D:D=$C2), 2, 1), 1, 2), """")"),18.0)</f>
        <v>18</v>
      </c>
      <c r="F2" s="10">
        <f>IFERROR(__xludf.DUMMYFUNCTION("IFERROR(INDEX(SORT(FILTER(semrush_keywords!A:D, semrush_keywords!D:D=$C2), 2, 1), 1, 3), """")"),40.0)</f>
        <v>40</v>
      </c>
      <c r="G2" s="10" t="str">
        <f>IFERROR(__xludf.DUMMYFUNCTION("IFERROR(INDEX(SORT(FILTER(semrush_keywords!A:D, semrush_keywords!D:D=$C2), 2, 1), 2, 1), """")"),"lawyers in texas city tx")</f>
        <v>lawyers in texas city tx</v>
      </c>
      <c r="H2" s="10">
        <f>IFERROR(__xludf.DUMMYFUNCTION("IFERROR(INDEX(SORT(FILTER(semrush_keywords!A:D, semrush_keywords!D:D=$C2), 2, 1), 2, 2), """")"),21.0)</f>
        <v>21</v>
      </c>
      <c r="I2" s="10">
        <f>IFERROR(__xludf.DUMMYFUNCTION("IFERROR(INDEX(SORT(FILTER(semrush_keywords!A:D, semrush_keywords!D:D=$C2), 2, 1), 2, 3), """")"),90.0)</f>
        <v>90</v>
      </c>
      <c r="J2" s="10" t="str">
        <f>IFERROR(__xludf.DUMMYFUNCTION("IFERROR(INDEX(SORT(FILTER(semrush_keywords!$A:$D, semrush_keywords!$D:$D=$C2), 2, 1), 3, 1), """")"),"scott and associates houston")</f>
        <v>scott and associates houston</v>
      </c>
      <c r="K2" s="10">
        <f>IFERROR(__xludf.DUMMYFUNCTION("IFERROR(INDEX(SORT(FILTER(semrush_keywords!$A:$D, semrush_keywords!$D:$D=$C2), 2, 1), 3, 2), """")"),22.0)</f>
        <v>22</v>
      </c>
      <c r="L2" s="10">
        <f>IFERROR(__xludf.DUMMYFUNCTION("IFERROR(INDEX(SORT(FILTER(semrush_keywords!$A:$D, semrush_keywords!$D:$D=$C2), 2, 1), 3, 3), """")
"),40.0)</f>
        <v>40</v>
      </c>
    </row>
    <row r="3">
      <c r="A3" s="8">
        <v>2.0</v>
      </c>
      <c r="B3" s="8" t="s">
        <v>441</v>
      </c>
      <c r="C3" s="14" t="s">
        <v>443</v>
      </c>
      <c r="D3" s="10" t="str">
        <f>IFERROR(__xludf.DUMMYFUNCTION("IFERROR(INDEX(SORT(FILTER(semrush_keywords!A:D, semrush_keywords!D:D=$C3), 2, 1), 1, 1), """")"),"family law attorney angleton tx")</f>
        <v>family law attorney angleton tx</v>
      </c>
      <c r="E3" s="10">
        <f>IFERROR(__xludf.DUMMYFUNCTION("IFERROR(INDEX(SORT(FILTER(semrush_keywords!A:D, semrush_keywords!D:D=$C3), 2, 1), 1, 2), """")"),27.0)</f>
        <v>27</v>
      </c>
      <c r="F3" s="10">
        <f>IFERROR(__xludf.DUMMYFUNCTION("IFERROR(INDEX(SORT(FILTER(semrush_keywords!A:D, semrush_keywords!D:D=$C3), 2, 1), 1, 3), """")"),140.0)</f>
        <v>140</v>
      </c>
      <c r="G3" s="10" t="str">
        <f>IFERROR(__xludf.DUMMYFUNCTION("IFERROR(INDEX(SORT(FILTER(semrush_keywords!A:D, semrush_keywords!D:D=$C3), 2, 1), 2, 1), """")"),"family law attorney angleton tx")</f>
        <v>family law attorney angleton tx</v>
      </c>
      <c r="H3" s="10">
        <f>IFERROR(__xludf.DUMMYFUNCTION("IFERROR(INDEX(SORT(FILTER(semrush_keywords!A:D, semrush_keywords!D:D=$C3), 2, 1), 2, 2), """")"),61.0)</f>
        <v>61</v>
      </c>
      <c r="I3" s="10">
        <f>IFERROR(__xludf.DUMMYFUNCTION("IFERROR(INDEX(SORT(FILTER(semrush_keywords!A:D, semrush_keywords!D:D=$C3), 2, 1), 2, 3), """")"),140.0)</f>
        <v>140</v>
      </c>
      <c r="J3" s="10" t="str">
        <f>IFERROR(__xludf.DUMMYFUNCTION("IFERROR(INDEX(SORT(FILTER(semrush_keywords!$A:$D, semrush_keywords!$D:$D=$C3), 2, 1), 3, 1), """")"),"family attorney angleton")</f>
        <v>family attorney angleton</v>
      </c>
      <c r="K3" s="10">
        <f>IFERROR(__xludf.DUMMYFUNCTION("IFERROR(INDEX(SORT(FILTER(semrush_keywords!$A:$D, semrush_keywords!$D:$D=$C3), 2, 1), 3, 2), """")"),74.0)</f>
        <v>74</v>
      </c>
      <c r="L3" s="10">
        <f>IFERROR(__xludf.DUMMYFUNCTION("IFERROR(INDEX(SORT(FILTER(semrush_keywords!$A:$D, semrush_keywords!$D:$D=$C3), 2, 1), 3, 3), """")
"),70.0)</f>
        <v>70</v>
      </c>
    </row>
    <row r="4">
      <c r="A4" s="8">
        <v>3.0</v>
      </c>
      <c r="B4" s="8" t="s">
        <v>445</v>
      </c>
      <c r="C4" s="14" t="s">
        <v>447</v>
      </c>
      <c r="D4" s="10" t="str">
        <f>IFERROR(__xludf.DUMMYFUNCTION("IFERROR(INDEX(SORT(FILTER(semrush_keywords!A:D, semrush_keywords!D:D=$C4), 2, 1), 1, 1), """")"),"attorneys in brazoria county texas")</f>
        <v>attorneys in brazoria county texas</v>
      </c>
      <c r="E4" s="10">
        <f>IFERROR(__xludf.DUMMYFUNCTION("IFERROR(INDEX(SORT(FILTER(semrush_keywords!A:D, semrush_keywords!D:D=$C4), 2, 1), 1, 2), """")"),15.0)</f>
        <v>15</v>
      </c>
      <c r="F4" s="10">
        <f>IFERROR(__xludf.DUMMYFUNCTION("IFERROR(INDEX(SORT(FILTER(semrush_keywords!A:D, semrush_keywords!D:D=$C4), 2, 1), 1, 3), """")"),110.0)</f>
        <v>110</v>
      </c>
      <c r="G4" s="10" t="str">
        <f>IFERROR(__xludf.DUMMYFUNCTION("IFERROR(INDEX(SORT(FILTER(semrush_keywords!A:D, semrush_keywords!D:D=$C4), 2, 1), 2, 1), """")"),"lawyers in brazoria county tx")</f>
        <v>lawyers in brazoria county tx</v>
      </c>
      <c r="H4" s="10">
        <f>IFERROR(__xludf.DUMMYFUNCTION("IFERROR(INDEX(SORT(FILTER(semrush_keywords!A:D, semrush_keywords!D:D=$C4), 2, 1), 2, 2), """")"),20.0)</f>
        <v>20</v>
      </c>
      <c r="I4" s="10">
        <f>IFERROR(__xludf.DUMMYFUNCTION("IFERROR(INDEX(SORT(FILTER(semrush_keywords!A:D, semrush_keywords!D:D=$C4), 2, 1), 2, 3), """")"),140.0)</f>
        <v>140</v>
      </c>
      <c r="J4" s="10" t="str">
        <f>IFERROR(__xludf.DUMMYFUNCTION("IFERROR(INDEX(SORT(FILTER(semrush_keywords!$A:$D, semrush_keywords!$D:$D=$C4), 2, 1), 3, 1), """")"),"divorce attorney angleton")</f>
        <v>divorce attorney angleton</v>
      </c>
      <c r="K4" s="10">
        <f>IFERROR(__xludf.DUMMYFUNCTION("IFERROR(INDEX(SORT(FILTER(semrush_keywords!$A:$D, semrush_keywords!$D:$D=$C4), 2, 1), 3, 2), """")"),22.0)</f>
        <v>22</v>
      </c>
      <c r="L4" s="10">
        <f>IFERROR(__xludf.DUMMYFUNCTION("IFERROR(INDEX(SORT(FILTER(semrush_keywords!$A:$D, semrush_keywords!$D:$D=$C4), 2, 1), 3, 3), """")
"),170.0)</f>
        <v>170</v>
      </c>
    </row>
    <row r="5">
      <c r="A5" s="8">
        <v>4.0</v>
      </c>
      <c r="B5" s="8" t="s">
        <v>449</v>
      </c>
      <c r="C5" s="14" t="s">
        <v>451</v>
      </c>
      <c r="D5" s="10" t="str">
        <f>IFERROR(__xludf.DUMMYFUNCTION("IFERROR(INDEX(SORT(FILTER(semrush_keywords!A:D, semrush_keywords!D:D=$C5), 2, 1), 1, 1), """")"),"child custody lawyer texas")</f>
        <v>child custody lawyer texas</v>
      </c>
      <c r="E5" s="10">
        <f>IFERROR(__xludf.DUMMYFUNCTION("IFERROR(INDEX(SORT(FILTER(semrush_keywords!A:D, semrush_keywords!D:D=$C5), 2, 1), 1, 2), """")"),22.0)</f>
        <v>22</v>
      </c>
      <c r="F5" s="10">
        <f>IFERROR(__xludf.DUMMYFUNCTION("IFERROR(INDEX(SORT(FILTER(semrush_keywords!A:D, semrush_keywords!D:D=$C5), 2, 1), 1, 3), """")"),110.0)</f>
        <v>110</v>
      </c>
      <c r="G5" s="10" t="str">
        <f>IFERROR(__xludf.DUMMYFUNCTION("IFERROR(INDEX(SORT(FILTER(semrush_keywords!A:D, semrush_keywords!D:D=$C5), 2, 1), 2, 1), """")"),"texas parental rights lawyer")</f>
        <v>texas parental rights lawyer</v>
      </c>
      <c r="H5" s="10">
        <f>IFERROR(__xludf.DUMMYFUNCTION("IFERROR(INDEX(SORT(FILTER(semrush_keywords!A:D, semrush_keywords!D:D=$C5), 2, 1), 2, 2), """")"),23.0)</f>
        <v>23</v>
      </c>
      <c r="I5" s="10">
        <f>IFERROR(__xludf.DUMMYFUNCTION("IFERROR(INDEX(SORT(FILTER(semrush_keywords!A:D, semrush_keywords!D:D=$C5), 2, 1), 2, 3), """")"),70.0)</f>
        <v>70</v>
      </c>
      <c r="J5" s="10" t="str">
        <f>IFERROR(__xludf.DUMMYFUNCTION("IFERROR(INDEX(SORT(FILTER(semrush_keywords!$A:$D, semrush_keywords!$D:$D=$C5), 2, 1), 3, 1), """")"),"texas child custody lawyers")</f>
        <v>texas child custody lawyers</v>
      </c>
      <c r="K5" s="10">
        <f>IFERROR(__xludf.DUMMYFUNCTION("IFERROR(INDEX(SORT(FILTER(semrush_keywords!$A:$D, semrush_keywords!$D:$D=$C5), 2, 1), 3, 2), """")"),28.0)</f>
        <v>28</v>
      </c>
      <c r="L5" s="10">
        <f>IFERROR(__xludf.DUMMYFUNCTION("IFERROR(INDEX(SORT(FILTER(semrush_keywords!$A:$D, semrush_keywords!$D:$D=$C5), 2, 1), 3, 3), """")
"),110.0)</f>
        <v>110</v>
      </c>
    </row>
    <row r="6">
      <c r="A6" s="8">
        <v>5.0</v>
      </c>
      <c r="B6" s="8" t="s">
        <v>453</v>
      </c>
      <c r="C6" s="14" t="s">
        <v>455</v>
      </c>
      <c r="D6" s="10" t="str">
        <f>IFERROR(__xludf.DUMMYFUNCTION("IFERROR(INDEX(SORT(FILTER(semrush_keywords!A:D, semrush_keywords!D:D=$C6), 2, 1), 1, 1), """")"),"angleton child support attorney")</f>
        <v>angleton child support attorney</v>
      </c>
      <c r="E6" s="10">
        <f>IFERROR(__xludf.DUMMYFUNCTION("IFERROR(INDEX(SORT(FILTER(semrush_keywords!A:D, semrush_keywords!D:D=$C6), 2, 1), 1, 2), """")"),29.0)</f>
        <v>29</v>
      </c>
      <c r="F6" s="10">
        <f>IFERROR(__xludf.DUMMYFUNCTION("IFERROR(INDEX(SORT(FILTER(semrush_keywords!A:D, semrush_keywords!D:D=$C6), 2, 1), 1, 3), """")"),50.0)</f>
        <v>50</v>
      </c>
      <c r="G6" s="10" t="str">
        <f>IFERROR(__xludf.DUMMYFUNCTION("IFERROR(INDEX(SORT(FILTER(semrush_keywords!A:D, semrush_keywords!D:D=$C6), 2, 1), 2, 1), """")"),"texas child support attorney")</f>
        <v>texas child support attorney</v>
      </c>
      <c r="H6" s="10">
        <f>IFERROR(__xludf.DUMMYFUNCTION("IFERROR(INDEX(SORT(FILTER(semrush_keywords!A:D, semrush_keywords!D:D=$C6), 2, 1), 2, 2), """")"),49.0)</f>
        <v>49</v>
      </c>
      <c r="I6" s="10">
        <f>IFERROR(__xludf.DUMMYFUNCTION("IFERROR(INDEX(SORT(FILTER(semrush_keywords!A:D, semrush_keywords!D:D=$C6), 2, 1), 2, 3), """")"),70.0)</f>
        <v>70</v>
      </c>
      <c r="J6" s="10" t="str">
        <f>IFERROR(__xludf.DUMMYFUNCTION("IFERROR(INDEX(SORT(FILTER(semrush_keywords!$A:$D, semrush_keywords!$D:$D=$C6), 2, 1), 3, 1), """")"),"houston child support attorneys")</f>
        <v>houston child support attorneys</v>
      </c>
      <c r="K6" s="10">
        <f>IFERROR(__xludf.DUMMYFUNCTION("IFERROR(INDEX(SORT(FILTER(semrush_keywords!$A:$D, semrush_keywords!$D:$D=$C6), 2, 1), 3, 2), """")"),68.0)</f>
        <v>68</v>
      </c>
      <c r="L6" s="10">
        <f>IFERROR(__xludf.DUMMYFUNCTION("IFERROR(INDEX(SORT(FILTER(semrush_keywords!$A:$D, semrush_keywords!$D:$D=$C6), 2, 1), 3, 3), """")
"),70.0)</f>
        <v>70</v>
      </c>
    </row>
    <row r="7">
      <c r="A7" s="8">
        <v>6.0</v>
      </c>
      <c r="B7" s="8" t="s">
        <v>457</v>
      </c>
      <c r="C7" s="14" t="s">
        <v>459</v>
      </c>
      <c r="D7" s="10" t="str">
        <f>IFERROR(__xludf.DUMMYFUNCTION("IFERROR(INDEX(SORT(FILTER(semrush_keywords!A:D, semrush_keywords!D:D=$C7), 2, 1), 1, 1), """")"),"")</f>
        <v/>
      </c>
      <c r="E7" s="10" t="str">
        <f>IFERROR(__xludf.DUMMYFUNCTION("IFERROR(INDEX(SORT(FILTER(semrush_keywords!A:D, semrush_keywords!D:D=$C7), 2, 1), 1, 2), """")"),"")</f>
        <v/>
      </c>
      <c r="F7" s="10" t="str">
        <f>IFERROR(__xludf.DUMMYFUNCTION("IFERROR(INDEX(SORT(FILTER(semrush_keywords!A:D, semrush_keywords!D:D=$C7), 2, 1), 1, 3), """")"),"")</f>
        <v/>
      </c>
      <c r="G7" s="10" t="str">
        <f>IFERROR(__xludf.DUMMYFUNCTION("IFERROR(INDEX(SORT(FILTER(semrush_keywords!A:D, semrush_keywords!D:D=$C7), 2, 1), 2, 1), """")"),"")</f>
        <v/>
      </c>
      <c r="H7" s="10" t="str">
        <f>IFERROR(__xludf.DUMMYFUNCTION("IFERROR(INDEX(SORT(FILTER(semrush_keywords!A:D, semrush_keywords!D:D=$C7), 2, 1), 2, 2), """")"),"")</f>
        <v/>
      </c>
      <c r="I7" s="10" t="str">
        <f>IFERROR(__xludf.DUMMYFUNCTION("IFERROR(INDEX(SORT(FILTER(semrush_keywords!A:D, semrush_keywords!D:D=$C7), 2, 1), 2, 3), """")"),"")</f>
        <v/>
      </c>
      <c r="J7" s="10" t="str">
        <f>IFERROR(__xludf.DUMMYFUNCTION("IFERROR(INDEX(SORT(FILTER(semrush_keywords!$A:$D, semrush_keywords!$D:$D=$C7), 2, 1), 3, 1), """")"),"")</f>
        <v/>
      </c>
      <c r="K7" s="10" t="str">
        <f>IFERROR(__xludf.DUMMYFUNCTION("IFERROR(INDEX(SORT(FILTER(semrush_keywords!$A:$D, semrush_keywords!$D:$D=$C7), 2, 1), 3, 2), """")"),"")</f>
        <v/>
      </c>
      <c r="L7" s="10" t="str">
        <f>IFERROR(__xludf.DUMMYFUNCTION("IFERROR(INDEX(SORT(FILTER(semrush_keywords!$A:$D, semrush_keywords!$D:$D=$C7), 2, 1), 3, 3), """")
"),"")</f>
        <v/>
      </c>
    </row>
    <row r="8">
      <c r="A8" s="8">
        <v>7.0</v>
      </c>
      <c r="B8" s="8" t="s">
        <v>461</v>
      </c>
      <c r="C8" s="14" t="s">
        <v>463</v>
      </c>
      <c r="D8" s="10" t="str">
        <f>IFERROR(__xludf.DUMMYFUNCTION("IFERROR(INDEX(SORT(FILTER(semrush_keywords!A:D, semrush_keywords!D:D=$C8), 2, 1), 1, 1), """")"),"foreclosures in brazoria county texas")</f>
        <v>foreclosures in brazoria county texas</v>
      </c>
      <c r="E8" s="10">
        <f>IFERROR(__xludf.DUMMYFUNCTION("IFERROR(INDEX(SORT(FILTER(semrush_keywords!A:D, semrush_keywords!D:D=$C8), 2, 1), 1, 2), """")"),79.0)</f>
        <v>79</v>
      </c>
      <c r="F8" s="10">
        <f>IFERROR(__xludf.DUMMYFUNCTION("IFERROR(INDEX(SORT(FILTER(semrush_keywords!A:D, semrush_keywords!D:D=$C8), 2, 1), 1, 3), """")"),40.0)</f>
        <v>40</v>
      </c>
      <c r="G8" s="10" t="str">
        <f>IFERROR(__xludf.DUMMYFUNCTION("IFERROR(INDEX(SORT(FILTER(semrush_keywords!A:D, semrush_keywords!D:D=$C8), 2, 1), 2, 1), """")"),"property division attorney the woodlands")</f>
        <v>property division attorney the woodlands</v>
      </c>
      <c r="H8" s="10">
        <f>IFERROR(__xludf.DUMMYFUNCTION("IFERROR(INDEX(SORT(FILTER(semrush_keywords!A:D, semrush_keywords!D:D=$C8), 2, 1), 2, 2), """")"),79.0)</f>
        <v>79</v>
      </c>
      <c r="I8" s="10">
        <f>IFERROR(__xludf.DUMMYFUNCTION("IFERROR(INDEX(SORT(FILTER(semrush_keywords!A:D, semrush_keywords!D:D=$C8), 2, 1), 2, 3), """")"),50.0)</f>
        <v>50</v>
      </c>
      <c r="J8" s="10" t="str">
        <f>IFERROR(__xludf.DUMMYFUNCTION("IFERROR(INDEX(SORT(FILTER(semrush_keywords!$A:$D, semrush_keywords!$D:$D=$C8), 2, 1), 3, 1), """")"),"lawyers in brazoria county")</f>
        <v>lawyers in brazoria county</v>
      </c>
      <c r="K8" s="10">
        <f>IFERROR(__xludf.DUMMYFUNCTION("IFERROR(INDEX(SORT(FILTER(semrush_keywords!$A:$D, semrush_keywords!$D:$D=$C8), 2, 1), 3, 2), """")"),81.0)</f>
        <v>81</v>
      </c>
      <c r="L8" s="10">
        <f>IFERROR(__xludf.DUMMYFUNCTION("IFERROR(INDEX(SORT(FILTER(semrush_keywords!$A:$D, semrush_keywords!$D:$D=$C8), 2, 1), 3, 3), """")
"),50.0)</f>
        <v>50</v>
      </c>
    </row>
    <row r="9">
      <c r="A9" s="8">
        <v>8.0</v>
      </c>
      <c r="B9" s="8" t="s">
        <v>465</v>
      </c>
      <c r="C9" s="14" t="s">
        <v>467</v>
      </c>
      <c r="D9" s="10" t="str">
        <f>IFERROR(__xludf.DUMMYFUNCTION("IFERROR(INDEX(SORT(FILTER(semrush_keywords!A:D, semrush_keywords!D:D=$C9), 2, 1), 1, 1), """")"),"")</f>
        <v/>
      </c>
      <c r="E9" s="10" t="str">
        <f>IFERROR(__xludf.DUMMYFUNCTION("IFERROR(INDEX(SORT(FILTER(semrush_keywords!A:D, semrush_keywords!D:D=$C9), 2, 1), 1, 2), """")"),"")</f>
        <v/>
      </c>
      <c r="F9" s="10" t="str">
        <f>IFERROR(__xludf.DUMMYFUNCTION("IFERROR(INDEX(SORT(FILTER(semrush_keywords!A:D, semrush_keywords!D:D=$C9), 2, 1), 1, 3), """")"),"")</f>
        <v/>
      </c>
      <c r="G9" s="10" t="str">
        <f>IFERROR(__xludf.DUMMYFUNCTION("IFERROR(INDEX(SORT(FILTER(semrush_keywords!A:D, semrush_keywords!D:D=$C9), 2, 1), 2, 1), """")"),"")</f>
        <v/>
      </c>
      <c r="H9" s="10" t="str">
        <f>IFERROR(__xludf.DUMMYFUNCTION("IFERROR(INDEX(SORT(FILTER(semrush_keywords!A:D, semrush_keywords!D:D=$C9), 2, 1), 2, 2), """")"),"")</f>
        <v/>
      </c>
      <c r="I9" s="10" t="str">
        <f>IFERROR(__xludf.DUMMYFUNCTION("IFERROR(INDEX(SORT(FILTER(semrush_keywords!A:D, semrush_keywords!D:D=$C9), 2, 1), 2, 3), """")"),"")</f>
        <v/>
      </c>
      <c r="J9" s="10" t="str">
        <f>IFERROR(__xludf.DUMMYFUNCTION("IFERROR(INDEX(SORT(FILTER(semrush_keywords!$A:$D, semrush_keywords!$D:$D=$C9), 2, 1), 3, 1), """")"),"")</f>
        <v/>
      </c>
      <c r="K9" s="10" t="str">
        <f>IFERROR(__xludf.DUMMYFUNCTION("IFERROR(INDEX(SORT(FILTER(semrush_keywords!$A:$D, semrush_keywords!$D:$D=$C9), 2, 1), 3, 2), """")"),"")</f>
        <v/>
      </c>
      <c r="L9" s="10" t="str">
        <f>IFERROR(__xludf.DUMMYFUNCTION("IFERROR(INDEX(SORT(FILTER(semrush_keywords!$A:$D, semrush_keywords!$D:$D=$C9), 2, 1), 3, 3), """")
"),"")</f>
        <v/>
      </c>
    </row>
    <row r="10">
      <c r="A10" s="8">
        <v>10.0</v>
      </c>
      <c r="B10" s="8" t="s">
        <v>469</v>
      </c>
      <c r="C10" s="14" t="s">
        <v>471</v>
      </c>
      <c r="D10" s="10" t="str">
        <f>IFERROR(__xludf.DUMMYFUNCTION("IFERROR(INDEX(SORT(FILTER(semrush_keywords!A:D, semrush_keywords!D:D=$C10), 2, 1), 1, 1), """")"),"contested divorce attorneys in houston tx")</f>
        <v>contested divorce attorneys in houston tx</v>
      </c>
      <c r="E10" s="10">
        <f>IFERROR(__xludf.DUMMYFUNCTION("IFERROR(INDEX(SORT(FILTER(semrush_keywords!A:D, semrush_keywords!D:D=$C10), 2, 1), 1, 2), """")"),40.0)</f>
        <v>40</v>
      </c>
      <c r="F10" s="10">
        <f>IFERROR(__xludf.DUMMYFUNCTION("IFERROR(INDEX(SORT(FILTER(semrush_keywords!A:D, semrush_keywords!D:D=$C10), 2, 1), 1, 3), """")"),70.0)</f>
        <v>70</v>
      </c>
      <c r="G10" s="10" t="str">
        <f>IFERROR(__xludf.DUMMYFUNCTION("IFERROR(INDEX(SORT(FILTER(semrush_keywords!A:D, semrush_keywords!D:D=$C10), 2, 1), 2, 1), """")"),"contested divorce lawyers in houston tx")</f>
        <v>contested divorce lawyers in houston tx</v>
      </c>
      <c r="H10" s="10">
        <f>IFERROR(__xludf.DUMMYFUNCTION("IFERROR(INDEX(SORT(FILTER(semrush_keywords!A:D, semrush_keywords!D:D=$C10), 2, 1), 2, 2), """")"),42.0)</f>
        <v>42</v>
      </c>
      <c r="I10" s="10">
        <f>IFERROR(__xludf.DUMMYFUNCTION("IFERROR(INDEX(SORT(FILTER(semrush_keywords!A:D, semrush_keywords!D:D=$C10), 2, 1), 2, 3), """")"),50.0)</f>
        <v>50</v>
      </c>
      <c r="J10" s="10" t="str">
        <f>IFERROR(__xludf.DUMMYFUNCTION("IFERROR(INDEX(SORT(FILTER(semrush_keywords!$A:$D, semrush_keywords!$D:$D=$C10), 2, 1), 3, 1), """")"),"")</f>
        <v/>
      </c>
      <c r="K10" s="10" t="str">
        <f>IFERROR(__xludf.DUMMYFUNCTION("IFERROR(INDEX(SORT(FILTER(semrush_keywords!$A:$D, semrush_keywords!$D:$D=$C10), 2, 1), 3, 2), """")"),"")</f>
        <v/>
      </c>
      <c r="L10" s="10" t="str">
        <f>IFERROR(__xludf.DUMMYFUNCTION("IFERROR(INDEX(SORT(FILTER(semrush_keywords!$A:$D, semrush_keywords!$D:$D=$C10), 2, 1), 3, 3), """")
"),"")</f>
        <v/>
      </c>
    </row>
    <row r="11">
      <c r="A11" s="8">
        <v>11.0</v>
      </c>
      <c r="B11" s="8" t="s">
        <v>473</v>
      </c>
      <c r="C11" s="14" t="s">
        <v>475</v>
      </c>
      <c r="D11" s="10" t="str">
        <f>IFERROR(__xludf.DUMMYFUNCTION("IFERROR(INDEX(SORT(FILTER(semrush_keywords!A:D, semrush_keywords!D:D=$C11), 2, 1), 1, 1), """")"),"divorce lawyers in pearland tx")</f>
        <v>divorce lawyers in pearland tx</v>
      </c>
      <c r="E11" s="10">
        <f>IFERROR(__xludf.DUMMYFUNCTION("IFERROR(INDEX(SORT(FILTER(semrush_keywords!A:D, semrush_keywords!D:D=$C11), 2, 1), 1, 2), """")"),37.0)</f>
        <v>37</v>
      </c>
      <c r="F11" s="10">
        <f>IFERROR(__xludf.DUMMYFUNCTION("IFERROR(INDEX(SORT(FILTER(semrush_keywords!A:D, semrush_keywords!D:D=$C11), 2, 1), 1, 3), """")"),50.0)</f>
        <v>50</v>
      </c>
      <c r="G11" s="10" t="str">
        <f>IFERROR(__xludf.DUMMYFUNCTION("IFERROR(INDEX(SORT(FILTER(semrush_keywords!A:D, semrush_keywords!D:D=$C11), 2, 1), 2, 1), """")"),"divorce lawyers pearland")</f>
        <v>divorce lawyers pearland</v>
      </c>
      <c r="H11" s="10">
        <f>IFERROR(__xludf.DUMMYFUNCTION("IFERROR(INDEX(SORT(FILTER(semrush_keywords!A:D, semrush_keywords!D:D=$C11), 2, 1), 2, 2), """")"),40.0)</f>
        <v>40</v>
      </c>
      <c r="I11" s="10">
        <f>IFERROR(__xludf.DUMMYFUNCTION("IFERROR(INDEX(SORT(FILTER(semrush_keywords!A:D, semrush_keywords!D:D=$C11), 2, 1), 2, 3), """")"),170.0)</f>
        <v>170</v>
      </c>
      <c r="J11" s="10" t="str">
        <f>IFERROR(__xludf.DUMMYFUNCTION("IFERROR(INDEX(SORT(FILTER(semrush_keywords!$A:$D, semrush_keywords!$D:$D=$C11), 2, 1), 3, 1), """")"),"divorce law firm pearland")</f>
        <v>divorce law firm pearland</v>
      </c>
      <c r="K11" s="10">
        <f>IFERROR(__xludf.DUMMYFUNCTION("IFERROR(INDEX(SORT(FILTER(semrush_keywords!$A:$D, semrush_keywords!$D:$D=$C11), 2, 1), 3, 2), """")"),47.0)</f>
        <v>47</v>
      </c>
      <c r="L11" s="10">
        <f>IFERROR(__xludf.DUMMYFUNCTION("IFERROR(INDEX(SORT(FILTER(semrush_keywords!$A:$D, semrush_keywords!$D:$D=$C11), 2, 1), 3, 3), """")
"),40.0)</f>
        <v>40</v>
      </c>
    </row>
    <row r="12">
      <c r="A12" s="8">
        <v>12.0</v>
      </c>
      <c r="B12" s="8" t="s">
        <v>477</v>
      </c>
      <c r="C12" s="14" t="s">
        <v>479</v>
      </c>
      <c r="D12" s="10" t="str">
        <f>IFERROR(__xludf.DUMMYFUNCTION("IFERROR(INDEX(SORT(FILTER(semrush_keywords!A:D, semrush_keywords!D:D=$C12), 2, 1), 1, 1), """")"),"angleton child custody lawyer")</f>
        <v>angleton child custody lawyer</v>
      </c>
      <c r="E12" s="10">
        <f>IFERROR(__xludf.DUMMYFUNCTION("IFERROR(INDEX(SORT(FILTER(semrush_keywords!A:D, semrush_keywords!D:D=$C12), 2, 1), 1, 2), """")"),27.0)</f>
        <v>27</v>
      </c>
      <c r="F12" s="10">
        <f>IFERROR(__xludf.DUMMYFUNCTION("IFERROR(INDEX(SORT(FILTER(semrush_keywords!A:D, semrush_keywords!D:D=$C12), 2, 1), 1, 3), """")"),70.0)</f>
        <v>70</v>
      </c>
      <c r="G12" s="10" t="str">
        <f>IFERROR(__xludf.DUMMYFUNCTION("IFERROR(INDEX(SORT(FILTER(semrush_keywords!A:D, semrush_keywords!D:D=$C12), 2, 1), 2, 1), """")"),"child custody attorney angleton")</f>
        <v>child custody attorney angleton</v>
      </c>
      <c r="H12" s="10">
        <f>IFERROR(__xludf.DUMMYFUNCTION("IFERROR(INDEX(SORT(FILTER(semrush_keywords!A:D, semrush_keywords!D:D=$C12), 2, 1), 2, 2), """")"),48.0)</f>
        <v>48</v>
      </c>
      <c r="I12" s="10">
        <f>IFERROR(__xludf.DUMMYFUNCTION("IFERROR(INDEX(SORT(FILTER(semrush_keywords!A:D, semrush_keywords!D:D=$C12), 2, 1), 2, 3), """")"),50.0)</f>
        <v>50</v>
      </c>
      <c r="J12" s="10" t="str">
        <f>IFERROR(__xludf.DUMMYFUNCTION("IFERROR(INDEX(SORT(FILTER(semrush_keywords!$A:$D, semrush_keywords!$D:$D=$C12), 2, 1), 3, 1), """")"),"angleton child custody attorney")</f>
        <v>angleton child custody attorney</v>
      </c>
      <c r="K12" s="10">
        <f>IFERROR(__xludf.DUMMYFUNCTION("IFERROR(INDEX(SORT(FILTER(semrush_keywords!$A:$D, semrush_keywords!$D:$D=$C12), 2, 1), 3, 2), """")"),53.0)</f>
        <v>53</v>
      </c>
      <c r="L12" s="10">
        <f>IFERROR(__xludf.DUMMYFUNCTION("IFERROR(INDEX(SORT(FILTER(semrush_keywords!$A:$D, semrush_keywords!$D:$D=$C12), 2, 1), 3, 3), """")
"),50.0)</f>
        <v>50</v>
      </c>
    </row>
    <row r="13">
      <c r="A13" s="8">
        <v>13.0</v>
      </c>
      <c r="B13" s="8" t="s">
        <v>481</v>
      </c>
      <c r="C13" s="14" t="s">
        <v>483</v>
      </c>
      <c r="D13" s="10" t="str">
        <f>IFERROR(__xludf.DUMMYFUNCTION("IFERROR(INDEX(SORT(FILTER(semrush_keywords!A:D, semrush_keywords!D:D=$C13), 2, 1), 1, 1), """")"),"")</f>
        <v/>
      </c>
      <c r="E13" s="10" t="str">
        <f>IFERROR(__xludf.DUMMYFUNCTION("IFERROR(INDEX(SORT(FILTER(semrush_keywords!A:D, semrush_keywords!D:D=$C13), 2, 1), 1, 2), """")"),"")</f>
        <v/>
      </c>
      <c r="F13" s="10" t="str">
        <f>IFERROR(__xludf.DUMMYFUNCTION("IFERROR(INDEX(SORT(FILTER(semrush_keywords!A:D, semrush_keywords!D:D=$C13), 2, 1), 1, 3), """")"),"")</f>
        <v/>
      </c>
      <c r="G13" s="10" t="str">
        <f>IFERROR(__xludf.DUMMYFUNCTION("IFERROR(INDEX(SORT(FILTER(semrush_keywords!A:D, semrush_keywords!D:D=$C13), 2, 1), 2, 1), """")"),"")</f>
        <v/>
      </c>
      <c r="H13" s="10" t="str">
        <f>IFERROR(__xludf.DUMMYFUNCTION("IFERROR(INDEX(SORT(FILTER(semrush_keywords!A:D, semrush_keywords!D:D=$C13), 2, 1), 2, 2), """")"),"")</f>
        <v/>
      </c>
      <c r="I13" s="10" t="str">
        <f>IFERROR(__xludf.DUMMYFUNCTION("IFERROR(INDEX(SORT(FILTER(semrush_keywords!A:D, semrush_keywords!D:D=$C13), 2, 1), 2, 3), """")"),"")</f>
        <v/>
      </c>
      <c r="J13" s="10" t="str">
        <f>IFERROR(__xludf.DUMMYFUNCTION("IFERROR(INDEX(SORT(FILTER(semrush_keywords!$A:$D, semrush_keywords!$D:$D=$C13), 2, 1), 3, 1), """")"),"")</f>
        <v/>
      </c>
      <c r="K13" s="10" t="str">
        <f>IFERROR(__xludf.DUMMYFUNCTION("IFERROR(INDEX(SORT(FILTER(semrush_keywords!$A:$D, semrush_keywords!$D:$D=$C13), 2, 1), 3, 2), """")"),"")</f>
        <v/>
      </c>
      <c r="L13" s="10" t="str">
        <f>IFERROR(__xludf.DUMMYFUNCTION("IFERROR(INDEX(SORT(FILTER(semrush_keywords!$A:$D, semrush_keywords!$D:$D=$C13), 2, 1), 3, 3), """")
"),"")</f>
        <v/>
      </c>
    </row>
    <row r="14">
      <c r="A14" s="8">
        <v>14.0</v>
      </c>
      <c r="B14" s="8" t="s">
        <v>485</v>
      </c>
      <c r="C14" s="14" t="s">
        <v>487</v>
      </c>
      <c r="D14" s="10" t="str">
        <f>IFERROR(__xludf.DUMMYFUNCTION("IFERROR(INDEX(SORT(FILTER(semrush_keywords!A:D, semrush_keywords!D:D=$C14), 2, 1), 1, 1), """")"),"")</f>
        <v/>
      </c>
      <c r="E14" s="10" t="str">
        <f>IFERROR(__xludf.DUMMYFUNCTION("IFERROR(INDEX(SORT(FILTER(semrush_keywords!A:D, semrush_keywords!D:D=$C14), 2, 1), 1, 2), """")"),"")</f>
        <v/>
      </c>
      <c r="F14" s="10" t="str">
        <f>IFERROR(__xludf.DUMMYFUNCTION("IFERROR(INDEX(SORT(FILTER(semrush_keywords!A:D, semrush_keywords!D:D=$C14), 2, 1), 1, 3), """")"),"")</f>
        <v/>
      </c>
      <c r="G14" s="10" t="str">
        <f>IFERROR(__xludf.DUMMYFUNCTION("IFERROR(INDEX(SORT(FILTER(semrush_keywords!A:D, semrush_keywords!D:D=$C14), 2, 1), 2, 1), """")"),"")</f>
        <v/>
      </c>
      <c r="H14" s="10" t="str">
        <f>IFERROR(__xludf.DUMMYFUNCTION("IFERROR(INDEX(SORT(FILTER(semrush_keywords!A:D, semrush_keywords!D:D=$C14), 2, 1), 2, 2), """")"),"")</f>
        <v/>
      </c>
      <c r="I14" s="10" t="str">
        <f>IFERROR(__xludf.DUMMYFUNCTION("IFERROR(INDEX(SORT(FILTER(semrush_keywords!A:D, semrush_keywords!D:D=$C14), 2, 1), 2, 3), """")"),"")</f>
        <v/>
      </c>
      <c r="J14" s="10" t="str">
        <f>IFERROR(__xludf.DUMMYFUNCTION("IFERROR(INDEX(SORT(FILTER(semrush_keywords!$A:$D, semrush_keywords!$D:$D=$C14), 2, 1), 3, 1), """")"),"")</f>
        <v/>
      </c>
      <c r="K14" s="10" t="str">
        <f>IFERROR(__xludf.DUMMYFUNCTION("IFERROR(INDEX(SORT(FILTER(semrush_keywords!$A:$D, semrush_keywords!$D:$D=$C14), 2, 1), 3, 2), """")"),"")</f>
        <v/>
      </c>
      <c r="L14" s="10" t="str">
        <f>IFERROR(__xludf.DUMMYFUNCTION("IFERROR(INDEX(SORT(FILTER(semrush_keywords!$A:$D, semrush_keywords!$D:$D=$C14), 2, 1), 3, 3), """")
"),"")</f>
        <v/>
      </c>
    </row>
    <row r="15">
      <c r="A15" s="8">
        <v>15.0</v>
      </c>
      <c r="B15" s="8" t="s">
        <v>489</v>
      </c>
      <c r="C15" s="14" t="s">
        <v>491</v>
      </c>
      <c r="D15" s="10" t="str">
        <f>IFERROR(__xludf.DUMMYFUNCTION("IFERROR(INDEX(SORT(FILTER(semrush_keywords!A:D, semrush_keywords!D:D=$C15), 2, 1), 1, 1), """")"),"")</f>
        <v/>
      </c>
      <c r="E15" s="10" t="str">
        <f>IFERROR(__xludf.DUMMYFUNCTION("IFERROR(INDEX(SORT(FILTER(semrush_keywords!A:D, semrush_keywords!D:D=$C15), 2, 1), 1, 2), """")"),"")</f>
        <v/>
      </c>
      <c r="F15" s="10" t="str">
        <f>IFERROR(__xludf.DUMMYFUNCTION("IFERROR(INDEX(SORT(FILTER(semrush_keywords!A:D, semrush_keywords!D:D=$C15), 2, 1), 1, 3), """")"),"")</f>
        <v/>
      </c>
      <c r="G15" s="10" t="str">
        <f>IFERROR(__xludf.DUMMYFUNCTION("IFERROR(INDEX(SORT(FILTER(semrush_keywords!A:D, semrush_keywords!D:D=$C15), 2, 1), 2, 1), """")"),"")</f>
        <v/>
      </c>
      <c r="H15" s="10" t="str">
        <f>IFERROR(__xludf.DUMMYFUNCTION("IFERROR(INDEX(SORT(FILTER(semrush_keywords!A:D, semrush_keywords!D:D=$C15), 2, 1), 2, 2), """")"),"")</f>
        <v/>
      </c>
      <c r="I15" s="10" t="str">
        <f>IFERROR(__xludf.DUMMYFUNCTION("IFERROR(INDEX(SORT(FILTER(semrush_keywords!A:D, semrush_keywords!D:D=$C15), 2, 1), 2, 3), """")"),"")</f>
        <v/>
      </c>
      <c r="J15" s="10" t="str">
        <f>IFERROR(__xludf.DUMMYFUNCTION("IFERROR(INDEX(SORT(FILTER(semrush_keywords!$A:$D, semrush_keywords!$D:$D=$C15), 2, 1), 3, 1), """")"),"")</f>
        <v/>
      </c>
      <c r="K15" s="10" t="str">
        <f>IFERROR(__xludf.DUMMYFUNCTION("IFERROR(INDEX(SORT(FILTER(semrush_keywords!$A:$D, semrush_keywords!$D:$D=$C15), 2, 1), 3, 2), """")"),"")</f>
        <v/>
      </c>
      <c r="L15" s="10" t="str">
        <f>IFERROR(__xludf.DUMMYFUNCTION("IFERROR(INDEX(SORT(FILTER(semrush_keywords!$A:$D, semrush_keywords!$D:$D=$C15), 2, 1), 3, 3), """")
"),"")</f>
        <v/>
      </c>
    </row>
    <row r="16">
      <c r="A16" s="8">
        <v>17.0</v>
      </c>
      <c r="B16" s="8" t="s">
        <v>493</v>
      </c>
      <c r="C16" s="14" t="s">
        <v>495</v>
      </c>
      <c r="D16" s="10" t="str">
        <f>IFERROR(__xludf.DUMMYFUNCTION("IFERROR(INDEX(SORT(FILTER(semrush_keywords!A:D, semrush_keywords!D:D=$C16), 2, 1), 1, 1), """")"),"")</f>
        <v/>
      </c>
      <c r="E16" s="10" t="str">
        <f>IFERROR(__xludf.DUMMYFUNCTION("IFERROR(INDEX(SORT(FILTER(semrush_keywords!A:D, semrush_keywords!D:D=$C16), 2, 1), 1, 2), """")"),"")</f>
        <v/>
      </c>
      <c r="F16" s="10" t="str">
        <f>IFERROR(__xludf.DUMMYFUNCTION("IFERROR(INDEX(SORT(FILTER(semrush_keywords!A:D, semrush_keywords!D:D=$C16), 2, 1), 1, 3), """")"),"")</f>
        <v/>
      </c>
      <c r="G16" s="10" t="str">
        <f>IFERROR(__xludf.DUMMYFUNCTION("IFERROR(INDEX(SORT(FILTER(semrush_keywords!A:D, semrush_keywords!D:D=$C16), 2, 1), 2, 1), """")"),"")</f>
        <v/>
      </c>
      <c r="H16" s="10" t="str">
        <f>IFERROR(__xludf.DUMMYFUNCTION("IFERROR(INDEX(SORT(FILTER(semrush_keywords!A:D, semrush_keywords!D:D=$C16), 2, 1), 2, 2), """")"),"")</f>
        <v/>
      </c>
      <c r="I16" s="10" t="str">
        <f>IFERROR(__xludf.DUMMYFUNCTION("IFERROR(INDEX(SORT(FILTER(semrush_keywords!A:D, semrush_keywords!D:D=$C16), 2, 1), 2, 3), """")"),"")</f>
        <v/>
      </c>
      <c r="J16" s="10" t="str">
        <f>IFERROR(__xludf.DUMMYFUNCTION("IFERROR(INDEX(SORT(FILTER(semrush_keywords!$A:$D, semrush_keywords!$D:$D=$C16), 2, 1), 3, 1), """")"),"")</f>
        <v/>
      </c>
      <c r="K16" s="10" t="str">
        <f>IFERROR(__xludf.DUMMYFUNCTION("IFERROR(INDEX(SORT(FILTER(semrush_keywords!$A:$D, semrush_keywords!$D:$D=$C16), 2, 1), 3, 2), """")"),"")</f>
        <v/>
      </c>
      <c r="L16" s="10" t="str">
        <f>IFERROR(__xludf.DUMMYFUNCTION("IFERROR(INDEX(SORT(FILTER(semrush_keywords!$A:$D, semrush_keywords!$D:$D=$C16), 2, 1), 3, 3), """")
"),"")</f>
        <v/>
      </c>
    </row>
    <row r="17">
      <c r="A17" s="8">
        <v>18.0</v>
      </c>
      <c r="B17" s="8" t="s">
        <v>497</v>
      </c>
      <c r="C17" s="14" t="s">
        <v>499</v>
      </c>
      <c r="D17" s="10" t="str">
        <f>IFERROR(__xludf.DUMMYFUNCTION("IFERROR(INDEX(SORT(FILTER(semrush_keywords!A:D, semrush_keywords!D:D=$C17), 2, 1), 1, 1), """")"),"paternity law firm the woodlands")</f>
        <v>paternity law firm the woodlands</v>
      </c>
      <c r="E17" s="10">
        <f>IFERROR(__xludf.DUMMYFUNCTION("IFERROR(INDEX(SORT(FILTER(semrush_keywords!A:D, semrush_keywords!D:D=$C17), 2, 1), 1, 2), """")"),78.0)</f>
        <v>78</v>
      </c>
      <c r="F17" s="10">
        <f>IFERROR(__xludf.DUMMYFUNCTION("IFERROR(INDEX(SORT(FILTER(semrush_keywords!A:D, semrush_keywords!D:D=$C17), 2, 1), 1, 3), """")"),50.0)</f>
        <v>50</v>
      </c>
      <c r="G17" s="10" t="str">
        <f>IFERROR(__xludf.DUMMYFUNCTION("IFERROR(INDEX(SORT(FILTER(semrush_keywords!A:D, semrush_keywords!D:D=$C17), 2, 1), 2, 1), """")"),"paternity issues attorneys the woodlands")</f>
        <v>paternity issues attorneys the woodlands</v>
      </c>
      <c r="H17" s="10">
        <f>IFERROR(__xludf.DUMMYFUNCTION("IFERROR(INDEX(SORT(FILTER(semrush_keywords!A:D, semrush_keywords!D:D=$C17), 2, 1), 2, 2), """")"),80.0)</f>
        <v>80</v>
      </c>
      <c r="I17" s="10">
        <f>IFERROR(__xludf.DUMMYFUNCTION("IFERROR(INDEX(SORT(FILTER(semrush_keywords!A:D, semrush_keywords!D:D=$C17), 2, 1), 2, 3), """")"),50.0)</f>
        <v>50</v>
      </c>
      <c r="J17" s="10" t="str">
        <f>IFERROR(__xludf.DUMMYFUNCTION("IFERROR(INDEX(SORT(FILTER(semrush_keywords!$A:$D, semrush_keywords!$D:$D=$C17), 2, 1), 3, 1), """")"),"pearland family lawyers")</f>
        <v>pearland family lawyers</v>
      </c>
      <c r="K17" s="10">
        <f>IFERROR(__xludf.DUMMYFUNCTION("IFERROR(INDEX(SORT(FILTER(semrush_keywords!$A:$D, semrush_keywords!$D:$D=$C17), 2, 1), 3, 2), """")"),84.0)</f>
        <v>84</v>
      </c>
      <c r="L17" s="10">
        <f>IFERROR(__xludf.DUMMYFUNCTION("IFERROR(INDEX(SORT(FILTER(semrush_keywords!$A:$D, semrush_keywords!$D:$D=$C17), 2, 1), 3, 3), """")
"),70.0)</f>
        <v>70</v>
      </c>
    </row>
    <row r="18">
      <c r="A18" s="8">
        <v>19.0</v>
      </c>
      <c r="B18" s="8" t="s">
        <v>501</v>
      </c>
      <c r="C18" s="14" t="s">
        <v>503</v>
      </c>
      <c r="D18" s="10" t="str">
        <f>IFERROR(__xludf.DUMMYFUNCTION("IFERROR(INDEX(SORT(FILTER(semrush_keywords!A:D, semrush_keywords!D:D=$C18), 2, 1), 1, 1), """")"),"emergency custody attorney")</f>
        <v>emergency custody attorney</v>
      </c>
      <c r="E18" s="10">
        <f>IFERROR(__xludf.DUMMYFUNCTION("IFERROR(INDEX(SORT(FILTER(semrush_keywords!A:D, semrush_keywords!D:D=$C18), 2, 1), 1, 2), """")"),33.0)</f>
        <v>33</v>
      </c>
      <c r="F18" s="10">
        <f>IFERROR(__xludf.DUMMYFUNCTION("IFERROR(INDEX(SORT(FILTER(semrush_keywords!A:D, semrush_keywords!D:D=$C18), 2, 1), 1, 3), """")"),70.0)</f>
        <v>70</v>
      </c>
      <c r="G18" s="10" t="str">
        <f>IFERROR(__xludf.DUMMYFUNCTION("IFERROR(INDEX(SORT(FILTER(semrush_keywords!A:D, semrush_keywords!D:D=$C18), 2, 1), 2, 1), """")"),"emergency custody lawyer")</f>
        <v>emergency custody lawyer</v>
      </c>
      <c r="H18" s="10">
        <f>IFERROR(__xludf.DUMMYFUNCTION("IFERROR(INDEX(SORT(FILTER(semrush_keywords!A:D, semrush_keywords!D:D=$C18), 2, 1), 2, 2), """")"),43.0)</f>
        <v>43</v>
      </c>
      <c r="I18" s="10">
        <f>IFERROR(__xludf.DUMMYFUNCTION("IFERROR(INDEX(SORT(FILTER(semrush_keywords!A:D, semrush_keywords!D:D=$C18), 2, 1), 2, 3), """")"),210.0)</f>
        <v>210</v>
      </c>
      <c r="J18" s="10" t="str">
        <f>IFERROR(__xludf.DUMMYFUNCTION("IFERROR(INDEX(SORT(FILTER(semrush_keywords!$A:$D, semrush_keywords!$D:$D=$C18), 2, 1), 3, 1), """")"),"")</f>
        <v/>
      </c>
      <c r="K18" s="10" t="str">
        <f>IFERROR(__xludf.DUMMYFUNCTION("IFERROR(INDEX(SORT(FILTER(semrush_keywords!$A:$D, semrush_keywords!$D:$D=$C18), 2, 1), 3, 2), """")"),"")</f>
        <v/>
      </c>
      <c r="L18" s="10" t="str">
        <f>IFERROR(__xludf.DUMMYFUNCTION("IFERROR(INDEX(SORT(FILTER(semrush_keywords!$A:$D, semrush_keywords!$D:$D=$C18), 2, 1), 3, 3), """")
"),"")</f>
        <v/>
      </c>
    </row>
    <row r="19">
      <c r="A19" s="8">
        <v>20.0</v>
      </c>
      <c r="B19" s="8" t="s">
        <v>505</v>
      </c>
      <c r="C19" s="14" t="s">
        <v>507</v>
      </c>
      <c r="D19" s="10" t="str">
        <f>IFERROR(__xludf.DUMMYFUNCTION("IFERROR(INDEX(SORT(FILTER(semrush_keywords!A:D, semrush_keywords!D:D=$C19), 2, 1), 1, 1), """")"),"")</f>
        <v/>
      </c>
      <c r="E19" s="10" t="str">
        <f>IFERROR(__xludf.DUMMYFUNCTION("IFERROR(INDEX(SORT(FILTER(semrush_keywords!A:D, semrush_keywords!D:D=$C19), 2, 1), 1, 2), """")"),"")</f>
        <v/>
      </c>
      <c r="F19" s="10" t="str">
        <f>IFERROR(__xludf.DUMMYFUNCTION("IFERROR(INDEX(SORT(FILTER(semrush_keywords!A:D, semrush_keywords!D:D=$C19), 2, 1), 1, 3), """")"),"")</f>
        <v/>
      </c>
      <c r="G19" s="10" t="str">
        <f>IFERROR(__xludf.DUMMYFUNCTION("IFERROR(INDEX(SORT(FILTER(semrush_keywords!A:D, semrush_keywords!D:D=$C19), 2, 1), 2, 1), """")"),"")</f>
        <v/>
      </c>
      <c r="H19" s="10" t="str">
        <f>IFERROR(__xludf.DUMMYFUNCTION("IFERROR(INDEX(SORT(FILTER(semrush_keywords!A:D, semrush_keywords!D:D=$C19), 2, 1), 2, 2), """")"),"")</f>
        <v/>
      </c>
      <c r="I19" s="10" t="str">
        <f>IFERROR(__xludf.DUMMYFUNCTION("IFERROR(INDEX(SORT(FILTER(semrush_keywords!A:D, semrush_keywords!D:D=$C19), 2, 1), 2, 3), """")"),"")</f>
        <v/>
      </c>
      <c r="J19" s="10" t="str">
        <f>IFERROR(__xludf.DUMMYFUNCTION("IFERROR(INDEX(SORT(FILTER(semrush_keywords!$A:$D, semrush_keywords!$D:$D=$C19), 2, 1), 3, 1), """")"),"")</f>
        <v/>
      </c>
      <c r="K19" s="10" t="str">
        <f>IFERROR(__xludf.DUMMYFUNCTION("IFERROR(INDEX(SORT(FILTER(semrush_keywords!$A:$D, semrush_keywords!$D:$D=$C19), 2, 1), 3, 2), """")"),"")</f>
        <v/>
      </c>
      <c r="L19" s="10" t="str">
        <f>IFERROR(__xludf.DUMMYFUNCTION("IFERROR(INDEX(SORT(FILTER(semrush_keywords!$A:$D, semrush_keywords!$D:$D=$C19), 2, 1), 3, 3), """")
"),"")</f>
        <v/>
      </c>
    </row>
    <row r="20">
      <c r="A20" s="8">
        <v>21.0</v>
      </c>
      <c r="B20" s="8" t="s">
        <v>509</v>
      </c>
      <c r="C20" s="14" t="s">
        <v>511</v>
      </c>
      <c r="D20" s="10" t="str">
        <f>IFERROR(__xludf.DUMMYFUNCTION("IFERROR(INDEX(SORT(FILTER(semrush_keywords!A:D, semrush_keywords!D:D=$C20), 2, 1), 1, 1), """")"),"")</f>
        <v/>
      </c>
      <c r="E20" s="10" t="str">
        <f>IFERROR(__xludf.DUMMYFUNCTION("IFERROR(INDEX(SORT(FILTER(semrush_keywords!A:D, semrush_keywords!D:D=$C20), 2, 1), 1, 2), """")"),"")</f>
        <v/>
      </c>
      <c r="F20" s="10" t="str">
        <f>IFERROR(__xludf.DUMMYFUNCTION("IFERROR(INDEX(SORT(FILTER(semrush_keywords!A:D, semrush_keywords!D:D=$C20), 2, 1), 1, 3), """")"),"")</f>
        <v/>
      </c>
      <c r="G20" s="10" t="str">
        <f>IFERROR(__xludf.DUMMYFUNCTION("IFERROR(INDEX(SORT(FILTER(semrush_keywords!A:D, semrush_keywords!D:D=$C20), 2, 1), 2, 1), """")"),"")</f>
        <v/>
      </c>
      <c r="H20" s="10" t="str">
        <f>IFERROR(__xludf.DUMMYFUNCTION("IFERROR(INDEX(SORT(FILTER(semrush_keywords!A:D, semrush_keywords!D:D=$C20), 2, 1), 2, 2), """")"),"")</f>
        <v/>
      </c>
      <c r="I20" s="10" t="str">
        <f>IFERROR(__xludf.DUMMYFUNCTION("IFERROR(INDEX(SORT(FILTER(semrush_keywords!A:D, semrush_keywords!D:D=$C20), 2, 1), 2, 3), """")"),"")</f>
        <v/>
      </c>
      <c r="J20" s="10" t="str">
        <f>IFERROR(__xludf.DUMMYFUNCTION("IFERROR(INDEX(SORT(FILTER(semrush_keywords!$A:$D, semrush_keywords!$D:$D=$C20), 2, 1), 3, 1), """")"),"")</f>
        <v/>
      </c>
      <c r="K20" s="10" t="str">
        <f>IFERROR(__xludf.DUMMYFUNCTION("IFERROR(INDEX(SORT(FILTER(semrush_keywords!$A:$D, semrush_keywords!$D:$D=$C20), 2, 1), 3, 2), """")"),"")</f>
        <v/>
      </c>
      <c r="L20" s="10" t="str">
        <f>IFERROR(__xludf.DUMMYFUNCTION("IFERROR(INDEX(SORT(FILTER(semrush_keywords!$A:$D, semrush_keywords!$D:$D=$C20), 2, 1), 3, 3), """")
"),"")</f>
        <v/>
      </c>
    </row>
    <row r="21">
      <c r="A21" s="8">
        <v>30.0</v>
      </c>
      <c r="B21" s="8" t="s">
        <v>513</v>
      </c>
      <c r="C21" s="14" t="s">
        <v>515</v>
      </c>
      <c r="D21" s="10" t="str">
        <f>IFERROR(__xludf.DUMMYFUNCTION("IFERROR(INDEX(SORT(FILTER(semrush_keywords!A:D, semrush_keywords!D:D=$C21), 2, 1), 1, 1), """")"),"texas child relocation attorney")</f>
        <v>texas child relocation attorney</v>
      </c>
      <c r="E21" s="10">
        <f>IFERROR(__xludf.DUMMYFUNCTION("IFERROR(INDEX(SORT(FILTER(semrush_keywords!A:D, semrush_keywords!D:D=$C21), 2, 1), 1, 2), """")"),35.0)</f>
        <v>35</v>
      </c>
      <c r="F21" s="10">
        <f>IFERROR(__xludf.DUMMYFUNCTION("IFERROR(INDEX(SORT(FILTER(semrush_keywords!A:D, semrush_keywords!D:D=$C21), 2, 1), 1, 3), """")"),50.0)</f>
        <v>50</v>
      </c>
      <c r="G21" s="10" t="str">
        <f>IFERROR(__xludf.DUMMYFUNCTION("IFERROR(INDEX(SORT(FILTER(semrush_keywords!A:D, semrush_keywords!D:D=$C21), 2, 1), 2, 1), """")"),"texas child relocation attorneys")</f>
        <v>texas child relocation attorneys</v>
      </c>
      <c r="H21" s="10">
        <f>IFERROR(__xludf.DUMMYFUNCTION("IFERROR(INDEX(SORT(FILTER(semrush_keywords!A:D, semrush_keywords!D:D=$C21), 2, 1), 2, 2), """")"),39.0)</f>
        <v>39</v>
      </c>
      <c r="I21" s="10">
        <f>IFERROR(__xludf.DUMMYFUNCTION("IFERROR(INDEX(SORT(FILTER(semrush_keywords!A:D, semrush_keywords!D:D=$C21), 2, 1), 2, 3), """")"),50.0)</f>
        <v>50</v>
      </c>
      <c r="J21" s="10" t="str">
        <f>IFERROR(__xludf.DUMMYFUNCTION("IFERROR(INDEX(SORT(FILTER(semrush_keywords!$A:$D, semrush_keywords!$D:$D=$C21), 2, 1), 3, 1), """")"),"texas child relocation lawyers")</f>
        <v>texas child relocation lawyers</v>
      </c>
      <c r="K21" s="10">
        <f>IFERROR(__xludf.DUMMYFUNCTION("IFERROR(INDEX(SORT(FILTER(semrush_keywords!$A:$D, semrush_keywords!$D:$D=$C21), 2, 1), 3, 2), """")"),49.0)</f>
        <v>49</v>
      </c>
      <c r="L21" s="10">
        <f>IFERROR(__xludf.DUMMYFUNCTION("IFERROR(INDEX(SORT(FILTER(semrush_keywords!$A:$D, semrush_keywords!$D:$D=$C21), 2, 1), 3, 3), """")
"),50.0)</f>
        <v>50</v>
      </c>
    </row>
    <row r="22">
      <c r="A22" s="8">
        <v>31.0</v>
      </c>
      <c r="B22" s="8" t="s">
        <v>517</v>
      </c>
      <c r="C22" s="14" t="s">
        <v>519</v>
      </c>
      <c r="D22" s="10" t="str">
        <f>IFERROR(__xludf.DUMMYFUNCTION("IFERROR(INDEX(SORT(FILTER(semrush_keywords!A:D, semrush_keywords!D:D=$C22), 2, 1), 1, 1), """")"),"business owner divorce lawyer")</f>
        <v>business owner divorce lawyer</v>
      </c>
      <c r="E22" s="10">
        <f>IFERROR(__xludf.DUMMYFUNCTION("IFERROR(INDEX(SORT(FILTER(semrush_keywords!A:D, semrush_keywords!D:D=$C22), 2, 1), 1, 2), """")"),78.0)</f>
        <v>78</v>
      </c>
      <c r="F22" s="10">
        <f>IFERROR(__xludf.DUMMYFUNCTION("IFERROR(INDEX(SORT(FILTER(semrush_keywords!A:D, semrush_keywords!D:D=$C22), 2, 1), 1, 3), """")"),50.0)</f>
        <v>50</v>
      </c>
      <c r="G22" s="10" t="str">
        <f>IFERROR(__xludf.DUMMYFUNCTION("IFERROR(INDEX(SORT(FILTER(semrush_keywords!A:D, semrush_keywords!D:D=$C22), 2, 1), 2, 1), """")"),"texas business valuation lawyers")</f>
        <v>texas business valuation lawyers</v>
      </c>
      <c r="H22" s="10">
        <f>IFERROR(__xludf.DUMMYFUNCTION("IFERROR(INDEX(SORT(FILTER(semrush_keywords!A:D, semrush_keywords!D:D=$C22), 2, 1), 2, 2), """")"),79.0)</f>
        <v>79</v>
      </c>
      <c r="I22" s="10">
        <f>IFERROR(__xludf.DUMMYFUNCTION("IFERROR(INDEX(SORT(FILTER(semrush_keywords!A:D, semrush_keywords!D:D=$C22), 2, 1), 2, 3), """")"),50.0)</f>
        <v>50</v>
      </c>
      <c r="J22" s="10" t="str">
        <f>IFERROR(__xludf.DUMMYFUNCTION("IFERROR(INDEX(SORT(FILTER(semrush_keywords!$A:$D, semrush_keywords!$D:$D=$C22), 2, 1), 3, 1), """")"),"")</f>
        <v/>
      </c>
      <c r="K22" s="10" t="str">
        <f>IFERROR(__xludf.DUMMYFUNCTION("IFERROR(INDEX(SORT(FILTER(semrush_keywords!$A:$D, semrush_keywords!$D:$D=$C22), 2, 1), 3, 2), """")"),"")</f>
        <v/>
      </c>
      <c r="L22" s="10" t="str">
        <f>IFERROR(__xludf.DUMMYFUNCTION("IFERROR(INDEX(SORT(FILTER(semrush_keywords!$A:$D, semrush_keywords!$D:$D=$C22), 2, 1), 3, 3), """")
"),"")</f>
        <v/>
      </c>
    </row>
    <row r="23">
      <c r="A23" s="8">
        <v>32.0</v>
      </c>
      <c r="B23" s="8" t="s">
        <v>521</v>
      </c>
      <c r="C23" s="14" t="s">
        <v>523</v>
      </c>
      <c r="D23" s="10" t="str">
        <f>IFERROR(__xludf.DUMMYFUNCTION("IFERROR(INDEX(SORT(FILTER(semrush_keywords!A:D, semrush_keywords!D:D=$C23), 2, 1), 1, 1), """")"),"")</f>
        <v/>
      </c>
      <c r="E23" s="10" t="str">
        <f>IFERROR(__xludf.DUMMYFUNCTION("IFERROR(INDEX(SORT(FILTER(semrush_keywords!A:D, semrush_keywords!D:D=$C23), 2, 1), 1, 2), """")"),"")</f>
        <v/>
      </c>
      <c r="F23" s="10" t="str">
        <f>IFERROR(__xludf.DUMMYFUNCTION("IFERROR(INDEX(SORT(FILTER(semrush_keywords!A:D, semrush_keywords!D:D=$C23), 2, 1), 1, 3), """")"),"")</f>
        <v/>
      </c>
      <c r="G23" s="10" t="str">
        <f>IFERROR(__xludf.DUMMYFUNCTION("IFERROR(INDEX(SORT(FILTER(semrush_keywords!A:D, semrush_keywords!D:D=$C23), 2, 1), 2, 1), """")"),"")</f>
        <v/>
      </c>
      <c r="H23" s="10" t="str">
        <f>IFERROR(__xludf.DUMMYFUNCTION("IFERROR(INDEX(SORT(FILTER(semrush_keywords!A:D, semrush_keywords!D:D=$C23), 2, 1), 2, 2), """")"),"")</f>
        <v/>
      </c>
      <c r="I23" s="10" t="str">
        <f>IFERROR(__xludf.DUMMYFUNCTION("IFERROR(INDEX(SORT(FILTER(semrush_keywords!A:D, semrush_keywords!D:D=$C23), 2, 1), 2, 3), """")"),"")</f>
        <v/>
      </c>
      <c r="J23" s="10" t="str">
        <f>IFERROR(__xludf.DUMMYFUNCTION("IFERROR(INDEX(SORT(FILTER(semrush_keywords!$A:$D, semrush_keywords!$D:$D=$C23), 2, 1), 3, 1), """")"),"")</f>
        <v/>
      </c>
      <c r="K23" s="10" t="str">
        <f>IFERROR(__xludf.DUMMYFUNCTION("IFERROR(INDEX(SORT(FILTER(semrush_keywords!$A:$D, semrush_keywords!$D:$D=$C23), 2, 1), 3, 2), """")"),"")</f>
        <v/>
      </c>
      <c r="L23" s="10" t="str">
        <f>IFERROR(__xludf.DUMMYFUNCTION("IFERROR(INDEX(SORT(FILTER(semrush_keywords!$A:$D, semrush_keywords!$D:$D=$C23), 2, 1), 3, 3), """")
"),"")</f>
        <v/>
      </c>
    </row>
    <row r="24">
      <c r="A24" s="8">
        <v>35.0</v>
      </c>
      <c r="B24" s="8" t="s">
        <v>525</v>
      </c>
      <c r="C24" s="14" t="s">
        <v>527</v>
      </c>
      <c r="D24" s="10" t="str">
        <f>IFERROR(__xludf.DUMMYFUNCTION("IFERROR(INDEX(SORT(FILTER(semrush_keywords!A:D, semrush_keywords!D:D=$C24), 2, 1), 1, 1), """")"),"gray divorce lawyer")</f>
        <v>gray divorce lawyer</v>
      </c>
      <c r="E24" s="10">
        <f>IFERROR(__xludf.DUMMYFUNCTION("IFERROR(INDEX(SORT(FILTER(semrush_keywords!A:D, semrush_keywords!D:D=$C24), 2, 1), 1, 2), """")"),68.0)</f>
        <v>68</v>
      </c>
      <c r="F24" s="10">
        <f>IFERROR(__xludf.DUMMYFUNCTION("IFERROR(INDEX(SORT(FILTER(semrush_keywords!A:D, semrush_keywords!D:D=$C24), 2, 1), 1, 3), """")"),110.0)</f>
        <v>110</v>
      </c>
      <c r="G24" s="10" t="str">
        <f>IFERROR(__xludf.DUMMYFUNCTION("IFERROR(INDEX(SORT(FILTER(semrush_keywords!A:D, semrush_keywords!D:D=$C24), 2, 1), 2, 1), """")"),"")</f>
        <v/>
      </c>
      <c r="H24" s="10" t="str">
        <f>IFERROR(__xludf.DUMMYFUNCTION("IFERROR(INDEX(SORT(FILTER(semrush_keywords!A:D, semrush_keywords!D:D=$C24), 2, 1), 2, 2), """")"),"")</f>
        <v/>
      </c>
      <c r="I24" s="10" t="str">
        <f>IFERROR(__xludf.DUMMYFUNCTION("IFERROR(INDEX(SORT(FILTER(semrush_keywords!A:D, semrush_keywords!D:D=$C24), 2, 1), 2, 3), """")"),"")</f>
        <v/>
      </c>
      <c r="J24" s="10" t="str">
        <f>IFERROR(__xludf.DUMMYFUNCTION("IFERROR(INDEX(SORT(FILTER(semrush_keywords!$A:$D, semrush_keywords!$D:$D=$C24), 2, 1), 3, 1), """")"),"")</f>
        <v/>
      </c>
      <c r="K24" s="10" t="str">
        <f>IFERROR(__xludf.DUMMYFUNCTION("IFERROR(INDEX(SORT(FILTER(semrush_keywords!$A:$D, semrush_keywords!$D:$D=$C24), 2, 1), 3, 2), """")"),"")</f>
        <v/>
      </c>
      <c r="L24" s="10" t="str">
        <f>IFERROR(__xludf.DUMMYFUNCTION("IFERROR(INDEX(SORT(FILTER(semrush_keywords!$A:$D, semrush_keywords!$D:$D=$C24), 2, 1), 3, 3), """")
"),"")</f>
        <v/>
      </c>
    </row>
    <row r="25">
      <c r="A25" s="8">
        <v>36.0</v>
      </c>
      <c r="B25" s="8" t="s">
        <v>529</v>
      </c>
      <c r="C25" s="14" t="s">
        <v>531</v>
      </c>
      <c r="D25" s="10" t="str">
        <f>IFERROR(__xludf.DUMMYFUNCTION("IFERROR(INDEX(SORT(FILTER(semrush_keywords!A:D, semrush_keywords!D:D=$C25), 2, 1), 1, 1), """")"),"")</f>
        <v/>
      </c>
      <c r="E25" s="10" t="str">
        <f>IFERROR(__xludf.DUMMYFUNCTION("IFERROR(INDEX(SORT(FILTER(semrush_keywords!A:D, semrush_keywords!D:D=$C25), 2, 1), 1, 2), """")"),"")</f>
        <v/>
      </c>
      <c r="F25" s="10" t="str">
        <f>IFERROR(__xludf.DUMMYFUNCTION("IFERROR(INDEX(SORT(FILTER(semrush_keywords!A:D, semrush_keywords!D:D=$C25), 2, 1), 1, 3), """")"),"")</f>
        <v/>
      </c>
      <c r="G25" s="10" t="str">
        <f>IFERROR(__xludf.DUMMYFUNCTION("IFERROR(INDEX(SORT(FILTER(semrush_keywords!A:D, semrush_keywords!D:D=$C25), 2, 1), 2, 1), """")"),"")</f>
        <v/>
      </c>
      <c r="H25" s="10" t="str">
        <f>IFERROR(__xludf.DUMMYFUNCTION("IFERROR(INDEX(SORT(FILTER(semrush_keywords!A:D, semrush_keywords!D:D=$C25), 2, 1), 2, 2), """")"),"")</f>
        <v/>
      </c>
      <c r="I25" s="10" t="str">
        <f>IFERROR(__xludf.DUMMYFUNCTION("IFERROR(INDEX(SORT(FILTER(semrush_keywords!A:D, semrush_keywords!D:D=$C25), 2, 1), 2, 3), """")"),"")</f>
        <v/>
      </c>
      <c r="J25" s="10" t="str">
        <f>IFERROR(__xludf.DUMMYFUNCTION("IFERROR(INDEX(SORT(FILTER(semrush_keywords!$A:$D, semrush_keywords!$D:$D=$C25), 2, 1), 3, 1), """")"),"")</f>
        <v/>
      </c>
      <c r="K25" s="10" t="str">
        <f>IFERROR(__xludf.DUMMYFUNCTION("IFERROR(INDEX(SORT(FILTER(semrush_keywords!$A:$D, semrush_keywords!$D:$D=$C25), 2, 1), 3, 2), """")"),"")</f>
        <v/>
      </c>
      <c r="L25" s="10" t="str">
        <f>IFERROR(__xludf.DUMMYFUNCTION("IFERROR(INDEX(SORT(FILTER(semrush_keywords!$A:$D, semrush_keywords!$D:$D=$C25), 2, 1), 3, 3), """")
"),"")</f>
        <v/>
      </c>
    </row>
    <row r="26">
      <c r="A26" s="8">
        <v>38.0</v>
      </c>
      <c r="B26" s="8" t="s">
        <v>533</v>
      </c>
      <c r="C26" s="14" t="s">
        <v>535</v>
      </c>
      <c r="D26" s="10" t="str">
        <f>IFERROR(__xludf.DUMMYFUNCTION("IFERROR(INDEX(SORT(FILTER(semrush_keywords!A:D, semrush_keywords!D:D=$C26), 2, 1), 1, 1), """")"),"angleton grandparents rights attorney")</f>
        <v>angleton grandparents rights attorney</v>
      </c>
      <c r="E26" s="10">
        <f>IFERROR(__xludf.DUMMYFUNCTION("IFERROR(INDEX(SORT(FILTER(semrush_keywords!A:D, semrush_keywords!D:D=$C26), 2, 1), 1, 2), """")"),24.0)</f>
        <v>24</v>
      </c>
      <c r="F26" s="10">
        <f>IFERROR(__xludf.DUMMYFUNCTION("IFERROR(INDEX(SORT(FILTER(semrush_keywords!A:D, semrush_keywords!D:D=$C26), 2, 1), 1, 3), """")"),50.0)</f>
        <v>50</v>
      </c>
      <c r="G26" s="10" t="str">
        <f>IFERROR(__xludf.DUMMYFUNCTION("IFERROR(INDEX(SORT(FILTER(semrush_keywords!A:D, semrush_keywords!D:D=$C26), 2, 1), 2, 1), """")"),"angleton grandparents rights lawyer")</f>
        <v>angleton grandparents rights lawyer</v>
      </c>
      <c r="H26" s="10">
        <f>IFERROR(__xludf.DUMMYFUNCTION("IFERROR(INDEX(SORT(FILTER(semrush_keywords!A:D, semrush_keywords!D:D=$C26), 2, 1), 2, 2), """")"),24.0)</f>
        <v>24</v>
      </c>
      <c r="I26" s="10">
        <f>IFERROR(__xludf.DUMMYFUNCTION("IFERROR(INDEX(SORT(FILTER(semrush_keywords!A:D, semrush_keywords!D:D=$C26), 2, 1), 2, 3), """")"),50.0)</f>
        <v>50</v>
      </c>
      <c r="J26" s="10" t="str">
        <f>IFERROR(__xludf.DUMMYFUNCTION("IFERROR(INDEX(SORT(FILTER(semrush_keywords!$A:$D, semrush_keywords!$D:$D=$C26), 2, 1), 3, 1), """")"),"child custody attorney angleton")</f>
        <v>child custody attorney angleton</v>
      </c>
      <c r="K26" s="10">
        <f>IFERROR(__xludf.DUMMYFUNCTION("IFERROR(INDEX(SORT(FILTER(semrush_keywords!$A:$D, semrush_keywords!$D:$D=$C26), 2, 1), 3, 2), """")"),29.0)</f>
        <v>29</v>
      </c>
      <c r="L26" s="10">
        <f>IFERROR(__xludf.DUMMYFUNCTION("IFERROR(INDEX(SORT(FILTER(semrush_keywords!$A:$D, semrush_keywords!$D:$D=$C26), 2, 1), 3, 3), """")
"),50.0)</f>
        <v>50</v>
      </c>
    </row>
    <row r="27">
      <c r="A27" s="8">
        <v>39.0</v>
      </c>
      <c r="B27" s="8" t="s">
        <v>537</v>
      </c>
      <c r="C27" s="14" t="s">
        <v>539</v>
      </c>
      <c r="D27" s="10" t="str">
        <f>IFERROR(__xludf.DUMMYFUNCTION("IFERROR(INDEX(SORT(FILTER(semrush_keywords!A:D, semrush_keywords!D:D=$C27), 2, 1), 1, 1), """")"),"")</f>
        <v/>
      </c>
      <c r="E27" s="10" t="str">
        <f>IFERROR(__xludf.DUMMYFUNCTION("IFERROR(INDEX(SORT(FILTER(semrush_keywords!A:D, semrush_keywords!D:D=$C27), 2, 1), 1, 2), """")"),"")</f>
        <v/>
      </c>
      <c r="F27" s="10" t="str">
        <f>IFERROR(__xludf.DUMMYFUNCTION("IFERROR(INDEX(SORT(FILTER(semrush_keywords!A:D, semrush_keywords!D:D=$C27), 2, 1), 1, 3), """")"),"")</f>
        <v/>
      </c>
      <c r="G27" s="10" t="str">
        <f>IFERROR(__xludf.DUMMYFUNCTION("IFERROR(INDEX(SORT(FILTER(semrush_keywords!A:D, semrush_keywords!D:D=$C27), 2, 1), 2, 1), """")"),"")</f>
        <v/>
      </c>
      <c r="H27" s="10" t="str">
        <f>IFERROR(__xludf.DUMMYFUNCTION("IFERROR(INDEX(SORT(FILTER(semrush_keywords!A:D, semrush_keywords!D:D=$C27), 2, 1), 2, 2), """")"),"")</f>
        <v/>
      </c>
      <c r="I27" s="10" t="str">
        <f>IFERROR(__xludf.DUMMYFUNCTION("IFERROR(INDEX(SORT(FILTER(semrush_keywords!A:D, semrush_keywords!D:D=$C27), 2, 1), 2, 3), """")"),"")</f>
        <v/>
      </c>
      <c r="J27" s="10" t="str">
        <f>IFERROR(__xludf.DUMMYFUNCTION("IFERROR(INDEX(SORT(FILTER(semrush_keywords!$A:$D, semrush_keywords!$D:$D=$C27), 2, 1), 3, 1), """")"),"")</f>
        <v/>
      </c>
      <c r="K27" s="10" t="str">
        <f>IFERROR(__xludf.DUMMYFUNCTION("IFERROR(INDEX(SORT(FILTER(semrush_keywords!$A:$D, semrush_keywords!$D:$D=$C27), 2, 1), 3, 2), """")"),"")</f>
        <v/>
      </c>
      <c r="L27" s="10" t="str">
        <f>IFERROR(__xludf.DUMMYFUNCTION("IFERROR(INDEX(SORT(FILTER(semrush_keywords!$A:$D, semrush_keywords!$D:$D=$C27), 2, 1), 3, 3), """")
"),"")</f>
        <v/>
      </c>
    </row>
    <row r="28">
      <c r="A28" s="8">
        <v>42.0</v>
      </c>
      <c r="B28" s="8" t="s">
        <v>541</v>
      </c>
      <c r="C28" s="14" t="s">
        <v>543</v>
      </c>
      <c r="D28" s="10" t="str">
        <f>IFERROR(__xludf.DUMMYFUNCTION("IFERROR(INDEX(SORT(FILTER(semrush_keywords!A:D, semrush_keywords!D:D=$C28), 2, 1), 1, 1), """")"),"")</f>
        <v/>
      </c>
      <c r="E28" s="10" t="str">
        <f>IFERROR(__xludf.DUMMYFUNCTION("IFERROR(INDEX(SORT(FILTER(semrush_keywords!A:D, semrush_keywords!D:D=$C28), 2, 1), 1, 2), """")"),"")</f>
        <v/>
      </c>
      <c r="F28" s="10" t="str">
        <f>IFERROR(__xludf.DUMMYFUNCTION("IFERROR(INDEX(SORT(FILTER(semrush_keywords!A:D, semrush_keywords!D:D=$C28), 2, 1), 1, 3), """")"),"")</f>
        <v/>
      </c>
      <c r="G28" s="10" t="str">
        <f>IFERROR(__xludf.DUMMYFUNCTION("IFERROR(INDEX(SORT(FILTER(semrush_keywords!A:D, semrush_keywords!D:D=$C28), 2, 1), 2, 1), """")"),"")</f>
        <v/>
      </c>
      <c r="H28" s="10" t="str">
        <f>IFERROR(__xludf.DUMMYFUNCTION("IFERROR(INDEX(SORT(FILTER(semrush_keywords!A:D, semrush_keywords!D:D=$C28), 2, 1), 2, 2), """")"),"")</f>
        <v/>
      </c>
      <c r="I28" s="10" t="str">
        <f>IFERROR(__xludf.DUMMYFUNCTION("IFERROR(INDEX(SORT(FILTER(semrush_keywords!A:D, semrush_keywords!D:D=$C28), 2, 1), 2, 3), """")"),"")</f>
        <v/>
      </c>
      <c r="J28" s="10" t="str">
        <f>IFERROR(__xludf.DUMMYFUNCTION("IFERROR(INDEX(SORT(FILTER(semrush_keywords!$A:$D, semrush_keywords!$D:$D=$C28), 2, 1), 3, 1), """")"),"")</f>
        <v/>
      </c>
      <c r="K28" s="10" t="str">
        <f>IFERROR(__xludf.DUMMYFUNCTION("IFERROR(INDEX(SORT(FILTER(semrush_keywords!$A:$D, semrush_keywords!$D:$D=$C28), 2, 1), 3, 2), """")"),"")</f>
        <v/>
      </c>
      <c r="L28" s="10" t="str">
        <f>IFERROR(__xludf.DUMMYFUNCTION("IFERROR(INDEX(SORT(FILTER(semrush_keywords!$A:$D, semrush_keywords!$D:$D=$C28), 2, 1), 3, 3), """")
"),"")</f>
        <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13.13"/>
    <col customWidth="1" min="4" max="4" width="26.25"/>
    <col customWidth="1" min="5" max="26" width="7.63"/>
  </cols>
  <sheetData>
    <row r="1">
      <c r="A1" s="15" t="s">
        <v>557</v>
      </c>
      <c r="B1" s="15" t="s">
        <v>558</v>
      </c>
      <c r="C1" s="15" t="s">
        <v>559</v>
      </c>
      <c r="D1" s="15" t="s">
        <v>560</v>
      </c>
    </row>
    <row r="2">
      <c r="A2" s="8" t="s">
        <v>561</v>
      </c>
      <c r="B2" s="8" t="s">
        <v>562</v>
      </c>
      <c r="C2" s="8" t="s">
        <v>563</v>
      </c>
      <c r="D2" s="8" t="s">
        <v>564</v>
      </c>
    </row>
    <row r="3">
      <c r="A3" s="8" t="s">
        <v>565</v>
      </c>
      <c r="B3" s="8" t="s">
        <v>566</v>
      </c>
      <c r="C3" s="8" t="s">
        <v>567</v>
      </c>
      <c r="D3" s="8" t="s">
        <v>568</v>
      </c>
    </row>
    <row r="4">
      <c r="A4" s="8" t="s">
        <v>569</v>
      </c>
      <c r="B4" s="8" t="s">
        <v>570</v>
      </c>
      <c r="C4" s="8" t="s">
        <v>571</v>
      </c>
      <c r="D4" s="8" t="s">
        <v>572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s>
  <sheetData>
    <row r="1">
      <c r="A1" s="1" t="s">
        <v>573</v>
      </c>
      <c r="B1" s="1" t="s">
        <v>424</v>
      </c>
      <c r="C1" s="1" t="s">
        <v>574</v>
      </c>
      <c r="D1" s="1" t="s">
        <v>575</v>
      </c>
      <c r="E1" s="1" t="s">
        <v>576</v>
      </c>
      <c r="F1" s="1" t="s">
        <v>577</v>
      </c>
      <c r="G1" s="1" t="s">
        <v>578</v>
      </c>
      <c r="H1" s="1" t="s">
        <v>579</v>
      </c>
      <c r="I1" s="1" t="s">
        <v>580</v>
      </c>
    </row>
    <row r="2">
      <c r="A2" s="2" t="s">
        <v>581</v>
      </c>
      <c r="B2" s="1">
        <v>200.0</v>
      </c>
      <c r="C2" s="1" t="s">
        <v>582</v>
      </c>
      <c r="D2" s="1" t="s">
        <v>583</v>
      </c>
      <c r="F2" s="1">
        <v>406.0</v>
      </c>
      <c r="G2" s="1">
        <v>41890.0</v>
      </c>
      <c r="H2" s="1">
        <v>0.01</v>
      </c>
      <c r="I2" s="1">
        <v>28.1</v>
      </c>
    </row>
    <row r="3">
      <c r="A3" s="2" t="s">
        <v>584</v>
      </c>
      <c r="B3" s="1">
        <v>200.0</v>
      </c>
      <c r="C3" s="1" t="s">
        <v>585</v>
      </c>
      <c r="D3" s="1" t="s">
        <v>583</v>
      </c>
      <c r="F3" s="1">
        <v>48.0</v>
      </c>
      <c r="G3" s="1">
        <v>29652.0</v>
      </c>
      <c r="H3" s="1">
        <v>0.002</v>
      </c>
      <c r="I3" s="1">
        <v>13.19</v>
      </c>
    </row>
    <row r="4">
      <c r="A4" s="2" t="s">
        <v>586</v>
      </c>
      <c r="B4" s="1">
        <v>200.0</v>
      </c>
      <c r="C4" s="1" t="s">
        <v>587</v>
      </c>
      <c r="D4" s="1" t="s">
        <v>583</v>
      </c>
      <c r="F4" s="1">
        <v>0.0</v>
      </c>
      <c r="G4" s="1">
        <v>307.0</v>
      </c>
      <c r="H4" s="1">
        <v>0.0</v>
      </c>
      <c r="I4" s="1">
        <v>59.23</v>
      </c>
    </row>
    <row r="5">
      <c r="A5" s="2" t="s">
        <v>588</v>
      </c>
      <c r="B5" s="1">
        <v>200.0</v>
      </c>
      <c r="C5" s="1" t="s">
        <v>589</v>
      </c>
      <c r="D5" s="1" t="s">
        <v>583</v>
      </c>
      <c r="F5" s="1">
        <v>3.0</v>
      </c>
      <c r="G5" s="1">
        <v>628.0</v>
      </c>
      <c r="H5" s="1">
        <v>0.005</v>
      </c>
      <c r="I5" s="1">
        <v>32.86</v>
      </c>
    </row>
    <row r="6">
      <c r="A6" s="2" t="s">
        <v>590</v>
      </c>
      <c r="B6" s="1">
        <v>200.0</v>
      </c>
      <c r="C6" s="1" t="s">
        <v>591</v>
      </c>
      <c r="D6" s="1" t="s">
        <v>583</v>
      </c>
      <c r="F6" s="1">
        <v>0.0</v>
      </c>
      <c r="G6" s="1">
        <v>175.0</v>
      </c>
      <c r="H6" s="1">
        <v>0.0</v>
      </c>
      <c r="I6" s="1">
        <v>26.38</v>
      </c>
    </row>
    <row r="7">
      <c r="A7" s="2" t="s">
        <v>592</v>
      </c>
      <c r="B7" s="1">
        <v>200.0</v>
      </c>
      <c r="C7" s="1" t="s">
        <v>593</v>
      </c>
      <c r="D7" s="1" t="s">
        <v>583</v>
      </c>
      <c r="F7" s="1">
        <v>2.0</v>
      </c>
      <c r="G7" s="1">
        <v>880.0</v>
      </c>
      <c r="H7" s="1">
        <v>0.002</v>
      </c>
      <c r="I7" s="1">
        <v>56.02</v>
      </c>
    </row>
    <row r="8">
      <c r="A8" s="2" t="s">
        <v>594</v>
      </c>
      <c r="B8" s="1">
        <v>200.0</v>
      </c>
      <c r="C8" s="1" t="s">
        <v>595</v>
      </c>
      <c r="D8" s="1" t="s">
        <v>583</v>
      </c>
      <c r="F8" s="1">
        <v>21.0</v>
      </c>
      <c r="G8" s="1">
        <v>11988.0</v>
      </c>
      <c r="H8" s="1">
        <v>0.002</v>
      </c>
      <c r="I8" s="1">
        <v>9.77</v>
      </c>
    </row>
    <row r="9">
      <c r="A9" s="2" t="s">
        <v>596</v>
      </c>
      <c r="B9" s="1">
        <v>200.0</v>
      </c>
      <c r="C9" s="1" t="s">
        <v>597</v>
      </c>
      <c r="D9" s="1" t="s">
        <v>583</v>
      </c>
      <c r="F9" s="1">
        <v>10.0</v>
      </c>
      <c r="G9" s="1">
        <v>339.0</v>
      </c>
      <c r="H9" s="1">
        <v>0.029</v>
      </c>
      <c r="I9" s="1">
        <v>10.78</v>
      </c>
    </row>
    <row r="10">
      <c r="A10" s="2" t="s">
        <v>598</v>
      </c>
      <c r="B10" s="1">
        <v>200.0</v>
      </c>
      <c r="C10" s="1" t="s">
        <v>599</v>
      </c>
      <c r="D10" s="1" t="s">
        <v>583</v>
      </c>
      <c r="F10" s="1">
        <v>3.0</v>
      </c>
      <c r="G10" s="1">
        <v>1592.0</v>
      </c>
      <c r="H10" s="1">
        <v>0.002</v>
      </c>
      <c r="I10" s="1">
        <v>17.56</v>
      </c>
    </row>
    <row r="11">
      <c r="A11" s="2" t="s">
        <v>600</v>
      </c>
      <c r="B11" s="1">
        <v>200.0</v>
      </c>
      <c r="C11" s="1" t="s">
        <v>601</v>
      </c>
      <c r="D11" s="1" t="s">
        <v>583</v>
      </c>
      <c r="F11" s="1">
        <v>1.0</v>
      </c>
      <c r="G11" s="1">
        <v>3048.0</v>
      </c>
      <c r="H11" s="1">
        <v>0.0</v>
      </c>
      <c r="I11" s="1">
        <v>45.72</v>
      </c>
    </row>
    <row r="12">
      <c r="A12" s="2" t="s">
        <v>602</v>
      </c>
      <c r="B12" s="1">
        <v>200.0</v>
      </c>
      <c r="C12" s="1" t="s">
        <v>603</v>
      </c>
      <c r="D12" s="1" t="s">
        <v>583</v>
      </c>
      <c r="F12" s="1">
        <v>0.0</v>
      </c>
      <c r="G12" s="1">
        <v>604.0</v>
      </c>
      <c r="H12" s="1">
        <v>0.0</v>
      </c>
      <c r="I12" s="1">
        <v>39.33</v>
      </c>
    </row>
    <row r="13">
      <c r="A13" s="2" t="s">
        <v>604</v>
      </c>
      <c r="B13" s="1">
        <v>200.0</v>
      </c>
      <c r="C13" s="1" t="s">
        <v>605</v>
      </c>
      <c r="D13" s="1" t="s">
        <v>583</v>
      </c>
      <c r="F13" s="1">
        <v>0.0</v>
      </c>
      <c r="G13" s="1">
        <v>124.0</v>
      </c>
      <c r="H13" s="1">
        <v>0.0</v>
      </c>
      <c r="I13" s="1">
        <v>9.25</v>
      </c>
    </row>
    <row r="14">
      <c r="A14" s="2" t="s">
        <v>606</v>
      </c>
      <c r="B14" s="1">
        <v>200.0</v>
      </c>
      <c r="C14" s="1" t="s">
        <v>607</v>
      </c>
      <c r="D14" s="1" t="s">
        <v>583</v>
      </c>
      <c r="F14" s="1">
        <v>1.0</v>
      </c>
      <c r="G14" s="1">
        <v>1894.0</v>
      </c>
      <c r="H14" s="1">
        <v>0.0</v>
      </c>
      <c r="I14" s="1">
        <v>24.82</v>
      </c>
    </row>
    <row r="15">
      <c r="A15" s="2" t="s">
        <v>608</v>
      </c>
      <c r="B15" s="1">
        <v>301.0</v>
      </c>
      <c r="D15" s="1" t="s">
        <v>609</v>
      </c>
      <c r="E15" s="1" t="s">
        <v>610</v>
      </c>
      <c r="F15" s="1">
        <v>8.0</v>
      </c>
      <c r="G15" s="1">
        <v>1190.0</v>
      </c>
      <c r="H15" s="1">
        <v>0.007</v>
      </c>
      <c r="I15" s="1">
        <v>28.5</v>
      </c>
    </row>
    <row r="16">
      <c r="A16" s="2" t="s">
        <v>611</v>
      </c>
      <c r="B16" s="1">
        <v>301.0</v>
      </c>
      <c r="D16" s="1" t="s">
        <v>609</v>
      </c>
      <c r="E16" s="1" t="s">
        <v>610</v>
      </c>
      <c r="F16" s="1">
        <v>0.0</v>
      </c>
      <c r="G16" s="1">
        <v>66.0</v>
      </c>
      <c r="H16" s="1">
        <v>0.0</v>
      </c>
      <c r="I16" s="1">
        <v>37.73</v>
      </c>
    </row>
    <row r="17">
      <c r="A17" s="2" t="s">
        <v>447</v>
      </c>
      <c r="B17" s="1">
        <v>200.0</v>
      </c>
      <c r="C17" s="1" t="s">
        <v>612</v>
      </c>
      <c r="D17" s="1" t="s">
        <v>583</v>
      </c>
      <c r="F17" s="1">
        <v>7.0</v>
      </c>
      <c r="G17" s="1">
        <v>12101.0</v>
      </c>
      <c r="H17" s="1">
        <v>0.001</v>
      </c>
      <c r="I17" s="1">
        <v>19.25</v>
      </c>
    </row>
    <row r="18">
      <c r="A18" s="2" t="s">
        <v>527</v>
      </c>
      <c r="B18" s="1">
        <v>200.0</v>
      </c>
      <c r="C18" s="1" t="s">
        <v>613</v>
      </c>
      <c r="D18" s="1" t="s">
        <v>583</v>
      </c>
      <c r="F18" s="1">
        <v>1.0</v>
      </c>
      <c r="G18" s="1">
        <v>760.0</v>
      </c>
      <c r="H18" s="1">
        <v>0.001</v>
      </c>
      <c r="I18" s="1">
        <v>10.43</v>
      </c>
    </row>
    <row r="19">
      <c r="A19" s="2" t="s">
        <v>614</v>
      </c>
      <c r="B19" s="1">
        <v>200.0</v>
      </c>
      <c r="C19" s="1" t="s">
        <v>615</v>
      </c>
      <c r="D19" s="1" t="s">
        <v>583</v>
      </c>
      <c r="F19" s="1">
        <v>1.0</v>
      </c>
      <c r="G19" s="1">
        <v>1590.0</v>
      </c>
      <c r="H19" s="1">
        <v>0.001</v>
      </c>
      <c r="I19" s="1">
        <v>27.72</v>
      </c>
    </row>
    <row r="20">
      <c r="A20" s="2" t="s">
        <v>459</v>
      </c>
      <c r="B20" s="1">
        <v>200.0</v>
      </c>
      <c r="C20" s="1" t="s">
        <v>616</v>
      </c>
      <c r="D20" s="1" t="s">
        <v>583</v>
      </c>
      <c r="F20" s="1">
        <v>0.0</v>
      </c>
      <c r="G20" s="1">
        <v>535.0</v>
      </c>
      <c r="H20" s="1">
        <v>0.0</v>
      </c>
      <c r="I20" s="1">
        <v>21.07</v>
      </c>
    </row>
    <row r="21">
      <c r="A21" s="2" t="s">
        <v>617</v>
      </c>
      <c r="B21" s="1">
        <v>200.0</v>
      </c>
      <c r="C21" s="1" t="s">
        <v>618</v>
      </c>
      <c r="D21" s="1" t="s">
        <v>583</v>
      </c>
      <c r="F21" s="1">
        <v>10.0</v>
      </c>
      <c r="G21" s="1">
        <v>6889.0</v>
      </c>
      <c r="H21" s="1">
        <v>0.002</v>
      </c>
      <c r="I21" s="1">
        <v>15.5</v>
      </c>
    </row>
    <row r="22">
      <c r="A22" s="2" t="s">
        <v>619</v>
      </c>
      <c r="B22" s="1">
        <v>200.0</v>
      </c>
      <c r="C22" s="1" t="s">
        <v>620</v>
      </c>
      <c r="D22" s="1" t="s">
        <v>583</v>
      </c>
      <c r="F22" s="1">
        <v>0.0</v>
      </c>
      <c r="G22" s="1">
        <v>175.0</v>
      </c>
      <c r="H22" s="1">
        <v>0.0</v>
      </c>
      <c r="I22" s="1">
        <v>12.67</v>
      </c>
    </row>
    <row r="23">
      <c r="A23" s="2" t="s">
        <v>621</v>
      </c>
      <c r="B23" s="1">
        <v>200.0</v>
      </c>
      <c r="C23" s="1" t="s">
        <v>622</v>
      </c>
      <c r="D23" s="1" t="s">
        <v>583</v>
      </c>
      <c r="F23" s="1">
        <v>1.0</v>
      </c>
      <c r="G23" s="1">
        <v>224.0</v>
      </c>
      <c r="H23" s="1">
        <v>0.004</v>
      </c>
      <c r="I23" s="1">
        <v>9.12</v>
      </c>
    </row>
    <row r="24">
      <c r="A24" s="2" t="s">
        <v>623</v>
      </c>
      <c r="B24" s="1">
        <v>200.0</v>
      </c>
      <c r="C24" s="1" t="s">
        <v>624</v>
      </c>
      <c r="D24" s="1" t="s">
        <v>583</v>
      </c>
      <c r="F24" s="1">
        <v>0.0</v>
      </c>
      <c r="G24" s="1">
        <v>44.0</v>
      </c>
      <c r="H24" s="1">
        <v>0.0</v>
      </c>
      <c r="I24" s="1">
        <v>6.91</v>
      </c>
    </row>
    <row r="25">
      <c r="A25" s="2" t="s">
        <v>519</v>
      </c>
      <c r="B25" s="1">
        <v>200.0</v>
      </c>
      <c r="C25" s="1" t="s">
        <v>625</v>
      </c>
      <c r="D25" s="1" t="s">
        <v>583</v>
      </c>
      <c r="F25" s="1">
        <v>1.0</v>
      </c>
      <c r="G25" s="1">
        <v>1534.0</v>
      </c>
      <c r="H25" s="1">
        <v>0.001</v>
      </c>
      <c r="I25" s="1">
        <v>28.52</v>
      </c>
    </row>
    <row r="26">
      <c r="A26" s="2" t="s">
        <v>626</v>
      </c>
      <c r="B26" s="1">
        <v>200.0</v>
      </c>
      <c r="C26" s="1" t="s">
        <v>627</v>
      </c>
      <c r="D26" s="1" t="s">
        <v>583</v>
      </c>
      <c r="F26" s="1">
        <v>3.0</v>
      </c>
      <c r="G26" s="1">
        <v>505.0</v>
      </c>
      <c r="H26" s="1">
        <v>0.006</v>
      </c>
      <c r="I26" s="1">
        <v>10.44</v>
      </c>
    </row>
    <row r="27">
      <c r="A27" s="2" t="s">
        <v>451</v>
      </c>
      <c r="B27" s="1">
        <v>200.0</v>
      </c>
      <c r="C27" s="1" t="s">
        <v>628</v>
      </c>
      <c r="D27" s="1" t="s">
        <v>583</v>
      </c>
      <c r="F27" s="1">
        <v>2.0</v>
      </c>
      <c r="G27" s="1">
        <v>3310.0</v>
      </c>
      <c r="H27" s="1">
        <v>0.001</v>
      </c>
      <c r="I27" s="1">
        <v>35.73</v>
      </c>
    </row>
    <row r="28">
      <c r="A28" s="13" t="s">
        <v>629</v>
      </c>
      <c r="B28" s="1">
        <v>200.0</v>
      </c>
      <c r="C28" s="1" t="s">
        <v>630</v>
      </c>
      <c r="D28" s="1" t="s">
        <v>609</v>
      </c>
      <c r="E28" s="1" t="s">
        <v>631</v>
      </c>
    </row>
    <row r="29">
      <c r="A29" s="13" t="s">
        <v>632</v>
      </c>
      <c r="B29" s="1">
        <v>200.0</v>
      </c>
      <c r="C29" s="1" t="s">
        <v>633</v>
      </c>
      <c r="D29" s="1" t="s">
        <v>583</v>
      </c>
      <c r="F29" s="1">
        <v>0.0</v>
      </c>
      <c r="G29" s="1">
        <v>80.0</v>
      </c>
      <c r="H29" s="1">
        <v>0.0</v>
      </c>
      <c r="I29" s="1">
        <v>32.66</v>
      </c>
    </row>
    <row r="30">
      <c r="A30" s="2" t="s">
        <v>634</v>
      </c>
      <c r="B30" s="1">
        <v>200.0</v>
      </c>
      <c r="C30" s="1" t="s">
        <v>635</v>
      </c>
      <c r="D30" s="1" t="s">
        <v>583</v>
      </c>
      <c r="F30" s="1">
        <v>1.0</v>
      </c>
      <c r="G30" s="1">
        <v>88.0</v>
      </c>
      <c r="H30" s="1">
        <v>0.011</v>
      </c>
      <c r="I30" s="1">
        <v>11.06</v>
      </c>
    </row>
    <row r="31">
      <c r="A31" s="2" t="s">
        <v>636</v>
      </c>
      <c r="B31" s="1">
        <v>200.0</v>
      </c>
      <c r="C31" s="1" t="s">
        <v>637</v>
      </c>
      <c r="D31" s="1" t="s">
        <v>583</v>
      </c>
      <c r="F31" s="1">
        <v>15.0</v>
      </c>
      <c r="G31" s="1">
        <v>12711.0</v>
      </c>
      <c r="H31" s="1">
        <v>0.001</v>
      </c>
      <c r="I31" s="1">
        <v>7.96</v>
      </c>
    </row>
    <row r="32">
      <c r="A32" s="2" t="s">
        <v>638</v>
      </c>
      <c r="B32" s="1">
        <v>200.0</v>
      </c>
      <c r="C32" s="1" t="s">
        <v>639</v>
      </c>
      <c r="D32" s="1" t="s">
        <v>583</v>
      </c>
      <c r="F32" s="1">
        <v>4.0</v>
      </c>
      <c r="G32" s="1">
        <v>5811.0</v>
      </c>
      <c r="H32" s="1">
        <v>0.001</v>
      </c>
      <c r="I32" s="1">
        <v>14.73</v>
      </c>
    </row>
    <row r="33">
      <c r="A33" s="2" t="s">
        <v>640</v>
      </c>
      <c r="B33" s="1">
        <v>200.0</v>
      </c>
      <c r="C33" s="1" t="s">
        <v>641</v>
      </c>
      <c r="D33" s="1" t="s">
        <v>583</v>
      </c>
      <c r="F33" s="1">
        <v>1.0</v>
      </c>
      <c r="G33" s="1">
        <v>145.0</v>
      </c>
      <c r="H33" s="1">
        <v>0.007</v>
      </c>
      <c r="I33" s="1">
        <v>10.12</v>
      </c>
    </row>
    <row r="34">
      <c r="A34" s="2" t="s">
        <v>642</v>
      </c>
      <c r="B34" s="1">
        <v>200.0</v>
      </c>
      <c r="C34" s="1" t="s">
        <v>643</v>
      </c>
      <c r="D34" s="1" t="s">
        <v>583</v>
      </c>
      <c r="F34" s="1">
        <v>3.0</v>
      </c>
      <c r="G34" s="1">
        <v>3446.0</v>
      </c>
      <c r="H34" s="1">
        <v>0.001</v>
      </c>
      <c r="I34" s="1">
        <v>33.72</v>
      </c>
    </row>
    <row r="35">
      <c r="A35" s="2" t="s">
        <v>499</v>
      </c>
      <c r="B35" s="1">
        <v>200.0</v>
      </c>
      <c r="C35" s="1" t="s">
        <v>644</v>
      </c>
      <c r="D35" s="1" t="s">
        <v>583</v>
      </c>
      <c r="F35" s="1">
        <v>1.0</v>
      </c>
      <c r="G35" s="1">
        <v>954.0</v>
      </c>
      <c r="H35" s="1">
        <v>0.001</v>
      </c>
      <c r="I35" s="1">
        <v>12.54</v>
      </c>
    </row>
    <row r="36">
      <c r="A36" s="2" t="s">
        <v>645</v>
      </c>
      <c r="B36" s="1">
        <v>200.0</v>
      </c>
      <c r="C36" s="1" t="s">
        <v>646</v>
      </c>
      <c r="D36" s="1" t="s">
        <v>583</v>
      </c>
      <c r="F36" s="1">
        <v>14.0</v>
      </c>
      <c r="G36" s="1">
        <v>613.0</v>
      </c>
      <c r="H36" s="1">
        <v>0.023</v>
      </c>
      <c r="I36" s="1">
        <v>5.73</v>
      </c>
    </row>
    <row r="37">
      <c r="A37" s="2" t="s">
        <v>647</v>
      </c>
      <c r="B37" s="1">
        <v>200.0</v>
      </c>
      <c r="C37" s="1" t="s">
        <v>648</v>
      </c>
      <c r="D37" s="1" t="s">
        <v>583</v>
      </c>
      <c r="F37" s="1">
        <v>3.0</v>
      </c>
      <c r="G37" s="1">
        <v>1183.0</v>
      </c>
      <c r="H37" s="1">
        <v>0.003</v>
      </c>
      <c r="I37" s="1">
        <v>28.0</v>
      </c>
    </row>
    <row r="38">
      <c r="A38" s="2" t="s">
        <v>649</v>
      </c>
      <c r="B38" s="1">
        <v>200.0</v>
      </c>
      <c r="C38" s="1" t="s">
        <v>650</v>
      </c>
      <c r="D38" s="1" t="s">
        <v>583</v>
      </c>
      <c r="F38" s="1">
        <v>0.0</v>
      </c>
      <c r="G38" s="1">
        <v>23.0</v>
      </c>
      <c r="H38" s="1">
        <v>0.0</v>
      </c>
      <c r="I38" s="1">
        <v>29.17</v>
      </c>
    </row>
    <row r="39">
      <c r="A39" s="2" t="s">
        <v>651</v>
      </c>
      <c r="B39" s="1">
        <v>200.0</v>
      </c>
      <c r="C39" s="1" t="s">
        <v>652</v>
      </c>
      <c r="D39" s="1" t="s">
        <v>583</v>
      </c>
      <c r="F39" s="1">
        <v>1.0</v>
      </c>
      <c r="G39" s="1">
        <v>136.0</v>
      </c>
      <c r="H39" s="1">
        <v>0.007</v>
      </c>
      <c r="I39" s="1">
        <v>27.64</v>
      </c>
    </row>
    <row r="40">
      <c r="A40" s="2" t="s">
        <v>439</v>
      </c>
      <c r="B40" s="1">
        <v>200.0</v>
      </c>
      <c r="C40" s="1" t="s">
        <v>653</v>
      </c>
      <c r="D40" s="1" t="s">
        <v>583</v>
      </c>
      <c r="F40" s="1">
        <v>57.0</v>
      </c>
      <c r="G40" s="1">
        <v>19373.0</v>
      </c>
      <c r="H40" s="1">
        <v>0.003</v>
      </c>
      <c r="I40" s="1">
        <v>19.07</v>
      </c>
    </row>
    <row r="41">
      <c r="A41" s="2" t="s">
        <v>654</v>
      </c>
      <c r="B41" s="1">
        <v>200.0</v>
      </c>
      <c r="C41" s="1" t="s">
        <v>655</v>
      </c>
      <c r="D41" s="1" t="s">
        <v>583</v>
      </c>
      <c r="F41" s="1">
        <v>0.0</v>
      </c>
      <c r="G41" s="1">
        <v>615.0</v>
      </c>
      <c r="H41" s="1">
        <v>0.0</v>
      </c>
      <c r="I41" s="1">
        <v>26.82</v>
      </c>
    </row>
    <row r="42">
      <c r="A42" s="2" t="s">
        <v>455</v>
      </c>
      <c r="B42" s="1">
        <v>200.0</v>
      </c>
      <c r="C42" s="1" t="s">
        <v>656</v>
      </c>
      <c r="D42" s="1" t="s">
        <v>583</v>
      </c>
      <c r="F42" s="1">
        <v>1.0</v>
      </c>
      <c r="G42" s="1">
        <v>2110.0</v>
      </c>
      <c r="H42" s="1">
        <v>0.0</v>
      </c>
      <c r="I42" s="1">
        <v>46.65</v>
      </c>
    </row>
    <row r="43">
      <c r="A43" s="2" t="s">
        <v>657</v>
      </c>
      <c r="B43" s="1">
        <v>200.0</v>
      </c>
      <c r="C43" s="1" t="s">
        <v>658</v>
      </c>
      <c r="D43" s="1" t="s">
        <v>583</v>
      </c>
      <c r="F43" s="1">
        <v>0.0</v>
      </c>
      <c r="G43" s="1">
        <v>25.0</v>
      </c>
      <c r="H43" s="1">
        <v>0.0</v>
      </c>
      <c r="I43" s="1">
        <v>49.2</v>
      </c>
    </row>
    <row r="44">
      <c r="A44" s="2" t="s">
        <v>659</v>
      </c>
      <c r="B44" s="1">
        <v>200.0</v>
      </c>
      <c r="C44" s="1" t="s">
        <v>660</v>
      </c>
      <c r="D44" s="1" t="s">
        <v>583</v>
      </c>
      <c r="F44" s="1">
        <v>0.0</v>
      </c>
      <c r="G44" s="1">
        <v>2155.0</v>
      </c>
      <c r="H44" s="1">
        <v>0.0</v>
      </c>
      <c r="I44" s="1">
        <v>20.67</v>
      </c>
    </row>
    <row r="45">
      <c r="A45" s="2" t="s">
        <v>661</v>
      </c>
      <c r="B45" s="1">
        <v>301.0</v>
      </c>
      <c r="D45" s="1" t="s">
        <v>609</v>
      </c>
      <c r="E45" s="1" t="s">
        <v>610</v>
      </c>
      <c r="F45" s="1">
        <v>0.0</v>
      </c>
      <c r="G45" s="1">
        <v>20.0</v>
      </c>
      <c r="H45" s="1">
        <v>0.0</v>
      </c>
      <c r="I45" s="1">
        <v>32.1</v>
      </c>
    </row>
    <row r="46">
      <c r="A46" s="2" t="s">
        <v>662</v>
      </c>
      <c r="B46" s="1">
        <v>200.0</v>
      </c>
      <c r="C46" s="1" t="s">
        <v>663</v>
      </c>
      <c r="D46" s="1" t="s">
        <v>609</v>
      </c>
      <c r="E46" s="1" t="s">
        <v>664</v>
      </c>
    </row>
    <row r="47">
      <c r="A47" s="2" t="s">
        <v>665</v>
      </c>
      <c r="B47" s="1">
        <v>200.0</v>
      </c>
      <c r="C47" s="1" t="s">
        <v>666</v>
      </c>
      <c r="D47" s="1" t="s">
        <v>583</v>
      </c>
      <c r="F47" s="1">
        <v>2.0</v>
      </c>
      <c r="G47" s="1">
        <v>1381.0</v>
      </c>
      <c r="H47" s="1">
        <v>0.001</v>
      </c>
      <c r="I47" s="1">
        <v>32.5</v>
      </c>
    </row>
    <row r="48">
      <c r="A48" s="2" t="s">
        <v>667</v>
      </c>
      <c r="B48" s="1">
        <v>200.0</v>
      </c>
      <c r="C48" s="1" t="s">
        <v>668</v>
      </c>
      <c r="D48" s="1" t="s">
        <v>583</v>
      </c>
      <c r="F48" s="1">
        <v>1.0</v>
      </c>
      <c r="G48" s="1">
        <v>504.0</v>
      </c>
      <c r="H48" s="1">
        <v>0.002</v>
      </c>
      <c r="I48" s="1">
        <v>36.99</v>
      </c>
    </row>
    <row r="49">
      <c r="A49" s="2" t="s">
        <v>669</v>
      </c>
      <c r="B49" s="1">
        <v>200.0</v>
      </c>
      <c r="C49" s="1" t="s">
        <v>670</v>
      </c>
      <c r="D49" s="1" t="s">
        <v>583</v>
      </c>
      <c r="F49" s="1">
        <v>0.0</v>
      </c>
      <c r="G49" s="1">
        <v>118.0</v>
      </c>
      <c r="H49" s="1">
        <v>0.0</v>
      </c>
      <c r="I49" s="1">
        <v>16.08</v>
      </c>
    </row>
    <row r="50">
      <c r="A50" s="2" t="s">
        <v>671</v>
      </c>
      <c r="B50" s="1">
        <v>200.0</v>
      </c>
      <c r="C50" s="1" t="s">
        <v>672</v>
      </c>
      <c r="D50" s="1" t="s">
        <v>583</v>
      </c>
      <c r="F50" s="1">
        <v>0.0</v>
      </c>
      <c r="G50" s="1">
        <v>974.0</v>
      </c>
      <c r="H50" s="1">
        <v>0.0</v>
      </c>
      <c r="I50" s="1">
        <v>31.46</v>
      </c>
    </row>
    <row r="51">
      <c r="A51" s="2" t="s">
        <v>673</v>
      </c>
      <c r="B51" s="1">
        <v>200.0</v>
      </c>
      <c r="C51" s="1" t="s">
        <v>674</v>
      </c>
      <c r="D51" s="1" t="s">
        <v>583</v>
      </c>
      <c r="F51" s="1">
        <v>0.0</v>
      </c>
      <c r="G51" s="1">
        <v>490.0</v>
      </c>
      <c r="H51" s="1">
        <v>0.0</v>
      </c>
      <c r="I51" s="1">
        <v>25.37</v>
      </c>
    </row>
    <row r="52">
      <c r="A52" s="2" t="s">
        <v>675</v>
      </c>
      <c r="B52" s="1">
        <v>301.0</v>
      </c>
      <c r="D52" s="1" t="s">
        <v>609</v>
      </c>
      <c r="E52" s="1" t="s">
        <v>610</v>
      </c>
      <c r="F52" s="1">
        <v>4.0</v>
      </c>
      <c r="G52" s="1">
        <v>342.0</v>
      </c>
      <c r="H52" s="1">
        <v>0.012</v>
      </c>
      <c r="I52" s="1">
        <v>36.28</v>
      </c>
    </row>
    <row r="53">
      <c r="A53" s="2" t="s">
        <v>676</v>
      </c>
      <c r="B53" s="1">
        <v>200.0</v>
      </c>
      <c r="C53" s="1" t="s">
        <v>677</v>
      </c>
      <c r="D53" s="1" t="s">
        <v>583</v>
      </c>
      <c r="F53" s="1">
        <v>2.0</v>
      </c>
      <c r="G53" s="1">
        <v>3095.0</v>
      </c>
      <c r="H53" s="1">
        <v>0.001</v>
      </c>
      <c r="I53" s="1">
        <v>42.01</v>
      </c>
    </row>
    <row r="54">
      <c r="A54" s="2" t="s">
        <v>678</v>
      </c>
      <c r="B54" s="1">
        <v>200.0</v>
      </c>
      <c r="C54" s="1" t="s">
        <v>679</v>
      </c>
      <c r="D54" s="1" t="s">
        <v>583</v>
      </c>
      <c r="F54" s="1">
        <v>0.0</v>
      </c>
      <c r="G54" s="1">
        <v>66.0</v>
      </c>
      <c r="H54" s="1">
        <v>0.0</v>
      </c>
      <c r="I54" s="1">
        <v>37.73</v>
      </c>
    </row>
    <row r="55">
      <c r="A55" s="2" t="s">
        <v>463</v>
      </c>
      <c r="B55" s="1">
        <v>200.0</v>
      </c>
      <c r="C55" s="1" t="s">
        <v>680</v>
      </c>
      <c r="D55" s="1" t="s">
        <v>583</v>
      </c>
      <c r="F55" s="1">
        <v>2.0</v>
      </c>
      <c r="G55" s="1">
        <v>499.0</v>
      </c>
      <c r="H55" s="1">
        <v>0.004</v>
      </c>
      <c r="I55" s="1">
        <v>18.25</v>
      </c>
    </row>
    <row r="56">
      <c r="A56" s="2" t="s">
        <v>681</v>
      </c>
      <c r="B56" s="1">
        <v>200.0</v>
      </c>
      <c r="C56" s="1" t="s">
        <v>682</v>
      </c>
      <c r="D56" s="1" t="s">
        <v>583</v>
      </c>
      <c r="F56" s="1">
        <v>4.0</v>
      </c>
      <c r="G56" s="1">
        <v>2422.0</v>
      </c>
      <c r="H56" s="1">
        <v>0.002</v>
      </c>
      <c r="I56" s="1">
        <v>25.5</v>
      </c>
    </row>
    <row r="57">
      <c r="A57" s="2" t="s">
        <v>683</v>
      </c>
      <c r="B57" s="1">
        <v>200.0</v>
      </c>
      <c r="C57" s="1" t="s">
        <v>684</v>
      </c>
      <c r="D57" s="1" t="s">
        <v>583</v>
      </c>
      <c r="F57" s="1">
        <v>1.0</v>
      </c>
      <c r="G57" s="1">
        <v>368.0</v>
      </c>
      <c r="H57" s="1">
        <v>0.003</v>
      </c>
      <c r="I57" s="1">
        <v>23.52</v>
      </c>
    </row>
    <row r="58">
      <c r="A58" s="2" t="s">
        <v>443</v>
      </c>
      <c r="B58" s="1">
        <v>200.0</v>
      </c>
      <c r="C58" s="1" t="s">
        <v>685</v>
      </c>
      <c r="D58" s="1" t="s">
        <v>583</v>
      </c>
      <c r="F58" s="1">
        <v>2.0</v>
      </c>
      <c r="G58" s="1">
        <v>1703.0</v>
      </c>
      <c r="H58" s="1">
        <v>0.001</v>
      </c>
      <c r="I58" s="1">
        <v>17.18</v>
      </c>
    </row>
    <row r="59">
      <c r="A59" s="2" t="s">
        <v>539</v>
      </c>
      <c r="B59" s="1">
        <v>200.0</v>
      </c>
      <c r="C59" s="1" t="s">
        <v>686</v>
      </c>
      <c r="D59" s="1" t="s">
        <v>583</v>
      </c>
      <c r="F59" s="1">
        <v>0.0</v>
      </c>
      <c r="G59" s="1">
        <v>176.0</v>
      </c>
      <c r="H59" s="1">
        <v>0.0</v>
      </c>
      <c r="I59" s="1">
        <v>57.66</v>
      </c>
    </row>
    <row r="60">
      <c r="A60" s="2" t="s">
        <v>687</v>
      </c>
      <c r="B60" s="1">
        <v>200.0</v>
      </c>
      <c r="C60" s="1" t="s">
        <v>688</v>
      </c>
      <c r="D60" s="1" t="s">
        <v>583</v>
      </c>
      <c r="F60" s="1">
        <v>10.0</v>
      </c>
      <c r="G60" s="1">
        <v>3611.0</v>
      </c>
      <c r="H60" s="1">
        <v>0.003</v>
      </c>
      <c r="I60" s="1">
        <v>9.16</v>
      </c>
    </row>
    <row r="61">
      <c r="A61" s="2" t="s">
        <v>535</v>
      </c>
      <c r="B61" s="1">
        <v>200.0</v>
      </c>
      <c r="C61" s="1" t="s">
        <v>689</v>
      </c>
      <c r="D61" s="1" t="s">
        <v>583</v>
      </c>
      <c r="F61" s="1">
        <v>0.0</v>
      </c>
      <c r="G61" s="1">
        <v>253.0</v>
      </c>
      <c r="H61" s="1">
        <v>0.0</v>
      </c>
      <c r="I61" s="1">
        <v>30.57</v>
      </c>
    </row>
    <row r="62">
      <c r="A62" s="2" t="s">
        <v>690</v>
      </c>
      <c r="B62" s="1">
        <v>200.0</v>
      </c>
      <c r="C62" s="1" t="s">
        <v>691</v>
      </c>
      <c r="D62" s="1" t="s">
        <v>583</v>
      </c>
      <c r="F62" s="1">
        <v>0.0</v>
      </c>
      <c r="G62" s="1">
        <v>1530.0</v>
      </c>
      <c r="H62" s="1">
        <v>0.0</v>
      </c>
      <c r="I62" s="1">
        <v>11.84</v>
      </c>
    </row>
    <row r="63">
      <c r="A63" s="2" t="s">
        <v>692</v>
      </c>
      <c r="B63" s="1">
        <v>200.0</v>
      </c>
      <c r="C63" s="1" t="s">
        <v>693</v>
      </c>
      <c r="D63" s="1" t="s">
        <v>583</v>
      </c>
      <c r="F63" s="1">
        <v>11.0</v>
      </c>
      <c r="G63" s="1">
        <v>1407.0</v>
      </c>
      <c r="H63" s="1">
        <v>0.008</v>
      </c>
      <c r="I63" s="1">
        <v>9.6</v>
      </c>
    </row>
    <row r="64">
      <c r="A64" s="2" t="s">
        <v>694</v>
      </c>
      <c r="B64" s="1">
        <v>200.0</v>
      </c>
      <c r="C64" s="1" t="s">
        <v>695</v>
      </c>
      <c r="D64" s="1" t="s">
        <v>583</v>
      </c>
      <c r="F64" s="1">
        <v>69.0</v>
      </c>
      <c r="G64" s="1">
        <v>26560.0</v>
      </c>
      <c r="H64" s="1">
        <v>0.003</v>
      </c>
      <c r="I64" s="1">
        <v>8.03</v>
      </c>
    </row>
    <row r="65">
      <c r="A65" s="2" t="s">
        <v>696</v>
      </c>
      <c r="B65" s="1">
        <v>200.0</v>
      </c>
      <c r="C65" s="1" t="s">
        <v>697</v>
      </c>
      <c r="D65" s="1" t="s">
        <v>583</v>
      </c>
      <c r="F65" s="1">
        <v>1.0</v>
      </c>
      <c r="G65" s="1">
        <v>2684.0</v>
      </c>
      <c r="H65" s="1">
        <v>0.0</v>
      </c>
      <c r="I65" s="1">
        <v>19.46</v>
      </c>
    </row>
    <row r="66">
      <c r="A66" s="2" t="s">
        <v>698</v>
      </c>
      <c r="B66" s="1">
        <v>200.0</v>
      </c>
      <c r="C66" s="1" t="s">
        <v>699</v>
      </c>
      <c r="D66" s="1" t="s">
        <v>583</v>
      </c>
      <c r="F66" s="1">
        <v>1.0</v>
      </c>
      <c r="G66" s="1">
        <v>2856.0</v>
      </c>
      <c r="H66" s="1">
        <v>0.0</v>
      </c>
      <c r="I66" s="1">
        <v>54.53</v>
      </c>
    </row>
    <row r="67">
      <c r="A67" s="2" t="s">
        <v>700</v>
      </c>
      <c r="B67" s="1">
        <v>200.0</v>
      </c>
      <c r="C67" s="1" t="s">
        <v>701</v>
      </c>
      <c r="D67" s="1" t="s">
        <v>583</v>
      </c>
      <c r="F67" s="1">
        <v>1.0</v>
      </c>
      <c r="G67" s="1">
        <v>1359.0</v>
      </c>
      <c r="H67" s="1">
        <v>0.001</v>
      </c>
      <c r="I67" s="1">
        <v>43.64</v>
      </c>
    </row>
    <row r="68">
      <c r="A68" s="2" t="s">
        <v>702</v>
      </c>
      <c r="B68" s="1">
        <v>200.0</v>
      </c>
      <c r="C68" s="1" t="s">
        <v>703</v>
      </c>
      <c r="D68" s="1" t="s">
        <v>583</v>
      </c>
      <c r="F68" s="1">
        <v>0.0</v>
      </c>
      <c r="G68" s="1">
        <v>697.0</v>
      </c>
      <c r="H68" s="1">
        <v>0.0</v>
      </c>
      <c r="I68" s="1">
        <v>27.99</v>
      </c>
    </row>
    <row r="69">
      <c r="A69" s="2" t="s">
        <v>704</v>
      </c>
      <c r="B69" s="1">
        <v>200.0</v>
      </c>
      <c r="C69" s="1" t="s">
        <v>705</v>
      </c>
      <c r="D69" s="1" t="s">
        <v>583</v>
      </c>
      <c r="F69" s="1">
        <v>0.0</v>
      </c>
      <c r="G69" s="1">
        <v>207.0</v>
      </c>
      <c r="H69" s="1">
        <v>0.0</v>
      </c>
      <c r="I69" s="1">
        <v>61.34</v>
      </c>
    </row>
    <row r="70">
      <c r="A70" s="2" t="s">
        <v>706</v>
      </c>
      <c r="B70" s="1">
        <v>200.0</v>
      </c>
      <c r="C70" s="1" t="s">
        <v>707</v>
      </c>
      <c r="D70" s="1" t="s">
        <v>583</v>
      </c>
      <c r="F70" s="1">
        <v>0.0</v>
      </c>
      <c r="G70" s="1">
        <v>340.0</v>
      </c>
      <c r="H70" s="1">
        <v>0.0</v>
      </c>
      <c r="I70" s="1">
        <v>20.22</v>
      </c>
    </row>
    <row r="71">
      <c r="A71" s="2" t="s">
        <v>708</v>
      </c>
      <c r="B71" s="1">
        <v>200.0</v>
      </c>
      <c r="C71" s="1" t="s">
        <v>709</v>
      </c>
      <c r="D71" s="1" t="s">
        <v>583</v>
      </c>
      <c r="F71" s="1">
        <v>0.0</v>
      </c>
      <c r="G71" s="1">
        <v>878.0</v>
      </c>
      <c r="H71" s="1">
        <v>0.0</v>
      </c>
      <c r="I71" s="1">
        <v>52.18</v>
      </c>
    </row>
    <row r="72">
      <c r="A72" s="2" t="s">
        <v>710</v>
      </c>
      <c r="B72" s="1">
        <v>200.0</v>
      </c>
      <c r="C72" s="1" t="s">
        <v>711</v>
      </c>
      <c r="D72" s="1" t="s">
        <v>583</v>
      </c>
      <c r="F72" s="1">
        <v>3.0</v>
      </c>
      <c r="G72" s="1">
        <v>1183.0</v>
      </c>
      <c r="H72" s="1">
        <v>0.003</v>
      </c>
      <c r="I72" s="1">
        <v>37.7</v>
      </c>
    </row>
    <row r="73">
      <c r="A73" s="2" t="s">
        <v>712</v>
      </c>
      <c r="B73" s="1">
        <v>200.0</v>
      </c>
      <c r="C73" s="1" t="s">
        <v>713</v>
      </c>
      <c r="D73" s="1" t="s">
        <v>583</v>
      </c>
      <c r="F73" s="1">
        <v>0.0</v>
      </c>
      <c r="G73" s="1">
        <v>658.0</v>
      </c>
      <c r="H73" s="1">
        <v>0.0</v>
      </c>
      <c r="I73" s="1">
        <v>49.23</v>
      </c>
    </row>
    <row r="74">
      <c r="A74" s="2" t="s">
        <v>714</v>
      </c>
      <c r="B74" s="1">
        <v>200.0</v>
      </c>
      <c r="C74" s="1" t="s">
        <v>715</v>
      </c>
      <c r="D74" s="1" t="s">
        <v>583</v>
      </c>
      <c r="F74" s="1">
        <v>3.0</v>
      </c>
      <c r="G74" s="1">
        <v>3665.0</v>
      </c>
      <c r="H74" s="1">
        <v>0.001</v>
      </c>
      <c r="I74" s="1">
        <v>20.56</v>
      </c>
    </row>
    <row r="75">
      <c r="A75" s="2" t="s">
        <v>716</v>
      </c>
      <c r="B75" s="1">
        <v>200.0</v>
      </c>
      <c r="C75" s="1" t="s">
        <v>717</v>
      </c>
      <c r="D75" s="1" t="s">
        <v>583</v>
      </c>
      <c r="F75" s="1">
        <v>0.0</v>
      </c>
      <c r="G75" s="1">
        <v>1313.0</v>
      </c>
      <c r="H75" s="1">
        <v>0.0</v>
      </c>
      <c r="I75" s="1">
        <v>54.77</v>
      </c>
    </row>
    <row r="76">
      <c r="A76" s="2" t="s">
        <v>718</v>
      </c>
      <c r="B76" s="1">
        <v>200.0</v>
      </c>
      <c r="C76" s="1" t="s">
        <v>719</v>
      </c>
      <c r="D76" s="1" t="s">
        <v>583</v>
      </c>
      <c r="F76" s="1">
        <v>1.0</v>
      </c>
      <c r="G76" s="1">
        <v>1871.0</v>
      </c>
      <c r="H76" s="1">
        <v>0.0</v>
      </c>
      <c r="I76" s="1">
        <v>55.67</v>
      </c>
    </row>
    <row r="77">
      <c r="A77" s="2" t="s">
        <v>720</v>
      </c>
      <c r="B77" s="1">
        <v>200.0</v>
      </c>
      <c r="C77" s="1" t="s">
        <v>721</v>
      </c>
      <c r="D77" s="1" t="s">
        <v>583</v>
      </c>
      <c r="F77" s="1">
        <v>0.0</v>
      </c>
      <c r="G77" s="1">
        <v>1148.0</v>
      </c>
      <c r="H77" s="1">
        <v>0.0</v>
      </c>
      <c r="I77" s="1">
        <v>60.76</v>
      </c>
    </row>
    <row r="78">
      <c r="A78" s="2" t="s">
        <v>722</v>
      </c>
      <c r="B78" s="1">
        <v>200.0</v>
      </c>
      <c r="C78" s="1" t="s">
        <v>723</v>
      </c>
      <c r="D78" s="1" t="s">
        <v>583</v>
      </c>
      <c r="F78" s="1">
        <v>0.0</v>
      </c>
      <c r="G78" s="1">
        <v>101.0</v>
      </c>
      <c r="H78" s="1">
        <v>0.0</v>
      </c>
      <c r="I78" s="1">
        <v>57.79</v>
      </c>
    </row>
    <row r="79">
      <c r="A79" s="2" t="s">
        <v>724</v>
      </c>
      <c r="B79" s="1">
        <v>200.0</v>
      </c>
      <c r="C79" s="1" t="s">
        <v>725</v>
      </c>
      <c r="D79" s="1" t="s">
        <v>583</v>
      </c>
      <c r="F79" s="1">
        <v>2.0</v>
      </c>
      <c r="G79" s="1">
        <v>3663.0</v>
      </c>
      <c r="H79" s="1">
        <v>0.0</v>
      </c>
      <c r="I79" s="1">
        <v>13.38</v>
      </c>
    </row>
    <row r="80">
      <c r="A80" s="2" t="s">
        <v>726</v>
      </c>
      <c r="B80" s="1">
        <v>200.0</v>
      </c>
      <c r="C80" s="1" t="s">
        <v>727</v>
      </c>
      <c r="D80" s="1" t="s">
        <v>583</v>
      </c>
      <c r="F80" s="1">
        <v>1.0</v>
      </c>
      <c r="G80" s="1">
        <v>2991.0</v>
      </c>
      <c r="H80" s="1">
        <v>0.0</v>
      </c>
      <c r="I80" s="1">
        <v>57.11</v>
      </c>
    </row>
    <row r="81">
      <c r="A81" s="2" t="s">
        <v>728</v>
      </c>
      <c r="B81" s="1">
        <v>200.0</v>
      </c>
      <c r="C81" s="1" t="s">
        <v>729</v>
      </c>
      <c r="D81" s="1" t="s">
        <v>583</v>
      </c>
      <c r="F81" s="1">
        <v>0.0</v>
      </c>
      <c r="G81" s="1">
        <v>624.0</v>
      </c>
      <c r="H81" s="1">
        <v>0.0</v>
      </c>
      <c r="I81" s="1">
        <v>26.73</v>
      </c>
    </row>
    <row r="82">
      <c r="A82" s="2" t="s">
        <v>730</v>
      </c>
      <c r="B82" s="1">
        <v>200.0</v>
      </c>
      <c r="C82" s="1" t="s">
        <v>731</v>
      </c>
      <c r="D82" s="1" t="s">
        <v>583</v>
      </c>
      <c r="F82" s="1">
        <v>0.0</v>
      </c>
      <c r="G82" s="1">
        <v>117.0</v>
      </c>
      <c r="H82" s="1">
        <v>0.0</v>
      </c>
      <c r="I82" s="1">
        <v>47.15</v>
      </c>
    </row>
    <row r="83">
      <c r="A83" s="2" t="s">
        <v>732</v>
      </c>
      <c r="B83" s="1">
        <v>200.0</v>
      </c>
      <c r="C83" s="1" t="s">
        <v>733</v>
      </c>
      <c r="D83" s="1" t="s">
        <v>583</v>
      </c>
      <c r="F83" s="1">
        <v>0.0</v>
      </c>
      <c r="G83" s="1">
        <v>231.0</v>
      </c>
      <c r="H83" s="1">
        <v>0.0</v>
      </c>
      <c r="I83" s="1">
        <v>52.98</v>
      </c>
    </row>
    <row r="84">
      <c r="A84" s="2" t="s">
        <v>734</v>
      </c>
      <c r="B84" s="1">
        <v>200.0</v>
      </c>
      <c r="C84" s="1" t="s">
        <v>735</v>
      </c>
      <c r="D84" s="1" t="s">
        <v>583</v>
      </c>
      <c r="F84" s="1">
        <v>2.0</v>
      </c>
      <c r="G84" s="1">
        <v>754.0</v>
      </c>
      <c r="H84" s="1">
        <v>0.003</v>
      </c>
      <c r="I84" s="1">
        <v>13.5</v>
      </c>
    </row>
    <row r="85">
      <c r="A85" s="2" t="s">
        <v>736</v>
      </c>
      <c r="B85" s="1">
        <v>200.0</v>
      </c>
      <c r="C85" s="1" t="s">
        <v>737</v>
      </c>
      <c r="D85" s="1" t="s">
        <v>583</v>
      </c>
      <c r="F85" s="1">
        <v>0.0</v>
      </c>
      <c r="G85" s="1">
        <v>1050.0</v>
      </c>
      <c r="H85" s="1">
        <v>0.0</v>
      </c>
      <c r="I85" s="1">
        <v>9.46</v>
      </c>
    </row>
    <row r="86">
      <c r="A86" s="2" t="s">
        <v>738</v>
      </c>
      <c r="B86" s="1">
        <v>200.0</v>
      </c>
      <c r="C86" s="1" t="s">
        <v>739</v>
      </c>
      <c r="D86" s="1" t="s">
        <v>583</v>
      </c>
      <c r="F86" s="1">
        <v>1.0</v>
      </c>
      <c r="G86" s="1">
        <v>1801.0</v>
      </c>
      <c r="H86" s="1">
        <v>0.001</v>
      </c>
      <c r="I86" s="1">
        <v>39.89</v>
      </c>
    </row>
    <row r="87">
      <c r="A87" s="2" t="s">
        <v>740</v>
      </c>
      <c r="B87" s="1">
        <v>200.0</v>
      </c>
      <c r="C87" s="1" t="s">
        <v>741</v>
      </c>
      <c r="D87" s="1" t="s">
        <v>583</v>
      </c>
      <c r="F87" s="1">
        <v>3.0</v>
      </c>
      <c r="G87" s="1">
        <v>3034.0</v>
      </c>
      <c r="H87" s="1">
        <v>0.001</v>
      </c>
      <c r="I87" s="1">
        <v>24.06</v>
      </c>
    </row>
    <row r="88">
      <c r="A88" s="2" t="s">
        <v>742</v>
      </c>
      <c r="B88" s="1">
        <v>200.0</v>
      </c>
      <c r="C88" s="1" t="s">
        <v>743</v>
      </c>
      <c r="D88" s="1" t="s">
        <v>583</v>
      </c>
      <c r="F88" s="1">
        <v>0.0</v>
      </c>
      <c r="G88" s="1">
        <v>361.0</v>
      </c>
      <c r="H88" s="1">
        <v>0.0</v>
      </c>
      <c r="I88" s="1">
        <v>37.48</v>
      </c>
    </row>
    <row r="89">
      <c r="A89" s="2" t="s">
        <v>744</v>
      </c>
      <c r="B89" s="1">
        <v>200.0</v>
      </c>
      <c r="C89" s="1" t="s">
        <v>745</v>
      </c>
      <c r="D89" s="1" t="s">
        <v>583</v>
      </c>
      <c r="F89" s="1">
        <v>3.0</v>
      </c>
      <c r="G89" s="1">
        <v>290.0</v>
      </c>
      <c r="H89" s="1">
        <v>0.01</v>
      </c>
      <c r="I89" s="1">
        <v>20.11</v>
      </c>
    </row>
    <row r="90">
      <c r="A90" s="2" t="s">
        <v>746</v>
      </c>
      <c r="B90" s="1">
        <v>200.0</v>
      </c>
      <c r="C90" s="1" t="s">
        <v>747</v>
      </c>
      <c r="D90" s="1" t="s">
        <v>583</v>
      </c>
      <c r="F90" s="1">
        <v>8.0</v>
      </c>
      <c r="G90" s="1">
        <v>814.0</v>
      </c>
      <c r="H90" s="1">
        <v>0.01</v>
      </c>
      <c r="I90" s="1">
        <v>14.25</v>
      </c>
    </row>
    <row r="91">
      <c r="A91" s="2" t="s">
        <v>748</v>
      </c>
      <c r="B91" s="1">
        <v>200.0</v>
      </c>
      <c r="C91" s="1" t="s">
        <v>749</v>
      </c>
      <c r="D91" s="1" t="s">
        <v>583</v>
      </c>
      <c r="F91" s="1">
        <v>3.0</v>
      </c>
      <c r="G91" s="1">
        <v>2150.0</v>
      </c>
      <c r="H91" s="1">
        <v>0.001</v>
      </c>
      <c r="I91" s="1">
        <v>43.54</v>
      </c>
    </row>
    <row r="92">
      <c r="A92" s="2" t="s">
        <v>750</v>
      </c>
      <c r="B92" s="1">
        <v>200.0</v>
      </c>
      <c r="C92" s="1" t="s">
        <v>751</v>
      </c>
      <c r="D92" s="1" t="s">
        <v>583</v>
      </c>
      <c r="F92" s="1">
        <v>5.0</v>
      </c>
      <c r="G92" s="1">
        <v>2133.0</v>
      </c>
      <c r="H92" s="1">
        <v>0.002</v>
      </c>
      <c r="I92" s="1">
        <v>40.78</v>
      </c>
    </row>
    <row r="93">
      <c r="A93" s="2" t="s">
        <v>752</v>
      </c>
      <c r="B93" s="1">
        <v>200.0</v>
      </c>
      <c r="C93" s="1" t="s">
        <v>753</v>
      </c>
      <c r="D93" s="1" t="s">
        <v>583</v>
      </c>
      <c r="F93" s="1">
        <v>2.0</v>
      </c>
      <c r="G93" s="1">
        <v>512.0</v>
      </c>
      <c r="H93" s="1">
        <v>0.004</v>
      </c>
      <c r="I93" s="1">
        <v>13.56</v>
      </c>
    </row>
    <row r="94">
      <c r="A94" s="2" t="s">
        <v>754</v>
      </c>
      <c r="B94" s="1">
        <v>200.0</v>
      </c>
      <c r="C94" s="1" t="s">
        <v>755</v>
      </c>
      <c r="D94" s="1" t="s">
        <v>583</v>
      </c>
      <c r="F94" s="1">
        <v>2.0</v>
      </c>
      <c r="G94" s="1">
        <v>15727.0</v>
      </c>
      <c r="H94" s="1">
        <v>0.0</v>
      </c>
      <c r="I94" s="1">
        <v>62.27</v>
      </c>
    </row>
    <row r="95">
      <c r="A95" s="2" t="s">
        <v>756</v>
      </c>
      <c r="B95" s="1">
        <v>200.0</v>
      </c>
      <c r="C95" s="1" t="s">
        <v>757</v>
      </c>
      <c r="D95" s="1" t="s">
        <v>583</v>
      </c>
      <c r="F95" s="1">
        <v>1.0</v>
      </c>
      <c r="G95" s="1">
        <v>455.0</v>
      </c>
      <c r="H95" s="1">
        <v>0.002</v>
      </c>
      <c r="I95" s="1">
        <v>38.99</v>
      </c>
    </row>
    <row r="96">
      <c r="A96" s="2" t="s">
        <v>758</v>
      </c>
      <c r="B96" s="1">
        <v>200.0</v>
      </c>
      <c r="C96" s="1" t="s">
        <v>759</v>
      </c>
      <c r="D96" s="1" t="s">
        <v>583</v>
      </c>
      <c r="F96" s="1">
        <v>1.0</v>
      </c>
      <c r="G96" s="1">
        <v>2084.0</v>
      </c>
      <c r="H96" s="1">
        <v>0.0</v>
      </c>
      <c r="I96" s="1">
        <v>21.67</v>
      </c>
    </row>
    <row r="97">
      <c r="A97" s="2" t="s">
        <v>760</v>
      </c>
      <c r="B97" s="1">
        <v>200.0</v>
      </c>
      <c r="C97" s="1" t="s">
        <v>761</v>
      </c>
      <c r="D97" s="1" t="s">
        <v>583</v>
      </c>
      <c r="F97" s="1">
        <v>0.0</v>
      </c>
      <c r="G97" s="1">
        <v>1965.0</v>
      </c>
      <c r="H97" s="1">
        <v>0.0</v>
      </c>
      <c r="I97" s="1">
        <v>38.3</v>
      </c>
    </row>
    <row r="98">
      <c r="A98" s="2" t="s">
        <v>762</v>
      </c>
      <c r="B98" s="1">
        <v>200.0</v>
      </c>
      <c r="C98" s="1" t="s">
        <v>763</v>
      </c>
      <c r="D98" s="1" t="s">
        <v>583</v>
      </c>
      <c r="F98" s="1">
        <v>0.0</v>
      </c>
      <c r="G98" s="1">
        <v>1843.0</v>
      </c>
      <c r="H98" s="1">
        <v>0.0</v>
      </c>
      <c r="I98" s="1">
        <v>35.95</v>
      </c>
    </row>
    <row r="99">
      <c r="A99" s="2" t="s">
        <v>764</v>
      </c>
      <c r="B99" s="1">
        <v>200.0</v>
      </c>
      <c r="C99" s="1" t="s">
        <v>765</v>
      </c>
      <c r="D99" s="1" t="s">
        <v>583</v>
      </c>
      <c r="F99" s="1">
        <v>0.0</v>
      </c>
      <c r="G99" s="1">
        <v>1937.0</v>
      </c>
      <c r="H99" s="1">
        <v>0.0</v>
      </c>
      <c r="I99" s="1">
        <v>29.07</v>
      </c>
    </row>
    <row r="100">
      <c r="A100" s="2" t="s">
        <v>766</v>
      </c>
      <c r="B100" s="1">
        <v>200.0</v>
      </c>
      <c r="C100" s="1" t="s">
        <v>767</v>
      </c>
      <c r="D100" s="1" t="s">
        <v>583</v>
      </c>
      <c r="F100" s="1">
        <v>0.0</v>
      </c>
      <c r="G100" s="1">
        <v>642.0</v>
      </c>
      <c r="H100" s="1">
        <v>0.0</v>
      </c>
      <c r="I100" s="1">
        <v>34.74</v>
      </c>
    </row>
    <row r="101">
      <c r="A101" s="2" t="s">
        <v>768</v>
      </c>
      <c r="B101" s="1">
        <v>200.0</v>
      </c>
      <c r="C101" s="1" t="s">
        <v>769</v>
      </c>
      <c r="D101" s="1" t="s">
        <v>583</v>
      </c>
      <c r="F101" s="1">
        <v>0.0</v>
      </c>
      <c r="G101" s="1">
        <v>1854.0</v>
      </c>
      <c r="H101" s="1">
        <v>0.0</v>
      </c>
      <c r="I101" s="1">
        <v>43.81</v>
      </c>
    </row>
    <row r="102">
      <c r="A102" s="2" t="s">
        <v>770</v>
      </c>
      <c r="B102" s="1">
        <v>200.0</v>
      </c>
      <c r="C102" s="1" t="s">
        <v>771</v>
      </c>
      <c r="D102" s="1" t="s">
        <v>583</v>
      </c>
      <c r="F102" s="1">
        <v>10.0</v>
      </c>
      <c r="G102" s="1">
        <v>3437.0</v>
      </c>
      <c r="H102" s="1">
        <v>0.003</v>
      </c>
      <c r="I102" s="1">
        <v>8.46</v>
      </c>
    </row>
    <row r="103">
      <c r="A103" s="2" t="s">
        <v>772</v>
      </c>
      <c r="B103" s="1">
        <v>200.0</v>
      </c>
      <c r="C103" s="1" t="s">
        <v>773</v>
      </c>
      <c r="D103" s="1" t="s">
        <v>583</v>
      </c>
      <c r="F103" s="1">
        <v>0.0</v>
      </c>
      <c r="G103" s="1">
        <v>1382.0</v>
      </c>
      <c r="H103" s="1">
        <v>0.0</v>
      </c>
      <c r="I103" s="1">
        <v>56.08</v>
      </c>
    </row>
    <row r="104">
      <c r="A104" s="2" t="s">
        <v>774</v>
      </c>
      <c r="B104" s="1">
        <v>200.0</v>
      </c>
      <c r="C104" s="1" t="s">
        <v>775</v>
      </c>
      <c r="D104" s="1" t="s">
        <v>583</v>
      </c>
      <c r="F104" s="1">
        <v>3.0</v>
      </c>
      <c r="G104" s="1">
        <v>2964.0</v>
      </c>
      <c r="H104" s="1">
        <v>0.001</v>
      </c>
      <c r="I104" s="1">
        <v>11.92</v>
      </c>
    </row>
    <row r="105">
      <c r="A105" s="2" t="s">
        <v>776</v>
      </c>
      <c r="B105" s="1">
        <v>200.0</v>
      </c>
      <c r="C105" s="1" t="s">
        <v>777</v>
      </c>
      <c r="D105" s="1" t="s">
        <v>583</v>
      </c>
      <c r="F105" s="1">
        <v>0.0</v>
      </c>
      <c r="G105" s="1">
        <v>1134.0</v>
      </c>
      <c r="H105" s="1">
        <v>0.0</v>
      </c>
      <c r="I105" s="1">
        <v>62.11</v>
      </c>
    </row>
    <row r="106">
      <c r="A106" s="2" t="s">
        <v>778</v>
      </c>
      <c r="B106" s="1">
        <v>200.0</v>
      </c>
      <c r="C106" s="1" t="s">
        <v>779</v>
      </c>
      <c r="D106" s="1" t="s">
        <v>583</v>
      </c>
      <c r="F106" s="1">
        <v>0.0</v>
      </c>
      <c r="G106" s="1">
        <v>7591.0</v>
      </c>
      <c r="H106" s="1">
        <v>0.0</v>
      </c>
      <c r="I106" s="1">
        <v>45.96</v>
      </c>
    </row>
    <row r="107">
      <c r="A107" s="2" t="s">
        <v>780</v>
      </c>
      <c r="B107" s="1">
        <v>200.0</v>
      </c>
      <c r="C107" s="1" t="s">
        <v>781</v>
      </c>
      <c r="D107" s="1" t="s">
        <v>583</v>
      </c>
      <c r="F107" s="1">
        <v>1.0</v>
      </c>
      <c r="G107" s="1">
        <v>752.0</v>
      </c>
      <c r="H107" s="1">
        <v>0.001</v>
      </c>
      <c r="I107" s="1">
        <v>27.1</v>
      </c>
    </row>
    <row r="108">
      <c r="A108" s="2" t="s">
        <v>782</v>
      </c>
      <c r="B108" s="1">
        <v>200.0</v>
      </c>
      <c r="C108" s="1" t="s">
        <v>783</v>
      </c>
      <c r="D108" s="1" t="s">
        <v>583</v>
      </c>
      <c r="F108" s="1">
        <v>0.0</v>
      </c>
      <c r="G108" s="1">
        <v>3105.0</v>
      </c>
      <c r="H108" s="1">
        <v>0.0</v>
      </c>
      <c r="I108" s="1">
        <v>41.25</v>
      </c>
    </row>
    <row r="109">
      <c r="A109" s="2" t="s">
        <v>784</v>
      </c>
      <c r="B109" s="1">
        <v>200.0</v>
      </c>
      <c r="C109" s="1" t="s">
        <v>785</v>
      </c>
      <c r="D109" s="1" t="s">
        <v>583</v>
      </c>
      <c r="F109" s="1">
        <v>0.0</v>
      </c>
      <c r="G109" s="1">
        <v>670.0</v>
      </c>
      <c r="H109" s="1">
        <v>0.0</v>
      </c>
      <c r="I109" s="1">
        <v>50.6</v>
      </c>
    </row>
    <row r="110">
      <c r="A110" s="2" t="s">
        <v>786</v>
      </c>
      <c r="B110" s="1">
        <v>200.0</v>
      </c>
      <c r="C110" s="1" t="s">
        <v>787</v>
      </c>
      <c r="D110" s="1" t="s">
        <v>583</v>
      </c>
      <c r="F110" s="1">
        <v>0.0</v>
      </c>
      <c r="G110" s="1">
        <v>4239.0</v>
      </c>
      <c r="H110" s="1">
        <v>0.0</v>
      </c>
      <c r="I110" s="1">
        <v>37.62</v>
      </c>
    </row>
    <row r="111">
      <c r="A111" s="2" t="s">
        <v>788</v>
      </c>
      <c r="B111" s="1">
        <v>200.0</v>
      </c>
      <c r="C111" s="1" t="s">
        <v>789</v>
      </c>
      <c r="D111" s="1" t="s">
        <v>583</v>
      </c>
      <c r="F111" s="1">
        <v>0.0</v>
      </c>
      <c r="G111" s="1">
        <v>198.0</v>
      </c>
      <c r="H111" s="1">
        <v>0.0</v>
      </c>
      <c r="I111" s="1">
        <v>13.52</v>
      </c>
    </row>
    <row r="112">
      <c r="A112" s="2" t="s">
        <v>790</v>
      </c>
      <c r="B112" s="1">
        <v>200.0</v>
      </c>
      <c r="C112" s="1" t="s">
        <v>791</v>
      </c>
      <c r="D112" s="1" t="s">
        <v>583</v>
      </c>
      <c r="F112" s="1">
        <v>0.0</v>
      </c>
      <c r="G112" s="1">
        <v>2497.0</v>
      </c>
      <c r="H112" s="1">
        <v>0.0</v>
      </c>
      <c r="I112" s="1">
        <v>9.15</v>
      </c>
    </row>
    <row r="113">
      <c r="A113" s="2" t="s">
        <v>792</v>
      </c>
      <c r="B113" s="1">
        <v>200.0</v>
      </c>
      <c r="C113" s="1" t="s">
        <v>793</v>
      </c>
      <c r="D113" s="1" t="s">
        <v>583</v>
      </c>
      <c r="F113" s="1">
        <v>1.0</v>
      </c>
      <c r="G113" s="1">
        <v>5503.0</v>
      </c>
      <c r="H113" s="1">
        <v>0.0</v>
      </c>
      <c r="I113" s="1">
        <v>35.84</v>
      </c>
    </row>
    <row r="114">
      <c r="A114" s="2" t="s">
        <v>794</v>
      </c>
      <c r="B114" s="1">
        <v>200.0</v>
      </c>
      <c r="C114" s="1" t="s">
        <v>795</v>
      </c>
      <c r="D114" s="1" t="s">
        <v>583</v>
      </c>
      <c r="F114" s="1">
        <v>1.0</v>
      </c>
      <c r="G114" s="1">
        <v>104.0</v>
      </c>
      <c r="H114" s="1">
        <v>0.01</v>
      </c>
      <c r="I114" s="1">
        <v>10.9</v>
      </c>
    </row>
    <row r="115">
      <c r="A115" s="2" t="s">
        <v>796</v>
      </c>
      <c r="B115" s="1">
        <v>200.0</v>
      </c>
      <c r="C115" s="1" t="s">
        <v>797</v>
      </c>
      <c r="D115" s="1" t="s">
        <v>583</v>
      </c>
      <c r="F115" s="1">
        <v>0.0</v>
      </c>
      <c r="G115" s="1">
        <v>760.0</v>
      </c>
      <c r="H115" s="1">
        <v>0.0</v>
      </c>
      <c r="I115" s="1">
        <v>18.48</v>
      </c>
    </row>
    <row r="116">
      <c r="A116" s="2" t="s">
        <v>798</v>
      </c>
      <c r="B116" s="1">
        <v>200.0</v>
      </c>
      <c r="C116" s="1" t="s">
        <v>799</v>
      </c>
      <c r="D116" s="1" t="s">
        <v>583</v>
      </c>
      <c r="F116" s="1">
        <v>9.0</v>
      </c>
      <c r="G116" s="1">
        <v>3541.0</v>
      </c>
      <c r="H116" s="1">
        <v>0.003</v>
      </c>
      <c r="I116" s="1">
        <v>14.11</v>
      </c>
    </row>
    <row r="117">
      <c r="A117" s="2" t="s">
        <v>800</v>
      </c>
      <c r="B117" s="1">
        <v>200.0</v>
      </c>
      <c r="C117" s="1" t="s">
        <v>801</v>
      </c>
      <c r="D117" s="1" t="s">
        <v>583</v>
      </c>
      <c r="F117" s="1">
        <v>2.0</v>
      </c>
      <c r="G117" s="1">
        <v>1074.0</v>
      </c>
      <c r="H117" s="1">
        <v>0.002</v>
      </c>
      <c r="I117" s="1">
        <v>32.27</v>
      </c>
    </row>
    <row r="118">
      <c r="A118" s="2" t="s">
        <v>802</v>
      </c>
      <c r="B118" s="1">
        <v>200.0</v>
      </c>
      <c r="C118" s="1" t="s">
        <v>637</v>
      </c>
      <c r="D118" s="1" t="s">
        <v>609</v>
      </c>
      <c r="E118" s="1" t="s">
        <v>631</v>
      </c>
    </row>
    <row r="119">
      <c r="A119" s="2" t="s">
        <v>803</v>
      </c>
      <c r="B119" s="1">
        <v>301.0</v>
      </c>
      <c r="D119" s="1" t="s">
        <v>609</v>
      </c>
      <c r="E119" s="1" t="s">
        <v>610</v>
      </c>
    </row>
    <row r="120">
      <c r="A120" s="2" t="s">
        <v>804</v>
      </c>
      <c r="B120" s="1">
        <v>200.0</v>
      </c>
      <c r="C120" s="1" t="s">
        <v>805</v>
      </c>
      <c r="D120" s="1" t="s">
        <v>583</v>
      </c>
      <c r="F120" s="1">
        <v>0.0</v>
      </c>
      <c r="G120" s="1">
        <v>406.0</v>
      </c>
      <c r="H120" s="1">
        <v>0.0</v>
      </c>
      <c r="I120" s="1">
        <v>42.26</v>
      </c>
    </row>
    <row r="121">
      <c r="A121" s="2" t="s">
        <v>806</v>
      </c>
      <c r="B121" s="1">
        <v>200.0</v>
      </c>
      <c r="C121" s="1" t="s">
        <v>807</v>
      </c>
      <c r="D121" s="1" t="s">
        <v>583</v>
      </c>
      <c r="F121" s="1">
        <v>0.0</v>
      </c>
      <c r="G121" s="1">
        <v>21.0</v>
      </c>
      <c r="H121" s="1">
        <v>0.0</v>
      </c>
      <c r="I121" s="1">
        <v>14.14</v>
      </c>
    </row>
    <row r="122">
      <c r="A122" s="2" t="s">
        <v>808</v>
      </c>
      <c r="B122" s="1">
        <v>200.0</v>
      </c>
      <c r="C122" s="1" t="s">
        <v>809</v>
      </c>
      <c r="D122" s="1" t="s">
        <v>583</v>
      </c>
      <c r="F122" s="1">
        <v>0.0</v>
      </c>
      <c r="G122" s="1">
        <v>2235.0</v>
      </c>
      <c r="H122" s="1">
        <v>0.0</v>
      </c>
      <c r="I122" s="1">
        <v>60.71</v>
      </c>
    </row>
    <row r="123">
      <c r="A123" s="2" t="s">
        <v>810</v>
      </c>
      <c r="B123" s="1">
        <v>200.0</v>
      </c>
      <c r="C123" s="1" t="s">
        <v>811</v>
      </c>
      <c r="D123" s="1" t="s">
        <v>583</v>
      </c>
      <c r="F123" s="1">
        <v>3.0</v>
      </c>
      <c r="G123" s="1">
        <v>755.0</v>
      </c>
      <c r="H123" s="1">
        <v>0.004</v>
      </c>
      <c r="I123" s="1">
        <v>14.45</v>
      </c>
    </row>
    <row r="124">
      <c r="A124" s="2" t="s">
        <v>812</v>
      </c>
      <c r="B124" s="1">
        <v>301.0</v>
      </c>
      <c r="D124" s="1" t="s">
        <v>609</v>
      </c>
      <c r="E124" s="1" t="s">
        <v>610</v>
      </c>
    </row>
    <row r="125">
      <c r="A125" s="2" t="s">
        <v>813</v>
      </c>
      <c r="B125" s="1">
        <v>301.0</v>
      </c>
      <c r="D125" s="1" t="s">
        <v>609</v>
      </c>
      <c r="E125" s="1" t="s">
        <v>610</v>
      </c>
    </row>
    <row r="126">
      <c r="A126" s="2" t="s">
        <v>814</v>
      </c>
      <c r="B126" s="1">
        <v>200.0</v>
      </c>
      <c r="C126" s="1" t="s">
        <v>815</v>
      </c>
      <c r="D126" s="1" t="s">
        <v>583</v>
      </c>
      <c r="F126" s="1">
        <v>0.0</v>
      </c>
      <c r="G126" s="1">
        <v>226.0</v>
      </c>
      <c r="H126" s="1">
        <v>0.0</v>
      </c>
      <c r="I126" s="1">
        <v>36.41</v>
      </c>
    </row>
    <row r="127">
      <c r="A127" s="2" t="s">
        <v>816</v>
      </c>
      <c r="B127" s="1">
        <v>200.0</v>
      </c>
      <c r="C127" s="1" t="s">
        <v>817</v>
      </c>
      <c r="D127" s="1" t="s">
        <v>583</v>
      </c>
      <c r="F127" s="1">
        <v>0.0</v>
      </c>
      <c r="G127" s="1">
        <v>120.0</v>
      </c>
      <c r="H127" s="1">
        <v>0.0</v>
      </c>
      <c r="I127" s="1">
        <v>15.98</v>
      </c>
    </row>
    <row r="128">
      <c r="A128" s="2" t="s">
        <v>818</v>
      </c>
      <c r="B128" s="1">
        <v>200.0</v>
      </c>
      <c r="C128" s="1" t="s">
        <v>819</v>
      </c>
      <c r="D128" s="1" t="s">
        <v>583</v>
      </c>
      <c r="F128" s="1">
        <v>0.0</v>
      </c>
      <c r="G128" s="1">
        <v>11.0</v>
      </c>
      <c r="H128" s="1">
        <v>0.0</v>
      </c>
      <c r="I128" s="1">
        <v>11.73</v>
      </c>
    </row>
    <row r="129">
      <c r="A129" s="2" t="s">
        <v>820</v>
      </c>
      <c r="B129" s="1">
        <v>200.0</v>
      </c>
      <c r="C129" s="1" t="s">
        <v>821</v>
      </c>
      <c r="D129" s="1" t="s">
        <v>583</v>
      </c>
      <c r="F129" s="1">
        <v>1.0</v>
      </c>
      <c r="G129" s="1">
        <v>119.0</v>
      </c>
      <c r="H129" s="1">
        <v>0.008</v>
      </c>
      <c r="I129" s="1">
        <v>37.83</v>
      </c>
    </row>
    <row r="130">
      <c r="A130" s="2" t="s">
        <v>822</v>
      </c>
      <c r="B130" s="1">
        <v>200.0</v>
      </c>
      <c r="C130" s="1" t="s">
        <v>823</v>
      </c>
      <c r="D130" s="1" t="s">
        <v>583</v>
      </c>
      <c r="F130" s="1">
        <v>0.0</v>
      </c>
      <c r="G130" s="1">
        <v>284.0</v>
      </c>
      <c r="H130" s="1">
        <v>0.0</v>
      </c>
      <c r="I130" s="1">
        <v>13.82</v>
      </c>
    </row>
    <row r="131">
      <c r="A131" s="2" t="s">
        <v>824</v>
      </c>
      <c r="B131" s="1">
        <v>200.0</v>
      </c>
      <c r="C131" s="1" t="s">
        <v>825</v>
      </c>
      <c r="D131" s="1" t="s">
        <v>583</v>
      </c>
      <c r="F131" s="1">
        <v>0.0</v>
      </c>
      <c r="G131" s="1">
        <v>73.0</v>
      </c>
      <c r="H131" s="1">
        <v>0.0</v>
      </c>
      <c r="I131" s="1">
        <v>55.19</v>
      </c>
    </row>
    <row r="132">
      <c r="A132" s="2" t="s">
        <v>826</v>
      </c>
      <c r="B132" s="1">
        <v>200.0</v>
      </c>
      <c r="C132" s="1" t="s">
        <v>827</v>
      </c>
      <c r="D132" s="1" t="s">
        <v>583</v>
      </c>
      <c r="F132" s="1">
        <v>0.0</v>
      </c>
      <c r="G132" s="1">
        <v>1.0</v>
      </c>
      <c r="H132" s="1">
        <v>0.0</v>
      </c>
      <c r="I132" s="1">
        <v>11.0</v>
      </c>
    </row>
    <row r="133">
      <c r="A133" s="2" t="s">
        <v>828</v>
      </c>
      <c r="B133" s="1">
        <v>200.0</v>
      </c>
      <c r="C133" s="1" t="s">
        <v>829</v>
      </c>
      <c r="D133" s="1" t="s">
        <v>583</v>
      </c>
      <c r="F133" s="1">
        <v>0.0</v>
      </c>
      <c r="G133" s="1">
        <v>203.0</v>
      </c>
      <c r="H133" s="1">
        <v>0.0</v>
      </c>
      <c r="I133" s="1">
        <v>28.52</v>
      </c>
    </row>
    <row r="134">
      <c r="A134" s="2" t="s">
        <v>830</v>
      </c>
      <c r="B134" s="1">
        <v>301.0</v>
      </c>
      <c r="D134" s="1" t="s">
        <v>609</v>
      </c>
      <c r="E134" s="1" t="s">
        <v>610</v>
      </c>
    </row>
    <row r="135">
      <c r="A135" s="2" t="s">
        <v>831</v>
      </c>
      <c r="B135" s="1">
        <v>200.0</v>
      </c>
      <c r="C135" s="1" t="s">
        <v>832</v>
      </c>
      <c r="D135" s="1" t="s">
        <v>583</v>
      </c>
      <c r="F135" s="1">
        <v>0.0</v>
      </c>
      <c r="G135" s="1">
        <v>146.0</v>
      </c>
      <c r="H135" s="1">
        <v>0.0</v>
      </c>
      <c r="I135" s="1">
        <v>10.14</v>
      </c>
    </row>
    <row r="136">
      <c r="A136" s="2" t="s">
        <v>833</v>
      </c>
      <c r="B136" s="1">
        <v>200.0</v>
      </c>
      <c r="C136" s="1" t="s">
        <v>834</v>
      </c>
      <c r="D136" s="1" t="s">
        <v>583</v>
      </c>
      <c r="F136" s="1">
        <v>1.0</v>
      </c>
      <c r="G136" s="1">
        <v>975.0</v>
      </c>
      <c r="H136" s="1">
        <v>0.001</v>
      </c>
      <c r="I136" s="1">
        <v>7.01</v>
      </c>
    </row>
    <row r="137">
      <c r="A137" s="2" t="s">
        <v>835</v>
      </c>
      <c r="B137" s="1">
        <v>200.0</v>
      </c>
      <c r="C137" s="1" t="s">
        <v>836</v>
      </c>
      <c r="D137" s="1" t="s">
        <v>583</v>
      </c>
      <c r="F137" s="1">
        <v>2.0</v>
      </c>
      <c r="G137" s="1">
        <v>4008.0</v>
      </c>
      <c r="H137" s="1">
        <v>0.0</v>
      </c>
      <c r="I137" s="1">
        <v>6.18</v>
      </c>
    </row>
    <row r="138">
      <c r="A138" s="2" t="s">
        <v>837</v>
      </c>
      <c r="B138" s="1">
        <v>200.0</v>
      </c>
      <c r="C138" s="1" t="s">
        <v>838</v>
      </c>
      <c r="D138" s="1" t="s">
        <v>583</v>
      </c>
      <c r="F138" s="1">
        <v>0.0</v>
      </c>
      <c r="G138" s="1">
        <v>406.0</v>
      </c>
      <c r="H138" s="1">
        <v>0.0</v>
      </c>
      <c r="I138" s="1">
        <v>53.4</v>
      </c>
    </row>
    <row r="139">
      <c r="A139" s="2" t="s">
        <v>839</v>
      </c>
      <c r="B139" s="1">
        <v>200.0</v>
      </c>
      <c r="C139" s="1" t="s">
        <v>840</v>
      </c>
      <c r="D139" s="1" t="s">
        <v>583</v>
      </c>
      <c r="F139" s="1">
        <v>2.0</v>
      </c>
      <c r="G139" s="1">
        <v>1242.0</v>
      </c>
      <c r="H139" s="1">
        <v>0.002</v>
      </c>
      <c r="I139" s="1">
        <v>34.57</v>
      </c>
    </row>
    <row r="140">
      <c r="A140" s="2" t="s">
        <v>841</v>
      </c>
      <c r="B140" s="1">
        <v>200.0</v>
      </c>
      <c r="C140" s="1" t="s">
        <v>842</v>
      </c>
      <c r="D140" s="1" t="s">
        <v>583</v>
      </c>
      <c r="F140" s="1">
        <v>0.0</v>
      </c>
      <c r="G140" s="1">
        <v>177.0</v>
      </c>
      <c r="H140" s="1">
        <v>0.0</v>
      </c>
      <c r="I140" s="1">
        <v>10.36</v>
      </c>
    </row>
    <row r="141">
      <c r="A141" s="2" t="s">
        <v>843</v>
      </c>
      <c r="B141" s="1">
        <v>200.0</v>
      </c>
      <c r="C141" s="1" t="s">
        <v>844</v>
      </c>
      <c r="D141" s="1" t="s">
        <v>583</v>
      </c>
      <c r="F141" s="1">
        <v>0.0</v>
      </c>
      <c r="G141" s="1">
        <v>238.0</v>
      </c>
      <c r="H141" s="1">
        <v>0.0</v>
      </c>
      <c r="I141" s="1">
        <v>23.87</v>
      </c>
    </row>
    <row r="142">
      <c r="A142" s="2" t="s">
        <v>845</v>
      </c>
      <c r="B142" s="1">
        <v>200.0</v>
      </c>
      <c r="C142" s="1" t="s">
        <v>846</v>
      </c>
      <c r="D142" s="1" t="s">
        <v>609</v>
      </c>
      <c r="E142" s="1" t="s">
        <v>631</v>
      </c>
      <c r="F142" s="1">
        <v>0.0</v>
      </c>
      <c r="G142" s="1">
        <v>6.0</v>
      </c>
      <c r="H142" s="1">
        <v>0.0</v>
      </c>
      <c r="I142" s="1">
        <v>48.17</v>
      </c>
    </row>
    <row r="143">
      <c r="A143" s="2" t="s">
        <v>847</v>
      </c>
      <c r="B143" s="1">
        <v>301.0</v>
      </c>
      <c r="D143" s="1" t="s">
        <v>609</v>
      </c>
      <c r="E143" s="1" t="s">
        <v>610</v>
      </c>
    </row>
    <row r="144">
      <c r="A144" s="2" t="s">
        <v>848</v>
      </c>
      <c r="B144" s="1">
        <v>200.0</v>
      </c>
      <c r="C144" s="1" t="s">
        <v>849</v>
      </c>
      <c r="D144" s="1" t="s">
        <v>583</v>
      </c>
      <c r="F144" s="1">
        <v>13.0</v>
      </c>
      <c r="G144" s="1">
        <v>3566.0</v>
      </c>
      <c r="H144" s="1">
        <v>0.004</v>
      </c>
      <c r="I144" s="1">
        <v>12.66</v>
      </c>
    </row>
    <row r="145">
      <c r="A145" s="2" t="s">
        <v>850</v>
      </c>
      <c r="B145" s="1">
        <v>200.0</v>
      </c>
      <c r="C145" s="1" t="s">
        <v>851</v>
      </c>
      <c r="D145" s="1" t="s">
        <v>583</v>
      </c>
      <c r="F145" s="1">
        <v>1.0</v>
      </c>
      <c r="G145" s="1">
        <v>201.0</v>
      </c>
      <c r="H145" s="1">
        <v>0.005</v>
      </c>
      <c r="I145" s="1">
        <v>10.33</v>
      </c>
    </row>
    <row r="146">
      <c r="A146" s="2" t="s">
        <v>852</v>
      </c>
      <c r="B146" s="1">
        <v>200.0</v>
      </c>
      <c r="C146" s="1" t="s">
        <v>853</v>
      </c>
      <c r="D146" s="1" t="s">
        <v>583</v>
      </c>
      <c r="F146" s="1">
        <v>0.0</v>
      </c>
      <c r="G146" s="1">
        <v>19.0</v>
      </c>
      <c r="H146" s="1">
        <v>0.0</v>
      </c>
      <c r="I146" s="1">
        <v>43.79</v>
      </c>
    </row>
    <row r="147">
      <c r="A147" s="2" t="s">
        <v>854</v>
      </c>
      <c r="B147" s="1">
        <v>200.0</v>
      </c>
      <c r="C147" s="1" t="s">
        <v>855</v>
      </c>
      <c r="D147" s="1" t="s">
        <v>609</v>
      </c>
      <c r="E147" s="1" t="s">
        <v>664</v>
      </c>
      <c r="F147" s="1">
        <v>0.0</v>
      </c>
      <c r="G147" s="1">
        <v>1.0</v>
      </c>
      <c r="H147" s="1">
        <v>0.0</v>
      </c>
      <c r="I147" s="1">
        <v>1.0</v>
      </c>
    </row>
    <row r="148">
      <c r="A148" s="2" t="s">
        <v>856</v>
      </c>
      <c r="B148" s="1">
        <v>200.0</v>
      </c>
      <c r="C148" s="1" t="s">
        <v>857</v>
      </c>
      <c r="D148" s="1" t="s">
        <v>583</v>
      </c>
      <c r="F148" s="1">
        <v>28.0</v>
      </c>
      <c r="G148" s="1">
        <v>1205.0</v>
      </c>
      <c r="H148" s="1">
        <v>0.023</v>
      </c>
      <c r="I148" s="1">
        <v>4.67</v>
      </c>
    </row>
    <row r="149">
      <c r="A149" s="2" t="s">
        <v>858</v>
      </c>
      <c r="B149" s="1">
        <v>301.0</v>
      </c>
      <c r="D149" s="1" t="s">
        <v>609</v>
      </c>
      <c r="E149" s="1" t="s">
        <v>610</v>
      </c>
    </row>
    <row r="150">
      <c r="A150" s="2" t="s">
        <v>859</v>
      </c>
      <c r="B150" s="1">
        <v>301.0</v>
      </c>
      <c r="D150" s="1" t="s">
        <v>609</v>
      </c>
      <c r="E150" s="1" t="s">
        <v>610</v>
      </c>
    </row>
    <row r="151">
      <c r="A151" s="2" t="s">
        <v>860</v>
      </c>
      <c r="B151" s="1">
        <v>301.0</v>
      </c>
      <c r="D151" s="1" t="s">
        <v>609</v>
      </c>
      <c r="E151" s="1" t="s">
        <v>610</v>
      </c>
    </row>
    <row r="152">
      <c r="A152" s="2" t="s">
        <v>861</v>
      </c>
      <c r="B152" s="1">
        <v>200.0</v>
      </c>
      <c r="C152" s="1" t="s">
        <v>862</v>
      </c>
      <c r="D152" s="1" t="s">
        <v>583</v>
      </c>
      <c r="F152" s="1">
        <v>0.0</v>
      </c>
      <c r="G152" s="1">
        <v>12.0</v>
      </c>
      <c r="H152" s="1">
        <v>0.0</v>
      </c>
      <c r="I152" s="1">
        <v>31.33</v>
      </c>
    </row>
    <row r="153">
      <c r="A153" s="2" t="s">
        <v>863</v>
      </c>
      <c r="B153" s="1">
        <v>301.0</v>
      </c>
      <c r="D153" s="1" t="s">
        <v>609</v>
      </c>
      <c r="E153" s="1" t="s">
        <v>610</v>
      </c>
    </row>
    <row r="154">
      <c r="A154" s="2" t="s">
        <v>475</v>
      </c>
      <c r="B154" s="1">
        <v>200.0</v>
      </c>
      <c r="C154" s="1" t="s">
        <v>864</v>
      </c>
      <c r="D154" s="1" t="s">
        <v>583</v>
      </c>
      <c r="F154" s="1">
        <v>4.0</v>
      </c>
      <c r="G154" s="1">
        <v>1454.0</v>
      </c>
      <c r="H154" s="1">
        <v>0.003</v>
      </c>
      <c r="I154" s="1">
        <v>51.36</v>
      </c>
    </row>
    <row r="155">
      <c r="A155" s="2" t="s">
        <v>865</v>
      </c>
      <c r="B155" s="1">
        <v>301.0</v>
      </c>
      <c r="D155" s="1" t="s">
        <v>609</v>
      </c>
      <c r="E155" s="1" t="s">
        <v>610</v>
      </c>
    </row>
    <row r="156">
      <c r="A156" s="2" t="s">
        <v>866</v>
      </c>
      <c r="B156" s="1">
        <v>301.0</v>
      </c>
      <c r="D156" s="1" t="s">
        <v>609</v>
      </c>
      <c r="E156" s="1" t="s">
        <v>610</v>
      </c>
    </row>
    <row r="157">
      <c r="A157" s="2" t="s">
        <v>867</v>
      </c>
      <c r="B157" s="1">
        <v>200.0</v>
      </c>
      <c r="C157" s="1" t="s">
        <v>868</v>
      </c>
      <c r="D157" s="1" t="s">
        <v>583</v>
      </c>
      <c r="F157" s="1">
        <v>2.0</v>
      </c>
      <c r="G157" s="1">
        <v>457.0</v>
      </c>
      <c r="H157" s="1">
        <v>0.004</v>
      </c>
      <c r="I157" s="1">
        <v>29.75</v>
      </c>
    </row>
    <row r="158">
      <c r="A158" s="2" t="s">
        <v>869</v>
      </c>
      <c r="B158" s="1">
        <v>301.0</v>
      </c>
      <c r="D158" s="1" t="s">
        <v>609</v>
      </c>
      <c r="E158" s="1" t="s">
        <v>610</v>
      </c>
    </row>
    <row r="159">
      <c r="A159" s="2" t="s">
        <v>471</v>
      </c>
      <c r="B159" s="1">
        <v>200.0</v>
      </c>
      <c r="C159" s="1" t="s">
        <v>870</v>
      </c>
      <c r="D159" s="1" t="s">
        <v>583</v>
      </c>
      <c r="F159" s="1">
        <v>0.0</v>
      </c>
      <c r="G159" s="1">
        <v>58.0</v>
      </c>
      <c r="H159" s="1">
        <v>0.0</v>
      </c>
      <c r="I159" s="1">
        <v>57.05</v>
      </c>
    </row>
    <row r="160">
      <c r="A160" s="2" t="s">
        <v>871</v>
      </c>
      <c r="B160" s="1">
        <v>301.0</v>
      </c>
      <c r="D160" s="1" t="s">
        <v>609</v>
      </c>
      <c r="E160" s="1" t="s">
        <v>610</v>
      </c>
    </row>
    <row r="161">
      <c r="A161" s="2" t="s">
        <v>872</v>
      </c>
      <c r="B161" s="1">
        <v>200.0</v>
      </c>
      <c r="C161" s="1" t="s">
        <v>686</v>
      </c>
      <c r="D161" s="1" t="s">
        <v>609</v>
      </c>
      <c r="E161" s="1" t="s">
        <v>631</v>
      </c>
    </row>
    <row r="162">
      <c r="A162" s="2" t="s">
        <v>543</v>
      </c>
      <c r="B162" s="1">
        <v>200.0</v>
      </c>
      <c r="C162" s="1" t="s">
        <v>873</v>
      </c>
      <c r="D162" s="1" t="s">
        <v>583</v>
      </c>
      <c r="F162" s="1">
        <v>1.0</v>
      </c>
      <c r="G162" s="1">
        <v>5.0</v>
      </c>
      <c r="H162" s="1">
        <v>0.2</v>
      </c>
      <c r="I162" s="1">
        <v>9.8</v>
      </c>
    </row>
    <row r="163">
      <c r="A163" s="2" t="s">
        <v>874</v>
      </c>
      <c r="B163" s="1">
        <v>301.0</v>
      </c>
      <c r="D163" s="1" t="s">
        <v>609</v>
      </c>
      <c r="E163" s="1" t="s">
        <v>610</v>
      </c>
    </row>
    <row r="164">
      <c r="A164" s="2" t="s">
        <v>875</v>
      </c>
      <c r="B164" s="1">
        <v>301.0</v>
      </c>
      <c r="D164" s="1" t="s">
        <v>609</v>
      </c>
      <c r="E164" s="1" t="s">
        <v>610</v>
      </c>
    </row>
    <row r="165">
      <c r="A165" s="2" t="s">
        <v>876</v>
      </c>
      <c r="B165" s="1">
        <v>301.0</v>
      </c>
      <c r="D165" s="1" t="s">
        <v>609</v>
      </c>
      <c r="E165" s="1" t="s">
        <v>610</v>
      </c>
    </row>
    <row r="166">
      <c r="A166" s="2" t="s">
        <v>877</v>
      </c>
      <c r="B166" s="1">
        <v>200.0</v>
      </c>
      <c r="C166" s="1" t="s">
        <v>878</v>
      </c>
      <c r="D166" s="1" t="s">
        <v>609</v>
      </c>
      <c r="E166" s="1" t="s">
        <v>664</v>
      </c>
    </row>
    <row r="167">
      <c r="A167" s="2" t="s">
        <v>879</v>
      </c>
      <c r="B167" s="1">
        <v>200.0</v>
      </c>
      <c r="C167" s="1" t="s">
        <v>880</v>
      </c>
      <c r="D167" s="1" t="s">
        <v>583</v>
      </c>
      <c r="F167" s="1">
        <v>0.0</v>
      </c>
      <c r="G167" s="1">
        <v>115.0</v>
      </c>
      <c r="H167" s="1">
        <v>0.0</v>
      </c>
      <c r="I167" s="1">
        <v>34.7</v>
      </c>
    </row>
    <row r="168">
      <c r="A168" s="2" t="s">
        <v>881</v>
      </c>
      <c r="B168" s="1">
        <v>301.0</v>
      </c>
      <c r="D168" s="1" t="s">
        <v>609</v>
      </c>
      <c r="E168" s="1" t="s">
        <v>610</v>
      </c>
    </row>
    <row r="169">
      <c r="A169" s="2" t="s">
        <v>882</v>
      </c>
      <c r="B169" s="1">
        <v>200.0</v>
      </c>
      <c r="C169" s="1" t="s">
        <v>883</v>
      </c>
      <c r="D169" s="1" t="s">
        <v>583</v>
      </c>
      <c r="F169" s="1">
        <v>0.0</v>
      </c>
      <c r="G169" s="1">
        <v>2.0</v>
      </c>
      <c r="H169" s="1">
        <v>0.0</v>
      </c>
      <c r="I169" s="1">
        <v>81.5</v>
      </c>
    </row>
    <row r="170">
      <c r="A170" s="2" t="s">
        <v>884</v>
      </c>
      <c r="B170" s="1">
        <v>301.0</v>
      </c>
      <c r="D170" s="1" t="s">
        <v>609</v>
      </c>
      <c r="E170" s="1" t="s">
        <v>610</v>
      </c>
    </row>
    <row r="171">
      <c r="A171" s="2" t="s">
        <v>885</v>
      </c>
      <c r="B171" s="1">
        <v>301.0</v>
      </c>
      <c r="D171" s="1" t="s">
        <v>609</v>
      </c>
      <c r="E171" s="1" t="s">
        <v>610</v>
      </c>
    </row>
    <row r="172">
      <c r="A172" s="2" t="s">
        <v>886</v>
      </c>
      <c r="B172" s="1">
        <v>301.0</v>
      </c>
      <c r="D172" s="1" t="s">
        <v>609</v>
      </c>
      <c r="E172" s="1" t="s">
        <v>610</v>
      </c>
    </row>
    <row r="173">
      <c r="A173" s="2" t="s">
        <v>531</v>
      </c>
      <c r="B173" s="1">
        <v>200.0</v>
      </c>
      <c r="C173" s="1" t="s">
        <v>887</v>
      </c>
      <c r="D173" s="1" t="s">
        <v>583</v>
      </c>
    </row>
    <row r="174">
      <c r="A174" s="2" t="s">
        <v>888</v>
      </c>
      <c r="B174" s="1">
        <v>200.0</v>
      </c>
      <c r="C174" s="1" t="s">
        <v>889</v>
      </c>
      <c r="D174" s="1" t="s">
        <v>583</v>
      </c>
      <c r="F174" s="1">
        <v>1.0</v>
      </c>
      <c r="G174" s="1">
        <v>568.0</v>
      </c>
      <c r="H174" s="1">
        <v>0.002</v>
      </c>
      <c r="I174" s="1">
        <v>17.12</v>
      </c>
    </row>
    <row r="175">
      <c r="A175" s="2" t="s">
        <v>890</v>
      </c>
      <c r="B175" s="1">
        <v>200.0</v>
      </c>
      <c r="C175" s="1" t="s">
        <v>891</v>
      </c>
      <c r="D175" s="1" t="s">
        <v>609</v>
      </c>
      <c r="E175" s="1" t="s">
        <v>631</v>
      </c>
    </row>
    <row r="176">
      <c r="A176" s="2" t="s">
        <v>892</v>
      </c>
      <c r="B176" s="1">
        <v>200.0</v>
      </c>
      <c r="C176" s="1" t="s">
        <v>893</v>
      </c>
      <c r="D176" s="1" t="s">
        <v>583</v>
      </c>
      <c r="F176" s="1">
        <v>0.0</v>
      </c>
      <c r="G176" s="1">
        <v>240.0</v>
      </c>
      <c r="H176" s="1">
        <v>0.0</v>
      </c>
      <c r="I176" s="1">
        <v>15.51</v>
      </c>
    </row>
    <row r="177">
      <c r="A177" s="2" t="s">
        <v>894</v>
      </c>
      <c r="B177" s="1">
        <v>301.0</v>
      </c>
      <c r="D177" s="1" t="s">
        <v>609</v>
      </c>
      <c r="E177" s="1" t="s">
        <v>610</v>
      </c>
    </row>
    <row r="178">
      <c r="A178" s="2" t="s">
        <v>895</v>
      </c>
      <c r="B178" s="1">
        <v>200.0</v>
      </c>
      <c r="C178" s="1" t="s">
        <v>896</v>
      </c>
      <c r="D178" s="1" t="s">
        <v>583</v>
      </c>
      <c r="F178" s="1">
        <v>1.0</v>
      </c>
      <c r="G178" s="1">
        <v>229.0</v>
      </c>
      <c r="H178" s="1">
        <v>0.004</v>
      </c>
      <c r="I178" s="1">
        <v>24.64</v>
      </c>
    </row>
    <row r="179">
      <c r="A179" s="2" t="s">
        <v>897</v>
      </c>
      <c r="B179" s="1">
        <v>200.0</v>
      </c>
      <c r="C179" s="1" t="s">
        <v>898</v>
      </c>
      <c r="D179" s="1" t="s">
        <v>583</v>
      </c>
      <c r="F179" s="1">
        <v>0.0</v>
      </c>
      <c r="G179" s="1">
        <v>7.0</v>
      </c>
      <c r="H179" s="1">
        <v>0.0</v>
      </c>
      <c r="I179" s="1">
        <v>33.86</v>
      </c>
    </row>
    <row r="180">
      <c r="A180" s="2" t="s">
        <v>899</v>
      </c>
      <c r="B180" s="1">
        <v>200.0</v>
      </c>
      <c r="C180" s="1" t="s">
        <v>900</v>
      </c>
      <c r="D180" s="1" t="s">
        <v>583</v>
      </c>
      <c r="F180" s="1">
        <v>3.0</v>
      </c>
      <c r="G180" s="1">
        <v>911.0</v>
      </c>
      <c r="H180" s="1">
        <v>0.003</v>
      </c>
      <c r="I180" s="1">
        <v>30.37</v>
      </c>
    </row>
    <row r="181">
      <c r="A181" s="2" t="s">
        <v>901</v>
      </c>
      <c r="B181" s="1">
        <v>404.0</v>
      </c>
      <c r="D181" s="1" t="s">
        <v>609</v>
      </c>
      <c r="E181" s="1" t="s">
        <v>902</v>
      </c>
    </row>
    <row r="182">
      <c r="A182" s="2" t="s">
        <v>903</v>
      </c>
      <c r="B182" s="1">
        <v>200.0</v>
      </c>
      <c r="C182" s="1" t="s">
        <v>587</v>
      </c>
      <c r="D182" s="1" t="s">
        <v>609</v>
      </c>
      <c r="E182" s="1" t="s">
        <v>631</v>
      </c>
    </row>
    <row r="183">
      <c r="A183" s="2" t="s">
        <v>904</v>
      </c>
      <c r="B183" s="1">
        <v>200.0</v>
      </c>
      <c r="C183" s="1" t="s">
        <v>905</v>
      </c>
      <c r="D183" s="1" t="s">
        <v>583</v>
      </c>
      <c r="F183" s="1">
        <v>2.0</v>
      </c>
      <c r="G183" s="1">
        <v>609.0</v>
      </c>
      <c r="H183" s="1">
        <v>0.003</v>
      </c>
      <c r="I183" s="1">
        <v>51.58</v>
      </c>
    </row>
    <row r="184">
      <c r="A184" s="2" t="s">
        <v>906</v>
      </c>
      <c r="B184" s="1">
        <v>200.0</v>
      </c>
      <c r="C184" s="1" t="s">
        <v>653</v>
      </c>
      <c r="D184" s="1" t="s">
        <v>609</v>
      </c>
      <c r="E184" s="1" t="s">
        <v>631</v>
      </c>
    </row>
    <row r="185">
      <c r="A185" s="2" t="s">
        <v>907</v>
      </c>
      <c r="B185" s="1">
        <v>200.0</v>
      </c>
      <c r="C185" s="1" t="s">
        <v>908</v>
      </c>
      <c r="D185" s="1" t="s">
        <v>583</v>
      </c>
      <c r="F185" s="1">
        <v>0.0</v>
      </c>
      <c r="G185" s="1">
        <v>36.0</v>
      </c>
      <c r="H185" s="1">
        <v>0.0</v>
      </c>
      <c r="I185" s="1">
        <v>8.81</v>
      </c>
    </row>
    <row r="186">
      <c r="A186" s="2" t="s">
        <v>909</v>
      </c>
      <c r="B186" s="1">
        <v>200.0</v>
      </c>
      <c r="C186" s="1" t="s">
        <v>910</v>
      </c>
      <c r="D186" s="1" t="s">
        <v>583</v>
      </c>
      <c r="F186" s="1">
        <v>0.0</v>
      </c>
      <c r="G186" s="1">
        <v>125.0</v>
      </c>
      <c r="H186" s="1">
        <v>0.0</v>
      </c>
      <c r="I186" s="1">
        <v>39.85</v>
      </c>
    </row>
    <row r="187">
      <c r="A187" s="2" t="s">
        <v>911</v>
      </c>
      <c r="B187" s="1">
        <v>200.0</v>
      </c>
      <c r="C187" s="1" t="s">
        <v>912</v>
      </c>
      <c r="D187" s="1" t="s">
        <v>583</v>
      </c>
      <c r="F187" s="1">
        <v>5.0</v>
      </c>
      <c r="G187" s="1">
        <v>2092.0</v>
      </c>
      <c r="H187" s="1">
        <v>0.002</v>
      </c>
      <c r="I187" s="1">
        <v>32.73</v>
      </c>
    </row>
    <row r="188">
      <c r="A188" s="2" t="s">
        <v>913</v>
      </c>
      <c r="B188" s="1">
        <v>200.0</v>
      </c>
      <c r="C188" s="1" t="s">
        <v>914</v>
      </c>
      <c r="D188" s="1" t="s">
        <v>583</v>
      </c>
      <c r="F188" s="1">
        <v>0.0</v>
      </c>
      <c r="G188" s="1">
        <v>548.0</v>
      </c>
      <c r="H188" s="1">
        <v>0.0</v>
      </c>
      <c r="I188" s="1">
        <v>67.44</v>
      </c>
    </row>
    <row r="189">
      <c r="A189" s="2" t="s">
        <v>507</v>
      </c>
      <c r="B189" s="1">
        <v>200.0</v>
      </c>
      <c r="C189" s="1" t="s">
        <v>915</v>
      </c>
      <c r="D189" s="1" t="s">
        <v>583</v>
      </c>
      <c r="F189" s="1">
        <v>0.0</v>
      </c>
      <c r="G189" s="1">
        <v>14.0</v>
      </c>
      <c r="H189" s="1">
        <v>0.0</v>
      </c>
      <c r="I189" s="1">
        <v>5.5</v>
      </c>
    </row>
    <row r="190">
      <c r="A190" s="2" t="s">
        <v>916</v>
      </c>
      <c r="B190" s="1">
        <v>200.0</v>
      </c>
      <c r="C190" s="1" t="s">
        <v>917</v>
      </c>
      <c r="D190" s="1" t="s">
        <v>609</v>
      </c>
      <c r="E190" s="1" t="s">
        <v>631</v>
      </c>
    </row>
    <row r="191">
      <c r="A191" s="2" t="s">
        <v>918</v>
      </c>
      <c r="B191" s="1">
        <v>200.0</v>
      </c>
      <c r="C191" s="1" t="s">
        <v>919</v>
      </c>
      <c r="D191" s="1" t="s">
        <v>583</v>
      </c>
      <c r="F191" s="1">
        <v>0.0</v>
      </c>
      <c r="G191" s="1">
        <v>1.0</v>
      </c>
      <c r="H191" s="1">
        <v>0.0</v>
      </c>
      <c r="I191" s="1">
        <v>2.0</v>
      </c>
    </row>
    <row r="192">
      <c r="A192" s="2" t="s">
        <v>523</v>
      </c>
      <c r="B192" s="1">
        <v>200.0</v>
      </c>
      <c r="C192" s="1" t="s">
        <v>920</v>
      </c>
      <c r="D192" s="1" t="s">
        <v>583</v>
      </c>
      <c r="F192" s="1">
        <v>0.0</v>
      </c>
      <c r="G192" s="1">
        <v>7.0</v>
      </c>
      <c r="H192" s="1">
        <v>0.0</v>
      </c>
      <c r="I192" s="1">
        <v>76.57</v>
      </c>
    </row>
    <row r="193">
      <c r="A193" s="2" t="s">
        <v>921</v>
      </c>
      <c r="B193" s="1">
        <v>200.0</v>
      </c>
      <c r="C193" s="1" t="s">
        <v>922</v>
      </c>
      <c r="D193" s="1" t="s">
        <v>583</v>
      </c>
      <c r="F193" s="1">
        <v>4.0</v>
      </c>
      <c r="G193" s="1">
        <v>2390.0</v>
      </c>
      <c r="H193" s="1">
        <v>0.002</v>
      </c>
      <c r="I193" s="1">
        <v>45.5</v>
      </c>
    </row>
    <row r="194">
      <c r="A194" s="2" t="s">
        <v>923</v>
      </c>
      <c r="B194" s="1">
        <v>301.0</v>
      </c>
      <c r="D194" s="1" t="s">
        <v>609</v>
      </c>
      <c r="E194" s="1" t="s">
        <v>610</v>
      </c>
    </row>
    <row r="195">
      <c r="A195" s="2" t="s">
        <v>924</v>
      </c>
      <c r="B195" s="1">
        <v>301.0</v>
      </c>
      <c r="D195" s="1" t="s">
        <v>609</v>
      </c>
      <c r="E195" s="1" t="s">
        <v>610</v>
      </c>
    </row>
    <row r="196">
      <c r="A196" s="2" t="s">
        <v>925</v>
      </c>
      <c r="B196" s="1">
        <v>200.0</v>
      </c>
      <c r="C196" s="1" t="s">
        <v>926</v>
      </c>
      <c r="D196" s="1" t="s">
        <v>583</v>
      </c>
      <c r="F196" s="1">
        <v>0.0</v>
      </c>
      <c r="G196" s="1">
        <v>26.0</v>
      </c>
      <c r="H196" s="1">
        <v>0.0</v>
      </c>
      <c r="I196" s="1">
        <v>10.54</v>
      </c>
    </row>
    <row r="197">
      <c r="A197" s="2" t="s">
        <v>927</v>
      </c>
      <c r="B197" s="1">
        <v>301.0</v>
      </c>
      <c r="D197" s="1" t="s">
        <v>609</v>
      </c>
      <c r="E197" s="1" t="s">
        <v>610</v>
      </c>
      <c r="F197" s="1">
        <v>0.0</v>
      </c>
      <c r="G197" s="1">
        <v>49.0</v>
      </c>
      <c r="H197" s="1">
        <v>0.0</v>
      </c>
      <c r="I197" s="1">
        <v>8.69</v>
      </c>
    </row>
    <row r="198">
      <c r="A198" s="2" t="s">
        <v>928</v>
      </c>
      <c r="B198" s="1">
        <v>200.0</v>
      </c>
      <c r="C198" s="1" t="s">
        <v>929</v>
      </c>
      <c r="D198" s="1" t="s">
        <v>609</v>
      </c>
      <c r="E198" s="1" t="s">
        <v>930</v>
      </c>
      <c r="F198" s="1">
        <v>4.0</v>
      </c>
      <c r="G198" s="1">
        <v>87.0</v>
      </c>
      <c r="H198" s="1">
        <v>0.046</v>
      </c>
      <c r="I198" s="1">
        <v>11.1</v>
      </c>
    </row>
    <row r="199">
      <c r="A199" s="2" t="s">
        <v>931</v>
      </c>
      <c r="B199" s="1">
        <v>200.0</v>
      </c>
      <c r="C199" s="1" t="s">
        <v>932</v>
      </c>
      <c r="D199" s="1" t="s">
        <v>583</v>
      </c>
      <c r="F199" s="1">
        <v>0.0</v>
      </c>
      <c r="G199" s="1">
        <v>24.0</v>
      </c>
      <c r="H199" s="1">
        <v>0.0</v>
      </c>
      <c r="I199" s="1">
        <v>24.29</v>
      </c>
    </row>
    <row r="200">
      <c r="A200" s="2" t="s">
        <v>933</v>
      </c>
      <c r="B200" s="1">
        <v>200.0</v>
      </c>
      <c r="C200" s="1" t="s">
        <v>934</v>
      </c>
      <c r="D200" s="1" t="s">
        <v>583</v>
      </c>
      <c r="F200" s="1">
        <v>0.0</v>
      </c>
      <c r="G200" s="1">
        <v>12.0</v>
      </c>
      <c r="H200" s="1">
        <v>0.0</v>
      </c>
      <c r="I200" s="1">
        <v>28.33</v>
      </c>
    </row>
    <row r="201">
      <c r="A201" s="2" t="s">
        <v>935</v>
      </c>
      <c r="B201" s="1">
        <v>301.0</v>
      </c>
      <c r="D201" s="1" t="s">
        <v>609</v>
      </c>
      <c r="E201" s="1" t="s">
        <v>610</v>
      </c>
    </row>
    <row r="202">
      <c r="A202" s="2" t="s">
        <v>936</v>
      </c>
      <c r="B202" s="1">
        <v>200.0</v>
      </c>
      <c r="C202" s="1" t="s">
        <v>937</v>
      </c>
      <c r="D202" s="1" t="s">
        <v>583</v>
      </c>
      <c r="F202" s="1">
        <v>0.0</v>
      </c>
      <c r="G202" s="1">
        <v>345.0</v>
      </c>
      <c r="H202" s="1">
        <v>0.0</v>
      </c>
      <c r="I202" s="1">
        <v>47.41</v>
      </c>
    </row>
    <row r="203">
      <c r="A203" s="2" t="s">
        <v>938</v>
      </c>
      <c r="B203" s="1">
        <v>200.0</v>
      </c>
      <c r="C203" s="1" t="s">
        <v>939</v>
      </c>
      <c r="D203" s="1" t="s">
        <v>583</v>
      </c>
    </row>
    <row r="204">
      <c r="A204" s="2" t="s">
        <v>940</v>
      </c>
      <c r="B204" s="1">
        <v>200.0</v>
      </c>
      <c r="C204" s="1" t="s">
        <v>941</v>
      </c>
      <c r="D204" s="1" t="s">
        <v>583</v>
      </c>
      <c r="F204" s="1">
        <v>0.0</v>
      </c>
      <c r="G204" s="1">
        <v>6.0</v>
      </c>
      <c r="H204" s="1">
        <v>0.0</v>
      </c>
      <c r="I204" s="1">
        <v>6.83</v>
      </c>
    </row>
    <row r="205">
      <c r="A205" s="2" t="s">
        <v>942</v>
      </c>
      <c r="B205" s="1">
        <v>200.0</v>
      </c>
      <c r="C205" s="1" t="s">
        <v>943</v>
      </c>
      <c r="D205" s="1" t="s">
        <v>583</v>
      </c>
      <c r="F205" s="1">
        <v>0.0</v>
      </c>
      <c r="G205" s="1">
        <v>1.0</v>
      </c>
      <c r="H205" s="1">
        <v>0.0</v>
      </c>
      <c r="I205" s="1">
        <v>8.0</v>
      </c>
    </row>
    <row r="206">
      <c r="A206" s="2" t="s">
        <v>944</v>
      </c>
      <c r="B206" s="1">
        <v>200.0</v>
      </c>
      <c r="C206" s="1" t="s">
        <v>945</v>
      </c>
      <c r="D206" s="1" t="s">
        <v>583</v>
      </c>
      <c r="F206" s="1">
        <v>0.0</v>
      </c>
      <c r="G206" s="1">
        <v>5.0</v>
      </c>
      <c r="H206" s="1">
        <v>0.0</v>
      </c>
      <c r="I206" s="1">
        <v>6.2</v>
      </c>
    </row>
    <row r="207">
      <c r="A207" s="2" t="s">
        <v>946</v>
      </c>
      <c r="B207" s="1">
        <v>200.0</v>
      </c>
      <c r="C207" s="1" t="s">
        <v>947</v>
      </c>
      <c r="D207" s="1" t="s">
        <v>583</v>
      </c>
      <c r="F207" s="1">
        <v>0.0</v>
      </c>
      <c r="G207" s="1">
        <v>1.0</v>
      </c>
      <c r="H207" s="1">
        <v>0.0</v>
      </c>
      <c r="I207" s="1">
        <v>10.0</v>
      </c>
    </row>
    <row r="208">
      <c r="A208" s="2" t="s">
        <v>948</v>
      </c>
      <c r="B208" s="1">
        <v>200.0</v>
      </c>
      <c r="C208" s="1" t="s">
        <v>949</v>
      </c>
      <c r="D208" s="1" t="s">
        <v>583</v>
      </c>
      <c r="F208" s="1">
        <v>7.0</v>
      </c>
      <c r="G208" s="1">
        <v>1042.0</v>
      </c>
      <c r="H208" s="1">
        <v>0.007</v>
      </c>
      <c r="I208" s="1">
        <v>13.96</v>
      </c>
    </row>
    <row r="209">
      <c r="A209" s="2" t="s">
        <v>950</v>
      </c>
      <c r="B209" s="1">
        <v>301.0</v>
      </c>
      <c r="D209" s="1" t="s">
        <v>609</v>
      </c>
      <c r="E209" s="1" t="s">
        <v>610</v>
      </c>
    </row>
    <row r="210">
      <c r="A210" s="2" t="s">
        <v>951</v>
      </c>
      <c r="B210" s="1">
        <v>200.0</v>
      </c>
      <c r="C210" s="1" t="s">
        <v>952</v>
      </c>
      <c r="D210" s="1" t="s">
        <v>583</v>
      </c>
    </row>
    <row r="211">
      <c r="A211" s="2" t="s">
        <v>953</v>
      </c>
      <c r="B211" s="1">
        <v>301.0</v>
      </c>
      <c r="D211" s="1" t="s">
        <v>609</v>
      </c>
      <c r="E211" s="1" t="s">
        <v>610</v>
      </c>
      <c r="F211" s="1">
        <v>15.0</v>
      </c>
      <c r="G211" s="1">
        <v>12711.0</v>
      </c>
      <c r="H211" s="1">
        <v>0.001</v>
      </c>
      <c r="I211" s="1">
        <v>7.96</v>
      </c>
    </row>
    <row r="212">
      <c r="A212" s="2" t="s">
        <v>954</v>
      </c>
      <c r="B212" s="1">
        <v>200.0</v>
      </c>
      <c r="C212" s="1" t="s">
        <v>955</v>
      </c>
      <c r="D212" s="1" t="s">
        <v>583</v>
      </c>
      <c r="F212" s="1">
        <v>1.0</v>
      </c>
      <c r="G212" s="1">
        <v>269.0</v>
      </c>
      <c r="H212" s="1">
        <v>0.004</v>
      </c>
      <c r="I212" s="1">
        <v>25.17</v>
      </c>
    </row>
    <row r="213">
      <c r="A213" s="2" t="s">
        <v>956</v>
      </c>
      <c r="B213" s="1">
        <v>200.0</v>
      </c>
      <c r="C213" s="1" t="s">
        <v>957</v>
      </c>
      <c r="D213" s="1" t="s">
        <v>583</v>
      </c>
      <c r="F213" s="1">
        <v>0.0</v>
      </c>
      <c r="G213" s="1">
        <v>30.0</v>
      </c>
      <c r="H213" s="1">
        <v>0.0</v>
      </c>
      <c r="I213" s="1">
        <v>37.33</v>
      </c>
    </row>
    <row r="214">
      <c r="A214" s="2" t="s">
        <v>958</v>
      </c>
      <c r="B214" s="1">
        <v>200.0</v>
      </c>
      <c r="C214" s="1" t="s">
        <v>959</v>
      </c>
      <c r="D214" s="1" t="s">
        <v>583</v>
      </c>
      <c r="F214" s="1">
        <v>0.0</v>
      </c>
      <c r="G214" s="1">
        <v>19.0</v>
      </c>
      <c r="H214" s="1">
        <v>0.0</v>
      </c>
      <c r="I214" s="1">
        <v>8.37</v>
      </c>
    </row>
    <row r="215">
      <c r="A215" s="2" t="s">
        <v>960</v>
      </c>
      <c r="B215" s="1">
        <v>200.0</v>
      </c>
      <c r="C215" s="1" t="s">
        <v>961</v>
      </c>
      <c r="D215" s="1" t="s">
        <v>583</v>
      </c>
      <c r="F215" s="1">
        <v>0.0</v>
      </c>
      <c r="G215" s="1">
        <v>5.0</v>
      </c>
      <c r="H215" s="1">
        <v>0.0</v>
      </c>
      <c r="I215" s="1">
        <v>9.0</v>
      </c>
    </row>
    <row r="216">
      <c r="A216" s="2" t="s">
        <v>962</v>
      </c>
      <c r="B216" s="1">
        <v>200.0</v>
      </c>
      <c r="C216" s="1" t="s">
        <v>963</v>
      </c>
      <c r="D216" s="1" t="s">
        <v>583</v>
      </c>
      <c r="F216" s="1">
        <v>0.0</v>
      </c>
      <c r="G216" s="1">
        <v>11.0</v>
      </c>
      <c r="H216" s="1">
        <v>0.0</v>
      </c>
      <c r="I216" s="1">
        <v>40.0</v>
      </c>
    </row>
    <row r="217">
      <c r="A217" s="2" t="s">
        <v>964</v>
      </c>
      <c r="B217" s="1">
        <v>301.0</v>
      </c>
      <c r="D217" s="1" t="s">
        <v>609</v>
      </c>
      <c r="E217" s="1" t="s">
        <v>610</v>
      </c>
    </row>
    <row r="218">
      <c r="A218" s="2" t="s">
        <v>503</v>
      </c>
      <c r="B218" s="1">
        <v>200.0</v>
      </c>
      <c r="C218" s="1" t="s">
        <v>965</v>
      </c>
      <c r="D218" s="1" t="s">
        <v>583</v>
      </c>
      <c r="F218" s="1">
        <v>0.0</v>
      </c>
      <c r="G218" s="1">
        <v>330.0</v>
      </c>
      <c r="H218" s="1">
        <v>0.0</v>
      </c>
      <c r="I218" s="1">
        <v>31.15</v>
      </c>
    </row>
    <row r="219">
      <c r="A219" s="2" t="s">
        <v>966</v>
      </c>
      <c r="B219" s="1">
        <v>200.0</v>
      </c>
      <c r="C219" s="1" t="s">
        <v>967</v>
      </c>
      <c r="D219" s="1" t="s">
        <v>583</v>
      </c>
    </row>
    <row r="220">
      <c r="A220" s="2" t="s">
        <v>968</v>
      </c>
      <c r="B220" s="1">
        <v>301.0</v>
      </c>
      <c r="D220" s="1" t="s">
        <v>609</v>
      </c>
      <c r="E220" s="1" t="s">
        <v>610</v>
      </c>
    </row>
    <row r="221">
      <c r="A221" s="2" t="s">
        <v>969</v>
      </c>
      <c r="B221" s="1">
        <v>200.0</v>
      </c>
      <c r="C221" s="1" t="s">
        <v>970</v>
      </c>
      <c r="D221" s="1" t="s">
        <v>583</v>
      </c>
    </row>
    <row r="222">
      <c r="A222" s="2" t="s">
        <v>971</v>
      </c>
      <c r="B222" s="1">
        <v>200.0</v>
      </c>
      <c r="C222" s="1" t="s">
        <v>972</v>
      </c>
      <c r="D222" s="1" t="s">
        <v>583</v>
      </c>
    </row>
    <row r="223">
      <c r="A223" s="2" t="s">
        <v>973</v>
      </c>
      <c r="B223" s="1">
        <v>200.0</v>
      </c>
      <c r="C223" s="1" t="s">
        <v>974</v>
      </c>
      <c r="D223" s="1" t="s">
        <v>583</v>
      </c>
      <c r="F223" s="1">
        <v>0.0</v>
      </c>
      <c r="G223" s="1">
        <v>613.0</v>
      </c>
      <c r="H223" s="1">
        <v>0.0</v>
      </c>
      <c r="I223" s="1">
        <v>59.23</v>
      </c>
    </row>
    <row r="224">
      <c r="A224" s="2" t="s">
        <v>975</v>
      </c>
      <c r="B224" s="1">
        <v>200.0</v>
      </c>
      <c r="C224" s="1" t="s">
        <v>976</v>
      </c>
      <c r="D224" s="1" t="s">
        <v>583</v>
      </c>
      <c r="F224" s="1">
        <v>0.0</v>
      </c>
      <c r="G224" s="1">
        <v>181.0</v>
      </c>
      <c r="H224" s="1">
        <v>0.0</v>
      </c>
      <c r="I224" s="1">
        <v>17.73</v>
      </c>
    </row>
    <row r="225">
      <c r="A225" s="2" t="s">
        <v>977</v>
      </c>
      <c r="B225" s="1">
        <v>200.0</v>
      </c>
      <c r="C225" s="1" t="s">
        <v>978</v>
      </c>
      <c r="D225" s="1" t="s">
        <v>583</v>
      </c>
      <c r="F225" s="1">
        <v>0.0</v>
      </c>
      <c r="G225" s="1">
        <v>27.0</v>
      </c>
      <c r="H225" s="1">
        <v>0.0</v>
      </c>
      <c r="I225" s="1">
        <v>50.22</v>
      </c>
    </row>
    <row r="226">
      <c r="A226" s="2" t="s">
        <v>979</v>
      </c>
      <c r="B226" s="1">
        <v>200.0</v>
      </c>
      <c r="C226" s="1" t="s">
        <v>630</v>
      </c>
      <c r="D226" s="1" t="s">
        <v>583</v>
      </c>
      <c r="F226" s="1">
        <v>61.0</v>
      </c>
      <c r="G226" s="1">
        <v>8444.0</v>
      </c>
      <c r="H226" s="1">
        <v>0.007</v>
      </c>
      <c r="I226" s="1">
        <v>7.69</v>
      </c>
    </row>
    <row r="227">
      <c r="A227" s="2" t="s">
        <v>483</v>
      </c>
      <c r="B227" s="1">
        <v>200.0</v>
      </c>
      <c r="C227" s="1" t="s">
        <v>980</v>
      </c>
      <c r="D227" s="1" t="s">
        <v>583</v>
      </c>
      <c r="F227" s="1">
        <v>0.0</v>
      </c>
      <c r="G227" s="1">
        <v>193.0</v>
      </c>
      <c r="H227" s="1">
        <v>0.0</v>
      </c>
      <c r="I227" s="1">
        <v>28.57</v>
      </c>
    </row>
    <row r="228">
      <c r="A228" s="2" t="s">
        <v>981</v>
      </c>
      <c r="B228" s="1">
        <v>200.0</v>
      </c>
      <c r="C228" s="1" t="s">
        <v>982</v>
      </c>
      <c r="D228" s="1" t="s">
        <v>583</v>
      </c>
      <c r="F228" s="1">
        <v>0.0</v>
      </c>
      <c r="G228" s="1">
        <v>5.0</v>
      </c>
      <c r="H228" s="1">
        <v>0.0</v>
      </c>
      <c r="I228" s="1">
        <v>37.6</v>
      </c>
    </row>
    <row r="229">
      <c r="A229" s="2" t="s">
        <v>491</v>
      </c>
      <c r="B229" s="1">
        <v>200.0</v>
      </c>
      <c r="C229" s="1" t="s">
        <v>983</v>
      </c>
      <c r="D229" s="1" t="s">
        <v>583</v>
      </c>
      <c r="F229" s="1">
        <v>0.0</v>
      </c>
      <c r="G229" s="1">
        <v>59.0</v>
      </c>
      <c r="H229" s="1">
        <v>0.0</v>
      </c>
      <c r="I229" s="1">
        <v>49.31</v>
      </c>
    </row>
    <row r="230">
      <c r="A230" s="2" t="s">
        <v>984</v>
      </c>
      <c r="B230" s="1">
        <v>200.0</v>
      </c>
      <c r="C230" s="1" t="s">
        <v>985</v>
      </c>
      <c r="D230" s="1" t="s">
        <v>609</v>
      </c>
      <c r="E230" s="1" t="s">
        <v>664</v>
      </c>
    </row>
    <row r="231">
      <c r="A231" s="2" t="s">
        <v>986</v>
      </c>
      <c r="B231" s="1">
        <v>200.0</v>
      </c>
      <c r="C231" s="1" t="s">
        <v>987</v>
      </c>
      <c r="D231" s="1" t="s">
        <v>583</v>
      </c>
      <c r="F231" s="1">
        <v>0.0</v>
      </c>
      <c r="G231" s="1">
        <v>138.0</v>
      </c>
      <c r="H231" s="1">
        <v>0.0</v>
      </c>
      <c r="I231" s="1">
        <v>26.04</v>
      </c>
    </row>
    <row r="232">
      <c r="A232" s="2" t="s">
        <v>515</v>
      </c>
      <c r="B232" s="1">
        <v>200.0</v>
      </c>
      <c r="C232" s="1" t="s">
        <v>988</v>
      </c>
      <c r="D232" s="1" t="s">
        <v>583</v>
      </c>
      <c r="F232" s="1">
        <v>0.0</v>
      </c>
      <c r="G232" s="1">
        <v>252.0</v>
      </c>
      <c r="H232" s="1">
        <v>0.0</v>
      </c>
      <c r="I232" s="1">
        <v>23.67</v>
      </c>
    </row>
    <row r="233">
      <c r="A233" s="2" t="s">
        <v>989</v>
      </c>
      <c r="B233" s="1">
        <v>200.0</v>
      </c>
      <c r="C233" s="1" t="s">
        <v>990</v>
      </c>
      <c r="D233" s="1" t="s">
        <v>583</v>
      </c>
      <c r="F233" s="1">
        <v>0.0</v>
      </c>
      <c r="G233" s="1">
        <v>9.0</v>
      </c>
      <c r="H233" s="1">
        <v>0.0</v>
      </c>
      <c r="I233" s="1">
        <v>19.33</v>
      </c>
    </row>
    <row r="234">
      <c r="A234" s="2" t="s">
        <v>991</v>
      </c>
      <c r="B234" s="1">
        <v>200.0</v>
      </c>
      <c r="C234" s="1" t="s">
        <v>992</v>
      </c>
      <c r="D234" s="1" t="s">
        <v>583</v>
      </c>
      <c r="F234" s="1">
        <v>0.0</v>
      </c>
      <c r="G234" s="1">
        <v>94.0</v>
      </c>
      <c r="H234" s="1">
        <v>0.0</v>
      </c>
      <c r="I234" s="1">
        <v>54.07</v>
      </c>
    </row>
    <row r="235">
      <c r="A235" s="2" t="s">
        <v>993</v>
      </c>
      <c r="B235" s="1">
        <v>200.0</v>
      </c>
      <c r="C235" s="1" t="s">
        <v>994</v>
      </c>
      <c r="D235" s="1" t="s">
        <v>583</v>
      </c>
      <c r="F235" s="1">
        <v>0.0</v>
      </c>
      <c r="G235" s="1">
        <v>724.0</v>
      </c>
      <c r="H235" s="1">
        <v>0.0</v>
      </c>
      <c r="I235" s="1">
        <v>45.73</v>
      </c>
    </row>
    <row r="236">
      <c r="A236" s="2" t="s">
        <v>495</v>
      </c>
      <c r="B236" s="1">
        <v>200.0</v>
      </c>
      <c r="C236" s="1" t="s">
        <v>995</v>
      </c>
      <c r="D236" s="1" t="s">
        <v>583</v>
      </c>
      <c r="F236" s="1">
        <v>0.0</v>
      </c>
      <c r="G236" s="1">
        <v>13.0</v>
      </c>
      <c r="H236" s="1">
        <v>0.0</v>
      </c>
      <c r="I236" s="1">
        <v>23.69</v>
      </c>
    </row>
    <row r="237">
      <c r="A237" s="2" t="s">
        <v>996</v>
      </c>
      <c r="B237" s="1">
        <v>200.0</v>
      </c>
      <c r="C237" s="1" t="s">
        <v>997</v>
      </c>
      <c r="D237" s="1" t="s">
        <v>583</v>
      </c>
      <c r="F237" s="1">
        <v>0.0</v>
      </c>
      <c r="G237" s="1">
        <v>294.0</v>
      </c>
      <c r="H237" s="1">
        <v>0.0</v>
      </c>
      <c r="I237" s="1">
        <v>28.2</v>
      </c>
    </row>
    <row r="238">
      <c r="A238" s="2" t="s">
        <v>467</v>
      </c>
      <c r="B238" s="1">
        <v>200.0</v>
      </c>
      <c r="C238" s="1" t="s">
        <v>998</v>
      </c>
      <c r="D238" s="1" t="s">
        <v>583</v>
      </c>
      <c r="F238" s="1">
        <v>0.0</v>
      </c>
      <c r="G238" s="1">
        <v>112.0</v>
      </c>
      <c r="H238" s="1">
        <v>0.0</v>
      </c>
      <c r="I238" s="1">
        <v>19.79</v>
      </c>
    </row>
    <row r="239">
      <c r="A239" s="2" t="s">
        <v>999</v>
      </c>
      <c r="B239" s="1">
        <v>301.0</v>
      </c>
      <c r="D239" s="1" t="s">
        <v>609</v>
      </c>
      <c r="E239" s="1" t="s">
        <v>610</v>
      </c>
      <c r="F239" s="1">
        <v>0.0</v>
      </c>
      <c r="G239" s="1">
        <v>66.0</v>
      </c>
      <c r="H239" s="1">
        <v>0.0</v>
      </c>
      <c r="I239" s="1">
        <v>8.61</v>
      </c>
    </row>
    <row r="240">
      <c r="A240" s="2" t="s">
        <v>1000</v>
      </c>
      <c r="B240" s="1">
        <v>200.0</v>
      </c>
      <c r="C240" s="1" t="s">
        <v>1001</v>
      </c>
      <c r="D240" s="1" t="s">
        <v>583</v>
      </c>
    </row>
    <row r="241">
      <c r="A241" s="2" t="s">
        <v>1002</v>
      </c>
      <c r="B241" s="1">
        <v>301.0</v>
      </c>
      <c r="D241" s="1" t="s">
        <v>609</v>
      </c>
      <c r="E241" s="1" t="s">
        <v>610</v>
      </c>
      <c r="F241" s="1">
        <v>7.0</v>
      </c>
      <c r="G241" s="1">
        <v>12101.0</v>
      </c>
      <c r="H241" s="1">
        <v>0.001</v>
      </c>
      <c r="I241" s="1">
        <v>19.25</v>
      </c>
    </row>
    <row r="242">
      <c r="A242" s="2" t="s">
        <v>1003</v>
      </c>
      <c r="B242" s="1">
        <v>200.0</v>
      </c>
      <c r="C242" s="1" t="s">
        <v>1004</v>
      </c>
      <c r="D242" s="1" t="s">
        <v>583</v>
      </c>
      <c r="F242" s="1">
        <v>0.0</v>
      </c>
      <c r="G242" s="1">
        <v>177.0</v>
      </c>
      <c r="H242" s="1">
        <v>0.0</v>
      </c>
      <c r="I242" s="1">
        <v>10.71</v>
      </c>
    </row>
    <row r="243">
      <c r="A243" s="2" t="s">
        <v>1005</v>
      </c>
      <c r="B243" s="1">
        <v>200.0</v>
      </c>
      <c r="C243" s="1" t="s">
        <v>1006</v>
      </c>
      <c r="D243" s="1" t="s">
        <v>583</v>
      </c>
      <c r="F243" s="1">
        <v>0.0</v>
      </c>
      <c r="G243" s="1">
        <v>46.0</v>
      </c>
      <c r="H243" s="1">
        <v>0.0</v>
      </c>
      <c r="I243" s="1">
        <v>33.83</v>
      </c>
    </row>
    <row r="244">
      <c r="A244" s="2" t="s">
        <v>1007</v>
      </c>
      <c r="B244" s="1">
        <v>301.0</v>
      </c>
      <c r="D244" s="1" t="s">
        <v>609</v>
      </c>
      <c r="E244" s="1" t="s">
        <v>610</v>
      </c>
    </row>
    <row r="245">
      <c r="A245" s="2" t="s">
        <v>1008</v>
      </c>
      <c r="B245" s="1">
        <v>200.0</v>
      </c>
      <c r="C245" s="1" t="s">
        <v>1009</v>
      </c>
      <c r="D245" s="1" t="s">
        <v>583</v>
      </c>
      <c r="F245" s="1">
        <v>62.0</v>
      </c>
      <c r="G245" s="1">
        <v>1266.0</v>
      </c>
      <c r="H245" s="1">
        <v>0.049</v>
      </c>
      <c r="I245" s="1">
        <v>24.23</v>
      </c>
    </row>
    <row r="246">
      <c r="A246" s="2" t="s">
        <v>1010</v>
      </c>
      <c r="B246" s="1">
        <v>200.0</v>
      </c>
      <c r="C246" s="1" t="s">
        <v>1011</v>
      </c>
      <c r="D246" s="1" t="s">
        <v>583</v>
      </c>
      <c r="F246" s="1">
        <v>68.0</v>
      </c>
      <c r="G246" s="1">
        <v>916.0</v>
      </c>
      <c r="H246" s="1">
        <v>0.074</v>
      </c>
      <c r="I246" s="1">
        <v>10.49</v>
      </c>
    </row>
    <row r="247">
      <c r="A247" s="2" t="s">
        <v>1012</v>
      </c>
      <c r="B247" s="1">
        <v>200.0</v>
      </c>
      <c r="C247" s="1" t="s">
        <v>1013</v>
      </c>
      <c r="D247" s="1" t="s">
        <v>583</v>
      </c>
      <c r="F247" s="1">
        <v>45.0</v>
      </c>
      <c r="G247" s="1">
        <v>303.0</v>
      </c>
      <c r="H247" s="1">
        <v>0.148</v>
      </c>
      <c r="I247" s="1">
        <v>8.51</v>
      </c>
    </row>
    <row r="248">
      <c r="A248" s="2" t="s">
        <v>1014</v>
      </c>
      <c r="B248" s="1">
        <v>200.0</v>
      </c>
      <c r="C248" s="1" t="s">
        <v>1015</v>
      </c>
      <c r="D248" s="1" t="s">
        <v>583</v>
      </c>
      <c r="F248" s="1">
        <v>56.0</v>
      </c>
      <c r="G248" s="1">
        <v>453.0</v>
      </c>
      <c r="H248" s="1">
        <v>0.124</v>
      </c>
      <c r="I248" s="1">
        <v>19.51</v>
      </c>
    </row>
    <row r="249">
      <c r="A249" s="2" t="s">
        <v>1016</v>
      </c>
      <c r="B249" s="1">
        <v>301.0</v>
      </c>
      <c r="D249" s="1" t="s">
        <v>609</v>
      </c>
      <c r="E249" s="1" t="s">
        <v>610</v>
      </c>
      <c r="F249" s="1">
        <v>2.0</v>
      </c>
      <c r="G249" s="1">
        <v>3310.0</v>
      </c>
      <c r="H249" s="1">
        <v>0.001</v>
      </c>
      <c r="I249" s="1">
        <v>35.73</v>
      </c>
    </row>
    <row r="250">
      <c r="A250" s="2" t="s">
        <v>1017</v>
      </c>
      <c r="B250" s="1">
        <v>200.0</v>
      </c>
      <c r="C250" s="1" t="s">
        <v>1018</v>
      </c>
      <c r="D250" s="1" t="s">
        <v>583</v>
      </c>
      <c r="F250" s="1">
        <v>46.0</v>
      </c>
      <c r="G250" s="1">
        <v>300.0</v>
      </c>
      <c r="H250" s="1">
        <v>0.153</v>
      </c>
      <c r="I250" s="1">
        <v>14.11</v>
      </c>
    </row>
    <row r="251">
      <c r="A251" s="2" t="s">
        <v>1019</v>
      </c>
      <c r="B251" s="1">
        <v>301.0</v>
      </c>
      <c r="D251" s="1" t="s">
        <v>609</v>
      </c>
      <c r="E251" s="1" t="s">
        <v>610</v>
      </c>
      <c r="F251" s="1">
        <v>57.0</v>
      </c>
      <c r="G251" s="1">
        <v>19373.0</v>
      </c>
      <c r="H251" s="1">
        <v>0.003</v>
      </c>
      <c r="I251" s="1">
        <v>19.07</v>
      </c>
    </row>
    <row r="252">
      <c r="A252" s="2" t="s">
        <v>1020</v>
      </c>
      <c r="B252" s="1">
        <v>301.0</v>
      </c>
      <c r="D252" s="1" t="s">
        <v>609</v>
      </c>
      <c r="E252" s="1" t="s">
        <v>610</v>
      </c>
    </row>
    <row r="253">
      <c r="A253" s="2" t="s">
        <v>1021</v>
      </c>
      <c r="B253" s="1">
        <v>200.0</v>
      </c>
      <c r="C253" s="1" t="s">
        <v>1022</v>
      </c>
      <c r="D253" s="1" t="s">
        <v>583</v>
      </c>
      <c r="F253" s="1">
        <v>0.0</v>
      </c>
      <c r="G253" s="1">
        <v>6.0</v>
      </c>
      <c r="H253" s="1">
        <v>0.0</v>
      </c>
      <c r="I253" s="1">
        <v>9.67</v>
      </c>
    </row>
    <row r="254">
      <c r="A254" s="2" t="s">
        <v>1023</v>
      </c>
      <c r="B254" s="1">
        <v>200.0</v>
      </c>
      <c r="C254" s="1" t="s">
        <v>1024</v>
      </c>
      <c r="D254" s="1" t="s">
        <v>583</v>
      </c>
      <c r="F254" s="1">
        <v>0.0</v>
      </c>
      <c r="G254" s="1">
        <v>62.0</v>
      </c>
      <c r="H254" s="1">
        <v>0.0</v>
      </c>
      <c r="I254" s="1">
        <v>34.4</v>
      </c>
    </row>
    <row r="255">
      <c r="A255" s="2" t="s">
        <v>1025</v>
      </c>
      <c r="B255" s="1">
        <v>200.0</v>
      </c>
      <c r="C255" s="1" t="s">
        <v>1026</v>
      </c>
      <c r="D255" s="1" t="s">
        <v>583</v>
      </c>
      <c r="F255" s="1">
        <v>0.0</v>
      </c>
      <c r="G255" s="1">
        <v>35.0</v>
      </c>
      <c r="H255" s="1">
        <v>0.0</v>
      </c>
      <c r="I255" s="1">
        <v>28.69</v>
      </c>
    </row>
    <row r="256">
      <c r="A256" s="2" t="s">
        <v>1027</v>
      </c>
      <c r="B256" s="1">
        <v>200.0</v>
      </c>
      <c r="C256" s="1" t="s">
        <v>1028</v>
      </c>
      <c r="D256" s="1" t="s">
        <v>583</v>
      </c>
      <c r="F256" s="1">
        <v>0.0</v>
      </c>
      <c r="G256" s="1">
        <v>116.0</v>
      </c>
      <c r="H256" s="1">
        <v>0.0</v>
      </c>
      <c r="I256" s="1">
        <v>30.34</v>
      </c>
    </row>
    <row r="257">
      <c r="A257" s="2" t="s">
        <v>1029</v>
      </c>
      <c r="B257" s="1">
        <v>200.0</v>
      </c>
      <c r="C257" s="1" t="s">
        <v>1030</v>
      </c>
      <c r="D257" s="1" t="s">
        <v>583</v>
      </c>
      <c r="F257" s="1">
        <v>0.0</v>
      </c>
      <c r="G257" s="1">
        <v>67.0</v>
      </c>
      <c r="H257" s="1">
        <v>0.0</v>
      </c>
      <c r="I257" s="1">
        <v>40.88</v>
      </c>
    </row>
    <row r="258">
      <c r="A258" s="2" t="s">
        <v>1031</v>
      </c>
      <c r="B258" s="1">
        <v>200.0</v>
      </c>
      <c r="C258" s="1" t="s">
        <v>1032</v>
      </c>
      <c r="D258" s="1" t="s">
        <v>583</v>
      </c>
      <c r="F258" s="1">
        <v>0.0</v>
      </c>
      <c r="G258" s="1">
        <v>20.0</v>
      </c>
      <c r="H258" s="1">
        <v>0.0</v>
      </c>
      <c r="I258" s="1">
        <v>32.1</v>
      </c>
    </row>
    <row r="259">
      <c r="A259" s="2" t="s">
        <v>1033</v>
      </c>
      <c r="B259" s="1">
        <v>200.0</v>
      </c>
      <c r="C259" s="1" t="s">
        <v>1034</v>
      </c>
      <c r="D259" s="1" t="s">
        <v>583</v>
      </c>
      <c r="F259" s="1">
        <v>1.0</v>
      </c>
      <c r="G259" s="1">
        <v>442.0</v>
      </c>
      <c r="H259" s="1">
        <v>0.002</v>
      </c>
      <c r="I259" s="1">
        <v>42.47</v>
      </c>
    </row>
    <row r="260">
      <c r="A260" s="2" t="s">
        <v>1035</v>
      </c>
      <c r="B260" s="1">
        <v>200.0</v>
      </c>
      <c r="C260" s="1" t="s">
        <v>1036</v>
      </c>
      <c r="D260" s="1" t="s">
        <v>583</v>
      </c>
      <c r="F260" s="1">
        <v>1.0</v>
      </c>
      <c r="G260" s="1">
        <v>815.0</v>
      </c>
      <c r="H260" s="1">
        <v>0.001</v>
      </c>
      <c r="I260" s="1">
        <v>25.83</v>
      </c>
    </row>
    <row r="261">
      <c r="A261" s="2" t="s">
        <v>1037</v>
      </c>
      <c r="B261" s="1">
        <v>200.0</v>
      </c>
      <c r="C261" s="1" t="s">
        <v>1038</v>
      </c>
      <c r="D261" s="1" t="s">
        <v>583</v>
      </c>
      <c r="F261" s="1">
        <v>0.0</v>
      </c>
      <c r="G261" s="1">
        <v>497.0</v>
      </c>
      <c r="H261" s="1">
        <v>0.0</v>
      </c>
      <c r="I261" s="1">
        <v>40.42</v>
      </c>
    </row>
    <row r="262">
      <c r="A262" s="2" t="s">
        <v>1039</v>
      </c>
      <c r="B262" s="1">
        <v>200.0</v>
      </c>
      <c r="C262" s="1" t="s">
        <v>1040</v>
      </c>
      <c r="D262" s="1" t="s">
        <v>583</v>
      </c>
      <c r="F262" s="1">
        <v>0.0</v>
      </c>
      <c r="G262" s="1">
        <v>92.0</v>
      </c>
      <c r="H262" s="1">
        <v>0.0</v>
      </c>
      <c r="I262" s="1">
        <v>19.48</v>
      </c>
    </row>
    <row r="263">
      <c r="A263" s="2" t="s">
        <v>1041</v>
      </c>
      <c r="B263" s="1">
        <v>200.0</v>
      </c>
      <c r="C263" s="1" t="s">
        <v>1042</v>
      </c>
      <c r="D263" s="1" t="s">
        <v>583</v>
      </c>
      <c r="F263" s="1">
        <v>0.0</v>
      </c>
      <c r="G263" s="1">
        <v>64.0</v>
      </c>
      <c r="H263" s="1">
        <v>0.0</v>
      </c>
      <c r="I263" s="1">
        <v>34.22</v>
      </c>
    </row>
    <row r="264">
      <c r="A264" s="2" t="s">
        <v>1043</v>
      </c>
      <c r="B264" s="1">
        <v>301.0</v>
      </c>
      <c r="D264" s="1" t="s">
        <v>609</v>
      </c>
      <c r="E264" s="1" t="s">
        <v>610</v>
      </c>
    </row>
    <row r="265">
      <c r="A265" s="2" t="s">
        <v>1044</v>
      </c>
      <c r="B265" s="1">
        <v>301.0</v>
      </c>
      <c r="D265" s="1" t="s">
        <v>609</v>
      </c>
      <c r="E265" s="1" t="s">
        <v>610</v>
      </c>
    </row>
    <row r="266">
      <c r="A266" s="2" t="s">
        <v>1045</v>
      </c>
      <c r="B266" s="1">
        <v>301.0</v>
      </c>
      <c r="D266" s="1" t="s">
        <v>609</v>
      </c>
      <c r="E266" s="1" t="s">
        <v>610</v>
      </c>
    </row>
    <row r="267">
      <c r="A267" s="2" t="s">
        <v>1046</v>
      </c>
      <c r="B267" s="1">
        <v>301.0</v>
      </c>
      <c r="D267" s="1" t="s">
        <v>609</v>
      </c>
      <c r="E267" s="1" t="s">
        <v>610</v>
      </c>
    </row>
    <row r="268">
      <c r="A268" s="2" t="s">
        <v>1047</v>
      </c>
      <c r="B268" s="1">
        <v>301.0</v>
      </c>
      <c r="D268" s="1" t="s">
        <v>609</v>
      </c>
      <c r="E268" s="1" t="s">
        <v>610</v>
      </c>
    </row>
    <row r="269">
      <c r="A269" s="2" t="s">
        <v>1048</v>
      </c>
      <c r="B269" s="1">
        <v>301.0</v>
      </c>
      <c r="D269" s="1" t="s">
        <v>609</v>
      </c>
      <c r="E269" s="1" t="s">
        <v>610</v>
      </c>
    </row>
    <row r="270">
      <c r="A270" s="2" t="s">
        <v>1049</v>
      </c>
      <c r="B270" s="1">
        <v>301.0</v>
      </c>
      <c r="D270" s="1" t="s">
        <v>609</v>
      </c>
      <c r="E270" s="1" t="s">
        <v>610</v>
      </c>
    </row>
    <row r="271">
      <c r="A271" s="2" t="s">
        <v>1050</v>
      </c>
      <c r="B271" s="1">
        <v>301.0</v>
      </c>
      <c r="D271" s="1" t="s">
        <v>609</v>
      </c>
      <c r="E271" s="1" t="s">
        <v>610</v>
      </c>
    </row>
    <row r="272">
      <c r="A272" s="2" t="s">
        <v>1051</v>
      </c>
      <c r="B272" s="1">
        <v>301.0</v>
      </c>
      <c r="D272" s="1" t="s">
        <v>609</v>
      </c>
      <c r="E272" s="1" t="s">
        <v>610</v>
      </c>
    </row>
    <row r="273">
      <c r="A273" s="2" t="s">
        <v>1052</v>
      </c>
      <c r="B273" s="1">
        <v>200.0</v>
      </c>
      <c r="C273" s="1" t="s">
        <v>1053</v>
      </c>
      <c r="D273" s="1" t="s">
        <v>583</v>
      </c>
      <c r="F273" s="1">
        <v>23.0</v>
      </c>
      <c r="G273" s="1">
        <v>8671.0</v>
      </c>
      <c r="H273" s="1">
        <v>0.003</v>
      </c>
      <c r="I273" s="1">
        <v>6.27</v>
      </c>
    </row>
    <row r="274">
      <c r="A274" s="2" t="s">
        <v>1054</v>
      </c>
      <c r="B274" s="1">
        <v>200.0</v>
      </c>
      <c r="C274" s="1" t="s">
        <v>896</v>
      </c>
      <c r="D274" s="1" t="s">
        <v>609</v>
      </c>
      <c r="E274" s="1" t="s">
        <v>631</v>
      </c>
    </row>
    <row r="275">
      <c r="A275" s="2" t="s">
        <v>1055</v>
      </c>
      <c r="B275" s="1">
        <v>200.0</v>
      </c>
      <c r="C275" s="1" t="s">
        <v>658</v>
      </c>
      <c r="D275" s="1" t="s">
        <v>583</v>
      </c>
      <c r="F275" s="1">
        <v>0.0</v>
      </c>
      <c r="G275" s="1">
        <v>436.0</v>
      </c>
      <c r="H275" s="1">
        <v>0.0</v>
      </c>
      <c r="I275" s="1">
        <v>49.9</v>
      </c>
    </row>
    <row r="276">
      <c r="A276" s="2" t="s">
        <v>1056</v>
      </c>
      <c r="B276" s="1">
        <v>301.0</v>
      </c>
      <c r="D276" s="1" t="s">
        <v>609</v>
      </c>
      <c r="E276" s="1" t="s">
        <v>610</v>
      </c>
    </row>
    <row r="277">
      <c r="A277" s="2" t="s">
        <v>1057</v>
      </c>
      <c r="B277" s="1">
        <v>301.0</v>
      </c>
      <c r="D277" s="1" t="s">
        <v>609</v>
      </c>
      <c r="E277" s="1" t="s">
        <v>610</v>
      </c>
    </row>
    <row r="278">
      <c r="A278" s="2" t="s">
        <v>1058</v>
      </c>
      <c r="B278" s="1">
        <v>301.0</v>
      </c>
      <c r="D278" s="1" t="s">
        <v>609</v>
      </c>
      <c r="E278" s="1" t="s">
        <v>610</v>
      </c>
    </row>
    <row r="279">
      <c r="A279" s="2" t="s">
        <v>1059</v>
      </c>
      <c r="B279" s="1">
        <v>301.0</v>
      </c>
      <c r="D279" s="1" t="s">
        <v>609</v>
      </c>
      <c r="E279" s="1" t="s">
        <v>610</v>
      </c>
    </row>
    <row r="280">
      <c r="A280" s="2" t="s">
        <v>1060</v>
      </c>
      <c r="B280" s="1">
        <v>200.0</v>
      </c>
      <c r="C280" s="1" t="s">
        <v>1061</v>
      </c>
      <c r="D280" s="1" t="s">
        <v>583</v>
      </c>
      <c r="F280" s="1">
        <v>0.0</v>
      </c>
      <c r="G280" s="1">
        <v>793.0</v>
      </c>
      <c r="H280" s="1">
        <v>0.0</v>
      </c>
      <c r="I280" s="1">
        <v>51.95</v>
      </c>
    </row>
    <row r="281">
      <c r="A281" s="2" t="s">
        <v>1062</v>
      </c>
      <c r="B281" s="1">
        <v>301.0</v>
      </c>
      <c r="D281" s="1" t="s">
        <v>609</v>
      </c>
      <c r="E281" s="1" t="s">
        <v>610</v>
      </c>
    </row>
    <row r="282">
      <c r="A282" s="2" t="s">
        <v>1063</v>
      </c>
      <c r="B282" s="1">
        <v>200.0</v>
      </c>
      <c r="C282" s="1" t="s">
        <v>1064</v>
      </c>
      <c r="D282" s="1" t="s">
        <v>583</v>
      </c>
      <c r="F282" s="1">
        <v>0.0</v>
      </c>
      <c r="G282" s="1">
        <v>594.0</v>
      </c>
      <c r="H282" s="1">
        <v>0.0</v>
      </c>
      <c r="I282" s="1">
        <v>49.03</v>
      </c>
    </row>
    <row r="283">
      <c r="A283" s="2" t="s">
        <v>1065</v>
      </c>
      <c r="B283" s="1">
        <v>200.0</v>
      </c>
      <c r="C283" s="1" t="s">
        <v>1066</v>
      </c>
      <c r="D283" s="1" t="s">
        <v>583</v>
      </c>
      <c r="F283" s="1">
        <v>6.0</v>
      </c>
      <c r="G283" s="1">
        <v>765.0</v>
      </c>
      <c r="H283" s="1">
        <v>0.008</v>
      </c>
      <c r="I283" s="1">
        <v>38.03</v>
      </c>
    </row>
    <row r="284">
      <c r="A284" s="2" t="s">
        <v>1067</v>
      </c>
      <c r="B284" s="1">
        <v>301.0</v>
      </c>
      <c r="D284" s="1" t="s">
        <v>609</v>
      </c>
      <c r="E284" s="1" t="s">
        <v>610</v>
      </c>
    </row>
    <row r="285">
      <c r="A285" s="2" t="s">
        <v>1068</v>
      </c>
      <c r="B285" s="1">
        <v>301.0</v>
      </c>
      <c r="D285" s="1" t="s">
        <v>609</v>
      </c>
      <c r="E285" s="1" t="s">
        <v>610</v>
      </c>
    </row>
    <row r="286">
      <c r="A286" s="2" t="s">
        <v>1069</v>
      </c>
      <c r="B286" s="1">
        <v>301.0</v>
      </c>
      <c r="D286" s="1" t="s">
        <v>609</v>
      </c>
      <c r="E286" s="1" t="s">
        <v>610</v>
      </c>
    </row>
    <row r="287">
      <c r="A287" s="2" t="s">
        <v>1070</v>
      </c>
      <c r="B287" s="1">
        <v>200.0</v>
      </c>
      <c r="C287" s="1" t="s">
        <v>1071</v>
      </c>
      <c r="D287" s="1" t="s">
        <v>583</v>
      </c>
      <c r="F287" s="1">
        <v>3.0</v>
      </c>
      <c r="G287" s="1">
        <v>506.0</v>
      </c>
      <c r="H287" s="1">
        <v>0.006</v>
      </c>
      <c r="I287" s="1">
        <v>8.72</v>
      </c>
    </row>
    <row r="288">
      <c r="A288" s="2" t="s">
        <v>1072</v>
      </c>
      <c r="B288" s="1">
        <v>200.0</v>
      </c>
      <c r="C288" s="1" t="s">
        <v>1073</v>
      </c>
      <c r="D288" s="1" t="s">
        <v>583</v>
      </c>
      <c r="F288" s="1">
        <v>1.0</v>
      </c>
      <c r="G288" s="1">
        <v>62.0</v>
      </c>
      <c r="H288" s="1">
        <v>0.016</v>
      </c>
      <c r="I288" s="1">
        <v>15.37</v>
      </c>
    </row>
    <row r="289">
      <c r="A289" s="2" t="s">
        <v>1074</v>
      </c>
      <c r="B289" s="1">
        <v>200.0</v>
      </c>
      <c r="C289" s="1" t="s">
        <v>691</v>
      </c>
      <c r="D289" s="1" t="s">
        <v>583</v>
      </c>
      <c r="F289" s="1">
        <v>1.0</v>
      </c>
      <c r="G289" s="1">
        <v>44.0</v>
      </c>
      <c r="H289" s="1">
        <v>0.023</v>
      </c>
      <c r="I289" s="1">
        <v>15.3</v>
      </c>
    </row>
    <row r="290">
      <c r="A290" s="2" t="s">
        <v>1075</v>
      </c>
      <c r="B290" s="1">
        <v>301.0</v>
      </c>
      <c r="D290" s="1" t="s">
        <v>609</v>
      </c>
      <c r="E290" s="1" t="s">
        <v>610</v>
      </c>
    </row>
    <row r="291">
      <c r="A291" s="2" t="s">
        <v>1076</v>
      </c>
      <c r="B291" s="1">
        <v>200.0</v>
      </c>
      <c r="C291" s="1" t="s">
        <v>1077</v>
      </c>
      <c r="D291" s="1" t="s">
        <v>583</v>
      </c>
      <c r="F291" s="1">
        <v>1.0</v>
      </c>
      <c r="G291" s="1">
        <v>327.0</v>
      </c>
      <c r="H291" s="1">
        <v>0.003</v>
      </c>
      <c r="I291" s="1">
        <v>52.91</v>
      </c>
    </row>
    <row r="292">
      <c r="A292" s="2" t="s">
        <v>1078</v>
      </c>
      <c r="B292" s="1">
        <v>200.0</v>
      </c>
      <c r="C292" s="1" t="s">
        <v>1079</v>
      </c>
      <c r="D292" s="1" t="s">
        <v>583</v>
      </c>
      <c r="F292" s="1">
        <v>0.0</v>
      </c>
      <c r="G292" s="1">
        <v>126.0</v>
      </c>
      <c r="H292" s="1">
        <v>0.0</v>
      </c>
      <c r="I292" s="1">
        <v>9.1</v>
      </c>
    </row>
    <row r="293">
      <c r="A293" s="2" t="s">
        <v>1080</v>
      </c>
      <c r="B293" s="1">
        <v>200.0</v>
      </c>
      <c r="C293" s="1" t="s">
        <v>1081</v>
      </c>
      <c r="D293" s="1" t="s">
        <v>583</v>
      </c>
      <c r="F293" s="1">
        <v>0.0</v>
      </c>
      <c r="G293" s="1">
        <v>16.0</v>
      </c>
      <c r="H293" s="1">
        <v>0.0</v>
      </c>
      <c r="I293" s="1">
        <v>54.38</v>
      </c>
    </row>
    <row r="294">
      <c r="A294" s="2" t="s">
        <v>1082</v>
      </c>
      <c r="B294" s="1">
        <v>200.0</v>
      </c>
      <c r="C294" s="1" t="s">
        <v>1083</v>
      </c>
      <c r="D294" s="1" t="s">
        <v>583</v>
      </c>
      <c r="F294" s="1">
        <v>0.0</v>
      </c>
      <c r="G294" s="1">
        <v>27.0</v>
      </c>
      <c r="H294" s="1">
        <v>0.0</v>
      </c>
      <c r="I294" s="1">
        <v>9.44</v>
      </c>
    </row>
    <row r="295">
      <c r="A295" s="2" t="s">
        <v>1084</v>
      </c>
      <c r="B295" s="1">
        <v>200.0</v>
      </c>
      <c r="C295" s="1" t="s">
        <v>1085</v>
      </c>
      <c r="D295" s="1" t="s">
        <v>583</v>
      </c>
      <c r="F295" s="1">
        <v>0.0</v>
      </c>
      <c r="G295" s="1">
        <v>3.0</v>
      </c>
      <c r="H295" s="1">
        <v>0.0</v>
      </c>
      <c r="I295" s="1">
        <v>94.33</v>
      </c>
    </row>
    <row r="296">
      <c r="A296" s="2" t="s">
        <v>1086</v>
      </c>
      <c r="B296" s="1">
        <v>200.0</v>
      </c>
      <c r="C296" s="1" t="s">
        <v>1087</v>
      </c>
      <c r="D296" s="1" t="s">
        <v>583</v>
      </c>
      <c r="F296" s="1">
        <v>0.0</v>
      </c>
      <c r="G296" s="1">
        <v>49.0</v>
      </c>
      <c r="H296" s="1">
        <v>0.0</v>
      </c>
      <c r="I296" s="1">
        <v>20.76</v>
      </c>
    </row>
    <row r="297">
      <c r="A297" s="2" t="s">
        <v>1088</v>
      </c>
      <c r="B297" s="1">
        <v>200.0</v>
      </c>
      <c r="C297" s="1" t="s">
        <v>1089</v>
      </c>
      <c r="D297" s="1" t="s">
        <v>583</v>
      </c>
      <c r="F297" s="1">
        <v>0.0</v>
      </c>
      <c r="G297" s="1">
        <v>1.0</v>
      </c>
      <c r="H297" s="1">
        <v>0.0</v>
      </c>
      <c r="I297" s="1">
        <v>2.0</v>
      </c>
    </row>
    <row r="298">
      <c r="A298" s="2" t="s">
        <v>1090</v>
      </c>
      <c r="B298" s="1">
        <v>200.0</v>
      </c>
      <c r="C298" s="1" t="s">
        <v>1091</v>
      </c>
      <c r="D298" s="1" t="s">
        <v>583</v>
      </c>
      <c r="F298" s="1">
        <v>0.0</v>
      </c>
      <c r="G298" s="1">
        <v>4.0</v>
      </c>
      <c r="H298" s="1">
        <v>0.0</v>
      </c>
      <c r="I298" s="1">
        <v>12.75</v>
      </c>
    </row>
    <row r="299">
      <c r="A299" s="2" t="s">
        <v>1092</v>
      </c>
      <c r="B299" s="1">
        <v>200.0</v>
      </c>
      <c r="C299" s="1" t="s">
        <v>1093</v>
      </c>
      <c r="D299" s="1" t="s">
        <v>583</v>
      </c>
      <c r="F299" s="1">
        <v>0.0</v>
      </c>
      <c r="G299" s="1">
        <v>18.0</v>
      </c>
      <c r="H299" s="1">
        <v>0.0</v>
      </c>
      <c r="I299" s="1">
        <v>23.56</v>
      </c>
    </row>
    <row r="300">
      <c r="A300" s="2" t="s">
        <v>1094</v>
      </c>
      <c r="B300" s="1">
        <v>301.0</v>
      </c>
      <c r="D300" s="1" t="s">
        <v>609</v>
      </c>
      <c r="E300" s="1" t="s">
        <v>610</v>
      </c>
    </row>
    <row r="301">
      <c r="A301" s="2" t="s">
        <v>1095</v>
      </c>
      <c r="B301" s="1">
        <v>200.0</v>
      </c>
      <c r="C301" s="1" t="s">
        <v>1096</v>
      </c>
      <c r="D301" s="1" t="s">
        <v>583</v>
      </c>
      <c r="F301" s="1">
        <v>0.0</v>
      </c>
      <c r="G301" s="1">
        <v>120.0</v>
      </c>
      <c r="H301" s="1">
        <v>0.0</v>
      </c>
      <c r="I301" s="1">
        <v>43.29</v>
      </c>
    </row>
    <row r="302">
      <c r="A302" s="2" t="s">
        <v>1097</v>
      </c>
      <c r="B302" s="1">
        <v>200.0</v>
      </c>
      <c r="C302" s="1" t="s">
        <v>1098</v>
      </c>
      <c r="D302" s="1" t="s">
        <v>583</v>
      </c>
      <c r="F302" s="1">
        <v>0.0</v>
      </c>
      <c r="G302" s="1">
        <v>74.0</v>
      </c>
      <c r="H302" s="1">
        <v>0.0</v>
      </c>
      <c r="I302" s="1">
        <v>26.8</v>
      </c>
    </row>
    <row r="303">
      <c r="A303" s="2" t="s">
        <v>1099</v>
      </c>
      <c r="B303" s="1">
        <v>200.0</v>
      </c>
      <c r="C303" s="1" t="s">
        <v>1100</v>
      </c>
      <c r="D303" s="1" t="s">
        <v>583</v>
      </c>
      <c r="F303" s="1">
        <v>8.0</v>
      </c>
      <c r="G303" s="1">
        <v>1793.0</v>
      </c>
      <c r="H303" s="1">
        <v>0.004</v>
      </c>
      <c r="I303" s="1">
        <v>16.76</v>
      </c>
    </row>
    <row r="304">
      <c r="A304" s="2" t="s">
        <v>1101</v>
      </c>
      <c r="B304" s="1">
        <v>200.0</v>
      </c>
      <c r="C304" s="1" t="s">
        <v>1102</v>
      </c>
      <c r="D304" s="1" t="s">
        <v>583</v>
      </c>
      <c r="F304" s="1">
        <v>1.0</v>
      </c>
      <c r="G304" s="1">
        <v>381.0</v>
      </c>
      <c r="H304" s="1">
        <v>0.003</v>
      </c>
      <c r="I304" s="1">
        <v>5.19</v>
      </c>
    </row>
    <row r="305">
      <c r="A305" s="2" t="s">
        <v>1103</v>
      </c>
      <c r="B305" s="1">
        <v>200.0</v>
      </c>
      <c r="C305" s="1" t="s">
        <v>1104</v>
      </c>
      <c r="D305" s="1" t="s">
        <v>583</v>
      </c>
      <c r="F305" s="1">
        <v>11.0</v>
      </c>
      <c r="G305" s="1">
        <v>4591.0</v>
      </c>
      <c r="H305" s="1">
        <v>0.002</v>
      </c>
      <c r="I305" s="1">
        <v>10.59</v>
      </c>
    </row>
    <row r="306">
      <c r="A306" s="2" t="s">
        <v>1105</v>
      </c>
      <c r="B306" s="1">
        <v>200.0</v>
      </c>
      <c r="C306" s="1" t="s">
        <v>1106</v>
      </c>
      <c r="D306" s="1" t="s">
        <v>583</v>
      </c>
      <c r="F306" s="1">
        <v>0.0</v>
      </c>
      <c r="G306" s="1">
        <v>16.0</v>
      </c>
      <c r="H306" s="1">
        <v>0.0</v>
      </c>
      <c r="I306" s="1">
        <v>10.5</v>
      </c>
    </row>
    <row r="307">
      <c r="A307" s="2" t="s">
        <v>1107</v>
      </c>
      <c r="B307" s="1">
        <v>200.0</v>
      </c>
      <c r="C307" s="1" t="s">
        <v>1108</v>
      </c>
      <c r="D307" s="1" t="s">
        <v>583</v>
      </c>
    </row>
    <row r="308">
      <c r="A308" s="2" t="s">
        <v>1109</v>
      </c>
      <c r="B308" s="1">
        <v>200.0</v>
      </c>
      <c r="C308" s="1" t="s">
        <v>1110</v>
      </c>
      <c r="D308" s="1" t="s">
        <v>583</v>
      </c>
      <c r="F308" s="1">
        <v>6.0</v>
      </c>
      <c r="G308" s="1">
        <v>717.0</v>
      </c>
      <c r="H308" s="1">
        <v>0.008</v>
      </c>
      <c r="I308" s="1">
        <v>24.95</v>
      </c>
    </row>
    <row r="309">
      <c r="A309" s="2" t="s">
        <v>1111</v>
      </c>
      <c r="B309" s="1">
        <v>200.0</v>
      </c>
      <c r="C309" s="1" t="s">
        <v>1112</v>
      </c>
      <c r="D309" s="1" t="s">
        <v>583</v>
      </c>
      <c r="F309" s="1">
        <v>0.0</v>
      </c>
      <c r="G309" s="1">
        <v>8.0</v>
      </c>
      <c r="H309" s="1">
        <v>0.0</v>
      </c>
      <c r="I309" s="1">
        <v>53.63</v>
      </c>
    </row>
    <row r="310">
      <c r="A310" s="2" t="s">
        <v>1113</v>
      </c>
      <c r="B310" s="1">
        <v>200.0</v>
      </c>
      <c r="C310" s="1" t="s">
        <v>1114</v>
      </c>
      <c r="D310" s="1" t="s">
        <v>583</v>
      </c>
      <c r="F310" s="1">
        <v>0.0</v>
      </c>
      <c r="G310" s="1">
        <v>79.0</v>
      </c>
      <c r="H310" s="1">
        <v>0.0</v>
      </c>
      <c r="I310" s="1">
        <v>61.56</v>
      </c>
    </row>
    <row r="311">
      <c r="A311" s="2" t="s">
        <v>1115</v>
      </c>
      <c r="B311" s="1">
        <v>200.0</v>
      </c>
      <c r="C311" s="1" t="s">
        <v>1116</v>
      </c>
      <c r="D311" s="1" t="s">
        <v>583</v>
      </c>
      <c r="F311" s="1">
        <v>0.0</v>
      </c>
      <c r="G311" s="1">
        <v>1.0</v>
      </c>
      <c r="H311" s="1">
        <v>0.0</v>
      </c>
      <c r="I311" s="1">
        <v>5.0</v>
      </c>
    </row>
    <row r="312">
      <c r="A312" s="2" t="s">
        <v>1117</v>
      </c>
      <c r="B312" s="1">
        <v>200.0</v>
      </c>
      <c r="C312" s="1" t="s">
        <v>1118</v>
      </c>
      <c r="D312" s="1" t="s">
        <v>583</v>
      </c>
    </row>
    <row r="313">
      <c r="A313" s="2" t="s">
        <v>1119</v>
      </c>
      <c r="B313" s="1">
        <v>301.0</v>
      </c>
      <c r="D313" s="1" t="s">
        <v>609</v>
      </c>
      <c r="E313" s="1" t="s">
        <v>610</v>
      </c>
    </row>
    <row r="314">
      <c r="A314" s="2" t="s">
        <v>1120</v>
      </c>
      <c r="B314" s="1">
        <v>200.0</v>
      </c>
      <c r="C314" s="1" t="s">
        <v>1121</v>
      </c>
      <c r="D314" s="1" t="s">
        <v>583</v>
      </c>
      <c r="F314" s="1">
        <v>0.0</v>
      </c>
      <c r="G314" s="1">
        <v>13.0</v>
      </c>
      <c r="H314" s="1">
        <v>0.0</v>
      </c>
      <c r="I314" s="1">
        <v>6.77</v>
      </c>
    </row>
    <row r="315">
      <c r="A315" s="2" t="s">
        <v>1122</v>
      </c>
      <c r="B315" s="1">
        <v>200.0</v>
      </c>
      <c r="C315" s="1" t="s">
        <v>1123</v>
      </c>
      <c r="D315" s="1" t="s">
        <v>583</v>
      </c>
      <c r="F315" s="1">
        <v>1.0</v>
      </c>
      <c r="G315" s="1">
        <v>109.0</v>
      </c>
      <c r="H315" s="1">
        <v>0.009</v>
      </c>
      <c r="I315" s="1">
        <v>12.49</v>
      </c>
    </row>
    <row r="316">
      <c r="A316" s="2" t="s">
        <v>1124</v>
      </c>
      <c r="B316" s="1">
        <v>301.0</v>
      </c>
      <c r="D316" s="1" t="s">
        <v>609</v>
      </c>
      <c r="E316" s="1" t="s">
        <v>610</v>
      </c>
    </row>
    <row r="317">
      <c r="A317" s="2" t="s">
        <v>1125</v>
      </c>
      <c r="B317" s="1">
        <v>301.0</v>
      </c>
      <c r="D317" s="1" t="s">
        <v>609</v>
      </c>
      <c r="E317" s="1" t="s">
        <v>610</v>
      </c>
    </row>
    <row r="318">
      <c r="A318" s="2" t="s">
        <v>1126</v>
      </c>
      <c r="B318" s="1">
        <v>200.0</v>
      </c>
      <c r="C318" s="1" t="s">
        <v>628</v>
      </c>
      <c r="D318" s="1" t="s">
        <v>583</v>
      </c>
    </row>
    <row r="319">
      <c r="A319" s="2" t="s">
        <v>1127</v>
      </c>
      <c r="B319" s="1">
        <v>200.0</v>
      </c>
      <c r="C319" s="1" t="s">
        <v>1128</v>
      </c>
      <c r="D319" s="1" t="s">
        <v>583</v>
      </c>
    </row>
    <row r="320">
      <c r="A320" s="2" t="s">
        <v>1129</v>
      </c>
      <c r="B320" s="1">
        <v>200.0</v>
      </c>
      <c r="C320" s="1" t="s">
        <v>1130</v>
      </c>
      <c r="D320" s="1" t="s">
        <v>583</v>
      </c>
      <c r="F320" s="1">
        <v>2.0</v>
      </c>
      <c r="G320" s="1">
        <v>2361.0</v>
      </c>
      <c r="H320" s="1">
        <v>0.001</v>
      </c>
      <c r="I320" s="1">
        <v>41.84</v>
      </c>
    </row>
    <row r="321">
      <c r="A321" s="2" t="s">
        <v>1131</v>
      </c>
      <c r="B321" s="1">
        <v>301.0</v>
      </c>
      <c r="D321" s="1" t="s">
        <v>609</v>
      </c>
      <c r="E321" s="1" t="s">
        <v>610</v>
      </c>
    </row>
    <row r="322">
      <c r="A322" s="2" t="s">
        <v>1132</v>
      </c>
      <c r="B322" s="1">
        <v>200.0</v>
      </c>
      <c r="C322" s="1" t="s">
        <v>1133</v>
      </c>
      <c r="D322" s="1" t="s">
        <v>583</v>
      </c>
      <c r="F322" s="1">
        <v>0.0</v>
      </c>
      <c r="G322" s="1">
        <v>2.0</v>
      </c>
      <c r="H322" s="1">
        <v>0.0</v>
      </c>
      <c r="I322" s="1">
        <v>6.5</v>
      </c>
    </row>
    <row r="323">
      <c r="A323" s="2" t="s">
        <v>1134</v>
      </c>
      <c r="B323" s="1">
        <v>200.0</v>
      </c>
      <c r="C323" s="1" t="s">
        <v>1135</v>
      </c>
      <c r="D323" s="1" t="s">
        <v>583</v>
      </c>
    </row>
    <row r="324">
      <c r="A324" s="2" t="s">
        <v>1136</v>
      </c>
      <c r="B324" s="1">
        <v>200.0</v>
      </c>
      <c r="C324" s="1" t="s">
        <v>1137</v>
      </c>
      <c r="D324" s="1" t="s">
        <v>583</v>
      </c>
      <c r="F324" s="1">
        <v>0.0</v>
      </c>
      <c r="G324" s="1">
        <v>1.0</v>
      </c>
      <c r="H324" s="1">
        <v>0.0</v>
      </c>
      <c r="I324" s="1">
        <v>1.0</v>
      </c>
    </row>
    <row r="325">
      <c r="A325" s="2" t="s">
        <v>1138</v>
      </c>
      <c r="B325" s="1">
        <v>301.0</v>
      </c>
      <c r="D325" s="1" t="s">
        <v>609</v>
      </c>
      <c r="E325" s="1" t="s">
        <v>610</v>
      </c>
      <c r="F325" s="1">
        <v>1.0</v>
      </c>
      <c r="G325" s="1">
        <v>2110.0</v>
      </c>
      <c r="H325" s="1">
        <v>0.0</v>
      </c>
      <c r="I325" s="1">
        <v>46.65</v>
      </c>
    </row>
    <row r="326">
      <c r="A326" s="2" t="s">
        <v>1139</v>
      </c>
      <c r="B326" s="1">
        <v>200.0</v>
      </c>
      <c r="C326" s="1" t="s">
        <v>1140</v>
      </c>
      <c r="D326" s="1" t="s">
        <v>583</v>
      </c>
    </row>
    <row r="327">
      <c r="A327" s="2" t="s">
        <v>1141</v>
      </c>
      <c r="B327" s="1">
        <v>200.0</v>
      </c>
      <c r="C327" s="1" t="s">
        <v>1142</v>
      </c>
      <c r="D327" s="1" t="s">
        <v>583</v>
      </c>
      <c r="F327" s="1">
        <v>0.0</v>
      </c>
      <c r="G327" s="1">
        <v>5.0</v>
      </c>
      <c r="H327" s="1">
        <v>0.0</v>
      </c>
      <c r="I327" s="1">
        <v>9.2</v>
      </c>
    </row>
    <row r="328">
      <c r="A328" s="2" t="s">
        <v>1143</v>
      </c>
      <c r="B328" s="1">
        <v>200.0</v>
      </c>
      <c r="C328" s="1" t="s">
        <v>1144</v>
      </c>
      <c r="D328" s="1" t="s">
        <v>583</v>
      </c>
      <c r="F328" s="1">
        <v>0.0</v>
      </c>
      <c r="G328" s="1">
        <v>15.0</v>
      </c>
      <c r="H328" s="1">
        <v>0.0</v>
      </c>
      <c r="I328" s="1">
        <v>8.27</v>
      </c>
    </row>
    <row r="329">
      <c r="A329" s="2" t="s">
        <v>1145</v>
      </c>
      <c r="B329" s="1">
        <v>200.0</v>
      </c>
      <c r="C329" s="1" t="s">
        <v>1146</v>
      </c>
      <c r="D329" s="1" t="s">
        <v>583</v>
      </c>
      <c r="F329" s="1">
        <v>1.0</v>
      </c>
      <c r="G329" s="1">
        <v>1002.0</v>
      </c>
      <c r="H329" s="1">
        <v>0.001</v>
      </c>
      <c r="I329" s="1">
        <v>40.71</v>
      </c>
    </row>
    <row r="330">
      <c r="A330" s="2" t="s">
        <v>1147</v>
      </c>
      <c r="B330" s="1">
        <v>200.0</v>
      </c>
      <c r="C330" s="1" t="s">
        <v>1148</v>
      </c>
      <c r="D330" s="1" t="s">
        <v>583</v>
      </c>
      <c r="F330" s="1">
        <v>0.0</v>
      </c>
      <c r="G330" s="1">
        <v>130.0</v>
      </c>
      <c r="H330" s="1">
        <v>0.0</v>
      </c>
      <c r="I330" s="1">
        <v>6.52</v>
      </c>
    </row>
    <row r="331">
      <c r="A331" s="2" t="s">
        <v>1149</v>
      </c>
      <c r="B331" s="1">
        <v>200.0</v>
      </c>
      <c r="C331" s="1" t="s">
        <v>1150</v>
      </c>
      <c r="D331" s="1" t="s">
        <v>583</v>
      </c>
    </row>
    <row r="332">
      <c r="A332" s="2" t="s">
        <v>1151</v>
      </c>
      <c r="B332" s="1">
        <v>301.0</v>
      </c>
      <c r="D332" s="1" t="s">
        <v>609</v>
      </c>
      <c r="E332" s="1" t="s">
        <v>610</v>
      </c>
    </row>
    <row r="333">
      <c r="A333" s="2" t="s">
        <v>1152</v>
      </c>
      <c r="B333" s="1">
        <v>301.0</v>
      </c>
      <c r="D333" s="1" t="s">
        <v>609</v>
      </c>
      <c r="E333" s="1" t="s">
        <v>610</v>
      </c>
    </row>
    <row r="334">
      <c r="A334" s="2" t="s">
        <v>1153</v>
      </c>
      <c r="B334" s="1">
        <v>301.0</v>
      </c>
      <c r="D334" s="1" t="s">
        <v>609</v>
      </c>
      <c r="E334" s="1" t="s">
        <v>610</v>
      </c>
    </row>
    <row r="335">
      <c r="A335" s="2" t="s">
        <v>1154</v>
      </c>
      <c r="B335" s="1">
        <v>301.0</v>
      </c>
      <c r="D335" s="1" t="s">
        <v>609</v>
      </c>
      <c r="E335" s="1" t="s">
        <v>610</v>
      </c>
    </row>
    <row r="336">
      <c r="A336" s="2" t="s">
        <v>1155</v>
      </c>
      <c r="B336" s="1">
        <v>301.0</v>
      </c>
      <c r="D336" s="1" t="s">
        <v>609</v>
      </c>
      <c r="E336" s="1" t="s">
        <v>610</v>
      </c>
    </row>
    <row r="337">
      <c r="A337" s="2" t="s">
        <v>1156</v>
      </c>
      <c r="B337" s="1">
        <v>301.0</v>
      </c>
      <c r="D337" s="1" t="s">
        <v>609</v>
      </c>
      <c r="E337" s="1" t="s">
        <v>610</v>
      </c>
    </row>
    <row r="338">
      <c r="A338" s="2" t="s">
        <v>1157</v>
      </c>
      <c r="B338" s="1">
        <v>301.0</v>
      </c>
      <c r="D338" s="1" t="s">
        <v>609</v>
      </c>
      <c r="E338" s="1" t="s">
        <v>610</v>
      </c>
    </row>
    <row r="339">
      <c r="A339" s="2" t="s">
        <v>1158</v>
      </c>
      <c r="B339" s="1">
        <v>200.0</v>
      </c>
      <c r="C339" s="1" t="s">
        <v>655</v>
      </c>
      <c r="D339" s="1" t="s">
        <v>609</v>
      </c>
      <c r="E339" s="1" t="s">
        <v>631</v>
      </c>
    </row>
    <row r="340">
      <c r="A340" s="2" t="s">
        <v>1159</v>
      </c>
      <c r="B340" s="1">
        <v>301.0</v>
      </c>
      <c r="D340" s="1" t="s">
        <v>609</v>
      </c>
      <c r="E340" s="1" t="s">
        <v>610</v>
      </c>
      <c r="F340" s="1">
        <v>4.0</v>
      </c>
      <c r="G340" s="1">
        <v>1241.0</v>
      </c>
      <c r="H340" s="1">
        <v>0.003</v>
      </c>
      <c r="I340" s="1">
        <v>19.82</v>
      </c>
    </row>
    <row r="341">
      <c r="A341" s="2" t="s">
        <v>1160</v>
      </c>
      <c r="B341" s="1">
        <v>200.0</v>
      </c>
      <c r="C341" s="1" t="s">
        <v>1161</v>
      </c>
      <c r="D341" s="1" t="s">
        <v>583</v>
      </c>
      <c r="F341" s="1">
        <v>1.0</v>
      </c>
      <c r="G341" s="1">
        <v>338.0</v>
      </c>
      <c r="H341" s="1">
        <v>0.003</v>
      </c>
      <c r="I341" s="1">
        <v>40.54</v>
      </c>
    </row>
    <row r="342">
      <c r="A342" s="2" t="s">
        <v>1162</v>
      </c>
      <c r="B342" s="1">
        <v>200.0</v>
      </c>
      <c r="C342" s="1" t="s">
        <v>1163</v>
      </c>
      <c r="D342" s="1" t="s">
        <v>583</v>
      </c>
      <c r="F342" s="1">
        <v>3.0</v>
      </c>
      <c r="G342" s="1">
        <v>44.0</v>
      </c>
      <c r="H342" s="1">
        <v>0.068</v>
      </c>
      <c r="I342" s="1">
        <v>12.39</v>
      </c>
    </row>
    <row r="343">
      <c r="A343" s="2" t="s">
        <v>1164</v>
      </c>
      <c r="B343" s="1">
        <v>200.0</v>
      </c>
      <c r="C343" s="1" t="s">
        <v>1165</v>
      </c>
      <c r="D343" s="1" t="s">
        <v>583</v>
      </c>
      <c r="F343" s="1">
        <v>1.0</v>
      </c>
      <c r="G343" s="1">
        <v>1390.0</v>
      </c>
      <c r="H343" s="1">
        <v>0.001</v>
      </c>
      <c r="I343" s="1">
        <v>11.79</v>
      </c>
    </row>
    <row r="344">
      <c r="A344" s="2" t="s">
        <v>1166</v>
      </c>
      <c r="B344" s="1">
        <v>200.0</v>
      </c>
      <c r="C344" s="1" t="s">
        <v>1167</v>
      </c>
      <c r="D344" s="1" t="s">
        <v>583</v>
      </c>
      <c r="F344" s="1">
        <v>0.0</v>
      </c>
      <c r="G344" s="1">
        <v>335.0</v>
      </c>
      <c r="H344" s="1">
        <v>0.0</v>
      </c>
      <c r="I344" s="1">
        <v>44.1</v>
      </c>
    </row>
    <row r="345">
      <c r="A345" s="2" t="s">
        <v>1168</v>
      </c>
      <c r="B345" s="1">
        <v>200.0</v>
      </c>
      <c r="C345" s="1" t="s">
        <v>1169</v>
      </c>
      <c r="D345" s="1" t="s">
        <v>583</v>
      </c>
      <c r="F345" s="1">
        <v>0.0</v>
      </c>
      <c r="G345" s="1">
        <v>336.0</v>
      </c>
      <c r="H345" s="1">
        <v>0.0</v>
      </c>
      <c r="I345" s="1">
        <v>43.87</v>
      </c>
    </row>
    <row r="346">
      <c r="A346" s="2" t="s">
        <v>1170</v>
      </c>
      <c r="B346" s="1">
        <v>200.0</v>
      </c>
      <c r="C346" s="1" t="s">
        <v>1171</v>
      </c>
      <c r="D346" s="1" t="s">
        <v>583</v>
      </c>
      <c r="F346" s="1">
        <v>0.0</v>
      </c>
      <c r="G346" s="1">
        <v>216.0</v>
      </c>
      <c r="H346" s="1">
        <v>0.0</v>
      </c>
      <c r="I346" s="1">
        <v>28.13</v>
      </c>
    </row>
    <row r="347">
      <c r="A347" s="2" t="s">
        <v>1172</v>
      </c>
      <c r="B347" s="1">
        <v>301.0</v>
      </c>
      <c r="D347" s="1" t="s">
        <v>609</v>
      </c>
      <c r="E347" s="1" t="s">
        <v>610</v>
      </c>
      <c r="F347" s="1">
        <v>0.0</v>
      </c>
      <c r="G347" s="1">
        <v>1134.0</v>
      </c>
      <c r="H347" s="1">
        <v>0.0</v>
      </c>
      <c r="I347" s="1">
        <v>62.11</v>
      </c>
    </row>
    <row r="348">
      <c r="A348" s="2" t="s">
        <v>1173</v>
      </c>
      <c r="B348" s="1">
        <v>200.0</v>
      </c>
      <c r="C348" s="1" t="s">
        <v>1174</v>
      </c>
      <c r="D348" s="1" t="s">
        <v>583</v>
      </c>
      <c r="F348" s="1">
        <v>0.0</v>
      </c>
      <c r="G348" s="1">
        <v>12.0</v>
      </c>
      <c r="H348" s="1">
        <v>0.0</v>
      </c>
      <c r="I348" s="1">
        <v>22.0</v>
      </c>
    </row>
    <row r="349">
      <c r="A349" s="2" t="s">
        <v>1175</v>
      </c>
      <c r="B349" s="1">
        <v>200.0</v>
      </c>
      <c r="C349" s="1" t="s">
        <v>1176</v>
      </c>
      <c r="D349" s="1" t="s">
        <v>583</v>
      </c>
      <c r="F349" s="1">
        <v>0.0</v>
      </c>
      <c r="G349" s="1">
        <v>24.0</v>
      </c>
      <c r="H349" s="1">
        <v>0.0</v>
      </c>
      <c r="I349" s="1">
        <v>36.08</v>
      </c>
    </row>
    <row r="350">
      <c r="A350" s="2" t="s">
        <v>1177</v>
      </c>
      <c r="B350" s="1">
        <v>200.0</v>
      </c>
      <c r="C350" s="1" t="s">
        <v>1178</v>
      </c>
      <c r="D350" s="1" t="s">
        <v>583</v>
      </c>
      <c r="F350" s="1">
        <v>0.0</v>
      </c>
      <c r="G350" s="1">
        <v>134.0</v>
      </c>
      <c r="H350" s="1">
        <v>0.0</v>
      </c>
      <c r="I350" s="1">
        <v>16.7</v>
      </c>
    </row>
    <row r="351">
      <c r="A351" s="2" t="s">
        <v>1179</v>
      </c>
      <c r="B351" s="1">
        <v>200.0</v>
      </c>
      <c r="C351" s="1" t="s">
        <v>1180</v>
      </c>
      <c r="D351" s="1" t="s">
        <v>583</v>
      </c>
      <c r="F351" s="1">
        <v>1.0</v>
      </c>
      <c r="G351" s="1">
        <v>96.0</v>
      </c>
      <c r="H351" s="1">
        <v>0.01</v>
      </c>
      <c r="I351" s="1">
        <v>35.2</v>
      </c>
    </row>
    <row r="352">
      <c r="A352" s="2" t="s">
        <v>1181</v>
      </c>
      <c r="B352" s="1">
        <v>200.0</v>
      </c>
      <c r="C352" s="1" t="s">
        <v>1182</v>
      </c>
      <c r="D352" s="1" t="s">
        <v>583</v>
      </c>
      <c r="F352" s="1">
        <v>0.0</v>
      </c>
      <c r="G352" s="1">
        <v>14.0</v>
      </c>
      <c r="H352" s="1">
        <v>0.0</v>
      </c>
      <c r="I352" s="1">
        <v>25.79</v>
      </c>
    </row>
    <row r="353">
      <c r="A353" s="2" t="s">
        <v>1183</v>
      </c>
      <c r="B353" s="1">
        <v>200.0</v>
      </c>
      <c r="C353" s="1" t="s">
        <v>1184</v>
      </c>
      <c r="D353" s="1" t="s">
        <v>583</v>
      </c>
      <c r="F353" s="1">
        <v>0.0</v>
      </c>
      <c r="G353" s="1">
        <v>2425.0</v>
      </c>
      <c r="H353" s="1">
        <v>0.0</v>
      </c>
      <c r="I353" s="1">
        <v>35.92</v>
      </c>
    </row>
    <row r="354">
      <c r="A354" s="2" t="s">
        <v>1185</v>
      </c>
      <c r="B354" s="1">
        <v>200.0</v>
      </c>
      <c r="C354" s="1" t="s">
        <v>880</v>
      </c>
      <c r="D354" s="1" t="s">
        <v>609</v>
      </c>
      <c r="E354" s="1" t="s">
        <v>631</v>
      </c>
    </row>
    <row r="355">
      <c r="A355" s="2" t="s">
        <v>1186</v>
      </c>
      <c r="B355" s="1">
        <v>200.0</v>
      </c>
      <c r="C355" s="1" t="s">
        <v>889</v>
      </c>
      <c r="D355" s="1" t="s">
        <v>609</v>
      </c>
      <c r="E355" s="1" t="s">
        <v>631</v>
      </c>
    </row>
    <row r="356">
      <c r="A356" s="2" t="s">
        <v>1187</v>
      </c>
      <c r="B356" s="1">
        <v>200.0</v>
      </c>
      <c r="C356" s="1" t="s">
        <v>873</v>
      </c>
      <c r="D356" s="1" t="s">
        <v>609</v>
      </c>
      <c r="E356" s="1" t="s">
        <v>631</v>
      </c>
    </row>
    <row r="357">
      <c r="A357" s="2" t="s">
        <v>1188</v>
      </c>
      <c r="B357" s="1">
        <v>200.0</v>
      </c>
      <c r="C357" s="1" t="s">
        <v>672</v>
      </c>
      <c r="D357" s="1" t="s">
        <v>583</v>
      </c>
    </row>
    <row r="358">
      <c r="A358" s="2" t="s">
        <v>1189</v>
      </c>
      <c r="B358" s="1">
        <v>200.0</v>
      </c>
      <c r="C358" s="1" t="s">
        <v>922</v>
      </c>
      <c r="D358" s="1" t="s">
        <v>609</v>
      </c>
      <c r="E358" s="1" t="s">
        <v>631</v>
      </c>
    </row>
    <row r="359">
      <c r="A359" s="2" t="s">
        <v>1190</v>
      </c>
      <c r="B359" s="1">
        <v>200.0</v>
      </c>
      <c r="C359" s="1" t="s">
        <v>926</v>
      </c>
      <c r="D359" s="1" t="s">
        <v>609</v>
      </c>
      <c r="E359" s="1" t="s">
        <v>631</v>
      </c>
    </row>
    <row r="360">
      <c r="A360" s="2" t="s">
        <v>1191</v>
      </c>
      <c r="B360" s="1">
        <v>200.0</v>
      </c>
      <c r="C360" s="1" t="s">
        <v>915</v>
      </c>
      <c r="D360" s="1" t="s">
        <v>609</v>
      </c>
      <c r="E360" s="1" t="s">
        <v>631</v>
      </c>
    </row>
    <row r="361">
      <c r="A361" s="2" t="s">
        <v>1192</v>
      </c>
      <c r="B361" s="1">
        <v>200.0</v>
      </c>
      <c r="C361" s="1" t="s">
        <v>887</v>
      </c>
      <c r="D361" s="1" t="s">
        <v>609</v>
      </c>
      <c r="E361" s="1" t="s">
        <v>631</v>
      </c>
    </row>
    <row r="362">
      <c r="A362" s="2" t="s">
        <v>1193</v>
      </c>
      <c r="B362" s="1">
        <v>200.0</v>
      </c>
      <c r="C362" s="1" t="s">
        <v>868</v>
      </c>
      <c r="D362" s="1" t="s">
        <v>609</v>
      </c>
      <c r="E362" s="1" t="s">
        <v>631</v>
      </c>
    </row>
    <row r="363">
      <c r="A363" s="2" t="s">
        <v>1194</v>
      </c>
      <c r="B363" s="1">
        <v>200.0</v>
      </c>
      <c r="C363" s="1" t="s">
        <v>1195</v>
      </c>
      <c r="D363" s="1" t="s">
        <v>583</v>
      </c>
      <c r="F363" s="1">
        <v>0.0</v>
      </c>
      <c r="G363" s="1">
        <v>32.0</v>
      </c>
      <c r="H363" s="1">
        <v>0.0</v>
      </c>
      <c r="I363" s="1">
        <v>20.38</v>
      </c>
    </row>
    <row r="364">
      <c r="A364" s="2" t="s">
        <v>1196</v>
      </c>
      <c r="B364" s="1">
        <v>200.0</v>
      </c>
      <c r="C364" s="1" t="s">
        <v>663</v>
      </c>
      <c r="D364" s="1" t="s">
        <v>609</v>
      </c>
      <c r="E364" s="1" t="s">
        <v>664</v>
      </c>
    </row>
    <row r="365">
      <c r="A365" s="2" t="s">
        <v>1197</v>
      </c>
      <c r="B365" s="1">
        <v>200.0</v>
      </c>
      <c r="C365" s="1" t="s">
        <v>643</v>
      </c>
      <c r="D365" s="1" t="s">
        <v>609</v>
      </c>
      <c r="E365" s="1" t="s">
        <v>631</v>
      </c>
    </row>
    <row r="366">
      <c r="A366" s="2" t="s">
        <v>1198</v>
      </c>
      <c r="B366" s="1">
        <v>200.0</v>
      </c>
      <c r="C366" s="1" t="s">
        <v>1199</v>
      </c>
      <c r="D366" s="1" t="s">
        <v>583</v>
      </c>
      <c r="F366" s="1">
        <v>0.0</v>
      </c>
      <c r="G366" s="1">
        <v>746.0</v>
      </c>
      <c r="H366" s="1">
        <v>0.0</v>
      </c>
      <c r="I366" s="1">
        <v>37.2</v>
      </c>
    </row>
    <row r="367">
      <c r="A367" s="2" t="s">
        <v>1200</v>
      </c>
      <c r="B367" s="1">
        <v>200.0</v>
      </c>
      <c r="C367" s="1" t="s">
        <v>1201</v>
      </c>
      <c r="D367" s="1" t="s">
        <v>583</v>
      </c>
      <c r="F367" s="1">
        <v>0.0</v>
      </c>
      <c r="G367" s="1">
        <v>1.0</v>
      </c>
      <c r="H367" s="1">
        <v>0.0</v>
      </c>
      <c r="I367" s="1">
        <v>6.0</v>
      </c>
    </row>
    <row r="368">
      <c r="A368" s="2" t="s">
        <v>1202</v>
      </c>
      <c r="B368" s="1">
        <v>200.0</v>
      </c>
      <c r="C368" s="1" t="s">
        <v>1203</v>
      </c>
      <c r="D368" s="1" t="s">
        <v>583</v>
      </c>
      <c r="F368" s="1">
        <v>0.0</v>
      </c>
      <c r="G368" s="1">
        <v>151.0</v>
      </c>
      <c r="H368" s="1">
        <v>0.0</v>
      </c>
      <c r="I368" s="1">
        <v>24.05</v>
      </c>
    </row>
    <row r="369">
      <c r="A369" s="2" t="s">
        <v>1204</v>
      </c>
      <c r="B369" s="1">
        <v>200.0</v>
      </c>
      <c r="C369" s="1" t="s">
        <v>1205</v>
      </c>
      <c r="D369" s="1" t="s">
        <v>583</v>
      </c>
      <c r="F369" s="1">
        <v>0.0</v>
      </c>
      <c r="G369" s="1">
        <v>370.0</v>
      </c>
      <c r="H369" s="1">
        <v>0.0</v>
      </c>
      <c r="I369" s="1">
        <v>41.67</v>
      </c>
    </row>
    <row r="370">
      <c r="A370" s="2" t="s">
        <v>1206</v>
      </c>
      <c r="B370" s="1">
        <v>301.0</v>
      </c>
      <c r="D370" s="1" t="s">
        <v>609</v>
      </c>
      <c r="E370" s="1" t="s">
        <v>610</v>
      </c>
    </row>
    <row r="371">
      <c r="A371" s="2" t="s">
        <v>1207</v>
      </c>
      <c r="B371" s="1">
        <v>200.0</v>
      </c>
      <c r="C371" s="1" t="s">
        <v>1208</v>
      </c>
      <c r="D371" s="1" t="s">
        <v>583</v>
      </c>
      <c r="F371" s="1">
        <v>0.0</v>
      </c>
      <c r="G371" s="1">
        <v>265.0</v>
      </c>
      <c r="H371" s="1">
        <v>0.0</v>
      </c>
      <c r="I371" s="1">
        <v>50.19</v>
      </c>
    </row>
    <row r="372">
      <c r="A372" s="2" t="s">
        <v>1209</v>
      </c>
      <c r="B372" s="1">
        <v>301.0</v>
      </c>
      <c r="D372" s="1" t="s">
        <v>609</v>
      </c>
      <c r="E372" s="1" t="s">
        <v>610</v>
      </c>
    </row>
    <row r="373">
      <c r="A373" s="2" t="s">
        <v>1210</v>
      </c>
      <c r="B373" s="1">
        <v>200.0</v>
      </c>
      <c r="C373" s="1" t="s">
        <v>1211</v>
      </c>
      <c r="D373" s="1" t="s">
        <v>583</v>
      </c>
      <c r="F373" s="1">
        <v>2.0</v>
      </c>
      <c r="G373" s="1">
        <v>302.0</v>
      </c>
      <c r="H373" s="1">
        <v>0.007</v>
      </c>
      <c r="I373" s="1">
        <v>21.21</v>
      </c>
    </row>
    <row r="374">
      <c r="A374" s="2" t="s">
        <v>1212</v>
      </c>
      <c r="B374" s="1">
        <v>301.0</v>
      </c>
      <c r="D374" s="1" t="s">
        <v>609</v>
      </c>
      <c r="E374" s="1" t="s">
        <v>610</v>
      </c>
    </row>
    <row r="375">
      <c r="A375" s="2" t="s">
        <v>1213</v>
      </c>
      <c r="B375" s="1">
        <v>200.0</v>
      </c>
      <c r="C375" s="1" t="s">
        <v>1214</v>
      </c>
      <c r="D375" s="1" t="s">
        <v>583</v>
      </c>
      <c r="F375" s="1">
        <v>0.0</v>
      </c>
      <c r="G375" s="1">
        <v>658.0</v>
      </c>
      <c r="H375" s="1">
        <v>0.0</v>
      </c>
      <c r="I375" s="1">
        <v>53.21</v>
      </c>
    </row>
    <row r="376">
      <c r="A376" s="2" t="s">
        <v>1215</v>
      </c>
      <c r="B376" s="1">
        <v>200.0</v>
      </c>
      <c r="C376" s="1" t="s">
        <v>1216</v>
      </c>
      <c r="D376" s="1" t="s">
        <v>583</v>
      </c>
      <c r="F376" s="1">
        <v>0.0</v>
      </c>
      <c r="G376" s="1">
        <v>438.0</v>
      </c>
      <c r="H376" s="1">
        <v>0.0</v>
      </c>
      <c r="I376" s="1">
        <v>30.17</v>
      </c>
    </row>
    <row r="377">
      <c r="A377" s="2" t="s">
        <v>1217</v>
      </c>
      <c r="B377" s="1">
        <v>200.0</v>
      </c>
      <c r="C377" s="1" t="s">
        <v>1216</v>
      </c>
      <c r="D377" s="1" t="s">
        <v>583</v>
      </c>
      <c r="F377" s="1">
        <v>0.0</v>
      </c>
      <c r="G377" s="1">
        <v>83.0</v>
      </c>
      <c r="H377" s="1">
        <v>0.0</v>
      </c>
      <c r="I377" s="1">
        <v>45.76</v>
      </c>
    </row>
    <row r="378">
      <c r="A378" s="2" t="s">
        <v>1218</v>
      </c>
      <c r="B378" s="1">
        <v>301.0</v>
      </c>
      <c r="D378" s="1" t="s">
        <v>609</v>
      </c>
      <c r="E378" s="1" t="s">
        <v>610</v>
      </c>
      <c r="F378" s="1">
        <v>3.0</v>
      </c>
      <c r="G378" s="1">
        <v>3446.0</v>
      </c>
      <c r="H378" s="1">
        <v>0.001</v>
      </c>
      <c r="I378" s="1">
        <v>33.72</v>
      </c>
    </row>
    <row r="379">
      <c r="A379" s="2" t="s">
        <v>1219</v>
      </c>
      <c r="B379" s="1">
        <v>200.0</v>
      </c>
      <c r="C379" s="1" t="s">
        <v>1220</v>
      </c>
      <c r="D379" s="1" t="s">
        <v>583</v>
      </c>
      <c r="F379" s="1">
        <v>2.0</v>
      </c>
      <c r="G379" s="1">
        <v>172.0</v>
      </c>
      <c r="H379" s="1">
        <v>0.012</v>
      </c>
      <c r="I379" s="1">
        <v>31.31</v>
      </c>
    </row>
    <row r="380">
      <c r="A380" s="2" t="s">
        <v>1221</v>
      </c>
      <c r="B380" s="1">
        <v>200.0</v>
      </c>
      <c r="C380" s="1" t="s">
        <v>1222</v>
      </c>
      <c r="D380" s="1" t="s">
        <v>583</v>
      </c>
      <c r="F380" s="1">
        <v>0.0</v>
      </c>
      <c r="G380" s="1">
        <v>69.0</v>
      </c>
      <c r="H380" s="1">
        <v>0.0</v>
      </c>
      <c r="I380" s="1">
        <v>30.91</v>
      </c>
    </row>
    <row r="381">
      <c r="A381" s="2" t="s">
        <v>1223</v>
      </c>
      <c r="B381" s="1">
        <v>200.0</v>
      </c>
      <c r="C381" s="1" t="s">
        <v>1224</v>
      </c>
      <c r="D381" s="1" t="s">
        <v>583</v>
      </c>
      <c r="F381" s="1">
        <v>3.0</v>
      </c>
      <c r="G381" s="1">
        <v>194.0</v>
      </c>
      <c r="H381" s="1">
        <v>0.015</v>
      </c>
      <c r="I381" s="1">
        <v>7.62</v>
      </c>
    </row>
    <row r="382">
      <c r="A382" s="2" t="s">
        <v>1225</v>
      </c>
      <c r="B382" s="1">
        <v>301.0</v>
      </c>
      <c r="D382" s="1" t="s">
        <v>609</v>
      </c>
      <c r="E382" s="1" t="s">
        <v>610</v>
      </c>
    </row>
    <row r="383">
      <c r="A383" s="2" t="s">
        <v>1226</v>
      </c>
      <c r="B383" s="1">
        <v>200.0</v>
      </c>
      <c r="C383" s="1" t="s">
        <v>1227</v>
      </c>
      <c r="D383" s="1" t="s">
        <v>583</v>
      </c>
    </row>
    <row r="384">
      <c r="A384" s="2" t="s">
        <v>1228</v>
      </c>
      <c r="B384" s="1">
        <v>200.0</v>
      </c>
      <c r="C384" s="1" t="s">
        <v>1229</v>
      </c>
      <c r="D384" s="1" t="s">
        <v>583</v>
      </c>
      <c r="F384" s="1">
        <v>0.0</v>
      </c>
      <c r="G384" s="1">
        <v>216.0</v>
      </c>
      <c r="H384" s="1">
        <v>0.0</v>
      </c>
      <c r="I384" s="1">
        <v>24.43</v>
      </c>
    </row>
    <row r="385">
      <c r="A385" s="2" t="s">
        <v>1230</v>
      </c>
      <c r="B385" s="1">
        <v>200.0</v>
      </c>
      <c r="C385" s="1" t="s">
        <v>1231</v>
      </c>
      <c r="D385" s="1" t="s">
        <v>609</v>
      </c>
      <c r="E385" s="1" t="s">
        <v>631</v>
      </c>
    </row>
    <row r="386">
      <c r="A386" s="2" t="s">
        <v>1232</v>
      </c>
      <c r="B386" s="1">
        <v>301.0</v>
      </c>
      <c r="D386" s="1" t="s">
        <v>609</v>
      </c>
      <c r="E386" s="1" t="s">
        <v>610</v>
      </c>
    </row>
    <row r="387">
      <c r="A387" s="2" t="s">
        <v>1233</v>
      </c>
      <c r="B387" s="1">
        <v>301.0</v>
      </c>
      <c r="D387" s="1" t="s">
        <v>609</v>
      </c>
      <c r="E387" s="1" t="s">
        <v>610</v>
      </c>
    </row>
    <row r="388">
      <c r="A388" s="2" t="s">
        <v>1234</v>
      </c>
      <c r="B388" s="1">
        <v>200.0</v>
      </c>
      <c r="C388" s="1" t="s">
        <v>917</v>
      </c>
      <c r="D388" s="1" t="s">
        <v>583</v>
      </c>
      <c r="F388" s="1">
        <v>0.0</v>
      </c>
      <c r="G388" s="1">
        <v>936.0</v>
      </c>
      <c r="H388" s="1">
        <v>0.0</v>
      </c>
      <c r="I388" s="1">
        <v>53.0</v>
      </c>
    </row>
    <row r="389">
      <c r="A389" s="2" t="s">
        <v>1235</v>
      </c>
      <c r="B389" s="1">
        <v>301.0</v>
      </c>
      <c r="D389" s="1" t="s">
        <v>609</v>
      </c>
      <c r="E389" s="1" t="s">
        <v>610</v>
      </c>
    </row>
    <row r="390">
      <c r="A390" s="2" t="s">
        <v>1236</v>
      </c>
      <c r="B390" s="1">
        <v>200.0</v>
      </c>
      <c r="C390" s="1" t="s">
        <v>1237</v>
      </c>
      <c r="D390" s="1" t="s">
        <v>609</v>
      </c>
      <c r="E390" s="1" t="s">
        <v>631</v>
      </c>
    </row>
    <row r="391">
      <c r="A391" s="2" t="s">
        <v>1238</v>
      </c>
      <c r="B391" s="1">
        <v>301.0</v>
      </c>
      <c r="D391" s="1" t="s">
        <v>609</v>
      </c>
      <c r="E391" s="1" t="s">
        <v>610</v>
      </c>
    </row>
    <row r="392">
      <c r="A392" s="2" t="s">
        <v>1239</v>
      </c>
      <c r="B392" s="1">
        <v>200.0</v>
      </c>
      <c r="C392" s="1" t="s">
        <v>1240</v>
      </c>
      <c r="D392" s="1" t="s">
        <v>583</v>
      </c>
    </row>
    <row r="393">
      <c r="A393" s="2" t="s">
        <v>1241</v>
      </c>
      <c r="B393" s="1">
        <v>301.0</v>
      </c>
      <c r="D393" s="1" t="s">
        <v>609</v>
      </c>
      <c r="E393" s="1" t="s">
        <v>610</v>
      </c>
    </row>
    <row r="394">
      <c r="A394" s="2" t="s">
        <v>1242</v>
      </c>
      <c r="B394" s="1">
        <v>301.0</v>
      </c>
      <c r="D394" s="1" t="s">
        <v>609</v>
      </c>
      <c r="E394" s="1" t="s">
        <v>610</v>
      </c>
    </row>
    <row r="395">
      <c r="A395" s="2" t="s">
        <v>1243</v>
      </c>
      <c r="B395" s="1">
        <v>301.0</v>
      </c>
      <c r="D395" s="1" t="s">
        <v>609</v>
      </c>
      <c r="E395" s="1" t="s">
        <v>610</v>
      </c>
    </row>
    <row r="396">
      <c r="A396" s="2" t="s">
        <v>1244</v>
      </c>
      <c r="B396" s="1">
        <v>301.0</v>
      </c>
      <c r="D396" s="1" t="s">
        <v>609</v>
      </c>
      <c r="E396" s="1" t="s">
        <v>610</v>
      </c>
    </row>
    <row r="397">
      <c r="A397" s="2" t="s">
        <v>1245</v>
      </c>
      <c r="B397" s="1">
        <v>301.0</v>
      </c>
      <c r="D397" s="1" t="s">
        <v>609</v>
      </c>
      <c r="E397" s="1" t="s">
        <v>610</v>
      </c>
    </row>
    <row r="398">
      <c r="A398" s="2" t="s">
        <v>1246</v>
      </c>
      <c r="B398" s="1">
        <v>200.0</v>
      </c>
      <c r="C398" s="1" t="s">
        <v>891</v>
      </c>
      <c r="D398" s="1" t="s">
        <v>583</v>
      </c>
      <c r="F398" s="1">
        <v>0.0</v>
      </c>
      <c r="G398" s="1">
        <v>173.0</v>
      </c>
      <c r="H398" s="1">
        <v>0.0</v>
      </c>
      <c r="I398" s="1">
        <v>56.1</v>
      </c>
    </row>
    <row r="399">
      <c r="A399" s="2" t="s">
        <v>1247</v>
      </c>
      <c r="B399" s="1">
        <v>200.0</v>
      </c>
      <c r="C399" s="1" t="s">
        <v>908</v>
      </c>
      <c r="D399" s="1" t="s">
        <v>609</v>
      </c>
      <c r="E399" s="1" t="s">
        <v>631</v>
      </c>
    </row>
    <row r="400">
      <c r="A400" s="2" t="s">
        <v>1248</v>
      </c>
      <c r="B400" s="1">
        <v>200.0</v>
      </c>
      <c r="C400" s="1" t="s">
        <v>1249</v>
      </c>
      <c r="D400" s="1" t="s">
        <v>609</v>
      </c>
      <c r="E400" s="1" t="s">
        <v>631</v>
      </c>
    </row>
    <row r="401">
      <c r="A401" s="2" t="s">
        <v>1250</v>
      </c>
      <c r="B401" s="1">
        <v>200.0</v>
      </c>
      <c r="C401" s="1" t="s">
        <v>976</v>
      </c>
      <c r="D401" s="1" t="s">
        <v>609</v>
      </c>
      <c r="E401" s="1" t="s">
        <v>631</v>
      </c>
    </row>
    <row r="402">
      <c r="A402" s="2" t="s">
        <v>1251</v>
      </c>
      <c r="B402" s="1">
        <v>200.0</v>
      </c>
      <c r="C402" s="1" t="s">
        <v>1252</v>
      </c>
      <c r="D402" s="1" t="s">
        <v>583</v>
      </c>
      <c r="F402" s="1">
        <v>0.0</v>
      </c>
      <c r="G402" s="1">
        <v>5.0</v>
      </c>
      <c r="H402" s="1">
        <v>0.0</v>
      </c>
      <c r="I402" s="1">
        <v>29.2</v>
      </c>
    </row>
    <row r="403">
      <c r="A403" s="2" t="s">
        <v>1253</v>
      </c>
      <c r="B403" s="1">
        <v>301.0</v>
      </c>
      <c r="D403" s="1" t="s">
        <v>609</v>
      </c>
      <c r="E403" s="1" t="s">
        <v>610</v>
      </c>
      <c r="F403" s="1">
        <v>2.0</v>
      </c>
      <c r="G403" s="1">
        <v>499.0</v>
      </c>
      <c r="H403" s="1">
        <v>0.004</v>
      </c>
      <c r="I403" s="1">
        <v>18.25</v>
      </c>
    </row>
    <row r="404">
      <c r="A404" s="2" t="s">
        <v>1254</v>
      </c>
      <c r="B404" s="1">
        <v>301.0</v>
      </c>
      <c r="D404" s="1" t="s">
        <v>609</v>
      </c>
      <c r="E404" s="1" t="s">
        <v>610</v>
      </c>
    </row>
    <row r="405">
      <c r="A405" s="2" t="s">
        <v>1255</v>
      </c>
      <c r="B405" s="1">
        <v>301.0</v>
      </c>
      <c r="D405" s="1" t="s">
        <v>609</v>
      </c>
      <c r="E405" s="1" t="s">
        <v>610</v>
      </c>
    </row>
    <row r="406">
      <c r="A406" s="2" t="s">
        <v>1256</v>
      </c>
      <c r="B406" s="1">
        <v>301.0</v>
      </c>
      <c r="D406" s="1" t="s">
        <v>609</v>
      </c>
      <c r="E406" s="1" t="s">
        <v>610</v>
      </c>
    </row>
    <row r="407">
      <c r="A407" s="2" t="s">
        <v>1257</v>
      </c>
      <c r="B407" s="1">
        <v>301.0</v>
      </c>
      <c r="D407" s="1" t="s">
        <v>609</v>
      </c>
      <c r="E407" s="1" t="s">
        <v>610</v>
      </c>
    </row>
    <row r="408">
      <c r="A408" s="2" t="s">
        <v>1258</v>
      </c>
      <c r="B408" s="1">
        <v>301.0</v>
      </c>
      <c r="D408" s="1" t="s">
        <v>609</v>
      </c>
      <c r="E408" s="1" t="s">
        <v>610</v>
      </c>
    </row>
    <row r="409">
      <c r="A409" s="2" t="s">
        <v>1259</v>
      </c>
      <c r="B409" s="1">
        <v>301.0</v>
      </c>
      <c r="D409" s="1" t="s">
        <v>609</v>
      </c>
      <c r="E409" s="1" t="s">
        <v>610</v>
      </c>
    </row>
    <row r="410">
      <c r="A410" s="2" t="s">
        <v>1260</v>
      </c>
      <c r="B410" s="1">
        <v>301.0</v>
      </c>
      <c r="D410" s="1" t="s">
        <v>609</v>
      </c>
      <c r="E410" s="1" t="s">
        <v>610</v>
      </c>
    </row>
    <row r="411">
      <c r="A411" s="2" t="s">
        <v>1261</v>
      </c>
      <c r="B411" s="1">
        <v>200.0</v>
      </c>
      <c r="C411" s="1" t="s">
        <v>1262</v>
      </c>
      <c r="D411" s="1" t="s">
        <v>609</v>
      </c>
      <c r="E411" s="1" t="s">
        <v>631</v>
      </c>
    </row>
    <row r="412">
      <c r="A412" s="2" t="s">
        <v>1263</v>
      </c>
      <c r="B412" s="1">
        <v>301.0</v>
      </c>
      <c r="D412" s="1" t="s">
        <v>609</v>
      </c>
      <c r="E412" s="1" t="s">
        <v>610</v>
      </c>
    </row>
    <row r="413">
      <c r="A413" s="2" t="s">
        <v>1264</v>
      </c>
      <c r="B413" s="1">
        <v>301.0</v>
      </c>
      <c r="D413" s="1" t="s">
        <v>609</v>
      </c>
      <c r="E413" s="1" t="s">
        <v>610</v>
      </c>
    </row>
    <row r="414">
      <c r="A414" s="2" t="s">
        <v>1265</v>
      </c>
      <c r="B414" s="1">
        <v>301.0</v>
      </c>
      <c r="D414" s="1" t="s">
        <v>609</v>
      </c>
      <c r="E414" s="1" t="s">
        <v>610</v>
      </c>
    </row>
    <row r="415">
      <c r="A415" s="2" t="s">
        <v>1266</v>
      </c>
      <c r="B415" s="1">
        <v>301.0</v>
      </c>
      <c r="D415" s="1" t="s">
        <v>609</v>
      </c>
      <c r="E415" s="1" t="s">
        <v>610</v>
      </c>
    </row>
    <row r="416">
      <c r="A416" s="2" t="s">
        <v>1267</v>
      </c>
      <c r="B416" s="1">
        <v>301.0</v>
      </c>
      <c r="D416" s="1" t="s">
        <v>609</v>
      </c>
      <c r="E416" s="1" t="s">
        <v>610</v>
      </c>
    </row>
    <row r="417">
      <c r="A417" s="2" t="s">
        <v>1268</v>
      </c>
      <c r="B417" s="1">
        <v>200.0</v>
      </c>
      <c r="C417" s="1" t="s">
        <v>1269</v>
      </c>
      <c r="D417" s="1" t="s">
        <v>609</v>
      </c>
      <c r="E417" s="1" t="s">
        <v>631</v>
      </c>
    </row>
    <row r="418">
      <c r="A418" s="2" t="s">
        <v>1270</v>
      </c>
      <c r="B418" s="1">
        <v>301.0</v>
      </c>
      <c r="D418" s="1" t="s">
        <v>609</v>
      </c>
      <c r="E418" s="1" t="s">
        <v>610</v>
      </c>
    </row>
    <row r="419">
      <c r="A419" s="2" t="s">
        <v>1271</v>
      </c>
      <c r="B419" s="1">
        <v>200.0</v>
      </c>
      <c r="C419" s="1" t="s">
        <v>1272</v>
      </c>
      <c r="D419" s="1" t="s">
        <v>609</v>
      </c>
      <c r="E419" s="1" t="s">
        <v>631</v>
      </c>
    </row>
    <row r="420">
      <c r="A420" s="2" t="s">
        <v>1273</v>
      </c>
      <c r="B420" s="1">
        <v>200.0</v>
      </c>
      <c r="C420" s="1" t="s">
        <v>1274</v>
      </c>
      <c r="D420" s="1" t="s">
        <v>609</v>
      </c>
      <c r="E420" s="1" t="s">
        <v>631</v>
      </c>
    </row>
    <row r="421">
      <c r="A421" s="2" t="s">
        <v>1275</v>
      </c>
      <c r="B421" s="1">
        <v>200.0</v>
      </c>
      <c r="C421" s="1" t="s">
        <v>1276</v>
      </c>
      <c r="D421" s="1" t="s">
        <v>583</v>
      </c>
      <c r="F421" s="1">
        <v>0.0</v>
      </c>
      <c r="G421" s="1">
        <v>199.0</v>
      </c>
      <c r="H421" s="1">
        <v>0.0</v>
      </c>
      <c r="I421" s="1">
        <v>27.19</v>
      </c>
    </row>
    <row r="422">
      <c r="A422" s="2" t="s">
        <v>1277</v>
      </c>
      <c r="B422" s="1">
        <v>200.0</v>
      </c>
      <c r="C422" s="1" t="s">
        <v>1278</v>
      </c>
      <c r="D422" s="1" t="s">
        <v>609</v>
      </c>
      <c r="E422" s="1" t="s">
        <v>631</v>
      </c>
    </row>
    <row r="423">
      <c r="A423" s="2" t="s">
        <v>1279</v>
      </c>
      <c r="B423" s="1">
        <v>200.0</v>
      </c>
      <c r="C423" s="1" t="s">
        <v>1280</v>
      </c>
      <c r="D423" s="1" t="s">
        <v>609</v>
      </c>
      <c r="E423" s="1" t="s">
        <v>631</v>
      </c>
    </row>
    <row r="424">
      <c r="A424" s="2" t="s">
        <v>1281</v>
      </c>
      <c r="B424" s="1">
        <v>200.0</v>
      </c>
      <c r="C424" s="1" t="s">
        <v>1282</v>
      </c>
      <c r="D424" s="1" t="s">
        <v>609</v>
      </c>
      <c r="E424" s="1" t="s">
        <v>631</v>
      </c>
    </row>
    <row r="425">
      <c r="A425" s="2" t="s">
        <v>1283</v>
      </c>
      <c r="B425" s="1">
        <v>301.0</v>
      </c>
      <c r="D425" s="1" t="s">
        <v>609</v>
      </c>
      <c r="E425" s="1" t="s">
        <v>610</v>
      </c>
    </row>
    <row r="426">
      <c r="A426" s="1" t="s">
        <v>1284</v>
      </c>
      <c r="B426" s="1">
        <v>200.0</v>
      </c>
      <c r="C426" s="1" t="s">
        <v>1285</v>
      </c>
      <c r="D426" s="1" t="s">
        <v>583</v>
      </c>
      <c r="F426" s="1">
        <v>0.0</v>
      </c>
      <c r="G426" s="1">
        <v>1.0</v>
      </c>
      <c r="H426" s="1">
        <v>0.0</v>
      </c>
      <c r="I426" s="1">
        <v>10.0</v>
      </c>
    </row>
    <row r="427">
      <c r="A427" s="2" t="s">
        <v>1286</v>
      </c>
      <c r="B427" s="1">
        <v>200.0</v>
      </c>
      <c r="C427" s="1" t="s">
        <v>1287</v>
      </c>
      <c r="D427" s="1" t="s">
        <v>583</v>
      </c>
      <c r="F427" s="1">
        <v>80.0</v>
      </c>
      <c r="G427" s="1">
        <v>15074.0</v>
      </c>
      <c r="H427" s="1">
        <v>0.005</v>
      </c>
      <c r="I427" s="1">
        <v>3.68</v>
      </c>
    </row>
    <row r="428">
      <c r="A428" s="2" t="s">
        <v>1288</v>
      </c>
      <c r="B428" s="1">
        <v>200.0</v>
      </c>
      <c r="C428" s="1" t="s">
        <v>1289</v>
      </c>
      <c r="D428" s="1" t="s">
        <v>583</v>
      </c>
      <c r="F428" s="1">
        <v>3.0</v>
      </c>
      <c r="G428" s="1">
        <v>1586.0</v>
      </c>
      <c r="H428" s="1">
        <v>0.002</v>
      </c>
      <c r="I428" s="1">
        <v>27.42</v>
      </c>
    </row>
    <row r="429">
      <c r="A429" s="2" t="s">
        <v>1290</v>
      </c>
      <c r="B429" s="1">
        <v>200.0</v>
      </c>
      <c r="C429" s="1" t="s">
        <v>1291</v>
      </c>
      <c r="D429" s="1" t="s">
        <v>583</v>
      </c>
      <c r="F429" s="1">
        <v>0.0</v>
      </c>
      <c r="G429" s="1">
        <v>150.0</v>
      </c>
      <c r="H429" s="1">
        <v>0.0</v>
      </c>
      <c r="I429" s="1">
        <v>70.01</v>
      </c>
    </row>
    <row r="430">
      <c r="A430" s="2" t="s">
        <v>1292</v>
      </c>
      <c r="B430" s="1">
        <v>200.0</v>
      </c>
      <c r="C430" s="1" t="s">
        <v>1293</v>
      </c>
      <c r="D430" s="1" t="s">
        <v>609</v>
      </c>
      <c r="E430" s="1" t="s">
        <v>631</v>
      </c>
    </row>
    <row r="431">
      <c r="A431" s="2" t="s">
        <v>1294</v>
      </c>
      <c r="B431" s="1">
        <v>200.0</v>
      </c>
      <c r="C431" s="1" t="s">
        <v>605</v>
      </c>
      <c r="D431" s="1" t="s">
        <v>609</v>
      </c>
      <c r="E431" s="1" t="s">
        <v>631</v>
      </c>
    </row>
    <row r="432">
      <c r="A432" s="2" t="s">
        <v>1295</v>
      </c>
      <c r="B432" s="1">
        <v>200.0</v>
      </c>
      <c r="C432" s="1" t="s">
        <v>1296</v>
      </c>
      <c r="D432" s="1" t="s">
        <v>583</v>
      </c>
      <c r="F432" s="1">
        <v>29.0</v>
      </c>
      <c r="G432" s="1">
        <v>10711.0</v>
      </c>
      <c r="H432" s="1">
        <v>0.003</v>
      </c>
      <c r="I432" s="1">
        <v>6.74</v>
      </c>
    </row>
    <row r="433">
      <c r="A433" s="2" t="s">
        <v>1297</v>
      </c>
      <c r="B433" s="1">
        <v>200.0</v>
      </c>
      <c r="C433" s="1" t="s">
        <v>1298</v>
      </c>
      <c r="D433" s="1" t="s">
        <v>583</v>
      </c>
      <c r="F433" s="1">
        <v>0.0</v>
      </c>
      <c r="G433" s="1">
        <v>1.0</v>
      </c>
      <c r="H433" s="1">
        <v>0.0</v>
      </c>
      <c r="I433" s="1">
        <v>10.0</v>
      </c>
    </row>
    <row r="434">
      <c r="A434" s="2" t="s">
        <v>1299</v>
      </c>
      <c r="B434" s="1">
        <v>200.0</v>
      </c>
      <c r="C434" s="1" t="s">
        <v>846</v>
      </c>
      <c r="D434" s="1" t="s">
        <v>609</v>
      </c>
      <c r="E434" s="1" t="s">
        <v>631</v>
      </c>
    </row>
    <row r="435">
      <c r="A435" s="2" t="s">
        <v>1300</v>
      </c>
      <c r="B435" s="1">
        <v>200.0</v>
      </c>
      <c r="C435" s="1" t="s">
        <v>1301</v>
      </c>
      <c r="D435" s="1" t="s">
        <v>583</v>
      </c>
    </row>
    <row r="436">
      <c r="A436" s="2" t="s">
        <v>1302</v>
      </c>
      <c r="B436" s="1">
        <v>200.0</v>
      </c>
      <c r="C436" s="1" t="s">
        <v>582</v>
      </c>
      <c r="D436" s="1" t="s">
        <v>583</v>
      </c>
      <c r="F436" s="1">
        <v>0.0</v>
      </c>
      <c r="G436" s="1">
        <v>7.0</v>
      </c>
      <c r="H436" s="1">
        <v>0.0</v>
      </c>
      <c r="I436" s="1">
        <v>3.43</v>
      </c>
    </row>
    <row r="437">
      <c r="A437" s="2" t="s">
        <v>1303</v>
      </c>
      <c r="B437" s="1">
        <v>301.0</v>
      </c>
      <c r="D437" s="1" t="s">
        <v>609</v>
      </c>
      <c r="E437" s="1" t="s">
        <v>610</v>
      </c>
      <c r="F437" s="1">
        <v>2.0</v>
      </c>
      <c r="G437" s="1">
        <v>611.0</v>
      </c>
      <c r="H437" s="1">
        <v>0.003</v>
      </c>
      <c r="I437" s="1">
        <v>7.37</v>
      </c>
    </row>
    <row r="438">
      <c r="A438" s="2" t="s">
        <v>1304</v>
      </c>
      <c r="B438" s="1">
        <v>200.0</v>
      </c>
      <c r="C438" s="1" t="s">
        <v>1305</v>
      </c>
      <c r="D438" s="1" t="s">
        <v>583</v>
      </c>
      <c r="F438" s="1">
        <v>1.0</v>
      </c>
      <c r="G438" s="1">
        <v>373.0</v>
      </c>
      <c r="H438" s="1">
        <v>0.003</v>
      </c>
      <c r="I438" s="1">
        <v>45.2</v>
      </c>
    </row>
    <row r="439">
      <c r="A439" s="2" t="s">
        <v>1306</v>
      </c>
      <c r="B439" s="1">
        <v>301.0</v>
      </c>
      <c r="D439" s="1" t="s">
        <v>609</v>
      </c>
      <c r="E439" s="1" t="s">
        <v>610</v>
      </c>
    </row>
    <row r="440">
      <c r="A440" s="2" t="s">
        <v>1307</v>
      </c>
      <c r="B440" s="1">
        <v>200.0</v>
      </c>
      <c r="C440" s="1" t="s">
        <v>1308</v>
      </c>
      <c r="D440" s="1" t="s">
        <v>583</v>
      </c>
      <c r="F440" s="1">
        <v>4.0</v>
      </c>
      <c r="G440" s="1">
        <v>3056.0</v>
      </c>
      <c r="H440" s="1">
        <v>0.001</v>
      </c>
      <c r="I440" s="1">
        <v>35.33</v>
      </c>
    </row>
    <row r="441">
      <c r="A441" s="2" t="s">
        <v>1309</v>
      </c>
      <c r="B441" s="1">
        <v>301.0</v>
      </c>
      <c r="D441" s="1" t="s">
        <v>609</v>
      </c>
      <c r="E441" s="1" t="s">
        <v>610</v>
      </c>
    </row>
    <row r="442">
      <c r="A442" s="2" t="s">
        <v>1310</v>
      </c>
      <c r="B442" s="1">
        <v>200.0</v>
      </c>
      <c r="C442" s="1" t="s">
        <v>688</v>
      </c>
      <c r="D442" s="1" t="s">
        <v>609</v>
      </c>
      <c r="E442" s="1" t="s">
        <v>631</v>
      </c>
    </row>
    <row r="443">
      <c r="A443" s="2" t="s">
        <v>1311</v>
      </c>
      <c r="B443" s="1">
        <v>301.0</v>
      </c>
      <c r="D443" s="1" t="s">
        <v>609</v>
      </c>
      <c r="E443" s="1" t="s">
        <v>610</v>
      </c>
      <c r="F443" s="1">
        <v>1.0</v>
      </c>
      <c r="G443" s="1">
        <v>214.0</v>
      </c>
      <c r="H443" s="1">
        <v>0.005</v>
      </c>
      <c r="I443" s="1">
        <v>47.16</v>
      </c>
    </row>
    <row r="444">
      <c r="A444" s="2" t="s">
        <v>1312</v>
      </c>
      <c r="B444" s="1">
        <v>200.0</v>
      </c>
      <c r="C444" s="1" t="s">
        <v>1313</v>
      </c>
      <c r="D444" s="1" t="s">
        <v>583</v>
      </c>
      <c r="F444" s="1">
        <v>0.0</v>
      </c>
      <c r="G444" s="1">
        <v>14.0</v>
      </c>
      <c r="H444" s="1">
        <v>0.0</v>
      </c>
      <c r="I444" s="1">
        <v>15.29</v>
      </c>
    </row>
    <row r="445">
      <c r="A445" s="2" t="s">
        <v>1314</v>
      </c>
      <c r="B445" s="1">
        <v>200.0</v>
      </c>
      <c r="C445" s="1" t="s">
        <v>1315</v>
      </c>
      <c r="D445" s="1" t="s">
        <v>609</v>
      </c>
      <c r="E445" s="1" t="s">
        <v>631</v>
      </c>
    </row>
    <row r="446">
      <c r="A446" s="2" t="s">
        <v>1316</v>
      </c>
      <c r="B446" s="1">
        <v>200.0</v>
      </c>
      <c r="C446" s="1" t="s">
        <v>1317</v>
      </c>
      <c r="D446" s="1" t="s">
        <v>583</v>
      </c>
      <c r="F446" s="1">
        <v>3.0</v>
      </c>
      <c r="G446" s="1">
        <v>943.0</v>
      </c>
      <c r="H446" s="1">
        <v>0.003</v>
      </c>
      <c r="I446" s="1">
        <v>34.81</v>
      </c>
    </row>
    <row r="447">
      <c r="A447" s="2" t="s">
        <v>1318</v>
      </c>
      <c r="B447" s="1">
        <v>200.0</v>
      </c>
      <c r="C447" s="1" t="s">
        <v>1319</v>
      </c>
      <c r="D447" s="1" t="s">
        <v>583</v>
      </c>
      <c r="F447" s="1">
        <v>0.0</v>
      </c>
      <c r="G447" s="1">
        <v>593.0</v>
      </c>
      <c r="H447" s="1">
        <v>0.0</v>
      </c>
      <c r="I447" s="1">
        <v>33.09</v>
      </c>
    </row>
    <row r="448">
      <c r="A448" s="2" t="s">
        <v>1320</v>
      </c>
      <c r="B448" s="1">
        <v>301.0</v>
      </c>
      <c r="D448" s="1" t="s">
        <v>609</v>
      </c>
      <c r="E448" s="1" t="s">
        <v>610</v>
      </c>
      <c r="F448" s="1">
        <v>0.0</v>
      </c>
      <c r="G448" s="1">
        <v>124.0</v>
      </c>
      <c r="H448" s="1">
        <v>0.0</v>
      </c>
      <c r="I448" s="1">
        <v>9.25</v>
      </c>
    </row>
    <row r="449">
      <c r="A449" s="2" t="s">
        <v>1321</v>
      </c>
      <c r="B449" s="1">
        <v>200.0</v>
      </c>
      <c r="C449" s="1" t="s">
        <v>1322</v>
      </c>
      <c r="D449" s="1" t="s">
        <v>583</v>
      </c>
    </row>
    <row r="450">
      <c r="A450" s="2" t="s">
        <v>1323</v>
      </c>
      <c r="B450" s="1">
        <v>301.0</v>
      </c>
      <c r="D450" s="1" t="s">
        <v>609</v>
      </c>
      <c r="E450" s="1" t="s">
        <v>610</v>
      </c>
    </row>
    <row r="451">
      <c r="A451" s="2" t="s">
        <v>1324</v>
      </c>
      <c r="B451" s="1">
        <v>200.0</v>
      </c>
      <c r="C451" s="1" t="s">
        <v>1325</v>
      </c>
      <c r="D451" s="1" t="s">
        <v>583</v>
      </c>
      <c r="F451" s="1">
        <v>1.0</v>
      </c>
      <c r="G451" s="1">
        <v>10.0</v>
      </c>
      <c r="H451" s="1">
        <v>0.1</v>
      </c>
      <c r="I451" s="1">
        <v>11.1</v>
      </c>
    </row>
    <row r="452">
      <c r="A452" s="2" t="s">
        <v>1326</v>
      </c>
      <c r="B452" s="1">
        <v>301.0</v>
      </c>
      <c r="D452" s="1" t="s">
        <v>609</v>
      </c>
      <c r="E452" s="1" t="s">
        <v>610</v>
      </c>
    </row>
    <row r="453">
      <c r="A453" s="2" t="s">
        <v>1327</v>
      </c>
      <c r="B453" s="1">
        <v>200.0</v>
      </c>
      <c r="C453" s="1" t="s">
        <v>1328</v>
      </c>
      <c r="D453" s="1" t="s">
        <v>583</v>
      </c>
      <c r="F453" s="1">
        <v>1.0</v>
      </c>
      <c r="G453" s="1">
        <v>855.0</v>
      </c>
      <c r="H453" s="1">
        <v>0.001</v>
      </c>
      <c r="I453" s="1">
        <v>11.82</v>
      </c>
    </row>
    <row r="454">
      <c r="A454" s="2" t="s">
        <v>1329</v>
      </c>
      <c r="B454" s="1">
        <v>200.0</v>
      </c>
      <c r="C454" s="1" t="s">
        <v>1330</v>
      </c>
      <c r="D454" s="1" t="s">
        <v>583</v>
      </c>
      <c r="F454" s="1">
        <v>0.0</v>
      </c>
      <c r="G454" s="1">
        <v>3.0</v>
      </c>
      <c r="H454" s="1">
        <v>0.0</v>
      </c>
      <c r="I454" s="1">
        <v>8.33</v>
      </c>
    </row>
    <row r="455">
      <c r="A455" s="2" t="s">
        <v>1331</v>
      </c>
      <c r="B455" s="1">
        <v>200.0</v>
      </c>
      <c r="C455" s="1" t="s">
        <v>1332</v>
      </c>
      <c r="D455" s="1" t="s">
        <v>583</v>
      </c>
      <c r="F455" s="1">
        <v>0.0</v>
      </c>
      <c r="G455" s="1">
        <v>1744.0</v>
      </c>
      <c r="H455" s="1">
        <v>0.0</v>
      </c>
      <c r="I455" s="1">
        <v>3.97</v>
      </c>
    </row>
    <row r="456">
      <c r="A456" s="2" t="s">
        <v>1333</v>
      </c>
      <c r="B456" s="1">
        <v>200.0</v>
      </c>
      <c r="C456" s="1" t="s">
        <v>846</v>
      </c>
      <c r="D456" s="1" t="s">
        <v>609</v>
      </c>
      <c r="E456" s="1" t="s">
        <v>631</v>
      </c>
    </row>
    <row r="457">
      <c r="A457" s="2" t="s">
        <v>1334</v>
      </c>
      <c r="B457" s="1">
        <v>200.0</v>
      </c>
      <c r="C457" s="1" t="s">
        <v>1335</v>
      </c>
      <c r="D457" s="1" t="s">
        <v>583</v>
      </c>
    </row>
    <row r="458">
      <c r="A458" s="2" t="s">
        <v>1336</v>
      </c>
      <c r="B458" s="1">
        <v>200.0</v>
      </c>
      <c r="C458" s="1" t="s">
        <v>1337</v>
      </c>
      <c r="D458" s="1" t="s">
        <v>583</v>
      </c>
    </row>
    <row r="459">
      <c r="A459" s="2" t="s">
        <v>1338</v>
      </c>
      <c r="B459" s="1">
        <v>200.0</v>
      </c>
      <c r="C459" s="1" t="s">
        <v>582</v>
      </c>
      <c r="D459" s="1" t="s">
        <v>583</v>
      </c>
      <c r="F459" s="1">
        <v>0.0</v>
      </c>
      <c r="G459" s="1">
        <v>25.0</v>
      </c>
      <c r="H459" s="1">
        <v>0.0</v>
      </c>
      <c r="I459" s="1">
        <v>30.24</v>
      </c>
    </row>
    <row r="460">
      <c r="A460" s="2" t="s">
        <v>1339</v>
      </c>
      <c r="B460" s="1">
        <v>301.0</v>
      </c>
      <c r="D460" s="1" t="s">
        <v>609</v>
      </c>
      <c r="E460" s="1" t="s">
        <v>610</v>
      </c>
    </row>
    <row r="461">
      <c r="A461" s="2" t="s">
        <v>1340</v>
      </c>
      <c r="B461" s="1">
        <v>200.0</v>
      </c>
      <c r="C461" s="1" t="s">
        <v>1341</v>
      </c>
      <c r="D461" s="1" t="s">
        <v>583</v>
      </c>
    </row>
    <row r="462">
      <c r="A462" s="2" t="s">
        <v>1342</v>
      </c>
      <c r="B462" s="1">
        <v>200.0</v>
      </c>
      <c r="C462" s="1" t="s">
        <v>1343</v>
      </c>
      <c r="D462" s="1" t="s">
        <v>583</v>
      </c>
      <c r="F462" s="1">
        <v>0.0</v>
      </c>
      <c r="G462" s="1">
        <v>2.0</v>
      </c>
      <c r="H462" s="1">
        <v>0.0</v>
      </c>
      <c r="I462" s="1">
        <v>5.5</v>
      </c>
    </row>
    <row r="463">
      <c r="A463" s="2" t="s">
        <v>1344</v>
      </c>
      <c r="B463" s="1">
        <v>200.0</v>
      </c>
      <c r="C463" s="1" t="s">
        <v>1282</v>
      </c>
      <c r="D463" s="1" t="s">
        <v>583</v>
      </c>
    </row>
    <row r="464">
      <c r="A464" s="2" t="s">
        <v>1345</v>
      </c>
      <c r="B464" s="1">
        <v>200.0</v>
      </c>
      <c r="C464" s="1" t="s">
        <v>1346</v>
      </c>
      <c r="D464" s="1" t="s">
        <v>583</v>
      </c>
      <c r="F464" s="1">
        <v>0.0</v>
      </c>
      <c r="G464" s="1">
        <v>2.0</v>
      </c>
      <c r="H464" s="1">
        <v>0.0</v>
      </c>
      <c r="I464" s="1">
        <v>10.0</v>
      </c>
    </row>
    <row r="465">
      <c r="A465" s="2" t="s">
        <v>1347</v>
      </c>
      <c r="B465" s="1">
        <v>301.0</v>
      </c>
      <c r="D465" s="1" t="s">
        <v>609</v>
      </c>
      <c r="E465" s="1" t="s">
        <v>610</v>
      </c>
    </row>
    <row r="466">
      <c r="A466" s="2" t="s">
        <v>1348</v>
      </c>
      <c r="B466" s="1">
        <v>200.0</v>
      </c>
      <c r="C466" s="1" t="s">
        <v>612</v>
      </c>
      <c r="D466" s="1" t="s">
        <v>583</v>
      </c>
    </row>
    <row r="467">
      <c r="A467" s="2" t="s">
        <v>1349</v>
      </c>
      <c r="B467" s="1">
        <v>301.0</v>
      </c>
      <c r="D467" s="1" t="s">
        <v>609</v>
      </c>
      <c r="E467" s="1" t="s">
        <v>610</v>
      </c>
    </row>
    <row r="468">
      <c r="A468" s="2" t="s">
        <v>1350</v>
      </c>
      <c r="B468" s="1">
        <v>200.0</v>
      </c>
      <c r="C468" s="1" t="s">
        <v>1278</v>
      </c>
      <c r="D468" s="1" t="s">
        <v>583</v>
      </c>
      <c r="F468" s="1">
        <v>15.0</v>
      </c>
      <c r="G468" s="1">
        <v>763.0</v>
      </c>
      <c r="H468" s="1">
        <v>0.02</v>
      </c>
      <c r="I468" s="1">
        <v>22.15</v>
      </c>
    </row>
    <row r="469">
      <c r="A469" s="2" t="s">
        <v>1351</v>
      </c>
      <c r="B469" s="1">
        <v>200.0</v>
      </c>
      <c r="C469" s="1" t="s">
        <v>1280</v>
      </c>
      <c r="D469" s="1" t="s">
        <v>583</v>
      </c>
      <c r="F469" s="1">
        <v>0.0</v>
      </c>
      <c r="G469" s="1">
        <v>21.0</v>
      </c>
      <c r="H469" s="1">
        <v>0.0</v>
      </c>
      <c r="I469" s="1">
        <v>41.71</v>
      </c>
    </row>
    <row r="470">
      <c r="A470" s="2" t="s">
        <v>1352</v>
      </c>
      <c r="B470" s="1">
        <v>301.0</v>
      </c>
      <c r="D470" s="1" t="s">
        <v>609</v>
      </c>
      <c r="E470" s="1" t="s">
        <v>610</v>
      </c>
    </row>
    <row r="471">
      <c r="A471" s="2" t="s">
        <v>1353</v>
      </c>
      <c r="B471" s="1">
        <v>200.0</v>
      </c>
      <c r="C471" s="1" t="s">
        <v>1274</v>
      </c>
      <c r="D471" s="1" t="s">
        <v>583</v>
      </c>
      <c r="F471" s="1">
        <v>0.0</v>
      </c>
      <c r="G471" s="1">
        <v>17.0</v>
      </c>
      <c r="H471" s="1">
        <v>0.0</v>
      </c>
      <c r="I471" s="1">
        <v>13.41</v>
      </c>
    </row>
    <row r="472">
      <c r="A472" s="2" t="s">
        <v>511</v>
      </c>
      <c r="B472" s="1">
        <v>200.0</v>
      </c>
      <c r="C472" s="1" t="s">
        <v>1272</v>
      </c>
      <c r="D472" s="1" t="s">
        <v>583</v>
      </c>
      <c r="F472" s="1">
        <v>1.0</v>
      </c>
      <c r="G472" s="1">
        <v>28.0</v>
      </c>
      <c r="H472" s="1">
        <v>0.036</v>
      </c>
      <c r="I472" s="1">
        <v>31.11</v>
      </c>
    </row>
    <row r="473">
      <c r="A473" s="2" t="s">
        <v>1354</v>
      </c>
      <c r="B473" s="1">
        <v>200.0</v>
      </c>
      <c r="C473" s="1" t="s">
        <v>1269</v>
      </c>
      <c r="D473" s="1" t="s">
        <v>583</v>
      </c>
      <c r="F473" s="1">
        <v>0.0</v>
      </c>
      <c r="G473" s="1">
        <v>2.0</v>
      </c>
      <c r="H473" s="1">
        <v>0.0</v>
      </c>
      <c r="I473" s="1">
        <v>22.5</v>
      </c>
    </row>
    <row r="474">
      <c r="A474" s="2" t="s">
        <v>1355</v>
      </c>
      <c r="B474" s="1">
        <v>200.0</v>
      </c>
      <c r="C474" s="1" t="s">
        <v>1249</v>
      </c>
      <c r="D474" s="1" t="s">
        <v>583</v>
      </c>
      <c r="F474" s="1">
        <v>0.0</v>
      </c>
      <c r="G474" s="1">
        <v>115.0</v>
      </c>
      <c r="H474" s="1">
        <v>0.0</v>
      </c>
      <c r="I474" s="1">
        <v>7.63</v>
      </c>
    </row>
    <row r="475">
      <c r="A475" s="2" t="s">
        <v>1356</v>
      </c>
      <c r="B475" s="1">
        <v>200.0</v>
      </c>
      <c r="C475" s="1" t="s">
        <v>1262</v>
      </c>
      <c r="D475" s="1" t="s">
        <v>583</v>
      </c>
      <c r="F475" s="1">
        <v>0.0</v>
      </c>
      <c r="G475" s="1">
        <v>32.0</v>
      </c>
      <c r="H475" s="1">
        <v>0.0</v>
      </c>
      <c r="I475" s="1">
        <v>8.38</v>
      </c>
    </row>
    <row r="476">
      <c r="A476" s="2" t="s">
        <v>1357</v>
      </c>
      <c r="B476" s="1">
        <v>301.0</v>
      </c>
      <c r="D476" s="1" t="s">
        <v>609</v>
      </c>
      <c r="E476" s="1" t="s">
        <v>610</v>
      </c>
    </row>
    <row r="477">
      <c r="A477" s="2" t="s">
        <v>1358</v>
      </c>
      <c r="B477" s="1">
        <v>200.0</v>
      </c>
      <c r="C477" s="1" t="s">
        <v>1359</v>
      </c>
      <c r="D477" s="1" t="s">
        <v>583</v>
      </c>
      <c r="F477" s="1">
        <v>0.0</v>
      </c>
      <c r="G477" s="1">
        <v>24.0</v>
      </c>
      <c r="H477" s="1">
        <v>0.0</v>
      </c>
      <c r="I477" s="1">
        <v>7.96</v>
      </c>
    </row>
    <row r="478">
      <c r="A478" s="2" t="s">
        <v>1360</v>
      </c>
      <c r="B478" s="1">
        <v>200.0</v>
      </c>
      <c r="C478" s="1" t="s">
        <v>656</v>
      </c>
      <c r="D478" s="1" t="s">
        <v>609</v>
      </c>
      <c r="E478" s="1" t="s">
        <v>631</v>
      </c>
    </row>
    <row r="479">
      <c r="A479" s="2" t="s">
        <v>1361</v>
      </c>
      <c r="B479" s="1">
        <v>200.0</v>
      </c>
      <c r="C479" s="1" t="s">
        <v>680</v>
      </c>
      <c r="D479" s="1" t="s">
        <v>609</v>
      </c>
      <c r="E479" s="1" t="s">
        <v>631</v>
      </c>
    </row>
    <row r="480">
      <c r="A480" s="2" t="s">
        <v>1362</v>
      </c>
      <c r="B480" s="1">
        <v>301.0</v>
      </c>
      <c r="D480" s="1" t="s">
        <v>609</v>
      </c>
      <c r="E480" s="1" t="s">
        <v>610</v>
      </c>
    </row>
    <row r="481">
      <c r="A481" s="2" t="s">
        <v>1363</v>
      </c>
      <c r="B481" s="1">
        <v>200.0</v>
      </c>
      <c r="C481" s="1" t="s">
        <v>1237</v>
      </c>
      <c r="D481" s="1" t="s">
        <v>583</v>
      </c>
      <c r="F481" s="1">
        <v>0.0</v>
      </c>
      <c r="G481" s="1">
        <v>11.0</v>
      </c>
      <c r="H481" s="1">
        <v>0.0</v>
      </c>
      <c r="I481" s="1">
        <v>13.64</v>
      </c>
    </row>
    <row r="482">
      <c r="A482" s="2" t="s">
        <v>1364</v>
      </c>
      <c r="B482" s="1">
        <v>200.0</v>
      </c>
      <c r="C482" s="1" t="s">
        <v>905</v>
      </c>
      <c r="D482" s="1" t="s">
        <v>609</v>
      </c>
      <c r="E482" s="1" t="s">
        <v>631</v>
      </c>
    </row>
    <row r="483">
      <c r="A483" s="2" t="s">
        <v>1365</v>
      </c>
      <c r="B483" s="1">
        <v>200.0</v>
      </c>
      <c r="C483" s="1" t="s">
        <v>1199</v>
      </c>
      <c r="D483" s="1" t="s">
        <v>609</v>
      </c>
      <c r="E483" s="1" t="s">
        <v>631</v>
      </c>
    </row>
    <row r="484">
      <c r="A484" s="2" t="s">
        <v>1366</v>
      </c>
      <c r="B484" s="1">
        <v>200.0</v>
      </c>
      <c r="C484" s="1" t="s">
        <v>998</v>
      </c>
      <c r="D484" s="1" t="s">
        <v>609</v>
      </c>
      <c r="E484" s="1" t="s">
        <v>631</v>
      </c>
    </row>
    <row r="485">
      <c r="A485" s="2" t="s">
        <v>479</v>
      </c>
      <c r="B485" s="1">
        <v>200.0</v>
      </c>
      <c r="C485" s="1" t="s">
        <v>1367</v>
      </c>
      <c r="D485" s="1" t="s">
        <v>583</v>
      </c>
      <c r="F485" s="1">
        <v>1.0</v>
      </c>
      <c r="G485" s="1">
        <v>475.0</v>
      </c>
      <c r="H485" s="1">
        <v>0.002</v>
      </c>
      <c r="I485" s="1">
        <v>55.65</v>
      </c>
    </row>
    <row r="486">
      <c r="A486" s="2" t="s">
        <v>1368</v>
      </c>
      <c r="B486" s="1">
        <v>200.0</v>
      </c>
      <c r="C486" s="1" t="s">
        <v>1231</v>
      </c>
      <c r="D486" s="1" t="s">
        <v>583</v>
      </c>
    </row>
    <row r="487">
      <c r="A487" s="2" t="s">
        <v>1369</v>
      </c>
      <c r="B487" s="1">
        <v>200.0</v>
      </c>
      <c r="C487" s="1" t="s">
        <v>1370</v>
      </c>
      <c r="D487" s="1" t="s">
        <v>583</v>
      </c>
      <c r="F487" s="1">
        <v>0.0</v>
      </c>
      <c r="G487" s="1">
        <v>1.0</v>
      </c>
      <c r="H487" s="1">
        <v>0.0</v>
      </c>
      <c r="I487" s="1">
        <v>11.0</v>
      </c>
    </row>
    <row r="488">
      <c r="A488" s="2" t="s">
        <v>1371</v>
      </c>
      <c r="B488" s="1">
        <v>200.0</v>
      </c>
      <c r="C488" s="1" t="s">
        <v>1372</v>
      </c>
      <c r="D488" s="1" t="s">
        <v>583</v>
      </c>
      <c r="F488" s="1">
        <v>0.0</v>
      </c>
      <c r="G488" s="1">
        <v>4.0</v>
      </c>
      <c r="H488" s="1">
        <v>0.0</v>
      </c>
      <c r="I488" s="1">
        <v>11.0</v>
      </c>
    </row>
    <row r="489">
      <c r="A489" s="2" t="s">
        <v>1373</v>
      </c>
      <c r="B489" s="1">
        <v>301.0</v>
      </c>
      <c r="D489" s="1" t="s">
        <v>609</v>
      </c>
      <c r="E489" s="1" t="s">
        <v>610</v>
      </c>
    </row>
    <row r="490">
      <c r="A490" s="2" t="s">
        <v>1374</v>
      </c>
      <c r="B490" s="1">
        <v>200.0</v>
      </c>
      <c r="C490" s="1" t="s">
        <v>1375</v>
      </c>
      <c r="D490" s="1" t="s">
        <v>583</v>
      </c>
      <c r="F490" s="1">
        <v>0.0</v>
      </c>
      <c r="G490" s="1">
        <v>30.0</v>
      </c>
      <c r="H490" s="1">
        <v>0.0</v>
      </c>
      <c r="I490" s="1">
        <v>43.37</v>
      </c>
    </row>
    <row r="491">
      <c r="A491" s="2" t="s">
        <v>1376</v>
      </c>
      <c r="B491" s="1">
        <v>200.0</v>
      </c>
      <c r="C491" s="1" t="s">
        <v>1377</v>
      </c>
      <c r="D491" s="1" t="s">
        <v>583</v>
      </c>
      <c r="F491" s="1">
        <v>0.0</v>
      </c>
      <c r="G491" s="1">
        <v>284.0</v>
      </c>
      <c r="H491" s="1">
        <v>0.0</v>
      </c>
      <c r="I491" s="1">
        <v>26.81</v>
      </c>
    </row>
    <row r="492">
      <c r="A492" s="2" t="s">
        <v>1378</v>
      </c>
      <c r="B492" s="1">
        <v>200.0</v>
      </c>
      <c r="C492" s="1" t="s">
        <v>1379</v>
      </c>
      <c r="D492" s="1" t="s">
        <v>583</v>
      </c>
      <c r="F492" s="1">
        <v>0.0</v>
      </c>
      <c r="G492" s="1">
        <v>42.0</v>
      </c>
      <c r="H492" s="1">
        <v>0.0</v>
      </c>
      <c r="I492" s="1">
        <v>7.31</v>
      </c>
    </row>
    <row r="493">
      <c r="A493" s="2" t="s">
        <v>1380</v>
      </c>
      <c r="B493" s="1">
        <v>200.0</v>
      </c>
      <c r="C493" s="1" t="s">
        <v>1381</v>
      </c>
      <c r="D493" s="1" t="s">
        <v>583</v>
      </c>
      <c r="F493" s="1">
        <v>0.0</v>
      </c>
      <c r="G493" s="1">
        <v>438.0</v>
      </c>
      <c r="H493" s="1">
        <v>0.0</v>
      </c>
      <c r="I493" s="1">
        <v>40.25</v>
      </c>
    </row>
    <row r="494">
      <c r="A494" s="2" t="s">
        <v>1382</v>
      </c>
      <c r="B494" s="1">
        <v>200.0</v>
      </c>
      <c r="C494" s="1" t="s">
        <v>1383</v>
      </c>
      <c r="D494" s="1" t="s">
        <v>583</v>
      </c>
      <c r="F494" s="1">
        <v>0.0</v>
      </c>
      <c r="G494" s="1">
        <v>289.0</v>
      </c>
      <c r="H494" s="1">
        <v>0.0</v>
      </c>
      <c r="I494" s="1">
        <v>31.7</v>
      </c>
    </row>
    <row r="495">
      <c r="A495" s="2" t="s">
        <v>1384</v>
      </c>
      <c r="B495" s="1">
        <v>301.0</v>
      </c>
      <c r="D495" s="1" t="s">
        <v>609</v>
      </c>
      <c r="E495" s="1" t="s">
        <v>610</v>
      </c>
    </row>
    <row r="496">
      <c r="A496" s="2" t="s">
        <v>1385</v>
      </c>
      <c r="B496" s="1">
        <v>301.0</v>
      </c>
      <c r="D496" s="1" t="s">
        <v>609</v>
      </c>
      <c r="E496" s="1" t="s">
        <v>610</v>
      </c>
    </row>
    <row r="497">
      <c r="A497" s="2" t="s">
        <v>1386</v>
      </c>
      <c r="B497" s="1">
        <v>301.0</v>
      </c>
      <c r="D497" s="1" t="s">
        <v>609</v>
      </c>
      <c r="E497" s="1" t="s">
        <v>610</v>
      </c>
    </row>
    <row r="498">
      <c r="A498" s="2" t="s">
        <v>1387</v>
      </c>
      <c r="B498" s="1">
        <v>200.0</v>
      </c>
      <c r="C498" s="1" t="s">
        <v>1388</v>
      </c>
      <c r="D498" s="1" t="s">
        <v>583</v>
      </c>
      <c r="F498" s="1">
        <v>0.0</v>
      </c>
      <c r="G498" s="1">
        <v>1.0</v>
      </c>
      <c r="H498" s="1">
        <v>0.0</v>
      </c>
      <c r="I498" s="1">
        <v>6.0</v>
      </c>
    </row>
    <row r="499">
      <c r="A499" s="2" t="s">
        <v>1389</v>
      </c>
      <c r="B499" s="1">
        <v>301.0</v>
      </c>
      <c r="D499" s="1" t="s">
        <v>609</v>
      </c>
      <c r="E499" s="1" t="s">
        <v>610</v>
      </c>
    </row>
    <row r="500">
      <c r="A500" s="2" t="s">
        <v>1390</v>
      </c>
      <c r="B500" s="1">
        <v>301.0</v>
      </c>
      <c r="D500" s="1" t="s">
        <v>609</v>
      </c>
      <c r="E500" s="1" t="s">
        <v>610</v>
      </c>
    </row>
    <row r="501">
      <c r="A501" s="2" t="s">
        <v>1391</v>
      </c>
      <c r="B501" s="1">
        <v>301.0</v>
      </c>
      <c r="D501" s="1" t="s">
        <v>609</v>
      </c>
      <c r="E501" s="1" t="s">
        <v>610</v>
      </c>
    </row>
    <row r="502">
      <c r="A502" s="2" t="s">
        <v>1392</v>
      </c>
      <c r="B502" s="1">
        <v>301.0</v>
      </c>
      <c r="D502" s="1" t="s">
        <v>609</v>
      </c>
      <c r="E502" s="1" t="s">
        <v>610</v>
      </c>
    </row>
    <row r="503">
      <c r="A503" s="2" t="s">
        <v>1393</v>
      </c>
      <c r="B503" s="1">
        <v>301.0</v>
      </c>
      <c r="D503" s="1" t="s">
        <v>609</v>
      </c>
      <c r="E503" s="1" t="s">
        <v>610</v>
      </c>
    </row>
    <row r="504">
      <c r="A504" s="2" t="s">
        <v>1394</v>
      </c>
      <c r="B504" s="1">
        <v>200.0</v>
      </c>
      <c r="C504" s="1" t="s">
        <v>1395</v>
      </c>
      <c r="D504" s="1" t="s">
        <v>583</v>
      </c>
      <c r="F504" s="1">
        <v>2.0</v>
      </c>
      <c r="G504" s="1">
        <v>165.0</v>
      </c>
      <c r="H504" s="1">
        <v>0.012</v>
      </c>
      <c r="I504" s="1">
        <v>13.37</v>
      </c>
    </row>
    <row r="505">
      <c r="A505" s="2" t="s">
        <v>1396</v>
      </c>
      <c r="B505" s="1">
        <v>200.0</v>
      </c>
      <c r="C505" s="1" t="s">
        <v>1397</v>
      </c>
      <c r="D505" s="1" t="s">
        <v>583</v>
      </c>
      <c r="F505" s="1">
        <v>0.0</v>
      </c>
      <c r="G505" s="1">
        <v>198.0</v>
      </c>
      <c r="H505" s="1">
        <v>0.0</v>
      </c>
      <c r="I505" s="1">
        <v>35.55</v>
      </c>
    </row>
    <row r="506">
      <c r="A506" s="2" t="s">
        <v>1398</v>
      </c>
      <c r="B506" s="1">
        <v>200.0</v>
      </c>
      <c r="C506" s="1" t="s">
        <v>1399</v>
      </c>
      <c r="D506" s="1" t="s">
        <v>583</v>
      </c>
      <c r="F506" s="1">
        <v>0.0</v>
      </c>
      <c r="G506" s="1">
        <v>118.0</v>
      </c>
      <c r="H506" s="1">
        <v>0.0</v>
      </c>
      <c r="I506" s="1">
        <v>33.77</v>
      </c>
    </row>
    <row r="507">
      <c r="A507" s="2" t="s">
        <v>1400</v>
      </c>
      <c r="B507" s="1">
        <v>200.0</v>
      </c>
      <c r="C507" s="1" t="s">
        <v>1401</v>
      </c>
      <c r="D507" s="1" t="s">
        <v>583</v>
      </c>
      <c r="F507" s="1">
        <v>1.0</v>
      </c>
      <c r="G507" s="1">
        <v>683.0</v>
      </c>
      <c r="H507" s="1">
        <v>0.002</v>
      </c>
      <c r="I507" s="1">
        <v>52.15</v>
      </c>
    </row>
    <row r="508">
      <c r="A508" s="2" t="s">
        <v>1402</v>
      </c>
      <c r="B508" s="1">
        <v>200.0</v>
      </c>
      <c r="C508" s="1" t="s">
        <v>652</v>
      </c>
      <c r="D508" s="1" t="s">
        <v>609</v>
      </c>
      <c r="E508" s="1" t="s">
        <v>631</v>
      </c>
    </row>
    <row r="509">
      <c r="A509" s="2" t="s">
        <v>1403</v>
      </c>
      <c r="B509" s="1">
        <v>200.0</v>
      </c>
      <c r="C509" s="1" t="s">
        <v>988</v>
      </c>
      <c r="D509" s="1" t="s">
        <v>609</v>
      </c>
      <c r="E509" s="1" t="s">
        <v>631</v>
      </c>
    </row>
    <row r="510">
      <c r="A510" s="2" t="s">
        <v>1404</v>
      </c>
      <c r="B510" s="1">
        <v>301.0</v>
      </c>
      <c r="D510" s="1" t="s">
        <v>609</v>
      </c>
      <c r="E510" s="1" t="s">
        <v>610</v>
      </c>
    </row>
    <row r="511">
      <c r="A511" s="2" t="s">
        <v>1405</v>
      </c>
      <c r="B511" s="1">
        <v>200.0</v>
      </c>
      <c r="C511" s="1" t="s">
        <v>1406</v>
      </c>
      <c r="D511" s="1" t="s">
        <v>583</v>
      </c>
      <c r="F511" s="1">
        <v>0.0</v>
      </c>
      <c r="G511" s="1">
        <v>3.0</v>
      </c>
      <c r="H511" s="1">
        <v>0.0</v>
      </c>
      <c r="I511" s="1">
        <v>37.33</v>
      </c>
    </row>
    <row r="512">
      <c r="A512" s="2" t="s">
        <v>1407</v>
      </c>
      <c r="B512" s="1">
        <v>301.0</v>
      </c>
      <c r="D512" s="1" t="s">
        <v>609</v>
      </c>
      <c r="E512" s="1" t="s">
        <v>610</v>
      </c>
    </row>
    <row r="513">
      <c r="A513" s="2" t="s">
        <v>1408</v>
      </c>
      <c r="B513" s="1">
        <v>200.0</v>
      </c>
      <c r="C513" s="1" t="s">
        <v>1409</v>
      </c>
      <c r="D513" s="1" t="s">
        <v>583</v>
      </c>
      <c r="F513" s="1">
        <v>0.0</v>
      </c>
      <c r="G513" s="1">
        <v>36.0</v>
      </c>
      <c r="H513" s="1">
        <v>0.0</v>
      </c>
      <c r="I513" s="1">
        <v>34.83</v>
      </c>
    </row>
    <row r="514">
      <c r="A514" s="2" t="s">
        <v>1410</v>
      </c>
      <c r="B514" s="1">
        <v>200.0</v>
      </c>
      <c r="C514" s="1" t="s">
        <v>1411</v>
      </c>
      <c r="D514" s="1" t="s">
        <v>583</v>
      </c>
    </row>
    <row r="515">
      <c r="A515" s="2" t="s">
        <v>1412</v>
      </c>
      <c r="B515" s="1">
        <v>200.0</v>
      </c>
      <c r="C515" s="1" t="s">
        <v>1413</v>
      </c>
      <c r="D515" s="1" t="s">
        <v>583</v>
      </c>
    </row>
    <row r="516">
      <c r="A516" s="2" t="s">
        <v>1414</v>
      </c>
      <c r="B516" s="1">
        <v>200.0</v>
      </c>
      <c r="C516" s="1" t="s">
        <v>1415</v>
      </c>
      <c r="D516" s="1" t="s">
        <v>583</v>
      </c>
      <c r="F516" s="1">
        <v>2.0</v>
      </c>
      <c r="G516" s="1">
        <v>38.0</v>
      </c>
      <c r="H516" s="1">
        <v>0.053</v>
      </c>
      <c r="I516" s="1">
        <v>9.39</v>
      </c>
    </row>
    <row r="517">
      <c r="A517" s="2" t="s">
        <v>1416</v>
      </c>
      <c r="B517" s="1">
        <v>200.0</v>
      </c>
      <c r="C517" s="1" t="s">
        <v>1417</v>
      </c>
      <c r="D517" s="1" t="s">
        <v>583</v>
      </c>
    </row>
    <row r="518">
      <c r="A518" s="2" t="s">
        <v>1418</v>
      </c>
      <c r="B518" s="1">
        <v>200.0</v>
      </c>
      <c r="C518" s="1" t="s">
        <v>1293</v>
      </c>
      <c r="D518" s="1" t="s">
        <v>583</v>
      </c>
      <c r="F518" s="1">
        <v>0.0</v>
      </c>
      <c r="G518" s="1">
        <v>110.0</v>
      </c>
      <c r="H518" s="1">
        <v>0.0</v>
      </c>
      <c r="I518" s="1">
        <v>57.3</v>
      </c>
    </row>
    <row r="519">
      <c r="A519" s="2" t="s">
        <v>1419</v>
      </c>
      <c r="B519" s="1">
        <v>200.0</v>
      </c>
      <c r="C519" s="1" t="s">
        <v>1420</v>
      </c>
      <c r="D519" s="1" t="s">
        <v>583</v>
      </c>
      <c r="F519" s="1">
        <v>1.0</v>
      </c>
      <c r="G519" s="1">
        <v>162.0</v>
      </c>
      <c r="H519" s="1">
        <v>0.006</v>
      </c>
      <c r="I519" s="1">
        <v>9.29</v>
      </c>
    </row>
    <row r="520">
      <c r="A520" s="2" t="s">
        <v>1421</v>
      </c>
      <c r="B520" s="1">
        <v>200.0</v>
      </c>
      <c r="C520" s="1" t="s">
        <v>1422</v>
      </c>
      <c r="D520" s="1" t="s">
        <v>583</v>
      </c>
    </row>
    <row r="521">
      <c r="A521" s="2" t="s">
        <v>1423</v>
      </c>
      <c r="B521" s="1">
        <v>200.0</v>
      </c>
      <c r="C521" s="1" t="s">
        <v>1424</v>
      </c>
      <c r="D521" s="1" t="s">
        <v>583</v>
      </c>
      <c r="F521" s="1">
        <v>0.0</v>
      </c>
      <c r="G521" s="1">
        <v>54.0</v>
      </c>
      <c r="H521" s="1">
        <v>0.0</v>
      </c>
      <c r="I521" s="1">
        <v>11.02</v>
      </c>
    </row>
    <row r="522">
      <c r="A522" s="2" t="s">
        <v>1425</v>
      </c>
      <c r="B522" s="1">
        <v>200.0</v>
      </c>
      <c r="C522" s="1" t="s">
        <v>1426</v>
      </c>
      <c r="D522" s="1" t="s">
        <v>583</v>
      </c>
      <c r="F522" s="1">
        <v>4.0</v>
      </c>
      <c r="G522" s="1">
        <v>1636.0</v>
      </c>
      <c r="H522" s="1">
        <v>0.002</v>
      </c>
      <c r="I522" s="1">
        <v>7.93</v>
      </c>
    </row>
    <row r="523">
      <c r="A523" s="2" t="s">
        <v>1427</v>
      </c>
      <c r="B523" s="1">
        <v>200.0</v>
      </c>
      <c r="C523" s="1" t="s">
        <v>1428</v>
      </c>
      <c r="D523" s="1" t="s">
        <v>583</v>
      </c>
      <c r="F523" s="1">
        <v>1.0</v>
      </c>
      <c r="G523" s="1">
        <v>331.0</v>
      </c>
      <c r="H523" s="1">
        <v>0.003</v>
      </c>
      <c r="I523" s="1">
        <v>8.16</v>
      </c>
    </row>
    <row r="524">
      <c r="A524" s="2" t="s">
        <v>1429</v>
      </c>
      <c r="B524" s="1">
        <v>200.0</v>
      </c>
      <c r="C524" s="1" t="s">
        <v>1430</v>
      </c>
      <c r="D524" s="1" t="s">
        <v>583</v>
      </c>
    </row>
    <row r="525">
      <c r="A525" s="2" t="s">
        <v>1431</v>
      </c>
      <c r="B525" s="1">
        <v>200.0</v>
      </c>
      <c r="C525" s="1" t="s">
        <v>1432</v>
      </c>
      <c r="D525" s="1" t="s">
        <v>583</v>
      </c>
      <c r="F525" s="1">
        <v>0.0</v>
      </c>
      <c r="G525" s="1">
        <v>183.0</v>
      </c>
      <c r="H525" s="1">
        <v>0.0</v>
      </c>
      <c r="I525" s="1">
        <v>46.44</v>
      </c>
    </row>
    <row r="526">
      <c r="A526" s="2" t="s">
        <v>1433</v>
      </c>
      <c r="B526" s="1">
        <v>200.0</v>
      </c>
      <c r="C526" s="1" t="s">
        <v>1434</v>
      </c>
      <c r="D526" s="1" t="s">
        <v>583</v>
      </c>
      <c r="F526" s="1">
        <v>0.0</v>
      </c>
      <c r="G526" s="1">
        <v>28.0</v>
      </c>
      <c r="H526" s="1">
        <v>0.0</v>
      </c>
      <c r="I526" s="1">
        <v>90.36</v>
      </c>
    </row>
    <row r="527">
      <c r="A527" s="2" t="s">
        <v>1435</v>
      </c>
      <c r="B527" s="1">
        <v>301.0</v>
      </c>
      <c r="D527" s="1" t="s">
        <v>609</v>
      </c>
      <c r="E527" s="1" t="s">
        <v>610</v>
      </c>
    </row>
    <row r="528">
      <c r="A528" s="2" t="s">
        <v>1436</v>
      </c>
      <c r="B528" s="1">
        <v>200.0</v>
      </c>
      <c r="C528" s="1" t="s">
        <v>1437</v>
      </c>
      <c r="D528" s="1" t="s">
        <v>583</v>
      </c>
      <c r="F528" s="1">
        <v>1.0</v>
      </c>
      <c r="G528" s="1">
        <v>1105.0</v>
      </c>
      <c r="H528" s="1">
        <v>0.001</v>
      </c>
      <c r="I528" s="1">
        <v>49.24</v>
      </c>
    </row>
    <row r="529">
      <c r="A529" s="2" t="s">
        <v>1438</v>
      </c>
      <c r="B529" s="1">
        <v>200.0</v>
      </c>
      <c r="C529" s="1" t="s">
        <v>1439</v>
      </c>
      <c r="D529" s="1" t="s">
        <v>583</v>
      </c>
      <c r="F529" s="1">
        <v>0.0</v>
      </c>
      <c r="G529" s="1">
        <v>1.0</v>
      </c>
      <c r="H529" s="1">
        <v>0.0</v>
      </c>
      <c r="I529" s="1">
        <v>10.0</v>
      </c>
    </row>
    <row r="530">
      <c r="A530" s="2" t="s">
        <v>1440</v>
      </c>
      <c r="B530" s="1">
        <v>200.0</v>
      </c>
      <c r="C530" s="1" t="s">
        <v>1441</v>
      </c>
      <c r="D530" s="1" t="s">
        <v>583</v>
      </c>
      <c r="F530" s="1">
        <v>0.0</v>
      </c>
      <c r="G530" s="1">
        <v>20.0</v>
      </c>
      <c r="H530" s="1">
        <v>0.0</v>
      </c>
      <c r="I530" s="1">
        <v>7.7</v>
      </c>
    </row>
    <row r="531">
      <c r="A531" s="2" t="s">
        <v>1442</v>
      </c>
      <c r="B531" s="1">
        <v>200.0</v>
      </c>
      <c r="C531" s="1" t="s">
        <v>1443</v>
      </c>
      <c r="D531" s="1" t="s">
        <v>583</v>
      </c>
      <c r="F531" s="1">
        <v>0.0</v>
      </c>
      <c r="G531" s="1">
        <v>17.0</v>
      </c>
      <c r="H531" s="1">
        <v>0.0</v>
      </c>
      <c r="I531" s="1">
        <v>9.18</v>
      </c>
    </row>
    <row r="532">
      <c r="A532" s="2" t="s">
        <v>1444</v>
      </c>
      <c r="B532" s="1">
        <v>200.0</v>
      </c>
      <c r="C532" s="1" t="s">
        <v>1445</v>
      </c>
      <c r="D532" s="1" t="s">
        <v>583</v>
      </c>
      <c r="F532" s="1">
        <v>4.0</v>
      </c>
      <c r="G532" s="1">
        <v>24.0</v>
      </c>
      <c r="H532" s="1">
        <v>0.167</v>
      </c>
      <c r="I532" s="1">
        <v>8.25</v>
      </c>
    </row>
    <row r="533">
      <c r="A533" s="2" t="s">
        <v>1446</v>
      </c>
      <c r="B533" s="1">
        <v>200.0</v>
      </c>
      <c r="C533" s="1" t="s">
        <v>1447</v>
      </c>
      <c r="D533" s="1" t="s">
        <v>583</v>
      </c>
    </row>
    <row r="534">
      <c r="A534" s="2" t="s">
        <v>1448</v>
      </c>
      <c r="B534" s="1">
        <v>200.0</v>
      </c>
      <c r="C534" s="1" t="s">
        <v>1449</v>
      </c>
      <c r="D534" s="1" t="s">
        <v>583</v>
      </c>
    </row>
    <row r="535">
      <c r="A535" s="2" t="s">
        <v>1450</v>
      </c>
      <c r="B535" s="1">
        <v>200.0</v>
      </c>
      <c r="C535" s="1" t="s">
        <v>1451</v>
      </c>
      <c r="D535" s="1" t="s">
        <v>583</v>
      </c>
      <c r="F535" s="1">
        <v>0.0</v>
      </c>
      <c r="G535" s="1">
        <v>37.0</v>
      </c>
      <c r="H535" s="1">
        <v>0.0</v>
      </c>
      <c r="I535" s="1">
        <v>27.43</v>
      </c>
    </row>
    <row r="536">
      <c r="A536" s="2" t="s">
        <v>1452</v>
      </c>
      <c r="B536" s="1">
        <v>200.0</v>
      </c>
      <c r="C536" s="1" t="s">
        <v>1453</v>
      </c>
      <c r="D536" s="1" t="s">
        <v>583</v>
      </c>
      <c r="F536" s="1">
        <v>4.0</v>
      </c>
      <c r="G536" s="1">
        <v>2480.0</v>
      </c>
      <c r="H536" s="1">
        <v>0.002</v>
      </c>
      <c r="I536" s="1">
        <v>18.78</v>
      </c>
    </row>
    <row r="537">
      <c r="A537" s="2" t="s">
        <v>1454</v>
      </c>
      <c r="B537" s="1">
        <v>200.0</v>
      </c>
      <c r="C537" s="1" t="s">
        <v>1455</v>
      </c>
      <c r="D537" s="1" t="s">
        <v>583</v>
      </c>
      <c r="F537" s="1">
        <v>2.0</v>
      </c>
      <c r="G537" s="1">
        <v>754.0</v>
      </c>
      <c r="H537" s="1">
        <v>0.003</v>
      </c>
      <c r="I537" s="1">
        <v>61.44</v>
      </c>
    </row>
    <row r="538">
      <c r="A538" s="2" t="s">
        <v>1456</v>
      </c>
      <c r="B538" s="1">
        <v>200.0</v>
      </c>
      <c r="C538" s="1" t="s">
        <v>1457</v>
      </c>
      <c r="D538" s="1" t="s">
        <v>583</v>
      </c>
      <c r="F538" s="1">
        <v>0.0</v>
      </c>
      <c r="G538" s="1">
        <v>2.0</v>
      </c>
      <c r="H538" s="1">
        <v>0.0</v>
      </c>
      <c r="I538" s="1">
        <v>7.5</v>
      </c>
    </row>
    <row r="539">
      <c r="A539" s="2" t="s">
        <v>1458</v>
      </c>
      <c r="B539" s="1">
        <v>200.0</v>
      </c>
      <c r="C539" s="1" t="s">
        <v>1459</v>
      </c>
      <c r="D539" s="1" t="s">
        <v>583</v>
      </c>
    </row>
    <row r="540">
      <c r="A540" s="2" t="s">
        <v>1460</v>
      </c>
      <c r="B540" s="1">
        <v>200.0</v>
      </c>
      <c r="C540" s="1" t="s">
        <v>1461</v>
      </c>
      <c r="D540" s="1" t="s">
        <v>583</v>
      </c>
      <c r="F540" s="1">
        <v>0.0</v>
      </c>
      <c r="G540" s="1">
        <v>16.0</v>
      </c>
      <c r="H540" s="1">
        <v>0.0</v>
      </c>
      <c r="I540" s="1">
        <v>4.0</v>
      </c>
    </row>
    <row r="541">
      <c r="A541" s="2" t="s">
        <v>1462</v>
      </c>
      <c r="B541" s="1">
        <v>200.0</v>
      </c>
      <c r="C541" s="1" t="s">
        <v>1463</v>
      </c>
      <c r="D541" s="1" t="s">
        <v>583</v>
      </c>
      <c r="F541" s="1">
        <v>0.0</v>
      </c>
      <c r="G541" s="1">
        <v>858.0</v>
      </c>
      <c r="H541" s="1">
        <v>0.0</v>
      </c>
      <c r="I541" s="1">
        <v>6.53</v>
      </c>
    </row>
    <row r="542">
      <c r="A542" s="2" t="s">
        <v>1464</v>
      </c>
      <c r="B542" s="1">
        <v>301.0</v>
      </c>
      <c r="D542" s="1" t="s">
        <v>609</v>
      </c>
      <c r="E542" s="1" t="s">
        <v>610</v>
      </c>
    </row>
    <row r="543">
      <c r="A543" s="2" t="s">
        <v>1465</v>
      </c>
      <c r="B543" s="1">
        <v>200.0</v>
      </c>
      <c r="C543" s="1" t="s">
        <v>1466</v>
      </c>
      <c r="D543" s="1" t="s">
        <v>583</v>
      </c>
      <c r="F543" s="1">
        <v>0.0</v>
      </c>
      <c r="G543" s="1">
        <v>41.0</v>
      </c>
      <c r="H543" s="1">
        <v>0.0</v>
      </c>
      <c r="I543" s="1">
        <v>32.24</v>
      </c>
    </row>
    <row r="544">
      <c r="A544" s="2" t="s">
        <v>1467</v>
      </c>
      <c r="B544" s="1">
        <v>200.0</v>
      </c>
      <c r="C544" s="1" t="s">
        <v>1468</v>
      </c>
      <c r="D544" s="1" t="s">
        <v>583</v>
      </c>
      <c r="F544" s="1">
        <v>0.0</v>
      </c>
      <c r="G544" s="1">
        <v>6.0</v>
      </c>
      <c r="H544" s="1">
        <v>0.0</v>
      </c>
      <c r="I544" s="1">
        <v>5.33</v>
      </c>
    </row>
    <row r="545">
      <c r="A545" s="2" t="s">
        <v>1469</v>
      </c>
      <c r="B545" s="1">
        <v>200.0</v>
      </c>
      <c r="C545" s="1" t="s">
        <v>1470</v>
      </c>
      <c r="D545" s="1" t="s">
        <v>583</v>
      </c>
      <c r="F545" s="1">
        <v>5.0</v>
      </c>
      <c r="G545" s="1">
        <v>1753.0</v>
      </c>
      <c r="H545" s="1">
        <v>0.003</v>
      </c>
      <c r="I545" s="1">
        <v>11.74</v>
      </c>
    </row>
    <row r="546">
      <c r="A546" s="2" t="s">
        <v>1471</v>
      </c>
      <c r="B546" s="1">
        <v>200.0</v>
      </c>
      <c r="C546" s="1" t="s">
        <v>1472</v>
      </c>
      <c r="D546" s="1" t="s">
        <v>583</v>
      </c>
      <c r="F546" s="1">
        <v>0.0</v>
      </c>
      <c r="G546" s="1">
        <v>45.0</v>
      </c>
      <c r="H546" s="1">
        <v>0.0</v>
      </c>
      <c r="I546" s="1">
        <v>70.87</v>
      </c>
    </row>
    <row r="547">
      <c r="A547" s="2" t="s">
        <v>1473</v>
      </c>
      <c r="B547" s="1">
        <v>200.0</v>
      </c>
      <c r="C547" s="1" t="s">
        <v>1474</v>
      </c>
      <c r="D547" s="1" t="s">
        <v>583</v>
      </c>
      <c r="F547" s="1">
        <v>2.0</v>
      </c>
      <c r="G547" s="1">
        <v>597.0</v>
      </c>
      <c r="H547" s="1">
        <v>0.003</v>
      </c>
      <c r="I547" s="1">
        <v>15.63</v>
      </c>
    </row>
    <row r="548">
      <c r="A548" s="2" t="s">
        <v>1475</v>
      </c>
      <c r="B548" s="1">
        <v>200.0</v>
      </c>
      <c r="C548" s="1" t="s">
        <v>1476</v>
      </c>
      <c r="D548" s="1" t="s">
        <v>583</v>
      </c>
      <c r="F548" s="1">
        <v>3.0</v>
      </c>
      <c r="G548" s="1">
        <v>1894.0</v>
      </c>
      <c r="H548" s="1">
        <v>0.002</v>
      </c>
      <c r="I548" s="1">
        <v>9.44</v>
      </c>
    </row>
    <row r="549">
      <c r="A549" s="2" t="s">
        <v>1477</v>
      </c>
      <c r="B549" s="1">
        <v>200.0</v>
      </c>
      <c r="C549" s="1" t="s">
        <v>1478</v>
      </c>
      <c r="D549" s="1" t="s">
        <v>583</v>
      </c>
      <c r="F549" s="1">
        <v>0.0</v>
      </c>
      <c r="G549" s="1">
        <v>17.0</v>
      </c>
      <c r="H549" s="1">
        <v>0.0</v>
      </c>
      <c r="I549" s="1">
        <v>11.88</v>
      </c>
    </row>
    <row r="550">
      <c r="A550" s="2" t="s">
        <v>1479</v>
      </c>
      <c r="B550" s="1">
        <v>200.0</v>
      </c>
      <c r="C550" s="1" t="s">
        <v>1480</v>
      </c>
      <c r="D550" s="1" t="s">
        <v>583</v>
      </c>
      <c r="F550" s="1">
        <v>0.0</v>
      </c>
      <c r="G550" s="1">
        <v>57.0</v>
      </c>
      <c r="H550" s="1">
        <v>0.0</v>
      </c>
      <c r="I550" s="1">
        <v>36.58</v>
      </c>
    </row>
    <row r="551">
      <c r="A551" s="2" t="s">
        <v>1481</v>
      </c>
      <c r="B551" s="1">
        <v>200.0</v>
      </c>
      <c r="C551" s="1" t="s">
        <v>1482</v>
      </c>
      <c r="D551" s="1" t="s">
        <v>583</v>
      </c>
      <c r="F551" s="1">
        <v>1.0</v>
      </c>
      <c r="G551" s="1">
        <v>757.0</v>
      </c>
      <c r="H551" s="1">
        <v>0.001</v>
      </c>
      <c r="I551" s="1">
        <v>16.47</v>
      </c>
    </row>
    <row r="552">
      <c r="A552" s="2" t="s">
        <v>1483</v>
      </c>
      <c r="B552" s="1">
        <v>200.0</v>
      </c>
      <c r="C552" s="1" t="s">
        <v>1484</v>
      </c>
      <c r="D552" s="1" t="s">
        <v>583</v>
      </c>
      <c r="F552" s="1">
        <v>0.0</v>
      </c>
      <c r="G552" s="1">
        <v>23.0</v>
      </c>
      <c r="H552" s="1">
        <v>0.0</v>
      </c>
      <c r="I552" s="1">
        <v>9.26</v>
      </c>
    </row>
    <row r="553">
      <c r="A553" s="2" t="s">
        <v>1485</v>
      </c>
      <c r="B553" s="1">
        <v>301.0</v>
      </c>
      <c r="D553" s="1" t="s">
        <v>609</v>
      </c>
      <c r="E553" s="1" t="s">
        <v>610</v>
      </c>
    </row>
    <row r="554">
      <c r="A554" s="2" t="s">
        <v>1486</v>
      </c>
      <c r="B554" s="1">
        <v>200.0</v>
      </c>
      <c r="C554" s="1" t="s">
        <v>1487</v>
      </c>
      <c r="D554" s="1" t="s">
        <v>583</v>
      </c>
      <c r="F554" s="1">
        <v>0.0</v>
      </c>
      <c r="G554" s="1">
        <v>30.0</v>
      </c>
      <c r="H554" s="1">
        <v>0.0</v>
      </c>
      <c r="I554" s="1">
        <v>31.37</v>
      </c>
    </row>
    <row r="555">
      <c r="A555" s="2" t="s">
        <v>1488</v>
      </c>
      <c r="B555" s="1">
        <v>200.0</v>
      </c>
      <c r="C555" s="1" t="s">
        <v>1489</v>
      </c>
      <c r="D555" s="1" t="s">
        <v>583</v>
      </c>
      <c r="F555" s="1">
        <v>7.0</v>
      </c>
      <c r="G555" s="1">
        <v>306.0</v>
      </c>
      <c r="H555" s="1">
        <v>0.023</v>
      </c>
      <c r="I555" s="1">
        <v>4.98</v>
      </c>
    </row>
    <row r="556">
      <c r="A556" s="2" t="s">
        <v>1490</v>
      </c>
      <c r="B556" s="1">
        <v>200.0</v>
      </c>
      <c r="C556" s="1" t="s">
        <v>1491</v>
      </c>
      <c r="D556" s="1" t="s">
        <v>583</v>
      </c>
      <c r="F556" s="1">
        <v>1.0</v>
      </c>
      <c r="G556" s="1">
        <v>15.0</v>
      </c>
      <c r="H556" s="1">
        <v>0.067</v>
      </c>
      <c r="I556" s="1">
        <v>7.47</v>
      </c>
    </row>
    <row r="557">
      <c r="A557" s="2" t="s">
        <v>1492</v>
      </c>
      <c r="B557" s="1">
        <v>200.0</v>
      </c>
      <c r="C557" s="1" t="s">
        <v>1493</v>
      </c>
      <c r="D557" s="1" t="s">
        <v>583</v>
      </c>
      <c r="F557" s="1">
        <v>1.0</v>
      </c>
      <c r="G557" s="1">
        <v>294.0</v>
      </c>
      <c r="H557" s="1">
        <v>0.003</v>
      </c>
      <c r="I557" s="1">
        <v>10.0</v>
      </c>
    </row>
    <row r="558">
      <c r="A558" s="2" t="s">
        <v>1494</v>
      </c>
      <c r="B558" s="1">
        <v>200.0</v>
      </c>
      <c r="C558" s="1" t="s">
        <v>1495</v>
      </c>
      <c r="D558" s="1" t="s">
        <v>583</v>
      </c>
    </row>
    <row r="559">
      <c r="A559" s="2" t="s">
        <v>1496</v>
      </c>
      <c r="B559" s="1">
        <v>200.0</v>
      </c>
      <c r="C559" s="1" t="s">
        <v>1497</v>
      </c>
      <c r="D559" s="1" t="s">
        <v>583</v>
      </c>
      <c r="F559" s="1">
        <v>0.0</v>
      </c>
      <c r="G559" s="1">
        <v>2.0</v>
      </c>
      <c r="H559" s="1">
        <v>0.0</v>
      </c>
      <c r="I559" s="1">
        <v>2.5</v>
      </c>
    </row>
    <row r="560">
      <c r="A560" s="2" t="s">
        <v>1498</v>
      </c>
      <c r="B560" s="1">
        <v>200.0</v>
      </c>
      <c r="C560" s="1" t="s">
        <v>1499</v>
      </c>
      <c r="D560" s="1" t="s">
        <v>583</v>
      </c>
    </row>
    <row r="561">
      <c r="A561" s="2" t="s">
        <v>1500</v>
      </c>
      <c r="B561" s="1">
        <v>301.0</v>
      </c>
      <c r="D561" s="1" t="s">
        <v>609</v>
      </c>
      <c r="E561" s="1" t="s">
        <v>610</v>
      </c>
    </row>
    <row r="562">
      <c r="A562" s="2" t="s">
        <v>1501</v>
      </c>
      <c r="B562" s="1">
        <v>301.0</v>
      </c>
      <c r="D562" s="1" t="s">
        <v>609</v>
      </c>
      <c r="E562" s="1" t="s">
        <v>610</v>
      </c>
    </row>
    <row r="563">
      <c r="A563" s="2" t="s">
        <v>1502</v>
      </c>
      <c r="B563" s="1">
        <v>301.0</v>
      </c>
      <c r="D563" s="1" t="s">
        <v>609</v>
      </c>
      <c r="E563" s="1" t="s">
        <v>610</v>
      </c>
    </row>
    <row r="564">
      <c r="A564" s="2" t="s">
        <v>1503</v>
      </c>
      <c r="B564" s="1">
        <v>200.0</v>
      </c>
      <c r="C564" s="1" t="s">
        <v>1504</v>
      </c>
      <c r="D564" s="1" t="s">
        <v>583</v>
      </c>
      <c r="F564" s="1">
        <v>0.0</v>
      </c>
      <c r="G564" s="1">
        <v>1.0</v>
      </c>
      <c r="H564" s="1">
        <v>0.0</v>
      </c>
      <c r="I564" s="1">
        <v>12.0</v>
      </c>
    </row>
    <row r="565">
      <c r="A565" s="2" t="s">
        <v>1505</v>
      </c>
      <c r="B565" s="1">
        <v>200.0</v>
      </c>
      <c r="C565" s="1" t="s">
        <v>1506</v>
      </c>
      <c r="D565" s="1" t="s">
        <v>583</v>
      </c>
    </row>
    <row r="566">
      <c r="A566" s="2" t="s">
        <v>1507</v>
      </c>
      <c r="B566" s="1">
        <v>200.0</v>
      </c>
      <c r="C566" s="1" t="s">
        <v>1508</v>
      </c>
      <c r="D566" s="1" t="s">
        <v>583</v>
      </c>
    </row>
    <row r="567">
      <c r="A567" s="2" t="s">
        <v>1509</v>
      </c>
      <c r="B567" s="1">
        <v>200.0</v>
      </c>
      <c r="C567" s="1" t="s">
        <v>1510</v>
      </c>
      <c r="D567" s="1" t="s">
        <v>583</v>
      </c>
      <c r="F567" s="1">
        <v>1.0</v>
      </c>
      <c r="G567" s="1">
        <v>9.0</v>
      </c>
      <c r="H567" s="1">
        <v>0.111</v>
      </c>
      <c r="I567" s="1">
        <v>7.11</v>
      </c>
    </row>
    <row r="568">
      <c r="A568" s="2" t="s">
        <v>1511</v>
      </c>
      <c r="B568" s="1">
        <v>200.0</v>
      </c>
      <c r="C568" s="1" t="s">
        <v>1512</v>
      </c>
      <c r="D568" s="1" t="s">
        <v>583</v>
      </c>
      <c r="F568" s="1">
        <v>0.0</v>
      </c>
      <c r="G568" s="1">
        <v>120.0</v>
      </c>
      <c r="H568" s="1">
        <v>0.0</v>
      </c>
      <c r="I568" s="1">
        <v>47.89</v>
      </c>
    </row>
    <row r="569">
      <c r="A569" s="2" t="s">
        <v>1513</v>
      </c>
      <c r="B569" s="1">
        <v>200.0</v>
      </c>
      <c r="C569" s="1" t="s">
        <v>1514</v>
      </c>
      <c r="D569" s="1" t="s">
        <v>583</v>
      </c>
      <c r="F569" s="1">
        <v>0.0</v>
      </c>
      <c r="G569" s="1">
        <v>19.0</v>
      </c>
      <c r="H569" s="1">
        <v>0.0</v>
      </c>
      <c r="I569" s="1">
        <v>7.37</v>
      </c>
    </row>
    <row r="570">
      <c r="A570" s="2" t="s">
        <v>1515</v>
      </c>
      <c r="B570" s="1">
        <v>200.0</v>
      </c>
      <c r="C570" s="1" t="s">
        <v>1516</v>
      </c>
      <c r="D570" s="1" t="s">
        <v>583</v>
      </c>
      <c r="F570" s="1">
        <v>0.0</v>
      </c>
      <c r="G570" s="1">
        <v>18.0</v>
      </c>
      <c r="H570" s="1">
        <v>0.0</v>
      </c>
      <c r="I570" s="1">
        <v>31.17</v>
      </c>
    </row>
    <row r="571">
      <c r="A571" s="2" t="s">
        <v>1517</v>
      </c>
      <c r="B571" s="1">
        <v>200.0</v>
      </c>
      <c r="C571" s="1" t="s">
        <v>1518</v>
      </c>
      <c r="D571" s="1" t="s">
        <v>583</v>
      </c>
    </row>
    <row r="572">
      <c r="A572" s="2" t="s">
        <v>1519</v>
      </c>
      <c r="B572" s="1">
        <v>200.0</v>
      </c>
      <c r="C572" s="1" t="s">
        <v>1520</v>
      </c>
      <c r="D572" s="1" t="s">
        <v>583</v>
      </c>
      <c r="F572" s="1">
        <v>0.0</v>
      </c>
      <c r="G572" s="1">
        <v>3.0</v>
      </c>
      <c r="H572" s="1">
        <v>0.0</v>
      </c>
      <c r="I572" s="1">
        <v>5.67</v>
      </c>
    </row>
    <row r="573">
      <c r="A573" s="2" t="s">
        <v>1521</v>
      </c>
      <c r="B573" s="1">
        <v>301.0</v>
      </c>
      <c r="D573" s="1" t="s">
        <v>609</v>
      </c>
      <c r="E573" s="1" t="s">
        <v>610</v>
      </c>
    </row>
    <row r="574">
      <c r="A574" s="2" t="s">
        <v>1522</v>
      </c>
      <c r="B574" s="1">
        <v>200.0</v>
      </c>
      <c r="C574" s="1" t="s">
        <v>1523</v>
      </c>
      <c r="D574" s="1" t="s">
        <v>583</v>
      </c>
      <c r="F574" s="1">
        <v>0.0</v>
      </c>
      <c r="G574" s="1">
        <v>16.0</v>
      </c>
      <c r="H574" s="1">
        <v>0.0</v>
      </c>
      <c r="I574" s="1">
        <v>8.75</v>
      </c>
    </row>
    <row r="575">
      <c r="A575" s="2" t="s">
        <v>1524</v>
      </c>
      <c r="B575" s="1">
        <v>200.0</v>
      </c>
      <c r="C575" s="1" t="s">
        <v>1525</v>
      </c>
      <c r="D575" s="1" t="s">
        <v>583</v>
      </c>
    </row>
    <row r="576">
      <c r="A576" s="2" t="s">
        <v>1526</v>
      </c>
      <c r="B576" s="1">
        <v>200.0</v>
      </c>
      <c r="C576" s="1" t="s">
        <v>1527</v>
      </c>
      <c r="D576" s="1" t="s">
        <v>583</v>
      </c>
      <c r="F576" s="1">
        <v>0.0</v>
      </c>
      <c r="G576" s="1">
        <v>61.0</v>
      </c>
      <c r="H576" s="1">
        <v>0.0</v>
      </c>
      <c r="I576" s="1">
        <v>9.08</v>
      </c>
    </row>
    <row r="577">
      <c r="A577" s="2" t="s">
        <v>1528</v>
      </c>
      <c r="B577" s="1">
        <v>200.0</v>
      </c>
      <c r="C577" s="1" t="s">
        <v>1529</v>
      </c>
      <c r="D577" s="1" t="s">
        <v>583</v>
      </c>
      <c r="F577" s="1">
        <v>1.0</v>
      </c>
      <c r="G577" s="1">
        <v>24.0</v>
      </c>
      <c r="H577" s="1">
        <v>0.042</v>
      </c>
      <c r="I577" s="1">
        <v>30.63</v>
      </c>
    </row>
    <row r="578">
      <c r="A578" s="2" t="s">
        <v>1530</v>
      </c>
      <c r="B578" s="1">
        <v>200.0</v>
      </c>
      <c r="C578" s="1" t="s">
        <v>1531</v>
      </c>
      <c r="D578" s="1" t="s">
        <v>583</v>
      </c>
    </row>
    <row r="579">
      <c r="A579" s="2" t="s">
        <v>1532</v>
      </c>
      <c r="B579" s="1">
        <v>200.0</v>
      </c>
      <c r="C579" s="1" t="s">
        <v>1533</v>
      </c>
      <c r="D579" s="1" t="s">
        <v>583</v>
      </c>
      <c r="F579" s="1">
        <v>0.0</v>
      </c>
      <c r="G579" s="1">
        <v>141.0</v>
      </c>
      <c r="H579" s="1">
        <v>0.0</v>
      </c>
      <c r="I579" s="1">
        <v>36.61</v>
      </c>
    </row>
    <row r="580">
      <c r="A580" s="2" t="s">
        <v>1534</v>
      </c>
      <c r="B580" s="1">
        <v>200.0</v>
      </c>
      <c r="C580" s="1" t="s">
        <v>1535</v>
      </c>
      <c r="D580" s="1" t="s">
        <v>583</v>
      </c>
      <c r="F580" s="1">
        <v>0.0</v>
      </c>
      <c r="G580" s="1">
        <v>7.0</v>
      </c>
      <c r="H580" s="1">
        <v>0.0</v>
      </c>
      <c r="I580" s="1">
        <v>6.0</v>
      </c>
    </row>
    <row r="581">
      <c r="A581" s="2" t="s">
        <v>1536</v>
      </c>
      <c r="B581" s="1">
        <v>200.0</v>
      </c>
      <c r="C581" s="1" t="s">
        <v>1537</v>
      </c>
      <c r="D581" s="1" t="s">
        <v>583</v>
      </c>
      <c r="F581" s="1">
        <v>25.0</v>
      </c>
      <c r="G581" s="1">
        <v>3915.0</v>
      </c>
      <c r="H581" s="1">
        <v>0.006</v>
      </c>
      <c r="I581" s="1">
        <v>9.36</v>
      </c>
    </row>
    <row r="582">
      <c r="A582" s="2" t="s">
        <v>1538</v>
      </c>
      <c r="B582" s="1">
        <v>200.0</v>
      </c>
      <c r="C582" s="1" t="s">
        <v>1539</v>
      </c>
      <c r="D582" s="1" t="s">
        <v>583</v>
      </c>
      <c r="F582" s="1">
        <v>3.0</v>
      </c>
      <c r="G582" s="1">
        <v>1231.0</v>
      </c>
      <c r="H582" s="1">
        <v>0.002</v>
      </c>
      <c r="I582" s="1">
        <v>11.25</v>
      </c>
    </row>
    <row r="583">
      <c r="A583" s="2" t="s">
        <v>1540</v>
      </c>
      <c r="B583" s="1">
        <v>200.0</v>
      </c>
      <c r="C583" s="1" t="s">
        <v>1541</v>
      </c>
      <c r="D583" s="1" t="s">
        <v>583</v>
      </c>
      <c r="F583" s="1">
        <v>0.0</v>
      </c>
      <c r="G583" s="1">
        <v>68.0</v>
      </c>
      <c r="H583" s="1">
        <v>0.0</v>
      </c>
      <c r="I583" s="1">
        <v>67.29</v>
      </c>
    </row>
    <row r="584">
      <c r="A584" s="2" t="s">
        <v>1542</v>
      </c>
      <c r="B584" s="1">
        <v>301.0</v>
      </c>
      <c r="D584" s="1" t="s">
        <v>609</v>
      </c>
      <c r="E584" s="1" t="s">
        <v>610</v>
      </c>
      <c r="F584" s="1">
        <v>0.0</v>
      </c>
      <c r="G584" s="1">
        <v>68.0</v>
      </c>
      <c r="H584" s="1">
        <v>0.0</v>
      </c>
      <c r="I584" s="1">
        <v>67.29</v>
      </c>
    </row>
    <row r="585">
      <c r="A585" s="2" t="s">
        <v>1543</v>
      </c>
      <c r="B585" s="1">
        <v>200.0</v>
      </c>
      <c r="C585" s="1" t="s">
        <v>1544</v>
      </c>
      <c r="D585" s="1" t="s">
        <v>583</v>
      </c>
      <c r="F585" s="1">
        <v>23.0</v>
      </c>
      <c r="G585" s="1">
        <v>6784.0</v>
      </c>
      <c r="H585" s="1">
        <v>0.003</v>
      </c>
      <c r="I585" s="1">
        <v>6.64</v>
      </c>
    </row>
    <row r="586">
      <c r="A586" s="2" t="s">
        <v>1545</v>
      </c>
      <c r="B586" s="1">
        <v>301.0</v>
      </c>
      <c r="D586" s="1" t="s">
        <v>609</v>
      </c>
      <c r="E586" s="1" t="s">
        <v>610</v>
      </c>
      <c r="F586" s="1">
        <v>0.0</v>
      </c>
      <c r="G586" s="1">
        <v>12.0</v>
      </c>
      <c r="H586" s="1">
        <v>0.0</v>
      </c>
      <c r="I586" s="1">
        <v>31.33</v>
      </c>
    </row>
    <row r="587">
      <c r="A587" s="2" t="s">
        <v>1546</v>
      </c>
      <c r="B587" s="1">
        <v>200.0</v>
      </c>
      <c r="C587" s="1" t="s">
        <v>1547</v>
      </c>
      <c r="D587" s="1" t="s">
        <v>583</v>
      </c>
      <c r="F587" s="1">
        <v>3.0</v>
      </c>
      <c r="G587" s="1">
        <v>741.0</v>
      </c>
      <c r="H587" s="1">
        <v>0.004</v>
      </c>
      <c r="I587" s="1">
        <v>8.39</v>
      </c>
    </row>
    <row r="588">
      <c r="A588" s="2" t="s">
        <v>1548</v>
      </c>
      <c r="B588" s="1">
        <v>200.0</v>
      </c>
      <c r="C588" s="1" t="s">
        <v>1549</v>
      </c>
      <c r="D588" s="1" t="s">
        <v>583</v>
      </c>
      <c r="F588" s="1">
        <v>0.0</v>
      </c>
      <c r="G588" s="1">
        <v>431.0</v>
      </c>
      <c r="H588" s="1">
        <v>0.0</v>
      </c>
      <c r="I588" s="1">
        <v>7.47</v>
      </c>
    </row>
    <row r="589">
      <c r="A589" s="2" t="s">
        <v>1550</v>
      </c>
      <c r="B589" s="1">
        <v>200.0</v>
      </c>
      <c r="C589" s="1" t="s">
        <v>1551</v>
      </c>
      <c r="D589" s="1" t="s">
        <v>583</v>
      </c>
      <c r="F589" s="1">
        <v>1.0</v>
      </c>
      <c r="G589" s="1">
        <v>147.0</v>
      </c>
      <c r="H589" s="1">
        <v>0.007</v>
      </c>
      <c r="I589" s="1">
        <v>45.38</v>
      </c>
    </row>
    <row r="590">
      <c r="A590" s="2" t="s">
        <v>1552</v>
      </c>
      <c r="B590" s="1">
        <v>200.0</v>
      </c>
      <c r="C590" s="1" t="s">
        <v>1553</v>
      </c>
      <c r="D590" s="1" t="s">
        <v>583</v>
      </c>
      <c r="F590" s="1">
        <v>0.0</v>
      </c>
      <c r="G590" s="1">
        <v>376.0</v>
      </c>
      <c r="H590" s="1">
        <v>0.0</v>
      </c>
      <c r="I590" s="1">
        <v>44.64</v>
      </c>
    </row>
    <row r="591">
      <c r="A591" s="2" t="s">
        <v>1554</v>
      </c>
      <c r="B591" s="1">
        <v>200.0</v>
      </c>
      <c r="C591" s="1" t="s">
        <v>1555</v>
      </c>
      <c r="D591" s="1" t="s">
        <v>583</v>
      </c>
      <c r="F591" s="1">
        <v>1.0</v>
      </c>
      <c r="G591" s="1">
        <v>3.0</v>
      </c>
      <c r="H591" s="1">
        <v>0.333</v>
      </c>
      <c r="I591" s="1">
        <v>2.67</v>
      </c>
    </row>
    <row r="592">
      <c r="A592" s="2" t="s">
        <v>1556</v>
      </c>
      <c r="B592" s="1">
        <v>200.0</v>
      </c>
      <c r="C592" s="1" t="s">
        <v>1557</v>
      </c>
      <c r="D592" s="1" t="s">
        <v>583</v>
      </c>
      <c r="F592" s="1">
        <v>0.0</v>
      </c>
      <c r="G592" s="1">
        <v>17.0</v>
      </c>
      <c r="H592" s="1">
        <v>0.0</v>
      </c>
      <c r="I592" s="1">
        <v>5.35</v>
      </c>
    </row>
    <row r="593">
      <c r="A593" s="2" t="s">
        <v>1558</v>
      </c>
      <c r="B593" s="1">
        <v>200.0</v>
      </c>
      <c r="C593" s="1" t="s">
        <v>1559</v>
      </c>
      <c r="D593" s="1" t="s">
        <v>583</v>
      </c>
      <c r="F593" s="1">
        <v>0.0</v>
      </c>
      <c r="G593" s="1">
        <v>1.0</v>
      </c>
      <c r="H593" s="1">
        <v>0.0</v>
      </c>
      <c r="I593" s="1">
        <v>85.0</v>
      </c>
    </row>
    <row r="594">
      <c r="A594" s="2" t="s">
        <v>1560</v>
      </c>
      <c r="B594" s="1">
        <v>200.0</v>
      </c>
      <c r="C594" s="1" t="s">
        <v>1561</v>
      </c>
      <c r="D594" s="1" t="s">
        <v>583</v>
      </c>
      <c r="F594" s="1">
        <v>0.0</v>
      </c>
      <c r="G594" s="1">
        <v>26.0</v>
      </c>
      <c r="H594" s="1">
        <v>0.0</v>
      </c>
      <c r="I594" s="1">
        <v>70.15</v>
      </c>
    </row>
    <row r="595">
      <c r="A595" s="2" t="s">
        <v>1562</v>
      </c>
      <c r="B595" s="1">
        <v>200.0</v>
      </c>
      <c r="C595" s="1" t="s">
        <v>1563</v>
      </c>
      <c r="D595" s="1" t="s">
        <v>583</v>
      </c>
    </row>
    <row r="596">
      <c r="A596" s="2" t="s">
        <v>1564</v>
      </c>
      <c r="B596" s="1">
        <v>200.0</v>
      </c>
      <c r="C596" s="1" t="s">
        <v>1565</v>
      </c>
      <c r="D596" s="1" t="s">
        <v>583</v>
      </c>
      <c r="F596" s="1">
        <v>0.0</v>
      </c>
      <c r="G596" s="1">
        <v>2.0</v>
      </c>
      <c r="H596" s="1">
        <v>0.0</v>
      </c>
      <c r="I596" s="1">
        <v>147.0</v>
      </c>
    </row>
    <row r="597">
      <c r="A597" s="2" t="s">
        <v>1566</v>
      </c>
      <c r="B597" s="1">
        <v>200.0</v>
      </c>
      <c r="C597" s="1" t="s">
        <v>1567</v>
      </c>
      <c r="D597" s="1" t="s">
        <v>583</v>
      </c>
      <c r="F597" s="1">
        <v>2.0</v>
      </c>
      <c r="G597" s="1">
        <v>223.0</v>
      </c>
      <c r="H597" s="1">
        <v>0.009</v>
      </c>
      <c r="I597" s="1">
        <v>7.6</v>
      </c>
    </row>
    <row r="598">
      <c r="A598" s="2" t="s">
        <v>1568</v>
      </c>
      <c r="B598" s="1">
        <v>200.0</v>
      </c>
      <c r="C598" s="1" t="s">
        <v>1569</v>
      </c>
      <c r="D598" s="1" t="s">
        <v>583</v>
      </c>
      <c r="F598" s="1">
        <v>18.0</v>
      </c>
      <c r="G598" s="1">
        <v>647.0</v>
      </c>
      <c r="H598" s="1">
        <v>0.028</v>
      </c>
      <c r="I598" s="1">
        <v>6.17</v>
      </c>
    </row>
    <row r="599">
      <c r="A599" s="2" t="s">
        <v>1570</v>
      </c>
      <c r="B599" s="1">
        <v>200.0</v>
      </c>
      <c r="C599" s="1" t="s">
        <v>1571</v>
      </c>
      <c r="D599" s="1" t="s">
        <v>583</v>
      </c>
      <c r="F599" s="1">
        <v>0.0</v>
      </c>
      <c r="G599" s="1">
        <v>202.0</v>
      </c>
      <c r="H599" s="1">
        <v>0.0</v>
      </c>
      <c r="I599" s="1">
        <v>7.57</v>
      </c>
    </row>
    <row r="600">
      <c r="A600" s="2" t="s">
        <v>1572</v>
      </c>
      <c r="B600" s="1">
        <v>200.0</v>
      </c>
      <c r="C600" s="1" t="s">
        <v>1573</v>
      </c>
      <c r="D600" s="1" t="s">
        <v>583</v>
      </c>
      <c r="F600" s="1">
        <v>0.0</v>
      </c>
      <c r="G600" s="1">
        <v>4.0</v>
      </c>
      <c r="H600" s="1">
        <v>0.0</v>
      </c>
      <c r="I600" s="1">
        <v>19.0</v>
      </c>
    </row>
    <row r="601">
      <c r="A601" s="2" t="s">
        <v>1574</v>
      </c>
      <c r="B601" s="1">
        <v>200.0</v>
      </c>
      <c r="C601" s="1" t="s">
        <v>1575</v>
      </c>
      <c r="D601" s="1" t="s">
        <v>583</v>
      </c>
      <c r="F601" s="1">
        <v>0.0</v>
      </c>
      <c r="G601" s="1">
        <v>24.0</v>
      </c>
      <c r="H601" s="1">
        <v>0.0</v>
      </c>
      <c r="I601" s="1">
        <v>22.75</v>
      </c>
    </row>
    <row r="602">
      <c r="A602" s="2" t="s">
        <v>1576</v>
      </c>
      <c r="B602" s="1">
        <v>200.0</v>
      </c>
      <c r="C602" s="1" t="s">
        <v>1577</v>
      </c>
      <c r="D602" s="1" t="s">
        <v>583</v>
      </c>
    </row>
    <row r="603">
      <c r="A603" s="2" t="s">
        <v>1578</v>
      </c>
      <c r="B603" s="1">
        <v>200.0</v>
      </c>
      <c r="C603" s="1" t="s">
        <v>1579</v>
      </c>
      <c r="D603" s="1" t="s">
        <v>583</v>
      </c>
      <c r="F603" s="1">
        <v>0.0</v>
      </c>
      <c r="G603" s="1">
        <v>93.0</v>
      </c>
      <c r="H603" s="1">
        <v>0.0</v>
      </c>
      <c r="I603" s="1">
        <v>8.32</v>
      </c>
    </row>
    <row r="604">
      <c r="A604" s="2" t="s">
        <v>1580</v>
      </c>
      <c r="B604" s="1">
        <v>200.0</v>
      </c>
      <c r="C604" s="1" t="s">
        <v>1581</v>
      </c>
      <c r="D604" s="1" t="s">
        <v>583</v>
      </c>
    </row>
    <row r="605">
      <c r="A605" s="2" t="s">
        <v>1582</v>
      </c>
      <c r="B605" s="1">
        <v>200.0</v>
      </c>
      <c r="C605" s="1" t="s">
        <v>1583</v>
      </c>
      <c r="D605" s="1" t="s">
        <v>583</v>
      </c>
      <c r="F605" s="1">
        <v>1.0</v>
      </c>
      <c r="G605" s="1">
        <v>37.0</v>
      </c>
      <c r="H605" s="1">
        <v>0.027</v>
      </c>
      <c r="I605" s="1">
        <v>4.65</v>
      </c>
    </row>
    <row r="606">
      <c r="A606" s="2" t="s">
        <v>1584</v>
      </c>
      <c r="B606" s="1">
        <v>200.0</v>
      </c>
      <c r="C606" s="1" t="s">
        <v>1585</v>
      </c>
      <c r="D606" s="1" t="s">
        <v>583</v>
      </c>
    </row>
    <row r="607">
      <c r="A607" s="2" t="s">
        <v>1586</v>
      </c>
      <c r="B607" s="1">
        <v>200.0</v>
      </c>
      <c r="C607" s="1" t="s">
        <v>1587</v>
      </c>
      <c r="D607" s="1" t="s">
        <v>583</v>
      </c>
      <c r="F607" s="1">
        <v>0.0</v>
      </c>
      <c r="G607" s="1">
        <v>1.0</v>
      </c>
      <c r="H607" s="1">
        <v>0.0</v>
      </c>
      <c r="I607" s="1">
        <v>6.0</v>
      </c>
    </row>
    <row r="608">
      <c r="A608" s="2" t="s">
        <v>1588</v>
      </c>
      <c r="B608" s="1">
        <v>200.0</v>
      </c>
      <c r="C608" s="1" t="s">
        <v>1589</v>
      </c>
      <c r="D608" s="1" t="s">
        <v>583</v>
      </c>
      <c r="F608" s="1">
        <v>1.0</v>
      </c>
      <c r="G608" s="1">
        <v>9.0</v>
      </c>
      <c r="H608" s="1">
        <v>0.111</v>
      </c>
      <c r="I608" s="1">
        <v>11.0</v>
      </c>
    </row>
    <row r="609">
      <c r="A609" s="2" t="s">
        <v>1590</v>
      </c>
      <c r="B609" s="1">
        <v>200.0</v>
      </c>
      <c r="C609" s="1" t="s">
        <v>1591</v>
      </c>
      <c r="D609" s="1" t="s">
        <v>583</v>
      </c>
      <c r="F609" s="1">
        <v>0.0</v>
      </c>
      <c r="G609" s="1">
        <v>23.0</v>
      </c>
      <c r="H609" s="1">
        <v>0.0</v>
      </c>
      <c r="I609" s="1">
        <v>42.43</v>
      </c>
    </row>
    <row r="610">
      <c r="A610" s="2" t="s">
        <v>1592</v>
      </c>
      <c r="B610" s="1">
        <v>200.0</v>
      </c>
      <c r="C610" s="1" t="s">
        <v>1593</v>
      </c>
      <c r="D610" s="1" t="s">
        <v>583</v>
      </c>
      <c r="F610" s="1">
        <v>0.0</v>
      </c>
      <c r="G610" s="1">
        <v>76.0</v>
      </c>
      <c r="H610" s="1">
        <v>0.0</v>
      </c>
      <c r="I610" s="1">
        <v>12.26</v>
      </c>
    </row>
    <row r="611">
      <c r="A611" s="2" t="s">
        <v>1594</v>
      </c>
      <c r="B611" s="1">
        <v>200.0</v>
      </c>
      <c r="C611" s="1" t="s">
        <v>1595</v>
      </c>
      <c r="D611" s="1" t="s">
        <v>583</v>
      </c>
      <c r="F611" s="1">
        <v>0.0</v>
      </c>
      <c r="G611" s="1">
        <v>35.0</v>
      </c>
      <c r="H611" s="1">
        <v>0.0</v>
      </c>
      <c r="I611" s="1">
        <v>5.86</v>
      </c>
    </row>
    <row r="612">
      <c r="A612" s="2" t="s">
        <v>1596</v>
      </c>
      <c r="B612" s="1">
        <v>200.0</v>
      </c>
      <c r="C612" s="1" t="s">
        <v>1597</v>
      </c>
      <c r="D612" s="1" t="s">
        <v>583</v>
      </c>
      <c r="F612" s="1">
        <v>0.0</v>
      </c>
      <c r="G612" s="1">
        <v>1.0</v>
      </c>
      <c r="H612" s="1">
        <v>0.0</v>
      </c>
      <c r="I612" s="1">
        <v>7.0</v>
      </c>
    </row>
    <row r="613">
      <c r="A613" s="2" t="s">
        <v>1598</v>
      </c>
      <c r="B613" s="1">
        <v>200.0</v>
      </c>
      <c r="C613" s="1" t="s">
        <v>1599</v>
      </c>
      <c r="D613" s="1" t="s">
        <v>583</v>
      </c>
      <c r="F613" s="1">
        <v>0.0</v>
      </c>
      <c r="G613" s="1">
        <v>183.0</v>
      </c>
      <c r="H613" s="1">
        <v>0.0</v>
      </c>
      <c r="I613" s="1">
        <v>18.4</v>
      </c>
    </row>
    <row r="614">
      <c r="A614" s="2" t="s">
        <v>1600</v>
      </c>
      <c r="B614" s="1">
        <v>200.0</v>
      </c>
      <c r="C614" s="1" t="s">
        <v>1601</v>
      </c>
      <c r="D614" s="1" t="s">
        <v>583</v>
      </c>
      <c r="F614" s="1">
        <v>1.0</v>
      </c>
      <c r="G614" s="1">
        <v>54.0</v>
      </c>
      <c r="H614" s="1">
        <v>0.018</v>
      </c>
      <c r="I614" s="1">
        <v>41.31</v>
      </c>
    </row>
    <row r="615">
      <c r="A615" s="2" t="s">
        <v>1602</v>
      </c>
      <c r="B615" s="1">
        <v>200.0</v>
      </c>
      <c r="C615" s="1" t="s">
        <v>1603</v>
      </c>
      <c r="D615" s="1" t="s">
        <v>583</v>
      </c>
      <c r="F615" s="1">
        <v>0.0</v>
      </c>
      <c r="G615" s="1">
        <v>38.0</v>
      </c>
      <c r="H615" s="1">
        <v>0.0</v>
      </c>
      <c r="I615" s="1">
        <v>62.53</v>
      </c>
    </row>
    <row r="616">
      <c r="A616" s="2" t="s">
        <v>1604</v>
      </c>
      <c r="B616" s="1">
        <v>200.0</v>
      </c>
      <c r="C616" s="1" t="s">
        <v>1605</v>
      </c>
      <c r="D616" s="1" t="s">
        <v>583</v>
      </c>
      <c r="F616" s="1">
        <v>0.0</v>
      </c>
      <c r="G616" s="1">
        <v>55.0</v>
      </c>
      <c r="H616" s="1">
        <v>0.0</v>
      </c>
      <c r="I616" s="1">
        <v>12.24</v>
      </c>
    </row>
    <row r="617">
      <c r="A617" s="2" t="s">
        <v>1606</v>
      </c>
      <c r="B617" s="1">
        <v>200.0</v>
      </c>
      <c r="C617" s="1" t="s">
        <v>1607</v>
      </c>
      <c r="D617" s="1" t="s">
        <v>583</v>
      </c>
      <c r="F617" s="1">
        <v>0.0</v>
      </c>
      <c r="G617" s="1">
        <v>122.0</v>
      </c>
      <c r="H617" s="1">
        <v>0.0</v>
      </c>
      <c r="I617" s="1">
        <v>13.66</v>
      </c>
    </row>
    <row r="618">
      <c r="A618" s="2" t="s">
        <v>1608</v>
      </c>
      <c r="B618" s="1">
        <v>200.0</v>
      </c>
      <c r="C618" s="1" t="s">
        <v>1609</v>
      </c>
      <c r="D618" s="1" t="s">
        <v>583</v>
      </c>
      <c r="F618" s="1">
        <v>0.0</v>
      </c>
      <c r="G618" s="1">
        <v>49.0</v>
      </c>
      <c r="H618" s="1">
        <v>0.0</v>
      </c>
      <c r="I618" s="1">
        <v>1.18</v>
      </c>
    </row>
    <row r="619">
      <c r="A619" s="2" t="s">
        <v>1610</v>
      </c>
      <c r="B619" s="1">
        <v>200.0</v>
      </c>
      <c r="C619" s="1" t="s">
        <v>1611</v>
      </c>
      <c r="D619" s="1" t="s">
        <v>583</v>
      </c>
      <c r="F619" s="1">
        <v>0.0</v>
      </c>
      <c r="G619" s="1">
        <v>34.0</v>
      </c>
      <c r="H619" s="1">
        <v>0.0</v>
      </c>
      <c r="I619" s="1">
        <v>14.85</v>
      </c>
    </row>
    <row r="620">
      <c r="A620" s="2" t="s">
        <v>1612</v>
      </c>
      <c r="B620" s="1">
        <v>200.0</v>
      </c>
      <c r="C620" s="1" t="s">
        <v>900</v>
      </c>
      <c r="D620" s="1" t="s">
        <v>609</v>
      </c>
      <c r="E620" s="1" t="s">
        <v>631</v>
      </c>
    </row>
    <row r="621">
      <c r="A621" s="2" t="s">
        <v>1613</v>
      </c>
      <c r="B621" s="1">
        <v>200.0</v>
      </c>
      <c r="C621" s="1" t="s">
        <v>1614</v>
      </c>
      <c r="D621" s="1" t="s">
        <v>583</v>
      </c>
      <c r="F621" s="1">
        <v>0.0</v>
      </c>
      <c r="G621" s="1">
        <v>31.0</v>
      </c>
      <c r="H621" s="1">
        <v>0.0</v>
      </c>
      <c r="I621" s="1">
        <v>27.9</v>
      </c>
    </row>
    <row r="622">
      <c r="A622" s="2" t="s">
        <v>1615</v>
      </c>
      <c r="B622" s="1">
        <v>301.0</v>
      </c>
      <c r="D622" s="1" t="s">
        <v>609</v>
      </c>
      <c r="E622" s="1" t="s">
        <v>610</v>
      </c>
    </row>
    <row r="623">
      <c r="A623" s="2" t="s">
        <v>1616</v>
      </c>
      <c r="B623" s="1">
        <v>200.0</v>
      </c>
      <c r="C623" s="1" t="s">
        <v>1617</v>
      </c>
      <c r="D623" s="1" t="s">
        <v>583</v>
      </c>
      <c r="F623" s="1">
        <v>0.0</v>
      </c>
      <c r="G623" s="1">
        <v>44.0</v>
      </c>
      <c r="H623" s="1">
        <v>0.0</v>
      </c>
      <c r="I623" s="1">
        <v>8.09</v>
      </c>
    </row>
    <row r="624">
      <c r="A624" s="2" t="s">
        <v>1618</v>
      </c>
      <c r="B624" s="1">
        <v>301.0</v>
      </c>
      <c r="D624" s="1" t="s">
        <v>609</v>
      </c>
      <c r="E624" s="1" t="s">
        <v>610</v>
      </c>
    </row>
    <row r="625">
      <c r="A625" s="2" t="s">
        <v>1619</v>
      </c>
      <c r="B625" s="1">
        <v>200.0</v>
      </c>
      <c r="C625" s="1" t="s">
        <v>1620</v>
      </c>
      <c r="D625" s="1" t="s">
        <v>583</v>
      </c>
      <c r="F625" s="1">
        <v>26.0</v>
      </c>
      <c r="G625" s="1">
        <v>3854.0</v>
      </c>
      <c r="H625" s="1">
        <v>0.007</v>
      </c>
      <c r="I625" s="1">
        <v>1.88</v>
      </c>
    </row>
    <row r="626">
      <c r="A626" s="2" t="s">
        <v>1621</v>
      </c>
      <c r="B626" s="1">
        <v>200.0</v>
      </c>
      <c r="C626" s="1" t="s">
        <v>1622</v>
      </c>
      <c r="D626" s="1" t="s">
        <v>583</v>
      </c>
    </row>
    <row r="627">
      <c r="A627" s="2" t="s">
        <v>1623</v>
      </c>
      <c r="B627" s="1">
        <v>200.0</v>
      </c>
      <c r="C627" s="1" t="s">
        <v>1624</v>
      </c>
      <c r="D627" s="1" t="s">
        <v>583</v>
      </c>
      <c r="F627" s="1">
        <v>0.0</v>
      </c>
      <c r="G627" s="1">
        <v>3.0</v>
      </c>
      <c r="H627" s="1">
        <v>0.0</v>
      </c>
      <c r="I627" s="1">
        <v>1.0</v>
      </c>
    </row>
    <row r="628">
      <c r="A628" s="2" t="s">
        <v>1625</v>
      </c>
      <c r="B628" s="1">
        <v>301.0</v>
      </c>
      <c r="D628" s="1" t="s">
        <v>609</v>
      </c>
      <c r="E628" s="1" t="s">
        <v>610</v>
      </c>
    </row>
    <row r="629">
      <c r="A629" s="2" t="s">
        <v>1626</v>
      </c>
      <c r="B629" s="1">
        <v>200.0</v>
      </c>
      <c r="C629" s="1" t="s">
        <v>1627</v>
      </c>
      <c r="D629" s="1" t="s">
        <v>583</v>
      </c>
      <c r="F629" s="1">
        <v>0.0</v>
      </c>
      <c r="G629" s="1">
        <v>66.0</v>
      </c>
      <c r="H629" s="1">
        <v>0.0</v>
      </c>
      <c r="I629" s="1">
        <v>40.36</v>
      </c>
    </row>
    <row r="630">
      <c r="A630" s="2" t="s">
        <v>1628</v>
      </c>
      <c r="B630" s="1">
        <v>200.0</v>
      </c>
      <c r="C630" s="1" t="s">
        <v>1629</v>
      </c>
      <c r="D630" s="1" t="s">
        <v>583</v>
      </c>
      <c r="F630" s="1">
        <v>1.0</v>
      </c>
      <c r="G630" s="1">
        <v>9.0</v>
      </c>
      <c r="H630" s="1">
        <v>0.111</v>
      </c>
      <c r="I630" s="1">
        <v>7.89</v>
      </c>
    </row>
    <row r="631">
      <c r="A631" s="2" t="s">
        <v>1630</v>
      </c>
      <c r="B631" s="1">
        <v>200.0</v>
      </c>
      <c r="C631" s="1" t="s">
        <v>1631</v>
      </c>
      <c r="D631" s="1" t="s">
        <v>583</v>
      </c>
      <c r="F631" s="1">
        <v>0.0</v>
      </c>
      <c r="G631" s="1">
        <v>1.0</v>
      </c>
      <c r="H631" s="1">
        <v>0.0</v>
      </c>
      <c r="I631" s="1">
        <v>11.0</v>
      </c>
    </row>
    <row r="632">
      <c r="A632" s="2" t="s">
        <v>1632</v>
      </c>
      <c r="B632" s="1">
        <v>301.0</v>
      </c>
      <c r="D632" s="1" t="s">
        <v>609</v>
      </c>
      <c r="E632" s="1" t="s">
        <v>610</v>
      </c>
    </row>
    <row r="633">
      <c r="A633" s="2" t="s">
        <v>1633</v>
      </c>
      <c r="B633" s="1">
        <v>200.0</v>
      </c>
      <c r="C633" s="1" t="s">
        <v>689</v>
      </c>
      <c r="D633" s="1" t="s">
        <v>609</v>
      </c>
      <c r="E633" s="1" t="s">
        <v>631</v>
      </c>
    </row>
    <row r="634">
      <c r="A634" s="2" t="s">
        <v>1634</v>
      </c>
      <c r="B634" s="1">
        <v>301.0</v>
      </c>
      <c r="D634" s="1" t="s">
        <v>609</v>
      </c>
      <c r="E634" s="1" t="s">
        <v>610</v>
      </c>
    </row>
    <row r="635">
      <c r="A635" s="2" t="s">
        <v>1635</v>
      </c>
      <c r="B635" s="1">
        <v>301.0</v>
      </c>
      <c r="D635" s="1" t="s">
        <v>609</v>
      </c>
      <c r="E635" s="1" t="s">
        <v>610</v>
      </c>
    </row>
    <row r="636">
      <c r="A636" s="2" t="s">
        <v>1636</v>
      </c>
      <c r="B636" s="1">
        <v>200.0</v>
      </c>
      <c r="C636" s="1" t="s">
        <v>1637</v>
      </c>
      <c r="D636" s="1" t="s">
        <v>583</v>
      </c>
    </row>
    <row r="637">
      <c r="A637" s="2" t="s">
        <v>1638</v>
      </c>
      <c r="B637" s="1">
        <v>200.0</v>
      </c>
      <c r="C637" s="1" t="s">
        <v>1639</v>
      </c>
      <c r="D637" s="1" t="s">
        <v>583</v>
      </c>
      <c r="F637" s="1">
        <v>0.0</v>
      </c>
      <c r="G637" s="1">
        <v>60.0</v>
      </c>
      <c r="H637" s="1">
        <v>0.0</v>
      </c>
      <c r="I637" s="1">
        <v>46.5</v>
      </c>
    </row>
    <row r="638">
      <c r="A638" s="2" t="s">
        <v>1640</v>
      </c>
      <c r="B638" s="1">
        <v>200.0</v>
      </c>
      <c r="C638" s="1" t="s">
        <v>1641</v>
      </c>
      <c r="D638" s="1" t="s">
        <v>583</v>
      </c>
      <c r="F638" s="1">
        <v>1.0</v>
      </c>
      <c r="G638" s="1">
        <v>425.0</v>
      </c>
      <c r="H638" s="1">
        <v>0.002</v>
      </c>
      <c r="I638" s="1">
        <v>2.92</v>
      </c>
    </row>
    <row r="639">
      <c r="A639" s="2" t="s">
        <v>1642</v>
      </c>
      <c r="B639" s="1">
        <v>200.0</v>
      </c>
      <c r="C639" s="1" t="s">
        <v>1643</v>
      </c>
      <c r="D639" s="1" t="s">
        <v>583</v>
      </c>
      <c r="F639" s="1">
        <v>0.0</v>
      </c>
      <c r="G639" s="1">
        <v>80.0</v>
      </c>
      <c r="H639" s="1">
        <v>0.0</v>
      </c>
      <c r="I639" s="1">
        <v>7.95</v>
      </c>
    </row>
    <row r="640">
      <c r="A640" s="2" t="s">
        <v>1644</v>
      </c>
      <c r="B640" s="1">
        <v>200.0</v>
      </c>
      <c r="C640" s="1" t="s">
        <v>1645</v>
      </c>
      <c r="D640" s="1" t="s">
        <v>583</v>
      </c>
      <c r="F640" s="1">
        <v>0.0</v>
      </c>
      <c r="G640" s="1">
        <v>98.0</v>
      </c>
      <c r="H640" s="1">
        <v>0.0</v>
      </c>
      <c r="I640" s="1">
        <v>66.33</v>
      </c>
    </row>
    <row r="641">
      <c r="A641" s="2" t="s">
        <v>1646</v>
      </c>
      <c r="B641" s="1">
        <v>200.0</v>
      </c>
      <c r="C641" s="1" t="s">
        <v>1647</v>
      </c>
      <c r="D641" s="1" t="s">
        <v>583</v>
      </c>
      <c r="F641" s="1">
        <v>0.0</v>
      </c>
      <c r="G641" s="1">
        <v>3.0</v>
      </c>
      <c r="H641" s="1">
        <v>0.0</v>
      </c>
      <c r="I641" s="1">
        <v>11.67</v>
      </c>
    </row>
    <row r="642">
      <c r="A642" s="2" t="s">
        <v>1648</v>
      </c>
      <c r="B642" s="1">
        <v>200.0</v>
      </c>
      <c r="C642" s="1" t="s">
        <v>1649</v>
      </c>
      <c r="D642" s="1" t="s">
        <v>583</v>
      </c>
      <c r="F642" s="1">
        <v>0.0</v>
      </c>
      <c r="G642" s="1">
        <v>203.0</v>
      </c>
      <c r="H642" s="1">
        <v>0.0</v>
      </c>
      <c r="I642" s="1">
        <v>40.25</v>
      </c>
    </row>
    <row r="643">
      <c r="A643" s="2" t="s">
        <v>1650</v>
      </c>
      <c r="B643" s="1">
        <v>200.0</v>
      </c>
      <c r="C643" s="1" t="s">
        <v>1651</v>
      </c>
      <c r="D643" s="1" t="s">
        <v>583</v>
      </c>
      <c r="F643" s="1">
        <v>1.0</v>
      </c>
      <c r="G643" s="1">
        <v>569.0</v>
      </c>
      <c r="H643" s="1">
        <v>0.002</v>
      </c>
      <c r="I643" s="1">
        <v>31.18</v>
      </c>
    </row>
    <row r="644">
      <c r="A644" s="2" t="s">
        <v>1652</v>
      </c>
      <c r="B644" s="1">
        <v>200.0</v>
      </c>
      <c r="C644" s="1" t="s">
        <v>1653</v>
      </c>
      <c r="D644" s="1" t="s">
        <v>609</v>
      </c>
      <c r="E644" s="1" t="s">
        <v>631</v>
      </c>
    </row>
    <row r="645">
      <c r="A645" s="2" t="s">
        <v>1654</v>
      </c>
      <c r="B645" s="1">
        <v>200.0</v>
      </c>
      <c r="C645" s="1" t="s">
        <v>1655</v>
      </c>
      <c r="D645" s="1" t="s">
        <v>583</v>
      </c>
      <c r="F645" s="1">
        <v>0.0</v>
      </c>
      <c r="G645" s="1">
        <v>64.0</v>
      </c>
      <c r="H645" s="1">
        <v>0.0</v>
      </c>
      <c r="I645" s="1">
        <v>16.16</v>
      </c>
    </row>
    <row r="646">
      <c r="A646" s="2" t="s">
        <v>1656</v>
      </c>
      <c r="B646" s="1">
        <v>200.0</v>
      </c>
      <c r="C646" s="1" t="s">
        <v>625</v>
      </c>
      <c r="D646" s="1" t="s">
        <v>583</v>
      </c>
    </row>
    <row r="647">
      <c r="A647" s="2" t="s">
        <v>1657</v>
      </c>
      <c r="B647" s="1">
        <v>200.0</v>
      </c>
      <c r="C647" s="1" t="s">
        <v>1658</v>
      </c>
      <c r="D647" s="1" t="s">
        <v>583</v>
      </c>
    </row>
    <row r="648">
      <c r="A648" s="2" t="s">
        <v>1659</v>
      </c>
      <c r="B648" s="1">
        <v>200.0</v>
      </c>
      <c r="C648" s="1" t="s">
        <v>898</v>
      </c>
      <c r="D648" s="1" t="s">
        <v>609</v>
      </c>
      <c r="E648" s="1" t="s">
        <v>631</v>
      </c>
    </row>
    <row r="649">
      <c r="A649" s="2" t="s">
        <v>1660</v>
      </c>
      <c r="B649" s="1">
        <v>200.0</v>
      </c>
      <c r="C649" s="1" t="s">
        <v>1661</v>
      </c>
      <c r="D649" s="1" t="s">
        <v>583</v>
      </c>
      <c r="F649" s="1">
        <v>3.0</v>
      </c>
      <c r="G649" s="1">
        <v>8.0</v>
      </c>
      <c r="H649" s="1">
        <v>0.375</v>
      </c>
      <c r="I649" s="1">
        <v>3.75</v>
      </c>
    </row>
    <row r="650">
      <c r="A650" s="2" t="s">
        <v>1662</v>
      </c>
      <c r="B650" s="1">
        <v>200.0</v>
      </c>
      <c r="C650" s="1" t="s">
        <v>853</v>
      </c>
      <c r="D650" s="1" t="s">
        <v>609</v>
      </c>
      <c r="E650" s="1" t="s">
        <v>631</v>
      </c>
    </row>
    <row r="651">
      <c r="A651" s="2" t="s">
        <v>1663</v>
      </c>
      <c r="B651" s="1">
        <v>200.0</v>
      </c>
      <c r="C651" s="1" t="s">
        <v>1664</v>
      </c>
      <c r="D651" s="1" t="s">
        <v>609</v>
      </c>
      <c r="E651" s="1" t="s">
        <v>631</v>
      </c>
    </row>
    <row r="652">
      <c r="A652" s="2" t="s">
        <v>1665</v>
      </c>
      <c r="B652" s="1">
        <v>200.0</v>
      </c>
      <c r="C652" s="1" t="s">
        <v>1666</v>
      </c>
      <c r="D652" s="1" t="s">
        <v>583</v>
      </c>
      <c r="F652" s="1">
        <v>0.0</v>
      </c>
      <c r="G652" s="1">
        <v>69.0</v>
      </c>
      <c r="H652" s="1">
        <v>0.0</v>
      </c>
      <c r="I652" s="1">
        <v>41.67</v>
      </c>
    </row>
    <row r="653">
      <c r="A653" s="2" t="s">
        <v>1667</v>
      </c>
      <c r="B653" s="1">
        <v>200.0</v>
      </c>
      <c r="C653" s="1" t="s">
        <v>1668</v>
      </c>
      <c r="D653" s="1" t="s">
        <v>583</v>
      </c>
      <c r="F653" s="1">
        <v>2.0</v>
      </c>
      <c r="G653" s="1">
        <v>783.0</v>
      </c>
      <c r="H653" s="1">
        <v>0.003</v>
      </c>
      <c r="I653" s="1">
        <v>16.75</v>
      </c>
    </row>
    <row r="654">
      <c r="A654" s="2" t="s">
        <v>1669</v>
      </c>
      <c r="B654" s="1">
        <v>200.0</v>
      </c>
      <c r="C654" s="1" t="s">
        <v>1670</v>
      </c>
      <c r="D654" s="1" t="s">
        <v>583</v>
      </c>
      <c r="F654" s="1">
        <v>2.0</v>
      </c>
      <c r="G654" s="1">
        <v>301.0</v>
      </c>
      <c r="H654" s="1">
        <v>0.007</v>
      </c>
      <c r="I654" s="1">
        <v>7.51</v>
      </c>
    </row>
    <row r="655">
      <c r="A655" s="2" t="s">
        <v>1671</v>
      </c>
      <c r="B655" s="1">
        <v>200.0</v>
      </c>
      <c r="C655" s="1" t="s">
        <v>1672</v>
      </c>
      <c r="D655" s="1" t="s">
        <v>583</v>
      </c>
      <c r="F655" s="1">
        <v>0.0</v>
      </c>
      <c r="G655" s="1">
        <v>15.0</v>
      </c>
      <c r="H655" s="1">
        <v>0.0</v>
      </c>
      <c r="I655" s="1">
        <v>8.8</v>
      </c>
    </row>
    <row r="656">
      <c r="A656" s="2" t="s">
        <v>1673</v>
      </c>
      <c r="B656" s="1">
        <v>200.0</v>
      </c>
      <c r="C656" s="1" t="s">
        <v>582</v>
      </c>
      <c r="D656" s="1" t="s">
        <v>583</v>
      </c>
      <c r="F656" s="1">
        <v>0.0</v>
      </c>
      <c r="G656" s="1">
        <v>1.0</v>
      </c>
      <c r="H656" s="1">
        <v>0.0</v>
      </c>
      <c r="I656" s="1">
        <v>3.0</v>
      </c>
    </row>
    <row r="657">
      <c r="A657" s="2" t="s">
        <v>1674</v>
      </c>
      <c r="B657" s="1">
        <v>200.0</v>
      </c>
      <c r="C657" s="1" t="s">
        <v>1675</v>
      </c>
      <c r="D657" s="1" t="s">
        <v>583</v>
      </c>
    </row>
    <row r="658">
      <c r="A658" s="2" t="s">
        <v>1676</v>
      </c>
      <c r="B658" s="1">
        <v>200.0</v>
      </c>
      <c r="C658" s="1" t="s">
        <v>1677</v>
      </c>
      <c r="D658" s="1" t="s">
        <v>583</v>
      </c>
    </row>
    <row r="659">
      <c r="A659" s="2" t="s">
        <v>1678</v>
      </c>
      <c r="B659" s="1">
        <v>200.0</v>
      </c>
      <c r="C659" s="1" t="s">
        <v>1679</v>
      </c>
      <c r="D659" s="1" t="s">
        <v>583</v>
      </c>
    </row>
    <row r="660">
      <c r="A660" s="2" t="s">
        <v>1680</v>
      </c>
      <c r="B660" s="1">
        <v>200.0</v>
      </c>
      <c r="C660" s="1" t="s">
        <v>1681</v>
      </c>
      <c r="D660" s="1" t="s">
        <v>583</v>
      </c>
    </row>
    <row r="661">
      <c r="A661" s="2" t="s">
        <v>1682</v>
      </c>
      <c r="B661" s="1">
        <v>200.0</v>
      </c>
      <c r="C661" s="1" t="s">
        <v>1683</v>
      </c>
      <c r="D661" s="1" t="s">
        <v>583</v>
      </c>
    </row>
    <row r="662">
      <c r="A662" s="2" t="s">
        <v>1684</v>
      </c>
      <c r="B662" s="1">
        <v>200.0</v>
      </c>
      <c r="C662" s="1" t="s">
        <v>846</v>
      </c>
      <c r="D662" s="1" t="s">
        <v>609</v>
      </c>
      <c r="E662" s="1" t="s">
        <v>631</v>
      </c>
    </row>
    <row r="663">
      <c r="A663" s="2" t="s">
        <v>1685</v>
      </c>
      <c r="B663" s="1">
        <v>200.0</v>
      </c>
      <c r="C663" s="1" t="s">
        <v>1686</v>
      </c>
      <c r="D663" s="1" t="s">
        <v>583</v>
      </c>
      <c r="F663" s="1">
        <v>52.0</v>
      </c>
      <c r="G663" s="1">
        <v>6812.0</v>
      </c>
      <c r="H663" s="1">
        <v>0.008</v>
      </c>
      <c r="I663" s="1">
        <v>6.75</v>
      </c>
    </row>
    <row r="664">
      <c r="A664" s="2" t="s">
        <v>1687</v>
      </c>
      <c r="B664" s="1">
        <v>200.0</v>
      </c>
      <c r="C664" s="1" t="s">
        <v>1688</v>
      </c>
      <c r="D664" s="1" t="s">
        <v>583</v>
      </c>
    </row>
    <row r="665">
      <c r="A665" s="2" t="s">
        <v>1689</v>
      </c>
      <c r="B665" s="1">
        <v>200.0</v>
      </c>
      <c r="C665" s="1" t="s">
        <v>1690</v>
      </c>
      <c r="D665" s="1" t="s">
        <v>583</v>
      </c>
      <c r="F665" s="1">
        <v>0.0</v>
      </c>
      <c r="G665" s="1">
        <v>80.0</v>
      </c>
      <c r="H665" s="1">
        <v>0.0</v>
      </c>
      <c r="I665" s="1">
        <v>48.5</v>
      </c>
    </row>
    <row r="666">
      <c r="A666" s="2" t="s">
        <v>1691</v>
      </c>
      <c r="B666" s="1">
        <v>200.0</v>
      </c>
      <c r="C666" s="1" t="s">
        <v>1692</v>
      </c>
      <c r="D666" s="1" t="s">
        <v>583</v>
      </c>
      <c r="F666" s="1">
        <v>0.0</v>
      </c>
      <c r="G666" s="1">
        <v>564.0</v>
      </c>
      <c r="H666" s="1">
        <v>0.0</v>
      </c>
      <c r="I666" s="1">
        <v>30.2</v>
      </c>
    </row>
    <row r="667">
      <c r="A667" s="2" t="s">
        <v>1693</v>
      </c>
      <c r="B667" s="1">
        <v>200.0</v>
      </c>
      <c r="C667" s="1" t="s">
        <v>1694</v>
      </c>
      <c r="D667" s="1" t="s">
        <v>583</v>
      </c>
    </row>
    <row r="668">
      <c r="A668" s="2" t="s">
        <v>1695</v>
      </c>
      <c r="B668" s="1">
        <v>200.0</v>
      </c>
      <c r="C668" s="1" t="s">
        <v>1696</v>
      </c>
      <c r="D668" s="1" t="s">
        <v>583</v>
      </c>
      <c r="F668" s="1">
        <v>0.0</v>
      </c>
      <c r="G668" s="1">
        <v>163.0</v>
      </c>
      <c r="H668" s="1">
        <v>0.0</v>
      </c>
      <c r="I668" s="1">
        <v>43.61</v>
      </c>
    </row>
    <row r="669">
      <c r="A669" s="2" t="s">
        <v>1697</v>
      </c>
      <c r="B669" s="1">
        <v>200.0</v>
      </c>
      <c r="C669" s="1" t="s">
        <v>1220</v>
      </c>
      <c r="D669" s="1" t="s">
        <v>609</v>
      </c>
      <c r="E669" s="1" t="s">
        <v>631</v>
      </c>
    </row>
    <row r="670">
      <c r="A670" s="2" t="s">
        <v>1698</v>
      </c>
      <c r="B670" s="1">
        <v>200.0</v>
      </c>
      <c r="C670" s="1" t="s">
        <v>1699</v>
      </c>
      <c r="D670" s="1" t="s">
        <v>583</v>
      </c>
    </row>
    <row r="671">
      <c r="A671" s="2" t="s">
        <v>1700</v>
      </c>
      <c r="B671" s="1">
        <v>200.0</v>
      </c>
      <c r="C671" s="1" t="s">
        <v>1701</v>
      </c>
      <c r="D671" s="1" t="s">
        <v>583</v>
      </c>
      <c r="F671" s="1">
        <v>0.0</v>
      </c>
      <c r="G671" s="1">
        <v>50.0</v>
      </c>
      <c r="H671" s="1">
        <v>0.0</v>
      </c>
      <c r="I671" s="1">
        <v>18.1</v>
      </c>
    </row>
    <row r="672">
      <c r="A672" s="2" t="s">
        <v>1702</v>
      </c>
      <c r="B672" s="1">
        <v>200.0</v>
      </c>
      <c r="C672" s="1" t="s">
        <v>1703</v>
      </c>
      <c r="D672" s="1" t="s">
        <v>583</v>
      </c>
      <c r="F672" s="1">
        <v>0.0</v>
      </c>
      <c r="G672" s="1">
        <v>181.0</v>
      </c>
      <c r="H672" s="1">
        <v>0.0</v>
      </c>
      <c r="I672" s="1">
        <v>55.71</v>
      </c>
    </row>
    <row r="673">
      <c r="A673" s="2" t="s">
        <v>1704</v>
      </c>
      <c r="B673" s="1">
        <v>200.0</v>
      </c>
      <c r="C673" s="1" t="s">
        <v>1705</v>
      </c>
      <c r="D673" s="1" t="s">
        <v>583</v>
      </c>
      <c r="F673" s="1">
        <v>1.0</v>
      </c>
      <c r="G673" s="1">
        <v>324.0</v>
      </c>
      <c r="H673" s="1">
        <v>0.003</v>
      </c>
      <c r="I673" s="1">
        <v>51.49</v>
      </c>
    </row>
    <row r="674">
      <c r="A674" s="2" t="s">
        <v>1706</v>
      </c>
      <c r="B674" s="1">
        <v>200.0</v>
      </c>
      <c r="C674" s="1" t="s">
        <v>1216</v>
      </c>
      <c r="D674" s="1" t="s">
        <v>609</v>
      </c>
      <c r="E674" s="1" t="s">
        <v>631</v>
      </c>
    </row>
    <row r="675">
      <c r="A675" s="2" t="s">
        <v>1707</v>
      </c>
      <c r="B675" s="1">
        <v>200.0</v>
      </c>
      <c r="C675" s="1" t="s">
        <v>1480</v>
      </c>
      <c r="D675" s="1" t="s">
        <v>609</v>
      </c>
      <c r="E675" s="1" t="s">
        <v>631</v>
      </c>
    </row>
    <row r="676">
      <c r="A676" s="2" t="s">
        <v>1708</v>
      </c>
      <c r="B676" s="1">
        <v>200.0</v>
      </c>
      <c r="C676" s="1" t="s">
        <v>1709</v>
      </c>
      <c r="D676" s="1" t="s">
        <v>583</v>
      </c>
      <c r="F676" s="1">
        <v>0.0</v>
      </c>
      <c r="G676" s="1">
        <v>387.0</v>
      </c>
      <c r="H676" s="1">
        <v>0.0</v>
      </c>
      <c r="I676" s="1">
        <v>71.02</v>
      </c>
    </row>
    <row r="677">
      <c r="A677" s="2" t="s">
        <v>1710</v>
      </c>
      <c r="B677" s="1">
        <v>200.0</v>
      </c>
      <c r="C677" s="1" t="s">
        <v>1208</v>
      </c>
      <c r="D677" s="1" t="s">
        <v>609</v>
      </c>
      <c r="E677" s="1" t="s">
        <v>631</v>
      </c>
    </row>
    <row r="678">
      <c r="A678" s="2" t="s">
        <v>1711</v>
      </c>
      <c r="B678" s="1">
        <v>200.0</v>
      </c>
      <c r="C678" s="1" t="s">
        <v>1712</v>
      </c>
      <c r="D678" s="1" t="s">
        <v>609</v>
      </c>
      <c r="E678" s="1" t="s">
        <v>631</v>
      </c>
    </row>
    <row r="679">
      <c r="A679" s="2" t="s">
        <v>1713</v>
      </c>
      <c r="B679" s="1">
        <v>200.0</v>
      </c>
      <c r="C679" s="1" t="s">
        <v>1714</v>
      </c>
      <c r="D679" s="1" t="s">
        <v>583</v>
      </c>
      <c r="F679" s="1">
        <v>0.0</v>
      </c>
      <c r="G679" s="1">
        <v>502.0</v>
      </c>
      <c r="H679" s="1">
        <v>0.0</v>
      </c>
      <c r="I679" s="1">
        <v>42.06</v>
      </c>
    </row>
    <row r="680">
      <c r="A680" s="2" t="s">
        <v>1715</v>
      </c>
      <c r="B680" s="1">
        <v>200.0</v>
      </c>
      <c r="C680" s="1" t="s">
        <v>1716</v>
      </c>
      <c r="D680" s="1" t="s">
        <v>583</v>
      </c>
      <c r="F680" s="1">
        <v>0.0</v>
      </c>
      <c r="G680" s="1">
        <v>153.0</v>
      </c>
      <c r="H680" s="1">
        <v>0.0</v>
      </c>
      <c r="I680" s="1">
        <v>53.55</v>
      </c>
    </row>
    <row r="681">
      <c r="A681" s="2" t="s">
        <v>1717</v>
      </c>
      <c r="B681" s="1">
        <v>200.0</v>
      </c>
      <c r="C681" s="1" t="s">
        <v>1718</v>
      </c>
      <c r="D681" s="1" t="s">
        <v>583</v>
      </c>
    </row>
    <row r="682">
      <c r="A682" s="2" t="s">
        <v>1719</v>
      </c>
      <c r="B682" s="1">
        <v>200.0</v>
      </c>
      <c r="C682" s="1" t="s">
        <v>1720</v>
      </c>
      <c r="D682" s="1" t="s">
        <v>583</v>
      </c>
      <c r="F682" s="1">
        <v>0.0</v>
      </c>
      <c r="G682" s="1">
        <v>327.0</v>
      </c>
      <c r="H682" s="1">
        <v>0.0</v>
      </c>
      <c r="I682" s="1">
        <v>36.12</v>
      </c>
    </row>
    <row r="683">
      <c r="A683" s="2" t="s">
        <v>1721</v>
      </c>
      <c r="B683" s="1">
        <v>301.0</v>
      </c>
      <c r="D683" s="1" t="s">
        <v>609</v>
      </c>
      <c r="E683" s="1" t="s">
        <v>610</v>
      </c>
    </row>
    <row r="684">
      <c r="A684" s="2" t="s">
        <v>1722</v>
      </c>
      <c r="B684" s="1">
        <v>301.0</v>
      </c>
      <c r="D684" s="1" t="s">
        <v>609</v>
      </c>
      <c r="E684" s="1" t="s">
        <v>610</v>
      </c>
    </row>
    <row r="685">
      <c r="A685" s="2" t="s">
        <v>1723</v>
      </c>
      <c r="B685" s="1">
        <v>301.0</v>
      </c>
      <c r="D685" s="1" t="s">
        <v>609</v>
      </c>
      <c r="E685" s="1" t="s">
        <v>610</v>
      </c>
    </row>
    <row r="686">
      <c r="A686" s="2" t="s">
        <v>1724</v>
      </c>
      <c r="B686" s="1">
        <v>200.0</v>
      </c>
      <c r="C686" s="1" t="s">
        <v>1315</v>
      </c>
      <c r="D686" s="1" t="s">
        <v>583</v>
      </c>
      <c r="F686" s="1">
        <v>3.0</v>
      </c>
      <c r="G686" s="1">
        <v>279.0</v>
      </c>
      <c r="H686" s="1">
        <v>0.011</v>
      </c>
      <c r="I686" s="1">
        <v>22.96</v>
      </c>
    </row>
    <row r="687">
      <c r="A687" s="2" t="s">
        <v>1725</v>
      </c>
      <c r="B687" s="1">
        <v>301.0</v>
      </c>
      <c r="D687" s="1" t="s">
        <v>609</v>
      </c>
      <c r="E687" s="1" t="s">
        <v>610</v>
      </c>
    </row>
    <row r="688">
      <c r="A688" s="2" t="s">
        <v>1726</v>
      </c>
      <c r="B688" s="1">
        <v>301.0</v>
      </c>
      <c r="D688" s="1" t="s">
        <v>609</v>
      </c>
      <c r="E688" s="1" t="s">
        <v>610</v>
      </c>
    </row>
    <row r="689">
      <c r="A689" s="2" t="s">
        <v>1727</v>
      </c>
      <c r="B689" s="1">
        <v>301.0</v>
      </c>
      <c r="D689" s="1" t="s">
        <v>609</v>
      </c>
      <c r="E689" s="1" t="s">
        <v>610</v>
      </c>
    </row>
    <row r="690">
      <c r="A690" s="2" t="s">
        <v>1728</v>
      </c>
      <c r="B690" s="1">
        <v>301.0</v>
      </c>
      <c r="D690" s="1" t="s">
        <v>609</v>
      </c>
      <c r="E690" s="1" t="s">
        <v>610</v>
      </c>
    </row>
    <row r="691">
      <c r="A691" s="2" t="s">
        <v>1729</v>
      </c>
      <c r="B691" s="1">
        <v>301.0</v>
      </c>
      <c r="D691" s="1" t="s">
        <v>609</v>
      </c>
      <c r="E691" s="1" t="s">
        <v>610</v>
      </c>
    </row>
    <row r="692">
      <c r="A692" s="2" t="s">
        <v>1730</v>
      </c>
      <c r="B692" s="1">
        <v>301.0</v>
      </c>
      <c r="D692" s="1" t="s">
        <v>609</v>
      </c>
      <c r="E692" s="1" t="s">
        <v>610</v>
      </c>
      <c r="F692" s="1">
        <v>0.0</v>
      </c>
      <c r="G692" s="1">
        <v>153.0</v>
      </c>
      <c r="H692" s="1">
        <v>0.0</v>
      </c>
      <c r="I692" s="1">
        <v>53.55</v>
      </c>
    </row>
    <row r="693">
      <c r="A693" s="2" t="s">
        <v>1731</v>
      </c>
      <c r="B693" s="1">
        <v>200.0</v>
      </c>
      <c r="C693" s="1" t="s">
        <v>1732</v>
      </c>
      <c r="D693" s="1" t="s">
        <v>583</v>
      </c>
      <c r="F693" s="1">
        <v>0.0</v>
      </c>
      <c r="G693" s="1">
        <v>322.0</v>
      </c>
      <c r="H693" s="1">
        <v>0.0</v>
      </c>
      <c r="I693" s="1">
        <v>45.88</v>
      </c>
    </row>
    <row r="694">
      <c r="A694" s="2" t="s">
        <v>1733</v>
      </c>
      <c r="B694" s="1">
        <v>200.0</v>
      </c>
      <c r="C694" s="1" t="s">
        <v>1712</v>
      </c>
      <c r="D694" s="1" t="s">
        <v>583</v>
      </c>
      <c r="F694" s="1">
        <v>0.0</v>
      </c>
      <c r="G694" s="1">
        <v>121.0</v>
      </c>
      <c r="H694" s="1">
        <v>0.0</v>
      </c>
      <c r="I694" s="1">
        <v>24.46</v>
      </c>
    </row>
    <row r="695">
      <c r="A695" s="2" t="s">
        <v>1734</v>
      </c>
      <c r="B695" s="1">
        <v>301.0</v>
      </c>
      <c r="D695" s="1" t="s">
        <v>609</v>
      </c>
      <c r="E695" s="1" t="s">
        <v>610</v>
      </c>
    </row>
    <row r="696">
      <c r="A696" s="2" t="s">
        <v>1735</v>
      </c>
      <c r="B696" s="1">
        <v>301.0</v>
      </c>
      <c r="D696" s="1" t="s">
        <v>609</v>
      </c>
      <c r="E696" s="1" t="s">
        <v>610</v>
      </c>
      <c r="F696" s="1">
        <v>0.0</v>
      </c>
      <c r="G696" s="1">
        <v>564.0</v>
      </c>
      <c r="H696" s="1">
        <v>0.0</v>
      </c>
      <c r="I696" s="1">
        <v>30.2</v>
      </c>
    </row>
    <row r="697">
      <c r="A697" s="2" t="s">
        <v>1736</v>
      </c>
      <c r="B697" s="1">
        <v>200.0</v>
      </c>
      <c r="C697" s="1" t="s">
        <v>1737</v>
      </c>
      <c r="D697" s="1" t="s">
        <v>583</v>
      </c>
    </row>
    <row r="698">
      <c r="A698" s="2" t="s">
        <v>1738</v>
      </c>
      <c r="B698" s="1">
        <v>200.0</v>
      </c>
      <c r="C698" s="1" t="s">
        <v>1739</v>
      </c>
      <c r="D698" s="1" t="s">
        <v>583</v>
      </c>
      <c r="F698" s="1">
        <v>0.0</v>
      </c>
      <c r="G698" s="1">
        <v>2.0</v>
      </c>
      <c r="H698" s="1">
        <v>0.0</v>
      </c>
      <c r="I698" s="1">
        <v>5.0</v>
      </c>
    </row>
    <row r="699">
      <c r="A699" s="2" t="s">
        <v>1740</v>
      </c>
      <c r="B699" s="1">
        <v>200.0</v>
      </c>
      <c r="C699" s="1" t="s">
        <v>1741</v>
      </c>
      <c r="D699" s="1" t="s">
        <v>583</v>
      </c>
      <c r="F699" s="1">
        <v>1.0</v>
      </c>
      <c r="G699" s="1">
        <v>10.0</v>
      </c>
      <c r="H699" s="1">
        <v>0.1</v>
      </c>
      <c r="I699" s="1">
        <v>13.0</v>
      </c>
    </row>
    <row r="700">
      <c r="A700" s="2" t="s">
        <v>1742</v>
      </c>
      <c r="B700" s="1">
        <v>200.0</v>
      </c>
      <c r="C700" s="1" t="s">
        <v>1743</v>
      </c>
      <c r="D700" s="1" t="s">
        <v>583</v>
      </c>
      <c r="F700" s="1">
        <v>0.0</v>
      </c>
      <c r="G700" s="1">
        <v>36.0</v>
      </c>
      <c r="H700" s="1">
        <v>0.0</v>
      </c>
      <c r="I700" s="1">
        <v>83.56</v>
      </c>
    </row>
    <row r="701">
      <c r="A701" s="2" t="s">
        <v>1744</v>
      </c>
      <c r="B701" s="1">
        <v>200.0</v>
      </c>
      <c r="C701" s="1" t="s">
        <v>846</v>
      </c>
      <c r="D701" s="1" t="s">
        <v>609</v>
      </c>
      <c r="E701" s="1" t="s">
        <v>631</v>
      </c>
    </row>
    <row r="702">
      <c r="A702" s="2" t="s">
        <v>1745</v>
      </c>
      <c r="B702" s="1">
        <v>200.0</v>
      </c>
      <c r="C702" s="1" t="s">
        <v>1746</v>
      </c>
      <c r="D702" s="1" t="s">
        <v>583</v>
      </c>
      <c r="F702" s="1">
        <v>2.0</v>
      </c>
      <c r="G702" s="1">
        <v>48.0</v>
      </c>
      <c r="H702" s="1">
        <v>0.042</v>
      </c>
      <c r="I702" s="1">
        <v>13.88</v>
      </c>
    </row>
    <row r="703">
      <c r="A703" s="2" t="s">
        <v>1747</v>
      </c>
      <c r="B703" s="1">
        <v>200.0</v>
      </c>
      <c r="C703" s="1" t="s">
        <v>582</v>
      </c>
      <c r="D703" s="1" t="s">
        <v>583</v>
      </c>
      <c r="F703" s="1">
        <v>0.0</v>
      </c>
      <c r="G703" s="1">
        <v>4.0</v>
      </c>
      <c r="H703" s="1">
        <v>0.0</v>
      </c>
      <c r="I703" s="1">
        <v>5.5</v>
      </c>
    </row>
    <row r="704">
      <c r="A704" s="2" t="s">
        <v>1748</v>
      </c>
      <c r="B704" s="1">
        <v>200.0</v>
      </c>
      <c r="C704" s="1" t="s">
        <v>1749</v>
      </c>
      <c r="D704" s="1" t="s">
        <v>583</v>
      </c>
      <c r="F704" s="1">
        <v>15.0</v>
      </c>
      <c r="G704" s="1">
        <v>337.0</v>
      </c>
      <c r="H704" s="1">
        <v>0.044</v>
      </c>
      <c r="I704" s="1">
        <v>3.61</v>
      </c>
    </row>
    <row r="705">
      <c r="A705" s="2" t="s">
        <v>1750</v>
      </c>
      <c r="B705" s="1">
        <v>200.0</v>
      </c>
      <c r="C705" s="1" t="s">
        <v>1751</v>
      </c>
      <c r="D705" s="1" t="s">
        <v>583</v>
      </c>
      <c r="F705" s="1">
        <v>0.0</v>
      </c>
      <c r="G705" s="1">
        <v>348.0</v>
      </c>
      <c r="H705" s="1">
        <v>0.0</v>
      </c>
      <c r="I705" s="1">
        <v>6.97</v>
      </c>
    </row>
    <row r="706">
      <c r="A706" s="2" t="s">
        <v>1752</v>
      </c>
      <c r="B706" s="1">
        <v>200.0</v>
      </c>
      <c r="C706" s="1" t="s">
        <v>1753</v>
      </c>
      <c r="D706" s="1" t="s">
        <v>583</v>
      </c>
    </row>
    <row r="707">
      <c r="A707" s="2" t="s">
        <v>1754</v>
      </c>
      <c r="B707" s="1">
        <v>200.0</v>
      </c>
      <c r="C707" s="1" t="s">
        <v>1755</v>
      </c>
      <c r="D707" s="1" t="s">
        <v>583</v>
      </c>
      <c r="F707" s="1">
        <v>0.0</v>
      </c>
      <c r="G707" s="1">
        <v>1.0</v>
      </c>
      <c r="H707" s="1">
        <v>0.0</v>
      </c>
      <c r="I707" s="1">
        <v>7.0</v>
      </c>
    </row>
    <row r="708">
      <c r="A708" s="2" t="s">
        <v>1756</v>
      </c>
      <c r="B708" s="1">
        <v>200.0</v>
      </c>
      <c r="C708" s="1" t="s">
        <v>1757</v>
      </c>
      <c r="D708" s="1" t="s">
        <v>583</v>
      </c>
      <c r="F708" s="1">
        <v>0.0</v>
      </c>
      <c r="G708" s="1">
        <v>2.0</v>
      </c>
      <c r="H708" s="1">
        <v>0.0</v>
      </c>
      <c r="I708" s="1">
        <v>37.0</v>
      </c>
    </row>
    <row r="709">
      <c r="A709" s="2" t="s">
        <v>1758</v>
      </c>
      <c r="B709" s="1">
        <v>200.0</v>
      </c>
      <c r="C709" s="1" t="s">
        <v>1759</v>
      </c>
      <c r="D709" s="1" t="s">
        <v>583</v>
      </c>
      <c r="F709" s="1">
        <v>0.0</v>
      </c>
      <c r="G709" s="1">
        <v>13.0</v>
      </c>
      <c r="H709" s="1">
        <v>0.0</v>
      </c>
      <c r="I709" s="1">
        <v>13.46</v>
      </c>
    </row>
    <row r="710">
      <c r="A710" s="2" t="s">
        <v>1760</v>
      </c>
      <c r="B710" s="1">
        <v>200.0</v>
      </c>
      <c r="C710" s="1" t="s">
        <v>1761</v>
      </c>
      <c r="D710" s="1" t="s">
        <v>583</v>
      </c>
      <c r="F710" s="1">
        <v>0.0</v>
      </c>
      <c r="G710" s="1">
        <v>64.0</v>
      </c>
      <c r="H710" s="1">
        <v>0.0</v>
      </c>
      <c r="I710" s="1">
        <v>16.09</v>
      </c>
    </row>
    <row r="711">
      <c r="A711" s="2" t="s">
        <v>1762</v>
      </c>
      <c r="B711" s="1">
        <v>200.0</v>
      </c>
      <c r="C711" s="1" t="s">
        <v>1319</v>
      </c>
      <c r="D711" s="1" t="s">
        <v>609</v>
      </c>
      <c r="E711" s="1" t="s">
        <v>631</v>
      </c>
    </row>
    <row r="712">
      <c r="A712" s="2" t="s">
        <v>1763</v>
      </c>
      <c r="B712" s="1">
        <v>301.0</v>
      </c>
      <c r="D712" s="1" t="s">
        <v>609</v>
      </c>
      <c r="E712" s="1" t="s">
        <v>610</v>
      </c>
    </row>
    <row r="713">
      <c r="A713" s="2" t="s">
        <v>1764</v>
      </c>
      <c r="B713" s="1">
        <v>301.0</v>
      </c>
      <c r="D713" s="1" t="s">
        <v>609</v>
      </c>
      <c r="E713" s="1" t="s">
        <v>610</v>
      </c>
    </row>
    <row r="714">
      <c r="A714" s="2" t="s">
        <v>1765</v>
      </c>
      <c r="B714" s="1">
        <v>200.0</v>
      </c>
      <c r="C714" s="1" t="s">
        <v>1653</v>
      </c>
      <c r="D714" s="1" t="s">
        <v>583</v>
      </c>
      <c r="F714" s="1">
        <v>0.0</v>
      </c>
      <c r="G714" s="1">
        <v>75.0</v>
      </c>
      <c r="H714" s="1">
        <v>0.0</v>
      </c>
      <c r="I714" s="1">
        <v>34.56</v>
      </c>
    </row>
    <row r="715">
      <c r="A715" s="2" t="s">
        <v>1766</v>
      </c>
      <c r="B715" s="1">
        <v>301.0</v>
      </c>
      <c r="D715" s="1" t="s">
        <v>609</v>
      </c>
      <c r="E715" s="1" t="s">
        <v>610</v>
      </c>
      <c r="F715" s="1">
        <v>0.0</v>
      </c>
      <c r="G715" s="1">
        <v>2425.0</v>
      </c>
      <c r="H715" s="1">
        <v>0.0</v>
      </c>
      <c r="I715" s="1">
        <v>35.92</v>
      </c>
    </row>
    <row r="716">
      <c r="A716" s="2" t="s">
        <v>1767</v>
      </c>
      <c r="B716" s="1">
        <v>301.0</v>
      </c>
      <c r="D716" s="1" t="s">
        <v>609</v>
      </c>
      <c r="E716" s="1" t="s">
        <v>610</v>
      </c>
    </row>
    <row r="717">
      <c r="A717" s="2" t="s">
        <v>1768</v>
      </c>
      <c r="B717" s="1">
        <v>301.0</v>
      </c>
      <c r="D717" s="1" t="s">
        <v>609</v>
      </c>
      <c r="E717" s="1" t="s">
        <v>610</v>
      </c>
    </row>
    <row r="718">
      <c r="A718" s="2" t="s">
        <v>1769</v>
      </c>
      <c r="B718" s="1">
        <v>200.0</v>
      </c>
      <c r="C718" s="1" t="s">
        <v>1770</v>
      </c>
      <c r="D718" s="1" t="s">
        <v>583</v>
      </c>
    </row>
    <row r="719">
      <c r="A719" s="2" t="s">
        <v>1771</v>
      </c>
      <c r="B719" s="1">
        <v>200.0</v>
      </c>
      <c r="C719" s="1" t="s">
        <v>1772</v>
      </c>
      <c r="D719" s="1" t="s">
        <v>583</v>
      </c>
      <c r="F719" s="1">
        <v>0.0</v>
      </c>
      <c r="G719" s="1">
        <v>150.0</v>
      </c>
      <c r="H719" s="1">
        <v>0.0</v>
      </c>
      <c r="I719" s="1">
        <v>41.53</v>
      </c>
    </row>
    <row r="720">
      <c r="A720" s="2" t="s">
        <v>1773</v>
      </c>
      <c r="B720" s="1">
        <v>301.0</v>
      </c>
      <c r="D720" s="1" t="s">
        <v>609</v>
      </c>
      <c r="E720" s="1" t="s">
        <v>610</v>
      </c>
    </row>
    <row r="721">
      <c r="A721" s="2" t="s">
        <v>1774</v>
      </c>
      <c r="B721" s="1">
        <v>301.0</v>
      </c>
      <c r="D721" s="1" t="s">
        <v>609</v>
      </c>
      <c r="E721" s="1" t="s">
        <v>610</v>
      </c>
    </row>
    <row r="722">
      <c r="A722" s="2" t="s">
        <v>1775</v>
      </c>
      <c r="B722" s="1">
        <v>200.0</v>
      </c>
      <c r="C722" s="1" t="s">
        <v>1776</v>
      </c>
      <c r="D722" s="1" t="s">
        <v>583</v>
      </c>
      <c r="F722" s="1">
        <v>0.0</v>
      </c>
      <c r="G722" s="1">
        <v>17.0</v>
      </c>
      <c r="H722" s="1">
        <v>0.0</v>
      </c>
      <c r="I722" s="1">
        <v>8.59</v>
      </c>
    </row>
    <row r="723">
      <c r="A723" s="2" t="s">
        <v>1777</v>
      </c>
      <c r="B723" s="1">
        <v>200.0</v>
      </c>
      <c r="C723" s="1" t="s">
        <v>1778</v>
      </c>
      <c r="D723" s="1" t="s">
        <v>583</v>
      </c>
      <c r="F723" s="1">
        <v>1.0</v>
      </c>
      <c r="G723" s="1">
        <v>14.0</v>
      </c>
      <c r="H723" s="1">
        <v>0.071</v>
      </c>
      <c r="I723" s="1">
        <v>54.93</v>
      </c>
    </row>
    <row r="724">
      <c r="A724" s="2" t="s">
        <v>1779</v>
      </c>
      <c r="B724" s="1">
        <v>200.0</v>
      </c>
      <c r="C724" s="1" t="s">
        <v>1780</v>
      </c>
      <c r="D724" s="1" t="s">
        <v>583</v>
      </c>
      <c r="F724" s="1">
        <v>6.0</v>
      </c>
      <c r="G724" s="1">
        <v>72.0</v>
      </c>
      <c r="H724" s="1">
        <v>0.083</v>
      </c>
      <c r="I724" s="1">
        <v>9.21</v>
      </c>
    </row>
    <row r="725">
      <c r="A725" s="2" t="s">
        <v>1781</v>
      </c>
      <c r="B725" s="1">
        <v>200.0</v>
      </c>
      <c r="C725" s="1" t="s">
        <v>1782</v>
      </c>
      <c r="D725" s="1" t="s">
        <v>583</v>
      </c>
      <c r="F725" s="1">
        <v>0.0</v>
      </c>
      <c r="G725" s="1">
        <v>13.0</v>
      </c>
      <c r="H725" s="1">
        <v>0.0</v>
      </c>
      <c r="I725" s="1">
        <v>11.92</v>
      </c>
    </row>
    <row r="726">
      <c r="A726" s="2" t="s">
        <v>1783</v>
      </c>
      <c r="B726" s="1">
        <v>200.0</v>
      </c>
      <c r="C726" s="1" t="s">
        <v>1784</v>
      </c>
      <c r="D726" s="1" t="s">
        <v>583</v>
      </c>
      <c r="F726" s="1">
        <v>14.0</v>
      </c>
      <c r="G726" s="1">
        <v>320.0</v>
      </c>
      <c r="H726" s="1">
        <v>0.044</v>
      </c>
      <c r="I726" s="1">
        <v>10.2</v>
      </c>
    </row>
    <row r="727">
      <c r="A727" s="2" t="s">
        <v>1785</v>
      </c>
      <c r="B727" s="1">
        <v>200.0</v>
      </c>
      <c r="C727" s="1" t="s">
        <v>1786</v>
      </c>
      <c r="D727" s="1" t="s">
        <v>583</v>
      </c>
      <c r="F727" s="1">
        <v>0.0</v>
      </c>
      <c r="G727" s="1">
        <v>3.0</v>
      </c>
      <c r="H727" s="1">
        <v>0.0</v>
      </c>
      <c r="I727" s="1">
        <v>7.67</v>
      </c>
    </row>
    <row r="728">
      <c r="A728" s="2" t="s">
        <v>1787</v>
      </c>
      <c r="B728" s="1">
        <v>200.0</v>
      </c>
      <c r="C728" s="1" t="s">
        <v>1788</v>
      </c>
      <c r="D728" s="1" t="s">
        <v>583</v>
      </c>
      <c r="F728" s="1">
        <v>0.0</v>
      </c>
      <c r="G728" s="1">
        <v>37.0</v>
      </c>
      <c r="H728" s="1">
        <v>0.0</v>
      </c>
      <c r="I728" s="1">
        <v>10.11</v>
      </c>
    </row>
    <row r="729">
      <c r="A729" s="2" t="s">
        <v>1789</v>
      </c>
      <c r="B729" s="1">
        <v>200.0</v>
      </c>
      <c r="C729" s="1" t="s">
        <v>1790</v>
      </c>
      <c r="D729" s="1" t="s">
        <v>583</v>
      </c>
      <c r="F729" s="1">
        <v>0.0</v>
      </c>
      <c r="G729" s="1">
        <v>49.0</v>
      </c>
      <c r="H729" s="1">
        <v>0.0</v>
      </c>
      <c r="I729" s="1">
        <v>29.59</v>
      </c>
    </row>
    <row r="730">
      <c r="A730" s="2" t="s">
        <v>1791</v>
      </c>
      <c r="B730" s="1">
        <v>200.0</v>
      </c>
      <c r="C730" s="1" t="s">
        <v>1792</v>
      </c>
      <c r="D730" s="1" t="s">
        <v>583</v>
      </c>
    </row>
    <row r="731">
      <c r="A731" s="2" t="s">
        <v>1793</v>
      </c>
      <c r="B731" s="1">
        <v>200.0</v>
      </c>
      <c r="C731" s="1" t="s">
        <v>1794</v>
      </c>
      <c r="D731" s="1" t="s">
        <v>583</v>
      </c>
    </row>
    <row r="732">
      <c r="A732" s="2" t="s">
        <v>1795</v>
      </c>
      <c r="B732" s="1">
        <v>200.0</v>
      </c>
      <c r="C732" s="1" t="s">
        <v>1796</v>
      </c>
      <c r="D732" s="1" t="s">
        <v>583</v>
      </c>
      <c r="F732" s="1">
        <v>0.0</v>
      </c>
      <c r="G732" s="1">
        <v>2.0</v>
      </c>
      <c r="H732" s="1">
        <v>0.0</v>
      </c>
      <c r="I732" s="1">
        <v>13.0</v>
      </c>
    </row>
    <row r="733">
      <c r="A733" s="2" t="s">
        <v>1797</v>
      </c>
      <c r="B733" s="1">
        <v>200.0</v>
      </c>
      <c r="C733" s="1" t="s">
        <v>1798</v>
      </c>
      <c r="D733" s="1" t="s">
        <v>583</v>
      </c>
      <c r="F733" s="1">
        <v>0.0</v>
      </c>
      <c r="G733" s="1">
        <v>6.0</v>
      </c>
      <c r="H733" s="1">
        <v>0.0</v>
      </c>
      <c r="I733" s="1">
        <v>6.17</v>
      </c>
    </row>
    <row r="734">
      <c r="A734" s="2" t="s">
        <v>1799</v>
      </c>
      <c r="B734" s="1">
        <v>200.0</v>
      </c>
      <c r="C734" s="1" t="s">
        <v>1144</v>
      </c>
      <c r="D734" s="1" t="s">
        <v>609</v>
      </c>
      <c r="E734" s="1" t="s">
        <v>631</v>
      </c>
    </row>
    <row r="735">
      <c r="A735" s="2" t="s">
        <v>487</v>
      </c>
      <c r="B735" s="1">
        <v>200.0</v>
      </c>
      <c r="C735" s="1" t="s">
        <v>1800</v>
      </c>
      <c r="D735" s="1" t="s">
        <v>583</v>
      </c>
      <c r="F735" s="1">
        <v>2.0</v>
      </c>
      <c r="G735" s="1">
        <v>127.0</v>
      </c>
      <c r="H735" s="1">
        <v>0.016</v>
      </c>
      <c r="I735" s="1">
        <v>26.88</v>
      </c>
    </row>
    <row r="736">
      <c r="A736" s="2" t="s">
        <v>1801</v>
      </c>
      <c r="B736" s="1">
        <v>200.0</v>
      </c>
      <c r="C736" s="1" t="s">
        <v>1802</v>
      </c>
      <c r="D736" s="1" t="s">
        <v>609</v>
      </c>
      <c r="E736" s="1" t="s">
        <v>631</v>
      </c>
    </row>
    <row r="737">
      <c r="A737" s="2" t="s">
        <v>1803</v>
      </c>
      <c r="B737" s="1">
        <v>200.0</v>
      </c>
      <c r="C737" s="1" t="s">
        <v>1804</v>
      </c>
      <c r="D737" s="1" t="s">
        <v>583</v>
      </c>
      <c r="F737" s="1">
        <v>0.0</v>
      </c>
      <c r="G737" s="1">
        <v>82.0</v>
      </c>
      <c r="H737" s="1">
        <v>0.0</v>
      </c>
      <c r="I737" s="1">
        <v>5.66</v>
      </c>
    </row>
    <row r="738">
      <c r="A738" s="2" t="s">
        <v>1805</v>
      </c>
      <c r="B738" s="1">
        <v>200.0</v>
      </c>
      <c r="C738" s="1" t="s">
        <v>1806</v>
      </c>
      <c r="D738" s="1" t="s">
        <v>583</v>
      </c>
      <c r="F738" s="1">
        <v>1.0</v>
      </c>
      <c r="G738" s="1">
        <v>311.0</v>
      </c>
      <c r="H738" s="1">
        <v>0.003</v>
      </c>
      <c r="I738" s="1">
        <v>11.57</v>
      </c>
    </row>
    <row r="739">
      <c r="A739" s="2" t="s">
        <v>1807</v>
      </c>
      <c r="B739" s="1">
        <v>200.0</v>
      </c>
      <c r="C739" s="1" t="s">
        <v>1808</v>
      </c>
      <c r="D739" s="1" t="s">
        <v>583</v>
      </c>
    </row>
    <row r="740">
      <c r="A740" s="2" t="s">
        <v>1809</v>
      </c>
      <c r="B740" s="1">
        <v>200.0</v>
      </c>
      <c r="C740" s="1" t="s">
        <v>1810</v>
      </c>
      <c r="D740" s="1" t="s">
        <v>583</v>
      </c>
      <c r="F740" s="1">
        <v>0.0</v>
      </c>
      <c r="G740" s="1">
        <v>4.0</v>
      </c>
      <c r="H740" s="1">
        <v>0.0</v>
      </c>
      <c r="I740" s="1">
        <v>19.75</v>
      </c>
    </row>
    <row r="741">
      <c r="A741" s="2" t="s">
        <v>1811</v>
      </c>
      <c r="B741" s="1">
        <v>200.0</v>
      </c>
      <c r="C741" s="1" t="s">
        <v>1812</v>
      </c>
      <c r="D741" s="1" t="s">
        <v>583</v>
      </c>
    </row>
    <row r="742">
      <c r="A742" s="2" t="s">
        <v>1813</v>
      </c>
      <c r="B742" s="1">
        <v>200.0</v>
      </c>
      <c r="C742" s="1" t="s">
        <v>1814</v>
      </c>
      <c r="D742" s="1" t="s">
        <v>583</v>
      </c>
    </row>
    <row r="743">
      <c r="A743" s="2" t="s">
        <v>1815</v>
      </c>
      <c r="B743" s="1">
        <v>200.0</v>
      </c>
      <c r="C743" s="1" t="s">
        <v>1816</v>
      </c>
      <c r="D743" s="1" t="s">
        <v>583</v>
      </c>
      <c r="F743" s="1">
        <v>0.0</v>
      </c>
      <c r="G743" s="1">
        <v>19.0</v>
      </c>
      <c r="H743" s="1">
        <v>0.0</v>
      </c>
      <c r="I743" s="1">
        <v>7.53</v>
      </c>
    </row>
    <row r="744">
      <c r="A744" s="2" t="s">
        <v>1817</v>
      </c>
      <c r="B744" s="1">
        <v>200.0</v>
      </c>
      <c r="C744" s="1" t="s">
        <v>1818</v>
      </c>
      <c r="D744" s="1" t="s">
        <v>583</v>
      </c>
      <c r="F744" s="1">
        <v>0.0</v>
      </c>
      <c r="G744" s="1">
        <v>1338.0</v>
      </c>
      <c r="H744" s="1">
        <v>0.0</v>
      </c>
      <c r="I744" s="1">
        <v>5.85</v>
      </c>
    </row>
    <row r="745">
      <c r="A745" s="2" t="s">
        <v>1819</v>
      </c>
      <c r="B745" s="1">
        <v>200.0</v>
      </c>
      <c r="C745" s="1" t="s">
        <v>1820</v>
      </c>
      <c r="D745" s="1" t="s">
        <v>583</v>
      </c>
      <c r="F745" s="1">
        <v>0.0</v>
      </c>
      <c r="G745" s="1">
        <v>1.0</v>
      </c>
      <c r="H745" s="1">
        <v>0.0</v>
      </c>
      <c r="I745" s="1">
        <v>4.0</v>
      </c>
    </row>
    <row r="746">
      <c r="A746" s="2" t="s">
        <v>1821</v>
      </c>
      <c r="B746" s="1">
        <v>200.0</v>
      </c>
      <c r="C746" s="1" t="s">
        <v>1822</v>
      </c>
      <c r="D746" s="1" t="s">
        <v>583</v>
      </c>
      <c r="F746" s="1">
        <v>7.0</v>
      </c>
      <c r="G746" s="1">
        <v>244.0</v>
      </c>
      <c r="H746" s="1">
        <v>0.029</v>
      </c>
      <c r="I746" s="1">
        <v>6.64</v>
      </c>
    </row>
    <row r="747">
      <c r="A747" s="2" t="s">
        <v>1823</v>
      </c>
      <c r="B747" s="1">
        <v>200.0</v>
      </c>
      <c r="C747" s="1" t="s">
        <v>1824</v>
      </c>
      <c r="D747" s="1" t="s">
        <v>583</v>
      </c>
      <c r="F747" s="1">
        <v>0.0</v>
      </c>
      <c r="G747" s="1">
        <v>29.0</v>
      </c>
      <c r="H747" s="1">
        <v>0.0</v>
      </c>
      <c r="I747" s="1">
        <v>9.62</v>
      </c>
    </row>
    <row r="748">
      <c r="A748" s="2" t="s">
        <v>1825</v>
      </c>
      <c r="B748" s="1">
        <v>200.0</v>
      </c>
      <c r="C748" s="1" t="s">
        <v>1826</v>
      </c>
      <c r="D748" s="1" t="s">
        <v>583</v>
      </c>
      <c r="F748" s="1">
        <v>0.0</v>
      </c>
      <c r="G748" s="1">
        <v>285.0</v>
      </c>
      <c r="H748" s="1">
        <v>0.0</v>
      </c>
      <c r="I748" s="1">
        <v>57.2</v>
      </c>
    </row>
    <row r="749">
      <c r="A749" s="2" t="s">
        <v>1827</v>
      </c>
      <c r="B749" s="1">
        <v>200.0</v>
      </c>
      <c r="C749" s="1" t="s">
        <v>1828</v>
      </c>
      <c r="D749" s="1" t="s">
        <v>583</v>
      </c>
    </row>
    <row r="750">
      <c r="A750" s="2" t="s">
        <v>1829</v>
      </c>
      <c r="B750" s="1">
        <v>200.0</v>
      </c>
      <c r="C750" s="1" t="s">
        <v>1830</v>
      </c>
      <c r="D750" s="1" t="s">
        <v>583</v>
      </c>
    </row>
    <row r="751">
      <c r="A751" s="2" t="s">
        <v>1831</v>
      </c>
      <c r="B751" s="1">
        <v>200.0</v>
      </c>
      <c r="C751" s="1" t="s">
        <v>1832</v>
      </c>
      <c r="D751" s="1" t="s">
        <v>583</v>
      </c>
    </row>
    <row r="752">
      <c r="A752" s="2" t="s">
        <v>1833</v>
      </c>
      <c r="B752" s="1">
        <v>200.0</v>
      </c>
      <c r="C752" s="1" t="s">
        <v>1834</v>
      </c>
      <c r="D752" s="1" t="s">
        <v>583</v>
      </c>
    </row>
    <row r="753">
      <c r="A753" s="2" t="s">
        <v>1835</v>
      </c>
      <c r="B753" s="1">
        <v>200.0</v>
      </c>
      <c r="C753" s="1" t="s">
        <v>1836</v>
      </c>
      <c r="D753" s="1" t="s">
        <v>583</v>
      </c>
      <c r="F753" s="1">
        <v>0.0</v>
      </c>
      <c r="G753" s="1">
        <v>18.0</v>
      </c>
      <c r="H753" s="1">
        <v>0.0</v>
      </c>
      <c r="I753" s="1">
        <v>15.11</v>
      </c>
    </row>
    <row r="754">
      <c r="A754" s="2" t="s">
        <v>1837</v>
      </c>
      <c r="B754" s="1">
        <v>200.0</v>
      </c>
      <c r="C754" s="1" t="s">
        <v>1838</v>
      </c>
      <c r="D754" s="1" t="s">
        <v>583</v>
      </c>
      <c r="F754" s="1">
        <v>0.0</v>
      </c>
      <c r="G754" s="1">
        <v>28.0</v>
      </c>
      <c r="H754" s="1">
        <v>0.0</v>
      </c>
      <c r="I754" s="1">
        <v>9.07</v>
      </c>
    </row>
    <row r="755">
      <c r="A755" s="2" t="s">
        <v>1839</v>
      </c>
      <c r="B755" s="1">
        <v>200.0</v>
      </c>
      <c r="C755" s="1" t="s">
        <v>1840</v>
      </c>
      <c r="D755" s="1" t="s">
        <v>583</v>
      </c>
      <c r="F755" s="1">
        <v>0.0</v>
      </c>
      <c r="G755" s="1">
        <v>141.0</v>
      </c>
      <c r="H755" s="1">
        <v>0.0</v>
      </c>
      <c r="I755" s="1">
        <v>77.01</v>
      </c>
    </row>
    <row r="756">
      <c r="A756" s="2" t="s">
        <v>1841</v>
      </c>
      <c r="B756" s="1">
        <v>200.0</v>
      </c>
      <c r="C756" s="1" t="s">
        <v>1842</v>
      </c>
      <c r="D756" s="1" t="s">
        <v>583</v>
      </c>
      <c r="F756" s="1">
        <v>0.0</v>
      </c>
      <c r="G756" s="1">
        <v>3.0</v>
      </c>
      <c r="H756" s="1">
        <v>0.0</v>
      </c>
      <c r="I756" s="1">
        <v>4.33</v>
      </c>
    </row>
    <row r="757">
      <c r="A757" s="2" t="s">
        <v>1843</v>
      </c>
      <c r="B757" s="1">
        <v>200.0</v>
      </c>
      <c r="C757" s="1" t="s">
        <v>1844</v>
      </c>
      <c r="D757" s="1" t="s">
        <v>583</v>
      </c>
      <c r="F757" s="1">
        <v>1.0</v>
      </c>
      <c r="G757" s="1">
        <v>441.0</v>
      </c>
      <c r="H757" s="1">
        <v>0.002</v>
      </c>
      <c r="I757" s="1">
        <v>5.39</v>
      </c>
    </row>
    <row r="758">
      <c r="A758" s="2" t="s">
        <v>1845</v>
      </c>
      <c r="B758" s="1">
        <v>200.0</v>
      </c>
      <c r="C758" s="1" t="s">
        <v>1846</v>
      </c>
      <c r="D758" s="1" t="s">
        <v>583</v>
      </c>
    </row>
    <row r="759">
      <c r="A759" s="2" t="s">
        <v>1847</v>
      </c>
      <c r="B759" s="1">
        <v>200.0</v>
      </c>
      <c r="C759" s="1" t="s">
        <v>1848</v>
      </c>
      <c r="D759" s="1" t="s">
        <v>583</v>
      </c>
      <c r="F759" s="1">
        <v>0.0</v>
      </c>
      <c r="G759" s="1">
        <v>1.0</v>
      </c>
      <c r="H759" s="1">
        <v>0.0</v>
      </c>
      <c r="I759" s="1">
        <v>30.0</v>
      </c>
    </row>
    <row r="760">
      <c r="A760" s="2" t="s">
        <v>1849</v>
      </c>
      <c r="B760" s="1">
        <v>200.0</v>
      </c>
      <c r="C760" s="1" t="s">
        <v>1850</v>
      </c>
      <c r="D760" s="1" t="s">
        <v>583</v>
      </c>
      <c r="F760" s="1">
        <v>0.0</v>
      </c>
      <c r="G760" s="1">
        <v>1.0</v>
      </c>
      <c r="H760" s="1">
        <v>0.0</v>
      </c>
      <c r="I760" s="1">
        <v>8.0</v>
      </c>
    </row>
    <row r="761">
      <c r="A761" s="2" t="s">
        <v>1851</v>
      </c>
      <c r="B761" s="1">
        <v>200.0</v>
      </c>
      <c r="C761" s="1" t="s">
        <v>1852</v>
      </c>
      <c r="D761" s="1" t="s">
        <v>583</v>
      </c>
      <c r="F761" s="1">
        <v>0.0</v>
      </c>
      <c r="G761" s="1">
        <v>7.0</v>
      </c>
      <c r="H761" s="1">
        <v>0.0</v>
      </c>
      <c r="I761" s="1">
        <v>9.29</v>
      </c>
    </row>
    <row r="762">
      <c r="A762" s="2" t="s">
        <v>1853</v>
      </c>
      <c r="B762" s="1">
        <v>200.0</v>
      </c>
      <c r="C762" s="1" t="s">
        <v>1854</v>
      </c>
      <c r="D762" s="1" t="s">
        <v>583</v>
      </c>
      <c r="F762" s="1">
        <v>1.0</v>
      </c>
      <c r="G762" s="1">
        <v>123.0</v>
      </c>
      <c r="H762" s="1">
        <v>0.008</v>
      </c>
      <c r="I762" s="1">
        <v>5.97</v>
      </c>
    </row>
    <row r="763">
      <c r="A763" s="2" t="s">
        <v>1855</v>
      </c>
      <c r="B763" s="1">
        <v>200.0</v>
      </c>
      <c r="C763" s="1" t="s">
        <v>1856</v>
      </c>
      <c r="D763" s="1" t="s">
        <v>583</v>
      </c>
      <c r="F763" s="1">
        <v>0.0</v>
      </c>
      <c r="G763" s="1">
        <v>3.0</v>
      </c>
      <c r="H763" s="1">
        <v>0.0</v>
      </c>
      <c r="I763" s="1">
        <v>33.33</v>
      </c>
    </row>
    <row r="764">
      <c r="A764" s="2" t="s">
        <v>1857</v>
      </c>
      <c r="B764" s="1">
        <v>200.0</v>
      </c>
      <c r="C764" s="1" t="s">
        <v>1858</v>
      </c>
      <c r="D764" s="1" t="s">
        <v>583</v>
      </c>
      <c r="F764" s="1">
        <v>0.0</v>
      </c>
      <c r="G764" s="1">
        <v>103.0</v>
      </c>
      <c r="H764" s="1">
        <v>0.0</v>
      </c>
      <c r="I764" s="1">
        <v>61.49</v>
      </c>
    </row>
    <row r="765">
      <c r="A765" s="2" t="s">
        <v>1859</v>
      </c>
      <c r="B765" s="1">
        <v>200.0</v>
      </c>
      <c r="C765" s="1" t="s">
        <v>1664</v>
      </c>
      <c r="D765" s="1" t="s">
        <v>583</v>
      </c>
      <c r="F765" s="1">
        <v>0.0</v>
      </c>
      <c r="G765" s="1">
        <v>2.0</v>
      </c>
      <c r="H765" s="1">
        <v>0.0</v>
      </c>
      <c r="I765" s="1">
        <v>2.5</v>
      </c>
    </row>
    <row r="766">
      <c r="A766" s="2" t="s">
        <v>1860</v>
      </c>
      <c r="B766" s="1">
        <v>200.0</v>
      </c>
      <c r="C766" s="1" t="s">
        <v>1861</v>
      </c>
      <c r="D766" s="1" t="s">
        <v>583</v>
      </c>
      <c r="F766" s="1">
        <v>8.0</v>
      </c>
      <c r="G766" s="1">
        <v>910.0</v>
      </c>
      <c r="H766" s="1">
        <v>0.009</v>
      </c>
      <c r="I766" s="1">
        <v>21.78</v>
      </c>
    </row>
    <row r="767">
      <c r="A767" s="2" t="s">
        <v>1862</v>
      </c>
      <c r="B767" s="1">
        <v>301.0</v>
      </c>
      <c r="D767" s="1" t="s">
        <v>609</v>
      </c>
      <c r="E767" s="1" t="s">
        <v>610</v>
      </c>
    </row>
    <row r="768">
      <c r="A768" s="2" t="s">
        <v>1863</v>
      </c>
      <c r="B768" s="1">
        <v>301.0</v>
      </c>
      <c r="D768" s="1" t="s">
        <v>609</v>
      </c>
      <c r="E768" s="1" t="s">
        <v>610</v>
      </c>
    </row>
    <row r="769">
      <c r="A769" s="2" t="s">
        <v>1864</v>
      </c>
      <c r="B769" s="1">
        <v>200.0</v>
      </c>
      <c r="C769" s="1" t="s">
        <v>1865</v>
      </c>
      <c r="D769" s="1" t="s">
        <v>583</v>
      </c>
      <c r="F769" s="1">
        <v>0.0</v>
      </c>
      <c r="G769" s="1">
        <v>12.0</v>
      </c>
      <c r="H769" s="1">
        <v>0.0</v>
      </c>
      <c r="I769" s="1">
        <v>14.42</v>
      </c>
    </row>
    <row r="770">
      <c r="A770" s="2" t="s">
        <v>1866</v>
      </c>
      <c r="B770" s="1">
        <v>200.0</v>
      </c>
      <c r="C770" s="1" t="s">
        <v>1867</v>
      </c>
      <c r="D770" s="1" t="s">
        <v>583</v>
      </c>
      <c r="F770" s="1">
        <v>0.0</v>
      </c>
      <c r="G770" s="1">
        <v>20.0</v>
      </c>
      <c r="H770" s="1">
        <v>0.0</v>
      </c>
      <c r="I770" s="1">
        <v>15.0</v>
      </c>
    </row>
    <row r="771">
      <c r="A771" s="2" t="s">
        <v>1868</v>
      </c>
      <c r="B771" s="1">
        <v>200.0</v>
      </c>
      <c r="C771" s="1" t="s">
        <v>1869</v>
      </c>
      <c r="D771" s="1" t="s">
        <v>583</v>
      </c>
      <c r="F771" s="1">
        <v>130.0</v>
      </c>
      <c r="G771" s="1">
        <v>18803.0</v>
      </c>
      <c r="H771" s="1">
        <v>0.007</v>
      </c>
      <c r="I771" s="1">
        <v>5.56</v>
      </c>
    </row>
    <row r="772">
      <c r="A772" s="2" t="s">
        <v>1870</v>
      </c>
      <c r="B772" s="1">
        <v>200.0</v>
      </c>
      <c r="C772" s="1" t="s">
        <v>1871</v>
      </c>
      <c r="D772" s="1" t="s">
        <v>583</v>
      </c>
      <c r="F772" s="1">
        <v>0.0</v>
      </c>
      <c r="G772" s="1">
        <v>444.0</v>
      </c>
      <c r="H772" s="1">
        <v>0.0</v>
      </c>
      <c r="I772" s="1">
        <v>64.9</v>
      </c>
    </row>
    <row r="773">
      <c r="A773" s="2" t="s">
        <v>1872</v>
      </c>
      <c r="B773" s="1">
        <v>200.0</v>
      </c>
      <c r="C773" s="1" t="s">
        <v>1873</v>
      </c>
      <c r="D773" s="1" t="s">
        <v>583</v>
      </c>
      <c r="F773" s="1">
        <v>0.0</v>
      </c>
      <c r="G773" s="1">
        <v>70.0</v>
      </c>
      <c r="H773" s="1">
        <v>0.0</v>
      </c>
      <c r="I773" s="1">
        <v>8.77</v>
      </c>
    </row>
    <row r="774">
      <c r="A774" s="2" t="s">
        <v>1874</v>
      </c>
      <c r="B774" s="1">
        <v>200.0</v>
      </c>
      <c r="C774" s="1" t="s">
        <v>1875</v>
      </c>
      <c r="D774" s="1" t="s">
        <v>583</v>
      </c>
      <c r="F774" s="1">
        <v>3.0</v>
      </c>
      <c r="G774" s="1">
        <v>83.0</v>
      </c>
      <c r="H774" s="1">
        <v>0.036</v>
      </c>
      <c r="I774" s="1">
        <v>11.83</v>
      </c>
    </row>
    <row r="775">
      <c r="A775" s="2" t="s">
        <v>1876</v>
      </c>
      <c r="B775" s="1">
        <v>200.0</v>
      </c>
      <c r="C775" s="1" t="s">
        <v>1877</v>
      </c>
      <c r="D775" s="1" t="s">
        <v>583</v>
      </c>
      <c r="F775" s="1">
        <v>0.0</v>
      </c>
      <c r="G775" s="1">
        <v>6.0</v>
      </c>
      <c r="H775" s="1">
        <v>0.0</v>
      </c>
      <c r="I775" s="1">
        <v>15.0</v>
      </c>
    </row>
    <row r="776">
      <c r="A776" s="2" t="s">
        <v>1878</v>
      </c>
      <c r="B776" s="1">
        <v>200.0</v>
      </c>
      <c r="C776" s="1" t="s">
        <v>1879</v>
      </c>
      <c r="D776" s="1" t="s">
        <v>583</v>
      </c>
      <c r="F776" s="1">
        <v>1.0</v>
      </c>
      <c r="G776" s="1">
        <v>15.0</v>
      </c>
      <c r="H776" s="1">
        <v>0.067</v>
      </c>
      <c r="I776" s="1">
        <v>9.2</v>
      </c>
    </row>
    <row r="777">
      <c r="A777" s="2" t="s">
        <v>1880</v>
      </c>
      <c r="B777" s="1">
        <v>200.0</v>
      </c>
      <c r="C777" s="1" t="s">
        <v>1881</v>
      </c>
      <c r="D777" s="1" t="s">
        <v>583</v>
      </c>
      <c r="F777" s="1">
        <v>0.0</v>
      </c>
      <c r="G777" s="1">
        <v>40.0</v>
      </c>
      <c r="H777" s="1">
        <v>0.0</v>
      </c>
      <c r="I777" s="1">
        <v>17.2</v>
      </c>
    </row>
    <row r="778">
      <c r="A778" s="2" t="s">
        <v>1882</v>
      </c>
      <c r="B778" s="1">
        <v>200.0</v>
      </c>
      <c r="C778" s="1" t="s">
        <v>1883</v>
      </c>
      <c r="D778" s="1" t="s">
        <v>583</v>
      </c>
      <c r="F778" s="1">
        <v>0.0</v>
      </c>
      <c r="G778" s="1">
        <v>10.0</v>
      </c>
      <c r="H778" s="1">
        <v>0.0</v>
      </c>
      <c r="I778" s="1">
        <v>12.6</v>
      </c>
    </row>
    <row r="779">
      <c r="A779" s="2" t="s">
        <v>1884</v>
      </c>
      <c r="B779" s="1">
        <v>200.0</v>
      </c>
      <c r="C779" s="1" t="s">
        <v>1885</v>
      </c>
      <c r="D779" s="1" t="s">
        <v>583</v>
      </c>
    </row>
    <row r="780">
      <c r="A780" s="2" t="s">
        <v>1886</v>
      </c>
      <c r="B780" s="1">
        <v>200.0</v>
      </c>
      <c r="C780" s="1" t="s">
        <v>1887</v>
      </c>
      <c r="D780" s="1" t="s">
        <v>583</v>
      </c>
      <c r="F780" s="1">
        <v>0.0</v>
      </c>
      <c r="G780" s="1">
        <v>2.0</v>
      </c>
      <c r="H780" s="1">
        <v>0.0</v>
      </c>
      <c r="I780" s="1">
        <v>9.0</v>
      </c>
    </row>
    <row r="781">
      <c r="A781" s="2" t="s">
        <v>1888</v>
      </c>
      <c r="B781" s="1">
        <v>200.0</v>
      </c>
      <c r="C781" s="1" t="s">
        <v>1889</v>
      </c>
      <c r="D781" s="1" t="s">
        <v>583</v>
      </c>
      <c r="F781" s="1">
        <v>6.0</v>
      </c>
      <c r="G781" s="1">
        <v>756.0</v>
      </c>
      <c r="H781" s="1">
        <v>0.008</v>
      </c>
      <c r="I781" s="1">
        <v>8.91</v>
      </c>
    </row>
    <row r="782">
      <c r="A782" s="2" t="s">
        <v>1890</v>
      </c>
      <c r="B782" s="1">
        <v>200.0</v>
      </c>
      <c r="C782" s="1" t="s">
        <v>1891</v>
      </c>
      <c r="D782" s="1" t="s">
        <v>583</v>
      </c>
      <c r="F782" s="1">
        <v>3.0</v>
      </c>
      <c r="G782" s="1">
        <v>109.0</v>
      </c>
      <c r="H782" s="1">
        <v>0.028</v>
      </c>
      <c r="I782" s="1">
        <v>46.5</v>
      </c>
    </row>
    <row r="783">
      <c r="A783" s="2" t="s">
        <v>1892</v>
      </c>
      <c r="B783" s="1">
        <v>200.0</v>
      </c>
      <c r="C783" s="1" t="s">
        <v>1893</v>
      </c>
      <c r="D783" s="1" t="s">
        <v>583</v>
      </c>
      <c r="F783" s="1">
        <v>0.0</v>
      </c>
      <c r="G783" s="1">
        <v>118.0</v>
      </c>
      <c r="H783" s="1">
        <v>0.0</v>
      </c>
      <c r="I783" s="1">
        <v>12.37</v>
      </c>
    </row>
    <row r="784">
      <c r="A784" s="2" t="s">
        <v>1894</v>
      </c>
      <c r="B784" s="1">
        <v>200.0</v>
      </c>
      <c r="C784" s="1" t="s">
        <v>846</v>
      </c>
      <c r="D784" s="1" t="s">
        <v>609</v>
      </c>
      <c r="E784" s="1" t="s">
        <v>631</v>
      </c>
    </row>
    <row r="785">
      <c r="A785" s="2" t="s">
        <v>1895</v>
      </c>
      <c r="B785" s="1">
        <v>200.0</v>
      </c>
      <c r="C785" s="1" t="s">
        <v>1896</v>
      </c>
      <c r="D785" s="1" t="s">
        <v>583</v>
      </c>
      <c r="F785" s="1">
        <v>0.0</v>
      </c>
      <c r="G785" s="1">
        <v>112.0</v>
      </c>
      <c r="H785" s="1">
        <v>0.0</v>
      </c>
      <c r="I785" s="1">
        <v>13.63</v>
      </c>
    </row>
    <row r="786">
      <c r="A786" s="2" t="s">
        <v>1897</v>
      </c>
      <c r="B786" s="1">
        <v>200.0</v>
      </c>
      <c r="C786" s="1" t="s">
        <v>582</v>
      </c>
      <c r="D786" s="1" t="s">
        <v>583</v>
      </c>
    </row>
    <row r="787">
      <c r="A787" s="2" t="s">
        <v>1898</v>
      </c>
      <c r="B787" s="1">
        <v>200.0</v>
      </c>
      <c r="C787" s="1" t="s">
        <v>1899</v>
      </c>
      <c r="D787" s="1" t="s">
        <v>583</v>
      </c>
      <c r="F787" s="1">
        <v>0.0</v>
      </c>
      <c r="G787" s="1">
        <v>3.0</v>
      </c>
      <c r="H787" s="1">
        <v>0.0</v>
      </c>
      <c r="I787" s="1">
        <v>6.67</v>
      </c>
    </row>
    <row r="788">
      <c r="A788" s="2" t="s">
        <v>1900</v>
      </c>
      <c r="B788" s="1">
        <v>200.0</v>
      </c>
      <c r="C788" s="1" t="s">
        <v>1901</v>
      </c>
      <c r="D788" s="1" t="s">
        <v>583</v>
      </c>
    </row>
    <row r="789">
      <c r="A789" s="2" t="s">
        <v>1902</v>
      </c>
      <c r="B789" s="1">
        <v>200.0</v>
      </c>
      <c r="C789" s="1" t="s">
        <v>1903</v>
      </c>
      <c r="D789" s="1" t="s">
        <v>583</v>
      </c>
      <c r="F789" s="1">
        <v>0.0</v>
      </c>
      <c r="G789" s="1">
        <v>2.0</v>
      </c>
      <c r="H789" s="1">
        <v>0.0</v>
      </c>
      <c r="I789" s="1">
        <v>3.0</v>
      </c>
    </row>
    <row r="790">
      <c r="A790" s="2" t="s">
        <v>1904</v>
      </c>
      <c r="B790" s="1">
        <v>200.0</v>
      </c>
      <c r="C790" s="1" t="s">
        <v>1541</v>
      </c>
      <c r="D790" s="1" t="s">
        <v>609</v>
      </c>
      <c r="E790" s="1" t="s">
        <v>631</v>
      </c>
    </row>
    <row r="791">
      <c r="A791" s="2" t="s">
        <v>1905</v>
      </c>
      <c r="B791" s="1">
        <v>200.0</v>
      </c>
      <c r="C791" s="1" t="s">
        <v>1906</v>
      </c>
      <c r="D791" s="1" t="s">
        <v>583</v>
      </c>
      <c r="F791" s="1">
        <v>0.0</v>
      </c>
      <c r="G791" s="1">
        <v>265.0</v>
      </c>
      <c r="H791" s="1">
        <v>0.0</v>
      </c>
      <c r="I791" s="1">
        <v>45.33</v>
      </c>
    </row>
    <row r="792">
      <c r="A792" s="2" t="s">
        <v>1907</v>
      </c>
      <c r="B792" s="1">
        <v>200.0</v>
      </c>
      <c r="C792" s="1" t="s">
        <v>1908</v>
      </c>
      <c r="D792" s="1" t="s">
        <v>583</v>
      </c>
      <c r="F792" s="1">
        <v>0.0</v>
      </c>
      <c r="G792" s="1">
        <v>344.0</v>
      </c>
      <c r="H792" s="1">
        <v>0.0</v>
      </c>
      <c r="I792" s="1">
        <v>45.67</v>
      </c>
    </row>
    <row r="793">
      <c r="A793" s="2" t="s">
        <v>1909</v>
      </c>
      <c r="B793" s="1">
        <v>200.0</v>
      </c>
      <c r="C793" s="1" t="s">
        <v>1709</v>
      </c>
      <c r="D793" s="1" t="s">
        <v>609</v>
      </c>
      <c r="E793" s="1" t="s">
        <v>631</v>
      </c>
    </row>
    <row r="794">
      <c r="A794" s="2" t="s">
        <v>1910</v>
      </c>
      <c r="B794" s="1">
        <v>200.0</v>
      </c>
      <c r="C794" s="1" t="s">
        <v>1911</v>
      </c>
      <c r="D794" s="1" t="s">
        <v>583</v>
      </c>
      <c r="F794" s="1">
        <v>0.0</v>
      </c>
      <c r="G794" s="1">
        <v>128.0</v>
      </c>
      <c r="H794" s="1">
        <v>0.0</v>
      </c>
      <c r="I794" s="1">
        <v>64.45</v>
      </c>
    </row>
    <row r="795">
      <c r="A795" s="2" t="s">
        <v>1912</v>
      </c>
      <c r="B795" s="1">
        <v>200.0</v>
      </c>
      <c r="C795" s="1" t="s">
        <v>1913</v>
      </c>
      <c r="D795" s="1" t="s">
        <v>583</v>
      </c>
      <c r="F795" s="1">
        <v>1.0</v>
      </c>
      <c r="G795" s="1">
        <v>1198.0</v>
      </c>
      <c r="H795" s="1">
        <v>0.001</v>
      </c>
      <c r="I795" s="1">
        <v>52.39</v>
      </c>
    </row>
    <row r="796">
      <c r="A796" s="2" t="s">
        <v>1914</v>
      </c>
      <c r="B796" s="1">
        <v>200.0</v>
      </c>
      <c r="C796" s="1" t="s">
        <v>1701</v>
      </c>
      <c r="D796" s="1" t="s">
        <v>609</v>
      </c>
      <c r="E796" s="1" t="s">
        <v>631</v>
      </c>
    </row>
    <row r="797">
      <c r="A797" s="2" t="s">
        <v>1915</v>
      </c>
      <c r="B797" s="1">
        <v>200.0</v>
      </c>
      <c r="C797" s="1" t="s">
        <v>1916</v>
      </c>
      <c r="D797" s="1" t="s">
        <v>583</v>
      </c>
      <c r="F797" s="1">
        <v>0.0</v>
      </c>
      <c r="G797" s="1">
        <v>212.0</v>
      </c>
      <c r="H797" s="1">
        <v>0.0</v>
      </c>
      <c r="I797" s="1">
        <v>24.03</v>
      </c>
    </row>
    <row r="798">
      <c r="A798" s="2" t="s">
        <v>1917</v>
      </c>
      <c r="B798" s="1">
        <v>200.0</v>
      </c>
      <c r="C798" s="1" t="s">
        <v>1651</v>
      </c>
      <c r="D798" s="1" t="s">
        <v>609</v>
      </c>
      <c r="E798" s="1" t="s">
        <v>631</v>
      </c>
    </row>
    <row r="799">
      <c r="A799" s="2" t="s">
        <v>1918</v>
      </c>
      <c r="B799" s="1">
        <v>200.0</v>
      </c>
      <c r="C799" s="1" t="s">
        <v>1919</v>
      </c>
      <c r="D799" s="1" t="s">
        <v>583</v>
      </c>
      <c r="F799" s="1">
        <v>1.0</v>
      </c>
      <c r="G799" s="1">
        <v>20.0</v>
      </c>
      <c r="H799" s="1">
        <v>0.05</v>
      </c>
      <c r="I799" s="1">
        <v>25.95</v>
      </c>
    </row>
    <row r="800">
      <c r="A800" s="2" t="s">
        <v>1920</v>
      </c>
      <c r="B800" s="1">
        <v>200.0</v>
      </c>
      <c r="C800" s="1" t="s">
        <v>1921</v>
      </c>
      <c r="D800" s="1" t="s">
        <v>583</v>
      </c>
    </row>
    <row r="801">
      <c r="A801" s="2" t="s">
        <v>1922</v>
      </c>
      <c r="B801" s="1">
        <v>200.0</v>
      </c>
      <c r="C801" s="1" t="s">
        <v>1923</v>
      </c>
      <c r="D801" s="1" t="s">
        <v>583</v>
      </c>
      <c r="F801" s="1">
        <v>0.0</v>
      </c>
      <c r="G801" s="1">
        <v>6.0</v>
      </c>
      <c r="H801" s="1">
        <v>0.0</v>
      </c>
      <c r="I801" s="1">
        <v>36.0</v>
      </c>
    </row>
    <row r="802">
      <c r="A802" s="2" t="s">
        <v>1924</v>
      </c>
      <c r="B802" s="1">
        <v>200.0</v>
      </c>
      <c r="C802" s="1" t="s">
        <v>1925</v>
      </c>
      <c r="D802" s="1" t="s">
        <v>583</v>
      </c>
    </row>
    <row r="803">
      <c r="A803" s="2" t="s">
        <v>1926</v>
      </c>
      <c r="B803" s="1">
        <v>200.0</v>
      </c>
      <c r="C803" s="1" t="s">
        <v>1927</v>
      </c>
      <c r="D803" s="1" t="s">
        <v>583</v>
      </c>
      <c r="F803" s="1">
        <v>0.0</v>
      </c>
      <c r="G803" s="1">
        <v>2.0</v>
      </c>
      <c r="H803" s="1">
        <v>0.0</v>
      </c>
      <c r="I803" s="1">
        <v>11.5</v>
      </c>
    </row>
    <row r="804">
      <c r="A804" s="2" t="s">
        <v>1928</v>
      </c>
      <c r="B804" s="1">
        <v>200.0</v>
      </c>
      <c r="C804" s="1" t="s">
        <v>1929</v>
      </c>
      <c r="D804" s="1" t="s">
        <v>583</v>
      </c>
    </row>
    <row r="805">
      <c r="A805" s="2" t="s">
        <v>1930</v>
      </c>
      <c r="B805" s="1">
        <v>200.0</v>
      </c>
      <c r="C805" s="1" t="s">
        <v>1931</v>
      </c>
      <c r="D805" s="1" t="s">
        <v>583</v>
      </c>
      <c r="F805" s="1">
        <v>0.0</v>
      </c>
      <c r="G805" s="1">
        <v>3.0</v>
      </c>
      <c r="H805" s="1">
        <v>0.0</v>
      </c>
      <c r="I805" s="1">
        <v>8.0</v>
      </c>
    </row>
    <row r="806">
      <c r="A806" s="2" t="s">
        <v>1932</v>
      </c>
      <c r="B806" s="1">
        <v>301.0</v>
      </c>
      <c r="D806" s="1" t="s">
        <v>609</v>
      </c>
      <c r="E806" s="1" t="s">
        <v>610</v>
      </c>
    </row>
    <row r="807">
      <c r="A807" s="2" t="s">
        <v>1933</v>
      </c>
      <c r="B807" s="1">
        <v>200.0</v>
      </c>
      <c r="C807" s="1" t="s">
        <v>1934</v>
      </c>
      <c r="D807" s="1" t="s">
        <v>583</v>
      </c>
      <c r="F807" s="1">
        <v>0.0</v>
      </c>
      <c r="G807" s="1">
        <v>1.0</v>
      </c>
      <c r="H807" s="1">
        <v>0.0</v>
      </c>
      <c r="I807" s="1">
        <v>6.0</v>
      </c>
    </row>
    <row r="808">
      <c r="A808" s="2" t="s">
        <v>1935</v>
      </c>
      <c r="B808" s="1">
        <v>200.0</v>
      </c>
      <c r="C808" s="1" t="s">
        <v>1936</v>
      </c>
      <c r="D808" s="1" t="s">
        <v>583</v>
      </c>
    </row>
    <row r="809">
      <c r="A809" s="2" t="s">
        <v>1937</v>
      </c>
      <c r="B809" s="1">
        <v>200.0</v>
      </c>
      <c r="C809" s="1" t="s">
        <v>1938</v>
      </c>
      <c r="D809" s="1" t="s">
        <v>583</v>
      </c>
    </row>
    <row r="810">
      <c r="A810" s="2" t="s">
        <v>1939</v>
      </c>
      <c r="B810" s="1">
        <v>200.0</v>
      </c>
      <c r="C810" s="1" t="s">
        <v>1940</v>
      </c>
      <c r="D810" s="1" t="s">
        <v>583</v>
      </c>
      <c r="F810" s="1">
        <v>0.0</v>
      </c>
      <c r="G810" s="1">
        <v>10.0</v>
      </c>
      <c r="H810" s="1">
        <v>0.0</v>
      </c>
      <c r="I810" s="1">
        <v>41.9</v>
      </c>
    </row>
    <row r="811">
      <c r="A811" s="2" t="s">
        <v>1941</v>
      </c>
      <c r="B811" s="1">
        <v>200.0</v>
      </c>
      <c r="C811" s="1" t="s">
        <v>1942</v>
      </c>
      <c r="D811" s="1" t="s">
        <v>583</v>
      </c>
      <c r="F811" s="1">
        <v>3.0</v>
      </c>
      <c r="G811" s="1">
        <v>1508.0</v>
      </c>
      <c r="H811" s="1">
        <v>0.002</v>
      </c>
      <c r="I811" s="1">
        <v>14.7</v>
      </c>
    </row>
    <row r="812">
      <c r="A812" s="2" t="s">
        <v>1943</v>
      </c>
      <c r="B812" s="1">
        <v>200.0</v>
      </c>
      <c r="C812" s="1" t="s">
        <v>1944</v>
      </c>
      <c r="D812" s="1" t="s">
        <v>583</v>
      </c>
      <c r="F812" s="1">
        <v>0.0</v>
      </c>
      <c r="G812" s="1">
        <v>1.0</v>
      </c>
      <c r="H812" s="1">
        <v>0.0</v>
      </c>
      <c r="I812" s="1">
        <v>43.0</v>
      </c>
    </row>
    <row r="813">
      <c r="A813" s="2" t="s">
        <v>1945</v>
      </c>
      <c r="B813" s="1">
        <v>200.0</v>
      </c>
      <c r="C813" s="1" t="s">
        <v>1946</v>
      </c>
      <c r="D813" s="1" t="s">
        <v>583</v>
      </c>
      <c r="F813" s="1">
        <v>0.0</v>
      </c>
      <c r="G813" s="1">
        <v>14.0</v>
      </c>
      <c r="H813" s="1">
        <v>0.0</v>
      </c>
      <c r="I813" s="1">
        <v>9.36</v>
      </c>
    </row>
    <row r="814">
      <c r="A814" s="2" t="s">
        <v>1947</v>
      </c>
      <c r="B814" s="1">
        <v>200.0</v>
      </c>
      <c r="C814" s="1" t="s">
        <v>1948</v>
      </c>
      <c r="D814" s="1" t="s">
        <v>583</v>
      </c>
    </row>
    <row r="815">
      <c r="A815" s="2" t="s">
        <v>1949</v>
      </c>
      <c r="B815" s="1">
        <v>200.0</v>
      </c>
      <c r="C815" s="1" t="s">
        <v>1950</v>
      </c>
      <c r="D815" s="1" t="s">
        <v>583</v>
      </c>
    </row>
    <row r="816">
      <c r="A816" s="2" t="s">
        <v>1951</v>
      </c>
      <c r="B816" s="1">
        <v>200.0</v>
      </c>
      <c r="C816" s="1" t="s">
        <v>1952</v>
      </c>
      <c r="D816" s="1" t="s">
        <v>583</v>
      </c>
      <c r="F816" s="1">
        <v>90.0</v>
      </c>
      <c r="G816" s="1">
        <v>4298.0</v>
      </c>
      <c r="H816" s="1">
        <v>0.021</v>
      </c>
      <c r="I816" s="1">
        <v>9.13</v>
      </c>
    </row>
    <row r="817">
      <c r="A817" s="2" t="s">
        <v>1953</v>
      </c>
      <c r="B817" s="1">
        <v>200.0</v>
      </c>
      <c r="C817" s="1" t="s">
        <v>1954</v>
      </c>
      <c r="D817" s="1" t="s">
        <v>583</v>
      </c>
      <c r="F817" s="1">
        <v>0.0</v>
      </c>
      <c r="G817" s="1">
        <v>105.0</v>
      </c>
      <c r="H817" s="1">
        <v>0.0</v>
      </c>
      <c r="I817" s="1">
        <v>31.3</v>
      </c>
    </row>
    <row r="818">
      <c r="A818" s="2" t="s">
        <v>1955</v>
      </c>
      <c r="B818" s="1">
        <v>200.0</v>
      </c>
      <c r="C818" s="1" t="s">
        <v>1956</v>
      </c>
      <c r="D818" s="1" t="s">
        <v>583</v>
      </c>
      <c r="F818" s="1">
        <v>1.0</v>
      </c>
      <c r="G818" s="1">
        <v>34.0</v>
      </c>
      <c r="H818" s="1">
        <v>0.029</v>
      </c>
      <c r="I818" s="1">
        <v>9.76</v>
      </c>
    </row>
    <row r="819">
      <c r="A819" s="2" t="s">
        <v>1957</v>
      </c>
      <c r="B819" s="1">
        <v>200.0</v>
      </c>
      <c r="C819" s="1" t="s">
        <v>1958</v>
      </c>
      <c r="D819" s="1" t="s">
        <v>583</v>
      </c>
      <c r="F819" s="1">
        <v>0.0</v>
      </c>
      <c r="G819" s="1">
        <v>9.0</v>
      </c>
      <c r="H819" s="1">
        <v>0.0</v>
      </c>
      <c r="I819" s="1">
        <v>13.0</v>
      </c>
    </row>
    <row r="820">
      <c r="A820" s="2" t="s">
        <v>1959</v>
      </c>
      <c r="B820" s="1">
        <v>200.0</v>
      </c>
      <c r="C820" s="1" t="s">
        <v>1960</v>
      </c>
      <c r="D820" s="1" t="s">
        <v>583</v>
      </c>
    </row>
    <row r="821">
      <c r="A821" s="2" t="s">
        <v>1961</v>
      </c>
      <c r="B821" s="1">
        <v>200.0</v>
      </c>
      <c r="C821" s="1" t="s">
        <v>1962</v>
      </c>
      <c r="D821" s="1" t="s">
        <v>583</v>
      </c>
      <c r="F821" s="1">
        <v>0.0</v>
      </c>
      <c r="G821" s="1">
        <v>30.0</v>
      </c>
      <c r="H821" s="1">
        <v>0.0</v>
      </c>
      <c r="I821" s="1">
        <v>40.47</v>
      </c>
    </row>
    <row r="822">
      <c r="A822" s="2" t="s">
        <v>1963</v>
      </c>
      <c r="B822" s="1">
        <v>200.0</v>
      </c>
      <c r="C822" s="1" t="s">
        <v>1964</v>
      </c>
      <c r="D822" s="1" t="s">
        <v>583</v>
      </c>
      <c r="F822" s="1">
        <v>3.0</v>
      </c>
      <c r="G822" s="1">
        <v>37.0</v>
      </c>
      <c r="H822" s="1">
        <v>0.081</v>
      </c>
      <c r="I822" s="1">
        <v>12.35</v>
      </c>
    </row>
    <row r="823">
      <c r="A823" s="2" t="s">
        <v>1965</v>
      </c>
      <c r="B823" s="1">
        <v>200.0</v>
      </c>
      <c r="C823" s="1" t="s">
        <v>1966</v>
      </c>
      <c r="D823" s="1" t="s">
        <v>583</v>
      </c>
      <c r="F823" s="1">
        <v>1.0</v>
      </c>
      <c r="G823" s="1">
        <v>15.0</v>
      </c>
      <c r="H823" s="1">
        <v>0.067</v>
      </c>
      <c r="I823" s="1">
        <v>12.13</v>
      </c>
    </row>
    <row r="824">
      <c r="A824" s="2" t="s">
        <v>1967</v>
      </c>
      <c r="B824" s="1">
        <v>200.0</v>
      </c>
      <c r="C824" s="1" t="s">
        <v>1968</v>
      </c>
      <c r="D824" s="1" t="s">
        <v>583</v>
      </c>
      <c r="F824" s="1">
        <v>9.0</v>
      </c>
      <c r="G824" s="1">
        <v>703.0</v>
      </c>
      <c r="H824" s="1">
        <v>0.013</v>
      </c>
      <c r="I824" s="1">
        <v>8.94</v>
      </c>
    </row>
    <row r="825">
      <c r="A825" s="2" t="s">
        <v>1969</v>
      </c>
      <c r="B825" s="1">
        <v>200.0</v>
      </c>
      <c r="C825" s="1" t="s">
        <v>1970</v>
      </c>
      <c r="D825" s="1" t="s">
        <v>583</v>
      </c>
      <c r="F825" s="1">
        <v>0.0</v>
      </c>
      <c r="G825" s="1">
        <v>3.0</v>
      </c>
      <c r="H825" s="1">
        <v>0.0</v>
      </c>
      <c r="I825" s="1">
        <v>8.33</v>
      </c>
    </row>
    <row r="826">
      <c r="A826" s="2" t="s">
        <v>1971</v>
      </c>
      <c r="B826" s="1">
        <v>200.0</v>
      </c>
      <c r="C826" s="1" t="s">
        <v>1972</v>
      </c>
      <c r="D826" s="1" t="s">
        <v>583</v>
      </c>
      <c r="F826" s="1">
        <v>0.0</v>
      </c>
      <c r="G826" s="1">
        <v>4.0</v>
      </c>
      <c r="H826" s="1">
        <v>0.0</v>
      </c>
      <c r="I826" s="1">
        <v>6.0</v>
      </c>
    </row>
    <row r="827">
      <c r="A827" s="2" t="s">
        <v>1973</v>
      </c>
      <c r="B827" s="1">
        <v>200.0</v>
      </c>
      <c r="C827" s="1" t="s">
        <v>1974</v>
      </c>
      <c r="D827" s="1" t="s">
        <v>583</v>
      </c>
      <c r="F827" s="1">
        <v>0.0</v>
      </c>
      <c r="G827" s="1">
        <v>317.0</v>
      </c>
      <c r="H827" s="1">
        <v>0.0</v>
      </c>
      <c r="I827" s="1">
        <v>53.44</v>
      </c>
    </row>
    <row r="828">
      <c r="A828" s="2" t="s">
        <v>1975</v>
      </c>
      <c r="B828" s="1">
        <v>200.0</v>
      </c>
      <c r="C828" s="1" t="s">
        <v>1976</v>
      </c>
      <c r="D828" s="1" t="s">
        <v>583</v>
      </c>
      <c r="F828" s="1">
        <v>0.0</v>
      </c>
      <c r="G828" s="1">
        <v>261.0</v>
      </c>
      <c r="H828" s="1">
        <v>0.0</v>
      </c>
      <c r="I828" s="1">
        <v>7.48</v>
      </c>
    </row>
    <row r="829">
      <c r="A829" s="2" t="s">
        <v>1977</v>
      </c>
      <c r="B829" s="1">
        <v>200.0</v>
      </c>
      <c r="C829" s="1" t="s">
        <v>1978</v>
      </c>
      <c r="D829" s="1" t="s">
        <v>583</v>
      </c>
      <c r="F829" s="1">
        <v>0.0</v>
      </c>
      <c r="G829" s="1">
        <v>12.0</v>
      </c>
      <c r="H829" s="1">
        <v>0.0</v>
      </c>
      <c r="I829" s="1">
        <v>15.17</v>
      </c>
    </row>
    <row r="830">
      <c r="A830" s="2" t="s">
        <v>1979</v>
      </c>
      <c r="B830" s="1">
        <v>200.0</v>
      </c>
      <c r="C830" s="1" t="s">
        <v>1980</v>
      </c>
      <c r="D830" s="1" t="s">
        <v>583</v>
      </c>
      <c r="F830" s="1">
        <v>1.0</v>
      </c>
      <c r="G830" s="1">
        <v>802.0</v>
      </c>
      <c r="H830" s="1">
        <v>0.001</v>
      </c>
      <c r="I830" s="1">
        <v>6.26</v>
      </c>
    </row>
    <row r="831">
      <c r="A831" s="2" t="s">
        <v>1981</v>
      </c>
      <c r="B831" s="1">
        <v>200.0</v>
      </c>
      <c r="C831" s="1" t="s">
        <v>1982</v>
      </c>
      <c r="D831" s="1" t="s">
        <v>583</v>
      </c>
      <c r="F831" s="1">
        <v>0.0</v>
      </c>
      <c r="G831" s="1">
        <v>275.0</v>
      </c>
      <c r="H831" s="1">
        <v>0.0</v>
      </c>
      <c r="I831" s="1">
        <v>64.12</v>
      </c>
    </row>
    <row r="832">
      <c r="A832" s="2" t="s">
        <v>1983</v>
      </c>
      <c r="B832" s="1">
        <v>301.0</v>
      </c>
      <c r="D832" s="1" t="s">
        <v>609</v>
      </c>
      <c r="E832" s="1" t="s">
        <v>610</v>
      </c>
    </row>
    <row r="833">
      <c r="A833" s="2" t="s">
        <v>1984</v>
      </c>
      <c r="B833" s="1">
        <v>200.0</v>
      </c>
      <c r="C833" s="1" t="s">
        <v>1985</v>
      </c>
      <c r="D833" s="1" t="s">
        <v>583</v>
      </c>
      <c r="F833" s="1">
        <v>0.0</v>
      </c>
      <c r="G833" s="1">
        <v>51.0</v>
      </c>
      <c r="H833" s="1">
        <v>0.0</v>
      </c>
      <c r="I833" s="1">
        <v>15.35</v>
      </c>
    </row>
    <row r="834">
      <c r="A834" s="2" t="s">
        <v>1986</v>
      </c>
      <c r="B834" s="1">
        <v>200.0</v>
      </c>
      <c r="C834" s="1" t="s">
        <v>1987</v>
      </c>
      <c r="D834" s="1" t="s">
        <v>583</v>
      </c>
      <c r="F834" s="1">
        <v>0.0</v>
      </c>
      <c r="G834" s="1">
        <v>271.0</v>
      </c>
      <c r="H834" s="1">
        <v>0.0</v>
      </c>
      <c r="I834" s="1">
        <v>63.73</v>
      </c>
    </row>
    <row r="835">
      <c r="A835" s="2" t="s">
        <v>1988</v>
      </c>
      <c r="B835" s="1">
        <v>200.0</v>
      </c>
      <c r="C835" s="1" t="s">
        <v>1989</v>
      </c>
      <c r="D835" s="1" t="s">
        <v>583</v>
      </c>
      <c r="F835" s="1">
        <v>7.0</v>
      </c>
      <c r="G835" s="1">
        <v>2338.0</v>
      </c>
      <c r="H835" s="1">
        <v>0.003</v>
      </c>
      <c r="I835" s="1">
        <v>3.41</v>
      </c>
    </row>
    <row r="836">
      <c r="A836" s="2" t="s">
        <v>1990</v>
      </c>
      <c r="B836" s="1">
        <v>200.0</v>
      </c>
      <c r="C836" s="1" t="s">
        <v>1802</v>
      </c>
      <c r="D836" s="1" t="s">
        <v>583</v>
      </c>
      <c r="F836" s="1">
        <v>0.0</v>
      </c>
      <c r="G836" s="1">
        <v>34.0</v>
      </c>
      <c r="H836" s="1">
        <v>0.0</v>
      </c>
      <c r="I836" s="1">
        <v>26.97</v>
      </c>
    </row>
    <row r="837">
      <c r="A837" s="2" t="s">
        <v>1991</v>
      </c>
      <c r="B837" s="1">
        <v>200.0</v>
      </c>
      <c r="C837" s="1" t="s">
        <v>1992</v>
      </c>
      <c r="D837" s="1" t="s">
        <v>583</v>
      </c>
    </row>
    <row r="838">
      <c r="A838" s="2" t="s">
        <v>1993</v>
      </c>
      <c r="B838" s="1">
        <v>301.0</v>
      </c>
      <c r="D838" s="1" t="s">
        <v>609</v>
      </c>
      <c r="E838" s="1" t="s">
        <v>610</v>
      </c>
    </row>
    <row r="839">
      <c r="A839" s="2" t="s">
        <v>1994</v>
      </c>
      <c r="B839" s="1">
        <v>200.0</v>
      </c>
      <c r="C839" s="1" t="s">
        <v>1995</v>
      </c>
      <c r="D839" s="1" t="s">
        <v>583</v>
      </c>
      <c r="F839" s="1">
        <v>0.0</v>
      </c>
      <c r="G839" s="1">
        <v>47.0</v>
      </c>
      <c r="H839" s="1">
        <v>0.0</v>
      </c>
      <c r="I839" s="1">
        <v>4.45</v>
      </c>
    </row>
    <row r="840">
      <c r="A840" s="2" t="s">
        <v>1996</v>
      </c>
      <c r="B840" s="1">
        <v>200.0</v>
      </c>
      <c r="C840" s="1" t="s">
        <v>1997</v>
      </c>
      <c r="D840" s="1" t="s">
        <v>583</v>
      </c>
    </row>
    <row r="841">
      <c r="A841" s="2" t="s">
        <v>1998</v>
      </c>
      <c r="B841" s="1">
        <v>200.0</v>
      </c>
      <c r="C841" s="1" t="s">
        <v>1999</v>
      </c>
      <c r="D841" s="1" t="s">
        <v>583</v>
      </c>
      <c r="F841" s="1">
        <v>0.0</v>
      </c>
      <c r="G841" s="1">
        <v>212.0</v>
      </c>
      <c r="H841" s="1">
        <v>0.0</v>
      </c>
      <c r="I841" s="1">
        <v>64.54</v>
      </c>
    </row>
    <row r="842">
      <c r="A842" s="2" t="s">
        <v>2000</v>
      </c>
      <c r="B842" s="1">
        <v>200.0</v>
      </c>
      <c r="C842" s="1" t="s">
        <v>2001</v>
      </c>
      <c r="D842" s="1" t="s">
        <v>583</v>
      </c>
    </row>
    <row r="843">
      <c r="A843" s="2" t="s">
        <v>2002</v>
      </c>
      <c r="B843" s="1">
        <v>200.0</v>
      </c>
      <c r="C843" s="1" t="s">
        <v>2003</v>
      </c>
      <c r="D843" s="1" t="s">
        <v>583</v>
      </c>
      <c r="F843" s="1">
        <v>0.0</v>
      </c>
      <c r="G843" s="1">
        <v>4.0</v>
      </c>
      <c r="H843" s="1">
        <v>0.0</v>
      </c>
      <c r="I843" s="1">
        <v>22.0</v>
      </c>
    </row>
    <row r="844">
      <c r="A844" s="2" t="s">
        <v>2004</v>
      </c>
      <c r="B844" s="1">
        <v>200.0</v>
      </c>
      <c r="C844" s="1" t="s">
        <v>2005</v>
      </c>
      <c r="D844" s="1" t="s">
        <v>583</v>
      </c>
    </row>
    <row r="845">
      <c r="A845" s="2" t="s">
        <v>2006</v>
      </c>
      <c r="B845" s="1">
        <v>200.0</v>
      </c>
      <c r="C845" s="1" t="s">
        <v>2007</v>
      </c>
      <c r="D845" s="1" t="s">
        <v>583</v>
      </c>
      <c r="F845" s="1">
        <v>0.0</v>
      </c>
      <c r="G845" s="1">
        <v>47.0</v>
      </c>
      <c r="H845" s="1">
        <v>0.0</v>
      </c>
      <c r="I845" s="1">
        <v>38.17</v>
      </c>
    </row>
    <row r="846">
      <c r="A846" s="2" t="s">
        <v>2008</v>
      </c>
      <c r="B846" s="1">
        <v>200.0</v>
      </c>
      <c r="C846" s="1" t="s">
        <v>2009</v>
      </c>
      <c r="D846" s="1" t="s">
        <v>583</v>
      </c>
      <c r="F846" s="1">
        <v>4.0</v>
      </c>
      <c r="G846" s="1">
        <v>704.0</v>
      </c>
      <c r="H846" s="1">
        <v>0.006</v>
      </c>
      <c r="I846" s="1">
        <v>3.05</v>
      </c>
    </row>
    <row r="847">
      <c r="A847" s="2" t="s">
        <v>2010</v>
      </c>
      <c r="B847" s="1">
        <v>200.0</v>
      </c>
      <c r="C847" s="1" t="s">
        <v>2011</v>
      </c>
      <c r="D847" s="1" t="s">
        <v>583</v>
      </c>
    </row>
    <row r="848">
      <c r="A848" s="2" t="s">
        <v>2012</v>
      </c>
      <c r="B848" s="1">
        <v>200.0</v>
      </c>
      <c r="C848" s="1" t="s">
        <v>2013</v>
      </c>
      <c r="D848" s="1" t="s">
        <v>583</v>
      </c>
    </row>
    <row r="849">
      <c r="A849" s="2" t="s">
        <v>2014</v>
      </c>
      <c r="B849" s="1">
        <v>200.0</v>
      </c>
      <c r="C849" s="1" t="s">
        <v>2015</v>
      </c>
      <c r="D849" s="1" t="s">
        <v>583</v>
      </c>
      <c r="F849" s="1">
        <v>0.0</v>
      </c>
      <c r="G849" s="1">
        <v>2.0</v>
      </c>
      <c r="H849" s="1">
        <v>0.0</v>
      </c>
      <c r="I849" s="1">
        <v>41.5</v>
      </c>
    </row>
    <row r="850">
      <c r="A850" s="2" t="s">
        <v>2016</v>
      </c>
      <c r="B850" s="1">
        <v>200.0</v>
      </c>
      <c r="C850" s="1" t="s">
        <v>2017</v>
      </c>
      <c r="D850" s="1" t="s">
        <v>583</v>
      </c>
      <c r="F850" s="1">
        <v>1.0</v>
      </c>
      <c r="G850" s="1">
        <v>367.0</v>
      </c>
      <c r="H850" s="1">
        <v>0.003</v>
      </c>
      <c r="I850" s="1">
        <v>3.05</v>
      </c>
    </row>
    <row r="851">
      <c r="A851" s="2" t="s">
        <v>2018</v>
      </c>
      <c r="B851" s="1">
        <v>200.0</v>
      </c>
      <c r="C851" s="1" t="s">
        <v>2019</v>
      </c>
      <c r="D851" s="1" t="s">
        <v>583</v>
      </c>
    </row>
    <row r="852">
      <c r="A852" s="2" t="s">
        <v>2020</v>
      </c>
      <c r="B852" s="1">
        <v>200.0</v>
      </c>
      <c r="C852" s="1" t="s">
        <v>2021</v>
      </c>
      <c r="D852" s="1" t="s">
        <v>583</v>
      </c>
      <c r="F852" s="1">
        <v>0.0</v>
      </c>
      <c r="G852" s="1">
        <v>32.0</v>
      </c>
      <c r="H852" s="1">
        <v>0.0</v>
      </c>
      <c r="I852" s="1">
        <v>11.53</v>
      </c>
    </row>
    <row r="853">
      <c r="A853" s="2" t="s">
        <v>2022</v>
      </c>
      <c r="B853" s="1">
        <v>200.0</v>
      </c>
      <c r="C853" s="1" t="s">
        <v>2023</v>
      </c>
      <c r="D853" s="1" t="s">
        <v>583</v>
      </c>
      <c r="F853" s="1">
        <v>0.0</v>
      </c>
      <c r="G853" s="1">
        <v>4.0</v>
      </c>
      <c r="H853" s="1">
        <v>0.0</v>
      </c>
      <c r="I853" s="1">
        <v>28.0</v>
      </c>
    </row>
    <row r="854">
      <c r="A854" s="2" t="s">
        <v>2024</v>
      </c>
      <c r="B854" s="1">
        <v>200.0</v>
      </c>
      <c r="C854" s="1" t="s">
        <v>2025</v>
      </c>
      <c r="D854" s="1" t="s">
        <v>583</v>
      </c>
      <c r="F854" s="1">
        <v>0.0</v>
      </c>
      <c r="G854" s="1">
        <v>41.0</v>
      </c>
      <c r="H854" s="1">
        <v>0.0</v>
      </c>
      <c r="I854" s="1">
        <v>17.9</v>
      </c>
    </row>
    <row r="855">
      <c r="A855" s="2" t="s">
        <v>2026</v>
      </c>
      <c r="B855" s="1">
        <v>200.0</v>
      </c>
      <c r="C855" s="1" t="s">
        <v>2027</v>
      </c>
      <c r="D855" s="1" t="s">
        <v>583</v>
      </c>
    </row>
    <row r="856">
      <c r="A856" s="2" t="s">
        <v>2028</v>
      </c>
      <c r="B856" s="1">
        <v>301.0</v>
      </c>
      <c r="D856" s="1" t="s">
        <v>609</v>
      </c>
      <c r="E856" s="1" t="s">
        <v>610</v>
      </c>
    </row>
    <row r="857">
      <c r="A857" s="2" t="s">
        <v>2029</v>
      </c>
      <c r="B857" s="1">
        <v>301.0</v>
      </c>
      <c r="D857" s="1" t="s">
        <v>609</v>
      </c>
      <c r="E857" s="1" t="s">
        <v>610</v>
      </c>
    </row>
    <row r="858">
      <c r="A858" s="2" t="s">
        <v>2030</v>
      </c>
      <c r="B858" s="1">
        <v>200.0</v>
      </c>
      <c r="C858" s="1" t="s">
        <v>2031</v>
      </c>
      <c r="D858" s="1" t="s">
        <v>583</v>
      </c>
      <c r="F858" s="1">
        <v>1.0</v>
      </c>
      <c r="G858" s="1">
        <v>199.0</v>
      </c>
      <c r="H858" s="1">
        <v>0.005</v>
      </c>
      <c r="I858" s="1">
        <v>5.66</v>
      </c>
    </row>
    <row r="859">
      <c r="A859" s="2" t="s">
        <v>2032</v>
      </c>
      <c r="B859" s="1">
        <v>200.0</v>
      </c>
      <c r="C859" s="1" t="s">
        <v>2033</v>
      </c>
      <c r="D859" s="1" t="s">
        <v>583</v>
      </c>
      <c r="F859" s="1">
        <v>6.0</v>
      </c>
      <c r="G859" s="1">
        <v>384.0</v>
      </c>
      <c r="H859" s="1">
        <v>0.016</v>
      </c>
      <c r="I859" s="1">
        <v>5.97</v>
      </c>
    </row>
    <row r="860">
      <c r="A860" s="2" t="s">
        <v>2034</v>
      </c>
      <c r="B860" s="1">
        <v>200.0</v>
      </c>
      <c r="C860" s="1" t="s">
        <v>2035</v>
      </c>
      <c r="D860" s="1" t="s">
        <v>583</v>
      </c>
      <c r="F860" s="1">
        <v>0.0</v>
      </c>
      <c r="G860" s="1">
        <v>29.0</v>
      </c>
      <c r="H860" s="1">
        <v>0.0</v>
      </c>
      <c r="I860" s="1">
        <v>11.28</v>
      </c>
    </row>
    <row r="861">
      <c r="A861" s="2" t="s">
        <v>2036</v>
      </c>
      <c r="B861" s="1">
        <v>200.0</v>
      </c>
      <c r="C861" s="1" t="s">
        <v>2037</v>
      </c>
      <c r="D861" s="1" t="s">
        <v>583</v>
      </c>
      <c r="F861" s="1">
        <v>2.0</v>
      </c>
      <c r="G861" s="1">
        <v>424.0</v>
      </c>
      <c r="H861" s="1">
        <v>0.005</v>
      </c>
      <c r="I861" s="1">
        <v>7.0</v>
      </c>
    </row>
    <row r="862">
      <c r="A862" s="2" t="s">
        <v>2038</v>
      </c>
      <c r="B862" s="1">
        <v>200.0</v>
      </c>
      <c r="C862" s="1" t="s">
        <v>2039</v>
      </c>
      <c r="D862" s="1" t="s">
        <v>583</v>
      </c>
      <c r="F862" s="1">
        <v>0.0</v>
      </c>
      <c r="G862" s="1">
        <v>153.0</v>
      </c>
      <c r="H862" s="1">
        <v>0.0</v>
      </c>
      <c r="I862" s="1">
        <v>11.58</v>
      </c>
    </row>
    <row r="863">
      <c r="A863" s="2" t="s">
        <v>2040</v>
      </c>
      <c r="B863" s="1">
        <v>200.0</v>
      </c>
      <c r="C863" s="1" t="s">
        <v>2041</v>
      </c>
      <c r="D863" s="1" t="s">
        <v>583</v>
      </c>
      <c r="F863" s="1">
        <v>0.0</v>
      </c>
      <c r="G863" s="1">
        <v>31.0</v>
      </c>
      <c r="H863" s="1">
        <v>0.0</v>
      </c>
      <c r="I863" s="1">
        <v>13.16</v>
      </c>
    </row>
    <row r="864">
      <c r="A864" s="2" t="s">
        <v>2042</v>
      </c>
      <c r="B864" s="1">
        <v>200.0</v>
      </c>
      <c r="C864" s="1" t="s">
        <v>2043</v>
      </c>
      <c r="D864" s="1" t="s">
        <v>583</v>
      </c>
      <c r="F864" s="1">
        <v>0.0</v>
      </c>
      <c r="G864" s="1">
        <v>1.0</v>
      </c>
      <c r="H864" s="1">
        <v>0.0</v>
      </c>
      <c r="I864" s="1">
        <v>4.0</v>
      </c>
    </row>
    <row r="865">
      <c r="A865" s="2" t="s">
        <v>2044</v>
      </c>
      <c r="B865" s="1">
        <v>200.0</v>
      </c>
      <c r="C865" s="1" t="s">
        <v>2045</v>
      </c>
      <c r="D865" s="1" t="s">
        <v>583</v>
      </c>
    </row>
    <row r="866">
      <c r="A866" s="2" t="s">
        <v>2046</v>
      </c>
      <c r="B866" s="1">
        <v>200.0</v>
      </c>
      <c r="C866" s="1" t="s">
        <v>2047</v>
      </c>
      <c r="D866" s="1" t="s">
        <v>583</v>
      </c>
      <c r="F866" s="1">
        <v>0.0</v>
      </c>
      <c r="G866" s="1">
        <v>56.0</v>
      </c>
      <c r="H866" s="1">
        <v>0.0</v>
      </c>
      <c r="I866" s="1">
        <v>8.02</v>
      </c>
    </row>
    <row r="867">
      <c r="A867" s="2" t="s">
        <v>2048</v>
      </c>
      <c r="B867" s="1">
        <v>200.0</v>
      </c>
      <c r="C867" s="1" t="s">
        <v>2049</v>
      </c>
      <c r="D867" s="1" t="s">
        <v>583</v>
      </c>
      <c r="F867" s="1">
        <v>0.0</v>
      </c>
      <c r="G867" s="1">
        <v>335.0</v>
      </c>
      <c r="H867" s="1">
        <v>0.0</v>
      </c>
      <c r="I867" s="1">
        <v>64.26</v>
      </c>
    </row>
    <row r="868">
      <c r="A868" s="2" t="s">
        <v>2050</v>
      </c>
      <c r="B868" s="1">
        <v>200.0</v>
      </c>
      <c r="C868" s="1" t="s">
        <v>2051</v>
      </c>
      <c r="D868" s="1" t="s">
        <v>583</v>
      </c>
      <c r="F868" s="1">
        <v>1.0</v>
      </c>
      <c r="G868" s="1">
        <v>157.0</v>
      </c>
      <c r="H868" s="1">
        <v>0.006</v>
      </c>
      <c r="I868" s="1">
        <v>50.38</v>
      </c>
    </row>
    <row r="869">
      <c r="A869" s="2" t="s">
        <v>2052</v>
      </c>
      <c r="B869" s="1">
        <v>200.0</v>
      </c>
      <c r="C869" s="1" t="s">
        <v>2053</v>
      </c>
      <c r="D869" s="1" t="s">
        <v>583</v>
      </c>
      <c r="F869" s="1">
        <v>0.0</v>
      </c>
      <c r="G869" s="1">
        <v>13.0</v>
      </c>
      <c r="H869" s="1">
        <v>0.0</v>
      </c>
      <c r="I869" s="1">
        <v>7.62</v>
      </c>
    </row>
    <row r="870">
      <c r="A870" s="2" t="s">
        <v>2054</v>
      </c>
      <c r="B870" s="1">
        <v>200.0</v>
      </c>
      <c r="C870" s="1" t="s">
        <v>2055</v>
      </c>
      <c r="D870" s="1" t="s">
        <v>583</v>
      </c>
      <c r="F870" s="1">
        <v>0.0</v>
      </c>
      <c r="G870" s="1">
        <v>246.0</v>
      </c>
      <c r="H870" s="1">
        <v>0.0</v>
      </c>
      <c r="I870" s="1">
        <v>6.52</v>
      </c>
    </row>
    <row r="871">
      <c r="A871" s="2" t="s">
        <v>2056</v>
      </c>
      <c r="B871" s="1">
        <v>200.0</v>
      </c>
      <c r="C871" s="1" t="s">
        <v>2057</v>
      </c>
      <c r="D871" s="1" t="s">
        <v>583</v>
      </c>
      <c r="F871" s="1">
        <v>0.0</v>
      </c>
      <c r="G871" s="1">
        <v>1.0</v>
      </c>
      <c r="H871" s="1">
        <v>0.0</v>
      </c>
      <c r="I871" s="1">
        <v>3.0</v>
      </c>
    </row>
    <row r="872">
      <c r="A872" s="2" t="s">
        <v>2058</v>
      </c>
      <c r="B872" s="1">
        <v>200.0</v>
      </c>
      <c r="C872" s="1" t="s">
        <v>2059</v>
      </c>
      <c r="D872" s="1" t="s">
        <v>583</v>
      </c>
      <c r="F872" s="1">
        <v>0.0</v>
      </c>
      <c r="G872" s="1">
        <v>59.0</v>
      </c>
      <c r="H872" s="1">
        <v>0.0</v>
      </c>
      <c r="I872" s="1">
        <v>6.54</v>
      </c>
    </row>
    <row r="873">
      <c r="A873" s="2" t="s">
        <v>2060</v>
      </c>
      <c r="B873" s="1">
        <v>200.0</v>
      </c>
      <c r="C873" s="1" t="s">
        <v>2061</v>
      </c>
      <c r="D873" s="1" t="s">
        <v>583</v>
      </c>
      <c r="F873" s="1">
        <v>1.0</v>
      </c>
      <c r="G873" s="1">
        <v>55.0</v>
      </c>
      <c r="H873" s="1">
        <v>0.018</v>
      </c>
      <c r="I873" s="1">
        <v>8.8</v>
      </c>
    </row>
    <row r="874">
      <c r="A874" s="2" t="s">
        <v>2062</v>
      </c>
      <c r="B874" s="1">
        <v>200.0</v>
      </c>
      <c r="C874" s="1" t="s">
        <v>2063</v>
      </c>
      <c r="D874" s="1" t="s">
        <v>583</v>
      </c>
      <c r="F874" s="1">
        <v>1.0</v>
      </c>
      <c r="G874" s="1">
        <v>8.0</v>
      </c>
      <c r="H874" s="1">
        <v>0.125</v>
      </c>
      <c r="I874" s="1">
        <v>3.88</v>
      </c>
    </row>
    <row r="875">
      <c r="A875" s="2" t="s">
        <v>2064</v>
      </c>
      <c r="B875" s="1">
        <v>200.0</v>
      </c>
      <c r="C875" s="1" t="s">
        <v>2065</v>
      </c>
      <c r="D875" s="1" t="s">
        <v>583</v>
      </c>
    </row>
    <row r="876">
      <c r="A876" s="2" t="s">
        <v>2066</v>
      </c>
      <c r="B876" s="1">
        <v>200.0</v>
      </c>
      <c r="C876" s="1" t="s">
        <v>2067</v>
      </c>
      <c r="D876" s="1" t="s">
        <v>583</v>
      </c>
      <c r="F876" s="1">
        <v>0.0</v>
      </c>
      <c r="G876" s="1">
        <v>1.0</v>
      </c>
      <c r="H876" s="1">
        <v>0.0</v>
      </c>
      <c r="I876" s="1">
        <v>11.0</v>
      </c>
    </row>
    <row r="877">
      <c r="A877" s="2" t="s">
        <v>2068</v>
      </c>
      <c r="B877" s="1">
        <v>200.0</v>
      </c>
      <c r="C877" s="1" t="s">
        <v>2069</v>
      </c>
      <c r="D877" s="1" t="s">
        <v>583</v>
      </c>
    </row>
    <row r="878">
      <c r="A878" s="2" t="s">
        <v>2070</v>
      </c>
      <c r="B878" s="1">
        <v>301.0</v>
      </c>
      <c r="D878" s="1" t="s">
        <v>609</v>
      </c>
      <c r="E878" s="1" t="s">
        <v>610</v>
      </c>
    </row>
    <row r="879">
      <c r="A879" s="2" t="s">
        <v>2071</v>
      </c>
      <c r="B879" s="1">
        <v>200.0</v>
      </c>
      <c r="C879" s="1" t="s">
        <v>2072</v>
      </c>
      <c r="D879" s="1" t="s">
        <v>583</v>
      </c>
    </row>
    <row r="880">
      <c r="A880" s="2" t="s">
        <v>2073</v>
      </c>
      <c r="B880" s="1">
        <v>200.0</v>
      </c>
      <c r="C880" s="1" t="s">
        <v>2074</v>
      </c>
      <c r="D880" s="1" t="s">
        <v>583</v>
      </c>
      <c r="F880" s="1">
        <v>0.0</v>
      </c>
      <c r="G880" s="1">
        <v>2.0</v>
      </c>
      <c r="H880" s="1">
        <v>0.0</v>
      </c>
      <c r="I880" s="1">
        <v>6.5</v>
      </c>
    </row>
    <row r="881">
      <c r="A881" s="2" t="s">
        <v>2075</v>
      </c>
      <c r="B881" s="1">
        <v>200.0</v>
      </c>
      <c r="C881" s="1" t="s">
        <v>2076</v>
      </c>
      <c r="D881" s="1" t="s">
        <v>583</v>
      </c>
      <c r="F881" s="1">
        <v>9.0</v>
      </c>
      <c r="G881" s="1">
        <v>2503.0</v>
      </c>
      <c r="H881" s="1">
        <v>0.004</v>
      </c>
      <c r="I881" s="1">
        <v>3.61</v>
      </c>
    </row>
    <row r="882">
      <c r="A882" s="2" t="s">
        <v>2077</v>
      </c>
      <c r="B882" s="1">
        <v>301.0</v>
      </c>
      <c r="D882" s="1" t="s">
        <v>609</v>
      </c>
      <c r="E882" s="1" t="s">
        <v>610</v>
      </c>
    </row>
    <row r="883">
      <c r="A883" s="2" t="s">
        <v>2078</v>
      </c>
      <c r="B883" s="1">
        <v>200.0</v>
      </c>
      <c r="C883" s="1" t="s">
        <v>2079</v>
      </c>
      <c r="D883" s="1" t="s">
        <v>583</v>
      </c>
      <c r="F883" s="1">
        <v>0.0</v>
      </c>
      <c r="G883" s="1">
        <v>5.0</v>
      </c>
      <c r="H883" s="1">
        <v>0.0</v>
      </c>
      <c r="I883" s="1">
        <v>10.8</v>
      </c>
    </row>
    <row r="884">
      <c r="A884" s="2" t="s">
        <v>2080</v>
      </c>
      <c r="B884" s="1">
        <v>200.0</v>
      </c>
      <c r="C884" s="1" t="s">
        <v>2081</v>
      </c>
      <c r="D884" s="1" t="s">
        <v>583</v>
      </c>
      <c r="F884" s="1">
        <v>0.0</v>
      </c>
      <c r="G884" s="1">
        <v>451.0</v>
      </c>
      <c r="H884" s="1">
        <v>0.0</v>
      </c>
      <c r="I884" s="1">
        <v>24.9</v>
      </c>
    </row>
    <row r="885">
      <c r="A885" s="2" t="s">
        <v>2082</v>
      </c>
      <c r="B885" s="1">
        <v>200.0</v>
      </c>
      <c r="C885" s="1" t="s">
        <v>2083</v>
      </c>
      <c r="D885" s="1" t="s">
        <v>583</v>
      </c>
      <c r="F885" s="1">
        <v>0.0</v>
      </c>
      <c r="G885" s="1">
        <v>79.0</v>
      </c>
      <c r="H885" s="1">
        <v>0.0</v>
      </c>
      <c r="I885" s="1">
        <v>42.27</v>
      </c>
    </row>
    <row r="886">
      <c r="A886" s="2" t="s">
        <v>2084</v>
      </c>
      <c r="B886" s="1">
        <v>200.0</v>
      </c>
      <c r="C886" s="1" t="s">
        <v>601</v>
      </c>
      <c r="D886" s="1" t="s">
        <v>609</v>
      </c>
      <c r="E886" s="1" t="s">
        <v>631</v>
      </c>
    </row>
    <row r="887">
      <c r="A887" s="2" t="s">
        <v>2085</v>
      </c>
      <c r="B887" s="1">
        <v>200.0</v>
      </c>
      <c r="C887" s="1" t="s">
        <v>2086</v>
      </c>
      <c r="D887" s="1" t="s">
        <v>583</v>
      </c>
      <c r="F887" s="1">
        <v>6.0</v>
      </c>
      <c r="G887" s="1">
        <v>1064.0</v>
      </c>
      <c r="H887" s="1">
        <v>0.006</v>
      </c>
      <c r="I887" s="1">
        <v>4.01</v>
      </c>
    </row>
    <row r="888">
      <c r="A888" s="2" t="s">
        <v>2087</v>
      </c>
      <c r="B888" s="1">
        <v>200.0</v>
      </c>
      <c r="C888" s="1" t="s">
        <v>2088</v>
      </c>
      <c r="D888" s="1" t="s">
        <v>583</v>
      </c>
      <c r="F888" s="1">
        <v>0.0</v>
      </c>
      <c r="G888" s="1">
        <v>4.0</v>
      </c>
      <c r="H888" s="1">
        <v>0.0</v>
      </c>
      <c r="I888" s="1">
        <v>14.75</v>
      </c>
    </row>
    <row r="889">
      <c r="A889" s="2" t="s">
        <v>2089</v>
      </c>
      <c r="B889" s="1">
        <v>200.0</v>
      </c>
      <c r="C889" s="1" t="s">
        <v>2090</v>
      </c>
      <c r="D889" s="1" t="s">
        <v>583</v>
      </c>
      <c r="F889" s="1">
        <v>0.0</v>
      </c>
      <c r="G889" s="1">
        <v>1.0</v>
      </c>
      <c r="H889" s="1">
        <v>0.0</v>
      </c>
      <c r="I889" s="1">
        <v>72.0</v>
      </c>
    </row>
    <row r="890">
      <c r="A890" s="2" t="s">
        <v>2091</v>
      </c>
      <c r="B890" s="1">
        <v>200.0</v>
      </c>
      <c r="C890" s="1" t="s">
        <v>2092</v>
      </c>
      <c r="D890" s="1" t="s">
        <v>583</v>
      </c>
      <c r="F890" s="1">
        <v>0.0</v>
      </c>
      <c r="G890" s="1">
        <v>82.0</v>
      </c>
      <c r="H890" s="1">
        <v>0.0</v>
      </c>
      <c r="I890" s="1">
        <v>26.06</v>
      </c>
    </row>
    <row r="891">
      <c r="A891" s="2" t="s">
        <v>2093</v>
      </c>
      <c r="B891" s="1">
        <v>200.0</v>
      </c>
      <c r="C891" s="1" t="s">
        <v>2094</v>
      </c>
      <c r="D891" s="1" t="s">
        <v>583</v>
      </c>
    </row>
    <row r="892">
      <c r="A892" s="2" t="s">
        <v>2095</v>
      </c>
      <c r="B892" s="1">
        <v>200.0</v>
      </c>
      <c r="C892" s="1" t="s">
        <v>2096</v>
      </c>
      <c r="D892" s="1" t="s">
        <v>583</v>
      </c>
      <c r="F892" s="1">
        <v>0.0</v>
      </c>
      <c r="G892" s="1">
        <v>278.0</v>
      </c>
      <c r="H892" s="1">
        <v>0.0</v>
      </c>
      <c r="I892" s="1">
        <v>2.47</v>
      </c>
    </row>
    <row r="893">
      <c r="A893" s="2" t="s">
        <v>2097</v>
      </c>
      <c r="B893" s="1">
        <v>200.0</v>
      </c>
      <c r="C893" s="1" t="s">
        <v>2098</v>
      </c>
      <c r="D893" s="1" t="s">
        <v>583</v>
      </c>
      <c r="F893" s="1">
        <v>0.0</v>
      </c>
      <c r="G893" s="1">
        <v>32.0</v>
      </c>
      <c r="H893" s="1">
        <v>0.0</v>
      </c>
      <c r="I893" s="1">
        <v>13.91</v>
      </c>
    </row>
    <row r="894">
      <c r="A894" s="2" t="s">
        <v>2099</v>
      </c>
      <c r="B894" s="1">
        <v>200.0</v>
      </c>
      <c r="C894" s="1" t="s">
        <v>2100</v>
      </c>
      <c r="D894" s="1" t="s">
        <v>583</v>
      </c>
      <c r="F894" s="1">
        <v>1.0</v>
      </c>
      <c r="G894" s="1">
        <v>10.0</v>
      </c>
      <c r="H894" s="1">
        <v>0.1</v>
      </c>
      <c r="I894" s="1">
        <v>92.3</v>
      </c>
    </row>
    <row r="895">
      <c r="A895" s="2" t="s">
        <v>2101</v>
      </c>
      <c r="B895" s="1">
        <v>200.0</v>
      </c>
      <c r="C895" s="1" t="s">
        <v>2102</v>
      </c>
      <c r="D895" s="1" t="s">
        <v>583</v>
      </c>
      <c r="F895" s="1">
        <v>0.0</v>
      </c>
      <c r="G895" s="1">
        <v>10.0</v>
      </c>
      <c r="H895" s="1">
        <v>0.0</v>
      </c>
      <c r="I895" s="1">
        <v>13.8</v>
      </c>
    </row>
    <row r="896">
      <c r="A896" s="2" t="s">
        <v>2103</v>
      </c>
      <c r="B896" s="1">
        <v>200.0</v>
      </c>
      <c r="C896" s="1" t="s">
        <v>2104</v>
      </c>
      <c r="D896" s="1" t="s">
        <v>583</v>
      </c>
      <c r="F896" s="1">
        <v>0.0</v>
      </c>
      <c r="G896" s="1">
        <v>308.0</v>
      </c>
      <c r="H896" s="1">
        <v>0.0</v>
      </c>
      <c r="I896" s="1">
        <v>13.33</v>
      </c>
    </row>
    <row r="897">
      <c r="A897" s="2" t="s">
        <v>2105</v>
      </c>
      <c r="B897" s="1">
        <v>200.0</v>
      </c>
      <c r="C897" s="1" t="s">
        <v>2106</v>
      </c>
      <c r="D897" s="1" t="s">
        <v>583</v>
      </c>
    </row>
    <row r="898">
      <c r="A898" s="2" t="s">
        <v>2107</v>
      </c>
      <c r="B898" s="1">
        <v>200.0</v>
      </c>
      <c r="C898" s="1" t="s">
        <v>2108</v>
      </c>
      <c r="D898" s="1" t="s">
        <v>583</v>
      </c>
      <c r="F898" s="1">
        <v>0.0</v>
      </c>
      <c r="G898" s="1">
        <v>6.0</v>
      </c>
      <c r="H898" s="1">
        <v>0.0</v>
      </c>
      <c r="I898" s="1">
        <v>6.33</v>
      </c>
    </row>
    <row r="899">
      <c r="A899" s="2" t="s">
        <v>2109</v>
      </c>
      <c r="B899" s="1">
        <v>200.0</v>
      </c>
      <c r="C899" s="1" t="s">
        <v>2110</v>
      </c>
      <c r="D899" s="1" t="s">
        <v>583</v>
      </c>
      <c r="F899" s="1">
        <v>0.0</v>
      </c>
      <c r="G899" s="1">
        <v>101.0</v>
      </c>
      <c r="H899" s="1">
        <v>0.0</v>
      </c>
      <c r="I899" s="1">
        <v>8.6</v>
      </c>
    </row>
    <row r="900">
      <c r="A900" s="2" t="s">
        <v>2111</v>
      </c>
      <c r="B900" s="1">
        <v>301.0</v>
      </c>
      <c r="D900" s="1" t="s">
        <v>609</v>
      </c>
      <c r="E900" s="1" t="s">
        <v>610</v>
      </c>
    </row>
    <row r="901">
      <c r="A901" s="2" t="s">
        <v>2112</v>
      </c>
      <c r="B901" s="1">
        <v>200.0</v>
      </c>
      <c r="C901" s="1" t="s">
        <v>2113</v>
      </c>
      <c r="D901" s="1" t="s">
        <v>583</v>
      </c>
      <c r="F901" s="1">
        <v>0.0</v>
      </c>
      <c r="G901" s="1">
        <v>7.0</v>
      </c>
      <c r="H901" s="1">
        <v>0.0</v>
      </c>
      <c r="I901" s="1">
        <v>10.57</v>
      </c>
    </row>
    <row r="902">
      <c r="A902" s="2" t="s">
        <v>2114</v>
      </c>
      <c r="B902" s="1">
        <v>200.0</v>
      </c>
      <c r="C902" s="1" t="s">
        <v>2115</v>
      </c>
      <c r="D902" s="1" t="s">
        <v>583</v>
      </c>
    </row>
    <row r="903">
      <c r="A903" s="2" t="s">
        <v>2116</v>
      </c>
      <c r="B903" s="1">
        <v>200.0</v>
      </c>
      <c r="C903" s="1" t="s">
        <v>2117</v>
      </c>
      <c r="D903" s="1" t="s">
        <v>583</v>
      </c>
      <c r="F903" s="1">
        <v>0.0</v>
      </c>
      <c r="G903" s="1">
        <v>20.0</v>
      </c>
      <c r="H903" s="1">
        <v>0.0</v>
      </c>
      <c r="I903" s="1">
        <v>11.7</v>
      </c>
    </row>
    <row r="904">
      <c r="A904" s="2" t="s">
        <v>2118</v>
      </c>
      <c r="B904" s="1">
        <v>200.0</v>
      </c>
      <c r="C904" s="1" t="s">
        <v>2119</v>
      </c>
      <c r="D904" s="1" t="s">
        <v>583</v>
      </c>
      <c r="F904" s="1">
        <v>5.0</v>
      </c>
      <c r="G904" s="1">
        <v>157.0</v>
      </c>
      <c r="H904" s="1">
        <v>0.032</v>
      </c>
      <c r="I904" s="1">
        <v>9.18</v>
      </c>
    </row>
    <row r="905">
      <c r="A905" s="2" t="s">
        <v>2120</v>
      </c>
      <c r="B905" s="1">
        <v>301.0</v>
      </c>
      <c r="D905" s="1" t="s">
        <v>609</v>
      </c>
      <c r="E905" s="1" t="s">
        <v>610</v>
      </c>
    </row>
    <row r="906">
      <c r="A906" s="2" t="s">
        <v>2121</v>
      </c>
      <c r="B906" s="1">
        <v>301.0</v>
      </c>
      <c r="D906" s="1" t="s">
        <v>609</v>
      </c>
      <c r="E906" s="1" t="s">
        <v>610</v>
      </c>
    </row>
    <row r="907">
      <c r="A907" s="2" t="s">
        <v>2122</v>
      </c>
      <c r="B907" s="1">
        <v>301.0</v>
      </c>
      <c r="D907" s="1" t="s">
        <v>609</v>
      </c>
      <c r="E907" s="1" t="s">
        <v>610</v>
      </c>
    </row>
    <row r="908">
      <c r="A908" s="2" t="s">
        <v>2123</v>
      </c>
      <c r="B908" s="1">
        <v>301.0</v>
      </c>
      <c r="D908" s="1" t="s">
        <v>609</v>
      </c>
      <c r="E908" s="1" t="s">
        <v>610</v>
      </c>
    </row>
    <row r="909">
      <c r="A909" s="2" t="s">
        <v>2124</v>
      </c>
      <c r="B909" s="1">
        <v>200.0</v>
      </c>
      <c r="C909" s="1" t="s">
        <v>2125</v>
      </c>
      <c r="D909" s="1" t="s">
        <v>583</v>
      </c>
      <c r="F909" s="1">
        <v>0.0</v>
      </c>
      <c r="G909" s="1">
        <v>115.0</v>
      </c>
      <c r="H909" s="1">
        <v>0.0</v>
      </c>
      <c r="I909" s="1">
        <v>65.74</v>
      </c>
    </row>
    <row r="910">
      <c r="A910" s="2" t="s">
        <v>2126</v>
      </c>
      <c r="B910" s="1">
        <v>200.0</v>
      </c>
      <c r="C910" s="1" t="s">
        <v>2127</v>
      </c>
      <c r="D910" s="1" t="s">
        <v>583</v>
      </c>
    </row>
    <row r="911">
      <c r="A911" s="2" t="s">
        <v>2128</v>
      </c>
      <c r="B911" s="1">
        <v>200.0</v>
      </c>
      <c r="C911" s="1" t="s">
        <v>2129</v>
      </c>
      <c r="D911" s="1" t="s">
        <v>583</v>
      </c>
    </row>
    <row r="912">
      <c r="A912" s="2" t="s">
        <v>2130</v>
      </c>
      <c r="B912" s="1">
        <v>200.0</v>
      </c>
      <c r="C912" s="1" t="s">
        <v>2131</v>
      </c>
      <c r="D912" s="1" t="s">
        <v>583</v>
      </c>
    </row>
    <row r="913">
      <c r="A913" s="2" t="s">
        <v>2132</v>
      </c>
      <c r="B913" s="1">
        <v>200.0</v>
      </c>
      <c r="C913" s="1" t="s">
        <v>2133</v>
      </c>
      <c r="D913" s="1" t="s">
        <v>583</v>
      </c>
      <c r="F913" s="1">
        <v>0.0</v>
      </c>
      <c r="G913" s="1">
        <v>1.0</v>
      </c>
      <c r="H913" s="1">
        <v>0.0</v>
      </c>
      <c r="I913" s="1">
        <v>12.0</v>
      </c>
    </row>
    <row r="914">
      <c r="A914" s="2" t="s">
        <v>2134</v>
      </c>
      <c r="B914" s="1">
        <v>200.0</v>
      </c>
      <c r="C914" s="1" t="s">
        <v>2135</v>
      </c>
      <c r="D914" s="1" t="s">
        <v>583</v>
      </c>
      <c r="F914" s="1">
        <v>3.0</v>
      </c>
      <c r="G914" s="1">
        <v>1656.0</v>
      </c>
      <c r="H914" s="1">
        <v>0.002</v>
      </c>
      <c r="I914" s="1">
        <v>21.41</v>
      </c>
    </row>
    <row r="915">
      <c r="A915" s="2" t="s">
        <v>2136</v>
      </c>
      <c r="B915" s="1">
        <v>200.0</v>
      </c>
      <c r="C915" s="1" t="s">
        <v>846</v>
      </c>
      <c r="D915" s="1" t="s">
        <v>609</v>
      </c>
      <c r="E915" s="1" t="s">
        <v>631</v>
      </c>
    </row>
    <row r="916">
      <c r="A916" s="2" t="s">
        <v>2137</v>
      </c>
      <c r="B916" s="1">
        <v>200.0</v>
      </c>
      <c r="C916" s="1" t="s">
        <v>582</v>
      </c>
      <c r="D916" s="1" t="s">
        <v>583</v>
      </c>
      <c r="F916" s="1">
        <v>0.0</v>
      </c>
      <c r="G916" s="1">
        <v>1.0</v>
      </c>
      <c r="H916" s="1">
        <v>0.0</v>
      </c>
      <c r="I916" s="1">
        <v>6.0</v>
      </c>
    </row>
    <row r="917">
      <c r="A917" s="2" t="s">
        <v>2138</v>
      </c>
      <c r="B917" s="1">
        <v>200.0</v>
      </c>
      <c r="C917" s="1" t="s">
        <v>2139</v>
      </c>
      <c r="D917" s="1" t="s">
        <v>583</v>
      </c>
      <c r="F917" s="1">
        <v>0.0</v>
      </c>
      <c r="G917" s="1">
        <v>42.0</v>
      </c>
      <c r="H917" s="1">
        <v>0.0</v>
      </c>
      <c r="I917" s="1">
        <v>35.69</v>
      </c>
    </row>
    <row r="918">
      <c r="A918" s="2" t="s">
        <v>2140</v>
      </c>
      <c r="B918" s="1">
        <v>301.0</v>
      </c>
      <c r="D918" s="1" t="s">
        <v>609</v>
      </c>
      <c r="E918" s="1" t="s">
        <v>610</v>
      </c>
    </row>
    <row r="919">
      <c r="A919" s="2" t="s">
        <v>2141</v>
      </c>
      <c r="B919" s="1">
        <v>200.0</v>
      </c>
      <c r="C919" s="1" t="s">
        <v>846</v>
      </c>
      <c r="D919" s="1" t="s">
        <v>609</v>
      </c>
      <c r="E919" s="1" t="s">
        <v>631</v>
      </c>
    </row>
    <row r="920">
      <c r="A920" s="2" t="s">
        <v>2142</v>
      </c>
      <c r="B920" s="1">
        <v>200.0</v>
      </c>
      <c r="C920" s="1" t="s">
        <v>582</v>
      </c>
      <c r="D920" s="1" t="s">
        <v>583</v>
      </c>
      <c r="F920" s="1">
        <v>0.0</v>
      </c>
      <c r="G920" s="1">
        <v>73.0</v>
      </c>
      <c r="H920" s="1">
        <v>0.0</v>
      </c>
      <c r="I920" s="1">
        <v>60.07</v>
      </c>
    </row>
    <row r="921">
      <c r="A921" s="2" t="s">
        <v>2143</v>
      </c>
      <c r="B921" s="1">
        <v>200.0</v>
      </c>
      <c r="C921" s="1" t="s">
        <v>2144</v>
      </c>
      <c r="D921" s="1" t="s">
        <v>583</v>
      </c>
      <c r="F921" s="1">
        <v>0.0</v>
      </c>
      <c r="G921" s="1">
        <v>1.0</v>
      </c>
      <c r="H921" s="1">
        <v>0.0</v>
      </c>
      <c r="I921" s="1">
        <v>7.0</v>
      </c>
    </row>
    <row r="922">
      <c r="A922" s="2" t="s">
        <v>2145</v>
      </c>
      <c r="B922" s="1">
        <v>200.0</v>
      </c>
      <c r="C922" s="1" t="s">
        <v>2146</v>
      </c>
      <c r="D922" s="1" t="s">
        <v>583</v>
      </c>
      <c r="F922" s="1">
        <v>0.0</v>
      </c>
      <c r="G922" s="1">
        <v>6.0</v>
      </c>
      <c r="H922" s="1">
        <v>0.0</v>
      </c>
      <c r="I922" s="1">
        <v>9.67</v>
      </c>
    </row>
    <row r="923">
      <c r="A923" s="2" t="s">
        <v>2147</v>
      </c>
      <c r="B923" s="1">
        <v>200.0</v>
      </c>
      <c r="C923" s="1" t="s">
        <v>2148</v>
      </c>
      <c r="D923" s="1" t="s">
        <v>583</v>
      </c>
    </row>
    <row r="924">
      <c r="A924" s="2" t="s">
        <v>2149</v>
      </c>
      <c r="B924" s="1">
        <v>200.0</v>
      </c>
      <c r="C924" s="1" t="s">
        <v>2150</v>
      </c>
      <c r="D924" s="1" t="s">
        <v>583</v>
      </c>
      <c r="F924" s="1">
        <v>0.0</v>
      </c>
      <c r="G924" s="1">
        <v>7.0</v>
      </c>
      <c r="H924" s="1">
        <v>0.0</v>
      </c>
      <c r="I924" s="1">
        <v>7.43</v>
      </c>
    </row>
    <row r="925">
      <c r="A925" s="2" t="s">
        <v>2151</v>
      </c>
      <c r="B925" s="1">
        <v>200.0</v>
      </c>
      <c r="C925" s="1" t="s">
        <v>2152</v>
      </c>
      <c r="D925" s="1" t="s">
        <v>583</v>
      </c>
      <c r="F925" s="1">
        <v>0.0</v>
      </c>
      <c r="G925" s="1">
        <v>4.0</v>
      </c>
      <c r="H925" s="1">
        <v>0.0</v>
      </c>
      <c r="I925" s="1">
        <v>24.75</v>
      </c>
    </row>
    <row r="926">
      <c r="A926" s="2" t="s">
        <v>2153</v>
      </c>
      <c r="B926" s="1">
        <v>200.0</v>
      </c>
      <c r="C926" s="1" t="s">
        <v>2154</v>
      </c>
      <c r="D926" s="1" t="s">
        <v>583</v>
      </c>
      <c r="F926" s="1">
        <v>0.0</v>
      </c>
      <c r="G926" s="1">
        <v>183.0</v>
      </c>
      <c r="H926" s="1">
        <v>0.0</v>
      </c>
      <c r="I926" s="1">
        <v>68.92</v>
      </c>
    </row>
    <row r="927">
      <c r="A927" s="2" t="s">
        <v>2155</v>
      </c>
      <c r="B927" s="1">
        <v>200.0</v>
      </c>
      <c r="C927" s="1" t="s">
        <v>2156</v>
      </c>
      <c r="D927" s="1" t="s">
        <v>583</v>
      </c>
      <c r="F927" s="1">
        <v>0.0</v>
      </c>
      <c r="G927" s="1">
        <v>11.0</v>
      </c>
      <c r="H927" s="1">
        <v>0.0</v>
      </c>
      <c r="I927" s="1">
        <v>13.27</v>
      </c>
    </row>
    <row r="928">
      <c r="A928" s="2" t="s">
        <v>2157</v>
      </c>
      <c r="B928" s="1">
        <v>200.0</v>
      </c>
      <c r="C928" s="1" t="s">
        <v>2158</v>
      </c>
      <c r="D928" s="1" t="s">
        <v>583</v>
      </c>
      <c r="F928" s="1">
        <v>1.0</v>
      </c>
      <c r="G928" s="1">
        <v>57.0</v>
      </c>
      <c r="H928" s="1">
        <v>0.018</v>
      </c>
      <c r="I928" s="1">
        <v>12.93</v>
      </c>
    </row>
    <row r="929">
      <c r="A929" s="2" t="s">
        <v>2159</v>
      </c>
      <c r="B929" s="1">
        <v>200.0</v>
      </c>
      <c r="C929" s="1" t="s">
        <v>2160</v>
      </c>
      <c r="D929" s="1" t="s">
        <v>583</v>
      </c>
      <c r="F929" s="1">
        <v>0.0</v>
      </c>
      <c r="G929" s="1">
        <v>12.0</v>
      </c>
      <c r="H929" s="1">
        <v>0.0</v>
      </c>
      <c r="I929" s="1">
        <v>5.08</v>
      </c>
    </row>
    <row r="930">
      <c r="A930" s="2" t="s">
        <v>2161</v>
      </c>
      <c r="B930" s="1">
        <v>200.0</v>
      </c>
      <c r="C930" s="1" t="s">
        <v>2162</v>
      </c>
      <c r="D930" s="1" t="s">
        <v>583</v>
      </c>
      <c r="F930" s="1">
        <v>1.0</v>
      </c>
      <c r="G930" s="1">
        <v>60.0</v>
      </c>
      <c r="H930" s="1">
        <v>0.017</v>
      </c>
      <c r="I930" s="1">
        <v>4.42</v>
      </c>
    </row>
    <row r="931">
      <c r="A931" s="2" t="s">
        <v>2163</v>
      </c>
      <c r="B931" s="1">
        <v>200.0</v>
      </c>
      <c r="C931" s="1" t="s">
        <v>2164</v>
      </c>
      <c r="D931" s="1" t="s">
        <v>583</v>
      </c>
    </row>
    <row r="932">
      <c r="A932" s="2" t="s">
        <v>2165</v>
      </c>
      <c r="B932" s="1">
        <v>200.0</v>
      </c>
      <c r="C932" s="1" t="s">
        <v>2166</v>
      </c>
      <c r="D932" s="1" t="s">
        <v>583</v>
      </c>
    </row>
    <row r="933">
      <c r="A933" s="2" t="s">
        <v>2167</v>
      </c>
      <c r="B933" s="1">
        <v>200.0</v>
      </c>
      <c r="C933" s="1" t="s">
        <v>2168</v>
      </c>
      <c r="D933" s="1" t="s">
        <v>583</v>
      </c>
      <c r="F933" s="1">
        <v>0.0</v>
      </c>
      <c r="G933" s="1">
        <v>26.0</v>
      </c>
      <c r="H933" s="1">
        <v>0.0</v>
      </c>
      <c r="I933" s="1">
        <v>19.19</v>
      </c>
    </row>
    <row r="934">
      <c r="A934" s="2" t="s">
        <v>2169</v>
      </c>
      <c r="B934" s="1">
        <v>200.0</v>
      </c>
      <c r="C934" s="1" t="s">
        <v>2170</v>
      </c>
      <c r="D934" s="1" t="s">
        <v>583</v>
      </c>
      <c r="F934" s="1">
        <v>0.0</v>
      </c>
      <c r="G934" s="1">
        <v>1.0</v>
      </c>
      <c r="H934" s="1">
        <v>0.0</v>
      </c>
      <c r="I934" s="1">
        <v>6.0</v>
      </c>
    </row>
    <row r="935">
      <c r="A935" s="2" t="s">
        <v>2171</v>
      </c>
      <c r="B935" s="1">
        <v>200.0</v>
      </c>
      <c r="C935" s="1" t="s">
        <v>2172</v>
      </c>
      <c r="D935" s="1" t="s">
        <v>583</v>
      </c>
    </row>
    <row r="936">
      <c r="A936" s="2" t="s">
        <v>2173</v>
      </c>
      <c r="B936" s="1">
        <v>200.0</v>
      </c>
      <c r="C936" s="1" t="s">
        <v>2174</v>
      </c>
      <c r="D936" s="1" t="s">
        <v>583</v>
      </c>
    </row>
    <row r="937">
      <c r="A937" s="2" t="s">
        <v>2175</v>
      </c>
      <c r="B937" s="1">
        <v>200.0</v>
      </c>
      <c r="C937" s="1" t="s">
        <v>2176</v>
      </c>
      <c r="D937" s="1" t="s">
        <v>583</v>
      </c>
      <c r="F937" s="1">
        <v>0.0</v>
      </c>
      <c r="G937" s="1">
        <v>80.0</v>
      </c>
      <c r="H937" s="1">
        <v>0.0</v>
      </c>
      <c r="I937" s="1">
        <v>13.4</v>
      </c>
    </row>
    <row r="938">
      <c r="A938" s="2" t="s">
        <v>2177</v>
      </c>
      <c r="B938" s="1">
        <v>301.0</v>
      </c>
      <c r="D938" s="1" t="s">
        <v>609</v>
      </c>
      <c r="E938" s="1" t="s">
        <v>610</v>
      </c>
    </row>
    <row r="939">
      <c r="A939" s="2" t="s">
        <v>2178</v>
      </c>
      <c r="B939" s="1">
        <v>200.0</v>
      </c>
      <c r="C939" s="1" t="s">
        <v>2179</v>
      </c>
      <c r="D939" s="1" t="s">
        <v>583</v>
      </c>
      <c r="F939" s="1">
        <v>0.0</v>
      </c>
      <c r="G939" s="1">
        <v>94.0</v>
      </c>
      <c r="H939" s="1">
        <v>0.0</v>
      </c>
      <c r="I939" s="1">
        <v>72.74</v>
      </c>
    </row>
    <row r="940">
      <c r="A940" s="2" t="s">
        <v>2180</v>
      </c>
      <c r="B940" s="1">
        <v>200.0</v>
      </c>
      <c r="C940" s="1" t="s">
        <v>2181</v>
      </c>
      <c r="D940" s="1" t="s">
        <v>583</v>
      </c>
      <c r="F940" s="1">
        <v>2.0</v>
      </c>
      <c r="G940" s="1">
        <v>44.0</v>
      </c>
      <c r="H940" s="1">
        <v>0.045</v>
      </c>
      <c r="I940" s="1">
        <v>8.57</v>
      </c>
    </row>
    <row r="941">
      <c r="A941" s="2" t="s">
        <v>2182</v>
      </c>
      <c r="B941" s="1">
        <v>200.0</v>
      </c>
      <c r="C941" s="1" t="s">
        <v>2183</v>
      </c>
      <c r="D941" s="1" t="s">
        <v>583</v>
      </c>
      <c r="F941" s="1">
        <v>0.0</v>
      </c>
      <c r="G941" s="1">
        <v>34.0</v>
      </c>
      <c r="H941" s="1">
        <v>0.0</v>
      </c>
      <c r="I941" s="1">
        <v>60.97</v>
      </c>
    </row>
    <row r="942">
      <c r="A942" s="2" t="s">
        <v>2184</v>
      </c>
      <c r="B942" s="1">
        <v>200.0</v>
      </c>
      <c r="C942" s="1" t="s">
        <v>2185</v>
      </c>
      <c r="D942" s="1" t="s">
        <v>583</v>
      </c>
      <c r="F942" s="1">
        <v>0.0</v>
      </c>
      <c r="G942" s="1">
        <v>512.0</v>
      </c>
      <c r="H942" s="1">
        <v>0.0</v>
      </c>
      <c r="I942" s="1">
        <v>16.28</v>
      </c>
    </row>
    <row r="943">
      <c r="A943" s="2" t="s">
        <v>2186</v>
      </c>
      <c r="B943" s="1">
        <v>200.0</v>
      </c>
      <c r="C943" s="1" t="s">
        <v>2187</v>
      </c>
      <c r="D943" s="1" t="s">
        <v>583</v>
      </c>
      <c r="F943" s="1">
        <v>0.0</v>
      </c>
      <c r="G943" s="1">
        <v>2.0</v>
      </c>
      <c r="H943" s="1">
        <v>0.0</v>
      </c>
      <c r="I943" s="1">
        <v>55.5</v>
      </c>
    </row>
    <row r="944">
      <c r="A944" s="2" t="s">
        <v>2188</v>
      </c>
      <c r="B944" s="1">
        <v>301.0</v>
      </c>
      <c r="D944" s="1" t="s">
        <v>609</v>
      </c>
      <c r="E944" s="1" t="s">
        <v>610</v>
      </c>
    </row>
    <row r="945">
      <c r="A945" s="2" t="s">
        <v>2189</v>
      </c>
      <c r="B945" s="1">
        <v>200.0</v>
      </c>
      <c r="C945" s="1" t="s">
        <v>2190</v>
      </c>
      <c r="D945" s="1" t="s">
        <v>583</v>
      </c>
      <c r="F945" s="1">
        <v>18.0</v>
      </c>
      <c r="G945" s="1">
        <v>1460.0</v>
      </c>
      <c r="H945" s="1">
        <v>0.012</v>
      </c>
      <c r="I945" s="1">
        <v>4.63</v>
      </c>
    </row>
    <row r="946">
      <c r="A946" s="2" t="s">
        <v>2191</v>
      </c>
      <c r="B946" s="1">
        <v>200.0</v>
      </c>
      <c r="C946" s="1" t="s">
        <v>2192</v>
      </c>
      <c r="D946" s="1" t="s">
        <v>583</v>
      </c>
      <c r="F946" s="1">
        <v>3.0</v>
      </c>
      <c r="G946" s="1">
        <v>854.0</v>
      </c>
      <c r="H946" s="1">
        <v>0.004</v>
      </c>
      <c r="I946" s="1">
        <v>42.17</v>
      </c>
    </row>
    <row r="947">
      <c r="A947" s="2" t="s">
        <v>2193</v>
      </c>
      <c r="B947" s="1">
        <v>301.0</v>
      </c>
      <c r="D947" s="1" t="s">
        <v>609</v>
      </c>
      <c r="E947" s="1" t="s">
        <v>610</v>
      </c>
    </row>
    <row r="948">
      <c r="A948" s="2" t="s">
        <v>2194</v>
      </c>
      <c r="B948" s="1">
        <v>301.0</v>
      </c>
      <c r="D948" s="1" t="s">
        <v>609</v>
      </c>
      <c r="E948" s="1" t="s">
        <v>610</v>
      </c>
    </row>
    <row r="949">
      <c r="A949" s="2" t="s">
        <v>2195</v>
      </c>
      <c r="B949" s="1">
        <v>200.0</v>
      </c>
      <c r="C949" s="1" t="s">
        <v>2196</v>
      </c>
      <c r="D949" s="1" t="s">
        <v>583</v>
      </c>
    </row>
    <row r="950">
      <c r="A950" s="2" t="s">
        <v>2197</v>
      </c>
      <c r="B950" s="1">
        <v>301.0</v>
      </c>
      <c r="D950" s="1" t="s">
        <v>609</v>
      </c>
      <c r="E950" s="1" t="s">
        <v>610</v>
      </c>
    </row>
    <row r="951">
      <c r="A951" s="2" t="s">
        <v>2198</v>
      </c>
      <c r="B951" s="1">
        <v>301.0</v>
      </c>
      <c r="D951" s="1" t="s">
        <v>609</v>
      </c>
      <c r="E951" s="1" t="s">
        <v>610</v>
      </c>
    </row>
    <row r="952">
      <c r="A952" s="2" t="s">
        <v>2199</v>
      </c>
      <c r="B952" s="1">
        <v>200.0</v>
      </c>
      <c r="C952" s="1" t="s">
        <v>2200</v>
      </c>
      <c r="D952" s="1" t="s">
        <v>583</v>
      </c>
    </row>
    <row r="953">
      <c r="A953" s="2" t="s">
        <v>2201</v>
      </c>
      <c r="B953" s="1">
        <v>200.0</v>
      </c>
      <c r="C953" s="1" t="s">
        <v>2202</v>
      </c>
      <c r="D953" s="1" t="s">
        <v>583</v>
      </c>
      <c r="F953" s="1">
        <v>0.0</v>
      </c>
      <c r="G953" s="1">
        <v>1.0</v>
      </c>
      <c r="H953" s="1">
        <v>0.0</v>
      </c>
      <c r="I953" s="1">
        <v>11.0</v>
      </c>
    </row>
    <row r="954">
      <c r="A954" s="2" t="s">
        <v>2203</v>
      </c>
      <c r="B954" s="1">
        <v>200.0</v>
      </c>
      <c r="C954" s="1" t="s">
        <v>2204</v>
      </c>
      <c r="D954" s="1" t="s">
        <v>583</v>
      </c>
      <c r="F954" s="1">
        <v>0.0</v>
      </c>
      <c r="G954" s="1">
        <v>61.0</v>
      </c>
      <c r="H954" s="1">
        <v>0.0</v>
      </c>
      <c r="I954" s="1">
        <v>20.77</v>
      </c>
    </row>
    <row r="955">
      <c r="A955" s="2" t="s">
        <v>2205</v>
      </c>
      <c r="B955" s="1">
        <v>200.0</v>
      </c>
      <c r="C955" s="1" t="s">
        <v>2206</v>
      </c>
      <c r="D955" s="1" t="s">
        <v>583</v>
      </c>
      <c r="F955" s="1">
        <v>0.0</v>
      </c>
      <c r="G955" s="1">
        <v>74.0</v>
      </c>
      <c r="H955" s="1">
        <v>0.0</v>
      </c>
      <c r="I955" s="1">
        <v>5.91</v>
      </c>
    </row>
    <row r="956">
      <c r="A956" s="2" t="s">
        <v>2207</v>
      </c>
      <c r="B956" s="1">
        <v>200.0</v>
      </c>
      <c r="C956" s="1" t="s">
        <v>2208</v>
      </c>
      <c r="D956" s="1" t="s">
        <v>583</v>
      </c>
      <c r="F956" s="1">
        <v>0.0</v>
      </c>
      <c r="G956" s="1">
        <v>57.0</v>
      </c>
      <c r="H956" s="1">
        <v>0.0</v>
      </c>
      <c r="I956" s="1">
        <v>4.16</v>
      </c>
    </row>
    <row r="957">
      <c r="A957" s="2" t="s">
        <v>2209</v>
      </c>
      <c r="B957" s="1">
        <v>200.0</v>
      </c>
      <c r="C957" s="1" t="s">
        <v>2210</v>
      </c>
      <c r="D957" s="1" t="s">
        <v>583</v>
      </c>
      <c r="F957" s="1">
        <v>0.0</v>
      </c>
      <c r="G957" s="1">
        <v>74.0</v>
      </c>
      <c r="H957" s="1">
        <v>0.0</v>
      </c>
      <c r="I957" s="1">
        <v>31.86</v>
      </c>
    </row>
    <row r="958">
      <c r="A958" s="2" t="s">
        <v>2211</v>
      </c>
      <c r="B958" s="1">
        <v>200.0</v>
      </c>
      <c r="C958" s="1" t="s">
        <v>2212</v>
      </c>
      <c r="D958" s="1" t="s">
        <v>583</v>
      </c>
      <c r="F958" s="1">
        <v>0.0</v>
      </c>
      <c r="G958" s="1">
        <v>43.0</v>
      </c>
      <c r="H958" s="1">
        <v>0.0</v>
      </c>
      <c r="I958" s="1">
        <v>6.53</v>
      </c>
    </row>
    <row r="959">
      <c r="A959" s="2" t="s">
        <v>2213</v>
      </c>
      <c r="B959" s="1">
        <v>200.0</v>
      </c>
      <c r="C959" s="1" t="s">
        <v>2214</v>
      </c>
      <c r="D959" s="1" t="s">
        <v>583</v>
      </c>
    </row>
    <row r="960">
      <c r="A960" s="2" t="s">
        <v>2215</v>
      </c>
      <c r="B960" s="1">
        <v>301.0</v>
      </c>
      <c r="D960" s="1" t="s">
        <v>609</v>
      </c>
      <c r="E960" s="1" t="s">
        <v>610</v>
      </c>
    </row>
    <row r="961">
      <c r="A961" s="2" t="s">
        <v>2216</v>
      </c>
      <c r="B961" s="1">
        <v>301.0</v>
      </c>
      <c r="D961" s="1" t="s">
        <v>609</v>
      </c>
      <c r="E961" s="1" t="s">
        <v>610</v>
      </c>
    </row>
    <row r="962">
      <c r="A962" s="2" t="s">
        <v>2217</v>
      </c>
      <c r="B962" s="1">
        <v>200.0</v>
      </c>
      <c r="C962" s="1" t="s">
        <v>2218</v>
      </c>
      <c r="D962" s="1" t="s">
        <v>583</v>
      </c>
      <c r="F962" s="1">
        <v>0.0</v>
      </c>
      <c r="G962" s="1">
        <v>25.0</v>
      </c>
      <c r="H962" s="1">
        <v>0.0</v>
      </c>
      <c r="I962" s="1">
        <v>2.04</v>
      </c>
    </row>
    <row r="963">
      <c r="A963" s="2" t="s">
        <v>2219</v>
      </c>
      <c r="B963" s="1">
        <v>200.0</v>
      </c>
      <c r="C963" s="1" t="s">
        <v>2220</v>
      </c>
      <c r="D963" s="1" t="s">
        <v>583</v>
      </c>
      <c r="F963" s="1">
        <v>0.0</v>
      </c>
      <c r="G963" s="1">
        <v>19.0</v>
      </c>
      <c r="H963" s="1">
        <v>0.0</v>
      </c>
      <c r="I963" s="1">
        <v>94.79</v>
      </c>
    </row>
    <row r="964">
      <c r="A964" s="2" t="s">
        <v>2221</v>
      </c>
      <c r="B964" s="1">
        <v>301.0</v>
      </c>
      <c r="D964" s="1" t="s">
        <v>609</v>
      </c>
      <c r="E964" s="1" t="s">
        <v>610</v>
      </c>
    </row>
    <row r="965">
      <c r="A965" s="2" t="s">
        <v>2222</v>
      </c>
      <c r="B965" s="1">
        <v>301.0</v>
      </c>
      <c r="D965" s="1" t="s">
        <v>609</v>
      </c>
      <c r="E965" s="1" t="s">
        <v>610</v>
      </c>
    </row>
    <row r="966">
      <c r="A966" s="2" t="s">
        <v>2223</v>
      </c>
      <c r="B966" s="1">
        <v>301.0</v>
      </c>
      <c r="D966" s="1" t="s">
        <v>609</v>
      </c>
      <c r="E966" s="1" t="s">
        <v>610</v>
      </c>
    </row>
    <row r="967">
      <c r="A967" s="2" t="s">
        <v>2224</v>
      </c>
      <c r="B967" s="1">
        <v>301.0</v>
      </c>
      <c r="D967" s="1" t="s">
        <v>609</v>
      </c>
      <c r="E967" s="1" t="s">
        <v>610</v>
      </c>
    </row>
    <row r="968">
      <c r="A968" s="2" t="s">
        <v>2225</v>
      </c>
      <c r="B968" s="1">
        <v>200.0</v>
      </c>
      <c r="C968" s="1" t="s">
        <v>2226</v>
      </c>
      <c r="D968" s="1" t="s">
        <v>583</v>
      </c>
      <c r="F968" s="1">
        <v>0.0</v>
      </c>
      <c r="G968" s="1">
        <v>8.0</v>
      </c>
      <c r="H968" s="1">
        <v>0.0</v>
      </c>
      <c r="I968" s="1">
        <v>1.0</v>
      </c>
    </row>
    <row r="969">
      <c r="A969" s="2" t="s">
        <v>2227</v>
      </c>
      <c r="B969" s="1">
        <v>200.0</v>
      </c>
      <c r="C969" s="1" t="s">
        <v>2228</v>
      </c>
      <c r="D969" s="1" t="s">
        <v>583</v>
      </c>
      <c r="F969" s="1">
        <v>0.0</v>
      </c>
      <c r="G969" s="1">
        <v>239.0</v>
      </c>
      <c r="H969" s="1">
        <v>0.0</v>
      </c>
      <c r="I969" s="1">
        <v>23.25</v>
      </c>
    </row>
    <row r="970">
      <c r="A970" s="2" t="s">
        <v>2229</v>
      </c>
      <c r="B970" s="1">
        <v>301.0</v>
      </c>
      <c r="D970" s="1" t="s">
        <v>609</v>
      </c>
      <c r="E970" s="1" t="s">
        <v>610</v>
      </c>
    </row>
    <row r="971">
      <c r="A971" s="2" t="s">
        <v>2230</v>
      </c>
      <c r="B971" s="1">
        <v>200.0</v>
      </c>
      <c r="C971" s="1" t="s">
        <v>2231</v>
      </c>
      <c r="D971" s="1" t="s">
        <v>583</v>
      </c>
      <c r="F971" s="1">
        <v>0.0</v>
      </c>
      <c r="G971" s="1">
        <v>5.0</v>
      </c>
      <c r="H971" s="1">
        <v>0.0</v>
      </c>
      <c r="I971" s="1">
        <v>18.0</v>
      </c>
    </row>
    <row r="972">
      <c r="A972" s="2" t="s">
        <v>2232</v>
      </c>
      <c r="B972" s="1">
        <v>200.0</v>
      </c>
      <c r="C972" s="1" t="s">
        <v>2233</v>
      </c>
      <c r="D972" s="1" t="s">
        <v>583</v>
      </c>
      <c r="F972" s="1">
        <v>0.0</v>
      </c>
      <c r="G972" s="1">
        <v>7.0</v>
      </c>
      <c r="H972" s="1">
        <v>0.0</v>
      </c>
      <c r="I972" s="1">
        <v>10.43</v>
      </c>
    </row>
    <row r="973">
      <c r="A973" s="2" t="s">
        <v>2234</v>
      </c>
      <c r="B973" s="1">
        <v>200.0</v>
      </c>
      <c r="C973" s="1" t="s">
        <v>1714</v>
      </c>
      <c r="D973" s="1" t="s">
        <v>609</v>
      </c>
      <c r="E973" s="1" t="s">
        <v>631</v>
      </c>
    </row>
    <row r="974">
      <c r="A974" s="2" t="s">
        <v>2235</v>
      </c>
      <c r="B974" s="1">
        <v>200.0</v>
      </c>
      <c r="C974" s="1" t="s">
        <v>2236</v>
      </c>
      <c r="D974" s="1" t="s">
        <v>583</v>
      </c>
      <c r="F974" s="1">
        <v>0.0</v>
      </c>
      <c r="G974" s="1">
        <v>3.0</v>
      </c>
      <c r="H974" s="1">
        <v>0.0</v>
      </c>
      <c r="I974" s="1">
        <v>9.0</v>
      </c>
    </row>
    <row r="975">
      <c r="A975" s="2" t="s">
        <v>2237</v>
      </c>
      <c r="B975" s="1">
        <v>200.0</v>
      </c>
      <c r="C975" s="1" t="s">
        <v>2238</v>
      </c>
      <c r="D975" s="1" t="s">
        <v>583</v>
      </c>
      <c r="F975" s="1">
        <v>0.0</v>
      </c>
      <c r="G975" s="1">
        <v>2.0</v>
      </c>
      <c r="H975" s="1">
        <v>0.0</v>
      </c>
      <c r="I975" s="1">
        <v>9.0</v>
      </c>
    </row>
    <row r="976">
      <c r="A976" s="2" t="s">
        <v>2239</v>
      </c>
      <c r="B976" s="1">
        <v>200.0</v>
      </c>
      <c r="C976" s="1" t="s">
        <v>2240</v>
      </c>
      <c r="D976" s="1" t="s">
        <v>583</v>
      </c>
      <c r="F976" s="1">
        <v>0.0</v>
      </c>
      <c r="G976" s="1">
        <v>21.0</v>
      </c>
      <c r="H976" s="1">
        <v>0.0</v>
      </c>
      <c r="I976" s="1">
        <v>13.14</v>
      </c>
    </row>
    <row r="977">
      <c r="A977" s="2" t="s">
        <v>2241</v>
      </c>
      <c r="B977" s="1">
        <v>200.0</v>
      </c>
      <c r="C977" s="1" t="s">
        <v>2242</v>
      </c>
      <c r="D977" s="1" t="s">
        <v>583</v>
      </c>
      <c r="F977" s="1">
        <v>0.0</v>
      </c>
      <c r="G977" s="1">
        <v>11.0</v>
      </c>
      <c r="H977" s="1">
        <v>0.0</v>
      </c>
      <c r="I977" s="1">
        <v>14.91</v>
      </c>
    </row>
    <row r="978">
      <c r="A978" s="2" t="s">
        <v>2243</v>
      </c>
      <c r="B978" s="1">
        <v>200.0</v>
      </c>
      <c r="C978" s="1" t="s">
        <v>2244</v>
      </c>
      <c r="D978" s="1" t="s">
        <v>583</v>
      </c>
      <c r="F978" s="1">
        <v>0.0</v>
      </c>
      <c r="G978" s="1">
        <v>1.0</v>
      </c>
      <c r="H978" s="1">
        <v>0.0</v>
      </c>
      <c r="I978" s="1">
        <v>4.0</v>
      </c>
    </row>
    <row r="979">
      <c r="A979" s="2" t="s">
        <v>2245</v>
      </c>
      <c r="B979" s="1">
        <v>200.0</v>
      </c>
      <c r="C979" s="1" t="s">
        <v>2246</v>
      </c>
      <c r="D979" s="1" t="s">
        <v>583</v>
      </c>
      <c r="F979" s="1">
        <v>0.0</v>
      </c>
      <c r="G979" s="1">
        <v>3.0</v>
      </c>
      <c r="H979" s="1">
        <v>0.0</v>
      </c>
      <c r="I979" s="1">
        <v>5.0</v>
      </c>
    </row>
    <row r="980">
      <c r="A980" s="2" t="s">
        <v>2247</v>
      </c>
      <c r="B980" s="1">
        <v>200.0</v>
      </c>
      <c r="C980" s="1" t="s">
        <v>2248</v>
      </c>
      <c r="D980" s="1" t="s">
        <v>583</v>
      </c>
      <c r="F980" s="1">
        <v>0.0</v>
      </c>
      <c r="G980" s="1">
        <v>445.0</v>
      </c>
      <c r="H980" s="1">
        <v>0.0</v>
      </c>
      <c r="I980" s="1">
        <v>13.51</v>
      </c>
    </row>
    <row r="981">
      <c r="A981" s="2" t="s">
        <v>2249</v>
      </c>
      <c r="B981" s="1">
        <v>200.0</v>
      </c>
      <c r="C981" s="1" t="s">
        <v>2250</v>
      </c>
      <c r="D981" s="1" t="s">
        <v>583</v>
      </c>
      <c r="F981" s="1">
        <v>0.0</v>
      </c>
      <c r="G981" s="1">
        <v>3822.0</v>
      </c>
      <c r="H981" s="1">
        <v>0.0</v>
      </c>
      <c r="I981" s="1">
        <v>67.47</v>
      </c>
    </row>
    <row r="982">
      <c r="A982" s="2" t="s">
        <v>2251</v>
      </c>
      <c r="B982" s="1">
        <v>200.0</v>
      </c>
      <c r="C982" s="1" t="s">
        <v>2252</v>
      </c>
      <c r="D982" s="1" t="s">
        <v>583</v>
      </c>
    </row>
    <row r="983">
      <c r="A983" s="2" t="s">
        <v>2253</v>
      </c>
      <c r="B983" s="1">
        <v>200.0</v>
      </c>
      <c r="C983" s="1" t="s">
        <v>2254</v>
      </c>
      <c r="D983" s="1" t="s">
        <v>583</v>
      </c>
      <c r="F983" s="1">
        <v>16.0</v>
      </c>
      <c r="G983" s="1">
        <v>12949.0</v>
      </c>
      <c r="H983" s="1">
        <v>0.001</v>
      </c>
      <c r="I983" s="1">
        <v>6.13</v>
      </c>
    </row>
    <row r="984">
      <c r="A984" s="2" t="s">
        <v>2255</v>
      </c>
      <c r="B984" s="1">
        <v>200.0</v>
      </c>
      <c r="C984" s="1" t="s">
        <v>2256</v>
      </c>
      <c r="D984" s="1" t="s">
        <v>583</v>
      </c>
      <c r="F984" s="1">
        <v>0.0</v>
      </c>
      <c r="G984" s="1">
        <v>14.0</v>
      </c>
      <c r="H984" s="1">
        <v>0.0</v>
      </c>
      <c r="I984" s="1">
        <v>14.86</v>
      </c>
    </row>
    <row r="985">
      <c r="A985" s="2" t="s">
        <v>2257</v>
      </c>
      <c r="B985" s="1">
        <v>200.0</v>
      </c>
      <c r="C985" s="1" t="s">
        <v>2258</v>
      </c>
      <c r="D985" s="1" t="s">
        <v>583</v>
      </c>
    </row>
    <row r="986">
      <c r="A986" s="2" t="s">
        <v>2259</v>
      </c>
      <c r="B986" s="1">
        <v>200.0</v>
      </c>
      <c r="C986" s="1" t="s">
        <v>2260</v>
      </c>
      <c r="D986" s="1" t="s">
        <v>583</v>
      </c>
    </row>
    <row r="987">
      <c r="A987" s="2" t="s">
        <v>2261</v>
      </c>
      <c r="B987" s="1">
        <v>200.0</v>
      </c>
      <c r="C987" s="1" t="s">
        <v>2262</v>
      </c>
      <c r="D987" s="1" t="s">
        <v>583</v>
      </c>
    </row>
    <row r="988">
      <c r="A988" s="2" t="s">
        <v>2263</v>
      </c>
      <c r="B988" s="1">
        <v>301.0</v>
      </c>
      <c r="D988" s="1" t="s">
        <v>609</v>
      </c>
      <c r="E988" s="1" t="s">
        <v>610</v>
      </c>
    </row>
    <row r="989">
      <c r="A989" s="2" t="s">
        <v>2264</v>
      </c>
      <c r="B989" s="1">
        <v>301.0</v>
      </c>
      <c r="D989" s="1" t="s">
        <v>609</v>
      </c>
      <c r="E989" s="1" t="s">
        <v>610</v>
      </c>
    </row>
    <row r="990">
      <c r="A990" s="2" t="s">
        <v>2265</v>
      </c>
      <c r="B990" s="1">
        <v>200.0</v>
      </c>
      <c r="C990" s="1" t="s">
        <v>2266</v>
      </c>
      <c r="D990" s="1" t="s">
        <v>583</v>
      </c>
      <c r="F990" s="1">
        <v>0.0</v>
      </c>
      <c r="G990" s="1">
        <v>60.0</v>
      </c>
      <c r="H990" s="1">
        <v>0.0</v>
      </c>
      <c r="I990" s="1">
        <v>10.5</v>
      </c>
    </row>
    <row r="991">
      <c r="A991" s="2" t="s">
        <v>2267</v>
      </c>
      <c r="B991" s="1">
        <v>200.0</v>
      </c>
      <c r="C991" s="1" t="s">
        <v>2268</v>
      </c>
      <c r="D991" s="1" t="s">
        <v>583</v>
      </c>
    </row>
    <row r="992">
      <c r="A992" s="2" t="s">
        <v>2269</v>
      </c>
      <c r="B992" s="1">
        <v>200.0</v>
      </c>
      <c r="C992" s="1" t="s">
        <v>2270</v>
      </c>
      <c r="D992" s="1" t="s">
        <v>583</v>
      </c>
    </row>
    <row r="993">
      <c r="A993" s="2" t="s">
        <v>2271</v>
      </c>
      <c r="B993" s="1">
        <v>200.0</v>
      </c>
      <c r="C993" s="1" t="s">
        <v>2272</v>
      </c>
      <c r="D993" s="1" t="s">
        <v>583</v>
      </c>
      <c r="F993" s="1">
        <v>0.0</v>
      </c>
      <c r="G993" s="1">
        <v>32.0</v>
      </c>
      <c r="H993" s="1">
        <v>0.0</v>
      </c>
      <c r="I993" s="1">
        <v>31.5</v>
      </c>
    </row>
    <row r="994">
      <c r="A994" s="2" t="s">
        <v>2273</v>
      </c>
      <c r="B994" s="1">
        <v>200.0</v>
      </c>
      <c r="C994" s="1" t="s">
        <v>2274</v>
      </c>
      <c r="D994" s="1" t="s">
        <v>583</v>
      </c>
      <c r="F994" s="1">
        <v>37.0</v>
      </c>
      <c r="G994" s="1">
        <v>4624.0</v>
      </c>
      <c r="H994" s="1">
        <v>0.008</v>
      </c>
      <c r="I994" s="1">
        <v>5.19</v>
      </c>
    </row>
    <row r="995">
      <c r="A995" s="2" t="s">
        <v>2275</v>
      </c>
      <c r="B995" s="1">
        <v>200.0</v>
      </c>
      <c r="C995" s="1" t="s">
        <v>2276</v>
      </c>
      <c r="D995" s="1" t="s">
        <v>583</v>
      </c>
      <c r="F995" s="1">
        <v>0.0</v>
      </c>
      <c r="G995" s="1">
        <v>1.0</v>
      </c>
      <c r="H995" s="1">
        <v>0.0</v>
      </c>
      <c r="I995" s="1">
        <v>13.0</v>
      </c>
    </row>
    <row r="996">
      <c r="A996" s="2" t="s">
        <v>2277</v>
      </c>
      <c r="B996" s="1">
        <v>200.0</v>
      </c>
      <c r="C996" s="1" t="s">
        <v>846</v>
      </c>
      <c r="D996" s="1" t="s">
        <v>609</v>
      </c>
      <c r="E996" s="1" t="s">
        <v>631</v>
      </c>
    </row>
    <row r="997">
      <c r="A997" s="2" t="s">
        <v>2278</v>
      </c>
      <c r="B997" s="1">
        <v>200.0</v>
      </c>
      <c r="C997" s="1" t="s">
        <v>2279</v>
      </c>
      <c r="D997" s="1" t="s">
        <v>583</v>
      </c>
      <c r="F997" s="1">
        <v>0.0</v>
      </c>
      <c r="G997" s="1">
        <v>1.0</v>
      </c>
      <c r="H997" s="1">
        <v>0.0</v>
      </c>
      <c r="I997" s="1">
        <v>1.0</v>
      </c>
    </row>
    <row r="998">
      <c r="A998" s="2" t="s">
        <v>2280</v>
      </c>
      <c r="B998" s="1">
        <v>200.0</v>
      </c>
      <c r="C998" s="1" t="s">
        <v>582</v>
      </c>
      <c r="D998" s="1" t="s">
        <v>583</v>
      </c>
    </row>
    <row r="999">
      <c r="A999" s="2" t="s">
        <v>2281</v>
      </c>
      <c r="B999" s="1">
        <v>200.0</v>
      </c>
      <c r="C999" s="1" t="s">
        <v>2282</v>
      </c>
      <c r="D999" s="1" t="s">
        <v>583</v>
      </c>
      <c r="F999" s="1">
        <v>0.0</v>
      </c>
      <c r="G999" s="1">
        <v>5.0</v>
      </c>
      <c r="H999" s="1">
        <v>0.0</v>
      </c>
      <c r="I999" s="1">
        <v>5.6</v>
      </c>
    </row>
    <row r="1000">
      <c r="A1000" s="2" t="s">
        <v>2283</v>
      </c>
      <c r="B1000" s="1">
        <v>200.0</v>
      </c>
      <c r="C1000" s="1" t="s">
        <v>846</v>
      </c>
      <c r="D1000" s="1" t="s">
        <v>609</v>
      </c>
      <c r="E1000" s="1" t="s">
        <v>631</v>
      </c>
    </row>
    <row r="1001">
      <c r="A1001" s="2" t="s">
        <v>2284</v>
      </c>
      <c r="B1001" s="1">
        <v>200.0</v>
      </c>
      <c r="C1001" s="1" t="s">
        <v>2285</v>
      </c>
      <c r="D1001" s="1" t="s">
        <v>583</v>
      </c>
    </row>
    <row r="1002">
      <c r="A1002" s="2" t="s">
        <v>2286</v>
      </c>
      <c r="B1002" s="1">
        <v>200.0</v>
      </c>
      <c r="C1002" s="1" t="s">
        <v>582</v>
      </c>
      <c r="D1002" s="1" t="s">
        <v>583</v>
      </c>
      <c r="F1002" s="1">
        <v>0.0</v>
      </c>
      <c r="G1002" s="1">
        <v>7.0</v>
      </c>
      <c r="H1002" s="1">
        <v>0.0</v>
      </c>
      <c r="I1002" s="1">
        <v>46.43</v>
      </c>
    </row>
    <row r="1003">
      <c r="A1003" s="2" t="s">
        <v>2287</v>
      </c>
      <c r="B1003" s="1">
        <v>200.0</v>
      </c>
      <c r="C1003" s="1" t="s">
        <v>2288</v>
      </c>
      <c r="D1003" s="1" t="s">
        <v>583</v>
      </c>
    </row>
    <row r="1004">
      <c r="A1004" s="2" t="s">
        <v>2289</v>
      </c>
      <c r="B1004" s="1">
        <v>200.0</v>
      </c>
      <c r="C1004" s="1" t="s">
        <v>2290</v>
      </c>
      <c r="D1004" s="1" t="s">
        <v>583</v>
      </c>
      <c r="F1004" s="1">
        <v>0.0</v>
      </c>
      <c r="G1004" s="1">
        <v>8.0</v>
      </c>
      <c r="H1004" s="1">
        <v>0.0</v>
      </c>
      <c r="I1004" s="1">
        <v>16.13</v>
      </c>
    </row>
    <row r="1005">
      <c r="A1005" s="2" t="s">
        <v>2291</v>
      </c>
      <c r="B1005" s="1">
        <v>200.0</v>
      </c>
      <c r="C1005" s="1" t="s">
        <v>2292</v>
      </c>
      <c r="D1005" s="1" t="s">
        <v>583</v>
      </c>
    </row>
    <row r="1006">
      <c r="A1006" s="2" t="s">
        <v>2293</v>
      </c>
      <c r="B1006" s="1">
        <v>200.0</v>
      </c>
      <c r="C1006" s="1" t="s">
        <v>2294</v>
      </c>
      <c r="D1006" s="1" t="s">
        <v>583</v>
      </c>
      <c r="F1006" s="1">
        <v>8.0</v>
      </c>
      <c r="G1006" s="1">
        <v>212.0</v>
      </c>
      <c r="H1006" s="1">
        <v>0.038</v>
      </c>
      <c r="I1006" s="1">
        <v>7.75</v>
      </c>
    </row>
    <row r="1007">
      <c r="A1007" s="2" t="s">
        <v>2295</v>
      </c>
      <c r="B1007" s="1">
        <v>200.0</v>
      </c>
      <c r="C1007" s="1" t="s">
        <v>2296</v>
      </c>
      <c r="D1007" s="1" t="s">
        <v>583</v>
      </c>
      <c r="F1007" s="1">
        <v>0.0</v>
      </c>
      <c r="G1007" s="1">
        <v>369.0</v>
      </c>
      <c r="H1007" s="1">
        <v>0.0</v>
      </c>
      <c r="I1007" s="1">
        <v>17.12</v>
      </c>
    </row>
    <row r="1008">
      <c r="A1008" s="2" t="s">
        <v>2297</v>
      </c>
      <c r="B1008" s="1">
        <v>301.0</v>
      </c>
      <c r="D1008" s="1" t="s">
        <v>609</v>
      </c>
      <c r="E1008" s="1" t="s">
        <v>610</v>
      </c>
    </row>
    <row r="1009">
      <c r="A1009" s="2" t="s">
        <v>2298</v>
      </c>
      <c r="B1009" s="1">
        <v>200.0</v>
      </c>
      <c r="C1009" s="1" t="s">
        <v>2299</v>
      </c>
      <c r="D1009" s="1" t="s">
        <v>583</v>
      </c>
      <c r="F1009" s="1">
        <v>0.0</v>
      </c>
      <c r="G1009" s="1">
        <v>70.0</v>
      </c>
      <c r="H1009" s="1">
        <v>0.0</v>
      </c>
      <c r="I1009" s="1">
        <v>11.04</v>
      </c>
    </row>
    <row r="1010">
      <c r="A1010" s="2" t="s">
        <v>2300</v>
      </c>
      <c r="B1010" s="1">
        <v>200.0</v>
      </c>
      <c r="C1010" s="1" t="s">
        <v>2301</v>
      </c>
      <c r="D1010" s="1" t="s">
        <v>583</v>
      </c>
      <c r="F1010" s="1">
        <v>0.0</v>
      </c>
      <c r="G1010" s="1">
        <v>7.0</v>
      </c>
      <c r="H1010" s="1">
        <v>0.0</v>
      </c>
      <c r="I1010" s="1">
        <v>27.71</v>
      </c>
    </row>
    <row r="1011">
      <c r="A1011" s="2" t="s">
        <v>2302</v>
      </c>
      <c r="B1011" s="1">
        <v>200.0</v>
      </c>
      <c r="C1011" s="1" t="s">
        <v>2303</v>
      </c>
      <c r="D1011" s="1" t="s">
        <v>583</v>
      </c>
      <c r="F1011" s="1">
        <v>10.0</v>
      </c>
      <c r="G1011" s="1">
        <v>2668.0</v>
      </c>
      <c r="H1011" s="1">
        <v>0.004</v>
      </c>
      <c r="I1011" s="1">
        <v>7.82</v>
      </c>
    </row>
    <row r="1012">
      <c r="A1012" s="2" t="s">
        <v>2304</v>
      </c>
      <c r="B1012" s="1">
        <v>200.0</v>
      </c>
      <c r="C1012" s="1" t="s">
        <v>2305</v>
      </c>
      <c r="D1012" s="1" t="s">
        <v>583</v>
      </c>
    </row>
    <row r="1013">
      <c r="A1013" s="2" t="s">
        <v>2306</v>
      </c>
      <c r="B1013" s="1">
        <v>200.0</v>
      </c>
      <c r="C1013" s="1" t="s">
        <v>2307</v>
      </c>
      <c r="D1013" s="1" t="s">
        <v>583</v>
      </c>
      <c r="F1013" s="1">
        <v>0.0</v>
      </c>
      <c r="G1013" s="1">
        <v>1.0</v>
      </c>
      <c r="H1013" s="1">
        <v>0.0</v>
      </c>
      <c r="I1013" s="1">
        <v>55.0</v>
      </c>
    </row>
    <row r="1014">
      <c r="A1014" s="2" t="s">
        <v>2308</v>
      </c>
      <c r="B1014" s="1">
        <v>200.0</v>
      </c>
      <c r="C1014" s="1" t="s">
        <v>2309</v>
      </c>
      <c r="D1014" s="1" t="s">
        <v>583</v>
      </c>
    </row>
    <row r="1015">
      <c r="A1015" s="2" t="s">
        <v>2310</v>
      </c>
      <c r="B1015" s="1">
        <v>200.0</v>
      </c>
      <c r="C1015" s="1" t="s">
        <v>2311</v>
      </c>
      <c r="D1015" s="1" t="s">
        <v>583</v>
      </c>
    </row>
    <row r="1016">
      <c r="A1016" s="2" t="s">
        <v>2312</v>
      </c>
      <c r="B1016" s="1">
        <v>200.0</v>
      </c>
      <c r="C1016" s="1" t="s">
        <v>2313</v>
      </c>
      <c r="D1016" s="1" t="s">
        <v>583</v>
      </c>
      <c r="F1016" s="1">
        <v>0.0</v>
      </c>
      <c r="G1016" s="1">
        <v>295.0</v>
      </c>
      <c r="H1016" s="1">
        <v>0.0</v>
      </c>
      <c r="I1016" s="1">
        <v>41.72</v>
      </c>
    </row>
    <row r="1017">
      <c r="A1017" s="2" t="s">
        <v>2314</v>
      </c>
      <c r="B1017" s="1">
        <v>200.0</v>
      </c>
      <c r="C1017" s="1" t="s">
        <v>2315</v>
      </c>
      <c r="D1017" s="1" t="s">
        <v>583</v>
      </c>
    </row>
    <row r="1018">
      <c r="A1018" s="2" t="s">
        <v>2316</v>
      </c>
      <c r="B1018" s="1">
        <v>200.0</v>
      </c>
      <c r="C1018" s="1" t="s">
        <v>2317</v>
      </c>
      <c r="D1018" s="1" t="s">
        <v>583</v>
      </c>
      <c r="F1018" s="1">
        <v>0.0</v>
      </c>
      <c r="G1018" s="1">
        <v>3.0</v>
      </c>
      <c r="H1018" s="1">
        <v>0.0</v>
      </c>
      <c r="I1018" s="1">
        <v>4.0</v>
      </c>
    </row>
    <row r="1019">
      <c r="A1019" s="2" t="s">
        <v>2318</v>
      </c>
      <c r="B1019" s="1">
        <v>200.0</v>
      </c>
      <c r="C1019" s="1" t="s">
        <v>2319</v>
      </c>
      <c r="D1019" s="1" t="s">
        <v>583</v>
      </c>
      <c r="F1019" s="1">
        <v>0.0</v>
      </c>
      <c r="G1019" s="1">
        <v>5.0</v>
      </c>
      <c r="H1019" s="1">
        <v>0.0</v>
      </c>
      <c r="I1019" s="1">
        <v>5.2</v>
      </c>
    </row>
    <row r="1020">
      <c r="A1020" s="2" t="s">
        <v>2320</v>
      </c>
      <c r="B1020" s="1">
        <v>301.0</v>
      </c>
      <c r="D1020" s="1" t="s">
        <v>609</v>
      </c>
      <c r="E1020" s="1" t="s">
        <v>610</v>
      </c>
    </row>
    <row r="1021">
      <c r="A1021" s="2" t="s">
        <v>2321</v>
      </c>
      <c r="B1021" s="1">
        <v>200.0</v>
      </c>
      <c r="C1021" s="1" t="s">
        <v>1716</v>
      </c>
      <c r="D1021" s="1" t="s">
        <v>609</v>
      </c>
      <c r="E1021" s="1" t="s">
        <v>631</v>
      </c>
    </row>
    <row r="1022">
      <c r="A1022" s="2" t="s">
        <v>2322</v>
      </c>
      <c r="B1022" s="1">
        <v>200.0</v>
      </c>
      <c r="C1022" s="1" t="s">
        <v>2323</v>
      </c>
      <c r="D1022" s="1" t="s">
        <v>583</v>
      </c>
    </row>
    <row r="1023">
      <c r="A1023" s="2" t="s">
        <v>2324</v>
      </c>
      <c r="B1023" s="1">
        <v>200.0</v>
      </c>
      <c r="C1023" s="1" t="s">
        <v>2325</v>
      </c>
      <c r="D1023" s="1" t="s">
        <v>583</v>
      </c>
      <c r="F1023" s="1">
        <v>0.0</v>
      </c>
      <c r="G1023" s="1">
        <v>16.0</v>
      </c>
      <c r="H1023" s="1">
        <v>0.0</v>
      </c>
      <c r="I1023" s="1">
        <v>17.44</v>
      </c>
    </row>
    <row r="1024">
      <c r="A1024" s="2" t="s">
        <v>2326</v>
      </c>
      <c r="B1024" s="1">
        <v>301.0</v>
      </c>
      <c r="D1024" s="1" t="s">
        <v>609</v>
      </c>
      <c r="E1024" s="1" t="s">
        <v>610</v>
      </c>
    </row>
    <row r="1025">
      <c r="A1025" s="2" t="s">
        <v>2327</v>
      </c>
      <c r="B1025" s="1">
        <v>200.0</v>
      </c>
      <c r="C1025" s="1" t="s">
        <v>2328</v>
      </c>
      <c r="D1025" s="1" t="s">
        <v>583</v>
      </c>
      <c r="F1025" s="1">
        <v>2.0</v>
      </c>
      <c r="G1025" s="1">
        <v>455.0</v>
      </c>
      <c r="H1025" s="1">
        <v>0.004</v>
      </c>
      <c r="I1025" s="1">
        <v>7.33</v>
      </c>
    </row>
    <row r="1026">
      <c r="A1026" s="2" t="s">
        <v>2329</v>
      </c>
      <c r="B1026" s="1">
        <v>200.0</v>
      </c>
      <c r="C1026" s="1" t="s">
        <v>2330</v>
      </c>
      <c r="D1026" s="1" t="s">
        <v>583</v>
      </c>
      <c r="F1026" s="1">
        <v>0.0</v>
      </c>
      <c r="G1026" s="1">
        <v>4.0</v>
      </c>
      <c r="H1026" s="1">
        <v>0.0</v>
      </c>
      <c r="I1026" s="1">
        <v>12.5</v>
      </c>
    </row>
    <row r="1027">
      <c r="A1027" s="2" t="s">
        <v>2331</v>
      </c>
      <c r="B1027" s="1">
        <v>200.0</v>
      </c>
      <c r="C1027" s="1" t="s">
        <v>2332</v>
      </c>
      <c r="D1027" s="1" t="s">
        <v>583</v>
      </c>
      <c r="F1027" s="1">
        <v>2.0</v>
      </c>
      <c r="G1027" s="1">
        <v>3722.0</v>
      </c>
      <c r="H1027" s="1">
        <v>0.0</v>
      </c>
      <c r="I1027" s="1">
        <v>7.46</v>
      </c>
    </row>
    <row r="1028">
      <c r="A1028" s="2" t="s">
        <v>2333</v>
      </c>
      <c r="B1028" s="1">
        <v>200.0</v>
      </c>
      <c r="C1028" s="1" t="s">
        <v>2334</v>
      </c>
      <c r="D1028" s="1" t="s">
        <v>583</v>
      </c>
    </row>
    <row r="1029">
      <c r="A1029" s="2" t="s">
        <v>2335</v>
      </c>
      <c r="B1029" s="1">
        <v>200.0</v>
      </c>
      <c r="C1029" s="1" t="s">
        <v>2336</v>
      </c>
      <c r="D1029" s="1" t="s">
        <v>583</v>
      </c>
    </row>
    <row r="1030">
      <c r="A1030" s="2" t="s">
        <v>2337</v>
      </c>
      <c r="B1030" s="1">
        <v>200.0</v>
      </c>
      <c r="C1030" s="1" t="s">
        <v>777</v>
      </c>
      <c r="D1030" s="1" t="s">
        <v>609</v>
      </c>
      <c r="E1030" s="1" t="s">
        <v>631</v>
      </c>
    </row>
    <row r="1031">
      <c r="A1031" s="2" t="s">
        <v>2338</v>
      </c>
      <c r="B1031" s="1">
        <v>200.0</v>
      </c>
      <c r="C1031" s="1" t="s">
        <v>2339</v>
      </c>
      <c r="D1031" s="1" t="s">
        <v>583</v>
      </c>
      <c r="F1031" s="1">
        <v>2.0</v>
      </c>
      <c r="G1031" s="1">
        <v>144.0</v>
      </c>
      <c r="H1031" s="1">
        <v>0.014</v>
      </c>
      <c r="I1031" s="1">
        <v>9.51</v>
      </c>
    </row>
    <row r="1032">
      <c r="A1032" s="2" t="s">
        <v>2340</v>
      </c>
      <c r="B1032" s="1">
        <v>200.0</v>
      </c>
      <c r="C1032" s="1" t="s">
        <v>2341</v>
      </c>
      <c r="D1032" s="1" t="s">
        <v>583</v>
      </c>
    </row>
    <row r="1033">
      <c r="A1033" s="2" t="s">
        <v>2342</v>
      </c>
      <c r="B1033" s="1">
        <v>200.0</v>
      </c>
      <c r="C1033" s="1" t="s">
        <v>2343</v>
      </c>
      <c r="D1033" s="1" t="s">
        <v>583</v>
      </c>
      <c r="F1033" s="1">
        <v>1.0</v>
      </c>
      <c r="G1033" s="1">
        <v>3.0</v>
      </c>
      <c r="H1033" s="1">
        <v>0.333</v>
      </c>
      <c r="I1033" s="1">
        <v>1.0</v>
      </c>
    </row>
    <row r="1034">
      <c r="A1034" s="2" t="s">
        <v>2344</v>
      </c>
      <c r="B1034" s="1">
        <v>200.0</v>
      </c>
      <c r="C1034" s="1" t="s">
        <v>846</v>
      </c>
      <c r="D1034" s="1" t="s">
        <v>609</v>
      </c>
      <c r="E1034" s="1" t="s">
        <v>631</v>
      </c>
    </row>
    <row r="1035">
      <c r="A1035" s="2" t="s">
        <v>2345</v>
      </c>
      <c r="B1035" s="1">
        <v>200.0</v>
      </c>
      <c r="C1035" s="1" t="s">
        <v>2346</v>
      </c>
      <c r="D1035" s="1" t="s">
        <v>583</v>
      </c>
    </row>
    <row r="1036">
      <c r="A1036" s="2" t="s">
        <v>2347</v>
      </c>
      <c r="B1036" s="1">
        <v>200.0</v>
      </c>
      <c r="C1036" s="1" t="s">
        <v>2348</v>
      </c>
      <c r="D1036" s="1" t="s">
        <v>583</v>
      </c>
      <c r="F1036" s="1">
        <v>0.0</v>
      </c>
      <c r="G1036" s="1">
        <v>477.0</v>
      </c>
      <c r="H1036" s="1">
        <v>0.0</v>
      </c>
      <c r="I1036" s="1">
        <v>57.45</v>
      </c>
    </row>
    <row r="1037">
      <c r="A1037" s="2" t="s">
        <v>2349</v>
      </c>
      <c r="B1037" s="1">
        <v>200.0</v>
      </c>
      <c r="C1037" s="1" t="s">
        <v>582</v>
      </c>
      <c r="D1037" s="1" t="s">
        <v>583</v>
      </c>
    </row>
    <row r="1038">
      <c r="A1038" s="2" t="s">
        <v>2350</v>
      </c>
      <c r="B1038" s="1">
        <v>200.0</v>
      </c>
      <c r="C1038" s="1" t="s">
        <v>2351</v>
      </c>
      <c r="D1038" s="1" t="s">
        <v>583</v>
      </c>
      <c r="F1038" s="1">
        <v>0.0</v>
      </c>
      <c r="G1038" s="1">
        <v>27.0</v>
      </c>
      <c r="H1038" s="1">
        <v>0.0</v>
      </c>
      <c r="I1038" s="1">
        <v>25.37</v>
      </c>
    </row>
    <row r="1039">
      <c r="A1039" s="2" t="s">
        <v>2352</v>
      </c>
      <c r="B1039" s="1">
        <v>200.0</v>
      </c>
      <c r="C1039" s="1" t="s">
        <v>2353</v>
      </c>
      <c r="D1039" s="1" t="s">
        <v>583</v>
      </c>
    </row>
    <row r="1040">
      <c r="A1040" s="2" t="s">
        <v>2354</v>
      </c>
      <c r="B1040" s="1">
        <v>200.0</v>
      </c>
      <c r="C1040" s="1" t="s">
        <v>2355</v>
      </c>
      <c r="D1040" s="1" t="s">
        <v>583</v>
      </c>
      <c r="F1040" s="1">
        <v>0.0</v>
      </c>
      <c r="G1040" s="1">
        <v>2.0</v>
      </c>
      <c r="H1040" s="1">
        <v>0.0</v>
      </c>
      <c r="I1040" s="1">
        <v>34.5</v>
      </c>
    </row>
    <row r="1041">
      <c r="A1041" s="2" t="s">
        <v>2356</v>
      </c>
      <c r="B1041" s="1">
        <v>200.0</v>
      </c>
      <c r="C1041" s="1" t="s">
        <v>2357</v>
      </c>
      <c r="D1041" s="1" t="s">
        <v>583</v>
      </c>
      <c r="F1041" s="1">
        <v>0.0</v>
      </c>
      <c r="G1041" s="1">
        <v>14.0</v>
      </c>
      <c r="H1041" s="1">
        <v>0.0</v>
      </c>
      <c r="I1041" s="1">
        <v>24.14</v>
      </c>
    </row>
    <row r="1042">
      <c r="A1042" s="2" t="s">
        <v>2358</v>
      </c>
      <c r="B1042" s="1">
        <v>200.0</v>
      </c>
      <c r="C1042" s="1" t="s">
        <v>2359</v>
      </c>
      <c r="D1042" s="1" t="s">
        <v>583</v>
      </c>
      <c r="F1042" s="1">
        <v>8.0</v>
      </c>
      <c r="G1042" s="1">
        <v>252.0</v>
      </c>
      <c r="H1042" s="1">
        <v>0.032</v>
      </c>
      <c r="I1042" s="1">
        <v>7.05</v>
      </c>
    </row>
    <row r="1043">
      <c r="A1043" s="2" t="s">
        <v>2360</v>
      </c>
      <c r="B1043" s="1">
        <v>200.0</v>
      </c>
      <c r="C1043" s="1" t="s">
        <v>2361</v>
      </c>
      <c r="D1043" s="1" t="s">
        <v>583</v>
      </c>
    </row>
    <row r="1044">
      <c r="A1044" s="2" t="s">
        <v>2362</v>
      </c>
      <c r="B1044" s="1">
        <v>200.0</v>
      </c>
      <c r="C1044" s="1" t="s">
        <v>2363</v>
      </c>
      <c r="D1044" s="1" t="s">
        <v>583</v>
      </c>
      <c r="F1044" s="1">
        <v>0.0</v>
      </c>
      <c r="G1044" s="1">
        <v>9.0</v>
      </c>
      <c r="H1044" s="1">
        <v>0.0</v>
      </c>
      <c r="I1044" s="1">
        <v>9.78</v>
      </c>
    </row>
    <row r="1045">
      <c r="A1045" s="2" t="s">
        <v>2364</v>
      </c>
      <c r="B1045" s="1">
        <v>200.0</v>
      </c>
      <c r="C1045" s="1" t="s">
        <v>2365</v>
      </c>
      <c r="D1045" s="1" t="s">
        <v>583</v>
      </c>
      <c r="F1045" s="1">
        <v>4.0</v>
      </c>
      <c r="G1045" s="1">
        <v>6387.0</v>
      </c>
      <c r="H1045" s="1">
        <v>0.001</v>
      </c>
      <c r="I1045" s="1">
        <v>11.34</v>
      </c>
    </row>
    <row r="1046">
      <c r="A1046" s="2" t="s">
        <v>2366</v>
      </c>
      <c r="B1046" s="1">
        <v>200.0</v>
      </c>
      <c r="C1046" s="1" t="s">
        <v>582</v>
      </c>
      <c r="D1046" s="1" t="s">
        <v>583</v>
      </c>
      <c r="F1046" s="1">
        <v>0.0</v>
      </c>
      <c r="G1046" s="1">
        <v>3.0</v>
      </c>
      <c r="H1046" s="1">
        <v>0.0</v>
      </c>
      <c r="I1046" s="1">
        <v>8.67</v>
      </c>
    </row>
    <row r="1047">
      <c r="A1047" s="2" t="s">
        <v>2367</v>
      </c>
      <c r="B1047" s="1">
        <v>200.0</v>
      </c>
      <c r="C1047" s="1" t="s">
        <v>2368</v>
      </c>
      <c r="D1047" s="1" t="s">
        <v>583</v>
      </c>
      <c r="F1047" s="1">
        <v>0.0</v>
      </c>
      <c r="G1047" s="1">
        <v>3.0</v>
      </c>
      <c r="H1047" s="1">
        <v>0.0</v>
      </c>
      <c r="I1047" s="1">
        <v>8.67</v>
      </c>
    </row>
    <row r="1048">
      <c r="A1048" s="2" t="s">
        <v>2369</v>
      </c>
      <c r="B1048" s="1">
        <v>200.0</v>
      </c>
      <c r="C1048" s="1" t="s">
        <v>2370</v>
      </c>
      <c r="D1048" s="1" t="s">
        <v>583</v>
      </c>
      <c r="F1048" s="1">
        <v>1.0</v>
      </c>
      <c r="G1048" s="1">
        <v>11.0</v>
      </c>
      <c r="H1048" s="1">
        <v>0.091</v>
      </c>
      <c r="I1048" s="1">
        <v>14.91</v>
      </c>
    </row>
    <row r="1049">
      <c r="A1049" s="2" t="s">
        <v>2371</v>
      </c>
      <c r="B1049" s="1">
        <v>200.0</v>
      </c>
      <c r="C1049" s="1" t="s">
        <v>846</v>
      </c>
      <c r="D1049" s="1" t="s">
        <v>609</v>
      </c>
      <c r="E1049" s="1" t="s">
        <v>631</v>
      </c>
    </row>
    <row r="1050">
      <c r="A1050" s="2" t="s">
        <v>2372</v>
      </c>
      <c r="B1050" s="1">
        <v>200.0</v>
      </c>
      <c r="C1050" s="1" t="s">
        <v>2373</v>
      </c>
      <c r="D1050" s="1" t="s">
        <v>583</v>
      </c>
    </row>
    <row r="1051">
      <c r="A1051" s="2" t="s">
        <v>2374</v>
      </c>
      <c r="B1051" s="1">
        <v>200.0</v>
      </c>
      <c r="C1051" s="1" t="s">
        <v>2375</v>
      </c>
      <c r="D1051" s="1" t="s">
        <v>583</v>
      </c>
      <c r="F1051" s="1">
        <v>2.0</v>
      </c>
      <c r="G1051" s="1">
        <v>45.0</v>
      </c>
      <c r="H1051" s="1">
        <v>0.044</v>
      </c>
      <c r="I1051" s="1">
        <v>11.02</v>
      </c>
    </row>
    <row r="1052">
      <c r="A1052" s="2" t="s">
        <v>2376</v>
      </c>
      <c r="B1052" s="1">
        <v>200.0</v>
      </c>
      <c r="C1052" s="1" t="s">
        <v>2377</v>
      </c>
      <c r="D1052" s="1" t="s">
        <v>583</v>
      </c>
      <c r="F1052" s="1">
        <v>0.0</v>
      </c>
      <c r="G1052" s="1">
        <v>2.0</v>
      </c>
      <c r="H1052" s="1">
        <v>0.0</v>
      </c>
      <c r="I1052" s="1">
        <v>8.5</v>
      </c>
    </row>
    <row r="1053">
      <c r="A1053" s="2" t="s">
        <v>2378</v>
      </c>
      <c r="B1053" s="1">
        <v>200.0</v>
      </c>
      <c r="C1053" s="1" t="s">
        <v>2379</v>
      </c>
      <c r="D1053" s="1" t="s">
        <v>583</v>
      </c>
      <c r="F1053" s="1">
        <v>0.0</v>
      </c>
      <c r="G1053" s="1">
        <v>21.0</v>
      </c>
      <c r="H1053" s="1">
        <v>0.0</v>
      </c>
      <c r="I1053" s="1">
        <v>55.29</v>
      </c>
    </row>
    <row r="1054">
      <c r="A1054" s="2" t="s">
        <v>2380</v>
      </c>
      <c r="B1054" s="1">
        <v>200.0</v>
      </c>
      <c r="C1054" s="1" t="s">
        <v>2381</v>
      </c>
      <c r="D1054" s="1" t="s">
        <v>583</v>
      </c>
    </row>
    <row r="1055">
      <c r="A1055" s="2" t="s">
        <v>2382</v>
      </c>
      <c r="B1055" s="1">
        <v>200.0</v>
      </c>
      <c r="C1055" s="1" t="s">
        <v>2383</v>
      </c>
      <c r="D1055" s="1" t="s">
        <v>583</v>
      </c>
    </row>
    <row r="1056">
      <c r="A1056" s="2" t="s">
        <v>2384</v>
      </c>
      <c r="B1056" s="1">
        <v>200.0</v>
      </c>
      <c r="C1056" s="1" t="s">
        <v>2385</v>
      </c>
      <c r="D1056" s="1" t="s">
        <v>583</v>
      </c>
      <c r="F1056" s="1">
        <v>0.0</v>
      </c>
      <c r="G1056" s="1">
        <v>694.0</v>
      </c>
      <c r="H1056" s="1">
        <v>0.0</v>
      </c>
      <c r="I1056" s="1">
        <v>44.58</v>
      </c>
    </row>
    <row r="1057">
      <c r="A1057" s="2" t="s">
        <v>2386</v>
      </c>
      <c r="B1057" s="1">
        <v>200.0</v>
      </c>
      <c r="C1057" s="1" t="s">
        <v>2387</v>
      </c>
      <c r="D1057" s="1" t="s">
        <v>583</v>
      </c>
    </row>
    <row r="1058">
      <c r="A1058" s="2" t="s">
        <v>2388</v>
      </c>
      <c r="B1058" s="1">
        <v>200.0</v>
      </c>
      <c r="C1058" s="1" t="s">
        <v>2389</v>
      </c>
      <c r="D1058" s="1" t="s">
        <v>583</v>
      </c>
      <c r="F1058" s="1">
        <v>0.0</v>
      </c>
      <c r="G1058" s="1">
        <v>71.0</v>
      </c>
      <c r="H1058" s="1">
        <v>0.0</v>
      </c>
      <c r="I1058" s="1">
        <v>13.99</v>
      </c>
    </row>
    <row r="1059">
      <c r="A1059" s="2" t="s">
        <v>2390</v>
      </c>
      <c r="B1059" s="1">
        <v>301.0</v>
      </c>
      <c r="D1059" s="1" t="s">
        <v>609</v>
      </c>
      <c r="E1059" s="1" t="s">
        <v>610</v>
      </c>
    </row>
    <row r="1060">
      <c r="A1060" s="2" t="s">
        <v>2391</v>
      </c>
      <c r="B1060" s="1">
        <v>301.0</v>
      </c>
      <c r="D1060" s="1" t="s">
        <v>609</v>
      </c>
      <c r="E1060" s="1" t="s">
        <v>610</v>
      </c>
    </row>
    <row r="1061">
      <c r="A1061" s="2" t="s">
        <v>2392</v>
      </c>
      <c r="B1061" s="1">
        <v>301.0</v>
      </c>
      <c r="D1061" s="1" t="s">
        <v>609</v>
      </c>
      <c r="E1061" s="1" t="s">
        <v>610</v>
      </c>
    </row>
    <row r="1062">
      <c r="A1062" s="2" t="s">
        <v>2393</v>
      </c>
      <c r="B1062" s="1">
        <v>200.0</v>
      </c>
      <c r="C1062" s="1" t="s">
        <v>2394</v>
      </c>
      <c r="D1062" s="1" t="s">
        <v>583</v>
      </c>
    </row>
    <row r="1063">
      <c r="A1063" s="2" t="s">
        <v>2395</v>
      </c>
      <c r="B1063" s="1">
        <v>200.0</v>
      </c>
      <c r="C1063" s="1" t="s">
        <v>2396</v>
      </c>
      <c r="D1063" s="1" t="s">
        <v>583</v>
      </c>
    </row>
    <row r="1064">
      <c r="A1064" s="2" t="s">
        <v>2397</v>
      </c>
      <c r="B1064" s="1">
        <v>200.0</v>
      </c>
      <c r="C1064" s="1" t="s">
        <v>2398</v>
      </c>
      <c r="D1064" s="1" t="s">
        <v>583</v>
      </c>
      <c r="F1064" s="1">
        <v>1.0</v>
      </c>
      <c r="G1064" s="1">
        <v>5.0</v>
      </c>
      <c r="H1064" s="1">
        <v>0.2</v>
      </c>
      <c r="I1064" s="1">
        <v>8.6</v>
      </c>
    </row>
    <row r="1065">
      <c r="A1065" s="2" t="s">
        <v>2399</v>
      </c>
      <c r="B1065" s="1">
        <v>301.0</v>
      </c>
      <c r="D1065" s="1" t="s">
        <v>609</v>
      </c>
      <c r="E1065" s="1" t="s">
        <v>610</v>
      </c>
    </row>
    <row r="1066">
      <c r="A1066" s="2" t="s">
        <v>2400</v>
      </c>
      <c r="B1066" s="1">
        <v>200.0</v>
      </c>
      <c r="C1066" s="1" t="s">
        <v>2401</v>
      </c>
      <c r="D1066" s="1" t="s">
        <v>583</v>
      </c>
      <c r="F1066" s="1">
        <v>0.0</v>
      </c>
      <c r="G1066" s="1">
        <v>18.0</v>
      </c>
      <c r="H1066" s="1">
        <v>0.0</v>
      </c>
      <c r="I1066" s="1">
        <v>37.06</v>
      </c>
    </row>
    <row r="1067">
      <c r="A1067" s="2" t="s">
        <v>2402</v>
      </c>
      <c r="B1067" s="1">
        <v>200.0</v>
      </c>
      <c r="C1067" s="1" t="s">
        <v>582</v>
      </c>
      <c r="D1067" s="1" t="s">
        <v>583</v>
      </c>
      <c r="F1067" s="1">
        <v>0.0</v>
      </c>
      <c r="G1067" s="1">
        <v>1.0</v>
      </c>
      <c r="H1067" s="1">
        <v>0.0</v>
      </c>
      <c r="I1067" s="1">
        <v>8.0</v>
      </c>
    </row>
    <row r="1068">
      <c r="A1068" s="2" t="s">
        <v>2403</v>
      </c>
      <c r="B1068" s="1">
        <v>200.0</v>
      </c>
      <c r="C1068" s="1" t="s">
        <v>2404</v>
      </c>
      <c r="D1068" s="1" t="s">
        <v>583</v>
      </c>
    </row>
    <row r="1069">
      <c r="A1069" s="2" t="s">
        <v>2405</v>
      </c>
      <c r="B1069" s="1">
        <v>200.0</v>
      </c>
      <c r="C1069" s="1" t="s">
        <v>2406</v>
      </c>
      <c r="D1069" s="1" t="s">
        <v>583</v>
      </c>
      <c r="F1069" s="1">
        <v>0.0</v>
      </c>
      <c r="G1069" s="1">
        <v>17.0</v>
      </c>
      <c r="H1069" s="1">
        <v>0.0</v>
      </c>
      <c r="I1069" s="1">
        <v>32.12</v>
      </c>
    </row>
    <row r="1070">
      <c r="A1070" s="2" t="s">
        <v>2407</v>
      </c>
      <c r="B1070" s="1">
        <v>200.0</v>
      </c>
      <c r="C1070" s="1" t="s">
        <v>846</v>
      </c>
      <c r="D1070" s="1" t="s">
        <v>609</v>
      </c>
      <c r="E1070" s="1" t="s">
        <v>631</v>
      </c>
    </row>
    <row r="1071">
      <c r="A1071" s="2" t="s">
        <v>2408</v>
      </c>
      <c r="B1071" s="1">
        <v>200.0</v>
      </c>
      <c r="C1071" s="1" t="s">
        <v>2409</v>
      </c>
      <c r="D1071" s="1" t="s">
        <v>583</v>
      </c>
      <c r="F1071" s="1">
        <v>0.0</v>
      </c>
      <c r="G1071" s="1">
        <v>66.0</v>
      </c>
      <c r="H1071" s="1">
        <v>0.0</v>
      </c>
      <c r="I1071" s="1">
        <v>29.85</v>
      </c>
    </row>
    <row r="1072">
      <c r="A1072" s="2" t="s">
        <v>2410</v>
      </c>
      <c r="B1072" s="1">
        <v>200.0</v>
      </c>
      <c r="C1072" s="1" t="s">
        <v>2411</v>
      </c>
      <c r="D1072" s="1" t="s">
        <v>583</v>
      </c>
      <c r="F1072" s="1">
        <v>0.0</v>
      </c>
      <c r="G1072" s="1">
        <v>34.0</v>
      </c>
      <c r="H1072" s="1">
        <v>0.0</v>
      </c>
      <c r="I1072" s="1">
        <v>6.18</v>
      </c>
    </row>
    <row r="1073">
      <c r="A1073" s="2" t="s">
        <v>2412</v>
      </c>
      <c r="B1073" s="1">
        <v>200.0</v>
      </c>
      <c r="C1073" s="1" t="s">
        <v>2413</v>
      </c>
      <c r="D1073" s="1" t="s">
        <v>583</v>
      </c>
      <c r="F1073" s="1">
        <v>0.0</v>
      </c>
      <c r="G1073" s="1">
        <v>61.0</v>
      </c>
      <c r="H1073" s="1">
        <v>0.0</v>
      </c>
      <c r="I1073" s="1">
        <v>11.15</v>
      </c>
    </row>
    <row r="1074">
      <c r="A1074" s="2" t="s">
        <v>2414</v>
      </c>
      <c r="B1074" s="1">
        <v>200.0</v>
      </c>
      <c r="C1074" s="1" t="s">
        <v>2415</v>
      </c>
      <c r="D1074" s="1" t="s">
        <v>583</v>
      </c>
      <c r="F1074" s="1">
        <v>0.0</v>
      </c>
      <c r="G1074" s="1">
        <v>22.0</v>
      </c>
      <c r="H1074" s="1">
        <v>0.0</v>
      </c>
      <c r="I1074" s="1">
        <v>35.5</v>
      </c>
    </row>
    <row r="1075">
      <c r="A1075" s="2" t="s">
        <v>2416</v>
      </c>
      <c r="B1075" s="1">
        <v>200.0</v>
      </c>
      <c r="C1075" s="1" t="s">
        <v>2417</v>
      </c>
      <c r="D1075" s="1" t="s">
        <v>583</v>
      </c>
      <c r="F1075" s="1">
        <v>5.0</v>
      </c>
      <c r="G1075" s="1">
        <v>2211.0</v>
      </c>
      <c r="H1075" s="1">
        <v>0.002</v>
      </c>
      <c r="I1075" s="1">
        <v>15.39</v>
      </c>
    </row>
    <row r="1076">
      <c r="A1076" s="2" t="s">
        <v>2418</v>
      </c>
      <c r="B1076" s="1">
        <v>200.0</v>
      </c>
      <c r="C1076" s="1" t="s">
        <v>2419</v>
      </c>
      <c r="D1076" s="1" t="s">
        <v>583</v>
      </c>
      <c r="F1076" s="1">
        <v>0.0</v>
      </c>
      <c r="G1076" s="1">
        <v>78.0</v>
      </c>
      <c r="H1076" s="1">
        <v>0.0</v>
      </c>
      <c r="I1076" s="1">
        <v>17.72</v>
      </c>
    </row>
    <row r="1077">
      <c r="A1077" s="2" t="s">
        <v>2420</v>
      </c>
      <c r="B1077" s="1">
        <v>200.0</v>
      </c>
      <c r="C1077" s="1" t="s">
        <v>2421</v>
      </c>
      <c r="D1077" s="1" t="s">
        <v>583</v>
      </c>
      <c r="F1077" s="1">
        <v>0.0</v>
      </c>
      <c r="G1077" s="1">
        <v>112.0</v>
      </c>
      <c r="H1077" s="1">
        <v>0.0</v>
      </c>
      <c r="I1077" s="1">
        <v>26.47</v>
      </c>
    </row>
    <row r="1078">
      <c r="A1078" s="2" t="s">
        <v>2422</v>
      </c>
      <c r="B1078" s="1">
        <v>200.0</v>
      </c>
      <c r="C1078" s="1" t="s">
        <v>2423</v>
      </c>
      <c r="D1078" s="1" t="s">
        <v>583</v>
      </c>
      <c r="F1078" s="1">
        <v>0.0</v>
      </c>
      <c r="G1078" s="1">
        <v>5.0</v>
      </c>
      <c r="H1078" s="1">
        <v>0.0</v>
      </c>
      <c r="I1078" s="1">
        <v>5.4</v>
      </c>
    </row>
    <row r="1079">
      <c r="A1079" s="2" t="s">
        <v>2424</v>
      </c>
      <c r="B1079" s="1">
        <v>200.0</v>
      </c>
      <c r="C1079" s="1" t="s">
        <v>2425</v>
      </c>
      <c r="D1079" s="1" t="s">
        <v>583</v>
      </c>
      <c r="F1079" s="1">
        <v>0.0</v>
      </c>
      <c r="G1079" s="1">
        <v>1.0</v>
      </c>
      <c r="H1079" s="1">
        <v>0.0</v>
      </c>
      <c r="I1079" s="1">
        <v>8.0</v>
      </c>
    </row>
    <row r="1080">
      <c r="A1080" s="2" t="s">
        <v>2426</v>
      </c>
      <c r="B1080" s="1">
        <v>200.0</v>
      </c>
      <c r="C1080" s="1" t="s">
        <v>846</v>
      </c>
      <c r="D1080" s="1" t="s">
        <v>609</v>
      </c>
      <c r="E1080" s="1" t="s">
        <v>631</v>
      </c>
    </row>
    <row r="1081">
      <c r="A1081" s="2" t="s">
        <v>2427</v>
      </c>
      <c r="B1081" s="1">
        <v>200.0</v>
      </c>
      <c r="C1081" s="1" t="s">
        <v>582</v>
      </c>
      <c r="D1081" s="1" t="s">
        <v>583</v>
      </c>
      <c r="F1081" s="1">
        <v>0.0</v>
      </c>
      <c r="G1081" s="1">
        <v>1.0</v>
      </c>
      <c r="H1081" s="1">
        <v>0.0</v>
      </c>
      <c r="I1081" s="1">
        <v>9.0</v>
      </c>
    </row>
    <row r="1082">
      <c r="A1082" s="2" t="s">
        <v>2428</v>
      </c>
      <c r="B1082" s="1">
        <v>200.0</v>
      </c>
      <c r="C1082" s="1" t="s">
        <v>2429</v>
      </c>
      <c r="D1082" s="1" t="s">
        <v>583</v>
      </c>
      <c r="F1082" s="1">
        <v>0.0</v>
      </c>
      <c r="G1082" s="1">
        <v>18.0</v>
      </c>
      <c r="H1082" s="1">
        <v>0.0</v>
      </c>
      <c r="I1082" s="1">
        <v>14.39</v>
      </c>
    </row>
    <row r="1083">
      <c r="A1083" s="2" t="s">
        <v>2430</v>
      </c>
      <c r="B1083" s="1">
        <v>200.0</v>
      </c>
      <c r="C1083" s="1" t="s">
        <v>2431</v>
      </c>
      <c r="D1083" s="1" t="s">
        <v>583</v>
      </c>
      <c r="F1083" s="1">
        <v>0.0</v>
      </c>
      <c r="G1083" s="1">
        <v>2.0</v>
      </c>
      <c r="H1083" s="1">
        <v>0.0</v>
      </c>
      <c r="I1083" s="1">
        <v>6.0</v>
      </c>
    </row>
    <row r="1084">
      <c r="A1084" s="2" t="s">
        <v>2432</v>
      </c>
      <c r="B1084" s="1">
        <v>200.0</v>
      </c>
      <c r="C1084" s="1" t="s">
        <v>846</v>
      </c>
      <c r="D1084" s="1" t="s">
        <v>609</v>
      </c>
      <c r="E1084" s="1" t="s">
        <v>631</v>
      </c>
    </row>
    <row r="1085">
      <c r="A1085" s="2" t="s">
        <v>2433</v>
      </c>
      <c r="B1085" s="1">
        <v>200.0</v>
      </c>
      <c r="C1085" s="1" t="s">
        <v>2434</v>
      </c>
      <c r="D1085" s="1" t="s">
        <v>583</v>
      </c>
      <c r="F1085" s="1">
        <v>0.0</v>
      </c>
      <c r="G1085" s="1">
        <v>132.0</v>
      </c>
      <c r="H1085" s="1">
        <v>0.0</v>
      </c>
      <c r="I1085" s="1">
        <v>82.95</v>
      </c>
    </row>
    <row r="1086">
      <c r="A1086" s="2" t="s">
        <v>2435</v>
      </c>
      <c r="B1086" s="1">
        <v>200.0</v>
      </c>
      <c r="C1086" s="1" t="s">
        <v>2436</v>
      </c>
      <c r="D1086" s="1" t="s">
        <v>583</v>
      </c>
    </row>
    <row r="1087">
      <c r="A1087" s="2" t="s">
        <v>2437</v>
      </c>
      <c r="B1087" s="1">
        <v>200.0</v>
      </c>
      <c r="C1087" s="1" t="s">
        <v>582</v>
      </c>
      <c r="D1087" s="1" t="s">
        <v>583</v>
      </c>
      <c r="F1087" s="1">
        <v>0.0</v>
      </c>
      <c r="G1087" s="1">
        <v>7.0</v>
      </c>
      <c r="H1087" s="1">
        <v>0.0</v>
      </c>
      <c r="I1087" s="1">
        <v>24.71</v>
      </c>
    </row>
    <row r="1088">
      <c r="A1088" s="2" t="s">
        <v>2438</v>
      </c>
      <c r="B1088" s="1">
        <v>200.0</v>
      </c>
      <c r="C1088" s="1" t="s">
        <v>2439</v>
      </c>
      <c r="D1088" s="1" t="s">
        <v>583</v>
      </c>
      <c r="F1088" s="1">
        <v>0.0</v>
      </c>
      <c r="G1088" s="1">
        <v>66.0</v>
      </c>
      <c r="H1088" s="1">
        <v>0.0</v>
      </c>
      <c r="I1088" s="1">
        <v>18.7</v>
      </c>
    </row>
    <row r="1089">
      <c r="A1089" s="2" t="s">
        <v>2440</v>
      </c>
      <c r="B1089" s="1">
        <v>200.0</v>
      </c>
      <c r="C1089" s="1" t="s">
        <v>2441</v>
      </c>
      <c r="D1089" s="1" t="s">
        <v>583</v>
      </c>
      <c r="F1089" s="1">
        <v>5.0</v>
      </c>
      <c r="G1089" s="1">
        <v>845.0</v>
      </c>
      <c r="H1089" s="1">
        <v>0.006</v>
      </c>
      <c r="I1089" s="1">
        <v>10.55</v>
      </c>
    </row>
    <row r="1090">
      <c r="A1090" s="2" t="s">
        <v>2442</v>
      </c>
      <c r="B1090" s="1">
        <v>200.0</v>
      </c>
      <c r="C1090" s="1" t="s">
        <v>846</v>
      </c>
      <c r="D1090" s="1" t="s">
        <v>609</v>
      </c>
      <c r="E1090" s="1" t="s">
        <v>631</v>
      </c>
    </row>
    <row r="1091">
      <c r="A1091" s="2" t="s">
        <v>2443</v>
      </c>
      <c r="B1091" s="1">
        <v>200.0</v>
      </c>
      <c r="C1091" s="1" t="s">
        <v>582</v>
      </c>
      <c r="D1091" s="1" t="s">
        <v>583</v>
      </c>
      <c r="F1091" s="1">
        <v>0.0</v>
      </c>
      <c r="G1091" s="1">
        <v>3.0</v>
      </c>
      <c r="H1091" s="1">
        <v>0.0</v>
      </c>
      <c r="I1091" s="1">
        <v>10.0</v>
      </c>
    </row>
    <row r="1092">
      <c r="A1092" s="2" t="s">
        <v>2444</v>
      </c>
      <c r="B1092" s="1">
        <v>200.0</v>
      </c>
      <c r="C1092" s="1" t="s">
        <v>2445</v>
      </c>
      <c r="D1092" s="1" t="s">
        <v>583</v>
      </c>
      <c r="F1092" s="1">
        <v>0.0</v>
      </c>
      <c r="G1092" s="1">
        <v>690.0</v>
      </c>
      <c r="H1092" s="1">
        <v>0.0</v>
      </c>
      <c r="I1092" s="1">
        <v>23.27</v>
      </c>
    </row>
    <row r="1093">
      <c r="A1093" s="2" t="s">
        <v>2446</v>
      </c>
      <c r="B1093" s="1">
        <v>200.0</v>
      </c>
      <c r="C1093" s="1" t="s">
        <v>846</v>
      </c>
      <c r="D1093" s="1" t="s">
        <v>609</v>
      </c>
      <c r="E1093" s="1" t="s">
        <v>631</v>
      </c>
      <c r="F1093" s="1">
        <v>0.0</v>
      </c>
      <c r="G1093" s="1">
        <v>2.0</v>
      </c>
      <c r="H1093" s="1">
        <v>0.0</v>
      </c>
      <c r="I1093" s="1">
        <v>22.5</v>
      </c>
    </row>
    <row r="1094">
      <c r="A1094" s="2" t="s">
        <v>2447</v>
      </c>
      <c r="B1094" s="1">
        <v>200.0</v>
      </c>
      <c r="C1094" s="1" t="s">
        <v>582</v>
      </c>
      <c r="D1094" s="1" t="s">
        <v>583</v>
      </c>
    </row>
    <row r="1095">
      <c r="A1095" s="2" t="s">
        <v>2448</v>
      </c>
      <c r="B1095" s="1">
        <v>200.0</v>
      </c>
      <c r="C1095" s="1" t="s">
        <v>846</v>
      </c>
      <c r="D1095" s="1" t="s">
        <v>609</v>
      </c>
      <c r="E1095" s="1" t="s">
        <v>631</v>
      </c>
    </row>
    <row r="1096">
      <c r="A1096" s="2" t="s">
        <v>2449</v>
      </c>
      <c r="B1096" s="1">
        <v>200.0</v>
      </c>
      <c r="C1096" s="1" t="s">
        <v>582</v>
      </c>
      <c r="D1096" s="1" t="s">
        <v>583</v>
      </c>
    </row>
    <row r="1097">
      <c r="A1097" s="2" t="s">
        <v>2450</v>
      </c>
      <c r="B1097" s="1">
        <v>200.0</v>
      </c>
      <c r="C1097" s="1" t="s">
        <v>846</v>
      </c>
      <c r="D1097" s="1" t="s">
        <v>609</v>
      </c>
      <c r="E1097" s="1" t="s">
        <v>631</v>
      </c>
    </row>
    <row r="1098">
      <c r="A1098" s="2" t="s">
        <v>2451</v>
      </c>
      <c r="B1098" s="1">
        <v>200.0</v>
      </c>
      <c r="C1098" s="1" t="s">
        <v>582</v>
      </c>
      <c r="D1098" s="1" t="s">
        <v>583</v>
      </c>
      <c r="F1098" s="1">
        <v>0.0</v>
      </c>
      <c r="G1098" s="1">
        <v>1.0</v>
      </c>
      <c r="H1098" s="1">
        <v>0.0</v>
      </c>
      <c r="I1098" s="1">
        <v>6.0</v>
      </c>
    </row>
    <row r="1099">
      <c r="A1099" s="2" t="s">
        <v>2452</v>
      </c>
      <c r="B1099" s="1">
        <v>200.0</v>
      </c>
      <c r="C1099" s="1" t="s">
        <v>846</v>
      </c>
      <c r="D1099" s="1" t="s">
        <v>609</v>
      </c>
      <c r="E1099" s="1" t="s">
        <v>631</v>
      </c>
    </row>
    <row r="1100">
      <c r="A1100" s="2" t="s">
        <v>2453</v>
      </c>
      <c r="B1100" s="1">
        <v>200.0</v>
      </c>
      <c r="C1100" s="1" t="s">
        <v>582</v>
      </c>
      <c r="D1100" s="1" t="s">
        <v>583</v>
      </c>
      <c r="F1100" s="1">
        <v>0.0</v>
      </c>
      <c r="G1100" s="1">
        <v>1.0</v>
      </c>
      <c r="H1100" s="1">
        <v>0.0</v>
      </c>
      <c r="I1100" s="1">
        <v>2.0</v>
      </c>
    </row>
    <row r="1101">
      <c r="A1101" s="2" t="s">
        <v>2454</v>
      </c>
      <c r="B1101" s="1">
        <v>200.0</v>
      </c>
      <c r="C1101" s="1" t="s">
        <v>846</v>
      </c>
      <c r="D1101" s="1" t="s">
        <v>609</v>
      </c>
      <c r="E1101" s="1" t="s">
        <v>631</v>
      </c>
      <c r="F1101" s="1">
        <v>0.0</v>
      </c>
      <c r="G1101" s="1">
        <v>1.0</v>
      </c>
      <c r="H1101" s="1">
        <v>0.0</v>
      </c>
      <c r="I1101" s="1">
        <v>30.0</v>
      </c>
    </row>
    <row r="1102">
      <c r="A1102" s="2" t="s">
        <v>2455</v>
      </c>
      <c r="B1102" s="1">
        <v>200.0</v>
      </c>
      <c r="C1102" s="1" t="s">
        <v>582</v>
      </c>
      <c r="D1102" s="1" t="s">
        <v>583</v>
      </c>
    </row>
    <row r="1103">
      <c r="A1103" s="2" t="s">
        <v>2456</v>
      </c>
      <c r="B1103" s="1">
        <v>200.0</v>
      </c>
      <c r="C1103" s="1" t="s">
        <v>846</v>
      </c>
      <c r="D1103" s="1" t="s">
        <v>609</v>
      </c>
      <c r="E1103" s="1" t="s">
        <v>631</v>
      </c>
    </row>
    <row r="1104">
      <c r="A1104" s="2" t="s">
        <v>2457</v>
      </c>
      <c r="B1104" s="1">
        <v>200.0</v>
      </c>
      <c r="C1104" s="1" t="s">
        <v>582</v>
      </c>
      <c r="D1104" s="1" t="s">
        <v>583</v>
      </c>
    </row>
    <row r="1105">
      <c r="A1105" s="2" t="s">
        <v>2458</v>
      </c>
      <c r="B1105" s="1">
        <v>200.0</v>
      </c>
      <c r="C1105" s="1" t="s">
        <v>846</v>
      </c>
      <c r="D1105" s="1" t="s">
        <v>609</v>
      </c>
      <c r="E1105" s="1" t="s">
        <v>631</v>
      </c>
    </row>
    <row r="1106">
      <c r="A1106" s="2" t="s">
        <v>2459</v>
      </c>
      <c r="B1106" s="1">
        <v>200.0</v>
      </c>
      <c r="C1106" s="1" t="s">
        <v>582</v>
      </c>
      <c r="D1106" s="1" t="s">
        <v>583</v>
      </c>
    </row>
    <row r="1107">
      <c r="A1107" s="2" t="s">
        <v>2460</v>
      </c>
      <c r="B1107" s="1">
        <v>200.0</v>
      </c>
      <c r="C1107" s="1" t="s">
        <v>846</v>
      </c>
      <c r="D1107" s="1" t="s">
        <v>609</v>
      </c>
      <c r="E1107" s="1" t="s">
        <v>631</v>
      </c>
    </row>
    <row r="1108">
      <c r="A1108" s="2" t="s">
        <v>2461</v>
      </c>
      <c r="B1108" s="1">
        <v>200.0</v>
      </c>
      <c r="C1108" s="1" t="s">
        <v>582</v>
      </c>
      <c r="D1108" s="1" t="s">
        <v>583</v>
      </c>
      <c r="F1108" s="1">
        <v>0.0</v>
      </c>
      <c r="G1108" s="1">
        <v>1.0</v>
      </c>
      <c r="H1108" s="1">
        <v>0.0</v>
      </c>
      <c r="I1108" s="1">
        <v>2.0</v>
      </c>
    </row>
    <row r="1109">
      <c r="A1109" s="2" t="s">
        <v>2462</v>
      </c>
      <c r="B1109" s="1">
        <v>200.0</v>
      </c>
      <c r="C1109" s="1" t="s">
        <v>846</v>
      </c>
      <c r="D1109" s="1" t="s">
        <v>609</v>
      </c>
      <c r="E1109" s="1" t="s">
        <v>631</v>
      </c>
    </row>
    <row r="1110">
      <c r="A1110" s="2" t="s">
        <v>2463</v>
      </c>
      <c r="B1110" s="1">
        <v>200.0</v>
      </c>
      <c r="C1110" s="1" t="s">
        <v>582</v>
      </c>
      <c r="D1110" s="1" t="s">
        <v>583</v>
      </c>
      <c r="F1110" s="1">
        <v>0.0</v>
      </c>
      <c r="G1110" s="1">
        <v>1.0</v>
      </c>
      <c r="H1110" s="1">
        <v>0.0</v>
      </c>
      <c r="I1110" s="1">
        <v>2.0</v>
      </c>
    </row>
    <row r="1111">
      <c r="A1111" s="2" t="s">
        <v>2464</v>
      </c>
      <c r="B1111" s="1">
        <v>200.0</v>
      </c>
      <c r="C1111" s="1" t="s">
        <v>846</v>
      </c>
      <c r="D1111" s="1" t="s">
        <v>609</v>
      </c>
      <c r="E1111" s="1" t="s">
        <v>631</v>
      </c>
    </row>
    <row r="1112">
      <c r="A1112" s="2" t="s">
        <v>2465</v>
      </c>
      <c r="B1112" s="1">
        <v>200.0</v>
      </c>
      <c r="C1112" s="1" t="s">
        <v>582</v>
      </c>
      <c r="D1112" s="1" t="s">
        <v>583</v>
      </c>
      <c r="F1112" s="1">
        <v>0.0</v>
      </c>
      <c r="G1112" s="1">
        <v>140.0</v>
      </c>
      <c r="H1112" s="1">
        <v>0.0</v>
      </c>
      <c r="I1112" s="1">
        <v>63.64</v>
      </c>
    </row>
    <row r="1113">
      <c r="A1113" s="2" t="s">
        <v>2466</v>
      </c>
      <c r="B1113" s="1">
        <v>200.0</v>
      </c>
      <c r="C1113" s="1" t="s">
        <v>846</v>
      </c>
      <c r="D1113" s="1" t="s">
        <v>609</v>
      </c>
      <c r="E1113" s="1" t="s">
        <v>631</v>
      </c>
    </row>
    <row r="1114">
      <c r="A1114" s="2" t="s">
        <v>2467</v>
      </c>
      <c r="B1114" s="1">
        <v>200.0</v>
      </c>
      <c r="C1114" s="1" t="s">
        <v>582</v>
      </c>
      <c r="D1114" s="1" t="s">
        <v>583</v>
      </c>
      <c r="F1114" s="1">
        <v>0.0</v>
      </c>
      <c r="G1114" s="1">
        <v>1.0</v>
      </c>
      <c r="H1114" s="1">
        <v>0.0</v>
      </c>
      <c r="I1114" s="1">
        <v>15.0</v>
      </c>
    </row>
    <row r="1115">
      <c r="A1115" s="2" t="s">
        <v>2468</v>
      </c>
      <c r="B1115" s="1">
        <v>200.0</v>
      </c>
      <c r="C1115" s="1" t="s">
        <v>846</v>
      </c>
      <c r="D1115" s="1" t="s">
        <v>609</v>
      </c>
      <c r="E1115" s="1" t="s">
        <v>631</v>
      </c>
    </row>
    <row r="1116">
      <c r="A1116" s="2" t="s">
        <v>2469</v>
      </c>
      <c r="B1116" s="1">
        <v>200.0</v>
      </c>
      <c r="C1116" s="1" t="s">
        <v>582</v>
      </c>
      <c r="D1116" s="1" t="s">
        <v>583</v>
      </c>
      <c r="F1116" s="1">
        <v>0.0</v>
      </c>
      <c r="G1116" s="1">
        <v>13.0</v>
      </c>
      <c r="H1116" s="1">
        <v>0.0</v>
      </c>
      <c r="I1116" s="1">
        <v>7.31</v>
      </c>
    </row>
    <row r="1117">
      <c r="A1117" s="2" t="s">
        <v>2470</v>
      </c>
      <c r="B1117" s="1">
        <v>200.0</v>
      </c>
      <c r="C1117" s="1" t="s">
        <v>846</v>
      </c>
      <c r="D1117" s="1" t="s">
        <v>609</v>
      </c>
      <c r="E1117" s="1" t="s">
        <v>631</v>
      </c>
    </row>
    <row r="1118">
      <c r="A1118" s="2" t="s">
        <v>2471</v>
      </c>
      <c r="B1118" s="1">
        <v>200.0</v>
      </c>
      <c r="C1118" s="1" t="s">
        <v>582</v>
      </c>
      <c r="D1118" s="1" t="s">
        <v>583</v>
      </c>
    </row>
    <row r="1119">
      <c r="A1119" s="2" t="s">
        <v>2472</v>
      </c>
      <c r="B1119" s="1">
        <v>200.0</v>
      </c>
      <c r="C1119" s="1" t="s">
        <v>846</v>
      </c>
      <c r="D1119" s="1" t="s">
        <v>609</v>
      </c>
      <c r="E1119" s="1" t="s">
        <v>631</v>
      </c>
    </row>
    <row r="1120">
      <c r="A1120" s="2" t="s">
        <v>2473</v>
      </c>
      <c r="B1120" s="1">
        <v>200.0</v>
      </c>
      <c r="C1120" s="1" t="s">
        <v>582</v>
      </c>
      <c r="D1120" s="1" t="s">
        <v>583</v>
      </c>
    </row>
    <row r="1121">
      <c r="A1121" s="2" t="s">
        <v>2474</v>
      </c>
      <c r="B1121" s="1">
        <v>200.0</v>
      </c>
      <c r="C1121" s="1" t="s">
        <v>846</v>
      </c>
      <c r="D1121" s="1" t="s">
        <v>609</v>
      </c>
      <c r="E1121" s="1" t="s">
        <v>631</v>
      </c>
    </row>
    <row r="1122">
      <c r="A1122" s="2" t="s">
        <v>2475</v>
      </c>
      <c r="B1122" s="1">
        <v>200.0</v>
      </c>
      <c r="C1122" s="1" t="s">
        <v>582</v>
      </c>
      <c r="D1122" s="1" t="s">
        <v>583</v>
      </c>
    </row>
    <row r="1123">
      <c r="A1123" s="2" t="s">
        <v>2476</v>
      </c>
      <c r="B1123" s="1">
        <v>200.0</v>
      </c>
      <c r="C1123" s="1" t="s">
        <v>846</v>
      </c>
      <c r="D1123" s="1" t="s">
        <v>609</v>
      </c>
      <c r="E1123" s="1" t="s">
        <v>631</v>
      </c>
    </row>
    <row r="1124">
      <c r="A1124" s="2" t="s">
        <v>2477</v>
      </c>
      <c r="B1124" s="1">
        <v>200.0</v>
      </c>
      <c r="C1124" s="1" t="s">
        <v>582</v>
      </c>
      <c r="D1124" s="1" t="s">
        <v>583</v>
      </c>
      <c r="F1124" s="1">
        <v>0.0</v>
      </c>
      <c r="G1124" s="1">
        <v>1.0</v>
      </c>
      <c r="H1124" s="1">
        <v>0.0</v>
      </c>
      <c r="I1124" s="1">
        <v>12.0</v>
      </c>
    </row>
    <row r="1125">
      <c r="A1125" s="2" t="s">
        <v>2478</v>
      </c>
      <c r="B1125" s="1">
        <v>200.0</v>
      </c>
      <c r="C1125" s="1" t="s">
        <v>846</v>
      </c>
      <c r="D1125" s="1" t="s">
        <v>609</v>
      </c>
      <c r="E1125" s="1" t="s">
        <v>631</v>
      </c>
    </row>
    <row r="1126">
      <c r="A1126" s="2" t="s">
        <v>2479</v>
      </c>
      <c r="B1126" s="1">
        <v>200.0</v>
      </c>
      <c r="C1126" s="1" t="s">
        <v>582</v>
      </c>
      <c r="D1126" s="1" t="s">
        <v>583</v>
      </c>
    </row>
    <row r="1127">
      <c r="A1127" s="2" t="s">
        <v>2480</v>
      </c>
      <c r="B1127" s="1">
        <v>200.0</v>
      </c>
      <c r="C1127" s="1" t="s">
        <v>846</v>
      </c>
      <c r="D1127" s="1" t="s">
        <v>609</v>
      </c>
      <c r="E1127" s="1" t="s">
        <v>631</v>
      </c>
    </row>
    <row r="1128">
      <c r="A1128" s="2" t="s">
        <v>2481</v>
      </c>
      <c r="B1128" s="1">
        <v>200.0</v>
      </c>
      <c r="C1128" s="1" t="s">
        <v>582</v>
      </c>
      <c r="D1128" s="1" t="s">
        <v>583</v>
      </c>
    </row>
    <row r="1129">
      <c r="A1129" s="2" t="s">
        <v>2482</v>
      </c>
      <c r="B1129" s="1">
        <v>200.0</v>
      </c>
      <c r="C1129" s="1" t="s">
        <v>846</v>
      </c>
      <c r="D1129" s="1" t="s">
        <v>609</v>
      </c>
      <c r="E1129" s="1" t="s">
        <v>631</v>
      </c>
    </row>
    <row r="1130">
      <c r="A1130" s="2" t="s">
        <v>2483</v>
      </c>
      <c r="B1130" s="1">
        <v>200.0</v>
      </c>
      <c r="C1130" s="1" t="s">
        <v>582</v>
      </c>
      <c r="D1130" s="1" t="s">
        <v>583</v>
      </c>
      <c r="F1130" s="1">
        <v>1.0</v>
      </c>
      <c r="G1130" s="1">
        <v>60.0</v>
      </c>
      <c r="H1130" s="1">
        <v>0.017</v>
      </c>
      <c r="I1130" s="1">
        <v>33.0</v>
      </c>
    </row>
    <row r="1131">
      <c r="A1131" s="2" t="s">
        <v>2484</v>
      </c>
      <c r="B1131" s="1">
        <v>200.0</v>
      </c>
      <c r="C1131" s="1" t="s">
        <v>846</v>
      </c>
      <c r="D1131" s="1" t="s">
        <v>609</v>
      </c>
      <c r="E1131" s="1" t="s">
        <v>631</v>
      </c>
    </row>
    <row r="1132">
      <c r="A1132" s="2" t="s">
        <v>2485</v>
      </c>
      <c r="B1132" s="1">
        <v>200.0</v>
      </c>
      <c r="C1132" s="1" t="s">
        <v>582</v>
      </c>
      <c r="D1132" s="1" t="s">
        <v>583</v>
      </c>
      <c r="F1132" s="1">
        <v>0.0</v>
      </c>
      <c r="G1132" s="1">
        <v>1.0</v>
      </c>
      <c r="H1132" s="1">
        <v>0.0</v>
      </c>
      <c r="I1132" s="1">
        <v>2.0</v>
      </c>
    </row>
    <row r="1133">
      <c r="A1133" s="2" t="s">
        <v>2486</v>
      </c>
      <c r="B1133" s="1">
        <v>200.0</v>
      </c>
      <c r="C1133" s="1" t="s">
        <v>846</v>
      </c>
      <c r="D1133" s="1" t="s">
        <v>609</v>
      </c>
      <c r="E1133" s="1" t="s">
        <v>631</v>
      </c>
    </row>
    <row r="1134">
      <c r="A1134" s="2" t="s">
        <v>2487</v>
      </c>
      <c r="B1134" s="1">
        <v>200.0</v>
      </c>
      <c r="C1134" s="1" t="s">
        <v>582</v>
      </c>
      <c r="D1134" s="1" t="s">
        <v>583</v>
      </c>
    </row>
    <row r="1135">
      <c r="A1135" s="2" t="s">
        <v>2488</v>
      </c>
      <c r="B1135" s="1">
        <v>200.0</v>
      </c>
      <c r="C1135" s="1" t="s">
        <v>846</v>
      </c>
      <c r="D1135" s="1" t="s">
        <v>609</v>
      </c>
      <c r="E1135" s="1" t="s">
        <v>631</v>
      </c>
    </row>
    <row r="1136">
      <c r="A1136" s="2" t="s">
        <v>2489</v>
      </c>
      <c r="B1136" s="1">
        <v>200.0</v>
      </c>
      <c r="C1136" s="1" t="s">
        <v>582</v>
      </c>
      <c r="D1136" s="1" t="s">
        <v>583</v>
      </c>
      <c r="F1136" s="1">
        <v>0.0</v>
      </c>
      <c r="G1136" s="1">
        <v>1.0</v>
      </c>
      <c r="H1136" s="1">
        <v>0.0</v>
      </c>
      <c r="I1136" s="1">
        <v>9.0</v>
      </c>
    </row>
    <row r="1137">
      <c r="A1137" s="2" t="s">
        <v>2490</v>
      </c>
      <c r="B1137" s="1">
        <v>200.0</v>
      </c>
      <c r="C1137" s="1" t="s">
        <v>846</v>
      </c>
      <c r="D1137" s="1" t="s">
        <v>609</v>
      </c>
      <c r="E1137" s="1" t="s">
        <v>631</v>
      </c>
    </row>
    <row r="1138">
      <c r="A1138" s="2" t="s">
        <v>2491</v>
      </c>
      <c r="B1138" s="1">
        <v>200.0</v>
      </c>
      <c r="C1138" s="1" t="s">
        <v>582</v>
      </c>
      <c r="D1138" s="1" t="s">
        <v>583</v>
      </c>
    </row>
    <row r="1139">
      <c r="A1139" s="2" t="s">
        <v>2492</v>
      </c>
      <c r="B1139" s="1">
        <v>200.0</v>
      </c>
      <c r="C1139" s="1" t="s">
        <v>846</v>
      </c>
      <c r="D1139" s="1" t="s">
        <v>609</v>
      </c>
      <c r="E1139" s="1" t="s">
        <v>631</v>
      </c>
    </row>
    <row r="1140">
      <c r="A1140" s="2" t="s">
        <v>2493</v>
      </c>
      <c r="B1140" s="1">
        <v>200.0</v>
      </c>
      <c r="C1140" s="1" t="s">
        <v>582</v>
      </c>
      <c r="D1140" s="1" t="s">
        <v>583</v>
      </c>
      <c r="F1140" s="1">
        <v>0.0</v>
      </c>
      <c r="G1140" s="1">
        <v>3.0</v>
      </c>
      <c r="H1140" s="1">
        <v>0.0</v>
      </c>
      <c r="I1140" s="1">
        <v>10.0</v>
      </c>
    </row>
    <row r="1141">
      <c r="A1141" s="2" t="s">
        <v>2494</v>
      </c>
      <c r="B1141" s="1">
        <v>200.0</v>
      </c>
      <c r="C1141" s="1" t="s">
        <v>846</v>
      </c>
      <c r="D1141" s="1" t="s">
        <v>609</v>
      </c>
      <c r="E1141" s="1" t="s">
        <v>631</v>
      </c>
    </row>
    <row r="1142">
      <c r="A1142" s="2" t="s">
        <v>2495</v>
      </c>
      <c r="B1142" s="1">
        <v>200.0</v>
      </c>
      <c r="C1142" s="1" t="s">
        <v>582</v>
      </c>
      <c r="D1142" s="1" t="s">
        <v>583</v>
      </c>
      <c r="F1142" s="1">
        <v>0.0</v>
      </c>
      <c r="G1142" s="1">
        <v>1.0</v>
      </c>
      <c r="H1142" s="1">
        <v>0.0</v>
      </c>
      <c r="I1142" s="1">
        <v>6.0</v>
      </c>
    </row>
    <row r="1143">
      <c r="A1143" s="2" t="s">
        <v>2496</v>
      </c>
      <c r="B1143" s="1">
        <v>200.0</v>
      </c>
      <c r="C1143" s="1" t="s">
        <v>846</v>
      </c>
      <c r="D1143" s="1" t="s">
        <v>609</v>
      </c>
      <c r="E1143" s="1" t="s">
        <v>631</v>
      </c>
    </row>
    <row r="1144">
      <c r="A1144" s="2" t="s">
        <v>2497</v>
      </c>
      <c r="B1144" s="1">
        <v>200.0</v>
      </c>
      <c r="C1144" s="1" t="s">
        <v>582</v>
      </c>
      <c r="D1144" s="1" t="s">
        <v>583</v>
      </c>
    </row>
    <row r="1145">
      <c r="A1145" s="2" t="s">
        <v>2498</v>
      </c>
      <c r="B1145" s="1">
        <v>200.0</v>
      </c>
      <c r="C1145" s="1" t="s">
        <v>846</v>
      </c>
      <c r="D1145" s="1" t="s">
        <v>609</v>
      </c>
      <c r="E1145" s="1" t="s">
        <v>631</v>
      </c>
    </row>
    <row r="1146">
      <c r="A1146" s="2" t="s">
        <v>2499</v>
      </c>
      <c r="B1146" s="1">
        <v>200.0</v>
      </c>
      <c r="C1146" s="1" t="s">
        <v>582</v>
      </c>
      <c r="D1146" s="1" t="s">
        <v>583</v>
      </c>
    </row>
    <row r="1147">
      <c r="A1147" s="2" t="s">
        <v>2500</v>
      </c>
      <c r="B1147" s="1">
        <v>200.0</v>
      </c>
      <c r="C1147" s="1" t="s">
        <v>846</v>
      </c>
      <c r="D1147" s="1" t="s">
        <v>609</v>
      </c>
      <c r="E1147" s="1" t="s">
        <v>631</v>
      </c>
    </row>
    <row r="1148">
      <c r="A1148" s="2" t="s">
        <v>2501</v>
      </c>
      <c r="B1148" s="1">
        <v>200.0</v>
      </c>
      <c r="C1148" s="1" t="s">
        <v>582</v>
      </c>
      <c r="D1148" s="1" t="s">
        <v>583</v>
      </c>
      <c r="F1148" s="1">
        <v>0.0</v>
      </c>
      <c r="G1148" s="1">
        <v>2.0</v>
      </c>
      <c r="H1148" s="1">
        <v>0.0</v>
      </c>
      <c r="I1148" s="1">
        <v>4.5</v>
      </c>
    </row>
    <row r="1149">
      <c r="A1149" s="2" t="s">
        <v>2502</v>
      </c>
      <c r="B1149" s="1">
        <v>200.0</v>
      </c>
      <c r="C1149" s="1" t="s">
        <v>846</v>
      </c>
      <c r="D1149" s="1" t="s">
        <v>609</v>
      </c>
      <c r="E1149" s="1" t="s">
        <v>631</v>
      </c>
    </row>
    <row r="1150">
      <c r="A1150" s="2" t="s">
        <v>2503</v>
      </c>
      <c r="B1150" s="1">
        <v>200.0</v>
      </c>
      <c r="C1150" s="1" t="s">
        <v>582</v>
      </c>
      <c r="D1150" s="1" t="s">
        <v>583</v>
      </c>
    </row>
    <row r="1151">
      <c r="A1151" s="2" t="s">
        <v>2504</v>
      </c>
      <c r="B1151" s="1">
        <v>200.0</v>
      </c>
      <c r="C1151" s="1" t="s">
        <v>846</v>
      </c>
      <c r="D1151" s="1" t="s">
        <v>609</v>
      </c>
      <c r="E1151" s="1" t="s">
        <v>631</v>
      </c>
    </row>
    <row r="1152">
      <c r="A1152" s="2" t="s">
        <v>2505</v>
      </c>
      <c r="B1152" s="1">
        <v>200.0</v>
      </c>
      <c r="C1152" s="1" t="s">
        <v>582</v>
      </c>
      <c r="D1152" s="1" t="s">
        <v>583</v>
      </c>
      <c r="F1152" s="1">
        <v>0.0</v>
      </c>
      <c r="G1152" s="1">
        <v>1.0</v>
      </c>
      <c r="H1152" s="1">
        <v>0.0</v>
      </c>
      <c r="I1152" s="1">
        <v>49.0</v>
      </c>
    </row>
    <row r="1153">
      <c r="A1153" s="2" t="s">
        <v>2506</v>
      </c>
      <c r="B1153" s="1">
        <v>200.0</v>
      </c>
      <c r="C1153" s="1" t="s">
        <v>846</v>
      </c>
      <c r="D1153" s="1" t="s">
        <v>609</v>
      </c>
      <c r="E1153" s="1" t="s">
        <v>631</v>
      </c>
      <c r="F1153" s="1">
        <v>0.0</v>
      </c>
      <c r="G1153" s="1">
        <v>1.0</v>
      </c>
      <c r="H1153" s="1">
        <v>0.0</v>
      </c>
      <c r="I1153" s="1">
        <v>7.0</v>
      </c>
    </row>
    <row r="1154">
      <c r="A1154" s="2" t="s">
        <v>2507</v>
      </c>
      <c r="B1154" s="1">
        <v>200.0</v>
      </c>
      <c r="C1154" s="1" t="s">
        <v>582</v>
      </c>
      <c r="D1154" s="1" t="s">
        <v>583</v>
      </c>
    </row>
    <row r="1155">
      <c r="A1155" s="2" t="s">
        <v>2508</v>
      </c>
      <c r="B1155" s="1">
        <v>200.0</v>
      </c>
      <c r="C1155" s="1" t="s">
        <v>846</v>
      </c>
      <c r="D1155" s="1" t="s">
        <v>609</v>
      </c>
      <c r="E1155" s="1" t="s">
        <v>631</v>
      </c>
    </row>
    <row r="1156">
      <c r="A1156" s="2" t="s">
        <v>2509</v>
      </c>
      <c r="B1156" s="1">
        <v>200.0</v>
      </c>
      <c r="C1156" s="1" t="s">
        <v>582</v>
      </c>
      <c r="D1156" s="1" t="s">
        <v>583</v>
      </c>
      <c r="F1156" s="1">
        <v>0.0</v>
      </c>
      <c r="G1156" s="1">
        <v>1.0</v>
      </c>
      <c r="H1156" s="1">
        <v>0.0</v>
      </c>
      <c r="I1156" s="1">
        <v>5.0</v>
      </c>
    </row>
    <row r="1157">
      <c r="A1157" s="2" t="s">
        <v>2510</v>
      </c>
      <c r="B1157" s="1">
        <v>200.0</v>
      </c>
      <c r="C1157" s="1" t="s">
        <v>846</v>
      </c>
      <c r="D1157" s="1" t="s">
        <v>609</v>
      </c>
      <c r="E1157" s="1" t="s">
        <v>631</v>
      </c>
    </row>
    <row r="1158">
      <c r="A1158" s="2" t="s">
        <v>2511</v>
      </c>
      <c r="B1158" s="1">
        <v>200.0</v>
      </c>
      <c r="C1158" s="1" t="s">
        <v>582</v>
      </c>
      <c r="D1158" s="1" t="s">
        <v>583</v>
      </c>
      <c r="F1158" s="1">
        <v>0.0</v>
      </c>
      <c r="G1158" s="1">
        <v>1.0</v>
      </c>
      <c r="H1158" s="1">
        <v>0.0</v>
      </c>
      <c r="I1158" s="1">
        <v>4.0</v>
      </c>
    </row>
    <row r="1159">
      <c r="A1159" s="2" t="s">
        <v>2512</v>
      </c>
      <c r="B1159" s="1">
        <v>200.0</v>
      </c>
      <c r="C1159" s="1" t="s">
        <v>582</v>
      </c>
      <c r="D1159" s="1" t="s">
        <v>583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A865"/>
    <hyperlink r:id="rId864" ref="A866"/>
    <hyperlink r:id="rId865" ref="A867"/>
    <hyperlink r:id="rId866" ref="A868"/>
    <hyperlink r:id="rId867" ref="A869"/>
    <hyperlink r:id="rId868" ref="A870"/>
    <hyperlink r:id="rId869" ref="A871"/>
    <hyperlink r:id="rId870" ref="A872"/>
    <hyperlink r:id="rId871" ref="A873"/>
    <hyperlink r:id="rId872" ref="A874"/>
    <hyperlink r:id="rId873" ref="A875"/>
    <hyperlink r:id="rId874" ref="A876"/>
    <hyperlink r:id="rId875" ref="A877"/>
    <hyperlink r:id="rId876" ref="A878"/>
    <hyperlink r:id="rId877" ref="A879"/>
    <hyperlink r:id="rId878" ref="A880"/>
    <hyperlink r:id="rId879" ref="A881"/>
    <hyperlink r:id="rId880" ref="A882"/>
    <hyperlink r:id="rId881" ref="A883"/>
    <hyperlink r:id="rId882" ref="A884"/>
    <hyperlink r:id="rId883" ref="A885"/>
    <hyperlink r:id="rId884" ref="A886"/>
    <hyperlink r:id="rId885" ref="A887"/>
    <hyperlink r:id="rId886" ref="A888"/>
    <hyperlink r:id="rId887" ref="A889"/>
    <hyperlink r:id="rId888" ref="A890"/>
    <hyperlink r:id="rId889" ref="A891"/>
    <hyperlink r:id="rId890" ref="A892"/>
    <hyperlink r:id="rId891" ref="A893"/>
    <hyperlink r:id="rId892" ref="A894"/>
    <hyperlink r:id="rId893" ref="A895"/>
    <hyperlink r:id="rId894" ref="A896"/>
    <hyperlink r:id="rId895" ref="A897"/>
    <hyperlink r:id="rId896" ref="A898"/>
    <hyperlink r:id="rId897" ref="A899"/>
    <hyperlink r:id="rId898" ref="A900"/>
    <hyperlink r:id="rId899" ref="A901"/>
    <hyperlink r:id="rId900" ref="A902"/>
    <hyperlink r:id="rId901" ref="A903"/>
    <hyperlink r:id="rId902" ref="A904"/>
    <hyperlink r:id="rId903" ref="A905"/>
    <hyperlink r:id="rId904" ref="A906"/>
    <hyperlink r:id="rId905" ref="A907"/>
    <hyperlink r:id="rId906" ref="A908"/>
    <hyperlink r:id="rId907" ref="A909"/>
    <hyperlink r:id="rId908" ref="A910"/>
    <hyperlink r:id="rId909" ref="A911"/>
    <hyperlink r:id="rId910" ref="A912"/>
    <hyperlink r:id="rId911" ref="A913"/>
    <hyperlink r:id="rId912" ref="A914"/>
    <hyperlink r:id="rId913" ref="A915"/>
    <hyperlink r:id="rId914" ref="A916"/>
    <hyperlink r:id="rId915" ref="A917"/>
    <hyperlink r:id="rId916" ref="A918"/>
    <hyperlink r:id="rId917" ref="A919"/>
    <hyperlink r:id="rId918" ref="A920"/>
    <hyperlink r:id="rId919" ref="A921"/>
    <hyperlink r:id="rId920" ref="A922"/>
    <hyperlink r:id="rId921" ref="A923"/>
    <hyperlink r:id="rId922" ref="A924"/>
    <hyperlink r:id="rId923" ref="A925"/>
    <hyperlink r:id="rId924" ref="A926"/>
    <hyperlink r:id="rId925" ref="A927"/>
    <hyperlink r:id="rId926" ref="A928"/>
    <hyperlink r:id="rId927" ref="A929"/>
    <hyperlink r:id="rId928" ref="A930"/>
    <hyperlink r:id="rId929" ref="A931"/>
    <hyperlink r:id="rId930" ref="A932"/>
    <hyperlink r:id="rId931" ref="A933"/>
    <hyperlink r:id="rId932" ref="A934"/>
    <hyperlink r:id="rId933" ref="A935"/>
    <hyperlink r:id="rId934" ref="A936"/>
    <hyperlink r:id="rId935" ref="A937"/>
    <hyperlink r:id="rId936" ref="A938"/>
    <hyperlink r:id="rId937" ref="A939"/>
    <hyperlink r:id="rId938" ref="A940"/>
    <hyperlink r:id="rId939" ref="A941"/>
    <hyperlink r:id="rId940" ref="A942"/>
    <hyperlink r:id="rId941" ref="A943"/>
    <hyperlink r:id="rId942" ref="A944"/>
    <hyperlink r:id="rId943" ref="A945"/>
    <hyperlink r:id="rId944" ref="A946"/>
    <hyperlink r:id="rId945" ref="A947"/>
    <hyperlink r:id="rId946" ref="A948"/>
    <hyperlink r:id="rId947" ref="A949"/>
    <hyperlink r:id="rId948" ref="A950"/>
    <hyperlink r:id="rId949" ref="A951"/>
    <hyperlink r:id="rId950" ref="A952"/>
    <hyperlink r:id="rId951" ref="A953"/>
    <hyperlink r:id="rId952" ref="A954"/>
    <hyperlink r:id="rId953" ref="A955"/>
    <hyperlink r:id="rId954" ref="A956"/>
    <hyperlink r:id="rId955" ref="A957"/>
    <hyperlink r:id="rId956" ref="A958"/>
    <hyperlink r:id="rId957" ref="A959"/>
    <hyperlink r:id="rId958" ref="A960"/>
    <hyperlink r:id="rId959" ref="A961"/>
    <hyperlink r:id="rId960" ref="A962"/>
    <hyperlink r:id="rId961" ref="A963"/>
    <hyperlink r:id="rId962" ref="A964"/>
    <hyperlink r:id="rId963" ref="A965"/>
    <hyperlink r:id="rId964" ref="A966"/>
    <hyperlink r:id="rId965" ref="A967"/>
    <hyperlink r:id="rId966" ref="A968"/>
    <hyperlink r:id="rId967" ref="A969"/>
    <hyperlink r:id="rId968" ref="A970"/>
    <hyperlink r:id="rId969" ref="A971"/>
    <hyperlink r:id="rId970" ref="A972"/>
    <hyperlink r:id="rId971" ref="A973"/>
    <hyperlink r:id="rId972" ref="A974"/>
    <hyperlink r:id="rId973" ref="A975"/>
    <hyperlink r:id="rId974" ref="A976"/>
    <hyperlink r:id="rId975" ref="A977"/>
    <hyperlink r:id="rId976" ref="A978"/>
    <hyperlink r:id="rId977" ref="A979"/>
    <hyperlink r:id="rId978" ref="A980"/>
    <hyperlink r:id="rId979" ref="A981"/>
    <hyperlink r:id="rId980" ref="A982"/>
    <hyperlink r:id="rId981" ref="A983"/>
    <hyperlink r:id="rId982" ref="A984"/>
    <hyperlink r:id="rId983" ref="A985"/>
    <hyperlink r:id="rId984" ref="A986"/>
    <hyperlink r:id="rId985" ref="A987"/>
    <hyperlink r:id="rId986" ref="A988"/>
    <hyperlink r:id="rId987" ref="A989"/>
    <hyperlink r:id="rId988" ref="A990"/>
    <hyperlink r:id="rId989" ref="A991"/>
    <hyperlink r:id="rId990" ref="A992"/>
    <hyperlink r:id="rId991" ref="A993"/>
    <hyperlink r:id="rId992" ref="A994"/>
    <hyperlink r:id="rId993" ref="A995"/>
    <hyperlink r:id="rId994" ref="A996"/>
    <hyperlink r:id="rId995" ref="A997"/>
    <hyperlink r:id="rId996" ref="A998"/>
    <hyperlink r:id="rId997" ref="A999"/>
    <hyperlink r:id="rId998" ref="A1000"/>
    <hyperlink r:id="rId999" ref="A1001"/>
    <hyperlink r:id="rId1000" ref="A1002"/>
    <hyperlink r:id="rId1001" ref="A1003"/>
    <hyperlink r:id="rId1002" ref="A1004"/>
    <hyperlink r:id="rId1003" ref="A1005"/>
    <hyperlink r:id="rId1004" ref="A1006"/>
    <hyperlink r:id="rId1005" ref="A1007"/>
    <hyperlink r:id="rId1006" ref="A1008"/>
    <hyperlink r:id="rId1007" ref="A1009"/>
    <hyperlink r:id="rId1008" ref="A1010"/>
    <hyperlink r:id="rId1009" ref="A1011"/>
    <hyperlink r:id="rId1010" ref="A1012"/>
    <hyperlink r:id="rId1011" ref="A1013"/>
    <hyperlink r:id="rId1012" ref="A1014"/>
    <hyperlink r:id="rId1013" ref="A1015"/>
    <hyperlink r:id="rId1014" ref="A1016"/>
    <hyperlink r:id="rId1015" ref="A1017"/>
    <hyperlink r:id="rId1016" ref="A1018"/>
    <hyperlink r:id="rId1017" ref="A1019"/>
    <hyperlink r:id="rId1018" ref="A1020"/>
    <hyperlink r:id="rId1019" ref="A1021"/>
    <hyperlink r:id="rId1020" ref="A1022"/>
    <hyperlink r:id="rId1021" ref="A1023"/>
    <hyperlink r:id="rId1022" ref="A1024"/>
    <hyperlink r:id="rId1023" ref="A1025"/>
    <hyperlink r:id="rId1024" ref="A1026"/>
    <hyperlink r:id="rId1025" ref="A1027"/>
    <hyperlink r:id="rId1026" ref="A1028"/>
    <hyperlink r:id="rId1027" ref="A1029"/>
    <hyperlink r:id="rId1028" ref="A1030"/>
    <hyperlink r:id="rId1029" ref="A1031"/>
    <hyperlink r:id="rId1030" ref="A1032"/>
    <hyperlink r:id="rId1031" ref="A1033"/>
    <hyperlink r:id="rId1032" ref="A1034"/>
    <hyperlink r:id="rId1033" ref="A1035"/>
    <hyperlink r:id="rId1034" ref="A1036"/>
    <hyperlink r:id="rId1035" ref="A1037"/>
    <hyperlink r:id="rId1036" ref="A1038"/>
    <hyperlink r:id="rId1037" ref="A1039"/>
    <hyperlink r:id="rId1038" ref="A1040"/>
    <hyperlink r:id="rId1039" ref="A1041"/>
    <hyperlink r:id="rId1040" ref="A1042"/>
    <hyperlink r:id="rId1041" ref="A1043"/>
    <hyperlink r:id="rId1042" ref="A1044"/>
    <hyperlink r:id="rId1043" ref="A1045"/>
    <hyperlink r:id="rId1044" ref="A1046"/>
    <hyperlink r:id="rId1045" ref="A1047"/>
    <hyperlink r:id="rId1046" ref="A1048"/>
    <hyperlink r:id="rId1047" ref="A1049"/>
    <hyperlink r:id="rId1048" ref="A1050"/>
    <hyperlink r:id="rId1049" ref="A1051"/>
    <hyperlink r:id="rId1050" ref="A1052"/>
    <hyperlink r:id="rId1051" ref="A1053"/>
    <hyperlink r:id="rId1052" ref="A1054"/>
    <hyperlink r:id="rId1053" ref="A1055"/>
    <hyperlink r:id="rId1054" ref="A1056"/>
    <hyperlink r:id="rId1055" ref="A1057"/>
    <hyperlink r:id="rId1056" ref="A1058"/>
    <hyperlink r:id="rId1057" ref="A1059"/>
    <hyperlink r:id="rId1058" ref="A1060"/>
    <hyperlink r:id="rId1059" ref="A1061"/>
    <hyperlink r:id="rId1060" ref="A1062"/>
    <hyperlink r:id="rId1061" ref="A1063"/>
    <hyperlink r:id="rId1062" ref="A1064"/>
    <hyperlink r:id="rId1063" ref="A1065"/>
    <hyperlink r:id="rId1064" ref="A1066"/>
    <hyperlink r:id="rId1065" ref="A1067"/>
    <hyperlink r:id="rId1066" ref="A1068"/>
    <hyperlink r:id="rId1067" ref="A1069"/>
    <hyperlink r:id="rId1068" ref="A1070"/>
    <hyperlink r:id="rId1069" ref="A1071"/>
    <hyperlink r:id="rId1070" ref="A1072"/>
    <hyperlink r:id="rId1071" ref="A1073"/>
    <hyperlink r:id="rId1072" ref="A1074"/>
    <hyperlink r:id="rId1073" ref="A1075"/>
    <hyperlink r:id="rId1074" ref="A1076"/>
    <hyperlink r:id="rId1075" ref="A1077"/>
    <hyperlink r:id="rId1076" ref="A1078"/>
    <hyperlink r:id="rId1077" ref="A1079"/>
    <hyperlink r:id="rId1078" ref="A1080"/>
    <hyperlink r:id="rId1079" ref="A1081"/>
    <hyperlink r:id="rId1080" ref="A1082"/>
    <hyperlink r:id="rId1081" ref="A1083"/>
    <hyperlink r:id="rId1082" ref="A1084"/>
    <hyperlink r:id="rId1083" ref="A1085"/>
    <hyperlink r:id="rId1084" ref="A1086"/>
    <hyperlink r:id="rId1085" ref="A1087"/>
    <hyperlink r:id="rId1086" ref="A1088"/>
    <hyperlink r:id="rId1087" ref="A1089"/>
    <hyperlink r:id="rId1088" ref="A1090"/>
    <hyperlink r:id="rId1089" ref="A1091"/>
    <hyperlink r:id="rId1090" ref="A1092"/>
    <hyperlink r:id="rId1091" ref="A1093"/>
    <hyperlink r:id="rId1092" ref="A1094"/>
    <hyperlink r:id="rId1093" ref="A1095"/>
    <hyperlink r:id="rId1094" ref="A1096"/>
    <hyperlink r:id="rId1095" ref="A1097"/>
    <hyperlink r:id="rId1096" ref="A1098"/>
    <hyperlink r:id="rId1097" ref="A1099"/>
    <hyperlink r:id="rId1098" ref="A1100"/>
    <hyperlink r:id="rId1099" ref="A1101"/>
    <hyperlink r:id="rId1100" ref="A1102"/>
    <hyperlink r:id="rId1101" ref="A1103"/>
    <hyperlink r:id="rId1102" ref="A1104"/>
    <hyperlink r:id="rId1103" ref="A1105"/>
    <hyperlink r:id="rId1104" ref="A1106"/>
    <hyperlink r:id="rId1105" ref="A1107"/>
    <hyperlink r:id="rId1106" ref="A1108"/>
    <hyperlink r:id="rId1107" ref="A1109"/>
    <hyperlink r:id="rId1108" ref="A1110"/>
    <hyperlink r:id="rId1109" ref="A1111"/>
    <hyperlink r:id="rId1110" ref="A1112"/>
    <hyperlink r:id="rId1111" ref="A1113"/>
    <hyperlink r:id="rId1112" ref="A1114"/>
    <hyperlink r:id="rId1113" ref="A1115"/>
    <hyperlink r:id="rId1114" ref="A1116"/>
    <hyperlink r:id="rId1115" ref="A1117"/>
    <hyperlink r:id="rId1116" ref="A1118"/>
    <hyperlink r:id="rId1117" ref="A1119"/>
    <hyperlink r:id="rId1118" ref="A1120"/>
    <hyperlink r:id="rId1119" ref="A1121"/>
    <hyperlink r:id="rId1120" ref="A1122"/>
    <hyperlink r:id="rId1121" ref="A1123"/>
    <hyperlink r:id="rId1122" ref="A1124"/>
    <hyperlink r:id="rId1123" ref="A1125"/>
    <hyperlink r:id="rId1124" ref="A1126"/>
    <hyperlink r:id="rId1125" ref="A1127"/>
    <hyperlink r:id="rId1126" ref="A1128"/>
    <hyperlink r:id="rId1127" ref="A1129"/>
    <hyperlink r:id="rId1128" ref="A1130"/>
    <hyperlink r:id="rId1129" ref="A1131"/>
    <hyperlink r:id="rId1130" ref="A1132"/>
    <hyperlink r:id="rId1131" ref="A1133"/>
    <hyperlink r:id="rId1132" ref="A1134"/>
    <hyperlink r:id="rId1133" ref="A1135"/>
    <hyperlink r:id="rId1134" ref="A1136"/>
    <hyperlink r:id="rId1135" ref="A1137"/>
    <hyperlink r:id="rId1136" ref="A1138"/>
    <hyperlink r:id="rId1137" ref="A1139"/>
    <hyperlink r:id="rId1138" ref="A1140"/>
    <hyperlink r:id="rId1139" ref="A1141"/>
    <hyperlink r:id="rId1140" ref="A1142"/>
    <hyperlink r:id="rId1141" ref="A1143"/>
    <hyperlink r:id="rId1142" ref="A1144"/>
    <hyperlink r:id="rId1143" ref="A1145"/>
    <hyperlink r:id="rId1144" ref="A1146"/>
    <hyperlink r:id="rId1145" ref="A1147"/>
    <hyperlink r:id="rId1146" ref="A1148"/>
    <hyperlink r:id="rId1147" ref="A1149"/>
    <hyperlink r:id="rId1148" ref="A1150"/>
    <hyperlink r:id="rId1149" ref="A1151"/>
    <hyperlink r:id="rId1150" ref="A1152"/>
    <hyperlink r:id="rId1151" ref="A1153"/>
    <hyperlink r:id="rId1152" ref="A1154"/>
    <hyperlink r:id="rId1153" ref="A1155"/>
    <hyperlink r:id="rId1154" ref="A1156"/>
    <hyperlink r:id="rId1155" ref="A1157"/>
    <hyperlink r:id="rId1156" ref="A1158"/>
    <hyperlink r:id="rId1157" ref="A1159"/>
  </hyperlinks>
  <drawing r:id="rId11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573</v>
      </c>
      <c r="B1" s="1" t="s">
        <v>424</v>
      </c>
      <c r="C1" s="1" t="s">
        <v>574</v>
      </c>
      <c r="D1" s="1" t="s">
        <v>575</v>
      </c>
      <c r="E1" s="1" t="s">
        <v>576</v>
      </c>
      <c r="F1" s="1" t="s">
        <v>2513</v>
      </c>
      <c r="G1" s="1" t="s">
        <v>2514</v>
      </c>
      <c r="H1" s="1" t="s">
        <v>2515</v>
      </c>
      <c r="I1" s="1" t="s">
        <v>2516</v>
      </c>
      <c r="J1" s="1" t="s">
        <v>2517</v>
      </c>
      <c r="K1" s="1" t="s">
        <v>2518</v>
      </c>
      <c r="L1" s="1" t="s">
        <v>2519</v>
      </c>
      <c r="M1" s="1" t="s">
        <v>2520</v>
      </c>
    </row>
    <row r="2">
      <c r="A2" s="2" t="s">
        <v>581</v>
      </c>
      <c r="B2" s="1">
        <v>200.0</v>
      </c>
      <c r="C2" s="1" t="s">
        <v>582</v>
      </c>
      <c r="D2" s="1" t="s">
        <v>583</v>
      </c>
      <c r="F2" s="1">
        <v>1077.0</v>
      </c>
      <c r="G2" s="1">
        <v>3155.0</v>
      </c>
      <c r="H2" s="1">
        <v>731.0</v>
      </c>
      <c r="I2" s="1">
        <v>0.68</v>
      </c>
      <c r="J2" s="1">
        <v>123.0</v>
      </c>
      <c r="K2" s="1">
        <v>10767.0</v>
      </c>
      <c r="L2" s="1">
        <v>0.0</v>
      </c>
      <c r="M2" s="1">
        <v>803.0</v>
      </c>
    </row>
    <row r="3">
      <c r="A3" s="2" t="s">
        <v>584</v>
      </c>
      <c r="B3" s="1">
        <v>200.0</v>
      </c>
      <c r="C3" s="1" t="s">
        <v>585</v>
      </c>
      <c r="D3" s="1" t="s">
        <v>583</v>
      </c>
      <c r="F3" s="1">
        <v>157.0</v>
      </c>
      <c r="G3" s="1">
        <v>355.0</v>
      </c>
      <c r="H3" s="1">
        <v>121.0</v>
      </c>
      <c r="I3" s="1">
        <v>0.77</v>
      </c>
      <c r="J3" s="1">
        <v>7.0</v>
      </c>
      <c r="K3" s="1">
        <v>1203.0</v>
      </c>
      <c r="L3" s="1">
        <v>0.0</v>
      </c>
      <c r="M3" s="1">
        <v>121.0</v>
      </c>
    </row>
    <row r="4">
      <c r="A4" s="2" t="s">
        <v>586</v>
      </c>
      <c r="B4" s="1">
        <v>200.0</v>
      </c>
      <c r="C4" s="1" t="s">
        <v>587</v>
      </c>
      <c r="D4" s="1" t="s">
        <v>583</v>
      </c>
      <c r="F4" s="1">
        <v>3.0</v>
      </c>
      <c r="G4" s="1">
        <v>3.0</v>
      </c>
      <c r="H4" s="1">
        <v>0.0</v>
      </c>
      <c r="I4" s="1">
        <v>0.0</v>
      </c>
      <c r="J4" s="1">
        <v>0.0</v>
      </c>
      <c r="K4" s="1">
        <v>25.0</v>
      </c>
      <c r="L4" s="1">
        <v>0.0</v>
      </c>
      <c r="M4" s="1">
        <v>3.0</v>
      </c>
    </row>
    <row r="5">
      <c r="A5" s="2" t="s">
        <v>588</v>
      </c>
      <c r="B5" s="1">
        <v>200.0</v>
      </c>
      <c r="C5" s="1" t="s">
        <v>589</v>
      </c>
      <c r="D5" s="1" t="s">
        <v>583</v>
      </c>
      <c r="F5" s="1">
        <v>6.0</v>
      </c>
      <c r="G5" s="1">
        <v>15.0</v>
      </c>
      <c r="H5" s="1">
        <v>6.0</v>
      </c>
      <c r="I5" s="1">
        <v>1.0</v>
      </c>
      <c r="J5" s="1">
        <v>0.0</v>
      </c>
      <c r="K5" s="1">
        <v>37.0</v>
      </c>
      <c r="L5" s="1">
        <v>0.0</v>
      </c>
      <c r="M5" s="1">
        <v>2.0</v>
      </c>
    </row>
    <row r="6">
      <c r="A6" s="2" t="s">
        <v>590</v>
      </c>
      <c r="B6" s="1">
        <v>200.0</v>
      </c>
      <c r="C6" s="1" t="s">
        <v>591</v>
      </c>
      <c r="D6" s="1" t="s">
        <v>583</v>
      </c>
      <c r="F6" s="1">
        <v>1.0</v>
      </c>
      <c r="G6" s="1">
        <v>1.0</v>
      </c>
      <c r="H6" s="1">
        <v>0.0</v>
      </c>
      <c r="I6" s="1">
        <v>0.0</v>
      </c>
      <c r="J6" s="1">
        <v>0.0</v>
      </c>
      <c r="K6" s="1">
        <v>3.0</v>
      </c>
      <c r="L6" s="1">
        <v>0.0</v>
      </c>
      <c r="M6" s="1">
        <v>1.0</v>
      </c>
    </row>
    <row r="7">
      <c r="A7" s="2" t="s">
        <v>592</v>
      </c>
      <c r="B7" s="1">
        <v>200.0</v>
      </c>
      <c r="C7" s="1" t="s">
        <v>593</v>
      </c>
      <c r="D7" s="1" t="s">
        <v>583</v>
      </c>
      <c r="F7" s="1">
        <v>7.0</v>
      </c>
      <c r="G7" s="1">
        <v>8.0</v>
      </c>
      <c r="H7" s="1">
        <v>2.0</v>
      </c>
      <c r="I7" s="1">
        <v>0.29</v>
      </c>
      <c r="J7" s="1">
        <v>0.0</v>
      </c>
      <c r="K7" s="1">
        <v>30.0</v>
      </c>
      <c r="L7" s="1">
        <v>0.0</v>
      </c>
      <c r="M7" s="1">
        <v>5.0</v>
      </c>
    </row>
    <row r="8">
      <c r="A8" s="2" t="s">
        <v>594</v>
      </c>
      <c r="B8" s="1">
        <v>200.0</v>
      </c>
      <c r="C8" s="1" t="s">
        <v>595</v>
      </c>
      <c r="D8" s="1" t="s">
        <v>583</v>
      </c>
      <c r="F8" s="1">
        <v>146.0</v>
      </c>
      <c r="G8" s="1">
        <v>306.0</v>
      </c>
      <c r="H8" s="1">
        <v>119.0</v>
      </c>
      <c r="I8" s="1">
        <v>0.82</v>
      </c>
      <c r="J8" s="1">
        <v>5.0</v>
      </c>
      <c r="K8" s="1">
        <v>1026.0</v>
      </c>
      <c r="L8" s="1">
        <v>0.0</v>
      </c>
      <c r="M8" s="1">
        <v>121.0</v>
      </c>
    </row>
    <row r="9">
      <c r="A9" s="2" t="s">
        <v>596</v>
      </c>
      <c r="B9" s="1">
        <v>200.0</v>
      </c>
      <c r="C9" s="1" t="s">
        <v>597</v>
      </c>
      <c r="D9" s="1" t="s">
        <v>583</v>
      </c>
      <c r="F9" s="1">
        <v>10.0</v>
      </c>
      <c r="G9" s="1">
        <v>13.0</v>
      </c>
      <c r="H9" s="1">
        <v>9.0</v>
      </c>
      <c r="I9" s="1">
        <v>0.9</v>
      </c>
      <c r="J9" s="1">
        <v>0.0</v>
      </c>
      <c r="K9" s="1">
        <v>48.0</v>
      </c>
      <c r="L9" s="1">
        <v>0.0</v>
      </c>
      <c r="M9" s="1">
        <v>8.0</v>
      </c>
    </row>
    <row r="10">
      <c r="A10" s="2" t="s">
        <v>598</v>
      </c>
      <c r="B10" s="1">
        <v>200.0</v>
      </c>
      <c r="C10" s="1" t="s">
        <v>599</v>
      </c>
      <c r="D10" s="1" t="s">
        <v>583</v>
      </c>
      <c r="F10" s="1">
        <v>2.0</v>
      </c>
      <c r="G10" s="1">
        <v>3.0</v>
      </c>
      <c r="H10" s="1">
        <v>1.0</v>
      </c>
      <c r="I10" s="1">
        <v>0.5</v>
      </c>
      <c r="J10" s="1">
        <v>0.0</v>
      </c>
      <c r="K10" s="1">
        <v>9.0</v>
      </c>
      <c r="L10" s="1">
        <v>0.0</v>
      </c>
      <c r="M10" s="1">
        <v>2.0</v>
      </c>
    </row>
    <row r="11">
      <c r="A11" s="2" t="s">
        <v>600</v>
      </c>
      <c r="B11" s="1">
        <v>200.0</v>
      </c>
      <c r="C11" s="1" t="s">
        <v>601</v>
      </c>
      <c r="D11" s="1" t="s">
        <v>583</v>
      </c>
      <c r="F11" s="1">
        <v>2.0</v>
      </c>
      <c r="G11" s="1">
        <v>2.0</v>
      </c>
      <c r="H11" s="1">
        <v>1.0</v>
      </c>
      <c r="I11" s="1">
        <v>0.5</v>
      </c>
      <c r="J11" s="1">
        <v>0.0</v>
      </c>
      <c r="K11" s="1">
        <v>7.0</v>
      </c>
      <c r="L11" s="1">
        <v>0.0</v>
      </c>
      <c r="M11" s="1">
        <v>1.0</v>
      </c>
    </row>
    <row r="12">
      <c r="A12" s="2" t="s">
        <v>602</v>
      </c>
      <c r="B12" s="1">
        <v>200.0</v>
      </c>
      <c r="C12" s="1" t="s">
        <v>603</v>
      </c>
      <c r="D12" s="1" t="s">
        <v>583</v>
      </c>
      <c r="F12" s="1">
        <v>1.0</v>
      </c>
      <c r="G12" s="1">
        <v>1.0</v>
      </c>
      <c r="H12" s="1">
        <v>0.0</v>
      </c>
      <c r="I12" s="1">
        <v>0.0</v>
      </c>
      <c r="J12" s="1">
        <v>0.0</v>
      </c>
      <c r="K12" s="1">
        <v>3.0</v>
      </c>
      <c r="L12" s="1">
        <v>0.0</v>
      </c>
      <c r="M12" s="1">
        <v>1.0</v>
      </c>
    </row>
    <row r="13">
      <c r="A13" s="2" t="s">
        <v>604</v>
      </c>
      <c r="B13" s="1">
        <v>200.0</v>
      </c>
      <c r="C13" s="1" t="s">
        <v>605</v>
      </c>
      <c r="D13" s="1" t="s">
        <v>583</v>
      </c>
      <c r="F13" s="1">
        <v>1.0</v>
      </c>
      <c r="G13" s="1">
        <v>1.0</v>
      </c>
      <c r="H13" s="1">
        <v>0.0</v>
      </c>
      <c r="I13" s="1">
        <v>0.0</v>
      </c>
      <c r="J13" s="1">
        <v>0.0</v>
      </c>
      <c r="K13" s="1">
        <v>3.0</v>
      </c>
      <c r="L13" s="1">
        <v>0.0</v>
      </c>
      <c r="M13" s="1">
        <v>1.0</v>
      </c>
    </row>
    <row r="14">
      <c r="A14" s="2" t="s">
        <v>606</v>
      </c>
      <c r="B14" s="1">
        <v>200.0</v>
      </c>
      <c r="C14" s="1" t="s">
        <v>607</v>
      </c>
      <c r="D14" s="1" t="s">
        <v>583</v>
      </c>
      <c r="F14" s="1">
        <v>3.0</v>
      </c>
      <c r="G14" s="1">
        <v>3.0</v>
      </c>
      <c r="H14" s="1">
        <v>0.0</v>
      </c>
      <c r="I14" s="1">
        <v>0.0</v>
      </c>
      <c r="J14" s="1">
        <v>0.0</v>
      </c>
      <c r="K14" s="1">
        <v>8.0</v>
      </c>
      <c r="L14" s="1">
        <v>0.0</v>
      </c>
      <c r="M14" s="1">
        <v>2.0</v>
      </c>
    </row>
    <row r="15">
      <c r="A15" s="2" t="s">
        <v>608</v>
      </c>
      <c r="B15" s="1">
        <v>301.0</v>
      </c>
      <c r="D15" s="1" t="s">
        <v>609</v>
      </c>
      <c r="E15" s="1" t="s">
        <v>610</v>
      </c>
      <c r="F15" s="1">
        <v>7.0</v>
      </c>
      <c r="G15" s="1">
        <v>8.0</v>
      </c>
      <c r="H15" s="1">
        <v>3.0</v>
      </c>
      <c r="I15" s="1">
        <v>0.43</v>
      </c>
      <c r="J15" s="1">
        <v>0.0</v>
      </c>
      <c r="K15" s="1">
        <v>24.0</v>
      </c>
      <c r="L15" s="1">
        <v>0.0</v>
      </c>
      <c r="M15" s="1">
        <v>5.0</v>
      </c>
    </row>
    <row r="16">
      <c r="A16" s="2" t="s">
        <v>611</v>
      </c>
      <c r="B16" s="1">
        <v>301.0</v>
      </c>
      <c r="D16" s="1" t="s">
        <v>609</v>
      </c>
      <c r="E16" s="1" t="s">
        <v>610</v>
      </c>
      <c r="F16" s="1">
        <v>3.0</v>
      </c>
      <c r="G16" s="1">
        <v>3.0</v>
      </c>
      <c r="H16" s="1">
        <v>2.0</v>
      </c>
      <c r="I16" s="1">
        <v>0.67</v>
      </c>
      <c r="J16" s="1">
        <v>0.0</v>
      </c>
      <c r="K16" s="1">
        <v>27.0</v>
      </c>
      <c r="L16" s="1">
        <v>0.0</v>
      </c>
      <c r="M16" s="1">
        <v>3.0</v>
      </c>
    </row>
    <row r="17">
      <c r="A17" s="2" t="s">
        <v>447</v>
      </c>
      <c r="B17" s="1">
        <v>200.0</v>
      </c>
      <c r="C17" s="1" t="s">
        <v>612</v>
      </c>
      <c r="D17" s="1" t="s">
        <v>583</v>
      </c>
      <c r="F17" s="1">
        <v>23.0</v>
      </c>
      <c r="G17" s="1">
        <v>120.0</v>
      </c>
      <c r="H17" s="1">
        <v>18.0</v>
      </c>
      <c r="I17" s="1">
        <v>0.78</v>
      </c>
      <c r="J17" s="1">
        <v>0.0</v>
      </c>
      <c r="K17" s="1">
        <v>439.0</v>
      </c>
      <c r="L17" s="1">
        <v>0.0</v>
      </c>
      <c r="M17" s="1">
        <v>13.0</v>
      </c>
    </row>
    <row r="18">
      <c r="A18" s="2" t="s">
        <v>527</v>
      </c>
      <c r="B18" s="1">
        <v>200.0</v>
      </c>
      <c r="C18" s="1" t="s">
        <v>613</v>
      </c>
      <c r="D18" s="1" t="s">
        <v>583</v>
      </c>
      <c r="F18" s="1">
        <v>4.0</v>
      </c>
      <c r="G18" s="1">
        <v>4.0</v>
      </c>
      <c r="H18" s="1">
        <v>0.0</v>
      </c>
      <c r="I18" s="1">
        <v>0.0</v>
      </c>
      <c r="J18" s="1">
        <v>0.0</v>
      </c>
      <c r="K18" s="1">
        <v>14.0</v>
      </c>
      <c r="L18" s="1">
        <v>0.0</v>
      </c>
      <c r="M18" s="1">
        <v>3.0</v>
      </c>
    </row>
    <row r="19">
      <c r="A19" s="2" t="s">
        <v>614</v>
      </c>
      <c r="B19" s="1">
        <v>200.0</v>
      </c>
      <c r="C19" s="1" t="s">
        <v>615</v>
      </c>
      <c r="D19" s="1" t="s">
        <v>583</v>
      </c>
      <c r="F19" s="1">
        <v>1.0</v>
      </c>
      <c r="G19" s="1">
        <v>1.0</v>
      </c>
      <c r="H19" s="1">
        <v>0.0</v>
      </c>
      <c r="I19" s="1">
        <v>0.0</v>
      </c>
      <c r="J19" s="1">
        <v>0.0</v>
      </c>
      <c r="K19" s="1">
        <v>3.0</v>
      </c>
      <c r="L19" s="1">
        <v>0.0</v>
      </c>
      <c r="M19" s="1">
        <v>1.0</v>
      </c>
    </row>
    <row r="20">
      <c r="A20" s="2" t="s">
        <v>459</v>
      </c>
      <c r="B20" s="1">
        <v>200.0</v>
      </c>
      <c r="C20" s="1" t="s">
        <v>616</v>
      </c>
      <c r="D20" s="1" t="s">
        <v>583</v>
      </c>
      <c r="F20" s="1">
        <v>1.0</v>
      </c>
      <c r="G20" s="1">
        <v>1.0</v>
      </c>
      <c r="H20" s="1">
        <v>0.0</v>
      </c>
      <c r="I20" s="1">
        <v>0.0</v>
      </c>
      <c r="J20" s="1">
        <v>0.0</v>
      </c>
      <c r="K20" s="1">
        <v>3.0</v>
      </c>
      <c r="L20" s="1">
        <v>0.0</v>
      </c>
      <c r="M20" s="1">
        <v>1.0</v>
      </c>
    </row>
    <row r="21">
      <c r="A21" s="2" t="s">
        <v>617</v>
      </c>
      <c r="B21" s="1">
        <v>200.0</v>
      </c>
      <c r="C21" s="1" t="s">
        <v>618</v>
      </c>
      <c r="D21" s="1" t="s">
        <v>583</v>
      </c>
      <c r="F21" s="1">
        <v>97.0</v>
      </c>
      <c r="G21" s="1">
        <v>238.0</v>
      </c>
      <c r="H21" s="1">
        <v>76.0</v>
      </c>
      <c r="I21" s="1">
        <v>0.78</v>
      </c>
      <c r="J21" s="1">
        <v>6.0</v>
      </c>
      <c r="K21" s="1">
        <v>731.0</v>
      </c>
      <c r="L21" s="1">
        <v>0.0</v>
      </c>
      <c r="M21" s="1">
        <v>84.0</v>
      </c>
    </row>
    <row r="22">
      <c r="A22" s="2" t="s">
        <v>619</v>
      </c>
      <c r="B22" s="1">
        <v>200.0</v>
      </c>
      <c r="C22" s="1" t="s">
        <v>620</v>
      </c>
      <c r="D22" s="1" t="s">
        <v>583</v>
      </c>
      <c r="F22" s="1">
        <v>1.0</v>
      </c>
      <c r="G22" s="1">
        <v>1.0</v>
      </c>
      <c r="H22" s="1">
        <v>0.0</v>
      </c>
      <c r="I22" s="1">
        <v>0.0</v>
      </c>
      <c r="J22" s="1">
        <v>0.0</v>
      </c>
      <c r="K22" s="1">
        <v>3.0</v>
      </c>
      <c r="L22" s="1">
        <v>0.0</v>
      </c>
      <c r="M22" s="1">
        <v>1.0</v>
      </c>
    </row>
    <row r="23">
      <c r="A23" s="2" t="s">
        <v>621</v>
      </c>
      <c r="B23" s="1">
        <v>200.0</v>
      </c>
      <c r="C23" s="1" t="s">
        <v>622</v>
      </c>
      <c r="D23" s="1" t="s">
        <v>583</v>
      </c>
      <c r="F23" s="1">
        <v>2.0</v>
      </c>
      <c r="G23" s="1">
        <v>3.0</v>
      </c>
      <c r="H23" s="1">
        <v>1.0</v>
      </c>
      <c r="I23" s="1">
        <v>0.5</v>
      </c>
      <c r="J23" s="1">
        <v>0.0</v>
      </c>
      <c r="K23" s="1">
        <v>8.0</v>
      </c>
      <c r="L23" s="1">
        <v>0.0</v>
      </c>
      <c r="M23" s="1">
        <v>1.0</v>
      </c>
    </row>
    <row r="24">
      <c r="A24" s="2" t="s">
        <v>623</v>
      </c>
      <c r="B24" s="1">
        <v>200.0</v>
      </c>
      <c r="C24" s="1" t="s">
        <v>624</v>
      </c>
      <c r="D24" s="1" t="s">
        <v>583</v>
      </c>
      <c r="F24" s="1">
        <v>1.0</v>
      </c>
      <c r="G24" s="1">
        <v>1.0</v>
      </c>
      <c r="H24" s="1">
        <v>0.0</v>
      </c>
      <c r="I24" s="1">
        <v>0.0</v>
      </c>
      <c r="J24" s="1">
        <v>0.0</v>
      </c>
      <c r="K24" s="1">
        <v>3.0</v>
      </c>
      <c r="L24" s="1">
        <v>0.0</v>
      </c>
      <c r="M24" s="1">
        <v>1.0</v>
      </c>
    </row>
    <row r="25">
      <c r="A25" s="2" t="s">
        <v>519</v>
      </c>
      <c r="B25" s="1">
        <v>200.0</v>
      </c>
      <c r="C25" s="1" t="s">
        <v>625</v>
      </c>
      <c r="D25" s="1" t="s">
        <v>583</v>
      </c>
      <c r="F25" s="1">
        <v>2.0</v>
      </c>
      <c r="G25" s="1">
        <v>3.0</v>
      </c>
      <c r="H25" s="1">
        <v>1.0</v>
      </c>
      <c r="I25" s="1">
        <v>0.5</v>
      </c>
      <c r="J25" s="1">
        <v>0.0</v>
      </c>
      <c r="K25" s="1">
        <v>9.0</v>
      </c>
      <c r="L25" s="1">
        <v>0.0</v>
      </c>
      <c r="M25" s="1">
        <v>2.0</v>
      </c>
    </row>
    <row r="26">
      <c r="A26" s="2" t="s">
        <v>626</v>
      </c>
      <c r="B26" s="1">
        <v>200.0</v>
      </c>
      <c r="C26" s="1" t="s">
        <v>627</v>
      </c>
      <c r="D26" s="1" t="s">
        <v>583</v>
      </c>
      <c r="F26" s="1">
        <v>2.0</v>
      </c>
      <c r="G26" s="1">
        <v>4.0</v>
      </c>
      <c r="H26" s="1">
        <v>2.0</v>
      </c>
      <c r="I26" s="1">
        <v>1.0</v>
      </c>
      <c r="J26" s="1">
        <v>0.0</v>
      </c>
      <c r="K26" s="1">
        <v>13.0</v>
      </c>
      <c r="L26" s="1">
        <v>0.0</v>
      </c>
      <c r="M26" s="1">
        <v>2.0</v>
      </c>
    </row>
    <row r="27">
      <c r="A27" s="2" t="s">
        <v>451</v>
      </c>
      <c r="B27" s="1">
        <v>200.0</v>
      </c>
      <c r="C27" s="1" t="s">
        <v>628</v>
      </c>
      <c r="D27" s="1" t="s">
        <v>583</v>
      </c>
      <c r="F27" s="1">
        <v>6.0</v>
      </c>
      <c r="G27" s="1">
        <v>8.0</v>
      </c>
      <c r="H27" s="1">
        <v>2.0</v>
      </c>
      <c r="I27" s="1">
        <v>0.33</v>
      </c>
      <c r="J27" s="1">
        <v>1.0</v>
      </c>
      <c r="K27" s="1">
        <v>30.0</v>
      </c>
      <c r="L27" s="1">
        <v>0.0</v>
      </c>
      <c r="M27" s="1">
        <v>5.0</v>
      </c>
    </row>
    <row r="28">
      <c r="A28" s="2" t="s">
        <v>629</v>
      </c>
      <c r="B28" s="1">
        <v>200.0</v>
      </c>
      <c r="C28" s="1" t="s">
        <v>630</v>
      </c>
      <c r="D28" s="1" t="s">
        <v>609</v>
      </c>
      <c r="E28" s="1" t="s">
        <v>631</v>
      </c>
      <c r="F28" s="1">
        <v>21.0</v>
      </c>
      <c r="G28" s="1">
        <v>51.0</v>
      </c>
      <c r="H28" s="1">
        <v>18.0</v>
      </c>
      <c r="I28" s="1">
        <v>0.86</v>
      </c>
      <c r="J28" s="1">
        <v>1.0</v>
      </c>
      <c r="K28" s="1">
        <v>193.0</v>
      </c>
      <c r="L28" s="1">
        <v>0.0</v>
      </c>
      <c r="M28" s="1">
        <v>17.0</v>
      </c>
    </row>
    <row r="29">
      <c r="A29" s="2" t="s">
        <v>632</v>
      </c>
      <c r="B29" s="1">
        <v>200.0</v>
      </c>
      <c r="C29" s="1" t="s">
        <v>633</v>
      </c>
      <c r="D29" s="1" t="s">
        <v>583</v>
      </c>
      <c r="F29" s="1">
        <v>2.0</v>
      </c>
      <c r="G29" s="1">
        <v>3.0</v>
      </c>
      <c r="H29" s="1">
        <v>1.0</v>
      </c>
      <c r="I29" s="1">
        <v>0.5</v>
      </c>
      <c r="J29" s="1">
        <v>0.0</v>
      </c>
      <c r="K29" s="1">
        <v>10.0</v>
      </c>
      <c r="L29" s="1">
        <v>0.0</v>
      </c>
      <c r="M29" s="1">
        <v>2.0</v>
      </c>
    </row>
    <row r="30">
      <c r="A30" s="2" t="s">
        <v>634</v>
      </c>
      <c r="B30" s="1">
        <v>200.0</v>
      </c>
      <c r="C30" s="1" t="s">
        <v>635</v>
      </c>
      <c r="D30" s="1" t="s">
        <v>583</v>
      </c>
      <c r="F30" s="1">
        <v>4.0</v>
      </c>
      <c r="G30" s="1">
        <v>5.0</v>
      </c>
      <c r="H30" s="1">
        <v>3.0</v>
      </c>
      <c r="I30" s="1">
        <v>0.75</v>
      </c>
      <c r="J30" s="1">
        <v>0.0</v>
      </c>
      <c r="K30" s="1">
        <v>17.0</v>
      </c>
      <c r="L30" s="1">
        <v>0.0</v>
      </c>
      <c r="M30" s="1">
        <v>2.0</v>
      </c>
    </row>
    <row r="31">
      <c r="A31" s="2" t="s">
        <v>636</v>
      </c>
      <c r="B31" s="1">
        <v>200.0</v>
      </c>
      <c r="C31" s="1" t="s">
        <v>637</v>
      </c>
      <c r="D31" s="1" t="s">
        <v>583</v>
      </c>
      <c r="F31" s="1">
        <v>39.0</v>
      </c>
      <c r="G31" s="1">
        <v>64.0</v>
      </c>
      <c r="H31" s="1">
        <v>23.0</v>
      </c>
      <c r="I31" s="1">
        <v>0.59</v>
      </c>
      <c r="J31" s="1">
        <v>4.0</v>
      </c>
      <c r="K31" s="1">
        <v>294.0</v>
      </c>
      <c r="L31" s="1">
        <v>0.0</v>
      </c>
      <c r="M31" s="1">
        <v>32.0</v>
      </c>
    </row>
    <row r="32">
      <c r="A32" s="2" t="s">
        <v>638</v>
      </c>
      <c r="B32" s="1">
        <v>200.0</v>
      </c>
      <c r="C32" s="1" t="s">
        <v>639</v>
      </c>
      <c r="D32" s="1" t="s">
        <v>583</v>
      </c>
      <c r="F32" s="1">
        <v>8.0</v>
      </c>
      <c r="G32" s="1">
        <v>8.0</v>
      </c>
      <c r="H32" s="1">
        <v>4.0</v>
      </c>
      <c r="I32" s="1">
        <v>0.5</v>
      </c>
      <c r="J32" s="1">
        <v>0.0</v>
      </c>
      <c r="K32" s="1">
        <v>42.0</v>
      </c>
      <c r="L32" s="1">
        <v>0.0</v>
      </c>
      <c r="M32" s="1">
        <v>8.0</v>
      </c>
    </row>
    <row r="33">
      <c r="A33" s="2" t="s">
        <v>640</v>
      </c>
      <c r="B33" s="1">
        <v>200.0</v>
      </c>
      <c r="C33" s="1" t="s">
        <v>641</v>
      </c>
      <c r="D33" s="1" t="s">
        <v>583</v>
      </c>
      <c r="F33" s="1">
        <v>7.0</v>
      </c>
      <c r="G33" s="1">
        <v>39.0</v>
      </c>
      <c r="H33" s="1">
        <v>3.0</v>
      </c>
      <c r="I33" s="1">
        <v>0.43</v>
      </c>
      <c r="J33" s="1">
        <v>0.0</v>
      </c>
      <c r="K33" s="1">
        <v>230.0</v>
      </c>
      <c r="L33" s="1">
        <v>0.0</v>
      </c>
      <c r="M33" s="1">
        <v>3.0</v>
      </c>
    </row>
    <row r="34">
      <c r="A34" s="2" t="s">
        <v>642</v>
      </c>
      <c r="B34" s="1">
        <v>200.0</v>
      </c>
      <c r="C34" s="1" t="s">
        <v>643</v>
      </c>
      <c r="D34" s="1" t="s">
        <v>583</v>
      </c>
      <c r="F34" s="1">
        <v>5.0</v>
      </c>
      <c r="G34" s="1">
        <v>11.0</v>
      </c>
      <c r="H34" s="1">
        <v>3.0</v>
      </c>
      <c r="I34" s="1">
        <v>0.6</v>
      </c>
      <c r="J34" s="1">
        <v>0.0</v>
      </c>
      <c r="K34" s="1">
        <v>47.0</v>
      </c>
      <c r="L34" s="1">
        <v>0.0</v>
      </c>
      <c r="M34" s="1">
        <v>4.0</v>
      </c>
    </row>
    <row r="35">
      <c r="A35" s="2" t="s">
        <v>499</v>
      </c>
      <c r="B35" s="1">
        <v>200.0</v>
      </c>
      <c r="C35" s="1" t="s">
        <v>644</v>
      </c>
      <c r="D35" s="1" t="s">
        <v>583</v>
      </c>
      <c r="F35" s="1">
        <v>3.0</v>
      </c>
      <c r="G35" s="1">
        <v>3.0</v>
      </c>
      <c r="H35" s="1">
        <v>0.0</v>
      </c>
      <c r="I35" s="1">
        <v>0.0</v>
      </c>
      <c r="J35" s="1">
        <v>0.0</v>
      </c>
      <c r="K35" s="1">
        <v>10.0</v>
      </c>
      <c r="L35" s="1">
        <v>0.0</v>
      </c>
      <c r="M35" s="1">
        <v>3.0</v>
      </c>
    </row>
    <row r="36">
      <c r="A36" s="2" t="s">
        <v>645</v>
      </c>
      <c r="B36" s="1">
        <v>200.0</v>
      </c>
      <c r="C36" s="1" t="s">
        <v>646</v>
      </c>
      <c r="D36" s="1" t="s">
        <v>583</v>
      </c>
      <c r="F36" s="1">
        <v>13.0</v>
      </c>
      <c r="G36" s="1">
        <v>21.0</v>
      </c>
      <c r="H36" s="1">
        <v>10.0</v>
      </c>
      <c r="I36" s="1">
        <v>0.77</v>
      </c>
      <c r="J36" s="1">
        <v>1.0</v>
      </c>
      <c r="K36" s="1">
        <v>71.0</v>
      </c>
      <c r="L36" s="1">
        <v>0.0</v>
      </c>
      <c r="M36" s="1">
        <v>7.0</v>
      </c>
    </row>
    <row r="37">
      <c r="A37" s="2" t="s">
        <v>647</v>
      </c>
      <c r="B37" s="1">
        <v>200.0</v>
      </c>
      <c r="C37" s="1" t="s">
        <v>648</v>
      </c>
      <c r="D37" s="1" t="s">
        <v>583</v>
      </c>
      <c r="F37" s="1">
        <v>4.0</v>
      </c>
      <c r="G37" s="1">
        <v>9.0</v>
      </c>
      <c r="H37" s="1">
        <v>3.0</v>
      </c>
      <c r="I37" s="1">
        <v>0.75</v>
      </c>
      <c r="J37" s="1">
        <v>0.0</v>
      </c>
      <c r="K37" s="1">
        <v>25.0</v>
      </c>
      <c r="L37" s="1">
        <v>0.0</v>
      </c>
      <c r="M37" s="1">
        <v>4.0</v>
      </c>
    </row>
    <row r="38">
      <c r="A38" s="2" t="s">
        <v>649</v>
      </c>
      <c r="B38" s="1">
        <v>200.0</v>
      </c>
      <c r="C38" s="1" t="s">
        <v>650</v>
      </c>
      <c r="D38" s="1" t="s">
        <v>583</v>
      </c>
      <c r="F38" s="1">
        <v>2.0</v>
      </c>
      <c r="G38" s="1">
        <v>3.0</v>
      </c>
      <c r="H38" s="1">
        <v>1.0</v>
      </c>
      <c r="I38" s="1">
        <v>0.5</v>
      </c>
      <c r="J38" s="1">
        <v>0.0</v>
      </c>
      <c r="K38" s="1">
        <v>21.0</v>
      </c>
      <c r="L38" s="1">
        <v>0.0</v>
      </c>
      <c r="M38" s="1">
        <v>2.0</v>
      </c>
    </row>
    <row r="39">
      <c r="A39" s="2" t="s">
        <v>651</v>
      </c>
      <c r="B39" s="1">
        <v>200.0</v>
      </c>
      <c r="C39" s="1" t="s">
        <v>652</v>
      </c>
      <c r="D39" s="1" t="s">
        <v>583</v>
      </c>
      <c r="F39" s="1">
        <v>3.0</v>
      </c>
      <c r="G39" s="1">
        <v>4.0</v>
      </c>
      <c r="H39" s="1">
        <v>1.0</v>
      </c>
      <c r="I39" s="1">
        <v>0.33</v>
      </c>
      <c r="J39" s="1">
        <v>0.0</v>
      </c>
      <c r="K39" s="1">
        <v>16.0</v>
      </c>
      <c r="L39" s="1">
        <v>0.0</v>
      </c>
      <c r="M39" s="1">
        <v>3.0</v>
      </c>
    </row>
    <row r="40">
      <c r="A40" s="2" t="s">
        <v>439</v>
      </c>
      <c r="B40" s="1">
        <v>200.0</v>
      </c>
      <c r="C40" s="1" t="s">
        <v>653</v>
      </c>
      <c r="D40" s="1" t="s">
        <v>583</v>
      </c>
      <c r="F40" s="1">
        <v>107.0</v>
      </c>
      <c r="G40" s="1">
        <v>272.0</v>
      </c>
      <c r="H40" s="1">
        <v>78.0</v>
      </c>
      <c r="I40" s="1">
        <v>0.73</v>
      </c>
      <c r="J40" s="1">
        <v>0.0</v>
      </c>
      <c r="K40" s="1">
        <v>809.0</v>
      </c>
      <c r="L40" s="1">
        <v>0.0</v>
      </c>
      <c r="M40" s="1">
        <v>71.0</v>
      </c>
    </row>
    <row r="41">
      <c r="A41" s="2" t="s">
        <v>654</v>
      </c>
      <c r="B41" s="1">
        <v>200.0</v>
      </c>
      <c r="C41" s="1" t="s">
        <v>655</v>
      </c>
      <c r="D41" s="1" t="s">
        <v>583</v>
      </c>
      <c r="F41" s="1">
        <v>2.0</v>
      </c>
      <c r="G41" s="1">
        <v>2.0</v>
      </c>
      <c r="H41" s="1">
        <v>1.0</v>
      </c>
      <c r="I41" s="1">
        <v>0.5</v>
      </c>
      <c r="J41" s="1">
        <v>0.0</v>
      </c>
      <c r="K41" s="1">
        <v>8.0</v>
      </c>
      <c r="L41" s="1">
        <v>0.0</v>
      </c>
      <c r="M41" s="1">
        <v>2.0</v>
      </c>
    </row>
    <row r="42">
      <c r="A42" s="2" t="s">
        <v>455</v>
      </c>
      <c r="B42" s="1">
        <v>200.0</v>
      </c>
      <c r="C42" s="1" t="s">
        <v>656</v>
      </c>
      <c r="D42" s="1" t="s">
        <v>583</v>
      </c>
      <c r="F42" s="1">
        <v>4.0</v>
      </c>
      <c r="G42" s="1">
        <v>7.0</v>
      </c>
      <c r="H42" s="1">
        <v>3.0</v>
      </c>
      <c r="I42" s="1">
        <v>0.75</v>
      </c>
      <c r="J42" s="1">
        <v>1.0</v>
      </c>
      <c r="K42" s="1">
        <v>24.0</v>
      </c>
      <c r="L42" s="1">
        <v>0.0</v>
      </c>
      <c r="M42" s="1">
        <v>3.0</v>
      </c>
    </row>
    <row r="43">
      <c r="A43" s="2" t="s">
        <v>657</v>
      </c>
      <c r="B43" s="1">
        <v>200.0</v>
      </c>
      <c r="C43" s="1" t="s">
        <v>658</v>
      </c>
      <c r="D43" s="1" t="s">
        <v>583</v>
      </c>
      <c r="F43" s="1">
        <v>1.0</v>
      </c>
      <c r="G43" s="1">
        <v>1.0</v>
      </c>
      <c r="H43" s="1">
        <v>0.0</v>
      </c>
      <c r="I43" s="1">
        <v>0.0</v>
      </c>
      <c r="J43" s="1">
        <v>0.0</v>
      </c>
      <c r="K43" s="1">
        <v>2.0</v>
      </c>
      <c r="L43" s="1">
        <v>0.0</v>
      </c>
      <c r="M43" s="1">
        <v>0.0</v>
      </c>
    </row>
    <row r="44">
      <c r="A44" s="2" t="s">
        <v>659</v>
      </c>
      <c r="B44" s="1">
        <v>200.0</v>
      </c>
      <c r="C44" s="1" t="s">
        <v>660</v>
      </c>
      <c r="D44" s="1" t="s">
        <v>583</v>
      </c>
      <c r="F44" s="1">
        <v>7.0</v>
      </c>
      <c r="G44" s="1">
        <v>26.0</v>
      </c>
      <c r="H44" s="1">
        <v>5.0</v>
      </c>
      <c r="I44" s="1">
        <v>0.71</v>
      </c>
      <c r="J44" s="1">
        <v>0.0</v>
      </c>
      <c r="K44" s="1">
        <v>66.0</v>
      </c>
      <c r="L44" s="1">
        <v>0.0</v>
      </c>
      <c r="M44" s="1">
        <v>6.0</v>
      </c>
    </row>
    <row r="45">
      <c r="A45" s="2" t="s">
        <v>661</v>
      </c>
      <c r="B45" s="1">
        <v>301.0</v>
      </c>
      <c r="D45" s="1" t="s">
        <v>609</v>
      </c>
      <c r="E45" s="1" t="s">
        <v>610</v>
      </c>
      <c r="F45" s="1">
        <v>5.0</v>
      </c>
      <c r="G45" s="1">
        <v>5.0</v>
      </c>
      <c r="H45" s="1">
        <v>1.0</v>
      </c>
      <c r="I45" s="1">
        <v>0.2</v>
      </c>
      <c r="J45" s="1">
        <v>0.0</v>
      </c>
      <c r="K45" s="1">
        <v>49.0</v>
      </c>
      <c r="L45" s="1">
        <v>0.0</v>
      </c>
      <c r="M45" s="1">
        <v>4.0</v>
      </c>
    </row>
    <row r="46">
      <c r="A46" s="2" t="s">
        <v>662</v>
      </c>
      <c r="B46" s="1">
        <v>200.0</v>
      </c>
      <c r="C46" s="1" t="s">
        <v>663</v>
      </c>
      <c r="D46" s="1" t="s">
        <v>609</v>
      </c>
      <c r="E46" s="1" t="s">
        <v>664</v>
      </c>
      <c r="F46" s="1">
        <v>2.0</v>
      </c>
      <c r="G46" s="1">
        <v>5.0</v>
      </c>
      <c r="H46" s="1">
        <v>1.0</v>
      </c>
      <c r="I46" s="1">
        <v>0.5</v>
      </c>
      <c r="J46" s="1">
        <v>0.0</v>
      </c>
      <c r="K46" s="1">
        <v>12.0</v>
      </c>
      <c r="L46" s="1">
        <v>0.0</v>
      </c>
      <c r="M46" s="1">
        <v>1.0</v>
      </c>
    </row>
    <row r="47">
      <c r="A47" s="2" t="s">
        <v>665</v>
      </c>
      <c r="B47" s="1">
        <v>200.0</v>
      </c>
      <c r="C47" s="1" t="s">
        <v>666</v>
      </c>
      <c r="D47" s="1" t="s">
        <v>583</v>
      </c>
      <c r="F47" s="1">
        <v>1.0</v>
      </c>
      <c r="G47" s="1">
        <v>10.0</v>
      </c>
      <c r="H47" s="1">
        <v>1.0</v>
      </c>
      <c r="I47" s="1">
        <v>1.0</v>
      </c>
      <c r="J47" s="1">
        <v>0.0</v>
      </c>
      <c r="K47" s="1">
        <v>20.0</v>
      </c>
      <c r="L47" s="1">
        <v>0.0</v>
      </c>
      <c r="M47" s="1">
        <v>1.0</v>
      </c>
    </row>
    <row r="48">
      <c r="A48" s="2" t="s">
        <v>667</v>
      </c>
      <c r="B48" s="1">
        <v>200.0</v>
      </c>
      <c r="C48" s="1" t="s">
        <v>668</v>
      </c>
      <c r="D48" s="1" t="s">
        <v>583</v>
      </c>
      <c r="F48" s="1">
        <v>1.0</v>
      </c>
      <c r="G48" s="1">
        <v>1.0</v>
      </c>
      <c r="H48" s="1">
        <v>1.0</v>
      </c>
      <c r="I48" s="1">
        <v>1.0</v>
      </c>
      <c r="J48" s="1">
        <v>0.0</v>
      </c>
      <c r="K48" s="1">
        <v>4.0</v>
      </c>
      <c r="L48" s="1">
        <v>0.0</v>
      </c>
      <c r="M48" s="1">
        <v>1.0</v>
      </c>
    </row>
    <row r="49">
      <c r="A49" s="2" t="s">
        <v>669</v>
      </c>
      <c r="B49" s="1">
        <v>200.0</v>
      </c>
      <c r="C49" s="1" t="s">
        <v>670</v>
      </c>
      <c r="D49" s="1" t="s">
        <v>583</v>
      </c>
      <c r="F49" s="1">
        <v>3.0</v>
      </c>
      <c r="G49" s="1">
        <v>3.0</v>
      </c>
      <c r="H49" s="1">
        <v>0.0</v>
      </c>
      <c r="I49" s="1">
        <v>0.0</v>
      </c>
      <c r="J49" s="1">
        <v>0.0</v>
      </c>
      <c r="K49" s="1">
        <v>10.0</v>
      </c>
      <c r="L49" s="1">
        <v>0.0</v>
      </c>
      <c r="M49" s="1">
        <v>3.0</v>
      </c>
    </row>
    <row r="50">
      <c r="A50" s="2" t="s">
        <v>671</v>
      </c>
      <c r="B50" s="1">
        <v>200.0</v>
      </c>
      <c r="C50" s="1" t="s">
        <v>672</v>
      </c>
      <c r="D50" s="1" t="s">
        <v>583</v>
      </c>
      <c r="F50" s="1">
        <v>2.0</v>
      </c>
      <c r="G50" s="1">
        <v>2.0</v>
      </c>
      <c r="H50" s="1">
        <v>0.0</v>
      </c>
      <c r="I50" s="1">
        <v>0.0</v>
      </c>
      <c r="J50" s="1">
        <v>0.0</v>
      </c>
      <c r="K50" s="1">
        <v>6.0</v>
      </c>
      <c r="L50" s="1">
        <v>0.0</v>
      </c>
      <c r="M50" s="1">
        <v>2.0</v>
      </c>
    </row>
    <row r="51">
      <c r="A51" s="2" t="s">
        <v>673</v>
      </c>
      <c r="B51" s="1">
        <v>200.0</v>
      </c>
      <c r="C51" s="1" t="s">
        <v>674</v>
      </c>
      <c r="D51" s="1" t="s">
        <v>583</v>
      </c>
      <c r="F51" s="1">
        <v>2.0</v>
      </c>
      <c r="G51" s="1">
        <v>6.0</v>
      </c>
      <c r="H51" s="1">
        <v>1.0</v>
      </c>
      <c r="I51" s="1">
        <v>0.5</v>
      </c>
      <c r="J51" s="1">
        <v>0.0</v>
      </c>
      <c r="K51" s="1">
        <v>14.0</v>
      </c>
      <c r="L51" s="1">
        <v>0.0</v>
      </c>
      <c r="M51" s="1">
        <v>1.0</v>
      </c>
    </row>
    <row r="52">
      <c r="A52" s="2" t="s">
        <v>675</v>
      </c>
      <c r="B52" s="1">
        <v>301.0</v>
      </c>
      <c r="D52" s="1" t="s">
        <v>609</v>
      </c>
      <c r="E52" s="1" t="s">
        <v>610</v>
      </c>
      <c r="F52" s="1">
        <v>5.0</v>
      </c>
      <c r="G52" s="1">
        <v>5.0</v>
      </c>
      <c r="H52" s="1">
        <v>0.0</v>
      </c>
      <c r="I52" s="1">
        <v>0.0</v>
      </c>
      <c r="J52" s="1">
        <v>0.0</v>
      </c>
      <c r="K52" s="1">
        <v>17.0</v>
      </c>
      <c r="L52" s="1">
        <v>0.0</v>
      </c>
      <c r="M52" s="1">
        <v>5.0</v>
      </c>
    </row>
    <row r="53">
      <c r="A53" s="2" t="s">
        <v>676</v>
      </c>
      <c r="B53" s="1">
        <v>200.0</v>
      </c>
      <c r="C53" s="1" t="s">
        <v>677</v>
      </c>
      <c r="D53" s="1" t="s">
        <v>583</v>
      </c>
      <c r="F53" s="1">
        <v>3.0</v>
      </c>
      <c r="G53" s="1">
        <v>6.0</v>
      </c>
      <c r="H53" s="1">
        <v>3.0</v>
      </c>
      <c r="I53" s="1">
        <v>1.0</v>
      </c>
      <c r="J53" s="1">
        <v>0.0</v>
      </c>
      <c r="K53" s="1">
        <v>18.0</v>
      </c>
      <c r="L53" s="1">
        <v>0.0</v>
      </c>
      <c r="M53" s="1">
        <v>2.0</v>
      </c>
    </row>
    <row r="54">
      <c r="A54" s="2" t="s">
        <v>678</v>
      </c>
      <c r="B54" s="1">
        <v>200.0</v>
      </c>
      <c r="C54" s="1" t="s">
        <v>679</v>
      </c>
      <c r="D54" s="1" t="s">
        <v>583</v>
      </c>
      <c r="F54" s="1">
        <v>3.0</v>
      </c>
      <c r="G54" s="1">
        <v>3.0</v>
      </c>
      <c r="H54" s="1">
        <v>2.0</v>
      </c>
      <c r="I54" s="1">
        <v>0.67</v>
      </c>
      <c r="J54" s="1">
        <v>0.0</v>
      </c>
      <c r="K54" s="1">
        <v>27.0</v>
      </c>
      <c r="L54" s="1">
        <v>0.0</v>
      </c>
      <c r="M54" s="1">
        <v>3.0</v>
      </c>
    </row>
    <row r="55">
      <c r="A55" s="2" t="s">
        <v>463</v>
      </c>
      <c r="B55" s="1">
        <v>200.0</v>
      </c>
      <c r="C55" s="1" t="s">
        <v>680</v>
      </c>
      <c r="D55" s="1" t="s">
        <v>583</v>
      </c>
      <c r="F55" s="1">
        <v>5.0</v>
      </c>
      <c r="G55" s="1">
        <v>9.0</v>
      </c>
      <c r="H55" s="1">
        <v>1.0</v>
      </c>
      <c r="I55" s="1">
        <v>0.2</v>
      </c>
      <c r="J55" s="1">
        <v>0.0</v>
      </c>
      <c r="K55" s="1">
        <v>25.0</v>
      </c>
      <c r="L55" s="1">
        <v>0.0</v>
      </c>
      <c r="M55" s="1">
        <v>4.0</v>
      </c>
    </row>
    <row r="56">
      <c r="A56" s="2" t="s">
        <v>681</v>
      </c>
      <c r="B56" s="1">
        <v>200.0</v>
      </c>
      <c r="C56" s="1" t="s">
        <v>682</v>
      </c>
      <c r="D56" s="1" t="s">
        <v>583</v>
      </c>
      <c r="F56" s="1">
        <v>8.0</v>
      </c>
      <c r="G56" s="1">
        <v>8.0</v>
      </c>
      <c r="H56" s="1">
        <v>3.0</v>
      </c>
      <c r="I56" s="1">
        <v>0.38</v>
      </c>
      <c r="J56" s="1">
        <v>0.0</v>
      </c>
      <c r="K56" s="1">
        <v>27.0</v>
      </c>
      <c r="L56" s="1">
        <v>0.0</v>
      </c>
      <c r="M56" s="1">
        <v>7.0</v>
      </c>
    </row>
    <row r="57">
      <c r="A57" s="2" t="s">
        <v>683</v>
      </c>
      <c r="B57" s="1">
        <v>200.0</v>
      </c>
      <c r="C57" s="1" t="s">
        <v>684</v>
      </c>
      <c r="D57" s="1" t="s">
        <v>583</v>
      </c>
      <c r="F57" s="1">
        <v>13.0</v>
      </c>
      <c r="G57" s="1">
        <v>25.0</v>
      </c>
      <c r="H57" s="1">
        <v>7.0</v>
      </c>
      <c r="I57" s="1">
        <v>0.54</v>
      </c>
      <c r="J57" s="1">
        <v>0.0</v>
      </c>
      <c r="K57" s="1">
        <v>88.0</v>
      </c>
      <c r="L57" s="1">
        <v>0.0</v>
      </c>
      <c r="M57" s="1">
        <v>4.0</v>
      </c>
    </row>
    <row r="58">
      <c r="A58" s="2" t="s">
        <v>443</v>
      </c>
      <c r="B58" s="1">
        <v>200.0</v>
      </c>
      <c r="C58" s="1" t="s">
        <v>685</v>
      </c>
      <c r="D58" s="1" t="s">
        <v>583</v>
      </c>
      <c r="F58" s="1">
        <v>24.0</v>
      </c>
      <c r="G58" s="1">
        <v>175.0</v>
      </c>
      <c r="H58" s="1">
        <v>18.0</v>
      </c>
      <c r="I58" s="1">
        <v>0.75</v>
      </c>
      <c r="J58" s="1">
        <v>1.0</v>
      </c>
      <c r="K58" s="1">
        <v>391.0</v>
      </c>
      <c r="L58" s="1">
        <v>0.0</v>
      </c>
      <c r="M58" s="1">
        <v>8.0</v>
      </c>
    </row>
    <row r="59">
      <c r="A59" s="2" t="s">
        <v>539</v>
      </c>
      <c r="B59" s="1">
        <v>200.0</v>
      </c>
      <c r="C59" s="1" t="s">
        <v>686</v>
      </c>
      <c r="D59" s="1" t="s">
        <v>583</v>
      </c>
      <c r="F59" s="1">
        <v>2.0</v>
      </c>
      <c r="G59" s="1">
        <v>2.0</v>
      </c>
      <c r="H59" s="1">
        <v>0.0</v>
      </c>
      <c r="I59" s="1">
        <v>0.0</v>
      </c>
      <c r="J59" s="1">
        <v>0.0</v>
      </c>
      <c r="K59" s="1">
        <v>6.0</v>
      </c>
      <c r="L59" s="1">
        <v>0.0</v>
      </c>
      <c r="M59" s="1">
        <v>2.0</v>
      </c>
    </row>
    <row r="60">
      <c r="A60" s="2" t="s">
        <v>687</v>
      </c>
      <c r="B60" s="1">
        <v>200.0</v>
      </c>
      <c r="C60" s="1" t="s">
        <v>688</v>
      </c>
      <c r="D60" s="1" t="s">
        <v>583</v>
      </c>
      <c r="F60" s="1">
        <v>15.0</v>
      </c>
      <c r="G60" s="1">
        <v>36.0</v>
      </c>
      <c r="H60" s="1">
        <v>11.0</v>
      </c>
      <c r="I60" s="1">
        <v>0.73</v>
      </c>
      <c r="J60" s="1">
        <v>2.0</v>
      </c>
      <c r="K60" s="1">
        <v>93.0</v>
      </c>
      <c r="L60" s="1">
        <v>0.0</v>
      </c>
      <c r="M60" s="1">
        <v>11.0</v>
      </c>
    </row>
    <row r="61">
      <c r="A61" s="2" t="s">
        <v>535</v>
      </c>
      <c r="B61" s="1">
        <v>200.0</v>
      </c>
      <c r="C61" s="1" t="s">
        <v>689</v>
      </c>
      <c r="D61" s="1" t="s">
        <v>583</v>
      </c>
      <c r="F61" s="1">
        <v>1.0</v>
      </c>
      <c r="G61" s="1">
        <v>1.0</v>
      </c>
      <c r="H61" s="1">
        <v>0.0</v>
      </c>
      <c r="I61" s="1">
        <v>0.0</v>
      </c>
      <c r="J61" s="1">
        <v>0.0</v>
      </c>
      <c r="K61" s="1">
        <v>5.0</v>
      </c>
      <c r="L61" s="1">
        <v>0.0</v>
      </c>
      <c r="M61" s="1">
        <v>1.0</v>
      </c>
    </row>
    <row r="62">
      <c r="A62" s="2" t="s">
        <v>690</v>
      </c>
      <c r="B62" s="1">
        <v>200.0</v>
      </c>
      <c r="C62" s="1" t="s">
        <v>691</v>
      </c>
      <c r="D62" s="1" t="s">
        <v>583</v>
      </c>
      <c r="F62" s="1">
        <v>6.0</v>
      </c>
      <c r="G62" s="1">
        <v>7.0</v>
      </c>
      <c r="H62" s="1">
        <v>3.0</v>
      </c>
      <c r="I62" s="1">
        <v>0.5</v>
      </c>
      <c r="J62" s="1">
        <v>0.0</v>
      </c>
      <c r="K62" s="1">
        <v>18.0</v>
      </c>
      <c r="L62" s="1">
        <v>0.0</v>
      </c>
      <c r="M62" s="1">
        <v>2.0</v>
      </c>
    </row>
    <row r="63">
      <c r="A63" s="2" t="s">
        <v>692</v>
      </c>
      <c r="B63" s="1">
        <v>200.0</v>
      </c>
      <c r="C63" s="1" t="s">
        <v>693</v>
      </c>
      <c r="D63" s="1" t="s">
        <v>583</v>
      </c>
      <c r="F63" s="1">
        <v>4.0</v>
      </c>
      <c r="G63" s="1">
        <v>4.0</v>
      </c>
      <c r="H63" s="1">
        <v>0.0</v>
      </c>
      <c r="I63" s="1">
        <v>0.0</v>
      </c>
      <c r="J63" s="1">
        <v>0.0</v>
      </c>
      <c r="K63" s="1">
        <v>13.0</v>
      </c>
      <c r="L63" s="1">
        <v>0.0</v>
      </c>
      <c r="M63" s="1">
        <v>4.0</v>
      </c>
    </row>
    <row r="64">
      <c r="A64" s="2" t="s">
        <v>694</v>
      </c>
      <c r="B64" s="1">
        <v>200.0</v>
      </c>
      <c r="C64" s="1" t="s">
        <v>695</v>
      </c>
      <c r="D64" s="1" t="s">
        <v>583</v>
      </c>
      <c r="F64" s="1">
        <v>88.0</v>
      </c>
      <c r="G64" s="1">
        <v>107.0</v>
      </c>
      <c r="H64" s="1">
        <v>45.0</v>
      </c>
      <c r="I64" s="1">
        <v>0.51</v>
      </c>
      <c r="J64" s="1">
        <v>3.0</v>
      </c>
      <c r="K64" s="1">
        <v>408.0</v>
      </c>
      <c r="L64" s="1">
        <v>0.0</v>
      </c>
      <c r="M64" s="1">
        <v>77.0</v>
      </c>
    </row>
    <row r="65">
      <c r="A65" s="2" t="s">
        <v>696</v>
      </c>
      <c r="B65" s="1">
        <v>200.0</v>
      </c>
      <c r="C65" s="1" t="s">
        <v>697</v>
      </c>
      <c r="D65" s="1" t="s">
        <v>583</v>
      </c>
      <c r="F65" s="1">
        <v>3.0</v>
      </c>
      <c r="G65" s="1">
        <v>4.0</v>
      </c>
      <c r="H65" s="1">
        <v>2.0</v>
      </c>
      <c r="I65" s="1">
        <v>0.67</v>
      </c>
      <c r="J65" s="1">
        <v>2.0</v>
      </c>
      <c r="K65" s="1">
        <v>22.0</v>
      </c>
      <c r="L65" s="1">
        <v>0.0</v>
      </c>
      <c r="M65" s="1">
        <v>3.0</v>
      </c>
    </row>
    <row r="66">
      <c r="A66" s="2" t="s">
        <v>698</v>
      </c>
      <c r="B66" s="1">
        <v>200.0</v>
      </c>
      <c r="C66" s="1" t="s">
        <v>699</v>
      </c>
      <c r="D66" s="1" t="s">
        <v>583</v>
      </c>
      <c r="F66" s="1">
        <v>2.0</v>
      </c>
      <c r="G66" s="1">
        <v>2.0</v>
      </c>
      <c r="H66" s="1">
        <v>1.0</v>
      </c>
      <c r="I66" s="1">
        <v>0.5</v>
      </c>
      <c r="J66" s="1">
        <v>0.0</v>
      </c>
      <c r="K66" s="1">
        <v>7.0</v>
      </c>
      <c r="L66" s="1">
        <v>0.0</v>
      </c>
      <c r="M66" s="1">
        <v>2.0</v>
      </c>
    </row>
    <row r="67">
      <c r="A67" s="2" t="s">
        <v>700</v>
      </c>
      <c r="B67" s="1">
        <v>200.0</v>
      </c>
      <c r="C67" s="1" t="s">
        <v>701</v>
      </c>
      <c r="D67" s="1" t="s">
        <v>583</v>
      </c>
      <c r="F67" s="1">
        <v>1.0</v>
      </c>
      <c r="G67" s="1">
        <v>1.0</v>
      </c>
      <c r="H67" s="1">
        <v>0.0</v>
      </c>
      <c r="I67" s="1">
        <v>0.0</v>
      </c>
      <c r="J67" s="1">
        <v>0.0</v>
      </c>
      <c r="K67" s="1">
        <v>3.0</v>
      </c>
      <c r="L67" s="1">
        <v>0.0</v>
      </c>
      <c r="M67" s="1">
        <v>1.0</v>
      </c>
    </row>
    <row r="68">
      <c r="A68" s="2" t="s">
        <v>702</v>
      </c>
      <c r="B68" s="1">
        <v>200.0</v>
      </c>
      <c r="C68" s="1" t="s">
        <v>703</v>
      </c>
      <c r="D68" s="1" t="s">
        <v>583</v>
      </c>
      <c r="F68" s="1">
        <v>2.0</v>
      </c>
      <c r="G68" s="1">
        <v>8.0</v>
      </c>
      <c r="H68" s="1">
        <v>1.0</v>
      </c>
      <c r="I68" s="1">
        <v>0.5</v>
      </c>
      <c r="J68" s="1">
        <v>0.0</v>
      </c>
      <c r="K68" s="1">
        <v>19.0</v>
      </c>
      <c r="L68" s="1">
        <v>0.0</v>
      </c>
      <c r="M68" s="1">
        <v>2.0</v>
      </c>
    </row>
    <row r="69">
      <c r="A69" s="2" t="s">
        <v>704</v>
      </c>
      <c r="B69" s="1">
        <v>200.0</v>
      </c>
      <c r="C69" s="1" t="s">
        <v>705</v>
      </c>
      <c r="D69" s="1" t="s">
        <v>583</v>
      </c>
      <c r="F69" s="1">
        <v>2.0</v>
      </c>
      <c r="G69" s="1">
        <v>2.0</v>
      </c>
      <c r="H69" s="1">
        <v>0.0</v>
      </c>
      <c r="I69" s="1">
        <v>0.0</v>
      </c>
      <c r="J69" s="1">
        <v>0.0</v>
      </c>
      <c r="K69" s="1">
        <v>7.0</v>
      </c>
      <c r="L69" s="1">
        <v>0.0</v>
      </c>
      <c r="M69" s="1">
        <v>2.0</v>
      </c>
    </row>
    <row r="70">
      <c r="A70" s="2" t="s">
        <v>706</v>
      </c>
      <c r="B70" s="1">
        <v>200.0</v>
      </c>
      <c r="C70" s="1" t="s">
        <v>707</v>
      </c>
      <c r="D70" s="1" t="s">
        <v>583</v>
      </c>
    </row>
    <row r="71">
      <c r="A71" s="2" t="s">
        <v>708</v>
      </c>
      <c r="B71" s="1">
        <v>200.0</v>
      </c>
      <c r="C71" s="1" t="s">
        <v>709</v>
      </c>
      <c r="D71" s="1" t="s">
        <v>583</v>
      </c>
      <c r="F71" s="1">
        <v>1.0</v>
      </c>
      <c r="G71" s="1">
        <v>1.0</v>
      </c>
      <c r="H71" s="1">
        <v>0.0</v>
      </c>
      <c r="I71" s="1">
        <v>0.0</v>
      </c>
      <c r="J71" s="1">
        <v>0.0</v>
      </c>
      <c r="K71" s="1">
        <v>3.0</v>
      </c>
      <c r="L71" s="1">
        <v>0.0</v>
      </c>
      <c r="M71" s="1">
        <v>1.0</v>
      </c>
    </row>
    <row r="72">
      <c r="A72" s="2" t="s">
        <v>710</v>
      </c>
      <c r="B72" s="1">
        <v>200.0</v>
      </c>
      <c r="C72" s="1" t="s">
        <v>711</v>
      </c>
      <c r="D72" s="1" t="s">
        <v>583</v>
      </c>
      <c r="F72" s="1">
        <v>2.0</v>
      </c>
      <c r="G72" s="1">
        <v>2.0</v>
      </c>
      <c r="H72" s="1">
        <v>1.0</v>
      </c>
      <c r="I72" s="1">
        <v>0.5</v>
      </c>
      <c r="J72" s="1">
        <v>0.0</v>
      </c>
      <c r="K72" s="1">
        <v>7.0</v>
      </c>
      <c r="L72" s="1">
        <v>0.0</v>
      </c>
      <c r="M72" s="1">
        <v>2.0</v>
      </c>
    </row>
    <row r="73">
      <c r="A73" s="2" t="s">
        <v>712</v>
      </c>
      <c r="B73" s="1">
        <v>200.0</v>
      </c>
      <c r="C73" s="1" t="s">
        <v>713</v>
      </c>
      <c r="D73" s="1" t="s">
        <v>583</v>
      </c>
      <c r="F73" s="1">
        <v>3.0</v>
      </c>
      <c r="G73" s="1">
        <v>3.0</v>
      </c>
      <c r="H73" s="1">
        <v>1.0</v>
      </c>
      <c r="I73" s="1">
        <v>0.33</v>
      </c>
      <c r="J73" s="1">
        <v>0.0</v>
      </c>
      <c r="K73" s="1">
        <v>12.0</v>
      </c>
      <c r="L73" s="1">
        <v>0.0</v>
      </c>
      <c r="M73" s="1">
        <v>3.0</v>
      </c>
    </row>
    <row r="74">
      <c r="A74" s="2" t="s">
        <v>714</v>
      </c>
      <c r="B74" s="1">
        <v>200.0</v>
      </c>
      <c r="C74" s="1" t="s">
        <v>715</v>
      </c>
      <c r="D74" s="1" t="s">
        <v>583</v>
      </c>
      <c r="F74" s="1">
        <v>4.0</v>
      </c>
      <c r="G74" s="1">
        <v>5.0</v>
      </c>
      <c r="H74" s="1">
        <v>2.0</v>
      </c>
      <c r="I74" s="1">
        <v>0.5</v>
      </c>
      <c r="J74" s="1">
        <v>0.0</v>
      </c>
      <c r="K74" s="1">
        <v>20.0</v>
      </c>
      <c r="L74" s="1">
        <v>0.0</v>
      </c>
      <c r="M74" s="1">
        <v>4.0</v>
      </c>
    </row>
    <row r="75">
      <c r="A75" s="2" t="s">
        <v>716</v>
      </c>
      <c r="B75" s="1">
        <v>200.0</v>
      </c>
      <c r="C75" s="1" t="s">
        <v>717</v>
      </c>
      <c r="D75" s="1" t="s">
        <v>583</v>
      </c>
      <c r="F75" s="1">
        <v>1.0</v>
      </c>
      <c r="G75" s="1">
        <v>1.0</v>
      </c>
      <c r="H75" s="1">
        <v>0.0</v>
      </c>
      <c r="I75" s="1">
        <v>0.0</v>
      </c>
      <c r="J75" s="1">
        <v>0.0</v>
      </c>
      <c r="K75" s="1">
        <v>3.0</v>
      </c>
      <c r="L75" s="1">
        <v>0.0</v>
      </c>
      <c r="M75" s="1">
        <v>1.0</v>
      </c>
    </row>
    <row r="76">
      <c r="A76" s="2" t="s">
        <v>718</v>
      </c>
      <c r="B76" s="1">
        <v>200.0</v>
      </c>
      <c r="C76" s="1" t="s">
        <v>719</v>
      </c>
      <c r="D76" s="1" t="s">
        <v>583</v>
      </c>
      <c r="F76" s="1">
        <v>2.0</v>
      </c>
      <c r="G76" s="1">
        <v>2.0</v>
      </c>
      <c r="H76" s="1">
        <v>1.0</v>
      </c>
      <c r="I76" s="1">
        <v>0.5</v>
      </c>
      <c r="J76" s="1">
        <v>0.0</v>
      </c>
      <c r="K76" s="1">
        <v>9.0</v>
      </c>
      <c r="L76" s="1">
        <v>0.0</v>
      </c>
      <c r="M76" s="1">
        <v>2.0</v>
      </c>
    </row>
    <row r="77">
      <c r="A77" s="2" t="s">
        <v>720</v>
      </c>
      <c r="B77" s="1">
        <v>200.0</v>
      </c>
      <c r="C77" s="1" t="s">
        <v>721</v>
      </c>
      <c r="D77" s="1" t="s">
        <v>583</v>
      </c>
      <c r="F77" s="1">
        <v>2.0</v>
      </c>
      <c r="G77" s="1">
        <v>2.0</v>
      </c>
      <c r="H77" s="1">
        <v>1.0</v>
      </c>
      <c r="I77" s="1">
        <v>0.5</v>
      </c>
      <c r="J77" s="1">
        <v>0.0</v>
      </c>
      <c r="K77" s="1">
        <v>9.0</v>
      </c>
      <c r="L77" s="1">
        <v>0.0</v>
      </c>
      <c r="M77" s="1">
        <v>2.0</v>
      </c>
    </row>
    <row r="78">
      <c r="A78" s="2" t="s">
        <v>722</v>
      </c>
      <c r="B78" s="1">
        <v>200.0</v>
      </c>
      <c r="C78" s="1" t="s">
        <v>723</v>
      </c>
      <c r="D78" s="1" t="s">
        <v>583</v>
      </c>
      <c r="F78" s="1">
        <v>1.0</v>
      </c>
      <c r="G78" s="1">
        <v>1.0</v>
      </c>
      <c r="H78" s="1">
        <v>0.0</v>
      </c>
      <c r="I78" s="1">
        <v>0.0</v>
      </c>
      <c r="J78" s="1">
        <v>0.0</v>
      </c>
      <c r="K78" s="1">
        <v>3.0</v>
      </c>
      <c r="L78" s="1">
        <v>0.0</v>
      </c>
      <c r="M78" s="1">
        <v>1.0</v>
      </c>
    </row>
    <row r="79">
      <c r="A79" s="2" t="s">
        <v>724</v>
      </c>
      <c r="B79" s="1">
        <v>200.0</v>
      </c>
      <c r="C79" s="1" t="s">
        <v>725</v>
      </c>
      <c r="D79" s="1" t="s">
        <v>583</v>
      </c>
      <c r="F79" s="1">
        <v>3.0</v>
      </c>
      <c r="G79" s="1">
        <v>3.0</v>
      </c>
      <c r="H79" s="1">
        <v>0.0</v>
      </c>
      <c r="I79" s="1">
        <v>0.0</v>
      </c>
      <c r="J79" s="1">
        <v>0.0</v>
      </c>
      <c r="K79" s="1">
        <v>9.0</v>
      </c>
      <c r="L79" s="1">
        <v>0.0</v>
      </c>
      <c r="M79" s="1">
        <v>3.0</v>
      </c>
    </row>
    <row r="80">
      <c r="A80" s="2" t="s">
        <v>726</v>
      </c>
      <c r="B80" s="1">
        <v>200.0</v>
      </c>
      <c r="C80" s="1" t="s">
        <v>727</v>
      </c>
      <c r="D80" s="1" t="s">
        <v>583</v>
      </c>
      <c r="F80" s="1">
        <v>2.0</v>
      </c>
      <c r="G80" s="1">
        <v>2.0</v>
      </c>
      <c r="H80" s="1">
        <v>1.0</v>
      </c>
      <c r="I80" s="1">
        <v>0.5</v>
      </c>
      <c r="J80" s="1">
        <v>0.0</v>
      </c>
      <c r="K80" s="1">
        <v>8.0</v>
      </c>
      <c r="L80" s="1">
        <v>0.0</v>
      </c>
      <c r="M80" s="1">
        <v>2.0</v>
      </c>
    </row>
    <row r="81">
      <c r="A81" s="2" t="s">
        <v>728</v>
      </c>
      <c r="B81" s="1">
        <v>200.0</v>
      </c>
      <c r="C81" s="1" t="s">
        <v>729</v>
      </c>
      <c r="D81" s="1" t="s">
        <v>583</v>
      </c>
      <c r="F81" s="1">
        <v>2.0</v>
      </c>
      <c r="G81" s="1">
        <v>2.0</v>
      </c>
      <c r="H81" s="1">
        <v>1.0</v>
      </c>
      <c r="I81" s="1">
        <v>0.5</v>
      </c>
      <c r="J81" s="1">
        <v>0.0</v>
      </c>
      <c r="K81" s="1">
        <v>7.0</v>
      </c>
      <c r="L81" s="1">
        <v>0.0</v>
      </c>
      <c r="M81" s="1">
        <v>2.0</v>
      </c>
    </row>
    <row r="82">
      <c r="A82" s="2" t="s">
        <v>730</v>
      </c>
      <c r="B82" s="1">
        <v>200.0</v>
      </c>
      <c r="C82" s="1" t="s">
        <v>731</v>
      </c>
      <c r="D82" s="1" t="s">
        <v>583</v>
      </c>
      <c r="F82" s="1">
        <v>4.0</v>
      </c>
      <c r="G82" s="1">
        <v>5.0</v>
      </c>
      <c r="H82" s="1">
        <v>1.0</v>
      </c>
      <c r="I82" s="1">
        <v>0.25</v>
      </c>
      <c r="J82" s="1">
        <v>0.0</v>
      </c>
      <c r="K82" s="1">
        <v>14.0</v>
      </c>
      <c r="L82" s="1">
        <v>0.0</v>
      </c>
      <c r="M82" s="1">
        <v>4.0</v>
      </c>
    </row>
    <row r="83">
      <c r="A83" s="2" t="s">
        <v>732</v>
      </c>
      <c r="B83" s="1">
        <v>200.0</v>
      </c>
      <c r="C83" s="1" t="s">
        <v>733</v>
      </c>
      <c r="D83" s="1" t="s">
        <v>583</v>
      </c>
      <c r="F83" s="1">
        <v>1.0</v>
      </c>
      <c r="G83" s="1">
        <v>1.0</v>
      </c>
      <c r="H83" s="1">
        <v>0.0</v>
      </c>
      <c r="I83" s="1">
        <v>0.0</v>
      </c>
      <c r="J83" s="1">
        <v>0.0</v>
      </c>
      <c r="K83" s="1">
        <v>3.0</v>
      </c>
      <c r="L83" s="1">
        <v>0.0</v>
      </c>
      <c r="M83" s="1">
        <v>1.0</v>
      </c>
    </row>
    <row r="84">
      <c r="A84" s="2" t="s">
        <v>734</v>
      </c>
      <c r="B84" s="1">
        <v>200.0</v>
      </c>
      <c r="C84" s="1" t="s">
        <v>735</v>
      </c>
      <c r="D84" s="1" t="s">
        <v>583</v>
      </c>
      <c r="F84" s="1">
        <v>4.0</v>
      </c>
      <c r="G84" s="1">
        <v>5.0</v>
      </c>
      <c r="H84" s="1">
        <v>3.0</v>
      </c>
      <c r="I84" s="1">
        <v>0.75</v>
      </c>
      <c r="J84" s="1">
        <v>0.0</v>
      </c>
      <c r="K84" s="1">
        <v>29.0</v>
      </c>
      <c r="L84" s="1">
        <v>0.0</v>
      </c>
      <c r="M84" s="1">
        <v>3.0</v>
      </c>
    </row>
    <row r="85">
      <c r="A85" s="2" t="s">
        <v>736</v>
      </c>
      <c r="B85" s="1">
        <v>200.0</v>
      </c>
      <c r="C85" s="1" t="s">
        <v>737</v>
      </c>
      <c r="D85" s="1" t="s">
        <v>583</v>
      </c>
      <c r="F85" s="1">
        <v>1.0</v>
      </c>
      <c r="G85" s="1">
        <v>1.0</v>
      </c>
      <c r="H85" s="1">
        <v>0.0</v>
      </c>
      <c r="I85" s="1">
        <v>0.0</v>
      </c>
      <c r="J85" s="1">
        <v>0.0</v>
      </c>
      <c r="K85" s="1">
        <v>3.0</v>
      </c>
      <c r="L85" s="1">
        <v>0.0</v>
      </c>
      <c r="M85" s="1">
        <v>1.0</v>
      </c>
    </row>
    <row r="86">
      <c r="A86" s="2" t="s">
        <v>738</v>
      </c>
      <c r="B86" s="1">
        <v>200.0</v>
      </c>
      <c r="C86" s="1" t="s">
        <v>739</v>
      </c>
      <c r="D86" s="1" t="s">
        <v>583</v>
      </c>
      <c r="F86" s="1">
        <v>3.0</v>
      </c>
      <c r="G86" s="1">
        <v>4.0</v>
      </c>
      <c r="H86" s="1">
        <v>2.0</v>
      </c>
      <c r="I86" s="1">
        <v>0.67</v>
      </c>
      <c r="J86" s="1">
        <v>0.0</v>
      </c>
      <c r="K86" s="1">
        <v>12.0</v>
      </c>
      <c r="L86" s="1">
        <v>0.0</v>
      </c>
      <c r="M86" s="1">
        <v>3.0</v>
      </c>
    </row>
    <row r="87">
      <c r="A87" s="2" t="s">
        <v>740</v>
      </c>
      <c r="B87" s="1">
        <v>200.0</v>
      </c>
      <c r="C87" s="1" t="s">
        <v>741</v>
      </c>
      <c r="D87" s="1" t="s">
        <v>583</v>
      </c>
      <c r="F87" s="1">
        <v>4.0</v>
      </c>
      <c r="G87" s="1">
        <v>4.0</v>
      </c>
      <c r="H87" s="1">
        <v>2.0</v>
      </c>
      <c r="I87" s="1">
        <v>0.5</v>
      </c>
      <c r="J87" s="1">
        <v>0.0</v>
      </c>
      <c r="K87" s="1">
        <v>29.0</v>
      </c>
      <c r="L87" s="1">
        <v>0.0</v>
      </c>
      <c r="M87" s="1">
        <v>4.0</v>
      </c>
    </row>
    <row r="88">
      <c r="A88" s="2" t="s">
        <v>742</v>
      </c>
      <c r="B88" s="1">
        <v>200.0</v>
      </c>
      <c r="C88" s="1" t="s">
        <v>743</v>
      </c>
      <c r="D88" s="1" t="s">
        <v>583</v>
      </c>
      <c r="F88" s="1">
        <v>1.0</v>
      </c>
      <c r="G88" s="1">
        <v>1.0</v>
      </c>
      <c r="H88" s="1">
        <v>0.0</v>
      </c>
      <c r="I88" s="1">
        <v>0.0</v>
      </c>
      <c r="J88" s="1">
        <v>0.0</v>
      </c>
      <c r="K88" s="1">
        <v>3.0</v>
      </c>
      <c r="L88" s="1">
        <v>0.0</v>
      </c>
      <c r="M88" s="1">
        <v>1.0</v>
      </c>
    </row>
    <row r="89">
      <c r="A89" s="2" t="s">
        <v>744</v>
      </c>
      <c r="B89" s="1">
        <v>200.0</v>
      </c>
      <c r="C89" s="1" t="s">
        <v>745</v>
      </c>
      <c r="D89" s="1" t="s">
        <v>583</v>
      </c>
      <c r="F89" s="1">
        <v>2.0</v>
      </c>
      <c r="G89" s="1">
        <v>2.0</v>
      </c>
      <c r="H89" s="1">
        <v>0.0</v>
      </c>
      <c r="I89" s="1">
        <v>0.0</v>
      </c>
      <c r="J89" s="1">
        <v>0.0</v>
      </c>
      <c r="K89" s="1">
        <v>7.0</v>
      </c>
      <c r="L89" s="1">
        <v>0.0</v>
      </c>
      <c r="M89" s="1">
        <v>2.0</v>
      </c>
    </row>
    <row r="90">
      <c r="A90" s="2" t="s">
        <v>746</v>
      </c>
      <c r="B90" s="1">
        <v>200.0</v>
      </c>
      <c r="C90" s="1" t="s">
        <v>747</v>
      </c>
      <c r="D90" s="1" t="s">
        <v>583</v>
      </c>
      <c r="F90" s="1">
        <v>7.0</v>
      </c>
      <c r="G90" s="1">
        <v>7.0</v>
      </c>
      <c r="H90" s="1">
        <v>3.0</v>
      </c>
      <c r="I90" s="1">
        <v>0.43</v>
      </c>
      <c r="J90" s="1">
        <v>0.0</v>
      </c>
      <c r="K90" s="1">
        <v>25.0</v>
      </c>
      <c r="L90" s="1">
        <v>0.0</v>
      </c>
      <c r="M90" s="1">
        <v>6.0</v>
      </c>
    </row>
    <row r="91">
      <c r="A91" s="2" t="s">
        <v>748</v>
      </c>
      <c r="B91" s="1">
        <v>200.0</v>
      </c>
      <c r="C91" s="1" t="s">
        <v>749</v>
      </c>
      <c r="D91" s="1" t="s">
        <v>583</v>
      </c>
      <c r="F91" s="1">
        <v>4.0</v>
      </c>
      <c r="G91" s="1">
        <v>6.0</v>
      </c>
      <c r="H91" s="1">
        <v>3.0</v>
      </c>
      <c r="I91" s="1">
        <v>0.75</v>
      </c>
      <c r="J91" s="1">
        <v>1.0</v>
      </c>
      <c r="K91" s="1">
        <v>25.0</v>
      </c>
      <c r="L91" s="1">
        <v>0.0</v>
      </c>
      <c r="M91" s="1">
        <v>4.0</v>
      </c>
    </row>
    <row r="92">
      <c r="A92" s="2" t="s">
        <v>750</v>
      </c>
      <c r="B92" s="1">
        <v>200.0</v>
      </c>
      <c r="C92" s="1" t="s">
        <v>751</v>
      </c>
      <c r="D92" s="1" t="s">
        <v>583</v>
      </c>
      <c r="F92" s="1">
        <v>4.0</v>
      </c>
      <c r="G92" s="1">
        <v>5.0</v>
      </c>
      <c r="H92" s="1">
        <v>2.0</v>
      </c>
      <c r="I92" s="1">
        <v>0.5</v>
      </c>
      <c r="J92" s="1">
        <v>0.0</v>
      </c>
      <c r="K92" s="1">
        <v>17.0</v>
      </c>
      <c r="L92" s="1">
        <v>0.0</v>
      </c>
      <c r="M92" s="1">
        <v>4.0</v>
      </c>
    </row>
    <row r="93">
      <c r="A93" s="2" t="s">
        <v>752</v>
      </c>
      <c r="B93" s="1">
        <v>200.0</v>
      </c>
      <c r="C93" s="1" t="s">
        <v>753</v>
      </c>
      <c r="D93" s="1" t="s">
        <v>583</v>
      </c>
      <c r="F93" s="1">
        <v>3.0</v>
      </c>
      <c r="G93" s="1">
        <v>3.0</v>
      </c>
      <c r="H93" s="1">
        <v>1.0</v>
      </c>
      <c r="I93" s="1">
        <v>0.33</v>
      </c>
      <c r="J93" s="1">
        <v>0.0</v>
      </c>
      <c r="K93" s="1">
        <v>12.0</v>
      </c>
      <c r="L93" s="1">
        <v>0.0</v>
      </c>
      <c r="M93" s="1">
        <v>3.0</v>
      </c>
    </row>
    <row r="94">
      <c r="A94" s="2" t="s">
        <v>754</v>
      </c>
      <c r="B94" s="1">
        <v>200.0</v>
      </c>
      <c r="C94" s="1" t="s">
        <v>755</v>
      </c>
      <c r="D94" s="1" t="s">
        <v>583</v>
      </c>
      <c r="F94" s="1">
        <v>4.0</v>
      </c>
      <c r="G94" s="1">
        <v>5.0</v>
      </c>
      <c r="H94" s="1">
        <v>3.0</v>
      </c>
      <c r="I94" s="1">
        <v>0.75</v>
      </c>
      <c r="J94" s="1">
        <v>0.0</v>
      </c>
      <c r="K94" s="1">
        <v>18.0</v>
      </c>
      <c r="L94" s="1">
        <v>0.0</v>
      </c>
      <c r="M94" s="1">
        <v>4.0</v>
      </c>
    </row>
    <row r="95">
      <c r="A95" s="2" t="s">
        <v>756</v>
      </c>
      <c r="B95" s="1">
        <v>200.0</v>
      </c>
      <c r="C95" s="1" t="s">
        <v>757</v>
      </c>
      <c r="D95" s="1" t="s">
        <v>583</v>
      </c>
      <c r="F95" s="1">
        <v>2.0</v>
      </c>
      <c r="G95" s="1">
        <v>2.0</v>
      </c>
      <c r="H95" s="1">
        <v>1.0</v>
      </c>
      <c r="I95" s="1">
        <v>0.5</v>
      </c>
      <c r="J95" s="1">
        <v>0.0</v>
      </c>
      <c r="K95" s="1">
        <v>7.0</v>
      </c>
      <c r="L95" s="1">
        <v>0.0</v>
      </c>
      <c r="M95" s="1">
        <v>2.0</v>
      </c>
    </row>
    <row r="96">
      <c r="A96" s="2" t="s">
        <v>758</v>
      </c>
      <c r="B96" s="1">
        <v>200.0</v>
      </c>
      <c r="C96" s="1" t="s">
        <v>759</v>
      </c>
      <c r="D96" s="1" t="s">
        <v>583</v>
      </c>
      <c r="F96" s="1">
        <v>8.0</v>
      </c>
      <c r="G96" s="1">
        <v>12.0</v>
      </c>
      <c r="H96" s="1">
        <v>5.0</v>
      </c>
      <c r="I96" s="1">
        <v>0.63</v>
      </c>
      <c r="J96" s="1">
        <v>0.0</v>
      </c>
      <c r="K96" s="1">
        <v>37.0</v>
      </c>
      <c r="L96" s="1">
        <v>0.0</v>
      </c>
      <c r="M96" s="1">
        <v>8.0</v>
      </c>
    </row>
    <row r="97">
      <c r="A97" s="2" t="s">
        <v>760</v>
      </c>
      <c r="B97" s="1">
        <v>200.0</v>
      </c>
      <c r="C97" s="1" t="s">
        <v>761</v>
      </c>
      <c r="D97" s="1" t="s">
        <v>583</v>
      </c>
      <c r="F97" s="1">
        <v>3.0</v>
      </c>
      <c r="G97" s="1">
        <v>3.0</v>
      </c>
      <c r="H97" s="1">
        <v>0.0</v>
      </c>
      <c r="I97" s="1">
        <v>0.0</v>
      </c>
      <c r="J97" s="1">
        <v>0.0</v>
      </c>
      <c r="K97" s="1">
        <v>9.0</v>
      </c>
      <c r="L97" s="1">
        <v>0.0</v>
      </c>
      <c r="M97" s="1">
        <v>3.0</v>
      </c>
    </row>
    <row r="98">
      <c r="A98" s="2" t="s">
        <v>762</v>
      </c>
      <c r="B98" s="1">
        <v>200.0</v>
      </c>
      <c r="C98" s="1" t="s">
        <v>763</v>
      </c>
      <c r="D98" s="1" t="s">
        <v>583</v>
      </c>
      <c r="F98" s="1">
        <v>5.0</v>
      </c>
      <c r="G98" s="1">
        <v>5.0</v>
      </c>
      <c r="H98" s="1">
        <v>1.0</v>
      </c>
      <c r="I98" s="1">
        <v>0.2</v>
      </c>
      <c r="J98" s="1">
        <v>0.0</v>
      </c>
      <c r="K98" s="1">
        <v>17.0</v>
      </c>
      <c r="L98" s="1">
        <v>0.0</v>
      </c>
      <c r="M98" s="1">
        <v>3.0</v>
      </c>
    </row>
    <row r="99">
      <c r="A99" s="2" t="s">
        <v>764</v>
      </c>
      <c r="B99" s="1">
        <v>200.0</v>
      </c>
      <c r="C99" s="1" t="s">
        <v>765</v>
      </c>
      <c r="D99" s="1" t="s">
        <v>583</v>
      </c>
      <c r="F99" s="1">
        <v>2.0</v>
      </c>
      <c r="G99" s="1">
        <v>4.0</v>
      </c>
      <c r="H99" s="1">
        <v>1.0</v>
      </c>
      <c r="I99" s="1">
        <v>0.5</v>
      </c>
      <c r="J99" s="1">
        <v>1.0</v>
      </c>
      <c r="K99" s="1">
        <v>16.0</v>
      </c>
      <c r="L99" s="1">
        <v>0.0</v>
      </c>
      <c r="M99" s="1">
        <v>2.0</v>
      </c>
    </row>
    <row r="100">
      <c r="A100" s="2" t="s">
        <v>766</v>
      </c>
      <c r="B100" s="1">
        <v>200.0</v>
      </c>
      <c r="C100" s="1" t="s">
        <v>767</v>
      </c>
      <c r="D100" s="1" t="s">
        <v>583</v>
      </c>
      <c r="F100" s="1">
        <v>1.0</v>
      </c>
      <c r="G100" s="1">
        <v>1.0</v>
      </c>
      <c r="H100" s="1">
        <v>0.0</v>
      </c>
      <c r="I100" s="1">
        <v>0.0</v>
      </c>
      <c r="J100" s="1">
        <v>0.0</v>
      </c>
      <c r="K100" s="1">
        <v>3.0</v>
      </c>
      <c r="L100" s="1">
        <v>0.0</v>
      </c>
      <c r="M100" s="1">
        <v>1.0</v>
      </c>
    </row>
    <row r="101">
      <c r="A101" s="2" t="s">
        <v>768</v>
      </c>
      <c r="B101" s="1">
        <v>200.0</v>
      </c>
      <c r="C101" s="1" t="s">
        <v>769</v>
      </c>
      <c r="D101" s="1" t="s">
        <v>583</v>
      </c>
      <c r="F101" s="1">
        <v>2.0</v>
      </c>
      <c r="G101" s="1">
        <v>2.0</v>
      </c>
      <c r="H101" s="1">
        <v>0.0</v>
      </c>
      <c r="I101" s="1">
        <v>0.0</v>
      </c>
      <c r="J101" s="1">
        <v>0.0</v>
      </c>
      <c r="K101" s="1">
        <v>9.0</v>
      </c>
      <c r="L101" s="1">
        <v>0.0</v>
      </c>
      <c r="M101" s="1">
        <v>2.0</v>
      </c>
    </row>
    <row r="102">
      <c r="A102" s="2" t="s">
        <v>770</v>
      </c>
      <c r="B102" s="1">
        <v>200.0</v>
      </c>
      <c r="C102" s="1" t="s">
        <v>771</v>
      </c>
      <c r="D102" s="1" t="s">
        <v>583</v>
      </c>
      <c r="F102" s="1">
        <v>10.0</v>
      </c>
      <c r="G102" s="1">
        <v>10.0</v>
      </c>
      <c r="H102" s="1">
        <v>8.0</v>
      </c>
      <c r="I102" s="1">
        <v>0.8</v>
      </c>
      <c r="J102" s="1">
        <v>2.0</v>
      </c>
      <c r="K102" s="1">
        <v>56.0</v>
      </c>
      <c r="L102" s="1">
        <v>0.0</v>
      </c>
      <c r="M102" s="1">
        <v>10.0</v>
      </c>
    </row>
    <row r="103">
      <c r="A103" s="2" t="s">
        <v>772</v>
      </c>
      <c r="B103" s="1">
        <v>200.0</v>
      </c>
      <c r="C103" s="1" t="s">
        <v>773</v>
      </c>
      <c r="D103" s="1" t="s">
        <v>583</v>
      </c>
    </row>
    <row r="104">
      <c r="A104" s="2" t="s">
        <v>774</v>
      </c>
      <c r="B104" s="1">
        <v>200.0</v>
      </c>
      <c r="C104" s="1" t="s">
        <v>775</v>
      </c>
      <c r="D104" s="1" t="s">
        <v>583</v>
      </c>
      <c r="F104" s="1">
        <v>5.0</v>
      </c>
      <c r="G104" s="1">
        <v>6.0</v>
      </c>
      <c r="H104" s="1">
        <v>2.0</v>
      </c>
      <c r="I104" s="1">
        <v>0.4</v>
      </c>
      <c r="J104" s="1">
        <v>0.0</v>
      </c>
      <c r="K104" s="1">
        <v>19.0</v>
      </c>
      <c r="L104" s="1">
        <v>0.0</v>
      </c>
      <c r="M104" s="1">
        <v>4.0</v>
      </c>
    </row>
    <row r="105">
      <c r="A105" s="2" t="s">
        <v>776</v>
      </c>
      <c r="B105" s="1">
        <v>200.0</v>
      </c>
      <c r="C105" s="1" t="s">
        <v>777</v>
      </c>
      <c r="D105" s="1" t="s">
        <v>583</v>
      </c>
      <c r="F105" s="1">
        <v>2.0</v>
      </c>
      <c r="G105" s="1">
        <v>2.0</v>
      </c>
      <c r="H105" s="1">
        <v>1.0</v>
      </c>
      <c r="I105" s="1">
        <v>0.5</v>
      </c>
      <c r="J105" s="1">
        <v>0.0</v>
      </c>
      <c r="K105" s="1">
        <v>7.0</v>
      </c>
      <c r="L105" s="1">
        <v>0.0</v>
      </c>
      <c r="M105" s="1">
        <v>2.0</v>
      </c>
    </row>
    <row r="106">
      <c r="A106" s="2" t="s">
        <v>778</v>
      </c>
      <c r="B106" s="1">
        <v>200.0</v>
      </c>
      <c r="C106" s="1" t="s">
        <v>779</v>
      </c>
      <c r="D106" s="1" t="s">
        <v>583</v>
      </c>
      <c r="F106" s="1">
        <v>2.0</v>
      </c>
      <c r="G106" s="1">
        <v>2.0</v>
      </c>
      <c r="H106" s="1">
        <v>0.0</v>
      </c>
      <c r="I106" s="1">
        <v>0.0</v>
      </c>
      <c r="J106" s="1">
        <v>0.0</v>
      </c>
      <c r="K106" s="1">
        <v>6.0</v>
      </c>
      <c r="L106" s="1">
        <v>0.0</v>
      </c>
      <c r="M106" s="1">
        <v>2.0</v>
      </c>
    </row>
    <row r="107">
      <c r="A107" s="2" t="s">
        <v>780</v>
      </c>
      <c r="B107" s="1">
        <v>200.0</v>
      </c>
      <c r="C107" s="1" t="s">
        <v>781</v>
      </c>
      <c r="D107" s="1" t="s">
        <v>583</v>
      </c>
      <c r="F107" s="1">
        <v>3.0</v>
      </c>
      <c r="G107" s="1">
        <v>4.0</v>
      </c>
      <c r="H107" s="1">
        <v>2.0</v>
      </c>
      <c r="I107" s="1">
        <v>0.67</v>
      </c>
      <c r="J107" s="1">
        <v>2.0</v>
      </c>
      <c r="K107" s="1">
        <v>21.0</v>
      </c>
      <c r="L107" s="1">
        <v>0.0</v>
      </c>
      <c r="M107" s="1">
        <v>3.0</v>
      </c>
    </row>
    <row r="108">
      <c r="A108" s="2" t="s">
        <v>782</v>
      </c>
      <c r="B108" s="1">
        <v>200.0</v>
      </c>
      <c r="C108" s="1" t="s">
        <v>783</v>
      </c>
      <c r="D108" s="1" t="s">
        <v>583</v>
      </c>
      <c r="F108" s="1">
        <v>1.0</v>
      </c>
      <c r="G108" s="1">
        <v>1.0</v>
      </c>
      <c r="H108" s="1">
        <v>0.0</v>
      </c>
      <c r="I108" s="1">
        <v>0.0</v>
      </c>
      <c r="J108" s="1">
        <v>0.0</v>
      </c>
      <c r="K108" s="1">
        <v>3.0</v>
      </c>
      <c r="L108" s="1">
        <v>0.0</v>
      </c>
      <c r="M108" s="1">
        <v>1.0</v>
      </c>
    </row>
    <row r="109">
      <c r="A109" s="2" t="s">
        <v>784</v>
      </c>
      <c r="B109" s="1">
        <v>200.0</v>
      </c>
      <c r="C109" s="1" t="s">
        <v>785</v>
      </c>
      <c r="D109" s="1" t="s">
        <v>583</v>
      </c>
      <c r="F109" s="1">
        <v>1.0</v>
      </c>
      <c r="G109" s="1">
        <v>1.0</v>
      </c>
      <c r="H109" s="1">
        <v>0.0</v>
      </c>
      <c r="I109" s="1">
        <v>0.0</v>
      </c>
      <c r="J109" s="1">
        <v>0.0</v>
      </c>
      <c r="K109" s="1">
        <v>4.0</v>
      </c>
      <c r="L109" s="1">
        <v>0.0</v>
      </c>
      <c r="M109" s="1">
        <v>1.0</v>
      </c>
    </row>
    <row r="110">
      <c r="A110" s="2" t="s">
        <v>786</v>
      </c>
      <c r="B110" s="1">
        <v>200.0</v>
      </c>
      <c r="C110" s="1" t="s">
        <v>787</v>
      </c>
      <c r="D110" s="1" t="s">
        <v>583</v>
      </c>
      <c r="F110" s="1">
        <v>1.0</v>
      </c>
      <c r="G110" s="1">
        <v>1.0</v>
      </c>
      <c r="H110" s="1">
        <v>0.0</v>
      </c>
      <c r="I110" s="1">
        <v>0.0</v>
      </c>
      <c r="J110" s="1">
        <v>0.0</v>
      </c>
      <c r="K110" s="1">
        <v>3.0</v>
      </c>
      <c r="L110" s="1">
        <v>0.0</v>
      </c>
      <c r="M110" s="1">
        <v>1.0</v>
      </c>
    </row>
    <row r="111">
      <c r="A111" s="2" t="s">
        <v>788</v>
      </c>
      <c r="B111" s="1">
        <v>200.0</v>
      </c>
      <c r="C111" s="1" t="s">
        <v>789</v>
      </c>
      <c r="D111" s="1" t="s">
        <v>583</v>
      </c>
      <c r="F111" s="1">
        <v>1.0</v>
      </c>
      <c r="G111" s="1">
        <v>1.0</v>
      </c>
      <c r="H111" s="1">
        <v>0.0</v>
      </c>
      <c r="I111" s="1">
        <v>0.0</v>
      </c>
      <c r="J111" s="1">
        <v>0.0</v>
      </c>
      <c r="K111" s="1">
        <v>3.0</v>
      </c>
      <c r="L111" s="1">
        <v>0.0</v>
      </c>
      <c r="M111" s="1">
        <v>1.0</v>
      </c>
    </row>
    <row r="112">
      <c r="A112" s="2" t="s">
        <v>790</v>
      </c>
      <c r="B112" s="1">
        <v>200.0</v>
      </c>
      <c r="C112" s="1" t="s">
        <v>791</v>
      </c>
      <c r="D112" s="1" t="s">
        <v>583</v>
      </c>
      <c r="F112" s="1">
        <v>1.0</v>
      </c>
      <c r="G112" s="1">
        <v>1.0</v>
      </c>
      <c r="H112" s="1">
        <v>0.0</v>
      </c>
      <c r="I112" s="1">
        <v>0.0</v>
      </c>
      <c r="J112" s="1">
        <v>0.0</v>
      </c>
      <c r="K112" s="1">
        <v>3.0</v>
      </c>
      <c r="L112" s="1">
        <v>0.0</v>
      </c>
      <c r="M112" s="1">
        <v>1.0</v>
      </c>
    </row>
    <row r="113">
      <c r="A113" s="2" t="s">
        <v>792</v>
      </c>
      <c r="B113" s="1">
        <v>200.0</v>
      </c>
      <c r="C113" s="1" t="s">
        <v>793</v>
      </c>
      <c r="D113" s="1" t="s">
        <v>583</v>
      </c>
      <c r="F113" s="1">
        <v>4.0</v>
      </c>
      <c r="G113" s="1">
        <v>4.0</v>
      </c>
      <c r="H113" s="1">
        <v>1.0</v>
      </c>
      <c r="I113" s="1">
        <v>0.25</v>
      </c>
      <c r="J113" s="1">
        <v>0.0</v>
      </c>
      <c r="K113" s="1">
        <v>31.0</v>
      </c>
      <c r="L113" s="1">
        <v>0.0</v>
      </c>
      <c r="M113" s="1">
        <v>3.0</v>
      </c>
    </row>
    <row r="114">
      <c r="A114" s="2" t="s">
        <v>794</v>
      </c>
      <c r="B114" s="1">
        <v>200.0</v>
      </c>
      <c r="C114" s="1" t="s">
        <v>795</v>
      </c>
      <c r="D114" s="1" t="s">
        <v>583</v>
      </c>
      <c r="F114" s="1">
        <v>4.0</v>
      </c>
      <c r="G114" s="1">
        <v>4.0</v>
      </c>
      <c r="H114" s="1">
        <v>1.0</v>
      </c>
      <c r="I114" s="1">
        <v>0.25</v>
      </c>
      <c r="J114" s="1">
        <v>0.0</v>
      </c>
      <c r="K114" s="1">
        <v>29.0</v>
      </c>
      <c r="L114" s="1">
        <v>0.0</v>
      </c>
      <c r="M114" s="1">
        <v>4.0</v>
      </c>
    </row>
    <row r="115">
      <c r="A115" s="2" t="s">
        <v>796</v>
      </c>
      <c r="B115" s="1">
        <v>200.0</v>
      </c>
      <c r="C115" s="1" t="s">
        <v>797</v>
      </c>
      <c r="D115" s="1" t="s">
        <v>583</v>
      </c>
      <c r="F115" s="1">
        <v>1.0</v>
      </c>
      <c r="G115" s="1">
        <v>1.0</v>
      </c>
      <c r="H115" s="1">
        <v>0.0</v>
      </c>
      <c r="I115" s="1">
        <v>0.0</v>
      </c>
      <c r="J115" s="1">
        <v>0.0</v>
      </c>
      <c r="K115" s="1">
        <v>3.0</v>
      </c>
      <c r="L115" s="1">
        <v>0.0</v>
      </c>
      <c r="M115" s="1">
        <v>1.0</v>
      </c>
    </row>
    <row r="116">
      <c r="A116" s="2" t="s">
        <v>798</v>
      </c>
      <c r="B116" s="1">
        <v>200.0</v>
      </c>
      <c r="C116" s="1" t="s">
        <v>799</v>
      </c>
      <c r="D116" s="1" t="s">
        <v>583</v>
      </c>
      <c r="F116" s="1">
        <v>6.0</v>
      </c>
      <c r="G116" s="1">
        <v>6.0</v>
      </c>
      <c r="H116" s="1">
        <v>3.0</v>
      </c>
      <c r="I116" s="1">
        <v>0.5</v>
      </c>
      <c r="J116" s="1">
        <v>0.0</v>
      </c>
      <c r="K116" s="1">
        <v>23.0</v>
      </c>
      <c r="L116" s="1">
        <v>0.0</v>
      </c>
      <c r="M116" s="1">
        <v>6.0</v>
      </c>
    </row>
    <row r="117">
      <c r="A117" s="2" t="s">
        <v>800</v>
      </c>
      <c r="B117" s="1">
        <v>200.0</v>
      </c>
      <c r="C117" s="1" t="s">
        <v>801</v>
      </c>
      <c r="D117" s="1" t="s">
        <v>583</v>
      </c>
      <c r="F117" s="1">
        <v>4.0</v>
      </c>
      <c r="G117" s="1">
        <v>5.0</v>
      </c>
      <c r="H117" s="1">
        <v>2.0</v>
      </c>
      <c r="I117" s="1">
        <v>0.5</v>
      </c>
      <c r="J117" s="1">
        <v>1.0</v>
      </c>
      <c r="K117" s="1">
        <v>20.0</v>
      </c>
      <c r="L117" s="1">
        <v>0.0</v>
      </c>
      <c r="M117" s="1">
        <v>4.0</v>
      </c>
    </row>
    <row r="118">
      <c r="A118" s="2" t="s">
        <v>802</v>
      </c>
      <c r="B118" s="1">
        <v>200.0</v>
      </c>
      <c r="C118" s="1" t="s">
        <v>637</v>
      </c>
      <c r="D118" s="1" t="s">
        <v>609</v>
      </c>
      <c r="E118" s="1" t="s">
        <v>631</v>
      </c>
      <c r="F118" s="1">
        <v>1.0</v>
      </c>
      <c r="G118" s="1">
        <v>1.0</v>
      </c>
      <c r="H118" s="1">
        <v>0.0</v>
      </c>
      <c r="I118" s="1">
        <v>0.0</v>
      </c>
      <c r="J118" s="1">
        <v>0.0</v>
      </c>
      <c r="K118" s="1">
        <v>17.0</v>
      </c>
      <c r="L118" s="1">
        <v>0.0</v>
      </c>
      <c r="M118" s="1">
        <v>1.0</v>
      </c>
    </row>
    <row r="119">
      <c r="A119" s="2" t="s">
        <v>803</v>
      </c>
      <c r="B119" s="1">
        <v>301.0</v>
      </c>
      <c r="D119" s="1" t="s">
        <v>609</v>
      </c>
      <c r="E119" s="1" t="s">
        <v>610</v>
      </c>
      <c r="F119" s="1">
        <v>4.0</v>
      </c>
      <c r="G119" s="1">
        <v>11.0</v>
      </c>
      <c r="H119" s="1">
        <v>3.0</v>
      </c>
      <c r="I119" s="1">
        <v>0.75</v>
      </c>
      <c r="J119" s="1">
        <v>0.0</v>
      </c>
      <c r="K119" s="1">
        <v>29.0</v>
      </c>
      <c r="L119" s="1">
        <v>0.0</v>
      </c>
      <c r="M119" s="1">
        <v>2.0</v>
      </c>
    </row>
    <row r="120">
      <c r="A120" s="2" t="s">
        <v>804</v>
      </c>
      <c r="B120" s="1">
        <v>200.0</v>
      </c>
      <c r="C120" s="1" t="s">
        <v>805</v>
      </c>
      <c r="D120" s="1" t="s">
        <v>583</v>
      </c>
      <c r="F120" s="1">
        <v>1.0</v>
      </c>
      <c r="G120" s="1">
        <v>1.0</v>
      </c>
      <c r="H120" s="1">
        <v>0.0</v>
      </c>
      <c r="I120" s="1">
        <v>0.0</v>
      </c>
      <c r="J120" s="1">
        <v>0.0</v>
      </c>
      <c r="K120" s="1">
        <v>3.0</v>
      </c>
      <c r="L120" s="1">
        <v>0.0</v>
      </c>
      <c r="M120" s="1">
        <v>1.0</v>
      </c>
    </row>
    <row r="121">
      <c r="A121" s="2" t="s">
        <v>806</v>
      </c>
      <c r="B121" s="1">
        <v>200.0</v>
      </c>
      <c r="C121" s="1" t="s">
        <v>807</v>
      </c>
      <c r="D121" s="1" t="s">
        <v>583</v>
      </c>
      <c r="F121" s="1">
        <v>1.0</v>
      </c>
      <c r="G121" s="1">
        <v>2.0</v>
      </c>
      <c r="H121" s="1">
        <v>1.0</v>
      </c>
      <c r="I121" s="1">
        <v>1.0</v>
      </c>
      <c r="J121" s="1">
        <v>0.0</v>
      </c>
      <c r="K121" s="1">
        <v>6.0</v>
      </c>
      <c r="L121" s="1">
        <v>0.0</v>
      </c>
      <c r="M121" s="1">
        <v>1.0</v>
      </c>
    </row>
    <row r="122">
      <c r="A122" s="2" t="s">
        <v>808</v>
      </c>
      <c r="B122" s="1">
        <v>200.0</v>
      </c>
      <c r="C122" s="1" t="s">
        <v>809</v>
      </c>
      <c r="D122" s="1" t="s">
        <v>583</v>
      </c>
      <c r="F122" s="1">
        <v>1.0</v>
      </c>
      <c r="G122" s="1">
        <v>1.0</v>
      </c>
      <c r="H122" s="1">
        <v>0.0</v>
      </c>
      <c r="I122" s="1">
        <v>0.0</v>
      </c>
      <c r="J122" s="1">
        <v>0.0</v>
      </c>
      <c r="K122" s="1">
        <v>3.0</v>
      </c>
      <c r="L122" s="1">
        <v>0.0</v>
      </c>
      <c r="M122" s="1">
        <v>1.0</v>
      </c>
    </row>
    <row r="123">
      <c r="A123" s="2" t="s">
        <v>810</v>
      </c>
      <c r="B123" s="1">
        <v>200.0</v>
      </c>
      <c r="C123" s="1" t="s">
        <v>811</v>
      </c>
      <c r="D123" s="1" t="s">
        <v>583</v>
      </c>
      <c r="F123" s="1">
        <v>3.0</v>
      </c>
      <c r="G123" s="1">
        <v>7.0</v>
      </c>
      <c r="H123" s="1">
        <v>3.0</v>
      </c>
      <c r="I123" s="1">
        <v>1.0</v>
      </c>
      <c r="J123" s="1">
        <v>1.0</v>
      </c>
      <c r="K123" s="1">
        <v>25.0</v>
      </c>
      <c r="L123" s="1">
        <v>0.0</v>
      </c>
      <c r="M123" s="1">
        <v>3.0</v>
      </c>
    </row>
    <row r="124">
      <c r="A124" s="2" t="s">
        <v>812</v>
      </c>
      <c r="B124" s="1">
        <v>301.0</v>
      </c>
      <c r="D124" s="1" t="s">
        <v>609</v>
      </c>
      <c r="E124" s="1" t="s">
        <v>610</v>
      </c>
    </row>
    <row r="125">
      <c r="A125" s="2" t="s">
        <v>813</v>
      </c>
      <c r="B125" s="1">
        <v>301.0</v>
      </c>
      <c r="D125" s="1" t="s">
        <v>609</v>
      </c>
      <c r="E125" s="1" t="s">
        <v>610</v>
      </c>
    </row>
    <row r="126">
      <c r="A126" s="2" t="s">
        <v>814</v>
      </c>
      <c r="B126" s="1">
        <v>200.0</v>
      </c>
      <c r="C126" s="1" t="s">
        <v>815</v>
      </c>
      <c r="D126" s="1" t="s">
        <v>583</v>
      </c>
    </row>
    <row r="127">
      <c r="A127" s="2" t="s">
        <v>816</v>
      </c>
      <c r="B127" s="1">
        <v>200.0</v>
      </c>
      <c r="C127" s="1" t="s">
        <v>817</v>
      </c>
      <c r="D127" s="1" t="s">
        <v>583</v>
      </c>
    </row>
    <row r="128">
      <c r="A128" s="2" t="s">
        <v>818</v>
      </c>
      <c r="B128" s="1">
        <v>200.0</v>
      </c>
      <c r="C128" s="1" t="s">
        <v>819</v>
      </c>
      <c r="D128" s="1" t="s">
        <v>583</v>
      </c>
      <c r="F128" s="1">
        <v>3.0</v>
      </c>
      <c r="G128" s="1">
        <v>3.0</v>
      </c>
      <c r="H128" s="1">
        <v>0.0</v>
      </c>
      <c r="I128" s="1">
        <v>0.0</v>
      </c>
      <c r="J128" s="1">
        <v>0.0</v>
      </c>
      <c r="K128" s="1">
        <v>24.0</v>
      </c>
      <c r="L128" s="1">
        <v>0.0</v>
      </c>
      <c r="M128" s="1">
        <v>2.0</v>
      </c>
    </row>
    <row r="129">
      <c r="A129" s="2" t="s">
        <v>820</v>
      </c>
      <c r="B129" s="1">
        <v>200.0</v>
      </c>
      <c r="C129" s="1" t="s">
        <v>821</v>
      </c>
      <c r="D129" s="1" t="s">
        <v>583</v>
      </c>
      <c r="F129" s="1">
        <v>1.0</v>
      </c>
      <c r="G129" s="1">
        <v>14.0</v>
      </c>
      <c r="H129" s="1">
        <v>1.0</v>
      </c>
      <c r="I129" s="1">
        <v>1.0</v>
      </c>
      <c r="J129" s="1">
        <v>0.0</v>
      </c>
      <c r="K129" s="1">
        <v>25.0</v>
      </c>
      <c r="L129" s="1">
        <v>0.0</v>
      </c>
      <c r="M129" s="1">
        <v>0.0</v>
      </c>
    </row>
    <row r="130">
      <c r="A130" s="2" t="s">
        <v>822</v>
      </c>
      <c r="B130" s="1">
        <v>200.0</v>
      </c>
      <c r="C130" s="1" t="s">
        <v>823</v>
      </c>
      <c r="D130" s="1" t="s">
        <v>583</v>
      </c>
    </row>
    <row r="131">
      <c r="A131" s="2" t="s">
        <v>824</v>
      </c>
      <c r="B131" s="1">
        <v>200.0</v>
      </c>
      <c r="C131" s="1" t="s">
        <v>825</v>
      </c>
      <c r="D131" s="1" t="s">
        <v>583</v>
      </c>
    </row>
    <row r="132">
      <c r="A132" s="2" t="s">
        <v>826</v>
      </c>
      <c r="B132" s="1">
        <v>200.0</v>
      </c>
      <c r="C132" s="1" t="s">
        <v>827</v>
      </c>
      <c r="D132" s="1" t="s">
        <v>583</v>
      </c>
      <c r="F132" s="1">
        <v>1.0</v>
      </c>
      <c r="G132" s="1">
        <v>1.0</v>
      </c>
      <c r="H132" s="1">
        <v>0.0</v>
      </c>
      <c r="I132" s="1">
        <v>0.0</v>
      </c>
      <c r="J132" s="1">
        <v>0.0</v>
      </c>
      <c r="K132" s="1">
        <v>18.0</v>
      </c>
      <c r="L132" s="1">
        <v>0.0</v>
      </c>
      <c r="M132" s="1">
        <v>1.0</v>
      </c>
    </row>
    <row r="133">
      <c r="A133" s="2" t="s">
        <v>828</v>
      </c>
      <c r="B133" s="1">
        <v>200.0</v>
      </c>
      <c r="C133" s="1" t="s">
        <v>829</v>
      </c>
      <c r="D133" s="1" t="s">
        <v>583</v>
      </c>
    </row>
    <row r="134">
      <c r="A134" s="2" t="s">
        <v>830</v>
      </c>
      <c r="B134" s="1">
        <v>301.0</v>
      </c>
      <c r="D134" s="1" t="s">
        <v>609</v>
      </c>
      <c r="E134" s="1" t="s">
        <v>610</v>
      </c>
      <c r="F134" s="1">
        <v>1.0</v>
      </c>
      <c r="G134" s="1">
        <v>1.0</v>
      </c>
      <c r="H134" s="1">
        <v>0.0</v>
      </c>
      <c r="I134" s="1">
        <v>0.0</v>
      </c>
      <c r="J134" s="1">
        <v>0.0</v>
      </c>
      <c r="K134" s="1">
        <v>17.0</v>
      </c>
      <c r="L134" s="1">
        <v>0.0</v>
      </c>
      <c r="M134" s="1">
        <v>1.0</v>
      </c>
    </row>
    <row r="135">
      <c r="A135" s="2" t="s">
        <v>831</v>
      </c>
      <c r="B135" s="1">
        <v>200.0</v>
      </c>
      <c r="C135" s="1" t="s">
        <v>832</v>
      </c>
      <c r="D135" s="1" t="s">
        <v>583</v>
      </c>
    </row>
    <row r="136">
      <c r="A136" s="2" t="s">
        <v>833</v>
      </c>
      <c r="B136" s="1">
        <v>200.0</v>
      </c>
      <c r="C136" s="1" t="s">
        <v>834</v>
      </c>
      <c r="D136" s="1" t="s">
        <v>583</v>
      </c>
    </row>
    <row r="137">
      <c r="A137" s="2" t="s">
        <v>835</v>
      </c>
      <c r="B137" s="1">
        <v>200.0</v>
      </c>
      <c r="C137" s="1" t="s">
        <v>836</v>
      </c>
      <c r="D137" s="1" t="s">
        <v>583</v>
      </c>
      <c r="F137" s="1">
        <v>2.0</v>
      </c>
      <c r="G137" s="1">
        <v>2.0</v>
      </c>
      <c r="H137" s="1">
        <v>2.0</v>
      </c>
      <c r="I137" s="1">
        <v>1.0</v>
      </c>
      <c r="J137" s="1">
        <v>0.0</v>
      </c>
      <c r="K137" s="1">
        <v>8.0</v>
      </c>
      <c r="L137" s="1">
        <v>0.0</v>
      </c>
      <c r="M137" s="1">
        <v>2.0</v>
      </c>
    </row>
    <row r="138">
      <c r="A138" s="2" t="s">
        <v>837</v>
      </c>
      <c r="B138" s="1">
        <v>200.0</v>
      </c>
      <c r="C138" s="1" t="s">
        <v>838</v>
      </c>
      <c r="D138" s="1" t="s">
        <v>583</v>
      </c>
      <c r="F138" s="1">
        <v>2.0</v>
      </c>
      <c r="G138" s="1">
        <v>2.0</v>
      </c>
      <c r="H138" s="1">
        <v>1.0</v>
      </c>
      <c r="I138" s="1">
        <v>0.5</v>
      </c>
      <c r="J138" s="1">
        <v>0.0</v>
      </c>
      <c r="K138" s="1">
        <v>38.0</v>
      </c>
      <c r="L138" s="1">
        <v>0.0</v>
      </c>
      <c r="M138" s="1">
        <v>2.0</v>
      </c>
    </row>
    <row r="139">
      <c r="A139" s="2" t="s">
        <v>839</v>
      </c>
      <c r="B139" s="1">
        <v>200.0</v>
      </c>
      <c r="C139" s="1" t="s">
        <v>840</v>
      </c>
      <c r="D139" s="1" t="s">
        <v>583</v>
      </c>
      <c r="F139" s="1">
        <v>2.0</v>
      </c>
      <c r="G139" s="1">
        <v>4.0</v>
      </c>
      <c r="H139" s="1">
        <v>2.0</v>
      </c>
      <c r="I139" s="1">
        <v>1.0</v>
      </c>
      <c r="J139" s="1">
        <v>0.0</v>
      </c>
      <c r="K139" s="1">
        <v>13.0</v>
      </c>
      <c r="L139" s="1">
        <v>0.0</v>
      </c>
      <c r="M139" s="1">
        <v>2.0</v>
      </c>
    </row>
    <row r="140">
      <c r="A140" s="2" t="s">
        <v>841</v>
      </c>
      <c r="B140" s="1">
        <v>200.0</v>
      </c>
      <c r="C140" s="1" t="s">
        <v>842</v>
      </c>
      <c r="D140" s="1" t="s">
        <v>583</v>
      </c>
    </row>
    <row r="141">
      <c r="A141" s="2" t="s">
        <v>843</v>
      </c>
      <c r="B141" s="1">
        <v>200.0</v>
      </c>
      <c r="C141" s="1" t="s">
        <v>844</v>
      </c>
      <c r="D141" s="1" t="s">
        <v>583</v>
      </c>
      <c r="F141" s="1">
        <v>1.0</v>
      </c>
      <c r="G141" s="1">
        <v>1.0</v>
      </c>
      <c r="H141" s="1">
        <v>0.0</v>
      </c>
      <c r="I141" s="1">
        <v>0.0</v>
      </c>
      <c r="J141" s="1">
        <v>0.0</v>
      </c>
      <c r="K141" s="1">
        <v>5.0</v>
      </c>
      <c r="L141" s="1">
        <v>0.0</v>
      </c>
      <c r="M141" s="1">
        <v>1.0</v>
      </c>
    </row>
    <row r="142">
      <c r="A142" s="2" t="s">
        <v>845</v>
      </c>
      <c r="B142" s="1">
        <v>200.0</v>
      </c>
      <c r="C142" s="1" t="s">
        <v>846</v>
      </c>
      <c r="D142" s="1" t="s">
        <v>609</v>
      </c>
      <c r="E142" s="1" t="s">
        <v>631</v>
      </c>
    </row>
    <row r="143">
      <c r="A143" s="2" t="s">
        <v>847</v>
      </c>
      <c r="B143" s="1">
        <v>301.0</v>
      </c>
      <c r="D143" s="1" t="s">
        <v>609</v>
      </c>
      <c r="E143" s="1" t="s">
        <v>610</v>
      </c>
    </row>
    <row r="144">
      <c r="A144" s="2" t="s">
        <v>848</v>
      </c>
      <c r="B144" s="1">
        <v>200.0</v>
      </c>
      <c r="C144" s="1" t="s">
        <v>849</v>
      </c>
      <c r="D144" s="1" t="s">
        <v>583</v>
      </c>
      <c r="F144" s="1">
        <v>12.0</v>
      </c>
      <c r="G144" s="1">
        <v>13.0</v>
      </c>
      <c r="H144" s="1">
        <v>7.0</v>
      </c>
      <c r="I144" s="1">
        <v>0.58</v>
      </c>
      <c r="J144" s="1">
        <v>0.0</v>
      </c>
      <c r="K144" s="1">
        <v>47.0</v>
      </c>
      <c r="L144" s="1">
        <v>0.0</v>
      </c>
      <c r="M144" s="1">
        <v>12.0</v>
      </c>
    </row>
    <row r="145">
      <c r="A145" s="2" t="s">
        <v>850</v>
      </c>
      <c r="B145" s="1">
        <v>200.0</v>
      </c>
      <c r="C145" s="1" t="s">
        <v>851</v>
      </c>
      <c r="D145" s="1" t="s">
        <v>583</v>
      </c>
      <c r="F145" s="1">
        <v>2.0</v>
      </c>
      <c r="G145" s="1">
        <v>2.0</v>
      </c>
      <c r="H145" s="1">
        <v>0.0</v>
      </c>
      <c r="I145" s="1">
        <v>0.0</v>
      </c>
      <c r="J145" s="1">
        <v>0.0</v>
      </c>
      <c r="K145" s="1">
        <v>6.0</v>
      </c>
      <c r="L145" s="1">
        <v>0.0</v>
      </c>
      <c r="M145" s="1">
        <v>2.0</v>
      </c>
    </row>
    <row r="146">
      <c r="A146" s="2" t="s">
        <v>852</v>
      </c>
      <c r="B146" s="1">
        <v>200.0</v>
      </c>
      <c r="C146" s="1" t="s">
        <v>853</v>
      </c>
      <c r="D146" s="1" t="s">
        <v>583</v>
      </c>
    </row>
    <row r="147">
      <c r="A147" s="2" t="s">
        <v>854</v>
      </c>
      <c r="B147" s="1">
        <v>200.0</v>
      </c>
      <c r="C147" s="1" t="s">
        <v>855</v>
      </c>
      <c r="D147" s="1" t="s">
        <v>609</v>
      </c>
      <c r="E147" s="1" t="s">
        <v>664</v>
      </c>
    </row>
    <row r="148">
      <c r="A148" s="2" t="s">
        <v>856</v>
      </c>
      <c r="B148" s="1">
        <v>200.0</v>
      </c>
      <c r="C148" s="1" t="s">
        <v>857</v>
      </c>
      <c r="D148" s="1" t="s">
        <v>583</v>
      </c>
      <c r="F148" s="1">
        <v>26.0</v>
      </c>
      <c r="G148" s="1">
        <v>30.0</v>
      </c>
      <c r="H148" s="1">
        <v>22.0</v>
      </c>
      <c r="I148" s="1">
        <v>0.85</v>
      </c>
      <c r="J148" s="1">
        <v>0.0</v>
      </c>
      <c r="K148" s="1">
        <v>111.0</v>
      </c>
      <c r="L148" s="1">
        <v>0.0</v>
      </c>
      <c r="M148" s="1">
        <v>26.0</v>
      </c>
    </row>
    <row r="149">
      <c r="A149" s="2" t="s">
        <v>858</v>
      </c>
      <c r="B149" s="1">
        <v>301.0</v>
      </c>
      <c r="D149" s="1" t="s">
        <v>609</v>
      </c>
      <c r="E149" s="1" t="s">
        <v>610</v>
      </c>
    </row>
    <row r="150">
      <c r="A150" s="2" t="s">
        <v>859</v>
      </c>
      <c r="B150" s="1">
        <v>301.0</v>
      </c>
      <c r="D150" s="1" t="s">
        <v>609</v>
      </c>
      <c r="E150" s="1" t="s">
        <v>610</v>
      </c>
    </row>
    <row r="151">
      <c r="A151" s="2" t="s">
        <v>860</v>
      </c>
      <c r="B151" s="1">
        <v>301.0</v>
      </c>
      <c r="D151" s="1" t="s">
        <v>609</v>
      </c>
      <c r="E151" s="1" t="s">
        <v>610</v>
      </c>
    </row>
    <row r="152">
      <c r="A152" s="2" t="s">
        <v>861</v>
      </c>
      <c r="B152" s="1">
        <v>200.0</v>
      </c>
      <c r="C152" s="1" t="s">
        <v>862</v>
      </c>
      <c r="D152" s="1" t="s">
        <v>583</v>
      </c>
      <c r="F152" s="1">
        <v>1.0</v>
      </c>
      <c r="G152" s="1">
        <v>1.0</v>
      </c>
      <c r="H152" s="1">
        <v>0.0</v>
      </c>
      <c r="I152" s="1">
        <v>0.0</v>
      </c>
      <c r="J152" s="1">
        <v>0.0</v>
      </c>
      <c r="K152" s="1">
        <v>4.0</v>
      </c>
      <c r="L152" s="1">
        <v>0.0</v>
      </c>
      <c r="M152" s="1">
        <v>1.0</v>
      </c>
    </row>
    <row r="153">
      <c r="A153" s="2" t="s">
        <v>863</v>
      </c>
      <c r="B153" s="1">
        <v>301.0</v>
      </c>
      <c r="D153" s="1" t="s">
        <v>609</v>
      </c>
      <c r="E153" s="1" t="s">
        <v>610</v>
      </c>
    </row>
    <row r="154">
      <c r="A154" s="2" t="s">
        <v>475</v>
      </c>
      <c r="B154" s="1">
        <v>200.0</v>
      </c>
      <c r="C154" s="1" t="s">
        <v>864</v>
      </c>
      <c r="D154" s="1" t="s">
        <v>583</v>
      </c>
      <c r="F154" s="1">
        <v>6.0</v>
      </c>
      <c r="G154" s="1">
        <v>8.0</v>
      </c>
      <c r="H154" s="1">
        <v>5.0</v>
      </c>
      <c r="I154" s="1">
        <v>0.83</v>
      </c>
      <c r="J154" s="1">
        <v>1.0</v>
      </c>
      <c r="K154" s="1">
        <v>26.0</v>
      </c>
      <c r="L154" s="1">
        <v>0.0</v>
      </c>
      <c r="M154" s="1">
        <v>6.0</v>
      </c>
    </row>
    <row r="155">
      <c r="A155" s="2" t="s">
        <v>865</v>
      </c>
      <c r="B155" s="1">
        <v>301.0</v>
      </c>
      <c r="D155" s="1" t="s">
        <v>609</v>
      </c>
      <c r="E155" s="1" t="s">
        <v>610</v>
      </c>
    </row>
    <row r="156">
      <c r="A156" s="2" t="s">
        <v>866</v>
      </c>
      <c r="B156" s="1">
        <v>301.0</v>
      </c>
      <c r="D156" s="1" t="s">
        <v>609</v>
      </c>
      <c r="E156" s="1" t="s">
        <v>610</v>
      </c>
    </row>
    <row r="157">
      <c r="A157" s="2" t="s">
        <v>867</v>
      </c>
      <c r="B157" s="1">
        <v>200.0</v>
      </c>
      <c r="C157" s="1" t="s">
        <v>868</v>
      </c>
      <c r="D157" s="1" t="s">
        <v>583</v>
      </c>
      <c r="F157" s="1">
        <v>2.0</v>
      </c>
      <c r="G157" s="1">
        <v>2.0</v>
      </c>
      <c r="H157" s="1">
        <v>2.0</v>
      </c>
      <c r="I157" s="1">
        <v>1.0</v>
      </c>
      <c r="J157" s="1">
        <v>0.0</v>
      </c>
      <c r="K157" s="1">
        <v>22.0</v>
      </c>
      <c r="L157" s="1">
        <v>0.0</v>
      </c>
      <c r="M157" s="1">
        <v>2.0</v>
      </c>
    </row>
    <row r="158">
      <c r="A158" s="2" t="s">
        <v>869</v>
      </c>
      <c r="B158" s="1">
        <v>301.0</v>
      </c>
      <c r="D158" s="1" t="s">
        <v>609</v>
      </c>
      <c r="E158" s="1" t="s">
        <v>610</v>
      </c>
    </row>
    <row r="159">
      <c r="A159" s="2" t="s">
        <v>471</v>
      </c>
      <c r="B159" s="1">
        <v>200.0</v>
      </c>
      <c r="C159" s="1" t="s">
        <v>870</v>
      </c>
      <c r="D159" s="1" t="s">
        <v>583</v>
      </c>
      <c r="F159" s="1">
        <v>1.0</v>
      </c>
      <c r="G159" s="1">
        <v>1.0</v>
      </c>
      <c r="H159" s="1">
        <v>0.0</v>
      </c>
      <c r="I159" s="1">
        <v>0.0</v>
      </c>
      <c r="J159" s="1">
        <v>0.0</v>
      </c>
      <c r="K159" s="1">
        <v>3.0</v>
      </c>
      <c r="L159" s="1">
        <v>0.0</v>
      </c>
      <c r="M159" s="1">
        <v>1.0</v>
      </c>
    </row>
    <row r="160">
      <c r="A160" s="2" t="s">
        <v>871</v>
      </c>
      <c r="B160" s="1">
        <v>301.0</v>
      </c>
      <c r="D160" s="1" t="s">
        <v>609</v>
      </c>
      <c r="E160" s="1" t="s">
        <v>610</v>
      </c>
    </row>
    <row r="161">
      <c r="A161" s="2" t="s">
        <v>872</v>
      </c>
      <c r="B161" s="1">
        <v>200.0</v>
      </c>
      <c r="C161" s="1" t="s">
        <v>686</v>
      </c>
      <c r="D161" s="1" t="s">
        <v>609</v>
      </c>
      <c r="E161" s="1" t="s">
        <v>631</v>
      </c>
    </row>
    <row r="162">
      <c r="A162" s="2" t="s">
        <v>543</v>
      </c>
      <c r="B162" s="1">
        <v>200.0</v>
      </c>
      <c r="C162" s="1" t="s">
        <v>873</v>
      </c>
      <c r="D162" s="1" t="s">
        <v>583</v>
      </c>
      <c r="F162" s="1">
        <v>2.0</v>
      </c>
      <c r="G162" s="1">
        <v>2.0</v>
      </c>
      <c r="H162" s="1">
        <v>0.0</v>
      </c>
      <c r="I162" s="1">
        <v>0.0</v>
      </c>
      <c r="J162" s="1">
        <v>0.0</v>
      </c>
      <c r="K162" s="1">
        <v>8.0</v>
      </c>
      <c r="L162" s="1">
        <v>0.0</v>
      </c>
      <c r="M162" s="1">
        <v>2.0</v>
      </c>
    </row>
    <row r="163">
      <c r="A163" s="2" t="s">
        <v>874</v>
      </c>
      <c r="B163" s="1">
        <v>301.0</v>
      </c>
      <c r="D163" s="1" t="s">
        <v>609</v>
      </c>
      <c r="E163" s="1" t="s">
        <v>610</v>
      </c>
    </row>
    <row r="164">
      <c r="A164" s="2" t="s">
        <v>875</v>
      </c>
      <c r="B164" s="1">
        <v>301.0</v>
      </c>
      <c r="D164" s="1" t="s">
        <v>609</v>
      </c>
      <c r="E164" s="1" t="s">
        <v>610</v>
      </c>
    </row>
    <row r="165">
      <c r="A165" s="2" t="s">
        <v>876</v>
      </c>
      <c r="B165" s="1">
        <v>301.0</v>
      </c>
      <c r="D165" s="1" t="s">
        <v>609</v>
      </c>
      <c r="E165" s="1" t="s">
        <v>610</v>
      </c>
    </row>
    <row r="166">
      <c r="A166" s="2" t="s">
        <v>877</v>
      </c>
      <c r="B166" s="1">
        <v>200.0</v>
      </c>
      <c r="C166" s="1" t="s">
        <v>878</v>
      </c>
      <c r="D166" s="1" t="s">
        <v>609</v>
      </c>
      <c r="E166" s="1" t="s">
        <v>664</v>
      </c>
      <c r="F166" s="1">
        <v>1.0</v>
      </c>
      <c r="G166" s="1">
        <v>1.0</v>
      </c>
      <c r="H166" s="1">
        <v>0.0</v>
      </c>
      <c r="I166" s="1">
        <v>0.0</v>
      </c>
      <c r="J166" s="1">
        <v>0.0</v>
      </c>
      <c r="K166" s="1">
        <v>5.0</v>
      </c>
      <c r="L166" s="1">
        <v>0.0</v>
      </c>
      <c r="M166" s="1">
        <v>1.0</v>
      </c>
    </row>
    <row r="167">
      <c r="A167" s="2" t="s">
        <v>879</v>
      </c>
      <c r="B167" s="1">
        <v>200.0</v>
      </c>
      <c r="C167" s="1" t="s">
        <v>880</v>
      </c>
      <c r="D167" s="1" t="s">
        <v>583</v>
      </c>
    </row>
    <row r="168">
      <c r="A168" s="2" t="s">
        <v>881</v>
      </c>
      <c r="B168" s="1">
        <v>301.0</v>
      </c>
      <c r="D168" s="1" t="s">
        <v>609</v>
      </c>
      <c r="E168" s="1" t="s">
        <v>610</v>
      </c>
    </row>
    <row r="169">
      <c r="A169" s="2" t="s">
        <v>882</v>
      </c>
      <c r="B169" s="1">
        <v>200.0</v>
      </c>
      <c r="C169" s="1" t="s">
        <v>883</v>
      </c>
      <c r="D169" s="1" t="s">
        <v>583</v>
      </c>
      <c r="F169" s="1">
        <v>1.0</v>
      </c>
      <c r="G169" s="1">
        <v>1.0</v>
      </c>
      <c r="H169" s="1">
        <v>0.0</v>
      </c>
      <c r="I169" s="1">
        <v>0.0</v>
      </c>
      <c r="J169" s="1">
        <v>0.0</v>
      </c>
      <c r="K169" s="1">
        <v>5.0</v>
      </c>
      <c r="L169" s="1">
        <v>0.0</v>
      </c>
      <c r="M169" s="1">
        <v>1.0</v>
      </c>
    </row>
    <row r="170">
      <c r="A170" s="2" t="s">
        <v>884</v>
      </c>
      <c r="B170" s="1">
        <v>301.0</v>
      </c>
      <c r="D170" s="1" t="s">
        <v>609</v>
      </c>
      <c r="E170" s="1" t="s">
        <v>610</v>
      </c>
    </row>
    <row r="171">
      <c r="A171" s="2" t="s">
        <v>885</v>
      </c>
      <c r="B171" s="1">
        <v>301.0</v>
      </c>
      <c r="D171" s="1" t="s">
        <v>609</v>
      </c>
      <c r="E171" s="1" t="s">
        <v>610</v>
      </c>
    </row>
    <row r="172">
      <c r="A172" s="2" t="s">
        <v>886</v>
      </c>
      <c r="B172" s="1">
        <v>301.0</v>
      </c>
      <c r="D172" s="1" t="s">
        <v>609</v>
      </c>
      <c r="E172" s="1" t="s">
        <v>610</v>
      </c>
    </row>
    <row r="173">
      <c r="A173" s="2" t="s">
        <v>531</v>
      </c>
      <c r="B173" s="1">
        <v>200.0</v>
      </c>
      <c r="C173" s="1" t="s">
        <v>887</v>
      </c>
      <c r="D173" s="1" t="s">
        <v>583</v>
      </c>
      <c r="F173" s="1">
        <v>2.0</v>
      </c>
      <c r="G173" s="1">
        <v>2.0</v>
      </c>
      <c r="H173" s="1">
        <v>0.0</v>
      </c>
      <c r="I173" s="1">
        <v>0.0</v>
      </c>
      <c r="J173" s="1">
        <v>0.0</v>
      </c>
      <c r="K173" s="1">
        <v>7.0</v>
      </c>
      <c r="L173" s="1">
        <v>0.0</v>
      </c>
      <c r="M173" s="1">
        <v>2.0</v>
      </c>
    </row>
    <row r="174">
      <c r="A174" s="2" t="s">
        <v>888</v>
      </c>
      <c r="B174" s="1">
        <v>200.0</v>
      </c>
      <c r="C174" s="1" t="s">
        <v>889</v>
      </c>
      <c r="D174" s="1" t="s">
        <v>583</v>
      </c>
      <c r="F174" s="1">
        <v>2.0</v>
      </c>
      <c r="G174" s="1">
        <v>2.0</v>
      </c>
      <c r="H174" s="1">
        <v>2.0</v>
      </c>
      <c r="I174" s="1">
        <v>1.0</v>
      </c>
      <c r="J174" s="1">
        <v>0.0</v>
      </c>
      <c r="K174" s="1">
        <v>8.0</v>
      </c>
      <c r="L174" s="1">
        <v>0.0</v>
      </c>
      <c r="M174" s="1">
        <v>2.0</v>
      </c>
    </row>
    <row r="175">
      <c r="A175" s="2" t="s">
        <v>890</v>
      </c>
      <c r="B175" s="1">
        <v>200.0</v>
      </c>
      <c r="C175" s="1" t="s">
        <v>891</v>
      </c>
      <c r="D175" s="1" t="s">
        <v>609</v>
      </c>
      <c r="E175" s="1" t="s">
        <v>631</v>
      </c>
      <c r="F175" s="1">
        <v>1.0</v>
      </c>
      <c r="G175" s="1">
        <v>1.0</v>
      </c>
      <c r="H175" s="1">
        <v>0.0</v>
      </c>
      <c r="I175" s="1">
        <v>0.0</v>
      </c>
      <c r="J175" s="1">
        <v>0.0</v>
      </c>
      <c r="K175" s="1">
        <v>3.0</v>
      </c>
      <c r="L175" s="1">
        <v>0.0</v>
      </c>
      <c r="M175" s="1">
        <v>1.0</v>
      </c>
    </row>
    <row r="176">
      <c r="A176" s="2" t="s">
        <v>892</v>
      </c>
      <c r="B176" s="1">
        <v>200.0</v>
      </c>
      <c r="C176" s="1" t="s">
        <v>893</v>
      </c>
      <c r="D176" s="1" t="s">
        <v>583</v>
      </c>
      <c r="F176" s="1">
        <v>1.0</v>
      </c>
      <c r="G176" s="1">
        <v>1.0</v>
      </c>
      <c r="H176" s="1">
        <v>1.0</v>
      </c>
      <c r="I176" s="1">
        <v>1.0</v>
      </c>
      <c r="J176" s="1">
        <v>0.0</v>
      </c>
      <c r="K176" s="1">
        <v>4.0</v>
      </c>
      <c r="L176" s="1">
        <v>0.0</v>
      </c>
      <c r="M176" s="1">
        <v>1.0</v>
      </c>
    </row>
    <row r="177">
      <c r="A177" s="2" t="s">
        <v>894</v>
      </c>
      <c r="B177" s="1">
        <v>301.0</v>
      </c>
      <c r="D177" s="1" t="s">
        <v>609</v>
      </c>
      <c r="E177" s="1" t="s">
        <v>610</v>
      </c>
    </row>
    <row r="178">
      <c r="A178" s="2" t="s">
        <v>895</v>
      </c>
      <c r="B178" s="1">
        <v>200.0</v>
      </c>
      <c r="C178" s="1" t="s">
        <v>896</v>
      </c>
      <c r="D178" s="1" t="s">
        <v>583</v>
      </c>
      <c r="F178" s="1">
        <v>2.0</v>
      </c>
      <c r="G178" s="1">
        <v>2.0</v>
      </c>
      <c r="H178" s="1">
        <v>1.0</v>
      </c>
      <c r="I178" s="1">
        <v>0.5</v>
      </c>
      <c r="J178" s="1">
        <v>0.0</v>
      </c>
      <c r="K178" s="1">
        <v>7.0</v>
      </c>
      <c r="L178" s="1">
        <v>0.0</v>
      </c>
      <c r="M178" s="1">
        <v>2.0</v>
      </c>
    </row>
    <row r="179">
      <c r="A179" s="2" t="s">
        <v>897</v>
      </c>
      <c r="B179" s="1">
        <v>200.0</v>
      </c>
      <c r="C179" s="1" t="s">
        <v>898</v>
      </c>
      <c r="D179" s="1" t="s">
        <v>583</v>
      </c>
    </row>
    <row r="180">
      <c r="A180" s="2" t="s">
        <v>899</v>
      </c>
      <c r="B180" s="1">
        <v>200.0</v>
      </c>
      <c r="C180" s="1" t="s">
        <v>900</v>
      </c>
      <c r="D180" s="1" t="s">
        <v>583</v>
      </c>
      <c r="F180" s="1">
        <v>3.0</v>
      </c>
      <c r="G180" s="1">
        <v>3.0</v>
      </c>
      <c r="H180" s="1">
        <v>3.0</v>
      </c>
      <c r="I180" s="1">
        <v>1.0</v>
      </c>
      <c r="J180" s="1">
        <v>0.0</v>
      </c>
      <c r="K180" s="1">
        <v>17.0</v>
      </c>
      <c r="L180" s="1">
        <v>0.0</v>
      </c>
      <c r="M180" s="1">
        <v>3.0</v>
      </c>
    </row>
    <row r="181">
      <c r="A181" s="2" t="s">
        <v>901</v>
      </c>
      <c r="B181" s="1">
        <v>404.0</v>
      </c>
      <c r="D181" s="1" t="s">
        <v>609</v>
      </c>
      <c r="E181" s="1" t="s">
        <v>902</v>
      </c>
    </row>
    <row r="182">
      <c r="A182" s="2" t="s">
        <v>903</v>
      </c>
      <c r="B182" s="1">
        <v>200.0</v>
      </c>
      <c r="C182" s="1" t="s">
        <v>587</v>
      </c>
      <c r="D182" s="1" t="s">
        <v>609</v>
      </c>
      <c r="E182" s="1" t="s">
        <v>631</v>
      </c>
    </row>
    <row r="183">
      <c r="A183" s="2" t="s">
        <v>904</v>
      </c>
      <c r="B183" s="1">
        <v>200.0</v>
      </c>
      <c r="C183" s="1" t="s">
        <v>905</v>
      </c>
      <c r="D183" s="1" t="s">
        <v>583</v>
      </c>
      <c r="F183" s="1">
        <v>2.0</v>
      </c>
      <c r="G183" s="1">
        <v>2.0</v>
      </c>
      <c r="H183" s="1">
        <v>1.0</v>
      </c>
      <c r="I183" s="1">
        <v>0.5</v>
      </c>
      <c r="J183" s="1">
        <v>0.0</v>
      </c>
      <c r="K183" s="1">
        <v>8.0</v>
      </c>
      <c r="L183" s="1">
        <v>0.0</v>
      </c>
      <c r="M183" s="1">
        <v>2.0</v>
      </c>
    </row>
    <row r="184">
      <c r="A184" s="2" t="s">
        <v>906</v>
      </c>
      <c r="B184" s="1">
        <v>200.0</v>
      </c>
      <c r="C184" s="1" t="s">
        <v>653</v>
      </c>
      <c r="D184" s="1" t="s">
        <v>609</v>
      </c>
      <c r="E184" s="1" t="s">
        <v>631</v>
      </c>
      <c r="F184" s="1">
        <v>4.0</v>
      </c>
      <c r="G184" s="1">
        <v>11.0</v>
      </c>
      <c r="H184" s="1">
        <v>3.0</v>
      </c>
      <c r="I184" s="1">
        <v>0.75</v>
      </c>
      <c r="J184" s="1">
        <v>0.0</v>
      </c>
      <c r="K184" s="1">
        <v>29.0</v>
      </c>
      <c r="L184" s="1">
        <v>0.0</v>
      </c>
      <c r="M184" s="1">
        <v>2.0</v>
      </c>
    </row>
    <row r="185">
      <c r="A185" s="2" t="s">
        <v>907</v>
      </c>
      <c r="B185" s="1">
        <v>200.0</v>
      </c>
      <c r="C185" s="1" t="s">
        <v>908</v>
      </c>
      <c r="D185" s="1" t="s">
        <v>583</v>
      </c>
      <c r="F185" s="1">
        <v>1.0</v>
      </c>
      <c r="G185" s="1">
        <v>1.0</v>
      </c>
      <c r="H185" s="1">
        <v>0.0</v>
      </c>
      <c r="I185" s="1">
        <v>0.0</v>
      </c>
      <c r="J185" s="1">
        <v>0.0</v>
      </c>
      <c r="K185" s="1">
        <v>3.0</v>
      </c>
      <c r="L185" s="1">
        <v>0.0</v>
      </c>
      <c r="M185" s="1">
        <v>1.0</v>
      </c>
    </row>
    <row r="186">
      <c r="A186" s="2" t="s">
        <v>909</v>
      </c>
      <c r="B186" s="1">
        <v>200.0</v>
      </c>
      <c r="C186" s="1" t="s">
        <v>910</v>
      </c>
      <c r="D186" s="1" t="s">
        <v>583</v>
      </c>
    </row>
    <row r="187">
      <c r="A187" s="2" t="s">
        <v>911</v>
      </c>
      <c r="B187" s="1">
        <v>200.0</v>
      </c>
      <c r="C187" s="1" t="s">
        <v>912</v>
      </c>
      <c r="D187" s="1" t="s">
        <v>583</v>
      </c>
      <c r="F187" s="1">
        <v>7.0</v>
      </c>
      <c r="G187" s="1">
        <v>24.0</v>
      </c>
      <c r="H187" s="1">
        <v>4.0</v>
      </c>
      <c r="I187" s="1">
        <v>0.57</v>
      </c>
      <c r="J187" s="1">
        <v>0.0</v>
      </c>
      <c r="K187" s="1">
        <v>59.0</v>
      </c>
      <c r="L187" s="1">
        <v>0.0</v>
      </c>
      <c r="M187" s="1">
        <v>5.0</v>
      </c>
    </row>
    <row r="188">
      <c r="A188" s="2" t="s">
        <v>913</v>
      </c>
      <c r="B188" s="1">
        <v>200.0</v>
      </c>
      <c r="C188" s="1" t="s">
        <v>914</v>
      </c>
      <c r="D188" s="1" t="s">
        <v>583</v>
      </c>
      <c r="F188" s="1">
        <v>2.0</v>
      </c>
      <c r="G188" s="1">
        <v>2.0</v>
      </c>
      <c r="H188" s="1">
        <v>0.0</v>
      </c>
      <c r="I188" s="1">
        <v>0.0</v>
      </c>
      <c r="J188" s="1">
        <v>0.0</v>
      </c>
      <c r="K188" s="1">
        <v>6.0</v>
      </c>
      <c r="L188" s="1">
        <v>0.0</v>
      </c>
      <c r="M188" s="1">
        <v>2.0</v>
      </c>
    </row>
    <row r="189">
      <c r="A189" s="2" t="s">
        <v>507</v>
      </c>
      <c r="B189" s="1">
        <v>200.0</v>
      </c>
      <c r="C189" s="1" t="s">
        <v>915</v>
      </c>
      <c r="D189" s="1" t="s">
        <v>583</v>
      </c>
      <c r="F189" s="1">
        <v>1.0</v>
      </c>
      <c r="G189" s="1">
        <v>1.0</v>
      </c>
      <c r="H189" s="1">
        <v>0.0</v>
      </c>
      <c r="I189" s="1">
        <v>0.0</v>
      </c>
      <c r="J189" s="1">
        <v>0.0</v>
      </c>
      <c r="K189" s="1">
        <v>5.0</v>
      </c>
      <c r="L189" s="1">
        <v>0.0</v>
      </c>
      <c r="M189" s="1">
        <v>1.0</v>
      </c>
    </row>
    <row r="190">
      <c r="A190" s="2" t="s">
        <v>916</v>
      </c>
      <c r="B190" s="1">
        <v>200.0</v>
      </c>
      <c r="C190" s="1" t="s">
        <v>917</v>
      </c>
      <c r="D190" s="1" t="s">
        <v>609</v>
      </c>
      <c r="E190" s="1" t="s">
        <v>631</v>
      </c>
      <c r="F190" s="1">
        <v>1.0</v>
      </c>
      <c r="G190" s="1">
        <v>1.0</v>
      </c>
      <c r="H190" s="1">
        <v>0.0</v>
      </c>
      <c r="I190" s="1">
        <v>0.0</v>
      </c>
      <c r="J190" s="1">
        <v>0.0</v>
      </c>
      <c r="K190" s="1">
        <v>3.0</v>
      </c>
      <c r="L190" s="1">
        <v>0.0</v>
      </c>
      <c r="M190" s="1">
        <v>1.0</v>
      </c>
    </row>
    <row r="191">
      <c r="A191" s="2" t="s">
        <v>918</v>
      </c>
      <c r="B191" s="1">
        <v>200.0</v>
      </c>
      <c r="C191" s="1" t="s">
        <v>919</v>
      </c>
      <c r="D191" s="1" t="s">
        <v>583</v>
      </c>
      <c r="F191" s="1">
        <v>1.0</v>
      </c>
      <c r="G191" s="1">
        <v>1.0</v>
      </c>
      <c r="H191" s="1">
        <v>0.0</v>
      </c>
      <c r="I191" s="1">
        <v>0.0</v>
      </c>
      <c r="J191" s="1">
        <v>0.0</v>
      </c>
      <c r="K191" s="1">
        <v>3.0</v>
      </c>
      <c r="L191" s="1">
        <v>0.0</v>
      </c>
      <c r="M191" s="1">
        <v>1.0</v>
      </c>
    </row>
    <row r="192">
      <c r="A192" s="2" t="s">
        <v>523</v>
      </c>
      <c r="B192" s="1">
        <v>200.0</v>
      </c>
      <c r="C192" s="1" t="s">
        <v>920</v>
      </c>
      <c r="D192" s="1" t="s">
        <v>583</v>
      </c>
    </row>
    <row r="193">
      <c r="A193" s="2" t="s">
        <v>921</v>
      </c>
      <c r="B193" s="1">
        <v>200.0</v>
      </c>
      <c r="C193" s="1" t="s">
        <v>922</v>
      </c>
      <c r="D193" s="1" t="s">
        <v>583</v>
      </c>
      <c r="F193" s="1">
        <v>8.0</v>
      </c>
      <c r="G193" s="1">
        <v>11.0</v>
      </c>
      <c r="H193" s="1">
        <v>7.0</v>
      </c>
      <c r="I193" s="1">
        <v>0.88</v>
      </c>
      <c r="J193" s="1">
        <v>0.0</v>
      </c>
      <c r="K193" s="1">
        <v>43.0</v>
      </c>
      <c r="L193" s="1">
        <v>0.0</v>
      </c>
      <c r="M193" s="1">
        <v>8.0</v>
      </c>
    </row>
    <row r="194">
      <c r="A194" s="2" t="s">
        <v>923</v>
      </c>
      <c r="B194" s="1">
        <v>301.0</v>
      </c>
      <c r="D194" s="1" t="s">
        <v>609</v>
      </c>
      <c r="E194" s="1" t="s">
        <v>610</v>
      </c>
    </row>
    <row r="195">
      <c r="A195" s="2" t="s">
        <v>924</v>
      </c>
      <c r="B195" s="1">
        <v>301.0</v>
      </c>
      <c r="D195" s="1" t="s">
        <v>609</v>
      </c>
      <c r="E195" s="1" t="s">
        <v>610</v>
      </c>
    </row>
    <row r="196">
      <c r="A196" s="2" t="s">
        <v>925</v>
      </c>
      <c r="B196" s="1">
        <v>200.0</v>
      </c>
      <c r="C196" s="1" t="s">
        <v>926</v>
      </c>
      <c r="D196" s="1" t="s">
        <v>583</v>
      </c>
    </row>
    <row r="197">
      <c r="A197" s="2" t="s">
        <v>927</v>
      </c>
      <c r="B197" s="1">
        <v>301.0</v>
      </c>
      <c r="D197" s="1" t="s">
        <v>609</v>
      </c>
      <c r="E197" s="1" t="s">
        <v>610</v>
      </c>
      <c r="F197" s="1">
        <v>1.0</v>
      </c>
      <c r="G197" s="1">
        <v>1.0</v>
      </c>
      <c r="H197" s="1">
        <v>0.0</v>
      </c>
      <c r="I197" s="1">
        <v>0.0</v>
      </c>
      <c r="J197" s="1">
        <v>0.0</v>
      </c>
      <c r="K197" s="1">
        <v>3.0</v>
      </c>
      <c r="L197" s="1">
        <v>0.0</v>
      </c>
      <c r="M197" s="1">
        <v>1.0</v>
      </c>
    </row>
    <row r="198">
      <c r="A198" s="2" t="s">
        <v>928</v>
      </c>
      <c r="B198" s="1">
        <v>200.0</v>
      </c>
      <c r="C198" s="1" t="s">
        <v>929</v>
      </c>
      <c r="D198" s="1" t="s">
        <v>609</v>
      </c>
      <c r="E198" s="1" t="s">
        <v>930</v>
      </c>
      <c r="F198" s="1">
        <v>58.0</v>
      </c>
      <c r="G198" s="1">
        <v>177.0</v>
      </c>
      <c r="H198" s="1">
        <v>45.0</v>
      </c>
      <c r="I198" s="1">
        <v>0.78</v>
      </c>
      <c r="J198" s="1">
        <v>3.0</v>
      </c>
      <c r="K198" s="1">
        <v>816.0</v>
      </c>
      <c r="L198" s="1">
        <v>0.0</v>
      </c>
      <c r="M198" s="1">
        <v>24.0</v>
      </c>
    </row>
    <row r="199">
      <c r="A199" s="2" t="s">
        <v>931</v>
      </c>
      <c r="B199" s="1">
        <v>200.0</v>
      </c>
      <c r="C199" s="1" t="s">
        <v>932</v>
      </c>
      <c r="D199" s="1" t="s">
        <v>583</v>
      </c>
    </row>
    <row r="200">
      <c r="A200" s="2" t="s">
        <v>933</v>
      </c>
      <c r="B200" s="1">
        <v>200.0</v>
      </c>
      <c r="C200" s="1" t="s">
        <v>934</v>
      </c>
      <c r="D200" s="1" t="s">
        <v>583</v>
      </c>
      <c r="F200" s="1">
        <v>1.0</v>
      </c>
      <c r="G200" s="1">
        <v>1.0</v>
      </c>
      <c r="H200" s="1">
        <v>0.0</v>
      </c>
      <c r="I200" s="1">
        <v>0.0</v>
      </c>
      <c r="J200" s="1">
        <v>0.0</v>
      </c>
      <c r="K200" s="1">
        <v>4.0</v>
      </c>
      <c r="L200" s="1">
        <v>0.0</v>
      </c>
      <c r="M200" s="1">
        <v>1.0</v>
      </c>
    </row>
    <row r="201">
      <c r="A201" s="2" t="s">
        <v>935</v>
      </c>
      <c r="B201" s="1">
        <v>301.0</v>
      </c>
      <c r="D201" s="1" t="s">
        <v>609</v>
      </c>
      <c r="E201" s="1" t="s">
        <v>610</v>
      </c>
    </row>
    <row r="202">
      <c r="A202" s="2" t="s">
        <v>936</v>
      </c>
      <c r="B202" s="1">
        <v>200.0</v>
      </c>
      <c r="C202" s="1" t="s">
        <v>937</v>
      </c>
      <c r="D202" s="1" t="s">
        <v>583</v>
      </c>
      <c r="F202" s="1">
        <v>1.0</v>
      </c>
      <c r="G202" s="1">
        <v>1.0</v>
      </c>
      <c r="H202" s="1">
        <v>0.0</v>
      </c>
      <c r="I202" s="1">
        <v>0.0</v>
      </c>
      <c r="J202" s="1">
        <v>0.0</v>
      </c>
      <c r="K202" s="1">
        <v>4.0</v>
      </c>
      <c r="L202" s="1">
        <v>0.0</v>
      </c>
      <c r="M202" s="1">
        <v>1.0</v>
      </c>
    </row>
    <row r="203">
      <c r="A203" s="2" t="s">
        <v>938</v>
      </c>
      <c r="B203" s="1">
        <v>200.0</v>
      </c>
      <c r="C203" s="1" t="s">
        <v>939</v>
      </c>
      <c r="D203" s="1" t="s">
        <v>583</v>
      </c>
    </row>
    <row r="204">
      <c r="A204" s="2" t="s">
        <v>940</v>
      </c>
      <c r="B204" s="1">
        <v>200.0</v>
      </c>
      <c r="C204" s="1" t="s">
        <v>941</v>
      </c>
      <c r="D204" s="1" t="s">
        <v>583</v>
      </c>
    </row>
    <row r="205">
      <c r="A205" s="2" t="s">
        <v>942</v>
      </c>
      <c r="B205" s="1">
        <v>200.0</v>
      </c>
      <c r="C205" s="1" t="s">
        <v>943</v>
      </c>
      <c r="D205" s="1" t="s">
        <v>583</v>
      </c>
    </row>
    <row r="206">
      <c r="A206" s="2" t="s">
        <v>944</v>
      </c>
      <c r="B206" s="1">
        <v>200.0</v>
      </c>
      <c r="C206" s="1" t="s">
        <v>945</v>
      </c>
      <c r="D206" s="1" t="s">
        <v>583</v>
      </c>
    </row>
    <row r="207">
      <c r="A207" s="2" t="s">
        <v>946</v>
      </c>
      <c r="B207" s="1">
        <v>200.0</v>
      </c>
      <c r="C207" s="1" t="s">
        <v>947</v>
      </c>
      <c r="D207" s="1" t="s">
        <v>583</v>
      </c>
    </row>
    <row r="208">
      <c r="A208" s="2" t="s">
        <v>948</v>
      </c>
      <c r="B208" s="1">
        <v>200.0</v>
      </c>
      <c r="C208" s="1" t="s">
        <v>949</v>
      </c>
      <c r="D208" s="1" t="s">
        <v>583</v>
      </c>
      <c r="F208" s="1">
        <v>20.0</v>
      </c>
      <c r="G208" s="1">
        <v>22.0</v>
      </c>
      <c r="H208" s="1">
        <v>14.0</v>
      </c>
      <c r="I208" s="1">
        <v>0.7</v>
      </c>
      <c r="J208" s="1">
        <v>1.0</v>
      </c>
      <c r="K208" s="1">
        <v>98.0</v>
      </c>
      <c r="L208" s="1">
        <v>0.0</v>
      </c>
      <c r="M208" s="1">
        <v>20.0</v>
      </c>
    </row>
    <row r="209">
      <c r="A209" s="2" t="s">
        <v>950</v>
      </c>
      <c r="B209" s="1">
        <v>301.0</v>
      </c>
      <c r="D209" s="1" t="s">
        <v>609</v>
      </c>
      <c r="E209" s="1" t="s">
        <v>610</v>
      </c>
    </row>
    <row r="210">
      <c r="A210" s="2" t="s">
        <v>951</v>
      </c>
      <c r="B210" s="1">
        <v>200.0</v>
      </c>
      <c r="C210" s="1" t="s">
        <v>952</v>
      </c>
      <c r="D210" s="1" t="s">
        <v>583</v>
      </c>
    </row>
    <row r="211">
      <c r="A211" s="2" t="s">
        <v>953</v>
      </c>
      <c r="B211" s="1">
        <v>301.0</v>
      </c>
      <c r="D211" s="1" t="s">
        <v>609</v>
      </c>
      <c r="E211" s="1" t="s">
        <v>610</v>
      </c>
      <c r="F211" s="1">
        <v>39.0</v>
      </c>
      <c r="G211" s="1">
        <v>64.0</v>
      </c>
      <c r="H211" s="1">
        <v>23.0</v>
      </c>
      <c r="I211" s="1">
        <v>0.59</v>
      </c>
      <c r="J211" s="1">
        <v>4.0</v>
      </c>
      <c r="K211" s="1">
        <v>294.0</v>
      </c>
      <c r="L211" s="1">
        <v>0.0</v>
      </c>
      <c r="M211" s="1">
        <v>32.0</v>
      </c>
    </row>
    <row r="212">
      <c r="A212" s="2" t="s">
        <v>954</v>
      </c>
      <c r="B212" s="1">
        <v>200.0</v>
      </c>
      <c r="C212" s="1" t="s">
        <v>955</v>
      </c>
      <c r="D212" s="1" t="s">
        <v>583</v>
      </c>
      <c r="F212" s="1">
        <v>2.0</v>
      </c>
      <c r="G212" s="1">
        <v>2.0</v>
      </c>
      <c r="H212" s="1">
        <v>0.0</v>
      </c>
      <c r="I212" s="1">
        <v>0.0</v>
      </c>
      <c r="J212" s="1">
        <v>0.0</v>
      </c>
      <c r="K212" s="1">
        <v>8.0</v>
      </c>
      <c r="L212" s="1">
        <v>0.0</v>
      </c>
      <c r="M212" s="1">
        <v>2.0</v>
      </c>
    </row>
    <row r="213">
      <c r="A213" s="2" t="s">
        <v>956</v>
      </c>
      <c r="B213" s="1">
        <v>200.0</v>
      </c>
      <c r="C213" s="1" t="s">
        <v>957</v>
      </c>
      <c r="D213" s="1" t="s">
        <v>583</v>
      </c>
    </row>
    <row r="214">
      <c r="A214" s="2" t="s">
        <v>958</v>
      </c>
      <c r="B214" s="1">
        <v>200.0</v>
      </c>
      <c r="C214" s="1" t="s">
        <v>959</v>
      </c>
      <c r="D214" s="1" t="s">
        <v>583</v>
      </c>
    </row>
    <row r="215">
      <c r="A215" s="2" t="s">
        <v>960</v>
      </c>
      <c r="B215" s="1">
        <v>200.0</v>
      </c>
      <c r="C215" s="1" t="s">
        <v>961</v>
      </c>
      <c r="D215" s="1" t="s">
        <v>583</v>
      </c>
    </row>
    <row r="216">
      <c r="A216" s="2" t="s">
        <v>962</v>
      </c>
      <c r="B216" s="1">
        <v>200.0</v>
      </c>
      <c r="C216" s="1" t="s">
        <v>963</v>
      </c>
      <c r="D216" s="1" t="s">
        <v>583</v>
      </c>
    </row>
    <row r="217">
      <c r="A217" s="2" t="s">
        <v>964</v>
      </c>
      <c r="B217" s="1">
        <v>301.0</v>
      </c>
      <c r="D217" s="1" t="s">
        <v>609</v>
      </c>
      <c r="E217" s="1" t="s">
        <v>610</v>
      </c>
      <c r="F217" s="1">
        <v>2.0</v>
      </c>
      <c r="G217" s="1">
        <v>3.0</v>
      </c>
      <c r="H217" s="1">
        <v>1.0</v>
      </c>
      <c r="I217" s="1">
        <v>0.5</v>
      </c>
      <c r="J217" s="1">
        <v>0.0</v>
      </c>
      <c r="K217" s="1">
        <v>10.0</v>
      </c>
      <c r="L217" s="1">
        <v>0.0</v>
      </c>
      <c r="M217" s="1">
        <v>1.0</v>
      </c>
    </row>
    <row r="218">
      <c r="A218" s="2" t="s">
        <v>503</v>
      </c>
      <c r="B218" s="1">
        <v>200.0</v>
      </c>
      <c r="C218" s="1" t="s">
        <v>965</v>
      </c>
      <c r="D218" s="1" t="s">
        <v>583</v>
      </c>
    </row>
    <row r="219">
      <c r="A219" s="2" t="s">
        <v>966</v>
      </c>
      <c r="B219" s="1">
        <v>200.0</v>
      </c>
      <c r="C219" s="1" t="s">
        <v>967</v>
      </c>
      <c r="D219" s="1" t="s">
        <v>583</v>
      </c>
    </row>
    <row r="220">
      <c r="A220" s="2" t="s">
        <v>968</v>
      </c>
      <c r="B220" s="1">
        <v>301.0</v>
      </c>
      <c r="D220" s="1" t="s">
        <v>609</v>
      </c>
      <c r="E220" s="1" t="s">
        <v>610</v>
      </c>
    </row>
    <row r="221">
      <c r="A221" s="2" t="s">
        <v>969</v>
      </c>
      <c r="B221" s="1">
        <v>200.0</v>
      </c>
      <c r="C221" s="1" t="s">
        <v>970</v>
      </c>
      <c r="D221" s="1" t="s">
        <v>583</v>
      </c>
    </row>
    <row r="222">
      <c r="A222" s="2" t="s">
        <v>971</v>
      </c>
      <c r="B222" s="1">
        <v>200.0</v>
      </c>
      <c r="C222" s="1" t="s">
        <v>972</v>
      </c>
      <c r="D222" s="1" t="s">
        <v>583</v>
      </c>
    </row>
    <row r="223">
      <c r="A223" s="2" t="s">
        <v>973</v>
      </c>
      <c r="B223" s="1">
        <v>200.0</v>
      </c>
      <c r="C223" s="1" t="s">
        <v>974</v>
      </c>
      <c r="D223" s="1" t="s">
        <v>583</v>
      </c>
    </row>
    <row r="224">
      <c r="A224" s="2" t="s">
        <v>975</v>
      </c>
      <c r="B224" s="1">
        <v>200.0</v>
      </c>
      <c r="C224" s="1" t="s">
        <v>976</v>
      </c>
      <c r="D224" s="1" t="s">
        <v>583</v>
      </c>
    </row>
    <row r="225">
      <c r="A225" s="2" t="s">
        <v>977</v>
      </c>
      <c r="B225" s="1">
        <v>200.0</v>
      </c>
      <c r="C225" s="1" t="s">
        <v>978</v>
      </c>
      <c r="D225" s="1" t="s">
        <v>583</v>
      </c>
    </row>
    <row r="226">
      <c r="A226" s="2" t="s">
        <v>979</v>
      </c>
      <c r="B226" s="1">
        <v>200.0</v>
      </c>
      <c r="C226" s="1" t="s">
        <v>630</v>
      </c>
      <c r="D226" s="1" t="s">
        <v>583</v>
      </c>
      <c r="F226" s="1">
        <v>67.0</v>
      </c>
      <c r="G226" s="1">
        <v>139.0</v>
      </c>
      <c r="H226" s="1">
        <v>44.0</v>
      </c>
      <c r="I226" s="1">
        <v>0.66</v>
      </c>
      <c r="J226" s="1">
        <v>1.0</v>
      </c>
      <c r="K226" s="1">
        <v>680.0</v>
      </c>
      <c r="L226" s="1">
        <v>0.0</v>
      </c>
      <c r="M226" s="1">
        <v>52.0</v>
      </c>
    </row>
    <row r="227">
      <c r="A227" s="2" t="s">
        <v>483</v>
      </c>
      <c r="B227" s="1">
        <v>200.0</v>
      </c>
      <c r="C227" s="1" t="s">
        <v>980</v>
      </c>
      <c r="D227" s="1" t="s">
        <v>583</v>
      </c>
    </row>
    <row r="228">
      <c r="A228" s="2" t="s">
        <v>981</v>
      </c>
      <c r="B228" s="1">
        <v>200.0</v>
      </c>
      <c r="C228" s="1" t="s">
        <v>982</v>
      </c>
      <c r="D228" s="1" t="s">
        <v>583</v>
      </c>
    </row>
    <row r="229">
      <c r="A229" s="2" t="s">
        <v>491</v>
      </c>
      <c r="B229" s="1">
        <v>200.0</v>
      </c>
      <c r="C229" s="1" t="s">
        <v>983</v>
      </c>
      <c r="D229" s="1" t="s">
        <v>583</v>
      </c>
    </row>
    <row r="230">
      <c r="A230" s="2" t="s">
        <v>984</v>
      </c>
      <c r="B230" s="1">
        <v>200.0</v>
      </c>
      <c r="C230" s="1" t="s">
        <v>985</v>
      </c>
      <c r="D230" s="1" t="s">
        <v>609</v>
      </c>
      <c r="E230" s="1" t="s">
        <v>664</v>
      </c>
    </row>
    <row r="231">
      <c r="A231" s="2" t="s">
        <v>986</v>
      </c>
      <c r="B231" s="1">
        <v>200.0</v>
      </c>
      <c r="C231" s="1" t="s">
        <v>987</v>
      </c>
      <c r="D231" s="1" t="s">
        <v>583</v>
      </c>
    </row>
    <row r="232">
      <c r="A232" s="2" t="s">
        <v>515</v>
      </c>
      <c r="B232" s="1">
        <v>200.0</v>
      </c>
      <c r="C232" s="1" t="s">
        <v>988</v>
      </c>
      <c r="D232" s="1" t="s">
        <v>583</v>
      </c>
      <c r="F232" s="1">
        <v>1.0</v>
      </c>
      <c r="G232" s="1">
        <v>1.0</v>
      </c>
      <c r="H232" s="1">
        <v>0.0</v>
      </c>
      <c r="I232" s="1">
        <v>0.0</v>
      </c>
      <c r="J232" s="1">
        <v>0.0</v>
      </c>
      <c r="K232" s="1">
        <v>3.0</v>
      </c>
      <c r="L232" s="1">
        <v>0.0</v>
      </c>
      <c r="M232" s="1">
        <v>1.0</v>
      </c>
    </row>
    <row r="233">
      <c r="A233" s="2" t="s">
        <v>989</v>
      </c>
      <c r="B233" s="1">
        <v>200.0</v>
      </c>
      <c r="C233" s="1" t="s">
        <v>990</v>
      </c>
      <c r="D233" s="1" t="s">
        <v>583</v>
      </c>
      <c r="F233" s="1">
        <v>1.0</v>
      </c>
      <c r="G233" s="1">
        <v>1.0</v>
      </c>
      <c r="H233" s="1">
        <v>0.0</v>
      </c>
      <c r="I233" s="1">
        <v>0.0</v>
      </c>
      <c r="J233" s="1">
        <v>0.0</v>
      </c>
      <c r="K233" s="1">
        <v>3.0</v>
      </c>
      <c r="L233" s="1">
        <v>0.0</v>
      </c>
      <c r="M233" s="1">
        <v>1.0</v>
      </c>
    </row>
    <row r="234">
      <c r="A234" s="2" t="s">
        <v>991</v>
      </c>
      <c r="B234" s="1">
        <v>200.0</v>
      </c>
      <c r="C234" s="1" t="s">
        <v>992</v>
      </c>
      <c r="D234" s="1" t="s">
        <v>583</v>
      </c>
      <c r="F234" s="1">
        <v>1.0</v>
      </c>
      <c r="G234" s="1">
        <v>1.0</v>
      </c>
      <c r="H234" s="1">
        <v>0.0</v>
      </c>
      <c r="I234" s="1">
        <v>0.0</v>
      </c>
      <c r="J234" s="1">
        <v>0.0</v>
      </c>
      <c r="K234" s="1">
        <v>3.0</v>
      </c>
      <c r="L234" s="1">
        <v>0.0</v>
      </c>
      <c r="M234" s="1">
        <v>1.0</v>
      </c>
    </row>
    <row r="235">
      <c r="A235" s="2" t="s">
        <v>993</v>
      </c>
      <c r="B235" s="1">
        <v>200.0</v>
      </c>
      <c r="C235" s="1" t="s">
        <v>994</v>
      </c>
      <c r="D235" s="1" t="s">
        <v>583</v>
      </c>
      <c r="F235" s="1">
        <v>1.0</v>
      </c>
      <c r="G235" s="1">
        <v>1.0</v>
      </c>
      <c r="H235" s="1">
        <v>0.0</v>
      </c>
      <c r="I235" s="1">
        <v>0.0</v>
      </c>
      <c r="J235" s="1">
        <v>0.0</v>
      </c>
      <c r="K235" s="1">
        <v>3.0</v>
      </c>
      <c r="L235" s="1">
        <v>0.0</v>
      </c>
      <c r="M235" s="1">
        <v>1.0</v>
      </c>
    </row>
    <row r="236">
      <c r="A236" s="2" t="s">
        <v>495</v>
      </c>
      <c r="B236" s="1">
        <v>200.0</v>
      </c>
      <c r="C236" s="1" t="s">
        <v>995</v>
      </c>
      <c r="D236" s="1" t="s">
        <v>583</v>
      </c>
    </row>
    <row r="237">
      <c r="A237" s="2" t="s">
        <v>996</v>
      </c>
      <c r="B237" s="1">
        <v>200.0</v>
      </c>
      <c r="C237" s="1" t="s">
        <v>997</v>
      </c>
      <c r="D237" s="1" t="s">
        <v>583</v>
      </c>
    </row>
    <row r="238">
      <c r="A238" s="2" t="s">
        <v>467</v>
      </c>
      <c r="B238" s="1">
        <v>200.0</v>
      </c>
      <c r="C238" s="1" t="s">
        <v>998</v>
      </c>
      <c r="D238" s="1" t="s">
        <v>583</v>
      </c>
      <c r="F238" s="1">
        <v>1.0</v>
      </c>
      <c r="G238" s="1">
        <v>1.0</v>
      </c>
      <c r="H238" s="1">
        <v>0.0</v>
      </c>
      <c r="I238" s="1">
        <v>0.0</v>
      </c>
      <c r="J238" s="1">
        <v>0.0</v>
      </c>
      <c r="K238" s="1">
        <v>4.0</v>
      </c>
      <c r="L238" s="1">
        <v>0.0</v>
      </c>
      <c r="M238" s="1">
        <v>1.0</v>
      </c>
    </row>
    <row r="239">
      <c r="A239" s="2" t="s">
        <v>999</v>
      </c>
      <c r="B239" s="1">
        <v>301.0</v>
      </c>
      <c r="D239" s="1" t="s">
        <v>609</v>
      </c>
      <c r="E239" s="1" t="s">
        <v>610</v>
      </c>
      <c r="F239" s="1">
        <v>2.0</v>
      </c>
      <c r="G239" s="1">
        <v>2.0</v>
      </c>
      <c r="H239" s="1">
        <v>0.0</v>
      </c>
      <c r="I239" s="1">
        <v>0.0</v>
      </c>
      <c r="J239" s="1">
        <v>0.0</v>
      </c>
      <c r="K239" s="1">
        <v>21.0</v>
      </c>
      <c r="L239" s="1">
        <v>0.0</v>
      </c>
      <c r="M239" s="1">
        <v>2.0</v>
      </c>
    </row>
    <row r="240">
      <c r="A240" s="2" t="s">
        <v>1000</v>
      </c>
      <c r="B240" s="1">
        <v>200.0</v>
      </c>
      <c r="C240" s="1" t="s">
        <v>1001</v>
      </c>
      <c r="D240" s="1" t="s">
        <v>583</v>
      </c>
      <c r="F240" s="1">
        <v>1.0</v>
      </c>
      <c r="G240" s="1">
        <v>1.0</v>
      </c>
      <c r="H240" s="1">
        <v>0.0</v>
      </c>
      <c r="I240" s="1">
        <v>0.0</v>
      </c>
      <c r="J240" s="1">
        <v>0.0</v>
      </c>
      <c r="K240" s="1">
        <v>3.0</v>
      </c>
      <c r="L240" s="1">
        <v>0.0</v>
      </c>
      <c r="M240" s="1">
        <v>1.0</v>
      </c>
    </row>
    <row r="241">
      <c r="A241" s="2" t="s">
        <v>1002</v>
      </c>
      <c r="B241" s="1">
        <v>301.0</v>
      </c>
      <c r="D241" s="1" t="s">
        <v>609</v>
      </c>
      <c r="E241" s="1" t="s">
        <v>610</v>
      </c>
      <c r="F241" s="1">
        <v>23.0</v>
      </c>
      <c r="G241" s="1">
        <v>120.0</v>
      </c>
      <c r="H241" s="1">
        <v>18.0</v>
      </c>
      <c r="I241" s="1">
        <v>0.78</v>
      </c>
      <c r="J241" s="1">
        <v>0.0</v>
      </c>
      <c r="K241" s="1">
        <v>439.0</v>
      </c>
      <c r="L241" s="1">
        <v>0.0</v>
      </c>
      <c r="M241" s="1">
        <v>13.0</v>
      </c>
    </row>
    <row r="242">
      <c r="A242" s="2" t="s">
        <v>1003</v>
      </c>
      <c r="B242" s="1">
        <v>200.0</v>
      </c>
      <c r="C242" s="1" t="s">
        <v>1004</v>
      </c>
      <c r="D242" s="1" t="s">
        <v>583</v>
      </c>
    </row>
    <row r="243">
      <c r="A243" s="2" t="s">
        <v>1005</v>
      </c>
      <c r="B243" s="1">
        <v>200.0</v>
      </c>
      <c r="C243" s="1" t="s">
        <v>1006</v>
      </c>
      <c r="D243" s="1" t="s">
        <v>583</v>
      </c>
      <c r="F243" s="1">
        <v>1.0</v>
      </c>
      <c r="G243" s="1">
        <v>1.0</v>
      </c>
      <c r="H243" s="1">
        <v>0.0</v>
      </c>
      <c r="I243" s="1">
        <v>0.0</v>
      </c>
      <c r="J243" s="1">
        <v>0.0</v>
      </c>
      <c r="K243" s="1">
        <v>3.0</v>
      </c>
      <c r="L243" s="1">
        <v>0.0</v>
      </c>
      <c r="M243" s="1">
        <v>1.0</v>
      </c>
    </row>
    <row r="244">
      <c r="A244" s="2" t="s">
        <v>1007</v>
      </c>
      <c r="B244" s="1">
        <v>301.0</v>
      </c>
      <c r="D244" s="1" t="s">
        <v>609</v>
      </c>
      <c r="E244" s="1" t="s">
        <v>610</v>
      </c>
    </row>
    <row r="245">
      <c r="A245" s="2" t="s">
        <v>1008</v>
      </c>
      <c r="B245" s="1">
        <v>200.0</v>
      </c>
      <c r="C245" s="1" t="s">
        <v>1009</v>
      </c>
      <c r="D245" s="1" t="s">
        <v>583</v>
      </c>
      <c r="F245" s="1">
        <v>73.0</v>
      </c>
      <c r="G245" s="1">
        <v>118.0</v>
      </c>
      <c r="H245" s="1">
        <v>49.0</v>
      </c>
      <c r="I245" s="1">
        <v>0.67</v>
      </c>
      <c r="J245" s="1">
        <v>0.0</v>
      </c>
      <c r="K245" s="1">
        <v>396.0</v>
      </c>
      <c r="L245" s="1">
        <v>0.0</v>
      </c>
      <c r="M245" s="1">
        <v>60.0</v>
      </c>
    </row>
    <row r="246">
      <c r="A246" s="2" t="s">
        <v>1010</v>
      </c>
      <c r="B246" s="1">
        <v>200.0</v>
      </c>
      <c r="C246" s="1" t="s">
        <v>1011</v>
      </c>
      <c r="D246" s="1" t="s">
        <v>583</v>
      </c>
      <c r="F246" s="1">
        <v>77.0</v>
      </c>
      <c r="G246" s="1">
        <v>152.0</v>
      </c>
      <c r="H246" s="1">
        <v>49.0</v>
      </c>
      <c r="I246" s="1">
        <v>0.64</v>
      </c>
      <c r="J246" s="1">
        <v>0.0</v>
      </c>
      <c r="K246" s="1">
        <v>538.0</v>
      </c>
      <c r="L246" s="1">
        <v>0.0</v>
      </c>
      <c r="M246" s="1">
        <v>65.0</v>
      </c>
    </row>
    <row r="247">
      <c r="A247" s="2" t="s">
        <v>1012</v>
      </c>
      <c r="B247" s="1">
        <v>200.0</v>
      </c>
      <c r="C247" s="1" t="s">
        <v>1013</v>
      </c>
      <c r="D247" s="1" t="s">
        <v>583</v>
      </c>
      <c r="F247" s="1">
        <v>45.0</v>
      </c>
      <c r="G247" s="1">
        <v>78.0</v>
      </c>
      <c r="H247" s="1">
        <v>34.0</v>
      </c>
      <c r="I247" s="1">
        <v>0.76</v>
      </c>
      <c r="J247" s="1">
        <v>3.0</v>
      </c>
      <c r="K247" s="1">
        <v>264.0</v>
      </c>
      <c r="L247" s="1">
        <v>0.0</v>
      </c>
      <c r="M247" s="1">
        <v>34.0</v>
      </c>
    </row>
    <row r="248">
      <c r="A248" s="2" t="s">
        <v>1014</v>
      </c>
      <c r="B248" s="1">
        <v>200.0</v>
      </c>
      <c r="C248" s="1" t="s">
        <v>1015</v>
      </c>
      <c r="D248" s="1" t="s">
        <v>583</v>
      </c>
      <c r="F248" s="1">
        <v>56.0</v>
      </c>
      <c r="G248" s="1">
        <v>79.0</v>
      </c>
      <c r="H248" s="1">
        <v>41.0</v>
      </c>
      <c r="I248" s="1">
        <v>0.73</v>
      </c>
      <c r="J248" s="1">
        <v>1.0</v>
      </c>
      <c r="K248" s="1">
        <v>274.0</v>
      </c>
      <c r="L248" s="1">
        <v>0.0</v>
      </c>
      <c r="M248" s="1">
        <v>48.0</v>
      </c>
    </row>
    <row r="249">
      <c r="A249" s="2" t="s">
        <v>1016</v>
      </c>
      <c r="B249" s="1">
        <v>301.0</v>
      </c>
      <c r="D249" s="1" t="s">
        <v>609</v>
      </c>
      <c r="E249" s="1" t="s">
        <v>610</v>
      </c>
      <c r="F249" s="1">
        <v>6.0</v>
      </c>
      <c r="G249" s="1">
        <v>8.0</v>
      </c>
      <c r="H249" s="1">
        <v>2.0</v>
      </c>
      <c r="I249" s="1">
        <v>0.33</v>
      </c>
      <c r="J249" s="1">
        <v>1.0</v>
      </c>
      <c r="K249" s="1">
        <v>30.0</v>
      </c>
      <c r="L249" s="1">
        <v>0.0</v>
      </c>
      <c r="M249" s="1">
        <v>5.0</v>
      </c>
    </row>
    <row r="250">
      <c r="A250" s="2" t="s">
        <v>1017</v>
      </c>
      <c r="B250" s="1">
        <v>200.0</v>
      </c>
      <c r="C250" s="1" t="s">
        <v>1018</v>
      </c>
      <c r="D250" s="1" t="s">
        <v>583</v>
      </c>
      <c r="F250" s="1">
        <v>49.0</v>
      </c>
      <c r="G250" s="1">
        <v>75.0</v>
      </c>
      <c r="H250" s="1">
        <v>33.0</v>
      </c>
      <c r="I250" s="1">
        <v>0.67</v>
      </c>
      <c r="J250" s="1">
        <v>0.0</v>
      </c>
      <c r="K250" s="1">
        <v>269.0</v>
      </c>
      <c r="L250" s="1">
        <v>0.0</v>
      </c>
      <c r="M250" s="1">
        <v>38.0</v>
      </c>
    </row>
    <row r="251">
      <c r="A251" s="2" t="s">
        <v>1019</v>
      </c>
      <c r="B251" s="1">
        <v>301.0</v>
      </c>
      <c r="D251" s="1" t="s">
        <v>609</v>
      </c>
      <c r="E251" s="1" t="s">
        <v>610</v>
      </c>
      <c r="F251" s="1">
        <v>107.0</v>
      </c>
      <c r="G251" s="1">
        <v>272.0</v>
      </c>
      <c r="H251" s="1">
        <v>78.0</v>
      </c>
      <c r="I251" s="1">
        <v>0.73</v>
      </c>
      <c r="J251" s="1">
        <v>0.0</v>
      </c>
      <c r="K251" s="1">
        <v>809.0</v>
      </c>
      <c r="L251" s="1">
        <v>0.0</v>
      </c>
      <c r="M251" s="1">
        <v>71.0</v>
      </c>
    </row>
    <row r="252">
      <c r="A252" s="2" t="s">
        <v>1020</v>
      </c>
      <c r="B252" s="1">
        <v>301.0</v>
      </c>
      <c r="D252" s="1" t="s">
        <v>609</v>
      </c>
      <c r="E252" s="1" t="s">
        <v>610</v>
      </c>
    </row>
    <row r="253">
      <c r="A253" s="2" t="s">
        <v>1021</v>
      </c>
      <c r="B253" s="1">
        <v>200.0</v>
      </c>
      <c r="C253" s="1" t="s">
        <v>1022</v>
      </c>
      <c r="D253" s="1" t="s">
        <v>583</v>
      </c>
    </row>
    <row r="254">
      <c r="A254" s="2" t="s">
        <v>1023</v>
      </c>
      <c r="B254" s="1">
        <v>200.0</v>
      </c>
      <c r="C254" s="1" t="s">
        <v>1024</v>
      </c>
      <c r="D254" s="1" t="s">
        <v>583</v>
      </c>
    </row>
    <row r="255">
      <c r="A255" s="2" t="s">
        <v>1025</v>
      </c>
      <c r="B255" s="1">
        <v>200.0</v>
      </c>
      <c r="C255" s="1" t="s">
        <v>1026</v>
      </c>
      <c r="D255" s="1" t="s">
        <v>583</v>
      </c>
    </row>
    <row r="256">
      <c r="A256" s="2" t="s">
        <v>1027</v>
      </c>
      <c r="B256" s="1">
        <v>200.0</v>
      </c>
      <c r="C256" s="1" t="s">
        <v>1028</v>
      </c>
      <c r="D256" s="1" t="s">
        <v>583</v>
      </c>
      <c r="F256" s="1">
        <v>4.0</v>
      </c>
      <c r="G256" s="1">
        <v>21.0</v>
      </c>
      <c r="H256" s="1">
        <v>3.0</v>
      </c>
      <c r="I256" s="1">
        <v>0.75</v>
      </c>
      <c r="J256" s="1">
        <v>0.0</v>
      </c>
      <c r="K256" s="1">
        <v>41.0</v>
      </c>
      <c r="L256" s="1">
        <v>0.0</v>
      </c>
      <c r="M256" s="1">
        <v>1.0</v>
      </c>
    </row>
    <row r="257">
      <c r="A257" s="2" t="s">
        <v>1029</v>
      </c>
      <c r="B257" s="1">
        <v>200.0</v>
      </c>
      <c r="C257" s="1" t="s">
        <v>1030</v>
      </c>
      <c r="D257" s="1" t="s">
        <v>583</v>
      </c>
      <c r="F257" s="1">
        <v>3.0</v>
      </c>
      <c r="G257" s="1">
        <v>6.0</v>
      </c>
      <c r="H257" s="1">
        <v>2.0</v>
      </c>
      <c r="I257" s="1">
        <v>0.67</v>
      </c>
      <c r="J257" s="1">
        <v>0.0</v>
      </c>
      <c r="K257" s="1">
        <v>15.0</v>
      </c>
      <c r="L257" s="1">
        <v>0.0</v>
      </c>
      <c r="M257" s="1">
        <v>0.0</v>
      </c>
    </row>
    <row r="258">
      <c r="A258" s="2" t="s">
        <v>1031</v>
      </c>
      <c r="B258" s="1">
        <v>200.0</v>
      </c>
      <c r="C258" s="1" t="s">
        <v>1032</v>
      </c>
      <c r="D258" s="1" t="s">
        <v>583</v>
      </c>
      <c r="F258" s="1">
        <v>5.0</v>
      </c>
      <c r="G258" s="1">
        <v>5.0</v>
      </c>
      <c r="H258" s="1">
        <v>1.0</v>
      </c>
      <c r="I258" s="1">
        <v>0.2</v>
      </c>
      <c r="J258" s="1">
        <v>0.0</v>
      </c>
      <c r="K258" s="1">
        <v>49.0</v>
      </c>
      <c r="L258" s="1">
        <v>0.0</v>
      </c>
      <c r="M258" s="1">
        <v>4.0</v>
      </c>
    </row>
    <row r="259">
      <c r="A259" s="2" t="s">
        <v>1033</v>
      </c>
      <c r="B259" s="1">
        <v>200.0</v>
      </c>
      <c r="C259" s="1" t="s">
        <v>1034</v>
      </c>
      <c r="D259" s="1" t="s">
        <v>583</v>
      </c>
      <c r="F259" s="1">
        <v>1.0</v>
      </c>
      <c r="G259" s="1">
        <v>1.0</v>
      </c>
      <c r="H259" s="1">
        <v>1.0</v>
      </c>
      <c r="I259" s="1">
        <v>1.0</v>
      </c>
      <c r="J259" s="1">
        <v>0.0</v>
      </c>
      <c r="K259" s="1">
        <v>5.0</v>
      </c>
      <c r="L259" s="1">
        <v>0.0</v>
      </c>
      <c r="M259" s="1">
        <v>1.0</v>
      </c>
    </row>
    <row r="260">
      <c r="A260" s="2" t="s">
        <v>1035</v>
      </c>
      <c r="B260" s="1">
        <v>200.0</v>
      </c>
      <c r="C260" s="1" t="s">
        <v>1036</v>
      </c>
      <c r="D260" s="1" t="s">
        <v>583</v>
      </c>
      <c r="F260" s="1">
        <v>3.0</v>
      </c>
      <c r="G260" s="1">
        <v>4.0</v>
      </c>
      <c r="H260" s="1">
        <v>3.0</v>
      </c>
      <c r="I260" s="1">
        <v>1.0</v>
      </c>
      <c r="J260" s="1">
        <v>0.0</v>
      </c>
      <c r="K260" s="1">
        <v>15.0</v>
      </c>
      <c r="L260" s="1">
        <v>0.0</v>
      </c>
      <c r="M260" s="1">
        <v>3.0</v>
      </c>
    </row>
    <row r="261">
      <c r="A261" s="2" t="s">
        <v>1037</v>
      </c>
      <c r="B261" s="1">
        <v>200.0</v>
      </c>
      <c r="C261" s="1" t="s">
        <v>1038</v>
      </c>
      <c r="D261" s="1" t="s">
        <v>583</v>
      </c>
    </row>
    <row r="262">
      <c r="A262" s="2" t="s">
        <v>1039</v>
      </c>
      <c r="B262" s="1">
        <v>200.0</v>
      </c>
      <c r="C262" s="1" t="s">
        <v>1040</v>
      </c>
      <c r="D262" s="1" t="s">
        <v>583</v>
      </c>
    </row>
    <row r="263">
      <c r="A263" s="2" t="s">
        <v>1041</v>
      </c>
      <c r="B263" s="1">
        <v>200.0</v>
      </c>
      <c r="C263" s="1" t="s">
        <v>1042</v>
      </c>
      <c r="D263" s="1" t="s">
        <v>583</v>
      </c>
    </row>
    <row r="264">
      <c r="A264" s="2" t="s">
        <v>1043</v>
      </c>
      <c r="B264" s="1">
        <v>301.0</v>
      </c>
      <c r="D264" s="1" t="s">
        <v>609</v>
      </c>
      <c r="E264" s="1" t="s">
        <v>610</v>
      </c>
    </row>
    <row r="265">
      <c r="A265" s="2" t="s">
        <v>1044</v>
      </c>
      <c r="B265" s="1">
        <v>301.0</v>
      </c>
      <c r="D265" s="1" t="s">
        <v>609</v>
      </c>
      <c r="E265" s="1" t="s">
        <v>610</v>
      </c>
    </row>
    <row r="266">
      <c r="A266" s="2" t="s">
        <v>1045</v>
      </c>
      <c r="B266" s="1">
        <v>301.0</v>
      </c>
      <c r="D266" s="1" t="s">
        <v>609</v>
      </c>
      <c r="E266" s="1" t="s">
        <v>610</v>
      </c>
    </row>
    <row r="267">
      <c r="A267" s="2" t="s">
        <v>1046</v>
      </c>
      <c r="B267" s="1">
        <v>301.0</v>
      </c>
      <c r="D267" s="1" t="s">
        <v>609</v>
      </c>
      <c r="E267" s="1" t="s">
        <v>610</v>
      </c>
    </row>
    <row r="268">
      <c r="A268" s="2" t="s">
        <v>1047</v>
      </c>
      <c r="B268" s="1">
        <v>301.0</v>
      </c>
      <c r="D268" s="1" t="s">
        <v>609</v>
      </c>
      <c r="E268" s="1" t="s">
        <v>610</v>
      </c>
    </row>
    <row r="269">
      <c r="A269" s="2" t="s">
        <v>1048</v>
      </c>
      <c r="B269" s="1">
        <v>301.0</v>
      </c>
      <c r="D269" s="1" t="s">
        <v>609</v>
      </c>
      <c r="E269" s="1" t="s">
        <v>610</v>
      </c>
    </row>
    <row r="270">
      <c r="A270" s="2" t="s">
        <v>1049</v>
      </c>
      <c r="B270" s="1">
        <v>301.0</v>
      </c>
      <c r="D270" s="1" t="s">
        <v>609</v>
      </c>
      <c r="E270" s="1" t="s">
        <v>610</v>
      </c>
    </row>
    <row r="271">
      <c r="A271" s="2" t="s">
        <v>1050</v>
      </c>
      <c r="B271" s="1">
        <v>301.0</v>
      </c>
      <c r="D271" s="1" t="s">
        <v>609</v>
      </c>
      <c r="E271" s="1" t="s">
        <v>610</v>
      </c>
    </row>
    <row r="272">
      <c r="A272" s="2" t="s">
        <v>1051</v>
      </c>
      <c r="B272" s="1">
        <v>301.0</v>
      </c>
      <c r="D272" s="1" t="s">
        <v>609</v>
      </c>
      <c r="E272" s="1" t="s">
        <v>610</v>
      </c>
    </row>
    <row r="273">
      <c r="A273" s="2" t="s">
        <v>1052</v>
      </c>
      <c r="B273" s="1">
        <v>200.0</v>
      </c>
      <c r="C273" s="1" t="s">
        <v>1053</v>
      </c>
      <c r="D273" s="1" t="s">
        <v>583</v>
      </c>
      <c r="F273" s="1">
        <v>31.0</v>
      </c>
      <c r="G273" s="1">
        <v>33.0</v>
      </c>
      <c r="H273" s="1">
        <v>16.0</v>
      </c>
      <c r="I273" s="1">
        <v>0.52</v>
      </c>
      <c r="J273" s="1">
        <v>0.0</v>
      </c>
      <c r="K273" s="1">
        <v>112.0</v>
      </c>
      <c r="L273" s="1">
        <v>0.0</v>
      </c>
      <c r="M273" s="1">
        <v>29.0</v>
      </c>
    </row>
    <row r="274">
      <c r="A274" s="2" t="s">
        <v>1054</v>
      </c>
      <c r="B274" s="1">
        <v>200.0</v>
      </c>
      <c r="C274" s="1" t="s">
        <v>896</v>
      </c>
      <c r="D274" s="1" t="s">
        <v>609</v>
      </c>
      <c r="E274" s="1" t="s">
        <v>631</v>
      </c>
    </row>
    <row r="275">
      <c r="A275" s="2" t="s">
        <v>1055</v>
      </c>
      <c r="B275" s="1">
        <v>200.0</v>
      </c>
      <c r="C275" s="1" t="s">
        <v>658</v>
      </c>
      <c r="D275" s="1" t="s">
        <v>583</v>
      </c>
    </row>
    <row r="276">
      <c r="A276" s="2" t="s">
        <v>1056</v>
      </c>
      <c r="B276" s="1">
        <v>301.0</v>
      </c>
      <c r="D276" s="1" t="s">
        <v>609</v>
      </c>
      <c r="E276" s="1" t="s">
        <v>610</v>
      </c>
    </row>
    <row r="277">
      <c r="A277" s="2" t="s">
        <v>1057</v>
      </c>
      <c r="B277" s="1">
        <v>301.0</v>
      </c>
      <c r="D277" s="1" t="s">
        <v>609</v>
      </c>
      <c r="E277" s="1" t="s">
        <v>610</v>
      </c>
    </row>
    <row r="278">
      <c r="A278" s="2" t="s">
        <v>1058</v>
      </c>
      <c r="B278" s="1">
        <v>301.0</v>
      </c>
      <c r="D278" s="1" t="s">
        <v>609</v>
      </c>
      <c r="E278" s="1" t="s">
        <v>610</v>
      </c>
    </row>
    <row r="279">
      <c r="A279" s="2" t="s">
        <v>1059</v>
      </c>
      <c r="B279" s="1">
        <v>301.0</v>
      </c>
      <c r="D279" s="1" t="s">
        <v>609</v>
      </c>
      <c r="E279" s="1" t="s">
        <v>610</v>
      </c>
    </row>
    <row r="280">
      <c r="A280" s="2" t="s">
        <v>1060</v>
      </c>
      <c r="B280" s="1">
        <v>200.0</v>
      </c>
      <c r="C280" s="1" t="s">
        <v>1061</v>
      </c>
      <c r="D280" s="1" t="s">
        <v>583</v>
      </c>
    </row>
    <row r="281">
      <c r="A281" s="2" t="s">
        <v>1062</v>
      </c>
      <c r="B281" s="1">
        <v>301.0</v>
      </c>
      <c r="D281" s="1" t="s">
        <v>609</v>
      </c>
      <c r="E281" s="1" t="s">
        <v>610</v>
      </c>
    </row>
    <row r="282">
      <c r="A282" s="2" t="s">
        <v>1063</v>
      </c>
      <c r="B282" s="1">
        <v>200.0</v>
      </c>
      <c r="C282" s="1" t="s">
        <v>1064</v>
      </c>
      <c r="D282" s="1" t="s">
        <v>583</v>
      </c>
    </row>
    <row r="283">
      <c r="A283" s="2" t="s">
        <v>1065</v>
      </c>
      <c r="B283" s="1">
        <v>200.0</v>
      </c>
      <c r="C283" s="1" t="s">
        <v>1066</v>
      </c>
      <c r="D283" s="1" t="s">
        <v>583</v>
      </c>
      <c r="F283" s="1">
        <v>6.0</v>
      </c>
      <c r="G283" s="1">
        <v>10.0</v>
      </c>
      <c r="H283" s="1">
        <v>5.0</v>
      </c>
      <c r="I283" s="1">
        <v>0.83</v>
      </c>
      <c r="J283" s="1">
        <v>0.0</v>
      </c>
      <c r="K283" s="1">
        <v>31.0</v>
      </c>
      <c r="L283" s="1">
        <v>0.0</v>
      </c>
      <c r="M283" s="1">
        <v>5.0</v>
      </c>
    </row>
    <row r="284">
      <c r="A284" s="2" t="s">
        <v>1067</v>
      </c>
      <c r="B284" s="1">
        <v>301.0</v>
      </c>
      <c r="D284" s="1" t="s">
        <v>609</v>
      </c>
      <c r="E284" s="1" t="s">
        <v>610</v>
      </c>
    </row>
    <row r="285">
      <c r="A285" s="2" t="s">
        <v>1068</v>
      </c>
      <c r="B285" s="1">
        <v>301.0</v>
      </c>
      <c r="D285" s="1" t="s">
        <v>609</v>
      </c>
      <c r="E285" s="1" t="s">
        <v>610</v>
      </c>
    </row>
    <row r="286">
      <c r="A286" s="2" t="s">
        <v>1069</v>
      </c>
      <c r="B286" s="1">
        <v>301.0</v>
      </c>
      <c r="D286" s="1" t="s">
        <v>609</v>
      </c>
      <c r="E286" s="1" t="s">
        <v>610</v>
      </c>
    </row>
    <row r="287">
      <c r="A287" s="2" t="s">
        <v>1070</v>
      </c>
      <c r="B287" s="1">
        <v>200.0</v>
      </c>
      <c r="C287" s="1" t="s">
        <v>1071</v>
      </c>
      <c r="D287" s="1" t="s">
        <v>583</v>
      </c>
      <c r="F287" s="1">
        <v>4.0</v>
      </c>
      <c r="G287" s="1">
        <v>9.0</v>
      </c>
      <c r="H287" s="1">
        <v>4.0</v>
      </c>
      <c r="I287" s="1">
        <v>1.0</v>
      </c>
      <c r="J287" s="1">
        <v>0.0</v>
      </c>
      <c r="K287" s="1">
        <v>32.0</v>
      </c>
      <c r="L287" s="1">
        <v>0.0</v>
      </c>
      <c r="M287" s="1">
        <v>3.0</v>
      </c>
    </row>
    <row r="288">
      <c r="A288" s="2" t="s">
        <v>1072</v>
      </c>
      <c r="B288" s="1">
        <v>200.0</v>
      </c>
      <c r="C288" s="1" t="s">
        <v>1073</v>
      </c>
      <c r="D288" s="1" t="s">
        <v>583</v>
      </c>
      <c r="F288" s="1">
        <v>1.0</v>
      </c>
      <c r="G288" s="1">
        <v>1.0</v>
      </c>
      <c r="H288" s="1">
        <v>1.0</v>
      </c>
      <c r="I288" s="1">
        <v>1.0</v>
      </c>
      <c r="J288" s="1">
        <v>0.0</v>
      </c>
      <c r="K288" s="1">
        <v>4.0</v>
      </c>
      <c r="L288" s="1">
        <v>0.0</v>
      </c>
      <c r="M288" s="1">
        <v>1.0</v>
      </c>
    </row>
    <row r="289">
      <c r="A289" s="2" t="s">
        <v>1074</v>
      </c>
      <c r="B289" s="1">
        <v>200.0</v>
      </c>
      <c r="C289" s="1" t="s">
        <v>691</v>
      </c>
      <c r="D289" s="1" t="s">
        <v>583</v>
      </c>
    </row>
    <row r="290">
      <c r="A290" s="2" t="s">
        <v>1075</v>
      </c>
      <c r="B290" s="1">
        <v>301.0</v>
      </c>
      <c r="D290" s="1" t="s">
        <v>609</v>
      </c>
      <c r="E290" s="1" t="s">
        <v>610</v>
      </c>
    </row>
    <row r="291">
      <c r="A291" s="2" t="s">
        <v>1076</v>
      </c>
      <c r="B291" s="1">
        <v>200.0</v>
      </c>
      <c r="C291" s="1" t="s">
        <v>1077</v>
      </c>
      <c r="D291" s="1" t="s">
        <v>583</v>
      </c>
      <c r="F291" s="1">
        <v>1.0</v>
      </c>
      <c r="G291" s="1">
        <v>1.0</v>
      </c>
      <c r="H291" s="1">
        <v>0.0</v>
      </c>
      <c r="I291" s="1">
        <v>0.0</v>
      </c>
      <c r="J291" s="1">
        <v>0.0</v>
      </c>
      <c r="K291" s="1">
        <v>3.0</v>
      </c>
      <c r="L291" s="1">
        <v>0.0</v>
      </c>
      <c r="M291" s="1">
        <v>1.0</v>
      </c>
    </row>
    <row r="292">
      <c r="A292" s="2" t="s">
        <v>1078</v>
      </c>
      <c r="B292" s="1">
        <v>200.0</v>
      </c>
      <c r="C292" s="1" t="s">
        <v>1079</v>
      </c>
      <c r="D292" s="1" t="s">
        <v>583</v>
      </c>
    </row>
    <row r="293">
      <c r="A293" s="2" t="s">
        <v>1080</v>
      </c>
      <c r="B293" s="1">
        <v>200.0</v>
      </c>
      <c r="C293" s="1" t="s">
        <v>1081</v>
      </c>
      <c r="D293" s="1" t="s">
        <v>583</v>
      </c>
    </row>
    <row r="294">
      <c r="A294" s="2" t="s">
        <v>1082</v>
      </c>
      <c r="B294" s="1">
        <v>200.0</v>
      </c>
      <c r="C294" s="1" t="s">
        <v>1083</v>
      </c>
      <c r="D294" s="1" t="s">
        <v>583</v>
      </c>
    </row>
    <row r="295">
      <c r="A295" s="2" t="s">
        <v>1084</v>
      </c>
      <c r="B295" s="1">
        <v>200.0</v>
      </c>
      <c r="C295" s="1" t="s">
        <v>1085</v>
      </c>
      <c r="D295" s="1" t="s">
        <v>583</v>
      </c>
    </row>
    <row r="296">
      <c r="A296" s="2" t="s">
        <v>1086</v>
      </c>
      <c r="B296" s="1">
        <v>200.0</v>
      </c>
      <c r="C296" s="1" t="s">
        <v>1087</v>
      </c>
      <c r="D296" s="1" t="s">
        <v>583</v>
      </c>
      <c r="F296" s="1">
        <v>1.0</v>
      </c>
      <c r="G296" s="1">
        <v>1.0</v>
      </c>
      <c r="H296" s="1">
        <v>0.0</v>
      </c>
      <c r="I296" s="1">
        <v>0.0</v>
      </c>
      <c r="J296" s="1">
        <v>0.0</v>
      </c>
      <c r="K296" s="1">
        <v>5.0</v>
      </c>
      <c r="L296" s="1">
        <v>0.0</v>
      </c>
      <c r="M296" s="1">
        <v>1.0</v>
      </c>
    </row>
    <row r="297">
      <c r="A297" s="2" t="s">
        <v>1088</v>
      </c>
      <c r="B297" s="1">
        <v>200.0</v>
      </c>
      <c r="C297" s="1" t="s">
        <v>1089</v>
      </c>
      <c r="D297" s="1" t="s">
        <v>583</v>
      </c>
    </row>
    <row r="298">
      <c r="A298" s="2" t="s">
        <v>1090</v>
      </c>
      <c r="B298" s="1">
        <v>200.0</v>
      </c>
      <c r="C298" s="1" t="s">
        <v>1091</v>
      </c>
      <c r="D298" s="1" t="s">
        <v>583</v>
      </c>
    </row>
    <row r="299">
      <c r="A299" s="2" t="s">
        <v>1092</v>
      </c>
      <c r="B299" s="1">
        <v>200.0</v>
      </c>
      <c r="C299" s="1" t="s">
        <v>1093</v>
      </c>
      <c r="D299" s="1" t="s">
        <v>583</v>
      </c>
    </row>
    <row r="300">
      <c r="A300" s="2" t="s">
        <v>1094</v>
      </c>
      <c r="B300" s="1">
        <v>301.0</v>
      </c>
      <c r="D300" s="1" t="s">
        <v>609</v>
      </c>
      <c r="E300" s="1" t="s">
        <v>610</v>
      </c>
    </row>
    <row r="301">
      <c r="A301" s="2" t="s">
        <v>1095</v>
      </c>
      <c r="B301" s="1">
        <v>200.0</v>
      </c>
      <c r="C301" s="1" t="s">
        <v>1096</v>
      </c>
      <c r="D301" s="1" t="s">
        <v>583</v>
      </c>
    </row>
    <row r="302">
      <c r="A302" s="2" t="s">
        <v>1097</v>
      </c>
      <c r="B302" s="1">
        <v>200.0</v>
      </c>
      <c r="C302" s="1" t="s">
        <v>1098</v>
      </c>
      <c r="D302" s="1" t="s">
        <v>583</v>
      </c>
    </row>
    <row r="303">
      <c r="A303" s="2" t="s">
        <v>1099</v>
      </c>
      <c r="B303" s="1">
        <v>200.0</v>
      </c>
      <c r="C303" s="1" t="s">
        <v>1100</v>
      </c>
      <c r="D303" s="1" t="s">
        <v>583</v>
      </c>
      <c r="F303" s="1">
        <v>11.0</v>
      </c>
      <c r="G303" s="1">
        <v>12.0</v>
      </c>
      <c r="H303" s="1">
        <v>5.0</v>
      </c>
      <c r="I303" s="1">
        <v>0.45</v>
      </c>
      <c r="J303" s="1">
        <v>0.0</v>
      </c>
      <c r="K303" s="1">
        <v>40.0</v>
      </c>
      <c r="L303" s="1">
        <v>0.0</v>
      </c>
      <c r="M303" s="1">
        <v>10.0</v>
      </c>
    </row>
    <row r="304">
      <c r="A304" s="2" t="s">
        <v>1101</v>
      </c>
      <c r="B304" s="1">
        <v>200.0</v>
      </c>
      <c r="C304" s="1" t="s">
        <v>1102</v>
      </c>
      <c r="D304" s="1" t="s">
        <v>583</v>
      </c>
    </row>
    <row r="305">
      <c r="A305" s="2" t="s">
        <v>1103</v>
      </c>
      <c r="B305" s="1">
        <v>200.0</v>
      </c>
      <c r="C305" s="1" t="s">
        <v>1104</v>
      </c>
      <c r="D305" s="1" t="s">
        <v>583</v>
      </c>
      <c r="F305" s="1">
        <v>10.0</v>
      </c>
      <c r="G305" s="1">
        <v>11.0</v>
      </c>
      <c r="H305" s="1">
        <v>8.0</v>
      </c>
      <c r="I305" s="1">
        <v>0.8</v>
      </c>
      <c r="J305" s="1">
        <v>0.0</v>
      </c>
      <c r="K305" s="1">
        <v>40.0</v>
      </c>
      <c r="L305" s="1">
        <v>0.0</v>
      </c>
      <c r="M305" s="1">
        <v>10.0</v>
      </c>
    </row>
    <row r="306">
      <c r="A306" s="2" t="s">
        <v>1105</v>
      </c>
      <c r="B306" s="1">
        <v>200.0</v>
      </c>
      <c r="C306" s="1" t="s">
        <v>1106</v>
      </c>
      <c r="D306" s="1" t="s">
        <v>583</v>
      </c>
    </row>
    <row r="307">
      <c r="A307" s="2" t="s">
        <v>1107</v>
      </c>
      <c r="B307" s="1">
        <v>200.0</v>
      </c>
      <c r="C307" s="1" t="s">
        <v>1108</v>
      </c>
      <c r="D307" s="1" t="s">
        <v>583</v>
      </c>
    </row>
    <row r="308">
      <c r="A308" s="2" t="s">
        <v>1109</v>
      </c>
      <c r="B308" s="1">
        <v>200.0</v>
      </c>
      <c r="C308" s="1" t="s">
        <v>1110</v>
      </c>
      <c r="D308" s="1" t="s">
        <v>583</v>
      </c>
      <c r="F308" s="1">
        <v>10.0</v>
      </c>
      <c r="G308" s="1">
        <v>10.0</v>
      </c>
      <c r="H308" s="1">
        <v>7.0</v>
      </c>
      <c r="I308" s="1">
        <v>0.7</v>
      </c>
      <c r="J308" s="1">
        <v>0.0</v>
      </c>
      <c r="K308" s="1">
        <v>58.0</v>
      </c>
      <c r="L308" s="1">
        <v>0.0</v>
      </c>
      <c r="M308" s="1">
        <v>10.0</v>
      </c>
    </row>
    <row r="309">
      <c r="A309" s="2" t="s">
        <v>1111</v>
      </c>
      <c r="B309" s="1">
        <v>200.0</v>
      </c>
      <c r="C309" s="1" t="s">
        <v>1112</v>
      </c>
      <c r="D309" s="1" t="s">
        <v>583</v>
      </c>
    </row>
    <row r="310">
      <c r="A310" s="2" t="s">
        <v>1113</v>
      </c>
      <c r="B310" s="1">
        <v>200.0</v>
      </c>
      <c r="C310" s="1" t="s">
        <v>1114</v>
      </c>
      <c r="D310" s="1" t="s">
        <v>583</v>
      </c>
    </row>
    <row r="311">
      <c r="A311" s="2" t="s">
        <v>1115</v>
      </c>
      <c r="B311" s="1">
        <v>200.0</v>
      </c>
      <c r="C311" s="1" t="s">
        <v>1116</v>
      </c>
      <c r="D311" s="1" t="s">
        <v>583</v>
      </c>
    </row>
    <row r="312">
      <c r="A312" s="2" t="s">
        <v>1117</v>
      </c>
      <c r="B312" s="1">
        <v>200.0</v>
      </c>
      <c r="C312" s="1" t="s">
        <v>1118</v>
      </c>
      <c r="D312" s="1" t="s">
        <v>583</v>
      </c>
    </row>
    <row r="313">
      <c r="A313" s="2" t="s">
        <v>1119</v>
      </c>
      <c r="B313" s="1">
        <v>301.0</v>
      </c>
      <c r="D313" s="1" t="s">
        <v>609</v>
      </c>
      <c r="E313" s="1" t="s">
        <v>610</v>
      </c>
    </row>
    <row r="314">
      <c r="A314" s="2" t="s">
        <v>1120</v>
      </c>
      <c r="B314" s="1">
        <v>200.0</v>
      </c>
      <c r="C314" s="1" t="s">
        <v>1121</v>
      </c>
      <c r="D314" s="1" t="s">
        <v>583</v>
      </c>
    </row>
    <row r="315">
      <c r="A315" s="2" t="s">
        <v>1122</v>
      </c>
      <c r="B315" s="1">
        <v>200.0</v>
      </c>
      <c r="C315" s="1" t="s">
        <v>1123</v>
      </c>
      <c r="D315" s="1" t="s">
        <v>583</v>
      </c>
      <c r="F315" s="1">
        <v>1.0</v>
      </c>
      <c r="G315" s="1">
        <v>1.0</v>
      </c>
      <c r="H315" s="1">
        <v>1.0</v>
      </c>
      <c r="I315" s="1">
        <v>1.0</v>
      </c>
      <c r="J315" s="1">
        <v>0.0</v>
      </c>
      <c r="K315" s="1">
        <v>4.0</v>
      </c>
      <c r="L315" s="1">
        <v>0.0</v>
      </c>
      <c r="M315" s="1">
        <v>1.0</v>
      </c>
    </row>
    <row r="316">
      <c r="A316" s="2" t="s">
        <v>1124</v>
      </c>
      <c r="B316" s="1">
        <v>301.0</v>
      </c>
      <c r="D316" s="1" t="s">
        <v>609</v>
      </c>
      <c r="E316" s="1" t="s">
        <v>610</v>
      </c>
    </row>
    <row r="317">
      <c r="A317" s="2" t="s">
        <v>1125</v>
      </c>
      <c r="B317" s="1">
        <v>301.0</v>
      </c>
      <c r="D317" s="1" t="s">
        <v>609</v>
      </c>
      <c r="E317" s="1" t="s">
        <v>610</v>
      </c>
    </row>
    <row r="318">
      <c r="A318" s="2" t="s">
        <v>1126</v>
      </c>
      <c r="B318" s="1">
        <v>200.0</v>
      </c>
      <c r="C318" s="1" t="s">
        <v>628</v>
      </c>
      <c r="D318" s="1" t="s">
        <v>583</v>
      </c>
      <c r="F318" s="1">
        <v>2.0</v>
      </c>
      <c r="G318" s="1">
        <v>3.0</v>
      </c>
      <c r="H318" s="1">
        <v>1.0</v>
      </c>
      <c r="I318" s="1">
        <v>0.5</v>
      </c>
      <c r="J318" s="1">
        <v>0.0</v>
      </c>
      <c r="K318" s="1">
        <v>10.0</v>
      </c>
      <c r="L318" s="1">
        <v>0.0</v>
      </c>
      <c r="M318" s="1">
        <v>1.0</v>
      </c>
    </row>
    <row r="319">
      <c r="A319" s="2" t="s">
        <v>1127</v>
      </c>
      <c r="B319" s="1">
        <v>200.0</v>
      </c>
      <c r="C319" s="1" t="s">
        <v>1128</v>
      </c>
      <c r="D319" s="1" t="s">
        <v>583</v>
      </c>
    </row>
    <row r="320">
      <c r="A320" s="2" t="s">
        <v>1129</v>
      </c>
      <c r="B320" s="1">
        <v>200.0</v>
      </c>
      <c r="C320" s="1" t="s">
        <v>1130</v>
      </c>
      <c r="D320" s="1" t="s">
        <v>583</v>
      </c>
      <c r="F320" s="1">
        <v>2.0</v>
      </c>
      <c r="G320" s="1">
        <v>3.0</v>
      </c>
      <c r="H320" s="1">
        <v>2.0</v>
      </c>
      <c r="I320" s="1">
        <v>1.0</v>
      </c>
      <c r="J320" s="1">
        <v>0.0</v>
      </c>
      <c r="K320" s="1">
        <v>9.0</v>
      </c>
      <c r="L320" s="1">
        <v>0.0</v>
      </c>
      <c r="M320" s="1">
        <v>1.0</v>
      </c>
    </row>
    <row r="321">
      <c r="A321" s="2" t="s">
        <v>1131</v>
      </c>
      <c r="B321" s="1">
        <v>301.0</v>
      </c>
      <c r="D321" s="1" t="s">
        <v>609</v>
      </c>
      <c r="E321" s="1" t="s">
        <v>610</v>
      </c>
    </row>
    <row r="322">
      <c r="A322" s="2" t="s">
        <v>1132</v>
      </c>
      <c r="B322" s="1">
        <v>200.0</v>
      </c>
      <c r="C322" s="1" t="s">
        <v>1133</v>
      </c>
      <c r="D322" s="1" t="s">
        <v>583</v>
      </c>
    </row>
    <row r="323">
      <c r="A323" s="2" t="s">
        <v>1134</v>
      </c>
      <c r="B323" s="1">
        <v>200.0</v>
      </c>
      <c r="C323" s="1" t="s">
        <v>1135</v>
      </c>
      <c r="D323" s="1" t="s">
        <v>583</v>
      </c>
    </row>
    <row r="324">
      <c r="A324" s="2" t="s">
        <v>1136</v>
      </c>
      <c r="B324" s="1">
        <v>200.0</v>
      </c>
      <c r="C324" s="1" t="s">
        <v>1137</v>
      </c>
      <c r="D324" s="1" t="s">
        <v>583</v>
      </c>
    </row>
    <row r="325">
      <c r="A325" s="2" t="s">
        <v>1138</v>
      </c>
      <c r="B325" s="1">
        <v>301.0</v>
      </c>
      <c r="D325" s="1" t="s">
        <v>609</v>
      </c>
      <c r="E325" s="1" t="s">
        <v>610</v>
      </c>
      <c r="F325" s="1">
        <v>4.0</v>
      </c>
      <c r="G325" s="1">
        <v>7.0</v>
      </c>
      <c r="H325" s="1">
        <v>3.0</v>
      </c>
      <c r="I325" s="1">
        <v>0.75</v>
      </c>
      <c r="J325" s="1">
        <v>1.0</v>
      </c>
      <c r="K325" s="1">
        <v>24.0</v>
      </c>
      <c r="L325" s="1">
        <v>0.0</v>
      </c>
      <c r="M325" s="1">
        <v>3.0</v>
      </c>
    </row>
    <row r="326">
      <c r="A326" s="2" t="s">
        <v>1139</v>
      </c>
      <c r="B326" s="1">
        <v>200.0</v>
      </c>
      <c r="C326" s="1" t="s">
        <v>1140</v>
      </c>
      <c r="D326" s="1" t="s">
        <v>583</v>
      </c>
    </row>
    <row r="327">
      <c r="A327" s="2" t="s">
        <v>1141</v>
      </c>
      <c r="B327" s="1">
        <v>200.0</v>
      </c>
      <c r="C327" s="1" t="s">
        <v>1142</v>
      </c>
      <c r="D327" s="1" t="s">
        <v>583</v>
      </c>
    </row>
    <row r="328">
      <c r="A328" s="2" t="s">
        <v>1143</v>
      </c>
      <c r="B328" s="1">
        <v>200.0</v>
      </c>
      <c r="C328" s="1" t="s">
        <v>1144</v>
      </c>
      <c r="D328" s="1" t="s">
        <v>583</v>
      </c>
    </row>
    <row r="329">
      <c r="A329" s="2" t="s">
        <v>1145</v>
      </c>
      <c r="B329" s="1">
        <v>200.0</v>
      </c>
      <c r="C329" s="1" t="s">
        <v>1146</v>
      </c>
      <c r="D329" s="1" t="s">
        <v>583</v>
      </c>
      <c r="F329" s="1">
        <v>1.0</v>
      </c>
      <c r="G329" s="1">
        <v>1.0</v>
      </c>
      <c r="H329" s="1">
        <v>0.0</v>
      </c>
      <c r="I329" s="1">
        <v>0.0</v>
      </c>
      <c r="J329" s="1">
        <v>0.0</v>
      </c>
      <c r="K329" s="1">
        <v>3.0</v>
      </c>
      <c r="L329" s="1">
        <v>0.0</v>
      </c>
      <c r="M329" s="1">
        <v>1.0</v>
      </c>
    </row>
    <row r="330">
      <c r="A330" s="2" t="s">
        <v>1147</v>
      </c>
      <c r="B330" s="1">
        <v>200.0</v>
      </c>
      <c r="C330" s="1" t="s">
        <v>1148</v>
      </c>
      <c r="D330" s="1" t="s">
        <v>583</v>
      </c>
    </row>
    <row r="331">
      <c r="A331" s="2" t="s">
        <v>1149</v>
      </c>
      <c r="B331" s="1">
        <v>200.0</v>
      </c>
      <c r="C331" s="1" t="s">
        <v>1150</v>
      </c>
      <c r="D331" s="1" t="s">
        <v>583</v>
      </c>
    </row>
    <row r="332">
      <c r="A332" s="2" t="s">
        <v>1151</v>
      </c>
      <c r="B332" s="1">
        <v>301.0</v>
      </c>
      <c r="D332" s="1" t="s">
        <v>609</v>
      </c>
      <c r="E332" s="1" t="s">
        <v>610</v>
      </c>
    </row>
    <row r="333">
      <c r="A333" s="2" t="s">
        <v>1152</v>
      </c>
      <c r="B333" s="1">
        <v>301.0</v>
      </c>
      <c r="D333" s="1" t="s">
        <v>609</v>
      </c>
      <c r="E333" s="1" t="s">
        <v>610</v>
      </c>
    </row>
    <row r="334">
      <c r="A334" s="2" t="s">
        <v>1153</v>
      </c>
      <c r="B334" s="1">
        <v>301.0</v>
      </c>
      <c r="D334" s="1" t="s">
        <v>609</v>
      </c>
      <c r="E334" s="1" t="s">
        <v>610</v>
      </c>
    </row>
    <row r="335">
      <c r="A335" s="2" t="s">
        <v>1154</v>
      </c>
      <c r="B335" s="1">
        <v>301.0</v>
      </c>
      <c r="D335" s="1" t="s">
        <v>609</v>
      </c>
      <c r="E335" s="1" t="s">
        <v>610</v>
      </c>
    </row>
    <row r="336">
      <c r="A336" s="2" t="s">
        <v>1155</v>
      </c>
      <c r="B336" s="1">
        <v>301.0</v>
      </c>
      <c r="D336" s="1" t="s">
        <v>609</v>
      </c>
      <c r="E336" s="1" t="s">
        <v>610</v>
      </c>
    </row>
    <row r="337">
      <c r="A337" s="2" t="s">
        <v>1156</v>
      </c>
      <c r="B337" s="1">
        <v>301.0</v>
      </c>
      <c r="D337" s="1" t="s">
        <v>609</v>
      </c>
      <c r="E337" s="1" t="s">
        <v>610</v>
      </c>
      <c r="F337" s="1">
        <v>2.0</v>
      </c>
      <c r="G337" s="1">
        <v>5.0</v>
      </c>
      <c r="H337" s="1">
        <v>1.0</v>
      </c>
      <c r="I337" s="1">
        <v>0.5</v>
      </c>
      <c r="J337" s="1">
        <v>0.0</v>
      </c>
      <c r="K337" s="1">
        <v>12.0</v>
      </c>
      <c r="L337" s="1">
        <v>0.0</v>
      </c>
      <c r="M337" s="1">
        <v>1.0</v>
      </c>
    </row>
    <row r="338">
      <c r="A338" s="2" t="s">
        <v>1157</v>
      </c>
      <c r="B338" s="1">
        <v>301.0</v>
      </c>
      <c r="D338" s="1" t="s">
        <v>609</v>
      </c>
      <c r="E338" s="1" t="s">
        <v>610</v>
      </c>
    </row>
    <row r="339">
      <c r="A339" s="2" t="s">
        <v>1158</v>
      </c>
      <c r="B339" s="1">
        <v>200.0</v>
      </c>
      <c r="C339" s="1" t="s">
        <v>655</v>
      </c>
      <c r="D339" s="1" t="s">
        <v>609</v>
      </c>
      <c r="E339" s="1" t="s">
        <v>631</v>
      </c>
    </row>
    <row r="340">
      <c r="A340" s="2" t="s">
        <v>1159</v>
      </c>
      <c r="B340" s="1">
        <v>301.0</v>
      </c>
      <c r="D340" s="1" t="s">
        <v>609</v>
      </c>
      <c r="E340" s="1" t="s">
        <v>610</v>
      </c>
      <c r="F340" s="1">
        <v>1.0</v>
      </c>
      <c r="G340" s="1">
        <v>1.0</v>
      </c>
      <c r="H340" s="1">
        <v>0.0</v>
      </c>
      <c r="I340" s="1">
        <v>0.0</v>
      </c>
      <c r="J340" s="1">
        <v>0.0</v>
      </c>
      <c r="K340" s="1">
        <v>3.0</v>
      </c>
      <c r="L340" s="1">
        <v>0.0</v>
      </c>
      <c r="M340" s="1">
        <v>1.0</v>
      </c>
    </row>
    <row r="341">
      <c r="A341" s="2" t="s">
        <v>1160</v>
      </c>
      <c r="B341" s="1">
        <v>200.0</v>
      </c>
      <c r="C341" s="1" t="s">
        <v>1161</v>
      </c>
      <c r="D341" s="1" t="s">
        <v>583</v>
      </c>
      <c r="F341" s="1">
        <v>2.0</v>
      </c>
      <c r="G341" s="1">
        <v>3.0</v>
      </c>
      <c r="H341" s="1">
        <v>2.0</v>
      </c>
      <c r="I341" s="1">
        <v>1.0</v>
      </c>
      <c r="J341" s="1">
        <v>0.0</v>
      </c>
      <c r="K341" s="1">
        <v>24.0</v>
      </c>
      <c r="L341" s="1">
        <v>0.0</v>
      </c>
      <c r="M341" s="1">
        <v>2.0</v>
      </c>
    </row>
    <row r="342">
      <c r="A342" s="2" t="s">
        <v>1162</v>
      </c>
      <c r="B342" s="1">
        <v>200.0</v>
      </c>
      <c r="C342" s="1" t="s">
        <v>1163</v>
      </c>
      <c r="D342" s="1" t="s">
        <v>583</v>
      </c>
      <c r="F342" s="1">
        <v>4.0</v>
      </c>
      <c r="G342" s="1">
        <v>6.0</v>
      </c>
      <c r="H342" s="1">
        <v>3.0</v>
      </c>
      <c r="I342" s="1">
        <v>0.75</v>
      </c>
      <c r="J342" s="1">
        <v>0.0</v>
      </c>
      <c r="K342" s="1">
        <v>22.0</v>
      </c>
      <c r="L342" s="1">
        <v>0.0</v>
      </c>
      <c r="M342" s="1">
        <v>2.0</v>
      </c>
    </row>
    <row r="343">
      <c r="A343" s="2" t="s">
        <v>1164</v>
      </c>
      <c r="B343" s="1">
        <v>200.0</v>
      </c>
      <c r="C343" s="1" t="s">
        <v>1165</v>
      </c>
      <c r="D343" s="1" t="s">
        <v>583</v>
      </c>
      <c r="F343" s="1">
        <v>1.0</v>
      </c>
      <c r="G343" s="1">
        <v>1.0</v>
      </c>
      <c r="H343" s="1">
        <v>0.0</v>
      </c>
      <c r="I343" s="1">
        <v>0.0</v>
      </c>
      <c r="J343" s="1">
        <v>0.0</v>
      </c>
      <c r="K343" s="1">
        <v>3.0</v>
      </c>
      <c r="L343" s="1">
        <v>0.0</v>
      </c>
      <c r="M343" s="1">
        <v>1.0</v>
      </c>
    </row>
    <row r="344">
      <c r="A344" s="2" t="s">
        <v>1166</v>
      </c>
      <c r="B344" s="1">
        <v>200.0</v>
      </c>
      <c r="C344" s="1" t="s">
        <v>1167</v>
      </c>
      <c r="D344" s="1" t="s">
        <v>583</v>
      </c>
    </row>
    <row r="345">
      <c r="A345" s="2" t="s">
        <v>1168</v>
      </c>
      <c r="B345" s="1">
        <v>200.0</v>
      </c>
      <c r="C345" s="1" t="s">
        <v>1169</v>
      </c>
      <c r="D345" s="1" t="s">
        <v>583</v>
      </c>
    </row>
    <row r="346">
      <c r="A346" s="2" t="s">
        <v>1170</v>
      </c>
      <c r="B346" s="1">
        <v>200.0</v>
      </c>
      <c r="C346" s="1" t="s">
        <v>1171</v>
      </c>
      <c r="D346" s="1" t="s">
        <v>583</v>
      </c>
    </row>
    <row r="347">
      <c r="A347" s="2" t="s">
        <v>1172</v>
      </c>
      <c r="B347" s="1">
        <v>301.0</v>
      </c>
      <c r="D347" s="1" t="s">
        <v>609</v>
      </c>
      <c r="E347" s="1" t="s">
        <v>610</v>
      </c>
      <c r="F347" s="1">
        <v>2.0</v>
      </c>
      <c r="G347" s="1">
        <v>2.0</v>
      </c>
      <c r="H347" s="1">
        <v>1.0</v>
      </c>
      <c r="I347" s="1">
        <v>0.5</v>
      </c>
      <c r="J347" s="1">
        <v>0.0</v>
      </c>
      <c r="K347" s="1">
        <v>7.0</v>
      </c>
      <c r="L347" s="1">
        <v>0.0</v>
      </c>
      <c r="M347" s="1">
        <v>2.0</v>
      </c>
    </row>
    <row r="348">
      <c r="A348" s="2" t="s">
        <v>1173</v>
      </c>
      <c r="B348" s="1">
        <v>200.0</v>
      </c>
      <c r="C348" s="1" t="s">
        <v>1174</v>
      </c>
      <c r="D348" s="1" t="s">
        <v>583</v>
      </c>
    </row>
    <row r="349">
      <c r="A349" s="2" t="s">
        <v>1175</v>
      </c>
      <c r="B349" s="1">
        <v>200.0</v>
      </c>
      <c r="C349" s="1" t="s">
        <v>1176</v>
      </c>
      <c r="D349" s="1" t="s">
        <v>583</v>
      </c>
      <c r="F349" s="1">
        <v>1.0</v>
      </c>
      <c r="G349" s="1">
        <v>2.0</v>
      </c>
      <c r="H349" s="1">
        <v>1.0</v>
      </c>
      <c r="I349" s="1">
        <v>1.0</v>
      </c>
      <c r="J349" s="1">
        <v>0.0</v>
      </c>
      <c r="K349" s="1">
        <v>19.0</v>
      </c>
      <c r="L349" s="1">
        <v>0.0</v>
      </c>
      <c r="M349" s="1">
        <v>1.0</v>
      </c>
    </row>
    <row r="350">
      <c r="A350" s="2" t="s">
        <v>1177</v>
      </c>
      <c r="B350" s="1">
        <v>200.0</v>
      </c>
      <c r="C350" s="1" t="s">
        <v>1178</v>
      </c>
      <c r="D350" s="1" t="s">
        <v>583</v>
      </c>
    </row>
    <row r="351">
      <c r="A351" s="2" t="s">
        <v>1179</v>
      </c>
      <c r="B351" s="1">
        <v>200.0</v>
      </c>
      <c r="C351" s="1" t="s">
        <v>1180</v>
      </c>
      <c r="D351" s="1" t="s">
        <v>583</v>
      </c>
      <c r="F351" s="1">
        <v>1.0</v>
      </c>
      <c r="G351" s="1">
        <v>2.0</v>
      </c>
      <c r="H351" s="1">
        <v>1.0</v>
      </c>
      <c r="I351" s="1">
        <v>1.0</v>
      </c>
      <c r="J351" s="1">
        <v>0.0</v>
      </c>
      <c r="K351" s="1">
        <v>5.0</v>
      </c>
      <c r="L351" s="1">
        <v>0.0</v>
      </c>
      <c r="M351" s="1">
        <v>1.0</v>
      </c>
    </row>
    <row r="352">
      <c r="A352" s="2" t="s">
        <v>1181</v>
      </c>
      <c r="B352" s="1">
        <v>200.0</v>
      </c>
      <c r="C352" s="1" t="s">
        <v>1182</v>
      </c>
      <c r="D352" s="1" t="s">
        <v>583</v>
      </c>
    </row>
    <row r="353">
      <c r="A353" s="2" t="s">
        <v>1183</v>
      </c>
      <c r="B353" s="1">
        <v>200.0</v>
      </c>
      <c r="C353" s="1" t="s">
        <v>1184</v>
      </c>
      <c r="D353" s="1" t="s">
        <v>583</v>
      </c>
    </row>
    <row r="354">
      <c r="A354" s="2" t="s">
        <v>1185</v>
      </c>
      <c r="B354" s="1">
        <v>200.0</v>
      </c>
      <c r="C354" s="1" t="s">
        <v>880</v>
      </c>
      <c r="D354" s="1" t="s">
        <v>609</v>
      </c>
      <c r="E354" s="1" t="s">
        <v>631</v>
      </c>
    </row>
    <row r="355">
      <c r="A355" s="2" t="s">
        <v>1186</v>
      </c>
      <c r="B355" s="1">
        <v>200.0</v>
      </c>
      <c r="C355" s="1" t="s">
        <v>889</v>
      </c>
      <c r="D355" s="1" t="s">
        <v>609</v>
      </c>
      <c r="E355" s="1" t="s">
        <v>631</v>
      </c>
    </row>
    <row r="356">
      <c r="A356" s="2" t="s">
        <v>1187</v>
      </c>
      <c r="B356" s="1">
        <v>200.0</v>
      </c>
      <c r="C356" s="1" t="s">
        <v>873</v>
      </c>
      <c r="D356" s="1" t="s">
        <v>609</v>
      </c>
      <c r="E356" s="1" t="s">
        <v>631</v>
      </c>
    </row>
    <row r="357">
      <c r="A357" s="2" t="s">
        <v>1188</v>
      </c>
      <c r="B357" s="1">
        <v>200.0</v>
      </c>
      <c r="C357" s="1" t="s">
        <v>672</v>
      </c>
      <c r="D357" s="1" t="s">
        <v>583</v>
      </c>
    </row>
    <row r="358">
      <c r="A358" s="2" t="s">
        <v>1189</v>
      </c>
      <c r="B358" s="1">
        <v>200.0</v>
      </c>
      <c r="C358" s="1" t="s">
        <v>922</v>
      </c>
      <c r="D358" s="1" t="s">
        <v>609</v>
      </c>
      <c r="E358" s="1" t="s">
        <v>631</v>
      </c>
    </row>
    <row r="359">
      <c r="A359" s="2" t="s">
        <v>1190</v>
      </c>
      <c r="B359" s="1">
        <v>200.0</v>
      </c>
      <c r="C359" s="1" t="s">
        <v>926</v>
      </c>
      <c r="D359" s="1" t="s">
        <v>609</v>
      </c>
      <c r="E359" s="1" t="s">
        <v>631</v>
      </c>
    </row>
    <row r="360">
      <c r="A360" s="2" t="s">
        <v>1191</v>
      </c>
      <c r="B360" s="1">
        <v>200.0</v>
      </c>
      <c r="C360" s="1" t="s">
        <v>915</v>
      </c>
      <c r="D360" s="1" t="s">
        <v>609</v>
      </c>
      <c r="E360" s="1" t="s">
        <v>631</v>
      </c>
    </row>
    <row r="361">
      <c r="A361" s="2" t="s">
        <v>1192</v>
      </c>
      <c r="B361" s="1">
        <v>200.0</v>
      </c>
      <c r="C361" s="1" t="s">
        <v>887</v>
      </c>
      <c r="D361" s="1" t="s">
        <v>609</v>
      </c>
      <c r="E361" s="1" t="s">
        <v>631</v>
      </c>
    </row>
    <row r="362">
      <c r="A362" s="2" t="s">
        <v>1193</v>
      </c>
      <c r="B362" s="1">
        <v>200.0</v>
      </c>
      <c r="C362" s="1" t="s">
        <v>868</v>
      </c>
      <c r="D362" s="1" t="s">
        <v>609</v>
      </c>
      <c r="E362" s="1" t="s">
        <v>631</v>
      </c>
    </row>
    <row r="363">
      <c r="A363" s="2" t="s">
        <v>1194</v>
      </c>
      <c r="B363" s="1">
        <v>200.0</v>
      </c>
      <c r="C363" s="1" t="s">
        <v>1195</v>
      </c>
      <c r="D363" s="1" t="s">
        <v>583</v>
      </c>
      <c r="F363" s="1">
        <v>1.0</v>
      </c>
      <c r="G363" s="1">
        <v>2.0</v>
      </c>
      <c r="H363" s="1">
        <v>1.0</v>
      </c>
      <c r="I363" s="1">
        <v>1.0</v>
      </c>
      <c r="J363" s="1">
        <v>0.0</v>
      </c>
      <c r="K363" s="1">
        <v>5.0</v>
      </c>
      <c r="L363" s="1">
        <v>0.0</v>
      </c>
      <c r="M363" s="1">
        <v>1.0</v>
      </c>
    </row>
    <row r="364">
      <c r="A364" s="2" t="s">
        <v>1196</v>
      </c>
      <c r="B364" s="1">
        <v>200.0</v>
      </c>
      <c r="C364" s="1" t="s">
        <v>663</v>
      </c>
      <c r="D364" s="1" t="s">
        <v>609</v>
      </c>
      <c r="E364" s="1" t="s">
        <v>664</v>
      </c>
    </row>
    <row r="365">
      <c r="A365" s="2" t="s">
        <v>1197</v>
      </c>
      <c r="B365" s="1">
        <v>200.0</v>
      </c>
      <c r="C365" s="1" t="s">
        <v>643</v>
      </c>
      <c r="D365" s="1" t="s">
        <v>609</v>
      </c>
      <c r="E365" s="1" t="s">
        <v>631</v>
      </c>
    </row>
    <row r="366">
      <c r="A366" s="2" t="s">
        <v>1198</v>
      </c>
      <c r="B366" s="1">
        <v>200.0</v>
      </c>
      <c r="C366" s="1" t="s">
        <v>1199</v>
      </c>
      <c r="D366" s="1" t="s">
        <v>583</v>
      </c>
      <c r="F366" s="1">
        <v>1.0</v>
      </c>
      <c r="G366" s="1">
        <v>1.0</v>
      </c>
      <c r="H366" s="1">
        <v>0.0</v>
      </c>
      <c r="I366" s="1">
        <v>0.0</v>
      </c>
      <c r="J366" s="1">
        <v>0.0</v>
      </c>
      <c r="K366" s="1">
        <v>3.0</v>
      </c>
      <c r="L366" s="1">
        <v>0.0</v>
      </c>
      <c r="M366" s="1">
        <v>1.0</v>
      </c>
    </row>
    <row r="367">
      <c r="A367" s="2" t="s">
        <v>1200</v>
      </c>
      <c r="B367" s="1">
        <v>200.0</v>
      </c>
      <c r="C367" s="1" t="s">
        <v>1201</v>
      </c>
      <c r="D367" s="1" t="s">
        <v>583</v>
      </c>
      <c r="F367" s="1">
        <v>2.0</v>
      </c>
      <c r="G367" s="1">
        <v>2.0</v>
      </c>
      <c r="H367" s="1">
        <v>0.0</v>
      </c>
      <c r="I367" s="1">
        <v>0.0</v>
      </c>
      <c r="J367" s="1">
        <v>0.0</v>
      </c>
      <c r="K367" s="1">
        <v>6.0</v>
      </c>
      <c r="L367" s="1">
        <v>0.0</v>
      </c>
      <c r="M367" s="1">
        <v>2.0</v>
      </c>
    </row>
    <row r="368">
      <c r="A368" s="2" t="s">
        <v>1202</v>
      </c>
      <c r="B368" s="1">
        <v>200.0</v>
      </c>
      <c r="C368" s="1" t="s">
        <v>1203</v>
      </c>
      <c r="D368" s="1" t="s">
        <v>583</v>
      </c>
      <c r="F368" s="1">
        <v>1.0</v>
      </c>
      <c r="G368" s="1">
        <v>1.0</v>
      </c>
      <c r="H368" s="1">
        <v>1.0</v>
      </c>
      <c r="I368" s="1">
        <v>1.0</v>
      </c>
      <c r="J368" s="1">
        <v>0.0</v>
      </c>
      <c r="K368" s="1">
        <v>4.0</v>
      </c>
      <c r="L368" s="1">
        <v>0.0</v>
      </c>
      <c r="M368" s="1">
        <v>1.0</v>
      </c>
    </row>
    <row r="369">
      <c r="A369" s="2" t="s">
        <v>1204</v>
      </c>
      <c r="B369" s="1">
        <v>200.0</v>
      </c>
      <c r="C369" s="1" t="s">
        <v>1205</v>
      </c>
      <c r="D369" s="1" t="s">
        <v>583</v>
      </c>
      <c r="F369" s="1">
        <v>3.0</v>
      </c>
      <c r="G369" s="1">
        <v>4.0</v>
      </c>
      <c r="H369" s="1">
        <v>1.0</v>
      </c>
      <c r="I369" s="1">
        <v>0.33</v>
      </c>
      <c r="J369" s="1">
        <v>0.0</v>
      </c>
      <c r="K369" s="1">
        <v>13.0</v>
      </c>
      <c r="L369" s="1">
        <v>0.0</v>
      </c>
      <c r="M369" s="1">
        <v>3.0</v>
      </c>
    </row>
    <row r="370">
      <c r="A370" s="2" t="s">
        <v>1206</v>
      </c>
      <c r="B370" s="1">
        <v>301.0</v>
      </c>
      <c r="D370" s="1" t="s">
        <v>609</v>
      </c>
      <c r="E370" s="1" t="s">
        <v>610</v>
      </c>
    </row>
    <row r="371">
      <c r="A371" s="2" t="s">
        <v>1207</v>
      </c>
      <c r="B371" s="1">
        <v>200.0</v>
      </c>
      <c r="C371" s="1" t="s">
        <v>1208</v>
      </c>
      <c r="D371" s="1" t="s">
        <v>583</v>
      </c>
      <c r="F371" s="1">
        <v>1.0</v>
      </c>
      <c r="G371" s="1">
        <v>1.0</v>
      </c>
      <c r="H371" s="1">
        <v>0.0</v>
      </c>
      <c r="I371" s="1">
        <v>0.0</v>
      </c>
      <c r="J371" s="1">
        <v>0.0</v>
      </c>
      <c r="K371" s="1">
        <v>3.0</v>
      </c>
      <c r="L371" s="1">
        <v>0.0</v>
      </c>
      <c r="M371" s="1">
        <v>1.0</v>
      </c>
    </row>
    <row r="372">
      <c r="A372" s="2" t="s">
        <v>1209</v>
      </c>
      <c r="B372" s="1">
        <v>301.0</v>
      </c>
      <c r="D372" s="1" t="s">
        <v>609</v>
      </c>
      <c r="E372" s="1" t="s">
        <v>610</v>
      </c>
    </row>
    <row r="373">
      <c r="A373" s="2" t="s">
        <v>1210</v>
      </c>
      <c r="B373" s="1">
        <v>200.0</v>
      </c>
      <c r="C373" s="1" t="s">
        <v>1211</v>
      </c>
      <c r="D373" s="1" t="s">
        <v>583</v>
      </c>
      <c r="F373" s="1">
        <v>2.0</v>
      </c>
      <c r="G373" s="1">
        <v>3.0</v>
      </c>
      <c r="H373" s="1">
        <v>2.0</v>
      </c>
      <c r="I373" s="1">
        <v>1.0</v>
      </c>
      <c r="J373" s="1">
        <v>0.0</v>
      </c>
      <c r="K373" s="1">
        <v>10.0</v>
      </c>
      <c r="L373" s="1">
        <v>0.0</v>
      </c>
      <c r="M373" s="1">
        <v>2.0</v>
      </c>
    </row>
    <row r="374">
      <c r="A374" s="2" t="s">
        <v>1212</v>
      </c>
      <c r="B374" s="1">
        <v>301.0</v>
      </c>
      <c r="D374" s="1" t="s">
        <v>609</v>
      </c>
      <c r="E374" s="1" t="s">
        <v>610</v>
      </c>
    </row>
    <row r="375">
      <c r="A375" s="2" t="s">
        <v>1213</v>
      </c>
      <c r="B375" s="1">
        <v>200.0</v>
      </c>
      <c r="C375" s="1" t="s">
        <v>1214</v>
      </c>
      <c r="D375" s="1" t="s">
        <v>583</v>
      </c>
      <c r="F375" s="1">
        <v>1.0</v>
      </c>
      <c r="G375" s="1">
        <v>1.0</v>
      </c>
      <c r="H375" s="1">
        <v>0.0</v>
      </c>
      <c r="I375" s="1">
        <v>0.0</v>
      </c>
      <c r="J375" s="1">
        <v>0.0</v>
      </c>
      <c r="K375" s="1">
        <v>4.0</v>
      </c>
      <c r="L375" s="1">
        <v>0.0</v>
      </c>
      <c r="M375" s="1">
        <v>1.0</v>
      </c>
    </row>
    <row r="376">
      <c r="A376" s="2" t="s">
        <v>1215</v>
      </c>
      <c r="B376" s="1">
        <v>200.0</v>
      </c>
      <c r="C376" s="1" t="s">
        <v>1216</v>
      </c>
      <c r="D376" s="1" t="s">
        <v>583</v>
      </c>
    </row>
    <row r="377">
      <c r="A377" s="2" t="s">
        <v>1217</v>
      </c>
      <c r="B377" s="1">
        <v>200.0</v>
      </c>
      <c r="C377" s="1" t="s">
        <v>1216</v>
      </c>
      <c r="D377" s="1" t="s">
        <v>583</v>
      </c>
    </row>
    <row r="378">
      <c r="A378" s="2" t="s">
        <v>1218</v>
      </c>
      <c r="B378" s="1">
        <v>301.0</v>
      </c>
      <c r="D378" s="1" t="s">
        <v>609</v>
      </c>
      <c r="E378" s="1" t="s">
        <v>610</v>
      </c>
      <c r="F378" s="1">
        <v>5.0</v>
      </c>
      <c r="G378" s="1">
        <v>11.0</v>
      </c>
      <c r="H378" s="1">
        <v>3.0</v>
      </c>
      <c r="I378" s="1">
        <v>0.6</v>
      </c>
      <c r="J378" s="1">
        <v>0.0</v>
      </c>
      <c r="K378" s="1">
        <v>47.0</v>
      </c>
      <c r="L378" s="1">
        <v>0.0</v>
      </c>
      <c r="M378" s="1">
        <v>4.0</v>
      </c>
    </row>
    <row r="379">
      <c r="A379" s="2" t="s">
        <v>1219</v>
      </c>
      <c r="B379" s="1">
        <v>200.0</v>
      </c>
      <c r="C379" s="1" t="s">
        <v>1220</v>
      </c>
      <c r="D379" s="1" t="s">
        <v>583</v>
      </c>
      <c r="F379" s="1">
        <v>5.0</v>
      </c>
      <c r="G379" s="1">
        <v>5.0</v>
      </c>
      <c r="H379" s="1">
        <v>2.0</v>
      </c>
      <c r="I379" s="1">
        <v>0.4</v>
      </c>
      <c r="J379" s="1">
        <v>0.0</v>
      </c>
      <c r="K379" s="1">
        <v>18.0</v>
      </c>
      <c r="L379" s="1">
        <v>0.0</v>
      </c>
      <c r="M379" s="1">
        <v>5.0</v>
      </c>
    </row>
    <row r="380">
      <c r="A380" s="2" t="s">
        <v>1221</v>
      </c>
      <c r="B380" s="1">
        <v>200.0</v>
      </c>
      <c r="C380" s="1" t="s">
        <v>1222</v>
      </c>
      <c r="D380" s="1" t="s">
        <v>583</v>
      </c>
    </row>
    <row r="381">
      <c r="A381" s="2" t="s">
        <v>1223</v>
      </c>
      <c r="B381" s="1">
        <v>200.0</v>
      </c>
      <c r="C381" s="1" t="s">
        <v>1224</v>
      </c>
      <c r="D381" s="1" t="s">
        <v>583</v>
      </c>
      <c r="F381" s="1">
        <v>4.0</v>
      </c>
      <c r="G381" s="1">
        <v>4.0</v>
      </c>
      <c r="H381" s="1">
        <v>1.0</v>
      </c>
      <c r="I381" s="1">
        <v>0.25</v>
      </c>
      <c r="J381" s="1">
        <v>0.0</v>
      </c>
      <c r="K381" s="1">
        <v>14.0</v>
      </c>
      <c r="L381" s="1">
        <v>0.0</v>
      </c>
      <c r="M381" s="1">
        <v>4.0</v>
      </c>
    </row>
    <row r="382">
      <c r="A382" s="2" t="s">
        <v>1225</v>
      </c>
      <c r="B382" s="1">
        <v>301.0</v>
      </c>
      <c r="D382" s="1" t="s">
        <v>609</v>
      </c>
      <c r="E382" s="1" t="s">
        <v>610</v>
      </c>
    </row>
    <row r="383">
      <c r="A383" s="2" t="s">
        <v>1226</v>
      </c>
      <c r="B383" s="1">
        <v>200.0</v>
      </c>
      <c r="C383" s="1" t="s">
        <v>1227</v>
      </c>
      <c r="D383" s="1" t="s">
        <v>583</v>
      </c>
    </row>
    <row r="384">
      <c r="A384" s="2" t="s">
        <v>1228</v>
      </c>
      <c r="B384" s="1">
        <v>200.0</v>
      </c>
      <c r="C384" s="1" t="s">
        <v>1229</v>
      </c>
      <c r="D384" s="1" t="s">
        <v>583</v>
      </c>
    </row>
    <row r="385">
      <c r="A385" s="2" t="s">
        <v>1230</v>
      </c>
      <c r="B385" s="1">
        <v>200.0</v>
      </c>
      <c r="C385" s="1" t="s">
        <v>1231</v>
      </c>
      <c r="D385" s="1" t="s">
        <v>609</v>
      </c>
      <c r="E385" s="1" t="s">
        <v>631</v>
      </c>
    </row>
    <row r="386">
      <c r="A386" s="2" t="s">
        <v>1232</v>
      </c>
      <c r="B386" s="1">
        <v>301.0</v>
      </c>
      <c r="D386" s="1" t="s">
        <v>609</v>
      </c>
      <c r="E386" s="1" t="s">
        <v>610</v>
      </c>
    </row>
    <row r="387">
      <c r="A387" s="2" t="s">
        <v>1233</v>
      </c>
      <c r="B387" s="1">
        <v>301.0</v>
      </c>
      <c r="D387" s="1" t="s">
        <v>609</v>
      </c>
      <c r="E387" s="1" t="s">
        <v>610</v>
      </c>
    </row>
    <row r="388">
      <c r="A388" s="2" t="s">
        <v>1234</v>
      </c>
      <c r="B388" s="1">
        <v>200.0</v>
      </c>
      <c r="C388" s="1" t="s">
        <v>917</v>
      </c>
      <c r="D388" s="1" t="s">
        <v>583</v>
      </c>
    </row>
    <row r="389">
      <c r="A389" s="2" t="s">
        <v>1235</v>
      </c>
      <c r="B389" s="1">
        <v>301.0</v>
      </c>
      <c r="D389" s="1" t="s">
        <v>609</v>
      </c>
      <c r="E389" s="1" t="s">
        <v>610</v>
      </c>
    </row>
    <row r="390">
      <c r="A390" s="2" t="s">
        <v>1236</v>
      </c>
      <c r="B390" s="1">
        <v>200.0</v>
      </c>
      <c r="C390" s="1" t="s">
        <v>1237</v>
      </c>
      <c r="D390" s="1" t="s">
        <v>609</v>
      </c>
      <c r="E390" s="1" t="s">
        <v>631</v>
      </c>
    </row>
    <row r="391">
      <c r="A391" s="2" t="s">
        <v>1238</v>
      </c>
      <c r="B391" s="1">
        <v>301.0</v>
      </c>
      <c r="D391" s="1" t="s">
        <v>609</v>
      </c>
      <c r="E391" s="1" t="s">
        <v>610</v>
      </c>
    </row>
    <row r="392">
      <c r="A392" s="2" t="s">
        <v>1239</v>
      </c>
      <c r="B392" s="1">
        <v>200.0</v>
      </c>
      <c r="C392" s="1" t="s">
        <v>1240</v>
      </c>
      <c r="D392" s="1" t="s">
        <v>583</v>
      </c>
    </row>
    <row r="393">
      <c r="A393" s="2" t="s">
        <v>1241</v>
      </c>
      <c r="B393" s="1">
        <v>301.0</v>
      </c>
      <c r="D393" s="1" t="s">
        <v>609</v>
      </c>
      <c r="E393" s="1" t="s">
        <v>610</v>
      </c>
    </row>
    <row r="394">
      <c r="A394" s="2" t="s">
        <v>1242</v>
      </c>
      <c r="B394" s="1">
        <v>301.0</v>
      </c>
      <c r="D394" s="1" t="s">
        <v>609</v>
      </c>
      <c r="E394" s="1" t="s">
        <v>610</v>
      </c>
      <c r="F394" s="1">
        <v>21.0</v>
      </c>
      <c r="G394" s="1">
        <v>51.0</v>
      </c>
      <c r="H394" s="1">
        <v>18.0</v>
      </c>
      <c r="I394" s="1">
        <v>0.86</v>
      </c>
      <c r="J394" s="1">
        <v>1.0</v>
      </c>
      <c r="K394" s="1">
        <v>193.0</v>
      </c>
      <c r="L394" s="1">
        <v>0.0</v>
      </c>
      <c r="M394" s="1">
        <v>17.0</v>
      </c>
    </row>
    <row r="395">
      <c r="A395" s="2" t="s">
        <v>1243</v>
      </c>
      <c r="B395" s="1">
        <v>301.0</v>
      </c>
      <c r="D395" s="1" t="s">
        <v>609</v>
      </c>
      <c r="E395" s="1" t="s">
        <v>610</v>
      </c>
    </row>
    <row r="396">
      <c r="A396" s="2" t="s">
        <v>1244</v>
      </c>
      <c r="B396" s="1">
        <v>301.0</v>
      </c>
      <c r="D396" s="1" t="s">
        <v>609</v>
      </c>
      <c r="E396" s="1" t="s">
        <v>610</v>
      </c>
    </row>
    <row r="397">
      <c r="A397" s="2" t="s">
        <v>1245</v>
      </c>
      <c r="B397" s="1">
        <v>301.0</v>
      </c>
      <c r="D397" s="1" t="s">
        <v>609</v>
      </c>
      <c r="E397" s="1" t="s">
        <v>610</v>
      </c>
    </row>
    <row r="398">
      <c r="A398" s="2" t="s">
        <v>1246</v>
      </c>
      <c r="B398" s="1">
        <v>200.0</v>
      </c>
      <c r="C398" s="1" t="s">
        <v>891</v>
      </c>
      <c r="D398" s="1" t="s">
        <v>583</v>
      </c>
    </row>
    <row r="399">
      <c r="A399" s="2" t="s">
        <v>1247</v>
      </c>
      <c r="B399" s="1">
        <v>200.0</v>
      </c>
      <c r="C399" s="1" t="s">
        <v>908</v>
      </c>
      <c r="D399" s="1" t="s">
        <v>609</v>
      </c>
      <c r="E399" s="1" t="s">
        <v>631</v>
      </c>
    </row>
    <row r="400">
      <c r="A400" s="2" t="s">
        <v>1248</v>
      </c>
      <c r="B400" s="1">
        <v>200.0</v>
      </c>
      <c r="C400" s="1" t="s">
        <v>1249</v>
      </c>
      <c r="D400" s="1" t="s">
        <v>609</v>
      </c>
      <c r="E400" s="1" t="s">
        <v>631</v>
      </c>
    </row>
    <row r="401">
      <c r="A401" s="2" t="s">
        <v>1250</v>
      </c>
      <c r="B401" s="1">
        <v>200.0</v>
      </c>
      <c r="C401" s="1" t="s">
        <v>976</v>
      </c>
      <c r="D401" s="1" t="s">
        <v>609</v>
      </c>
      <c r="E401" s="1" t="s">
        <v>631</v>
      </c>
    </row>
    <row r="402">
      <c r="A402" s="2" t="s">
        <v>1251</v>
      </c>
      <c r="B402" s="1">
        <v>200.0</v>
      </c>
      <c r="C402" s="1" t="s">
        <v>1252</v>
      </c>
      <c r="D402" s="1" t="s">
        <v>583</v>
      </c>
    </row>
    <row r="403">
      <c r="A403" s="2" t="s">
        <v>1253</v>
      </c>
      <c r="B403" s="1">
        <v>301.0</v>
      </c>
      <c r="D403" s="1" t="s">
        <v>609</v>
      </c>
      <c r="E403" s="1" t="s">
        <v>610</v>
      </c>
      <c r="F403" s="1">
        <v>5.0</v>
      </c>
      <c r="G403" s="1">
        <v>9.0</v>
      </c>
      <c r="H403" s="1">
        <v>1.0</v>
      </c>
      <c r="I403" s="1">
        <v>0.2</v>
      </c>
      <c r="J403" s="1">
        <v>0.0</v>
      </c>
      <c r="K403" s="1">
        <v>25.0</v>
      </c>
      <c r="L403" s="1">
        <v>0.0</v>
      </c>
      <c r="M403" s="1">
        <v>4.0</v>
      </c>
    </row>
    <row r="404">
      <c r="A404" s="2" t="s">
        <v>1254</v>
      </c>
      <c r="B404" s="1">
        <v>301.0</v>
      </c>
      <c r="D404" s="1" t="s">
        <v>609</v>
      </c>
      <c r="E404" s="1" t="s">
        <v>610</v>
      </c>
    </row>
    <row r="405">
      <c r="A405" s="2" t="s">
        <v>1255</v>
      </c>
      <c r="B405" s="1">
        <v>301.0</v>
      </c>
      <c r="D405" s="1" t="s">
        <v>609</v>
      </c>
      <c r="E405" s="1" t="s">
        <v>610</v>
      </c>
    </row>
    <row r="406">
      <c r="A406" s="2" t="s">
        <v>1256</v>
      </c>
      <c r="B406" s="1">
        <v>301.0</v>
      </c>
      <c r="D406" s="1" t="s">
        <v>609</v>
      </c>
      <c r="E406" s="1" t="s">
        <v>610</v>
      </c>
    </row>
    <row r="407">
      <c r="A407" s="2" t="s">
        <v>1257</v>
      </c>
      <c r="B407" s="1">
        <v>301.0</v>
      </c>
      <c r="D407" s="1" t="s">
        <v>609</v>
      </c>
      <c r="E407" s="1" t="s">
        <v>610</v>
      </c>
    </row>
    <row r="408">
      <c r="A408" s="2" t="s">
        <v>1258</v>
      </c>
      <c r="B408" s="1">
        <v>301.0</v>
      </c>
      <c r="D408" s="1" t="s">
        <v>609</v>
      </c>
      <c r="E408" s="1" t="s">
        <v>610</v>
      </c>
    </row>
    <row r="409">
      <c r="A409" s="2" t="s">
        <v>1259</v>
      </c>
      <c r="B409" s="1">
        <v>301.0</v>
      </c>
      <c r="D409" s="1" t="s">
        <v>609</v>
      </c>
      <c r="E409" s="1" t="s">
        <v>610</v>
      </c>
    </row>
    <row r="410">
      <c r="A410" s="2" t="s">
        <v>1260</v>
      </c>
      <c r="B410" s="1">
        <v>301.0</v>
      </c>
      <c r="D410" s="1" t="s">
        <v>609</v>
      </c>
      <c r="E410" s="1" t="s">
        <v>610</v>
      </c>
    </row>
    <row r="411">
      <c r="A411" s="2" t="s">
        <v>1261</v>
      </c>
      <c r="B411" s="1">
        <v>200.0</v>
      </c>
      <c r="C411" s="1" t="s">
        <v>1262</v>
      </c>
      <c r="D411" s="1" t="s">
        <v>609</v>
      </c>
      <c r="E411" s="1" t="s">
        <v>631</v>
      </c>
    </row>
    <row r="412">
      <c r="A412" s="2" t="s">
        <v>1263</v>
      </c>
      <c r="B412" s="1">
        <v>301.0</v>
      </c>
      <c r="D412" s="1" t="s">
        <v>609</v>
      </c>
      <c r="E412" s="1" t="s">
        <v>610</v>
      </c>
    </row>
    <row r="413">
      <c r="A413" s="2" t="s">
        <v>1264</v>
      </c>
      <c r="B413" s="1">
        <v>301.0</v>
      </c>
      <c r="D413" s="1" t="s">
        <v>609</v>
      </c>
      <c r="E413" s="1" t="s">
        <v>610</v>
      </c>
    </row>
    <row r="414">
      <c r="A414" s="2" t="s">
        <v>1265</v>
      </c>
      <c r="B414" s="1">
        <v>301.0</v>
      </c>
      <c r="D414" s="1" t="s">
        <v>609</v>
      </c>
      <c r="E414" s="1" t="s">
        <v>610</v>
      </c>
    </row>
    <row r="415">
      <c r="A415" s="2" t="s">
        <v>1266</v>
      </c>
      <c r="B415" s="1">
        <v>301.0</v>
      </c>
      <c r="D415" s="1" t="s">
        <v>609</v>
      </c>
      <c r="E415" s="1" t="s">
        <v>610</v>
      </c>
    </row>
    <row r="416">
      <c r="A416" s="2" t="s">
        <v>1267</v>
      </c>
      <c r="B416" s="1">
        <v>301.0</v>
      </c>
      <c r="D416" s="1" t="s">
        <v>609</v>
      </c>
      <c r="E416" s="1" t="s">
        <v>610</v>
      </c>
    </row>
    <row r="417">
      <c r="A417" s="2" t="s">
        <v>1268</v>
      </c>
      <c r="B417" s="1">
        <v>200.0</v>
      </c>
      <c r="C417" s="1" t="s">
        <v>1269</v>
      </c>
      <c r="D417" s="1" t="s">
        <v>609</v>
      </c>
      <c r="E417" s="1" t="s">
        <v>631</v>
      </c>
    </row>
    <row r="418">
      <c r="A418" s="2" t="s">
        <v>1270</v>
      </c>
      <c r="B418" s="1">
        <v>301.0</v>
      </c>
      <c r="D418" s="1" t="s">
        <v>609</v>
      </c>
      <c r="E418" s="1" t="s">
        <v>610</v>
      </c>
    </row>
    <row r="419">
      <c r="A419" s="2" t="s">
        <v>1271</v>
      </c>
      <c r="B419" s="1">
        <v>200.0</v>
      </c>
      <c r="C419" s="1" t="s">
        <v>1272</v>
      </c>
      <c r="D419" s="1" t="s">
        <v>609</v>
      </c>
      <c r="E419" s="1" t="s">
        <v>631</v>
      </c>
    </row>
    <row r="420">
      <c r="A420" s="2" t="s">
        <v>1273</v>
      </c>
      <c r="B420" s="1">
        <v>200.0</v>
      </c>
      <c r="C420" s="1" t="s">
        <v>1274</v>
      </c>
      <c r="D420" s="1" t="s">
        <v>609</v>
      </c>
      <c r="E420" s="1" t="s">
        <v>631</v>
      </c>
    </row>
    <row r="421">
      <c r="A421" s="2" t="s">
        <v>1275</v>
      </c>
      <c r="B421" s="1">
        <v>200.0</v>
      </c>
      <c r="C421" s="1" t="s">
        <v>1276</v>
      </c>
      <c r="D421" s="1" t="s">
        <v>583</v>
      </c>
    </row>
    <row r="422">
      <c r="A422" s="2" t="s">
        <v>1277</v>
      </c>
      <c r="B422" s="1">
        <v>200.0</v>
      </c>
      <c r="C422" s="1" t="s">
        <v>1278</v>
      </c>
      <c r="D422" s="1" t="s">
        <v>609</v>
      </c>
      <c r="E422" s="1" t="s">
        <v>631</v>
      </c>
    </row>
    <row r="423">
      <c r="A423" s="2" t="s">
        <v>1279</v>
      </c>
      <c r="B423" s="1">
        <v>200.0</v>
      </c>
      <c r="C423" s="1" t="s">
        <v>1280</v>
      </c>
      <c r="D423" s="1" t="s">
        <v>609</v>
      </c>
      <c r="E423" s="1" t="s">
        <v>631</v>
      </c>
      <c r="F423" s="1">
        <v>1.0</v>
      </c>
      <c r="G423" s="1">
        <v>1.0</v>
      </c>
      <c r="H423" s="1">
        <v>0.0</v>
      </c>
      <c r="I423" s="1">
        <v>0.0</v>
      </c>
      <c r="J423" s="1">
        <v>0.0</v>
      </c>
      <c r="K423" s="1">
        <v>3.0</v>
      </c>
      <c r="L423" s="1">
        <v>0.0</v>
      </c>
      <c r="M423" s="1">
        <v>1.0</v>
      </c>
    </row>
    <row r="424">
      <c r="A424" s="2" t="s">
        <v>1281</v>
      </c>
      <c r="B424" s="1">
        <v>200.0</v>
      </c>
      <c r="C424" s="1" t="s">
        <v>1282</v>
      </c>
      <c r="D424" s="1" t="s">
        <v>609</v>
      </c>
      <c r="E424" s="1" t="s">
        <v>631</v>
      </c>
    </row>
    <row r="425">
      <c r="A425" s="2" t="s">
        <v>1283</v>
      </c>
      <c r="B425" s="1">
        <v>301.0</v>
      </c>
      <c r="D425" s="1" t="s">
        <v>609</v>
      </c>
      <c r="E425" s="1" t="s">
        <v>610</v>
      </c>
      <c r="F425" s="1">
        <v>2.0</v>
      </c>
      <c r="G425" s="1">
        <v>90.0</v>
      </c>
      <c r="H425" s="1">
        <v>2.0</v>
      </c>
      <c r="I425" s="1">
        <v>1.0</v>
      </c>
      <c r="J425" s="1">
        <v>0.0</v>
      </c>
      <c r="K425" s="1">
        <v>435.0</v>
      </c>
      <c r="L425" s="1">
        <v>0.0</v>
      </c>
      <c r="M425" s="1">
        <v>1.0</v>
      </c>
    </row>
    <row r="426">
      <c r="A426" s="1" t="s">
        <v>1284</v>
      </c>
      <c r="B426" s="1">
        <v>200.0</v>
      </c>
      <c r="C426" s="1" t="s">
        <v>1285</v>
      </c>
      <c r="D426" s="1" t="s">
        <v>583</v>
      </c>
      <c r="F426" s="1">
        <v>3.0</v>
      </c>
      <c r="G426" s="1">
        <v>7.0</v>
      </c>
      <c r="H426" s="1">
        <v>1.0</v>
      </c>
      <c r="I426" s="1">
        <v>0.33</v>
      </c>
      <c r="J426" s="1">
        <v>0.0</v>
      </c>
      <c r="K426" s="1">
        <v>17.0</v>
      </c>
      <c r="L426" s="1">
        <v>0.0</v>
      </c>
      <c r="M426" s="1">
        <v>2.0</v>
      </c>
    </row>
    <row r="427">
      <c r="A427" s="2" t="s">
        <v>1286</v>
      </c>
      <c r="B427" s="1">
        <v>200.0</v>
      </c>
      <c r="C427" s="1" t="s">
        <v>1287</v>
      </c>
      <c r="D427" s="1" t="s">
        <v>583</v>
      </c>
      <c r="F427" s="1">
        <v>77.0</v>
      </c>
      <c r="G427" s="1">
        <v>78.0</v>
      </c>
      <c r="H427" s="1">
        <v>44.0</v>
      </c>
      <c r="I427" s="1">
        <v>0.57</v>
      </c>
      <c r="J427" s="1">
        <v>0.0</v>
      </c>
      <c r="K427" s="1">
        <v>295.0</v>
      </c>
      <c r="L427" s="1">
        <v>0.0</v>
      </c>
      <c r="M427" s="1">
        <v>72.0</v>
      </c>
    </row>
    <row r="428">
      <c r="A428" s="2" t="s">
        <v>1288</v>
      </c>
      <c r="B428" s="1">
        <v>200.0</v>
      </c>
      <c r="C428" s="1" t="s">
        <v>1289</v>
      </c>
      <c r="D428" s="1" t="s">
        <v>583</v>
      </c>
      <c r="F428" s="1">
        <v>3.0</v>
      </c>
      <c r="G428" s="1">
        <v>3.0</v>
      </c>
      <c r="H428" s="1">
        <v>2.0</v>
      </c>
      <c r="I428" s="1">
        <v>0.67</v>
      </c>
      <c r="J428" s="1">
        <v>0.0</v>
      </c>
      <c r="K428" s="1">
        <v>11.0</v>
      </c>
      <c r="L428" s="1">
        <v>0.0</v>
      </c>
      <c r="M428" s="1">
        <v>3.0</v>
      </c>
    </row>
    <row r="429">
      <c r="A429" s="2" t="s">
        <v>1290</v>
      </c>
      <c r="B429" s="1">
        <v>200.0</v>
      </c>
      <c r="C429" s="1" t="s">
        <v>1291</v>
      </c>
      <c r="D429" s="1" t="s">
        <v>583</v>
      </c>
      <c r="F429" s="1">
        <v>2.0</v>
      </c>
      <c r="G429" s="1">
        <v>2.0</v>
      </c>
      <c r="H429" s="1">
        <v>1.0</v>
      </c>
      <c r="I429" s="1">
        <v>0.5</v>
      </c>
      <c r="J429" s="1">
        <v>0.0</v>
      </c>
      <c r="K429" s="1">
        <v>20.0</v>
      </c>
      <c r="L429" s="1">
        <v>0.0</v>
      </c>
      <c r="M429" s="1">
        <v>2.0</v>
      </c>
    </row>
    <row r="430">
      <c r="A430" s="2" t="s">
        <v>1292</v>
      </c>
      <c r="B430" s="1">
        <v>200.0</v>
      </c>
      <c r="C430" s="1" t="s">
        <v>1293</v>
      </c>
      <c r="D430" s="1" t="s">
        <v>609</v>
      </c>
      <c r="E430" s="1" t="s">
        <v>631</v>
      </c>
    </row>
    <row r="431">
      <c r="A431" s="2" t="s">
        <v>1294</v>
      </c>
      <c r="B431" s="1">
        <v>200.0</v>
      </c>
      <c r="C431" s="1" t="s">
        <v>605</v>
      </c>
      <c r="D431" s="1" t="s">
        <v>609</v>
      </c>
      <c r="E431" s="1" t="s">
        <v>631</v>
      </c>
    </row>
    <row r="432">
      <c r="A432" s="2" t="s">
        <v>1295</v>
      </c>
      <c r="B432" s="1">
        <v>200.0</v>
      </c>
      <c r="C432" s="1" t="s">
        <v>1296</v>
      </c>
      <c r="D432" s="1" t="s">
        <v>583</v>
      </c>
      <c r="F432" s="1">
        <v>28.0</v>
      </c>
      <c r="G432" s="1">
        <v>28.0</v>
      </c>
      <c r="H432" s="1">
        <v>22.0</v>
      </c>
      <c r="I432" s="1">
        <v>0.79</v>
      </c>
      <c r="J432" s="1">
        <v>0.0</v>
      </c>
      <c r="K432" s="1">
        <v>110.0</v>
      </c>
      <c r="L432" s="1">
        <v>0.0</v>
      </c>
      <c r="M432" s="1">
        <v>26.0</v>
      </c>
    </row>
    <row r="433">
      <c r="A433" s="2" t="s">
        <v>1297</v>
      </c>
      <c r="B433" s="1">
        <v>200.0</v>
      </c>
      <c r="C433" s="1" t="s">
        <v>1298</v>
      </c>
      <c r="D433" s="1" t="s">
        <v>583</v>
      </c>
    </row>
    <row r="434">
      <c r="A434" s="2" t="s">
        <v>1299</v>
      </c>
      <c r="B434" s="1">
        <v>200.0</v>
      </c>
      <c r="C434" s="1" t="s">
        <v>846</v>
      </c>
      <c r="D434" s="1" t="s">
        <v>609</v>
      </c>
      <c r="E434" s="1" t="s">
        <v>631</v>
      </c>
    </row>
    <row r="435">
      <c r="A435" s="2" t="s">
        <v>1300</v>
      </c>
      <c r="B435" s="1">
        <v>200.0</v>
      </c>
      <c r="C435" s="1" t="s">
        <v>1301</v>
      </c>
      <c r="D435" s="1" t="s">
        <v>583</v>
      </c>
    </row>
    <row r="436">
      <c r="A436" s="2" t="s">
        <v>1302</v>
      </c>
      <c r="B436" s="1">
        <v>200.0</v>
      </c>
      <c r="C436" s="1" t="s">
        <v>582</v>
      </c>
      <c r="D436" s="1" t="s">
        <v>583</v>
      </c>
    </row>
    <row r="437">
      <c r="A437" s="2" t="s">
        <v>1303</v>
      </c>
      <c r="B437" s="1">
        <v>301.0</v>
      </c>
      <c r="D437" s="1" t="s">
        <v>609</v>
      </c>
      <c r="E437" s="1" t="s">
        <v>610</v>
      </c>
      <c r="F437" s="1">
        <v>2.0</v>
      </c>
      <c r="G437" s="1">
        <v>2.0</v>
      </c>
      <c r="H437" s="1">
        <v>0.0</v>
      </c>
      <c r="I437" s="1">
        <v>0.0</v>
      </c>
      <c r="J437" s="1">
        <v>0.0</v>
      </c>
      <c r="K437" s="1">
        <v>7.0</v>
      </c>
      <c r="L437" s="1">
        <v>0.0</v>
      </c>
      <c r="M437" s="1">
        <v>2.0</v>
      </c>
    </row>
    <row r="438">
      <c r="A438" s="2" t="s">
        <v>1304</v>
      </c>
      <c r="B438" s="1">
        <v>200.0</v>
      </c>
      <c r="C438" s="1" t="s">
        <v>1305</v>
      </c>
      <c r="D438" s="1" t="s">
        <v>583</v>
      </c>
      <c r="F438" s="1">
        <v>1.0</v>
      </c>
      <c r="G438" s="1">
        <v>1.0</v>
      </c>
      <c r="H438" s="1">
        <v>1.0</v>
      </c>
      <c r="I438" s="1">
        <v>1.0</v>
      </c>
      <c r="J438" s="1">
        <v>0.0</v>
      </c>
      <c r="K438" s="1">
        <v>5.0</v>
      </c>
      <c r="L438" s="1">
        <v>0.0</v>
      </c>
      <c r="M438" s="1">
        <v>1.0</v>
      </c>
    </row>
    <row r="439">
      <c r="A439" s="2" t="s">
        <v>1306</v>
      </c>
      <c r="B439" s="1">
        <v>301.0</v>
      </c>
      <c r="D439" s="1" t="s">
        <v>609</v>
      </c>
      <c r="E439" s="1" t="s">
        <v>610</v>
      </c>
    </row>
    <row r="440">
      <c r="A440" s="2" t="s">
        <v>1307</v>
      </c>
      <c r="B440" s="1">
        <v>200.0</v>
      </c>
      <c r="C440" s="1" t="s">
        <v>1308</v>
      </c>
      <c r="D440" s="1" t="s">
        <v>583</v>
      </c>
      <c r="F440" s="1">
        <v>4.0</v>
      </c>
      <c r="G440" s="1">
        <v>9.0</v>
      </c>
      <c r="H440" s="1">
        <v>3.0</v>
      </c>
      <c r="I440" s="1">
        <v>0.75</v>
      </c>
      <c r="J440" s="1">
        <v>0.0</v>
      </c>
      <c r="K440" s="1">
        <v>26.0</v>
      </c>
      <c r="L440" s="1">
        <v>0.0</v>
      </c>
      <c r="M440" s="1">
        <v>3.0</v>
      </c>
    </row>
    <row r="441">
      <c r="A441" s="2" t="s">
        <v>1309</v>
      </c>
      <c r="B441" s="1">
        <v>301.0</v>
      </c>
      <c r="D441" s="1" t="s">
        <v>609</v>
      </c>
      <c r="E441" s="1" t="s">
        <v>610</v>
      </c>
    </row>
    <row r="442">
      <c r="A442" s="2" t="s">
        <v>1310</v>
      </c>
      <c r="B442" s="1">
        <v>200.0</v>
      </c>
      <c r="C442" s="1" t="s">
        <v>688</v>
      </c>
      <c r="D442" s="1" t="s">
        <v>609</v>
      </c>
      <c r="E442" s="1" t="s">
        <v>631</v>
      </c>
    </row>
    <row r="443">
      <c r="A443" s="2" t="s">
        <v>1311</v>
      </c>
      <c r="B443" s="1">
        <v>301.0</v>
      </c>
      <c r="D443" s="1" t="s">
        <v>609</v>
      </c>
      <c r="E443" s="1" t="s">
        <v>610</v>
      </c>
      <c r="F443" s="1">
        <v>1.0</v>
      </c>
      <c r="G443" s="1">
        <v>1.0</v>
      </c>
      <c r="H443" s="1">
        <v>0.0</v>
      </c>
      <c r="I443" s="1">
        <v>0.0</v>
      </c>
      <c r="J443" s="1">
        <v>0.0</v>
      </c>
      <c r="K443" s="1">
        <v>3.0</v>
      </c>
      <c r="L443" s="1">
        <v>0.0</v>
      </c>
      <c r="M443" s="1">
        <v>1.0</v>
      </c>
    </row>
    <row r="444">
      <c r="A444" s="2" t="s">
        <v>1312</v>
      </c>
      <c r="B444" s="1">
        <v>200.0</v>
      </c>
      <c r="C444" s="1" t="s">
        <v>1313</v>
      </c>
      <c r="D444" s="1" t="s">
        <v>583</v>
      </c>
    </row>
    <row r="445">
      <c r="A445" s="2" t="s">
        <v>1314</v>
      </c>
      <c r="B445" s="1">
        <v>200.0</v>
      </c>
      <c r="C445" s="1" t="s">
        <v>1315</v>
      </c>
      <c r="D445" s="1" t="s">
        <v>609</v>
      </c>
      <c r="E445" s="1" t="s">
        <v>631</v>
      </c>
    </row>
    <row r="446">
      <c r="A446" s="2" t="s">
        <v>1316</v>
      </c>
      <c r="B446" s="1">
        <v>200.0</v>
      </c>
      <c r="C446" s="1" t="s">
        <v>1317</v>
      </c>
      <c r="D446" s="1" t="s">
        <v>583</v>
      </c>
      <c r="F446" s="1">
        <v>5.0</v>
      </c>
      <c r="G446" s="1">
        <v>8.0</v>
      </c>
      <c r="H446" s="1">
        <v>4.0</v>
      </c>
      <c r="I446" s="1">
        <v>0.8</v>
      </c>
      <c r="J446" s="1">
        <v>0.0</v>
      </c>
      <c r="K446" s="1">
        <v>29.0</v>
      </c>
      <c r="L446" s="1">
        <v>0.0</v>
      </c>
      <c r="M446" s="1">
        <v>5.0</v>
      </c>
    </row>
    <row r="447">
      <c r="A447" s="2" t="s">
        <v>1318</v>
      </c>
      <c r="B447" s="1">
        <v>200.0</v>
      </c>
      <c r="C447" s="1" t="s">
        <v>1319</v>
      </c>
      <c r="D447" s="1" t="s">
        <v>583</v>
      </c>
    </row>
    <row r="448">
      <c r="A448" s="2" t="s">
        <v>1320</v>
      </c>
      <c r="B448" s="1">
        <v>301.0</v>
      </c>
      <c r="D448" s="1" t="s">
        <v>609</v>
      </c>
      <c r="E448" s="1" t="s">
        <v>610</v>
      </c>
      <c r="F448" s="1">
        <v>1.0</v>
      </c>
      <c r="G448" s="1">
        <v>1.0</v>
      </c>
      <c r="H448" s="1">
        <v>0.0</v>
      </c>
      <c r="I448" s="1">
        <v>0.0</v>
      </c>
      <c r="J448" s="1">
        <v>0.0</v>
      </c>
      <c r="K448" s="1">
        <v>3.0</v>
      </c>
      <c r="L448" s="1">
        <v>0.0</v>
      </c>
      <c r="M448" s="1">
        <v>1.0</v>
      </c>
    </row>
    <row r="449">
      <c r="A449" s="2" t="s">
        <v>1321</v>
      </c>
      <c r="B449" s="1">
        <v>200.0</v>
      </c>
      <c r="C449" s="1" t="s">
        <v>1322</v>
      </c>
      <c r="D449" s="1" t="s">
        <v>583</v>
      </c>
    </row>
    <row r="450">
      <c r="A450" s="2" t="s">
        <v>1323</v>
      </c>
      <c r="B450" s="1">
        <v>301.0</v>
      </c>
      <c r="D450" s="1" t="s">
        <v>609</v>
      </c>
      <c r="E450" s="1" t="s">
        <v>610</v>
      </c>
    </row>
    <row r="451">
      <c r="A451" s="2" t="s">
        <v>1324</v>
      </c>
      <c r="B451" s="1">
        <v>200.0</v>
      </c>
      <c r="C451" s="1" t="s">
        <v>1325</v>
      </c>
      <c r="D451" s="1" t="s">
        <v>583</v>
      </c>
      <c r="F451" s="1">
        <v>1.0</v>
      </c>
      <c r="G451" s="1">
        <v>1.0</v>
      </c>
      <c r="H451" s="1">
        <v>1.0</v>
      </c>
      <c r="I451" s="1">
        <v>1.0</v>
      </c>
      <c r="J451" s="1">
        <v>0.0</v>
      </c>
      <c r="K451" s="1">
        <v>4.0</v>
      </c>
      <c r="L451" s="1">
        <v>0.0</v>
      </c>
      <c r="M451" s="1">
        <v>1.0</v>
      </c>
    </row>
    <row r="452">
      <c r="A452" s="2" t="s">
        <v>1326</v>
      </c>
      <c r="B452" s="1">
        <v>301.0</v>
      </c>
      <c r="D452" s="1" t="s">
        <v>609</v>
      </c>
      <c r="E452" s="1" t="s">
        <v>610</v>
      </c>
    </row>
    <row r="453">
      <c r="A453" s="2" t="s">
        <v>1327</v>
      </c>
      <c r="B453" s="1">
        <v>200.0</v>
      </c>
      <c r="C453" s="1" t="s">
        <v>1328</v>
      </c>
      <c r="D453" s="1" t="s">
        <v>583</v>
      </c>
      <c r="F453" s="1">
        <v>1.0</v>
      </c>
      <c r="G453" s="1">
        <v>1.0</v>
      </c>
      <c r="H453" s="1">
        <v>1.0</v>
      </c>
      <c r="I453" s="1">
        <v>1.0</v>
      </c>
      <c r="J453" s="1">
        <v>0.0</v>
      </c>
      <c r="K453" s="1">
        <v>4.0</v>
      </c>
      <c r="L453" s="1">
        <v>0.0</v>
      </c>
      <c r="M453" s="1">
        <v>1.0</v>
      </c>
    </row>
    <row r="454">
      <c r="A454" s="2" t="s">
        <v>1329</v>
      </c>
      <c r="B454" s="1">
        <v>200.0</v>
      </c>
      <c r="C454" s="1" t="s">
        <v>1330</v>
      </c>
      <c r="D454" s="1" t="s">
        <v>583</v>
      </c>
    </row>
    <row r="455">
      <c r="A455" s="2" t="s">
        <v>1331</v>
      </c>
      <c r="B455" s="1">
        <v>200.0</v>
      </c>
      <c r="C455" s="1" t="s">
        <v>1332</v>
      </c>
      <c r="D455" s="1" t="s">
        <v>583</v>
      </c>
      <c r="F455" s="1">
        <v>1.0</v>
      </c>
      <c r="G455" s="1">
        <v>1.0</v>
      </c>
      <c r="H455" s="1">
        <v>1.0</v>
      </c>
      <c r="I455" s="1">
        <v>1.0</v>
      </c>
      <c r="J455" s="1">
        <v>0.0</v>
      </c>
      <c r="K455" s="1">
        <v>4.0</v>
      </c>
      <c r="L455" s="1">
        <v>0.0</v>
      </c>
      <c r="M455" s="1">
        <v>1.0</v>
      </c>
    </row>
    <row r="456">
      <c r="A456" s="2" t="s">
        <v>1333</v>
      </c>
      <c r="B456" s="1">
        <v>200.0</v>
      </c>
      <c r="C456" s="1" t="s">
        <v>846</v>
      </c>
      <c r="D456" s="1" t="s">
        <v>609</v>
      </c>
      <c r="E456" s="1" t="s">
        <v>631</v>
      </c>
    </row>
    <row r="457">
      <c r="A457" s="2" t="s">
        <v>1334</v>
      </c>
      <c r="B457" s="1">
        <v>200.0</v>
      </c>
      <c r="C457" s="1" t="s">
        <v>1335</v>
      </c>
      <c r="D457" s="1" t="s">
        <v>583</v>
      </c>
    </row>
    <row r="458">
      <c r="A458" s="2" t="s">
        <v>1336</v>
      </c>
      <c r="B458" s="1">
        <v>200.0</v>
      </c>
      <c r="C458" s="1" t="s">
        <v>1337</v>
      </c>
      <c r="D458" s="1" t="s">
        <v>583</v>
      </c>
    </row>
    <row r="459">
      <c r="A459" s="2" t="s">
        <v>1338</v>
      </c>
      <c r="B459" s="1">
        <v>200.0</v>
      </c>
      <c r="C459" s="1" t="s">
        <v>582</v>
      </c>
      <c r="D459" s="1" t="s">
        <v>583</v>
      </c>
    </row>
    <row r="460">
      <c r="A460" s="2" t="s">
        <v>1339</v>
      </c>
      <c r="B460" s="1">
        <v>301.0</v>
      </c>
      <c r="D460" s="1" t="s">
        <v>609</v>
      </c>
      <c r="E460" s="1" t="s">
        <v>610</v>
      </c>
    </row>
    <row r="461">
      <c r="A461" s="2" t="s">
        <v>1340</v>
      </c>
      <c r="B461" s="1">
        <v>200.0</v>
      </c>
      <c r="C461" s="1" t="s">
        <v>1341</v>
      </c>
      <c r="D461" s="1" t="s">
        <v>583</v>
      </c>
    </row>
    <row r="462">
      <c r="A462" s="2" t="s">
        <v>1342</v>
      </c>
      <c r="B462" s="1">
        <v>200.0</v>
      </c>
      <c r="C462" s="1" t="s">
        <v>1343</v>
      </c>
      <c r="D462" s="1" t="s">
        <v>583</v>
      </c>
    </row>
    <row r="463">
      <c r="A463" s="2" t="s">
        <v>1344</v>
      </c>
      <c r="B463" s="1">
        <v>200.0</v>
      </c>
      <c r="C463" s="1" t="s">
        <v>1282</v>
      </c>
      <c r="D463" s="1" t="s">
        <v>583</v>
      </c>
    </row>
    <row r="464">
      <c r="A464" s="2" t="s">
        <v>1345</v>
      </c>
      <c r="B464" s="1">
        <v>200.0</v>
      </c>
      <c r="C464" s="1" t="s">
        <v>1346</v>
      </c>
      <c r="D464" s="1" t="s">
        <v>583</v>
      </c>
    </row>
    <row r="465">
      <c r="A465" s="2" t="s">
        <v>1347</v>
      </c>
      <c r="B465" s="1">
        <v>301.0</v>
      </c>
      <c r="D465" s="1" t="s">
        <v>609</v>
      </c>
      <c r="E465" s="1" t="s">
        <v>610</v>
      </c>
    </row>
    <row r="466">
      <c r="A466" s="2" t="s">
        <v>1348</v>
      </c>
      <c r="B466" s="1">
        <v>200.0</v>
      </c>
      <c r="C466" s="1" t="s">
        <v>612</v>
      </c>
      <c r="D466" s="1" t="s">
        <v>583</v>
      </c>
      <c r="F466" s="1">
        <v>2.0</v>
      </c>
      <c r="G466" s="1">
        <v>90.0</v>
      </c>
      <c r="H466" s="1">
        <v>2.0</v>
      </c>
      <c r="I466" s="1">
        <v>1.0</v>
      </c>
      <c r="J466" s="1">
        <v>0.0</v>
      </c>
      <c r="K466" s="1">
        <v>435.0</v>
      </c>
      <c r="L466" s="1">
        <v>0.0</v>
      </c>
      <c r="M466" s="1">
        <v>1.0</v>
      </c>
    </row>
    <row r="467">
      <c r="A467" s="2" t="s">
        <v>1349</v>
      </c>
      <c r="B467" s="1">
        <v>301.0</v>
      </c>
      <c r="D467" s="1" t="s">
        <v>609</v>
      </c>
      <c r="E467" s="1" t="s">
        <v>610</v>
      </c>
    </row>
    <row r="468">
      <c r="A468" s="2" t="s">
        <v>1350</v>
      </c>
      <c r="B468" s="1">
        <v>200.0</v>
      </c>
      <c r="C468" s="1" t="s">
        <v>1278</v>
      </c>
      <c r="D468" s="1" t="s">
        <v>583</v>
      </c>
      <c r="F468" s="1">
        <v>16.0</v>
      </c>
      <c r="G468" s="1">
        <v>17.0</v>
      </c>
      <c r="H468" s="1">
        <v>11.0</v>
      </c>
      <c r="I468" s="1">
        <v>0.69</v>
      </c>
      <c r="J468" s="1">
        <v>0.0</v>
      </c>
      <c r="K468" s="1">
        <v>62.0</v>
      </c>
      <c r="L468" s="1">
        <v>0.0</v>
      </c>
      <c r="M468" s="1">
        <v>16.0</v>
      </c>
    </row>
    <row r="469">
      <c r="A469" s="2" t="s">
        <v>1351</v>
      </c>
      <c r="B469" s="1">
        <v>200.0</v>
      </c>
      <c r="C469" s="1" t="s">
        <v>1280</v>
      </c>
      <c r="D469" s="1" t="s">
        <v>583</v>
      </c>
      <c r="F469" s="1">
        <v>1.0</v>
      </c>
      <c r="G469" s="1">
        <v>1.0</v>
      </c>
      <c r="H469" s="1">
        <v>0.0</v>
      </c>
      <c r="I469" s="1">
        <v>0.0</v>
      </c>
      <c r="J469" s="1">
        <v>0.0</v>
      </c>
      <c r="K469" s="1">
        <v>3.0</v>
      </c>
      <c r="L469" s="1">
        <v>0.0</v>
      </c>
      <c r="M469" s="1">
        <v>1.0</v>
      </c>
    </row>
    <row r="470">
      <c r="A470" s="2" t="s">
        <v>1352</v>
      </c>
      <c r="B470" s="1">
        <v>301.0</v>
      </c>
      <c r="D470" s="1" t="s">
        <v>609</v>
      </c>
      <c r="E470" s="1" t="s">
        <v>610</v>
      </c>
    </row>
    <row r="471">
      <c r="A471" s="2" t="s">
        <v>1353</v>
      </c>
      <c r="B471" s="1">
        <v>200.0</v>
      </c>
      <c r="C471" s="1" t="s">
        <v>1274</v>
      </c>
      <c r="D471" s="1" t="s">
        <v>583</v>
      </c>
    </row>
    <row r="472">
      <c r="A472" s="2" t="s">
        <v>511</v>
      </c>
      <c r="B472" s="1">
        <v>200.0</v>
      </c>
      <c r="C472" s="1" t="s">
        <v>1272</v>
      </c>
      <c r="D472" s="1" t="s">
        <v>583</v>
      </c>
    </row>
    <row r="473">
      <c r="A473" s="2" t="s">
        <v>1354</v>
      </c>
      <c r="B473" s="1">
        <v>200.0</v>
      </c>
      <c r="C473" s="1" t="s">
        <v>1269</v>
      </c>
      <c r="D473" s="1" t="s">
        <v>583</v>
      </c>
    </row>
    <row r="474">
      <c r="A474" s="2" t="s">
        <v>1355</v>
      </c>
      <c r="B474" s="1">
        <v>200.0</v>
      </c>
      <c r="C474" s="1" t="s">
        <v>1249</v>
      </c>
      <c r="D474" s="1" t="s">
        <v>583</v>
      </c>
    </row>
    <row r="475">
      <c r="A475" s="2" t="s">
        <v>1356</v>
      </c>
      <c r="B475" s="1">
        <v>200.0</v>
      </c>
      <c r="C475" s="1" t="s">
        <v>1262</v>
      </c>
      <c r="D475" s="1" t="s">
        <v>583</v>
      </c>
    </row>
    <row r="476">
      <c r="A476" s="2" t="s">
        <v>1357</v>
      </c>
      <c r="B476" s="1">
        <v>301.0</v>
      </c>
      <c r="D476" s="1" t="s">
        <v>609</v>
      </c>
      <c r="E476" s="1" t="s">
        <v>610</v>
      </c>
    </row>
    <row r="477">
      <c r="A477" s="2" t="s">
        <v>1358</v>
      </c>
      <c r="B477" s="1">
        <v>200.0</v>
      </c>
      <c r="C477" s="1" t="s">
        <v>1359</v>
      </c>
      <c r="D477" s="1" t="s">
        <v>583</v>
      </c>
    </row>
    <row r="478">
      <c r="A478" s="2" t="s">
        <v>1360</v>
      </c>
      <c r="B478" s="1">
        <v>200.0</v>
      </c>
      <c r="C478" s="1" t="s">
        <v>656</v>
      </c>
      <c r="D478" s="1" t="s">
        <v>609</v>
      </c>
      <c r="E478" s="1" t="s">
        <v>631</v>
      </c>
    </row>
    <row r="479">
      <c r="A479" s="2" t="s">
        <v>1361</v>
      </c>
      <c r="B479" s="1">
        <v>200.0</v>
      </c>
      <c r="C479" s="1" t="s">
        <v>680</v>
      </c>
      <c r="D479" s="1" t="s">
        <v>609</v>
      </c>
      <c r="E479" s="1" t="s">
        <v>631</v>
      </c>
    </row>
    <row r="480">
      <c r="A480" s="2" t="s">
        <v>1362</v>
      </c>
      <c r="B480" s="1">
        <v>301.0</v>
      </c>
      <c r="D480" s="1" t="s">
        <v>609</v>
      </c>
      <c r="E480" s="1" t="s">
        <v>610</v>
      </c>
    </row>
    <row r="481">
      <c r="A481" s="2" t="s">
        <v>1363</v>
      </c>
      <c r="B481" s="1">
        <v>200.0</v>
      </c>
      <c r="C481" s="1" t="s">
        <v>1237</v>
      </c>
      <c r="D481" s="1" t="s">
        <v>583</v>
      </c>
    </row>
    <row r="482">
      <c r="A482" s="2" t="s">
        <v>1364</v>
      </c>
      <c r="B482" s="1">
        <v>200.0</v>
      </c>
      <c r="C482" s="1" t="s">
        <v>905</v>
      </c>
      <c r="D482" s="1" t="s">
        <v>609</v>
      </c>
      <c r="E482" s="1" t="s">
        <v>631</v>
      </c>
    </row>
    <row r="483">
      <c r="A483" s="2" t="s">
        <v>1365</v>
      </c>
      <c r="B483" s="1">
        <v>200.0</v>
      </c>
      <c r="C483" s="1" t="s">
        <v>1199</v>
      </c>
      <c r="D483" s="1" t="s">
        <v>609</v>
      </c>
      <c r="E483" s="1" t="s">
        <v>631</v>
      </c>
    </row>
    <row r="484">
      <c r="A484" s="2" t="s">
        <v>1366</v>
      </c>
      <c r="B484" s="1">
        <v>200.0</v>
      </c>
      <c r="C484" s="1" t="s">
        <v>998</v>
      </c>
      <c r="D484" s="1" t="s">
        <v>609</v>
      </c>
      <c r="E484" s="1" t="s">
        <v>631</v>
      </c>
    </row>
    <row r="485">
      <c r="A485" s="2" t="s">
        <v>479</v>
      </c>
      <c r="B485" s="1">
        <v>200.0</v>
      </c>
      <c r="C485" s="1" t="s">
        <v>1367</v>
      </c>
      <c r="D485" s="1" t="s">
        <v>583</v>
      </c>
      <c r="F485" s="1">
        <v>1.0</v>
      </c>
      <c r="G485" s="1">
        <v>1.0</v>
      </c>
      <c r="H485" s="1">
        <v>1.0</v>
      </c>
      <c r="I485" s="1">
        <v>1.0</v>
      </c>
      <c r="J485" s="1">
        <v>0.0</v>
      </c>
      <c r="K485" s="1">
        <v>18.0</v>
      </c>
      <c r="L485" s="1">
        <v>0.0</v>
      </c>
      <c r="M485" s="1">
        <v>1.0</v>
      </c>
    </row>
    <row r="486">
      <c r="A486" s="2" t="s">
        <v>1368</v>
      </c>
      <c r="B486" s="1">
        <v>200.0</v>
      </c>
      <c r="C486" s="1" t="s">
        <v>1231</v>
      </c>
      <c r="D486" s="1" t="s">
        <v>583</v>
      </c>
    </row>
    <row r="487">
      <c r="A487" s="2" t="s">
        <v>1369</v>
      </c>
      <c r="B487" s="1">
        <v>200.0</v>
      </c>
      <c r="C487" s="1" t="s">
        <v>1370</v>
      </c>
      <c r="D487" s="1" t="s">
        <v>583</v>
      </c>
    </row>
    <row r="488">
      <c r="A488" s="2" t="s">
        <v>1371</v>
      </c>
      <c r="B488" s="1">
        <v>200.0</v>
      </c>
      <c r="C488" s="1" t="s">
        <v>1372</v>
      </c>
      <c r="D488" s="1" t="s">
        <v>583</v>
      </c>
    </row>
    <row r="489">
      <c r="A489" s="2" t="s">
        <v>1373</v>
      </c>
      <c r="B489" s="1">
        <v>301.0</v>
      </c>
      <c r="D489" s="1" t="s">
        <v>609</v>
      </c>
      <c r="E489" s="1" t="s">
        <v>610</v>
      </c>
    </row>
    <row r="490">
      <c r="A490" s="2" t="s">
        <v>1374</v>
      </c>
      <c r="B490" s="1">
        <v>200.0</v>
      </c>
      <c r="C490" s="1" t="s">
        <v>1375</v>
      </c>
      <c r="D490" s="1" t="s">
        <v>583</v>
      </c>
    </row>
    <row r="491">
      <c r="A491" s="2" t="s">
        <v>1376</v>
      </c>
      <c r="B491" s="1">
        <v>200.0</v>
      </c>
      <c r="C491" s="1" t="s">
        <v>1377</v>
      </c>
      <c r="D491" s="1" t="s">
        <v>583</v>
      </c>
      <c r="F491" s="1">
        <v>2.0</v>
      </c>
      <c r="G491" s="1">
        <v>2.0</v>
      </c>
      <c r="H491" s="1">
        <v>0.0</v>
      </c>
      <c r="I491" s="1">
        <v>0.0</v>
      </c>
      <c r="J491" s="1">
        <v>0.0</v>
      </c>
      <c r="K491" s="1">
        <v>6.0</v>
      </c>
      <c r="L491" s="1">
        <v>0.0</v>
      </c>
      <c r="M491" s="1">
        <v>2.0</v>
      </c>
    </row>
    <row r="492">
      <c r="A492" s="2" t="s">
        <v>1378</v>
      </c>
      <c r="B492" s="1">
        <v>200.0</v>
      </c>
      <c r="C492" s="1" t="s">
        <v>1379</v>
      </c>
      <c r="D492" s="1" t="s">
        <v>583</v>
      </c>
    </row>
    <row r="493">
      <c r="A493" s="2" t="s">
        <v>1380</v>
      </c>
      <c r="B493" s="1">
        <v>200.0</v>
      </c>
      <c r="C493" s="1" t="s">
        <v>1381</v>
      </c>
      <c r="D493" s="1" t="s">
        <v>583</v>
      </c>
      <c r="F493" s="1">
        <v>2.0</v>
      </c>
      <c r="G493" s="1">
        <v>2.0</v>
      </c>
      <c r="H493" s="1">
        <v>0.0</v>
      </c>
      <c r="I493" s="1">
        <v>0.0</v>
      </c>
      <c r="J493" s="1">
        <v>0.0</v>
      </c>
      <c r="K493" s="1">
        <v>6.0</v>
      </c>
      <c r="L493" s="1">
        <v>0.0</v>
      </c>
      <c r="M493" s="1">
        <v>2.0</v>
      </c>
    </row>
    <row r="494">
      <c r="A494" s="2" t="s">
        <v>1382</v>
      </c>
      <c r="B494" s="1">
        <v>200.0</v>
      </c>
      <c r="C494" s="1" t="s">
        <v>1383</v>
      </c>
      <c r="D494" s="1" t="s">
        <v>583</v>
      </c>
    </row>
    <row r="495">
      <c r="A495" s="2" t="s">
        <v>1384</v>
      </c>
      <c r="B495" s="1">
        <v>301.0</v>
      </c>
      <c r="D495" s="1" t="s">
        <v>609</v>
      </c>
      <c r="E495" s="1" t="s">
        <v>610</v>
      </c>
    </row>
    <row r="496">
      <c r="A496" s="2" t="s">
        <v>1385</v>
      </c>
      <c r="B496" s="1">
        <v>301.0</v>
      </c>
      <c r="D496" s="1" t="s">
        <v>609</v>
      </c>
      <c r="E496" s="1" t="s">
        <v>610</v>
      </c>
    </row>
    <row r="497">
      <c r="A497" s="2" t="s">
        <v>1386</v>
      </c>
      <c r="B497" s="1">
        <v>301.0</v>
      </c>
      <c r="D497" s="1" t="s">
        <v>609</v>
      </c>
      <c r="E497" s="1" t="s">
        <v>610</v>
      </c>
    </row>
    <row r="498">
      <c r="A498" s="2" t="s">
        <v>1387</v>
      </c>
      <c r="B498" s="1">
        <v>200.0</v>
      </c>
      <c r="C498" s="1" t="s">
        <v>1388</v>
      </c>
      <c r="D498" s="1" t="s">
        <v>583</v>
      </c>
      <c r="F498" s="1">
        <v>1.0</v>
      </c>
      <c r="G498" s="1">
        <v>1.0</v>
      </c>
      <c r="H498" s="1">
        <v>0.0</v>
      </c>
      <c r="I498" s="1">
        <v>0.0</v>
      </c>
      <c r="J498" s="1">
        <v>0.0</v>
      </c>
      <c r="K498" s="1">
        <v>4.0</v>
      </c>
      <c r="L498" s="1">
        <v>0.0</v>
      </c>
      <c r="M498" s="1">
        <v>1.0</v>
      </c>
    </row>
    <row r="499">
      <c r="A499" s="2" t="s">
        <v>1389</v>
      </c>
      <c r="B499" s="1">
        <v>301.0</v>
      </c>
      <c r="D499" s="1" t="s">
        <v>609</v>
      </c>
      <c r="E499" s="1" t="s">
        <v>610</v>
      </c>
    </row>
    <row r="500">
      <c r="A500" s="2" t="s">
        <v>1390</v>
      </c>
      <c r="B500" s="1">
        <v>301.0</v>
      </c>
      <c r="D500" s="1" t="s">
        <v>609</v>
      </c>
      <c r="E500" s="1" t="s">
        <v>610</v>
      </c>
    </row>
    <row r="501">
      <c r="A501" s="2" t="s">
        <v>1391</v>
      </c>
      <c r="B501" s="1">
        <v>301.0</v>
      </c>
      <c r="D501" s="1" t="s">
        <v>609</v>
      </c>
      <c r="E501" s="1" t="s">
        <v>610</v>
      </c>
    </row>
    <row r="502">
      <c r="A502" s="2" t="s">
        <v>1392</v>
      </c>
      <c r="B502" s="1">
        <v>301.0</v>
      </c>
      <c r="D502" s="1" t="s">
        <v>609</v>
      </c>
      <c r="E502" s="1" t="s">
        <v>610</v>
      </c>
    </row>
    <row r="503">
      <c r="A503" s="2" t="s">
        <v>1393</v>
      </c>
      <c r="B503" s="1">
        <v>301.0</v>
      </c>
      <c r="D503" s="1" t="s">
        <v>609</v>
      </c>
      <c r="E503" s="1" t="s">
        <v>610</v>
      </c>
    </row>
    <row r="504">
      <c r="A504" s="2" t="s">
        <v>1394</v>
      </c>
      <c r="B504" s="1">
        <v>200.0</v>
      </c>
      <c r="C504" s="1" t="s">
        <v>1395</v>
      </c>
      <c r="D504" s="1" t="s">
        <v>583</v>
      </c>
      <c r="F504" s="1">
        <v>1.0</v>
      </c>
      <c r="G504" s="1">
        <v>1.0</v>
      </c>
      <c r="H504" s="1">
        <v>1.0</v>
      </c>
      <c r="I504" s="1">
        <v>1.0</v>
      </c>
      <c r="J504" s="1">
        <v>0.0</v>
      </c>
      <c r="K504" s="1">
        <v>4.0</v>
      </c>
      <c r="L504" s="1">
        <v>0.0</v>
      </c>
      <c r="M504" s="1">
        <v>1.0</v>
      </c>
    </row>
    <row r="505">
      <c r="A505" s="2" t="s">
        <v>1396</v>
      </c>
      <c r="B505" s="1">
        <v>200.0</v>
      </c>
      <c r="C505" s="1" t="s">
        <v>1397</v>
      </c>
      <c r="D505" s="1" t="s">
        <v>583</v>
      </c>
    </row>
    <row r="506">
      <c r="A506" s="2" t="s">
        <v>1398</v>
      </c>
      <c r="B506" s="1">
        <v>200.0</v>
      </c>
      <c r="C506" s="1" t="s">
        <v>1399</v>
      </c>
      <c r="D506" s="1" t="s">
        <v>583</v>
      </c>
      <c r="F506" s="1">
        <v>1.0</v>
      </c>
      <c r="G506" s="1">
        <v>1.0</v>
      </c>
      <c r="H506" s="1">
        <v>0.0</v>
      </c>
      <c r="I506" s="1">
        <v>0.0</v>
      </c>
      <c r="J506" s="1">
        <v>0.0</v>
      </c>
      <c r="K506" s="1">
        <v>3.0</v>
      </c>
      <c r="L506" s="1">
        <v>0.0</v>
      </c>
      <c r="M506" s="1">
        <v>1.0</v>
      </c>
    </row>
    <row r="507">
      <c r="A507" s="2" t="s">
        <v>1400</v>
      </c>
      <c r="B507" s="1">
        <v>200.0</v>
      </c>
      <c r="C507" s="1" t="s">
        <v>1401</v>
      </c>
      <c r="D507" s="1" t="s">
        <v>583</v>
      </c>
      <c r="F507" s="1">
        <v>1.0</v>
      </c>
      <c r="G507" s="1">
        <v>1.0</v>
      </c>
      <c r="H507" s="1">
        <v>1.0</v>
      </c>
      <c r="I507" s="1">
        <v>1.0</v>
      </c>
      <c r="J507" s="1">
        <v>0.0</v>
      </c>
      <c r="K507" s="1">
        <v>4.0</v>
      </c>
      <c r="L507" s="1">
        <v>0.0</v>
      </c>
      <c r="M507" s="1">
        <v>1.0</v>
      </c>
    </row>
    <row r="508">
      <c r="A508" s="2" t="s">
        <v>1402</v>
      </c>
      <c r="B508" s="1">
        <v>200.0</v>
      </c>
      <c r="C508" s="1" t="s">
        <v>652</v>
      </c>
      <c r="D508" s="1" t="s">
        <v>609</v>
      </c>
      <c r="E508" s="1" t="s">
        <v>631</v>
      </c>
    </row>
    <row r="509">
      <c r="A509" s="2" t="s">
        <v>1403</v>
      </c>
      <c r="B509" s="1">
        <v>200.0</v>
      </c>
      <c r="C509" s="1" t="s">
        <v>988</v>
      </c>
      <c r="D509" s="1" t="s">
        <v>609</v>
      </c>
      <c r="E509" s="1" t="s">
        <v>631</v>
      </c>
    </row>
    <row r="510">
      <c r="A510" s="2" t="s">
        <v>1404</v>
      </c>
      <c r="B510" s="1">
        <v>301.0</v>
      </c>
      <c r="D510" s="1" t="s">
        <v>609</v>
      </c>
      <c r="E510" s="1" t="s">
        <v>610</v>
      </c>
    </row>
    <row r="511">
      <c r="A511" s="2" t="s">
        <v>1405</v>
      </c>
      <c r="B511" s="1">
        <v>200.0</v>
      </c>
      <c r="C511" s="1" t="s">
        <v>1406</v>
      </c>
      <c r="D511" s="1" t="s">
        <v>583</v>
      </c>
    </row>
    <row r="512">
      <c r="A512" s="2" t="s">
        <v>1407</v>
      </c>
      <c r="B512" s="1">
        <v>301.0</v>
      </c>
      <c r="D512" s="1" t="s">
        <v>609</v>
      </c>
      <c r="E512" s="1" t="s">
        <v>610</v>
      </c>
    </row>
    <row r="513">
      <c r="A513" s="2" t="s">
        <v>1408</v>
      </c>
      <c r="B513" s="1">
        <v>200.0</v>
      </c>
      <c r="C513" s="1" t="s">
        <v>1409</v>
      </c>
      <c r="D513" s="1" t="s">
        <v>583</v>
      </c>
    </row>
    <row r="514">
      <c r="A514" s="2" t="s">
        <v>1410</v>
      </c>
      <c r="B514" s="1">
        <v>200.0</v>
      </c>
      <c r="C514" s="1" t="s">
        <v>1411</v>
      </c>
      <c r="D514" s="1" t="s">
        <v>583</v>
      </c>
    </row>
    <row r="515">
      <c r="A515" s="2" t="s">
        <v>1412</v>
      </c>
      <c r="B515" s="1">
        <v>200.0</v>
      </c>
      <c r="C515" s="1" t="s">
        <v>1413</v>
      </c>
      <c r="D515" s="1" t="s">
        <v>583</v>
      </c>
    </row>
    <row r="516">
      <c r="A516" s="2" t="s">
        <v>1414</v>
      </c>
      <c r="B516" s="1">
        <v>200.0</v>
      </c>
      <c r="C516" s="1" t="s">
        <v>1415</v>
      </c>
      <c r="D516" s="1" t="s">
        <v>583</v>
      </c>
    </row>
    <row r="517">
      <c r="A517" s="2" t="s">
        <v>1416</v>
      </c>
      <c r="B517" s="1">
        <v>200.0</v>
      </c>
      <c r="C517" s="1" t="s">
        <v>1417</v>
      </c>
      <c r="D517" s="1" t="s">
        <v>583</v>
      </c>
    </row>
    <row r="518">
      <c r="A518" s="2" t="s">
        <v>1418</v>
      </c>
      <c r="B518" s="1">
        <v>200.0</v>
      </c>
      <c r="C518" s="1" t="s">
        <v>1293</v>
      </c>
      <c r="D518" s="1" t="s">
        <v>583</v>
      </c>
    </row>
    <row r="519">
      <c r="A519" s="2" t="s">
        <v>1419</v>
      </c>
      <c r="B519" s="1">
        <v>200.0</v>
      </c>
      <c r="C519" s="1" t="s">
        <v>1420</v>
      </c>
      <c r="D519" s="1" t="s">
        <v>583</v>
      </c>
      <c r="F519" s="1">
        <v>1.0</v>
      </c>
      <c r="G519" s="1">
        <v>2.0</v>
      </c>
      <c r="H519" s="1">
        <v>1.0</v>
      </c>
      <c r="I519" s="1">
        <v>1.0</v>
      </c>
      <c r="J519" s="1">
        <v>0.0</v>
      </c>
      <c r="K519" s="1">
        <v>6.0</v>
      </c>
      <c r="L519" s="1">
        <v>0.0</v>
      </c>
      <c r="M519" s="1">
        <v>1.0</v>
      </c>
    </row>
    <row r="520">
      <c r="A520" s="2" t="s">
        <v>1421</v>
      </c>
      <c r="B520" s="1">
        <v>200.0</v>
      </c>
      <c r="C520" s="1" t="s">
        <v>1422</v>
      </c>
      <c r="D520" s="1" t="s">
        <v>583</v>
      </c>
      <c r="F520" s="1">
        <v>1.0</v>
      </c>
      <c r="G520" s="1">
        <v>1.0</v>
      </c>
      <c r="H520" s="1">
        <v>0.0</v>
      </c>
      <c r="I520" s="1">
        <v>0.0</v>
      </c>
      <c r="J520" s="1">
        <v>0.0</v>
      </c>
      <c r="K520" s="1">
        <v>4.0</v>
      </c>
      <c r="L520" s="1">
        <v>0.0</v>
      </c>
      <c r="M520" s="1">
        <v>1.0</v>
      </c>
    </row>
    <row r="521">
      <c r="A521" s="2" t="s">
        <v>1423</v>
      </c>
      <c r="B521" s="1">
        <v>200.0</v>
      </c>
      <c r="C521" s="1" t="s">
        <v>1424</v>
      </c>
      <c r="D521" s="1" t="s">
        <v>583</v>
      </c>
    </row>
    <row r="522">
      <c r="A522" s="2" t="s">
        <v>1425</v>
      </c>
      <c r="B522" s="1">
        <v>200.0</v>
      </c>
      <c r="C522" s="1" t="s">
        <v>1426</v>
      </c>
      <c r="D522" s="1" t="s">
        <v>583</v>
      </c>
      <c r="F522" s="1">
        <v>8.0</v>
      </c>
      <c r="G522" s="1">
        <v>9.0</v>
      </c>
      <c r="H522" s="1">
        <v>3.0</v>
      </c>
      <c r="I522" s="1">
        <v>0.38</v>
      </c>
      <c r="J522" s="1">
        <v>0.0</v>
      </c>
      <c r="K522" s="1">
        <v>30.0</v>
      </c>
      <c r="L522" s="1">
        <v>0.0</v>
      </c>
      <c r="M522" s="1">
        <v>7.0</v>
      </c>
    </row>
    <row r="523">
      <c r="A523" s="2" t="s">
        <v>1427</v>
      </c>
      <c r="B523" s="1">
        <v>200.0</v>
      </c>
      <c r="C523" s="1" t="s">
        <v>1428</v>
      </c>
      <c r="D523" s="1" t="s">
        <v>583</v>
      </c>
      <c r="F523" s="1">
        <v>1.0</v>
      </c>
      <c r="G523" s="1">
        <v>1.0</v>
      </c>
      <c r="H523" s="1">
        <v>1.0</v>
      </c>
      <c r="I523" s="1">
        <v>1.0</v>
      </c>
      <c r="J523" s="1">
        <v>0.0</v>
      </c>
      <c r="K523" s="1">
        <v>5.0</v>
      </c>
      <c r="L523" s="1">
        <v>0.0</v>
      </c>
      <c r="M523" s="1">
        <v>1.0</v>
      </c>
    </row>
    <row r="524">
      <c r="A524" s="2" t="s">
        <v>1429</v>
      </c>
      <c r="B524" s="1">
        <v>200.0</v>
      </c>
      <c r="C524" s="1" t="s">
        <v>1430</v>
      </c>
      <c r="D524" s="1" t="s">
        <v>583</v>
      </c>
    </row>
    <row r="525">
      <c r="A525" s="2" t="s">
        <v>1431</v>
      </c>
      <c r="B525" s="1">
        <v>200.0</v>
      </c>
      <c r="C525" s="1" t="s">
        <v>1432</v>
      </c>
      <c r="D525" s="1" t="s">
        <v>583</v>
      </c>
      <c r="F525" s="1">
        <v>2.0</v>
      </c>
      <c r="G525" s="1">
        <v>2.0</v>
      </c>
      <c r="H525" s="1">
        <v>2.0</v>
      </c>
      <c r="I525" s="1">
        <v>1.0</v>
      </c>
      <c r="J525" s="1">
        <v>0.0</v>
      </c>
      <c r="K525" s="1">
        <v>9.0</v>
      </c>
      <c r="L525" s="1">
        <v>0.0</v>
      </c>
      <c r="M525" s="1">
        <v>2.0</v>
      </c>
    </row>
    <row r="526">
      <c r="A526" s="2" t="s">
        <v>1433</v>
      </c>
      <c r="B526" s="1">
        <v>200.0</v>
      </c>
      <c r="C526" s="1" t="s">
        <v>1434</v>
      </c>
      <c r="D526" s="1" t="s">
        <v>583</v>
      </c>
    </row>
    <row r="527">
      <c r="A527" s="2" t="s">
        <v>1435</v>
      </c>
      <c r="B527" s="1">
        <v>301.0</v>
      </c>
      <c r="D527" s="1" t="s">
        <v>609</v>
      </c>
      <c r="E527" s="1" t="s">
        <v>610</v>
      </c>
    </row>
    <row r="528">
      <c r="A528" s="2" t="s">
        <v>1436</v>
      </c>
      <c r="B528" s="1">
        <v>200.0</v>
      </c>
      <c r="C528" s="1" t="s">
        <v>1437</v>
      </c>
      <c r="D528" s="1" t="s">
        <v>583</v>
      </c>
      <c r="F528" s="1">
        <v>1.0</v>
      </c>
      <c r="G528" s="1">
        <v>2.0</v>
      </c>
      <c r="H528" s="1">
        <v>1.0</v>
      </c>
      <c r="I528" s="1">
        <v>1.0</v>
      </c>
      <c r="J528" s="1">
        <v>0.0</v>
      </c>
      <c r="K528" s="1">
        <v>4.0</v>
      </c>
      <c r="L528" s="1">
        <v>0.0</v>
      </c>
      <c r="M528" s="1">
        <v>1.0</v>
      </c>
    </row>
    <row r="529">
      <c r="A529" s="2" t="s">
        <v>1438</v>
      </c>
      <c r="B529" s="1">
        <v>200.0</v>
      </c>
      <c r="C529" s="1" t="s">
        <v>1439</v>
      </c>
      <c r="D529" s="1" t="s">
        <v>583</v>
      </c>
    </row>
    <row r="530">
      <c r="A530" s="2" t="s">
        <v>1440</v>
      </c>
      <c r="B530" s="1">
        <v>200.0</v>
      </c>
      <c r="C530" s="1" t="s">
        <v>1441</v>
      </c>
      <c r="D530" s="1" t="s">
        <v>583</v>
      </c>
    </row>
    <row r="531">
      <c r="A531" s="2" t="s">
        <v>1442</v>
      </c>
      <c r="B531" s="1">
        <v>200.0</v>
      </c>
      <c r="C531" s="1" t="s">
        <v>1443</v>
      </c>
      <c r="D531" s="1" t="s">
        <v>583</v>
      </c>
    </row>
    <row r="532">
      <c r="A532" s="2" t="s">
        <v>1444</v>
      </c>
      <c r="B532" s="1">
        <v>200.0</v>
      </c>
      <c r="C532" s="1" t="s">
        <v>1445</v>
      </c>
      <c r="D532" s="1" t="s">
        <v>583</v>
      </c>
      <c r="F532" s="1">
        <v>4.0</v>
      </c>
      <c r="G532" s="1">
        <v>4.0</v>
      </c>
      <c r="H532" s="1">
        <v>3.0</v>
      </c>
      <c r="I532" s="1">
        <v>0.75</v>
      </c>
      <c r="J532" s="1">
        <v>0.0</v>
      </c>
      <c r="K532" s="1">
        <v>17.0</v>
      </c>
      <c r="L532" s="1">
        <v>0.0</v>
      </c>
      <c r="M532" s="1">
        <v>4.0</v>
      </c>
    </row>
    <row r="533">
      <c r="A533" s="2" t="s">
        <v>1446</v>
      </c>
      <c r="B533" s="1">
        <v>200.0</v>
      </c>
      <c r="C533" s="1" t="s">
        <v>1447</v>
      </c>
      <c r="D533" s="1" t="s">
        <v>583</v>
      </c>
    </row>
    <row r="534">
      <c r="A534" s="2" t="s">
        <v>1448</v>
      </c>
      <c r="B534" s="1">
        <v>200.0</v>
      </c>
      <c r="C534" s="1" t="s">
        <v>1449</v>
      </c>
      <c r="D534" s="1" t="s">
        <v>583</v>
      </c>
    </row>
    <row r="535">
      <c r="A535" s="2" t="s">
        <v>1450</v>
      </c>
      <c r="B535" s="1">
        <v>200.0</v>
      </c>
      <c r="C535" s="1" t="s">
        <v>1451</v>
      </c>
      <c r="D535" s="1" t="s">
        <v>583</v>
      </c>
    </row>
    <row r="536">
      <c r="A536" s="2" t="s">
        <v>1452</v>
      </c>
      <c r="B536" s="1">
        <v>200.0</v>
      </c>
      <c r="C536" s="1" t="s">
        <v>1453</v>
      </c>
      <c r="D536" s="1" t="s">
        <v>583</v>
      </c>
      <c r="F536" s="1">
        <v>4.0</v>
      </c>
      <c r="G536" s="1">
        <v>4.0</v>
      </c>
      <c r="H536" s="1">
        <v>1.0</v>
      </c>
      <c r="I536" s="1">
        <v>0.25</v>
      </c>
      <c r="J536" s="1">
        <v>0.0</v>
      </c>
      <c r="K536" s="1">
        <v>13.0</v>
      </c>
      <c r="L536" s="1">
        <v>0.0</v>
      </c>
      <c r="M536" s="1">
        <v>3.0</v>
      </c>
    </row>
    <row r="537">
      <c r="A537" s="2" t="s">
        <v>1454</v>
      </c>
      <c r="B537" s="1">
        <v>200.0</v>
      </c>
      <c r="C537" s="1" t="s">
        <v>1455</v>
      </c>
      <c r="D537" s="1" t="s">
        <v>583</v>
      </c>
      <c r="F537" s="1">
        <v>3.0</v>
      </c>
      <c r="G537" s="1">
        <v>4.0</v>
      </c>
      <c r="H537" s="1">
        <v>2.0</v>
      </c>
      <c r="I537" s="1">
        <v>0.67</v>
      </c>
      <c r="J537" s="1">
        <v>0.0</v>
      </c>
      <c r="K537" s="1">
        <v>15.0</v>
      </c>
      <c r="L537" s="1">
        <v>0.0</v>
      </c>
      <c r="M537" s="1">
        <v>3.0</v>
      </c>
    </row>
    <row r="538">
      <c r="A538" s="2" t="s">
        <v>1456</v>
      </c>
      <c r="B538" s="1">
        <v>200.0</v>
      </c>
      <c r="C538" s="1" t="s">
        <v>1457</v>
      </c>
      <c r="D538" s="1" t="s">
        <v>583</v>
      </c>
    </row>
    <row r="539">
      <c r="A539" s="2" t="s">
        <v>1458</v>
      </c>
      <c r="B539" s="1">
        <v>200.0</v>
      </c>
      <c r="C539" s="1" t="s">
        <v>1459</v>
      </c>
      <c r="D539" s="1" t="s">
        <v>583</v>
      </c>
      <c r="F539" s="1">
        <v>1.0</v>
      </c>
      <c r="G539" s="1">
        <v>1.0</v>
      </c>
      <c r="H539" s="1">
        <v>0.0</v>
      </c>
      <c r="I539" s="1">
        <v>0.0</v>
      </c>
      <c r="J539" s="1">
        <v>0.0</v>
      </c>
      <c r="K539" s="1">
        <v>4.0</v>
      </c>
      <c r="L539" s="1">
        <v>0.0</v>
      </c>
      <c r="M539" s="1">
        <v>1.0</v>
      </c>
    </row>
    <row r="540">
      <c r="A540" s="2" t="s">
        <v>1460</v>
      </c>
      <c r="B540" s="1">
        <v>200.0</v>
      </c>
      <c r="C540" s="1" t="s">
        <v>1461</v>
      </c>
      <c r="D540" s="1" t="s">
        <v>583</v>
      </c>
    </row>
    <row r="541">
      <c r="A541" s="2" t="s">
        <v>1462</v>
      </c>
      <c r="B541" s="1">
        <v>200.0</v>
      </c>
      <c r="C541" s="1" t="s">
        <v>1463</v>
      </c>
      <c r="D541" s="1" t="s">
        <v>583</v>
      </c>
    </row>
    <row r="542">
      <c r="A542" s="2" t="s">
        <v>1464</v>
      </c>
      <c r="B542" s="1">
        <v>301.0</v>
      </c>
      <c r="D542" s="1" t="s">
        <v>609</v>
      </c>
      <c r="E542" s="1" t="s">
        <v>610</v>
      </c>
    </row>
    <row r="543">
      <c r="A543" s="2" t="s">
        <v>1465</v>
      </c>
      <c r="B543" s="1">
        <v>200.0</v>
      </c>
      <c r="C543" s="1" t="s">
        <v>1466</v>
      </c>
      <c r="D543" s="1" t="s">
        <v>583</v>
      </c>
    </row>
    <row r="544">
      <c r="A544" s="2" t="s">
        <v>1467</v>
      </c>
      <c r="B544" s="1">
        <v>200.0</v>
      </c>
      <c r="C544" s="1" t="s">
        <v>1468</v>
      </c>
      <c r="D544" s="1" t="s">
        <v>583</v>
      </c>
    </row>
    <row r="545">
      <c r="A545" s="2" t="s">
        <v>1469</v>
      </c>
      <c r="B545" s="1">
        <v>200.0</v>
      </c>
      <c r="C545" s="1" t="s">
        <v>1470</v>
      </c>
      <c r="D545" s="1" t="s">
        <v>583</v>
      </c>
      <c r="F545" s="1">
        <v>4.0</v>
      </c>
      <c r="G545" s="1">
        <v>4.0</v>
      </c>
      <c r="H545" s="1">
        <v>3.0</v>
      </c>
      <c r="I545" s="1">
        <v>0.75</v>
      </c>
      <c r="J545" s="1">
        <v>0.0</v>
      </c>
      <c r="K545" s="1">
        <v>15.0</v>
      </c>
      <c r="L545" s="1">
        <v>0.0</v>
      </c>
      <c r="M545" s="1">
        <v>4.0</v>
      </c>
    </row>
    <row r="546">
      <c r="A546" s="2" t="s">
        <v>1471</v>
      </c>
      <c r="B546" s="1">
        <v>200.0</v>
      </c>
      <c r="C546" s="1" t="s">
        <v>1472</v>
      </c>
      <c r="D546" s="1" t="s">
        <v>583</v>
      </c>
    </row>
    <row r="547">
      <c r="A547" s="2" t="s">
        <v>1473</v>
      </c>
      <c r="B547" s="1">
        <v>200.0</v>
      </c>
      <c r="C547" s="1" t="s">
        <v>1474</v>
      </c>
      <c r="D547" s="1" t="s">
        <v>583</v>
      </c>
      <c r="F547" s="1">
        <v>4.0</v>
      </c>
      <c r="G547" s="1">
        <v>4.0</v>
      </c>
      <c r="H547" s="1">
        <v>2.0</v>
      </c>
      <c r="I547" s="1">
        <v>0.5</v>
      </c>
      <c r="J547" s="1">
        <v>0.0</v>
      </c>
      <c r="K547" s="1">
        <v>14.0</v>
      </c>
      <c r="L547" s="1">
        <v>0.0</v>
      </c>
      <c r="M547" s="1">
        <v>4.0</v>
      </c>
    </row>
    <row r="548">
      <c r="A548" s="2" t="s">
        <v>1475</v>
      </c>
      <c r="B548" s="1">
        <v>200.0</v>
      </c>
      <c r="C548" s="1" t="s">
        <v>1476</v>
      </c>
      <c r="D548" s="1" t="s">
        <v>583</v>
      </c>
      <c r="F548" s="1">
        <v>4.0</v>
      </c>
      <c r="G548" s="1">
        <v>4.0</v>
      </c>
      <c r="H548" s="1">
        <v>3.0</v>
      </c>
      <c r="I548" s="1">
        <v>0.75</v>
      </c>
      <c r="J548" s="1">
        <v>0.0</v>
      </c>
      <c r="K548" s="1">
        <v>36.0</v>
      </c>
      <c r="L548" s="1">
        <v>0.0</v>
      </c>
      <c r="M548" s="1">
        <v>4.0</v>
      </c>
    </row>
    <row r="549">
      <c r="A549" s="2" t="s">
        <v>1477</v>
      </c>
      <c r="B549" s="1">
        <v>200.0</v>
      </c>
      <c r="C549" s="1" t="s">
        <v>1478</v>
      </c>
      <c r="D549" s="1" t="s">
        <v>583</v>
      </c>
    </row>
    <row r="550">
      <c r="A550" s="2" t="s">
        <v>1479</v>
      </c>
      <c r="B550" s="1">
        <v>200.0</v>
      </c>
      <c r="C550" s="1" t="s">
        <v>1480</v>
      </c>
      <c r="D550" s="1" t="s">
        <v>583</v>
      </c>
    </row>
    <row r="551">
      <c r="A551" s="2" t="s">
        <v>1481</v>
      </c>
      <c r="B551" s="1">
        <v>200.0</v>
      </c>
      <c r="C551" s="1" t="s">
        <v>1482</v>
      </c>
      <c r="D551" s="1" t="s">
        <v>583</v>
      </c>
      <c r="F551" s="1">
        <v>2.0</v>
      </c>
      <c r="G551" s="1">
        <v>3.0</v>
      </c>
      <c r="H551" s="1">
        <v>2.0</v>
      </c>
      <c r="I551" s="1">
        <v>1.0</v>
      </c>
      <c r="J551" s="1">
        <v>0.0</v>
      </c>
      <c r="K551" s="1">
        <v>9.0</v>
      </c>
      <c r="L551" s="1">
        <v>0.0</v>
      </c>
      <c r="M551" s="1">
        <v>2.0</v>
      </c>
    </row>
    <row r="552">
      <c r="A552" s="2" t="s">
        <v>1483</v>
      </c>
      <c r="B552" s="1">
        <v>200.0</v>
      </c>
      <c r="C552" s="1" t="s">
        <v>1484</v>
      </c>
      <c r="D552" s="1" t="s">
        <v>583</v>
      </c>
      <c r="F552" s="1">
        <v>1.0</v>
      </c>
      <c r="G552" s="1">
        <v>1.0</v>
      </c>
      <c r="H552" s="1">
        <v>0.0</v>
      </c>
      <c r="I552" s="1">
        <v>0.0</v>
      </c>
      <c r="J552" s="1">
        <v>0.0</v>
      </c>
      <c r="K552" s="1">
        <v>3.0</v>
      </c>
      <c r="L552" s="1">
        <v>0.0</v>
      </c>
      <c r="M552" s="1">
        <v>1.0</v>
      </c>
    </row>
    <row r="553">
      <c r="A553" s="2" t="s">
        <v>1485</v>
      </c>
      <c r="B553" s="1">
        <v>301.0</v>
      </c>
      <c r="D553" s="1" t="s">
        <v>609</v>
      </c>
      <c r="E553" s="1" t="s">
        <v>610</v>
      </c>
    </row>
    <row r="554">
      <c r="A554" s="2" t="s">
        <v>1486</v>
      </c>
      <c r="B554" s="1">
        <v>200.0</v>
      </c>
      <c r="C554" s="1" t="s">
        <v>1487</v>
      </c>
      <c r="D554" s="1" t="s">
        <v>583</v>
      </c>
    </row>
    <row r="555">
      <c r="A555" s="2" t="s">
        <v>1488</v>
      </c>
      <c r="B555" s="1">
        <v>200.0</v>
      </c>
      <c r="C555" s="1" t="s">
        <v>1489</v>
      </c>
      <c r="D555" s="1" t="s">
        <v>583</v>
      </c>
      <c r="F555" s="1">
        <v>8.0</v>
      </c>
      <c r="G555" s="1">
        <v>11.0</v>
      </c>
      <c r="H555" s="1">
        <v>7.0</v>
      </c>
      <c r="I555" s="1">
        <v>0.88</v>
      </c>
      <c r="J555" s="1">
        <v>0.0</v>
      </c>
      <c r="K555" s="1">
        <v>40.0</v>
      </c>
      <c r="L555" s="1">
        <v>0.0</v>
      </c>
      <c r="M555" s="1">
        <v>7.0</v>
      </c>
    </row>
    <row r="556">
      <c r="A556" s="2" t="s">
        <v>1490</v>
      </c>
      <c r="B556" s="1">
        <v>200.0</v>
      </c>
      <c r="C556" s="1" t="s">
        <v>1491</v>
      </c>
      <c r="D556" s="1" t="s">
        <v>583</v>
      </c>
      <c r="F556" s="1">
        <v>1.0</v>
      </c>
      <c r="G556" s="1">
        <v>1.0</v>
      </c>
      <c r="H556" s="1">
        <v>1.0</v>
      </c>
      <c r="I556" s="1">
        <v>1.0</v>
      </c>
      <c r="J556" s="1">
        <v>0.0</v>
      </c>
      <c r="K556" s="1">
        <v>4.0</v>
      </c>
      <c r="L556" s="1">
        <v>0.0</v>
      </c>
      <c r="M556" s="1">
        <v>1.0</v>
      </c>
    </row>
    <row r="557">
      <c r="A557" s="2" t="s">
        <v>1492</v>
      </c>
      <c r="B557" s="1">
        <v>200.0</v>
      </c>
      <c r="C557" s="1" t="s">
        <v>1493</v>
      </c>
      <c r="D557" s="1" t="s">
        <v>583</v>
      </c>
      <c r="F557" s="1">
        <v>1.0</v>
      </c>
      <c r="G557" s="1">
        <v>1.0</v>
      </c>
      <c r="H557" s="1">
        <v>1.0</v>
      </c>
      <c r="I557" s="1">
        <v>1.0</v>
      </c>
      <c r="J557" s="1">
        <v>0.0</v>
      </c>
      <c r="K557" s="1">
        <v>4.0</v>
      </c>
      <c r="L557" s="1">
        <v>0.0</v>
      </c>
      <c r="M557" s="1">
        <v>1.0</v>
      </c>
    </row>
    <row r="558">
      <c r="A558" s="2" t="s">
        <v>1494</v>
      </c>
      <c r="B558" s="1">
        <v>200.0</v>
      </c>
      <c r="C558" s="1" t="s">
        <v>1495</v>
      </c>
      <c r="D558" s="1" t="s">
        <v>583</v>
      </c>
    </row>
    <row r="559">
      <c r="A559" s="2" t="s">
        <v>1496</v>
      </c>
      <c r="B559" s="1">
        <v>200.0</v>
      </c>
      <c r="C559" s="1" t="s">
        <v>1497</v>
      </c>
      <c r="D559" s="1" t="s">
        <v>583</v>
      </c>
      <c r="F559" s="1">
        <v>1.0</v>
      </c>
      <c r="G559" s="1">
        <v>1.0</v>
      </c>
      <c r="H559" s="1">
        <v>0.0</v>
      </c>
      <c r="I559" s="1">
        <v>0.0</v>
      </c>
      <c r="J559" s="1">
        <v>0.0</v>
      </c>
      <c r="K559" s="1">
        <v>5.0</v>
      </c>
      <c r="L559" s="1">
        <v>0.0</v>
      </c>
      <c r="M559" s="1">
        <v>1.0</v>
      </c>
    </row>
    <row r="560">
      <c r="A560" s="2" t="s">
        <v>1498</v>
      </c>
      <c r="B560" s="1">
        <v>200.0</v>
      </c>
      <c r="C560" s="1" t="s">
        <v>1499</v>
      </c>
      <c r="D560" s="1" t="s">
        <v>583</v>
      </c>
    </row>
    <row r="561">
      <c r="A561" s="2" t="s">
        <v>1500</v>
      </c>
      <c r="B561" s="1">
        <v>301.0</v>
      </c>
      <c r="D561" s="1" t="s">
        <v>609</v>
      </c>
      <c r="E561" s="1" t="s">
        <v>610</v>
      </c>
    </row>
    <row r="562">
      <c r="A562" s="2" t="s">
        <v>1501</v>
      </c>
      <c r="B562" s="1">
        <v>301.0</v>
      </c>
      <c r="D562" s="1" t="s">
        <v>609</v>
      </c>
      <c r="E562" s="1" t="s">
        <v>610</v>
      </c>
    </row>
    <row r="563">
      <c r="A563" s="2" t="s">
        <v>1502</v>
      </c>
      <c r="B563" s="1">
        <v>301.0</v>
      </c>
      <c r="D563" s="1" t="s">
        <v>609</v>
      </c>
      <c r="E563" s="1" t="s">
        <v>610</v>
      </c>
    </row>
    <row r="564">
      <c r="A564" s="2" t="s">
        <v>1503</v>
      </c>
      <c r="B564" s="1">
        <v>200.0</v>
      </c>
      <c r="C564" s="1" t="s">
        <v>1504</v>
      </c>
      <c r="D564" s="1" t="s">
        <v>583</v>
      </c>
    </row>
    <row r="565">
      <c r="A565" s="2" t="s">
        <v>1505</v>
      </c>
      <c r="B565" s="1">
        <v>200.0</v>
      </c>
      <c r="C565" s="1" t="s">
        <v>1506</v>
      </c>
      <c r="D565" s="1" t="s">
        <v>583</v>
      </c>
    </row>
    <row r="566">
      <c r="A566" s="2" t="s">
        <v>1507</v>
      </c>
      <c r="B566" s="1">
        <v>200.0</v>
      </c>
      <c r="C566" s="1" t="s">
        <v>1508</v>
      </c>
      <c r="D566" s="1" t="s">
        <v>583</v>
      </c>
    </row>
    <row r="567">
      <c r="A567" s="2" t="s">
        <v>1509</v>
      </c>
      <c r="B567" s="1">
        <v>200.0</v>
      </c>
      <c r="C567" s="1" t="s">
        <v>1510</v>
      </c>
      <c r="D567" s="1" t="s">
        <v>583</v>
      </c>
      <c r="F567" s="1">
        <v>1.0</v>
      </c>
      <c r="G567" s="1">
        <v>1.0</v>
      </c>
      <c r="H567" s="1">
        <v>1.0</v>
      </c>
      <c r="I567" s="1">
        <v>1.0</v>
      </c>
      <c r="J567" s="1">
        <v>0.0</v>
      </c>
      <c r="K567" s="1">
        <v>4.0</v>
      </c>
      <c r="L567" s="1">
        <v>0.0</v>
      </c>
      <c r="M567" s="1">
        <v>1.0</v>
      </c>
    </row>
    <row r="568">
      <c r="A568" s="2" t="s">
        <v>1511</v>
      </c>
      <c r="B568" s="1">
        <v>200.0</v>
      </c>
      <c r="C568" s="1" t="s">
        <v>1512</v>
      </c>
      <c r="D568" s="1" t="s">
        <v>583</v>
      </c>
    </row>
    <row r="569">
      <c r="A569" s="2" t="s">
        <v>1513</v>
      </c>
      <c r="B569" s="1">
        <v>200.0</v>
      </c>
      <c r="C569" s="1" t="s">
        <v>1514</v>
      </c>
      <c r="D569" s="1" t="s">
        <v>583</v>
      </c>
      <c r="F569" s="1">
        <v>1.0</v>
      </c>
      <c r="G569" s="1">
        <v>1.0</v>
      </c>
      <c r="H569" s="1">
        <v>0.0</v>
      </c>
      <c r="I569" s="1">
        <v>0.0</v>
      </c>
      <c r="J569" s="1">
        <v>0.0</v>
      </c>
      <c r="K569" s="1">
        <v>3.0</v>
      </c>
      <c r="L569" s="1">
        <v>0.0</v>
      </c>
      <c r="M569" s="1">
        <v>1.0</v>
      </c>
    </row>
    <row r="570">
      <c r="A570" s="2" t="s">
        <v>1515</v>
      </c>
      <c r="B570" s="1">
        <v>200.0</v>
      </c>
      <c r="C570" s="1" t="s">
        <v>1516</v>
      </c>
      <c r="D570" s="1" t="s">
        <v>583</v>
      </c>
    </row>
    <row r="571">
      <c r="A571" s="2" t="s">
        <v>1517</v>
      </c>
      <c r="B571" s="1">
        <v>200.0</v>
      </c>
      <c r="C571" s="1" t="s">
        <v>1518</v>
      </c>
      <c r="D571" s="1" t="s">
        <v>583</v>
      </c>
    </row>
    <row r="572">
      <c r="A572" s="2" t="s">
        <v>1519</v>
      </c>
      <c r="B572" s="1">
        <v>200.0</v>
      </c>
      <c r="C572" s="1" t="s">
        <v>1520</v>
      </c>
      <c r="D572" s="1" t="s">
        <v>583</v>
      </c>
    </row>
    <row r="573">
      <c r="A573" s="2" t="s">
        <v>1521</v>
      </c>
      <c r="B573" s="1">
        <v>301.0</v>
      </c>
      <c r="D573" s="1" t="s">
        <v>609</v>
      </c>
      <c r="E573" s="1" t="s">
        <v>610</v>
      </c>
    </row>
    <row r="574">
      <c r="A574" s="2" t="s">
        <v>1522</v>
      </c>
      <c r="B574" s="1">
        <v>200.0</v>
      </c>
      <c r="C574" s="1" t="s">
        <v>1523</v>
      </c>
      <c r="D574" s="1" t="s">
        <v>583</v>
      </c>
    </row>
    <row r="575">
      <c r="A575" s="2" t="s">
        <v>1524</v>
      </c>
      <c r="B575" s="1">
        <v>200.0</v>
      </c>
      <c r="C575" s="1" t="s">
        <v>1525</v>
      </c>
      <c r="D575" s="1" t="s">
        <v>583</v>
      </c>
    </row>
    <row r="576">
      <c r="A576" s="2" t="s">
        <v>1526</v>
      </c>
      <c r="B576" s="1">
        <v>200.0</v>
      </c>
      <c r="C576" s="1" t="s">
        <v>1527</v>
      </c>
      <c r="D576" s="1" t="s">
        <v>583</v>
      </c>
    </row>
    <row r="577">
      <c r="A577" s="2" t="s">
        <v>1528</v>
      </c>
      <c r="B577" s="1">
        <v>200.0</v>
      </c>
      <c r="C577" s="1" t="s">
        <v>1529</v>
      </c>
      <c r="D577" s="1" t="s">
        <v>583</v>
      </c>
      <c r="F577" s="1">
        <v>1.0</v>
      </c>
      <c r="G577" s="1">
        <v>1.0</v>
      </c>
      <c r="H577" s="1">
        <v>1.0</v>
      </c>
      <c r="I577" s="1">
        <v>1.0</v>
      </c>
      <c r="J577" s="1">
        <v>0.0</v>
      </c>
      <c r="K577" s="1">
        <v>5.0</v>
      </c>
      <c r="L577" s="1">
        <v>0.0</v>
      </c>
      <c r="M577" s="1">
        <v>1.0</v>
      </c>
    </row>
    <row r="578">
      <c r="A578" s="2" t="s">
        <v>1530</v>
      </c>
      <c r="B578" s="1">
        <v>200.0</v>
      </c>
      <c r="C578" s="1" t="s">
        <v>1531</v>
      </c>
      <c r="D578" s="1" t="s">
        <v>583</v>
      </c>
      <c r="F578" s="1">
        <v>1.0</v>
      </c>
      <c r="G578" s="1">
        <v>1.0</v>
      </c>
      <c r="H578" s="1">
        <v>0.0</v>
      </c>
      <c r="I578" s="1">
        <v>0.0</v>
      </c>
      <c r="J578" s="1">
        <v>0.0</v>
      </c>
      <c r="K578" s="1">
        <v>4.0</v>
      </c>
      <c r="L578" s="1">
        <v>0.0</v>
      </c>
      <c r="M578" s="1">
        <v>1.0</v>
      </c>
    </row>
    <row r="579">
      <c r="A579" s="2" t="s">
        <v>1532</v>
      </c>
      <c r="B579" s="1">
        <v>200.0</v>
      </c>
      <c r="C579" s="1" t="s">
        <v>1533</v>
      </c>
      <c r="D579" s="1" t="s">
        <v>583</v>
      </c>
    </row>
    <row r="580">
      <c r="A580" s="2" t="s">
        <v>1534</v>
      </c>
      <c r="B580" s="1">
        <v>200.0</v>
      </c>
      <c r="C580" s="1" t="s">
        <v>1535</v>
      </c>
      <c r="D580" s="1" t="s">
        <v>583</v>
      </c>
    </row>
    <row r="581">
      <c r="A581" s="2" t="s">
        <v>1536</v>
      </c>
      <c r="B581" s="1">
        <v>200.0</v>
      </c>
      <c r="C581" s="1" t="s">
        <v>1537</v>
      </c>
      <c r="D581" s="1" t="s">
        <v>583</v>
      </c>
      <c r="F581" s="1">
        <v>35.0</v>
      </c>
      <c r="G581" s="1">
        <v>42.0</v>
      </c>
      <c r="H581" s="1">
        <v>24.0</v>
      </c>
      <c r="I581" s="1">
        <v>0.69</v>
      </c>
      <c r="J581" s="1">
        <v>0.0</v>
      </c>
      <c r="K581" s="1">
        <v>152.0</v>
      </c>
      <c r="L581" s="1">
        <v>0.0</v>
      </c>
      <c r="M581" s="1">
        <v>35.0</v>
      </c>
    </row>
    <row r="582">
      <c r="A582" s="2" t="s">
        <v>1538</v>
      </c>
      <c r="B582" s="1">
        <v>200.0</v>
      </c>
      <c r="C582" s="1" t="s">
        <v>1539</v>
      </c>
      <c r="D582" s="1" t="s">
        <v>583</v>
      </c>
      <c r="F582" s="1">
        <v>3.0</v>
      </c>
      <c r="G582" s="1">
        <v>3.0</v>
      </c>
      <c r="H582" s="1">
        <v>2.0</v>
      </c>
      <c r="I582" s="1">
        <v>0.67</v>
      </c>
      <c r="J582" s="1">
        <v>0.0</v>
      </c>
      <c r="K582" s="1">
        <v>26.0</v>
      </c>
      <c r="L582" s="1">
        <v>0.0</v>
      </c>
      <c r="M582" s="1">
        <v>3.0</v>
      </c>
    </row>
    <row r="583">
      <c r="A583" s="2" t="s">
        <v>1540</v>
      </c>
      <c r="B583" s="1">
        <v>200.0</v>
      </c>
      <c r="C583" s="1" t="s">
        <v>1541</v>
      </c>
      <c r="D583" s="1" t="s">
        <v>583</v>
      </c>
    </row>
    <row r="584">
      <c r="A584" s="2" t="s">
        <v>1542</v>
      </c>
      <c r="B584" s="1">
        <v>301.0</v>
      </c>
      <c r="D584" s="1" t="s">
        <v>609</v>
      </c>
      <c r="E584" s="1" t="s">
        <v>610</v>
      </c>
    </row>
    <row r="585">
      <c r="A585" s="2" t="s">
        <v>1543</v>
      </c>
      <c r="B585" s="1">
        <v>200.0</v>
      </c>
      <c r="C585" s="1" t="s">
        <v>1544</v>
      </c>
      <c r="D585" s="1" t="s">
        <v>583</v>
      </c>
      <c r="F585" s="1">
        <v>17.0</v>
      </c>
      <c r="G585" s="1">
        <v>20.0</v>
      </c>
      <c r="H585" s="1">
        <v>14.0</v>
      </c>
      <c r="I585" s="1">
        <v>0.82</v>
      </c>
      <c r="J585" s="1">
        <v>0.0</v>
      </c>
      <c r="K585" s="1">
        <v>98.0</v>
      </c>
      <c r="L585" s="1">
        <v>0.0</v>
      </c>
      <c r="M585" s="1">
        <v>15.0</v>
      </c>
    </row>
    <row r="586">
      <c r="A586" s="2" t="s">
        <v>1545</v>
      </c>
      <c r="B586" s="1">
        <v>301.0</v>
      </c>
      <c r="D586" s="1" t="s">
        <v>609</v>
      </c>
      <c r="E586" s="1" t="s">
        <v>610</v>
      </c>
      <c r="F586" s="1">
        <v>1.0</v>
      </c>
      <c r="G586" s="1">
        <v>1.0</v>
      </c>
      <c r="H586" s="1">
        <v>0.0</v>
      </c>
      <c r="I586" s="1">
        <v>0.0</v>
      </c>
      <c r="J586" s="1">
        <v>0.0</v>
      </c>
      <c r="K586" s="1">
        <v>4.0</v>
      </c>
      <c r="L586" s="1">
        <v>0.0</v>
      </c>
      <c r="M586" s="1">
        <v>1.0</v>
      </c>
    </row>
    <row r="587">
      <c r="A587" s="2" t="s">
        <v>1546</v>
      </c>
      <c r="B587" s="1">
        <v>200.0</v>
      </c>
      <c r="C587" s="1" t="s">
        <v>1547</v>
      </c>
      <c r="D587" s="1" t="s">
        <v>583</v>
      </c>
      <c r="F587" s="1">
        <v>3.0</v>
      </c>
      <c r="G587" s="1">
        <v>3.0</v>
      </c>
      <c r="H587" s="1">
        <v>2.0</v>
      </c>
      <c r="I587" s="1">
        <v>0.67</v>
      </c>
      <c r="J587" s="1">
        <v>0.0</v>
      </c>
      <c r="K587" s="1">
        <v>11.0</v>
      </c>
      <c r="L587" s="1">
        <v>0.0</v>
      </c>
      <c r="M587" s="1">
        <v>3.0</v>
      </c>
    </row>
    <row r="588">
      <c r="A588" s="2" t="s">
        <v>1548</v>
      </c>
      <c r="B588" s="1">
        <v>200.0</v>
      </c>
      <c r="C588" s="1" t="s">
        <v>1549</v>
      </c>
      <c r="D588" s="1" t="s">
        <v>583</v>
      </c>
    </row>
    <row r="589">
      <c r="A589" s="2" t="s">
        <v>1550</v>
      </c>
      <c r="B589" s="1">
        <v>200.0</v>
      </c>
      <c r="C589" s="1" t="s">
        <v>1551</v>
      </c>
      <c r="D589" s="1" t="s">
        <v>583</v>
      </c>
    </row>
    <row r="590">
      <c r="A590" s="2" t="s">
        <v>1552</v>
      </c>
      <c r="B590" s="1">
        <v>200.0</v>
      </c>
      <c r="C590" s="1" t="s">
        <v>1553</v>
      </c>
      <c r="D590" s="1" t="s">
        <v>583</v>
      </c>
    </row>
    <row r="591">
      <c r="A591" s="2" t="s">
        <v>1554</v>
      </c>
      <c r="B591" s="1">
        <v>200.0</v>
      </c>
      <c r="C591" s="1" t="s">
        <v>1555</v>
      </c>
      <c r="D591" s="1" t="s">
        <v>583</v>
      </c>
      <c r="F591" s="1">
        <v>1.0</v>
      </c>
      <c r="G591" s="1">
        <v>1.0</v>
      </c>
      <c r="H591" s="1">
        <v>1.0</v>
      </c>
      <c r="I591" s="1">
        <v>1.0</v>
      </c>
      <c r="J591" s="1">
        <v>0.0</v>
      </c>
      <c r="K591" s="1">
        <v>6.0</v>
      </c>
      <c r="L591" s="1">
        <v>0.0</v>
      </c>
      <c r="M591" s="1">
        <v>1.0</v>
      </c>
    </row>
    <row r="592">
      <c r="A592" s="2" t="s">
        <v>1556</v>
      </c>
      <c r="B592" s="1">
        <v>200.0</v>
      </c>
      <c r="C592" s="1" t="s">
        <v>1557</v>
      </c>
      <c r="D592" s="1" t="s">
        <v>583</v>
      </c>
    </row>
    <row r="593">
      <c r="A593" s="2" t="s">
        <v>1558</v>
      </c>
      <c r="B593" s="1">
        <v>200.0</v>
      </c>
      <c r="C593" s="1" t="s">
        <v>1559</v>
      </c>
      <c r="D593" s="1" t="s">
        <v>583</v>
      </c>
    </row>
    <row r="594">
      <c r="A594" s="2" t="s">
        <v>1560</v>
      </c>
      <c r="B594" s="1">
        <v>200.0</v>
      </c>
      <c r="C594" s="1" t="s">
        <v>1561</v>
      </c>
      <c r="D594" s="1" t="s">
        <v>583</v>
      </c>
    </row>
    <row r="595">
      <c r="A595" s="2" t="s">
        <v>1562</v>
      </c>
      <c r="B595" s="1">
        <v>200.0</v>
      </c>
      <c r="C595" s="1" t="s">
        <v>1563</v>
      </c>
      <c r="D595" s="1" t="s">
        <v>583</v>
      </c>
      <c r="F595" s="1">
        <v>2.0</v>
      </c>
      <c r="G595" s="1">
        <v>2.0</v>
      </c>
      <c r="H595" s="1">
        <v>0.0</v>
      </c>
      <c r="I595" s="1">
        <v>0.0</v>
      </c>
      <c r="J595" s="1">
        <v>0.0</v>
      </c>
      <c r="K595" s="1">
        <v>10.0</v>
      </c>
      <c r="L595" s="1">
        <v>0.0</v>
      </c>
      <c r="M595" s="1">
        <v>2.0</v>
      </c>
    </row>
    <row r="596">
      <c r="A596" s="2" t="s">
        <v>1564</v>
      </c>
      <c r="B596" s="1">
        <v>200.0</v>
      </c>
      <c r="C596" s="1" t="s">
        <v>1565</v>
      </c>
      <c r="D596" s="1" t="s">
        <v>583</v>
      </c>
      <c r="F596" s="1">
        <v>2.0</v>
      </c>
      <c r="G596" s="1">
        <v>2.0</v>
      </c>
      <c r="H596" s="1">
        <v>0.0</v>
      </c>
      <c r="I596" s="1">
        <v>0.0</v>
      </c>
      <c r="J596" s="1">
        <v>0.0</v>
      </c>
      <c r="K596" s="1">
        <v>7.0</v>
      </c>
      <c r="L596" s="1">
        <v>0.0</v>
      </c>
      <c r="M596" s="1">
        <v>2.0</v>
      </c>
    </row>
    <row r="597">
      <c r="A597" s="2" t="s">
        <v>1566</v>
      </c>
      <c r="B597" s="1">
        <v>200.0</v>
      </c>
      <c r="C597" s="1" t="s">
        <v>1567</v>
      </c>
      <c r="D597" s="1" t="s">
        <v>583</v>
      </c>
      <c r="F597" s="1">
        <v>3.0</v>
      </c>
      <c r="G597" s="1">
        <v>3.0</v>
      </c>
      <c r="H597" s="1">
        <v>1.0</v>
      </c>
      <c r="I597" s="1">
        <v>0.33</v>
      </c>
      <c r="J597" s="1">
        <v>0.0</v>
      </c>
      <c r="K597" s="1">
        <v>11.0</v>
      </c>
      <c r="L597" s="1">
        <v>0.0</v>
      </c>
      <c r="M597" s="1">
        <v>3.0</v>
      </c>
    </row>
    <row r="598">
      <c r="A598" s="2" t="s">
        <v>1568</v>
      </c>
      <c r="B598" s="1">
        <v>200.0</v>
      </c>
      <c r="C598" s="1" t="s">
        <v>1569</v>
      </c>
      <c r="D598" s="1" t="s">
        <v>583</v>
      </c>
      <c r="F598" s="1">
        <v>19.0</v>
      </c>
      <c r="G598" s="1">
        <v>19.0</v>
      </c>
      <c r="H598" s="1">
        <v>11.0</v>
      </c>
      <c r="I598" s="1">
        <v>0.58</v>
      </c>
      <c r="J598" s="1">
        <v>0.0</v>
      </c>
      <c r="K598" s="1">
        <v>91.0</v>
      </c>
      <c r="L598" s="1">
        <v>0.0</v>
      </c>
      <c r="M598" s="1">
        <v>17.0</v>
      </c>
    </row>
    <row r="599">
      <c r="A599" s="2" t="s">
        <v>1570</v>
      </c>
      <c r="B599" s="1">
        <v>200.0</v>
      </c>
      <c r="C599" s="1" t="s">
        <v>1571</v>
      </c>
      <c r="D599" s="1" t="s">
        <v>583</v>
      </c>
    </row>
    <row r="600">
      <c r="A600" s="2" t="s">
        <v>1572</v>
      </c>
      <c r="B600" s="1">
        <v>200.0</v>
      </c>
      <c r="C600" s="1" t="s">
        <v>1573</v>
      </c>
      <c r="D600" s="1" t="s">
        <v>583</v>
      </c>
    </row>
    <row r="601">
      <c r="A601" s="2" t="s">
        <v>1574</v>
      </c>
      <c r="B601" s="1">
        <v>200.0</v>
      </c>
      <c r="C601" s="1" t="s">
        <v>1575</v>
      </c>
      <c r="D601" s="1" t="s">
        <v>583</v>
      </c>
      <c r="F601" s="1">
        <v>1.0</v>
      </c>
      <c r="G601" s="1">
        <v>1.0</v>
      </c>
      <c r="H601" s="1">
        <v>0.0</v>
      </c>
      <c r="I601" s="1">
        <v>0.0</v>
      </c>
      <c r="J601" s="1">
        <v>0.0</v>
      </c>
      <c r="K601" s="1">
        <v>3.0</v>
      </c>
      <c r="L601" s="1">
        <v>0.0</v>
      </c>
      <c r="M601" s="1">
        <v>1.0</v>
      </c>
    </row>
    <row r="602">
      <c r="A602" s="2" t="s">
        <v>1576</v>
      </c>
      <c r="B602" s="1">
        <v>200.0</v>
      </c>
      <c r="C602" s="1" t="s">
        <v>1577</v>
      </c>
      <c r="D602" s="1" t="s">
        <v>583</v>
      </c>
    </row>
    <row r="603">
      <c r="A603" s="2" t="s">
        <v>1578</v>
      </c>
      <c r="B603" s="1">
        <v>200.0</v>
      </c>
      <c r="C603" s="1" t="s">
        <v>1579</v>
      </c>
      <c r="D603" s="1" t="s">
        <v>583</v>
      </c>
      <c r="F603" s="1">
        <v>1.0</v>
      </c>
      <c r="G603" s="1">
        <v>2.0</v>
      </c>
      <c r="H603" s="1">
        <v>1.0</v>
      </c>
      <c r="I603" s="1">
        <v>1.0</v>
      </c>
      <c r="J603" s="1">
        <v>0.0</v>
      </c>
      <c r="K603" s="1">
        <v>7.0</v>
      </c>
      <c r="L603" s="1">
        <v>0.0</v>
      </c>
      <c r="M603" s="1">
        <v>1.0</v>
      </c>
    </row>
    <row r="604">
      <c r="A604" s="2" t="s">
        <v>1580</v>
      </c>
      <c r="B604" s="1">
        <v>200.0</v>
      </c>
      <c r="C604" s="1" t="s">
        <v>1581</v>
      </c>
      <c r="D604" s="1" t="s">
        <v>583</v>
      </c>
    </row>
    <row r="605">
      <c r="A605" s="2" t="s">
        <v>1582</v>
      </c>
      <c r="B605" s="1">
        <v>200.0</v>
      </c>
      <c r="C605" s="1" t="s">
        <v>1583</v>
      </c>
      <c r="D605" s="1" t="s">
        <v>583</v>
      </c>
    </row>
    <row r="606">
      <c r="A606" s="2" t="s">
        <v>1584</v>
      </c>
      <c r="B606" s="1">
        <v>200.0</v>
      </c>
      <c r="C606" s="1" t="s">
        <v>1585</v>
      </c>
      <c r="D606" s="1" t="s">
        <v>583</v>
      </c>
    </row>
    <row r="607">
      <c r="A607" s="2" t="s">
        <v>1586</v>
      </c>
      <c r="B607" s="1">
        <v>200.0</v>
      </c>
      <c r="C607" s="1" t="s">
        <v>1587</v>
      </c>
      <c r="D607" s="1" t="s">
        <v>583</v>
      </c>
    </row>
    <row r="608">
      <c r="A608" s="2" t="s">
        <v>1588</v>
      </c>
      <c r="B608" s="1">
        <v>200.0</v>
      </c>
      <c r="C608" s="1" t="s">
        <v>1589</v>
      </c>
      <c r="D608" s="1" t="s">
        <v>583</v>
      </c>
      <c r="F608" s="1">
        <v>1.0</v>
      </c>
      <c r="G608" s="1">
        <v>1.0</v>
      </c>
      <c r="H608" s="1">
        <v>1.0</v>
      </c>
      <c r="I608" s="1">
        <v>1.0</v>
      </c>
      <c r="J608" s="1">
        <v>0.0</v>
      </c>
      <c r="K608" s="1">
        <v>4.0</v>
      </c>
      <c r="L608" s="1">
        <v>0.0</v>
      </c>
      <c r="M608" s="1">
        <v>1.0</v>
      </c>
    </row>
    <row r="609">
      <c r="A609" s="2" t="s">
        <v>1590</v>
      </c>
      <c r="B609" s="1">
        <v>200.0</v>
      </c>
      <c r="C609" s="1" t="s">
        <v>1591</v>
      </c>
      <c r="D609" s="1" t="s">
        <v>583</v>
      </c>
    </row>
    <row r="610">
      <c r="A610" s="2" t="s">
        <v>1592</v>
      </c>
      <c r="B610" s="1">
        <v>200.0</v>
      </c>
      <c r="C610" s="1" t="s">
        <v>1593</v>
      </c>
      <c r="D610" s="1" t="s">
        <v>583</v>
      </c>
    </row>
    <row r="611">
      <c r="A611" s="2" t="s">
        <v>1594</v>
      </c>
      <c r="B611" s="1">
        <v>200.0</v>
      </c>
      <c r="C611" s="1" t="s">
        <v>1595</v>
      </c>
      <c r="D611" s="1" t="s">
        <v>583</v>
      </c>
    </row>
    <row r="612">
      <c r="A612" s="2" t="s">
        <v>1596</v>
      </c>
      <c r="B612" s="1">
        <v>200.0</v>
      </c>
      <c r="C612" s="1" t="s">
        <v>1597</v>
      </c>
      <c r="D612" s="1" t="s">
        <v>583</v>
      </c>
    </row>
    <row r="613">
      <c r="A613" s="2" t="s">
        <v>1598</v>
      </c>
      <c r="B613" s="1">
        <v>200.0</v>
      </c>
      <c r="C613" s="1" t="s">
        <v>1599</v>
      </c>
      <c r="D613" s="1" t="s">
        <v>583</v>
      </c>
      <c r="F613" s="1">
        <v>1.0</v>
      </c>
      <c r="G613" s="1">
        <v>2.0</v>
      </c>
      <c r="H613" s="1">
        <v>1.0</v>
      </c>
      <c r="I613" s="1">
        <v>1.0</v>
      </c>
      <c r="J613" s="1">
        <v>0.0</v>
      </c>
      <c r="K613" s="1">
        <v>5.0</v>
      </c>
      <c r="L613" s="1">
        <v>0.0</v>
      </c>
      <c r="M613" s="1">
        <v>1.0</v>
      </c>
    </row>
    <row r="614">
      <c r="A614" s="2" t="s">
        <v>1600</v>
      </c>
      <c r="B614" s="1">
        <v>200.0</v>
      </c>
      <c r="C614" s="1" t="s">
        <v>1601</v>
      </c>
      <c r="D614" s="1" t="s">
        <v>583</v>
      </c>
      <c r="F614" s="1">
        <v>1.0</v>
      </c>
      <c r="G614" s="1">
        <v>9.0</v>
      </c>
      <c r="H614" s="1">
        <v>1.0</v>
      </c>
      <c r="I614" s="1">
        <v>1.0</v>
      </c>
      <c r="J614" s="1">
        <v>0.0</v>
      </c>
      <c r="K614" s="1">
        <v>16.0</v>
      </c>
      <c r="L614" s="1">
        <v>0.0</v>
      </c>
      <c r="M614" s="1">
        <v>0.0</v>
      </c>
    </row>
    <row r="615">
      <c r="A615" s="2" t="s">
        <v>1602</v>
      </c>
      <c r="B615" s="1">
        <v>200.0</v>
      </c>
      <c r="C615" s="1" t="s">
        <v>1603</v>
      </c>
      <c r="D615" s="1" t="s">
        <v>583</v>
      </c>
    </row>
    <row r="616">
      <c r="A616" s="2" t="s">
        <v>1604</v>
      </c>
      <c r="B616" s="1">
        <v>200.0</v>
      </c>
      <c r="C616" s="1" t="s">
        <v>1605</v>
      </c>
      <c r="D616" s="1" t="s">
        <v>583</v>
      </c>
    </row>
    <row r="617">
      <c r="A617" s="2" t="s">
        <v>1606</v>
      </c>
      <c r="B617" s="1">
        <v>200.0</v>
      </c>
      <c r="C617" s="1" t="s">
        <v>1607</v>
      </c>
      <c r="D617" s="1" t="s">
        <v>583</v>
      </c>
    </row>
    <row r="618">
      <c r="A618" s="2" t="s">
        <v>1608</v>
      </c>
      <c r="B618" s="1">
        <v>200.0</v>
      </c>
      <c r="C618" s="1" t="s">
        <v>1609</v>
      </c>
      <c r="D618" s="1" t="s">
        <v>583</v>
      </c>
    </row>
    <row r="619">
      <c r="A619" s="2" t="s">
        <v>1610</v>
      </c>
      <c r="B619" s="1">
        <v>200.0</v>
      </c>
      <c r="C619" s="1" t="s">
        <v>1611</v>
      </c>
      <c r="D619" s="1" t="s">
        <v>583</v>
      </c>
    </row>
    <row r="620">
      <c r="A620" s="2" t="s">
        <v>1612</v>
      </c>
      <c r="B620" s="1">
        <v>200.0</v>
      </c>
      <c r="C620" s="1" t="s">
        <v>900</v>
      </c>
      <c r="D620" s="1" t="s">
        <v>609</v>
      </c>
      <c r="E620" s="1" t="s">
        <v>631</v>
      </c>
    </row>
    <row r="621">
      <c r="A621" s="2" t="s">
        <v>1613</v>
      </c>
      <c r="B621" s="1">
        <v>200.0</v>
      </c>
      <c r="C621" s="1" t="s">
        <v>1614</v>
      </c>
      <c r="D621" s="1" t="s">
        <v>583</v>
      </c>
    </row>
    <row r="622">
      <c r="A622" s="2" t="s">
        <v>1615</v>
      </c>
      <c r="B622" s="1">
        <v>301.0</v>
      </c>
      <c r="D622" s="1" t="s">
        <v>609</v>
      </c>
      <c r="E622" s="1" t="s">
        <v>610</v>
      </c>
    </row>
    <row r="623">
      <c r="A623" s="2" t="s">
        <v>1616</v>
      </c>
      <c r="B623" s="1">
        <v>200.0</v>
      </c>
      <c r="C623" s="1" t="s">
        <v>1617</v>
      </c>
      <c r="D623" s="1" t="s">
        <v>583</v>
      </c>
    </row>
    <row r="624">
      <c r="A624" s="2" t="s">
        <v>1618</v>
      </c>
      <c r="B624" s="1">
        <v>301.0</v>
      </c>
      <c r="D624" s="1" t="s">
        <v>609</v>
      </c>
      <c r="E624" s="1" t="s">
        <v>610</v>
      </c>
    </row>
    <row r="625">
      <c r="A625" s="2" t="s">
        <v>1619</v>
      </c>
      <c r="B625" s="1">
        <v>200.0</v>
      </c>
      <c r="C625" s="1" t="s">
        <v>1620</v>
      </c>
      <c r="D625" s="1" t="s">
        <v>583</v>
      </c>
      <c r="F625" s="1">
        <v>25.0</v>
      </c>
      <c r="G625" s="1">
        <v>31.0</v>
      </c>
      <c r="H625" s="1">
        <v>16.0</v>
      </c>
      <c r="I625" s="1">
        <v>0.64</v>
      </c>
      <c r="J625" s="1">
        <v>0.0</v>
      </c>
      <c r="K625" s="1">
        <v>108.0</v>
      </c>
      <c r="L625" s="1">
        <v>0.0</v>
      </c>
      <c r="M625" s="1">
        <v>24.0</v>
      </c>
    </row>
    <row r="626">
      <c r="A626" s="2" t="s">
        <v>1621</v>
      </c>
      <c r="B626" s="1">
        <v>200.0</v>
      </c>
      <c r="C626" s="1" t="s">
        <v>1622</v>
      </c>
      <c r="D626" s="1" t="s">
        <v>583</v>
      </c>
    </row>
    <row r="627">
      <c r="A627" s="2" t="s">
        <v>1623</v>
      </c>
      <c r="B627" s="1">
        <v>200.0</v>
      </c>
      <c r="C627" s="1" t="s">
        <v>1624</v>
      </c>
      <c r="D627" s="1" t="s">
        <v>583</v>
      </c>
    </row>
    <row r="628">
      <c r="A628" s="2" t="s">
        <v>1625</v>
      </c>
      <c r="B628" s="1">
        <v>301.0</v>
      </c>
      <c r="D628" s="1" t="s">
        <v>609</v>
      </c>
      <c r="E628" s="1" t="s">
        <v>610</v>
      </c>
    </row>
    <row r="629">
      <c r="A629" s="2" t="s">
        <v>1626</v>
      </c>
      <c r="B629" s="1">
        <v>200.0</v>
      </c>
      <c r="C629" s="1" t="s">
        <v>1627</v>
      </c>
      <c r="D629" s="1" t="s">
        <v>583</v>
      </c>
    </row>
    <row r="630">
      <c r="A630" s="2" t="s">
        <v>1628</v>
      </c>
      <c r="B630" s="1">
        <v>200.0</v>
      </c>
      <c r="C630" s="1" t="s">
        <v>1629</v>
      </c>
      <c r="D630" s="1" t="s">
        <v>583</v>
      </c>
      <c r="F630" s="1">
        <v>1.0</v>
      </c>
      <c r="G630" s="1">
        <v>1.0</v>
      </c>
      <c r="H630" s="1">
        <v>1.0</v>
      </c>
      <c r="I630" s="1">
        <v>1.0</v>
      </c>
      <c r="J630" s="1">
        <v>0.0</v>
      </c>
      <c r="K630" s="1">
        <v>4.0</v>
      </c>
      <c r="L630" s="1">
        <v>0.0</v>
      </c>
      <c r="M630" s="1">
        <v>1.0</v>
      </c>
    </row>
    <row r="631">
      <c r="A631" s="2" t="s">
        <v>1630</v>
      </c>
      <c r="B631" s="1">
        <v>200.0</v>
      </c>
      <c r="C631" s="1" t="s">
        <v>1631</v>
      </c>
      <c r="D631" s="1" t="s">
        <v>583</v>
      </c>
    </row>
    <row r="632">
      <c r="A632" s="2" t="s">
        <v>1632</v>
      </c>
      <c r="B632" s="1">
        <v>301.0</v>
      </c>
      <c r="D632" s="1" t="s">
        <v>609</v>
      </c>
      <c r="E632" s="1" t="s">
        <v>610</v>
      </c>
    </row>
    <row r="633">
      <c r="A633" s="2" t="s">
        <v>1633</v>
      </c>
      <c r="B633" s="1">
        <v>200.0</v>
      </c>
      <c r="C633" s="1" t="s">
        <v>689</v>
      </c>
      <c r="D633" s="1" t="s">
        <v>609</v>
      </c>
      <c r="E633" s="1" t="s">
        <v>631</v>
      </c>
    </row>
    <row r="634">
      <c r="A634" s="2" t="s">
        <v>1634</v>
      </c>
      <c r="B634" s="1">
        <v>301.0</v>
      </c>
      <c r="D634" s="1" t="s">
        <v>609</v>
      </c>
      <c r="E634" s="1" t="s">
        <v>610</v>
      </c>
    </row>
    <row r="635">
      <c r="A635" s="2" t="s">
        <v>1635</v>
      </c>
      <c r="B635" s="1">
        <v>301.0</v>
      </c>
      <c r="D635" s="1" t="s">
        <v>609</v>
      </c>
      <c r="E635" s="1" t="s">
        <v>610</v>
      </c>
    </row>
    <row r="636">
      <c r="A636" s="2" t="s">
        <v>1636</v>
      </c>
      <c r="B636" s="1">
        <v>200.0</v>
      </c>
      <c r="C636" s="1" t="s">
        <v>1637</v>
      </c>
      <c r="D636" s="1" t="s">
        <v>583</v>
      </c>
    </row>
    <row r="637">
      <c r="A637" s="2" t="s">
        <v>1638</v>
      </c>
      <c r="B637" s="1">
        <v>200.0</v>
      </c>
      <c r="C637" s="1" t="s">
        <v>1639</v>
      </c>
      <c r="D637" s="1" t="s">
        <v>583</v>
      </c>
    </row>
    <row r="638">
      <c r="A638" s="2" t="s">
        <v>1640</v>
      </c>
      <c r="B638" s="1">
        <v>200.0</v>
      </c>
      <c r="C638" s="1" t="s">
        <v>1641</v>
      </c>
      <c r="D638" s="1" t="s">
        <v>583</v>
      </c>
      <c r="F638" s="1">
        <v>1.0</v>
      </c>
      <c r="G638" s="1">
        <v>1.0</v>
      </c>
      <c r="H638" s="1">
        <v>1.0</v>
      </c>
      <c r="I638" s="1">
        <v>1.0</v>
      </c>
      <c r="J638" s="1">
        <v>0.0</v>
      </c>
      <c r="K638" s="1">
        <v>4.0</v>
      </c>
      <c r="L638" s="1">
        <v>0.0</v>
      </c>
      <c r="M638" s="1">
        <v>1.0</v>
      </c>
    </row>
    <row r="639">
      <c r="A639" s="2" t="s">
        <v>1642</v>
      </c>
      <c r="B639" s="1">
        <v>200.0</v>
      </c>
      <c r="C639" s="1" t="s">
        <v>1643</v>
      </c>
      <c r="D639" s="1" t="s">
        <v>583</v>
      </c>
      <c r="F639" s="1">
        <v>1.0</v>
      </c>
      <c r="G639" s="1">
        <v>1.0</v>
      </c>
      <c r="H639" s="1">
        <v>0.0</v>
      </c>
      <c r="I639" s="1">
        <v>0.0</v>
      </c>
      <c r="J639" s="1">
        <v>0.0</v>
      </c>
      <c r="K639" s="1">
        <v>3.0</v>
      </c>
      <c r="L639" s="1">
        <v>0.0</v>
      </c>
      <c r="M639" s="1">
        <v>1.0</v>
      </c>
    </row>
    <row r="640">
      <c r="A640" s="2" t="s">
        <v>1644</v>
      </c>
      <c r="B640" s="1">
        <v>200.0</v>
      </c>
      <c r="C640" s="1" t="s">
        <v>1645</v>
      </c>
      <c r="D640" s="1" t="s">
        <v>583</v>
      </c>
    </row>
    <row r="641">
      <c r="A641" s="2" t="s">
        <v>1646</v>
      </c>
      <c r="B641" s="1">
        <v>200.0</v>
      </c>
      <c r="C641" s="1" t="s">
        <v>1647</v>
      </c>
      <c r="D641" s="1" t="s">
        <v>583</v>
      </c>
    </row>
    <row r="642">
      <c r="A642" s="2" t="s">
        <v>1648</v>
      </c>
      <c r="B642" s="1">
        <v>200.0</v>
      </c>
      <c r="C642" s="1" t="s">
        <v>1649</v>
      </c>
      <c r="D642" s="1" t="s">
        <v>583</v>
      </c>
    </row>
    <row r="643">
      <c r="A643" s="2" t="s">
        <v>1650</v>
      </c>
      <c r="B643" s="1">
        <v>200.0</v>
      </c>
      <c r="C643" s="1" t="s">
        <v>1651</v>
      </c>
      <c r="D643" s="1" t="s">
        <v>583</v>
      </c>
      <c r="F643" s="1">
        <v>3.0</v>
      </c>
      <c r="G643" s="1">
        <v>3.0</v>
      </c>
      <c r="H643" s="1">
        <v>3.0</v>
      </c>
      <c r="I643" s="1">
        <v>1.0</v>
      </c>
      <c r="J643" s="1">
        <v>0.0</v>
      </c>
      <c r="K643" s="1">
        <v>12.0</v>
      </c>
      <c r="L643" s="1">
        <v>0.0</v>
      </c>
      <c r="M643" s="1">
        <v>3.0</v>
      </c>
    </row>
    <row r="644">
      <c r="A644" s="2" t="s">
        <v>1652</v>
      </c>
      <c r="B644" s="1">
        <v>200.0</v>
      </c>
      <c r="C644" s="1" t="s">
        <v>1653</v>
      </c>
      <c r="D644" s="1" t="s">
        <v>609</v>
      </c>
      <c r="E644" s="1" t="s">
        <v>631</v>
      </c>
    </row>
    <row r="645">
      <c r="A645" s="2" t="s">
        <v>1654</v>
      </c>
      <c r="B645" s="1">
        <v>200.0</v>
      </c>
      <c r="C645" s="1" t="s">
        <v>1655</v>
      </c>
      <c r="D645" s="1" t="s">
        <v>583</v>
      </c>
    </row>
    <row r="646">
      <c r="A646" s="2" t="s">
        <v>1656</v>
      </c>
      <c r="B646" s="1">
        <v>200.0</v>
      </c>
      <c r="C646" s="1" t="s">
        <v>625</v>
      </c>
      <c r="D646" s="1" t="s">
        <v>583</v>
      </c>
    </row>
    <row r="647">
      <c r="A647" s="2" t="s">
        <v>1657</v>
      </c>
      <c r="B647" s="1">
        <v>200.0</v>
      </c>
      <c r="C647" s="1" t="s">
        <v>1658</v>
      </c>
      <c r="D647" s="1" t="s">
        <v>583</v>
      </c>
    </row>
    <row r="648">
      <c r="A648" s="2" t="s">
        <v>1659</v>
      </c>
      <c r="B648" s="1">
        <v>200.0</v>
      </c>
      <c r="C648" s="1" t="s">
        <v>898</v>
      </c>
      <c r="D648" s="1" t="s">
        <v>609</v>
      </c>
      <c r="E648" s="1" t="s">
        <v>631</v>
      </c>
    </row>
    <row r="649">
      <c r="A649" s="2" t="s">
        <v>1660</v>
      </c>
      <c r="B649" s="1">
        <v>200.0</v>
      </c>
      <c r="C649" s="1" t="s">
        <v>1661</v>
      </c>
      <c r="D649" s="1" t="s">
        <v>583</v>
      </c>
    </row>
    <row r="650">
      <c r="A650" s="2" t="s">
        <v>1662</v>
      </c>
      <c r="B650" s="1">
        <v>200.0</v>
      </c>
      <c r="C650" s="1" t="s">
        <v>853</v>
      </c>
      <c r="D650" s="1" t="s">
        <v>609</v>
      </c>
      <c r="E650" s="1" t="s">
        <v>631</v>
      </c>
    </row>
    <row r="651">
      <c r="A651" s="2" t="s">
        <v>1663</v>
      </c>
      <c r="B651" s="1">
        <v>200.0</v>
      </c>
      <c r="C651" s="1" t="s">
        <v>1664</v>
      </c>
      <c r="D651" s="1" t="s">
        <v>609</v>
      </c>
      <c r="E651" s="1" t="s">
        <v>631</v>
      </c>
    </row>
    <row r="652">
      <c r="A652" s="2" t="s">
        <v>1665</v>
      </c>
      <c r="B652" s="1">
        <v>200.0</v>
      </c>
      <c r="C652" s="1" t="s">
        <v>1666</v>
      </c>
      <c r="D652" s="1" t="s">
        <v>583</v>
      </c>
    </row>
    <row r="653">
      <c r="A653" s="2" t="s">
        <v>1667</v>
      </c>
      <c r="B653" s="1">
        <v>200.0</v>
      </c>
      <c r="C653" s="1" t="s">
        <v>1668</v>
      </c>
      <c r="D653" s="1" t="s">
        <v>583</v>
      </c>
      <c r="F653" s="1">
        <v>3.0</v>
      </c>
      <c r="G653" s="1">
        <v>3.0</v>
      </c>
      <c r="H653" s="1">
        <v>1.0</v>
      </c>
      <c r="I653" s="1">
        <v>0.33</v>
      </c>
      <c r="J653" s="1">
        <v>0.0</v>
      </c>
      <c r="K653" s="1">
        <v>10.0</v>
      </c>
      <c r="L653" s="1">
        <v>0.0</v>
      </c>
      <c r="M653" s="1">
        <v>3.0</v>
      </c>
    </row>
    <row r="654">
      <c r="A654" s="2" t="s">
        <v>1669</v>
      </c>
      <c r="B654" s="1">
        <v>200.0</v>
      </c>
      <c r="C654" s="1" t="s">
        <v>1670</v>
      </c>
      <c r="D654" s="1" t="s">
        <v>583</v>
      </c>
      <c r="F654" s="1">
        <v>1.0</v>
      </c>
      <c r="G654" s="1">
        <v>1.0</v>
      </c>
      <c r="H654" s="1">
        <v>1.0</v>
      </c>
      <c r="I654" s="1">
        <v>1.0</v>
      </c>
      <c r="J654" s="1">
        <v>0.0</v>
      </c>
      <c r="K654" s="1">
        <v>4.0</v>
      </c>
      <c r="L654" s="1">
        <v>0.0</v>
      </c>
      <c r="M654" s="1">
        <v>1.0</v>
      </c>
    </row>
    <row r="655">
      <c r="A655" s="2" t="s">
        <v>1671</v>
      </c>
      <c r="B655" s="1">
        <v>200.0</v>
      </c>
      <c r="C655" s="1" t="s">
        <v>1672</v>
      </c>
      <c r="D655" s="1" t="s">
        <v>583</v>
      </c>
      <c r="F655" s="1">
        <v>1.0</v>
      </c>
      <c r="G655" s="1">
        <v>1.0</v>
      </c>
      <c r="H655" s="1">
        <v>0.0</v>
      </c>
      <c r="I655" s="1">
        <v>0.0</v>
      </c>
      <c r="J655" s="1">
        <v>0.0</v>
      </c>
      <c r="K655" s="1">
        <v>3.0</v>
      </c>
      <c r="L655" s="1">
        <v>0.0</v>
      </c>
      <c r="M655" s="1">
        <v>1.0</v>
      </c>
    </row>
    <row r="656">
      <c r="A656" s="2" t="s">
        <v>1673</v>
      </c>
      <c r="B656" s="1">
        <v>200.0</v>
      </c>
      <c r="C656" s="1" t="s">
        <v>582</v>
      </c>
      <c r="D656" s="1" t="s">
        <v>583</v>
      </c>
    </row>
    <row r="657">
      <c r="A657" s="2" t="s">
        <v>1674</v>
      </c>
      <c r="B657" s="1">
        <v>200.0</v>
      </c>
      <c r="C657" s="1" t="s">
        <v>1675</v>
      </c>
      <c r="D657" s="1" t="s">
        <v>583</v>
      </c>
    </row>
    <row r="658">
      <c r="A658" s="2" t="s">
        <v>1676</v>
      </c>
      <c r="B658" s="1">
        <v>200.0</v>
      </c>
      <c r="C658" s="1" t="s">
        <v>1677</v>
      </c>
      <c r="D658" s="1" t="s">
        <v>583</v>
      </c>
    </row>
    <row r="659">
      <c r="A659" s="2" t="s">
        <v>1678</v>
      </c>
      <c r="B659" s="1">
        <v>200.0</v>
      </c>
      <c r="C659" s="1" t="s">
        <v>1679</v>
      </c>
      <c r="D659" s="1" t="s">
        <v>583</v>
      </c>
    </row>
    <row r="660">
      <c r="A660" s="2" t="s">
        <v>1680</v>
      </c>
      <c r="B660" s="1">
        <v>200.0</v>
      </c>
      <c r="C660" s="1" t="s">
        <v>1681</v>
      </c>
      <c r="D660" s="1" t="s">
        <v>583</v>
      </c>
    </row>
    <row r="661">
      <c r="A661" s="2" t="s">
        <v>1682</v>
      </c>
      <c r="B661" s="1">
        <v>200.0</v>
      </c>
      <c r="C661" s="1" t="s">
        <v>1683</v>
      </c>
      <c r="D661" s="1" t="s">
        <v>583</v>
      </c>
    </row>
    <row r="662">
      <c r="A662" s="2" t="s">
        <v>1684</v>
      </c>
      <c r="B662" s="1">
        <v>200.0</v>
      </c>
      <c r="C662" s="1" t="s">
        <v>846</v>
      </c>
      <c r="D662" s="1" t="s">
        <v>609</v>
      </c>
      <c r="E662" s="1" t="s">
        <v>631</v>
      </c>
    </row>
    <row r="663">
      <c r="A663" s="2" t="s">
        <v>1685</v>
      </c>
      <c r="B663" s="1">
        <v>200.0</v>
      </c>
      <c r="C663" s="1" t="s">
        <v>1686</v>
      </c>
      <c r="D663" s="1" t="s">
        <v>583</v>
      </c>
      <c r="F663" s="1">
        <v>41.0</v>
      </c>
      <c r="G663" s="1">
        <v>42.0</v>
      </c>
      <c r="H663" s="1">
        <v>23.0</v>
      </c>
      <c r="I663" s="1">
        <v>0.56</v>
      </c>
      <c r="J663" s="1">
        <v>0.0</v>
      </c>
      <c r="K663" s="1">
        <v>152.0</v>
      </c>
      <c r="L663" s="1">
        <v>0.0</v>
      </c>
      <c r="M663" s="1">
        <v>41.0</v>
      </c>
    </row>
    <row r="664">
      <c r="A664" s="2" t="s">
        <v>1687</v>
      </c>
      <c r="B664" s="1">
        <v>200.0</v>
      </c>
      <c r="C664" s="1" t="s">
        <v>1688</v>
      </c>
      <c r="D664" s="1" t="s">
        <v>583</v>
      </c>
    </row>
    <row r="665">
      <c r="A665" s="2" t="s">
        <v>1689</v>
      </c>
      <c r="B665" s="1">
        <v>200.0</v>
      </c>
      <c r="C665" s="1" t="s">
        <v>1690</v>
      </c>
      <c r="D665" s="1" t="s">
        <v>583</v>
      </c>
    </row>
    <row r="666">
      <c r="A666" s="2" t="s">
        <v>1691</v>
      </c>
      <c r="B666" s="1">
        <v>200.0</v>
      </c>
      <c r="C666" s="1" t="s">
        <v>1692</v>
      </c>
      <c r="D666" s="1" t="s">
        <v>583</v>
      </c>
    </row>
    <row r="667">
      <c r="A667" s="2" t="s">
        <v>1693</v>
      </c>
      <c r="B667" s="1">
        <v>200.0</v>
      </c>
      <c r="C667" s="1" t="s">
        <v>1694</v>
      </c>
      <c r="D667" s="1" t="s">
        <v>583</v>
      </c>
    </row>
    <row r="668">
      <c r="A668" s="2" t="s">
        <v>1695</v>
      </c>
      <c r="B668" s="1">
        <v>200.0</v>
      </c>
      <c r="C668" s="1" t="s">
        <v>1696</v>
      </c>
      <c r="D668" s="1" t="s">
        <v>583</v>
      </c>
    </row>
    <row r="669">
      <c r="A669" s="2" t="s">
        <v>1697</v>
      </c>
      <c r="B669" s="1">
        <v>200.0</v>
      </c>
      <c r="C669" s="1" t="s">
        <v>1220</v>
      </c>
      <c r="D669" s="1" t="s">
        <v>609</v>
      </c>
      <c r="E669" s="1" t="s">
        <v>631</v>
      </c>
    </row>
    <row r="670">
      <c r="A670" s="2" t="s">
        <v>1698</v>
      </c>
      <c r="B670" s="1">
        <v>200.0</v>
      </c>
      <c r="C670" s="1" t="s">
        <v>1699</v>
      </c>
      <c r="D670" s="1" t="s">
        <v>583</v>
      </c>
    </row>
    <row r="671">
      <c r="A671" s="2" t="s">
        <v>1700</v>
      </c>
      <c r="B671" s="1">
        <v>200.0</v>
      </c>
      <c r="C671" s="1" t="s">
        <v>1701</v>
      </c>
      <c r="D671" s="1" t="s">
        <v>583</v>
      </c>
    </row>
    <row r="672">
      <c r="A672" s="2" t="s">
        <v>1702</v>
      </c>
      <c r="B672" s="1">
        <v>200.0</v>
      </c>
      <c r="C672" s="1" t="s">
        <v>1703</v>
      </c>
      <c r="D672" s="1" t="s">
        <v>583</v>
      </c>
    </row>
    <row r="673">
      <c r="A673" s="2" t="s">
        <v>1704</v>
      </c>
      <c r="B673" s="1">
        <v>200.0</v>
      </c>
      <c r="C673" s="1" t="s">
        <v>1705</v>
      </c>
      <c r="D673" s="1" t="s">
        <v>583</v>
      </c>
      <c r="F673" s="1">
        <v>1.0</v>
      </c>
      <c r="G673" s="1">
        <v>3.0</v>
      </c>
      <c r="H673" s="1">
        <v>1.0</v>
      </c>
      <c r="I673" s="1">
        <v>1.0</v>
      </c>
      <c r="J673" s="1">
        <v>1.0</v>
      </c>
      <c r="K673" s="1">
        <v>13.0</v>
      </c>
      <c r="L673" s="1">
        <v>0.0</v>
      </c>
      <c r="M673" s="1">
        <v>1.0</v>
      </c>
    </row>
    <row r="674">
      <c r="A674" s="2" t="s">
        <v>1706</v>
      </c>
      <c r="B674" s="1">
        <v>200.0</v>
      </c>
      <c r="C674" s="1" t="s">
        <v>1216</v>
      </c>
      <c r="D674" s="1" t="s">
        <v>609</v>
      </c>
      <c r="E674" s="1" t="s">
        <v>631</v>
      </c>
    </row>
    <row r="675">
      <c r="A675" s="2" t="s">
        <v>1707</v>
      </c>
      <c r="B675" s="1">
        <v>200.0</v>
      </c>
      <c r="C675" s="1" t="s">
        <v>1480</v>
      </c>
      <c r="D675" s="1" t="s">
        <v>609</v>
      </c>
      <c r="E675" s="1" t="s">
        <v>631</v>
      </c>
    </row>
    <row r="676">
      <c r="A676" s="2" t="s">
        <v>1708</v>
      </c>
      <c r="B676" s="1">
        <v>200.0</v>
      </c>
      <c r="C676" s="1" t="s">
        <v>1709</v>
      </c>
      <c r="D676" s="1" t="s">
        <v>583</v>
      </c>
    </row>
    <row r="677">
      <c r="A677" s="2" t="s">
        <v>1710</v>
      </c>
      <c r="B677" s="1">
        <v>200.0</v>
      </c>
      <c r="C677" s="1" t="s">
        <v>1208</v>
      </c>
      <c r="D677" s="1" t="s">
        <v>609</v>
      </c>
      <c r="E677" s="1" t="s">
        <v>631</v>
      </c>
    </row>
    <row r="678">
      <c r="A678" s="2" t="s">
        <v>1711</v>
      </c>
      <c r="B678" s="1">
        <v>200.0</v>
      </c>
      <c r="C678" s="1" t="s">
        <v>1712</v>
      </c>
      <c r="D678" s="1" t="s">
        <v>609</v>
      </c>
      <c r="E678" s="1" t="s">
        <v>631</v>
      </c>
    </row>
    <row r="679">
      <c r="A679" s="2" t="s">
        <v>1713</v>
      </c>
      <c r="B679" s="1">
        <v>200.0</v>
      </c>
      <c r="C679" s="1" t="s">
        <v>1714</v>
      </c>
      <c r="D679" s="1" t="s">
        <v>583</v>
      </c>
      <c r="F679" s="1">
        <v>3.0</v>
      </c>
      <c r="G679" s="1">
        <v>3.0</v>
      </c>
      <c r="H679" s="1">
        <v>0.0</v>
      </c>
      <c r="I679" s="1">
        <v>0.0</v>
      </c>
      <c r="J679" s="1">
        <v>0.0</v>
      </c>
      <c r="K679" s="1">
        <v>52.0</v>
      </c>
      <c r="L679" s="1">
        <v>0.0</v>
      </c>
      <c r="M679" s="1">
        <v>3.0</v>
      </c>
    </row>
    <row r="680">
      <c r="A680" s="2" t="s">
        <v>1715</v>
      </c>
      <c r="B680" s="1">
        <v>200.0</v>
      </c>
      <c r="C680" s="1" t="s">
        <v>1716</v>
      </c>
      <c r="D680" s="1" t="s">
        <v>583</v>
      </c>
      <c r="F680" s="1">
        <v>1.0</v>
      </c>
      <c r="G680" s="1">
        <v>1.0</v>
      </c>
      <c r="H680" s="1">
        <v>0.0</v>
      </c>
      <c r="I680" s="1">
        <v>0.0</v>
      </c>
      <c r="J680" s="1">
        <v>0.0</v>
      </c>
      <c r="K680" s="1">
        <v>4.0</v>
      </c>
      <c r="L680" s="1">
        <v>0.0</v>
      </c>
      <c r="M680" s="1">
        <v>1.0</v>
      </c>
    </row>
    <row r="681">
      <c r="A681" s="2" t="s">
        <v>1717</v>
      </c>
      <c r="B681" s="1">
        <v>200.0</v>
      </c>
      <c r="C681" s="1" t="s">
        <v>1718</v>
      </c>
      <c r="D681" s="1" t="s">
        <v>583</v>
      </c>
    </row>
    <row r="682">
      <c r="A682" s="2" t="s">
        <v>1719</v>
      </c>
      <c r="B682" s="1">
        <v>200.0</v>
      </c>
      <c r="C682" s="1" t="s">
        <v>1720</v>
      </c>
      <c r="D682" s="1" t="s">
        <v>583</v>
      </c>
      <c r="F682" s="1">
        <v>2.0</v>
      </c>
      <c r="G682" s="1">
        <v>2.0</v>
      </c>
      <c r="H682" s="1">
        <v>0.0</v>
      </c>
      <c r="I682" s="1">
        <v>0.0</v>
      </c>
      <c r="J682" s="1">
        <v>0.0</v>
      </c>
      <c r="K682" s="1">
        <v>6.0</v>
      </c>
      <c r="L682" s="1">
        <v>0.0</v>
      </c>
      <c r="M682" s="1">
        <v>2.0</v>
      </c>
    </row>
    <row r="683">
      <c r="A683" s="2" t="s">
        <v>1721</v>
      </c>
      <c r="B683" s="1">
        <v>301.0</v>
      </c>
      <c r="D683" s="1" t="s">
        <v>609</v>
      </c>
      <c r="E683" s="1" t="s">
        <v>610</v>
      </c>
    </row>
    <row r="684">
      <c r="A684" s="2" t="s">
        <v>1722</v>
      </c>
      <c r="B684" s="1">
        <v>301.0</v>
      </c>
      <c r="D684" s="1" t="s">
        <v>609</v>
      </c>
      <c r="E684" s="1" t="s">
        <v>610</v>
      </c>
    </row>
    <row r="685">
      <c r="A685" s="2" t="s">
        <v>1723</v>
      </c>
      <c r="B685" s="1">
        <v>301.0</v>
      </c>
      <c r="D685" s="1" t="s">
        <v>609</v>
      </c>
      <c r="E685" s="1" t="s">
        <v>610</v>
      </c>
    </row>
    <row r="686">
      <c r="A686" s="2" t="s">
        <v>1724</v>
      </c>
      <c r="B686" s="1">
        <v>200.0</v>
      </c>
      <c r="C686" s="1" t="s">
        <v>1315</v>
      </c>
      <c r="D686" s="1" t="s">
        <v>583</v>
      </c>
      <c r="F686" s="1">
        <v>2.0</v>
      </c>
      <c r="G686" s="1">
        <v>3.0</v>
      </c>
      <c r="H686" s="1">
        <v>2.0</v>
      </c>
      <c r="I686" s="1">
        <v>1.0</v>
      </c>
      <c r="J686" s="1">
        <v>0.0</v>
      </c>
      <c r="K686" s="1">
        <v>14.0</v>
      </c>
      <c r="L686" s="1">
        <v>0.0</v>
      </c>
      <c r="M686" s="1">
        <v>2.0</v>
      </c>
    </row>
    <row r="687">
      <c r="A687" s="2" t="s">
        <v>1725</v>
      </c>
      <c r="B687" s="1">
        <v>301.0</v>
      </c>
      <c r="D687" s="1" t="s">
        <v>609</v>
      </c>
      <c r="E687" s="1" t="s">
        <v>610</v>
      </c>
    </row>
    <row r="688">
      <c r="A688" s="2" t="s">
        <v>1726</v>
      </c>
      <c r="B688" s="1">
        <v>301.0</v>
      </c>
      <c r="D688" s="1" t="s">
        <v>609</v>
      </c>
      <c r="E688" s="1" t="s">
        <v>610</v>
      </c>
    </row>
    <row r="689">
      <c r="A689" s="2" t="s">
        <v>1727</v>
      </c>
      <c r="B689" s="1">
        <v>301.0</v>
      </c>
      <c r="D689" s="1" t="s">
        <v>609</v>
      </c>
      <c r="E689" s="1" t="s">
        <v>610</v>
      </c>
    </row>
    <row r="690">
      <c r="A690" s="2" t="s">
        <v>1728</v>
      </c>
      <c r="B690" s="1">
        <v>301.0</v>
      </c>
      <c r="D690" s="1" t="s">
        <v>609</v>
      </c>
      <c r="E690" s="1" t="s">
        <v>610</v>
      </c>
    </row>
    <row r="691">
      <c r="A691" s="2" t="s">
        <v>1729</v>
      </c>
      <c r="B691" s="1">
        <v>301.0</v>
      </c>
      <c r="D691" s="1" t="s">
        <v>609</v>
      </c>
      <c r="E691" s="1" t="s">
        <v>610</v>
      </c>
    </row>
    <row r="692">
      <c r="A692" s="2" t="s">
        <v>1730</v>
      </c>
      <c r="B692" s="1">
        <v>301.0</v>
      </c>
      <c r="D692" s="1" t="s">
        <v>609</v>
      </c>
      <c r="E692" s="1" t="s">
        <v>610</v>
      </c>
      <c r="F692" s="1">
        <v>1.0</v>
      </c>
      <c r="G692" s="1">
        <v>1.0</v>
      </c>
      <c r="H692" s="1">
        <v>0.0</v>
      </c>
      <c r="I692" s="1">
        <v>0.0</v>
      </c>
      <c r="J692" s="1">
        <v>0.0</v>
      </c>
      <c r="K692" s="1">
        <v>4.0</v>
      </c>
      <c r="L692" s="1">
        <v>0.0</v>
      </c>
      <c r="M692" s="1">
        <v>1.0</v>
      </c>
    </row>
    <row r="693">
      <c r="A693" s="2" t="s">
        <v>1731</v>
      </c>
      <c r="B693" s="1">
        <v>200.0</v>
      </c>
      <c r="C693" s="1" t="s">
        <v>1732</v>
      </c>
      <c r="D693" s="1" t="s">
        <v>583</v>
      </c>
      <c r="F693" s="1">
        <v>2.0</v>
      </c>
      <c r="G693" s="1">
        <v>2.0</v>
      </c>
      <c r="H693" s="1">
        <v>1.0</v>
      </c>
      <c r="I693" s="1">
        <v>0.5</v>
      </c>
      <c r="J693" s="1">
        <v>0.0</v>
      </c>
      <c r="K693" s="1">
        <v>8.0</v>
      </c>
      <c r="L693" s="1">
        <v>0.0</v>
      </c>
      <c r="M693" s="1">
        <v>2.0</v>
      </c>
    </row>
    <row r="694">
      <c r="A694" s="2" t="s">
        <v>1733</v>
      </c>
      <c r="B694" s="1">
        <v>200.0</v>
      </c>
      <c r="C694" s="1" t="s">
        <v>1712</v>
      </c>
      <c r="D694" s="1" t="s">
        <v>583</v>
      </c>
    </row>
    <row r="695">
      <c r="A695" s="2" t="s">
        <v>1734</v>
      </c>
      <c r="B695" s="1">
        <v>301.0</v>
      </c>
      <c r="D695" s="1" t="s">
        <v>609</v>
      </c>
      <c r="E695" s="1" t="s">
        <v>610</v>
      </c>
    </row>
    <row r="696">
      <c r="A696" s="2" t="s">
        <v>1735</v>
      </c>
      <c r="B696" s="1">
        <v>301.0</v>
      </c>
      <c r="D696" s="1" t="s">
        <v>609</v>
      </c>
      <c r="E696" s="1" t="s">
        <v>610</v>
      </c>
    </row>
    <row r="697">
      <c r="A697" s="2" t="s">
        <v>1736</v>
      </c>
      <c r="B697" s="1">
        <v>200.0</v>
      </c>
      <c r="C697" s="1" t="s">
        <v>1737</v>
      </c>
      <c r="D697" s="1" t="s">
        <v>583</v>
      </c>
    </row>
    <row r="698">
      <c r="A698" s="2" t="s">
        <v>1738</v>
      </c>
      <c r="B698" s="1">
        <v>200.0</v>
      </c>
      <c r="C698" s="1" t="s">
        <v>1739</v>
      </c>
      <c r="D698" s="1" t="s">
        <v>583</v>
      </c>
    </row>
    <row r="699">
      <c r="A699" s="2" t="s">
        <v>1740</v>
      </c>
      <c r="B699" s="1">
        <v>200.0</v>
      </c>
      <c r="C699" s="1" t="s">
        <v>1741</v>
      </c>
      <c r="D699" s="1" t="s">
        <v>583</v>
      </c>
    </row>
    <row r="700">
      <c r="A700" s="2" t="s">
        <v>1742</v>
      </c>
      <c r="B700" s="1">
        <v>200.0</v>
      </c>
      <c r="C700" s="1" t="s">
        <v>1743</v>
      </c>
      <c r="D700" s="1" t="s">
        <v>583</v>
      </c>
    </row>
    <row r="701">
      <c r="A701" s="2" t="s">
        <v>1744</v>
      </c>
      <c r="B701" s="1">
        <v>200.0</v>
      </c>
      <c r="C701" s="1" t="s">
        <v>846</v>
      </c>
      <c r="D701" s="1" t="s">
        <v>609</v>
      </c>
      <c r="E701" s="1" t="s">
        <v>631</v>
      </c>
    </row>
    <row r="702">
      <c r="A702" s="2" t="s">
        <v>1745</v>
      </c>
      <c r="B702" s="1">
        <v>200.0</v>
      </c>
      <c r="C702" s="1" t="s">
        <v>1746</v>
      </c>
      <c r="D702" s="1" t="s">
        <v>583</v>
      </c>
      <c r="F702" s="1">
        <v>2.0</v>
      </c>
      <c r="G702" s="1">
        <v>2.0</v>
      </c>
      <c r="H702" s="1">
        <v>2.0</v>
      </c>
      <c r="I702" s="1">
        <v>1.0</v>
      </c>
      <c r="J702" s="1">
        <v>0.0</v>
      </c>
      <c r="K702" s="1">
        <v>8.0</v>
      </c>
      <c r="L702" s="1">
        <v>0.0</v>
      </c>
      <c r="M702" s="1">
        <v>2.0</v>
      </c>
    </row>
    <row r="703">
      <c r="A703" s="2" t="s">
        <v>1747</v>
      </c>
      <c r="B703" s="1">
        <v>200.0</v>
      </c>
      <c r="C703" s="1" t="s">
        <v>582</v>
      </c>
      <c r="D703" s="1" t="s">
        <v>583</v>
      </c>
    </row>
    <row r="704">
      <c r="A704" s="2" t="s">
        <v>1748</v>
      </c>
      <c r="B704" s="1">
        <v>200.0</v>
      </c>
      <c r="C704" s="1" t="s">
        <v>1749</v>
      </c>
      <c r="D704" s="1" t="s">
        <v>583</v>
      </c>
      <c r="F704" s="1">
        <v>11.0</v>
      </c>
      <c r="G704" s="1">
        <v>12.0</v>
      </c>
      <c r="H704" s="1">
        <v>8.0</v>
      </c>
      <c r="I704" s="1">
        <v>0.73</v>
      </c>
      <c r="J704" s="1">
        <v>0.0</v>
      </c>
      <c r="K704" s="1">
        <v>59.0</v>
      </c>
      <c r="L704" s="1">
        <v>0.0</v>
      </c>
      <c r="M704" s="1">
        <v>11.0</v>
      </c>
    </row>
    <row r="705">
      <c r="A705" s="2" t="s">
        <v>1750</v>
      </c>
      <c r="B705" s="1">
        <v>200.0</v>
      </c>
      <c r="C705" s="1" t="s">
        <v>1751</v>
      </c>
      <c r="D705" s="1" t="s">
        <v>583</v>
      </c>
    </row>
    <row r="706">
      <c r="A706" s="2" t="s">
        <v>1752</v>
      </c>
      <c r="B706" s="1">
        <v>200.0</v>
      </c>
      <c r="C706" s="1" t="s">
        <v>1753</v>
      </c>
      <c r="D706" s="1" t="s">
        <v>583</v>
      </c>
    </row>
    <row r="707">
      <c r="A707" s="2" t="s">
        <v>1754</v>
      </c>
      <c r="B707" s="1">
        <v>200.0</v>
      </c>
      <c r="C707" s="1" t="s">
        <v>1755</v>
      </c>
      <c r="D707" s="1" t="s">
        <v>583</v>
      </c>
    </row>
    <row r="708">
      <c r="A708" s="2" t="s">
        <v>1756</v>
      </c>
      <c r="B708" s="1">
        <v>200.0</v>
      </c>
      <c r="C708" s="1" t="s">
        <v>1757</v>
      </c>
      <c r="D708" s="1" t="s">
        <v>583</v>
      </c>
    </row>
    <row r="709">
      <c r="A709" s="2" t="s">
        <v>1758</v>
      </c>
      <c r="B709" s="1">
        <v>200.0</v>
      </c>
      <c r="C709" s="1" t="s">
        <v>1759</v>
      </c>
      <c r="D709" s="1" t="s">
        <v>583</v>
      </c>
      <c r="F709" s="1">
        <v>1.0</v>
      </c>
      <c r="G709" s="1">
        <v>1.0</v>
      </c>
      <c r="H709" s="1">
        <v>0.0</v>
      </c>
      <c r="I709" s="1">
        <v>0.0</v>
      </c>
      <c r="J709" s="1">
        <v>0.0</v>
      </c>
      <c r="K709" s="1">
        <v>5.0</v>
      </c>
      <c r="L709" s="1">
        <v>0.0</v>
      </c>
      <c r="M709" s="1">
        <v>1.0</v>
      </c>
    </row>
    <row r="710">
      <c r="A710" s="2" t="s">
        <v>1760</v>
      </c>
      <c r="B710" s="1">
        <v>200.0</v>
      </c>
      <c r="C710" s="1" t="s">
        <v>1761</v>
      </c>
      <c r="D710" s="1" t="s">
        <v>583</v>
      </c>
    </row>
    <row r="711">
      <c r="A711" s="2" t="s">
        <v>1762</v>
      </c>
      <c r="B711" s="1">
        <v>200.0</v>
      </c>
      <c r="C711" s="1" t="s">
        <v>1319</v>
      </c>
      <c r="D711" s="1" t="s">
        <v>609</v>
      </c>
      <c r="E711" s="1" t="s">
        <v>631</v>
      </c>
    </row>
    <row r="712">
      <c r="A712" s="2" t="s">
        <v>1763</v>
      </c>
      <c r="B712" s="1">
        <v>301.0</v>
      </c>
      <c r="D712" s="1" t="s">
        <v>609</v>
      </c>
      <c r="E712" s="1" t="s">
        <v>610</v>
      </c>
    </row>
    <row r="713">
      <c r="A713" s="2" t="s">
        <v>1764</v>
      </c>
      <c r="B713" s="1">
        <v>301.0</v>
      </c>
      <c r="D713" s="1" t="s">
        <v>609</v>
      </c>
      <c r="E713" s="1" t="s">
        <v>610</v>
      </c>
    </row>
    <row r="714">
      <c r="A714" s="2" t="s">
        <v>1765</v>
      </c>
      <c r="B714" s="1">
        <v>200.0</v>
      </c>
      <c r="C714" s="1" t="s">
        <v>1653</v>
      </c>
      <c r="D714" s="1" t="s">
        <v>583</v>
      </c>
    </row>
    <row r="715">
      <c r="A715" s="2" t="s">
        <v>1766</v>
      </c>
      <c r="B715" s="1">
        <v>301.0</v>
      </c>
      <c r="D715" s="1" t="s">
        <v>609</v>
      </c>
      <c r="E715" s="1" t="s">
        <v>610</v>
      </c>
    </row>
    <row r="716">
      <c r="A716" s="2" t="s">
        <v>1767</v>
      </c>
      <c r="B716" s="1">
        <v>301.0</v>
      </c>
      <c r="D716" s="1" t="s">
        <v>609</v>
      </c>
      <c r="E716" s="1" t="s">
        <v>610</v>
      </c>
    </row>
    <row r="717">
      <c r="A717" s="2" t="s">
        <v>1768</v>
      </c>
      <c r="B717" s="1">
        <v>301.0</v>
      </c>
      <c r="D717" s="1" t="s">
        <v>609</v>
      </c>
      <c r="E717" s="1" t="s">
        <v>610</v>
      </c>
    </row>
    <row r="718">
      <c r="A718" s="2" t="s">
        <v>1769</v>
      </c>
      <c r="B718" s="1">
        <v>200.0</v>
      </c>
      <c r="C718" s="1" t="s">
        <v>1770</v>
      </c>
      <c r="D718" s="1" t="s">
        <v>583</v>
      </c>
    </row>
    <row r="719">
      <c r="A719" s="2" t="s">
        <v>1771</v>
      </c>
      <c r="B719" s="1">
        <v>200.0</v>
      </c>
      <c r="C719" s="1" t="s">
        <v>1772</v>
      </c>
      <c r="D719" s="1" t="s">
        <v>583</v>
      </c>
    </row>
    <row r="720">
      <c r="A720" s="2" t="s">
        <v>1773</v>
      </c>
      <c r="B720" s="1">
        <v>301.0</v>
      </c>
      <c r="D720" s="1" t="s">
        <v>609</v>
      </c>
      <c r="E720" s="1" t="s">
        <v>610</v>
      </c>
    </row>
    <row r="721">
      <c r="A721" s="2" t="s">
        <v>1774</v>
      </c>
      <c r="B721" s="1">
        <v>301.0</v>
      </c>
      <c r="D721" s="1" t="s">
        <v>609</v>
      </c>
      <c r="E721" s="1" t="s">
        <v>610</v>
      </c>
    </row>
    <row r="722">
      <c r="A722" s="2" t="s">
        <v>1775</v>
      </c>
      <c r="B722" s="1">
        <v>200.0</v>
      </c>
      <c r="C722" s="1" t="s">
        <v>1776</v>
      </c>
      <c r="D722" s="1" t="s">
        <v>583</v>
      </c>
    </row>
    <row r="723">
      <c r="A723" s="2" t="s">
        <v>1777</v>
      </c>
      <c r="B723" s="1">
        <v>200.0</v>
      </c>
      <c r="C723" s="1" t="s">
        <v>1778</v>
      </c>
      <c r="D723" s="1" t="s">
        <v>583</v>
      </c>
    </row>
    <row r="724">
      <c r="A724" s="2" t="s">
        <v>1779</v>
      </c>
      <c r="B724" s="1">
        <v>200.0</v>
      </c>
      <c r="C724" s="1" t="s">
        <v>1780</v>
      </c>
      <c r="D724" s="1" t="s">
        <v>583</v>
      </c>
      <c r="F724" s="1">
        <v>7.0</v>
      </c>
      <c r="G724" s="1">
        <v>11.0</v>
      </c>
      <c r="H724" s="1">
        <v>4.0</v>
      </c>
      <c r="I724" s="1">
        <v>0.57</v>
      </c>
      <c r="J724" s="1">
        <v>0.0</v>
      </c>
      <c r="K724" s="1">
        <v>33.0</v>
      </c>
      <c r="L724" s="1">
        <v>0.0</v>
      </c>
      <c r="M724" s="1">
        <v>7.0</v>
      </c>
    </row>
    <row r="725">
      <c r="A725" s="2" t="s">
        <v>1781</v>
      </c>
      <c r="B725" s="1">
        <v>200.0</v>
      </c>
      <c r="C725" s="1" t="s">
        <v>1782</v>
      </c>
      <c r="D725" s="1" t="s">
        <v>583</v>
      </c>
    </row>
    <row r="726">
      <c r="A726" s="2" t="s">
        <v>1783</v>
      </c>
      <c r="B726" s="1">
        <v>200.0</v>
      </c>
      <c r="C726" s="1" t="s">
        <v>1784</v>
      </c>
      <c r="D726" s="1" t="s">
        <v>583</v>
      </c>
      <c r="F726" s="1">
        <v>9.0</v>
      </c>
      <c r="G726" s="1">
        <v>9.0</v>
      </c>
      <c r="H726" s="1">
        <v>5.0</v>
      </c>
      <c r="I726" s="1">
        <v>0.56</v>
      </c>
      <c r="J726" s="1">
        <v>0.0</v>
      </c>
      <c r="K726" s="1">
        <v>32.0</v>
      </c>
      <c r="L726" s="1">
        <v>0.0</v>
      </c>
      <c r="M726" s="1">
        <v>9.0</v>
      </c>
    </row>
    <row r="727">
      <c r="A727" s="2" t="s">
        <v>1785</v>
      </c>
      <c r="B727" s="1">
        <v>200.0</v>
      </c>
      <c r="C727" s="1" t="s">
        <v>1786</v>
      </c>
      <c r="D727" s="1" t="s">
        <v>583</v>
      </c>
    </row>
    <row r="728">
      <c r="A728" s="2" t="s">
        <v>1787</v>
      </c>
      <c r="B728" s="1">
        <v>200.0</v>
      </c>
      <c r="C728" s="1" t="s">
        <v>1788</v>
      </c>
      <c r="D728" s="1" t="s">
        <v>583</v>
      </c>
      <c r="F728" s="1">
        <v>1.0</v>
      </c>
      <c r="G728" s="1">
        <v>1.0</v>
      </c>
      <c r="H728" s="1">
        <v>0.0</v>
      </c>
      <c r="I728" s="1">
        <v>0.0</v>
      </c>
      <c r="J728" s="1">
        <v>0.0</v>
      </c>
      <c r="K728" s="1">
        <v>3.0</v>
      </c>
      <c r="L728" s="1">
        <v>0.0</v>
      </c>
      <c r="M728" s="1">
        <v>1.0</v>
      </c>
    </row>
    <row r="729">
      <c r="A729" s="2" t="s">
        <v>1789</v>
      </c>
      <c r="B729" s="1">
        <v>200.0</v>
      </c>
      <c r="C729" s="1" t="s">
        <v>1790</v>
      </c>
      <c r="D729" s="1" t="s">
        <v>583</v>
      </c>
    </row>
    <row r="730">
      <c r="A730" s="2" t="s">
        <v>1791</v>
      </c>
      <c r="B730" s="1">
        <v>200.0</v>
      </c>
      <c r="C730" s="1" t="s">
        <v>1792</v>
      </c>
      <c r="D730" s="1" t="s">
        <v>583</v>
      </c>
    </row>
    <row r="731">
      <c r="A731" s="2" t="s">
        <v>1793</v>
      </c>
      <c r="B731" s="1">
        <v>200.0</v>
      </c>
      <c r="C731" s="1" t="s">
        <v>1794</v>
      </c>
      <c r="D731" s="1" t="s">
        <v>583</v>
      </c>
    </row>
    <row r="732">
      <c r="A732" s="2" t="s">
        <v>1795</v>
      </c>
      <c r="B732" s="1">
        <v>200.0</v>
      </c>
      <c r="C732" s="1" t="s">
        <v>1796</v>
      </c>
      <c r="D732" s="1" t="s">
        <v>583</v>
      </c>
    </row>
    <row r="733">
      <c r="A733" s="2" t="s">
        <v>1797</v>
      </c>
      <c r="B733" s="1">
        <v>200.0</v>
      </c>
      <c r="C733" s="1" t="s">
        <v>1798</v>
      </c>
      <c r="D733" s="1" t="s">
        <v>583</v>
      </c>
    </row>
    <row r="734">
      <c r="A734" s="2" t="s">
        <v>1799</v>
      </c>
      <c r="B734" s="1">
        <v>200.0</v>
      </c>
      <c r="C734" s="1" t="s">
        <v>1144</v>
      </c>
      <c r="D734" s="1" t="s">
        <v>609</v>
      </c>
      <c r="E734" s="1" t="s">
        <v>631</v>
      </c>
    </row>
    <row r="735">
      <c r="A735" s="2" t="s">
        <v>487</v>
      </c>
      <c r="B735" s="1">
        <v>200.0</v>
      </c>
      <c r="C735" s="1" t="s">
        <v>1800</v>
      </c>
      <c r="D735" s="1" t="s">
        <v>583</v>
      </c>
      <c r="F735" s="1">
        <v>3.0</v>
      </c>
      <c r="G735" s="1">
        <v>4.0</v>
      </c>
      <c r="H735" s="1">
        <v>1.0</v>
      </c>
      <c r="I735" s="1">
        <v>0.33</v>
      </c>
      <c r="J735" s="1">
        <v>0.0</v>
      </c>
      <c r="K735" s="1">
        <v>30.0</v>
      </c>
      <c r="L735" s="1">
        <v>0.0</v>
      </c>
      <c r="M735" s="1">
        <v>3.0</v>
      </c>
    </row>
    <row r="736">
      <c r="A736" s="2" t="s">
        <v>1801</v>
      </c>
      <c r="B736" s="1">
        <v>200.0</v>
      </c>
      <c r="C736" s="1" t="s">
        <v>1802</v>
      </c>
      <c r="D736" s="1" t="s">
        <v>609</v>
      </c>
      <c r="E736" s="1" t="s">
        <v>631</v>
      </c>
    </row>
    <row r="737">
      <c r="A737" s="2" t="s">
        <v>1803</v>
      </c>
      <c r="B737" s="1">
        <v>200.0</v>
      </c>
      <c r="C737" s="1" t="s">
        <v>1804</v>
      </c>
      <c r="D737" s="1" t="s">
        <v>583</v>
      </c>
    </row>
    <row r="738">
      <c r="A738" s="2" t="s">
        <v>1805</v>
      </c>
      <c r="B738" s="1">
        <v>200.0</v>
      </c>
      <c r="C738" s="1" t="s">
        <v>1806</v>
      </c>
      <c r="D738" s="1" t="s">
        <v>583</v>
      </c>
    </row>
    <row r="739">
      <c r="A739" s="2" t="s">
        <v>1807</v>
      </c>
      <c r="B739" s="1">
        <v>200.0</v>
      </c>
      <c r="C739" s="1" t="s">
        <v>1808</v>
      </c>
      <c r="D739" s="1" t="s">
        <v>583</v>
      </c>
    </row>
    <row r="740">
      <c r="A740" s="2" t="s">
        <v>1809</v>
      </c>
      <c r="B740" s="1">
        <v>200.0</v>
      </c>
      <c r="C740" s="1" t="s">
        <v>1810</v>
      </c>
      <c r="D740" s="1" t="s">
        <v>583</v>
      </c>
    </row>
    <row r="741">
      <c r="A741" s="2" t="s">
        <v>1811</v>
      </c>
      <c r="B741" s="1">
        <v>200.0</v>
      </c>
      <c r="C741" s="1" t="s">
        <v>1812</v>
      </c>
      <c r="D741" s="1" t="s">
        <v>583</v>
      </c>
    </row>
    <row r="742">
      <c r="A742" s="2" t="s">
        <v>1813</v>
      </c>
      <c r="B742" s="1">
        <v>200.0</v>
      </c>
      <c r="C742" s="1" t="s">
        <v>1814</v>
      </c>
      <c r="D742" s="1" t="s">
        <v>583</v>
      </c>
    </row>
    <row r="743">
      <c r="A743" s="2" t="s">
        <v>1815</v>
      </c>
      <c r="B743" s="1">
        <v>200.0</v>
      </c>
      <c r="C743" s="1" t="s">
        <v>1816</v>
      </c>
      <c r="D743" s="1" t="s">
        <v>583</v>
      </c>
    </row>
    <row r="744">
      <c r="A744" s="2" t="s">
        <v>1817</v>
      </c>
      <c r="B744" s="1">
        <v>200.0</v>
      </c>
      <c r="C744" s="1" t="s">
        <v>1818</v>
      </c>
      <c r="D744" s="1" t="s">
        <v>583</v>
      </c>
    </row>
    <row r="745">
      <c r="A745" s="2" t="s">
        <v>1819</v>
      </c>
      <c r="B745" s="1">
        <v>200.0</v>
      </c>
      <c r="C745" s="1" t="s">
        <v>1820</v>
      </c>
      <c r="D745" s="1" t="s">
        <v>583</v>
      </c>
    </row>
    <row r="746">
      <c r="A746" s="2" t="s">
        <v>1821</v>
      </c>
      <c r="B746" s="1">
        <v>200.0</v>
      </c>
      <c r="C746" s="1" t="s">
        <v>1822</v>
      </c>
      <c r="D746" s="1" t="s">
        <v>583</v>
      </c>
      <c r="F746" s="1">
        <v>9.0</v>
      </c>
      <c r="G746" s="1">
        <v>13.0</v>
      </c>
      <c r="H746" s="1">
        <v>6.0</v>
      </c>
      <c r="I746" s="1">
        <v>0.67</v>
      </c>
      <c r="J746" s="1">
        <v>0.0</v>
      </c>
      <c r="K746" s="1">
        <v>40.0</v>
      </c>
      <c r="L746" s="1">
        <v>0.0</v>
      </c>
      <c r="M746" s="1">
        <v>8.0</v>
      </c>
    </row>
    <row r="747">
      <c r="A747" s="2" t="s">
        <v>1823</v>
      </c>
      <c r="B747" s="1">
        <v>200.0</v>
      </c>
      <c r="C747" s="1" t="s">
        <v>1824</v>
      </c>
      <c r="D747" s="1" t="s">
        <v>583</v>
      </c>
    </row>
    <row r="748">
      <c r="A748" s="2" t="s">
        <v>1825</v>
      </c>
      <c r="B748" s="1">
        <v>200.0</v>
      </c>
      <c r="C748" s="1" t="s">
        <v>1826</v>
      </c>
      <c r="D748" s="1" t="s">
        <v>583</v>
      </c>
      <c r="F748" s="1">
        <v>1.0</v>
      </c>
      <c r="G748" s="1">
        <v>2.0</v>
      </c>
      <c r="H748" s="1">
        <v>1.0</v>
      </c>
      <c r="I748" s="1">
        <v>1.0</v>
      </c>
      <c r="J748" s="1">
        <v>0.0</v>
      </c>
      <c r="K748" s="1">
        <v>5.0</v>
      </c>
      <c r="L748" s="1">
        <v>0.0</v>
      </c>
      <c r="M748" s="1">
        <v>1.0</v>
      </c>
    </row>
    <row r="749">
      <c r="A749" s="2" t="s">
        <v>1827</v>
      </c>
      <c r="B749" s="1">
        <v>200.0</v>
      </c>
      <c r="C749" s="1" t="s">
        <v>1828</v>
      </c>
      <c r="D749" s="1" t="s">
        <v>583</v>
      </c>
    </row>
    <row r="750">
      <c r="A750" s="2" t="s">
        <v>1829</v>
      </c>
      <c r="B750" s="1">
        <v>200.0</v>
      </c>
      <c r="C750" s="1" t="s">
        <v>1830</v>
      </c>
      <c r="D750" s="1" t="s">
        <v>583</v>
      </c>
      <c r="F750" s="1">
        <v>1.0</v>
      </c>
      <c r="G750" s="1">
        <v>1.0</v>
      </c>
      <c r="H750" s="1">
        <v>0.0</v>
      </c>
      <c r="I750" s="1">
        <v>0.0</v>
      </c>
      <c r="J750" s="1">
        <v>0.0</v>
      </c>
      <c r="K750" s="1">
        <v>3.0</v>
      </c>
      <c r="L750" s="1">
        <v>0.0</v>
      </c>
      <c r="M750" s="1">
        <v>1.0</v>
      </c>
    </row>
    <row r="751">
      <c r="A751" s="2" t="s">
        <v>1831</v>
      </c>
      <c r="B751" s="1">
        <v>200.0</v>
      </c>
      <c r="C751" s="1" t="s">
        <v>1832</v>
      </c>
      <c r="D751" s="1" t="s">
        <v>583</v>
      </c>
    </row>
    <row r="752">
      <c r="A752" s="2" t="s">
        <v>1833</v>
      </c>
      <c r="B752" s="1">
        <v>200.0</v>
      </c>
      <c r="C752" s="1" t="s">
        <v>1834</v>
      </c>
      <c r="D752" s="1" t="s">
        <v>583</v>
      </c>
    </row>
    <row r="753">
      <c r="A753" s="2" t="s">
        <v>1835</v>
      </c>
      <c r="B753" s="1">
        <v>200.0</v>
      </c>
      <c r="C753" s="1" t="s">
        <v>1836</v>
      </c>
      <c r="D753" s="1" t="s">
        <v>583</v>
      </c>
    </row>
    <row r="754">
      <c r="A754" s="2" t="s">
        <v>1837</v>
      </c>
      <c r="B754" s="1">
        <v>200.0</v>
      </c>
      <c r="C754" s="1" t="s">
        <v>1838</v>
      </c>
      <c r="D754" s="1" t="s">
        <v>583</v>
      </c>
    </row>
    <row r="755">
      <c r="A755" s="2" t="s">
        <v>1839</v>
      </c>
      <c r="B755" s="1">
        <v>200.0</v>
      </c>
      <c r="C755" s="1" t="s">
        <v>1840</v>
      </c>
      <c r="D755" s="1" t="s">
        <v>583</v>
      </c>
    </row>
    <row r="756">
      <c r="A756" s="2" t="s">
        <v>1841</v>
      </c>
      <c r="B756" s="1">
        <v>200.0</v>
      </c>
      <c r="C756" s="1" t="s">
        <v>1842</v>
      </c>
      <c r="D756" s="1" t="s">
        <v>583</v>
      </c>
    </row>
    <row r="757">
      <c r="A757" s="2" t="s">
        <v>1843</v>
      </c>
      <c r="B757" s="1">
        <v>200.0</v>
      </c>
      <c r="C757" s="1" t="s">
        <v>1844</v>
      </c>
      <c r="D757" s="1" t="s">
        <v>583</v>
      </c>
      <c r="F757" s="1">
        <v>2.0</v>
      </c>
      <c r="G757" s="1">
        <v>2.0</v>
      </c>
      <c r="H757" s="1">
        <v>2.0</v>
      </c>
      <c r="I757" s="1">
        <v>1.0</v>
      </c>
      <c r="J757" s="1">
        <v>0.0</v>
      </c>
      <c r="K757" s="1">
        <v>8.0</v>
      </c>
      <c r="L757" s="1">
        <v>0.0</v>
      </c>
      <c r="M757" s="1">
        <v>2.0</v>
      </c>
    </row>
    <row r="758">
      <c r="A758" s="2" t="s">
        <v>1845</v>
      </c>
      <c r="B758" s="1">
        <v>200.0</v>
      </c>
      <c r="C758" s="1" t="s">
        <v>1846</v>
      </c>
      <c r="D758" s="1" t="s">
        <v>583</v>
      </c>
    </row>
    <row r="759">
      <c r="A759" s="2" t="s">
        <v>1847</v>
      </c>
      <c r="B759" s="1">
        <v>200.0</v>
      </c>
      <c r="C759" s="1" t="s">
        <v>1848</v>
      </c>
      <c r="D759" s="1" t="s">
        <v>583</v>
      </c>
    </row>
    <row r="760">
      <c r="A760" s="2" t="s">
        <v>1849</v>
      </c>
      <c r="B760" s="1">
        <v>200.0</v>
      </c>
      <c r="C760" s="1" t="s">
        <v>1850</v>
      </c>
      <c r="D760" s="1" t="s">
        <v>583</v>
      </c>
    </row>
    <row r="761">
      <c r="A761" s="2" t="s">
        <v>1851</v>
      </c>
      <c r="B761" s="1">
        <v>200.0</v>
      </c>
      <c r="C761" s="1" t="s">
        <v>1852</v>
      </c>
      <c r="D761" s="1" t="s">
        <v>583</v>
      </c>
    </row>
    <row r="762">
      <c r="A762" s="2" t="s">
        <v>1853</v>
      </c>
      <c r="B762" s="1">
        <v>200.0</v>
      </c>
      <c r="C762" s="1" t="s">
        <v>1854</v>
      </c>
      <c r="D762" s="1" t="s">
        <v>583</v>
      </c>
      <c r="F762" s="1">
        <v>2.0</v>
      </c>
      <c r="G762" s="1">
        <v>2.0</v>
      </c>
      <c r="H762" s="1">
        <v>1.0</v>
      </c>
      <c r="I762" s="1">
        <v>0.5</v>
      </c>
      <c r="J762" s="1">
        <v>0.0</v>
      </c>
      <c r="K762" s="1">
        <v>9.0</v>
      </c>
      <c r="L762" s="1">
        <v>0.0</v>
      </c>
      <c r="M762" s="1">
        <v>2.0</v>
      </c>
    </row>
    <row r="763">
      <c r="A763" s="2" t="s">
        <v>1855</v>
      </c>
      <c r="B763" s="1">
        <v>200.0</v>
      </c>
      <c r="C763" s="1" t="s">
        <v>1856</v>
      </c>
      <c r="D763" s="1" t="s">
        <v>583</v>
      </c>
    </row>
    <row r="764">
      <c r="A764" s="2" t="s">
        <v>1857</v>
      </c>
      <c r="B764" s="1">
        <v>200.0</v>
      </c>
      <c r="C764" s="1" t="s">
        <v>1858</v>
      </c>
      <c r="D764" s="1" t="s">
        <v>583</v>
      </c>
    </row>
    <row r="765">
      <c r="A765" s="2" t="s">
        <v>1859</v>
      </c>
      <c r="B765" s="1">
        <v>200.0</v>
      </c>
      <c r="C765" s="1" t="s">
        <v>1664</v>
      </c>
      <c r="D765" s="1" t="s">
        <v>583</v>
      </c>
    </row>
    <row r="766">
      <c r="A766" s="2" t="s">
        <v>1860</v>
      </c>
      <c r="B766" s="1">
        <v>200.0</v>
      </c>
      <c r="C766" s="1" t="s">
        <v>1861</v>
      </c>
      <c r="D766" s="1" t="s">
        <v>583</v>
      </c>
      <c r="F766" s="1">
        <v>7.0</v>
      </c>
      <c r="G766" s="1">
        <v>7.0</v>
      </c>
      <c r="H766" s="1">
        <v>5.0</v>
      </c>
      <c r="I766" s="1">
        <v>0.71</v>
      </c>
      <c r="J766" s="1">
        <v>0.0</v>
      </c>
      <c r="K766" s="1">
        <v>43.0</v>
      </c>
      <c r="L766" s="1">
        <v>0.0</v>
      </c>
      <c r="M766" s="1">
        <v>7.0</v>
      </c>
    </row>
    <row r="767">
      <c r="A767" s="2" t="s">
        <v>1862</v>
      </c>
      <c r="B767" s="1">
        <v>301.0</v>
      </c>
      <c r="D767" s="1" t="s">
        <v>609</v>
      </c>
      <c r="E767" s="1" t="s">
        <v>610</v>
      </c>
    </row>
    <row r="768">
      <c r="A768" s="2" t="s">
        <v>1863</v>
      </c>
      <c r="B768" s="1">
        <v>301.0</v>
      </c>
      <c r="D768" s="1" t="s">
        <v>609</v>
      </c>
      <c r="E768" s="1" t="s">
        <v>610</v>
      </c>
    </row>
    <row r="769">
      <c r="A769" s="2" t="s">
        <v>1864</v>
      </c>
      <c r="B769" s="1">
        <v>200.0</v>
      </c>
      <c r="C769" s="1" t="s">
        <v>1865</v>
      </c>
      <c r="D769" s="1" t="s">
        <v>583</v>
      </c>
    </row>
    <row r="770">
      <c r="A770" s="2" t="s">
        <v>1866</v>
      </c>
      <c r="B770" s="1">
        <v>200.0</v>
      </c>
      <c r="C770" s="1" t="s">
        <v>1867</v>
      </c>
      <c r="D770" s="1" t="s">
        <v>583</v>
      </c>
    </row>
    <row r="771">
      <c r="A771" s="2" t="s">
        <v>1868</v>
      </c>
      <c r="B771" s="1">
        <v>200.0</v>
      </c>
      <c r="C771" s="1" t="s">
        <v>1869</v>
      </c>
      <c r="D771" s="1" t="s">
        <v>583</v>
      </c>
      <c r="F771" s="1">
        <v>98.0</v>
      </c>
      <c r="G771" s="1">
        <v>101.0</v>
      </c>
      <c r="H771" s="1">
        <v>58.0</v>
      </c>
      <c r="I771" s="1">
        <v>0.59</v>
      </c>
      <c r="J771" s="1">
        <v>0.0</v>
      </c>
      <c r="K771" s="1">
        <v>460.0</v>
      </c>
      <c r="L771" s="1">
        <v>0.0</v>
      </c>
      <c r="M771" s="1">
        <v>96.0</v>
      </c>
    </row>
    <row r="772">
      <c r="A772" s="2" t="s">
        <v>1870</v>
      </c>
      <c r="B772" s="1">
        <v>200.0</v>
      </c>
      <c r="C772" s="1" t="s">
        <v>1871</v>
      </c>
      <c r="D772" s="1" t="s">
        <v>583</v>
      </c>
    </row>
    <row r="773">
      <c r="A773" s="2" t="s">
        <v>1872</v>
      </c>
      <c r="B773" s="1">
        <v>200.0</v>
      </c>
      <c r="C773" s="1" t="s">
        <v>1873</v>
      </c>
      <c r="D773" s="1" t="s">
        <v>583</v>
      </c>
    </row>
    <row r="774">
      <c r="A774" s="2" t="s">
        <v>1874</v>
      </c>
      <c r="B774" s="1">
        <v>200.0</v>
      </c>
      <c r="C774" s="1" t="s">
        <v>1875</v>
      </c>
      <c r="D774" s="1" t="s">
        <v>583</v>
      </c>
      <c r="F774" s="1">
        <v>3.0</v>
      </c>
      <c r="G774" s="1">
        <v>3.0</v>
      </c>
      <c r="H774" s="1">
        <v>3.0</v>
      </c>
      <c r="I774" s="1">
        <v>1.0</v>
      </c>
      <c r="J774" s="1">
        <v>0.0</v>
      </c>
      <c r="K774" s="1">
        <v>12.0</v>
      </c>
      <c r="L774" s="1">
        <v>0.0</v>
      </c>
      <c r="M774" s="1">
        <v>3.0</v>
      </c>
    </row>
    <row r="775">
      <c r="A775" s="2" t="s">
        <v>1876</v>
      </c>
      <c r="B775" s="1">
        <v>200.0</v>
      </c>
      <c r="C775" s="1" t="s">
        <v>1877</v>
      </c>
      <c r="D775" s="1" t="s">
        <v>583</v>
      </c>
    </row>
    <row r="776">
      <c r="A776" s="2" t="s">
        <v>1878</v>
      </c>
      <c r="B776" s="1">
        <v>200.0</v>
      </c>
      <c r="C776" s="1" t="s">
        <v>1879</v>
      </c>
      <c r="D776" s="1" t="s">
        <v>583</v>
      </c>
    </row>
    <row r="777">
      <c r="A777" s="2" t="s">
        <v>1880</v>
      </c>
      <c r="B777" s="1">
        <v>200.0</v>
      </c>
      <c r="C777" s="1" t="s">
        <v>1881</v>
      </c>
      <c r="D777" s="1" t="s">
        <v>583</v>
      </c>
    </row>
    <row r="778">
      <c r="A778" s="2" t="s">
        <v>1882</v>
      </c>
      <c r="B778" s="1">
        <v>200.0</v>
      </c>
      <c r="C778" s="1" t="s">
        <v>1883</v>
      </c>
      <c r="D778" s="1" t="s">
        <v>583</v>
      </c>
    </row>
    <row r="779">
      <c r="A779" s="2" t="s">
        <v>1884</v>
      </c>
      <c r="B779" s="1">
        <v>200.0</v>
      </c>
      <c r="C779" s="1" t="s">
        <v>1885</v>
      </c>
      <c r="D779" s="1" t="s">
        <v>583</v>
      </c>
    </row>
    <row r="780">
      <c r="A780" s="2" t="s">
        <v>1886</v>
      </c>
      <c r="B780" s="1">
        <v>200.0</v>
      </c>
      <c r="C780" s="1" t="s">
        <v>1887</v>
      </c>
      <c r="D780" s="1" t="s">
        <v>583</v>
      </c>
    </row>
    <row r="781">
      <c r="A781" s="2" t="s">
        <v>1888</v>
      </c>
      <c r="B781" s="1">
        <v>200.0</v>
      </c>
      <c r="C781" s="1" t="s">
        <v>1889</v>
      </c>
      <c r="D781" s="1" t="s">
        <v>583</v>
      </c>
      <c r="F781" s="1">
        <v>5.0</v>
      </c>
      <c r="G781" s="1">
        <v>6.0</v>
      </c>
      <c r="H781" s="1">
        <v>5.0</v>
      </c>
      <c r="I781" s="1">
        <v>1.0</v>
      </c>
      <c r="J781" s="1">
        <v>0.0</v>
      </c>
      <c r="K781" s="1">
        <v>21.0</v>
      </c>
      <c r="L781" s="1">
        <v>0.0</v>
      </c>
      <c r="M781" s="1">
        <v>5.0</v>
      </c>
    </row>
    <row r="782">
      <c r="A782" s="2" t="s">
        <v>1890</v>
      </c>
      <c r="B782" s="1">
        <v>200.0</v>
      </c>
      <c r="C782" s="1" t="s">
        <v>1891</v>
      </c>
      <c r="D782" s="1" t="s">
        <v>583</v>
      </c>
      <c r="F782" s="1">
        <v>4.0</v>
      </c>
      <c r="G782" s="1">
        <v>4.0</v>
      </c>
      <c r="H782" s="1">
        <v>2.0</v>
      </c>
      <c r="I782" s="1">
        <v>0.5</v>
      </c>
      <c r="J782" s="1">
        <v>0.0</v>
      </c>
      <c r="K782" s="1">
        <v>14.0</v>
      </c>
      <c r="L782" s="1">
        <v>0.0</v>
      </c>
      <c r="M782" s="1">
        <v>3.0</v>
      </c>
    </row>
    <row r="783">
      <c r="A783" s="2" t="s">
        <v>1892</v>
      </c>
      <c r="B783" s="1">
        <v>200.0</v>
      </c>
      <c r="C783" s="1" t="s">
        <v>1893</v>
      </c>
      <c r="D783" s="1" t="s">
        <v>583</v>
      </c>
    </row>
    <row r="784">
      <c r="A784" s="2" t="s">
        <v>1894</v>
      </c>
      <c r="B784" s="1">
        <v>200.0</v>
      </c>
      <c r="C784" s="1" t="s">
        <v>846</v>
      </c>
      <c r="D784" s="1" t="s">
        <v>609</v>
      </c>
      <c r="E784" s="1" t="s">
        <v>631</v>
      </c>
    </row>
    <row r="785">
      <c r="A785" s="2" t="s">
        <v>1895</v>
      </c>
      <c r="B785" s="1">
        <v>200.0</v>
      </c>
      <c r="C785" s="1" t="s">
        <v>1896</v>
      </c>
      <c r="D785" s="1" t="s">
        <v>583</v>
      </c>
      <c r="F785" s="1">
        <v>2.0</v>
      </c>
      <c r="G785" s="1">
        <v>2.0</v>
      </c>
      <c r="H785" s="1">
        <v>0.0</v>
      </c>
      <c r="I785" s="1">
        <v>0.0</v>
      </c>
      <c r="J785" s="1">
        <v>0.0</v>
      </c>
      <c r="K785" s="1">
        <v>6.0</v>
      </c>
      <c r="L785" s="1">
        <v>0.0</v>
      </c>
      <c r="M785" s="1">
        <v>2.0</v>
      </c>
    </row>
    <row r="786">
      <c r="A786" s="2" t="s">
        <v>1897</v>
      </c>
      <c r="B786" s="1">
        <v>200.0</v>
      </c>
      <c r="C786" s="1" t="s">
        <v>582</v>
      </c>
      <c r="D786" s="1" t="s">
        <v>583</v>
      </c>
    </row>
    <row r="787">
      <c r="A787" s="2" t="s">
        <v>1898</v>
      </c>
      <c r="B787" s="1">
        <v>200.0</v>
      </c>
      <c r="C787" s="1" t="s">
        <v>1899</v>
      </c>
      <c r="D787" s="1" t="s">
        <v>583</v>
      </c>
      <c r="F787" s="1">
        <v>1.0</v>
      </c>
      <c r="G787" s="1">
        <v>1.0</v>
      </c>
      <c r="H787" s="1">
        <v>0.0</v>
      </c>
      <c r="I787" s="1">
        <v>0.0</v>
      </c>
      <c r="J787" s="1">
        <v>0.0</v>
      </c>
      <c r="K787" s="1">
        <v>4.0</v>
      </c>
      <c r="L787" s="1">
        <v>0.0</v>
      </c>
      <c r="M787" s="1">
        <v>1.0</v>
      </c>
    </row>
    <row r="788">
      <c r="A788" s="2" t="s">
        <v>1900</v>
      </c>
      <c r="B788" s="1">
        <v>200.0</v>
      </c>
      <c r="C788" s="1" t="s">
        <v>1901</v>
      </c>
      <c r="D788" s="1" t="s">
        <v>583</v>
      </c>
    </row>
    <row r="789">
      <c r="A789" s="2" t="s">
        <v>1902</v>
      </c>
      <c r="B789" s="1">
        <v>200.0</v>
      </c>
      <c r="C789" s="1" t="s">
        <v>1903</v>
      </c>
      <c r="D789" s="1" t="s">
        <v>583</v>
      </c>
    </row>
    <row r="790">
      <c r="A790" s="2" t="s">
        <v>1904</v>
      </c>
      <c r="B790" s="1">
        <v>200.0</v>
      </c>
      <c r="C790" s="1" t="s">
        <v>1541</v>
      </c>
      <c r="D790" s="1" t="s">
        <v>609</v>
      </c>
      <c r="E790" s="1" t="s">
        <v>631</v>
      </c>
    </row>
    <row r="791">
      <c r="A791" s="2" t="s">
        <v>1905</v>
      </c>
      <c r="B791" s="1">
        <v>200.0</v>
      </c>
      <c r="C791" s="1" t="s">
        <v>1906</v>
      </c>
      <c r="D791" s="1" t="s">
        <v>583</v>
      </c>
    </row>
    <row r="792">
      <c r="A792" s="2" t="s">
        <v>1907</v>
      </c>
      <c r="B792" s="1">
        <v>200.0</v>
      </c>
      <c r="C792" s="1" t="s">
        <v>1908</v>
      </c>
      <c r="D792" s="1" t="s">
        <v>583</v>
      </c>
    </row>
    <row r="793">
      <c r="A793" s="2" t="s">
        <v>1909</v>
      </c>
      <c r="B793" s="1">
        <v>200.0</v>
      </c>
      <c r="C793" s="1" t="s">
        <v>1709</v>
      </c>
      <c r="D793" s="1" t="s">
        <v>609</v>
      </c>
      <c r="E793" s="1" t="s">
        <v>631</v>
      </c>
    </row>
    <row r="794">
      <c r="A794" s="2" t="s">
        <v>1910</v>
      </c>
      <c r="B794" s="1">
        <v>200.0</v>
      </c>
      <c r="C794" s="1" t="s">
        <v>1911</v>
      </c>
      <c r="D794" s="1" t="s">
        <v>583</v>
      </c>
    </row>
    <row r="795">
      <c r="A795" s="2" t="s">
        <v>1912</v>
      </c>
      <c r="B795" s="1">
        <v>200.0</v>
      </c>
      <c r="C795" s="1" t="s">
        <v>1913</v>
      </c>
      <c r="D795" s="1" t="s">
        <v>583</v>
      </c>
      <c r="F795" s="1">
        <v>1.0</v>
      </c>
      <c r="G795" s="1">
        <v>2.0</v>
      </c>
      <c r="H795" s="1">
        <v>1.0</v>
      </c>
      <c r="I795" s="1">
        <v>1.0</v>
      </c>
      <c r="J795" s="1">
        <v>0.0</v>
      </c>
      <c r="K795" s="1">
        <v>6.0</v>
      </c>
      <c r="L795" s="1">
        <v>0.0</v>
      </c>
      <c r="M795" s="1">
        <v>1.0</v>
      </c>
    </row>
    <row r="796">
      <c r="A796" s="2" t="s">
        <v>1914</v>
      </c>
      <c r="B796" s="1">
        <v>200.0</v>
      </c>
      <c r="C796" s="1" t="s">
        <v>1701</v>
      </c>
      <c r="D796" s="1" t="s">
        <v>609</v>
      </c>
      <c r="E796" s="1" t="s">
        <v>631</v>
      </c>
    </row>
    <row r="797">
      <c r="A797" s="2" t="s">
        <v>1915</v>
      </c>
      <c r="B797" s="1">
        <v>200.0</v>
      </c>
      <c r="C797" s="1" t="s">
        <v>1916</v>
      </c>
      <c r="D797" s="1" t="s">
        <v>583</v>
      </c>
    </row>
    <row r="798">
      <c r="A798" s="2" t="s">
        <v>1917</v>
      </c>
      <c r="B798" s="1">
        <v>200.0</v>
      </c>
      <c r="C798" s="1" t="s">
        <v>1651</v>
      </c>
      <c r="D798" s="1" t="s">
        <v>609</v>
      </c>
      <c r="E798" s="1" t="s">
        <v>631</v>
      </c>
    </row>
    <row r="799">
      <c r="A799" s="2" t="s">
        <v>1918</v>
      </c>
      <c r="B799" s="1">
        <v>200.0</v>
      </c>
      <c r="C799" s="1" t="s">
        <v>1919</v>
      </c>
      <c r="D799" s="1" t="s">
        <v>583</v>
      </c>
    </row>
    <row r="800">
      <c r="A800" s="2" t="s">
        <v>1920</v>
      </c>
      <c r="B800" s="1">
        <v>200.0</v>
      </c>
      <c r="C800" s="1" t="s">
        <v>1921</v>
      </c>
      <c r="D800" s="1" t="s">
        <v>583</v>
      </c>
    </row>
    <row r="801">
      <c r="A801" s="2" t="s">
        <v>1922</v>
      </c>
      <c r="B801" s="1">
        <v>200.0</v>
      </c>
      <c r="C801" s="1" t="s">
        <v>1923</v>
      </c>
      <c r="D801" s="1" t="s">
        <v>583</v>
      </c>
    </row>
    <row r="802">
      <c r="A802" s="2" t="s">
        <v>1924</v>
      </c>
      <c r="B802" s="1">
        <v>200.0</v>
      </c>
      <c r="C802" s="1" t="s">
        <v>1925</v>
      </c>
      <c r="D802" s="1" t="s">
        <v>583</v>
      </c>
    </row>
    <row r="803">
      <c r="A803" s="2" t="s">
        <v>1926</v>
      </c>
      <c r="B803" s="1">
        <v>200.0</v>
      </c>
      <c r="C803" s="1" t="s">
        <v>1927</v>
      </c>
      <c r="D803" s="1" t="s">
        <v>583</v>
      </c>
    </row>
    <row r="804">
      <c r="A804" s="2" t="s">
        <v>1928</v>
      </c>
      <c r="B804" s="1">
        <v>200.0</v>
      </c>
      <c r="C804" s="1" t="s">
        <v>1929</v>
      </c>
      <c r="D804" s="1" t="s">
        <v>583</v>
      </c>
    </row>
    <row r="805">
      <c r="A805" s="2" t="s">
        <v>1930</v>
      </c>
      <c r="B805" s="1">
        <v>200.0</v>
      </c>
      <c r="C805" s="1" t="s">
        <v>1931</v>
      </c>
      <c r="D805" s="1" t="s">
        <v>583</v>
      </c>
    </row>
    <row r="806">
      <c r="A806" s="2" t="s">
        <v>1932</v>
      </c>
      <c r="B806" s="1">
        <v>301.0</v>
      </c>
      <c r="D806" s="1" t="s">
        <v>609</v>
      </c>
      <c r="E806" s="1" t="s">
        <v>610</v>
      </c>
    </row>
    <row r="807">
      <c r="A807" s="2" t="s">
        <v>1933</v>
      </c>
      <c r="B807" s="1">
        <v>200.0</v>
      </c>
      <c r="C807" s="1" t="s">
        <v>1934</v>
      </c>
      <c r="D807" s="1" t="s">
        <v>583</v>
      </c>
    </row>
    <row r="808">
      <c r="A808" s="2" t="s">
        <v>1935</v>
      </c>
      <c r="B808" s="1">
        <v>200.0</v>
      </c>
      <c r="C808" s="1" t="s">
        <v>1936</v>
      </c>
      <c r="D808" s="1" t="s">
        <v>583</v>
      </c>
    </row>
    <row r="809">
      <c r="A809" s="2" t="s">
        <v>1937</v>
      </c>
      <c r="B809" s="1">
        <v>200.0</v>
      </c>
      <c r="C809" s="1" t="s">
        <v>1938</v>
      </c>
      <c r="D809" s="1" t="s">
        <v>583</v>
      </c>
    </row>
    <row r="810">
      <c r="A810" s="2" t="s">
        <v>1939</v>
      </c>
      <c r="B810" s="1">
        <v>200.0</v>
      </c>
      <c r="C810" s="1" t="s">
        <v>1940</v>
      </c>
      <c r="D810" s="1" t="s">
        <v>583</v>
      </c>
    </row>
    <row r="811">
      <c r="A811" s="2" t="s">
        <v>1941</v>
      </c>
      <c r="B811" s="1">
        <v>200.0</v>
      </c>
      <c r="C811" s="1" t="s">
        <v>1942</v>
      </c>
      <c r="D811" s="1" t="s">
        <v>583</v>
      </c>
      <c r="F811" s="1">
        <v>17.0</v>
      </c>
      <c r="G811" s="1">
        <v>18.0</v>
      </c>
      <c r="H811" s="1">
        <v>14.0</v>
      </c>
      <c r="I811" s="1">
        <v>0.82</v>
      </c>
      <c r="J811" s="1">
        <v>1.0</v>
      </c>
      <c r="K811" s="1">
        <v>68.0</v>
      </c>
      <c r="L811" s="1">
        <v>0.0</v>
      </c>
      <c r="M811" s="1">
        <v>16.0</v>
      </c>
    </row>
    <row r="812">
      <c r="A812" s="2" t="s">
        <v>1943</v>
      </c>
      <c r="B812" s="1">
        <v>200.0</v>
      </c>
      <c r="C812" s="1" t="s">
        <v>1944</v>
      </c>
      <c r="D812" s="1" t="s">
        <v>583</v>
      </c>
    </row>
    <row r="813">
      <c r="A813" s="2" t="s">
        <v>1945</v>
      </c>
      <c r="B813" s="1">
        <v>200.0</v>
      </c>
      <c r="C813" s="1" t="s">
        <v>1946</v>
      </c>
      <c r="D813" s="1" t="s">
        <v>583</v>
      </c>
    </row>
    <row r="814">
      <c r="A814" s="2" t="s">
        <v>1947</v>
      </c>
      <c r="B814" s="1">
        <v>200.0</v>
      </c>
      <c r="C814" s="1" t="s">
        <v>1948</v>
      </c>
      <c r="D814" s="1" t="s">
        <v>583</v>
      </c>
    </row>
    <row r="815">
      <c r="A815" s="2" t="s">
        <v>1949</v>
      </c>
      <c r="B815" s="1">
        <v>200.0</v>
      </c>
      <c r="C815" s="1" t="s">
        <v>1950</v>
      </c>
      <c r="D815" s="1" t="s">
        <v>583</v>
      </c>
    </row>
    <row r="816">
      <c r="A816" s="2" t="s">
        <v>1951</v>
      </c>
      <c r="B816" s="1">
        <v>200.0</v>
      </c>
      <c r="C816" s="1" t="s">
        <v>1952</v>
      </c>
      <c r="D816" s="1" t="s">
        <v>583</v>
      </c>
      <c r="F816" s="1">
        <v>88.0</v>
      </c>
      <c r="G816" s="1">
        <v>99.0</v>
      </c>
      <c r="H816" s="1">
        <v>59.0</v>
      </c>
      <c r="I816" s="1">
        <v>0.67</v>
      </c>
      <c r="J816" s="1">
        <v>2.0</v>
      </c>
      <c r="K816" s="1">
        <v>386.0</v>
      </c>
      <c r="L816" s="1">
        <v>0.0</v>
      </c>
      <c r="M816" s="1">
        <v>86.0</v>
      </c>
    </row>
    <row r="817">
      <c r="A817" s="2" t="s">
        <v>1953</v>
      </c>
      <c r="B817" s="1">
        <v>200.0</v>
      </c>
      <c r="C817" s="1" t="s">
        <v>1954</v>
      </c>
      <c r="D817" s="1" t="s">
        <v>583</v>
      </c>
    </row>
    <row r="818">
      <c r="A818" s="2" t="s">
        <v>1955</v>
      </c>
      <c r="B818" s="1">
        <v>200.0</v>
      </c>
      <c r="C818" s="1" t="s">
        <v>1956</v>
      </c>
      <c r="D818" s="1" t="s">
        <v>583</v>
      </c>
      <c r="F818" s="1">
        <v>1.0</v>
      </c>
      <c r="G818" s="1">
        <v>1.0</v>
      </c>
      <c r="H818" s="1">
        <v>1.0</v>
      </c>
      <c r="I818" s="1">
        <v>1.0</v>
      </c>
      <c r="J818" s="1">
        <v>0.0</v>
      </c>
      <c r="K818" s="1">
        <v>4.0</v>
      </c>
      <c r="L818" s="1">
        <v>0.0</v>
      </c>
      <c r="M818" s="1">
        <v>1.0</v>
      </c>
    </row>
    <row r="819">
      <c r="A819" s="2" t="s">
        <v>1957</v>
      </c>
      <c r="B819" s="1">
        <v>200.0</v>
      </c>
      <c r="C819" s="1" t="s">
        <v>1958</v>
      </c>
      <c r="D819" s="1" t="s">
        <v>583</v>
      </c>
    </row>
    <row r="820">
      <c r="A820" s="2" t="s">
        <v>1959</v>
      </c>
      <c r="B820" s="1">
        <v>200.0</v>
      </c>
      <c r="C820" s="1" t="s">
        <v>1960</v>
      </c>
      <c r="D820" s="1" t="s">
        <v>583</v>
      </c>
    </row>
    <row r="821">
      <c r="A821" s="2" t="s">
        <v>1961</v>
      </c>
      <c r="B821" s="1">
        <v>200.0</v>
      </c>
      <c r="C821" s="1" t="s">
        <v>1962</v>
      </c>
      <c r="D821" s="1" t="s">
        <v>583</v>
      </c>
    </row>
    <row r="822">
      <c r="A822" s="2" t="s">
        <v>1963</v>
      </c>
      <c r="B822" s="1">
        <v>200.0</v>
      </c>
      <c r="C822" s="1" t="s">
        <v>1964</v>
      </c>
      <c r="D822" s="1" t="s">
        <v>583</v>
      </c>
      <c r="F822" s="1">
        <v>3.0</v>
      </c>
      <c r="G822" s="1">
        <v>3.0</v>
      </c>
      <c r="H822" s="1">
        <v>3.0</v>
      </c>
      <c r="I822" s="1">
        <v>1.0</v>
      </c>
      <c r="J822" s="1">
        <v>0.0</v>
      </c>
      <c r="K822" s="1">
        <v>12.0</v>
      </c>
      <c r="L822" s="1">
        <v>0.0</v>
      </c>
      <c r="M822" s="1">
        <v>3.0</v>
      </c>
    </row>
    <row r="823">
      <c r="A823" s="2" t="s">
        <v>1965</v>
      </c>
      <c r="B823" s="1">
        <v>200.0</v>
      </c>
      <c r="C823" s="1" t="s">
        <v>1966</v>
      </c>
      <c r="D823" s="1" t="s">
        <v>583</v>
      </c>
      <c r="F823" s="1">
        <v>1.0</v>
      </c>
      <c r="G823" s="1">
        <v>1.0</v>
      </c>
      <c r="H823" s="1">
        <v>0.0</v>
      </c>
      <c r="I823" s="1">
        <v>0.0</v>
      </c>
      <c r="J823" s="1">
        <v>0.0</v>
      </c>
      <c r="K823" s="1">
        <v>3.0</v>
      </c>
      <c r="L823" s="1">
        <v>0.0</v>
      </c>
      <c r="M823" s="1">
        <v>1.0</v>
      </c>
    </row>
    <row r="824">
      <c r="A824" s="2" t="s">
        <v>1967</v>
      </c>
      <c r="B824" s="1">
        <v>200.0</v>
      </c>
      <c r="C824" s="1" t="s">
        <v>1968</v>
      </c>
      <c r="D824" s="1" t="s">
        <v>583</v>
      </c>
      <c r="F824" s="1">
        <v>11.0</v>
      </c>
      <c r="G824" s="1">
        <v>76.0</v>
      </c>
      <c r="H824" s="1">
        <v>5.0</v>
      </c>
      <c r="I824" s="1">
        <v>0.45</v>
      </c>
      <c r="J824" s="1">
        <v>0.0</v>
      </c>
      <c r="K824" s="1">
        <v>131.0</v>
      </c>
      <c r="L824" s="1">
        <v>0.0</v>
      </c>
      <c r="M824" s="1">
        <v>10.0</v>
      </c>
    </row>
    <row r="825">
      <c r="A825" s="2" t="s">
        <v>1969</v>
      </c>
      <c r="B825" s="1">
        <v>200.0</v>
      </c>
      <c r="C825" s="1" t="s">
        <v>1970</v>
      </c>
      <c r="D825" s="1" t="s">
        <v>583</v>
      </c>
      <c r="F825" s="1">
        <v>1.0</v>
      </c>
      <c r="G825" s="1">
        <v>1.0</v>
      </c>
      <c r="H825" s="1">
        <v>0.0</v>
      </c>
      <c r="I825" s="1">
        <v>0.0</v>
      </c>
      <c r="J825" s="1">
        <v>0.0</v>
      </c>
      <c r="K825" s="1">
        <v>3.0</v>
      </c>
      <c r="L825" s="1">
        <v>0.0</v>
      </c>
      <c r="M825" s="1">
        <v>1.0</v>
      </c>
    </row>
    <row r="826">
      <c r="A826" s="2" t="s">
        <v>1971</v>
      </c>
      <c r="B826" s="1">
        <v>200.0</v>
      </c>
      <c r="C826" s="1" t="s">
        <v>1972</v>
      </c>
      <c r="D826" s="1" t="s">
        <v>583</v>
      </c>
    </row>
    <row r="827">
      <c r="A827" s="2" t="s">
        <v>1973</v>
      </c>
      <c r="B827" s="1">
        <v>200.0</v>
      </c>
      <c r="C827" s="1" t="s">
        <v>1974</v>
      </c>
      <c r="D827" s="1" t="s">
        <v>583</v>
      </c>
    </row>
    <row r="828">
      <c r="A828" s="2" t="s">
        <v>1975</v>
      </c>
      <c r="B828" s="1">
        <v>200.0</v>
      </c>
      <c r="C828" s="1" t="s">
        <v>1976</v>
      </c>
      <c r="D828" s="1" t="s">
        <v>583</v>
      </c>
    </row>
    <row r="829">
      <c r="A829" s="2" t="s">
        <v>1977</v>
      </c>
      <c r="B829" s="1">
        <v>200.0</v>
      </c>
      <c r="C829" s="1" t="s">
        <v>1978</v>
      </c>
      <c r="D829" s="1" t="s">
        <v>583</v>
      </c>
    </row>
    <row r="830">
      <c r="A830" s="2" t="s">
        <v>1979</v>
      </c>
      <c r="B830" s="1">
        <v>200.0</v>
      </c>
      <c r="C830" s="1" t="s">
        <v>1980</v>
      </c>
      <c r="D830" s="1" t="s">
        <v>583</v>
      </c>
      <c r="F830" s="1">
        <v>1.0</v>
      </c>
      <c r="G830" s="1">
        <v>1.0</v>
      </c>
      <c r="H830" s="1">
        <v>1.0</v>
      </c>
      <c r="I830" s="1">
        <v>1.0</v>
      </c>
      <c r="J830" s="1">
        <v>0.0</v>
      </c>
      <c r="K830" s="1">
        <v>4.0</v>
      </c>
      <c r="L830" s="1">
        <v>0.0</v>
      </c>
      <c r="M830" s="1">
        <v>1.0</v>
      </c>
    </row>
    <row r="831">
      <c r="A831" s="2" t="s">
        <v>1981</v>
      </c>
      <c r="B831" s="1">
        <v>200.0</v>
      </c>
      <c r="C831" s="1" t="s">
        <v>1982</v>
      </c>
      <c r="D831" s="1" t="s">
        <v>583</v>
      </c>
    </row>
    <row r="832">
      <c r="A832" s="2" t="s">
        <v>1983</v>
      </c>
      <c r="B832" s="1">
        <v>301.0</v>
      </c>
      <c r="D832" s="1" t="s">
        <v>609</v>
      </c>
      <c r="E832" s="1" t="s">
        <v>610</v>
      </c>
    </row>
    <row r="833">
      <c r="A833" s="2" t="s">
        <v>1984</v>
      </c>
      <c r="B833" s="1">
        <v>200.0</v>
      </c>
      <c r="C833" s="1" t="s">
        <v>1985</v>
      </c>
      <c r="D833" s="1" t="s">
        <v>583</v>
      </c>
    </row>
    <row r="834">
      <c r="A834" s="2" t="s">
        <v>1986</v>
      </c>
      <c r="B834" s="1">
        <v>200.0</v>
      </c>
      <c r="C834" s="1" t="s">
        <v>1987</v>
      </c>
      <c r="D834" s="1" t="s">
        <v>583</v>
      </c>
    </row>
    <row r="835">
      <c r="A835" s="2" t="s">
        <v>1988</v>
      </c>
      <c r="B835" s="1">
        <v>200.0</v>
      </c>
      <c r="C835" s="1" t="s">
        <v>1989</v>
      </c>
      <c r="D835" s="1" t="s">
        <v>583</v>
      </c>
      <c r="F835" s="1">
        <v>6.0</v>
      </c>
      <c r="G835" s="1">
        <v>6.0</v>
      </c>
      <c r="H835" s="1">
        <v>3.0</v>
      </c>
      <c r="I835" s="1">
        <v>0.5</v>
      </c>
      <c r="J835" s="1">
        <v>0.0</v>
      </c>
      <c r="K835" s="1">
        <v>23.0</v>
      </c>
      <c r="L835" s="1">
        <v>0.0</v>
      </c>
      <c r="M835" s="1">
        <v>6.0</v>
      </c>
    </row>
    <row r="836">
      <c r="A836" s="2" t="s">
        <v>1990</v>
      </c>
      <c r="B836" s="1">
        <v>200.0</v>
      </c>
      <c r="C836" s="1" t="s">
        <v>1802</v>
      </c>
      <c r="D836" s="1" t="s">
        <v>583</v>
      </c>
    </row>
    <row r="837">
      <c r="A837" s="2" t="s">
        <v>1991</v>
      </c>
      <c r="B837" s="1">
        <v>200.0</v>
      </c>
      <c r="C837" s="1" t="s">
        <v>1992</v>
      </c>
      <c r="D837" s="1" t="s">
        <v>583</v>
      </c>
    </row>
    <row r="838">
      <c r="A838" s="2" t="s">
        <v>1993</v>
      </c>
      <c r="B838" s="1">
        <v>301.0</v>
      </c>
      <c r="D838" s="1" t="s">
        <v>609</v>
      </c>
      <c r="E838" s="1" t="s">
        <v>610</v>
      </c>
    </row>
    <row r="839">
      <c r="A839" s="2" t="s">
        <v>1994</v>
      </c>
      <c r="B839" s="1">
        <v>200.0</v>
      </c>
      <c r="C839" s="1" t="s">
        <v>1995</v>
      </c>
      <c r="D839" s="1" t="s">
        <v>583</v>
      </c>
    </row>
    <row r="840">
      <c r="A840" s="2" t="s">
        <v>1996</v>
      </c>
      <c r="B840" s="1">
        <v>200.0</v>
      </c>
      <c r="C840" s="1" t="s">
        <v>1997</v>
      </c>
      <c r="D840" s="1" t="s">
        <v>583</v>
      </c>
    </row>
    <row r="841">
      <c r="A841" s="2" t="s">
        <v>1998</v>
      </c>
      <c r="B841" s="1">
        <v>200.0</v>
      </c>
      <c r="C841" s="1" t="s">
        <v>1999</v>
      </c>
      <c r="D841" s="1" t="s">
        <v>583</v>
      </c>
    </row>
    <row r="842">
      <c r="A842" s="2" t="s">
        <v>2000</v>
      </c>
      <c r="B842" s="1">
        <v>200.0</v>
      </c>
      <c r="C842" s="1" t="s">
        <v>2001</v>
      </c>
      <c r="D842" s="1" t="s">
        <v>583</v>
      </c>
    </row>
    <row r="843">
      <c r="A843" s="2" t="s">
        <v>2002</v>
      </c>
      <c r="B843" s="1">
        <v>200.0</v>
      </c>
      <c r="C843" s="1" t="s">
        <v>2003</v>
      </c>
      <c r="D843" s="1" t="s">
        <v>583</v>
      </c>
    </row>
    <row r="844">
      <c r="A844" s="2" t="s">
        <v>2004</v>
      </c>
      <c r="B844" s="1">
        <v>200.0</v>
      </c>
      <c r="C844" s="1" t="s">
        <v>2005</v>
      </c>
      <c r="D844" s="1" t="s">
        <v>583</v>
      </c>
    </row>
    <row r="845">
      <c r="A845" s="2" t="s">
        <v>2006</v>
      </c>
      <c r="B845" s="1">
        <v>200.0</v>
      </c>
      <c r="C845" s="1" t="s">
        <v>2007</v>
      </c>
      <c r="D845" s="1" t="s">
        <v>583</v>
      </c>
    </row>
    <row r="846">
      <c r="A846" s="2" t="s">
        <v>2008</v>
      </c>
      <c r="B846" s="1">
        <v>200.0</v>
      </c>
      <c r="C846" s="1" t="s">
        <v>2009</v>
      </c>
      <c r="D846" s="1" t="s">
        <v>583</v>
      </c>
      <c r="F846" s="1">
        <v>3.0</v>
      </c>
      <c r="G846" s="1">
        <v>3.0</v>
      </c>
      <c r="H846" s="1">
        <v>3.0</v>
      </c>
      <c r="I846" s="1">
        <v>1.0</v>
      </c>
      <c r="J846" s="1">
        <v>0.0</v>
      </c>
      <c r="K846" s="1">
        <v>12.0</v>
      </c>
      <c r="L846" s="1">
        <v>0.0</v>
      </c>
      <c r="M846" s="1">
        <v>3.0</v>
      </c>
    </row>
    <row r="847">
      <c r="A847" s="2" t="s">
        <v>2010</v>
      </c>
      <c r="B847" s="1">
        <v>200.0</v>
      </c>
      <c r="C847" s="1" t="s">
        <v>2011</v>
      </c>
      <c r="D847" s="1" t="s">
        <v>583</v>
      </c>
    </row>
    <row r="848">
      <c r="A848" s="2" t="s">
        <v>2012</v>
      </c>
      <c r="B848" s="1">
        <v>200.0</v>
      </c>
      <c r="C848" s="1" t="s">
        <v>2013</v>
      </c>
      <c r="D848" s="1" t="s">
        <v>583</v>
      </c>
    </row>
    <row r="849">
      <c r="A849" s="2" t="s">
        <v>2014</v>
      </c>
      <c r="B849" s="1">
        <v>200.0</v>
      </c>
      <c r="C849" s="1" t="s">
        <v>2015</v>
      </c>
      <c r="D849" s="1" t="s">
        <v>583</v>
      </c>
    </row>
    <row r="850">
      <c r="A850" s="2" t="s">
        <v>2016</v>
      </c>
      <c r="B850" s="1">
        <v>200.0</v>
      </c>
      <c r="C850" s="1" t="s">
        <v>2017</v>
      </c>
      <c r="D850" s="1" t="s">
        <v>583</v>
      </c>
      <c r="F850" s="1">
        <v>1.0</v>
      </c>
      <c r="G850" s="1">
        <v>1.0</v>
      </c>
      <c r="H850" s="1">
        <v>1.0</v>
      </c>
      <c r="I850" s="1">
        <v>1.0</v>
      </c>
      <c r="J850" s="1">
        <v>0.0</v>
      </c>
      <c r="K850" s="1">
        <v>4.0</v>
      </c>
      <c r="L850" s="1">
        <v>0.0</v>
      </c>
      <c r="M850" s="1">
        <v>1.0</v>
      </c>
    </row>
    <row r="851">
      <c r="A851" s="2" t="s">
        <v>2018</v>
      </c>
      <c r="B851" s="1">
        <v>200.0</v>
      </c>
      <c r="C851" s="1" t="s">
        <v>2019</v>
      </c>
      <c r="D851" s="1" t="s">
        <v>583</v>
      </c>
    </row>
    <row r="852">
      <c r="A852" s="2" t="s">
        <v>2020</v>
      </c>
      <c r="B852" s="1">
        <v>200.0</v>
      </c>
      <c r="C852" s="1" t="s">
        <v>2021</v>
      </c>
      <c r="D852" s="1" t="s">
        <v>583</v>
      </c>
    </row>
    <row r="853">
      <c r="A853" s="2" t="s">
        <v>2022</v>
      </c>
      <c r="B853" s="1">
        <v>200.0</v>
      </c>
      <c r="C853" s="1" t="s">
        <v>2023</v>
      </c>
      <c r="D853" s="1" t="s">
        <v>583</v>
      </c>
    </row>
    <row r="854">
      <c r="A854" s="2" t="s">
        <v>2024</v>
      </c>
      <c r="B854" s="1">
        <v>200.0</v>
      </c>
      <c r="C854" s="1" t="s">
        <v>2025</v>
      </c>
      <c r="D854" s="1" t="s">
        <v>583</v>
      </c>
    </row>
    <row r="855">
      <c r="A855" s="2" t="s">
        <v>2026</v>
      </c>
      <c r="B855" s="1">
        <v>200.0</v>
      </c>
      <c r="C855" s="1" t="s">
        <v>2027</v>
      </c>
      <c r="D855" s="1" t="s">
        <v>583</v>
      </c>
    </row>
    <row r="856">
      <c r="A856" s="2" t="s">
        <v>2028</v>
      </c>
      <c r="B856" s="1">
        <v>301.0</v>
      </c>
      <c r="D856" s="1" t="s">
        <v>609</v>
      </c>
      <c r="E856" s="1" t="s">
        <v>610</v>
      </c>
    </row>
    <row r="857">
      <c r="A857" s="2" t="s">
        <v>2029</v>
      </c>
      <c r="B857" s="1">
        <v>301.0</v>
      </c>
      <c r="D857" s="1" t="s">
        <v>609</v>
      </c>
      <c r="E857" s="1" t="s">
        <v>610</v>
      </c>
    </row>
    <row r="858">
      <c r="A858" s="2" t="s">
        <v>2030</v>
      </c>
      <c r="B858" s="1">
        <v>200.0</v>
      </c>
      <c r="C858" s="1" t="s">
        <v>2031</v>
      </c>
      <c r="D858" s="1" t="s">
        <v>583</v>
      </c>
      <c r="F858" s="1">
        <v>2.0</v>
      </c>
      <c r="G858" s="1">
        <v>2.0</v>
      </c>
      <c r="H858" s="1">
        <v>1.0</v>
      </c>
      <c r="I858" s="1">
        <v>0.5</v>
      </c>
      <c r="J858" s="1">
        <v>0.0</v>
      </c>
      <c r="K858" s="1">
        <v>8.0</v>
      </c>
      <c r="L858" s="1">
        <v>0.0</v>
      </c>
      <c r="M858" s="1">
        <v>2.0</v>
      </c>
    </row>
    <row r="859">
      <c r="A859" s="2" t="s">
        <v>2032</v>
      </c>
      <c r="B859" s="1">
        <v>200.0</v>
      </c>
      <c r="C859" s="1" t="s">
        <v>2033</v>
      </c>
      <c r="D859" s="1" t="s">
        <v>583</v>
      </c>
      <c r="F859" s="1">
        <v>5.0</v>
      </c>
      <c r="G859" s="1">
        <v>5.0</v>
      </c>
      <c r="H859" s="1">
        <v>5.0</v>
      </c>
      <c r="I859" s="1">
        <v>1.0</v>
      </c>
      <c r="J859" s="1">
        <v>0.0</v>
      </c>
      <c r="K859" s="1">
        <v>21.0</v>
      </c>
      <c r="L859" s="1">
        <v>0.0</v>
      </c>
      <c r="M859" s="1">
        <v>5.0</v>
      </c>
    </row>
    <row r="860">
      <c r="A860" s="2" t="s">
        <v>2034</v>
      </c>
      <c r="B860" s="1">
        <v>200.0</v>
      </c>
      <c r="C860" s="1" t="s">
        <v>2035</v>
      </c>
      <c r="D860" s="1" t="s">
        <v>583</v>
      </c>
    </row>
    <row r="861">
      <c r="A861" s="2" t="s">
        <v>2036</v>
      </c>
      <c r="B861" s="1">
        <v>200.0</v>
      </c>
      <c r="C861" s="1" t="s">
        <v>2037</v>
      </c>
      <c r="D861" s="1" t="s">
        <v>583</v>
      </c>
      <c r="F861" s="1">
        <v>2.0</v>
      </c>
      <c r="G861" s="1">
        <v>2.0</v>
      </c>
      <c r="H861" s="1">
        <v>1.0</v>
      </c>
      <c r="I861" s="1">
        <v>0.5</v>
      </c>
      <c r="J861" s="1">
        <v>0.0</v>
      </c>
      <c r="K861" s="1">
        <v>9.0</v>
      </c>
      <c r="L861" s="1">
        <v>0.0</v>
      </c>
      <c r="M861" s="1">
        <v>2.0</v>
      </c>
    </row>
    <row r="862">
      <c r="A862" s="2" t="s">
        <v>2038</v>
      </c>
      <c r="B862" s="1">
        <v>200.0</v>
      </c>
      <c r="C862" s="1" t="s">
        <v>2039</v>
      </c>
      <c r="D862" s="1" t="s">
        <v>583</v>
      </c>
    </row>
    <row r="863">
      <c r="A863" s="2" t="s">
        <v>2040</v>
      </c>
      <c r="B863" s="1">
        <v>200.0</v>
      </c>
      <c r="C863" s="1" t="s">
        <v>2041</v>
      </c>
      <c r="D863" s="1" t="s">
        <v>583</v>
      </c>
    </row>
    <row r="864">
      <c r="A864" s="2" t="s">
        <v>2042</v>
      </c>
      <c r="B864" s="1">
        <v>200.0</v>
      </c>
      <c r="C864" s="1" t="s">
        <v>2043</v>
      </c>
      <c r="D864" s="1" t="s">
        <v>583</v>
      </c>
    </row>
    <row r="865">
      <c r="A865" s="2" t="s">
        <v>2044</v>
      </c>
      <c r="B865" s="1">
        <v>200.0</v>
      </c>
      <c r="C865" s="1" t="s">
        <v>2045</v>
      </c>
      <c r="D865" s="1" t="s">
        <v>583</v>
      </c>
    </row>
    <row r="866">
      <c r="A866" s="2" t="s">
        <v>2046</v>
      </c>
      <c r="B866" s="1">
        <v>200.0</v>
      </c>
      <c r="C866" s="1" t="s">
        <v>2047</v>
      </c>
      <c r="D866" s="1" t="s">
        <v>583</v>
      </c>
    </row>
    <row r="867">
      <c r="A867" s="2" t="s">
        <v>2048</v>
      </c>
      <c r="B867" s="1">
        <v>200.0</v>
      </c>
      <c r="C867" s="1" t="s">
        <v>2049</v>
      </c>
      <c r="D867" s="1" t="s">
        <v>583</v>
      </c>
    </row>
    <row r="868">
      <c r="A868" s="2" t="s">
        <v>2050</v>
      </c>
      <c r="B868" s="1">
        <v>200.0</v>
      </c>
      <c r="C868" s="1" t="s">
        <v>2051</v>
      </c>
      <c r="D868" s="1" t="s">
        <v>583</v>
      </c>
      <c r="F868" s="1">
        <v>3.0</v>
      </c>
      <c r="G868" s="1">
        <v>3.0</v>
      </c>
      <c r="H868" s="1">
        <v>0.0</v>
      </c>
      <c r="I868" s="1">
        <v>0.0</v>
      </c>
      <c r="J868" s="1">
        <v>0.0</v>
      </c>
      <c r="K868" s="1">
        <v>24.0</v>
      </c>
      <c r="L868" s="1">
        <v>0.0</v>
      </c>
      <c r="M868" s="1">
        <v>3.0</v>
      </c>
    </row>
    <row r="869">
      <c r="A869" s="2" t="s">
        <v>2052</v>
      </c>
      <c r="B869" s="1">
        <v>200.0</v>
      </c>
      <c r="C869" s="1" t="s">
        <v>2053</v>
      </c>
      <c r="D869" s="1" t="s">
        <v>583</v>
      </c>
    </row>
    <row r="870">
      <c r="A870" s="2" t="s">
        <v>2054</v>
      </c>
      <c r="B870" s="1">
        <v>200.0</v>
      </c>
      <c r="C870" s="1" t="s">
        <v>2055</v>
      </c>
      <c r="D870" s="1" t="s">
        <v>583</v>
      </c>
    </row>
    <row r="871">
      <c r="A871" s="2" t="s">
        <v>2056</v>
      </c>
      <c r="B871" s="1">
        <v>200.0</v>
      </c>
      <c r="C871" s="1" t="s">
        <v>2057</v>
      </c>
      <c r="D871" s="1" t="s">
        <v>583</v>
      </c>
      <c r="F871" s="1">
        <v>2.0</v>
      </c>
      <c r="G871" s="1">
        <v>2.0</v>
      </c>
      <c r="H871" s="1">
        <v>0.0</v>
      </c>
      <c r="I871" s="1">
        <v>0.0</v>
      </c>
      <c r="J871" s="1">
        <v>0.0</v>
      </c>
      <c r="K871" s="1">
        <v>7.0</v>
      </c>
      <c r="L871" s="1">
        <v>0.0</v>
      </c>
      <c r="M871" s="1">
        <v>2.0</v>
      </c>
    </row>
    <row r="872">
      <c r="A872" s="2" t="s">
        <v>2058</v>
      </c>
      <c r="B872" s="1">
        <v>200.0</v>
      </c>
      <c r="C872" s="1" t="s">
        <v>2059</v>
      </c>
      <c r="D872" s="1" t="s">
        <v>583</v>
      </c>
    </row>
    <row r="873">
      <c r="A873" s="2" t="s">
        <v>2060</v>
      </c>
      <c r="B873" s="1">
        <v>200.0</v>
      </c>
      <c r="C873" s="1" t="s">
        <v>2061</v>
      </c>
      <c r="D873" s="1" t="s">
        <v>583</v>
      </c>
      <c r="F873" s="1">
        <v>1.0</v>
      </c>
      <c r="G873" s="1">
        <v>2.0</v>
      </c>
      <c r="H873" s="1">
        <v>1.0</v>
      </c>
      <c r="I873" s="1">
        <v>1.0</v>
      </c>
      <c r="J873" s="1">
        <v>0.0</v>
      </c>
      <c r="K873" s="1">
        <v>4.0</v>
      </c>
      <c r="L873" s="1">
        <v>0.0</v>
      </c>
      <c r="M873" s="1">
        <v>1.0</v>
      </c>
    </row>
    <row r="874">
      <c r="A874" s="2" t="s">
        <v>2062</v>
      </c>
      <c r="B874" s="1">
        <v>200.0</v>
      </c>
      <c r="C874" s="1" t="s">
        <v>2063</v>
      </c>
      <c r="D874" s="1" t="s">
        <v>583</v>
      </c>
      <c r="F874" s="1">
        <v>1.0</v>
      </c>
      <c r="G874" s="1">
        <v>1.0</v>
      </c>
      <c r="H874" s="1">
        <v>0.0</v>
      </c>
      <c r="I874" s="1">
        <v>0.0</v>
      </c>
      <c r="J874" s="1">
        <v>0.0</v>
      </c>
      <c r="K874" s="1">
        <v>4.0</v>
      </c>
      <c r="L874" s="1">
        <v>0.0</v>
      </c>
      <c r="M874" s="1">
        <v>1.0</v>
      </c>
    </row>
    <row r="875">
      <c r="A875" s="2" t="s">
        <v>2064</v>
      </c>
      <c r="B875" s="1">
        <v>200.0</v>
      </c>
      <c r="C875" s="1" t="s">
        <v>2065</v>
      </c>
      <c r="D875" s="1" t="s">
        <v>583</v>
      </c>
    </row>
    <row r="876">
      <c r="A876" s="2" t="s">
        <v>2066</v>
      </c>
      <c r="B876" s="1">
        <v>200.0</v>
      </c>
      <c r="C876" s="1" t="s">
        <v>2067</v>
      </c>
      <c r="D876" s="1" t="s">
        <v>583</v>
      </c>
    </row>
    <row r="877">
      <c r="A877" s="2" t="s">
        <v>2068</v>
      </c>
      <c r="B877" s="1">
        <v>200.0</v>
      </c>
      <c r="C877" s="1" t="s">
        <v>2069</v>
      </c>
      <c r="D877" s="1" t="s">
        <v>583</v>
      </c>
    </row>
    <row r="878">
      <c r="A878" s="2" t="s">
        <v>2070</v>
      </c>
      <c r="B878" s="1">
        <v>301.0</v>
      </c>
      <c r="D878" s="1" t="s">
        <v>609</v>
      </c>
      <c r="E878" s="1" t="s">
        <v>610</v>
      </c>
    </row>
    <row r="879">
      <c r="A879" s="2" t="s">
        <v>2071</v>
      </c>
      <c r="B879" s="1">
        <v>200.0</v>
      </c>
      <c r="C879" s="1" t="s">
        <v>2072</v>
      </c>
      <c r="D879" s="1" t="s">
        <v>583</v>
      </c>
    </row>
    <row r="880">
      <c r="A880" s="2" t="s">
        <v>2073</v>
      </c>
      <c r="B880" s="1">
        <v>200.0</v>
      </c>
      <c r="C880" s="1" t="s">
        <v>2074</v>
      </c>
      <c r="D880" s="1" t="s">
        <v>583</v>
      </c>
    </row>
    <row r="881">
      <c r="A881" s="2" t="s">
        <v>2075</v>
      </c>
      <c r="B881" s="1">
        <v>200.0</v>
      </c>
      <c r="C881" s="1" t="s">
        <v>2076</v>
      </c>
      <c r="D881" s="1" t="s">
        <v>583</v>
      </c>
      <c r="F881" s="1">
        <v>10.0</v>
      </c>
      <c r="G881" s="1">
        <v>10.0</v>
      </c>
      <c r="H881" s="1">
        <v>5.0</v>
      </c>
      <c r="I881" s="1">
        <v>0.5</v>
      </c>
      <c r="J881" s="1">
        <v>0.0</v>
      </c>
      <c r="K881" s="1">
        <v>36.0</v>
      </c>
      <c r="L881" s="1">
        <v>0.0</v>
      </c>
      <c r="M881" s="1">
        <v>10.0</v>
      </c>
    </row>
    <row r="882">
      <c r="A882" s="2" t="s">
        <v>2077</v>
      </c>
      <c r="B882" s="1">
        <v>301.0</v>
      </c>
      <c r="D882" s="1" t="s">
        <v>609</v>
      </c>
      <c r="E882" s="1" t="s">
        <v>610</v>
      </c>
    </row>
    <row r="883">
      <c r="A883" s="2" t="s">
        <v>2078</v>
      </c>
      <c r="B883" s="1">
        <v>200.0</v>
      </c>
      <c r="C883" s="1" t="s">
        <v>2079</v>
      </c>
      <c r="D883" s="1" t="s">
        <v>583</v>
      </c>
    </row>
    <row r="884">
      <c r="A884" s="2" t="s">
        <v>2080</v>
      </c>
      <c r="B884" s="1">
        <v>200.0</v>
      </c>
      <c r="C884" s="1" t="s">
        <v>2081</v>
      </c>
      <c r="D884" s="1" t="s">
        <v>583</v>
      </c>
    </row>
    <row r="885">
      <c r="A885" s="2" t="s">
        <v>2082</v>
      </c>
      <c r="B885" s="1">
        <v>200.0</v>
      </c>
      <c r="C885" s="1" t="s">
        <v>2083</v>
      </c>
      <c r="D885" s="1" t="s">
        <v>583</v>
      </c>
    </row>
    <row r="886">
      <c r="A886" s="2" t="s">
        <v>2084</v>
      </c>
      <c r="B886" s="1">
        <v>200.0</v>
      </c>
      <c r="C886" s="1" t="s">
        <v>601</v>
      </c>
      <c r="D886" s="1" t="s">
        <v>609</v>
      </c>
      <c r="E886" s="1" t="s">
        <v>631</v>
      </c>
    </row>
    <row r="887">
      <c r="A887" s="2" t="s">
        <v>2085</v>
      </c>
      <c r="B887" s="1">
        <v>200.0</v>
      </c>
      <c r="C887" s="1" t="s">
        <v>2086</v>
      </c>
      <c r="D887" s="1" t="s">
        <v>583</v>
      </c>
      <c r="F887" s="1">
        <v>8.0</v>
      </c>
      <c r="G887" s="1">
        <v>8.0</v>
      </c>
      <c r="H887" s="1">
        <v>6.0</v>
      </c>
      <c r="I887" s="1">
        <v>0.75</v>
      </c>
      <c r="J887" s="1">
        <v>0.0</v>
      </c>
      <c r="K887" s="1">
        <v>31.0</v>
      </c>
      <c r="L887" s="1">
        <v>0.0</v>
      </c>
      <c r="M887" s="1">
        <v>8.0</v>
      </c>
    </row>
    <row r="888">
      <c r="A888" s="2" t="s">
        <v>2087</v>
      </c>
      <c r="B888" s="1">
        <v>200.0</v>
      </c>
      <c r="C888" s="1" t="s">
        <v>2088</v>
      </c>
      <c r="D888" s="1" t="s">
        <v>583</v>
      </c>
    </row>
    <row r="889">
      <c r="A889" s="2" t="s">
        <v>2089</v>
      </c>
      <c r="B889" s="1">
        <v>200.0</v>
      </c>
      <c r="C889" s="1" t="s">
        <v>2090</v>
      </c>
      <c r="D889" s="1" t="s">
        <v>583</v>
      </c>
    </row>
    <row r="890">
      <c r="A890" s="2" t="s">
        <v>2091</v>
      </c>
      <c r="B890" s="1">
        <v>200.0</v>
      </c>
      <c r="C890" s="1" t="s">
        <v>2092</v>
      </c>
      <c r="D890" s="1" t="s">
        <v>583</v>
      </c>
    </row>
    <row r="891">
      <c r="A891" s="2" t="s">
        <v>2093</v>
      </c>
      <c r="B891" s="1">
        <v>200.0</v>
      </c>
      <c r="C891" s="1" t="s">
        <v>2094</v>
      </c>
      <c r="D891" s="1" t="s">
        <v>583</v>
      </c>
    </row>
    <row r="892">
      <c r="A892" s="2" t="s">
        <v>2095</v>
      </c>
      <c r="B892" s="1">
        <v>200.0</v>
      </c>
      <c r="C892" s="1" t="s">
        <v>2096</v>
      </c>
      <c r="D892" s="1" t="s">
        <v>583</v>
      </c>
      <c r="F892" s="1">
        <v>2.0</v>
      </c>
      <c r="G892" s="1">
        <v>2.0</v>
      </c>
      <c r="H892" s="1">
        <v>1.0</v>
      </c>
      <c r="I892" s="1">
        <v>0.5</v>
      </c>
      <c r="J892" s="1">
        <v>0.0</v>
      </c>
      <c r="K892" s="1">
        <v>7.0</v>
      </c>
      <c r="L892" s="1">
        <v>0.0</v>
      </c>
      <c r="M892" s="1">
        <v>2.0</v>
      </c>
    </row>
    <row r="893">
      <c r="A893" s="2" t="s">
        <v>2097</v>
      </c>
      <c r="B893" s="1">
        <v>200.0</v>
      </c>
      <c r="C893" s="1" t="s">
        <v>2098</v>
      </c>
      <c r="D893" s="1" t="s">
        <v>583</v>
      </c>
    </row>
    <row r="894">
      <c r="A894" s="2" t="s">
        <v>2099</v>
      </c>
      <c r="B894" s="1">
        <v>200.0</v>
      </c>
      <c r="C894" s="1" t="s">
        <v>2100</v>
      </c>
      <c r="D894" s="1" t="s">
        <v>583</v>
      </c>
      <c r="F894" s="1">
        <v>1.0</v>
      </c>
      <c r="G894" s="1">
        <v>1.0</v>
      </c>
      <c r="H894" s="1">
        <v>0.0</v>
      </c>
      <c r="I894" s="1">
        <v>0.0</v>
      </c>
      <c r="J894" s="1">
        <v>0.0</v>
      </c>
      <c r="K894" s="1">
        <v>3.0</v>
      </c>
      <c r="L894" s="1">
        <v>0.0</v>
      </c>
      <c r="M894" s="1">
        <v>0.0</v>
      </c>
    </row>
    <row r="895">
      <c r="A895" s="2" t="s">
        <v>2101</v>
      </c>
      <c r="B895" s="1">
        <v>200.0</v>
      </c>
      <c r="C895" s="1" t="s">
        <v>2102</v>
      </c>
      <c r="D895" s="1" t="s">
        <v>583</v>
      </c>
    </row>
    <row r="896">
      <c r="A896" s="2" t="s">
        <v>2103</v>
      </c>
      <c r="B896" s="1">
        <v>200.0</v>
      </c>
      <c r="C896" s="1" t="s">
        <v>2104</v>
      </c>
      <c r="D896" s="1" t="s">
        <v>583</v>
      </c>
    </row>
    <row r="897">
      <c r="A897" s="2" t="s">
        <v>2105</v>
      </c>
      <c r="B897" s="1">
        <v>200.0</v>
      </c>
      <c r="C897" s="1" t="s">
        <v>2106</v>
      </c>
      <c r="D897" s="1" t="s">
        <v>583</v>
      </c>
    </row>
    <row r="898">
      <c r="A898" s="2" t="s">
        <v>2107</v>
      </c>
      <c r="B898" s="1">
        <v>200.0</v>
      </c>
      <c r="C898" s="1" t="s">
        <v>2108</v>
      </c>
      <c r="D898" s="1" t="s">
        <v>583</v>
      </c>
    </row>
    <row r="899">
      <c r="A899" s="2" t="s">
        <v>2109</v>
      </c>
      <c r="B899" s="1">
        <v>200.0</v>
      </c>
      <c r="C899" s="1" t="s">
        <v>2110</v>
      </c>
      <c r="D899" s="1" t="s">
        <v>583</v>
      </c>
    </row>
    <row r="900">
      <c r="A900" s="2" t="s">
        <v>2111</v>
      </c>
      <c r="B900" s="1">
        <v>301.0</v>
      </c>
      <c r="D900" s="1" t="s">
        <v>609</v>
      </c>
      <c r="E900" s="1" t="s">
        <v>610</v>
      </c>
    </row>
    <row r="901">
      <c r="A901" s="2" t="s">
        <v>2112</v>
      </c>
      <c r="B901" s="1">
        <v>200.0</v>
      </c>
      <c r="C901" s="1" t="s">
        <v>2113</v>
      </c>
      <c r="D901" s="1" t="s">
        <v>583</v>
      </c>
    </row>
    <row r="902">
      <c r="A902" s="2" t="s">
        <v>2114</v>
      </c>
      <c r="B902" s="1">
        <v>200.0</v>
      </c>
      <c r="C902" s="1" t="s">
        <v>2115</v>
      </c>
      <c r="D902" s="1" t="s">
        <v>583</v>
      </c>
    </row>
    <row r="903">
      <c r="A903" s="2" t="s">
        <v>2116</v>
      </c>
      <c r="B903" s="1">
        <v>200.0</v>
      </c>
      <c r="C903" s="1" t="s">
        <v>2117</v>
      </c>
      <c r="D903" s="1" t="s">
        <v>583</v>
      </c>
    </row>
    <row r="904">
      <c r="A904" s="2" t="s">
        <v>2118</v>
      </c>
      <c r="B904" s="1">
        <v>200.0</v>
      </c>
      <c r="C904" s="1" t="s">
        <v>2119</v>
      </c>
      <c r="D904" s="1" t="s">
        <v>583</v>
      </c>
      <c r="F904" s="1">
        <v>4.0</v>
      </c>
      <c r="G904" s="1">
        <v>4.0</v>
      </c>
      <c r="H904" s="1">
        <v>2.0</v>
      </c>
      <c r="I904" s="1">
        <v>0.5</v>
      </c>
      <c r="J904" s="1">
        <v>0.0</v>
      </c>
      <c r="K904" s="1">
        <v>16.0</v>
      </c>
      <c r="L904" s="1">
        <v>0.0</v>
      </c>
      <c r="M904" s="1">
        <v>4.0</v>
      </c>
    </row>
    <row r="905">
      <c r="A905" s="2" t="s">
        <v>2120</v>
      </c>
      <c r="B905" s="1">
        <v>301.0</v>
      </c>
      <c r="D905" s="1" t="s">
        <v>609</v>
      </c>
      <c r="E905" s="1" t="s">
        <v>610</v>
      </c>
    </row>
    <row r="906">
      <c r="A906" s="2" t="s">
        <v>2121</v>
      </c>
      <c r="B906" s="1">
        <v>301.0</v>
      </c>
      <c r="D906" s="1" t="s">
        <v>609</v>
      </c>
      <c r="E906" s="1" t="s">
        <v>610</v>
      </c>
    </row>
    <row r="907">
      <c r="A907" s="2" t="s">
        <v>2122</v>
      </c>
      <c r="B907" s="1">
        <v>301.0</v>
      </c>
      <c r="D907" s="1" t="s">
        <v>609</v>
      </c>
      <c r="E907" s="1" t="s">
        <v>610</v>
      </c>
    </row>
    <row r="908">
      <c r="A908" s="2" t="s">
        <v>2123</v>
      </c>
      <c r="B908" s="1">
        <v>301.0</v>
      </c>
      <c r="D908" s="1" t="s">
        <v>609</v>
      </c>
      <c r="E908" s="1" t="s">
        <v>610</v>
      </c>
    </row>
    <row r="909">
      <c r="A909" s="2" t="s">
        <v>2124</v>
      </c>
      <c r="B909" s="1">
        <v>200.0</v>
      </c>
      <c r="C909" s="1" t="s">
        <v>2125</v>
      </c>
      <c r="D909" s="1" t="s">
        <v>583</v>
      </c>
    </row>
    <row r="910">
      <c r="A910" s="2" t="s">
        <v>2126</v>
      </c>
      <c r="B910" s="1">
        <v>200.0</v>
      </c>
      <c r="C910" s="1" t="s">
        <v>2127</v>
      </c>
      <c r="D910" s="1" t="s">
        <v>583</v>
      </c>
    </row>
    <row r="911">
      <c r="A911" s="2" t="s">
        <v>2128</v>
      </c>
      <c r="B911" s="1">
        <v>200.0</v>
      </c>
      <c r="C911" s="1" t="s">
        <v>2129</v>
      </c>
      <c r="D911" s="1" t="s">
        <v>583</v>
      </c>
    </row>
    <row r="912">
      <c r="A912" s="2" t="s">
        <v>2130</v>
      </c>
      <c r="B912" s="1">
        <v>200.0</v>
      </c>
      <c r="C912" s="1" t="s">
        <v>2131</v>
      </c>
      <c r="D912" s="1" t="s">
        <v>583</v>
      </c>
    </row>
    <row r="913">
      <c r="A913" s="2" t="s">
        <v>2132</v>
      </c>
      <c r="B913" s="1">
        <v>200.0</v>
      </c>
      <c r="C913" s="1" t="s">
        <v>2133</v>
      </c>
      <c r="D913" s="1" t="s">
        <v>583</v>
      </c>
    </row>
    <row r="914">
      <c r="A914" s="2" t="s">
        <v>2134</v>
      </c>
      <c r="B914" s="1">
        <v>200.0</v>
      </c>
      <c r="C914" s="1" t="s">
        <v>2135</v>
      </c>
      <c r="D914" s="1" t="s">
        <v>583</v>
      </c>
      <c r="F914" s="1">
        <v>4.0</v>
      </c>
      <c r="G914" s="1">
        <v>4.0</v>
      </c>
      <c r="H914" s="1">
        <v>1.0</v>
      </c>
      <c r="I914" s="1">
        <v>0.25</v>
      </c>
      <c r="J914" s="1">
        <v>0.0</v>
      </c>
      <c r="K914" s="1">
        <v>13.0</v>
      </c>
      <c r="L914" s="1">
        <v>0.0</v>
      </c>
      <c r="M914" s="1">
        <v>4.0</v>
      </c>
    </row>
    <row r="915">
      <c r="A915" s="2" t="s">
        <v>2136</v>
      </c>
      <c r="B915" s="1">
        <v>200.0</v>
      </c>
      <c r="C915" s="1" t="s">
        <v>846</v>
      </c>
      <c r="D915" s="1" t="s">
        <v>609</v>
      </c>
      <c r="E915" s="1" t="s">
        <v>631</v>
      </c>
    </row>
    <row r="916">
      <c r="A916" s="2" t="s">
        <v>2137</v>
      </c>
      <c r="B916" s="1">
        <v>200.0</v>
      </c>
      <c r="C916" s="1" t="s">
        <v>582</v>
      </c>
      <c r="D916" s="1" t="s">
        <v>583</v>
      </c>
    </row>
    <row r="917">
      <c r="A917" s="2" t="s">
        <v>2138</v>
      </c>
      <c r="B917" s="1">
        <v>200.0</v>
      </c>
      <c r="C917" s="1" t="s">
        <v>2139</v>
      </c>
      <c r="D917" s="1" t="s">
        <v>583</v>
      </c>
    </row>
    <row r="918">
      <c r="A918" s="2" t="s">
        <v>2140</v>
      </c>
      <c r="B918" s="1">
        <v>301.0</v>
      </c>
      <c r="D918" s="1" t="s">
        <v>609</v>
      </c>
      <c r="E918" s="1" t="s">
        <v>610</v>
      </c>
    </row>
    <row r="919">
      <c r="A919" s="2" t="s">
        <v>2141</v>
      </c>
      <c r="B919" s="1">
        <v>200.0</v>
      </c>
      <c r="C919" s="1" t="s">
        <v>846</v>
      </c>
      <c r="D919" s="1" t="s">
        <v>609</v>
      </c>
      <c r="E919" s="1" t="s">
        <v>631</v>
      </c>
    </row>
    <row r="920">
      <c r="A920" s="2" t="s">
        <v>2142</v>
      </c>
      <c r="B920" s="1">
        <v>200.0</v>
      </c>
      <c r="C920" s="1" t="s">
        <v>582</v>
      </c>
      <c r="D920" s="1" t="s">
        <v>583</v>
      </c>
    </row>
    <row r="921">
      <c r="A921" s="2" t="s">
        <v>2143</v>
      </c>
      <c r="B921" s="1">
        <v>200.0</v>
      </c>
      <c r="C921" s="1" t="s">
        <v>2144</v>
      </c>
      <c r="D921" s="1" t="s">
        <v>583</v>
      </c>
    </row>
    <row r="922">
      <c r="A922" s="2" t="s">
        <v>2145</v>
      </c>
      <c r="B922" s="1">
        <v>200.0</v>
      </c>
      <c r="C922" s="1" t="s">
        <v>2146</v>
      </c>
      <c r="D922" s="1" t="s">
        <v>583</v>
      </c>
    </row>
    <row r="923">
      <c r="A923" s="2" t="s">
        <v>2147</v>
      </c>
      <c r="B923" s="1">
        <v>200.0</v>
      </c>
      <c r="C923" s="1" t="s">
        <v>2148</v>
      </c>
      <c r="D923" s="1" t="s">
        <v>583</v>
      </c>
    </row>
    <row r="924">
      <c r="A924" s="2" t="s">
        <v>2149</v>
      </c>
      <c r="B924" s="1">
        <v>200.0</v>
      </c>
      <c r="C924" s="1" t="s">
        <v>2150</v>
      </c>
      <c r="D924" s="1" t="s">
        <v>583</v>
      </c>
    </row>
    <row r="925">
      <c r="A925" s="2" t="s">
        <v>2151</v>
      </c>
      <c r="B925" s="1">
        <v>200.0</v>
      </c>
      <c r="C925" s="1" t="s">
        <v>2152</v>
      </c>
      <c r="D925" s="1" t="s">
        <v>583</v>
      </c>
    </row>
    <row r="926">
      <c r="A926" s="2" t="s">
        <v>2153</v>
      </c>
      <c r="B926" s="1">
        <v>200.0</v>
      </c>
      <c r="C926" s="1" t="s">
        <v>2154</v>
      </c>
      <c r="D926" s="1" t="s">
        <v>583</v>
      </c>
    </row>
    <row r="927">
      <c r="A927" s="2" t="s">
        <v>2155</v>
      </c>
      <c r="B927" s="1">
        <v>200.0</v>
      </c>
      <c r="C927" s="1" t="s">
        <v>2156</v>
      </c>
      <c r="D927" s="1" t="s">
        <v>583</v>
      </c>
    </row>
    <row r="928">
      <c r="A928" s="2" t="s">
        <v>2157</v>
      </c>
      <c r="B928" s="1">
        <v>200.0</v>
      </c>
      <c r="C928" s="1" t="s">
        <v>2158</v>
      </c>
      <c r="D928" s="1" t="s">
        <v>583</v>
      </c>
    </row>
    <row r="929">
      <c r="A929" s="2" t="s">
        <v>2159</v>
      </c>
      <c r="B929" s="1">
        <v>200.0</v>
      </c>
      <c r="C929" s="1" t="s">
        <v>2160</v>
      </c>
      <c r="D929" s="1" t="s">
        <v>583</v>
      </c>
    </row>
    <row r="930">
      <c r="A930" s="2" t="s">
        <v>2161</v>
      </c>
      <c r="B930" s="1">
        <v>200.0</v>
      </c>
      <c r="C930" s="1" t="s">
        <v>2162</v>
      </c>
      <c r="D930" s="1" t="s">
        <v>583</v>
      </c>
    </row>
    <row r="931">
      <c r="A931" s="2" t="s">
        <v>2163</v>
      </c>
      <c r="B931" s="1">
        <v>200.0</v>
      </c>
      <c r="C931" s="1" t="s">
        <v>2164</v>
      </c>
      <c r="D931" s="1" t="s">
        <v>583</v>
      </c>
    </row>
    <row r="932">
      <c r="A932" s="2" t="s">
        <v>2165</v>
      </c>
      <c r="B932" s="1">
        <v>200.0</v>
      </c>
      <c r="C932" s="1" t="s">
        <v>2166</v>
      </c>
      <c r="D932" s="1" t="s">
        <v>583</v>
      </c>
    </row>
    <row r="933">
      <c r="A933" s="2" t="s">
        <v>2167</v>
      </c>
      <c r="B933" s="1">
        <v>200.0</v>
      </c>
      <c r="C933" s="1" t="s">
        <v>2168</v>
      </c>
      <c r="D933" s="1" t="s">
        <v>583</v>
      </c>
    </row>
    <row r="934">
      <c r="A934" s="2" t="s">
        <v>2169</v>
      </c>
      <c r="B934" s="1">
        <v>200.0</v>
      </c>
      <c r="C934" s="1" t="s">
        <v>2170</v>
      </c>
      <c r="D934" s="1" t="s">
        <v>583</v>
      </c>
      <c r="F934" s="1">
        <v>1.0</v>
      </c>
      <c r="G934" s="1">
        <v>1.0</v>
      </c>
      <c r="H934" s="1">
        <v>0.0</v>
      </c>
      <c r="I934" s="1">
        <v>0.0</v>
      </c>
      <c r="J934" s="1">
        <v>0.0</v>
      </c>
      <c r="K934" s="1">
        <v>4.0</v>
      </c>
      <c r="L934" s="1">
        <v>0.0</v>
      </c>
      <c r="M934" s="1">
        <v>1.0</v>
      </c>
    </row>
    <row r="935">
      <c r="A935" s="2" t="s">
        <v>2171</v>
      </c>
      <c r="B935" s="1">
        <v>200.0</v>
      </c>
      <c r="C935" s="1" t="s">
        <v>2172</v>
      </c>
      <c r="D935" s="1" t="s">
        <v>583</v>
      </c>
    </row>
    <row r="936">
      <c r="A936" s="2" t="s">
        <v>2173</v>
      </c>
      <c r="B936" s="1">
        <v>200.0</v>
      </c>
      <c r="C936" s="1" t="s">
        <v>2174</v>
      </c>
      <c r="D936" s="1" t="s">
        <v>583</v>
      </c>
    </row>
    <row r="937">
      <c r="A937" s="2" t="s">
        <v>2175</v>
      </c>
      <c r="B937" s="1">
        <v>200.0</v>
      </c>
      <c r="C937" s="1" t="s">
        <v>2176</v>
      </c>
      <c r="D937" s="1" t="s">
        <v>583</v>
      </c>
    </row>
    <row r="938">
      <c r="A938" s="2" t="s">
        <v>2177</v>
      </c>
      <c r="B938" s="1">
        <v>301.0</v>
      </c>
      <c r="D938" s="1" t="s">
        <v>609</v>
      </c>
      <c r="E938" s="1" t="s">
        <v>610</v>
      </c>
    </row>
    <row r="939">
      <c r="A939" s="2" t="s">
        <v>2178</v>
      </c>
      <c r="B939" s="1">
        <v>200.0</v>
      </c>
      <c r="C939" s="1" t="s">
        <v>2179</v>
      </c>
      <c r="D939" s="1" t="s">
        <v>583</v>
      </c>
    </row>
    <row r="940">
      <c r="A940" s="2" t="s">
        <v>2180</v>
      </c>
      <c r="B940" s="1">
        <v>200.0</v>
      </c>
      <c r="C940" s="1" t="s">
        <v>2181</v>
      </c>
      <c r="D940" s="1" t="s">
        <v>583</v>
      </c>
      <c r="F940" s="1">
        <v>2.0</v>
      </c>
      <c r="G940" s="1">
        <v>2.0</v>
      </c>
      <c r="H940" s="1">
        <v>2.0</v>
      </c>
      <c r="I940" s="1">
        <v>1.0</v>
      </c>
      <c r="J940" s="1">
        <v>0.0</v>
      </c>
      <c r="K940" s="1">
        <v>8.0</v>
      </c>
      <c r="L940" s="1">
        <v>0.0</v>
      </c>
      <c r="M940" s="1">
        <v>2.0</v>
      </c>
    </row>
    <row r="941">
      <c r="A941" s="2" t="s">
        <v>2182</v>
      </c>
      <c r="B941" s="1">
        <v>200.0</v>
      </c>
      <c r="C941" s="1" t="s">
        <v>2183</v>
      </c>
      <c r="D941" s="1" t="s">
        <v>583</v>
      </c>
    </row>
    <row r="942">
      <c r="A942" s="2" t="s">
        <v>2184</v>
      </c>
      <c r="B942" s="1">
        <v>200.0</v>
      </c>
      <c r="C942" s="1" t="s">
        <v>2185</v>
      </c>
      <c r="D942" s="1" t="s">
        <v>583</v>
      </c>
    </row>
    <row r="943">
      <c r="A943" s="2" t="s">
        <v>2186</v>
      </c>
      <c r="B943" s="1">
        <v>200.0</v>
      </c>
      <c r="C943" s="1" t="s">
        <v>2187</v>
      </c>
      <c r="D943" s="1" t="s">
        <v>583</v>
      </c>
    </row>
    <row r="944">
      <c r="A944" s="2" t="s">
        <v>2188</v>
      </c>
      <c r="B944" s="1">
        <v>301.0</v>
      </c>
      <c r="D944" s="1" t="s">
        <v>609</v>
      </c>
      <c r="E944" s="1" t="s">
        <v>610</v>
      </c>
    </row>
    <row r="945">
      <c r="A945" s="2" t="s">
        <v>2189</v>
      </c>
      <c r="B945" s="1">
        <v>200.0</v>
      </c>
      <c r="C945" s="1" t="s">
        <v>2190</v>
      </c>
      <c r="D945" s="1" t="s">
        <v>583</v>
      </c>
      <c r="F945" s="1">
        <v>25.0</v>
      </c>
      <c r="G945" s="1">
        <v>26.0</v>
      </c>
      <c r="H945" s="1">
        <v>14.0</v>
      </c>
      <c r="I945" s="1">
        <v>0.56</v>
      </c>
      <c r="J945" s="1">
        <v>0.0</v>
      </c>
      <c r="K945" s="1">
        <v>92.0</v>
      </c>
      <c r="L945" s="1">
        <v>0.0</v>
      </c>
      <c r="M945" s="1">
        <v>23.0</v>
      </c>
    </row>
    <row r="946">
      <c r="A946" s="2" t="s">
        <v>2191</v>
      </c>
      <c r="B946" s="1">
        <v>200.0</v>
      </c>
      <c r="C946" s="1" t="s">
        <v>2192</v>
      </c>
      <c r="D946" s="1" t="s">
        <v>583</v>
      </c>
      <c r="F946" s="1">
        <v>3.0</v>
      </c>
      <c r="G946" s="1">
        <v>5.0</v>
      </c>
      <c r="H946" s="1">
        <v>2.0</v>
      </c>
      <c r="I946" s="1">
        <v>0.67</v>
      </c>
      <c r="J946" s="1">
        <v>2.0</v>
      </c>
      <c r="K946" s="1">
        <v>19.0</v>
      </c>
      <c r="L946" s="1">
        <v>0.0</v>
      </c>
      <c r="M946" s="1">
        <v>1.0</v>
      </c>
    </row>
    <row r="947">
      <c r="A947" s="2" t="s">
        <v>2193</v>
      </c>
      <c r="B947" s="1">
        <v>301.0</v>
      </c>
      <c r="D947" s="1" t="s">
        <v>609</v>
      </c>
      <c r="E947" s="1" t="s">
        <v>610</v>
      </c>
    </row>
    <row r="948">
      <c r="A948" s="2" t="s">
        <v>2194</v>
      </c>
      <c r="B948" s="1">
        <v>301.0</v>
      </c>
      <c r="D948" s="1" t="s">
        <v>609</v>
      </c>
      <c r="E948" s="1" t="s">
        <v>610</v>
      </c>
      <c r="F948" s="1">
        <v>1.0</v>
      </c>
      <c r="G948" s="1">
        <v>1.0</v>
      </c>
      <c r="H948" s="1">
        <v>0.0</v>
      </c>
      <c r="I948" s="1">
        <v>0.0</v>
      </c>
      <c r="J948" s="1">
        <v>0.0</v>
      </c>
      <c r="K948" s="1">
        <v>3.0</v>
      </c>
      <c r="L948" s="1">
        <v>0.0</v>
      </c>
      <c r="M948" s="1">
        <v>1.0</v>
      </c>
    </row>
    <row r="949">
      <c r="A949" s="2" t="s">
        <v>2195</v>
      </c>
      <c r="B949" s="1">
        <v>200.0</v>
      </c>
      <c r="C949" s="1" t="s">
        <v>2196</v>
      </c>
      <c r="D949" s="1" t="s">
        <v>583</v>
      </c>
    </row>
    <row r="950">
      <c r="A950" s="2" t="s">
        <v>2197</v>
      </c>
      <c r="B950" s="1">
        <v>301.0</v>
      </c>
      <c r="D950" s="1" t="s">
        <v>609</v>
      </c>
      <c r="E950" s="1" t="s">
        <v>610</v>
      </c>
    </row>
    <row r="951">
      <c r="A951" s="2" t="s">
        <v>2198</v>
      </c>
      <c r="B951" s="1">
        <v>301.0</v>
      </c>
      <c r="D951" s="1" t="s">
        <v>609</v>
      </c>
      <c r="E951" s="1" t="s">
        <v>610</v>
      </c>
    </row>
    <row r="952">
      <c r="A952" s="2" t="s">
        <v>2199</v>
      </c>
      <c r="B952" s="1">
        <v>200.0</v>
      </c>
      <c r="C952" s="1" t="s">
        <v>2200</v>
      </c>
      <c r="D952" s="1" t="s">
        <v>583</v>
      </c>
      <c r="F952" s="1">
        <v>3.0</v>
      </c>
      <c r="G952" s="1">
        <v>3.0</v>
      </c>
      <c r="H952" s="1">
        <v>0.0</v>
      </c>
      <c r="I952" s="1">
        <v>0.0</v>
      </c>
      <c r="J952" s="1">
        <v>0.0</v>
      </c>
      <c r="K952" s="1">
        <v>23.0</v>
      </c>
      <c r="L952" s="1">
        <v>0.0</v>
      </c>
      <c r="M952" s="1">
        <v>3.0</v>
      </c>
    </row>
    <row r="953">
      <c r="A953" s="2" t="s">
        <v>2201</v>
      </c>
      <c r="B953" s="1">
        <v>200.0</v>
      </c>
      <c r="C953" s="1" t="s">
        <v>2202</v>
      </c>
      <c r="D953" s="1" t="s">
        <v>583</v>
      </c>
    </row>
    <row r="954">
      <c r="A954" s="2" t="s">
        <v>2203</v>
      </c>
      <c r="B954" s="1">
        <v>200.0</v>
      </c>
      <c r="C954" s="1" t="s">
        <v>2204</v>
      </c>
      <c r="D954" s="1" t="s">
        <v>583</v>
      </c>
    </row>
    <row r="955">
      <c r="A955" s="2" t="s">
        <v>2205</v>
      </c>
      <c r="B955" s="1">
        <v>200.0</v>
      </c>
      <c r="C955" s="1" t="s">
        <v>2206</v>
      </c>
      <c r="D955" s="1" t="s">
        <v>583</v>
      </c>
      <c r="F955" s="1">
        <v>1.0</v>
      </c>
      <c r="G955" s="1">
        <v>1.0</v>
      </c>
      <c r="H955" s="1">
        <v>1.0</v>
      </c>
      <c r="I955" s="1">
        <v>1.0</v>
      </c>
      <c r="J955" s="1">
        <v>0.0</v>
      </c>
      <c r="K955" s="1">
        <v>6.0</v>
      </c>
      <c r="L955" s="1">
        <v>0.0</v>
      </c>
      <c r="M955" s="1">
        <v>1.0</v>
      </c>
    </row>
    <row r="956">
      <c r="A956" s="2" t="s">
        <v>2207</v>
      </c>
      <c r="B956" s="1">
        <v>200.0</v>
      </c>
      <c r="C956" s="1" t="s">
        <v>2208</v>
      </c>
      <c r="D956" s="1" t="s">
        <v>583</v>
      </c>
    </row>
    <row r="957">
      <c r="A957" s="2" t="s">
        <v>2209</v>
      </c>
      <c r="B957" s="1">
        <v>200.0</v>
      </c>
      <c r="C957" s="1" t="s">
        <v>2210</v>
      </c>
      <c r="D957" s="1" t="s">
        <v>583</v>
      </c>
    </row>
    <row r="958">
      <c r="A958" s="2" t="s">
        <v>2211</v>
      </c>
      <c r="B958" s="1">
        <v>200.0</v>
      </c>
      <c r="C958" s="1" t="s">
        <v>2212</v>
      </c>
      <c r="D958" s="1" t="s">
        <v>583</v>
      </c>
    </row>
    <row r="959">
      <c r="A959" s="2" t="s">
        <v>2213</v>
      </c>
      <c r="B959" s="1">
        <v>200.0</v>
      </c>
      <c r="C959" s="1" t="s">
        <v>2214</v>
      </c>
      <c r="D959" s="1" t="s">
        <v>583</v>
      </c>
    </row>
    <row r="960">
      <c r="A960" s="2" t="s">
        <v>2215</v>
      </c>
      <c r="B960" s="1">
        <v>301.0</v>
      </c>
      <c r="D960" s="1" t="s">
        <v>609</v>
      </c>
      <c r="E960" s="1" t="s">
        <v>610</v>
      </c>
    </row>
    <row r="961">
      <c r="A961" s="2" t="s">
        <v>2216</v>
      </c>
      <c r="B961" s="1">
        <v>301.0</v>
      </c>
      <c r="D961" s="1" t="s">
        <v>609</v>
      </c>
      <c r="E961" s="1" t="s">
        <v>610</v>
      </c>
    </row>
    <row r="962">
      <c r="A962" s="2" t="s">
        <v>2217</v>
      </c>
      <c r="B962" s="1">
        <v>200.0</v>
      </c>
      <c r="C962" s="1" t="s">
        <v>2218</v>
      </c>
      <c r="D962" s="1" t="s">
        <v>583</v>
      </c>
      <c r="F962" s="1">
        <v>1.0</v>
      </c>
      <c r="G962" s="1">
        <v>1.0</v>
      </c>
      <c r="H962" s="1">
        <v>1.0</v>
      </c>
      <c r="I962" s="1">
        <v>1.0</v>
      </c>
      <c r="J962" s="1">
        <v>0.0</v>
      </c>
      <c r="K962" s="1">
        <v>6.0</v>
      </c>
      <c r="L962" s="1">
        <v>0.0</v>
      </c>
      <c r="M962" s="1">
        <v>1.0</v>
      </c>
    </row>
    <row r="963">
      <c r="A963" s="2" t="s">
        <v>2219</v>
      </c>
      <c r="B963" s="1">
        <v>200.0</v>
      </c>
      <c r="C963" s="1" t="s">
        <v>2220</v>
      </c>
      <c r="D963" s="1" t="s">
        <v>583</v>
      </c>
    </row>
    <row r="964">
      <c r="A964" s="2" t="s">
        <v>2221</v>
      </c>
      <c r="B964" s="1">
        <v>301.0</v>
      </c>
      <c r="D964" s="1" t="s">
        <v>609</v>
      </c>
      <c r="E964" s="1" t="s">
        <v>610</v>
      </c>
    </row>
    <row r="965">
      <c r="A965" s="2" t="s">
        <v>2222</v>
      </c>
      <c r="B965" s="1">
        <v>301.0</v>
      </c>
      <c r="D965" s="1" t="s">
        <v>609</v>
      </c>
      <c r="E965" s="1" t="s">
        <v>610</v>
      </c>
    </row>
    <row r="966">
      <c r="A966" s="2" t="s">
        <v>2223</v>
      </c>
      <c r="B966" s="1">
        <v>301.0</v>
      </c>
      <c r="D966" s="1" t="s">
        <v>609</v>
      </c>
      <c r="E966" s="1" t="s">
        <v>610</v>
      </c>
    </row>
    <row r="967">
      <c r="A967" s="2" t="s">
        <v>2224</v>
      </c>
      <c r="B967" s="1">
        <v>301.0</v>
      </c>
      <c r="D967" s="1" t="s">
        <v>609</v>
      </c>
      <c r="E967" s="1" t="s">
        <v>610</v>
      </c>
    </row>
    <row r="968">
      <c r="A968" s="2" t="s">
        <v>2225</v>
      </c>
      <c r="B968" s="1">
        <v>200.0</v>
      </c>
      <c r="C968" s="1" t="s">
        <v>2226</v>
      </c>
      <c r="D968" s="1" t="s">
        <v>583</v>
      </c>
    </row>
    <row r="969">
      <c r="A969" s="2" t="s">
        <v>2227</v>
      </c>
      <c r="B969" s="1">
        <v>200.0</v>
      </c>
      <c r="C969" s="1" t="s">
        <v>2228</v>
      </c>
      <c r="D969" s="1" t="s">
        <v>583</v>
      </c>
    </row>
    <row r="970">
      <c r="A970" s="2" t="s">
        <v>2229</v>
      </c>
      <c r="B970" s="1">
        <v>301.0</v>
      </c>
      <c r="D970" s="1" t="s">
        <v>609</v>
      </c>
      <c r="E970" s="1" t="s">
        <v>610</v>
      </c>
    </row>
    <row r="971">
      <c r="A971" s="2" t="s">
        <v>2230</v>
      </c>
      <c r="B971" s="1">
        <v>200.0</v>
      </c>
      <c r="C971" s="1" t="s">
        <v>2231</v>
      </c>
      <c r="D971" s="1" t="s">
        <v>583</v>
      </c>
    </row>
    <row r="972">
      <c r="A972" s="2" t="s">
        <v>2232</v>
      </c>
      <c r="B972" s="1">
        <v>200.0</v>
      </c>
      <c r="C972" s="1" t="s">
        <v>2233</v>
      </c>
      <c r="D972" s="1" t="s">
        <v>583</v>
      </c>
    </row>
    <row r="973">
      <c r="A973" s="2" t="s">
        <v>2234</v>
      </c>
      <c r="B973" s="1">
        <v>200.0</v>
      </c>
      <c r="C973" s="1" t="s">
        <v>1714</v>
      </c>
      <c r="D973" s="1" t="s">
        <v>609</v>
      </c>
      <c r="E973" s="1" t="s">
        <v>631</v>
      </c>
      <c r="F973" s="1">
        <v>1.0</v>
      </c>
      <c r="G973" s="1">
        <v>1.0</v>
      </c>
      <c r="H973" s="1">
        <v>0.0</v>
      </c>
      <c r="I973" s="1">
        <v>0.0</v>
      </c>
      <c r="J973" s="1">
        <v>0.0</v>
      </c>
      <c r="K973" s="1">
        <v>3.0</v>
      </c>
      <c r="L973" s="1">
        <v>0.0</v>
      </c>
      <c r="M973" s="1">
        <v>1.0</v>
      </c>
    </row>
    <row r="974">
      <c r="A974" s="2" t="s">
        <v>2235</v>
      </c>
      <c r="B974" s="1">
        <v>200.0</v>
      </c>
      <c r="C974" s="1" t="s">
        <v>2236</v>
      </c>
      <c r="D974" s="1" t="s">
        <v>583</v>
      </c>
    </row>
    <row r="975">
      <c r="A975" s="2" t="s">
        <v>2237</v>
      </c>
      <c r="B975" s="1">
        <v>200.0</v>
      </c>
      <c r="C975" s="1" t="s">
        <v>2238</v>
      </c>
      <c r="D975" s="1" t="s">
        <v>583</v>
      </c>
    </row>
    <row r="976">
      <c r="A976" s="2" t="s">
        <v>2239</v>
      </c>
      <c r="B976" s="1">
        <v>200.0</v>
      </c>
      <c r="C976" s="1" t="s">
        <v>2240</v>
      </c>
      <c r="D976" s="1" t="s">
        <v>583</v>
      </c>
    </row>
    <row r="977">
      <c r="A977" s="2" t="s">
        <v>2241</v>
      </c>
      <c r="B977" s="1">
        <v>200.0</v>
      </c>
      <c r="C977" s="1" t="s">
        <v>2242</v>
      </c>
      <c r="D977" s="1" t="s">
        <v>583</v>
      </c>
    </row>
    <row r="978">
      <c r="A978" s="2" t="s">
        <v>2243</v>
      </c>
      <c r="B978" s="1">
        <v>200.0</v>
      </c>
      <c r="C978" s="1" t="s">
        <v>2244</v>
      </c>
      <c r="D978" s="1" t="s">
        <v>583</v>
      </c>
    </row>
    <row r="979">
      <c r="A979" s="2" t="s">
        <v>2245</v>
      </c>
      <c r="B979" s="1">
        <v>200.0</v>
      </c>
      <c r="C979" s="1" t="s">
        <v>2246</v>
      </c>
      <c r="D979" s="1" t="s">
        <v>583</v>
      </c>
    </row>
    <row r="980">
      <c r="A980" s="2" t="s">
        <v>2247</v>
      </c>
      <c r="B980" s="1">
        <v>200.0</v>
      </c>
      <c r="C980" s="1" t="s">
        <v>2248</v>
      </c>
      <c r="D980" s="1" t="s">
        <v>583</v>
      </c>
      <c r="F980" s="1">
        <v>1.0</v>
      </c>
      <c r="G980" s="1">
        <v>1.0</v>
      </c>
      <c r="H980" s="1">
        <v>0.0</v>
      </c>
      <c r="I980" s="1">
        <v>0.0</v>
      </c>
      <c r="J980" s="1">
        <v>0.0</v>
      </c>
      <c r="K980" s="1">
        <v>3.0</v>
      </c>
      <c r="L980" s="1">
        <v>0.0</v>
      </c>
      <c r="M980" s="1">
        <v>1.0</v>
      </c>
    </row>
    <row r="981">
      <c r="A981" s="2" t="s">
        <v>2249</v>
      </c>
      <c r="B981" s="1">
        <v>200.0</v>
      </c>
      <c r="C981" s="1" t="s">
        <v>2250</v>
      </c>
      <c r="D981" s="1" t="s">
        <v>583</v>
      </c>
    </row>
    <row r="982">
      <c r="A982" s="2" t="s">
        <v>2251</v>
      </c>
      <c r="B982" s="1">
        <v>200.0</v>
      </c>
      <c r="C982" s="1" t="s">
        <v>2252</v>
      </c>
      <c r="D982" s="1" t="s">
        <v>583</v>
      </c>
    </row>
    <row r="983">
      <c r="A983" s="2" t="s">
        <v>2253</v>
      </c>
      <c r="B983" s="1">
        <v>200.0</v>
      </c>
      <c r="C983" s="1" t="s">
        <v>2254</v>
      </c>
      <c r="D983" s="1" t="s">
        <v>583</v>
      </c>
      <c r="F983" s="1">
        <v>19.0</v>
      </c>
      <c r="G983" s="1">
        <v>19.0</v>
      </c>
      <c r="H983" s="1">
        <v>15.0</v>
      </c>
      <c r="I983" s="1">
        <v>0.79</v>
      </c>
      <c r="J983" s="1">
        <v>0.0</v>
      </c>
      <c r="K983" s="1">
        <v>73.0</v>
      </c>
      <c r="L983" s="1">
        <v>0.0</v>
      </c>
      <c r="M983" s="1">
        <v>19.0</v>
      </c>
    </row>
    <row r="984">
      <c r="A984" s="2" t="s">
        <v>2255</v>
      </c>
      <c r="B984" s="1">
        <v>200.0</v>
      </c>
      <c r="C984" s="1" t="s">
        <v>2256</v>
      </c>
      <c r="D984" s="1" t="s">
        <v>583</v>
      </c>
    </row>
    <row r="985">
      <c r="A985" s="2" t="s">
        <v>2257</v>
      </c>
      <c r="B985" s="1">
        <v>200.0</v>
      </c>
      <c r="C985" s="1" t="s">
        <v>2258</v>
      </c>
      <c r="D985" s="1" t="s">
        <v>583</v>
      </c>
    </row>
    <row r="986">
      <c r="A986" s="2" t="s">
        <v>2259</v>
      </c>
      <c r="B986" s="1">
        <v>200.0</v>
      </c>
      <c r="C986" s="1" t="s">
        <v>2260</v>
      </c>
      <c r="D986" s="1" t="s">
        <v>583</v>
      </c>
    </row>
    <row r="987">
      <c r="A987" s="2" t="s">
        <v>2261</v>
      </c>
      <c r="B987" s="1">
        <v>200.0</v>
      </c>
      <c r="C987" s="1" t="s">
        <v>2262</v>
      </c>
      <c r="D987" s="1" t="s">
        <v>583</v>
      </c>
    </row>
    <row r="988">
      <c r="A988" s="2" t="s">
        <v>2263</v>
      </c>
      <c r="B988" s="1">
        <v>301.0</v>
      </c>
      <c r="D988" s="1" t="s">
        <v>609</v>
      </c>
      <c r="E988" s="1" t="s">
        <v>610</v>
      </c>
      <c r="F988" s="1">
        <v>1.0</v>
      </c>
      <c r="G988" s="1">
        <v>1.0</v>
      </c>
      <c r="H988" s="1">
        <v>0.0</v>
      </c>
      <c r="I988" s="1">
        <v>0.0</v>
      </c>
      <c r="J988" s="1">
        <v>0.0</v>
      </c>
      <c r="K988" s="1">
        <v>3.0</v>
      </c>
      <c r="L988" s="1">
        <v>0.0</v>
      </c>
      <c r="M988" s="1">
        <v>1.0</v>
      </c>
    </row>
    <row r="989">
      <c r="A989" s="2" t="s">
        <v>2264</v>
      </c>
      <c r="B989" s="1">
        <v>301.0</v>
      </c>
      <c r="D989" s="1" t="s">
        <v>609</v>
      </c>
      <c r="E989" s="1" t="s">
        <v>610</v>
      </c>
    </row>
    <row r="990">
      <c r="A990" s="2" t="s">
        <v>2265</v>
      </c>
      <c r="B990" s="1">
        <v>200.0</v>
      </c>
      <c r="C990" s="1" t="s">
        <v>2266</v>
      </c>
      <c r="D990" s="1" t="s">
        <v>583</v>
      </c>
    </row>
    <row r="991">
      <c r="A991" s="2" t="s">
        <v>2267</v>
      </c>
      <c r="B991" s="1">
        <v>200.0</v>
      </c>
      <c r="C991" s="1" t="s">
        <v>2268</v>
      </c>
      <c r="D991" s="1" t="s">
        <v>583</v>
      </c>
    </row>
    <row r="992">
      <c r="A992" s="2" t="s">
        <v>2269</v>
      </c>
      <c r="B992" s="1">
        <v>200.0</v>
      </c>
      <c r="C992" s="1" t="s">
        <v>2270</v>
      </c>
      <c r="D992" s="1" t="s">
        <v>583</v>
      </c>
    </row>
    <row r="993">
      <c r="A993" s="2" t="s">
        <v>2271</v>
      </c>
      <c r="B993" s="1">
        <v>200.0</v>
      </c>
      <c r="C993" s="1" t="s">
        <v>2272</v>
      </c>
      <c r="D993" s="1" t="s">
        <v>583</v>
      </c>
    </row>
    <row r="994">
      <c r="A994" s="2" t="s">
        <v>2273</v>
      </c>
      <c r="B994" s="1">
        <v>200.0</v>
      </c>
      <c r="C994" s="1" t="s">
        <v>2274</v>
      </c>
      <c r="D994" s="1" t="s">
        <v>583</v>
      </c>
      <c r="F994" s="1">
        <v>35.0</v>
      </c>
      <c r="G994" s="1">
        <v>38.0</v>
      </c>
      <c r="H994" s="1">
        <v>30.0</v>
      </c>
      <c r="I994" s="1">
        <v>0.86</v>
      </c>
      <c r="J994" s="1">
        <v>0.0</v>
      </c>
      <c r="K994" s="1">
        <v>186.0</v>
      </c>
      <c r="L994" s="1">
        <v>0.0</v>
      </c>
      <c r="M994" s="1">
        <v>35.0</v>
      </c>
    </row>
    <row r="995">
      <c r="A995" s="2" t="s">
        <v>2275</v>
      </c>
      <c r="B995" s="1">
        <v>200.0</v>
      </c>
      <c r="C995" s="1" t="s">
        <v>2276</v>
      </c>
      <c r="D995" s="1" t="s">
        <v>583</v>
      </c>
    </row>
    <row r="996">
      <c r="A996" s="2" t="s">
        <v>2277</v>
      </c>
      <c r="B996" s="1">
        <v>200.0</v>
      </c>
      <c r="C996" s="1" t="s">
        <v>846</v>
      </c>
      <c r="D996" s="1" t="s">
        <v>609</v>
      </c>
      <c r="E996" s="1" t="s">
        <v>631</v>
      </c>
    </row>
    <row r="997">
      <c r="A997" s="2" t="s">
        <v>2278</v>
      </c>
      <c r="B997" s="1">
        <v>200.0</v>
      </c>
      <c r="C997" s="1" t="s">
        <v>2279</v>
      </c>
      <c r="D997" s="1" t="s">
        <v>583</v>
      </c>
    </row>
    <row r="998">
      <c r="A998" s="2" t="s">
        <v>2280</v>
      </c>
      <c r="B998" s="1">
        <v>200.0</v>
      </c>
      <c r="C998" s="1" t="s">
        <v>582</v>
      </c>
      <c r="D998" s="1" t="s">
        <v>583</v>
      </c>
    </row>
    <row r="999">
      <c r="A999" s="2" t="s">
        <v>2281</v>
      </c>
      <c r="B999" s="1">
        <v>200.0</v>
      </c>
      <c r="C999" s="1" t="s">
        <v>2282</v>
      </c>
      <c r="D999" s="1" t="s">
        <v>583</v>
      </c>
    </row>
    <row r="1000">
      <c r="A1000" s="2" t="s">
        <v>2283</v>
      </c>
      <c r="B1000" s="1">
        <v>200.0</v>
      </c>
      <c r="C1000" s="1" t="s">
        <v>846</v>
      </c>
      <c r="D1000" s="1" t="s">
        <v>609</v>
      </c>
      <c r="E1000" s="1" t="s">
        <v>631</v>
      </c>
    </row>
    <row r="1001">
      <c r="A1001" s="2" t="s">
        <v>2284</v>
      </c>
      <c r="B1001" s="1">
        <v>200.0</v>
      </c>
      <c r="C1001" s="1" t="s">
        <v>2285</v>
      </c>
      <c r="D1001" s="1" t="s">
        <v>583</v>
      </c>
    </row>
    <row r="1002">
      <c r="A1002" s="2" t="s">
        <v>2286</v>
      </c>
      <c r="B1002" s="1">
        <v>200.0</v>
      </c>
      <c r="C1002" s="1" t="s">
        <v>582</v>
      </c>
      <c r="D1002" s="1" t="s">
        <v>583</v>
      </c>
    </row>
    <row r="1003">
      <c r="A1003" s="2" t="s">
        <v>2287</v>
      </c>
      <c r="B1003" s="1">
        <v>200.0</v>
      </c>
      <c r="C1003" s="1" t="s">
        <v>2288</v>
      </c>
      <c r="D1003" s="1" t="s">
        <v>583</v>
      </c>
    </row>
    <row r="1004">
      <c r="A1004" s="2" t="s">
        <v>2289</v>
      </c>
      <c r="B1004" s="1">
        <v>200.0</v>
      </c>
      <c r="C1004" s="1" t="s">
        <v>2290</v>
      </c>
      <c r="D1004" s="1" t="s">
        <v>583</v>
      </c>
    </row>
    <row r="1005">
      <c r="A1005" s="2" t="s">
        <v>2291</v>
      </c>
      <c r="B1005" s="1">
        <v>200.0</v>
      </c>
      <c r="C1005" s="1" t="s">
        <v>2292</v>
      </c>
      <c r="D1005" s="1" t="s">
        <v>583</v>
      </c>
    </row>
    <row r="1006">
      <c r="A1006" s="2" t="s">
        <v>2293</v>
      </c>
      <c r="B1006" s="1">
        <v>200.0</v>
      </c>
      <c r="C1006" s="1" t="s">
        <v>2294</v>
      </c>
      <c r="D1006" s="1" t="s">
        <v>583</v>
      </c>
      <c r="F1006" s="1">
        <v>10.0</v>
      </c>
      <c r="G1006" s="1">
        <v>10.0</v>
      </c>
      <c r="H1006" s="1">
        <v>6.0</v>
      </c>
      <c r="I1006" s="1">
        <v>0.6</v>
      </c>
      <c r="J1006" s="1">
        <v>0.0</v>
      </c>
      <c r="K1006" s="1">
        <v>54.0</v>
      </c>
      <c r="L1006" s="1">
        <v>0.0</v>
      </c>
      <c r="M1006" s="1">
        <v>8.0</v>
      </c>
    </row>
    <row r="1007">
      <c r="A1007" s="2" t="s">
        <v>2295</v>
      </c>
      <c r="B1007" s="1">
        <v>200.0</v>
      </c>
      <c r="C1007" s="1" t="s">
        <v>2296</v>
      </c>
      <c r="D1007" s="1" t="s">
        <v>583</v>
      </c>
    </row>
    <row r="1008">
      <c r="A1008" s="2" t="s">
        <v>2297</v>
      </c>
      <c r="B1008" s="1">
        <v>301.0</v>
      </c>
      <c r="D1008" s="1" t="s">
        <v>609</v>
      </c>
      <c r="E1008" s="1" t="s">
        <v>610</v>
      </c>
    </row>
    <row r="1009">
      <c r="A1009" s="2" t="s">
        <v>2298</v>
      </c>
      <c r="B1009" s="1">
        <v>200.0</v>
      </c>
      <c r="C1009" s="1" t="s">
        <v>2299</v>
      </c>
      <c r="D1009" s="1" t="s">
        <v>583</v>
      </c>
    </row>
    <row r="1010">
      <c r="A1010" s="2" t="s">
        <v>2300</v>
      </c>
      <c r="B1010" s="1">
        <v>200.0</v>
      </c>
      <c r="C1010" s="1" t="s">
        <v>2301</v>
      </c>
      <c r="D1010" s="1" t="s">
        <v>583</v>
      </c>
    </row>
    <row r="1011">
      <c r="A1011" s="2" t="s">
        <v>2302</v>
      </c>
      <c r="B1011" s="1">
        <v>200.0</v>
      </c>
      <c r="C1011" s="1" t="s">
        <v>2303</v>
      </c>
      <c r="D1011" s="1" t="s">
        <v>583</v>
      </c>
      <c r="F1011" s="1">
        <v>14.0</v>
      </c>
      <c r="G1011" s="1">
        <v>14.0</v>
      </c>
      <c r="H1011" s="1">
        <v>9.0</v>
      </c>
      <c r="I1011" s="1">
        <v>0.64</v>
      </c>
      <c r="J1011" s="1">
        <v>0.0</v>
      </c>
      <c r="K1011" s="1">
        <v>55.0</v>
      </c>
      <c r="L1011" s="1">
        <v>0.0</v>
      </c>
      <c r="M1011" s="1">
        <v>14.0</v>
      </c>
    </row>
    <row r="1012">
      <c r="A1012" s="2" t="s">
        <v>2304</v>
      </c>
      <c r="B1012" s="1">
        <v>200.0</v>
      </c>
      <c r="C1012" s="1" t="s">
        <v>2305</v>
      </c>
      <c r="D1012" s="1" t="s">
        <v>583</v>
      </c>
    </row>
    <row r="1013">
      <c r="A1013" s="2" t="s">
        <v>2306</v>
      </c>
      <c r="B1013" s="1">
        <v>200.0</v>
      </c>
      <c r="C1013" s="1" t="s">
        <v>2307</v>
      </c>
      <c r="D1013" s="1" t="s">
        <v>583</v>
      </c>
    </row>
    <row r="1014">
      <c r="A1014" s="2" t="s">
        <v>2308</v>
      </c>
      <c r="B1014" s="1">
        <v>200.0</v>
      </c>
      <c r="C1014" s="1" t="s">
        <v>2309</v>
      </c>
      <c r="D1014" s="1" t="s">
        <v>583</v>
      </c>
    </row>
    <row r="1015">
      <c r="A1015" s="2" t="s">
        <v>2310</v>
      </c>
      <c r="B1015" s="1">
        <v>200.0</v>
      </c>
      <c r="C1015" s="1" t="s">
        <v>2311</v>
      </c>
      <c r="D1015" s="1" t="s">
        <v>583</v>
      </c>
      <c r="F1015" s="1">
        <v>1.0</v>
      </c>
      <c r="G1015" s="1">
        <v>2.0</v>
      </c>
      <c r="H1015" s="1">
        <v>1.0</v>
      </c>
      <c r="I1015" s="1">
        <v>1.0</v>
      </c>
      <c r="J1015" s="1">
        <v>0.0</v>
      </c>
      <c r="K1015" s="1">
        <v>19.0</v>
      </c>
      <c r="L1015" s="1">
        <v>0.0</v>
      </c>
      <c r="M1015" s="1">
        <v>1.0</v>
      </c>
    </row>
    <row r="1016">
      <c r="A1016" s="2" t="s">
        <v>2312</v>
      </c>
      <c r="B1016" s="1">
        <v>200.0</v>
      </c>
      <c r="C1016" s="1" t="s">
        <v>2313</v>
      </c>
      <c r="D1016" s="1" t="s">
        <v>583</v>
      </c>
    </row>
    <row r="1017">
      <c r="A1017" s="2" t="s">
        <v>2314</v>
      </c>
      <c r="B1017" s="1">
        <v>200.0</v>
      </c>
      <c r="C1017" s="1" t="s">
        <v>2315</v>
      </c>
      <c r="D1017" s="1" t="s">
        <v>583</v>
      </c>
    </row>
    <row r="1018">
      <c r="A1018" s="2" t="s">
        <v>2316</v>
      </c>
      <c r="B1018" s="1">
        <v>200.0</v>
      </c>
      <c r="C1018" s="1" t="s">
        <v>2317</v>
      </c>
      <c r="D1018" s="1" t="s">
        <v>583</v>
      </c>
    </row>
    <row r="1019">
      <c r="A1019" s="2" t="s">
        <v>2318</v>
      </c>
      <c r="B1019" s="1">
        <v>200.0</v>
      </c>
      <c r="C1019" s="1" t="s">
        <v>2319</v>
      </c>
      <c r="D1019" s="1" t="s">
        <v>583</v>
      </c>
    </row>
    <row r="1020">
      <c r="A1020" s="2" t="s">
        <v>2320</v>
      </c>
      <c r="B1020" s="1">
        <v>301.0</v>
      </c>
      <c r="D1020" s="1" t="s">
        <v>609</v>
      </c>
      <c r="E1020" s="1" t="s">
        <v>610</v>
      </c>
    </row>
    <row r="1021">
      <c r="A1021" s="2" t="s">
        <v>2321</v>
      </c>
      <c r="B1021" s="1">
        <v>200.0</v>
      </c>
      <c r="C1021" s="1" t="s">
        <v>1716</v>
      </c>
      <c r="D1021" s="1" t="s">
        <v>609</v>
      </c>
      <c r="E1021" s="1" t="s">
        <v>631</v>
      </c>
    </row>
    <row r="1022">
      <c r="A1022" s="2" t="s">
        <v>2322</v>
      </c>
      <c r="B1022" s="1">
        <v>200.0</v>
      </c>
      <c r="C1022" s="1" t="s">
        <v>2323</v>
      </c>
      <c r="D1022" s="1" t="s">
        <v>583</v>
      </c>
    </row>
    <row r="1023">
      <c r="A1023" s="2" t="s">
        <v>2324</v>
      </c>
      <c r="B1023" s="1">
        <v>200.0</v>
      </c>
      <c r="C1023" s="1" t="s">
        <v>2325</v>
      </c>
      <c r="D1023" s="1" t="s">
        <v>583</v>
      </c>
    </row>
    <row r="1024">
      <c r="A1024" s="2" t="s">
        <v>2326</v>
      </c>
      <c r="B1024" s="1">
        <v>301.0</v>
      </c>
      <c r="D1024" s="1" t="s">
        <v>609</v>
      </c>
      <c r="E1024" s="1" t="s">
        <v>610</v>
      </c>
    </row>
    <row r="1025">
      <c r="A1025" s="2" t="s">
        <v>2327</v>
      </c>
      <c r="B1025" s="1">
        <v>200.0</v>
      </c>
      <c r="C1025" s="1" t="s">
        <v>2328</v>
      </c>
      <c r="D1025" s="1" t="s">
        <v>583</v>
      </c>
      <c r="F1025" s="1">
        <v>2.0</v>
      </c>
      <c r="G1025" s="1">
        <v>2.0</v>
      </c>
      <c r="H1025" s="1">
        <v>1.0</v>
      </c>
      <c r="I1025" s="1">
        <v>0.5</v>
      </c>
      <c r="J1025" s="1">
        <v>0.0</v>
      </c>
      <c r="K1025" s="1">
        <v>9.0</v>
      </c>
      <c r="L1025" s="1">
        <v>0.0</v>
      </c>
      <c r="M1025" s="1">
        <v>2.0</v>
      </c>
    </row>
    <row r="1026">
      <c r="A1026" s="2" t="s">
        <v>2329</v>
      </c>
      <c r="B1026" s="1">
        <v>200.0</v>
      </c>
      <c r="C1026" s="1" t="s">
        <v>2330</v>
      </c>
      <c r="D1026" s="1" t="s">
        <v>583</v>
      </c>
    </row>
    <row r="1027">
      <c r="A1027" s="2" t="s">
        <v>2331</v>
      </c>
      <c r="B1027" s="1">
        <v>200.0</v>
      </c>
      <c r="C1027" s="1" t="s">
        <v>2332</v>
      </c>
      <c r="D1027" s="1" t="s">
        <v>583</v>
      </c>
      <c r="F1027" s="1">
        <v>1.0</v>
      </c>
      <c r="G1027" s="1">
        <v>1.0</v>
      </c>
      <c r="H1027" s="1">
        <v>1.0</v>
      </c>
      <c r="I1027" s="1">
        <v>1.0</v>
      </c>
      <c r="J1027" s="1">
        <v>2.0</v>
      </c>
      <c r="K1027" s="1">
        <v>11.0</v>
      </c>
      <c r="L1027" s="1">
        <v>0.0</v>
      </c>
      <c r="M1027" s="1">
        <v>1.0</v>
      </c>
    </row>
    <row r="1028">
      <c r="A1028" s="2" t="s">
        <v>2333</v>
      </c>
      <c r="B1028" s="1">
        <v>200.0</v>
      </c>
      <c r="C1028" s="1" t="s">
        <v>2334</v>
      </c>
      <c r="D1028" s="1" t="s">
        <v>583</v>
      </c>
    </row>
    <row r="1029">
      <c r="A1029" s="2" t="s">
        <v>2335</v>
      </c>
      <c r="B1029" s="1">
        <v>200.0</v>
      </c>
      <c r="C1029" s="1" t="s">
        <v>2336</v>
      </c>
      <c r="D1029" s="1" t="s">
        <v>583</v>
      </c>
    </row>
    <row r="1030">
      <c r="A1030" s="2" t="s">
        <v>2337</v>
      </c>
      <c r="B1030" s="1">
        <v>200.0</v>
      </c>
      <c r="C1030" s="1" t="s">
        <v>777</v>
      </c>
      <c r="D1030" s="1" t="s">
        <v>609</v>
      </c>
      <c r="E1030" s="1" t="s">
        <v>631</v>
      </c>
    </row>
    <row r="1031">
      <c r="A1031" s="2" t="s">
        <v>2338</v>
      </c>
      <c r="B1031" s="1">
        <v>200.0</v>
      </c>
      <c r="C1031" s="1" t="s">
        <v>2339</v>
      </c>
      <c r="D1031" s="1" t="s">
        <v>583</v>
      </c>
      <c r="F1031" s="1">
        <v>3.0</v>
      </c>
      <c r="G1031" s="1">
        <v>4.0</v>
      </c>
      <c r="H1031" s="1">
        <v>2.0</v>
      </c>
      <c r="I1031" s="1">
        <v>0.67</v>
      </c>
      <c r="J1031" s="1">
        <v>0.0</v>
      </c>
      <c r="K1031" s="1">
        <v>15.0</v>
      </c>
      <c r="L1031" s="1">
        <v>0.0</v>
      </c>
      <c r="M1031" s="1">
        <v>3.0</v>
      </c>
    </row>
    <row r="1032">
      <c r="A1032" s="2" t="s">
        <v>2340</v>
      </c>
      <c r="B1032" s="1">
        <v>200.0</v>
      </c>
      <c r="C1032" s="1" t="s">
        <v>2341</v>
      </c>
      <c r="D1032" s="1" t="s">
        <v>583</v>
      </c>
    </row>
    <row r="1033">
      <c r="A1033" s="2" t="s">
        <v>2342</v>
      </c>
      <c r="B1033" s="1">
        <v>200.0</v>
      </c>
      <c r="C1033" s="1" t="s">
        <v>2343</v>
      </c>
      <c r="D1033" s="1" t="s">
        <v>583</v>
      </c>
      <c r="F1033" s="1">
        <v>1.0</v>
      </c>
      <c r="G1033" s="1">
        <v>1.0</v>
      </c>
      <c r="H1033" s="1">
        <v>1.0</v>
      </c>
      <c r="I1033" s="1">
        <v>1.0</v>
      </c>
      <c r="J1033" s="1">
        <v>0.0</v>
      </c>
      <c r="K1033" s="1">
        <v>4.0</v>
      </c>
      <c r="L1033" s="1">
        <v>0.0</v>
      </c>
      <c r="M1033" s="1">
        <v>1.0</v>
      </c>
    </row>
    <row r="1034">
      <c r="A1034" s="2" t="s">
        <v>2344</v>
      </c>
      <c r="B1034" s="1">
        <v>200.0</v>
      </c>
      <c r="C1034" s="1" t="s">
        <v>846</v>
      </c>
      <c r="D1034" s="1" t="s">
        <v>609</v>
      </c>
      <c r="E1034" s="1" t="s">
        <v>631</v>
      </c>
    </row>
    <row r="1035">
      <c r="A1035" s="2" t="s">
        <v>2345</v>
      </c>
      <c r="B1035" s="1">
        <v>200.0</v>
      </c>
      <c r="C1035" s="1" t="s">
        <v>2346</v>
      </c>
      <c r="D1035" s="1" t="s">
        <v>583</v>
      </c>
    </row>
    <row r="1036">
      <c r="A1036" s="2" t="s">
        <v>2347</v>
      </c>
      <c r="B1036" s="1">
        <v>200.0</v>
      </c>
      <c r="C1036" s="1" t="s">
        <v>2348</v>
      </c>
      <c r="D1036" s="1" t="s">
        <v>583</v>
      </c>
    </row>
    <row r="1037">
      <c r="A1037" s="2" t="s">
        <v>2349</v>
      </c>
      <c r="B1037" s="1">
        <v>200.0</v>
      </c>
      <c r="C1037" s="1" t="s">
        <v>582</v>
      </c>
      <c r="D1037" s="1" t="s">
        <v>583</v>
      </c>
    </row>
    <row r="1038">
      <c r="A1038" s="2" t="s">
        <v>2350</v>
      </c>
      <c r="B1038" s="1">
        <v>200.0</v>
      </c>
      <c r="C1038" s="1" t="s">
        <v>2351</v>
      </c>
      <c r="D1038" s="1" t="s">
        <v>583</v>
      </c>
    </row>
    <row r="1039">
      <c r="A1039" s="2" t="s">
        <v>2352</v>
      </c>
      <c r="B1039" s="1">
        <v>200.0</v>
      </c>
      <c r="C1039" s="1" t="s">
        <v>2353</v>
      </c>
      <c r="D1039" s="1" t="s">
        <v>583</v>
      </c>
    </row>
    <row r="1040">
      <c r="A1040" s="2" t="s">
        <v>2354</v>
      </c>
      <c r="B1040" s="1">
        <v>200.0</v>
      </c>
      <c r="C1040" s="1" t="s">
        <v>2355</v>
      </c>
      <c r="D1040" s="1" t="s">
        <v>583</v>
      </c>
    </row>
    <row r="1041">
      <c r="A1041" s="2" t="s">
        <v>2356</v>
      </c>
      <c r="B1041" s="1">
        <v>200.0</v>
      </c>
      <c r="C1041" s="1" t="s">
        <v>2357</v>
      </c>
      <c r="D1041" s="1" t="s">
        <v>583</v>
      </c>
    </row>
    <row r="1042">
      <c r="A1042" s="2" t="s">
        <v>2358</v>
      </c>
      <c r="B1042" s="1">
        <v>200.0</v>
      </c>
      <c r="C1042" s="1" t="s">
        <v>2359</v>
      </c>
      <c r="D1042" s="1" t="s">
        <v>583</v>
      </c>
      <c r="F1042" s="1">
        <v>9.0</v>
      </c>
      <c r="G1042" s="1">
        <v>9.0</v>
      </c>
      <c r="H1042" s="1">
        <v>7.0</v>
      </c>
      <c r="I1042" s="1">
        <v>0.78</v>
      </c>
      <c r="J1042" s="1">
        <v>0.0</v>
      </c>
      <c r="K1042" s="1">
        <v>36.0</v>
      </c>
      <c r="L1042" s="1">
        <v>0.0</v>
      </c>
      <c r="M1042" s="1">
        <v>9.0</v>
      </c>
    </row>
    <row r="1043">
      <c r="A1043" s="2" t="s">
        <v>2360</v>
      </c>
      <c r="B1043" s="1">
        <v>200.0</v>
      </c>
      <c r="C1043" s="1" t="s">
        <v>2361</v>
      </c>
      <c r="D1043" s="1" t="s">
        <v>583</v>
      </c>
    </row>
    <row r="1044">
      <c r="A1044" s="2" t="s">
        <v>2362</v>
      </c>
      <c r="B1044" s="1">
        <v>200.0</v>
      </c>
      <c r="C1044" s="1" t="s">
        <v>2363</v>
      </c>
      <c r="D1044" s="1" t="s">
        <v>583</v>
      </c>
    </row>
    <row r="1045">
      <c r="A1045" s="2" t="s">
        <v>2364</v>
      </c>
      <c r="B1045" s="1">
        <v>200.0</v>
      </c>
      <c r="C1045" s="1" t="s">
        <v>2365</v>
      </c>
      <c r="D1045" s="1" t="s">
        <v>583</v>
      </c>
      <c r="F1045" s="1">
        <v>3.0</v>
      </c>
      <c r="G1045" s="1">
        <v>4.0</v>
      </c>
      <c r="H1045" s="1">
        <v>3.0</v>
      </c>
      <c r="I1045" s="1">
        <v>1.0</v>
      </c>
      <c r="J1045" s="1">
        <v>0.0</v>
      </c>
      <c r="K1045" s="1">
        <v>14.0</v>
      </c>
      <c r="L1045" s="1">
        <v>0.0</v>
      </c>
      <c r="M1045" s="1">
        <v>3.0</v>
      </c>
    </row>
    <row r="1046">
      <c r="A1046" s="2" t="s">
        <v>2366</v>
      </c>
      <c r="B1046" s="1">
        <v>200.0</v>
      </c>
      <c r="C1046" s="1" t="s">
        <v>582</v>
      </c>
      <c r="D1046" s="1" t="s">
        <v>583</v>
      </c>
    </row>
    <row r="1047">
      <c r="A1047" s="2" t="s">
        <v>2367</v>
      </c>
      <c r="B1047" s="1">
        <v>200.0</v>
      </c>
      <c r="C1047" s="1" t="s">
        <v>2368</v>
      </c>
      <c r="D1047" s="1" t="s">
        <v>583</v>
      </c>
    </row>
    <row r="1048">
      <c r="A1048" s="2" t="s">
        <v>2369</v>
      </c>
      <c r="B1048" s="1">
        <v>200.0</v>
      </c>
      <c r="C1048" s="1" t="s">
        <v>2370</v>
      </c>
      <c r="D1048" s="1" t="s">
        <v>583</v>
      </c>
      <c r="F1048" s="1">
        <v>1.0</v>
      </c>
      <c r="G1048" s="1">
        <v>1.0</v>
      </c>
      <c r="H1048" s="1">
        <v>1.0</v>
      </c>
      <c r="I1048" s="1">
        <v>1.0</v>
      </c>
      <c r="J1048" s="1">
        <v>0.0</v>
      </c>
      <c r="K1048" s="1">
        <v>4.0</v>
      </c>
      <c r="L1048" s="1">
        <v>0.0</v>
      </c>
      <c r="M1048" s="1">
        <v>1.0</v>
      </c>
    </row>
    <row r="1049">
      <c r="A1049" s="2" t="s">
        <v>2371</v>
      </c>
      <c r="B1049" s="1">
        <v>200.0</v>
      </c>
      <c r="C1049" s="1" t="s">
        <v>846</v>
      </c>
      <c r="D1049" s="1" t="s">
        <v>609</v>
      </c>
      <c r="E1049" s="1" t="s">
        <v>631</v>
      </c>
    </row>
    <row r="1050">
      <c r="A1050" s="2" t="s">
        <v>2372</v>
      </c>
      <c r="B1050" s="1">
        <v>200.0</v>
      </c>
      <c r="C1050" s="1" t="s">
        <v>2373</v>
      </c>
      <c r="D1050" s="1" t="s">
        <v>583</v>
      </c>
    </row>
    <row r="1051">
      <c r="A1051" s="2" t="s">
        <v>2374</v>
      </c>
      <c r="B1051" s="1">
        <v>200.0</v>
      </c>
      <c r="C1051" s="1" t="s">
        <v>2375</v>
      </c>
      <c r="D1051" s="1" t="s">
        <v>583</v>
      </c>
      <c r="F1051" s="1">
        <v>2.0</v>
      </c>
      <c r="G1051" s="1">
        <v>2.0</v>
      </c>
      <c r="H1051" s="1">
        <v>0.0</v>
      </c>
      <c r="I1051" s="1">
        <v>0.0</v>
      </c>
      <c r="J1051" s="1">
        <v>0.0</v>
      </c>
      <c r="K1051" s="1">
        <v>7.0</v>
      </c>
      <c r="L1051" s="1">
        <v>0.0</v>
      </c>
      <c r="M1051" s="1">
        <v>2.0</v>
      </c>
    </row>
    <row r="1052">
      <c r="A1052" s="2" t="s">
        <v>2376</v>
      </c>
      <c r="B1052" s="1">
        <v>200.0</v>
      </c>
      <c r="C1052" s="1" t="s">
        <v>2377</v>
      </c>
      <c r="D1052" s="1" t="s">
        <v>583</v>
      </c>
      <c r="F1052" s="1">
        <v>2.0</v>
      </c>
      <c r="G1052" s="1">
        <v>2.0</v>
      </c>
      <c r="H1052" s="1">
        <v>0.0</v>
      </c>
      <c r="I1052" s="1">
        <v>0.0</v>
      </c>
      <c r="J1052" s="1">
        <v>0.0</v>
      </c>
      <c r="K1052" s="1">
        <v>9.0</v>
      </c>
      <c r="L1052" s="1">
        <v>0.0</v>
      </c>
      <c r="M1052" s="1">
        <v>2.0</v>
      </c>
    </row>
    <row r="1053">
      <c r="A1053" s="2" t="s">
        <v>2378</v>
      </c>
      <c r="B1053" s="1">
        <v>200.0</v>
      </c>
      <c r="C1053" s="1" t="s">
        <v>2379</v>
      </c>
      <c r="D1053" s="1" t="s">
        <v>583</v>
      </c>
    </row>
    <row r="1054">
      <c r="A1054" s="2" t="s">
        <v>2380</v>
      </c>
      <c r="B1054" s="1">
        <v>200.0</v>
      </c>
      <c r="C1054" s="1" t="s">
        <v>2381</v>
      </c>
      <c r="D1054" s="1" t="s">
        <v>583</v>
      </c>
    </row>
    <row r="1055">
      <c r="A1055" s="2" t="s">
        <v>2382</v>
      </c>
      <c r="B1055" s="1">
        <v>200.0</v>
      </c>
      <c r="C1055" s="1" t="s">
        <v>2383</v>
      </c>
      <c r="D1055" s="1" t="s">
        <v>583</v>
      </c>
    </row>
    <row r="1056">
      <c r="A1056" s="2" t="s">
        <v>2384</v>
      </c>
      <c r="B1056" s="1">
        <v>200.0</v>
      </c>
      <c r="C1056" s="1" t="s">
        <v>2385</v>
      </c>
      <c r="D1056" s="1" t="s">
        <v>583</v>
      </c>
    </row>
    <row r="1057">
      <c r="A1057" s="2" t="s">
        <v>2386</v>
      </c>
      <c r="B1057" s="1">
        <v>200.0</v>
      </c>
      <c r="C1057" s="1" t="s">
        <v>2387</v>
      </c>
      <c r="D1057" s="1" t="s">
        <v>583</v>
      </c>
    </row>
    <row r="1058">
      <c r="A1058" s="2" t="s">
        <v>2388</v>
      </c>
      <c r="B1058" s="1">
        <v>200.0</v>
      </c>
      <c r="C1058" s="1" t="s">
        <v>2389</v>
      </c>
      <c r="D1058" s="1" t="s">
        <v>583</v>
      </c>
    </row>
    <row r="1059">
      <c r="A1059" s="2" t="s">
        <v>2390</v>
      </c>
      <c r="B1059" s="1">
        <v>301.0</v>
      </c>
      <c r="D1059" s="1" t="s">
        <v>609</v>
      </c>
      <c r="E1059" s="1" t="s">
        <v>610</v>
      </c>
    </row>
    <row r="1060">
      <c r="A1060" s="2" t="s">
        <v>2391</v>
      </c>
      <c r="B1060" s="1">
        <v>301.0</v>
      </c>
      <c r="D1060" s="1" t="s">
        <v>609</v>
      </c>
      <c r="E1060" s="1" t="s">
        <v>610</v>
      </c>
    </row>
    <row r="1061">
      <c r="A1061" s="2" t="s">
        <v>2392</v>
      </c>
      <c r="B1061" s="1">
        <v>301.0</v>
      </c>
      <c r="D1061" s="1" t="s">
        <v>609</v>
      </c>
      <c r="E1061" s="1" t="s">
        <v>610</v>
      </c>
    </row>
    <row r="1062">
      <c r="A1062" s="2" t="s">
        <v>2393</v>
      </c>
      <c r="B1062" s="1">
        <v>200.0</v>
      </c>
      <c r="C1062" s="1" t="s">
        <v>2394</v>
      </c>
      <c r="D1062" s="1" t="s">
        <v>583</v>
      </c>
    </row>
    <row r="1063">
      <c r="A1063" s="2" t="s">
        <v>2395</v>
      </c>
      <c r="B1063" s="1">
        <v>200.0</v>
      </c>
      <c r="C1063" s="1" t="s">
        <v>2396</v>
      </c>
      <c r="D1063" s="1" t="s">
        <v>583</v>
      </c>
    </row>
    <row r="1064">
      <c r="A1064" s="2" t="s">
        <v>2397</v>
      </c>
      <c r="B1064" s="1">
        <v>200.0</v>
      </c>
      <c r="C1064" s="1" t="s">
        <v>2398</v>
      </c>
      <c r="D1064" s="1" t="s">
        <v>583</v>
      </c>
    </row>
    <row r="1065">
      <c r="A1065" s="2" t="s">
        <v>2399</v>
      </c>
      <c r="B1065" s="1">
        <v>301.0</v>
      </c>
      <c r="D1065" s="1" t="s">
        <v>609</v>
      </c>
      <c r="E1065" s="1" t="s">
        <v>610</v>
      </c>
    </row>
    <row r="1066">
      <c r="A1066" s="2" t="s">
        <v>2400</v>
      </c>
      <c r="B1066" s="1">
        <v>200.0</v>
      </c>
      <c r="C1066" s="1" t="s">
        <v>2401</v>
      </c>
      <c r="D1066" s="1" t="s">
        <v>583</v>
      </c>
    </row>
    <row r="1067">
      <c r="A1067" s="2" t="s">
        <v>2402</v>
      </c>
      <c r="B1067" s="1">
        <v>200.0</v>
      </c>
      <c r="C1067" s="1" t="s">
        <v>582</v>
      </c>
      <c r="D1067" s="1" t="s">
        <v>583</v>
      </c>
    </row>
    <row r="1068">
      <c r="A1068" s="2" t="s">
        <v>2403</v>
      </c>
      <c r="B1068" s="1">
        <v>200.0</v>
      </c>
      <c r="C1068" s="1" t="s">
        <v>2404</v>
      </c>
      <c r="D1068" s="1" t="s">
        <v>583</v>
      </c>
    </row>
    <row r="1069">
      <c r="A1069" s="2" t="s">
        <v>2405</v>
      </c>
      <c r="B1069" s="1">
        <v>200.0</v>
      </c>
      <c r="C1069" s="1" t="s">
        <v>2406</v>
      </c>
      <c r="D1069" s="1" t="s">
        <v>583</v>
      </c>
    </row>
    <row r="1070">
      <c r="A1070" s="2" t="s">
        <v>2407</v>
      </c>
      <c r="B1070" s="1">
        <v>200.0</v>
      </c>
      <c r="C1070" s="1" t="s">
        <v>846</v>
      </c>
      <c r="D1070" s="1" t="s">
        <v>609</v>
      </c>
      <c r="E1070" s="1" t="s">
        <v>631</v>
      </c>
    </row>
    <row r="1071">
      <c r="A1071" s="2" t="s">
        <v>2408</v>
      </c>
      <c r="B1071" s="1">
        <v>200.0</v>
      </c>
      <c r="C1071" s="1" t="s">
        <v>2409</v>
      </c>
      <c r="D1071" s="1" t="s">
        <v>583</v>
      </c>
    </row>
    <row r="1072">
      <c r="A1072" s="2" t="s">
        <v>2410</v>
      </c>
      <c r="B1072" s="1">
        <v>200.0</v>
      </c>
      <c r="C1072" s="1" t="s">
        <v>2411</v>
      </c>
      <c r="D1072" s="1" t="s">
        <v>583</v>
      </c>
    </row>
    <row r="1073">
      <c r="A1073" s="2" t="s">
        <v>2412</v>
      </c>
      <c r="B1073" s="1">
        <v>200.0</v>
      </c>
      <c r="C1073" s="1" t="s">
        <v>2413</v>
      </c>
      <c r="D1073" s="1" t="s">
        <v>583</v>
      </c>
    </row>
    <row r="1074">
      <c r="A1074" s="2" t="s">
        <v>2414</v>
      </c>
      <c r="B1074" s="1">
        <v>200.0</v>
      </c>
      <c r="C1074" s="1" t="s">
        <v>2415</v>
      </c>
      <c r="D1074" s="1" t="s">
        <v>583</v>
      </c>
    </row>
    <row r="1075">
      <c r="A1075" s="2" t="s">
        <v>2416</v>
      </c>
      <c r="B1075" s="1">
        <v>200.0</v>
      </c>
      <c r="C1075" s="1" t="s">
        <v>2417</v>
      </c>
      <c r="D1075" s="1" t="s">
        <v>583</v>
      </c>
      <c r="F1075" s="1">
        <v>5.0</v>
      </c>
      <c r="G1075" s="1">
        <v>5.0</v>
      </c>
      <c r="H1075" s="1">
        <v>3.0</v>
      </c>
      <c r="I1075" s="1">
        <v>0.6</v>
      </c>
      <c r="J1075" s="1">
        <v>0.0</v>
      </c>
      <c r="K1075" s="1">
        <v>20.0</v>
      </c>
      <c r="L1075" s="1">
        <v>0.0</v>
      </c>
      <c r="M1075" s="1">
        <v>5.0</v>
      </c>
    </row>
    <row r="1076">
      <c r="A1076" s="2" t="s">
        <v>2418</v>
      </c>
      <c r="B1076" s="1">
        <v>200.0</v>
      </c>
      <c r="C1076" s="1" t="s">
        <v>2419</v>
      </c>
      <c r="D1076" s="1" t="s">
        <v>583</v>
      </c>
      <c r="F1076" s="1">
        <v>1.0</v>
      </c>
      <c r="G1076" s="1">
        <v>1.0</v>
      </c>
      <c r="H1076" s="1">
        <v>0.0</v>
      </c>
      <c r="I1076" s="1">
        <v>0.0</v>
      </c>
      <c r="J1076" s="1">
        <v>0.0</v>
      </c>
      <c r="K1076" s="1">
        <v>5.0</v>
      </c>
      <c r="L1076" s="1">
        <v>0.0</v>
      </c>
      <c r="M1076" s="1">
        <v>1.0</v>
      </c>
    </row>
    <row r="1077">
      <c r="A1077" s="2" t="s">
        <v>2420</v>
      </c>
      <c r="B1077" s="1">
        <v>200.0</v>
      </c>
      <c r="C1077" s="1" t="s">
        <v>2421</v>
      </c>
      <c r="D1077" s="1" t="s">
        <v>583</v>
      </c>
    </row>
    <row r="1078">
      <c r="A1078" s="2" t="s">
        <v>2422</v>
      </c>
      <c r="B1078" s="1">
        <v>200.0</v>
      </c>
      <c r="C1078" s="1" t="s">
        <v>2423</v>
      </c>
      <c r="D1078" s="1" t="s">
        <v>583</v>
      </c>
    </row>
    <row r="1079">
      <c r="A1079" s="2" t="s">
        <v>2424</v>
      </c>
      <c r="B1079" s="1">
        <v>200.0</v>
      </c>
      <c r="C1079" s="1" t="s">
        <v>2425</v>
      </c>
      <c r="D1079" s="1" t="s">
        <v>583</v>
      </c>
    </row>
    <row r="1080">
      <c r="A1080" s="2" t="s">
        <v>2426</v>
      </c>
      <c r="B1080" s="1">
        <v>200.0</v>
      </c>
      <c r="C1080" s="1" t="s">
        <v>846</v>
      </c>
      <c r="D1080" s="1" t="s">
        <v>609</v>
      </c>
      <c r="E1080" s="1" t="s">
        <v>631</v>
      </c>
    </row>
    <row r="1081">
      <c r="A1081" s="2" t="s">
        <v>2427</v>
      </c>
      <c r="B1081" s="1">
        <v>200.0</v>
      </c>
      <c r="C1081" s="1" t="s">
        <v>582</v>
      </c>
      <c r="D1081" s="1" t="s">
        <v>583</v>
      </c>
    </row>
    <row r="1082">
      <c r="A1082" s="2" t="s">
        <v>2428</v>
      </c>
      <c r="B1082" s="1">
        <v>200.0</v>
      </c>
      <c r="C1082" s="1" t="s">
        <v>2429</v>
      </c>
      <c r="D1082" s="1" t="s">
        <v>583</v>
      </c>
    </row>
    <row r="1083">
      <c r="A1083" s="2" t="s">
        <v>2430</v>
      </c>
      <c r="B1083" s="1">
        <v>200.0</v>
      </c>
      <c r="C1083" s="1" t="s">
        <v>2431</v>
      </c>
      <c r="D1083" s="1" t="s">
        <v>583</v>
      </c>
    </row>
    <row r="1084">
      <c r="A1084" s="2" t="s">
        <v>2432</v>
      </c>
      <c r="B1084" s="1">
        <v>200.0</v>
      </c>
      <c r="C1084" s="1" t="s">
        <v>846</v>
      </c>
      <c r="D1084" s="1" t="s">
        <v>609</v>
      </c>
      <c r="E1084" s="1" t="s">
        <v>631</v>
      </c>
    </row>
    <row r="1085">
      <c r="A1085" s="2" t="s">
        <v>2433</v>
      </c>
      <c r="B1085" s="1">
        <v>200.0</v>
      </c>
      <c r="C1085" s="1" t="s">
        <v>2434</v>
      </c>
      <c r="D1085" s="1" t="s">
        <v>583</v>
      </c>
    </row>
    <row r="1086">
      <c r="A1086" s="2" t="s">
        <v>2435</v>
      </c>
      <c r="B1086" s="1">
        <v>200.0</v>
      </c>
      <c r="C1086" s="1" t="s">
        <v>2436</v>
      </c>
      <c r="D1086" s="1" t="s">
        <v>583</v>
      </c>
    </row>
    <row r="1087">
      <c r="A1087" s="2" t="s">
        <v>2437</v>
      </c>
      <c r="B1087" s="1">
        <v>200.0</v>
      </c>
      <c r="C1087" s="1" t="s">
        <v>582</v>
      </c>
      <c r="D1087" s="1" t="s">
        <v>583</v>
      </c>
    </row>
    <row r="1088">
      <c r="A1088" s="2" t="s">
        <v>2438</v>
      </c>
      <c r="B1088" s="1">
        <v>200.0</v>
      </c>
      <c r="C1088" s="1" t="s">
        <v>2439</v>
      </c>
      <c r="D1088" s="1" t="s">
        <v>583</v>
      </c>
    </row>
    <row r="1089">
      <c r="A1089" s="2" t="s">
        <v>2440</v>
      </c>
      <c r="B1089" s="1">
        <v>200.0</v>
      </c>
      <c r="C1089" s="1" t="s">
        <v>2441</v>
      </c>
      <c r="D1089" s="1" t="s">
        <v>583</v>
      </c>
      <c r="F1089" s="1">
        <v>4.0</v>
      </c>
      <c r="G1089" s="1">
        <v>10.0</v>
      </c>
      <c r="H1089" s="1">
        <v>3.0</v>
      </c>
      <c r="I1089" s="1">
        <v>0.75</v>
      </c>
      <c r="J1089" s="1">
        <v>0.0</v>
      </c>
      <c r="K1089" s="1">
        <v>29.0</v>
      </c>
      <c r="L1089" s="1">
        <v>0.0</v>
      </c>
      <c r="M1089" s="1">
        <v>4.0</v>
      </c>
    </row>
    <row r="1090">
      <c r="A1090" s="2" t="s">
        <v>2442</v>
      </c>
      <c r="B1090" s="1">
        <v>200.0</v>
      </c>
      <c r="C1090" s="1" t="s">
        <v>846</v>
      </c>
      <c r="D1090" s="1" t="s">
        <v>609</v>
      </c>
      <c r="E1090" s="1" t="s">
        <v>631</v>
      </c>
    </row>
    <row r="1091">
      <c r="A1091" s="2" t="s">
        <v>2443</v>
      </c>
      <c r="B1091" s="1">
        <v>200.0</v>
      </c>
      <c r="C1091" s="1" t="s">
        <v>582</v>
      </c>
      <c r="D1091" s="1" t="s">
        <v>583</v>
      </c>
    </row>
    <row r="1092">
      <c r="A1092" s="2" t="s">
        <v>2444</v>
      </c>
      <c r="B1092" s="1">
        <v>200.0</v>
      </c>
      <c r="C1092" s="1" t="s">
        <v>2445</v>
      </c>
      <c r="D1092" s="1" t="s">
        <v>583</v>
      </c>
    </row>
    <row r="1093">
      <c r="A1093" s="2" t="s">
        <v>2446</v>
      </c>
      <c r="B1093" s="1">
        <v>200.0</v>
      </c>
      <c r="C1093" s="1" t="s">
        <v>846</v>
      </c>
      <c r="D1093" s="1" t="s">
        <v>609</v>
      </c>
      <c r="E1093" s="1" t="s">
        <v>631</v>
      </c>
    </row>
    <row r="1094">
      <c r="A1094" s="2" t="s">
        <v>2447</v>
      </c>
      <c r="B1094" s="1">
        <v>200.0</v>
      </c>
      <c r="C1094" s="1" t="s">
        <v>582</v>
      </c>
      <c r="D1094" s="1" t="s">
        <v>583</v>
      </c>
    </row>
    <row r="1095">
      <c r="A1095" s="2" t="s">
        <v>2448</v>
      </c>
      <c r="B1095" s="1">
        <v>200.0</v>
      </c>
      <c r="C1095" s="1" t="s">
        <v>846</v>
      </c>
      <c r="D1095" s="1" t="s">
        <v>609</v>
      </c>
      <c r="E1095" s="1" t="s">
        <v>631</v>
      </c>
    </row>
    <row r="1096">
      <c r="A1096" s="2" t="s">
        <v>2449</v>
      </c>
      <c r="B1096" s="1">
        <v>200.0</v>
      </c>
      <c r="C1096" s="1" t="s">
        <v>582</v>
      </c>
      <c r="D1096" s="1" t="s">
        <v>583</v>
      </c>
    </row>
    <row r="1097">
      <c r="A1097" s="2" t="s">
        <v>2450</v>
      </c>
      <c r="B1097" s="1">
        <v>200.0</v>
      </c>
      <c r="C1097" s="1" t="s">
        <v>846</v>
      </c>
      <c r="D1097" s="1" t="s">
        <v>609</v>
      </c>
      <c r="E1097" s="1" t="s">
        <v>631</v>
      </c>
    </row>
    <row r="1098">
      <c r="A1098" s="2" t="s">
        <v>2451</v>
      </c>
      <c r="B1098" s="1">
        <v>200.0</v>
      </c>
      <c r="C1098" s="1" t="s">
        <v>582</v>
      </c>
      <c r="D1098" s="1" t="s">
        <v>583</v>
      </c>
    </row>
    <row r="1099">
      <c r="A1099" s="2" t="s">
        <v>2452</v>
      </c>
      <c r="B1099" s="1">
        <v>200.0</v>
      </c>
      <c r="C1099" s="1" t="s">
        <v>846</v>
      </c>
      <c r="D1099" s="1" t="s">
        <v>609</v>
      </c>
      <c r="E1099" s="1" t="s">
        <v>631</v>
      </c>
    </row>
    <row r="1100">
      <c r="A1100" s="2" t="s">
        <v>2453</v>
      </c>
      <c r="B1100" s="1">
        <v>200.0</v>
      </c>
      <c r="C1100" s="1" t="s">
        <v>582</v>
      </c>
      <c r="D1100" s="1" t="s">
        <v>583</v>
      </c>
    </row>
    <row r="1101">
      <c r="A1101" s="2" t="s">
        <v>2454</v>
      </c>
      <c r="B1101" s="1">
        <v>200.0</v>
      </c>
      <c r="C1101" s="1" t="s">
        <v>846</v>
      </c>
      <c r="D1101" s="1" t="s">
        <v>609</v>
      </c>
      <c r="E1101" s="1" t="s">
        <v>631</v>
      </c>
    </row>
    <row r="1102">
      <c r="A1102" s="2" t="s">
        <v>2455</v>
      </c>
      <c r="B1102" s="1">
        <v>200.0</v>
      </c>
      <c r="C1102" s="1" t="s">
        <v>582</v>
      </c>
      <c r="D1102" s="1" t="s">
        <v>583</v>
      </c>
    </row>
    <row r="1103">
      <c r="A1103" s="2" t="s">
        <v>2456</v>
      </c>
      <c r="B1103" s="1">
        <v>200.0</v>
      </c>
      <c r="C1103" s="1" t="s">
        <v>846</v>
      </c>
      <c r="D1103" s="1" t="s">
        <v>609</v>
      </c>
      <c r="E1103" s="1" t="s">
        <v>631</v>
      </c>
    </row>
    <row r="1104">
      <c r="A1104" s="2" t="s">
        <v>2457</v>
      </c>
      <c r="B1104" s="1">
        <v>200.0</v>
      </c>
      <c r="C1104" s="1" t="s">
        <v>582</v>
      </c>
      <c r="D1104" s="1" t="s">
        <v>583</v>
      </c>
    </row>
    <row r="1105">
      <c r="A1105" s="2" t="s">
        <v>2458</v>
      </c>
      <c r="B1105" s="1">
        <v>200.0</v>
      </c>
      <c r="C1105" s="1" t="s">
        <v>846</v>
      </c>
      <c r="D1105" s="1" t="s">
        <v>609</v>
      </c>
      <c r="E1105" s="1" t="s">
        <v>631</v>
      </c>
    </row>
    <row r="1106">
      <c r="A1106" s="2" t="s">
        <v>2459</v>
      </c>
      <c r="B1106" s="1">
        <v>200.0</v>
      </c>
      <c r="C1106" s="1" t="s">
        <v>582</v>
      </c>
      <c r="D1106" s="1" t="s">
        <v>583</v>
      </c>
    </row>
    <row r="1107">
      <c r="A1107" s="2" t="s">
        <v>2460</v>
      </c>
      <c r="B1107" s="1">
        <v>200.0</v>
      </c>
      <c r="C1107" s="1" t="s">
        <v>846</v>
      </c>
      <c r="D1107" s="1" t="s">
        <v>609</v>
      </c>
      <c r="E1107" s="1" t="s">
        <v>631</v>
      </c>
    </row>
    <row r="1108">
      <c r="A1108" s="2" t="s">
        <v>2461</v>
      </c>
      <c r="B1108" s="1">
        <v>200.0</v>
      </c>
      <c r="C1108" s="1" t="s">
        <v>582</v>
      </c>
      <c r="D1108" s="1" t="s">
        <v>583</v>
      </c>
    </row>
    <row r="1109">
      <c r="A1109" s="2" t="s">
        <v>2462</v>
      </c>
      <c r="B1109" s="1">
        <v>200.0</v>
      </c>
      <c r="C1109" s="1" t="s">
        <v>846</v>
      </c>
      <c r="D1109" s="1" t="s">
        <v>609</v>
      </c>
      <c r="E1109" s="1" t="s">
        <v>631</v>
      </c>
    </row>
    <row r="1110">
      <c r="A1110" s="2" t="s">
        <v>2463</v>
      </c>
      <c r="B1110" s="1">
        <v>200.0</v>
      </c>
      <c r="C1110" s="1" t="s">
        <v>582</v>
      </c>
      <c r="D1110" s="1" t="s">
        <v>583</v>
      </c>
    </row>
    <row r="1111">
      <c r="A1111" s="2" t="s">
        <v>2464</v>
      </c>
      <c r="B1111" s="1">
        <v>200.0</v>
      </c>
      <c r="C1111" s="1" t="s">
        <v>846</v>
      </c>
      <c r="D1111" s="1" t="s">
        <v>609</v>
      </c>
      <c r="E1111" s="1" t="s">
        <v>631</v>
      </c>
    </row>
    <row r="1112">
      <c r="A1112" s="2" t="s">
        <v>2465</v>
      </c>
      <c r="B1112" s="1">
        <v>200.0</v>
      </c>
      <c r="C1112" s="1" t="s">
        <v>582</v>
      </c>
      <c r="D1112" s="1" t="s">
        <v>583</v>
      </c>
    </row>
    <row r="1113">
      <c r="A1113" s="2" t="s">
        <v>2466</v>
      </c>
      <c r="B1113" s="1">
        <v>200.0</v>
      </c>
      <c r="C1113" s="1" t="s">
        <v>846</v>
      </c>
      <c r="D1113" s="1" t="s">
        <v>609</v>
      </c>
      <c r="E1113" s="1" t="s">
        <v>631</v>
      </c>
    </row>
    <row r="1114">
      <c r="A1114" s="2" t="s">
        <v>2467</v>
      </c>
      <c r="B1114" s="1">
        <v>200.0</v>
      </c>
      <c r="C1114" s="1" t="s">
        <v>582</v>
      </c>
      <c r="D1114" s="1" t="s">
        <v>583</v>
      </c>
    </row>
    <row r="1115">
      <c r="A1115" s="2" t="s">
        <v>2468</v>
      </c>
      <c r="B1115" s="1">
        <v>200.0</v>
      </c>
      <c r="C1115" s="1" t="s">
        <v>846</v>
      </c>
      <c r="D1115" s="1" t="s">
        <v>609</v>
      </c>
      <c r="E1115" s="1" t="s">
        <v>631</v>
      </c>
    </row>
    <row r="1116">
      <c r="A1116" s="2" t="s">
        <v>2469</v>
      </c>
      <c r="B1116" s="1">
        <v>200.0</v>
      </c>
      <c r="C1116" s="1" t="s">
        <v>582</v>
      </c>
      <c r="D1116" s="1" t="s">
        <v>583</v>
      </c>
    </row>
    <row r="1117">
      <c r="A1117" s="2" t="s">
        <v>2470</v>
      </c>
      <c r="B1117" s="1">
        <v>200.0</v>
      </c>
      <c r="C1117" s="1" t="s">
        <v>846</v>
      </c>
      <c r="D1117" s="1" t="s">
        <v>609</v>
      </c>
      <c r="E1117" s="1" t="s">
        <v>631</v>
      </c>
    </row>
    <row r="1118">
      <c r="A1118" s="2" t="s">
        <v>2471</v>
      </c>
      <c r="B1118" s="1">
        <v>200.0</v>
      </c>
      <c r="C1118" s="1" t="s">
        <v>582</v>
      </c>
      <c r="D1118" s="1" t="s">
        <v>583</v>
      </c>
    </row>
    <row r="1119">
      <c r="A1119" s="2" t="s">
        <v>2472</v>
      </c>
      <c r="B1119" s="1">
        <v>200.0</v>
      </c>
      <c r="C1119" s="1" t="s">
        <v>846</v>
      </c>
      <c r="D1119" s="1" t="s">
        <v>609</v>
      </c>
      <c r="E1119" s="1" t="s">
        <v>631</v>
      </c>
    </row>
    <row r="1120">
      <c r="A1120" s="2" t="s">
        <v>2473</v>
      </c>
      <c r="B1120" s="1">
        <v>200.0</v>
      </c>
      <c r="C1120" s="1" t="s">
        <v>582</v>
      </c>
      <c r="D1120" s="1" t="s">
        <v>583</v>
      </c>
    </row>
    <row r="1121">
      <c r="A1121" s="2" t="s">
        <v>2474</v>
      </c>
      <c r="B1121" s="1">
        <v>200.0</v>
      </c>
      <c r="C1121" s="1" t="s">
        <v>846</v>
      </c>
      <c r="D1121" s="1" t="s">
        <v>609</v>
      </c>
      <c r="E1121" s="1" t="s">
        <v>631</v>
      </c>
    </row>
    <row r="1122">
      <c r="A1122" s="2" t="s">
        <v>2475</v>
      </c>
      <c r="B1122" s="1">
        <v>200.0</v>
      </c>
      <c r="C1122" s="1" t="s">
        <v>582</v>
      </c>
      <c r="D1122" s="1" t="s">
        <v>583</v>
      </c>
    </row>
    <row r="1123">
      <c r="A1123" s="2" t="s">
        <v>2476</v>
      </c>
      <c r="B1123" s="1">
        <v>200.0</v>
      </c>
      <c r="C1123" s="1" t="s">
        <v>846</v>
      </c>
      <c r="D1123" s="1" t="s">
        <v>609</v>
      </c>
      <c r="E1123" s="1" t="s">
        <v>631</v>
      </c>
    </row>
    <row r="1124">
      <c r="A1124" s="2" t="s">
        <v>2477</v>
      </c>
      <c r="B1124" s="1">
        <v>200.0</v>
      </c>
      <c r="C1124" s="1" t="s">
        <v>582</v>
      </c>
      <c r="D1124" s="1" t="s">
        <v>583</v>
      </c>
    </row>
    <row r="1125">
      <c r="A1125" s="2" t="s">
        <v>2478</v>
      </c>
      <c r="B1125" s="1">
        <v>200.0</v>
      </c>
      <c r="C1125" s="1" t="s">
        <v>846</v>
      </c>
      <c r="D1125" s="1" t="s">
        <v>609</v>
      </c>
      <c r="E1125" s="1" t="s">
        <v>631</v>
      </c>
    </row>
    <row r="1126">
      <c r="A1126" s="2" t="s">
        <v>2479</v>
      </c>
      <c r="B1126" s="1">
        <v>200.0</v>
      </c>
      <c r="C1126" s="1" t="s">
        <v>582</v>
      </c>
      <c r="D1126" s="1" t="s">
        <v>583</v>
      </c>
    </row>
    <row r="1127">
      <c r="A1127" s="2" t="s">
        <v>2480</v>
      </c>
      <c r="B1127" s="1">
        <v>200.0</v>
      </c>
      <c r="C1127" s="1" t="s">
        <v>846</v>
      </c>
      <c r="D1127" s="1" t="s">
        <v>609</v>
      </c>
      <c r="E1127" s="1" t="s">
        <v>631</v>
      </c>
    </row>
    <row r="1128">
      <c r="A1128" s="2" t="s">
        <v>2481</v>
      </c>
      <c r="B1128" s="1">
        <v>200.0</v>
      </c>
      <c r="C1128" s="1" t="s">
        <v>582</v>
      </c>
      <c r="D1128" s="1" t="s">
        <v>583</v>
      </c>
    </row>
    <row r="1129">
      <c r="A1129" s="2" t="s">
        <v>2482</v>
      </c>
      <c r="B1129" s="1">
        <v>200.0</v>
      </c>
      <c r="C1129" s="1" t="s">
        <v>846</v>
      </c>
      <c r="D1129" s="1" t="s">
        <v>609</v>
      </c>
      <c r="E1129" s="1" t="s">
        <v>631</v>
      </c>
    </row>
    <row r="1130">
      <c r="A1130" s="2" t="s">
        <v>2483</v>
      </c>
      <c r="B1130" s="1">
        <v>200.0</v>
      </c>
      <c r="C1130" s="1" t="s">
        <v>582</v>
      </c>
      <c r="D1130" s="1" t="s">
        <v>583</v>
      </c>
      <c r="F1130" s="1">
        <v>1.0</v>
      </c>
      <c r="G1130" s="1">
        <v>1.0</v>
      </c>
      <c r="H1130" s="1">
        <v>1.0</v>
      </c>
      <c r="I1130" s="1">
        <v>1.0</v>
      </c>
      <c r="J1130" s="1">
        <v>0.0</v>
      </c>
      <c r="K1130" s="1">
        <v>4.0</v>
      </c>
      <c r="L1130" s="1">
        <v>0.0</v>
      </c>
      <c r="M1130" s="1">
        <v>1.0</v>
      </c>
    </row>
    <row r="1131">
      <c r="A1131" s="2" t="s">
        <v>2484</v>
      </c>
      <c r="B1131" s="1">
        <v>200.0</v>
      </c>
      <c r="C1131" s="1" t="s">
        <v>846</v>
      </c>
      <c r="D1131" s="1" t="s">
        <v>609</v>
      </c>
      <c r="E1131" s="1" t="s">
        <v>631</v>
      </c>
    </row>
    <row r="1132">
      <c r="A1132" s="2" t="s">
        <v>2485</v>
      </c>
      <c r="B1132" s="1">
        <v>200.0</v>
      </c>
      <c r="C1132" s="1" t="s">
        <v>582</v>
      </c>
      <c r="D1132" s="1" t="s">
        <v>583</v>
      </c>
    </row>
    <row r="1133">
      <c r="A1133" s="2" t="s">
        <v>2486</v>
      </c>
      <c r="B1133" s="1">
        <v>200.0</v>
      </c>
      <c r="C1133" s="1" t="s">
        <v>846</v>
      </c>
      <c r="D1133" s="1" t="s">
        <v>609</v>
      </c>
      <c r="E1133" s="1" t="s">
        <v>631</v>
      </c>
    </row>
    <row r="1134">
      <c r="A1134" s="2" t="s">
        <v>2487</v>
      </c>
      <c r="B1134" s="1">
        <v>200.0</v>
      </c>
      <c r="C1134" s="1" t="s">
        <v>582</v>
      </c>
      <c r="D1134" s="1" t="s">
        <v>583</v>
      </c>
    </row>
    <row r="1135">
      <c r="A1135" s="2" t="s">
        <v>2488</v>
      </c>
      <c r="B1135" s="1">
        <v>200.0</v>
      </c>
      <c r="C1135" s="1" t="s">
        <v>846</v>
      </c>
      <c r="D1135" s="1" t="s">
        <v>609</v>
      </c>
      <c r="E1135" s="1" t="s">
        <v>631</v>
      </c>
    </row>
    <row r="1136">
      <c r="A1136" s="2" t="s">
        <v>2489</v>
      </c>
      <c r="B1136" s="1">
        <v>200.0</v>
      </c>
      <c r="C1136" s="1" t="s">
        <v>582</v>
      </c>
      <c r="D1136" s="1" t="s">
        <v>583</v>
      </c>
    </row>
    <row r="1137">
      <c r="A1137" s="2" t="s">
        <v>2490</v>
      </c>
      <c r="B1137" s="1">
        <v>200.0</v>
      </c>
      <c r="C1137" s="1" t="s">
        <v>846</v>
      </c>
      <c r="D1137" s="1" t="s">
        <v>609</v>
      </c>
      <c r="E1137" s="1" t="s">
        <v>631</v>
      </c>
    </row>
    <row r="1138">
      <c r="A1138" s="2" t="s">
        <v>2491</v>
      </c>
      <c r="B1138" s="1">
        <v>200.0</v>
      </c>
      <c r="C1138" s="1" t="s">
        <v>582</v>
      </c>
      <c r="D1138" s="1" t="s">
        <v>583</v>
      </c>
    </row>
    <row r="1139">
      <c r="A1139" s="2" t="s">
        <v>2492</v>
      </c>
      <c r="B1139" s="1">
        <v>200.0</v>
      </c>
      <c r="C1139" s="1" t="s">
        <v>846</v>
      </c>
      <c r="D1139" s="1" t="s">
        <v>609</v>
      </c>
      <c r="E1139" s="1" t="s">
        <v>631</v>
      </c>
    </row>
    <row r="1140">
      <c r="A1140" s="2" t="s">
        <v>2493</v>
      </c>
      <c r="B1140" s="1">
        <v>200.0</v>
      </c>
      <c r="C1140" s="1" t="s">
        <v>582</v>
      </c>
      <c r="D1140" s="1" t="s">
        <v>583</v>
      </c>
    </row>
    <row r="1141">
      <c r="A1141" s="2" t="s">
        <v>2494</v>
      </c>
      <c r="B1141" s="1">
        <v>200.0</v>
      </c>
      <c r="C1141" s="1" t="s">
        <v>846</v>
      </c>
      <c r="D1141" s="1" t="s">
        <v>609</v>
      </c>
      <c r="E1141" s="1" t="s">
        <v>631</v>
      </c>
    </row>
    <row r="1142">
      <c r="A1142" s="2" t="s">
        <v>2495</v>
      </c>
      <c r="B1142" s="1">
        <v>200.0</v>
      </c>
      <c r="C1142" s="1" t="s">
        <v>582</v>
      </c>
      <c r="D1142" s="1" t="s">
        <v>583</v>
      </c>
    </row>
    <row r="1143">
      <c r="A1143" s="2" t="s">
        <v>2496</v>
      </c>
      <c r="B1143" s="1">
        <v>200.0</v>
      </c>
      <c r="C1143" s="1" t="s">
        <v>846</v>
      </c>
      <c r="D1143" s="1" t="s">
        <v>609</v>
      </c>
      <c r="E1143" s="1" t="s">
        <v>631</v>
      </c>
    </row>
    <row r="1144">
      <c r="A1144" s="2" t="s">
        <v>2497</v>
      </c>
      <c r="B1144" s="1">
        <v>200.0</v>
      </c>
      <c r="C1144" s="1" t="s">
        <v>582</v>
      </c>
      <c r="D1144" s="1" t="s">
        <v>583</v>
      </c>
    </row>
    <row r="1145">
      <c r="A1145" s="2" t="s">
        <v>2498</v>
      </c>
      <c r="B1145" s="1">
        <v>200.0</v>
      </c>
      <c r="C1145" s="1" t="s">
        <v>846</v>
      </c>
      <c r="D1145" s="1" t="s">
        <v>609</v>
      </c>
      <c r="E1145" s="1" t="s">
        <v>631</v>
      </c>
    </row>
    <row r="1146">
      <c r="A1146" s="2" t="s">
        <v>2499</v>
      </c>
      <c r="B1146" s="1">
        <v>200.0</v>
      </c>
      <c r="C1146" s="1" t="s">
        <v>582</v>
      </c>
      <c r="D1146" s="1" t="s">
        <v>583</v>
      </c>
    </row>
    <row r="1147">
      <c r="A1147" s="2" t="s">
        <v>2500</v>
      </c>
      <c r="B1147" s="1">
        <v>200.0</v>
      </c>
      <c r="C1147" s="1" t="s">
        <v>846</v>
      </c>
      <c r="D1147" s="1" t="s">
        <v>609</v>
      </c>
      <c r="E1147" s="1" t="s">
        <v>631</v>
      </c>
    </row>
    <row r="1148">
      <c r="A1148" s="2" t="s">
        <v>2501</v>
      </c>
      <c r="B1148" s="1">
        <v>200.0</v>
      </c>
      <c r="C1148" s="1" t="s">
        <v>582</v>
      </c>
      <c r="D1148" s="1" t="s">
        <v>583</v>
      </c>
    </row>
    <row r="1149">
      <c r="A1149" s="2" t="s">
        <v>2502</v>
      </c>
      <c r="B1149" s="1">
        <v>200.0</v>
      </c>
      <c r="C1149" s="1" t="s">
        <v>846</v>
      </c>
      <c r="D1149" s="1" t="s">
        <v>609</v>
      </c>
      <c r="E1149" s="1" t="s">
        <v>631</v>
      </c>
    </row>
    <row r="1150">
      <c r="A1150" s="2" t="s">
        <v>2503</v>
      </c>
      <c r="B1150" s="1">
        <v>200.0</v>
      </c>
      <c r="C1150" s="1" t="s">
        <v>582</v>
      </c>
      <c r="D1150" s="1" t="s">
        <v>583</v>
      </c>
    </row>
    <row r="1151">
      <c r="A1151" s="2" t="s">
        <v>2504</v>
      </c>
      <c r="B1151" s="1">
        <v>200.0</v>
      </c>
      <c r="C1151" s="1" t="s">
        <v>846</v>
      </c>
      <c r="D1151" s="1" t="s">
        <v>609</v>
      </c>
      <c r="E1151" s="1" t="s">
        <v>631</v>
      </c>
    </row>
    <row r="1152">
      <c r="A1152" s="2" t="s">
        <v>2505</v>
      </c>
      <c r="B1152" s="1">
        <v>200.0</v>
      </c>
      <c r="C1152" s="1" t="s">
        <v>582</v>
      </c>
      <c r="D1152" s="1" t="s">
        <v>583</v>
      </c>
    </row>
    <row r="1153">
      <c r="A1153" s="2" t="s">
        <v>2506</v>
      </c>
      <c r="B1153" s="1">
        <v>200.0</v>
      </c>
      <c r="C1153" s="1" t="s">
        <v>846</v>
      </c>
      <c r="D1153" s="1" t="s">
        <v>609</v>
      </c>
      <c r="E1153" s="1" t="s">
        <v>631</v>
      </c>
    </row>
    <row r="1154">
      <c r="A1154" s="2" t="s">
        <v>2507</v>
      </c>
      <c r="B1154" s="1">
        <v>200.0</v>
      </c>
      <c r="C1154" s="1" t="s">
        <v>582</v>
      </c>
      <c r="D1154" s="1" t="s">
        <v>583</v>
      </c>
    </row>
    <row r="1155">
      <c r="A1155" s="2" t="s">
        <v>2508</v>
      </c>
      <c r="B1155" s="1">
        <v>200.0</v>
      </c>
      <c r="C1155" s="1" t="s">
        <v>846</v>
      </c>
      <c r="D1155" s="1" t="s">
        <v>609</v>
      </c>
      <c r="E1155" s="1" t="s">
        <v>631</v>
      </c>
    </row>
    <row r="1156">
      <c r="A1156" s="2" t="s">
        <v>2509</v>
      </c>
      <c r="B1156" s="1">
        <v>200.0</v>
      </c>
      <c r="C1156" s="1" t="s">
        <v>582</v>
      </c>
      <c r="D1156" s="1" t="s">
        <v>583</v>
      </c>
    </row>
    <row r="1157">
      <c r="A1157" s="2" t="s">
        <v>2510</v>
      </c>
      <c r="B1157" s="1">
        <v>200.0</v>
      </c>
      <c r="C1157" s="1" t="s">
        <v>846</v>
      </c>
      <c r="D1157" s="1" t="s">
        <v>609</v>
      </c>
      <c r="E1157" s="1" t="s">
        <v>631</v>
      </c>
    </row>
    <row r="1158">
      <c r="A1158" s="2" t="s">
        <v>2511</v>
      </c>
      <c r="B1158" s="1">
        <v>200.0</v>
      </c>
      <c r="C1158" s="1" t="s">
        <v>582</v>
      </c>
      <c r="D1158" s="1" t="s">
        <v>583</v>
      </c>
    </row>
    <row r="1159">
      <c r="A1159" s="2" t="s">
        <v>2512</v>
      </c>
      <c r="B1159" s="1">
        <v>200.0</v>
      </c>
      <c r="C1159" s="1" t="s">
        <v>582</v>
      </c>
      <c r="D1159" s="1" t="s">
        <v>583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A865"/>
    <hyperlink r:id="rId864" ref="A866"/>
    <hyperlink r:id="rId865" ref="A867"/>
    <hyperlink r:id="rId866" ref="A868"/>
    <hyperlink r:id="rId867" ref="A869"/>
    <hyperlink r:id="rId868" ref="A870"/>
    <hyperlink r:id="rId869" ref="A871"/>
    <hyperlink r:id="rId870" ref="A872"/>
    <hyperlink r:id="rId871" ref="A873"/>
    <hyperlink r:id="rId872" ref="A874"/>
    <hyperlink r:id="rId873" ref="A875"/>
    <hyperlink r:id="rId874" ref="A876"/>
    <hyperlink r:id="rId875" ref="A877"/>
    <hyperlink r:id="rId876" ref="A878"/>
    <hyperlink r:id="rId877" ref="A879"/>
    <hyperlink r:id="rId878" ref="A880"/>
    <hyperlink r:id="rId879" ref="A881"/>
    <hyperlink r:id="rId880" ref="A882"/>
    <hyperlink r:id="rId881" ref="A883"/>
    <hyperlink r:id="rId882" ref="A884"/>
    <hyperlink r:id="rId883" ref="A885"/>
    <hyperlink r:id="rId884" ref="A886"/>
    <hyperlink r:id="rId885" ref="A887"/>
    <hyperlink r:id="rId886" ref="A888"/>
    <hyperlink r:id="rId887" ref="A889"/>
    <hyperlink r:id="rId888" ref="A890"/>
    <hyperlink r:id="rId889" ref="A891"/>
    <hyperlink r:id="rId890" ref="A892"/>
    <hyperlink r:id="rId891" ref="A893"/>
    <hyperlink r:id="rId892" ref="A894"/>
    <hyperlink r:id="rId893" ref="A895"/>
    <hyperlink r:id="rId894" ref="A896"/>
    <hyperlink r:id="rId895" ref="A897"/>
    <hyperlink r:id="rId896" ref="A898"/>
    <hyperlink r:id="rId897" ref="A899"/>
    <hyperlink r:id="rId898" ref="A900"/>
    <hyperlink r:id="rId899" ref="A901"/>
    <hyperlink r:id="rId900" ref="A902"/>
    <hyperlink r:id="rId901" ref="A903"/>
    <hyperlink r:id="rId902" ref="A904"/>
    <hyperlink r:id="rId903" ref="A905"/>
    <hyperlink r:id="rId904" ref="A906"/>
    <hyperlink r:id="rId905" ref="A907"/>
    <hyperlink r:id="rId906" ref="A908"/>
    <hyperlink r:id="rId907" ref="A909"/>
    <hyperlink r:id="rId908" ref="A910"/>
    <hyperlink r:id="rId909" ref="A911"/>
    <hyperlink r:id="rId910" ref="A912"/>
    <hyperlink r:id="rId911" ref="A913"/>
    <hyperlink r:id="rId912" ref="A914"/>
    <hyperlink r:id="rId913" ref="A915"/>
    <hyperlink r:id="rId914" ref="A916"/>
    <hyperlink r:id="rId915" ref="A917"/>
    <hyperlink r:id="rId916" ref="A918"/>
    <hyperlink r:id="rId917" ref="A919"/>
    <hyperlink r:id="rId918" ref="A920"/>
    <hyperlink r:id="rId919" ref="A921"/>
    <hyperlink r:id="rId920" ref="A922"/>
    <hyperlink r:id="rId921" ref="A923"/>
    <hyperlink r:id="rId922" ref="A924"/>
    <hyperlink r:id="rId923" ref="A925"/>
    <hyperlink r:id="rId924" ref="A926"/>
    <hyperlink r:id="rId925" ref="A927"/>
    <hyperlink r:id="rId926" ref="A928"/>
    <hyperlink r:id="rId927" ref="A929"/>
    <hyperlink r:id="rId928" ref="A930"/>
    <hyperlink r:id="rId929" ref="A931"/>
    <hyperlink r:id="rId930" ref="A932"/>
    <hyperlink r:id="rId931" ref="A933"/>
    <hyperlink r:id="rId932" ref="A934"/>
    <hyperlink r:id="rId933" ref="A935"/>
    <hyperlink r:id="rId934" ref="A936"/>
    <hyperlink r:id="rId935" ref="A937"/>
    <hyperlink r:id="rId936" ref="A938"/>
    <hyperlink r:id="rId937" ref="A939"/>
    <hyperlink r:id="rId938" ref="A940"/>
    <hyperlink r:id="rId939" ref="A941"/>
    <hyperlink r:id="rId940" ref="A942"/>
    <hyperlink r:id="rId941" ref="A943"/>
    <hyperlink r:id="rId942" ref="A944"/>
    <hyperlink r:id="rId943" ref="A945"/>
    <hyperlink r:id="rId944" ref="A946"/>
    <hyperlink r:id="rId945" ref="A947"/>
    <hyperlink r:id="rId946" ref="A948"/>
    <hyperlink r:id="rId947" ref="A949"/>
    <hyperlink r:id="rId948" ref="A950"/>
    <hyperlink r:id="rId949" ref="A951"/>
    <hyperlink r:id="rId950" ref="A952"/>
    <hyperlink r:id="rId951" ref="A953"/>
    <hyperlink r:id="rId952" ref="A954"/>
    <hyperlink r:id="rId953" ref="A955"/>
    <hyperlink r:id="rId954" ref="A956"/>
    <hyperlink r:id="rId955" ref="A957"/>
    <hyperlink r:id="rId956" ref="A958"/>
    <hyperlink r:id="rId957" ref="A959"/>
    <hyperlink r:id="rId958" ref="A960"/>
    <hyperlink r:id="rId959" ref="A961"/>
    <hyperlink r:id="rId960" ref="A962"/>
    <hyperlink r:id="rId961" ref="A963"/>
    <hyperlink r:id="rId962" ref="A964"/>
    <hyperlink r:id="rId963" ref="A965"/>
    <hyperlink r:id="rId964" ref="A966"/>
    <hyperlink r:id="rId965" ref="A967"/>
    <hyperlink r:id="rId966" ref="A968"/>
    <hyperlink r:id="rId967" ref="A969"/>
    <hyperlink r:id="rId968" ref="A970"/>
    <hyperlink r:id="rId969" ref="A971"/>
    <hyperlink r:id="rId970" ref="A972"/>
    <hyperlink r:id="rId971" ref="A973"/>
    <hyperlink r:id="rId972" ref="A974"/>
    <hyperlink r:id="rId973" ref="A975"/>
    <hyperlink r:id="rId974" ref="A976"/>
    <hyperlink r:id="rId975" ref="A977"/>
    <hyperlink r:id="rId976" ref="A978"/>
    <hyperlink r:id="rId977" ref="A979"/>
    <hyperlink r:id="rId978" ref="A980"/>
    <hyperlink r:id="rId979" ref="A981"/>
    <hyperlink r:id="rId980" ref="A982"/>
    <hyperlink r:id="rId981" ref="A983"/>
    <hyperlink r:id="rId982" ref="A984"/>
    <hyperlink r:id="rId983" ref="A985"/>
    <hyperlink r:id="rId984" ref="A986"/>
    <hyperlink r:id="rId985" ref="A987"/>
    <hyperlink r:id="rId986" ref="A988"/>
    <hyperlink r:id="rId987" ref="A989"/>
    <hyperlink r:id="rId988" ref="A990"/>
    <hyperlink r:id="rId989" ref="A991"/>
    <hyperlink r:id="rId990" ref="A992"/>
    <hyperlink r:id="rId991" ref="A993"/>
    <hyperlink r:id="rId992" ref="A994"/>
    <hyperlink r:id="rId993" ref="A995"/>
    <hyperlink r:id="rId994" ref="A996"/>
    <hyperlink r:id="rId995" ref="A997"/>
    <hyperlink r:id="rId996" ref="A998"/>
    <hyperlink r:id="rId997" ref="A999"/>
    <hyperlink r:id="rId998" ref="A1000"/>
    <hyperlink r:id="rId999" ref="A1001"/>
    <hyperlink r:id="rId1000" ref="A1002"/>
    <hyperlink r:id="rId1001" ref="A1003"/>
    <hyperlink r:id="rId1002" ref="A1004"/>
    <hyperlink r:id="rId1003" ref="A1005"/>
    <hyperlink r:id="rId1004" ref="A1006"/>
    <hyperlink r:id="rId1005" ref="A1007"/>
    <hyperlink r:id="rId1006" ref="A1008"/>
    <hyperlink r:id="rId1007" ref="A1009"/>
    <hyperlink r:id="rId1008" ref="A1010"/>
    <hyperlink r:id="rId1009" ref="A1011"/>
    <hyperlink r:id="rId1010" ref="A1012"/>
    <hyperlink r:id="rId1011" ref="A1013"/>
    <hyperlink r:id="rId1012" ref="A1014"/>
    <hyperlink r:id="rId1013" ref="A1015"/>
    <hyperlink r:id="rId1014" ref="A1016"/>
    <hyperlink r:id="rId1015" ref="A1017"/>
    <hyperlink r:id="rId1016" ref="A1018"/>
    <hyperlink r:id="rId1017" ref="A1019"/>
    <hyperlink r:id="rId1018" ref="A1020"/>
    <hyperlink r:id="rId1019" ref="A1021"/>
    <hyperlink r:id="rId1020" ref="A1022"/>
    <hyperlink r:id="rId1021" ref="A1023"/>
    <hyperlink r:id="rId1022" ref="A1024"/>
    <hyperlink r:id="rId1023" ref="A1025"/>
    <hyperlink r:id="rId1024" ref="A1026"/>
    <hyperlink r:id="rId1025" ref="A1027"/>
    <hyperlink r:id="rId1026" ref="A1028"/>
    <hyperlink r:id="rId1027" ref="A1029"/>
    <hyperlink r:id="rId1028" ref="A1030"/>
    <hyperlink r:id="rId1029" ref="A1031"/>
    <hyperlink r:id="rId1030" ref="A1032"/>
    <hyperlink r:id="rId1031" ref="A1033"/>
    <hyperlink r:id="rId1032" ref="A1034"/>
    <hyperlink r:id="rId1033" ref="A1035"/>
    <hyperlink r:id="rId1034" ref="A1036"/>
    <hyperlink r:id="rId1035" ref="A1037"/>
    <hyperlink r:id="rId1036" ref="A1038"/>
    <hyperlink r:id="rId1037" ref="A1039"/>
    <hyperlink r:id="rId1038" ref="A1040"/>
    <hyperlink r:id="rId1039" ref="A1041"/>
    <hyperlink r:id="rId1040" ref="A1042"/>
    <hyperlink r:id="rId1041" ref="A1043"/>
    <hyperlink r:id="rId1042" ref="A1044"/>
    <hyperlink r:id="rId1043" ref="A1045"/>
    <hyperlink r:id="rId1044" ref="A1046"/>
    <hyperlink r:id="rId1045" ref="A1047"/>
    <hyperlink r:id="rId1046" ref="A1048"/>
    <hyperlink r:id="rId1047" ref="A1049"/>
    <hyperlink r:id="rId1048" ref="A1050"/>
    <hyperlink r:id="rId1049" ref="A1051"/>
    <hyperlink r:id="rId1050" ref="A1052"/>
    <hyperlink r:id="rId1051" ref="A1053"/>
    <hyperlink r:id="rId1052" ref="A1054"/>
    <hyperlink r:id="rId1053" ref="A1055"/>
    <hyperlink r:id="rId1054" ref="A1056"/>
    <hyperlink r:id="rId1055" ref="A1057"/>
    <hyperlink r:id="rId1056" ref="A1058"/>
    <hyperlink r:id="rId1057" ref="A1059"/>
    <hyperlink r:id="rId1058" ref="A1060"/>
    <hyperlink r:id="rId1059" ref="A1061"/>
    <hyperlink r:id="rId1060" ref="A1062"/>
    <hyperlink r:id="rId1061" ref="A1063"/>
    <hyperlink r:id="rId1062" ref="A1064"/>
    <hyperlink r:id="rId1063" ref="A1065"/>
    <hyperlink r:id="rId1064" ref="A1066"/>
    <hyperlink r:id="rId1065" ref="A1067"/>
    <hyperlink r:id="rId1066" ref="A1068"/>
    <hyperlink r:id="rId1067" ref="A1069"/>
    <hyperlink r:id="rId1068" ref="A1070"/>
    <hyperlink r:id="rId1069" ref="A1071"/>
    <hyperlink r:id="rId1070" ref="A1072"/>
    <hyperlink r:id="rId1071" ref="A1073"/>
    <hyperlink r:id="rId1072" ref="A1074"/>
    <hyperlink r:id="rId1073" ref="A1075"/>
    <hyperlink r:id="rId1074" ref="A1076"/>
    <hyperlink r:id="rId1075" ref="A1077"/>
    <hyperlink r:id="rId1076" ref="A1078"/>
    <hyperlink r:id="rId1077" ref="A1079"/>
    <hyperlink r:id="rId1078" ref="A1080"/>
    <hyperlink r:id="rId1079" ref="A1081"/>
    <hyperlink r:id="rId1080" ref="A1082"/>
    <hyperlink r:id="rId1081" ref="A1083"/>
    <hyperlink r:id="rId1082" ref="A1084"/>
    <hyperlink r:id="rId1083" ref="A1085"/>
    <hyperlink r:id="rId1084" ref="A1086"/>
    <hyperlink r:id="rId1085" ref="A1087"/>
    <hyperlink r:id="rId1086" ref="A1088"/>
    <hyperlink r:id="rId1087" ref="A1089"/>
    <hyperlink r:id="rId1088" ref="A1090"/>
    <hyperlink r:id="rId1089" ref="A1091"/>
    <hyperlink r:id="rId1090" ref="A1092"/>
    <hyperlink r:id="rId1091" ref="A1093"/>
    <hyperlink r:id="rId1092" ref="A1094"/>
    <hyperlink r:id="rId1093" ref="A1095"/>
    <hyperlink r:id="rId1094" ref="A1096"/>
    <hyperlink r:id="rId1095" ref="A1097"/>
    <hyperlink r:id="rId1096" ref="A1098"/>
    <hyperlink r:id="rId1097" ref="A1099"/>
    <hyperlink r:id="rId1098" ref="A1100"/>
    <hyperlink r:id="rId1099" ref="A1101"/>
    <hyperlink r:id="rId1100" ref="A1102"/>
    <hyperlink r:id="rId1101" ref="A1103"/>
    <hyperlink r:id="rId1102" ref="A1104"/>
    <hyperlink r:id="rId1103" ref="A1105"/>
    <hyperlink r:id="rId1104" ref="A1106"/>
    <hyperlink r:id="rId1105" ref="A1107"/>
    <hyperlink r:id="rId1106" ref="A1108"/>
    <hyperlink r:id="rId1107" ref="A1109"/>
    <hyperlink r:id="rId1108" ref="A1110"/>
    <hyperlink r:id="rId1109" ref="A1111"/>
    <hyperlink r:id="rId1110" ref="A1112"/>
    <hyperlink r:id="rId1111" ref="A1113"/>
    <hyperlink r:id="rId1112" ref="A1114"/>
    <hyperlink r:id="rId1113" ref="A1115"/>
    <hyperlink r:id="rId1114" ref="A1116"/>
    <hyperlink r:id="rId1115" ref="A1117"/>
    <hyperlink r:id="rId1116" ref="A1118"/>
    <hyperlink r:id="rId1117" ref="A1119"/>
    <hyperlink r:id="rId1118" ref="A1120"/>
    <hyperlink r:id="rId1119" ref="A1121"/>
    <hyperlink r:id="rId1120" ref="A1122"/>
    <hyperlink r:id="rId1121" ref="A1123"/>
    <hyperlink r:id="rId1122" ref="A1124"/>
    <hyperlink r:id="rId1123" ref="A1125"/>
    <hyperlink r:id="rId1124" ref="A1126"/>
    <hyperlink r:id="rId1125" ref="A1127"/>
    <hyperlink r:id="rId1126" ref="A1128"/>
    <hyperlink r:id="rId1127" ref="A1129"/>
    <hyperlink r:id="rId1128" ref="A1130"/>
    <hyperlink r:id="rId1129" ref="A1131"/>
    <hyperlink r:id="rId1130" ref="A1132"/>
    <hyperlink r:id="rId1131" ref="A1133"/>
    <hyperlink r:id="rId1132" ref="A1134"/>
    <hyperlink r:id="rId1133" ref="A1135"/>
    <hyperlink r:id="rId1134" ref="A1136"/>
    <hyperlink r:id="rId1135" ref="A1137"/>
    <hyperlink r:id="rId1136" ref="A1138"/>
    <hyperlink r:id="rId1137" ref="A1139"/>
    <hyperlink r:id="rId1138" ref="A1140"/>
    <hyperlink r:id="rId1139" ref="A1141"/>
    <hyperlink r:id="rId1140" ref="A1142"/>
    <hyperlink r:id="rId1141" ref="A1143"/>
    <hyperlink r:id="rId1142" ref="A1144"/>
    <hyperlink r:id="rId1143" ref="A1145"/>
    <hyperlink r:id="rId1144" ref="A1146"/>
    <hyperlink r:id="rId1145" ref="A1147"/>
    <hyperlink r:id="rId1146" ref="A1148"/>
    <hyperlink r:id="rId1147" ref="A1149"/>
    <hyperlink r:id="rId1148" ref="A1150"/>
    <hyperlink r:id="rId1149" ref="A1151"/>
    <hyperlink r:id="rId1150" ref="A1152"/>
    <hyperlink r:id="rId1151" ref="A1153"/>
    <hyperlink r:id="rId1152" ref="A1154"/>
    <hyperlink r:id="rId1153" ref="A1155"/>
    <hyperlink r:id="rId1154" ref="A1156"/>
    <hyperlink r:id="rId1155" ref="A1157"/>
    <hyperlink r:id="rId1156" ref="A1158"/>
    <hyperlink r:id="rId1157" ref="A1159"/>
  </hyperlinks>
  <drawing r:id="rId115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2521</v>
      </c>
    </row>
    <row r="2">
      <c r="A2" s="1" t="s">
        <v>2522</v>
      </c>
    </row>
    <row r="3">
      <c r="A3" s="1" t="s">
        <v>2523</v>
      </c>
    </row>
    <row r="4">
      <c r="A4" s="1" t="s">
        <v>2524</v>
      </c>
    </row>
    <row r="5">
      <c r="A5" s="1" t="s">
        <v>2521</v>
      </c>
    </row>
    <row r="6">
      <c r="A6" s="1" t="s">
        <v>2525</v>
      </c>
    </row>
    <row r="7">
      <c r="A7" s="1" t="s">
        <v>2526</v>
      </c>
    </row>
    <row r="8">
      <c r="A8" s="1" t="s">
        <v>2527</v>
      </c>
    </row>
    <row r="9">
      <c r="A9" s="1" t="s">
        <v>2528</v>
      </c>
    </row>
    <row r="10">
      <c r="A10" s="1" t="s">
        <v>2529</v>
      </c>
      <c r="B10" s="1" t="s">
        <v>2530</v>
      </c>
      <c r="C10" s="1" t="s">
        <v>2531</v>
      </c>
      <c r="D10" s="1" t="s">
        <v>2532</v>
      </c>
      <c r="E10" s="1" t="s">
        <v>2533</v>
      </c>
      <c r="F10" s="1" t="s">
        <v>2534</v>
      </c>
      <c r="G10" s="1" t="s">
        <v>2535</v>
      </c>
      <c r="H10" s="1" t="s">
        <v>2536</v>
      </c>
    </row>
    <row r="11">
      <c r="A11" s="1" t="s">
        <v>2537</v>
      </c>
      <c r="B11" s="1">
        <v>2081.0</v>
      </c>
      <c r="C11" s="1">
        <v>1689.0</v>
      </c>
      <c r="D11" s="1">
        <v>1615.0</v>
      </c>
      <c r="E11" s="1">
        <v>48.6458433445458</v>
      </c>
      <c r="F11" s="1">
        <v>243.0</v>
      </c>
      <c r="G11" s="1">
        <v>0.0</v>
      </c>
      <c r="H11" s="1">
        <v>0.0528592023065833</v>
      </c>
    </row>
    <row r="12">
      <c r="A12" s="1" t="s">
        <v>2538</v>
      </c>
      <c r="B12" s="1">
        <v>695.0</v>
      </c>
      <c r="C12" s="1">
        <v>639.0</v>
      </c>
      <c r="D12" s="1">
        <v>621.0</v>
      </c>
      <c r="E12" s="1">
        <v>38.0143884892086</v>
      </c>
      <c r="F12" s="1">
        <v>26.0</v>
      </c>
      <c r="G12" s="1">
        <v>0.0</v>
      </c>
      <c r="H12" s="1">
        <v>0.0244604316546762</v>
      </c>
    </row>
    <row r="13">
      <c r="A13" s="1" t="s">
        <v>2539</v>
      </c>
      <c r="B13" s="1">
        <v>223.0</v>
      </c>
      <c r="C13" s="1">
        <v>201.0</v>
      </c>
      <c r="D13" s="1">
        <v>201.0</v>
      </c>
      <c r="E13" s="1">
        <v>81.9013452914798</v>
      </c>
      <c r="F13" s="1">
        <v>2.0</v>
      </c>
      <c r="G13" s="1">
        <v>0.0</v>
      </c>
      <c r="H13" s="1">
        <v>0.00896860986547085</v>
      </c>
    </row>
    <row r="14">
      <c r="A14" s="1" t="s">
        <v>2540</v>
      </c>
      <c r="B14" s="1">
        <v>211.0</v>
      </c>
      <c r="C14" s="1">
        <v>196.0</v>
      </c>
      <c r="D14" s="1">
        <v>170.0</v>
      </c>
      <c r="E14" s="1">
        <v>39.6445497630331</v>
      </c>
      <c r="F14" s="1">
        <v>11.0</v>
      </c>
      <c r="G14" s="1">
        <v>0.0</v>
      </c>
      <c r="H14" s="1">
        <v>0.0236966824644549</v>
      </c>
    </row>
    <row r="15">
      <c r="A15" s="1" t="s">
        <v>440</v>
      </c>
      <c r="B15" s="1">
        <v>205.0</v>
      </c>
      <c r="C15" s="1">
        <v>166.0</v>
      </c>
      <c r="D15" s="1">
        <v>125.0</v>
      </c>
      <c r="E15" s="1">
        <v>31.2975609756097</v>
      </c>
      <c r="F15" s="1">
        <v>11.0</v>
      </c>
      <c r="G15" s="1">
        <v>0.0</v>
      </c>
      <c r="H15" s="1">
        <v>0.0195121951219512</v>
      </c>
    </row>
    <row r="16">
      <c r="A16" s="1" t="s">
        <v>2541</v>
      </c>
      <c r="B16" s="1">
        <v>178.0</v>
      </c>
      <c r="C16" s="1">
        <v>154.0</v>
      </c>
      <c r="D16" s="1">
        <v>153.0</v>
      </c>
      <c r="E16" s="1">
        <v>68.9775280898876</v>
      </c>
      <c r="F16" s="1">
        <v>3.0</v>
      </c>
      <c r="G16" s="1">
        <v>0.0</v>
      </c>
      <c r="H16" s="1">
        <v>0.0168539325842696</v>
      </c>
    </row>
    <row r="17">
      <c r="A17" s="1" t="s">
        <v>2542</v>
      </c>
      <c r="B17" s="1">
        <v>169.0</v>
      </c>
      <c r="C17" s="1">
        <v>158.0</v>
      </c>
      <c r="D17" s="1">
        <v>157.0</v>
      </c>
      <c r="E17" s="1">
        <v>90.2307692307692</v>
      </c>
      <c r="F17" s="1">
        <v>0.0</v>
      </c>
      <c r="G17" s="1">
        <v>0.0</v>
      </c>
      <c r="H17" s="1">
        <v>0.0</v>
      </c>
    </row>
    <row r="18">
      <c r="A18" s="1" t="s">
        <v>2543</v>
      </c>
      <c r="B18" s="1">
        <v>166.0</v>
      </c>
      <c r="C18" s="1">
        <v>153.0</v>
      </c>
      <c r="D18" s="1">
        <v>139.0</v>
      </c>
      <c r="E18" s="1">
        <v>79.433734939759</v>
      </c>
      <c r="F18" s="1">
        <v>10.0</v>
      </c>
      <c r="G18" s="1">
        <v>0.0</v>
      </c>
      <c r="H18" s="1">
        <v>0.0481927710843373</v>
      </c>
    </row>
    <row r="19">
      <c r="A19" s="1" t="s">
        <v>2544</v>
      </c>
      <c r="B19" s="1">
        <v>137.0</v>
      </c>
      <c r="C19" s="1">
        <v>115.0</v>
      </c>
      <c r="D19" s="1">
        <v>105.0</v>
      </c>
      <c r="E19" s="1">
        <v>60.3357664233576</v>
      </c>
      <c r="F19" s="1">
        <v>72.0</v>
      </c>
      <c r="G19" s="1">
        <v>0.0</v>
      </c>
      <c r="H19" s="1">
        <v>0.102189781021897</v>
      </c>
    </row>
    <row r="20">
      <c r="A20" s="1" t="s">
        <v>2545</v>
      </c>
      <c r="B20" s="1">
        <v>121.0</v>
      </c>
      <c r="C20" s="1">
        <v>106.0</v>
      </c>
      <c r="D20" s="1">
        <v>94.0</v>
      </c>
      <c r="E20" s="1">
        <v>55.8016528925619</v>
      </c>
      <c r="F20" s="1">
        <v>9.0</v>
      </c>
      <c r="G20" s="1">
        <v>0.0</v>
      </c>
      <c r="H20" s="1">
        <v>0.0495867768595041</v>
      </c>
    </row>
    <row r="21">
      <c r="A21" s="1" t="s">
        <v>2546</v>
      </c>
      <c r="B21" s="1">
        <v>111.0</v>
      </c>
      <c r="C21" s="1">
        <v>99.0</v>
      </c>
      <c r="D21" s="1">
        <v>93.0</v>
      </c>
      <c r="E21" s="1">
        <v>46.8198198198198</v>
      </c>
      <c r="F21" s="1">
        <v>9.0</v>
      </c>
      <c r="G21" s="1">
        <v>0.0</v>
      </c>
      <c r="H21" s="1">
        <v>0.054054054054054</v>
      </c>
    </row>
    <row r="22">
      <c r="A22" s="1" t="s">
        <v>2547</v>
      </c>
      <c r="B22" s="1">
        <v>108.0</v>
      </c>
      <c r="C22" s="1">
        <v>97.0</v>
      </c>
      <c r="D22" s="1">
        <v>97.0</v>
      </c>
      <c r="E22" s="1">
        <v>32.3611111111111</v>
      </c>
      <c r="F22" s="1">
        <v>3.0</v>
      </c>
      <c r="G22" s="1">
        <v>0.0</v>
      </c>
      <c r="H22" s="1">
        <v>0.0277777777777777</v>
      </c>
    </row>
    <row r="23">
      <c r="A23" s="1" t="s">
        <v>2548</v>
      </c>
      <c r="B23" s="1">
        <v>99.0</v>
      </c>
      <c r="C23" s="1">
        <v>92.0</v>
      </c>
      <c r="D23" s="1">
        <v>84.0</v>
      </c>
      <c r="E23" s="1">
        <v>22.6161616161616</v>
      </c>
      <c r="F23" s="1">
        <v>0.0</v>
      </c>
      <c r="G23" s="1">
        <v>0.0</v>
      </c>
      <c r="H23" s="1">
        <v>0.0</v>
      </c>
    </row>
    <row r="24">
      <c r="A24" s="1" t="s">
        <v>2549</v>
      </c>
      <c r="B24" s="1">
        <v>96.0</v>
      </c>
      <c r="C24" s="1">
        <v>96.0</v>
      </c>
      <c r="D24" s="1">
        <v>96.0</v>
      </c>
      <c r="E24" s="1">
        <v>28.6458333333333</v>
      </c>
      <c r="F24" s="1">
        <v>1.0</v>
      </c>
      <c r="G24" s="1">
        <v>0.0</v>
      </c>
      <c r="H24" s="1">
        <v>0.0104166666666666</v>
      </c>
    </row>
    <row r="25">
      <c r="A25" s="1" t="s">
        <v>2550</v>
      </c>
      <c r="B25" s="1">
        <v>91.0</v>
      </c>
      <c r="C25" s="1">
        <v>68.0</v>
      </c>
      <c r="D25" s="1">
        <v>66.0</v>
      </c>
      <c r="E25" s="1">
        <v>65.4945054945054</v>
      </c>
      <c r="F25" s="1">
        <v>8.0</v>
      </c>
      <c r="G25" s="1">
        <v>0.0</v>
      </c>
      <c r="H25" s="1">
        <v>0.0549450549450549</v>
      </c>
    </row>
    <row r="26">
      <c r="A26" s="1" t="s">
        <v>2551</v>
      </c>
      <c r="B26" s="1">
        <v>81.0</v>
      </c>
      <c r="C26" s="1">
        <v>68.0</v>
      </c>
      <c r="D26" s="1">
        <v>67.0</v>
      </c>
      <c r="E26" s="1">
        <v>39.3086419753086</v>
      </c>
      <c r="F26" s="1">
        <v>0.0</v>
      </c>
      <c r="G26" s="1">
        <v>0.0</v>
      </c>
      <c r="H26" s="1">
        <v>0.0</v>
      </c>
    </row>
    <row r="27">
      <c r="A27" s="1" t="s">
        <v>2552</v>
      </c>
      <c r="B27" s="1">
        <v>75.0</v>
      </c>
      <c r="C27" s="1">
        <v>70.0</v>
      </c>
      <c r="D27" s="1">
        <v>63.0</v>
      </c>
      <c r="E27" s="1">
        <v>54.4</v>
      </c>
      <c r="F27" s="1">
        <v>7.0</v>
      </c>
      <c r="G27" s="1">
        <v>0.0</v>
      </c>
      <c r="H27" s="1">
        <v>0.08</v>
      </c>
    </row>
    <row r="28">
      <c r="A28" s="1" t="s">
        <v>2553</v>
      </c>
      <c r="B28" s="1">
        <v>74.0</v>
      </c>
      <c r="C28" s="1">
        <v>68.0</v>
      </c>
      <c r="D28" s="1">
        <v>68.0</v>
      </c>
      <c r="E28" s="1">
        <v>32.7972972972973</v>
      </c>
      <c r="F28" s="1">
        <v>0.0</v>
      </c>
      <c r="G28" s="1">
        <v>0.0</v>
      </c>
      <c r="H28" s="1">
        <v>0.0</v>
      </c>
    </row>
    <row r="29">
      <c r="A29" s="1" t="s">
        <v>2554</v>
      </c>
      <c r="B29" s="1">
        <v>71.0</v>
      </c>
      <c r="C29" s="1">
        <v>58.0</v>
      </c>
      <c r="D29" s="1">
        <v>52.0</v>
      </c>
      <c r="E29" s="1">
        <v>51.5352112676056</v>
      </c>
      <c r="F29" s="1">
        <v>1.0</v>
      </c>
      <c r="G29" s="1">
        <v>0.0</v>
      </c>
      <c r="H29" s="1">
        <v>0.0140845070422535</v>
      </c>
    </row>
    <row r="30">
      <c r="A30" s="1" t="s">
        <v>2555</v>
      </c>
      <c r="B30" s="1">
        <v>68.0</v>
      </c>
      <c r="C30" s="1">
        <v>67.0</v>
      </c>
      <c r="D30" s="1">
        <v>67.0</v>
      </c>
      <c r="E30" s="1">
        <v>48.0147058823529</v>
      </c>
      <c r="F30" s="1">
        <v>1.0</v>
      </c>
      <c r="G30" s="1">
        <v>0.0</v>
      </c>
      <c r="H30" s="1">
        <v>0.0147058823529411</v>
      </c>
    </row>
    <row r="31">
      <c r="A31" s="1" t="s">
        <v>2556</v>
      </c>
      <c r="B31" s="1">
        <v>51.0</v>
      </c>
      <c r="C31" s="1">
        <v>46.0</v>
      </c>
      <c r="D31" s="1">
        <v>38.0</v>
      </c>
      <c r="E31" s="1">
        <v>61.6666666666666</v>
      </c>
      <c r="F31" s="1">
        <v>5.0</v>
      </c>
      <c r="G31" s="1">
        <v>0.0</v>
      </c>
      <c r="H31" s="1">
        <v>0.0784313725490196</v>
      </c>
    </row>
    <row r="32">
      <c r="A32" s="1" t="s">
        <v>448</v>
      </c>
      <c r="B32" s="1">
        <v>50.0</v>
      </c>
      <c r="C32" s="1">
        <v>38.0</v>
      </c>
      <c r="D32" s="1">
        <v>32.0</v>
      </c>
      <c r="E32" s="1">
        <v>112.02</v>
      </c>
      <c r="F32" s="1">
        <v>1.0</v>
      </c>
      <c r="G32" s="1">
        <v>0.0</v>
      </c>
      <c r="H32" s="1">
        <v>0.02</v>
      </c>
    </row>
    <row r="33">
      <c r="A33" s="1" t="s">
        <v>2557</v>
      </c>
      <c r="B33" s="1">
        <v>48.0</v>
      </c>
      <c r="C33" s="1">
        <v>48.0</v>
      </c>
      <c r="D33" s="1">
        <v>47.0</v>
      </c>
      <c r="E33" s="1">
        <v>19.8125</v>
      </c>
      <c r="F33" s="1">
        <v>0.0</v>
      </c>
      <c r="G33" s="1">
        <v>0.0</v>
      </c>
      <c r="H33" s="1">
        <v>0.0</v>
      </c>
    </row>
    <row r="34">
      <c r="A34" s="1" t="s">
        <v>2558</v>
      </c>
      <c r="B34" s="1">
        <v>47.0</v>
      </c>
      <c r="C34" s="1">
        <v>38.0</v>
      </c>
      <c r="D34" s="1">
        <v>33.0</v>
      </c>
      <c r="E34" s="1">
        <v>81.0212765957446</v>
      </c>
      <c r="F34" s="1">
        <v>4.0</v>
      </c>
      <c r="G34" s="1">
        <v>0.0</v>
      </c>
      <c r="H34" s="1">
        <v>0.0425531914893617</v>
      </c>
    </row>
    <row r="35">
      <c r="A35" s="1" t="s">
        <v>2559</v>
      </c>
      <c r="B35" s="1">
        <v>45.0</v>
      </c>
      <c r="C35" s="1">
        <v>41.0</v>
      </c>
      <c r="D35" s="1">
        <v>38.0</v>
      </c>
      <c r="E35" s="1">
        <v>88.7777777777777</v>
      </c>
      <c r="F35" s="1">
        <v>2.0</v>
      </c>
      <c r="G35" s="1">
        <v>0.0</v>
      </c>
      <c r="H35" s="1">
        <v>0.0444444444444444</v>
      </c>
    </row>
    <row r="36">
      <c r="A36" s="1" t="s">
        <v>2560</v>
      </c>
      <c r="B36" s="1">
        <v>41.0</v>
      </c>
      <c r="C36" s="1">
        <v>37.0</v>
      </c>
      <c r="D36" s="1">
        <v>37.0</v>
      </c>
      <c r="E36" s="1">
        <v>53.6585365853658</v>
      </c>
      <c r="F36" s="1">
        <v>1.0</v>
      </c>
      <c r="G36" s="1">
        <v>0.0</v>
      </c>
      <c r="H36" s="1">
        <v>0.024390243902439</v>
      </c>
    </row>
    <row r="37">
      <c r="A37" s="1" t="s">
        <v>2561</v>
      </c>
      <c r="B37" s="1">
        <v>38.0</v>
      </c>
      <c r="C37" s="1">
        <v>34.0</v>
      </c>
      <c r="D37" s="1">
        <v>32.0</v>
      </c>
      <c r="E37" s="1">
        <v>54.6842105263157</v>
      </c>
      <c r="F37" s="1">
        <v>0.0</v>
      </c>
      <c r="G37" s="1">
        <v>0.0</v>
      </c>
      <c r="H37" s="1">
        <v>0.0</v>
      </c>
    </row>
    <row r="38">
      <c r="A38" s="1" t="s">
        <v>2562</v>
      </c>
      <c r="B38" s="1">
        <v>37.0</v>
      </c>
      <c r="C38" s="1">
        <v>36.0</v>
      </c>
      <c r="D38" s="1">
        <v>35.0</v>
      </c>
      <c r="E38" s="1">
        <v>20.8648648648648</v>
      </c>
      <c r="F38" s="1">
        <v>0.0</v>
      </c>
      <c r="G38" s="1">
        <v>0.0</v>
      </c>
      <c r="H38" s="1">
        <v>0.0</v>
      </c>
    </row>
    <row r="39">
      <c r="A39" s="1" t="s">
        <v>2563</v>
      </c>
      <c r="B39" s="1">
        <v>37.0</v>
      </c>
      <c r="C39" s="1">
        <v>37.0</v>
      </c>
      <c r="D39" s="1">
        <v>37.0</v>
      </c>
      <c r="E39" s="1">
        <v>6.91891891891891</v>
      </c>
      <c r="F39" s="1">
        <v>0.0</v>
      </c>
      <c r="G39" s="1">
        <v>0.0</v>
      </c>
      <c r="H39" s="1">
        <v>0.0</v>
      </c>
    </row>
    <row r="40">
      <c r="A40" s="1" t="s">
        <v>2564</v>
      </c>
      <c r="B40" s="1">
        <v>35.0</v>
      </c>
      <c r="C40" s="1">
        <v>31.0</v>
      </c>
      <c r="D40" s="1">
        <v>28.0</v>
      </c>
      <c r="E40" s="1">
        <v>76.0</v>
      </c>
      <c r="F40" s="1">
        <v>0.0</v>
      </c>
      <c r="G40" s="1">
        <v>0.0</v>
      </c>
      <c r="H40" s="1">
        <v>0.0</v>
      </c>
    </row>
    <row r="41">
      <c r="A41" s="1" t="s">
        <v>2565</v>
      </c>
      <c r="B41" s="1">
        <v>34.0</v>
      </c>
      <c r="C41" s="1">
        <v>34.0</v>
      </c>
      <c r="D41" s="1">
        <v>34.0</v>
      </c>
      <c r="E41" s="1">
        <v>2.5</v>
      </c>
      <c r="F41" s="1">
        <v>0.0</v>
      </c>
      <c r="G41" s="1">
        <v>0.0</v>
      </c>
      <c r="H41" s="1">
        <v>0.0</v>
      </c>
    </row>
    <row r="42">
      <c r="A42" s="1" t="s">
        <v>2566</v>
      </c>
      <c r="B42" s="1">
        <v>34.0</v>
      </c>
      <c r="C42" s="1">
        <v>33.0</v>
      </c>
      <c r="D42" s="1">
        <v>31.0</v>
      </c>
      <c r="E42" s="1">
        <v>115.85294117647</v>
      </c>
      <c r="F42" s="1">
        <v>1.0</v>
      </c>
      <c r="G42" s="1">
        <v>0.0</v>
      </c>
      <c r="H42" s="1">
        <v>0.0294117647058823</v>
      </c>
    </row>
    <row r="43">
      <c r="A43" s="1" t="s">
        <v>2567</v>
      </c>
      <c r="B43" s="1">
        <v>34.0</v>
      </c>
      <c r="C43" s="1">
        <v>29.0</v>
      </c>
      <c r="D43" s="1">
        <v>17.0</v>
      </c>
      <c r="E43" s="1">
        <v>35.4705882352941</v>
      </c>
      <c r="F43" s="1">
        <v>1.0</v>
      </c>
      <c r="G43" s="1">
        <v>0.0</v>
      </c>
      <c r="H43" s="1">
        <v>0.0294117647058823</v>
      </c>
    </row>
    <row r="44">
      <c r="A44" s="1" t="s">
        <v>2568</v>
      </c>
      <c r="B44" s="1">
        <v>33.0</v>
      </c>
      <c r="C44" s="1">
        <v>32.0</v>
      </c>
      <c r="D44" s="1">
        <v>32.0</v>
      </c>
      <c r="E44" s="1">
        <v>34.2121212121212</v>
      </c>
      <c r="F44" s="1">
        <v>1.0</v>
      </c>
      <c r="G44" s="1">
        <v>0.0</v>
      </c>
      <c r="H44" s="1">
        <v>0.0303030303030303</v>
      </c>
    </row>
    <row r="45">
      <c r="A45" s="1" t="s">
        <v>2569</v>
      </c>
      <c r="B45" s="1">
        <v>32.0</v>
      </c>
      <c r="C45" s="1">
        <v>32.0</v>
      </c>
      <c r="D45" s="1">
        <v>32.0</v>
      </c>
      <c r="E45" s="1">
        <v>27.375</v>
      </c>
      <c r="F45" s="1">
        <v>1.0</v>
      </c>
      <c r="G45" s="1">
        <v>0.0</v>
      </c>
      <c r="H45" s="1">
        <v>0.03125</v>
      </c>
    </row>
    <row r="46">
      <c r="A46" s="1" t="s">
        <v>2570</v>
      </c>
      <c r="B46" s="1">
        <v>31.0</v>
      </c>
      <c r="C46" s="1">
        <v>30.0</v>
      </c>
      <c r="D46" s="1">
        <v>30.0</v>
      </c>
      <c r="E46" s="1">
        <v>42.7096774193548</v>
      </c>
      <c r="F46" s="1">
        <v>0.0</v>
      </c>
      <c r="G46" s="1">
        <v>0.0</v>
      </c>
      <c r="H46" s="1">
        <v>0.0</v>
      </c>
    </row>
    <row r="47">
      <c r="A47" s="1" t="s">
        <v>2571</v>
      </c>
      <c r="B47" s="1">
        <v>30.0</v>
      </c>
      <c r="C47" s="1">
        <v>30.0</v>
      </c>
      <c r="D47" s="1">
        <v>30.0</v>
      </c>
      <c r="E47" s="1">
        <v>44.9333333333333</v>
      </c>
      <c r="F47" s="1">
        <v>0.0</v>
      </c>
      <c r="G47" s="1">
        <v>0.0</v>
      </c>
      <c r="H47" s="1">
        <v>0.0</v>
      </c>
    </row>
    <row r="48">
      <c r="A48" s="1" t="s">
        <v>2572</v>
      </c>
      <c r="B48" s="1">
        <v>29.0</v>
      </c>
      <c r="C48" s="1">
        <v>26.0</v>
      </c>
      <c r="D48" s="1">
        <v>26.0</v>
      </c>
      <c r="E48" s="1">
        <v>53.2413793103448</v>
      </c>
      <c r="F48" s="1">
        <v>0.0</v>
      </c>
      <c r="G48" s="1">
        <v>0.0</v>
      </c>
      <c r="H48" s="1">
        <v>0.0</v>
      </c>
    </row>
    <row r="49">
      <c r="A49" s="1" t="s">
        <v>2573</v>
      </c>
      <c r="B49" s="1">
        <v>29.0</v>
      </c>
      <c r="C49" s="1">
        <v>29.0</v>
      </c>
      <c r="D49" s="1">
        <v>27.0</v>
      </c>
      <c r="E49" s="1">
        <v>16.0344827586206</v>
      </c>
      <c r="F49" s="1">
        <v>0.0</v>
      </c>
      <c r="G49" s="1">
        <v>0.0</v>
      </c>
      <c r="H49" s="1">
        <v>0.0</v>
      </c>
    </row>
    <row r="50">
      <c r="A50" s="1" t="s">
        <v>2574</v>
      </c>
      <c r="B50" s="1">
        <v>27.0</v>
      </c>
      <c r="C50" s="1">
        <v>25.0</v>
      </c>
      <c r="D50" s="1">
        <v>24.0</v>
      </c>
      <c r="E50" s="1">
        <v>17.8518518518518</v>
      </c>
      <c r="F50" s="1">
        <v>0.0</v>
      </c>
      <c r="G50" s="1">
        <v>0.0</v>
      </c>
      <c r="H50" s="1">
        <v>0.0</v>
      </c>
    </row>
    <row r="51">
      <c r="A51" s="1" t="s">
        <v>2575</v>
      </c>
      <c r="B51" s="1">
        <v>24.0</v>
      </c>
      <c r="C51" s="1">
        <v>23.0</v>
      </c>
      <c r="D51" s="1">
        <v>23.0</v>
      </c>
      <c r="E51" s="1">
        <v>59.4166666666666</v>
      </c>
      <c r="F51" s="1">
        <v>0.0</v>
      </c>
      <c r="G51" s="1">
        <v>0.0</v>
      </c>
      <c r="H51" s="1">
        <v>0.0</v>
      </c>
    </row>
    <row r="52">
      <c r="A52" s="1" t="s">
        <v>2576</v>
      </c>
      <c r="B52" s="1">
        <v>23.0</v>
      </c>
      <c r="C52" s="1">
        <v>22.0</v>
      </c>
      <c r="D52" s="1">
        <v>22.0</v>
      </c>
      <c r="E52" s="1">
        <v>55.0</v>
      </c>
      <c r="F52" s="1">
        <v>0.0</v>
      </c>
      <c r="G52" s="1">
        <v>0.0</v>
      </c>
      <c r="H52" s="1">
        <v>0.0</v>
      </c>
    </row>
    <row r="53">
      <c r="A53" s="1" t="s">
        <v>2577</v>
      </c>
      <c r="B53" s="1">
        <v>23.0</v>
      </c>
      <c r="C53" s="1">
        <v>21.0</v>
      </c>
      <c r="D53" s="1">
        <v>21.0</v>
      </c>
      <c r="E53" s="1">
        <v>146.0</v>
      </c>
      <c r="F53" s="1">
        <v>2.0</v>
      </c>
      <c r="G53" s="1">
        <v>0.0</v>
      </c>
      <c r="H53" s="1">
        <v>0.0869565217391304</v>
      </c>
    </row>
    <row r="54">
      <c r="A54" s="1" t="s">
        <v>2578</v>
      </c>
      <c r="B54" s="1">
        <v>21.0</v>
      </c>
      <c r="C54" s="1">
        <v>21.0</v>
      </c>
      <c r="D54" s="1">
        <v>21.0</v>
      </c>
      <c r="E54" s="1">
        <v>91.4761904761904</v>
      </c>
      <c r="F54" s="1">
        <v>0.0</v>
      </c>
      <c r="G54" s="1">
        <v>0.0</v>
      </c>
      <c r="H54" s="1">
        <v>0.0</v>
      </c>
    </row>
    <row r="55">
      <c r="A55" s="1" t="s">
        <v>2579</v>
      </c>
      <c r="B55" s="1">
        <v>21.0</v>
      </c>
      <c r="C55" s="1">
        <v>16.0</v>
      </c>
      <c r="D55" s="1">
        <v>16.0</v>
      </c>
      <c r="E55" s="1">
        <v>66.9047619047619</v>
      </c>
      <c r="F55" s="1">
        <v>1.0</v>
      </c>
      <c r="G55" s="1">
        <v>0.0</v>
      </c>
      <c r="H55" s="1">
        <v>0.0476190476190476</v>
      </c>
    </row>
    <row r="56">
      <c r="A56" s="1" t="s">
        <v>2580</v>
      </c>
      <c r="B56" s="1">
        <v>21.0</v>
      </c>
      <c r="C56" s="1">
        <v>21.0</v>
      </c>
      <c r="D56" s="1">
        <v>21.0</v>
      </c>
      <c r="E56" s="1">
        <v>0.0</v>
      </c>
      <c r="F56" s="1">
        <v>0.0</v>
      </c>
      <c r="G56" s="1">
        <v>0.0</v>
      </c>
      <c r="H56" s="1">
        <v>0.0</v>
      </c>
    </row>
    <row r="57">
      <c r="A57" s="1" t="s">
        <v>2581</v>
      </c>
      <c r="B57" s="1">
        <v>21.0</v>
      </c>
      <c r="C57" s="1">
        <v>21.0</v>
      </c>
      <c r="D57" s="1">
        <v>17.0</v>
      </c>
      <c r="E57" s="1">
        <v>33.0</v>
      </c>
      <c r="F57" s="1">
        <v>1.0</v>
      </c>
      <c r="G57" s="1">
        <v>0.0</v>
      </c>
      <c r="H57" s="1">
        <v>0.0476190476190476</v>
      </c>
    </row>
    <row r="58">
      <c r="A58" s="1" t="s">
        <v>2582</v>
      </c>
      <c r="B58" s="1">
        <v>20.0</v>
      </c>
      <c r="C58" s="1">
        <v>18.0</v>
      </c>
      <c r="D58" s="1">
        <v>18.0</v>
      </c>
      <c r="E58" s="1">
        <v>97.75</v>
      </c>
      <c r="F58" s="1">
        <v>0.0</v>
      </c>
      <c r="G58" s="1">
        <v>0.0</v>
      </c>
      <c r="H58" s="1">
        <v>0.0</v>
      </c>
    </row>
    <row r="59">
      <c r="A59" s="1" t="s">
        <v>2583</v>
      </c>
      <c r="B59" s="1">
        <v>20.0</v>
      </c>
      <c r="C59" s="1">
        <v>18.0</v>
      </c>
      <c r="D59" s="1">
        <v>17.0</v>
      </c>
      <c r="E59" s="1">
        <v>71.5</v>
      </c>
      <c r="F59" s="1">
        <v>1.0</v>
      </c>
      <c r="G59" s="1">
        <v>0.0</v>
      </c>
      <c r="H59" s="1">
        <v>0.05</v>
      </c>
    </row>
    <row r="60">
      <c r="A60" s="1" t="s">
        <v>2584</v>
      </c>
      <c r="B60" s="1">
        <v>20.0</v>
      </c>
      <c r="C60" s="1">
        <v>20.0</v>
      </c>
      <c r="D60" s="1">
        <v>20.0</v>
      </c>
      <c r="E60" s="1">
        <v>35.65</v>
      </c>
      <c r="F60" s="1">
        <v>3.0</v>
      </c>
      <c r="G60" s="1">
        <v>0.0</v>
      </c>
      <c r="H60" s="1">
        <v>0.05</v>
      </c>
    </row>
    <row r="61">
      <c r="A61" s="1" t="s">
        <v>444</v>
      </c>
      <c r="B61" s="1">
        <v>20.0</v>
      </c>
      <c r="C61" s="1">
        <v>18.0</v>
      </c>
      <c r="D61" s="1">
        <v>11.0</v>
      </c>
      <c r="E61" s="1">
        <v>10.75</v>
      </c>
      <c r="F61" s="1">
        <v>0.0</v>
      </c>
      <c r="G61" s="1">
        <v>0.0</v>
      </c>
      <c r="H61" s="1">
        <v>0.0</v>
      </c>
    </row>
    <row r="62">
      <c r="A62" s="1" t="s">
        <v>2585</v>
      </c>
      <c r="B62" s="1">
        <v>19.0</v>
      </c>
      <c r="C62" s="1">
        <v>17.0</v>
      </c>
      <c r="D62" s="1">
        <v>17.0</v>
      </c>
      <c r="E62" s="1">
        <v>29.3684210526315</v>
      </c>
      <c r="F62" s="1">
        <v>0.0</v>
      </c>
      <c r="G62" s="1">
        <v>0.0</v>
      </c>
      <c r="H62" s="1">
        <v>0.0</v>
      </c>
    </row>
    <row r="63">
      <c r="A63" s="1" t="s">
        <v>2586</v>
      </c>
      <c r="B63" s="1">
        <v>19.0</v>
      </c>
      <c r="C63" s="1">
        <v>17.0</v>
      </c>
      <c r="D63" s="1">
        <v>17.0</v>
      </c>
      <c r="E63" s="1">
        <v>39.9473684210526</v>
      </c>
      <c r="F63" s="1">
        <v>0.0</v>
      </c>
      <c r="G63" s="1">
        <v>0.0</v>
      </c>
      <c r="H63" s="1">
        <v>0.0</v>
      </c>
    </row>
    <row r="64">
      <c r="A64" s="1" t="s">
        <v>2587</v>
      </c>
      <c r="B64" s="1">
        <v>19.0</v>
      </c>
      <c r="C64" s="1">
        <v>19.0</v>
      </c>
      <c r="D64" s="1">
        <v>15.0</v>
      </c>
      <c r="E64" s="1">
        <v>106.052631578947</v>
      </c>
      <c r="F64" s="1">
        <v>12.0</v>
      </c>
      <c r="G64" s="1">
        <v>0.0</v>
      </c>
      <c r="H64" s="1">
        <v>0.210526315789473</v>
      </c>
    </row>
    <row r="65">
      <c r="A65" s="1" t="s">
        <v>2588</v>
      </c>
      <c r="B65" s="1">
        <v>19.0</v>
      </c>
      <c r="C65" s="1">
        <v>12.0</v>
      </c>
      <c r="D65" s="1">
        <v>11.0</v>
      </c>
      <c r="E65" s="1">
        <v>22.3157894736842</v>
      </c>
      <c r="F65" s="1">
        <v>8.0</v>
      </c>
      <c r="G65" s="1">
        <v>0.0</v>
      </c>
      <c r="H65" s="1">
        <v>0.31578947368421</v>
      </c>
    </row>
    <row r="66">
      <c r="A66" s="1" t="s">
        <v>2589</v>
      </c>
      <c r="B66" s="1">
        <v>18.0</v>
      </c>
      <c r="C66" s="1">
        <v>14.0</v>
      </c>
      <c r="D66" s="1">
        <v>12.0</v>
      </c>
      <c r="E66" s="1">
        <v>40.1666666666666</v>
      </c>
      <c r="F66" s="1">
        <v>2.0</v>
      </c>
      <c r="G66" s="1">
        <v>0.0</v>
      </c>
      <c r="H66" s="1">
        <v>0.111111111111111</v>
      </c>
    </row>
    <row r="67">
      <c r="A67" s="1" t="s">
        <v>452</v>
      </c>
      <c r="B67" s="1">
        <v>18.0</v>
      </c>
      <c r="C67" s="1">
        <v>15.0</v>
      </c>
      <c r="D67" s="1">
        <v>11.0</v>
      </c>
      <c r="E67" s="1">
        <v>42.6111111111111</v>
      </c>
      <c r="F67" s="1">
        <v>0.0</v>
      </c>
      <c r="G67" s="1">
        <v>0.0</v>
      </c>
      <c r="H67" s="1">
        <v>0.0</v>
      </c>
    </row>
    <row r="68">
      <c r="A68" s="1" t="s">
        <v>2590</v>
      </c>
      <c r="B68" s="1">
        <v>18.0</v>
      </c>
      <c r="C68" s="1">
        <v>18.0</v>
      </c>
      <c r="D68" s="1">
        <v>18.0</v>
      </c>
      <c r="E68" s="1">
        <v>0.0</v>
      </c>
      <c r="F68" s="1">
        <v>0.0</v>
      </c>
      <c r="G68" s="1">
        <v>0.0</v>
      </c>
      <c r="H68" s="1">
        <v>0.0</v>
      </c>
    </row>
    <row r="69">
      <c r="A69" s="1" t="s">
        <v>2591</v>
      </c>
      <c r="B69" s="1">
        <v>18.0</v>
      </c>
      <c r="C69" s="1">
        <v>17.0</v>
      </c>
      <c r="D69" s="1">
        <v>14.0</v>
      </c>
      <c r="E69" s="1">
        <v>39.8333333333333</v>
      </c>
      <c r="F69" s="1">
        <v>0.0</v>
      </c>
      <c r="G69" s="1">
        <v>0.0</v>
      </c>
      <c r="H69" s="1">
        <v>0.0</v>
      </c>
    </row>
    <row r="70">
      <c r="A70" s="1" t="s">
        <v>2592</v>
      </c>
      <c r="B70" s="1">
        <v>18.0</v>
      </c>
      <c r="C70" s="1">
        <v>13.0</v>
      </c>
      <c r="D70" s="1">
        <v>12.0</v>
      </c>
      <c r="E70" s="1">
        <v>28.1666666666666</v>
      </c>
      <c r="F70" s="1">
        <v>0.0</v>
      </c>
      <c r="G70" s="1">
        <v>0.0</v>
      </c>
      <c r="H70" s="1">
        <v>0.0</v>
      </c>
    </row>
    <row r="71">
      <c r="A71" s="1" t="s">
        <v>2593</v>
      </c>
      <c r="B71" s="1">
        <v>18.0</v>
      </c>
      <c r="C71" s="1">
        <v>18.0</v>
      </c>
      <c r="D71" s="1">
        <v>18.0</v>
      </c>
      <c r="E71" s="1">
        <v>81.3333333333333</v>
      </c>
      <c r="F71" s="1">
        <v>2.0</v>
      </c>
      <c r="G71" s="1">
        <v>0.0</v>
      </c>
      <c r="H71" s="1">
        <v>0.0555555555555555</v>
      </c>
    </row>
    <row r="72">
      <c r="A72" s="1" t="s">
        <v>2594</v>
      </c>
      <c r="B72" s="1">
        <v>17.0</v>
      </c>
      <c r="C72" s="1">
        <v>16.0</v>
      </c>
      <c r="D72" s="1">
        <v>16.0</v>
      </c>
      <c r="E72" s="1">
        <v>46.4117647058823</v>
      </c>
      <c r="F72" s="1">
        <v>0.0</v>
      </c>
      <c r="G72" s="1">
        <v>0.0</v>
      </c>
      <c r="H72" s="1">
        <v>0.0</v>
      </c>
    </row>
    <row r="73">
      <c r="A73" s="1" t="s">
        <v>2595</v>
      </c>
      <c r="B73" s="1">
        <v>17.0</v>
      </c>
      <c r="C73" s="1">
        <v>16.0</v>
      </c>
      <c r="D73" s="1">
        <v>14.0</v>
      </c>
      <c r="E73" s="1">
        <v>35.8235294117647</v>
      </c>
      <c r="F73" s="1">
        <v>0.0</v>
      </c>
      <c r="G73" s="1">
        <v>0.0</v>
      </c>
      <c r="H73" s="1">
        <v>0.0</v>
      </c>
    </row>
    <row r="74">
      <c r="A74" s="1" t="s">
        <v>2596</v>
      </c>
      <c r="B74" s="1">
        <v>17.0</v>
      </c>
      <c r="C74" s="1">
        <v>16.0</v>
      </c>
      <c r="D74" s="1">
        <v>16.0</v>
      </c>
      <c r="E74" s="1">
        <v>36.8235294117647</v>
      </c>
      <c r="F74" s="1">
        <v>0.0</v>
      </c>
      <c r="G74" s="1">
        <v>0.0</v>
      </c>
      <c r="H74" s="1">
        <v>0.0</v>
      </c>
    </row>
    <row r="75">
      <c r="A75" s="1" t="s">
        <v>2597</v>
      </c>
      <c r="B75" s="1">
        <v>16.0</v>
      </c>
      <c r="C75" s="1">
        <v>16.0</v>
      </c>
      <c r="D75" s="1">
        <v>15.0</v>
      </c>
      <c r="E75" s="1">
        <v>8.0625</v>
      </c>
      <c r="F75" s="1">
        <v>9.0</v>
      </c>
      <c r="G75" s="1">
        <v>0.0</v>
      </c>
      <c r="H75" s="1">
        <v>0.5625</v>
      </c>
    </row>
    <row r="76">
      <c r="A76" s="1" t="s">
        <v>2598</v>
      </c>
      <c r="B76" s="1">
        <v>16.0</v>
      </c>
      <c r="C76" s="1">
        <v>16.0</v>
      </c>
      <c r="D76" s="1">
        <v>14.0</v>
      </c>
      <c r="E76" s="1">
        <v>187.3125</v>
      </c>
      <c r="F76" s="1">
        <v>3.0</v>
      </c>
      <c r="G76" s="1">
        <v>0.0</v>
      </c>
      <c r="H76" s="1">
        <v>0.1875</v>
      </c>
    </row>
    <row r="77">
      <c r="A77" s="1" t="s">
        <v>2599</v>
      </c>
      <c r="B77" s="1">
        <v>16.0</v>
      </c>
      <c r="C77" s="1">
        <v>16.0</v>
      </c>
      <c r="D77" s="1">
        <v>16.0</v>
      </c>
      <c r="E77" s="1">
        <v>17.5625</v>
      </c>
      <c r="F77" s="1">
        <v>0.0</v>
      </c>
      <c r="G77" s="1">
        <v>0.0</v>
      </c>
      <c r="H77" s="1">
        <v>0.0</v>
      </c>
    </row>
    <row r="78">
      <c r="A78" s="1" t="s">
        <v>2600</v>
      </c>
      <c r="B78" s="1">
        <v>15.0</v>
      </c>
      <c r="C78" s="1">
        <v>12.0</v>
      </c>
      <c r="D78" s="1">
        <v>12.0</v>
      </c>
      <c r="E78" s="1">
        <v>25.3333333333333</v>
      </c>
      <c r="F78" s="1">
        <v>0.0</v>
      </c>
      <c r="G78" s="1">
        <v>0.0</v>
      </c>
      <c r="H78" s="1">
        <v>0.0</v>
      </c>
    </row>
    <row r="79">
      <c r="A79" s="1" t="s">
        <v>2601</v>
      </c>
      <c r="B79" s="1">
        <v>15.0</v>
      </c>
      <c r="C79" s="1">
        <v>8.0</v>
      </c>
      <c r="D79" s="1">
        <v>2.0</v>
      </c>
      <c r="E79" s="1">
        <v>11.7333333333333</v>
      </c>
      <c r="F79" s="1">
        <v>0.0</v>
      </c>
      <c r="G79" s="1">
        <v>0.0</v>
      </c>
      <c r="H79" s="1">
        <v>0.0</v>
      </c>
    </row>
    <row r="80">
      <c r="A80" s="1" t="s">
        <v>2602</v>
      </c>
      <c r="B80" s="1">
        <v>14.0</v>
      </c>
      <c r="C80" s="1">
        <v>12.0</v>
      </c>
      <c r="D80" s="1">
        <v>12.0</v>
      </c>
      <c r="E80" s="1">
        <v>147.071428571428</v>
      </c>
      <c r="F80" s="1">
        <v>0.0</v>
      </c>
      <c r="G80" s="1">
        <v>0.0</v>
      </c>
      <c r="H80" s="1">
        <v>0.0</v>
      </c>
    </row>
    <row r="81">
      <c r="A81" s="1" t="s">
        <v>2603</v>
      </c>
      <c r="B81" s="1">
        <v>14.0</v>
      </c>
      <c r="C81" s="1">
        <v>13.0</v>
      </c>
      <c r="D81" s="1">
        <v>12.0</v>
      </c>
      <c r="E81" s="1">
        <v>39.0714285714285</v>
      </c>
      <c r="F81" s="1">
        <v>3.0</v>
      </c>
      <c r="G81" s="1">
        <v>0.0</v>
      </c>
      <c r="H81" s="1">
        <v>0.214285714285714</v>
      </c>
    </row>
    <row r="82">
      <c r="A82" s="1" t="s">
        <v>2604</v>
      </c>
      <c r="B82" s="1">
        <v>14.0</v>
      </c>
      <c r="C82" s="1">
        <v>12.0</v>
      </c>
      <c r="D82" s="1">
        <v>11.0</v>
      </c>
      <c r="E82" s="1">
        <v>0.5</v>
      </c>
      <c r="F82" s="1">
        <v>0.0</v>
      </c>
      <c r="G82" s="1">
        <v>0.0</v>
      </c>
      <c r="H82" s="1">
        <v>0.0</v>
      </c>
    </row>
    <row r="83">
      <c r="A83" s="1" t="s">
        <v>2605</v>
      </c>
      <c r="B83" s="1">
        <v>14.0</v>
      </c>
      <c r="C83" s="1">
        <v>11.0</v>
      </c>
      <c r="D83" s="1">
        <v>5.0</v>
      </c>
      <c r="E83" s="1">
        <v>75.6428571428571</v>
      </c>
      <c r="F83" s="1">
        <v>0.0</v>
      </c>
      <c r="G83" s="1">
        <v>0.0</v>
      </c>
      <c r="H83" s="1">
        <v>0.0</v>
      </c>
    </row>
    <row r="84">
      <c r="A84" s="1" t="s">
        <v>2606</v>
      </c>
      <c r="B84" s="1">
        <v>13.0</v>
      </c>
      <c r="C84" s="1">
        <v>13.0</v>
      </c>
      <c r="D84" s="1">
        <v>13.0</v>
      </c>
      <c r="E84" s="1">
        <v>37.1538461538461</v>
      </c>
      <c r="F84" s="1">
        <v>1.0</v>
      </c>
      <c r="G84" s="1">
        <v>0.0</v>
      </c>
      <c r="H84" s="1">
        <v>0.0769230769230769</v>
      </c>
    </row>
    <row r="85">
      <c r="A85" s="1" t="s">
        <v>2607</v>
      </c>
      <c r="B85" s="1">
        <v>13.0</v>
      </c>
      <c r="C85" s="1">
        <v>12.0</v>
      </c>
      <c r="D85" s="1">
        <v>11.0</v>
      </c>
      <c r="E85" s="1">
        <v>20.076923076923</v>
      </c>
      <c r="F85" s="1">
        <v>1.0</v>
      </c>
      <c r="G85" s="1">
        <v>0.0</v>
      </c>
      <c r="H85" s="1">
        <v>0.0769230769230769</v>
      </c>
    </row>
    <row r="86">
      <c r="A86" s="1" t="s">
        <v>2608</v>
      </c>
      <c r="B86" s="1">
        <v>13.0</v>
      </c>
      <c r="C86" s="1">
        <v>13.0</v>
      </c>
      <c r="D86" s="1">
        <v>13.0</v>
      </c>
      <c r="E86" s="1">
        <v>30.076923076923</v>
      </c>
      <c r="F86" s="1">
        <v>0.0</v>
      </c>
      <c r="G86" s="1">
        <v>0.0</v>
      </c>
      <c r="H86" s="1">
        <v>0.0</v>
      </c>
    </row>
    <row r="87">
      <c r="A87" s="1" t="s">
        <v>2609</v>
      </c>
      <c r="B87" s="1">
        <v>13.0</v>
      </c>
      <c r="C87" s="1">
        <v>10.0</v>
      </c>
      <c r="D87" s="1">
        <v>10.0</v>
      </c>
      <c r="E87" s="1">
        <v>25.7692307692307</v>
      </c>
      <c r="F87" s="1">
        <v>0.0</v>
      </c>
      <c r="G87" s="1">
        <v>0.0</v>
      </c>
      <c r="H87" s="1">
        <v>0.0</v>
      </c>
    </row>
    <row r="88">
      <c r="A88" s="1" t="s">
        <v>2610</v>
      </c>
      <c r="B88" s="1">
        <v>13.0</v>
      </c>
      <c r="C88" s="1">
        <v>13.0</v>
      </c>
      <c r="D88" s="1">
        <v>13.0</v>
      </c>
      <c r="E88" s="1">
        <v>68.3846153846153</v>
      </c>
      <c r="F88" s="1">
        <v>0.0</v>
      </c>
      <c r="G88" s="1">
        <v>0.0</v>
      </c>
      <c r="H88" s="1">
        <v>0.0</v>
      </c>
    </row>
    <row r="89">
      <c r="A89" s="1" t="s">
        <v>2611</v>
      </c>
      <c r="B89" s="1">
        <v>13.0</v>
      </c>
      <c r="C89" s="1">
        <v>13.0</v>
      </c>
      <c r="D89" s="1">
        <v>12.0</v>
      </c>
      <c r="E89" s="1">
        <v>0.0</v>
      </c>
      <c r="F89" s="1">
        <v>0.0</v>
      </c>
      <c r="G89" s="1">
        <v>0.0</v>
      </c>
      <c r="H89" s="1">
        <v>0.0</v>
      </c>
    </row>
    <row r="90">
      <c r="A90" s="1" t="s">
        <v>2612</v>
      </c>
      <c r="B90" s="1">
        <v>13.0</v>
      </c>
      <c r="C90" s="1">
        <v>12.0</v>
      </c>
      <c r="D90" s="1">
        <v>10.0</v>
      </c>
      <c r="E90" s="1">
        <v>42.4615384615384</v>
      </c>
      <c r="F90" s="1">
        <v>0.0</v>
      </c>
      <c r="G90" s="1">
        <v>0.0</v>
      </c>
      <c r="H90" s="1">
        <v>0.0</v>
      </c>
    </row>
    <row r="91">
      <c r="A91" s="1" t="s">
        <v>2613</v>
      </c>
      <c r="B91" s="1">
        <v>12.0</v>
      </c>
      <c r="C91" s="1">
        <v>11.0</v>
      </c>
      <c r="D91" s="1">
        <v>11.0</v>
      </c>
      <c r="E91" s="1">
        <v>33.0</v>
      </c>
      <c r="F91" s="1">
        <v>0.0</v>
      </c>
      <c r="G91" s="1">
        <v>0.0</v>
      </c>
      <c r="H91" s="1">
        <v>0.0</v>
      </c>
    </row>
    <row r="92">
      <c r="A92" s="1" t="s">
        <v>2614</v>
      </c>
      <c r="B92" s="1">
        <v>12.0</v>
      </c>
      <c r="C92" s="1">
        <v>12.0</v>
      </c>
      <c r="D92" s="1">
        <v>12.0</v>
      </c>
      <c r="E92" s="1">
        <v>119.833333333333</v>
      </c>
      <c r="F92" s="1">
        <v>0.0</v>
      </c>
      <c r="G92" s="1">
        <v>0.0</v>
      </c>
      <c r="H92" s="1">
        <v>0.0</v>
      </c>
    </row>
    <row r="93">
      <c r="A93" s="1" t="s">
        <v>2615</v>
      </c>
      <c r="B93" s="1">
        <v>11.0</v>
      </c>
      <c r="C93" s="1">
        <v>11.0</v>
      </c>
      <c r="D93" s="1">
        <v>11.0</v>
      </c>
      <c r="E93" s="1">
        <v>89.3636363636363</v>
      </c>
      <c r="F93" s="1">
        <v>0.0</v>
      </c>
      <c r="G93" s="1">
        <v>0.0</v>
      </c>
      <c r="H93" s="1">
        <v>0.0</v>
      </c>
    </row>
    <row r="94">
      <c r="A94" s="1" t="s">
        <v>2616</v>
      </c>
      <c r="B94" s="1">
        <v>11.0</v>
      </c>
      <c r="C94" s="1">
        <v>11.0</v>
      </c>
      <c r="D94" s="1">
        <v>11.0</v>
      </c>
      <c r="E94" s="1">
        <v>2.18181818181818</v>
      </c>
      <c r="F94" s="1">
        <v>0.0</v>
      </c>
      <c r="G94" s="1">
        <v>0.0</v>
      </c>
      <c r="H94" s="1">
        <v>0.0</v>
      </c>
    </row>
    <row r="95">
      <c r="A95" s="1" t="s">
        <v>2617</v>
      </c>
      <c r="B95" s="1">
        <v>11.0</v>
      </c>
      <c r="C95" s="1">
        <v>11.0</v>
      </c>
      <c r="D95" s="1">
        <v>7.0</v>
      </c>
      <c r="E95" s="1">
        <v>4.9090909090909</v>
      </c>
      <c r="F95" s="1">
        <v>7.0</v>
      </c>
      <c r="G95" s="1">
        <v>0.0</v>
      </c>
      <c r="H95" s="1">
        <v>0.0909090909090909</v>
      </c>
    </row>
    <row r="96">
      <c r="A96" s="1" t="s">
        <v>2618</v>
      </c>
      <c r="B96" s="1">
        <v>11.0</v>
      </c>
      <c r="C96" s="1">
        <v>10.0</v>
      </c>
      <c r="D96" s="1">
        <v>10.0</v>
      </c>
      <c r="E96" s="1">
        <v>38.7272727272727</v>
      </c>
      <c r="F96" s="1">
        <v>0.0</v>
      </c>
      <c r="G96" s="1">
        <v>0.0</v>
      </c>
      <c r="H96" s="1">
        <v>0.0</v>
      </c>
    </row>
    <row r="97">
      <c r="A97" s="1" t="s">
        <v>2619</v>
      </c>
      <c r="B97" s="1">
        <v>11.0</v>
      </c>
      <c r="C97" s="1">
        <v>11.0</v>
      </c>
      <c r="D97" s="1">
        <v>11.0</v>
      </c>
      <c r="E97" s="1">
        <v>70.1818181818181</v>
      </c>
      <c r="F97" s="1">
        <v>0.0</v>
      </c>
      <c r="G97" s="1">
        <v>0.0</v>
      </c>
      <c r="H97" s="1">
        <v>0.0</v>
      </c>
    </row>
    <row r="98">
      <c r="A98" s="1" t="s">
        <v>2620</v>
      </c>
      <c r="B98" s="1">
        <v>10.0</v>
      </c>
      <c r="C98" s="1">
        <v>7.0</v>
      </c>
      <c r="D98" s="1">
        <v>4.0</v>
      </c>
      <c r="E98" s="1">
        <v>86.4</v>
      </c>
      <c r="F98" s="1">
        <v>8.0</v>
      </c>
      <c r="G98" s="1">
        <v>0.0</v>
      </c>
      <c r="H98" s="1">
        <v>0.1</v>
      </c>
    </row>
    <row r="99">
      <c r="A99" s="1" t="s">
        <v>2621</v>
      </c>
      <c r="B99" s="1">
        <v>10.0</v>
      </c>
      <c r="C99" s="1">
        <v>7.0</v>
      </c>
      <c r="D99" s="1">
        <v>7.0</v>
      </c>
      <c r="E99" s="1">
        <v>70.0</v>
      </c>
      <c r="F99" s="1">
        <v>0.0</v>
      </c>
      <c r="G99" s="1">
        <v>0.0</v>
      </c>
      <c r="H99" s="1">
        <v>0.0</v>
      </c>
    </row>
    <row r="100">
      <c r="A100" s="1" t="s">
        <v>2622</v>
      </c>
      <c r="B100" s="1">
        <v>10.0</v>
      </c>
      <c r="C100" s="1">
        <v>10.0</v>
      </c>
      <c r="D100" s="1">
        <v>8.0</v>
      </c>
      <c r="E100" s="1">
        <v>3.5</v>
      </c>
      <c r="F100" s="1">
        <v>0.0</v>
      </c>
      <c r="G100" s="1">
        <v>0.0</v>
      </c>
      <c r="H100" s="1">
        <v>0.0</v>
      </c>
    </row>
    <row r="101">
      <c r="A101" s="1" t="s">
        <v>2623</v>
      </c>
      <c r="B101" s="1">
        <v>9.0</v>
      </c>
      <c r="C101" s="1">
        <v>9.0</v>
      </c>
      <c r="D101" s="1">
        <v>9.0</v>
      </c>
      <c r="E101" s="1">
        <v>163.888888888888</v>
      </c>
      <c r="F101" s="1">
        <v>0.0</v>
      </c>
      <c r="G101" s="1">
        <v>0.0</v>
      </c>
      <c r="H101" s="1">
        <v>0.0</v>
      </c>
    </row>
    <row r="102">
      <c r="A102" s="1" t="s">
        <v>2624</v>
      </c>
      <c r="B102" s="1">
        <v>9.0</v>
      </c>
      <c r="C102" s="1">
        <v>9.0</v>
      </c>
      <c r="D102" s="1">
        <v>9.0</v>
      </c>
      <c r="E102" s="1">
        <v>36.4444444444444</v>
      </c>
      <c r="F102" s="1">
        <v>1.0</v>
      </c>
      <c r="G102" s="1">
        <v>0.0</v>
      </c>
      <c r="H102" s="1">
        <v>0.111111111111111</v>
      </c>
    </row>
    <row r="103">
      <c r="A103" s="1" t="s">
        <v>2625</v>
      </c>
      <c r="B103" s="1">
        <v>9.0</v>
      </c>
      <c r="C103" s="1">
        <v>6.0</v>
      </c>
      <c r="D103" s="1">
        <v>5.0</v>
      </c>
      <c r="E103" s="1">
        <v>16.1111111111111</v>
      </c>
      <c r="F103" s="1">
        <v>0.0</v>
      </c>
      <c r="G103" s="1">
        <v>0.0</v>
      </c>
      <c r="H103" s="1">
        <v>0.0</v>
      </c>
    </row>
    <row r="104">
      <c r="A104" s="1" t="s">
        <v>2626</v>
      </c>
      <c r="B104" s="1">
        <v>9.0</v>
      </c>
      <c r="C104" s="1">
        <v>9.0</v>
      </c>
      <c r="D104" s="1">
        <v>9.0</v>
      </c>
      <c r="E104" s="1">
        <v>119.666666666666</v>
      </c>
      <c r="F104" s="1">
        <v>0.0</v>
      </c>
      <c r="G104" s="1">
        <v>0.0</v>
      </c>
      <c r="H104" s="1">
        <v>0.0</v>
      </c>
    </row>
    <row r="105">
      <c r="A105" s="1" t="s">
        <v>2627</v>
      </c>
      <c r="B105" s="1">
        <v>9.0</v>
      </c>
      <c r="C105" s="1">
        <v>9.0</v>
      </c>
      <c r="D105" s="1">
        <v>9.0</v>
      </c>
      <c r="E105" s="1">
        <v>65.3333333333333</v>
      </c>
      <c r="F105" s="1">
        <v>0.0</v>
      </c>
      <c r="G105" s="1">
        <v>0.0</v>
      </c>
      <c r="H105" s="1">
        <v>0.0</v>
      </c>
    </row>
    <row r="106">
      <c r="A106" s="1" t="s">
        <v>2628</v>
      </c>
      <c r="B106" s="1">
        <v>9.0</v>
      </c>
      <c r="C106" s="1">
        <v>8.0</v>
      </c>
      <c r="D106" s="1">
        <v>8.0</v>
      </c>
      <c r="E106" s="1">
        <v>57.4444444444444</v>
      </c>
      <c r="F106" s="1">
        <v>0.0</v>
      </c>
      <c r="G106" s="1">
        <v>0.0</v>
      </c>
      <c r="H106" s="1">
        <v>0.0</v>
      </c>
    </row>
    <row r="107">
      <c r="A107" s="1" t="s">
        <v>2629</v>
      </c>
      <c r="B107" s="1">
        <v>9.0</v>
      </c>
      <c r="C107" s="1">
        <v>8.0</v>
      </c>
      <c r="D107" s="1">
        <v>4.0</v>
      </c>
      <c r="E107" s="1">
        <v>21.8888888888888</v>
      </c>
      <c r="F107" s="1">
        <v>0.0</v>
      </c>
      <c r="G107" s="1">
        <v>0.0</v>
      </c>
      <c r="H107" s="1">
        <v>0.0</v>
      </c>
    </row>
    <row r="108">
      <c r="A108" s="1" t="s">
        <v>2630</v>
      </c>
      <c r="B108" s="1">
        <v>9.0</v>
      </c>
      <c r="C108" s="1">
        <v>9.0</v>
      </c>
      <c r="D108" s="1">
        <v>9.0</v>
      </c>
      <c r="E108" s="1">
        <v>49.1111111111111</v>
      </c>
      <c r="F108" s="1">
        <v>0.0</v>
      </c>
      <c r="G108" s="1">
        <v>0.0</v>
      </c>
      <c r="H108" s="1">
        <v>0.0</v>
      </c>
    </row>
    <row r="109">
      <c r="A109" s="1" t="s">
        <v>2631</v>
      </c>
      <c r="B109" s="1">
        <v>8.0</v>
      </c>
      <c r="C109" s="1">
        <v>7.0</v>
      </c>
      <c r="D109" s="1">
        <v>7.0</v>
      </c>
      <c r="E109" s="1">
        <v>37.125</v>
      </c>
      <c r="F109" s="1">
        <v>0.0</v>
      </c>
      <c r="G109" s="1">
        <v>0.0</v>
      </c>
      <c r="H109" s="1">
        <v>0.0</v>
      </c>
    </row>
    <row r="110">
      <c r="A110" s="1" t="s">
        <v>2632</v>
      </c>
      <c r="B110" s="1">
        <v>8.0</v>
      </c>
      <c r="C110" s="1">
        <v>6.0</v>
      </c>
      <c r="D110" s="1">
        <v>6.0</v>
      </c>
      <c r="E110" s="1">
        <v>43.5</v>
      </c>
      <c r="F110" s="1">
        <v>0.0</v>
      </c>
      <c r="G110" s="1">
        <v>0.0</v>
      </c>
      <c r="H110" s="1">
        <v>0.0</v>
      </c>
    </row>
    <row r="111">
      <c r="A111" s="1" t="s">
        <v>2633</v>
      </c>
      <c r="B111" s="1">
        <v>8.0</v>
      </c>
      <c r="C111" s="1">
        <v>6.0</v>
      </c>
      <c r="D111" s="1">
        <v>6.0</v>
      </c>
      <c r="E111" s="1">
        <v>67.0</v>
      </c>
      <c r="F111" s="1">
        <v>0.0</v>
      </c>
      <c r="G111" s="1">
        <v>0.0</v>
      </c>
      <c r="H111" s="1">
        <v>0.0</v>
      </c>
    </row>
    <row r="112">
      <c r="A112" s="1" t="s">
        <v>456</v>
      </c>
      <c r="B112" s="1">
        <v>8.0</v>
      </c>
      <c r="C112" s="1">
        <v>7.0</v>
      </c>
      <c r="D112" s="1">
        <v>6.0</v>
      </c>
      <c r="E112" s="1">
        <v>6.5</v>
      </c>
      <c r="F112" s="1">
        <v>0.0</v>
      </c>
      <c r="G112" s="1">
        <v>0.0</v>
      </c>
      <c r="H112" s="1">
        <v>0.0</v>
      </c>
    </row>
    <row r="113">
      <c r="A113" s="1" t="s">
        <v>2634</v>
      </c>
      <c r="B113" s="1">
        <v>8.0</v>
      </c>
      <c r="C113" s="1">
        <v>4.0</v>
      </c>
      <c r="D113" s="1">
        <v>1.0</v>
      </c>
      <c r="E113" s="1">
        <v>29.375</v>
      </c>
      <c r="F113" s="1">
        <v>7.0</v>
      </c>
      <c r="G113" s="1">
        <v>0.0</v>
      </c>
      <c r="H113" s="1">
        <v>0.125</v>
      </c>
    </row>
    <row r="114">
      <c r="A114" s="1" t="s">
        <v>2635</v>
      </c>
      <c r="B114" s="1">
        <v>8.0</v>
      </c>
      <c r="C114" s="1">
        <v>6.0</v>
      </c>
      <c r="D114" s="1">
        <v>0.0</v>
      </c>
      <c r="E114" s="1">
        <v>140.375</v>
      </c>
      <c r="F114" s="1">
        <v>4.0</v>
      </c>
      <c r="G114" s="1">
        <v>0.0</v>
      </c>
      <c r="H114" s="1">
        <v>0.375</v>
      </c>
    </row>
    <row r="115">
      <c r="A115" s="1" t="s">
        <v>2636</v>
      </c>
      <c r="B115" s="1">
        <v>8.0</v>
      </c>
      <c r="C115" s="1">
        <v>4.0</v>
      </c>
      <c r="D115" s="1">
        <v>0.0</v>
      </c>
      <c r="E115" s="1">
        <v>0.875</v>
      </c>
      <c r="F115" s="1">
        <v>6.0</v>
      </c>
      <c r="G115" s="1">
        <v>0.0</v>
      </c>
      <c r="H115" s="1">
        <v>0.75</v>
      </c>
    </row>
    <row r="116">
      <c r="A116" s="1" t="s">
        <v>2637</v>
      </c>
      <c r="B116" s="1">
        <v>8.0</v>
      </c>
      <c r="C116" s="1">
        <v>8.0</v>
      </c>
      <c r="D116" s="1">
        <v>5.0</v>
      </c>
      <c r="E116" s="1">
        <v>44.375</v>
      </c>
      <c r="F116" s="1">
        <v>0.0</v>
      </c>
      <c r="G116" s="1">
        <v>0.0</v>
      </c>
      <c r="H116" s="1">
        <v>0.0</v>
      </c>
    </row>
    <row r="117">
      <c r="A117" s="1" t="s">
        <v>2638</v>
      </c>
      <c r="B117" s="1">
        <v>8.0</v>
      </c>
      <c r="C117" s="1">
        <v>8.0</v>
      </c>
      <c r="D117" s="1">
        <v>6.0</v>
      </c>
      <c r="E117" s="1">
        <v>67.375</v>
      </c>
      <c r="F117" s="1">
        <v>0.0</v>
      </c>
      <c r="G117" s="1">
        <v>0.0</v>
      </c>
      <c r="H117" s="1">
        <v>0.0</v>
      </c>
    </row>
    <row r="118">
      <c r="A118" s="1" t="s">
        <v>2639</v>
      </c>
      <c r="B118" s="1">
        <v>8.0</v>
      </c>
      <c r="C118" s="1">
        <v>7.0</v>
      </c>
      <c r="D118" s="1">
        <v>6.0</v>
      </c>
      <c r="E118" s="1">
        <v>6.625</v>
      </c>
      <c r="F118" s="1">
        <v>2.0</v>
      </c>
      <c r="G118" s="1">
        <v>0.0</v>
      </c>
      <c r="H118" s="1">
        <v>0.125</v>
      </c>
    </row>
    <row r="119">
      <c r="A119" s="1" t="s">
        <v>2640</v>
      </c>
      <c r="B119" s="1">
        <v>8.0</v>
      </c>
      <c r="C119" s="1">
        <v>8.0</v>
      </c>
      <c r="D119" s="1">
        <v>7.0</v>
      </c>
      <c r="E119" s="1">
        <v>6.625</v>
      </c>
      <c r="F119" s="1">
        <v>12.0</v>
      </c>
      <c r="G119" s="1">
        <v>0.0</v>
      </c>
      <c r="H119" s="1">
        <v>1.0</v>
      </c>
    </row>
    <row r="120">
      <c r="A120" s="1" t="s">
        <v>2641</v>
      </c>
      <c r="B120" s="1">
        <v>7.0</v>
      </c>
      <c r="C120" s="1">
        <v>7.0</v>
      </c>
      <c r="D120" s="1">
        <v>7.0</v>
      </c>
      <c r="E120" s="1">
        <v>19.5714285714285</v>
      </c>
      <c r="F120" s="1">
        <v>0.0</v>
      </c>
      <c r="G120" s="1">
        <v>0.0</v>
      </c>
      <c r="H120" s="1">
        <v>0.0</v>
      </c>
    </row>
    <row r="121">
      <c r="A121" s="1" t="s">
        <v>2642</v>
      </c>
      <c r="B121" s="1">
        <v>7.0</v>
      </c>
      <c r="C121" s="1">
        <v>4.0</v>
      </c>
      <c r="D121" s="1">
        <v>4.0</v>
      </c>
      <c r="E121" s="1">
        <v>29.7142857142857</v>
      </c>
      <c r="F121" s="1">
        <v>0.0</v>
      </c>
      <c r="G121" s="1">
        <v>0.0</v>
      </c>
      <c r="H121" s="1">
        <v>0.0</v>
      </c>
    </row>
    <row r="122">
      <c r="A122" s="1" t="s">
        <v>2643</v>
      </c>
      <c r="B122" s="1">
        <v>7.0</v>
      </c>
      <c r="C122" s="1">
        <v>7.0</v>
      </c>
      <c r="D122" s="1">
        <v>7.0</v>
      </c>
      <c r="E122" s="1">
        <v>9.57142857142857</v>
      </c>
      <c r="F122" s="1">
        <v>0.0</v>
      </c>
      <c r="G122" s="1">
        <v>0.0</v>
      </c>
      <c r="H122" s="1">
        <v>0.0</v>
      </c>
    </row>
    <row r="123">
      <c r="A123" s="1" t="s">
        <v>2644</v>
      </c>
      <c r="B123" s="1">
        <v>7.0</v>
      </c>
      <c r="C123" s="1">
        <v>6.0</v>
      </c>
      <c r="D123" s="1">
        <v>6.0</v>
      </c>
      <c r="E123" s="1">
        <v>183.0</v>
      </c>
      <c r="F123" s="1">
        <v>0.0</v>
      </c>
      <c r="G123" s="1">
        <v>0.0</v>
      </c>
      <c r="H123" s="1">
        <v>0.0</v>
      </c>
    </row>
    <row r="124">
      <c r="A124" s="1" t="s">
        <v>2645</v>
      </c>
      <c r="B124" s="1">
        <v>7.0</v>
      </c>
      <c r="C124" s="1">
        <v>7.0</v>
      </c>
      <c r="D124" s="1">
        <v>6.0</v>
      </c>
      <c r="E124" s="1">
        <v>21.5714285714285</v>
      </c>
      <c r="F124" s="1">
        <v>0.0</v>
      </c>
      <c r="G124" s="1">
        <v>0.0</v>
      </c>
      <c r="H124" s="1">
        <v>0.0</v>
      </c>
    </row>
    <row r="125">
      <c r="A125" s="1" t="s">
        <v>520</v>
      </c>
      <c r="B125" s="1">
        <v>7.0</v>
      </c>
      <c r="C125" s="1">
        <v>7.0</v>
      </c>
      <c r="D125" s="1">
        <v>5.0</v>
      </c>
      <c r="E125" s="1">
        <v>27.7142857142857</v>
      </c>
      <c r="F125" s="1">
        <v>0.0</v>
      </c>
      <c r="G125" s="1">
        <v>0.0</v>
      </c>
      <c r="H125" s="1">
        <v>0.0</v>
      </c>
    </row>
    <row r="126">
      <c r="A126" s="1" t="s">
        <v>2646</v>
      </c>
      <c r="B126" s="1">
        <v>7.0</v>
      </c>
      <c r="C126" s="1">
        <v>7.0</v>
      </c>
      <c r="D126" s="1">
        <v>7.0</v>
      </c>
      <c r="E126" s="1">
        <v>146.857142857142</v>
      </c>
      <c r="F126" s="1">
        <v>2.0</v>
      </c>
      <c r="G126" s="1">
        <v>0.0</v>
      </c>
      <c r="H126" s="1">
        <v>0.142857142857142</v>
      </c>
    </row>
    <row r="127">
      <c r="A127" s="1" t="s">
        <v>2647</v>
      </c>
      <c r="B127" s="1">
        <v>7.0</v>
      </c>
      <c r="C127" s="1">
        <v>7.0</v>
      </c>
      <c r="D127" s="1">
        <v>7.0</v>
      </c>
      <c r="E127" s="1">
        <v>0.0</v>
      </c>
      <c r="F127" s="1">
        <v>0.0</v>
      </c>
      <c r="G127" s="1">
        <v>0.0</v>
      </c>
      <c r="H127" s="1">
        <v>0.0</v>
      </c>
    </row>
    <row r="128">
      <c r="A128" s="1" t="s">
        <v>2648</v>
      </c>
      <c r="B128" s="1">
        <v>7.0</v>
      </c>
      <c r="C128" s="1">
        <v>7.0</v>
      </c>
      <c r="D128" s="1">
        <v>6.0</v>
      </c>
      <c r="E128" s="1">
        <v>23.2857142857142</v>
      </c>
      <c r="F128" s="1">
        <v>1.0</v>
      </c>
      <c r="G128" s="1">
        <v>0.0</v>
      </c>
      <c r="H128" s="1">
        <v>0.142857142857142</v>
      </c>
    </row>
    <row r="129">
      <c r="A129" s="1" t="s">
        <v>2649</v>
      </c>
      <c r="B129" s="1">
        <v>7.0</v>
      </c>
      <c r="C129" s="1">
        <v>6.0</v>
      </c>
      <c r="D129" s="1">
        <v>5.0</v>
      </c>
      <c r="E129" s="1">
        <v>99.1428571428571</v>
      </c>
      <c r="F129" s="1">
        <v>0.0</v>
      </c>
      <c r="G129" s="1">
        <v>0.0</v>
      </c>
      <c r="H129" s="1">
        <v>0.0</v>
      </c>
    </row>
    <row r="130">
      <c r="A130" s="1" t="s">
        <v>2650</v>
      </c>
      <c r="B130" s="1">
        <v>7.0</v>
      </c>
      <c r="C130" s="1">
        <v>2.0</v>
      </c>
      <c r="D130" s="1">
        <v>1.0</v>
      </c>
      <c r="E130" s="1">
        <v>147.285714285714</v>
      </c>
      <c r="F130" s="1">
        <v>0.0</v>
      </c>
      <c r="G130" s="1">
        <v>0.0</v>
      </c>
      <c r="H130" s="1">
        <v>0.0</v>
      </c>
    </row>
    <row r="131">
      <c r="A131" s="1" t="s">
        <v>2651</v>
      </c>
      <c r="B131" s="1">
        <v>7.0</v>
      </c>
      <c r="C131" s="1">
        <v>7.0</v>
      </c>
      <c r="D131" s="1">
        <v>7.0</v>
      </c>
      <c r="E131" s="1">
        <v>21.4285714285714</v>
      </c>
      <c r="F131" s="1">
        <v>1.0</v>
      </c>
      <c r="G131" s="1">
        <v>0.0</v>
      </c>
      <c r="H131" s="1">
        <v>0.142857142857142</v>
      </c>
    </row>
    <row r="132">
      <c r="A132" s="1" t="s">
        <v>2652</v>
      </c>
      <c r="B132" s="1">
        <v>6.0</v>
      </c>
      <c r="C132" s="1">
        <v>6.0</v>
      </c>
      <c r="D132" s="1">
        <v>6.0</v>
      </c>
      <c r="E132" s="1">
        <v>23.1666666666666</v>
      </c>
      <c r="F132" s="1">
        <v>0.0</v>
      </c>
      <c r="G132" s="1">
        <v>0.0</v>
      </c>
      <c r="H132" s="1">
        <v>0.0</v>
      </c>
    </row>
    <row r="133">
      <c r="A133" s="1" t="s">
        <v>2653</v>
      </c>
      <c r="B133" s="1">
        <v>6.0</v>
      </c>
      <c r="C133" s="1">
        <v>6.0</v>
      </c>
      <c r="D133" s="1">
        <v>6.0</v>
      </c>
      <c r="E133" s="1">
        <v>10.8333333333333</v>
      </c>
      <c r="F133" s="1">
        <v>0.0</v>
      </c>
      <c r="G133" s="1">
        <v>0.0</v>
      </c>
      <c r="H133" s="1">
        <v>0.0</v>
      </c>
    </row>
    <row r="134">
      <c r="A134" s="1" t="s">
        <v>2654</v>
      </c>
      <c r="B134" s="1">
        <v>6.0</v>
      </c>
      <c r="C134" s="1">
        <v>5.0</v>
      </c>
      <c r="D134" s="1">
        <v>4.0</v>
      </c>
      <c r="E134" s="1">
        <v>85.0</v>
      </c>
      <c r="F134" s="1">
        <v>0.0</v>
      </c>
      <c r="G134" s="1">
        <v>0.0</v>
      </c>
      <c r="H134" s="1">
        <v>0.0</v>
      </c>
    </row>
    <row r="135">
      <c r="A135" s="1" t="s">
        <v>2655</v>
      </c>
      <c r="B135" s="1">
        <v>6.0</v>
      </c>
      <c r="C135" s="1">
        <v>5.0</v>
      </c>
      <c r="D135" s="1">
        <v>4.0</v>
      </c>
      <c r="E135" s="1">
        <v>30.1666666666666</v>
      </c>
      <c r="F135" s="1">
        <v>0.0</v>
      </c>
      <c r="G135" s="1">
        <v>0.0</v>
      </c>
      <c r="H135" s="1">
        <v>0.0</v>
      </c>
    </row>
    <row r="136">
      <c r="A136" s="1" t="s">
        <v>2656</v>
      </c>
      <c r="B136" s="1">
        <v>6.0</v>
      </c>
      <c r="C136" s="1">
        <v>6.0</v>
      </c>
      <c r="D136" s="1">
        <v>6.0</v>
      </c>
      <c r="E136" s="1">
        <v>67.8333333333333</v>
      </c>
      <c r="F136" s="1">
        <v>0.0</v>
      </c>
      <c r="G136" s="1">
        <v>0.0</v>
      </c>
      <c r="H136" s="1">
        <v>0.0</v>
      </c>
    </row>
    <row r="137">
      <c r="A137" s="1" t="s">
        <v>2657</v>
      </c>
      <c r="B137" s="1">
        <v>6.0</v>
      </c>
      <c r="C137" s="1">
        <v>6.0</v>
      </c>
      <c r="D137" s="1">
        <v>6.0</v>
      </c>
      <c r="E137" s="1">
        <v>47.1666666666666</v>
      </c>
      <c r="F137" s="1">
        <v>0.0</v>
      </c>
      <c r="G137" s="1">
        <v>0.0</v>
      </c>
      <c r="H137" s="1">
        <v>0.0</v>
      </c>
    </row>
    <row r="138">
      <c r="A138" s="1" t="s">
        <v>2658</v>
      </c>
      <c r="B138" s="1">
        <v>6.0</v>
      </c>
      <c r="C138" s="1">
        <v>6.0</v>
      </c>
      <c r="D138" s="1">
        <v>5.0</v>
      </c>
      <c r="E138" s="1">
        <v>115.166666666666</v>
      </c>
      <c r="F138" s="1">
        <v>1.0</v>
      </c>
      <c r="G138" s="1">
        <v>0.0</v>
      </c>
      <c r="H138" s="1">
        <v>0.166666666666666</v>
      </c>
    </row>
    <row r="139">
      <c r="A139" s="1" t="s">
        <v>2659</v>
      </c>
      <c r="B139" s="1">
        <v>6.0</v>
      </c>
      <c r="C139" s="1">
        <v>4.0</v>
      </c>
      <c r="D139" s="1">
        <v>4.0</v>
      </c>
      <c r="E139" s="1">
        <v>67.6666666666666</v>
      </c>
      <c r="F139" s="1">
        <v>0.0</v>
      </c>
      <c r="G139" s="1">
        <v>0.0</v>
      </c>
      <c r="H139" s="1">
        <v>0.0</v>
      </c>
    </row>
    <row r="140">
      <c r="A140" s="1" t="s">
        <v>2660</v>
      </c>
      <c r="B140" s="1">
        <v>6.0</v>
      </c>
      <c r="C140" s="1">
        <v>6.0</v>
      </c>
      <c r="D140" s="1">
        <v>5.0</v>
      </c>
      <c r="E140" s="1">
        <v>38.0</v>
      </c>
      <c r="F140" s="1">
        <v>1.0</v>
      </c>
      <c r="G140" s="1">
        <v>0.0</v>
      </c>
      <c r="H140" s="1">
        <v>0.166666666666666</v>
      </c>
    </row>
    <row r="141">
      <c r="A141" s="1" t="s">
        <v>2661</v>
      </c>
      <c r="B141" s="1">
        <v>6.0</v>
      </c>
      <c r="C141" s="1">
        <v>5.0</v>
      </c>
      <c r="D141" s="1">
        <v>5.0</v>
      </c>
      <c r="E141" s="1">
        <v>14.6666666666666</v>
      </c>
      <c r="F141" s="1">
        <v>0.0</v>
      </c>
      <c r="G141" s="1">
        <v>0.0</v>
      </c>
      <c r="H141" s="1">
        <v>0.0</v>
      </c>
    </row>
    <row r="142">
      <c r="A142" s="1" t="s">
        <v>476</v>
      </c>
      <c r="B142" s="1">
        <v>6.0</v>
      </c>
      <c r="C142" s="1">
        <v>5.0</v>
      </c>
      <c r="D142" s="1">
        <v>4.0</v>
      </c>
      <c r="E142" s="1">
        <v>19.0</v>
      </c>
      <c r="F142" s="1">
        <v>0.0</v>
      </c>
      <c r="G142" s="1">
        <v>0.0</v>
      </c>
      <c r="H142" s="1">
        <v>0.0</v>
      </c>
    </row>
    <row r="143">
      <c r="A143" s="1" t="s">
        <v>2662</v>
      </c>
      <c r="B143" s="1">
        <v>6.0</v>
      </c>
      <c r="C143" s="1">
        <v>3.0</v>
      </c>
      <c r="D143" s="1">
        <v>3.0</v>
      </c>
      <c r="E143" s="1">
        <v>37.3333333333333</v>
      </c>
      <c r="F143" s="1">
        <v>1.0</v>
      </c>
      <c r="G143" s="1">
        <v>0.0</v>
      </c>
      <c r="H143" s="1">
        <v>0.166666666666666</v>
      </c>
    </row>
    <row r="144">
      <c r="A144" s="1" t="s">
        <v>2663</v>
      </c>
      <c r="B144" s="1">
        <v>5.0</v>
      </c>
      <c r="C144" s="1">
        <v>5.0</v>
      </c>
      <c r="D144" s="1">
        <v>5.0</v>
      </c>
      <c r="E144" s="1">
        <v>47.2</v>
      </c>
      <c r="F144" s="1">
        <v>1.0</v>
      </c>
      <c r="G144" s="1">
        <v>0.0</v>
      </c>
      <c r="H144" s="1">
        <v>0.2</v>
      </c>
    </row>
    <row r="145">
      <c r="A145" s="1" t="s">
        <v>2664</v>
      </c>
      <c r="B145" s="1">
        <v>5.0</v>
      </c>
      <c r="C145" s="1">
        <v>5.0</v>
      </c>
      <c r="D145" s="1">
        <v>5.0</v>
      </c>
      <c r="E145" s="1">
        <v>35.8</v>
      </c>
      <c r="F145" s="1">
        <v>0.0</v>
      </c>
      <c r="G145" s="1">
        <v>0.0</v>
      </c>
      <c r="H145" s="1">
        <v>0.0</v>
      </c>
    </row>
    <row r="146">
      <c r="A146" s="1" t="s">
        <v>2665</v>
      </c>
      <c r="B146" s="1">
        <v>5.0</v>
      </c>
      <c r="C146" s="1">
        <v>4.0</v>
      </c>
      <c r="D146" s="1">
        <v>4.0</v>
      </c>
      <c r="E146" s="1">
        <v>0.0</v>
      </c>
      <c r="F146" s="1">
        <v>0.0</v>
      </c>
      <c r="G146" s="1">
        <v>0.0</v>
      </c>
      <c r="H146" s="1">
        <v>0.0</v>
      </c>
    </row>
    <row r="147">
      <c r="A147" s="1" t="s">
        <v>2666</v>
      </c>
      <c r="B147" s="1">
        <v>5.0</v>
      </c>
      <c r="C147" s="1">
        <v>4.0</v>
      </c>
      <c r="D147" s="1">
        <v>4.0</v>
      </c>
      <c r="E147" s="1">
        <v>5.0</v>
      </c>
      <c r="F147" s="1">
        <v>0.0</v>
      </c>
      <c r="G147" s="1">
        <v>0.0</v>
      </c>
      <c r="H147" s="1">
        <v>0.0</v>
      </c>
    </row>
    <row r="148">
      <c r="A148" s="1" t="s">
        <v>2667</v>
      </c>
      <c r="B148" s="1">
        <v>5.0</v>
      </c>
      <c r="C148" s="1">
        <v>5.0</v>
      </c>
      <c r="D148" s="1">
        <v>5.0</v>
      </c>
      <c r="E148" s="1">
        <v>19.0</v>
      </c>
      <c r="F148" s="1">
        <v>0.0</v>
      </c>
      <c r="G148" s="1">
        <v>0.0</v>
      </c>
      <c r="H148" s="1">
        <v>0.0</v>
      </c>
    </row>
    <row r="149">
      <c r="A149" s="1" t="s">
        <v>464</v>
      </c>
      <c r="B149" s="1">
        <v>5.0</v>
      </c>
      <c r="C149" s="1">
        <v>5.0</v>
      </c>
      <c r="D149" s="1">
        <v>5.0</v>
      </c>
      <c r="E149" s="1">
        <v>14.4</v>
      </c>
      <c r="F149" s="1">
        <v>0.0</v>
      </c>
      <c r="G149" s="1">
        <v>0.0</v>
      </c>
      <c r="H149" s="1">
        <v>0.0</v>
      </c>
    </row>
    <row r="150">
      <c r="A150" s="1" t="s">
        <v>2668</v>
      </c>
      <c r="B150" s="1">
        <v>5.0</v>
      </c>
      <c r="C150" s="1">
        <v>4.0</v>
      </c>
      <c r="D150" s="1">
        <v>4.0</v>
      </c>
      <c r="E150" s="1">
        <v>9.2</v>
      </c>
      <c r="F150" s="1">
        <v>0.0</v>
      </c>
      <c r="G150" s="1">
        <v>0.0</v>
      </c>
      <c r="H150" s="1">
        <v>0.0</v>
      </c>
    </row>
    <row r="151">
      <c r="A151" s="1" t="s">
        <v>2669</v>
      </c>
      <c r="B151" s="1">
        <v>5.0</v>
      </c>
      <c r="C151" s="1">
        <v>5.0</v>
      </c>
      <c r="D151" s="1">
        <v>5.0</v>
      </c>
      <c r="E151" s="1">
        <v>20.2</v>
      </c>
      <c r="F151" s="1">
        <v>0.0</v>
      </c>
      <c r="G151" s="1">
        <v>0.0</v>
      </c>
      <c r="H151" s="1">
        <v>0.0</v>
      </c>
    </row>
    <row r="152">
      <c r="A152" s="1" t="s">
        <v>2670</v>
      </c>
      <c r="B152" s="1">
        <v>5.0</v>
      </c>
      <c r="C152" s="1">
        <v>4.0</v>
      </c>
      <c r="D152" s="1">
        <v>4.0</v>
      </c>
      <c r="E152" s="1">
        <v>4.8</v>
      </c>
      <c r="F152" s="1">
        <v>0.0</v>
      </c>
      <c r="G152" s="1">
        <v>0.0</v>
      </c>
      <c r="H152" s="1">
        <v>0.0</v>
      </c>
    </row>
    <row r="153">
      <c r="A153" s="1" t="s">
        <v>2671</v>
      </c>
      <c r="B153" s="1">
        <v>5.0</v>
      </c>
      <c r="C153" s="1">
        <v>5.0</v>
      </c>
      <c r="D153" s="1">
        <v>5.0</v>
      </c>
      <c r="E153" s="1">
        <v>40.6</v>
      </c>
      <c r="F153" s="1">
        <v>0.0</v>
      </c>
      <c r="G153" s="1">
        <v>0.0</v>
      </c>
      <c r="H153" s="1">
        <v>0.0</v>
      </c>
    </row>
    <row r="154">
      <c r="A154" s="1" t="s">
        <v>2672</v>
      </c>
      <c r="B154" s="1">
        <v>5.0</v>
      </c>
      <c r="C154" s="1">
        <v>5.0</v>
      </c>
      <c r="D154" s="1">
        <v>5.0</v>
      </c>
      <c r="E154" s="1">
        <v>7.0</v>
      </c>
      <c r="F154" s="1">
        <v>0.0</v>
      </c>
      <c r="G154" s="1">
        <v>0.0</v>
      </c>
      <c r="H154" s="1">
        <v>0.0</v>
      </c>
    </row>
    <row r="155">
      <c r="A155" s="1" t="s">
        <v>2673</v>
      </c>
      <c r="B155" s="1">
        <v>4.0</v>
      </c>
      <c r="C155" s="1">
        <v>4.0</v>
      </c>
      <c r="D155" s="1">
        <v>4.0</v>
      </c>
      <c r="E155" s="1">
        <v>69.75</v>
      </c>
      <c r="F155" s="1">
        <v>0.0</v>
      </c>
      <c r="G155" s="1">
        <v>0.0</v>
      </c>
      <c r="H155" s="1">
        <v>0.0</v>
      </c>
    </row>
    <row r="156">
      <c r="A156" s="1" t="s">
        <v>2674</v>
      </c>
      <c r="B156" s="1">
        <v>4.0</v>
      </c>
      <c r="C156" s="1">
        <v>3.0</v>
      </c>
      <c r="D156" s="1">
        <v>3.0</v>
      </c>
      <c r="E156" s="1">
        <v>49.0</v>
      </c>
      <c r="F156" s="1">
        <v>0.0</v>
      </c>
      <c r="G156" s="1">
        <v>0.0</v>
      </c>
      <c r="H156" s="1">
        <v>0.0</v>
      </c>
    </row>
    <row r="157">
      <c r="A157" s="1" t="s">
        <v>2675</v>
      </c>
      <c r="B157" s="1">
        <v>4.0</v>
      </c>
      <c r="C157" s="1">
        <v>4.0</v>
      </c>
      <c r="D157" s="1">
        <v>4.0</v>
      </c>
      <c r="E157" s="1">
        <v>20.25</v>
      </c>
      <c r="F157" s="1">
        <v>0.0</v>
      </c>
      <c r="G157" s="1">
        <v>0.0</v>
      </c>
      <c r="H157" s="1">
        <v>0.0</v>
      </c>
    </row>
    <row r="158">
      <c r="A158" s="1" t="s">
        <v>2676</v>
      </c>
      <c r="B158" s="1">
        <v>4.0</v>
      </c>
      <c r="C158" s="1">
        <v>4.0</v>
      </c>
      <c r="D158" s="1">
        <v>4.0</v>
      </c>
      <c r="E158" s="1">
        <v>10.75</v>
      </c>
      <c r="F158" s="1">
        <v>0.0</v>
      </c>
      <c r="G158" s="1">
        <v>0.0</v>
      </c>
      <c r="H158" s="1">
        <v>0.0</v>
      </c>
    </row>
    <row r="159">
      <c r="A159" s="1" t="s">
        <v>2677</v>
      </c>
      <c r="B159" s="1">
        <v>4.0</v>
      </c>
      <c r="C159" s="1">
        <v>4.0</v>
      </c>
      <c r="D159" s="1">
        <v>4.0</v>
      </c>
      <c r="E159" s="1">
        <v>49.25</v>
      </c>
      <c r="F159" s="1">
        <v>0.0</v>
      </c>
      <c r="G159" s="1">
        <v>0.0</v>
      </c>
      <c r="H159" s="1">
        <v>0.0</v>
      </c>
    </row>
    <row r="160">
      <c r="A160" s="1" t="s">
        <v>2678</v>
      </c>
      <c r="B160" s="1">
        <v>4.0</v>
      </c>
      <c r="C160" s="1">
        <v>4.0</v>
      </c>
      <c r="D160" s="1">
        <v>4.0</v>
      </c>
      <c r="E160" s="1">
        <v>20.5</v>
      </c>
      <c r="F160" s="1">
        <v>0.0</v>
      </c>
      <c r="G160" s="1">
        <v>0.0</v>
      </c>
      <c r="H160" s="1">
        <v>0.0</v>
      </c>
    </row>
    <row r="161">
      <c r="A161" s="1" t="s">
        <v>2679</v>
      </c>
      <c r="B161" s="1">
        <v>4.0</v>
      </c>
      <c r="C161" s="1">
        <v>4.0</v>
      </c>
      <c r="D161" s="1">
        <v>4.0</v>
      </c>
      <c r="E161" s="1">
        <v>89.75</v>
      </c>
      <c r="F161" s="1">
        <v>0.0</v>
      </c>
      <c r="G161" s="1">
        <v>0.0</v>
      </c>
      <c r="H161" s="1">
        <v>0.0</v>
      </c>
    </row>
    <row r="162">
      <c r="A162" s="1" t="s">
        <v>2680</v>
      </c>
      <c r="B162" s="1">
        <v>4.0</v>
      </c>
      <c r="C162" s="1">
        <v>4.0</v>
      </c>
      <c r="D162" s="1">
        <v>4.0</v>
      </c>
      <c r="E162" s="1">
        <v>4.5</v>
      </c>
      <c r="F162" s="1">
        <v>0.0</v>
      </c>
      <c r="G162" s="1">
        <v>0.0</v>
      </c>
      <c r="H162" s="1">
        <v>0.0</v>
      </c>
    </row>
    <row r="163">
      <c r="A163" s="1" t="s">
        <v>2681</v>
      </c>
      <c r="B163" s="1">
        <v>4.0</v>
      </c>
      <c r="C163" s="1">
        <v>4.0</v>
      </c>
      <c r="D163" s="1">
        <v>4.0</v>
      </c>
      <c r="E163" s="1">
        <v>169.0</v>
      </c>
      <c r="F163" s="1">
        <v>2.0</v>
      </c>
      <c r="G163" s="1">
        <v>0.0</v>
      </c>
      <c r="H163" s="1">
        <v>0.25</v>
      </c>
    </row>
    <row r="164">
      <c r="A164" s="1" t="s">
        <v>2682</v>
      </c>
      <c r="B164" s="1">
        <v>4.0</v>
      </c>
      <c r="C164" s="1">
        <v>4.0</v>
      </c>
      <c r="D164" s="1">
        <v>4.0</v>
      </c>
      <c r="E164" s="1">
        <v>35.0</v>
      </c>
      <c r="F164" s="1">
        <v>0.0</v>
      </c>
      <c r="G164" s="1">
        <v>0.0</v>
      </c>
      <c r="H164" s="1">
        <v>0.0</v>
      </c>
    </row>
    <row r="165">
      <c r="A165" s="1" t="s">
        <v>504</v>
      </c>
      <c r="B165" s="1">
        <v>4.0</v>
      </c>
      <c r="C165" s="1">
        <v>4.0</v>
      </c>
      <c r="D165" s="1">
        <v>4.0</v>
      </c>
      <c r="E165" s="1">
        <v>15.0</v>
      </c>
      <c r="F165" s="1">
        <v>0.0</v>
      </c>
      <c r="G165" s="1">
        <v>0.0</v>
      </c>
      <c r="H165" s="1">
        <v>0.0</v>
      </c>
    </row>
    <row r="166">
      <c r="A166" s="1" t="s">
        <v>2683</v>
      </c>
      <c r="B166" s="1">
        <v>4.0</v>
      </c>
      <c r="C166" s="1">
        <v>4.0</v>
      </c>
      <c r="D166" s="1">
        <v>4.0</v>
      </c>
      <c r="E166" s="1">
        <v>119.0</v>
      </c>
      <c r="F166" s="1">
        <v>3.0</v>
      </c>
      <c r="G166" s="1">
        <v>0.0</v>
      </c>
      <c r="H166" s="1">
        <v>0.25</v>
      </c>
    </row>
    <row r="167">
      <c r="A167" s="1" t="s">
        <v>2684</v>
      </c>
      <c r="B167" s="1">
        <v>4.0</v>
      </c>
      <c r="C167" s="1">
        <v>4.0</v>
      </c>
      <c r="D167" s="1">
        <v>4.0</v>
      </c>
      <c r="E167" s="1">
        <v>43.5</v>
      </c>
      <c r="F167" s="1">
        <v>0.0</v>
      </c>
      <c r="G167" s="1">
        <v>0.0</v>
      </c>
      <c r="H167" s="1">
        <v>0.0</v>
      </c>
    </row>
    <row r="168">
      <c r="A168" s="1" t="s">
        <v>2685</v>
      </c>
      <c r="B168" s="1">
        <v>4.0</v>
      </c>
      <c r="C168" s="1">
        <v>4.0</v>
      </c>
      <c r="D168" s="1">
        <v>4.0</v>
      </c>
      <c r="E168" s="1">
        <v>38.5</v>
      </c>
      <c r="F168" s="1">
        <v>0.0</v>
      </c>
      <c r="G168" s="1">
        <v>0.0</v>
      </c>
      <c r="H168" s="1">
        <v>0.0</v>
      </c>
    </row>
    <row r="169">
      <c r="A169" s="1" t="s">
        <v>2686</v>
      </c>
      <c r="B169" s="1">
        <v>4.0</v>
      </c>
      <c r="C169" s="1">
        <v>4.0</v>
      </c>
      <c r="D169" s="1">
        <v>4.0</v>
      </c>
      <c r="E169" s="1">
        <v>155.25</v>
      </c>
      <c r="F169" s="1">
        <v>0.0</v>
      </c>
      <c r="G169" s="1">
        <v>0.0</v>
      </c>
      <c r="H169" s="1">
        <v>0.0</v>
      </c>
    </row>
    <row r="170">
      <c r="A170" s="1" t="s">
        <v>2687</v>
      </c>
      <c r="B170" s="1">
        <v>4.0</v>
      </c>
      <c r="C170" s="1">
        <v>4.0</v>
      </c>
      <c r="D170" s="1">
        <v>4.0</v>
      </c>
      <c r="E170" s="1">
        <v>6.25</v>
      </c>
      <c r="F170" s="1">
        <v>0.0</v>
      </c>
      <c r="G170" s="1">
        <v>0.0</v>
      </c>
      <c r="H170" s="1">
        <v>0.0</v>
      </c>
    </row>
    <row r="171">
      <c r="A171" s="1" t="s">
        <v>2688</v>
      </c>
      <c r="B171" s="1">
        <v>4.0</v>
      </c>
      <c r="C171" s="1">
        <v>4.0</v>
      </c>
      <c r="D171" s="1">
        <v>4.0</v>
      </c>
      <c r="E171" s="1">
        <v>28.5</v>
      </c>
      <c r="F171" s="1">
        <v>0.0</v>
      </c>
      <c r="G171" s="1">
        <v>0.0</v>
      </c>
      <c r="H171" s="1">
        <v>0.0</v>
      </c>
    </row>
    <row r="172">
      <c r="A172" s="1" t="s">
        <v>2689</v>
      </c>
      <c r="B172" s="1">
        <v>4.0</v>
      </c>
      <c r="C172" s="1">
        <v>4.0</v>
      </c>
      <c r="D172" s="1">
        <v>4.0</v>
      </c>
      <c r="E172" s="1">
        <v>3.5</v>
      </c>
      <c r="F172" s="1">
        <v>0.0</v>
      </c>
      <c r="G172" s="1">
        <v>0.0</v>
      </c>
      <c r="H172" s="1">
        <v>0.0</v>
      </c>
    </row>
    <row r="173">
      <c r="A173" s="1" t="s">
        <v>2690</v>
      </c>
      <c r="B173" s="1">
        <v>4.0</v>
      </c>
      <c r="C173" s="1">
        <v>4.0</v>
      </c>
      <c r="D173" s="1">
        <v>4.0</v>
      </c>
      <c r="E173" s="1">
        <v>237.5</v>
      </c>
      <c r="F173" s="1">
        <v>1.0</v>
      </c>
      <c r="G173" s="1">
        <v>0.0</v>
      </c>
      <c r="H173" s="1">
        <v>0.25</v>
      </c>
    </row>
    <row r="174">
      <c r="A174" s="1" t="s">
        <v>2691</v>
      </c>
      <c r="B174" s="1">
        <v>4.0</v>
      </c>
      <c r="C174" s="1">
        <v>3.0</v>
      </c>
      <c r="D174" s="1">
        <v>3.0</v>
      </c>
      <c r="E174" s="1">
        <v>2.5</v>
      </c>
      <c r="F174" s="1">
        <v>0.0</v>
      </c>
      <c r="G174" s="1">
        <v>0.0</v>
      </c>
      <c r="H174" s="1">
        <v>0.0</v>
      </c>
    </row>
    <row r="175">
      <c r="A175" s="1" t="s">
        <v>2692</v>
      </c>
      <c r="B175" s="1">
        <v>3.0</v>
      </c>
      <c r="C175" s="1">
        <v>3.0</v>
      </c>
      <c r="D175" s="1">
        <v>3.0</v>
      </c>
      <c r="E175" s="1">
        <v>18.0</v>
      </c>
      <c r="F175" s="1">
        <v>0.0</v>
      </c>
      <c r="G175" s="1">
        <v>0.0</v>
      </c>
      <c r="H175" s="1">
        <v>0.0</v>
      </c>
    </row>
    <row r="176">
      <c r="A176" s="1" t="s">
        <v>2693</v>
      </c>
      <c r="B176" s="1">
        <v>3.0</v>
      </c>
      <c r="C176" s="1">
        <v>3.0</v>
      </c>
      <c r="D176" s="1">
        <v>3.0</v>
      </c>
      <c r="E176" s="1">
        <v>45.0</v>
      </c>
      <c r="F176" s="1">
        <v>0.0</v>
      </c>
      <c r="G176" s="1">
        <v>0.0</v>
      </c>
      <c r="H176" s="1">
        <v>0.0</v>
      </c>
    </row>
    <row r="177">
      <c r="A177" s="1" t="s">
        <v>2694</v>
      </c>
      <c r="B177" s="1">
        <v>3.0</v>
      </c>
      <c r="C177" s="1">
        <v>3.0</v>
      </c>
      <c r="D177" s="1">
        <v>3.0</v>
      </c>
      <c r="E177" s="1">
        <v>50.6666666666666</v>
      </c>
      <c r="F177" s="1">
        <v>1.0</v>
      </c>
      <c r="G177" s="1">
        <v>0.0</v>
      </c>
      <c r="H177" s="1">
        <v>0.333333333333333</v>
      </c>
    </row>
    <row r="178">
      <c r="A178" s="1" t="s">
        <v>2695</v>
      </c>
      <c r="B178" s="1">
        <v>3.0</v>
      </c>
      <c r="C178" s="1">
        <v>3.0</v>
      </c>
      <c r="D178" s="1">
        <v>3.0</v>
      </c>
      <c r="E178" s="1">
        <v>2.0</v>
      </c>
      <c r="F178" s="1">
        <v>0.0</v>
      </c>
      <c r="G178" s="1">
        <v>0.0</v>
      </c>
      <c r="H178" s="1">
        <v>0.0</v>
      </c>
    </row>
    <row r="179">
      <c r="A179" s="1" t="s">
        <v>2696</v>
      </c>
      <c r="B179" s="1">
        <v>3.0</v>
      </c>
      <c r="C179" s="1">
        <v>3.0</v>
      </c>
      <c r="D179" s="1">
        <v>3.0</v>
      </c>
      <c r="E179" s="1">
        <v>0.0</v>
      </c>
      <c r="F179" s="1">
        <v>0.0</v>
      </c>
      <c r="G179" s="1">
        <v>0.0</v>
      </c>
      <c r="H179" s="1">
        <v>0.0</v>
      </c>
    </row>
    <row r="180">
      <c r="A180" s="1" t="s">
        <v>2697</v>
      </c>
      <c r="B180" s="1">
        <v>3.0</v>
      </c>
      <c r="C180" s="1">
        <v>3.0</v>
      </c>
      <c r="D180" s="1">
        <v>2.0</v>
      </c>
      <c r="E180" s="1">
        <v>54.0</v>
      </c>
      <c r="F180" s="1">
        <v>0.0</v>
      </c>
      <c r="G180" s="1">
        <v>0.0</v>
      </c>
      <c r="H180" s="1">
        <v>0.0</v>
      </c>
    </row>
    <row r="181">
      <c r="A181" s="1" t="s">
        <v>2698</v>
      </c>
      <c r="B181" s="1">
        <v>3.0</v>
      </c>
      <c r="C181" s="1">
        <v>3.0</v>
      </c>
      <c r="D181" s="1">
        <v>3.0</v>
      </c>
      <c r="E181" s="1">
        <v>87.6666666666666</v>
      </c>
      <c r="F181" s="1">
        <v>0.0</v>
      </c>
      <c r="G181" s="1">
        <v>0.0</v>
      </c>
      <c r="H181" s="1">
        <v>0.0</v>
      </c>
    </row>
    <row r="182">
      <c r="A182" s="1" t="s">
        <v>2699</v>
      </c>
      <c r="B182" s="1">
        <v>3.0</v>
      </c>
      <c r="C182" s="1">
        <v>3.0</v>
      </c>
      <c r="D182" s="1">
        <v>3.0</v>
      </c>
      <c r="E182" s="1">
        <v>85.6666666666666</v>
      </c>
      <c r="F182" s="1">
        <v>0.0</v>
      </c>
      <c r="G182" s="1">
        <v>0.0</v>
      </c>
      <c r="H182" s="1">
        <v>0.0</v>
      </c>
    </row>
    <row r="183">
      <c r="A183" s="1" t="s">
        <v>2700</v>
      </c>
      <c r="B183" s="1">
        <v>3.0</v>
      </c>
      <c r="C183" s="1">
        <v>3.0</v>
      </c>
      <c r="D183" s="1">
        <v>3.0</v>
      </c>
      <c r="E183" s="1">
        <v>451.333333333333</v>
      </c>
      <c r="F183" s="1">
        <v>0.0</v>
      </c>
      <c r="G183" s="1">
        <v>0.0</v>
      </c>
      <c r="H183" s="1">
        <v>0.0</v>
      </c>
    </row>
    <row r="184">
      <c r="A184" s="1" t="s">
        <v>2701</v>
      </c>
      <c r="B184" s="1">
        <v>3.0</v>
      </c>
      <c r="C184" s="1">
        <v>1.0</v>
      </c>
      <c r="D184" s="1">
        <v>0.0</v>
      </c>
      <c r="E184" s="1">
        <v>0.0</v>
      </c>
      <c r="F184" s="1">
        <v>0.0</v>
      </c>
      <c r="G184" s="1">
        <v>0.0</v>
      </c>
      <c r="H184" s="1">
        <v>0.0</v>
      </c>
    </row>
    <row r="185">
      <c r="A185" s="1" t="s">
        <v>2702</v>
      </c>
      <c r="B185" s="1">
        <v>3.0</v>
      </c>
      <c r="C185" s="1">
        <v>3.0</v>
      </c>
      <c r="D185" s="1">
        <v>3.0</v>
      </c>
      <c r="E185" s="1">
        <v>36.6666666666666</v>
      </c>
      <c r="F185" s="1">
        <v>0.0</v>
      </c>
      <c r="G185" s="1">
        <v>0.0</v>
      </c>
      <c r="H185" s="1">
        <v>0.0</v>
      </c>
    </row>
    <row r="186">
      <c r="A186" s="1" t="s">
        <v>2703</v>
      </c>
      <c r="B186" s="1">
        <v>3.0</v>
      </c>
      <c r="C186" s="1">
        <v>3.0</v>
      </c>
      <c r="D186" s="1">
        <v>3.0</v>
      </c>
      <c r="E186" s="1">
        <v>0.666666666666666</v>
      </c>
      <c r="F186" s="1">
        <v>0.0</v>
      </c>
      <c r="G186" s="1">
        <v>0.0</v>
      </c>
      <c r="H186" s="1">
        <v>0.0</v>
      </c>
    </row>
    <row r="187">
      <c r="A187" s="1" t="s">
        <v>2704</v>
      </c>
      <c r="B187" s="1">
        <v>3.0</v>
      </c>
      <c r="C187" s="1">
        <v>3.0</v>
      </c>
      <c r="D187" s="1">
        <v>3.0</v>
      </c>
      <c r="E187" s="1">
        <v>57.6666666666666</v>
      </c>
      <c r="F187" s="1">
        <v>0.0</v>
      </c>
      <c r="G187" s="1">
        <v>0.0</v>
      </c>
      <c r="H187" s="1">
        <v>0.0</v>
      </c>
    </row>
    <row r="188">
      <c r="A188" s="1" t="s">
        <v>2705</v>
      </c>
      <c r="B188" s="1">
        <v>3.0</v>
      </c>
      <c r="C188" s="1">
        <v>3.0</v>
      </c>
      <c r="D188" s="1">
        <v>3.0</v>
      </c>
      <c r="E188" s="1">
        <v>141.666666666666</v>
      </c>
      <c r="F188" s="1">
        <v>0.0</v>
      </c>
      <c r="G188" s="1">
        <v>0.0</v>
      </c>
      <c r="H188" s="1">
        <v>0.0</v>
      </c>
    </row>
    <row r="189">
      <c r="A189" s="1" t="s">
        <v>2706</v>
      </c>
      <c r="B189" s="1">
        <v>3.0</v>
      </c>
      <c r="C189" s="1">
        <v>2.0</v>
      </c>
      <c r="D189" s="1">
        <v>1.0</v>
      </c>
      <c r="E189" s="1">
        <v>8.66666666666666</v>
      </c>
      <c r="F189" s="1">
        <v>0.0</v>
      </c>
      <c r="G189" s="1">
        <v>0.0</v>
      </c>
      <c r="H189" s="1">
        <v>0.0</v>
      </c>
    </row>
    <row r="190">
      <c r="A190" s="1" t="s">
        <v>2707</v>
      </c>
      <c r="B190" s="1">
        <v>3.0</v>
      </c>
      <c r="C190" s="1">
        <v>3.0</v>
      </c>
      <c r="D190" s="1">
        <v>3.0</v>
      </c>
      <c r="E190" s="1">
        <v>43.0</v>
      </c>
      <c r="F190" s="1">
        <v>0.0</v>
      </c>
      <c r="G190" s="1">
        <v>0.0</v>
      </c>
      <c r="H190" s="1">
        <v>0.0</v>
      </c>
    </row>
    <row r="191">
      <c r="A191" s="1" t="s">
        <v>2708</v>
      </c>
      <c r="B191" s="1">
        <v>3.0</v>
      </c>
      <c r="C191" s="1">
        <v>3.0</v>
      </c>
      <c r="D191" s="1">
        <v>1.0</v>
      </c>
      <c r="E191" s="1">
        <v>12.3333333333333</v>
      </c>
      <c r="F191" s="1">
        <v>0.0</v>
      </c>
      <c r="G191" s="1">
        <v>0.0</v>
      </c>
      <c r="H191" s="1">
        <v>0.0</v>
      </c>
    </row>
    <row r="192">
      <c r="A192" s="1" t="s">
        <v>2709</v>
      </c>
      <c r="B192" s="1">
        <v>3.0</v>
      </c>
      <c r="C192" s="1">
        <v>3.0</v>
      </c>
      <c r="D192" s="1">
        <v>3.0</v>
      </c>
      <c r="E192" s="1">
        <v>103.666666666666</v>
      </c>
      <c r="F192" s="1">
        <v>0.0</v>
      </c>
      <c r="G192" s="1">
        <v>0.0</v>
      </c>
      <c r="H192" s="1">
        <v>0.0</v>
      </c>
    </row>
    <row r="193">
      <c r="A193" s="1" t="s">
        <v>2710</v>
      </c>
      <c r="B193" s="1">
        <v>3.0</v>
      </c>
      <c r="C193" s="1">
        <v>3.0</v>
      </c>
      <c r="D193" s="1">
        <v>3.0</v>
      </c>
      <c r="E193" s="1">
        <v>24.6666666666666</v>
      </c>
      <c r="F193" s="1">
        <v>0.0</v>
      </c>
      <c r="G193" s="1">
        <v>0.0</v>
      </c>
      <c r="H193" s="1">
        <v>0.0</v>
      </c>
    </row>
    <row r="194">
      <c r="A194" s="1" t="s">
        <v>2711</v>
      </c>
      <c r="B194" s="1">
        <v>3.0</v>
      </c>
      <c r="C194" s="1">
        <v>3.0</v>
      </c>
      <c r="D194" s="1">
        <v>3.0</v>
      </c>
      <c r="E194" s="1">
        <v>2.66666666666666</v>
      </c>
      <c r="F194" s="1">
        <v>0.0</v>
      </c>
      <c r="G194" s="1">
        <v>0.0</v>
      </c>
      <c r="H194" s="1">
        <v>0.0</v>
      </c>
    </row>
    <row r="195">
      <c r="A195" s="1" t="s">
        <v>2712</v>
      </c>
      <c r="B195" s="1">
        <v>3.0</v>
      </c>
      <c r="C195" s="1">
        <v>3.0</v>
      </c>
      <c r="D195" s="1">
        <v>3.0</v>
      </c>
      <c r="E195" s="1">
        <v>147.0</v>
      </c>
      <c r="F195" s="1">
        <v>0.0</v>
      </c>
      <c r="G195" s="1">
        <v>0.0</v>
      </c>
      <c r="H195" s="1">
        <v>0.0</v>
      </c>
    </row>
    <row r="196">
      <c r="A196" s="1" t="s">
        <v>528</v>
      </c>
      <c r="B196" s="1">
        <v>3.0</v>
      </c>
      <c r="C196" s="1">
        <v>3.0</v>
      </c>
      <c r="D196" s="1">
        <v>2.0</v>
      </c>
      <c r="E196" s="1">
        <v>124.333333333333</v>
      </c>
      <c r="F196" s="1">
        <v>0.0</v>
      </c>
      <c r="G196" s="1">
        <v>0.0</v>
      </c>
      <c r="H196" s="1">
        <v>0.0</v>
      </c>
    </row>
    <row r="197">
      <c r="A197" s="1" t="s">
        <v>2713</v>
      </c>
      <c r="B197" s="1">
        <v>3.0</v>
      </c>
      <c r="C197" s="1">
        <v>3.0</v>
      </c>
      <c r="D197" s="1">
        <v>3.0</v>
      </c>
      <c r="E197" s="1">
        <v>0.0</v>
      </c>
      <c r="F197" s="1">
        <v>0.0</v>
      </c>
      <c r="G197" s="1">
        <v>0.0</v>
      </c>
      <c r="H197" s="1">
        <v>0.0</v>
      </c>
    </row>
    <row r="198">
      <c r="A198" s="1" t="s">
        <v>2714</v>
      </c>
      <c r="B198" s="1">
        <v>3.0</v>
      </c>
      <c r="C198" s="1">
        <v>3.0</v>
      </c>
      <c r="D198" s="1">
        <v>3.0</v>
      </c>
      <c r="E198" s="1">
        <v>3.33333333333333</v>
      </c>
      <c r="F198" s="1">
        <v>0.0</v>
      </c>
      <c r="G198" s="1">
        <v>0.0</v>
      </c>
      <c r="H198" s="1">
        <v>0.0</v>
      </c>
    </row>
    <row r="199">
      <c r="A199" s="1" t="s">
        <v>2715</v>
      </c>
      <c r="B199" s="1">
        <v>3.0</v>
      </c>
      <c r="C199" s="1">
        <v>2.0</v>
      </c>
      <c r="D199" s="1">
        <v>2.0</v>
      </c>
      <c r="E199" s="1">
        <v>176.0</v>
      </c>
      <c r="F199" s="1">
        <v>2.0</v>
      </c>
      <c r="G199" s="1">
        <v>0.0</v>
      </c>
      <c r="H199" s="1">
        <v>0.333333333333333</v>
      </c>
    </row>
    <row r="200">
      <c r="A200" s="1" t="s">
        <v>2716</v>
      </c>
      <c r="B200" s="1">
        <v>3.0</v>
      </c>
      <c r="C200" s="1">
        <v>3.0</v>
      </c>
      <c r="D200" s="1">
        <v>3.0</v>
      </c>
      <c r="E200" s="1">
        <v>0.666666666666666</v>
      </c>
      <c r="F200" s="1">
        <v>0.0</v>
      </c>
      <c r="G200" s="1">
        <v>0.0</v>
      </c>
      <c r="H200" s="1">
        <v>0.0</v>
      </c>
    </row>
    <row r="201">
      <c r="A201" s="1" t="s">
        <v>2717</v>
      </c>
      <c r="B201" s="1">
        <v>3.0</v>
      </c>
      <c r="C201" s="1">
        <v>3.0</v>
      </c>
      <c r="D201" s="1">
        <v>3.0</v>
      </c>
      <c r="E201" s="1">
        <v>22.6666666666666</v>
      </c>
      <c r="F201" s="1">
        <v>0.0</v>
      </c>
      <c r="G201" s="1">
        <v>0.0</v>
      </c>
      <c r="H201" s="1">
        <v>0.0</v>
      </c>
    </row>
    <row r="202">
      <c r="A202" s="1" t="s">
        <v>2718</v>
      </c>
      <c r="B202" s="1">
        <v>3.0</v>
      </c>
      <c r="C202" s="1">
        <v>3.0</v>
      </c>
      <c r="D202" s="1">
        <v>3.0</v>
      </c>
      <c r="E202" s="1">
        <v>22.6666666666666</v>
      </c>
      <c r="F202" s="1">
        <v>0.0</v>
      </c>
      <c r="G202" s="1">
        <v>0.0</v>
      </c>
      <c r="H202" s="1">
        <v>0.0</v>
      </c>
    </row>
    <row r="203">
      <c r="A203" s="1" t="s">
        <v>2719</v>
      </c>
      <c r="B203" s="1">
        <v>3.0</v>
      </c>
      <c r="C203" s="1">
        <v>3.0</v>
      </c>
      <c r="D203" s="1">
        <v>3.0</v>
      </c>
      <c r="E203" s="1">
        <v>17.0</v>
      </c>
      <c r="F203" s="1">
        <v>0.0</v>
      </c>
      <c r="G203" s="1">
        <v>0.0</v>
      </c>
      <c r="H203" s="1">
        <v>0.0</v>
      </c>
    </row>
    <row r="204">
      <c r="A204" s="1" t="s">
        <v>2720</v>
      </c>
      <c r="B204" s="1">
        <v>3.0</v>
      </c>
      <c r="C204" s="1">
        <v>3.0</v>
      </c>
      <c r="D204" s="1">
        <v>3.0</v>
      </c>
      <c r="E204" s="1">
        <v>148.333333333333</v>
      </c>
      <c r="F204" s="1">
        <v>0.0</v>
      </c>
      <c r="G204" s="1">
        <v>0.0</v>
      </c>
      <c r="H204" s="1">
        <v>0.0</v>
      </c>
    </row>
    <row r="205">
      <c r="A205" s="1" t="s">
        <v>2721</v>
      </c>
      <c r="B205" s="1">
        <v>3.0</v>
      </c>
      <c r="C205" s="1">
        <v>3.0</v>
      </c>
      <c r="D205" s="1">
        <v>2.0</v>
      </c>
      <c r="E205" s="1">
        <v>317.333333333333</v>
      </c>
      <c r="F205" s="1">
        <v>1.0</v>
      </c>
      <c r="G205" s="1">
        <v>0.0</v>
      </c>
      <c r="H205" s="1">
        <v>0.333333333333333</v>
      </c>
    </row>
    <row r="206">
      <c r="A206" s="1" t="s">
        <v>2722</v>
      </c>
      <c r="B206" s="1">
        <v>3.0</v>
      </c>
      <c r="C206" s="1">
        <v>3.0</v>
      </c>
      <c r="D206" s="1">
        <v>3.0</v>
      </c>
      <c r="E206" s="1">
        <v>26.6666666666666</v>
      </c>
      <c r="F206" s="1">
        <v>0.0</v>
      </c>
      <c r="G206" s="1">
        <v>0.0</v>
      </c>
      <c r="H206" s="1">
        <v>0.0</v>
      </c>
    </row>
    <row r="207">
      <c r="A207" s="1" t="s">
        <v>2723</v>
      </c>
      <c r="B207" s="1">
        <v>3.0</v>
      </c>
      <c r="C207" s="1">
        <v>3.0</v>
      </c>
      <c r="D207" s="1">
        <v>3.0</v>
      </c>
      <c r="E207" s="1">
        <v>0.333333333333333</v>
      </c>
      <c r="F207" s="1">
        <v>0.0</v>
      </c>
      <c r="G207" s="1">
        <v>0.0</v>
      </c>
      <c r="H207" s="1">
        <v>0.0</v>
      </c>
    </row>
    <row r="208">
      <c r="A208" s="1" t="s">
        <v>2724</v>
      </c>
      <c r="B208" s="1">
        <v>3.0</v>
      </c>
      <c r="C208" s="1">
        <v>3.0</v>
      </c>
      <c r="D208" s="1">
        <v>3.0</v>
      </c>
      <c r="E208" s="1">
        <v>21.0</v>
      </c>
      <c r="F208" s="1">
        <v>0.0</v>
      </c>
      <c r="G208" s="1">
        <v>0.0</v>
      </c>
      <c r="H208" s="1">
        <v>0.0</v>
      </c>
    </row>
    <row r="209">
      <c r="A209" s="1" t="s">
        <v>2725</v>
      </c>
      <c r="B209" s="1">
        <v>3.0</v>
      </c>
      <c r="C209" s="1">
        <v>2.0</v>
      </c>
      <c r="D209" s="1">
        <v>2.0</v>
      </c>
      <c r="E209" s="1">
        <v>1.0</v>
      </c>
      <c r="F209" s="1">
        <v>0.0</v>
      </c>
      <c r="G209" s="1">
        <v>0.0</v>
      </c>
      <c r="H209" s="1">
        <v>0.0</v>
      </c>
    </row>
    <row r="210">
      <c r="A210" s="1" t="s">
        <v>2726</v>
      </c>
      <c r="B210" s="1">
        <v>3.0</v>
      </c>
      <c r="C210" s="1">
        <v>3.0</v>
      </c>
      <c r="D210" s="1">
        <v>2.0</v>
      </c>
      <c r="E210" s="1">
        <v>24.0</v>
      </c>
      <c r="F210" s="1">
        <v>0.0</v>
      </c>
      <c r="G210" s="1">
        <v>0.0</v>
      </c>
      <c r="H210" s="1">
        <v>0.0</v>
      </c>
    </row>
    <row r="211">
      <c r="A211" s="1" t="s">
        <v>2727</v>
      </c>
      <c r="B211" s="1">
        <v>3.0</v>
      </c>
      <c r="C211" s="1">
        <v>3.0</v>
      </c>
      <c r="D211" s="1">
        <v>3.0</v>
      </c>
      <c r="E211" s="1">
        <v>25.3333333333333</v>
      </c>
      <c r="F211" s="1">
        <v>0.0</v>
      </c>
      <c r="G211" s="1">
        <v>0.0</v>
      </c>
      <c r="H211" s="1">
        <v>0.0</v>
      </c>
    </row>
    <row r="212">
      <c r="A212" s="1" t="s">
        <v>2728</v>
      </c>
      <c r="B212" s="1">
        <v>3.0</v>
      </c>
      <c r="C212" s="1">
        <v>3.0</v>
      </c>
      <c r="D212" s="1">
        <v>3.0</v>
      </c>
      <c r="E212" s="1">
        <v>11.6666666666666</v>
      </c>
      <c r="F212" s="1">
        <v>0.0</v>
      </c>
      <c r="G212" s="1">
        <v>0.0</v>
      </c>
      <c r="H212" s="1">
        <v>0.0</v>
      </c>
    </row>
    <row r="213">
      <c r="A213" s="1" t="s">
        <v>2729</v>
      </c>
      <c r="B213" s="1">
        <v>2.0</v>
      </c>
      <c r="C213" s="1">
        <v>2.0</v>
      </c>
      <c r="D213" s="1">
        <v>2.0</v>
      </c>
      <c r="E213" s="1">
        <v>9.0</v>
      </c>
      <c r="F213" s="1">
        <v>0.0</v>
      </c>
      <c r="G213" s="1">
        <v>0.0</v>
      </c>
      <c r="H213" s="1">
        <v>0.0</v>
      </c>
    </row>
    <row r="214">
      <c r="A214" s="1" t="s">
        <v>2730</v>
      </c>
      <c r="B214" s="1">
        <v>2.0</v>
      </c>
      <c r="C214" s="1">
        <v>2.0</v>
      </c>
      <c r="D214" s="1">
        <v>2.0</v>
      </c>
      <c r="E214" s="1">
        <v>23.0</v>
      </c>
      <c r="F214" s="1">
        <v>0.0</v>
      </c>
      <c r="G214" s="1">
        <v>0.0</v>
      </c>
      <c r="H214" s="1">
        <v>0.0</v>
      </c>
    </row>
    <row r="215">
      <c r="A215" s="1" t="s">
        <v>2731</v>
      </c>
      <c r="B215" s="1">
        <v>2.0</v>
      </c>
      <c r="C215" s="1">
        <v>2.0</v>
      </c>
      <c r="D215" s="1">
        <v>2.0</v>
      </c>
      <c r="E215" s="1">
        <v>76.5</v>
      </c>
      <c r="F215" s="1">
        <v>0.0</v>
      </c>
      <c r="G215" s="1">
        <v>0.0</v>
      </c>
      <c r="H215" s="1">
        <v>0.0</v>
      </c>
    </row>
    <row r="216">
      <c r="A216" s="1" t="s">
        <v>2732</v>
      </c>
      <c r="B216" s="1">
        <v>2.0</v>
      </c>
      <c r="C216" s="1">
        <v>1.0</v>
      </c>
      <c r="D216" s="1">
        <v>0.0</v>
      </c>
      <c r="E216" s="1">
        <v>0.0</v>
      </c>
      <c r="F216" s="1">
        <v>0.0</v>
      </c>
      <c r="G216" s="1">
        <v>0.0</v>
      </c>
      <c r="H216" s="1">
        <v>0.0</v>
      </c>
    </row>
    <row r="217">
      <c r="A217" s="1" t="s">
        <v>2733</v>
      </c>
      <c r="B217" s="1">
        <v>2.0</v>
      </c>
      <c r="C217" s="1">
        <v>1.0</v>
      </c>
      <c r="D217" s="1">
        <v>1.0</v>
      </c>
      <c r="E217" s="1">
        <v>3.0</v>
      </c>
      <c r="F217" s="1">
        <v>0.0</v>
      </c>
      <c r="G217" s="1">
        <v>0.0</v>
      </c>
      <c r="H217" s="1">
        <v>0.0</v>
      </c>
    </row>
    <row r="218">
      <c r="A218" s="1" t="s">
        <v>2734</v>
      </c>
      <c r="B218" s="1">
        <v>2.0</v>
      </c>
      <c r="C218" s="1">
        <v>2.0</v>
      </c>
      <c r="D218" s="1">
        <v>2.0</v>
      </c>
      <c r="E218" s="1">
        <v>1.5</v>
      </c>
      <c r="F218" s="1">
        <v>0.0</v>
      </c>
      <c r="G218" s="1">
        <v>0.0</v>
      </c>
      <c r="H218" s="1">
        <v>0.0</v>
      </c>
    </row>
    <row r="219">
      <c r="A219" s="1" t="s">
        <v>2735</v>
      </c>
      <c r="B219" s="1">
        <v>2.0</v>
      </c>
      <c r="C219" s="1">
        <v>2.0</v>
      </c>
      <c r="D219" s="1">
        <v>2.0</v>
      </c>
      <c r="E219" s="1">
        <v>0.0</v>
      </c>
      <c r="F219" s="1">
        <v>0.0</v>
      </c>
      <c r="G219" s="1">
        <v>0.0</v>
      </c>
      <c r="H219" s="1">
        <v>0.0</v>
      </c>
    </row>
    <row r="220">
      <c r="A220" s="1" t="s">
        <v>2736</v>
      </c>
      <c r="B220" s="1">
        <v>2.0</v>
      </c>
      <c r="C220" s="1">
        <v>2.0</v>
      </c>
      <c r="D220" s="1">
        <v>2.0</v>
      </c>
      <c r="E220" s="1">
        <v>25.5</v>
      </c>
      <c r="F220" s="1">
        <v>0.0</v>
      </c>
      <c r="G220" s="1">
        <v>0.0</v>
      </c>
      <c r="H220" s="1">
        <v>0.0</v>
      </c>
    </row>
    <row r="221">
      <c r="A221" s="1" t="s">
        <v>2737</v>
      </c>
      <c r="B221" s="1">
        <v>2.0</v>
      </c>
      <c r="C221" s="1">
        <v>2.0</v>
      </c>
      <c r="D221" s="1">
        <v>2.0</v>
      </c>
      <c r="E221" s="1">
        <v>1.5</v>
      </c>
      <c r="F221" s="1">
        <v>0.0</v>
      </c>
      <c r="G221" s="1">
        <v>0.0</v>
      </c>
      <c r="H221" s="1">
        <v>0.0</v>
      </c>
    </row>
    <row r="222">
      <c r="A222" s="1" t="s">
        <v>2738</v>
      </c>
      <c r="B222" s="1">
        <v>2.0</v>
      </c>
      <c r="C222" s="1">
        <v>2.0</v>
      </c>
      <c r="D222" s="1">
        <v>2.0</v>
      </c>
      <c r="E222" s="1">
        <v>11.0</v>
      </c>
      <c r="F222" s="1">
        <v>0.0</v>
      </c>
      <c r="G222" s="1">
        <v>0.0</v>
      </c>
      <c r="H222" s="1">
        <v>0.0</v>
      </c>
    </row>
    <row r="223">
      <c r="A223" s="1" t="s">
        <v>2739</v>
      </c>
      <c r="B223" s="1">
        <v>2.0</v>
      </c>
      <c r="C223" s="1">
        <v>2.0</v>
      </c>
      <c r="D223" s="1">
        <v>2.0</v>
      </c>
      <c r="E223" s="1">
        <v>3.5</v>
      </c>
      <c r="F223" s="1">
        <v>0.0</v>
      </c>
      <c r="G223" s="1">
        <v>0.0</v>
      </c>
      <c r="H223" s="1">
        <v>0.0</v>
      </c>
    </row>
    <row r="224">
      <c r="A224" s="1" t="s">
        <v>2740</v>
      </c>
      <c r="B224" s="1">
        <v>2.0</v>
      </c>
      <c r="C224" s="1">
        <v>2.0</v>
      </c>
      <c r="D224" s="1">
        <v>2.0</v>
      </c>
      <c r="E224" s="1">
        <v>3.5</v>
      </c>
      <c r="F224" s="1">
        <v>0.0</v>
      </c>
      <c r="G224" s="1">
        <v>0.0</v>
      </c>
      <c r="H224" s="1">
        <v>0.0</v>
      </c>
    </row>
    <row r="225">
      <c r="A225" s="1" t="s">
        <v>2741</v>
      </c>
      <c r="B225" s="1">
        <v>2.0</v>
      </c>
      <c r="C225" s="1">
        <v>2.0</v>
      </c>
      <c r="D225" s="1">
        <v>2.0</v>
      </c>
      <c r="E225" s="1">
        <v>1.5</v>
      </c>
      <c r="F225" s="1">
        <v>0.0</v>
      </c>
      <c r="G225" s="1">
        <v>0.0</v>
      </c>
      <c r="H225" s="1">
        <v>0.0</v>
      </c>
    </row>
    <row r="226">
      <c r="A226" s="1" t="s">
        <v>2742</v>
      </c>
      <c r="B226" s="1">
        <v>2.0</v>
      </c>
      <c r="C226" s="1">
        <v>2.0</v>
      </c>
      <c r="D226" s="1">
        <v>2.0</v>
      </c>
      <c r="E226" s="1">
        <v>0.0</v>
      </c>
      <c r="F226" s="1">
        <v>0.0</v>
      </c>
      <c r="G226" s="1">
        <v>0.0</v>
      </c>
      <c r="H226" s="1">
        <v>0.0</v>
      </c>
    </row>
    <row r="227">
      <c r="A227" s="1" t="s">
        <v>2743</v>
      </c>
      <c r="B227" s="1">
        <v>2.0</v>
      </c>
      <c r="C227" s="1">
        <v>1.0</v>
      </c>
      <c r="D227" s="1">
        <v>1.0</v>
      </c>
      <c r="E227" s="1">
        <v>30.0</v>
      </c>
      <c r="F227" s="1">
        <v>0.0</v>
      </c>
      <c r="G227" s="1">
        <v>0.0</v>
      </c>
      <c r="H227" s="1">
        <v>0.0</v>
      </c>
    </row>
    <row r="228">
      <c r="A228" s="1" t="s">
        <v>2744</v>
      </c>
      <c r="B228" s="1">
        <v>2.0</v>
      </c>
      <c r="C228" s="1">
        <v>1.0</v>
      </c>
      <c r="D228" s="1">
        <v>1.0</v>
      </c>
      <c r="E228" s="1">
        <v>102.0</v>
      </c>
      <c r="F228" s="1">
        <v>0.0</v>
      </c>
      <c r="G228" s="1">
        <v>0.0</v>
      </c>
      <c r="H228" s="1">
        <v>0.0</v>
      </c>
    </row>
    <row r="229">
      <c r="A229" s="1" t="s">
        <v>2745</v>
      </c>
      <c r="B229" s="1">
        <v>2.0</v>
      </c>
      <c r="C229" s="1">
        <v>2.0</v>
      </c>
      <c r="D229" s="1">
        <v>2.0</v>
      </c>
      <c r="E229" s="1">
        <v>67.0</v>
      </c>
      <c r="F229" s="1">
        <v>0.0</v>
      </c>
      <c r="G229" s="1">
        <v>0.0</v>
      </c>
      <c r="H229" s="1">
        <v>0.0</v>
      </c>
    </row>
    <row r="230">
      <c r="A230" s="1" t="s">
        <v>2746</v>
      </c>
      <c r="B230" s="1">
        <v>2.0</v>
      </c>
      <c r="C230" s="1">
        <v>2.0</v>
      </c>
      <c r="D230" s="1">
        <v>2.0</v>
      </c>
      <c r="E230" s="1">
        <v>7.5</v>
      </c>
      <c r="F230" s="1">
        <v>0.0</v>
      </c>
      <c r="G230" s="1">
        <v>0.0</v>
      </c>
      <c r="H230" s="1">
        <v>0.0</v>
      </c>
    </row>
    <row r="231">
      <c r="A231" s="1" t="s">
        <v>2747</v>
      </c>
      <c r="B231" s="1">
        <v>2.0</v>
      </c>
      <c r="C231" s="1">
        <v>2.0</v>
      </c>
      <c r="D231" s="1">
        <v>2.0</v>
      </c>
      <c r="E231" s="1">
        <v>12.5</v>
      </c>
      <c r="F231" s="1">
        <v>0.0</v>
      </c>
      <c r="G231" s="1">
        <v>0.0</v>
      </c>
      <c r="H231" s="1">
        <v>0.0</v>
      </c>
    </row>
    <row r="232">
      <c r="A232" s="1" t="s">
        <v>2748</v>
      </c>
      <c r="B232" s="1">
        <v>2.0</v>
      </c>
      <c r="C232" s="1">
        <v>2.0</v>
      </c>
      <c r="D232" s="1">
        <v>2.0</v>
      </c>
      <c r="E232" s="1">
        <v>50.5</v>
      </c>
      <c r="F232" s="1">
        <v>0.0</v>
      </c>
      <c r="G232" s="1">
        <v>0.0</v>
      </c>
      <c r="H232" s="1">
        <v>0.0</v>
      </c>
    </row>
    <row r="233">
      <c r="A233" s="1" t="s">
        <v>2749</v>
      </c>
      <c r="B233" s="1">
        <v>2.0</v>
      </c>
      <c r="C233" s="1">
        <v>2.0</v>
      </c>
      <c r="D233" s="1">
        <v>2.0</v>
      </c>
      <c r="E233" s="1">
        <v>25.5</v>
      </c>
      <c r="F233" s="1">
        <v>0.0</v>
      </c>
      <c r="G233" s="1">
        <v>0.0</v>
      </c>
      <c r="H233" s="1">
        <v>0.0</v>
      </c>
    </row>
    <row r="234">
      <c r="A234" s="1" t="s">
        <v>2750</v>
      </c>
      <c r="B234" s="1">
        <v>2.0</v>
      </c>
      <c r="C234" s="1">
        <v>2.0</v>
      </c>
      <c r="D234" s="1">
        <v>2.0</v>
      </c>
      <c r="E234" s="1">
        <v>157.5</v>
      </c>
      <c r="F234" s="1">
        <v>0.0</v>
      </c>
      <c r="G234" s="1">
        <v>0.0</v>
      </c>
      <c r="H234" s="1">
        <v>0.0</v>
      </c>
    </row>
    <row r="235">
      <c r="A235" s="1" t="s">
        <v>2751</v>
      </c>
      <c r="B235" s="1">
        <v>2.0</v>
      </c>
      <c r="C235" s="1">
        <v>2.0</v>
      </c>
      <c r="D235" s="1">
        <v>2.0</v>
      </c>
      <c r="E235" s="1">
        <v>39.5</v>
      </c>
      <c r="F235" s="1">
        <v>0.0</v>
      </c>
      <c r="G235" s="1">
        <v>0.0</v>
      </c>
      <c r="H235" s="1">
        <v>0.0</v>
      </c>
    </row>
    <row r="236">
      <c r="A236" s="1" t="s">
        <v>2752</v>
      </c>
      <c r="B236" s="1">
        <v>2.0</v>
      </c>
      <c r="C236" s="1">
        <v>2.0</v>
      </c>
      <c r="D236" s="1">
        <v>2.0</v>
      </c>
      <c r="E236" s="1">
        <v>516.0</v>
      </c>
      <c r="F236" s="1">
        <v>0.0</v>
      </c>
      <c r="G236" s="1">
        <v>0.0</v>
      </c>
      <c r="H236" s="1">
        <v>0.0</v>
      </c>
    </row>
    <row r="237">
      <c r="A237" s="1" t="s">
        <v>2753</v>
      </c>
      <c r="B237" s="1">
        <v>2.0</v>
      </c>
      <c r="C237" s="1">
        <v>2.0</v>
      </c>
      <c r="D237" s="1">
        <v>2.0</v>
      </c>
      <c r="E237" s="1">
        <v>67.0</v>
      </c>
      <c r="F237" s="1">
        <v>0.0</v>
      </c>
      <c r="G237" s="1">
        <v>0.0</v>
      </c>
      <c r="H237" s="1">
        <v>0.0</v>
      </c>
    </row>
    <row r="238">
      <c r="A238" s="1" t="s">
        <v>2754</v>
      </c>
      <c r="B238" s="1">
        <v>2.0</v>
      </c>
      <c r="C238" s="1">
        <v>1.0</v>
      </c>
      <c r="D238" s="1">
        <v>1.0</v>
      </c>
      <c r="E238" s="1">
        <v>16.5</v>
      </c>
      <c r="F238" s="1">
        <v>0.0</v>
      </c>
      <c r="G238" s="1">
        <v>0.0</v>
      </c>
      <c r="H238" s="1">
        <v>0.0</v>
      </c>
    </row>
    <row r="239">
      <c r="A239" s="1" t="s">
        <v>2755</v>
      </c>
      <c r="B239" s="1">
        <v>2.0</v>
      </c>
      <c r="C239" s="1">
        <v>2.0</v>
      </c>
      <c r="D239" s="1">
        <v>2.0</v>
      </c>
      <c r="E239" s="1">
        <v>17.5</v>
      </c>
      <c r="F239" s="1">
        <v>0.0</v>
      </c>
      <c r="G239" s="1">
        <v>0.0</v>
      </c>
      <c r="H239" s="1">
        <v>0.0</v>
      </c>
    </row>
    <row r="240">
      <c r="A240" s="1" t="s">
        <v>2756</v>
      </c>
      <c r="B240" s="1">
        <v>2.0</v>
      </c>
      <c r="C240" s="1">
        <v>2.0</v>
      </c>
      <c r="D240" s="1">
        <v>2.0</v>
      </c>
      <c r="E240" s="1">
        <v>61.5</v>
      </c>
      <c r="F240" s="1">
        <v>0.0</v>
      </c>
      <c r="G240" s="1">
        <v>0.0</v>
      </c>
      <c r="H240" s="1">
        <v>0.0</v>
      </c>
    </row>
    <row r="241">
      <c r="A241" s="1" t="s">
        <v>2757</v>
      </c>
      <c r="B241" s="1">
        <v>2.0</v>
      </c>
      <c r="C241" s="1">
        <v>2.0</v>
      </c>
      <c r="D241" s="1">
        <v>2.0</v>
      </c>
      <c r="E241" s="1">
        <v>5.0</v>
      </c>
      <c r="F241" s="1">
        <v>0.0</v>
      </c>
      <c r="G241" s="1">
        <v>0.0</v>
      </c>
      <c r="H241" s="1">
        <v>0.0</v>
      </c>
    </row>
    <row r="242">
      <c r="A242" s="1" t="s">
        <v>2758</v>
      </c>
      <c r="B242" s="1">
        <v>2.0</v>
      </c>
      <c r="C242" s="1">
        <v>2.0</v>
      </c>
      <c r="D242" s="1">
        <v>2.0</v>
      </c>
      <c r="E242" s="1">
        <v>49.5</v>
      </c>
      <c r="F242" s="1">
        <v>0.0</v>
      </c>
      <c r="G242" s="1">
        <v>0.0</v>
      </c>
      <c r="H242" s="1">
        <v>0.0</v>
      </c>
    </row>
    <row r="243">
      <c r="A243" s="1" t="s">
        <v>2759</v>
      </c>
      <c r="B243" s="1">
        <v>2.0</v>
      </c>
      <c r="C243" s="1">
        <v>2.0</v>
      </c>
      <c r="D243" s="1">
        <v>0.0</v>
      </c>
      <c r="E243" s="1">
        <v>32.5</v>
      </c>
      <c r="F243" s="1">
        <v>0.0</v>
      </c>
      <c r="G243" s="1">
        <v>0.0</v>
      </c>
      <c r="H243" s="1">
        <v>0.0</v>
      </c>
    </row>
    <row r="244">
      <c r="A244" s="1" t="s">
        <v>2760</v>
      </c>
      <c r="B244" s="1">
        <v>2.0</v>
      </c>
      <c r="C244" s="1">
        <v>2.0</v>
      </c>
      <c r="D244" s="1">
        <v>2.0</v>
      </c>
      <c r="E244" s="1">
        <v>161.5</v>
      </c>
      <c r="F244" s="1">
        <v>0.0</v>
      </c>
      <c r="G244" s="1">
        <v>0.0</v>
      </c>
      <c r="H244" s="1">
        <v>0.0</v>
      </c>
    </row>
    <row r="245">
      <c r="A245" s="1" t="s">
        <v>2761</v>
      </c>
      <c r="B245" s="1">
        <v>2.0</v>
      </c>
      <c r="C245" s="1">
        <v>2.0</v>
      </c>
      <c r="D245" s="1">
        <v>1.0</v>
      </c>
      <c r="E245" s="1">
        <v>72.5</v>
      </c>
      <c r="F245" s="1">
        <v>0.0</v>
      </c>
      <c r="G245" s="1">
        <v>0.0</v>
      </c>
      <c r="H245" s="1">
        <v>0.0</v>
      </c>
    </row>
    <row r="246">
      <c r="A246" s="1" t="s">
        <v>460</v>
      </c>
      <c r="B246" s="1">
        <v>2.0</v>
      </c>
      <c r="C246" s="1">
        <v>2.0</v>
      </c>
      <c r="D246" s="1">
        <v>2.0</v>
      </c>
      <c r="E246" s="1">
        <v>82.0</v>
      </c>
      <c r="F246" s="1">
        <v>0.0</v>
      </c>
      <c r="G246" s="1">
        <v>0.0</v>
      </c>
      <c r="H246" s="1">
        <v>0.0</v>
      </c>
    </row>
    <row r="247">
      <c r="A247" s="1" t="s">
        <v>2762</v>
      </c>
      <c r="B247" s="1">
        <v>2.0</v>
      </c>
      <c r="C247" s="1">
        <v>2.0</v>
      </c>
      <c r="D247" s="1">
        <v>2.0</v>
      </c>
      <c r="E247" s="1">
        <v>37.0</v>
      </c>
      <c r="F247" s="1">
        <v>0.0</v>
      </c>
      <c r="G247" s="1">
        <v>0.0</v>
      </c>
      <c r="H247" s="1">
        <v>0.0</v>
      </c>
    </row>
    <row r="248">
      <c r="A248" s="1" t="s">
        <v>2763</v>
      </c>
      <c r="B248" s="1">
        <v>2.0</v>
      </c>
      <c r="C248" s="1">
        <v>2.0</v>
      </c>
      <c r="D248" s="1">
        <v>2.0</v>
      </c>
      <c r="E248" s="1">
        <v>8.5</v>
      </c>
      <c r="F248" s="1">
        <v>0.0</v>
      </c>
      <c r="G248" s="1">
        <v>0.0</v>
      </c>
      <c r="H248" s="1">
        <v>0.0</v>
      </c>
    </row>
    <row r="249">
      <c r="A249" s="1" t="s">
        <v>484</v>
      </c>
      <c r="B249" s="1">
        <v>2.0</v>
      </c>
      <c r="C249" s="1">
        <v>2.0</v>
      </c>
      <c r="D249" s="1">
        <v>2.0</v>
      </c>
      <c r="E249" s="1">
        <v>0.0</v>
      </c>
      <c r="F249" s="1">
        <v>0.0</v>
      </c>
      <c r="G249" s="1">
        <v>0.0</v>
      </c>
      <c r="H249" s="1">
        <v>0.0</v>
      </c>
    </row>
    <row r="250">
      <c r="A250" s="1" t="s">
        <v>2764</v>
      </c>
      <c r="B250" s="1">
        <v>2.0</v>
      </c>
      <c r="C250" s="1">
        <v>2.0</v>
      </c>
      <c r="D250" s="1">
        <v>2.0</v>
      </c>
      <c r="E250" s="1">
        <v>248.5</v>
      </c>
      <c r="F250" s="1">
        <v>0.0</v>
      </c>
      <c r="G250" s="1">
        <v>0.0</v>
      </c>
      <c r="H250" s="1">
        <v>0.0</v>
      </c>
    </row>
    <row r="251">
      <c r="A251" s="1" t="s">
        <v>2765</v>
      </c>
      <c r="B251" s="1">
        <v>2.0</v>
      </c>
      <c r="C251" s="1">
        <v>2.0</v>
      </c>
      <c r="D251" s="1">
        <v>2.0</v>
      </c>
      <c r="E251" s="1">
        <v>46.5</v>
      </c>
      <c r="F251" s="1">
        <v>0.0</v>
      </c>
      <c r="G251" s="1">
        <v>0.0</v>
      </c>
      <c r="H251" s="1">
        <v>0.0</v>
      </c>
    </row>
    <row r="252">
      <c r="A252" s="1" t="s">
        <v>2766</v>
      </c>
      <c r="B252" s="1">
        <v>2.0</v>
      </c>
      <c r="C252" s="1">
        <v>2.0</v>
      </c>
      <c r="D252" s="1">
        <v>1.0</v>
      </c>
      <c r="E252" s="1">
        <v>7.5</v>
      </c>
      <c r="F252" s="1">
        <v>0.0</v>
      </c>
      <c r="G252" s="1">
        <v>0.0</v>
      </c>
      <c r="H252" s="1">
        <v>0.0</v>
      </c>
    </row>
    <row r="253">
      <c r="A253" s="1" t="s">
        <v>2767</v>
      </c>
      <c r="B253" s="1">
        <v>2.0</v>
      </c>
      <c r="C253" s="1">
        <v>2.0</v>
      </c>
      <c r="D253" s="1">
        <v>1.0</v>
      </c>
      <c r="E253" s="1">
        <v>54.5</v>
      </c>
      <c r="F253" s="1">
        <v>0.0</v>
      </c>
      <c r="G253" s="1">
        <v>0.0</v>
      </c>
      <c r="H253" s="1">
        <v>0.0</v>
      </c>
    </row>
    <row r="254">
      <c r="A254" s="1" t="s">
        <v>2768</v>
      </c>
      <c r="B254" s="1">
        <v>2.0</v>
      </c>
      <c r="C254" s="1">
        <v>2.0</v>
      </c>
      <c r="D254" s="1">
        <v>2.0</v>
      </c>
      <c r="E254" s="1">
        <v>84.5</v>
      </c>
      <c r="F254" s="1">
        <v>0.0</v>
      </c>
      <c r="G254" s="1">
        <v>0.0</v>
      </c>
      <c r="H254" s="1">
        <v>0.0</v>
      </c>
    </row>
    <row r="255">
      <c r="A255" s="1" t="s">
        <v>488</v>
      </c>
      <c r="B255" s="1">
        <v>2.0</v>
      </c>
      <c r="C255" s="1">
        <v>2.0</v>
      </c>
      <c r="D255" s="1">
        <v>2.0</v>
      </c>
      <c r="E255" s="1">
        <v>7.5</v>
      </c>
      <c r="F255" s="1">
        <v>0.0</v>
      </c>
      <c r="G255" s="1">
        <v>0.0</v>
      </c>
      <c r="H255" s="1">
        <v>0.0</v>
      </c>
    </row>
    <row r="256">
      <c r="A256" s="1" t="s">
        <v>2769</v>
      </c>
      <c r="B256" s="1">
        <v>2.0</v>
      </c>
      <c r="C256" s="1">
        <v>2.0</v>
      </c>
      <c r="D256" s="1">
        <v>2.0</v>
      </c>
      <c r="E256" s="1">
        <v>513.0</v>
      </c>
      <c r="F256" s="1">
        <v>1.0</v>
      </c>
      <c r="G256" s="1">
        <v>0.0</v>
      </c>
      <c r="H256" s="1">
        <v>0.5</v>
      </c>
    </row>
    <row r="257">
      <c r="A257" s="1" t="s">
        <v>2770</v>
      </c>
      <c r="B257" s="1">
        <v>2.0</v>
      </c>
      <c r="C257" s="1">
        <v>2.0</v>
      </c>
      <c r="D257" s="1">
        <v>2.0</v>
      </c>
      <c r="E257" s="1">
        <v>3.5</v>
      </c>
      <c r="F257" s="1">
        <v>0.0</v>
      </c>
      <c r="G257" s="1">
        <v>0.0</v>
      </c>
      <c r="H257" s="1">
        <v>0.0</v>
      </c>
    </row>
    <row r="258">
      <c r="A258" s="1" t="s">
        <v>2771</v>
      </c>
      <c r="B258" s="1">
        <v>2.0</v>
      </c>
      <c r="C258" s="1">
        <v>2.0</v>
      </c>
      <c r="D258" s="1">
        <v>2.0</v>
      </c>
      <c r="E258" s="1">
        <v>20.0</v>
      </c>
      <c r="F258" s="1">
        <v>0.0</v>
      </c>
      <c r="G258" s="1">
        <v>0.0</v>
      </c>
      <c r="H258" s="1">
        <v>0.0</v>
      </c>
    </row>
    <row r="259">
      <c r="A259" s="1" t="s">
        <v>2772</v>
      </c>
      <c r="B259" s="1">
        <v>2.0</v>
      </c>
      <c r="C259" s="1">
        <v>2.0</v>
      </c>
      <c r="D259" s="1">
        <v>2.0</v>
      </c>
      <c r="E259" s="1">
        <v>0.0</v>
      </c>
      <c r="F259" s="1">
        <v>0.0</v>
      </c>
      <c r="G259" s="1">
        <v>0.0</v>
      </c>
      <c r="H259" s="1">
        <v>0.0</v>
      </c>
    </row>
    <row r="260">
      <c r="A260" s="1" t="s">
        <v>2773</v>
      </c>
      <c r="B260" s="1">
        <v>2.0</v>
      </c>
      <c r="C260" s="1">
        <v>2.0</v>
      </c>
      <c r="D260" s="1">
        <v>2.0</v>
      </c>
      <c r="E260" s="1">
        <v>7.5</v>
      </c>
      <c r="F260" s="1">
        <v>0.0</v>
      </c>
      <c r="G260" s="1">
        <v>0.0</v>
      </c>
      <c r="H260" s="1">
        <v>0.0</v>
      </c>
    </row>
    <row r="261">
      <c r="A261" s="1" t="s">
        <v>540</v>
      </c>
      <c r="B261" s="1">
        <v>2.0</v>
      </c>
      <c r="C261" s="1">
        <v>2.0</v>
      </c>
      <c r="D261" s="1">
        <v>2.0</v>
      </c>
      <c r="E261" s="1">
        <v>0.0</v>
      </c>
      <c r="F261" s="1">
        <v>0.0</v>
      </c>
      <c r="G261" s="1">
        <v>0.0</v>
      </c>
      <c r="H261" s="1">
        <v>0.0</v>
      </c>
    </row>
    <row r="262">
      <c r="A262" s="1" t="s">
        <v>2774</v>
      </c>
      <c r="B262" s="1">
        <v>2.0</v>
      </c>
      <c r="C262" s="1">
        <v>2.0</v>
      </c>
      <c r="D262" s="1">
        <v>2.0</v>
      </c>
      <c r="E262" s="1">
        <v>130.5</v>
      </c>
      <c r="F262" s="1">
        <v>0.0</v>
      </c>
      <c r="G262" s="1">
        <v>0.0</v>
      </c>
      <c r="H262" s="1">
        <v>0.0</v>
      </c>
    </row>
    <row r="263">
      <c r="A263" s="1" t="s">
        <v>2775</v>
      </c>
      <c r="B263" s="1">
        <v>2.0</v>
      </c>
      <c r="C263" s="1">
        <v>1.0</v>
      </c>
      <c r="D263" s="1">
        <v>1.0</v>
      </c>
      <c r="E263" s="1">
        <v>28.5</v>
      </c>
      <c r="F263" s="1">
        <v>0.0</v>
      </c>
      <c r="G263" s="1">
        <v>0.0</v>
      </c>
      <c r="H263" s="1">
        <v>0.0</v>
      </c>
    </row>
    <row r="264">
      <c r="A264" s="1" t="s">
        <v>2776</v>
      </c>
      <c r="B264" s="1">
        <v>2.0</v>
      </c>
      <c r="C264" s="1">
        <v>2.0</v>
      </c>
      <c r="D264" s="1">
        <v>2.0</v>
      </c>
      <c r="E264" s="1">
        <v>26.0</v>
      </c>
      <c r="F264" s="1">
        <v>0.0</v>
      </c>
      <c r="G264" s="1">
        <v>0.0</v>
      </c>
      <c r="H264" s="1">
        <v>0.0</v>
      </c>
    </row>
    <row r="265">
      <c r="A265" s="1" t="s">
        <v>2777</v>
      </c>
      <c r="B265" s="1">
        <v>2.0</v>
      </c>
      <c r="C265" s="1">
        <v>1.0</v>
      </c>
      <c r="D265" s="1">
        <v>1.0</v>
      </c>
      <c r="E265" s="1">
        <v>0.0</v>
      </c>
      <c r="F265" s="1">
        <v>0.0</v>
      </c>
      <c r="G265" s="1">
        <v>0.0</v>
      </c>
      <c r="H265" s="1">
        <v>0.0</v>
      </c>
    </row>
    <row r="266">
      <c r="A266" s="1" t="s">
        <v>2778</v>
      </c>
      <c r="B266" s="1">
        <v>2.0</v>
      </c>
      <c r="C266" s="1">
        <v>2.0</v>
      </c>
      <c r="D266" s="1">
        <v>2.0</v>
      </c>
      <c r="E266" s="1">
        <v>31.0</v>
      </c>
      <c r="F266" s="1">
        <v>0.0</v>
      </c>
      <c r="G266" s="1">
        <v>0.0</v>
      </c>
      <c r="H266" s="1">
        <v>0.0</v>
      </c>
    </row>
    <row r="267">
      <c r="A267" s="1" t="s">
        <v>2779</v>
      </c>
      <c r="B267" s="1">
        <v>2.0</v>
      </c>
      <c r="C267" s="1">
        <v>2.0</v>
      </c>
      <c r="D267" s="1">
        <v>1.0</v>
      </c>
      <c r="E267" s="1">
        <v>2.0</v>
      </c>
      <c r="F267" s="1">
        <v>0.0</v>
      </c>
      <c r="G267" s="1">
        <v>0.0</v>
      </c>
      <c r="H267" s="1">
        <v>0.0</v>
      </c>
    </row>
    <row r="268">
      <c r="A268" s="1" t="s">
        <v>500</v>
      </c>
      <c r="B268" s="1">
        <v>2.0</v>
      </c>
      <c r="C268" s="1">
        <v>2.0</v>
      </c>
      <c r="D268" s="1">
        <v>2.0</v>
      </c>
      <c r="E268" s="1">
        <v>0.0</v>
      </c>
      <c r="F268" s="1">
        <v>0.0</v>
      </c>
      <c r="G268" s="1">
        <v>0.0</v>
      </c>
      <c r="H268" s="1">
        <v>0.0</v>
      </c>
    </row>
    <row r="269">
      <c r="A269" s="1" t="s">
        <v>2780</v>
      </c>
      <c r="B269" s="1">
        <v>2.0</v>
      </c>
      <c r="C269" s="1">
        <v>2.0</v>
      </c>
      <c r="D269" s="1">
        <v>2.0</v>
      </c>
      <c r="E269" s="1">
        <v>13.0</v>
      </c>
      <c r="F269" s="1">
        <v>0.0</v>
      </c>
      <c r="G269" s="1">
        <v>0.0</v>
      </c>
      <c r="H269" s="1">
        <v>0.0</v>
      </c>
    </row>
    <row r="270">
      <c r="A270" s="1" t="s">
        <v>2781</v>
      </c>
      <c r="B270" s="1">
        <v>2.0</v>
      </c>
      <c r="C270" s="1">
        <v>2.0</v>
      </c>
      <c r="D270" s="1">
        <v>2.0</v>
      </c>
      <c r="E270" s="1">
        <v>18.5</v>
      </c>
      <c r="F270" s="1">
        <v>0.0</v>
      </c>
      <c r="G270" s="1">
        <v>0.0</v>
      </c>
      <c r="H270" s="1">
        <v>0.0</v>
      </c>
    </row>
    <row r="271">
      <c r="A271" s="1" t="s">
        <v>2782</v>
      </c>
      <c r="B271" s="1">
        <v>2.0</v>
      </c>
      <c r="C271" s="1">
        <v>2.0</v>
      </c>
      <c r="D271" s="1">
        <v>2.0</v>
      </c>
      <c r="E271" s="1">
        <v>6.5</v>
      </c>
      <c r="F271" s="1">
        <v>0.0</v>
      </c>
      <c r="G271" s="1">
        <v>0.0</v>
      </c>
      <c r="H271" s="1">
        <v>0.0</v>
      </c>
    </row>
    <row r="272">
      <c r="A272" s="1" t="s">
        <v>2783</v>
      </c>
      <c r="B272" s="1">
        <v>2.0</v>
      </c>
      <c r="C272" s="1">
        <v>2.0</v>
      </c>
      <c r="D272" s="1">
        <v>2.0</v>
      </c>
      <c r="E272" s="1">
        <v>13.0</v>
      </c>
      <c r="F272" s="1">
        <v>0.0</v>
      </c>
      <c r="G272" s="1">
        <v>0.0</v>
      </c>
      <c r="H272" s="1">
        <v>0.0</v>
      </c>
    </row>
    <row r="273">
      <c r="A273" s="1" t="s">
        <v>2784</v>
      </c>
      <c r="B273" s="1">
        <v>2.0</v>
      </c>
      <c r="C273" s="1">
        <v>2.0</v>
      </c>
      <c r="D273" s="1">
        <v>2.0</v>
      </c>
      <c r="E273" s="1">
        <v>0.0</v>
      </c>
      <c r="F273" s="1">
        <v>0.0</v>
      </c>
      <c r="G273" s="1">
        <v>0.0</v>
      </c>
      <c r="H273" s="1">
        <v>0.0</v>
      </c>
    </row>
    <row r="274">
      <c r="A274" s="1" t="s">
        <v>2785</v>
      </c>
      <c r="B274" s="1">
        <v>2.0</v>
      </c>
      <c r="C274" s="1">
        <v>2.0</v>
      </c>
      <c r="D274" s="1">
        <v>2.0</v>
      </c>
      <c r="E274" s="1">
        <v>36.5</v>
      </c>
      <c r="F274" s="1">
        <v>0.0</v>
      </c>
      <c r="G274" s="1">
        <v>0.0</v>
      </c>
      <c r="H274" s="1">
        <v>0.0</v>
      </c>
    </row>
    <row r="275">
      <c r="A275" s="1" t="s">
        <v>2786</v>
      </c>
      <c r="B275" s="1">
        <v>2.0</v>
      </c>
      <c r="C275" s="1">
        <v>2.0</v>
      </c>
      <c r="D275" s="1">
        <v>2.0</v>
      </c>
      <c r="E275" s="1">
        <v>4.5</v>
      </c>
      <c r="F275" s="1">
        <v>0.0</v>
      </c>
      <c r="G275" s="1">
        <v>0.0</v>
      </c>
      <c r="H275" s="1">
        <v>0.0</v>
      </c>
    </row>
    <row r="276">
      <c r="A276" s="1" t="s">
        <v>2787</v>
      </c>
      <c r="B276" s="1">
        <v>2.0</v>
      </c>
      <c r="C276" s="1">
        <v>2.0</v>
      </c>
      <c r="D276" s="1">
        <v>1.0</v>
      </c>
      <c r="E276" s="1">
        <v>437.0</v>
      </c>
      <c r="F276" s="1">
        <v>1.0</v>
      </c>
      <c r="G276" s="1">
        <v>0.0</v>
      </c>
      <c r="H276" s="1">
        <v>0.5</v>
      </c>
    </row>
    <row r="277">
      <c r="A277" s="1" t="s">
        <v>2788</v>
      </c>
      <c r="B277" s="1">
        <v>2.0</v>
      </c>
      <c r="C277" s="1">
        <v>2.0</v>
      </c>
      <c r="D277" s="1">
        <v>0.0</v>
      </c>
      <c r="E277" s="1">
        <v>120.0</v>
      </c>
      <c r="F277" s="1">
        <v>7.0</v>
      </c>
      <c r="G277" s="1">
        <v>0.0</v>
      </c>
      <c r="H277" s="1">
        <v>1.0</v>
      </c>
    </row>
    <row r="278">
      <c r="A278" s="1" t="s">
        <v>2789</v>
      </c>
      <c r="B278" s="1">
        <v>2.0</v>
      </c>
      <c r="C278" s="1">
        <v>2.0</v>
      </c>
      <c r="D278" s="1">
        <v>1.0</v>
      </c>
      <c r="E278" s="1">
        <v>55.0</v>
      </c>
      <c r="F278" s="1">
        <v>0.0</v>
      </c>
      <c r="G278" s="1">
        <v>0.0</v>
      </c>
      <c r="H278" s="1">
        <v>0.0</v>
      </c>
    </row>
    <row r="279">
      <c r="A279" s="1" t="s">
        <v>2790</v>
      </c>
      <c r="B279" s="1">
        <v>2.0</v>
      </c>
      <c r="C279" s="1">
        <v>1.0</v>
      </c>
      <c r="D279" s="1">
        <v>0.0</v>
      </c>
      <c r="E279" s="1">
        <v>113.0</v>
      </c>
      <c r="F279" s="1">
        <v>0.0</v>
      </c>
      <c r="G279" s="1">
        <v>0.0</v>
      </c>
      <c r="H279" s="1">
        <v>0.0</v>
      </c>
    </row>
    <row r="280">
      <c r="A280" s="1" t="s">
        <v>2791</v>
      </c>
      <c r="B280" s="1">
        <v>2.0</v>
      </c>
      <c r="C280" s="1">
        <v>2.0</v>
      </c>
      <c r="D280" s="1">
        <v>2.0</v>
      </c>
      <c r="E280" s="1">
        <v>1.5</v>
      </c>
      <c r="F280" s="1">
        <v>0.0</v>
      </c>
      <c r="G280" s="1">
        <v>0.0</v>
      </c>
      <c r="H280" s="1">
        <v>0.0</v>
      </c>
    </row>
    <row r="281">
      <c r="A281" s="1" t="s">
        <v>2792</v>
      </c>
      <c r="B281" s="1">
        <v>2.0</v>
      </c>
      <c r="C281" s="1">
        <v>2.0</v>
      </c>
      <c r="D281" s="1">
        <v>2.0</v>
      </c>
      <c r="E281" s="1">
        <v>6.0</v>
      </c>
      <c r="F281" s="1">
        <v>0.0</v>
      </c>
      <c r="G281" s="1">
        <v>0.0</v>
      </c>
      <c r="H281" s="1">
        <v>0.0</v>
      </c>
    </row>
    <row r="282">
      <c r="A282" s="1" t="s">
        <v>2793</v>
      </c>
      <c r="B282" s="1">
        <v>1.0</v>
      </c>
      <c r="C282" s="1">
        <v>1.0</v>
      </c>
      <c r="D282" s="1">
        <v>1.0</v>
      </c>
      <c r="E282" s="1">
        <v>13.0</v>
      </c>
      <c r="F282" s="1">
        <v>0.0</v>
      </c>
      <c r="G282" s="1">
        <v>0.0</v>
      </c>
      <c r="H282" s="1">
        <v>0.0</v>
      </c>
    </row>
    <row r="283">
      <c r="A283" s="1" t="s">
        <v>2794</v>
      </c>
      <c r="B283" s="1">
        <v>1.0</v>
      </c>
      <c r="C283" s="1">
        <v>1.0</v>
      </c>
      <c r="D283" s="1">
        <v>1.0</v>
      </c>
      <c r="E283" s="1">
        <v>67.0</v>
      </c>
      <c r="F283" s="1">
        <v>0.0</v>
      </c>
      <c r="G283" s="1">
        <v>0.0</v>
      </c>
      <c r="H283" s="1">
        <v>0.0</v>
      </c>
    </row>
    <row r="284">
      <c r="A284" s="1" t="s">
        <v>2795</v>
      </c>
      <c r="B284" s="1">
        <v>1.0</v>
      </c>
      <c r="C284" s="1">
        <v>1.0</v>
      </c>
      <c r="D284" s="1">
        <v>1.0</v>
      </c>
      <c r="E284" s="1">
        <v>1.0</v>
      </c>
      <c r="F284" s="1">
        <v>0.0</v>
      </c>
      <c r="G284" s="1">
        <v>0.0</v>
      </c>
      <c r="H284" s="1">
        <v>0.0</v>
      </c>
    </row>
    <row r="285">
      <c r="A285" s="1" t="s">
        <v>2796</v>
      </c>
      <c r="B285" s="1">
        <v>1.0</v>
      </c>
      <c r="C285" s="1">
        <v>1.0</v>
      </c>
      <c r="D285" s="1">
        <v>1.0</v>
      </c>
      <c r="E285" s="1">
        <v>15.0</v>
      </c>
      <c r="F285" s="1">
        <v>0.0</v>
      </c>
      <c r="G285" s="1">
        <v>0.0</v>
      </c>
      <c r="H285" s="1">
        <v>0.0</v>
      </c>
    </row>
    <row r="286">
      <c r="A286" s="1" t="s">
        <v>2797</v>
      </c>
      <c r="B286" s="1">
        <v>1.0</v>
      </c>
      <c r="C286" s="1">
        <v>1.0</v>
      </c>
      <c r="D286" s="1">
        <v>1.0</v>
      </c>
      <c r="E286" s="1">
        <v>0.0</v>
      </c>
      <c r="F286" s="1">
        <v>0.0</v>
      </c>
      <c r="G286" s="1">
        <v>0.0</v>
      </c>
      <c r="H286" s="1">
        <v>0.0</v>
      </c>
    </row>
    <row r="287">
      <c r="A287" s="1" t="s">
        <v>2798</v>
      </c>
      <c r="B287" s="1">
        <v>1.0</v>
      </c>
      <c r="C287" s="1">
        <v>1.0</v>
      </c>
      <c r="D287" s="1">
        <v>1.0</v>
      </c>
      <c r="E287" s="1">
        <v>0.0</v>
      </c>
      <c r="F287" s="1">
        <v>0.0</v>
      </c>
      <c r="G287" s="1">
        <v>0.0</v>
      </c>
      <c r="H287" s="1">
        <v>0.0</v>
      </c>
    </row>
    <row r="288">
      <c r="A288" s="1" t="s">
        <v>2799</v>
      </c>
      <c r="B288" s="1">
        <v>1.0</v>
      </c>
      <c r="C288" s="1">
        <v>1.0</v>
      </c>
      <c r="D288" s="1">
        <v>1.0</v>
      </c>
      <c r="E288" s="1">
        <v>0.0</v>
      </c>
      <c r="F288" s="1">
        <v>0.0</v>
      </c>
      <c r="G288" s="1">
        <v>0.0</v>
      </c>
      <c r="H288" s="1">
        <v>0.0</v>
      </c>
    </row>
    <row r="289">
      <c r="A289" s="1" t="s">
        <v>2800</v>
      </c>
      <c r="B289" s="1">
        <v>1.0</v>
      </c>
      <c r="C289" s="1">
        <v>1.0</v>
      </c>
      <c r="D289" s="1">
        <v>1.0</v>
      </c>
      <c r="E289" s="1">
        <v>1.0</v>
      </c>
      <c r="F289" s="1">
        <v>0.0</v>
      </c>
      <c r="G289" s="1">
        <v>0.0</v>
      </c>
      <c r="H289" s="1">
        <v>0.0</v>
      </c>
    </row>
    <row r="290">
      <c r="A290" s="1" t="s">
        <v>2801</v>
      </c>
      <c r="B290" s="1">
        <v>1.0</v>
      </c>
      <c r="C290" s="1">
        <v>1.0</v>
      </c>
      <c r="D290" s="1">
        <v>1.0</v>
      </c>
      <c r="E290" s="1">
        <v>11.0</v>
      </c>
      <c r="F290" s="1">
        <v>0.0</v>
      </c>
      <c r="G290" s="1">
        <v>0.0</v>
      </c>
      <c r="H290" s="1">
        <v>0.0</v>
      </c>
    </row>
    <row r="291">
      <c r="A291" s="1" t="s">
        <v>2802</v>
      </c>
      <c r="B291" s="1">
        <v>1.0</v>
      </c>
      <c r="C291" s="1">
        <v>1.0</v>
      </c>
      <c r="D291" s="1">
        <v>1.0</v>
      </c>
      <c r="E291" s="1">
        <v>1.0</v>
      </c>
      <c r="F291" s="1">
        <v>0.0</v>
      </c>
      <c r="G291" s="1">
        <v>0.0</v>
      </c>
      <c r="H291" s="1">
        <v>0.0</v>
      </c>
    </row>
    <row r="292">
      <c r="A292" s="1" t="s">
        <v>2803</v>
      </c>
      <c r="B292" s="1">
        <v>1.0</v>
      </c>
      <c r="C292" s="1">
        <v>1.0</v>
      </c>
      <c r="D292" s="1">
        <v>1.0</v>
      </c>
      <c r="E292" s="1">
        <v>0.0</v>
      </c>
      <c r="F292" s="1">
        <v>0.0</v>
      </c>
      <c r="G292" s="1">
        <v>0.0</v>
      </c>
      <c r="H292" s="1">
        <v>0.0</v>
      </c>
    </row>
    <row r="293">
      <c r="A293" s="1" t="s">
        <v>2804</v>
      </c>
      <c r="B293" s="1">
        <v>1.0</v>
      </c>
      <c r="C293" s="1">
        <v>1.0</v>
      </c>
      <c r="D293" s="1">
        <v>1.0</v>
      </c>
      <c r="E293" s="1">
        <v>18.0</v>
      </c>
      <c r="F293" s="1">
        <v>0.0</v>
      </c>
      <c r="G293" s="1">
        <v>0.0</v>
      </c>
      <c r="H293" s="1">
        <v>0.0</v>
      </c>
    </row>
    <row r="294">
      <c r="A294" s="1" t="s">
        <v>2805</v>
      </c>
      <c r="B294" s="1">
        <v>1.0</v>
      </c>
      <c r="C294" s="1">
        <v>1.0</v>
      </c>
      <c r="D294" s="1">
        <v>1.0</v>
      </c>
      <c r="E294" s="1">
        <v>11.0</v>
      </c>
      <c r="F294" s="1">
        <v>0.0</v>
      </c>
      <c r="G294" s="1">
        <v>0.0</v>
      </c>
      <c r="H294" s="1">
        <v>0.0</v>
      </c>
    </row>
    <row r="295">
      <c r="A295" s="1" t="s">
        <v>2806</v>
      </c>
      <c r="B295" s="1">
        <v>1.0</v>
      </c>
      <c r="C295" s="1">
        <v>1.0</v>
      </c>
      <c r="D295" s="1">
        <v>1.0</v>
      </c>
      <c r="E295" s="1">
        <v>0.0</v>
      </c>
      <c r="F295" s="1">
        <v>0.0</v>
      </c>
      <c r="G295" s="1">
        <v>0.0</v>
      </c>
      <c r="H295" s="1">
        <v>0.0</v>
      </c>
    </row>
    <row r="296">
      <c r="A296" s="1" t="s">
        <v>2807</v>
      </c>
      <c r="B296" s="1">
        <v>1.0</v>
      </c>
      <c r="C296" s="1">
        <v>1.0</v>
      </c>
      <c r="D296" s="1">
        <v>1.0</v>
      </c>
      <c r="E296" s="1">
        <v>2.0</v>
      </c>
      <c r="F296" s="1">
        <v>0.0</v>
      </c>
      <c r="G296" s="1">
        <v>0.0</v>
      </c>
      <c r="H296" s="1">
        <v>0.0</v>
      </c>
    </row>
    <row r="297">
      <c r="A297" s="1" t="s">
        <v>2808</v>
      </c>
      <c r="B297" s="1">
        <v>1.0</v>
      </c>
      <c r="C297" s="1">
        <v>1.0</v>
      </c>
      <c r="D297" s="1">
        <v>1.0</v>
      </c>
      <c r="E297" s="1">
        <v>42.0</v>
      </c>
      <c r="F297" s="1">
        <v>0.0</v>
      </c>
      <c r="G297" s="1">
        <v>0.0</v>
      </c>
      <c r="H297" s="1">
        <v>0.0</v>
      </c>
    </row>
    <row r="298">
      <c r="A298" s="1" t="s">
        <v>2809</v>
      </c>
      <c r="B298" s="1">
        <v>1.0</v>
      </c>
      <c r="C298" s="1">
        <v>1.0</v>
      </c>
      <c r="D298" s="1">
        <v>1.0</v>
      </c>
      <c r="E298" s="1">
        <v>0.0</v>
      </c>
      <c r="F298" s="1">
        <v>0.0</v>
      </c>
      <c r="G298" s="1">
        <v>0.0</v>
      </c>
      <c r="H298" s="1">
        <v>0.0</v>
      </c>
    </row>
    <row r="299">
      <c r="A299" s="1" t="s">
        <v>2810</v>
      </c>
      <c r="B299" s="1">
        <v>1.0</v>
      </c>
      <c r="C299" s="1">
        <v>1.0</v>
      </c>
      <c r="D299" s="1">
        <v>1.0</v>
      </c>
      <c r="E299" s="1">
        <v>0.0</v>
      </c>
      <c r="F299" s="1">
        <v>0.0</v>
      </c>
      <c r="G299" s="1">
        <v>0.0</v>
      </c>
      <c r="H299" s="1">
        <v>0.0</v>
      </c>
    </row>
    <row r="300">
      <c r="A300" s="1" t="s">
        <v>2811</v>
      </c>
      <c r="B300" s="1">
        <v>1.0</v>
      </c>
      <c r="C300" s="1">
        <v>1.0</v>
      </c>
      <c r="D300" s="1">
        <v>1.0</v>
      </c>
      <c r="E300" s="1">
        <v>63.0</v>
      </c>
      <c r="F300" s="1">
        <v>0.0</v>
      </c>
      <c r="G300" s="1">
        <v>0.0</v>
      </c>
      <c r="H300" s="1">
        <v>0.0</v>
      </c>
    </row>
    <row r="301">
      <c r="A301" s="1" t="s">
        <v>2812</v>
      </c>
      <c r="B301" s="1">
        <v>1.0</v>
      </c>
      <c r="C301" s="1">
        <v>1.0</v>
      </c>
      <c r="D301" s="1">
        <v>1.0</v>
      </c>
      <c r="E301" s="1">
        <v>1.0</v>
      </c>
      <c r="F301" s="1">
        <v>0.0</v>
      </c>
      <c r="G301" s="1">
        <v>0.0</v>
      </c>
      <c r="H301" s="1">
        <v>0.0</v>
      </c>
    </row>
    <row r="302">
      <c r="A302" s="1" t="s">
        <v>2813</v>
      </c>
      <c r="B302" s="1">
        <v>1.0</v>
      </c>
      <c r="C302" s="1">
        <v>1.0</v>
      </c>
      <c r="D302" s="1">
        <v>0.0</v>
      </c>
      <c r="E302" s="1">
        <v>32.0</v>
      </c>
      <c r="F302" s="1">
        <v>0.0</v>
      </c>
      <c r="G302" s="1">
        <v>0.0</v>
      </c>
      <c r="H302" s="1">
        <v>0.0</v>
      </c>
    </row>
    <row r="303">
      <c r="A303" s="1" t="s">
        <v>2814</v>
      </c>
      <c r="B303" s="1">
        <v>1.0</v>
      </c>
      <c r="C303" s="1">
        <v>1.0</v>
      </c>
      <c r="D303" s="1">
        <v>1.0</v>
      </c>
      <c r="E303" s="1">
        <v>29.0</v>
      </c>
      <c r="F303" s="1">
        <v>0.0</v>
      </c>
      <c r="G303" s="1">
        <v>0.0</v>
      </c>
      <c r="H303" s="1">
        <v>0.0</v>
      </c>
    </row>
    <row r="304">
      <c r="A304" s="1" t="s">
        <v>2815</v>
      </c>
      <c r="B304" s="1">
        <v>1.0</v>
      </c>
      <c r="C304" s="1">
        <v>1.0</v>
      </c>
      <c r="D304" s="1">
        <v>1.0</v>
      </c>
      <c r="E304" s="1">
        <v>15.0</v>
      </c>
      <c r="F304" s="1">
        <v>0.0</v>
      </c>
      <c r="G304" s="1">
        <v>0.0</v>
      </c>
      <c r="H304" s="1">
        <v>0.0</v>
      </c>
    </row>
    <row r="305">
      <c r="A305" s="1" t="s">
        <v>2816</v>
      </c>
      <c r="B305" s="1">
        <v>1.0</v>
      </c>
      <c r="C305" s="1">
        <v>1.0</v>
      </c>
      <c r="D305" s="1">
        <v>1.0</v>
      </c>
      <c r="E305" s="1">
        <v>42.0</v>
      </c>
      <c r="F305" s="1">
        <v>0.0</v>
      </c>
      <c r="G305" s="1">
        <v>0.0</v>
      </c>
      <c r="H305" s="1">
        <v>0.0</v>
      </c>
    </row>
    <row r="306">
      <c r="A306" s="1" t="s">
        <v>2817</v>
      </c>
      <c r="B306" s="1">
        <v>1.0</v>
      </c>
      <c r="C306" s="1">
        <v>1.0</v>
      </c>
      <c r="D306" s="1">
        <v>1.0</v>
      </c>
      <c r="E306" s="1">
        <v>168.0</v>
      </c>
      <c r="F306" s="1">
        <v>0.0</v>
      </c>
      <c r="G306" s="1">
        <v>0.0</v>
      </c>
      <c r="H306" s="1">
        <v>0.0</v>
      </c>
    </row>
    <row r="307">
      <c r="A307" s="1" t="s">
        <v>2818</v>
      </c>
      <c r="B307" s="1">
        <v>1.0</v>
      </c>
      <c r="C307" s="1">
        <v>1.0</v>
      </c>
      <c r="D307" s="1">
        <v>1.0</v>
      </c>
      <c r="E307" s="1">
        <v>2.0</v>
      </c>
      <c r="F307" s="1">
        <v>0.0</v>
      </c>
      <c r="G307" s="1">
        <v>0.0</v>
      </c>
      <c r="H307" s="1">
        <v>0.0</v>
      </c>
    </row>
    <row r="308">
      <c r="A308" s="1" t="s">
        <v>2819</v>
      </c>
      <c r="B308" s="1">
        <v>1.0</v>
      </c>
      <c r="C308" s="1">
        <v>1.0</v>
      </c>
      <c r="D308" s="1">
        <v>1.0</v>
      </c>
      <c r="E308" s="1">
        <v>46.0</v>
      </c>
      <c r="F308" s="1">
        <v>0.0</v>
      </c>
      <c r="G308" s="1">
        <v>0.0</v>
      </c>
      <c r="H308" s="1">
        <v>0.0</v>
      </c>
    </row>
    <row r="309">
      <c r="A309" s="1" t="s">
        <v>2820</v>
      </c>
      <c r="B309" s="1">
        <v>1.0</v>
      </c>
      <c r="C309" s="1">
        <v>1.0</v>
      </c>
      <c r="D309" s="1">
        <v>1.0</v>
      </c>
      <c r="E309" s="1">
        <v>2.0</v>
      </c>
      <c r="F309" s="1">
        <v>0.0</v>
      </c>
      <c r="G309" s="1">
        <v>0.0</v>
      </c>
      <c r="H309" s="1">
        <v>0.0</v>
      </c>
    </row>
    <row r="310">
      <c r="A310" s="1" t="s">
        <v>2821</v>
      </c>
      <c r="B310" s="1">
        <v>1.0</v>
      </c>
      <c r="C310" s="1">
        <v>1.0</v>
      </c>
      <c r="D310" s="1">
        <v>1.0</v>
      </c>
      <c r="E310" s="1">
        <v>45.0</v>
      </c>
      <c r="F310" s="1">
        <v>0.0</v>
      </c>
      <c r="G310" s="1">
        <v>0.0</v>
      </c>
      <c r="H310" s="1">
        <v>0.0</v>
      </c>
    </row>
    <row r="311">
      <c r="A311" s="1" t="s">
        <v>2822</v>
      </c>
      <c r="B311" s="1">
        <v>1.0</v>
      </c>
      <c r="C311" s="1">
        <v>1.0</v>
      </c>
      <c r="D311" s="1">
        <v>1.0</v>
      </c>
      <c r="E311" s="1">
        <v>3.0</v>
      </c>
      <c r="F311" s="1">
        <v>0.0</v>
      </c>
      <c r="G311" s="1">
        <v>0.0</v>
      </c>
      <c r="H311" s="1">
        <v>0.0</v>
      </c>
    </row>
    <row r="312">
      <c r="A312" s="1" t="s">
        <v>2823</v>
      </c>
      <c r="B312" s="1">
        <v>1.0</v>
      </c>
      <c r="C312" s="1">
        <v>1.0</v>
      </c>
      <c r="D312" s="1">
        <v>1.0</v>
      </c>
      <c r="E312" s="1">
        <v>2.0</v>
      </c>
      <c r="F312" s="1">
        <v>0.0</v>
      </c>
      <c r="G312" s="1">
        <v>0.0</v>
      </c>
      <c r="H312" s="1">
        <v>0.0</v>
      </c>
    </row>
    <row r="313">
      <c r="A313" s="1" t="s">
        <v>2824</v>
      </c>
      <c r="B313" s="1">
        <v>1.0</v>
      </c>
      <c r="C313" s="1">
        <v>1.0</v>
      </c>
      <c r="D313" s="1">
        <v>1.0</v>
      </c>
      <c r="E313" s="1">
        <v>1.0</v>
      </c>
      <c r="F313" s="1">
        <v>0.0</v>
      </c>
      <c r="G313" s="1">
        <v>0.0</v>
      </c>
      <c r="H313" s="1">
        <v>0.0</v>
      </c>
    </row>
    <row r="314">
      <c r="A314" s="1" t="s">
        <v>2825</v>
      </c>
      <c r="B314" s="1">
        <v>1.0</v>
      </c>
      <c r="C314" s="1">
        <v>1.0</v>
      </c>
      <c r="D314" s="1">
        <v>1.0</v>
      </c>
      <c r="E314" s="1">
        <v>4.0</v>
      </c>
      <c r="F314" s="1">
        <v>0.0</v>
      </c>
      <c r="G314" s="1">
        <v>0.0</v>
      </c>
      <c r="H314" s="1">
        <v>0.0</v>
      </c>
    </row>
    <row r="315">
      <c r="A315" s="1" t="s">
        <v>2826</v>
      </c>
      <c r="B315" s="1">
        <v>1.0</v>
      </c>
      <c r="C315" s="1">
        <v>1.0</v>
      </c>
      <c r="D315" s="1">
        <v>1.0</v>
      </c>
      <c r="E315" s="1">
        <v>57.0</v>
      </c>
      <c r="F315" s="1">
        <v>0.0</v>
      </c>
      <c r="G315" s="1">
        <v>0.0</v>
      </c>
      <c r="H315" s="1">
        <v>0.0</v>
      </c>
    </row>
    <row r="316">
      <c r="A316" s="1" t="s">
        <v>2827</v>
      </c>
      <c r="B316" s="1">
        <v>1.0</v>
      </c>
      <c r="C316" s="1">
        <v>1.0</v>
      </c>
      <c r="D316" s="1">
        <v>1.0</v>
      </c>
      <c r="E316" s="1">
        <v>14.0</v>
      </c>
      <c r="F316" s="1">
        <v>0.0</v>
      </c>
      <c r="G316" s="1">
        <v>0.0</v>
      </c>
      <c r="H316" s="1">
        <v>0.0</v>
      </c>
    </row>
    <row r="317">
      <c r="A317" s="1" t="s">
        <v>2828</v>
      </c>
      <c r="B317" s="1">
        <v>1.0</v>
      </c>
      <c r="C317" s="1">
        <v>1.0</v>
      </c>
      <c r="D317" s="1">
        <v>1.0</v>
      </c>
      <c r="E317" s="1">
        <v>0.0</v>
      </c>
      <c r="F317" s="1">
        <v>0.0</v>
      </c>
      <c r="G317" s="1">
        <v>0.0</v>
      </c>
      <c r="H317" s="1">
        <v>0.0</v>
      </c>
    </row>
    <row r="318">
      <c r="A318" s="1" t="s">
        <v>2829</v>
      </c>
      <c r="B318" s="1">
        <v>1.0</v>
      </c>
      <c r="C318" s="1">
        <v>1.0</v>
      </c>
      <c r="D318" s="1">
        <v>1.0</v>
      </c>
      <c r="E318" s="1">
        <v>4.0</v>
      </c>
      <c r="F318" s="1">
        <v>0.0</v>
      </c>
      <c r="G318" s="1">
        <v>0.0</v>
      </c>
      <c r="H318" s="1">
        <v>0.0</v>
      </c>
    </row>
    <row r="319">
      <c r="A319" s="1" t="s">
        <v>2830</v>
      </c>
      <c r="B319" s="1">
        <v>1.0</v>
      </c>
      <c r="C319" s="1">
        <v>1.0</v>
      </c>
      <c r="D319" s="1">
        <v>1.0</v>
      </c>
      <c r="E319" s="1">
        <v>7.0</v>
      </c>
      <c r="F319" s="1">
        <v>0.0</v>
      </c>
      <c r="G319" s="1">
        <v>0.0</v>
      </c>
      <c r="H319" s="1">
        <v>0.0</v>
      </c>
    </row>
    <row r="320">
      <c r="A320" s="1" t="s">
        <v>2831</v>
      </c>
      <c r="B320" s="1">
        <v>1.0</v>
      </c>
      <c r="C320" s="1">
        <v>1.0</v>
      </c>
      <c r="D320" s="1">
        <v>1.0</v>
      </c>
      <c r="E320" s="1">
        <v>48.0</v>
      </c>
      <c r="F320" s="1">
        <v>1.0</v>
      </c>
      <c r="G320" s="1">
        <v>0.0</v>
      </c>
      <c r="H320" s="1">
        <v>1.0</v>
      </c>
    </row>
    <row r="321">
      <c r="A321" s="1" t="s">
        <v>2832</v>
      </c>
      <c r="B321" s="1">
        <v>1.0</v>
      </c>
      <c r="C321" s="1">
        <v>1.0</v>
      </c>
      <c r="D321" s="1">
        <v>1.0</v>
      </c>
      <c r="E321" s="1">
        <v>0.0</v>
      </c>
      <c r="F321" s="1">
        <v>0.0</v>
      </c>
      <c r="G321" s="1">
        <v>0.0</v>
      </c>
      <c r="H321" s="1">
        <v>0.0</v>
      </c>
    </row>
    <row r="322">
      <c r="A322" s="1" t="s">
        <v>2833</v>
      </c>
      <c r="B322" s="1">
        <v>1.0</v>
      </c>
      <c r="C322" s="1">
        <v>1.0</v>
      </c>
      <c r="D322" s="1">
        <v>1.0</v>
      </c>
      <c r="E322" s="1">
        <v>12.0</v>
      </c>
      <c r="F322" s="1">
        <v>0.0</v>
      </c>
      <c r="G322" s="1">
        <v>0.0</v>
      </c>
      <c r="H322" s="1">
        <v>0.0</v>
      </c>
    </row>
    <row r="323">
      <c r="A323" s="1" t="s">
        <v>2834</v>
      </c>
      <c r="B323" s="1">
        <v>1.0</v>
      </c>
      <c r="C323" s="1">
        <v>1.0</v>
      </c>
      <c r="D323" s="1">
        <v>1.0</v>
      </c>
      <c r="E323" s="1">
        <v>2.0</v>
      </c>
      <c r="F323" s="1">
        <v>0.0</v>
      </c>
      <c r="G323" s="1">
        <v>0.0</v>
      </c>
      <c r="H323" s="1">
        <v>0.0</v>
      </c>
    </row>
    <row r="324">
      <c r="A324" s="1" t="s">
        <v>2835</v>
      </c>
      <c r="B324" s="1">
        <v>1.0</v>
      </c>
      <c r="C324" s="1">
        <v>1.0</v>
      </c>
      <c r="D324" s="1">
        <v>1.0</v>
      </c>
      <c r="E324" s="1">
        <v>2.0</v>
      </c>
      <c r="F324" s="1">
        <v>0.0</v>
      </c>
      <c r="G324" s="1">
        <v>0.0</v>
      </c>
      <c r="H324" s="1">
        <v>0.0</v>
      </c>
    </row>
    <row r="325">
      <c r="A325" s="1" t="s">
        <v>2836</v>
      </c>
      <c r="B325" s="1">
        <v>1.0</v>
      </c>
      <c r="C325" s="1">
        <v>1.0</v>
      </c>
      <c r="D325" s="1">
        <v>1.0</v>
      </c>
      <c r="E325" s="1">
        <v>16.0</v>
      </c>
      <c r="F325" s="1">
        <v>0.0</v>
      </c>
      <c r="G325" s="1">
        <v>0.0</v>
      </c>
      <c r="H325" s="1">
        <v>0.0</v>
      </c>
    </row>
    <row r="326">
      <c r="A326" s="1" t="s">
        <v>2837</v>
      </c>
      <c r="B326" s="1">
        <v>1.0</v>
      </c>
      <c r="C326" s="1">
        <v>1.0</v>
      </c>
      <c r="D326" s="1">
        <v>1.0</v>
      </c>
      <c r="E326" s="1">
        <v>17.0</v>
      </c>
      <c r="F326" s="1">
        <v>0.0</v>
      </c>
      <c r="G326" s="1">
        <v>0.0</v>
      </c>
      <c r="H326" s="1">
        <v>0.0</v>
      </c>
    </row>
    <row r="327">
      <c r="A327" s="1" t="s">
        <v>2838</v>
      </c>
      <c r="B327" s="1">
        <v>1.0</v>
      </c>
      <c r="C327" s="1">
        <v>1.0</v>
      </c>
      <c r="D327" s="1">
        <v>1.0</v>
      </c>
      <c r="E327" s="1">
        <v>6.0</v>
      </c>
      <c r="F327" s="1">
        <v>0.0</v>
      </c>
      <c r="G327" s="1">
        <v>0.0</v>
      </c>
      <c r="H327" s="1">
        <v>0.0</v>
      </c>
    </row>
    <row r="328">
      <c r="A328" s="1" t="s">
        <v>2839</v>
      </c>
      <c r="B328" s="1">
        <v>1.0</v>
      </c>
      <c r="C328" s="1">
        <v>1.0</v>
      </c>
      <c r="D328" s="1">
        <v>1.0</v>
      </c>
      <c r="E328" s="1">
        <v>5.0</v>
      </c>
      <c r="F328" s="1">
        <v>0.0</v>
      </c>
      <c r="G328" s="1">
        <v>0.0</v>
      </c>
      <c r="H328" s="1">
        <v>0.0</v>
      </c>
    </row>
    <row r="329">
      <c r="A329" s="1" t="s">
        <v>2840</v>
      </c>
      <c r="B329" s="1">
        <v>1.0</v>
      </c>
      <c r="C329" s="1">
        <v>1.0</v>
      </c>
      <c r="D329" s="1">
        <v>1.0</v>
      </c>
      <c r="E329" s="1">
        <v>95.0</v>
      </c>
      <c r="F329" s="1">
        <v>0.0</v>
      </c>
      <c r="G329" s="1">
        <v>0.0</v>
      </c>
      <c r="H329" s="1">
        <v>0.0</v>
      </c>
    </row>
    <row r="330">
      <c r="A330" s="1" t="s">
        <v>2841</v>
      </c>
      <c r="B330" s="1">
        <v>1.0</v>
      </c>
      <c r="C330" s="1">
        <v>1.0</v>
      </c>
      <c r="D330" s="1">
        <v>1.0</v>
      </c>
      <c r="E330" s="1">
        <v>6.0</v>
      </c>
      <c r="F330" s="1">
        <v>0.0</v>
      </c>
      <c r="G330" s="1">
        <v>0.0</v>
      </c>
      <c r="H330" s="1">
        <v>0.0</v>
      </c>
    </row>
    <row r="331">
      <c r="A331" s="1" t="s">
        <v>2842</v>
      </c>
      <c r="B331" s="1">
        <v>1.0</v>
      </c>
      <c r="C331" s="1">
        <v>1.0</v>
      </c>
      <c r="D331" s="1">
        <v>1.0</v>
      </c>
      <c r="E331" s="1">
        <v>0.0</v>
      </c>
      <c r="F331" s="1">
        <v>0.0</v>
      </c>
      <c r="G331" s="1">
        <v>0.0</v>
      </c>
      <c r="H331" s="1">
        <v>0.0</v>
      </c>
    </row>
    <row r="332">
      <c r="A332" s="1" t="s">
        <v>2843</v>
      </c>
      <c r="B332" s="1">
        <v>1.0</v>
      </c>
      <c r="C332" s="1">
        <v>1.0</v>
      </c>
      <c r="D332" s="1">
        <v>1.0</v>
      </c>
      <c r="E332" s="1">
        <v>18.0</v>
      </c>
      <c r="F332" s="1">
        <v>0.0</v>
      </c>
      <c r="G332" s="1">
        <v>0.0</v>
      </c>
      <c r="H332" s="1">
        <v>0.0</v>
      </c>
    </row>
    <row r="333">
      <c r="A333" s="1" t="s">
        <v>2844</v>
      </c>
      <c r="B333" s="1">
        <v>1.0</v>
      </c>
      <c r="C333" s="1">
        <v>1.0</v>
      </c>
      <c r="D333" s="1">
        <v>1.0</v>
      </c>
      <c r="E333" s="1">
        <v>0.0</v>
      </c>
      <c r="F333" s="1">
        <v>0.0</v>
      </c>
      <c r="G333" s="1">
        <v>0.0</v>
      </c>
      <c r="H333" s="1">
        <v>0.0</v>
      </c>
    </row>
    <row r="334">
      <c r="A334" s="1" t="s">
        <v>2845</v>
      </c>
      <c r="B334" s="1">
        <v>1.0</v>
      </c>
      <c r="C334" s="1">
        <v>1.0</v>
      </c>
      <c r="D334" s="1">
        <v>1.0</v>
      </c>
      <c r="E334" s="1">
        <v>0.0</v>
      </c>
      <c r="F334" s="1">
        <v>0.0</v>
      </c>
      <c r="G334" s="1">
        <v>0.0</v>
      </c>
      <c r="H334" s="1">
        <v>0.0</v>
      </c>
    </row>
    <row r="335">
      <c r="A335" s="1" t="s">
        <v>2846</v>
      </c>
      <c r="B335" s="1">
        <v>1.0</v>
      </c>
      <c r="C335" s="1">
        <v>1.0</v>
      </c>
      <c r="D335" s="1">
        <v>1.0</v>
      </c>
      <c r="E335" s="1">
        <v>98.0</v>
      </c>
      <c r="F335" s="1">
        <v>0.0</v>
      </c>
      <c r="G335" s="1">
        <v>0.0</v>
      </c>
      <c r="H335" s="1">
        <v>0.0</v>
      </c>
    </row>
    <row r="336">
      <c r="A336" s="1" t="s">
        <v>2847</v>
      </c>
      <c r="B336" s="1">
        <v>1.0</v>
      </c>
      <c r="C336" s="1">
        <v>1.0</v>
      </c>
      <c r="D336" s="1">
        <v>1.0</v>
      </c>
      <c r="E336" s="1">
        <v>0.0</v>
      </c>
      <c r="F336" s="1">
        <v>0.0</v>
      </c>
      <c r="G336" s="1">
        <v>0.0</v>
      </c>
      <c r="H336" s="1">
        <v>0.0</v>
      </c>
    </row>
    <row r="337">
      <c r="A337" s="1" t="s">
        <v>2848</v>
      </c>
      <c r="B337" s="1">
        <v>1.0</v>
      </c>
      <c r="C337" s="1">
        <v>1.0</v>
      </c>
      <c r="D337" s="1">
        <v>1.0</v>
      </c>
      <c r="E337" s="1">
        <v>0.0</v>
      </c>
      <c r="F337" s="1">
        <v>0.0</v>
      </c>
      <c r="G337" s="1">
        <v>0.0</v>
      </c>
      <c r="H337" s="1">
        <v>0.0</v>
      </c>
    </row>
    <row r="338">
      <c r="A338" s="1" t="s">
        <v>2849</v>
      </c>
      <c r="B338" s="1">
        <v>1.0</v>
      </c>
      <c r="C338" s="1">
        <v>1.0</v>
      </c>
      <c r="D338" s="1">
        <v>1.0</v>
      </c>
      <c r="E338" s="1">
        <v>0.0</v>
      </c>
      <c r="F338" s="1">
        <v>0.0</v>
      </c>
      <c r="G338" s="1">
        <v>0.0</v>
      </c>
      <c r="H338" s="1">
        <v>0.0</v>
      </c>
    </row>
    <row r="339">
      <c r="A339" s="1" t="s">
        <v>2850</v>
      </c>
      <c r="B339" s="1">
        <v>1.0</v>
      </c>
      <c r="C339" s="1">
        <v>1.0</v>
      </c>
      <c r="D339" s="1">
        <v>1.0</v>
      </c>
      <c r="E339" s="1">
        <v>4.0</v>
      </c>
      <c r="F339" s="1">
        <v>0.0</v>
      </c>
      <c r="G339" s="1">
        <v>0.0</v>
      </c>
      <c r="H339" s="1">
        <v>0.0</v>
      </c>
    </row>
    <row r="340">
      <c r="A340" s="1" t="s">
        <v>2851</v>
      </c>
      <c r="B340" s="1">
        <v>1.0</v>
      </c>
      <c r="C340" s="1">
        <v>1.0</v>
      </c>
      <c r="D340" s="1">
        <v>1.0</v>
      </c>
      <c r="E340" s="1">
        <v>48.0</v>
      </c>
      <c r="F340" s="1">
        <v>0.0</v>
      </c>
      <c r="G340" s="1">
        <v>0.0</v>
      </c>
      <c r="H340" s="1">
        <v>0.0</v>
      </c>
    </row>
    <row r="341">
      <c r="A341" s="1" t="s">
        <v>2852</v>
      </c>
      <c r="B341" s="1">
        <v>1.0</v>
      </c>
      <c r="C341" s="1">
        <v>1.0</v>
      </c>
      <c r="D341" s="1">
        <v>1.0</v>
      </c>
      <c r="E341" s="1">
        <v>0.0</v>
      </c>
      <c r="F341" s="1">
        <v>0.0</v>
      </c>
      <c r="G341" s="1">
        <v>0.0</v>
      </c>
      <c r="H341" s="1">
        <v>0.0</v>
      </c>
    </row>
    <row r="342">
      <c r="A342" s="1" t="s">
        <v>2853</v>
      </c>
      <c r="B342" s="1">
        <v>1.0</v>
      </c>
      <c r="C342" s="1">
        <v>1.0</v>
      </c>
      <c r="D342" s="1">
        <v>1.0</v>
      </c>
      <c r="E342" s="1">
        <v>867.0</v>
      </c>
      <c r="F342" s="1">
        <v>1.0</v>
      </c>
      <c r="G342" s="1">
        <v>0.0</v>
      </c>
      <c r="H342" s="1">
        <v>1.0</v>
      </c>
    </row>
    <row r="343">
      <c r="A343" s="1" t="s">
        <v>2854</v>
      </c>
      <c r="B343" s="1">
        <v>1.0</v>
      </c>
      <c r="C343" s="1">
        <v>1.0</v>
      </c>
      <c r="D343" s="1">
        <v>1.0</v>
      </c>
      <c r="E343" s="1">
        <v>15.0</v>
      </c>
      <c r="F343" s="1">
        <v>0.0</v>
      </c>
      <c r="G343" s="1">
        <v>0.0</v>
      </c>
      <c r="H343" s="1">
        <v>0.0</v>
      </c>
    </row>
    <row r="344">
      <c r="A344" s="1" t="s">
        <v>2855</v>
      </c>
      <c r="B344" s="1">
        <v>1.0</v>
      </c>
      <c r="C344" s="1">
        <v>1.0</v>
      </c>
      <c r="D344" s="1">
        <v>1.0</v>
      </c>
      <c r="E344" s="1">
        <v>0.0</v>
      </c>
      <c r="F344" s="1">
        <v>0.0</v>
      </c>
      <c r="G344" s="1">
        <v>0.0</v>
      </c>
      <c r="H344" s="1">
        <v>0.0</v>
      </c>
    </row>
    <row r="345">
      <c r="A345" s="1" t="s">
        <v>2856</v>
      </c>
      <c r="B345" s="1">
        <v>1.0</v>
      </c>
      <c r="C345" s="1">
        <v>1.0</v>
      </c>
      <c r="D345" s="1">
        <v>1.0</v>
      </c>
      <c r="E345" s="1">
        <v>531.0</v>
      </c>
      <c r="F345" s="1">
        <v>0.0</v>
      </c>
      <c r="G345" s="1">
        <v>0.0</v>
      </c>
      <c r="H345" s="1">
        <v>0.0</v>
      </c>
    </row>
    <row r="346">
      <c r="A346" s="1" t="s">
        <v>2857</v>
      </c>
      <c r="B346" s="1">
        <v>1.0</v>
      </c>
      <c r="C346" s="1">
        <v>1.0</v>
      </c>
      <c r="D346" s="1">
        <v>1.0</v>
      </c>
      <c r="E346" s="1">
        <v>3.0</v>
      </c>
      <c r="F346" s="1">
        <v>0.0</v>
      </c>
      <c r="G346" s="1">
        <v>0.0</v>
      </c>
      <c r="H346" s="1">
        <v>0.0</v>
      </c>
    </row>
    <row r="347">
      <c r="A347" s="1" t="s">
        <v>2858</v>
      </c>
      <c r="B347" s="1">
        <v>1.0</v>
      </c>
      <c r="C347" s="1">
        <v>1.0</v>
      </c>
      <c r="D347" s="1">
        <v>1.0</v>
      </c>
      <c r="E347" s="1">
        <v>82.0</v>
      </c>
      <c r="F347" s="1">
        <v>0.0</v>
      </c>
      <c r="G347" s="1">
        <v>0.0</v>
      </c>
      <c r="H347" s="1">
        <v>0.0</v>
      </c>
    </row>
    <row r="348">
      <c r="A348" s="1" t="s">
        <v>2859</v>
      </c>
      <c r="B348" s="1">
        <v>1.0</v>
      </c>
      <c r="C348" s="1">
        <v>1.0</v>
      </c>
      <c r="D348" s="1">
        <v>1.0</v>
      </c>
      <c r="E348" s="1">
        <v>9.0</v>
      </c>
      <c r="F348" s="1">
        <v>0.0</v>
      </c>
      <c r="G348" s="1">
        <v>0.0</v>
      </c>
      <c r="H348" s="1">
        <v>0.0</v>
      </c>
    </row>
    <row r="349">
      <c r="A349" s="1" t="s">
        <v>2860</v>
      </c>
      <c r="B349" s="1">
        <v>1.0</v>
      </c>
      <c r="C349" s="1">
        <v>1.0</v>
      </c>
      <c r="D349" s="1">
        <v>1.0</v>
      </c>
      <c r="E349" s="1">
        <v>4.0</v>
      </c>
      <c r="F349" s="1">
        <v>0.0</v>
      </c>
      <c r="G349" s="1">
        <v>0.0</v>
      </c>
      <c r="H349" s="1">
        <v>0.0</v>
      </c>
    </row>
    <row r="350">
      <c r="A350" s="1" t="s">
        <v>2861</v>
      </c>
      <c r="B350" s="1">
        <v>1.0</v>
      </c>
      <c r="C350" s="1">
        <v>1.0</v>
      </c>
      <c r="D350" s="1">
        <v>1.0</v>
      </c>
      <c r="E350" s="1">
        <v>11.0</v>
      </c>
      <c r="F350" s="1">
        <v>0.0</v>
      </c>
      <c r="G350" s="1">
        <v>0.0</v>
      </c>
      <c r="H350" s="1">
        <v>0.0</v>
      </c>
    </row>
    <row r="351">
      <c r="A351" s="1" t="s">
        <v>2862</v>
      </c>
      <c r="B351" s="1">
        <v>1.0</v>
      </c>
      <c r="C351" s="1">
        <v>1.0</v>
      </c>
      <c r="D351" s="1">
        <v>1.0</v>
      </c>
      <c r="E351" s="1">
        <v>15.0</v>
      </c>
      <c r="F351" s="1">
        <v>0.0</v>
      </c>
      <c r="G351" s="1">
        <v>0.0</v>
      </c>
      <c r="H351" s="1">
        <v>0.0</v>
      </c>
    </row>
    <row r="352">
      <c r="A352" s="1" t="s">
        <v>2863</v>
      </c>
      <c r="B352" s="1">
        <v>1.0</v>
      </c>
      <c r="C352" s="1">
        <v>1.0</v>
      </c>
      <c r="D352" s="1">
        <v>1.0</v>
      </c>
      <c r="E352" s="1">
        <v>4.0</v>
      </c>
      <c r="F352" s="1">
        <v>0.0</v>
      </c>
      <c r="G352" s="1">
        <v>0.0</v>
      </c>
      <c r="H352" s="1">
        <v>0.0</v>
      </c>
    </row>
    <row r="353">
      <c r="A353" s="1" t="s">
        <v>2864</v>
      </c>
      <c r="B353" s="1">
        <v>1.0</v>
      </c>
      <c r="C353" s="1">
        <v>1.0</v>
      </c>
      <c r="D353" s="1">
        <v>1.0</v>
      </c>
      <c r="E353" s="1">
        <v>14.0</v>
      </c>
      <c r="F353" s="1">
        <v>0.0</v>
      </c>
      <c r="G353" s="1">
        <v>0.0</v>
      </c>
      <c r="H353" s="1">
        <v>0.0</v>
      </c>
    </row>
    <row r="354">
      <c r="A354" s="1" t="s">
        <v>2865</v>
      </c>
      <c r="B354" s="1">
        <v>1.0</v>
      </c>
      <c r="C354" s="1">
        <v>1.0</v>
      </c>
      <c r="D354" s="1">
        <v>2.0</v>
      </c>
      <c r="E354" s="1">
        <v>8.0</v>
      </c>
      <c r="F354" s="1">
        <v>0.0</v>
      </c>
      <c r="G354" s="1">
        <v>0.0</v>
      </c>
      <c r="H354" s="1">
        <v>0.0</v>
      </c>
    </row>
    <row r="355">
      <c r="A355" s="1" t="s">
        <v>2866</v>
      </c>
      <c r="B355" s="1">
        <v>1.0</v>
      </c>
      <c r="C355" s="1">
        <v>1.0</v>
      </c>
      <c r="D355" s="1">
        <v>1.0</v>
      </c>
      <c r="E355" s="1">
        <v>4.0</v>
      </c>
      <c r="F355" s="1">
        <v>0.0</v>
      </c>
      <c r="G355" s="1">
        <v>0.0</v>
      </c>
      <c r="H355" s="1">
        <v>0.0</v>
      </c>
    </row>
    <row r="356">
      <c r="A356" s="1" t="s">
        <v>2867</v>
      </c>
      <c r="B356" s="1">
        <v>1.0</v>
      </c>
      <c r="C356" s="1">
        <v>1.0</v>
      </c>
      <c r="D356" s="1">
        <v>1.0</v>
      </c>
      <c r="E356" s="1">
        <v>9.0</v>
      </c>
      <c r="F356" s="1">
        <v>0.0</v>
      </c>
      <c r="G356" s="1">
        <v>0.0</v>
      </c>
      <c r="H356" s="1">
        <v>0.0</v>
      </c>
    </row>
    <row r="357">
      <c r="A357" s="1" t="s">
        <v>2868</v>
      </c>
      <c r="B357" s="1">
        <v>1.0</v>
      </c>
      <c r="C357" s="1">
        <v>1.0</v>
      </c>
      <c r="D357" s="1">
        <v>1.0</v>
      </c>
      <c r="E357" s="1">
        <v>0.0</v>
      </c>
      <c r="F357" s="1">
        <v>0.0</v>
      </c>
      <c r="G357" s="1">
        <v>0.0</v>
      </c>
      <c r="H357" s="1">
        <v>0.0</v>
      </c>
    </row>
    <row r="358">
      <c r="A358" s="1" t="s">
        <v>2869</v>
      </c>
      <c r="B358" s="1">
        <v>1.0</v>
      </c>
      <c r="C358" s="1">
        <v>1.0</v>
      </c>
      <c r="D358" s="1">
        <v>1.0</v>
      </c>
      <c r="E358" s="1">
        <v>6.0</v>
      </c>
      <c r="F358" s="1">
        <v>0.0</v>
      </c>
      <c r="G358" s="1">
        <v>0.0</v>
      </c>
      <c r="H358" s="1">
        <v>0.0</v>
      </c>
    </row>
    <row r="359">
      <c r="A359" s="1" t="s">
        <v>2870</v>
      </c>
      <c r="B359" s="1">
        <v>1.0</v>
      </c>
      <c r="C359" s="1">
        <v>1.0</v>
      </c>
      <c r="D359" s="1">
        <v>1.0</v>
      </c>
      <c r="E359" s="1">
        <v>0.0</v>
      </c>
      <c r="F359" s="1">
        <v>0.0</v>
      </c>
      <c r="G359" s="1">
        <v>0.0</v>
      </c>
      <c r="H359" s="1">
        <v>0.0</v>
      </c>
    </row>
    <row r="360">
      <c r="A360" s="1" t="s">
        <v>2871</v>
      </c>
      <c r="B360" s="1">
        <v>1.0</v>
      </c>
      <c r="C360" s="1">
        <v>1.0</v>
      </c>
      <c r="D360" s="1">
        <v>1.0</v>
      </c>
      <c r="E360" s="1">
        <v>13.0</v>
      </c>
      <c r="F360" s="1">
        <v>0.0</v>
      </c>
      <c r="G360" s="1">
        <v>0.0</v>
      </c>
      <c r="H360" s="1">
        <v>0.0</v>
      </c>
    </row>
    <row r="361">
      <c r="A361" s="1" t="s">
        <v>2872</v>
      </c>
      <c r="B361" s="1">
        <v>1.0</v>
      </c>
      <c r="C361" s="1">
        <v>1.0</v>
      </c>
      <c r="D361" s="1">
        <v>1.0</v>
      </c>
      <c r="E361" s="1">
        <v>37.0</v>
      </c>
      <c r="F361" s="1">
        <v>0.0</v>
      </c>
      <c r="G361" s="1">
        <v>0.0</v>
      </c>
      <c r="H361" s="1">
        <v>0.0</v>
      </c>
    </row>
    <row r="362">
      <c r="A362" s="1" t="s">
        <v>2873</v>
      </c>
      <c r="B362" s="1">
        <v>1.0</v>
      </c>
      <c r="C362" s="1">
        <v>1.0</v>
      </c>
      <c r="D362" s="1">
        <v>1.0</v>
      </c>
      <c r="E362" s="1">
        <v>0.0</v>
      </c>
      <c r="F362" s="1">
        <v>0.0</v>
      </c>
      <c r="G362" s="1">
        <v>0.0</v>
      </c>
      <c r="H362" s="1">
        <v>0.0</v>
      </c>
    </row>
    <row r="363">
      <c r="A363" s="1" t="s">
        <v>2874</v>
      </c>
      <c r="B363" s="1">
        <v>1.0</v>
      </c>
      <c r="C363" s="1">
        <v>1.0</v>
      </c>
      <c r="D363" s="1">
        <v>1.0</v>
      </c>
      <c r="E363" s="1">
        <v>0.0</v>
      </c>
      <c r="F363" s="1">
        <v>0.0</v>
      </c>
      <c r="G363" s="1">
        <v>0.0</v>
      </c>
      <c r="H363" s="1">
        <v>0.0</v>
      </c>
    </row>
    <row r="364">
      <c r="A364" s="1" t="s">
        <v>2875</v>
      </c>
      <c r="B364" s="1">
        <v>1.0</v>
      </c>
      <c r="C364" s="1">
        <v>1.0</v>
      </c>
      <c r="D364" s="1">
        <v>1.0</v>
      </c>
      <c r="E364" s="1">
        <v>33.0</v>
      </c>
      <c r="F364" s="1">
        <v>0.0</v>
      </c>
      <c r="G364" s="1">
        <v>0.0</v>
      </c>
      <c r="H364" s="1">
        <v>0.0</v>
      </c>
    </row>
    <row r="365">
      <c r="A365" s="1" t="s">
        <v>2876</v>
      </c>
      <c r="B365" s="1">
        <v>1.0</v>
      </c>
      <c r="C365" s="1">
        <v>0.0</v>
      </c>
      <c r="D365" s="1">
        <v>0.0</v>
      </c>
      <c r="E365" s="1">
        <v>0.0</v>
      </c>
      <c r="F365" s="1">
        <v>0.0</v>
      </c>
      <c r="G365" s="1">
        <v>0.0</v>
      </c>
      <c r="H365" s="1">
        <v>0.0</v>
      </c>
    </row>
    <row r="366">
      <c r="A366" s="1" t="s">
        <v>2877</v>
      </c>
      <c r="B366" s="1">
        <v>1.0</v>
      </c>
      <c r="C366" s="1">
        <v>1.0</v>
      </c>
      <c r="D366" s="1">
        <v>1.0</v>
      </c>
      <c r="E366" s="1">
        <v>0.0</v>
      </c>
      <c r="F366" s="1">
        <v>0.0</v>
      </c>
      <c r="G366" s="1">
        <v>0.0</v>
      </c>
      <c r="H366" s="1">
        <v>0.0</v>
      </c>
    </row>
    <row r="367">
      <c r="A367" s="1" t="s">
        <v>2878</v>
      </c>
      <c r="B367" s="1">
        <v>1.0</v>
      </c>
      <c r="C367" s="1">
        <v>1.0</v>
      </c>
      <c r="D367" s="1">
        <v>1.0</v>
      </c>
      <c r="E367" s="1">
        <v>8.0</v>
      </c>
      <c r="F367" s="1">
        <v>0.0</v>
      </c>
      <c r="G367" s="1">
        <v>0.0</v>
      </c>
      <c r="H367" s="1">
        <v>0.0</v>
      </c>
    </row>
    <row r="368">
      <c r="A368" s="1" t="s">
        <v>2879</v>
      </c>
      <c r="B368" s="1">
        <v>1.0</v>
      </c>
      <c r="C368" s="1">
        <v>1.0</v>
      </c>
      <c r="D368" s="1">
        <v>0.0</v>
      </c>
      <c r="E368" s="1">
        <v>11.0</v>
      </c>
      <c r="F368" s="1">
        <v>0.0</v>
      </c>
      <c r="G368" s="1">
        <v>0.0</v>
      </c>
      <c r="H368" s="1">
        <v>0.0</v>
      </c>
    </row>
    <row r="369">
      <c r="A369" s="1" t="s">
        <v>2880</v>
      </c>
      <c r="B369" s="1">
        <v>1.0</v>
      </c>
      <c r="C369" s="1">
        <v>1.0</v>
      </c>
      <c r="D369" s="1">
        <v>1.0</v>
      </c>
      <c r="E369" s="1">
        <v>0.0</v>
      </c>
      <c r="F369" s="1">
        <v>0.0</v>
      </c>
      <c r="G369" s="1">
        <v>0.0</v>
      </c>
      <c r="H369" s="1">
        <v>0.0</v>
      </c>
    </row>
    <row r="370">
      <c r="A370" s="1" t="s">
        <v>2881</v>
      </c>
      <c r="B370" s="1">
        <v>1.0</v>
      </c>
      <c r="C370" s="1">
        <v>1.0</v>
      </c>
      <c r="D370" s="1">
        <v>1.0</v>
      </c>
      <c r="E370" s="1">
        <v>8.0</v>
      </c>
      <c r="F370" s="1">
        <v>0.0</v>
      </c>
      <c r="G370" s="1">
        <v>0.0</v>
      </c>
      <c r="H370" s="1">
        <v>0.0</v>
      </c>
    </row>
    <row r="371">
      <c r="A371" s="1" t="s">
        <v>2882</v>
      </c>
      <c r="B371" s="1">
        <v>1.0</v>
      </c>
      <c r="C371" s="1">
        <v>1.0</v>
      </c>
      <c r="D371" s="1">
        <v>0.0</v>
      </c>
      <c r="E371" s="1">
        <v>361.0</v>
      </c>
      <c r="F371" s="1">
        <v>1.0</v>
      </c>
      <c r="G371" s="1">
        <v>0.0</v>
      </c>
      <c r="H371" s="1">
        <v>1.0</v>
      </c>
    </row>
    <row r="372">
      <c r="A372" s="1" t="s">
        <v>2883</v>
      </c>
      <c r="B372" s="1">
        <v>1.0</v>
      </c>
      <c r="C372" s="1">
        <v>1.0</v>
      </c>
      <c r="D372" s="1">
        <v>1.0</v>
      </c>
      <c r="E372" s="1">
        <v>1.0</v>
      </c>
      <c r="F372" s="1">
        <v>0.0</v>
      </c>
      <c r="G372" s="1">
        <v>0.0</v>
      </c>
      <c r="H372" s="1">
        <v>0.0</v>
      </c>
    </row>
    <row r="373">
      <c r="A373" s="1" t="s">
        <v>2884</v>
      </c>
      <c r="B373" s="1">
        <v>1.0</v>
      </c>
      <c r="C373" s="1">
        <v>1.0</v>
      </c>
      <c r="D373" s="1">
        <v>1.0</v>
      </c>
      <c r="E373" s="1">
        <v>25.0</v>
      </c>
      <c r="F373" s="1">
        <v>0.0</v>
      </c>
      <c r="G373" s="1">
        <v>0.0</v>
      </c>
      <c r="H373" s="1">
        <v>0.0</v>
      </c>
    </row>
    <row r="374">
      <c r="A374" s="1" t="s">
        <v>2885</v>
      </c>
      <c r="B374" s="1">
        <v>1.0</v>
      </c>
      <c r="C374" s="1">
        <v>1.0</v>
      </c>
      <c r="D374" s="1">
        <v>1.0</v>
      </c>
      <c r="E374" s="1">
        <v>363.0</v>
      </c>
      <c r="F374" s="1">
        <v>0.0</v>
      </c>
      <c r="G374" s="1">
        <v>0.0</v>
      </c>
      <c r="H374" s="1">
        <v>0.0</v>
      </c>
    </row>
    <row r="375">
      <c r="A375" s="1" t="s">
        <v>524</v>
      </c>
      <c r="B375" s="1">
        <v>1.0</v>
      </c>
      <c r="C375" s="1">
        <v>1.0</v>
      </c>
      <c r="D375" s="1">
        <v>1.0</v>
      </c>
      <c r="E375" s="1">
        <v>1.0</v>
      </c>
      <c r="F375" s="1">
        <v>0.0</v>
      </c>
      <c r="G375" s="1">
        <v>0.0</v>
      </c>
      <c r="H375" s="1">
        <v>0.0</v>
      </c>
    </row>
    <row r="376">
      <c r="A376" s="1" t="s">
        <v>2886</v>
      </c>
      <c r="B376" s="1">
        <v>1.0</v>
      </c>
      <c r="C376" s="1">
        <v>1.0</v>
      </c>
      <c r="D376" s="1">
        <v>1.0</v>
      </c>
      <c r="E376" s="1">
        <v>3.0</v>
      </c>
      <c r="F376" s="1">
        <v>0.0</v>
      </c>
      <c r="G376" s="1">
        <v>0.0</v>
      </c>
      <c r="H376" s="1">
        <v>0.0</v>
      </c>
    </row>
    <row r="377">
      <c r="A377" s="1" t="s">
        <v>2887</v>
      </c>
      <c r="B377" s="1">
        <v>1.0</v>
      </c>
      <c r="C377" s="1">
        <v>1.0</v>
      </c>
      <c r="D377" s="1">
        <v>1.0</v>
      </c>
      <c r="E377" s="1">
        <v>0.0</v>
      </c>
      <c r="F377" s="1">
        <v>0.0</v>
      </c>
      <c r="G377" s="1">
        <v>0.0</v>
      </c>
      <c r="H377" s="1">
        <v>0.0</v>
      </c>
    </row>
    <row r="378">
      <c r="A378" s="1" t="s">
        <v>2888</v>
      </c>
      <c r="B378" s="1">
        <v>1.0</v>
      </c>
      <c r="C378" s="1">
        <v>1.0</v>
      </c>
      <c r="D378" s="1">
        <v>1.0</v>
      </c>
      <c r="E378" s="1">
        <v>45.0</v>
      </c>
      <c r="F378" s="1">
        <v>0.0</v>
      </c>
      <c r="G378" s="1">
        <v>0.0</v>
      </c>
      <c r="H378" s="1">
        <v>0.0</v>
      </c>
    </row>
    <row r="379">
      <c r="A379" s="1" t="s">
        <v>2889</v>
      </c>
      <c r="B379" s="1">
        <v>1.0</v>
      </c>
      <c r="C379" s="1">
        <v>1.0</v>
      </c>
      <c r="D379" s="1">
        <v>1.0</v>
      </c>
      <c r="E379" s="1">
        <v>6.0</v>
      </c>
      <c r="F379" s="1">
        <v>0.0</v>
      </c>
      <c r="G379" s="1">
        <v>0.0</v>
      </c>
      <c r="H379" s="1">
        <v>0.0</v>
      </c>
    </row>
    <row r="380">
      <c r="A380" s="1" t="s">
        <v>2890</v>
      </c>
      <c r="B380" s="1">
        <v>1.0</v>
      </c>
      <c r="C380" s="1">
        <v>1.0</v>
      </c>
      <c r="D380" s="1">
        <v>1.0</v>
      </c>
      <c r="E380" s="1">
        <v>15.0</v>
      </c>
      <c r="F380" s="1">
        <v>0.0</v>
      </c>
      <c r="G380" s="1">
        <v>0.0</v>
      </c>
      <c r="H380" s="1">
        <v>0.0</v>
      </c>
    </row>
    <row r="381">
      <c r="A381" s="1" t="s">
        <v>2891</v>
      </c>
      <c r="B381" s="1">
        <v>1.0</v>
      </c>
      <c r="C381" s="1">
        <v>1.0</v>
      </c>
      <c r="D381" s="1">
        <v>1.0</v>
      </c>
      <c r="E381" s="1">
        <v>0.0</v>
      </c>
      <c r="F381" s="1">
        <v>0.0</v>
      </c>
      <c r="G381" s="1">
        <v>0.0</v>
      </c>
      <c r="H381" s="1">
        <v>0.0</v>
      </c>
    </row>
    <row r="382">
      <c r="A382" s="1" t="s">
        <v>2892</v>
      </c>
      <c r="B382" s="1">
        <v>1.0</v>
      </c>
      <c r="C382" s="1">
        <v>1.0</v>
      </c>
      <c r="D382" s="1">
        <v>1.0</v>
      </c>
      <c r="E382" s="1">
        <v>268.0</v>
      </c>
      <c r="F382" s="1">
        <v>0.0</v>
      </c>
      <c r="G382" s="1">
        <v>0.0</v>
      </c>
      <c r="H382" s="1">
        <v>0.0</v>
      </c>
    </row>
    <row r="383">
      <c r="A383" s="1" t="s">
        <v>2893</v>
      </c>
      <c r="B383" s="1">
        <v>1.0</v>
      </c>
      <c r="C383" s="1">
        <v>1.0</v>
      </c>
      <c r="D383" s="1">
        <v>1.0</v>
      </c>
      <c r="E383" s="1">
        <v>15.0</v>
      </c>
      <c r="F383" s="1">
        <v>0.0</v>
      </c>
      <c r="G383" s="1">
        <v>0.0</v>
      </c>
      <c r="H383" s="1">
        <v>0.0</v>
      </c>
    </row>
    <row r="384">
      <c r="A384" s="1" t="s">
        <v>2894</v>
      </c>
      <c r="B384" s="1">
        <v>1.0</v>
      </c>
      <c r="C384" s="1">
        <v>1.0</v>
      </c>
      <c r="D384" s="1">
        <v>1.0</v>
      </c>
      <c r="E384" s="1">
        <v>0.0</v>
      </c>
      <c r="F384" s="1">
        <v>0.0</v>
      </c>
      <c r="G384" s="1">
        <v>0.0</v>
      </c>
      <c r="H384" s="1">
        <v>0.0</v>
      </c>
    </row>
    <row r="385">
      <c r="A385" s="1" t="s">
        <v>2895</v>
      </c>
      <c r="B385" s="1">
        <v>1.0</v>
      </c>
      <c r="C385" s="1">
        <v>1.0</v>
      </c>
      <c r="D385" s="1">
        <v>1.0</v>
      </c>
      <c r="E385" s="1">
        <v>2.0</v>
      </c>
      <c r="F385" s="1">
        <v>0.0</v>
      </c>
      <c r="G385" s="1">
        <v>0.0</v>
      </c>
      <c r="H385" s="1">
        <v>0.0</v>
      </c>
    </row>
    <row r="386">
      <c r="A386" s="1" t="s">
        <v>2896</v>
      </c>
      <c r="B386" s="1">
        <v>1.0</v>
      </c>
      <c r="C386" s="1">
        <v>1.0</v>
      </c>
      <c r="D386" s="1">
        <v>1.0</v>
      </c>
      <c r="E386" s="1">
        <v>12.0</v>
      </c>
      <c r="F386" s="1">
        <v>0.0</v>
      </c>
      <c r="G386" s="1">
        <v>0.0</v>
      </c>
      <c r="H386" s="1">
        <v>0.0</v>
      </c>
    </row>
    <row r="387">
      <c r="A387" s="1" t="s">
        <v>2897</v>
      </c>
      <c r="B387" s="1">
        <v>1.0</v>
      </c>
      <c r="C387" s="1">
        <v>1.0</v>
      </c>
      <c r="D387" s="1">
        <v>1.0</v>
      </c>
      <c r="E387" s="1">
        <v>397.0</v>
      </c>
      <c r="F387" s="1">
        <v>2.0</v>
      </c>
      <c r="G387" s="1">
        <v>0.0</v>
      </c>
      <c r="H387" s="1">
        <v>1.0</v>
      </c>
    </row>
    <row r="388">
      <c r="A388" s="1" t="s">
        <v>2898</v>
      </c>
      <c r="B388" s="1">
        <v>1.0</v>
      </c>
      <c r="C388" s="1">
        <v>1.0</v>
      </c>
      <c r="D388" s="1">
        <v>0.0</v>
      </c>
      <c r="E388" s="1">
        <v>38.0</v>
      </c>
      <c r="F388" s="1">
        <v>0.0</v>
      </c>
      <c r="G388" s="1">
        <v>0.0</v>
      </c>
      <c r="H388" s="1">
        <v>0.0</v>
      </c>
    </row>
    <row r="389">
      <c r="A389" s="1" t="s">
        <v>2899</v>
      </c>
      <c r="B389" s="1">
        <v>1.0</v>
      </c>
      <c r="C389" s="1">
        <v>1.0</v>
      </c>
      <c r="D389" s="1">
        <v>0.0</v>
      </c>
      <c r="E389" s="1">
        <v>13.0</v>
      </c>
      <c r="F389" s="1">
        <v>0.0</v>
      </c>
      <c r="G389" s="1">
        <v>0.0</v>
      </c>
      <c r="H389" s="1">
        <v>0.0</v>
      </c>
    </row>
    <row r="390">
      <c r="A390" s="1" t="s">
        <v>2900</v>
      </c>
      <c r="B390" s="1">
        <v>1.0</v>
      </c>
      <c r="C390" s="1">
        <v>1.0</v>
      </c>
      <c r="D390" s="1">
        <v>1.0</v>
      </c>
      <c r="E390" s="1">
        <v>0.0</v>
      </c>
      <c r="F390" s="1">
        <v>0.0</v>
      </c>
      <c r="G390" s="1">
        <v>0.0</v>
      </c>
      <c r="H390" s="1">
        <v>0.0</v>
      </c>
    </row>
    <row r="391">
      <c r="A391" s="1" t="s">
        <v>2901</v>
      </c>
      <c r="B391" s="1">
        <v>1.0</v>
      </c>
      <c r="C391" s="1">
        <v>1.0</v>
      </c>
      <c r="D391" s="1">
        <v>1.0</v>
      </c>
      <c r="E391" s="1">
        <v>58.0</v>
      </c>
      <c r="F391" s="1">
        <v>0.0</v>
      </c>
      <c r="G391" s="1">
        <v>0.0</v>
      </c>
      <c r="H391" s="1">
        <v>0.0</v>
      </c>
    </row>
    <row r="392">
      <c r="A392" s="1" t="s">
        <v>2902</v>
      </c>
      <c r="B392" s="1">
        <v>1.0</v>
      </c>
      <c r="C392" s="1">
        <v>1.0</v>
      </c>
      <c r="D392" s="1">
        <v>1.0</v>
      </c>
      <c r="E392" s="1">
        <v>37.0</v>
      </c>
      <c r="F392" s="1">
        <v>0.0</v>
      </c>
      <c r="G392" s="1">
        <v>0.0</v>
      </c>
      <c r="H392" s="1">
        <v>0.0</v>
      </c>
    </row>
    <row r="393">
      <c r="A393" s="1" t="s">
        <v>2903</v>
      </c>
      <c r="B393" s="1">
        <v>1.0</v>
      </c>
      <c r="C393" s="1">
        <v>1.0</v>
      </c>
      <c r="D393" s="1">
        <v>1.0</v>
      </c>
      <c r="E393" s="1">
        <v>59.0</v>
      </c>
      <c r="F393" s="1">
        <v>0.0</v>
      </c>
      <c r="G393" s="1">
        <v>0.0</v>
      </c>
      <c r="H393" s="1">
        <v>0.0</v>
      </c>
    </row>
    <row r="394">
      <c r="A394" s="1" t="s">
        <v>2904</v>
      </c>
      <c r="B394" s="1">
        <v>1.0</v>
      </c>
      <c r="C394" s="1">
        <v>1.0</v>
      </c>
      <c r="D394" s="1">
        <v>1.0</v>
      </c>
      <c r="E394" s="1">
        <v>0.0</v>
      </c>
      <c r="F394" s="1">
        <v>0.0</v>
      </c>
      <c r="G394" s="1">
        <v>0.0</v>
      </c>
      <c r="H394" s="1">
        <v>0.0</v>
      </c>
    </row>
    <row r="395">
      <c r="A395" s="1" t="s">
        <v>2905</v>
      </c>
      <c r="B395" s="1">
        <v>1.0</v>
      </c>
      <c r="C395" s="1">
        <v>1.0</v>
      </c>
      <c r="D395" s="1">
        <v>1.0</v>
      </c>
      <c r="E395" s="1">
        <v>20.0</v>
      </c>
      <c r="F395" s="1">
        <v>0.0</v>
      </c>
      <c r="G395" s="1">
        <v>0.0</v>
      </c>
      <c r="H395" s="1">
        <v>0.0</v>
      </c>
    </row>
    <row r="396">
      <c r="A396" s="1" t="s">
        <v>2906</v>
      </c>
      <c r="B396" s="1">
        <v>1.0</v>
      </c>
      <c r="C396" s="1">
        <v>1.0</v>
      </c>
      <c r="D396" s="1">
        <v>1.0</v>
      </c>
      <c r="E396" s="1">
        <v>167.0</v>
      </c>
      <c r="F396" s="1">
        <v>0.0</v>
      </c>
      <c r="G396" s="1">
        <v>0.0</v>
      </c>
      <c r="H396" s="1">
        <v>0.0</v>
      </c>
    </row>
    <row r="397">
      <c r="A397" s="1" t="s">
        <v>2907</v>
      </c>
      <c r="B397" s="1">
        <v>1.0</v>
      </c>
      <c r="C397" s="1">
        <v>1.0</v>
      </c>
      <c r="D397" s="1">
        <v>1.0</v>
      </c>
      <c r="E397" s="1">
        <v>0.0</v>
      </c>
      <c r="F397" s="1">
        <v>0.0</v>
      </c>
      <c r="G397" s="1">
        <v>0.0</v>
      </c>
      <c r="H397" s="1">
        <v>0.0</v>
      </c>
    </row>
    <row r="398">
      <c r="A398" s="1" t="s">
        <v>2908</v>
      </c>
      <c r="B398" s="1">
        <v>1.0</v>
      </c>
      <c r="C398" s="1">
        <v>1.0</v>
      </c>
      <c r="D398" s="1">
        <v>1.0</v>
      </c>
      <c r="E398" s="1">
        <v>0.0</v>
      </c>
      <c r="F398" s="1">
        <v>0.0</v>
      </c>
      <c r="G398" s="1">
        <v>0.0</v>
      </c>
      <c r="H398" s="1">
        <v>0.0</v>
      </c>
    </row>
    <row r="399">
      <c r="A399" s="1" t="s">
        <v>2909</v>
      </c>
      <c r="B399" s="1">
        <v>1.0</v>
      </c>
      <c r="C399" s="1">
        <v>1.0</v>
      </c>
      <c r="D399" s="1">
        <v>1.0</v>
      </c>
      <c r="E399" s="1">
        <v>14.0</v>
      </c>
      <c r="F399" s="1">
        <v>0.0</v>
      </c>
      <c r="G399" s="1">
        <v>0.0</v>
      </c>
      <c r="H399" s="1">
        <v>0.0</v>
      </c>
    </row>
    <row r="400">
      <c r="A400" s="1" t="s">
        <v>2910</v>
      </c>
      <c r="B400" s="1">
        <v>1.0</v>
      </c>
      <c r="C400" s="1">
        <v>1.0</v>
      </c>
      <c r="D400" s="1">
        <v>1.0</v>
      </c>
      <c r="E400" s="1">
        <v>99.0</v>
      </c>
      <c r="F400" s="1">
        <v>0.0</v>
      </c>
      <c r="G400" s="1">
        <v>0.0</v>
      </c>
      <c r="H400" s="1">
        <v>0.0</v>
      </c>
    </row>
    <row r="401">
      <c r="A401" s="1" t="s">
        <v>2911</v>
      </c>
      <c r="B401" s="1">
        <v>1.0</v>
      </c>
      <c r="C401" s="1">
        <v>1.0</v>
      </c>
      <c r="D401" s="1">
        <v>0.0</v>
      </c>
      <c r="E401" s="1">
        <v>44.0</v>
      </c>
      <c r="F401" s="1">
        <v>0.0</v>
      </c>
      <c r="G401" s="1">
        <v>0.0</v>
      </c>
      <c r="H401" s="1">
        <v>0.0</v>
      </c>
    </row>
    <row r="402">
      <c r="A402" s="1" t="s">
        <v>468</v>
      </c>
      <c r="B402" s="1">
        <v>1.0</v>
      </c>
      <c r="C402" s="1">
        <v>1.0</v>
      </c>
      <c r="D402" s="1">
        <v>1.0</v>
      </c>
      <c r="E402" s="1">
        <v>33.0</v>
      </c>
      <c r="F402" s="1">
        <v>0.0</v>
      </c>
      <c r="G402" s="1">
        <v>0.0</v>
      </c>
      <c r="H402" s="1">
        <v>0.0</v>
      </c>
    </row>
    <row r="403">
      <c r="A403" s="1" t="s">
        <v>2912</v>
      </c>
      <c r="B403" s="1">
        <v>1.0</v>
      </c>
      <c r="C403" s="1">
        <v>1.0</v>
      </c>
      <c r="D403" s="1">
        <v>1.0</v>
      </c>
      <c r="E403" s="1">
        <v>362.0</v>
      </c>
      <c r="F403" s="1">
        <v>1.0</v>
      </c>
      <c r="G403" s="1">
        <v>0.0</v>
      </c>
      <c r="H403" s="1">
        <v>1.0</v>
      </c>
    </row>
    <row r="404">
      <c r="A404" s="1" t="s">
        <v>2913</v>
      </c>
      <c r="B404" s="1">
        <v>1.0</v>
      </c>
      <c r="C404" s="1">
        <v>1.0</v>
      </c>
      <c r="D404" s="1">
        <v>0.0</v>
      </c>
      <c r="E404" s="1">
        <v>8.0</v>
      </c>
      <c r="F404" s="1">
        <v>0.0</v>
      </c>
      <c r="G404" s="1">
        <v>0.0</v>
      </c>
      <c r="H404" s="1">
        <v>0.0</v>
      </c>
    </row>
    <row r="405">
      <c r="A405" s="1" t="s">
        <v>2914</v>
      </c>
      <c r="B405" s="1">
        <v>1.0</v>
      </c>
      <c r="C405" s="1">
        <v>1.0</v>
      </c>
      <c r="D405" s="1">
        <v>1.0</v>
      </c>
      <c r="E405" s="1">
        <v>3.0</v>
      </c>
      <c r="F405" s="1">
        <v>0.0</v>
      </c>
      <c r="G405" s="1">
        <v>0.0</v>
      </c>
      <c r="H405" s="1">
        <v>0.0</v>
      </c>
    </row>
    <row r="406">
      <c r="A406" s="1" t="s">
        <v>2915</v>
      </c>
      <c r="B406" s="1">
        <v>1.0</v>
      </c>
      <c r="C406" s="1">
        <v>1.0</v>
      </c>
      <c r="D406" s="1">
        <v>1.0</v>
      </c>
      <c r="E406" s="1">
        <v>1.0</v>
      </c>
      <c r="F406" s="1">
        <v>0.0</v>
      </c>
      <c r="G406" s="1">
        <v>0.0</v>
      </c>
      <c r="H406" s="1">
        <v>0.0</v>
      </c>
    </row>
    <row r="407">
      <c r="A407" s="1" t="s">
        <v>2916</v>
      </c>
      <c r="B407" s="1">
        <v>1.0</v>
      </c>
      <c r="C407" s="1">
        <v>1.0</v>
      </c>
      <c r="D407" s="1">
        <v>0.0</v>
      </c>
      <c r="E407" s="1">
        <v>0.0</v>
      </c>
      <c r="F407" s="1">
        <v>0.0</v>
      </c>
      <c r="G407" s="1">
        <v>0.0</v>
      </c>
      <c r="H407" s="1">
        <v>0.0</v>
      </c>
    </row>
    <row r="408">
      <c r="A408" s="1" t="s">
        <v>2917</v>
      </c>
      <c r="B408" s="1">
        <v>1.0</v>
      </c>
      <c r="C408" s="1">
        <v>1.0</v>
      </c>
      <c r="D408" s="1">
        <v>1.0</v>
      </c>
      <c r="E408" s="1">
        <v>26.0</v>
      </c>
      <c r="F408" s="1">
        <v>0.0</v>
      </c>
      <c r="G408" s="1">
        <v>0.0</v>
      </c>
      <c r="H408" s="1">
        <v>0.0</v>
      </c>
    </row>
    <row r="409">
      <c r="A409" s="1" t="s">
        <v>2918</v>
      </c>
      <c r="B409" s="1">
        <v>1.0</v>
      </c>
      <c r="C409" s="1">
        <v>1.0</v>
      </c>
      <c r="D409" s="1">
        <v>1.0</v>
      </c>
      <c r="E409" s="1">
        <v>188.0</v>
      </c>
      <c r="F409" s="1">
        <v>0.0</v>
      </c>
      <c r="G409" s="1">
        <v>0.0</v>
      </c>
      <c r="H409" s="1">
        <v>0.0</v>
      </c>
    </row>
    <row r="410">
      <c r="A410" s="1" t="s">
        <v>2919</v>
      </c>
      <c r="B410" s="1">
        <v>1.0</v>
      </c>
      <c r="C410" s="1">
        <v>1.0</v>
      </c>
      <c r="D410" s="1">
        <v>1.0</v>
      </c>
      <c r="E410" s="1">
        <v>0.0</v>
      </c>
      <c r="F410" s="1">
        <v>0.0</v>
      </c>
      <c r="G410" s="1">
        <v>0.0</v>
      </c>
      <c r="H410" s="1">
        <v>0.0</v>
      </c>
    </row>
    <row r="411">
      <c r="A411" s="1" t="s">
        <v>2920</v>
      </c>
      <c r="B411" s="1">
        <v>1.0</v>
      </c>
      <c r="C411" s="1">
        <v>1.0</v>
      </c>
      <c r="D411" s="1">
        <v>1.0</v>
      </c>
      <c r="E411" s="1">
        <v>2.0</v>
      </c>
      <c r="F411" s="1">
        <v>0.0</v>
      </c>
      <c r="G411" s="1">
        <v>0.0</v>
      </c>
      <c r="H411" s="1">
        <v>0.0</v>
      </c>
    </row>
    <row r="412">
      <c r="A412" s="1" t="s">
        <v>2921</v>
      </c>
      <c r="B412" s="1">
        <v>1.0</v>
      </c>
      <c r="C412" s="1">
        <v>1.0</v>
      </c>
      <c r="D412" s="1">
        <v>1.0</v>
      </c>
      <c r="E412" s="1">
        <v>18.0</v>
      </c>
      <c r="F412" s="1">
        <v>0.0</v>
      </c>
      <c r="G412" s="1">
        <v>0.0</v>
      </c>
      <c r="H412" s="1">
        <v>0.0</v>
      </c>
    </row>
    <row r="413">
      <c r="A413" s="1" t="s">
        <v>2922</v>
      </c>
      <c r="B413" s="1">
        <v>1.0</v>
      </c>
      <c r="C413" s="1">
        <v>1.0</v>
      </c>
      <c r="D413" s="1">
        <v>0.0</v>
      </c>
      <c r="E413" s="1">
        <v>6.0</v>
      </c>
      <c r="F413" s="1">
        <v>0.0</v>
      </c>
      <c r="G413" s="1">
        <v>0.0</v>
      </c>
      <c r="H413" s="1">
        <v>0.0</v>
      </c>
    </row>
    <row r="414">
      <c r="A414" s="1" t="s">
        <v>2923</v>
      </c>
      <c r="B414" s="1">
        <v>1.0</v>
      </c>
      <c r="C414" s="1">
        <v>1.0</v>
      </c>
      <c r="D414" s="1">
        <v>1.0</v>
      </c>
      <c r="E414" s="1">
        <v>304.0</v>
      </c>
      <c r="F414" s="1">
        <v>0.0</v>
      </c>
      <c r="G414" s="1">
        <v>0.0</v>
      </c>
      <c r="H414" s="1">
        <v>0.0</v>
      </c>
    </row>
    <row r="415">
      <c r="A415" s="1" t="s">
        <v>2924</v>
      </c>
      <c r="B415" s="1">
        <v>1.0</v>
      </c>
      <c r="C415" s="1">
        <v>1.0</v>
      </c>
      <c r="D415" s="1">
        <v>1.0</v>
      </c>
      <c r="E415" s="1">
        <v>1.0</v>
      </c>
      <c r="F415" s="1">
        <v>0.0</v>
      </c>
      <c r="G415" s="1">
        <v>0.0</v>
      </c>
      <c r="H415" s="1">
        <v>0.0</v>
      </c>
    </row>
    <row r="416">
      <c r="A416" s="1" t="s">
        <v>2925</v>
      </c>
      <c r="B416" s="1">
        <v>1.0</v>
      </c>
      <c r="C416" s="1">
        <v>1.0</v>
      </c>
      <c r="D416" s="1">
        <v>1.0</v>
      </c>
      <c r="E416" s="1">
        <v>1.0</v>
      </c>
      <c r="F416" s="1">
        <v>0.0</v>
      </c>
      <c r="G416" s="1">
        <v>0.0</v>
      </c>
      <c r="H416" s="1">
        <v>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573</v>
      </c>
      <c r="B1" s="1" t="s">
        <v>424</v>
      </c>
      <c r="C1" s="1" t="s">
        <v>574</v>
      </c>
      <c r="D1" s="1" t="s">
        <v>575</v>
      </c>
      <c r="E1" s="1" t="s">
        <v>576</v>
      </c>
      <c r="F1" s="1" t="s">
        <v>577</v>
      </c>
      <c r="G1" s="1" t="s">
        <v>578</v>
      </c>
      <c r="H1" s="1" t="s">
        <v>579</v>
      </c>
      <c r="I1" s="1" t="s">
        <v>580</v>
      </c>
    </row>
    <row r="2">
      <c r="A2" s="2" t="s">
        <v>581</v>
      </c>
      <c r="B2" s="1">
        <v>200.0</v>
      </c>
      <c r="C2" s="1" t="s">
        <v>582</v>
      </c>
      <c r="D2" s="1" t="s">
        <v>583</v>
      </c>
      <c r="F2" s="1">
        <v>524.0</v>
      </c>
      <c r="G2" s="1">
        <v>80635.0</v>
      </c>
      <c r="H2" s="1">
        <v>0.006</v>
      </c>
      <c r="I2" s="1">
        <v>37.31</v>
      </c>
    </row>
    <row r="3">
      <c r="A3" s="2" t="s">
        <v>588</v>
      </c>
      <c r="B3" s="1">
        <v>200.0</v>
      </c>
      <c r="C3" s="1" t="s">
        <v>589</v>
      </c>
      <c r="D3" s="1" t="s">
        <v>583</v>
      </c>
    </row>
    <row r="4">
      <c r="A4" s="2" t="s">
        <v>596</v>
      </c>
      <c r="B4" s="1">
        <v>200.0</v>
      </c>
      <c r="C4" s="1" t="s">
        <v>597</v>
      </c>
      <c r="D4" s="1" t="s">
        <v>583</v>
      </c>
      <c r="F4" s="1">
        <v>12.0</v>
      </c>
      <c r="G4" s="1">
        <v>513.0</v>
      </c>
      <c r="H4" s="1">
        <v>0.023</v>
      </c>
      <c r="I4" s="1">
        <v>28.85</v>
      </c>
    </row>
    <row r="5">
      <c r="A5" s="2" t="s">
        <v>590</v>
      </c>
      <c r="B5" s="1">
        <v>200.0</v>
      </c>
      <c r="C5" s="1" t="s">
        <v>591</v>
      </c>
      <c r="D5" s="1" t="s">
        <v>583</v>
      </c>
      <c r="F5" s="1">
        <v>3.0</v>
      </c>
      <c r="G5" s="1">
        <v>369.0</v>
      </c>
      <c r="H5" s="1">
        <v>0.008</v>
      </c>
      <c r="I5" s="1">
        <v>40.8</v>
      </c>
    </row>
    <row r="6">
      <c r="A6" s="2" t="s">
        <v>584</v>
      </c>
      <c r="B6" s="1">
        <v>200.0</v>
      </c>
      <c r="C6" s="1" t="s">
        <v>585</v>
      </c>
      <c r="D6" s="1" t="s">
        <v>583</v>
      </c>
      <c r="F6" s="1">
        <v>32.0</v>
      </c>
      <c r="G6" s="1">
        <v>18552.0</v>
      </c>
      <c r="H6" s="1">
        <v>0.002</v>
      </c>
      <c r="I6" s="1">
        <v>15.75</v>
      </c>
    </row>
    <row r="7">
      <c r="A7" s="2" t="s">
        <v>594</v>
      </c>
      <c r="B7" s="1">
        <v>200.0</v>
      </c>
      <c r="C7" s="1" t="s">
        <v>595</v>
      </c>
      <c r="D7" s="1" t="s">
        <v>583</v>
      </c>
      <c r="F7" s="1">
        <v>12.0</v>
      </c>
      <c r="G7" s="1">
        <v>8520.0</v>
      </c>
      <c r="H7" s="1">
        <v>0.001</v>
      </c>
      <c r="I7" s="1">
        <v>8.14</v>
      </c>
    </row>
    <row r="8">
      <c r="A8" s="2" t="s">
        <v>598</v>
      </c>
      <c r="B8" s="1">
        <v>200.0</v>
      </c>
      <c r="C8" s="1" t="s">
        <v>599</v>
      </c>
      <c r="D8" s="1" t="s">
        <v>583</v>
      </c>
    </row>
    <row r="9">
      <c r="A9" s="2" t="s">
        <v>527</v>
      </c>
      <c r="B9" s="1">
        <v>200.0</v>
      </c>
      <c r="C9" s="1" t="s">
        <v>613</v>
      </c>
      <c r="D9" s="1" t="s">
        <v>583</v>
      </c>
      <c r="F9" s="1">
        <v>0.0</v>
      </c>
      <c r="G9" s="1">
        <v>2258.0</v>
      </c>
      <c r="H9" s="1">
        <v>0.0</v>
      </c>
      <c r="I9" s="1">
        <v>20.52</v>
      </c>
    </row>
    <row r="10">
      <c r="A10" s="2" t="s">
        <v>586</v>
      </c>
      <c r="B10" s="1">
        <v>200.0</v>
      </c>
      <c r="C10" s="1" t="s">
        <v>587</v>
      </c>
      <c r="D10" s="1" t="s">
        <v>583</v>
      </c>
      <c r="F10" s="1">
        <v>0.0</v>
      </c>
      <c r="G10" s="1">
        <v>1909.0</v>
      </c>
      <c r="H10" s="1">
        <v>0.0</v>
      </c>
      <c r="I10" s="1">
        <v>55.09</v>
      </c>
    </row>
    <row r="11">
      <c r="A11" s="2" t="s">
        <v>602</v>
      </c>
      <c r="B11" s="1">
        <v>200.0</v>
      </c>
      <c r="C11" s="1" t="s">
        <v>603</v>
      </c>
      <c r="D11" s="1" t="s">
        <v>583</v>
      </c>
      <c r="F11" s="1">
        <v>2.0</v>
      </c>
      <c r="G11" s="1">
        <v>4557.0</v>
      </c>
      <c r="H11" s="1">
        <v>0.0</v>
      </c>
      <c r="I11" s="1">
        <v>56.25</v>
      </c>
    </row>
    <row r="12">
      <c r="A12" s="2" t="s">
        <v>604</v>
      </c>
      <c r="B12" s="1">
        <v>200.0</v>
      </c>
      <c r="C12" s="1" t="s">
        <v>605</v>
      </c>
      <c r="D12" s="1" t="s">
        <v>583</v>
      </c>
      <c r="F12" s="1">
        <v>1.0</v>
      </c>
      <c r="G12" s="1">
        <v>198.0</v>
      </c>
      <c r="H12" s="1">
        <v>0.005</v>
      </c>
      <c r="I12" s="1">
        <v>7.8</v>
      </c>
    </row>
    <row r="13">
      <c r="A13" s="2" t="s">
        <v>592</v>
      </c>
      <c r="B13" s="1">
        <v>200.0</v>
      </c>
      <c r="C13" s="1" t="s">
        <v>593</v>
      </c>
      <c r="D13" s="1" t="s">
        <v>583</v>
      </c>
      <c r="F13" s="1">
        <v>5.0</v>
      </c>
      <c r="G13" s="1">
        <v>4247.0</v>
      </c>
      <c r="H13" s="1">
        <v>0.001</v>
      </c>
      <c r="I13" s="1">
        <v>46.16</v>
      </c>
    </row>
    <row r="14">
      <c r="A14" s="2" t="s">
        <v>606</v>
      </c>
      <c r="B14" s="1">
        <v>200.0</v>
      </c>
      <c r="C14" s="1" t="s">
        <v>607</v>
      </c>
      <c r="D14" s="1" t="s">
        <v>583</v>
      </c>
      <c r="F14" s="1">
        <v>1.0</v>
      </c>
      <c r="G14" s="1">
        <v>4029.0</v>
      </c>
      <c r="H14" s="1">
        <v>0.0</v>
      </c>
      <c r="I14" s="1">
        <v>39.37</v>
      </c>
    </row>
    <row r="15">
      <c r="A15" s="2" t="s">
        <v>608</v>
      </c>
      <c r="B15" s="1">
        <v>301.0</v>
      </c>
      <c r="D15" s="1" t="s">
        <v>609</v>
      </c>
      <c r="E15" s="1" t="s">
        <v>610</v>
      </c>
    </row>
    <row r="16">
      <c r="A16" s="2" t="s">
        <v>447</v>
      </c>
      <c r="B16" s="1">
        <v>200.0</v>
      </c>
      <c r="C16" s="1" t="s">
        <v>612</v>
      </c>
      <c r="D16" s="1" t="s">
        <v>583</v>
      </c>
      <c r="F16" s="1">
        <v>24.0</v>
      </c>
      <c r="G16" s="1">
        <v>18218.0</v>
      </c>
      <c r="H16" s="1">
        <v>0.001</v>
      </c>
      <c r="I16" s="1">
        <v>23.86</v>
      </c>
    </row>
    <row r="17">
      <c r="A17" s="2" t="s">
        <v>614</v>
      </c>
      <c r="B17" s="1">
        <v>200.0</v>
      </c>
      <c r="C17" s="1" t="s">
        <v>615</v>
      </c>
      <c r="D17" s="1" t="s">
        <v>583</v>
      </c>
      <c r="F17" s="1">
        <v>0.0</v>
      </c>
      <c r="G17" s="1">
        <v>2119.0</v>
      </c>
      <c r="H17" s="1">
        <v>0.0</v>
      </c>
      <c r="I17" s="1">
        <v>49.74</v>
      </c>
    </row>
    <row r="18">
      <c r="A18" s="2" t="s">
        <v>611</v>
      </c>
      <c r="B18" s="1">
        <v>301.0</v>
      </c>
      <c r="D18" s="1" t="s">
        <v>609</v>
      </c>
      <c r="E18" s="1" t="s">
        <v>610</v>
      </c>
      <c r="F18" s="1">
        <v>0.0</v>
      </c>
      <c r="G18" s="1">
        <v>36.0</v>
      </c>
      <c r="H18" s="1">
        <v>0.0</v>
      </c>
      <c r="I18" s="1">
        <v>14.0</v>
      </c>
    </row>
    <row r="19">
      <c r="A19" s="2" t="s">
        <v>600</v>
      </c>
      <c r="B19" s="1">
        <v>200.0</v>
      </c>
      <c r="C19" s="1" t="s">
        <v>601</v>
      </c>
      <c r="D19" s="1" t="s">
        <v>583</v>
      </c>
      <c r="F19" s="1">
        <v>3.0</v>
      </c>
      <c r="G19" s="1">
        <v>20165.0</v>
      </c>
      <c r="H19" s="1">
        <v>0.0</v>
      </c>
      <c r="I19" s="1">
        <v>54.19</v>
      </c>
    </row>
    <row r="20">
      <c r="A20" s="2" t="s">
        <v>623</v>
      </c>
      <c r="B20" s="1">
        <v>200.0</v>
      </c>
      <c r="C20" s="1" t="s">
        <v>624</v>
      </c>
      <c r="D20" s="1" t="s">
        <v>583</v>
      </c>
      <c r="F20" s="1">
        <v>0.0</v>
      </c>
      <c r="G20" s="1">
        <v>175.0</v>
      </c>
      <c r="H20" s="1">
        <v>0.0</v>
      </c>
      <c r="I20" s="1">
        <v>5.09</v>
      </c>
    </row>
    <row r="21">
      <c r="A21" s="2" t="s">
        <v>617</v>
      </c>
      <c r="B21" s="1">
        <v>200.0</v>
      </c>
      <c r="C21" s="1" t="s">
        <v>618</v>
      </c>
      <c r="D21" s="1" t="s">
        <v>583</v>
      </c>
      <c r="F21" s="1">
        <v>8.0</v>
      </c>
      <c r="G21" s="1">
        <v>7349.0</v>
      </c>
      <c r="H21" s="1">
        <v>0.001</v>
      </c>
      <c r="I21" s="1">
        <v>19.04</v>
      </c>
    </row>
    <row r="22">
      <c r="A22" s="2" t="s">
        <v>626</v>
      </c>
      <c r="B22" s="1">
        <v>200.0</v>
      </c>
      <c r="C22" s="1" t="s">
        <v>627</v>
      </c>
      <c r="D22" s="1" t="s">
        <v>583</v>
      </c>
    </row>
    <row r="23">
      <c r="A23" s="2" t="s">
        <v>634</v>
      </c>
      <c r="B23" s="1">
        <v>200.0</v>
      </c>
      <c r="C23" s="1" t="s">
        <v>635</v>
      </c>
      <c r="D23" s="1" t="s">
        <v>583</v>
      </c>
      <c r="F23" s="1">
        <v>1.0</v>
      </c>
      <c r="G23" s="1">
        <v>110.0</v>
      </c>
      <c r="H23" s="1">
        <v>0.009</v>
      </c>
      <c r="I23" s="1">
        <v>20.55</v>
      </c>
    </row>
    <row r="24">
      <c r="A24" s="2" t="s">
        <v>621</v>
      </c>
      <c r="B24" s="1">
        <v>200.0</v>
      </c>
      <c r="C24" s="1" t="s">
        <v>622</v>
      </c>
      <c r="D24" s="1" t="s">
        <v>583</v>
      </c>
      <c r="F24" s="1">
        <v>10.0</v>
      </c>
      <c r="G24" s="1">
        <v>206.0</v>
      </c>
      <c r="H24" s="1">
        <v>0.049</v>
      </c>
      <c r="I24" s="1">
        <v>8.12</v>
      </c>
    </row>
    <row r="25">
      <c r="A25" s="2" t="s">
        <v>459</v>
      </c>
      <c r="B25" s="1">
        <v>200.0</v>
      </c>
      <c r="C25" s="1" t="s">
        <v>616</v>
      </c>
      <c r="D25" s="1" t="s">
        <v>583</v>
      </c>
      <c r="F25" s="1">
        <v>3.0</v>
      </c>
      <c r="G25" s="1">
        <v>1731.0</v>
      </c>
      <c r="H25" s="1">
        <v>0.002</v>
      </c>
      <c r="I25" s="1">
        <v>16.36</v>
      </c>
    </row>
    <row r="26">
      <c r="A26" s="2" t="s">
        <v>519</v>
      </c>
      <c r="B26" s="1">
        <v>200.0</v>
      </c>
      <c r="C26" s="1" t="s">
        <v>625</v>
      </c>
      <c r="D26" s="1" t="s">
        <v>583</v>
      </c>
      <c r="F26" s="1">
        <v>0.0</v>
      </c>
      <c r="G26" s="1">
        <v>3324.0</v>
      </c>
      <c r="H26" s="1">
        <v>0.0</v>
      </c>
      <c r="I26" s="1">
        <v>46.5</v>
      </c>
    </row>
    <row r="27">
      <c r="A27" s="2" t="s">
        <v>629</v>
      </c>
      <c r="B27" s="1">
        <v>200.0</v>
      </c>
      <c r="C27" s="1" t="s">
        <v>630</v>
      </c>
      <c r="D27" s="1" t="s">
        <v>609</v>
      </c>
      <c r="E27" s="1" t="s">
        <v>631</v>
      </c>
    </row>
    <row r="28">
      <c r="A28" s="2" t="s">
        <v>632</v>
      </c>
      <c r="B28" s="1">
        <v>200.0</v>
      </c>
      <c r="C28" s="1" t="s">
        <v>633</v>
      </c>
      <c r="D28" s="1" t="s">
        <v>583</v>
      </c>
      <c r="F28" s="1">
        <v>2.0</v>
      </c>
      <c r="G28" s="1">
        <v>508.0</v>
      </c>
      <c r="H28" s="1">
        <v>0.004</v>
      </c>
      <c r="I28" s="1">
        <v>40.58</v>
      </c>
    </row>
    <row r="29">
      <c r="A29" s="2" t="s">
        <v>619</v>
      </c>
      <c r="B29" s="1">
        <v>200.0</v>
      </c>
      <c r="C29" s="1" t="s">
        <v>620</v>
      </c>
      <c r="D29" s="1" t="s">
        <v>583</v>
      </c>
      <c r="F29" s="1">
        <v>1.0</v>
      </c>
      <c r="G29" s="1">
        <v>821.0</v>
      </c>
      <c r="H29" s="1">
        <v>0.001</v>
      </c>
      <c r="I29" s="1">
        <v>14.37</v>
      </c>
    </row>
    <row r="30">
      <c r="A30" s="2" t="s">
        <v>649</v>
      </c>
      <c r="B30" s="1">
        <v>200.0</v>
      </c>
      <c r="C30" s="1" t="s">
        <v>650</v>
      </c>
      <c r="D30" s="1" t="s">
        <v>583</v>
      </c>
      <c r="F30" s="1">
        <v>0.0</v>
      </c>
      <c r="G30" s="1">
        <v>263.0</v>
      </c>
      <c r="H30" s="1">
        <v>0.0</v>
      </c>
      <c r="I30" s="1">
        <v>37.61</v>
      </c>
    </row>
    <row r="31">
      <c r="A31" s="2" t="s">
        <v>647</v>
      </c>
      <c r="B31" s="1">
        <v>200.0</v>
      </c>
      <c r="C31" s="1" t="s">
        <v>648</v>
      </c>
      <c r="D31" s="1" t="s">
        <v>583</v>
      </c>
      <c r="F31" s="1">
        <v>6.0</v>
      </c>
      <c r="G31" s="1">
        <v>1642.0</v>
      </c>
      <c r="H31" s="1">
        <v>0.004</v>
      </c>
      <c r="I31" s="1">
        <v>32.98</v>
      </c>
    </row>
    <row r="32">
      <c r="A32" s="2" t="s">
        <v>451</v>
      </c>
      <c r="B32" s="1">
        <v>200.0</v>
      </c>
      <c r="C32" s="1" t="s">
        <v>628</v>
      </c>
      <c r="D32" s="1" t="s">
        <v>583</v>
      </c>
      <c r="F32" s="1">
        <v>9.0</v>
      </c>
      <c r="G32" s="1">
        <v>28578.0</v>
      </c>
      <c r="H32" s="1">
        <v>0.0</v>
      </c>
      <c r="I32" s="1">
        <v>55.46</v>
      </c>
    </row>
    <row r="33">
      <c r="A33" s="2" t="s">
        <v>651</v>
      </c>
      <c r="B33" s="1">
        <v>200.0</v>
      </c>
      <c r="C33" s="1" t="s">
        <v>652</v>
      </c>
      <c r="D33" s="1" t="s">
        <v>583</v>
      </c>
      <c r="F33" s="1">
        <v>1.0</v>
      </c>
      <c r="G33" s="1">
        <v>823.0</v>
      </c>
      <c r="H33" s="1">
        <v>0.001</v>
      </c>
      <c r="I33" s="1">
        <v>45.06</v>
      </c>
    </row>
    <row r="34">
      <c r="A34" s="2" t="s">
        <v>636</v>
      </c>
      <c r="B34" s="1">
        <v>200.0</v>
      </c>
      <c r="C34" s="1" t="s">
        <v>637</v>
      </c>
      <c r="D34" s="1" t="s">
        <v>583</v>
      </c>
      <c r="F34" s="1">
        <v>32.0</v>
      </c>
      <c r="G34" s="1">
        <v>26598.0</v>
      </c>
      <c r="H34" s="1">
        <v>0.001</v>
      </c>
      <c r="I34" s="1">
        <v>9.37</v>
      </c>
    </row>
    <row r="35">
      <c r="A35" s="2" t="s">
        <v>642</v>
      </c>
      <c r="B35" s="1">
        <v>200.0</v>
      </c>
      <c r="C35" s="1" t="s">
        <v>643</v>
      </c>
      <c r="D35" s="1" t="s">
        <v>583</v>
      </c>
      <c r="F35" s="1">
        <v>1.0</v>
      </c>
      <c r="G35" s="1">
        <v>22128.0</v>
      </c>
      <c r="H35" s="1">
        <v>0.0</v>
      </c>
      <c r="I35" s="1">
        <v>48.57</v>
      </c>
    </row>
    <row r="36">
      <c r="A36" s="2" t="s">
        <v>638</v>
      </c>
      <c r="B36" s="1">
        <v>200.0</v>
      </c>
      <c r="C36" s="1" t="s">
        <v>639</v>
      </c>
      <c r="D36" s="1" t="s">
        <v>583</v>
      </c>
      <c r="F36" s="1">
        <v>10.0</v>
      </c>
      <c r="G36" s="1">
        <v>6114.0</v>
      </c>
      <c r="H36" s="1">
        <v>0.002</v>
      </c>
      <c r="I36" s="1">
        <v>31.48</v>
      </c>
    </row>
    <row r="37">
      <c r="A37" s="2" t="s">
        <v>499</v>
      </c>
      <c r="B37" s="1">
        <v>200.0</v>
      </c>
      <c r="C37" s="1" t="s">
        <v>644</v>
      </c>
      <c r="D37" s="1" t="s">
        <v>583</v>
      </c>
      <c r="F37" s="1">
        <v>0.0</v>
      </c>
      <c r="G37" s="1">
        <v>4461.0</v>
      </c>
      <c r="H37" s="1">
        <v>0.0</v>
      </c>
      <c r="I37" s="1">
        <v>14.78</v>
      </c>
    </row>
    <row r="38">
      <c r="A38" s="2" t="s">
        <v>645</v>
      </c>
      <c r="B38" s="1">
        <v>200.0</v>
      </c>
      <c r="C38" s="1" t="s">
        <v>646</v>
      </c>
      <c r="D38" s="1" t="s">
        <v>583</v>
      </c>
      <c r="F38" s="1">
        <v>19.0</v>
      </c>
      <c r="G38" s="1">
        <v>580.0</v>
      </c>
      <c r="H38" s="1">
        <v>0.033</v>
      </c>
      <c r="I38" s="1">
        <v>11.27</v>
      </c>
    </row>
    <row r="39">
      <c r="A39" s="2" t="s">
        <v>640</v>
      </c>
      <c r="B39" s="1">
        <v>200.0</v>
      </c>
      <c r="C39" s="1" t="s">
        <v>641</v>
      </c>
      <c r="D39" s="1" t="s">
        <v>583</v>
      </c>
      <c r="F39" s="1">
        <v>6.0</v>
      </c>
      <c r="G39" s="1">
        <v>979.0</v>
      </c>
      <c r="H39" s="1">
        <v>0.006</v>
      </c>
      <c r="I39" s="1">
        <v>38.32</v>
      </c>
    </row>
    <row r="40">
      <c r="A40" s="2" t="s">
        <v>455</v>
      </c>
      <c r="B40" s="1">
        <v>200.0</v>
      </c>
      <c r="C40" s="1" t="s">
        <v>656</v>
      </c>
      <c r="D40" s="1" t="s">
        <v>583</v>
      </c>
      <c r="F40" s="1">
        <v>1.0</v>
      </c>
      <c r="G40" s="1">
        <v>4643.0</v>
      </c>
      <c r="H40" s="1">
        <v>0.0</v>
      </c>
      <c r="I40" s="1">
        <v>45.21</v>
      </c>
    </row>
    <row r="41">
      <c r="A41" s="2" t="s">
        <v>669</v>
      </c>
      <c r="B41" s="1">
        <v>200.0</v>
      </c>
      <c r="C41" s="1" t="s">
        <v>670</v>
      </c>
      <c r="D41" s="1" t="s">
        <v>583</v>
      </c>
      <c r="F41" s="1">
        <v>0.0</v>
      </c>
      <c r="G41" s="1">
        <v>153.0</v>
      </c>
      <c r="H41" s="1">
        <v>0.0</v>
      </c>
      <c r="I41" s="1">
        <v>19.27</v>
      </c>
    </row>
    <row r="42">
      <c r="A42" s="2" t="s">
        <v>657</v>
      </c>
      <c r="B42" s="1">
        <v>200.0</v>
      </c>
      <c r="C42" s="1" t="s">
        <v>658</v>
      </c>
      <c r="D42" s="1" t="s">
        <v>583</v>
      </c>
    </row>
    <row r="43">
      <c r="A43" s="2" t="s">
        <v>665</v>
      </c>
      <c r="B43" s="1">
        <v>200.0</v>
      </c>
      <c r="C43" s="1" t="s">
        <v>666</v>
      </c>
      <c r="D43" s="1" t="s">
        <v>583</v>
      </c>
    </row>
    <row r="44">
      <c r="A44" s="2" t="s">
        <v>659</v>
      </c>
      <c r="B44" s="1">
        <v>200.0</v>
      </c>
      <c r="C44" s="1" t="s">
        <v>660</v>
      </c>
      <c r="D44" s="1" t="s">
        <v>583</v>
      </c>
    </row>
    <row r="45">
      <c r="A45" s="2" t="s">
        <v>439</v>
      </c>
      <c r="B45" s="1">
        <v>200.0</v>
      </c>
      <c r="C45" s="1" t="s">
        <v>653</v>
      </c>
      <c r="D45" s="1" t="s">
        <v>583</v>
      </c>
      <c r="F45" s="1">
        <v>101.0</v>
      </c>
      <c r="G45" s="1">
        <v>34633.0</v>
      </c>
      <c r="H45" s="1">
        <v>0.003</v>
      </c>
      <c r="I45" s="1">
        <v>19.69</v>
      </c>
    </row>
    <row r="46">
      <c r="A46" s="2" t="s">
        <v>661</v>
      </c>
      <c r="B46" s="1">
        <v>301.0</v>
      </c>
      <c r="D46" s="1" t="s">
        <v>609</v>
      </c>
      <c r="E46" s="1" t="s">
        <v>610</v>
      </c>
      <c r="F46" s="1">
        <v>0.0</v>
      </c>
      <c r="G46" s="1">
        <v>8.0</v>
      </c>
      <c r="H46" s="1">
        <v>0.0</v>
      </c>
      <c r="I46" s="1">
        <v>75.13</v>
      </c>
    </row>
    <row r="47">
      <c r="A47" s="2" t="s">
        <v>662</v>
      </c>
      <c r="B47" s="1">
        <v>200.0</v>
      </c>
      <c r="C47" s="1" t="s">
        <v>663</v>
      </c>
      <c r="D47" s="1" t="s">
        <v>609</v>
      </c>
      <c r="E47" s="1" t="s">
        <v>664</v>
      </c>
    </row>
    <row r="48">
      <c r="A48" s="2" t="s">
        <v>667</v>
      </c>
      <c r="B48" s="1">
        <v>200.0</v>
      </c>
      <c r="C48" s="1" t="s">
        <v>668</v>
      </c>
      <c r="D48" s="1" t="s">
        <v>583</v>
      </c>
    </row>
    <row r="49">
      <c r="A49" s="2" t="s">
        <v>654</v>
      </c>
      <c r="B49" s="1">
        <v>200.0</v>
      </c>
      <c r="C49" s="1" t="s">
        <v>655</v>
      </c>
      <c r="D49" s="1" t="s">
        <v>583</v>
      </c>
      <c r="F49" s="1">
        <v>0.0</v>
      </c>
      <c r="G49" s="1">
        <v>1651.0</v>
      </c>
      <c r="H49" s="1">
        <v>0.0</v>
      </c>
      <c r="I49" s="1">
        <v>27.63</v>
      </c>
    </row>
    <row r="50">
      <c r="A50" s="2" t="s">
        <v>463</v>
      </c>
      <c r="B50" s="1">
        <v>200.0</v>
      </c>
      <c r="C50" s="1" t="s">
        <v>680</v>
      </c>
      <c r="D50" s="1" t="s">
        <v>583</v>
      </c>
      <c r="F50" s="1">
        <v>5.0</v>
      </c>
      <c r="G50" s="1">
        <v>577.0</v>
      </c>
      <c r="H50" s="1">
        <v>0.009</v>
      </c>
      <c r="I50" s="1">
        <v>29.67</v>
      </c>
    </row>
    <row r="51">
      <c r="A51" s="2" t="s">
        <v>673</v>
      </c>
      <c r="B51" s="1">
        <v>200.0</v>
      </c>
      <c r="C51" s="1" t="s">
        <v>674</v>
      </c>
      <c r="D51" s="1" t="s">
        <v>583</v>
      </c>
      <c r="F51" s="1">
        <v>0.0</v>
      </c>
      <c r="G51" s="1">
        <v>4220.0</v>
      </c>
      <c r="H51" s="1">
        <v>0.0</v>
      </c>
      <c r="I51" s="1">
        <v>19.41</v>
      </c>
    </row>
    <row r="52">
      <c r="A52" s="2" t="s">
        <v>678</v>
      </c>
      <c r="B52" s="1">
        <v>200.0</v>
      </c>
      <c r="C52" s="1" t="s">
        <v>679</v>
      </c>
      <c r="D52" s="1" t="s">
        <v>583</v>
      </c>
      <c r="F52" s="1">
        <v>0.0</v>
      </c>
      <c r="G52" s="1">
        <v>36.0</v>
      </c>
      <c r="H52" s="1">
        <v>0.0</v>
      </c>
      <c r="I52" s="1">
        <v>14.0</v>
      </c>
    </row>
    <row r="53">
      <c r="A53" s="2" t="s">
        <v>671</v>
      </c>
      <c r="B53" s="1">
        <v>200.0</v>
      </c>
      <c r="C53" s="1" t="s">
        <v>672</v>
      </c>
      <c r="D53" s="1" t="s">
        <v>583</v>
      </c>
      <c r="F53" s="1">
        <v>1.0</v>
      </c>
      <c r="G53" s="1">
        <v>10688.0</v>
      </c>
      <c r="H53" s="1">
        <v>0.0</v>
      </c>
      <c r="I53" s="1">
        <v>51.62</v>
      </c>
    </row>
    <row r="54">
      <c r="A54" s="2" t="s">
        <v>675</v>
      </c>
      <c r="B54" s="1">
        <v>301.0</v>
      </c>
      <c r="D54" s="1" t="s">
        <v>609</v>
      </c>
      <c r="E54" s="1" t="s">
        <v>610</v>
      </c>
      <c r="F54" s="1">
        <v>4.0</v>
      </c>
      <c r="G54" s="1">
        <v>7757.0</v>
      </c>
      <c r="H54" s="1">
        <v>0.0</v>
      </c>
      <c r="I54" s="1">
        <v>54.99</v>
      </c>
    </row>
    <row r="55">
      <c r="A55" s="2" t="s">
        <v>683</v>
      </c>
      <c r="B55" s="1">
        <v>200.0</v>
      </c>
      <c r="C55" s="1" t="s">
        <v>684</v>
      </c>
      <c r="D55" s="1" t="s">
        <v>583</v>
      </c>
      <c r="F55" s="1">
        <v>0.0</v>
      </c>
      <c r="G55" s="1">
        <v>185.0</v>
      </c>
      <c r="H55" s="1">
        <v>0.0</v>
      </c>
      <c r="I55" s="1">
        <v>60.18</v>
      </c>
    </row>
    <row r="56">
      <c r="A56" s="2" t="s">
        <v>539</v>
      </c>
      <c r="B56" s="1">
        <v>200.0</v>
      </c>
      <c r="C56" s="1" t="s">
        <v>686</v>
      </c>
      <c r="D56" s="1" t="s">
        <v>583</v>
      </c>
      <c r="F56" s="1">
        <v>0.0</v>
      </c>
      <c r="G56" s="1">
        <v>411.0</v>
      </c>
      <c r="H56" s="1">
        <v>0.0</v>
      </c>
      <c r="I56" s="1">
        <v>72.81</v>
      </c>
    </row>
    <row r="57">
      <c r="A57" s="2" t="s">
        <v>676</v>
      </c>
      <c r="B57" s="1">
        <v>200.0</v>
      </c>
      <c r="C57" s="1" t="s">
        <v>677</v>
      </c>
      <c r="D57" s="1" t="s">
        <v>583</v>
      </c>
    </row>
    <row r="58">
      <c r="A58" s="2" t="s">
        <v>535</v>
      </c>
      <c r="B58" s="1">
        <v>200.0</v>
      </c>
      <c r="C58" s="1" t="s">
        <v>689</v>
      </c>
      <c r="D58" s="1" t="s">
        <v>583</v>
      </c>
      <c r="F58" s="1">
        <v>0.0</v>
      </c>
      <c r="G58" s="1">
        <v>695.0</v>
      </c>
      <c r="H58" s="1">
        <v>0.0</v>
      </c>
      <c r="I58" s="1">
        <v>19.4</v>
      </c>
    </row>
    <row r="59">
      <c r="A59" s="2" t="s">
        <v>690</v>
      </c>
      <c r="B59" s="1">
        <v>200.0</v>
      </c>
      <c r="C59" s="1" t="s">
        <v>691</v>
      </c>
      <c r="D59" s="1" t="s">
        <v>583</v>
      </c>
      <c r="F59" s="1">
        <v>1.0</v>
      </c>
      <c r="G59" s="1">
        <v>2402.0</v>
      </c>
      <c r="H59" s="1">
        <v>0.0</v>
      </c>
      <c r="I59" s="1">
        <v>9.44</v>
      </c>
    </row>
    <row r="60">
      <c r="A60" s="2" t="s">
        <v>681</v>
      </c>
      <c r="B60" s="1">
        <v>200.0</v>
      </c>
      <c r="C60" s="1" t="s">
        <v>682</v>
      </c>
      <c r="D60" s="1" t="s">
        <v>583</v>
      </c>
      <c r="F60" s="1">
        <v>6.0</v>
      </c>
      <c r="G60" s="1">
        <v>6072.0</v>
      </c>
      <c r="H60" s="1">
        <v>0.001</v>
      </c>
      <c r="I60" s="1">
        <v>40.82</v>
      </c>
    </row>
    <row r="61">
      <c r="A61" s="2" t="s">
        <v>443</v>
      </c>
      <c r="B61" s="1">
        <v>200.0</v>
      </c>
      <c r="C61" s="1" t="s">
        <v>685</v>
      </c>
      <c r="D61" s="1" t="s">
        <v>583</v>
      </c>
      <c r="F61" s="1">
        <v>0.0</v>
      </c>
      <c r="G61" s="1">
        <v>300.0</v>
      </c>
      <c r="H61" s="1">
        <v>0.0</v>
      </c>
      <c r="I61" s="1">
        <v>11.19</v>
      </c>
    </row>
    <row r="62">
      <c r="A62" s="2" t="s">
        <v>694</v>
      </c>
      <c r="B62" s="1">
        <v>200.0</v>
      </c>
      <c r="C62" s="1" t="s">
        <v>695</v>
      </c>
      <c r="D62" s="1" t="s">
        <v>583</v>
      </c>
      <c r="F62" s="1">
        <v>201.0</v>
      </c>
      <c r="G62" s="1">
        <v>50323.0</v>
      </c>
      <c r="H62" s="1">
        <v>0.004</v>
      </c>
      <c r="I62" s="1">
        <v>12.56</v>
      </c>
    </row>
    <row r="63">
      <c r="A63" s="2" t="s">
        <v>692</v>
      </c>
      <c r="B63" s="1">
        <v>200.0</v>
      </c>
      <c r="C63" s="1" t="s">
        <v>693</v>
      </c>
      <c r="D63" s="1" t="s">
        <v>583</v>
      </c>
      <c r="F63" s="1">
        <v>1.0</v>
      </c>
      <c r="G63" s="1">
        <v>680.0</v>
      </c>
      <c r="H63" s="1">
        <v>0.002</v>
      </c>
      <c r="I63" s="1">
        <v>12.57</v>
      </c>
    </row>
    <row r="64">
      <c r="A64" s="2" t="s">
        <v>702</v>
      </c>
      <c r="B64" s="1">
        <v>200.0</v>
      </c>
      <c r="C64" s="1" t="s">
        <v>703</v>
      </c>
      <c r="D64" s="1" t="s">
        <v>583</v>
      </c>
      <c r="F64" s="1">
        <v>0.0</v>
      </c>
      <c r="G64" s="1">
        <v>118.0</v>
      </c>
      <c r="H64" s="1">
        <v>0.0</v>
      </c>
      <c r="I64" s="1">
        <v>36.74</v>
      </c>
    </row>
    <row r="65">
      <c r="A65" s="2" t="s">
        <v>687</v>
      </c>
      <c r="B65" s="1">
        <v>200.0</v>
      </c>
      <c r="C65" s="1" t="s">
        <v>688</v>
      </c>
      <c r="D65" s="1" t="s">
        <v>583</v>
      </c>
      <c r="F65" s="1">
        <v>11.0</v>
      </c>
      <c r="G65" s="1">
        <v>9362.0</v>
      </c>
      <c r="H65" s="1">
        <v>0.001</v>
      </c>
      <c r="I65" s="1">
        <v>20.33</v>
      </c>
    </row>
    <row r="66">
      <c r="A66" s="2" t="s">
        <v>696</v>
      </c>
      <c r="B66" s="1">
        <v>200.0</v>
      </c>
      <c r="C66" s="1" t="s">
        <v>697</v>
      </c>
      <c r="D66" s="1" t="s">
        <v>583</v>
      </c>
      <c r="F66" s="1">
        <v>2.0</v>
      </c>
      <c r="G66" s="1">
        <v>3986.0</v>
      </c>
      <c r="H66" s="1">
        <v>0.0</v>
      </c>
      <c r="I66" s="1">
        <v>49.6</v>
      </c>
    </row>
    <row r="67">
      <c r="A67" s="2" t="s">
        <v>704</v>
      </c>
      <c r="B67" s="1">
        <v>200.0</v>
      </c>
      <c r="C67" s="1" t="s">
        <v>705</v>
      </c>
      <c r="D67" s="1" t="s">
        <v>583</v>
      </c>
      <c r="F67" s="1">
        <v>1.0</v>
      </c>
      <c r="G67" s="1">
        <v>3147.0</v>
      </c>
      <c r="H67" s="1">
        <v>0.0</v>
      </c>
      <c r="I67" s="1">
        <v>75.74</v>
      </c>
    </row>
    <row r="68">
      <c r="A68" s="2" t="s">
        <v>814</v>
      </c>
      <c r="B68" s="1">
        <v>200.0</v>
      </c>
      <c r="C68" s="1" t="s">
        <v>815</v>
      </c>
      <c r="D68" s="1" t="s">
        <v>583</v>
      </c>
    </row>
    <row r="69">
      <c r="A69" s="2" t="s">
        <v>806</v>
      </c>
      <c r="B69" s="1">
        <v>200.0</v>
      </c>
      <c r="C69" s="1" t="s">
        <v>807</v>
      </c>
      <c r="D69" s="1" t="s">
        <v>583</v>
      </c>
    </row>
    <row r="70">
      <c r="A70" s="2" t="s">
        <v>810</v>
      </c>
      <c r="B70" s="1">
        <v>200.0</v>
      </c>
      <c r="C70" s="1" t="s">
        <v>811</v>
      </c>
      <c r="D70" s="1" t="s">
        <v>583</v>
      </c>
    </row>
    <row r="71">
      <c r="A71" s="2" t="s">
        <v>700</v>
      </c>
      <c r="B71" s="1">
        <v>200.0</v>
      </c>
      <c r="C71" s="1" t="s">
        <v>701</v>
      </c>
      <c r="D71" s="1" t="s">
        <v>583</v>
      </c>
      <c r="F71" s="1">
        <v>0.0</v>
      </c>
      <c r="G71" s="1">
        <v>6658.0</v>
      </c>
      <c r="H71" s="1">
        <v>0.0</v>
      </c>
      <c r="I71" s="1">
        <v>38.93</v>
      </c>
    </row>
    <row r="72">
      <c r="A72" s="2" t="s">
        <v>706</v>
      </c>
      <c r="B72" s="1">
        <v>200.0</v>
      </c>
      <c r="C72" s="1" t="s">
        <v>707</v>
      </c>
      <c r="D72" s="1" t="s">
        <v>583</v>
      </c>
    </row>
    <row r="73">
      <c r="A73" s="2" t="s">
        <v>698</v>
      </c>
      <c r="B73" s="1">
        <v>200.0</v>
      </c>
      <c r="C73" s="1" t="s">
        <v>699</v>
      </c>
      <c r="D73" s="1" t="s">
        <v>583</v>
      </c>
      <c r="F73" s="1">
        <v>1.0</v>
      </c>
      <c r="G73" s="1">
        <v>4060.0</v>
      </c>
      <c r="H73" s="1">
        <v>0.0</v>
      </c>
      <c r="I73" s="1">
        <v>62.19</v>
      </c>
    </row>
    <row r="74">
      <c r="A74" s="2" t="s">
        <v>714</v>
      </c>
      <c r="B74" s="1">
        <v>200.0</v>
      </c>
      <c r="C74" s="1" t="s">
        <v>715</v>
      </c>
      <c r="D74" s="1" t="s">
        <v>583</v>
      </c>
      <c r="F74" s="1">
        <v>2.0</v>
      </c>
      <c r="G74" s="1">
        <v>6529.0</v>
      </c>
      <c r="H74" s="1">
        <v>0.0</v>
      </c>
      <c r="I74" s="1">
        <v>42.52</v>
      </c>
    </row>
    <row r="75">
      <c r="A75" s="2" t="s">
        <v>708</v>
      </c>
      <c r="B75" s="1">
        <v>200.0</v>
      </c>
      <c r="C75" s="1" t="s">
        <v>709</v>
      </c>
      <c r="D75" s="1" t="s">
        <v>583</v>
      </c>
      <c r="F75" s="1">
        <v>0.0</v>
      </c>
      <c r="G75" s="1">
        <v>3120.0</v>
      </c>
      <c r="H75" s="1">
        <v>0.0</v>
      </c>
      <c r="I75" s="1">
        <v>51.64</v>
      </c>
    </row>
    <row r="76">
      <c r="A76" s="2" t="s">
        <v>712</v>
      </c>
      <c r="B76" s="1">
        <v>200.0</v>
      </c>
      <c r="C76" s="1" t="s">
        <v>713</v>
      </c>
      <c r="D76" s="1" t="s">
        <v>583</v>
      </c>
      <c r="F76" s="1">
        <v>0.0</v>
      </c>
      <c r="G76" s="1">
        <v>8130.0</v>
      </c>
      <c r="H76" s="1">
        <v>0.0</v>
      </c>
      <c r="I76" s="1">
        <v>69.95</v>
      </c>
    </row>
    <row r="77">
      <c r="A77" s="2" t="s">
        <v>710</v>
      </c>
      <c r="B77" s="1">
        <v>200.0</v>
      </c>
      <c r="C77" s="1" t="s">
        <v>711</v>
      </c>
      <c r="D77" s="1" t="s">
        <v>583</v>
      </c>
      <c r="F77" s="1">
        <v>2.0</v>
      </c>
      <c r="G77" s="1">
        <v>5405.0</v>
      </c>
      <c r="H77" s="1">
        <v>0.0</v>
      </c>
      <c r="I77" s="1">
        <v>44.35</v>
      </c>
    </row>
    <row r="78">
      <c r="A78" s="2" t="s">
        <v>716</v>
      </c>
      <c r="B78" s="1">
        <v>200.0</v>
      </c>
      <c r="C78" s="1" t="s">
        <v>717</v>
      </c>
      <c r="D78" s="1" t="s">
        <v>583</v>
      </c>
      <c r="F78" s="1">
        <v>1.0</v>
      </c>
      <c r="G78" s="1">
        <v>7853.0</v>
      </c>
      <c r="H78" s="1">
        <v>0.0</v>
      </c>
      <c r="I78" s="1">
        <v>47.7</v>
      </c>
    </row>
    <row r="79">
      <c r="A79" s="2" t="s">
        <v>722</v>
      </c>
      <c r="B79" s="1">
        <v>200.0</v>
      </c>
      <c r="C79" s="1" t="s">
        <v>723</v>
      </c>
      <c r="D79" s="1" t="s">
        <v>583</v>
      </c>
      <c r="F79" s="1">
        <v>0.0</v>
      </c>
      <c r="G79" s="1">
        <v>3989.0</v>
      </c>
      <c r="H79" s="1">
        <v>0.0</v>
      </c>
      <c r="I79" s="1">
        <v>48.27</v>
      </c>
    </row>
    <row r="80">
      <c r="A80" s="2" t="s">
        <v>726</v>
      </c>
      <c r="B80" s="1">
        <v>200.0</v>
      </c>
      <c r="C80" s="1" t="s">
        <v>727</v>
      </c>
      <c r="D80" s="1" t="s">
        <v>583</v>
      </c>
      <c r="F80" s="1">
        <v>0.0</v>
      </c>
      <c r="G80" s="1">
        <v>10380.0</v>
      </c>
      <c r="H80" s="1">
        <v>0.0</v>
      </c>
      <c r="I80" s="1">
        <v>60.68</v>
      </c>
    </row>
    <row r="81">
      <c r="A81" s="2" t="s">
        <v>718</v>
      </c>
      <c r="B81" s="1">
        <v>200.0</v>
      </c>
      <c r="C81" s="1" t="s">
        <v>719</v>
      </c>
      <c r="D81" s="1" t="s">
        <v>583</v>
      </c>
      <c r="F81" s="1">
        <v>1.0</v>
      </c>
      <c r="G81" s="1">
        <v>4046.0</v>
      </c>
      <c r="H81" s="1">
        <v>0.0</v>
      </c>
      <c r="I81" s="1">
        <v>67.2</v>
      </c>
    </row>
    <row r="82">
      <c r="A82" s="2" t="s">
        <v>728</v>
      </c>
      <c r="B82" s="1">
        <v>200.0</v>
      </c>
      <c r="C82" s="1" t="s">
        <v>729</v>
      </c>
      <c r="D82" s="1" t="s">
        <v>583</v>
      </c>
      <c r="F82" s="1">
        <v>1.0</v>
      </c>
      <c r="G82" s="1">
        <v>2304.0</v>
      </c>
      <c r="H82" s="1">
        <v>0.0</v>
      </c>
      <c r="I82" s="1">
        <v>62.27</v>
      </c>
    </row>
    <row r="83">
      <c r="A83" s="2" t="s">
        <v>720</v>
      </c>
      <c r="B83" s="1">
        <v>200.0</v>
      </c>
      <c r="C83" s="1" t="s">
        <v>721</v>
      </c>
      <c r="D83" s="1" t="s">
        <v>583</v>
      </c>
      <c r="F83" s="1">
        <v>0.0</v>
      </c>
      <c r="G83" s="1">
        <v>4287.0</v>
      </c>
      <c r="H83" s="1">
        <v>0.0</v>
      </c>
      <c r="I83" s="1">
        <v>65.68</v>
      </c>
    </row>
    <row r="84">
      <c r="A84" s="2" t="s">
        <v>732</v>
      </c>
      <c r="B84" s="1">
        <v>200.0</v>
      </c>
      <c r="C84" s="1" t="s">
        <v>733</v>
      </c>
      <c r="D84" s="1" t="s">
        <v>583</v>
      </c>
      <c r="F84" s="1">
        <v>1.0</v>
      </c>
      <c r="G84" s="1">
        <v>4001.0</v>
      </c>
      <c r="H84" s="1">
        <v>0.0</v>
      </c>
      <c r="I84" s="1">
        <v>71.26</v>
      </c>
    </row>
    <row r="85">
      <c r="A85" s="2" t="s">
        <v>736</v>
      </c>
      <c r="B85" s="1">
        <v>200.0</v>
      </c>
      <c r="C85" s="1" t="s">
        <v>737</v>
      </c>
      <c r="D85" s="1" t="s">
        <v>583</v>
      </c>
      <c r="F85" s="1">
        <v>0.0</v>
      </c>
      <c r="G85" s="1">
        <v>1435.0</v>
      </c>
      <c r="H85" s="1">
        <v>0.0</v>
      </c>
      <c r="I85" s="1">
        <v>14.46</v>
      </c>
    </row>
    <row r="86">
      <c r="A86" s="2" t="s">
        <v>724</v>
      </c>
      <c r="B86" s="1">
        <v>200.0</v>
      </c>
      <c r="C86" s="1" t="s">
        <v>725</v>
      </c>
      <c r="D86" s="1" t="s">
        <v>583</v>
      </c>
      <c r="F86" s="1">
        <v>4.0</v>
      </c>
      <c r="G86" s="1">
        <v>6706.0</v>
      </c>
      <c r="H86" s="1">
        <v>0.001</v>
      </c>
      <c r="I86" s="1">
        <v>39.37</v>
      </c>
    </row>
    <row r="87">
      <c r="A87" s="2" t="s">
        <v>730</v>
      </c>
      <c r="B87" s="1">
        <v>200.0</v>
      </c>
      <c r="C87" s="1" t="s">
        <v>731</v>
      </c>
      <c r="D87" s="1" t="s">
        <v>583</v>
      </c>
      <c r="F87" s="1">
        <v>0.0</v>
      </c>
      <c r="G87" s="1">
        <v>213.0</v>
      </c>
      <c r="H87" s="1">
        <v>0.0</v>
      </c>
      <c r="I87" s="1">
        <v>45.28</v>
      </c>
    </row>
    <row r="88">
      <c r="A88" s="2" t="s">
        <v>744</v>
      </c>
      <c r="B88" s="1">
        <v>200.0</v>
      </c>
      <c r="C88" s="1" t="s">
        <v>745</v>
      </c>
      <c r="D88" s="1" t="s">
        <v>583</v>
      </c>
      <c r="F88" s="1">
        <v>1.0</v>
      </c>
      <c r="G88" s="1">
        <v>621.0</v>
      </c>
      <c r="H88" s="1">
        <v>0.002</v>
      </c>
      <c r="I88" s="1">
        <v>38.43</v>
      </c>
    </row>
    <row r="89">
      <c r="A89" s="2" t="s">
        <v>748</v>
      </c>
      <c r="B89" s="1">
        <v>200.0</v>
      </c>
      <c r="C89" s="1" t="s">
        <v>749</v>
      </c>
      <c r="D89" s="1" t="s">
        <v>583</v>
      </c>
      <c r="F89" s="1">
        <v>1.0</v>
      </c>
      <c r="G89" s="1">
        <v>15445.0</v>
      </c>
      <c r="H89" s="1">
        <v>0.0</v>
      </c>
      <c r="I89" s="1">
        <v>49.94</v>
      </c>
    </row>
    <row r="90">
      <c r="A90" s="2" t="s">
        <v>816</v>
      </c>
      <c r="B90" s="1">
        <v>200.0</v>
      </c>
      <c r="C90" s="1" t="s">
        <v>817</v>
      </c>
      <c r="D90" s="1" t="s">
        <v>583</v>
      </c>
    </row>
    <row r="91">
      <c r="A91" s="2" t="s">
        <v>752</v>
      </c>
      <c r="B91" s="1">
        <v>200.0</v>
      </c>
      <c r="C91" s="1" t="s">
        <v>753</v>
      </c>
      <c r="D91" s="1" t="s">
        <v>583</v>
      </c>
      <c r="F91" s="1">
        <v>5.0</v>
      </c>
      <c r="G91" s="1">
        <v>508.0</v>
      </c>
      <c r="H91" s="1">
        <v>0.01</v>
      </c>
      <c r="I91" s="1">
        <v>46.84</v>
      </c>
    </row>
    <row r="92">
      <c r="A92" s="2" t="s">
        <v>738</v>
      </c>
      <c r="B92" s="1">
        <v>200.0</v>
      </c>
      <c r="C92" s="1" t="s">
        <v>739</v>
      </c>
      <c r="D92" s="1" t="s">
        <v>583</v>
      </c>
      <c r="F92" s="1">
        <v>2.0</v>
      </c>
      <c r="G92" s="1">
        <v>12093.0</v>
      </c>
      <c r="H92" s="1">
        <v>0.0</v>
      </c>
      <c r="I92" s="1">
        <v>41.65</v>
      </c>
    </row>
    <row r="93">
      <c r="A93" s="2" t="s">
        <v>740</v>
      </c>
      <c r="B93" s="1">
        <v>200.0</v>
      </c>
      <c r="C93" s="1" t="s">
        <v>741</v>
      </c>
      <c r="D93" s="1" t="s">
        <v>583</v>
      </c>
      <c r="F93" s="1">
        <v>10.0</v>
      </c>
      <c r="G93" s="1">
        <v>7126.0</v>
      </c>
      <c r="H93" s="1">
        <v>0.001</v>
      </c>
      <c r="I93" s="1">
        <v>63.27</v>
      </c>
    </row>
    <row r="94">
      <c r="A94" s="2" t="s">
        <v>742</v>
      </c>
      <c r="B94" s="1">
        <v>200.0</v>
      </c>
      <c r="C94" s="1" t="s">
        <v>743</v>
      </c>
      <c r="D94" s="1" t="s">
        <v>583</v>
      </c>
      <c r="F94" s="1">
        <v>1.0</v>
      </c>
      <c r="G94" s="1">
        <v>1845.0</v>
      </c>
      <c r="H94" s="1">
        <v>0.0</v>
      </c>
      <c r="I94" s="1">
        <v>47.06</v>
      </c>
    </row>
    <row r="95">
      <c r="A95" s="2" t="s">
        <v>756</v>
      </c>
      <c r="B95" s="1">
        <v>200.0</v>
      </c>
      <c r="C95" s="1" t="s">
        <v>757</v>
      </c>
      <c r="D95" s="1" t="s">
        <v>583</v>
      </c>
      <c r="F95" s="1">
        <v>1.0</v>
      </c>
      <c r="G95" s="1">
        <v>2849.0</v>
      </c>
      <c r="H95" s="1">
        <v>0.0</v>
      </c>
      <c r="I95" s="1">
        <v>49.13</v>
      </c>
    </row>
    <row r="96">
      <c r="A96" s="2" t="s">
        <v>750</v>
      </c>
      <c r="B96" s="1">
        <v>200.0</v>
      </c>
      <c r="C96" s="1" t="s">
        <v>751</v>
      </c>
      <c r="D96" s="1" t="s">
        <v>583</v>
      </c>
      <c r="F96" s="1">
        <v>12.0</v>
      </c>
      <c r="G96" s="1">
        <v>9472.0</v>
      </c>
      <c r="H96" s="1">
        <v>0.001</v>
      </c>
      <c r="I96" s="1">
        <v>36.06</v>
      </c>
    </row>
    <row r="97">
      <c r="A97" s="2" t="s">
        <v>746</v>
      </c>
      <c r="B97" s="1">
        <v>200.0</v>
      </c>
      <c r="C97" s="1" t="s">
        <v>747</v>
      </c>
      <c r="D97" s="1" t="s">
        <v>583</v>
      </c>
      <c r="F97" s="1">
        <v>12.0</v>
      </c>
      <c r="G97" s="1">
        <v>955.0</v>
      </c>
      <c r="H97" s="1">
        <v>0.013</v>
      </c>
      <c r="I97" s="1">
        <v>33.55</v>
      </c>
    </row>
    <row r="98">
      <c r="A98" s="2" t="s">
        <v>760</v>
      </c>
      <c r="B98" s="1">
        <v>200.0</v>
      </c>
      <c r="C98" s="1" t="s">
        <v>761</v>
      </c>
      <c r="D98" s="1" t="s">
        <v>583</v>
      </c>
      <c r="F98" s="1">
        <v>0.0</v>
      </c>
      <c r="G98" s="1">
        <v>5433.0</v>
      </c>
      <c r="H98" s="1">
        <v>0.0</v>
      </c>
      <c r="I98" s="1">
        <v>50.12</v>
      </c>
    </row>
    <row r="99">
      <c r="A99" s="2" t="s">
        <v>754</v>
      </c>
      <c r="B99" s="1">
        <v>200.0</v>
      </c>
      <c r="C99" s="1" t="s">
        <v>755</v>
      </c>
      <c r="D99" s="1" t="s">
        <v>583</v>
      </c>
      <c r="F99" s="1">
        <v>10.0</v>
      </c>
      <c r="G99" s="1">
        <v>51944.0</v>
      </c>
      <c r="H99" s="1">
        <v>0.0</v>
      </c>
      <c r="I99" s="1">
        <v>55.54</v>
      </c>
    </row>
    <row r="100">
      <c r="A100" s="2" t="s">
        <v>762</v>
      </c>
      <c r="B100" s="1">
        <v>200.0</v>
      </c>
      <c r="C100" s="1" t="s">
        <v>763</v>
      </c>
      <c r="D100" s="1" t="s">
        <v>583</v>
      </c>
      <c r="F100" s="1">
        <v>0.0</v>
      </c>
      <c r="G100" s="1">
        <v>12315.0</v>
      </c>
      <c r="H100" s="1">
        <v>0.0</v>
      </c>
      <c r="I100" s="1">
        <v>44.78</v>
      </c>
    </row>
    <row r="101">
      <c r="A101" s="2" t="s">
        <v>734</v>
      </c>
      <c r="B101" s="1">
        <v>200.0</v>
      </c>
      <c r="C101" s="1" t="s">
        <v>735</v>
      </c>
      <c r="D101" s="1" t="s">
        <v>583</v>
      </c>
      <c r="F101" s="1">
        <v>0.0</v>
      </c>
      <c r="G101" s="1">
        <v>739.0</v>
      </c>
      <c r="H101" s="1">
        <v>0.0</v>
      </c>
      <c r="I101" s="1">
        <v>38.65</v>
      </c>
    </row>
    <row r="102">
      <c r="A102" s="2" t="s">
        <v>758</v>
      </c>
      <c r="B102" s="1">
        <v>200.0</v>
      </c>
      <c r="C102" s="1" t="s">
        <v>759</v>
      </c>
      <c r="D102" s="1" t="s">
        <v>583</v>
      </c>
      <c r="F102" s="1">
        <v>2.0</v>
      </c>
      <c r="G102" s="1">
        <v>4415.0</v>
      </c>
      <c r="H102" s="1">
        <v>0.0</v>
      </c>
      <c r="I102" s="1">
        <v>29.69</v>
      </c>
    </row>
    <row r="103">
      <c r="A103" s="2" t="s">
        <v>766</v>
      </c>
      <c r="B103" s="1">
        <v>200.0</v>
      </c>
      <c r="C103" s="1" t="s">
        <v>767</v>
      </c>
      <c r="D103" s="1" t="s">
        <v>583</v>
      </c>
      <c r="F103" s="1">
        <v>5.0</v>
      </c>
      <c r="G103" s="1">
        <v>2128.0</v>
      </c>
      <c r="H103" s="1">
        <v>0.002</v>
      </c>
      <c r="I103" s="1">
        <v>43.49</v>
      </c>
    </row>
    <row r="104">
      <c r="A104" s="2" t="s">
        <v>772</v>
      </c>
      <c r="B104" s="1">
        <v>200.0</v>
      </c>
      <c r="C104" s="1" t="s">
        <v>773</v>
      </c>
      <c r="D104" s="1" t="s">
        <v>583</v>
      </c>
    </row>
    <row r="105">
      <c r="A105" s="2" t="s">
        <v>774</v>
      </c>
      <c r="B105" s="1">
        <v>200.0</v>
      </c>
      <c r="C105" s="1" t="s">
        <v>775</v>
      </c>
      <c r="D105" s="1" t="s">
        <v>583</v>
      </c>
      <c r="F105" s="1">
        <v>1.0</v>
      </c>
      <c r="G105" s="1">
        <v>2453.0</v>
      </c>
      <c r="H105" s="1">
        <v>0.0</v>
      </c>
      <c r="I105" s="1">
        <v>28.97</v>
      </c>
    </row>
    <row r="106">
      <c r="A106" s="2" t="s">
        <v>778</v>
      </c>
      <c r="B106" s="1">
        <v>200.0</v>
      </c>
      <c r="C106" s="1" t="s">
        <v>779</v>
      </c>
      <c r="D106" s="1" t="s">
        <v>583</v>
      </c>
      <c r="F106" s="1">
        <v>1.0</v>
      </c>
      <c r="G106" s="1">
        <v>23349.0</v>
      </c>
      <c r="H106" s="1">
        <v>0.0</v>
      </c>
      <c r="I106" s="1">
        <v>47.22</v>
      </c>
    </row>
    <row r="107">
      <c r="A107" s="2" t="s">
        <v>768</v>
      </c>
      <c r="B107" s="1">
        <v>200.0</v>
      </c>
      <c r="C107" s="1" t="s">
        <v>769</v>
      </c>
      <c r="D107" s="1" t="s">
        <v>583</v>
      </c>
      <c r="F107" s="1">
        <v>3.0</v>
      </c>
      <c r="G107" s="1">
        <v>4370.0</v>
      </c>
      <c r="H107" s="1">
        <v>0.001</v>
      </c>
      <c r="I107" s="1">
        <v>54.07</v>
      </c>
    </row>
    <row r="108">
      <c r="A108" s="2" t="s">
        <v>770</v>
      </c>
      <c r="B108" s="1">
        <v>200.0</v>
      </c>
      <c r="C108" s="1" t="s">
        <v>771</v>
      </c>
      <c r="D108" s="1" t="s">
        <v>583</v>
      </c>
      <c r="F108" s="1">
        <v>16.0</v>
      </c>
      <c r="G108" s="1">
        <v>4355.0</v>
      </c>
      <c r="H108" s="1">
        <v>0.004</v>
      </c>
      <c r="I108" s="1">
        <v>14.94</v>
      </c>
    </row>
    <row r="109">
      <c r="A109" s="2" t="s">
        <v>780</v>
      </c>
      <c r="B109" s="1">
        <v>200.0</v>
      </c>
      <c r="C109" s="1" t="s">
        <v>781</v>
      </c>
      <c r="D109" s="1" t="s">
        <v>583</v>
      </c>
      <c r="F109" s="1">
        <v>0.0</v>
      </c>
      <c r="G109" s="1">
        <v>2279.0</v>
      </c>
      <c r="H109" s="1">
        <v>0.0</v>
      </c>
      <c r="I109" s="1">
        <v>58.39</v>
      </c>
    </row>
    <row r="110">
      <c r="A110" s="2" t="s">
        <v>764</v>
      </c>
      <c r="B110" s="1">
        <v>200.0</v>
      </c>
      <c r="C110" s="1" t="s">
        <v>765</v>
      </c>
      <c r="D110" s="1" t="s">
        <v>583</v>
      </c>
      <c r="F110" s="1">
        <v>1.0</v>
      </c>
      <c r="G110" s="1">
        <v>4595.0</v>
      </c>
      <c r="H110" s="1">
        <v>0.0</v>
      </c>
      <c r="I110" s="1">
        <v>45.59</v>
      </c>
    </row>
    <row r="111">
      <c r="A111" s="2" t="s">
        <v>784</v>
      </c>
      <c r="B111" s="1">
        <v>200.0</v>
      </c>
      <c r="C111" s="1" t="s">
        <v>785</v>
      </c>
      <c r="D111" s="1" t="s">
        <v>583</v>
      </c>
      <c r="F111" s="1">
        <v>2.0</v>
      </c>
      <c r="G111" s="1">
        <v>2398.0</v>
      </c>
      <c r="H111" s="1">
        <v>0.001</v>
      </c>
      <c r="I111" s="1">
        <v>52.05</v>
      </c>
    </row>
    <row r="112">
      <c r="A112" s="2" t="s">
        <v>782</v>
      </c>
      <c r="B112" s="1">
        <v>200.0</v>
      </c>
      <c r="C112" s="1" t="s">
        <v>783</v>
      </c>
      <c r="D112" s="1" t="s">
        <v>583</v>
      </c>
      <c r="F112" s="1">
        <v>0.0</v>
      </c>
      <c r="G112" s="1">
        <v>5577.0</v>
      </c>
      <c r="H112" s="1">
        <v>0.0</v>
      </c>
      <c r="I112" s="1">
        <v>52.4</v>
      </c>
    </row>
    <row r="113">
      <c r="A113" s="2" t="s">
        <v>776</v>
      </c>
      <c r="B113" s="1">
        <v>200.0</v>
      </c>
      <c r="C113" s="1" t="s">
        <v>777</v>
      </c>
      <c r="D113" s="1" t="s">
        <v>583</v>
      </c>
      <c r="F113" s="1">
        <v>2.0</v>
      </c>
      <c r="G113" s="1">
        <v>5665.0</v>
      </c>
      <c r="H113" s="1">
        <v>0.0</v>
      </c>
      <c r="I113" s="1">
        <v>68.09</v>
      </c>
    </row>
    <row r="114">
      <c r="A114" s="2" t="s">
        <v>788</v>
      </c>
      <c r="B114" s="1">
        <v>200.0</v>
      </c>
      <c r="C114" s="1" t="s">
        <v>789</v>
      </c>
      <c r="D114" s="1" t="s">
        <v>583</v>
      </c>
      <c r="F114" s="1">
        <v>2.0</v>
      </c>
      <c r="G114" s="1">
        <v>499.0</v>
      </c>
      <c r="H114" s="1">
        <v>0.004</v>
      </c>
      <c r="I114" s="1">
        <v>38.14</v>
      </c>
    </row>
    <row r="115">
      <c r="A115" s="2" t="s">
        <v>786</v>
      </c>
      <c r="B115" s="1">
        <v>200.0</v>
      </c>
      <c r="C115" s="1" t="s">
        <v>787</v>
      </c>
      <c r="D115" s="1" t="s">
        <v>583</v>
      </c>
      <c r="F115" s="1">
        <v>1.0</v>
      </c>
      <c r="G115" s="1">
        <v>13793.0</v>
      </c>
      <c r="H115" s="1">
        <v>0.0</v>
      </c>
      <c r="I115" s="1">
        <v>55.55</v>
      </c>
    </row>
    <row r="116">
      <c r="A116" s="2" t="s">
        <v>790</v>
      </c>
      <c r="B116" s="1">
        <v>200.0</v>
      </c>
      <c r="C116" s="1" t="s">
        <v>791</v>
      </c>
      <c r="D116" s="1" t="s">
        <v>583</v>
      </c>
      <c r="F116" s="1">
        <v>1.0</v>
      </c>
      <c r="G116" s="1">
        <v>5853.0</v>
      </c>
      <c r="H116" s="1">
        <v>0.0</v>
      </c>
      <c r="I116" s="1">
        <v>37.46</v>
      </c>
    </row>
    <row r="117">
      <c r="A117" s="2" t="s">
        <v>792</v>
      </c>
      <c r="B117" s="1">
        <v>200.0</v>
      </c>
      <c r="C117" s="1" t="s">
        <v>793</v>
      </c>
      <c r="D117" s="1" t="s">
        <v>583</v>
      </c>
      <c r="F117" s="1">
        <v>3.0</v>
      </c>
      <c r="G117" s="1">
        <v>14587.0</v>
      </c>
      <c r="H117" s="1">
        <v>0.0</v>
      </c>
      <c r="I117" s="1">
        <v>42.95</v>
      </c>
    </row>
    <row r="118">
      <c r="A118" s="2" t="s">
        <v>798</v>
      </c>
      <c r="B118" s="1">
        <v>200.0</v>
      </c>
      <c r="C118" s="1" t="s">
        <v>799</v>
      </c>
      <c r="D118" s="1" t="s">
        <v>583</v>
      </c>
      <c r="F118" s="1">
        <v>24.0</v>
      </c>
      <c r="G118" s="1">
        <v>6476.0</v>
      </c>
      <c r="H118" s="1">
        <v>0.004</v>
      </c>
      <c r="I118" s="1">
        <v>15.55</v>
      </c>
    </row>
    <row r="119">
      <c r="A119" s="2" t="s">
        <v>794</v>
      </c>
      <c r="B119" s="1">
        <v>200.0</v>
      </c>
      <c r="C119" s="1" t="s">
        <v>795</v>
      </c>
      <c r="D119" s="1" t="s">
        <v>583</v>
      </c>
      <c r="F119" s="1">
        <v>0.0</v>
      </c>
      <c r="G119" s="1">
        <v>17.0</v>
      </c>
      <c r="H119" s="1">
        <v>0.0</v>
      </c>
      <c r="I119" s="1">
        <v>21.0</v>
      </c>
    </row>
    <row r="120">
      <c r="A120" s="2" t="s">
        <v>800</v>
      </c>
      <c r="B120" s="1">
        <v>200.0</v>
      </c>
      <c r="C120" s="1" t="s">
        <v>801</v>
      </c>
      <c r="D120" s="1" t="s">
        <v>583</v>
      </c>
      <c r="F120" s="1">
        <v>7.0</v>
      </c>
      <c r="G120" s="1">
        <v>2193.0</v>
      </c>
      <c r="H120" s="1">
        <v>0.003</v>
      </c>
      <c r="I120" s="1">
        <v>44.79</v>
      </c>
    </row>
    <row r="121">
      <c r="A121" s="2" t="s">
        <v>808</v>
      </c>
      <c r="B121" s="1">
        <v>200.0</v>
      </c>
      <c r="C121" s="1" t="s">
        <v>809</v>
      </c>
      <c r="D121" s="1" t="s">
        <v>583</v>
      </c>
      <c r="F121" s="1">
        <v>0.0</v>
      </c>
      <c r="G121" s="1">
        <v>10748.0</v>
      </c>
      <c r="H121" s="1">
        <v>0.0</v>
      </c>
      <c r="I121" s="1">
        <v>49.26</v>
      </c>
    </row>
    <row r="122">
      <c r="A122" s="2" t="s">
        <v>804</v>
      </c>
      <c r="B122" s="1">
        <v>200.0</v>
      </c>
      <c r="C122" s="1" t="s">
        <v>805</v>
      </c>
      <c r="D122" s="1" t="s">
        <v>583</v>
      </c>
      <c r="F122" s="1">
        <v>1.0</v>
      </c>
      <c r="G122" s="1">
        <v>2105.0</v>
      </c>
      <c r="H122" s="1">
        <v>0.0</v>
      </c>
      <c r="I122" s="1">
        <v>60.31</v>
      </c>
    </row>
    <row r="123">
      <c r="A123" s="2" t="s">
        <v>826</v>
      </c>
      <c r="B123" s="1">
        <v>200.0</v>
      </c>
      <c r="C123" s="1" t="s">
        <v>827</v>
      </c>
      <c r="D123" s="1" t="s">
        <v>583</v>
      </c>
      <c r="F123" s="1">
        <v>0.0</v>
      </c>
      <c r="G123" s="1">
        <v>6.0</v>
      </c>
      <c r="H123" s="1">
        <v>0.0</v>
      </c>
      <c r="I123" s="1">
        <v>7.5</v>
      </c>
    </row>
    <row r="124">
      <c r="A124" s="2" t="s">
        <v>818</v>
      </c>
      <c r="B124" s="1">
        <v>200.0</v>
      </c>
      <c r="C124" s="1" t="s">
        <v>819</v>
      </c>
      <c r="D124" s="1" t="s">
        <v>583</v>
      </c>
      <c r="F124" s="1">
        <v>1.0</v>
      </c>
      <c r="G124" s="1">
        <v>15.0</v>
      </c>
      <c r="H124" s="1">
        <v>0.067</v>
      </c>
      <c r="I124" s="1">
        <v>26.93</v>
      </c>
    </row>
    <row r="125">
      <c r="A125" s="2" t="s">
        <v>828</v>
      </c>
      <c r="B125" s="1">
        <v>200.0</v>
      </c>
      <c r="C125" s="1" t="s">
        <v>829</v>
      </c>
      <c r="D125" s="1" t="s">
        <v>583</v>
      </c>
    </row>
    <row r="126">
      <c r="A126" s="2" t="s">
        <v>822</v>
      </c>
      <c r="B126" s="1">
        <v>200.0</v>
      </c>
      <c r="C126" s="1" t="s">
        <v>823</v>
      </c>
      <c r="D126" s="1" t="s">
        <v>583</v>
      </c>
    </row>
    <row r="127">
      <c r="A127" s="2" t="s">
        <v>820</v>
      </c>
      <c r="B127" s="1">
        <v>200.0</v>
      </c>
      <c r="C127" s="1" t="s">
        <v>821</v>
      </c>
      <c r="D127" s="1" t="s">
        <v>583</v>
      </c>
    </row>
    <row r="128">
      <c r="A128" s="2" t="s">
        <v>831</v>
      </c>
      <c r="B128" s="1">
        <v>200.0</v>
      </c>
      <c r="C128" s="1" t="s">
        <v>832</v>
      </c>
      <c r="D128" s="1" t="s">
        <v>583</v>
      </c>
    </row>
    <row r="129">
      <c r="A129" s="2" t="s">
        <v>837</v>
      </c>
      <c r="B129" s="1">
        <v>200.0</v>
      </c>
      <c r="C129" s="1" t="s">
        <v>838</v>
      </c>
      <c r="D129" s="1" t="s">
        <v>583</v>
      </c>
      <c r="F129" s="1">
        <v>0.0</v>
      </c>
      <c r="G129" s="1">
        <v>3460.0</v>
      </c>
      <c r="H129" s="1">
        <v>0.0</v>
      </c>
      <c r="I129" s="1">
        <v>76.43</v>
      </c>
    </row>
    <row r="130">
      <c r="A130" s="2" t="s">
        <v>803</v>
      </c>
      <c r="B130" s="1">
        <v>301.0</v>
      </c>
      <c r="D130" s="1" t="s">
        <v>609</v>
      </c>
      <c r="E130" s="1" t="s">
        <v>610</v>
      </c>
    </row>
    <row r="131">
      <c r="A131" s="2" t="s">
        <v>802</v>
      </c>
      <c r="B131" s="1">
        <v>200.0</v>
      </c>
      <c r="C131" s="1" t="s">
        <v>637</v>
      </c>
      <c r="D131" s="1" t="s">
        <v>609</v>
      </c>
      <c r="E131" s="1" t="s">
        <v>631</v>
      </c>
    </row>
    <row r="132">
      <c r="A132" s="2" t="s">
        <v>833</v>
      </c>
      <c r="B132" s="1">
        <v>200.0</v>
      </c>
      <c r="C132" s="1" t="s">
        <v>834</v>
      </c>
      <c r="D132" s="1" t="s">
        <v>583</v>
      </c>
      <c r="F132" s="1">
        <v>0.0</v>
      </c>
      <c r="G132" s="1">
        <v>1145.0</v>
      </c>
      <c r="H132" s="1">
        <v>0.0</v>
      </c>
      <c r="I132" s="1">
        <v>26.21</v>
      </c>
    </row>
    <row r="133">
      <c r="A133" s="2" t="s">
        <v>835</v>
      </c>
      <c r="B133" s="1">
        <v>200.0</v>
      </c>
      <c r="C133" s="1" t="s">
        <v>836</v>
      </c>
      <c r="D133" s="1" t="s">
        <v>583</v>
      </c>
      <c r="F133" s="1">
        <v>5.0</v>
      </c>
      <c r="G133" s="1">
        <v>3846.0</v>
      </c>
      <c r="H133" s="1">
        <v>0.001</v>
      </c>
      <c r="I133" s="1">
        <v>18.52</v>
      </c>
    </row>
    <row r="134">
      <c r="A134" s="2" t="s">
        <v>796</v>
      </c>
      <c r="B134" s="1">
        <v>200.0</v>
      </c>
      <c r="C134" s="1" t="s">
        <v>797</v>
      </c>
      <c r="D134" s="1" t="s">
        <v>583</v>
      </c>
      <c r="F134" s="1">
        <v>4.0</v>
      </c>
      <c r="G134" s="1">
        <v>1569.0</v>
      </c>
      <c r="H134" s="1">
        <v>0.003</v>
      </c>
      <c r="I134" s="1">
        <v>66.16</v>
      </c>
    </row>
    <row r="135">
      <c r="A135" s="2" t="s">
        <v>841</v>
      </c>
      <c r="B135" s="1">
        <v>200.0</v>
      </c>
      <c r="C135" s="1" t="s">
        <v>842</v>
      </c>
      <c r="D135" s="1" t="s">
        <v>583</v>
      </c>
      <c r="F135" s="1">
        <v>1.0</v>
      </c>
      <c r="G135" s="1">
        <v>519.0</v>
      </c>
      <c r="H135" s="1">
        <v>0.002</v>
      </c>
      <c r="I135" s="1">
        <v>62.91</v>
      </c>
    </row>
    <row r="136">
      <c r="A136" s="2" t="s">
        <v>843</v>
      </c>
      <c r="B136" s="1">
        <v>200.0</v>
      </c>
      <c r="C136" s="1" t="s">
        <v>844</v>
      </c>
      <c r="D136" s="1" t="s">
        <v>583</v>
      </c>
      <c r="F136" s="1">
        <v>2.0</v>
      </c>
      <c r="G136" s="1">
        <v>1188.0</v>
      </c>
      <c r="H136" s="1">
        <v>0.002</v>
      </c>
      <c r="I136" s="1">
        <v>44.7</v>
      </c>
    </row>
    <row r="137">
      <c r="A137" s="2" t="s">
        <v>848</v>
      </c>
      <c r="B137" s="1">
        <v>200.0</v>
      </c>
      <c r="C137" s="1" t="s">
        <v>849</v>
      </c>
      <c r="D137" s="1" t="s">
        <v>583</v>
      </c>
      <c r="F137" s="1">
        <v>13.0</v>
      </c>
      <c r="G137" s="1">
        <v>4722.0</v>
      </c>
      <c r="H137" s="1">
        <v>0.003</v>
      </c>
      <c r="I137" s="1">
        <v>20.99</v>
      </c>
    </row>
    <row r="138">
      <c r="A138" s="2" t="s">
        <v>850</v>
      </c>
      <c r="B138" s="1">
        <v>200.0</v>
      </c>
      <c r="C138" s="1" t="s">
        <v>851</v>
      </c>
      <c r="D138" s="1" t="s">
        <v>583</v>
      </c>
      <c r="F138" s="1">
        <v>2.0</v>
      </c>
      <c r="G138" s="1">
        <v>249.0</v>
      </c>
      <c r="H138" s="1">
        <v>0.008</v>
      </c>
      <c r="I138" s="1">
        <v>29.86</v>
      </c>
    </row>
    <row r="139">
      <c r="A139" s="2" t="s">
        <v>839</v>
      </c>
      <c r="B139" s="1">
        <v>200.0</v>
      </c>
      <c r="C139" s="1" t="s">
        <v>840</v>
      </c>
      <c r="D139" s="1" t="s">
        <v>583</v>
      </c>
      <c r="F139" s="1">
        <v>8.0</v>
      </c>
      <c r="G139" s="1">
        <v>2065.0</v>
      </c>
      <c r="H139" s="1">
        <v>0.004</v>
      </c>
      <c r="I139" s="1">
        <v>26.13</v>
      </c>
    </row>
    <row r="140">
      <c r="A140" s="2" t="s">
        <v>845</v>
      </c>
      <c r="B140" s="1">
        <v>200.0</v>
      </c>
      <c r="C140" s="1" t="s">
        <v>846</v>
      </c>
      <c r="D140" s="1" t="s">
        <v>609</v>
      </c>
      <c r="E140" s="1" t="s">
        <v>631</v>
      </c>
      <c r="F140" s="1">
        <v>0.0</v>
      </c>
      <c r="G140" s="1">
        <v>111.0</v>
      </c>
      <c r="H140" s="1">
        <v>0.0</v>
      </c>
      <c r="I140" s="1">
        <v>75.26</v>
      </c>
    </row>
    <row r="141">
      <c r="A141" s="2" t="s">
        <v>856</v>
      </c>
      <c r="B141" s="1">
        <v>200.0</v>
      </c>
      <c r="C141" s="1" t="s">
        <v>857</v>
      </c>
      <c r="D141" s="1" t="s">
        <v>583</v>
      </c>
      <c r="F141" s="1">
        <v>19.0</v>
      </c>
      <c r="G141" s="1">
        <v>1273.0</v>
      </c>
      <c r="H141" s="1">
        <v>0.015</v>
      </c>
      <c r="I141" s="1">
        <v>9.85</v>
      </c>
    </row>
    <row r="142">
      <c r="A142" s="2" t="s">
        <v>813</v>
      </c>
      <c r="B142" s="1">
        <v>301.0</v>
      </c>
      <c r="D142" s="1" t="s">
        <v>609</v>
      </c>
      <c r="E142" s="1" t="s">
        <v>610</v>
      </c>
    </row>
    <row r="143">
      <c r="A143" s="2" t="s">
        <v>812</v>
      </c>
      <c r="B143" s="1">
        <v>301.0</v>
      </c>
      <c r="D143" s="1" t="s">
        <v>609</v>
      </c>
      <c r="E143" s="1" t="s">
        <v>610</v>
      </c>
    </row>
    <row r="144">
      <c r="A144" s="2" t="s">
        <v>852</v>
      </c>
      <c r="B144" s="1">
        <v>200.0</v>
      </c>
      <c r="C144" s="1" t="s">
        <v>853</v>
      </c>
      <c r="D144" s="1" t="s">
        <v>583</v>
      </c>
      <c r="F144" s="1">
        <v>0.0</v>
      </c>
      <c r="G144" s="1">
        <v>37.0</v>
      </c>
      <c r="H144" s="1">
        <v>0.0</v>
      </c>
      <c r="I144" s="1">
        <v>67.03</v>
      </c>
    </row>
    <row r="145">
      <c r="A145" s="2" t="s">
        <v>830</v>
      </c>
      <c r="B145" s="1">
        <v>301.0</v>
      </c>
      <c r="D145" s="1" t="s">
        <v>609</v>
      </c>
      <c r="E145" s="1" t="s">
        <v>610</v>
      </c>
    </row>
    <row r="146">
      <c r="A146" s="2" t="s">
        <v>847</v>
      </c>
      <c r="B146" s="1">
        <v>301.0</v>
      </c>
      <c r="D146" s="1" t="s">
        <v>609</v>
      </c>
      <c r="E146" s="1" t="s">
        <v>610</v>
      </c>
    </row>
    <row r="147">
      <c r="A147" s="2" t="s">
        <v>861</v>
      </c>
      <c r="B147" s="1">
        <v>200.0</v>
      </c>
      <c r="C147" s="1" t="s">
        <v>862</v>
      </c>
      <c r="D147" s="1" t="s">
        <v>583</v>
      </c>
      <c r="F147" s="1">
        <v>0.0</v>
      </c>
      <c r="G147" s="1">
        <v>62.0</v>
      </c>
      <c r="H147" s="1">
        <v>0.0</v>
      </c>
      <c r="I147" s="1">
        <v>58.16</v>
      </c>
    </row>
    <row r="148">
      <c r="A148" s="2" t="s">
        <v>854</v>
      </c>
      <c r="B148" s="1">
        <v>200.0</v>
      </c>
      <c r="C148" s="1" t="s">
        <v>855</v>
      </c>
      <c r="D148" s="1" t="s">
        <v>609</v>
      </c>
      <c r="E148" s="1" t="s">
        <v>664</v>
      </c>
      <c r="F148" s="1">
        <v>7.0</v>
      </c>
      <c r="G148" s="1">
        <v>2817.0</v>
      </c>
      <c r="H148" s="1">
        <v>0.003</v>
      </c>
      <c r="I148" s="1">
        <v>22.52</v>
      </c>
    </row>
    <row r="149">
      <c r="A149" s="2" t="s">
        <v>858</v>
      </c>
      <c r="B149" s="1">
        <v>301.0</v>
      </c>
      <c r="D149" s="1" t="s">
        <v>609</v>
      </c>
      <c r="E149" s="1" t="s">
        <v>610</v>
      </c>
    </row>
    <row r="150">
      <c r="A150" s="2" t="s">
        <v>475</v>
      </c>
      <c r="B150" s="1">
        <v>200.0</v>
      </c>
      <c r="C150" s="1" t="s">
        <v>864</v>
      </c>
      <c r="D150" s="1" t="s">
        <v>583</v>
      </c>
      <c r="F150" s="1">
        <v>7.0</v>
      </c>
      <c r="G150" s="1">
        <v>1754.0</v>
      </c>
      <c r="H150" s="1">
        <v>0.004</v>
      </c>
      <c r="I150" s="1">
        <v>29.53</v>
      </c>
    </row>
    <row r="151">
      <c r="A151" s="2" t="s">
        <v>867</v>
      </c>
      <c r="B151" s="1">
        <v>200.0</v>
      </c>
      <c r="C151" s="1" t="s">
        <v>868</v>
      </c>
      <c r="D151" s="1" t="s">
        <v>583</v>
      </c>
      <c r="F151" s="1">
        <v>3.0</v>
      </c>
      <c r="G151" s="1">
        <v>1428.0</v>
      </c>
      <c r="H151" s="1">
        <v>0.002</v>
      </c>
      <c r="I151" s="1">
        <v>61.46</v>
      </c>
    </row>
    <row r="152">
      <c r="A152" s="2" t="s">
        <v>859</v>
      </c>
      <c r="B152" s="1">
        <v>301.0</v>
      </c>
      <c r="D152" s="1" t="s">
        <v>609</v>
      </c>
      <c r="E152" s="1" t="s">
        <v>610</v>
      </c>
    </row>
    <row r="153">
      <c r="A153" s="2" t="s">
        <v>877</v>
      </c>
      <c r="B153" s="1">
        <v>200.0</v>
      </c>
      <c r="C153" s="1" t="s">
        <v>878</v>
      </c>
      <c r="D153" s="1" t="s">
        <v>609</v>
      </c>
      <c r="E153" s="1" t="s">
        <v>664</v>
      </c>
      <c r="F153" s="1">
        <v>1.0</v>
      </c>
      <c r="G153" s="1">
        <v>41.0</v>
      </c>
      <c r="H153" s="1">
        <v>0.024</v>
      </c>
      <c r="I153" s="1">
        <v>47.1</v>
      </c>
    </row>
    <row r="154">
      <c r="A154" s="2" t="s">
        <v>860</v>
      </c>
      <c r="B154" s="1">
        <v>301.0</v>
      </c>
      <c r="D154" s="1" t="s">
        <v>609</v>
      </c>
      <c r="E154" s="1" t="s">
        <v>610</v>
      </c>
    </row>
    <row r="155">
      <c r="A155" s="2" t="s">
        <v>865</v>
      </c>
      <c r="B155" s="1">
        <v>301.0</v>
      </c>
      <c r="D155" s="1" t="s">
        <v>609</v>
      </c>
      <c r="E155" s="1" t="s">
        <v>610</v>
      </c>
    </row>
    <row r="156">
      <c r="A156" s="2" t="s">
        <v>863</v>
      </c>
      <c r="B156" s="1">
        <v>301.0</v>
      </c>
      <c r="D156" s="1" t="s">
        <v>609</v>
      </c>
      <c r="E156" s="1" t="s">
        <v>610</v>
      </c>
    </row>
    <row r="157">
      <c r="A157" s="2" t="s">
        <v>471</v>
      </c>
      <c r="B157" s="1">
        <v>200.0</v>
      </c>
      <c r="C157" s="1" t="s">
        <v>870</v>
      </c>
      <c r="D157" s="1" t="s">
        <v>583</v>
      </c>
      <c r="F157" s="1">
        <v>0.0</v>
      </c>
      <c r="G157" s="1">
        <v>16.0</v>
      </c>
      <c r="H157" s="1">
        <v>0.0</v>
      </c>
      <c r="I157" s="1">
        <v>60.19</v>
      </c>
    </row>
    <row r="158">
      <c r="A158" s="2" t="s">
        <v>869</v>
      </c>
      <c r="B158" s="1">
        <v>301.0</v>
      </c>
      <c r="D158" s="1" t="s">
        <v>609</v>
      </c>
      <c r="E158" s="1" t="s">
        <v>610</v>
      </c>
    </row>
    <row r="159">
      <c r="A159" s="2" t="s">
        <v>866</v>
      </c>
      <c r="B159" s="1">
        <v>301.0</v>
      </c>
      <c r="D159" s="1" t="s">
        <v>609</v>
      </c>
      <c r="E159" s="1" t="s">
        <v>610</v>
      </c>
    </row>
    <row r="160">
      <c r="A160" s="2" t="s">
        <v>879</v>
      </c>
      <c r="B160" s="1">
        <v>200.0</v>
      </c>
      <c r="C160" s="1" t="s">
        <v>880</v>
      </c>
      <c r="D160" s="1" t="s">
        <v>583</v>
      </c>
      <c r="F160" s="1">
        <v>0.0</v>
      </c>
      <c r="G160" s="1">
        <v>578.0</v>
      </c>
      <c r="H160" s="1">
        <v>0.0</v>
      </c>
      <c r="I160" s="1">
        <v>49.11</v>
      </c>
    </row>
    <row r="161">
      <c r="A161" s="2" t="s">
        <v>871</v>
      </c>
      <c r="B161" s="1">
        <v>301.0</v>
      </c>
      <c r="D161" s="1" t="s">
        <v>609</v>
      </c>
      <c r="E161" s="1" t="s">
        <v>610</v>
      </c>
    </row>
    <row r="162">
      <c r="A162" s="2" t="s">
        <v>872</v>
      </c>
      <c r="B162" s="1">
        <v>200.0</v>
      </c>
      <c r="C162" s="1" t="s">
        <v>686</v>
      </c>
      <c r="D162" s="1" t="s">
        <v>609</v>
      </c>
      <c r="E162" s="1" t="s">
        <v>631</v>
      </c>
    </row>
    <row r="163">
      <c r="A163" s="2" t="s">
        <v>874</v>
      </c>
      <c r="B163" s="1">
        <v>301.0</v>
      </c>
      <c r="D163" s="1" t="s">
        <v>609</v>
      </c>
      <c r="E163" s="1" t="s">
        <v>610</v>
      </c>
    </row>
    <row r="164">
      <c r="A164" s="2" t="s">
        <v>888</v>
      </c>
      <c r="B164" s="1">
        <v>200.0</v>
      </c>
      <c r="C164" s="1" t="s">
        <v>889</v>
      </c>
      <c r="D164" s="1" t="s">
        <v>583</v>
      </c>
      <c r="F164" s="1">
        <v>7.0</v>
      </c>
      <c r="G164" s="1">
        <v>1596.0</v>
      </c>
      <c r="H164" s="1">
        <v>0.004</v>
      </c>
      <c r="I164" s="1">
        <v>33.36</v>
      </c>
    </row>
    <row r="165">
      <c r="A165" s="2" t="s">
        <v>531</v>
      </c>
      <c r="B165" s="1">
        <v>200.0</v>
      </c>
      <c r="C165" s="1" t="s">
        <v>887</v>
      </c>
      <c r="D165" s="1" t="s">
        <v>583</v>
      </c>
      <c r="F165" s="1">
        <v>0.0</v>
      </c>
      <c r="G165" s="1">
        <v>12.0</v>
      </c>
      <c r="H165" s="1">
        <v>0.0</v>
      </c>
      <c r="I165" s="1">
        <v>27.75</v>
      </c>
    </row>
    <row r="166">
      <c r="A166" s="2" t="s">
        <v>875</v>
      </c>
      <c r="B166" s="1">
        <v>301.0</v>
      </c>
      <c r="D166" s="1" t="s">
        <v>609</v>
      </c>
      <c r="E166" s="1" t="s">
        <v>610</v>
      </c>
    </row>
    <row r="167">
      <c r="A167" s="2" t="s">
        <v>882</v>
      </c>
      <c r="B167" s="1">
        <v>200.0</v>
      </c>
      <c r="C167" s="1" t="s">
        <v>883</v>
      </c>
      <c r="D167" s="1" t="s">
        <v>583</v>
      </c>
      <c r="F167" s="1">
        <v>0.0</v>
      </c>
      <c r="G167" s="1">
        <v>1.0</v>
      </c>
      <c r="H167" s="1">
        <v>0.0</v>
      </c>
      <c r="I167" s="1">
        <v>7.0</v>
      </c>
    </row>
    <row r="168">
      <c r="A168" s="2" t="s">
        <v>876</v>
      </c>
      <c r="B168" s="1">
        <v>301.0</v>
      </c>
      <c r="D168" s="1" t="s">
        <v>609</v>
      </c>
      <c r="E168" s="1" t="s">
        <v>610</v>
      </c>
      <c r="F168" s="1">
        <v>9.0</v>
      </c>
      <c r="G168" s="1">
        <v>8365.0</v>
      </c>
      <c r="H168" s="1">
        <v>0.001</v>
      </c>
      <c r="I168" s="1">
        <v>8.41</v>
      </c>
    </row>
    <row r="169">
      <c r="A169" s="2" t="s">
        <v>890</v>
      </c>
      <c r="B169" s="1">
        <v>200.0</v>
      </c>
      <c r="C169" s="1" t="s">
        <v>891</v>
      </c>
      <c r="D169" s="1" t="s">
        <v>609</v>
      </c>
      <c r="E169" s="1" t="s">
        <v>631</v>
      </c>
    </row>
    <row r="170">
      <c r="A170" s="2" t="s">
        <v>895</v>
      </c>
      <c r="B170" s="1">
        <v>200.0</v>
      </c>
      <c r="C170" s="1" t="s">
        <v>896</v>
      </c>
      <c r="D170" s="1" t="s">
        <v>583</v>
      </c>
      <c r="F170" s="1">
        <v>2.0</v>
      </c>
      <c r="G170" s="1">
        <v>45.0</v>
      </c>
      <c r="H170" s="1">
        <v>0.044</v>
      </c>
      <c r="I170" s="1">
        <v>28.56</v>
      </c>
    </row>
    <row r="171">
      <c r="A171" s="2" t="s">
        <v>881</v>
      </c>
      <c r="B171" s="1">
        <v>301.0</v>
      </c>
      <c r="D171" s="1" t="s">
        <v>609</v>
      </c>
      <c r="E171" s="1" t="s">
        <v>610</v>
      </c>
    </row>
    <row r="172">
      <c r="A172" s="2" t="s">
        <v>884</v>
      </c>
      <c r="B172" s="1">
        <v>301.0</v>
      </c>
      <c r="D172" s="1" t="s">
        <v>609</v>
      </c>
      <c r="E172" s="1" t="s">
        <v>610</v>
      </c>
    </row>
    <row r="173">
      <c r="A173" s="2" t="s">
        <v>886</v>
      </c>
      <c r="B173" s="1">
        <v>301.0</v>
      </c>
      <c r="D173" s="1" t="s">
        <v>609</v>
      </c>
      <c r="E173" s="1" t="s">
        <v>610</v>
      </c>
    </row>
    <row r="174">
      <c r="A174" s="2" t="s">
        <v>885</v>
      </c>
      <c r="B174" s="1">
        <v>301.0</v>
      </c>
      <c r="D174" s="1" t="s">
        <v>609</v>
      </c>
      <c r="E174" s="1" t="s">
        <v>610</v>
      </c>
    </row>
    <row r="175">
      <c r="A175" s="2" t="s">
        <v>897</v>
      </c>
      <c r="B175" s="1">
        <v>200.0</v>
      </c>
      <c r="C175" s="1" t="s">
        <v>898</v>
      </c>
      <c r="D175" s="1" t="s">
        <v>583</v>
      </c>
      <c r="F175" s="1">
        <v>0.0</v>
      </c>
      <c r="G175" s="1">
        <v>21.0</v>
      </c>
      <c r="H175" s="1">
        <v>0.0</v>
      </c>
      <c r="I175" s="1">
        <v>43.33</v>
      </c>
    </row>
    <row r="176">
      <c r="A176" s="2" t="s">
        <v>903</v>
      </c>
      <c r="B176" s="1">
        <v>200.0</v>
      </c>
      <c r="C176" s="1" t="s">
        <v>587</v>
      </c>
      <c r="D176" s="1" t="s">
        <v>609</v>
      </c>
      <c r="E176" s="1" t="s">
        <v>631</v>
      </c>
    </row>
    <row r="177">
      <c r="A177" s="2" t="s">
        <v>892</v>
      </c>
      <c r="B177" s="1">
        <v>200.0</v>
      </c>
      <c r="C177" s="1" t="s">
        <v>893</v>
      </c>
      <c r="D177" s="1" t="s">
        <v>583</v>
      </c>
      <c r="F177" s="1">
        <v>0.0</v>
      </c>
      <c r="G177" s="1">
        <v>1300.0</v>
      </c>
      <c r="H177" s="1">
        <v>0.0</v>
      </c>
      <c r="I177" s="1">
        <v>36.3</v>
      </c>
    </row>
    <row r="178">
      <c r="A178" s="2" t="s">
        <v>894</v>
      </c>
      <c r="B178" s="1">
        <v>301.0</v>
      </c>
      <c r="D178" s="1" t="s">
        <v>609</v>
      </c>
      <c r="E178" s="1" t="s">
        <v>610</v>
      </c>
    </row>
    <row r="179">
      <c r="A179" s="2" t="s">
        <v>899</v>
      </c>
      <c r="B179" s="1">
        <v>200.0</v>
      </c>
      <c r="C179" s="1" t="s">
        <v>900</v>
      </c>
      <c r="D179" s="1" t="s">
        <v>583</v>
      </c>
      <c r="F179" s="1">
        <v>0.0</v>
      </c>
      <c r="G179" s="1">
        <v>3615.0</v>
      </c>
      <c r="H179" s="1">
        <v>0.0</v>
      </c>
      <c r="I179" s="1">
        <v>46.03</v>
      </c>
    </row>
    <row r="180">
      <c r="A180" s="2" t="s">
        <v>543</v>
      </c>
      <c r="B180" s="1">
        <v>200.0</v>
      </c>
      <c r="C180" s="1" t="s">
        <v>873</v>
      </c>
      <c r="D180" s="1" t="s">
        <v>583</v>
      </c>
      <c r="F180" s="1">
        <v>0.0</v>
      </c>
      <c r="G180" s="1">
        <v>6.0</v>
      </c>
      <c r="H180" s="1">
        <v>0.0</v>
      </c>
      <c r="I180" s="1">
        <v>18.0</v>
      </c>
    </row>
    <row r="181">
      <c r="A181" s="2" t="s">
        <v>909</v>
      </c>
      <c r="B181" s="1">
        <v>200.0</v>
      </c>
      <c r="C181" s="1" t="s">
        <v>910</v>
      </c>
      <c r="D181" s="1" t="s">
        <v>583</v>
      </c>
      <c r="F181" s="1">
        <v>2.0</v>
      </c>
      <c r="G181" s="1">
        <v>204.0</v>
      </c>
      <c r="H181" s="1">
        <v>0.01</v>
      </c>
      <c r="I181" s="1">
        <v>32.43</v>
      </c>
    </row>
    <row r="182">
      <c r="A182" s="2" t="s">
        <v>904</v>
      </c>
      <c r="B182" s="1">
        <v>200.0</v>
      </c>
      <c r="C182" s="1" t="s">
        <v>905</v>
      </c>
      <c r="D182" s="1" t="s">
        <v>583</v>
      </c>
      <c r="F182" s="1">
        <v>1.0</v>
      </c>
      <c r="G182" s="1">
        <v>1756.0</v>
      </c>
      <c r="H182" s="1">
        <v>0.001</v>
      </c>
      <c r="I182" s="1">
        <v>56.1</v>
      </c>
    </row>
    <row r="183">
      <c r="A183" s="2" t="s">
        <v>507</v>
      </c>
      <c r="B183" s="1">
        <v>200.0</v>
      </c>
      <c r="C183" s="1" t="s">
        <v>915</v>
      </c>
      <c r="D183" s="1" t="s">
        <v>583</v>
      </c>
      <c r="F183" s="1">
        <v>0.0</v>
      </c>
      <c r="G183" s="1">
        <v>2.0</v>
      </c>
      <c r="H183" s="1">
        <v>0.0</v>
      </c>
      <c r="I183" s="1">
        <v>32.0</v>
      </c>
    </row>
    <row r="184">
      <c r="A184" s="2" t="s">
        <v>916</v>
      </c>
      <c r="B184" s="1">
        <v>200.0</v>
      </c>
      <c r="C184" s="1" t="s">
        <v>917</v>
      </c>
      <c r="D184" s="1" t="s">
        <v>609</v>
      </c>
      <c r="E184" s="1" t="s">
        <v>631</v>
      </c>
    </row>
    <row r="185">
      <c r="A185" s="2" t="s">
        <v>906</v>
      </c>
      <c r="B185" s="1">
        <v>200.0</v>
      </c>
      <c r="C185" s="1" t="s">
        <v>653</v>
      </c>
      <c r="D185" s="1" t="s">
        <v>609</v>
      </c>
      <c r="E185" s="1" t="s">
        <v>631</v>
      </c>
    </row>
    <row r="186">
      <c r="A186" s="2" t="s">
        <v>921</v>
      </c>
      <c r="B186" s="1">
        <v>200.0</v>
      </c>
      <c r="C186" s="1" t="s">
        <v>922</v>
      </c>
      <c r="D186" s="1" t="s">
        <v>583</v>
      </c>
      <c r="F186" s="1">
        <v>6.0</v>
      </c>
      <c r="G186" s="1">
        <v>3552.0</v>
      </c>
      <c r="H186" s="1">
        <v>0.002</v>
      </c>
      <c r="I186" s="1">
        <v>51.26</v>
      </c>
    </row>
    <row r="187">
      <c r="A187" s="2" t="s">
        <v>925</v>
      </c>
      <c r="B187" s="1">
        <v>200.0</v>
      </c>
      <c r="C187" s="1" t="s">
        <v>926</v>
      </c>
      <c r="D187" s="1" t="s">
        <v>583</v>
      </c>
      <c r="F187" s="1">
        <v>1.0</v>
      </c>
      <c r="G187" s="1">
        <v>61.0</v>
      </c>
      <c r="H187" s="1">
        <v>0.016</v>
      </c>
      <c r="I187" s="1">
        <v>27.62</v>
      </c>
    </row>
    <row r="188">
      <c r="A188" s="2" t="s">
        <v>911</v>
      </c>
      <c r="B188" s="1">
        <v>200.0</v>
      </c>
      <c r="C188" s="1" t="s">
        <v>912</v>
      </c>
      <c r="D188" s="1" t="s">
        <v>583</v>
      </c>
      <c r="F188" s="1">
        <v>2.0</v>
      </c>
      <c r="G188" s="1">
        <v>3355.0</v>
      </c>
      <c r="H188" s="1">
        <v>0.001</v>
      </c>
      <c r="I188" s="1">
        <v>34.22</v>
      </c>
    </row>
    <row r="189">
      <c r="A189" s="2" t="s">
        <v>523</v>
      </c>
      <c r="B189" s="1">
        <v>200.0</v>
      </c>
      <c r="C189" s="1" t="s">
        <v>920</v>
      </c>
      <c r="D189" s="1" t="s">
        <v>583</v>
      </c>
      <c r="F189" s="1">
        <v>0.0</v>
      </c>
      <c r="G189" s="1">
        <v>55.0</v>
      </c>
      <c r="H189" s="1">
        <v>0.0</v>
      </c>
      <c r="I189" s="1">
        <v>23.56</v>
      </c>
    </row>
    <row r="190">
      <c r="A190" s="2" t="s">
        <v>913</v>
      </c>
      <c r="B190" s="1">
        <v>200.0</v>
      </c>
      <c r="C190" s="1" t="s">
        <v>914</v>
      </c>
      <c r="D190" s="1" t="s">
        <v>583</v>
      </c>
      <c r="F190" s="1">
        <v>1.0</v>
      </c>
      <c r="G190" s="1">
        <v>1208.0</v>
      </c>
      <c r="H190" s="1">
        <v>0.001</v>
      </c>
      <c r="I190" s="1">
        <v>44.35</v>
      </c>
    </row>
    <row r="191">
      <c r="A191" s="2" t="s">
        <v>918</v>
      </c>
      <c r="B191" s="1">
        <v>200.0</v>
      </c>
      <c r="C191" s="1" t="s">
        <v>919</v>
      </c>
      <c r="D191" s="1" t="s">
        <v>583</v>
      </c>
      <c r="F191" s="1">
        <v>0.0</v>
      </c>
      <c r="G191" s="1">
        <v>42.0</v>
      </c>
      <c r="H191" s="1">
        <v>0.0</v>
      </c>
      <c r="I191" s="1">
        <v>53.17</v>
      </c>
    </row>
    <row r="192">
      <c r="A192" s="2" t="s">
        <v>923</v>
      </c>
      <c r="B192" s="1">
        <v>301.0</v>
      </c>
      <c r="D192" s="1" t="s">
        <v>609</v>
      </c>
      <c r="E192" s="1" t="s">
        <v>610</v>
      </c>
    </row>
    <row r="193">
      <c r="A193" s="2" t="s">
        <v>901</v>
      </c>
      <c r="B193" s="1">
        <v>404.0</v>
      </c>
      <c r="D193" s="1" t="s">
        <v>609</v>
      </c>
      <c r="E193" s="1" t="s">
        <v>902</v>
      </c>
    </row>
    <row r="194">
      <c r="A194" s="2" t="s">
        <v>924</v>
      </c>
      <c r="B194" s="1">
        <v>301.0</v>
      </c>
      <c r="D194" s="1" t="s">
        <v>609</v>
      </c>
      <c r="E194" s="1" t="s">
        <v>610</v>
      </c>
      <c r="F194" s="1">
        <v>12.0</v>
      </c>
      <c r="G194" s="1">
        <v>9810.0</v>
      </c>
      <c r="H194" s="1">
        <v>0.001</v>
      </c>
      <c r="I194" s="1">
        <v>22.76</v>
      </c>
    </row>
    <row r="195">
      <c r="A195" s="2" t="s">
        <v>927</v>
      </c>
      <c r="B195" s="1">
        <v>301.0</v>
      </c>
      <c r="D195" s="1" t="s">
        <v>609</v>
      </c>
      <c r="E195" s="1" t="s">
        <v>610</v>
      </c>
      <c r="F195" s="1">
        <v>0.0</v>
      </c>
      <c r="G195" s="1">
        <v>321.0</v>
      </c>
      <c r="H195" s="1">
        <v>0.0</v>
      </c>
      <c r="I195" s="1">
        <v>14.55</v>
      </c>
    </row>
    <row r="196">
      <c r="A196" s="2" t="s">
        <v>928</v>
      </c>
      <c r="B196" s="1">
        <v>200.0</v>
      </c>
      <c r="C196" s="1" t="s">
        <v>929</v>
      </c>
      <c r="D196" s="1" t="s">
        <v>609</v>
      </c>
      <c r="E196" s="1" t="s">
        <v>930</v>
      </c>
      <c r="F196" s="1">
        <v>1.0</v>
      </c>
      <c r="G196" s="1">
        <v>1284.0</v>
      </c>
      <c r="H196" s="1">
        <v>0.001</v>
      </c>
      <c r="I196" s="1">
        <v>66.7</v>
      </c>
    </row>
    <row r="197">
      <c r="A197" s="2" t="s">
        <v>824</v>
      </c>
      <c r="B197" s="1">
        <v>200.0</v>
      </c>
      <c r="C197" s="1" t="s">
        <v>825</v>
      </c>
      <c r="D197" s="1" t="s">
        <v>583</v>
      </c>
      <c r="F197" s="1">
        <v>0.0</v>
      </c>
      <c r="G197" s="1">
        <v>121.0</v>
      </c>
      <c r="H197" s="1">
        <v>0.0</v>
      </c>
      <c r="I197" s="1">
        <v>27.87</v>
      </c>
    </row>
    <row r="198">
      <c r="A198" s="2" t="s">
        <v>907</v>
      </c>
      <c r="B198" s="1">
        <v>200.0</v>
      </c>
      <c r="C198" s="1" t="s">
        <v>908</v>
      </c>
      <c r="D198" s="1" t="s">
        <v>583</v>
      </c>
      <c r="F198" s="1">
        <v>0.0</v>
      </c>
      <c r="G198" s="1">
        <v>894.0</v>
      </c>
      <c r="H198" s="1">
        <v>0.0</v>
      </c>
      <c r="I198" s="1">
        <v>74.95</v>
      </c>
    </row>
    <row r="199">
      <c r="A199" s="2" t="s">
        <v>931</v>
      </c>
      <c r="B199" s="1">
        <v>200.0</v>
      </c>
      <c r="C199" s="1" t="s">
        <v>932</v>
      </c>
      <c r="D199" s="1" t="s">
        <v>583</v>
      </c>
      <c r="F199" s="1">
        <v>2.0</v>
      </c>
      <c r="G199" s="1">
        <v>131.0</v>
      </c>
      <c r="H199" s="1">
        <v>0.015</v>
      </c>
      <c r="I199" s="1">
        <v>24.85</v>
      </c>
    </row>
    <row r="200">
      <c r="A200" s="2" t="s">
        <v>933</v>
      </c>
      <c r="B200" s="1">
        <v>200.0</v>
      </c>
      <c r="C200" s="1" t="s">
        <v>934</v>
      </c>
      <c r="D200" s="1" t="s">
        <v>583</v>
      </c>
      <c r="F200" s="1">
        <v>3.0</v>
      </c>
      <c r="G200" s="1">
        <v>31.0</v>
      </c>
      <c r="H200" s="1">
        <v>0.097</v>
      </c>
      <c r="I200" s="1">
        <v>7.58</v>
      </c>
    </row>
    <row r="201">
      <c r="A201" s="2" t="s">
        <v>979</v>
      </c>
      <c r="B201" s="1">
        <v>200.0</v>
      </c>
      <c r="C201" s="1" t="s">
        <v>630</v>
      </c>
      <c r="D201" s="1" t="s">
        <v>583</v>
      </c>
      <c r="F201" s="1">
        <v>83.0</v>
      </c>
      <c r="G201" s="1">
        <v>11772.0</v>
      </c>
      <c r="H201" s="1">
        <v>0.007</v>
      </c>
      <c r="I201" s="1">
        <v>12.89</v>
      </c>
    </row>
    <row r="202">
      <c r="A202" s="2" t="s">
        <v>1002</v>
      </c>
      <c r="B202" s="1">
        <v>301.0</v>
      </c>
      <c r="D202" s="1" t="s">
        <v>609</v>
      </c>
      <c r="E202" s="1" t="s">
        <v>610</v>
      </c>
      <c r="F202" s="1">
        <v>24.0</v>
      </c>
      <c r="G202" s="1">
        <v>18218.0</v>
      </c>
      <c r="H202" s="1">
        <v>0.001</v>
      </c>
      <c r="I202" s="1">
        <v>23.86</v>
      </c>
    </row>
    <row r="203">
      <c r="A203" s="2" t="s">
        <v>936</v>
      </c>
      <c r="B203" s="1">
        <v>200.0</v>
      </c>
      <c r="C203" s="1" t="s">
        <v>937</v>
      </c>
      <c r="D203" s="1" t="s">
        <v>583</v>
      </c>
      <c r="F203" s="1">
        <v>0.0</v>
      </c>
      <c r="G203" s="1">
        <v>163.0</v>
      </c>
      <c r="H203" s="1">
        <v>0.0</v>
      </c>
      <c r="I203" s="1">
        <v>68.92</v>
      </c>
    </row>
    <row r="204">
      <c r="A204" s="2" t="s">
        <v>938</v>
      </c>
      <c r="B204" s="1">
        <v>200.0</v>
      </c>
      <c r="C204" s="1" t="s">
        <v>939</v>
      </c>
      <c r="D204" s="1" t="s">
        <v>583</v>
      </c>
      <c r="F204" s="1">
        <v>0.0</v>
      </c>
      <c r="G204" s="1">
        <v>1.0</v>
      </c>
      <c r="H204" s="1">
        <v>0.0</v>
      </c>
      <c r="I204" s="1">
        <v>102.0</v>
      </c>
    </row>
    <row r="205">
      <c r="A205" s="2" t="s">
        <v>935</v>
      </c>
      <c r="B205" s="1">
        <v>301.0</v>
      </c>
      <c r="D205" s="1" t="s">
        <v>609</v>
      </c>
      <c r="E205" s="1" t="s">
        <v>610</v>
      </c>
    </row>
    <row r="206">
      <c r="A206" s="2" t="s">
        <v>942</v>
      </c>
      <c r="B206" s="1">
        <v>200.0</v>
      </c>
      <c r="C206" s="1" t="s">
        <v>943</v>
      </c>
      <c r="D206" s="1" t="s">
        <v>583</v>
      </c>
      <c r="F206" s="1">
        <v>0.0</v>
      </c>
      <c r="G206" s="1">
        <v>1.0</v>
      </c>
      <c r="H206" s="1">
        <v>0.0</v>
      </c>
      <c r="I206" s="1">
        <v>30.0</v>
      </c>
    </row>
    <row r="207">
      <c r="A207" s="2" t="s">
        <v>940</v>
      </c>
      <c r="B207" s="1">
        <v>200.0</v>
      </c>
      <c r="C207" s="1" t="s">
        <v>941</v>
      </c>
      <c r="D207" s="1" t="s">
        <v>583</v>
      </c>
      <c r="F207" s="1">
        <v>0.0</v>
      </c>
      <c r="G207" s="1">
        <v>5.0</v>
      </c>
      <c r="H207" s="1">
        <v>0.0</v>
      </c>
      <c r="I207" s="1">
        <v>10.6</v>
      </c>
    </row>
    <row r="208">
      <c r="A208" s="2" t="s">
        <v>944</v>
      </c>
      <c r="B208" s="1">
        <v>200.0</v>
      </c>
      <c r="C208" s="1" t="s">
        <v>945</v>
      </c>
      <c r="D208" s="1" t="s">
        <v>583</v>
      </c>
      <c r="F208" s="1">
        <v>0.0</v>
      </c>
      <c r="G208" s="1">
        <v>2.0</v>
      </c>
      <c r="H208" s="1">
        <v>0.0</v>
      </c>
      <c r="I208" s="1">
        <v>5.5</v>
      </c>
    </row>
    <row r="209">
      <c r="A209" s="2" t="s">
        <v>951</v>
      </c>
      <c r="B209" s="1">
        <v>200.0</v>
      </c>
      <c r="C209" s="1" t="s">
        <v>952</v>
      </c>
      <c r="D209" s="1" t="s">
        <v>583</v>
      </c>
    </row>
    <row r="210">
      <c r="A210" s="2" t="s">
        <v>946</v>
      </c>
      <c r="B210" s="1">
        <v>200.0</v>
      </c>
      <c r="C210" s="1" t="s">
        <v>947</v>
      </c>
      <c r="D210" s="1" t="s">
        <v>583</v>
      </c>
    </row>
    <row r="211">
      <c r="A211" s="2" t="s">
        <v>954</v>
      </c>
      <c r="B211" s="1">
        <v>200.0</v>
      </c>
      <c r="C211" s="1" t="s">
        <v>955</v>
      </c>
      <c r="D211" s="1" t="s">
        <v>583</v>
      </c>
      <c r="F211" s="1">
        <v>3.0</v>
      </c>
      <c r="G211" s="1">
        <v>557.0</v>
      </c>
      <c r="H211" s="1">
        <v>0.005</v>
      </c>
      <c r="I211" s="1">
        <v>36.68</v>
      </c>
    </row>
    <row r="212">
      <c r="A212" s="2" t="s">
        <v>956</v>
      </c>
      <c r="B212" s="1">
        <v>200.0</v>
      </c>
      <c r="C212" s="1" t="s">
        <v>957</v>
      </c>
      <c r="D212" s="1" t="s">
        <v>583</v>
      </c>
      <c r="F212" s="1">
        <v>0.0</v>
      </c>
      <c r="G212" s="1">
        <v>1.0</v>
      </c>
      <c r="H212" s="1">
        <v>0.0</v>
      </c>
      <c r="I212" s="1">
        <v>12.0</v>
      </c>
    </row>
    <row r="213">
      <c r="A213" s="2" t="s">
        <v>950</v>
      </c>
      <c r="B213" s="1">
        <v>301.0</v>
      </c>
      <c r="D213" s="1" t="s">
        <v>609</v>
      </c>
      <c r="E213" s="1" t="s">
        <v>610</v>
      </c>
    </row>
    <row r="214">
      <c r="A214" s="2" t="s">
        <v>948</v>
      </c>
      <c r="B214" s="1">
        <v>200.0</v>
      </c>
      <c r="C214" s="1" t="s">
        <v>949</v>
      </c>
      <c r="D214" s="1" t="s">
        <v>583</v>
      </c>
      <c r="F214" s="1">
        <v>12.0</v>
      </c>
      <c r="G214" s="1">
        <v>1708.0</v>
      </c>
      <c r="H214" s="1">
        <v>0.007</v>
      </c>
      <c r="I214" s="1">
        <v>27.14</v>
      </c>
    </row>
    <row r="215">
      <c r="A215" s="2" t="s">
        <v>958</v>
      </c>
      <c r="B215" s="1">
        <v>200.0</v>
      </c>
      <c r="C215" s="1" t="s">
        <v>959</v>
      </c>
      <c r="D215" s="1" t="s">
        <v>583</v>
      </c>
      <c r="F215" s="1">
        <v>0.0</v>
      </c>
      <c r="G215" s="1">
        <v>28.0</v>
      </c>
      <c r="H215" s="1">
        <v>0.0</v>
      </c>
      <c r="I215" s="1">
        <v>7.43</v>
      </c>
    </row>
    <row r="216">
      <c r="A216" s="2" t="s">
        <v>960</v>
      </c>
      <c r="B216" s="1">
        <v>200.0</v>
      </c>
      <c r="C216" s="1" t="s">
        <v>961</v>
      </c>
      <c r="D216" s="1" t="s">
        <v>583</v>
      </c>
    </row>
    <row r="217">
      <c r="A217" s="2" t="s">
        <v>953</v>
      </c>
      <c r="B217" s="1">
        <v>301.0</v>
      </c>
      <c r="D217" s="1" t="s">
        <v>609</v>
      </c>
      <c r="E217" s="1" t="s">
        <v>610</v>
      </c>
      <c r="F217" s="1">
        <v>32.0</v>
      </c>
      <c r="G217" s="1">
        <v>26598.0</v>
      </c>
      <c r="H217" s="1">
        <v>0.001</v>
      </c>
      <c r="I217" s="1">
        <v>9.37</v>
      </c>
    </row>
    <row r="218">
      <c r="A218" s="2" t="s">
        <v>962</v>
      </c>
      <c r="B218" s="1">
        <v>200.0</v>
      </c>
      <c r="C218" s="1" t="s">
        <v>963</v>
      </c>
      <c r="D218" s="1" t="s">
        <v>583</v>
      </c>
      <c r="F218" s="1">
        <v>0.0</v>
      </c>
      <c r="G218" s="1">
        <v>4.0</v>
      </c>
      <c r="H218" s="1">
        <v>0.0</v>
      </c>
      <c r="I218" s="1">
        <v>19.25</v>
      </c>
    </row>
    <row r="219">
      <c r="A219" s="2" t="s">
        <v>969</v>
      </c>
      <c r="B219" s="1">
        <v>200.0</v>
      </c>
      <c r="C219" s="1" t="s">
        <v>970</v>
      </c>
      <c r="D219" s="1" t="s">
        <v>583</v>
      </c>
      <c r="F219" s="1">
        <v>0.0</v>
      </c>
      <c r="G219" s="1">
        <v>4.0</v>
      </c>
      <c r="H219" s="1">
        <v>0.0</v>
      </c>
      <c r="I219" s="1">
        <v>53.0</v>
      </c>
    </row>
    <row r="220">
      <c r="A220" s="2" t="s">
        <v>964</v>
      </c>
      <c r="B220" s="1">
        <v>301.0</v>
      </c>
      <c r="D220" s="1" t="s">
        <v>609</v>
      </c>
      <c r="E220" s="1" t="s">
        <v>610</v>
      </c>
    </row>
    <row r="221">
      <c r="A221" s="2" t="s">
        <v>971</v>
      </c>
      <c r="B221" s="1">
        <v>200.0</v>
      </c>
      <c r="C221" s="1" t="s">
        <v>972</v>
      </c>
      <c r="D221" s="1" t="s">
        <v>583</v>
      </c>
    </row>
    <row r="222">
      <c r="A222" s="2" t="s">
        <v>968</v>
      </c>
      <c r="B222" s="1">
        <v>301.0</v>
      </c>
      <c r="D222" s="1" t="s">
        <v>609</v>
      </c>
      <c r="E222" s="1" t="s">
        <v>610</v>
      </c>
    </row>
    <row r="223">
      <c r="A223" s="2" t="s">
        <v>966</v>
      </c>
      <c r="B223" s="1">
        <v>200.0</v>
      </c>
      <c r="C223" s="1" t="s">
        <v>967</v>
      </c>
      <c r="D223" s="1" t="s">
        <v>583</v>
      </c>
    </row>
    <row r="224">
      <c r="A224" s="2" t="s">
        <v>503</v>
      </c>
      <c r="B224" s="1">
        <v>200.0</v>
      </c>
      <c r="C224" s="1" t="s">
        <v>965</v>
      </c>
      <c r="D224" s="1" t="s">
        <v>583</v>
      </c>
      <c r="F224" s="1">
        <v>4.0</v>
      </c>
      <c r="G224" s="1">
        <v>1368.0</v>
      </c>
      <c r="H224" s="1">
        <v>0.003</v>
      </c>
      <c r="I224" s="1">
        <v>49.54</v>
      </c>
    </row>
    <row r="225">
      <c r="A225" s="2" t="s">
        <v>973</v>
      </c>
      <c r="B225" s="1">
        <v>200.0</v>
      </c>
      <c r="C225" s="1" t="s">
        <v>974</v>
      </c>
      <c r="D225" s="1" t="s">
        <v>583</v>
      </c>
      <c r="F225" s="1">
        <v>0.0</v>
      </c>
      <c r="G225" s="1">
        <v>1906.0</v>
      </c>
      <c r="H225" s="1">
        <v>0.0</v>
      </c>
      <c r="I225" s="1">
        <v>54.03</v>
      </c>
    </row>
    <row r="226">
      <c r="A226" s="2" t="s">
        <v>975</v>
      </c>
      <c r="B226" s="1">
        <v>200.0</v>
      </c>
      <c r="C226" s="1" t="s">
        <v>976</v>
      </c>
      <c r="D226" s="1" t="s">
        <v>583</v>
      </c>
      <c r="F226" s="1">
        <v>0.0</v>
      </c>
      <c r="G226" s="1">
        <v>171.0</v>
      </c>
      <c r="H226" s="1">
        <v>0.0</v>
      </c>
      <c r="I226" s="1">
        <v>14.95</v>
      </c>
    </row>
    <row r="227">
      <c r="A227" s="2" t="s">
        <v>977</v>
      </c>
      <c r="B227" s="1">
        <v>200.0</v>
      </c>
      <c r="C227" s="1" t="s">
        <v>978</v>
      </c>
      <c r="D227" s="1" t="s">
        <v>583</v>
      </c>
      <c r="F227" s="1">
        <v>0.0</v>
      </c>
      <c r="G227" s="1">
        <v>20.0</v>
      </c>
      <c r="H227" s="1">
        <v>0.0</v>
      </c>
      <c r="I227" s="1">
        <v>81.9</v>
      </c>
    </row>
    <row r="228">
      <c r="A228" s="2" t="s">
        <v>483</v>
      </c>
      <c r="B228" s="1">
        <v>200.0</v>
      </c>
      <c r="C228" s="1" t="s">
        <v>980</v>
      </c>
      <c r="D228" s="1" t="s">
        <v>583</v>
      </c>
      <c r="F228" s="1">
        <v>0.0</v>
      </c>
      <c r="G228" s="1">
        <v>514.0</v>
      </c>
      <c r="H228" s="1">
        <v>0.0</v>
      </c>
      <c r="I228" s="1">
        <v>58.73</v>
      </c>
    </row>
    <row r="229">
      <c r="A229" s="2" t="s">
        <v>981</v>
      </c>
      <c r="B229" s="1">
        <v>200.0</v>
      </c>
      <c r="C229" s="1" t="s">
        <v>982</v>
      </c>
      <c r="D229" s="1" t="s">
        <v>583</v>
      </c>
      <c r="F229" s="1">
        <v>0.0</v>
      </c>
      <c r="G229" s="1">
        <v>4.0</v>
      </c>
      <c r="H229" s="1">
        <v>0.0</v>
      </c>
      <c r="I229" s="1">
        <v>8.25</v>
      </c>
    </row>
    <row r="230">
      <c r="A230" s="2" t="s">
        <v>491</v>
      </c>
      <c r="B230" s="1">
        <v>200.0</v>
      </c>
      <c r="C230" s="1" t="s">
        <v>983</v>
      </c>
      <c r="D230" s="1" t="s">
        <v>583</v>
      </c>
      <c r="F230" s="1">
        <v>0.0</v>
      </c>
      <c r="G230" s="1">
        <v>20.0</v>
      </c>
      <c r="H230" s="1">
        <v>0.0</v>
      </c>
      <c r="I230" s="1">
        <v>15.55</v>
      </c>
    </row>
    <row r="231">
      <c r="A231" s="2" t="s">
        <v>1007</v>
      </c>
      <c r="B231" s="1">
        <v>301.0</v>
      </c>
      <c r="D231" s="1" t="s">
        <v>609</v>
      </c>
      <c r="E231" s="1" t="s">
        <v>610</v>
      </c>
    </row>
    <row r="232">
      <c r="A232" s="2" t="s">
        <v>515</v>
      </c>
      <c r="B232" s="1">
        <v>200.0</v>
      </c>
      <c r="C232" s="1" t="s">
        <v>988</v>
      </c>
      <c r="D232" s="1" t="s">
        <v>583</v>
      </c>
      <c r="F232" s="1">
        <v>0.0</v>
      </c>
      <c r="G232" s="1">
        <v>635.0</v>
      </c>
      <c r="H232" s="1">
        <v>0.0</v>
      </c>
      <c r="I232" s="1">
        <v>64.83</v>
      </c>
    </row>
    <row r="233">
      <c r="A233" s="2" t="s">
        <v>999</v>
      </c>
      <c r="B233" s="1">
        <v>301.0</v>
      </c>
      <c r="D233" s="1" t="s">
        <v>609</v>
      </c>
      <c r="E233" s="1" t="s">
        <v>610</v>
      </c>
      <c r="F233" s="1">
        <v>2.0</v>
      </c>
      <c r="G233" s="1">
        <v>910.0</v>
      </c>
      <c r="H233" s="1">
        <v>0.002</v>
      </c>
      <c r="I233" s="1">
        <v>57.78</v>
      </c>
    </row>
    <row r="234">
      <c r="A234" s="2" t="s">
        <v>1003</v>
      </c>
      <c r="B234" s="1">
        <v>200.0</v>
      </c>
      <c r="C234" s="1" t="s">
        <v>1004</v>
      </c>
      <c r="D234" s="1" t="s">
        <v>583</v>
      </c>
      <c r="F234" s="1">
        <v>0.0</v>
      </c>
      <c r="G234" s="1">
        <v>267.0</v>
      </c>
      <c r="H234" s="1">
        <v>0.0</v>
      </c>
      <c r="I234" s="1">
        <v>21.78</v>
      </c>
    </row>
    <row r="235">
      <c r="A235" s="2" t="s">
        <v>984</v>
      </c>
      <c r="B235" s="1">
        <v>200.0</v>
      </c>
      <c r="C235" s="1" t="s">
        <v>985</v>
      </c>
      <c r="D235" s="1" t="s">
        <v>609</v>
      </c>
      <c r="E235" s="1" t="s">
        <v>664</v>
      </c>
      <c r="F235" s="1">
        <v>3.0</v>
      </c>
      <c r="G235" s="1">
        <v>1613.0</v>
      </c>
      <c r="H235" s="1">
        <v>0.002</v>
      </c>
      <c r="I235" s="1">
        <v>46.67</v>
      </c>
    </row>
    <row r="236">
      <c r="A236" s="2" t="s">
        <v>986</v>
      </c>
      <c r="B236" s="1">
        <v>200.0</v>
      </c>
      <c r="C236" s="1" t="s">
        <v>987</v>
      </c>
      <c r="D236" s="1" t="s">
        <v>583</v>
      </c>
      <c r="F236" s="1">
        <v>3.0</v>
      </c>
      <c r="G236" s="1">
        <v>977.0</v>
      </c>
      <c r="H236" s="1">
        <v>0.003</v>
      </c>
      <c r="I236" s="1">
        <v>42.63</v>
      </c>
    </row>
    <row r="237">
      <c r="A237" s="2" t="s">
        <v>991</v>
      </c>
      <c r="B237" s="1">
        <v>200.0</v>
      </c>
      <c r="C237" s="1" t="s">
        <v>992</v>
      </c>
      <c r="D237" s="1" t="s">
        <v>583</v>
      </c>
      <c r="F237" s="1">
        <v>0.0</v>
      </c>
      <c r="G237" s="1">
        <v>670.0</v>
      </c>
      <c r="H237" s="1">
        <v>0.0</v>
      </c>
      <c r="I237" s="1">
        <v>70.18</v>
      </c>
    </row>
    <row r="238">
      <c r="A238" s="2" t="s">
        <v>993</v>
      </c>
      <c r="B238" s="1">
        <v>200.0</v>
      </c>
      <c r="C238" s="1" t="s">
        <v>994</v>
      </c>
      <c r="D238" s="1" t="s">
        <v>583</v>
      </c>
      <c r="F238" s="1">
        <v>5.0</v>
      </c>
      <c r="G238" s="1">
        <v>2564.0</v>
      </c>
      <c r="H238" s="1">
        <v>0.002</v>
      </c>
      <c r="I238" s="1">
        <v>41.48</v>
      </c>
    </row>
    <row r="239">
      <c r="A239" s="2" t="s">
        <v>495</v>
      </c>
      <c r="B239" s="1">
        <v>200.0</v>
      </c>
      <c r="C239" s="1" t="s">
        <v>995</v>
      </c>
      <c r="D239" s="1" t="s">
        <v>583</v>
      </c>
      <c r="F239" s="1">
        <v>0.0</v>
      </c>
      <c r="G239" s="1">
        <v>6.0</v>
      </c>
      <c r="H239" s="1">
        <v>0.0</v>
      </c>
      <c r="I239" s="1">
        <v>41.5</v>
      </c>
    </row>
    <row r="240">
      <c r="A240" s="2" t="s">
        <v>996</v>
      </c>
      <c r="B240" s="1">
        <v>200.0</v>
      </c>
      <c r="C240" s="1" t="s">
        <v>997</v>
      </c>
      <c r="D240" s="1" t="s">
        <v>583</v>
      </c>
      <c r="F240" s="1">
        <v>0.0</v>
      </c>
      <c r="G240" s="1">
        <v>1212.0</v>
      </c>
      <c r="H240" s="1">
        <v>0.0</v>
      </c>
      <c r="I240" s="1">
        <v>53.92</v>
      </c>
    </row>
    <row r="241">
      <c r="A241" s="2" t="s">
        <v>989</v>
      </c>
      <c r="B241" s="1">
        <v>200.0</v>
      </c>
      <c r="C241" s="1" t="s">
        <v>990</v>
      </c>
      <c r="D241" s="1" t="s">
        <v>583</v>
      </c>
    </row>
    <row r="242">
      <c r="A242" s="2" t="s">
        <v>467</v>
      </c>
      <c r="B242" s="1">
        <v>200.0</v>
      </c>
      <c r="C242" s="1" t="s">
        <v>998</v>
      </c>
      <c r="D242" s="1" t="s">
        <v>583</v>
      </c>
      <c r="F242" s="1">
        <v>0.0</v>
      </c>
      <c r="G242" s="1">
        <v>356.0</v>
      </c>
      <c r="H242" s="1">
        <v>0.0</v>
      </c>
      <c r="I242" s="1">
        <v>34.71</v>
      </c>
    </row>
    <row r="243">
      <c r="A243" s="2" t="s">
        <v>1000</v>
      </c>
      <c r="B243" s="1">
        <v>200.0</v>
      </c>
      <c r="C243" s="1" t="s">
        <v>1001</v>
      </c>
      <c r="D243" s="1" t="s">
        <v>583</v>
      </c>
    </row>
    <row r="244">
      <c r="A244" s="2" t="s">
        <v>1005</v>
      </c>
      <c r="B244" s="1">
        <v>200.0</v>
      </c>
      <c r="C244" s="1" t="s">
        <v>1006</v>
      </c>
      <c r="D244" s="1" t="s">
        <v>583</v>
      </c>
      <c r="F244" s="1">
        <v>1.0</v>
      </c>
      <c r="G244" s="1">
        <v>27.0</v>
      </c>
      <c r="H244" s="1">
        <v>0.037</v>
      </c>
      <c r="I244" s="1">
        <v>35.59</v>
      </c>
    </row>
    <row r="245">
      <c r="A245" s="2" t="s">
        <v>1019</v>
      </c>
      <c r="B245" s="1">
        <v>301.0</v>
      </c>
      <c r="D245" s="1" t="s">
        <v>609</v>
      </c>
      <c r="E245" s="1" t="s">
        <v>610</v>
      </c>
      <c r="F245" s="1">
        <v>101.0</v>
      </c>
      <c r="G245" s="1">
        <v>34633.0</v>
      </c>
      <c r="H245" s="1">
        <v>0.003</v>
      </c>
      <c r="I245" s="1">
        <v>19.69</v>
      </c>
    </row>
    <row r="246">
      <c r="A246" s="2" t="s">
        <v>1020</v>
      </c>
      <c r="B246" s="1">
        <v>301.0</v>
      </c>
      <c r="D246" s="1" t="s">
        <v>609</v>
      </c>
      <c r="E246" s="1" t="s">
        <v>610</v>
      </c>
    </row>
    <row r="247">
      <c r="A247" s="2" t="s">
        <v>1027</v>
      </c>
      <c r="B247" s="1">
        <v>200.0</v>
      </c>
      <c r="C247" s="1" t="s">
        <v>1028</v>
      </c>
      <c r="D247" s="1" t="s">
        <v>583</v>
      </c>
    </row>
    <row r="248">
      <c r="A248" s="2" t="s">
        <v>1021</v>
      </c>
      <c r="B248" s="1">
        <v>200.0</v>
      </c>
      <c r="C248" s="1" t="s">
        <v>1022</v>
      </c>
      <c r="D248" s="1" t="s">
        <v>583</v>
      </c>
    </row>
    <row r="249">
      <c r="A249" s="2" t="s">
        <v>1025</v>
      </c>
      <c r="B249" s="1">
        <v>200.0</v>
      </c>
      <c r="C249" s="1" t="s">
        <v>1026</v>
      </c>
      <c r="D249" s="1" t="s">
        <v>583</v>
      </c>
    </row>
    <row r="250">
      <c r="A250" s="2" t="s">
        <v>1029</v>
      </c>
      <c r="B250" s="1">
        <v>200.0</v>
      </c>
      <c r="C250" s="1" t="s">
        <v>1030</v>
      </c>
      <c r="D250" s="1" t="s">
        <v>583</v>
      </c>
    </row>
    <row r="251">
      <c r="A251" s="2" t="s">
        <v>1033</v>
      </c>
      <c r="B251" s="1">
        <v>200.0</v>
      </c>
      <c r="C251" s="1" t="s">
        <v>1034</v>
      </c>
      <c r="D251" s="1" t="s">
        <v>583</v>
      </c>
      <c r="F251" s="1">
        <v>1.0</v>
      </c>
      <c r="G251" s="1">
        <v>1819.0</v>
      </c>
      <c r="H251" s="1">
        <v>0.0</v>
      </c>
      <c r="I251" s="1">
        <v>50.78</v>
      </c>
    </row>
    <row r="252">
      <c r="A252" s="2" t="s">
        <v>1037</v>
      </c>
      <c r="B252" s="1">
        <v>200.0</v>
      </c>
      <c r="C252" s="1" t="s">
        <v>1038</v>
      </c>
      <c r="D252" s="1" t="s">
        <v>583</v>
      </c>
      <c r="F252" s="1">
        <v>1.0</v>
      </c>
      <c r="G252" s="1">
        <v>1428.0</v>
      </c>
      <c r="H252" s="1">
        <v>0.001</v>
      </c>
      <c r="I252" s="1">
        <v>50.52</v>
      </c>
    </row>
    <row r="253">
      <c r="A253" s="2" t="s">
        <v>1039</v>
      </c>
      <c r="B253" s="1">
        <v>200.0</v>
      </c>
      <c r="C253" s="1" t="s">
        <v>1040</v>
      </c>
      <c r="D253" s="1" t="s">
        <v>583</v>
      </c>
      <c r="F253" s="1">
        <v>0.0</v>
      </c>
      <c r="G253" s="1">
        <v>687.0</v>
      </c>
      <c r="H253" s="1">
        <v>0.0</v>
      </c>
      <c r="I253" s="1">
        <v>13.08</v>
      </c>
    </row>
    <row r="254">
      <c r="A254" s="2" t="s">
        <v>1010</v>
      </c>
      <c r="B254" s="1">
        <v>200.0</v>
      </c>
      <c r="C254" s="1" t="s">
        <v>1011</v>
      </c>
      <c r="D254" s="1" t="s">
        <v>583</v>
      </c>
      <c r="F254" s="1">
        <v>53.0</v>
      </c>
      <c r="G254" s="1">
        <v>1533.0</v>
      </c>
      <c r="H254" s="1">
        <v>0.035</v>
      </c>
      <c r="I254" s="1">
        <v>14.36</v>
      </c>
    </row>
    <row r="255">
      <c r="A255" s="2" t="s">
        <v>1008</v>
      </c>
      <c r="B255" s="1">
        <v>200.0</v>
      </c>
      <c r="C255" s="1" t="s">
        <v>1009</v>
      </c>
      <c r="D255" s="1" t="s">
        <v>583</v>
      </c>
      <c r="F255" s="1">
        <v>71.0</v>
      </c>
      <c r="G255" s="1">
        <v>1792.0</v>
      </c>
      <c r="H255" s="1">
        <v>0.04</v>
      </c>
      <c r="I255" s="1">
        <v>20.71</v>
      </c>
    </row>
    <row r="256">
      <c r="A256" s="2" t="s">
        <v>1012</v>
      </c>
      <c r="B256" s="1">
        <v>200.0</v>
      </c>
      <c r="C256" s="1" t="s">
        <v>1013</v>
      </c>
      <c r="D256" s="1" t="s">
        <v>583</v>
      </c>
      <c r="F256" s="1">
        <v>51.0</v>
      </c>
      <c r="G256" s="1">
        <v>402.0</v>
      </c>
      <c r="H256" s="1">
        <v>0.127</v>
      </c>
      <c r="I256" s="1">
        <v>9.11</v>
      </c>
    </row>
    <row r="257">
      <c r="A257" s="2" t="s">
        <v>1017</v>
      </c>
      <c r="B257" s="1">
        <v>200.0</v>
      </c>
      <c r="C257" s="1" t="s">
        <v>1018</v>
      </c>
      <c r="D257" s="1" t="s">
        <v>583</v>
      </c>
      <c r="F257" s="1">
        <v>33.0</v>
      </c>
      <c r="G257" s="1">
        <v>145.0</v>
      </c>
      <c r="H257" s="1">
        <v>0.228</v>
      </c>
      <c r="I257" s="1">
        <v>11.43</v>
      </c>
    </row>
    <row r="258">
      <c r="A258" s="2" t="s">
        <v>1035</v>
      </c>
      <c r="B258" s="1">
        <v>200.0</v>
      </c>
      <c r="C258" s="1" t="s">
        <v>1036</v>
      </c>
      <c r="D258" s="1" t="s">
        <v>583</v>
      </c>
      <c r="F258" s="1">
        <v>6.0</v>
      </c>
      <c r="G258" s="1">
        <v>2104.0</v>
      </c>
      <c r="H258" s="1">
        <v>0.003</v>
      </c>
      <c r="I258" s="1">
        <v>37.41</v>
      </c>
    </row>
    <row r="259">
      <c r="A259" s="2" t="s">
        <v>1023</v>
      </c>
      <c r="B259" s="1">
        <v>200.0</v>
      </c>
      <c r="C259" s="1" t="s">
        <v>1024</v>
      </c>
      <c r="D259" s="1" t="s">
        <v>583</v>
      </c>
      <c r="F259" s="1">
        <v>0.0</v>
      </c>
      <c r="G259" s="1">
        <v>115.0</v>
      </c>
      <c r="H259" s="1">
        <v>0.0</v>
      </c>
      <c r="I259" s="1">
        <v>33.1</v>
      </c>
    </row>
    <row r="260">
      <c r="A260" s="2" t="s">
        <v>1031</v>
      </c>
      <c r="B260" s="1">
        <v>200.0</v>
      </c>
      <c r="C260" s="1" t="s">
        <v>1032</v>
      </c>
      <c r="D260" s="1" t="s">
        <v>583</v>
      </c>
      <c r="F260" s="1">
        <v>0.0</v>
      </c>
      <c r="G260" s="1">
        <v>8.0</v>
      </c>
      <c r="H260" s="1">
        <v>0.0</v>
      </c>
      <c r="I260" s="1">
        <v>75.13</v>
      </c>
    </row>
    <row r="261">
      <c r="A261" s="2" t="s">
        <v>1014</v>
      </c>
      <c r="B261" s="1">
        <v>200.0</v>
      </c>
      <c r="C261" s="1" t="s">
        <v>1015</v>
      </c>
      <c r="D261" s="1" t="s">
        <v>583</v>
      </c>
      <c r="F261" s="1">
        <v>51.0</v>
      </c>
      <c r="G261" s="1">
        <v>477.0</v>
      </c>
      <c r="H261" s="1">
        <v>0.107</v>
      </c>
      <c r="I261" s="1">
        <v>17.15</v>
      </c>
    </row>
    <row r="262">
      <c r="A262" s="2" t="s">
        <v>1016</v>
      </c>
      <c r="B262" s="1">
        <v>301.0</v>
      </c>
      <c r="D262" s="1" t="s">
        <v>609</v>
      </c>
      <c r="E262" s="1" t="s">
        <v>610</v>
      </c>
      <c r="F262" s="1">
        <v>9.0</v>
      </c>
      <c r="G262" s="1">
        <v>28578.0</v>
      </c>
      <c r="H262" s="1">
        <v>0.0</v>
      </c>
      <c r="I262" s="1">
        <v>55.46</v>
      </c>
    </row>
    <row r="263">
      <c r="A263" s="2" t="s">
        <v>1044</v>
      </c>
      <c r="B263" s="1">
        <v>301.0</v>
      </c>
      <c r="D263" s="1" t="s">
        <v>609</v>
      </c>
      <c r="E263" s="1" t="s">
        <v>610</v>
      </c>
    </row>
    <row r="264">
      <c r="A264" s="2" t="s">
        <v>1043</v>
      </c>
      <c r="B264" s="1">
        <v>301.0</v>
      </c>
      <c r="D264" s="1" t="s">
        <v>609</v>
      </c>
      <c r="E264" s="1" t="s">
        <v>610</v>
      </c>
    </row>
    <row r="265">
      <c r="A265" s="2" t="s">
        <v>1047</v>
      </c>
      <c r="B265" s="1">
        <v>301.0</v>
      </c>
      <c r="D265" s="1" t="s">
        <v>609</v>
      </c>
      <c r="E265" s="1" t="s">
        <v>610</v>
      </c>
    </row>
    <row r="266">
      <c r="A266" s="2" t="s">
        <v>1046</v>
      </c>
      <c r="B266" s="1">
        <v>301.0</v>
      </c>
      <c r="D266" s="1" t="s">
        <v>609</v>
      </c>
      <c r="E266" s="1" t="s">
        <v>610</v>
      </c>
    </row>
    <row r="267">
      <c r="A267" s="2" t="s">
        <v>1045</v>
      </c>
      <c r="B267" s="1">
        <v>301.0</v>
      </c>
      <c r="D267" s="1" t="s">
        <v>609</v>
      </c>
      <c r="E267" s="1" t="s">
        <v>610</v>
      </c>
    </row>
    <row r="268">
      <c r="A268" s="2" t="s">
        <v>1054</v>
      </c>
      <c r="B268" s="1">
        <v>200.0</v>
      </c>
      <c r="C268" s="1" t="s">
        <v>896</v>
      </c>
      <c r="D268" s="1" t="s">
        <v>609</v>
      </c>
      <c r="E268" s="1" t="s">
        <v>631</v>
      </c>
    </row>
    <row r="269">
      <c r="A269" s="2" t="s">
        <v>1049</v>
      </c>
      <c r="B269" s="1">
        <v>301.0</v>
      </c>
      <c r="D269" s="1" t="s">
        <v>609</v>
      </c>
      <c r="E269" s="1" t="s">
        <v>610</v>
      </c>
    </row>
    <row r="270">
      <c r="A270" s="2" t="s">
        <v>1048</v>
      </c>
      <c r="B270" s="1">
        <v>301.0</v>
      </c>
      <c r="D270" s="1" t="s">
        <v>609</v>
      </c>
      <c r="E270" s="1" t="s">
        <v>610</v>
      </c>
    </row>
    <row r="271">
      <c r="A271" s="2" t="s">
        <v>1050</v>
      </c>
      <c r="B271" s="1">
        <v>301.0</v>
      </c>
      <c r="D271" s="1" t="s">
        <v>609</v>
      </c>
      <c r="E271" s="1" t="s">
        <v>610</v>
      </c>
    </row>
    <row r="272">
      <c r="A272" s="2" t="s">
        <v>1051</v>
      </c>
      <c r="B272" s="1">
        <v>301.0</v>
      </c>
      <c r="D272" s="1" t="s">
        <v>609</v>
      </c>
      <c r="E272" s="1" t="s">
        <v>610</v>
      </c>
    </row>
    <row r="273">
      <c r="A273" s="2" t="s">
        <v>1041</v>
      </c>
      <c r="B273" s="1">
        <v>200.0</v>
      </c>
      <c r="C273" s="1" t="s">
        <v>1042</v>
      </c>
      <c r="D273" s="1" t="s">
        <v>583</v>
      </c>
      <c r="F273" s="1">
        <v>0.0</v>
      </c>
      <c r="G273" s="1">
        <v>152.0</v>
      </c>
      <c r="H273" s="1">
        <v>0.0</v>
      </c>
      <c r="I273" s="1">
        <v>49.72</v>
      </c>
    </row>
    <row r="274">
      <c r="A274" s="2" t="s">
        <v>1065</v>
      </c>
      <c r="B274" s="1">
        <v>200.0</v>
      </c>
      <c r="C274" s="1" t="s">
        <v>1066</v>
      </c>
      <c r="D274" s="1" t="s">
        <v>583</v>
      </c>
      <c r="F274" s="1">
        <v>2.0</v>
      </c>
      <c r="G274" s="1">
        <v>724.0</v>
      </c>
      <c r="H274" s="1">
        <v>0.003</v>
      </c>
      <c r="I274" s="1">
        <v>17.17</v>
      </c>
    </row>
    <row r="275">
      <c r="A275" s="2" t="s">
        <v>1069</v>
      </c>
      <c r="B275" s="1">
        <v>301.0</v>
      </c>
      <c r="D275" s="1" t="s">
        <v>609</v>
      </c>
      <c r="E275" s="1" t="s">
        <v>610</v>
      </c>
    </row>
    <row r="276">
      <c r="A276" s="2" t="s">
        <v>1068</v>
      </c>
      <c r="B276" s="1">
        <v>301.0</v>
      </c>
      <c r="D276" s="1" t="s">
        <v>609</v>
      </c>
      <c r="E276" s="1" t="s">
        <v>610</v>
      </c>
    </row>
    <row r="277">
      <c r="A277" s="2" t="s">
        <v>1067</v>
      </c>
      <c r="B277" s="1">
        <v>301.0</v>
      </c>
      <c r="D277" s="1" t="s">
        <v>609</v>
      </c>
      <c r="E277" s="1" t="s">
        <v>610</v>
      </c>
    </row>
    <row r="278">
      <c r="A278" s="2" t="s">
        <v>1052</v>
      </c>
      <c r="B278" s="1">
        <v>200.0</v>
      </c>
      <c r="C278" s="1" t="s">
        <v>1053</v>
      </c>
      <c r="D278" s="1" t="s">
        <v>583</v>
      </c>
      <c r="F278" s="1">
        <v>39.0</v>
      </c>
      <c r="G278" s="1">
        <v>10479.0</v>
      </c>
      <c r="H278" s="1">
        <v>0.004</v>
      </c>
      <c r="I278" s="1">
        <v>22.46</v>
      </c>
    </row>
    <row r="279">
      <c r="A279" s="2" t="s">
        <v>1060</v>
      </c>
      <c r="B279" s="1">
        <v>200.0</v>
      </c>
      <c r="C279" s="1" t="s">
        <v>1061</v>
      </c>
      <c r="D279" s="1" t="s">
        <v>583</v>
      </c>
      <c r="F279" s="1">
        <v>3.0</v>
      </c>
      <c r="G279" s="1">
        <v>2691.0</v>
      </c>
      <c r="H279" s="1">
        <v>0.001</v>
      </c>
      <c r="I279" s="1">
        <v>35.25</v>
      </c>
    </row>
    <row r="280">
      <c r="A280" s="2" t="s">
        <v>1055</v>
      </c>
      <c r="B280" s="1">
        <v>200.0</v>
      </c>
      <c r="C280" s="1" t="s">
        <v>658</v>
      </c>
      <c r="D280" s="1" t="s">
        <v>583</v>
      </c>
      <c r="F280" s="1">
        <v>4.0</v>
      </c>
      <c r="G280" s="1">
        <v>1168.0</v>
      </c>
      <c r="H280" s="1">
        <v>0.003</v>
      </c>
      <c r="I280" s="1">
        <v>60.41</v>
      </c>
    </row>
    <row r="281">
      <c r="A281" s="2" t="s">
        <v>1063</v>
      </c>
      <c r="B281" s="1">
        <v>200.0</v>
      </c>
      <c r="C281" s="1" t="s">
        <v>1064</v>
      </c>
      <c r="D281" s="1" t="s">
        <v>583</v>
      </c>
      <c r="F281" s="1">
        <v>0.0</v>
      </c>
      <c r="G281" s="1">
        <v>529.0</v>
      </c>
      <c r="H281" s="1">
        <v>0.0</v>
      </c>
      <c r="I281" s="1">
        <v>12.07</v>
      </c>
    </row>
    <row r="282">
      <c r="A282" s="2" t="s">
        <v>1056</v>
      </c>
      <c r="B282" s="1">
        <v>301.0</v>
      </c>
      <c r="D282" s="1" t="s">
        <v>609</v>
      </c>
      <c r="E282" s="1" t="s">
        <v>610</v>
      </c>
      <c r="F282" s="1">
        <v>3.0</v>
      </c>
      <c r="G282" s="1">
        <v>10665.0</v>
      </c>
      <c r="H282" s="1">
        <v>0.0</v>
      </c>
      <c r="I282" s="1">
        <v>53.49</v>
      </c>
    </row>
    <row r="283">
      <c r="A283" s="2" t="s">
        <v>1057</v>
      </c>
      <c r="B283" s="1">
        <v>301.0</v>
      </c>
      <c r="D283" s="1" t="s">
        <v>609</v>
      </c>
      <c r="E283" s="1" t="s">
        <v>610</v>
      </c>
    </row>
    <row r="284">
      <c r="A284" s="2" t="s">
        <v>1059</v>
      </c>
      <c r="B284" s="1">
        <v>301.0</v>
      </c>
      <c r="D284" s="1" t="s">
        <v>609</v>
      </c>
      <c r="E284" s="1" t="s">
        <v>610</v>
      </c>
    </row>
    <row r="285">
      <c r="A285" s="2" t="s">
        <v>1058</v>
      </c>
      <c r="B285" s="1">
        <v>301.0</v>
      </c>
      <c r="D285" s="1" t="s">
        <v>609</v>
      </c>
      <c r="E285" s="1" t="s">
        <v>610</v>
      </c>
    </row>
    <row r="286">
      <c r="A286" s="2" t="s">
        <v>1062</v>
      </c>
      <c r="B286" s="1">
        <v>301.0</v>
      </c>
      <c r="D286" s="1" t="s">
        <v>609</v>
      </c>
      <c r="E286" s="1" t="s">
        <v>610</v>
      </c>
    </row>
    <row r="287">
      <c r="A287" s="2" t="s">
        <v>1070</v>
      </c>
      <c r="B287" s="1">
        <v>200.0</v>
      </c>
      <c r="C287" s="1" t="s">
        <v>1071</v>
      </c>
      <c r="D287" s="1" t="s">
        <v>583</v>
      </c>
      <c r="F287" s="1">
        <v>3.0</v>
      </c>
      <c r="G287" s="1">
        <v>696.0</v>
      </c>
      <c r="H287" s="1">
        <v>0.004</v>
      </c>
      <c r="I287" s="1">
        <v>31.36</v>
      </c>
    </row>
    <row r="288">
      <c r="A288" s="2" t="s">
        <v>1074</v>
      </c>
      <c r="B288" s="1">
        <v>200.0</v>
      </c>
      <c r="C288" s="1" t="s">
        <v>691</v>
      </c>
      <c r="D288" s="1" t="s">
        <v>583</v>
      </c>
      <c r="F288" s="1">
        <v>2.0</v>
      </c>
      <c r="G288" s="1">
        <v>51.0</v>
      </c>
      <c r="H288" s="1">
        <v>0.039</v>
      </c>
      <c r="I288" s="1">
        <v>17.06</v>
      </c>
    </row>
    <row r="289">
      <c r="A289" s="2" t="s">
        <v>1115</v>
      </c>
      <c r="B289" s="1">
        <v>200.0</v>
      </c>
      <c r="C289" s="1" t="s">
        <v>1116</v>
      </c>
      <c r="D289" s="1" t="s">
        <v>583</v>
      </c>
      <c r="F289" s="1">
        <v>0.0</v>
      </c>
      <c r="G289" s="1">
        <v>22.0</v>
      </c>
      <c r="H289" s="1">
        <v>0.0</v>
      </c>
      <c r="I289" s="1">
        <v>89.41</v>
      </c>
    </row>
    <row r="290">
      <c r="A290" s="2" t="s">
        <v>1117</v>
      </c>
      <c r="B290" s="1">
        <v>200.0</v>
      </c>
      <c r="C290" s="1" t="s">
        <v>1118</v>
      </c>
      <c r="D290" s="1" t="s">
        <v>583</v>
      </c>
    </row>
    <row r="291">
      <c r="A291" s="2" t="s">
        <v>1099</v>
      </c>
      <c r="B291" s="1">
        <v>200.0</v>
      </c>
      <c r="C291" s="1" t="s">
        <v>1100</v>
      </c>
      <c r="D291" s="1" t="s">
        <v>583</v>
      </c>
      <c r="F291" s="1">
        <v>26.0</v>
      </c>
      <c r="G291" s="1">
        <v>3904.0</v>
      </c>
      <c r="H291" s="1">
        <v>0.007</v>
      </c>
      <c r="I291" s="1">
        <v>31.64</v>
      </c>
    </row>
    <row r="292">
      <c r="A292" s="2" t="s">
        <v>1101</v>
      </c>
      <c r="B292" s="1">
        <v>200.0</v>
      </c>
      <c r="C292" s="1" t="s">
        <v>1102</v>
      </c>
      <c r="D292" s="1" t="s">
        <v>583</v>
      </c>
      <c r="F292" s="1">
        <v>1.0</v>
      </c>
      <c r="G292" s="1">
        <v>397.0</v>
      </c>
      <c r="H292" s="1">
        <v>0.003</v>
      </c>
      <c r="I292" s="1">
        <v>25.02</v>
      </c>
    </row>
    <row r="293">
      <c r="A293" s="2" t="s">
        <v>1103</v>
      </c>
      <c r="B293" s="1">
        <v>200.0</v>
      </c>
      <c r="C293" s="1" t="s">
        <v>1104</v>
      </c>
      <c r="D293" s="1" t="s">
        <v>583</v>
      </c>
      <c r="F293" s="1">
        <v>9.0</v>
      </c>
      <c r="G293" s="1">
        <v>3270.0</v>
      </c>
      <c r="H293" s="1">
        <v>0.003</v>
      </c>
      <c r="I293" s="1">
        <v>30.47</v>
      </c>
    </row>
    <row r="294">
      <c r="A294" s="2" t="s">
        <v>1119</v>
      </c>
      <c r="B294" s="1">
        <v>301.0</v>
      </c>
      <c r="D294" s="1" t="s">
        <v>609</v>
      </c>
      <c r="E294" s="1" t="s">
        <v>610</v>
      </c>
    </row>
    <row r="295">
      <c r="A295" s="2" t="s">
        <v>1120</v>
      </c>
      <c r="B295" s="1">
        <v>200.0</v>
      </c>
      <c r="C295" s="1" t="s">
        <v>1121</v>
      </c>
      <c r="D295" s="1" t="s">
        <v>583</v>
      </c>
      <c r="F295" s="1">
        <v>0.0</v>
      </c>
      <c r="G295" s="1">
        <v>7.0</v>
      </c>
      <c r="H295" s="1">
        <v>0.0</v>
      </c>
      <c r="I295" s="1">
        <v>29.71</v>
      </c>
    </row>
    <row r="296">
      <c r="A296" s="2" t="s">
        <v>1122</v>
      </c>
      <c r="B296" s="1">
        <v>200.0</v>
      </c>
      <c r="C296" s="1" t="s">
        <v>1123</v>
      </c>
      <c r="D296" s="1" t="s">
        <v>583</v>
      </c>
      <c r="F296" s="1">
        <v>1.0</v>
      </c>
      <c r="G296" s="1">
        <v>63.0</v>
      </c>
      <c r="H296" s="1">
        <v>0.016</v>
      </c>
      <c r="I296" s="1">
        <v>15.4</v>
      </c>
    </row>
    <row r="297">
      <c r="A297" s="2" t="s">
        <v>1124</v>
      </c>
      <c r="B297" s="1">
        <v>301.0</v>
      </c>
      <c r="D297" s="1" t="s">
        <v>609</v>
      </c>
      <c r="E297" s="1" t="s">
        <v>610</v>
      </c>
    </row>
    <row r="298">
      <c r="A298" s="2" t="s">
        <v>1125</v>
      </c>
      <c r="B298" s="1">
        <v>301.0</v>
      </c>
      <c r="D298" s="1" t="s">
        <v>609</v>
      </c>
      <c r="E298" s="1" t="s">
        <v>610</v>
      </c>
    </row>
    <row r="299">
      <c r="A299" s="2" t="s">
        <v>1127</v>
      </c>
      <c r="B299" s="1">
        <v>200.0</v>
      </c>
      <c r="C299" s="1" t="s">
        <v>1128</v>
      </c>
      <c r="D299" s="1" t="s">
        <v>583</v>
      </c>
      <c r="F299" s="1">
        <v>0.0</v>
      </c>
      <c r="G299" s="1">
        <v>9.0</v>
      </c>
      <c r="H299" s="1">
        <v>0.0</v>
      </c>
      <c r="I299" s="1">
        <v>34.11</v>
      </c>
    </row>
    <row r="300">
      <c r="A300" s="2" t="s">
        <v>1131</v>
      </c>
      <c r="B300" s="1">
        <v>301.0</v>
      </c>
      <c r="D300" s="1" t="s">
        <v>609</v>
      </c>
      <c r="E300" s="1" t="s">
        <v>610</v>
      </c>
    </row>
    <row r="301">
      <c r="A301" s="2" t="s">
        <v>1132</v>
      </c>
      <c r="B301" s="1">
        <v>200.0</v>
      </c>
      <c r="C301" s="1" t="s">
        <v>1133</v>
      </c>
      <c r="D301" s="1" t="s">
        <v>583</v>
      </c>
      <c r="F301" s="1">
        <v>0.0</v>
      </c>
      <c r="G301" s="1">
        <v>4.0</v>
      </c>
      <c r="H301" s="1">
        <v>0.0</v>
      </c>
      <c r="I301" s="1">
        <v>50.5</v>
      </c>
    </row>
    <row r="302">
      <c r="A302" s="2" t="s">
        <v>1126</v>
      </c>
      <c r="B302" s="1">
        <v>200.0</v>
      </c>
      <c r="C302" s="1" t="s">
        <v>628</v>
      </c>
      <c r="D302" s="1" t="s">
        <v>583</v>
      </c>
    </row>
    <row r="303">
      <c r="A303" s="2" t="s">
        <v>1134</v>
      </c>
      <c r="B303" s="1">
        <v>200.0</v>
      </c>
      <c r="C303" s="1" t="s">
        <v>1135</v>
      </c>
      <c r="D303" s="1" t="s">
        <v>583</v>
      </c>
      <c r="F303" s="1">
        <v>0.0</v>
      </c>
      <c r="G303" s="1">
        <v>5.0</v>
      </c>
      <c r="H303" s="1">
        <v>0.0</v>
      </c>
      <c r="I303" s="1">
        <v>9.8</v>
      </c>
    </row>
    <row r="304">
      <c r="A304" s="2" t="s">
        <v>1136</v>
      </c>
      <c r="B304" s="1">
        <v>200.0</v>
      </c>
      <c r="C304" s="1" t="s">
        <v>1137</v>
      </c>
      <c r="D304" s="1" t="s">
        <v>583</v>
      </c>
      <c r="F304" s="1">
        <v>0.0</v>
      </c>
      <c r="G304" s="1">
        <v>1.0</v>
      </c>
      <c r="H304" s="1">
        <v>0.0</v>
      </c>
      <c r="I304" s="1">
        <v>2.0</v>
      </c>
    </row>
    <row r="305">
      <c r="A305" s="2" t="s">
        <v>1129</v>
      </c>
      <c r="B305" s="1">
        <v>200.0</v>
      </c>
      <c r="C305" s="1" t="s">
        <v>1130</v>
      </c>
      <c r="D305" s="1" t="s">
        <v>583</v>
      </c>
      <c r="F305" s="1">
        <v>6.0</v>
      </c>
      <c r="G305" s="1">
        <v>8964.0</v>
      </c>
      <c r="H305" s="1">
        <v>0.001</v>
      </c>
      <c r="I305" s="1">
        <v>51.56</v>
      </c>
    </row>
    <row r="306">
      <c r="A306" s="2" t="s">
        <v>1139</v>
      </c>
      <c r="B306" s="1">
        <v>200.0</v>
      </c>
      <c r="C306" s="1" t="s">
        <v>1140</v>
      </c>
      <c r="D306" s="1" t="s">
        <v>583</v>
      </c>
    </row>
    <row r="307">
      <c r="A307" s="2" t="s">
        <v>1141</v>
      </c>
      <c r="B307" s="1">
        <v>200.0</v>
      </c>
      <c r="C307" s="1" t="s">
        <v>1142</v>
      </c>
      <c r="D307" s="1" t="s">
        <v>583</v>
      </c>
      <c r="F307" s="1">
        <v>0.0</v>
      </c>
      <c r="G307" s="1">
        <v>9.0</v>
      </c>
      <c r="H307" s="1">
        <v>0.0</v>
      </c>
      <c r="I307" s="1">
        <v>9.22</v>
      </c>
    </row>
    <row r="308">
      <c r="A308" s="2" t="s">
        <v>1138</v>
      </c>
      <c r="B308" s="1">
        <v>301.0</v>
      </c>
      <c r="D308" s="1" t="s">
        <v>609</v>
      </c>
      <c r="E308" s="1" t="s">
        <v>610</v>
      </c>
      <c r="F308" s="1">
        <v>1.0</v>
      </c>
      <c r="G308" s="1">
        <v>4643.0</v>
      </c>
      <c r="H308" s="1">
        <v>0.0</v>
      </c>
      <c r="I308" s="1">
        <v>45.21</v>
      </c>
    </row>
    <row r="309">
      <c r="A309" s="2" t="s">
        <v>1145</v>
      </c>
      <c r="B309" s="1">
        <v>200.0</v>
      </c>
      <c r="C309" s="1" t="s">
        <v>1146</v>
      </c>
      <c r="D309" s="1" t="s">
        <v>583</v>
      </c>
      <c r="F309" s="1">
        <v>0.0</v>
      </c>
      <c r="G309" s="1">
        <v>3054.0</v>
      </c>
      <c r="H309" s="1">
        <v>0.0</v>
      </c>
      <c r="I309" s="1">
        <v>49.91</v>
      </c>
    </row>
    <row r="310">
      <c r="A310" s="2" t="s">
        <v>1143</v>
      </c>
      <c r="B310" s="1">
        <v>200.0</v>
      </c>
      <c r="C310" s="1" t="s">
        <v>1144</v>
      </c>
      <c r="D310" s="1" t="s">
        <v>583</v>
      </c>
    </row>
    <row r="311">
      <c r="A311" s="2" t="s">
        <v>1147</v>
      </c>
      <c r="B311" s="1">
        <v>200.0</v>
      </c>
      <c r="C311" s="1" t="s">
        <v>1148</v>
      </c>
      <c r="D311" s="1" t="s">
        <v>583</v>
      </c>
      <c r="F311" s="1">
        <v>1.0</v>
      </c>
      <c r="G311" s="1">
        <v>121.0</v>
      </c>
      <c r="H311" s="1">
        <v>0.008</v>
      </c>
      <c r="I311" s="1">
        <v>9.36</v>
      </c>
    </row>
    <row r="312">
      <c r="A312" s="2" t="s">
        <v>1149</v>
      </c>
      <c r="B312" s="1">
        <v>200.0</v>
      </c>
      <c r="C312" s="1" t="s">
        <v>1150</v>
      </c>
      <c r="D312" s="1" t="s">
        <v>583</v>
      </c>
      <c r="F312" s="1">
        <v>0.0</v>
      </c>
      <c r="G312" s="1">
        <v>23.0</v>
      </c>
      <c r="H312" s="1">
        <v>0.0</v>
      </c>
      <c r="I312" s="1">
        <v>53.57</v>
      </c>
    </row>
    <row r="313">
      <c r="A313" s="2" t="s">
        <v>1154</v>
      </c>
      <c r="B313" s="1">
        <v>301.0</v>
      </c>
      <c r="D313" s="1" t="s">
        <v>609</v>
      </c>
      <c r="E313" s="1" t="s">
        <v>610</v>
      </c>
    </row>
    <row r="314">
      <c r="A314" s="2" t="s">
        <v>1151</v>
      </c>
      <c r="B314" s="1">
        <v>301.0</v>
      </c>
      <c r="D314" s="1" t="s">
        <v>609</v>
      </c>
      <c r="E314" s="1" t="s">
        <v>610</v>
      </c>
    </row>
    <row r="315">
      <c r="A315" s="2" t="s">
        <v>1152</v>
      </c>
      <c r="B315" s="1">
        <v>301.0</v>
      </c>
      <c r="D315" s="1" t="s">
        <v>609</v>
      </c>
      <c r="E315" s="1" t="s">
        <v>610</v>
      </c>
    </row>
    <row r="316">
      <c r="A316" s="2" t="s">
        <v>1153</v>
      </c>
      <c r="B316" s="1">
        <v>301.0</v>
      </c>
      <c r="D316" s="1" t="s">
        <v>609</v>
      </c>
      <c r="E316" s="1" t="s">
        <v>610</v>
      </c>
    </row>
    <row r="317">
      <c r="A317" s="2" t="s">
        <v>1155</v>
      </c>
      <c r="B317" s="1">
        <v>301.0</v>
      </c>
      <c r="D317" s="1" t="s">
        <v>609</v>
      </c>
      <c r="E317" s="1" t="s">
        <v>610</v>
      </c>
    </row>
    <row r="318">
      <c r="A318" s="2" t="s">
        <v>1157</v>
      </c>
      <c r="B318" s="1">
        <v>301.0</v>
      </c>
      <c r="D318" s="1" t="s">
        <v>609</v>
      </c>
      <c r="E318" s="1" t="s">
        <v>610</v>
      </c>
    </row>
    <row r="319">
      <c r="A319" s="2" t="s">
        <v>1156</v>
      </c>
      <c r="B319" s="1">
        <v>301.0</v>
      </c>
      <c r="D319" s="1" t="s">
        <v>609</v>
      </c>
      <c r="E319" s="1" t="s">
        <v>610</v>
      </c>
    </row>
    <row r="320">
      <c r="A320" s="2" t="s">
        <v>1160</v>
      </c>
      <c r="B320" s="1">
        <v>200.0</v>
      </c>
      <c r="C320" s="1" t="s">
        <v>1161</v>
      </c>
      <c r="D320" s="1" t="s">
        <v>583</v>
      </c>
      <c r="F320" s="1">
        <v>0.0</v>
      </c>
      <c r="G320" s="1">
        <v>452.0</v>
      </c>
      <c r="H320" s="1">
        <v>0.0</v>
      </c>
      <c r="I320" s="1">
        <v>29.83</v>
      </c>
    </row>
    <row r="321">
      <c r="A321" s="2" t="s">
        <v>1164</v>
      </c>
      <c r="B321" s="1">
        <v>200.0</v>
      </c>
      <c r="C321" s="1" t="s">
        <v>1165</v>
      </c>
      <c r="D321" s="1" t="s">
        <v>583</v>
      </c>
      <c r="F321" s="1">
        <v>1.0</v>
      </c>
      <c r="G321" s="1">
        <v>985.0</v>
      </c>
      <c r="H321" s="1">
        <v>0.001</v>
      </c>
      <c r="I321" s="1">
        <v>39.66</v>
      </c>
    </row>
    <row r="322">
      <c r="A322" s="2" t="s">
        <v>1172</v>
      </c>
      <c r="B322" s="1">
        <v>301.0</v>
      </c>
      <c r="D322" s="1" t="s">
        <v>609</v>
      </c>
      <c r="E322" s="1" t="s">
        <v>610</v>
      </c>
      <c r="F322" s="1">
        <v>2.0</v>
      </c>
      <c r="G322" s="1">
        <v>5665.0</v>
      </c>
      <c r="H322" s="1">
        <v>0.0</v>
      </c>
      <c r="I322" s="1">
        <v>68.09</v>
      </c>
    </row>
    <row r="323">
      <c r="A323" s="2" t="s">
        <v>1159</v>
      </c>
      <c r="B323" s="1">
        <v>301.0</v>
      </c>
      <c r="D323" s="1" t="s">
        <v>609</v>
      </c>
      <c r="E323" s="1" t="s">
        <v>610</v>
      </c>
      <c r="F323" s="1">
        <v>1.0</v>
      </c>
      <c r="G323" s="1">
        <v>2648.0</v>
      </c>
      <c r="H323" s="1">
        <v>0.0</v>
      </c>
      <c r="I323" s="1">
        <v>15.17</v>
      </c>
    </row>
    <row r="324">
      <c r="A324" s="2" t="s">
        <v>1166</v>
      </c>
      <c r="B324" s="1">
        <v>200.0</v>
      </c>
      <c r="C324" s="1" t="s">
        <v>1167</v>
      </c>
      <c r="D324" s="1" t="s">
        <v>583</v>
      </c>
      <c r="F324" s="1">
        <v>2.0</v>
      </c>
      <c r="G324" s="1">
        <v>2298.0</v>
      </c>
      <c r="H324" s="1">
        <v>0.001</v>
      </c>
      <c r="I324" s="1">
        <v>59.19</v>
      </c>
    </row>
    <row r="325">
      <c r="A325" s="2" t="s">
        <v>1170</v>
      </c>
      <c r="B325" s="1">
        <v>200.0</v>
      </c>
      <c r="C325" s="1" t="s">
        <v>1171</v>
      </c>
      <c r="D325" s="1" t="s">
        <v>583</v>
      </c>
      <c r="F325" s="1">
        <v>0.0</v>
      </c>
      <c r="G325" s="1">
        <v>371.0</v>
      </c>
      <c r="H325" s="1">
        <v>0.0</v>
      </c>
      <c r="I325" s="1">
        <v>44.45</v>
      </c>
    </row>
    <row r="326">
      <c r="A326" s="2" t="s">
        <v>1168</v>
      </c>
      <c r="B326" s="1">
        <v>200.0</v>
      </c>
      <c r="C326" s="1" t="s">
        <v>1169</v>
      </c>
      <c r="D326" s="1" t="s">
        <v>583</v>
      </c>
      <c r="F326" s="1">
        <v>0.0</v>
      </c>
      <c r="G326" s="1">
        <v>527.0</v>
      </c>
      <c r="H326" s="1">
        <v>0.0</v>
      </c>
      <c r="I326" s="1">
        <v>31.03</v>
      </c>
    </row>
    <row r="327">
      <c r="A327" s="2" t="s">
        <v>1162</v>
      </c>
      <c r="B327" s="1">
        <v>200.0</v>
      </c>
      <c r="C327" s="1" t="s">
        <v>1163</v>
      </c>
      <c r="D327" s="1" t="s">
        <v>583</v>
      </c>
      <c r="F327" s="1">
        <v>0.0</v>
      </c>
      <c r="G327" s="1">
        <v>72.0</v>
      </c>
      <c r="H327" s="1">
        <v>0.0</v>
      </c>
      <c r="I327" s="1">
        <v>36.6</v>
      </c>
    </row>
    <row r="328">
      <c r="A328" s="2" t="s">
        <v>1175</v>
      </c>
      <c r="B328" s="1">
        <v>200.0</v>
      </c>
      <c r="C328" s="1" t="s">
        <v>1176</v>
      </c>
      <c r="D328" s="1" t="s">
        <v>583</v>
      </c>
      <c r="F328" s="1">
        <v>0.0</v>
      </c>
      <c r="G328" s="1">
        <v>493.0</v>
      </c>
      <c r="H328" s="1">
        <v>0.0</v>
      </c>
      <c r="I328" s="1">
        <v>46.72</v>
      </c>
    </row>
    <row r="329">
      <c r="A329" s="2" t="s">
        <v>1177</v>
      </c>
      <c r="B329" s="1">
        <v>200.0</v>
      </c>
      <c r="C329" s="1" t="s">
        <v>1178</v>
      </c>
      <c r="D329" s="1" t="s">
        <v>583</v>
      </c>
      <c r="F329" s="1">
        <v>2.0</v>
      </c>
      <c r="G329" s="1">
        <v>751.0</v>
      </c>
      <c r="H329" s="1">
        <v>0.003</v>
      </c>
      <c r="I329" s="1">
        <v>56.93</v>
      </c>
    </row>
    <row r="330">
      <c r="A330" s="2" t="s">
        <v>1179</v>
      </c>
      <c r="B330" s="1">
        <v>200.0</v>
      </c>
      <c r="C330" s="1" t="s">
        <v>1180</v>
      </c>
      <c r="D330" s="1" t="s">
        <v>583</v>
      </c>
      <c r="F330" s="1">
        <v>1.0</v>
      </c>
      <c r="G330" s="1">
        <v>402.0</v>
      </c>
      <c r="H330" s="1">
        <v>0.003</v>
      </c>
      <c r="I330" s="1">
        <v>40.09</v>
      </c>
    </row>
    <row r="331">
      <c r="A331" s="2" t="s">
        <v>1158</v>
      </c>
      <c r="B331" s="1">
        <v>200.0</v>
      </c>
      <c r="C331" s="1" t="s">
        <v>655</v>
      </c>
      <c r="D331" s="1" t="s">
        <v>609</v>
      </c>
      <c r="E331" s="1" t="s">
        <v>631</v>
      </c>
    </row>
    <row r="332">
      <c r="A332" s="2" t="s">
        <v>1186</v>
      </c>
      <c r="B332" s="1">
        <v>200.0</v>
      </c>
      <c r="C332" s="1" t="s">
        <v>889</v>
      </c>
      <c r="D332" s="1" t="s">
        <v>609</v>
      </c>
      <c r="E332" s="1" t="s">
        <v>631</v>
      </c>
    </row>
    <row r="333">
      <c r="A333" s="2" t="s">
        <v>1185</v>
      </c>
      <c r="B333" s="1">
        <v>200.0</v>
      </c>
      <c r="C333" s="1" t="s">
        <v>880</v>
      </c>
      <c r="D333" s="1" t="s">
        <v>609</v>
      </c>
      <c r="E333" s="1" t="s">
        <v>631</v>
      </c>
    </row>
    <row r="334">
      <c r="A334" s="2" t="s">
        <v>1189</v>
      </c>
      <c r="B334" s="1">
        <v>200.0</v>
      </c>
      <c r="C334" s="1" t="s">
        <v>922</v>
      </c>
      <c r="D334" s="1" t="s">
        <v>609</v>
      </c>
      <c r="E334" s="1" t="s">
        <v>631</v>
      </c>
    </row>
    <row r="335">
      <c r="A335" s="2" t="s">
        <v>1187</v>
      </c>
      <c r="B335" s="1">
        <v>200.0</v>
      </c>
      <c r="C335" s="1" t="s">
        <v>873</v>
      </c>
      <c r="D335" s="1" t="s">
        <v>609</v>
      </c>
      <c r="E335" s="1" t="s">
        <v>631</v>
      </c>
    </row>
    <row r="336">
      <c r="A336" s="2" t="s">
        <v>1191</v>
      </c>
      <c r="B336" s="1">
        <v>200.0</v>
      </c>
      <c r="C336" s="1" t="s">
        <v>915</v>
      </c>
      <c r="D336" s="1" t="s">
        <v>609</v>
      </c>
      <c r="E336" s="1" t="s">
        <v>631</v>
      </c>
    </row>
    <row r="337">
      <c r="A337" s="2" t="s">
        <v>1190</v>
      </c>
      <c r="B337" s="1">
        <v>200.0</v>
      </c>
      <c r="C337" s="1" t="s">
        <v>926</v>
      </c>
      <c r="D337" s="1" t="s">
        <v>609</v>
      </c>
      <c r="E337" s="1" t="s">
        <v>631</v>
      </c>
    </row>
    <row r="338">
      <c r="A338" s="2" t="s">
        <v>1188</v>
      </c>
      <c r="B338" s="1">
        <v>200.0</v>
      </c>
      <c r="C338" s="1" t="s">
        <v>672</v>
      </c>
      <c r="D338" s="1" t="s">
        <v>583</v>
      </c>
    </row>
    <row r="339">
      <c r="A339" s="2" t="s">
        <v>1193</v>
      </c>
      <c r="B339" s="1">
        <v>200.0</v>
      </c>
      <c r="C339" s="1" t="s">
        <v>868</v>
      </c>
      <c r="D339" s="1" t="s">
        <v>609</v>
      </c>
      <c r="E339" s="1" t="s">
        <v>631</v>
      </c>
    </row>
    <row r="340">
      <c r="A340" s="2" t="s">
        <v>1192</v>
      </c>
      <c r="B340" s="1">
        <v>200.0</v>
      </c>
      <c r="C340" s="1" t="s">
        <v>887</v>
      </c>
      <c r="D340" s="1" t="s">
        <v>609</v>
      </c>
      <c r="E340" s="1" t="s">
        <v>631</v>
      </c>
    </row>
    <row r="341">
      <c r="A341" s="2" t="s">
        <v>1181</v>
      </c>
      <c r="B341" s="1">
        <v>200.0</v>
      </c>
      <c r="C341" s="1" t="s">
        <v>1182</v>
      </c>
      <c r="D341" s="1" t="s">
        <v>583</v>
      </c>
      <c r="F341" s="1">
        <v>0.0</v>
      </c>
      <c r="G341" s="1">
        <v>2.0</v>
      </c>
      <c r="H341" s="1">
        <v>0.0</v>
      </c>
      <c r="I341" s="1">
        <v>67.0</v>
      </c>
    </row>
    <row r="342">
      <c r="A342" s="2" t="s">
        <v>1183</v>
      </c>
      <c r="B342" s="1">
        <v>200.0</v>
      </c>
      <c r="C342" s="1" t="s">
        <v>1184</v>
      </c>
      <c r="D342" s="1" t="s">
        <v>583</v>
      </c>
      <c r="F342" s="1">
        <v>1.0</v>
      </c>
      <c r="G342" s="1">
        <v>4322.0</v>
      </c>
      <c r="H342" s="1">
        <v>0.0</v>
      </c>
      <c r="I342" s="1">
        <v>45.58</v>
      </c>
    </row>
    <row r="343">
      <c r="A343" s="2" t="s">
        <v>1198</v>
      </c>
      <c r="B343" s="1">
        <v>200.0</v>
      </c>
      <c r="C343" s="1" t="s">
        <v>1199</v>
      </c>
      <c r="D343" s="1" t="s">
        <v>583</v>
      </c>
      <c r="F343" s="1">
        <v>1.0</v>
      </c>
      <c r="G343" s="1">
        <v>6708.0</v>
      </c>
      <c r="H343" s="1">
        <v>0.0</v>
      </c>
      <c r="I343" s="1">
        <v>62.24</v>
      </c>
    </row>
    <row r="344">
      <c r="A344" s="2" t="s">
        <v>1197</v>
      </c>
      <c r="B344" s="1">
        <v>200.0</v>
      </c>
      <c r="C344" s="1" t="s">
        <v>643</v>
      </c>
      <c r="D344" s="1" t="s">
        <v>609</v>
      </c>
      <c r="E344" s="1" t="s">
        <v>631</v>
      </c>
    </row>
    <row r="345">
      <c r="A345" s="2" t="s">
        <v>1173</v>
      </c>
      <c r="B345" s="1">
        <v>200.0</v>
      </c>
      <c r="C345" s="1" t="s">
        <v>1174</v>
      </c>
      <c r="D345" s="1" t="s">
        <v>583</v>
      </c>
      <c r="F345" s="1">
        <v>0.0</v>
      </c>
      <c r="G345" s="1">
        <v>21.0</v>
      </c>
      <c r="H345" s="1">
        <v>0.0</v>
      </c>
      <c r="I345" s="1">
        <v>48.9</v>
      </c>
    </row>
    <row r="346">
      <c r="A346" s="2" t="s">
        <v>1196</v>
      </c>
      <c r="B346" s="1">
        <v>200.0</v>
      </c>
      <c r="C346" s="1" t="s">
        <v>663</v>
      </c>
      <c r="D346" s="1" t="s">
        <v>609</v>
      </c>
      <c r="E346" s="1" t="s">
        <v>664</v>
      </c>
    </row>
    <row r="347">
      <c r="A347" s="2" t="s">
        <v>1200</v>
      </c>
      <c r="B347" s="1">
        <v>200.0</v>
      </c>
      <c r="C347" s="1" t="s">
        <v>1201</v>
      </c>
      <c r="D347" s="1" t="s">
        <v>583</v>
      </c>
    </row>
    <row r="348">
      <c r="A348" s="2" t="s">
        <v>1194</v>
      </c>
      <c r="B348" s="1">
        <v>200.0</v>
      </c>
      <c r="C348" s="1" t="s">
        <v>1195</v>
      </c>
      <c r="D348" s="1" t="s">
        <v>583</v>
      </c>
      <c r="F348" s="1">
        <v>0.0</v>
      </c>
      <c r="G348" s="1">
        <v>45.0</v>
      </c>
      <c r="H348" s="1">
        <v>0.0</v>
      </c>
      <c r="I348" s="1">
        <v>24.56</v>
      </c>
    </row>
    <row r="349">
      <c r="A349" s="2" t="s">
        <v>1202</v>
      </c>
      <c r="B349" s="1">
        <v>200.0</v>
      </c>
      <c r="C349" s="1" t="s">
        <v>1203</v>
      </c>
      <c r="D349" s="1" t="s">
        <v>583</v>
      </c>
      <c r="F349" s="1">
        <v>0.0</v>
      </c>
      <c r="G349" s="1">
        <v>684.0</v>
      </c>
      <c r="H349" s="1">
        <v>0.0</v>
      </c>
      <c r="I349" s="1">
        <v>44.63</v>
      </c>
    </row>
    <row r="350">
      <c r="A350" s="2" t="s">
        <v>1207</v>
      </c>
      <c r="B350" s="1">
        <v>200.0</v>
      </c>
      <c r="C350" s="1" t="s">
        <v>1208</v>
      </c>
      <c r="D350" s="1" t="s">
        <v>583</v>
      </c>
      <c r="F350" s="1">
        <v>0.0</v>
      </c>
      <c r="G350" s="1">
        <v>628.0</v>
      </c>
      <c r="H350" s="1">
        <v>0.0</v>
      </c>
      <c r="I350" s="1">
        <v>56.25</v>
      </c>
    </row>
    <row r="351">
      <c r="A351" s="2" t="s">
        <v>1213</v>
      </c>
      <c r="B351" s="1">
        <v>200.0</v>
      </c>
      <c r="C351" s="1" t="s">
        <v>1214</v>
      </c>
      <c r="D351" s="1" t="s">
        <v>583</v>
      </c>
      <c r="F351" s="1">
        <v>0.0</v>
      </c>
      <c r="G351" s="1">
        <v>1062.0</v>
      </c>
      <c r="H351" s="1">
        <v>0.0</v>
      </c>
      <c r="I351" s="1">
        <v>40.73</v>
      </c>
    </row>
    <row r="352">
      <c r="A352" s="2" t="s">
        <v>1204</v>
      </c>
      <c r="B352" s="1">
        <v>200.0</v>
      </c>
      <c r="C352" s="1" t="s">
        <v>1205</v>
      </c>
      <c r="D352" s="1" t="s">
        <v>583</v>
      </c>
      <c r="F352" s="1">
        <v>0.0</v>
      </c>
      <c r="G352" s="1">
        <v>1741.0</v>
      </c>
      <c r="H352" s="1">
        <v>0.0</v>
      </c>
      <c r="I352" s="1">
        <v>48.83</v>
      </c>
    </row>
    <row r="353">
      <c r="A353" s="2" t="s">
        <v>1206</v>
      </c>
      <c r="B353" s="1">
        <v>301.0</v>
      </c>
      <c r="D353" s="1" t="s">
        <v>609</v>
      </c>
      <c r="E353" s="1" t="s">
        <v>610</v>
      </c>
    </row>
    <row r="354">
      <c r="A354" s="2" t="s">
        <v>1210</v>
      </c>
      <c r="B354" s="1">
        <v>200.0</v>
      </c>
      <c r="C354" s="1" t="s">
        <v>1211</v>
      </c>
      <c r="D354" s="1" t="s">
        <v>583</v>
      </c>
      <c r="F354" s="1">
        <v>2.0</v>
      </c>
      <c r="G354" s="1">
        <v>1412.0</v>
      </c>
      <c r="H354" s="1">
        <v>0.001</v>
      </c>
      <c r="I354" s="1">
        <v>37.66</v>
      </c>
    </row>
    <row r="355">
      <c r="A355" s="2" t="s">
        <v>1209</v>
      </c>
      <c r="B355" s="1">
        <v>301.0</v>
      </c>
      <c r="D355" s="1" t="s">
        <v>609</v>
      </c>
      <c r="E355" s="1" t="s">
        <v>610</v>
      </c>
    </row>
    <row r="356">
      <c r="A356" s="2" t="s">
        <v>1215</v>
      </c>
      <c r="B356" s="1">
        <v>200.0</v>
      </c>
      <c r="C356" s="1" t="s">
        <v>1216</v>
      </c>
      <c r="D356" s="1" t="s">
        <v>583</v>
      </c>
      <c r="F356" s="1">
        <v>2.0</v>
      </c>
      <c r="G356" s="1">
        <v>1142.0</v>
      </c>
      <c r="H356" s="1">
        <v>0.002</v>
      </c>
      <c r="I356" s="1">
        <v>20.62</v>
      </c>
    </row>
    <row r="357">
      <c r="A357" s="2" t="s">
        <v>1217</v>
      </c>
      <c r="B357" s="1">
        <v>200.0</v>
      </c>
      <c r="C357" s="1" t="s">
        <v>1216</v>
      </c>
      <c r="D357" s="1" t="s">
        <v>583</v>
      </c>
      <c r="F357" s="1">
        <v>0.0</v>
      </c>
      <c r="G357" s="1">
        <v>172.0</v>
      </c>
      <c r="H357" s="1">
        <v>0.0</v>
      </c>
      <c r="I357" s="1">
        <v>21.05</v>
      </c>
    </row>
    <row r="358">
      <c r="A358" s="2" t="s">
        <v>1212</v>
      </c>
      <c r="B358" s="1">
        <v>301.0</v>
      </c>
      <c r="D358" s="1" t="s">
        <v>609</v>
      </c>
      <c r="E358" s="1" t="s">
        <v>610</v>
      </c>
    </row>
    <row r="359">
      <c r="A359" s="2" t="s">
        <v>1221</v>
      </c>
      <c r="B359" s="1">
        <v>200.0</v>
      </c>
      <c r="C359" s="1" t="s">
        <v>1222</v>
      </c>
      <c r="D359" s="1" t="s">
        <v>583</v>
      </c>
      <c r="F359" s="1">
        <v>4.0</v>
      </c>
      <c r="G359" s="1">
        <v>541.0</v>
      </c>
      <c r="H359" s="1">
        <v>0.007</v>
      </c>
      <c r="I359" s="1">
        <v>42.47</v>
      </c>
    </row>
    <row r="360">
      <c r="A360" s="2" t="s">
        <v>1218</v>
      </c>
      <c r="B360" s="1">
        <v>301.0</v>
      </c>
      <c r="D360" s="1" t="s">
        <v>609</v>
      </c>
      <c r="E360" s="1" t="s">
        <v>610</v>
      </c>
      <c r="F360" s="1">
        <v>1.0</v>
      </c>
      <c r="G360" s="1">
        <v>22128.0</v>
      </c>
      <c r="H360" s="1">
        <v>0.0</v>
      </c>
      <c r="I360" s="1">
        <v>48.57</v>
      </c>
    </row>
    <row r="361">
      <c r="A361" s="2" t="s">
        <v>1311</v>
      </c>
      <c r="B361" s="1">
        <v>301.0</v>
      </c>
      <c r="D361" s="1" t="s">
        <v>609</v>
      </c>
      <c r="E361" s="1" t="s">
        <v>610</v>
      </c>
      <c r="F361" s="1">
        <v>2.0</v>
      </c>
      <c r="G361" s="1">
        <v>17327.0</v>
      </c>
      <c r="H361" s="1">
        <v>0.0</v>
      </c>
      <c r="I361" s="1">
        <v>68.74</v>
      </c>
    </row>
    <row r="362">
      <c r="A362" s="2" t="s">
        <v>1226</v>
      </c>
      <c r="B362" s="1">
        <v>200.0</v>
      </c>
      <c r="C362" s="1" t="s">
        <v>1227</v>
      </c>
      <c r="D362" s="1" t="s">
        <v>583</v>
      </c>
      <c r="F362" s="1">
        <v>0.0</v>
      </c>
      <c r="G362" s="1">
        <v>1.0</v>
      </c>
      <c r="H362" s="1">
        <v>0.0</v>
      </c>
      <c r="I362" s="1">
        <v>51.0</v>
      </c>
    </row>
    <row r="363">
      <c r="A363" s="2" t="s">
        <v>1312</v>
      </c>
      <c r="B363" s="1">
        <v>200.0</v>
      </c>
      <c r="C363" s="1" t="s">
        <v>1313</v>
      </c>
      <c r="D363" s="1" t="s">
        <v>583</v>
      </c>
      <c r="F363" s="1">
        <v>0.0</v>
      </c>
      <c r="G363" s="1">
        <v>4.0</v>
      </c>
      <c r="H363" s="1">
        <v>0.0</v>
      </c>
      <c r="I363" s="1">
        <v>18.0</v>
      </c>
    </row>
    <row r="364">
      <c r="A364" s="2" t="s">
        <v>1219</v>
      </c>
      <c r="B364" s="1">
        <v>200.0</v>
      </c>
      <c r="C364" s="1" t="s">
        <v>1220</v>
      </c>
      <c r="D364" s="1" t="s">
        <v>583</v>
      </c>
      <c r="F364" s="1">
        <v>0.0</v>
      </c>
      <c r="G364" s="1">
        <v>1399.0</v>
      </c>
      <c r="H364" s="1">
        <v>0.0</v>
      </c>
      <c r="I364" s="1">
        <v>59.83</v>
      </c>
    </row>
    <row r="365">
      <c r="A365" s="2" t="s">
        <v>1223</v>
      </c>
      <c r="B365" s="1">
        <v>200.0</v>
      </c>
      <c r="C365" s="1" t="s">
        <v>1224</v>
      </c>
      <c r="D365" s="1" t="s">
        <v>583</v>
      </c>
      <c r="F365" s="1">
        <v>0.0</v>
      </c>
      <c r="G365" s="1">
        <v>197.0</v>
      </c>
      <c r="H365" s="1">
        <v>0.0</v>
      </c>
      <c r="I365" s="1">
        <v>21.31</v>
      </c>
    </row>
    <row r="366">
      <c r="A366" s="2" t="s">
        <v>1306</v>
      </c>
      <c r="B366" s="1">
        <v>301.0</v>
      </c>
      <c r="D366" s="1" t="s">
        <v>609</v>
      </c>
      <c r="E366" s="1" t="s">
        <v>610</v>
      </c>
    </row>
    <row r="367">
      <c r="A367" s="2" t="s">
        <v>1303</v>
      </c>
      <c r="B367" s="1">
        <v>301.0</v>
      </c>
      <c r="D367" s="1" t="s">
        <v>609</v>
      </c>
      <c r="E367" s="1" t="s">
        <v>610</v>
      </c>
      <c r="F367" s="1">
        <v>0.0</v>
      </c>
      <c r="G367" s="1">
        <v>889.0</v>
      </c>
      <c r="H367" s="1">
        <v>0.0</v>
      </c>
      <c r="I367" s="1">
        <v>19.69</v>
      </c>
    </row>
    <row r="368">
      <c r="A368" s="2" t="s">
        <v>1307</v>
      </c>
      <c r="B368" s="1">
        <v>200.0</v>
      </c>
      <c r="C368" s="1" t="s">
        <v>1308</v>
      </c>
      <c r="D368" s="1" t="s">
        <v>583</v>
      </c>
      <c r="F368" s="1">
        <v>8.0</v>
      </c>
      <c r="G368" s="1">
        <v>8017.0</v>
      </c>
      <c r="H368" s="1">
        <v>0.001</v>
      </c>
      <c r="I368" s="1">
        <v>45.53</v>
      </c>
    </row>
    <row r="369">
      <c r="A369" s="2" t="s">
        <v>1304</v>
      </c>
      <c r="B369" s="1">
        <v>200.0</v>
      </c>
      <c r="C369" s="1" t="s">
        <v>1305</v>
      </c>
      <c r="D369" s="1" t="s">
        <v>583</v>
      </c>
      <c r="F369" s="1">
        <v>1.0</v>
      </c>
      <c r="G369" s="1">
        <v>1656.0</v>
      </c>
      <c r="H369" s="1">
        <v>0.001</v>
      </c>
      <c r="I369" s="1">
        <v>59.59</v>
      </c>
    </row>
    <row r="370">
      <c r="A370" s="2" t="s">
        <v>1299</v>
      </c>
      <c r="B370" s="1">
        <v>200.0</v>
      </c>
      <c r="C370" s="1" t="s">
        <v>846</v>
      </c>
      <c r="D370" s="1" t="s">
        <v>609</v>
      </c>
      <c r="E370" s="1" t="s">
        <v>631</v>
      </c>
    </row>
    <row r="371">
      <c r="A371" s="2" t="s">
        <v>1295</v>
      </c>
      <c r="B371" s="1">
        <v>200.0</v>
      </c>
      <c r="C371" s="1" t="s">
        <v>1296</v>
      </c>
      <c r="D371" s="1" t="s">
        <v>583</v>
      </c>
      <c r="F371" s="1">
        <v>24.0</v>
      </c>
      <c r="G371" s="1">
        <v>9422.0</v>
      </c>
      <c r="H371" s="1">
        <v>0.003</v>
      </c>
      <c r="I371" s="1">
        <v>11.93</v>
      </c>
    </row>
    <row r="372">
      <c r="A372" s="2" t="s">
        <v>1300</v>
      </c>
      <c r="B372" s="1">
        <v>200.0</v>
      </c>
      <c r="C372" s="1" t="s">
        <v>1301</v>
      </c>
      <c r="D372" s="1" t="s">
        <v>583</v>
      </c>
    </row>
    <row r="373">
      <c r="A373" s="2" t="s">
        <v>1297</v>
      </c>
      <c r="B373" s="1">
        <v>200.0</v>
      </c>
      <c r="C373" s="1" t="s">
        <v>1298</v>
      </c>
      <c r="D373" s="1" t="s">
        <v>583</v>
      </c>
    </row>
    <row r="374">
      <c r="A374" s="2" t="s">
        <v>1286</v>
      </c>
      <c r="B374" s="1">
        <v>200.0</v>
      </c>
      <c r="C374" s="1" t="s">
        <v>1287</v>
      </c>
      <c r="D374" s="1" t="s">
        <v>583</v>
      </c>
      <c r="F374" s="1">
        <v>160.0</v>
      </c>
      <c r="G374" s="1">
        <v>20937.0</v>
      </c>
      <c r="H374" s="1">
        <v>0.008</v>
      </c>
      <c r="I374" s="1">
        <v>5.49</v>
      </c>
    </row>
    <row r="375">
      <c r="A375" s="1" t="s">
        <v>1284</v>
      </c>
      <c r="B375" s="1">
        <v>200.0</v>
      </c>
      <c r="C375" s="1" t="s">
        <v>1285</v>
      </c>
      <c r="D375" s="1" t="s">
        <v>583</v>
      </c>
    </row>
    <row r="376">
      <c r="A376" s="2" t="s">
        <v>1294</v>
      </c>
      <c r="B376" s="1">
        <v>200.0</v>
      </c>
      <c r="C376" s="1" t="s">
        <v>605</v>
      </c>
      <c r="D376" s="1" t="s">
        <v>609</v>
      </c>
      <c r="E376" s="1" t="s">
        <v>631</v>
      </c>
    </row>
    <row r="377">
      <c r="A377" s="2" t="s">
        <v>1302</v>
      </c>
      <c r="B377" s="1">
        <v>200.0</v>
      </c>
      <c r="C377" s="1" t="s">
        <v>582</v>
      </c>
      <c r="D377" s="1" t="s">
        <v>583</v>
      </c>
      <c r="F377" s="1">
        <v>0.0</v>
      </c>
      <c r="G377" s="1">
        <v>1.0</v>
      </c>
      <c r="H377" s="1">
        <v>0.0</v>
      </c>
      <c r="I377" s="1">
        <v>135.0</v>
      </c>
    </row>
    <row r="378">
      <c r="A378" s="2" t="s">
        <v>1310</v>
      </c>
      <c r="B378" s="1">
        <v>200.0</v>
      </c>
      <c r="C378" s="1" t="s">
        <v>688</v>
      </c>
      <c r="D378" s="1" t="s">
        <v>609</v>
      </c>
      <c r="E378" s="1" t="s">
        <v>631</v>
      </c>
    </row>
    <row r="379">
      <c r="A379" s="2" t="s">
        <v>1288</v>
      </c>
      <c r="B379" s="1">
        <v>200.0</v>
      </c>
      <c r="C379" s="1" t="s">
        <v>1289</v>
      </c>
      <c r="D379" s="1" t="s">
        <v>583</v>
      </c>
      <c r="F379" s="1">
        <v>3.0</v>
      </c>
      <c r="G379" s="1">
        <v>2946.0</v>
      </c>
      <c r="H379" s="1">
        <v>0.001</v>
      </c>
      <c r="I379" s="1">
        <v>36.64</v>
      </c>
    </row>
    <row r="380">
      <c r="A380" s="2" t="s">
        <v>1283</v>
      </c>
      <c r="B380" s="1">
        <v>301.0</v>
      </c>
      <c r="D380" s="1" t="s">
        <v>609</v>
      </c>
      <c r="E380" s="1" t="s">
        <v>610</v>
      </c>
    </row>
    <row r="381">
      <c r="A381" s="2" t="s">
        <v>1270</v>
      </c>
      <c r="B381" s="1">
        <v>301.0</v>
      </c>
      <c r="D381" s="1" t="s">
        <v>609</v>
      </c>
      <c r="E381" s="1" t="s">
        <v>610</v>
      </c>
    </row>
    <row r="382">
      <c r="A382" s="2" t="s">
        <v>1292</v>
      </c>
      <c r="B382" s="1">
        <v>200.0</v>
      </c>
      <c r="C382" s="1" t="s">
        <v>1293</v>
      </c>
      <c r="D382" s="1" t="s">
        <v>609</v>
      </c>
      <c r="E382" s="1" t="s">
        <v>631</v>
      </c>
    </row>
    <row r="383">
      <c r="A383" s="2" t="s">
        <v>1290</v>
      </c>
      <c r="B383" s="1">
        <v>200.0</v>
      </c>
      <c r="C383" s="1" t="s">
        <v>1291</v>
      </c>
      <c r="D383" s="1" t="s">
        <v>583</v>
      </c>
      <c r="F383" s="1">
        <v>0.0</v>
      </c>
      <c r="G383" s="1">
        <v>269.0</v>
      </c>
      <c r="H383" s="1">
        <v>0.0</v>
      </c>
      <c r="I383" s="1">
        <v>27.41</v>
      </c>
    </row>
    <row r="384">
      <c r="A384" s="2" t="s">
        <v>1279</v>
      </c>
      <c r="B384" s="1">
        <v>200.0</v>
      </c>
      <c r="C384" s="1" t="s">
        <v>1280</v>
      </c>
      <c r="D384" s="1" t="s">
        <v>609</v>
      </c>
      <c r="E384" s="1" t="s">
        <v>631</v>
      </c>
    </row>
    <row r="385">
      <c r="A385" s="2" t="s">
        <v>1275</v>
      </c>
      <c r="B385" s="1">
        <v>200.0</v>
      </c>
      <c r="C385" s="1" t="s">
        <v>1276</v>
      </c>
      <c r="D385" s="1" t="s">
        <v>583</v>
      </c>
      <c r="F385" s="1">
        <v>0.0</v>
      </c>
      <c r="G385" s="1">
        <v>548.0</v>
      </c>
      <c r="H385" s="1">
        <v>0.0</v>
      </c>
      <c r="I385" s="1">
        <v>49.32</v>
      </c>
    </row>
    <row r="386">
      <c r="A386" s="2" t="s">
        <v>1281</v>
      </c>
      <c r="B386" s="1">
        <v>200.0</v>
      </c>
      <c r="C386" s="1" t="s">
        <v>1282</v>
      </c>
      <c r="D386" s="1" t="s">
        <v>609</v>
      </c>
      <c r="E386" s="1" t="s">
        <v>631</v>
      </c>
    </row>
    <row r="387">
      <c r="A387" s="2" t="s">
        <v>1277</v>
      </c>
      <c r="B387" s="1">
        <v>200.0</v>
      </c>
      <c r="C387" s="1" t="s">
        <v>1278</v>
      </c>
      <c r="D387" s="1" t="s">
        <v>609</v>
      </c>
      <c r="E387" s="1" t="s">
        <v>631</v>
      </c>
    </row>
    <row r="388">
      <c r="A388" s="2" t="s">
        <v>1268</v>
      </c>
      <c r="B388" s="1">
        <v>200.0</v>
      </c>
      <c r="C388" s="1" t="s">
        <v>1269</v>
      </c>
      <c r="D388" s="1" t="s">
        <v>609</v>
      </c>
      <c r="E388" s="1" t="s">
        <v>631</v>
      </c>
    </row>
    <row r="389">
      <c r="A389" s="2" t="s">
        <v>1267</v>
      </c>
      <c r="B389" s="1">
        <v>301.0</v>
      </c>
      <c r="D389" s="1" t="s">
        <v>609</v>
      </c>
      <c r="E389" s="1" t="s">
        <v>610</v>
      </c>
    </row>
    <row r="390">
      <c r="A390" s="2" t="s">
        <v>1266</v>
      </c>
      <c r="B390" s="1">
        <v>301.0</v>
      </c>
      <c r="D390" s="1" t="s">
        <v>609</v>
      </c>
      <c r="E390" s="1" t="s">
        <v>610</v>
      </c>
    </row>
    <row r="391">
      <c r="A391" s="2" t="s">
        <v>1264</v>
      </c>
      <c r="B391" s="1">
        <v>301.0</v>
      </c>
      <c r="D391" s="1" t="s">
        <v>609</v>
      </c>
      <c r="E391" s="1" t="s">
        <v>610</v>
      </c>
    </row>
    <row r="392">
      <c r="A392" s="2" t="s">
        <v>1265</v>
      </c>
      <c r="B392" s="1">
        <v>301.0</v>
      </c>
      <c r="D392" s="1" t="s">
        <v>609</v>
      </c>
      <c r="E392" s="1" t="s">
        <v>610</v>
      </c>
    </row>
    <row r="393">
      <c r="A393" s="2" t="s">
        <v>1263</v>
      </c>
      <c r="B393" s="1">
        <v>301.0</v>
      </c>
      <c r="D393" s="1" t="s">
        <v>609</v>
      </c>
      <c r="E393" s="1" t="s">
        <v>610</v>
      </c>
    </row>
    <row r="394">
      <c r="A394" s="2" t="s">
        <v>1257</v>
      </c>
      <c r="B394" s="1">
        <v>301.0</v>
      </c>
      <c r="D394" s="1" t="s">
        <v>609</v>
      </c>
      <c r="E394" s="1" t="s">
        <v>610</v>
      </c>
    </row>
    <row r="395">
      <c r="A395" s="2" t="s">
        <v>1260</v>
      </c>
      <c r="B395" s="1">
        <v>301.0</v>
      </c>
      <c r="D395" s="1" t="s">
        <v>609</v>
      </c>
      <c r="E395" s="1" t="s">
        <v>610</v>
      </c>
    </row>
    <row r="396">
      <c r="A396" s="2" t="s">
        <v>1259</v>
      </c>
      <c r="B396" s="1">
        <v>301.0</v>
      </c>
      <c r="D396" s="1" t="s">
        <v>609</v>
      </c>
      <c r="E396" s="1" t="s">
        <v>610</v>
      </c>
    </row>
    <row r="397">
      <c r="A397" s="2" t="s">
        <v>1256</v>
      </c>
      <c r="B397" s="1">
        <v>301.0</v>
      </c>
      <c r="D397" s="1" t="s">
        <v>609</v>
      </c>
      <c r="E397" s="1" t="s">
        <v>610</v>
      </c>
    </row>
    <row r="398">
      <c r="A398" s="2" t="s">
        <v>1258</v>
      </c>
      <c r="B398" s="1">
        <v>301.0</v>
      </c>
      <c r="D398" s="1" t="s">
        <v>609</v>
      </c>
      <c r="E398" s="1" t="s">
        <v>610</v>
      </c>
    </row>
    <row r="399">
      <c r="A399" s="2" t="s">
        <v>1255</v>
      </c>
      <c r="B399" s="1">
        <v>301.0</v>
      </c>
      <c r="D399" s="1" t="s">
        <v>609</v>
      </c>
      <c r="E399" s="1" t="s">
        <v>610</v>
      </c>
    </row>
    <row r="400">
      <c r="A400" s="2" t="s">
        <v>1254</v>
      </c>
      <c r="B400" s="1">
        <v>301.0</v>
      </c>
      <c r="D400" s="1" t="s">
        <v>609</v>
      </c>
      <c r="E400" s="1" t="s">
        <v>610</v>
      </c>
    </row>
    <row r="401">
      <c r="A401" s="2" t="s">
        <v>1271</v>
      </c>
      <c r="B401" s="1">
        <v>200.0</v>
      </c>
      <c r="C401" s="1" t="s">
        <v>1272</v>
      </c>
      <c r="D401" s="1" t="s">
        <v>609</v>
      </c>
      <c r="E401" s="1" t="s">
        <v>631</v>
      </c>
    </row>
    <row r="402">
      <c r="A402" s="2" t="s">
        <v>1273</v>
      </c>
      <c r="B402" s="1">
        <v>200.0</v>
      </c>
      <c r="C402" s="1" t="s">
        <v>1274</v>
      </c>
      <c r="D402" s="1" t="s">
        <v>609</v>
      </c>
      <c r="E402" s="1" t="s">
        <v>631</v>
      </c>
    </row>
    <row r="403">
      <c r="A403" s="2" t="s">
        <v>1253</v>
      </c>
      <c r="B403" s="1">
        <v>301.0</v>
      </c>
      <c r="D403" s="1" t="s">
        <v>609</v>
      </c>
      <c r="E403" s="1" t="s">
        <v>610</v>
      </c>
      <c r="F403" s="1">
        <v>5.0</v>
      </c>
      <c r="G403" s="1">
        <v>577.0</v>
      </c>
      <c r="H403" s="1">
        <v>0.009</v>
      </c>
      <c r="I403" s="1">
        <v>29.67</v>
      </c>
    </row>
    <row r="404">
      <c r="A404" s="2" t="s">
        <v>1261</v>
      </c>
      <c r="B404" s="1">
        <v>200.0</v>
      </c>
      <c r="C404" s="1" t="s">
        <v>1262</v>
      </c>
      <c r="D404" s="1" t="s">
        <v>609</v>
      </c>
      <c r="E404" s="1" t="s">
        <v>631</v>
      </c>
    </row>
    <row r="405">
      <c r="A405" s="2" t="s">
        <v>1243</v>
      </c>
      <c r="B405" s="1">
        <v>301.0</v>
      </c>
      <c r="D405" s="1" t="s">
        <v>609</v>
      </c>
      <c r="E405" s="1" t="s">
        <v>610</v>
      </c>
    </row>
    <row r="406">
      <c r="A406" s="2" t="s">
        <v>1251</v>
      </c>
      <c r="B406" s="1">
        <v>200.0</v>
      </c>
      <c r="C406" s="1" t="s">
        <v>1252</v>
      </c>
      <c r="D406" s="1" t="s">
        <v>583</v>
      </c>
      <c r="F406" s="1">
        <v>0.0</v>
      </c>
      <c r="G406" s="1">
        <v>39.0</v>
      </c>
      <c r="H406" s="1">
        <v>0.0</v>
      </c>
      <c r="I406" s="1">
        <v>61.41</v>
      </c>
    </row>
    <row r="407">
      <c r="A407" s="2" t="s">
        <v>1245</v>
      </c>
      <c r="B407" s="1">
        <v>301.0</v>
      </c>
      <c r="D407" s="1" t="s">
        <v>609</v>
      </c>
      <c r="E407" s="1" t="s">
        <v>610</v>
      </c>
    </row>
    <row r="408">
      <c r="A408" s="2" t="s">
        <v>1244</v>
      </c>
      <c r="B408" s="1">
        <v>301.0</v>
      </c>
      <c r="D408" s="1" t="s">
        <v>609</v>
      </c>
      <c r="E408" s="1" t="s">
        <v>610</v>
      </c>
    </row>
    <row r="409">
      <c r="A409" s="2" t="s">
        <v>1246</v>
      </c>
      <c r="B409" s="1">
        <v>200.0</v>
      </c>
      <c r="C409" s="1" t="s">
        <v>891</v>
      </c>
      <c r="D409" s="1" t="s">
        <v>583</v>
      </c>
      <c r="F409" s="1">
        <v>0.0</v>
      </c>
      <c r="G409" s="1">
        <v>1058.0</v>
      </c>
      <c r="H409" s="1">
        <v>0.0</v>
      </c>
      <c r="I409" s="1">
        <v>61.09</v>
      </c>
    </row>
    <row r="410">
      <c r="A410" s="2" t="s">
        <v>1250</v>
      </c>
      <c r="B410" s="1">
        <v>200.0</v>
      </c>
      <c r="C410" s="1" t="s">
        <v>976</v>
      </c>
      <c r="D410" s="1" t="s">
        <v>609</v>
      </c>
      <c r="E410" s="1" t="s">
        <v>631</v>
      </c>
    </row>
    <row r="411">
      <c r="A411" s="2" t="s">
        <v>1248</v>
      </c>
      <c r="B411" s="1">
        <v>200.0</v>
      </c>
      <c r="C411" s="1" t="s">
        <v>1249</v>
      </c>
      <c r="D411" s="1" t="s">
        <v>609</v>
      </c>
      <c r="E411" s="1" t="s">
        <v>631</v>
      </c>
    </row>
    <row r="412">
      <c r="A412" s="2" t="s">
        <v>1241</v>
      </c>
      <c r="B412" s="1">
        <v>301.0</v>
      </c>
      <c r="D412" s="1" t="s">
        <v>609</v>
      </c>
      <c r="E412" s="1" t="s">
        <v>610</v>
      </c>
    </row>
    <row r="413">
      <c r="A413" s="2" t="s">
        <v>1247</v>
      </c>
      <c r="B413" s="1">
        <v>200.0</v>
      </c>
      <c r="C413" s="1" t="s">
        <v>908</v>
      </c>
      <c r="D413" s="1" t="s">
        <v>609</v>
      </c>
      <c r="E413" s="1" t="s">
        <v>631</v>
      </c>
    </row>
    <row r="414">
      <c r="A414" s="2" t="s">
        <v>1242</v>
      </c>
      <c r="B414" s="1">
        <v>301.0</v>
      </c>
      <c r="D414" s="1" t="s">
        <v>609</v>
      </c>
      <c r="E414" s="1" t="s">
        <v>610</v>
      </c>
    </row>
    <row r="415">
      <c r="A415" s="2" t="s">
        <v>1238</v>
      </c>
      <c r="B415" s="1">
        <v>301.0</v>
      </c>
      <c r="D415" s="1" t="s">
        <v>609</v>
      </c>
      <c r="E415" s="1" t="s">
        <v>610</v>
      </c>
    </row>
    <row r="416">
      <c r="A416" s="2" t="s">
        <v>1236</v>
      </c>
      <c r="B416" s="1">
        <v>200.0</v>
      </c>
      <c r="C416" s="1" t="s">
        <v>1237</v>
      </c>
      <c r="D416" s="1" t="s">
        <v>609</v>
      </c>
      <c r="E416" s="1" t="s">
        <v>631</v>
      </c>
    </row>
    <row r="417">
      <c r="A417" s="2" t="s">
        <v>1235</v>
      </c>
      <c r="B417" s="1">
        <v>301.0</v>
      </c>
      <c r="D417" s="1" t="s">
        <v>609</v>
      </c>
      <c r="E417" s="1" t="s">
        <v>610</v>
      </c>
    </row>
    <row r="418">
      <c r="A418" s="2" t="s">
        <v>1233</v>
      </c>
      <c r="B418" s="1">
        <v>301.0</v>
      </c>
      <c r="D418" s="1" t="s">
        <v>609</v>
      </c>
      <c r="E418" s="1" t="s">
        <v>610</v>
      </c>
    </row>
    <row r="419">
      <c r="A419" s="2" t="s">
        <v>1232</v>
      </c>
      <c r="B419" s="1">
        <v>301.0</v>
      </c>
      <c r="D419" s="1" t="s">
        <v>609</v>
      </c>
      <c r="E419" s="1" t="s">
        <v>610</v>
      </c>
    </row>
    <row r="420">
      <c r="A420" s="2" t="s">
        <v>1225</v>
      </c>
      <c r="B420" s="1">
        <v>301.0</v>
      </c>
      <c r="D420" s="1" t="s">
        <v>609</v>
      </c>
      <c r="E420" s="1" t="s">
        <v>610</v>
      </c>
    </row>
    <row r="421">
      <c r="A421" s="2" t="s">
        <v>1234</v>
      </c>
      <c r="B421" s="1">
        <v>200.0</v>
      </c>
      <c r="C421" s="1" t="s">
        <v>917</v>
      </c>
      <c r="D421" s="1" t="s">
        <v>583</v>
      </c>
      <c r="F421" s="1">
        <v>0.0</v>
      </c>
      <c r="G421" s="1">
        <v>1088.0</v>
      </c>
      <c r="H421" s="1">
        <v>0.0</v>
      </c>
      <c r="I421" s="1">
        <v>29.5</v>
      </c>
    </row>
    <row r="422">
      <c r="A422" s="2" t="s">
        <v>1228</v>
      </c>
      <c r="B422" s="1">
        <v>200.0</v>
      </c>
      <c r="C422" s="1" t="s">
        <v>1229</v>
      </c>
      <c r="D422" s="1" t="s">
        <v>583</v>
      </c>
      <c r="F422" s="1">
        <v>0.0</v>
      </c>
      <c r="G422" s="1">
        <v>533.0</v>
      </c>
      <c r="H422" s="1">
        <v>0.0</v>
      </c>
      <c r="I422" s="1">
        <v>62.29</v>
      </c>
    </row>
    <row r="423">
      <c r="A423" s="2" t="s">
        <v>1239</v>
      </c>
      <c r="B423" s="1">
        <v>200.0</v>
      </c>
      <c r="C423" s="1" t="s">
        <v>1240</v>
      </c>
      <c r="D423" s="1" t="s">
        <v>583</v>
      </c>
    </row>
    <row r="424">
      <c r="A424" s="2" t="s">
        <v>1309</v>
      </c>
      <c r="B424" s="1">
        <v>301.0</v>
      </c>
      <c r="D424" s="1" t="s">
        <v>609</v>
      </c>
      <c r="E424" s="1" t="s">
        <v>610</v>
      </c>
    </row>
    <row r="425">
      <c r="A425" s="2" t="s">
        <v>1230</v>
      </c>
      <c r="B425" s="1">
        <v>200.0</v>
      </c>
      <c r="C425" s="1" t="s">
        <v>1231</v>
      </c>
      <c r="D425" s="1" t="s">
        <v>609</v>
      </c>
      <c r="E425" s="1" t="s">
        <v>631</v>
      </c>
    </row>
    <row r="426">
      <c r="A426" s="2" t="s">
        <v>1072</v>
      </c>
      <c r="B426" s="1">
        <v>200.0</v>
      </c>
      <c r="C426" s="1" t="s">
        <v>1073</v>
      </c>
      <c r="D426" s="1" t="s">
        <v>583</v>
      </c>
      <c r="F426" s="1">
        <v>2.0</v>
      </c>
      <c r="G426" s="1">
        <v>205.0</v>
      </c>
      <c r="H426" s="1">
        <v>0.01</v>
      </c>
      <c r="I426" s="1">
        <v>51.61</v>
      </c>
    </row>
    <row r="427">
      <c r="A427" s="2" t="s">
        <v>1075</v>
      </c>
      <c r="B427" s="1">
        <v>301.0</v>
      </c>
      <c r="D427" s="1" t="s">
        <v>609</v>
      </c>
      <c r="E427" s="1" t="s">
        <v>610</v>
      </c>
    </row>
    <row r="428">
      <c r="A428" s="2" t="s">
        <v>1076</v>
      </c>
      <c r="B428" s="1">
        <v>200.0</v>
      </c>
      <c r="C428" s="1" t="s">
        <v>1077</v>
      </c>
      <c r="D428" s="1" t="s">
        <v>583</v>
      </c>
      <c r="F428" s="1">
        <v>0.0</v>
      </c>
      <c r="G428" s="1">
        <v>736.0</v>
      </c>
      <c r="H428" s="1">
        <v>0.0</v>
      </c>
      <c r="I428" s="1">
        <v>64.51</v>
      </c>
    </row>
    <row r="429">
      <c r="A429" s="2" t="s">
        <v>1078</v>
      </c>
      <c r="B429" s="1">
        <v>200.0</v>
      </c>
      <c r="C429" s="1" t="s">
        <v>1079</v>
      </c>
      <c r="D429" s="1" t="s">
        <v>583</v>
      </c>
      <c r="F429" s="1">
        <v>0.0</v>
      </c>
      <c r="G429" s="1">
        <v>83.0</v>
      </c>
      <c r="H429" s="1">
        <v>0.0</v>
      </c>
      <c r="I429" s="1">
        <v>15.57</v>
      </c>
    </row>
    <row r="430">
      <c r="A430" s="2" t="s">
        <v>1080</v>
      </c>
      <c r="B430" s="1">
        <v>200.0</v>
      </c>
      <c r="C430" s="1" t="s">
        <v>1081</v>
      </c>
      <c r="D430" s="1" t="s">
        <v>583</v>
      </c>
      <c r="F430" s="1">
        <v>4.0</v>
      </c>
      <c r="G430" s="1">
        <v>73.0</v>
      </c>
      <c r="H430" s="1">
        <v>0.055</v>
      </c>
      <c r="I430" s="1">
        <v>64.74</v>
      </c>
    </row>
    <row r="431">
      <c r="A431" s="2" t="s">
        <v>1086</v>
      </c>
      <c r="B431" s="1">
        <v>200.0</v>
      </c>
      <c r="C431" s="1" t="s">
        <v>1087</v>
      </c>
      <c r="D431" s="1" t="s">
        <v>583</v>
      </c>
      <c r="F431" s="1">
        <v>0.0</v>
      </c>
      <c r="G431" s="1">
        <v>18.0</v>
      </c>
      <c r="H431" s="1">
        <v>0.0</v>
      </c>
      <c r="I431" s="1">
        <v>36.28</v>
      </c>
    </row>
    <row r="432">
      <c r="A432" s="2" t="s">
        <v>1088</v>
      </c>
      <c r="B432" s="1">
        <v>200.0</v>
      </c>
      <c r="C432" s="1" t="s">
        <v>1089</v>
      </c>
      <c r="D432" s="1" t="s">
        <v>583</v>
      </c>
      <c r="F432" s="1">
        <v>0.0</v>
      </c>
      <c r="G432" s="1">
        <v>6.0</v>
      </c>
      <c r="H432" s="1">
        <v>0.0</v>
      </c>
      <c r="I432" s="1">
        <v>39.0</v>
      </c>
    </row>
    <row r="433">
      <c r="A433" s="2" t="s">
        <v>1082</v>
      </c>
      <c r="B433" s="1">
        <v>200.0</v>
      </c>
      <c r="C433" s="1" t="s">
        <v>1083</v>
      </c>
      <c r="D433" s="1" t="s">
        <v>583</v>
      </c>
      <c r="F433" s="1">
        <v>1.0</v>
      </c>
      <c r="G433" s="1">
        <v>78.0</v>
      </c>
      <c r="H433" s="1">
        <v>0.013</v>
      </c>
      <c r="I433" s="1">
        <v>44.64</v>
      </c>
    </row>
    <row r="434">
      <c r="A434" s="2" t="s">
        <v>1084</v>
      </c>
      <c r="B434" s="1">
        <v>200.0</v>
      </c>
      <c r="C434" s="1" t="s">
        <v>1085</v>
      </c>
      <c r="D434" s="1" t="s">
        <v>583</v>
      </c>
      <c r="F434" s="1">
        <v>0.0</v>
      </c>
      <c r="G434" s="1">
        <v>35.0</v>
      </c>
      <c r="H434" s="1">
        <v>0.0</v>
      </c>
      <c r="I434" s="1">
        <v>73.91</v>
      </c>
    </row>
    <row r="435">
      <c r="A435" s="2" t="s">
        <v>1090</v>
      </c>
      <c r="B435" s="1">
        <v>200.0</v>
      </c>
      <c r="C435" s="1" t="s">
        <v>1091</v>
      </c>
      <c r="D435" s="1" t="s">
        <v>583</v>
      </c>
      <c r="F435" s="1">
        <v>0.0</v>
      </c>
      <c r="G435" s="1">
        <v>9.0</v>
      </c>
      <c r="H435" s="1">
        <v>0.0</v>
      </c>
      <c r="I435" s="1">
        <v>17.44</v>
      </c>
    </row>
    <row r="436">
      <c r="A436" s="2" t="s">
        <v>1092</v>
      </c>
      <c r="B436" s="1">
        <v>200.0</v>
      </c>
      <c r="C436" s="1" t="s">
        <v>1093</v>
      </c>
      <c r="D436" s="1" t="s">
        <v>583</v>
      </c>
      <c r="F436" s="1">
        <v>0.0</v>
      </c>
      <c r="G436" s="1">
        <v>75.0</v>
      </c>
      <c r="H436" s="1">
        <v>0.0</v>
      </c>
      <c r="I436" s="1">
        <v>65.49</v>
      </c>
    </row>
    <row r="437">
      <c r="A437" s="2" t="s">
        <v>1107</v>
      </c>
      <c r="B437" s="1">
        <v>200.0</v>
      </c>
      <c r="C437" s="1" t="s">
        <v>1108</v>
      </c>
      <c r="D437" s="1" t="s">
        <v>583</v>
      </c>
      <c r="F437" s="1">
        <v>0.0</v>
      </c>
      <c r="G437" s="1">
        <v>3.0</v>
      </c>
      <c r="H437" s="1">
        <v>0.0</v>
      </c>
      <c r="I437" s="1">
        <v>82.0</v>
      </c>
    </row>
    <row r="438">
      <c r="A438" s="2" t="s">
        <v>1095</v>
      </c>
      <c r="B438" s="1">
        <v>200.0</v>
      </c>
      <c r="C438" s="1" t="s">
        <v>1096</v>
      </c>
      <c r="D438" s="1" t="s">
        <v>583</v>
      </c>
      <c r="F438" s="1">
        <v>0.0</v>
      </c>
      <c r="G438" s="1">
        <v>116.0</v>
      </c>
      <c r="H438" s="1">
        <v>0.0</v>
      </c>
      <c r="I438" s="1">
        <v>59.5</v>
      </c>
    </row>
    <row r="439">
      <c r="A439" s="2" t="s">
        <v>1105</v>
      </c>
      <c r="B439" s="1">
        <v>200.0</v>
      </c>
      <c r="C439" s="1" t="s">
        <v>1106</v>
      </c>
      <c r="D439" s="1" t="s">
        <v>583</v>
      </c>
      <c r="F439" s="1">
        <v>0.0</v>
      </c>
      <c r="G439" s="1">
        <v>1.0</v>
      </c>
      <c r="H439" s="1">
        <v>0.0</v>
      </c>
      <c r="I439" s="1">
        <v>1.0</v>
      </c>
    </row>
    <row r="440">
      <c r="A440" s="2" t="s">
        <v>1094</v>
      </c>
      <c r="B440" s="1">
        <v>301.0</v>
      </c>
      <c r="D440" s="1" t="s">
        <v>609</v>
      </c>
      <c r="E440" s="1" t="s">
        <v>610</v>
      </c>
    </row>
    <row r="441">
      <c r="A441" s="2" t="s">
        <v>1097</v>
      </c>
      <c r="B441" s="1">
        <v>200.0</v>
      </c>
      <c r="C441" s="1" t="s">
        <v>1098</v>
      </c>
      <c r="D441" s="1" t="s">
        <v>583</v>
      </c>
      <c r="F441" s="1">
        <v>0.0</v>
      </c>
      <c r="G441" s="1">
        <v>48.0</v>
      </c>
      <c r="H441" s="1">
        <v>0.0</v>
      </c>
      <c r="I441" s="1">
        <v>62.96</v>
      </c>
    </row>
    <row r="442">
      <c r="A442" s="2" t="s">
        <v>1109</v>
      </c>
      <c r="B442" s="1">
        <v>200.0</v>
      </c>
      <c r="C442" s="1" t="s">
        <v>1110</v>
      </c>
      <c r="D442" s="1" t="s">
        <v>583</v>
      </c>
      <c r="F442" s="1">
        <v>23.0</v>
      </c>
      <c r="G442" s="1">
        <v>1801.0</v>
      </c>
      <c r="H442" s="1">
        <v>0.013</v>
      </c>
      <c r="I442" s="1">
        <v>34.72</v>
      </c>
    </row>
    <row r="443">
      <c r="A443" s="2" t="s">
        <v>1111</v>
      </c>
      <c r="B443" s="1">
        <v>200.0</v>
      </c>
      <c r="C443" s="1" t="s">
        <v>1112</v>
      </c>
      <c r="D443" s="1" t="s">
        <v>583</v>
      </c>
    </row>
    <row r="444">
      <c r="A444" s="2" t="s">
        <v>1113</v>
      </c>
      <c r="B444" s="1">
        <v>200.0</v>
      </c>
      <c r="C444" s="1" t="s">
        <v>1114</v>
      </c>
      <c r="D444" s="1" t="s">
        <v>583</v>
      </c>
      <c r="F444" s="1">
        <v>0.0</v>
      </c>
      <c r="G444" s="1">
        <v>306.0</v>
      </c>
      <c r="H444" s="1">
        <v>0.0</v>
      </c>
      <c r="I444" s="1">
        <v>62.1</v>
      </c>
    </row>
    <row r="445">
      <c r="A445" s="2" t="s">
        <v>1444</v>
      </c>
      <c r="B445" s="1">
        <v>200.0</v>
      </c>
      <c r="C445" s="1" t="s">
        <v>1445</v>
      </c>
      <c r="D445" s="1" t="s">
        <v>583</v>
      </c>
      <c r="F445" s="1">
        <v>0.0</v>
      </c>
      <c r="G445" s="1">
        <v>29.0</v>
      </c>
      <c r="H445" s="1">
        <v>0.0</v>
      </c>
      <c r="I445" s="1">
        <v>5.31</v>
      </c>
    </row>
    <row r="446">
      <c r="A446" s="2" t="s">
        <v>1501</v>
      </c>
      <c r="B446" s="1">
        <v>301.0</v>
      </c>
      <c r="D446" s="1" t="s">
        <v>609</v>
      </c>
      <c r="E446" s="1" t="s">
        <v>610</v>
      </c>
    </row>
    <row r="447">
      <c r="A447" s="2" t="s">
        <v>1486</v>
      </c>
      <c r="B447" s="1">
        <v>200.0</v>
      </c>
      <c r="C447" s="1" t="s">
        <v>1487</v>
      </c>
      <c r="D447" s="1" t="s">
        <v>583</v>
      </c>
      <c r="F447" s="1">
        <v>0.0</v>
      </c>
      <c r="G447" s="1">
        <v>1228.0</v>
      </c>
      <c r="H447" s="1">
        <v>0.0</v>
      </c>
      <c r="I447" s="1">
        <v>60.81</v>
      </c>
    </row>
    <row r="448">
      <c r="A448" s="2" t="s">
        <v>1483</v>
      </c>
      <c r="B448" s="1">
        <v>200.0</v>
      </c>
      <c r="C448" s="1" t="s">
        <v>1484</v>
      </c>
      <c r="D448" s="1" t="s">
        <v>583</v>
      </c>
      <c r="F448" s="1">
        <v>0.0</v>
      </c>
      <c r="G448" s="1">
        <v>910.0</v>
      </c>
      <c r="H448" s="1">
        <v>0.0</v>
      </c>
      <c r="I448" s="1">
        <v>59.76</v>
      </c>
    </row>
    <row r="449">
      <c r="A449" s="2" t="s">
        <v>1481</v>
      </c>
      <c r="B449" s="1">
        <v>200.0</v>
      </c>
      <c r="C449" s="1" t="s">
        <v>1482</v>
      </c>
      <c r="D449" s="1" t="s">
        <v>583</v>
      </c>
      <c r="F449" s="1">
        <v>1.0</v>
      </c>
      <c r="G449" s="1">
        <v>447.0</v>
      </c>
      <c r="H449" s="1">
        <v>0.002</v>
      </c>
      <c r="I449" s="1">
        <v>42.13</v>
      </c>
    </row>
    <row r="450">
      <c r="A450" s="2" t="s">
        <v>1479</v>
      </c>
      <c r="B450" s="1">
        <v>200.0</v>
      </c>
      <c r="C450" s="1" t="s">
        <v>1480</v>
      </c>
      <c r="D450" s="1" t="s">
        <v>583</v>
      </c>
      <c r="F450" s="1">
        <v>0.0</v>
      </c>
      <c r="G450" s="1">
        <v>215.0</v>
      </c>
      <c r="H450" s="1">
        <v>0.0</v>
      </c>
      <c r="I450" s="1">
        <v>19.14</v>
      </c>
    </row>
    <row r="451">
      <c r="A451" s="2" t="s">
        <v>1477</v>
      </c>
      <c r="B451" s="1">
        <v>200.0</v>
      </c>
      <c r="C451" s="1" t="s">
        <v>1478</v>
      </c>
      <c r="D451" s="1" t="s">
        <v>583</v>
      </c>
      <c r="F451" s="1">
        <v>0.0</v>
      </c>
      <c r="G451" s="1">
        <v>33.0</v>
      </c>
      <c r="H451" s="1">
        <v>0.0</v>
      </c>
      <c r="I451" s="1">
        <v>56.3</v>
      </c>
    </row>
    <row r="452">
      <c r="A452" s="2" t="s">
        <v>1475</v>
      </c>
      <c r="B452" s="1">
        <v>200.0</v>
      </c>
      <c r="C452" s="1" t="s">
        <v>1476</v>
      </c>
      <c r="D452" s="1" t="s">
        <v>583</v>
      </c>
      <c r="F452" s="1">
        <v>4.0</v>
      </c>
      <c r="G452" s="1">
        <v>1257.0</v>
      </c>
      <c r="H452" s="1">
        <v>0.003</v>
      </c>
      <c r="I452" s="1">
        <v>52.88</v>
      </c>
    </row>
    <row r="453">
      <c r="A453" s="2" t="s">
        <v>1471</v>
      </c>
      <c r="B453" s="1">
        <v>200.0</v>
      </c>
      <c r="C453" s="1" t="s">
        <v>1472</v>
      </c>
      <c r="D453" s="1" t="s">
        <v>583</v>
      </c>
      <c r="F453" s="1">
        <v>0.0</v>
      </c>
      <c r="G453" s="1">
        <v>112.0</v>
      </c>
      <c r="H453" s="1">
        <v>0.0</v>
      </c>
      <c r="I453" s="1">
        <v>57.21</v>
      </c>
    </row>
    <row r="454">
      <c r="A454" s="2" t="s">
        <v>1473</v>
      </c>
      <c r="B454" s="1">
        <v>200.0</v>
      </c>
      <c r="C454" s="1" t="s">
        <v>1474</v>
      </c>
      <c r="D454" s="1" t="s">
        <v>583</v>
      </c>
      <c r="F454" s="1">
        <v>3.0</v>
      </c>
      <c r="G454" s="1">
        <v>961.0</v>
      </c>
      <c r="H454" s="1">
        <v>0.003</v>
      </c>
      <c r="I454" s="1">
        <v>54.55</v>
      </c>
    </row>
    <row r="455">
      <c r="A455" s="2" t="s">
        <v>1469</v>
      </c>
      <c r="B455" s="1">
        <v>200.0</v>
      </c>
      <c r="C455" s="1" t="s">
        <v>1470</v>
      </c>
      <c r="D455" s="1" t="s">
        <v>583</v>
      </c>
      <c r="F455" s="1">
        <v>3.0</v>
      </c>
      <c r="G455" s="1">
        <v>2821.0</v>
      </c>
      <c r="H455" s="1">
        <v>0.001</v>
      </c>
      <c r="I455" s="1">
        <v>72.7</v>
      </c>
    </row>
    <row r="456">
      <c r="A456" s="2" t="s">
        <v>1500</v>
      </c>
      <c r="B456" s="1">
        <v>301.0</v>
      </c>
      <c r="D456" s="1" t="s">
        <v>609</v>
      </c>
      <c r="E456" s="1" t="s">
        <v>610</v>
      </c>
    </row>
    <row r="457">
      <c r="A457" s="2" t="s">
        <v>1419</v>
      </c>
      <c r="B457" s="1">
        <v>200.0</v>
      </c>
      <c r="C457" s="1" t="s">
        <v>1420</v>
      </c>
      <c r="D457" s="1" t="s">
        <v>583</v>
      </c>
      <c r="F457" s="1">
        <v>2.0</v>
      </c>
      <c r="G457" s="1">
        <v>144.0</v>
      </c>
      <c r="H457" s="1">
        <v>0.014</v>
      </c>
      <c r="I457" s="1">
        <v>10.48</v>
      </c>
    </row>
    <row r="458">
      <c r="A458" s="2" t="s">
        <v>1423</v>
      </c>
      <c r="B458" s="1">
        <v>200.0</v>
      </c>
      <c r="C458" s="1" t="s">
        <v>1424</v>
      </c>
      <c r="D458" s="1" t="s">
        <v>583</v>
      </c>
      <c r="F458" s="1">
        <v>0.0</v>
      </c>
      <c r="G458" s="1">
        <v>61.0</v>
      </c>
      <c r="H458" s="1">
        <v>0.0</v>
      </c>
      <c r="I458" s="1">
        <v>36.3</v>
      </c>
    </row>
    <row r="459">
      <c r="A459" s="2" t="s">
        <v>1421</v>
      </c>
      <c r="B459" s="1">
        <v>200.0</v>
      </c>
      <c r="C459" s="1" t="s">
        <v>1422</v>
      </c>
      <c r="D459" s="1" t="s">
        <v>583</v>
      </c>
    </row>
    <row r="460">
      <c r="A460" s="2" t="s">
        <v>1416</v>
      </c>
      <c r="B460" s="1">
        <v>200.0</v>
      </c>
      <c r="C460" s="1" t="s">
        <v>1417</v>
      </c>
      <c r="D460" s="1" t="s">
        <v>583</v>
      </c>
    </row>
    <row r="461">
      <c r="A461" s="2" t="s">
        <v>1414</v>
      </c>
      <c r="B461" s="1">
        <v>200.0</v>
      </c>
      <c r="C461" s="1" t="s">
        <v>1415</v>
      </c>
      <c r="D461" s="1" t="s">
        <v>583</v>
      </c>
      <c r="F461" s="1">
        <v>0.0</v>
      </c>
      <c r="G461" s="1">
        <v>1.0</v>
      </c>
      <c r="H461" s="1">
        <v>0.0</v>
      </c>
      <c r="I461" s="1">
        <v>10.0</v>
      </c>
    </row>
    <row r="462">
      <c r="A462" s="2" t="s">
        <v>1412</v>
      </c>
      <c r="B462" s="1">
        <v>200.0</v>
      </c>
      <c r="C462" s="1" t="s">
        <v>1413</v>
      </c>
      <c r="D462" s="1" t="s">
        <v>583</v>
      </c>
    </row>
    <row r="463">
      <c r="A463" s="2" t="s">
        <v>1407</v>
      </c>
      <c r="B463" s="1">
        <v>301.0</v>
      </c>
      <c r="D463" s="1" t="s">
        <v>609</v>
      </c>
      <c r="E463" s="1" t="s">
        <v>610</v>
      </c>
    </row>
    <row r="464">
      <c r="A464" s="2" t="s">
        <v>1418</v>
      </c>
      <c r="B464" s="1">
        <v>200.0</v>
      </c>
      <c r="C464" s="1" t="s">
        <v>1293</v>
      </c>
      <c r="D464" s="1" t="s">
        <v>583</v>
      </c>
      <c r="F464" s="1">
        <v>0.0</v>
      </c>
      <c r="G464" s="1">
        <v>585.0</v>
      </c>
      <c r="H464" s="1">
        <v>0.0</v>
      </c>
      <c r="I464" s="1">
        <v>73.53</v>
      </c>
    </row>
    <row r="465">
      <c r="A465" s="2" t="s">
        <v>1408</v>
      </c>
      <c r="B465" s="1">
        <v>200.0</v>
      </c>
      <c r="C465" s="1" t="s">
        <v>1409</v>
      </c>
      <c r="D465" s="1" t="s">
        <v>583</v>
      </c>
      <c r="F465" s="1">
        <v>0.0</v>
      </c>
      <c r="G465" s="1">
        <v>169.0</v>
      </c>
      <c r="H465" s="1">
        <v>0.0</v>
      </c>
      <c r="I465" s="1">
        <v>82.36</v>
      </c>
    </row>
    <row r="466">
      <c r="A466" s="2" t="s">
        <v>1404</v>
      </c>
      <c r="B466" s="1">
        <v>301.0</v>
      </c>
      <c r="D466" s="1" t="s">
        <v>609</v>
      </c>
      <c r="E466" s="1" t="s">
        <v>610</v>
      </c>
    </row>
    <row r="467">
      <c r="A467" s="2" t="s">
        <v>1485</v>
      </c>
      <c r="B467" s="1">
        <v>301.0</v>
      </c>
      <c r="D467" s="1" t="s">
        <v>609</v>
      </c>
      <c r="E467" s="1" t="s">
        <v>610</v>
      </c>
    </row>
    <row r="468">
      <c r="A468" s="2" t="s">
        <v>1410</v>
      </c>
      <c r="B468" s="1">
        <v>200.0</v>
      </c>
      <c r="C468" s="1" t="s">
        <v>1411</v>
      </c>
      <c r="D468" s="1" t="s">
        <v>583</v>
      </c>
    </row>
    <row r="469">
      <c r="A469" s="2" t="s">
        <v>1425</v>
      </c>
      <c r="B469" s="1">
        <v>200.0</v>
      </c>
      <c r="C469" s="1" t="s">
        <v>1426</v>
      </c>
      <c r="D469" s="1" t="s">
        <v>583</v>
      </c>
      <c r="F469" s="1">
        <v>4.0</v>
      </c>
      <c r="G469" s="1">
        <v>1164.0</v>
      </c>
      <c r="H469" s="1">
        <v>0.003</v>
      </c>
      <c r="I469" s="1">
        <v>38.03</v>
      </c>
    </row>
    <row r="470">
      <c r="A470" s="2" t="s">
        <v>1429</v>
      </c>
      <c r="B470" s="1">
        <v>200.0</v>
      </c>
      <c r="C470" s="1" t="s">
        <v>1430</v>
      </c>
      <c r="D470" s="1" t="s">
        <v>583</v>
      </c>
      <c r="F470" s="1">
        <v>0.0</v>
      </c>
      <c r="G470" s="1">
        <v>1.0</v>
      </c>
      <c r="H470" s="1">
        <v>0.0</v>
      </c>
      <c r="I470" s="1">
        <v>10.0</v>
      </c>
    </row>
    <row r="471">
      <c r="A471" s="2" t="s">
        <v>1431</v>
      </c>
      <c r="B471" s="1">
        <v>200.0</v>
      </c>
      <c r="C471" s="1" t="s">
        <v>1432</v>
      </c>
      <c r="D471" s="1" t="s">
        <v>583</v>
      </c>
      <c r="F471" s="1">
        <v>1.0</v>
      </c>
      <c r="G471" s="1">
        <v>481.0</v>
      </c>
      <c r="H471" s="1">
        <v>0.002</v>
      </c>
      <c r="I471" s="1">
        <v>62.73</v>
      </c>
    </row>
    <row r="472">
      <c r="A472" s="2" t="s">
        <v>1427</v>
      </c>
      <c r="B472" s="1">
        <v>200.0</v>
      </c>
      <c r="C472" s="1" t="s">
        <v>1428</v>
      </c>
      <c r="D472" s="1" t="s">
        <v>583</v>
      </c>
      <c r="F472" s="1">
        <v>0.0</v>
      </c>
      <c r="G472" s="1">
        <v>59.0</v>
      </c>
      <c r="H472" s="1">
        <v>0.0</v>
      </c>
      <c r="I472" s="1">
        <v>14.47</v>
      </c>
    </row>
    <row r="473">
      <c r="A473" s="2" t="s">
        <v>1433</v>
      </c>
      <c r="B473" s="1">
        <v>200.0</v>
      </c>
      <c r="C473" s="1" t="s">
        <v>1434</v>
      </c>
      <c r="D473" s="1" t="s">
        <v>583</v>
      </c>
    </row>
    <row r="474">
      <c r="A474" s="2" t="s">
        <v>1438</v>
      </c>
      <c r="B474" s="1">
        <v>200.0</v>
      </c>
      <c r="C474" s="1" t="s">
        <v>1439</v>
      </c>
      <c r="D474" s="1" t="s">
        <v>583</v>
      </c>
      <c r="F474" s="1">
        <v>0.0</v>
      </c>
      <c r="G474" s="1">
        <v>30.0</v>
      </c>
      <c r="H474" s="1">
        <v>0.0</v>
      </c>
      <c r="I474" s="1">
        <v>79.73</v>
      </c>
    </row>
    <row r="475">
      <c r="A475" s="2" t="s">
        <v>1435</v>
      </c>
      <c r="B475" s="1">
        <v>301.0</v>
      </c>
      <c r="D475" s="1" t="s">
        <v>609</v>
      </c>
      <c r="E475" s="1" t="s">
        <v>610</v>
      </c>
    </row>
    <row r="476">
      <c r="A476" s="2" t="s">
        <v>1442</v>
      </c>
      <c r="B476" s="1">
        <v>200.0</v>
      </c>
      <c r="C476" s="1" t="s">
        <v>1443</v>
      </c>
      <c r="D476" s="1" t="s">
        <v>583</v>
      </c>
      <c r="F476" s="1">
        <v>0.0</v>
      </c>
      <c r="G476" s="1">
        <v>14.0</v>
      </c>
      <c r="H476" s="1">
        <v>0.0</v>
      </c>
      <c r="I476" s="1">
        <v>9.93</v>
      </c>
    </row>
    <row r="477">
      <c r="A477" s="2" t="s">
        <v>1436</v>
      </c>
      <c r="B477" s="1">
        <v>200.0</v>
      </c>
      <c r="C477" s="1" t="s">
        <v>1437</v>
      </c>
      <c r="D477" s="1" t="s">
        <v>583</v>
      </c>
      <c r="F477" s="1">
        <v>3.0</v>
      </c>
      <c r="G477" s="1">
        <v>2463.0</v>
      </c>
      <c r="H477" s="1">
        <v>0.001</v>
      </c>
      <c r="I477" s="1">
        <v>42.1</v>
      </c>
    </row>
    <row r="478">
      <c r="A478" s="2" t="s">
        <v>1446</v>
      </c>
      <c r="B478" s="1">
        <v>200.0</v>
      </c>
      <c r="C478" s="1" t="s">
        <v>1447</v>
      </c>
      <c r="D478" s="1" t="s">
        <v>583</v>
      </c>
    </row>
    <row r="479">
      <c r="A479" s="2" t="s">
        <v>1448</v>
      </c>
      <c r="B479" s="1">
        <v>200.0</v>
      </c>
      <c r="C479" s="1" t="s">
        <v>1449</v>
      </c>
      <c r="D479" s="1" t="s">
        <v>583</v>
      </c>
    </row>
    <row r="480">
      <c r="A480" s="2" t="s">
        <v>1440</v>
      </c>
      <c r="B480" s="1">
        <v>200.0</v>
      </c>
      <c r="C480" s="1" t="s">
        <v>1441</v>
      </c>
      <c r="D480" s="1" t="s">
        <v>583</v>
      </c>
      <c r="F480" s="1">
        <v>1.0</v>
      </c>
      <c r="G480" s="1">
        <v>28.0</v>
      </c>
      <c r="H480" s="1">
        <v>0.036</v>
      </c>
      <c r="I480" s="1">
        <v>30.89</v>
      </c>
    </row>
    <row r="481">
      <c r="A481" s="2" t="s">
        <v>1452</v>
      </c>
      <c r="B481" s="1">
        <v>200.0</v>
      </c>
      <c r="C481" s="1" t="s">
        <v>1453</v>
      </c>
      <c r="D481" s="1" t="s">
        <v>583</v>
      </c>
      <c r="F481" s="1">
        <v>3.0</v>
      </c>
      <c r="G481" s="1">
        <v>2848.0</v>
      </c>
      <c r="H481" s="1">
        <v>0.001</v>
      </c>
      <c r="I481" s="1">
        <v>38.29</v>
      </c>
    </row>
    <row r="482">
      <c r="A482" s="2" t="s">
        <v>1454</v>
      </c>
      <c r="B482" s="1">
        <v>200.0</v>
      </c>
      <c r="C482" s="1" t="s">
        <v>1455</v>
      </c>
      <c r="D482" s="1" t="s">
        <v>583</v>
      </c>
      <c r="F482" s="1">
        <v>3.0</v>
      </c>
      <c r="G482" s="1">
        <v>3039.0</v>
      </c>
      <c r="H482" s="1">
        <v>0.001</v>
      </c>
      <c r="I482" s="1">
        <v>52.08</v>
      </c>
    </row>
    <row r="483">
      <c r="A483" s="2" t="s">
        <v>1450</v>
      </c>
      <c r="B483" s="1">
        <v>200.0</v>
      </c>
      <c r="C483" s="1" t="s">
        <v>1451</v>
      </c>
      <c r="D483" s="1" t="s">
        <v>583</v>
      </c>
      <c r="F483" s="1">
        <v>0.0</v>
      </c>
      <c r="G483" s="1">
        <v>19.0</v>
      </c>
      <c r="H483" s="1">
        <v>0.0</v>
      </c>
      <c r="I483" s="1">
        <v>7.37</v>
      </c>
    </row>
    <row r="484">
      <c r="A484" s="2" t="s">
        <v>1460</v>
      </c>
      <c r="B484" s="1">
        <v>200.0</v>
      </c>
      <c r="C484" s="1" t="s">
        <v>1461</v>
      </c>
      <c r="D484" s="1" t="s">
        <v>583</v>
      </c>
      <c r="F484" s="1">
        <v>0.0</v>
      </c>
      <c r="G484" s="1">
        <v>53.0</v>
      </c>
      <c r="H484" s="1">
        <v>0.0</v>
      </c>
      <c r="I484" s="1">
        <v>77.51</v>
      </c>
    </row>
    <row r="485">
      <c r="A485" s="2" t="s">
        <v>1462</v>
      </c>
      <c r="B485" s="1">
        <v>200.0</v>
      </c>
      <c r="C485" s="1" t="s">
        <v>1463</v>
      </c>
      <c r="D485" s="1" t="s">
        <v>583</v>
      </c>
      <c r="F485" s="1">
        <v>2.0</v>
      </c>
      <c r="G485" s="1">
        <v>601.0</v>
      </c>
      <c r="H485" s="1">
        <v>0.003</v>
      </c>
      <c r="I485" s="1">
        <v>23.14</v>
      </c>
    </row>
    <row r="486">
      <c r="A486" s="2" t="s">
        <v>1467</v>
      </c>
      <c r="B486" s="1">
        <v>200.0</v>
      </c>
      <c r="C486" s="1" t="s">
        <v>1468</v>
      </c>
      <c r="D486" s="1" t="s">
        <v>583</v>
      </c>
    </row>
    <row r="487">
      <c r="A487" s="2" t="s">
        <v>1488</v>
      </c>
      <c r="B487" s="1">
        <v>200.0</v>
      </c>
      <c r="C487" s="1" t="s">
        <v>1489</v>
      </c>
      <c r="D487" s="1" t="s">
        <v>583</v>
      </c>
      <c r="F487" s="1">
        <v>2.0</v>
      </c>
      <c r="G487" s="1">
        <v>463.0</v>
      </c>
      <c r="H487" s="1">
        <v>0.004</v>
      </c>
      <c r="I487" s="1">
        <v>3.7</v>
      </c>
    </row>
    <row r="488">
      <c r="A488" s="2" t="s">
        <v>1490</v>
      </c>
      <c r="B488" s="1">
        <v>200.0</v>
      </c>
      <c r="C488" s="1" t="s">
        <v>1491</v>
      </c>
      <c r="D488" s="1" t="s">
        <v>583</v>
      </c>
      <c r="F488" s="1">
        <v>0.0</v>
      </c>
      <c r="G488" s="1">
        <v>4.0</v>
      </c>
      <c r="H488" s="1">
        <v>0.0</v>
      </c>
      <c r="I488" s="1">
        <v>15.25</v>
      </c>
    </row>
    <row r="489">
      <c r="A489" s="2" t="s">
        <v>1464</v>
      </c>
      <c r="B489" s="1">
        <v>301.0</v>
      </c>
      <c r="D489" s="1" t="s">
        <v>609</v>
      </c>
      <c r="E489" s="1" t="s">
        <v>610</v>
      </c>
    </row>
    <row r="490">
      <c r="A490" s="2" t="s">
        <v>1465</v>
      </c>
      <c r="B490" s="1">
        <v>200.0</v>
      </c>
      <c r="C490" s="1" t="s">
        <v>1466</v>
      </c>
      <c r="D490" s="1" t="s">
        <v>583</v>
      </c>
      <c r="F490" s="1">
        <v>0.0</v>
      </c>
      <c r="G490" s="1">
        <v>27.0</v>
      </c>
      <c r="H490" s="1">
        <v>0.0</v>
      </c>
      <c r="I490" s="1">
        <v>73.85</v>
      </c>
    </row>
    <row r="491">
      <c r="A491" s="2" t="s">
        <v>1494</v>
      </c>
      <c r="B491" s="1">
        <v>200.0</v>
      </c>
      <c r="C491" s="1" t="s">
        <v>1495</v>
      </c>
      <c r="D491" s="1" t="s">
        <v>583</v>
      </c>
    </row>
    <row r="492">
      <c r="A492" s="2" t="s">
        <v>1492</v>
      </c>
      <c r="B492" s="1">
        <v>200.0</v>
      </c>
      <c r="C492" s="1" t="s">
        <v>1493</v>
      </c>
      <c r="D492" s="1" t="s">
        <v>583</v>
      </c>
      <c r="F492" s="1">
        <v>0.0</v>
      </c>
      <c r="G492" s="1">
        <v>65.0</v>
      </c>
      <c r="H492" s="1">
        <v>0.0</v>
      </c>
      <c r="I492" s="1">
        <v>17.6</v>
      </c>
    </row>
    <row r="493">
      <c r="A493" s="2" t="s">
        <v>1505</v>
      </c>
      <c r="B493" s="1">
        <v>200.0</v>
      </c>
      <c r="C493" s="1" t="s">
        <v>1506</v>
      </c>
      <c r="D493" s="1" t="s">
        <v>583</v>
      </c>
    </row>
    <row r="494">
      <c r="A494" s="2" t="s">
        <v>1503</v>
      </c>
      <c r="B494" s="1">
        <v>200.0</v>
      </c>
      <c r="C494" s="1" t="s">
        <v>1504</v>
      </c>
      <c r="D494" s="1" t="s">
        <v>583</v>
      </c>
    </row>
    <row r="495">
      <c r="A495" s="2" t="s">
        <v>1496</v>
      </c>
      <c r="B495" s="1">
        <v>200.0</v>
      </c>
      <c r="C495" s="1" t="s">
        <v>1497</v>
      </c>
      <c r="D495" s="1" t="s">
        <v>583</v>
      </c>
      <c r="F495" s="1">
        <v>0.0</v>
      </c>
      <c r="G495" s="1">
        <v>1.0</v>
      </c>
      <c r="H495" s="1">
        <v>0.0</v>
      </c>
      <c r="I495" s="1">
        <v>1.0</v>
      </c>
    </row>
    <row r="496">
      <c r="A496" s="2" t="s">
        <v>1507</v>
      </c>
      <c r="B496" s="1">
        <v>200.0</v>
      </c>
      <c r="C496" s="1" t="s">
        <v>1508</v>
      </c>
      <c r="D496" s="1" t="s">
        <v>583</v>
      </c>
    </row>
    <row r="497">
      <c r="A497" s="2" t="s">
        <v>1498</v>
      </c>
      <c r="B497" s="1">
        <v>200.0</v>
      </c>
      <c r="C497" s="1" t="s">
        <v>1499</v>
      </c>
      <c r="D497" s="1" t="s">
        <v>583</v>
      </c>
    </row>
    <row r="498">
      <c r="A498" s="2" t="s">
        <v>1509</v>
      </c>
      <c r="B498" s="1">
        <v>200.0</v>
      </c>
      <c r="C498" s="1" t="s">
        <v>1510</v>
      </c>
      <c r="D498" s="1" t="s">
        <v>583</v>
      </c>
      <c r="F498" s="1">
        <v>0.0</v>
      </c>
      <c r="G498" s="1">
        <v>8.0</v>
      </c>
      <c r="H498" s="1">
        <v>0.0</v>
      </c>
      <c r="I498" s="1">
        <v>16.5</v>
      </c>
    </row>
    <row r="499">
      <c r="A499" s="2" t="s">
        <v>1502</v>
      </c>
      <c r="B499" s="1">
        <v>301.0</v>
      </c>
      <c r="D499" s="1" t="s">
        <v>609</v>
      </c>
      <c r="E499" s="1" t="s">
        <v>610</v>
      </c>
    </row>
    <row r="500">
      <c r="A500" s="2" t="s">
        <v>1511</v>
      </c>
      <c r="B500" s="1">
        <v>200.0</v>
      </c>
      <c r="C500" s="1" t="s">
        <v>1512</v>
      </c>
      <c r="D500" s="1" t="s">
        <v>583</v>
      </c>
      <c r="F500" s="1">
        <v>1.0</v>
      </c>
      <c r="G500" s="1">
        <v>321.0</v>
      </c>
      <c r="H500" s="1">
        <v>0.003</v>
      </c>
      <c r="I500" s="1">
        <v>76.45</v>
      </c>
    </row>
    <row r="501">
      <c r="A501" s="2" t="s">
        <v>1368</v>
      </c>
      <c r="B501" s="1">
        <v>200.0</v>
      </c>
      <c r="C501" s="1" t="s">
        <v>1231</v>
      </c>
      <c r="D501" s="1" t="s">
        <v>583</v>
      </c>
    </row>
    <row r="502">
      <c r="A502" s="2" t="s">
        <v>1314</v>
      </c>
      <c r="B502" s="1">
        <v>200.0</v>
      </c>
      <c r="C502" s="1" t="s">
        <v>1315</v>
      </c>
      <c r="D502" s="1" t="s">
        <v>609</v>
      </c>
      <c r="E502" s="1" t="s">
        <v>631</v>
      </c>
    </row>
    <row r="503">
      <c r="A503" s="2" t="s">
        <v>1456</v>
      </c>
      <c r="B503" s="1">
        <v>200.0</v>
      </c>
      <c r="C503" s="1" t="s">
        <v>1457</v>
      </c>
      <c r="D503" s="1" t="s">
        <v>583</v>
      </c>
      <c r="F503" s="1">
        <v>0.0</v>
      </c>
      <c r="G503" s="1">
        <v>5.0</v>
      </c>
      <c r="H503" s="1">
        <v>0.0</v>
      </c>
      <c r="I503" s="1">
        <v>13.8</v>
      </c>
    </row>
    <row r="504">
      <c r="A504" s="2" t="s">
        <v>479</v>
      </c>
      <c r="B504" s="1">
        <v>200.0</v>
      </c>
      <c r="C504" s="1" t="s">
        <v>1367</v>
      </c>
      <c r="D504" s="1" t="s">
        <v>583</v>
      </c>
      <c r="F504" s="1">
        <v>0.0</v>
      </c>
      <c r="G504" s="1">
        <v>563.0</v>
      </c>
      <c r="H504" s="1">
        <v>0.0</v>
      </c>
      <c r="I504" s="1">
        <v>54.93</v>
      </c>
    </row>
    <row r="505">
      <c r="A505" s="2" t="s">
        <v>1366</v>
      </c>
      <c r="B505" s="1">
        <v>200.0</v>
      </c>
      <c r="C505" s="1" t="s">
        <v>998</v>
      </c>
      <c r="D505" s="1" t="s">
        <v>609</v>
      </c>
      <c r="E505" s="1" t="s">
        <v>631</v>
      </c>
    </row>
    <row r="506">
      <c r="A506" s="2" t="s">
        <v>1365</v>
      </c>
      <c r="B506" s="1">
        <v>200.0</v>
      </c>
      <c r="C506" s="1" t="s">
        <v>1199</v>
      </c>
      <c r="D506" s="1" t="s">
        <v>609</v>
      </c>
      <c r="E506" s="1" t="s">
        <v>631</v>
      </c>
    </row>
    <row r="507">
      <c r="A507" s="2" t="s">
        <v>1364</v>
      </c>
      <c r="B507" s="1">
        <v>200.0</v>
      </c>
      <c r="C507" s="1" t="s">
        <v>905</v>
      </c>
      <c r="D507" s="1" t="s">
        <v>609</v>
      </c>
      <c r="E507" s="1" t="s">
        <v>631</v>
      </c>
    </row>
    <row r="508">
      <c r="A508" s="2" t="s">
        <v>1362</v>
      </c>
      <c r="B508" s="1">
        <v>301.0</v>
      </c>
      <c r="D508" s="1" t="s">
        <v>609</v>
      </c>
      <c r="E508" s="1" t="s">
        <v>610</v>
      </c>
    </row>
    <row r="509">
      <c r="A509" s="2" t="s">
        <v>1361</v>
      </c>
      <c r="B509" s="1">
        <v>200.0</v>
      </c>
      <c r="C509" s="1" t="s">
        <v>680</v>
      </c>
      <c r="D509" s="1" t="s">
        <v>609</v>
      </c>
      <c r="E509" s="1" t="s">
        <v>631</v>
      </c>
    </row>
    <row r="510">
      <c r="A510" s="2" t="s">
        <v>1356</v>
      </c>
      <c r="B510" s="1">
        <v>200.0</v>
      </c>
      <c r="C510" s="1" t="s">
        <v>1262</v>
      </c>
      <c r="D510" s="1" t="s">
        <v>583</v>
      </c>
      <c r="F510" s="1">
        <v>1.0</v>
      </c>
      <c r="G510" s="1">
        <v>91.0</v>
      </c>
      <c r="H510" s="1">
        <v>0.011</v>
      </c>
      <c r="I510" s="1">
        <v>14.11</v>
      </c>
    </row>
    <row r="511">
      <c r="A511" s="2" t="s">
        <v>1357</v>
      </c>
      <c r="B511" s="1">
        <v>301.0</v>
      </c>
      <c r="D511" s="1" t="s">
        <v>609</v>
      </c>
      <c r="E511" s="1" t="s">
        <v>610</v>
      </c>
    </row>
    <row r="512">
      <c r="A512" s="2" t="s">
        <v>1352</v>
      </c>
      <c r="B512" s="1">
        <v>301.0</v>
      </c>
      <c r="D512" s="1" t="s">
        <v>609</v>
      </c>
      <c r="E512" s="1" t="s">
        <v>610</v>
      </c>
    </row>
    <row r="513">
      <c r="A513" s="2" t="s">
        <v>1353</v>
      </c>
      <c r="B513" s="1">
        <v>200.0</v>
      </c>
      <c r="C513" s="1" t="s">
        <v>1274</v>
      </c>
      <c r="D513" s="1" t="s">
        <v>583</v>
      </c>
    </row>
    <row r="514">
      <c r="A514" s="2" t="s">
        <v>511</v>
      </c>
      <c r="B514" s="1">
        <v>200.0</v>
      </c>
      <c r="C514" s="1" t="s">
        <v>1272</v>
      </c>
      <c r="D514" s="1" t="s">
        <v>583</v>
      </c>
      <c r="F514" s="1">
        <v>0.0</v>
      </c>
      <c r="G514" s="1">
        <v>87.0</v>
      </c>
      <c r="H514" s="1">
        <v>0.0</v>
      </c>
      <c r="I514" s="1">
        <v>55.64</v>
      </c>
    </row>
    <row r="515">
      <c r="A515" s="2" t="s">
        <v>1355</v>
      </c>
      <c r="B515" s="1">
        <v>200.0</v>
      </c>
      <c r="C515" s="1" t="s">
        <v>1249</v>
      </c>
      <c r="D515" s="1" t="s">
        <v>583</v>
      </c>
      <c r="F515" s="1">
        <v>2.0</v>
      </c>
      <c r="G515" s="1">
        <v>299.0</v>
      </c>
      <c r="H515" s="1">
        <v>0.007</v>
      </c>
      <c r="I515" s="1">
        <v>41.67</v>
      </c>
    </row>
    <row r="516">
      <c r="A516" s="2" t="s">
        <v>1360</v>
      </c>
      <c r="B516" s="1">
        <v>200.0</v>
      </c>
      <c r="C516" s="1" t="s">
        <v>656</v>
      </c>
      <c r="D516" s="1" t="s">
        <v>609</v>
      </c>
      <c r="E516" s="1" t="s">
        <v>631</v>
      </c>
    </row>
    <row r="517">
      <c r="A517" s="2" t="s">
        <v>1358</v>
      </c>
      <c r="B517" s="1">
        <v>200.0</v>
      </c>
      <c r="C517" s="1" t="s">
        <v>1359</v>
      </c>
      <c r="D517" s="1" t="s">
        <v>583</v>
      </c>
      <c r="F517" s="1">
        <v>0.0</v>
      </c>
      <c r="G517" s="1">
        <v>65.0</v>
      </c>
      <c r="H517" s="1">
        <v>0.0</v>
      </c>
      <c r="I517" s="1">
        <v>24.18</v>
      </c>
    </row>
    <row r="518">
      <c r="A518" s="2" t="s">
        <v>1354</v>
      </c>
      <c r="B518" s="1">
        <v>200.0</v>
      </c>
      <c r="C518" s="1" t="s">
        <v>1269</v>
      </c>
      <c r="D518" s="1" t="s">
        <v>583</v>
      </c>
    </row>
    <row r="519">
      <c r="A519" s="2" t="s">
        <v>1349</v>
      </c>
      <c r="B519" s="1">
        <v>301.0</v>
      </c>
      <c r="D519" s="1" t="s">
        <v>609</v>
      </c>
      <c r="E519" s="1" t="s">
        <v>610</v>
      </c>
    </row>
    <row r="520">
      <c r="A520" s="2" t="s">
        <v>1350</v>
      </c>
      <c r="B520" s="1">
        <v>200.0</v>
      </c>
      <c r="C520" s="1" t="s">
        <v>1278</v>
      </c>
      <c r="D520" s="1" t="s">
        <v>583</v>
      </c>
      <c r="F520" s="1">
        <v>20.0</v>
      </c>
      <c r="G520" s="1">
        <v>1541.0</v>
      </c>
      <c r="H520" s="1">
        <v>0.013</v>
      </c>
      <c r="I520" s="1">
        <v>42.11</v>
      </c>
    </row>
    <row r="521">
      <c r="A521" s="2" t="s">
        <v>1347</v>
      </c>
      <c r="B521" s="1">
        <v>301.0</v>
      </c>
      <c r="D521" s="1" t="s">
        <v>609</v>
      </c>
      <c r="E521" s="1" t="s">
        <v>610</v>
      </c>
    </row>
    <row r="522">
      <c r="A522" s="2" t="s">
        <v>1344</v>
      </c>
      <c r="B522" s="1">
        <v>200.0</v>
      </c>
      <c r="C522" s="1" t="s">
        <v>1282</v>
      </c>
      <c r="D522" s="1" t="s">
        <v>583</v>
      </c>
    </row>
    <row r="523">
      <c r="A523" s="2" t="s">
        <v>1363</v>
      </c>
      <c r="B523" s="1">
        <v>200.0</v>
      </c>
      <c r="C523" s="1" t="s">
        <v>1237</v>
      </c>
      <c r="D523" s="1" t="s">
        <v>583</v>
      </c>
      <c r="F523" s="1">
        <v>0.0</v>
      </c>
      <c r="G523" s="1">
        <v>12.0</v>
      </c>
      <c r="H523" s="1">
        <v>0.0</v>
      </c>
      <c r="I523" s="1">
        <v>49.83</v>
      </c>
    </row>
    <row r="524">
      <c r="A524" s="2" t="s">
        <v>1351</v>
      </c>
      <c r="B524" s="1">
        <v>200.0</v>
      </c>
      <c r="C524" s="1" t="s">
        <v>1280</v>
      </c>
      <c r="D524" s="1" t="s">
        <v>583</v>
      </c>
      <c r="F524" s="1">
        <v>0.0</v>
      </c>
      <c r="G524" s="1">
        <v>134.0</v>
      </c>
      <c r="H524" s="1">
        <v>0.0</v>
      </c>
      <c r="I524" s="1">
        <v>43.13</v>
      </c>
    </row>
    <row r="525">
      <c r="A525" s="2" t="s">
        <v>1348</v>
      </c>
      <c r="B525" s="1">
        <v>200.0</v>
      </c>
      <c r="C525" s="1" t="s">
        <v>612</v>
      </c>
      <c r="D525" s="1" t="s">
        <v>583</v>
      </c>
    </row>
    <row r="526">
      <c r="A526" s="2" t="s">
        <v>1458</v>
      </c>
      <c r="B526" s="1">
        <v>200.0</v>
      </c>
      <c r="C526" s="1" t="s">
        <v>1459</v>
      </c>
      <c r="D526" s="1" t="s">
        <v>583</v>
      </c>
    </row>
    <row r="527">
      <c r="A527" s="2" t="s">
        <v>1331</v>
      </c>
      <c r="B527" s="1">
        <v>200.0</v>
      </c>
      <c r="C527" s="1" t="s">
        <v>1332</v>
      </c>
      <c r="D527" s="1" t="s">
        <v>583</v>
      </c>
      <c r="F527" s="1">
        <v>9.0</v>
      </c>
      <c r="G527" s="1">
        <v>2225.0</v>
      </c>
      <c r="H527" s="1">
        <v>0.004</v>
      </c>
      <c r="I527" s="1">
        <v>16.07</v>
      </c>
    </row>
    <row r="528">
      <c r="A528" s="2" t="s">
        <v>1329</v>
      </c>
      <c r="B528" s="1">
        <v>200.0</v>
      </c>
      <c r="C528" s="1" t="s">
        <v>1330</v>
      </c>
      <c r="D528" s="1" t="s">
        <v>583</v>
      </c>
      <c r="F528" s="1">
        <v>0.0</v>
      </c>
      <c r="G528" s="1">
        <v>8.0</v>
      </c>
      <c r="H528" s="1">
        <v>0.0</v>
      </c>
      <c r="I528" s="1">
        <v>21.63</v>
      </c>
    </row>
    <row r="529">
      <c r="A529" s="2" t="s">
        <v>1333</v>
      </c>
      <c r="B529" s="1">
        <v>200.0</v>
      </c>
      <c r="C529" s="1" t="s">
        <v>846</v>
      </c>
      <c r="D529" s="1" t="s">
        <v>609</v>
      </c>
      <c r="E529" s="1" t="s">
        <v>631</v>
      </c>
      <c r="F529" s="1">
        <v>0.0</v>
      </c>
      <c r="G529" s="1">
        <v>3.0</v>
      </c>
      <c r="H529" s="1">
        <v>0.0</v>
      </c>
      <c r="I529" s="1">
        <v>38.67</v>
      </c>
    </row>
    <row r="530">
      <c r="A530" s="2" t="s">
        <v>1338</v>
      </c>
      <c r="B530" s="1">
        <v>200.0</v>
      </c>
      <c r="C530" s="1" t="s">
        <v>582</v>
      </c>
      <c r="D530" s="1" t="s">
        <v>583</v>
      </c>
      <c r="F530" s="1">
        <v>0.0</v>
      </c>
      <c r="G530" s="1">
        <v>2.0</v>
      </c>
      <c r="H530" s="1">
        <v>0.0</v>
      </c>
      <c r="I530" s="1">
        <v>4.5</v>
      </c>
    </row>
    <row r="531">
      <c r="A531" s="2" t="s">
        <v>1336</v>
      </c>
      <c r="B531" s="1">
        <v>200.0</v>
      </c>
      <c r="C531" s="1" t="s">
        <v>1337</v>
      </c>
      <c r="D531" s="1" t="s">
        <v>583</v>
      </c>
    </row>
    <row r="532">
      <c r="A532" s="2" t="s">
        <v>1334</v>
      </c>
      <c r="B532" s="1">
        <v>200.0</v>
      </c>
      <c r="C532" s="1" t="s">
        <v>1335</v>
      </c>
      <c r="D532" s="1" t="s">
        <v>583</v>
      </c>
    </row>
    <row r="533">
      <c r="A533" s="2" t="s">
        <v>1342</v>
      </c>
      <c r="B533" s="1">
        <v>200.0</v>
      </c>
      <c r="C533" s="1" t="s">
        <v>1343</v>
      </c>
      <c r="D533" s="1" t="s">
        <v>583</v>
      </c>
    </row>
    <row r="534">
      <c r="A534" s="2" t="s">
        <v>1339</v>
      </c>
      <c r="B534" s="1">
        <v>301.0</v>
      </c>
      <c r="D534" s="1" t="s">
        <v>609</v>
      </c>
      <c r="E534" s="1" t="s">
        <v>610</v>
      </c>
    </row>
    <row r="535">
      <c r="A535" s="2" t="s">
        <v>1345</v>
      </c>
      <c r="B535" s="1">
        <v>200.0</v>
      </c>
      <c r="C535" s="1" t="s">
        <v>1346</v>
      </c>
      <c r="D535" s="1" t="s">
        <v>583</v>
      </c>
      <c r="F535" s="1">
        <v>0.0</v>
      </c>
      <c r="G535" s="1">
        <v>4.0</v>
      </c>
      <c r="H535" s="1">
        <v>0.0</v>
      </c>
      <c r="I535" s="1">
        <v>7.5</v>
      </c>
    </row>
    <row r="536">
      <c r="A536" s="2" t="s">
        <v>1318</v>
      </c>
      <c r="B536" s="1">
        <v>200.0</v>
      </c>
      <c r="C536" s="1" t="s">
        <v>1319</v>
      </c>
      <c r="D536" s="1" t="s">
        <v>583</v>
      </c>
      <c r="F536" s="1">
        <v>1.0</v>
      </c>
      <c r="G536" s="1">
        <v>1412.0</v>
      </c>
      <c r="H536" s="1">
        <v>0.001</v>
      </c>
      <c r="I536" s="1">
        <v>25.93</v>
      </c>
    </row>
    <row r="537">
      <c r="A537" s="2" t="s">
        <v>1340</v>
      </c>
      <c r="B537" s="1">
        <v>200.0</v>
      </c>
      <c r="C537" s="1" t="s">
        <v>1341</v>
      </c>
      <c r="D537" s="1" t="s">
        <v>583</v>
      </c>
    </row>
    <row r="538">
      <c r="A538" s="2" t="s">
        <v>1323</v>
      </c>
      <c r="B538" s="1">
        <v>301.0</v>
      </c>
      <c r="D538" s="1" t="s">
        <v>609</v>
      </c>
      <c r="E538" s="1" t="s">
        <v>610</v>
      </c>
    </row>
    <row r="539">
      <c r="A539" s="2" t="s">
        <v>1326</v>
      </c>
      <c r="B539" s="1">
        <v>301.0</v>
      </c>
      <c r="D539" s="1" t="s">
        <v>609</v>
      </c>
      <c r="E539" s="1" t="s">
        <v>610</v>
      </c>
    </row>
    <row r="540">
      <c r="A540" s="2" t="s">
        <v>1320</v>
      </c>
      <c r="B540" s="1">
        <v>301.0</v>
      </c>
      <c r="D540" s="1" t="s">
        <v>609</v>
      </c>
      <c r="E540" s="1" t="s">
        <v>610</v>
      </c>
      <c r="F540" s="1">
        <v>1.0</v>
      </c>
      <c r="G540" s="1">
        <v>198.0</v>
      </c>
      <c r="H540" s="1">
        <v>0.005</v>
      </c>
      <c r="I540" s="1">
        <v>7.8</v>
      </c>
    </row>
    <row r="541">
      <c r="A541" s="2" t="s">
        <v>1371</v>
      </c>
      <c r="B541" s="1">
        <v>200.0</v>
      </c>
      <c r="C541" s="1" t="s">
        <v>1372</v>
      </c>
      <c r="D541" s="1" t="s">
        <v>583</v>
      </c>
      <c r="F541" s="1">
        <v>1.0</v>
      </c>
      <c r="G541" s="1">
        <v>5.0</v>
      </c>
      <c r="H541" s="1">
        <v>0.2</v>
      </c>
      <c r="I541" s="1">
        <v>24.6</v>
      </c>
    </row>
    <row r="542">
      <c r="A542" s="2" t="s">
        <v>1369</v>
      </c>
      <c r="B542" s="1">
        <v>200.0</v>
      </c>
      <c r="C542" s="1" t="s">
        <v>1370</v>
      </c>
      <c r="D542" s="1" t="s">
        <v>583</v>
      </c>
    </row>
    <row r="543">
      <c r="A543" s="2" t="s">
        <v>1324</v>
      </c>
      <c r="B543" s="1">
        <v>200.0</v>
      </c>
      <c r="C543" s="1" t="s">
        <v>1325</v>
      </c>
      <c r="D543" s="1" t="s">
        <v>583</v>
      </c>
    </row>
    <row r="544">
      <c r="A544" s="2" t="s">
        <v>1327</v>
      </c>
      <c r="B544" s="1">
        <v>200.0</v>
      </c>
      <c r="C544" s="1" t="s">
        <v>1328</v>
      </c>
      <c r="D544" s="1" t="s">
        <v>583</v>
      </c>
      <c r="F544" s="1">
        <v>1.0</v>
      </c>
      <c r="G544" s="1">
        <v>1978.0</v>
      </c>
      <c r="H544" s="1">
        <v>0.0</v>
      </c>
      <c r="I544" s="1">
        <v>52.94</v>
      </c>
    </row>
    <row r="545">
      <c r="A545" s="2" t="s">
        <v>1321</v>
      </c>
      <c r="B545" s="1">
        <v>200.0</v>
      </c>
      <c r="C545" s="1" t="s">
        <v>1322</v>
      </c>
      <c r="D545" s="1" t="s">
        <v>583</v>
      </c>
    </row>
    <row r="546">
      <c r="A546" s="2" t="s">
        <v>1316</v>
      </c>
      <c r="B546" s="1">
        <v>200.0</v>
      </c>
      <c r="C546" s="1" t="s">
        <v>1317</v>
      </c>
      <c r="D546" s="1" t="s">
        <v>583</v>
      </c>
    </row>
    <row r="547">
      <c r="A547" s="2" t="s">
        <v>1376</v>
      </c>
      <c r="B547" s="1">
        <v>200.0</v>
      </c>
      <c r="C547" s="1" t="s">
        <v>1377</v>
      </c>
      <c r="D547" s="1" t="s">
        <v>583</v>
      </c>
      <c r="F547" s="1">
        <v>0.0</v>
      </c>
      <c r="G547" s="1">
        <v>1117.0</v>
      </c>
      <c r="H547" s="1">
        <v>0.0</v>
      </c>
      <c r="I547" s="1">
        <v>23.04</v>
      </c>
    </row>
    <row r="548">
      <c r="A548" s="2" t="s">
        <v>1373</v>
      </c>
      <c r="B548" s="1">
        <v>301.0</v>
      </c>
      <c r="D548" s="1" t="s">
        <v>609</v>
      </c>
      <c r="E548" s="1" t="s">
        <v>610</v>
      </c>
    </row>
    <row r="549">
      <c r="A549" s="2" t="s">
        <v>1374</v>
      </c>
      <c r="B549" s="1">
        <v>200.0</v>
      </c>
      <c r="C549" s="1" t="s">
        <v>1375</v>
      </c>
      <c r="D549" s="1" t="s">
        <v>583</v>
      </c>
      <c r="F549" s="1">
        <v>0.0</v>
      </c>
      <c r="G549" s="1">
        <v>167.0</v>
      </c>
      <c r="H549" s="1">
        <v>0.0</v>
      </c>
      <c r="I549" s="1">
        <v>76.41</v>
      </c>
    </row>
    <row r="550">
      <c r="A550" s="2" t="s">
        <v>1378</v>
      </c>
      <c r="B550" s="1">
        <v>200.0</v>
      </c>
      <c r="C550" s="1" t="s">
        <v>1379</v>
      </c>
      <c r="D550" s="1" t="s">
        <v>583</v>
      </c>
      <c r="F550" s="1">
        <v>0.0</v>
      </c>
      <c r="G550" s="1">
        <v>261.0</v>
      </c>
      <c r="H550" s="1">
        <v>0.0</v>
      </c>
      <c r="I550" s="1">
        <v>8.51</v>
      </c>
    </row>
    <row r="551">
      <c r="A551" s="2" t="s">
        <v>1380</v>
      </c>
      <c r="B551" s="1">
        <v>200.0</v>
      </c>
      <c r="C551" s="1" t="s">
        <v>1381</v>
      </c>
      <c r="D551" s="1" t="s">
        <v>583</v>
      </c>
      <c r="F551" s="1">
        <v>0.0</v>
      </c>
      <c r="G551" s="1">
        <v>323.0</v>
      </c>
      <c r="H551" s="1">
        <v>0.0</v>
      </c>
      <c r="I551" s="1">
        <v>52.23</v>
      </c>
    </row>
    <row r="552">
      <c r="A552" s="2" t="s">
        <v>1382</v>
      </c>
      <c r="B552" s="1">
        <v>200.0</v>
      </c>
      <c r="C552" s="1" t="s">
        <v>1383</v>
      </c>
      <c r="D552" s="1" t="s">
        <v>583</v>
      </c>
      <c r="F552" s="1">
        <v>0.0</v>
      </c>
      <c r="G552" s="1">
        <v>1383.0</v>
      </c>
      <c r="H552" s="1">
        <v>0.0</v>
      </c>
      <c r="I552" s="1">
        <v>40.3</v>
      </c>
    </row>
    <row r="553">
      <c r="A553" s="2" t="s">
        <v>1387</v>
      </c>
      <c r="B553" s="1">
        <v>200.0</v>
      </c>
      <c r="C553" s="1" t="s">
        <v>1388</v>
      </c>
      <c r="D553" s="1" t="s">
        <v>583</v>
      </c>
      <c r="F553" s="1">
        <v>0.0</v>
      </c>
      <c r="G553" s="1">
        <v>8.0</v>
      </c>
      <c r="H553" s="1">
        <v>0.0</v>
      </c>
      <c r="I553" s="1">
        <v>79.75</v>
      </c>
    </row>
    <row r="554">
      <c r="A554" s="2" t="s">
        <v>1396</v>
      </c>
      <c r="B554" s="1">
        <v>200.0</v>
      </c>
      <c r="C554" s="1" t="s">
        <v>1397</v>
      </c>
      <c r="D554" s="1" t="s">
        <v>583</v>
      </c>
      <c r="F554" s="1">
        <v>0.0</v>
      </c>
      <c r="G554" s="1">
        <v>604.0</v>
      </c>
      <c r="H554" s="1">
        <v>0.0</v>
      </c>
      <c r="I554" s="1">
        <v>61.06</v>
      </c>
    </row>
    <row r="555">
      <c r="A555" s="2" t="s">
        <v>1389</v>
      </c>
      <c r="B555" s="1">
        <v>301.0</v>
      </c>
      <c r="D555" s="1" t="s">
        <v>609</v>
      </c>
      <c r="E555" s="1" t="s">
        <v>610</v>
      </c>
    </row>
    <row r="556">
      <c r="A556" s="2" t="s">
        <v>1386</v>
      </c>
      <c r="B556" s="1">
        <v>301.0</v>
      </c>
      <c r="D556" s="1" t="s">
        <v>609</v>
      </c>
      <c r="E556" s="1" t="s">
        <v>610</v>
      </c>
    </row>
    <row r="557">
      <c r="A557" s="2" t="s">
        <v>1390</v>
      </c>
      <c r="B557" s="1">
        <v>301.0</v>
      </c>
      <c r="D557" s="1" t="s">
        <v>609</v>
      </c>
      <c r="E557" s="1" t="s">
        <v>610</v>
      </c>
    </row>
    <row r="558">
      <c r="A558" s="2" t="s">
        <v>1392</v>
      </c>
      <c r="B558" s="1">
        <v>301.0</v>
      </c>
      <c r="D558" s="1" t="s">
        <v>609</v>
      </c>
      <c r="E558" s="1" t="s">
        <v>610</v>
      </c>
    </row>
    <row r="559">
      <c r="A559" s="2" t="s">
        <v>1391</v>
      </c>
      <c r="B559" s="1">
        <v>301.0</v>
      </c>
      <c r="D559" s="1" t="s">
        <v>609</v>
      </c>
      <c r="E559" s="1" t="s">
        <v>610</v>
      </c>
    </row>
    <row r="560">
      <c r="A560" s="2" t="s">
        <v>1394</v>
      </c>
      <c r="B560" s="1">
        <v>200.0</v>
      </c>
      <c r="C560" s="1" t="s">
        <v>1395</v>
      </c>
      <c r="D560" s="1" t="s">
        <v>583</v>
      </c>
      <c r="F560" s="1">
        <v>0.0</v>
      </c>
      <c r="G560" s="1">
        <v>122.0</v>
      </c>
      <c r="H560" s="1">
        <v>0.0</v>
      </c>
      <c r="I560" s="1">
        <v>64.24</v>
      </c>
    </row>
    <row r="561">
      <c r="A561" s="2" t="s">
        <v>1384</v>
      </c>
      <c r="B561" s="1">
        <v>301.0</v>
      </c>
      <c r="D561" s="1" t="s">
        <v>609</v>
      </c>
      <c r="E561" s="1" t="s">
        <v>610</v>
      </c>
    </row>
    <row r="562">
      <c r="A562" s="2" t="s">
        <v>1385</v>
      </c>
      <c r="B562" s="1">
        <v>301.0</v>
      </c>
      <c r="D562" s="1" t="s">
        <v>609</v>
      </c>
      <c r="E562" s="1" t="s">
        <v>610</v>
      </c>
    </row>
    <row r="563">
      <c r="A563" s="2" t="s">
        <v>1393</v>
      </c>
      <c r="B563" s="1">
        <v>301.0</v>
      </c>
      <c r="D563" s="1" t="s">
        <v>609</v>
      </c>
      <c r="E563" s="1" t="s">
        <v>610</v>
      </c>
    </row>
    <row r="564">
      <c r="A564" s="2" t="s">
        <v>1400</v>
      </c>
      <c r="B564" s="1">
        <v>200.0</v>
      </c>
      <c r="C564" s="1" t="s">
        <v>1401</v>
      </c>
      <c r="D564" s="1" t="s">
        <v>583</v>
      </c>
      <c r="F564" s="1">
        <v>0.0</v>
      </c>
      <c r="G564" s="1">
        <v>4615.0</v>
      </c>
      <c r="H564" s="1">
        <v>0.0</v>
      </c>
      <c r="I564" s="1">
        <v>68.46</v>
      </c>
    </row>
    <row r="565">
      <c r="A565" s="2" t="s">
        <v>1402</v>
      </c>
      <c r="B565" s="1">
        <v>200.0</v>
      </c>
      <c r="C565" s="1" t="s">
        <v>652</v>
      </c>
      <c r="D565" s="1" t="s">
        <v>609</v>
      </c>
      <c r="E565" s="1" t="s">
        <v>631</v>
      </c>
    </row>
    <row r="566">
      <c r="A566" s="2" t="s">
        <v>1403</v>
      </c>
      <c r="B566" s="1">
        <v>200.0</v>
      </c>
      <c r="C566" s="1" t="s">
        <v>988</v>
      </c>
      <c r="D566" s="1" t="s">
        <v>609</v>
      </c>
      <c r="E566" s="1" t="s">
        <v>631</v>
      </c>
    </row>
    <row r="567">
      <c r="A567" s="2" t="s">
        <v>1398</v>
      </c>
      <c r="B567" s="1">
        <v>200.0</v>
      </c>
      <c r="C567" s="1" t="s">
        <v>1399</v>
      </c>
      <c r="D567" s="1" t="s">
        <v>583</v>
      </c>
      <c r="F567" s="1">
        <v>0.0</v>
      </c>
      <c r="G567" s="1">
        <v>214.0</v>
      </c>
      <c r="H567" s="1">
        <v>0.0</v>
      </c>
      <c r="I567" s="1">
        <v>50.32</v>
      </c>
    </row>
    <row r="568">
      <c r="A568" s="2" t="s">
        <v>1405</v>
      </c>
      <c r="B568" s="1">
        <v>200.0</v>
      </c>
      <c r="C568" s="1" t="s">
        <v>1406</v>
      </c>
      <c r="D568" s="1" t="s">
        <v>583</v>
      </c>
      <c r="F568" s="1">
        <v>0.0</v>
      </c>
      <c r="G568" s="1">
        <v>2.0</v>
      </c>
      <c r="H568" s="1">
        <v>0.0</v>
      </c>
      <c r="I568" s="1">
        <v>4.5</v>
      </c>
    </row>
    <row r="569">
      <c r="A569" s="2" t="s">
        <v>1636</v>
      </c>
      <c r="B569" s="1">
        <v>200.0</v>
      </c>
      <c r="C569" s="1" t="s">
        <v>1637</v>
      </c>
      <c r="D569" s="1" t="s">
        <v>583</v>
      </c>
    </row>
    <row r="570">
      <c r="A570" s="2" t="s">
        <v>1634</v>
      </c>
      <c r="B570" s="1">
        <v>301.0</v>
      </c>
      <c r="D570" s="1" t="s">
        <v>609</v>
      </c>
      <c r="E570" s="1" t="s">
        <v>610</v>
      </c>
    </row>
    <row r="571">
      <c r="A571" s="2" t="s">
        <v>1632</v>
      </c>
      <c r="B571" s="1">
        <v>301.0</v>
      </c>
      <c r="D571" s="1" t="s">
        <v>609</v>
      </c>
      <c r="E571" s="1" t="s">
        <v>610</v>
      </c>
    </row>
    <row r="572">
      <c r="A572" s="2" t="s">
        <v>1642</v>
      </c>
      <c r="B572" s="1">
        <v>200.0</v>
      </c>
      <c r="C572" s="1" t="s">
        <v>1643</v>
      </c>
      <c r="D572" s="1" t="s">
        <v>583</v>
      </c>
      <c r="F572" s="1">
        <v>0.0</v>
      </c>
      <c r="G572" s="1">
        <v>75.0</v>
      </c>
      <c r="H572" s="1">
        <v>0.0</v>
      </c>
      <c r="I572" s="1">
        <v>20.88</v>
      </c>
    </row>
    <row r="573">
      <c r="A573" s="2" t="s">
        <v>1635</v>
      </c>
      <c r="B573" s="1">
        <v>301.0</v>
      </c>
      <c r="D573" s="1" t="s">
        <v>609</v>
      </c>
      <c r="E573" s="1" t="s">
        <v>610</v>
      </c>
    </row>
    <row r="574">
      <c r="A574" s="2" t="s">
        <v>1648</v>
      </c>
      <c r="B574" s="1">
        <v>200.0</v>
      </c>
      <c r="C574" s="1" t="s">
        <v>1649</v>
      </c>
      <c r="D574" s="1" t="s">
        <v>583</v>
      </c>
      <c r="F574" s="1">
        <v>0.0</v>
      </c>
      <c r="G574" s="1">
        <v>243.0</v>
      </c>
      <c r="H574" s="1">
        <v>0.0</v>
      </c>
      <c r="I574" s="1">
        <v>52.97</v>
      </c>
    </row>
    <row r="575">
      <c r="A575" s="2" t="s">
        <v>1638</v>
      </c>
      <c r="B575" s="1">
        <v>200.0</v>
      </c>
      <c r="C575" s="1" t="s">
        <v>1639</v>
      </c>
      <c r="D575" s="1" t="s">
        <v>583</v>
      </c>
      <c r="F575" s="1">
        <v>0.0</v>
      </c>
      <c r="G575" s="1">
        <v>551.0</v>
      </c>
      <c r="H575" s="1">
        <v>0.0</v>
      </c>
      <c r="I575" s="1">
        <v>72.15</v>
      </c>
    </row>
    <row r="576">
      <c r="A576" s="2" t="s">
        <v>1646</v>
      </c>
      <c r="B576" s="1">
        <v>200.0</v>
      </c>
      <c r="C576" s="1" t="s">
        <v>1647</v>
      </c>
      <c r="D576" s="1" t="s">
        <v>583</v>
      </c>
      <c r="F576" s="1">
        <v>0.0</v>
      </c>
      <c r="G576" s="1">
        <v>117.0</v>
      </c>
      <c r="H576" s="1">
        <v>0.0</v>
      </c>
      <c r="I576" s="1">
        <v>43.21</v>
      </c>
    </row>
    <row r="577">
      <c r="A577" s="2" t="s">
        <v>1640</v>
      </c>
      <c r="B577" s="1">
        <v>200.0</v>
      </c>
      <c r="C577" s="1" t="s">
        <v>1641</v>
      </c>
      <c r="D577" s="1" t="s">
        <v>583</v>
      </c>
      <c r="F577" s="1">
        <v>0.0</v>
      </c>
      <c r="G577" s="1">
        <v>37.0</v>
      </c>
      <c r="H577" s="1">
        <v>0.0</v>
      </c>
      <c r="I577" s="1">
        <v>45.41</v>
      </c>
    </row>
    <row r="578">
      <c r="A578" s="2" t="s">
        <v>1650</v>
      </c>
      <c r="B578" s="1">
        <v>200.0</v>
      </c>
      <c r="C578" s="1" t="s">
        <v>1651</v>
      </c>
      <c r="D578" s="1" t="s">
        <v>583</v>
      </c>
      <c r="F578" s="1">
        <v>3.0</v>
      </c>
      <c r="G578" s="1">
        <v>902.0</v>
      </c>
      <c r="H578" s="1">
        <v>0.003</v>
      </c>
      <c r="I578" s="1">
        <v>43.99</v>
      </c>
    </row>
    <row r="579">
      <c r="A579" s="2" t="s">
        <v>1644</v>
      </c>
      <c r="B579" s="1">
        <v>200.0</v>
      </c>
      <c r="C579" s="1" t="s">
        <v>1645</v>
      </c>
      <c r="D579" s="1" t="s">
        <v>583</v>
      </c>
      <c r="F579" s="1">
        <v>0.0</v>
      </c>
      <c r="G579" s="1">
        <v>377.0</v>
      </c>
      <c r="H579" s="1">
        <v>0.0</v>
      </c>
      <c r="I579" s="1">
        <v>50.47</v>
      </c>
    </row>
    <row r="580">
      <c r="A580" s="2" t="s">
        <v>1652</v>
      </c>
      <c r="B580" s="1">
        <v>200.0</v>
      </c>
      <c r="C580" s="1" t="s">
        <v>1653</v>
      </c>
      <c r="D580" s="1" t="s">
        <v>609</v>
      </c>
      <c r="E580" s="1" t="s">
        <v>631</v>
      </c>
    </row>
    <row r="581">
      <c r="A581" s="2" t="s">
        <v>1654</v>
      </c>
      <c r="B581" s="1">
        <v>200.0</v>
      </c>
      <c r="C581" s="1" t="s">
        <v>1655</v>
      </c>
      <c r="D581" s="1" t="s">
        <v>583</v>
      </c>
      <c r="F581" s="1">
        <v>0.0</v>
      </c>
      <c r="G581" s="1">
        <v>207.0</v>
      </c>
      <c r="H581" s="1">
        <v>0.0</v>
      </c>
      <c r="I581" s="1">
        <v>14.23</v>
      </c>
    </row>
    <row r="582">
      <c r="A582" s="2" t="s">
        <v>1719</v>
      </c>
      <c r="B582" s="1">
        <v>200.0</v>
      </c>
      <c r="C582" s="1" t="s">
        <v>1720</v>
      </c>
      <c r="D582" s="1" t="s">
        <v>583</v>
      </c>
      <c r="F582" s="1">
        <v>0.0</v>
      </c>
      <c r="G582" s="1">
        <v>997.0</v>
      </c>
      <c r="H582" s="1">
        <v>0.0</v>
      </c>
      <c r="I582" s="1">
        <v>35.13</v>
      </c>
    </row>
    <row r="583">
      <c r="A583" s="2" t="s">
        <v>1713</v>
      </c>
      <c r="B583" s="1">
        <v>200.0</v>
      </c>
      <c r="C583" s="1" t="s">
        <v>1714</v>
      </c>
      <c r="D583" s="1" t="s">
        <v>583</v>
      </c>
      <c r="F583" s="1">
        <v>0.0</v>
      </c>
      <c r="G583" s="1">
        <v>900.0</v>
      </c>
      <c r="H583" s="1">
        <v>0.0</v>
      </c>
      <c r="I583" s="1">
        <v>50.8</v>
      </c>
    </row>
    <row r="584">
      <c r="A584" s="2" t="s">
        <v>1698</v>
      </c>
      <c r="B584" s="1">
        <v>200.0</v>
      </c>
      <c r="C584" s="1" t="s">
        <v>1699</v>
      </c>
      <c r="D584" s="1" t="s">
        <v>583</v>
      </c>
    </row>
    <row r="585">
      <c r="A585" s="2" t="s">
        <v>1691</v>
      </c>
      <c r="B585" s="1">
        <v>200.0</v>
      </c>
      <c r="C585" s="1" t="s">
        <v>1692</v>
      </c>
      <c r="D585" s="1" t="s">
        <v>583</v>
      </c>
      <c r="F585" s="1">
        <v>1.0</v>
      </c>
      <c r="G585" s="1">
        <v>771.0</v>
      </c>
      <c r="H585" s="1">
        <v>0.001</v>
      </c>
      <c r="I585" s="1">
        <v>43.28</v>
      </c>
    </row>
    <row r="586">
      <c r="A586" s="2" t="s">
        <v>1689</v>
      </c>
      <c r="B586" s="1">
        <v>200.0</v>
      </c>
      <c r="C586" s="1" t="s">
        <v>1690</v>
      </c>
      <c r="D586" s="1" t="s">
        <v>583</v>
      </c>
      <c r="F586" s="1">
        <v>0.0</v>
      </c>
      <c r="G586" s="1">
        <v>334.0</v>
      </c>
      <c r="H586" s="1">
        <v>0.0</v>
      </c>
      <c r="I586" s="1">
        <v>71.44</v>
      </c>
    </row>
    <row r="587">
      <c r="A587" s="2" t="s">
        <v>1693</v>
      </c>
      <c r="B587" s="1">
        <v>200.0</v>
      </c>
      <c r="C587" s="1" t="s">
        <v>1694</v>
      </c>
      <c r="D587" s="1" t="s">
        <v>583</v>
      </c>
    </row>
    <row r="588">
      <c r="A588" s="2" t="s">
        <v>1695</v>
      </c>
      <c r="B588" s="1">
        <v>200.0</v>
      </c>
      <c r="C588" s="1" t="s">
        <v>1696</v>
      </c>
      <c r="D588" s="1" t="s">
        <v>583</v>
      </c>
    </row>
    <row r="589">
      <c r="A589" s="2" t="s">
        <v>1700</v>
      </c>
      <c r="B589" s="1">
        <v>200.0</v>
      </c>
      <c r="C589" s="1" t="s">
        <v>1701</v>
      </c>
      <c r="D589" s="1" t="s">
        <v>583</v>
      </c>
      <c r="F589" s="1">
        <v>0.0</v>
      </c>
      <c r="G589" s="1">
        <v>52.0</v>
      </c>
      <c r="H589" s="1">
        <v>0.0</v>
      </c>
      <c r="I589" s="1">
        <v>32.73</v>
      </c>
    </row>
    <row r="590">
      <c r="A590" s="2" t="s">
        <v>1697</v>
      </c>
      <c r="B590" s="1">
        <v>200.0</v>
      </c>
      <c r="C590" s="1" t="s">
        <v>1220</v>
      </c>
      <c r="D590" s="1" t="s">
        <v>609</v>
      </c>
      <c r="E590" s="1" t="s">
        <v>631</v>
      </c>
    </row>
    <row r="591">
      <c r="A591" s="2" t="s">
        <v>1706</v>
      </c>
      <c r="B591" s="1">
        <v>200.0</v>
      </c>
      <c r="C591" s="1" t="s">
        <v>1216</v>
      </c>
      <c r="D591" s="1" t="s">
        <v>609</v>
      </c>
      <c r="E591" s="1" t="s">
        <v>631</v>
      </c>
    </row>
    <row r="592">
      <c r="A592" s="2" t="s">
        <v>1704</v>
      </c>
      <c r="B592" s="1">
        <v>200.0</v>
      </c>
      <c r="C592" s="1" t="s">
        <v>1705</v>
      </c>
      <c r="D592" s="1" t="s">
        <v>583</v>
      </c>
      <c r="F592" s="1">
        <v>0.0</v>
      </c>
      <c r="G592" s="1">
        <v>4797.0</v>
      </c>
      <c r="H592" s="1">
        <v>0.0</v>
      </c>
      <c r="I592" s="1">
        <v>52.41</v>
      </c>
    </row>
    <row r="593">
      <c r="A593" s="2" t="s">
        <v>1702</v>
      </c>
      <c r="B593" s="1">
        <v>200.0</v>
      </c>
      <c r="C593" s="1" t="s">
        <v>1703</v>
      </c>
      <c r="D593" s="1" t="s">
        <v>583</v>
      </c>
      <c r="F593" s="1">
        <v>0.0</v>
      </c>
      <c r="G593" s="1">
        <v>327.0</v>
      </c>
      <c r="H593" s="1">
        <v>0.0</v>
      </c>
      <c r="I593" s="1">
        <v>61.13</v>
      </c>
    </row>
    <row r="594">
      <c r="A594" s="2" t="s">
        <v>1708</v>
      </c>
      <c r="B594" s="1">
        <v>200.0</v>
      </c>
      <c r="C594" s="1" t="s">
        <v>1709</v>
      </c>
      <c r="D594" s="1" t="s">
        <v>583</v>
      </c>
      <c r="F594" s="1">
        <v>0.0</v>
      </c>
      <c r="G594" s="1">
        <v>682.0</v>
      </c>
      <c r="H594" s="1">
        <v>0.0</v>
      </c>
      <c r="I594" s="1">
        <v>80.5</v>
      </c>
    </row>
    <row r="595">
      <c r="A595" s="2" t="s">
        <v>1711</v>
      </c>
      <c r="B595" s="1">
        <v>200.0</v>
      </c>
      <c r="C595" s="1" t="s">
        <v>1712</v>
      </c>
      <c r="D595" s="1" t="s">
        <v>609</v>
      </c>
      <c r="E595" s="1" t="s">
        <v>631</v>
      </c>
    </row>
    <row r="596">
      <c r="A596" s="2" t="s">
        <v>1715</v>
      </c>
      <c r="B596" s="1">
        <v>200.0</v>
      </c>
      <c r="C596" s="1" t="s">
        <v>1716</v>
      </c>
      <c r="D596" s="1" t="s">
        <v>583</v>
      </c>
      <c r="F596" s="1">
        <v>0.0</v>
      </c>
      <c r="G596" s="1">
        <v>116.0</v>
      </c>
      <c r="H596" s="1">
        <v>0.0</v>
      </c>
      <c r="I596" s="1">
        <v>20.25</v>
      </c>
    </row>
    <row r="597">
      <c r="A597" s="2" t="s">
        <v>1717</v>
      </c>
      <c r="B597" s="1">
        <v>200.0</v>
      </c>
      <c r="C597" s="1" t="s">
        <v>1718</v>
      </c>
      <c r="D597" s="1" t="s">
        <v>583</v>
      </c>
      <c r="F597" s="1">
        <v>0.0</v>
      </c>
      <c r="G597" s="1">
        <v>2.0</v>
      </c>
      <c r="H597" s="1">
        <v>0.0</v>
      </c>
      <c r="I597" s="1">
        <v>11.5</v>
      </c>
    </row>
    <row r="598">
      <c r="A598" s="2" t="s">
        <v>1667</v>
      </c>
      <c r="B598" s="1">
        <v>200.0</v>
      </c>
      <c r="C598" s="1" t="s">
        <v>1668</v>
      </c>
      <c r="D598" s="1" t="s">
        <v>583</v>
      </c>
      <c r="F598" s="1">
        <v>0.0</v>
      </c>
      <c r="G598" s="1">
        <v>1068.0</v>
      </c>
      <c r="H598" s="1">
        <v>0.0</v>
      </c>
      <c r="I598" s="1">
        <v>41.36</v>
      </c>
    </row>
    <row r="599">
      <c r="A599" s="2" t="s">
        <v>1665</v>
      </c>
      <c r="B599" s="1">
        <v>200.0</v>
      </c>
      <c r="C599" s="1" t="s">
        <v>1666</v>
      </c>
      <c r="D599" s="1" t="s">
        <v>583</v>
      </c>
      <c r="F599" s="1">
        <v>0.0</v>
      </c>
      <c r="G599" s="1">
        <v>312.0</v>
      </c>
      <c r="H599" s="1">
        <v>0.0</v>
      </c>
      <c r="I599" s="1">
        <v>60.92</v>
      </c>
    </row>
    <row r="600">
      <c r="A600" s="2" t="s">
        <v>1671</v>
      </c>
      <c r="B600" s="1">
        <v>200.0</v>
      </c>
      <c r="C600" s="1" t="s">
        <v>1672</v>
      </c>
      <c r="D600" s="1" t="s">
        <v>583</v>
      </c>
      <c r="F600" s="1">
        <v>0.0</v>
      </c>
      <c r="G600" s="1">
        <v>159.0</v>
      </c>
      <c r="H600" s="1">
        <v>0.0</v>
      </c>
      <c r="I600" s="1">
        <v>49.65</v>
      </c>
    </row>
    <row r="601">
      <c r="A601" s="2" t="s">
        <v>1674</v>
      </c>
      <c r="B601" s="1">
        <v>200.0</v>
      </c>
      <c r="C601" s="1" t="s">
        <v>1675</v>
      </c>
      <c r="D601" s="1" t="s">
        <v>583</v>
      </c>
      <c r="F601" s="1">
        <v>0.0</v>
      </c>
      <c r="G601" s="1">
        <v>1.0</v>
      </c>
      <c r="H601" s="1">
        <v>0.0</v>
      </c>
      <c r="I601" s="1">
        <v>33.0</v>
      </c>
    </row>
    <row r="602">
      <c r="A602" s="2" t="s">
        <v>1676</v>
      </c>
      <c r="B602" s="1">
        <v>200.0</v>
      </c>
      <c r="C602" s="1" t="s">
        <v>1677</v>
      </c>
      <c r="D602" s="1" t="s">
        <v>583</v>
      </c>
      <c r="F602" s="1">
        <v>0.0</v>
      </c>
      <c r="G602" s="1">
        <v>2.0</v>
      </c>
      <c r="H602" s="1">
        <v>0.0</v>
      </c>
      <c r="I602" s="1">
        <v>8.0</v>
      </c>
    </row>
    <row r="603">
      <c r="A603" s="2" t="s">
        <v>1678</v>
      </c>
      <c r="B603" s="1">
        <v>200.0</v>
      </c>
      <c r="C603" s="1" t="s">
        <v>1679</v>
      </c>
      <c r="D603" s="1" t="s">
        <v>583</v>
      </c>
      <c r="F603" s="1">
        <v>0.0</v>
      </c>
      <c r="G603" s="1">
        <v>7.0</v>
      </c>
      <c r="H603" s="1">
        <v>0.0</v>
      </c>
      <c r="I603" s="1">
        <v>21.14</v>
      </c>
    </row>
    <row r="604">
      <c r="A604" s="2" t="s">
        <v>1680</v>
      </c>
      <c r="B604" s="1">
        <v>200.0</v>
      </c>
      <c r="C604" s="1" t="s">
        <v>1681</v>
      </c>
      <c r="D604" s="1" t="s">
        <v>583</v>
      </c>
    </row>
    <row r="605">
      <c r="A605" s="2" t="s">
        <v>1684</v>
      </c>
      <c r="B605" s="1">
        <v>200.0</v>
      </c>
      <c r="C605" s="1" t="s">
        <v>846</v>
      </c>
      <c r="D605" s="1" t="s">
        <v>609</v>
      </c>
      <c r="E605" s="1" t="s">
        <v>631</v>
      </c>
    </row>
    <row r="606">
      <c r="A606" s="2" t="s">
        <v>1682</v>
      </c>
      <c r="B606" s="1">
        <v>200.0</v>
      </c>
      <c r="C606" s="1" t="s">
        <v>1683</v>
      </c>
      <c r="D606" s="1" t="s">
        <v>583</v>
      </c>
      <c r="F606" s="1">
        <v>0.0</v>
      </c>
      <c r="G606" s="1">
        <v>5.0</v>
      </c>
      <c r="H606" s="1">
        <v>0.0</v>
      </c>
      <c r="I606" s="1">
        <v>20.2</v>
      </c>
    </row>
    <row r="607">
      <c r="A607" s="2" t="s">
        <v>1673</v>
      </c>
      <c r="B607" s="1">
        <v>200.0</v>
      </c>
      <c r="C607" s="1" t="s">
        <v>582</v>
      </c>
      <c r="D607" s="1" t="s">
        <v>583</v>
      </c>
    </row>
    <row r="608">
      <c r="A608" s="2" t="s">
        <v>1687</v>
      </c>
      <c r="B608" s="1">
        <v>200.0</v>
      </c>
      <c r="C608" s="1" t="s">
        <v>1688</v>
      </c>
      <c r="D608" s="1" t="s">
        <v>583</v>
      </c>
    </row>
    <row r="609">
      <c r="A609" s="2" t="s">
        <v>1685</v>
      </c>
      <c r="B609" s="1">
        <v>200.0</v>
      </c>
      <c r="C609" s="1" t="s">
        <v>1686</v>
      </c>
      <c r="D609" s="1" t="s">
        <v>583</v>
      </c>
      <c r="F609" s="1">
        <v>31.0</v>
      </c>
      <c r="G609" s="1">
        <v>6121.0</v>
      </c>
      <c r="H609" s="1">
        <v>0.005</v>
      </c>
      <c r="I609" s="1">
        <v>9.17</v>
      </c>
    </row>
    <row r="610">
      <c r="A610" s="2" t="s">
        <v>1558</v>
      </c>
      <c r="B610" s="1">
        <v>200.0</v>
      </c>
      <c r="C610" s="1" t="s">
        <v>1559</v>
      </c>
      <c r="D610" s="1" t="s">
        <v>583</v>
      </c>
      <c r="F610" s="1">
        <v>0.0</v>
      </c>
      <c r="G610" s="1">
        <v>1.0</v>
      </c>
      <c r="H610" s="1">
        <v>0.0</v>
      </c>
      <c r="I610" s="1">
        <v>4.0</v>
      </c>
    </row>
    <row r="611">
      <c r="A611" s="2" t="s">
        <v>1560</v>
      </c>
      <c r="B611" s="1">
        <v>200.0</v>
      </c>
      <c r="C611" s="1" t="s">
        <v>1561</v>
      </c>
      <c r="D611" s="1" t="s">
        <v>583</v>
      </c>
      <c r="F611" s="1">
        <v>0.0</v>
      </c>
      <c r="G611" s="1">
        <v>85.0</v>
      </c>
      <c r="H611" s="1">
        <v>0.0</v>
      </c>
      <c r="I611" s="1">
        <v>55.29</v>
      </c>
    </row>
    <row r="612">
      <c r="A612" s="2" t="s">
        <v>1669</v>
      </c>
      <c r="B612" s="1">
        <v>200.0</v>
      </c>
      <c r="C612" s="1" t="s">
        <v>1670</v>
      </c>
      <c r="D612" s="1" t="s">
        <v>583</v>
      </c>
      <c r="F612" s="1">
        <v>1.0</v>
      </c>
      <c r="G612" s="1">
        <v>183.0</v>
      </c>
      <c r="H612" s="1">
        <v>0.005</v>
      </c>
      <c r="I612" s="1">
        <v>6.95</v>
      </c>
    </row>
    <row r="613">
      <c r="A613" s="2" t="s">
        <v>1659</v>
      </c>
      <c r="B613" s="1">
        <v>200.0</v>
      </c>
      <c r="C613" s="1" t="s">
        <v>898</v>
      </c>
      <c r="D613" s="1" t="s">
        <v>609</v>
      </c>
      <c r="E613" s="1" t="s">
        <v>631</v>
      </c>
    </row>
    <row r="614">
      <c r="A614" s="2" t="s">
        <v>1660</v>
      </c>
      <c r="B614" s="1">
        <v>200.0</v>
      </c>
      <c r="C614" s="1" t="s">
        <v>1661</v>
      </c>
      <c r="D614" s="1" t="s">
        <v>583</v>
      </c>
      <c r="F614" s="1">
        <v>0.0</v>
      </c>
      <c r="G614" s="1">
        <v>5.0</v>
      </c>
      <c r="H614" s="1">
        <v>0.0</v>
      </c>
      <c r="I614" s="1">
        <v>6.8</v>
      </c>
    </row>
    <row r="615">
      <c r="A615" s="2" t="s">
        <v>1663</v>
      </c>
      <c r="B615" s="1">
        <v>200.0</v>
      </c>
      <c r="C615" s="1" t="s">
        <v>1664</v>
      </c>
      <c r="D615" s="1" t="s">
        <v>609</v>
      </c>
      <c r="E615" s="1" t="s">
        <v>631</v>
      </c>
    </row>
    <row r="616">
      <c r="A616" s="2" t="s">
        <v>1662</v>
      </c>
      <c r="B616" s="1">
        <v>200.0</v>
      </c>
      <c r="C616" s="1" t="s">
        <v>853</v>
      </c>
      <c r="D616" s="1" t="s">
        <v>609</v>
      </c>
      <c r="E616" s="1" t="s">
        <v>631</v>
      </c>
    </row>
    <row r="617">
      <c r="A617" s="2" t="s">
        <v>1656</v>
      </c>
      <c r="B617" s="1">
        <v>200.0</v>
      </c>
      <c r="C617" s="1" t="s">
        <v>625</v>
      </c>
      <c r="D617" s="1" t="s">
        <v>583</v>
      </c>
    </row>
    <row r="618">
      <c r="A618" s="2" t="s">
        <v>1724</v>
      </c>
      <c r="B618" s="1">
        <v>200.0</v>
      </c>
      <c r="C618" s="1" t="s">
        <v>1315</v>
      </c>
      <c r="D618" s="1" t="s">
        <v>583</v>
      </c>
      <c r="F618" s="1">
        <v>0.0</v>
      </c>
      <c r="G618" s="1">
        <v>1087.0</v>
      </c>
      <c r="H618" s="1">
        <v>0.0</v>
      </c>
      <c r="I618" s="1">
        <v>44.78</v>
      </c>
    </row>
    <row r="619">
      <c r="A619" s="2" t="s">
        <v>1513</v>
      </c>
      <c r="B619" s="1">
        <v>200.0</v>
      </c>
      <c r="C619" s="1" t="s">
        <v>1514</v>
      </c>
      <c r="D619" s="1" t="s">
        <v>583</v>
      </c>
      <c r="F619" s="1">
        <v>0.0</v>
      </c>
      <c r="G619" s="1">
        <v>52.0</v>
      </c>
      <c r="H619" s="1">
        <v>0.0</v>
      </c>
      <c r="I619" s="1">
        <v>55.17</v>
      </c>
    </row>
    <row r="620">
      <c r="A620" s="2" t="s">
        <v>1522</v>
      </c>
      <c r="B620" s="1">
        <v>200.0</v>
      </c>
      <c r="C620" s="1" t="s">
        <v>1523</v>
      </c>
      <c r="D620" s="1" t="s">
        <v>583</v>
      </c>
      <c r="F620" s="1">
        <v>0.0</v>
      </c>
      <c r="G620" s="1">
        <v>1.0</v>
      </c>
      <c r="H620" s="1">
        <v>0.0</v>
      </c>
      <c r="I620" s="1">
        <v>11.0</v>
      </c>
    </row>
    <row r="621">
      <c r="A621" s="2" t="s">
        <v>1515</v>
      </c>
      <c r="B621" s="1">
        <v>200.0</v>
      </c>
      <c r="C621" s="1" t="s">
        <v>1516</v>
      </c>
      <c r="D621" s="1" t="s">
        <v>583</v>
      </c>
      <c r="F621" s="1">
        <v>1.0</v>
      </c>
      <c r="G621" s="1">
        <v>5.0</v>
      </c>
      <c r="H621" s="1">
        <v>0.2</v>
      </c>
      <c r="I621" s="1">
        <v>15.6</v>
      </c>
    </row>
    <row r="622">
      <c r="A622" s="2" t="s">
        <v>1526</v>
      </c>
      <c r="B622" s="1">
        <v>200.0</v>
      </c>
      <c r="C622" s="1" t="s">
        <v>1527</v>
      </c>
      <c r="D622" s="1" t="s">
        <v>583</v>
      </c>
      <c r="F622" s="1">
        <v>0.0</v>
      </c>
      <c r="G622" s="1">
        <v>15.0</v>
      </c>
      <c r="H622" s="1">
        <v>0.0</v>
      </c>
      <c r="I622" s="1">
        <v>8.87</v>
      </c>
    </row>
    <row r="623">
      <c r="A623" s="2" t="s">
        <v>1517</v>
      </c>
      <c r="B623" s="1">
        <v>200.0</v>
      </c>
      <c r="C623" s="1" t="s">
        <v>1518</v>
      </c>
      <c r="D623" s="1" t="s">
        <v>583</v>
      </c>
      <c r="F623" s="1">
        <v>0.0</v>
      </c>
      <c r="G623" s="1">
        <v>1.0</v>
      </c>
      <c r="H623" s="1">
        <v>0.0</v>
      </c>
      <c r="I623" s="1">
        <v>3.0</v>
      </c>
    </row>
    <row r="624">
      <c r="A624" s="2" t="s">
        <v>1528</v>
      </c>
      <c r="B624" s="1">
        <v>200.0</v>
      </c>
      <c r="C624" s="1" t="s">
        <v>1529</v>
      </c>
      <c r="D624" s="1" t="s">
        <v>583</v>
      </c>
      <c r="F624" s="1">
        <v>0.0</v>
      </c>
      <c r="G624" s="1">
        <v>27.0</v>
      </c>
      <c r="H624" s="1">
        <v>0.0</v>
      </c>
      <c r="I624" s="1">
        <v>34.44</v>
      </c>
    </row>
    <row r="625">
      <c r="A625" s="2" t="s">
        <v>1519</v>
      </c>
      <c r="B625" s="1">
        <v>200.0</v>
      </c>
      <c r="C625" s="1" t="s">
        <v>1520</v>
      </c>
      <c r="D625" s="1" t="s">
        <v>583</v>
      </c>
    </row>
    <row r="626">
      <c r="A626" s="2" t="s">
        <v>1530</v>
      </c>
      <c r="B626" s="1">
        <v>200.0</v>
      </c>
      <c r="C626" s="1" t="s">
        <v>1531</v>
      </c>
      <c r="D626" s="1" t="s">
        <v>583</v>
      </c>
    </row>
    <row r="627">
      <c r="A627" s="2" t="s">
        <v>1657</v>
      </c>
      <c r="B627" s="1">
        <v>200.0</v>
      </c>
      <c r="C627" s="1" t="s">
        <v>1658</v>
      </c>
      <c r="D627" s="1" t="s">
        <v>583</v>
      </c>
    </row>
    <row r="628">
      <c r="A628" s="2" t="s">
        <v>1552</v>
      </c>
      <c r="B628" s="1">
        <v>200.0</v>
      </c>
      <c r="C628" s="1" t="s">
        <v>1553</v>
      </c>
      <c r="D628" s="1" t="s">
        <v>583</v>
      </c>
      <c r="F628" s="1">
        <v>0.0</v>
      </c>
      <c r="G628" s="1">
        <v>1466.0</v>
      </c>
      <c r="H628" s="1">
        <v>0.0</v>
      </c>
      <c r="I628" s="1">
        <v>61.81</v>
      </c>
    </row>
    <row r="629">
      <c r="A629" s="2" t="s">
        <v>1521</v>
      </c>
      <c r="B629" s="1">
        <v>301.0</v>
      </c>
      <c r="D629" s="1" t="s">
        <v>609</v>
      </c>
      <c r="E629" s="1" t="s">
        <v>610</v>
      </c>
    </row>
    <row r="630">
      <c r="A630" s="2" t="s">
        <v>1554</v>
      </c>
      <c r="B630" s="1">
        <v>200.0</v>
      </c>
      <c r="C630" s="1" t="s">
        <v>1555</v>
      </c>
      <c r="D630" s="1" t="s">
        <v>583</v>
      </c>
      <c r="F630" s="1">
        <v>0.0</v>
      </c>
      <c r="G630" s="1">
        <v>2.0</v>
      </c>
      <c r="H630" s="1">
        <v>0.0</v>
      </c>
      <c r="I630" s="1">
        <v>6.0</v>
      </c>
    </row>
    <row r="631">
      <c r="A631" s="2" t="s">
        <v>1574</v>
      </c>
      <c r="B631" s="1">
        <v>200.0</v>
      </c>
      <c r="C631" s="1" t="s">
        <v>1575</v>
      </c>
      <c r="D631" s="1" t="s">
        <v>583</v>
      </c>
      <c r="F631" s="1">
        <v>0.0</v>
      </c>
      <c r="G631" s="1">
        <v>129.0</v>
      </c>
      <c r="H631" s="1">
        <v>0.0</v>
      </c>
      <c r="I631" s="1">
        <v>53.87</v>
      </c>
    </row>
    <row r="632">
      <c r="A632" s="2" t="s">
        <v>1524</v>
      </c>
      <c r="B632" s="1">
        <v>200.0</v>
      </c>
      <c r="C632" s="1" t="s">
        <v>1525</v>
      </c>
      <c r="D632" s="1" t="s">
        <v>583</v>
      </c>
      <c r="F632" s="1">
        <v>0.0</v>
      </c>
      <c r="G632" s="1">
        <v>5.0</v>
      </c>
      <c r="H632" s="1">
        <v>0.0</v>
      </c>
      <c r="I632" s="1">
        <v>1.8</v>
      </c>
    </row>
    <row r="633">
      <c r="A633" s="2" t="s">
        <v>1576</v>
      </c>
      <c r="B633" s="1">
        <v>200.0</v>
      </c>
      <c r="C633" s="1" t="s">
        <v>1577</v>
      </c>
      <c r="D633" s="1" t="s">
        <v>583</v>
      </c>
    </row>
    <row r="634">
      <c r="A634" s="2" t="s">
        <v>1564</v>
      </c>
      <c r="B634" s="1">
        <v>200.0</v>
      </c>
      <c r="C634" s="1" t="s">
        <v>1565</v>
      </c>
      <c r="D634" s="1" t="s">
        <v>583</v>
      </c>
    </row>
    <row r="635">
      <c r="A635" s="2" t="s">
        <v>1566</v>
      </c>
      <c r="B635" s="1">
        <v>200.0</v>
      </c>
      <c r="C635" s="1" t="s">
        <v>1567</v>
      </c>
      <c r="D635" s="1" t="s">
        <v>583</v>
      </c>
      <c r="F635" s="1">
        <v>0.0</v>
      </c>
      <c r="G635" s="1">
        <v>77.0</v>
      </c>
      <c r="H635" s="1">
        <v>0.0</v>
      </c>
      <c r="I635" s="1">
        <v>24.64</v>
      </c>
    </row>
    <row r="636">
      <c r="A636" s="2" t="s">
        <v>1562</v>
      </c>
      <c r="B636" s="1">
        <v>200.0</v>
      </c>
      <c r="C636" s="1" t="s">
        <v>1563</v>
      </c>
      <c r="D636" s="1" t="s">
        <v>583</v>
      </c>
      <c r="F636" s="1">
        <v>0.0</v>
      </c>
      <c r="G636" s="1">
        <v>1.0</v>
      </c>
      <c r="H636" s="1">
        <v>0.0</v>
      </c>
      <c r="I636" s="1">
        <v>17.0</v>
      </c>
    </row>
    <row r="637">
      <c r="A637" s="2" t="s">
        <v>1568</v>
      </c>
      <c r="B637" s="1">
        <v>200.0</v>
      </c>
      <c r="C637" s="1" t="s">
        <v>1569</v>
      </c>
      <c r="D637" s="1" t="s">
        <v>583</v>
      </c>
      <c r="F637" s="1">
        <v>12.0</v>
      </c>
      <c r="G637" s="1">
        <v>632.0</v>
      </c>
      <c r="H637" s="1">
        <v>0.019</v>
      </c>
      <c r="I637" s="1">
        <v>9.18</v>
      </c>
    </row>
    <row r="638">
      <c r="A638" s="2" t="s">
        <v>1570</v>
      </c>
      <c r="B638" s="1">
        <v>200.0</v>
      </c>
      <c r="C638" s="1" t="s">
        <v>1571</v>
      </c>
      <c r="D638" s="1" t="s">
        <v>583</v>
      </c>
      <c r="F638" s="1">
        <v>0.0</v>
      </c>
      <c r="G638" s="1">
        <v>22.0</v>
      </c>
      <c r="H638" s="1">
        <v>0.0</v>
      </c>
      <c r="I638" s="1">
        <v>23.09</v>
      </c>
    </row>
    <row r="639">
      <c r="A639" s="2" t="s">
        <v>1572</v>
      </c>
      <c r="B639" s="1">
        <v>200.0</v>
      </c>
      <c r="C639" s="1" t="s">
        <v>1573</v>
      </c>
      <c r="D639" s="1" t="s">
        <v>583</v>
      </c>
      <c r="F639" s="1">
        <v>0.0</v>
      </c>
      <c r="G639" s="1">
        <v>115.0</v>
      </c>
      <c r="H639" s="1">
        <v>0.0</v>
      </c>
      <c r="I639" s="1">
        <v>86.5</v>
      </c>
    </row>
    <row r="640">
      <c r="A640" s="2" t="s">
        <v>1590</v>
      </c>
      <c r="B640" s="1">
        <v>200.0</v>
      </c>
      <c r="C640" s="1" t="s">
        <v>1591</v>
      </c>
      <c r="D640" s="1" t="s">
        <v>583</v>
      </c>
      <c r="F640" s="1">
        <v>0.0</v>
      </c>
      <c r="G640" s="1">
        <v>5.0</v>
      </c>
      <c r="H640" s="1">
        <v>0.0</v>
      </c>
      <c r="I640" s="1">
        <v>8.2</v>
      </c>
    </row>
    <row r="641">
      <c r="A641" s="2" t="s">
        <v>1594</v>
      </c>
      <c r="B641" s="1">
        <v>200.0</v>
      </c>
      <c r="C641" s="1" t="s">
        <v>1595</v>
      </c>
      <c r="D641" s="1" t="s">
        <v>583</v>
      </c>
      <c r="F641" s="1">
        <v>0.0</v>
      </c>
      <c r="G641" s="1">
        <v>28.0</v>
      </c>
      <c r="H641" s="1">
        <v>0.0</v>
      </c>
      <c r="I641" s="1">
        <v>27.32</v>
      </c>
    </row>
    <row r="642">
      <c r="A642" s="2" t="s">
        <v>1580</v>
      </c>
      <c r="B642" s="1">
        <v>200.0</v>
      </c>
      <c r="C642" s="1" t="s">
        <v>1581</v>
      </c>
      <c r="D642" s="1" t="s">
        <v>583</v>
      </c>
    </row>
    <row r="643">
      <c r="A643" s="2" t="s">
        <v>1582</v>
      </c>
      <c r="B643" s="1">
        <v>200.0</v>
      </c>
      <c r="C643" s="1" t="s">
        <v>1583</v>
      </c>
      <c r="D643" s="1" t="s">
        <v>583</v>
      </c>
      <c r="F643" s="1">
        <v>0.0</v>
      </c>
      <c r="G643" s="1">
        <v>1.0</v>
      </c>
      <c r="H643" s="1">
        <v>0.0</v>
      </c>
      <c r="I643" s="1">
        <v>8.0</v>
      </c>
    </row>
    <row r="644">
      <c r="A644" s="2" t="s">
        <v>1598</v>
      </c>
      <c r="B644" s="1">
        <v>200.0</v>
      </c>
      <c r="C644" s="1" t="s">
        <v>1599</v>
      </c>
      <c r="D644" s="1" t="s">
        <v>583</v>
      </c>
      <c r="F644" s="1">
        <v>1.0</v>
      </c>
      <c r="G644" s="1">
        <v>1036.0</v>
      </c>
      <c r="H644" s="1">
        <v>0.001</v>
      </c>
      <c r="I644" s="1">
        <v>33.14</v>
      </c>
    </row>
    <row r="645">
      <c r="A645" s="2" t="s">
        <v>1600</v>
      </c>
      <c r="B645" s="1">
        <v>200.0</v>
      </c>
      <c r="C645" s="1" t="s">
        <v>1601</v>
      </c>
      <c r="D645" s="1" t="s">
        <v>583</v>
      </c>
      <c r="F645" s="1">
        <v>1.0</v>
      </c>
      <c r="G645" s="1">
        <v>968.0</v>
      </c>
      <c r="H645" s="1">
        <v>0.001</v>
      </c>
      <c r="I645" s="1">
        <v>50.17</v>
      </c>
    </row>
    <row r="646">
      <c r="A646" s="2" t="s">
        <v>1578</v>
      </c>
      <c r="B646" s="1">
        <v>200.0</v>
      </c>
      <c r="C646" s="1" t="s">
        <v>1579</v>
      </c>
      <c r="D646" s="1" t="s">
        <v>583</v>
      </c>
      <c r="F646" s="1">
        <v>0.0</v>
      </c>
      <c r="G646" s="1">
        <v>57.0</v>
      </c>
      <c r="H646" s="1">
        <v>0.0</v>
      </c>
      <c r="I646" s="1">
        <v>9.6</v>
      </c>
    </row>
    <row r="647">
      <c r="A647" s="2" t="s">
        <v>1586</v>
      </c>
      <c r="B647" s="1">
        <v>200.0</v>
      </c>
      <c r="C647" s="1" t="s">
        <v>1587</v>
      </c>
      <c r="D647" s="1" t="s">
        <v>583</v>
      </c>
      <c r="F647" s="1">
        <v>0.0</v>
      </c>
      <c r="G647" s="1">
        <v>3.0</v>
      </c>
      <c r="H647" s="1">
        <v>0.0</v>
      </c>
      <c r="I647" s="1">
        <v>11.33</v>
      </c>
    </row>
    <row r="648">
      <c r="A648" s="2" t="s">
        <v>1588</v>
      </c>
      <c r="B648" s="1">
        <v>200.0</v>
      </c>
      <c r="C648" s="1" t="s">
        <v>1589</v>
      </c>
      <c r="D648" s="1" t="s">
        <v>583</v>
      </c>
    </row>
    <row r="649">
      <c r="A649" s="2" t="s">
        <v>1602</v>
      </c>
      <c r="B649" s="1">
        <v>200.0</v>
      </c>
      <c r="C649" s="1" t="s">
        <v>1603</v>
      </c>
      <c r="D649" s="1" t="s">
        <v>583</v>
      </c>
      <c r="F649" s="1">
        <v>0.0</v>
      </c>
      <c r="G649" s="1">
        <v>15.0</v>
      </c>
      <c r="H649" s="1">
        <v>0.0</v>
      </c>
      <c r="I649" s="1">
        <v>27.33</v>
      </c>
    </row>
    <row r="650">
      <c r="A650" s="2" t="s">
        <v>1592</v>
      </c>
      <c r="B650" s="1">
        <v>200.0</v>
      </c>
      <c r="C650" s="1" t="s">
        <v>1593</v>
      </c>
      <c r="D650" s="1" t="s">
        <v>583</v>
      </c>
      <c r="F650" s="1">
        <v>0.0</v>
      </c>
      <c r="G650" s="1">
        <v>150.0</v>
      </c>
      <c r="H650" s="1">
        <v>0.0</v>
      </c>
      <c r="I650" s="1">
        <v>28.09</v>
      </c>
    </row>
    <row r="651">
      <c r="A651" s="2" t="s">
        <v>1596</v>
      </c>
      <c r="B651" s="1">
        <v>200.0</v>
      </c>
      <c r="C651" s="1" t="s">
        <v>1597</v>
      </c>
      <c r="D651" s="1" t="s">
        <v>583</v>
      </c>
      <c r="F651" s="1">
        <v>0.0</v>
      </c>
      <c r="G651" s="1">
        <v>5.0</v>
      </c>
      <c r="H651" s="1">
        <v>0.0</v>
      </c>
      <c r="I651" s="1">
        <v>8.4</v>
      </c>
    </row>
    <row r="652">
      <c r="A652" s="2" t="s">
        <v>1613</v>
      </c>
      <c r="B652" s="1">
        <v>200.0</v>
      </c>
      <c r="C652" s="1" t="s">
        <v>1614</v>
      </c>
      <c r="D652" s="1" t="s">
        <v>583</v>
      </c>
      <c r="F652" s="1">
        <v>0.0</v>
      </c>
      <c r="G652" s="1">
        <v>25.0</v>
      </c>
      <c r="H652" s="1">
        <v>0.0</v>
      </c>
      <c r="I652" s="1">
        <v>80.44</v>
      </c>
    </row>
    <row r="653">
      <c r="A653" s="2" t="s">
        <v>1606</v>
      </c>
      <c r="B653" s="1">
        <v>200.0</v>
      </c>
      <c r="C653" s="1" t="s">
        <v>1607</v>
      </c>
      <c r="D653" s="1" t="s">
        <v>583</v>
      </c>
    </row>
    <row r="654">
      <c r="A654" s="2" t="s">
        <v>1610</v>
      </c>
      <c r="B654" s="1">
        <v>200.0</v>
      </c>
      <c r="C654" s="1" t="s">
        <v>1611</v>
      </c>
      <c r="D654" s="1" t="s">
        <v>583</v>
      </c>
      <c r="F654" s="1">
        <v>0.0</v>
      </c>
      <c r="G654" s="1">
        <v>151.0</v>
      </c>
      <c r="H654" s="1">
        <v>0.0</v>
      </c>
      <c r="I654" s="1">
        <v>58.04</v>
      </c>
    </row>
    <row r="655">
      <c r="A655" s="2" t="s">
        <v>1608</v>
      </c>
      <c r="B655" s="1">
        <v>200.0</v>
      </c>
      <c r="C655" s="1" t="s">
        <v>1609</v>
      </c>
      <c r="D655" s="1" t="s">
        <v>583</v>
      </c>
      <c r="F655" s="1">
        <v>0.0</v>
      </c>
      <c r="G655" s="1">
        <v>67.0</v>
      </c>
      <c r="H655" s="1">
        <v>0.0</v>
      </c>
      <c r="I655" s="1">
        <v>1.03</v>
      </c>
    </row>
    <row r="656">
      <c r="A656" s="2" t="s">
        <v>1604</v>
      </c>
      <c r="B656" s="1">
        <v>200.0</v>
      </c>
      <c r="C656" s="1" t="s">
        <v>1605</v>
      </c>
      <c r="D656" s="1" t="s">
        <v>583</v>
      </c>
      <c r="F656" s="1">
        <v>0.0</v>
      </c>
      <c r="G656" s="1">
        <v>5.0</v>
      </c>
      <c r="H656" s="1">
        <v>0.0</v>
      </c>
      <c r="I656" s="1">
        <v>50.6</v>
      </c>
    </row>
    <row r="657">
      <c r="A657" s="2" t="s">
        <v>1612</v>
      </c>
      <c r="B657" s="1">
        <v>200.0</v>
      </c>
      <c r="C657" s="1" t="s">
        <v>900</v>
      </c>
      <c r="D657" s="1" t="s">
        <v>609</v>
      </c>
      <c r="E657" s="1" t="s">
        <v>631</v>
      </c>
    </row>
    <row r="658">
      <c r="A658" s="2" t="s">
        <v>1628</v>
      </c>
      <c r="B658" s="1">
        <v>200.0</v>
      </c>
      <c r="C658" s="1" t="s">
        <v>1629</v>
      </c>
      <c r="D658" s="1" t="s">
        <v>583</v>
      </c>
      <c r="F658" s="1">
        <v>0.0</v>
      </c>
      <c r="G658" s="1">
        <v>5.0</v>
      </c>
      <c r="H658" s="1">
        <v>0.0</v>
      </c>
      <c r="I658" s="1">
        <v>30.2</v>
      </c>
    </row>
    <row r="659">
      <c r="A659" s="2" t="s">
        <v>1630</v>
      </c>
      <c r="B659" s="1">
        <v>200.0</v>
      </c>
      <c r="C659" s="1" t="s">
        <v>1631</v>
      </c>
      <c r="D659" s="1" t="s">
        <v>583</v>
      </c>
    </row>
    <row r="660">
      <c r="A660" s="2" t="s">
        <v>1633</v>
      </c>
      <c r="B660" s="1">
        <v>200.0</v>
      </c>
      <c r="C660" s="1" t="s">
        <v>689</v>
      </c>
      <c r="D660" s="1" t="s">
        <v>609</v>
      </c>
      <c r="E660" s="1" t="s">
        <v>631</v>
      </c>
    </row>
    <row r="661">
      <c r="A661" s="2" t="s">
        <v>1626</v>
      </c>
      <c r="B661" s="1">
        <v>200.0</v>
      </c>
      <c r="C661" s="1" t="s">
        <v>1627</v>
      </c>
      <c r="D661" s="1" t="s">
        <v>583</v>
      </c>
      <c r="F661" s="1">
        <v>0.0</v>
      </c>
      <c r="G661" s="1">
        <v>1.0</v>
      </c>
      <c r="H661" s="1">
        <v>0.0</v>
      </c>
      <c r="I661" s="1">
        <v>43.0</v>
      </c>
    </row>
    <row r="662">
      <c r="A662" s="2" t="s">
        <v>1623</v>
      </c>
      <c r="B662" s="1">
        <v>200.0</v>
      </c>
      <c r="C662" s="1" t="s">
        <v>1624</v>
      </c>
      <c r="D662" s="1" t="s">
        <v>583</v>
      </c>
    </row>
    <row r="663">
      <c r="A663" s="2" t="s">
        <v>1625</v>
      </c>
      <c r="B663" s="1">
        <v>301.0</v>
      </c>
      <c r="D663" s="1" t="s">
        <v>609</v>
      </c>
      <c r="E663" s="1" t="s">
        <v>610</v>
      </c>
    </row>
    <row r="664">
      <c r="A664" s="2" t="s">
        <v>1618</v>
      </c>
      <c r="B664" s="1">
        <v>301.0</v>
      </c>
      <c r="D664" s="1" t="s">
        <v>609</v>
      </c>
      <c r="E664" s="1" t="s">
        <v>610</v>
      </c>
    </row>
    <row r="665">
      <c r="A665" s="2" t="s">
        <v>1619</v>
      </c>
      <c r="B665" s="1">
        <v>200.0</v>
      </c>
      <c r="C665" s="1" t="s">
        <v>1620</v>
      </c>
      <c r="D665" s="1" t="s">
        <v>583</v>
      </c>
      <c r="F665" s="1">
        <v>12.0</v>
      </c>
      <c r="G665" s="1">
        <v>1558.0</v>
      </c>
      <c r="H665" s="1">
        <v>0.008</v>
      </c>
      <c r="I665" s="1">
        <v>35.81</v>
      </c>
    </row>
    <row r="666">
      <c r="A666" s="2" t="s">
        <v>1621</v>
      </c>
      <c r="B666" s="1">
        <v>200.0</v>
      </c>
      <c r="C666" s="1" t="s">
        <v>1622</v>
      </c>
      <c r="D666" s="1" t="s">
        <v>583</v>
      </c>
      <c r="F666" s="1">
        <v>0.0</v>
      </c>
      <c r="G666" s="1">
        <v>1.0</v>
      </c>
      <c r="H666" s="1">
        <v>0.0</v>
      </c>
      <c r="I666" s="1">
        <v>1.0</v>
      </c>
    </row>
    <row r="667">
      <c r="A667" s="2" t="s">
        <v>1615</v>
      </c>
      <c r="B667" s="1">
        <v>301.0</v>
      </c>
      <c r="D667" s="1" t="s">
        <v>609</v>
      </c>
      <c r="E667" s="1" t="s">
        <v>610</v>
      </c>
    </row>
    <row r="668">
      <c r="A668" s="2" t="s">
        <v>1616</v>
      </c>
      <c r="B668" s="1">
        <v>200.0</v>
      </c>
      <c r="C668" s="1" t="s">
        <v>1617</v>
      </c>
      <c r="D668" s="1" t="s">
        <v>583</v>
      </c>
      <c r="F668" s="1">
        <v>0.0</v>
      </c>
      <c r="G668" s="1">
        <v>121.0</v>
      </c>
      <c r="H668" s="1">
        <v>0.0</v>
      </c>
      <c r="I668" s="1">
        <v>53.65</v>
      </c>
    </row>
    <row r="669">
      <c r="A669" s="2" t="s">
        <v>1538</v>
      </c>
      <c r="B669" s="1">
        <v>200.0</v>
      </c>
      <c r="C669" s="1" t="s">
        <v>1539</v>
      </c>
      <c r="D669" s="1" t="s">
        <v>583</v>
      </c>
      <c r="F669" s="1">
        <v>3.0</v>
      </c>
      <c r="G669" s="1">
        <v>935.0</v>
      </c>
      <c r="H669" s="1">
        <v>0.003</v>
      </c>
      <c r="I669" s="1">
        <v>18.42</v>
      </c>
    </row>
    <row r="670">
      <c r="A670" s="2" t="s">
        <v>1543</v>
      </c>
      <c r="B670" s="1">
        <v>200.0</v>
      </c>
      <c r="C670" s="1" t="s">
        <v>1544</v>
      </c>
      <c r="D670" s="1" t="s">
        <v>583</v>
      </c>
      <c r="F670" s="1">
        <v>16.0</v>
      </c>
      <c r="G670" s="1">
        <v>10209.0</v>
      </c>
      <c r="H670" s="1">
        <v>0.002</v>
      </c>
      <c r="I670" s="1">
        <v>37.55</v>
      </c>
    </row>
    <row r="671">
      <c r="A671" s="2" t="s">
        <v>1542</v>
      </c>
      <c r="B671" s="1">
        <v>301.0</v>
      </c>
      <c r="D671" s="1" t="s">
        <v>609</v>
      </c>
      <c r="E671" s="1" t="s">
        <v>610</v>
      </c>
      <c r="F671" s="1">
        <v>0.0</v>
      </c>
      <c r="G671" s="1">
        <v>817.0</v>
      </c>
      <c r="H671" s="1">
        <v>0.0</v>
      </c>
      <c r="I671" s="1">
        <v>53.58</v>
      </c>
    </row>
    <row r="672">
      <c r="A672" s="2" t="s">
        <v>1545</v>
      </c>
      <c r="B672" s="1">
        <v>301.0</v>
      </c>
      <c r="D672" s="1" t="s">
        <v>609</v>
      </c>
      <c r="E672" s="1" t="s">
        <v>610</v>
      </c>
      <c r="F672" s="1">
        <v>0.0</v>
      </c>
      <c r="G672" s="1">
        <v>62.0</v>
      </c>
      <c r="H672" s="1">
        <v>0.0</v>
      </c>
      <c r="I672" s="1">
        <v>58.16</v>
      </c>
    </row>
    <row r="673">
      <c r="A673" s="2" t="s">
        <v>1540</v>
      </c>
      <c r="B673" s="1">
        <v>200.0</v>
      </c>
      <c r="C673" s="1" t="s">
        <v>1541</v>
      </c>
      <c r="D673" s="1" t="s">
        <v>583</v>
      </c>
      <c r="F673" s="1">
        <v>0.0</v>
      </c>
      <c r="G673" s="1">
        <v>817.0</v>
      </c>
      <c r="H673" s="1">
        <v>0.0</v>
      </c>
      <c r="I673" s="1">
        <v>53.58</v>
      </c>
    </row>
    <row r="674">
      <c r="A674" s="2" t="s">
        <v>1536</v>
      </c>
      <c r="B674" s="1">
        <v>200.0</v>
      </c>
      <c r="C674" s="1" t="s">
        <v>1537</v>
      </c>
      <c r="D674" s="1" t="s">
        <v>583</v>
      </c>
      <c r="F674" s="1">
        <v>31.0</v>
      </c>
      <c r="G674" s="1">
        <v>5416.0</v>
      </c>
      <c r="H674" s="1">
        <v>0.006</v>
      </c>
      <c r="I674" s="1">
        <v>32.86</v>
      </c>
    </row>
    <row r="675">
      <c r="A675" s="2" t="s">
        <v>1546</v>
      </c>
      <c r="B675" s="1">
        <v>200.0</v>
      </c>
      <c r="C675" s="1" t="s">
        <v>1547</v>
      </c>
      <c r="D675" s="1" t="s">
        <v>583</v>
      </c>
      <c r="F675" s="1">
        <v>2.0</v>
      </c>
      <c r="G675" s="1">
        <v>665.0</v>
      </c>
      <c r="H675" s="1">
        <v>0.003</v>
      </c>
      <c r="I675" s="1">
        <v>15.43</v>
      </c>
    </row>
    <row r="676">
      <c r="A676" s="2" t="s">
        <v>1532</v>
      </c>
      <c r="B676" s="1">
        <v>200.0</v>
      </c>
      <c r="C676" s="1" t="s">
        <v>1533</v>
      </c>
      <c r="D676" s="1" t="s">
        <v>583</v>
      </c>
      <c r="F676" s="1">
        <v>2.0</v>
      </c>
      <c r="G676" s="1">
        <v>582.0</v>
      </c>
      <c r="H676" s="1">
        <v>0.003</v>
      </c>
      <c r="I676" s="1">
        <v>56.11</v>
      </c>
    </row>
    <row r="677">
      <c r="A677" s="2" t="s">
        <v>1534</v>
      </c>
      <c r="B677" s="1">
        <v>200.0</v>
      </c>
      <c r="C677" s="1" t="s">
        <v>1535</v>
      </c>
      <c r="D677" s="1" t="s">
        <v>583</v>
      </c>
      <c r="F677" s="1">
        <v>0.0</v>
      </c>
      <c r="G677" s="1">
        <v>13.0</v>
      </c>
      <c r="H677" s="1">
        <v>0.0</v>
      </c>
      <c r="I677" s="1">
        <v>18.77</v>
      </c>
    </row>
    <row r="678">
      <c r="A678" s="2" t="s">
        <v>1548</v>
      </c>
      <c r="B678" s="1">
        <v>200.0</v>
      </c>
      <c r="C678" s="1" t="s">
        <v>1549</v>
      </c>
      <c r="D678" s="1" t="s">
        <v>583</v>
      </c>
      <c r="F678" s="1">
        <v>0.0</v>
      </c>
      <c r="G678" s="1">
        <v>238.0</v>
      </c>
      <c r="H678" s="1">
        <v>0.0</v>
      </c>
      <c r="I678" s="1">
        <v>31.87</v>
      </c>
    </row>
    <row r="679">
      <c r="A679" s="2" t="s">
        <v>1707</v>
      </c>
      <c r="B679" s="1">
        <v>200.0</v>
      </c>
      <c r="C679" s="1" t="s">
        <v>1480</v>
      </c>
      <c r="D679" s="1" t="s">
        <v>609</v>
      </c>
      <c r="E679" s="1" t="s">
        <v>631</v>
      </c>
    </row>
    <row r="680">
      <c r="A680" s="2" t="s">
        <v>1710</v>
      </c>
      <c r="B680" s="1">
        <v>200.0</v>
      </c>
      <c r="C680" s="1" t="s">
        <v>1208</v>
      </c>
      <c r="D680" s="1" t="s">
        <v>609</v>
      </c>
      <c r="E680" s="1" t="s">
        <v>631</v>
      </c>
    </row>
    <row r="681">
      <c r="A681" s="2" t="s">
        <v>1556</v>
      </c>
      <c r="B681" s="1">
        <v>200.0</v>
      </c>
      <c r="C681" s="1" t="s">
        <v>1557</v>
      </c>
      <c r="D681" s="1" t="s">
        <v>583</v>
      </c>
      <c r="F681" s="1">
        <v>0.0</v>
      </c>
      <c r="G681" s="1">
        <v>15.0</v>
      </c>
      <c r="H681" s="1">
        <v>0.0</v>
      </c>
      <c r="I681" s="1">
        <v>19.0</v>
      </c>
    </row>
    <row r="682">
      <c r="A682" s="2" t="s">
        <v>1550</v>
      </c>
      <c r="B682" s="1">
        <v>200.0</v>
      </c>
      <c r="C682" s="1" t="s">
        <v>1551</v>
      </c>
      <c r="D682" s="1" t="s">
        <v>583</v>
      </c>
      <c r="F682" s="1">
        <v>1.0</v>
      </c>
      <c r="G682" s="1">
        <v>255.0</v>
      </c>
      <c r="H682" s="1">
        <v>0.004</v>
      </c>
      <c r="I682" s="1">
        <v>53.2</v>
      </c>
    </row>
    <row r="683">
      <c r="A683" s="2" t="s">
        <v>1584</v>
      </c>
      <c r="B683" s="1">
        <v>200.0</v>
      </c>
      <c r="C683" s="1" t="s">
        <v>1585</v>
      </c>
      <c r="D683" s="1" t="s">
        <v>583</v>
      </c>
    </row>
    <row r="684">
      <c r="A684" s="2" t="s">
        <v>1731</v>
      </c>
      <c r="B684" s="1">
        <v>200.0</v>
      </c>
      <c r="C684" s="1" t="s">
        <v>1732</v>
      </c>
      <c r="D684" s="1" t="s">
        <v>583</v>
      </c>
      <c r="F684" s="1">
        <v>0.0</v>
      </c>
      <c r="G684" s="1">
        <v>6095.0</v>
      </c>
      <c r="H684" s="1">
        <v>0.0</v>
      </c>
      <c r="I684" s="1">
        <v>44.71</v>
      </c>
    </row>
    <row r="685">
      <c r="A685" s="2" t="s">
        <v>1762</v>
      </c>
      <c r="B685" s="1">
        <v>200.0</v>
      </c>
      <c r="C685" s="1" t="s">
        <v>1319</v>
      </c>
      <c r="D685" s="1" t="s">
        <v>609</v>
      </c>
      <c r="E685" s="1" t="s">
        <v>631</v>
      </c>
    </row>
    <row r="686">
      <c r="A686" s="2" t="s">
        <v>1765</v>
      </c>
      <c r="B686" s="1">
        <v>200.0</v>
      </c>
      <c r="C686" s="1" t="s">
        <v>1653</v>
      </c>
      <c r="D686" s="1" t="s">
        <v>583</v>
      </c>
      <c r="F686" s="1">
        <v>1.0</v>
      </c>
      <c r="G686" s="1">
        <v>137.0</v>
      </c>
      <c r="H686" s="1">
        <v>0.007</v>
      </c>
      <c r="I686" s="1">
        <v>59.07</v>
      </c>
    </row>
    <row r="687">
      <c r="A687" s="2" t="s">
        <v>1769</v>
      </c>
      <c r="B687" s="1">
        <v>200.0</v>
      </c>
      <c r="C687" s="1" t="s">
        <v>1770</v>
      </c>
      <c r="D687" s="1" t="s">
        <v>583</v>
      </c>
      <c r="F687" s="1">
        <v>0.0</v>
      </c>
      <c r="G687" s="1">
        <v>9.0</v>
      </c>
      <c r="H687" s="1">
        <v>0.0</v>
      </c>
      <c r="I687" s="1">
        <v>24.56</v>
      </c>
    </row>
    <row r="688">
      <c r="A688" s="2" t="s">
        <v>1764</v>
      </c>
      <c r="B688" s="1">
        <v>301.0</v>
      </c>
      <c r="D688" s="1" t="s">
        <v>609</v>
      </c>
      <c r="E688" s="1" t="s">
        <v>610</v>
      </c>
    </row>
    <row r="689">
      <c r="A689" s="2" t="s">
        <v>1766</v>
      </c>
      <c r="B689" s="1">
        <v>301.0</v>
      </c>
      <c r="D689" s="1" t="s">
        <v>609</v>
      </c>
      <c r="E689" s="1" t="s">
        <v>610</v>
      </c>
      <c r="F689" s="1">
        <v>1.0</v>
      </c>
      <c r="G689" s="1">
        <v>4322.0</v>
      </c>
      <c r="H689" s="1">
        <v>0.0</v>
      </c>
      <c r="I689" s="1">
        <v>45.58</v>
      </c>
    </row>
    <row r="690">
      <c r="A690" s="2" t="s">
        <v>1763</v>
      </c>
      <c r="B690" s="1">
        <v>301.0</v>
      </c>
      <c r="D690" s="1" t="s">
        <v>609</v>
      </c>
      <c r="E690" s="1" t="s">
        <v>610</v>
      </c>
    </row>
    <row r="691">
      <c r="A691" s="2" t="s">
        <v>1771</v>
      </c>
      <c r="B691" s="1">
        <v>200.0</v>
      </c>
      <c r="C691" s="1" t="s">
        <v>1772</v>
      </c>
      <c r="D691" s="1" t="s">
        <v>583</v>
      </c>
      <c r="F691" s="1">
        <v>0.0</v>
      </c>
      <c r="G691" s="1">
        <v>497.0</v>
      </c>
      <c r="H691" s="1">
        <v>0.0</v>
      </c>
      <c r="I691" s="1">
        <v>66.98</v>
      </c>
    </row>
    <row r="692">
      <c r="A692" s="2" t="s">
        <v>1785</v>
      </c>
      <c r="B692" s="1">
        <v>200.0</v>
      </c>
      <c r="C692" s="1" t="s">
        <v>1786</v>
      </c>
      <c r="D692" s="1" t="s">
        <v>583</v>
      </c>
    </row>
    <row r="693">
      <c r="A693" s="2" t="s">
        <v>1819</v>
      </c>
      <c r="B693" s="1">
        <v>200.0</v>
      </c>
      <c r="C693" s="1" t="s">
        <v>1820</v>
      </c>
      <c r="D693" s="1" t="s">
        <v>583</v>
      </c>
    </row>
    <row r="694">
      <c r="A694" s="2" t="s">
        <v>1863</v>
      </c>
      <c r="B694" s="1">
        <v>301.0</v>
      </c>
      <c r="D694" s="1" t="s">
        <v>609</v>
      </c>
      <c r="E694" s="1" t="s">
        <v>610</v>
      </c>
    </row>
    <row r="695">
      <c r="A695" s="2" t="s">
        <v>1862</v>
      </c>
      <c r="B695" s="1">
        <v>301.0</v>
      </c>
      <c r="D695" s="1" t="s">
        <v>609</v>
      </c>
      <c r="E695" s="1" t="s">
        <v>610</v>
      </c>
    </row>
    <row r="696">
      <c r="A696" s="2" t="s">
        <v>1868</v>
      </c>
      <c r="B696" s="1">
        <v>200.0</v>
      </c>
      <c r="C696" s="1" t="s">
        <v>1869</v>
      </c>
      <c r="D696" s="1" t="s">
        <v>583</v>
      </c>
      <c r="F696" s="1">
        <v>107.0</v>
      </c>
      <c r="G696" s="1">
        <v>20797.0</v>
      </c>
      <c r="H696" s="1">
        <v>0.005</v>
      </c>
      <c r="I696" s="1">
        <v>15.66</v>
      </c>
    </row>
    <row r="697">
      <c r="A697" s="2" t="s">
        <v>1860</v>
      </c>
      <c r="B697" s="1">
        <v>200.0</v>
      </c>
      <c r="C697" s="1" t="s">
        <v>1861</v>
      </c>
      <c r="D697" s="1" t="s">
        <v>583</v>
      </c>
      <c r="F697" s="1">
        <v>8.0</v>
      </c>
      <c r="G697" s="1">
        <v>1696.0</v>
      </c>
      <c r="H697" s="1">
        <v>0.005</v>
      </c>
      <c r="I697" s="1">
        <v>47.01</v>
      </c>
    </row>
    <row r="698">
      <c r="A698" s="2" t="s">
        <v>1787</v>
      </c>
      <c r="B698" s="1">
        <v>200.0</v>
      </c>
      <c r="C698" s="1" t="s">
        <v>1788</v>
      </c>
      <c r="D698" s="1" t="s">
        <v>583</v>
      </c>
      <c r="F698" s="1">
        <v>0.0</v>
      </c>
      <c r="G698" s="1">
        <v>24.0</v>
      </c>
      <c r="H698" s="1">
        <v>0.0</v>
      </c>
      <c r="I698" s="1">
        <v>25.5</v>
      </c>
    </row>
    <row r="699">
      <c r="A699" s="2" t="s">
        <v>1783</v>
      </c>
      <c r="B699" s="1">
        <v>200.0</v>
      </c>
      <c r="C699" s="1" t="s">
        <v>1784</v>
      </c>
      <c r="D699" s="1" t="s">
        <v>583</v>
      </c>
      <c r="F699" s="1">
        <v>1.0</v>
      </c>
      <c r="G699" s="1">
        <v>56.0</v>
      </c>
      <c r="H699" s="1">
        <v>0.018</v>
      </c>
      <c r="I699" s="1">
        <v>11.96</v>
      </c>
    </row>
    <row r="700">
      <c r="A700" s="2" t="s">
        <v>1779</v>
      </c>
      <c r="B700" s="1">
        <v>200.0</v>
      </c>
      <c r="C700" s="1" t="s">
        <v>1780</v>
      </c>
      <c r="D700" s="1" t="s">
        <v>583</v>
      </c>
      <c r="F700" s="1">
        <v>2.0</v>
      </c>
      <c r="G700" s="1">
        <v>103.0</v>
      </c>
      <c r="H700" s="1">
        <v>0.019</v>
      </c>
      <c r="I700" s="1">
        <v>14.9</v>
      </c>
    </row>
    <row r="701">
      <c r="A701" s="2" t="s">
        <v>1781</v>
      </c>
      <c r="B701" s="1">
        <v>200.0</v>
      </c>
      <c r="C701" s="1" t="s">
        <v>1782</v>
      </c>
      <c r="D701" s="1" t="s">
        <v>583</v>
      </c>
    </row>
    <row r="702">
      <c r="A702" s="2" t="s">
        <v>1767</v>
      </c>
      <c r="B702" s="1">
        <v>301.0</v>
      </c>
      <c r="D702" s="1" t="s">
        <v>609</v>
      </c>
      <c r="E702" s="1" t="s">
        <v>610</v>
      </c>
    </row>
    <row r="703">
      <c r="A703" s="2" t="s">
        <v>1777</v>
      </c>
      <c r="B703" s="1">
        <v>200.0</v>
      </c>
      <c r="C703" s="1" t="s">
        <v>1778</v>
      </c>
      <c r="D703" s="1" t="s">
        <v>583</v>
      </c>
      <c r="F703" s="1">
        <v>0.0</v>
      </c>
      <c r="G703" s="1">
        <v>27.0</v>
      </c>
      <c r="H703" s="1">
        <v>0.0</v>
      </c>
      <c r="I703" s="1">
        <v>76.11</v>
      </c>
    </row>
    <row r="704">
      <c r="A704" s="2" t="s">
        <v>1768</v>
      </c>
      <c r="B704" s="1">
        <v>301.0</v>
      </c>
      <c r="D704" s="1" t="s">
        <v>609</v>
      </c>
      <c r="E704" s="1" t="s">
        <v>610</v>
      </c>
    </row>
    <row r="705">
      <c r="A705" s="2" t="s">
        <v>1773</v>
      </c>
      <c r="B705" s="1">
        <v>301.0</v>
      </c>
      <c r="D705" s="1" t="s">
        <v>609</v>
      </c>
      <c r="E705" s="1" t="s">
        <v>610</v>
      </c>
    </row>
    <row r="706">
      <c r="A706" s="2" t="s">
        <v>1775</v>
      </c>
      <c r="B706" s="1">
        <v>200.0</v>
      </c>
      <c r="C706" s="1" t="s">
        <v>1776</v>
      </c>
      <c r="D706" s="1" t="s">
        <v>583</v>
      </c>
      <c r="F706" s="1">
        <v>1.0</v>
      </c>
      <c r="G706" s="1">
        <v>28.0</v>
      </c>
      <c r="H706" s="1">
        <v>0.036</v>
      </c>
      <c r="I706" s="1">
        <v>6.79</v>
      </c>
    </row>
    <row r="707">
      <c r="A707" s="2" t="s">
        <v>1774</v>
      </c>
      <c r="B707" s="1">
        <v>301.0</v>
      </c>
      <c r="D707" s="1" t="s">
        <v>609</v>
      </c>
      <c r="E707" s="1" t="s">
        <v>610</v>
      </c>
    </row>
    <row r="708">
      <c r="A708" s="2" t="s">
        <v>1797</v>
      </c>
      <c r="B708" s="1">
        <v>200.0</v>
      </c>
      <c r="C708" s="1" t="s">
        <v>1798</v>
      </c>
      <c r="D708" s="1" t="s">
        <v>583</v>
      </c>
      <c r="F708" s="1">
        <v>0.0</v>
      </c>
      <c r="G708" s="1">
        <v>1.0</v>
      </c>
      <c r="H708" s="1">
        <v>0.0</v>
      </c>
      <c r="I708" s="1">
        <v>2.0</v>
      </c>
    </row>
    <row r="709">
      <c r="A709" s="2" t="s">
        <v>1791</v>
      </c>
      <c r="B709" s="1">
        <v>200.0</v>
      </c>
      <c r="C709" s="1" t="s">
        <v>1792</v>
      </c>
      <c r="D709" s="1" t="s">
        <v>583</v>
      </c>
    </row>
    <row r="710">
      <c r="A710" s="2" t="s">
        <v>1793</v>
      </c>
      <c r="B710" s="1">
        <v>200.0</v>
      </c>
      <c r="C710" s="1" t="s">
        <v>1794</v>
      </c>
      <c r="D710" s="1" t="s">
        <v>583</v>
      </c>
    </row>
    <row r="711">
      <c r="A711" s="2" t="s">
        <v>1795</v>
      </c>
      <c r="B711" s="1">
        <v>200.0</v>
      </c>
      <c r="C711" s="1" t="s">
        <v>1796</v>
      </c>
      <c r="D711" s="1" t="s">
        <v>583</v>
      </c>
      <c r="F711" s="1">
        <v>0.0</v>
      </c>
      <c r="G711" s="1">
        <v>11.0</v>
      </c>
      <c r="H711" s="1">
        <v>0.0</v>
      </c>
      <c r="I711" s="1">
        <v>37.09</v>
      </c>
    </row>
    <row r="712">
      <c r="A712" s="2" t="s">
        <v>1789</v>
      </c>
      <c r="B712" s="1">
        <v>200.0</v>
      </c>
      <c r="C712" s="1" t="s">
        <v>1790</v>
      </c>
      <c r="D712" s="1" t="s">
        <v>583</v>
      </c>
      <c r="F712" s="1">
        <v>0.0</v>
      </c>
      <c r="G712" s="1">
        <v>72.0</v>
      </c>
      <c r="H712" s="1">
        <v>0.0</v>
      </c>
      <c r="I712" s="1">
        <v>50.01</v>
      </c>
    </row>
    <row r="713">
      <c r="A713" s="2" t="s">
        <v>1807</v>
      </c>
      <c r="B713" s="1">
        <v>200.0</v>
      </c>
      <c r="C713" s="1" t="s">
        <v>1808</v>
      </c>
      <c r="D713" s="1" t="s">
        <v>583</v>
      </c>
    </row>
    <row r="714">
      <c r="A714" s="2" t="s">
        <v>1811</v>
      </c>
      <c r="B714" s="1">
        <v>200.0</v>
      </c>
      <c r="C714" s="1" t="s">
        <v>1812</v>
      </c>
      <c r="D714" s="1" t="s">
        <v>583</v>
      </c>
    </row>
    <row r="715">
      <c r="A715" s="2" t="s">
        <v>487</v>
      </c>
      <c r="B715" s="1">
        <v>200.0</v>
      </c>
      <c r="C715" s="1" t="s">
        <v>1800</v>
      </c>
      <c r="D715" s="1" t="s">
        <v>583</v>
      </c>
      <c r="F715" s="1">
        <v>2.0</v>
      </c>
      <c r="G715" s="1">
        <v>172.0</v>
      </c>
      <c r="H715" s="1">
        <v>0.012</v>
      </c>
      <c r="I715" s="1">
        <v>16.22</v>
      </c>
    </row>
    <row r="716">
      <c r="A716" s="2" t="s">
        <v>1799</v>
      </c>
      <c r="B716" s="1">
        <v>200.0</v>
      </c>
      <c r="C716" s="1" t="s">
        <v>1144</v>
      </c>
      <c r="D716" s="1" t="s">
        <v>609</v>
      </c>
      <c r="E716" s="1" t="s">
        <v>631</v>
      </c>
      <c r="F716" s="1">
        <v>0.0</v>
      </c>
      <c r="G716" s="1">
        <v>55.0</v>
      </c>
      <c r="H716" s="1">
        <v>0.0</v>
      </c>
      <c r="I716" s="1">
        <v>14.84</v>
      </c>
    </row>
    <row r="717">
      <c r="A717" s="2" t="s">
        <v>1801</v>
      </c>
      <c r="B717" s="1">
        <v>200.0</v>
      </c>
      <c r="C717" s="1" t="s">
        <v>1802</v>
      </c>
      <c r="D717" s="1" t="s">
        <v>609</v>
      </c>
      <c r="E717" s="1" t="s">
        <v>631</v>
      </c>
    </row>
    <row r="718">
      <c r="A718" s="2" t="s">
        <v>1815</v>
      </c>
      <c r="B718" s="1">
        <v>200.0</v>
      </c>
      <c r="C718" s="1" t="s">
        <v>1816</v>
      </c>
      <c r="D718" s="1" t="s">
        <v>583</v>
      </c>
      <c r="F718" s="1">
        <v>0.0</v>
      </c>
      <c r="G718" s="1">
        <v>9.0</v>
      </c>
      <c r="H718" s="1">
        <v>0.0</v>
      </c>
      <c r="I718" s="1">
        <v>46.67</v>
      </c>
    </row>
    <row r="719">
      <c r="A719" s="2" t="s">
        <v>1817</v>
      </c>
      <c r="B719" s="1">
        <v>200.0</v>
      </c>
      <c r="C719" s="1" t="s">
        <v>1818</v>
      </c>
      <c r="D719" s="1" t="s">
        <v>583</v>
      </c>
      <c r="F719" s="1">
        <v>1.0</v>
      </c>
      <c r="G719" s="1">
        <v>72.0</v>
      </c>
      <c r="H719" s="1">
        <v>0.014</v>
      </c>
      <c r="I719" s="1">
        <v>5.42</v>
      </c>
    </row>
    <row r="720">
      <c r="A720" s="2" t="s">
        <v>1823</v>
      </c>
      <c r="B720" s="1">
        <v>200.0</v>
      </c>
      <c r="C720" s="1" t="s">
        <v>1824</v>
      </c>
      <c r="D720" s="1" t="s">
        <v>583</v>
      </c>
      <c r="F720" s="1">
        <v>0.0</v>
      </c>
      <c r="G720" s="1">
        <v>24.0</v>
      </c>
      <c r="H720" s="1">
        <v>0.0</v>
      </c>
      <c r="I720" s="1">
        <v>14.63</v>
      </c>
    </row>
    <row r="721">
      <c r="A721" s="2" t="s">
        <v>1803</v>
      </c>
      <c r="B721" s="1">
        <v>200.0</v>
      </c>
      <c r="C721" s="1" t="s">
        <v>1804</v>
      </c>
      <c r="D721" s="1" t="s">
        <v>583</v>
      </c>
      <c r="F721" s="1">
        <v>1.0</v>
      </c>
      <c r="G721" s="1">
        <v>40.0</v>
      </c>
      <c r="H721" s="1">
        <v>0.025</v>
      </c>
      <c r="I721" s="1">
        <v>5.83</v>
      </c>
    </row>
    <row r="722">
      <c r="A722" s="2" t="s">
        <v>1805</v>
      </c>
      <c r="B722" s="1">
        <v>200.0</v>
      </c>
      <c r="C722" s="1" t="s">
        <v>1806</v>
      </c>
      <c r="D722" s="1" t="s">
        <v>583</v>
      </c>
      <c r="F722" s="1">
        <v>0.0</v>
      </c>
      <c r="G722" s="1">
        <v>285.0</v>
      </c>
      <c r="H722" s="1">
        <v>0.0</v>
      </c>
      <c r="I722" s="1">
        <v>52.53</v>
      </c>
    </row>
    <row r="723">
      <c r="A723" s="2" t="s">
        <v>1821</v>
      </c>
      <c r="B723" s="1">
        <v>200.0</v>
      </c>
      <c r="C723" s="1" t="s">
        <v>1822</v>
      </c>
      <c r="D723" s="1" t="s">
        <v>583</v>
      </c>
      <c r="F723" s="1">
        <v>11.0</v>
      </c>
      <c r="G723" s="1">
        <v>235.0</v>
      </c>
      <c r="H723" s="1">
        <v>0.047</v>
      </c>
      <c r="I723" s="1">
        <v>11.09</v>
      </c>
    </row>
    <row r="724">
      <c r="A724" s="2" t="s">
        <v>1809</v>
      </c>
      <c r="B724" s="1">
        <v>200.0</v>
      </c>
      <c r="C724" s="1" t="s">
        <v>1810</v>
      </c>
      <c r="D724" s="1" t="s">
        <v>583</v>
      </c>
      <c r="F724" s="1">
        <v>0.0</v>
      </c>
      <c r="G724" s="1">
        <v>3.0</v>
      </c>
      <c r="H724" s="1">
        <v>0.0</v>
      </c>
      <c r="I724" s="1">
        <v>50.0</v>
      </c>
    </row>
    <row r="725">
      <c r="A725" s="2" t="s">
        <v>1813</v>
      </c>
      <c r="B725" s="1">
        <v>200.0</v>
      </c>
      <c r="C725" s="1" t="s">
        <v>1814</v>
      </c>
      <c r="D725" s="1" t="s">
        <v>583</v>
      </c>
    </row>
    <row r="726">
      <c r="A726" s="2" t="s">
        <v>1833</v>
      </c>
      <c r="B726" s="1">
        <v>200.0</v>
      </c>
      <c r="C726" s="1" t="s">
        <v>1834</v>
      </c>
      <c r="D726" s="1" t="s">
        <v>583</v>
      </c>
    </row>
    <row r="727">
      <c r="A727" s="2" t="s">
        <v>1837</v>
      </c>
      <c r="B727" s="1">
        <v>200.0</v>
      </c>
      <c r="C727" s="1" t="s">
        <v>1838</v>
      </c>
      <c r="D727" s="1" t="s">
        <v>583</v>
      </c>
      <c r="F727" s="1">
        <v>0.0</v>
      </c>
      <c r="G727" s="1">
        <v>46.0</v>
      </c>
      <c r="H727" s="1">
        <v>0.0</v>
      </c>
      <c r="I727" s="1">
        <v>29.65</v>
      </c>
    </row>
    <row r="728">
      <c r="A728" s="2" t="s">
        <v>1839</v>
      </c>
      <c r="B728" s="1">
        <v>200.0</v>
      </c>
      <c r="C728" s="1" t="s">
        <v>1840</v>
      </c>
      <c r="D728" s="1" t="s">
        <v>583</v>
      </c>
      <c r="F728" s="1">
        <v>0.0</v>
      </c>
      <c r="G728" s="1">
        <v>30.0</v>
      </c>
      <c r="H728" s="1">
        <v>0.0</v>
      </c>
      <c r="I728" s="1">
        <v>94.63</v>
      </c>
    </row>
    <row r="729">
      <c r="A729" s="2" t="s">
        <v>1835</v>
      </c>
      <c r="B729" s="1">
        <v>200.0</v>
      </c>
      <c r="C729" s="1" t="s">
        <v>1836</v>
      </c>
      <c r="D729" s="1" t="s">
        <v>583</v>
      </c>
      <c r="F729" s="1">
        <v>0.0</v>
      </c>
      <c r="G729" s="1">
        <v>11.0</v>
      </c>
      <c r="H729" s="1">
        <v>0.0</v>
      </c>
      <c r="I729" s="1">
        <v>41.27</v>
      </c>
    </row>
    <row r="730">
      <c r="A730" s="2" t="s">
        <v>1847</v>
      </c>
      <c r="B730" s="1">
        <v>200.0</v>
      </c>
      <c r="C730" s="1" t="s">
        <v>1848</v>
      </c>
      <c r="D730" s="1" t="s">
        <v>583</v>
      </c>
      <c r="F730" s="1">
        <v>0.0</v>
      </c>
      <c r="G730" s="1">
        <v>2.0</v>
      </c>
      <c r="H730" s="1">
        <v>0.0</v>
      </c>
      <c r="I730" s="1">
        <v>7.0</v>
      </c>
    </row>
    <row r="731">
      <c r="A731" s="2" t="s">
        <v>1841</v>
      </c>
      <c r="B731" s="1">
        <v>200.0</v>
      </c>
      <c r="C731" s="1" t="s">
        <v>1842</v>
      </c>
      <c r="D731" s="1" t="s">
        <v>583</v>
      </c>
      <c r="F731" s="1">
        <v>0.0</v>
      </c>
      <c r="G731" s="1">
        <v>3.0</v>
      </c>
      <c r="H731" s="1">
        <v>0.0</v>
      </c>
      <c r="I731" s="1">
        <v>34.33</v>
      </c>
    </row>
    <row r="732">
      <c r="A732" s="2" t="s">
        <v>1849</v>
      </c>
      <c r="B732" s="1">
        <v>200.0</v>
      </c>
      <c r="C732" s="1" t="s">
        <v>1850</v>
      </c>
      <c r="D732" s="1" t="s">
        <v>583</v>
      </c>
      <c r="F732" s="1">
        <v>0.0</v>
      </c>
      <c r="G732" s="1">
        <v>4.0</v>
      </c>
      <c r="H732" s="1">
        <v>0.0</v>
      </c>
      <c r="I732" s="1">
        <v>86.25</v>
      </c>
    </row>
    <row r="733">
      <c r="A733" s="2" t="s">
        <v>1843</v>
      </c>
      <c r="B733" s="1">
        <v>200.0</v>
      </c>
      <c r="C733" s="1" t="s">
        <v>1844</v>
      </c>
      <c r="D733" s="1" t="s">
        <v>583</v>
      </c>
      <c r="F733" s="1">
        <v>2.0</v>
      </c>
      <c r="G733" s="1">
        <v>229.0</v>
      </c>
      <c r="H733" s="1">
        <v>0.009</v>
      </c>
      <c r="I733" s="1">
        <v>10.07</v>
      </c>
    </row>
    <row r="734">
      <c r="A734" s="2" t="s">
        <v>1831</v>
      </c>
      <c r="B734" s="1">
        <v>200.0</v>
      </c>
      <c r="C734" s="1" t="s">
        <v>1832</v>
      </c>
      <c r="D734" s="1" t="s">
        <v>583</v>
      </c>
    </row>
    <row r="735">
      <c r="A735" s="2" t="s">
        <v>1878</v>
      </c>
      <c r="B735" s="1">
        <v>200.0</v>
      </c>
      <c r="C735" s="1" t="s">
        <v>1879</v>
      </c>
      <c r="D735" s="1" t="s">
        <v>583</v>
      </c>
      <c r="F735" s="1">
        <v>0.0</v>
      </c>
      <c r="G735" s="1">
        <v>8.0</v>
      </c>
      <c r="H735" s="1">
        <v>0.0</v>
      </c>
      <c r="I735" s="1">
        <v>58.63</v>
      </c>
    </row>
    <row r="736">
      <c r="A736" s="2" t="s">
        <v>1825</v>
      </c>
      <c r="B736" s="1">
        <v>200.0</v>
      </c>
      <c r="C736" s="1" t="s">
        <v>1826</v>
      </c>
      <c r="D736" s="1" t="s">
        <v>583</v>
      </c>
      <c r="F736" s="1">
        <v>0.0</v>
      </c>
      <c r="G736" s="1">
        <v>1199.0</v>
      </c>
      <c r="H736" s="1">
        <v>0.0</v>
      </c>
      <c r="I736" s="1">
        <v>61.48</v>
      </c>
    </row>
    <row r="737">
      <c r="A737" s="2" t="s">
        <v>1829</v>
      </c>
      <c r="B737" s="1">
        <v>200.0</v>
      </c>
      <c r="C737" s="1" t="s">
        <v>1830</v>
      </c>
      <c r="D737" s="1" t="s">
        <v>583</v>
      </c>
    </row>
    <row r="738">
      <c r="A738" s="2" t="s">
        <v>1866</v>
      </c>
      <c r="B738" s="1">
        <v>200.0</v>
      </c>
      <c r="C738" s="1" t="s">
        <v>1867</v>
      </c>
      <c r="D738" s="1" t="s">
        <v>583</v>
      </c>
      <c r="F738" s="1">
        <v>0.0</v>
      </c>
      <c r="G738" s="1">
        <v>31.0</v>
      </c>
      <c r="H738" s="1">
        <v>0.0</v>
      </c>
      <c r="I738" s="1">
        <v>37.9</v>
      </c>
    </row>
    <row r="739">
      <c r="A739" s="2" t="s">
        <v>1870</v>
      </c>
      <c r="B739" s="1">
        <v>200.0</v>
      </c>
      <c r="C739" s="1" t="s">
        <v>1871</v>
      </c>
      <c r="D739" s="1" t="s">
        <v>583</v>
      </c>
      <c r="F739" s="1">
        <v>0.0</v>
      </c>
      <c r="G739" s="1">
        <v>654.0</v>
      </c>
      <c r="H739" s="1">
        <v>0.0</v>
      </c>
      <c r="I739" s="1">
        <v>79.88</v>
      </c>
    </row>
    <row r="740">
      <c r="A740" s="2" t="s">
        <v>1872</v>
      </c>
      <c r="B740" s="1">
        <v>200.0</v>
      </c>
      <c r="C740" s="1" t="s">
        <v>1873</v>
      </c>
      <c r="D740" s="1" t="s">
        <v>583</v>
      </c>
      <c r="F740" s="1">
        <v>0.0</v>
      </c>
      <c r="G740" s="1">
        <v>7.0</v>
      </c>
      <c r="H740" s="1">
        <v>0.0</v>
      </c>
      <c r="I740" s="1">
        <v>41.71</v>
      </c>
    </row>
    <row r="741">
      <c r="A741" s="2" t="s">
        <v>1874</v>
      </c>
      <c r="B741" s="1">
        <v>200.0</v>
      </c>
      <c r="C741" s="1" t="s">
        <v>1875</v>
      </c>
      <c r="D741" s="1" t="s">
        <v>583</v>
      </c>
      <c r="F741" s="1">
        <v>1.0</v>
      </c>
      <c r="G741" s="1">
        <v>40.0</v>
      </c>
      <c r="H741" s="1">
        <v>0.025</v>
      </c>
      <c r="I741" s="1">
        <v>21.15</v>
      </c>
    </row>
    <row r="742">
      <c r="A742" s="2" t="s">
        <v>1882</v>
      </c>
      <c r="B742" s="1">
        <v>200.0</v>
      </c>
      <c r="C742" s="1" t="s">
        <v>1883</v>
      </c>
      <c r="D742" s="1" t="s">
        <v>583</v>
      </c>
      <c r="F742" s="1">
        <v>0.0</v>
      </c>
      <c r="G742" s="1">
        <v>1.0</v>
      </c>
      <c r="H742" s="1">
        <v>0.0</v>
      </c>
      <c r="I742" s="1">
        <v>16.0</v>
      </c>
    </row>
    <row r="743">
      <c r="A743" s="2" t="s">
        <v>1884</v>
      </c>
      <c r="B743" s="1">
        <v>200.0</v>
      </c>
      <c r="C743" s="1" t="s">
        <v>1885</v>
      </c>
      <c r="D743" s="1" t="s">
        <v>583</v>
      </c>
    </row>
    <row r="744">
      <c r="A744" s="2" t="s">
        <v>1876</v>
      </c>
      <c r="B744" s="1">
        <v>200.0</v>
      </c>
      <c r="C744" s="1" t="s">
        <v>1877</v>
      </c>
      <c r="D744" s="1" t="s">
        <v>583</v>
      </c>
    </row>
    <row r="745">
      <c r="A745" s="2" t="s">
        <v>1886</v>
      </c>
      <c r="B745" s="1">
        <v>200.0</v>
      </c>
      <c r="C745" s="1" t="s">
        <v>1887</v>
      </c>
      <c r="D745" s="1" t="s">
        <v>583</v>
      </c>
      <c r="F745" s="1">
        <v>1.0</v>
      </c>
      <c r="G745" s="1">
        <v>7.0</v>
      </c>
      <c r="H745" s="1">
        <v>0.143</v>
      </c>
      <c r="I745" s="1">
        <v>36.14</v>
      </c>
    </row>
    <row r="746">
      <c r="A746" s="2" t="s">
        <v>1880</v>
      </c>
      <c r="B746" s="1">
        <v>200.0</v>
      </c>
      <c r="C746" s="1" t="s">
        <v>1881</v>
      </c>
      <c r="D746" s="1" t="s">
        <v>583</v>
      </c>
      <c r="F746" s="1">
        <v>0.0</v>
      </c>
      <c r="G746" s="1">
        <v>17.0</v>
      </c>
      <c r="H746" s="1">
        <v>0.0</v>
      </c>
      <c r="I746" s="1">
        <v>17.47</v>
      </c>
    </row>
    <row r="747">
      <c r="A747" s="2" t="s">
        <v>1892</v>
      </c>
      <c r="B747" s="1">
        <v>200.0</v>
      </c>
      <c r="C747" s="1" t="s">
        <v>1893</v>
      </c>
      <c r="D747" s="1" t="s">
        <v>583</v>
      </c>
      <c r="F747" s="1">
        <v>0.0</v>
      </c>
      <c r="G747" s="1">
        <v>109.0</v>
      </c>
      <c r="H747" s="1">
        <v>0.0</v>
      </c>
      <c r="I747" s="1">
        <v>25.07</v>
      </c>
    </row>
    <row r="748">
      <c r="A748" s="2" t="s">
        <v>1859</v>
      </c>
      <c r="B748" s="1">
        <v>200.0</v>
      </c>
      <c r="C748" s="1" t="s">
        <v>1664</v>
      </c>
      <c r="D748" s="1" t="s">
        <v>583</v>
      </c>
      <c r="F748" s="1">
        <v>0.0</v>
      </c>
      <c r="G748" s="1">
        <v>2.0</v>
      </c>
      <c r="H748" s="1">
        <v>0.0</v>
      </c>
      <c r="I748" s="1">
        <v>87.0</v>
      </c>
    </row>
    <row r="749">
      <c r="A749" s="2" t="s">
        <v>1760</v>
      </c>
      <c r="B749" s="1">
        <v>200.0</v>
      </c>
      <c r="C749" s="1" t="s">
        <v>1761</v>
      </c>
      <c r="D749" s="1" t="s">
        <v>583</v>
      </c>
      <c r="F749" s="1">
        <v>0.0</v>
      </c>
      <c r="G749" s="1">
        <v>1.0</v>
      </c>
      <c r="H749" s="1">
        <v>0.0</v>
      </c>
      <c r="I749" s="1">
        <v>1.0</v>
      </c>
    </row>
    <row r="750">
      <c r="A750" s="2" t="s">
        <v>1748</v>
      </c>
      <c r="B750" s="1">
        <v>200.0</v>
      </c>
      <c r="C750" s="1" t="s">
        <v>1749</v>
      </c>
      <c r="D750" s="1" t="s">
        <v>583</v>
      </c>
      <c r="F750" s="1">
        <v>16.0</v>
      </c>
      <c r="G750" s="1">
        <v>376.0</v>
      </c>
      <c r="H750" s="1">
        <v>0.043</v>
      </c>
      <c r="I750" s="1">
        <v>15.58</v>
      </c>
    </row>
    <row r="751">
      <c r="A751" s="2" t="s">
        <v>1752</v>
      </c>
      <c r="B751" s="1">
        <v>200.0</v>
      </c>
      <c r="C751" s="1" t="s">
        <v>1753</v>
      </c>
      <c r="D751" s="1" t="s">
        <v>583</v>
      </c>
      <c r="F751" s="1">
        <v>0.0</v>
      </c>
      <c r="G751" s="1">
        <v>6.0</v>
      </c>
      <c r="H751" s="1">
        <v>0.0</v>
      </c>
      <c r="I751" s="1">
        <v>90.17</v>
      </c>
    </row>
    <row r="752">
      <c r="A752" s="2" t="s">
        <v>1851</v>
      </c>
      <c r="B752" s="1">
        <v>200.0</v>
      </c>
      <c r="C752" s="1" t="s">
        <v>1852</v>
      </c>
      <c r="D752" s="1" t="s">
        <v>583</v>
      </c>
    </row>
    <row r="753">
      <c r="A753" s="2" t="s">
        <v>1853</v>
      </c>
      <c r="B753" s="1">
        <v>200.0</v>
      </c>
      <c r="C753" s="1" t="s">
        <v>1854</v>
      </c>
      <c r="D753" s="1" t="s">
        <v>583</v>
      </c>
      <c r="F753" s="1">
        <v>2.0</v>
      </c>
      <c r="G753" s="1">
        <v>108.0</v>
      </c>
      <c r="H753" s="1">
        <v>0.018</v>
      </c>
      <c r="I753" s="1">
        <v>11.42</v>
      </c>
    </row>
    <row r="754">
      <c r="A754" s="2" t="s">
        <v>1857</v>
      </c>
      <c r="B754" s="1">
        <v>200.0</v>
      </c>
      <c r="C754" s="1" t="s">
        <v>1858</v>
      </c>
      <c r="D754" s="1" t="s">
        <v>583</v>
      </c>
    </row>
    <row r="755">
      <c r="A755" s="2" t="s">
        <v>1742</v>
      </c>
      <c r="B755" s="1">
        <v>200.0</v>
      </c>
      <c r="C755" s="1" t="s">
        <v>1743</v>
      </c>
      <c r="D755" s="1" t="s">
        <v>583</v>
      </c>
      <c r="F755" s="1">
        <v>0.0</v>
      </c>
      <c r="G755" s="1">
        <v>74.0</v>
      </c>
      <c r="H755" s="1">
        <v>0.0</v>
      </c>
      <c r="I755" s="1">
        <v>73.42</v>
      </c>
    </row>
    <row r="756">
      <c r="A756" s="2" t="s">
        <v>1740</v>
      </c>
      <c r="B756" s="1">
        <v>200.0</v>
      </c>
      <c r="C756" s="1" t="s">
        <v>1741</v>
      </c>
      <c r="D756" s="1" t="s">
        <v>583</v>
      </c>
      <c r="F756" s="1">
        <v>0.0</v>
      </c>
      <c r="G756" s="1">
        <v>53.0</v>
      </c>
      <c r="H756" s="1">
        <v>0.0</v>
      </c>
      <c r="I756" s="1">
        <v>55.89</v>
      </c>
    </row>
    <row r="757">
      <c r="A757" s="2" t="s">
        <v>1855</v>
      </c>
      <c r="B757" s="1">
        <v>200.0</v>
      </c>
      <c r="C757" s="1" t="s">
        <v>1856</v>
      </c>
      <c r="D757" s="1" t="s">
        <v>583</v>
      </c>
      <c r="F757" s="1">
        <v>0.0</v>
      </c>
      <c r="G757" s="1">
        <v>9.0</v>
      </c>
      <c r="H757" s="1">
        <v>0.0</v>
      </c>
      <c r="I757" s="1">
        <v>64.44</v>
      </c>
    </row>
    <row r="758">
      <c r="A758" s="2" t="s">
        <v>1744</v>
      </c>
      <c r="B758" s="1">
        <v>200.0</v>
      </c>
      <c r="C758" s="1" t="s">
        <v>846</v>
      </c>
      <c r="D758" s="1" t="s">
        <v>609</v>
      </c>
      <c r="E758" s="1" t="s">
        <v>631</v>
      </c>
    </row>
    <row r="759">
      <c r="A759" s="2" t="s">
        <v>1745</v>
      </c>
      <c r="B759" s="1">
        <v>200.0</v>
      </c>
      <c r="C759" s="1" t="s">
        <v>1746</v>
      </c>
      <c r="D759" s="1" t="s">
        <v>583</v>
      </c>
      <c r="F759" s="1">
        <v>0.0</v>
      </c>
      <c r="G759" s="1">
        <v>15.0</v>
      </c>
      <c r="H759" s="1">
        <v>0.0</v>
      </c>
      <c r="I759" s="1">
        <v>10.67</v>
      </c>
    </row>
    <row r="760">
      <c r="A760" s="2" t="s">
        <v>1845</v>
      </c>
      <c r="B760" s="1">
        <v>200.0</v>
      </c>
      <c r="C760" s="1" t="s">
        <v>1846</v>
      </c>
      <c r="D760" s="1" t="s">
        <v>583</v>
      </c>
      <c r="F760" s="1">
        <v>0.0</v>
      </c>
      <c r="G760" s="1">
        <v>6.0</v>
      </c>
      <c r="H760" s="1">
        <v>0.0</v>
      </c>
      <c r="I760" s="1">
        <v>10.67</v>
      </c>
    </row>
    <row r="761">
      <c r="A761" s="2" t="s">
        <v>1747</v>
      </c>
      <c r="B761" s="1">
        <v>200.0</v>
      </c>
      <c r="C761" s="1" t="s">
        <v>582</v>
      </c>
      <c r="D761" s="1" t="s">
        <v>583</v>
      </c>
    </row>
    <row r="762">
      <c r="A762" s="2" t="s">
        <v>1827</v>
      </c>
      <c r="B762" s="1">
        <v>200.0</v>
      </c>
      <c r="C762" s="1" t="s">
        <v>1828</v>
      </c>
      <c r="D762" s="1" t="s">
        <v>583</v>
      </c>
      <c r="F762" s="1">
        <v>0.0</v>
      </c>
      <c r="G762" s="1">
        <v>1.0</v>
      </c>
      <c r="H762" s="1">
        <v>0.0</v>
      </c>
      <c r="I762" s="1">
        <v>12.0</v>
      </c>
    </row>
    <row r="763">
      <c r="A763" s="2" t="s">
        <v>1758</v>
      </c>
      <c r="B763" s="1">
        <v>200.0</v>
      </c>
      <c r="C763" s="1" t="s">
        <v>1759</v>
      </c>
      <c r="D763" s="1" t="s">
        <v>583</v>
      </c>
      <c r="F763" s="1">
        <v>0.0</v>
      </c>
      <c r="G763" s="1">
        <v>8.0</v>
      </c>
      <c r="H763" s="1">
        <v>0.0</v>
      </c>
      <c r="I763" s="1">
        <v>3.5</v>
      </c>
    </row>
    <row r="764">
      <c r="A764" s="2" t="s">
        <v>1750</v>
      </c>
      <c r="B764" s="1">
        <v>200.0</v>
      </c>
      <c r="C764" s="1" t="s">
        <v>1751</v>
      </c>
      <c r="D764" s="1" t="s">
        <v>583</v>
      </c>
      <c r="F764" s="1">
        <v>0.0</v>
      </c>
      <c r="G764" s="1">
        <v>321.0</v>
      </c>
      <c r="H764" s="1">
        <v>0.0</v>
      </c>
      <c r="I764" s="1">
        <v>45.24</v>
      </c>
    </row>
    <row r="765">
      <c r="A765" s="2" t="s">
        <v>1864</v>
      </c>
      <c r="B765" s="1">
        <v>200.0</v>
      </c>
      <c r="C765" s="1" t="s">
        <v>1865</v>
      </c>
      <c r="D765" s="1" t="s">
        <v>583</v>
      </c>
      <c r="F765" s="1">
        <v>0.0</v>
      </c>
      <c r="G765" s="1">
        <v>67.0</v>
      </c>
      <c r="H765" s="1">
        <v>0.0</v>
      </c>
      <c r="I765" s="1">
        <v>74.63</v>
      </c>
    </row>
    <row r="766">
      <c r="A766" s="2" t="s">
        <v>1756</v>
      </c>
      <c r="B766" s="1">
        <v>200.0</v>
      </c>
      <c r="C766" s="1" t="s">
        <v>1757</v>
      </c>
      <c r="D766" s="1" t="s">
        <v>583</v>
      </c>
    </row>
    <row r="767">
      <c r="A767" s="2" t="s">
        <v>1754</v>
      </c>
      <c r="B767" s="1">
        <v>200.0</v>
      </c>
      <c r="C767" s="1" t="s">
        <v>1755</v>
      </c>
      <c r="D767" s="1" t="s">
        <v>583</v>
      </c>
      <c r="F767" s="1">
        <v>0.0</v>
      </c>
      <c r="G767" s="1">
        <v>27.0</v>
      </c>
      <c r="H767" s="1">
        <v>0.0</v>
      </c>
      <c r="I767" s="1">
        <v>41.7</v>
      </c>
    </row>
    <row r="768">
      <c r="A768" s="2" t="s">
        <v>1723</v>
      </c>
      <c r="B768" s="1">
        <v>301.0</v>
      </c>
      <c r="D768" s="1" t="s">
        <v>609</v>
      </c>
      <c r="E768" s="1" t="s">
        <v>610</v>
      </c>
    </row>
    <row r="769">
      <c r="A769" s="2" t="s">
        <v>1721</v>
      </c>
      <c r="B769" s="1">
        <v>301.0</v>
      </c>
      <c r="D769" s="1" t="s">
        <v>609</v>
      </c>
      <c r="E769" s="1" t="s">
        <v>610</v>
      </c>
    </row>
    <row r="770">
      <c r="A770" s="2" t="s">
        <v>1722</v>
      </c>
      <c r="B770" s="1">
        <v>301.0</v>
      </c>
      <c r="D770" s="1" t="s">
        <v>609</v>
      </c>
      <c r="E770" s="1" t="s">
        <v>610</v>
      </c>
    </row>
    <row r="771">
      <c r="A771" s="2" t="s">
        <v>1725</v>
      </c>
      <c r="B771" s="1">
        <v>301.0</v>
      </c>
      <c r="D771" s="1" t="s">
        <v>609</v>
      </c>
      <c r="E771" s="1" t="s">
        <v>610</v>
      </c>
    </row>
    <row r="772">
      <c r="A772" s="2" t="s">
        <v>1726</v>
      </c>
      <c r="B772" s="1">
        <v>301.0</v>
      </c>
      <c r="D772" s="1" t="s">
        <v>609</v>
      </c>
      <c r="E772" s="1" t="s">
        <v>610</v>
      </c>
    </row>
    <row r="773">
      <c r="A773" s="2" t="s">
        <v>1733</v>
      </c>
      <c r="B773" s="1">
        <v>200.0</v>
      </c>
      <c r="C773" s="1" t="s">
        <v>1712</v>
      </c>
      <c r="D773" s="1" t="s">
        <v>583</v>
      </c>
      <c r="F773" s="1">
        <v>0.0</v>
      </c>
      <c r="G773" s="1">
        <v>44.0</v>
      </c>
      <c r="H773" s="1">
        <v>0.0</v>
      </c>
      <c r="I773" s="1">
        <v>26.73</v>
      </c>
    </row>
    <row r="774">
      <c r="A774" s="2" t="s">
        <v>1727</v>
      </c>
      <c r="B774" s="1">
        <v>301.0</v>
      </c>
      <c r="D774" s="1" t="s">
        <v>609</v>
      </c>
      <c r="E774" s="1" t="s">
        <v>610</v>
      </c>
    </row>
    <row r="775">
      <c r="A775" s="2" t="s">
        <v>1728</v>
      </c>
      <c r="B775" s="1">
        <v>301.0</v>
      </c>
      <c r="D775" s="1" t="s">
        <v>609</v>
      </c>
      <c r="E775" s="1" t="s">
        <v>610</v>
      </c>
    </row>
    <row r="776">
      <c r="A776" s="2" t="s">
        <v>1729</v>
      </c>
      <c r="B776" s="1">
        <v>301.0</v>
      </c>
      <c r="D776" s="1" t="s">
        <v>609</v>
      </c>
      <c r="E776" s="1" t="s">
        <v>610</v>
      </c>
    </row>
    <row r="777">
      <c r="A777" s="2" t="s">
        <v>1730</v>
      </c>
      <c r="B777" s="1">
        <v>301.0</v>
      </c>
      <c r="D777" s="1" t="s">
        <v>609</v>
      </c>
      <c r="E777" s="1" t="s">
        <v>610</v>
      </c>
      <c r="F777" s="1">
        <v>0.0</v>
      </c>
      <c r="G777" s="1">
        <v>116.0</v>
      </c>
      <c r="H777" s="1">
        <v>0.0</v>
      </c>
      <c r="I777" s="1">
        <v>20.25</v>
      </c>
    </row>
    <row r="778">
      <c r="A778" s="2" t="s">
        <v>1734</v>
      </c>
      <c r="B778" s="1">
        <v>301.0</v>
      </c>
      <c r="D778" s="1" t="s">
        <v>609</v>
      </c>
      <c r="E778" s="1" t="s">
        <v>610</v>
      </c>
    </row>
    <row r="779">
      <c r="A779" s="2" t="s">
        <v>1735</v>
      </c>
      <c r="B779" s="1">
        <v>301.0</v>
      </c>
      <c r="D779" s="1" t="s">
        <v>609</v>
      </c>
      <c r="E779" s="1" t="s">
        <v>610</v>
      </c>
      <c r="F779" s="1">
        <v>1.0</v>
      </c>
      <c r="G779" s="1">
        <v>771.0</v>
      </c>
      <c r="H779" s="1">
        <v>0.001</v>
      </c>
      <c r="I779" s="1">
        <v>43.28</v>
      </c>
    </row>
    <row r="780">
      <c r="A780" s="2" t="s">
        <v>1736</v>
      </c>
      <c r="B780" s="1">
        <v>200.0</v>
      </c>
      <c r="C780" s="1" t="s">
        <v>1737</v>
      </c>
      <c r="D780" s="1" t="s">
        <v>583</v>
      </c>
    </row>
    <row r="781">
      <c r="A781" s="2" t="s">
        <v>1904</v>
      </c>
      <c r="B781" s="1">
        <v>200.0</v>
      </c>
      <c r="C781" s="1" t="s">
        <v>1541</v>
      </c>
      <c r="D781" s="1" t="s">
        <v>609</v>
      </c>
      <c r="E781" s="1" t="s">
        <v>631</v>
      </c>
    </row>
    <row r="782">
      <c r="A782" s="2" t="s">
        <v>1738</v>
      </c>
      <c r="B782" s="1">
        <v>200.0</v>
      </c>
      <c r="C782" s="1" t="s">
        <v>1739</v>
      </c>
      <c r="D782" s="1" t="s">
        <v>583</v>
      </c>
    </row>
    <row r="783">
      <c r="A783" s="2" t="s">
        <v>1912</v>
      </c>
      <c r="B783" s="1">
        <v>200.0</v>
      </c>
      <c r="C783" s="1" t="s">
        <v>1913</v>
      </c>
      <c r="D783" s="1" t="s">
        <v>583</v>
      </c>
      <c r="F783" s="1">
        <v>0.0</v>
      </c>
      <c r="G783" s="1">
        <v>4264.0</v>
      </c>
      <c r="H783" s="1">
        <v>0.0</v>
      </c>
      <c r="I783" s="1">
        <v>61.44</v>
      </c>
    </row>
    <row r="784">
      <c r="A784" s="2" t="s">
        <v>1905</v>
      </c>
      <c r="B784" s="1">
        <v>200.0</v>
      </c>
      <c r="C784" s="1" t="s">
        <v>1906</v>
      </c>
      <c r="D784" s="1" t="s">
        <v>583</v>
      </c>
      <c r="F784" s="1">
        <v>0.0</v>
      </c>
      <c r="G784" s="1">
        <v>481.0</v>
      </c>
      <c r="H784" s="1">
        <v>0.0</v>
      </c>
      <c r="I784" s="1">
        <v>52.13</v>
      </c>
    </row>
    <row r="785">
      <c r="A785" s="2" t="s">
        <v>1910</v>
      </c>
      <c r="B785" s="1">
        <v>200.0</v>
      </c>
      <c r="C785" s="1" t="s">
        <v>1911</v>
      </c>
      <c r="D785" s="1" t="s">
        <v>583</v>
      </c>
      <c r="F785" s="1">
        <v>0.0</v>
      </c>
      <c r="G785" s="1">
        <v>662.0</v>
      </c>
      <c r="H785" s="1">
        <v>0.0</v>
      </c>
      <c r="I785" s="1">
        <v>75.01</v>
      </c>
    </row>
    <row r="786">
      <c r="A786" s="2" t="s">
        <v>1902</v>
      </c>
      <c r="B786" s="1">
        <v>200.0</v>
      </c>
      <c r="C786" s="1" t="s">
        <v>1903</v>
      </c>
      <c r="D786" s="1" t="s">
        <v>583</v>
      </c>
    </row>
    <row r="787">
      <c r="A787" s="2" t="s">
        <v>1909</v>
      </c>
      <c r="B787" s="1">
        <v>200.0</v>
      </c>
      <c r="C787" s="1" t="s">
        <v>1709</v>
      </c>
      <c r="D787" s="1" t="s">
        <v>609</v>
      </c>
      <c r="E787" s="1" t="s">
        <v>631</v>
      </c>
    </row>
    <row r="788">
      <c r="A788" s="2" t="s">
        <v>1915</v>
      </c>
      <c r="B788" s="1">
        <v>200.0</v>
      </c>
      <c r="C788" s="1" t="s">
        <v>1916</v>
      </c>
      <c r="D788" s="1" t="s">
        <v>583</v>
      </c>
      <c r="F788" s="1">
        <v>0.0</v>
      </c>
      <c r="G788" s="1">
        <v>503.0</v>
      </c>
      <c r="H788" s="1">
        <v>0.0</v>
      </c>
      <c r="I788" s="1">
        <v>51.64</v>
      </c>
    </row>
    <row r="789">
      <c r="A789" s="2" t="s">
        <v>1914</v>
      </c>
      <c r="B789" s="1">
        <v>200.0</v>
      </c>
      <c r="C789" s="1" t="s">
        <v>1701</v>
      </c>
      <c r="D789" s="1" t="s">
        <v>609</v>
      </c>
      <c r="E789" s="1" t="s">
        <v>631</v>
      </c>
    </row>
    <row r="790">
      <c r="A790" s="2" t="s">
        <v>2012</v>
      </c>
      <c r="B790" s="1">
        <v>200.0</v>
      </c>
      <c r="C790" s="1" t="s">
        <v>2013</v>
      </c>
      <c r="D790" s="1" t="s">
        <v>583</v>
      </c>
    </row>
    <row r="791">
      <c r="A791" s="2" t="s">
        <v>2022</v>
      </c>
      <c r="B791" s="1">
        <v>200.0</v>
      </c>
      <c r="C791" s="1" t="s">
        <v>2023</v>
      </c>
      <c r="D791" s="1" t="s">
        <v>583</v>
      </c>
      <c r="F791" s="1">
        <v>0.0</v>
      </c>
      <c r="G791" s="1">
        <v>7.0</v>
      </c>
      <c r="H791" s="1">
        <v>0.0</v>
      </c>
      <c r="I791" s="1">
        <v>38.14</v>
      </c>
    </row>
    <row r="792">
      <c r="A792" s="2" t="s">
        <v>1888</v>
      </c>
      <c r="B792" s="1">
        <v>200.0</v>
      </c>
      <c r="C792" s="1" t="s">
        <v>1889</v>
      </c>
      <c r="D792" s="1" t="s">
        <v>583</v>
      </c>
      <c r="F792" s="1">
        <v>3.0</v>
      </c>
      <c r="G792" s="1">
        <v>2004.0</v>
      </c>
      <c r="H792" s="1">
        <v>0.002</v>
      </c>
      <c r="I792" s="1">
        <v>54.14</v>
      </c>
    </row>
    <row r="793">
      <c r="A793" s="2" t="s">
        <v>1897</v>
      </c>
      <c r="B793" s="1">
        <v>200.0</v>
      </c>
      <c r="C793" s="1" t="s">
        <v>582</v>
      </c>
      <c r="D793" s="1" t="s">
        <v>583</v>
      </c>
      <c r="F793" s="1">
        <v>0.0</v>
      </c>
      <c r="G793" s="1">
        <v>4.0</v>
      </c>
      <c r="H793" s="1">
        <v>0.0</v>
      </c>
      <c r="I793" s="1">
        <v>6.5</v>
      </c>
    </row>
    <row r="794">
      <c r="A794" s="2" t="s">
        <v>1894</v>
      </c>
      <c r="B794" s="1">
        <v>200.0</v>
      </c>
      <c r="C794" s="1" t="s">
        <v>846</v>
      </c>
      <c r="D794" s="1" t="s">
        <v>609</v>
      </c>
      <c r="E794" s="1" t="s">
        <v>631</v>
      </c>
    </row>
    <row r="795">
      <c r="A795" s="2" t="s">
        <v>1939</v>
      </c>
      <c r="B795" s="1">
        <v>200.0</v>
      </c>
      <c r="C795" s="1" t="s">
        <v>1940</v>
      </c>
      <c r="D795" s="1" t="s">
        <v>583</v>
      </c>
      <c r="F795" s="1">
        <v>0.0</v>
      </c>
      <c r="G795" s="1">
        <v>8.0</v>
      </c>
      <c r="H795" s="1">
        <v>0.0</v>
      </c>
      <c r="I795" s="1">
        <v>64.38</v>
      </c>
    </row>
    <row r="796">
      <c r="A796" s="2" t="s">
        <v>1898</v>
      </c>
      <c r="B796" s="1">
        <v>200.0</v>
      </c>
      <c r="C796" s="1" t="s">
        <v>1899</v>
      </c>
      <c r="D796" s="1" t="s">
        <v>583</v>
      </c>
      <c r="F796" s="1">
        <v>0.0</v>
      </c>
      <c r="G796" s="1">
        <v>1.0</v>
      </c>
      <c r="H796" s="1">
        <v>0.0</v>
      </c>
      <c r="I796" s="1">
        <v>15.0</v>
      </c>
    </row>
    <row r="797">
      <c r="A797" s="2" t="s">
        <v>1937</v>
      </c>
      <c r="B797" s="1">
        <v>200.0</v>
      </c>
      <c r="C797" s="1" t="s">
        <v>1938</v>
      </c>
      <c r="D797" s="1" t="s">
        <v>583</v>
      </c>
    </row>
    <row r="798">
      <c r="A798" s="2" t="s">
        <v>1935</v>
      </c>
      <c r="B798" s="1">
        <v>200.0</v>
      </c>
      <c r="C798" s="1" t="s">
        <v>1936</v>
      </c>
      <c r="D798" s="1" t="s">
        <v>583</v>
      </c>
      <c r="F798" s="1">
        <v>0.0</v>
      </c>
      <c r="G798" s="1">
        <v>32.0</v>
      </c>
      <c r="H798" s="1">
        <v>0.0</v>
      </c>
      <c r="I798" s="1">
        <v>54.69</v>
      </c>
    </row>
    <row r="799">
      <c r="A799" s="2" t="s">
        <v>2014</v>
      </c>
      <c r="B799" s="1">
        <v>200.0</v>
      </c>
      <c r="C799" s="1" t="s">
        <v>2015</v>
      </c>
      <c r="D799" s="1" t="s">
        <v>583</v>
      </c>
      <c r="F799" s="1">
        <v>0.0</v>
      </c>
      <c r="G799" s="1">
        <v>1.0</v>
      </c>
      <c r="H799" s="1">
        <v>0.0</v>
      </c>
      <c r="I799" s="1">
        <v>1.0</v>
      </c>
    </row>
    <row r="800">
      <c r="A800" s="2" t="s">
        <v>2018</v>
      </c>
      <c r="B800" s="1">
        <v>200.0</v>
      </c>
      <c r="C800" s="1" t="s">
        <v>2019</v>
      </c>
      <c r="D800" s="1" t="s">
        <v>583</v>
      </c>
      <c r="F800" s="1">
        <v>0.0</v>
      </c>
      <c r="G800" s="1">
        <v>4.0</v>
      </c>
      <c r="H800" s="1">
        <v>0.0</v>
      </c>
      <c r="I800" s="1">
        <v>8.75</v>
      </c>
    </row>
    <row r="801">
      <c r="A801" s="2" t="s">
        <v>1941</v>
      </c>
      <c r="B801" s="1">
        <v>200.0</v>
      </c>
      <c r="C801" s="1" t="s">
        <v>1942</v>
      </c>
      <c r="D801" s="1" t="s">
        <v>583</v>
      </c>
      <c r="F801" s="1">
        <v>5.0</v>
      </c>
      <c r="G801" s="1">
        <v>1685.0</v>
      </c>
      <c r="H801" s="1">
        <v>0.003</v>
      </c>
      <c r="I801" s="1">
        <v>51.81</v>
      </c>
    </row>
    <row r="802">
      <c r="A802" s="2" t="s">
        <v>1943</v>
      </c>
      <c r="B802" s="1">
        <v>200.0</v>
      </c>
      <c r="C802" s="1" t="s">
        <v>1944</v>
      </c>
      <c r="D802" s="1" t="s">
        <v>583</v>
      </c>
      <c r="F802" s="1">
        <v>0.0</v>
      </c>
      <c r="G802" s="1">
        <v>14.0</v>
      </c>
      <c r="H802" s="1">
        <v>0.0</v>
      </c>
      <c r="I802" s="1">
        <v>66.64</v>
      </c>
    </row>
    <row r="803">
      <c r="A803" s="2" t="s">
        <v>2016</v>
      </c>
      <c r="B803" s="1">
        <v>200.0</v>
      </c>
      <c r="C803" s="1" t="s">
        <v>2017</v>
      </c>
      <c r="D803" s="1" t="s">
        <v>583</v>
      </c>
      <c r="F803" s="1">
        <v>1.0</v>
      </c>
      <c r="G803" s="1">
        <v>419.0</v>
      </c>
      <c r="H803" s="1">
        <v>0.002</v>
      </c>
      <c r="I803" s="1">
        <v>5.28</v>
      </c>
    </row>
    <row r="804">
      <c r="A804" s="2" t="s">
        <v>2010</v>
      </c>
      <c r="B804" s="1">
        <v>200.0</v>
      </c>
      <c r="C804" s="1" t="s">
        <v>2011</v>
      </c>
      <c r="D804" s="1" t="s">
        <v>583</v>
      </c>
      <c r="F804" s="1">
        <v>0.0</v>
      </c>
      <c r="G804" s="1">
        <v>4.0</v>
      </c>
      <c r="H804" s="1">
        <v>0.0</v>
      </c>
      <c r="I804" s="1">
        <v>4.75</v>
      </c>
    </row>
    <row r="805">
      <c r="A805" s="2" t="s">
        <v>2008</v>
      </c>
      <c r="B805" s="1">
        <v>200.0</v>
      </c>
      <c r="C805" s="1" t="s">
        <v>2009</v>
      </c>
      <c r="D805" s="1" t="s">
        <v>583</v>
      </c>
      <c r="F805" s="1">
        <v>6.0</v>
      </c>
      <c r="G805" s="1">
        <v>599.0</v>
      </c>
      <c r="H805" s="1">
        <v>0.01</v>
      </c>
      <c r="I805" s="1">
        <v>3.62</v>
      </c>
    </row>
    <row r="806">
      <c r="A806" s="2" t="s">
        <v>1895</v>
      </c>
      <c r="B806" s="1">
        <v>200.0</v>
      </c>
      <c r="C806" s="1" t="s">
        <v>1896</v>
      </c>
      <c r="D806" s="1" t="s">
        <v>583</v>
      </c>
      <c r="F806" s="1">
        <v>0.0</v>
      </c>
      <c r="G806" s="1">
        <v>973.0</v>
      </c>
      <c r="H806" s="1">
        <v>0.0</v>
      </c>
      <c r="I806" s="1">
        <v>66.51</v>
      </c>
    </row>
    <row r="807">
      <c r="A807" s="2" t="s">
        <v>1917</v>
      </c>
      <c r="B807" s="1">
        <v>200.0</v>
      </c>
      <c r="C807" s="1" t="s">
        <v>1651</v>
      </c>
      <c r="D807" s="1" t="s">
        <v>609</v>
      </c>
      <c r="E807" s="1" t="s">
        <v>631</v>
      </c>
    </row>
    <row r="808">
      <c r="A808" s="2" t="s">
        <v>1924</v>
      </c>
      <c r="B808" s="1">
        <v>200.0</v>
      </c>
      <c r="C808" s="1" t="s">
        <v>1925</v>
      </c>
      <c r="D808" s="1" t="s">
        <v>583</v>
      </c>
    </row>
    <row r="809">
      <c r="A809" s="2" t="s">
        <v>1920</v>
      </c>
      <c r="B809" s="1">
        <v>200.0</v>
      </c>
      <c r="C809" s="1" t="s">
        <v>1921</v>
      </c>
      <c r="D809" s="1" t="s">
        <v>583</v>
      </c>
      <c r="F809" s="1">
        <v>0.0</v>
      </c>
      <c r="G809" s="1">
        <v>2.0</v>
      </c>
      <c r="H809" s="1">
        <v>0.0</v>
      </c>
      <c r="I809" s="1">
        <v>50.5</v>
      </c>
    </row>
    <row r="810">
      <c r="A810" s="2" t="s">
        <v>1928</v>
      </c>
      <c r="B810" s="1">
        <v>200.0</v>
      </c>
      <c r="C810" s="1" t="s">
        <v>1929</v>
      </c>
      <c r="D810" s="1" t="s">
        <v>583</v>
      </c>
    </row>
    <row r="811">
      <c r="A811" s="2" t="s">
        <v>1918</v>
      </c>
      <c r="B811" s="1">
        <v>200.0</v>
      </c>
      <c r="C811" s="1" t="s">
        <v>1919</v>
      </c>
      <c r="D811" s="1" t="s">
        <v>583</v>
      </c>
      <c r="F811" s="1">
        <v>0.0</v>
      </c>
      <c r="G811" s="1">
        <v>18.0</v>
      </c>
      <c r="H811" s="1">
        <v>0.0</v>
      </c>
      <c r="I811" s="1">
        <v>48.11</v>
      </c>
    </row>
    <row r="812">
      <c r="A812" s="2" t="s">
        <v>1922</v>
      </c>
      <c r="B812" s="1">
        <v>200.0</v>
      </c>
      <c r="C812" s="1" t="s">
        <v>1923</v>
      </c>
      <c r="D812" s="1" t="s">
        <v>583</v>
      </c>
      <c r="F812" s="1">
        <v>0.0</v>
      </c>
      <c r="G812" s="1">
        <v>1.0</v>
      </c>
      <c r="H812" s="1">
        <v>0.0</v>
      </c>
      <c r="I812" s="1">
        <v>91.0</v>
      </c>
    </row>
    <row r="813">
      <c r="A813" s="2" t="s">
        <v>1926</v>
      </c>
      <c r="B813" s="1">
        <v>200.0</v>
      </c>
      <c r="C813" s="1" t="s">
        <v>1927</v>
      </c>
      <c r="D813" s="1" t="s">
        <v>583</v>
      </c>
    </row>
    <row r="814">
      <c r="A814" s="2" t="s">
        <v>1890</v>
      </c>
      <c r="B814" s="1">
        <v>200.0</v>
      </c>
      <c r="C814" s="1" t="s">
        <v>1891</v>
      </c>
      <c r="D814" s="1" t="s">
        <v>583</v>
      </c>
      <c r="F814" s="1">
        <v>0.0</v>
      </c>
      <c r="G814" s="1">
        <v>291.0</v>
      </c>
      <c r="H814" s="1">
        <v>0.0</v>
      </c>
      <c r="I814" s="1">
        <v>64.74</v>
      </c>
    </row>
    <row r="815">
      <c r="A815" s="2" t="s">
        <v>1955</v>
      </c>
      <c r="B815" s="1">
        <v>200.0</v>
      </c>
      <c r="C815" s="1" t="s">
        <v>1956</v>
      </c>
      <c r="D815" s="1" t="s">
        <v>583</v>
      </c>
      <c r="F815" s="1">
        <v>0.0</v>
      </c>
      <c r="G815" s="1">
        <v>12.0</v>
      </c>
      <c r="H815" s="1">
        <v>0.0</v>
      </c>
      <c r="I815" s="1">
        <v>48.83</v>
      </c>
    </row>
    <row r="816">
      <c r="A816" s="2" t="s">
        <v>1945</v>
      </c>
      <c r="B816" s="1">
        <v>200.0</v>
      </c>
      <c r="C816" s="1" t="s">
        <v>1946</v>
      </c>
      <c r="D816" s="1" t="s">
        <v>583</v>
      </c>
      <c r="F816" s="1">
        <v>0.0</v>
      </c>
      <c r="G816" s="1">
        <v>53.0</v>
      </c>
      <c r="H816" s="1">
        <v>0.0</v>
      </c>
      <c r="I816" s="1">
        <v>53.06</v>
      </c>
    </row>
    <row r="817">
      <c r="A817" s="2" t="s">
        <v>1900</v>
      </c>
      <c r="B817" s="1">
        <v>200.0</v>
      </c>
      <c r="C817" s="1" t="s">
        <v>1901</v>
      </c>
      <c r="D817" s="1" t="s">
        <v>583</v>
      </c>
    </row>
    <row r="818">
      <c r="A818" s="2" t="s">
        <v>1953</v>
      </c>
      <c r="B818" s="1">
        <v>200.0</v>
      </c>
      <c r="C818" s="1" t="s">
        <v>1954</v>
      </c>
      <c r="D818" s="1" t="s">
        <v>583</v>
      </c>
      <c r="F818" s="1">
        <v>2.0</v>
      </c>
      <c r="G818" s="1">
        <v>492.0</v>
      </c>
      <c r="H818" s="1">
        <v>0.004</v>
      </c>
      <c r="I818" s="1">
        <v>59.5</v>
      </c>
    </row>
    <row r="819">
      <c r="A819" s="2" t="s">
        <v>1947</v>
      </c>
      <c r="B819" s="1">
        <v>200.0</v>
      </c>
      <c r="C819" s="1" t="s">
        <v>1948</v>
      </c>
      <c r="D819" s="1" t="s">
        <v>583</v>
      </c>
    </row>
    <row r="820">
      <c r="A820" s="2" t="s">
        <v>1949</v>
      </c>
      <c r="B820" s="1">
        <v>200.0</v>
      </c>
      <c r="C820" s="1" t="s">
        <v>1950</v>
      </c>
      <c r="D820" s="1" t="s">
        <v>583</v>
      </c>
    </row>
    <row r="821">
      <c r="A821" s="2" t="s">
        <v>1951</v>
      </c>
      <c r="B821" s="1">
        <v>200.0</v>
      </c>
      <c r="C821" s="1" t="s">
        <v>1952</v>
      </c>
      <c r="D821" s="1" t="s">
        <v>583</v>
      </c>
      <c r="F821" s="1">
        <v>65.0</v>
      </c>
      <c r="G821" s="1">
        <v>3826.0</v>
      </c>
      <c r="H821" s="1">
        <v>0.017</v>
      </c>
      <c r="I821" s="1">
        <v>28.78</v>
      </c>
    </row>
    <row r="822">
      <c r="A822" s="2" t="s">
        <v>1967</v>
      </c>
      <c r="B822" s="1">
        <v>200.0</v>
      </c>
      <c r="C822" s="1" t="s">
        <v>1968</v>
      </c>
      <c r="D822" s="1" t="s">
        <v>583</v>
      </c>
      <c r="F822" s="1">
        <v>12.0</v>
      </c>
      <c r="G822" s="1">
        <v>715.0</v>
      </c>
      <c r="H822" s="1">
        <v>0.017</v>
      </c>
      <c r="I822" s="1">
        <v>14.61</v>
      </c>
    </row>
    <row r="823">
      <c r="A823" s="2" t="s">
        <v>1971</v>
      </c>
      <c r="B823" s="1">
        <v>200.0</v>
      </c>
      <c r="C823" s="1" t="s">
        <v>1972</v>
      </c>
      <c r="D823" s="1" t="s">
        <v>583</v>
      </c>
    </row>
    <row r="824">
      <c r="A824" s="2" t="s">
        <v>1959</v>
      </c>
      <c r="B824" s="1">
        <v>200.0</v>
      </c>
      <c r="C824" s="1" t="s">
        <v>1960</v>
      </c>
      <c r="D824" s="1" t="s">
        <v>583</v>
      </c>
      <c r="F824" s="1">
        <v>0.0</v>
      </c>
      <c r="G824" s="1">
        <v>5.0</v>
      </c>
      <c r="H824" s="1">
        <v>0.0</v>
      </c>
      <c r="I824" s="1">
        <v>32.8</v>
      </c>
    </row>
    <row r="825">
      <c r="A825" s="2" t="s">
        <v>1984</v>
      </c>
      <c r="B825" s="1">
        <v>200.0</v>
      </c>
      <c r="C825" s="1" t="s">
        <v>1985</v>
      </c>
      <c r="D825" s="1" t="s">
        <v>583</v>
      </c>
      <c r="F825" s="1">
        <v>0.0</v>
      </c>
      <c r="G825" s="1">
        <v>258.0</v>
      </c>
      <c r="H825" s="1">
        <v>0.0</v>
      </c>
      <c r="I825" s="1">
        <v>39.69</v>
      </c>
    </row>
    <row r="826">
      <c r="A826" s="2" t="s">
        <v>1973</v>
      </c>
      <c r="B826" s="1">
        <v>200.0</v>
      </c>
      <c r="C826" s="1" t="s">
        <v>1974</v>
      </c>
      <c r="D826" s="1" t="s">
        <v>583</v>
      </c>
      <c r="F826" s="1">
        <v>0.0</v>
      </c>
      <c r="G826" s="1">
        <v>7.0</v>
      </c>
      <c r="H826" s="1">
        <v>0.0</v>
      </c>
      <c r="I826" s="1">
        <v>29.86</v>
      </c>
    </row>
    <row r="827">
      <c r="A827" s="2" t="s">
        <v>1977</v>
      </c>
      <c r="B827" s="1">
        <v>200.0</v>
      </c>
      <c r="C827" s="1" t="s">
        <v>1978</v>
      </c>
      <c r="D827" s="1" t="s">
        <v>583</v>
      </c>
      <c r="F827" s="1">
        <v>0.0</v>
      </c>
      <c r="G827" s="1">
        <v>89.0</v>
      </c>
      <c r="H827" s="1">
        <v>0.0</v>
      </c>
      <c r="I827" s="1">
        <v>62.69</v>
      </c>
    </row>
    <row r="828">
      <c r="A828" s="2" t="s">
        <v>1957</v>
      </c>
      <c r="B828" s="1">
        <v>200.0</v>
      </c>
      <c r="C828" s="1" t="s">
        <v>1958</v>
      </c>
      <c r="D828" s="1" t="s">
        <v>583</v>
      </c>
    </row>
    <row r="829">
      <c r="A829" s="2" t="s">
        <v>1961</v>
      </c>
      <c r="B829" s="1">
        <v>200.0</v>
      </c>
      <c r="C829" s="1" t="s">
        <v>1962</v>
      </c>
      <c r="D829" s="1" t="s">
        <v>583</v>
      </c>
      <c r="F829" s="1">
        <v>0.0</v>
      </c>
      <c r="G829" s="1">
        <v>34.0</v>
      </c>
      <c r="H829" s="1">
        <v>0.0</v>
      </c>
      <c r="I829" s="1">
        <v>18.94</v>
      </c>
    </row>
    <row r="830">
      <c r="A830" s="2" t="s">
        <v>1965</v>
      </c>
      <c r="B830" s="1">
        <v>200.0</v>
      </c>
      <c r="C830" s="1" t="s">
        <v>1966</v>
      </c>
      <c r="D830" s="1" t="s">
        <v>583</v>
      </c>
      <c r="F830" s="1">
        <v>0.0</v>
      </c>
      <c r="G830" s="1">
        <v>4.0</v>
      </c>
      <c r="H830" s="1">
        <v>0.0</v>
      </c>
      <c r="I830" s="1">
        <v>11.0</v>
      </c>
    </row>
    <row r="831">
      <c r="A831" s="2" t="s">
        <v>1990</v>
      </c>
      <c r="B831" s="1">
        <v>200.0</v>
      </c>
      <c r="C831" s="1" t="s">
        <v>1802</v>
      </c>
      <c r="D831" s="1" t="s">
        <v>583</v>
      </c>
      <c r="F831" s="1">
        <v>0.0</v>
      </c>
      <c r="G831" s="1">
        <v>51.0</v>
      </c>
      <c r="H831" s="1">
        <v>0.0</v>
      </c>
      <c r="I831" s="1">
        <v>14.0</v>
      </c>
    </row>
    <row r="832">
      <c r="A832" s="2" t="s">
        <v>1969</v>
      </c>
      <c r="B832" s="1">
        <v>200.0</v>
      </c>
      <c r="C832" s="1" t="s">
        <v>1970</v>
      </c>
      <c r="D832" s="1" t="s">
        <v>583</v>
      </c>
    </row>
    <row r="833">
      <c r="A833" s="2" t="s">
        <v>1981</v>
      </c>
      <c r="B833" s="1">
        <v>200.0</v>
      </c>
      <c r="C833" s="1" t="s">
        <v>1982</v>
      </c>
      <c r="D833" s="1" t="s">
        <v>583</v>
      </c>
      <c r="F833" s="1">
        <v>0.0</v>
      </c>
      <c r="G833" s="1">
        <v>2.0</v>
      </c>
      <c r="H833" s="1">
        <v>0.0</v>
      </c>
      <c r="I833" s="1">
        <v>4.0</v>
      </c>
    </row>
    <row r="834">
      <c r="A834" s="2" t="s">
        <v>1975</v>
      </c>
      <c r="B834" s="1">
        <v>200.0</v>
      </c>
      <c r="C834" s="1" t="s">
        <v>1976</v>
      </c>
      <c r="D834" s="1" t="s">
        <v>583</v>
      </c>
      <c r="F834" s="1">
        <v>3.0</v>
      </c>
      <c r="G834" s="1">
        <v>203.0</v>
      </c>
      <c r="H834" s="1">
        <v>0.015</v>
      </c>
      <c r="I834" s="1">
        <v>16.22</v>
      </c>
    </row>
    <row r="835">
      <c r="A835" s="2" t="s">
        <v>1994</v>
      </c>
      <c r="B835" s="1">
        <v>200.0</v>
      </c>
      <c r="C835" s="1" t="s">
        <v>1995</v>
      </c>
      <c r="D835" s="1" t="s">
        <v>583</v>
      </c>
      <c r="F835" s="1">
        <v>1.0</v>
      </c>
      <c r="G835" s="1">
        <v>52.0</v>
      </c>
      <c r="H835" s="1">
        <v>0.019</v>
      </c>
      <c r="I835" s="1">
        <v>13.15</v>
      </c>
    </row>
    <row r="836">
      <c r="A836" s="2" t="s">
        <v>1991</v>
      </c>
      <c r="B836" s="1">
        <v>200.0</v>
      </c>
      <c r="C836" s="1" t="s">
        <v>1992</v>
      </c>
      <c r="D836" s="1" t="s">
        <v>583</v>
      </c>
    </row>
    <row r="837">
      <c r="A837" s="2" t="s">
        <v>1983</v>
      </c>
      <c r="B837" s="1">
        <v>301.0</v>
      </c>
      <c r="D837" s="1" t="s">
        <v>609</v>
      </c>
      <c r="E837" s="1" t="s">
        <v>610</v>
      </c>
    </row>
    <row r="838">
      <c r="A838" s="2" t="s">
        <v>2020</v>
      </c>
      <c r="B838" s="1">
        <v>200.0</v>
      </c>
      <c r="C838" s="1" t="s">
        <v>2021</v>
      </c>
      <c r="D838" s="1" t="s">
        <v>583</v>
      </c>
      <c r="F838" s="1">
        <v>0.0</v>
      </c>
      <c r="G838" s="1">
        <v>14.0</v>
      </c>
      <c r="H838" s="1">
        <v>0.0</v>
      </c>
      <c r="I838" s="1">
        <v>52.79</v>
      </c>
    </row>
    <row r="839">
      <c r="A839" s="2" t="s">
        <v>1986</v>
      </c>
      <c r="B839" s="1">
        <v>200.0</v>
      </c>
      <c r="C839" s="1" t="s">
        <v>1987</v>
      </c>
      <c r="D839" s="1" t="s">
        <v>583</v>
      </c>
      <c r="F839" s="1">
        <v>0.0</v>
      </c>
      <c r="G839" s="1">
        <v>33.0</v>
      </c>
      <c r="H839" s="1">
        <v>0.0</v>
      </c>
      <c r="I839" s="1">
        <v>65.36</v>
      </c>
    </row>
    <row r="840">
      <c r="A840" s="2" t="s">
        <v>1988</v>
      </c>
      <c r="B840" s="1">
        <v>200.0</v>
      </c>
      <c r="C840" s="1" t="s">
        <v>1989</v>
      </c>
      <c r="D840" s="1" t="s">
        <v>583</v>
      </c>
      <c r="F840" s="1">
        <v>6.0</v>
      </c>
      <c r="G840" s="1">
        <v>1118.0</v>
      </c>
      <c r="H840" s="1">
        <v>0.005</v>
      </c>
      <c r="I840" s="1">
        <v>46.95</v>
      </c>
    </row>
    <row r="841">
      <c r="A841" s="2" t="s">
        <v>1979</v>
      </c>
      <c r="B841" s="1">
        <v>200.0</v>
      </c>
      <c r="C841" s="1" t="s">
        <v>1980</v>
      </c>
      <c r="D841" s="1" t="s">
        <v>583</v>
      </c>
      <c r="F841" s="1">
        <v>2.0</v>
      </c>
      <c r="G841" s="1">
        <v>179.0</v>
      </c>
      <c r="H841" s="1">
        <v>0.011</v>
      </c>
      <c r="I841" s="1">
        <v>25.63</v>
      </c>
    </row>
    <row r="842">
      <c r="A842" s="2" t="s">
        <v>2002</v>
      </c>
      <c r="B842" s="1">
        <v>200.0</v>
      </c>
      <c r="C842" s="1" t="s">
        <v>2003</v>
      </c>
      <c r="D842" s="1" t="s">
        <v>583</v>
      </c>
      <c r="F842" s="1">
        <v>0.0</v>
      </c>
      <c r="G842" s="1">
        <v>4.0</v>
      </c>
      <c r="H842" s="1">
        <v>0.0</v>
      </c>
      <c r="I842" s="1">
        <v>5.25</v>
      </c>
    </row>
    <row r="843">
      <c r="A843" s="2" t="s">
        <v>2000</v>
      </c>
      <c r="B843" s="1">
        <v>200.0</v>
      </c>
      <c r="C843" s="1" t="s">
        <v>2001</v>
      </c>
      <c r="D843" s="1" t="s">
        <v>583</v>
      </c>
    </row>
    <row r="844">
      <c r="A844" s="2" t="s">
        <v>1996</v>
      </c>
      <c r="B844" s="1">
        <v>200.0</v>
      </c>
      <c r="C844" s="1" t="s">
        <v>1997</v>
      </c>
      <c r="D844" s="1" t="s">
        <v>583</v>
      </c>
    </row>
    <row r="845">
      <c r="A845" s="2" t="s">
        <v>1933</v>
      </c>
      <c r="B845" s="1">
        <v>200.0</v>
      </c>
      <c r="C845" s="1" t="s">
        <v>1934</v>
      </c>
      <c r="D845" s="1" t="s">
        <v>583</v>
      </c>
      <c r="F845" s="1">
        <v>0.0</v>
      </c>
      <c r="G845" s="1">
        <v>1.0</v>
      </c>
      <c r="H845" s="1">
        <v>0.0</v>
      </c>
      <c r="I845" s="1">
        <v>65.0</v>
      </c>
    </row>
    <row r="846">
      <c r="A846" s="2" t="s">
        <v>1930</v>
      </c>
      <c r="B846" s="1">
        <v>200.0</v>
      </c>
      <c r="C846" s="1" t="s">
        <v>1931</v>
      </c>
      <c r="D846" s="1" t="s">
        <v>583</v>
      </c>
      <c r="F846" s="1">
        <v>0.0</v>
      </c>
      <c r="G846" s="1">
        <v>15.0</v>
      </c>
      <c r="H846" s="1">
        <v>0.0</v>
      </c>
      <c r="I846" s="1">
        <v>62.8</v>
      </c>
    </row>
    <row r="847">
      <c r="A847" s="2" t="s">
        <v>1993</v>
      </c>
      <c r="B847" s="1">
        <v>301.0</v>
      </c>
      <c r="D847" s="1" t="s">
        <v>609</v>
      </c>
      <c r="E847" s="1" t="s">
        <v>610</v>
      </c>
    </row>
    <row r="848">
      <c r="A848" s="2" t="s">
        <v>2004</v>
      </c>
      <c r="B848" s="1">
        <v>200.0</v>
      </c>
      <c r="C848" s="1" t="s">
        <v>2005</v>
      </c>
      <c r="D848" s="1" t="s">
        <v>583</v>
      </c>
    </row>
    <row r="849">
      <c r="A849" s="2" t="s">
        <v>1963</v>
      </c>
      <c r="B849" s="1">
        <v>200.0</v>
      </c>
      <c r="C849" s="1" t="s">
        <v>1964</v>
      </c>
      <c r="D849" s="1" t="s">
        <v>583</v>
      </c>
      <c r="F849" s="1">
        <v>1.0</v>
      </c>
      <c r="G849" s="1">
        <v>47.0</v>
      </c>
      <c r="H849" s="1">
        <v>0.021</v>
      </c>
      <c r="I849" s="1">
        <v>20.6</v>
      </c>
    </row>
    <row r="850">
      <c r="A850" s="2" t="s">
        <v>1932</v>
      </c>
      <c r="B850" s="1">
        <v>301.0</v>
      </c>
      <c r="D850" s="1" t="s">
        <v>609</v>
      </c>
      <c r="E850" s="1" t="s">
        <v>610</v>
      </c>
    </row>
    <row r="851">
      <c r="A851" s="2" t="s">
        <v>1907</v>
      </c>
      <c r="B851" s="1">
        <v>200.0</v>
      </c>
      <c r="C851" s="1" t="s">
        <v>1908</v>
      </c>
      <c r="D851" s="1" t="s">
        <v>583</v>
      </c>
      <c r="F851" s="1">
        <v>0.0</v>
      </c>
      <c r="G851" s="1">
        <v>216.0</v>
      </c>
      <c r="H851" s="1">
        <v>0.0</v>
      </c>
      <c r="I851" s="1">
        <v>57.77</v>
      </c>
    </row>
    <row r="852">
      <c r="A852" s="2" t="s">
        <v>2006</v>
      </c>
      <c r="B852" s="1">
        <v>200.0</v>
      </c>
      <c r="C852" s="1" t="s">
        <v>2007</v>
      </c>
      <c r="D852" s="1" t="s">
        <v>583</v>
      </c>
      <c r="F852" s="1">
        <v>0.0</v>
      </c>
      <c r="G852" s="1">
        <v>15.0</v>
      </c>
      <c r="H852" s="1">
        <v>0.0</v>
      </c>
      <c r="I852" s="1">
        <v>19.93</v>
      </c>
    </row>
    <row r="853">
      <c r="A853" s="2" t="s">
        <v>1998</v>
      </c>
      <c r="B853" s="1">
        <v>200.0</v>
      </c>
      <c r="C853" s="1" t="s">
        <v>1999</v>
      </c>
      <c r="D853" s="1" t="s">
        <v>583</v>
      </c>
      <c r="F853" s="1">
        <v>0.0</v>
      </c>
      <c r="G853" s="1">
        <v>59.0</v>
      </c>
      <c r="H853" s="1">
        <v>0.0</v>
      </c>
      <c r="I853" s="1">
        <v>35.86</v>
      </c>
    </row>
    <row r="854">
      <c r="A854" s="2" t="s">
        <v>2040</v>
      </c>
      <c r="B854" s="1">
        <v>200.0</v>
      </c>
      <c r="C854" s="1" t="s">
        <v>2041</v>
      </c>
      <c r="D854" s="1" t="s">
        <v>583</v>
      </c>
      <c r="F854" s="1">
        <v>0.0</v>
      </c>
      <c r="G854" s="1">
        <v>30.0</v>
      </c>
      <c r="H854" s="1">
        <v>0.0</v>
      </c>
      <c r="I854" s="1">
        <v>38.5</v>
      </c>
    </row>
    <row r="855">
      <c r="A855" s="2" t="s">
        <v>2028</v>
      </c>
      <c r="B855" s="1">
        <v>301.0</v>
      </c>
      <c r="D855" s="1" t="s">
        <v>609</v>
      </c>
      <c r="E855" s="1" t="s">
        <v>610</v>
      </c>
    </row>
    <row r="856">
      <c r="A856" s="2" t="s">
        <v>2044</v>
      </c>
      <c r="B856" s="1">
        <v>200.0</v>
      </c>
      <c r="C856" s="1" t="s">
        <v>2045</v>
      </c>
      <c r="D856" s="1" t="s">
        <v>583</v>
      </c>
      <c r="F856" s="1">
        <v>0.0</v>
      </c>
      <c r="G856" s="1">
        <v>12.0</v>
      </c>
      <c r="H856" s="1">
        <v>0.0</v>
      </c>
      <c r="I856" s="1">
        <v>63.17</v>
      </c>
    </row>
    <row r="857">
      <c r="A857" s="2" t="s">
        <v>2122</v>
      </c>
      <c r="B857" s="1">
        <v>301.0</v>
      </c>
      <c r="D857" s="1" t="s">
        <v>609</v>
      </c>
      <c r="E857" s="1" t="s">
        <v>610</v>
      </c>
    </row>
    <row r="858">
      <c r="A858" s="2" t="s">
        <v>2068</v>
      </c>
      <c r="B858" s="1">
        <v>200.0</v>
      </c>
      <c r="C858" s="1" t="s">
        <v>2069</v>
      </c>
      <c r="D858" s="1" t="s">
        <v>583</v>
      </c>
    </row>
    <row r="859">
      <c r="A859" s="2" t="s">
        <v>2101</v>
      </c>
      <c r="B859" s="1">
        <v>200.0</v>
      </c>
      <c r="C859" s="1" t="s">
        <v>2102</v>
      </c>
      <c r="D859" s="1" t="s">
        <v>583</v>
      </c>
    </row>
    <row r="860">
      <c r="A860" s="2" t="s">
        <v>2105</v>
      </c>
      <c r="B860" s="1">
        <v>200.0</v>
      </c>
      <c r="C860" s="1" t="s">
        <v>2106</v>
      </c>
      <c r="D860" s="1" t="s">
        <v>583</v>
      </c>
    </row>
    <row r="861">
      <c r="A861" s="2" t="s">
        <v>2029</v>
      </c>
      <c r="B861" s="1">
        <v>301.0</v>
      </c>
      <c r="D861" s="1" t="s">
        <v>609</v>
      </c>
      <c r="E861" s="1" t="s">
        <v>610</v>
      </c>
    </row>
    <row r="862">
      <c r="A862" s="2" t="s">
        <v>2042</v>
      </c>
      <c r="B862" s="1">
        <v>200.0</v>
      </c>
      <c r="C862" s="1" t="s">
        <v>2043</v>
      </c>
      <c r="D862" s="1" t="s">
        <v>583</v>
      </c>
      <c r="F862" s="1">
        <v>0.0</v>
      </c>
      <c r="G862" s="1">
        <v>8.0</v>
      </c>
      <c r="H862" s="1">
        <v>0.0</v>
      </c>
      <c r="I862" s="1">
        <v>6.5</v>
      </c>
    </row>
    <row r="863">
      <c r="A863" s="2" t="s">
        <v>2099</v>
      </c>
      <c r="B863" s="1">
        <v>200.0</v>
      </c>
      <c r="C863" s="1" t="s">
        <v>2100</v>
      </c>
      <c r="D863" s="1" t="s">
        <v>583</v>
      </c>
      <c r="F863" s="1">
        <v>0.0</v>
      </c>
      <c r="G863" s="1">
        <v>4.0</v>
      </c>
      <c r="H863" s="1">
        <v>0.0</v>
      </c>
      <c r="I863" s="1">
        <v>44.75</v>
      </c>
    </row>
    <row r="864">
      <c r="A864" s="2" t="s">
        <v>2034</v>
      </c>
      <c r="B864" s="1">
        <v>200.0</v>
      </c>
      <c r="C864" s="1" t="s">
        <v>2035</v>
      </c>
      <c r="D864" s="1" t="s">
        <v>583</v>
      </c>
      <c r="F864" s="1">
        <v>0.0</v>
      </c>
      <c r="G864" s="1">
        <v>3.0</v>
      </c>
      <c r="H864" s="1">
        <v>0.0</v>
      </c>
      <c r="I864" s="1">
        <v>8.0</v>
      </c>
    </row>
    <row r="865">
      <c r="A865" s="2" t="s">
        <v>2032</v>
      </c>
      <c r="B865" s="1">
        <v>200.0</v>
      </c>
      <c r="C865" s="1" t="s">
        <v>2033</v>
      </c>
      <c r="D865" s="1" t="s">
        <v>583</v>
      </c>
      <c r="F865" s="1">
        <v>6.0</v>
      </c>
      <c r="G865" s="1">
        <v>195.0</v>
      </c>
      <c r="H865" s="1">
        <v>0.031</v>
      </c>
      <c r="I865" s="1">
        <v>15.83</v>
      </c>
    </row>
    <row r="866">
      <c r="A866" s="2" t="s">
        <v>2038</v>
      </c>
      <c r="B866" s="1">
        <v>200.0</v>
      </c>
      <c r="C866" s="1" t="s">
        <v>2039</v>
      </c>
      <c r="D866" s="1" t="s">
        <v>583</v>
      </c>
      <c r="F866" s="1">
        <v>0.0</v>
      </c>
      <c r="G866" s="1">
        <v>281.0</v>
      </c>
      <c r="H866" s="1">
        <v>0.0</v>
      </c>
      <c r="I866" s="1">
        <v>36.59</v>
      </c>
    </row>
    <row r="867">
      <c r="A867" s="2" t="s">
        <v>2048</v>
      </c>
      <c r="B867" s="1">
        <v>200.0</v>
      </c>
      <c r="C867" s="1" t="s">
        <v>2049</v>
      </c>
      <c r="D867" s="1" t="s">
        <v>583</v>
      </c>
      <c r="F867" s="1">
        <v>0.0</v>
      </c>
      <c r="G867" s="1">
        <v>777.0</v>
      </c>
      <c r="H867" s="1">
        <v>0.0</v>
      </c>
      <c r="I867" s="1">
        <v>68.16</v>
      </c>
    </row>
    <row r="868">
      <c r="A868" s="2" t="s">
        <v>2050</v>
      </c>
      <c r="B868" s="1">
        <v>200.0</v>
      </c>
      <c r="C868" s="1" t="s">
        <v>2051</v>
      </c>
      <c r="D868" s="1" t="s">
        <v>583</v>
      </c>
      <c r="F868" s="1">
        <v>0.0</v>
      </c>
      <c r="G868" s="1">
        <v>93.0</v>
      </c>
      <c r="H868" s="1">
        <v>0.0</v>
      </c>
      <c r="I868" s="1">
        <v>28.31</v>
      </c>
    </row>
    <row r="869">
      <c r="A869" s="2" t="s">
        <v>2046</v>
      </c>
      <c r="B869" s="1">
        <v>200.0</v>
      </c>
      <c r="C869" s="1" t="s">
        <v>2047</v>
      </c>
      <c r="D869" s="1" t="s">
        <v>583</v>
      </c>
      <c r="F869" s="1">
        <v>0.0</v>
      </c>
      <c r="G869" s="1">
        <v>126.0</v>
      </c>
      <c r="H869" s="1">
        <v>0.0</v>
      </c>
      <c r="I869" s="1">
        <v>22.92</v>
      </c>
    </row>
    <row r="870">
      <c r="A870" s="2" t="s">
        <v>2036</v>
      </c>
      <c r="B870" s="1">
        <v>200.0</v>
      </c>
      <c r="C870" s="1" t="s">
        <v>2037</v>
      </c>
      <c r="D870" s="1" t="s">
        <v>583</v>
      </c>
      <c r="F870" s="1">
        <v>0.0</v>
      </c>
      <c r="G870" s="1">
        <v>156.0</v>
      </c>
      <c r="H870" s="1">
        <v>0.0</v>
      </c>
      <c r="I870" s="1">
        <v>10.47</v>
      </c>
    </row>
    <row r="871">
      <c r="A871" s="2" t="s">
        <v>2052</v>
      </c>
      <c r="B871" s="1">
        <v>200.0</v>
      </c>
      <c r="C871" s="1" t="s">
        <v>2053</v>
      </c>
      <c r="D871" s="1" t="s">
        <v>583</v>
      </c>
      <c r="F871" s="1">
        <v>0.0</v>
      </c>
      <c r="G871" s="1">
        <v>24.0</v>
      </c>
      <c r="H871" s="1">
        <v>0.0</v>
      </c>
      <c r="I871" s="1">
        <v>11.29</v>
      </c>
    </row>
    <row r="872">
      <c r="A872" s="2" t="s">
        <v>2058</v>
      </c>
      <c r="B872" s="1">
        <v>200.0</v>
      </c>
      <c r="C872" s="1" t="s">
        <v>2059</v>
      </c>
      <c r="D872" s="1" t="s">
        <v>583</v>
      </c>
      <c r="F872" s="1">
        <v>0.0</v>
      </c>
      <c r="G872" s="1">
        <v>122.0</v>
      </c>
      <c r="H872" s="1">
        <v>0.0</v>
      </c>
      <c r="I872" s="1">
        <v>54.41</v>
      </c>
    </row>
    <row r="873">
      <c r="A873" s="2" t="s">
        <v>2064</v>
      </c>
      <c r="B873" s="1">
        <v>200.0</v>
      </c>
      <c r="C873" s="1" t="s">
        <v>2065</v>
      </c>
      <c r="D873" s="1" t="s">
        <v>583</v>
      </c>
      <c r="F873" s="1">
        <v>0.0</v>
      </c>
      <c r="G873" s="1">
        <v>2.0</v>
      </c>
      <c r="H873" s="1">
        <v>0.0</v>
      </c>
      <c r="I873" s="1">
        <v>9.0</v>
      </c>
    </row>
    <row r="874">
      <c r="A874" s="2" t="s">
        <v>2060</v>
      </c>
      <c r="B874" s="1">
        <v>200.0</v>
      </c>
      <c r="C874" s="1" t="s">
        <v>2061</v>
      </c>
      <c r="D874" s="1" t="s">
        <v>583</v>
      </c>
      <c r="F874" s="1">
        <v>1.0</v>
      </c>
      <c r="G874" s="1">
        <v>17.0</v>
      </c>
      <c r="H874" s="1">
        <v>0.059</v>
      </c>
      <c r="I874" s="1">
        <v>21.24</v>
      </c>
    </row>
    <row r="875">
      <c r="A875" s="2" t="s">
        <v>2071</v>
      </c>
      <c r="B875" s="1">
        <v>200.0</v>
      </c>
      <c r="C875" s="1" t="s">
        <v>2072</v>
      </c>
      <c r="D875" s="1" t="s">
        <v>583</v>
      </c>
    </row>
    <row r="876">
      <c r="A876" s="2" t="s">
        <v>2075</v>
      </c>
      <c r="B876" s="1">
        <v>200.0</v>
      </c>
      <c r="C876" s="1" t="s">
        <v>2076</v>
      </c>
      <c r="D876" s="1" t="s">
        <v>583</v>
      </c>
      <c r="F876" s="1">
        <v>0.0</v>
      </c>
      <c r="G876" s="1">
        <v>7.0</v>
      </c>
      <c r="H876" s="1">
        <v>0.0</v>
      </c>
      <c r="I876" s="1">
        <v>16.43</v>
      </c>
    </row>
    <row r="877">
      <c r="A877" s="2" t="s">
        <v>2054</v>
      </c>
      <c r="B877" s="1">
        <v>200.0</v>
      </c>
      <c r="C877" s="1" t="s">
        <v>2055</v>
      </c>
      <c r="D877" s="1" t="s">
        <v>583</v>
      </c>
      <c r="F877" s="1">
        <v>2.0</v>
      </c>
      <c r="G877" s="1">
        <v>448.0</v>
      </c>
      <c r="H877" s="1">
        <v>0.004</v>
      </c>
      <c r="I877" s="1">
        <v>42.65</v>
      </c>
    </row>
    <row r="878">
      <c r="A878" s="2" t="s">
        <v>2056</v>
      </c>
      <c r="B878" s="1">
        <v>200.0</v>
      </c>
      <c r="C878" s="1" t="s">
        <v>2057</v>
      </c>
      <c r="D878" s="1" t="s">
        <v>583</v>
      </c>
      <c r="F878" s="1">
        <v>0.0</v>
      </c>
      <c r="G878" s="1">
        <v>5.0</v>
      </c>
      <c r="H878" s="1">
        <v>0.0</v>
      </c>
      <c r="I878" s="1">
        <v>16.2</v>
      </c>
    </row>
    <row r="879">
      <c r="A879" s="2" t="s">
        <v>2073</v>
      </c>
      <c r="B879" s="1">
        <v>200.0</v>
      </c>
      <c r="C879" s="1" t="s">
        <v>2074</v>
      </c>
      <c r="D879" s="1" t="s">
        <v>583</v>
      </c>
      <c r="F879" s="1">
        <v>0.0</v>
      </c>
      <c r="G879" s="1">
        <v>2.0</v>
      </c>
      <c r="H879" s="1">
        <v>0.0</v>
      </c>
      <c r="I879" s="1">
        <v>11.5</v>
      </c>
    </row>
    <row r="880">
      <c r="A880" s="2" t="s">
        <v>2062</v>
      </c>
      <c r="B880" s="1">
        <v>200.0</v>
      </c>
      <c r="C880" s="1" t="s">
        <v>2063</v>
      </c>
      <c r="D880" s="1" t="s">
        <v>583</v>
      </c>
      <c r="F880" s="1">
        <v>1.0</v>
      </c>
      <c r="G880" s="1">
        <v>28.0</v>
      </c>
      <c r="H880" s="1">
        <v>0.036</v>
      </c>
      <c r="I880" s="1">
        <v>11.14</v>
      </c>
    </row>
    <row r="881">
      <c r="A881" s="2" t="s">
        <v>2070</v>
      </c>
      <c r="B881" s="1">
        <v>301.0</v>
      </c>
      <c r="D881" s="1" t="s">
        <v>609</v>
      </c>
      <c r="E881" s="1" t="s">
        <v>610</v>
      </c>
    </row>
    <row r="882">
      <c r="A882" s="2" t="s">
        <v>2066</v>
      </c>
      <c r="B882" s="1">
        <v>200.0</v>
      </c>
      <c r="C882" s="1" t="s">
        <v>2067</v>
      </c>
      <c r="D882" s="1" t="s">
        <v>583</v>
      </c>
    </row>
    <row r="883">
      <c r="A883" s="2" t="s">
        <v>2077</v>
      </c>
      <c r="B883" s="1">
        <v>301.0</v>
      </c>
      <c r="D883" s="1" t="s">
        <v>609</v>
      </c>
      <c r="E883" s="1" t="s">
        <v>610</v>
      </c>
    </row>
    <row r="884">
      <c r="A884" s="2" t="s">
        <v>2082</v>
      </c>
      <c r="B884" s="1">
        <v>200.0</v>
      </c>
      <c r="C884" s="1" t="s">
        <v>2083</v>
      </c>
      <c r="D884" s="1" t="s">
        <v>583</v>
      </c>
      <c r="F884" s="1">
        <v>0.0</v>
      </c>
      <c r="G884" s="1">
        <v>559.0</v>
      </c>
      <c r="H884" s="1">
        <v>0.0</v>
      </c>
      <c r="I884" s="1">
        <v>65.84</v>
      </c>
    </row>
    <row r="885">
      <c r="A885" s="2" t="s">
        <v>2084</v>
      </c>
      <c r="B885" s="1">
        <v>200.0</v>
      </c>
      <c r="C885" s="1" t="s">
        <v>601</v>
      </c>
      <c r="D885" s="1" t="s">
        <v>609</v>
      </c>
      <c r="E885" s="1" t="s">
        <v>631</v>
      </c>
    </row>
    <row r="886">
      <c r="A886" s="2" t="s">
        <v>2087</v>
      </c>
      <c r="B886" s="1">
        <v>200.0</v>
      </c>
      <c r="C886" s="1" t="s">
        <v>2088</v>
      </c>
      <c r="D886" s="1" t="s">
        <v>583</v>
      </c>
      <c r="F886" s="1">
        <v>0.0</v>
      </c>
      <c r="G886" s="1">
        <v>1.0</v>
      </c>
      <c r="H886" s="1">
        <v>0.0</v>
      </c>
      <c r="I886" s="1">
        <v>80.0</v>
      </c>
    </row>
    <row r="887">
      <c r="A887" s="2" t="s">
        <v>2080</v>
      </c>
      <c r="B887" s="1">
        <v>200.0</v>
      </c>
      <c r="C887" s="1" t="s">
        <v>2081</v>
      </c>
      <c r="D887" s="1" t="s">
        <v>583</v>
      </c>
      <c r="F887" s="1">
        <v>0.0</v>
      </c>
      <c r="G887" s="1">
        <v>667.0</v>
      </c>
      <c r="H887" s="1">
        <v>0.0</v>
      </c>
      <c r="I887" s="1">
        <v>55.96</v>
      </c>
    </row>
    <row r="888">
      <c r="A888" s="2" t="s">
        <v>2089</v>
      </c>
      <c r="B888" s="1">
        <v>200.0</v>
      </c>
      <c r="C888" s="1" t="s">
        <v>2090</v>
      </c>
      <c r="D888" s="1" t="s">
        <v>583</v>
      </c>
      <c r="F888" s="1">
        <v>0.0</v>
      </c>
      <c r="G888" s="1">
        <v>21.0</v>
      </c>
      <c r="H888" s="1">
        <v>0.0</v>
      </c>
      <c r="I888" s="1">
        <v>90.67</v>
      </c>
    </row>
    <row r="889">
      <c r="A889" s="2" t="s">
        <v>2078</v>
      </c>
      <c r="B889" s="1">
        <v>200.0</v>
      </c>
      <c r="C889" s="1" t="s">
        <v>2079</v>
      </c>
      <c r="D889" s="1" t="s">
        <v>583</v>
      </c>
      <c r="F889" s="1">
        <v>0.0</v>
      </c>
      <c r="G889" s="1">
        <v>4.0</v>
      </c>
      <c r="H889" s="1">
        <v>0.0</v>
      </c>
      <c r="I889" s="1">
        <v>14.75</v>
      </c>
    </row>
    <row r="890">
      <c r="A890" s="2" t="s">
        <v>2134</v>
      </c>
      <c r="B890" s="1">
        <v>200.0</v>
      </c>
      <c r="C890" s="1" t="s">
        <v>2135</v>
      </c>
      <c r="D890" s="1" t="s">
        <v>583</v>
      </c>
      <c r="F890" s="1">
        <v>5.0</v>
      </c>
      <c r="G890" s="1">
        <v>3095.0</v>
      </c>
      <c r="H890" s="1">
        <v>0.002</v>
      </c>
      <c r="I890" s="1">
        <v>43.85</v>
      </c>
    </row>
    <row r="891">
      <c r="A891" s="2" t="s">
        <v>2103</v>
      </c>
      <c r="B891" s="1">
        <v>200.0</v>
      </c>
      <c r="C891" s="1" t="s">
        <v>2104</v>
      </c>
      <c r="D891" s="1" t="s">
        <v>583</v>
      </c>
    </row>
    <row r="892">
      <c r="A892" s="2" t="s">
        <v>2114</v>
      </c>
      <c r="B892" s="1">
        <v>200.0</v>
      </c>
      <c r="C892" s="1" t="s">
        <v>2115</v>
      </c>
      <c r="D892" s="1" t="s">
        <v>583</v>
      </c>
      <c r="F892" s="1">
        <v>0.0</v>
      </c>
      <c r="G892" s="1">
        <v>1.0</v>
      </c>
      <c r="H892" s="1">
        <v>0.0</v>
      </c>
      <c r="I892" s="1">
        <v>6.0</v>
      </c>
    </row>
    <row r="893">
      <c r="A893" s="2" t="s">
        <v>2107</v>
      </c>
      <c r="B893" s="1">
        <v>200.0</v>
      </c>
      <c r="C893" s="1" t="s">
        <v>2108</v>
      </c>
      <c r="D893" s="1" t="s">
        <v>583</v>
      </c>
      <c r="F893" s="1">
        <v>0.0</v>
      </c>
      <c r="G893" s="1">
        <v>3.0</v>
      </c>
      <c r="H893" s="1">
        <v>0.0</v>
      </c>
      <c r="I893" s="1">
        <v>23.67</v>
      </c>
    </row>
    <row r="894">
      <c r="A894" s="2" t="s">
        <v>2116</v>
      </c>
      <c r="B894" s="1">
        <v>200.0</v>
      </c>
      <c r="C894" s="1" t="s">
        <v>2117</v>
      </c>
      <c r="D894" s="1" t="s">
        <v>583</v>
      </c>
      <c r="F894" s="1">
        <v>0.0</v>
      </c>
      <c r="G894" s="1">
        <v>11.0</v>
      </c>
      <c r="H894" s="1">
        <v>0.0</v>
      </c>
      <c r="I894" s="1">
        <v>8.55</v>
      </c>
    </row>
    <row r="895">
      <c r="A895" s="2" t="s">
        <v>2118</v>
      </c>
      <c r="B895" s="1">
        <v>200.0</v>
      </c>
      <c r="C895" s="1" t="s">
        <v>2119</v>
      </c>
      <c r="D895" s="1" t="s">
        <v>583</v>
      </c>
      <c r="F895" s="1">
        <v>3.0</v>
      </c>
      <c r="G895" s="1">
        <v>389.0</v>
      </c>
      <c r="H895" s="1">
        <v>0.008</v>
      </c>
      <c r="I895" s="1">
        <v>27.24</v>
      </c>
    </row>
    <row r="896">
      <c r="A896" s="2" t="s">
        <v>2109</v>
      </c>
      <c r="B896" s="1">
        <v>200.0</v>
      </c>
      <c r="C896" s="1" t="s">
        <v>2110</v>
      </c>
      <c r="D896" s="1" t="s">
        <v>583</v>
      </c>
      <c r="F896" s="1">
        <v>0.0</v>
      </c>
      <c r="G896" s="1">
        <v>2.0</v>
      </c>
      <c r="H896" s="1">
        <v>0.0</v>
      </c>
      <c r="I896" s="1">
        <v>36.5</v>
      </c>
    </row>
    <row r="897">
      <c r="A897" s="2" t="s">
        <v>2112</v>
      </c>
      <c r="B897" s="1">
        <v>200.0</v>
      </c>
      <c r="C897" s="1" t="s">
        <v>2113</v>
      </c>
      <c r="D897" s="1" t="s">
        <v>583</v>
      </c>
      <c r="F897" s="1">
        <v>0.0</v>
      </c>
      <c r="G897" s="1">
        <v>8.0</v>
      </c>
      <c r="H897" s="1">
        <v>0.0</v>
      </c>
      <c r="I897" s="1">
        <v>43.88</v>
      </c>
    </row>
    <row r="898">
      <c r="A898" s="2" t="s">
        <v>2030</v>
      </c>
      <c r="B898" s="1">
        <v>200.0</v>
      </c>
      <c r="C898" s="1" t="s">
        <v>2031</v>
      </c>
      <c r="D898" s="1" t="s">
        <v>583</v>
      </c>
      <c r="F898" s="1">
        <v>0.0</v>
      </c>
      <c r="G898" s="1">
        <v>154.0</v>
      </c>
      <c r="H898" s="1">
        <v>0.0</v>
      </c>
      <c r="I898" s="1">
        <v>22.15</v>
      </c>
    </row>
    <row r="899">
      <c r="A899" s="2" t="s">
        <v>2026</v>
      </c>
      <c r="B899" s="1">
        <v>200.0</v>
      </c>
      <c r="C899" s="1" t="s">
        <v>2027</v>
      </c>
      <c r="D899" s="1" t="s">
        <v>583</v>
      </c>
      <c r="F899" s="1">
        <v>0.0</v>
      </c>
      <c r="G899" s="1">
        <v>4.0</v>
      </c>
      <c r="H899" s="1">
        <v>0.0</v>
      </c>
      <c r="I899" s="1">
        <v>91.75</v>
      </c>
    </row>
    <row r="900">
      <c r="A900" s="2" t="s">
        <v>2091</v>
      </c>
      <c r="B900" s="1">
        <v>200.0</v>
      </c>
      <c r="C900" s="1" t="s">
        <v>2092</v>
      </c>
      <c r="D900" s="1" t="s">
        <v>583</v>
      </c>
      <c r="F900" s="1">
        <v>0.0</v>
      </c>
      <c r="G900" s="1">
        <v>427.0</v>
      </c>
      <c r="H900" s="1">
        <v>0.0</v>
      </c>
      <c r="I900" s="1">
        <v>33.69</v>
      </c>
    </row>
    <row r="901">
      <c r="A901" s="2" t="s">
        <v>2093</v>
      </c>
      <c r="B901" s="1">
        <v>200.0</v>
      </c>
      <c r="C901" s="1" t="s">
        <v>2094</v>
      </c>
      <c r="D901" s="1" t="s">
        <v>583</v>
      </c>
    </row>
    <row r="902">
      <c r="A902" s="2" t="s">
        <v>2085</v>
      </c>
      <c r="B902" s="1">
        <v>200.0</v>
      </c>
      <c r="C902" s="1" t="s">
        <v>2086</v>
      </c>
      <c r="D902" s="1" t="s">
        <v>583</v>
      </c>
      <c r="F902" s="1">
        <v>4.0</v>
      </c>
      <c r="G902" s="1">
        <v>720.0</v>
      </c>
      <c r="H902" s="1">
        <v>0.006</v>
      </c>
      <c r="I902" s="1">
        <v>9.51</v>
      </c>
    </row>
    <row r="903">
      <c r="A903" s="2" t="s">
        <v>2097</v>
      </c>
      <c r="B903" s="1">
        <v>200.0</v>
      </c>
      <c r="C903" s="1" t="s">
        <v>2098</v>
      </c>
      <c r="D903" s="1" t="s">
        <v>583</v>
      </c>
      <c r="F903" s="1">
        <v>0.0</v>
      </c>
      <c r="G903" s="1">
        <v>16.0</v>
      </c>
      <c r="H903" s="1">
        <v>0.0</v>
      </c>
      <c r="I903" s="1">
        <v>17.38</v>
      </c>
    </row>
    <row r="904">
      <c r="A904" s="2" t="s">
        <v>2136</v>
      </c>
      <c r="B904" s="1">
        <v>200.0</v>
      </c>
      <c r="C904" s="1" t="s">
        <v>846</v>
      </c>
      <c r="D904" s="1" t="s">
        <v>609</v>
      </c>
      <c r="E904" s="1" t="s">
        <v>631</v>
      </c>
    </row>
    <row r="905">
      <c r="A905" s="2" t="s">
        <v>2095</v>
      </c>
      <c r="B905" s="1">
        <v>200.0</v>
      </c>
      <c r="C905" s="1" t="s">
        <v>2096</v>
      </c>
      <c r="D905" s="1" t="s">
        <v>583</v>
      </c>
      <c r="F905" s="1">
        <v>2.0</v>
      </c>
      <c r="G905" s="1">
        <v>326.0</v>
      </c>
      <c r="H905" s="1">
        <v>0.006</v>
      </c>
      <c r="I905" s="1">
        <v>5.21</v>
      </c>
    </row>
    <row r="906">
      <c r="A906" s="2" t="s">
        <v>2128</v>
      </c>
      <c r="B906" s="1">
        <v>200.0</v>
      </c>
      <c r="C906" s="1" t="s">
        <v>2129</v>
      </c>
      <c r="D906" s="1" t="s">
        <v>583</v>
      </c>
      <c r="F906" s="1">
        <v>0.0</v>
      </c>
      <c r="G906" s="1">
        <v>52.0</v>
      </c>
      <c r="H906" s="1">
        <v>0.0</v>
      </c>
      <c r="I906" s="1">
        <v>73.46</v>
      </c>
    </row>
    <row r="907">
      <c r="A907" s="2" t="s">
        <v>2130</v>
      </c>
      <c r="B907" s="1">
        <v>200.0</v>
      </c>
      <c r="C907" s="1" t="s">
        <v>2131</v>
      </c>
      <c r="D907" s="1" t="s">
        <v>583</v>
      </c>
    </row>
    <row r="908">
      <c r="A908" s="2" t="s">
        <v>2137</v>
      </c>
      <c r="B908" s="1">
        <v>200.0</v>
      </c>
      <c r="C908" s="1" t="s">
        <v>582</v>
      </c>
      <c r="D908" s="1" t="s">
        <v>583</v>
      </c>
    </row>
    <row r="909">
      <c r="A909" s="2" t="s">
        <v>2132</v>
      </c>
      <c r="B909" s="1">
        <v>200.0</v>
      </c>
      <c r="C909" s="1" t="s">
        <v>2133</v>
      </c>
      <c r="D909" s="1" t="s">
        <v>583</v>
      </c>
      <c r="F909" s="1">
        <v>0.0</v>
      </c>
      <c r="G909" s="1">
        <v>34.0</v>
      </c>
      <c r="H909" s="1">
        <v>0.0</v>
      </c>
      <c r="I909" s="1">
        <v>81.06</v>
      </c>
    </row>
    <row r="910">
      <c r="A910" s="2" t="s">
        <v>2138</v>
      </c>
      <c r="B910" s="1">
        <v>200.0</v>
      </c>
      <c r="C910" s="1" t="s">
        <v>2139</v>
      </c>
      <c r="D910" s="1" t="s">
        <v>583</v>
      </c>
      <c r="F910" s="1">
        <v>0.0</v>
      </c>
      <c r="G910" s="1">
        <v>810.0</v>
      </c>
      <c r="H910" s="1">
        <v>0.0</v>
      </c>
      <c r="I910" s="1">
        <v>20.58</v>
      </c>
    </row>
    <row r="911">
      <c r="A911" s="2" t="s">
        <v>2124</v>
      </c>
      <c r="B911" s="1">
        <v>200.0</v>
      </c>
      <c r="C911" s="1" t="s">
        <v>2125</v>
      </c>
      <c r="D911" s="1" t="s">
        <v>583</v>
      </c>
      <c r="F911" s="1">
        <v>0.0</v>
      </c>
      <c r="G911" s="1">
        <v>145.0</v>
      </c>
      <c r="H911" s="1">
        <v>0.0</v>
      </c>
      <c r="I911" s="1">
        <v>65.63</v>
      </c>
    </row>
    <row r="912">
      <c r="A912" s="2" t="s">
        <v>2024</v>
      </c>
      <c r="B912" s="1">
        <v>200.0</v>
      </c>
      <c r="C912" s="1" t="s">
        <v>2025</v>
      </c>
      <c r="D912" s="1" t="s">
        <v>583</v>
      </c>
      <c r="F912" s="1">
        <v>0.0</v>
      </c>
      <c r="G912" s="1">
        <v>133.0</v>
      </c>
      <c r="H912" s="1">
        <v>0.0</v>
      </c>
      <c r="I912" s="1">
        <v>64.0</v>
      </c>
    </row>
    <row r="913">
      <c r="A913" s="2" t="s">
        <v>2126</v>
      </c>
      <c r="B913" s="1">
        <v>200.0</v>
      </c>
      <c r="C913" s="1" t="s">
        <v>2127</v>
      </c>
      <c r="D913" s="1" t="s">
        <v>583</v>
      </c>
    </row>
    <row r="914">
      <c r="A914" s="2" t="s">
        <v>2121</v>
      </c>
      <c r="B914" s="1">
        <v>301.0</v>
      </c>
      <c r="D914" s="1" t="s">
        <v>609</v>
      </c>
      <c r="E914" s="1" t="s">
        <v>610</v>
      </c>
    </row>
    <row r="915">
      <c r="A915" s="2" t="s">
        <v>2111</v>
      </c>
      <c r="B915" s="1">
        <v>301.0</v>
      </c>
      <c r="D915" s="1" t="s">
        <v>609</v>
      </c>
      <c r="E915" s="1" t="s">
        <v>610</v>
      </c>
    </row>
    <row r="916">
      <c r="A916" s="2" t="s">
        <v>2120</v>
      </c>
      <c r="B916" s="1">
        <v>301.0</v>
      </c>
      <c r="D916" s="1" t="s">
        <v>609</v>
      </c>
      <c r="E916" s="1" t="s">
        <v>610</v>
      </c>
    </row>
    <row r="917">
      <c r="A917" s="2" t="s">
        <v>2143</v>
      </c>
      <c r="B917" s="1">
        <v>200.0</v>
      </c>
      <c r="C917" s="1" t="s">
        <v>2144</v>
      </c>
      <c r="D917" s="1" t="s">
        <v>583</v>
      </c>
    </row>
    <row r="918">
      <c r="A918" s="2" t="s">
        <v>2123</v>
      </c>
      <c r="B918" s="1">
        <v>301.0</v>
      </c>
      <c r="D918" s="1" t="s">
        <v>609</v>
      </c>
      <c r="E918" s="1" t="s">
        <v>610</v>
      </c>
    </row>
    <row r="919">
      <c r="A919" s="2" t="s">
        <v>2140</v>
      </c>
      <c r="B919" s="1">
        <v>301.0</v>
      </c>
      <c r="D919" s="1" t="s">
        <v>609</v>
      </c>
      <c r="E919" s="1" t="s">
        <v>610</v>
      </c>
    </row>
    <row r="920">
      <c r="A920" s="2" t="s">
        <v>2213</v>
      </c>
      <c r="B920" s="1">
        <v>200.0</v>
      </c>
      <c r="C920" s="1" t="s">
        <v>2214</v>
      </c>
      <c r="D920" s="1" t="s">
        <v>583</v>
      </c>
    </row>
    <row r="921">
      <c r="A921" s="2" t="s">
        <v>2159</v>
      </c>
      <c r="B921" s="1">
        <v>200.0</v>
      </c>
      <c r="C921" s="1" t="s">
        <v>2160</v>
      </c>
      <c r="D921" s="1" t="s">
        <v>583</v>
      </c>
      <c r="F921" s="1">
        <v>0.0</v>
      </c>
      <c r="G921" s="1">
        <v>48.0</v>
      </c>
      <c r="H921" s="1">
        <v>0.0</v>
      </c>
      <c r="I921" s="1">
        <v>74.5</v>
      </c>
    </row>
    <row r="922">
      <c r="A922" s="2" t="s">
        <v>2141</v>
      </c>
      <c r="B922" s="1">
        <v>200.0</v>
      </c>
      <c r="C922" s="1" t="s">
        <v>846</v>
      </c>
      <c r="D922" s="1" t="s">
        <v>609</v>
      </c>
      <c r="E922" s="1" t="s">
        <v>631</v>
      </c>
    </row>
    <row r="923">
      <c r="A923" s="2" t="s">
        <v>2142</v>
      </c>
      <c r="B923" s="1">
        <v>200.0</v>
      </c>
      <c r="C923" s="1" t="s">
        <v>582</v>
      </c>
      <c r="D923" s="1" t="s">
        <v>583</v>
      </c>
      <c r="F923" s="1">
        <v>0.0</v>
      </c>
      <c r="G923" s="1">
        <v>1.0</v>
      </c>
      <c r="H923" s="1">
        <v>0.0</v>
      </c>
      <c r="I923" s="1">
        <v>1.0</v>
      </c>
    </row>
    <row r="924">
      <c r="A924" s="2" t="s">
        <v>2161</v>
      </c>
      <c r="B924" s="1">
        <v>200.0</v>
      </c>
      <c r="C924" s="1" t="s">
        <v>2162</v>
      </c>
      <c r="D924" s="1" t="s">
        <v>583</v>
      </c>
      <c r="F924" s="1">
        <v>2.0</v>
      </c>
      <c r="G924" s="1">
        <v>23.0</v>
      </c>
      <c r="H924" s="1">
        <v>0.087</v>
      </c>
      <c r="I924" s="1">
        <v>27.96</v>
      </c>
    </row>
    <row r="925">
      <c r="A925" s="2" t="s">
        <v>2165</v>
      </c>
      <c r="B925" s="1">
        <v>200.0</v>
      </c>
      <c r="C925" s="1" t="s">
        <v>2166</v>
      </c>
      <c r="D925" s="1" t="s">
        <v>583</v>
      </c>
    </row>
    <row r="926">
      <c r="A926" s="2" t="s">
        <v>2149</v>
      </c>
      <c r="B926" s="1">
        <v>200.0</v>
      </c>
      <c r="C926" s="1" t="s">
        <v>2150</v>
      </c>
      <c r="D926" s="1" t="s">
        <v>583</v>
      </c>
      <c r="F926" s="1">
        <v>0.0</v>
      </c>
      <c r="G926" s="1">
        <v>5.0</v>
      </c>
      <c r="H926" s="1">
        <v>0.0</v>
      </c>
      <c r="I926" s="1">
        <v>12.2</v>
      </c>
    </row>
    <row r="927">
      <c r="A927" s="2" t="s">
        <v>2147</v>
      </c>
      <c r="B927" s="1">
        <v>200.0</v>
      </c>
      <c r="C927" s="1" t="s">
        <v>2148</v>
      </c>
      <c r="D927" s="1" t="s">
        <v>583</v>
      </c>
    </row>
    <row r="928">
      <c r="A928" s="2" t="s">
        <v>2151</v>
      </c>
      <c r="B928" s="1">
        <v>200.0</v>
      </c>
      <c r="C928" s="1" t="s">
        <v>2152</v>
      </c>
      <c r="D928" s="1" t="s">
        <v>583</v>
      </c>
      <c r="F928" s="1">
        <v>0.0</v>
      </c>
      <c r="G928" s="1">
        <v>9.0</v>
      </c>
      <c r="H928" s="1">
        <v>0.0</v>
      </c>
      <c r="I928" s="1">
        <v>42.56</v>
      </c>
    </row>
    <row r="929">
      <c r="A929" s="2" t="s">
        <v>2155</v>
      </c>
      <c r="B929" s="1">
        <v>200.0</v>
      </c>
      <c r="C929" s="1" t="s">
        <v>2156</v>
      </c>
      <c r="D929" s="1" t="s">
        <v>583</v>
      </c>
    </row>
    <row r="930">
      <c r="A930" s="2" t="s">
        <v>2145</v>
      </c>
      <c r="B930" s="1">
        <v>200.0</v>
      </c>
      <c r="C930" s="1" t="s">
        <v>2146</v>
      </c>
      <c r="D930" s="1" t="s">
        <v>583</v>
      </c>
      <c r="F930" s="1">
        <v>0.0</v>
      </c>
      <c r="G930" s="1">
        <v>13.0</v>
      </c>
      <c r="H930" s="1">
        <v>0.0</v>
      </c>
      <c r="I930" s="1">
        <v>23.0</v>
      </c>
    </row>
    <row r="931">
      <c r="A931" s="2" t="s">
        <v>2171</v>
      </c>
      <c r="B931" s="1">
        <v>200.0</v>
      </c>
      <c r="C931" s="1" t="s">
        <v>2172</v>
      </c>
      <c r="D931" s="1" t="s">
        <v>583</v>
      </c>
      <c r="F931" s="1">
        <v>0.0</v>
      </c>
      <c r="G931" s="1">
        <v>1.0</v>
      </c>
      <c r="H931" s="1">
        <v>0.0</v>
      </c>
      <c r="I931" s="1">
        <v>39.0</v>
      </c>
    </row>
    <row r="932">
      <c r="A932" s="2" t="s">
        <v>2163</v>
      </c>
      <c r="B932" s="1">
        <v>200.0</v>
      </c>
      <c r="C932" s="1" t="s">
        <v>2164</v>
      </c>
      <c r="D932" s="1" t="s">
        <v>583</v>
      </c>
    </row>
    <row r="933">
      <c r="A933" s="2" t="s">
        <v>2167</v>
      </c>
      <c r="B933" s="1">
        <v>200.0</v>
      </c>
      <c r="C933" s="1" t="s">
        <v>2168</v>
      </c>
      <c r="D933" s="1" t="s">
        <v>583</v>
      </c>
      <c r="F933" s="1">
        <v>0.0</v>
      </c>
      <c r="G933" s="1">
        <v>37.0</v>
      </c>
      <c r="H933" s="1">
        <v>0.0</v>
      </c>
      <c r="I933" s="1">
        <v>15.57</v>
      </c>
    </row>
    <row r="934">
      <c r="A934" s="2" t="s">
        <v>2169</v>
      </c>
      <c r="B934" s="1">
        <v>200.0</v>
      </c>
      <c r="C934" s="1" t="s">
        <v>2170</v>
      </c>
      <c r="D934" s="1" t="s">
        <v>583</v>
      </c>
      <c r="F934" s="1">
        <v>1.0</v>
      </c>
      <c r="G934" s="1">
        <v>7.0</v>
      </c>
      <c r="H934" s="1">
        <v>0.143</v>
      </c>
      <c r="I934" s="1">
        <v>43.71</v>
      </c>
    </row>
    <row r="935">
      <c r="A935" s="2" t="s">
        <v>2180</v>
      </c>
      <c r="B935" s="1">
        <v>200.0</v>
      </c>
      <c r="C935" s="1" t="s">
        <v>2181</v>
      </c>
      <c r="D935" s="1" t="s">
        <v>583</v>
      </c>
      <c r="F935" s="1">
        <v>0.0</v>
      </c>
      <c r="G935" s="1">
        <v>92.0</v>
      </c>
      <c r="H935" s="1">
        <v>0.0</v>
      </c>
      <c r="I935" s="1">
        <v>13.93</v>
      </c>
    </row>
    <row r="936">
      <c r="A936" s="2" t="s">
        <v>2173</v>
      </c>
      <c r="B936" s="1">
        <v>200.0</v>
      </c>
      <c r="C936" s="1" t="s">
        <v>2174</v>
      </c>
      <c r="D936" s="1" t="s">
        <v>583</v>
      </c>
      <c r="F936" s="1">
        <v>0.0</v>
      </c>
      <c r="G936" s="1">
        <v>1.0</v>
      </c>
      <c r="H936" s="1">
        <v>0.0</v>
      </c>
      <c r="I936" s="1">
        <v>30.0</v>
      </c>
    </row>
    <row r="937">
      <c r="A937" s="2" t="s">
        <v>2186</v>
      </c>
      <c r="B937" s="1">
        <v>200.0</v>
      </c>
      <c r="C937" s="1" t="s">
        <v>2187</v>
      </c>
      <c r="D937" s="1" t="s">
        <v>583</v>
      </c>
      <c r="F937" s="1">
        <v>0.0</v>
      </c>
      <c r="G937" s="1">
        <v>2.0</v>
      </c>
      <c r="H937" s="1">
        <v>0.0</v>
      </c>
      <c r="I937" s="1">
        <v>48.0</v>
      </c>
    </row>
    <row r="938">
      <c r="A938" s="2" t="s">
        <v>2199</v>
      </c>
      <c r="B938" s="1">
        <v>200.0</v>
      </c>
      <c r="C938" s="1" t="s">
        <v>2200</v>
      </c>
      <c r="D938" s="1" t="s">
        <v>583</v>
      </c>
      <c r="F938" s="1">
        <v>0.0</v>
      </c>
      <c r="G938" s="1">
        <v>1.0</v>
      </c>
      <c r="H938" s="1">
        <v>0.0</v>
      </c>
      <c r="I938" s="1">
        <v>9.0</v>
      </c>
    </row>
    <row r="939">
      <c r="A939" s="2" t="s">
        <v>2188</v>
      </c>
      <c r="B939" s="1">
        <v>301.0</v>
      </c>
      <c r="D939" s="1" t="s">
        <v>609</v>
      </c>
      <c r="E939" s="1" t="s">
        <v>610</v>
      </c>
    </row>
    <row r="940">
      <c r="A940" s="2" t="s">
        <v>2189</v>
      </c>
      <c r="B940" s="1">
        <v>200.0</v>
      </c>
      <c r="C940" s="1" t="s">
        <v>2190</v>
      </c>
      <c r="D940" s="1" t="s">
        <v>583</v>
      </c>
      <c r="F940" s="1">
        <v>9.0</v>
      </c>
      <c r="G940" s="1">
        <v>1109.0</v>
      </c>
      <c r="H940" s="1">
        <v>0.008</v>
      </c>
      <c r="I940" s="1">
        <v>12.89</v>
      </c>
    </row>
    <row r="941">
      <c r="A941" s="2" t="s">
        <v>2175</v>
      </c>
      <c r="B941" s="1">
        <v>200.0</v>
      </c>
      <c r="C941" s="1" t="s">
        <v>2176</v>
      </c>
      <c r="D941" s="1" t="s">
        <v>583</v>
      </c>
      <c r="F941" s="1">
        <v>1.0</v>
      </c>
      <c r="G941" s="1">
        <v>83.0</v>
      </c>
      <c r="H941" s="1">
        <v>0.012</v>
      </c>
      <c r="I941" s="1">
        <v>50.41</v>
      </c>
    </row>
    <row r="942">
      <c r="A942" s="2" t="s">
        <v>2182</v>
      </c>
      <c r="B942" s="1">
        <v>200.0</v>
      </c>
      <c r="C942" s="1" t="s">
        <v>2183</v>
      </c>
      <c r="D942" s="1" t="s">
        <v>583</v>
      </c>
      <c r="F942" s="1">
        <v>0.0</v>
      </c>
      <c r="G942" s="1">
        <v>131.0</v>
      </c>
      <c r="H942" s="1">
        <v>0.0</v>
      </c>
      <c r="I942" s="1">
        <v>75.34</v>
      </c>
    </row>
    <row r="943">
      <c r="A943" s="2" t="s">
        <v>2177</v>
      </c>
      <c r="B943" s="1">
        <v>301.0</v>
      </c>
      <c r="D943" s="1" t="s">
        <v>609</v>
      </c>
      <c r="E943" s="1" t="s">
        <v>610</v>
      </c>
    </row>
    <row r="944">
      <c r="A944" s="2" t="s">
        <v>2184</v>
      </c>
      <c r="B944" s="1">
        <v>200.0</v>
      </c>
      <c r="C944" s="1" t="s">
        <v>2185</v>
      </c>
      <c r="D944" s="1" t="s">
        <v>583</v>
      </c>
      <c r="F944" s="1">
        <v>0.0</v>
      </c>
      <c r="G944" s="1">
        <v>335.0</v>
      </c>
      <c r="H944" s="1">
        <v>0.0</v>
      </c>
      <c r="I944" s="1">
        <v>57.69</v>
      </c>
    </row>
    <row r="945">
      <c r="A945" s="2" t="s">
        <v>2191</v>
      </c>
      <c r="B945" s="1">
        <v>200.0</v>
      </c>
      <c r="C945" s="1" t="s">
        <v>2192</v>
      </c>
      <c r="D945" s="1" t="s">
        <v>583</v>
      </c>
      <c r="F945" s="1">
        <v>0.0</v>
      </c>
      <c r="G945" s="1">
        <v>1919.0</v>
      </c>
      <c r="H945" s="1">
        <v>0.0</v>
      </c>
      <c r="I945" s="1">
        <v>52.75</v>
      </c>
    </row>
    <row r="946">
      <c r="A946" s="2" t="s">
        <v>2195</v>
      </c>
      <c r="B946" s="1">
        <v>200.0</v>
      </c>
      <c r="C946" s="1" t="s">
        <v>2196</v>
      </c>
      <c r="D946" s="1" t="s">
        <v>583</v>
      </c>
      <c r="F946" s="1">
        <v>0.0</v>
      </c>
      <c r="G946" s="1">
        <v>3.0</v>
      </c>
      <c r="H946" s="1">
        <v>0.0</v>
      </c>
      <c r="I946" s="1">
        <v>23.0</v>
      </c>
    </row>
    <row r="947">
      <c r="A947" s="2" t="s">
        <v>2193</v>
      </c>
      <c r="B947" s="1">
        <v>301.0</v>
      </c>
      <c r="D947" s="1" t="s">
        <v>609</v>
      </c>
      <c r="E947" s="1" t="s">
        <v>610</v>
      </c>
    </row>
    <row r="948">
      <c r="A948" s="2" t="s">
        <v>2194</v>
      </c>
      <c r="B948" s="1">
        <v>301.0</v>
      </c>
      <c r="D948" s="1" t="s">
        <v>609</v>
      </c>
      <c r="E948" s="1" t="s">
        <v>610</v>
      </c>
    </row>
    <row r="949">
      <c r="A949" s="2" t="s">
        <v>2205</v>
      </c>
      <c r="B949" s="1">
        <v>200.0</v>
      </c>
      <c r="C949" s="1" t="s">
        <v>2206</v>
      </c>
      <c r="D949" s="1" t="s">
        <v>583</v>
      </c>
      <c r="F949" s="1">
        <v>0.0</v>
      </c>
      <c r="G949" s="1">
        <v>56.0</v>
      </c>
      <c r="H949" s="1">
        <v>0.0</v>
      </c>
      <c r="I949" s="1">
        <v>24.45</v>
      </c>
    </row>
    <row r="950">
      <c r="A950" s="2" t="s">
        <v>2198</v>
      </c>
      <c r="B950" s="1">
        <v>301.0</v>
      </c>
      <c r="D950" s="1" t="s">
        <v>609</v>
      </c>
      <c r="E950" s="1" t="s">
        <v>610</v>
      </c>
    </row>
    <row r="951">
      <c r="A951" s="2" t="s">
        <v>2197</v>
      </c>
      <c r="B951" s="1">
        <v>301.0</v>
      </c>
      <c r="D951" s="1" t="s">
        <v>609</v>
      </c>
      <c r="E951" s="1" t="s">
        <v>610</v>
      </c>
    </row>
    <row r="952">
      <c r="A952" s="2" t="s">
        <v>2207</v>
      </c>
      <c r="B952" s="1">
        <v>200.0</v>
      </c>
      <c r="C952" s="1" t="s">
        <v>2208</v>
      </c>
      <c r="D952" s="1" t="s">
        <v>583</v>
      </c>
      <c r="F952" s="1">
        <v>0.0</v>
      </c>
      <c r="G952" s="1">
        <v>1.0</v>
      </c>
      <c r="H952" s="1">
        <v>0.0</v>
      </c>
      <c r="I952" s="1">
        <v>51.0</v>
      </c>
    </row>
    <row r="953">
      <c r="A953" s="2" t="s">
        <v>2211</v>
      </c>
      <c r="B953" s="1">
        <v>200.0</v>
      </c>
      <c r="C953" s="1" t="s">
        <v>2212</v>
      </c>
      <c r="D953" s="1" t="s">
        <v>583</v>
      </c>
      <c r="F953" s="1">
        <v>0.0</v>
      </c>
      <c r="G953" s="1">
        <v>22.0</v>
      </c>
      <c r="H953" s="1">
        <v>0.0</v>
      </c>
      <c r="I953" s="1">
        <v>19.14</v>
      </c>
    </row>
    <row r="954">
      <c r="A954" s="2" t="s">
        <v>2209</v>
      </c>
      <c r="B954" s="1">
        <v>200.0</v>
      </c>
      <c r="C954" s="1" t="s">
        <v>2210</v>
      </c>
      <c r="D954" s="1" t="s">
        <v>583</v>
      </c>
      <c r="F954" s="1">
        <v>1.0</v>
      </c>
      <c r="G954" s="1">
        <v>48.0</v>
      </c>
      <c r="H954" s="1">
        <v>0.021</v>
      </c>
      <c r="I954" s="1">
        <v>78.6</v>
      </c>
    </row>
    <row r="955">
      <c r="A955" s="2" t="s">
        <v>2201</v>
      </c>
      <c r="B955" s="1">
        <v>200.0</v>
      </c>
      <c r="C955" s="1" t="s">
        <v>2202</v>
      </c>
      <c r="D955" s="1" t="s">
        <v>583</v>
      </c>
    </row>
    <row r="956">
      <c r="A956" s="2" t="s">
        <v>2153</v>
      </c>
      <c r="B956" s="1">
        <v>200.0</v>
      </c>
      <c r="C956" s="1" t="s">
        <v>2154</v>
      </c>
      <c r="D956" s="1" t="s">
        <v>583</v>
      </c>
      <c r="F956" s="1">
        <v>0.0</v>
      </c>
      <c r="G956" s="1">
        <v>461.0</v>
      </c>
      <c r="H956" s="1">
        <v>0.0</v>
      </c>
      <c r="I956" s="1">
        <v>61.63</v>
      </c>
    </row>
    <row r="957">
      <c r="A957" s="2" t="s">
        <v>2157</v>
      </c>
      <c r="B957" s="1">
        <v>200.0</v>
      </c>
      <c r="C957" s="1" t="s">
        <v>2158</v>
      </c>
      <c r="D957" s="1" t="s">
        <v>583</v>
      </c>
      <c r="F957" s="1">
        <v>0.0</v>
      </c>
      <c r="G957" s="1">
        <v>33.0</v>
      </c>
      <c r="H957" s="1">
        <v>0.0</v>
      </c>
      <c r="I957" s="1">
        <v>64.03</v>
      </c>
    </row>
    <row r="958">
      <c r="A958" s="2" t="s">
        <v>2203</v>
      </c>
      <c r="B958" s="1">
        <v>200.0</v>
      </c>
      <c r="C958" s="1" t="s">
        <v>2204</v>
      </c>
      <c r="D958" s="1" t="s">
        <v>583</v>
      </c>
      <c r="F958" s="1">
        <v>0.0</v>
      </c>
      <c r="G958" s="1">
        <v>203.0</v>
      </c>
      <c r="H958" s="1">
        <v>0.0</v>
      </c>
      <c r="I958" s="1">
        <v>81.71</v>
      </c>
    </row>
    <row r="959">
      <c r="A959" s="2" t="s">
        <v>2234</v>
      </c>
      <c r="B959" s="1">
        <v>200.0</v>
      </c>
      <c r="C959" s="1" t="s">
        <v>1714</v>
      </c>
      <c r="D959" s="1" t="s">
        <v>609</v>
      </c>
      <c r="E959" s="1" t="s">
        <v>631</v>
      </c>
    </row>
    <row r="960">
      <c r="A960" s="2" t="s">
        <v>2178</v>
      </c>
      <c r="B960" s="1">
        <v>200.0</v>
      </c>
      <c r="C960" s="1" t="s">
        <v>2179</v>
      </c>
      <c r="D960" s="1" t="s">
        <v>583</v>
      </c>
      <c r="F960" s="1">
        <v>0.0</v>
      </c>
      <c r="G960" s="1">
        <v>650.0</v>
      </c>
      <c r="H960" s="1">
        <v>0.0</v>
      </c>
      <c r="I960" s="1">
        <v>73.05</v>
      </c>
    </row>
    <row r="961">
      <c r="A961" s="2" t="s">
        <v>2230</v>
      </c>
      <c r="B961" s="1">
        <v>200.0</v>
      </c>
      <c r="C961" s="1" t="s">
        <v>2231</v>
      </c>
      <c r="D961" s="1" t="s">
        <v>583</v>
      </c>
    </row>
    <row r="962">
      <c r="A962" s="2" t="s">
        <v>2224</v>
      </c>
      <c r="B962" s="1">
        <v>301.0</v>
      </c>
      <c r="D962" s="1" t="s">
        <v>609</v>
      </c>
      <c r="E962" s="1" t="s">
        <v>610</v>
      </c>
    </row>
    <row r="963">
      <c r="A963" s="2" t="s">
        <v>2235</v>
      </c>
      <c r="B963" s="1">
        <v>200.0</v>
      </c>
      <c r="C963" s="1" t="s">
        <v>2236</v>
      </c>
      <c r="D963" s="1" t="s">
        <v>583</v>
      </c>
      <c r="F963" s="1">
        <v>0.0</v>
      </c>
      <c r="G963" s="1">
        <v>1.0</v>
      </c>
      <c r="H963" s="1">
        <v>0.0</v>
      </c>
      <c r="I963" s="1">
        <v>14.0</v>
      </c>
    </row>
    <row r="964">
      <c r="A964" s="2" t="s">
        <v>2243</v>
      </c>
      <c r="B964" s="1">
        <v>200.0</v>
      </c>
      <c r="C964" s="1" t="s">
        <v>2244</v>
      </c>
      <c r="D964" s="1" t="s">
        <v>583</v>
      </c>
    </row>
    <row r="965">
      <c r="A965" s="2" t="s">
        <v>2241</v>
      </c>
      <c r="B965" s="1">
        <v>200.0</v>
      </c>
      <c r="C965" s="1" t="s">
        <v>2242</v>
      </c>
      <c r="D965" s="1" t="s">
        <v>583</v>
      </c>
      <c r="F965" s="1">
        <v>0.0</v>
      </c>
      <c r="G965" s="1">
        <v>31.0</v>
      </c>
      <c r="H965" s="1">
        <v>0.0</v>
      </c>
      <c r="I965" s="1">
        <v>70.32</v>
      </c>
    </row>
    <row r="966">
      <c r="A966" s="2" t="s">
        <v>2232</v>
      </c>
      <c r="B966" s="1">
        <v>200.0</v>
      </c>
      <c r="C966" s="1" t="s">
        <v>2233</v>
      </c>
      <c r="D966" s="1" t="s">
        <v>583</v>
      </c>
    </row>
    <row r="967">
      <c r="A967" s="2" t="s">
        <v>2229</v>
      </c>
      <c r="B967" s="1">
        <v>301.0</v>
      </c>
      <c r="D967" s="1" t="s">
        <v>609</v>
      </c>
      <c r="E967" s="1" t="s">
        <v>610</v>
      </c>
    </row>
    <row r="968">
      <c r="A968" s="2" t="s">
        <v>2237</v>
      </c>
      <c r="B968" s="1">
        <v>200.0</v>
      </c>
      <c r="C968" s="1" t="s">
        <v>2238</v>
      </c>
      <c r="D968" s="1" t="s">
        <v>583</v>
      </c>
    </row>
    <row r="969">
      <c r="A969" s="2" t="s">
        <v>2239</v>
      </c>
      <c r="B969" s="1">
        <v>200.0</v>
      </c>
      <c r="C969" s="1" t="s">
        <v>2240</v>
      </c>
      <c r="D969" s="1" t="s">
        <v>583</v>
      </c>
      <c r="F969" s="1">
        <v>1.0</v>
      </c>
      <c r="G969" s="1">
        <v>11.0</v>
      </c>
      <c r="H969" s="1">
        <v>0.091</v>
      </c>
      <c r="I969" s="1">
        <v>8.91</v>
      </c>
    </row>
    <row r="970">
      <c r="A970" s="2" t="s">
        <v>2221</v>
      </c>
      <c r="B970" s="1">
        <v>301.0</v>
      </c>
      <c r="D970" s="1" t="s">
        <v>609</v>
      </c>
      <c r="E970" s="1" t="s">
        <v>610</v>
      </c>
    </row>
    <row r="971">
      <c r="A971" s="2" t="s">
        <v>2249</v>
      </c>
      <c r="B971" s="1">
        <v>200.0</v>
      </c>
      <c r="C971" s="1" t="s">
        <v>2250</v>
      </c>
      <c r="D971" s="1" t="s">
        <v>583</v>
      </c>
      <c r="F971" s="1">
        <v>0.0</v>
      </c>
      <c r="G971" s="1">
        <v>9217.0</v>
      </c>
      <c r="H971" s="1">
        <v>0.0</v>
      </c>
      <c r="I971" s="1">
        <v>85.41</v>
      </c>
    </row>
    <row r="972">
      <c r="A972" s="2" t="s">
        <v>2251</v>
      </c>
      <c r="B972" s="1">
        <v>200.0</v>
      </c>
      <c r="C972" s="1" t="s">
        <v>2252</v>
      </c>
      <c r="D972" s="1" t="s">
        <v>583</v>
      </c>
    </row>
    <row r="973">
      <c r="A973" s="2" t="s">
        <v>2247</v>
      </c>
      <c r="B973" s="1">
        <v>200.0</v>
      </c>
      <c r="C973" s="1" t="s">
        <v>2248</v>
      </c>
      <c r="D973" s="1" t="s">
        <v>583</v>
      </c>
      <c r="F973" s="1">
        <v>2.0</v>
      </c>
      <c r="G973" s="1">
        <v>483.0</v>
      </c>
      <c r="H973" s="1">
        <v>0.004</v>
      </c>
      <c r="I973" s="1">
        <v>29.64</v>
      </c>
    </row>
    <row r="974">
      <c r="A974" s="2" t="s">
        <v>2265</v>
      </c>
      <c r="B974" s="1">
        <v>200.0</v>
      </c>
      <c r="C974" s="1" t="s">
        <v>2266</v>
      </c>
      <c r="D974" s="1" t="s">
        <v>583</v>
      </c>
      <c r="F974" s="1">
        <v>0.0</v>
      </c>
      <c r="G974" s="1">
        <v>66.0</v>
      </c>
      <c r="H974" s="1">
        <v>0.0</v>
      </c>
      <c r="I974" s="1">
        <v>46.79</v>
      </c>
    </row>
    <row r="975">
      <c r="A975" s="2" t="s">
        <v>2263</v>
      </c>
      <c r="B975" s="1">
        <v>301.0</v>
      </c>
      <c r="D975" s="1" t="s">
        <v>609</v>
      </c>
      <c r="E975" s="1" t="s">
        <v>610</v>
      </c>
    </row>
    <row r="976">
      <c r="A976" s="2" t="s">
        <v>2255</v>
      </c>
      <c r="B976" s="1">
        <v>200.0</v>
      </c>
      <c r="C976" s="1" t="s">
        <v>2256</v>
      </c>
      <c r="D976" s="1" t="s">
        <v>583</v>
      </c>
      <c r="F976" s="1">
        <v>0.0</v>
      </c>
      <c r="G976" s="1">
        <v>5.0</v>
      </c>
      <c r="H976" s="1">
        <v>0.0</v>
      </c>
      <c r="I976" s="1">
        <v>27.8</v>
      </c>
    </row>
    <row r="977">
      <c r="A977" s="2" t="s">
        <v>2257</v>
      </c>
      <c r="B977" s="1">
        <v>200.0</v>
      </c>
      <c r="C977" s="1" t="s">
        <v>2258</v>
      </c>
      <c r="D977" s="1" t="s">
        <v>583</v>
      </c>
    </row>
    <row r="978">
      <c r="A978" s="2" t="s">
        <v>2267</v>
      </c>
      <c r="B978" s="1">
        <v>200.0</v>
      </c>
      <c r="C978" s="1" t="s">
        <v>2268</v>
      </c>
      <c r="D978" s="1" t="s">
        <v>583</v>
      </c>
    </row>
    <row r="979">
      <c r="A979" s="2" t="s">
        <v>2271</v>
      </c>
      <c r="B979" s="1">
        <v>200.0</v>
      </c>
      <c r="C979" s="1" t="s">
        <v>2272</v>
      </c>
      <c r="D979" s="1" t="s">
        <v>583</v>
      </c>
      <c r="F979" s="1">
        <v>0.0</v>
      </c>
      <c r="G979" s="1">
        <v>316.0</v>
      </c>
      <c r="H979" s="1">
        <v>0.0</v>
      </c>
      <c r="I979" s="1">
        <v>88.03</v>
      </c>
    </row>
    <row r="980">
      <c r="A980" s="2" t="s">
        <v>2259</v>
      </c>
      <c r="B980" s="1">
        <v>200.0</v>
      </c>
      <c r="C980" s="1" t="s">
        <v>2260</v>
      </c>
      <c r="D980" s="1" t="s">
        <v>583</v>
      </c>
      <c r="F980" s="1">
        <v>0.0</v>
      </c>
      <c r="G980" s="1">
        <v>35.0</v>
      </c>
      <c r="H980" s="1">
        <v>0.0</v>
      </c>
      <c r="I980" s="1">
        <v>75.03</v>
      </c>
    </row>
    <row r="981">
      <c r="A981" s="2" t="s">
        <v>2277</v>
      </c>
      <c r="B981" s="1">
        <v>200.0</v>
      </c>
      <c r="C981" s="1" t="s">
        <v>846</v>
      </c>
      <c r="D981" s="1" t="s">
        <v>609</v>
      </c>
      <c r="E981" s="1" t="s">
        <v>631</v>
      </c>
    </row>
    <row r="982">
      <c r="A982" s="2" t="s">
        <v>2280</v>
      </c>
      <c r="B982" s="1">
        <v>200.0</v>
      </c>
      <c r="C982" s="1" t="s">
        <v>582</v>
      </c>
      <c r="D982" s="1" t="s">
        <v>583</v>
      </c>
    </row>
    <row r="983">
      <c r="A983" s="2" t="s">
        <v>2261</v>
      </c>
      <c r="B983" s="1">
        <v>200.0</v>
      </c>
      <c r="C983" s="1" t="s">
        <v>2262</v>
      </c>
      <c r="D983" s="1" t="s">
        <v>583</v>
      </c>
    </row>
    <row r="984">
      <c r="A984" s="2" t="s">
        <v>2269</v>
      </c>
      <c r="B984" s="1">
        <v>200.0</v>
      </c>
      <c r="C984" s="1" t="s">
        <v>2270</v>
      </c>
      <c r="D984" s="1" t="s">
        <v>583</v>
      </c>
    </row>
    <row r="985">
      <c r="A985" s="2" t="s">
        <v>2264</v>
      </c>
      <c r="B985" s="1">
        <v>301.0</v>
      </c>
      <c r="D985" s="1" t="s">
        <v>609</v>
      </c>
      <c r="E985" s="1" t="s">
        <v>610</v>
      </c>
    </row>
    <row r="986">
      <c r="A986" s="2" t="s">
        <v>2245</v>
      </c>
      <c r="B986" s="1">
        <v>200.0</v>
      </c>
      <c r="C986" s="1" t="s">
        <v>2246</v>
      </c>
      <c r="D986" s="1" t="s">
        <v>583</v>
      </c>
      <c r="F986" s="1">
        <v>0.0</v>
      </c>
      <c r="G986" s="1">
        <v>2.0</v>
      </c>
      <c r="H986" s="1">
        <v>0.0</v>
      </c>
      <c r="I986" s="1">
        <v>33.5</v>
      </c>
    </row>
    <row r="987">
      <c r="A987" s="2" t="s">
        <v>2253</v>
      </c>
      <c r="B987" s="1">
        <v>200.0</v>
      </c>
      <c r="C987" s="1" t="s">
        <v>2254</v>
      </c>
      <c r="D987" s="1" t="s">
        <v>583</v>
      </c>
      <c r="F987" s="1">
        <v>17.0</v>
      </c>
      <c r="G987" s="1">
        <v>9827.0</v>
      </c>
      <c r="H987" s="1">
        <v>0.002</v>
      </c>
      <c r="I987" s="1">
        <v>32.29</v>
      </c>
    </row>
    <row r="988">
      <c r="A988" s="2" t="s">
        <v>2227</v>
      </c>
      <c r="B988" s="1">
        <v>200.0</v>
      </c>
      <c r="C988" s="1" t="s">
        <v>2228</v>
      </c>
      <c r="D988" s="1" t="s">
        <v>583</v>
      </c>
      <c r="F988" s="1">
        <v>1.0</v>
      </c>
      <c r="G988" s="1">
        <v>812.0</v>
      </c>
      <c r="H988" s="1">
        <v>0.001</v>
      </c>
      <c r="I988" s="1">
        <v>67.59</v>
      </c>
    </row>
    <row r="989">
      <c r="A989" s="2" t="s">
        <v>2216</v>
      </c>
      <c r="B989" s="1">
        <v>301.0</v>
      </c>
      <c r="D989" s="1" t="s">
        <v>609</v>
      </c>
      <c r="E989" s="1" t="s">
        <v>610</v>
      </c>
    </row>
    <row r="990">
      <c r="A990" s="2" t="s">
        <v>2225</v>
      </c>
      <c r="B990" s="1">
        <v>200.0</v>
      </c>
      <c r="C990" s="1" t="s">
        <v>2226</v>
      </c>
      <c r="D990" s="1" t="s">
        <v>583</v>
      </c>
      <c r="F990" s="1">
        <v>0.0</v>
      </c>
      <c r="G990" s="1">
        <v>3.0</v>
      </c>
      <c r="H990" s="1">
        <v>0.0</v>
      </c>
      <c r="I990" s="1">
        <v>3.67</v>
      </c>
    </row>
    <row r="991">
      <c r="A991" s="2" t="s">
        <v>2219</v>
      </c>
      <c r="B991" s="1">
        <v>200.0</v>
      </c>
      <c r="C991" s="1" t="s">
        <v>2220</v>
      </c>
      <c r="D991" s="1" t="s">
        <v>583</v>
      </c>
      <c r="F991" s="1">
        <v>0.0</v>
      </c>
      <c r="G991" s="1">
        <v>78.0</v>
      </c>
      <c r="H991" s="1">
        <v>0.0</v>
      </c>
      <c r="I991" s="1">
        <v>92.41</v>
      </c>
    </row>
    <row r="992">
      <c r="A992" s="2" t="s">
        <v>2223</v>
      </c>
      <c r="B992" s="1">
        <v>301.0</v>
      </c>
      <c r="D992" s="1" t="s">
        <v>609</v>
      </c>
      <c r="E992" s="1" t="s">
        <v>610</v>
      </c>
    </row>
    <row r="993">
      <c r="A993" s="2" t="s">
        <v>2222</v>
      </c>
      <c r="B993" s="1">
        <v>301.0</v>
      </c>
      <c r="D993" s="1" t="s">
        <v>609</v>
      </c>
      <c r="E993" s="1" t="s">
        <v>610</v>
      </c>
    </row>
    <row r="994">
      <c r="A994" s="2" t="s">
        <v>2215</v>
      </c>
      <c r="B994" s="1">
        <v>301.0</v>
      </c>
      <c r="D994" s="1" t="s">
        <v>609</v>
      </c>
      <c r="E994" s="1" t="s">
        <v>610</v>
      </c>
    </row>
    <row r="995">
      <c r="A995" s="2" t="s">
        <v>2217</v>
      </c>
      <c r="B995" s="1">
        <v>200.0</v>
      </c>
      <c r="C995" s="1" t="s">
        <v>2218</v>
      </c>
      <c r="D995" s="1" t="s">
        <v>583</v>
      </c>
      <c r="F995" s="1">
        <v>0.0</v>
      </c>
      <c r="G995" s="1">
        <v>1.0</v>
      </c>
      <c r="H995" s="1">
        <v>0.0</v>
      </c>
      <c r="I995" s="1">
        <v>59.0</v>
      </c>
    </row>
    <row r="996">
      <c r="A996" s="2" t="s">
        <v>2304</v>
      </c>
      <c r="B996" s="1">
        <v>200.0</v>
      </c>
      <c r="C996" s="1" t="s">
        <v>2305</v>
      </c>
      <c r="D996" s="1" t="s">
        <v>583</v>
      </c>
      <c r="F996" s="1">
        <v>0.0</v>
      </c>
      <c r="G996" s="1">
        <v>5.0</v>
      </c>
      <c r="H996" s="1">
        <v>0.0</v>
      </c>
      <c r="I996" s="1">
        <v>9.0</v>
      </c>
    </row>
    <row r="997">
      <c r="A997" s="2" t="s">
        <v>2318</v>
      </c>
      <c r="B997" s="1">
        <v>200.0</v>
      </c>
      <c r="C997" s="1" t="s">
        <v>2319</v>
      </c>
      <c r="D997" s="1" t="s">
        <v>583</v>
      </c>
      <c r="F997" s="1">
        <v>0.0</v>
      </c>
      <c r="G997" s="1">
        <v>4.0</v>
      </c>
      <c r="H997" s="1">
        <v>0.0</v>
      </c>
      <c r="I997" s="1">
        <v>33.25</v>
      </c>
    </row>
    <row r="998">
      <c r="A998" s="2" t="s">
        <v>2291</v>
      </c>
      <c r="B998" s="1">
        <v>200.0</v>
      </c>
      <c r="C998" s="1" t="s">
        <v>2292</v>
      </c>
      <c r="D998" s="1" t="s">
        <v>583</v>
      </c>
    </row>
    <row r="999">
      <c r="A999" s="2" t="s">
        <v>2295</v>
      </c>
      <c r="B999" s="1">
        <v>200.0</v>
      </c>
      <c r="C999" s="1" t="s">
        <v>2296</v>
      </c>
      <c r="D999" s="1" t="s">
        <v>583</v>
      </c>
      <c r="F999" s="1">
        <v>0.0</v>
      </c>
      <c r="G999" s="1">
        <v>1436.0</v>
      </c>
      <c r="H999" s="1">
        <v>0.0</v>
      </c>
      <c r="I999" s="1">
        <v>48.49</v>
      </c>
    </row>
    <row r="1000">
      <c r="A1000" s="2" t="s">
        <v>2314</v>
      </c>
      <c r="B1000" s="1">
        <v>200.0</v>
      </c>
      <c r="C1000" s="1" t="s">
        <v>2315</v>
      </c>
      <c r="D1000" s="1" t="s">
        <v>583</v>
      </c>
    </row>
    <row r="1001">
      <c r="A1001" s="2" t="s">
        <v>2283</v>
      </c>
      <c r="B1001" s="1">
        <v>200.0</v>
      </c>
      <c r="C1001" s="1" t="s">
        <v>846</v>
      </c>
      <c r="D1001" s="1" t="s">
        <v>609</v>
      </c>
      <c r="E1001" s="1" t="s">
        <v>631</v>
      </c>
    </row>
    <row r="1002">
      <c r="A1002" s="2" t="s">
        <v>2286</v>
      </c>
      <c r="B1002" s="1">
        <v>200.0</v>
      </c>
      <c r="C1002" s="1" t="s">
        <v>582</v>
      </c>
      <c r="D1002" s="1" t="s">
        <v>583</v>
      </c>
      <c r="F1002" s="1">
        <v>0.0</v>
      </c>
      <c r="G1002" s="1">
        <v>3.0</v>
      </c>
      <c r="H1002" s="1">
        <v>0.0</v>
      </c>
      <c r="I1002" s="1">
        <v>4.0</v>
      </c>
    </row>
    <row r="1003">
      <c r="A1003" s="2" t="s">
        <v>2273</v>
      </c>
      <c r="B1003" s="1">
        <v>200.0</v>
      </c>
      <c r="C1003" s="1" t="s">
        <v>2274</v>
      </c>
      <c r="D1003" s="1" t="s">
        <v>583</v>
      </c>
      <c r="F1003" s="1">
        <v>25.0</v>
      </c>
      <c r="G1003" s="1">
        <v>2721.0</v>
      </c>
      <c r="H1003" s="1">
        <v>0.009</v>
      </c>
      <c r="I1003" s="1">
        <v>12.08</v>
      </c>
    </row>
    <row r="1004">
      <c r="A1004" s="2" t="s">
        <v>2284</v>
      </c>
      <c r="B1004" s="1">
        <v>200.0</v>
      </c>
      <c r="C1004" s="1" t="s">
        <v>2285</v>
      </c>
      <c r="D1004" s="1" t="s">
        <v>583</v>
      </c>
      <c r="F1004" s="1">
        <v>0.0</v>
      </c>
      <c r="G1004" s="1">
        <v>1.0</v>
      </c>
      <c r="H1004" s="1">
        <v>0.0</v>
      </c>
      <c r="I1004" s="1">
        <v>54.0</v>
      </c>
    </row>
    <row r="1005">
      <c r="A1005" s="2" t="s">
        <v>2275</v>
      </c>
      <c r="B1005" s="1">
        <v>200.0</v>
      </c>
      <c r="C1005" s="1" t="s">
        <v>2276</v>
      </c>
      <c r="D1005" s="1" t="s">
        <v>583</v>
      </c>
    </row>
    <row r="1006">
      <c r="A1006" s="2" t="s">
        <v>2281</v>
      </c>
      <c r="B1006" s="1">
        <v>200.0</v>
      </c>
      <c r="C1006" s="1" t="s">
        <v>2282</v>
      </c>
      <c r="D1006" s="1" t="s">
        <v>583</v>
      </c>
      <c r="F1006" s="1">
        <v>0.0</v>
      </c>
      <c r="G1006" s="1">
        <v>10.0</v>
      </c>
      <c r="H1006" s="1">
        <v>0.0</v>
      </c>
      <c r="I1006" s="1">
        <v>20.2</v>
      </c>
    </row>
    <row r="1007">
      <c r="A1007" s="2" t="s">
        <v>2287</v>
      </c>
      <c r="B1007" s="1">
        <v>200.0</v>
      </c>
      <c r="C1007" s="1" t="s">
        <v>2288</v>
      </c>
      <c r="D1007" s="1" t="s">
        <v>583</v>
      </c>
    </row>
    <row r="1008">
      <c r="A1008" s="2" t="s">
        <v>2289</v>
      </c>
      <c r="B1008" s="1">
        <v>200.0</v>
      </c>
      <c r="C1008" s="1" t="s">
        <v>2290</v>
      </c>
      <c r="D1008" s="1" t="s">
        <v>583</v>
      </c>
      <c r="F1008" s="1">
        <v>0.0</v>
      </c>
      <c r="G1008" s="1">
        <v>5.0</v>
      </c>
      <c r="H1008" s="1">
        <v>0.0</v>
      </c>
      <c r="I1008" s="1">
        <v>21.8</v>
      </c>
    </row>
    <row r="1009">
      <c r="A1009" s="2" t="s">
        <v>2278</v>
      </c>
      <c r="B1009" s="1">
        <v>200.0</v>
      </c>
      <c r="C1009" s="1" t="s">
        <v>2279</v>
      </c>
      <c r="D1009" s="1" t="s">
        <v>583</v>
      </c>
      <c r="F1009" s="1">
        <v>0.0</v>
      </c>
      <c r="G1009" s="1">
        <v>16.0</v>
      </c>
      <c r="H1009" s="1">
        <v>0.0</v>
      </c>
      <c r="I1009" s="1">
        <v>39.06</v>
      </c>
    </row>
    <row r="1010">
      <c r="A1010" s="2" t="s">
        <v>2298</v>
      </c>
      <c r="B1010" s="1">
        <v>200.0</v>
      </c>
      <c r="C1010" s="1" t="s">
        <v>2299</v>
      </c>
      <c r="D1010" s="1" t="s">
        <v>583</v>
      </c>
      <c r="F1010" s="1">
        <v>0.0</v>
      </c>
      <c r="G1010" s="1">
        <v>24.0</v>
      </c>
      <c r="H1010" s="1">
        <v>0.0</v>
      </c>
      <c r="I1010" s="1">
        <v>76.83</v>
      </c>
    </row>
    <row r="1011">
      <c r="A1011" s="2" t="s">
        <v>2302</v>
      </c>
      <c r="B1011" s="1">
        <v>200.0</v>
      </c>
      <c r="C1011" s="1" t="s">
        <v>2303</v>
      </c>
      <c r="D1011" s="1" t="s">
        <v>583</v>
      </c>
      <c r="F1011" s="1">
        <v>15.0</v>
      </c>
      <c r="G1011" s="1">
        <v>2096.0</v>
      </c>
      <c r="H1011" s="1">
        <v>0.007</v>
      </c>
      <c r="I1011" s="1">
        <v>19.46</v>
      </c>
    </row>
    <row r="1012">
      <c r="A1012" s="2" t="s">
        <v>2308</v>
      </c>
      <c r="B1012" s="1">
        <v>200.0</v>
      </c>
      <c r="C1012" s="1" t="s">
        <v>2309</v>
      </c>
      <c r="D1012" s="1" t="s">
        <v>583</v>
      </c>
    </row>
    <row r="1013">
      <c r="A1013" s="2" t="s">
        <v>2297</v>
      </c>
      <c r="B1013" s="1">
        <v>301.0</v>
      </c>
      <c r="D1013" s="1" t="s">
        <v>609</v>
      </c>
      <c r="E1013" s="1" t="s">
        <v>610</v>
      </c>
    </row>
    <row r="1014">
      <c r="A1014" s="2" t="s">
        <v>2312</v>
      </c>
      <c r="B1014" s="1">
        <v>200.0</v>
      </c>
      <c r="C1014" s="1" t="s">
        <v>2313</v>
      </c>
      <c r="D1014" s="1" t="s">
        <v>583</v>
      </c>
      <c r="F1014" s="1">
        <v>0.0</v>
      </c>
      <c r="G1014" s="1">
        <v>8.0</v>
      </c>
      <c r="H1014" s="1">
        <v>0.0</v>
      </c>
      <c r="I1014" s="1">
        <v>31.13</v>
      </c>
    </row>
    <row r="1015">
      <c r="A1015" s="2" t="s">
        <v>2293</v>
      </c>
      <c r="B1015" s="1">
        <v>200.0</v>
      </c>
      <c r="C1015" s="1" t="s">
        <v>2294</v>
      </c>
      <c r="D1015" s="1" t="s">
        <v>583</v>
      </c>
      <c r="F1015" s="1">
        <v>3.0</v>
      </c>
      <c r="G1015" s="1">
        <v>166.0</v>
      </c>
      <c r="H1015" s="1">
        <v>0.018</v>
      </c>
      <c r="I1015" s="1">
        <v>13.45</v>
      </c>
    </row>
    <row r="1016">
      <c r="A1016" s="2" t="s">
        <v>2300</v>
      </c>
      <c r="B1016" s="1">
        <v>200.0</v>
      </c>
      <c r="C1016" s="1" t="s">
        <v>2301</v>
      </c>
      <c r="D1016" s="1" t="s">
        <v>583</v>
      </c>
      <c r="F1016" s="1">
        <v>0.0</v>
      </c>
      <c r="G1016" s="1">
        <v>2.0</v>
      </c>
      <c r="H1016" s="1">
        <v>0.0</v>
      </c>
      <c r="I1016" s="1">
        <v>40.5</v>
      </c>
    </row>
    <row r="1017">
      <c r="A1017" s="2" t="s">
        <v>2306</v>
      </c>
      <c r="B1017" s="1">
        <v>200.0</v>
      </c>
      <c r="C1017" s="1" t="s">
        <v>2307</v>
      </c>
      <c r="D1017" s="1" t="s">
        <v>583</v>
      </c>
    </row>
    <row r="1018">
      <c r="A1018" s="2" t="s">
        <v>2310</v>
      </c>
      <c r="B1018" s="1">
        <v>200.0</v>
      </c>
      <c r="C1018" s="1" t="s">
        <v>2311</v>
      </c>
      <c r="D1018" s="1" t="s">
        <v>583</v>
      </c>
    </row>
    <row r="1019">
      <c r="A1019" s="2" t="s">
        <v>2316</v>
      </c>
      <c r="B1019" s="1">
        <v>200.0</v>
      </c>
      <c r="C1019" s="1" t="s">
        <v>2317</v>
      </c>
      <c r="D1019" s="1" t="s">
        <v>583</v>
      </c>
    </row>
    <row r="1020">
      <c r="A1020" s="2" t="s">
        <v>2320</v>
      </c>
      <c r="B1020" s="1">
        <v>301.0</v>
      </c>
      <c r="D1020" s="1" t="s">
        <v>609</v>
      </c>
      <c r="E1020" s="1" t="s">
        <v>610</v>
      </c>
    </row>
    <row r="1021">
      <c r="A1021" s="2" t="s">
        <v>2338</v>
      </c>
      <c r="B1021" s="1">
        <v>200.0</v>
      </c>
      <c r="C1021" s="1" t="s">
        <v>2339</v>
      </c>
      <c r="D1021" s="1" t="s">
        <v>583</v>
      </c>
      <c r="F1021" s="1">
        <v>0.0</v>
      </c>
      <c r="G1021" s="1">
        <v>146.0</v>
      </c>
      <c r="H1021" s="1">
        <v>0.0</v>
      </c>
      <c r="I1021" s="1">
        <v>28.58</v>
      </c>
    </row>
    <row r="1022">
      <c r="A1022" s="2" t="s">
        <v>2327</v>
      </c>
      <c r="B1022" s="1">
        <v>200.0</v>
      </c>
      <c r="C1022" s="1" t="s">
        <v>2328</v>
      </c>
      <c r="D1022" s="1" t="s">
        <v>583</v>
      </c>
      <c r="F1022" s="1">
        <v>2.0</v>
      </c>
      <c r="G1022" s="1">
        <v>409.0</v>
      </c>
      <c r="H1022" s="1">
        <v>0.005</v>
      </c>
      <c r="I1022" s="1">
        <v>11.02</v>
      </c>
    </row>
    <row r="1023">
      <c r="A1023" s="2" t="s">
        <v>2321</v>
      </c>
      <c r="B1023" s="1">
        <v>200.0</v>
      </c>
      <c r="C1023" s="1" t="s">
        <v>1716</v>
      </c>
      <c r="D1023" s="1" t="s">
        <v>609</v>
      </c>
      <c r="E1023" s="1" t="s">
        <v>631</v>
      </c>
    </row>
    <row r="1024">
      <c r="A1024" s="2" t="s">
        <v>2337</v>
      </c>
      <c r="B1024" s="1">
        <v>200.0</v>
      </c>
      <c r="C1024" s="1" t="s">
        <v>777</v>
      </c>
      <c r="D1024" s="1" t="s">
        <v>609</v>
      </c>
      <c r="E1024" s="1" t="s">
        <v>631</v>
      </c>
    </row>
    <row r="1025">
      <c r="A1025" s="2" t="s">
        <v>2322</v>
      </c>
      <c r="B1025" s="1">
        <v>200.0</v>
      </c>
      <c r="C1025" s="1" t="s">
        <v>2323</v>
      </c>
      <c r="D1025" s="1" t="s">
        <v>583</v>
      </c>
    </row>
    <row r="1026">
      <c r="A1026" s="2" t="s">
        <v>2329</v>
      </c>
      <c r="B1026" s="1">
        <v>200.0</v>
      </c>
      <c r="C1026" s="1" t="s">
        <v>2330</v>
      </c>
      <c r="D1026" s="1" t="s">
        <v>583</v>
      </c>
      <c r="F1026" s="1">
        <v>0.0</v>
      </c>
      <c r="G1026" s="1">
        <v>7.0</v>
      </c>
      <c r="H1026" s="1">
        <v>0.0</v>
      </c>
      <c r="I1026" s="1">
        <v>56.57</v>
      </c>
    </row>
    <row r="1027">
      <c r="A1027" s="2" t="s">
        <v>2333</v>
      </c>
      <c r="B1027" s="1">
        <v>200.0</v>
      </c>
      <c r="C1027" s="1" t="s">
        <v>2334</v>
      </c>
      <c r="D1027" s="1" t="s">
        <v>583</v>
      </c>
    </row>
    <row r="1028">
      <c r="A1028" s="2" t="s">
        <v>2326</v>
      </c>
      <c r="B1028" s="1">
        <v>301.0</v>
      </c>
      <c r="D1028" s="1" t="s">
        <v>609</v>
      </c>
      <c r="E1028" s="1" t="s">
        <v>610</v>
      </c>
    </row>
    <row r="1029">
      <c r="A1029" s="2" t="s">
        <v>2335</v>
      </c>
      <c r="B1029" s="1">
        <v>200.0</v>
      </c>
      <c r="C1029" s="1" t="s">
        <v>2336</v>
      </c>
      <c r="D1029" s="1" t="s">
        <v>583</v>
      </c>
    </row>
    <row r="1030">
      <c r="A1030" s="2" t="s">
        <v>2350</v>
      </c>
      <c r="B1030" s="1">
        <v>200.0</v>
      </c>
      <c r="C1030" s="1" t="s">
        <v>2351</v>
      </c>
      <c r="D1030" s="1" t="s">
        <v>583</v>
      </c>
      <c r="F1030" s="1">
        <v>0.0</v>
      </c>
      <c r="G1030" s="1">
        <v>56.0</v>
      </c>
      <c r="H1030" s="1">
        <v>0.0</v>
      </c>
      <c r="I1030" s="1">
        <v>30.75</v>
      </c>
    </row>
    <row r="1031">
      <c r="A1031" s="2" t="s">
        <v>2345</v>
      </c>
      <c r="B1031" s="1">
        <v>200.0</v>
      </c>
      <c r="C1031" s="1" t="s">
        <v>2346</v>
      </c>
      <c r="D1031" s="1" t="s">
        <v>583</v>
      </c>
      <c r="F1031" s="1">
        <v>0.0</v>
      </c>
      <c r="G1031" s="1">
        <v>4.0</v>
      </c>
      <c r="H1031" s="1">
        <v>0.0</v>
      </c>
      <c r="I1031" s="1">
        <v>32.0</v>
      </c>
    </row>
    <row r="1032">
      <c r="A1032" s="2" t="s">
        <v>2342</v>
      </c>
      <c r="B1032" s="1">
        <v>200.0</v>
      </c>
      <c r="C1032" s="1" t="s">
        <v>2343</v>
      </c>
      <c r="D1032" s="1" t="s">
        <v>583</v>
      </c>
      <c r="F1032" s="1">
        <v>0.0</v>
      </c>
      <c r="G1032" s="1">
        <v>6.0</v>
      </c>
      <c r="H1032" s="1">
        <v>0.0</v>
      </c>
      <c r="I1032" s="1">
        <v>31.0</v>
      </c>
    </row>
    <row r="1033">
      <c r="A1033" s="2" t="s">
        <v>2352</v>
      </c>
      <c r="B1033" s="1">
        <v>200.0</v>
      </c>
      <c r="C1033" s="1" t="s">
        <v>2353</v>
      </c>
      <c r="D1033" s="1" t="s">
        <v>583</v>
      </c>
    </row>
    <row r="1034">
      <c r="A1034" s="2" t="s">
        <v>2354</v>
      </c>
      <c r="B1034" s="1">
        <v>200.0</v>
      </c>
      <c r="C1034" s="1" t="s">
        <v>2355</v>
      </c>
      <c r="D1034" s="1" t="s">
        <v>583</v>
      </c>
    </row>
    <row r="1035">
      <c r="A1035" s="2" t="s">
        <v>2349</v>
      </c>
      <c r="B1035" s="1">
        <v>200.0</v>
      </c>
      <c r="C1035" s="1" t="s">
        <v>582</v>
      </c>
      <c r="D1035" s="1" t="s">
        <v>583</v>
      </c>
      <c r="F1035" s="1">
        <v>0.0</v>
      </c>
      <c r="G1035" s="1">
        <v>1.0</v>
      </c>
      <c r="H1035" s="1">
        <v>0.0</v>
      </c>
      <c r="I1035" s="1">
        <v>4.0</v>
      </c>
    </row>
    <row r="1036">
      <c r="A1036" s="2" t="s">
        <v>2344</v>
      </c>
      <c r="B1036" s="1">
        <v>200.0</v>
      </c>
      <c r="C1036" s="1" t="s">
        <v>846</v>
      </c>
      <c r="D1036" s="1" t="s">
        <v>609</v>
      </c>
      <c r="E1036" s="1" t="s">
        <v>631</v>
      </c>
    </row>
    <row r="1037">
      <c r="A1037" s="2" t="s">
        <v>2347</v>
      </c>
      <c r="B1037" s="1">
        <v>200.0</v>
      </c>
      <c r="C1037" s="1" t="s">
        <v>2348</v>
      </c>
      <c r="D1037" s="1" t="s">
        <v>583</v>
      </c>
      <c r="F1037" s="1">
        <v>0.0</v>
      </c>
      <c r="G1037" s="1">
        <v>2854.0</v>
      </c>
      <c r="H1037" s="1">
        <v>0.0</v>
      </c>
      <c r="I1037" s="1">
        <v>59.64</v>
      </c>
    </row>
    <row r="1038">
      <c r="A1038" s="2" t="s">
        <v>2324</v>
      </c>
      <c r="B1038" s="1">
        <v>200.0</v>
      </c>
      <c r="C1038" s="1" t="s">
        <v>2325</v>
      </c>
      <c r="D1038" s="1" t="s">
        <v>583</v>
      </c>
      <c r="F1038" s="1">
        <v>0.0</v>
      </c>
      <c r="G1038" s="1">
        <v>15.0</v>
      </c>
      <c r="H1038" s="1">
        <v>0.0</v>
      </c>
      <c r="I1038" s="1">
        <v>29.33</v>
      </c>
    </row>
    <row r="1039">
      <c r="A1039" s="2" t="s">
        <v>2340</v>
      </c>
      <c r="B1039" s="1">
        <v>200.0</v>
      </c>
      <c r="C1039" s="1" t="s">
        <v>2341</v>
      </c>
      <c r="D1039" s="1" t="s">
        <v>583</v>
      </c>
    </row>
    <row r="1040">
      <c r="A1040" s="2" t="s">
        <v>2331</v>
      </c>
      <c r="B1040" s="1">
        <v>200.0</v>
      </c>
      <c r="C1040" s="1" t="s">
        <v>2332</v>
      </c>
      <c r="D1040" s="1" t="s">
        <v>583</v>
      </c>
      <c r="F1040" s="1">
        <v>25.0</v>
      </c>
      <c r="G1040" s="1">
        <v>5176.0</v>
      </c>
      <c r="H1040" s="1">
        <v>0.005</v>
      </c>
      <c r="I1040" s="1">
        <v>6.21</v>
      </c>
    </row>
    <row r="1041">
      <c r="A1041" s="2" t="s">
        <v>2393</v>
      </c>
      <c r="B1041" s="1">
        <v>200.0</v>
      </c>
      <c r="C1041" s="1" t="s">
        <v>2394</v>
      </c>
      <c r="D1041" s="1" t="s">
        <v>583</v>
      </c>
    </row>
    <row r="1042">
      <c r="A1042" s="2" t="s">
        <v>2356</v>
      </c>
      <c r="B1042" s="1">
        <v>200.0</v>
      </c>
      <c r="C1042" s="1" t="s">
        <v>2357</v>
      </c>
      <c r="D1042" s="1" t="s">
        <v>583</v>
      </c>
      <c r="F1042" s="1">
        <v>0.0</v>
      </c>
      <c r="G1042" s="1">
        <v>144.0</v>
      </c>
      <c r="H1042" s="1">
        <v>0.0</v>
      </c>
      <c r="I1042" s="1">
        <v>73.31</v>
      </c>
    </row>
    <row r="1043">
      <c r="A1043" s="2" t="s">
        <v>2388</v>
      </c>
      <c r="B1043" s="1">
        <v>200.0</v>
      </c>
      <c r="C1043" s="1" t="s">
        <v>2389</v>
      </c>
      <c r="D1043" s="1" t="s">
        <v>583</v>
      </c>
      <c r="F1043" s="1">
        <v>0.0</v>
      </c>
      <c r="G1043" s="1">
        <v>114.0</v>
      </c>
      <c r="H1043" s="1">
        <v>0.0</v>
      </c>
      <c r="I1043" s="1">
        <v>73.03</v>
      </c>
    </row>
    <row r="1044">
      <c r="A1044" s="2" t="s">
        <v>2366</v>
      </c>
      <c r="B1044" s="1">
        <v>200.0</v>
      </c>
      <c r="C1044" s="1" t="s">
        <v>582</v>
      </c>
      <c r="D1044" s="1" t="s">
        <v>583</v>
      </c>
    </row>
    <row r="1045">
      <c r="A1045" s="2" t="s">
        <v>2371</v>
      </c>
      <c r="B1045" s="1">
        <v>200.0</v>
      </c>
      <c r="C1045" s="1" t="s">
        <v>846</v>
      </c>
      <c r="D1045" s="1" t="s">
        <v>609</v>
      </c>
      <c r="E1045" s="1" t="s">
        <v>631</v>
      </c>
    </row>
    <row r="1046">
      <c r="A1046" s="2" t="s">
        <v>2360</v>
      </c>
      <c r="B1046" s="1">
        <v>200.0</v>
      </c>
      <c r="C1046" s="1" t="s">
        <v>2361</v>
      </c>
      <c r="D1046" s="1" t="s">
        <v>583</v>
      </c>
    </row>
    <row r="1047">
      <c r="A1047" s="2" t="s">
        <v>2369</v>
      </c>
      <c r="B1047" s="1">
        <v>200.0</v>
      </c>
      <c r="C1047" s="1" t="s">
        <v>2370</v>
      </c>
      <c r="D1047" s="1" t="s">
        <v>583</v>
      </c>
      <c r="F1047" s="1">
        <v>4.0</v>
      </c>
      <c r="G1047" s="1">
        <v>153.0</v>
      </c>
      <c r="H1047" s="1">
        <v>0.026</v>
      </c>
      <c r="I1047" s="1">
        <v>61.37</v>
      </c>
    </row>
    <row r="1048">
      <c r="A1048" s="2" t="s">
        <v>2358</v>
      </c>
      <c r="B1048" s="1">
        <v>200.0</v>
      </c>
      <c r="C1048" s="1" t="s">
        <v>2359</v>
      </c>
      <c r="D1048" s="1" t="s">
        <v>583</v>
      </c>
      <c r="F1048" s="1">
        <v>8.0</v>
      </c>
      <c r="G1048" s="1">
        <v>220.0</v>
      </c>
      <c r="H1048" s="1">
        <v>0.036</v>
      </c>
      <c r="I1048" s="1">
        <v>15.19</v>
      </c>
    </row>
    <row r="1049">
      <c r="A1049" s="2" t="s">
        <v>2367</v>
      </c>
      <c r="B1049" s="1">
        <v>200.0</v>
      </c>
      <c r="C1049" s="1" t="s">
        <v>2368</v>
      </c>
      <c r="D1049" s="1" t="s">
        <v>583</v>
      </c>
      <c r="F1049" s="1">
        <v>0.0</v>
      </c>
      <c r="G1049" s="1">
        <v>1.0</v>
      </c>
      <c r="H1049" s="1">
        <v>0.0</v>
      </c>
      <c r="I1049" s="1">
        <v>10.0</v>
      </c>
    </row>
    <row r="1050">
      <c r="A1050" s="2" t="s">
        <v>2372</v>
      </c>
      <c r="B1050" s="1">
        <v>200.0</v>
      </c>
      <c r="C1050" s="1" t="s">
        <v>2373</v>
      </c>
      <c r="D1050" s="1" t="s">
        <v>583</v>
      </c>
    </row>
    <row r="1051">
      <c r="A1051" s="2" t="s">
        <v>2364</v>
      </c>
      <c r="B1051" s="1">
        <v>200.0</v>
      </c>
      <c r="C1051" s="1" t="s">
        <v>2365</v>
      </c>
      <c r="D1051" s="1" t="s">
        <v>583</v>
      </c>
      <c r="F1051" s="1">
        <v>6.0</v>
      </c>
      <c r="G1051" s="1">
        <v>2282.0</v>
      </c>
      <c r="H1051" s="1">
        <v>0.003</v>
      </c>
      <c r="I1051" s="1">
        <v>42.82</v>
      </c>
    </row>
    <row r="1052">
      <c r="A1052" s="2" t="s">
        <v>2362</v>
      </c>
      <c r="B1052" s="1">
        <v>200.0</v>
      </c>
      <c r="C1052" s="1" t="s">
        <v>2363</v>
      </c>
      <c r="D1052" s="1" t="s">
        <v>583</v>
      </c>
    </row>
    <row r="1053">
      <c r="A1053" s="2" t="s">
        <v>2376</v>
      </c>
      <c r="B1053" s="1">
        <v>200.0</v>
      </c>
      <c r="C1053" s="1" t="s">
        <v>2377</v>
      </c>
      <c r="D1053" s="1" t="s">
        <v>583</v>
      </c>
    </row>
    <row r="1054">
      <c r="A1054" s="2" t="s">
        <v>2378</v>
      </c>
      <c r="B1054" s="1">
        <v>200.0</v>
      </c>
      <c r="C1054" s="1" t="s">
        <v>2379</v>
      </c>
      <c r="D1054" s="1" t="s">
        <v>583</v>
      </c>
      <c r="F1054" s="1">
        <v>0.0</v>
      </c>
      <c r="G1054" s="1">
        <v>6.0</v>
      </c>
      <c r="H1054" s="1">
        <v>0.0</v>
      </c>
      <c r="I1054" s="1">
        <v>44.0</v>
      </c>
    </row>
    <row r="1055">
      <c r="A1055" s="2" t="s">
        <v>2380</v>
      </c>
      <c r="B1055" s="1">
        <v>200.0</v>
      </c>
      <c r="C1055" s="1" t="s">
        <v>2381</v>
      </c>
      <c r="D1055" s="1" t="s">
        <v>583</v>
      </c>
      <c r="F1055" s="1">
        <v>0.0</v>
      </c>
      <c r="G1055" s="1">
        <v>1.0</v>
      </c>
      <c r="H1055" s="1">
        <v>0.0</v>
      </c>
      <c r="I1055" s="1">
        <v>10.0</v>
      </c>
    </row>
    <row r="1056">
      <c r="A1056" s="2" t="s">
        <v>2384</v>
      </c>
      <c r="B1056" s="1">
        <v>200.0</v>
      </c>
      <c r="C1056" s="1" t="s">
        <v>2385</v>
      </c>
      <c r="D1056" s="1" t="s">
        <v>583</v>
      </c>
      <c r="F1056" s="1">
        <v>0.0</v>
      </c>
      <c r="G1056" s="1">
        <v>313.0</v>
      </c>
      <c r="H1056" s="1">
        <v>0.0</v>
      </c>
      <c r="I1056" s="1">
        <v>27.76</v>
      </c>
    </row>
    <row r="1057">
      <c r="A1057" s="2" t="s">
        <v>2390</v>
      </c>
      <c r="B1057" s="1">
        <v>301.0</v>
      </c>
      <c r="D1057" s="1" t="s">
        <v>609</v>
      </c>
      <c r="E1057" s="1" t="s">
        <v>610</v>
      </c>
    </row>
    <row r="1058">
      <c r="A1058" s="2" t="s">
        <v>2386</v>
      </c>
      <c r="B1058" s="1">
        <v>200.0</v>
      </c>
      <c r="C1058" s="1" t="s">
        <v>2387</v>
      </c>
      <c r="D1058" s="1" t="s">
        <v>583</v>
      </c>
      <c r="F1058" s="1">
        <v>0.0</v>
      </c>
      <c r="G1058" s="1">
        <v>4.0</v>
      </c>
      <c r="H1058" s="1">
        <v>0.0</v>
      </c>
      <c r="I1058" s="1">
        <v>21.75</v>
      </c>
    </row>
    <row r="1059">
      <c r="A1059" s="2" t="s">
        <v>2382</v>
      </c>
      <c r="B1059" s="1">
        <v>200.0</v>
      </c>
      <c r="C1059" s="1" t="s">
        <v>2383</v>
      </c>
      <c r="D1059" s="1" t="s">
        <v>583</v>
      </c>
    </row>
    <row r="1060">
      <c r="A1060" s="2" t="s">
        <v>2391</v>
      </c>
      <c r="B1060" s="1">
        <v>301.0</v>
      </c>
      <c r="D1060" s="1" t="s">
        <v>609</v>
      </c>
      <c r="E1060" s="1" t="s">
        <v>610</v>
      </c>
    </row>
    <row r="1061">
      <c r="A1061" s="2" t="s">
        <v>2374</v>
      </c>
      <c r="B1061" s="1">
        <v>200.0</v>
      </c>
      <c r="C1061" s="1" t="s">
        <v>2375</v>
      </c>
      <c r="D1061" s="1" t="s">
        <v>583</v>
      </c>
      <c r="F1061" s="1">
        <v>0.0</v>
      </c>
      <c r="G1061" s="1">
        <v>12.0</v>
      </c>
      <c r="H1061" s="1">
        <v>0.0</v>
      </c>
      <c r="I1061" s="1">
        <v>23.5</v>
      </c>
    </row>
    <row r="1062">
      <c r="A1062" s="2" t="s">
        <v>2400</v>
      </c>
      <c r="B1062" s="1">
        <v>200.0</v>
      </c>
      <c r="C1062" s="1" t="s">
        <v>2401</v>
      </c>
      <c r="D1062" s="1" t="s">
        <v>583</v>
      </c>
      <c r="F1062" s="1">
        <v>1.0</v>
      </c>
      <c r="G1062" s="1">
        <v>13.0</v>
      </c>
      <c r="H1062" s="1">
        <v>0.077</v>
      </c>
      <c r="I1062" s="1">
        <v>13.0</v>
      </c>
    </row>
    <row r="1063">
      <c r="A1063" s="2" t="s">
        <v>2392</v>
      </c>
      <c r="B1063" s="1">
        <v>301.0</v>
      </c>
      <c r="D1063" s="1" t="s">
        <v>609</v>
      </c>
      <c r="E1063" s="1" t="s">
        <v>610</v>
      </c>
    </row>
    <row r="1064">
      <c r="A1064" s="2" t="s">
        <v>2397</v>
      </c>
      <c r="B1064" s="1">
        <v>200.0</v>
      </c>
      <c r="C1064" s="1" t="s">
        <v>2398</v>
      </c>
      <c r="D1064" s="1" t="s">
        <v>583</v>
      </c>
    </row>
    <row r="1065">
      <c r="A1065" s="2" t="s">
        <v>2405</v>
      </c>
      <c r="B1065" s="1">
        <v>200.0</v>
      </c>
      <c r="C1065" s="1" t="s">
        <v>2406</v>
      </c>
      <c r="D1065" s="1" t="s">
        <v>583</v>
      </c>
      <c r="F1065" s="1">
        <v>0.0</v>
      </c>
      <c r="G1065" s="1">
        <v>4.0</v>
      </c>
      <c r="H1065" s="1">
        <v>0.0</v>
      </c>
      <c r="I1065" s="1">
        <v>6.0</v>
      </c>
    </row>
    <row r="1066">
      <c r="A1066" s="2" t="s">
        <v>2399</v>
      </c>
      <c r="B1066" s="1">
        <v>301.0</v>
      </c>
      <c r="D1066" s="1" t="s">
        <v>609</v>
      </c>
      <c r="E1066" s="1" t="s">
        <v>610</v>
      </c>
    </row>
    <row r="1067">
      <c r="A1067" s="2" t="s">
        <v>2408</v>
      </c>
      <c r="B1067" s="1">
        <v>200.0</v>
      </c>
      <c r="C1067" s="1" t="s">
        <v>2409</v>
      </c>
      <c r="D1067" s="1" t="s">
        <v>583</v>
      </c>
      <c r="F1067" s="1">
        <v>0.0</v>
      </c>
      <c r="G1067" s="1">
        <v>77.0</v>
      </c>
      <c r="H1067" s="1">
        <v>0.0</v>
      </c>
      <c r="I1067" s="1">
        <v>37.3</v>
      </c>
    </row>
    <row r="1068">
      <c r="A1068" s="2" t="s">
        <v>2412</v>
      </c>
      <c r="B1068" s="1">
        <v>200.0</v>
      </c>
      <c r="C1068" s="1" t="s">
        <v>2413</v>
      </c>
      <c r="D1068" s="1" t="s">
        <v>583</v>
      </c>
      <c r="F1068" s="1">
        <v>1.0</v>
      </c>
      <c r="G1068" s="1">
        <v>190.0</v>
      </c>
      <c r="H1068" s="1">
        <v>0.005</v>
      </c>
      <c r="I1068" s="1">
        <v>15.29</v>
      </c>
    </row>
    <row r="1069">
      <c r="A1069" s="2" t="s">
        <v>2410</v>
      </c>
      <c r="B1069" s="1">
        <v>200.0</v>
      </c>
      <c r="C1069" s="1" t="s">
        <v>2411</v>
      </c>
      <c r="D1069" s="1" t="s">
        <v>583</v>
      </c>
      <c r="F1069" s="1">
        <v>0.0</v>
      </c>
      <c r="G1069" s="1">
        <v>16.0</v>
      </c>
      <c r="H1069" s="1">
        <v>0.0</v>
      </c>
      <c r="I1069" s="1">
        <v>27.19</v>
      </c>
    </row>
    <row r="1070">
      <c r="A1070" s="2" t="s">
        <v>2402</v>
      </c>
      <c r="B1070" s="1">
        <v>200.0</v>
      </c>
      <c r="C1070" s="1" t="s">
        <v>582</v>
      </c>
      <c r="D1070" s="1" t="s">
        <v>583</v>
      </c>
    </row>
    <row r="1071">
      <c r="A1071" s="2" t="s">
        <v>2407</v>
      </c>
      <c r="B1071" s="1">
        <v>200.0</v>
      </c>
      <c r="C1071" s="1" t="s">
        <v>846</v>
      </c>
      <c r="D1071" s="1" t="s">
        <v>609</v>
      </c>
      <c r="E1071" s="1" t="s">
        <v>631</v>
      </c>
    </row>
    <row r="1072">
      <c r="A1072" s="2" t="s">
        <v>2420</v>
      </c>
      <c r="B1072" s="1">
        <v>200.0</v>
      </c>
      <c r="C1072" s="1" t="s">
        <v>2421</v>
      </c>
      <c r="D1072" s="1" t="s">
        <v>583</v>
      </c>
      <c r="F1072" s="1">
        <v>0.0</v>
      </c>
      <c r="G1072" s="1">
        <v>31.0</v>
      </c>
      <c r="H1072" s="1">
        <v>0.0</v>
      </c>
      <c r="I1072" s="1">
        <v>55.74</v>
      </c>
    </row>
    <row r="1073">
      <c r="A1073" s="2" t="s">
        <v>2414</v>
      </c>
      <c r="B1073" s="1">
        <v>200.0</v>
      </c>
      <c r="C1073" s="1" t="s">
        <v>2415</v>
      </c>
      <c r="D1073" s="1" t="s">
        <v>583</v>
      </c>
      <c r="F1073" s="1">
        <v>0.0</v>
      </c>
      <c r="G1073" s="1">
        <v>7.0</v>
      </c>
      <c r="H1073" s="1">
        <v>0.0</v>
      </c>
      <c r="I1073" s="1">
        <v>70.86</v>
      </c>
    </row>
    <row r="1074">
      <c r="A1074" s="2" t="s">
        <v>2395</v>
      </c>
      <c r="B1074" s="1">
        <v>200.0</v>
      </c>
      <c r="C1074" s="1" t="s">
        <v>2396</v>
      </c>
      <c r="D1074" s="1" t="s">
        <v>583</v>
      </c>
    </row>
    <row r="1075">
      <c r="A1075" s="2" t="s">
        <v>2403</v>
      </c>
      <c r="B1075" s="1">
        <v>200.0</v>
      </c>
      <c r="C1075" s="1" t="s">
        <v>2404</v>
      </c>
      <c r="D1075" s="1" t="s">
        <v>583</v>
      </c>
      <c r="F1075" s="1">
        <v>1.0</v>
      </c>
      <c r="G1075" s="1">
        <v>3.0</v>
      </c>
      <c r="H1075" s="1">
        <v>0.333</v>
      </c>
      <c r="I1075" s="1">
        <v>30.33</v>
      </c>
    </row>
    <row r="1076">
      <c r="A1076" s="2" t="s">
        <v>2416</v>
      </c>
      <c r="B1076" s="1">
        <v>200.0</v>
      </c>
      <c r="C1076" s="1" t="s">
        <v>2417</v>
      </c>
      <c r="D1076" s="1" t="s">
        <v>583</v>
      </c>
      <c r="F1076" s="1">
        <v>1.0</v>
      </c>
      <c r="G1076" s="1">
        <v>2234.0</v>
      </c>
      <c r="H1076" s="1">
        <v>0.0</v>
      </c>
      <c r="I1076" s="1">
        <v>44.81</v>
      </c>
    </row>
    <row r="1077">
      <c r="A1077" s="2" t="s">
        <v>2426</v>
      </c>
      <c r="B1077" s="1">
        <v>200.0</v>
      </c>
      <c r="C1077" s="1" t="s">
        <v>846</v>
      </c>
      <c r="D1077" s="1" t="s">
        <v>609</v>
      </c>
      <c r="E1077" s="1" t="s">
        <v>631</v>
      </c>
    </row>
    <row r="1078">
      <c r="A1078" s="2" t="s">
        <v>2427</v>
      </c>
      <c r="B1078" s="1">
        <v>200.0</v>
      </c>
      <c r="C1078" s="1" t="s">
        <v>582</v>
      </c>
      <c r="D1078" s="1" t="s">
        <v>583</v>
      </c>
    </row>
    <row r="1079">
      <c r="A1079" s="2" t="s">
        <v>2418</v>
      </c>
      <c r="B1079" s="1">
        <v>200.0</v>
      </c>
      <c r="C1079" s="1" t="s">
        <v>2419</v>
      </c>
      <c r="D1079" s="1" t="s">
        <v>583</v>
      </c>
      <c r="F1079" s="1">
        <v>0.0</v>
      </c>
      <c r="G1079" s="1">
        <v>23.0</v>
      </c>
      <c r="H1079" s="1">
        <v>0.0</v>
      </c>
      <c r="I1079" s="1">
        <v>13.43</v>
      </c>
    </row>
    <row r="1080">
      <c r="A1080" s="2" t="s">
        <v>2428</v>
      </c>
      <c r="B1080" s="1">
        <v>200.0</v>
      </c>
      <c r="C1080" s="1" t="s">
        <v>2429</v>
      </c>
      <c r="D1080" s="1" t="s">
        <v>583</v>
      </c>
      <c r="F1080" s="1">
        <v>1.0</v>
      </c>
      <c r="G1080" s="1">
        <v>5.0</v>
      </c>
      <c r="H1080" s="1">
        <v>0.2</v>
      </c>
      <c r="I1080" s="1">
        <v>31.6</v>
      </c>
    </row>
    <row r="1081">
      <c r="A1081" s="2" t="s">
        <v>2422</v>
      </c>
      <c r="B1081" s="1">
        <v>200.0</v>
      </c>
      <c r="C1081" s="1" t="s">
        <v>2423</v>
      </c>
      <c r="D1081" s="1" t="s">
        <v>583</v>
      </c>
      <c r="F1081" s="1">
        <v>0.0</v>
      </c>
      <c r="G1081" s="1">
        <v>11.0</v>
      </c>
      <c r="H1081" s="1">
        <v>0.0</v>
      </c>
      <c r="I1081" s="1">
        <v>7.18</v>
      </c>
    </row>
    <row r="1082">
      <c r="A1082" s="2" t="s">
        <v>2433</v>
      </c>
      <c r="B1082" s="1">
        <v>200.0</v>
      </c>
      <c r="C1082" s="1" t="s">
        <v>2434</v>
      </c>
      <c r="D1082" s="1" t="s">
        <v>583</v>
      </c>
      <c r="F1082" s="1">
        <v>0.0</v>
      </c>
      <c r="G1082" s="1">
        <v>179.0</v>
      </c>
      <c r="H1082" s="1">
        <v>0.0</v>
      </c>
      <c r="I1082" s="1">
        <v>71.65</v>
      </c>
    </row>
    <row r="1083">
      <c r="A1083" s="2" t="s">
        <v>2424</v>
      </c>
      <c r="B1083" s="1">
        <v>200.0</v>
      </c>
      <c r="C1083" s="1" t="s">
        <v>2425</v>
      </c>
      <c r="D1083" s="1" t="s">
        <v>583</v>
      </c>
    </row>
    <row r="1084">
      <c r="A1084" s="2" t="s">
        <v>2432</v>
      </c>
      <c r="B1084" s="1">
        <v>200.0</v>
      </c>
      <c r="C1084" s="1" t="s">
        <v>846</v>
      </c>
      <c r="D1084" s="1" t="s">
        <v>609</v>
      </c>
      <c r="E1084" s="1" t="s">
        <v>631</v>
      </c>
    </row>
    <row r="1085">
      <c r="A1085" s="2" t="s">
        <v>2430</v>
      </c>
      <c r="B1085" s="1">
        <v>200.0</v>
      </c>
      <c r="C1085" s="1" t="s">
        <v>2431</v>
      </c>
      <c r="D1085" s="1" t="s">
        <v>583</v>
      </c>
      <c r="F1085" s="1">
        <v>1.0</v>
      </c>
      <c r="G1085" s="1">
        <v>4.0</v>
      </c>
      <c r="H1085" s="1">
        <v>0.25</v>
      </c>
      <c r="I1085" s="1">
        <v>6.0</v>
      </c>
    </row>
    <row r="1086">
      <c r="A1086" s="2" t="s">
        <v>2435</v>
      </c>
      <c r="B1086" s="1">
        <v>200.0</v>
      </c>
      <c r="C1086" s="1" t="s">
        <v>2436</v>
      </c>
      <c r="D1086" s="1" t="s">
        <v>583</v>
      </c>
    </row>
    <row r="1087">
      <c r="A1087" s="2" t="s">
        <v>2438</v>
      </c>
      <c r="B1087" s="1">
        <v>200.0</v>
      </c>
      <c r="C1087" s="1" t="s">
        <v>2439</v>
      </c>
      <c r="D1087" s="1" t="s">
        <v>583</v>
      </c>
      <c r="F1087" s="1">
        <v>0.0</v>
      </c>
      <c r="G1087" s="1">
        <v>171.0</v>
      </c>
      <c r="H1087" s="1">
        <v>0.0</v>
      </c>
      <c r="I1087" s="1">
        <v>28.08</v>
      </c>
    </row>
    <row r="1088">
      <c r="A1088" s="2" t="s">
        <v>2437</v>
      </c>
      <c r="B1088" s="1">
        <v>200.0</v>
      </c>
      <c r="C1088" s="1" t="s">
        <v>582</v>
      </c>
      <c r="D1088" s="1" t="s">
        <v>583</v>
      </c>
      <c r="F1088" s="1">
        <v>0.0</v>
      </c>
      <c r="G1088" s="1">
        <v>4.0</v>
      </c>
      <c r="H1088" s="1">
        <v>0.0</v>
      </c>
      <c r="I1088" s="1">
        <v>3.0</v>
      </c>
    </row>
    <row r="1089">
      <c r="A1089" s="2" t="s">
        <v>2440</v>
      </c>
      <c r="B1089" s="1">
        <v>200.0</v>
      </c>
      <c r="C1089" s="1" t="s">
        <v>2441</v>
      </c>
      <c r="D1089" s="1" t="s">
        <v>583</v>
      </c>
      <c r="F1089" s="1">
        <v>7.0</v>
      </c>
      <c r="G1089" s="1">
        <v>1025.0</v>
      </c>
      <c r="H1089" s="1">
        <v>0.007</v>
      </c>
      <c r="I1089" s="1">
        <v>19.11</v>
      </c>
    </row>
    <row r="1090">
      <c r="A1090" s="2" t="s">
        <v>2444</v>
      </c>
      <c r="B1090" s="1">
        <v>200.0</v>
      </c>
      <c r="C1090" s="1" t="s">
        <v>2445</v>
      </c>
      <c r="D1090" s="1" t="s">
        <v>583</v>
      </c>
      <c r="F1090" s="1">
        <v>1.0</v>
      </c>
      <c r="G1090" s="1">
        <v>1946.0</v>
      </c>
      <c r="H1090" s="1">
        <v>0.0</v>
      </c>
      <c r="I1090" s="1">
        <v>43.79</v>
      </c>
    </row>
    <row r="1091">
      <c r="A1091" s="2" t="s">
        <v>2443</v>
      </c>
      <c r="B1091" s="1">
        <v>200.0</v>
      </c>
      <c r="C1091" s="1" t="s">
        <v>582</v>
      </c>
      <c r="D1091" s="1" t="s">
        <v>583</v>
      </c>
    </row>
    <row r="1092">
      <c r="A1092" s="2" t="s">
        <v>2442</v>
      </c>
      <c r="B1092" s="1">
        <v>200.0</v>
      </c>
      <c r="C1092" s="1" t="s">
        <v>846</v>
      </c>
      <c r="D1092" s="1" t="s">
        <v>609</v>
      </c>
      <c r="E1092" s="1" t="s">
        <v>631</v>
      </c>
    </row>
    <row r="1093">
      <c r="A1093" s="2" t="s">
        <v>2446</v>
      </c>
      <c r="B1093" s="1">
        <v>200.0</v>
      </c>
      <c r="C1093" s="1" t="s">
        <v>846</v>
      </c>
      <c r="D1093" s="1" t="s">
        <v>609</v>
      </c>
      <c r="E1093" s="1" t="s">
        <v>631</v>
      </c>
    </row>
    <row r="1094">
      <c r="A1094" s="2" t="s">
        <v>2447</v>
      </c>
      <c r="B1094" s="1">
        <v>200.0</v>
      </c>
      <c r="C1094" s="1" t="s">
        <v>582</v>
      </c>
      <c r="D1094" s="1" t="s">
        <v>583</v>
      </c>
    </row>
    <row r="1095">
      <c r="A1095" s="2" t="s">
        <v>2448</v>
      </c>
      <c r="B1095" s="1">
        <v>200.0</v>
      </c>
      <c r="C1095" s="1" t="s">
        <v>846</v>
      </c>
      <c r="D1095" s="1" t="s">
        <v>609</v>
      </c>
      <c r="E1095" s="1" t="s">
        <v>631</v>
      </c>
    </row>
    <row r="1096">
      <c r="A1096" s="2" t="s">
        <v>2450</v>
      </c>
      <c r="B1096" s="1">
        <v>200.0</v>
      </c>
      <c r="C1096" s="1" t="s">
        <v>846</v>
      </c>
      <c r="D1096" s="1" t="s">
        <v>609</v>
      </c>
      <c r="E1096" s="1" t="s">
        <v>631</v>
      </c>
    </row>
    <row r="1097">
      <c r="A1097" s="2" t="s">
        <v>2449</v>
      </c>
      <c r="B1097" s="1">
        <v>200.0</v>
      </c>
      <c r="C1097" s="1" t="s">
        <v>582</v>
      </c>
      <c r="D1097" s="1" t="s">
        <v>583</v>
      </c>
    </row>
    <row r="1098">
      <c r="A1098" s="2" t="s">
        <v>2452</v>
      </c>
      <c r="B1098" s="1">
        <v>200.0</v>
      </c>
      <c r="C1098" s="1" t="s">
        <v>846</v>
      </c>
      <c r="D1098" s="1" t="s">
        <v>609</v>
      </c>
      <c r="E1098" s="1" t="s">
        <v>631</v>
      </c>
    </row>
    <row r="1099">
      <c r="A1099" s="2" t="s">
        <v>2453</v>
      </c>
      <c r="B1099" s="1">
        <v>200.0</v>
      </c>
      <c r="C1099" s="1" t="s">
        <v>582</v>
      </c>
      <c r="D1099" s="1" t="s">
        <v>583</v>
      </c>
    </row>
    <row r="1100">
      <c r="A1100" s="2" t="s">
        <v>2451</v>
      </c>
      <c r="B1100" s="1">
        <v>200.0</v>
      </c>
      <c r="C1100" s="1" t="s">
        <v>582</v>
      </c>
      <c r="D1100" s="1" t="s">
        <v>583</v>
      </c>
      <c r="F1100" s="1">
        <v>0.0</v>
      </c>
      <c r="G1100" s="1">
        <v>18.0</v>
      </c>
      <c r="H1100" s="1">
        <v>0.0</v>
      </c>
      <c r="I1100" s="1">
        <v>52.61</v>
      </c>
    </row>
    <row r="1101">
      <c r="A1101" s="2" t="s">
        <v>2454</v>
      </c>
      <c r="B1101" s="1">
        <v>200.0</v>
      </c>
      <c r="C1101" s="1" t="s">
        <v>846</v>
      </c>
      <c r="D1101" s="1" t="s">
        <v>609</v>
      </c>
      <c r="E1101" s="1" t="s">
        <v>631</v>
      </c>
    </row>
    <row r="1102">
      <c r="A1102" s="2" t="s">
        <v>2455</v>
      </c>
      <c r="B1102" s="1">
        <v>200.0</v>
      </c>
      <c r="C1102" s="1" t="s">
        <v>582</v>
      </c>
      <c r="D1102" s="1" t="s">
        <v>583</v>
      </c>
      <c r="F1102" s="1">
        <v>0.0</v>
      </c>
      <c r="G1102" s="1">
        <v>1.0</v>
      </c>
      <c r="H1102" s="1">
        <v>0.0</v>
      </c>
      <c r="I1102" s="1">
        <v>59.0</v>
      </c>
    </row>
    <row r="1103">
      <c r="A1103" s="2" t="s">
        <v>2456</v>
      </c>
      <c r="B1103" s="1">
        <v>200.0</v>
      </c>
      <c r="C1103" s="1" t="s">
        <v>846</v>
      </c>
      <c r="D1103" s="1" t="s">
        <v>609</v>
      </c>
      <c r="E1103" s="1" t="s">
        <v>631</v>
      </c>
    </row>
    <row r="1104">
      <c r="A1104" s="2" t="s">
        <v>2457</v>
      </c>
      <c r="B1104" s="1">
        <v>200.0</v>
      </c>
      <c r="C1104" s="1" t="s">
        <v>582</v>
      </c>
      <c r="D1104" s="1" t="s">
        <v>583</v>
      </c>
      <c r="F1104" s="1">
        <v>0.0</v>
      </c>
      <c r="G1104" s="1">
        <v>2.0</v>
      </c>
      <c r="H1104" s="1">
        <v>0.0</v>
      </c>
      <c r="I1104" s="1">
        <v>48.5</v>
      </c>
    </row>
    <row r="1105">
      <c r="A1105" s="2" t="s">
        <v>2458</v>
      </c>
      <c r="B1105" s="1">
        <v>200.0</v>
      </c>
      <c r="C1105" s="1" t="s">
        <v>846</v>
      </c>
      <c r="D1105" s="1" t="s">
        <v>609</v>
      </c>
      <c r="E1105" s="1" t="s">
        <v>631</v>
      </c>
    </row>
    <row r="1106">
      <c r="A1106" s="2" t="s">
        <v>2459</v>
      </c>
      <c r="B1106" s="1">
        <v>200.0</v>
      </c>
      <c r="C1106" s="1" t="s">
        <v>582</v>
      </c>
      <c r="D1106" s="1" t="s">
        <v>583</v>
      </c>
      <c r="F1106" s="1">
        <v>0.0</v>
      </c>
      <c r="G1106" s="1">
        <v>3.0</v>
      </c>
      <c r="H1106" s="1">
        <v>0.0</v>
      </c>
      <c r="I1106" s="1">
        <v>87.0</v>
      </c>
    </row>
    <row r="1107">
      <c r="A1107" s="2" t="s">
        <v>2460</v>
      </c>
      <c r="B1107" s="1">
        <v>200.0</v>
      </c>
      <c r="C1107" s="1" t="s">
        <v>846</v>
      </c>
      <c r="D1107" s="1" t="s">
        <v>609</v>
      </c>
      <c r="E1107" s="1" t="s">
        <v>631</v>
      </c>
    </row>
    <row r="1108">
      <c r="A1108" s="2" t="s">
        <v>2461</v>
      </c>
      <c r="B1108" s="1">
        <v>200.0</v>
      </c>
      <c r="C1108" s="1" t="s">
        <v>582</v>
      </c>
      <c r="D1108" s="1" t="s">
        <v>583</v>
      </c>
      <c r="F1108" s="1">
        <v>0.0</v>
      </c>
      <c r="G1108" s="1">
        <v>2.0</v>
      </c>
      <c r="H1108" s="1">
        <v>0.0</v>
      </c>
      <c r="I1108" s="1">
        <v>10.0</v>
      </c>
    </row>
    <row r="1109">
      <c r="A1109" s="2" t="s">
        <v>2462</v>
      </c>
      <c r="B1109" s="1">
        <v>200.0</v>
      </c>
      <c r="C1109" s="1" t="s">
        <v>846</v>
      </c>
      <c r="D1109" s="1" t="s">
        <v>609</v>
      </c>
      <c r="E1109" s="1" t="s">
        <v>631</v>
      </c>
    </row>
    <row r="1110">
      <c r="A1110" s="2" t="s">
        <v>2463</v>
      </c>
      <c r="B1110" s="1">
        <v>200.0</v>
      </c>
      <c r="C1110" s="1" t="s">
        <v>582</v>
      </c>
      <c r="D1110" s="1" t="s">
        <v>583</v>
      </c>
      <c r="F1110" s="1">
        <v>0.0</v>
      </c>
      <c r="G1110" s="1">
        <v>1.0</v>
      </c>
      <c r="H1110" s="1">
        <v>0.0</v>
      </c>
      <c r="I1110" s="1">
        <v>89.0</v>
      </c>
    </row>
    <row r="1111">
      <c r="A1111" s="2" t="s">
        <v>2464</v>
      </c>
      <c r="B1111" s="1">
        <v>200.0</v>
      </c>
      <c r="C1111" s="1" t="s">
        <v>846</v>
      </c>
      <c r="D1111" s="1" t="s">
        <v>609</v>
      </c>
      <c r="E1111" s="1" t="s">
        <v>631</v>
      </c>
    </row>
    <row r="1112">
      <c r="A1112" s="2" t="s">
        <v>2465</v>
      </c>
      <c r="B1112" s="1">
        <v>200.0</v>
      </c>
      <c r="C1112" s="1" t="s">
        <v>582</v>
      </c>
      <c r="D1112" s="1" t="s">
        <v>583</v>
      </c>
      <c r="F1112" s="1">
        <v>1.0</v>
      </c>
      <c r="G1112" s="1">
        <v>17.0</v>
      </c>
      <c r="H1112" s="1">
        <v>0.059</v>
      </c>
      <c r="I1112" s="1">
        <v>19.12</v>
      </c>
    </row>
    <row r="1113">
      <c r="A1113" s="2" t="s">
        <v>2467</v>
      </c>
      <c r="B1113" s="1">
        <v>200.0</v>
      </c>
      <c r="C1113" s="1" t="s">
        <v>582</v>
      </c>
      <c r="D1113" s="1" t="s">
        <v>583</v>
      </c>
    </row>
    <row r="1114">
      <c r="A1114" s="2" t="s">
        <v>2466</v>
      </c>
      <c r="B1114" s="1">
        <v>200.0</v>
      </c>
      <c r="C1114" s="1" t="s">
        <v>846</v>
      </c>
      <c r="D1114" s="1" t="s">
        <v>609</v>
      </c>
      <c r="E1114" s="1" t="s">
        <v>631</v>
      </c>
    </row>
    <row r="1115">
      <c r="A1115" s="2" t="s">
        <v>2468</v>
      </c>
      <c r="B1115" s="1">
        <v>200.0</v>
      </c>
      <c r="C1115" s="1" t="s">
        <v>846</v>
      </c>
      <c r="D1115" s="1" t="s">
        <v>609</v>
      </c>
      <c r="E1115" s="1" t="s">
        <v>631</v>
      </c>
    </row>
    <row r="1116">
      <c r="A1116" s="2" t="s">
        <v>2469</v>
      </c>
      <c r="B1116" s="1">
        <v>200.0</v>
      </c>
      <c r="C1116" s="1" t="s">
        <v>582</v>
      </c>
      <c r="D1116" s="1" t="s">
        <v>583</v>
      </c>
      <c r="F1116" s="1">
        <v>0.0</v>
      </c>
      <c r="G1116" s="1">
        <v>3.0</v>
      </c>
      <c r="H1116" s="1">
        <v>0.0</v>
      </c>
      <c r="I1116" s="1">
        <v>4.67</v>
      </c>
    </row>
    <row r="1117">
      <c r="A1117" s="2" t="s">
        <v>2470</v>
      </c>
      <c r="B1117" s="1">
        <v>200.0</v>
      </c>
      <c r="C1117" s="1" t="s">
        <v>846</v>
      </c>
      <c r="D1117" s="1" t="s">
        <v>609</v>
      </c>
      <c r="E1117" s="1" t="s">
        <v>631</v>
      </c>
    </row>
    <row r="1118">
      <c r="A1118" s="2" t="s">
        <v>2471</v>
      </c>
      <c r="B1118" s="1">
        <v>200.0</v>
      </c>
      <c r="C1118" s="1" t="s">
        <v>582</v>
      </c>
      <c r="D1118" s="1" t="s">
        <v>583</v>
      </c>
      <c r="F1118" s="1">
        <v>0.0</v>
      </c>
      <c r="G1118" s="1">
        <v>6.0</v>
      </c>
      <c r="H1118" s="1">
        <v>0.0</v>
      </c>
      <c r="I1118" s="1">
        <v>13.5</v>
      </c>
    </row>
    <row r="1119">
      <c r="A1119" s="2" t="s">
        <v>2472</v>
      </c>
      <c r="B1119" s="1">
        <v>200.0</v>
      </c>
      <c r="C1119" s="1" t="s">
        <v>846</v>
      </c>
      <c r="D1119" s="1" t="s">
        <v>609</v>
      </c>
      <c r="E1119" s="1" t="s">
        <v>631</v>
      </c>
    </row>
    <row r="1120">
      <c r="A1120" s="2" t="s">
        <v>2473</v>
      </c>
      <c r="B1120" s="1">
        <v>200.0</v>
      </c>
      <c r="C1120" s="1" t="s">
        <v>582</v>
      </c>
      <c r="D1120" s="1" t="s">
        <v>583</v>
      </c>
      <c r="F1120" s="1">
        <v>0.0</v>
      </c>
      <c r="G1120" s="1">
        <v>3.0</v>
      </c>
      <c r="H1120" s="1">
        <v>0.0</v>
      </c>
      <c r="I1120" s="1">
        <v>5.67</v>
      </c>
    </row>
    <row r="1121">
      <c r="A1121" s="2" t="s">
        <v>2475</v>
      </c>
      <c r="B1121" s="1">
        <v>200.0</v>
      </c>
      <c r="C1121" s="1" t="s">
        <v>582</v>
      </c>
      <c r="D1121" s="1" t="s">
        <v>583</v>
      </c>
    </row>
    <row r="1122">
      <c r="A1122" s="2" t="s">
        <v>2474</v>
      </c>
      <c r="B1122" s="1">
        <v>200.0</v>
      </c>
      <c r="C1122" s="1" t="s">
        <v>846</v>
      </c>
      <c r="D1122" s="1" t="s">
        <v>609</v>
      </c>
      <c r="E1122" s="1" t="s">
        <v>631</v>
      </c>
    </row>
    <row r="1123">
      <c r="A1123" s="2" t="s">
        <v>2476</v>
      </c>
      <c r="B1123" s="1">
        <v>200.0</v>
      </c>
      <c r="C1123" s="1" t="s">
        <v>846</v>
      </c>
      <c r="D1123" s="1" t="s">
        <v>609</v>
      </c>
      <c r="E1123" s="1" t="s">
        <v>631</v>
      </c>
    </row>
    <row r="1124">
      <c r="A1124" s="2" t="s">
        <v>2477</v>
      </c>
      <c r="B1124" s="1">
        <v>200.0</v>
      </c>
      <c r="C1124" s="1" t="s">
        <v>582</v>
      </c>
      <c r="D1124" s="1" t="s">
        <v>583</v>
      </c>
      <c r="F1124" s="1">
        <v>0.0</v>
      </c>
      <c r="G1124" s="1">
        <v>1.0</v>
      </c>
      <c r="H1124" s="1">
        <v>0.0</v>
      </c>
      <c r="I1124" s="1">
        <v>131.0</v>
      </c>
    </row>
    <row r="1125">
      <c r="A1125" s="2" t="s">
        <v>2478</v>
      </c>
      <c r="B1125" s="1">
        <v>200.0</v>
      </c>
      <c r="C1125" s="1" t="s">
        <v>846</v>
      </c>
      <c r="D1125" s="1" t="s">
        <v>609</v>
      </c>
      <c r="E1125" s="1" t="s">
        <v>631</v>
      </c>
    </row>
    <row r="1126">
      <c r="A1126" s="2" t="s">
        <v>2479</v>
      </c>
      <c r="B1126" s="1">
        <v>200.0</v>
      </c>
      <c r="C1126" s="1" t="s">
        <v>582</v>
      </c>
      <c r="D1126" s="1" t="s">
        <v>583</v>
      </c>
      <c r="F1126" s="1">
        <v>0.0</v>
      </c>
      <c r="G1126" s="1">
        <v>20.0</v>
      </c>
      <c r="H1126" s="1">
        <v>0.0</v>
      </c>
      <c r="I1126" s="1">
        <v>57.65</v>
      </c>
    </row>
    <row r="1127">
      <c r="A1127" s="2" t="s">
        <v>2480</v>
      </c>
      <c r="B1127" s="1">
        <v>200.0</v>
      </c>
      <c r="C1127" s="1" t="s">
        <v>846</v>
      </c>
      <c r="D1127" s="1" t="s">
        <v>609</v>
      </c>
      <c r="E1127" s="1" t="s">
        <v>631</v>
      </c>
    </row>
    <row r="1128">
      <c r="A1128" s="2" t="s">
        <v>2481</v>
      </c>
      <c r="B1128" s="1">
        <v>200.0</v>
      </c>
      <c r="C1128" s="1" t="s">
        <v>582</v>
      </c>
      <c r="D1128" s="1" t="s">
        <v>583</v>
      </c>
    </row>
    <row r="1129">
      <c r="A1129" s="2" t="s">
        <v>2482</v>
      </c>
      <c r="B1129" s="1">
        <v>200.0</v>
      </c>
      <c r="C1129" s="1" t="s">
        <v>846</v>
      </c>
      <c r="D1129" s="1" t="s">
        <v>609</v>
      </c>
      <c r="E1129" s="1" t="s">
        <v>631</v>
      </c>
    </row>
    <row r="1130">
      <c r="A1130" s="2" t="s">
        <v>2483</v>
      </c>
      <c r="B1130" s="1">
        <v>200.0</v>
      </c>
      <c r="C1130" s="1" t="s">
        <v>582</v>
      </c>
      <c r="D1130" s="1" t="s">
        <v>583</v>
      </c>
      <c r="F1130" s="1">
        <v>0.0</v>
      </c>
      <c r="G1130" s="1">
        <v>1.0</v>
      </c>
      <c r="H1130" s="1">
        <v>0.0</v>
      </c>
      <c r="I1130" s="1">
        <v>59.0</v>
      </c>
    </row>
    <row r="1131">
      <c r="A1131" s="2" t="s">
        <v>2484</v>
      </c>
      <c r="B1131" s="1">
        <v>200.0</v>
      </c>
      <c r="C1131" s="1" t="s">
        <v>846</v>
      </c>
      <c r="D1131" s="1" t="s">
        <v>609</v>
      </c>
      <c r="E1131" s="1" t="s">
        <v>631</v>
      </c>
    </row>
    <row r="1132">
      <c r="A1132" s="2" t="s">
        <v>2485</v>
      </c>
      <c r="B1132" s="1">
        <v>200.0</v>
      </c>
      <c r="C1132" s="1" t="s">
        <v>582</v>
      </c>
      <c r="D1132" s="1" t="s">
        <v>583</v>
      </c>
      <c r="F1132" s="1">
        <v>0.0</v>
      </c>
      <c r="G1132" s="1">
        <v>1.0</v>
      </c>
      <c r="H1132" s="1">
        <v>0.0</v>
      </c>
      <c r="I1132" s="1">
        <v>9.0</v>
      </c>
    </row>
    <row r="1133">
      <c r="A1133" s="2" t="s">
        <v>2486</v>
      </c>
      <c r="B1133" s="1">
        <v>200.0</v>
      </c>
      <c r="C1133" s="1" t="s">
        <v>846</v>
      </c>
      <c r="D1133" s="1" t="s">
        <v>609</v>
      </c>
      <c r="E1133" s="1" t="s">
        <v>631</v>
      </c>
    </row>
    <row r="1134">
      <c r="A1134" s="2" t="s">
        <v>2487</v>
      </c>
      <c r="B1134" s="1">
        <v>200.0</v>
      </c>
      <c r="C1134" s="1" t="s">
        <v>582</v>
      </c>
      <c r="D1134" s="1" t="s">
        <v>583</v>
      </c>
    </row>
    <row r="1135">
      <c r="A1135" s="2" t="s">
        <v>2488</v>
      </c>
      <c r="B1135" s="1">
        <v>200.0</v>
      </c>
      <c r="C1135" s="1" t="s">
        <v>846</v>
      </c>
      <c r="D1135" s="1" t="s">
        <v>609</v>
      </c>
      <c r="E1135" s="1" t="s">
        <v>631</v>
      </c>
    </row>
    <row r="1136">
      <c r="A1136" s="2" t="s">
        <v>2489</v>
      </c>
      <c r="B1136" s="1">
        <v>200.0</v>
      </c>
      <c r="C1136" s="1" t="s">
        <v>582</v>
      </c>
      <c r="D1136" s="1" t="s">
        <v>583</v>
      </c>
      <c r="F1136" s="1">
        <v>0.0</v>
      </c>
      <c r="G1136" s="1">
        <v>2.0</v>
      </c>
      <c r="H1136" s="1">
        <v>0.0</v>
      </c>
      <c r="I1136" s="1">
        <v>6.0</v>
      </c>
    </row>
    <row r="1137">
      <c r="A1137" s="2" t="s">
        <v>2490</v>
      </c>
      <c r="B1137" s="1">
        <v>200.0</v>
      </c>
      <c r="C1137" s="1" t="s">
        <v>846</v>
      </c>
      <c r="D1137" s="1" t="s">
        <v>609</v>
      </c>
      <c r="E1137" s="1" t="s">
        <v>631</v>
      </c>
    </row>
    <row r="1138">
      <c r="A1138" s="2" t="s">
        <v>2491</v>
      </c>
      <c r="B1138" s="1">
        <v>200.0</v>
      </c>
      <c r="C1138" s="1" t="s">
        <v>582</v>
      </c>
      <c r="D1138" s="1" t="s">
        <v>583</v>
      </c>
    </row>
    <row r="1139">
      <c r="A1139" s="2" t="s">
        <v>2492</v>
      </c>
      <c r="B1139" s="1">
        <v>200.0</v>
      </c>
      <c r="C1139" s="1" t="s">
        <v>846</v>
      </c>
      <c r="D1139" s="1" t="s">
        <v>609</v>
      </c>
      <c r="E1139" s="1" t="s">
        <v>631</v>
      </c>
    </row>
    <row r="1140">
      <c r="A1140" s="2" t="s">
        <v>2493</v>
      </c>
      <c r="B1140" s="1">
        <v>200.0</v>
      </c>
      <c r="C1140" s="1" t="s">
        <v>582</v>
      </c>
      <c r="D1140" s="1" t="s">
        <v>583</v>
      </c>
      <c r="F1140" s="1">
        <v>0.0</v>
      </c>
      <c r="G1140" s="1">
        <v>1.0</v>
      </c>
      <c r="H1140" s="1">
        <v>0.0</v>
      </c>
      <c r="I1140" s="1">
        <v>4.0</v>
      </c>
    </row>
    <row r="1141">
      <c r="A1141" s="2" t="s">
        <v>2494</v>
      </c>
      <c r="B1141" s="1">
        <v>200.0</v>
      </c>
      <c r="C1141" s="1" t="s">
        <v>846</v>
      </c>
      <c r="D1141" s="1" t="s">
        <v>609</v>
      </c>
      <c r="E1141" s="1" t="s">
        <v>631</v>
      </c>
    </row>
    <row r="1142">
      <c r="A1142" s="2" t="s">
        <v>2495</v>
      </c>
      <c r="B1142" s="1">
        <v>200.0</v>
      </c>
      <c r="C1142" s="1" t="s">
        <v>582</v>
      </c>
      <c r="D1142" s="1" t="s">
        <v>583</v>
      </c>
      <c r="F1142" s="1">
        <v>0.0</v>
      </c>
      <c r="G1142" s="1">
        <v>5.0</v>
      </c>
      <c r="H1142" s="1">
        <v>0.0</v>
      </c>
      <c r="I1142" s="1">
        <v>4.8</v>
      </c>
    </row>
    <row r="1143">
      <c r="A1143" s="2" t="s">
        <v>2496</v>
      </c>
      <c r="B1143" s="1">
        <v>200.0</v>
      </c>
      <c r="C1143" s="1" t="s">
        <v>846</v>
      </c>
      <c r="D1143" s="1" t="s">
        <v>609</v>
      </c>
      <c r="E1143" s="1" t="s">
        <v>631</v>
      </c>
    </row>
    <row r="1144">
      <c r="A1144" s="2" t="s">
        <v>2497</v>
      </c>
      <c r="B1144" s="1">
        <v>200.0</v>
      </c>
      <c r="C1144" s="1" t="s">
        <v>582</v>
      </c>
      <c r="D1144" s="1" t="s">
        <v>583</v>
      </c>
    </row>
    <row r="1145">
      <c r="A1145" s="2" t="s">
        <v>2499</v>
      </c>
      <c r="B1145" s="1">
        <v>200.0</v>
      </c>
      <c r="C1145" s="1" t="s">
        <v>582</v>
      </c>
      <c r="D1145" s="1" t="s">
        <v>583</v>
      </c>
    </row>
    <row r="1146">
      <c r="A1146" s="2" t="s">
        <v>2498</v>
      </c>
      <c r="B1146" s="1">
        <v>200.0</v>
      </c>
      <c r="C1146" s="1" t="s">
        <v>846</v>
      </c>
      <c r="D1146" s="1" t="s">
        <v>609</v>
      </c>
      <c r="E1146" s="1" t="s">
        <v>631</v>
      </c>
    </row>
    <row r="1147">
      <c r="A1147" s="2" t="s">
        <v>2500</v>
      </c>
      <c r="B1147" s="1">
        <v>200.0</v>
      </c>
      <c r="C1147" s="1" t="s">
        <v>846</v>
      </c>
      <c r="D1147" s="1" t="s">
        <v>609</v>
      </c>
      <c r="E1147" s="1" t="s">
        <v>631</v>
      </c>
    </row>
    <row r="1148">
      <c r="A1148" s="2" t="s">
        <v>2501</v>
      </c>
      <c r="B1148" s="1">
        <v>200.0</v>
      </c>
      <c r="C1148" s="1" t="s">
        <v>582</v>
      </c>
      <c r="D1148" s="1" t="s">
        <v>583</v>
      </c>
      <c r="F1148" s="1">
        <v>0.0</v>
      </c>
      <c r="G1148" s="1">
        <v>1.0</v>
      </c>
      <c r="H1148" s="1">
        <v>0.0</v>
      </c>
      <c r="I1148" s="1">
        <v>8.0</v>
      </c>
    </row>
    <row r="1149">
      <c r="A1149" s="2" t="s">
        <v>2503</v>
      </c>
      <c r="B1149" s="1">
        <v>200.0</v>
      </c>
      <c r="C1149" s="1" t="s">
        <v>582</v>
      </c>
      <c r="D1149" s="1" t="s">
        <v>583</v>
      </c>
      <c r="F1149" s="1">
        <v>0.0</v>
      </c>
      <c r="G1149" s="1">
        <v>1.0</v>
      </c>
      <c r="H1149" s="1">
        <v>0.0</v>
      </c>
      <c r="I1149" s="1">
        <v>10.0</v>
      </c>
    </row>
    <row r="1150">
      <c r="A1150" s="2" t="s">
        <v>2502</v>
      </c>
      <c r="B1150" s="1">
        <v>200.0</v>
      </c>
      <c r="C1150" s="1" t="s">
        <v>846</v>
      </c>
      <c r="D1150" s="1" t="s">
        <v>609</v>
      </c>
      <c r="E1150" s="1" t="s">
        <v>631</v>
      </c>
    </row>
    <row r="1151">
      <c r="A1151" s="2" t="s">
        <v>2504</v>
      </c>
      <c r="B1151" s="1">
        <v>200.0</v>
      </c>
      <c r="C1151" s="1" t="s">
        <v>846</v>
      </c>
      <c r="D1151" s="1" t="s">
        <v>609</v>
      </c>
      <c r="E1151" s="1" t="s">
        <v>631</v>
      </c>
    </row>
    <row r="1152">
      <c r="A1152" s="2" t="s">
        <v>2505</v>
      </c>
      <c r="B1152" s="1">
        <v>200.0</v>
      </c>
      <c r="C1152" s="1" t="s">
        <v>582</v>
      </c>
      <c r="D1152" s="1" t="s">
        <v>583</v>
      </c>
      <c r="F1152" s="1">
        <v>0.0</v>
      </c>
      <c r="G1152" s="1">
        <v>4.0</v>
      </c>
      <c r="H1152" s="1">
        <v>0.0</v>
      </c>
      <c r="I1152" s="1">
        <v>15.5</v>
      </c>
    </row>
    <row r="1153">
      <c r="A1153" s="2" t="s">
        <v>2506</v>
      </c>
      <c r="B1153" s="1">
        <v>200.0</v>
      </c>
      <c r="C1153" s="1" t="s">
        <v>846</v>
      </c>
      <c r="D1153" s="1" t="s">
        <v>609</v>
      </c>
      <c r="E1153" s="1" t="s">
        <v>631</v>
      </c>
    </row>
    <row r="1154">
      <c r="A1154" s="2" t="s">
        <v>2507</v>
      </c>
      <c r="B1154" s="1">
        <v>200.0</v>
      </c>
      <c r="C1154" s="1" t="s">
        <v>582</v>
      </c>
      <c r="D1154" s="1" t="s">
        <v>583</v>
      </c>
    </row>
    <row r="1155">
      <c r="A1155" s="2" t="s">
        <v>2508</v>
      </c>
      <c r="B1155" s="1">
        <v>200.0</v>
      </c>
      <c r="C1155" s="1" t="s">
        <v>846</v>
      </c>
      <c r="D1155" s="1" t="s">
        <v>609</v>
      </c>
      <c r="E1155" s="1" t="s">
        <v>631</v>
      </c>
    </row>
    <row r="1156">
      <c r="A1156" s="2" t="s">
        <v>2509</v>
      </c>
      <c r="B1156" s="1">
        <v>200.0</v>
      </c>
      <c r="C1156" s="1" t="s">
        <v>582</v>
      </c>
      <c r="D1156" s="1" t="s">
        <v>583</v>
      </c>
    </row>
    <row r="1157">
      <c r="A1157" s="2" t="s">
        <v>2510</v>
      </c>
      <c r="B1157" s="1">
        <v>200.0</v>
      </c>
      <c r="C1157" s="1" t="s">
        <v>846</v>
      </c>
      <c r="D1157" s="1" t="s">
        <v>609</v>
      </c>
      <c r="E1157" s="1" t="s">
        <v>631</v>
      </c>
    </row>
    <row r="1158">
      <c r="A1158" s="2" t="s">
        <v>2511</v>
      </c>
      <c r="B1158" s="1">
        <v>200.0</v>
      </c>
      <c r="C1158" s="1" t="s">
        <v>582</v>
      </c>
      <c r="D1158" s="1" t="s">
        <v>583</v>
      </c>
      <c r="F1158" s="1">
        <v>0.0</v>
      </c>
      <c r="G1158" s="1">
        <v>3.0</v>
      </c>
      <c r="H1158" s="1">
        <v>0.0</v>
      </c>
      <c r="I1158" s="1">
        <v>4.0</v>
      </c>
    </row>
    <row r="1159">
      <c r="A1159" s="2" t="s">
        <v>2512</v>
      </c>
      <c r="B1159" s="1">
        <v>200.0</v>
      </c>
      <c r="C1159" s="1" t="s">
        <v>582</v>
      </c>
      <c r="D1159" s="1" t="s">
        <v>583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0"/>
    <hyperlink r:id="rId649" ref="A651"/>
    <hyperlink r:id="rId650" ref="A652"/>
    <hyperlink r:id="rId651" ref="A653"/>
    <hyperlink r:id="rId652" ref="A654"/>
    <hyperlink r:id="rId653" ref="A655"/>
    <hyperlink r:id="rId654" ref="A656"/>
    <hyperlink r:id="rId655" ref="A657"/>
    <hyperlink r:id="rId656" ref="A658"/>
    <hyperlink r:id="rId657" ref="A659"/>
    <hyperlink r:id="rId658" ref="A660"/>
    <hyperlink r:id="rId659" ref="A661"/>
    <hyperlink r:id="rId660" ref="A662"/>
    <hyperlink r:id="rId661" ref="A663"/>
    <hyperlink r:id="rId662" ref="A664"/>
    <hyperlink r:id="rId663" ref="A665"/>
    <hyperlink r:id="rId664" ref="A666"/>
    <hyperlink r:id="rId665" ref="A667"/>
    <hyperlink r:id="rId666" ref="A668"/>
    <hyperlink r:id="rId667" ref="A669"/>
    <hyperlink r:id="rId668" ref="A670"/>
    <hyperlink r:id="rId669" ref="A671"/>
    <hyperlink r:id="rId670" ref="A672"/>
    <hyperlink r:id="rId671" ref="A673"/>
    <hyperlink r:id="rId672" ref="A674"/>
    <hyperlink r:id="rId673" ref="A675"/>
    <hyperlink r:id="rId674" ref="A676"/>
    <hyperlink r:id="rId675" ref="A677"/>
    <hyperlink r:id="rId676" ref="A678"/>
    <hyperlink r:id="rId677" ref="A679"/>
    <hyperlink r:id="rId678" ref="A680"/>
    <hyperlink r:id="rId679" ref="A681"/>
    <hyperlink r:id="rId680" ref="A682"/>
    <hyperlink r:id="rId681" ref="A683"/>
    <hyperlink r:id="rId682" ref="A684"/>
    <hyperlink r:id="rId683" ref="A685"/>
    <hyperlink r:id="rId684" ref="A686"/>
    <hyperlink r:id="rId685" ref="A687"/>
    <hyperlink r:id="rId686" ref="A688"/>
    <hyperlink r:id="rId687" ref="A689"/>
    <hyperlink r:id="rId688" ref="A690"/>
    <hyperlink r:id="rId689" ref="A691"/>
    <hyperlink r:id="rId690" ref="A692"/>
    <hyperlink r:id="rId691" ref="A693"/>
    <hyperlink r:id="rId692" ref="A694"/>
    <hyperlink r:id="rId693" ref="A695"/>
    <hyperlink r:id="rId694" ref="A696"/>
    <hyperlink r:id="rId695" ref="A697"/>
    <hyperlink r:id="rId696" ref="A698"/>
    <hyperlink r:id="rId697" ref="A699"/>
    <hyperlink r:id="rId698" ref="A700"/>
    <hyperlink r:id="rId699" ref="A701"/>
    <hyperlink r:id="rId700" ref="A702"/>
    <hyperlink r:id="rId701" ref="A703"/>
    <hyperlink r:id="rId702" ref="A704"/>
    <hyperlink r:id="rId703" ref="A705"/>
    <hyperlink r:id="rId704" ref="A706"/>
    <hyperlink r:id="rId705" ref="A707"/>
    <hyperlink r:id="rId706" ref="A708"/>
    <hyperlink r:id="rId707" ref="A709"/>
    <hyperlink r:id="rId708" ref="A710"/>
    <hyperlink r:id="rId709" ref="A711"/>
    <hyperlink r:id="rId710" ref="A712"/>
    <hyperlink r:id="rId711" ref="A713"/>
    <hyperlink r:id="rId712" ref="A714"/>
    <hyperlink r:id="rId713" ref="A715"/>
    <hyperlink r:id="rId714" ref="A716"/>
    <hyperlink r:id="rId715" ref="A717"/>
    <hyperlink r:id="rId716" ref="A718"/>
    <hyperlink r:id="rId717" ref="A719"/>
    <hyperlink r:id="rId718" ref="A720"/>
    <hyperlink r:id="rId719" ref="A721"/>
    <hyperlink r:id="rId720" ref="A722"/>
    <hyperlink r:id="rId721" ref="A723"/>
    <hyperlink r:id="rId722" ref="A724"/>
    <hyperlink r:id="rId723" ref="A725"/>
    <hyperlink r:id="rId724" ref="A726"/>
    <hyperlink r:id="rId725" ref="A727"/>
    <hyperlink r:id="rId726" ref="A728"/>
    <hyperlink r:id="rId727" ref="A729"/>
    <hyperlink r:id="rId728" ref="A730"/>
    <hyperlink r:id="rId729" ref="A731"/>
    <hyperlink r:id="rId730" ref="A732"/>
    <hyperlink r:id="rId731" ref="A733"/>
    <hyperlink r:id="rId732" ref="A734"/>
    <hyperlink r:id="rId733" ref="A735"/>
    <hyperlink r:id="rId734" ref="A736"/>
    <hyperlink r:id="rId735" ref="A737"/>
    <hyperlink r:id="rId736" ref="A738"/>
    <hyperlink r:id="rId737" ref="A739"/>
    <hyperlink r:id="rId738" ref="A740"/>
    <hyperlink r:id="rId739" ref="A741"/>
    <hyperlink r:id="rId740" ref="A742"/>
    <hyperlink r:id="rId741" ref="A743"/>
    <hyperlink r:id="rId742" ref="A744"/>
    <hyperlink r:id="rId743" ref="A745"/>
    <hyperlink r:id="rId744" ref="A746"/>
    <hyperlink r:id="rId745" ref="A747"/>
    <hyperlink r:id="rId746" ref="A748"/>
    <hyperlink r:id="rId747" ref="A749"/>
    <hyperlink r:id="rId748" ref="A750"/>
    <hyperlink r:id="rId749" ref="A751"/>
    <hyperlink r:id="rId750" ref="A752"/>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A865"/>
    <hyperlink r:id="rId864" ref="A866"/>
    <hyperlink r:id="rId865" ref="A867"/>
    <hyperlink r:id="rId866" ref="A868"/>
    <hyperlink r:id="rId867" ref="A869"/>
    <hyperlink r:id="rId868" ref="A870"/>
    <hyperlink r:id="rId869" ref="A871"/>
    <hyperlink r:id="rId870" ref="A872"/>
    <hyperlink r:id="rId871" ref="A873"/>
    <hyperlink r:id="rId872" ref="A874"/>
    <hyperlink r:id="rId873" ref="A875"/>
    <hyperlink r:id="rId874" ref="A876"/>
    <hyperlink r:id="rId875" ref="A877"/>
    <hyperlink r:id="rId876" ref="A878"/>
    <hyperlink r:id="rId877" ref="A879"/>
    <hyperlink r:id="rId878" ref="A880"/>
    <hyperlink r:id="rId879" ref="A881"/>
    <hyperlink r:id="rId880" ref="A882"/>
    <hyperlink r:id="rId881" ref="A883"/>
    <hyperlink r:id="rId882" ref="A884"/>
    <hyperlink r:id="rId883" ref="A885"/>
    <hyperlink r:id="rId884" ref="A886"/>
    <hyperlink r:id="rId885" ref="A887"/>
    <hyperlink r:id="rId886" ref="A888"/>
    <hyperlink r:id="rId887" ref="A889"/>
    <hyperlink r:id="rId888" ref="A890"/>
    <hyperlink r:id="rId889" ref="A891"/>
    <hyperlink r:id="rId890" ref="A892"/>
    <hyperlink r:id="rId891" ref="A893"/>
    <hyperlink r:id="rId892" ref="A894"/>
    <hyperlink r:id="rId893" ref="A895"/>
    <hyperlink r:id="rId894" ref="A896"/>
    <hyperlink r:id="rId895" ref="A897"/>
    <hyperlink r:id="rId896" ref="A898"/>
    <hyperlink r:id="rId897" ref="A899"/>
    <hyperlink r:id="rId898" ref="A900"/>
    <hyperlink r:id="rId899" ref="A901"/>
    <hyperlink r:id="rId900" ref="A902"/>
    <hyperlink r:id="rId901" ref="A903"/>
    <hyperlink r:id="rId902" ref="A904"/>
    <hyperlink r:id="rId903" ref="A905"/>
    <hyperlink r:id="rId904" ref="A906"/>
    <hyperlink r:id="rId905" ref="A907"/>
    <hyperlink r:id="rId906" ref="A908"/>
    <hyperlink r:id="rId907" ref="A909"/>
    <hyperlink r:id="rId908" ref="A910"/>
    <hyperlink r:id="rId909" ref="A911"/>
    <hyperlink r:id="rId910" ref="A912"/>
    <hyperlink r:id="rId911" ref="A913"/>
    <hyperlink r:id="rId912" ref="A914"/>
    <hyperlink r:id="rId913" ref="A915"/>
    <hyperlink r:id="rId914" ref="A916"/>
    <hyperlink r:id="rId915" ref="A917"/>
    <hyperlink r:id="rId916" ref="A918"/>
    <hyperlink r:id="rId917" ref="A919"/>
    <hyperlink r:id="rId918" ref="A920"/>
    <hyperlink r:id="rId919" ref="A921"/>
    <hyperlink r:id="rId920" ref="A922"/>
    <hyperlink r:id="rId921" ref="A923"/>
    <hyperlink r:id="rId922" ref="A924"/>
    <hyperlink r:id="rId923" ref="A925"/>
    <hyperlink r:id="rId924" ref="A926"/>
    <hyperlink r:id="rId925" ref="A927"/>
    <hyperlink r:id="rId926" ref="A928"/>
    <hyperlink r:id="rId927" ref="A929"/>
    <hyperlink r:id="rId928" ref="A930"/>
    <hyperlink r:id="rId929" ref="A931"/>
    <hyperlink r:id="rId930" ref="A932"/>
    <hyperlink r:id="rId931" ref="A933"/>
    <hyperlink r:id="rId932" ref="A934"/>
    <hyperlink r:id="rId933" ref="A935"/>
    <hyperlink r:id="rId934" ref="A936"/>
    <hyperlink r:id="rId935" ref="A937"/>
    <hyperlink r:id="rId936" ref="A938"/>
    <hyperlink r:id="rId937" ref="A939"/>
    <hyperlink r:id="rId938" ref="A940"/>
    <hyperlink r:id="rId939" ref="A941"/>
    <hyperlink r:id="rId940" ref="A942"/>
    <hyperlink r:id="rId941" ref="A943"/>
    <hyperlink r:id="rId942" ref="A944"/>
    <hyperlink r:id="rId943" ref="A945"/>
    <hyperlink r:id="rId944" ref="A946"/>
    <hyperlink r:id="rId945" ref="A947"/>
    <hyperlink r:id="rId946" ref="A948"/>
    <hyperlink r:id="rId947" ref="A949"/>
    <hyperlink r:id="rId948" ref="A950"/>
    <hyperlink r:id="rId949" ref="A951"/>
    <hyperlink r:id="rId950" ref="A952"/>
    <hyperlink r:id="rId951" ref="A953"/>
    <hyperlink r:id="rId952" ref="A954"/>
    <hyperlink r:id="rId953" ref="A955"/>
    <hyperlink r:id="rId954" ref="A956"/>
    <hyperlink r:id="rId955" ref="A957"/>
    <hyperlink r:id="rId956" ref="A958"/>
    <hyperlink r:id="rId957" ref="A959"/>
    <hyperlink r:id="rId958" ref="A960"/>
    <hyperlink r:id="rId959" ref="A961"/>
    <hyperlink r:id="rId960" ref="A962"/>
    <hyperlink r:id="rId961" ref="A963"/>
    <hyperlink r:id="rId962" ref="A964"/>
    <hyperlink r:id="rId963" ref="A965"/>
    <hyperlink r:id="rId964" ref="A966"/>
    <hyperlink r:id="rId965" ref="A967"/>
    <hyperlink r:id="rId966" ref="A968"/>
    <hyperlink r:id="rId967" ref="A969"/>
    <hyperlink r:id="rId968" ref="A970"/>
    <hyperlink r:id="rId969" ref="A971"/>
    <hyperlink r:id="rId970" ref="A972"/>
    <hyperlink r:id="rId971" ref="A973"/>
    <hyperlink r:id="rId972" ref="A974"/>
    <hyperlink r:id="rId973" ref="A975"/>
    <hyperlink r:id="rId974" ref="A976"/>
    <hyperlink r:id="rId975" ref="A977"/>
    <hyperlink r:id="rId976" ref="A978"/>
    <hyperlink r:id="rId977" ref="A979"/>
    <hyperlink r:id="rId978" ref="A980"/>
    <hyperlink r:id="rId979" ref="A981"/>
    <hyperlink r:id="rId980" ref="A982"/>
    <hyperlink r:id="rId981" ref="A983"/>
    <hyperlink r:id="rId982" ref="A984"/>
    <hyperlink r:id="rId983" ref="A985"/>
    <hyperlink r:id="rId984" ref="A986"/>
    <hyperlink r:id="rId985" ref="A987"/>
    <hyperlink r:id="rId986" ref="A988"/>
    <hyperlink r:id="rId987" ref="A989"/>
    <hyperlink r:id="rId988" ref="A990"/>
    <hyperlink r:id="rId989" ref="A991"/>
    <hyperlink r:id="rId990" ref="A992"/>
    <hyperlink r:id="rId991" ref="A993"/>
    <hyperlink r:id="rId992" ref="A994"/>
    <hyperlink r:id="rId993" ref="A995"/>
    <hyperlink r:id="rId994" ref="A996"/>
    <hyperlink r:id="rId995" ref="A997"/>
    <hyperlink r:id="rId996" ref="A998"/>
    <hyperlink r:id="rId997" ref="A999"/>
    <hyperlink r:id="rId998" ref="A1000"/>
    <hyperlink r:id="rId999" ref="A1001"/>
    <hyperlink r:id="rId1000" ref="A1002"/>
    <hyperlink r:id="rId1001" ref="A1003"/>
    <hyperlink r:id="rId1002" ref="A1004"/>
    <hyperlink r:id="rId1003" ref="A1005"/>
    <hyperlink r:id="rId1004" ref="A1006"/>
    <hyperlink r:id="rId1005" ref="A1007"/>
    <hyperlink r:id="rId1006" ref="A1008"/>
    <hyperlink r:id="rId1007" ref="A1009"/>
    <hyperlink r:id="rId1008" ref="A1010"/>
    <hyperlink r:id="rId1009" ref="A1011"/>
    <hyperlink r:id="rId1010" ref="A1012"/>
    <hyperlink r:id="rId1011" ref="A1013"/>
    <hyperlink r:id="rId1012" ref="A1014"/>
    <hyperlink r:id="rId1013" ref="A1015"/>
    <hyperlink r:id="rId1014" ref="A1016"/>
    <hyperlink r:id="rId1015" ref="A1017"/>
    <hyperlink r:id="rId1016" ref="A1018"/>
    <hyperlink r:id="rId1017" ref="A1019"/>
    <hyperlink r:id="rId1018" ref="A1020"/>
    <hyperlink r:id="rId1019" ref="A1021"/>
    <hyperlink r:id="rId1020" ref="A1022"/>
    <hyperlink r:id="rId1021" ref="A1023"/>
    <hyperlink r:id="rId1022" ref="A1024"/>
    <hyperlink r:id="rId1023" ref="A1025"/>
    <hyperlink r:id="rId1024" ref="A1026"/>
    <hyperlink r:id="rId1025" ref="A1027"/>
    <hyperlink r:id="rId1026" ref="A1028"/>
    <hyperlink r:id="rId1027" ref="A1029"/>
    <hyperlink r:id="rId1028" ref="A1030"/>
    <hyperlink r:id="rId1029" ref="A1031"/>
    <hyperlink r:id="rId1030" ref="A1032"/>
    <hyperlink r:id="rId1031" ref="A1033"/>
    <hyperlink r:id="rId1032" ref="A1034"/>
    <hyperlink r:id="rId1033" ref="A1035"/>
    <hyperlink r:id="rId1034" ref="A1036"/>
    <hyperlink r:id="rId1035" ref="A1037"/>
    <hyperlink r:id="rId1036" ref="A1038"/>
    <hyperlink r:id="rId1037" ref="A1039"/>
    <hyperlink r:id="rId1038" ref="A1040"/>
    <hyperlink r:id="rId1039" ref="A1041"/>
    <hyperlink r:id="rId1040" ref="A1042"/>
    <hyperlink r:id="rId1041" ref="A1043"/>
    <hyperlink r:id="rId1042" ref="A1044"/>
    <hyperlink r:id="rId1043" ref="A1045"/>
    <hyperlink r:id="rId1044" ref="A1046"/>
    <hyperlink r:id="rId1045" ref="A1047"/>
    <hyperlink r:id="rId1046" ref="A1048"/>
    <hyperlink r:id="rId1047" ref="A1049"/>
    <hyperlink r:id="rId1048" ref="A1050"/>
    <hyperlink r:id="rId1049" ref="A1051"/>
    <hyperlink r:id="rId1050" ref="A1052"/>
    <hyperlink r:id="rId1051" ref="A1053"/>
    <hyperlink r:id="rId1052" ref="A1054"/>
    <hyperlink r:id="rId1053" ref="A1055"/>
    <hyperlink r:id="rId1054" ref="A1056"/>
    <hyperlink r:id="rId1055" ref="A1057"/>
    <hyperlink r:id="rId1056" ref="A1058"/>
    <hyperlink r:id="rId1057" ref="A1059"/>
    <hyperlink r:id="rId1058" ref="A1060"/>
    <hyperlink r:id="rId1059" ref="A1061"/>
    <hyperlink r:id="rId1060" ref="A1062"/>
    <hyperlink r:id="rId1061" ref="A1063"/>
    <hyperlink r:id="rId1062" ref="A1064"/>
    <hyperlink r:id="rId1063" ref="A1065"/>
    <hyperlink r:id="rId1064" ref="A1066"/>
    <hyperlink r:id="rId1065" ref="A1067"/>
    <hyperlink r:id="rId1066" ref="A1068"/>
    <hyperlink r:id="rId1067" ref="A1069"/>
    <hyperlink r:id="rId1068" ref="A1070"/>
    <hyperlink r:id="rId1069" ref="A1071"/>
    <hyperlink r:id="rId1070" ref="A1072"/>
    <hyperlink r:id="rId1071" ref="A1073"/>
    <hyperlink r:id="rId1072" ref="A1074"/>
    <hyperlink r:id="rId1073" ref="A1075"/>
    <hyperlink r:id="rId1074" ref="A1076"/>
    <hyperlink r:id="rId1075" ref="A1077"/>
    <hyperlink r:id="rId1076" ref="A1078"/>
    <hyperlink r:id="rId1077" ref="A1079"/>
    <hyperlink r:id="rId1078" ref="A1080"/>
    <hyperlink r:id="rId1079" ref="A1081"/>
    <hyperlink r:id="rId1080" ref="A1082"/>
    <hyperlink r:id="rId1081" ref="A1083"/>
    <hyperlink r:id="rId1082" ref="A1084"/>
    <hyperlink r:id="rId1083" ref="A1085"/>
    <hyperlink r:id="rId1084" ref="A1086"/>
    <hyperlink r:id="rId1085" ref="A1087"/>
    <hyperlink r:id="rId1086" ref="A1088"/>
    <hyperlink r:id="rId1087" ref="A1089"/>
    <hyperlink r:id="rId1088" ref="A1090"/>
    <hyperlink r:id="rId1089" ref="A1091"/>
    <hyperlink r:id="rId1090" ref="A1092"/>
    <hyperlink r:id="rId1091" ref="A1093"/>
    <hyperlink r:id="rId1092" ref="A1094"/>
    <hyperlink r:id="rId1093" ref="A1095"/>
    <hyperlink r:id="rId1094" ref="A1096"/>
    <hyperlink r:id="rId1095" ref="A1097"/>
    <hyperlink r:id="rId1096" ref="A1098"/>
    <hyperlink r:id="rId1097" ref="A1099"/>
    <hyperlink r:id="rId1098" ref="A1100"/>
    <hyperlink r:id="rId1099" ref="A1101"/>
    <hyperlink r:id="rId1100" ref="A1102"/>
    <hyperlink r:id="rId1101" ref="A1103"/>
    <hyperlink r:id="rId1102" ref="A1104"/>
    <hyperlink r:id="rId1103" ref="A1105"/>
    <hyperlink r:id="rId1104" ref="A1106"/>
    <hyperlink r:id="rId1105" ref="A1107"/>
    <hyperlink r:id="rId1106" ref="A1108"/>
    <hyperlink r:id="rId1107" ref="A1109"/>
    <hyperlink r:id="rId1108" ref="A1110"/>
    <hyperlink r:id="rId1109" ref="A1111"/>
    <hyperlink r:id="rId1110" ref="A1112"/>
    <hyperlink r:id="rId1111" ref="A1113"/>
    <hyperlink r:id="rId1112" ref="A1114"/>
    <hyperlink r:id="rId1113" ref="A1115"/>
    <hyperlink r:id="rId1114" ref="A1116"/>
    <hyperlink r:id="rId1115" ref="A1117"/>
    <hyperlink r:id="rId1116" ref="A1118"/>
    <hyperlink r:id="rId1117" ref="A1119"/>
    <hyperlink r:id="rId1118" ref="A1120"/>
    <hyperlink r:id="rId1119" ref="A1121"/>
    <hyperlink r:id="rId1120" ref="A1122"/>
    <hyperlink r:id="rId1121" ref="A1123"/>
    <hyperlink r:id="rId1122" ref="A1124"/>
    <hyperlink r:id="rId1123" ref="A1125"/>
    <hyperlink r:id="rId1124" ref="A1126"/>
    <hyperlink r:id="rId1125" ref="A1127"/>
    <hyperlink r:id="rId1126" ref="A1128"/>
    <hyperlink r:id="rId1127" ref="A1129"/>
    <hyperlink r:id="rId1128" ref="A1130"/>
    <hyperlink r:id="rId1129" ref="A1131"/>
    <hyperlink r:id="rId1130" ref="A1132"/>
    <hyperlink r:id="rId1131" ref="A1133"/>
    <hyperlink r:id="rId1132" ref="A1134"/>
    <hyperlink r:id="rId1133" ref="A1135"/>
    <hyperlink r:id="rId1134" ref="A1136"/>
    <hyperlink r:id="rId1135" ref="A1137"/>
    <hyperlink r:id="rId1136" ref="A1138"/>
    <hyperlink r:id="rId1137" ref="A1139"/>
    <hyperlink r:id="rId1138" ref="A1140"/>
    <hyperlink r:id="rId1139" ref="A1141"/>
    <hyperlink r:id="rId1140" ref="A1142"/>
    <hyperlink r:id="rId1141" ref="A1143"/>
    <hyperlink r:id="rId1142" ref="A1144"/>
    <hyperlink r:id="rId1143" ref="A1145"/>
    <hyperlink r:id="rId1144" ref="A1146"/>
    <hyperlink r:id="rId1145" ref="A1147"/>
    <hyperlink r:id="rId1146" ref="A1148"/>
    <hyperlink r:id="rId1147" ref="A1149"/>
    <hyperlink r:id="rId1148" ref="A1150"/>
    <hyperlink r:id="rId1149" ref="A1151"/>
    <hyperlink r:id="rId1150" ref="A1152"/>
    <hyperlink r:id="rId1151" ref="A1153"/>
    <hyperlink r:id="rId1152" ref="A1154"/>
    <hyperlink r:id="rId1153" ref="A1155"/>
    <hyperlink r:id="rId1154" ref="A1156"/>
    <hyperlink r:id="rId1155" ref="A1157"/>
    <hyperlink r:id="rId1156" ref="A1158"/>
    <hyperlink r:id="rId1157" ref="A1159"/>
  </hyperlinks>
  <drawing r:id="rId115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5"/>
  </cols>
  <sheetData>
    <row r="1">
      <c r="A1" s="1" t="s">
        <v>2926</v>
      </c>
      <c r="B1" s="1" t="s">
        <v>577</v>
      </c>
      <c r="C1" s="1" t="s">
        <v>578</v>
      </c>
      <c r="D1" s="1" t="s">
        <v>579</v>
      </c>
      <c r="E1" s="1" t="s">
        <v>580</v>
      </c>
    </row>
    <row r="2">
      <c r="A2" s="2" t="s">
        <v>1052</v>
      </c>
      <c r="B2" s="1">
        <v>884.0</v>
      </c>
      <c r="C2" s="1">
        <v>35502.0</v>
      </c>
      <c r="D2" s="16">
        <v>0.0249</v>
      </c>
      <c r="E2" s="1">
        <v>17.34</v>
      </c>
    </row>
    <row r="3">
      <c r="A3" s="2" t="s">
        <v>694</v>
      </c>
      <c r="B3" s="1">
        <v>703.0</v>
      </c>
      <c r="C3" s="1">
        <v>60150.0</v>
      </c>
      <c r="D3" s="16">
        <v>0.0117</v>
      </c>
      <c r="E3" s="1">
        <v>16.34</v>
      </c>
    </row>
    <row r="4">
      <c r="A4" s="2" t="s">
        <v>581</v>
      </c>
      <c r="B4" s="1">
        <v>240.0</v>
      </c>
      <c r="C4" s="1">
        <v>34304.0</v>
      </c>
      <c r="D4" s="16">
        <v>0.007</v>
      </c>
      <c r="E4" s="1">
        <v>33.63</v>
      </c>
    </row>
    <row r="5">
      <c r="A5" s="2" t="s">
        <v>1868</v>
      </c>
      <c r="B5" s="1">
        <v>240.0</v>
      </c>
      <c r="C5" s="1">
        <v>19912.0</v>
      </c>
      <c r="D5" s="16">
        <v>0.0121</v>
      </c>
      <c r="E5" s="1">
        <v>14.7</v>
      </c>
    </row>
    <row r="6">
      <c r="A6" s="2" t="s">
        <v>1286</v>
      </c>
      <c r="B6" s="1">
        <v>208.0</v>
      </c>
      <c r="C6" s="1">
        <v>11613.0</v>
      </c>
      <c r="D6" s="16">
        <v>0.0179</v>
      </c>
      <c r="E6" s="1">
        <v>9.85</v>
      </c>
    </row>
    <row r="7">
      <c r="A7" s="2" t="s">
        <v>1685</v>
      </c>
      <c r="B7" s="1">
        <v>200.0</v>
      </c>
      <c r="C7" s="1">
        <v>6224.0</v>
      </c>
      <c r="D7" s="16">
        <v>0.0321</v>
      </c>
      <c r="E7" s="1">
        <v>10.28</v>
      </c>
    </row>
    <row r="8">
      <c r="A8" s="2" t="s">
        <v>1536</v>
      </c>
      <c r="B8" s="1">
        <v>149.0</v>
      </c>
      <c r="C8" s="1">
        <v>6710.0</v>
      </c>
      <c r="D8" s="16">
        <v>0.0222</v>
      </c>
      <c r="E8" s="1">
        <v>24.02</v>
      </c>
    </row>
    <row r="9">
      <c r="A9" s="2" t="s">
        <v>2927</v>
      </c>
      <c r="B9" s="1">
        <v>137.0</v>
      </c>
      <c r="C9" s="1">
        <v>12645.0</v>
      </c>
      <c r="D9" s="16">
        <v>0.0108</v>
      </c>
      <c r="E9" s="1">
        <v>6.6</v>
      </c>
    </row>
    <row r="10">
      <c r="A10" s="2" t="s">
        <v>1099</v>
      </c>
      <c r="B10" s="1">
        <v>130.0</v>
      </c>
      <c r="C10" s="1">
        <v>9497.0</v>
      </c>
      <c r="D10" s="16">
        <v>0.0137</v>
      </c>
      <c r="E10" s="1">
        <v>31.23</v>
      </c>
    </row>
    <row r="11">
      <c r="A11" s="2" t="s">
        <v>979</v>
      </c>
      <c r="B11" s="1">
        <v>114.0</v>
      </c>
      <c r="C11" s="1">
        <v>5771.0</v>
      </c>
      <c r="D11" s="16">
        <v>0.0198</v>
      </c>
      <c r="E11" s="1">
        <v>17.88</v>
      </c>
    </row>
    <row r="12">
      <c r="A12" s="2" t="s">
        <v>1951</v>
      </c>
      <c r="B12" s="1">
        <v>112.0</v>
      </c>
      <c r="C12" s="1">
        <v>4007.0</v>
      </c>
      <c r="D12" s="16">
        <v>0.028</v>
      </c>
      <c r="E12" s="1">
        <v>33.38</v>
      </c>
    </row>
    <row r="13">
      <c r="A13" s="2" t="s">
        <v>2928</v>
      </c>
      <c r="B13" s="1">
        <v>89.0</v>
      </c>
      <c r="C13" s="1">
        <v>4336.0</v>
      </c>
      <c r="D13" s="16">
        <v>0.0205</v>
      </c>
      <c r="E13" s="1">
        <v>7.29</v>
      </c>
    </row>
    <row r="14">
      <c r="A14" s="2" t="s">
        <v>1295</v>
      </c>
      <c r="B14" s="1">
        <v>86.0</v>
      </c>
      <c r="C14" s="1">
        <v>10916.0</v>
      </c>
      <c r="D14" s="16">
        <v>0.0079</v>
      </c>
      <c r="E14" s="1">
        <v>16.24</v>
      </c>
    </row>
    <row r="15">
      <c r="A15" s="2" t="s">
        <v>2253</v>
      </c>
      <c r="B15" s="1">
        <v>76.0</v>
      </c>
      <c r="C15" s="1">
        <v>18985.0</v>
      </c>
      <c r="D15" s="16">
        <v>0.004</v>
      </c>
      <c r="E15" s="1">
        <v>29.64</v>
      </c>
    </row>
    <row r="16">
      <c r="A16" s="2" t="s">
        <v>1008</v>
      </c>
      <c r="B16" s="1">
        <v>58.0</v>
      </c>
      <c r="C16" s="1">
        <v>1460.0</v>
      </c>
      <c r="D16" s="16">
        <v>0.0397</v>
      </c>
      <c r="E16" s="1">
        <v>26.21</v>
      </c>
    </row>
    <row r="17">
      <c r="A17" s="2" t="s">
        <v>948</v>
      </c>
      <c r="B17" s="1">
        <v>57.0</v>
      </c>
      <c r="C17" s="1">
        <v>3195.0</v>
      </c>
      <c r="D17" s="16">
        <v>0.0178</v>
      </c>
      <c r="E17" s="1">
        <v>31.73</v>
      </c>
    </row>
    <row r="18">
      <c r="A18" s="2" t="s">
        <v>439</v>
      </c>
      <c r="B18" s="1">
        <v>54.0</v>
      </c>
      <c r="C18" s="1">
        <v>15958.0</v>
      </c>
      <c r="D18" s="16">
        <v>0.0034</v>
      </c>
      <c r="E18" s="1">
        <v>22.53</v>
      </c>
    </row>
    <row r="19">
      <c r="A19" s="2" t="s">
        <v>876</v>
      </c>
      <c r="B19" s="1">
        <v>48.0</v>
      </c>
      <c r="C19" s="1">
        <v>11017.0</v>
      </c>
      <c r="D19" s="16">
        <v>0.0044</v>
      </c>
      <c r="E19" s="1">
        <v>8.71</v>
      </c>
    </row>
    <row r="20">
      <c r="A20" s="2" t="s">
        <v>854</v>
      </c>
      <c r="B20" s="1">
        <v>47.0</v>
      </c>
      <c r="C20" s="1">
        <v>14366.0</v>
      </c>
      <c r="D20" s="16">
        <v>0.0033</v>
      </c>
      <c r="E20" s="1">
        <v>22.85</v>
      </c>
    </row>
    <row r="21">
      <c r="A21" s="2" t="s">
        <v>1103</v>
      </c>
      <c r="B21" s="1">
        <v>46.0</v>
      </c>
      <c r="C21" s="1">
        <v>5409.0</v>
      </c>
      <c r="D21" s="16">
        <v>0.0085</v>
      </c>
      <c r="E21" s="1">
        <v>45.65</v>
      </c>
    </row>
    <row r="22">
      <c r="A22" s="2" t="s">
        <v>1012</v>
      </c>
      <c r="B22" s="1">
        <v>43.0</v>
      </c>
      <c r="C22" s="1">
        <v>268.0</v>
      </c>
      <c r="D22" s="16">
        <v>0.1604</v>
      </c>
      <c r="E22" s="1">
        <v>10.42</v>
      </c>
    </row>
    <row r="23">
      <c r="A23" s="2" t="s">
        <v>1109</v>
      </c>
      <c r="B23" s="1">
        <v>40.0</v>
      </c>
      <c r="C23" s="1">
        <v>2527.0</v>
      </c>
      <c r="D23" s="16">
        <v>0.0158</v>
      </c>
      <c r="E23" s="1">
        <v>32.25</v>
      </c>
    </row>
    <row r="24">
      <c r="A24" s="2" t="s">
        <v>1014</v>
      </c>
      <c r="B24" s="1">
        <v>39.0</v>
      </c>
      <c r="C24" s="1">
        <v>356.0</v>
      </c>
      <c r="D24" s="16">
        <v>0.1096</v>
      </c>
      <c r="E24" s="1">
        <v>12.96</v>
      </c>
    </row>
    <row r="25">
      <c r="A25" s="2" t="s">
        <v>638</v>
      </c>
      <c r="B25" s="1">
        <v>38.0</v>
      </c>
      <c r="C25" s="1">
        <v>11765.0</v>
      </c>
      <c r="D25" s="16">
        <v>0.0032</v>
      </c>
      <c r="E25" s="1">
        <v>52.19</v>
      </c>
    </row>
    <row r="26">
      <c r="A26" s="2" t="s">
        <v>754</v>
      </c>
      <c r="B26" s="1">
        <v>35.0</v>
      </c>
      <c r="C26" s="1">
        <v>57885.0</v>
      </c>
      <c r="D26" s="16">
        <v>6.0E-4</v>
      </c>
      <c r="E26" s="1">
        <v>39.0</v>
      </c>
    </row>
    <row r="27">
      <c r="A27" s="2" t="s">
        <v>1129</v>
      </c>
      <c r="B27" s="1">
        <v>35.0</v>
      </c>
      <c r="C27" s="1">
        <v>27135.0</v>
      </c>
      <c r="D27" s="16">
        <v>0.0013</v>
      </c>
      <c r="E27" s="1">
        <v>50.37</v>
      </c>
    </row>
    <row r="28">
      <c r="A28" s="2" t="s">
        <v>1350</v>
      </c>
      <c r="B28" s="1">
        <v>35.0</v>
      </c>
      <c r="C28" s="1">
        <v>1776.0</v>
      </c>
      <c r="D28" s="16">
        <v>0.0197</v>
      </c>
      <c r="E28" s="1">
        <v>41.3</v>
      </c>
    </row>
    <row r="29">
      <c r="A29" s="2" t="s">
        <v>2273</v>
      </c>
      <c r="B29" s="1">
        <v>35.0</v>
      </c>
      <c r="C29" s="1">
        <v>1601.0</v>
      </c>
      <c r="D29" s="16">
        <v>0.0219</v>
      </c>
      <c r="E29" s="1">
        <v>11.1</v>
      </c>
    </row>
    <row r="30">
      <c r="A30" s="2" t="s">
        <v>746</v>
      </c>
      <c r="B30" s="1">
        <v>31.0</v>
      </c>
      <c r="C30" s="1">
        <v>1594.0</v>
      </c>
      <c r="D30" s="16">
        <v>0.0194</v>
      </c>
      <c r="E30" s="1">
        <v>40.69</v>
      </c>
    </row>
    <row r="31">
      <c r="A31" s="2" t="s">
        <v>1010</v>
      </c>
      <c r="B31" s="1">
        <v>31.0</v>
      </c>
      <c r="C31" s="1">
        <v>628.0</v>
      </c>
      <c r="D31" s="16">
        <v>0.0494</v>
      </c>
      <c r="E31" s="1">
        <v>14.02</v>
      </c>
    </row>
    <row r="32">
      <c r="A32" s="2" t="s">
        <v>2929</v>
      </c>
      <c r="B32" s="1">
        <v>30.0</v>
      </c>
      <c r="C32" s="1">
        <v>761.0</v>
      </c>
      <c r="D32" s="16">
        <v>0.0394</v>
      </c>
      <c r="E32" s="1">
        <v>12.87</v>
      </c>
    </row>
    <row r="33">
      <c r="A33" s="2" t="s">
        <v>447</v>
      </c>
      <c r="B33" s="1">
        <v>29.0</v>
      </c>
      <c r="C33" s="1">
        <v>16016.0</v>
      </c>
      <c r="D33" s="16">
        <v>0.0018</v>
      </c>
      <c r="E33" s="1">
        <v>38.69</v>
      </c>
    </row>
    <row r="34">
      <c r="A34" s="2" t="s">
        <v>1546</v>
      </c>
      <c r="B34" s="1">
        <v>29.0</v>
      </c>
      <c r="C34" s="1">
        <v>1665.0</v>
      </c>
      <c r="D34" s="16">
        <v>0.0174</v>
      </c>
      <c r="E34" s="1">
        <v>13.54</v>
      </c>
    </row>
    <row r="35">
      <c r="A35" s="2" t="s">
        <v>2189</v>
      </c>
      <c r="B35" s="1">
        <v>25.0</v>
      </c>
      <c r="C35" s="1">
        <v>1114.0</v>
      </c>
      <c r="D35" s="16">
        <v>0.0224</v>
      </c>
      <c r="E35" s="1">
        <v>30.31</v>
      </c>
    </row>
    <row r="36">
      <c r="A36" s="2" t="s">
        <v>770</v>
      </c>
      <c r="B36" s="1">
        <v>24.0</v>
      </c>
      <c r="C36" s="1">
        <v>2612.0</v>
      </c>
      <c r="D36" s="16">
        <v>0.0092</v>
      </c>
      <c r="E36" s="1">
        <v>29.84</v>
      </c>
    </row>
    <row r="37">
      <c r="A37" s="2" t="s">
        <v>2930</v>
      </c>
      <c r="B37" s="1">
        <v>23.0</v>
      </c>
      <c r="C37" s="1">
        <v>872.0</v>
      </c>
      <c r="D37" s="16">
        <v>0.0264</v>
      </c>
      <c r="E37" s="1">
        <v>8.25</v>
      </c>
    </row>
    <row r="38">
      <c r="A38" s="2" t="s">
        <v>798</v>
      </c>
      <c r="B38" s="1">
        <v>21.0</v>
      </c>
      <c r="C38" s="1">
        <v>3476.0</v>
      </c>
      <c r="D38" s="16">
        <v>0.006</v>
      </c>
      <c r="E38" s="1">
        <v>25.22</v>
      </c>
    </row>
    <row r="39">
      <c r="A39" s="2" t="s">
        <v>1543</v>
      </c>
      <c r="B39" s="1">
        <v>20.0</v>
      </c>
      <c r="C39" s="1">
        <v>3262.0</v>
      </c>
      <c r="D39" s="16">
        <v>0.0061</v>
      </c>
      <c r="E39" s="1">
        <v>32.94</v>
      </c>
    </row>
    <row r="40">
      <c r="A40" s="2" t="s">
        <v>848</v>
      </c>
      <c r="B40" s="1">
        <v>20.0</v>
      </c>
      <c r="C40" s="1">
        <v>1827.0</v>
      </c>
      <c r="D40" s="16">
        <v>0.0109</v>
      </c>
      <c r="E40" s="1">
        <v>31.43</v>
      </c>
    </row>
    <row r="41">
      <c r="A41" s="2" t="s">
        <v>1568</v>
      </c>
      <c r="B41" s="1">
        <v>20.0</v>
      </c>
      <c r="C41" s="1">
        <v>289.0</v>
      </c>
      <c r="D41" s="16">
        <v>0.0692</v>
      </c>
      <c r="E41" s="1">
        <v>11.09</v>
      </c>
    </row>
    <row r="42">
      <c r="A42" s="2" t="s">
        <v>2931</v>
      </c>
      <c r="B42" s="1">
        <v>18.0</v>
      </c>
      <c r="C42" s="1">
        <v>5455.0</v>
      </c>
      <c r="D42" s="16">
        <v>0.0033</v>
      </c>
      <c r="E42" s="1">
        <v>26.23</v>
      </c>
    </row>
    <row r="43">
      <c r="A43" s="2" t="s">
        <v>687</v>
      </c>
      <c r="B43" s="1">
        <v>18.0</v>
      </c>
      <c r="C43" s="1">
        <v>5192.0</v>
      </c>
      <c r="D43" s="16">
        <v>0.0035</v>
      </c>
      <c r="E43" s="1">
        <v>15.62</v>
      </c>
    </row>
    <row r="44">
      <c r="A44" s="2" t="s">
        <v>681</v>
      </c>
      <c r="B44" s="1">
        <v>18.0</v>
      </c>
      <c r="C44" s="1">
        <v>4802.0</v>
      </c>
      <c r="D44" s="16">
        <v>0.0037</v>
      </c>
      <c r="E44" s="1">
        <v>41.39</v>
      </c>
    </row>
    <row r="45">
      <c r="A45" s="2" t="s">
        <v>2302</v>
      </c>
      <c r="B45" s="1">
        <v>18.0</v>
      </c>
      <c r="C45" s="1">
        <v>2321.0</v>
      </c>
      <c r="D45" s="16">
        <v>0.0078</v>
      </c>
      <c r="E45" s="1">
        <v>22.5</v>
      </c>
    </row>
    <row r="46">
      <c r="A46" s="2" t="s">
        <v>2932</v>
      </c>
      <c r="B46" s="1">
        <v>17.0</v>
      </c>
      <c r="C46" s="1">
        <v>1661.0</v>
      </c>
      <c r="D46" s="16">
        <v>0.0102</v>
      </c>
      <c r="E46" s="1">
        <v>10.24</v>
      </c>
    </row>
    <row r="47">
      <c r="A47" s="2" t="s">
        <v>2358</v>
      </c>
      <c r="B47" s="1">
        <v>17.0</v>
      </c>
      <c r="C47" s="1">
        <v>292.0</v>
      </c>
      <c r="D47" s="16">
        <v>0.0582</v>
      </c>
      <c r="E47" s="1">
        <v>16.48</v>
      </c>
    </row>
    <row r="48">
      <c r="A48" s="2" t="s">
        <v>1860</v>
      </c>
      <c r="B48" s="1">
        <v>16.0</v>
      </c>
      <c r="C48" s="1">
        <v>1710.0</v>
      </c>
      <c r="D48" s="16">
        <v>0.0094</v>
      </c>
      <c r="E48" s="1">
        <v>46.94</v>
      </c>
    </row>
    <row r="49">
      <c r="A49" s="2" t="s">
        <v>1748</v>
      </c>
      <c r="B49" s="1">
        <v>15.0</v>
      </c>
      <c r="C49" s="1">
        <v>807.0</v>
      </c>
      <c r="D49" s="16">
        <v>0.0186</v>
      </c>
      <c r="E49" s="1">
        <v>21.5</v>
      </c>
    </row>
    <row r="50">
      <c r="A50" s="2" t="s">
        <v>636</v>
      </c>
      <c r="B50" s="1">
        <v>14.0</v>
      </c>
      <c r="C50" s="1">
        <v>10616.0</v>
      </c>
      <c r="D50" s="16">
        <v>0.0013</v>
      </c>
      <c r="E50" s="1">
        <v>11.36</v>
      </c>
    </row>
    <row r="51">
      <c r="A51" s="2" t="s">
        <v>1331</v>
      </c>
      <c r="B51" s="1">
        <v>14.0</v>
      </c>
      <c r="C51" s="1">
        <v>1303.0</v>
      </c>
      <c r="D51" s="16">
        <v>0.0107</v>
      </c>
      <c r="E51" s="1">
        <v>33.28</v>
      </c>
    </row>
    <row r="52">
      <c r="A52" s="2" t="s">
        <v>2085</v>
      </c>
      <c r="B52" s="1">
        <v>13.0</v>
      </c>
      <c r="C52" s="1">
        <v>608.0</v>
      </c>
      <c r="D52" s="16">
        <v>0.0214</v>
      </c>
      <c r="E52" s="1">
        <v>14.12</v>
      </c>
    </row>
    <row r="53">
      <c r="A53" s="2" t="s">
        <v>2933</v>
      </c>
      <c r="B53" s="1">
        <v>13.0</v>
      </c>
      <c r="C53" s="1">
        <v>541.0</v>
      </c>
      <c r="D53" s="16">
        <v>0.024</v>
      </c>
      <c r="E53" s="1">
        <v>12.33</v>
      </c>
    </row>
    <row r="54">
      <c r="A54" s="2" t="s">
        <v>740</v>
      </c>
      <c r="B54" s="1">
        <v>12.0</v>
      </c>
      <c r="C54" s="1">
        <v>3272.0</v>
      </c>
      <c r="D54" s="16">
        <v>0.0037</v>
      </c>
      <c r="E54" s="1">
        <v>49.59</v>
      </c>
    </row>
    <row r="55">
      <c r="A55" s="2" t="s">
        <v>1967</v>
      </c>
      <c r="B55" s="1">
        <v>12.0</v>
      </c>
      <c r="C55" s="1">
        <v>487.0</v>
      </c>
      <c r="D55" s="16">
        <v>0.0246</v>
      </c>
      <c r="E55" s="1">
        <v>19.0</v>
      </c>
    </row>
    <row r="56">
      <c r="A56" s="2" t="s">
        <v>2934</v>
      </c>
      <c r="B56" s="1">
        <v>12.0</v>
      </c>
      <c r="C56" s="1">
        <v>441.0</v>
      </c>
      <c r="D56" s="16">
        <v>0.0272</v>
      </c>
      <c r="E56" s="1">
        <v>27.51</v>
      </c>
    </row>
    <row r="57">
      <c r="A57" s="2" t="s">
        <v>2935</v>
      </c>
      <c r="B57" s="1">
        <v>12.0</v>
      </c>
      <c r="C57" s="1">
        <v>181.0</v>
      </c>
      <c r="D57" s="16">
        <v>0.0663</v>
      </c>
      <c r="E57" s="1">
        <v>12.27</v>
      </c>
    </row>
    <row r="58">
      <c r="A58" s="2" t="s">
        <v>750</v>
      </c>
      <c r="B58" s="1">
        <v>11.0</v>
      </c>
      <c r="C58" s="1">
        <v>10480.0</v>
      </c>
      <c r="D58" s="16">
        <v>0.001</v>
      </c>
      <c r="E58" s="1">
        <v>51.92</v>
      </c>
    </row>
    <row r="59">
      <c r="A59" s="2" t="s">
        <v>1619</v>
      </c>
      <c r="B59" s="1">
        <v>11.0</v>
      </c>
      <c r="C59" s="1">
        <v>2090.0</v>
      </c>
      <c r="D59" s="16">
        <v>0.0053</v>
      </c>
      <c r="E59" s="1">
        <v>35.44</v>
      </c>
    </row>
    <row r="60">
      <c r="A60" s="2" t="s">
        <v>1275</v>
      </c>
      <c r="B60" s="1">
        <v>11.0</v>
      </c>
      <c r="C60" s="1">
        <v>1053.0</v>
      </c>
      <c r="D60" s="16">
        <v>0.0104</v>
      </c>
      <c r="E60" s="1">
        <v>31.26</v>
      </c>
    </row>
    <row r="61">
      <c r="A61" s="2" t="s">
        <v>1821</v>
      </c>
      <c r="B61" s="1">
        <v>11.0</v>
      </c>
      <c r="C61" s="1">
        <v>170.0</v>
      </c>
      <c r="D61" s="16">
        <v>0.0647</v>
      </c>
      <c r="E61" s="1">
        <v>17.29</v>
      </c>
    </row>
    <row r="62">
      <c r="A62" s="2" t="s">
        <v>2416</v>
      </c>
      <c r="B62" s="1">
        <v>10.0</v>
      </c>
      <c r="C62" s="1">
        <v>6855.0</v>
      </c>
      <c r="D62" s="16">
        <v>0.0015</v>
      </c>
      <c r="E62" s="1">
        <v>35.78</v>
      </c>
    </row>
    <row r="63">
      <c r="A63" s="2" t="s">
        <v>1481</v>
      </c>
      <c r="B63" s="1">
        <v>10.0</v>
      </c>
      <c r="C63" s="1">
        <v>2699.0</v>
      </c>
      <c r="D63" s="16">
        <v>0.0037</v>
      </c>
      <c r="E63" s="1">
        <v>57.56</v>
      </c>
    </row>
    <row r="64">
      <c r="A64" s="2" t="s">
        <v>1488</v>
      </c>
      <c r="B64" s="1">
        <v>10.0</v>
      </c>
      <c r="C64" s="1">
        <v>154.0</v>
      </c>
      <c r="D64" s="16">
        <v>0.0649</v>
      </c>
      <c r="E64" s="1">
        <v>8.06</v>
      </c>
    </row>
    <row r="65">
      <c r="A65" s="2" t="s">
        <v>2134</v>
      </c>
      <c r="B65" s="1">
        <v>9.0</v>
      </c>
      <c r="C65" s="1">
        <v>7151.0</v>
      </c>
      <c r="D65" s="16">
        <v>0.0013</v>
      </c>
      <c r="E65" s="1">
        <v>61.92</v>
      </c>
    </row>
    <row r="66">
      <c r="A66" s="2" t="s">
        <v>835</v>
      </c>
      <c r="B66" s="1">
        <v>9.0</v>
      </c>
      <c r="C66" s="1">
        <v>3919.0</v>
      </c>
      <c r="D66" s="16">
        <v>0.0023</v>
      </c>
      <c r="E66" s="1">
        <v>33.35</v>
      </c>
    </row>
    <row r="67">
      <c r="A67" s="2" t="s">
        <v>1475</v>
      </c>
      <c r="B67" s="1">
        <v>9.0</v>
      </c>
      <c r="C67" s="1">
        <v>2466.0</v>
      </c>
      <c r="D67" s="16">
        <v>0.0036</v>
      </c>
      <c r="E67" s="1">
        <v>44.2</v>
      </c>
    </row>
    <row r="68">
      <c r="A68" s="2" t="s">
        <v>1941</v>
      </c>
      <c r="B68" s="1">
        <v>9.0</v>
      </c>
      <c r="C68" s="1">
        <v>2313.0</v>
      </c>
      <c r="D68" s="16">
        <v>0.0039</v>
      </c>
      <c r="E68" s="1">
        <v>44.93</v>
      </c>
    </row>
    <row r="69">
      <c r="A69" s="2" t="s">
        <v>1425</v>
      </c>
      <c r="B69" s="1">
        <v>9.0</v>
      </c>
      <c r="C69" s="1">
        <v>875.0</v>
      </c>
      <c r="D69" s="16">
        <v>0.0103</v>
      </c>
      <c r="E69" s="1">
        <v>39.55</v>
      </c>
    </row>
    <row r="70">
      <c r="A70" s="2" t="s">
        <v>2936</v>
      </c>
      <c r="B70" s="1">
        <v>9.0</v>
      </c>
      <c r="C70" s="1">
        <v>522.0</v>
      </c>
      <c r="D70" s="16">
        <v>0.0172</v>
      </c>
      <c r="E70" s="1">
        <v>23.39</v>
      </c>
    </row>
    <row r="71">
      <c r="A71" s="2" t="s">
        <v>645</v>
      </c>
      <c r="B71" s="1">
        <v>9.0</v>
      </c>
      <c r="C71" s="1">
        <v>328.0</v>
      </c>
      <c r="D71" s="16">
        <v>0.0274</v>
      </c>
      <c r="E71" s="1">
        <v>7.36</v>
      </c>
    </row>
    <row r="72">
      <c r="A72" s="2" t="s">
        <v>2016</v>
      </c>
      <c r="B72" s="1">
        <v>9.0</v>
      </c>
      <c r="C72" s="1">
        <v>124.0</v>
      </c>
      <c r="D72" s="16">
        <v>0.0726</v>
      </c>
      <c r="E72" s="1">
        <v>18.14</v>
      </c>
    </row>
    <row r="73">
      <c r="A73" s="2" t="s">
        <v>475</v>
      </c>
      <c r="B73" s="1">
        <v>8.0</v>
      </c>
      <c r="C73" s="1">
        <v>3452.0</v>
      </c>
      <c r="D73" s="16">
        <v>0.0023</v>
      </c>
      <c r="E73" s="1">
        <v>24.21</v>
      </c>
    </row>
    <row r="74">
      <c r="A74" s="2" t="s">
        <v>1288</v>
      </c>
      <c r="B74" s="1">
        <v>8.0</v>
      </c>
      <c r="C74" s="1">
        <v>1998.0</v>
      </c>
      <c r="D74" s="16">
        <v>0.004</v>
      </c>
      <c r="E74" s="1">
        <v>35.94</v>
      </c>
    </row>
    <row r="75">
      <c r="A75" s="2" t="s">
        <v>839</v>
      </c>
      <c r="B75" s="1">
        <v>8.0</v>
      </c>
      <c r="C75" s="1">
        <v>1194.0</v>
      </c>
      <c r="D75" s="16">
        <v>0.0067</v>
      </c>
      <c r="E75" s="1">
        <v>44.58</v>
      </c>
    </row>
    <row r="76">
      <c r="A76" s="2" t="s">
        <v>850</v>
      </c>
      <c r="B76" s="1">
        <v>8.0</v>
      </c>
      <c r="C76" s="1">
        <v>1013.0</v>
      </c>
      <c r="D76" s="16">
        <v>0.0079</v>
      </c>
      <c r="E76" s="1">
        <v>46.82</v>
      </c>
    </row>
    <row r="77">
      <c r="A77" s="2" t="s">
        <v>924</v>
      </c>
      <c r="B77" s="1">
        <v>7.0</v>
      </c>
      <c r="C77" s="1">
        <v>8909.0</v>
      </c>
      <c r="D77" s="16">
        <v>8.0E-4</v>
      </c>
      <c r="E77" s="1">
        <v>34.1</v>
      </c>
    </row>
    <row r="78">
      <c r="A78" s="2" t="s">
        <v>1307</v>
      </c>
      <c r="B78" s="1">
        <v>7.0</v>
      </c>
      <c r="C78" s="1">
        <v>7713.0</v>
      </c>
      <c r="D78" s="16">
        <v>9.0E-4</v>
      </c>
      <c r="E78" s="1">
        <v>49.35</v>
      </c>
    </row>
    <row r="79">
      <c r="A79" s="2" t="s">
        <v>606</v>
      </c>
      <c r="B79" s="1">
        <v>7.0</v>
      </c>
      <c r="C79" s="1">
        <v>5217.0</v>
      </c>
      <c r="D79" s="16">
        <v>0.0013</v>
      </c>
      <c r="E79" s="1">
        <v>46.23</v>
      </c>
    </row>
    <row r="80">
      <c r="A80" s="2" t="s">
        <v>1327</v>
      </c>
      <c r="B80" s="1">
        <v>7.0</v>
      </c>
      <c r="C80" s="1">
        <v>2983.0</v>
      </c>
      <c r="D80" s="16">
        <v>0.0023</v>
      </c>
      <c r="E80" s="1">
        <v>38.13</v>
      </c>
    </row>
    <row r="81">
      <c r="A81" s="2" t="s">
        <v>2937</v>
      </c>
      <c r="B81" s="1">
        <v>7.0</v>
      </c>
      <c r="C81" s="1">
        <v>2442.0</v>
      </c>
      <c r="D81" s="16">
        <v>0.0029</v>
      </c>
      <c r="E81" s="1">
        <v>27.31</v>
      </c>
    </row>
    <row r="82">
      <c r="A82" s="2" t="s">
        <v>766</v>
      </c>
      <c r="B82" s="1">
        <v>7.0</v>
      </c>
      <c r="C82" s="1">
        <v>2434.0</v>
      </c>
      <c r="D82" s="16">
        <v>0.0029</v>
      </c>
      <c r="E82" s="1">
        <v>50.16</v>
      </c>
    </row>
    <row r="83">
      <c r="A83" s="2" t="s">
        <v>1888</v>
      </c>
      <c r="B83" s="1">
        <v>7.0</v>
      </c>
      <c r="C83" s="1">
        <v>2321.0</v>
      </c>
      <c r="D83" s="16">
        <v>0.003</v>
      </c>
      <c r="E83" s="1">
        <v>63.61</v>
      </c>
    </row>
    <row r="84">
      <c r="A84" s="2" t="s">
        <v>1650</v>
      </c>
      <c r="B84" s="1">
        <v>7.0</v>
      </c>
      <c r="C84" s="1">
        <v>1989.0</v>
      </c>
      <c r="D84" s="16">
        <v>0.0035</v>
      </c>
      <c r="E84" s="1">
        <v>31.58</v>
      </c>
    </row>
    <row r="85">
      <c r="A85" s="2" t="s">
        <v>1452</v>
      </c>
      <c r="B85" s="1">
        <v>7.0</v>
      </c>
      <c r="C85" s="1">
        <v>1837.0</v>
      </c>
      <c r="D85" s="16">
        <v>0.0038</v>
      </c>
      <c r="E85" s="1">
        <v>45.44</v>
      </c>
    </row>
    <row r="86">
      <c r="A86" s="2" t="s">
        <v>784</v>
      </c>
      <c r="B86" s="1">
        <v>7.0</v>
      </c>
      <c r="C86" s="1">
        <v>1732.0</v>
      </c>
      <c r="D86" s="16">
        <v>0.004</v>
      </c>
      <c r="E86" s="1">
        <v>55.65</v>
      </c>
    </row>
    <row r="87">
      <c r="A87" s="2" t="s">
        <v>1355</v>
      </c>
      <c r="B87" s="1">
        <v>7.0</v>
      </c>
      <c r="C87" s="1">
        <v>1592.0</v>
      </c>
      <c r="D87" s="16">
        <v>0.0044</v>
      </c>
      <c r="E87" s="1">
        <v>30.22</v>
      </c>
    </row>
    <row r="88">
      <c r="A88" s="2" t="s">
        <v>1076</v>
      </c>
      <c r="B88" s="1">
        <v>7.0</v>
      </c>
      <c r="C88" s="1">
        <v>1379.0</v>
      </c>
      <c r="D88" s="16">
        <v>0.0051</v>
      </c>
      <c r="E88" s="1">
        <v>38.21</v>
      </c>
    </row>
    <row r="89">
      <c r="A89" s="2" t="s">
        <v>1070</v>
      </c>
      <c r="B89" s="1">
        <v>7.0</v>
      </c>
      <c r="C89" s="1">
        <v>833.0</v>
      </c>
      <c r="D89" s="16">
        <v>0.0084</v>
      </c>
      <c r="E89" s="1">
        <v>49.8</v>
      </c>
    </row>
    <row r="90">
      <c r="A90" s="2" t="s">
        <v>2938</v>
      </c>
      <c r="B90" s="1">
        <v>7.0</v>
      </c>
      <c r="C90" s="1">
        <v>801.0</v>
      </c>
      <c r="D90" s="16">
        <v>0.0087</v>
      </c>
      <c r="E90" s="1">
        <v>69.04</v>
      </c>
    </row>
    <row r="91">
      <c r="A91" s="2" t="s">
        <v>2408</v>
      </c>
      <c r="B91" s="1">
        <v>7.0</v>
      </c>
      <c r="C91" s="1">
        <v>665.0</v>
      </c>
      <c r="D91" s="16">
        <v>0.0105</v>
      </c>
      <c r="E91" s="1">
        <v>13.76</v>
      </c>
    </row>
    <row r="92">
      <c r="A92" s="2" t="s">
        <v>2095</v>
      </c>
      <c r="B92" s="1">
        <v>7.0</v>
      </c>
      <c r="C92" s="1">
        <v>529.0</v>
      </c>
      <c r="D92" s="16">
        <v>0.0132</v>
      </c>
      <c r="E92" s="1">
        <v>16.78</v>
      </c>
    </row>
    <row r="93">
      <c r="A93" s="2" t="s">
        <v>2293</v>
      </c>
      <c r="B93" s="1">
        <v>7.0</v>
      </c>
      <c r="C93" s="1">
        <v>116.0</v>
      </c>
      <c r="D93" s="16">
        <v>0.0603</v>
      </c>
      <c r="E93" s="1">
        <v>21.16</v>
      </c>
    </row>
    <row r="94">
      <c r="A94" s="2" t="s">
        <v>792</v>
      </c>
      <c r="B94" s="1">
        <v>6.0</v>
      </c>
      <c r="C94" s="1">
        <v>12889.0</v>
      </c>
      <c r="D94" s="16">
        <v>5.0E-4</v>
      </c>
      <c r="E94" s="1">
        <v>51.29</v>
      </c>
    </row>
    <row r="95">
      <c r="A95" s="2" t="s">
        <v>984</v>
      </c>
      <c r="B95" s="1">
        <v>6.0</v>
      </c>
      <c r="C95" s="1">
        <v>4220.0</v>
      </c>
      <c r="D95" s="16">
        <v>0.0014</v>
      </c>
      <c r="E95" s="1">
        <v>29.26</v>
      </c>
    </row>
    <row r="96">
      <c r="A96" s="2" t="s">
        <v>1055</v>
      </c>
      <c r="B96" s="1">
        <v>6.0</v>
      </c>
      <c r="C96" s="1">
        <v>3504.0</v>
      </c>
      <c r="D96" s="16">
        <v>0.0017</v>
      </c>
      <c r="E96" s="1">
        <v>50.95</v>
      </c>
    </row>
    <row r="97">
      <c r="A97" s="2" t="s">
        <v>519</v>
      </c>
      <c r="B97" s="1">
        <v>6.0</v>
      </c>
      <c r="C97" s="1">
        <v>3292.0</v>
      </c>
      <c r="D97" s="16">
        <v>0.0018</v>
      </c>
      <c r="E97" s="1">
        <v>44.0</v>
      </c>
    </row>
    <row r="98">
      <c r="A98" s="2" t="s">
        <v>2364</v>
      </c>
      <c r="B98" s="1">
        <v>6.0</v>
      </c>
      <c r="C98" s="1">
        <v>2292.0</v>
      </c>
      <c r="D98" s="16">
        <v>0.0026</v>
      </c>
      <c r="E98" s="1">
        <v>32.7</v>
      </c>
    </row>
    <row r="99">
      <c r="A99" s="2" t="s">
        <v>463</v>
      </c>
      <c r="B99" s="1">
        <v>6.0</v>
      </c>
      <c r="C99" s="1">
        <v>2126.0</v>
      </c>
      <c r="D99" s="16">
        <v>0.0028</v>
      </c>
      <c r="E99" s="1">
        <v>52.84</v>
      </c>
    </row>
    <row r="100">
      <c r="A100" s="2" t="s">
        <v>800</v>
      </c>
      <c r="B100" s="1">
        <v>6.0</v>
      </c>
      <c r="C100" s="1">
        <v>1541.0</v>
      </c>
      <c r="D100" s="16">
        <v>0.0039</v>
      </c>
      <c r="E100" s="1">
        <v>47.07</v>
      </c>
    </row>
    <row r="101">
      <c r="A101" s="2" t="s">
        <v>1665</v>
      </c>
      <c r="B101" s="1">
        <v>6.0</v>
      </c>
      <c r="C101" s="1">
        <v>839.0</v>
      </c>
      <c r="D101" s="16">
        <v>0.0072</v>
      </c>
      <c r="E101" s="1">
        <v>52.06</v>
      </c>
    </row>
    <row r="102">
      <c r="A102" s="2" t="s">
        <v>2939</v>
      </c>
      <c r="B102" s="1">
        <v>6.0</v>
      </c>
      <c r="C102" s="1">
        <v>498.0</v>
      </c>
      <c r="D102" s="16">
        <v>0.012</v>
      </c>
      <c r="E102" s="1">
        <v>33.17</v>
      </c>
    </row>
    <row r="103">
      <c r="A103" s="2" t="s">
        <v>2054</v>
      </c>
      <c r="B103" s="1">
        <v>6.0</v>
      </c>
      <c r="C103" s="1">
        <v>352.0</v>
      </c>
      <c r="D103" s="16">
        <v>0.017</v>
      </c>
      <c r="E103" s="1">
        <v>45.88</v>
      </c>
    </row>
    <row r="104">
      <c r="A104" s="2" t="s">
        <v>2032</v>
      </c>
      <c r="B104" s="1">
        <v>6.0</v>
      </c>
      <c r="C104" s="1">
        <v>297.0</v>
      </c>
      <c r="D104" s="16">
        <v>0.0202</v>
      </c>
      <c r="E104" s="1">
        <v>30.71</v>
      </c>
    </row>
    <row r="105">
      <c r="A105" s="2" t="s">
        <v>2440</v>
      </c>
      <c r="B105" s="1">
        <v>6.0</v>
      </c>
      <c r="C105" s="1">
        <v>244.0</v>
      </c>
      <c r="D105" s="16">
        <v>0.0246</v>
      </c>
      <c r="E105" s="1">
        <v>28.22</v>
      </c>
    </row>
    <row r="106">
      <c r="A106" s="2" t="s">
        <v>1035</v>
      </c>
      <c r="B106" s="1">
        <v>6.0</v>
      </c>
      <c r="C106" s="1">
        <v>238.0</v>
      </c>
      <c r="D106" s="16">
        <v>0.0252</v>
      </c>
      <c r="E106" s="1">
        <v>15.34</v>
      </c>
    </row>
    <row r="107">
      <c r="A107" s="2" t="s">
        <v>928</v>
      </c>
      <c r="B107" s="1">
        <v>5.0</v>
      </c>
      <c r="C107" s="1">
        <v>11559.0</v>
      </c>
      <c r="D107" s="16">
        <v>4.0E-4</v>
      </c>
      <c r="E107" s="1">
        <v>60.11</v>
      </c>
    </row>
    <row r="108">
      <c r="A108" s="2" t="s">
        <v>732</v>
      </c>
      <c r="B108" s="1">
        <v>5.0</v>
      </c>
      <c r="C108" s="1">
        <v>11014.0</v>
      </c>
      <c r="D108" s="16">
        <v>5.0E-4</v>
      </c>
      <c r="E108" s="1">
        <v>79.01</v>
      </c>
    </row>
    <row r="109">
      <c r="A109" s="2" t="s">
        <v>592</v>
      </c>
      <c r="B109" s="1">
        <v>5.0</v>
      </c>
      <c r="C109" s="1">
        <v>5714.0</v>
      </c>
      <c r="D109" s="16">
        <v>9.0E-4</v>
      </c>
      <c r="E109" s="1">
        <v>42.36</v>
      </c>
    </row>
    <row r="110">
      <c r="A110" s="2" t="s">
        <v>954</v>
      </c>
      <c r="B110" s="1">
        <v>5.0</v>
      </c>
      <c r="C110" s="1">
        <v>3339.0</v>
      </c>
      <c r="D110" s="16">
        <v>0.0015</v>
      </c>
      <c r="E110" s="1">
        <v>50.68</v>
      </c>
    </row>
    <row r="111">
      <c r="A111" s="2" t="s">
        <v>758</v>
      </c>
      <c r="B111" s="1">
        <v>5.0</v>
      </c>
      <c r="C111" s="1">
        <v>2144.0</v>
      </c>
      <c r="D111" s="16">
        <v>0.0023</v>
      </c>
      <c r="E111" s="1">
        <v>31.22</v>
      </c>
    </row>
    <row r="112">
      <c r="A112" s="2" t="s">
        <v>833</v>
      </c>
      <c r="B112" s="1">
        <v>5.0</v>
      </c>
      <c r="C112" s="1">
        <v>1509.0</v>
      </c>
      <c r="D112" s="16">
        <v>0.0033</v>
      </c>
      <c r="E112" s="1">
        <v>44.27</v>
      </c>
    </row>
    <row r="113">
      <c r="A113" s="2" t="s">
        <v>1462</v>
      </c>
      <c r="B113" s="1">
        <v>5.0</v>
      </c>
      <c r="C113" s="1">
        <v>860.0</v>
      </c>
      <c r="D113" s="16">
        <v>0.0058</v>
      </c>
      <c r="E113" s="1">
        <v>55.37</v>
      </c>
    </row>
    <row r="114">
      <c r="A114" s="2" t="s">
        <v>1400</v>
      </c>
      <c r="B114" s="1">
        <v>5.0</v>
      </c>
      <c r="C114" s="1">
        <v>833.0</v>
      </c>
      <c r="D114" s="16">
        <v>0.006</v>
      </c>
      <c r="E114" s="1">
        <v>53.8</v>
      </c>
    </row>
    <row r="115">
      <c r="A115" s="2" t="s">
        <v>2118</v>
      </c>
      <c r="B115" s="1">
        <v>5.0</v>
      </c>
      <c r="C115" s="1">
        <v>483.0</v>
      </c>
      <c r="D115" s="16">
        <v>0.0104</v>
      </c>
      <c r="E115" s="1">
        <v>67.74</v>
      </c>
    </row>
    <row r="116">
      <c r="A116" s="2" t="s">
        <v>647</v>
      </c>
      <c r="B116" s="1">
        <v>5.0</v>
      </c>
      <c r="C116" s="1">
        <v>450.0</v>
      </c>
      <c r="D116" s="16">
        <v>0.0111</v>
      </c>
      <c r="E116" s="1">
        <v>45.51</v>
      </c>
    </row>
    <row r="117">
      <c r="A117" s="2" t="s">
        <v>596</v>
      </c>
      <c r="B117" s="1">
        <v>5.0</v>
      </c>
      <c r="C117" s="1">
        <v>296.0</v>
      </c>
      <c r="D117" s="16">
        <v>0.0169</v>
      </c>
      <c r="E117" s="1">
        <v>26.85</v>
      </c>
    </row>
    <row r="118">
      <c r="A118" s="2" t="s">
        <v>744</v>
      </c>
      <c r="B118" s="1">
        <v>5.0</v>
      </c>
      <c r="C118" s="1">
        <v>247.0</v>
      </c>
      <c r="D118" s="16">
        <v>0.0202</v>
      </c>
      <c r="E118" s="1">
        <v>23.86</v>
      </c>
    </row>
    <row r="119">
      <c r="A119" s="2" t="s">
        <v>2940</v>
      </c>
      <c r="B119" s="1">
        <v>5.0</v>
      </c>
      <c r="C119" s="1">
        <v>184.0</v>
      </c>
      <c r="D119" s="16">
        <v>0.0272</v>
      </c>
      <c r="E119" s="1">
        <v>9.55</v>
      </c>
    </row>
    <row r="120">
      <c r="A120" s="2" t="s">
        <v>1853</v>
      </c>
      <c r="B120" s="1">
        <v>5.0</v>
      </c>
      <c r="C120" s="1">
        <v>101.0</v>
      </c>
      <c r="D120" s="16">
        <v>0.0495</v>
      </c>
      <c r="E120" s="1">
        <v>19.46</v>
      </c>
    </row>
    <row r="121">
      <c r="A121" s="2" t="s">
        <v>1994</v>
      </c>
      <c r="B121" s="1">
        <v>5.0</v>
      </c>
      <c r="C121" s="1">
        <v>43.0</v>
      </c>
      <c r="D121" s="16">
        <v>0.1163</v>
      </c>
      <c r="E121" s="1">
        <v>14.74</v>
      </c>
    </row>
    <row r="122">
      <c r="A122" s="2" t="s">
        <v>748</v>
      </c>
      <c r="B122" s="1">
        <v>4.0</v>
      </c>
      <c r="C122" s="1">
        <v>8138.0</v>
      </c>
      <c r="D122" s="16">
        <v>5.0E-4</v>
      </c>
      <c r="E122" s="1">
        <v>51.03</v>
      </c>
    </row>
    <row r="123">
      <c r="A123" s="2" t="s">
        <v>724</v>
      </c>
      <c r="B123" s="1">
        <v>4.0</v>
      </c>
      <c r="C123" s="1">
        <v>6662.0</v>
      </c>
      <c r="D123" s="16">
        <v>6.0E-4</v>
      </c>
      <c r="E123" s="1">
        <v>36.78</v>
      </c>
    </row>
    <row r="124">
      <c r="A124" s="2" t="s">
        <v>714</v>
      </c>
      <c r="B124" s="1">
        <v>4.0</v>
      </c>
      <c r="C124" s="1">
        <v>5455.0</v>
      </c>
      <c r="D124" s="16">
        <v>7.0E-4</v>
      </c>
      <c r="E124" s="1">
        <v>45.48</v>
      </c>
    </row>
    <row r="125">
      <c r="A125" s="2" t="s">
        <v>738</v>
      </c>
      <c r="B125" s="1">
        <v>4.0</v>
      </c>
      <c r="C125" s="1">
        <v>4002.0</v>
      </c>
      <c r="D125" s="16">
        <v>0.001</v>
      </c>
      <c r="E125" s="1">
        <v>46.36</v>
      </c>
    </row>
    <row r="126">
      <c r="A126" s="2" t="s">
        <v>718</v>
      </c>
      <c r="B126" s="1">
        <v>4.0</v>
      </c>
      <c r="C126" s="1">
        <v>2500.0</v>
      </c>
      <c r="D126" s="16">
        <v>0.0016</v>
      </c>
      <c r="E126" s="1">
        <v>49.54</v>
      </c>
    </row>
    <row r="127">
      <c r="A127" s="2" t="s">
        <v>774</v>
      </c>
      <c r="B127" s="1">
        <v>4.0</v>
      </c>
      <c r="C127" s="1">
        <v>2465.0</v>
      </c>
      <c r="D127" s="16">
        <v>0.0016</v>
      </c>
      <c r="E127" s="1">
        <v>55.14</v>
      </c>
    </row>
    <row r="128">
      <c r="A128" s="2" t="s">
        <v>899</v>
      </c>
      <c r="B128" s="1">
        <v>4.0</v>
      </c>
      <c r="C128" s="1">
        <v>1946.0</v>
      </c>
      <c r="D128" s="16">
        <v>0.0021</v>
      </c>
      <c r="E128" s="1">
        <v>42.15</v>
      </c>
    </row>
    <row r="129">
      <c r="A129" s="2" t="s">
        <v>2227</v>
      </c>
      <c r="B129" s="1">
        <v>4.0</v>
      </c>
      <c r="C129" s="1">
        <v>1476.0</v>
      </c>
      <c r="D129" s="16">
        <v>0.0027</v>
      </c>
      <c r="E129" s="1">
        <v>72.82</v>
      </c>
    </row>
    <row r="130">
      <c r="A130" s="2" t="s">
        <v>1988</v>
      </c>
      <c r="B130" s="1">
        <v>4.0</v>
      </c>
      <c r="C130" s="1">
        <v>1239.0</v>
      </c>
      <c r="D130" s="16">
        <v>0.0032</v>
      </c>
      <c r="E130" s="1">
        <v>69.17</v>
      </c>
    </row>
    <row r="131">
      <c r="A131" s="2" t="s">
        <v>1072</v>
      </c>
      <c r="B131" s="1">
        <v>4.0</v>
      </c>
      <c r="C131" s="1">
        <v>942.0</v>
      </c>
      <c r="D131" s="16">
        <v>0.0042</v>
      </c>
      <c r="E131" s="1">
        <v>47.86</v>
      </c>
    </row>
    <row r="132">
      <c r="A132" s="2" t="s">
        <v>986</v>
      </c>
      <c r="B132" s="1">
        <v>4.0</v>
      </c>
      <c r="C132" s="1">
        <v>908.0</v>
      </c>
      <c r="D132" s="16">
        <v>0.0044</v>
      </c>
      <c r="E132" s="1">
        <v>50.69</v>
      </c>
    </row>
    <row r="133">
      <c r="A133" s="2" t="s">
        <v>1101</v>
      </c>
      <c r="B133" s="1">
        <v>4.0</v>
      </c>
      <c r="C133" s="1">
        <v>747.0</v>
      </c>
      <c r="D133" s="16">
        <v>0.0054</v>
      </c>
      <c r="E133" s="1">
        <v>70.18</v>
      </c>
    </row>
    <row r="134">
      <c r="A134" s="2" t="s">
        <v>1394</v>
      </c>
      <c r="B134" s="1">
        <v>4.0</v>
      </c>
      <c r="C134" s="1">
        <v>686.0</v>
      </c>
      <c r="D134" s="16">
        <v>0.0058</v>
      </c>
      <c r="E134" s="1">
        <v>51.65</v>
      </c>
    </row>
    <row r="135">
      <c r="A135" s="2" t="s">
        <v>2331</v>
      </c>
      <c r="B135" s="1">
        <v>4.0</v>
      </c>
      <c r="C135" s="1">
        <v>507.0</v>
      </c>
      <c r="D135" s="16">
        <v>0.0079</v>
      </c>
      <c r="E135" s="1">
        <v>26.93</v>
      </c>
    </row>
    <row r="136">
      <c r="A136" s="2" t="s">
        <v>1532</v>
      </c>
      <c r="B136" s="1">
        <v>4.0</v>
      </c>
      <c r="C136" s="1">
        <v>325.0</v>
      </c>
      <c r="D136" s="16">
        <v>0.0123</v>
      </c>
      <c r="E136" s="1">
        <v>34.61</v>
      </c>
    </row>
    <row r="137">
      <c r="A137" s="2" t="s">
        <v>2338</v>
      </c>
      <c r="B137" s="1">
        <v>4.0</v>
      </c>
      <c r="C137" s="1">
        <v>297.0</v>
      </c>
      <c r="D137" s="16">
        <v>0.0135</v>
      </c>
      <c r="E137" s="1">
        <v>24.52</v>
      </c>
    </row>
    <row r="138">
      <c r="A138" s="2" t="s">
        <v>2247</v>
      </c>
      <c r="B138" s="1">
        <v>4.0</v>
      </c>
      <c r="C138" s="1">
        <v>263.0</v>
      </c>
      <c r="D138" s="16">
        <v>0.0152</v>
      </c>
      <c r="E138" s="1">
        <v>49.38</v>
      </c>
    </row>
    <row r="139">
      <c r="A139" s="2" t="s">
        <v>2941</v>
      </c>
      <c r="B139" s="1">
        <v>4.0</v>
      </c>
      <c r="C139" s="1">
        <v>187.0</v>
      </c>
      <c r="D139" s="16">
        <v>0.0214</v>
      </c>
      <c r="E139" s="1">
        <v>36.49</v>
      </c>
    </row>
    <row r="140">
      <c r="A140" s="2" t="s">
        <v>1210</v>
      </c>
      <c r="B140" s="1">
        <v>4.0</v>
      </c>
      <c r="C140" s="1">
        <v>105.0</v>
      </c>
      <c r="D140" s="16">
        <v>0.0381</v>
      </c>
      <c r="E140" s="1">
        <v>19.45</v>
      </c>
    </row>
    <row r="141">
      <c r="A141" s="2" t="s">
        <v>1223</v>
      </c>
      <c r="B141" s="1">
        <v>4.0</v>
      </c>
      <c r="C141" s="1">
        <v>96.0</v>
      </c>
      <c r="D141" s="16">
        <v>0.0417</v>
      </c>
      <c r="E141" s="1">
        <v>25.84</v>
      </c>
    </row>
    <row r="142">
      <c r="A142" s="2" t="s">
        <v>1065</v>
      </c>
      <c r="B142" s="1">
        <v>4.0</v>
      </c>
      <c r="C142" s="1">
        <v>62.0</v>
      </c>
      <c r="D142" s="16">
        <v>0.0645</v>
      </c>
      <c r="E142" s="1">
        <v>23.16</v>
      </c>
    </row>
    <row r="143">
      <c r="A143" s="2" t="s">
        <v>1578</v>
      </c>
      <c r="B143" s="1">
        <v>4.0</v>
      </c>
      <c r="C143" s="1">
        <v>60.0</v>
      </c>
      <c r="D143" s="16">
        <v>0.0667</v>
      </c>
      <c r="E143" s="1">
        <v>11.37</v>
      </c>
    </row>
    <row r="144">
      <c r="A144" s="2" t="s">
        <v>1122</v>
      </c>
      <c r="B144" s="1">
        <v>4.0</v>
      </c>
      <c r="C144" s="1">
        <v>54.0</v>
      </c>
      <c r="D144" s="16">
        <v>0.0741</v>
      </c>
      <c r="E144" s="1">
        <v>23.72</v>
      </c>
    </row>
    <row r="145">
      <c r="A145" s="2" t="s">
        <v>1874</v>
      </c>
      <c r="B145" s="1">
        <v>4.0</v>
      </c>
      <c r="C145" s="1">
        <v>41.0</v>
      </c>
      <c r="D145" s="16">
        <v>0.0976</v>
      </c>
      <c r="E145" s="1">
        <v>22.29</v>
      </c>
    </row>
    <row r="146">
      <c r="A146" s="2" t="s">
        <v>671</v>
      </c>
      <c r="B146" s="1">
        <v>3.0</v>
      </c>
      <c r="C146" s="1">
        <v>7294.0</v>
      </c>
      <c r="D146" s="16">
        <v>4.0E-4</v>
      </c>
      <c r="E146" s="1">
        <v>54.66</v>
      </c>
    </row>
    <row r="147">
      <c r="A147" s="2" t="s">
        <v>698</v>
      </c>
      <c r="B147" s="1">
        <v>3.0</v>
      </c>
      <c r="C147" s="1">
        <v>3889.0</v>
      </c>
      <c r="D147" s="16">
        <v>8.0E-4</v>
      </c>
      <c r="E147" s="1">
        <v>69.8</v>
      </c>
    </row>
    <row r="148">
      <c r="A148" s="2" t="s">
        <v>1219</v>
      </c>
      <c r="B148" s="1">
        <v>3.0</v>
      </c>
      <c r="C148" s="1">
        <v>1972.0</v>
      </c>
      <c r="D148" s="16">
        <v>0.0015</v>
      </c>
      <c r="E148" s="1">
        <v>58.07</v>
      </c>
    </row>
    <row r="149">
      <c r="A149" s="2" t="s">
        <v>921</v>
      </c>
      <c r="B149" s="1">
        <v>3.0</v>
      </c>
      <c r="C149" s="1">
        <v>1962.0</v>
      </c>
      <c r="D149" s="16">
        <v>0.0015</v>
      </c>
      <c r="E149" s="1">
        <v>54.88</v>
      </c>
    </row>
    <row r="150">
      <c r="A150" s="2" t="s">
        <v>804</v>
      </c>
      <c r="B150" s="1">
        <v>3.0</v>
      </c>
      <c r="C150" s="1">
        <v>1753.0</v>
      </c>
      <c r="D150" s="16">
        <v>0.0017</v>
      </c>
      <c r="E150" s="1">
        <v>58.42</v>
      </c>
    </row>
    <row r="151">
      <c r="A151" s="2" t="s">
        <v>1895</v>
      </c>
      <c r="B151" s="1">
        <v>3.0</v>
      </c>
      <c r="C151" s="1">
        <v>1275.0</v>
      </c>
      <c r="D151" s="16">
        <v>0.0024</v>
      </c>
      <c r="E151" s="1">
        <v>65.89</v>
      </c>
    </row>
    <row r="152">
      <c r="A152" s="2" t="s">
        <v>1469</v>
      </c>
      <c r="B152" s="1">
        <v>3.0</v>
      </c>
      <c r="C152" s="1">
        <v>938.0</v>
      </c>
      <c r="D152" s="16">
        <v>0.0032</v>
      </c>
      <c r="E152" s="1">
        <v>74.83</v>
      </c>
    </row>
    <row r="153">
      <c r="A153" s="2" t="s">
        <v>1953</v>
      </c>
      <c r="B153" s="1">
        <v>3.0</v>
      </c>
      <c r="C153" s="1">
        <v>876.0</v>
      </c>
      <c r="D153" s="16">
        <v>0.0034</v>
      </c>
      <c r="E153" s="1">
        <v>71.14</v>
      </c>
    </row>
    <row r="154">
      <c r="A154" s="2" t="s">
        <v>888</v>
      </c>
      <c r="B154" s="1">
        <v>3.0</v>
      </c>
      <c r="C154" s="1">
        <v>781.0</v>
      </c>
      <c r="D154" s="16">
        <v>0.0038</v>
      </c>
      <c r="E154" s="1">
        <v>20.23</v>
      </c>
    </row>
    <row r="155">
      <c r="A155" s="2" t="s">
        <v>776</v>
      </c>
      <c r="B155" s="1">
        <v>3.0</v>
      </c>
      <c r="C155" s="1">
        <v>769.0</v>
      </c>
      <c r="D155" s="16">
        <v>0.0039</v>
      </c>
      <c r="E155" s="1">
        <v>75.25</v>
      </c>
    </row>
    <row r="156">
      <c r="A156" s="2" t="s">
        <v>2080</v>
      </c>
      <c r="B156" s="1">
        <v>3.0</v>
      </c>
      <c r="C156" s="1">
        <v>758.0</v>
      </c>
      <c r="D156" s="16">
        <v>0.004</v>
      </c>
      <c r="E156" s="1">
        <v>46.75</v>
      </c>
    </row>
    <row r="157">
      <c r="A157" s="2" t="s">
        <v>1598</v>
      </c>
      <c r="B157" s="1">
        <v>3.0</v>
      </c>
      <c r="C157" s="1">
        <v>460.0</v>
      </c>
      <c r="D157" s="16">
        <v>0.0065</v>
      </c>
      <c r="E157" s="1">
        <v>45.43</v>
      </c>
    </row>
    <row r="158">
      <c r="A158" s="2" t="s">
        <v>503</v>
      </c>
      <c r="B158" s="1">
        <v>3.0</v>
      </c>
      <c r="C158" s="1">
        <v>446.0</v>
      </c>
      <c r="D158" s="16">
        <v>0.0067</v>
      </c>
      <c r="E158" s="1">
        <v>62.92</v>
      </c>
    </row>
    <row r="159">
      <c r="A159" s="2" t="s">
        <v>1803</v>
      </c>
      <c r="B159" s="1">
        <v>3.0</v>
      </c>
      <c r="C159" s="1">
        <v>193.0</v>
      </c>
      <c r="D159" s="16">
        <v>0.0155</v>
      </c>
      <c r="E159" s="1">
        <v>59.74</v>
      </c>
    </row>
    <row r="160">
      <c r="A160" s="2" t="s">
        <v>2942</v>
      </c>
      <c r="B160" s="1">
        <v>3.0</v>
      </c>
      <c r="C160" s="1">
        <v>182.0</v>
      </c>
      <c r="D160" s="16">
        <v>0.0165</v>
      </c>
      <c r="E160" s="1">
        <v>16.36</v>
      </c>
    </row>
    <row r="161">
      <c r="A161" s="2" t="s">
        <v>1041</v>
      </c>
      <c r="B161" s="1">
        <v>3.0</v>
      </c>
      <c r="C161" s="1">
        <v>91.0</v>
      </c>
      <c r="D161" s="16">
        <v>0.033</v>
      </c>
      <c r="E161" s="1">
        <v>53.79</v>
      </c>
    </row>
    <row r="162">
      <c r="A162" s="2" t="s">
        <v>2438</v>
      </c>
      <c r="B162" s="1">
        <v>3.0</v>
      </c>
      <c r="C162" s="1">
        <v>71.0</v>
      </c>
      <c r="D162" s="16">
        <v>0.0423</v>
      </c>
      <c r="E162" s="1">
        <v>20.13</v>
      </c>
    </row>
    <row r="163">
      <c r="A163" s="2" t="s">
        <v>1419</v>
      </c>
      <c r="B163" s="1">
        <v>3.0</v>
      </c>
      <c r="C163" s="1">
        <v>24.0</v>
      </c>
      <c r="D163" s="16">
        <v>0.125</v>
      </c>
      <c r="E163" s="1">
        <v>15.38</v>
      </c>
    </row>
    <row r="164">
      <c r="A164" s="2" t="s">
        <v>1120</v>
      </c>
      <c r="B164" s="1">
        <v>3.0</v>
      </c>
      <c r="C164" s="1">
        <v>11.0</v>
      </c>
      <c r="D164" s="16">
        <v>0.2727</v>
      </c>
      <c r="E164" s="1">
        <v>32.55</v>
      </c>
    </row>
    <row r="165">
      <c r="A165" s="2" t="s">
        <v>642</v>
      </c>
      <c r="B165" s="1">
        <v>2.0</v>
      </c>
      <c r="C165" s="1">
        <v>28791.0</v>
      </c>
      <c r="D165" s="16">
        <v>1.0E-4</v>
      </c>
      <c r="E165" s="1">
        <v>46.99</v>
      </c>
    </row>
    <row r="166">
      <c r="A166" s="2" t="s">
        <v>778</v>
      </c>
      <c r="B166" s="1">
        <v>2.0</v>
      </c>
      <c r="C166" s="1">
        <v>25346.0</v>
      </c>
      <c r="D166" s="16">
        <v>1.0E-4</v>
      </c>
      <c r="E166" s="1">
        <v>60.94</v>
      </c>
    </row>
    <row r="167">
      <c r="A167" s="2" t="s">
        <v>451</v>
      </c>
      <c r="B167" s="1">
        <v>2.0</v>
      </c>
      <c r="C167" s="1">
        <v>8796.0</v>
      </c>
      <c r="D167" s="16">
        <v>2.0E-4</v>
      </c>
      <c r="E167" s="1">
        <v>44.77</v>
      </c>
    </row>
    <row r="168">
      <c r="A168" s="2" t="s">
        <v>762</v>
      </c>
      <c r="B168" s="1">
        <v>2.0</v>
      </c>
      <c r="C168" s="1">
        <v>7734.0</v>
      </c>
      <c r="D168" s="16">
        <v>3.0E-4</v>
      </c>
      <c r="E168" s="1">
        <v>40.91</v>
      </c>
    </row>
    <row r="169">
      <c r="A169" s="2" t="s">
        <v>1311</v>
      </c>
      <c r="B169" s="1">
        <v>2.0</v>
      </c>
      <c r="C169" s="1">
        <v>7511.0</v>
      </c>
      <c r="D169" s="16">
        <v>3.0E-4</v>
      </c>
      <c r="E169" s="1">
        <v>46.52</v>
      </c>
    </row>
    <row r="170">
      <c r="A170" s="2" t="s">
        <v>602</v>
      </c>
      <c r="B170" s="1">
        <v>2.0</v>
      </c>
      <c r="C170" s="1">
        <v>6270.0</v>
      </c>
      <c r="D170" s="16">
        <v>3.0E-4</v>
      </c>
      <c r="E170" s="1">
        <v>61.53</v>
      </c>
    </row>
    <row r="171">
      <c r="A171" s="2" t="s">
        <v>2943</v>
      </c>
      <c r="B171" s="1">
        <v>2.0</v>
      </c>
      <c r="C171" s="1">
        <v>5682.0</v>
      </c>
      <c r="D171" s="16">
        <v>4.0E-4</v>
      </c>
      <c r="E171" s="1">
        <v>33.88</v>
      </c>
    </row>
    <row r="172">
      <c r="A172" s="2" t="s">
        <v>696</v>
      </c>
      <c r="B172" s="1">
        <v>2.0</v>
      </c>
      <c r="C172" s="1">
        <v>4578.0</v>
      </c>
      <c r="D172" s="16">
        <v>4.0E-4</v>
      </c>
      <c r="E172" s="1">
        <v>57.35</v>
      </c>
    </row>
    <row r="173">
      <c r="A173" s="2" t="s">
        <v>790</v>
      </c>
      <c r="B173" s="1">
        <v>2.0</v>
      </c>
      <c r="C173" s="1">
        <v>4069.0</v>
      </c>
      <c r="D173" s="16">
        <v>5.0E-4</v>
      </c>
      <c r="E173" s="1">
        <v>45.08</v>
      </c>
    </row>
    <row r="174">
      <c r="A174" s="2" t="s">
        <v>764</v>
      </c>
      <c r="B174" s="1">
        <v>2.0</v>
      </c>
      <c r="C174" s="1">
        <v>3931.0</v>
      </c>
      <c r="D174" s="16">
        <v>5.0E-4</v>
      </c>
      <c r="E174" s="1">
        <v>57.25</v>
      </c>
    </row>
    <row r="175">
      <c r="A175" s="2" t="s">
        <v>654</v>
      </c>
      <c r="B175" s="1">
        <v>2.0</v>
      </c>
      <c r="C175" s="1">
        <v>3853.0</v>
      </c>
      <c r="D175" s="16">
        <v>5.0E-4</v>
      </c>
      <c r="E175" s="1">
        <v>46.54</v>
      </c>
    </row>
    <row r="176">
      <c r="A176" s="2" t="s">
        <v>768</v>
      </c>
      <c r="B176" s="1">
        <v>2.0</v>
      </c>
      <c r="C176" s="1">
        <v>2943.0</v>
      </c>
      <c r="D176" s="16">
        <v>7.0E-4</v>
      </c>
      <c r="E176" s="1">
        <v>57.29</v>
      </c>
    </row>
    <row r="177">
      <c r="A177" s="2" t="s">
        <v>2944</v>
      </c>
      <c r="B177" s="1">
        <v>2.0</v>
      </c>
      <c r="C177" s="1">
        <v>2752.0</v>
      </c>
      <c r="D177" s="16">
        <v>7.0E-4</v>
      </c>
      <c r="E177" s="1">
        <v>46.76</v>
      </c>
    </row>
    <row r="178">
      <c r="A178" s="2" t="s">
        <v>2945</v>
      </c>
      <c r="B178" s="1">
        <v>2.0</v>
      </c>
      <c r="C178" s="1">
        <v>2068.0</v>
      </c>
      <c r="D178" s="16">
        <v>0.001</v>
      </c>
      <c r="E178" s="1">
        <v>53.49</v>
      </c>
    </row>
    <row r="179">
      <c r="A179" s="2" t="s">
        <v>1454</v>
      </c>
      <c r="B179" s="1">
        <v>2.0</v>
      </c>
      <c r="C179" s="1">
        <v>1833.0</v>
      </c>
      <c r="D179" s="16">
        <v>0.0011</v>
      </c>
      <c r="E179" s="1">
        <v>51.69</v>
      </c>
    </row>
    <row r="180">
      <c r="A180" s="2" t="s">
        <v>913</v>
      </c>
      <c r="B180" s="1">
        <v>2.0</v>
      </c>
      <c r="C180" s="1">
        <v>1800.0</v>
      </c>
      <c r="D180" s="16">
        <v>0.0011</v>
      </c>
      <c r="E180" s="1">
        <v>33.2</v>
      </c>
    </row>
    <row r="181">
      <c r="A181" s="2" t="s">
        <v>1304</v>
      </c>
      <c r="B181" s="1">
        <v>2.0</v>
      </c>
      <c r="C181" s="1">
        <v>1783.0</v>
      </c>
      <c r="D181" s="16">
        <v>0.0011</v>
      </c>
      <c r="E181" s="1">
        <v>54.47</v>
      </c>
    </row>
    <row r="182">
      <c r="A182" s="2" t="s">
        <v>1724</v>
      </c>
      <c r="B182" s="1">
        <v>2.0</v>
      </c>
      <c r="C182" s="1">
        <v>1322.0</v>
      </c>
      <c r="D182" s="16">
        <v>0.0015</v>
      </c>
      <c r="E182" s="1">
        <v>67.52</v>
      </c>
    </row>
    <row r="183">
      <c r="A183" s="2" t="s">
        <v>1060</v>
      </c>
      <c r="B183" s="1">
        <v>2.0</v>
      </c>
      <c r="C183" s="1">
        <v>1224.0</v>
      </c>
      <c r="D183" s="16">
        <v>0.0016</v>
      </c>
      <c r="E183" s="1">
        <v>47.32</v>
      </c>
    </row>
    <row r="184">
      <c r="A184" s="2" t="s">
        <v>1177</v>
      </c>
      <c r="B184" s="1">
        <v>2.0</v>
      </c>
      <c r="C184" s="1">
        <v>1020.0</v>
      </c>
      <c r="D184" s="16">
        <v>0.002</v>
      </c>
      <c r="E184" s="1">
        <v>66.86</v>
      </c>
    </row>
    <row r="185">
      <c r="A185" s="2" t="s">
        <v>904</v>
      </c>
      <c r="B185" s="1">
        <v>2.0</v>
      </c>
      <c r="C185" s="1">
        <v>832.0</v>
      </c>
      <c r="D185" s="16">
        <v>0.0024</v>
      </c>
      <c r="E185" s="1">
        <v>28.19</v>
      </c>
    </row>
    <row r="186">
      <c r="A186" s="2" t="s">
        <v>1164</v>
      </c>
      <c r="B186" s="1">
        <v>2.0</v>
      </c>
      <c r="C186" s="1">
        <v>725.0</v>
      </c>
      <c r="D186" s="16">
        <v>0.0028</v>
      </c>
      <c r="E186" s="1">
        <v>37.35</v>
      </c>
    </row>
    <row r="187">
      <c r="A187" s="2" t="s">
        <v>527</v>
      </c>
      <c r="B187" s="1">
        <v>2.0</v>
      </c>
      <c r="C187" s="1">
        <v>596.0</v>
      </c>
      <c r="D187" s="16">
        <v>0.0034</v>
      </c>
      <c r="E187" s="1">
        <v>27.4</v>
      </c>
    </row>
    <row r="188">
      <c r="A188" s="2" t="s">
        <v>1486</v>
      </c>
      <c r="B188" s="1">
        <v>2.0</v>
      </c>
      <c r="C188" s="1">
        <v>363.0</v>
      </c>
      <c r="D188" s="16">
        <v>0.0055</v>
      </c>
      <c r="E188" s="1">
        <v>68.11</v>
      </c>
    </row>
    <row r="189">
      <c r="A189" s="2" t="s">
        <v>1431</v>
      </c>
      <c r="B189" s="1">
        <v>2.0</v>
      </c>
      <c r="C189" s="1">
        <v>346.0</v>
      </c>
      <c r="D189" s="16">
        <v>0.0058</v>
      </c>
      <c r="E189" s="1">
        <v>59.43</v>
      </c>
    </row>
    <row r="190">
      <c r="A190" s="2" t="s">
        <v>2184</v>
      </c>
      <c r="B190" s="1">
        <v>2.0</v>
      </c>
      <c r="C190" s="1">
        <v>261.0</v>
      </c>
      <c r="D190" s="16">
        <v>0.0077</v>
      </c>
      <c r="E190" s="1">
        <v>41.05</v>
      </c>
    </row>
    <row r="191">
      <c r="A191" s="2" t="s">
        <v>752</v>
      </c>
      <c r="B191" s="1">
        <v>2.0</v>
      </c>
      <c r="C191" s="1">
        <v>254.0</v>
      </c>
      <c r="D191" s="16">
        <v>0.0079</v>
      </c>
      <c r="E191" s="1">
        <v>52.75</v>
      </c>
    </row>
    <row r="192">
      <c r="A192" s="2" t="s">
        <v>1975</v>
      </c>
      <c r="B192" s="1">
        <v>2.0</v>
      </c>
      <c r="C192" s="1">
        <v>244.0</v>
      </c>
      <c r="D192" s="16">
        <v>0.0082</v>
      </c>
      <c r="E192" s="1">
        <v>39.82</v>
      </c>
    </row>
    <row r="193">
      <c r="A193" s="2" t="s">
        <v>487</v>
      </c>
      <c r="B193" s="1">
        <v>2.0</v>
      </c>
      <c r="C193" s="1">
        <v>236.0</v>
      </c>
      <c r="D193" s="16">
        <v>0.0085</v>
      </c>
      <c r="E193" s="1">
        <v>22.02</v>
      </c>
    </row>
    <row r="194">
      <c r="A194" s="2" t="s">
        <v>2946</v>
      </c>
      <c r="B194" s="1">
        <v>2.0</v>
      </c>
      <c r="C194" s="1">
        <v>197.0</v>
      </c>
      <c r="D194" s="16">
        <v>0.0102</v>
      </c>
      <c r="E194" s="1">
        <v>6.79</v>
      </c>
    </row>
    <row r="195">
      <c r="A195" s="2" t="s">
        <v>590</v>
      </c>
      <c r="B195" s="1">
        <v>2.0</v>
      </c>
      <c r="C195" s="1">
        <v>166.0</v>
      </c>
      <c r="D195" s="16">
        <v>0.012</v>
      </c>
      <c r="E195" s="1">
        <v>66.93</v>
      </c>
    </row>
    <row r="196">
      <c r="A196" s="2" t="s">
        <v>1074</v>
      </c>
      <c r="B196" s="1">
        <v>2.0</v>
      </c>
      <c r="C196" s="1">
        <v>86.0</v>
      </c>
      <c r="D196" s="16">
        <v>0.0233</v>
      </c>
      <c r="E196" s="1">
        <v>13.47</v>
      </c>
    </row>
    <row r="197">
      <c r="A197" s="2" t="s">
        <v>2008</v>
      </c>
      <c r="B197" s="1">
        <v>2.0</v>
      </c>
      <c r="C197" s="1">
        <v>79.0</v>
      </c>
      <c r="D197" s="16">
        <v>0.0253</v>
      </c>
      <c r="E197" s="1">
        <v>9.25</v>
      </c>
    </row>
    <row r="198">
      <c r="A198" s="2" t="s">
        <v>2350</v>
      </c>
      <c r="B198" s="1">
        <v>2.0</v>
      </c>
      <c r="C198" s="1">
        <v>61.0</v>
      </c>
      <c r="D198" s="16">
        <v>0.0328</v>
      </c>
      <c r="E198" s="1">
        <v>40.18</v>
      </c>
    </row>
    <row r="199">
      <c r="A199" s="2" t="s">
        <v>2947</v>
      </c>
      <c r="B199" s="1">
        <v>2.0</v>
      </c>
      <c r="C199" s="1">
        <v>58.0</v>
      </c>
      <c r="D199" s="16">
        <v>0.0345</v>
      </c>
      <c r="E199" s="1">
        <v>7.97</v>
      </c>
    </row>
    <row r="200">
      <c r="A200" s="2" t="s">
        <v>2948</v>
      </c>
      <c r="B200" s="1">
        <v>2.0</v>
      </c>
      <c r="C200" s="1">
        <v>58.0</v>
      </c>
      <c r="D200" s="16">
        <v>0.0345</v>
      </c>
      <c r="E200" s="1">
        <v>8.19</v>
      </c>
    </row>
    <row r="201">
      <c r="A201" s="2" t="s">
        <v>683</v>
      </c>
      <c r="B201" s="1">
        <v>2.0</v>
      </c>
      <c r="C201" s="1">
        <v>33.0</v>
      </c>
      <c r="D201" s="16">
        <v>0.0606</v>
      </c>
      <c r="E201" s="1">
        <v>21.67</v>
      </c>
    </row>
    <row r="202">
      <c r="A202" s="2" t="s">
        <v>1442</v>
      </c>
      <c r="B202" s="1">
        <v>2.0</v>
      </c>
      <c r="C202" s="1">
        <v>21.0</v>
      </c>
      <c r="D202" s="16">
        <v>0.0952</v>
      </c>
      <c r="E202" s="1">
        <v>20.71</v>
      </c>
    </row>
    <row r="203">
      <c r="A203" s="2" t="s">
        <v>1444</v>
      </c>
      <c r="B203" s="1">
        <v>2.0</v>
      </c>
      <c r="C203" s="1">
        <v>18.0</v>
      </c>
      <c r="D203" s="16">
        <v>0.1111</v>
      </c>
      <c r="E203" s="1">
        <v>25.44</v>
      </c>
    </row>
    <row r="204">
      <c r="A204" s="2" t="s">
        <v>1963</v>
      </c>
      <c r="B204" s="1">
        <v>2.0</v>
      </c>
      <c r="C204" s="1">
        <v>17.0</v>
      </c>
      <c r="D204" s="16">
        <v>0.1176</v>
      </c>
      <c r="E204" s="1">
        <v>30.0</v>
      </c>
    </row>
    <row r="205">
      <c r="A205" s="2" t="s">
        <v>760</v>
      </c>
      <c r="B205" s="1">
        <v>1.0</v>
      </c>
      <c r="C205" s="1">
        <v>9610.0</v>
      </c>
      <c r="D205" s="16">
        <v>1.0E-4</v>
      </c>
      <c r="E205" s="1">
        <v>50.9</v>
      </c>
    </row>
    <row r="206">
      <c r="A206" s="2" t="s">
        <v>726</v>
      </c>
      <c r="B206" s="1">
        <v>1.0</v>
      </c>
      <c r="C206" s="1">
        <v>8401.0</v>
      </c>
      <c r="D206" s="16">
        <v>1.0E-4</v>
      </c>
      <c r="E206" s="1">
        <v>52.55</v>
      </c>
    </row>
    <row r="207">
      <c r="A207" s="2" t="s">
        <v>600</v>
      </c>
      <c r="B207" s="1">
        <v>1.0</v>
      </c>
      <c r="C207" s="1">
        <v>8319.0</v>
      </c>
      <c r="D207" s="16">
        <v>1.0E-4</v>
      </c>
      <c r="E207" s="1">
        <v>47.47</v>
      </c>
    </row>
    <row r="208">
      <c r="A208" s="2" t="s">
        <v>455</v>
      </c>
      <c r="B208" s="1">
        <v>1.0</v>
      </c>
      <c r="C208" s="1">
        <v>6838.0</v>
      </c>
      <c r="D208" s="16">
        <v>1.0E-4</v>
      </c>
      <c r="E208" s="1">
        <v>42.84</v>
      </c>
    </row>
    <row r="209">
      <c r="A209" s="2" t="s">
        <v>716</v>
      </c>
      <c r="B209" s="1">
        <v>1.0</v>
      </c>
      <c r="C209" s="1">
        <v>6087.0</v>
      </c>
      <c r="D209" s="16">
        <v>2.0E-4</v>
      </c>
      <c r="E209" s="1">
        <v>45.08</v>
      </c>
    </row>
    <row r="210">
      <c r="A210" s="2" t="s">
        <v>710</v>
      </c>
      <c r="B210" s="1">
        <v>1.0</v>
      </c>
      <c r="C210" s="1">
        <v>5326.0</v>
      </c>
      <c r="D210" s="16">
        <v>2.0E-4</v>
      </c>
      <c r="E210" s="1">
        <v>56.43</v>
      </c>
    </row>
    <row r="211">
      <c r="A211" s="2" t="s">
        <v>1056</v>
      </c>
      <c r="B211" s="1">
        <v>1.0</v>
      </c>
      <c r="C211" s="1">
        <v>4061.0</v>
      </c>
      <c r="D211" s="16">
        <v>2.0E-4</v>
      </c>
      <c r="E211" s="1">
        <v>39.7</v>
      </c>
    </row>
    <row r="212">
      <c r="A212" s="2" t="s">
        <v>756</v>
      </c>
      <c r="B212" s="1">
        <v>1.0</v>
      </c>
      <c r="C212" s="1">
        <v>3806.0</v>
      </c>
      <c r="D212" s="16">
        <v>3.0E-4</v>
      </c>
      <c r="E212" s="1">
        <v>59.56</v>
      </c>
    </row>
    <row r="213">
      <c r="A213" s="2" t="s">
        <v>911</v>
      </c>
      <c r="B213" s="1">
        <v>1.0</v>
      </c>
      <c r="C213" s="1">
        <v>3567.0</v>
      </c>
      <c r="D213" s="16">
        <v>3.0E-4</v>
      </c>
      <c r="E213" s="1">
        <v>54.14</v>
      </c>
    </row>
    <row r="214">
      <c r="A214" s="2" t="s">
        <v>1704</v>
      </c>
      <c r="B214" s="1">
        <v>1.0</v>
      </c>
      <c r="C214" s="1">
        <v>3306.0</v>
      </c>
      <c r="D214" s="16">
        <v>3.0E-4</v>
      </c>
      <c r="E214" s="1">
        <v>57.91</v>
      </c>
    </row>
    <row r="215">
      <c r="A215" s="2" t="s">
        <v>690</v>
      </c>
      <c r="B215" s="1">
        <v>1.0</v>
      </c>
      <c r="C215" s="1">
        <v>3301.0</v>
      </c>
      <c r="D215" s="16">
        <v>3.0E-4</v>
      </c>
      <c r="E215" s="1">
        <v>25.01</v>
      </c>
    </row>
    <row r="216">
      <c r="A216" s="2" t="s">
        <v>2949</v>
      </c>
      <c r="B216" s="1">
        <v>1.0</v>
      </c>
      <c r="C216" s="1">
        <v>3250.0</v>
      </c>
      <c r="D216" s="16">
        <v>3.0E-4</v>
      </c>
      <c r="E216" s="1">
        <v>46.36</v>
      </c>
    </row>
    <row r="217">
      <c r="A217" s="2" t="s">
        <v>1540</v>
      </c>
      <c r="B217" s="1">
        <v>1.0</v>
      </c>
      <c r="C217" s="1">
        <v>3130.0</v>
      </c>
      <c r="D217" s="16">
        <v>3.0E-4</v>
      </c>
      <c r="E217" s="1">
        <v>53.77</v>
      </c>
    </row>
    <row r="218">
      <c r="A218" s="2" t="s">
        <v>1198</v>
      </c>
      <c r="B218" s="1">
        <v>1.0</v>
      </c>
      <c r="C218" s="1">
        <v>2975.0</v>
      </c>
      <c r="D218" s="16">
        <v>3.0E-4</v>
      </c>
      <c r="E218" s="1">
        <v>42.43</v>
      </c>
    </row>
    <row r="219">
      <c r="A219" s="2" t="s">
        <v>1145</v>
      </c>
      <c r="B219" s="1">
        <v>1.0</v>
      </c>
      <c r="C219" s="1">
        <v>2816.0</v>
      </c>
      <c r="D219" s="16">
        <v>4.0E-4</v>
      </c>
      <c r="E219" s="1">
        <v>62.71</v>
      </c>
    </row>
    <row r="220">
      <c r="A220" s="2" t="s">
        <v>780</v>
      </c>
      <c r="B220" s="1">
        <v>1.0</v>
      </c>
      <c r="C220" s="1">
        <v>2545.0</v>
      </c>
      <c r="D220" s="16">
        <v>4.0E-4</v>
      </c>
      <c r="E220" s="1">
        <v>72.05</v>
      </c>
    </row>
    <row r="221">
      <c r="A221" s="2" t="s">
        <v>999</v>
      </c>
      <c r="B221" s="1">
        <v>1.0</v>
      </c>
      <c r="C221" s="1">
        <v>2405.0</v>
      </c>
      <c r="D221" s="16">
        <v>4.0E-4</v>
      </c>
      <c r="E221" s="1">
        <v>73.59</v>
      </c>
    </row>
    <row r="222">
      <c r="A222" s="2" t="s">
        <v>782</v>
      </c>
      <c r="B222" s="1">
        <v>1.0</v>
      </c>
      <c r="C222" s="1">
        <v>2394.0</v>
      </c>
      <c r="D222" s="16">
        <v>4.0E-4</v>
      </c>
      <c r="E222" s="1">
        <v>61.61</v>
      </c>
    </row>
    <row r="223">
      <c r="A223" s="2" t="s">
        <v>2950</v>
      </c>
      <c r="B223" s="1">
        <v>1.0</v>
      </c>
      <c r="C223" s="1">
        <v>2342.0</v>
      </c>
      <c r="D223" s="16">
        <v>4.0E-4</v>
      </c>
      <c r="E223" s="1">
        <v>57.96</v>
      </c>
    </row>
    <row r="224">
      <c r="A224" s="2" t="s">
        <v>1166</v>
      </c>
      <c r="B224" s="1">
        <v>1.0</v>
      </c>
      <c r="C224" s="1">
        <v>2195.0</v>
      </c>
      <c r="D224" s="16">
        <v>5.0E-4</v>
      </c>
      <c r="E224" s="1">
        <v>69.46</v>
      </c>
    </row>
    <row r="225">
      <c r="A225" s="2" t="s">
        <v>973</v>
      </c>
      <c r="B225" s="1">
        <v>1.0</v>
      </c>
      <c r="C225" s="1">
        <v>2130.0</v>
      </c>
      <c r="D225" s="16">
        <v>5.0E-4</v>
      </c>
      <c r="E225" s="1">
        <v>58.41</v>
      </c>
    </row>
    <row r="226">
      <c r="A226" s="2" t="s">
        <v>742</v>
      </c>
      <c r="B226" s="1">
        <v>1.0</v>
      </c>
      <c r="C226" s="1">
        <v>2123.0</v>
      </c>
      <c r="D226" s="16">
        <v>5.0E-4</v>
      </c>
      <c r="E226" s="1">
        <v>51.44</v>
      </c>
    </row>
    <row r="227">
      <c r="A227" s="2" t="s">
        <v>712</v>
      </c>
      <c r="B227" s="1">
        <v>1.0</v>
      </c>
      <c r="C227" s="1">
        <v>2018.0</v>
      </c>
      <c r="D227" s="16">
        <v>5.0E-4</v>
      </c>
      <c r="E227" s="1">
        <v>80.59</v>
      </c>
    </row>
    <row r="228">
      <c r="A228" s="2" t="s">
        <v>1005</v>
      </c>
      <c r="B228" s="1">
        <v>1.0</v>
      </c>
      <c r="C228" s="1">
        <v>1950.0</v>
      </c>
      <c r="D228" s="16">
        <v>5.0E-4</v>
      </c>
      <c r="E228" s="1">
        <v>74.26</v>
      </c>
    </row>
    <row r="229">
      <c r="A229" s="2" t="s">
        <v>907</v>
      </c>
      <c r="B229" s="1">
        <v>1.0</v>
      </c>
      <c r="C229" s="1">
        <v>1877.0</v>
      </c>
      <c r="D229" s="16">
        <v>5.0E-4</v>
      </c>
      <c r="E229" s="1">
        <v>77.04</v>
      </c>
    </row>
    <row r="230">
      <c r="A230" s="2" t="s">
        <v>2347</v>
      </c>
      <c r="B230" s="1">
        <v>1.0</v>
      </c>
      <c r="C230" s="1">
        <v>1850.0</v>
      </c>
      <c r="D230" s="16">
        <v>5.0E-4</v>
      </c>
      <c r="E230" s="1">
        <v>62.6</v>
      </c>
    </row>
    <row r="231">
      <c r="A231" s="2" t="s">
        <v>640</v>
      </c>
      <c r="B231" s="1">
        <v>1.0</v>
      </c>
      <c r="C231" s="1">
        <v>1616.0</v>
      </c>
      <c r="D231" s="16">
        <v>6.0E-4</v>
      </c>
      <c r="E231" s="1">
        <v>53.32</v>
      </c>
    </row>
    <row r="232">
      <c r="A232" s="2" t="s">
        <v>1234</v>
      </c>
      <c r="B232" s="1">
        <v>1.0</v>
      </c>
      <c r="C232" s="1">
        <v>1315.0</v>
      </c>
      <c r="D232" s="16">
        <v>8.0E-4</v>
      </c>
      <c r="E232" s="1">
        <v>24.04</v>
      </c>
    </row>
    <row r="233">
      <c r="A233" s="2" t="s">
        <v>2310</v>
      </c>
      <c r="B233" s="1">
        <v>1.0</v>
      </c>
      <c r="C233" s="1">
        <v>1277.0</v>
      </c>
      <c r="D233" s="16">
        <v>8.0E-4</v>
      </c>
      <c r="E233" s="1">
        <v>65.28</v>
      </c>
    </row>
    <row r="234">
      <c r="A234" s="2" t="s">
        <v>1511</v>
      </c>
      <c r="B234" s="1">
        <v>1.0</v>
      </c>
      <c r="C234" s="1">
        <v>1254.0</v>
      </c>
      <c r="D234" s="16">
        <v>8.0E-4</v>
      </c>
      <c r="E234" s="1">
        <v>73.38</v>
      </c>
    </row>
    <row r="235">
      <c r="A235" s="2" t="s">
        <v>2099</v>
      </c>
      <c r="B235" s="1">
        <v>1.0</v>
      </c>
      <c r="C235" s="1">
        <v>1057.0</v>
      </c>
      <c r="D235" s="16">
        <v>9.0E-4</v>
      </c>
      <c r="E235" s="1">
        <v>86.53</v>
      </c>
    </row>
    <row r="236">
      <c r="A236" s="2" t="s">
        <v>892</v>
      </c>
      <c r="B236" s="1">
        <v>1.0</v>
      </c>
      <c r="C236" s="1">
        <v>1029.0</v>
      </c>
      <c r="D236" s="16">
        <v>0.001</v>
      </c>
      <c r="E236" s="1">
        <v>36.81</v>
      </c>
    </row>
    <row r="237">
      <c r="A237" s="2" t="s">
        <v>993</v>
      </c>
      <c r="B237" s="1">
        <v>1.0</v>
      </c>
      <c r="C237" s="1">
        <v>984.0</v>
      </c>
      <c r="D237" s="16">
        <v>0.001</v>
      </c>
      <c r="E237" s="1">
        <v>43.82</v>
      </c>
    </row>
    <row r="238">
      <c r="A238" s="2" t="s">
        <v>877</v>
      </c>
      <c r="B238" s="1">
        <v>1.0</v>
      </c>
      <c r="C238" s="1">
        <v>937.0</v>
      </c>
      <c r="D238" s="16">
        <v>0.0011</v>
      </c>
      <c r="E238" s="1">
        <v>29.67</v>
      </c>
    </row>
    <row r="239">
      <c r="A239" s="2" t="s">
        <v>651</v>
      </c>
      <c r="B239" s="1">
        <v>1.0</v>
      </c>
      <c r="C239" s="1">
        <v>903.0</v>
      </c>
      <c r="D239" s="16">
        <v>0.0011</v>
      </c>
      <c r="E239" s="1">
        <v>47.42</v>
      </c>
    </row>
    <row r="240">
      <c r="A240" s="2" t="s">
        <v>936</v>
      </c>
      <c r="B240" s="1">
        <v>1.0</v>
      </c>
      <c r="C240" s="1">
        <v>887.0</v>
      </c>
      <c r="D240" s="16">
        <v>0.0011</v>
      </c>
      <c r="E240" s="1">
        <v>83.09</v>
      </c>
    </row>
    <row r="241">
      <c r="A241" s="2" t="s">
        <v>796</v>
      </c>
      <c r="B241" s="1">
        <v>1.0</v>
      </c>
      <c r="C241" s="1">
        <v>880.0</v>
      </c>
      <c r="D241" s="16">
        <v>0.0011</v>
      </c>
      <c r="E241" s="1">
        <v>64.66</v>
      </c>
    </row>
    <row r="242">
      <c r="A242" s="2" t="s">
        <v>734</v>
      </c>
      <c r="B242" s="1">
        <v>1.0</v>
      </c>
      <c r="C242" s="1">
        <v>833.0</v>
      </c>
      <c r="D242" s="16">
        <v>0.0012</v>
      </c>
      <c r="E242" s="1">
        <v>64.47</v>
      </c>
    </row>
    <row r="243">
      <c r="A243" s="2" t="s">
        <v>1228</v>
      </c>
      <c r="B243" s="1">
        <v>1.0</v>
      </c>
      <c r="C243" s="1">
        <v>724.0</v>
      </c>
      <c r="D243" s="16">
        <v>0.0014</v>
      </c>
      <c r="E243" s="1">
        <v>63.66</v>
      </c>
    </row>
    <row r="244">
      <c r="A244" s="2" t="s">
        <v>1479</v>
      </c>
      <c r="B244" s="1">
        <v>1.0</v>
      </c>
      <c r="C244" s="1">
        <v>696.0</v>
      </c>
      <c r="D244" s="16">
        <v>0.0014</v>
      </c>
      <c r="E244" s="1">
        <v>71.49</v>
      </c>
    </row>
    <row r="245">
      <c r="A245" s="2" t="s">
        <v>702</v>
      </c>
      <c r="B245" s="1">
        <v>1.0</v>
      </c>
      <c r="C245" s="1">
        <v>691.0</v>
      </c>
      <c r="D245" s="16">
        <v>0.0014</v>
      </c>
      <c r="E245" s="1">
        <v>58.18</v>
      </c>
    </row>
    <row r="246">
      <c r="A246" s="2" t="s">
        <v>1396</v>
      </c>
      <c r="B246" s="1">
        <v>1.0</v>
      </c>
      <c r="C246" s="1">
        <v>660.0</v>
      </c>
      <c r="D246" s="16">
        <v>0.0015</v>
      </c>
      <c r="E246" s="1">
        <v>73.39</v>
      </c>
    </row>
    <row r="247">
      <c r="A247" s="2" t="s">
        <v>1550</v>
      </c>
      <c r="B247" s="1">
        <v>1.0</v>
      </c>
      <c r="C247" s="1">
        <v>628.0</v>
      </c>
      <c r="D247" s="16">
        <v>0.0016</v>
      </c>
      <c r="E247" s="1">
        <v>46.68</v>
      </c>
    </row>
    <row r="248">
      <c r="A248" s="2" t="s">
        <v>1552</v>
      </c>
      <c r="B248" s="1">
        <v>1.0</v>
      </c>
      <c r="C248" s="1">
        <v>534.0</v>
      </c>
      <c r="D248" s="16">
        <v>0.0019</v>
      </c>
      <c r="E248" s="1">
        <v>68.42</v>
      </c>
    </row>
    <row r="249">
      <c r="A249" s="2" t="s">
        <v>1159</v>
      </c>
      <c r="B249" s="1">
        <v>1.0</v>
      </c>
      <c r="C249" s="1">
        <v>512.0</v>
      </c>
      <c r="D249" s="16">
        <v>0.002</v>
      </c>
      <c r="E249" s="1">
        <v>23.41</v>
      </c>
    </row>
    <row r="250">
      <c r="A250" s="2" t="s">
        <v>2951</v>
      </c>
      <c r="B250" s="1">
        <v>1.0</v>
      </c>
      <c r="C250" s="1">
        <v>505.0</v>
      </c>
      <c r="D250" s="16">
        <v>0.002</v>
      </c>
      <c r="E250" s="1">
        <v>23.44</v>
      </c>
    </row>
    <row r="251">
      <c r="A251" s="2" t="s">
        <v>2444</v>
      </c>
      <c r="B251" s="1">
        <v>1.0</v>
      </c>
      <c r="C251" s="1">
        <v>477.0</v>
      </c>
      <c r="D251" s="16">
        <v>0.0021</v>
      </c>
      <c r="E251" s="1">
        <v>49.87</v>
      </c>
    </row>
    <row r="252">
      <c r="A252" s="2" t="s">
        <v>788</v>
      </c>
      <c r="B252" s="1">
        <v>1.0</v>
      </c>
      <c r="C252" s="1">
        <v>414.0</v>
      </c>
      <c r="D252" s="16">
        <v>0.0024</v>
      </c>
      <c r="E252" s="1">
        <v>42.72</v>
      </c>
    </row>
    <row r="253">
      <c r="A253" s="2" t="s">
        <v>2952</v>
      </c>
      <c r="B253" s="1">
        <v>1.0</v>
      </c>
      <c r="C253" s="1">
        <v>396.0</v>
      </c>
      <c r="D253" s="16">
        <v>0.0025</v>
      </c>
      <c r="E253" s="1">
        <v>37.73</v>
      </c>
    </row>
    <row r="254">
      <c r="A254" s="2" t="s">
        <v>2178</v>
      </c>
      <c r="B254" s="1">
        <v>1.0</v>
      </c>
      <c r="C254" s="1">
        <v>390.0</v>
      </c>
      <c r="D254" s="16">
        <v>0.0026</v>
      </c>
      <c r="E254" s="1">
        <v>58.82</v>
      </c>
    </row>
    <row r="255">
      <c r="A255" s="2" t="s">
        <v>2953</v>
      </c>
      <c r="B255" s="1">
        <v>1.0</v>
      </c>
      <c r="C255" s="1">
        <v>377.0</v>
      </c>
      <c r="D255" s="16">
        <v>0.0027</v>
      </c>
      <c r="E255" s="1">
        <v>72.25</v>
      </c>
    </row>
    <row r="256">
      <c r="A256" s="2" t="s">
        <v>1892</v>
      </c>
      <c r="B256" s="1">
        <v>1.0</v>
      </c>
      <c r="C256" s="1">
        <v>341.0</v>
      </c>
      <c r="D256" s="16">
        <v>0.0029</v>
      </c>
      <c r="E256" s="1">
        <v>48.56</v>
      </c>
    </row>
    <row r="257">
      <c r="A257" s="2" t="s">
        <v>2153</v>
      </c>
      <c r="B257" s="1">
        <v>1.0</v>
      </c>
      <c r="C257" s="1">
        <v>253.0</v>
      </c>
      <c r="D257" s="16">
        <v>0.004</v>
      </c>
      <c r="E257" s="1">
        <v>79.62</v>
      </c>
    </row>
    <row r="258">
      <c r="A258" s="2" t="s">
        <v>1221</v>
      </c>
      <c r="B258" s="1">
        <v>1.0</v>
      </c>
      <c r="C258" s="1">
        <v>236.0</v>
      </c>
      <c r="D258" s="16">
        <v>0.0042</v>
      </c>
      <c r="E258" s="1">
        <v>32.5</v>
      </c>
    </row>
    <row r="259">
      <c r="A259" s="2" t="s">
        <v>1979</v>
      </c>
      <c r="B259" s="1">
        <v>1.0</v>
      </c>
      <c r="C259" s="1">
        <v>233.0</v>
      </c>
      <c r="D259" s="16">
        <v>0.0043</v>
      </c>
      <c r="E259" s="1">
        <v>55.83</v>
      </c>
    </row>
    <row r="260">
      <c r="A260" s="2" t="s">
        <v>2327</v>
      </c>
      <c r="B260" s="1">
        <v>1.0</v>
      </c>
      <c r="C260" s="1">
        <v>230.0</v>
      </c>
      <c r="D260" s="16">
        <v>0.0043</v>
      </c>
      <c r="E260" s="1">
        <v>16.78</v>
      </c>
    </row>
    <row r="261">
      <c r="A261" s="2" t="s">
        <v>1160</v>
      </c>
      <c r="B261" s="1">
        <v>1.0</v>
      </c>
      <c r="C261" s="1">
        <v>217.0</v>
      </c>
      <c r="D261" s="16">
        <v>0.0046</v>
      </c>
      <c r="E261" s="1">
        <v>51.02</v>
      </c>
    </row>
    <row r="262">
      <c r="A262" s="2" t="s">
        <v>1398</v>
      </c>
      <c r="B262" s="1">
        <v>1.0</v>
      </c>
      <c r="C262" s="1">
        <v>212.0</v>
      </c>
      <c r="D262" s="16">
        <v>0.0047</v>
      </c>
      <c r="E262" s="1">
        <v>46.08</v>
      </c>
    </row>
    <row r="263">
      <c r="A263" s="2" t="s">
        <v>730</v>
      </c>
      <c r="B263" s="1">
        <v>1.0</v>
      </c>
      <c r="C263" s="1">
        <v>191.0</v>
      </c>
      <c r="D263" s="16">
        <v>0.0052</v>
      </c>
      <c r="E263" s="1">
        <v>55.09</v>
      </c>
    </row>
    <row r="264">
      <c r="A264" s="2" t="s">
        <v>1473</v>
      </c>
      <c r="B264" s="1">
        <v>1.0</v>
      </c>
      <c r="C264" s="1">
        <v>190.0</v>
      </c>
      <c r="D264" s="16">
        <v>0.0053</v>
      </c>
      <c r="E264" s="1">
        <v>62.78</v>
      </c>
    </row>
    <row r="265">
      <c r="A265" s="2" t="s">
        <v>2954</v>
      </c>
      <c r="B265" s="1">
        <v>1.0</v>
      </c>
      <c r="C265" s="1">
        <v>189.0</v>
      </c>
      <c r="D265" s="16">
        <v>0.0053</v>
      </c>
      <c r="E265" s="1">
        <v>26.85</v>
      </c>
    </row>
    <row r="266">
      <c r="A266" s="2" t="s">
        <v>843</v>
      </c>
      <c r="B266" s="1">
        <v>1.0</v>
      </c>
      <c r="C266" s="1">
        <v>184.0</v>
      </c>
      <c r="D266" s="16">
        <v>0.0054</v>
      </c>
      <c r="E266" s="1">
        <v>53.42</v>
      </c>
    </row>
    <row r="267">
      <c r="A267" s="2" t="s">
        <v>2151</v>
      </c>
      <c r="B267" s="1">
        <v>1.0</v>
      </c>
      <c r="C267" s="1">
        <v>147.0</v>
      </c>
      <c r="D267" s="16">
        <v>0.0068</v>
      </c>
      <c r="E267" s="1">
        <v>66.22</v>
      </c>
    </row>
    <row r="268">
      <c r="A268" s="2" t="s">
        <v>1427</v>
      </c>
      <c r="B268" s="1">
        <v>1.0</v>
      </c>
      <c r="C268" s="1">
        <v>119.0</v>
      </c>
      <c r="D268" s="16">
        <v>0.0084</v>
      </c>
      <c r="E268" s="1">
        <v>30.31</v>
      </c>
    </row>
    <row r="269">
      <c r="A269" s="2" t="s">
        <v>1745</v>
      </c>
      <c r="B269" s="1">
        <v>1.0</v>
      </c>
      <c r="C269" s="1">
        <v>102.0</v>
      </c>
      <c r="D269" s="16">
        <v>0.0098</v>
      </c>
      <c r="E269" s="1">
        <v>59.02</v>
      </c>
    </row>
    <row r="270">
      <c r="A270" s="2" t="s">
        <v>1423</v>
      </c>
      <c r="B270" s="1">
        <v>1.0</v>
      </c>
      <c r="C270" s="1">
        <v>101.0</v>
      </c>
      <c r="D270" s="16">
        <v>0.0099</v>
      </c>
      <c r="E270" s="1">
        <v>70.72</v>
      </c>
    </row>
    <row r="271">
      <c r="A271" s="2" t="s">
        <v>1787</v>
      </c>
      <c r="B271" s="1">
        <v>1.0</v>
      </c>
      <c r="C271" s="1">
        <v>83.0</v>
      </c>
      <c r="D271" s="16">
        <v>0.012</v>
      </c>
      <c r="E271" s="1">
        <v>51.31</v>
      </c>
    </row>
    <row r="272">
      <c r="A272" s="2" t="s">
        <v>2955</v>
      </c>
      <c r="B272" s="1">
        <v>1.0</v>
      </c>
      <c r="C272" s="1">
        <v>75.0</v>
      </c>
      <c r="D272" s="16">
        <v>0.0133</v>
      </c>
      <c r="E272" s="1">
        <v>86.71</v>
      </c>
    </row>
    <row r="273">
      <c r="A273" s="2" t="s">
        <v>1945</v>
      </c>
      <c r="B273" s="1">
        <v>1.0</v>
      </c>
      <c r="C273" s="1">
        <v>61.0</v>
      </c>
      <c r="D273" s="16">
        <v>0.0164</v>
      </c>
      <c r="E273" s="1">
        <v>64.13</v>
      </c>
    </row>
    <row r="274">
      <c r="A274" s="2" t="s">
        <v>1783</v>
      </c>
      <c r="B274" s="1">
        <v>1.0</v>
      </c>
      <c r="C274" s="1">
        <v>59.0</v>
      </c>
      <c r="D274" s="16">
        <v>0.0169</v>
      </c>
      <c r="E274" s="1">
        <v>31.25</v>
      </c>
    </row>
    <row r="275">
      <c r="A275" s="2" t="s">
        <v>2058</v>
      </c>
      <c r="B275" s="1">
        <v>1.0</v>
      </c>
      <c r="C275" s="1">
        <v>58.0</v>
      </c>
      <c r="D275" s="16">
        <v>0.0172</v>
      </c>
      <c r="E275" s="1">
        <v>22.0</v>
      </c>
    </row>
    <row r="276">
      <c r="A276" s="2" t="s">
        <v>1779</v>
      </c>
      <c r="B276" s="1">
        <v>1.0</v>
      </c>
      <c r="C276" s="1">
        <v>53.0</v>
      </c>
      <c r="D276" s="16">
        <v>0.0189</v>
      </c>
      <c r="E276" s="1">
        <v>23.92</v>
      </c>
    </row>
    <row r="277">
      <c r="A277" s="2" t="s">
        <v>1560</v>
      </c>
      <c r="B277" s="1">
        <v>1.0</v>
      </c>
      <c r="C277" s="1">
        <v>47.0</v>
      </c>
      <c r="D277" s="16">
        <v>0.0213</v>
      </c>
      <c r="E277" s="1">
        <v>50.89</v>
      </c>
    </row>
    <row r="278">
      <c r="A278" s="2" t="s">
        <v>1080</v>
      </c>
      <c r="B278" s="1">
        <v>1.0</v>
      </c>
      <c r="C278" s="1">
        <v>44.0</v>
      </c>
      <c r="D278" s="16">
        <v>0.0227</v>
      </c>
      <c r="E278" s="1">
        <v>72.52</v>
      </c>
    </row>
    <row r="279">
      <c r="A279" s="2" t="s">
        <v>856</v>
      </c>
      <c r="B279" s="1">
        <v>1.0</v>
      </c>
      <c r="C279" s="1">
        <v>40.0</v>
      </c>
      <c r="D279" s="16">
        <v>0.025</v>
      </c>
      <c r="E279" s="1">
        <v>9.05</v>
      </c>
    </row>
    <row r="280">
      <c r="A280" s="2" t="s">
        <v>1082</v>
      </c>
      <c r="B280" s="1">
        <v>1.0</v>
      </c>
      <c r="C280" s="1">
        <v>26.0</v>
      </c>
      <c r="D280" s="16">
        <v>0.0385</v>
      </c>
      <c r="E280" s="1">
        <v>19.04</v>
      </c>
    </row>
    <row r="281">
      <c r="A281" s="2" t="s">
        <v>1998</v>
      </c>
      <c r="B281" s="1">
        <v>1.0</v>
      </c>
      <c r="C281" s="1">
        <v>26.0</v>
      </c>
      <c r="D281" s="16">
        <v>0.0385</v>
      </c>
      <c r="E281" s="1">
        <v>54.69</v>
      </c>
    </row>
    <row r="282">
      <c r="A282" s="2" t="s">
        <v>1835</v>
      </c>
      <c r="B282" s="1">
        <v>1.0</v>
      </c>
      <c r="C282" s="1">
        <v>25.0</v>
      </c>
      <c r="D282" s="17">
        <v>0.04</v>
      </c>
      <c r="E282" s="1">
        <v>36.4</v>
      </c>
    </row>
    <row r="283">
      <c r="A283" s="2" t="s">
        <v>2369</v>
      </c>
      <c r="B283" s="1">
        <v>1.0</v>
      </c>
      <c r="C283" s="1">
        <v>22.0</v>
      </c>
      <c r="D283" s="16">
        <v>0.0455</v>
      </c>
      <c r="E283" s="1">
        <v>23.95</v>
      </c>
    </row>
    <row r="284">
      <c r="A284" s="2" t="s">
        <v>2956</v>
      </c>
      <c r="B284" s="1">
        <v>1.0</v>
      </c>
      <c r="C284" s="1">
        <v>22.0</v>
      </c>
      <c r="D284" s="16">
        <v>0.0455</v>
      </c>
      <c r="E284" s="1">
        <v>51.09</v>
      </c>
    </row>
    <row r="285">
      <c r="A285" s="2" t="s">
        <v>2957</v>
      </c>
      <c r="B285" s="1">
        <v>1.0</v>
      </c>
      <c r="C285" s="1">
        <v>21.0</v>
      </c>
      <c r="D285" s="16">
        <v>0.0476</v>
      </c>
      <c r="E285" s="1">
        <v>27.86</v>
      </c>
    </row>
    <row r="286">
      <c r="A286" s="2" t="s">
        <v>1408</v>
      </c>
      <c r="B286" s="1">
        <v>1.0</v>
      </c>
      <c r="C286" s="1">
        <v>20.0</v>
      </c>
      <c r="D286" s="17">
        <v>0.05</v>
      </c>
      <c r="E286" s="1">
        <v>57.7</v>
      </c>
    </row>
    <row r="287">
      <c r="A287" s="2" t="s">
        <v>634</v>
      </c>
      <c r="B287" s="1">
        <v>1.0</v>
      </c>
      <c r="C287" s="1">
        <v>17.0</v>
      </c>
      <c r="D287" s="16">
        <v>0.0588</v>
      </c>
      <c r="E287" s="1">
        <v>25.0</v>
      </c>
    </row>
    <row r="288">
      <c r="A288" s="2" t="s">
        <v>1421</v>
      </c>
      <c r="B288" s="1">
        <v>1.0</v>
      </c>
      <c r="C288" s="1">
        <v>17.0</v>
      </c>
      <c r="D288" s="16">
        <v>0.0588</v>
      </c>
      <c r="E288" s="1">
        <v>52.18</v>
      </c>
    </row>
    <row r="289">
      <c r="A289" s="2" t="s">
        <v>1955</v>
      </c>
      <c r="B289" s="1">
        <v>1.0</v>
      </c>
      <c r="C289" s="1">
        <v>14.0</v>
      </c>
      <c r="D289" s="16">
        <v>0.0714</v>
      </c>
      <c r="E289" s="1">
        <v>22.57</v>
      </c>
    </row>
    <row r="290">
      <c r="A290" s="2" t="s">
        <v>2207</v>
      </c>
      <c r="B290" s="1">
        <v>1.0</v>
      </c>
      <c r="C290" s="1">
        <v>12.0</v>
      </c>
      <c r="D290" s="16">
        <v>0.0833</v>
      </c>
      <c r="E290" s="1">
        <v>35.33</v>
      </c>
    </row>
    <row r="291">
      <c r="A291" s="2" t="s">
        <v>2958</v>
      </c>
      <c r="B291" s="1">
        <v>1.0</v>
      </c>
      <c r="C291" s="1">
        <v>11.0</v>
      </c>
      <c r="D291" s="16">
        <v>0.0909</v>
      </c>
      <c r="E291" s="1">
        <v>86.55</v>
      </c>
    </row>
    <row r="292">
      <c r="A292" s="2" t="s">
        <v>2211</v>
      </c>
      <c r="B292" s="1">
        <v>1.0</v>
      </c>
      <c r="C292" s="1">
        <v>10.0</v>
      </c>
      <c r="D292" s="17">
        <v>0.1</v>
      </c>
      <c r="E292" s="1">
        <v>22.1</v>
      </c>
    </row>
    <row r="293">
      <c r="A293" s="2" t="s">
        <v>1628</v>
      </c>
      <c r="B293" s="1">
        <v>1.0</v>
      </c>
      <c r="C293" s="1">
        <v>10.0</v>
      </c>
      <c r="D293" s="17">
        <v>0.1</v>
      </c>
      <c r="E293" s="1">
        <v>28.2</v>
      </c>
    </row>
    <row r="294">
      <c r="A294" s="2" t="s">
        <v>1440</v>
      </c>
      <c r="B294" s="1">
        <v>1.0</v>
      </c>
      <c r="C294" s="1">
        <v>9.0</v>
      </c>
      <c r="D294" s="16">
        <v>0.1111</v>
      </c>
      <c r="E294" s="1">
        <v>40.78</v>
      </c>
    </row>
    <row r="295">
      <c r="A295" s="2" t="s">
        <v>491</v>
      </c>
      <c r="B295" s="1">
        <v>1.0</v>
      </c>
      <c r="C295" s="1">
        <v>7.0</v>
      </c>
      <c r="D295" s="16">
        <v>0.1429</v>
      </c>
      <c r="E295" s="1">
        <v>18.86</v>
      </c>
    </row>
    <row r="296">
      <c r="A296" s="2" t="s">
        <v>2112</v>
      </c>
      <c r="B296" s="1">
        <v>1.0</v>
      </c>
      <c r="C296" s="1">
        <v>6.0</v>
      </c>
      <c r="D296" s="16">
        <v>0.1667</v>
      </c>
      <c r="E296" s="1">
        <v>14.0</v>
      </c>
    </row>
    <row r="297">
      <c r="A297" s="2" t="s">
        <v>975</v>
      </c>
      <c r="B297" s="1">
        <v>1.0</v>
      </c>
      <c r="C297" s="1">
        <v>6.0</v>
      </c>
      <c r="D297" s="16">
        <v>0.1667</v>
      </c>
      <c r="E297" s="1">
        <v>14.17</v>
      </c>
    </row>
    <row r="298">
      <c r="A298" s="2" t="s">
        <v>1594</v>
      </c>
      <c r="B298" s="1">
        <v>1.0</v>
      </c>
      <c r="C298" s="1">
        <v>6.0</v>
      </c>
      <c r="D298" s="16">
        <v>0.1667</v>
      </c>
      <c r="E298" s="1">
        <v>33.83</v>
      </c>
    </row>
    <row r="299">
      <c r="A299" s="2" t="s">
        <v>1509</v>
      </c>
      <c r="B299" s="1">
        <v>1.0</v>
      </c>
      <c r="C299" s="1">
        <v>4.0</v>
      </c>
      <c r="D299" s="17">
        <v>0.25</v>
      </c>
      <c r="E299" s="1">
        <v>19.75</v>
      </c>
    </row>
    <row r="300">
      <c r="A300" s="2" t="s">
        <v>2959</v>
      </c>
      <c r="B300" s="1">
        <v>1.0</v>
      </c>
      <c r="C300" s="1">
        <v>3.0</v>
      </c>
      <c r="D300" s="16">
        <v>0.3333</v>
      </c>
      <c r="E300" s="1">
        <v>9.33</v>
      </c>
    </row>
    <row r="301">
      <c r="A301" s="2" t="s">
        <v>2458</v>
      </c>
      <c r="B301" s="1">
        <v>1.0</v>
      </c>
      <c r="C301" s="1">
        <v>2.0</v>
      </c>
      <c r="D301" s="17">
        <v>0.5</v>
      </c>
      <c r="E301" s="1">
        <v>5.5</v>
      </c>
    </row>
    <row r="302">
      <c r="A302" s="2" t="s">
        <v>1815</v>
      </c>
      <c r="B302" s="1">
        <v>1.0</v>
      </c>
      <c r="C302" s="1">
        <v>2.0</v>
      </c>
      <c r="D302" s="17">
        <v>0.5</v>
      </c>
      <c r="E302" s="1">
        <v>63.0</v>
      </c>
    </row>
    <row r="303">
      <c r="A303" s="2" t="s">
        <v>2960</v>
      </c>
      <c r="B303" s="1">
        <v>1.0</v>
      </c>
      <c r="C303" s="1">
        <v>1.0</v>
      </c>
      <c r="D303" s="17">
        <v>1.0</v>
      </c>
      <c r="E303" s="1">
        <v>2.0</v>
      </c>
    </row>
    <row r="304">
      <c r="A304" s="2" t="s">
        <v>2249</v>
      </c>
      <c r="B304" s="1">
        <v>0.0</v>
      </c>
      <c r="C304" s="1">
        <v>10933.0</v>
      </c>
      <c r="D304" s="17">
        <v>0.0</v>
      </c>
      <c r="E304" s="1">
        <v>62.85</v>
      </c>
    </row>
    <row r="305">
      <c r="A305" s="2" t="s">
        <v>808</v>
      </c>
      <c r="B305" s="1">
        <v>0.0</v>
      </c>
      <c r="C305" s="1">
        <v>7478.0</v>
      </c>
      <c r="D305" s="17">
        <v>0.0</v>
      </c>
      <c r="E305" s="1">
        <v>53.31</v>
      </c>
    </row>
    <row r="306">
      <c r="A306" s="2" t="s">
        <v>2961</v>
      </c>
      <c r="B306" s="1">
        <v>0.0</v>
      </c>
      <c r="C306" s="1">
        <v>7007.0</v>
      </c>
      <c r="D306" s="17">
        <v>0.0</v>
      </c>
      <c r="E306" s="1">
        <v>81.99</v>
      </c>
    </row>
    <row r="307">
      <c r="A307" s="2" t="s">
        <v>1610</v>
      </c>
      <c r="B307" s="1">
        <v>0.0</v>
      </c>
      <c r="C307" s="1">
        <v>6603.0</v>
      </c>
      <c r="D307" s="17">
        <v>0.0</v>
      </c>
      <c r="E307" s="1">
        <v>65.15</v>
      </c>
    </row>
    <row r="308">
      <c r="A308" s="2" t="s">
        <v>2962</v>
      </c>
      <c r="B308" s="1">
        <v>0.0</v>
      </c>
      <c r="C308" s="1">
        <v>5495.0</v>
      </c>
      <c r="D308" s="17">
        <v>0.0</v>
      </c>
      <c r="E308" s="1">
        <v>82.73</v>
      </c>
    </row>
    <row r="309">
      <c r="A309" s="2" t="s">
        <v>722</v>
      </c>
      <c r="B309" s="1">
        <v>0.0</v>
      </c>
      <c r="C309" s="1">
        <v>4238.0</v>
      </c>
      <c r="D309" s="17">
        <v>0.0</v>
      </c>
      <c r="E309" s="1">
        <v>93.86</v>
      </c>
    </row>
    <row r="310">
      <c r="A310" s="2" t="s">
        <v>837</v>
      </c>
      <c r="B310" s="1">
        <v>0.0</v>
      </c>
      <c r="C310" s="1">
        <v>4145.0</v>
      </c>
      <c r="D310" s="17">
        <v>0.0</v>
      </c>
      <c r="E310" s="1">
        <v>52.55</v>
      </c>
    </row>
    <row r="311">
      <c r="A311" s="2" t="s">
        <v>1183</v>
      </c>
      <c r="B311" s="1">
        <v>0.0</v>
      </c>
      <c r="C311" s="1">
        <v>3986.0</v>
      </c>
      <c r="D311" s="17">
        <v>0.0</v>
      </c>
      <c r="E311" s="1">
        <v>49.04</v>
      </c>
    </row>
    <row r="312">
      <c r="A312" s="2" t="s">
        <v>700</v>
      </c>
      <c r="B312" s="1">
        <v>0.0</v>
      </c>
      <c r="C312" s="1">
        <v>3620.0</v>
      </c>
      <c r="D312" s="17">
        <v>0.0</v>
      </c>
      <c r="E312" s="1">
        <v>67.53</v>
      </c>
    </row>
    <row r="313">
      <c r="A313" s="2" t="s">
        <v>1207</v>
      </c>
      <c r="B313" s="1">
        <v>0.0</v>
      </c>
      <c r="C313" s="1">
        <v>3514.0</v>
      </c>
      <c r="D313" s="17">
        <v>0.0</v>
      </c>
      <c r="E313" s="1">
        <v>71.87</v>
      </c>
    </row>
    <row r="314">
      <c r="A314" s="2" t="s">
        <v>720</v>
      </c>
      <c r="B314" s="1">
        <v>0.0</v>
      </c>
      <c r="C314" s="1">
        <v>3420.0</v>
      </c>
      <c r="D314" s="17">
        <v>0.0</v>
      </c>
      <c r="E314" s="1">
        <v>68.96</v>
      </c>
    </row>
    <row r="315">
      <c r="A315" s="2" t="s">
        <v>1731</v>
      </c>
      <c r="B315" s="1">
        <v>0.0</v>
      </c>
      <c r="C315" s="1">
        <v>3222.0</v>
      </c>
      <c r="D315" s="17">
        <v>0.0</v>
      </c>
      <c r="E315" s="1">
        <v>35.61</v>
      </c>
    </row>
    <row r="316">
      <c r="A316" s="2" t="s">
        <v>2963</v>
      </c>
      <c r="B316" s="1">
        <v>0.0</v>
      </c>
      <c r="C316" s="1">
        <v>2794.0</v>
      </c>
      <c r="D316" s="17">
        <v>0.0</v>
      </c>
      <c r="E316" s="1">
        <v>70.77</v>
      </c>
    </row>
    <row r="317">
      <c r="A317" s="2" t="s">
        <v>2964</v>
      </c>
      <c r="B317" s="1">
        <v>0.0</v>
      </c>
      <c r="C317" s="1">
        <v>2634.0</v>
      </c>
      <c r="D317" s="17">
        <v>0.0</v>
      </c>
      <c r="E317" s="1">
        <v>72.25</v>
      </c>
    </row>
    <row r="318">
      <c r="A318" s="2" t="s">
        <v>499</v>
      </c>
      <c r="B318" s="1">
        <v>0.0</v>
      </c>
      <c r="C318" s="1">
        <v>2460.0</v>
      </c>
      <c r="D318" s="17">
        <v>0.0</v>
      </c>
      <c r="E318" s="1">
        <v>25.92</v>
      </c>
    </row>
    <row r="319">
      <c r="A319" s="2" t="s">
        <v>1436</v>
      </c>
      <c r="B319" s="1">
        <v>0.0</v>
      </c>
      <c r="C319" s="1">
        <v>2357.0</v>
      </c>
      <c r="D319" s="17">
        <v>0.0</v>
      </c>
      <c r="E319" s="1">
        <v>47.51</v>
      </c>
    </row>
    <row r="320">
      <c r="A320" s="2" t="s">
        <v>1648</v>
      </c>
      <c r="B320" s="1">
        <v>0.0</v>
      </c>
      <c r="C320" s="1">
        <v>2155.0</v>
      </c>
      <c r="D320" s="17">
        <v>0.0</v>
      </c>
      <c r="E320" s="1">
        <v>45.55</v>
      </c>
    </row>
    <row r="321">
      <c r="A321" s="2" t="s">
        <v>632</v>
      </c>
      <c r="B321" s="1">
        <v>0.0</v>
      </c>
      <c r="C321" s="1">
        <v>2125.0</v>
      </c>
      <c r="D321" s="17">
        <v>0.0</v>
      </c>
      <c r="E321" s="1">
        <v>49.6</v>
      </c>
    </row>
    <row r="322">
      <c r="A322" s="2" t="s">
        <v>841</v>
      </c>
      <c r="B322" s="1">
        <v>0.0</v>
      </c>
      <c r="C322" s="1">
        <v>2026.0</v>
      </c>
      <c r="D322" s="17">
        <v>0.0</v>
      </c>
      <c r="E322" s="1">
        <v>59.9</v>
      </c>
    </row>
    <row r="323">
      <c r="A323" s="2" t="s">
        <v>2965</v>
      </c>
      <c r="B323" s="1">
        <v>0.0</v>
      </c>
      <c r="C323" s="1">
        <v>1954.0</v>
      </c>
      <c r="D323" s="17">
        <v>0.0</v>
      </c>
      <c r="E323" s="1">
        <v>74.56</v>
      </c>
    </row>
    <row r="324">
      <c r="A324" s="2" t="s">
        <v>786</v>
      </c>
      <c r="B324" s="1">
        <v>0.0</v>
      </c>
      <c r="C324" s="1">
        <v>1934.0</v>
      </c>
      <c r="D324" s="17">
        <v>0.0</v>
      </c>
      <c r="E324" s="1">
        <v>86.2</v>
      </c>
    </row>
    <row r="325">
      <c r="A325" s="2" t="s">
        <v>2966</v>
      </c>
      <c r="B325" s="1">
        <v>0.0</v>
      </c>
      <c r="C325" s="1">
        <v>1816.0</v>
      </c>
      <c r="D325" s="17">
        <v>0.0</v>
      </c>
      <c r="E325" s="1">
        <v>32.72</v>
      </c>
    </row>
    <row r="326">
      <c r="A326" s="2" t="s">
        <v>1708</v>
      </c>
      <c r="B326" s="1">
        <v>0.0</v>
      </c>
      <c r="C326" s="1">
        <v>1656.0</v>
      </c>
      <c r="D326" s="17">
        <v>0.0</v>
      </c>
      <c r="E326" s="1">
        <v>75.21</v>
      </c>
    </row>
    <row r="327">
      <c r="A327" s="2" t="s">
        <v>1204</v>
      </c>
      <c r="B327" s="1">
        <v>0.0</v>
      </c>
      <c r="C327" s="1">
        <v>1654.0</v>
      </c>
      <c r="D327" s="17">
        <v>0.0</v>
      </c>
      <c r="E327" s="1">
        <v>51.64</v>
      </c>
    </row>
    <row r="328">
      <c r="A328" s="2" t="s">
        <v>2967</v>
      </c>
      <c r="B328" s="1">
        <v>0.0</v>
      </c>
      <c r="C328" s="1">
        <v>1580.0</v>
      </c>
      <c r="D328" s="17">
        <v>0.0</v>
      </c>
      <c r="E328" s="1">
        <v>70.81</v>
      </c>
    </row>
    <row r="329">
      <c r="A329" s="2" t="s">
        <v>1825</v>
      </c>
      <c r="B329" s="1">
        <v>0.0</v>
      </c>
      <c r="C329" s="1">
        <v>1468.0</v>
      </c>
      <c r="D329" s="17">
        <v>0.0</v>
      </c>
      <c r="E329" s="1">
        <v>50.37</v>
      </c>
    </row>
    <row r="330">
      <c r="A330" s="2" t="s">
        <v>708</v>
      </c>
      <c r="B330" s="1">
        <v>0.0</v>
      </c>
      <c r="C330" s="1">
        <v>1414.0</v>
      </c>
      <c r="D330" s="17">
        <v>0.0</v>
      </c>
      <c r="E330" s="1">
        <v>48.96</v>
      </c>
    </row>
    <row r="331">
      <c r="A331" s="2" t="s">
        <v>1033</v>
      </c>
      <c r="B331" s="1">
        <v>0.0</v>
      </c>
      <c r="C331" s="1">
        <v>1402.0</v>
      </c>
      <c r="D331" s="17">
        <v>0.0</v>
      </c>
      <c r="E331" s="1">
        <v>51.0</v>
      </c>
    </row>
    <row r="332">
      <c r="A332" s="2" t="s">
        <v>2384</v>
      </c>
      <c r="B332" s="1">
        <v>0.0</v>
      </c>
      <c r="C332" s="1">
        <v>1348.0</v>
      </c>
      <c r="D332" s="17">
        <v>0.0</v>
      </c>
      <c r="E332" s="1">
        <v>23.85</v>
      </c>
    </row>
    <row r="333">
      <c r="A333" s="2" t="s">
        <v>879</v>
      </c>
      <c r="B333" s="1">
        <v>0.0</v>
      </c>
      <c r="C333" s="1">
        <v>1145.0</v>
      </c>
      <c r="D333" s="17">
        <v>0.0</v>
      </c>
      <c r="E333" s="1">
        <v>43.99</v>
      </c>
    </row>
    <row r="334">
      <c r="A334" s="2" t="s">
        <v>728</v>
      </c>
      <c r="B334" s="1">
        <v>0.0</v>
      </c>
      <c r="C334" s="1">
        <v>1098.0</v>
      </c>
      <c r="D334" s="17">
        <v>0.0</v>
      </c>
      <c r="E334" s="1">
        <v>68.43</v>
      </c>
    </row>
    <row r="335">
      <c r="A335" s="2" t="s">
        <v>736</v>
      </c>
      <c r="B335" s="1">
        <v>0.0</v>
      </c>
      <c r="C335" s="1">
        <v>1093.0</v>
      </c>
      <c r="D335" s="17">
        <v>0.0</v>
      </c>
      <c r="E335" s="1">
        <v>66.04</v>
      </c>
    </row>
    <row r="336">
      <c r="A336" s="2" t="s">
        <v>2968</v>
      </c>
      <c r="B336" s="1">
        <v>0.0</v>
      </c>
      <c r="C336" s="1">
        <v>1084.0</v>
      </c>
      <c r="D336" s="17">
        <v>0.0</v>
      </c>
      <c r="E336" s="1">
        <v>43.86</v>
      </c>
    </row>
    <row r="337">
      <c r="A337" s="2" t="s">
        <v>1318</v>
      </c>
      <c r="B337" s="1">
        <v>0.0</v>
      </c>
      <c r="C337" s="1">
        <v>1079.0</v>
      </c>
      <c r="D337" s="17">
        <v>0.0</v>
      </c>
      <c r="E337" s="1">
        <v>20.79</v>
      </c>
    </row>
    <row r="338">
      <c r="A338" s="2" t="s">
        <v>1912</v>
      </c>
      <c r="B338" s="1">
        <v>0.0</v>
      </c>
      <c r="C338" s="1">
        <v>1054.0</v>
      </c>
      <c r="D338" s="17">
        <v>0.0</v>
      </c>
      <c r="E338" s="1">
        <v>55.92</v>
      </c>
    </row>
    <row r="339">
      <c r="A339" s="2" t="s">
        <v>1037</v>
      </c>
      <c r="B339" s="1">
        <v>0.0</v>
      </c>
      <c r="C339" s="1">
        <v>1040.0</v>
      </c>
      <c r="D339" s="17">
        <v>0.0</v>
      </c>
      <c r="E339" s="1">
        <v>48.36</v>
      </c>
    </row>
    <row r="340">
      <c r="A340" s="2" t="s">
        <v>996</v>
      </c>
      <c r="B340" s="1">
        <v>0.0</v>
      </c>
      <c r="C340" s="1">
        <v>1030.0</v>
      </c>
      <c r="D340" s="17">
        <v>0.0</v>
      </c>
      <c r="E340" s="1">
        <v>58.68</v>
      </c>
    </row>
    <row r="341">
      <c r="A341" s="2" t="s">
        <v>1202</v>
      </c>
      <c r="B341" s="1">
        <v>0.0</v>
      </c>
      <c r="C341" s="1">
        <v>1015.0</v>
      </c>
      <c r="D341" s="17">
        <v>0.0</v>
      </c>
      <c r="E341" s="1">
        <v>45.21</v>
      </c>
    </row>
    <row r="342">
      <c r="A342" s="2" t="s">
        <v>2969</v>
      </c>
      <c r="B342" s="1">
        <v>0.0</v>
      </c>
      <c r="C342" s="1">
        <v>1012.0</v>
      </c>
      <c r="D342" s="17">
        <v>0.0</v>
      </c>
      <c r="E342" s="1">
        <v>72.11</v>
      </c>
    </row>
    <row r="343">
      <c r="A343" s="2" t="s">
        <v>673</v>
      </c>
      <c r="B343" s="1">
        <v>0.0</v>
      </c>
      <c r="C343" s="1">
        <v>975.0</v>
      </c>
      <c r="D343" s="17">
        <v>0.0</v>
      </c>
      <c r="E343" s="1">
        <v>47.1</v>
      </c>
    </row>
    <row r="344">
      <c r="A344" s="2" t="s">
        <v>614</v>
      </c>
      <c r="B344" s="1">
        <v>0.0</v>
      </c>
      <c r="C344" s="1">
        <v>952.0</v>
      </c>
      <c r="D344" s="17">
        <v>0.0</v>
      </c>
      <c r="E344" s="1">
        <v>54.89</v>
      </c>
    </row>
    <row r="345">
      <c r="A345" s="2" t="s">
        <v>1483</v>
      </c>
      <c r="B345" s="1">
        <v>0.0</v>
      </c>
      <c r="C345" s="1">
        <v>923.0</v>
      </c>
      <c r="D345" s="17">
        <v>0.0</v>
      </c>
      <c r="E345" s="1">
        <v>64.09</v>
      </c>
    </row>
    <row r="346">
      <c r="A346" s="2" t="s">
        <v>1689</v>
      </c>
      <c r="B346" s="1">
        <v>0.0</v>
      </c>
      <c r="C346" s="1">
        <v>916.0</v>
      </c>
      <c r="D346" s="17">
        <v>0.0</v>
      </c>
      <c r="E346" s="1">
        <v>72.31</v>
      </c>
    </row>
    <row r="347">
      <c r="A347" s="2" t="s">
        <v>459</v>
      </c>
      <c r="B347" s="1">
        <v>0.0</v>
      </c>
      <c r="C347" s="1">
        <v>892.0</v>
      </c>
      <c r="D347" s="17">
        <v>0.0</v>
      </c>
      <c r="E347" s="1">
        <v>51.78</v>
      </c>
    </row>
    <row r="348">
      <c r="A348" s="2" t="s">
        <v>586</v>
      </c>
      <c r="B348" s="1">
        <v>0.0</v>
      </c>
      <c r="C348" s="1">
        <v>877.0</v>
      </c>
      <c r="D348" s="17">
        <v>0.0</v>
      </c>
      <c r="E348" s="1">
        <v>42.77</v>
      </c>
    </row>
    <row r="349">
      <c r="A349" s="2" t="s">
        <v>1213</v>
      </c>
      <c r="B349" s="1">
        <v>0.0</v>
      </c>
      <c r="C349" s="1">
        <v>873.0</v>
      </c>
      <c r="D349" s="17">
        <v>0.0</v>
      </c>
      <c r="E349" s="1">
        <v>47.43</v>
      </c>
    </row>
    <row r="350">
      <c r="A350" s="2" t="s">
        <v>2970</v>
      </c>
      <c r="B350" s="1">
        <v>0.0</v>
      </c>
      <c r="C350" s="1">
        <v>848.0</v>
      </c>
      <c r="D350" s="17">
        <v>0.0</v>
      </c>
      <c r="E350" s="1">
        <v>64.34</v>
      </c>
    </row>
    <row r="351">
      <c r="A351" s="2" t="s">
        <v>539</v>
      </c>
      <c r="B351" s="1">
        <v>0.0</v>
      </c>
      <c r="C351" s="1">
        <v>842.0</v>
      </c>
      <c r="D351" s="17">
        <v>0.0</v>
      </c>
      <c r="E351" s="1">
        <v>71.22</v>
      </c>
    </row>
    <row r="352">
      <c r="A352" s="2" t="s">
        <v>1702</v>
      </c>
      <c r="B352" s="1">
        <v>0.0</v>
      </c>
      <c r="C352" s="1">
        <v>837.0</v>
      </c>
      <c r="D352" s="17">
        <v>0.0</v>
      </c>
      <c r="E352" s="1">
        <v>53.22</v>
      </c>
    </row>
    <row r="353">
      <c r="A353" s="2" t="s">
        <v>1418</v>
      </c>
      <c r="B353" s="1">
        <v>0.0</v>
      </c>
      <c r="C353" s="1">
        <v>807.0</v>
      </c>
      <c r="D353" s="17">
        <v>0.0</v>
      </c>
      <c r="E353" s="1">
        <v>62.34</v>
      </c>
    </row>
    <row r="354">
      <c r="A354" s="2" t="s">
        <v>1382</v>
      </c>
      <c r="B354" s="1">
        <v>0.0</v>
      </c>
      <c r="C354" s="1">
        <v>771.0</v>
      </c>
      <c r="D354" s="17">
        <v>0.0</v>
      </c>
      <c r="E354" s="1">
        <v>56.53</v>
      </c>
    </row>
    <row r="355">
      <c r="A355" s="2" t="s">
        <v>1870</v>
      </c>
      <c r="B355" s="1">
        <v>0.0</v>
      </c>
      <c r="C355" s="1">
        <v>758.0</v>
      </c>
      <c r="D355" s="17">
        <v>0.0</v>
      </c>
      <c r="E355" s="1">
        <v>68.11</v>
      </c>
    </row>
    <row r="356">
      <c r="A356" s="2" t="s">
        <v>1063</v>
      </c>
      <c r="B356" s="1">
        <v>0.0</v>
      </c>
      <c r="C356" s="1">
        <v>744.0</v>
      </c>
      <c r="D356" s="17">
        <v>0.0</v>
      </c>
      <c r="E356" s="1">
        <v>39.4</v>
      </c>
    </row>
    <row r="357">
      <c r="A357" s="2" t="s">
        <v>704</v>
      </c>
      <c r="B357" s="1">
        <v>0.0</v>
      </c>
      <c r="C357" s="1">
        <v>715.0</v>
      </c>
      <c r="D357" s="17">
        <v>0.0</v>
      </c>
      <c r="E357" s="1">
        <v>48.27</v>
      </c>
    </row>
    <row r="358">
      <c r="A358" s="2" t="s">
        <v>2295</v>
      </c>
      <c r="B358" s="1">
        <v>0.0</v>
      </c>
      <c r="C358" s="1">
        <v>699.0</v>
      </c>
      <c r="D358" s="17">
        <v>0.0</v>
      </c>
      <c r="E358" s="1">
        <v>65.49</v>
      </c>
    </row>
    <row r="359">
      <c r="A359" s="2" t="s">
        <v>2971</v>
      </c>
      <c r="B359" s="1">
        <v>0.0</v>
      </c>
      <c r="C359" s="1">
        <v>685.0</v>
      </c>
      <c r="D359" s="17">
        <v>0.0</v>
      </c>
      <c r="E359" s="1">
        <v>31.04</v>
      </c>
    </row>
    <row r="360">
      <c r="A360" s="2" t="s">
        <v>1600</v>
      </c>
      <c r="B360" s="1">
        <v>0.0</v>
      </c>
      <c r="C360" s="1">
        <v>649.0</v>
      </c>
      <c r="D360" s="17">
        <v>0.0</v>
      </c>
      <c r="E360" s="1">
        <v>83.43</v>
      </c>
    </row>
    <row r="361">
      <c r="A361" s="2" t="s">
        <v>991</v>
      </c>
      <c r="B361" s="1">
        <v>0.0</v>
      </c>
      <c r="C361" s="1">
        <v>647.0</v>
      </c>
      <c r="D361" s="17">
        <v>0.0</v>
      </c>
      <c r="E361" s="1">
        <v>62.54</v>
      </c>
    </row>
    <row r="362">
      <c r="A362" s="2" t="s">
        <v>1789</v>
      </c>
      <c r="B362" s="1">
        <v>0.0</v>
      </c>
      <c r="C362" s="1">
        <v>644.0</v>
      </c>
      <c r="D362" s="17">
        <v>0.0</v>
      </c>
      <c r="E362" s="1">
        <v>59.21</v>
      </c>
    </row>
    <row r="363">
      <c r="A363" s="2" t="s">
        <v>1356</v>
      </c>
      <c r="B363" s="1">
        <v>0.0</v>
      </c>
      <c r="C363" s="1">
        <v>636.0</v>
      </c>
      <c r="D363" s="17">
        <v>0.0</v>
      </c>
      <c r="E363" s="1">
        <v>57.48</v>
      </c>
    </row>
    <row r="364">
      <c r="A364" s="2" t="s">
        <v>2972</v>
      </c>
      <c r="B364" s="1">
        <v>0.0</v>
      </c>
      <c r="C364" s="1">
        <v>629.0</v>
      </c>
      <c r="D364" s="17">
        <v>0.0</v>
      </c>
      <c r="E364" s="1">
        <v>72.0</v>
      </c>
    </row>
    <row r="365">
      <c r="A365" s="2" t="s">
        <v>1246</v>
      </c>
      <c r="B365" s="1">
        <v>0.0</v>
      </c>
      <c r="C365" s="1">
        <v>618.0</v>
      </c>
      <c r="D365" s="17">
        <v>0.0</v>
      </c>
      <c r="E365" s="1">
        <v>43.69</v>
      </c>
    </row>
    <row r="366">
      <c r="A366" s="2" t="s">
        <v>511</v>
      </c>
      <c r="B366" s="1">
        <v>0.0</v>
      </c>
      <c r="C366" s="1">
        <v>616.0</v>
      </c>
      <c r="D366" s="17">
        <v>0.0</v>
      </c>
      <c r="E366" s="1">
        <v>81.48</v>
      </c>
    </row>
    <row r="367">
      <c r="A367" s="2" t="s">
        <v>1368</v>
      </c>
      <c r="B367" s="1">
        <v>0.0</v>
      </c>
      <c r="C367" s="1">
        <v>601.0</v>
      </c>
      <c r="D367" s="17">
        <v>0.0</v>
      </c>
      <c r="E367" s="1">
        <v>64.65</v>
      </c>
    </row>
    <row r="368">
      <c r="A368" s="2" t="s">
        <v>824</v>
      </c>
      <c r="B368" s="1">
        <v>0.0</v>
      </c>
      <c r="C368" s="1">
        <v>595.0</v>
      </c>
      <c r="D368" s="17">
        <v>0.0</v>
      </c>
      <c r="E368" s="1">
        <v>39.55</v>
      </c>
    </row>
    <row r="369">
      <c r="A369" s="2" t="s">
        <v>1771</v>
      </c>
      <c r="B369" s="1">
        <v>0.0</v>
      </c>
      <c r="C369" s="1">
        <v>552.0</v>
      </c>
      <c r="D369" s="17">
        <v>0.0</v>
      </c>
      <c r="E369" s="1">
        <v>63.58</v>
      </c>
    </row>
    <row r="370">
      <c r="A370" s="2" t="s">
        <v>2082</v>
      </c>
      <c r="B370" s="1">
        <v>0.0</v>
      </c>
      <c r="C370" s="1">
        <v>531.0</v>
      </c>
      <c r="D370" s="17">
        <v>0.0</v>
      </c>
      <c r="E370" s="1">
        <v>67.53</v>
      </c>
    </row>
    <row r="371">
      <c r="A371" s="2" t="s">
        <v>619</v>
      </c>
      <c r="B371" s="1">
        <v>0.0</v>
      </c>
      <c r="C371" s="1">
        <v>523.0</v>
      </c>
      <c r="D371" s="17">
        <v>0.0</v>
      </c>
      <c r="E371" s="1">
        <v>11.24</v>
      </c>
    </row>
    <row r="372">
      <c r="A372" s="2" t="s">
        <v>2973</v>
      </c>
      <c r="B372" s="1">
        <v>0.0</v>
      </c>
      <c r="C372" s="1">
        <v>521.0</v>
      </c>
      <c r="D372" s="17">
        <v>0.0</v>
      </c>
      <c r="E372" s="1">
        <v>58.51</v>
      </c>
    </row>
    <row r="373">
      <c r="A373" s="2" t="s">
        <v>2356</v>
      </c>
      <c r="B373" s="1">
        <v>0.0</v>
      </c>
      <c r="C373" s="1">
        <v>519.0</v>
      </c>
      <c r="D373" s="17">
        <v>0.0</v>
      </c>
      <c r="E373" s="1">
        <v>68.56</v>
      </c>
    </row>
    <row r="374">
      <c r="A374" s="2" t="s">
        <v>1179</v>
      </c>
      <c r="B374" s="1">
        <v>0.0</v>
      </c>
      <c r="C374" s="1">
        <v>513.0</v>
      </c>
      <c r="D374" s="17">
        <v>0.0</v>
      </c>
      <c r="E374" s="1">
        <v>35.76</v>
      </c>
    </row>
    <row r="375">
      <c r="A375" s="2" t="s">
        <v>467</v>
      </c>
      <c r="B375" s="1">
        <v>0.0</v>
      </c>
      <c r="C375" s="1">
        <v>476.0</v>
      </c>
      <c r="D375" s="17">
        <v>0.0</v>
      </c>
      <c r="E375" s="1">
        <v>54.68</v>
      </c>
    </row>
    <row r="376">
      <c r="A376" s="2" t="s">
        <v>1750</v>
      </c>
      <c r="B376" s="1">
        <v>0.0</v>
      </c>
      <c r="C376" s="1">
        <v>469.0</v>
      </c>
      <c r="D376" s="17">
        <v>0.0</v>
      </c>
      <c r="E376" s="1">
        <v>65.5</v>
      </c>
    </row>
    <row r="377">
      <c r="A377" s="2" t="s">
        <v>1667</v>
      </c>
      <c r="B377" s="1">
        <v>0.0</v>
      </c>
      <c r="C377" s="1">
        <v>469.0</v>
      </c>
      <c r="D377" s="17">
        <v>0.0</v>
      </c>
      <c r="E377" s="1">
        <v>65.92</v>
      </c>
    </row>
    <row r="378">
      <c r="A378" s="2" t="s">
        <v>2024</v>
      </c>
      <c r="B378" s="1">
        <v>0.0</v>
      </c>
      <c r="C378" s="1">
        <v>463.0</v>
      </c>
      <c r="D378" s="17">
        <v>0.0</v>
      </c>
      <c r="E378" s="1">
        <v>32.06</v>
      </c>
    </row>
    <row r="379">
      <c r="A379" s="2" t="s">
        <v>1351</v>
      </c>
      <c r="B379" s="1">
        <v>0.0</v>
      </c>
      <c r="C379" s="1">
        <v>447.0</v>
      </c>
      <c r="D379" s="17">
        <v>0.0</v>
      </c>
      <c r="E379" s="1">
        <v>63.79</v>
      </c>
    </row>
    <row r="380">
      <c r="A380" s="2" t="s">
        <v>1866</v>
      </c>
      <c r="B380" s="1">
        <v>0.0</v>
      </c>
      <c r="C380" s="1">
        <v>408.0</v>
      </c>
      <c r="D380" s="17">
        <v>0.0</v>
      </c>
      <c r="E380" s="1">
        <v>47.87</v>
      </c>
    </row>
    <row r="381">
      <c r="A381" s="2" t="s">
        <v>1215</v>
      </c>
      <c r="B381" s="1">
        <v>0.0</v>
      </c>
      <c r="C381" s="1">
        <v>408.0</v>
      </c>
      <c r="D381" s="17">
        <v>0.0</v>
      </c>
      <c r="E381" s="1">
        <v>57.7</v>
      </c>
    </row>
    <row r="382">
      <c r="A382" s="2" t="s">
        <v>2974</v>
      </c>
      <c r="B382" s="1">
        <v>0.0</v>
      </c>
      <c r="C382" s="1">
        <v>408.0</v>
      </c>
      <c r="D382" s="17">
        <v>0.0</v>
      </c>
      <c r="E382" s="1">
        <v>67.03</v>
      </c>
    </row>
    <row r="383">
      <c r="A383" s="2" t="s">
        <v>479</v>
      </c>
      <c r="B383" s="1">
        <v>0.0</v>
      </c>
      <c r="C383" s="1">
        <v>396.0</v>
      </c>
      <c r="D383" s="17">
        <v>0.0</v>
      </c>
      <c r="E383" s="1">
        <v>55.42</v>
      </c>
    </row>
    <row r="384">
      <c r="A384" s="2" t="s">
        <v>1376</v>
      </c>
      <c r="B384" s="1">
        <v>0.0</v>
      </c>
      <c r="C384" s="1">
        <v>395.0</v>
      </c>
      <c r="D384" s="17">
        <v>0.0</v>
      </c>
      <c r="E384" s="1">
        <v>14.2</v>
      </c>
    </row>
    <row r="385">
      <c r="A385" s="2" t="s">
        <v>535</v>
      </c>
      <c r="B385" s="1">
        <v>0.0</v>
      </c>
      <c r="C385" s="1">
        <v>391.0</v>
      </c>
      <c r="D385" s="17">
        <v>0.0</v>
      </c>
      <c r="E385" s="1">
        <v>22.06</v>
      </c>
    </row>
    <row r="386">
      <c r="A386" s="2" t="s">
        <v>1719</v>
      </c>
      <c r="B386" s="1">
        <v>0.0</v>
      </c>
      <c r="C386" s="1">
        <v>389.0</v>
      </c>
      <c r="D386" s="17">
        <v>0.0</v>
      </c>
      <c r="E386" s="1">
        <v>30.25</v>
      </c>
    </row>
    <row r="387">
      <c r="A387" s="2" t="s">
        <v>1986</v>
      </c>
      <c r="B387" s="1">
        <v>0.0</v>
      </c>
      <c r="C387" s="1">
        <v>388.0</v>
      </c>
      <c r="D387" s="17">
        <v>0.0</v>
      </c>
      <c r="E387" s="1">
        <v>73.79</v>
      </c>
    </row>
    <row r="388">
      <c r="A388" s="2" t="s">
        <v>1170</v>
      </c>
      <c r="B388" s="1">
        <v>0.0</v>
      </c>
      <c r="C388" s="1">
        <v>379.0</v>
      </c>
      <c r="D388" s="17">
        <v>0.0</v>
      </c>
      <c r="E388" s="1">
        <v>45.75</v>
      </c>
    </row>
    <row r="389">
      <c r="A389" s="2" t="s">
        <v>1380</v>
      </c>
      <c r="B389" s="1">
        <v>0.0</v>
      </c>
      <c r="C389" s="1">
        <v>377.0</v>
      </c>
      <c r="D389" s="17">
        <v>0.0</v>
      </c>
      <c r="E389" s="1">
        <v>54.11</v>
      </c>
    </row>
    <row r="390">
      <c r="A390" s="2" t="s">
        <v>867</v>
      </c>
      <c r="B390" s="1">
        <v>0.0</v>
      </c>
      <c r="C390" s="1">
        <v>373.0</v>
      </c>
      <c r="D390" s="17">
        <v>0.0</v>
      </c>
      <c r="E390" s="1">
        <v>33.33</v>
      </c>
    </row>
    <row r="391">
      <c r="A391" s="2" t="s">
        <v>2046</v>
      </c>
      <c r="B391" s="1">
        <v>0.0</v>
      </c>
      <c r="C391" s="1">
        <v>372.0</v>
      </c>
      <c r="D391" s="17">
        <v>0.0</v>
      </c>
      <c r="E391" s="1">
        <v>14.89</v>
      </c>
    </row>
    <row r="392">
      <c r="A392" s="2" t="s">
        <v>1700</v>
      </c>
      <c r="B392" s="1">
        <v>0.0</v>
      </c>
      <c r="C392" s="1">
        <v>365.0</v>
      </c>
      <c r="D392" s="17">
        <v>0.0</v>
      </c>
      <c r="E392" s="1">
        <v>60.76</v>
      </c>
    </row>
    <row r="393">
      <c r="A393" s="2" t="s">
        <v>918</v>
      </c>
      <c r="B393" s="1">
        <v>0.0</v>
      </c>
      <c r="C393" s="1">
        <v>364.0</v>
      </c>
      <c r="D393" s="17">
        <v>0.0</v>
      </c>
      <c r="E393" s="1">
        <v>59.53</v>
      </c>
    </row>
    <row r="394">
      <c r="A394" s="2" t="s">
        <v>1175</v>
      </c>
      <c r="B394" s="1">
        <v>0.0</v>
      </c>
      <c r="C394" s="1">
        <v>359.0</v>
      </c>
      <c r="D394" s="17">
        <v>0.0</v>
      </c>
      <c r="E394" s="1">
        <v>62.37</v>
      </c>
    </row>
    <row r="395">
      <c r="A395" s="2" t="s">
        <v>2182</v>
      </c>
      <c r="B395" s="1">
        <v>0.0</v>
      </c>
      <c r="C395" s="1">
        <v>354.0</v>
      </c>
      <c r="D395" s="17">
        <v>0.0</v>
      </c>
      <c r="E395" s="1">
        <v>76.99</v>
      </c>
    </row>
    <row r="396">
      <c r="A396" s="2" t="s">
        <v>1915</v>
      </c>
      <c r="B396" s="1">
        <v>0.0</v>
      </c>
      <c r="C396" s="1">
        <v>351.0</v>
      </c>
      <c r="D396" s="17">
        <v>0.0</v>
      </c>
      <c r="E396" s="1">
        <v>40.43</v>
      </c>
    </row>
    <row r="397">
      <c r="A397" s="2" t="s">
        <v>1303</v>
      </c>
      <c r="B397" s="1">
        <v>0.0</v>
      </c>
      <c r="C397" s="1">
        <v>351.0</v>
      </c>
      <c r="D397" s="17">
        <v>0.0</v>
      </c>
      <c r="E397" s="1">
        <v>65.62</v>
      </c>
    </row>
    <row r="398">
      <c r="A398" s="2" t="s">
        <v>1538</v>
      </c>
      <c r="B398" s="1">
        <v>0.0</v>
      </c>
      <c r="C398" s="1">
        <v>348.0</v>
      </c>
      <c r="D398" s="17">
        <v>0.0</v>
      </c>
      <c r="E398" s="1">
        <v>52.76</v>
      </c>
    </row>
    <row r="399">
      <c r="A399" s="2" t="s">
        <v>1713</v>
      </c>
      <c r="B399" s="1">
        <v>0.0</v>
      </c>
      <c r="C399" s="1">
        <v>324.0</v>
      </c>
      <c r="D399" s="17">
        <v>0.0</v>
      </c>
      <c r="E399" s="1">
        <v>38.07</v>
      </c>
    </row>
    <row r="400">
      <c r="A400" s="2" t="s">
        <v>543</v>
      </c>
      <c r="B400" s="1">
        <v>0.0</v>
      </c>
      <c r="C400" s="1">
        <v>316.0</v>
      </c>
      <c r="D400" s="17">
        <v>0.0</v>
      </c>
      <c r="E400" s="1">
        <v>28.48</v>
      </c>
    </row>
    <row r="401">
      <c r="A401" s="2" t="s">
        <v>1113</v>
      </c>
      <c r="B401" s="1">
        <v>0.0</v>
      </c>
      <c r="C401" s="1">
        <v>312.0</v>
      </c>
      <c r="D401" s="17">
        <v>0.0</v>
      </c>
      <c r="E401" s="1">
        <v>60.76</v>
      </c>
    </row>
    <row r="402">
      <c r="A402" s="2" t="s">
        <v>1907</v>
      </c>
      <c r="B402" s="1">
        <v>0.0</v>
      </c>
      <c r="C402" s="1">
        <v>300.0</v>
      </c>
      <c r="D402" s="17">
        <v>0.0</v>
      </c>
      <c r="E402" s="1">
        <v>59.16</v>
      </c>
    </row>
    <row r="403">
      <c r="A403" s="2" t="s">
        <v>1851</v>
      </c>
      <c r="B403" s="1">
        <v>0.0</v>
      </c>
      <c r="C403" s="1">
        <v>299.0</v>
      </c>
      <c r="D403" s="17">
        <v>0.0</v>
      </c>
      <c r="E403" s="1">
        <v>61.38</v>
      </c>
    </row>
    <row r="404">
      <c r="A404" s="2" t="s">
        <v>2975</v>
      </c>
      <c r="B404" s="1">
        <v>0.0</v>
      </c>
      <c r="C404" s="1">
        <v>290.0</v>
      </c>
      <c r="D404" s="17">
        <v>0.0</v>
      </c>
      <c r="E404" s="1">
        <v>73.5</v>
      </c>
    </row>
    <row r="405">
      <c r="A405" s="2" t="s">
        <v>2976</v>
      </c>
      <c r="B405" s="1">
        <v>0.0</v>
      </c>
      <c r="C405" s="1">
        <v>289.0</v>
      </c>
      <c r="D405" s="17">
        <v>0.0</v>
      </c>
      <c r="E405" s="1">
        <v>44.25</v>
      </c>
    </row>
    <row r="406">
      <c r="A406" s="2" t="s">
        <v>1023</v>
      </c>
      <c r="B406" s="1">
        <v>0.0</v>
      </c>
      <c r="C406" s="1">
        <v>269.0</v>
      </c>
      <c r="D406" s="17">
        <v>0.0</v>
      </c>
      <c r="E406" s="1">
        <v>46.99</v>
      </c>
    </row>
    <row r="407">
      <c r="A407" s="2" t="s">
        <v>1548</v>
      </c>
      <c r="B407" s="1">
        <v>0.0</v>
      </c>
      <c r="C407" s="1">
        <v>267.0</v>
      </c>
      <c r="D407" s="17">
        <v>0.0</v>
      </c>
      <c r="E407" s="1">
        <v>36.04</v>
      </c>
    </row>
    <row r="408">
      <c r="A408" s="2" t="s">
        <v>1217</v>
      </c>
      <c r="B408" s="1">
        <v>0.0</v>
      </c>
      <c r="C408" s="1">
        <v>258.0</v>
      </c>
      <c r="D408" s="17">
        <v>0.0</v>
      </c>
      <c r="E408" s="1">
        <v>36.0</v>
      </c>
    </row>
    <row r="409">
      <c r="A409" s="2" t="s">
        <v>1644</v>
      </c>
      <c r="B409" s="1">
        <v>0.0</v>
      </c>
      <c r="C409" s="1">
        <v>256.0</v>
      </c>
      <c r="D409" s="17">
        <v>0.0</v>
      </c>
      <c r="E409" s="1">
        <v>38.05</v>
      </c>
    </row>
    <row r="410">
      <c r="A410" s="2" t="s">
        <v>2977</v>
      </c>
      <c r="B410" s="1">
        <v>0.0</v>
      </c>
      <c r="C410" s="1">
        <v>248.0</v>
      </c>
      <c r="D410" s="17">
        <v>0.0</v>
      </c>
      <c r="E410" s="1">
        <v>20.59</v>
      </c>
    </row>
    <row r="411">
      <c r="A411" s="2" t="s">
        <v>927</v>
      </c>
      <c r="B411" s="1">
        <v>0.0</v>
      </c>
      <c r="C411" s="1">
        <v>243.0</v>
      </c>
      <c r="D411" s="17">
        <v>0.0</v>
      </c>
      <c r="E411" s="1">
        <v>21.11</v>
      </c>
    </row>
    <row r="412">
      <c r="A412" s="2" t="s">
        <v>2138</v>
      </c>
      <c r="B412" s="1">
        <v>0.0</v>
      </c>
      <c r="C412" s="1">
        <v>237.0</v>
      </c>
      <c r="D412" s="17">
        <v>0.0</v>
      </c>
      <c r="E412" s="1">
        <v>41.07</v>
      </c>
    </row>
    <row r="413">
      <c r="A413" s="2" t="s">
        <v>1890</v>
      </c>
      <c r="B413" s="1">
        <v>0.0</v>
      </c>
      <c r="C413" s="1">
        <v>235.0</v>
      </c>
      <c r="D413" s="17">
        <v>0.0</v>
      </c>
      <c r="E413" s="1">
        <v>62.87</v>
      </c>
    </row>
    <row r="414">
      <c r="A414" s="2" t="s">
        <v>2006</v>
      </c>
      <c r="B414" s="1">
        <v>0.0</v>
      </c>
      <c r="C414" s="1">
        <v>227.0</v>
      </c>
      <c r="D414" s="17">
        <v>0.0</v>
      </c>
      <c r="E414" s="1">
        <v>42.65</v>
      </c>
    </row>
    <row r="415">
      <c r="A415" s="2" t="s">
        <v>2128</v>
      </c>
      <c r="B415" s="1">
        <v>0.0</v>
      </c>
      <c r="C415" s="1">
        <v>223.0</v>
      </c>
      <c r="D415" s="17">
        <v>0.0</v>
      </c>
      <c r="E415" s="1">
        <v>76.11</v>
      </c>
    </row>
    <row r="416">
      <c r="A416" s="2" t="s">
        <v>1572</v>
      </c>
      <c r="B416" s="1">
        <v>0.0</v>
      </c>
      <c r="C416" s="1">
        <v>221.0</v>
      </c>
      <c r="D416" s="17">
        <v>0.0</v>
      </c>
      <c r="E416" s="1">
        <v>63.11</v>
      </c>
    </row>
    <row r="417">
      <c r="A417" s="2" t="s">
        <v>2091</v>
      </c>
      <c r="B417" s="1">
        <v>0.0</v>
      </c>
      <c r="C417" s="1">
        <v>219.0</v>
      </c>
      <c r="D417" s="17">
        <v>0.0</v>
      </c>
      <c r="E417" s="1">
        <v>15.15</v>
      </c>
    </row>
    <row r="418">
      <c r="A418" s="2" t="s">
        <v>1638</v>
      </c>
      <c r="B418" s="1">
        <v>0.0</v>
      </c>
      <c r="C418" s="1">
        <v>217.0</v>
      </c>
      <c r="D418" s="17">
        <v>0.0</v>
      </c>
      <c r="E418" s="1">
        <v>48.78</v>
      </c>
    </row>
    <row r="419">
      <c r="A419" s="2" t="s">
        <v>483</v>
      </c>
      <c r="B419" s="1">
        <v>0.0</v>
      </c>
      <c r="C419" s="1">
        <v>214.0</v>
      </c>
      <c r="D419" s="17">
        <v>0.0</v>
      </c>
      <c r="E419" s="1">
        <v>50.14</v>
      </c>
    </row>
    <row r="420">
      <c r="A420" s="2" t="s">
        <v>1930</v>
      </c>
      <c r="B420" s="1">
        <v>0.0</v>
      </c>
      <c r="C420" s="1">
        <v>202.0</v>
      </c>
      <c r="D420" s="17">
        <v>0.0</v>
      </c>
      <c r="E420" s="1">
        <v>56.5</v>
      </c>
    </row>
    <row r="421">
      <c r="A421" s="2" t="s">
        <v>2199</v>
      </c>
      <c r="B421" s="1">
        <v>0.0</v>
      </c>
      <c r="C421" s="1">
        <v>200.0</v>
      </c>
      <c r="D421" s="17">
        <v>0.0</v>
      </c>
      <c r="E421" s="1">
        <v>81.94</v>
      </c>
    </row>
    <row r="422">
      <c r="A422" s="2" t="s">
        <v>2205</v>
      </c>
      <c r="B422" s="1">
        <v>0.0</v>
      </c>
      <c r="C422" s="1">
        <v>197.0</v>
      </c>
      <c r="D422" s="17">
        <v>0.0</v>
      </c>
      <c r="E422" s="1">
        <v>63.86</v>
      </c>
    </row>
    <row r="423">
      <c r="A423" s="2" t="s">
        <v>1839</v>
      </c>
      <c r="B423" s="1">
        <v>0.0</v>
      </c>
      <c r="C423" s="1">
        <v>194.0</v>
      </c>
      <c r="D423" s="17">
        <v>0.0</v>
      </c>
      <c r="E423" s="1">
        <v>88.71</v>
      </c>
    </row>
    <row r="424">
      <c r="A424" s="2" t="s">
        <v>1039</v>
      </c>
      <c r="B424" s="1">
        <v>0.0</v>
      </c>
      <c r="C424" s="1">
        <v>193.0</v>
      </c>
      <c r="D424" s="17">
        <v>0.0</v>
      </c>
      <c r="E424" s="1">
        <v>11.23</v>
      </c>
    </row>
    <row r="425">
      <c r="A425" s="2" t="s">
        <v>1691</v>
      </c>
      <c r="B425" s="1">
        <v>0.0</v>
      </c>
      <c r="C425" s="1">
        <v>191.0</v>
      </c>
      <c r="D425" s="17">
        <v>0.0</v>
      </c>
      <c r="E425" s="1">
        <v>63.93</v>
      </c>
    </row>
    <row r="426">
      <c r="A426" s="2" t="s">
        <v>1554</v>
      </c>
      <c r="B426" s="1">
        <v>0.0</v>
      </c>
      <c r="C426" s="1">
        <v>187.0</v>
      </c>
      <c r="D426" s="17">
        <v>0.0</v>
      </c>
      <c r="E426" s="1">
        <v>54.52</v>
      </c>
    </row>
    <row r="427">
      <c r="A427" s="2" t="s">
        <v>1864</v>
      </c>
      <c r="B427" s="1">
        <v>0.0</v>
      </c>
      <c r="C427" s="1">
        <v>186.0</v>
      </c>
      <c r="D427" s="17">
        <v>0.0</v>
      </c>
      <c r="E427" s="1">
        <v>86.63</v>
      </c>
    </row>
    <row r="428">
      <c r="A428" s="2" t="s">
        <v>1168</v>
      </c>
      <c r="B428" s="1">
        <v>0.0</v>
      </c>
      <c r="C428" s="1">
        <v>176.0</v>
      </c>
      <c r="D428" s="17">
        <v>0.0</v>
      </c>
      <c r="E428" s="1">
        <v>15.19</v>
      </c>
    </row>
    <row r="429">
      <c r="A429" s="2" t="s">
        <v>2978</v>
      </c>
      <c r="B429" s="1">
        <v>0.0</v>
      </c>
      <c r="C429" s="1">
        <v>173.0</v>
      </c>
      <c r="D429" s="17">
        <v>0.0</v>
      </c>
      <c r="E429" s="1">
        <v>25.16</v>
      </c>
    </row>
    <row r="430">
      <c r="A430" s="2" t="s">
        <v>2259</v>
      </c>
      <c r="B430" s="1">
        <v>0.0</v>
      </c>
      <c r="C430" s="1">
        <v>170.0</v>
      </c>
      <c r="D430" s="17">
        <v>0.0</v>
      </c>
      <c r="E430" s="1">
        <v>63.56</v>
      </c>
    </row>
    <row r="431">
      <c r="A431" s="2" t="s">
        <v>1471</v>
      </c>
      <c r="B431" s="1">
        <v>0.0</v>
      </c>
      <c r="C431" s="1">
        <v>169.0</v>
      </c>
      <c r="D431" s="17">
        <v>0.0</v>
      </c>
      <c r="E431" s="1">
        <v>63.74</v>
      </c>
    </row>
    <row r="432">
      <c r="A432" s="2" t="s">
        <v>2979</v>
      </c>
      <c r="B432" s="1">
        <v>0.0</v>
      </c>
      <c r="C432" s="1">
        <v>162.0</v>
      </c>
      <c r="D432" s="17">
        <v>0.0</v>
      </c>
      <c r="E432" s="1">
        <v>72.8</v>
      </c>
    </row>
    <row r="433">
      <c r="A433" s="2" t="s">
        <v>1898</v>
      </c>
      <c r="B433" s="1">
        <v>0.0</v>
      </c>
      <c r="C433" s="1">
        <v>161.0</v>
      </c>
      <c r="D433" s="17">
        <v>0.0</v>
      </c>
      <c r="E433" s="1">
        <v>70.36</v>
      </c>
    </row>
    <row r="434">
      <c r="A434" s="2" t="s">
        <v>1092</v>
      </c>
      <c r="B434" s="1">
        <v>0.0</v>
      </c>
      <c r="C434" s="1">
        <v>161.0</v>
      </c>
      <c r="D434" s="17">
        <v>0.0</v>
      </c>
      <c r="E434" s="1">
        <v>71.5</v>
      </c>
    </row>
    <row r="435">
      <c r="A435" s="2" t="s">
        <v>2044</v>
      </c>
      <c r="B435" s="1">
        <v>0.0</v>
      </c>
      <c r="C435" s="1">
        <v>148.0</v>
      </c>
      <c r="D435" s="17">
        <v>0.0</v>
      </c>
      <c r="E435" s="1">
        <v>66.67</v>
      </c>
    </row>
    <row r="436">
      <c r="A436" s="2" t="s">
        <v>2203</v>
      </c>
      <c r="B436" s="1">
        <v>0.0</v>
      </c>
      <c r="C436" s="1">
        <v>148.0</v>
      </c>
      <c r="D436" s="17">
        <v>0.0</v>
      </c>
      <c r="E436" s="1">
        <v>78.38</v>
      </c>
    </row>
    <row r="437">
      <c r="A437" s="2" t="s">
        <v>2271</v>
      </c>
      <c r="B437" s="1">
        <v>0.0</v>
      </c>
      <c r="C437" s="1">
        <v>148.0</v>
      </c>
      <c r="D437" s="17">
        <v>0.0</v>
      </c>
      <c r="E437" s="1">
        <v>85.57</v>
      </c>
    </row>
    <row r="438">
      <c r="A438" s="2" t="s">
        <v>2980</v>
      </c>
      <c r="B438" s="1">
        <v>0.0</v>
      </c>
      <c r="C438" s="1">
        <v>144.0</v>
      </c>
      <c r="D438" s="17">
        <v>0.0</v>
      </c>
      <c r="E438" s="1">
        <v>62.25</v>
      </c>
    </row>
    <row r="439">
      <c r="A439" s="2" t="s">
        <v>2298</v>
      </c>
      <c r="B439" s="1">
        <v>0.0</v>
      </c>
      <c r="C439" s="1">
        <v>144.0</v>
      </c>
      <c r="D439" s="17">
        <v>0.0</v>
      </c>
      <c r="E439" s="1">
        <v>83.49</v>
      </c>
    </row>
    <row r="440">
      <c r="A440" s="2" t="s">
        <v>2981</v>
      </c>
      <c r="B440" s="1">
        <v>0.0</v>
      </c>
      <c r="C440" s="1">
        <v>142.0</v>
      </c>
      <c r="D440" s="17">
        <v>0.0</v>
      </c>
      <c r="E440" s="1">
        <v>9.0</v>
      </c>
    </row>
    <row r="441">
      <c r="A441" s="2" t="s">
        <v>1460</v>
      </c>
      <c r="B441" s="1">
        <v>0.0</v>
      </c>
      <c r="C441" s="1">
        <v>135.0</v>
      </c>
      <c r="D441" s="17">
        <v>0.0</v>
      </c>
      <c r="E441" s="1">
        <v>62.16</v>
      </c>
    </row>
    <row r="442">
      <c r="A442" s="2" t="s">
        <v>692</v>
      </c>
      <c r="B442" s="1">
        <v>0.0</v>
      </c>
      <c r="C442" s="1">
        <v>135.0</v>
      </c>
      <c r="D442" s="17">
        <v>0.0</v>
      </c>
      <c r="E442" s="1">
        <v>63.45</v>
      </c>
    </row>
    <row r="443">
      <c r="A443" s="2" t="s">
        <v>2103</v>
      </c>
      <c r="B443" s="1">
        <v>0.0</v>
      </c>
      <c r="C443" s="1">
        <v>124.0</v>
      </c>
      <c r="D443" s="17">
        <v>0.0</v>
      </c>
      <c r="E443" s="1">
        <v>51.06</v>
      </c>
    </row>
    <row r="444">
      <c r="A444" s="2" t="s">
        <v>1574</v>
      </c>
      <c r="B444" s="1">
        <v>0.0</v>
      </c>
      <c r="C444" s="1">
        <v>123.0</v>
      </c>
      <c r="D444" s="17">
        <v>0.0</v>
      </c>
      <c r="E444" s="1">
        <v>60.02</v>
      </c>
    </row>
    <row r="445">
      <c r="A445" s="2" t="s">
        <v>2982</v>
      </c>
      <c r="B445" s="1">
        <v>0.0</v>
      </c>
      <c r="C445" s="1">
        <v>120.0</v>
      </c>
      <c r="D445" s="17">
        <v>0.0</v>
      </c>
      <c r="E445" s="1">
        <v>49.07</v>
      </c>
    </row>
    <row r="446">
      <c r="A446" s="2" t="s">
        <v>1378</v>
      </c>
      <c r="B446" s="1">
        <v>0.0</v>
      </c>
      <c r="C446" s="1">
        <v>119.0</v>
      </c>
      <c r="D446" s="17">
        <v>0.0</v>
      </c>
      <c r="E446" s="1">
        <v>18.48</v>
      </c>
    </row>
    <row r="447">
      <c r="A447" s="2" t="s">
        <v>2983</v>
      </c>
      <c r="B447" s="1">
        <v>0.0</v>
      </c>
      <c r="C447" s="1">
        <v>118.0</v>
      </c>
      <c r="D447" s="17">
        <v>0.0</v>
      </c>
      <c r="E447" s="1">
        <v>57.36</v>
      </c>
    </row>
    <row r="448">
      <c r="A448" s="2" t="s">
        <v>1515</v>
      </c>
      <c r="B448" s="1">
        <v>0.0</v>
      </c>
      <c r="C448" s="1">
        <v>116.0</v>
      </c>
      <c r="D448" s="17">
        <v>0.0</v>
      </c>
      <c r="E448" s="1">
        <v>82.75</v>
      </c>
    </row>
    <row r="449">
      <c r="A449" s="2" t="s">
        <v>1646</v>
      </c>
      <c r="B449" s="1">
        <v>0.0</v>
      </c>
      <c r="C449" s="1">
        <v>115.0</v>
      </c>
      <c r="D449" s="17">
        <v>0.0</v>
      </c>
      <c r="E449" s="1">
        <v>39.47</v>
      </c>
    </row>
    <row r="450">
      <c r="A450" s="2" t="s">
        <v>649</v>
      </c>
      <c r="B450" s="1">
        <v>0.0</v>
      </c>
      <c r="C450" s="1">
        <v>115.0</v>
      </c>
      <c r="D450" s="17">
        <v>0.0</v>
      </c>
      <c r="E450" s="1">
        <v>56.47</v>
      </c>
    </row>
    <row r="451">
      <c r="A451" s="2" t="s">
        <v>1669</v>
      </c>
      <c r="B451" s="1">
        <v>0.0</v>
      </c>
      <c r="C451" s="1">
        <v>112.0</v>
      </c>
      <c r="D451" s="17">
        <v>0.0</v>
      </c>
      <c r="E451" s="1">
        <v>10.97</v>
      </c>
    </row>
    <row r="452">
      <c r="A452" s="2" t="s">
        <v>1671</v>
      </c>
      <c r="B452" s="1">
        <v>0.0</v>
      </c>
      <c r="C452" s="1">
        <v>112.0</v>
      </c>
      <c r="D452" s="17">
        <v>0.0</v>
      </c>
      <c r="E452" s="1">
        <v>78.46</v>
      </c>
    </row>
    <row r="453">
      <c r="A453" s="2" t="s">
        <v>909</v>
      </c>
      <c r="B453" s="1">
        <v>0.0</v>
      </c>
      <c r="C453" s="1">
        <v>111.0</v>
      </c>
      <c r="D453" s="17">
        <v>0.0</v>
      </c>
      <c r="E453" s="1">
        <v>61.64</v>
      </c>
    </row>
    <row r="454">
      <c r="A454" s="2" t="s">
        <v>2412</v>
      </c>
      <c r="B454" s="1">
        <v>0.0</v>
      </c>
      <c r="C454" s="1">
        <v>108.0</v>
      </c>
      <c r="D454" s="17">
        <v>0.0</v>
      </c>
      <c r="E454" s="1">
        <v>34.97</v>
      </c>
    </row>
    <row r="455">
      <c r="A455" s="2" t="s">
        <v>2984</v>
      </c>
      <c r="B455" s="1">
        <v>0.0</v>
      </c>
      <c r="C455" s="1">
        <v>103.0</v>
      </c>
      <c r="D455" s="17">
        <v>0.0</v>
      </c>
      <c r="E455" s="1">
        <v>47.83</v>
      </c>
    </row>
    <row r="456">
      <c r="A456" s="2" t="s">
        <v>1086</v>
      </c>
      <c r="B456" s="1">
        <v>0.0</v>
      </c>
      <c r="C456" s="1">
        <v>101.0</v>
      </c>
      <c r="D456" s="17">
        <v>0.0</v>
      </c>
      <c r="E456" s="1">
        <v>52.01</v>
      </c>
    </row>
    <row r="457">
      <c r="A457" s="2" t="s">
        <v>1616</v>
      </c>
      <c r="B457" s="1">
        <v>0.0</v>
      </c>
      <c r="C457" s="1">
        <v>99.0</v>
      </c>
      <c r="D457" s="17">
        <v>0.0</v>
      </c>
      <c r="E457" s="1">
        <v>60.27</v>
      </c>
    </row>
    <row r="458">
      <c r="A458" s="2" t="s">
        <v>1733</v>
      </c>
      <c r="B458" s="1">
        <v>0.0</v>
      </c>
      <c r="C458" s="1">
        <v>98.0</v>
      </c>
      <c r="D458" s="17">
        <v>0.0</v>
      </c>
      <c r="E458" s="1">
        <v>12.65</v>
      </c>
    </row>
    <row r="459">
      <c r="A459" s="2" t="s">
        <v>1935</v>
      </c>
      <c r="B459" s="1">
        <v>0.0</v>
      </c>
      <c r="C459" s="1">
        <v>94.0</v>
      </c>
      <c r="D459" s="17">
        <v>0.0</v>
      </c>
      <c r="E459" s="1">
        <v>64.87</v>
      </c>
    </row>
    <row r="460">
      <c r="A460" s="2" t="s">
        <v>2038</v>
      </c>
      <c r="B460" s="1">
        <v>0.0</v>
      </c>
      <c r="C460" s="1">
        <v>91.0</v>
      </c>
      <c r="D460" s="17">
        <v>0.0</v>
      </c>
      <c r="E460" s="1">
        <v>33.35</v>
      </c>
    </row>
    <row r="461">
      <c r="A461" s="2" t="s">
        <v>2030</v>
      </c>
      <c r="B461" s="1">
        <v>0.0</v>
      </c>
      <c r="C461" s="1">
        <v>89.0</v>
      </c>
      <c r="D461" s="17">
        <v>0.0</v>
      </c>
      <c r="E461" s="1">
        <v>30.18</v>
      </c>
    </row>
    <row r="462">
      <c r="A462" s="2" t="s">
        <v>2414</v>
      </c>
      <c r="B462" s="1">
        <v>0.0</v>
      </c>
      <c r="C462" s="1">
        <v>89.0</v>
      </c>
      <c r="D462" s="17">
        <v>0.0</v>
      </c>
      <c r="E462" s="1">
        <v>83.04</v>
      </c>
    </row>
    <row r="463">
      <c r="A463" s="2" t="s">
        <v>1754</v>
      </c>
      <c r="B463" s="1">
        <v>0.0</v>
      </c>
      <c r="C463" s="1">
        <v>88.0</v>
      </c>
      <c r="D463" s="17">
        <v>0.0</v>
      </c>
      <c r="E463" s="1">
        <v>35.41</v>
      </c>
    </row>
    <row r="464">
      <c r="A464" s="2" t="s">
        <v>2985</v>
      </c>
      <c r="B464" s="1">
        <v>0.0</v>
      </c>
      <c r="C464" s="1">
        <v>85.0</v>
      </c>
      <c r="D464" s="17">
        <v>0.0</v>
      </c>
      <c r="E464" s="1">
        <v>71.99</v>
      </c>
    </row>
    <row r="465">
      <c r="A465" s="2" t="s">
        <v>1613</v>
      </c>
      <c r="B465" s="1">
        <v>0.0</v>
      </c>
      <c r="C465" s="1">
        <v>84.0</v>
      </c>
      <c r="D465" s="17">
        <v>0.0</v>
      </c>
      <c r="E465" s="1">
        <v>59.04</v>
      </c>
    </row>
    <row r="466">
      <c r="A466" s="2" t="s">
        <v>1990</v>
      </c>
      <c r="B466" s="1">
        <v>0.0</v>
      </c>
      <c r="C466" s="1">
        <v>83.0</v>
      </c>
      <c r="D466" s="17">
        <v>0.0</v>
      </c>
      <c r="E466" s="1">
        <v>52.71</v>
      </c>
    </row>
    <row r="467">
      <c r="A467" s="2" t="s">
        <v>861</v>
      </c>
      <c r="B467" s="1">
        <v>0.0</v>
      </c>
      <c r="C467" s="1">
        <v>83.0</v>
      </c>
      <c r="D467" s="17">
        <v>0.0</v>
      </c>
      <c r="E467" s="1">
        <v>70.78</v>
      </c>
    </row>
    <row r="468">
      <c r="A468" s="2" t="s">
        <v>2241</v>
      </c>
      <c r="B468" s="1">
        <v>0.0</v>
      </c>
      <c r="C468" s="1">
        <v>83.0</v>
      </c>
      <c r="D468" s="17">
        <v>0.0</v>
      </c>
      <c r="E468" s="1">
        <v>79.3</v>
      </c>
    </row>
    <row r="469">
      <c r="A469" s="2" t="s">
        <v>1147</v>
      </c>
      <c r="B469" s="1">
        <v>0.0</v>
      </c>
      <c r="C469" s="1">
        <v>82.0</v>
      </c>
      <c r="D469" s="17">
        <v>0.0</v>
      </c>
      <c r="E469" s="1">
        <v>18.85</v>
      </c>
    </row>
    <row r="470">
      <c r="A470" s="2" t="s">
        <v>1194</v>
      </c>
      <c r="B470" s="1">
        <v>0.0</v>
      </c>
      <c r="C470" s="1">
        <v>80.0</v>
      </c>
      <c r="D470" s="17">
        <v>0.0</v>
      </c>
      <c r="E470" s="1">
        <v>1.39</v>
      </c>
    </row>
    <row r="471">
      <c r="A471" s="2" t="s">
        <v>1592</v>
      </c>
      <c r="B471" s="1">
        <v>0.0</v>
      </c>
      <c r="C471" s="1">
        <v>78.0</v>
      </c>
      <c r="D471" s="17">
        <v>0.0</v>
      </c>
      <c r="E471" s="1">
        <v>30.87</v>
      </c>
    </row>
    <row r="472">
      <c r="A472" s="2" t="s">
        <v>1715</v>
      </c>
      <c r="B472" s="1">
        <v>0.0</v>
      </c>
      <c r="C472" s="1">
        <v>76.0</v>
      </c>
      <c r="D472" s="17">
        <v>0.0</v>
      </c>
      <c r="E472" s="1">
        <v>16.93</v>
      </c>
    </row>
    <row r="473">
      <c r="A473" s="2" t="s">
        <v>515</v>
      </c>
      <c r="B473" s="1">
        <v>0.0</v>
      </c>
      <c r="C473" s="1">
        <v>73.0</v>
      </c>
      <c r="D473" s="17">
        <v>0.0</v>
      </c>
      <c r="E473" s="1">
        <v>49.34</v>
      </c>
    </row>
    <row r="474">
      <c r="A474" s="2" t="s">
        <v>2442</v>
      </c>
      <c r="B474" s="1">
        <v>0.0</v>
      </c>
      <c r="C474" s="1">
        <v>73.0</v>
      </c>
      <c r="D474" s="17">
        <v>0.0</v>
      </c>
      <c r="E474" s="1">
        <v>90.33</v>
      </c>
    </row>
    <row r="475">
      <c r="A475" s="2" t="s">
        <v>2159</v>
      </c>
      <c r="B475" s="1">
        <v>0.0</v>
      </c>
      <c r="C475" s="1">
        <v>71.0</v>
      </c>
      <c r="D475" s="17">
        <v>0.0</v>
      </c>
      <c r="E475" s="1">
        <v>72.11</v>
      </c>
    </row>
    <row r="476">
      <c r="A476" s="2" t="s">
        <v>1910</v>
      </c>
      <c r="B476" s="1">
        <v>0.0</v>
      </c>
      <c r="C476" s="1">
        <v>70.0</v>
      </c>
      <c r="D476" s="17">
        <v>0.0</v>
      </c>
      <c r="E476" s="1">
        <v>59.74</v>
      </c>
    </row>
    <row r="477">
      <c r="A477" s="2" t="s">
        <v>2050</v>
      </c>
      <c r="B477" s="1">
        <v>0.0</v>
      </c>
      <c r="C477" s="1">
        <v>70.0</v>
      </c>
      <c r="D477" s="17">
        <v>0.0</v>
      </c>
      <c r="E477" s="1">
        <v>79.46</v>
      </c>
    </row>
    <row r="478">
      <c r="A478" s="2" t="s">
        <v>1642</v>
      </c>
      <c r="B478" s="1">
        <v>0.0</v>
      </c>
      <c r="C478" s="1">
        <v>69.0</v>
      </c>
      <c r="D478" s="17">
        <v>0.0</v>
      </c>
      <c r="E478" s="1">
        <v>34.23</v>
      </c>
    </row>
    <row r="479">
      <c r="A479" s="2" t="s">
        <v>2986</v>
      </c>
      <c r="B479" s="1">
        <v>0.0</v>
      </c>
      <c r="C479" s="1">
        <v>69.0</v>
      </c>
      <c r="D479" s="17">
        <v>0.0</v>
      </c>
      <c r="E479" s="1">
        <v>59.68</v>
      </c>
    </row>
    <row r="480">
      <c r="A480" s="2" t="s">
        <v>1534</v>
      </c>
      <c r="B480" s="1">
        <v>0.0</v>
      </c>
      <c r="C480" s="1">
        <v>68.0</v>
      </c>
      <c r="D480" s="17">
        <v>0.0</v>
      </c>
      <c r="E480" s="1">
        <v>75.91</v>
      </c>
    </row>
    <row r="481">
      <c r="A481" s="2" t="s">
        <v>1558</v>
      </c>
      <c r="B481" s="1">
        <v>0.0</v>
      </c>
      <c r="C481" s="1">
        <v>67.0</v>
      </c>
      <c r="D481" s="17">
        <v>0.0</v>
      </c>
      <c r="E481" s="1">
        <v>84.24</v>
      </c>
    </row>
    <row r="482">
      <c r="A482" s="2" t="s">
        <v>1003</v>
      </c>
      <c r="B482" s="1">
        <v>0.0</v>
      </c>
      <c r="C482" s="1">
        <v>66.0</v>
      </c>
      <c r="D482" s="17">
        <v>0.0</v>
      </c>
      <c r="E482" s="1">
        <v>68.61</v>
      </c>
    </row>
    <row r="483">
      <c r="A483" s="2" t="s">
        <v>2157</v>
      </c>
      <c r="B483" s="1">
        <v>0.0</v>
      </c>
      <c r="C483" s="1">
        <v>63.0</v>
      </c>
      <c r="D483" s="17">
        <v>0.0</v>
      </c>
      <c r="E483" s="1">
        <v>40.68</v>
      </c>
    </row>
    <row r="484">
      <c r="A484" s="2" t="s">
        <v>1363</v>
      </c>
      <c r="B484" s="1">
        <v>0.0</v>
      </c>
      <c r="C484" s="1">
        <v>62.0</v>
      </c>
      <c r="D484" s="17">
        <v>0.0</v>
      </c>
      <c r="E484" s="1">
        <v>66.94</v>
      </c>
    </row>
    <row r="485">
      <c r="A485" s="2" t="s">
        <v>2269</v>
      </c>
      <c r="B485" s="1">
        <v>0.0</v>
      </c>
      <c r="C485" s="1">
        <v>61.0</v>
      </c>
      <c r="D485" s="17">
        <v>0.0</v>
      </c>
      <c r="E485" s="1">
        <v>79.72</v>
      </c>
    </row>
    <row r="486">
      <c r="A486" s="2" t="s">
        <v>2191</v>
      </c>
      <c r="B486" s="1">
        <v>0.0</v>
      </c>
      <c r="C486" s="1">
        <v>60.0</v>
      </c>
      <c r="D486" s="17">
        <v>0.0</v>
      </c>
      <c r="E486" s="1">
        <v>17.33</v>
      </c>
    </row>
    <row r="487">
      <c r="A487" s="2" t="s">
        <v>1162</v>
      </c>
      <c r="B487" s="1">
        <v>0.0</v>
      </c>
      <c r="C487" s="1">
        <v>60.0</v>
      </c>
      <c r="D487" s="17">
        <v>0.0</v>
      </c>
      <c r="E487" s="1">
        <v>32.87</v>
      </c>
    </row>
    <row r="488">
      <c r="A488" s="2" t="s">
        <v>2075</v>
      </c>
      <c r="B488" s="1">
        <v>0.0</v>
      </c>
      <c r="C488" s="1">
        <v>58.0</v>
      </c>
      <c r="D488" s="17">
        <v>0.0</v>
      </c>
      <c r="E488" s="1">
        <v>63.0</v>
      </c>
    </row>
    <row r="489">
      <c r="A489" s="2" t="s">
        <v>2987</v>
      </c>
      <c r="B489" s="1">
        <v>0.0</v>
      </c>
      <c r="C489" s="1">
        <v>58.0</v>
      </c>
      <c r="D489" s="17">
        <v>0.0</v>
      </c>
      <c r="E489" s="1">
        <v>71.1</v>
      </c>
    </row>
    <row r="490">
      <c r="A490" s="2" t="s">
        <v>2988</v>
      </c>
      <c r="B490" s="1">
        <v>0.0</v>
      </c>
      <c r="C490" s="1">
        <v>57.0</v>
      </c>
      <c r="D490" s="17">
        <v>0.0</v>
      </c>
      <c r="E490" s="1">
        <v>35.91</v>
      </c>
    </row>
    <row r="491">
      <c r="A491" s="2" t="s">
        <v>1513</v>
      </c>
      <c r="B491" s="1">
        <v>0.0</v>
      </c>
      <c r="C491" s="1">
        <v>56.0</v>
      </c>
      <c r="D491" s="17">
        <v>0.0</v>
      </c>
      <c r="E491" s="1">
        <v>63.79</v>
      </c>
    </row>
    <row r="492">
      <c r="A492" s="2" t="s">
        <v>1969</v>
      </c>
      <c r="B492" s="1">
        <v>0.0</v>
      </c>
      <c r="C492" s="1">
        <v>56.0</v>
      </c>
      <c r="D492" s="17">
        <v>0.0</v>
      </c>
      <c r="E492" s="1">
        <v>77.39</v>
      </c>
    </row>
    <row r="493">
      <c r="A493" s="2" t="s">
        <v>2062</v>
      </c>
      <c r="B493" s="1">
        <v>0.0</v>
      </c>
      <c r="C493" s="1">
        <v>55.0</v>
      </c>
      <c r="D493" s="17">
        <v>0.0</v>
      </c>
      <c r="E493" s="1">
        <v>29.38</v>
      </c>
    </row>
    <row r="494">
      <c r="A494" s="2" t="s">
        <v>669</v>
      </c>
      <c r="B494" s="1">
        <v>0.0</v>
      </c>
      <c r="C494" s="1">
        <v>55.0</v>
      </c>
      <c r="D494" s="17">
        <v>0.0</v>
      </c>
      <c r="E494" s="1">
        <v>46.24</v>
      </c>
    </row>
    <row r="495">
      <c r="A495" s="2" t="s">
        <v>2360</v>
      </c>
      <c r="B495" s="1">
        <v>0.0</v>
      </c>
      <c r="C495" s="1">
        <v>55.0</v>
      </c>
      <c r="D495" s="17">
        <v>0.0</v>
      </c>
      <c r="E495" s="1">
        <v>56.91</v>
      </c>
    </row>
    <row r="496">
      <c r="A496" s="2" t="s">
        <v>1097</v>
      </c>
      <c r="B496" s="1">
        <v>0.0</v>
      </c>
      <c r="C496" s="1">
        <v>55.0</v>
      </c>
      <c r="D496" s="17">
        <v>0.0</v>
      </c>
      <c r="E496" s="1">
        <v>69.93</v>
      </c>
    </row>
    <row r="497">
      <c r="A497" s="2" t="s">
        <v>2380</v>
      </c>
      <c r="B497" s="1">
        <v>0.0</v>
      </c>
      <c r="C497" s="1">
        <v>53.0</v>
      </c>
      <c r="D497" s="17">
        <v>0.0</v>
      </c>
      <c r="E497" s="1">
        <v>69.81</v>
      </c>
    </row>
    <row r="498">
      <c r="A498" s="2" t="s">
        <v>1095</v>
      </c>
      <c r="B498" s="1">
        <v>0.0</v>
      </c>
      <c r="C498" s="1">
        <v>53.0</v>
      </c>
      <c r="D498" s="17">
        <v>0.0</v>
      </c>
      <c r="E498" s="1">
        <v>76.0</v>
      </c>
    </row>
    <row r="499">
      <c r="A499" s="2" t="s">
        <v>1556</v>
      </c>
      <c r="B499" s="1">
        <v>0.0</v>
      </c>
      <c r="C499" s="1">
        <v>52.0</v>
      </c>
      <c r="D499" s="17">
        <v>0.0</v>
      </c>
      <c r="E499" s="1">
        <v>48.23</v>
      </c>
    </row>
    <row r="500">
      <c r="A500" s="2" t="s">
        <v>2048</v>
      </c>
      <c r="B500" s="1">
        <v>0.0</v>
      </c>
      <c r="C500" s="1">
        <v>52.0</v>
      </c>
      <c r="D500" s="17">
        <v>0.0</v>
      </c>
      <c r="E500" s="1">
        <v>64.62</v>
      </c>
    </row>
    <row r="501">
      <c r="A501" s="2" t="s">
        <v>2989</v>
      </c>
      <c r="B501" s="1">
        <v>0.0</v>
      </c>
      <c r="C501" s="1">
        <v>51.0</v>
      </c>
      <c r="D501" s="17">
        <v>0.0</v>
      </c>
      <c r="E501" s="1">
        <v>57.63</v>
      </c>
    </row>
    <row r="502">
      <c r="A502" s="2" t="s">
        <v>925</v>
      </c>
      <c r="B502" s="1">
        <v>0.0</v>
      </c>
      <c r="C502" s="1">
        <v>50.0</v>
      </c>
      <c r="D502" s="17">
        <v>0.0</v>
      </c>
      <c r="E502" s="1">
        <v>24.18</v>
      </c>
    </row>
    <row r="503">
      <c r="A503" s="2" t="s">
        <v>1837</v>
      </c>
      <c r="B503" s="1">
        <v>0.0</v>
      </c>
      <c r="C503" s="1">
        <v>49.0</v>
      </c>
      <c r="D503" s="17">
        <v>0.0</v>
      </c>
      <c r="E503" s="1">
        <v>53.55</v>
      </c>
    </row>
    <row r="504">
      <c r="A504" s="2" t="s">
        <v>1438</v>
      </c>
      <c r="B504" s="1">
        <v>0.0</v>
      </c>
      <c r="C504" s="1">
        <v>49.0</v>
      </c>
      <c r="D504" s="17">
        <v>0.0</v>
      </c>
      <c r="E504" s="1">
        <v>58.47</v>
      </c>
    </row>
    <row r="505">
      <c r="A505" s="2" t="s">
        <v>1805</v>
      </c>
      <c r="B505" s="1">
        <v>0.0</v>
      </c>
      <c r="C505" s="1">
        <v>48.0</v>
      </c>
      <c r="D505" s="17">
        <v>0.0</v>
      </c>
      <c r="E505" s="1">
        <v>65.81</v>
      </c>
    </row>
    <row r="506">
      <c r="A506" s="2" t="s">
        <v>1740</v>
      </c>
      <c r="B506" s="1">
        <v>0.0</v>
      </c>
      <c r="C506" s="1">
        <v>47.0</v>
      </c>
      <c r="D506" s="17">
        <v>0.0</v>
      </c>
      <c r="E506" s="1">
        <v>72.98</v>
      </c>
    </row>
    <row r="507">
      <c r="A507" s="2" t="s">
        <v>1290</v>
      </c>
      <c r="B507" s="1">
        <v>0.0</v>
      </c>
      <c r="C507" s="1">
        <v>46.0</v>
      </c>
      <c r="D507" s="17">
        <v>0.0</v>
      </c>
      <c r="E507" s="1">
        <v>51.54</v>
      </c>
    </row>
    <row r="508">
      <c r="A508" s="2" t="s">
        <v>2278</v>
      </c>
      <c r="B508" s="1">
        <v>0.0</v>
      </c>
      <c r="C508" s="1">
        <v>46.0</v>
      </c>
      <c r="D508" s="17">
        <v>0.0</v>
      </c>
      <c r="E508" s="1">
        <v>52.89</v>
      </c>
    </row>
    <row r="509">
      <c r="A509" s="2" t="s">
        <v>604</v>
      </c>
      <c r="B509" s="1">
        <v>0.0</v>
      </c>
      <c r="C509" s="1">
        <v>46.0</v>
      </c>
      <c r="D509" s="17">
        <v>0.0</v>
      </c>
      <c r="E509" s="1">
        <v>57.52</v>
      </c>
    </row>
    <row r="510">
      <c r="A510" s="2" t="s">
        <v>2078</v>
      </c>
      <c r="B510" s="1">
        <v>0.0</v>
      </c>
      <c r="C510" s="1">
        <v>46.0</v>
      </c>
      <c r="D510" s="17">
        <v>0.0</v>
      </c>
      <c r="E510" s="1">
        <v>65.87</v>
      </c>
    </row>
    <row r="511">
      <c r="A511" s="2" t="s">
        <v>2036</v>
      </c>
      <c r="B511" s="1">
        <v>0.0</v>
      </c>
      <c r="C511" s="1">
        <v>45.0</v>
      </c>
      <c r="D511" s="17">
        <v>0.0</v>
      </c>
      <c r="E511" s="1">
        <v>28.47</v>
      </c>
    </row>
    <row r="512">
      <c r="A512" s="2" t="s">
        <v>966</v>
      </c>
      <c r="B512" s="1">
        <v>0.0</v>
      </c>
      <c r="C512" s="1">
        <v>45.0</v>
      </c>
      <c r="D512" s="17">
        <v>0.0</v>
      </c>
      <c r="E512" s="1">
        <v>90.96</v>
      </c>
    </row>
    <row r="513">
      <c r="A513" s="2" t="s">
        <v>2180</v>
      </c>
      <c r="B513" s="1">
        <v>0.0</v>
      </c>
      <c r="C513" s="1">
        <v>44.0</v>
      </c>
      <c r="D513" s="17">
        <v>0.0</v>
      </c>
      <c r="E513" s="1">
        <v>29.0</v>
      </c>
    </row>
    <row r="514">
      <c r="A514" s="2" t="s">
        <v>2990</v>
      </c>
      <c r="B514" s="1">
        <v>0.0</v>
      </c>
      <c r="C514" s="1">
        <v>44.0</v>
      </c>
      <c r="D514" s="17">
        <v>0.0</v>
      </c>
      <c r="E514" s="1">
        <v>36.39</v>
      </c>
    </row>
    <row r="515">
      <c r="A515" s="2" t="s">
        <v>471</v>
      </c>
      <c r="B515" s="1">
        <v>0.0</v>
      </c>
      <c r="C515" s="1">
        <v>44.0</v>
      </c>
      <c r="D515" s="17">
        <v>0.0</v>
      </c>
      <c r="E515" s="1">
        <v>74.61</v>
      </c>
    </row>
    <row r="516">
      <c r="A516" s="2" t="s">
        <v>1354</v>
      </c>
      <c r="B516" s="1">
        <v>0.0</v>
      </c>
      <c r="C516" s="1">
        <v>43.0</v>
      </c>
      <c r="D516" s="17">
        <v>0.0</v>
      </c>
      <c r="E516" s="1">
        <v>41.07</v>
      </c>
    </row>
    <row r="517">
      <c r="A517" s="2" t="s">
        <v>1640</v>
      </c>
      <c r="B517" s="1">
        <v>0.0</v>
      </c>
      <c r="C517" s="1">
        <v>42.0</v>
      </c>
      <c r="D517" s="17">
        <v>0.0</v>
      </c>
      <c r="E517" s="1">
        <v>18.9</v>
      </c>
    </row>
    <row r="518">
      <c r="A518" s="2" t="s">
        <v>675</v>
      </c>
      <c r="B518" s="1">
        <v>0.0</v>
      </c>
      <c r="C518" s="1">
        <v>42.0</v>
      </c>
      <c r="D518" s="17">
        <v>0.0</v>
      </c>
      <c r="E518" s="1">
        <v>42.07</v>
      </c>
    </row>
    <row r="519">
      <c r="A519" s="2" t="s">
        <v>989</v>
      </c>
      <c r="B519" s="1">
        <v>0.0</v>
      </c>
      <c r="C519" s="1">
        <v>42.0</v>
      </c>
      <c r="D519" s="17">
        <v>0.0</v>
      </c>
      <c r="E519" s="1">
        <v>51.67</v>
      </c>
    </row>
    <row r="520">
      <c r="A520" s="2" t="s">
        <v>2243</v>
      </c>
      <c r="B520" s="1">
        <v>0.0</v>
      </c>
      <c r="C520" s="1">
        <v>42.0</v>
      </c>
      <c r="D520" s="17">
        <v>0.0</v>
      </c>
      <c r="E520" s="1">
        <v>62.81</v>
      </c>
    </row>
    <row r="521">
      <c r="A521" s="2" t="s">
        <v>1582</v>
      </c>
      <c r="B521" s="1">
        <v>0.0</v>
      </c>
      <c r="C521" s="1">
        <v>42.0</v>
      </c>
      <c r="D521" s="17">
        <v>0.0</v>
      </c>
      <c r="E521" s="1">
        <v>77.88</v>
      </c>
    </row>
    <row r="522">
      <c r="A522" s="2" t="s">
        <v>2060</v>
      </c>
      <c r="B522" s="1">
        <v>0.0</v>
      </c>
      <c r="C522" s="1">
        <v>42.0</v>
      </c>
      <c r="D522" s="17">
        <v>0.0</v>
      </c>
      <c r="E522" s="1">
        <v>80.17</v>
      </c>
    </row>
    <row r="523">
      <c r="A523" s="2" t="s">
        <v>1833</v>
      </c>
      <c r="B523" s="1">
        <v>0.0</v>
      </c>
      <c r="C523" s="1">
        <v>40.0</v>
      </c>
      <c r="D523" s="17">
        <v>0.0</v>
      </c>
      <c r="E523" s="1">
        <v>62.25</v>
      </c>
    </row>
    <row r="524">
      <c r="A524" s="2" t="s">
        <v>1973</v>
      </c>
      <c r="B524" s="1">
        <v>0.0</v>
      </c>
      <c r="C524" s="1">
        <v>40.0</v>
      </c>
      <c r="D524" s="17">
        <v>0.0</v>
      </c>
      <c r="E524" s="1">
        <v>63.52</v>
      </c>
    </row>
    <row r="525">
      <c r="A525" s="2" t="s">
        <v>1791</v>
      </c>
      <c r="B525" s="1">
        <v>0.0</v>
      </c>
      <c r="C525" s="1">
        <v>39.0</v>
      </c>
      <c r="D525" s="17">
        <v>0.0</v>
      </c>
      <c r="E525" s="1">
        <v>67.03</v>
      </c>
    </row>
    <row r="526">
      <c r="A526" s="2" t="s">
        <v>1078</v>
      </c>
      <c r="B526" s="1">
        <v>0.0</v>
      </c>
      <c r="C526" s="1">
        <v>38.0</v>
      </c>
      <c r="D526" s="17">
        <v>0.0</v>
      </c>
      <c r="E526" s="1">
        <v>18.84</v>
      </c>
    </row>
    <row r="527">
      <c r="A527" s="2" t="s">
        <v>2420</v>
      </c>
      <c r="B527" s="1">
        <v>0.0</v>
      </c>
      <c r="C527" s="1">
        <v>38.0</v>
      </c>
      <c r="D527" s="17">
        <v>0.0</v>
      </c>
      <c r="E527" s="1">
        <v>66.26</v>
      </c>
    </row>
    <row r="528">
      <c r="A528" s="2" t="s">
        <v>1961</v>
      </c>
      <c r="B528" s="1">
        <v>0.0</v>
      </c>
      <c r="C528" s="1">
        <v>36.0</v>
      </c>
      <c r="D528" s="17">
        <v>0.0</v>
      </c>
      <c r="E528" s="1">
        <v>81.03</v>
      </c>
    </row>
    <row r="529">
      <c r="A529" s="2" t="s">
        <v>2342</v>
      </c>
      <c r="B529" s="1">
        <v>0.0</v>
      </c>
      <c r="C529" s="1">
        <v>35.0</v>
      </c>
      <c r="D529" s="17">
        <v>0.0</v>
      </c>
      <c r="E529" s="1">
        <v>27.11</v>
      </c>
    </row>
    <row r="530">
      <c r="A530" s="2" t="s">
        <v>2265</v>
      </c>
      <c r="B530" s="1">
        <v>0.0</v>
      </c>
      <c r="C530" s="1">
        <v>35.0</v>
      </c>
      <c r="D530" s="17">
        <v>0.0</v>
      </c>
      <c r="E530" s="1">
        <v>32.91</v>
      </c>
    </row>
    <row r="531">
      <c r="A531" s="2" t="s">
        <v>2991</v>
      </c>
      <c r="B531" s="1">
        <v>0.0</v>
      </c>
      <c r="C531" s="1">
        <v>35.0</v>
      </c>
      <c r="D531" s="17">
        <v>0.0</v>
      </c>
      <c r="E531" s="1">
        <v>35.23</v>
      </c>
    </row>
    <row r="532">
      <c r="A532" s="2" t="s">
        <v>2124</v>
      </c>
      <c r="B532" s="1">
        <v>0.0</v>
      </c>
      <c r="C532" s="1">
        <v>35.0</v>
      </c>
      <c r="D532" s="17">
        <v>0.0</v>
      </c>
      <c r="E532" s="1">
        <v>60.54</v>
      </c>
    </row>
    <row r="533">
      <c r="A533" s="2" t="s">
        <v>2089</v>
      </c>
      <c r="B533" s="1">
        <v>0.0</v>
      </c>
      <c r="C533" s="1">
        <v>35.0</v>
      </c>
      <c r="D533" s="17">
        <v>0.0</v>
      </c>
      <c r="E533" s="1">
        <v>77.63</v>
      </c>
    </row>
    <row r="534">
      <c r="A534" s="2" t="s">
        <v>1905</v>
      </c>
      <c r="B534" s="1">
        <v>0.0</v>
      </c>
      <c r="C534" s="1">
        <v>34.0</v>
      </c>
      <c r="D534" s="17">
        <v>0.0</v>
      </c>
      <c r="E534" s="1">
        <v>29.97</v>
      </c>
    </row>
    <row r="535">
      <c r="A535" s="2" t="s">
        <v>1807</v>
      </c>
      <c r="B535" s="1">
        <v>0.0</v>
      </c>
      <c r="C535" s="1">
        <v>34.0</v>
      </c>
      <c r="D535" s="17">
        <v>0.0</v>
      </c>
      <c r="E535" s="1">
        <v>72.38</v>
      </c>
    </row>
    <row r="536">
      <c r="A536" s="2" t="s">
        <v>2251</v>
      </c>
      <c r="B536" s="1">
        <v>0.0</v>
      </c>
      <c r="C536" s="1">
        <v>34.0</v>
      </c>
      <c r="D536" s="17">
        <v>0.0</v>
      </c>
      <c r="E536" s="1">
        <v>82.41</v>
      </c>
    </row>
    <row r="537">
      <c r="A537" s="2" t="s">
        <v>2378</v>
      </c>
      <c r="B537" s="1">
        <v>0.0</v>
      </c>
      <c r="C537" s="1">
        <v>34.0</v>
      </c>
      <c r="D537" s="17">
        <v>0.0</v>
      </c>
      <c r="E537" s="1">
        <v>86.09</v>
      </c>
    </row>
    <row r="538">
      <c r="A538" s="2" t="s">
        <v>2433</v>
      </c>
      <c r="B538" s="1">
        <v>0.0</v>
      </c>
      <c r="C538" s="1">
        <v>33.0</v>
      </c>
      <c r="D538" s="17">
        <v>0.0</v>
      </c>
      <c r="E538" s="1">
        <v>59.3</v>
      </c>
    </row>
    <row r="539">
      <c r="A539" s="2" t="s">
        <v>1878</v>
      </c>
      <c r="B539" s="1">
        <v>0.0</v>
      </c>
      <c r="C539" s="1">
        <v>31.0</v>
      </c>
      <c r="D539" s="17">
        <v>0.0</v>
      </c>
      <c r="E539" s="1">
        <v>57.94</v>
      </c>
    </row>
    <row r="540">
      <c r="A540" s="2" t="s">
        <v>826</v>
      </c>
      <c r="B540" s="1">
        <v>0.0</v>
      </c>
      <c r="C540" s="1">
        <v>31.0</v>
      </c>
      <c r="D540" s="17">
        <v>0.0</v>
      </c>
      <c r="E540" s="1">
        <v>66.9</v>
      </c>
    </row>
    <row r="541">
      <c r="A541" s="2" t="s">
        <v>2175</v>
      </c>
      <c r="B541" s="1">
        <v>0.0</v>
      </c>
      <c r="C541" s="1">
        <v>29.0</v>
      </c>
      <c r="D541" s="17">
        <v>0.0</v>
      </c>
      <c r="E541" s="1">
        <v>23.93</v>
      </c>
    </row>
    <row r="542">
      <c r="A542" s="2" t="s">
        <v>2992</v>
      </c>
      <c r="B542" s="1">
        <v>0.0</v>
      </c>
      <c r="C542" s="1">
        <v>28.0</v>
      </c>
      <c r="D542" s="17">
        <v>0.0</v>
      </c>
      <c r="E542" s="1">
        <v>50.57</v>
      </c>
    </row>
    <row r="543">
      <c r="A543" s="2" t="s">
        <v>2000</v>
      </c>
      <c r="B543" s="1">
        <v>0.0</v>
      </c>
      <c r="C543" s="1">
        <v>28.0</v>
      </c>
      <c r="D543" s="17">
        <v>0.0</v>
      </c>
      <c r="E543" s="1">
        <v>57.18</v>
      </c>
    </row>
    <row r="544">
      <c r="A544" s="2" t="s">
        <v>2056</v>
      </c>
      <c r="B544" s="1">
        <v>0.0</v>
      </c>
      <c r="C544" s="1">
        <v>27.0</v>
      </c>
      <c r="D544" s="17">
        <v>0.0</v>
      </c>
      <c r="E544" s="1">
        <v>13.59</v>
      </c>
    </row>
    <row r="545">
      <c r="A545" s="2" t="s">
        <v>1811</v>
      </c>
      <c r="B545" s="1">
        <v>0.0</v>
      </c>
      <c r="C545" s="1">
        <v>27.0</v>
      </c>
      <c r="D545" s="17">
        <v>0.0</v>
      </c>
      <c r="E545" s="1">
        <v>42.7</v>
      </c>
    </row>
    <row r="546">
      <c r="A546" s="2" t="s">
        <v>678</v>
      </c>
      <c r="B546" s="1">
        <v>0.0</v>
      </c>
      <c r="C546" s="1">
        <v>27.0</v>
      </c>
      <c r="D546" s="17">
        <v>0.0</v>
      </c>
      <c r="E546" s="1">
        <v>49.3</v>
      </c>
    </row>
    <row r="547">
      <c r="A547" s="2" t="s">
        <v>2161</v>
      </c>
      <c r="B547" s="1">
        <v>0.0</v>
      </c>
      <c r="C547" s="1">
        <v>26.0</v>
      </c>
      <c r="D547" s="17">
        <v>0.0</v>
      </c>
      <c r="E547" s="1">
        <v>19.54</v>
      </c>
    </row>
    <row r="548">
      <c r="A548" s="2" t="s">
        <v>2097</v>
      </c>
      <c r="B548" s="1">
        <v>0.0</v>
      </c>
      <c r="C548" s="1">
        <v>26.0</v>
      </c>
      <c r="D548" s="17">
        <v>0.0</v>
      </c>
      <c r="E548" s="1">
        <v>31.15</v>
      </c>
    </row>
    <row r="549">
      <c r="A549" s="2" t="s">
        <v>895</v>
      </c>
      <c r="B549" s="1">
        <v>0.0</v>
      </c>
      <c r="C549" s="1">
        <v>26.0</v>
      </c>
      <c r="D549" s="17">
        <v>0.0</v>
      </c>
      <c r="E549" s="1">
        <v>46.73</v>
      </c>
    </row>
    <row r="550">
      <c r="A550" s="2" t="s">
        <v>1855</v>
      </c>
      <c r="B550" s="1">
        <v>0.0</v>
      </c>
      <c r="C550" s="1">
        <v>26.0</v>
      </c>
      <c r="D550" s="17">
        <v>0.0</v>
      </c>
      <c r="E550" s="1">
        <v>56.15</v>
      </c>
    </row>
    <row r="551">
      <c r="A551" s="2" t="s">
        <v>1312</v>
      </c>
      <c r="B551" s="1">
        <v>0.0</v>
      </c>
      <c r="C551" s="1">
        <v>25.0</v>
      </c>
      <c r="D551" s="17">
        <v>0.0</v>
      </c>
      <c r="E551" s="1">
        <v>81.04</v>
      </c>
    </row>
    <row r="552">
      <c r="A552" s="2" t="s">
        <v>2289</v>
      </c>
      <c r="B552" s="1">
        <v>0.0</v>
      </c>
      <c r="C552" s="1">
        <v>24.0</v>
      </c>
      <c r="D552" s="17">
        <v>0.0</v>
      </c>
      <c r="E552" s="1">
        <v>25.25</v>
      </c>
    </row>
    <row r="553">
      <c r="A553" s="2" t="s">
        <v>1134</v>
      </c>
      <c r="B553" s="1">
        <v>0.0</v>
      </c>
      <c r="C553" s="1">
        <v>23.0</v>
      </c>
      <c r="D553" s="17">
        <v>0.0</v>
      </c>
      <c r="E553" s="1">
        <v>25.17</v>
      </c>
    </row>
    <row r="554">
      <c r="A554" s="2" t="s">
        <v>1526</v>
      </c>
      <c r="B554" s="1">
        <v>0.0</v>
      </c>
      <c r="C554" s="1">
        <v>23.0</v>
      </c>
      <c r="D554" s="17">
        <v>0.0</v>
      </c>
      <c r="E554" s="1">
        <v>36.35</v>
      </c>
    </row>
    <row r="555">
      <c r="A555" s="2" t="s">
        <v>523</v>
      </c>
      <c r="B555" s="1">
        <v>0.0</v>
      </c>
      <c r="C555" s="1">
        <v>23.0</v>
      </c>
      <c r="D555" s="17">
        <v>0.0</v>
      </c>
      <c r="E555" s="1">
        <v>82.48</v>
      </c>
    </row>
    <row r="556">
      <c r="A556" s="2" t="s">
        <v>2410</v>
      </c>
      <c r="B556" s="1">
        <v>0.0</v>
      </c>
      <c r="C556" s="1">
        <v>22.0</v>
      </c>
      <c r="D556" s="17">
        <v>0.0</v>
      </c>
      <c r="E556" s="1">
        <v>32.55</v>
      </c>
    </row>
    <row r="557">
      <c r="A557" s="2" t="s">
        <v>1606</v>
      </c>
      <c r="B557" s="1">
        <v>0.0</v>
      </c>
      <c r="C557" s="1">
        <v>22.0</v>
      </c>
      <c r="D557" s="17">
        <v>0.0</v>
      </c>
      <c r="E557" s="1">
        <v>58.0</v>
      </c>
    </row>
    <row r="558">
      <c r="A558" s="2" t="s">
        <v>2155</v>
      </c>
      <c r="B558" s="1">
        <v>0.0</v>
      </c>
      <c r="C558" s="1">
        <v>21.0</v>
      </c>
      <c r="D558" s="17">
        <v>0.0</v>
      </c>
      <c r="E558" s="1">
        <v>67.9</v>
      </c>
    </row>
    <row r="559">
      <c r="A559" s="2" t="s">
        <v>1456</v>
      </c>
      <c r="B559" s="1">
        <v>0.0</v>
      </c>
      <c r="C559" s="1">
        <v>20.0</v>
      </c>
      <c r="D559" s="17">
        <v>0.0</v>
      </c>
      <c r="E559" s="1">
        <v>16.65</v>
      </c>
    </row>
    <row r="560">
      <c r="A560" s="2" t="s">
        <v>623</v>
      </c>
      <c r="B560" s="1">
        <v>0.0</v>
      </c>
      <c r="C560" s="1">
        <v>20.0</v>
      </c>
      <c r="D560" s="17">
        <v>0.0</v>
      </c>
      <c r="E560" s="1">
        <v>31.0</v>
      </c>
    </row>
    <row r="561">
      <c r="A561" s="2" t="s">
        <v>2993</v>
      </c>
      <c r="B561" s="1">
        <v>0.0</v>
      </c>
      <c r="C561" s="1">
        <v>20.0</v>
      </c>
      <c r="D561" s="17">
        <v>0.0</v>
      </c>
      <c r="E561" s="1">
        <v>34.2</v>
      </c>
    </row>
    <row r="562">
      <c r="A562" s="2" t="s">
        <v>1344</v>
      </c>
      <c r="B562" s="1">
        <v>0.0</v>
      </c>
      <c r="C562" s="1">
        <v>19.0</v>
      </c>
      <c r="D562" s="17">
        <v>0.0</v>
      </c>
      <c r="E562" s="1">
        <v>69.68</v>
      </c>
    </row>
    <row r="563">
      <c r="A563" s="2" t="s">
        <v>2994</v>
      </c>
      <c r="B563" s="1">
        <v>0.0</v>
      </c>
      <c r="C563" s="1">
        <v>18.0</v>
      </c>
      <c r="D563" s="17">
        <v>0.0</v>
      </c>
      <c r="E563" s="1">
        <v>17.44</v>
      </c>
    </row>
    <row r="564">
      <c r="A564" s="2" t="s">
        <v>2995</v>
      </c>
      <c r="B564" s="1">
        <v>0.0</v>
      </c>
      <c r="C564" s="1">
        <v>18.0</v>
      </c>
      <c r="D564" s="17">
        <v>0.0</v>
      </c>
      <c r="E564" s="1">
        <v>23.33</v>
      </c>
    </row>
    <row r="565">
      <c r="A565" s="2" t="s">
        <v>1059</v>
      </c>
      <c r="B565" s="1">
        <v>0.0</v>
      </c>
      <c r="C565" s="1">
        <v>18.0</v>
      </c>
      <c r="D565" s="17">
        <v>0.0</v>
      </c>
      <c r="E565" s="1">
        <v>27.44</v>
      </c>
    </row>
    <row r="566">
      <c r="A566" s="2" t="s">
        <v>1090</v>
      </c>
      <c r="B566" s="1">
        <v>0.0</v>
      </c>
      <c r="C566" s="1">
        <v>18.0</v>
      </c>
      <c r="D566" s="17">
        <v>0.0</v>
      </c>
      <c r="E566" s="1">
        <v>42.83</v>
      </c>
    </row>
    <row r="567">
      <c r="A567" s="2" t="s">
        <v>531</v>
      </c>
      <c r="B567" s="1">
        <v>0.0</v>
      </c>
      <c r="C567" s="1">
        <v>18.0</v>
      </c>
      <c r="D567" s="17">
        <v>0.0</v>
      </c>
      <c r="E567" s="1">
        <v>59.83</v>
      </c>
    </row>
    <row r="568">
      <c r="A568" s="2" t="s">
        <v>1115</v>
      </c>
      <c r="B568" s="1">
        <v>0.0</v>
      </c>
      <c r="C568" s="1">
        <v>18.0</v>
      </c>
      <c r="D568" s="17">
        <v>0.0</v>
      </c>
      <c r="E568" s="1">
        <v>72.67</v>
      </c>
    </row>
    <row r="569">
      <c r="A569" s="2" t="s">
        <v>2996</v>
      </c>
      <c r="B569" s="1">
        <v>0.0</v>
      </c>
      <c r="C569" s="1">
        <v>17.0</v>
      </c>
      <c r="D569" s="17">
        <v>0.0</v>
      </c>
      <c r="E569" s="1">
        <v>44.35</v>
      </c>
    </row>
    <row r="570">
      <c r="A570" s="2" t="s">
        <v>1414</v>
      </c>
      <c r="B570" s="1">
        <v>0.0</v>
      </c>
      <c r="C570" s="1">
        <v>17.0</v>
      </c>
      <c r="D570" s="17">
        <v>0.0</v>
      </c>
      <c r="E570" s="1">
        <v>45.94</v>
      </c>
    </row>
    <row r="571">
      <c r="A571" s="2" t="s">
        <v>1857</v>
      </c>
      <c r="B571" s="1">
        <v>0.0</v>
      </c>
      <c r="C571" s="1">
        <v>17.0</v>
      </c>
      <c r="D571" s="17">
        <v>0.0</v>
      </c>
      <c r="E571" s="1">
        <v>61.82</v>
      </c>
    </row>
    <row r="572">
      <c r="A572" s="2" t="s">
        <v>1841</v>
      </c>
      <c r="B572" s="1">
        <v>0.0</v>
      </c>
      <c r="C572" s="1">
        <v>17.0</v>
      </c>
      <c r="D572" s="17">
        <v>0.0</v>
      </c>
      <c r="E572" s="1">
        <v>97.71</v>
      </c>
    </row>
    <row r="573">
      <c r="A573" s="2" t="s">
        <v>2997</v>
      </c>
      <c r="B573" s="1">
        <v>0.0</v>
      </c>
      <c r="C573" s="1">
        <v>16.0</v>
      </c>
      <c r="D573" s="17">
        <v>0.0</v>
      </c>
      <c r="E573" s="1">
        <v>19.19</v>
      </c>
    </row>
    <row r="574">
      <c r="A574" s="2" t="s">
        <v>882</v>
      </c>
      <c r="B574" s="1">
        <v>0.0</v>
      </c>
      <c r="C574" s="1">
        <v>16.0</v>
      </c>
      <c r="D574" s="17">
        <v>0.0</v>
      </c>
      <c r="E574" s="1">
        <v>22.88</v>
      </c>
    </row>
    <row r="575">
      <c r="A575" s="2" t="s">
        <v>2064</v>
      </c>
      <c r="B575" s="1">
        <v>0.0</v>
      </c>
      <c r="C575" s="1">
        <v>16.0</v>
      </c>
      <c r="D575" s="17">
        <v>0.0</v>
      </c>
      <c r="E575" s="1">
        <v>58.56</v>
      </c>
    </row>
    <row r="576">
      <c r="A576" s="2" t="s">
        <v>1143</v>
      </c>
      <c r="B576" s="1">
        <v>0.0</v>
      </c>
      <c r="C576" s="1">
        <v>15.0</v>
      </c>
      <c r="D576" s="17">
        <v>0.0</v>
      </c>
      <c r="E576" s="1">
        <v>9.0</v>
      </c>
    </row>
    <row r="577">
      <c r="A577" s="2" t="s">
        <v>1984</v>
      </c>
      <c r="B577" s="1">
        <v>0.0</v>
      </c>
      <c r="C577" s="1">
        <v>15.0</v>
      </c>
      <c r="D577" s="17">
        <v>0.0</v>
      </c>
      <c r="E577" s="1">
        <v>20.8</v>
      </c>
    </row>
    <row r="578">
      <c r="A578" s="2" t="s">
        <v>2388</v>
      </c>
      <c r="B578" s="1">
        <v>0.0</v>
      </c>
      <c r="C578" s="1">
        <v>15.0</v>
      </c>
      <c r="D578" s="17">
        <v>0.0</v>
      </c>
      <c r="E578" s="1">
        <v>31.6</v>
      </c>
    </row>
    <row r="579">
      <c r="A579" s="2" t="s">
        <v>2435</v>
      </c>
      <c r="B579" s="1">
        <v>0.0</v>
      </c>
      <c r="C579" s="1">
        <v>15.0</v>
      </c>
      <c r="D579" s="17">
        <v>0.0</v>
      </c>
      <c r="E579" s="1">
        <v>32.87</v>
      </c>
    </row>
    <row r="580">
      <c r="A580" s="2" t="s">
        <v>1630</v>
      </c>
      <c r="B580" s="1">
        <v>0.0</v>
      </c>
      <c r="C580" s="1">
        <v>15.0</v>
      </c>
      <c r="D580" s="17">
        <v>0.0</v>
      </c>
      <c r="E580" s="1">
        <v>42.27</v>
      </c>
    </row>
    <row r="581">
      <c r="A581" s="2" t="s">
        <v>2312</v>
      </c>
      <c r="B581" s="1">
        <v>0.0</v>
      </c>
      <c r="C581" s="1">
        <v>15.0</v>
      </c>
      <c r="D581" s="17">
        <v>0.0</v>
      </c>
      <c r="E581" s="1">
        <v>43.93</v>
      </c>
    </row>
    <row r="582">
      <c r="A582" s="2" t="s">
        <v>977</v>
      </c>
      <c r="B582" s="1">
        <v>0.0</v>
      </c>
      <c r="C582" s="1">
        <v>15.0</v>
      </c>
      <c r="D582" s="17">
        <v>0.0</v>
      </c>
      <c r="E582" s="1">
        <v>58.33</v>
      </c>
    </row>
    <row r="583">
      <c r="A583" s="2" t="s">
        <v>2040</v>
      </c>
      <c r="B583" s="1">
        <v>0.0</v>
      </c>
      <c r="C583" s="1">
        <v>15.0</v>
      </c>
      <c r="D583" s="17">
        <v>0.0</v>
      </c>
      <c r="E583" s="1">
        <v>62.8</v>
      </c>
    </row>
    <row r="584">
      <c r="A584" s="2" t="s">
        <v>1371</v>
      </c>
      <c r="B584" s="1">
        <v>0.0</v>
      </c>
      <c r="C584" s="1">
        <v>14.0</v>
      </c>
      <c r="D584" s="17">
        <v>0.0</v>
      </c>
      <c r="E584" s="1">
        <v>11.36</v>
      </c>
    </row>
    <row r="585">
      <c r="A585" s="2" t="s">
        <v>2318</v>
      </c>
      <c r="B585" s="1">
        <v>0.0</v>
      </c>
      <c r="C585" s="1">
        <v>14.0</v>
      </c>
      <c r="D585" s="17">
        <v>0.0</v>
      </c>
      <c r="E585" s="1">
        <v>12.36</v>
      </c>
    </row>
    <row r="586">
      <c r="A586" s="2" t="s">
        <v>897</v>
      </c>
      <c r="B586" s="1">
        <v>0.0</v>
      </c>
      <c r="C586" s="1">
        <v>14.0</v>
      </c>
      <c r="D586" s="17">
        <v>0.0</v>
      </c>
      <c r="E586" s="1">
        <v>16.64</v>
      </c>
    </row>
    <row r="587">
      <c r="A587" s="2" t="s">
        <v>1742</v>
      </c>
      <c r="B587" s="1">
        <v>0.0</v>
      </c>
      <c r="C587" s="1">
        <v>14.0</v>
      </c>
      <c r="D587" s="17">
        <v>0.0</v>
      </c>
      <c r="E587" s="1">
        <v>87.79</v>
      </c>
    </row>
    <row r="588">
      <c r="A588" s="2" t="s">
        <v>1843</v>
      </c>
      <c r="B588" s="1">
        <v>0.0</v>
      </c>
      <c r="C588" s="1">
        <v>13.0</v>
      </c>
      <c r="D588" s="17">
        <v>0.0</v>
      </c>
      <c r="E588" s="1">
        <v>29.38</v>
      </c>
    </row>
    <row r="589">
      <c r="A589" s="2" t="s">
        <v>1450</v>
      </c>
      <c r="B589" s="1">
        <v>0.0</v>
      </c>
      <c r="C589" s="1">
        <v>13.0</v>
      </c>
      <c r="D589" s="17">
        <v>0.0</v>
      </c>
      <c r="E589" s="1">
        <v>33.31</v>
      </c>
    </row>
    <row r="590">
      <c r="A590" s="2" t="s">
        <v>852</v>
      </c>
      <c r="B590" s="1">
        <v>0.0</v>
      </c>
      <c r="C590" s="1">
        <v>13.0</v>
      </c>
      <c r="D590" s="17">
        <v>0.0</v>
      </c>
      <c r="E590" s="1">
        <v>54.08</v>
      </c>
    </row>
    <row r="591">
      <c r="A591" s="2" t="s">
        <v>1181</v>
      </c>
      <c r="B591" s="1">
        <v>0.0</v>
      </c>
      <c r="C591" s="1">
        <v>13.0</v>
      </c>
      <c r="D591" s="17">
        <v>0.0</v>
      </c>
      <c r="E591" s="1">
        <v>82.54</v>
      </c>
    </row>
    <row r="592">
      <c r="A592" s="2" t="s">
        <v>2145</v>
      </c>
      <c r="B592" s="1">
        <v>0.0</v>
      </c>
      <c r="C592" s="1">
        <v>12.0</v>
      </c>
      <c r="D592" s="17">
        <v>0.0</v>
      </c>
      <c r="E592" s="1">
        <v>14.83</v>
      </c>
    </row>
    <row r="593">
      <c r="A593" s="2" t="s">
        <v>2998</v>
      </c>
      <c r="B593" s="1">
        <v>0.0</v>
      </c>
      <c r="C593" s="1">
        <v>12.0</v>
      </c>
      <c r="D593" s="17">
        <v>0.0</v>
      </c>
      <c r="E593" s="1">
        <v>24.08</v>
      </c>
    </row>
    <row r="594">
      <c r="A594" s="2" t="s">
        <v>1654</v>
      </c>
      <c r="B594" s="1">
        <v>0.0</v>
      </c>
      <c r="C594" s="1">
        <v>12.0</v>
      </c>
      <c r="D594" s="17">
        <v>0.0</v>
      </c>
      <c r="E594" s="1">
        <v>24.08</v>
      </c>
    </row>
    <row r="595">
      <c r="A595" s="2" t="s">
        <v>2999</v>
      </c>
      <c r="B595" s="1">
        <v>0.0</v>
      </c>
      <c r="C595" s="1">
        <v>12.0</v>
      </c>
      <c r="D595" s="17">
        <v>0.0</v>
      </c>
      <c r="E595" s="1">
        <v>31.08</v>
      </c>
    </row>
    <row r="596">
      <c r="A596" s="2" t="s">
        <v>818</v>
      </c>
      <c r="B596" s="1">
        <v>0.0</v>
      </c>
      <c r="C596" s="1">
        <v>12.0</v>
      </c>
      <c r="D596" s="17">
        <v>0.0</v>
      </c>
      <c r="E596" s="1">
        <v>54.0</v>
      </c>
    </row>
    <row r="597">
      <c r="A597" s="2" t="s">
        <v>1939</v>
      </c>
      <c r="B597" s="1">
        <v>0.0</v>
      </c>
      <c r="C597" s="1">
        <v>12.0</v>
      </c>
      <c r="D597" s="17">
        <v>0.0</v>
      </c>
      <c r="E597" s="1">
        <v>81.83</v>
      </c>
    </row>
    <row r="598">
      <c r="A598" s="2" t="s">
        <v>1626</v>
      </c>
      <c r="B598" s="1">
        <v>0.0</v>
      </c>
      <c r="C598" s="1">
        <v>12.0</v>
      </c>
      <c r="D598" s="17">
        <v>0.0</v>
      </c>
      <c r="E598" s="1">
        <v>81.92</v>
      </c>
    </row>
    <row r="599">
      <c r="A599" s="2" t="s">
        <v>2424</v>
      </c>
      <c r="B599" s="1">
        <v>0.0</v>
      </c>
      <c r="C599" s="1">
        <v>11.0</v>
      </c>
      <c r="D599" s="17">
        <v>0.0</v>
      </c>
      <c r="E599" s="1">
        <v>10.73</v>
      </c>
    </row>
    <row r="600">
      <c r="A600" s="2" t="s">
        <v>1765</v>
      </c>
      <c r="B600" s="1">
        <v>0.0</v>
      </c>
      <c r="C600" s="1">
        <v>11.0</v>
      </c>
      <c r="D600" s="17">
        <v>0.0</v>
      </c>
      <c r="E600" s="1">
        <v>23.0</v>
      </c>
    </row>
    <row r="601">
      <c r="A601" s="2" t="s">
        <v>2255</v>
      </c>
      <c r="B601" s="1">
        <v>0.0</v>
      </c>
      <c r="C601" s="1">
        <v>11.0</v>
      </c>
      <c r="D601" s="17">
        <v>0.0</v>
      </c>
      <c r="E601" s="1">
        <v>23.91</v>
      </c>
    </row>
    <row r="602">
      <c r="A602" s="2" t="s">
        <v>1498</v>
      </c>
      <c r="B602" s="1">
        <v>0.0</v>
      </c>
      <c r="C602" s="1">
        <v>11.0</v>
      </c>
      <c r="D602" s="17">
        <v>0.0</v>
      </c>
      <c r="E602" s="1">
        <v>27.55</v>
      </c>
    </row>
    <row r="603">
      <c r="A603" s="2" t="s">
        <v>3000</v>
      </c>
      <c r="B603" s="1">
        <v>0.0</v>
      </c>
      <c r="C603" s="1">
        <v>11.0</v>
      </c>
      <c r="D603" s="17">
        <v>0.0</v>
      </c>
      <c r="E603" s="1">
        <v>27.64</v>
      </c>
    </row>
    <row r="604">
      <c r="A604" s="2" t="s">
        <v>1528</v>
      </c>
      <c r="B604" s="1">
        <v>0.0</v>
      </c>
      <c r="C604" s="1">
        <v>11.0</v>
      </c>
      <c r="D604" s="17">
        <v>0.0</v>
      </c>
      <c r="E604" s="1">
        <v>33.64</v>
      </c>
    </row>
    <row r="605">
      <c r="A605" s="2" t="s">
        <v>2324</v>
      </c>
      <c r="B605" s="1">
        <v>0.0</v>
      </c>
      <c r="C605" s="1">
        <v>11.0</v>
      </c>
      <c r="D605" s="17">
        <v>0.0</v>
      </c>
      <c r="E605" s="1">
        <v>44.91</v>
      </c>
    </row>
    <row r="606">
      <c r="A606" s="2" t="s">
        <v>1604</v>
      </c>
      <c r="B606" s="1">
        <v>0.0</v>
      </c>
      <c r="C606" s="1">
        <v>11.0</v>
      </c>
      <c r="D606" s="17">
        <v>0.0</v>
      </c>
      <c r="E606" s="1">
        <v>51.09</v>
      </c>
    </row>
    <row r="607">
      <c r="A607" s="2" t="s">
        <v>3001</v>
      </c>
      <c r="B607" s="1">
        <v>0.0</v>
      </c>
      <c r="C607" s="1">
        <v>11.0</v>
      </c>
      <c r="D607" s="17">
        <v>0.0</v>
      </c>
      <c r="E607" s="1">
        <v>62.73</v>
      </c>
    </row>
    <row r="608">
      <c r="A608" s="2" t="s">
        <v>2454</v>
      </c>
      <c r="B608" s="1">
        <v>0.0</v>
      </c>
      <c r="C608" s="1">
        <v>11.0</v>
      </c>
      <c r="D608" s="17">
        <v>0.0</v>
      </c>
      <c r="E608" s="1">
        <v>86.45</v>
      </c>
    </row>
    <row r="609">
      <c r="A609" s="2" t="s">
        <v>1490</v>
      </c>
      <c r="B609" s="1">
        <v>0.0</v>
      </c>
      <c r="C609" s="1">
        <v>10.0</v>
      </c>
      <c r="D609" s="17">
        <v>0.0</v>
      </c>
      <c r="E609" s="1">
        <v>21.2</v>
      </c>
    </row>
    <row r="610">
      <c r="A610" s="2" t="s">
        <v>1566</v>
      </c>
      <c r="B610" s="1">
        <v>0.0</v>
      </c>
      <c r="C610" s="1">
        <v>10.0</v>
      </c>
      <c r="D610" s="17">
        <v>0.0</v>
      </c>
      <c r="E610" s="1">
        <v>30.0</v>
      </c>
    </row>
    <row r="611">
      <c r="A611" s="2" t="s">
        <v>3002</v>
      </c>
      <c r="B611" s="1">
        <v>0.0</v>
      </c>
      <c r="C611" s="1">
        <v>10.0</v>
      </c>
      <c r="D611" s="17">
        <v>0.0</v>
      </c>
      <c r="E611" s="1">
        <v>42.5</v>
      </c>
    </row>
    <row r="612">
      <c r="A612" s="2" t="s">
        <v>1173</v>
      </c>
      <c r="B612" s="1">
        <v>0.0</v>
      </c>
      <c r="C612" s="1">
        <v>10.0</v>
      </c>
      <c r="D612" s="17">
        <v>0.0</v>
      </c>
      <c r="E612" s="1">
        <v>42.6</v>
      </c>
    </row>
    <row r="613">
      <c r="A613" s="2" t="s">
        <v>1872</v>
      </c>
      <c r="B613" s="1">
        <v>0.0</v>
      </c>
      <c r="C613" s="1">
        <v>10.0</v>
      </c>
      <c r="D613" s="17">
        <v>0.0</v>
      </c>
      <c r="E613" s="1">
        <v>43.0</v>
      </c>
    </row>
    <row r="614">
      <c r="A614" s="2" t="s">
        <v>1088</v>
      </c>
      <c r="B614" s="1">
        <v>0.0</v>
      </c>
      <c r="C614" s="1">
        <v>10.0</v>
      </c>
      <c r="D614" s="17">
        <v>0.0</v>
      </c>
      <c r="E614" s="1">
        <v>72.2</v>
      </c>
    </row>
    <row r="615">
      <c r="A615" s="2" t="s">
        <v>2173</v>
      </c>
      <c r="B615" s="1">
        <v>0.0</v>
      </c>
      <c r="C615" s="1">
        <v>10.0</v>
      </c>
      <c r="D615" s="17">
        <v>0.0</v>
      </c>
      <c r="E615" s="1">
        <v>79.2</v>
      </c>
    </row>
    <row r="616">
      <c r="A616" s="2" t="s">
        <v>1795</v>
      </c>
      <c r="B616" s="1">
        <v>0.0</v>
      </c>
      <c r="C616" s="1">
        <v>10.0</v>
      </c>
      <c r="D616" s="17">
        <v>0.0</v>
      </c>
      <c r="E616" s="1">
        <v>87.3</v>
      </c>
    </row>
    <row r="617">
      <c r="A617" s="2" t="s">
        <v>1797</v>
      </c>
      <c r="B617" s="1">
        <v>0.0</v>
      </c>
      <c r="C617" s="1">
        <v>10.0</v>
      </c>
      <c r="D617" s="17">
        <v>0.0</v>
      </c>
      <c r="E617" s="1">
        <v>91.3</v>
      </c>
    </row>
    <row r="618">
      <c r="A618" s="2" t="s">
        <v>3003</v>
      </c>
      <c r="B618" s="1">
        <v>0.0</v>
      </c>
      <c r="C618" s="1">
        <v>9.0</v>
      </c>
      <c r="D618" s="17">
        <v>0.0</v>
      </c>
      <c r="E618" s="1">
        <v>5.89</v>
      </c>
    </row>
    <row r="619">
      <c r="A619" s="2" t="s">
        <v>1448</v>
      </c>
      <c r="B619" s="1">
        <v>0.0</v>
      </c>
      <c r="C619" s="1">
        <v>9.0</v>
      </c>
      <c r="D619" s="17">
        <v>0.0</v>
      </c>
      <c r="E619" s="1">
        <v>10.11</v>
      </c>
    </row>
    <row r="620">
      <c r="A620" s="2" t="s">
        <v>1570</v>
      </c>
      <c r="B620" s="1">
        <v>0.0</v>
      </c>
      <c r="C620" s="1">
        <v>9.0</v>
      </c>
      <c r="D620" s="17">
        <v>0.0</v>
      </c>
      <c r="E620" s="1">
        <v>33.67</v>
      </c>
    </row>
    <row r="621">
      <c r="A621" s="2" t="s">
        <v>2237</v>
      </c>
      <c r="B621" s="1">
        <v>0.0</v>
      </c>
      <c r="C621" s="1">
        <v>9.0</v>
      </c>
      <c r="D621" s="17">
        <v>0.0</v>
      </c>
      <c r="E621" s="1">
        <v>45.44</v>
      </c>
    </row>
    <row r="622">
      <c r="A622" s="2" t="s">
        <v>3004</v>
      </c>
      <c r="B622" s="1">
        <v>0.0</v>
      </c>
      <c r="C622" s="1">
        <v>9.0</v>
      </c>
      <c r="D622" s="17">
        <v>0.0</v>
      </c>
      <c r="E622" s="1">
        <v>50.56</v>
      </c>
    </row>
    <row r="623">
      <c r="A623" s="2" t="s">
        <v>1736</v>
      </c>
      <c r="B623" s="1">
        <v>0.0</v>
      </c>
      <c r="C623" s="1">
        <v>9.0</v>
      </c>
      <c r="D623" s="17">
        <v>0.0</v>
      </c>
      <c r="E623" s="1">
        <v>70.67</v>
      </c>
    </row>
    <row r="624">
      <c r="A624" s="2" t="s">
        <v>2217</v>
      </c>
      <c r="B624" s="1">
        <v>0.0</v>
      </c>
      <c r="C624" s="1">
        <v>9.0</v>
      </c>
      <c r="D624" s="17">
        <v>0.0</v>
      </c>
      <c r="E624" s="1">
        <v>77.0</v>
      </c>
    </row>
    <row r="625">
      <c r="A625" s="2" t="s">
        <v>1775</v>
      </c>
      <c r="B625" s="1">
        <v>0.0</v>
      </c>
      <c r="C625" s="1">
        <v>8.0</v>
      </c>
      <c r="D625" s="17">
        <v>0.0</v>
      </c>
      <c r="E625" s="1">
        <v>8.5</v>
      </c>
    </row>
    <row r="626">
      <c r="A626" s="2" t="s">
        <v>1660</v>
      </c>
      <c r="B626" s="1">
        <v>0.0</v>
      </c>
      <c r="C626" s="1">
        <v>8.0</v>
      </c>
      <c r="D626" s="17">
        <v>0.0</v>
      </c>
      <c r="E626" s="1">
        <v>8.62</v>
      </c>
    </row>
    <row r="627">
      <c r="A627" s="2" t="s">
        <v>2107</v>
      </c>
      <c r="B627" s="1">
        <v>0.0</v>
      </c>
      <c r="C627" s="1">
        <v>8.0</v>
      </c>
      <c r="D627" s="17">
        <v>0.0</v>
      </c>
      <c r="E627" s="1">
        <v>9.75</v>
      </c>
    </row>
    <row r="628">
      <c r="A628" s="2" t="s">
        <v>3005</v>
      </c>
      <c r="B628" s="1">
        <v>0.0</v>
      </c>
      <c r="C628" s="1">
        <v>8.0</v>
      </c>
      <c r="D628" s="17">
        <v>0.0</v>
      </c>
      <c r="E628" s="1">
        <v>24.38</v>
      </c>
    </row>
    <row r="629">
      <c r="A629" s="2" t="s">
        <v>2333</v>
      </c>
      <c r="B629" s="1">
        <v>0.0</v>
      </c>
      <c r="C629" s="1">
        <v>8.0</v>
      </c>
      <c r="D629" s="17">
        <v>0.0</v>
      </c>
      <c r="E629" s="1">
        <v>24.75</v>
      </c>
    </row>
    <row r="630">
      <c r="A630" s="2" t="s">
        <v>2195</v>
      </c>
      <c r="B630" s="1">
        <v>0.0</v>
      </c>
      <c r="C630" s="1">
        <v>8.0</v>
      </c>
      <c r="D630" s="17">
        <v>0.0</v>
      </c>
      <c r="E630" s="1">
        <v>38.0</v>
      </c>
    </row>
    <row r="631">
      <c r="A631" s="2" t="s">
        <v>2239</v>
      </c>
      <c r="B631" s="1">
        <v>0.0</v>
      </c>
      <c r="C631" s="1">
        <v>8.0</v>
      </c>
      <c r="D631" s="17">
        <v>0.0</v>
      </c>
      <c r="E631" s="1">
        <v>43.25</v>
      </c>
    </row>
    <row r="632">
      <c r="A632" s="2" t="s">
        <v>2308</v>
      </c>
      <c r="B632" s="1">
        <v>0.0</v>
      </c>
      <c r="C632" s="1">
        <v>8.0</v>
      </c>
      <c r="D632" s="17">
        <v>0.0</v>
      </c>
      <c r="E632" s="1">
        <v>44.12</v>
      </c>
    </row>
    <row r="633">
      <c r="A633" s="2" t="s">
        <v>3006</v>
      </c>
      <c r="B633" s="1">
        <v>0.0</v>
      </c>
      <c r="C633" s="1">
        <v>8.0</v>
      </c>
      <c r="D633" s="17">
        <v>0.0</v>
      </c>
      <c r="E633" s="1">
        <v>53.25</v>
      </c>
    </row>
    <row r="634">
      <c r="A634" s="2" t="s">
        <v>1496</v>
      </c>
      <c r="B634" s="1">
        <v>0.0</v>
      </c>
      <c r="C634" s="1">
        <v>8.0</v>
      </c>
      <c r="D634" s="17">
        <v>0.0</v>
      </c>
      <c r="E634" s="1">
        <v>60.38</v>
      </c>
    </row>
    <row r="635">
      <c r="A635" s="2" t="s">
        <v>1680</v>
      </c>
      <c r="B635" s="1">
        <v>0.0</v>
      </c>
      <c r="C635" s="1">
        <v>8.0</v>
      </c>
      <c r="D635" s="17">
        <v>0.0</v>
      </c>
      <c r="E635" s="1">
        <v>64.5</v>
      </c>
    </row>
    <row r="636">
      <c r="A636" s="2" t="s">
        <v>2186</v>
      </c>
      <c r="B636" s="1">
        <v>0.0</v>
      </c>
      <c r="C636" s="1">
        <v>8.0</v>
      </c>
      <c r="D636" s="17">
        <v>0.0</v>
      </c>
      <c r="E636" s="1">
        <v>73.62</v>
      </c>
    </row>
    <row r="637">
      <c r="A637" s="2" t="s">
        <v>1900</v>
      </c>
      <c r="B637" s="1">
        <v>0.0</v>
      </c>
      <c r="C637" s="1">
        <v>8.0</v>
      </c>
      <c r="D637" s="17">
        <v>0.0</v>
      </c>
      <c r="E637" s="1">
        <v>76.12</v>
      </c>
    </row>
    <row r="638">
      <c r="A638" s="2" t="s">
        <v>3007</v>
      </c>
      <c r="B638" s="1">
        <v>0.0</v>
      </c>
      <c r="C638" s="1">
        <v>8.0</v>
      </c>
      <c r="D638" s="17">
        <v>0.0</v>
      </c>
      <c r="E638" s="1">
        <v>87.5</v>
      </c>
    </row>
    <row r="639">
      <c r="A639" s="2" t="s">
        <v>1492</v>
      </c>
      <c r="B639" s="1">
        <v>0.0</v>
      </c>
      <c r="C639" s="1">
        <v>7.0</v>
      </c>
      <c r="D639" s="17">
        <v>0.0</v>
      </c>
      <c r="E639" s="1">
        <v>20.43</v>
      </c>
    </row>
    <row r="640">
      <c r="A640" s="2" t="s">
        <v>2209</v>
      </c>
      <c r="B640" s="1">
        <v>0.0</v>
      </c>
      <c r="C640" s="1">
        <v>7.0</v>
      </c>
      <c r="D640" s="17">
        <v>0.0</v>
      </c>
      <c r="E640" s="1">
        <v>21.71</v>
      </c>
    </row>
    <row r="641">
      <c r="A641" s="2" t="s">
        <v>1845</v>
      </c>
      <c r="B641" s="1">
        <v>0.0</v>
      </c>
      <c r="C641" s="1">
        <v>7.0</v>
      </c>
      <c r="D641" s="17">
        <v>0.0</v>
      </c>
      <c r="E641" s="1">
        <v>21.86</v>
      </c>
    </row>
    <row r="642">
      <c r="A642" s="2" t="s">
        <v>3008</v>
      </c>
      <c r="B642" s="1">
        <v>0.0</v>
      </c>
      <c r="C642" s="1">
        <v>7.0</v>
      </c>
      <c r="D642" s="17">
        <v>0.0</v>
      </c>
      <c r="E642" s="1">
        <v>30.86</v>
      </c>
    </row>
    <row r="643">
      <c r="A643" s="2" t="s">
        <v>1477</v>
      </c>
      <c r="B643" s="1">
        <v>0.0</v>
      </c>
      <c r="C643" s="1">
        <v>7.0</v>
      </c>
      <c r="D643" s="17">
        <v>0.0</v>
      </c>
      <c r="E643" s="1">
        <v>46.29</v>
      </c>
    </row>
    <row r="644">
      <c r="A644" s="2" t="s">
        <v>2109</v>
      </c>
      <c r="B644" s="1">
        <v>0.0</v>
      </c>
      <c r="C644" s="1">
        <v>7.0</v>
      </c>
      <c r="D644" s="17">
        <v>0.0</v>
      </c>
      <c r="E644" s="1">
        <v>48.71</v>
      </c>
    </row>
    <row r="645">
      <c r="A645" s="2" t="s">
        <v>1781</v>
      </c>
      <c r="B645" s="1">
        <v>0.0</v>
      </c>
      <c r="C645" s="1">
        <v>7.0</v>
      </c>
      <c r="D645" s="17">
        <v>0.0</v>
      </c>
      <c r="E645" s="1">
        <v>58.43</v>
      </c>
    </row>
    <row r="646">
      <c r="A646" s="2" t="s">
        <v>1590</v>
      </c>
      <c r="B646" s="1">
        <v>0.0</v>
      </c>
      <c r="C646" s="1">
        <v>7.0</v>
      </c>
      <c r="D646" s="17">
        <v>0.0</v>
      </c>
      <c r="E646" s="1">
        <v>58.86</v>
      </c>
    </row>
    <row r="647">
      <c r="A647" s="2" t="s">
        <v>1324</v>
      </c>
      <c r="B647" s="1">
        <v>0.0</v>
      </c>
      <c r="C647" s="1">
        <v>7.0</v>
      </c>
      <c r="D647" s="17">
        <v>0.0</v>
      </c>
      <c r="E647" s="1">
        <v>69.71</v>
      </c>
    </row>
    <row r="648">
      <c r="A648" s="2" t="s">
        <v>1880</v>
      </c>
      <c r="B648" s="1">
        <v>0.0</v>
      </c>
      <c r="C648" s="1">
        <v>7.0</v>
      </c>
      <c r="D648" s="17">
        <v>0.0</v>
      </c>
      <c r="E648" s="1">
        <v>71.0</v>
      </c>
    </row>
    <row r="649">
      <c r="A649" s="2" t="s">
        <v>2219</v>
      </c>
      <c r="B649" s="1">
        <v>0.0</v>
      </c>
      <c r="C649" s="1">
        <v>7.0</v>
      </c>
      <c r="D649" s="17">
        <v>0.0</v>
      </c>
      <c r="E649" s="1">
        <v>73.43</v>
      </c>
    </row>
    <row r="650">
      <c r="A650" s="2" t="s">
        <v>1503</v>
      </c>
      <c r="B650" s="1">
        <v>0.0</v>
      </c>
      <c r="C650" s="1">
        <v>7.0</v>
      </c>
      <c r="D650" s="17">
        <v>0.0</v>
      </c>
      <c r="E650" s="1">
        <v>90.86</v>
      </c>
    </row>
    <row r="651">
      <c r="A651" s="2" t="s">
        <v>2428</v>
      </c>
      <c r="B651" s="1">
        <v>0.0</v>
      </c>
      <c r="C651" s="1">
        <v>6.0</v>
      </c>
      <c r="D651" s="17">
        <v>0.0</v>
      </c>
      <c r="E651" s="1">
        <v>15.67</v>
      </c>
    </row>
    <row r="652">
      <c r="A652" s="2" t="s">
        <v>2105</v>
      </c>
      <c r="B652" s="1">
        <v>0.0</v>
      </c>
      <c r="C652" s="1">
        <v>6.0</v>
      </c>
      <c r="D652" s="17">
        <v>0.0</v>
      </c>
      <c r="E652" s="1">
        <v>23.67</v>
      </c>
    </row>
    <row r="653">
      <c r="A653" s="2" t="s">
        <v>1596</v>
      </c>
      <c r="B653" s="1">
        <v>0.0</v>
      </c>
      <c r="C653" s="1">
        <v>6.0</v>
      </c>
      <c r="D653" s="17">
        <v>0.0</v>
      </c>
      <c r="E653" s="1">
        <v>25.0</v>
      </c>
    </row>
    <row r="654">
      <c r="A654" s="2" t="s">
        <v>1933</v>
      </c>
      <c r="B654" s="1">
        <v>0.0</v>
      </c>
      <c r="C654" s="1">
        <v>6.0</v>
      </c>
      <c r="D654" s="17">
        <v>0.0</v>
      </c>
      <c r="E654" s="1">
        <v>28.83</v>
      </c>
    </row>
    <row r="655">
      <c r="A655" s="2" t="s">
        <v>3009</v>
      </c>
      <c r="B655" s="1">
        <v>0.0</v>
      </c>
      <c r="C655" s="1">
        <v>6.0</v>
      </c>
      <c r="D655" s="17">
        <v>0.0</v>
      </c>
      <c r="E655" s="1">
        <v>29.67</v>
      </c>
    </row>
    <row r="656">
      <c r="A656" s="2" t="s">
        <v>1621</v>
      </c>
      <c r="B656" s="1">
        <v>0.0</v>
      </c>
      <c r="C656" s="1">
        <v>6.0</v>
      </c>
      <c r="D656" s="17">
        <v>0.0</v>
      </c>
      <c r="E656" s="1">
        <v>31.67</v>
      </c>
    </row>
    <row r="657">
      <c r="A657" s="2" t="s">
        <v>3010</v>
      </c>
      <c r="B657" s="1">
        <v>0.0</v>
      </c>
      <c r="C657" s="1">
        <v>6.0</v>
      </c>
      <c r="D657" s="17">
        <v>0.0</v>
      </c>
      <c r="E657" s="1">
        <v>35.0</v>
      </c>
    </row>
    <row r="658">
      <c r="A658" s="2" t="s">
        <v>1849</v>
      </c>
      <c r="B658" s="1">
        <v>0.0</v>
      </c>
      <c r="C658" s="1">
        <v>6.0</v>
      </c>
      <c r="D658" s="17">
        <v>0.0</v>
      </c>
      <c r="E658" s="1">
        <v>41.5</v>
      </c>
    </row>
    <row r="659">
      <c r="A659" s="2" t="s">
        <v>3011</v>
      </c>
      <c r="B659" s="1">
        <v>0.0</v>
      </c>
      <c r="C659" s="1">
        <v>6.0</v>
      </c>
      <c r="D659" s="17">
        <v>0.0</v>
      </c>
      <c r="E659" s="1">
        <v>43.0</v>
      </c>
    </row>
    <row r="660">
      <c r="A660" s="2" t="s">
        <v>2143</v>
      </c>
      <c r="B660" s="1">
        <v>0.0</v>
      </c>
      <c r="C660" s="1">
        <v>6.0</v>
      </c>
      <c r="D660" s="17">
        <v>0.0</v>
      </c>
      <c r="E660" s="1">
        <v>44.17</v>
      </c>
    </row>
    <row r="661">
      <c r="A661" s="2" t="s">
        <v>1886</v>
      </c>
      <c r="B661" s="1">
        <v>0.0</v>
      </c>
      <c r="C661" s="1">
        <v>6.0</v>
      </c>
      <c r="D661" s="17">
        <v>0.0</v>
      </c>
      <c r="E661" s="1">
        <v>70.83</v>
      </c>
    </row>
    <row r="662">
      <c r="A662" s="2" t="s">
        <v>1588</v>
      </c>
      <c r="B662" s="1">
        <v>0.0</v>
      </c>
      <c r="C662" s="1">
        <v>5.0</v>
      </c>
      <c r="D662" s="17">
        <v>0.0</v>
      </c>
      <c r="E662" s="1">
        <v>33.4</v>
      </c>
    </row>
    <row r="663">
      <c r="A663" s="2" t="s">
        <v>2261</v>
      </c>
      <c r="B663" s="1">
        <v>0.0</v>
      </c>
      <c r="C663" s="1">
        <v>5.0</v>
      </c>
      <c r="D663" s="17">
        <v>0.0</v>
      </c>
      <c r="E663" s="1">
        <v>40.2</v>
      </c>
    </row>
    <row r="664">
      <c r="A664" s="2" t="s">
        <v>3012</v>
      </c>
      <c r="B664" s="1">
        <v>0.0</v>
      </c>
      <c r="C664" s="1">
        <v>5.0</v>
      </c>
      <c r="D664" s="17">
        <v>0.0</v>
      </c>
      <c r="E664" s="1">
        <v>50.2</v>
      </c>
    </row>
    <row r="665">
      <c r="A665" s="2" t="s">
        <v>1358</v>
      </c>
      <c r="B665" s="1">
        <v>0.0</v>
      </c>
      <c r="C665" s="1">
        <v>5.0</v>
      </c>
      <c r="D665" s="17">
        <v>0.0</v>
      </c>
      <c r="E665" s="1">
        <v>56.6</v>
      </c>
    </row>
    <row r="666">
      <c r="A666" s="2" t="s">
        <v>1902</v>
      </c>
      <c r="B666" s="1">
        <v>0.0</v>
      </c>
      <c r="C666" s="1">
        <v>5.0</v>
      </c>
      <c r="D666" s="17">
        <v>0.0</v>
      </c>
      <c r="E666" s="1">
        <v>59.0</v>
      </c>
    </row>
    <row r="667">
      <c r="A667" s="2" t="s">
        <v>507</v>
      </c>
      <c r="B667" s="1">
        <v>0.0</v>
      </c>
      <c r="C667" s="1">
        <v>5.0</v>
      </c>
      <c r="D667" s="17">
        <v>0.0</v>
      </c>
      <c r="E667" s="1">
        <v>63.2</v>
      </c>
    </row>
    <row r="668">
      <c r="A668" s="2" t="s">
        <v>2026</v>
      </c>
      <c r="B668" s="1">
        <v>0.0</v>
      </c>
      <c r="C668" s="1">
        <v>5.0</v>
      </c>
      <c r="D668" s="17">
        <v>0.0</v>
      </c>
      <c r="E668" s="1">
        <v>64.4</v>
      </c>
    </row>
    <row r="669">
      <c r="A669" s="2" t="s">
        <v>1831</v>
      </c>
      <c r="B669" s="1">
        <v>0.0</v>
      </c>
      <c r="C669" s="1">
        <v>5.0</v>
      </c>
      <c r="D669" s="17">
        <v>0.0</v>
      </c>
      <c r="E669" s="1">
        <v>66.2</v>
      </c>
    </row>
    <row r="670">
      <c r="A670" s="2" t="s">
        <v>1111</v>
      </c>
      <c r="B670" s="1">
        <v>0.0</v>
      </c>
      <c r="C670" s="1">
        <v>5.0</v>
      </c>
      <c r="D670" s="17">
        <v>0.0</v>
      </c>
      <c r="E670" s="1">
        <v>67.4</v>
      </c>
    </row>
    <row r="671">
      <c r="A671" s="2" t="s">
        <v>3013</v>
      </c>
      <c r="B671" s="1">
        <v>0.0</v>
      </c>
      <c r="C671" s="1">
        <v>5.0</v>
      </c>
      <c r="D671" s="17">
        <v>0.0</v>
      </c>
      <c r="E671" s="1">
        <v>68.6</v>
      </c>
    </row>
    <row r="672">
      <c r="A672" s="2" t="s">
        <v>845</v>
      </c>
      <c r="B672" s="1">
        <v>0.0</v>
      </c>
      <c r="C672" s="1">
        <v>5.0</v>
      </c>
      <c r="D672" s="17">
        <v>0.0</v>
      </c>
      <c r="E672" s="1">
        <v>69.8</v>
      </c>
    </row>
    <row r="673">
      <c r="A673" s="2" t="s">
        <v>1777</v>
      </c>
      <c r="B673" s="1">
        <v>0.0</v>
      </c>
      <c r="C673" s="1">
        <v>5.0</v>
      </c>
      <c r="D673" s="17">
        <v>0.0</v>
      </c>
      <c r="E673" s="1">
        <v>89.2</v>
      </c>
    </row>
    <row r="674">
      <c r="A674" s="2" t="s">
        <v>1576</v>
      </c>
      <c r="B674" s="1">
        <v>0.0</v>
      </c>
      <c r="C674" s="1">
        <v>4.0</v>
      </c>
      <c r="D674" s="17">
        <v>0.0</v>
      </c>
      <c r="E674" s="1">
        <v>3.75</v>
      </c>
    </row>
    <row r="675">
      <c r="A675" s="2" t="s">
        <v>1586</v>
      </c>
      <c r="B675" s="1">
        <v>0.0</v>
      </c>
      <c r="C675" s="1">
        <v>4.0</v>
      </c>
      <c r="D675" s="17">
        <v>0.0</v>
      </c>
      <c r="E675" s="1">
        <v>5.75</v>
      </c>
    </row>
    <row r="676">
      <c r="A676" s="2" t="s">
        <v>1141</v>
      </c>
      <c r="B676" s="1">
        <v>0.0</v>
      </c>
      <c r="C676" s="1">
        <v>4.0</v>
      </c>
      <c r="D676" s="17">
        <v>0.0</v>
      </c>
      <c r="E676" s="1">
        <v>6.75</v>
      </c>
    </row>
    <row r="677">
      <c r="A677" s="2" t="s">
        <v>2230</v>
      </c>
      <c r="B677" s="1">
        <v>0.0</v>
      </c>
      <c r="C677" s="1">
        <v>4.0</v>
      </c>
      <c r="D677" s="17">
        <v>0.0</v>
      </c>
      <c r="E677" s="1">
        <v>8.25</v>
      </c>
    </row>
    <row r="678">
      <c r="A678" s="2" t="s">
        <v>2020</v>
      </c>
      <c r="B678" s="1">
        <v>0.0</v>
      </c>
      <c r="C678" s="1">
        <v>4.0</v>
      </c>
      <c r="D678" s="17">
        <v>0.0</v>
      </c>
      <c r="E678" s="1">
        <v>9.25</v>
      </c>
    </row>
    <row r="679">
      <c r="A679" s="2" t="s">
        <v>1996</v>
      </c>
      <c r="B679" s="1">
        <v>0.0</v>
      </c>
      <c r="C679" s="1">
        <v>4.0</v>
      </c>
      <c r="D679" s="17">
        <v>0.0</v>
      </c>
      <c r="E679" s="1">
        <v>13.5</v>
      </c>
    </row>
    <row r="680">
      <c r="A680" s="2" t="s">
        <v>1687</v>
      </c>
      <c r="B680" s="1">
        <v>0.0</v>
      </c>
      <c r="C680" s="1">
        <v>4.0</v>
      </c>
      <c r="D680" s="17">
        <v>0.0</v>
      </c>
      <c r="E680" s="1">
        <v>21.75</v>
      </c>
    </row>
    <row r="681">
      <c r="A681" s="2" t="s">
        <v>2281</v>
      </c>
      <c r="B681" s="1">
        <v>0.0</v>
      </c>
      <c r="C681" s="1">
        <v>4.0</v>
      </c>
      <c r="D681" s="17">
        <v>0.0</v>
      </c>
      <c r="E681" s="1">
        <v>27.75</v>
      </c>
    </row>
    <row r="682">
      <c r="A682" s="2" t="s">
        <v>3014</v>
      </c>
      <c r="B682" s="1">
        <v>0.0</v>
      </c>
      <c r="C682" s="1">
        <v>4.0</v>
      </c>
      <c r="D682" s="17">
        <v>0.0</v>
      </c>
      <c r="E682" s="1">
        <v>29.5</v>
      </c>
    </row>
    <row r="683">
      <c r="A683" s="2" t="s">
        <v>495</v>
      </c>
      <c r="B683" s="1">
        <v>0.0</v>
      </c>
      <c r="C683" s="1">
        <v>4.0</v>
      </c>
      <c r="D683" s="17">
        <v>0.0</v>
      </c>
      <c r="E683" s="1">
        <v>30.5</v>
      </c>
    </row>
    <row r="684">
      <c r="A684" s="2" t="s">
        <v>3015</v>
      </c>
      <c r="B684" s="1">
        <v>0.0</v>
      </c>
      <c r="C684" s="1">
        <v>4.0</v>
      </c>
      <c r="D684" s="17">
        <v>0.0</v>
      </c>
      <c r="E684" s="1">
        <v>31.0</v>
      </c>
    </row>
    <row r="685">
      <c r="A685" s="2" t="s">
        <v>1353</v>
      </c>
      <c r="B685" s="1">
        <v>0.0</v>
      </c>
      <c r="C685" s="1">
        <v>4.0</v>
      </c>
      <c r="D685" s="17">
        <v>0.0</v>
      </c>
      <c r="E685" s="1">
        <v>35.0</v>
      </c>
    </row>
    <row r="686">
      <c r="A686" s="2" t="s">
        <v>3016</v>
      </c>
      <c r="B686" s="1">
        <v>0.0</v>
      </c>
      <c r="C686" s="1">
        <v>4.0</v>
      </c>
      <c r="D686" s="17">
        <v>0.0</v>
      </c>
      <c r="E686" s="1">
        <v>57.25</v>
      </c>
    </row>
    <row r="687">
      <c r="A687" s="2" t="s">
        <v>2300</v>
      </c>
      <c r="B687" s="1">
        <v>0.0</v>
      </c>
      <c r="C687" s="1">
        <v>4.0</v>
      </c>
      <c r="D687" s="17">
        <v>0.0</v>
      </c>
      <c r="E687" s="1">
        <v>57.5</v>
      </c>
    </row>
    <row r="688">
      <c r="A688" s="2" t="s">
        <v>2034</v>
      </c>
      <c r="B688" s="1">
        <v>0.0</v>
      </c>
      <c r="C688" s="1">
        <v>4.0</v>
      </c>
      <c r="D688" s="17">
        <v>0.0</v>
      </c>
      <c r="E688" s="1">
        <v>67.25</v>
      </c>
    </row>
    <row r="689">
      <c r="A689" s="2" t="s">
        <v>3017</v>
      </c>
      <c r="B689" s="1">
        <v>0.0</v>
      </c>
      <c r="C689" s="1">
        <v>4.0</v>
      </c>
      <c r="D689" s="17">
        <v>0.0</v>
      </c>
      <c r="E689" s="1">
        <v>87.5</v>
      </c>
    </row>
    <row r="690">
      <c r="A690" s="2" t="s">
        <v>2403</v>
      </c>
      <c r="B690" s="1">
        <v>0.0</v>
      </c>
      <c r="C690" s="1">
        <v>3.0</v>
      </c>
      <c r="D690" s="17">
        <v>0.0</v>
      </c>
      <c r="E690" s="1">
        <v>4.67</v>
      </c>
    </row>
    <row r="691">
      <c r="A691" s="2" t="s">
        <v>2022</v>
      </c>
      <c r="B691" s="1">
        <v>0.0</v>
      </c>
      <c r="C691" s="1">
        <v>3.0</v>
      </c>
      <c r="D691" s="17">
        <v>0.0</v>
      </c>
      <c r="E691" s="1">
        <v>4.67</v>
      </c>
    </row>
    <row r="692">
      <c r="A692" s="2" t="s">
        <v>2374</v>
      </c>
      <c r="B692" s="1">
        <v>0.0</v>
      </c>
      <c r="C692" s="1">
        <v>3.0</v>
      </c>
      <c r="D692" s="17">
        <v>0.0</v>
      </c>
      <c r="E692" s="1">
        <v>6.0</v>
      </c>
    </row>
    <row r="693">
      <c r="A693" s="2" t="s">
        <v>2400</v>
      </c>
      <c r="B693" s="1">
        <v>0.0</v>
      </c>
      <c r="C693" s="1">
        <v>3.0</v>
      </c>
      <c r="D693" s="17">
        <v>0.0</v>
      </c>
      <c r="E693" s="1">
        <v>8.67</v>
      </c>
    </row>
    <row r="694">
      <c r="A694" s="2" t="s">
        <v>1859</v>
      </c>
      <c r="B694" s="1">
        <v>0.0</v>
      </c>
      <c r="C694" s="1">
        <v>3.0</v>
      </c>
      <c r="D694" s="17">
        <v>0.0</v>
      </c>
      <c r="E694" s="1">
        <v>16.0</v>
      </c>
    </row>
    <row r="695">
      <c r="A695" s="2" t="s">
        <v>1758</v>
      </c>
      <c r="B695" s="1">
        <v>0.0</v>
      </c>
      <c r="C695" s="1">
        <v>3.0</v>
      </c>
      <c r="D695" s="17">
        <v>0.0</v>
      </c>
      <c r="E695" s="1">
        <v>16.67</v>
      </c>
    </row>
    <row r="696">
      <c r="A696" s="2" t="s">
        <v>1959</v>
      </c>
      <c r="B696" s="1">
        <v>0.0</v>
      </c>
      <c r="C696" s="1">
        <v>3.0</v>
      </c>
      <c r="D696" s="17">
        <v>0.0</v>
      </c>
      <c r="E696" s="1">
        <v>27.0</v>
      </c>
    </row>
    <row r="697">
      <c r="A697" s="2" t="s">
        <v>1623</v>
      </c>
      <c r="B697" s="1">
        <v>0.0</v>
      </c>
      <c r="C697" s="1">
        <v>3.0</v>
      </c>
      <c r="D697" s="17">
        <v>0.0</v>
      </c>
      <c r="E697" s="1">
        <v>30.33</v>
      </c>
    </row>
    <row r="698">
      <c r="A698" s="2" t="s">
        <v>2329</v>
      </c>
      <c r="B698" s="1">
        <v>0.0</v>
      </c>
      <c r="C698" s="1">
        <v>3.0</v>
      </c>
      <c r="D698" s="17">
        <v>0.0</v>
      </c>
      <c r="E698" s="1">
        <v>33.33</v>
      </c>
    </row>
    <row r="699">
      <c r="A699" s="2" t="s">
        <v>1608</v>
      </c>
      <c r="B699" s="1">
        <v>0.0</v>
      </c>
      <c r="C699" s="1">
        <v>3.0</v>
      </c>
      <c r="D699" s="17">
        <v>0.0</v>
      </c>
      <c r="E699" s="1">
        <v>43.33</v>
      </c>
    </row>
    <row r="700">
      <c r="A700" s="2" t="s">
        <v>2167</v>
      </c>
      <c r="B700" s="1">
        <v>0.0</v>
      </c>
      <c r="C700" s="1">
        <v>3.0</v>
      </c>
      <c r="D700" s="17">
        <v>0.0</v>
      </c>
      <c r="E700" s="1">
        <v>43.33</v>
      </c>
    </row>
    <row r="701">
      <c r="A701" s="2" t="s">
        <v>1149</v>
      </c>
      <c r="B701" s="1">
        <v>0.0</v>
      </c>
      <c r="C701" s="1">
        <v>3.0</v>
      </c>
      <c r="D701" s="17">
        <v>0.0</v>
      </c>
      <c r="E701" s="1">
        <v>45.67</v>
      </c>
    </row>
    <row r="702">
      <c r="A702" s="2" t="s">
        <v>1226</v>
      </c>
      <c r="B702" s="1">
        <v>0.0</v>
      </c>
      <c r="C702" s="1">
        <v>3.0</v>
      </c>
      <c r="D702" s="17">
        <v>0.0</v>
      </c>
      <c r="E702" s="1">
        <v>49.67</v>
      </c>
    </row>
    <row r="703">
      <c r="A703" s="2" t="s">
        <v>1847</v>
      </c>
      <c r="B703" s="1">
        <v>0.0</v>
      </c>
      <c r="C703" s="1">
        <v>3.0</v>
      </c>
      <c r="D703" s="17">
        <v>0.0</v>
      </c>
      <c r="E703" s="1">
        <v>50.33</v>
      </c>
    </row>
    <row r="704">
      <c r="A704" s="2" t="s">
        <v>956</v>
      </c>
      <c r="B704" s="1">
        <v>0.0</v>
      </c>
      <c r="C704" s="1">
        <v>3.0</v>
      </c>
      <c r="D704" s="17">
        <v>0.0</v>
      </c>
      <c r="E704" s="1">
        <v>53.67</v>
      </c>
    </row>
    <row r="705">
      <c r="A705" s="2" t="s">
        <v>3018</v>
      </c>
      <c r="B705" s="1">
        <v>0.0</v>
      </c>
      <c r="C705" s="1">
        <v>3.0</v>
      </c>
      <c r="D705" s="17">
        <v>0.0</v>
      </c>
      <c r="E705" s="1">
        <v>54.67</v>
      </c>
    </row>
    <row r="706">
      <c r="A706" s="2" t="s">
        <v>951</v>
      </c>
      <c r="B706" s="1">
        <v>0.0</v>
      </c>
      <c r="C706" s="1">
        <v>3.0</v>
      </c>
      <c r="D706" s="17">
        <v>0.0</v>
      </c>
      <c r="E706" s="1">
        <v>55.67</v>
      </c>
    </row>
    <row r="707">
      <c r="A707" s="2" t="s">
        <v>2149</v>
      </c>
      <c r="B707" s="1">
        <v>0.0</v>
      </c>
      <c r="C707" s="1">
        <v>3.0</v>
      </c>
      <c r="D707" s="17">
        <v>0.0</v>
      </c>
      <c r="E707" s="1">
        <v>56.0</v>
      </c>
    </row>
    <row r="708">
      <c r="A708" s="2" t="s">
        <v>1918</v>
      </c>
      <c r="B708" s="1">
        <v>0.0</v>
      </c>
      <c r="C708" s="1">
        <v>3.0</v>
      </c>
      <c r="D708" s="17">
        <v>0.0</v>
      </c>
      <c r="E708" s="1">
        <v>56.0</v>
      </c>
    </row>
    <row r="709">
      <c r="A709" s="2" t="s">
        <v>2171</v>
      </c>
      <c r="B709" s="1">
        <v>0.0</v>
      </c>
      <c r="C709" s="1">
        <v>3.0</v>
      </c>
      <c r="D709" s="17">
        <v>0.0</v>
      </c>
      <c r="E709" s="1">
        <v>57.0</v>
      </c>
    </row>
    <row r="710">
      <c r="A710" s="2" t="s">
        <v>1698</v>
      </c>
      <c r="B710" s="1">
        <v>0.0</v>
      </c>
      <c r="C710" s="1">
        <v>3.0</v>
      </c>
      <c r="D710" s="17">
        <v>0.0</v>
      </c>
      <c r="E710" s="1">
        <v>62.67</v>
      </c>
    </row>
    <row r="711">
      <c r="A711" s="2" t="s">
        <v>2014</v>
      </c>
      <c r="B711" s="1">
        <v>0.0</v>
      </c>
      <c r="C711" s="1">
        <v>3.0</v>
      </c>
      <c r="D711" s="17">
        <v>0.0</v>
      </c>
      <c r="E711" s="1">
        <v>63.33</v>
      </c>
    </row>
    <row r="712">
      <c r="A712" s="2" t="s">
        <v>2306</v>
      </c>
      <c r="B712" s="1">
        <v>0.0</v>
      </c>
      <c r="C712" s="1">
        <v>3.0</v>
      </c>
      <c r="D712" s="17">
        <v>0.0</v>
      </c>
      <c r="E712" s="1">
        <v>70.0</v>
      </c>
    </row>
    <row r="713">
      <c r="A713" s="2" t="s">
        <v>981</v>
      </c>
      <c r="B713" s="1">
        <v>0.0</v>
      </c>
      <c r="C713" s="1">
        <v>3.0</v>
      </c>
      <c r="D713" s="17">
        <v>0.0</v>
      </c>
      <c r="E713" s="1">
        <v>90.33</v>
      </c>
    </row>
    <row r="714">
      <c r="A714" s="2" t="s">
        <v>944</v>
      </c>
      <c r="B714" s="1">
        <v>0.0</v>
      </c>
      <c r="C714" s="1">
        <v>2.0</v>
      </c>
      <c r="D714" s="17">
        <v>0.0</v>
      </c>
      <c r="E714" s="1">
        <v>5.0</v>
      </c>
    </row>
    <row r="715">
      <c r="A715" s="2" t="s">
        <v>2316</v>
      </c>
      <c r="B715" s="1">
        <v>0.0</v>
      </c>
      <c r="C715" s="1">
        <v>2.0</v>
      </c>
      <c r="D715" s="17">
        <v>0.0</v>
      </c>
      <c r="E715" s="1">
        <v>5.0</v>
      </c>
    </row>
    <row r="716">
      <c r="A716" s="2" t="s">
        <v>2087</v>
      </c>
      <c r="B716" s="1">
        <v>0.0</v>
      </c>
      <c r="C716" s="1">
        <v>2.0</v>
      </c>
      <c r="D716" s="17">
        <v>0.0</v>
      </c>
      <c r="E716" s="1">
        <v>5.5</v>
      </c>
    </row>
    <row r="717">
      <c r="A717" s="2" t="s">
        <v>3019</v>
      </c>
      <c r="B717" s="1">
        <v>0.0</v>
      </c>
      <c r="C717" s="1">
        <v>2.0</v>
      </c>
      <c r="D717" s="17">
        <v>0.0</v>
      </c>
      <c r="E717" s="1">
        <v>6.0</v>
      </c>
    </row>
    <row r="718">
      <c r="A718" s="2" t="s">
        <v>2232</v>
      </c>
      <c r="B718" s="1">
        <v>0.0</v>
      </c>
      <c r="C718" s="1">
        <v>2.0</v>
      </c>
      <c r="D718" s="17">
        <v>0.0</v>
      </c>
      <c r="E718" s="1">
        <v>6.0</v>
      </c>
    </row>
    <row r="719">
      <c r="A719" s="2" t="s">
        <v>1676</v>
      </c>
      <c r="B719" s="1">
        <v>0.0</v>
      </c>
      <c r="C719" s="1">
        <v>2.0</v>
      </c>
      <c r="D719" s="17">
        <v>0.0</v>
      </c>
      <c r="E719" s="1">
        <v>6.0</v>
      </c>
    </row>
    <row r="720">
      <c r="A720" s="2" t="s">
        <v>1678</v>
      </c>
      <c r="B720" s="1">
        <v>0.0</v>
      </c>
      <c r="C720" s="1">
        <v>2.0</v>
      </c>
      <c r="D720" s="17">
        <v>0.0</v>
      </c>
      <c r="E720" s="1">
        <v>6.0</v>
      </c>
    </row>
    <row r="721">
      <c r="A721" s="2" t="s">
        <v>3020</v>
      </c>
      <c r="B721" s="1">
        <v>0.0</v>
      </c>
      <c r="C721" s="1">
        <v>2.0</v>
      </c>
      <c r="D721" s="17">
        <v>0.0</v>
      </c>
      <c r="E721" s="1">
        <v>6.5</v>
      </c>
    </row>
    <row r="722">
      <c r="A722" s="2" t="s">
        <v>1127</v>
      </c>
      <c r="B722" s="1">
        <v>0.0</v>
      </c>
      <c r="C722" s="1">
        <v>2.0</v>
      </c>
      <c r="D722" s="17">
        <v>0.0</v>
      </c>
      <c r="E722" s="1">
        <v>7.0</v>
      </c>
    </row>
    <row r="723">
      <c r="A723" s="2" t="s">
        <v>3021</v>
      </c>
      <c r="B723" s="1">
        <v>0.0</v>
      </c>
      <c r="C723" s="1">
        <v>2.0</v>
      </c>
      <c r="D723" s="17">
        <v>0.0</v>
      </c>
      <c r="E723" s="1">
        <v>7.5</v>
      </c>
    </row>
    <row r="724">
      <c r="A724" s="2" t="s">
        <v>1465</v>
      </c>
      <c r="B724" s="1">
        <v>0.0</v>
      </c>
      <c r="C724" s="1">
        <v>2.0</v>
      </c>
      <c r="D724" s="17">
        <v>0.0</v>
      </c>
      <c r="E724" s="1">
        <v>8.0</v>
      </c>
    </row>
    <row r="725">
      <c r="A725" s="2" t="s">
        <v>2418</v>
      </c>
      <c r="B725" s="1">
        <v>0.0</v>
      </c>
      <c r="C725" s="1">
        <v>2.0</v>
      </c>
      <c r="D725" s="17">
        <v>0.0</v>
      </c>
      <c r="E725" s="1">
        <v>8.0</v>
      </c>
    </row>
    <row r="726">
      <c r="A726" s="2" t="s">
        <v>2372</v>
      </c>
      <c r="B726" s="1">
        <v>0.0</v>
      </c>
      <c r="C726" s="1">
        <v>2.0</v>
      </c>
      <c r="D726" s="17">
        <v>0.0</v>
      </c>
      <c r="E726" s="1">
        <v>8.0</v>
      </c>
    </row>
    <row r="727">
      <c r="A727" s="2" t="s">
        <v>942</v>
      </c>
      <c r="B727" s="1">
        <v>0.0</v>
      </c>
      <c r="C727" s="1">
        <v>2.0</v>
      </c>
      <c r="D727" s="17">
        <v>0.0</v>
      </c>
      <c r="E727" s="1">
        <v>8.5</v>
      </c>
    </row>
    <row r="728">
      <c r="A728" s="2" t="s">
        <v>3022</v>
      </c>
      <c r="B728" s="1">
        <v>0.0</v>
      </c>
      <c r="C728" s="1">
        <v>2.0</v>
      </c>
      <c r="D728" s="17">
        <v>0.0</v>
      </c>
      <c r="E728" s="1">
        <v>9.0</v>
      </c>
    </row>
    <row r="729">
      <c r="A729" s="2" t="s">
        <v>3023</v>
      </c>
      <c r="B729" s="1">
        <v>0.0</v>
      </c>
      <c r="C729" s="1">
        <v>2.0</v>
      </c>
      <c r="D729" s="17">
        <v>0.0</v>
      </c>
      <c r="E729" s="1">
        <v>9.0</v>
      </c>
    </row>
    <row r="730">
      <c r="A730" s="2" t="s">
        <v>2345</v>
      </c>
      <c r="B730" s="1">
        <v>0.0</v>
      </c>
      <c r="C730" s="1">
        <v>2.0</v>
      </c>
      <c r="D730" s="17">
        <v>0.0</v>
      </c>
      <c r="E730" s="1">
        <v>9.5</v>
      </c>
    </row>
    <row r="731">
      <c r="A731" s="2" t="s">
        <v>3024</v>
      </c>
      <c r="B731" s="1">
        <v>0.0</v>
      </c>
      <c r="C731" s="1">
        <v>2.0</v>
      </c>
      <c r="D731" s="17">
        <v>0.0</v>
      </c>
      <c r="E731" s="1">
        <v>9.5</v>
      </c>
    </row>
    <row r="732">
      <c r="A732" s="2" t="s">
        <v>3025</v>
      </c>
      <c r="B732" s="1">
        <v>0.0</v>
      </c>
      <c r="C732" s="1">
        <v>2.0</v>
      </c>
      <c r="D732" s="17">
        <v>0.0</v>
      </c>
      <c r="E732" s="1">
        <v>9.5</v>
      </c>
    </row>
    <row r="733">
      <c r="A733" s="2" t="s">
        <v>3026</v>
      </c>
      <c r="B733" s="1">
        <v>0.0</v>
      </c>
      <c r="C733" s="1">
        <v>2.0</v>
      </c>
      <c r="D733" s="17">
        <v>0.0</v>
      </c>
      <c r="E733" s="1">
        <v>10.5</v>
      </c>
    </row>
    <row r="734">
      <c r="A734" s="2" t="s">
        <v>3027</v>
      </c>
      <c r="B734" s="1">
        <v>0.0</v>
      </c>
      <c r="C734" s="1">
        <v>2.0</v>
      </c>
      <c r="D734" s="17">
        <v>0.0</v>
      </c>
      <c r="E734" s="1">
        <v>10.5</v>
      </c>
    </row>
    <row r="735">
      <c r="A735" s="2" t="s">
        <v>3028</v>
      </c>
      <c r="B735" s="1">
        <v>0.0</v>
      </c>
      <c r="C735" s="1">
        <v>2.0</v>
      </c>
      <c r="D735" s="17">
        <v>0.0</v>
      </c>
      <c r="E735" s="1">
        <v>12.0</v>
      </c>
    </row>
    <row r="736">
      <c r="A736" s="2" t="s">
        <v>1817</v>
      </c>
      <c r="B736" s="1">
        <v>0.0</v>
      </c>
      <c r="C736" s="1">
        <v>2.0</v>
      </c>
      <c r="D736" s="17">
        <v>0.0</v>
      </c>
      <c r="E736" s="1">
        <v>12.5</v>
      </c>
    </row>
    <row r="737">
      <c r="A737" s="2" t="s">
        <v>2042</v>
      </c>
      <c r="B737" s="1">
        <v>0.0</v>
      </c>
      <c r="C737" s="1">
        <v>2.0</v>
      </c>
      <c r="D737" s="17">
        <v>0.0</v>
      </c>
      <c r="E737" s="1">
        <v>14.0</v>
      </c>
    </row>
    <row r="738">
      <c r="A738" s="2" t="s">
        <v>1405</v>
      </c>
      <c r="B738" s="1">
        <v>0.0</v>
      </c>
      <c r="C738" s="1">
        <v>2.0</v>
      </c>
      <c r="D738" s="17">
        <v>0.0</v>
      </c>
      <c r="E738" s="1">
        <v>15.0</v>
      </c>
    </row>
    <row r="739">
      <c r="A739" s="2" t="s">
        <v>3029</v>
      </c>
      <c r="B739" s="1">
        <v>0.0</v>
      </c>
      <c r="C739" s="1">
        <v>2.0</v>
      </c>
      <c r="D739" s="17">
        <v>0.0</v>
      </c>
      <c r="E739" s="1">
        <v>17.0</v>
      </c>
    </row>
    <row r="740">
      <c r="A740" s="2" t="s">
        <v>3030</v>
      </c>
      <c r="B740" s="1">
        <v>0.0</v>
      </c>
      <c r="C740" s="1">
        <v>2.0</v>
      </c>
      <c r="D740" s="17">
        <v>0.0</v>
      </c>
      <c r="E740" s="1">
        <v>23.5</v>
      </c>
    </row>
    <row r="741">
      <c r="A741" s="2" t="s">
        <v>1345</v>
      </c>
      <c r="B741" s="1">
        <v>0.0</v>
      </c>
      <c r="C741" s="1">
        <v>2.0</v>
      </c>
      <c r="D741" s="17">
        <v>0.0</v>
      </c>
      <c r="E741" s="1">
        <v>29.0</v>
      </c>
    </row>
    <row r="742">
      <c r="A742" s="2" t="s">
        <v>3031</v>
      </c>
      <c r="B742" s="1">
        <v>0.0</v>
      </c>
      <c r="C742" s="1">
        <v>2.0</v>
      </c>
      <c r="D742" s="17">
        <v>0.0</v>
      </c>
      <c r="E742" s="1">
        <v>31.0</v>
      </c>
    </row>
    <row r="743">
      <c r="A743" s="2" t="s">
        <v>2352</v>
      </c>
      <c r="B743" s="1">
        <v>0.0</v>
      </c>
      <c r="C743" s="1">
        <v>2.0</v>
      </c>
      <c r="D743" s="17">
        <v>0.0</v>
      </c>
      <c r="E743" s="1">
        <v>36.5</v>
      </c>
    </row>
    <row r="744">
      <c r="A744" s="2" t="s">
        <v>1682</v>
      </c>
      <c r="B744" s="1">
        <v>0.0</v>
      </c>
      <c r="C744" s="1">
        <v>2.0</v>
      </c>
      <c r="D744" s="17">
        <v>0.0</v>
      </c>
      <c r="E744" s="1">
        <v>37.0</v>
      </c>
    </row>
    <row r="745">
      <c r="A745" s="2" t="s">
        <v>2405</v>
      </c>
      <c r="B745" s="1">
        <v>0.0</v>
      </c>
      <c r="C745" s="1">
        <v>2.0</v>
      </c>
      <c r="D745" s="17">
        <v>0.0</v>
      </c>
      <c r="E745" s="1">
        <v>39.0</v>
      </c>
    </row>
    <row r="746">
      <c r="A746" s="2" t="s">
        <v>938</v>
      </c>
      <c r="B746" s="1">
        <v>0.0</v>
      </c>
      <c r="C746" s="1">
        <v>2.0</v>
      </c>
      <c r="D746" s="17">
        <v>0.0</v>
      </c>
      <c r="E746" s="1">
        <v>42.0</v>
      </c>
    </row>
    <row r="747">
      <c r="A747" s="2" t="s">
        <v>1738</v>
      </c>
      <c r="B747" s="1">
        <v>0.0</v>
      </c>
      <c r="C747" s="1">
        <v>2.0</v>
      </c>
      <c r="D747" s="17">
        <v>0.0</v>
      </c>
      <c r="E747" s="1">
        <v>42.0</v>
      </c>
    </row>
    <row r="748">
      <c r="A748" s="2" t="s">
        <v>1564</v>
      </c>
      <c r="B748" s="1">
        <v>0.0</v>
      </c>
      <c r="C748" s="1">
        <v>2.0</v>
      </c>
      <c r="D748" s="17">
        <v>0.0</v>
      </c>
      <c r="E748" s="1">
        <v>47.5</v>
      </c>
    </row>
    <row r="749">
      <c r="A749" s="2" t="s">
        <v>3032</v>
      </c>
      <c r="B749" s="1">
        <v>0.0</v>
      </c>
      <c r="C749" s="1">
        <v>2.0</v>
      </c>
      <c r="D749" s="17">
        <v>0.0</v>
      </c>
      <c r="E749" s="1">
        <v>47.5</v>
      </c>
    </row>
    <row r="750">
      <c r="A750" s="2" t="s">
        <v>2066</v>
      </c>
      <c r="B750" s="1">
        <v>0.0</v>
      </c>
      <c r="C750" s="1">
        <v>2.0</v>
      </c>
      <c r="D750" s="17">
        <v>0.0</v>
      </c>
      <c r="E750" s="1">
        <v>48.0</v>
      </c>
    </row>
    <row r="751">
      <c r="A751" s="2" t="s">
        <v>1981</v>
      </c>
      <c r="B751" s="1">
        <v>0.0</v>
      </c>
      <c r="C751" s="1">
        <v>2.0</v>
      </c>
      <c r="D751" s="17">
        <v>0.0</v>
      </c>
      <c r="E751" s="1">
        <v>49.5</v>
      </c>
    </row>
    <row r="752">
      <c r="A752" s="2" t="s">
        <v>1132</v>
      </c>
      <c r="B752" s="1">
        <v>0.0</v>
      </c>
      <c r="C752" s="1">
        <v>2.0</v>
      </c>
      <c r="D752" s="17">
        <v>0.0</v>
      </c>
      <c r="E752" s="1">
        <v>53.0</v>
      </c>
    </row>
    <row r="753">
      <c r="A753" s="2" t="s">
        <v>2012</v>
      </c>
      <c r="B753" s="1">
        <v>0.0</v>
      </c>
      <c r="C753" s="1">
        <v>2.0</v>
      </c>
      <c r="D753" s="17">
        <v>0.0</v>
      </c>
      <c r="E753" s="1">
        <v>53.5</v>
      </c>
    </row>
    <row r="754">
      <c r="A754" s="2" t="s">
        <v>2382</v>
      </c>
      <c r="B754" s="1">
        <v>0.0</v>
      </c>
      <c r="C754" s="1">
        <v>2.0</v>
      </c>
      <c r="D754" s="17">
        <v>0.0</v>
      </c>
      <c r="E754" s="1">
        <v>54.0</v>
      </c>
    </row>
    <row r="755">
      <c r="A755" s="2" t="s">
        <v>1922</v>
      </c>
      <c r="B755" s="1">
        <v>0.0</v>
      </c>
      <c r="C755" s="1">
        <v>2.0</v>
      </c>
      <c r="D755" s="17">
        <v>0.0</v>
      </c>
      <c r="E755" s="1">
        <v>57.0</v>
      </c>
    </row>
    <row r="756">
      <c r="A756" s="2" t="s">
        <v>2430</v>
      </c>
      <c r="B756" s="1">
        <v>0.0</v>
      </c>
      <c r="C756" s="1">
        <v>2.0</v>
      </c>
      <c r="D756" s="17">
        <v>0.0</v>
      </c>
      <c r="E756" s="1">
        <v>68.0</v>
      </c>
    </row>
    <row r="757">
      <c r="A757" s="2" t="s">
        <v>2257</v>
      </c>
      <c r="B757" s="1">
        <v>0.0</v>
      </c>
      <c r="C757" s="1">
        <v>2.0</v>
      </c>
      <c r="D757" s="17">
        <v>0.0</v>
      </c>
      <c r="E757" s="1">
        <v>68.0</v>
      </c>
    </row>
    <row r="758">
      <c r="A758" s="2" t="s">
        <v>2201</v>
      </c>
      <c r="B758" s="1">
        <v>0.0</v>
      </c>
      <c r="C758" s="1">
        <v>2.0</v>
      </c>
      <c r="D758" s="17">
        <v>0.0</v>
      </c>
      <c r="E758" s="1">
        <v>69.5</v>
      </c>
    </row>
    <row r="759">
      <c r="A759" s="2" t="s">
        <v>3033</v>
      </c>
      <c r="B759" s="1">
        <v>0.0</v>
      </c>
      <c r="C759" s="1">
        <v>2.0</v>
      </c>
      <c r="D759" s="17">
        <v>0.0</v>
      </c>
      <c r="E759" s="1">
        <v>77.0</v>
      </c>
    </row>
    <row r="760">
      <c r="A760" s="2" t="s">
        <v>1884</v>
      </c>
      <c r="B760" s="1">
        <v>0.0</v>
      </c>
      <c r="C760" s="1">
        <v>2.0</v>
      </c>
      <c r="D760" s="17">
        <v>0.0</v>
      </c>
      <c r="E760" s="1">
        <v>82.5</v>
      </c>
    </row>
    <row r="761">
      <c r="A761" s="2" t="s">
        <v>3034</v>
      </c>
      <c r="B761" s="1">
        <v>0.0</v>
      </c>
      <c r="C761" s="1">
        <v>2.0</v>
      </c>
      <c r="D761" s="17">
        <v>0.0</v>
      </c>
      <c r="E761" s="1">
        <v>93.0</v>
      </c>
    </row>
    <row r="762">
      <c r="A762" s="2" t="s">
        <v>2169</v>
      </c>
      <c r="B762" s="1">
        <v>0.0</v>
      </c>
      <c r="C762" s="1">
        <v>1.0</v>
      </c>
      <c r="D762" s="17">
        <v>0.0</v>
      </c>
      <c r="E762" s="1">
        <v>1.0</v>
      </c>
    </row>
    <row r="763">
      <c r="A763" s="2" t="s">
        <v>2287</v>
      </c>
      <c r="B763" s="1">
        <v>0.0</v>
      </c>
      <c r="C763" s="1">
        <v>1.0</v>
      </c>
      <c r="D763" s="17">
        <v>0.0</v>
      </c>
      <c r="E763" s="1">
        <v>1.0</v>
      </c>
    </row>
    <row r="764">
      <c r="A764" s="2" t="s">
        <v>3035</v>
      </c>
      <c r="B764" s="1">
        <v>0.0</v>
      </c>
      <c r="C764" s="1">
        <v>1.0</v>
      </c>
      <c r="D764" s="17">
        <v>0.0</v>
      </c>
      <c r="E764" s="1">
        <v>1.0</v>
      </c>
    </row>
    <row r="765">
      <c r="A765" s="2" t="s">
        <v>3036</v>
      </c>
      <c r="B765" s="1">
        <v>0.0</v>
      </c>
      <c r="C765" s="1">
        <v>1.0</v>
      </c>
      <c r="D765" s="17">
        <v>0.0</v>
      </c>
      <c r="E765" s="1">
        <v>1.0</v>
      </c>
    </row>
    <row r="766">
      <c r="A766" s="2" t="s">
        <v>1522</v>
      </c>
      <c r="B766" s="1">
        <v>0.0</v>
      </c>
      <c r="C766" s="1">
        <v>1.0</v>
      </c>
      <c r="D766" s="17">
        <v>0.0</v>
      </c>
      <c r="E766" s="1">
        <v>2.0</v>
      </c>
    </row>
    <row r="767">
      <c r="A767" s="2" t="s">
        <v>1809</v>
      </c>
      <c r="B767" s="1">
        <v>0.0</v>
      </c>
      <c r="C767" s="1">
        <v>1.0</v>
      </c>
      <c r="D767" s="17">
        <v>0.0</v>
      </c>
      <c r="E767" s="1">
        <v>2.0</v>
      </c>
    </row>
    <row r="768">
      <c r="A768" s="2" t="s">
        <v>3037</v>
      </c>
      <c r="B768" s="1">
        <v>0.0</v>
      </c>
      <c r="C768" s="1">
        <v>1.0</v>
      </c>
      <c r="D768" s="17">
        <v>0.0</v>
      </c>
      <c r="E768" s="1">
        <v>2.0</v>
      </c>
    </row>
    <row r="769">
      <c r="A769" s="2" t="s">
        <v>962</v>
      </c>
      <c r="B769" s="1">
        <v>0.0</v>
      </c>
      <c r="C769" s="1">
        <v>1.0</v>
      </c>
      <c r="D769" s="17">
        <v>0.0</v>
      </c>
      <c r="E769" s="1">
        <v>3.0</v>
      </c>
    </row>
    <row r="770">
      <c r="A770" s="2" t="s">
        <v>3038</v>
      </c>
      <c r="B770" s="1">
        <v>0.0</v>
      </c>
      <c r="C770" s="1">
        <v>1.0</v>
      </c>
      <c r="D770" s="17">
        <v>0.0</v>
      </c>
      <c r="E770" s="1">
        <v>3.0</v>
      </c>
    </row>
    <row r="771">
      <c r="A771" s="2" t="s">
        <v>1785</v>
      </c>
      <c r="B771" s="1">
        <v>0.0</v>
      </c>
      <c r="C771" s="1">
        <v>1.0</v>
      </c>
      <c r="D771" s="17">
        <v>0.0</v>
      </c>
      <c r="E771" s="1">
        <v>4.0</v>
      </c>
    </row>
    <row r="772">
      <c r="A772" s="2" t="s">
        <v>1760</v>
      </c>
      <c r="B772" s="1">
        <v>0.0</v>
      </c>
      <c r="C772" s="1">
        <v>1.0</v>
      </c>
      <c r="D772" s="17">
        <v>0.0</v>
      </c>
      <c r="E772" s="1">
        <v>4.0</v>
      </c>
    </row>
    <row r="773">
      <c r="A773" s="2" t="s">
        <v>1819</v>
      </c>
      <c r="B773" s="1">
        <v>0.0</v>
      </c>
      <c r="C773" s="1">
        <v>1.0</v>
      </c>
      <c r="D773" s="17">
        <v>0.0</v>
      </c>
      <c r="E773" s="1">
        <v>5.0</v>
      </c>
    </row>
    <row r="774">
      <c r="A774" s="2" t="s">
        <v>1947</v>
      </c>
      <c r="B774" s="1">
        <v>0.0</v>
      </c>
      <c r="C774" s="1">
        <v>1.0</v>
      </c>
      <c r="D774" s="17">
        <v>0.0</v>
      </c>
      <c r="E774" s="1">
        <v>5.0</v>
      </c>
    </row>
    <row r="775">
      <c r="A775" s="2" t="s">
        <v>3039</v>
      </c>
      <c r="B775" s="1">
        <v>0.0</v>
      </c>
      <c r="C775" s="1">
        <v>1.0</v>
      </c>
      <c r="D775" s="17">
        <v>0.0</v>
      </c>
      <c r="E775" s="1">
        <v>5.0</v>
      </c>
    </row>
    <row r="776">
      <c r="A776" s="2" t="s">
        <v>3040</v>
      </c>
      <c r="B776" s="1">
        <v>0.0</v>
      </c>
      <c r="C776" s="1">
        <v>1.0</v>
      </c>
      <c r="D776" s="17">
        <v>0.0</v>
      </c>
      <c r="E776" s="1">
        <v>5.0</v>
      </c>
    </row>
    <row r="777">
      <c r="A777" s="2" t="s">
        <v>3041</v>
      </c>
      <c r="B777" s="1">
        <v>0.0</v>
      </c>
      <c r="C777" s="1">
        <v>1.0</v>
      </c>
      <c r="D777" s="17">
        <v>0.0</v>
      </c>
      <c r="E777" s="1">
        <v>5.0</v>
      </c>
    </row>
    <row r="778">
      <c r="A778" s="2" t="s">
        <v>2018</v>
      </c>
      <c r="B778" s="1">
        <v>0.0</v>
      </c>
      <c r="C778" s="1">
        <v>1.0</v>
      </c>
      <c r="D778" s="17">
        <v>0.0</v>
      </c>
      <c r="E778" s="1">
        <v>6.0</v>
      </c>
    </row>
    <row r="779">
      <c r="A779" s="2" t="s">
        <v>3042</v>
      </c>
      <c r="B779" s="1">
        <v>0.0</v>
      </c>
      <c r="C779" s="1">
        <v>1.0</v>
      </c>
      <c r="D779" s="17">
        <v>0.0</v>
      </c>
      <c r="E779" s="1">
        <v>6.0</v>
      </c>
    </row>
    <row r="780">
      <c r="A780" s="2" t="s">
        <v>1876</v>
      </c>
      <c r="B780" s="1">
        <v>0.0</v>
      </c>
      <c r="C780" s="1">
        <v>1.0</v>
      </c>
      <c r="D780" s="17">
        <v>0.0</v>
      </c>
      <c r="E780" s="1">
        <v>7.0</v>
      </c>
    </row>
    <row r="781">
      <c r="A781" s="2" t="s">
        <v>1943</v>
      </c>
      <c r="B781" s="1">
        <v>0.0</v>
      </c>
      <c r="C781" s="1">
        <v>1.0</v>
      </c>
      <c r="D781" s="17">
        <v>0.0</v>
      </c>
      <c r="E781" s="1">
        <v>7.0</v>
      </c>
    </row>
    <row r="782">
      <c r="A782" s="2" t="s">
        <v>3043</v>
      </c>
      <c r="B782" s="1">
        <v>0.0</v>
      </c>
      <c r="C782" s="1">
        <v>1.0</v>
      </c>
      <c r="D782" s="17">
        <v>0.0</v>
      </c>
      <c r="E782" s="1">
        <v>7.0</v>
      </c>
    </row>
    <row r="783">
      <c r="A783" s="2" t="s">
        <v>3044</v>
      </c>
      <c r="B783" s="1">
        <v>0.0</v>
      </c>
      <c r="C783" s="1">
        <v>1.0</v>
      </c>
      <c r="D783" s="17">
        <v>0.0</v>
      </c>
      <c r="E783" s="1">
        <v>7.0</v>
      </c>
    </row>
    <row r="784">
      <c r="A784" s="2" t="s">
        <v>2267</v>
      </c>
      <c r="B784" s="1">
        <v>0.0</v>
      </c>
      <c r="C784" s="1">
        <v>1.0</v>
      </c>
      <c r="D784" s="17">
        <v>0.0</v>
      </c>
      <c r="E784" s="1">
        <v>8.0</v>
      </c>
    </row>
    <row r="785">
      <c r="A785" s="2" t="s">
        <v>2422</v>
      </c>
      <c r="B785" s="1">
        <v>0.0</v>
      </c>
      <c r="C785" s="1">
        <v>1.0</v>
      </c>
      <c r="D785" s="17">
        <v>0.0</v>
      </c>
      <c r="E785" s="1">
        <v>8.0</v>
      </c>
    </row>
    <row r="786">
      <c r="A786" s="2" t="s">
        <v>2354</v>
      </c>
      <c r="B786" s="1">
        <v>0.0</v>
      </c>
      <c r="C786" s="1">
        <v>1.0</v>
      </c>
      <c r="D786" s="17">
        <v>0.0</v>
      </c>
      <c r="E786" s="1">
        <v>8.0</v>
      </c>
    </row>
    <row r="787">
      <c r="A787" s="2" t="s">
        <v>3045</v>
      </c>
      <c r="B787" s="1">
        <v>0.0</v>
      </c>
      <c r="C787" s="1">
        <v>1.0</v>
      </c>
      <c r="D787" s="17">
        <v>0.0</v>
      </c>
      <c r="E787" s="1">
        <v>8.0</v>
      </c>
    </row>
    <row r="788">
      <c r="A788" s="2" t="s">
        <v>3046</v>
      </c>
      <c r="B788" s="1">
        <v>0.0</v>
      </c>
      <c r="C788" s="1">
        <v>1.0</v>
      </c>
      <c r="D788" s="17">
        <v>0.0</v>
      </c>
      <c r="E788" s="1">
        <v>8.0</v>
      </c>
    </row>
    <row r="789">
      <c r="A789" s="2" t="s">
        <v>946</v>
      </c>
      <c r="B789" s="1">
        <v>0.0</v>
      </c>
      <c r="C789" s="1">
        <v>1.0</v>
      </c>
      <c r="D789" s="17">
        <v>0.0</v>
      </c>
      <c r="E789" s="1">
        <v>9.0</v>
      </c>
    </row>
    <row r="790">
      <c r="A790" s="2" t="s">
        <v>3047</v>
      </c>
      <c r="B790" s="1">
        <v>0.0</v>
      </c>
      <c r="C790" s="1">
        <v>1.0</v>
      </c>
      <c r="D790" s="17">
        <v>0.0</v>
      </c>
      <c r="E790" s="1">
        <v>9.0</v>
      </c>
    </row>
    <row r="791">
      <c r="A791" s="2" t="s">
        <v>3048</v>
      </c>
      <c r="B791" s="1">
        <v>0.0</v>
      </c>
      <c r="C791" s="1">
        <v>1.0</v>
      </c>
      <c r="D791" s="17">
        <v>0.0</v>
      </c>
      <c r="E791" s="1">
        <v>9.0</v>
      </c>
    </row>
    <row r="792">
      <c r="A792" s="2" t="s">
        <v>2284</v>
      </c>
      <c r="B792" s="1">
        <v>0.0</v>
      </c>
      <c r="C792" s="1">
        <v>1.0</v>
      </c>
      <c r="D792" s="17">
        <v>0.0</v>
      </c>
      <c r="E792" s="1">
        <v>10.0</v>
      </c>
    </row>
    <row r="793">
      <c r="A793" s="2" t="s">
        <v>3049</v>
      </c>
      <c r="B793" s="1">
        <v>0.0</v>
      </c>
      <c r="C793" s="1">
        <v>1.0</v>
      </c>
      <c r="D793" s="17">
        <v>0.0</v>
      </c>
      <c r="E793" s="1">
        <v>10.0</v>
      </c>
    </row>
    <row r="794">
      <c r="A794" s="2" t="s">
        <v>3050</v>
      </c>
      <c r="B794" s="1">
        <v>0.0</v>
      </c>
      <c r="C794" s="1">
        <v>1.0</v>
      </c>
      <c r="D794" s="17">
        <v>0.0</v>
      </c>
      <c r="E794" s="1">
        <v>10.0</v>
      </c>
    </row>
    <row r="795">
      <c r="A795" s="2" t="s">
        <v>2147</v>
      </c>
      <c r="B795" s="1">
        <v>0.0</v>
      </c>
      <c r="C795" s="1">
        <v>1.0</v>
      </c>
      <c r="D795" s="17">
        <v>0.0</v>
      </c>
      <c r="E795" s="1">
        <v>11.0</v>
      </c>
    </row>
    <row r="796">
      <c r="A796" s="2" t="s">
        <v>1329</v>
      </c>
      <c r="B796" s="1">
        <v>0.0</v>
      </c>
      <c r="C796" s="1">
        <v>1.0</v>
      </c>
      <c r="D796" s="17">
        <v>0.0</v>
      </c>
      <c r="E796" s="1">
        <v>11.0</v>
      </c>
    </row>
    <row r="797">
      <c r="A797" s="2" t="s">
        <v>2371</v>
      </c>
      <c r="B797" s="1">
        <v>0.0</v>
      </c>
      <c r="C797" s="1">
        <v>1.0</v>
      </c>
      <c r="D797" s="17">
        <v>0.0</v>
      </c>
      <c r="E797" s="1">
        <v>11.0</v>
      </c>
    </row>
    <row r="798">
      <c r="A798" s="2" t="s">
        <v>3051</v>
      </c>
      <c r="B798" s="1">
        <v>0.0</v>
      </c>
      <c r="C798" s="1">
        <v>1.0</v>
      </c>
      <c r="D798" s="17">
        <v>0.0</v>
      </c>
      <c r="E798" s="1">
        <v>11.0</v>
      </c>
    </row>
    <row r="799">
      <c r="A799" s="2" t="s">
        <v>2275</v>
      </c>
      <c r="B799" s="1">
        <v>0.0</v>
      </c>
      <c r="C799" s="1">
        <v>1.0</v>
      </c>
      <c r="D799" s="17">
        <v>0.0</v>
      </c>
      <c r="E799" s="1">
        <v>12.0</v>
      </c>
    </row>
    <row r="800">
      <c r="A800" s="2" t="s">
        <v>1813</v>
      </c>
      <c r="B800" s="1">
        <v>0.0</v>
      </c>
      <c r="C800" s="1">
        <v>1.0</v>
      </c>
      <c r="D800" s="17">
        <v>0.0</v>
      </c>
      <c r="E800" s="1">
        <v>12.0</v>
      </c>
    </row>
    <row r="801">
      <c r="A801" s="2" t="s">
        <v>1977</v>
      </c>
      <c r="B801" s="1">
        <v>0.0</v>
      </c>
      <c r="C801" s="1">
        <v>1.0</v>
      </c>
      <c r="D801" s="17">
        <v>0.0</v>
      </c>
      <c r="E801" s="1">
        <v>12.0</v>
      </c>
    </row>
    <row r="802">
      <c r="A802" s="2" t="s">
        <v>3052</v>
      </c>
      <c r="B802" s="1">
        <v>0.0</v>
      </c>
      <c r="C802" s="1">
        <v>1.0</v>
      </c>
      <c r="D802" s="17">
        <v>0.0</v>
      </c>
      <c r="E802" s="1">
        <v>12.0</v>
      </c>
    </row>
    <row r="803">
      <c r="A803" s="2" t="s">
        <v>3053</v>
      </c>
      <c r="B803" s="1">
        <v>0.0</v>
      </c>
      <c r="C803" s="1">
        <v>1.0</v>
      </c>
      <c r="D803" s="17">
        <v>0.0</v>
      </c>
      <c r="E803" s="1">
        <v>12.0</v>
      </c>
    </row>
    <row r="804">
      <c r="A804" s="2" t="s">
        <v>3054</v>
      </c>
      <c r="B804" s="1">
        <v>0.0</v>
      </c>
      <c r="C804" s="1">
        <v>1.0</v>
      </c>
      <c r="D804" s="17">
        <v>0.0</v>
      </c>
      <c r="E804" s="1">
        <v>12.0</v>
      </c>
    </row>
    <row r="805">
      <c r="A805" s="2" t="s">
        <v>1433</v>
      </c>
      <c r="B805" s="1">
        <v>0.0</v>
      </c>
      <c r="C805" s="1">
        <v>1.0</v>
      </c>
      <c r="D805" s="17">
        <v>0.0</v>
      </c>
      <c r="E805" s="1">
        <v>24.0</v>
      </c>
    </row>
    <row r="806">
      <c r="A806" s="2" t="s">
        <v>2010</v>
      </c>
      <c r="B806" s="1">
        <v>0.0</v>
      </c>
      <c r="C806" s="1">
        <v>1.0</v>
      </c>
      <c r="D806" s="17">
        <v>0.0</v>
      </c>
      <c r="E806" s="1">
        <v>26.0</v>
      </c>
    </row>
    <row r="807">
      <c r="A807" s="2" t="s">
        <v>3055</v>
      </c>
      <c r="B807" s="1">
        <v>0.0</v>
      </c>
      <c r="C807" s="1">
        <v>1.0</v>
      </c>
      <c r="D807" s="17">
        <v>0.0</v>
      </c>
      <c r="E807" s="1">
        <v>33.0</v>
      </c>
    </row>
    <row r="808">
      <c r="A808" s="2" t="s">
        <v>971</v>
      </c>
      <c r="B808" s="1">
        <v>0.0</v>
      </c>
      <c r="C808" s="1">
        <v>1.0</v>
      </c>
      <c r="D808" s="17">
        <v>0.0</v>
      </c>
      <c r="E808" s="1">
        <v>34.0</v>
      </c>
    </row>
    <row r="809">
      <c r="A809" s="2" t="s">
        <v>2314</v>
      </c>
      <c r="B809" s="1">
        <v>0.0</v>
      </c>
      <c r="C809" s="1">
        <v>1.0</v>
      </c>
      <c r="D809" s="17">
        <v>0.0</v>
      </c>
      <c r="E809" s="1">
        <v>39.0</v>
      </c>
    </row>
    <row r="810">
      <c r="A810" s="2" t="s">
        <v>3056</v>
      </c>
      <c r="B810" s="1">
        <v>0.0</v>
      </c>
      <c r="C810" s="1">
        <v>1.0</v>
      </c>
      <c r="D810" s="17">
        <v>0.0</v>
      </c>
      <c r="E810" s="1">
        <v>39.0</v>
      </c>
    </row>
    <row r="811">
      <c r="A811" s="2" t="s">
        <v>3057</v>
      </c>
      <c r="B811" s="1">
        <v>0.0</v>
      </c>
      <c r="C811" s="1">
        <v>1.0</v>
      </c>
      <c r="D811" s="17">
        <v>0.0</v>
      </c>
      <c r="E811" s="1">
        <v>42.0</v>
      </c>
    </row>
    <row r="812">
      <c r="A812" s="2" t="s">
        <v>1251</v>
      </c>
      <c r="B812" s="1">
        <v>0.0</v>
      </c>
      <c r="C812" s="1">
        <v>1.0</v>
      </c>
      <c r="D812" s="17">
        <v>0.0</v>
      </c>
      <c r="E812" s="1">
        <v>43.0</v>
      </c>
    </row>
    <row r="813">
      <c r="A813" s="2" t="s">
        <v>1507</v>
      </c>
      <c r="B813" s="1">
        <v>0.0</v>
      </c>
      <c r="C813" s="1">
        <v>1.0</v>
      </c>
      <c r="D813" s="17">
        <v>0.0</v>
      </c>
      <c r="E813" s="1">
        <v>46.0</v>
      </c>
    </row>
    <row r="814">
      <c r="A814" s="2" t="s">
        <v>1991</v>
      </c>
      <c r="B814" s="1">
        <v>0.0</v>
      </c>
      <c r="C814" s="1">
        <v>1.0</v>
      </c>
      <c r="D814" s="17">
        <v>0.0</v>
      </c>
      <c r="E814" s="1">
        <v>46.0</v>
      </c>
    </row>
    <row r="815">
      <c r="A815" s="2" t="s">
        <v>1823</v>
      </c>
      <c r="B815" s="1">
        <v>0.0</v>
      </c>
      <c r="C815" s="1">
        <v>1.0</v>
      </c>
      <c r="D815" s="17">
        <v>0.0</v>
      </c>
      <c r="E815" s="1">
        <v>52.0</v>
      </c>
    </row>
    <row r="816">
      <c r="A816" s="2" t="s">
        <v>2397</v>
      </c>
      <c r="B816" s="1">
        <v>0.0</v>
      </c>
      <c r="C816" s="1">
        <v>1.0</v>
      </c>
      <c r="D816" s="17">
        <v>0.0</v>
      </c>
      <c r="E816" s="1">
        <v>56.0</v>
      </c>
    </row>
    <row r="817">
      <c r="A817" s="2" t="s">
        <v>2362</v>
      </c>
      <c r="B817" s="1">
        <v>0.0</v>
      </c>
      <c r="C817" s="1">
        <v>1.0</v>
      </c>
      <c r="D817" s="17">
        <v>0.0</v>
      </c>
      <c r="E817" s="1">
        <v>58.0</v>
      </c>
    </row>
    <row r="818">
      <c r="A818" s="2" t="s">
        <v>2071</v>
      </c>
      <c r="B818" s="1">
        <v>0.0</v>
      </c>
      <c r="C818" s="1">
        <v>1.0</v>
      </c>
      <c r="D818" s="17">
        <v>0.0</v>
      </c>
      <c r="E818" s="1">
        <v>59.0</v>
      </c>
    </row>
    <row r="819">
      <c r="A819" s="2" t="s">
        <v>3058</v>
      </c>
      <c r="B819" s="1">
        <v>0.0</v>
      </c>
      <c r="C819" s="1">
        <v>1.0</v>
      </c>
      <c r="D819" s="17">
        <v>0.0</v>
      </c>
      <c r="E819" s="1">
        <v>64.0</v>
      </c>
    </row>
    <row r="820">
      <c r="A820" s="2" t="s">
        <v>3059</v>
      </c>
      <c r="B820" s="1">
        <v>0.0</v>
      </c>
      <c r="C820" s="1">
        <v>1.0</v>
      </c>
      <c r="D820" s="17">
        <v>0.0</v>
      </c>
      <c r="E820" s="1">
        <v>64.0</v>
      </c>
    </row>
    <row r="821">
      <c r="A821" s="2" t="s">
        <v>969</v>
      </c>
      <c r="B821" s="1">
        <v>0.0</v>
      </c>
      <c r="C821" s="1">
        <v>1.0</v>
      </c>
      <c r="D821" s="17">
        <v>0.0</v>
      </c>
      <c r="E821" s="1">
        <v>68.0</v>
      </c>
    </row>
    <row r="822">
      <c r="A822" s="2" t="s">
        <v>2002</v>
      </c>
      <c r="B822" s="1">
        <v>0.0</v>
      </c>
      <c r="C822" s="1">
        <v>1.0</v>
      </c>
      <c r="D822" s="17">
        <v>0.0</v>
      </c>
      <c r="E822" s="1">
        <v>71.0</v>
      </c>
    </row>
    <row r="823">
      <c r="A823" s="2" t="s">
        <v>2235</v>
      </c>
      <c r="B823" s="1">
        <v>0.0</v>
      </c>
      <c r="C823" s="1">
        <v>1.0</v>
      </c>
      <c r="D823" s="17">
        <v>0.0</v>
      </c>
      <c r="E823" s="1">
        <v>75.0</v>
      </c>
    </row>
    <row r="824">
      <c r="A824" s="2" t="s">
        <v>794</v>
      </c>
      <c r="B824" s="1">
        <v>0.0</v>
      </c>
      <c r="C824" s="1">
        <v>1.0</v>
      </c>
      <c r="D824" s="17">
        <v>0.0</v>
      </c>
      <c r="E824" s="1">
        <v>86.0</v>
      </c>
    </row>
    <row r="825">
      <c r="A825" s="2" t="s">
        <v>1239</v>
      </c>
      <c r="B825" s="1">
        <v>0.0</v>
      </c>
      <c r="C825" s="1">
        <v>1.0</v>
      </c>
      <c r="D825" s="17">
        <v>0.0</v>
      </c>
      <c r="E825" s="1">
        <v>88.0</v>
      </c>
    </row>
    <row r="826">
      <c r="A826" s="2" t="s">
        <v>1882</v>
      </c>
      <c r="B826" s="1">
        <v>0.0</v>
      </c>
      <c r="C826" s="1">
        <v>1.0</v>
      </c>
      <c r="D826" s="17">
        <v>0.0</v>
      </c>
      <c r="E826" s="1">
        <v>89.0</v>
      </c>
    </row>
    <row r="827">
      <c r="A827" s="2" t="s">
        <v>1467</v>
      </c>
      <c r="B827" s="1">
        <v>0.0</v>
      </c>
      <c r="C827" s="1">
        <v>1.0</v>
      </c>
      <c r="D827" s="17">
        <v>0.0</v>
      </c>
      <c r="E827" s="1">
        <v>89.0</v>
      </c>
    </row>
    <row r="828">
      <c r="A828" s="2" t="s">
        <v>1674</v>
      </c>
      <c r="B828" s="1">
        <v>0.0</v>
      </c>
      <c r="C828" s="1">
        <v>1.0</v>
      </c>
      <c r="D828" s="17">
        <v>0.0</v>
      </c>
      <c r="E828" s="1">
        <v>90.0</v>
      </c>
    </row>
    <row r="829">
      <c r="A829" s="2" t="s">
        <v>2322</v>
      </c>
      <c r="B829" s="1">
        <v>0.0</v>
      </c>
      <c r="C829" s="1">
        <v>1.0</v>
      </c>
      <c r="D829" s="17">
        <v>0.0</v>
      </c>
      <c r="E829" s="1">
        <v>92.0</v>
      </c>
    </row>
    <row r="830">
      <c r="A830" s="2" t="s">
        <v>1894</v>
      </c>
      <c r="B830" s="1">
        <v>0.0</v>
      </c>
      <c r="C830" s="1">
        <v>1.0</v>
      </c>
      <c r="D830" s="17">
        <v>0.0</v>
      </c>
      <c r="E830" s="1">
        <v>92.0</v>
      </c>
    </row>
    <row r="831">
      <c r="A831" s="2" t="s">
        <v>1827</v>
      </c>
      <c r="B831" s="1">
        <v>0.0</v>
      </c>
      <c r="C831" s="1">
        <v>1.0</v>
      </c>
      <c r="D831" s="17">
        <v>0.0</v>
      </c>
      <c r="E831" s="1">
        <v>95.0</v>
      </c>
    </row>
    <row r="832">
      <c r="A832" s="2" t="s">
        <v>1562</v>
      </c>
      <c r="B832" s="1">
        <v>0.0</v>
      </c>
      <c r="C832" s="1">
        <v>1.0</v>
      </c>
      <c r="D832" s="17">
        <v>0.0</v>
      </c>
      <c r="E832" s="1">
        <v>96.0</v>
      </c>
    </row>
    <row r="833">
      <c r="A833" s="2" t="s">
        <v>3060</v>
      </c>
      <c r="B833" s="1">
        <v>0.0</v>
      </c>
      <c r="C833" s="1">
        <v>1.0</v>
      </c>
      <c r="D833" s="17">
        <v>0.0</v>
      </c>
      <c r="E833" s="1">
        <v>97.0</v>
      </c>
    </row>
    <row r="834">
      <c r="A834" s="2" t="s">
        <v>2165</v>
      </c>
      <c r="B834" s="1">
        <v>0.0</v>
      </c>
      <c r="C834" s="1">
        <v>1.0</v>
      </c>
      <c r="D834" s="17">
        <v>0.0</v>
      </c>
      <c r="E834" s="1">
        <v>155.0</v>
      </c>
    </row>
    <row r="838">
      <c r="D838" s="16"/>
    </row>
    <row r="839">
      <c r="D839" s="16"/>
    </row>
    <row r="840">
      <c r="D840" s="16"/>
    </row>
    <row r="841">
      <c r="D841" s="16"/>
    </row>
    <row r="842">
      <c r="D842" s="16"/>
    </row>
    <row r="843">
      <c r="D843" s="16"/>
    </row>
    <row r="844">
      <c r="D844" s="16"/>
    </row>
    <row r="845">
      <c r="D845" s="16"/>
    </row>
    <row r="846">
      <c r="D846" s="16"/>
    </row>
    <row r="847">
      <c r="D847" s="16"/>
    </row>
    <row r="848">
      <c r="D848" s="16"/>
    </row>
    <row r="849">
      <c r="D849" s="16"/>
    </row>
    <row r="850">
      <c r="D850" s="16"/>
    </row>
    <row r="851">
      <c r="D851" s="16"/>
    </row>
    <row r="852">
      <c r="D852" s="16"/>
    </row>
    <row r="853">
      <c r="D853" s="16"/>
    </row>
    <row r="854">
      <c r="D854" s="16"/>
    </row>
    <row r="855">
      <c r="D855" s="16"/>
    </row>
    <row r="856">
      <c r="D856" s="16"/>
    </row>
    <row r="857">
      <c r="D857" s="16"/>
    </row>
    <row r="858">
      <c r="D858" s="16"/>
    </row>
    <row r="859">
      <c r="D859" s="16"/>
    </row>
    <row r="860">
      <c r="D860" s="16"/>
    </row>
    <row r="861">
      <c r="D861" s="16"/>
    </row>
    <row r="862">
      <c r="D862" s="16"/>
    </row>
    <row r="863">
      <c r="D863" s="16"/>
    </row>
    <row r="864">
      <c r="D864" s="16"/>
    </row>
    <row r="865">
      <c r="D865" s="16"/>
    </row>
    <row r="866">
      <c r="D866" s="16"/>
    </row>
    <row r="867">
      <c r="D867" s="16"/>
    </row>
    <row r="868">
      <c r="D868" s="16"/>
    </row>
    <row r="869">
      <c r="D869" s="16"/>
    </row>
    <row r="870">
      <c r="D870" s="16"/>
    </row>
    <row r="871">
      <c r="D871" s="16"/>
    </row>
    <row r="872">
      <c r="D872" s="16"/>
    </row>
    <row r="873">
      <c r="D873" s="16"/>
    </row>
    <row r="874">
      <c r="D874" s="16"/>
    </row>
    <row r="875">
      <c r="D875" s="16"/>
    </row>
    <row r="876">
      <c r="D876" s="16"/>
    </row>
    <row r="877">
      <c r="D877" s="16"/>
    </row>
    <row r="878">
      <c r="D878" s="16"/>
    </row>
    <row r="879">
      <c r="D879" s="16"/>
    </row>
    <row r="880">
      <c r="D880" s="16"/>
    </row>
    <row r="881">
      <c r="D881" s="16"/>
    </row>
    <row r="882">
      <c r="D882" s="16"/>
    </row>
    <row r="883">
      <c r="D883" s="16"/>
    </row>
    <row r="884">
      <c r="D884" s="16"/>
    </row>
    <row r="885">
      <c r="D885" s="16"/>
    </row>
    <row r="886">
      <c r="D886" s="16"/>
    </row>
    <row r="887">
      <c r="D887" s="16"/>
    </row>
    <row r="888">
      <c r="D888" s="16"/>
    </row>
    <row r="889">
      <c r="D889" s="16"/>
    </row>
    <row r="890">
      <c r="D890" s="16"/>
    </row>
    <row r="891">
      <c r="D891" s="16"/>
    </row>
    <row r="892">
      <c r="D892" s="16"/>
    </row>
    <row r="893">
      <c r="D893" s="16"/>
    </row>
    <row r="894">
      <c r="D894" s="16"/>
    </row>
    <row r="895">
      <c r="D895" s="16"/>
    </row>
    <row r="896">
      <c r="D896" s="16"/>
    </row>
    <row r="897">
      <c r="D897" s="16"/>
    </row>
    <row r="898">
      <c r="D898" s="16"/>
    </row>
    <row r="899">
      <c r="D899" s="16"/>
    </row>
    <row r="900">
      <c r="D900" s="16"/>
    </row>
    <row r="901">
      <c r="D901" s="16"/>
    </row>
    <row r="902">
      <c r="D902" s="16"/>
    </row>
    <row r="903">
      <c r="D903" s="16"/>
    </row>
    <row r="904">
      <c r="D904" s="16"/>
    </row>
    <row r="905">
      <c r="D905" s="16"/>
    </row>
    <row r="906">
      <c r="D906" s="16"/>
    </row>
    <row r="907">
      <c r="D907" s="16"/>
    </row>
    <row r="908">
      <c r="D908" s="16"/>
    </row>
    <row r="909">
      <c r="D909" s="16"/>
    </row>
    <row r="910">
      <c r="D910" s="16"/>
    </row>
    <row r="911">
      <c r="D911" s="16"/>
    </row>
    <row r="912">
      <c r="D912" s="16"/>
    </row>
    <row r="913">
      <c r="D913" s="16"/>
    </row>
    <row r="914">
      <c r="D914" s="16"/>
    </row>
    <row r="915">
      <c r="D915" s="16"/>
    </row>
    <row r="916">
      <c r="D916" s="16"/>
    </row>
    <row r="917">
      <c r="D917" s="16"/>
    </row>
    <row r="918">
      <c r="D918" s="16"/>
    </row>
    <row r="919">
      <c r="D919" s="16"/>
    </row>
    <row r="920">
      <c r="D920" s="16"/>
    </row>
    <row r="921">
      <c r="D921" s="16"/>
    </row>
    <row r="922">
      <c r="D922" s="16"/>
    </row>
    <row r="923">
      <c r="D923" s="16"/>
    </row>
    <row r="924">
      <c r="D924" s="16"/>
    </row>
    <row r="925">
      <c r="D925" s="16"/>
    </row>
    <row r="926">
      <c r="D926" s="16"/>
    </row>
    <row r="927">
      <c r="D927" s="16"/>
    </row>
    <row r="928">
      <c r="D928" s="16"/>
    </row>
    <row r="929">
      <c r="D929" s="16"/>
    </row>
    <row r="930">
      <c r="D930" s="16"/>
    </row>
    <row r="931">
      <c r="D931" s="16"/>
    </row>
    <row r="932">
      <c r="D932" s="16"/>
    </row>
    <row r="933">
      <c r="D933" s="16"/>
    </row>
    <row r="934">
      <c r="D934" s="16"/>
    </row>
    <row r="935">
      <c r="D935" s="16"/>
    </row>
    <row r="936">
      <c r="D936" s="16"/>
    </row>
    <row r="937">
      <c r="D937" s="16"/>
    </row>
    <row r="938">
      <c r="D938" s="16"/>
    </row>
    <row r="939">
      <c r="D939" s="16"/>
    </row>
    <row r="940">
      <c r="D940" s="16"/>
    </row>
    <row r="941">
      <c r="D941" s="16"/>
    </row>
    <row r="942">
      <c r="D942" s="16"/>
    </row>
    <row r="943">
      <c r="D943" s="16"/>
    </row>
    <row r="944">
      <c r="D944" s="16"/>
    </row>
    <row r="945">
      <c r="D945" s="16"/>
    </row>
    <row r="946">
      <c r="D946" s="16"/>
    </row>
    <row r="947">
      <c r="D947" s="16"/>
    </row>
    <row r="948">
      <c r="D948" s="16"/>
    </row>
    <row r="949">
      <c r="D949" s="16"/>
    </row>
    <row r="950">
      <c r="D950" s="16"/>
    </row>
    <row r="951">
      <c r="D951" s="16"/>
    </row>
    <row r="952">
      <c r="D952" s="16"/>
    </row>
    <row r="953">
      <c r="D953" s="16"/>
    </row>
    <row r="954">
      <c r="D954" s="16"/>
    </row>
    <row r="955">
      <c r="D955" s="16"/>
    </row>
    <row r="956">
      <c r="D956" s="16"/>
    </row>
    <row r="957">
      <c r="D957" s="16"/>
    </row>
    <row r="958">
      <c r="D958" s="16"/>
    </row>
    <row r="959">
      <c r="D959" s="16"/>
    </row>
    <row r="960">
      <c r="D960" s="16"/>
    </row>
    <row r="961">
      <c r="D961" s="16"/>
    </row>
    <row r="962">
      <c r="D962" s="16"/>
    </row>
    <row r="963">
      <c r="D963" s="16"/>
    </row>
    <row r="964">
      <c r="D964" s="16"/>
    </row>
    <row r="965">
      <c r="D965" s="16"/>
    </row>
    <row r="966">
      <c r="D966" s="16"/>
    </row>
    <row r="967">
      <c r="D967" s="16"/>
    </row>
    <row r="968">
      <c r="D968" s="16"/>
    </row>
    <row r="969">
      <c r="D969" s="16"/>
    </row>
    <row r="970">
      <c r="D970" s="16"/>
    </row>
    <row r="971">
      <c r="D971" s="16"/>
    </row>
    <row r="972">
      <c r="D972" s="16"/>
    </row>
    <row r="973">
      <c r="D973" s="16"/>
    </row>
    <row r="974">
      <c r="D974" s="16"/>
    </row>
    <row r="975">
      <c r="D975" s="16"/>
    </row>
    <row r="976">
      <c r="D976" s="16"/>
    </row>
    <row r="977">
      <c r="D977" s="16"/>
    </row>
    <row r="978">
      <c r="D978" s="16"/>
    </row>
    <row r="979">
      <c r="D979" s="16"/>
    </row>
    <row r="980">
      <c r="D980" s="16"/>
    </row>
    <row r="981">
      <c r="D981" s="16"/>
    </row>
    <row r="982">
      <c r="D982" s="16"/>
    </row>
    <row r="983">
      <c r="D983" s="16"/>
    </row>
    <row r="984">
      <c r="D984" s="16"/>
    </row>
    <row r="985">
      <c r="D985" s="16"/>
    </row>
    <row r="986">
      <c r="D986" s="16"/>
    </row>
    <row r="987">
      <c r="D987" s="16"/>
    </row>
    <row r="988">
      <c r="D988" s="16"/>
    </row>
    <row r="989">
      <c r="D989" s="16"/>
    </row>
    <row r="990">
      <c r="D990" s="16"/>
    </row>
    <row r="991">
      <c r="D991" s="16"/>
    </row>
    <row r="992">
      <c r="D992" s="16"/>
    </row>
    <row r="993">
      <c r="D993" s="16"/>
    </row>
    <row r="994">
      <c r="D994" s="16"/>
    </row>
    <row r="995">
      <c r="D995" s="16"/>
    </row>
    <row r="996">
      <c r="D996" s="16"/>
    </row>
    <row r="997">
      <c r="D997" s="16"/>
    </row>
    <row r="998">
      <c r="D998" s="16"/>
    </row>
    <row r="999">
      <c r="D999" s="16"/>
    </row>
    <row r="1000">
      <c r="D1000" s="16"/>
    </row>
    <row r="1001">
      <c r="D1001" s="16"/>
    </row>
    <row r="1002">
      <c r="D1002" s="16"/>
    </row>
    <row r="1003">
      <c r="D1003" s="16"/>
    </row>
    <row r="1004">
      <c r="D1004" s="16"/>
    </row>
    <row r="1005">
      <c r="D1005" s="16"/>
    </row>
    <row r="1006">
      <c r="D1006" s="16"/>
    </row>
    <row r="1007">
      <c r="D1007" s="16"/>
    </row>
    <row r="1008">
      <c r="D1008" s="16"/>
    </row>
    <row r="1009">
      <c r="D1009" s="16"/>
    </row>
    <row r="1010">
      <c r="D1010" s="16"/>
    </row>
    <row r="1011">
      <c r="D1011" s="16"/>
    </row>
    <row r="1012">
      <c r="D1012" s="16"/>
    </row>
    <row r="1013">
      <c r="D1013" s="16"/>
    </row>
    <row r="1014">
      <c r="D1014" s="16"/>
    </row>
    <row r="1015">
      <c r="D1015" s="16"/>
    </row>
    <row r="1016">
      <c r="D1016" s="16"/>
    </row>
    <row r="1017">
      <c r="D1017" s="16"/>
    </row>
    <row r="1018">
      <c r="D1018" s="16"/>
    </row>
    <row r="1019">
      <c r="D1019" s="16"/>
    </row>
    <row r="1020">
      <c r="D1020" s="16"/>
    </row>
    <row r="1021">
      <c r="D1021" s="16"/>
    </row>
    <row r="1022">
      <c r="D1022" s="16"/>
    </row>
    <row r="1023">
      <c r="D1023" s="16"/>
    </row>
    <row r="1024">
      <c r="D1024" s="16"/>
    </row>
    <row r="1025">
      <c r="D1025" s="16"/>
    </row>
    <row r="1026">
      <c r="D1026" s="16"/>
    </row>
    <row r="1027">
      <c r="D1027" s="16"/>
    </row>
    <row r="1028">
      <c r="D1028" s="16"/>
    </row>
    <row r="1029">
      <c r="D1029" s="16"/>
    </row>
    <row r="1030">
      <c r="D1030" s="16"/>
    </row>
    <row r="1031">
      <c r="D1031" s="16"/>
    </row>
    <row r="1032">
      <c r="D1032" s="16"/>
    </row>
    <row r="1033">
      <c r="D1033" s="16"/>
    </row>
    <row r="1034">
      <c r="D1034" s="16"/>
    </row>
    <row r="1035">
      <c r="D1035" s="16"/>
    </row>
    <row r="1036">
      <c r="D1036" s="16"/>
    </row>
    <row r="1037">
      <c r="D1037" s="16"/>
    </row>
    <row r="1038">
      <c r="D1038" s="16"/>
    </row>
    <row r="1039">
      <c r="D1039" s="16"/>
    </row>
    <row r="1040">
      <c r="D1040" s="16"/>
    </row>
    <row r="1041">
      <c r="D1041" s="16"/>
    </row>
    <row r="1042">
      <c r="D1042" s="16"/>
    </row>
    <row r="1043">
      <c r="D1043" s="16"/>
    </row>
    <row r="1044">
      <c r="D1044" s="16"/>
    </row>
    <row r="1045">
      <c r="D1045" s="16"/>
    </row>
    <row r="1046">
      <c r="D1046" s="16"/>
    </row>
    <row r="1047">
      <c r="D1047" s="16"/>
    </row>
    <row r="1048">
      <c r="D1048" s="16"/>
    </row>
    <row r="1049">
      <c r="D1049" s="16"/>
    </row>
    <row r="1050">
      <c r="D1050" s="16"/>
    </row>
    <row r="1051">
      <c r="D1051" s="16"/>
    </row>
    <row r="1052">
      <c r="D1052" s="16"/>
    </row>
    <row r="1053">
      <c r="D1053" s="16"/>
    </row>
    <row r="1054">
      <c r="D1054" s="16"/>
    </row>
    <row r="1055">
      <c r="D1055" s="16"/>
    </row>
    <row r="1056">
      <c r="D1056" s="16"/>
    </row>
    <row r="1057">
      <c r="D1057" s="16"/>
    </row>
    <row r="1058">
      <c r="D1058" s="16"/>
    </row>
    <row r="1059">
      <c r="D1059" s="16"/>
    </row>
    <row r="1060">
      <c r="D1060" s="16"/>
    </row>
    <row r="1061">
      <c r="D1061" s="16"/>
    </row>
    <row r="1062">
      <c r="D1062" s="16"/>
    </row>
    <row r="1063">
      <c r="D1063" s="16"/>
    </row>
    <row r="1064">
      <c r="D1064" s="16"/>
    </row>
    <row r="1065">
      <c r="D1065" s="16"/>
    </row>
    <row r="1066">
      <c r="D1066" s="16"/>
    </row>
    <row r="1067">
      <c r="D1067" s="16"/>
    </row>
    <row r="1068">
      <c r="D1068" s="16"/>
    </row>
    <row r="1069">
      <c r="D1069" s="16"/>
    </row>
    <row r="1070">
      <c r="D1070" s="16"/>
    </row>
    <row r="1071">
      <c r="D1071" s="16"/>
    </row>
    <row r="1072">
      <c r="D1072" s="16"/>
    </row>
    <row r="1073">
      <c r="D1073" s="16"/>
    </row>
    <row r="1074">
      <c r="D1074" s="16"/>
    </row>
    <row r="1075">
      <c r="D1075" s="16"/>
    </row>
    <row r="1076">
      <c r="D1076" s="16"/>
    </row>
    <row r="1077">
      <c r="D1077" s="16"/>
    </row>
    <row r="1078">
      <c r="D1078" s="16"/>
    </row>
    <row r="1079">
      <c r="D1079" s="16"/>
    </row>
    <row r="1080">
      <c r="D1080" s="16"/>
    </row>
    <row r="1081">
      <c r="D1081" s="16"/>
    </row>
    <row r="1082">
      <c r="D1082" s="16"/>
    </row>
    <row r="1083">
      <c r="D1083" s="16"/>
    </row>
    <row r="1084">
      <c r="D1084" s="16"/>
    </row>
    <row r="1085">
      <c r="D1085" s="16"/>
    </row>
    <row r="1086">
      <c r="D1086" s="16"/>
    </row>
    <row r="1087">
      <c r="D1087" s="16"/>
    </row>
    <row r="1088">
      <c r="D1088" s="16"/>
    </row>
    <row r="1089">
      <c r="D1089" s="16"/>
    </row>
    <row r="1090">
      <c r="D1090" s="16"/>
    </row>
    <row r="1091">
      <c r="D1091" s="16"/>
    </row>
    <row r="1092">
      <c r="D1092" s="16"/>
    </row>
    <row r="1093">
      <c r="D1093" s="16"/>
    </row>
    <row r="1094">
      <c r="D1094" s="16"/>
    </row>
    <row r="1095">
      <c r="D1095" s="16"/>
    </row>
    <row r="1096">
      <c r="D1096" s="16"/>
    </row>
    <row r="1097">
      <c r="D1097" s="16"/>
    </row>
    <row r="1098">
      <c r="D1098" s="16"/>
    </row>
    <row r="1099">
      <c r="D1099" s="16"/>
    </row>
    <row r="1100">
      <c r="D1100" s="16"/>
    </row>
    <row r="1101">
      <c r="D1101" s="16"/>
    </row>
    <row r="1102">
      <c r="D1102" s="16"/>
    </row>
    <row r="1103">
      <c r="D1103" s="16"/>
    </row>
    <row r="1104">
      <c r="D1104" s="16"/>
    </row>
    <row r="1105">
      <c r="D1105" s="16"/>
    </row>
    <row r="1106">
      <c r="D1106" s="16"/>
    </row>
    <row r="1107">
      <c r="D1107" s="16"/>
    </row>
    <row r="1108">
      <c r="D1108" s="16"/>
    </row>
    <row r="1109">
      <c r="D1109" s="16"/>
    </row>
    <row r="1110">
      <c r="D1110" s="16"/>
    </row>
    <row r="1111">
      <c r="D1111" s="16"/>
    </row>
    <row r="1112">
      <c r="D1112" s="16"/>
    </row>
    <row r="1113">
      <c r="D1113" s="16"/>
    </row>
    <row r="1114">
      <c r="D1114" s="16"/>
    </row>
    <row r="1115">
      <c r="D1115" s="16"/>
    </row>
    <row r="1116">
      <c r="D1116" s="16"/>
    </row>
    <row r="1117">
      <c r="D1117" s="16"/>
    </row>
    <row r="1118">
      <c r="D1118" s="17"/>
    </row>
    <row r="1119">
      <c r="D1119" s="16"/>
    </row>
    <row r="1120">
      <c r="D1120" s="16"/>
    </row>
    <row r="1121">
      <c r="D1121" s="16"/>
    </row>
    <row r="1122">
      <c r="D1122" s="17"/>
    </row>
    <row r="1123">
      <c r="D1123" s="16"/>
    </row>
    <row r="1124">
      <c r="D1124" s="16"/>
    </row>
    <row r="1125">
      <c r="D1125" s="16"/>
    </row>
    <row r="1126">
      <c r="D1126" s="16"/>
    </row>
    <row r="1127">
      <c r="D1127" s="16"/>
    </row>
    <row r="1128">
      <c r="D1128" s="17"/>
    </row>
    <row r="1129">
      <c r="D1129" s="17"/>
    </row>
    <row r="1130">
      <c r="D1130" s="16"/>
    </row>
    <row r="1131">
      <c r="D1131" s="16"/>
    </row>
    <row r="1132">
      <c r="D1132" s="16"/>
    </row>
    <row r="1133">
      <c r="D1133" s="16"/>
    </row>
    <row r="1134">
      <c r="D1134" s="16"/>
    </row>
    <row r="1135">
      <c r="D1135" s="17"/>
    </row>
    <row r="1136">
      <c r="D1136" s="16"/>
    </row>
    <row r="1137">
      <c r="D1137" s="17"/>
    </row>
    <row r="1138">
      <c r="D1138" s="17"/>
    </row>
    <row r="1139">
      <c r="D1139" s="17"/>
    </row>
    <row r="1140">
      <c r="D1140" s="17"/>
    </row>
    <row r="1141">
      <c r="D1141" s="17"/>
    </row>
    <row r="1142">
      <c r="D1142" s="17"/>
    </row>
    <row r="1143">
      <c r="D1143" s="17"/>
    </row>
    <row r="1144">
      <c r="D1144" s="17"/>
    </row>
    <row r="1145">
      <c r="D1145" s="17"/>
    </row>
    <row r="1146">
      <c r="D1146" s="17"/>
    </row>
    <row r="1147">
      <c r="D1147" s="17"/>
    </row>
    <row r="1148">
      <c r="D1148" s="17"/>
    </row>
    <row r="1149">
      <c r="D1149" s="17"/>
    </row>
    <row r="1150">
      <c r="D1150" s="17"/>
    </row>
    <row r="1151">
      <c r="D1151" s="17"/>
    </row>
    <row r="1152">
      <c r="D1152" s="17"/>
    </row>
    <row r="1153">
      <c r="D1153" s="17"/>
    </row>
    <row r="1154">
      <c r="D1154" s="17"/>
    </row>
    <row r="1155">
      <c r="D1155" s="17"/>
    </row>
    <row r="1156">
      <c r="D1156" s="17"/>
    </row>
    <row r="1157">
      <c r="D1157" s="17"/>
    </row>
    <row r="1158">
      <c r="D1158" s="17"/>
    </row>
    <row r="1159">
      <c r="D1159" s="17"/>
    </row>
    <row r="1160">
      <c r="D1160" s="17"/>
    </row>
    <row r="1161">
      <c r="D1161" s="17"/>
    </row>
    <row r="1162">
      <c r="D1162" s="17"/>
    </row>
    <row r="1163">
      <c r="D1163" s="17"/>
    </row>
    <row r="1164">
      <c r="D1164" s="17"/>
    </row>
    <row r="1165">
      <c r="D1165" s="17"/>
    </row>
    <row r="1166">
      <c r="D1166" s="17"/>
    </row>
    <row r="1167">
      <c r="D1167" s="17"/>
    </row>
    <row r="1168">
      <c r="D1168" s="17"/>
    </row>
    <row r="1169">
      <c r="D1169" s="17"/>
    </row>
    <row r="1170">
      <c r="D1170" s="17"/>
    </row>
    <row r="1171">
      <c r="D1171" s="17"/>
    </row>
    <row r="1172">
      <c r="D1172" s="17"/>
    </row>
    <row r="1173">
      <c r="D1173" s="17"/>
    </row>
    <row r="1174">
      <c r="D1174" s="17"/>
    </row>
    <row r="1175">
      <c r="D1175" s="17"/>
    </row>
    <row r="1176">
      <c r="D1176" s="17"/>
    </row>
    <row r="1177">
      <c r="D1177" s="17"/>
    </row>
    <row r="1178">
      <c r="D1178" s="17"/>
    </row>
    <row r="1179">
      <c r="D1179" s="17"/>
    </row>
    <row r="1180">
      <c r="D1180" s="17"/>
    </row>
    <row r="1181">
      <c r="D1181" s="17"/>
    </row>
    <row r="1182">
      <c r="D1182" s="17"/>
    </row>
    <row r="1183">
      <c r="D1183" s="17"/>
    </row>
    <row r="1184">
      <c r="D1184" s="17"/>
    </row>
    <row r="1185">
      <c r="D1185" s="17"/>
    </row>
    <row r="1186">
      <c r="D1186" s="17"/>
    </row>
    <row r="1187">
      <c r="D1187" s="17"/>
    </row>
    <row r="1188">
      <c r="D1188" s="17"/>
    </row>
    <row r="1189">
      <c r="D1189" s="17"/>
    </row>
    <row r="1190">
      <c r="D1190" s="17"/>
    </row>
    <row r="1191">
      <c r="D1191" s="17"/>
    </row>
    <row r="1192">
      <c r="D1192" s="17"/>
    </row>
    <row r="1193">
      <c r="D1193" s="17"/>
    </row>
    <row r="1194">
      <c r="D1194" s="17"/>
    </row>
    <row r="1195">
      <c r="D1195" s="17"/>
    </row>
    <row r="1196">
      <c r="D1196" s="17"/>
    </row>
    <row r="1197">
      <c r="D1197" s="17"/>
    </row>
    <row r="1198">
      <c r="D1198" s="17"/>
    </row>
    <row r="1199">
      <c r="D1199" s="17"/>
    </row>
    <row r="1200">
      <c r="D1200" s="17"/>
    </row>
    <row r="1201">
      <c r="D1201" s="17"/>
    </row>
    <row r="1202">
      <c r="D1202" s="17"/>
    </row>
    <row r="1203">
      <c r="D1203" s="17"/>
    </row>
    <row r="1204">
      <c r="D1204" s="17"/>
    </row>
    <row r="1205">
      <c r="D1205" s="17"/>
    </row>
    <row r="1206">
      <c r="D1206" s="17"/>
    </row>
    <row r="1207">
      <c r="D1207" s="17"/>
    </row>
    <row r="1208">
      <c r="D1208" s="17"/>
    </row>
    <row r="1209">
      <c r="D1209" s="17"/>
    </row>
    <row r="1210">
      <c r="D1210" s="17"/>
    </row>
    <row r="1211">
      <c r="D1211" s="17"/>
    </row>
    <row r="1212">
      <c r="D1212" s="17"/>
    </row>
    <row r="1213">
      <c r="D1213" s="17"/>
    </row>
    <row r="1214">
      <c r="D1214" s="17"/>
    </row>
    <row r="1215">
      <c r="D1215" s="17"/>
    </row>
    <row r="1216">
      <c r="D1216" s="17"/>
    </row>
    <row r="1217">
      <c r="D1217" s="17"/>
    </row>
    <row r="1218">
      <c r="D1218" s="17"/>
    </row>
    <row r="1219">
      <c r="D1219" s="17"/>
    </row>
    <row r="1220">
      <c r="D1220" s="17"/>
    </row>
    <row r="1221">
      <c r="D1221" s="17"/>
    </row>
    <row r="1222">
      <c r="D1222" s="17"/>
    </row>
    <row r="1223">
      <c r="D1223" s="17"/>
    </row>
    <row r="1224">
      <c r="D1224" s="17"/>
    </row>
    <row r="1225">
      <c r="D1225" s="17"/>
    </row>
    <row r="1226">
      <c r="D1226" s="17"/>
    </row>
    <row r="1227">
      <c r="D1227" s="17"/>
    </row>
    <row r="1228">
      <c r="D1228" s="17"/>
    </row>
    <row r="1229">
      <c r="D1229" s="17"/>
    </row>
    <row r="1230">
      <c r="D1230" s="17"/>
    </row>
    <row r="1231">
      <c r="D1231" s="17"/>
    </row>
    <row r="1232">
      <c r="D1232" s="17"/>
    </row>
    <row r="1233">
      <c r="D1233" s="17"/>
    </row>
    <row r="1234">
      <c r="D1234" s="17"/>
    </row>
    <row r="1235">
      <c r="D1235" s="17"/>
    </row>
    <row r="1236">
      <c r="D1236" s="17"/>
    </row>
    <row r="1237">
      <c r="D1237" s="17"/>
    </row>
    <row r="1238">
      <c r="D1238" s="17"/>
    </row>
    <row r="1239">
      <c r="D1239" s="17"/>
    </row>
    <row r="1240">
      <c r="D1240" s="17"/>
    </row>
    <row r="1241">
      <c r="D1241" s="17"/>
    </row>
    <row r="1242">
      <c r="D1242" s="17"/>
    </row>
    <row r="1243">
      <c r="D1243" s="17"/>
    </row>
    <row r="1244">
      <c r="D1244" s="17"/>
    </row>
    <row r="1245">
      <c r="D1245" s="17"/>
    </row>
    <row r="1246">
      <c r="D1246" s="17"/>
    </row>
    <row r="1247">
      <c r="D1247" s="17"/>
    </row>
    <row r="1248">
      <c r="D1248" s="17"/>
    </row>
    <row r="1249">
      <c r="D1249" s="17"/>
    </row>
    <row r="1250">
      <c r="D1250" s="17"/>
    </row>
    <row r="1251">
      <c r="D1251" s="17"/>
    </row>
    <row r="1252">
      <c r="D1252" s="17"/>
    </row>
    <row r="1253">
      <c r="D1253" s="17"/>
    </row>
    <row r="1254">
      <c r="D1254" s="17"/>
    </row>
    <row r="1255">
      <c r="D1255" s="17"/>
    </row>
    <row r="1256">
      <c r="D1256" s="17"/>
    </row>
    <row r="1257">
      <c r="D1257" s="17"/>
    </row>
    <row r="1258">
      <c r="D1258" s="17"/>
    </row>
    <row r="1259">
      <c r="D1259" s="17"/>
    </row>
    <row r="1260">
      <c r="D1260" s="17"/>
    </row>
    <row r="1261">
      <c r="D1261" s="17"/>
    </row>
    <row r="1262">
      <c r="D1262" s="17"/>
    </row>
    <row r="1263">
      <c r="D1263" s="17"/>
    </row>
    <row r="1264">
      <c r="D1264" s="17"/>
    </row>
    <row r="1265">
      <c r="D1265" s="17"/>
    </row>
    <row r="1266">
      <c r="D1266" s="17"/>
    </row>
    <row r="1267">
      <c r="D1267" s="17"/>
    </row>
    <row r="1268">
      <c r="D1268" s="17"/>
    </row>
    <row r="1269">
      <c r="D1269" s="17"/>
    </row>
    <row r="1270">
      <c r="D1270" s="17"/>
    </row>
    <row r="1271">
      <c r="D1271" s="17"/>
    </row>
    <row r="1272">
      <c r="D1272" s="17"/>
    </row>
    <row r="1273">
      <c r="D1273" s="17"/>
    </row>
    <row r="1274">
      <c r="D1274" s="17"/>
    </row>
    <row r="1275">
      <c r="D1275" s="17"/>
    </row>
    <row r="1276">
      <c r="D1276" s="17"/>
    </row>
    <row r="1277">
      <c r="D1277" s="17"/>
    </row>
    <row r="1278">
      <c r="D1278" s="17"/>
    </row>
    <row r="1279">
      <c r="D1279" s="17"/>
    </row>
    <row r="1280">
      <c r="D1280" s="17"/>
    </row>
    <row r="1281">
      <c r="D1281" s="17"/>
    </row>
    <row r="1282">
      <c r="D1282" s="17"/>
    </row>
    <row r="1283">
      <c r="D1283" s="17"/>
    </row>
    <row r="1284">
      <c r="D1284" s="17"/>
    </row>
    <row r="1285">
      <c r="D1285" s="17"/>
    </row>
    <row r="1286">
      <c r="D1286" s="17"/>
    </row>
    <row r="1287">
      <c r="D1287" s="17"/>
    </row>
    <row r="1288">
      <c r="D1288" s="17"/>
    </row>
    <row r="1289">
      <c r="D1289" s="17"/>
    </row>
    <row r="1290">
      <c r="D1290" s="17"/>
    </row>
    <row r="1291">
      <c r="D1291" s="17"/>
    </row>
    <row r="1292">
      <c r="D1292" s="17"/>
    </row>
    <row r="1293">
      <c r="D1293" s="17"/>
    </row>
    <row r="1294">
      <c r="D1294" s="17"/>
    </row>
    <row r="1295">
      <c r="D1295" s="17"/>
    </row>
    <row r="1296">
      <c r="D1296" s="17"/>
    </row>
    <row r="1297">
      <c r="D1297" s="17"/>
    </row>
    <row r="1298">
      <c r="D1298" s="17"/>
    </row>
    <row r="1299">
      <c r="D1299" s="17"/>
    </row>
    <row r="1300">
      <c r="D1300" s="17"/>
    </row>
    <row r="1301">
      <c r="D1301" s="17"/>
    </row>
    <row r="1302">
      <c r="D1302" s="17"/>
    </row>
    <row r="1303">
      <c r="D1303" s="17"/>
    </row>
    <row r="1304">
      <c r="D1304" s="17"/>
    </row>
    <row r="1305">
      <c r="D1305" s="17"/>
    </row>
    <row r="1306">
      <c r="D1306" s="17"/>
    </row>
    <row r="1307">
      <c r="D1307" s="17"/>
    </row>
    <row r="1308">
      <c r="D1308" s="17"/>
    </row>
    <row r="1309">
      <c r="D1309" s="17"/>
    </row>
    <row r="1310">
      <c r="D1310" s="17"/>
    </row>
    <row r="1311">
      <c r="D1311" s="17"/>
    </row>
    <row r="1312">
      <c r="D1312" s="17"/>
    </row>
    <row r="1313">
      <c r="D1313" s="17"/>
    </row>
    <row r="1314">
      <c r="D1314" s="17"/>
    </row>
    <row r="1315">
      <c r="D1315" s="17"/>
    </row>
    <row r="1316">
      <c r="D1316" s="17"/>
    </row>
    <row r="1317">
      <c r="D1317" s="17"/>
    </row>
    <row r="1318">
      <c r="D1318" s="17"/>
    </row>
    <row r="1319">
      <c r="D1319" s="17"/>
    </row>
    <row r="1320">
      <c r="D1320" s="17"/>
    </row>
    <row r="1321">
      <c r="D1321" s="17"/>
    </row>
    <row r="1322">
      <c r="D1322" s="17"/>
    </row>
    <row r="1323">
      <c r="D1323" s="17"/>
    </row>
    <row r="1324">
      <c r="D1324" s="17"/>
    </row>
    <row r="1325">
      <c r="D1325" s="17"/>
    </row>
    <row r="1326">
      <c r="D1326" s="17"/>
    </row>
    <row r="1327">
      <c r="D1327" s="17"/>
    </row>
    <row r="1328">
      <c r="D1328" s="17"/>
    </row>
    <row r="1329">
      <c r="D1329" s="17"/>
    </row>
    <row r="1330">
      <c r="D1330" s="17"/>
    </row>
    <row r="1331">
      <c r="D1331" s="17"/>
    </row>
    <row r="1332">
      <c r="D1332" s="17"/>
    </row>
    <row r="1333">
      <c r="D1333" s="17"/>
    </row>
    <row r="1334">
      <c r="D1334" s="17"/>
    </row>
    <row r="1335">
      <c r="D1335" s="17"/>
    </row>
    <row r="1336">
      <c r="D1336" s="17"/>
    </row>
    <row r="1337">
      <c r="D1337" s="17"/>
    </row>
    <row r="1338">
      <c r="D1338" s="17"/>
    </row>
    <row r="1339">
      <c r="D1339" s="17"/>
    </row>
    <row r="1340">
      <c r="D1340" s="17"/>
    </row>
    <row r="1341">
      <c r="D1341" s="17"/>
    </row>
    <row r="1342">
      <c r="D1342" s="17"/>
    </row>
    <row r="1343">
      <c r="D1343" s="17"/>
    </row>
    <row r="1344">
      <c r="D1344" s="17"/>
    </row>
    <row r="1345">
      <c r="D1345" s="17"/>
    </row>
    <row r="1346">
      <c r="D1346" s="17"/>
    </row>
    <row r="1347">
      <c r="D1347" s="17"/>
    </row>
    <row r="1348">
      <c r="D1348" s="17"/>
    </row>
    <row r="1349">
      <c r="D1349" s="17"/>
    </row>
    <row r="1350">
      <c r="D1350" s="17"/>
    </row>
    <row r="1351">
      <c r="D1351" s="17"/>
    </row>
    <row r="1352">
      <c r="D1352" s="17"/>
    </row>
    <row r="1353">
      <c r="D1353" s="17"/>
    </row>
    <row r="1354">
      <c r="D1354" s="17"/>
    </row>
    <row r="1355">
      <c r="D1355" s="17"/>
    </row>
    <row r="1356">
      <c r="D1356" s="17"/>
    </row>
    <row r="1357">
      <c r="D1357" s="17"/>
    </row>
    <row r="1358">
      <c r="D1358" s="17"/>
    </row>
    <row r="1359">
      <c r="D1359" s="17"/>
    </row>
    <row r="1360">
      <c r="D1360" s="17"/>
    </row>
    <row r="1361">
      <c r="D1361" s="17"/>
    </row>
    <row r="1362">
      <c r="D1362" s="17"/>
    </row>
    <row r="1363">
      <c r="D1363" s="17"/>
    </row>
    <row r="1364">
      <c r="D1364" s="17"/>
    </row>
    <row r="1365">
      <c r="D1365" s="17"/>
    </row>
    <row r="1366">
      <c r="D1366" s="17"/>
    </row>
    <row r="1367">
      <c r="D1367" s="17"/>
    </row>
    <row r="1368">
      <c r="D1368" s="17"/>
    </row>
    <row r="1369">
      <c r="D1369" s="17"/>
    </row>
    <row r="1370">
      <c r="D1370" s="17"/>
    </row>
    <row r="1371">
      <c r="D1371" s="17"/>
    </row>
    <row r="1372">
      <c r="D1372" s="17"/>
    </row>
    <row r="1373">
      <c r="D1373" s="17"/>
    </row>
    <row r="1374">
      <c r="D1374" s="17"/>
    </row>
    <row r="1375">
      <c r="D1375" s="17"/>
    </row>
    <row r="1376">
      <c r="D1376" s="17"/>
    </row>
    <row r="1377">
      <c r="D1377" s="17"/>
    </row>
    <row r="1378">
      <c r="D1378" s="17"/>
    </row>
    <row r="1379">
      <c r="D1379" s="17"/>
    </row>
    <row r="1380">
      <c r="D1380" s="17"/>
    </row>
    <row r="1381">
      <c r="D1381" s="17"/>
    </row>
    <row r="1382">
      <c r="D1382" s="17"/>
    </row>
    <row r="1383">
      <c r="D1383" s="17"/>
    </row>
    <row r="1384">
      <c r="D1384" s="17"/>
    </row>
    <row r="1385">
      <c r="D1385" s="17"/>
    </row>
    <row r="1386">
      <c r="D1386" s="17"/>
    </row>
    <row r="1387">
      <c r="D1387" s="17"/>
    </row>
    <row r="1388">
      <c r="D1388" s="17"/>
    </row>
    <row r="1389">
      <c r="D1389" s="17"/>
    </row>
    <row r="1390">
      <c r="D1390" s="17"/>
    </row>
    <row r="1391">
      <c r="D1391" s="17"/>
    </row>
    <row r="1392">
      <c r="D1392" s="17"/>
    </row>
    <row r="1393">
      <c r="D1393" s="17"/>
    </row>
    <row r="1394">
      <c r="D1394" s="17"/>
    </row>
    <row r="1395">
      <c r="D1395" s="17"/>
    </row>
    <row r="1396">
      <c r="D1396" s="17"/>
    </row>
    <row r="1397">
      <c r="D1397" s="17"/>
    </row>
    <row r="1398">
      <c r="D1398" s="17"/>
    </row>
    <row r="1399">
      <c r="D1399" s="17"/>
    </row>
    <row r="1400">
      <c r="D1400" s="17"/>
    </row>
    <row r="1401">
      <c r="D1401" s="17"/>
    </row>
    <row r="1402">
      <c r="D1402" s="17"/>
    </row>
    <row r="1403">
      <c r="D1403" s="17"/>
    </row>
    <row r="1404">
      <c r="D1404" s="17"/>
    </row>
    <row r="1405">
      <c r="D1405" s="17"/>
    </row>
    <row r="1406">
      <c r="D1406" s="17"/>
    </row>
    <row r="1407">
      <c r="D1407" s="17"/>
    </row>
    <row r="1408">
      <c r="D1408" s="17"/>
    </row>
    <row r="1409">
      <c r="D1409" s="17"/>
    </row>
    <row r="1410">
      <c r="D1410" s="17"/>
    </row>
    <row r="1411">
      <c r="D1411" s="17"/>
    </row>
    <row r="1412">
      <c r="D1412" s="17"/>
    </row>
    <row r="1413">
      <c r="D1413" s="17"/>
    </row>
    <row r="1414">
      <c r="D1414" s="17"/>
    </row>
    <row r="1415">
      <c r="D1415" s="17"/>
    </row>
    <row r="1416">
      <c r="D1416" s="17"/>
    </row>
    <row r="1417">
      <c r="D1417" s="17"/>
    </row>
    <row r="1418">
      <c r="D1418" s="17"/>
    </row>
    <row r="1419">
      <c r="D1419" s="17"/>
    </row>
    <row r="1420">
      <c r="D1420" s="17"/>
    </row>
    <row r="1421">
      <c r="D1421" s="17"/>
    </row>
    <row r="1422">
      <c r="D1422" s="17"/>
    </row>
    <row r="1423">
      <c r="D1423" s="17"/>
    </row>
    <row r="1424">
      <c r="D1424" s="17"/>
    </row>
    <row r="1425">
      <c r="D1425" s="17"/>
    </row>
    <row r="1426">
      <c r="D1426" s="17"/>
    </row>
    <row r="1427">
      <c r="D1427" s="17"/>
    </row>
    <row r="1428">
      <c r="D1428" s="17"/>
    </row>
    <row r="1429">
      <c r="D1429" s="17"/>
    </row>
    <row r="1430">
      <c r="D1430" s="17"/>
    </row>
    <row r="1431">
      <c r="D1431" s="17"/>
    </row>
    <row r="1432">
      <c r="D1432" s="17"/>
    </row>
    <row r="1433">
      <c r="D1433" s="17"/>
    </row>
    <row r="1434">
      <c r="D1434" s="17"/>
    </row>
    <row r="1435">
      <c r="D1435" s="17"/>
    </row>
    <row r="1436">
      <c r="D1436" s="17"/>
    </row>
    <row r="1437">
      <c r="D1437" s="17"/>
    </row>
    <row r="1438">
      <c r="D1438" s="17"/>
    </row>
    <row r="1439">
      <c r="D1439" s="17"/>
    </row>
    <row r="1440">
      <c r="D1440" s="17"/>
    </row>
    <row r="1441">
      <c r="D1441" s="17"/>
    </row>
    <row r="1442">
      <c r="D1442" s="17"/>
    </row>
    <row r="1443">
      <c r="D1443" s="17"/>
    </row>
    <row r="1444">
      <c r="D1444" s="17"/>
    </row>
    <row r="1445">
      <c r="D1445" s="17"/>
    </row>
    <row r="1446">
      <c r="D1446" s="17"/>
    </row>
    <row r="1447">
      <c r="D1447" s="17"/>
    </row>
    <row r="1448">
      <c r="D1448" s="17"/>
    </row>
    <row r="1449">
      <c r="D1449" s="17"/>
    </row>
    <row r="1450">
      <c r="D1450" s="17"/>
    </row>
    <row r="1451">
      <c r="D1451" s="17"/>
    </row>
    <row r="1452">
      <c r="D1452" s="17"/>
    </row>
    <row r="1453">
      <c r="D1453" s="17"/>
    </row>
    <row r="1454">
      <c r="D1454" s="17"/>
    </row>
    <row r="1455">
      <c r="D1455" s="17"/>
    </row>
    <row r="1456">
      <c r="D1456" s="17"/>
    </row>
    <row r="1457">
      <c r="D1457" s="17"/>
    </row>
    <row r="1458">
      <c r="D1458" s="17"/>
    </row>
    <row r="1459">
      <c r="D1459" s="17"/>
    </row>
    <row r="1460">
      <c r="D1460" s="17"/>
    </row>
    <row r="1461">
      <c r="D1461" s="17"/>
    </row>
    <row r="1462">
      <c r="D1462" s="17"/>
    </row>
    <row r="1463">
      <c r="D1463" s="17"/>
    </row>
    <row r="1464">
      <c r="D1464" s="17"/>
    </row>
    <row r="1465">
      <c r="D1465" s="17"/>
    </row>
    <row r="1466">
      <c r="D1466" s="17"/>
    </row>
    <row r="1467">
      <c r="D1467" s="17"/>
    </row>
    <row r="1468">
      <c r="D1468" s="17"/>
    </row>
    <row r="1469">
      <c r="D1469" s="17"/>
    </row>
    <row r="1470">
      <c r="D1470" s="17"/>
    </row>
    <row r="1471">
      <c r="D1471" s="17"/>
    </row>
    <row r="1472">
      <c r="D1472" s="17"/>
    </row>
    <row r="1473">
      <c r="D1473" s="17"/>
    </row>
    <row r="1474">
      <c r="D1474" s="17"/>
    </row>
    <row r="1475">
      <c r="D1475" s="17"/>
    </row>
    <row r="1476">
      <c r="D1476" s="17"/>
    </row>
    <row r="1477">
      <c r="D1477" s="17"/>
    </row>
    <row r="1478">
      <c r="D1478" s="17"/>
    </row>
    <row r="1479">
      <c r="D1479" s="17"/>
    </row>
    <row r="1480">
      <c r="D1480" s="17"/>
    </row>
    <row r="1481">
      <c r="D1481" s="17"/>
    </row>
    <row r="1482">
      <c r="D1482" s="17"/>
    </row>
    <row r="1483">
      <c r="D1483" s="17"/>
    </row>
    <row r="1484">
      <c r="D1484" s="17"/>
    </row>
    <row r="1485">
      <c r="D1485" s="17"/>
    </row>
    <row r="1486">
      <c r="D1486" s="17"/>
    </row>
    <row r="1487">
      <c r="D1487" s="17"/>
    </row>
    <row r="1488">
      <c r="D1488" s="17"/>
    </row>
    <row r="1489">
      <c r="D1489" s="17"/>
    </row>
    <row r="1490">
      <c r="D1490" s="17"/>
    </row>
    <row r="1491">
      <c r="D1491" s="17"/>
    </row>
    <row r="1492">
      <c r="D1492" s="17"/>
    </row>
    <row r="1493">
      <c r="D1493" s="17"/>
    </row>
    <row r="1494">
      <c r="D1494" s="17"/>
    </row>
    <row r="1495">
      <c r="D1495" s="17"/>
    </row>
    <row r="1496">
      <c r="D1496" s="17"/>
    </row>
    <row r="1497">
      <c r="D1497" s="17"/>
    </row>
    <row r="1498">
      <c r="D1498" s="17"/>
    </row>
    <row r="1499">
      <c r="D1499" s="17"/>
    </row>
    <row r="1500">
      <c r="D1500" s="17"/>
    </row>
    <row r="1501">
      <c r="D1501" s="17"/>
    </row>
    <row r="1502">
      <c r="D1502" s="17"/>
    </row>
    <row r="1503">
      <c r="D1503" s="17"/>
    </row>
    <row r="1504">
      <c r="D1504" s="17"/>
    </row>
    <row r="1505">
      <c r="D1505" s="17"/>
    </row>
    <row r="1506">
      <c r="D1506" s="17"/>
    </row>
    <row r="1507">
      <c r="D1507" s="17"/>
    </row>
    <row r="1508">
      <c r="D1508" s="17"/>
    </row>
    <row r="1509">
      <c r="D1509" s="17"/>
    </row>
    <row r="1510">
      <c r="D1510" s="17"/>
    </row>
    <row r="1511">
      <c r="D1511" s="17"/>
    </row>
    <row r="1512">
      <c r="D1512" s="17"/>
    </row>
    <row r="1513">
      <c r="D1513" s="17"/>
    </row>
    <row r="1514">
      <c r="D1514" s="17"/>
    </row>
    <row r="1515">
      <c r="D1515" s="17"/>
    </row>
    <row r="1516">
      <c r="D1516" s="17"/>
    </row>
    <row r="1517">
      <c r="D1517" s="17"/>
    </row>
    <row r="1518">
      <c r="D1518" s="17"/>
    </row>
    <row r="1519">
      <c r="D1519" s="17"/>
    </row>
    <row r="1520">
      <c r="D1520" s="17"/>
    </row>
    <row r="1521">
      <c r="D1521" s="17"/>
    </row>
    <row r="1522">
      <c r="D1522" s="17"/>
    </row>
    <row r="1523">
      <c r="D1523" s="17"/>
    </row>
    <row r="1524">
      <c r="D1524" s="17"/>
    </row>
    <row r="1525">
      <c r="D1525" s="17"/>
    </row>
    <row r="1526">
      <c r="D1526" s="17"/>
    </row>
    <row r="1527">
      <c r="D1527" s="17"/>
    </row>
    <row r="1528">
      <c r="D1528" s="17"/>
    </row>
    <row r="1529">
      <c r="D1529" s="17"/>
    </row>
    <row r="1530">
      <c r="D1530" s="17"/>
    </row>
    <row r="1531">
      <c r="D1531" s="17"/>
    </row>
    <row r="1532">
      <c r="D1532" s="17"/>
    </row>
    <row r="1533">
      <c r="D1533" s="17"/>
    </row>
    <row r="1534">
      <c r="D1534" s="17"/>
    </row>
    <row r="1535">
      <c r="D1535" s="17"/>
    </row>
    <row r="1536">
      <c r="D1536" s="17"/>
    </row>
    <row r="1537">
      <c r="D1537" s="17"/>
    </row>
    <row r="1538">
      <c r="D1538" s="17"/>
    </row>
    <row r="1539">
      <c r="D1539" s="17"/>
    </row>
    <row r="1540">
      <c r="D1540" s="17"/>
    </row>
    <row r="1541">
      <c r="D1541" s="17"/>
    </row>
    <row r="1542">
      <c r="D1542" s="17"/>
    </row>
    <row r="1543">
      <c r="D1543" s="17"/>
    </row>
    <row r="1544">
      <c r="D1544" s="17"/>
    </row>
    <row r="1545">
      <c r="D1545" s="17"/>
    </row>
    <row r="1546">
      <c r="D1546" s="17"/>
    </row>
    <row r="1547">
      <c r="D1547" s="17"/>
    </row>
    <row r="1548">
      <c r="D1548" s="17"/>
    </row>
    <row r="1549">
      <c r="D1549" s="17"/>
    </row>
    <row r="1550">
      <c r="D1550" s="17"/>
    </row>
    <row r="1551">
      <c r="D1551" s="17"/>
    </row>
    <row r="1552">
      <c r="D1552" s="17"/>
    </row>
    <row r="1553">
      <c r="D1553" s="17"/>
    </row>
    <row r="1554">
      <c r="D1554" s="17"/>
    </row>
    <row r="1555">
      <c r="D1555" s="17"/>
    </row>
    <row r="1556">
      <c r="D1556" s="17"/>
    </row>
    <row r="1557">
      <c r="D1557" s="17"/>
    </row>
    <row r="1558">
      <c r="D1558" s="17"/>
    </row>
    <row r="1559">
      <c r="D1559" s="17"/>
    </row>
    <row r="1560">
      <c r="D1560" s="17"/>
    </row>
    <row r="1561">
      <c r="D1561" s="17"/>
    </row>
    <row r="1562">
      <c r="D1562" s="17"/>
    </row>
    <row r="1563">
      <c r="D1563" s="17"/>
    </row>
    <row r="1564">
      <c r="D1564" s="17"/>
    </row>
    <row r="1565">
      <c r="D1565" s="17"/>
    </row>
    <row r="1566">
      <c r="D1566" s="17"/>
    </row>
    <row r="1567">
      <c r="D1567" s="17"/>
    </row>
    <row r="1568">
      <c r="D1568" s="17"/>
    </row>
    <row r="1569">
      <c r="D1569" s="17"/>
    </row>
    <row r="1570">
      <c r="D1570" s="17"/>
    </row>
    <row r="1571">
      <c r="D1571" s="17"/>
    </row>
    <row r="1572">
      <c r="D1572" s="17"/>
    </row>
    <row r="1573">
      <c r="D1573" s="17"/>
    </row>
    <row r="1574">
      <c r="D1574" s="17"/>
    </row>
    <row r="1575">
      <c r="D1575" s="17"/>
    </row>
    <row r="1576">
      <c r="D1576" s="17"/>
    </row>
    <row r="1577">
      <c r="D1577" s="17"/>
    </row>
    <row r="1578">
      <c r="D1578" s="17"/>
    </row>
    <row r="1579">
      <c r="D1579" s="17"/>
    </row>
    <row r="1580">
      <c r="D1580" s="17"/>
    </row>
    <row r="1581">
      <c r="D1581" s="17"/>
    </row>
    <row r="1582">
      <c r="D1582" s="17"/>
    </row>
    <row r="1583">
      <c r="D1583" s="17"/>
    </row>
    <row r="1584">
      <c r="D1584" s="17"/>
    </row>
    <row r="1585">
      <c r="D1585" s="17"/>
    </row>
    <row r="1586">
      <c r="D1586" s="17"/>
    </row>
    <row r="1587">
      <c r="D1587" s="17"/>
    </row>
    <row r="1588">
      <c r="D1588" s="17"/>
    </row>
    <row r="1589">
      <c r="D1589" s="17"/>
    </row>
    <row r="1590">
      <c r="D1590" s="17"/>
    </row>
    <row r="1591">
      <c r="D1591" s="17"/>
    </row>
    <row r="1592">
      <c r="D1592" s="17"/>
    </row>
    <row r="1593">
      <c r="D1593" s="17"/>
    </row>
    <row r="1594">
      <c r="D1594" s="17"/>
    </row>
    <row r="1595">
      <c r="D1595" s="17"/>
    </row>
    <row r="1596">
      <c r="D1596" s="17"/>
    </row>
    <row r="1597">
      <c r="D1597" s="17"/>
    </row>
    <row r="1598">
      <c r="D1598" s="17"/>
    </row>
    <row r="1599">
      <c r="D1599" s="17"/>
    </row>
    <row r="1600">
      <c r="D1600" s="17"/>
    </row>
    <row r="1601">
      <c r="D1601" s="17"/>
    </row>
    <row r="1602">
      <c r="D1602" s="17"/>
    </row>
    <row r="1603">
      <c r="D1603" s="17"/>
    </row>
    <row r="1604">
      <c r="D1604" s="17"/>
    </row>
    <row r="1605">
      <c r="D1605" s="17"/>
    </row>
    <row r="1606">
      <c r="D1606" s="17"/>
    </row>
    <row r="1607">
      <c r="D1607" s="17"/>
    </row>
    <row r="1608">
      <c r="D1608" s="17"/>
    </row>
    <row r="1609">
      <c r="D1609" s="17"/>
    </row>
    <row r="1610">
      <c r="D1610" s="17"/>
    </row>
    <row r="1611">
      <c r="D1611" s="17"/>
    </row>
    <row r="1612">
      <c r="D1612" s="17"/>
    </row>
    <row r="1613">
      <c r="D1613" s="17"/>
    </row>
    <row r="1614">
      <c r="D1614" s="17"/>
    </row>
    <row r="1615">
      <c r="D1615" s="17"/>
    </row>
    <row r="1616">
      <c r="D1616" s="17"/>
    </row>
    <row r="1617">
      <c r="D1617" s="17"/>
    </row>
    <row r="1618">
      <c r="D1618" s="17"/>
    </row>
    <row r="1619">
      <c r="D1619" s="17"/>
    </row>
    <row r="1620">
      <c r="D1620" s="17"/>
    </row>
    <row r="1621">
      <c r="D1621" s="17"/>
    </row>
    <row r="1622">
      <c r="D1622" s="17"/>
    </row>
    <row r="1623">
      <c r="D1623" s="17"/>
    </row>
    <row r="1624">
      <c r="D1624" s="17"/>
    </row>
    <row r="1625">
      <c r="D1625" s="17"/>
    </row>
    <row r="1626">
      <c r="D1626" s="17"/>
    </row>
    <row r="1627">
      <c r="D1627" s="17"/>
    </row>
    <row r="1628">
      <c r="D1628" s="17"/>
    </row>
    <row r="1629">
      <c r="D1629" s="17"/>
    </row>
    <row r="1630">
      <c r="D1630" s="17"/>
    </row>
    <row r="1631">
      <c r="D1631" s="17"/>
    </row>
    <row r="1632">
      <c r="D1632" s="17"/>
    </row>
    <row r="1633">
      <c r="D1633" s="17"/>
    </row>
    <row r="1634">
      <c r="D1634" s="17"/>
    </row>
    <row r="1635">
      <c r="D1635" s="17"/>
    </row>
    <row r="1636">
      <c r="D1636" s="17"/>
    </row>
    <row r="1637">
      <c r="D1637" s="17"/>
    </row>
    <row r="1638">
      <c r="D1638" s="17"/>
    </row>
    <row r="1639">
      <c r="D1639" s="17"/>
    </row>
    <row r="1640">
      <c r="D1640" s="17"/>
    </row>
    <row r="1641">
      <c r="D1641" s="17"/>
    </row>
    <row r="1642">
      <c r="D1642" s="17"/>
    </row>
    <row r="1643">
      <c r="D1643" s="17"/>
    </row>
    <row r="1644">
      <c r="D1644" s="17"/>
    </row>
    <row r="1645">
      <c r="D1645" s="17"/>
    </row>
    <row r="1646">
      <c r="D1646" s="17"/>
    </row>
    <row r="1647">
      <c r="D1647" s="17"/>
    </row>
    <row r="1648">
      <c r="D1648" s="17"/>
    </row>
    <row r="1649">
      <c r="D1649" s="17"/>
    </row>
    <row r="1650">
      <c r="D1650" s="17"/>
    </row>
    <row r="1651">
      <c r="D1651" s="17"/>
    </row>
    <row r="1652">
      <c r="D1652" s="17"/>
    </row>
    <row r="1653">
      <c r="D1653" s="17"/>
    </row>
    <row r="1654">
      <c r="D1654" s="17"/>
    </row>
    <row r="1655">
      <c r="D1655" s="17"/>
    </row>
    <row r="1656">
      <c r="D1656" s="17"/>
    </row>
    <row r="1657">
      <c r="D1657" s="17"/>
    </row>
    <row r="1658">
      <c r="D1658" s="17"/>
    </row>
    <row r="1659">
      <c r="D1659" s="17"/>
    </row>
    <row r="1660">
      <c r="D1660" s="17"/>
    </row>
    <row r="1661">
      <c r="D1661" s="17"/>
    </row>
    <row r="1662">
      <c r="D1662" s="17"/>
    </row>
    <row r="1663">
      <c r="D1663" s="17"/>
    </row>
    <row r="1664">
      <c r="D1664" s="17"/>
    </row>
    <row r="1665">
      <c r="D1665" s="17"/>
    </row>
    <row r="1666">
      <c r="D1666" s="17"/>
    </row>
    <row r="1667">
      <c r="D1667" s="17"/>
    </row>
    <row r="1668">
      <c r="D1668" s="17"/>
    </row>
    <row r="1669">
      <c r="D1669" s="17"/>
    </row>
    <row r="1670">
      <c r="D1670" s="17"/>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s>
  <drawing r:id="rId83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2521</v>
      </c>
    </row>
    <row r="2">
      <c r="A2" s="1" t="s">
        <v>2522</v>
      </c>
    </row>
    <row r="3">
      <c r="A3" s="1" t="s">
        <v>2523</v>
      </c>
    </row>
    <row r="4">
      <c r="A4" s="1" t="s">
        <v>2524</v>
      </c>
    </row>
    <row r="5">
      <c r="A5" s="1" t="s">
        <v>2521</v>
      </c>
    </row>
    <row r="6">
      <c r="A6" s="1" t="s">
        <v>2525</v>
      </c>
    </row>
    <row r="7">
      <c r="A7" s="1" t="s">
        <v>2526</v>
      </c>
    </row>
    <row r="8">
      <c r="A8" s="1" t="s">
        <v>3061</v>
      </c>
    </row>
    <row r="9">
      <c r="A9" s="1" t="s">
        <v>3062</v>
      </c>
    </row>
    <row r="10">
      <c r="A10" s="1" t="s">
        <v>2529</v>
      </c>
      <c r="B10" s="1" t="s">
        <v>2530</v>
      </c>
      <c r="C10" s="1" t="s">
        <v>2531</v>
      </c>
      <c r="D10" s="1" t="s">
        <v>2532</v>
      </c>
      <c r="E10" s="1" t="s">
        <v>2533</v>
      </c>
      <c r="F10" s="1" t="s">
        <v>2534</v>
      </c>
      <c r="G10" s="1" t="s">
        <v>2535</v>
      </c>
      <c r="H10" s="1" t="s">
        <v>2536</v>
      </c>
    </row>
    <row r="11">
      <c r="A11" s="1" t="s">
        <v>3063</v>
      </c>
      <c r="B11" s="1">
        <v>17758.0</v>
      </c>
      <c r="C11" s="1">
        <v>16494.0</v>
      </c>
      <c r="D11" s="1">
        <v>16452.0</v>
      </c>
      <c r="E11" s="1">
        <v>1.6744002703007</v>
      </c>
      <c r="F11" s="1">
        <v>75.0</v>
      </c>
      <c r="G11" s="1">
        <v>0.0</v>
      </c>
      <c r="H11" s="1">
        <v>0.00388557269962833</v>
      </c>
    </row>
    <row r="12">
      <c r="A12" s="1" t="s">
        <v>2537</v>
      </c>
      <c r="B12" s="1">
        <v>15089.0</v>
      </c>
      <c r="C12" s="1">
        <v>9799.0</v>
      </c>
      <c r="D12" s="1">
        <v>9702.0</v>
      </c>
      <c r="E12" s="1">
        <v>9.61998807078003</v>
      </c>
      <c r="F12" s="1">
        <v>882.0</v>
      </c>
      <c r="G12" s="1">
        <v>0.0</v>
      </c>
      <c r="H12" s="1">
        <v>0.0181589237192656</v>
      </c>
    </row>
    <row r="13">
      <c r="A13" s="1" t="s">
        <v>2581</v>
      </c>
      <c r="B13" s="1">
        <v>2323.0</v>
      </c>
      <c r="C13" s="1">
        <v>1964.0</v>
      </c>
      <c r="D13" s="1">
        <v>1955.0</v>
      </c>
      <c r="E13" s="1">
        <v>2.79552303056392</v>
      </c>
      <c r="F13" s="1">
        <v>6.0</v>
      </c>
      <c r="G13" s="1">
        <v>0.0</v>
      </c>
      <c r="H13" s="1">
        <v>0.0012914334911752</v>
      </c>
    </row>
    <row r="14">
      <c r="A14" s="1" t="s">
        <v>448</v>
      </c>
      <c r="B14" s="1">
        <v>2218.0</v>
      </c>
      <c r="C14" s="1">
        <v>2210.0</v>
      </c>
      <c r="D14" s="1">
        <v>2202.0</v>
      </c>
      <c r="E14" s="1">
        <v>32.1943192064923</v>
      </c>
      <c r="F14" s="1">
        <v>66.0</v>
      </c>
      <c r="G14" s="1">
        <v>0.0</v>
      </c>
      <c r="H14" s="1">
        <v>0.0135256988277727</v>
      </c>
    </row>
    <row r="15">
      <c r="A15" s="1" t="s">
        <v>2788</v>
      </c>
      <c r="B15" s="1">
        <v>1655.0</v>
      </c>
      <c r="C15" s="1">
        <v>1543.0</v>
      </c>
      <c r="D15" s="1">
        <v>1529.0</v>
      </c>
      <c r="E15" s="1">
        <v>18.3383685800604</v>
      </c>
      <c r="F15" s="1">
        <v>318.0</v>
      </c>
      <c r="G15" s="1">
        <v>0.0</v>
      </c>
      <c r="H15" s="1">
        <v>0.0386706948640483</v>
      </c>
    </row>
    <row r="16">
      <c r="A16" s="1" t="s">
        <v>2553</v>
      </c>
      <c r="B16" s="1">
        <v>1347.0</v>
      </c>
      <c r="C16" s="1">
        <v>1238.0</v>
      </c>
      <c r="D16" s="1">
        <v>1234.0</v>
      </c>
      <c r="E16" s="1">
        <v>64.0423162583518</v>
      </c>
      <c r="F16" s="1">
        <v>126.0</v>
      </c>
      <c r="G16" s="1">
        <v>0.0</v>
      </c>
      <c r="H16" s="1">
        <v>0.0371195248700816</v>
      </c>
    </row>
    <row r="17">
      <c r="A17" s="1" t="s">
        <v>3064</v>
      </c>
      <c r="B17" s="1">
        <v>907.0</v>
      </c>
      <c r="C17" s="1">
        <v>2531.0</v>
      </c>
      <c r="D17" s="1">
        <v>1.0</v>
      </c>
      <c r="E17" s="1">
        <v>430.261300992282</v>
      </c>
      <c r="F17" s="1">
        <v>1275.0</v>
      </c>
      <c r="G17" s="1">
        <v>0.0</v>
      </c>
      <c r="H17" s="1">
        <v>0.022050716648291</v>
      </c>
    </row>
    <row r="18">
      <c r="A18" s="1" t="s">
        <v>2539</v>
      </c>
      <c r="B18" s="1">
        <v>828.0</v>
      </c>
      <c r="C18" s="1">
        <v>740.0</v>
      </c>
      <c r="D18" s="1">
        <v>738.0</v>
      </c>
      <c r="E18" s="1">
        <v>86.4227053140096</v>
      </c>
      <c r="F18" s="1">
        <v>68.0</v>
      </c>
      <c r="G18" s="1">
        <v>0.0</v>
      </c>
      <c r="H18" s="1">
        <v>0.0326086956521739</v>
      </c>
    </row>
    <row r="19">
      <c r="A19" s="1" t="s">
        <v>2544</v>
      </c>
      <c r="B19" s="1">
        <v>578.0</v>
      </c>
      <c r="C19" s="1">
        <v>498.0</v>
      </c>
      <c r="D19" s="1">
        <v>483.0</v>
      </c>
      <c r="E19" s="1">
        <v>8.45328719723183</v>
      </c>
      <c r="F19" s="1">
        <v>75.0</v>
      </c>
      <c r="G19" s="1">
        <v>0.0</v>
      </c>
      <c r="H19" s="1">
        <v>0.0397923875432525</v>
      </c>
    </row>
    <row r="20">
      <c r="A20" s="1" t="s">
        <v>2540</v>
      </c>
      <c r="B20" s="1">
        <v>505.0</v>
      </c>
      <c r="C20" s="1">
        <v>477.0</v>
      </c>
      <c r="D20" s="1">
        <v>455.0</v>
      </c>
      <c r="E20" s="1">
        <v>13.419801980198</v>
      </c>
      <c r="F20" s="1">
        <v>76.0</v>
      </c>
      <c r="G20" s="1">
        <v>0.0</v>
      </c>
      <c r="H20" s="1">
        <v>0.0673267326732673</v>
      </c>
    </row>
    <row r="21">
      <c r="A21" s="1" t="s">
        <v>3065</v>
      </c>
      <c r="B21" s="1">
        <v>482.0</v>
      </c>
      <c r="C21" s="1">
        <v>430.0</v>
      </c>
      <c r="D21" s="1">
        <v>418.0</v>
      </c>
      <c r="E21" s="1">
        <v>4.53526970954356</v>
      </c>
      <c r="F21" s="1">
        <v>27.0</v>
      </c>
      <c r="G21" s="1">
        <v>0.0</v>
      </c>
      <c r="H21" s="1">
        <v>0.0248962655601659</v>
      </c>
    </row>
    <row r="22">
      <c r="A22" s="1" t="s">
        <v>2538</v>
      </c>
      <c r="B22" s="1">
        <v>449.0</v>
      </c>
      <c r="C22" s="1">
        <v>395.0</v>
      </c>
      <c r="D22" s="1">
        <v>386.0</v>
      </c>
      <c r="E22" s="1">
        <v>21.3964365256124</v>
      </c>
      <c r="F22" s="1">
        <v>148.0</v>
      </c>
      <c r="G22" s="1">
        <v>0.0</v>
      </c>
      <c r="H22" s="1">
        <v>0.0489977728285077</v>
      </c>
    </row>
    <row r="23">
      <c r="A23" s="1" t="s">
        <v>2725</v>
      </c>
      <c r="B23" s="1">
        <v>421.0</v>
      </c>
      <c r="C23" s="1">
        <v>397.0</v>
      </c>
      <c r="D23" s="1">
        <v>394.0</v>
      </c>
      <c r="E23" s="1">
        <v>35.2422802850356</v>
      </c>
      <c r="F23" s="1">
        <v>947.0</v>
      </c>
      <c r="G23" s="1">
        <v>0.0</v>
      </c>
      <c r="H23" s="1">
        <v>0.36104513064133</v>
      </c>
    </row>
    <row r="24">
      <c r="A24" s="1" t="s">
        <v>2616</v>
      </c>
      <c r="B24" s="1">
        <v>243.0</v>
      </c>
      <c r="C24" s="1">
        <v>220.0</v>
      </c>
      <c r="D24" s="1">
        <v>214.0</v>
      </c>
      <c r="E24" s="1">
        <v>27.395061728395</v>
      </c>
      <c r="F24" s="1">
        <v>133.0</v>
      </c>
      <c r="G24" s="1">
        <v>0.0</v>
      </c>
      <c r="H24" s="1">
        <v>0.111111111111111</v>
      </c>
    </row>
    <row r="25">
      <c r="A25" s="1" t="s">
        <v>2547</v>
      </c>
      <c r="B25" s="1">
        <v>237.0</v>
      </c>
      <c r="C25" s="1">
        <v>208.0</v>
      </c>
      <c r="D25" s="1">
        <v>208.0</v>
      </c>
      <c r="E25" s="1">
        <v>27.6582278481012</v>
      </c>
      <c r="F25" s="1">
        <v>7.0</v>
      </c>
      <c r="G25" s="1">
        <v>0.0</v>
      </c>
      <c r="H25" s="1">
        <v>0.0210970464135021</v>
      </c>
    </row>
    <row r="26">
      <c r="A26" s="1" t="s">
        <v>2555</v>
      </c>
      <c r="B26" s="1">
        <v>234.0</v>
      </c>
      <c r="C26" s="1">
        <v>211.0</v>
      </c>
      <c r="D26" s="1">
        <v>211.0</v>
      </c>
      <c r="E26" s="1">
        <v>86.0128205128205</v>
      </c>
      <c r="F26" s="1">
        <v>82.0</v>
      </c>
      <c r="G26" s="1">
        <v>0.0</v>
      </c>
      <c r="H26" s="1">
        <v>0.145299145299145</v>
      </c>
    </row>
    <row r="27">
      <c r="A27" s="1" t="s">
        <v>2542</v>
      </c>
      <c r="B27" s="1">
        <v>231.0</v>
      </c>
      <c r="C27" s="1">
        <v>201.0</v>
      </c>
      <c r="D27" s="1">
        <v>199.0</v>
      </c>
      <c r="E27" s="1">
        <v>65.2380952380952</v>
      </c>
      <c r="F27" s="1">
        <v>12.0</v>
      </c>
      <c r="G27" s="1">
        <v>0.0</v>
      </c>
      <c r="H27" s="1">
        <v>0.00865800865800865</v>
      </c>
    </row>
    <row r="28">
      <c r="A28" s="1" t="s">
        <v>2570</v>
      </c>
      <c r="B28" s="1">
        <v>225.0</v>
      </c>
      <c r="C28" s="1">
        <v>158.0</v>
      </c>
      <c r="D28" s="1">
        <v>158.0</v>
      </c>
      <c r="E28" s="1">
        <v>25.1377777777777</v>
      </c>
      <c r="F28" s="1">
        <v>15.0</v>
      </c>
      <c r="G28" s="1">
        <v>0.0</v>
      </c>
      <c r="H28" s="1">
        <v>0.0266666666666666</v>
      </c>
    </row>
    <row r="29">
      <c r="A29" s="1" t="s">
        <v>2560</v>
      </c>
      <c r="B29" s="1">
        <v>208.0</v>
      </c>
      <c r="C29" s="1">
        <v>195.0</v>
      </c>
      <c r="D29" s="1">
        <v>195.0</v>
      </c>
      <c r="E29" s="1">
        <v>53.3413461538461</v>
      </c>
      <c r="F29" s="1">
        <v>10.0</v>
      </c>
      <c r="G29" s="1">
        <v>0.0</v>
      </c>
      <c r="H29" s="1">
        <v>0.0240384615384615</v>
      </c>
    </row>
    <row r="30">
      <c r="A30" s="1" t="s">
        <v>2728</v>
      </c>
      <c r="B30" s="1">
        <v>206.0</v>
      </c>
      <c r="C30" s="1">
        <v>146.0</v>
      </c>
      <c r="D30" s="1">
        <v>142.0</v>
      </c>
      <c r="E30" s="1">
        <v>11.2718446601941</v>
      </c>
      <c r="F30" s="1">
        <v>163.0</v>
      </c>
      <c r="G30" s="1">
        <v>0.0</v>
      </c>
      <c r="H30" s="1">
        <v>0.266990291262135</v>
      </c>
    </row>
    <row r="31">
      <c r="A31" s="1" t="s">
        <v>2597</v>
      </c>
      <c r="B31" s="1">
        <v>187.0</v>
      </c>
      <c r="C31" s="1">
        <v>160.0</v>
      </c>
      <c r="D31" s="1">
        <v>155.0</v>
      </c>
      <c r="E31" s="1">
        <v>18.7914438502673</v>
      </c>
      <c r="F31" s="1">
        <v>43.0</v>
      </c>
      <c r="G31" s="1">
        <v>0.0</v>
      </c>
      <c r="H31" s="1">
        <v>0.112299465240641</v>
      </c>
    </row>
    <row r="32">
      <c r="A32" s="1" t="s">
        <v>2566</v>
      </c>
      <c r="B32" s="1">
        <v>156.0</v>
      </c>
      <c r="C32" s="1">
        <v>137.0</v>
      </c>
      <c r="D32" s="1">
        <v>136.0</v>
      </c>
      <c r="E32" s="1">
        <v>77.6730769230769</v>
      </c>
      <c r="F32" s="1">
        <v>6.0</v>
      </c>
      <c r="G32" s="1">
        <v>0.0</v>
      </c>
      <c r="H32" s="1">
        <v>0.0256410256410256</v>
      </c>
    </row>
    <row r="33">
      <c r="A33" s="1" t="s">
        <v>2595</v>
      </c>
      <c r="B33" s="1">
        <v>132.0</v>
      </c>
      <c r="C33" s="1">
        <v>109.0</v>
      </c>
      <c r="D33" s="1">
        <v>98.0</v>
      </c>
      <c r="E33" s="1">
        <v>40.6893939393939</v>
      </c>
      <c r="F33" s="1">
        <v>24.0</v>
      </c>
      <c r="G33" s="1">
        <v>0.0</v>
      </c>
      <c r="H33" s="1">
        <v>0.0606060606060606</v>
      </c>
    </row>
    <row r="34">
      <c r="A34" s="1" t="s">
        <v>2551</v>
      </c>
      <c r="B34" s="1">
        <v>127.0</v>
      </c>
      <c r="C34" s="1">
        <v>114.0</v>
      </c>
      <c r="D34" s="1">
        <v>114.0</v>
      </c>
      <c r="E34" s="1">
        <v>41.2992125984252</v>
      </c>
      <c r="F34" s="1">
        <v>9.0</v>
      </c>
      <c r="G34" s="1">
        <v>0.0</v>
      </c>
      <c r="H34" s="1">
        <v>0.0157480314960629</v>
      </c>
    </row>
    <row r="35">
      <c r="A35" s="1" t="s">
        <v>440</v>
      </c>
      <c r="B35" s="1">
        <v>124.0</v>
      </c>
      <c r="C35" s="1">
        <v>98.0</v>
      </c>
      <c r="D35" s="1">
        <v>73.0</v>
      </c>
      <c r="E35" s="1">
        <v>34.7983870967741</v>
      </c>
      <c r="F35" s="1">
        <v>25.0</v>
      </c>
      <c r="G35" s="1">
        <v>0.0</v>
      </c>
      <c r="H35" s="1">
        <v>0.064516129032258</v>
      </c>
    </row>
    <row r="36">
      <c r="A36" s="1" t="s">
        <v>2639</v>
      </c>
      <c r="B36" s="1">
        <v>117.0</v>
      </c>
      <c r="C36" s="1">
        <v>111.0</v>
      </c>
      <c r="D36" s="1">
        <v>108.0</v>
      </c>
      <c r="E36" s="1">
        <v>68.1794871794871</v>
      </c>
      <c r="F36" s="1">
        <v>127.0</v>
      </c>
      <c r="G36" s="1">
        <v>0.0</v>
      </c>
      <c r="H36" s="1">
        <v>0.17094017094017</v>
      </c>
    </row>
    <row r="37">
      <c r="A37" s="1" t="s">
        <v>2654</v>
      </c>
      <c r="B37" s="1">
        <v>109.0</v>
      </c>
      <c r="C37" s="1">
        <v>104.0</v>
      </c>
      <c r="D37" s="1">
        <v>103.0</v>
      </c>
      <c r="E37" s="1">
        <v>27.6330275229357</v>
      </c>
      <c r="F37" s="1">
        <v>11.0</v>
      </c>
      <c r="G37" s="1">
        <v>0.0</v>
      </c>
      <c r="H37" s="1">
        <v>0.036697247706422</v>
      </c>
    </row>
    <row r="38">
      <c r="A38" s="1" t="s">
        <v>2546</v>
      </c>
      <c r="B38" s="1">
        <v>108.0</v>
      </c>
      <c r="C38" s="1">
        <v>72.0</v>
      </c>
      <c r="D38" s="1">
        <v>65.0</v>
      </c>
      <c r="E38" s="1">
        <v>60.3888888888888</v>
      </c>
      <c r="F38" s="1">
        <v>38.0</v>
      </c>
      <c r="G38" s="1">
        <v>0.0</v>
      </c>
      <c r="H38" s="1">
        <v>0.0925925925925925</v>
      </c>
    </row>
    <row r="39">
      <c r="A39" s="1" t="s">
        <v>2548</v>
      </c>
      <c r="B39" s="1">
        <v>107.0</v>
      </c>
      <c r="C39" s="1">
        <v>96.0</v>
      </c>
      <c r="D39" s="1">
        <v>90.0</v>
      </c>
      <c r="E39" s="1">
        <v>60.03738317757</v>
      </c>
      <c r="F39" s="1">
        <v>51.0</v>
      </c>
      <c r="G39" s="1">
        <v>0.0</v>
      </c>
      <c r="H39" s="1">
        <v>0.102803738317757</v>
      </c>
    </row>
    <row r="40">
      <c r="A40" s="1" t="s">
        <v>2571</v>
      </c>
      <c r="B40" s="1">
        <v>93.0</v>
      </c>
      <c r="C40" s="1">
        <v>85.0</v>
      </c>
      <c r="D40" s="1">
        <v>85.0</v>
      </c>
      <c r="E40" s="1">
        <v>57.6236559139784</v>
      </c>
      <c r="F40" s="1">
        <v>5.0</v>
      </c>
      <c r="G40" s="1">
        <v>0.0</v>
      </c>
      <c r="H40" s="1">
        <v>0.032258064516129</v>
      </c>
    </row>
    <row r="41">
      <c r="A41" s="1" t="s">
        <v>2567</v>
      </c>
      <c r="B41" s="1">
        <v>89.0</v>
      </c>
      <c r="C41" s="1">
        <v>81.0</v>
      </c>
      <c r="D41" s="1">
        <v>72.0</v>
      </c>
      <c r="E41" s="1">
        <v>49.3707865168539</v>
      </c>
      <c r="F41" s="1">
        <v>13.0</v>
      </c>
      <c r="G41" s="1">
        <v>0.0</v>
      </c>
      <c r="H41" s="1">
        <v>0.0898876404494382</v>
      </c>
    </row>
    <row r="42">
      <c r="A42" s="1" t="s">
        <v>2585</v>
      </c>
      <c r="B42" s="1">
        <v>84.0</v>
      </c>
      <c r="C42" s="1">
        <v>79.0</v>
      </c>
      <c r="D42" s="1">
        <v>79.0</v>
      </c>
      <c r="E42" s="1">
        <v>34.7857142857142</v>
      </c>
      <c r="F42" s="1">
        <v>7.0</v>
      </c>
      <c r="G42" s="1">
        <v>0.0</v>
      </c>
      <c r="H42" s="1">
        <v>0.0357142857142857</v>
      </c>
    </row>
    <row r="43">
      <c r="A43" s="1" t="s">
        <v>2568</v>
      </c>
      <c r="B43" s="1">
        <v>80.0</v>
      </c>
      <c r="C43" s="1">
        <v>66.0</v>
      </c>
      <c r="D43" s="1">
        <v>66.0</v>
      </c>
      <c r="E43" s="1">
        <v>58.175</v>
      </c>
      <c r="F43" s="1">
        <v>2.0</v>
      </c>
      <c r="G43" s="1">
        <v>0.0</v>
      </c>
      <c r="H43" s="1">
        <v>0.0125</v>
      </c>
    </row>
    <row r="44">
      <c r="A44" s="1" t="s">
        <v>2632</v>
      </c>
      <c r="B44" s="1">
        <v>77.0</v>
      </c>
      <c r="C44" s="1">
        <v>73.0</v>
      </c>
      <c r="D44" s="1">
        <v>73.0</v>
      </c>
      <c r="E44" s="1">
        <v>47.8831168831168</v>
      </c>
      <c r="F44" s="1">
        <v>5.0</v>
      </c>
      <c r="G44" s="1">
        <v>0.0</v>
      </c>
      <c r="H44" s="1">
        <v>0.0389610389610389</v>
      </c>
    </row>
    <row r="45">
      <c r="A45" s="1" t="s">
        <v>2603</v>
      </c>
      <c r="B45" s="1">
        <v>77.0</v>
      </c>
      <c r="C45" s="1">
        <v>67.0</v>
      </c>
      <c r="D45" s="1">
        <v>67.0</v>
      </c>
      <c r="E45" s="1">
        <v>58.2727272727272</v>
      </c>
      <c r="F45" s="1">
        <v>3.0</v>
      </c>
      <c r="G45" s="1">
        <v>0.0</v>
      </c>
      <c r="H45" s="1">
        <v>0.0259740259740259</v>
      </c>
    </row>
    <row r="46">
      <c r="A46" s="1" t="s">
        <v>2780</v>
      </c>
      <c r="B46" s="1">
        <v>76.0</v>
      </c>
      <c r="C46" s="1">
        <v>62.0</v>
      </c>
      <c r="D46" s="1">
        <v>53.0</v>
      </c>
      <c r="E46" s="1">
        <v>45.5526315789473</v>
      </c>
      <c r="F46" s="1">
        <v>13.0</v>
      </c>
      <c r="G46" s="1">
        <v>0.0</v>
      </c>
      <c r="H46" s="1">
        <v>0.105263157894736</v>
      </c>
    </row>
    <row r="47">
      <c r="A47" s="1" t="s">
        <v>2562</v>
      </c>
      <c r="B47" s="1">
        <v>73.0</v>
      </c>
      <c r="C47" s="1">
        <v>71.0</v>
      </c>
      <c r="D47" s="1">
        <v>69.0</v>
      </c>
      <c r="E47" s="1">
        <v>22.8767123287671</v>
      </c>
      <c r="F47" s="1">
        <v>28.0</v>
      </c>
      <c r="G47" s="1">
        <v>0.0</v>
      </c>
      <c r="H47" s="1">
        <v>0.10958904109589</v>
      </c>
    </row>
    <row r="48">
      <c r="A48" s="1" t="s">
        <v>2556</v>
      </c>
      <c r="B48" s="1">
        <v>66.0</v>
      </c>
      <c r="C48" s="1">
        <v>44.0</v>
      </c>
      <c r="D48" s="1">
        <v>35.0</v>
      </c>
      <c r="E48" s="1">
        <v>40.8787878787878</v>
      </c>
      <c r="F48" s="1">
        <v>16.0</v>
      </c>
      <c r="G48" s="1">
        <v>0.0</v>
      </c>
      <c r="H48" s="1">
        <v>0.121212121212121</v>
      </c>
    </row>
    <row r="49">
      <c r="A49" s="1" t="s">
        <v>2554</v>
      </c>
      <c r="B49" s="1">
        <v>64.0</v>
      </c>
      <c r="C49" s="1">
        <v>57.0</v>
      </c>
      <c r="D49" s="1">
        <v>53.0</v>
      </c>
      <c r="E49" s="1">
        <v>32.234375</v>
      </c>
      <c r="F49" s="1">
        <v>10.0</v>
      </c>
      <c r="G49" s="1">
        <v>0.0</v>
      </c>
      <c r="H49" s="1">
        <v>0.078125</v>
      </c>
    </row>
    <row r="50">
      <c r="A50" s="1" t="s">
        <v>2577</v>
      </c>
      <c r="B50" s="1">
        <v>63.0</v>
      </c>
      <c r="C50" s="1">
        <v>59.0</v>
      </c>
      <c r="D50" s="1">
        <v>59.0</v>
      </c>
      <c r="E50" s="1">
        <v>79.9682539682539</v>
      </c>
      <c r="F50" s="1">
        <v>17.0</v>
      </c>
      <c r="G50" s="1">
        <v>0.0</v>
      </c>
      <c r="H50" s="1">
        <v>0.142857142857142</v>
      </c>
    </row>
    <row r="51">
      <c r="A51" s="1" t="s">
        <v>2559</v>
      </c>
      <c r="B51" s="1">
        <v>62.0</v>
      </c>
      <c r="C51" s="1">
        <v>55.0</v>
      </c>
      <c r="D51" s="1">
        <v>49.0</v>
      </c>
      <c r="E51" s="1">
        <v>53.8064516129032</v>
      </c>
      <c r="F51" s="1">
        <v>24.0</v>
      </c>
      <c r="G51" s="1">
        <v>0.0</v>
      </c>
      <c r="H51" s="1">
        <v>0.0806451612903225</v>
      </c>
    </row>
    <row r="52">
      <c r="A52" s="1" t="s">
        <v>2671</v>
      </c>
      <c r="B52" s="1">
        <v>54.0</v>
      </c>
      <c r="C52" s="1">
        <v>53.0</v>
      </c>
      <c r="D52" s="1">
        <v>50.0</v>
      </c>
      <c r="E52" s="1">
        <v>27.9259259259259</v>
      </c>
      <c r="F52" s="1">
        <v>19.0</v>
      </c>
      <c r="G52" s="1">
        <v>0.0</v>
      </c>
      <c r="H52" s="1">
        <v>0.0925925925925925</v>
      </c>
    </row>
    <row r="53">
      <c r="A53" s="1" t="s">
        <v>2771</v>
      </c>
      <c r="B53" s="1">
        <v>53.0</v>
      </c>
      <c r="C53" s="1">
        <v>51.0</v>
      </c>
      <c r="D53" s="1">
        <v>51.0</v>
      </c>
      <c r="E53" s="1">
        <v>55.4528301886792</v>
      </c>
      <c r="F53" s="1">
        <v>64.0</v>
      </c>
      <c r="G53" s="1">
        <v>0.0</v>
      </c>
      <c r="H53" s="1">
        <v>0.150943396226415</v>
      </c>
    </row>
    <row r="54">
      <c r="A54" s="1" t="s">
        <v>2583</v>
      </c>
      <c r="B54" s="1">
        <v>51.0</v>
      </c>
      <c r="C54" s="1">
        <v>47.0</v>
      </c>
      <c r="D54" s="1">
        <v>43.0</v>
      </c>
      <c r="E54" s="1">
        <v>42.2745098039215</v>
      </c>
      <c r="F54" s="1">
        <v>16.0</v>
      </c>
      <c r="G54" s="1">
        <v>0.0</v>
      </c>
      <c r="H54" s="1">
        <v>0.0980392156862745</v>
      </c>
    </row>
    <row r="55">
      <c r="A55" s="1" t="s">
        <v>2578</v>
      </c>
      <c r="B55" s="1">
        <v>49.0</v>
      </c>
      <c r="C55" s="1">
        <v>43.0</v>
      </c>
      <c r="D55" s="1">
        <v>43.0</v>
      </c>
      <c r="E55" s="1">
        <v>77.7755102040816</v>
      </c>
      <c r="F55" s="1">
        <v>12.0</v>
      </c>
      <c r="G55" s="1">
        <v>0.0</v>
      </c>
      <c r="H55" s="1">
        <v>0.0204081632653061</v>
      </c>
    </row>
    <row r="56">
      <c r="A56" s="1" t="s">
        <v>2576</v>
      </c>
      <c r="B56" s="1">
        <v>48.0</v>
      </c>
      <c r="C56" s="1">
        <v>45.0</v>
      </c>
      <c r="D56" s="1">
        <v>45.0</v>
      </c>
      <c r="E56" s="1">
        <v>64.4583333333333</v>
      </c>
      <c r="F56" s="1">
        <v>10.0</v>
      </c>
      <c r="G56" s="1">
        <v>0.0</v>
      </c>
      <c r="H56" s="1">
        <v>0.0833333333333333</v>
      </c>
    </row>
    <row r="57">
      <c r="A57" s="1" t="s">
        <v>2626</v>
      </c>
      <c r="B57" s="1">
        <v>47.0</v>
      </c>
      <c r="C57" s="1">
        <v>40.0</v>
      </c>
      <c r="D57" s="1">
        <v>40.0</v>
      </c>
      <c r="E57" s="1">
        <v>58.0</v>
      </c>
      <c r="F57" s="1">
        <v>15.0</v>
      </c>
      <c r="G57" s="1">
        <v>0.0</v>
      </c>
      <c r="H57" s="1">
        <v>0.0638297872340425</v>
      </c>
    </row>
    <row r="58">
      <c r="A58" s="1" t="s">
        <v>2593</v>
      </c>
      <c r="B58" s="1">
        <v>45.0</v>
      </c>
      <c r="C58" s="1">
        <v>39.0</v>
      </c>
      <c r="D58" s="1">
        <v>38.0</v>
      </c>
      <c r="E58" s="1">
        <v>58.8222222222222</v>
      </c>
      <c r="F58" s="1">
        <v>17.0</v>
      </c>
      <c r="G58" s="1">
        <v>0.0</v>
      </c>
      <c r="H58" s="1">
        <v>0.0666666666666666</v>
      </c>
    </row>
    <row r="59">
      <c r="A59" s="1" t="s">
        <v>2605</v>
      </c>
      <c r="B59" s="1">
        <v>45.0</v>
      </c>
      <c r="C59" s="1">
        <v>35.0</v>
      </c>
      <c r="D59" s="1">
        <v>28.0</v>
      </c>
      <c r="E59" s="1">
        <v>38.2444444444444</v>
      </c>
      <c r="F59" s="1">
        <v>7.0</v>
      </c>
      <c r="G59" s="1">
        <v>0.0</v>
      </c>
      <c r="H59" s="1">
        <v>0.0888888888888888</v>
      </c>
    </row>
    <row r="60">
      <c r="A60" s="1" t="s">
        <v>2690</v>
      </c>
      <c r="B60" s="1">
        <v>44.0</v>
      </c>
      <c r="C60" s="1">
        <v>40.0</v>
      </c>
      <c r="D60" s="1">
        <v>39.0</v>
      </c>
      <c r="E60" s="1">
        <v>73.9772727272727</v>
      </c>
      <c r="F60" s="1">
        <v>11.0</v>
      </c>
      <c r="G60" s="1">
        <v>0.0</v>
      </c>
      <c r="H60" s="1">
        <v>0.0909090909090909</v>
      </c>
    </row>
    <row r="61">
      <c r="A61" s="1" t="s">
        <v>2557</v>
      </c>
      <c r="B61" s="1">
        <v>43.0</v>
      </c>
      <c r="C61" s="1">
        <v>40.0</v>
      </c>
      <c r="D61" s="1">
        <v>38.0</v>
      </c>
      <c r="E61" s="1">
        <v>21.9767441860465</v>
      </c>
      <c r="F61" s="1">
        <v>2.0</v>
      </c>
      <c r="G61" s="1">
        <v>0.0</v>
      </c>
      <c r="H61" s="1">
        <v>0.0465116279069767</v>
      </c>
    </row>
    <row r="62">
      <c r="A62" s="1" t="s">
        <v>2604</v>
      </c>
      <c r="B62" s="1">
        <v>42.0</v>
      </c>
      <c r="C62" s="1">
        <v>41.0</v>
      </c>
      <c r="D62" s="1">
        <v>41.0</v>
      </c>
      <c r="E62" s="1">
        <v>29.4523809523809</v>
      </c>
      <c r="F62" s="1">
        <v>10.0</v>
      </c>
      <c r="G62" s="1">
        <v>0.0</v>
      </c>
      <c r="H62" s="1">
        <v>0.0952380952380952</v>
      </c>
    </row>
    <row r="63">
      <c r="A63" s="1" t="s">
        <v>2563</v>
      </c>
      <c r="B63" s="1">
        <v>41.0</v>
      </c>
      <c r="C63" s="1">
        <v>41.0</v>
      </c>
      <c r="D63" s="1">
        <v>40.0</v>
      </c>
      <c r="E63" s="1">
        <v>4.56097560975609</v>
      </c>
      <c r="F63" s="1">
        <v>0.0</v>
      </c>
      <c r="G63" s="1">
        <v>0.0</v>
      </c>
      <c r="H63" s="1">
        <v>0.0</v>
      </c>
    </row>
    <row r="64">
      <c r="A64" s="1" t="s">
        <v>2572</v>
      </c>
      <c r="B64" s="1">
        <v>38.0</v>
      </c>
      <c r="C64" s="1">
        <v>37.0</v>
      </c>
      <c r="D64" s="1">
        <v>38.0</v>
      </c>
      <c r="E64" s="1">
        <v>43.7105263157894</v>
      </c>
      <c r="F64" s="1">
        <v>2.0</v>
      </c>
      <c r="G64" s="1">
        <v>0.0</v>
      </c>
      <c r="H64" s="1">
        <v>0.0263157894736842</v>
      </c>
    </row>
    <row r="65">
      <c r="A65" s="1" t="s">
        <v>2558</v>
      </c>
      <c r="B65" s="1">
        <v>38.0</v>
      </c>
      <c r="C65" s="1">
        <v>36.0</v>
      </c>
      <c r="D65" s="1">
        <v>32.0</v>
      </c>
      <c r="E65" s="1">
        <v>52.5526315789473</v>
      </c>
      <c r="F65" s="1">
        <v>4.0</v>
      </c>
      <c r="G65" s="1">
        <v>0.0</v>
      </c>
      <c r="H65" s="1">
        <v>0.0789473684210526</v>
      </c>
    </row>
    <row r="66">
      <c r="A66" s="1" t="s">
        <v>2659</v>
      </c>
      <c r="B66" s="1">
        <v>37.0</v>
      </c>
      <c r="C66" s="1">
        <v>33.0</v>
      </c>
      <c r="D66" s="1">
        <v>31.0</v>
      </c>
      <c r="E66" s="1">
        <v>64.8648648648648</v>
      </c>
      <c r="F66" s="1">
        <v>14.0</v>
      </c>
      <c r="G66" s="1">
        <v>0.0</v>
      </c>
      <c r="H66" s="1">
        <v>0.108108108108108</v>
      </c>
    </row>
    <row r="67">
      <c r="A67" s="1" t="s">
        <v>2580</v>
      </c>
      <c r="B67" s="1">
        <v>36.0</v>
      </c>
      <c r="C67" s="1">
        <v>36.0</v>
      </c>
      <c r="D67" s="1">
        <v>36.0</v>
      </c>
      <c r="E67" s="1">
        <v>0.0</v>
      </c>
      <c r="F67" s="1">
        <v>0.0</v>
      </c>
      <c r="G67" s="1">
        <v>0.0</v>
      </c>
      <c r="H67" s="1">
        <v>0.0</v>
      </c>
    </row>
    <row r="68">
      <c r="A68" s="1" t="s">
        <v>2596</v>
      </c>
      <c r="B68" s="1">
        <v>35.0</v>
      </c>
      <c r="C68" s="1">
        <v>35.0</v>
      </c>
      <c r="D68" s="1">
        <v>35.0</v>
      </c>
      <c r="E68" s="1">
        <v>95.1714285714285</v>
      </c>
      <c r="F68" s="1">
        <v>6.0</v>
      </c>
      <c r="G68" s="1">
        <v>0.0</v>
      </c>
      <c r="H68" s="1">
        <v>0.0571428571428571</v>
      </c>
    </row>
    <row r="69">
      <c r="A69" s="1" t="s">
        <v>3066</v>
      </c>
      <c r="B69" s="1">
        <v>34.0</v>
      </c>
      <c r="C69" s="1">
        <v>30.0</v>
      </c>
      <c r="D69" s="1">
        <v>13.0</v>
      </c>
      <c r="E69" s="1">
        <v>28.8823529411764</v>
      </c>
      <c r="F69" s="1">
        <v>12.0</v>
      </c>
      <c r="G69" s="1">
        <v>0.0</v>
      </c>
      <c r="H69" s="1">
        <v>0.147058823529411</v>
      </c>
    </row>
    <row r="70">
      <c r="A70" s="1" t="s">
        <v>2575</v>
      </c>
      <c r="B70" s="1">
        <v>33.0</v>
      </c>
      <c r="C70" s="1">
        <v>32.0</v>
      </c>
      <c r="D70" s="1">
        <v>32.0</v>
      </c>
      <c r="E70" s="1">
        <v>65.3636363636363</v>
      </c>
      <c r="F70" s="1">
        <v>0.0</v>
      </c>
      <c r="G70" s="1">
        <v>0.0</v>
      </c>
      <c r="H70" s="1">
        <v>0.0</v>
      </c>
    </row>
    <row r="71">
      <c r="A71" s="1" t="s">
        <v>3067</v>
      </c>
      <c r="B71" s="1">
        <v>32.0</v>
      </c>
      <c r="C71" s="1">
        <v>28.0</v>
      </c>
      <c r="D71" s="1">
        <v>28.0</v>
      </c>
      <c r="E71" s="1">
        <v>150.53125</v>
      </c>
      <c r="F71" s="1">
        <v>3.0</v>
      </c>
      <c r="G71" s="1">
        <v>0.0</v>
      </c>
      <c r="H71" s="1">
        <v>0.0625</v>
      </c>
    </row>
    <row r="72">
      <c r="A72" s="1" t="s">
        <v>2644</v>
      </c>
      <c r="B72" s="1">
        <v>32.0</v>
      </c>
      <c r="C72" s="1">
        <v>29.0</v>
      </c>
      <c r="D72" s="1">
        <v>29.0</v>
      </c>
      <c r="E72" s="1">
        <v>105.8125</v>
      </c>
      <c r="F72" s="1">
        <v>34.0</v>
      </c>
      <c r="G72" s="1">
        <v>0.0</v>
      </c>
      <c r="H72" s="1">
        <v>0.0625</v>
      </c>
    </row>
    <row r="73">
      <c r="A73" s="1" t="s">
        <v>2717</v>
      </c>
      <c r="B73" s="1">
        <v>32.0</v>
      </c>
      <c r="C73" s="1">
        <v>27.0</v>
      </c>
      <c r="D73" s="1">
        <v>24.0</v>
      </c>
      <c r="E73" s="1">
        <v>55.875</v>
      </c>
      <c r="F73" s="1">
        <v>13.0</v>
      </c>
      <c r="G73" s="1">
        <v>0.0</v>
      </c>
      <c r="H73" s="1">
        <v>0.09375</v>
      </c>
    </row>
    <row r="74">
      <c r="A74" s="1" t="s">
        <v>2781</v>
      </c>
      <c r="B74" s="1">
        <v>32.0</v>
      </c>
      <c r="C74" s="1">
        <v>32.0</v>
      </c>
      <c r="D74" s="1">
        <v>32.0</v>
      </c>
      <c r="E74" s="1">
        <v>23.15625</v>
      </c>
      <c r="F74" s="1">
        <v>50.0</v>
      </c>
      <c r="G74" s="1">
        <v>0.0</v>
      </c>
      <c r="H74" s="1">
        <v>0.375</v>
      </c>
    </row>
    <row r="75">
      <c r="A75" s="1" t="s">
        <v>2579</v>
      </c>
      <c r="B75" s="1">
        <v>31.0</v>
      </c>
      <c r="C75" s="1">
        <v>28.0</v>
      </c>
      <c r="D75" s="1">
        <v>28.0</v>
      </c>
      <c r="E75" s="1">
        <v>32.9032258064516</v>
      </c>
      <c r="F75" s="1">
        <v>3.0</v>
      </c>
      <c r="G75" s="1">
        <v>0.0</v>
      </c>
      <c r="H75" s="1">
        <v>0.032258064516129</v>
      </c>
    </row>
    <row r="76">
      <c r="A76" s="1" t="s">
        <v>2598</v>
      </c>
      <c r="B76" s="1">
        <v>31.0</v>
      </c>
      <c r="C76" s="1">
        <v>30.0</v>
      </c>
      <c r="D76" s="1">
        <v>27.0</v>
      </c>
      <c r="E76" s="1">
        <v>32.8064516129032</v>
      </c>
      <c r="F76" s="1">
        <v>7.0</v>
      </c>
      <c r="G76" s="1">
        <v>0.0</v>
      </c>
      <c r="H76" s="1">
        <v>0.0967741935483871</v>
      </c>
    </row>
    <row r="77">
      <c r="A77" s="1" t="s">
        <v>3068</v>
      </c>
      <c r="B77" s="1">
        <v>30.0</v>
      </c>
      <c r="C77" s="1">
        <v>24.0</v>
      </c>
      <c r="D77" s="1">
        <v>24.0</v>
      </c>
      <c r="E77" s="1">
        <v>69.9333333333333</v>
      </c>
      <c r="F77" s="1">
        <v>122.0</v>
      </c>
      <c r="G77" s="1">
        <v>0.0</v>
      </c>
      <c r="H77" s="1">
        <v>0.233333333333333</v>
      </c>
    </row>
    <row r="78">
      <c r="A78" s="1" t="s">
        <v>2627</v>
      </c>
      <c r="B78" s="1">
        <v>30.0</v>
      </c>
      <c r="C78" s="1">
        <v>28.0</v>
      </c>
      <c r="D78" s="1">
        <v>28.0</v>
      </c>
      <c r="E78" s="1">
        <v>81.1333333333333</v>
      </c>
      <c r="F78" s="1">
        <v>8.0</v>
      </c>
      <c r="G78" s="1">
        <v>0.0</v>
      </c>
      <c r="H78" s="1">
        <v>0.0666666666666666</v>
      </c>
    </row>
    <row r="79">
      <c r="A79" s="1" t="s">
        <v>2610</v>
      </c>
      <c r="B79" s="1">
        <v>30.0</v>
      </c>
      <c r="C79" s="1">
        <v>30.0</v>
      </c>
      <c r="D79" s="1">
        <v>28.0</v>
      </c>
      <c r="E79" s="1">
        <v>60.2666666666666</v>
      </c>
      <c r="F79" s="1">
        <v>17.0</v>
      </c>
      <c r="G79" s="1">
        <v>0.0</v>
      </c>
      <c r="H79" s="1">
        <v>0.0666666666666666</v>
      </c>
    </row>
    <row r="80">
      <c r="A80" s="1" t="s">
        <v>2630</v>
      </c>
      <c r="B80" s="1">
        <v>29.0</v>
      </c>
      <c r="C80" s="1">
        <v>29.0</v>
      </c>
      <c r="D80" s="1">
        <v>29.0</v>
      </c>
      <c r="E80" s="1">
        <v>46.8620689655172</v>
      </c>
      <c r="F80" s="1">
        <v>2.0</v>
      </c>
      <c r="G80" s="1">
        <v>0.0</v>
      </c>
      <c r="H80" s="1">
        <v>0.0689655172413793</v>
      </c>
    </row>
    <row r="81">
      <c r="A81" s="1" t="s">
        <v>2612</v>
      </c>
      <c r="B81" s="1">
        <v>29.0</v>
      </c>
      <c r="C81" s="1">
        <v>27.0</v>
      </c>
      <c r="D81" s="1">
        <v>26.0</v>
      </c>
      <c r="E81" s="1">
        <v>23.551724137931</v>
      </c>
      <c r="F81" s="1">
        <v>20.0</v>
      </c>
      <c r="G81" s="1">
        <v>0.0</v>
      </c>
      <c r="H81" s="1">
        <v>0.172413793103448</v>
      </c>
    </row>
    <row r="82">
      <c r="A82" s="1" t="s">
        <v>2587</v>
      </c>
      <c r="B82" s="1">
        <v>28.0</v>
      </c>
      <c r="C82" s="1">
        <v>23.0</v>
      </c>
      <c r="D82" s="1">
        <v>17.0</v>
      </c>
      <c r="E82" s="1">
        <v>56.2142857142857</v>
      </c>
      <c r="F82" s="1">
        <v>11.0</v>
      </c>
      <c r="G82" s="1">
        <v>0.0</v>
      </c>
      <c r="H82" s="1">
        <v>0.107142857142857</v>
      </c>
    </row>
    <row r="83">
      <c r="A83" s="1" t="s">
        <v>3069</v>
      </c>
      <c r="B83" s="1">
        <v>26.0</v>
      </c>
      <c r="C83" s="1">
        <v>8.0</v>
      </c>
      <c r="D83" s="1">
        <v>6.0</v>
      </c>
      <c r="E83" s="1">
        <v>4.3076923076923</v>
      </c>
      <c r="F83" s="1">
        <v>0.0</v>
      </c>
      <c r="G83" s="1">
        <v>0.0</v>
      </c>
      <c r="H83" s="1">
        <v>0.0</v>
      </c>
    </row>
    <row r="84">
      <c r="A84" s="1" t="s">
        <v>2645</v>
      </c>
      <c r="B84" s="1">
        <v>25.0</v>
      </c>
      <c r="C84" s="1">
        <v>25.0</v>
      </c>
      <c r="D84" s="1">
        <v>24.0</v>
      </c>
      <c r="E84" s="1">
        <v>30.12</v>
      </c>
      <c r="F84" s="1">
        <v>2.0</v>
      </c>
      <c r="G84" s="1">
        <v>0.0</v>
      </c>
      <c r="H84" s="1">
        <v>0.04</v>
      </c>
    </row>
    <row r="85">
      <c r="A85" s="1" t="s">
        <v>2607</v>
      </c>
      <c r="B85" s="1">
        <v>24.0</v>
      </c>
      <c r="C85" s="1">
        <v>21.0</v>
      </c>
      <c r="D85" s="1">
        <v>21.0</v>
      </c>
      <c r="E85" s="1">
        <v>37.9166666666666</v>
      </c>
      <c r="F85" s="1">
        <v>0.0</v>
      </c>
      <c r="G85" s="1">
        <v>0.0</v>
      </c>
      <c r="H85" s="1">
        <v>0.0</v>
      </c>
    </row>
    <row r="86">
      <c r="A86" s="1" t="s">
        <v>2541</v>
      </c>
      <c r="B86" s="1">
        <v>24.0</v>
      </c>
      <c r="C86" s="1">
        <v>22.0</v>
      </c>
      <c r="D86" s="1">
        <v>22.0</v>
      </c>
      <c r="E86" s="1">
        <v>76.25</v>
      </c>
      <c r="F86" s="1">
        <v>0.0</v>
      </c>
      <c r="G86" s="1">
        <v>0.0</v>
      </c>
      <c r="H86" s="1">
        <v>0.0</v>
      </c>
    </row>
    <row r="87">
      <c r="A87" s="1" t="s">
        <v>2589</v>
      </c>
      <c r="B87" s="1">
        <v>23.0</v>
      </c>
      <c r="C87" s="1">
        <v>23.0</v>
      </c>
      <c r="D87" s="1">
        <v>23.0</v>
      </c>
      <c r="E87" s="1">
        <v>20.1739130434782</v>
      </c>
      <c r="F87" s="1">
        <v>97.0</v>
      </c>
      <c r="G87" s="1">
        <v>0.0</v>
      </c>
      <c r="H87" s="1">
        <v>0.130434782608695</v>
      </c>
    </row>
    <row r="88">
      <c r="A88" s="1" t="s">
        <v>464</v>
      </c>
      <c r="B88" s="1">
        <v>23.0</v>
      </c>
      <c r="C88" s="1">
        <v>22.0</v>
      </c>
      <c r="D88" s="1">
        <v>20.0</v>
      </c>
      <c r="E88" s="1">
        <v>35.9565217391304</v>
      </c>
      <c r="F88" s="1">
        <v>1.0</v>
      </c>
      <c r="G88" s="1">
        <v>0.0</v>
      </c>
      <c r="H88" s="1">
        <v>0.0434782608695652</v>
      </c>
    </row>
    <row r="89">
      <c r="A89" s="1" t="s">
        <v>2584</v>
      </c>
      <c r="B89" s="1">
        <v>23.0</v>
      </c>
      <c r="C89" s="1">
        <v>22.0</v>
      </c>
      <c r="D89" s="1">
        <v>22.0</v>
      </c>
      <c r="E89" s="1">
        <v>26.9565217391304</v>
      </c>
      <c r="F89" s="1">
        <v>0.0</v>
      </c>
      <c r="G89" s="1">
        <v>0.0</v>
      </c>
      <c r="H89" s="1">
        <v>0.0</v>
      </c>
    </row>
    <row r="90">
      <c r="A90" s="1" t="s">
        <v>2586</v>
      </c>
      <c r="B90" s="1">
        <v>22.0</v>
      </c>
      <c r="C90" s="1">
        <v>20.0</v>
      </c>
      <c r="D90" s="1">
        <v>19.0</v>
      </c>
      <c r="E90" s="1">
        <v>85.5</v>
      </c>
      <c r="F90" s="1">
        <v>4.0</v>
      </c>
      <c r="G90" s="1">
        <v>0.0</v>
      </c>
      <c r="H90" s="1">
        <v>0.136363636363636</v>
      </c>
    </row>
    <row r="91">
      <c r="A91" s="1" t="s">
        <v>2722</v>
      </c>
      <c r="B91" s="1">
        <v>22.0</v>
      </c>
      <c r="C91" s="1">
        <v>19.0</v>
      </c>
      <c r="D91" s="1">
        <v>19.0</v>
      </c>
      <c r="E91" s="1">
        <v>147.545454545454</v>
      </c>
      <c r="F91" s="1">
        <v>8.0</v>
      </c>
      <c r="G91" s="1">
        <v>0.0</v>
      </c>
      <c r="H91" s="1">
        <v>0.0454545454545454</v>
      </c>
    </row>
    <row r="92">
      <c r="A92" s="1" t="s">
        <v>2919</v>
      </c>
      <c r="B92" s="1">
        <v>22.0</v>
      </c>
      <c r="C92" s="1">
        <v>22.0</v>
      </c>
      <c r="D92" s="1">
        <v>21.0</v>
      </c>
      <c r="E92" s="1">
        <v>54.3636363636363</v>
      </c>
      <c r="F92" s="1">
        <v>42.0</v>
      </c>
      <c r="G92" s="1">
        <v>0.0</v>
      </c>
      <c r="H92" s="1">
        <v>0.409090909090909</v>
      </c>
    </row>
    <row r="93">
      <c r="A93" s="1" t="s">
        <v>2564</v>
      </c>
      <c r="B93" s="1">
        <v>21.0</v>
      </c>
      <c r="C93" s="1">
        <v>19.0</v>
      </c>
      <c r="D93" s="1">
        <v>16.0</v>
      </c>
      <c r="E93" s="1">
        <v>72.0</v>
      </c>
      <c r="F93" s="1">
        <v>8.0</v>
      </c>
      <c r="G93" s="1">
        <v>0.0</v>
      </c>
      <c r="H93" s="1">
        <v>0.142857142857142</v>
      </c>
    </row>
    <row r="94">
      <c r="A94" s="1" t="s">
        <v>2647</v>
      </c>
      <c r="B94" s="1">
        <v>21.0</v>
      </c>
      <c r="C94" s="1">
        <v>9.0</v>
      </c>
      <c r="D94" s="1">
        <v>7.0</v>
      </c>
      <c r="E94" s="1">
        <v>1.47619047619047</v>
      </c>
      <c r="F94" s="1">
        <v>0.0</v>
      </c>
      <c r="G94" s="1">
        <v>0.0</v>
      </c>
      <c r="H94" s="1">
        <v>0.0</v>
      </c>
    </row>
    <row r="95">
      <c r="A95" s="1" t="s">
        <v>2720</v>
      </c>
      <c r="B95" s="1">
        <v>21.0</v>
      </c>
      <c r="C95" s="1">
        <v>20.0</v>
      </c>
      <c r="D95" s="1">
        <v>18.0</v>
      </c>
      <c r="E95" s="1">
        <v>36.047619047619</v>
      </c>
      <c r="F95" s="1">
        <v>17.0</v>
      </c>
      <c r="G95" s="1">
        <v>0.0</v>
      </c>
      <c r="H95" s="1">
        <v>0.19047619047619</v>
      </c>
    </row>
    <row r="96">
      <c r="A96" s="1" t="s">
        <v>2723</v>
      </c>
      <c r="B96" s="1">
        <v>21.0</v>
      </c>
      <c r="C96" s="1">
        <v>21.0</v>
      </c>
      <c r="D96" s="1">
        <v>21.0</v>
      </c>
      <c r="E96" s="1">
        <v>32.4285714285714</v>
      </c>
      <c r="F96" s="1">
        <v>8.0</v>
      </c>
      <c r="G96" s="1">
        <v>0.0</v>
      </c>
      <c r="H96" s="1">
        <v>0.142857142857142</v>
      </c>
    </row>
    <row r="97">
      <c r="A97" s="1" t="s">
        <v>2742</v>
      </c>
      <c r="B97" s="1">
        <v>20.0</v>
      </c>
      <c r="C97" s="1">
        <v>20.0</v>
      </c>
      <c r="D97" s="1">
        <v>20.0</v>
      </c>
      <c r="E97" s="1">
        <v>57.2</v>
      </c>
      <c r="F97" s="1">
        <v>0.0</v>
      </c>
      <c r="G97" s="1">
        <v>0.0</v>
      </c>
      <c r="H97" s="1">
        <v>0.0</v>
      </c>
    </row>
    <row r="98">
      <c r="A98" s="1" t="s">
        <v>2749</v>
      </c>
      <c r="B98" s="1">
        <v>20.0</v>
      </c>
      <c r="C98" s="1">
        <v>18.0</v>
      </c>
      <c r="D98" s="1">
        <v>18.0</v>
      </c>
      <c r="E98" s="1">
        <v>130.05</v>
      </c>
      <c r="F98" s="1">
        <v>6.0</v>
      </c>
      <c r="G98" s="1">
        <v>0.0</v>
      </c>
      <c r="H98" s="1">
        <v>0.1</v>
      </c>
    </row>
    <row r="99">
      <c r="A99" s="1" t="s">
        <v>2646</v>
      </c>
      <c r="B99" s="1">
        <v>20.0</v>
      </c>
      <c r="C99" s="1">
        <v>20.0</v>
      </c>
      <c r="D99" s="1">
        <v>20.0</v>
      </c>
      <c r="E99" s="1">
        <v>52.3</v>
      </c>
      <c r="F99" s="1">
        <v>4.0</v>
      </c>
      <c r="G99" s="1">
        <v>0.0</v>
      </c>
      <c r="H99" s="1">
        <v>0.1</v>
      </c>
    </row>
    <row r="100">
      <c r="A100" s="1" t="s">
        <v>2619</v>
      </c>
      <c r="B100" s="1">
        <v>20.0</v>
      </c>
      <c r="C100" s="1">
        <v>20.0</v>
      </c>
      <c r="D100" s="1">
        <v>18.0</v>
      </c>
      <c r="E100" s="1">
        <v>81.2</v>
      </c>
      <c r="F100" s="1">
        <v>10.0</v>
      </c>
      <c r="G100" s="1">
        <v>0.0</v>
      </c>
      <c r="H100" s="1">
        <v>0.15</v>
      </c>
    </row>
    <row r="101">
      <c r="A101" s="1" t="s">
        <v>2727</v>
      </c>
      <c r="B101" s="1">
        <v>20.0</v>
      </c>
      <c r="C101" s="1">
        <v>20.0</v>
      </c>
      <c r="D101" s="1">
        <v>19.0</v>
      </c>
      <c r="E101" s="1">
        <v>35.0</v>
      </c>
      <c r="F101" s="1">
        <v>20.0</v>
      </c>
      <c r="G101" s="1">
        <v>0.0</v>
      </c>
      <c r="H101" s="1">
        <v>0.15</v>
      </c>
    </row>
    <row r="102">
      <c r="A102" s="1" t="s">
        <v>452</v>
      </c>
      <c r="B102" s="1">
        <v>19.0</v>
      </c>
      <c r="C102" s="1">
        <v>15.0</v>
      </c>
      <c r="D102" s="1">
        <v>13.0</v>
      </c>
      <c r="E102" s="1">
        <v>57.3157894736842</v>
      </c>
      <c r="F102" s="1">
        <v>4.0</v>
      </c>
      <c r="G102" s="1">
        <v>0.0</v>
      </c>
      <c r="H102" s="1">
        <v>0.0526315789473684</v>
      </c>
    </row>
    <row r="103">
      <c r="A103" s="1" t="s">
        <v>2767</v>
      </c>
      <c r="B103" s="1">
        <v>19.0</v>
      </c>
      <c r="C103" s="1">
        <v>5.0</v>
      </c>
      <c r="D103" s="1">
        <v>5.0</v>
      </c>
      <c r="E103" s="1">
        <v>38.2105263157894</v>
      </c>
      <c r="F103" s="1">
        <v>0.0</v>
      </c>
      <c r="G103" s="1">
        <v>0.0</v>
      </c>
      <c r="H103" s="1">
        <v>0.0</v>
      </c>
    </row>
    <row r="104">
      <c r="A104" s="1" t="s">
        <v>3070</v>
      </c>
      <c r="B104" s="1">
        <v>19.0</v>
      </c>
      <c r="C104" s="1">
        <v>17.0</v>
      </c>
      <c r="D104" s="1">
        <v>16.0</v>
      </c>
      <c r="E104" s="1">
        <v>39.1578947368421</v>
      </c>
      <c r="F104" s="1">
        <v>10.0</v>
      </c>
      <c r="G104" s="1">
        <v>0.0</v>
      </c>
      <c r="H104" s="1">
        <v>0.210526315789473</v>
      </c>
    </row>
    <row r="105">
      <c r="A105" s="1" t="s">
        <v>2602</v>
      </c>
      <c r="B105" s="1">
        <v>18.0</v>
      </c>
      <c r="C105" s="1">
        <v>15.0</v>
      </c>
      <c r="D105" s="1">
        <v>15.0</v>
      </c>
      <c r="E105" s="1">
        <v>17.6111111111111</v>
      </c>
      <c r="F105" s="1">
        <v>0.0</v>
      </c>
      <c r="G105" s="1">
        <v>0.0</v>
      </c>
      <c r="H105" s="1">
        <v>0.0</v>
      </c>
    </row>
    <row r="106">
      <c r="A106" s="1" t="s">
        <v>2600</v>
      </c>
      <c r="B106" s="1">
        <v>18.0</v>
      </c>
      <c r="C106" s="1">
        <v>17.0</v>
      </c>
      <c r="D106" s="1">
        <v>13.0</v>
      </c>
      <c r="E106" s="1">
        <v>12.7777777777777</v>
      </c>
      <c r="F106" s="1">
        <v>0.0</v>
      </c>
      <c r="G106" s="1">
        <v>0.0</v>
      </c>
      <c r="H106" s="1">
        <v>0.0</v>
      </c>
    </row>
    <row r="107">
      <c r="A107" s="1" t="s">
        <v>2621</v>
      </c>
      <c r="B107" s="1">
        <v>18.0</v>
      </c>
      <c r="C107" s="1">
        <v>15.0</v>
      </c>
      <c r="D107" s="1">
        <v>13.0</v>
      </c>
      <c r="E107" s="1">
        <v>82.8333333333333</v>
      </c>
      <c r="F107" s="1">
        <v>0.0</v>
      </c>
      <c r="G107" s="1">
        <v>0.0</v>
      </c>
      <c r="H107" s="1">
        <v>0.0</v>
      </c>
    </row>
    <row r="108">
      <c r="A108" s="1" t="s">
        <v>3071</v>
      </c>
      <c r="B108" s="1">
        <v>18.0</v>
      </c>
      <c r="C108" s="1">
        <v>18.0</v>
      </c>
      <c r="D108" s="1">
        <v>16.0</v>
      </c>
      <c r="E108" s="1">
        <v>52.2222222222222</v>
      </c>
      <c r="F108" s="1">
        <v>4.0</v>
      </c>
      <c r="G108" s="1">
        <v>0.0</v>
      </c>
      <c r="H108" s="1">
        <v>0.166666666666666</v>
      </c>
    </row>
    <row r="109">
      <c r="A109" s="1" t="s">
        <v>2660</v>
      </c>
      <c r="B109" s="1">
        <v>18.0</v>
      </c>
      <c r="C109" s="1">
        <v>16.0</v>
      </c>
      <c r="D109" s="1">
        <v>10.0</v>
      </c>
      <c r="E109" s="1">
        <v>37.2222222222222</v>
      </c>
      <c r="F109" s="1">
        <v>2.0</v>
      </c>
      <c r="G109" s="1">
        <v>0.0</v>
      </c>
      <c r="H109" s="1">
        <v>0.0555555555555555</v>
      </c>
    </row>
    <row r="110">
      <c r="A110" s="1" t="s">
        <v>2917</v>
      </c>
      <c r="B110" s="1">
        <v>18.0</v>
      </c>
      <c r="C110" s="1">
        <v>17.0</v>
      </c>
      <c r="D110" s="1">
        <v>17.0</v>
      </c>
      <c r="E110" s="1">
        <v>10.5555555555555</v>
      </c>
      <c r="F110" s="1">
        <v>2.0</v>
      </c>
      <c r="G110" s="1">
        <v>0.0</v>
      </c>
      <c r="H110" s="1">
        <v>0.0555555555555555</v>
      </c>
    </row>
    <row r="111">
      <c r="A111" s="1" t="s">
        <v>3072</v>
      </c>
      <c r="B111" s="1">
        <v>17.0</v>
      </c>
      <c r="C111" s="1">
        <v>17.0</v>
      </c>
      <c r="D111" s="1">
        <v>17.0</v>
      </c>
      <c r="E111" s="1">
        <v>0.0</v>
      </c>
      <c r="F111" s="1">
        <v>0.0</v>
      </c>
      <c r="G111" s="1">
        <v>0.0</v>
      </c>
      <c r="H111" s="1">
        <v>0.0</v>
      </c>
    </row>
    <row r="112">
      <c r="A112" s="1" t="s">
        <v>2624</v>
      </c>
      <c r="B112" s="1">
        <v>17.0</v>
      </c>
      <c r="C112" s="1">
        <v>17.0</v>
      </c>
      <c r="D112" s="1">
        <v>17.0</v>
      </c>
      <c r="E112" s="1">
        <v>40.8823529411764</v>
      </c>
      <c r="F112" s="1">
        <v>3.0</v>
      </c>
      <c r="G112" s="1">
        <v>0.0</v>
      </c>
      <c r="H112" s="1">
        <v>0.0588235294117647</v>
      </c>
    </row>
    <row r="113">
      <c r="A113" s="1" t="s">
        <v>2666</v>
      </c>
      <c r="B113" s="1">
        <v>17.0</v>
      </c>
      <c r="C113" s="1">
        <v>15.0</v>
      </c>
      <c r="D113" s="1">
        <v>14.0</v>
      </c>
      <c r="E113" s="1">
        <v>81.4705882352941</v>
      </c>
      <c r="F113" s="1">
        <v>2.0</v>
      </c>
      <c r="G113" s="1">
        <v>0.0</v>
      </c>
      <c r="H113" s="1">
        <v>0.0588235294117647</v>
      </c>
    </row>
    <row r="114">
      <c r="A114" s="1" t="s">
        <v>3073</v>
      </c>
      <c r="B114" s="1">
        <v>17.0</v>
      </c>
      <c r="C114" s="1">
        <v>17.0</v>
      </c>
      <c r="D114" s="1">
        <v>17.0</v>
      </c>
      <c r="E114" s="1">
        <v>34.8235294117647</v>
      </c>
      <c r="F114" s="1">
        <v>7.0</v>
      </c>
      <c r="G114" s="1">
        <v>0.0</v>
      </c>
      <c r="H114" s="1">
        <v>0.176470588235294</v>
      </c>
    </row>
    <row r="115">
      <c r="A115" s="1" t="s">
        <v>2631</v>
      </c>
      <c r="B115" s="1">
        <v>16.0</v>
      </c>
      <c r="C115" s="1">
        <v>15.0</v>
      </c>
      <c r="D115" s="1">
        <v>15.0</v>
      </c>
      <c r="E115" s="1">
        <v>62.875</v>
      </c>
      <c r="F115" s="1">
        <v>0.0</v>
      </c>
      <c r="G115" s="1">
        <v>0.0</v>
      </c>
      <c r="H115" s="1">
        <v>0.0</v>
      </c>
    </row>
    <row r="116">
      <c r="A116" s="1" t="s">
        <v>456</v>
      </c>
      <c r="B116" s="1">
        <v>16.0</v>
      </c>
      <c r="C116" s="1">
        <v>15.0</v>
      </c>
      <c r="D116" s="1">
        <v>12.0</v>
      </c>
      <c r="E116" s="1">
        <v>44.75</v>
      </c>
      <c r="F116" s="1">
        <v>14.0</v>
      </c>
      <c r="G116" s="1">
        <v>0.0</v>
      </c>
      <c r="H116" s="1">
        <v>0.25</v>
      </c>
    </row>
    <row r="117">
      <c r="A117" s="1" t="s">
        <v>2763</v>
      </c>
      <c r="B117" s="1">
        <v>16.0</v>
      </c>
      <c r="C117" s="1">
        <v>15.0</v>
      </c>
      <c r="D117" s="1">
        <v>15.0</v>
      </c>
      <c r="E117" s="1">
        <v>25.6875</v>
      </c>
      <c r="F117" s="1">
        <v>8.0</v>
      </c>
      <c r="G117" s="1">
        <v>0.0</v>
      </c>
      <c r="H117" s="1">
        <v>0.1875</v>
      </c>
    </row>
    <row r="118">
      <c r="A118" s="1" t="s">
        <v>3074</v>
      </c>
      <c r="B118" s="1">
        <v>15.0</v>
      </c>
      <c r="C118" s="1">
        <v>14.0</v>
      </c>
      <c r="D118" s="1">
        <v>14.0</v>
      </c>
      <c r="E118" s="1">
        <v>19.8666666666666</v>
      </c>
      <c r="F118" s="1">
        <v>0.0</v>
      </c>
      <c r="G118" s="1">
        <v>0.0</v>
      </c>
      <c r="H118" s="1">
        <v>0.0</v>
      </c>
    </row>
    <row r="119">
      <c r="A119" s="1" t="s">
        <v>2751</v>
      </c>
      <c r="B119" s="1">
        <v>15.0</v>
      </c>
      <c r="C119" s="1">
        <v>15.0</v>
      </c>
      <c r="D119" s="1">
        <v>15.0</v>
      </c>
      <c r="E119" s="1">
        <v>78.0</v>
      </c>
      <c r="F119" s="1">
        <v>2.0</v>
      </c>
      <c r="G119" s="1">
        <v>0.0</v>
      </c>
      <c r="H119" s="1">
        <v>0.0666666666666666</v>
      </c>
    </row>
    <row r="120">
      <c r="A120" s="1" t="s">
        <v>2625</v>
      </c>
      <c r="B120" s="1">
        <v>15.0</v>
      </c>
      <c r="C120" s="1">
        <v>12.0</v>
      </c>
      <c r="D120" s="1">
        <v>12.0</v>
      </c>
      <c r="E120" s="1">
        <v>56.9333333333333</v>
      </c>
      <c r="F120" s="1">
        <v>5.0</v>
      </c>
      <c r="G120" s="1">
        <v>0.0</v>
      </c>
      <c r="H120" s="1">
        <v>0.266666666666666</v>
      </c>
    </row>
    <row r="121">
      <c r="A121" s="1" t="s">
        <v>2702</v>
      </c>
      <c r="B121" s="1">
        <v>15.0</v>
      </c>
      <c r="C121" s="1">
        <v>14.0</v>
      </c>
      <c r="D121" s="1">
        <v>13.0</v>
      </c>
      <c r="E121" s="1">
        <v>10.2</v>
      </c>
      <c r="F121" s="1">
        <v>2.0</v>
      </c>
      <c r="G121" s="1">
        <v>0.0</v>
      </c>
      <c r="H121" s="1">
        <v>0.0666666666666666</v>
      </c>
    </row>
    <row r="122">
      <c r="A122" s="1" t="s">
        <v>2761</v>
      </c>
      <c r="B122" s="1">
        <v>15.0</v>
      </c>
      <c r="C122" s="1">
        <v>15.0</v>
      </c>
      <c r="D122" s="1">
        <v>12.0</v>
      </c>
      <c r="E122" s="1">
        <v>143.133333333333</v>
      </c>
      <c r="F122" s="1">
        <v>5.0</v>
      </c>
      <c r="G122" s="1">
        <v>0.0</v>
      </c>
      <c r="H122" s="1">
        <v>0.2</v>
      </c>
    </row>
    <row r="123">
      <c r="A123" s="1" t="s">
        <v>3075</v>
      </c>
      <c r="B123" s="1">
        <v>15.0</v>
      </c>
      <c r="C123" s="1">
        <v>14.0</v>
      </c>
      <c r="D123" s="1">
        <v>13.0</v>
      </c>
      <c r="E123" s="1">
        <v>19.4</v>
      </c>
      <c r="F123" s="1">
        <v>4.0</v>
      </c>
      <c r="G123" s="1">
        <v>0.0</v>
      </c>
      <c r="H123" s="1">
        <v>0.0666666666666666</v>
      </c>
    </row>
    <row r="124">
      <c r="A124" s="1" t="s">
        <v>2565</v>
      </c>
      <c r="B124" s="1">
        <v>14.0</v>
      </c>
      <c r="C124" s="1">
        <v>14.0</v>
      </c>
      <c r="D124" s="1">
        <v>14.0</v>
      </c>
      <c r="E124" s="1">
        <v>0.5</v>
      </c>
      <c r="F124" s="1">
        <v>0.0</v>
      </c>
      <c r="G124" s="1">
        <v>0.0</v>
      </c>
      <c r="H124" s="1">
        <v>0.0</v>
      </c>
    </row>
    <row r="125">
      <c r="A125" s="1" t="s">
        <v>2740</v>
      </c>
      <c r="B125" s="1">
        <v>14.0</v>
      </c>
      <c r="C125" s="1">
        <v>13.0</v>
      </c>
      <c r="D125" s="1">
        <v>13.0</v>
      </c>
      <c r="E125" s="1">
        <v>176.0</v>
      </c>
      <c r="F125" s="1">
        <v>8.0</v>
      </c>
      <c r="G125" s="1">
        <v>0.0</v>
      </c>
      <c r="H125" s="1">
        <v>0.214285714285714</v>
      </c>
    </row>
    <row r="126">
      <c r="A126" s="1" t="s">
        <v>2594</v>
      </c>
      <c r="B126" s="1">
        <v>14.0</v>
      </c>
      <c r="C126" s="1">
        <v>13.0</v>
      </c>
      <c r="D126" s="1">
        <v>13.0</v>
      </c>
      <c r="E126" s="1">
        <v>52.6428571428571</v>
      </c>
      <c r="F126" s="1">
        <v>0.0</v>
      </c>
      <c r="G126" s="1">
        <v>0.0</v>
      </c>
      <c r="H126" s="1">
        <v>0.0</v>
      </c>
    </row>
    <row r="127">
      <c r="A127" s="1" t="s">
        <v>3076</v>
      </c>
      <c r="B127" s="1">
        <v>14.0</v>
      </c>
      <c r="C127" s="1">
        <v>13.0</v>
      </c>
      <c r="D127" s="1">
        <v>11.0</v>
      </c>
      <c r="E127" s="1">
        <v>65.9285714285714</v>
      </c>
      <c r="F127" s="1">
        <v>1.0</v>
      </c>
      <c r="G127" s="1">
        <v>0.0</v>
      </c>
      <c r="H127" s="1">
        <v>0.0714285714285714</v>
      </c>
    </row>
    <row r="128">
      <c r="A128" s="1" t="s">
        <v>520</v>
      </c>
      <c r="B128" s="1">
        <v>14.0</v>
      </c>
      <c r="C128" s="1">
        <v>13.0</v>
      </c>
      <c r="D128" s="1">
        <v>10.0</v>
      </c>
      <c r="E128" s="1">
        <v>69.6428571428571</v>
      </c>
      <c r="F128" s="1">
        <v>7.0</v>
      </c>
      <c r="G128" s="1">
        <v>0.0</v>
      </c>
      <c r="H128" s="1">
        <v>0.0714285714285714</v>
      </c>
    </row>
    <row r="129">
      <c r="A129" s="1" t="s">
        <v>2685</v>
      </c>
      <c r="B129" s="1">
        <v>14.0</v>
      </c>
      <c r="C129" s="1">
        <v>14.0</v>
      </c>
      <c r="D129" s="1">
        <v>12.0</v>
      </c>
      <c r="E129" s="1">
        <v>9.14285714285714</v>
      </c>
      <c r="F129" s="1">
        <v>9.0</v>
      </c>
      <c r="G129" s="1">
        <v>0.0</v>
      </c>
      <c r="H129" s="1">
        <v>0.142857142857142</v>
      </c>
    </row>
    <row r="130">
      <c r="A130" s="1" t="s">
        <v>2613</v>
      </c>
      <c r="B130" s="1">
        <v>13.0</v>
      </c>
      <c r="C130" s="1">
        <v>11.0</v>
      </c>
      <c r="D130" s="1">
        <v>11.0</v>
      </c>
      <c r="E130" s="1">
        <v>47.7692307692307</v>
      </c>
      <c r="F130" s="1">
        <v>1.0</v>
      </c>
      <c r="G130" s="1">
        <v>0.0</v>
      </c>
      <c r="H130" s="1">
        <v>0.0769230769230769</v>
      </c>
    </row>
    <row r="131">
      <c r="A131" s="1" t="s">
        <v>2623</v>
      </c>
      <c r="B131" s="1">
        <v>13.0</v>
      </c>
      <c r="C131" s="1">
        <v>12.0</v>
      </c>
      <c r="D131" s="1">
        <v>12.0</v>
      </c>
      <c r="E131" s="1">
        <v>126.461538461538</v>
      </c>
      <c r="F131" s="1">
        <v>28.0</v>
      </c>
      <c r="G131" s="1">
        <v>0.0</v>
      </c>
      <c r="H131" s="1">
        <v>0.153846153846153</v>
      </c>
    </row>
    <row r="132">
      <c r="A132" s="1" t="s">
        <v>2653</v>
      </c>
      <c r="B132" s="1">
        <v>13.0</v>
      </c>
      <c r="C132" s="1">
        <v>13.0</v>
      </c>
      <c r="D132" s="1">
        <v>13.0</v>
      </c>
      <c r="E132" s="1">
        <v>35.5384615384615</v>
      </c>
      <c r="F132" s="1">
        <v>1.0</v>
      </c>
      <c r="G132" s="1">
        <v>0.0</v>
      </c>
      <c r="H132" s="1">
        <v>0.0769230769230769</v>
      </c>
    </row>
    <row r="133">
      <c r="A133" s="1" t="s">
        <v>2698</v>
      </c>
      <c r="B133" s="1">
        <v>13.0</v>
      </c>
      <c r="C133" s="1">
        <v>12.0</v>
      </c>
      <c r="D133" s="1">
        <v>12.0</v>
      </c>
      <c r="E133" s="1">
        <v>102.615384615384</v>
      </c>
      <c r="F133" s="1">
        <v>14.0</v>
      </c>
      <c r="G133" s="1">
        <v>0.0</v>
      </c>
      <c r="H133" s="1">
        <v>0.0769230769230769</v>
      </c>
    </row>
    <row r="134">
      <c r="A134" s="1" t="s">
        <v>2849</v>
      </c>
      <c r="B134" s="1">
        <v>13.0</v>
      </c>
      <c r="C134" s="1">
        <v>11.0</v>
      </c>
      <c r="D134" s="1">
        <v>11.0</v>
      </c>
      <c r="E134" s="1">
        <v>77.4615384615384</v>
      </c>
      <c r="F134" s="1">
        <v>4.0</v>
      </c>
      <c r="G134" s="1">
        <v>0.0</v>
      </c>
      <c r="H134" s="1">
        <v>0.153846153846153</v>
      </c>
    </row>
    <row r="135">
      <c r="A135" s="1" t="s">
        <v>2656</v>
      </c>
      <c r="B135" s="1">
        <v>13.0</v>
      </c>
      <c r="C135" s="1">
        <v>11.0</v>
      </c>
      <c r="D135" s="1">
        <v>11.0</v>
      </c>
      <c r="E135" s="1">
        <v>25.6153846153846</v>
      </c>
      <c r="F135" s="1">
        <v>1.0</v>
      </c>
      <c r="G135" s="1">
        <v>0.0</v>
      </c>
      <c r="H135" s="1">
        <v>0.0769230769230769</v>
      </c>
    </row>
    <row r="136">
      <c r="A136" s="1" t="s">
        <v>2633</v>
      </c>
      <c r="B136" s="1">
        <v>13.0</v>
      </c>
      <c r="C136" s="1">
        <v>11.0</v>
      </c>
      <c r="D136" s="1">
        <v>10.0</v>
      </c>
      <c r="E136" s="1">
        <v>63.6923076923076</v>
      </c>
      <c r="F136" s="1">
        <v>0.0</v>
      </c>
      <c r="G136" s="1">
        <v>0.0</v>
      </c>
      <c r="H136" s="1">
        <v>0.0</v>
      </c>
    </row>
    <row r="137">
      <c r="A137" s="1" t="s">
        <v>3077</v>
      </c>
      <c r="B137" s="1">
        <v>13.0</v>
      </c>
      <c r="C137" s="1">
        <v>12.0</v>
      </c>
      <c r="D137" s="1">
        <v>10.0</v>
      </c>
      <c r="E137" s="1">
        <v>61.1538461538461</v>
      </c>
      <c r="F137" s="1">
        <v>4.0</v>
      </c>
      <c r="G137" s="1">
        <v>0.0</v>
      </c>
      <c r="H137" s="1">
        <v>0.0769230769230769</v>
      </c>
    </row>
    <row r="138">
      <c r="A138" s="1" t="s">
        <v>2618</v>
      </c>
      <c r="B138" s="1">
        <v>13.0</v>
      </c>
      <c r="C138" s="1">
        <v>12.0</v>
      </c>
      <c r="D138" s="1">
        <v>11.0</v>
      </c>
      <c r="E138" s="1">
        <v>83.8461538461538</v>
      </c>
      <c r="F138" s="1">
        <v>2.0</v>
      </c>
      <c r="G138" s="1">
        <v>0.0</v>
      </c>
      <c r="H138" s="1">
        <v>0.0769230769230769</v>
      </c>
    </row>
    <row r="139">
      <c r="A139" s="1" t="s">
        <v>2606</v>
      </c>
      <c r="B139" s="1">
        <v>12.0</v>
      </c>
      <c r="C139" s="1">
        <v>12.0</v>
      </c>
      <c r="D139" s="1">
        <v>12.0</v>
      </c>
      <c r="E139" s="1">
        <v>51.0</v>
      </c>
      <c r="F139" s="1">
        <v>0.0</v>
      </c>
      <c r="G139" s="1">
        <v>0.0</v>
      </c>
      <c r="H139" s="1">
        <v>0.0</v>
      </c>
    </row>
    <row r="140">
      <c r="A140" s="1" t="s">
        <v>2673</v>
      </c>
      <c r="B140" s="1">
        <v>12.0</v>
      </c>
      <c r="C140" s="1">
        <v>11.0</v>
      </c>
      <c r="D140" s="1">
        <v>11.0</v>
      </c>
      <c r="E140" s="1">
        <v>57.0833333333333</v>
      </c>
      <c r="F140" s="1">
        <v>0.0</v>
      </c>
      <c r="G140" s="1">
        <v>0.0</v>
      </c>
      <c r="H140" s="1">
        <v>0.0</v>
      </c>
    </row>
    <row r="141">
      <c r="A141" s="1" t="s">
        <v>2678</v>
      </c>
      <c r="B141" s="1">
        <v>12.0</v>
      </c>
      <c r="C141" s="1">
        <v>11.0</v>
      </c>
      <c r="D141" s="1">
        <v>11.0</v>
      </c>
      <c r="E141" s="1">
        <v>73.3333333333333</v>
      </c>
      <c r="F141" s="1">
        <v>0.0</v>
      </c>
      <c r="G141" s="1">
        <v>0.0</v>
      </c>
      <c r="H141" s="1">
        <v>0.0</v>
      </c>
    </row>
    <row r="142">
      <c r="A142" s="1" t="s">
        <v>2756</v>
      </c>
      <c r="B142" s="1">
        <v>12.0</v>
      </c>
      <c r="C142" s="1">
        <v>12.0</v>
      </c>
      <c r="D142" s="1">
        <v>12.0</v>
      </c>
      <c r="E142" s="1">
        <v>47.75</v>
      </c>
      <c r="F142" s="1">
        <v>0.0</v>
      </c>
      <c r="G142" s="1">
        <v>0.0</v>
      </c>
      <c r="H142" s="1">
        <v>0.0</v>
      </c>
    </row>
    <row r="143">
      <c r="A143" s="1" t="s">
        <v>3078</v>
      </c>
      <c r="B143" s="1">
        <v>12.0</v>
      </c>
      <c r="C143" s="1">
        <v>10.0</v>
      </c>
      <c r="D143" s="1">
        <v>10.0</v>
      </c>
      <c r="E143" s="1">
        <v>61.25</v>
      </c>
      <c r="F143" s="1">
        <v>11.0</v>
      </c>
      <c r="G143" s="1">
        <v>0.0</v>
      </c>
      <c r="H143" s="1">
        <v>0.166666666666666</v>
      </c>
    </row>
    <row r="144">
      <c r="A144" s="1" t="s">
        <v>2668</v>
      </c>
      <c r="B144" s="1">
        <v>12.0</v>
      </c>
      <c r="C144" s="1">
        <v>11.0</v>
      </c>
      <c r="D144" s="1">
        <v>11.0</v>
      </c>
      <c r="E144" s="1">
        <v>71.0833333333333</v>
      </c>
      <c r="F144" s="1">
        <v>9.0</v>
      </c>
      <c r="G144" s="1">
        <v>0.0</v>
      </c>
      <c r="H144" s="1">
        <v>0.0833333333333333</v>
      </c>
    </row>
    <row r="145">
      <c r="A145" s="1" t="s">
        <v>2715</v>
      </c>
      <c r="B145" s="1">
        <v>12.0</v>
      </c>
      <c r="C145" s="1">
        <v>9.0</v>
      </c>
      <c r="D145" s="1">
        <v>9.0</v>
      </c>
      <c r="E145" s="1">
        <v>30.1666666666666</v>
      </c>
      <c r="F145" s="1">
        <v>0.0</v>
      </c>
      <c r="G145" s="1">
        <v>0.0</v>
      </c>
      <c r="H145" s="1">
        <v>0.0</v>
      </c>
    </row>
    <row r="146">
      <c r="A146" s="1" t="s">
        <v>3079</v>
      </c>
      <c r="B146" s="1">
        <v>12.0</v>
      </c>
      <c r="C146" s="1">
        <v>4.0</v>
      </c>
      <c r="D146" s="1">
        <v>4.0</v>
      </c>
      <c r="E146" s="1">
        <v>14.6666666666666</v>
      </c>
      <c r="F146" s="1">
        <v>9.0</v>
      </c>
      <c r="G146" s="1">
        <v>0.0</v>
      </c>
      <c r="H146" s="1">
        <v>0.25</v>
      </c>
    </row>
    <row r="147">
      <c r="A147" s="1" t="s">
        <v>2745</v>
      </c>
      <c r="B147" s="1">
        <v>11.0</v>
      </c>
      <c r="C147" s="1">
        <v>7.0</v>
      </c>
      <c r="D147" s="1">
        <v>6.0</v>
      </c>
      <c r="E147" s="1">
        <v>42.4545454545454</v>
      </c>
      <c r="F147" s="1">
        <v>0.0</v>
      </c>
      <c r="G147" s="1">
        <v>0.0</v>
      </c>
      <c r="H147" s="1">
        <v>0.0</v>
      </c>
    </row>
    <row r="148">
      <c r="A148" s="1" t="s">
        <v>2748</v>
      </c>
      <c r="B148" s="1">
        <v>11.0</v>
      </c>
      <c r="C148" s="1">
        <v>11.0</v>
      </c>
      <c r="D148" s="1">
        <v>11.0</v>
      </c>
      <c r="E148" s="1">
        <v>102.272727272727</v>
      </c>
      <c r="F148" s="1">
        <v>2.0</v>
      </c>
      <c r="G148" s="1">
        <v>0.0</v>
      </c>
      <c r="H148" s="1">
        <v>0.181818181818181</v>
      </c>
    </row>
    <row r="149">
      <c r="A149" s="1" t="s">
        <v>2700</v>
      </c>
      <c r="B149" s="1">
        <v>11.0</v>
      </c>
      <c r="C149" s="1">
        <v>11.0</v>
      </c>
      <c r="D149" s="1">
        <v>11.0</v>
      </c>
      <c r="E149" s="1">
        <v>69.0909090909091</v>
      </c>
      <c r="F149" s="1">
        <v>11.0</v>
      </c>
      <c r="G149" s="1">
        <v>0.0</v>
      </c>
      <c r="H149" s="1">
        <v>0.0909090909090909</v>
      </c>
    </row>
    <row r="150">
      <c r="A150" s="1" t="s">
        <v>2752</v>
      </c>
      <c r="B150" s="1">
        <v>11.0</v>
      </c>
      <c r="C150" s="1">
        <v>11.0</v>
      </c>
      <c r="D150" s="1">
        <v>11.0</v>
      </c>
      <c r="E150" s="1">
        <v>133.363636363636</v>
      </c>
      <c r="F150" s="1">
        <v>0.0</v>
      </c>
      <c r="G150" s="1">
        <v>0.0</v>
      </c>
      <c r="H150" s="1">
        <v>0.0</v>
      </c>
    </row>
    <row r="151">
      <c r="A151" s="1" t="s">
        <v>2891</v>
      </c>
      <c r="B151" s="1">
        <v>11.0</v>
      </c>
      <c r="C151" s="1">
        <v>11.0</v>
      </c>
      <c r="D151" s="1">
        <v>10.0</v>
      </c>
      <c r="E151" s="1">
        <v>18.0</v>
      </c>
      <c r="F151" s="1">
        <v>2.0</v>
      </c>
      <c r="G151" s="1">
        <v>0.0</v>
      </c>
      <c r="H151" s="1">
        <v>0.0909090909090909</v>
      </c>
    </row>
    <row r="152">
      <c r="A152" s="1" t="s">
        <v>2628</v>
      </c>
      <c r="B152" s="1">
        <v>11.0</v>
      </c>
      <c r="C152" s="1">
        <v>11.0</v>
      </c>
      <c r="D152" s="1">
        <v>9.0</v>
      </c>
      <c r="E152" s="1">
        <v>91.4545454545454</v>
      </c>
      <c r="F152" s="1">
        <v>10.0</v>
      </c>
      <c r="G152" s="1">
        <v>0.0</v>
      </c>
      <c r="H152" s="1">
        <v>0.181818181818181</v>
      </c>
    </row>
    <row r="153">
      <c r="A153" s="1" t="s">
        <v>2611</v>
      </c>
      <c r="B153" s="1">
        <v>11.0</v>
      </c>
      <c r="C153" s="1">
        <v>11.0</v>
      </c>
      <c r="D153" s="1">
        <v>11.0</v>
      </c>
      <c r="E153" s="1">
        <v>0.0</v>
      </c>
      <c r="F153" s="1">
        <v>0.0</v>
      </c>
      <c r="G153" s="1">
        <v>0.0</v>
      </c>
      <c r="H153" s="1">
        <v>0.0</v>
      </c>
    </row>
    <row r="154">
      <c r="A154" s="1" t="s">
        <v>2716</v>
      </c>
      <c r="B154" s="1">
        <v>11.0</v>
      </c>
      <c r="C154" s="1">
        <v>7.0</v>
      </c>
      <c r="D154" s="1">
        <v>6.0</v>
      </c>
      <c r="E154" s="1">
        <v>188.181818181818</v>
      </c>
      <c r="F154" s="1">
        <v>15.0</v>
      </c>
      <c r="G154" s="1">
        <v>0.0</v>
      </c>
      <c r="H154" s="1">
        <v>0.181818181818181</v>
      </c>
    </row>
    <row r="155">
      <c r="A155" s="1" t="s">
        <v>2640</v>
      </c>
      <c r="B155" s="1">
        <v>11.0</v>
      </c>
      <c r="C155" s="1">
        <v>11.0</v>
      </c>
      <c r="D155" s="1">
        <v>9.0</v>
      </c>
      <c r="E155" s="1">
        <v>1.0</v>
      </c>
      <c r="F155" s="1">
        <v>6.0</v>
      </c>
      <c r="G155" s="1">
        <v>0.0</v>
      </c>
      <c r="H155" s="1">
        <v>0.272727272727272</v>
      </c>
    </row>
    <row r="156">
      <c r="A156" s="1" t="s">
        <v>476</v>
      </c>
      <c r="B156" s="1">
        <v>11.0</v>
      </c>
      <c r="C156" s="1">
        <v>11.0</v>
      </c>
      <c r="D156" s="1">
        <v>11.0</v>
      </c>
      <c r="E156" s="1">
        <v>93.0909090909091</v>
      </c>
      <c r="F156" s="1">
        <v>2.0</v>
      </c>
      <c r="G156" s="1">
        <v>0.0</v>
      </c>
      <c r="H156" s="1">
        <v>0.0909090909090909</v>
      </c>
    </row>
    <row r="157">
      <c r="A157" s="1" t="s">
        <v>2681</v>
      </c>
      <c r="B157" s="1">
        <v>10.0</v>
      </c>
      <c r="C157" s="1">
        <v>10.0</v>
      </c>
      <c r="D157" s="1">
        <v>10.0</v>
      </c>
      <c r="E157" s="1">
        <v>34.9</v>
      </c>
      <c r="F157" s="1">
        <v>0.0</v>
      </c>
      <c r="G157" s="1">
        <v>0.0</v>
      </c>
      <c r="H157" s="1">
        <v>0.0</v>
      </c>
    </row>
    <row r="158">
      <c r="A158" s="1" t="s">
        <v>2877</v>
      </c>
      <c r="B158" s="1">
        <v>10.0</v>
      </c>
      <c r="C158" s="1">
        <v>10.0</v>
      </c>
      <c r="D158" s="1">
        <v>10.0</v>
      </c>
      <c r="E158" s="1">
        <v>34.0</v>
      </c>
      <c r="F158" s="1">
        <v>13.0</v>
      </c>
      <c r="G158" s="1">
        <v>0.0</v>
      </c>
      <c r="H158" s="1">
        <v>0.8</v>
      </c>
    </row>
    <row r="159">
      <c r="A159" s="1" t="s">
        <v>2765</v>
      </c>
      <c r="B159" s="1">
        <v>10.0</v>
      </c>
      <c r="C159" s="1">
        <v>9.0</v>
      </c>
      <c r="D159" s="1">
        <v>9.0</v>
      </c>
      <c r="E159" s="1">
        <v>37.5</v>
      </c>
      <c r="F159" s="1">
        <v>2.0</v>
      </c>
      <c r="G159" s="1">
        <v>0.0</v>
      </c>
      <c r="H159" s="1">
        <v>0.1</v>
      </c>
    </row>
    <row r="160">
      <c r="A160" s="1" t="s">
        <v>2670</v>
      </c>
      <c r="B160" s="1">
        <v>10.0</v>
      </c>
      <c r="C160" s="1">
        <v>10.0</v>
      </c>
      <c r="D160" s="1">
        <v>9.0</v>
      </c>
      <c r="E160" s="1">
        <v>77.7</v>
      </c>
      <c r="F160" s="1">
        <v>12.0</v>
      </c>
      <c r="G160" s="1">
        <v>0.0</v>
      </c>
      <c r="H160" s="1">
        <v>0.3</v>
      </c>
    </row>
    <row r="161">
      <c r="A161" s="1" t="s">
        <v>2550</v>
      </c>
      <c r="B161" s="1">
        <v>10.0</v>
      </c>
      <c r="C161" s="1">
        <v>7.0</v>
      </c>
      <c r="D161" s="1">
        <v>6.0</v>
      </c>
      <c r="E161" s="1">
        <v>64.8</v>
      </c>
      <c r="F161" s="1">
        <v>0.0</v>
      </c>
      <c r="G161" s="1">
        <v>0.0</v>
      </c>
      <c r="H161" s="1">
        <v>0.0</v>
      </c>
    </row>
    <row r="162">
      <c r="A162" s="1" t="s">
        <v>2721</v>
      </c>
      <c r="B162" s="1">
        <v>10.0</v>
      </c>
      <c r="C162" s="1">
        <v>9.0</v>
      </c>
      <c r="D162" s="1">
        <v>8.0</v>
      </c>
      <c r="E162" s="1">
        <v>91.8</v>
      </c>
      <c r="F162" s="1">
        <v>7.0</v>
      </c>
      <c r="G162" s="1">
        <v>0.0</v>
      </c>
      <c r="H162" s="1">
        <v>0.2</v>
      </c>
    </row>
    <row r="163">
      <c r="A163" s="1" t="s">
        <v>2724</v>
      </c>
      <c r="B163" s="1">
        <v>10.0</v>
      </c>
      <c r="C163" s="1">
        <v>9.0</v>
      </c>
      <c r="D163" s="1">
        <v>9.0</v>
      </c>
      <c r="E163" s="1">
        <v>26.0</v>
      </c>
      <c r="F163" s="1">
        <v>0.0</v>
      </c>
      <c r="G163" s="1">
        <v>0.0</v>
      </c>
      <c r="H163" s="1">
        <v>0.0</v>
      </c>
    </row>
    <row r="164">
      <c r="A164" s="1" t="s">
        <v>2599</v>
      </c>
      <c r="B164" s="1">
        <v>10.0</v>
      </c>
      <c r="C164" s="1">
        <v>7.0</v>
      </c>
      <c r="D164" s="1">
        <v>6.0</v>
      </c>
      <c r="E164" s="1">
        <v>16.3</v>
      </c>
      <c r="F164" s="1">
        <v>6.0</v>
      </c>
      <c r="G164" s="1">
        <v>0.0</v>
      </c>
      <c r="H164" s="1">
        <v>0.1</v>
      </c>
    </row>
    <row r="165">
      <c r="A165" s="1" t="s">
        <v>2642</v>
      </c>
      <c r="B165" s="1">
        <v>9.0</v>
      </c>
      <c r="C165" s="1">
        <v>7.0</v>
      </c>
      <c r="D165" s="1">
        <v>7.0</v>
      </c>
      <c r="E165" s="1">
        <v>72.6666666666666</v>
      </c>
      <c r="F165" s="1">
        <v>2.0</v>
      </c>
      <c r="G165" s="1">
        <v>0.0</v>
      </c>
      <c r="H165" s="1">
        <v>0.111111111111111</v>
      </c>
    </row>
    <row r="166">
      <c r="A166" s="1" t="s">
        <v>2739</v>
      </c>
      <c r="B166" s="1">
        <v>9.0</v>
      </c>
      <c r="C166" s="1">
        <v>9.0</v>
      </c>
      <c r="D166" s="1">
        <v>9.0</v>
      </c>
      <c r="E166" s="1">
        <v>64.5555555555555</v>
      </c>
      <c r="F166" s="1">
        <v>1.0</v>
      </c>
      <c r="G166" s="1">
        <v>0.0</v>
      </c>
      <c r="H166" s="1">
        <v>0.111111111111111</v>
      </c>
    </row>
    <row r="167">
      <c r="A167" s="1" t="s">
        <v>2655</v>
      </c>
      <c r="B167" s="1">
        <v>9.0</v>
      </c>
      <c r="C167" s="1">
        <v>8.0</v>
      </c>
      <c r="D167" s="1">
        <v>7.0</v>
      </c>
      <c r="E167" s="1">
        <v>92.8888888888888</v>
      </c>
      <c r="F167" s="1">
        <v>4.0</v>
      </c>
      <c r="G167" s="1">
        <v>0.0</v>
      </c>
      <c r="H167" s="1">
        <v>0.222222222222222</v>
      </c>
    </row>
    <row r="168">
      <c r="A168" s="1" t="s">
        <v>2680</v>
      </c>
      <c r="B168" s="1">
        <v>9.0</v>
      </c>
      <c r="C168" s="1">
        <v>9.0</v>
      </c>
      <c r="D168" s="1">
        <v>9.0</v>
      </c>
      <c r="E168" s="1">
        <v>0.444444444444444</v>
      </c>
      <c r="F168" s="1">
        <v>0.0</v>
      </c>
      <c r="G168" s="1">
        <v>0.0</v>
      </c>
      <c r="H168" s="1">
        <v>0.0</v>
      </c>
    </row>
    <row r="169">
      <c r="A169" s="1" t="s">
        <v>2657</v>
      </c>
      <c r="B169" s="1">
        <v>9.0</v>
      </c>
      <c r="C169" s="1">
        <v>9.0</v>
      </c>
      <c r="D169" s="1">
        <v>9.0</v>
      </c>
      <c r="E169" s="1">
        <v>201.444444444444</v>
      </c>
      <c r="F169" s="1">
        <v>0.0</v>
      </c>
      <c r="G169" s="1">
        <v>0.0</v>
      </c>
      <c r="H169" s="1">
        <v>0.0</v>
      </c>
    </row>
    <row r="170">
      <c r="A170" s="1" t="s">
        <v>2705</v>
      </c>
      <c r="B170" s="1">
        <v>9.0</v>
      </c>
      <c r="C170" s="1">
        <v>9.0</v>
      </c>
      <c r="D170" s="1">
        <v>7.0</v>
      </c>
      <c r="E170" s="1">
        <v>101.333333333333</v>
      </c>
      <c r="F170" s="1">
        <v>7.0</v>
      </c>
      <c r="G170" s="1">
        <v>0.0</v>
      </c>
      <c r="H170" s="1">
        <v>0.111111111111111</v>
      </c>
    </row>
    <row r="171">
      <c r="A171" s="1" t="s">
        <v>2669</v>
      </c>
      <c r="B171" s="1">
        <v>9.0</v>
      </c>
      <c r="C171" s="1">
        <v>9.0</v>
      </c>
      <c r="D171" s="1">
        <v>9.0</v>
      </c>
      <c r="E171" s="1">
        <v>22.1111111111111</v>
      </c>
      <c r="F171" s="1">
        <v>3.0</v>
      </c>
      <c r="G171" s="1">
        <v>0.0</v>
      </c>
      <c r="H171" s="1">
        <v>0.222222222222222</v>
      </c>
    </row>
    <row r="172">
      <c r="A172" s="1" t="s">
        <v>3080</v>
      </c>
      <c r="B172" s="1">
        <v>9.0</v>
      </c>
      <c r="C172" s="1">
        <v>9.0</v>
      </c>
      <c r="D172" s="1">
        <v>9.0</v>
      </c>
      <c r="E172" s="1">
        <v>1.11111111111111</v>
      </c>
      <c r="F172" s="1">
        <v>0.0</v>
      </c>
      <c r="G172" s="1">
        <v>0.0</v>
      </c>
      <c r="H172" s="1">
        <v>0.0</v>
      </c>
    </row>
    <row r="173">
      <c r="A173" s="1" t="s">
        <v>2592</v>
      </c>
      <c r="B173" s="1">
        <v>9.0</v>
      </c>
      <c r="C173" s="1">
        <v>8.0</v>
      </c>
      <c r="D173" s="1">
        <v>8.0</v>
      </c>
      <c r="E173" s="1">
        <v>32.6666666666666</v>
      </c>
      <c r="F173" s="1">
        <v>0.0</v>
      </c>
      <c r="G173" s="1">
        <v>0.0</v>
      </c>
      <c r="H173" s="1">
        <v>0.0</v>
      </c>
    </row>
    <row r="174">
      <c r="A174" s="1" t="s">
        <v>2791</v>
      </c>
      <c r="B174" s="1">
        <v>9.0</v>
      </c>
      <c r="C174" s="1">
        <v>8.0</v>
      </c>
      <c r="D174" s="1">
        <v>8.0</v>
      </c>
      <c r="E174" s="1">
        <v>79.2222222222222</v>
      </c>
      <c r="F174" s="1">
        <v>0.0</v>
      </c>
      <c r="G174" s="1">
        <v>0.0</v>
      </c>
      <c r="H174" s="1">
        <v>0.0</v>
      </c>
    </row>
    <row r="175">
      <c r="A175" s="1" t="s">
        <v>2831</v>
      </c>
      <c r="B175" s="1">
        <v>8.0</v>
      </c>
      <c r="C175" s="1">
        <v>8.0</v>
      </c>
      <c r="D175" s="1">
        <v>8.0</v>
      </c>
      <c r="E175" s="1">
        <v>27.375</v>
      </c>
      <c r="F175" s="1">
        <v>2.0</v>
      </c>
      <c r="G175" s="1">
        <v>0.0</v>
      </c>
      <c r="H175" s="1">
        <v>0.125</v>
      </c>
    </row>
    <row r="176">
      <c r="A176" s="1" t="s">
        <v>2679</v>
      </c>
      <c r="B176" s="1">
        <v>8.0</v>
      </c>
      <c r="C176" s="1">
        <v>8.0</v>
      </c>
      <c r="D176" s="1">
        <v>8.0</v>
      </c>
      <c r="E176" s="1">
        <v>107.25</v>
      </c>
      <c r="F176" s="1">
        <v>0.0</v>
      </c>
      <c r="G176" s="1">
        <v>0.0</v>
      </c>
      <c r="H176" s="1">
        <v>0.0</v>
      </c>
    </row>
    <row r="177">
      <c r="A177" s="1" t="s">
        <v>2854</v>
      </c>
      <c r="B177" s="1">
        <v>8.0</v>
      </c>
      <c r="C177" s="1">
        <v>7.0</v>
      </c>
      <c r="D177" s="1">
        <v>7.0</v>
      </c>
      <c r="E177" s="1">
        <v>47.375</v>
      </c>
      <c r="F177" s="1">
        <v>3.0</v>
      </c>
      <c r="G177" s="1">
        <v>0.0</v>
      </c>
      <c r="H177" s="1">
        <v>0.125</v>
      </c>
    </row>
    <row r="178">
      <c r="A178" s="1" t="s">
        <v>2855</v>
      </c>
      <c r="B178" s="1">
        <v>8.0</v>
      </c>
      <c r="C178" s="1">
        <v>7.0</v>
      </c>
      <c r="D178" s="1">
        <v>7.0</v>
      </c>
      <c r="E178" s="1">
        <v>22.375</v>
      </c>
      <c r="F178" s="1">
        <v>0.0</v>
      </c>
      <c r="G178" s="1">
        <v>0.0</v>
      </c>
      <c r="H178" s="1">
        <v>0.0</v>
      </c>
    </row>
    <row r="179">
      <c r="A179" s="1" t="s">
        <v>3081</v>
      </c>
      <c r="B179" s="1">
        <v>8.0</v>
      </c>
      <c r="C179" s="1">
        <v>7.0</v>
      </c>
      <c r="D179" s="1">
        <v>7.0</v>
      </c>
      <c r="E179" s="1">
        <v>34.125</v>
      </c>
      <c r="F179" s="1">
        <v>1.0</v>
      </c>
      <c r="G179" s="1">
        <v>0.0</v>
      </c>
      <c r="H179" s="1">
        <v>0.125</v>
      </c>
    </row>
    <row r="180">
      <c r="A180" s="1" t="s">
        <v>2884</v>
      </c>
      <c r="B180" s="1">
        <v>8.0</v>
      </c>
      <c r="C180" s="1">
        <v>8.0</v>
      </c>
      <c r="D180" s="1">
        <v>6.0</v>
      </c>
      <c r="E180" s="1">
        <v>12.125</v>
      </c>
      <c r="F180" s="1">
        <v>2.0</v>
      </c>
      <c r="G180" s="1">
        <v>0.0</v>
      </c>
      <c r="H180" s="1">
        <v>0.125</v>
      </c>
    </row>
    <row r="181">
      <c r="A181" s="1" t="s">
        <v>2714</v>
      </c>
      <c r="B181" s="1">
        <v>8.0</v>
      </c>
      <c r="C181" s="1">
        <v>8.0</v>
      </c>
      <c r="D181" s="1">
        <v>7.0</v>
      </c>
      <c r="E181" s="1">
        <v>78.625</v>
      </c>
      <c r="F181" s="1">
        <v>4.0</v>
      </c>
      <c r="G181" s="1">
        <v>0.0</v>
      </c>
      <c r="H181" s="1">
        <v>0.125</v>
      </c>
    </row>
    <row r="182">
      <c r="A182" s="1" t="s">
        <v>2651</v>
      </c>
      <c r="B182" s="1">
        <v>8.0</v>
      </c>
      <c r="C182" s="1">
        <v>6.0</v>
      </c>
      <c r="D182" s="1">
        <v>6.0</v>
      </c>
      <c r="E182" s="1">
        <v>21.5</v>
      </c>
      <c r="F182" s="1">
        <v>0.0</v>
      </c>
      <c r="G182" s="1">
        <v>0.0</v>
      </c>
      <c r="H182" s="1">
        <v>0.0</v>
      </c>
    </row>
    <row r="183">
      <c r="A183" s="1" t="s">
        <v>3082</v>
      </c>
      <c r="B183" s="1">
        <v>8.0</v>
      </c>
      <c r="C183" s="1">
        <v>7.0</v>
      </c>
      <c r="D183" s="1">
        <v>6.0</v>
      </c>
      <c r="E183" s="1">
        <v>33.25</v>
      </c>
      <c r="F183" s="1">
        <v>0.0</v>
      </c>
      <c r="G183" s="1">
        <v>0.0</v>
      </c>
      <c r="H183" s="1">
        <v>0.0</v>
      </c>
    </row>
    <row r="184">
      <c r="A184" s="1" t="s">
        <v>2663</v>
      </c>
      <c r="B184" s="1">
        <v>7.0</v>
      </c>
      <c r="C184" s="1">
        <v>6.0</v>
      </c>
      <c r="D184" s="1">
        <v>6.0</v>
      </c>
      <c r="E184" s="1">
        <v>54.4285714285714</v>
      </c>
      <c r="F184" s="1">
        <v>0.0</v>
      </c>
      <c r="G184" s="1">
        <v>0.0</v>
      </c>
      <c r="H184" s="1">
        <v>0.0</v>
      </c>
    </row>
    <row r="185">
      <c r="A185" s="1" t="s">
        <v>2664</v>
      </c>
      <c r="B185" s="1">
        <v>7.0</v>
      </c>
      <c r="C185" s="1">
        <v>6.0</v>
      </c>
      <c r="D185" s="1">
        <v>6.0</v>
      </c>
      <c r="E185" s="1">
        <v>37.7142857142857</v>
      </c>
      <c r="F185" s="1">
        <v>0.0</v>
      </c>
      <c r="G185" s="1">
        <v>0.0</v>
      </c>
      <c r="H185" s="1">
        <v>0.0</v>
      </c>
    </row>
    <row r="186">
      <c r="A186" s="1" t="s">
        <v>2840</v>
      </c>
      <c r="B186" s="1">
        <v>7.0</v>
      </c>
      <c r="C186" s="1">
        <v>7.0</v>
      </c>
      <c r="D186" s="1">
        <v>7.0</v>
      </c>
      <c r="E186" s="1">
        <v>32.2857142857142</v>
      </c>
      <c r="F186" s="1">
        <v>0.0</v>
      </c>
      <c r="G186" s="1">
        <v>0.0</v>
      </c>
      <c r="H186" s="1">
        <v>0.0</v>
      </c>
    </row>
    <row r="187">
      <c r="A187" s="1" t="s">
        <v>2615</v>
      </c>
      <c r="B187" s="1">
        <v>7.0</v>
      </c>
      <c r="C187" s="1">
        <v>7.0</v>
      </c>
      <c r="D187" s="1">
        <v>7.0</v>
      </c>
      <c r="E187" s="1">
        <v>82.4285714285714</v>
      </c>
      <c r="F187" s="1">
        <v>1.0</v>
      </c>
      <c r="G187" s="1">
        <v>0.0</v>
      </c>
      <c r="H187" s="1">
        <v>0.142857142857142</v>
      </c>
    </row>
    <row r="188">
      <c r="A188" s="1" t="s">
        <v>3083</v>
      </c>
      <c r="B188" s="1">
        <v>7.0</v>
      </c>
      <c r="C188" s="1">
        <v>7.0</v>
      </c>
      <c r="D188" s="1">
        <v>0.0</v>
      </c>
      <c r="E188" s="1">
        <v>49.5714285714285</v>
      </c>
      <c r="F188" s="1">
        <v>0.0</v>
      </c>
      <c r="G188" s="1">
        <v>0.0</v>
      </c>
      <c r="H188" s="1">
        <v>0.0</v>
      </c>
    </row>
    <row r="189">
      <c r="A189" s="1" t="s">
        <v>2609</v>
      </c>
      <c r="B189" s="1">
        <v>7.0</v>
      </c>
      <c r="C189" s="1">
        <v>6.0</v>
      </c>
      <c r="D189" s="1">
        <v>6.0</v>
      </c>
      <c r="E189" s="1">
        <v>27.4285714285714</v>
      </c>
      <c r="F189" s="1">
        <v>0.0</v>
      </c>
      <c r="G189" s="1">
        <v>0.0</v>
      </c>
      <c r="H189" s="1">
        <v>0.0</v>
      </c>
    </row>
    <row r="190">
      <c r="A190" s="1" t="s">
        <v>2667</v>
      </c>
      <c r="B190" s="1">
        <v>7.0</v>
      </c>
      <c r="C190" s="1">
        <v>7.0</v>
      </c>
      <c r="D190" s="1">
        <v>6.0</v>
      </c>
      <c r="E190" s="1">
        <v>21.2857142857142</v>
      </c>
      <c r="F190" s="1">
        <v>0.0</v>
      </c>
      <c r="G190" s="1">
        <v>0.0</v>
      </c>
      <c r="H190" s="1">
        <v>0.0</v>
      </c>
    </row>
    <row r="191">
      <c r="A191" s="1" t="s">
        <v>3084</v>
      </c>
      <c r="B191" s="1">
        <v>7.0</v>
      </c>
      <c r="C191" s="1">
        <v>7.0</v>
      </c>
      <c r="D191" s="1">
        <v>7.0</v>
      </c>
      <c r="E191" s="1">
        <v>8.85714285714285</v>
      </c>
      <c r="F191" s="1">
        <v>0.0</v>
      </c>
      <c r="G191" s="1">
        <v>0.0</v>
      </c>
      <c r="H191" s="1">
        <v>0.0</v>
      </c>
    </row>
    <row r="192">
      <c r="A192" s="1" t="s">
        <v>2887</v>
      </c>
      <c r="B192" s="1">
        <v>7.0</v>
      </c>
      <c r="C192" s="1">
        <v>6.0</v>
      </c>
      <c r="D192" s="1">
        <v>5.0</v>
      </c>
      <c r="E192" s="1">
        <v>23.1428571428571</v>
      </c>
      <c r="F192" s="1">
        <v>1.0</v>
      </c>
      <c r="G192" s="1">
        <v>0.0</v>
      </c>
      <c r="H192" s="1">
        <v>0.142857142857142</v>
      </c>
    </row>
    <row r="193">
      <c r="A193" s="1" t="s">
        <v>528</v>
      </c>
      <c r="B193" s="1">
        <v>7.0</v>
      </c>
      <c r="C193" s="1">
        <v>5.0</v>
      </c>
      <c r="D193" s="1">
        <v>3.0</v>
      </c>
      <c r="E193" s="1">
        <v>32.7142857142857</v>
      </c>
      <c r="F193" s="1">
        <v>2.0</v>
      </c>
      <c r="G193" s="1">
        <v>0.0</v>
      </c>
      <c r="H193" s="1">
        <v>0.142857142857142</v>
      </c>
    </row>
    <row r="194">
      <c r="A194" s="1" t="s">
        <v>2774</v>
      </c>
      <c r="B194" s="1">
        <v>7.0</v>
      </c>
      <c r="C194" s="1">
        <v>7.0</v>
      </c>
      <c r="D194" s="1">
        <v>7.0</v>
      </c>
      <c r="E194" s="1">
        <v>88.1428571428571</v>
      </c>
      <c r="F194" s="1">
        <v>0.0</v>
      </c>
      <c r="G194" s="1">
        <v>0.0</v>
      </c>
      <c r="H194" s="1">
        <v>0.0</v>
      </c>
    </row>
    <row r="195">
      <c r="A195" s="1" t="s">
        <v>2912</v>
      </c>
      <c r="B195" s="1">
        <v>7.0</v>
      </c>
      <c r="C195" s="1">
        <v>6.0</v>
      </c>
      <c r="D195" s="1">
        <v>6.0</v>
      </c>
      <c r="E195" s="1">
        <v>24.5714285714285</v>
      </c>
      <c r="F195" s="1">
        <v>2.0</v>
      </c>
      <c r="G195" s="1">
        <v>0.0</v>
      </c>
      <c r="H195" s="1">
        <v>0.142857142857142</v>
      </c>
    </row>
    <row r="196">
      <c r="A196" s="1" t="s">
        <v>2792</v>
      </c>
      <c r="B196" s="1">
        <v>7.0</v>
      </c>
      <c r="C196" s="1">
        <v>7.0</v>
      </c>
      <c r="D196" s="1">
        <v>6.0</v>
      </c>
      <c r="E196" s="1">
        <v>41.8571428571428</v>
      </c>
      <c r="F196" s="1">
        <v>5.0</v>
      </c>
      <c r="G196" s="1">
        <v>0.0</v>
      </c>
      <c r="H196" s="1">
        <v>0.285714285714285</v>
      </c>
    </row>
    <row r="197">
      <c r="A197" s="1" t="s">
        <v>2641</v>
      </c>
      <c r="B197" s="1">
        <v>6.0</v>
      </c>
      <c r="C197" s="1">
        <v>6.0</v>
      </c>
      <c r="D197" s="1">
        <v>6.0</v>
      </c>
      <c r="E197" s="1">
        <v>50.6666666666666</v>
      </c>
      <c r="F197" s="1">
        <v>0.0</v>
      </c>
      <c r="G197" s="1">
        <v>0.0</v>
      </c>
      <c r="H197" s="1">
        <v>0.0</v>
      </c>
    </row>
    <row r="198">
      <c r="A198" s="1" t="s">
        <v>3085</v>
      </c>
      <c r="B198" s="1">
        <v>6.0</v>
      </c>
      <c r="C198" s="1">
        <v>6.0</v>
      </c>
      <c r="D198" s="1">
        <v>6.0</v>
      </c>
      <c r="E198" s="1">
        <v>51.0</v>
      </c>
      <c r="F198" s="1">
        <v>0.0</v>
      </c>
      <c r="G198" s="1">
        <v>0.0</v>
      </c>
      <c r="H198" s="1">
        <v>0.0</v>
      </c>
    </row>
    <row r="199">
      <c r="A199" s="1" t="s">
        <v>3086</v>
      </c>
      <c r="B199" s="1">
        <v>6.0</v>
      </c>
      <c r="C199" s="1">
        <v>6.0</v>
      </c>
      <c r="D199" s="1">
        <v>6.0</v>
      </c>
      <c r="E199" s="1">
        <v>21.3333333333333</v>
      </c>
      <c r="F199" s="1">
        <v>0.0</v>
      </c>
      <c r="G199" s="1">
        <v>0.0</v>
      </c>
      <c r="H199" s="1">
        <v>0.0</v>
      </c>
    </row>
    <row r="200">
      <c r="A200" s="1" t="s">
        <v>2741</v>
      </c>
      <c r="B200" s="1">
        <v>6.0</v>
      </c>
      <c r="C200" s="1">
        <v>5.0</v>
      </c>
      <c r="D200" s="1">
        <v>5.0</v>
      </c>
      <c r="E200" s="1">
        <v>73.6666666666666</v>
      </c>
      <c r="F200" s="1">
        <v>0.0</v>
      </c>
      <c r="G200" s="1">
        <v>0.0</v>
      </c>
      <c r="H200" s="1">
        <v>0.0</v>
      </c>
    </row>
    <row r="201">
      <c r="A201" s="1" t="s">
        <v>3087</v>
      </c>
      <c r="B201" s="1">
        <v>6.0</v>
      </c>
      <c r="C201" s="1">
        <v>5.0</v>
      </c>
      <c r="D201" s="1">
        <v>5.0</v>
      </c>
      <c r="E201" s="1">
        <v>26.0</v>
      </c>
      <c r="F201" s="1">
        <v>0.0</v>
      </c>
      <c r="G201" s="1">
        <v>0.0</v>
      </c>
      <c r="H201" s="1">
        <v>0.0</v>
      </c>
    </row>
    <row r="202">
      <c r="A202" s="1" t="s">
        <v>2747</v>
      </c>
      <c r="B202" s="1">
        <v>6.0</v>
      </c>
      <c r="C202" s="1">
        <v>5.0</v>
      </c>
      <c r="D202" s="1">
        <v>5.0</v>
      </c>
      <c r="E202" s="1">
        <v>19.3333333333333</v>
      </c>
      <c r="F202" s="1">
        <v>1.0</v>
      </c>
      <c r="G202" s="1">
        <v>0.0</v>
      </c>
      <c r="H202" s="1">
        <v>0.166666666666666</v>
      </c>
    </row>
    <row r="203">
      <c r="A203" s="1" t="s">
        <v>2699</v>
      </c>
      <c r="B203" s="1">
        <v>6.0</v>
      </c>
      <c r="C203" s="1">
        <v>6.0</v>
      </c>
      <c r="D203" s="1">
        <v>6.0</v>
      </c>
      <c r="E203" s="1">
        <v>288.333333333333</v>
      </c>
      <c r="F203" s="1">
        <v>7.0</v>
      </c>
      <c r="G203" s="1">
        <v>0.0</v>
      </c>
      <c r="H203" s="1">
        <v>0.333333333333333</v>
      </c>
    </row>
    <row r="204">
      <c r="A204" s="1" t="s">
        <v>2614</v>
      </c>
      <c r="B204" s="1">
        <v>6.0</v>
      </c>
      <c r="C204" s="1">
        <v>6.0</v>
      </c>
      <c r="D204" s="1">
        <v>6.0</v>
      </c>
      <c r="E204" s="1">
        <v>202.5</v>
      </c>
      <c r="F204" s="1">
        <v>0.0</v>
      </c>
      <c r="G204" s="1">
        <v>0.0</v>
      </c>
      <c r="H204" s="1">
        <v>0.0</v>
      </c>
    </row>
    <row r="205">
      <c r="A205" s="1" t="s">
        <v>2608</v>
      </c>
      <c r="B205" s="1">
        <v>6.0</v>
      </c>
      <c r="C205" s="1">
        <v>6.0</v>
      </c>
      <c r="D205" s="1">
        <v>5.0</v>
      </c>
      <c r="E205" s="1">
        <v>4.33333333333333</v>
      </c>
      <c r="F205" s="1">
        <v>0.0</v>
      </c>
      <c r="G205" s="1">
        <v>0.0</v>
      </c>
      <c r="H205" s="1">
        <v>0.0</v>
      </c>
    </row>
    <row r="206">
      <c r="A206" s="1" t="s">
        <v>3088</v>
      </c>
      <c r="B206" s="1">
        <v>6.0</v>
      </c>
      <c r="C206" s="1">
        <v>4.0</v>
      </c>
      <c r="D206" s="1">
        <v>4.0</v>
      </c>
      <c r="E206" s="1">
        <v>70.3333333333333</v>
      </c>
      <c r="F206" s="1">
        <v>0.0</v>
      </c>
      <c r="G206" s="1">
        <v>0.0</v>
      </c>
      <c r="H206" s="1">
        <v>0.0</v>
      </c>
    </row>
    <row r="207">
      <c r="A207" s="1" t="s">
        <v>2658</v>
      </c>
      <c r="B207" s="1">
        <v>6.0</v>
      </c>
      <c r="C207" s="1">
        <v>6.0</v>
      </c>
      <c r="D207" s="1">
        <v>6.0</v>
      </c>
      <c r="E207" s="1">
        <v>5.5</v>
      </c>
      <c r="F207" s="1">
        <v>0.0</v>
      </c>
      <c r="G207" s="1">
        <v>0.0</v>
      </c>
      <c r="H207" s="1">
        <v>0.0</v>
      </c>
    </row>
    <row r="208">
      <c r="A208" s="1" t="s">
        <v>2886</v>
      </c>
      <c r="B208" s="1">
        <v>6.0</v>
      </c>
      <c r="C208" s="1">
        <v>6.0</v>
      </c>
      <c r="D208" s="1">
        <v>5.0</v>
      </c>
      <c r="E208" s="1">
        <v>49.5</v>
      </c>
      <c r="F208" s="1">
        <v>0.0</v>
      </c>
      <c r="G208" s="1">
        <v>0.0</v>
      </c>
      <c r="H208" s="1">
        <v>0.0</v>
      </c>
    </row>
    <row r="209">
      <c r="A209" s="1" t="s">
        <v>2890</v>
      </c>
      <c r="B209" s="1">
        <v>6.0</v>
      </c>
      <c r="C209" s="1">
        <v>6.0</v>
      </c>
      <c r="D209" s="1">
        <v>5.0</v>
      </c>
      <c r="E209" s="1">
        <v>134.666666666666</v>
      </c>
      <c r="F209" s="1">
        <v>0.0</v>
      </c>
      <c r="G209" s="1">
        <v>0.0</v>
      </c>
      <c r="H209" s="1">
        <v>0.0</v>
      </c>
    </row>
    <row r="210">
      <c r="A210" s="1" t="s">
        <v>3089</v>
      </c>
      <c r="B210" s="1">
        <v>6.0</v>
      </c>
      <c r="C210" s="1">
        <v>6.0</v>
      </c>
      <c r="D210" s="1">
        <v>4.0</v>
      </c>
      <c r="E210" s="1">
        <v>2.66666666666666</v>
      </c>
      <c r="F210" s="1">
        <v>0.0</v>
      </c>
      <c r="G210" s="1">
        <v>0.0</v>
      </c>
      <c r="H210" s="1">
        <v>0.0</v>
      </c>
    </row>
    <row r="211">
      <c r="A211" s="1" t="s">
        <v>2770</v>
      </c>
      <c r="B211" s="1">
        <v>6.0</v>
      </c>
      <c r="C211" s="1">
        <v>6.0</v>
      </c>
      <c r="D211" s="1">
        <v>4.0</v>
      </c>
      <c r="E211" s="1">
        <v>15.6666666666666</v>
      </c>
      <c r="F211" s="1">
        <v>0.0</v>
      </c>
      <c r="G211" s="1">
        <v>0.0</v>
      </c>
      <c r="H211" s="1">
        <v>0.0</v>
      </c>
    </row>
    <row r="212">
      <c r="A212" s="1" t="s">
        <v>2636</v>
      </c>
      <c r="B212" s="1">
        <v>6.0</v>
      </c>
      <c r="C212" s="1">
        <v>3.0</v>
      </c>
      <c r="D212" s="1">
        <v>2.0</v>
      </c>
      <c r="E212" s="1">
        <v>0.0</v>
      </c>
      <c r="F212" s="1">
        <v>0.0</v>
      </c>
      <c r="G212" s="1">
        <v>0.0</v>
      </c>
      <c r="H212" s="1">
        <v>0.0</v>
      </c>
    </row>
    <row r="213">
      <c r="A213" s="1" t="s">
        <v>2648</v>
      </c>
      <c r="B213" s="1">
        <v>6.0</v>
      </c>
      <c r="C213" s="1">
        <v>5.0</v>
      </c>
      <c r="D213" s="1">
        <v>5.0</v>
      </c>
      <c r="E213" s="1">
        <v>22.6666666666666</v>
      </c>
      <c r="F213" s="1">
        <v>0.0</v>
      </c>
      <c r="G213" s="1">
        <v>0.0</v>
      </c>
      <c r="H213" s="1">
        <v>0.0</v>
      </c>
    </row>
    <row r="214">
      <c r="A214" s="1" t="s">
        <v>2684</v>
      </c>
      <c r="B214" s="1">
        <v>6.0</v>
      </c>
      <c r="C214" s="1">
        <v>6.0</v>
      </c>
      <c r="D214" s="1">
        <v>6.0</v>
      </c>
      <c r="E214" s="1">
        <v>32.6666666666666</v>
      </c>
      <c r="F214" s="1">
        <v>3.0</v>
      </c>
      <c r="G214" s="1">
        <v>0.0</v>
      </c>
      <c r="H214" s="1">
        <v>0.166666666666666</v>
      </c>
    </row>
    <row r="215">
      <c r="A215" s="1" t="s">
        <v>3090</v>
      </c>
      <c r="B215" s="1">
        <v>6.0</v>
      </c>
      <c r="C215" s="1">
        <v>6.0</v>
      </c>
      <c r="D215" s="1">
        <v>6.0</v>
      </c>
      <c r="E215" s="1">
        <v>263.166666666666</v>
      </c>
      <c r="F215" s="1">
        <v>18.0</v>
      </c>
      <c r="G215" s="1">
        <v>0.0</v>
      </c>
      <c r="H215" s="1">
        <v>0.333333333333333</v>
      </c>
    </row>
    <row r="216">
      <c r="A216" s="1" t="s">
        <v>2719</v>
      </c>
      <c r="B216" s="1">
        <v>6.0</v>
      </c>
      <c r="C216" s="1">
        <v>5.0</v>
      </c>
      <c r="D216" s="1">
        <v>4.0</v>
      </c>
      <c r="E216" s="1">
        <v>45.1666666666666</v>
      </c>
      <c r="F216" s="1">
        <v>2.0</v>
      </c>
      <c r="G216" s="1">
        <v>0.0</v>
      </c>
      <c r="H216" s="1">
        <v>0.166666666666666</v>
      </c>
    </row>
    <row r="217">
      <c r="A217" s="1" t="s">
        <v>2837</v>
      </c>
      <c r="B217" s="1">
        <v>5.0</v>
      </c>
      <c r="C217" s="1">
        <v>5.0</v>
      </c>
      <c r="D217" s="1">
        <v>5.0</v>
      </c>
      <c r="E217" s="1">
        <v>74.4</v>
      </c>
      <c r="F217" s="1">
        <v>0.0</v>
      </c>
      <c r="G217" s="1">
        <v>0.0</v>
      </c>
      <c r="H217" s="1">
        <v>0.0</v>
      </c>
    </row>
    <row r="218">
      <c r="A218" s="1" t="s">
        <v>2750</v>
      </c>
      <c r="B218" s="1">
        <v>5.0</v>
      </c>
      <c r="C218" s="1">
        <v>5.0</v>
      </c>
      <c r="D218" s="1">
        <v>4.0</v>
      </c>
      <c r="E218" s="1">
        <v>140.8</v>
      </c>
      <c r="F218" s="1">
        <v>2.0</v>
      </c>
      <c r="G218" s="1">
        <v>0.0</v>
      </c>
      <c r="H218" s="1">
        <v>0.2</v>
      </c>
    </row>
    <row r="219">
      <c r="A219" s="1" t="s">
        <v>2753</v>
      </c>
      <c r="B219" s="1">
        <v>5.0</v>
      </c>
      <c r="C219" s="1">
        <v>4.0</v>
      </c>
      <c r="D219" s="1">
        <v>4.0</v>
      </c>
      <c r="E219" s="1">
        <v>51.6</v>
      </c>
      <c r="F219" s="1">
        <v>2.0</v>
      </c>
      <c r="G219" s="1">
        <v>0.0</v>
      </c>
      <c r="H219" s="1">
        <v>0.2</v>
      </c>
    </row>
    <row r="220">
      <c r="A220" s="1" t="s">
        <v>3091</v>
      </c>
      <c r="B220" s="1">
        <v>5.0</v>
      </c>
      <c r="C220" s="1">
        <v>5.0</v>
      </c>
      <c r="D220" s="1">
        <v>5.0</v>
      </c>
      <c r="E220" s="1">
        <v>52.0</v>
      </c>
      <c r="F220" s="1">
        <v>0.0</v>
      </c>
      <c r="G220" s="1">
        <v>0.0</v>
      </c>
      <c r="H220" s="1">
        <v>0.0</v>
      </c>
    </row>
    <row r="221">
      <c r="A221" s="1" t="s">
        <v>2858</v>
      </c>
      <c r="B221" s="1">
        <v>5.0</v>
      </c>
      <c r="C221" s="1">
        <v>5.0</v>
      </c>
      <c r="D221" s="1">
        <v>3.0</v>
      </c>
      <c r="E221" s="1">
        <v>22.6</v>
      </c>
      <c r="F221" s="1">
        <v>0.0</v>
      </c>
      <c r="G221" s="1">
        <v>0.0</v>
      </c>
      <c r="H221" s="1">
        <v>0.0</v>
      </c>
    </row>
    <row r="222">
      <c r="A222" s="1" t="s">
        <v>3092</v>
      </c>
      <c r="B222" s="1">
        <v>5.0</v>
      </c>
      <c r="C222" s="1">
        <v>5.0</v>
      </c>
      <c r="D222" s="1">
        <v>1.0</v>
      </c>
      <c r="E222" s="1">
        <v>42.4</v>
      </c>
      <c r="F222" s="1">
        <v>0.0</v>
      </c>
      <c r="G222" s="1">
        <v>0.0</v>
      </c>
      <c r="H222" s="1">
        <v>0.0</v>
      </c>
    </row>
    <row r="223">
      <c r="A223" s="1" t="s">
        <v>3093</v>
      </c>
      <c r="B223" s="1">
        <v>5.0</v>
      </c>
      <c r="C223" s="1">
        <v>5.0</v>
      </c>
      <c r="D223" s="1">
        <v>3.0</v>
      </c>
      <c r="E223" s="1">
        <v>28.6</v>
      </c>
      <c r="F223" s="1">
        <v>0.0</v>
      </c>
      <c r="G223" s="1">
        <v>0.0</v>
      </c>
      <c r="H223" s="1">
        <v>0.0</v>
      </c>
    </row>
    <row r="224">
      <c r="A224" s="1" t="s">
        <v>460</v>
      </c>
      <c r="B224" s="1">
        <v>5.0</v>
      </c>
      <c r="C224" s="1">
        <v>5.0</v>
      </c>
      <c r="D224" s="1">
        <v>4.0</v>
      </c>
      <c r="E224" s="1">
        <v>3.2</v>
      </c>
      <c r="F224" s="1">
        <v>0.0</v>
      </c>
      <c r="G224" s="1">
        <v>0.0</v>
      </c>
      <c r="H224" s="1">
        <v>0.0</v>
      </c>
    </row>
    <row r="225">
      <c r="A225" s="1" t="s">
        <v>3094</v>
      </c>
      <c r="B225" s="1">
        <v>5.0</v>
      </c>
      <c r="C225" s="1">
        <v>5.0</v>
      </c>
      <c r="D225" s="1">
        <v>5.0</v>
      </c>
      <c r="E225" s="1">
        <v>21.6</v>
      </c>
      <c r="F225" s="1">
        <v>0.0</v>
      </c>
      <c r="G225" s="1">
        <v>0.0</v>
      </c>
      <c r="H225" s="1">
        <v>0.0</v>
      </c>
    </row>
    <row r="226">
      <c r="A226" s="1" t="s">
        <v>2682</v>
      </c>
      <c r="B226" s="1">
        <v>5.0</v>
      </c>
      <c r="C226" s="1">
        <v>4.0</v>
      </c>
      <c r="D226" s="1">
        <v>4.0</v>
      </c>
      <c r="E226" s="1">
        <v>7.8</v>
      </c>
      <c r="F226" s="1">
        <v>0.0</v>
      </c>
      <c r="G226" s="1">
        <v>0.0</v>
      </c>
      <c r="H226" s="1">
        <v>0.0</v>
      </c>
    </row>
    <row r="227">
      <c r="A227" s="1" t="s">
        <v>2883</v>
      </c>
      <c r="B227" s="1">
        <v>5.0</v>
      </c>
      <c r="C227" s="1">
        <v>5.0</v>
      </c>
      <c r="D227" s="1">
        <v>5.0</v>
      </c>
      <c r="E227" s="1">
        <v>38.6</v>
      </c>
      <c r="F227" s="1">
        <v>0.0</v>
      </c>
      <c r="G227" s="1">
        <v>0.0</v>
      </c>
      <c r="H227" s="1">
        <v>0.0</v>
      </c>
    </row>
    <row r="228">
      <c r="A228" s="1" t="s">
        <v>2683</v>
      </c>
      <c r="B228" s="1">
        <v>5.0</v>
      </c>
      <c r="C228" s="1">
        <v>5.0</v>
      </c>
      <c r="D228" s="1">
        <v>4.0</v>
      </c>
      <c r="E228" s="1">
        <v>16.2</v>
      </c>
      <c r="F228" s="1">
        <v>0.0</v>
      </c>
      <c r="G228" s="1">
        <v>0.0</v>
      </c>
      <c r="H228" s="1">
        <v>0.0</v>
      </c>
    </row>
    <row r="229">
      <c r="A229" s="1" t="s">
        <v>3095</v>
      </c>
      <c r="B229" s="1">
        <v>5.0</v>
      </c>
      <c r="C229" s="1">
        <v>5.0</v>
      </c>
      <c r="D229" s="1">
        <v>2.0</v>
      </c>
      <c r="E229" s="1">
        <v>73.8</v>
      </c>
      <c r="F229" s="1">
        <v>0.0</v>
      </c>
      <c r="G229" s="1">
        <v>0.0</v>
      </c>
      <c r="H229" s="1">
        <v>0.0</v>
      </c>
    </row>
    <row r="230">
      <c r="A230" s="1" t="s">
        <v>2892</v>
      </c>
      <c r="B230" s="1">
        <v>5.0</v>
      </c>
      <c r="C230" s="1">
        <v>5.0</v>
      </c>
      <c r="D230" s="1">
        <v>4.0</v>
      </c>
      <c r="E230" s="1">
        <v>50.4</v>
      </c>
      <c r="F230" s="1">
        <v>0.0</v>
      </c>
      <c r="G230" s="1">
        <v>0.0</v>
      </c>
      <c r="H230" s="1">
        <v>0.0</v>
      </c>
    </row>
    <row r="231">
      <c r="A231" s="1" t="s">
        <v>2712</v>
      </c>
      <c r="B231" s="1">
        <v>5.0</v>
      </c>
      <c r="C231" s="1">
        <v>4.0</v>
      </c>
      <c r="D231" s="1">
        <v>4.0</v>
      </c>
      <c r="E231" s="1">
        <v>148.0</v>
      </c>
      <c r="F231" s="1">
        <v>3.0</v>
      </c>
      <c r="G231" s="1">
        <v>0.0</v>
      </c>
      <c r="H231" s="1">
        <v>0.4</v>
      </c>
    </row>
    <row r="232">
      <c r="A232" s="1" t="s">
        <v>540</v>
      </c>
      <c r="B232" s="1">
        <v>5.0</v>
      </c>
      <c r="C232" s="1">
        <v>4.0</v>
      </c>
      <c r="D232" s="1">
        <v>2.0</v>
      </c>
      <c r="E232" s="1">
        <v>84.2</v>
      </c>
      <c r="F232" s="1">
        <v>7.0</v>
      </c>
      <c r="G232" s="1">
        <v>0.0</v>
      </c>
      <c r="H232" s="1">
        <v>0.4</v>
      </c>
    </row>
    <row r="233">
      <c r="A233" s="1" t="s">
        <v>2901</v>
      </c>
      <c r="B233" s="1">
        <v>5.0</v>
      </c>
      <c r="C233" s="1">
        <v>5.0</v>
      </c>
      <c r="D233" s="1">
        <v>5.0</v>
      </c>
      <c r="E233" s="1">
        <v>36.4</v>
      </c>
      <c r="F233" s="1">
        <v>2.0</v>
      </c>
      <c r="G233" s="1">
        <v>0.0</v>
      </c>
      <c r="H233" s="1">
        <v>0.2</v>
      </c>
    </row>
    <row r="234">
      <c r="A234" s="1" t="s">
        <v>3096</v>
      </c>
      <c r="B234" s="1">
        <v>5.0</v>
      </c>
      <c r="C234" s="1">
        <v>5.0</v>
      </c>
      <c r="D234" s="1">
        <v>5.0</v>
      </c>
      <c r="E234" s="1">
        <v>30.8</v>
      </c>
      <c r="F234" s="1">
        <v>0.0</v>
      </c>
      <c r="G234" s="1">
        <v>0.0</v>
      </c>
      <c r="H234" s="1">
        <v>0.0</v>
      </c>
    </row>
    <row r="235">
      <c r="A235" s="1" t="s">
        <v>2718</v>
      </c>
      <c r="B235" s="1">
        <v>5.0</v>
      </c>
      <c r="C235" s="1">
        <v>4.0</v>
      </c>
      <c r="D235" s="1">
        <v>4.0</v>
      </c>
      <c r="E235" s="1">
        <v>3.0</v>
      </c>
      <c r="F235" s="1">
        <v>0.0</v>
      </c>
      <c r="G235" s="1">
        <v>0.0</v>
      </c>
      <c r="H235" s="1">
        <v>0.0</v>
      </c>
    </row>
    <row r="236">
      <c r="A236" s="1" t="s">
        <v>2782</v>
      </c>
      <c r="B236" s="1">
        <v>5.0</v>
      </c>
      <c r="C236" s="1">
        <v>5.0</v>
      </c>
      <c r="D236" s="1">
        <v>0.0</v>
      </c>
      <c r="E236" s="1">
        <v>46.2</v>
      </c>
      <c r="F236" s="1">
        <v>0.0</v>
      </c>
      <c r="G236" s="1">
        <v>0.0</v>
      </c>
      <c r="H236" s="1">
        <v>0.0</v>
      </c>
    </row>
    <row r="237">
      <c r="A237" s="1" t="s">
        <v>2785</v>
      </c>
      <c r="B237" s="1">
        <v>5.0</v>
      </c>
      <c r="C237" s="1">
        <v>5.0</v>
      </c>
      <c r="D237" s="1">
        <v>1.0</v>
      </c>
      <c r="E237" s="1">
        <v>49.6</v>
      </c>
      <c r="F237" s="1">
        <v>0.0</v>
      </c>
      <c r="G237" s="1">
        <v>0.0</v>
      </c>
      <c r="H237" s="1">
        <v>0.0</v>
      </c>
    </row>
    <row r="238">
      <c r="A238" s="1" t="s">
        <v>2786</v>
      </c>
      <c r="B238" s="1">
        <v>5.0</v>
      </c>
      <c r="C238" s="1">
        <v>5.0</v>
      </c>
      <c r="D238" s="1">
        <v>5.0</v>
      </c>
      <c r="E238" s="1">
        <v>4.6</v>
      </c>
      <c r="F238" s="1">
        <v>0.0</v>
      </c>
      <c r="G238" s="1">
        <v>0.0</v>
      </c>
      <c r="H238" s="1">
        <v>0.0</v>
      </c>
    </row>
    <row r="239">
      <c r="A239" s="1" t="s">
        <v>2787</v>
      </c>
      <c r="B239" s="1">
        <v>5.0</v>
      </c>
      <c r="C239" s="1">
        <v>5.0</v>
      </c>
      <c r="D239" s="1">
        <v>5.0</v>
      </c>
      <c r="E239" s="1">
        <v>6.8</v>
      </c>
      <c r="F239" s="1">
        <v>0.0</v>
      </c>
      <c r="G239" s="1">
        <v>0.0</v>
      </c>
      <c r="H239" s="1">
        <v>0.0</v>
      </c>
    </row>
    <row r="240">
      <c r="A240" s="1" t="s">
        <v>3097</v>
      </c>
      <c r="B240" s="1">
        <v>5.0</v>
      </c>
      <c r="C240" s="1">
        <v>5.0</v>
      </c>
      <c r="D240" s="1">
        <v>1.0</v>
      </c>
      <c r="E240" s="1">
        <v>66.8</v>
      </c>
      <c r="F240" s="1">
        <v>5.0</v>
      </c>
      <c r="G240" s="1">
        <v>0.0</v>
      </c>
      <c r="H240" s="1">
        <v>0.4</v>
      </c>
    </row>
    <row r="241">
      <c r="A241" s="1" t="s">
        <v>2729</v>
      </c>
      <c r="B241" s="1">
        <v>4.0</v>
      </c>
      <c r="C241" s="1">
        <v>4.0</v>
      </c>
      <c r="D241" s="1">
        <v>4.0</v>
      </c>
      <c r="E241" s="1">
        <v>32.0</v>
      </c>
      <c r="F241" s="1">
        <v>1.0</v>
      </c>
      <c r="G241" s="1">
        <v>0.0</v>
      </c>
      <c r="H241" s="1">
        <v>0.25</v>
      </c>
    </row>
    <row r="242">
      <c r="A242" s="1" t="s">
        <v>2799</v>
      </c>
      <c r="B242" s="1">
        <v>4.0</v>
      </c>
      <c r="C242" s="1">
        <v>4.0</v>
      </c>
      <c r="D242" s="1">
        <v>4.0</v>
      </c>
      <c r="E242" s="1">
        <v>64.25</v>
      </c>
      <c r="F242" s="1">
        <v>0.0</v>
      </c>
      <c r="G242" s="1">
        <v>0.0</v>
      </c>
      <c r="H242" s="1">
        <v>0.0</v>
      </c>
    </row>
    <row r="243">
      <c r="A243" s="1" t="s">
        <v>2731</v>
      </c>
      <c r="B243" s="1">
        <v>4.0</v>
      </c>
      <c r="C243" s="1">
        <v>4.0</v>
      </c>
      <c r="D243" s="1">
        <v>4.0</v>
      </c>
      <c r="E243" s="1">
        <v>6.75</v>
      </c>
      <c r="F243" s="1">
        <v>0.0</v>
      </c>
      <c r="G243" s="1">
        <v>0.0</v>
      </c>
      <c r="H243" s="1">
        <v>0.0</v>
      </c>
    </row>
    <row r="244">
      <c r="A244" s="1" t="s">
        <v>2811</v>
      </c>
      <c r="B244" s="1">
        <v>4.0</v>
      </c>
      <c r="C244" s="1">
        <v>4.0</v>
      </c>
      <c r="D244" s="1">
        <v>4.0</v>
      </c>
      <c r="E244" s="1">
        <v>73.25</v>
      </c>
      <c r="F244" s="1">
        <v>0.0</v>
      </c>
      <c r="G244" s="1">
        <v>0.0</v>
      </c>
      <c r="H244" s="1">
        <v>0.0</v>
      </c>
    </row>
    <row r="245">
      <c r="A245" s="1" t="s">
        <v>2574</v>
      </c>
      <c r="B245" s="1">
        <v>4.0</v>
      </c>
      <c r="C245" s="1">
        <v>4.0</v>
      </c>
      <c r="D245" s="1">
        <v>4.0</v>
      </c>
      <c r="E245" s="1">
        <v>19.0</v>
      </c>
      <c r="F245" s="1">
        <v>0.0</v>
      </c>
      <c r="G245" s="1">
        <v>0.0</v>
      </c>
      <c r="H245" s="1">
        <v>0.0</v>
      </c>
    </row>
    <row r="246">
      <c r="A246" s="1" t="s">
        <v>2817</v>
      </c>
      <c r="B246" s="1">
        <v>4.0</v>
      </c>
      <c r="C246" s="1">
        <v>2.0</v>
      </c>
      <c r="D246" s="1">
        <v>2.0</v>
      </c>
      <c r="E246" s="1">
        <v>45.0</v>
      </c>
      <c r="F246" s="1">
        <v>0.0</v>
      </c>
      <c r="G246" s="1">
        <v>0.0</v>
      </c>
      <c r="H246" s="1">
        <v>0.0</v>
      </c>
    </row>
    <row r="247">
      <c r="A247" s="1" t="s">
        <v>3098</v>
      </c>
      <c r="B247" s="1">
        <v>4.0</v>
      </c>
      <c r="C247" s="1">
        <v>4.0</v>
      </c>
      <c r="D247" s="1">
        <v>4.0</v>
      </c>
      <c r="E247" s="1">
        <v>8.25</v>
      </c>
      <c r="F247" s="1">
        <v>0.0</v>
      </c>
      <c r="G247" s="1">
        <v>0.0</v>
      </c>
      <c r="H247" s="1">
        <v>0.0</v>
      </c>
    </row>
    <row r="248">
      <c r="A248" s="1" t="s">
        <v>2844</v>
      </c>
      <c r="B248" s="1">
        <v>4.0</v>
      </c>
      <c r="C248" s="1">
        <v>4.0</v>
      </c>
      <c r="D248" s="1">
        <v>4.0</v>
      </c>
      <c r="E248" s="1">
        <v>56.25</v>
      </c>
      <c r="F248" s="1">
        <v>0.0</v>
      </c>
      <c r="G248" s="1">
        <v>0.0</v>
      </c>
      <c r="H248" s="1">
        <v>0.0</v>
      </c>
    </row>
    <row r="249">
      <c r="A249" s="1" t="s">
        <v>2848</v>
      </c>
      <c r="B249" s="1">
        <v>4.0</v>
      </c>
      <c r="C249" s="1">
        <v>4.0</v>
      </c>
      <c r="D249" s="1">
        <v>4.0</v>
      </c>
      <c r="E249" s="1">
        <v>110.5</v>
      </c>
      <c r="F249" s="1">
        <v>0.0</v>
      </c>
      <c r="G249" s="1">
        <v>0.0</v>
      </c>
      <c r="H249" s="1">
        <v>0.0</v>
      </c>
    </row>
    <row r="250">
      <c r="A250" s="1" t="s">
        <v>2754</v>
      </c>
      <c r="B250" s="1">
        <v>4.0</v>
      </c>
      <c r="C250" s="1">
        <v>4.0</v>
      </c>
      <c r="D250" s="1">
        <v>4.0</v>
      </c>
      <c r="E250" s="1">
        <v>4.75</v>
      </c>
      <c r="F250" s="1">
        <v>0.0</v>
      </c>
      <c r="G250" s="1">
        <v>0.0</v>
      </c>
      <c r="H250" s="1">
        <v>0.0</v>
      </c>
    </row>
    <row r="251">
      <c r="A251" s="1" t="s">
        <v>3099</v>
      </c>
      <c r="B251" s="1">
        <v>4.0</v>
      </c>
      <c r="C251" s="1">
        <v>2.0</v>
      </c>
      <c r="D251" s="1">
        <v>1.0</v>
      </c>
      <c r="E251" s="1">
        <v>267.5</v>
      </c>
      <c r="F251" s="1">
        <v>0.0</v>
      </c>
      <c r="G251" s="1">
        <v>0.0</v>
      </c>
      <c r="H251" s="1">
        <v>0.0</v>
      </c>
    </row>
    <row r="252">
      <c r="A252" s="1" t="s">
        <v>3100</v>
      </c>
      <c r="B252" s="1">
        <v>4.0</v>
      </c>
      <c r="C252" s="1">
        <v>4.0</v>
      </c>
      <c r="D252" s="1">
        <v>2.0</v>
      </c>
      <c r="E252" s="1">
        <v>34.75</v>
      </c>
      <c r="F252" s="1">
        <v>0.0</v>
      </c>
      <c r="G252" s="1">
        <v>0.0</v>
      </c>
      <c r="H252" s="1">
        <v>0.0</v>
      </c>
    </row>
    <row r="253">
      <c r="A253" s="1" t="s">
        <v>2758</v>
      </c>
      <c r="B253" s="1">
        <v>4.0</v>
      </c>
      <c r="C253" s="1">
        <v>4.0</v>
      </c>
      <c r="D253" s="1">
        <v>4.0</v>
      </c>
      <c r="E253" s="1">
        <v>44.5</v>
      </c>
      <c r="F253" s="1">
        <v>0.0</v>
      </c>
      <c r="G253" s="1">
        <v>0.0</v>
      </c>
      <c r="H253" s="1">
        <v>0.0</v>
      </c>
    </row>
    <row r="254">
      <c r="A254" s="1" t="s">
        <v>2760</v>
      </c>
      <c r="B254" s="1">
        <v>4.0</v>
      </c>
      <c r="C254" s="1">
        <v>4.0</v>
      </c>
      <c r="D254" s="1">
        <v>4.0</v>
      </c>
      <c r="E254" s="1">
        <v>44.75</v>
      </c>
      <c r="F254" s="1">
        <v>0.0</v>
      </c>
      <c r="G254" s="1">
        <v>0.0</v>
      </c>
      <c r="H254" s="1">
        <v>0.0</v>
      </c>
    </row>
    <row r="255">
      <c r="A255" s="1" t="s">
        <v>2707</v>
      </c>
      <c r="B255" s="1">
        <v>4.0</v>
      </c>
      <c r="C255" s="1">
        <v>4.0</v>
      </c>
      <c r="D255" s="1">
        <v>4.0</v>
      </c>
      <c r="E255" s="1">
        <v>3.75</v>
      </c>
      <c r="F255" s="1">
        <v>0.0</v>
      </c>
      <c r="G255" s="1">
        <v>0.0</v>
      </c>
      <c r="H255" s="1">
        <v>0.0</v>
      </c>
    </row>
    <row r="256">
      <c r="A256" s="1" t="s">
        <v>3101</v>
      </c>
      <c r="B256" s="1">
        <v>4.0</v>
      </c>
      <c r="C256" s="1">
        <v>4.0</v>
      </c>
      <c r="D256" s="1">
        <v>3.0</v>
      </c>
      <c r="E256" s="1">
        <v>26.5</v>
      </c>
      <c r="F256" s="1">
        <v>1.0</v>
      </c>
      <c r="G256" s="1">
        <v>0.0</v>
      </c>
      <c r="H256" s="1">
        <v>0.25</v>
      </c>
    </row>
    <row r="257">
      <c r="A257" s="1" t="s">
        <v>2893</v>
      </c>
      <c r="B257" s="1">
        <v>4.0</v>
      </c>
      <c r="C257" s="1">
        <v>3.0</v>
      </c>
      <c r="D257" s="1">
        <v>3.0</v>
      </c>
      <c r="E257" s="1">
        <v>256.25</v>
      </c>
      <c r="F257" s="1">
        <v>2.0</v>
      </c>
      <c r="G257" s="1">
        <v>0.0</v>
      </c>
      <c r="H257" s="1">
        <v>0.25</v>
      </c>
    </row>
    <row r="258">
      <c r="A258" s="1" t="s">
        <v>2772</v>
      </c>
      <c r="B258" s="1">
        <v>4.0</v>
      </c>
      <c r="C258" s="1">
        <v>4.0</v>
      </c>
      <c r="D258" s="1">
        <v>4.0</v>
      </c>
      <c r="E258" s="1">
        <v>206.0</v>
      </c>
      <c r="F258" s="1">
        <v>3.0</v>
      </c>
      <c r="G258" s="1">
        <v>0.0</v>
      </c>
      <c r="H258" s="1">
        <v>0.25</v>
      </c>
    </row>
    <row r="259">
      <c r="A259" s="1" t="s">
        <v>2775</v>
      </c>
      <c r="B259" s="1">
        <v>4.0</v>
      </c>
      <c r="C259" s="1">
        <v>4.0</v>
      </c>
      <c r="D259" s="1">
        <v>2.0</v>
      </c>
      <c r="E259" s="1">
        <v>64.25</v>
      </c>
      <c r="F259" s="1">
        <v>0.0</v>
      </c>
      <c r="G259" s="1">
        <v>0.0</v>
      </c>
      <c r="H259" s="1">
        <v>0.0</v>
      </c>
    </row>
    <row r="260">
      <c r="A260" s="1" t="s">
        <v>3102</v>
      </c>
      <c r="B260" s="1">
        <v>4.0</v>
      </c>
      <c r="C260" s="1">
        <v>4.0</v>
      </c>
      <c r="D260" s="1">
        <v>1.0</v>
      </c>
      <c r="E260" s="1">
        <v>43.0</v>
      </c>
      <c r="F260" s="1">
        <v>0.0</v>
      </c>
      <c r="G260" s="1">
        <v>0.0</v>
      </c>
      <c r="H260" s="1">
        <v>0.0</v>
      </c>
    </row>
    <row r="261">
      <c r="A261" s="1" t="s">
        <v>2629</v>
      </c>
      <c r="B261" s="1">
        <v>4.0</v>
      </c>
      <c r="C261" s="1">
        <v>4.0</v>
      </c>
      <c r="D261" s="1">
        <v>4.0</v>
      </c>
      <c r="E261" s="1">
        <v>127.0</v>
      </c>
      <c r="F261" s="1">
        <v>0.0</v>
      </c>
      <c r="G261" s="1">
        <v>0.0</v>
      </c>
      <c r="H261" s="1">
        <v>0.0</v>
      </c>
    </row>
    <row r="262">
      <c r="A262" s="1" t="s">
        <v>2549</v>
      </c>
      <c r="B262" s="1">
        <v>4.0</v>
      </c>
      <c r="C262" s="1">
        <v>4.0</v>
      </c>
      <c r="D262" s="1">
        <v>3.0</v>
      </c>
      <c r="E262" s="1">
        <v>10.5</v>
      </c>
      <c r="F262" s="1">
        <v>0.0</v>
      </c>
      <c r="G262" s="1">
        <v>0.0</v>
      </c>
      <c r="H262" s="1">
        <v>0.0</v>
      </c>
    </row>
    <row r="263">
      <c r="A263" s="1" t="s">
        <v>500</v>
      </c>
      <c r="B263" s="1">
        <v>4.0</v>
      </c>
      <c r="C263" s="1">
        <v>4.0</v>
      </c>
      <c r="D263" s="1">
        <v>2.0</v>
      </c>
      <c r="E263" s="1">
        <v>209.75</v>
      </c>
      <c r="F263" s="1">
        <v>13.0</v>
      </c>
      <c r="G263" s="1">
        <v>0.0</v>
      </c>
      <c r="H263" s="1">
        <v>0.25</v>
      </c>
    </row>
    <row r="264">
      <c r="A264" s="1" t="s">
        <v>2914</v>
      </c>
      <c r="B264" s="1">
        <v>4.0</v>
      </c>
      <c r="C264" s="1">
        <v>3.0</v>
      </c>
      <c r="D264" s="1">
        <v>1.0</v>
      </c>
      <c r="E264" s="1">
        <v>212.25</v>
      </c>
      <c r="F264" s="1">
        <v>8.0</v>
      </c>
      <c r="G264" s="1">
        <v>0.0</v>
      </c>
      <c r="H264" s="1">
        <v>0.25</v>
      </c>
    </row>
    <row r="265">
      <c r="A265" s="1" t="s">
        <v>2915</v>
      </c>
      <c r="B265" s="1">
        <v>4.0</v>
      </c>
      <c r="C265" s="1">
        <v>4.0</v>
      </c>
      <c r="D265" s="1">
        <v>0.0</v>
      </c>
      <c r="E265" s="1">
        <v>42.0</v>
      </c>
      <c r="F265" s="1">
        <v>0.0</v>
      </c>
      <c r="G265" s="1">
        <v>0.0</v>
      </c>
      <c r="H265" s="1">
        <v>0.0</v>
      </c>
    </row>
    <row r="266">
      <c r="A266" s="1" t="s">
        <v>3103</v>
      </c>
      <c r="B266" s="1">
        <v>4.0</v>
      </c>
      <c r="C266" s="1">
        <v>4.0</v>
      </c>
      <c r="D266" s="1">
        <v>0.0</v>
      </c>
      <c r="E266" s="1">
        <v>49.75</v>
      </c>
      <c r="F266" s="1">
        <v>0.0</v>
      </c>
      <c r="G266" s="1">
        <v>0.0</v>
      </c>
      <c r="H266" s="1">
        <v>0.0</v>
      </c>
    </row>
    <row r="267">
      <c r="A267" s="1" t="s">
        <v>2693</v>
      </c>
      <c r="B267" s="1">
        <v>3.0</v>
      </c>
      <c r="C267" s="1">
        <v>3.0</v>
      </c>
      <c r="D267" s="1">
        <v>3.0</v>
      </c>
      <c r="E267" s="1">
        <v>46.0</v>
      </c>
      <c r="F267" s="1">
        <v>0.0</v>
      </c>
      <c r="G267" s="1">
        <v>0.0</v>
      </c>
      <c r="H267" s="1">
        <v>0.0</v>
      </c>
    </row>
    <row r="268">
      <c r="A268" s="1" t="s">
        <v>3104</v>
      </c>
      <c r="B268" s="1">
        <v>3.0</v>
      </c>
      <c r="C268" s="1">
        <v>3.0</v>
      </c>
      <c r="D268" s="1">
        <v>3.0</v>
      </c>
      <c r="E268" s="1">
        <v>10.6666666666666</v>
      </c>
      <c r="F268" s="1">
        <v>0.0</v>
      </c>
      <c r="G268" s="1">
        <v>0.0</v>
      </c>
      <c r="H268" s="1">
        <v>0.0</v>
      </c>
    </row>
    <row r="269">
      <c r="A269" s="1" t="s">
        <v>3105</v>
      </c>
      <c r="B269" s="1">
        <v>3.0</v>
      </c>
      <c r="C269" s="1">
        <v>3.0</v>
      </c>
      <c r="D269" s="1">
        <v>3.0</v>
      </c>
      <c r="E269" s="1">
        <v>46.6666666666666</v>
      </c>
      <c r="F269" s="1">
        <v>0.0</v>
      </c>
      <c r="G269" s="1">
        <v>0.0</v>
      </c>
      <c r="H269" s="1">
        <v>0.0</v>
      </c>
    </row>
    <row r="270">
      <c r="A270" s="1" t="s">
        <v>2746</v>
      </c>
      <c r="B270" s="1">
        <v>3.0</v>
      </c>
      <c r="C270" s="1">
        <v>3.0</v>
      </c>
      <c r="D270" s="1">
        <v>3.0</v>
      </c>
      <c r="E270" s="1">
        <v>70.0</v>
      </c>
      <c r="F270" s="1">
        <v>0.0</v>
      </c>
      <c r="G270" s="1">
        <v>0.0</v>
      </c>
      <c r="H270" s="1">
        <v>0.0</v>
      </c>
    </row>
    <row r="271">
      <c r="A271" s="1" t="s">
        <v>3106</v>
      </c>
      <c r="B271" s="1">
        <v>3.0</v>
      </c>
      <c r="C271" s="1">
        <v>3.0</v>
      </c>
      <c r="D271" s="1">
        <v>3.0</v>
      </c>
      <c r="E271" s="1">
        <v>53.6666666666666</v>
      </c>
      <c r="F271" s="1">
        <v>0.0</v>
      </c>
      <c r="G271" s="1">
        <v>0.0</v>
      </c>
      <c r="H271" s="1">
        <v>0.0</v>
      </c>
    </row>
    <row r="272">
      <c r="A272" s="1" t="s">
        <v>3107</v>
      </c>
      <c r="B272" s="1">
        <v>3.0</v>
      </c>
      <c r="C272" s="1">
        <v>2.0</v>
      </c>
      <c r="D272" s="1">
        <v>2.0</v>
      </c>
      <c r="E272" s="1">
        <v>5.66666666666666</v>
      </c>
      <c r="F272" s="1">
        <v>0.0</v>
      </c>
      <c r="G272" s="1">
        <v>0.0</v>
      </c>
      <c r="H272" s="1">
        <v>0.0</v>
      </c>
    </row>
    <row r="273">
      <c r="A273" s="1" t="s">
        <v>3108</v>
      </c>
      <c r="B273" s="1">
        <v>3.0</v>
      </c>
      <c r="C273" s="1">
        <v>3.0</v>
      </c>
      <c r="D273" s="1">
        <v>3.0</v>
      </c>
      <c r="E273" s="1">
        <v>1.33333333333333</v>
      </c>
      <c r="F273" s="1">
        <v>0.0</v>
      </c>
      <c r="G273" s="1">
        <v>0.0</v>
      </c>
      <c r="H273" s="1">
        <v>0.0</v>
      </c>
    </row>
    <row r="274">
      <c r="A274" s="1" t="s">
        <v>3109</v>
      </c>
      <c r="B274" s="1">
        <v>3.0</v>
      </c>
      <c r="C274" s="1">
        <v>3.0</v>
      </c>
      <c r="D274" s="1">
        <v>2.0</v>
      </c>
      <c r="E274" s="1">
        <v>30.0</v>
      </c>
      <c r="F274" s="1">
        <v>0.0</v>
      </c>
      <c r="G274" s="1">
        <v>0.0</v>
      </c>
      <c r="H274" s="1">
        <v>0.0</v>
      </c>
    </row>
    <row r="275">
      <c r="A275" s="1" t="s">
        <v>3110</v>
      </c>
      <c r="B275" s="1">
        <v>3.0</v>
      </c>
      <c r="C275" s="1">
        <v>3.0</v>
      </c>
      <c r="D275" s="1">
        <v>1.0</v>
      </c>
      <c r="E275" s="1">
        <v>32.6666666666666</v>
      </c>
      <c r="F275" s="1">
        <v>0.0</v>
      </c>
      <c r="G275" s="1">
        <v>0.0</v>
      </c>
      <c r="H275" s="1">
        <v>0.0</v>
      </c>
    </row>
    <row r="276">
      <c r="A276" s="1" t="s">
        <v>2875</v>
      </c>
      <c r="B276" s="1">
        <v>3.0</v>
      </c>
      <c r="C276" s="1">
        <v>3.0</v>
      </c>
      <c r="D276" s="1">
        <v>3.0</v>
      </c>
      <c r="E276" s="1">
        <v>0.0</v>
      </c>
      <c r="F276" s="1">
        <v>0.0</v>
      </c>
      <c r="G276" s="1">
        <v>0.0</v>
      </c>
      <c r="H276" s="1">
        <v>0.0</v>
      </c>
    </row>
    <row r="277">
      <c r="A277" s="1" t="s">
        <v>508</v>
      </c>
      <c r="B277" s="1">
        <v>3.0</v>
      </c>
      <c r="C277" s="1">
        <v>3.0</v>
      </c>
      <c r="D277" s="1">
        <v>2.0</v>
      </c>
      <c r="E277" s="1">
        <v>38.3333333333333</v>
      </c>
      <c r="F277" s="1">
        <v>0.0</v>
      </c>
      <c r="G277" s="1">
        <v>0.0</v>
      </c>
      <c r="H277" s="1">
        <v>0.0</v>
      </c>
    </row>
    <row r="278">
      <c r="A278" s="1" t="s">
        <v>2569</v>
      </c>
      <c r="B278" s="1">
        <v>3.0</v>
      </c>
      <c r="C278" s="1">
        <v>3.0</v>
      </c>
      <c r="D278" s="1">
        <v>3.0</v>
      </c>
      <c r="E278" s="1">
        <v>0.333333333333333</v>
      </c>
      <c r="F278" s="1">
        <v>0.0</v>
      </c>
      <c r="G278" s="1">
        <v>0.0</v>
      </c>
      <c r="H278" s="1">
        <v>0.0</v>
      </c>
    </row>
    <row r="279">
      <c r="A279" s="1" t="s">
        <v>3111</v>
      </c>
      <c r="B279" s="1">
        <v>3.0</v>
      </c>
      <c r="C279" s="1">
        <v>2.0</v>
      </c>
      <c r="D279" s="1">
        <v>2.0</v>
      </c>
      <c r="E279" s="1">
        <v>27.3333333333333</v>
      </c>
      <c r="F279" s="1">
        <v>0.0</v>
      </c>
      <c r="G279" s="1">
        <v>0.0</v>
      </c>
      <c r="H279" s="1">
        <v>0.0</v>
      </c>
    </row>
    <row r="280">
      <c r="A280" s="1" t="s">
        <v>504</v>
      </c>
      <c r="B280" s="1">
        <v>3.0</v>
      </c>
      <c r="C280" s="1">
        <v>3.0</v>
      </c>
      <c r="D280" s="1">
        <v>3.0</v>
      </c>
      <c r="E280" s="1">
        <v>11.6666666666666</v>
      </c>
      <c r="F280" s="1">
        <v>0.0</v>
      </c>
      <c r="G280" s="1">
        <v>0.0</v>
      </c>
      <c r="H280" s="1">
        <v>0.0</v>
      </c>
    </row>
    <row r="281">
      <c r="A281" s="1" t="s">
        <v>3112</v>
      </c>
      <c r="B281" s="1">
        <v>3.0</v>
      </c>
      <c r="C281" s="1">
        <v>3.0</v>
      </c>
      <c r="D281" s="1">
        <v>3.0</v>
      </c>
      <c r="E281" s="1">
        <v>27.6666666666666</v>
      </c>
      <c r="F281" s="1">
        <v>0.0</v>
      </c>
      <c r="G281" s="1">
        <v>0.0</v>
      </c>
      <c r="H281" s="1">
        <v>0.0</v>
      </c>
    </row>
    <row r="282">
      <c r="A282" s="1" t="s">
        <v>2709</v>
      </c>
      <c r="B282" s="1">
        <v>3.0</v>
      </c>
      <c r="C282" s="1">
        <v>3.0</v>
      </c>
      <c r="D282" s="1">
        <v>2.0</v>
      </c>
      <c r="E282" s="1">
        <v>14.6666666666666</v>
      </c>
      <c r="F282" s="1">
        <v>0.0</v>
      </c>
      <c r="G282" s="1">
        <v>0.0</v>
      </c>
      <c r="H282" s="1">
        <v>0.0</v>
      </c>
    </row>
    <row r="283">
      <c r="A283" s="1" t="s">
        <v>2620</v>
      </c>
      <c r="B283" s="1">
        <v>3.0</v>
      </c>
      <c r="C283" s="1">
        <v>3.0</v>
      </c>
      <c r="D283" s="1">
        <v>2.0</v>
      </c>
      <c r="E283" s="1">
        <v>2.33333333333333</v>
      </c>
      <c r="F283" s="1">
        <v>0.0</v>
      </c>
      <c r="G283" s="1">
        <v>0.0</v>
      </c>
      <c r="H283" s="1">
        <v>0.0</v>
      </c>
    </row>
    <row r="284">
      <c r="A284" s="1" t="s">
        <v>3113</v>
      </c>
      <c r="B284" s="1">
        <v>3.0</v>
      </c>
      <c r="C284" s="1">
        <v>3.0</v>
      </c>
      <c r="D284" s="1">
        <v>3.0</v>
      </c>
      <c r="E284" s="1">
        <v>136.0</v>
      </c>
      <c r="F284" s="1">
        <v>0.0</v>
      </c>
      <c r="G284" s="1">
        <v>0.0</v>
      </c>
      <c r="H284" s="1">
        <v>0.0</v>
      </c>
    </row>
    <row r="285">
      <c r="A285" s="1" t="s">
        <v>3114</v>
      </c>
      <c r="B285" s="1">
        <v>3.0</v>
      </c>
      <c r="C285" s="1">
        <v>2.0</v>
      </c>
      <c r="D285" s="1">
        <v>0.0</v>
      </c>
      <c r="E285" s="1">
        <v>0.333333333333333</v>
      </c>
      <c r="F285" s="1">
        <v>0.0</v>
      </c>
      <c r="G285" s="1">
        <v>0.0</v>
      </c>
      <c r="H285" s="1">
        <v>0.0</v>
      </c>
    </row>
    <row r="286">
      <c r="A286" s="1" t="s">
        <v>3115</v>
      </c>
      <c r="B286" s="1">
        <v>3.0</v>
      </c>
      <c r="C286" s="1">
        <v>3.0</v>
      </c>
      <c r="D286" s="1">
        <v>3.0</v>
      </c>
      <c r="E286" s="1">
        <v>2.33333333333333</v>
      </c>
      <c r="F286" s="1">
        <v>0.0</v>
      </c>
      <c r="G286" s="1">
        <v>0.0</v>
      </c>
      <c r="H286" s="1">
        <v>0.0</v>
      </c>
    </row>
    <row r="287">
      <c r="A287" s="1" t="s">
        <v>3116</v>
      </c>
      <c r="B287" s="1">
        <v>3.0</v>
      </c>
      <c r="C287" s="1">
        <v>3.0</v>
      </c>
      <c r="D287" s="1">
        <v>3.0</v>
      </c>
      <c r="E287" s="1">
        <v>13.3333333333333</v>
      </c>
      <c r="F287" s="1">
        <v>0.0</v>
      </c>
      <c r="G287" s="1">
        <v>0.0</v>
      </c>
      <c r="H287" s="1">
        <v>0.0</v>
      </c>
    </row>
    <row r="288">
      <c r="A288" s="1" t="s">
        <v>3117</v>
      </c>
      <c r="B288" s="1">
        <v>3.0</v>
      </c>
      <c r="C288" s="1">
        <v>3.0</v>
      </c>
      <c r="D288" s="1">
        <v>3.0</v>
      </c>
      <c r="E288" s="1">
        <v>3.33333333333333</v>
      </c>
      <c r="F288" s="1">
        <v>0.0</v>
      </c>
      <c r="G288" s="1">
        <v>0.0</v>
      </c>
      <c r="H288" s="1">
        <v>0.0</v>
      </c>
    </row>
    <row r="289">
      <c r="A289" s="1" t="s">
        <v>3118</v>
      </c>
      <c r="B289" s="1">
        <v>3.0</v>
      </c>
      <c r="C289" s="1">
        <v>3.0</v>
      </c>
      <c r="D289" s="1">
        <v>3.0</v>
      </c>
      <c r="E289" s="1">
        <v>2.33333333333333</v>
      </c>
      <c r="F289" s="1">
        <v>0.0</v>
      </c>
      <c r="G289" s="1">
        <v>0.0</v>
      </c>
      <c r="H289" s="1">
        <v>0.0</v>
      </c>
    </row>
    <row r="290">
      <c r="A290" s="1" t="s">
        <v>2779</v>
      </c>
      <c r="B290" s="1">
        <v>3.0</v>
      </c>
      <c r="C290" s="1">
        <v>3.0</v>
      </c>
      <c r="D290" s="1">
        <v>3.0</v>
      </c>
      <c r="E290" s="1">
        <v>5.66666666666666</v>
      </c>
      <c r="F290" s="1">
        <v>2.0</v>
      </c>
      <c r="G290" s="1">
        <v>0.0</v>
      </c>
      <c r="H290" s="1">
        <v>0.333333333333333</v>
      </c>
    </row>
    <row r="291">
      <c r="A291" s="1" t="s">
        <v>2672</v>
      </c>
      <c r="B291" s="1">
        <v>3.0</v>
      </c>
      <c r="C291" s="1">
        <v>3.0</v>
      </c>
      <c r="D291" s="1">
        <v>3.0</v>
      </c>
      <c r="E291" s="1">
        <v>19.6666666666666</v>
      </c>
      <c r="F291" s="1">
        <v>0.0</v>
      </c>
      <c r="G291" s="1">
        <v>0.0</v>
      </c>
      <c r="H291" s="1">
        <v>0.0</v>
      </c>
    </row>
    <row r="292">
      <c r="A292" s="1" t="s">
        <v>2784</v>
      </c>
      <c r="B292" s="1">
        <v>3.0</v>
      </c>
      <c r="C292" s="1">
        <v>3.0</v>
      </c>
      <c r="D292" s="1">
        <v>3.0</v>
      </c>
      <c r="E292" s="1">
        <v>3.66666666666666</v>
      </c>
      <c r="F292" s="1">
        <v>0.0</v>
      </c>
      <c r="G292" s="1">
        <v>0.0</v>
      </c>
      <c r="H292" s="1">
        <v>0.0</v>
      </c>
    </row>
    <row r="293">
      <c r="A293" s="1" t="s">
        <v>2689</v>
      </c>
      <c r="B293" s="1">
        <v>3.0</v>
      </c>
      <c r="C293" s="1">
        <v>3.0</v>
      </c>
      <c r="D293" s="1">
        <v>3.0</v>
      </c>
      <c r="E293" s="1">
        <v>0.0</v>
      </c>
      <c r="F293" s="1">
        <v>0.0</v>
      </c>
      <c r="G293" s="1">
        <v>0.0</v>
      </c>
      <c r="H293" s="1">
        <v>0.0</v>
      </c>
    </row>
    <row r="294">
      <c r="A294" s="1" t="s">
        <v>3119</v>
      </c>
      <c r="B294" s="1">
        <v>3.0</v>
      </c>
      <c r="C294" s="1">
        <v>2.0</v>
      </c>
      <c r="D294" s="1">
        <v>0.0</v>
      </c>
      <c r="E294" s="1">
        <v>0.0</v>
      </c>
      <c r="F294" s="1">
        <v>0.0</v>
      </c>
      <c r="G294" s="1">
        <v>0.0</v>
      </c>
      <c r="H294" s="1">
        <v>0.0</v>
      </c>
    </row>
    <row r="295">
      <c r="A295" s="1" t="s">
        <v>3120</v>
      </c>
      <c r="B295" s="1">
        <v>3.0</v>
      </c>
      <c r="C295" s="1">
        <v>3.0</v>
      </c>
      <c r="D295" s="1">
        <v>3.0</v>
      </c>
      <c r="E295" s="1">
        <v>17.3333333333333</v>
      </c>
      <c r="F295" s="1">
        <v>0.0</v>
      </c>
      <c r="G295" s="1">
        <v>0.0</v>
      </c>
      <c r="H295" s="1">
        <v>0.0</v>
      </c>
    </row>
    <row r="296">
      <c r="A296" s="1" t="s">
        <v>3121</v>
      </c>
      <c r="B296" s="1">
        <v>2.0</v>
      </c>
      <c r="C296" s="1">
        <v>2.0</v>
      </c>
      <c r="D296" s="1">
        <v>2.0</v>
      </c>
      <c r="E296" s="1">
        <v>34.5</v>
      </c>
      <c r="F296" s="1">
        <v>0.0</v>
      </c>
      <c r="G296" s="1">
        <v>0.0</v>
      </c>
      <c r="H296" s="1">
        <v>0.0</v>
      </c>
    </row>
    <row r="297">
      <c r="A297" s="1" t="s">
        <v>3122</v>
      </c>
      <c r="B297" s="1">
        <v>2.0</v>
      </c>
      <c r="C297" s="1">
        <v>2.0</v>
      </c>
      <c r="D297" s="1">
        <v>2.0</v>
      </c>
      <c r="E297" s="1">
        <v>0.0</v>
      </c>
      <c r="F297" s="1">
        <v>0.0</v>
      </c>
      <c r="G297" s="1">
        <v>0.0</v>
      </c>
      <c r="H297" s="1">
        <v>0.0</v>
      </c>
    </row>
    <row r="298">
      <c r="A298" s="1" t="s">
        <v>2808</v>
      </c>
      <c r="B298" s="1">
        <v>2.0</v>
      </c>
      <c r="C298" s="1">
        <v>2.0</v>
      </c>
      <c r="D298" s="1">
        <v>2.0</v>
      </c>
      <c r="E298" s="1">
        <v>29.0</v>
      </c>
      <c r="F298" s="1">
        <v>0.0</v>
      </c>
      <c r="G298" s="1">
        <v>0.0</v>
      </c>
      <c r="H298" s="1">
        <v>0.0</v>
      </c>
    </row>
    <row r="299">
      <c r="A299" s="1" t="s">
        <v>2694</v>
      </c>
      <c r="B299" s="1">
        <v>2.0</v>
      </c>
      <c r="C299" s="1">
        <v>2.0</v>
      </c>
      <c r="D299" s="1">
        <v>2.0</v>
      </c>
      <c r="E299" s="1">
        <v>6.0</v>
      </c>
      <c r="F299" s="1">
        <v>0.0</v>
      </c>
      <c r="G299" s="1">
        <v>0.0</v>
      </c>
      <c r="H299" s="1">
        <v>0.0</v>
      </c>
    </row>
    <row r="300">
      <c r="A300" s="1" t="s">
        <v>3123</v>
      </c>
      <c r="B300" s="1">
        <v>2.0</v>
      </c>
      <c r="C300" s="1">
        <v>2.0</v>
      </c>
      <c r="D300" s="1">
        <v>2.0</v>
      </c>
      <c r="E300" s="1">
        <v>8.0</v>
      </c>
      <c r="F300" s="1">
        <v>0.0</v>
      </c>
      <c r="G300" s="1">
        <v>0.0</v>
      </c>
      <c r="H300" s="1">
        <v>0.0</v>
      </c>
    </row>
    <row r="301">
      <c r="A301" s="1" t="s">
        <v>3124</v>
      </c>
      <c r="B301" s="1">
        <v>2.0</v>
      </c>
      <c r="C301" s="1">
        <v>2.0</v>
      </c>
      <c r="D301" s="1">
        <v>1.0</v>
      </c>
      <c r="E301" s="1">
        <v>1.0</v>
      </c>
      <c r="F301" s="1">
        <v>0.0</v>
      </c>
      <c r="G301" s="1">
        <v>0.0</v>
      </c>
      <c r="H301" s="1">
        <v>0.0</v>
      </c>
    </row>
    <row r="302">
      <c r="A302" s="1" t="s">
        <v>2818</v>
      </c>
      <c r="B302" s="1">
        <v>2.0</v>
      </c>
      <c r="C302" s="1">
        <v>2.0</v>
      </c>
      <c r="D302" s="1">
        <v>2.0</v>
      </c>
      <c r="E302" s="1">
        <v>22.5</v>
      </c>
      <c r="F302" s="1">
        <v>0.0</v>
      </c>
      <c r="G302" s="1">
        <v>0.0</v>
      </c>
      <c r="H302" s="1">
        <v>0.0</v>
      </c>
    </row>
    <row r="303">
      <c r="A303" s="1" t="s">
        <v>2819</v>
      </c>
      <c r="B303" s="1">
        <v>2.0</v>
      </c>
      <c r="C303" s="1">
        <v>2.0</v>
      </c>
      <c r="D303" s="1">
        <v>2.0</v>
      </c>
      <c r="E303" s="1">
        <v>27.5</v>
      </c>
      <c r="F303" s="1">
        <v>0.0</v>
      </c>
      <c r="G303" s="1">
        <v>0.0</v>
      </c>
      <c r="H303" s="1">
        <v>0.0</v>
      </c>
    </row>
    <row r="304">
      <c r="A304" s="1" t="s">
        <v>2643</v>
      </c>
      <c r="B304" s="1">
        <v>2.0</v>
      </c>
      <c r="C304" s="1">
        <v>2.0</v>
      </c>
      <c r="D304" s="1">
        <v>2.0</v>
      </c>
      <c r="E304" s="1">
        <v>0.0</v>
      </c>
      <c r="F304" s="1">
        <v>0.0</v>
      </c>
      <c r="G304" s="1">
        <v>0.0</v>
      </c>
      <c r="H304" s="1">
        <v>0.0</v>
      </c>
    </row>
    <row r="305">
      <c r="A305" s="1" t="s">
        <v>2696</v>
      </c>
      <c r="B305" s="1">
        <v>2.0</v>
      </c>
      <c r="C305" s="1">
        <v>1.0</v>
      </c>
      <c r="D305" s="1">
        <v>1.0</v>
      </c>
      <c r="E305" s="1">
        <v>0.0</v>
      </c>
      <c r="F305" s="1">
        <v>0.0</v>
      </c>
      <c r="G305" s="1">
        <v>0.0</v>
      </c>
      <c r="H305" s="1">
        <v>0.0</v>
      </c>
    </row>
    <row r="306">
      <c r="A306" s="1" t="s">
        <v>3125</v>
      </c>
      <c r="B306" s="1">
        <v>2.0</v>
      </c>
      <c r="C306" s="1">
        <v>2.0</v>
      </c>
      <c r="D306" s="1">
        <v>2.0</v>
      </c>
      <c r="E306" s="1">
        <v>15.0</v>
      </c>
      <c r="F306" s="1">
        <v>1.0</v>
      </c>
      <c r="G306" s="1">
        <v>0.0</v>
      </c>
      <c r="H306" s="1">
        <v>0.5</v>
      </c>
    </row>
    <row r="307">
      <c r="A307" s="1" t="s">
        <v>3126</v>
      </c>
      <c r="B307" s="1">
        <v>2.0</v>
      </c>
      <c r="C307" s="1">
        <v>2.0</v>
      </c>
      <c r="D307" s="1">
        <v>2.0</v>
      </c>
      <c r="E307" s="1">
        <v>35.0</v>
      </c>
      <c r="F307" s="1">
        <v>0.0</v>
      </c>
      <c r="G307" s="1">
        <v>0.0</v>
      </c>
      <c r="H307" s="1">
        <v>0.0</v>
      </c>
    </row>
    <row r="308">
      <c r="A308" s="1" t="s">
        <v>2827</v>
      </c>
      <c r="B308" s="1">
        <v>2.0</v>
      </c>
      <c r="C308" s="1">
        <v>2.0</v>
      </c>
      <c r="D308" s="1">
        <v>2.0</v>
      </c>
      <c r="E308" s="1">
        <v>86.5</v>
      </c>
      <c r="F308" s="1">
        <v>0.0</v>
      </c>
      <c r="G308" s="1">
        <v>0.0</v>
      </c>
      <c r="H308" s="1">
        <v>0.0</v>
      </c>
    </row>
    <row r="309">
      <c r="A309" s="1" t="s">
        <v>3127</v>
      </c>
      <c r="B309" s="1">
        <v>2.0</v>
      </c>
      <c r="C309" s="1">
        <v>1.0</v>
      </c>
      <c r="D309" s="1">
        <v>1.0</v>
      </c>
      <c r="E309" s="1">
        <v>0.0</v>
      </c>
      <c r="F309" s="1">
        <v>0.0</v>
      </c>
      <c r="G309" s="1">
        <v>0.0</v>
      </c>
      <c r="H309" s="1">
        <v>0.0</v>
      </c>
    </row>
    <row r="310">
      <c r="A310" s="1" t="s">
        <v>3128</v>
      </c>
      <c r="B310" s="1">
        <v>2.0</v>
      </c>
      <c r="C310" s="1">
        <v>2.0</v>
      </c>
      <c r="D310" s="1">
        <v>2.0</v>
      </c>
      <c r="E310" s="1">
        <v>60.0</v>
      </c>
      <c r="F310" s="1">
        <v>0.0</v>
      </c>
      <c r="G310" s="1">
        <v>0.0</v>
      </c>
      <c r="H310" s="1">
        <v>0.0</v>
      </c>
    </row>
    <row r="311">
      <c r="A311" s="1" t="s">
        <v>3129</v>
      </c>
      <c r="B311" s="1">
        <v>2.0</v>
      </c>
      <c r="C311" s="1">
        <v>2.0</v>
      </c>
      <c r="D311" s="1">
        <v>2.0</v>
      </c>
      <c r="E311" s="1">
        <v>6.0</v>
      </c>
      <c r="F311" s="1">
        <v>0.0</v>
      </c>
      <c r="G311" s="1">
        <v>0.0</v>
      </c>
      <c r="H311" s="1">
        <v>0.0</v>
      </c>
    </row>
    <row r="312">
      <c r="A312" s="1" t="s">
        <v>2652</v>
      </c>
      <c r="B312" s="1">
        <v>2.0</v>
      </c>
      <c r="C312" s="1">
        <v>2.0</v>
      </c>
      <c r="D312" s="1">
        <v>2.0</v>
      </c>
      <c r="E312" s="1">
        <v>158.5</v>
      </c>
      <c r="F312" s="1">
        <v>0.0</v>
      </c>
      <c r="G312" s="1">
        <v>0.0</v>
      </c>
      <c r="H312" s="1">
        <v>0.0</v>
      </c>
    </row>
    <row r="313">
      <c r="A313" s="1" t="s">
        <v>3130</v>
      </c>
      <c r="B313" s="1">
        <v>2.0</v>
      </c>
      <c r="C313" s="1">
        <v>2.0</v>
      </c>
      <c r="D313" s="1">
        <v>2.0</v>
      </c>
      <c r="E313" s="1">
        <v>0.5</v>
      </c>
      <c r="F313" s="1">
        <v>0.0</v>
      </c>
      <c r="G313" s="1">
        <v>0.0</v>
      </c>
      <c r="H313" s="1">
        <v>0.0</v>
      </c>
    </row>
    <row r="314">
      <c r="A314" s="1" t="s">
        <v>3131</v>
      </c>
      <c r="B314" s="1">
        <v>2.0</v>
      </c>
      <c r="C314" s="1">
        <v>2.0</v>
      </c>
      <c r="D314" s="1">
        <v>2.0</v>
      </c>
      <c r="E314" s="1">
        <v>85.5</v>
      </c>
      <c r="F314" s="1">
        <v>1.0</v>
      </c>
      <c r="G314" s="1">
        <v>0.0</v>
      </c>
      <c r="H314" s="1">
        <v>0.5</v>
      </c>
    </row>
    <row r="315">
      <c r="A315" s="1" t="s">
        <v>2852</v>
      </c>
      <c r="B315" s="1">
        <v>2.0</v>
      </c>
      <c r="C315" s="1">
        <v>2.0</v>
      </c>
      <c r="D315" s="1">
        <v>2.0</v>
      </c>
      <c r="E315" s="1">
        <v>1.0</v>
      </c>
      <c r="F315" s="1">
        <v>0.0</v>
      </c>
      <c r="G315" s="1">
        <v>0.0</v>
      </c>
      <c r="H315" s="1">
        <v>0.0</v>
      </c>
    </row>
    <row r="316">
      <c r="A316" s="1" t="s">
        <v>2582</v>
      </c>
      <c r="B316" s="1">
        <v>2.0</v>
      </c>
      <c r="C316" s="1">
        <v>2.0</v>
      </c>
      <c r="D316" s="1">
        <v>2.0</v>
      </c>
      <c r="E316" s="1">
        <v>24.0</v>
      </c>
      <c r="F316" s="1">
        <v>0.0</v>
      </c>
      <c r="G316" s="1">
        <v>0.0</v>
      </c>
      <c r="H316" s="1">
        <v>0.0</v>
      </c>
    </row>
    <row r="317">
      <c r="A317" s="1" t="s">
        <v>3132</v>
      </c>
      <c r="B317" s="1">
        <v>2.0</v>
      </c>
      <c r="C317" s="1">
        <v>2.0</v>
      </c>
      <c r="D317" s="1">
        <v>1.0</v>
      </c>
      <c r="E317" s="1">
        <v>27.0</v>
      </c>
      <c r="F317" s="1">
        <v>0.0</v>
      </c>
      <c r="G317" s="1">
        <v>0.0</v>
      </c>
      <c r="H317" s="1">
        <v>0.0</v>
      </c>
    </row>
    <row r="318">
      <c r="A318" s="1" t="s">
        <v>3133</v>
      </c>
      <c r="B318" s="1">
        <v>2.0</v>
      </c>
      <c r="C318" s="1">
        <v>2.0</v>
      </c>
      <c r="D318" s="1">
        <v>0.0</v>
      </c>
      <c r="E318" s="1">
        <v>60.0</v>
      </c>
      <c r="F318" s="1">
        <v>0.0</v>
      </c>
      <c r="G318" s="1">
        <v>0.0</v>
      </c>
      <c r="H318" s="1">
        <v>0.0</v>
      </c>
    </row>
    <row r="319">
      <c r="A319" s="1" t="s">
        <v>3134</v>
      </c>
      <c r="B319" s="1">
        <v>2.0</v>
      </c>
      <c r="C319" s="1">
        <v>2.0</v>
      </c>
      <c r="D319" s="1">
        <v>0.0</v>
      </c>
      <c r="E319" s="1">
        <v>57.0</v>
      </c>
      <c r="F319" s="1">
        <v>0.0</v>
      </c>
      <c r="G319" s="1">
        <v>0.0</v>
      </c>
      <c r="H319" s="1">
        <v>0.0</v>
      </c>
    </row>
    <row r="320">
      <c r="A320" s="1" t="s">
        <v>2759</v>
      </c>
      <c r="B320" s="1">
        <v>2.0</v>
      </c>
      <c r="C320" s="1">
        <v>2.0</v>
      </c>
      <c r="D320" s="1">
        <v>2.0</v>
      </c>
      <c r="E320" s="1">
        <v>0.0</v>
      </c>
      <c r="F320" s="1">
        <v>0.0</v>
      </c>
      <c r="G320" s="1">
        <v>0.0</v>
      </c>
      <c r="H320" s="1">
        <v>0.0</v>
      </c>
    </row>
    <row r="321">
      <c r="A321" s="1" t="s">
        <v>3135</v>
      </c>
      <c r="B321" s="1">
        <v>2.0</v>
      </c>
      <c r="C321" s="1">
        <v>2.0</v>
      </c>
      <c r="D321" s="1">
        <v>2.0</v>
      </c>
      <c r="E321" s="1">
        <v>0.0</v>
      </c>
      <c r="F321" s="1">
        <v>0.0</v>
      </c>
      <c r="G321" s="1">
        <v>0.0</v>
      </c>
      <c r="H321" s="1">
        <v>0.0</v>
      </c>
    </row>
    <row r="322">
      <c r="A322" s="1" t="s">
        <v>532</v>
      </c>
      <c r="B322" s="1">
        <v>2.0</v>
      </c>
      <c r="C322" s="1">
        <v>2.0</v>
      </c>
      <c r="D322" s="1">
        <v>0.0</v>
      </c>
      <c r="E322" s="1">
        <v>61.0</v>
      </c>
      <c r="F322" s="1">
        <v>0.0</v>
      </c>
      <c r="G322" s="1">
        <v>0.0</v>
      </c>
      <c r="H322" s="1">
        <v>0.0</v>
      </c>
    </row>
    <row r="323">
      <c r="A323" s="1" t="s">
        <v>3136</v>
      </c>
      <c r="B323" s="1">
        <v>2.0</v>
      </c>
      <c r="C323" s="1">
        <v>2.0</v>
      </c>
      <c r="D323" s="1">
        <v>2.0</v>
      </c>
      <c r="E323" s="1">
        <v>0.0</v>
      </c>
      <c r="F323" s="1">
        <v>0.0</v>
      </c>
      <c r="G323" s="1">
        <v>0.0</v>
      </c>
      <c r="H323" s="1">
        <v>0.0</v>
      </c>
    </row>
    <row r="324">
      <c r="A324" s="1" t="s">
        <v>3137</v>
      </c>
      <c r="B324" s="1">
        <v>2.0</v>
      </c>
      <c r="C324" s="1">
        <v>2.0</v>
      </c>
      <c r="D324" s="1">
        <v>1.0</v>
      </c>
      <c r="E324" s="1">
        <v>154.0</v>
      </c>
      <c r="F324" s="1">
        <v>8.0</v>
      </c>
      <c r="G324" s="1">
        <v>0.0</v>
      </c>
      <c r="H324" s="1">
        <v>0.5</v>
      </c>
    </row>
    <row r="325">
      <c r="A325" s="1" t="s">
        <v>524</v>
      </c>
      <c r="B325" s="1">
        <v>2.0</v>
      </c>
      <c r="C325" s="1">
        <v>2.0</v>
      </c>
      <c r="D325" s="1">
        <v>0.0</v>
      </c>
      <c r="E325" s="1">
        <v>48.0</v>
      </c>
      <c r="F325" s="1">
        <v>0.0</v>
      </c>
      <c r="G325" s="1">
        <v>0.0</v>
      </c>
      <c r="H325" s="1">
        <v>0.0</v>
      </c>
    </row>
    <row r="326">
      <c r="A326" s="1" t="s">
        <v>3138</v>
      </c>
      <c r="B326" s="1">
        <v>2.0</v>
      </c>
      <c r="C326" s="1">
        <v>2.0</v>
      </c>
      <c r="D326" s="1">
        <v>2.0</v>
      </c>
      <c r="E326" s="1">
        <v>27.0</v>
      </c>
      <c r="F326" s="1">
        <v>0.0</v>
      </c>
      <c r="G326" s="1">
        <v>0.0</v>
      </c>
      <c r="H326" s="1">
        <v>0.0</v>
      </c>
    </row>
    <row r="327">
      <c r="A327" s="1" t="s">
        <v>2764</v>
      </c>
      <c r="B327" s="1">
        <v>2.0</v>
      </c>
      <c r="C327" s="1">
        <v>2.0</v>
      </c>
      <c r="D327" s="1">
        <v>2.0</v>
      </c>
      <c r="E327" s="1">
        <v>15.0</v>
      </c>
      <c r="F327" s="1">
        <v>0.0</v>
      </c>
      <c r="G327" s="1">
        <v>0.0</v>
      </c>
      <c r="H327" s="1">
        <v>0.0</v>
      </c>
    </row>
    <row r="328">
      <c r="A328" s="1" t="s">
        <v>3139</v>
      </c>
      <c r="B328" s="1">
        <v>2.0</v>
      </c>
      <c r="C328" s="1">
        <v>2.0</v>
      </c>
      <c r="D328" s="1">
        <v>2.0</v>
      </c>
      <c r="E328" s="1">
        <v>28.0</v>
      </c>
      <c r="F328" s="1">
        <v>6.0</v>
      </c>
      <c r="G328" s="1">
        <v>0.0</v>
      </c>
      <c r="H328" s="1">
        <v>1.0</v>
      </c>
    </row>
    <row r="329">
      <c r="A329" s="1" t="s">
        <v>2768</v>
      </c>
      <c r="B329" s="1">
        <v>2.0</v>
      </c>
      <c r="C329" s="1">
        <v>2.0</v>
      </c>
      <c r="D329" s="1">
        <v>2.0</v>
      </c>
      <c r="E329" s="1">
        <v>37.5</v>
      </c>
      <c r="F329" s="1">
        <v>0.0</v>
      </c>
      <c r="G329" s="1">
        <v>0.0</v>
      </c>
      <c r="H329" s="1">
        <v>0.0</v>
      </c>
    </row>
    <row r="330">
      <c r="A330" s="1" t="s">
        <v>488</v>
      </c>
      <c r="B330" s="1">
        <v>2.0</v>
      </c>
      <c r="C330" s="1">
        <v>2.0</v>
      </c>
      <c r="D330" s="1">
        <v>2.0</v>
      </c>
      <c r="E330" s="1">
        <v>15.5</v>
      </c>
      <c r="F330" s="1">
        <v>0.0</v>
      </c>
      <c r="G330" s="1">
        <v>0.0</v>
      </c>
      <c r="H330" s="1">
        <v>0.0</v>
      </c>
    </row>
    <row r="331">
      <c r="A331" s="1" t="s">
        <v>2710</v>
      </c>
      <c r="B331" s="1">
        <v>2.0</v>
      </c>
      <c r="C331" s="1">
        <v>2.0</v>
      </c>
      <c r="D331" s="1">
        <v>1.0</v>
      </c>
      <c r="E331" s="1">
        <v>58.0</v>
      </c>
      <c r="F331" s="1">
        <v>0.0</v>
      </c>
      <c r="G331" s="1">
        <v>0.0</v>
      </c>
      <c r="H331" s="1">
        <v>0.0</v>
      </c>
    </row>
    <row r="332">
      <c r="A332" s="1" t="s">
        <v>2769</v>
      </c>
      <c r="B332" s="1">
        <v>2.0</v>
      </c>
      <c r="C332" s="1">
        <v>1.0</v>
      </c>
      <c r="D332" s="1">
        <v>1.0</v>
      </c>
      <c r="E332" s="1">
        <v>17.0</v>
      </c>
      <c r="F332" s="1">
        <v>0.0</v>
      </c>
      <c r="G332" s="1">
        <v>0.0</v>
      </c>
      <c r="H332" s="1">
        <v>0.0</v>
      </c>
    </row>
    <row r="333">
      <c r="A333" s="1" t="s">
        <v>3140</v>
      </c>
      <c r="B333" s="1">
        <v>2.0</v>
      </c>
      <c r="C333" s="1">
        <v>2.0</v>
      </c>
      <c r="D333" s="1">
        <v>2.0</v>
      </c>
      <c r="E333" s="1">
        <v>0.0</v>
      </c>
      <c r="F333" s="1">
        <v>0.0</v>
      </c>
      <c r="G333" s="1">
        <v>0.0</v>
      </c>
      <c r="H333" s="1">
        <v>0.0</v>
      </c>
    </row>
    <row r="334">
      <c r="A334" s="1" t="s">
        <v>2711</v>
      </c>
      <c r="B334" s="1">
        <v>2.0</v>
      </c>
      <c r="C334" s="1">
        <v>1.0</v>
      </c>
      <c r="D334" s="1">
        <v>1.0</v>
      </c>
      <c r="E334" s="1">
        <v>0.5</v>
      </c>
      <c r="F334" s="1">
        <v>0.0</v>
      </c>
      <c r="G334" s="1">
        <v>0.0</v>
      </c>
      <c r="H334" s="1">
        <v>0.0</v>
      </c>
    </row>
    <row r="335">
      <c r="A335" s="1" t="s">
        <v>2894</v>
      </c>
      <c r="B335" s="1">
        <v>2.0</v>
      </c>
      <c r="C335" s="1">
        <v>2.0</v>
      </c>
      <c r="D335" s="1">
        <v>1.0</v>
      </c>
      <c r="E335" s="1">
        <v>8.5</v>
      </c>
      <c r="F335" s="1">
        <v>0.0</v>
      </c>
      <c r="G335" s="1">
        <v>0.0</v>
      </c>
      <c r="H335" s="1">
        <v>0.0</v>
      </c>
    </row>
    <row r="336">
      <c r="A336" s="1" t="s">
        <v>2713</v>
      </c>
      <c r="B336" s="1">
        <v>2.0</v>
      </c>
      <c r="C336" s="1">
        <v>2.0</v>
      </c>
      <c r="D336" s="1">
        <v>2.0</v>
      </c>
      <c r="E336" s="1">
        <v>27.0</v>
      </c>
      <c r="F336" s="1">
        <v>0.0</v>
      </c>
      <c r="G336" s="1">
        <v>0.0</v>
      </c>
      <c r="H336" s="1">
        <v>0.0</v>
      </c>
    </row>
    <row r="337">
      <c r="A337" s="1" t="s">
        <v>2903</v>
      </c>
      <c r="B337" s="1">
        <v>2.0</v>
      </c>
      <c r="C337" s="1">
        <v>2.0</v>
      </c>
      <c r="D337" s="1">
        <v>1.0</v>
      </c>
      <c r="E337" s="1">
        <v>35.0</v>
      </c>
      <c r="F337" s="1">
        <v>0.0</v>
      </c>
      <c r="G337" s="1">
        <v>0.0</v>
      </c>
      <c r="H337" s="1">
        <v>0.0</v>
      </c>
    </row>
    <row r="338">
      <c r="A338" s="1" t="s">
        <v>3141</v>
      </c>
      <c r="B338" s="1">
        <v>2.0</v>
      </c>
      <c r="C338" s="1">
        <v>2.0</v>
      </c>
      <c r="D338" s="1">
        <v>2.0</v>
      </c>
      <c r="E338" s="1">
        <v>0.0</v>
      </c>
      <c r="F338" s="1">
        <v>0.0</v>
      </c>
      <c r="G338" s="1">
        <v>0.0</v>
      </c>
      <c r="H338" s="1">
        <v>0.0</v>
      </c>
    </row>
    <row r="339">
      <c r="A339" s="1" t="s">
        <v>2906</v>
      </c>
      <c r="B339" s="1">
        <v>2.0</v>
      </c>
      <c r="C339" s="1">
        <v>2.0</v>
      </c>
      <c r="D339" s="1">
        <v>2.0</v>
      </c>
      <c r="E339" s="1">
        <v>41.5</v>
      </c>
      <c r="F339" s="1">
        <v>0.0</v>
      </c>
      <c r="G339" s="1">
        <v>0.0</v>
      </c>
      <c r="H339" s="1">
        <v>0.0</v>
      </c>
    </row>
    <row r="340">
      <c r="A340" s="1" t="s">
        <v>3142</v>
      </c>
      <c r="B340" s="1">
        <v>2.0</v>
      </c>
      <c r="C340" s="1">
        <v>2.0</v>
      </c>
      <c r="D340" s="1">
        <v>2.0</v>
      </c>
      <c r="E340" s="1">
        <v>0.0</v>
      </c>
      <c r="F340" s="1">
        <v>0.0</v>
      </c>
      <c r="G340" s="1">
        <v>0.0</v>
      </c>
      <c r="H340" s="1">
        <v>0.0</v>
      </c>
    </row>
    <row r="341">
      <c r="A341" s="1" t="s">
        <v>3143</v>
      </c>
      <c r="B341" s="1">
        <v>2.0</v>
      </c>
      <c r="C341" s="1">
        <v>2.0</v>
      </c>
      <c r="D341" s="1">
        <v>2.0</v>
      </c>
      <c r="E341" s="1">
        <v>0.0</v>
      </c>
      <c r="F341" s="1">
        <v>0.0</v>
      </c>
      <c r="G341" s="1">
        <v>0.0</v>
      </c>
      <c r="H341" s="1">
        <v>0.0</v>
      </c>
    </row>
    <row r="342">
      <c r="A342" s="1" t="s">
        <v>3144</v>
      </c>
      <c r="B342" s="1">
        <v>2.0</v>
      </c>
      <c r="C342" s="1">
        <v>2.0</v>
      </c>
      <c r="D342" s="1">
        <v>2.0</v>
      </c>
      <c r="E342" s="1">
        <v>2.5</v>
      </c>
      <c r="F342" s="1">
        <v>0.0</v>
      </c>
      <c r="G342" s="1">
        <v>0.0</v>
      </c>
      <c r="H342" s="1">
        <v>0.0</v>
      </c>
    </row>
    <row r="343">
      <c r="A343" s="1" t="s">
        <v>3145</v>
      </c>
      <c r="B343" s="1">
        <v>2.0</v>
      </c>
      <c r="C343" s="1">
        <v>2.0</v>
      </c>
      <c r="D343" s="1">
        <v>1.0</v>
      </c>
      <c r="E343" s="1">
        <v>1.0</v>
      </c>
      <c r="F343" s="1">
        <v>0.0</v>
      </c>
      <c r="G343" s="1">
        <v>0.0</v>
      </c>
      <c r="H343" s="1">
        <v>0.0</v>
      </c>
    </row>
    <row r="344">
      <c r="A344" s="1" t="s">
        <v>2661</v>
      </c>
      <c r="B344" s="1">
        <v>2.0</v>
      </c>
      <c r="C344" s="1">
        <v>2.0</v>
      </c>
      <c r="D344" s="1">
        <v>2.0</v>
      </c>
      <c r="E344" s="1">
        <v>2.0</v>
      </c>
      <c r="F344" s="1">
        <v>0.0</v>
      </c>
      <c r="G344" s="1">
        <v>0.0</v>
      </c>
      <c r="H344" s="1">
        <v>0.0</v>
      </c>
    </row>
    <row r="345">
      <c r="A345" s="1" t="s">
        <v>3146</v>
      </c>
      <c r="B345" s="1">
        <v>2.0</v>
      </c>
      <c r="C345" s="1">
        <v>1.0</v>
      </c>
      <c r="D345" s="1">
        <v>0.0</v>
      </c>
      <c r="E345" s="1">
        <v>3.0</v>
      </c>
      <c r="F345" s="1">
        <v>0.0</v>
      </c>
      <c r="G345" s="1">
        <v>0.0</v>
      </c>
      <c r="H345" s="1">
        <v>0.0</v>
      </c>
    </row>
    <row r="346">
      <c r="A346" s="1" t="s">
        <v>2783</v>
      </c>
      <c r="B346" s="1">
        <v>2.0</v>
      </c>
      <c r="C346" s="1">
        <v>2.0</v>
      </c>
      <c r="D346" s="1">
        <v>2.0</v>
      </c>
      <c r="E346" s="1">
        <v>1.0</v>
      </c>
      <c r="F346" s="1">
        <v>0.0</v>
      </c>
      <c r="G346" s="1">
        <v>0.0</v>
      </c>
      <c r="H346" s="1">
        <v>0.0</v>
      </c>
    </row>
    <row r="347">
      <c r="A347" s="1" t="s">
        <v>3147</v>
      </c>
      <c r="B347" s="1">
        <v>2.0</v>
      </c>
      <c r="C347" s="1">
        <v>2.0</v>
      </c>
      <c r="D347" s="1">
        <v>1.0</v>
      </c>
      <c r="E347" s="1">
        <v>849.5</v>
      </c>
      <c r="F347" s="1">
        <v>22.0</v>
      </c>
      <c r="G347" s="1">
        <v>0.0</v>
      </c>
      <c r="H347" s="1">
        <v>0.5</v>
      </c>
    </row>
    <row r="348">
      <c r="A348" s="1" t="s">
        <v>3148</v>
      </c>
      <c r="B348" s="1">
        <v>2.0</v>
      </c>
      <c r="C348" s="1">
        <v>2.0</v>
      </c>
      <c r="D348" s="1">
        <v>2.0</v>
      </c>
      <c r="E348" s="1">
        <v>0.0</v>
      </c>
      <c r="F348" s="1">
        <v>0.0</v>
      </c>
      <c r="G348" s="1">
        <v>0.0</v>
      </c>
      <c r="H348" s="1">
        <v>0.0</v>
      </c>
    </row>
    <row r="349">
      <c r="A349" s="1" t="s">
        <v>3149</v>
      </c>
      <c r="B349" s="1">
        <v>2.0</v>
      </c>
      <c r="C349" s="1">
        <v>2.0</v>
      </c>
      <c r="D349" s="1">
        <v>2.0</v>
      </c>
      <c r="E349" s="1">
        <v>0.0</v>
      </c>
      <c r="F349" s="1">
        <v>0.0</v>
      </c>
      <c r="G349" s="1">
        <v>0.0</v>
      </c>
      <c r="H349" s="1">
        <v>0.0</v>
      </c>
    </row>
    <row r="350">
      <c r="A350" s="1" t="s">
        <v>3150</v>
      </c>
      <c r="B350" s="1">
        <v>2.0</v>
      </c>
      <c r="C350" s="1">
        <v>2.0</v>
      </c>
      <c r="D350" s="1">
        <v>2.0</v>
      </c>
      <c r="E350" s="1">
        <v>64.0</v>
      </c>
      <c r="F350" s="1">
        <v>0.0</v>
      </c>
      <c r="G350" s="1">
        <v>0.0</v>
      </c>
      <c r="H350" s="1">
        <v>0.0</v>
      </c>
    </row>
    <row r="351">
      <c r="A351" s="1" t="s">
        <v>3151</v>
      </c>
      <c r="B351" s="1">
        <v>1.0</v>
      </c>
      <c r="C351" s="1">
        <v>1.0</v>
      </c>
      <c r="D351" s="1">
        <v>1.0</v>
      </c>
      <c r="E351" s="1">
        <v>122.0</v>
      </c>
      <c r="F351" s="1">
        <v>0.0</v>
      </c>
      <c r="G351" s="1">
        <v>0.0</v>
      </c>
      <c r="H351" s="1">
        <v>0.0</v>
      </c>
    </row>
    <row r="352">
      <c r="A352" s="1" t="s">
        <v>3152</v>
      </c>
      <c r="B352" s="1">
        <v>1.0</v>
      </c>
      <c r="C352" s="1">
        <v>1.0</v>
      </c>
      <c r="D352" s="1">
        <v>1.0</v>
      </c>
      <c r="E352" s="1">
        <v>3.0</v>
      </c>
      <c r="F352" s="1">
        <v>0.0</v>
      </c>
      <c r="G352" s="1">
        <v>0.0</v>
      </c>
      <c r="H352" s="1">
        <v>0.0</v>
      </c>
    </row>
    <row r="353">
      <c r="A353" s="1" t="s">
        <v>3153</v>
      </c>
      <c r="B353" s="1">
        <v>1.0</v>
      </c>
      <c r="C353" s="1">
        <v>1.0</v>
      </c>
      <c r="D353" s="1">
        <v>1.0</v>
      </c>
      <c r="E353" s="1">
        <v>10.0</v>
      </c>
      <c r="F353" s="1">
        <v>0.0</v>
      </c>
      <c r="G353" s="1">
        <v>0.0</v>
      </c>
      <c r="H353" s="1">
        <v>0.0</v>
      </c>
    </row>
    <row r="354">
      <c r="A354" s="1" t="s">
        <v>3154</v>
      </c>
      <c r="B354" s="1">
        <v>1.0</v>
      </c>
      <c r="C354" s="1">
        <v>1.0</v>
      </c>
      <c r="D354" s="1">
        <v>1.0</v>
      </c>
      <c r="E354" s="1">
        <v>39.0</v>
      </c>
      <c r="F354" s="1">
        <v>0.0</v>
      </c>
      <c r="G354" s="1">
        <v>0.0</v>
      </c>
      <c r="H354" s="1">
        <v>0.0</v>
      </c>
    </row>
    <row r="355">
      <c r="A355" s="1" t="s">
        <v>3155</v>
      </c>
      <c r="B355" s="1">
        <v>1.0</v>
      </c>
      <c r="C355" s="1">
        <v>1.0</v>
      </c>
      <c r="D355" s="1">
        <v>1.0</v>
      </c>
      <c r="E355" s="1">
        <v>49.0</v>
      </c>
      <c r="F355" s="1">
        <v>0.0</v>
      </c>
      <c r="G355" s="1">
        <v>0.0</v>
      </c>
      <c r="H355" s="1">
        <v>0.0</v>
      </c>
    </row>
    <row r="356">
      <c r="A356" s="1" t="s">
        <v>3156</v>
      </c>
      <c r="B356" s="1">
        <v>1.0</v>
      </c>
      <c r="C356" s="1">
        <v>1.0</v>
      </c>
      <c r="D356" s="1">
        <v>1.0</v>
      </c>
      <c r="E356" s="1">
        <v>11.0</v>
      </c>
      <c r="F356" s="1">
        <v>0.0</v>
      </c>
      <c r="G356" s="1">
        <v>0.0</v>
      </c>
      <c r="H356" s="1">
        <v>0.0</v>
      </c>
    </row>
    <row r="357">
      <c r="A357" s="1" t="s">
        <v>3157</v>
      </c>
      <c r="B357" s="1">
        <v>1.0</v>
      </c>
      <c r="C357" s="1">
        <v>1.0</v>
      </c>
      <c r="D357" s="1">
        <v>1.0</v>
      </c>
      <c r="E357" s="1">
        <v>102.0</v>
      </c>
      <c r="F357" s="1">
        <v>0.0</v>
      </c>
      <c r="G357" s="1">
        <v>0.0</v>
      </c>
      <c r="H357" s="1">
        <v>0.0</v>
      </c>
    </row>
    <row r="358">
      <c r="A358" s="1" t="s">
        <v>2804</v>
      </c>
      <c r="B358" s="1">
        <v>1.0</v>
      </c>
      <c r="C358" s="1">
        <v>1.0</v>
      </c>
      <c r="D358" s="1">
        <v>1.0</v>
      </c>
      <c r="E358" s="1">
        <v>0.0</v>
      </c>
      <c r="F358" s="1">
        <v>0.0</v>
      </c>
      <c r="G358" s="1">
        <v>0.0</v>
      </c>
      <c r="H358" s="1">
        <v>0.0</v>
      </c>
    </row>
    <row r="359">
      <c r="A359" s="1" t="s">
        <v>3158</v>
      </c>
      <c r="B359" s="1">
        <v>1.0</v>
      </c>
      <c r="C359" s="1">
        <v>1.0</v>
      </c>
      <c r="D359" s="1">
        <v>1.0</v>
      </c>
      <c r="E359" s="1">
        <v>22.0</v>
      </c>
      <c r="F359" s="1">
        <v>0.0</v>
      </c>
      <c r="G359" s="1">
        <v>0.0</v>
      </c>
      <c r="H359" s="1">
        <v>0.0</v>
      </c>
    </row>
    <row r="360">
      <c r="A360" s="1" t="s">
        <v>2692</v>
      </c>
      <c r="B360" s="1">
        <v>1.0</v>
      </c>
      <c r="C360" s="1">
        <v>1.0</v>
      </c>
      <c r="D360" s="1">
        <v>1.0</v>
      </c>
      <c r="E360" s="1">
        <v>43.0</v>
      </c>
      <c r="F360" s="1">
        <v>0.0</v>
      </c>
      <c r="G360" s="1">
        <v>0.0</v>
      </c>
      <c r="H360" s="1">
        <v>0.0</v>
      </c>
    </row>
    <row r="361">
      <c r="A361" s="1" t="s">
        <v>2810</v>
      </c>
      <c r="B361" s="1">
        <v>1.0</v>
      </c>
      <c r="C361" s="1">
        <v>1.0</v>
      </c>
      <c r="D361" s="1">
        <v>1.0</v>
      </c>
      <c r="E361" s="1">
        <v>0.0</v>
      </c>
      <c r="F361" s="1">
        <v>0.0</v>
      </c>
      <c r="G361" s="1">
        <v>0.0</v>
      </c>
      <c r="H361" s="1">
        <v>0.0</v>
      </c>
    </row>
    <row r="362">
      <c r="A362" s="1" t="s">
        <v>3159</v>
      </c>
      <c r="B362" s="1">
        <v>1.0</v>
      </c>
      <c r="C362" s="1">
        <v>1.0</v>
      </c>
      <c r="D362" s="1">
        <v>1.0</v>
      </c>
      <c r="E362" s="1">
        <v>92.0</v>
      </c>
      <c r="F362" s="1">
        <v>0.0</v>
      </c>
      <c r="G362" s="1">
        <v>0.0</v>
      </c>
      <c r="H362" s="1">
        <v>0.0</v>
      </c>
    </row>
    <row r="363">
      <c r="A363" s="1" t="s">
        <v>3160</v>
      </c>
      <c r="B363" s="1">
        <v>1.0</v>
      </c>
      <c r="C363" s="1">
        <v>1.0</v>
      </c>
      <c r="D363" s="1">
        <v>1.0</v>
      </c>
      <c r="E363" s="1">
        <v>77.0</v>
      </c>
      <c r="F363" s="1">
        <v>0.0</v>
      </c>
      <c r="G363" s="1">
        <v>0.0</v>
      </c>
      <c r="H363" s="1">
        <v>0.0</v>
      </c>
    </row>
    <row r="364">
      <c r="A364" s="1" t="s">
        <v>3161</v>
      </c>
      <c r="B364" s="1">
        <v>1.0</v>
      </c>
      <c r="C364" s="1">
        <v>1.0</v>
      </c>
      <c r="D364" s="1">
        <v>1.0</v>
      </c>
      <c r="E364" s="1">
        <v>8.0</v>
      </c>
      <c r="F364" s="1">
        <v>0.0</v>
      </c>
      <c r="G364" s="1">
        <v>0.0</v>
      </c>
      <c r="H364" s="1">
        <v>0.0</v>
      </c>
    </row>
    <row r="365">
      <c r="A365" s="1" t="s">
        <v>2816</v>
      </c>
      <c r="B365" s="1">
        <v>1.0</v>
      </c>
      <c r="C365" s="1">
        <v>1.0</v>
      </c>
      <c r="D365" s="1">
        <v>1.0</v>
      </c>
      <c r="E365" s="1">
        <v>49.0</v>
      </c>
      <c r="F365" s="1">
        <v>0.0</v>
      </c>
      <c r="G365" s="1">
        <v>0.0</v>
      </c>
      <c r="H365" s="1">
        <v>0.0</v>
      </c>
    </row>
    <row r="366">
      <c r="A366" s="1" t="s">
        <v>3162</v>
      </c>
      <c r="B366" s="1">
        <v>1.0</v>
      </c>
      <c r="C366" s="1">
        <v>1.0</v>
      </c>
      <c r="D366" s="1">
        <v>1.0</v>
      </c>
      <c r="E366" s="1">
        <v>15.0</v>
      </c>
      <c r="F366" s="1">
        <v>0.0</v>
      </c>
      <c r="G366" s="1">
        <v>0.0</v>
      </c>
      <c r="H366" s="1">
        <v>0.0</v>
      </c>
    </row>
    <row r="367">
      <c r="A367" s="1" t="s">
        <v>3163</v>
      </c>
      <c r="B367" s="1">
        <v>1.0</v>
      </c>
      <c r="C367" s="1">
        <v>1.0</v>
      </c>
      <c r="D367" s="1">
        <v>1.0</v>
      </c>
      <c r="E367" s="1">
        <v>52.0</v>
      </c>
      <c r="F367" s="1">
        <v>0.0</v>
      </c>
      <c r="G367" s="1">
        <v>0.0</v>
      </c>
      <c r="H367" s="1">
        <v>0.0</v>
      </c>
    </row>
    <row r="368">
      <c r="A368" s="1" t="s">
        <v>2822</v>
      </c>
      <c r="B368" s="1">
        <v>1.0</v>
      </c>
      <c r="C368" s="1">
        <v>1.0</v>
      </c>
      <c r="D368" s="1">
        <v>1.0</v>
      </c>
      <c r="E368" s="1">
        <v>83.0</v>
      </c>
      <c r="F368" s="1">
        <v>0.0</v>
      </c>
      <c r="G368" s="1">
        <v>0.0</v>
      </c>
      <c r="H368" s="1">
        <v>0.0</v>
      </c>
    </row>
    <row r="369">
      <c r="A369" s="1" t="s">
        <v>3164</v>
      </c>
      <c r="B369" s="1">
        <v>1.0</v>
      </c>
      <c r="C369" s="1">
        <v>1.0</v>
      </c>
      <c r="D369" s="1">
        <v>1.0</v>
      </c>
      <c r="E369" s="1">
        <v>0.0</v>
      </c>
      <c r="F369" s="1">
        <v>0.0</v>
      </c>
      <c r="G369" s="1">
        <v>0.0</v>
      </c>
      <c r="H369" s="1">
        <v>0.0</v>
      </c>
    </row>
    <row r="370">
      <c r="A370" s="1" t="s">
        <v>3165</v>
      </c>
      <c r="B370" s="1">
        <v>1.0</v>
      </c>
      <c r="C370" s="1">
        <v>1.0</v>
      </c>
      <c r="D370" s="1">
        <v>1.0</v>
      </c>
      <c r="E370" s="1">
        <v>38.0</v>
      </c>
      <c r="F370" s="1">
        <v>0.0</v>
      </c>
      <c r="G370" s="1">
        <v>0.0</v>
      </c>
      <c r="H370" s="1">
        <v>0.0</v>
      </c>
    </row>
    <row r="371">
      <c r="A371" s="1" t="s">
        <v>3166</v>
      </c>
      <c r="B371" s="1">
        <v>1.0</v>
      </c>
      <c r="C371" s="1">
        <v>1.0</v>
      </c>
      <c r="D371" s="1">
        <v>1.0</v>
      </c>
      <c r="E371" s="1">
        <v>146.0</v>
      </c>
      <c r="F371" s="1">
        <v>0.0</v>
      </c>
      <c r="G371" s="1">
        <v>0.0</v>
      </c>
      <c r="H371" s="1">
        <v>0.0</v>
      </c>
    </row>
    <row r="372">
      <c r="A372" s="1" t="s">
        <v>3167</v>
      </c>
      <c r="B372" s="1">
        <v>1.0</v>
      </c>
      <c r="C372" s="1">
        <v>1.0</v>
      </c>
      <c r="D372" s="1">
        <v>1.0</v>
      </c>
      <c r="E372" s="1">
        <v>43.0</v>
      </c>
      <c r="F372" s="1">
        <v>0.0</v>
      </c>
      <c r="G372" s="1">
        <v>0.0</v>
      </c>
      <c r="H372" s="1">
        <v>0.0</v>
      </c>
    </row>
    <row r="373">
      <c r="A373" s="1" t="s">
        <v>3168</v>
      </c>
      <c r="B373" s="1">
        <v>1.0</v>
      </c>
      <c r="C373" s="1">
        <v>1.0</v>
      </c>
      <c r="D373" s="1">
        <v>1.0</v>
      </c>
      <c r="E373" s="1">
        <v>204.0</v>
      </c>
      <c r="F373" s="1">
        <v>0.0</v>
      </c>
      <c r="G373" s="1">
        <v>0.0</v>
      </c>
      <c r="H373" s="1">
        <v>0.0</v>
      </c>
    </row>
    <row r="374">
      <c r="A374" s="1" t="s">
        <v>3169</v>
      </c>
      <c r="B374" s="1">
        <v>1.0</v>
      </c>
      <c r="C374" s="1">
        <v>1.0</v>
      </c>
      <c r="D374" s="1">
        <v>1.0</v>
      </c>
      <c r="E374" s="1">
        <v>38.0</v>
      </c>
      <c r="F374" s="1">
        <v>0.0</v>
      </c>
      <c r="G374" s="1">
        <v>0.0</v>
      </c>
      <c r="H374" s="1">
        <v>0.0</v>
      </c>
    </row>
    <row r="375">
      <c r="A375" s="1" t="s">
        <v>2743</v>
      </c>
      <c r="B375" s="1">
        <v>1.0</v>
      </c>
      <c r="C375" s="1">
        <v>1.0</v>
      </c>
      <c r="D375" s="1">
        <v>1.0</v>
      </c>
      <c r="E375" s="1">
        <v>0.0</v>
      </c>
      <c r="F375" s="1">
        <v>0.0</v>
      </c>
      <c r="G375" s="1">
        <v>0.0</v>
      </c>
      <c r="H375" s="1">
        <v>0.0</v>
      </c>
    </row>
    <row r="376">
      <c r="A376" s="1" t="s">
        <v>2697</v>
      </c>
      <c r="B376" s="1">
        <v>1.0</v>
      </c>
      <c r="C376" s="1">
        <v>1.0</v>
      </c>
      <c r="D376" s="1">
        <v>1.0</v>
      </c>
      <c r="E376" s="1">
        <v>34.0</v>
      </c>
      <c r="F376" s="1">
        <v>0.0</v>
      </c>
      <c r="G376" s="1">
        <v>0.0</v>
      </c>
      <c r="H376" s="1">
        <v>0.0</v>
      </c>
    </row>
    <row r="377">
      <c r="A377" s="1" t="s">
        <v>2835</v>
      </c>
      <c r="B377" s="1">
        <v>1.0</v>
      </c>
      <c r="C377" s="1">
        <v>1.0</v>
      </c>
      <c r="D377" s="1">
        <v>1.0</v>
      </c>
      <c r="E377" s="1">
        <v>52.0</v>
      </c>
      <c r="F377" s="1">
        <v>0.0</v>
      </c>
      <c r="G377" s="1">
        <v>0.0</v>
      </c>
      <c r="H377" s="1">
        <v>0.0</v>
      </c>
    </row>
    <row r="378">
      <c r="A378" s="1" t="s">
        <v>2675</v>
      </c>
      <c r="B378" s="1">
        <v>1.0</v>
      </c>
      <c r="C378" s="1">
        <v>1.0</v>
      </c>
      <c r="D378" s="1">
        <v>1.0</v>
      </c>
      <c r="E378" s="1">
        <v>18.0</v>
      </c>
      <c r="F378" s="1">
        <v>0.0</v>
      </c>
      <c r="G378" s="1">
        <v>0.0</v>
      </c>
      <c r="H378" s="1">
        <v>0.0</v>
      </c>
    </row>
    <row r="379">
      <c r="A379" s="1" t="s">
        <v>3170</v>
      </c>
      <c r="B379" s="1">
        <v>1.0</v>
      </c>
      <c r="C379" s="1">
        <v>1.0</v>
      </c>
      <c r="D379" s="1">
        <v>1.0</v>
      </c>
      <c r="E379" s="1">
        <v>175.0</v>
      </c>
      <c r="F379" s="1">
        <v>0.0</v>
      </c>
      <c r="G379" s="1">
        <v>0.0</v>
      </c>
      <c r="H379" s="1">
        <v>0.0</v>
      </c>
    </row>
    <row r="380">
      <c r="A380" s="1" t="s">
        <v>2842</v>
      </c>
      <c r="B380" s="1">
        <v>1.0</v>
      </c>
      <c r="C380" s="1">
        <v>1.0</v>
      </c>
      <c r="D380" s="1">
        <v>1.0</v>
      </c>
      <c r="E380" s="1">
        <v>17.0</v>
      </c>
      <c r="F380" s="1">
        <v>0.0</v>
      </c>
      <c r="G380" s="1">
        <v>0.0</v>
      </c>
      <c r="H380" s="1">
        <v>0.0</v>
      </c>
    </row>
    <row r="381">
      <c r="A381" s="1" t="s">
        <v>3171</v>
      </c>
      <c r="B381" s="1">
        <v>1.0</v>
      </c>
      <c r="C381" s="1">
        <v>1.0</v>
      </c>
      <c r="D381" s="1">
        <v>1.0</v>
      </c>
      <c r="E381" s="1">
        <v>124.0</v>
      </c>
      <c r="F381" s="1">
        <v>0.0</v>
      </c>
      <c r="G381" s="1">
        <v>0.0</v>
      </c>
      <c r="H381" s="1">
        <v>0.0</v>
      </c>
    </row>
    <row r="382">
      <c r="A382" s="1" t="s">
        <v>2677</v>
      </c>
      <c r="B382" s="1">
        <v>1.0</v>
      </c>
      <c r="C382" s="1">
        <v>1.0</v>
      </c>
      <c r="D382" s="1">
        <v>1.0</v>
      </c>
      <c r="E382" s="1">
        <v>28.0</v>
      </c>
      <c r="F382" s="1">
        <v>0.0</v>
      </c>
      <c r="G382" s="1">
        <v>0.0</v>
      </c>
      <c r="H382" s="1">
        <v>0.0</v>
      </c>
    </row>
    <row r="383">
      <c r="A383" s="1" t="s">
        <v>3172</v>
      </c>
      <c r="B383" s="1">
        <v>1.0</v>
      </c>
      <c r="C383" s="1">
        <v>1.0</v>
      </c>
      <c r="D383" s="1">
        <v>1.0</v>
      </c>
      <c r="E383" s="1">
        <v>174.0</v>
      </c>
      <c r="F383" s="1">
        <v>0.0</v>
      </c>
      <c r="G383" s="1">
        <v>0.0</v>
      </c>
      <c r="H383" s="1">
        <v>0.0</v>
      </c>
    </row>
    <row r="384">
      <c r="A384" s="1" t="s">
        <v>3173</v>
      </c>
      <c r="B384" s="1">
        <v>1.0</v>
      </c>
      <c r="C384" s="1">
        <v>1.0</v>
      </c>
      <c r="D384" s="1">
        <v>1.0</v>
      </c>
      <c r="E384" s="1">
        <v>207.0</v>
      </c>
      <c r="F384" s="1">
        <v>0.0</v>
      </c>
      <c r="G384" s="1">
        <v>0.0</v>
      </c>
      <c r="H384" s="1">
        <v>0.0</v>
      </c>
    </row>
    <row r="385">
      <c r="A385" s="1" t="s">
        <v>2846</v>
      </c>
      <c r="B385" s="1">
        <v>1.0</v>
      </c>
      <c r="C385" s="1">
        <v>1.0</v>
      </c>
      <c r="D385" s="1">
        <v>1.0</v>
      </c>
      <c r="E385" s="1">
        <v>80.0</v>
      </c>
      <c r="F385" s="1">
        <v>1.0</v>
      </c>
      <c r="G385" s="1">
        <v>0.0</v>
      </c>
      <c r="H385" s="1">
        <v>1.0</v>
      </c>
    </row>
    <row r="386">
      <c r="A386" s="1" t="s">
        <v>3174</v>
      </c>
      <c r="B386" s="1">
        <v>1.0</v>
      </c>
      <c r="C386" s="1">
        <v>1.0</v>
      </c>
      <c r="D386" s="1">
        <v>1.0</v>
      </c>
      <c r="E386" s="1">
        <v>128.0</v>
      </c>
      <c r="F386" s="1">
        <v>0.0</v>
      </c>
      <c r="G386" s="1">
        <v>0.0</v>
      </c>
      <c r="H386" s="1">
        <v>0.0</v>
      </c>
    </row>
    <row r="387">
      <c r="A387" s="1" t="s">
        <v>2847</v>
      </c>
      <c r="B387" s="1">
        <v>1.0</v>
      </c>
      <c r="C387" s="1">
        <v>1.0</v>
      </c>
      <c r="D387" s="1">
        <v>1.0</v>
      </c>
      <c r="E387" s="1">
        <v>27.0</v>
      </c>
      <c r="F387" s="1">
        <v>0.0</v>
      </c>
      <c r="G387" s="1">
        <v>0.0</v>
      </c>
      <c r="H387" s="1">
        <v>0.0</v>
      </c>
    </row>
    <row r="388">
      <c r="A388" s="1" t="s">
        <v>2701</v>
      </c>
      <c r="B388" s="1">
        <v>1.0</v>
      </c>
      <c r="C388" s="1">
        <v>1.0</v>
      </c>
      <c r="D388" s="1">
        <v>1.0</v>
      </c>
      <c r="E388" s="1">
        <v>17.0</v>
      </c>
      <c r="F388" s="1">
        <v>0.0</v>
      </c>
      <c r="G388" s="1">
        <v>0.0</v>
      </c>
      <c r="H388" s="1">
        <v>0.0</v>
      </c>
    </row>
    <row r="389">
      <c r="A389" s="1" t="s">
        <v>3175</v>
      </c>
      <c r="B389" s="1">
        <v>1.0</v>
      </c>
      <c r="C389" s="1">
        <v>1.0</v>
      </c>
      <c r="D389" s="1">
        <v>1.0</v>
      </c>
      <c r="E389" s="1">
        <v>116.0</v>
      </c>
      <c r="F389" s="1">
        <v>0.0</v>
      </c>
      <c r="G389" s="1">
        <v>0.0</v>
      </c>
      <c r="H389" s="1">
        <v>0.0</v>
      </c>
    </row>
    <row r="390">
      <c r="A390" s="1" t="s">
        <v>3176</v>
      </c>
      <c r="B390" s="1">
        <v>1.0</v>
      </c>
      <c r="C390" s="1">
        <v>1.0</v>
      </c>
      <c r="D390" s="1">
        <v>1.0</v>
      </c>
      <c r="E390" s="1">
        <v>23.0</v>
      </c>
      <c r="F390" s="1">
        <v>0.0</v>
      </c>
      <c r="G390" s="1">
        <v>0.0</v>
      </c>
      <c r="H390" s="1">
        <v>0.0</v>
      </c>
    </row>
    <row r="391">
      <c r="A391" s="1" t="s">
        <v>2755</v>
      </c>
      <c r="B391" s="1">
        <v>1.0</v>
      </c>
      <c r="C391" s="1">
        <v>1.0</v>
      </c>
      <c r="D391" s="1">
        <v>1.0</v>
      </c>
      <c r="E391" s="1">
        <v>0.0</v>
      </c>
      <c r="F391" s="1">
        <v>0.0</v>
      </c>
      <c r="G391" s="1">
        <v>0.0</v>
      </c>
      <c r="H391" s="1">
        <v>0.0</v>
      </c>
    </row>
    <row r="392">
      <c r="A392" s="1" t="s">
        <v>2703</v>
      </c>
      <c r="B392" s="1">
        <v>1.0</v>
      </c>
      <c r="C392" s="1">
        <v>1.0</v>
      </c>
      <c r="D392" s="1">
        <v>1.0</v>
      </c>
      <c r="E392" s="1">
        <v>0.0</v>
      </c>
      <c r="F392" s="1">
        <v>0.0</v>
      </c>
      <c r="G392" s="1">
        <v>0.0</v>
      </c>
      <c r="H392" s="1">
        <v>0.0</v>
      </c>
    </row>
    <row r="393">
      <c r="A393" s="1" t="s">
        <v>3177</v>
      </c>
      <c r="B393" s="1">
        <v>1.0</v>
      </c>
      <c r="C393" s="1">
        <v>1.0</v>
      </c>
      <c r="D393" s="1">
        <v>1.0</v>
      </c>
      <c r="E393" s="1">
        <v>1.0</v>
      </c>
      <c r="F393" s="1">
        <v>0.0</v>
      </c>
      <c r="G393" s="1">
        <v>0.0</v>
      </c>
      <c r="H393" s="1">
        <v>0.0</v>
      </c>
    </row>
    <row r="394">
      <c r="A394" s="1" t="s">
        <v>3178</v>
      </c>
      <c r="B394" s="1">
        <v>1.0</v>
      </c>
      <c r="C394" s="1">
        <v>1.0</v>
      </c>
      <c r="D394" s="1">
        <v>0.0</v>
      </c>
      <c r="E394" s="1">
        <v>29.0</v>
      </c>
      <c r="F394" s="1">
        <v>0.0</v>
      </c>
      <c r="G394" s="1">
        <v>0.0</v>
      </c>
      <c r="H394" s="1">
        <v>0.0</v>
      </c>
    </row>
    <row r="395">
      <c r="A395" s="1" t="s">
        <v>3179</v>
      </c>
      <c r="B395" s="1">
        <v>1.0</v>
      </c>
      <c r="C395" s="1">
        <v>1.0</v>
      </c>
      <c r="D395" s="1">
        <v>1.0</v>
      </c>
      <c r="E395" s="1">
        <v>21.0</v>
      </c>
      <c r="F395" s="1">
        <v>0.0</v>
      </c>
      <c r="G395" s="1">
        <v>0.0</v>
      </c>
      <c r="H395" s="1">
        <v>0.0</v>
      </c>
    </row>
    <row r="396">
      <c r="A396" s="1" t="s">
        <v>3180</v>
      </c>
      <c r="B396" s="1">
        <v>1.0</v>
      </c>
      <c r="C396" s="1">
        <v>1.0</v>
      </c>
      <c r="D396" s="1">
        <v>0.0</v>
      </c>
      <c r="E396" s="1">
        <v>46.0</v>
      </c>
      <c r="F396" s="1">
        <v>0.0</v>
      </c>
      <c r="G396" s="1">
        <v>0.0</v>
      </c>
      <c r="H396" s="1">
        <v>0.0</v>
      </c>
    </row>
    <row r="397">
      <c r="A397" s="1" t="s">
        <v>3181</v>
      </c>
      <c r="B397" s="1">
        <v>1.0</v>
      </c>
      <c r="C397" s="1">
        <v>1.0</v>
      </c>
      <c r="D397" s="1">
        <v>0.0</v>
      </c>
      <c r="E397" s="1">
        <v>49.0</v>
      </c>
      <c r="F397" s="1">
        <v>0.0</v>
      </c>
      <c r="G397" s="1">
        <v>0.0</v>
      </c>
      <c r="H397" s="1">
        <v>0.0</v>
      </c>
    </row>
    <row r="398">
      <c r="A398" s="1" t="s">
        <v>3182</v>
      </c>
      <c r="B398" s="1">
        <v>1.0</v>
      </c>
      <c r="C398" s="1">
        <v>1.0</v>
      </c>
      <c r="D398" s="1">
        <v>0.0</v>
      </c>
      <c r="E398" s="1">
        <v>65.0</v>
      </c>
      <c r="F398" s="1">
        <v>0.0</v>
      </c>
      <c r="G398" s="1">
        <v>0.0</v>
      </c>
      <c r="H398" s="1">
        <v>0.0</v>
      </c>
    </row>
    <row r="399">
      <c r="A399" s="1" t="s">
        <v>3183</v>
      </c>
      <c r="B399" s="1">
        <v>1.0</v>
      </c>
      <c r="C399" s="1">
        <v>1.0</v>
      </c>
      <c r="D399" s="1">
        <v>1.0</v>
      </c>
      <c r="E399" s="1">
        <v>22.0</v>
      </c>
      <c r="F399" s="1">
        <v>0.0</v>
      </c>
      <c r="G399" s="1">
        <v>0.0</v>
      </c>
      <c r="H399" s="1">
        <v>0.0</v>
      </c>
    </row>
    <row r="400">
      <c r="A400" s="1" t="s">
        <v>2872</v>
      </c>
      <c r="B400" s="1">
        <v>1.0</v>
      </c>
      <c r="C400" s="1">
        <v>1.0</v>
      </c>
      <c r="D400" s="1">
        <v>1.0</v>
      </c>
      <c r="E400" s="1">
        <v>2.0</v>
      </c>
      <c r="F400" s="1">
        <v>0.0</v>
      </c>
      <c r="G400" s="1">
        <v>0.0</v>
      </c>
      <c r="H400" s="1">
        <v>0.0</v>
      </c>
    </row>
    <row r="401">
      <c r="A401" s="1" t="s">
        <v>2873</v>
      </c>
      <c r="B401" s="1">
        <v>1.0</v>
      </c>
      <c r="C401" s="1">
        <v>1.0</v>
      </c>
      <c r="D401" s="1">
        <v>1.0</v>
      </c>
      <c r="E401" s="1">
        <v>171.0</v>
      </c>
      <c r="F401" s="1">
        <v>1.0</v>
      </c>
      <c r="G401" s="1">
        <v>0.0</v>
      </c>
      <c r="H401" s="1">
        <v>1.0</v>
      </c>
    </row>
    <row r="402">
      <c r="A402" s="1" t="s">
        <v>3184</v>
      </c>
      <c r="B402" s="1">
        <v>1.0</v>
      </c>
      <c r="C402" s="1">
        <v>1.0</v>
      </c>
      <c r="D402" s="1">
        <v>1.0</v>
      </c>
      <c r="E402" s="1">
        <v>8.0</v>
      </c>
      <c r="F402" s="1">
        <v>0.0</v>
      </c>
      <c r="G402" s="1">
        <v>0.0</v>
      </c>
      <c r="H402" s="1">
        <v>0.0</v>
      </c>
    </row>
    <row r="403">
      <c r="A403" s="1" t="s">
        <v>3185</v>
      </c>
      <c r="B403" s="1">
        <v>1.0</v>
      </c>
      <c r="C403" s="1">
        <v>1.0</v>
      </c>
      <c r="D403" s="1">
        <v>1.0</v>
      </c>
      <c r="E403" s="1">
        <v>0.0</v>
      </c>
      <c r="F403" s="1">
        <v>0.0</v>
      </c>
      <c r="G403" s="1">
        <v>0.0</v>
      </c>
      <c r="H403" s="1">
        <v>0.0</v>
      </c>
    </row>
    <row r="404">
      <c r="A404" s="1" t="s">
        <v>3186</v>
      </c>
      <c r="B404" s="1">
        <v>1.0</v>
      </c>
      <c r="C404" s="1">
        <v>1.0</v>
      </c>
      <c r="D404" s="1">
        <v>1.0</v>
      </c>
      <c r="E404" s="1">
        <v>0.0</v>
      </c>
      <c r="F404" s="1">
        <v>0.0</v>
      </c>
      <c r="G404" s="1">
        <v>0.0</v>
      </c>
      <c r="H404" s="1">
        <v>0.0</v>
      </c>
    </row>
    <row r="405">
      <c r="A405" s="1" t="s">
        <v>3187</v>
      </c>
      <c r="B405" s="1">
        <v>1.0</v>
      </c>
      <c r="C405" s="1">
        <v>1.0</v>
      </c>
      <c r="D405" s="1">
        <v>1.0</v>
      </c>
      <c r="E405" s="1">
        <v>421.0</v>
      </c>
      <c r="F405" s="1">
        <v>0.0</v>
      </c>
      <c r="G405" s="1">
        <v>0.0</v>
      </c>
      <c r="H405" s="1">
        <v>0.0</v>
      </c>
    </row>
    <row r="406">
      <c r="A406" s="1" t="s">
        <v>3188</v>
      </c>
      <c r="B406" s="1">
        <v>1.0</v>
      </c>
      <c r="C406" s="1">
        <v>1.0</v>
      </c>
      <c r="D406" s="1">
        <v>1.0</v>
      </c>
      <c r="E406" s="1">
        <v>45.0</v>
      </c>
      <c r="F406" s="1">
        <v>0.0</v>
      </c>
      <c r="G406" s="1">
        <v>0.0</v>
      </c>
      <c r="H406" s="1">
        <v>0.0</v>
      </c>
    </row>
    <row r="407">
      <c r="A407" s="1" t="s">
        <v>3189</v>
      </c>
      <c r="B407" s="1">
        <v>1.0</v>
      </c>
      <c r="C407" s="1">
        <v>1.0</v>
      </c>
      <c r="D407" s="1">
        <v>1.0</v>
      </c>
      <c r="E407" s="1">
        <v>0.0</v>
      </c>
      <c r="F407" s="1">
        <v>0.0</v>
      </c>
      <c r="G407" s="1">
        <v>0.0</v>
      </c>
      <c r="H407" s="1">
        <v>0.0</v>
      </c>
    </row>
    <row r="408">
      <c r="A408" s="1" t="s">
        <v>3190</v>
      </c>
      <c r="B408" s="1">
        <v>1.0</v>
      </c>
      <c r="C408" s="1">
        <v>1.0</v>
      </c>
      <c r="D408" s="1">
        <v>1.0</v>
      </c>
      <c r="E408" s="1">
        <v>15.0</v>
      </c>
      <c r="F408" s="1">
        <v>0.0</v>
      </c>
      <c r="G408" s="1">
        <v>0.0</v>
      </c>
      <c r="H408" s="1">
        <v>0.0</v>
      </c>
    </row>
    <row r="409">
      <c r="A409" s="1" t="s">
        <v>2882</v>
      </c>
      <c r="B409" s="1">
        <v>1.0</v>
      </c>
      <c r="C409" s="1">
        <v>1.0</v>
      </c>
      <c r="D409" s="1">
        <v>1.0</v>
      </c>
      <c r="E409" s="1">
        <v>493.0</v>
      </c>
      <c r="F409" s="1">
        <v>3.0</v>
      </c>
      <c r="G409" s="1">
        <v>0.0</v>
      </c>
      <c r="H409" s="1">
        <v>1.0</v>
      </c>
    </row>
    <row r="410">
      <c r="A410" s="1" t="s">
        <v>472</v>
      </c>
      <c r="B410" s="1">
        <v>1.0</v>
      </c>
      <c r="C410" s="1">
        <v>1.0</v>
      </c>
      <c r="D410" s="1">
        <v>1.0</v>
      </c>
      <c r="E410" s="1">
        <v>15.0</v>
      </c>
      <c r="F410" s="1">
        <v>0.0</v>
      </c>
      <c r="G410" s="1">
        <v>0.0</v>
      </c>
      <c r="H410" s="1">
        <v>0.0</v>
      </c>
    </row>
    <row r="411">
      <c r="A411" s="1" t="s">
        <v>492</v>
      </c>
      <c r="B411" s="1">
        <v>1.0</v>
      </c>
      <c r="C411" s="1">
        <v>1.0</v>
      </c>
      <c r="D411" s="1">
        <v>1.0</v>
      </c>
      <c r="E411" s="1">
        <v>12.0</v>
      </c>
      <c r="F411" s="1">
        <v>0.0</v>
      </c>
      <c r="G411" s="1">
        <v>0.0</v>
      </c>
      <c r="H411" s="1">
        <v>0.0</v>
      </c>
    </row>
    <row r="412">
      <c r="A412" s="1" t="s">
        <v>3191</v>
      </c>
      <c r="B412" s="1">
        <v>1.0</v>
      </c>
      <c r="C412" s="1">
        <v>1.0</v>
      </c>
      <c r="D412" s="1">
        <v>1.0</v>
      </c>
      <c r="E412" s="1">
        <v>0.0</v>
      </c>
      <c r="F412" s="1">
        <v>0.0</v>
      </c>
      <c r="G412" s="1">
        <v>0.0</v>
      </c>
      <c r="H412" s="1">
        <v>0.0</v>
      </c>
    </row>
    <row r="413">
      <c r="A413" s="1" t="s">
        <v>3192</v>
      </c>
      <c r="B413" s="1">
        <v>1.0</v>
      </c>
      <c r="C413" s="1">
        <v>1.0</v>
      </c>
      <c r="D413" s="1">
        <v>1.0</v>
      </c>
      <c r="E413" s="1">
        <v>83.0</v>
      </c>
      <c r="F413" s="1">
        <v>0.0</v>
      </c>
      <c r="G413" s="1">
        <v>0.0</v>
      </c>
      <c r="H413" s="1">
        <v>0.0</v>
      </c>
    </row>
    <row r="414">
      <c r="A414" s="1" t="s">
        <v>2888</v>
      </c>
      <c r="B414" s="1">
        <v>1.0</v>
      </c>
      <c r="C414" s="1">
        <v>1.0</v>
      </c>
      <c r="D414" s="1">
        <v>1.0</v>
      </c>
      <c r="E414" s="1">
        <v>0.0</v>
      </c>
      <c r="F414" s="1">
        <v>0.0</v>
      </c>
      <c r="G414" s="1">
        <v>0.0</v>
      </c>
      <c r="H414" s="1">
        <v>0.0</v>
      </c>
    </row>
    <row r="415">
      <c r="A415" s="1" t="s">
        <v>3193</v>
      </c>
      <c r="B415" s="1">
        <v>1.0</v>
      </c>
      <c r="C415" s="1">
        <v>1.0</v>
      </c>
      <c r="D415" s="1">
        <v>1.0</v>
      </c>
      <c r="E415" s="1">
        <v>8.0</v>
      </c>
      <c r="F415" s="1">
        <v>0.0</v>
      </c>
      <c r="G415" s="1">
        <v>0.0</v>
      </c>
      <c r="H415" s="1">
        <v>0.0</v>
      </c>
    </row>
    <row r="416">
      <c r="A416" s="1" t="s">
        <v>3194</v>
      </c>
      <c r="B416" s="1">
        <v>1.0</v>
      </c>
      <c r="C416" s="1">
        <v>1.0</v>
      </c>
      <c r="D416" s="1">
        <v>0.0</v>
      </c>
      <c r="E416" s="1">
        <v>94.0</v>
      </c>
      <c r="F416" s="1">
        <v>0.0</v>
      </c>
      <c r="G416" s="1">
        <v>0.0</v>
      </c>
      <c r="H416" s="1">
        <v>0.0</v>
      </c>
    </row>
    <row r="417">
      <c r="A417" s="1" t="s">
        <v>2590</v>
      </c>
      <c r="B417" s="1">
        <v>1.0</v>
      </c>
      <c r="C417" s="1">
        <v>1.0</v>
      </c>
      <c r="D417" s="1">
        <v>0.0</v>
      </c>
      <c r="E417" s="1">
        <v>16.0</v>
      </c>
      <c r="F417" s="1">
        <v>0.0</v>
      </c>
      <c r="G417" s="1">
        <v>0.0</v>
      </c>
      <c r="H417" s="1">
        <v>0.0</v>
      </c>
    </row>
    <row r="418">
      <c r="A418" s="1" t="s">
        <v>3195</v>
      </c>
      <c r="B418" s="1">
        <v>1.0</v>
      </c>
      <c r="C418" s="1">
        <v>1.0</v>
      </c>
      <c r="D418" s="1">
        <v>0.0</v>
      </c>
      <c r="E418" s="1">
        <v>13.0</v>
      </c>
      <c r="F418" s="1">
        <v>0.0</v>
      </c>
      <c r="G418" s="1">
        <v>0.0</v>
      </c>
      <c r="H418" s="1">
        <v>0.0</v>
      </c>
    </row>
    <row r="419">
      <c r="A419" s="1" t="s">
        <v>3196</v>
      </c>
      <c r="B419" s="1">
        <v>1.0</v>
      </c>
      <c r="C419" s="1">
        <v>1.0</v>
      </c>
      <c r="D419" s="1">
        <v>1.0</v>
      </c>
      <c r="E419" s="1">
        <v>0.0</v>
      </c>
      <c r="F419" s="1">
        <v>0.0</v>
      </c>
      <c r="G419" s="1">
        <v>0.0</v>
      </c>
      <c r="H419" s="1">
        <v>0.0</v>
      </c>
    </row>
    <row r="420">
      <c r="A420" s="1" t="s">
        <v>536</v>
      </c>
      <c r="B420" s="1">
        <v>1.0</v>
      </c>
      <c r="C420" s="1">
        <v>1.0</v>
      </c>
      <c r="D420" s="1">
        <v>1.0</v>
      </c>
      <c r="E420" s="1">
        <v>0.0</v>
      </c>
      <c r="F420" s="1">
        <v>0.0</v>
      </c>
      <c r="G420" s="1">
        <v>0.0</v>
      </c>
      <c r="H420" s="1">
        <v>0.0</v>
      </c>
    </row>
    <row r="421">
      <c r="A421" s="1" t="s">
        <v>2635</v>
      </c>
      <c r="B421" s="1">
        <v>1.0</v>
      </c>
      <c r="C421" s="1">
        <v>1.0</v>
      </c>
      <c r="D421" s="1">
        <v>1.0</v>
      </c>
      <c r="E421" s="1">
        <v>0.0</v>
      </c>
      <c r="F421" s="1">
        <v>0.0</v>
      </c>
      <c r="G421" s="1">
        <v>0.0</v>
      </c>
      <c r="H421" s="1">
        <v>0.0</v>
      </c>
    </row>
    <row r="422">
      <c r="A422" s="1" t="s">
        <v>3197</v>
      </c>
      <c r="B422" s="1">
        <v>1.0</v>
      </c>
      <c r="C422" s="1">
        <v>1.0</v>
      </c>
      <c r="D422" s="1">
        <v>1.0</v>
      </c>
      <c r="E422" s="1">
        <v>25.0</v>
      </c>
      <c r="F422" s="1">
        <v>2.0</v>
      </c>
      <c r="G422" s="1">
        <v>0.0</v>
      </c>
      <c r="H422" s="1">
        <v>1.0</v>
      </c>
    </row>
    <row r="423">
      <c r="A423" s="1" t="s">
        <v>3198</v>
      </c>
      <c r="B423" s="1">
        <v>1.0</v>
      </c>
      <c r="C423" s="1">
        <v>1.0</v>
      </c>
      <c r="D423" s="1">
        <v>1.0</v>
      </c>
      <c r="E423" s="1">
        <v>5.0</v>
      </c>
      <c r="F423" s="1">
        <v>0.0</v>
      </c>
      <c r="G423" s="1">
        <v>0.0</v>
      </c>
      <c r="H423" s="1">
        <v>0.0</v>
      </c>
    </row>
    <row r="424">
      <c r="A424" s="1" t="s">
        <v>2897</v>
      </c>
      <c r="B424" s="1">
        <v>1.0</v>
      </c>
      <c r="C424" s="1">
        <v>1.0</v>
      </c>
      <c r="D424" s="1">
        <v>1.0</v>
      </c>
      <c r="E424" s="1">
        <v>6.0</v>
      </c>
      <c r="F424" s="1">
        <v>0.0</v>
      </c>
      <c r="G424" s="1">
        <v>0.0</v>
      </c>
      <c r="H424" s="1">
        <v>0.0</v>
      </c>
    </row>
    <row r="425">
      <c r="A425" s="1" t="s">
        <v>2899</v>
      </c>
      <c r="B425" s="1">
        <v>1.0</v>
      </c>
      <c r="C425" s="1">
        <v>1.0</v>
      </c>
      <c r="D425" s="1">
        <v>1.0</v>
      </c>
      <c r="E425" s="1">
        <v>11.0</v>
      </c>
      <c r="F425" s="1">
        <v>0.0</v>
      </c>
      <c r="G425" s="1">
        <v>0.0</v>
      </c>
      <c r="H425" s="1">
        <v>0.0</v>
      </c>
    </row>
    <row r="426">
      <c r="A426" s="1" t="s">
        <v>3199</v>
      </c>
      <c r="B426" s="1">
        <v>1.0</v>
      </c>
      <c r="C426" s="1">
        <v>1.0</v>
      </c>
      <c r="D426" s="1">
        <v>1.0</v>
      </c>
      <c r="E426" s="1">
        <v>21.0</v>
      </c>
      <c r="F426" s="1">
        <v>0.0</v>
      </c>
      <c r="G426" s="1">
        <v>0.0</v>
      </c>
      <c r="H426" s="1">
        <v>0.0</v>
      </c>
    </row>
    <row r="427">
      <c r="A427" s="1" t="s">
        <v>2900</v>
      </c>
      <c r="B427" s="1">
        <v>1.0</v>
      </c>
      <c r="C427" s="1">
        <v>1.0</v>
      </c>
      <c r="D427" s="1">
        <v>1.0</v>
      </c>
      <c r="E427" s="1">
        <v>633.0</v>
      </c>
      <c r="F427" s="1">
        <v>2.0</v>
      </c>
      <c r="G427" s="1">
        <v>0.0</v>
      </c>
      <c r="H427" s="1">
        <v>1.0</v>
      </c>
    </row>
    <row r="428">
      <c r="A428" s="1" t="s">
        <v>544</v>
      </c>
      <c r="B428" s="1">
        <v>1.0</v>
      </c>
      <c r="C428" s="1">
        <v>1.0</v>
      </c>
      <c r="D428" s="1">
        <v>0.0</v>
      </c>
      <c r="E428" s="1">
        <v>48.0</v>
      </c>
      <c r="F428" s="1">
        <v>0.0</v>
      </c>
      <c r="G428" s="1">
        <v>0.0</v>
      </c>
      <c r="H428" s="1">
        <v>0.0</v>
      </c>
    </row>
    <row r="429">
      <c r="A429" s="1" t="s">
        <v>2773</v>
      </c>
      <c r="B429" s="1">
        <v>1.0</v>
      </c>
      <c r="C429" s="1">
        <v>1.0</v>
      </c>
      <c r="D429" s="1">
        <v>1.0</v>
      </c>
      <c r="E429" s="1">
        <v>0.0</v>
      </c>
      <c r="F429" s="1">
        <v>0.0</v>
      </c>
      <c r="G429" s="1">
        <v>0.0</v>
      </c>
      <c r="H429" s="1">
        <v>0.0</v>
      </c>
    </row>
    <row r="430">
      <c r="A430" s="1" t="s">
        <v>3200</v>
      </c>
      <c r="B430" s="1">
        <v>1.0</v>
      </c>
      <c r="C430" s="1">
        <v>1.0</v>
      </c>
      <c r="D430" s="1">
        <v>1.0</v>
      </c>
      <c r="E430" s="1">
        <v>248.0</v>
      </c>
      <c r="F430" s="1">
        <v>0.0</v>
      </c>
      <c r="G430" s="1">
        <v>0.0</v>
      </c>
      <c r="H430" s="1">
        <v>0.0</v>
      </c>
    </row>
    <row r="431">
      <c r="A431" s="1" t="s">
        <v>3201</v>
      </c>
      <c r="B431" s="1">
        <v>1.0</v>
      </c>
      <c r="C431" s="1">
        <v>1.0</v>
      </c>
      <c r="D431" s="1">
        <v>1.0</v>
      </c>
      <c r="E431" s="1">
        <v>38.0</v>
      </c>
      <c r="F431" s="1">
        <v>0.0</v>
      </c>
      <c r="G431" s="1">
        <v>0.0</v>
      </c>
      <c r="H431" s="1">
        <v>0.0</v>
      </c>
    </row>
    <row r="432">
      <c r="A432" s="1" t="s">
        <v>3202</v>
      </c>
      <c r="B432" s="1">
        <v>1.0</v>
      </c>
      <c r="C432" s="1">
        <v>1.0</v>
      </c>
      <c r="D432" s="1">
        <v>0.0</v>
      </c>
      <c r="E432" s="1">
        <v>50.0</v>
      </c>
      <c r="F432" s="1">
        <v>0.0</v>
      </c>
      <c r="G432" s="1">
        <v>0.0</v>
      </c>
      <c r="H432" s="1">
        <v>0.0</v>
      </c>
    </row>
    <row r="433">
      <c r="A433" s="1" t="s">
        <v>2637</v>
      </c>
      <c r="B433" s="1">
        <v>1.0</v>
      </c>
      <c r="C433" s="1">
        <v>1.0</v>
      </c>
      <c r="D433" s="1">
        <v>1.0</v>
      </c>
      <c r="E433" s="1">
        <v>176.0</v>
      </c>
      <c r="F433" s="1">
        <v>0.0</v>
      </c>
      <c r="G433" s="1">
        <v>0.0</v>
      </c>
      <c r="H433" s="1">
        <v>0.0</v>
      </c>
    </row>
    <row r="434">
      <c r="A434" s="1" t="s">
        <v>2908</v>
      </c>
      <c r="B434" s="1">
        <v>1.0</v>
      </c>
      <c r="C434" s="1">
        <v>1.0</v>
      </c>
      <c r="D434" s="1">
        <v>1.0</v>
      </c>
      <c r="E434" s="1">
        <v>0.0</v>
      </c>
      <c r="F434" s="1">
        <v>0.0</v>
      </c>
      <c r="G434" s="1">
        <v>0.0</v>
      </c>
      <c r="H434" s="1">
        <v>0.0</v>
      </c>
    </row>
    <row r="435">
      <c r="A435" s="1" t="s">
        <v>2778</v>
      </c>
      <c r="B435" s="1">
        <v>1.0</v>
      </c>
      <c r="C435" s="1">
        <v>1.0</v>
      </c>
      <c r="D435" s="1">
        <v>1.0</v>
      </c>
      <c r="E435" s="1">
        <v>28.0</v>
      </c>
      <c r="F435" s="1">
        <v>0.0</v>
      </c>
      <c r="G435" s="1">
        <v>0.0</v>
      </c>
      <c r="H435" s="1">
        <v>0.0</v>
      </c>
    </row>
    <row r="436">
      <c r="A436" s="1" t="s">
        <v>3203</v>
      </c>
      <c r="B436" s="1">
        <v>1.0</v>
      </c>
      <c r="C436" s="1">
        <v>1.0</v>
      </c>
      <c r="D436" s="1">
        <v>1.0</v>
      </c>
      <c r="E436" s="1">
        <v>96.0</v>
      </c>
      <c r="F436" s="1">
        <v>0.0</v>
      </c>
      <c r="G436" s="1">
        <v>0.0</v>
      </c>
      <c r="H436" s="1">
        <v>0.0</v>
      </c>
    </row>
    <row r="437">
      <c r="A437" s="1" t="s">
        <v>3204</v>
      </c>
      <c r="B437" s="1">
        <v>1.0</v>
      </c>
      <c r="C437" s="1">
        <v>1.0</v>
      </c>
      <c r="D437" s="1">
        <v>0.0</v>
      </c>
      <c r="E437" s="1">
        <v>57.0</v>
      </c>
      <c r="F437" s="1">
        <v>0.0</v>
      </c>
      <c r="G437" s="1">
        <v>0.0</v>
      </c>
      <c r="H437" s="1">
        <v>0.0</v>
      </c>
    </row>
    <row r="438">
      <c r="A438" s="1" t="s">
        <v>3205</v>
      </c>
      <c r="B438" s="1">
        <v>1.0</v>
      </c>
      <c r="C438" s="1">
        <v>1.0</v>
      </c>
      <c r="D438" s="1">
        <v>1.0</v>
      </c>
      <c r="E438" s="1">
        <v>134.0</v>
      </c>
      <c r="F438" s="1">
        <v>0.0</v>
      </c>
      <c r="G438" s="1">
        <v>0.0</v>
      </c>
      <c r="H438" s="1">
        <v>0.0</v>
      </c>
    </row>
    <row r="439">
      <c r="A439" s="1" t="s">
        <v>2913</v>
      </c>
      <c r="B439" s="1">
        <v>1.0</v>
      </c>
      <c r="C439" s="1">
        <v>1.0</v>
      </c>
      <c r="D439" s="1">
        <v>1.0</v>
      </c>
      <c r="E439" s="1">
        <v>0.0</v>
      </c>
      <c r="F439" s="1">
        <v>0.0</v>
      </c>
      <c r="G439" s="1">
        <v>0.0</v>
      </c>
      <c r="H439" s="1">
        <v>0.0</v>
      </c>
    </row>
    <row r="440">
      <c r="A440" s="1" t="s">
        <v>3206</v>
      </c>
      <c r="B440" s="1">
        <v>1.0</v>
      </c>
      <c r="C440" s="1">
        <v>1.0</v>
      </c>
      <c r="D440" s="1">
        <v>1.0</v>
      </c>
      <c r="E440" s="1">
        <v>0.0</v>
      </c>
      <c r="F440" s="1">
        <v>0.0</v>
      </c>
      <c r="G440" s="1">
        <v>0.0</v>
      </c>
      <c r="H440" s="1">
        <v>0.0</v>
      </c>
    </row>
    <row r="441">
      <c r="A441" s="1" t="s">
        <v>3207</v>
      </c>
      <c r="B441" s="1">
        <v>1.0</v>
      </c>
      <c r="C441" s="1">
        <v>1.0</v>
      </c>
      <c r="D441" s="1">
        <v>1.0</v>
      </c>
      <c r="E441" s="1">
        <v>0.0</v>
      </c>
      <c r="F441" s="1">
        <v>0.0</v>
      </c>
      <c r="G441" s="1">
        <v>0.0</v>
      </c>
      <c r="H441" s="1">
        <v>0.0</v>
      </c>
    </row>
    <row r="442">
      <c r="A442" s="1" t="s">
        <v>3208</v>
      </c>
      <c r="B442" s="1">
        <v>1.0</v>
      </c>
      <c r="C442" s="1">
        <v>1.0</v>
      </c>
      <c r="D442" s="1">
        <v>1.0</v>
      </c>
      <c r="E442" s="1">
        <v>19.0</v>
      </c>
      <c r="F442" s="1">
        <v>0.0</v>
      </c>
      <c r="G442" s="1">
        <v>0.0</v>
      </c>
      <c r="H442" s="1">
        <v>0.0</v>
      </c>
    </row>
    <row r="443">
      <c r="A443" s="1" t="s">
        <v>2686</v>
      </c>
      <c r="B443" s="1">
        <v>1.0</v>
      </c>
      <c r="C443" s="1">
        <v>1.0</v>
      </c>
      <c r="D443" s="1">
        <v>1.0</v>
      </c>
      <c r="E443" s="1">
        <v>22.0</v>
      </c>
      <c r="F443" s="1">
        <v>0.0</v>
      </c>
      <c r="G443" s="1">
        <v>0.0</v>
      </c>
      <c r="H443" s="1">
        <v>0.0</v>
      </c>
    </row>
    <row r="444">
      <c r="A444" s="1" t="s">
        <v>2688</v>
      </c>
      <c r="B444" s="1">
        <v>1.0</v>
      </c>
      <c r="C444" s="1">
        <v>1.0</v>
      </c>
      <c r="D444" s="1">
        <v>1.0</v>
      </c>
      <c r="E444" s="1">
        <v>15.0</v>
      </c>
      <c r="F444" s="1">
        <v>0.0</v>
      </c>
      <c r="G444" s="1">
        <v>0.0</v>
      </c>
      <c r="H444" s="1">
        <v>0.0</v>
      </c>
    </row>
    <row r="445">
      <c r="A445" s="1" t="s">
        <v>3209</v>
      </c>
      <c r="B445" s="1">
        <v>1.0</v>
      </c>
      <c r="C445" s="1">
        <v>1.0</v>
      </c>
      <c r="D445" s="1">
        <v>0.0</v>
      </c>
      <c r="E445" s="1">
        <v>46.0</v>
      </c>
      <c r="F445" s="1">
        <v>0.0</v>
      </c>
      <c r="G445" s="1">
        <v>0.0</v>
      </c>
      <c r="H445" s="1">
        <v>0.0</v>
      </c>
    </row>
    <row r="446">
      <c r="A446" s="1" t="s">
        <v>3210</v>
      </c>
      <c r="B446" s="1">
        <v>1.0</v>
      </c>
      <c r="C446" s="1">
        <v>1.0</v>
      </c>
      <c r="D446" s="1">
        <v>1.0</v>
      </c>
      <c r="E446" s="1">
        <v>61.0</v>
      </c>
      <c r="F446" s="1">
        <v>0.0</v>
      </c>
      <c r="G446" s="1">
        <v>0.0</v>
      </c>
      <c r="H446" s="1">
        <v>0.0</v>
      </c>
    </row>
    <row r="447">
      <c r="A447" s="1" t="s">
        <v>3211</v>
      </c>
      <c r="B447" s="1">
        <v>1.0</v>
      </c>
      <c r="C447" s="1">
        <v>1.0</v>
      </c>
      <c r="D447" s="1">
        <v>1.0</v>
      </c>
      <c r="E447" s="1">
        <v>0.0</v>
      </c>
      <c r="F447" s="1">
        <v>0.0</v>
      </c>
      <c r="G447" s="1">
        <v>0.0</v>
      </c>
      <c r="H447" s="1">
        <v>0.0</v>
      </c>
    </row>
    <row r="448">
      <c r="A448" s="1" t="s">
        <v>2924</v>
      </c>
      <c r="B448" s="1">
        <v>1.0</v>
      </c>
      <c r="C448" s="1">
        <v>1.0</v>
      </c>
      <c r="D448" s="1">
        <v>1.0</v>
      </c>
      <c r="E448" s="1">
        <v>239.0</v>
      </c>
      <c r="F448" s="1">
        <v>0.0</v>
      </c>
      <c r="G448" s="1">
        <v>0.0</v>
      </c>
      <c r="H448" s="1">
        <v>0.0</v>
      </c>
    </row>
    <row r="449">
      <c r="A449" s="1" t="s">
        <v>2925</v>
      </c>
      <c r="B449" s="1">
        <v>1.0</v>
      </c>
      <c r="C449" s="1">
        <v>1.0</v>
      </c>
      <c r="D449" s="1">
        <v>0.0</v>
      </c>
      <c r="E449" s="1">
        <v>40.0</v>
      </c>
      <c r="F449" s="1">
        <v>0.0</v>
      </c>
      <c r="G449" s="1">
        <v>0.0</v>
      </c>
      <c r="H449" s="1">
        <v>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4" max="4" width="74.75"/>
  </cols>
  <sheetData>
    <row r="1">
      <c r="A1" s="1" t="s">
        <v>3212</v>
      </c>
      <c r="B1" s="1" t="s">
        <v>580</v>
      </c>
      <c r="C1" s="1" t="s">
        <v>3213</v>
      </c>
      <c r="D1" s="1" t="s">
        <v>423</v>
      </c>
      <c r="E1" s="1" t="s">
        <v>3214</v>
      </c>
      <c r="F1" s="1" t="s">
        <v>3215</v>
      </c>
      <c r="G1" s="1" t="s">
        <v>3216</v>
      </c>
      <c r="H1" s="1" t="s">
        <v>3217</v>
      </c>
      <c r="I1" s="1" t="s">
        <v>3218</v>
      </c>
      <c r="J1" s="1" t="s">
        <v>3219</v>
      </c>
      <c r="K1" s="1" t="s">
        <v>3220</v>
      </c>
      <c r="L1" s="1" t="s">
        <v>3221</v>
      </c>
      <c r="M1" s="1" t="s">
        <v>3222</v>
      </c>
      <c r="N1" s="1" t="s">
        <v>3223</v>
      </c>
      <c r="O1" s="1" t="s">
        <v>3224</v>
      </c>
      <c r="P1" s="1" t="s">
        <v>3225</v>
      </c>
      <c r="Q1" s="1" t="s">
        <v>3226</v>
      </c>
    </row>
    <row r="2">
      <c r="A2" s="1" t="s">
        <v>3227</v>
      </c>
      <c r="B2" s="1">
        <v>1.0</v>
      </c>
      <c r="C2" s="1">
        <v>110.0</v>
      </c>
      <c r="D2" s="2" t="s">
        <v>2075</v>
      </c>
      <c r="E2" s="1">
        <v>0.0</v>
      </c>
      <c r="F2" s="1">
        <v>23.0</v>
      </c>
      <c r="G2" s="1">
        <v>0.0</v>
      </c>
      <c r="H2" s="1">
        <v>0.0</v>
      </c>
      <c r="I2" s="1">
        <v>0.0</v>
      </c>
      <c r="J2" s="1">
        <v>0.0</v>
      </c>
      <c r="K2" s="1">
        <v>0.0</v>
      </c>
      <c r="L2" s="1">
        <v>78800.0</v>
      </c>
      <c r="M2" s="1" t="s">
        <v>3228</v>
      </c>
      <c r="N2" s="18">
        <v>46043.0</v>
      </c>
      <c r="O2" s="1" t="s">
        <v>3229</v>
      </c>
      <c r="P2" s="1" t="s">
        <v>3230</v>
      </c>
      <c r="Q2" s="1" t="s">
        <v>3231</v>
      </c>
    </row>
    <row r="3">
      <c r="A3" s="1" t="s">
        <v>3232</v>
      </c>
      <c r="B3" s="1">
        <v>1.0</v>
      </c>
      <c r="C3" s="1">
        <v>40.0</v>
      </c>
      <c r="D3" s="2" t="s">
        <v>694</v>
      </c>
      <c r="E3" s="1">
        <v>0.0</v>
      </c>
      <c r="F3" s="1">
        <v>20.0</v>
      </c>
      <c r="G3" s="1">
        <v>0.64</v>
      </c>
      <c r="H3" s="1">
        <v>1.0</v>
      </c>
      <c r="I3" s="1">
        <v>0.06</v>
      </c>
      <c r="J3" s="1">
        <v>0.0</v>
      </c>
      <c r="K3" s="1">
        <v>0.28</v>
      </c>
      <c r="L3" s="1">
        <v>549000.0</v>
      </c>
      <c r="M3" s="1" t="s">
        <v>3233</v>
      </c>
      <c r="N3" s="18">
        <v>46042.0</v>
      </c>
      <c r="O3" s="1" t="s">
        <v>3234</v>
      </c>
      <c r="P3" s="1" t="s">
        <v>3230</v>
      </c>
      <c r="Q3" s="1" t="s">
        <v>3231</v>
      </c>
    </row>
    <row r="4">
      <c r="A4" s="1" t="s">
        <v>3235</v>
      </c>
      <c r="B4" s="1">
        <v>1.0</v>
      </c>
      <c r="C4" s="1">
        <v>110.0</v>
      </c>
      <c r="D4" s="2" t="s">
        <v>2271</v>
      </c>
      <c r="E4" s="1">
        <v>0.0</v>
      </c>
      <c r="F4" s="1">
        <v>5.0</v>
      </c>
      <c r="G4" s="1">
        <v>5.15</v>
      </c>
      <c r="H4" s="1">
        <v>0.0</v>
      </c>
      <c r="I4" s="1">
        <v>0.0</v>
      </c>
      <c r="J4" s="1">
        <v>0.0</v>
      </c>
      <c r="K4" s="1">
        <v>0.05</v>
      </c>
      <c r="L4" s="1">
        <v>34600.0</v>
      </c>
      <c r="M4" s="1" t="s">
        <v>3236</v>
      </c>
      <c r="N4" s="18">
        <v>46042.0</v>
      </c>
      <c r="O4" s="1" t="s">
        <v>3237</v>
      </c>
      <c r="P4" s="1" t="s">
        <v>3230</v>
      </c>
      <c r="Q4" s="1" t="s">
        <v>3231</v>
      </c>
    </row>
    <row r="5">
      <c r="A5" s="1" t="s">
        <v>3238</v>
      </c>
      <c r="B5" s="1">
        <v>1.0</v>
      </c>
      <c r="C5" s="1">
        <v>30.0</v>
      </c>
      <c r="D5" s="2" t="s">
        <v>694</v>
      </c>
      <c r="E5" s="1">
        <v>0.0</v>
      </c>
      <c r="F5" s="1">
        <v>20.0</v>
      </c>
      <c r="G5" s="1">
        <v>2.01</v>
      </c>
      <c r="H5" s="1">
        <v>0.0</v>
      </c>
      <c r="I5" s="1">
        <v>0.0</v>
      </c>
      <c r="J5" s="1">
        <v>0.0</v>
      </c>
      <c r="K5" s="1">
        <v>0.44</v>
      </c>
      <c r="L5" s="1">
        <v>7500000.0</v>
      </c>
      <c r="M5" s="1" t="s">
        <v>3239</v>
      </c>
      <c r="N5" s="18">
        <v>46042.0</v>
      </c>
      <c r="O5" s="1" t="s">
        <v>3237</v>
      </c>
      <c r="P5" s="1" t="s">
        <v>3230</v>
      </c>
      <c r="Q5" s="1" t="s">
        <v>3231</v>
      </c>
    </row>
    <row r="6">
      <c r="A6" s="1" t="s">
        <v>3240</v>
      </c>
      <c r="B6" s="1">
        <v>1.0</v>
      </c>
      <c r="C6" s="1">
        <v>70.0</v>
      </c>
      <c r="D6" s="2" t="s">
        <v>2075</v>
      </c>
      <c r="E6" s="1">
        <v>0.0</v>
      </c>
      <c r="F6" s="1">
        <v>23.0</v>
      </c>
      <c r="G6" s="1">
        <v>0.0</v>
      </c>
      <c r="H6" s="1">
        <v>0.0</v>
      </c>
      <c r="I6" s="1">
        <v>0.0</v>
      </c>
      <c r="J6" s="1">
        <v>0.0</v>
      </c>
      <c r="K6" s="1">
        <v>0.0</v>
      </c>
      <c r="L6" s="1">
        <v>859000.0</v>
      </c>
      <c r="M6" s="1" t="s">
        <v>3241</v>
      </c>
      <c r="N6" s="18">
        <v>46042.0</v>
      </c>
      <c r="O6" s="1" t="s">
        <v>3242</v>
      </c>
      <c r="P6" s="1" t="s">
        <v>3230</v>
      </c>
      <c r="Q6" s="1" t="s">
        <v>3231</v>
      </c>
    </row>
    <row r="7">
      <c r="A7" s="1" t="s">
        <v>3243</v>
      </c>
      <c r="B7" s="1">
        <v>1.0</v>
      </c>
      <c r="C7" s="1">
        <v>90.0</v>
      </c>
      <c r="D7" s="2" t="s">
        <v>2075</v>
      </c>
      <c r="E7" s="1">
        <v>0.0</v>
      </c>
      <c r="F7" s="1">
        <v>24.0</v>
      </c>
      <c r="G7" s="1">
        <v>0.0</v>
      </c>
      <c r="H7" s="1">
        <v>0.0</v>
      </c>
      <c r="I7" s="1">
        <v>0.0</v>
      </c>
      <c r="J7" s="1">
        <v>0.0</v>
      </c>
      <c r="K7" s="1">
        <v>0.0</v>
      </c>
      <c r="L7" s="1">
        <v>1550000.0</v>
      </c>
      <c r="M7" s="1" t="s">
        <v>3244</v>
      </c>
      <c r="N7" s="18">
        <v>46042.0</v>
      </c>
      <c r="O7" s="1" t="s">
        <v>3245</v>
      </c>
      <c r="P7" s="1" t="s">
        <v>3230</v>
      </c>
      <c r="Q7" s="1" t="s">
        <v>3231</v>
      </c>
    </row>
    <row r="8">
      <c r="A8" s="1" t="s">
        <v>3246</v>
      </c>
      <c r="B8" s="1">
        <v>1.0</v>
      </c>
      <c r="C8" s="1">
        <v>50.0</v>
      </c>
      <c r="D8" s="2" t="s">
        <v>1536</v>
      </c>
      <c r="E8" s="1">
        <v>0.0</v>
      </c>
      <c r="F8" s="1">
        <v>16.0</v>
      </c>
      <c r="G8" s="1">
        <v>3.52</v>
      </c>
      <c r="H8" s="1">
        <v>0.0</v>
      </c>
      <c r="I8" s="1">
        <v>0.0</v>
      </c>
      <c r="J8" s="1">
        <v>0.0</v>
      </c>
      <c r="K8" s="1">
        <v>0.03</v>
      </c>
      <c r="L8" s="1">
        <v>1350000.0</v>
      </c>
      <c r="M8" s="1" t="s">
        <v>3247</v>
      </c>
      <c r="N8" s="18">
        <v>46042.0</v>
      </c>
      <c r="O8" s="1" t="s">
        <v>3248</v>
      </c>
      <c r="P8" s="1" t="s">
        <v>3230</v>
      </c>
      <c r="Q8" s="1" t="s">
        <v>3231</v>
      </c>
    </row>
    <row r="9">
      <c r="A9" s="1" t="s">
        <v>3249</v>
      </c>
      <c r="B9" s="1">
        <v>1.0</v>
      </c>
      <c r="C9" s="1">
        <v>30.0</v>
      </c>
      <c r="D9" s="2" t="s">
        <v>2302</v>
      </c>
      <c r="E9" s="1">
        <v>0.0</v>
      </c>
      <c r="F9" s="1">
        <v>7.0</v>
      </c>
      <c r="G9" s="1">
        <v>2.74</v>
      </c>
      <c r="H9" s="1">
        <v>0.0</v>
      </c>
      <c r="I9" s="1">
        <v>0.0</v>
      </c>
      <c r="J9" s="1">
        <v>0.0</v>
      </c>
      <c r="K9" s="1">
        <v>0.19</v>
      </c>
      <c r="L9" s="1">
        <v>4030000.0</v>
      </c>
      <c r="M9" s="1" t="s">
        <v>3250</v>
      </c>
      <c r="N9" s="18">
        <v>46042.0</v>
      </c>
      <c r="O9" s="1" t="s">
        <v>3251</v>
      </c>
      <c r="P9" s="1" t="s">
        <v>3230</v>
      </c>
      <c r="Q9" s="1" t="s">
        <v>3252</v>
      </c>
    </row>
    <row r="10">
      <c r="A10" s="1" t="s">
        <v>3249</v>
      </c>
      <c r="B10" s="1">
        <v>1.0</v>
      </c>
      <c r="C10" s="1">
        <v>30.0</v>
      </c>
      <c r="D10" s="2" t="s">
        <v>2302</v>
      </c>
      <c r="E10" s="1">
        <v>0.0</v>
      </c>
      <c r="F10" s="1">
        <v>7.0</v>
      </c>
      <c r="G10" s="1">
        <v>2.74</v>
      </c>
      <c r="H10" s="1">
        <v>1.0</v>
      </c>
      <c r="I10" s="1">
        <v>0.06</v>
      </c>
      <c r="J10" s="1">
        <v>2.0</v>
      </c>
      <c r="K10" s="1">
        <v>0.19</v>
      </c>
      <c r="L10" s="1">
        <v>4030000.0</v>
      </c>
      <c r="M10" s="1" t="s">
        <v>3250</v>
      </c>
      <c r="N10" s="18">
        <v>46042.0</v>
      </c>
      <c r="O10" s="1" t="s">
        <v>3251</v>
      </c>
      <c r="P10" s="1" t="s">
        <v>3230</v>
      </c>
      <c r="Q10" s="1" t="s">
        <v>3252</v>
      </c>
    </row>
    <row r="11">
      <c r="A11" s="1" t="s">
        <v>3253</v>
      </c>
      <c r="B11" s="1">
        <v>1.0</v>
      </c>
      <c r="C11" s="1">
        <v>40.0</v>
      </c>
      <c r="D11" s="2" t="s">
        <v>3254</v>
      </c>
      <c r="E11" s="1">
        <v>1.0</v>
      </c>
      <c r="F11" s="1">
        <v>36.0</v>
      </c>
      <c r="G11" s="1">
        <v>12.07</v>
      </c>
      <c r="H11" s="1">
        <v>9.0</v>
      </c>
      <c r="I11" s="1">
        <v>0.59</v>
      </c>
      <c r="J11" s="1">
        <v>108.0</v>
      </c>
      <c r="K11" s="1">
        <v>0.52</v>
      </c>
      <c r="L11" s="1">
        <v>63600.0</v>
      </c>
      <c r="M11" s="1" t="s">
        <v>3255</v>
      </c>
      <c r="N11" s="18">
        <v>46041.0</v>
      </c>
      <c r="O11" s="1" t="s">
        <v>3256</v>
      </c>
      <c r="P11" s="1" t="s">
        <v>3257</v>
      </c>
      <c r="Q11" s="1" t="s">
        <v>3258</v>
      </c>
    </row>
    <row r="12">
      <c r="A12" s="1" t="s">
        <v>3259</v>
      </c>
      <c r="B12" s="1">
        <v>1.0</v>
      </c>
      <c r="C12" s="1">
        <v>110.0</v>
      </c>
      <c r="D12" s="2" t="s">
        <v>694</v>
      </c>
      <c r="E12" s="1">
        <v>1.0</v>
      </c>
      <c r="F12" s="1">
        <v>11.0</v>
      </c>
      <c r="G12" s="1">
        <v>0.92</v>
      </c>
      <c r="H12" s="1">
        <v>0.0</v>
      </c>
      <c r="I12" s="1">
        <v>0.0</v>
      </c>
      <c r="J12" s="1">
        <v>0.0</v>
      </c>
      <c r="K12" s="1">
        <v>0.37</v>
      </c>
      <c r="L12" s="1">
        <v>2370000.0</v>
      </c>
      <c r="M12" s="1" t="s">
        <v>3260</v>
      </c>
      <c r="N12" s="18">
        <v>46041.0</v>
      </c>
      <c r="O12" s="1" t="s">
        <v>3261</v>
      </c>
      <c r="P12" s="1" t="s">
        <v>3230</v>
      </c>
      <c r="Q12" s="1" t="s">
        <v>3231</v>
      </c>
    </row>
    <row r="13">
      <c r="A13" s="1" t="s">
        <v>3262</v>
      </c>
      <c r="B13" s="1">
        <v>1.0</v>
      </c>
      <c r="C13" s="1">
        <v>40.0</v>
      </c>
      <c r="D13" s="2" t="s">
        <v>1868</v>
      </c>
      <c r="E13" s="1">
        <v>1.0</v>
      </c>
      <c r="F13" s="1">
        <v>18.0</v>
      </c>
      <c r="G13" s="1">
        <v>0.0</v>
      </c>
      <c r="H13" s="1">
        <v>0.0</v>
      </c>
      <c r="I13" s="1">
        <v>0.0</v>
      </c>
      <c r="J13" s="1">
        <v>0.0</v>
      </c>
      <c r="K13" s="1">
        <v>0.33</v>
      </c>
      <c r="L13" s="1">
        <v>8.48E8</v>
      </c>
      <c r="M13" s="1" t="s">
        <v>3263</v>
      </c>
      <c r="N13" s="18">
        <v>46040.0</v>
      </c>
      <c r="O13" s="1" t="s">
        <v>3264</v>
      </c>
      <c r="P13" s="1" t="s">
        <v>3230</v>
      </c>
      <c r="Q13" s="1" t="s">
        <v>3231</v>
      </c>
    </row>
    <row r="14">
      <c r="A14" s="1" t="s">
        <v>3265</v>
      </c>
      <c r="B14" s="1">
        <v>1.0</v>
      </c>
      <c r="C14" s="1">
        <v>210.0</v>
      </c>
      <c r="D14" s="2" t="s">
        <v>694</v>
      </c>
      <c r="E14" s="1">
        <v>1.0</v>
      </c>
      <c r="F14" s="1">
        <v>4.0</v>
      </c>
      <c r="G14" s="1">
        <v>0.23</v>
      </c>
      <c r="H14" s="1">
        <v>4.0</v>
      </c>
      <c r="I14" s="1">
        <v>0.26</v>
      </c>
      <c r="J14" s="1">
        <v>0.0</v>
      </c>
      <c r="K14" s="1">
        <v>0.07</v>
      </c>
      <c r="L14" s="1">
        <v>2510000.0</v>
      </c>
      <c r="M14" s="1" t="s">
        <v>3266</v>
      </c>
      <c r="N14" s="18">
        <v>46039.0</v>
      </c>
      <c r="O14" s="1" t="s">
        <v>3264</v>
      </c>
      <c r="P14" s="1" t="s">
        <v>3230</v>
      </c>
      <c r="Q14" s="1" t="s">
        <v>3231</v>
      </c>
    </row>
    <row r="15">
      <c r="A15" s="1" t="s">
        <v>3267</v>
      </c>
      <c r="B15" s="1">
        <v>1.0</v>
      </c>
      <c r="C15" s="1">
        <v>70.0</v>
      </c>
      <c r="D15" s="2" t="s">
        <v>694</v>
      </c>
      <c r="E15" s="1">
        <v>1.0</v>
      </c>
      <c r="F15" s="1">
        <v>6.0</v>
      </c>
      <c r="G15" s="1">
        <v>0.24</v>
      </c>
      <c r="H15" s="1">
        <v>0.0</v>
      </c>
      <c r="I15" s="1">
        <v>0.0</v>
      </c>
      <c r="J15" s="1">
        <v>0.0</v>
      </c>
      <c r="K15" s="1">
        <v>0.25</v>
      </c>
      <c r="L15" s="1">
        <v>3290000.0</v>
      </c>
      <c r="M15" s="1" t="s">
        <v>3268</v>
      </c>
      <c r="N15" s="18">
        <v>46039.0</v>
      </c>
      <c r="O15" s="1" t="s">
        <v>3269</v>
      </c>
      <c r="P15" s="1" t="s">
        <v>3230</v>
      </c>
      <c r="Q15" s="1" t="s">
        <v>3231</v>
      </c>
    </row>
    <row r="16">
      <c r="A16" s="1" t="s">
        <v>3270</v>
      </c>
      <c r="B16" s="1">
        <v>1.0</v>
      </c>
      <c r="C16" s="1">
        <v>210.0</v>
      </c>
      <c r="D16" s="2" t="s">
        <v>694</v>
      </c>
      <c r="E16" s="1">
        <v>1.0</v>
      </c>
      <c r="F16" s="1">
        <v>22.0</v>
      </c>
      <c r="G16" s="1">
        <v>0.5</v>
      </c>
      <c r="H16" s="1">
        <v>6.0</v>
      </c>
      <c r="I16" s="1">
        <v>0.39</v>
      </c>
      <c r="J16" s="1">
        <v>3.0</v>
      </c>
      <c r="K16" s="1">
        <v>0.11</v>
      </c>
      <c r="L16" s="1">
        <v>1420000.0</v>
      </c>
      <c r="M16" s="1" t="s">
        <v>3271</v>
      </c>
      <c r="N16" s="18">
        <v>46039.0</v>
      </c>
      <c r="O16" s="1" t="s">
        <v>3264</v>
      </c>
      <c r="P16" s="1" t="s">
        <v>3230</v>
      </c>
      <c r="Q16" s="1" t="s">
        <v>3231</v>
      </c>
    </row>
    <row r="17">
      <c r="A17" s="1" t="s">
        <v>3272</v>
      </c>
      <c r="B17" s="1">
        <v>1.0</v>
      </c>
      <c r="C17" s="1">
        <v>50.0</v>
      </c>
      <c r="D17" s="2" t="s">
        <v>2075</v>
      </c>
      <c r="E17" s="1">
        <v>1.0</v>
      </c>
      <c r="F17" s="1">
        <v>34.0</v>
      </c>
      <c r="G17" s="1">
        <v>0.0</v>
      </c>
      <c r="H17" s="1">
        <v>0.0</v>
      </c>
      <c r="I17" s="1">
        <v>0.0</v>
      </c>
      <c r="J17" s="1">
        <v>0.0</v>
      </c>
      <c r="K17" s="1">
        <v>0.33</v>
      </c>
      <c r="L17" s="1">
        <v>285000.0</v>
      </c>
      <c r="M17" s="1" t="s">
        <v>3273</v>
      </c>
      <c r="N17" s="18">
        <v>46039.0</v>
      </c>
      <c r="O17" s="1" t="s">
        <v>3274</v>
      </c>
      <c r="P17" s="1" t="s">
        <v>3230</v>
      </c>
      <c r="Q17" s="1" t="s">
        <v>3231</v>
      </c>
    </row>
    <row r="18">
      <c r="A18" s="1" t="s">
        <v>3275</v>
      </c>
      <c r="B18" s="1">
        <v>1.0</v>
      </c>
      <c r="C18" s="1">
        <v>70.0</v>
      </c>
      <c r="D18" s="2" t="s">
        <v>2075</v>
      </c>
      <c r="E18" s="1">
        <v>1.0</v>
      </c>
      <c r="F18" s="1">
        <v>16.0</v>
      </c>
      <c r="G18" s="1">
        <v>0.0</v>
      </c>
      <c r="H18" s="1">
        <v>1.0</v>
      </c>
      <c r="I18" s="1">
        <v>0.06</v>
      </c>
      <c r="J18" s="1">
        <v>0.0</v>
      </c>
      <c r="K18" s="1">
        <v>0.0</v>
      </c>
      <c r="L18" s="1">
        <v>5.47E7</v>
      </c>
      <c r="M18" s="1" t="s">
        <v>3276</v>
      </c>
      <c r="N18" s="18">
        <v>46038.0</v>
      </c>
      <c r="O18" s="1" t="s">
        <v>3277</v>
      </c>
      <c r="P18" s="1" t="s">
        <v>3230</v>
      </c>
      <c r="Q18" s="1" t="s">
        <v>3231</v>
      </c>
    </row>
    <row r="19">
      <c r="A19" s="1" t="s">
        <v>3278</v>
      </c>
      <c r="B19" s="1">
        <v>1.0</v>
      </c>
      <c r="C19" s="1">
        <v>210.0</v>
      </c>
      <c r="D19" s="2" t="s">
        <v>694</v>
      </c>
      <c r="E19" s="1">
        <v>1.0</v>
      </c>
      <c r="F19" s="1">
        <v>17.0</v>
      </c>
      <c r="G19" s="1">
        <v>0.76</v>
      </c>
      <c r="H19" s="1">
        <v>3.0</v>
      </c>
      <c r="I19" s="1">
        <v>0.19</v>
      </c>
      <c r="J19" s="1">
        <v>2.0</v>
      </c>
      <c r="K19" s="1">
        <v>0.09</v>
      </c>
      <c r="L19" s="1">
        <v>3440000.0</v>
      </c>
      <c r="M19" s="1" t="s">
        <v>3279</v>
      </c>
      <c r="N19" s="18">
        <v>46038.0</v>
      </c>
      <c r="O19" s="1" t="s">
        <v>3237</v>
      </c>
      <c r="P19" s="1" t="s">
        <v>3230</v>
      </c>
      <c r="Q19" s="1" t="s">
        <v>3231</v>
      </c>
    </row>
    <row r="20">
      <c r="A20" s="1" t="s">
        <v>3280</v>
      </c>
      <c r="B20" s="1">
        <v>1.0</v>
      </c>
      <c r="C20" s="1">
        <v>50.0</v>
      </c>
      <c r="D20" s="2" t="s">
        <v>1536</v>
      </c>
      <c r="E20" s="1">
        <v>1.0</v>
      </c>
      <c r="F20" s="1">
        <v>4.0</v>
      </c>
      <c r="G20" s="1">
        <v>0.0</v>
      </c>
      <c r="H20" s="1">
        <v>0.0</v>
      </c>
      <c r="I20" s="1">
        <v>0.0</v>
      </c>
      <c r="J20" s="1">
        <v>0.0</v>
      </c>
      <c r="K20" s="1">
        <v>0.33</v>
      </c>
      <c r="L20" s="1">
        <v>7710000.0</v>
      </c>
      <c r="M20" s="1" t="s">
        <v>3281</v>
      </c>
      <c r="N20" s="18">
        <v>46038.0</v>
      </c>
      <c r="O20" s="1" t="s">
        <v>3264</v>
      </c>
      <c r="P20" s="1" t="s">
        <v>3230</v>
      </c>
      <c r="Q20" s="1" t="s">
        <v>3231</v>
      </c>
    </row>
    <row r="21">
      <c r="A21" s="1" t="s">
        <v>3282</v>
      </c>
      <c r="B21" s="1">
        <v>1.0</v>
      </c>
      <c r="C21" s="1">
        <v>30.0</v>
      </c>
      <c r="D21" s="2" t="s">
        <v>1536</v>
      </c>
      <c r="E21" s="1">
        <v>1.0</v>
      </c>
      <c r="F21" s="1">
        <v>27.0</v>
      </c>
      <c r="G21" s="1">
        <v>5.58</v>
      </c>
      <c r="H21" s="1">
        <v>0.0</v>
      </c>
      <c r="I21" s="1">
        <v>0.0</v>
      </c>
      <c r="J21" s="1">
        <v>0.0</v>
      </c>
      <c r="K21" s="1">
        <v>0.08</v>
      </c>
      <c r="L21" s="1">
        <v>1700000.0</v>
      </c>
      <c r="M21" s="1" t="s">
        <v>3283</v>
      </c>
      <c r="N21" s="18">
        <v>46038.0</v>
      </c>
      <c r="O21" s="1" t="s">
        <v>3284</v>
      </c>
      <c r="P21" s="1" t="s">
        <v>3230</v>
      </c>
      <c r="Q21" s="1" t="s">
        <v>3231</v>
      </c>
    </row>
    <row r="22">
      <c r="A22" s="1" t="s">
        <v>3285</v>
      </c>
      <c r="B22" s="1">
        <v>1.0</v>
      </c>
      <c r="C22" s="1">
        <v>50.0</v>
      </c>
      <c r="D22" s="2" t="s">
        <v>3286</v>
      </c>
      <c r="E22" s="1">
        <v>1.0</v>
      </c>
      <c r="G22" s="1">
        <v>16.24</v>
      </c>
      <c r="H22" s="1">
        <v>4.0</v>
      </c>
      <c r="I22" s="1">
        <v>0.26</v>
      </c>
      <c r="J22" s="1">
        <v>64.0</v>
      </c>
      <c r="K22" s="1">
        <v>0.67</v>
      </c>
      <c r="L22" s="1">
        <v>997000.0</v>
      </c>
      <c r="M22" s="1" t="s">
        <v>3287</v>
      </c>
      <c r="N22" s="18">
        <v>46038.0</v>
      </c>
      <c r="O22" s="1" t="s">
        <v>3288</v>
      </c>
      <c r="P22" s="1" t="s">
        <v>3257</v>
      </c>
      <c r="Q22" s="1" t="s">
        <v>3258</v>
      </c>
    </row>
    <row r="23">
      <c r="A23" s="1" t="s">
        <v>3289</v>
      </c>
      <c r="B23" s="1">
        <v>1.0</v>
      </c>
      <c r="C23" s="1">
        <v>110.0</v>
      </c>
      <c r="D23" s="2" t="s">
        <v>2271</v>
      </c>
      <c r="E23" s="1">
        <v>1.0</v>
      </c>
      <c r="F23" s="1">
        <v>8.0</v>
      </c>
      <c r="G23" s="1">
        <v>4.74</v>
      </c>
      <c r="H23" s="1">
        <v>0.0</v>
      </c>
      <c r="I23" s="1">
        <v>0.0</v>
      </c>
      <c r="J23" s="1">
        <v>0.0</v>
      </c>
      <c r="K23" s="1">
        <v>0.03</v>
      </c>
      <c r="L23" s="1">
        <v>509000.0</v>
      </c>
      <c r="M23" s="1" t="s">
        <v>3290</v>
      </c>
      <c r="N23" s="18">
        <v>46038.0</v>
      </c>
      <c r="O23" s="1" t="s">
        <v>3264</v>
      </c>
      <c r="P23" s="1" t="s">
        <v>3230</v>
      </c>
      <c r="Q23" s="1" t="s">
        <v>3231</v>
      </c>
    </row>
    <row r="24">
      <c r="A24" s="1" t="s">
        <v>3291</v>
      </c>
      <c r="B24" s="1">
        <v>1.0</v>
      </c>
      <c r="C24" s="1">
        <v>40.0</v>
      </c>
      <c r="D24" s="2" t="s">
        <v>2930</v>
      </c>
      <c r="E24" s="1">
        <v>1.0</v>
      </c>
      <c r="F24" s="1">
        <v>42.0</v>
      </c>
      <c r="G24" s="1">
        <v>3.36</v>
      </c>
      <c r="H24" s="1">
        <v>0.0</v>
      </c>
      <c r="I24" s="1">
        <v>0.0</v>
      </c>
      <c r="J24" s="1">
        <v>0.0</v>
      </c>
      <c r="K24" s="1">
        <v>0.05</v>
      </c>
      <c r="L24" s="1">
        <v>358000.0</v>
      </c>
      <c r="M24" s="1" t="s">
        <v>3292</v>
      </c>
      <c r="N24" s="18">
        <v>46037.0</v>
      </c>
      <c r="O24" s="1" t="s">
        <v>3293</v>
      </c>
      <c r="P24" s="1" t="s">
        <v>3294</v>
      </c>
      <c r="Q24" s="1" t="s">
        <v>3231</v>
      </c>
    </row>
    <row r="25">
      <c r="A25" s="1" t="s">
        <v>3295</v>
      </c>
      <c r="B25" s="1">
        <v>1.0</v>
      </c>
      <c r="C25" s="1">
        <v>50.0</v>
      </c>
      <c r="D25" s="2" t="s">
        <v>2075</v>
      </c>
      <c r="E25" s="1">
        <v>1.0</v>
      </c>
      <c r="F25" s="1">
        <v>18.0</v>
      </c>
      <c r="G25" s="1">
        <v>0.0</v>
      </c>
      <c r="H25" s="1">
        <v>0.0</v>
      </c>
      <c r="I25" s="1">
        <v>0.0</v>
      </c>
      <c r="J25" s="1">
        <v>0.0</v>
      </c>
      <c r="K25" s="1">
        <v>0.0</v>
      </c>
      <c r="L25" s="1">
        <v>183000.0</v>
      </c>
      <c r="M25" s="1" t="s">
        <v>3296</v>
      </c>
      <c r="N25" s="18">
        <v>46036.0</v>
      </c>
      <c r="O25" s="1" t="s">
        <v>3297</v>
      </c>
      <c r="P25" s="1" t="s">
        <v>3230</v>
      </c>
      <c r="Q25" s="1" t="s">
        <v>3231</v>
      </c>
    </row>
    <row r="26">
      <c r="A26" s="1" t="s">
        <v>3298</v>
      </c>
      <c r="B26" s="1">
        <v>1.0</v>
      </c>
      <c r="C26" s="1">
        <v>260.0</v>
      </c>
      <c r="D26" s="2" t="s">
        <v>2075</v>
      </c>
      <c r="E26" s="1">
        <v>1.0</v>
      </c>
      <c r="G26" s="1">
        <v>0.0</v>
      </c>
      <c r="H26" s="1">
        <v>5.0</v>
      </c>
      <c r="I26" s="1">
        <v>0.33</v>
      </c>
      <c r="J26" s="1">
        <v>0.0</v>
      </c>
      <c r="K26" s="1">
        <v>0.0</v>
      </c>
      <c r="L26" s="1">
        <v>7650000.0</v>
      </c>
      <c r="M26" s="1" t="s">
        <v>3299</v>
      </c>
      <c r="N26" s="18">
        <v>46036.0</v>
      </c>
      <c r="O26" s="1" t="s">
        <v>3300</v>
      </c>
      <c r="P26" s="1" t="s">
        <v>3301</v>
      </c>
      <c r="Q26" s="1" t="s">
        <v>3231</v>
      </c>
    </row>
    <row r="27">
      <c r="A27" s="1" t="s">
        <v>3302</v>
      </c>
      <c r="B27" s="1">
        <v>1.0</v>
      </c>
      <c r="C27" s="1">
        <v>40.0</v>
      </c>
      <c r="D27" s="2" t="s">
        <v>2075</v>
      </c>
      <c r="E27" s="1">
        <v>1.0</v>
      </c>
      <c r="F27" s="1">
        <v>32.0</v>
      </c>
      <c r="G27" s="1">
        <v>0.0</v>
      </c>
      <c r="H27" s="1">
        <v>0.0</v>
      </c>
      <c r="I27" s="1">
        <v>0.0</v>
      </c>
      <c r="J27" s="1">
        <v>0.0</v>
      </c>
      <c r="K27" s="1">
        <v>0.33</v>
      </c>
      <c r="L27" s="1">
        <v>1.2E7</v>
      </c>
      <c r="M27" s="1" t="s">
        <v>3303</v>
      </c>
      <c r="N27" s="18">
        <v>46036.0</v>
      </c>
      <c r="O27" s="1" t="s">
        <v>3300</v>
      </c>
      <c r="P27" s="1" t="s">
        <v>3301</v>
      </c>
      <c r="Q27" s="1" t="s">
        <v>3231</v>
      </c>
    </row>
    <row r="28">
      <c r="A28" s="1" t="s">
        <v>3304</v>
      </c>
      <c r="B28" s="1">
        <v>1.0</v>
      </c>
      <c r="C28" s="1">
        <v>390.0</v>
      </c>
      <c r="D28" s="2" t="s">
        <v>1868</v>
      </c>
      <c r="E28" s="1">
        <v>1.0</v>
      </c>
      <c r="F28" s="1">
        <v>30.0</v>
      </c>
      <c r="G28" s="1">
        <v>0.0</v>
      </c>
      <c r="H28" s="1">
        <v>15.0</v>
      </c>
      <c r="I28" s="1">
        <v>0.99</v>
      </c>
      <c r="J28" s="1">
        <v>0.0</v>
      </c>
      <c r="K28" s="1">
        <v>0.0</v>
      </c>
      <c r="L28" s="1">
        <v>6.09E8</v>
      </c>
      <c r="M28" s="1" t="s">
        <v>3305</v>
      </c>
      <c r="N28" s="18">
        <v>46036.0</v>
      </c>
      <c r="O28" s="1" t="s">
        <v>3237</v>
      </c>
      <c r="P28" s="1" t="s">
        <v>3230</v>
      </c>
      <c r="Q28" s="1" t="s">
        <v>3231</v>
      </c>
    </row>
    <row r="29">
      <c r="A29" s="1" t="s">
        <v>3306</v>
      </c>
      <c r="B29" s="1">
        <v>1.0</v>
      </c>
      <c r="C29" s="1">
        <v>2400.0</v>
      </c>
      <c r="D29" s="2" t="s">
        <v>2075</v>
      </c>
      <c r="E29" s="1">
        <v>1.0</v>
      </c>
      <c r="F29" s="1">
        <v>42.0</v>
      </c>
      <c r="G29" s="1">
        <v>0.0</v>
      </c>
      <c r="H29" s="1">
        <v>0.0</v>
      </c>
      <c r="I29" s="1">
        <v>0.0</v>
      </c>
      <c r="J29" s="1">
        <v>0.0</v>
      </c>
      <c r="K29" s="1">
        <v>0.0</v>
      </c>
      <c r="L29" s="1">
        <v>1.37E8</v>
      </c>
      <c r="M29" s="1" t="s">
        <v>3307</v>
      </c>
      <c r="N29" s="18">
        <v>46036.0</v>
      </c>
      <c r="O29" s="1" t="s">
        <v>3308</v>
      </c>
      <c r="P29" s="1" t="s">
        <v>3230</v>
      </c>
      <c r="Q29" s="1" t="s">
        <v>3231</v>
      </c>
    </row>
    <row r="30">
      <c r="A30" s="1" t="s">
        <v>3309</v>
      </c>
      <c r="B30" s="1">
        <v>1.0</v>
      </c>
      <c r="C30" s="1">
        <v>260.0</v>
      </c>
      <c r="D30" s="2" t="s">
        <v>1951</v>
      </c>
      <c r="E30" s="1">
        <v>1.0</v>
      </c>
      <c r="F30" s="1">
        <v>13.0</v>
      </c>
      <c r="G30" s="1">
        <v>0.0</v>
      </c>
      <c r="H30" s="1">
        <v>8.0</v>
      </c>
      <c r="I30" s="1">
        <v>0.52</v>
      </c>
      <c r="J30" s="1">
        <v>0.0</v>
      </c>
      <c r="K30" s="1">
        <v>0.0</v>
      </c>
      <c r="L30" s="1">
        <v>8.32E7</v>
      </c>
      <c r="M30" s="1" t="s">
        <v>3310</v>
      </c>
      <c r="N30" s="18">
        <v>46036.0</v>
      </c>
      <c r="O30" s="1" t="s">
        <v>3311</v>
      </c>
      <c r="P30" s="1" t="s">
        <v>3230</v>
      </c>
      <c r="Q30" s="1" t="s">
        <v>3231</v>
      </c>
    </row>
    <row r="31">
      <c r="A31" s="1" t="s">
        <v>3312</v>
      </c>
      <c r="B31" s="1">
        <v>1.0</v>
      </c>
      <c r="C31" s="1">
        <v>50.0</v>
      </c>
      <c r="D31" s="2" t="s">
        <v>1536</v>
      </c>
      <c r="E31" s="1">
        <v>1.0</v>
      </c>
      <c r="G31" s="1">
        <v>7.09</v>
      </c>
      <c r="H31" s="1">
        <v>0.0</v>
      </c>
      <c r="I31" s="1">
        <v>0.0</v>
      </c>
      <c r="J31" s="1">
        <v>0.0</v>
      </c>
      <c r="K31" s="1">
        <v>0.04</v>
      </c>
      <c r="L31" s="1">
        <v>7710000.0</v>
      </c>
      <c r="M31" s="1" t="s">
        <v>3313</v>
      </c>
      <c r="N31" s="18">
        <v>46036.0</v>
      </c>
      <c r="O31" s="1" t="s">
        <v>3314</v>
      </c>
      <c r="P31" s="1" t="s">
        <v>3230</v>
      </c>
      <c r="Q31" s="1" t="s">
        <v>3231</v>
      </c>
    </row>
    <row r="32">
      <c r="A32" s="1" t="s">
        <v>3315</v>
      </c>
      <c r="B32" s="1">
        <v>1.0</v>
      </c>
      <c r="C32" s="1">
        <v>110.0</v>
      </c>
      <c r="D32" s="2" t="s">
        <v>1536</v>
      </c>
      <c r="E32" s="1">
        <v>1.0</v>
      </c>
      <c r="F32" s="1">
        <v>19.0</v>
      </c>
      <c r="G32" s="1">
        <v>10.4</v>
      </c>
      <c r="H32" s="1">
        <v>0.0</v>
      </c>
      <c r="I32" s="1">
        <v>0.0</v>
      </c>
      <c r="J32" s="1">
        <v>0.0</v>
      </c>
      <c r="K32" s="1">
        <v>0.02</v>
      </c>
      <c r="L32" s="1">
        <v>2220000.0</v>
      </c>
      <c r="M32" s="1" t="s">
        <v>3316</v>
      </c>
      <c r="N32" s="18">
        <v>46036.0</v>
      </c>
      <c r="O32" s="1" t="s">
        <v>3317</v>
      </c>
      <c r="P32" s="1" t="s">
        <v>3230</v>
      </c>
      <c r="Q32" s="1" t="s">
        <v>3231</v>
      </c>
    </row>
    <row r="33">
      <c r="A33" s="1" t="s">
        <v>3318</v>
      </c>
      <c r="B33" s="1">
        <v>1.0</v>
      </c>
      <c r="C33" s="1">
        <v>170.0</v>
      </c>
      <c r="D33" s="2" t="s">
        <v>1536</v>
      </c>
      <c r="E33" s="1">
        <v>1.0</v>
      </c>
      <c r="F33" s="1">
        <v>1.0</v>
      </c>
      <c r="G33" s="1">
        <v>4.5</v>
      </c>
      <c r="H33" s="1">
        <v>0.0</v>
      </c>
      <c r="I33" s="1">
        <v>0.0</v>
      </c>
      <c r="J33" s="1">
        <v>0.0</v>
      </c>
      <c r="K33" s="1">
        <v>0.12</v>
      </c>
      <c r="L33" s="1">
        <v>5050000.0</v>
      </c>
      <c r="M33" s="1" t="s">
        <v>3319</v>
      </c>
      <c r="N33" s="18">
        <v>46036.0</v>
      </c>
      <c r="O33" s="1" t="s">
        <v>3317</v>
      </c>
      <c r="P33" s="1" t="s">
        <v>3230</v>
      </c>
      <c r="Q33" s="1" t="s">
        <v>3231</v>
      </c>
    </row>
    <row r="34">
      <c r="A34" s="1" t="s">
        <v>3320</v>
      </c>
      <c r="B34" s="1">
        <v>1.0</v>
      </c>
      <c r="C34" s="1">
        <v>50.0</v>
      </c>
      <c r="D34" s="2" t="s">
        <v>2271</v>
      </c>
      <c r="E34" s="1">
        <v>1.0</v>
      </c>
      <c r="F34" s="1">
        <v>11.0</v>
      </c>
      <c r="G34" s="1">
        <v>0.0</v>
      </c>
      <c r="H34" s="1">
        <v>0.0</v>
      </c>
      <c r="I34" s="1">
        <v>0.0</v>
      </c>
      <c r="J34" s="1">
        <v>0.0</v>
      </c>
      <c r="K34" s="1">
        <v>0.05</v>
      </c>
      <c r="L34" s="1">
        <v>257000.0</v>
      </c>
      <c r="M34" s="1" t="s">
        <v>3321</v>
      </c>
      <c r="N34" s="18">
        <v>46035.0</v>
      </c>
      <c r="O34" s="1" t="s">
        <v>3237</v>
      </c>
      <c r="P34" s="1" t="s">
        <v>3230</v>
      </c>
      <c r="Q34" s="1" t="s">
        <v>3231</v>
      </c>
    </row>
    <row r="35">
      <c r="A35" s="1" t="s">
        <v>3322</v>
      </c>
      <c r="B35" s="1">
        <v>1.0</v>
      </c>
      <c r="C35" s="1">
        <v>90.0</v>
      </c>
      <c r="D35" s="2" t="s">
        <v>694</v>
      </c>
      <c r="E35" s="1">
        <v>1.0</v>
      </c>
      <c r="F35" s="1">
        <v>7.0</v>
      </c>
      <c r="G35" s="1">
        <v>0.0</v>
      </c>
      <c r="H35" s="1">
        <v>0.0</v>
      </c>
      <c r="I35" s="1">
        <v>0.0</v>
      </c>
      <c r="J35" s="1">
        <v>0.0</v>
      </c>
      <c r="K35" s="1">
        <v>0.03</v>
      </c>
      <c r="L35" s="1">
        <v>3200000.0</v>
      </c>
      <c r="M35" s="1" t="s">
        <v>3323</v>
      </c>
      <c r="N35" s="18">
        <v>46035.0</v>
      </c>
      <c r="O35" s="1" t="s">
        <v>3314</v>
      </c>
      <c r="P35" s="1" t="s">
        <v>3230</v>
      </c>
      <c r="Q35" s="1" t="s">
        <v>3231</v>
      </c>
    </row>
    <row r="36">
      <c r="A36" s="1" t="s">
        <v>3324</v>
      </c>
      <c r="B36" s="1">
        <v>1.0</v>
      </c>
      <c r="C36" s="1">
        <v>50.0</v>
      </c>
      <c r="D36" s="2" t="s">
        <v>2075</v>
      </c>
      <c r="E36" s="1">
        <v>1.0</v>
      </c>
      <c r="F36" s="1">
        <v>31.0</v>
      </c>
      <c r="G36" s="1">
        <v>0.0</v>
      </c>
      <c r="H36" s="1">
        <v>1.0</v>
      </c>
      <c r="I36" s="1">
        <v>0.06</v>
      </c>
      <c r="J36" s="1">
        <v>0.0</v>
      </c>
      <c r="K36" s="1">
        <v>0.33</v>
      </c>
      <c r="L36" s="1">
        <v>7540000.0</v>
      </c>
      <c r="M36" s="1" t="s">
        <v>3325</v>
      </c>
      <c r="N36" s="18">
        <v>46034.0</v>
      </c>
      <c r="O36" s="1" t="s">
        <v>3300</v>
      </c>
      <c r="P36" s="1" t="s">
        <v>3301</v>
      </c>
      <c r="Q36" s="1" t="s">
        <v>3231</v>
      </c>
    </row>
    <row r="37">
      <c r="A37" s="1" t="s">
        <v>3326</v>
      </c>
      <c r="B37" s="1">
        <v>1.0</v>
      </c>
      <c r="C37" s="1">
        <v>50.0</v>
      </c>
      <c r="D37" s="2" t="s">
        <v>2075</v>
      </c>
      <c r="E37" s="1">
        <v>1.0</v>
      </c>
      <c r="F37" s="1">
        <v>23.0</v>
      </c>
      <c r="G37" s="1">
        <v>0.0</v>
      </c>
      <c r="H37" s="1">
        <v>0.0</v>
      </c>
      <c r="I37" s="1">
        <v>0.0</v>
      </c>
      <c r="J37" s="1">
        <v>0.0</v>
      </c>
      <c r="K37" s="1">
        <v>0.33</v>
      </c>
      <c r="L37" s="1">
        <v>6010000.0</v>
      </c>
      <c r="M37" s="1" t="s">
        <v>3327</v>
      </c>
      <c r="N37" s="18">
        <v>46034.0</v>
      </c>
      <c r="O37" s="1" t="s">
        <v>3274</v>
      </c>
      <c r="P37" s="1" t="s">
        <v>3230</v>
      </c>
      <c r="Q37" s="1" t="s">
        <v>3231</v>
      </c>
    </row>
    <row r="38">
      <c r="A38" s="1" t="s">
        <v>3328</v>
      </c>
      <c r="B38" s="1">
        <v>1.0</v>
      </c>
      <c r="C38" s="1">
        <v>320.0</v>
      </c>
      <c r="D38" s="2" t="s">
        <v>2075</v>
      </c>
      <c r="E38" s="1">
        <v>1.0</v>
      </c>
      <c r="F38" s="1">
        <v>79.0</v>
      </c>
      <c r="G38" s="1">
        <v>0.0</v>
      </c>
      <c r="H38" s="1">
        <v>0.0</v>
      </c>
      <c r="I38" s="1">
        <v>0.0</v>
      </c>
      <c r="J38" s="1">
        <v>0.0</v>
      </c>
      <c r="K38" s="1">
        <v>0.0</v>
      </c>
      <c r="L38" s="1">
        <v>6.46E8</v>
      </c>
      <c r="M38" s="1" t="s">
        <v>3329</v>
      </c>
      <c r="N38" s="18">
        <v>46033.0</v>
      </c>
      <c r="O38" s="1" t="s">
        <v>3330</v>
      </c>
      <c r="P38" s="1" t="s">
        <v>3301</v>
      </c>
      <c r="Q38" s="1" t="s">
        <v>3231</v>
      </c>
    </row>
    <row r="39">
      <c r="A39" s="1" t="s">
        <v>3331</v>
      </c>
      <c r="B39" s="1">
        <v>1.0</v>
      </c>
      <c r="C39" s="1">
        <v>390.0</v>
      </c>
      <c r="D39" s="2" t="s">
        <v>1868</v>
      </c>
      <c r="E39" s="1">
        <v>1.0</v>
      </c>
      <c r="F39" s="1">
        <v>17.0</v>
      </c>
      <c r="G39" s="1">
        <v>0.0</v>
      </c>
      <c r="H39" s="1">
        <v>0.0</v>
      </c>
      <c r="I39" s="1">
        <v>0.0</v>
      </c>
      <c r="J39" s="1">
        <v>0.0</v>
      </c>
      <c r="K39" s="1">
        <v>0.0</v>
      </c>
      <c r="L39" s="1">
        <v>366000.0</v>
      </c>
      <c r="M39" s="1" t="s">
        <v>3332</v>
      </c>
      <c r="N39" s="18">
        <v>46033.0</v>
      </c>
      <c r="O39" s="1" t="s">
        <v>3333</v>
      </c>
      <c r="P39" s="1" t="s">
        <v>3334</v>
      </c>
      <c r="Q39" s="1" t="s">
        <v>3231</v>
      </c>
    </row>
    <row r="40">
      <c r="A40" s="1" t="s">
        <v>3335</v>
      </c>
      <c r="B40" s="1">
        <v>1.0</v>
      </c>
      <c r="C40" s="1">
        <v>3600.0</v>
      </c>
      <c r="D40" s="2" t="s">
        <v>2075</v>
      </c>
      <c r="E40" s="1">
        <v>1.0</v>
      </c>
      <c r="F40" s="1">
        <v>61.0</v>
      </c>
      <c r="G40" s="1">
        <v>0.0</v>
      </c>
      <c r="H40" s="1">
        <v>0.0</v>
      </c>
      <c r="I40" s="1">
        <v>0.0</v>
      </c>
      <c r="J40" s="1">
        <v>0.0</v>
      </c>
      <c r="K40" s="1">
        <v>0.0</v>
      </c>
      <c r="L40" s="1">
        <v>1.16E8</v>
      </c>
      <c r="M40" s="1" t="s">
        <v>3336</v>
      </c>
      <c r="N40" s="18">
        <v>46033.0</v>
      </c>
      <c r="O40" s="1" t="s">
        <v>3337</v>
      </c>
      <c r="P40" s="1" t="s">
        <v>3230</v>
      </c>
      <c r="Q40" s="1" t="s">
        <v>3231</v>
      </c>
    </row>
    <row r="41">
      <c r="A41" s="1" t="s">
        <v>3338</v>
      </c>
      <c r="B41" s="1">
        <v>1.0</v>
      </c>
      <c r="C41" s="1">
        <v>8100.0</v>
      </c>
      <c r="D41" s="2" t="s">
        <v>2075</v>
      </c>
      <c r="E41" s="1">
        <v>1.0</v>
      </c>
      <c r="F41" s="1">
        <v>55.0</v>
      </c>
      <c r="G41" s="1">
        <v>0.0</v>
      </c>
      <c r="H41" s="1">
        <v>0.0</v>
      </c>
      <c r="I41" s="1">
        <v>0.0</v>
      </c>
      <c r="J41" s="1">
        <v>0.0</v>
      </c>
      <c r="K41" s="1">
        <v>0.0</v>
      </c>
      <c r="L41" s="1">
        <v>2.45E7</v>
      </c>
      <c r="M41" s="1" t="s">
        <v>3339</v>
      </c>
      <c r="N41" s="18">
        <v>46033.0</v>
      </c>
      <c r="O41" s="1" t="s">
        <v>3330</v>
      </c>
      <c r="P41" s="1" t="s">
        <v>3230</v>
      </c>
      <c r="Q41" s="1" t="s">
        <v>3231</v>
      </c>
    </row>
    <row r="42">
      <c r="A42" s="1" t="s">
        <v>3340</v>
      </c>
      <c r="B42" s="1">
        <v>1.0</v>
      </c>
      <c r="C42" s="1">
        <v>590.0</v>
      </c>
      <c r="D42" s="2" t="s">
        <v>2075</v>
      </c>
      <c r="E42" s="1">
        <v>1.0</v>
      </c>
      <c r="F42" s="1">
        <v>41.0</v>
      </c>
      <c r="G42" s="1">
        <v>0.0</v>
      </c>
      <c r="H42" s="1">
        <v>0.0</v>
      </c>
      <c r="I42" s="1">
        <v>0.0</v>
      </c>
      <c r="J42" s="1">
        <v>0.0</v>
      </c>
      <c r="K42" s="1">
        <v>0.0</v>
      </c>
      <c r="L42" s="1">
        <v>5050000.0</v>
      </c>
      <c r="M42" s="1" t="s">
        <v>3341</v>
      </c>
      <c r="N42" s="18">
        <v>46033.0</v>
      </c>
      <c r="O42" s="1" t="s">
        <v>3342</v>
      </c>
      <c r="P42" s="1" t="s">
        <v>3230</v>
      </c>
      <c r="Q42" s="1" t="s">
        <v>3231</v>
      </c>
    </row>
    <row r="43">
      <c r="A43" s="1" t="s">
        <v>3343</v>
      </c>
      <c r="B43" s="1">
        <v>1.0</v>
      </c>
      <c r="C43" s="1">
        <v>33100.0</v>
      </c>
      <c r="D43" s="2" t="s">
        <v>2075</v>
      </c>
      <c r="E43" s="1">
        <v>1.0</v>
      </c>
      <c r="F43" s="1">
        <v>82.0</v>
      </c>
      <c r="G43" s="1">
        <v>0.43</v>
      </c>
      <c r="H43" s="1">
        <v>0.0</v>
      </c>
      <c r="I43" s="1">
        <v>0.0</v>
      </c>
      <c r="J43" s="1">
        <v>0.0</v>
      </c>
      <c r="K43" s="1">
        <v>0.0</v>
      </c>
      <c r="L43" s="1">
        <v>1.12E8</v>
      </c>
      <c r="M43" s="1" t="s">
        <v>3344</v>
      </c>
      <c r="N43" s="18">
        <v>46032.0</v>
      </c>
      <c r="O43" s="1" t="s">
        <v>3330</v>
      </c>
      <c r="P43" s="1" t="s">
        <v>3301</v>
      </c>
      <c r="Q43" s="1" t="s">
        <v>3231</v>
      </c>
    </row>
    <row r="44">
      <c r="A44" s="1" t="s">
        <v>3345</v>
      </c>
      <c r="B44" s="1">
        <v>1.0</v>
      </c>
      <c r="C44" s="1">
        <v>12100.0</v>
      </c>
      <c r="D44" s="2" t="s">
        <v>2075</v>
      </c>
      <c r="E44" s="1">
        <v>1.0</v>
      </c>
      <c r="F44" s="1">
        <v>40.0</v>
      </c>
      <c r="G44" s="1">
        <v>0.0</v>
      </c>
      <c r="H44" s="1">
        <v>0.0</v>
      </c>
      <c r="I44" s="1">
        <v>0.0</v>
      </c>
      <c r="J44" s="1">
        <v>0.0</v>
      </c>
      <c r="K44" s="1">
        <v>0.0</v>
      </c>
      <c r="L44" s="1">
        <v>3.76E7</v>
      </c>
      <c r="M44" s="1" t="s">
        <v>3346</v>
      </c>
      <c r="N44" s="18">
        <v>46032.0</v>
      </c>
      <c r="O44" s="1" t="s">
        <v>3347</v>
      </c>
      <c r="P44" s="1" t="s">
        <v>3230</v>
      </c>
      <c r="Q44" s="1" t="s">
        <v>3231</v>
      </c>
    </row>
    <row r="45">
      <c r="A45" s="1" t="s">
        <v>3348</v>
      </c>
      <c r="B45" s="1">
        <v>1.0</v>
      </c>
      <c r="C45" s="1">
        <v>30.0</v>
      </c>
      <c r="D45" s="2" t="s">
        <v>1536</v>
      </c>
      <c r="E45" s="1">
        <v>1.0</v>
      </c>
      <c r="F45" s="1">
        <v>4.0</v>
      </c>
      <c r="G45" s="1">
        <v>14.23</v>
      </c>
      <c r="H45" s="1">
        <v>0.0</v>
      </c>
      <c r="I45" s="1">
        <v>0.0</v>
      </c>
      <c r="J45" s="1">
        <v>0.0</v>
      </c>
      <c r="K45" s="1">
        <v>0.08</v>
      </c>
      <c r="L45" s="1">
        <v>654000.0</v>
      </c>
      <c r="M45" s="1" t="s">
        <v>3349</v>
      </c>
      <c r="N45" s="18">
        <v>46031.0</v>
      </c>
      <c r="O45" s="1" t="s">
        <v>3264</v>
      </c>
      <c r="P45" s="1" t="s">
        <v>3230</v>
      </c>
      <c r="Q45" s="1" t="s">
        <v>3231</v>
      </c>
    </row>
    <row r="46">
      <c r="A46" s="1" t="s">
        <v>3350</v>
      </c>
      <c r="B46" s="1">
        <v>1.0</v>
      </c>
      <c r="C46" s="1">
        <v>50.0</v>
      </c>
      <c r="D46" s="2" t="s">
        <v>2075</v>
      </c>
      <c r="E46" s="1">
        <v>1.0</v>
      </c>
      <c r="F46" s="1">
        <v>37.0</v>
      </c>
      <c r="G46" s="1">
        <v>0.0</v>
      </c>
      <c r="H46" s="1">
        <v>0.0</v>
      </c>
      <c r="I46" s="1">
        <v>0.0</v>
      </c>
      <c r="J46" s="1">
        <v>0.0</v>
      </c>
      <c r="K46" s="1">
        <v>0.33</v>
      </c>
      <c r="L46" s="1">
        <v>944000.0</v>
      </c>
      <c r="M46" s="1" t="s">
        <v>3351</v>
      </c>
      <c r="N46" s="18">
        <v>46030.0</v>
      </c>
      <c r="O46" s="1" t="s">
        <v>3352</v>
      </c>
      <c r="P46" s="1" t="s">
        <v>3230</v>
      </c>
      <c r="Q46" s="1" t="s">
        <v>3231</v>
      </c>
    </row>
    <row r="47">
      <c r="A47" s="1" t="s">
        <v>3353</v>
      </c>
      <c r="B47" s="1">
        <v>1.0</v>
      </c>
      <c r="C47" s="1">
        <v>50.0</v>
      </c>
      <c r="D47" s="2" t="s">
        <v>3254</v>
      </c>
      <c r="E47" s="1">
        <v>1.0</v>
      </c>
      <c r="F47" s="1">
        <v>15.0</v>
      </c>
      <c r="G47" s="1">
        <v>0.0</v>
      </c>
      <c r="H47" s="1">
        <v>4.0</v>
      </c>
      <c r="I47" s="1">
        <v>0.26</v>
      </c>
      <c r="J47" s="1">
        <v>0.0</v>
      </c>
      <c r="K47" s="1">
        <v>0.0</v>
      </c>
      <c r="L47" s="1">
        <v>41500.0</v>
      </c>
      <c r="M47" s="1" t="s">
        <v>3354</v>
      </c>
      <c r="N47" s="18">
        <v>46030.0</v>
      </c>
      <c r="O47" s="1" t="s">
        <v>3355</v>
      </c>
      <c r="P47" s="1" t="s">
        <v>3257</v>
      </c>
      <c r="Q47" s="1" t="s">
        <v>3258</v>
      </c>
    </row>
    <row r="48">
      <c r="A48" s="1" t="s">
        <v>3356</v>
      </c>
      <c r="B48" s="1">
        <v>1.0</v>
      </c>
      <c r="C48" s="1">
        <v>720.0</v>
      </c>
      <c r="D48" s="2" t="s">
        <v>714</v>
      </c>
      <c r="E48" s="1">
        <v>1.0</v>
      </c>
      <c r="F48" s="1">
        <v>49.0</v>
      </c>
      <c r="G48" s="1">
        <v>0.0</v>
      </c>
      <c r="H48" s="1">
        <v>0.0</v>
      </c>
      <c r="I48" s="1">
        <v>0.0</v>
      </c>
      <c r="J48" s="1">
        <v>0.0</v>
      </c>
      <c r="K48" s="1">
        <v>0.0</v>
      </c>
      <c r="L48" s="1">
        <v>4820000.0</v>
      </c>
      <c r="M48" s="1" t="s">
        <v>3357</v>
      </c>
      <c r="N48" s="18">
        <v>46030.0</v>
      </c>
      <c r="O48" s="1" t="s">
        <v>3358</v>
      </c>
      <c r="P48" s="1" t="s">
        <v>3230</v>
      </c>
      <c r="Q48" s="1" t="s">
        <v>3231</v>
      </c>
    </row>
    <row r="49">
      <c r="A49" s="1" t="s">
        <v>3359</v>
      </c>
      <c r="B49" s="1">
        <v>1.0</v>
      </c>
      <c r="C49" s="1">
        <v>6600.0</v>
      </c>
      <c r="D49" s="2" t="s">
        <v>714</v>
      </c>
      <c r="E49" s="1">
        <v>1.0</v>
      </c>
      <c r="F49" s="1">
        <v>43.0</v>
      </c>
      <c r="G49" s="1">
        <v>9.5</v>
      </c>
      <c r="H49" s="1">
        <v>0.0</v>
      </c>
      <c r="I49" s="1">
        <v>0.0</v>
      </c>
      <c r="J49" s="1">
        <v>0.0</v>
      </c>
      <c r="K49" s="1">
        <v>0.01</v>
      </c>
      <c r="L49" s="1">
        <v>5560000.0</v>
      </c>
      <c r="M49" s="1" t="s">
        <v>3360</v>
      </c>
      <c r="N49" s="18">
        <v>46029.0</v>
      </c>
      <c r="O49" s="1" t="s">
        <v>3317</v>
      </c>
      <c r="P49" s="1" t="s">
        <v>3230</v>
      </c>
      <c r="Q49" s="1" t="s">
        <v>3231</v>
      </c>
    </row>
    <row r="50">
      <c r="A50" s="1" t="s">
        <v>3361</v>
      </c>
      <c r="B50" s="1">
        <v>1.0</v>
      </c>
      <c r="C50" s="1">
        <v>260.0</v>
      </c>
      <c r="D50" s="2" t="s">
        <v>2075</v>
      </c>
      <c r="E50" s="1">
        <v>1.0</v>
      </c>
      <c r="F50" s="1">
        <v>48.0</v>
      </c>
      <c r="G50" s="1">
        <v>0.0</v>
      </c>
      <c r="H50" s="1">
        <v>0.0</v>
      </c>
      <c r="I50" s="1">
        <v>0.0</v>
      </c>
      <c r="J50" s="1">
        <v>0.0</v>
      </c>
      <c r="K50" s="1">
        <v>0.0</v>
      </c>
      <c r="L50" s="1">
        <v>5000000.0</v>
      </c>
      <c r="M50" s="1" t="s">
        <v>3362</v>
      </c>
      <c r="N50" s="18">
        <v>46029.0</v>
      </c>
      <c r="O50" s="1" t="s">
        <v>3342</v>
      </c>
      <c r="P50" s="1" t="s">
        <v>3230</v>
      </c>
      <c r="Q50" s="1" t="s">
        <v>3231</v>
      </c>
    </row>
    <row r="51">
      <c r="A51" s="1" t="s">
        <v>3363</v>
      </c>
      <c r="B51" s="1">
        <v>1.0</v>
      </c>
      <c r="C51" s="1">
        <v>390.0</v>
      </c>
      <c r="D51" s="2" t="s">
        <v>2075</v>
      </c>
      <c r="E51" s="1">
        <v>1.0</v>
      </c>
      <c r="F51" s="1">
        <v>43.0</v>
      </c>
      <c r="G51" s="1">
        <v>0.0</v>
      </c>
      <c r="H51" s="1">
        <v>0.0</v>
      </c>
      <c r="I51" s="1">
        <v>0.0</v>
      </c>
      <c r="J51" s="1">
        <v>0.0</v>
      </c>
      <c r="K51" s="1">
        <v>0.0</v>
      </c>
      <c r="L51" s="1">
        <v>1.59E8</v>
      </c>
      <c r="M51" s="1" t="s">
        <v>3364</v>
      </c>
      <c r="N51" s="18">
        <v>46029.0</v>
      </c>
      <c r="O51" s="1" t="s">
        <v>3300</v>
      </c>
      <c r="P51" s="1" t="s">
        <v>3230</v>
      </c>
      <c r="Q51" s="1" t="s">
        <v>3231</v>
      </c>
    </row>
    <row r="52">
      <c r="A52" s="1" t="s">
        <v>3365</v>
      </c>
      <c r="B52" s="1">
        <v>1.0</v>
      </c>
      <c r="C52" s="1">
        <v>590.0</v>
      </c>
      <c r="D52" s="2" t="s">
        <v>2364</v>
      </c>
      <c r="E52" s="1">
        <v>1.0</v>
      </c>
      <c r="F52" s="1">
        <v>58.0</v>
      </c>
      <c r="G52" s="1">
        <v>0.0</v>
      </c>
      <c r="H52" s="1">
        <v>0.0</v>
      </c>
      <c r="I52" s="1">
        <v>0.0</v>
      </c>
      <c r="J52" s="1">
        <v>0.0</v>
      </c>
      <c r="K52" s="1">
        <v>0.0</v>
      </c>
      <c r="L52" s="1">
        <v>3.02E7</v>
      </c>
      <c r="M52" s="1" t="s">
        <v>3366</v>
      </c>
      <c r="N52" s="18">
        <v>46029.0</v>
      </c>
      <c r="O52" s="1" t="s">
        <v>3248</v>
      </c>
      <c r="P52" s="1" t="s">
        <v>3230</v>
      </c>
      <c r="Q52" s="1" t="s">
        <v>3231</v>
      </c>
    </row>
    <row r="53">
      <c r="A53" s="1" t="s">
        <v>3367</v>
      </c>
      <c r="B53" s="1">
        <v>1.0</v>
      </c>
      <c r="C53" s="1">
        <v>2400.0</v>
      </c>
      <c r="D53" s="2" t="s">
        <v>2338</v>
      </c>
      <c r="E53" s="1">
        <v>1.0</v>
      </c>
      <c r="F53" s="1">
        <v>60.0</v>
      </c>
      <c r="G53" s="1">
        <v>0.0</v>
      </c>
      <c r="H53" s="1">
        <v>0.0</v>
      </c>
      <c r="I53" s="1">
        <v>0.0</v>
      </c>
      <c r="J53" s="1">
        <v>0.0</v>
      </c>
      <c r="K53" s="1">
        <v>0.0</v>
      </c>
      <c r="L53" s="1">
        <v>1.34E7</v>
      </c>
      <c r="M53" s="1" t="s">
        <v>3368</v>
      </c>
      <c r="N53" s="18">
        <v>46029.0</v>
      </c>
      <c r="O53" s="1" t="s">
        <v>3369</v>
      </c>
      <c r="P53" s="1" t="s">
        <v>3230</v>
      </c>
      <c r="Q53" s="1" t="s">
        <v>3231</v>
      </c>
    </row>
    <row r="54">
      <c r="A54" s="1" t="s">
        <v>3370</v>
      </c>
      <c r="B54" s="1">
        <v>1.0</v>
      </c>
      <c r="C54" s="1">
        <v>90.0</v>
      </c>
      <c r="D54" s="2" t="s">
        <v>1052</v>
      </c>
      <c r="E54" s="1">
        <v>1.0</v>
      </c>
      <c r="F54" s="1">
        <v>9.0</v>
      </c>
      <c r="G54" s="1">
        <v>0.0</v>
      </c>
      <c r="H54" s="1">
        <v>0.0</v>
      </c>
      <c r="I54" s="1">
        <v>0.0</v>
      </c>
      <c r="J54" s="1">
        <v>0.0</v>
      </c>
      <c r="K54" s="1">
        <v>0.0</v>
      </c>
      <c r="L54" s="1">
        <v>3.01E8</v>
      </c>
      <c r="M54" s="1" t="s">
        <v>3371</v>
      </c>
      <c r="N54" s="18">
        <v>46028.0</v>
      </c>
      <c r="O54" s="1" t="s">
        <v>3372</v>
      </c>
      <c r="P54" s="1" t="s">
        <v>3230</v>
      </c>
      <c r="Q54" s="1" t="s">
        <v>3231</v>
      </c>
    </row>
    <row r="55">
      <c r="A55" s="1" t="s">
        <v>3373</v>
      </c>
      <c r="B55" s="1">
        <v>1.0</v>
      </c>
      <c r="C55" s="1">
        <v>170.0</v>
      </c>
      <c r="D55" s="2" t="s">
        <v>2364</v>
      </c>
      <c r="E55" s="1">
        <v>1.0</v>
      </c>
      <c r="G55" s="1">
        <v>5.26</v>
      </c>
      <c r="H55" s="1">
        <v>0.0</v>
      </c>
      <c r="I55" s="1">
        <v>0.0</v>
      </c>
      <c r="J55" s="1">
        <v>0.0</v>
      </c>
      <c r="K55" s="1">
        <v>0.04</v>
      </c>
      <c r="L55" s="1">
        <v>1.34E7</v>
      </c>
      <c r="M55" s="1" t="s">
        <v>3374</v>
      </c>
      <c r="N55" s="18">
        <v>46028.0</v>
      </c>
      <c r="O55" s="1" t="s">
        <v>3375</v>
      </c>
      <c r="P55" s="1" t="s">
        <v>3230</v>
      </c>
      <c r="Q55" s="1" t="s">
        <v>3231</v>
      </c>
    </row>
    <row r="56">
      <c r="A56" s="1" t="s">
        <v>3376</v>
      </c>
      <c r="B56" s="1">
        <v>1.0</v>
      </c>
      <c r="C56" s="1">
        <v>110.0</v>
      </c>
      <c r="D56" s="2" t="s">
        <v>2364</v>
      </c>
      <c r="E56" s="1">
        <v>1.0</v>
      </c>
      <c r="G56" s="1">
        <v>0.0</v>
      </c>
      <c r="H56" s="1">
        <v>0.0</v>
      </c>
      <c r="I56" s="1">
        <v>0.0</v>
      </c>
      <c r="J56" s="1">
        <v>0.0</v>
      </c>
      <c r="K56" s="1">
        <v>0.0</v>
      </c>
      <c r="L56" s="1">
        <v>8600000.0</v>
      </c>
      <c r="M56" s="1" t="s">
        <v>3377</v>
      </c>
      <c r="N56" s="18">
        <v>46028.0</v>
      </c>
      <c r="O56" s="1" t="s">
        <v>3314</v>
      </c>
      <c r="P56" s="1" t="s">
        <v>3230</v>
      </c>
      <c r="Q56" s="1" t="s">
        <v>3231</v>
      </c>
    </row>
    <row r="57">
      <c r="A57" s="1" t="s">
        <v>3378</v>
      </c>
      <c r="B57" s="1">
        <v>1.0</v>
      </c>
      <c r="C57" s="1">
        <v>90.0</v>
      </c>
      <c r="D57" s="2" t="s">
        <v>2075</v>
      </c>
      <c r="E57" s="1">
        <v>1.0</v>
      </c>
      <c r="F57" s="1">
        <v>28.0</v>
      </c>
      <c r="G57" s="1">
        <v>0.0</v>
      </c>
      <c r="H57" s="1">
        <v>0.0</v>
      </c>
      <c r="I57" s="1">
        <v>0.0</v>
      </c>
      <c r="J57" s="1">
        <v>0.0</v>
      </c>
      <c r="K57" s="1">
        <v>0.0</v>
      </c>
      <c r="L57" s="1">
        <v>488000.0</v>
      </c>
      <c r="M57" s="1" t="s">
        <v>3379</v>
      </c>
      <c r="N57" s="18">
        <v>46028.0</v>
      </c>
      <c r="O57" s="1" t="s">
        <v>3380</v>
      </c>
      <c r="P57" s="1" t="s">
        <v>3230</v>
      </c>
      <c r="Q57" s="1" t="s">
        <v>3231</v>
      </c>
    </row>
    <row r="58">
      <c r="A58" s="1" t="s">
        <v>3381</v>
      </c>
      <c r="B58" s="1">
        <v>1.0</v>
      </c>
      <c r="C58" s="1">
        <v>110.0</v>
      </c>
      <c r="D58" s="2" t="s">
        <v>1052</v>
      </c>
      <c r="E58" s="1">
        <v>1.0</v>
      </c>
      <c r="F58" s="1">
        <v>40.0</v>
      </c>
      <c r="G58" s="1">
        <v>0.0</v>
      </c>
      <c r="H58" s="1">
        <v>0.0</v>
      </c>
      <c r="I58" s="1">
        <v>0.0</v>
      </c>
      <c r="J58" s="1">
        <v>0.0</v>
      </c>
      <c r="K58" s="1">
        <v>0.0</v>
      </c>
      <c r="L58" s="1">
        <v>2.36E8</v>
      </c>
      <c r="M58" s="1" t="s">
        <v>3382</v>
      </c>
      <c r="N58" s="18">
        <v>46028.0</v>
      </c>
      <c r="O58" s="1" t="s">
        <v>3264</v>
      </c>
      <c r="P58" s="1" t="s">
        <v>3230</v>
      </c>
      <c r="Q58" s="1" t="s">
        <v>3231</v>
      </c>
    </row>
    <row r="59">
      <c r="A59" s="1" t="s">
        <v>3383</v>
      </c>
      <c r="B59" s="1">
        <v>1.0</v>
      </c>
      <c r="C59" s="1">
        <v>90.0</v>
      </c>
      <c r="D59" s="2" t="s">
        <v>2075</v>
      </c>
      <c r="E59" s="1">
        <v>1.0</v>
      </c>
      <c r="F59" s="1">
        <v>39.0</v>
      </c>
      <c r="G59" s="1">
        <v>0.0</v>
      </c>
      <c r="H59" s="1">
        <v>1.0</v>
      </c>
      <c r="I59" s="1">
        <v>0.06</v>
      </c>
      <c r="J59" s="1">
        <v>0.0</v>
      </c>
      <c r="K59" s="1">
        <v>0.0</v>
      </c>
      <c r="L59" s="1">
        <v>15200.0</v>
      </c>
      <c r="M59" s="1" t="s">
        <v>3384</v>
      </c>
      <c r="N59" s="18">
        <v>46028.0</v>
      </c>
      <c r="O59" s="1" t="s">
        <v>3385</v>
      </c>
      <c r="P59" s="1" t="s">
        <v>3230</v>
      </c>
      <c r="Q59" s="1" t="s">
        <v>3231</v>
      </c>
    </row>
    <row r="60">
      <c r="A60" s="1" t="s">
        <v>3386</v>
      </c>
      <c r="B60" s="1">
        <v>1.0</v>
      </c>
      <c r="C60" s="1">
        <v>90.0</v>
      </c>
      <c r="D60" s="2" t="s">
        <v>714</v>
      </c>
      <c r="E60" s="1">
        <v>1.0</v>
      </c>
      <c r="F60" s="1">
        <v>39.0</v>
      </c>
      <c r="G60" s="1">
        <v>0.0</v>
      </c>
      <c r="H60" s="1">
        <v>0.0</v>
      </c>
      <c r="I60" s="1">
        <v>0.0</v>
      </c>
      <c r="J60" s="1">
        <v>0.0</v>
      </c>
      <c r="K60" s="1">
        <v>0.0</v>
      </c>
      <c r="L60" s="1">
        <v>8350000.0</v>
      </c>
      <c r="M60" s="1" t="s">
        <v>3387</v>
      </c>
      <c r="N60" s="18">
        <v>46028.0</v>
      </c>
      <c r="O60" s="1" t="s">
        <v>3317</v>
      </c>
      <c r="P60" s="1" t="s">
        <v>3230</v>
      </c>
      <c r="Q60" s="1" t="s">
        <v>3231</v>
      </c>
    </row>
    <row r="61">
      <c r="A61" s="1" t="s">
        <v>3388</v>
      </c>
      <c r="B61" s="1">
        <v>1.0</v>
      </c>
      <c r="C61" s="1">
        <v>70.0</v>
      </c>
      <c r="D61" s="2" t="s">
        <v>1052</v>
      </c>
      <c r="E61" s="1">
        <v>1.0</v>
      </c>
      <c r="F61" s="1">
        <v>39.0</v>
      </c>
      <c r="G61" s="1">
        <v>0.0</v>
      </c>
      <c r="H61" s="1">
        <v>1.0</v>
      </c>
      <c r="I61" s="1">
        <v>0.06</v>
      </c>
      <c r="J61" s="1">
        <v>0.0</v>
      </c>
      <c r="K61" s="1">
        <v>0.0</v>
      </c>
      <c r="L61" s="1">
        <v>1.37E8</v>
      </c>
      <c r="M61" s="1" t="s">
        <v>3389</v>
      </c>
      <c r="N61" s="18">
        <v>46028.0</v>
      </c>
      <c r="O61" s="1" t="s">
        <v>3264</v>
      </c>
      <c r="P61" s="1" t="s">
        <v>3230</v>
      </c>
      <c r="Q61" s="1" t="s">
        <v>3231</v>
      </c>
    </row>
    <row r="62">
      <c r="A62" s="1" t="s">
        <v>3390</v>
      </c>
      <c r="B62" s="1">
        <v>1.0</v>
      </c>
      <c r="C62" s="1">
        <v>70.0</v>
      </c>
      <c r="D62" s="2" t="s">
        <v>724</v>
      </c>
      <c r="E62" s="1">
        <v>1.0</v>
      </c>
      <c r="F62" s="1">
        <v>0.0</v>
      </c>
      <c r="G62" s="1">
        <v>0.0</v>
      </c>
      <c r="H62" s="1">
        <v>0.0</v>
      </c>
      <c r="I62" s="1">
        <v>0.0</v>
      </c>
      <c r="J62" s="1">
        <v>0.0</v>
      </c>
      <c r="K62" s="1">
        <v>0.0</v>
      </c>
      <c r="L62" s="1">
        <v>2.21E7</v>
      </c>
      <c r="M62" s="1" t="s">
        <v>3391</v>
      </c>
      <c r="N62" s="18">
        <v>46028.0</v>
      </c>
      <c r="O62" s="1" t="s">
        <v>3317</v>
      </c>
      <c r="P62" s="1" t="s">
        <v>3230</v>
      </c>
      <c r="Q62" s="1" t="s">
        <v>3252</v>
      </c>
    </row>
    <row r="63">
      <c r="A63" s="1" t="s">
        <v>3392</v>
      </c>
      <c r="B63" s="1">
        <v>1.0</v>
      </c>
      <c r="C63" s="1">
        <v>30.0</v>
      </c>
      <c r="D63" s="2" t="s">
        <v>1546</v>
      </c>
      <c r="E63" s="1">
        <v>1.0</v>
      </c>
      <c r="G63" s="1">
        <v>1.14</v>
      </c>
      <c r="H63" s="1">
        <v>0.0</v>
      </c>
      <c r="I63" s="1">
        <v>0.0</v>
      </c>
      <c r="J63" s="1">
        <v>0.0</v>
      </c>
      <c r="K63" s="1">
        <v>0.27</v>
      </c>
      <c r="L63" s="1">
        <v>1.93E8</v>
      </c>
      <c r="M63" s="1" t="s">
        <v>3393</v>
      </c>
      <c r="N63" s="18">
        <v>46028.0</v>
      </c>
      <c r="O63" s="1" t="s">
        <v>3394</v>
      </c>
      <c r="P63" s="1" t="s">
        <v>3230</v>
      </c>
      <c r="Q63" s="1" t="s">
        <v>3231</v>
      </c>
    </row>
    <row r="64">
      <c r="A64" s="1" t="s">
        <v>3395</v>
      </c>
      <c r="B64" s="1">
        <v>1.0</v>
      </c>
      <c r="C64" s="1">
        <v>70.0</v>
      </c>
      <c r="D64" s="2" t="s">
        <v>1546</v>
      </c>
      <c r="E64" s="1">
        <v>1.0</v>
      </c>
      <c r="F64" s="1">
        <v>38.0</v>
      </c>
      <c r="G64" s="1">
        <v>1.0</v>
      </c>
      <c r="H64" s="1">
        <v>0.0</v>
      </c>
      <c r="I64" s="1">
        <v>0.0</v>
      </c>
      <c r="J64" s="1">
        <v>0.0</v>
      </c>
      <c r="K64" s="1">
        <v>0.14</v>
      </c>
      <c r="L64" s="1">
        <v>7.23E8</v>
      </c>
      <c r="M64" s="1" t="s">
        <v>3396</v>
      </c>
      <c r="N64" s="18">
        <v>46027.0</v>
      </c>
      <c r="O64" s="1" t="s">
        <v>3397</v>
      </c>
      <c r="P64" s="1" t="s">
        <v>3334</v>
      </c>
      <c r="Q64" s="1" t="s">
        <v>3231</v>
      </c>
    </row>
    <row r="65">
      <c r="A65" s="1" t="s">
        <v>3398</v>
      </c>
      <c r="B65" s="1">
        <v>1.0</v>
      </c>
      <c r="C65" s="1">
        <v>140.0</v>
      </c>
      <c r="D65" s="2" t="s">
        <v>724</v>
      </c>
      <c r="E65" s="1">
        <v>1.0</v>
      </c>
      <c r="F65" s="1">
        <v>1.0</v>
      </c>
      <c r="G65" s="1">
        <v>5.43</v>
      </c>
      <c r="H65" s="1">
        <v>0.0</v>
      </c>
      <c r="I65" s="1">
        <v>0.0</v>
      </c>
      <c r="J65" s="1">
        <v>0.0</v>
      </c>
      <c r="K65" s="1">
        <v>0.03</v>
      </c>
      <c r="L65" s="1">
        <v>924000.0</v>
      </c>
      <c r="M65" s="1" t="s">
        <v>3399</v>
      </c>
      <c r="N65" s="18">
        <v>46027.0</v>
      </c>
      <c r="O65" s="1" t="s">
        <v>3284</v>
      </c>
      <c r="P65" s="1" t="s">
        <v>3230</v>
      </c>
      <c r="Q65" s="1" t="s">
        <v>3252</v>
      </c>
    </row>
    <row r="66">
      <c r="A66" s="1" t="s">
        <v>3400</v>
      </c>
      <c r="B66" s="1">
        <v>1.0</v>
      </c>
      <c r="C66" s="1">
        <v>70.0</v>
      </c>
      <c r="D66" s="2" t="s">
        <v>714</v>
      </c>
      <c r="E66" s="1">
        <v>1.0</v>
      </c>
      <c r="F66" s="1">
        <v>37.0</v>
      </c>
      <c r="G66" s="1">
        <v>0.0</v>
      </c>
      <c r="H66" s="1">
        <v>0.0</v>
      </c>
      <c r="I66" s="1">
        <v>0.0</v>
      </c>
      <c r="J66" s="1">
        <v>0.0</v>
      </c>
      <c r="K66" s="1">
        <v>0.0</v>
      </c>
      <c r="L66" s="1">
        <v>1.52E7</v>
      </c>
      <c r="M66" s="1" t="s">
        <v>3401</v>
      </c>
      <c r="N66" s="18">
        <v>46027.0</v>
      </c>
      <c r="O66" s="1" t="s">
        <v>3317</v>
      </c>
      <c r="P66" s="1" t="s">
        <v>3301</v>
      </c>
      <c r="Q66" s="1" t="s">
        <v>3231</v>
      </c>
    </row>
    <row r="67">
      <c r="A67" s="1" t="s">
        <v>3402</v>
      </c>
      <c r="B67" s="1">
        <v>1.0</v>
      </c>
      <c r="C67" s="1">
        <v>50.0</v>
      </c>
      <c r="D67" s="2" t="s">
        <v>3254</v>
      </c>
      <c r="E67" s="1">
        <v>1.0</v>
      </c>
      <c r="F67" s="1">
        <v>9.0</v>
      </c>
      <c r="G67" s="1">
        <v>13.98</v>
      </c>
      <c r="H67" s="1">
        <v>4.0</v>
      </c>
      <c r="I67" s="1">
        <v>0.26</v>
      </c>
      <c r="J67" s="1">
        <v>55.0</v>
      </c>
      <c r="K67" s="1">
        <v>0.45</v>
      </c>
      <c r="L67" s="1">
        <v>24000.0</v>
      </c>
      <c r="M67" s="1" t="s">
        <v>3403</v>
      </c>
      <c r="N67" s="18">
        <v>46026.0</v>
      </c>
      <c r="O67" s="1" t="s">
        <v>3404</v>
      </c>
      <c r="P67" s="1" t="s">
        <v>3257</v>
      </c>
      <c r="Q67" s="1" t="s">
        <v>3258</v>
      </c>
    </row>
    <row r="68">
      <c r="A68" s="1" t="s">
        <v>3405</v>
      </c>
      <c r="B68" s="1">
        <v>1.0</v>
      </c>
      <c r="C68" s="1">
        <v>40.0</v>
      </c>
      <c r="D68" s="2" t="s">
        <v>1052</v>
      </c>
      <c r="E68" s="1">
        <v>1.0</v>
      </c>
      <c r="F68" s="1">
        <v>3.0</v>
      </c>
      <c r="G68" s="1">
        <v>0.0</v>
      </c>
      <c r="H68" s="1">
        <v>5.0</v>
      </c>
      <c r="I68" s="1">
        <v>0.33</v>
      </c>
      <c r="J68" s="1">
        <v>0.0</v>
      </c>
      <c r="K68" s="1">
        <v>0.0</v>
      </c>
      <c r="L68" s="1">
        <v>1.04E8</v>
      </c>
      <c r="M68" s="1" t="s">
        <v>3406</v>
      </c>
      <c r="N68" s="18">
        <v>46026.0</v>
      </c>
      <c r="O68" s="1" t="s">
        <v>3407</v>
      </c>
      <c r="P68" s="1" t="s">
        <v>3230</v>
      </c>
      <c r="Q68" s="1" t="s">
        <v>3408</v>
      </c>
    </row>
    <row r="69">
      <c r="A69" s="1" t="s">
        <v>3409</v>
      </c>
      <c r="B69" s="1">
        <v>1.0</v>
      </c>
      <c r="C69" s="1">
        <v>40.0</v>
      </c>
      <c r="D69" s="2" t="s">
        <v>2940</v>
      </c>
      <c r="E69" s="1">
        <v>1.0</v>
      </c>
      <c r="F69" s="1">
        <v>15.0</v>
      </c>
      <c r="G69" s="1">
        <v>0.0</v>
      </c>
      <c r="H69" s="1">
        <v>10.0</v>
      </c>
      <c r="I69" s="1">
        <v>0.66</v>
      </c>
      <c r="J69" s="1">
        <v>0.0</v>
      </c>
      <c r="K69" s="1">
        <v>0.33</v>
      </c>
      <c r="L69" s="1">
        <v>631000.0</v>
      </c>
      <c r="M69" s="1" t="s">
        <v>3410</v>
      </c>
      <c r="N69" s="18">
        <v>46024.0</v>
      </c>
      <c r="O69" s="1" t="s">
        <v>3411</v>
      </c>
      <c r="P69" s="1" t="s">
        <v>3230</v>
      </c>
      <c r="Q69" s="1" t="s">
        <v>3412</v>
      </c>
    </row>
    <row r="70">
      <c r="A70" s="1" t="s">
        <v>3413</v>
      </c>
      <c r="B70" s="1">
        <v>1.0</v>
      </c>
      <c r="C70" s="1">
        <v>90.0</v>
      </c>
      <c r="D70" s="2" t="s">
        <v>3254</v>
      </c>
      <c r="E70" s="1">
        <v>1.0</v>
      </c>
      <c r="F70" s="1">
        <v>39.0</v>
      </c>
      <c r="G70" s="1">
        <v>14.43</v>
      </c>
      <c r="H70" s="1">
        <v>11.0</v>
      </c>
      <c r="I70" s="1">
        <v>0.72</v>
      </c>
      <c r="J70" s="1">
        <v>158.0</v>
      </c>
      <c r="K70" s="1">
        <v>0.61</v>
      </c>
      <c r="L70" s="1">
        <v>457000.0</v>
      </c>
      <c r="M70" s="1" t="s">
        <v>3414</v>
      </c>
      <c r="N70" s="18">
        <v>46023.0</v>
      </c>
      <c r="O70" s="1" t="s">
        <v>3415</v>
      </c>
      <c r="P70" s="1" t="s">
        <v>3257</v>
      </c>
      <c r="Q70" s="1" t="s">
        <v>3258</v>
      </c>
    </row>
    <row r="71">
      <c r="A71" s="1" t="s">
        <v>3416</v>
      </c>
      <c r="B71" s="1">
        <v>1.0</v>
      </c>
      <c r="C71" s="1">
        <v>70.0</v>
      </c>
      <c r="D71" s="2" t="s">
        <v>3286</v>
      </c>
      <c r="E71" s="1">
        <v>1.0</v>
      </c>
      <c r="F71" s="1">
        <v>22.0</v>
      </c>
      <c r="G71" s="1">
        <v>12.96</v>
      </c>
      <c r="H71" s="1">
        <v>5.0</v>
      </c>
      <c r="I71" s="1">
        <v>0.33</v>
      </c>
      <c r="J71" s="1">
        <v>64.0</v>
      </c>
      <c r="K71" s="1">
        <v>0.63</v>
      </c>
      <c r="L71" s="1">
        <v>234000.0</v>
      </c>
      <c r="M71" s="1" t="s">
        <v>3417</v>
      </c>
      <c r="N71" s="18">
        <v>46022.0</v>
      </c>
      <c r="O71" s="1" t="s">
        <v>3418</v>
      </c>
      <c r="P71" s="1" t="s">
        <v>3257</v>
      </c>
      <c r="Q71" s="1" t="s">
        <v>3258</v>
      </c>
    </row>
    <row r="72">
      <c r="A72" s="1" t="s">
        <v>3419</v>
      </c>
      <c r="B72" s="1">
        <v>1.0</v>
      </c>
      <c r="C72" s="1">
        <v>30.0</v>
      </c>
      <c r="D72" s="2" t="s">
        <v>3254</v>
      </c>
      <c r="E72" s="1">
        <v>1.0</v>
      </c>
      <c r="F72" s="1">
        <v>44.0</v>
      </c>
      <c r="G72" s="1">
        <v>22.36</v>
      </c>
      <c r="H72" s="1">
        <v>2.0</v>
      </c>
      <c r="I72" s="1">
        <v>0.13</v>
      </c>
      <c r="J72" s="1">
        <v>44.0</v>
      </c>
      <c r="K72" s="1">
        <v>0.99</v>
      </c>
      <c r="L72" s="1">
        <v>18700.0</v>
      </c>
      <c r="M72" s="1" t="s">
        <v>3420</v>
      </c>
      <c r="N72" s="18">
        <v>46022.0</v>
      </c>
      <c r="O72" s="1" t="s">
        <v>3421</v>
      </c>
      <c r="P72" s="1" t="s">
        <v>3257</v>
      </c>
      <c r="Q72" s="1" t="s">
        <v>3258</v>
      </c>
    </row>
    <row r="73">
      <c r="A73" s="1" t="s">
        <v>3422</v>
      </c>
      <c r="B73" s="1">
        <v>1.0</v>
      </c>
      <c r="C73" s="1">
        <v>70.0</v>
      </c>
      <c r="D73" s="2" t="s">
        <v>581</v>
      </c>
      <c r="E73" s="1">
        <v>1.0</v>
      </c>
      <c r="F73" s="1">
        <v>3.0</v>
      </c>
      <c r="G73" s="1">
        <v>0.0</v>
      </c>
      <c r="H73" s="1">
        <v>17.0</v>
      </c>
      <c r="I73" s="1">
        <v>1.12</v>
      </c>
      <c r="J73" s="1">
        <v>0.0</v>
      </c>
      <c r="K73" s="1">
        <v>0.0</v>
      </c>
      <c r="L73" s="1">
        <v>4.76E8</v>
      </c>
      <c r="M73" s="1" t="s">
        <v>3423</v>
      </c>
      <c r="N73" s="18">
        <v>46022.0</v>
      </c>
      <c r="O73" s="1" t="s">
        <v>3424</v>
      </c>
      <c r="P73" s="1" t="s">
        <v>3257</v>
      </c>
      <c r="Q73" s="1" t="s">
        <v>3408</v>
      </c>
    </row>
    <row r="74">
      <c r="A74" s="1" t="s">
        <v>3425</v>
      </c>
      <c r="B74" s="1">
        <v>1.0</v>
      </c>
      <c r="C74" s="1">
        <v>70.0</v>
      </c>
      <c r="D74" s="2" t="s">
        <v>3254</v>
      </c>
      <c r="E74" s="1">
        <v>1.0</v>
      </c>
      <c r="F74" s="1">
        <v>14.0</v>
      </c>
      <c r="G74" s="1">
        <v>0.0</v>
      </c>
      <c r="H74" s="1">
        <v>5.0</v>
      </c>
      <c r="I74" s="1">
        <v>0.33</v>
      </c>
      <c r="J74" s="1">
        <v>0.0</v>
      </c>
      <c r="K74" s="1">
        <v>0.0</v>
      </c>
      <c r="L74" s="1">
        <v>37900.0</v>
      </c>
      <c r="M74" s="1" t="s">
        <v>3426</v>
      </c>
      <c r="N74" s="18">
        <v>46020.0</v>
      </c>
      <c r="O74" s="1" t="s">
        <v>3427</v>
      </c>
      <c r="P74" s="1" t="s">
        <v>3257</v>
      </c>
      <c r="Q74" s="1" t="s">
        <v>3258</v>
      </c>
    </row>
    <row r="75">
      <c r="A75" s="1" t="s">
        <v>3428</v>
      </c>
      <c r="B75" s="1">
        <v>1.0</v>
      </c>
      <c r="C75" s="1">
        <v>40.0</v>
      </c>
      <c r="D75" s="2" t="s">
        <v>2364</v>
      </c>
      <c r="E75" s="1">
        <v>1.0</v>
      </c>
      <c r="F75" s="1">
        <v>3.0</v>
      </c>
      <c r="G75" s="1">
        <v>7.85</v>
      </c>
      <c r="H75" s="1">
        <v>2.0</v>
      </c>
      <c r="I75" s="1">
        <v>0.13</v>
      </c>
      <c r="J75" s="1">
        <v>15.0</v>
      </c>
      <c r="K75" s="1">
        <v>0.05</v>
      </c>
      <c r="L75" s="1">
        <v>3170000.0</v>
      </c>
      <c r="M75" s="1" t="s">
        <v>3429</v>
      </c>
      <c r="N75" s="18">
        <v>46018.0</v>
      </c>
      <c r="O75" s="1" t="s">
        <v>3407</v>
      </c>
      <c r="P75" s="1" t="s">
        <v>3230</v>
      </c>
      <c r="Q75" s="1" t="s">
        <v>3252</v>
      </c>
    </row>
    <row r="76">
      <c r="A76" s="1" t="s">
        <v>3430</v>
      </c>
      <c r="B76" s="1">
        <v>1.0</v>
      </c>
      <c r="C76" s="1">
        <v>110.0</v>
      </c>
      <c r="D76" s="2" t="s">
        <v>3254</v>
      </c>
      <c r="E76" s="1">
        <v>1.0</v>
      </c>
      <c r="F76" s="1">
        <v>3.0</v>
      </c>
      <c r="G76" s="1">
        <v>4.98</v>
      </c>
      <c r="H76" s="1">
        <v>7.0</v>
      </c>
      <c r="I76" s="1">
        <v>0.46</v>
      </c>
      <c r="J76" s="1">
        <v>34.0</v>
      </c>
      <c r="K76" s="1">
        <v>0.16</v>
      </c>
      <c r="L76" s="1">
        <v>1.78E7</v>
      </c>
      <c r="M76" s="1" t="s">
        <v>3431</v>
      </c>
      <c r="N76" s="18">
        <v>46017.0</v>
      </c>
      <c r="O76" s="1" t="s">
        <v>3432</v>
      </c>
      <c r="P76" s="1" t="s">
        <v>3257</v>
      </c>
      <c r="Q76" s="1" t="s">
        <v>3258</v>
      </c>
    </row>
    <row r="77">
      <c r="A77" s="1" t="s">
        <v>3430</v>
      </c>
      <c r="B77" s="1">
        <v>1.0</v>
      </c>
      <c r="C77" s="1">
        <v>110.0</v>
      </c>
      <c r="D77" s="2" t="s">
        <v>3286</v>
      </c>
      <c r="E77" s="1">
        <v>1.0</v>
      </c>
      <c r="F77" s="1">
        <v>3.0</v>
      </c>
      <c r="G77" s="1">
        <v>4.98</v>
      </c>
      <c r="H77" s="1">
        <v>9.0</v>
      </c>
      <c r="I77" s="1">
        <v>0.59</v>
      </c>
      <c r="J77" s="1">
        <v>44.0</v>
      </c>
      <c r="K77" s="1">
        <v>0.16</v>
      </c>
      <c r="L77" s="1">
        <v>1.78E7</v>
      </c>
      <c r="M77" s="1" t="s">
        <v>3431</v>
      </c>
      <c r="N77" s="18">
        <v>46017.0</v>
      </c>
      <c r="O77" s="1" t="s">
        <v>3432</v>
      </c>
      <c r="P77" s="1" t="s">
        <v>3257</v>
      </c>
      <c r="Q77" s="1" t="s">
        <v>3258</v>
      </c>
    </row>
    <row r="78">
      <c r="A78" s="1" t="s">
        <v>3430</v>
      </c>
      <c r="B78" s="1">
        <v>1.0</v>
      </c>
      <c r="C78" s="1">
        <v>110.0</v>
      </c>
      <c r="D78" s="2" t="s">
        <v>581</v>
      </c>
      <c r="E78" s="1">
        <v>1.0</v>
      </c>
      <c r="F78" s="1">
        <v>3.0</v>
      </c>
      <c r="G78" s="1">
        <v>4.98</v>
      </c>
      <c r="H78" s="1">
        <v>27.0</v>
      </c>
      <c r="I78" s="1">
        <v>1.78</v>
      </c>
      <c r="J78" s="1">
        <v>134.0</v>
      </c>
      <c r="K78" s="1">
        <v>0.16</v>
      </c>
      <c r="L78" s="1">
        <v>1.78E7</v>
      </c>
      <c r="M78" s="1" t="s">
        <v>3431</v>
      </c>
      <c r="N78" s="18">
        <v>46017.0</v>
      </c>
      <c r="O78" s="1" t="s">
        <v>3432</v>
      </c>
      <c r="P78" s="1" t="s">
        <v>3257</v>
      </c>
      <c r="Q78" s="1" t="s">
        <v>3408</v>
      </c>
    </row>
    <row r="79">
      <c r="A79" s="1" t="s">
        <v>3433</v>
      </c>
      <c r="B79" s="1">
        <v>1.0</v>
      </c>
      <c r="C79" s="1">
        <v>110.0</v>
      </c>
      <c r="D79" s="2" t="s">
        <v>3254</v>
      </c>
      <c r="E79" s="1">
        <v>1.0</v>
      </c>
      <c r="F79" s="1">
        <v>47.0</v>
      </c>
      <c r="G79" s="1">
        <v>9.29</v>
      </c>
      <c r="H79" s="1">
        <v>9.0</v>
      </c>
      <c r="I79" s="1">
        <v>0.59</v>
      </c>
      <c r="J79" s="1">
        <v>83.0</v>
      </c>
      <c r="K79" s="1">
        <v>0.49</v>
      </c>
      <c r="L79" s="1">
        <v>73700.0</v>
      </c>
      <c r="M79" s="1" t="s">
        <v>3434</v>
      </c>
      <c r="N79" s="18">
        <v>46017.0</v>
      </c>
      <c r="O79" s="1" t="s">
        <v>3435</v>
      </c>
      <c r="P79" s="1" t="s">
        <v>3257</v>
      </c>
      <c r="Q79" s="1" t="s">
        <v>3258</v>
      </c>
    </row>
    <row r="80">
      <c r="A80" s="1" t="s">
        <v>3436</v>
      </c>
      <c r="B80" s="1">
        <v>1.0</v>
      </c>
      <c r="C80" s="1">
        <v>170.0</v>
      </c>
      <c r="D80" s="2" t="s">
        <v>3254</v>
      </c>
      <c r="E80" s="1">
        <v>1.0</v>
      </c>
      <c r="F80" s="1">
        <v>19.0</v>
      </c>
      <c r="G80" s="1">
        <v>13.28</v>
      </c>
      <c r="H80" s="1">
        <v>22.0</v>
      </c>
      <c r="I80" s="1">
        <v>1.45</v>
      </c>
      <c r="J80" s="1">
        <v>292.0</v>
      </c>
      <c r="K80" s="1">
        <v>0.21</v>
      </c>
      <c r="L80" s="1">
        <v>60800.0</v>
      </c>
      <c r="M80" s="1" t="s">
        <v>3437</v>
      </c>
      <c r="N80" s="18">
        <v>46017.0</v>
      </c>
      <c r="O80" s="1" t="s">
        <v>3435</v>
      </c>
      <c r="P80" s="1" t="s">
        <v>3257</v>
      </c>
      <c r="Q80" s="1" t="s">
        <v>3258</v>
      </c>
    </row>
    <row r="81">
      <c r="A81" s="1" t="s">
        <v>3438</v>
      </c>
      <c r="B81" s="1">
        <v>1.0</v>
      </c>
      <c r="C81" s="1">
        <v>70.0</v>
      </c>
      <c r="D81" s="2" t="s">
        <v>3254</v>
      </c>
      <c r="E81" s="1">
        <v>1.0</v>
      </c>
      <c r="F81" s="1">
        <v>37.0</v>
      </c>
      <c r="G81" s="1">
        <v>9.29</v>
      </c>
      <c r="H81" s="1">
        <v>5.0</v>
      </c>
      <c r="I81" s="1">
        <v>0.33</v>
      </c>
      <c r="J81" s="1">
        <v>46.0</v>
      </c>
      <c r="K81" s="1">
        <v>0.49</v>
      </c>
      <c r="L81" s="1">
        <v>75000.0</v>
      </c>
      <c r="M81" s="1" t="s">
        <v>3439</v>
      </c>
      <c r="N81" s="18">
        <v>46017.0</v>
      </c>
      <c r="O81" s="1" t="s">
        <v>3435</v>
      </c>
      <c r="P81" s="1" t="s">
        <v>3257</v>
      </c>
      <c r="Q81" s="1" t="s">
        <v>3258</v>
      </c>
    </row>
    <row r="82">
      <c r="A82" s="1" t="s">
        <v>3440</v>
      </c>
      <c r="B82" s="1">
        <v>1.0</v>
      </c>
      <c r="C82" s="1">
        <v>210.0</v>
      </c>
      <c r="D82" s="2" t="s">
        <v>696</v>
      </c>
      <c r="E82" s="1">
        <v>1.0</v>
      </c>
      <c r="F82" s="1">
        <v>12.0</v>
      </c>
      <c r="G82" s="1">
        <v>0.14</v>
      </c>
      <c r="H82" s="1">
        <v>12.0</v>
      </c>
      <c r="I82" s="1">
        <v>0.79</v>
      </c>
      <c r="J82" s="1">
        <v>1.0</v>
      </c>
      <c r="K82" s="1">
        <v>0.1</v>
      </c>
      <c r="L82" s="1">
        <v>7810000.0</v>
      </c>
      <c r="M82" s="1" t="s">
        <v>3441</v>
      </c>
      <c r="N82" s="18">
        <v>46017.0</v>
      </c>
      <c r="O82" s="1" t="s">
        <v>3442</v>
      </c>
      <c r="P82" s="1" t="s">
        <v>3230</v>
      </c>
      <c r="Q82" s="1" t="s">
        <v>3252</v>
      </c>
    </row>
    <row r="83">
      <c r="A83" s="1" t="s">
        <v>3443</v>
      </c>
      <c r="B83" s="1">
        <v>1.0</v>
      </c>
      <c r="C83" s="1">
        <v>1300.0</v>
      </c>
      <c r="D83" s="2" t="s">
        <v>2364</v>
      </c>
      <c r="E83" s="1">
        <v>1.0</v>
      </c>
      <c r="F83" s="1">
        <v>11.0</v>
      </c>
      <c r="G83" s="1">
        <v>5.52</v>
      </c>
      <c r="H83" s="1">
        <v>9.0</v>
      </c>
      <c r="I83" s="1">
        <v>0.59</v>
      </c>
      <c r="J83" s="1">
        <v>49.0</v>
      </c>
      <c r="K83" s="1">
        <v>0.03</v>
      </c>
      <c r="L83" s="1">
        <v>6820000.0</v>
      </c>
      <c r="M83" s="1" t="s">
        <v>3444</v>
      </c>
      <c r="N83" s="18">
        <v>46016.0</v>
      </c>
      <c r="O83" s="1" t="s">
        <v>3407</v>
      </c>
      <c r="P83" s="1" t="s">
        <v>3230</v>
      </c>
      <c r="Q83" s="1" t="s">
        <v>3252</v>
      </c>
    </row>
    <row r="84">
      <c r="A84" s="1" t="s">
        <v>3445</v>
      </c>
      <c r="B84" s="1">
        <v>1.0</v>
      </c>
      <c r="C84" s="1">
        <v>110.0</v>
      </c>
      <c r="D84" s="2" t="s">
        <v>3254</v>
      </c>
      <c r="E84" s="1">
        <v>1.0</v>
      </c>
      <c r="F84" s="1">
        <v>25.0</v>
      </c>
      <c r="G84" s="1">
        <v>13.28</v>
      </c>
      <c r="H84" s="1">
        <v>9.0</v>
      </c>
      <c r="I84" s="1">
        <v>0.59</v>
      </c>
      <c r="J84" s="1">
        <v>119.0</v>
      </c>
      <c r="K84" s="1">
        <v>0.21</v>
      </c>
      <c r="L84" s="1">
        <v>78800.0</v>
      </c>
      <c r="M84" s="1" t="s">
        <v>3446</v>
      </c>
      <c r="N84" s="18">
        <v>46016.0</v>
      </c>
      <c r="O84" s="1" t="s">
        <v>3415</v>
      </c>
      <c r="P84" s="1" t="s">
        <v>3257</v>
      </c>
      <c r="Q84" s="1" t="s">
        <v>3258</v>
      </c>
    </row>
    <row r="85">
      <c r="A85" s="1" t="s">
        <v>3447</v>
      </c>
      <c r="B85" s="1">
        <v>1.0</v>
      </c>
      <c r="C85" s="1">
        <v>140.0</v>
      </c>
      <c r="D85" s="2" t="s">
        <v>3254</v>
      </c>
      <c r="E85" s="1">
        <v>1.0</v>
      </c>
      <c r="F85" s="1">
        <v>14.0</v>
      </c>
      <c r="G85" s="1">
        <v>13.98</v>
      </c>
      <c r="H85" s="1">
        <v>18.0</v>
      </c>
      <c r="I85" s="1">
        <v>1.18</v>
      </c>
      <c r="J85" s="1">
        <v>251.0</v>
      </c>
      <c r="K85" s="1">
        <v>0.45</v>
      </c>
      <c r="L85" s="1">
        <v>26700.0</v>
      </c>
      <c r="M85" s="1" t="s">
        <v>3448</v>
      </c>
      <c r="N85" s="18">
        <v>46016.0</v>
      </c>
      <c r="O85" s="1" t="s">
        <v>3415</v>
      </c>
      <c r="P85" s="1" t="s">
        <v>3257</v>
      </c>
      <c r="Q85" s="1" t="s">
        <v>3258</v>
      </c>
    </row>
    <row r="86">
      <c r="A86" s="1" t="s">
        <v>3449</v>
      </c>
      <c r="B86" s="1">
        <v>1.0</v>
      </c>
      <c r="C86" s="1">
        <v>110.0</v>
      </c>
      <c r="D86" s="2" t="s">
        <v>2930</v>
      </c>
      <c r="E86" s="1">
        <v>1.0</v>
      </c>
      <c r="F86" s="1">
        <v>44.0</v>
      </c>
      <c r="G86" s="1">
        <v>4.58</v>
      </c>
      <c r="H86" s="1">
        <v>1.0</v>
      </c>
      <c r="I86" s="1">
        <v>0.06</v>
      </c>
      <c r="J86" s="1">
        <v>4.0</v>
      </c>
      <c r="K86" s="1">
        <v>0.45</v>
      </c>
      <c r="L86" s="1">
        <v>5.13E7</v>
      </c>
      <c r="M86" s="1" t="s">
        <v>3450</v>
      </c>
      <c r="N86" s="18">
        <v>46016.0</v>
      </c>
      <c r="O86" s="1" t="s">
        <v>3288</v>
      </c>
      <c r="P86" s="1" t="s">
        <v>3257</v>
      </c>
      <c r="Q86" s="1" t="s">
        <v>3231</v>
      </c>
    </row>
    <row r="87">
      <c r="A87" s="1" t="s">
        <v>3451</v>
      </c>
      <c r="B87" s="1">
        <v>1.0</v>
      </c>
      <c r="C87" s="1">
        <v>90.0</v>
      </c>
      <c r="D87" s="2" t="s">
        <v>3254</v>
      </c>
      <c r="E87" s="1">
        <v>1.0</v>
      </c>
      <c r="F87" s="1">
        <v>14.0</v>
      </c>
      <c r="G87" s="1">
        <v>13.98</v>
      </c>
      <c r="H87" s="1">
        <v>22.0</v>
      </c>
      <c r="I87" s="1">
        <v>1.45</v>
      </c>
      <c r="J87" s="1">
        <v>307.0</v>
      </c>
      <c r="K87" s="1">
        <v>0.45</v>
      </c>
      <c r="L87" s="1">
        <v>19100.0</v>
      </c>
      <c r="M87" s="1" t="s">
        <v>3452</v>
      </c>
      <c r="N87" s="18">
        <v>46015.0</v>
      </c>
      <c r="O87" s="1" t="s">
        <v>3288</v>
      </c>
      <c r="P87" s="1" t="s">
        <v>3257</v>
      </c>
      <c r="Q87" s="1" t="s">
        <v>3258</v>
      </c>
    </row>
    <row r="88">
      <c r="A88" s="1" t="s">
        <v>3453</v>
      </c>
      <c r="B88" s="1">
        <v>1.0</v>
      </c>
      <c r="C88" s="1">
        <v>50.0</v>
      </c>
      <c r="D88" s="2" t="s">
        <v>2930</v>
      </c>
      <c r="E88" s="1">
        <v>1.0</v>
      </c>
      <c r="F88" s="1">
        <v>21.0</v>
      </c>
      <c r="G88" s="1">
        <v>6.31</v>
      </c>
      <c r="H88" s="1">
        <v>0.0</v>
      </c>
      <c r="I88" s="1">
        <v>0.0</v>
      </c>
      <c r="J88" s="1">
        <v>0.0</v>
      </c>
      <c r="K88" s="1">
        <v>0.51</v>
      </c>
      <c r="L88" s="1">
        <v>6300000.0</v>
      </c>
      <c r="M88" s="1" t="s">
        <v>3454</v>
      </c>
      <c r="N88" s="18">
        <v>46015.0</v>
      </c>
      <c r="O88" s="1" t="s">
        <v>3455</v>
      </c>
      <c r="P88" s="1" t="s">
        <v>3257</v>
      </c>
      <c r="Q88" s="1" t="s">
        <v>3231</v>
      </c>
    </row>
    <row r="89">
      <c r="A89" s="1" t="s">
        <v>3456</v>
      </c>
      <c r="B89" s="1">
        <v>1.0</v>
      </c>
      <c r="C89" s="1">
        <v>70.0</v>
      </c>
      <c r="D89" s="2" t="s">
        <v>3254</v>
      </c>
      <c r="E89" s="1">
        <v>1.0</v>
      </c>
      <c r="F89" s="1">
        <v>33.0</v>
      </c>
      <c r="G89" s="1">
        <v>0.0</v>
      </c>
      <c r="H89" s="1">
        <v>9.0</v>
      </c>
      <c r="I89" s="1">
        <v>0.59</v>
      </c>
      <c r="J89" s="1">
        <v>0.0</v>
      </c>
      <c r="K89" s="1">
        <v>0.16</v>
      </c>
      <c r="L89" s="1">
        <v>302000.0</v>
      </c>
      <c r="M89" s="1" t="s">
        <v>3457</v>
      </c>
      <c r="N89" s="18">
        <v>46015.0</v>
      </c>
      <c r="O89" s="1" t="s">
        <v>3458</v>
      </c>
      <c r="P89" s="1" t="s">
        <v>3257</v>
      </c>
      <c r="Q89" s="1" t="s">
        <v>3258</v>
      </c>
    </row>
    <row r="90">
      <c r="A90" s="1" t="s">
        <v>3459</v>
      </c>
      <c r="B90" s="1">
        <v>1.0</v>
      </c>
      <c r="C90" s="1">
        <v>30.0</v>
      </c>
      <c r="D90" s="2" t="s">
        <v>3460</v>
      </c>
      <c r="E90" s="1">
        <v>1.0</v>
      </c>
      <c r="F90" s="1">
        <v>44.0</v>
      </c>
      <c r="G90" s="1">
        <v>2.48</v>
      </c>
      <c r="H90" s="1">
        <v>0.0</v>
      </c>
      <c r="I90" s="1">
        <v>0.0</v>
      </c>
      <c r="J90" s="1">
        <v>0.0</v>
      </c>
      <c r="K90" s="1">
        <v>0.08</v>
      </c>
      <c r="L90" s="1">
        <v>5.64E7</v>
      </c>
      <c r="M90" s="1" t="s">
        <v>3461</v>
      </c>
      <c r="N90" s="18">
        <v>46014.0</v>
      </c>
      <c r="O90" s="1" t="s">
        <v>3435</v>
      </c>
      <c r="P90" s="1" t="s">
        <v>3462</v>
      </c>
      <c r="Q90" s="1" t="s">
        <v>3258</v>
      </c>
    </row>
    <row r="91">
      <c r="A91" s="1" t="s">
        <v>3459</v>
      </c>
      <c r="B91" s="1">
        <v>1.0</v>
      </c>
      <c r="C91" s="1">
        <v>30.0</v>
      </c>
      <c r="D91" s="2" t="s">
        <v>3254</v>
      </c>
      <c r="E91" s="1">
        <v>1.0</v>
      </c>
      <c r="F91" s="1">
        <v>44.0</v>
      </c>
      <c r="G91" s="1">
        <v>2.48</v>
      </c>
      <c r="H91" s="1">
        <v>0.0</v>
      </c>
      <c r="I91" s="1">
        <v>0.0</v>
      </c>
      <c r="J91" s="1">
        <v>0.0</v>
      </c>
      <c r="K91" s="1">
        <v>0.08</v>
      </c>
      <c r="L91" s="1">
        <v>5.64E7</v>
      </c>
      <c r="M91" s="1" t="s">
        <v>3461</v>
      </c>
      <c r="N91" s="18">
        <v>46014.0</v>
      </c>
      <c r="O91" s="1" t="s">
        <v>3435</v>
      </c>
      <c r="P91" s="1" t="s">
        <v>3462</v>
      </c>
      <c r="Q91" s="1" t="s">
        <v>3258</v>
      </c>
    </row>
    <row r="92">
      <c r="A92" s="1" t="s">
        <v>3459</v>
      </c>
      <c r="B92" s="1">
        <v>1.0</v>
      </c>
      <c r="C92" s="1">
        <v>30.0</v>
      </c>
      <c r="D92" s="2" t="s">
        <v>3286</v>
      </c>
      <c r="E92" s="1">
        <v>1.0</v>
      </c>
      <c r="F92" s="1">
        <v>44.0</v>
      </c>
      <c r="G92" s="1">
        <v>2.48</v>
      </c>
      <c r="H92" s="1">
        <v>0.0</v>
      </c>
      <c r="I92" s="1">
        <v>0.0</v>
      </c>
      <c r="J92" s="1">
        <v>0.0</v>
      </c>
      <c r="K92" s="1">
        <v>0.08</v>
      </c>
      <c r="L92" s="1">
        <v>5.64E7</v>
      </c>
      <c r="M92" s="1" t="s">
        <v>3461</v>
      </c>
      <c r="N92" s="18">
        <v>46014.0</v>
      </c>
      <c r="O92" s="1" t="s">
        <v>3435</v>
      </c>
      <c r="P92" s="1" t="s">
        <v>3462</v>
      </c>
      <c r="Q92" s="1" t="s">
        <v>3258</v>
      </c>
    </row>
    <row r="93">
      <c r="A93" s="1" t="s">
        <v>3459</v>
      </c>
      <c r="B93" s="1">
        <v>1.0</v>
      </c>
      <c r="C93" s="1">
        <v>30.0</v>
      </c>
      <c r="D93" s="2" t="s">
        <v>581</v>
      </c>
      <c r="E93" s="1">
        <v>1.0</v>
      </c>
      <c r="F93" s="1">
        <v>44.0</v>
      </c>
      <c r="G93" s="1">
        <v>2.48</v>
      </c>
      <c r="H93" s="1">
        <v>24.0</v>
      </c>
      <c r="I93" s="1">
        <v>1.58</v>
      </c>
      <c r="J93" s="1">
        <v>59.0</v>
      </c>
      <c r="K93" s="1">
        <v>0.08</v>
      </c>
      <c r="L93" s="1">
        <v>5.64E7</v>
      </c>
      <c r="M93" s="1" t="s">
        <v>3461</v>
      </c>
      <c r="N93" s="18">
        <v>46014.0</v>
      </c>
      <c r="O93" s="1" t="s">
        <v>3435</v>
      </c>
      <c r="P93" s="1" t="s">
        <v>3462</v>
      </c>
      <c r="Q93" s="1" t="s">
        <v>3408</v>
      </c>
    </row>
    <row r="94">
      <c r="A94" s="1" t="s">
        <v>3463</v>
      </c>
      <c r="B94" s="1">
        <v>1.0</v>
      </c>
      <c r="C94" s="1">
        <v>590.0</v>
      </c>
      <c r="D94" s="2" t="s">
        <v>696</v>
      </c>
      <c r="E94" s="1">
        <v>1.0</v>
      </c>
      <c r="F94" s="1">
        <v>34.0</v>
      </c>
      <c r="G94" s="1">
        <v>0.35</v>
      </c>
      <c r="H94" s="1">
        <v>20.0</v>
      </c>
      <c r="I94" s="1">
        <v>1.32</v>
      </c>
      <c r="J94" s="1">
        <v>7.0</v>
      </c>
      <c r="K94" s="1">
        <v>0.2</v>
      </c>
      <c r="L94" s="1">
        <v>2360000.0</v>
      </c>
      <c r="M94" s="1" t="s">
        <v>3464</v>
      </c>
      <c r="N94" s="18">
        <v>46014.0</v>
      </c>
      <c r="O94" s="1" t="s">
        <v>3465</v>
      </c>
      <c r="P94" s="1" t="s">
        <v>3230</v>
      </c>
      <c r="Q94" s="1" t="s">
        <v>3252</v>
      </c>
    </row>
    <row r="95">
      <c r="A95" s="1" t="s">
        <v>3466</v>
      </c>
      <c r="B95" s="1">
        <v>1.0</v>
      </c>
      <c r="C95" s="1">
        <v>390.0</v>
      </c>
      <c r="D95" s="2" t="s">
        <v>581</v>
      </c>
      <c r="E95" s="1">
        <v>1.0</v>
      </c>
      <c r="F95" s="1">
        <v>31.0</v>
      </c>
      <c r="G95" s="1">
        <v>2.48</v>
      </c>
      <c r="H95" s="1">
        <v>5.0</v>
      </c>
      <c r="I95" s="1">
        <v>0.33</v>
      </c>
      <c r="J95" s="1">
        <v>12.0</v>
      </c>
      <c r="K95" s="1">
        <v>0.08</v>
      </c>
      <c r="L95" s="1">
        <v>1.07E9</v>
      </c>
      <c r="M95" s="1" t="s">
        <v>3467</v>
      </c>
      <c r="N95" s="18">
        <v>46014.0</v>
      </c>
      <c r="O95" s="1" t="s">
        <v>3468</v>
      </c>
      <c r="P95" s="1" t="s">
        <v>3462</v>
      </c>
      <c r="Q95" s="1" t="s">
        <v>3408</v>
      </c>
    </row>
    <row r="96">
      <c r="A96" s="1" t="s">
        <v>3466</v>
      </c>
      <c r="B96" s="1">
        <v>1.0</v>
      </c>
      <c r="C96" s="1">
        <v>390.0</v>
      </c>
      <c r="D96" s="2" t="s">
        <v>3460</v>
      </c>
      <c r="E96" s="1">
        <v>1.0</v>
      </c>
      <c r="F96" s="1">
        <v>31.0</v>
      </c>
      <c r="G96" s="1">
        <v>2.48</v>
      </c>
      <c r="H96" s="1">
        <v>7.0</v>
      </c>
      <c r="I96" s="1">
        <v>0.46</v>
      </c>
      <c r="J96" s="1">
        <v>17.0</v>
      </c>
      <c r="K96" s="1">
        <v>0.08</v>
      </c>
      <c r="L96" s="1">
        <v>1.07E9</v>
      </c>
      <c r="M96" s="1" t="s">
        <v>3467</v>
      </c>
      <c r="N96" s="18">
        <v>46014.0</v>
      </c>
      <c r="O96" s="1" t="s">
        <v>3468</v>
      </c>
      <c r="P96" s="1" t="s">
        <v>3462</v>
      </c>
      <c r="Q96" s="1" t="s">
        <v>3258</v>
      </c>
    </row>
    <row r="97">
      <c r="A97" s="1" t="s">
        <v>3466</v>
      </c>
      <c r="B97" s="1">
        <v>1.0</v>
      </c>
      <c r="C97" s="1">
        <v>390.0</v>
      </c>
      <c r="D97" s="2" t="s">
        <v>3286</v>
      </c>
      <c r="E97" s="1">
        <v>1.0</v>
      </c>
      <c r="F97" s="1">
        <v>31.0</v>
      </c>
      <c r="G97" s="1">
        <v>2.48</v>
      </c>
      <c r="H97" s="1">
        <v>10.0</v>
      </c>
      <c r="I97" s="1">
        <v>0.66</v>
      </c>
      <c r="J97" s="1">
        <v>24.0</v>
      </c>
      <c r="K97" s="1">
        <v>0.08</v>
      </c>
      <c r="L97" s="1">
        <v>1.07E9</v>
      </c>
      <c r="M97" s="1" t="s">
        <v>3467</v>
      </c>
      <c r="N97" s="18">
        <v>46014.0</v>
      </c>
      <c r="O97" s="1" t="s">
        <v>3468</v>
      </c>
      <c r="P97" s="1" t="s">
        <v>3462</v>
      </c>
      <c r="Q97" s="1" t="s">
        <v>3258</v>
      </c>
    </row>
    <row r="98">
      <c r="A98" s="1" t="s">
        <v>3466</v>
      </c>
      <c r="B98" s="1">
        <v>1.0</v>
      </c>
      <c r="C98" s="1">
        <v>390.0</v>
      </c>
      <c r="D98" s="2" t="s">
        <v>3254</v>
      </c>
      <c r="E98" s="1">
        <v>1.0</v>
      </c>
      <c r="F98" s="1">
        <v>31.0</v>
      </c>
      <c r="G98" s="1">
        <v>2.48</v>
      </c>
      <c r="H98" s="1">
        <v>312.0</v>
      </c>
      <c r="I98" s="1">
        <v>20.6</v>
      </c>
      <c r="J98" s="1">
        <v>773.0</v>
      </c>
      <c r="K98" s="1">
        <v>0.08</v>
      </c>
      <c r="L98" s="1">
        <v>1.07E9</v>
      </c>
      <c r="M98" s="1" t="s">
        <v>3467</v>
      </c>
      <c r="N98" s="18">
        <v>46014.0</v>
      </c>
      <c r="O98" s="1" t="s">
        <v>3468</v>
      </c>
      <c r="P98" s="1" t="s">
        <v>3462</v>
      </c>
      <c r="Q98" s="1" t="s">
        <v>3258</v>
      </c>
    </row>
    <row r="99">
      <c r="A99" s="1" t="s">
        <v>3469</v>
      </c>
      <c r="B99" s="1">
        <v>1.0</v>
      </c>
      <c r="C99" s="1">
        <v>320.0</v>
      </c>
      <c r="D99" s="2" t="s">
        <v>2930</v>
      </c>
      <c r="E99" s="1">
        <v>1.0</v>
      </c>
      <c r="F99" s="1">
        <v>62.0</v>
      </c>
      <c r="G99" s="1">
        <v>4.33</v>
      </c>
      <c r="H99" s="1">
        <v>1.0</v>
      </c>
      <c r="I99" s="1">
        <v>0.06</v>
      </c>
      <c r="J99" s="1">
        <v>4.0</v>
      </c>
      <c r="K99" s="1">
        <v>0.48</v>
      </c>
      <c r="L99" s="1">
        <v>2.81E7</v>
      </c>
      <c r="M99" s="1" t="s">
        <v>3470</v>
      </c>
      <c r="N99" s="18">
        <v>46013.0</v>
      </c>
      <c r="O99" s="1" t="s">
        <v>3471</v>
      </c>
      <c r="P99" s="1" t="s">
        <v>3230</v>
      </c>
      <c r="Q99" s="1" t="s">
        <v>3231</v>
      </c>
    </row>
    <row r="100">
      <c r="A100" s="1" t="s">
        <v>3472</v>
      </c>
      <c r="B100" s="1">
        <v>1.0</v>
      </c>
      <c r="C100" s="1">
        <v>70.0</v>
      </c>
      <c r="D100" s="2" t="s">
        <v>3254</v>
      </c>
      <c r="E100" s="1">
        <v>1.0</v>
      </c>
      <c r="F100" s="1">
        <v>34.0</v>
      </c>
      <c r="G100" s="1">
        <v>0.0</v>
      </c>
      <c r="H100" s="1">
        <v>9.0</v>
      </c>
      <c r="I100" s="1">
        <v>0.59</v>
      </c>
      <c r="J100" s="1">
        <v>0.0</v>
      </c>
      <c r="K100" s="1">
        <v>0.01</v>
      </c>
      <c r="L100" s="1">
        <v>90600.0</v>
      </c>
      <c r="M100" s="1" t="s">
        <v>3473</v>
      </c>
      <c r="N100" s="18">
        <v>46012.0</v>
      </c>
      <c r="O100" s="1" t="s">
        <v>3432</v>
      </c>
      <c r="P100" s="1" t="s">
        <v>3257</v>
      </c>
      <c r="Q100" s="1" t="s">
        <v>3258</v>
      </c>
    </row>
    <row r="101">
      <c r="A101" s="1" t="s">
        <v>3474</v>
      </c>
      <c r="B101" s="1">
        <v>1.0</v>
      </c>
      <c r="C101" s="1">
        <v>70.0</v>
      </c>
      <c r="D101" s="2" t="s">
        <v>2930</v>
      </c>
      <c r="E101" s="1">
        <v>1.0</v>
      </c>
      <c r="F101" s="1">
        <v>23.0</v>
      </c>
      <c r="G101" s="1">
        <v>5.83</v>
      </c>
      <c r="H101" s="1">
        <v>4.0</v>
      </c>
      <c r="I101" s="1">
        <v>0.26</v>
      </c>
      <c r="J101" s="1">
        <v>23.0</v>
      </c>
      <c r="K101" s="1">
        <v>0.11</v>
      </c>
      <c r="L101" s="1">
        <v>2.68E8</v>
      </c>
      <c r="M101" s="1" t="s">
        <v>3475</v>
      </c>
      <c r="N101" s="18">
        <v>46011.0</v>
      </c>
      <c r="O101" s="1" t="s">
        <v>3476</v>
      </c>
      <c r="P101" s="1" t="s">
        <v>3230</v>
      </c>
      <c r="Q101" s="1" t="s">
        <v>3252</v>
      </c>
    </row>
    <row r="102">
      <c r="A102" s="1" t="s">
        <v>3477</v>
      </c>
      <c r="B102" s="1">
        <v>1.0</v>
      </c>
      <c r="C102" s="1">
        <v>110.0</v>
      </c>
      <c r="D102" s="2" t="s">
        <v>2364</v>
      </c>
      <c r="E102" s="1">
        <v>1.0</v>
      </c>
      <c r="F102" s="1">
        <v>5.0</v>
      </c>
      <c r="G102" s="1">
        <v>0.0</v>
      </c>
      <c r="H102" s="1">
        <v>0.0</v>
      </c>
      <c r="I102" s="1">
        <v>0.0</v>
      </c>
      <c r="J102" s="1">
        <v>0.0</v>
      </c>
      <c r="K102" s="1">
        <v>0.01</v>
      </c>
      <c r="L102" s="1">
        <v>7020000.0</v>
      </c>
      <c r="M102" s="1" t="s">
        <v>3478</v>
      </c>
      <c r="N102" s="18">
        <v>46008.0</v>
      </c>
      <c r="O102" s="1" t="s">
        <v>3479</v>
      </c>
      <c r="P102" s="1" t="s">
        <v>3230</v>
      </c>
      <c r="Q102" s="1" t="s">
        <v>3252</v>
      </c>
    </row>
    <row r="103">
      <c r="A103" s="1" t="s">
        <v>3477</v>
      </c>
      <c r="B103" s="1">
        <v>1.0</v>
      </c>
      <c r="C103" s="1">
        <v>110.0</v>
      </c>
      <c r="D103" s="2" t="s">
        <v>2364</v>
      </c>
      <c r="E103" s="1">
        <v>1.0</v>
      </c>
      <c r="F103" s="1">
        <v>5.0</v>
      </c>
      <c r="G103" s="1">
        <v>0.0</v>
      </c>
      <c r="H103" s="1">
        <v>6.0</v>
      </c>
      <c r="I103" s="1">
        <v>0.39</v>
      </c>
      <c r="J103" s="1">
        <v>0.0</v>
      </c>
      <c r="K103" s="1">
        <v>0.01</v>
      </c>
      <c r="L103" s="1">
        <v>7020000.0</v>
      </c>
      <c r="M103" s="1" t="s">
        <v>3478</v>
      </c>
      <c r="N103" s="18">
        <v>46008.0</v>
      </c>
      <c r="O103" s="1" t="s">
        <v>3479</v>
      </c>
      <c r="P103" s="1" t="s">
        <v>3230</v>
      </c>
      <c r="Q103" s="1" t="s">
        <v>3252</v>
      </c>
    </row>
    <row r="104">
      <c r="A104" s="1" t="s">
        <v>3480</v>
      </c>
      <c r="B104" s="1">
        <v>1.0</v>
      </c>
      <c r="C104" s="1">
        <v>50.0</v>
      </c>
      <c r="D104" s="2" t="s">
        <v>3254</v>
      </c>
      <c r="E104" s="1">
        <v>1.0</v>
      </c>
      <c r="F104" s="1">
        <v>23.0</v>
      </c>
      <c r="G104" s="1">
        <v>7.8</v>
      </c>
      <c r="H104" s="1">
        <v>4.0</v>
      </c>
      <c r="I104" s="1">
        <v>0.26</v>
      </c>
      <c r="J104" s="1">
        <v>31.0</v>
      </c>
      <c r="K104" s="1">
        <v>0.52</v>
      </c>
      <c r="L104" s="1">
        <v>61800.0</v>
      </c>
      <c r="M104" s="1" t="s">
        <v>3481</v>
      </c>
      <c r="N104" s="18">
        <v>46008.0</v>
      </c>
      <c r="O104" s="1" t="s">
        <v>3482</v>
      </c>
      <c r="P104" s="1" t="s">
        <v>3257</v>
      </c>
      <c r="Q104" s="1" t="s">
        <v>3258</v>
      </c>
    </row>
    <row r="105">
      <c r="A105" s="1" t="s">
        <v>3483</v>
      </c>
      <c r="B105" s="1">
        <v>1.0</v>
      </c>
      <c r="C105" s="1">
        <v>50.0</v>
      </c>
      <c r="D105" s="2" t="s">
        <v>724</v>
      </c>
      <c r="E105" s="1">
        <v>1.0</v>
      </c>
      <c r="F105" s="1">
        <v>0.0</v>
      </c>
      <c r="G105" s="1">
        <v>0.0</v>
      </c>
      <c r="H105" s="1">
        <v>0.0</v>
      </c>
      <c r="I105" s="1">
        <v>0.0</v>
      </c>
      <c r="J105" s="1">
        <v>0.0</v>
      </c>
      <c r="K105" s="1">
        <v>0.0</v>
      </c>
      <c r="L105" s="1">
        <v>2.35E7</v>
      </c>
      <c r="M105" s="1" t="s">
        <v>3484</v>
      </c>
      <c r="N105" s="18">
        <v>46005.0</v>
      </c>
      <c r="O105" s="1" t="s">
        <v>3407</v>
      </c>
      <c r="P105" s="1" t="s">
        <v>3230</v>
      </c>
      <c r="Q105" s="1" t="s">
        <v>3252</v>
      </c>
    </row>
    <row r="106">
      <c r="A106" s="1" t="s">
        <v>3483</v>
      </c>
      <c r="B106" s="1">
        <v>1.0</v>
      </c>
      <c r="C106" s="1">
        <v>50.0</v>
      </c>
      <c r="D106" s="2" t="s">
        <v>724</v>
      </c>
      <c r="E106" s="1">
        <v>1.0</v>
      </c>
      <c r="F106" s="1">
        <v>0.0</v>
      </c>
      <c r="G106" s="1">
        <v>0.0</v>
      </c>
      <c r="H106" s="1">
        <v>0.0</v>
      </c>
      <c r="I106" s="1">
        <v>0.0</v>
      </c>
      <c r="J106" s="1">
        <v>0.0</v>
      </c>
      <c r="K106" s="1">
        <v>0.0</v>
      </c>
      <c r="L106" s="1">
        <v>2.35E7</v>
      </c>
      <c r="M106" s="1" t="s">
        <v>3484</v>
      </c>
      <c r="N106" s="18">
        <v>46005.0</v>
      </c>
      <c r="O106" s="1" t="s">
        <v>3407</v>
      </c>
      <c r="P106" s="1" t="s">
        <v>3230</v>
      </c>
      <c r="Q106" s="1" t="s">
        <v>3252</v>
      </c>
    </row>
    <row r="107">
      <c r="A107" s="1" t="s">
        <v>3485</v>
      </c>
      <c r="B107" s="1">
        <v>1.0</v>
      </c>
      <c r="C107" s="1">
        <v>140.0</v>
      </c>
      <c r="D107" s="2" t="s">
        <v>3460</v>
      </c>
      <c r="E107" s="1">
        <v>1.0</v>
      </c>
      <c r="F107" s="1">
        <v>4.0</v>
      </c>
      <c r="G107" s="1">
        <v>3.93</v>
      </c>
      <c r="H107" s="1">
        <v>9.0</v>
      </c>
      <c r="I107" s="1">
        <v>0.59</v>
      </c>
      <c r="J107" s="1">
        <v>35.0</v>
      </c>
      <c r="K107" s="1">
        <v>0.13</v>
      </c>
      <c r="L107" s="1">
        <v>7.71E7</v>
      </c>
      <c r="M107" s="1" t="s">
        <v>3486</v>
      </c>
      <c r="N107" s="18">
        <v>46004.0</v>
      </c>
      <c r="O107" s="1" t="s">
        <v>3487</v>
      </c>
      <c r="P107" s="1" t="s">
        <v>3257</v>
      </c>
      <c r="Q107" s="1" t="s">
        <v>3258</v>
      </c>
    </row>
    <row r="108">
      <c r="A108" s="1" t="s">
        <v>3485</v>
      </c>
      <c r="B108" s="1">
        <v>1.0</v>
      </c>
      <c r="C108" s="1">
        <v>140.0</v>
      </c>
      <c r="D108" s="2" t="s">
        <v>3286</v>
      </c>
      <c r="E108" s="1">
        <v>1.0</v>
      </c>
      <c r="F108" s="1">
        <v>4.0</v>
      </c>
      <c r="G108" s="1">
        <v>3.93</v>
      </c>
      <c r="H108" s="1">
        <v>11.0</v>
      </c>
      <c r="I108" s="1">
        <v>0.72</v>
      </c>
      <c r="J108" s="1">
        <v>43.0</v>
      </c>
      <c r="K108" s="1">
        <v>0.13</v>
      </c>
      <c r="L108" s="1">
        <v>7.71E7</v>
      </c>
      <c r="M108" s="1" t="s">
        <v>3486</v>
      </c>
      <c r="N108" s="18">
        <v>46004.0</v>
      </c>
      <c r="O108" s="1" t="s">
        <v>3487</v>
      </c>
      <c r="P108" s="1" t="s">
        <v>3257</v>
      </c>
      <c r="Q108" s="1" t="s">
        <v>3258</v>
      </c>
    </row>
    <row r="109">
      <c r="A109" s="1" t="s">
        <v>3485</v>
      </c>
      <c r="B109" s="1">
        <v>1.0</v>
      </c>
      <c r="C109" s="1">
        <v>140.0</v>
      </c>
      <c r="D109" s="2" t="s">
        <v>3254</v>
      </c>
      <c r="E109" s="1">
        <v>1.0</v>
      </c>
      <c r="F109" s="1">
        <v>4.0</v>
      </c>
      <c r="G109" s="1">
        <v>3.93</v>
      </c>
      <c r="H109" s="1">
        <v>18.0</v>
      </c>
      <c r="I109" s="1">
        <v>1.18</v>
      </c>
      <c r="J109" s="1">
        <v>70.0</v>
      </c>
      <c r="K109" s="1">
        <v>0.13</v>
      </c>
      <c r="L109" s="1">
        <v>7.71E7</v>
      </c>
      <c r="M109" s="1" t="s">
        <v>3486</v>
      </c>
      <c r="N109" s="18">
        <v>46004.0</v>
      </c>
      <c r="O109" s="1" t="s">
        <v>3487</v>
      </c>
      <c r="P109" s="1" t="s">
        <v>3257</v>
      </c>
      <c r="Q109" s="1" t="s">
        <v>3258</v>
      </c>
    </row>
    <row r="110">
      <c r="A110" s="1" t="s">
        <v>3485</v>
      </c>
      <c r="B110" s="1">
        <v>1.0</v>
      </c>
      <c r="C110" s="1">
        <v>140.0</v>
      </c>
      <c r="D110" s="2" t="s">
        <v>581</v>
      </c>
      <c r="E110" s="1">
        <v>1.0</v>
      </c>
      <c r="F110" s="1">
        <v>4.0</v>
      </c>
      <c r="G110" s="1">
        <v>3.93</v>
      </c>
      <c r="H110" s="1">
        <v>34.0</v>
      </c>
      <c r="I110" s="1">
        <v>2.24</v>
      </c>
      <c r="J110" s="1">
        <v>133.0</v>
      </c>
      <c r="K110" s="1">
        <v>0.13</v>
      </c>
      <c r="L110" s="1">
        <v>7.71E7</v>
      </c>
      <c r="M110" s="1" t="s">
        <v>3486</v>
      </c>
      <c r="N110" s="18">
        <v>46004.0</v>
      </c>
      <c r="O110" s="1" t="s">
        <v>3487</v>
      </c>
      <c r="P110" s="1" t="s">
        <v>3257</v>
      </c>
      <c r="Q110" s="1" t="s">
        <v>3408</v>
      </c>
    </row>
    <row r="111">
      <c r="A111" s="1" t="s">
        <v>3488</v>
      </c>
      <c r="B111" s="1">
        <v>1.0</v>
      </c>
      <c r="C111" s="1">
        <v>880.0</v>
      </c>
      <c r="D111" s="2" t="s">
        <v>696</v>
      </c>
      <c r="E111" s="1">
        <v>1.0</v>
      </c>
      <c r="F111" s="1">
        <v>31.0</v>
      </c>
      <c r="G111" s="1">
        <v>2.83</v>
      </c>
      <c r="H111" s="1">
        <v>30.0</v>
      </c>
      <c r="I111" s="1">
        <v>1.98</v>
      </c>
      <c r="J111" s="1">
        <v>84.0</v>
      </c>
      <c r="K111" s="1">
        <v>0.18</v>
      </c>
      <c r="L111" s="1">
        <v>3920000.0</v>
      </c>
      <c r="M111" s="1" t="s">
        <v>3489</v>
      </c>
      <c r="N111" s="18">
        <v>46004.0</v>
      </c>
      <c r="O111" s="1" t="s">
        <v>3490</v>
      </c>
      <c r="P111" s="1" t="s">
        <v>3230</v>
      </c>
      <c r="Q111" s="1" t="s">
        <v>3252</v>
      </c>
    </row>
    <row r="112">
      <c r="A112" s="1" t="s">
        <v>3491</v>
      </c>
      <c r="B112" s="1">
        <v>1.0</v>
      </c>
      <c r="C112" s="1">
        <v>50.0</v>
      </c>
      <c r="D112" s="2" t="s">
        <v>2930</v>
      </c>
      <c r="E112" s="1">
        <v>1.0</v>
      </c>
      <c r="F112" s="1">
        <v>15.0</v>
      </c>
      <c r="G112" s="1">
        <v>5.83</v>
      </c>
      <c r="H112" s="1">
        <v>0.0</v>
      </c>
      <c r="I112" s="1">
        <v>0.0</v>
      </c>
      <c r="J112" s="1">
        <v>0.0</v>
      </c>
      <c r="K112" s="1">
        <v>0.11</v>
      </c>
      <c r="L112" s="1">
        <v>3.93E8</v>
      </c>
      <c r="M112" s="1" t="s">
        <v>3492</v>
      </c>
      <c r="N112" s="18">
        <v>46004.0</v>
      </c>
      <c r="O112" s="1" t="s">
        <v>3493</v>
      </c>
      <c r="P112" s="1" t="s">
        <v>3230</v>
      </c>
      <c r="Q112" s="1" t="s">
        <v>3252</v>
      </c>
    </row>
    <row r="113">
      <c r="A113" s="1" t="s">
        <v>3494</v>
      </c>
      <c r="B113" s="1">
        <v>1.0</v>
      </c>
      <c r="C113" s="1">
        <v>110.0</v>
      </c>
      <c r="D113" s="2" t="s">
        <v>694</v>
      </c>
      <c r="E113" s="1">
        <v>1.0</v>
      </c>
      <c r="F113" s="1">
        <v>20.0</v>
      </c>
      <c r="G113" s="1">
        <v>0.16</v>
      </c>
      <c r="H113" s="1">
        <v>0.0</v>
      </c>
      <c r="I113" s="1">
        <v>0.0</v>
      </c>
      <c r="J113" s="1">
        <v>0.0</v>
      </c>
      <c r="K113" s="1">
        <v>0.28</v>
      </c>
      <c r="L113" s="1">
        <v>6070000.0</v>
      </c>
      <c r="M113" s="1" t="s">
        <v>3495</v>
      </c>
      <c r="N113" s="18">
        <v>46002.0</v>
      </c>
      <c r="O113" s="1" t="s">
        <v>3496</v>
      </c>
      <c r="P113" s="1" t="s">
        <v>3230</v>
      </c>
      <c r="Q113" s="1" t="s">
        <v>3252</v>
      </c>
    </row>
    <row r="114">
      <c r="A114" s="1" t="s">
        <v>3497</v>
      </c>
      <c r="B114" s="1">
        <v>1.0</v>
      </c>
      <c r="C114" s="1">
        <v>50.0</v>
      </c>
      <c r="D114" s="2" t="s">
        <v>856</v>
      </c>
      <c r="E114" s="1">
        <v>1.0</v>
      </c>
      <c r="F114" s="1">
        <v>33.0</v>
      </c>
      <c r="G114" s="1">
        <v>0.27</v>
      </c>
      <c r="H114" s="1">
        <v>1.0</v>
      </c>
      <c r="I114" s="1">
        <v>0.06</v>
      </c>
      <c r="J114" s="1">
        <v>0.0</v>
      </c>
      <c r="K114" s="1">
        <v>0.23</v>
      </c>
      <c r="L114" s="1">
        <v>1.16E8</v>
      </c>
      <c r="M114" s="1" t="s">
        <v>3498</v>
      </c>
      <c r="N114" s="18">
        <v>46002.0</v>
      </c>
      <c r="O114" s="1" t="s">
        <v>3499</v>
      </c>
      <c r="P114" s="1" t="s">
        <v>3230</v>
      </c>
      <c r="Q114" s="1" t="s">
        <v>3252</v>
      </c>
    </row>
    <row r="115">
      <c r="A115" s="1" t="s">
        <v>3500</v>
      </c>
      <c r="B115" s="1">
        <v>1.0</v>
      </c>
      <c r="C115" s="1">
        <v>260.0</v>
      </c>
      <c r="D115" s="2" t="s">
        <v>3460</v>
      </c>
      <c r="E115" s="1">
        <v>1.0</v>
      </c>
      <c r="F115" s="1">
        <v>32.0</v>
      </c>
      <c r="G115" s="1">
        <v>4.98</v>
      </c>
      <c r="H115" s="1">
        <v>3.0</v>
      </c>
      <c r="I115" s="1">
        <v>0.19</v>
      </c>
      <c r="J115" s="1">
        <v>14.0</v>
      </c>
      <c r="K115" s="1">
        <v>0.06</v>
      </c>
      <c r="L115" s="1">
        <v>6.43E7</v>
      </c>
      <c r="M115" s="1" t="s">
        <v>3501</v>
      </c>
      <c r="N115" s="18">
        <v>45999.0</v>
      </c>
      <c r="O115" s="1" t="s">
        <v>3404</v>
      </c>
      <c r="P115" s="1" t="s">
        <v>3462</v>
      </c>
      <c r="Q115" s="1" t="s">
        <v>3258</v>
      </c>
    </row>
    <row r="116">
      <c r="A116" s="1" t="s">
        <v>3500</v>
      </c>
      <c r="B116" s="1">
        <v>1.0</v>
      </c>
      <c r="C116" s="1">
        <v>260.0</v>
      </c>
      <c r="D116" s="2" t="s">
        <v>3286</v>
      </c>
      <c r="E116" s="1">
        <v>1.0</v>
      </c>
      <c r="F116" s="1">
        <v>32.0</v>
      </c>
      <c r="G116" s="1">
        <v>4.98</v>
      </c>
      <c r="H116" s="1">
        <v>4.0</v>
      </c>
      <c r="I116" s="1">
        <v>0.26</v>
      </c>
      <c r="J116" s="1">
        <v>19.0</v>
      </c>
      <c r="K116" s="1">
        <v>0.06</v>
      </c>
      <c r="L116" s="1">
        <v>6.43E7</v>
      </c>
      <c r="M116" s="1" t="s">
        <v>3501</v>
      </c>
      <c r="N116" s="18">
        <v>45999.0</v>
      </c>
      <c r="O116" s="1" t="s">
        <v>3404</v>
      </c>
      <c r="P116" s="1" t="s">
        <v>3462</v>
      </c>
      <c r="Q116" s="1" t="s">
        <v>3258</v>
      </c>
    </row>
    <row r="117">
      <c r="A117" s="1" t="s">
        <v>3500</v>
      </c>
      <c r="B117" s="1">
        <v>1.0</v>
      </c>
      <c r="C117" s="1">
        <v>260.0</v>
      </c>
      <c r="D117" s="2" t="s">
        <v>3254</v>
      </c>
      <c r="E117" s="1">
        <v>1.0</v>
      </c>
      <c r="F117" s="1">
        <v>32.0</v>
      </c>
      <c r="G117" s="1">
        <v>4.98</v>
      </c>
      <c r="H117" s="1">
        <v>6.0</v>
      </c>
      <c r="I117" s="1">
        <v>0.39</v>
      </c>
      <c r="J117" s="1">
        <v>29.0</v>
      </c>
      <c r="K117" s="1">
        <v>0.06</v>
      </c>
      <c r="L117" s="1">
        <v>6.43E7</v>
      </c>
      <c r="M117" s="1" t="s">
        <v>3501</v>
      </c>
      <c r="N117" s="18">
        <v>45999.0</v>
      </c>
      <c r="O117" s="1" t="s">
        <v>3404</v>
      </c>
      <c r="P117" s="1" t="s">
        <v>3462</v>
      </c>
      <c r="Q117" s="1" t="s">
        <v>3258</v>
      </c>
    </row>
    <row r="118">
      <c r="A118" s="1" t="s">
        <v>3500</v>
      </c>
      <c r="B118" s="1">
        <v>1.0</v>
      </c>
      <c r="C118" s="1">
        <v>260.0</v>
      </c>
      <c r="D118" s="2" t="s">
        <v>581</v>
      </c>
      <c r="E118" s="1">
        <v>1.0</v>
      </c>
      <c r="F118" s="1">
        <v>32.0</v>
      </c>
      <c r="G118" s="1">
        <v>4.98</v>
      </c>
      <c r="H118" s="1">
        <v>208.0</v>
      </c>
      <c r="I118" s="1">
        <v>13.73</v>
      </c>
      <c r="J118" s="1">
        <v>1035.0</v>
      </c>
      <c r="K118" s="1">
        <v>0.06</v>
      </c>
      <c r="L118" s="1">
        <v>6.43E7</v>
      </c>
      <c r="M118" s="1" t="s">
        <v>3501</v>
      </c>
      <c r="N118" s="18">
        <v>45999.0</v>
      </c>
      <c r="O118" s="1" t="s">
        <v>3404</v>
      </c>
      <c r="P118" s="1" t="s">
        <v>3462</v>
      </c>
      <c r="Q118" s="1" t="s">
        <v>3408</v>
      </c>
    </row>
    <row r="119">
      <c r="A119" s="1" t="s">
        <v>3502</v>
      </c>
      <c r="B119" s="1">
        <v>1.0</v>
      </c>
      <c r="C119" s="1">
        <v>70.0</v>
      </c>
      <c r="D119" s="2" t="s">
        <v>774</v>
      </c>
      <c r="E119" s="1">
        <v>1.0</v>
      </c>
      <c r="F119" s="1">
        <v>23.0</v>
      </c>
      <c r="G119" s="1">
        <v>3.2</v>
      </c>
      <c r="H119" s="1">
        <v>0.0</v>
      </c>
      <c r="I119" s="1">
        <v>0.0</v>
      </c>
      <c r="J119" s="1">
        <v>0.0</v>
      </c>
      <c r="K119" s="1">
        <v>0.04</v>
      </c>
      <c r="L119" s="1">
        <v>1.24E7</v>
      </c>
      <c r="M119" s="1" t="s">
        <v>3503</v>
      </c>
      <c r="N119" s="18">
        <v>45997.0</v>
      </c>
      <c r="O119" s="1" t="s">
        <v>3407</v>
      </c>
      <c r="P119" s="1" t="s">
        <v>3230</v>
      </c>
      <c r="Q119" s="1" t="s">
        <v>3252</v>
      </c>
    </row>
    <row r="120">
      <c r="A120" s="1" t="s">
        <v>3504</v>
      </c>
      <c r="B120" s="1">
        <v>1.0</v>
      </c>
      <c r="C120" s="1">
        <v>210.0</v>
      </c>
      <c r="D120" s="2" t="s">
        <v>3460</v>
      </c>
      <c r="E120" s="1">
        <v>1.0</v>
      </c>
      <c r="F120" s="1">
        <v>37.0</v>
      </c>
      <c r="G120" s="1">
        <v>4.98</v>
      </c>
      <c r="H120" s="1">
        <v>2.0</v>
      </c>
      <c r="I120" s="1">
        <v>0.13</v>
      </c>
      <c r="J120" s="1">
        <v>9.0</v>
      </c>
      <c r="K120" s="1">
        <v>0.06</v>
      </c>
      <c r="L120" s="1">
        <v>5.38E7</v>
      </c>
      <c r="M120" s="1" t="s">
        <v>3505</v>
      </c>
      <c r="N120" s="18">
        <v>45997.0</v>
      </c>
      <c r="O120" s="1" t="s">
        <v>3435</v>
      </c>
      <c r="P120" s="1" t="s">
        <v>3294</v>
      </c>
      <c r="Q120" s="1" t="s">
        <v>3258</v>
      </c>
    </row>
    <row r="121">
      <c r="A121" s="1" t="s">
        <v>3504</v>
      </c>
      <c r="B121" s="1">
        <v>1.0</v>
      </c>
      <c r="C121" s="1">
        <v>210.0</v>
      </c>
      <c r="D121" s="2" t="s">
        <v>3254</v>
      </c>
      <c r="E121" s="1">
        <v>1.0</v>
      </c>
      <c r="F121" s="1">
        <v>37.0</v>
      </c>
      <c r="G121" s="1">
        <v>4.98</v>
      </c>
      <c r="H121" s="1">
        <v>3.0</v>
      </c>
      <c r="I121" s="1">
        <v>0.19</v>
      </c>
      <c r="J121" s="1">
        <v>14.0</v>
      </c>
      <c r="K121" s="1">
        <v>0.06</v>
      </c>
      <c r="L121" s="1">
        <v>5.38E7</v>
      </c>
      <c r="M121" s="1" t="s">
        <v>3505</v>
      </c>
      <c r="N121" s="18">
        <v>45997.0</v>
      </c>
      <c r="O121" s="1" t="s">
        <v>3435</v>
      </c>
      <c r="P121" s="1" t="s">
        <v>3294</v>
      </c>
      <c r="Q121" s="1" t="s">
        <v>3258</v>
      </c>
    </row>
    <row r="122">
      <c r="A122" s="1" t="s">
        <v>3504</v>
      </c>
      <c r="B122" s="1">
        <v>1.0</v>
      </c>
      <c r="C122" s="1">
        <v>210.0</v>
      </c>
      <c r="D122" s="2" t="s">
        <v>3286</v>
      </c>
      <c r="E122" s="1">
        <v>1.0</v>
      </c>
      <c r="F122" s="1">
        <v>37.0</v>
      </c>
      <c r="G122" s="1">
        <v>4.98</v>
      </c>
      <c r="H122" s="1">
        <v>5.0</v>
      </c>
      <c r="I122" s="1">
        <v>0.33</v>
      </c>
      <c r="J122" s="1">
        <v>24.0</v>
      </c>
      <c r="K122" s="1">
        <v>0.06</v>
      </c>
      <c r="L122" s="1">
        <v>5.38E7</v>
      </c>
      <c r="M122" s="1" t="s">
        <v>3505</v>
      </c>
      <c r="N122" s="18">
        <v>45997.0</v>
      </c>
      <c r="O122" s="1" t="s">
        <v>3435</v>
      </c>
      <c r="P122" s="1" t="s">
        <v>3294</v>
      </c>
      <c r="Q122" s="1" t="s">
        <v>3258</v>
      </c>
    </row>
    <row r="123">
      <c r="A123" s="1" t="s">
        <v>3504</v>
      </c>
      <c r="B123" s="1">
        <v>1.0</v>
      </c>
      <c r="C123" s="1">
        <v>210.0</v>
      </c>
      <c r="D123" s="2" t="s">
        <v>581</v>
      </c>
      <c r="E123" s="1">
        <v>1.0</v>
      </c>
      <c r="F123" s="1">
        <v>37.0</v>
      </c>
      <c r="G123" s="1">
        <v>4.98</v>
      </c>
      <c r="H123" s="1">
        <v>168.0</v>
      </c>
      <c r="I123" s="1">
        <v>11.09</v>
      </c>
      <c r="J123" s="1">
        <v>836.0</v>
      </c>
      <c r="K123" s="1">
        <v>0.06</v>
      </c>
      <c r="L123" s="1">
        <v>5.38E7</v>
      </c>
      <c r="M123" s="1" t="s">
        <v>3505</v>
      </c>
      <c r="N123" s="18">
        <v>45997.0</v>
      </c>
      <c r="O123" s="1" t="s">
        <v>3435</v>
      </c>
      <c r="P123" s="1" t="s">
        <v>3294</v>
      </c>
      <c r="Q123" s="1" t="s">
        <v>3408</v>
      </c>
    </row>
    <row r="124">
      <c r="A124" s="1" t="s">
        <v>3506</v>
      </c>
      <c r="B124" s="1">
        <v>1.0</v>
      </c>
      <c r="C124" s="1">
        <v>880.0</v>
      </c>
      <c r="D124" s="2" t="s">
        <v>1052</v>
      </c>
      <c r="E124" s="1">
        <v>1.0</v>
      </c>
      <c r="F124" s="1">
        <v>21.0</v>
      </c>
      <c r="G124" s="1">
        <v>0.0</v>
      </c>
      <c r="H124" s="1">
        <v>15.0</v>
      </c>
      <c r="I124" s="1">
        <v>0.99</v>
      </c>
      <c r="J124" s="1">
        <v>0.0</v>
      </c>
      <c r="K124" s="1">
        <v>0.0</v>
      </c>
      <c r="L124" s="1">
        <v>1.37E8</v>
      </c>
      <c r="M124" s="1" t="s">
        <v>3507</v>
      </c>
      <c r="N124" s="18">
        <v>45994.0</v>
      </c>
      <c r="O124" s="1" t="s">
        <v>3317</v>
      </c>
      <c r="P124" s="1" t="s">
        <v>3230</v>
      </c>
      <c r="Q124" s="1" t="s">
        <v>3231</v>
      </c>
    </row>
    <row r="125">
      <c r="A125" s="1" t="s">
        <v>3508</v>
      </c>
      <c r="B125" s="1">
        <v>1.0</v>
      </c>
      <c r="C125" s="1">
        <v>260.0</v>
      </c>
      <c r="D125" s="2" t="s">
        <v>694</v>
      </c>
      <c r="E125" s="1">
        <v>1.0</v>
      </c>
      <c r="F125" s="1">
        <v>18.0</v>
      </c>
      <c r="G125" s="1">
        <v>0.75</v>
      </c>
      <c r="H125" s="1">
        <v>0.0</v>
      </c>
      <c r="I125" s="1">
        <v>0.0</v>
      </c>
      <c r="J125" s="1">
        <v>0.0</v>
      </c>
      <c r="K125" s="1">
        <v>0.26</v>
      </c>
      <c r="L125" s="1">
        <v>5000000.0</v>
      </c>
      <c r="M125" s="1" t="s">
        <v>3509</v>
      </c>
      <c r="N125" s="18">
        <v>45993.0</v>
      </c>
      <c r="O125" s="1" t="s">
        <v>3510</v>
      </c>
      <c r="P125" s="1" t="s">
        <v>3230</v>
      </c>
      <c r="Q125" s="1" t="s">
        <v>3511</v>
      </c>
    </row>
    <row r="126">
      <c r="A126" s="1" t="s">
        <v>3512</v>
      </c>
      <c r="B126" s="1">
        <v>1.0</v>
      </c>
      <c r="C126" s="1">
        <v>70.0</v>
      </c>
      <c r="D126" s="2" t="s">
        <v>1543</v>
      </c>
      <c r="E126" s="1">
        <v>1.0</v>
      </c>
      <c r="F126" s="1">
        <v>11.0</v>
      </c>
      <c r="G126" s="1">
        <v>0.0</v>
      </c>
      <c r="H126" s="1">
        <v>0.0</v>
      </c>
      <c r="I126" s="1">
        <v>0.0</v>
      </c>
      <c r="J126" s="1">
        <v>0.0</v>
      </c>
      <c r="K126" s="1">
        <v>0.02</v>
      </c>
      <c r="L126" s="1">
        <v>791000.0</v>
      </c>
      <c r="M126" s="1" t="s">
        <v>3513</v>
      </c>
      <c r="N126" s="18">
        <v>45993.0</v>
      </c>
      <c r="O126" s="1" t="s">
        <v>3237</v>
      </c>
      <c r="P126" s="1" t="s">
        <v>3230</v>
      </c>
      <c r="Q126" s="1" t="s">
        <v>3231</v>
      </c>
    </row>
    <row r="127">
      <c r="A127" s="1" t="s">
        <v>3514</v>
      </c>
      <c r="B127" s="1">
        <v>1.0</v>
      </c>
      <c r="C127" s="1">
        <v>40.0</v>
      </c>
      <c r="D127" s="2" t="s">
        <v>3286</v>
      </c>
      <c r="E127" s="1">
        <v>1.0</v>
      </c>
      <c r="F127" s="1">
        <v>30.0</v>
      </c>
      <c r="G127" s="1">
        <v>0.0</v>
      </c>
      <c r="H127" s="1">
        <v>3.0</v>
      </c>
      <c r="I127" s="1">
        <v>0.19</v>
      </c>
      <c r="J127" s="1">
        <v>0.0</v>
      </c>
      <c r="K127" s="1">
        <v>0.0</v>
      </c>
      <c r="L127" s="1">
        <v>49200.0</v>
      </c>
      <c r="M127" s="1" t="s">
        <v>3515</v>
      </c>
      <c r="N127" s="18">
        <v>45992.0</v>
      </c>
      <c r="O127" s="1" t="s">
        <v>3415</v>
      </c>
      <c r="P127" s="1" t="s">
        <v>3257</v>
      </c>
      <c r="Q127" s="1" t="s">
        <v>3258</v>
      </c>
    </row>
    <row r="128">
      <c r="A128" s="1" t="s">
        <v>3516</v>
      </c>
      <c r="B128" s="1">
        <v>1.0</v>
      </c>
      <c r="C128" s="1">
        <v>50.0</v>
      </c>
      <c r="D128" s="2" t="s">
        <v>1543</v>
      </c>
      <c r="E128" s="1">
        <v>1.0</v>
      </c>
      <c r="F128" s="1">
        <v>8.0</v>
      </c>
      <c r="G128" s="1">
        <v>9.99</v>
      </c>
      <c r="H128" s="1">
        <v>0.0</v>
      </c>
      <c r="I128" s="1">
        <v>0.0</v>
      </c>
      <c r="J128" s="1">
        <v>0.0</v>
      </c>
      <c r="K128" s="1">
        <v>0.02</v>
      </c>
      <c r="L128" s="1">
        <v>490000.0</v>
      </c>
      <c r="M128" s="1" t="s">
        <v>3517</v>
      </c>
      <c r="N128" s="18">
        <v>45992.0</v>
      </c>
      <c r="O128" s="1" t="s">
        <v>3237</v>
      </c>
      <c r="P128" s="1" t="s">
        <v>3230</v>
      </c>
      <c r="Q128" s="1" t="s">
        <v>3231</v>
      </c>
    </row>
    <row r="129">
      <c r="A129" s="1" t="s">
        <v>3518</v>
      </c>
      <c r="B129" s="1">
        <v>1.0</v>
      </c>
      <c r="C129" s="1">
        <v>90.0</v>
      </c>
      <c r="D129" s="2" t="s">
        <v>3254</v>
      </c>
      <c r="E129" s="1">
        <v>1.0</v>
      </c>
      <c r="F129" s="1">
        <v>20.0</v>
      </c>
      <c r="G129" s="1">
        <v>7.8</v>
      </c>
      <c r="H129" s="1">
        <v>22.0</v>
      </c>
      <c r="I129" s="1">
        <v>1.45</v>
      </c>
      <c r="J129" s="1">
        <v>171.0</v>
      </c>
      <c r="K129" s="1">
        <v>0.52</v>
      </c>
      <c r="L129" s="1">
        <v>34300.0</v>
      </c>
      <c r="M129" s="1" t="s">
        <v>3519</v>
      </c>
      <c r="N129" s="18">
        <v>45992.0</v>
      </c>
      <c r="O129" s="1" t="s">
        <v>3520</v>
      </c>
      <c r="P129" s="1" t="s">
        <v>3257</v>
      </c>
      <c r="Q129" s="1" t="s">
        <v>3258</v>
      </c>
    </row>
    <row r="130">
      <c r="A130" s="1" t="s">
        <v>3521</v>
      </c>
      <c r="B130" s="1">
        <v>1.0</v>
      </c>
      <c r="C130" s="1">
        <v>50.0</v>
      </c>
      <c r="D130" s="2" t="s">
        <v>2302</v>
      </c>
      <c r="E130" s="1">
        <v>1.0</v>
      </c>
      <c r="F130" s="1">
        <v>0.0</v>
      </c>
      <c r="G130" s="1">
        <v>7.71</v>
      </c>
      <c r="H130" s="1">
        <v>0.0</v>
      </c>
      <c r="I130" s="1">
        <v>0.0</v>
      </c>
      <c r="J130" s="1">
        <v>0.0</v>
      </c>
      <c r="K130" s="1">
        <v>0.29</v>
      </c>
      <c r="L130" s="1">
        <v>2.01E7</v>
      </c>
      <c r="M130" s="1" t="s">
        <v>3522</v>
      </c>
      <c r="N130" s="18">
        <v>45992.0</v>
      </c>
      <c r="O130" s="1" t="s">
        <v>3284</v>
      </c>
      <c r="P130" s="1" t="s">
        <v>3230</v>
      </c>
      <c r="Q130" s="1" t="s">
        <v>3252</v>
      </c>
    </row>
    <row r="131">
      <c r="A131" s="1" t="s">
        <v>3523</v>
      </c>
      <c r="B131" s="1">
        <v>1.0</v>
      </c>
      <c r="C131" s="1">
        <v>140.0</v>
      </c>
      <c r="D131" s="2" t="s">
        <v>2930</v>
      </c>
      <c r="E131" s="1">
        <v>1.0</v>
      </c>
      <c r="F131" s="1">
        <v>66.0</v>
      </c>
      <c r="G131" s="1">
        <v>0.27</v>
      </c>
      <c r="H131" s="1">
        <v>0.0</v>
      </c>
      <c r="I131" s="1">
        <v>0.0</v>
      </c>
      <c r="J131" s="1">
        <v>0.0</v>
      </c>
      <c r="K131" s="1">
        <v>0.01</v>
      </c>
      <c r="L131" s="1">
        <v>6880000.0</v>
      </c>
      <c r="M131" s="1" t="s">
        <v>3524</v>
      </c>
      <c r="N131" s="18">
        <v>45991.0</v>
      </c>
      <c r="O131" s="1" t="s">
        <v>3525</v>
      </c>
      <c r="P131" s="1" t="s">
        <v>3230</v>
      </c>
      <c r="Q131" s="1" t="s">
        <v>3231</v>
      </c>
    </row>
    <row r="132">
      <c r="A132" s="1" t="s">
        <v>3526</v>
      </c>
      <c r="B132" s="1">
        <v>1.0</v>
      </c>
      <c r="C132" s="1">
        <v>30.0</v>
      </c>
      <c r="D132" s="2" t="s">
        <v>714</v>
      </c>
      <c r="E132" s="1">
        <v>1.0</v>
      </c>
      <c r="F132" s="1">
        <v>44.0</v>
      </c>
      <c r="G132" s="1">
        <v>8.19</v>
      </c>
      <c r="H132" s="1">
        <v>0.0</v>
      </c>
      <c r="I132" s="1">
        <v>0.0</v>
      </c>
      <c r="J132" s="1">
        <v>0.0</v>
      </c>
      <c r="K132" s="1">
        <v>0.01</v>
      </c>
      <c r="L132" s="1">
        <v>8790000.0</v>
      </c>
      <c r="M132" s="1" t="s">
        <v>3527</v>
      </c>
      <c r="N132" s="18">
        <v>45990.0</v>
      </c>
      <c r="O132" s="1" t="s">
        <v>3528</v>
      </c>
      <c r="P132" s="1" t="s">
        <v>3230</v>
      </c>
      <c r="Q132" s="1" t="s">
        <v>3231</v>
      </c>
    </row>
    <row r="133">
      <c r="A133" s="1" t="s">
        <v>3526</v>
      </c>
      <c r="B133" s="1">
        <v>1.0</v>
      </c>
      <c r="C133" s="1">
        <v>30.0</v>
      </c>
      <c r="D133" s="2" t="s">
        <v>714</v>
      </c>
      <c r="E133" s="1">
        <v>1.0</v>
      </c>
      <c r="F133" s="1">
        <v>44.0</v>
      </c>
      <c r="G133" s="1">
        <v>8.19</v>
      </c>
      <c r="H133" s="1">
        <v>0.0</v>
      </c>
      <c r="I133" s="1">
        <v>0.0</v>
      </c>
      <c r="J133" s="1">
        <v>0.0</v>
      </c>
      <c r="K133" s="1">
        <v>0.01</v>
      </c>
      <c r="L133" s="1">
        <v>8790000.0</v>
      </c>
      <c r="M133" s="1" t="s">
        <v>3527</v>
      </c>
      <c r="N133" s="18">
        <v>45990.0</v>
      </c>
      <c r="O133" s="1" t="s">
        <v>3528</v>
      </c>
      <c r="P133" s="1" t="s">
        <v>3230</v>
      </c>
      <c r="Q133" s="1" t="s">
        <v>3231</v>
      </c>
    </row>
    <row r="134">
      <c r="A134" s="1" t="s">
        <v>3529</v>
      </c>
      <c r="B134" s="1">
        <v>1.0</v>
      </c>
      <c r="C134" s="1">
        <v>70.0</v>
      </c>
      <c r="D134" s="2" t="s">
        <v>1979</v>
      </c>
      <c r="E134" s="1">
        <v>1.0</v>
      </c>
      <c r="F134" s="1">
        <v>17.0</v>
      </c>
      <c r="G134" s="1">
        <v>0.0</v>
      </c>
      <c r="H134" s="1">
        <v>0.0</v>
      </c>
      <c r="I134" s="1">
        <v>0.0</v>
      </c>
      <c r="J134" s="1">
        <v>0.0</v>
      </c>
      <c r="K134" s="1">
        <v>0.0</v>
      </c>
      <c r="L134" s="1">
        <v>15200.0</v>
      </c>
      <c r="M134" s="1" t="s">
        <v>3530</v>
      </c>
      <c r="N134" s="18">
        <v>45990.0</v>
      </c>
      <c r="O134" s="1" t="s">
        <v>3531</v>
      </c>
      <c r="P134" s="1" t="s">
        <v>3230</v>
      </c>
      <c r="Q134" s="1" t="s">
        <v>3231</v>
      </c>
    </row>
    <row r="135">
      <c r="A135" s="1" t="s">
        <v>3532</v>
      </c>
      <c r="B135" s="1">
        <v>1.0</v>
      </c>
      <c r="C135" s="1">
        <v>590.0</v>
      </c>
      <c r="D135" s="2" t="s">
        <v>1052</v>
      </c>
      <c r="E135" s="1">
        <v>1.0</v>
      </c>
      <c r="F135" s="1">
        <v>43.0</v>
      </c>
      <c r="G135" s="1">
        <v>0.0</v>
      </c>
      <c r="H135" s="1">
        <v>0.0</v>
      </c>
      <c r="I135" s="1">
        <v>0.0</v>
      </c>
      <c r="J135" s="1">
        <v>0.0</v>
      </c>
      <c r="K135" s="1">
        <v>0.0</v>
      </c>
      <c r="L135" s="1">
        <v>1.52E8</v>
      </c>
      <c r="M135" s="1" t="s">
        <v>3533</v>
      </c>
      <c r="N135" s="18">
        <v>45989.0</v>
      </c>
      <c r="O135" s="1" t="s">
        <v>3264</v>
      </c>
      <c r="P135" s="1" t="s">
        <v>3230</v>
      </c>
      <c r="Q135" s="1" t="s">
        <v>3231</v>
      </c>
    </row>
    <row r="136">
      <c r="A136" s="1" t="s">
        <v>3534</v>
      </c>
      <c r="B136" s="1">
        <v>1.0</v>
      </c>
      <c r="C136" s="1">
        <v>110.0</v>
      </c>
      <c r="D136" s="2" t="s">
        <v>1052</v>
      </c>
      <c r="E136" s="1">
        <v>1.0</v>
      </c>
      <c r="F136" s="1">
        <v>21.0</v>
      </c>
      <c r="G136" s="1">
        <v>0.0</v>
      </c>
      <c r="H136" s="1">
        <v>7.0</v>
      </c>
      <c r="I136" s="1">
        <v>0.46</v>
      </c>
      <c r="J136" s="1">
        <v>0.0</v>
      </c>
      <c r="K136" s="1">
        <v>0.06</v>
      </c>
      <c r="L136" s="1">
        <v>12200.0</v>
      </c>
      <c r="M136" s="1" t="s">
        <v>3535</v>
      </c>
      <c r="N136" s="18">
        <v>45989.0</v>
      </c>
      <c r="O136" s="1" t="s">
        <v>3536</v>
      </c>
      <c r="P136" s="1" t="s">
        <v>3230</v>
      </c>
      <c r="Q136" s="1" t="s">
        <v>3231</v>
      </c>
    </row>
    <row r="137">
      <c r="A137" s="1" t="s">
        <v>3537</v>
      </c>
      <c r="B137" s="1">
        <v>1.0</v>
      </c>
      <c r="C137" s="1">
        <v>70.0</v>
      </c>
      <c r="D137" s="2" t="s">
        <v>714</v>
      </c>
      <c r="E137" s="1">
        <v>1.0</v>
      </c>
      <c r="F137" s="1">
        <v>23.0</v>
      </c>
      <c r="G137" s="1">
        <v>0.0</v>
      </c>
      <c r="H137" s="1">
        <v>0.0</v>
      </c>
      <c r="I137" s="1">
        <v>0.0</v>
      </c>
      <c r="J137" s="1">
        <v>0.0</v>
      </c>
      <c r="K137" s="1">
        <v>0.0</v>
      </c>
      <c r="L137" s="1">
        <v>2160000.0</v>
      </c>
      <c r="M137" s="1" t="s">
        <v>3538</v>
      </c>
      <c r="N137" s="18">
        <v>45988.0</v>
      </c>
      <c r="O137" s="1" t="s">
        <v>3264</v>
      </c>
      <c r="P137" s="1" t="s">
        <v>3230</v>
      </c>
      <c r="Q137" s="1" t="s">
        <v>3231</v>
      </c>
    </row>
    <row r="138">
      <c r="A138" s="1" t="s">
        <v>3539</v>
      </c>
      <c r="B138" s="1">
        <v>1.0</v>
      </c>
      <c r="C138" s="1">
        <v>90.0</v>
      </c>
      <c r="D138" s="2" t="s">
        <v>714</v>
      </c>
      <c r="E138" s="1">
        <v>1.0</v>
      </c>
      <c r="F138" s="1">
        <v>26.0</v>
      </c>
      <c r="G138" s="1">
        <v>0.0</v>
      </c>
      <c r="H138" s="1">
        <v>0.0</v>
      </c>
      <c r="I138" s="1">
        <v>0.0</v>
      </c>
      <c r="J138" s="1">
        <v>0.0</v>
      </c>
      <c r="K138" s="1">
        <v>0.0</v>
      </c>
      <c r="L138" s="1">
        <v>3920000.0</v>
      </c>
      <c r="M138" s="1" t="s">
        <v>3540</v>
      </c>
      <c r="N138" s="18">
        <v>45988.0</v>
      </c>
      <c r="O138" s="1" t="s">
        <v>3541</v>
      </c>
      <c r="P138" s="1" t="s">
        <v>3230</v>
      </c>
      <c r="Q138" s="1" t="s">
        <v>3231</v>
      </c>
    </row>
    <row r="139">
      <c r="A139" s="1" t="s">
        <v>3542</v>
      </c>
      <c r="B139" s="1">
        <v>1.0</v>
      </c>
      <c r="C139" s="1">
        <v>320.0</v>
      </c>
      <c r="D139" s="2" t="s">
        <v>2930</v>
      </c>
      <c r="E139" s="1">
        <v>1.0</v>
      </c>
      <c r="F139" s="1">
        <v>68.0</v>
      </c>
      <c r="G139" s="1">
        <v>2.37</v>
      </c>
      <c r="H139" s="1">
        <v>2.0</v>
      </c>
      <c r="I139" s="1">
        <v>0.13</v>
      </c>
      <c r="J139" s="1">
        <v>4.0</v>
      </c>
      <c r="K139" s="1">
        <v>0.06</v>
      </c>
      <c r="L139" s="1">
        <v>231000.0</v>
      </c>
      <c r="M139" s="1" t="s">
        <v>3543</v>
      </c>
      <c r="N139" s="18">
        <v>45987.0</v>
      </c>
      <c r="O139" s="1" t="s">
        <v>3293</v>
      </c>
      <c r="P139" s="1" t="s">
        <v>3301</v>
      </c>
      <c r="Q139" s="1" t="s">
        <v>3231</v>
      </c>
    </row>
    <row r="140">
      <c r="A140" s="1" t="s">
        <v>3544</v>
      </c>
      <c r="B140" s="1">
        <v>1.0</v>
      </c>
      <c r="C140" s="1">
        <v>90.0</v>
      </c>
      <c r="D140" s="2" t="s">
        <v>1868</v>
      </c>
      <c r="E140" s="1">
        <v>1.0</v>
      </c>
      <c r="F140" s="1">
        <v>3.0</v>
      </c>
      <c r="G140" s="1">
        <v>0.0</v>
      </c>
      <c r="H140" s="1">
        <v>0.0</v>
      </c>
      <c r="I140" s="1">
        <v>0.0</v>
      </c>
      <c r="J140" s="1">
        <v>0.0</v>
      </c>
      <c r="K140" s="1">
        <v>0.01</v>
      </c>
      <c r="L140" s="1">
        <v>9.0</v>
      </c>
      <c r="M140" s="1" t="s">
        <v>3545</v>
      </c>
      <c r="N140" s="18">
        <v>45986.0</v>
      </c>
      <c r="O140" s="1" t="s">
        <v>3237</v>
      </c>
      <c r="P140" s="1" t="s">
        <v>3230</v>
      </c>
      <c r="Q140" s="1" t="s">
        <v>3252</v>
      </c>
    </row>
    <row r="141">
      <c r="A141" s="1" t="s">
        <v>3544</v>
      </c>
      <c r="B141" s="1">
        <v>1.0</v>
      </c>
      <c r="C141" s="1">
        <v>90.0</v>
      </c>
      <c r="D141" s="2" t="s">
        <v>1868</v>
      </c>
      <c r="E141" s="1">
        <v>1.0</v>
      </c>
      <c r="F141" s="1">
        <v>3.0</v>
      </c>
      <c r="G141" s="1">
        <v>0.0</v>
      </c>
      <c r="H141" s="1">
        <v>3.0</v>
      </c>
      <c r="I141" s="1">
        <v>0.19</v>
      </c>
      <c r="J141" s="1">
        <v>0.0</v>
      </c>
      <c r="K141" s="1">
        <v>0.01</v>
      </c>
      <c r="L141" s="1">
        <v>9.0</v>
      </c>
      <c r="M141" s="1" t="s">
        <v>3545</v>
      </c>
      <c r="N141" s="18">
        <v>45986.0</v>
      </c>
      <c r="O141" s="1" t="s">
        <v>3237</v>
      </c>
      <c r="P141" s="1" t="s">
        <v>3230</v>
      </c>
      <c r="Q141" s="1" t="s">
        <v>3252</v>
      </c>
    </row>
    <row r="142">
      <c r="A142" s="1" t="s">
        <v>3546</v>
      </c>
      <c r="B142" s="1">
        <v>1.0</v>
      </c>
      <c r="C142" s="1">
        <v>110.0</v>
      </c>
      <c r="D142" s="2" t="s">
        <v>1052</v>
      </c>
      <c r="E142" s="1">
        <v>1.0</v>
      </c>
      <c r="F142" s="1">
        <v>9.0</v>
      </c>
      <c r="G142" s="1">
        <v>0.0</v>
      </c>
      <c r="H142" s="1">
        <v>27.0</v>
      </c>
      <c r="I142" s="1">
        <v>1.78</v>
      </c>
      <c r="J142" s="1">
        <v>0.0</v>
      </c>
      <c r="K142" s="1">
        <v>0.0</v>
      </c>
      <c r="L142" s="1">
        <v>10.0</v>
      </c>
      <c r="M142" s="1" t="s">
        <v>3547</v>
      </c>
      <c r="N142" s="18">
        <v>45986.0</v>
      </c>
      <c r="O142" s="1" t="s">
        <v>3548</v>
      </c>
      <c r="P142" s="1" t="s">
        <v>3230</v>
      </c>
      <c r="Q142" s="1" t="s">
        <v>3408</v>
      </c>
    </row>
    <row r="143">
      <c r="A143" s="1" t="s">
        <v>3549</v>
      </c>
      <c r="B143" s="1">
        <v>1.0</v>
      </c>
      <c r="C143" s="1">
        <v>70.0</v>
      </c>
      <c r="D143" s="2" t="s">
        <v>714</v>
      </c>
      <c r="E143" s="1">
        <v>1.0</v>
      </c>
      <c r="F143" s="1">
        <v>0.0</v>
      </c>
      <c r="G143" s="1">
        <v>0.0</v>
      </c>
      <c r="H143" s="1">
        <v>0.0</v>
      </c>
      <c r="I143" s="1">
        <v>0.0</v>
      </c>
      <c r="J143" s="1">
        <v>0.0</v>
      </c>
      <c r="K143" s="1">
        <v>0.0</v>
      </c>
      <c r="L143" s="1">
        <v>8.0</v>
      </c>
      <c r="M143" s="1" t="s">
        <v>3550</v>
      </c>
      <c r="N143" s="18">
        <v>45985.0</v>
      </c>
      <c r="O143" s="1" t="s">
        <v>3551</v>
      </c>
      <c r="P143" s="1" t="s">
        <v>3334</v>
      </c>
      <c r="Q143" s="1" t="s">
        <v>3231</v>
      </c>
    </row>
    <row r="144">
      <c r="A144" s="1" t="s">
        <v>3552</v>
      </c>
      <c r="B144" s="1">
        <v>1.0</v>
      </c>
      <c r="C144" s="1">
        <v>260.0</v>
      </c>
      <c r="D144" s="2" t="s">
        <v>714</v>
      </c>
      <c r="E144" s="1">
        <v>1.0</v>
      </c>
      <c r="F144" s="1">
        <v>6.0</v>
      </c>
      <c r="G144" s="1">
        <v>0.0</v>
      </c>
      <c r="H144" s="1">
        <v>0.0</v>
      </c>
      <c r="I144" s="1">
        <v>0.0</v>
      </c>
      <c r="J144" s="1">
        <v>0.0</v>
      </c>
      <c r="K144" s="1">
        <v>0.0</v>
      </c>
      <c r="L144" s="1">
        <v>10.0</v>
      </c>
      <c r="M144" s="1" t="s">
        <v>3553</v>
      </c>
      <c r="N144" s="18">
        <v>45985.0</v>
      </c>
      <c r="O144" s="1" t="s">
        <v>3554</v>
      </c>
      <c r="P144" s="1" t="s">
        <v>3230</v>
      </c>
      <c r="Q144" s="1" t="s">
        <v>3231</v>
      </c>
    </row>
    <row r="145">
      <c r="A145" s="1" t="s">
        <v>3555</v>
      </c>
      <c r="B145" s="1">
        <v>1.0</v>
      </c>
      <c r="C145" s="1">
        <v>90.0</v>
      </c>
      <c r="D145" s="2" t="s">
        <v>1295</v>
      </c>
      <c r="E145" s="1">
        <v>1.0</v>
      </c>
      <c r="F145" s="1">
        <v>13.0</v>
      </c>
      <c r="G145" s="1">
        <v>0.0</v>
      </c>
      <c r="H145" s="1">
        <v>0.0</v>
      </c>
      <c r="I145" s="1">
        <v>0.0</v>
      </c>
      <c r="J145" s="1">
        <v>0.0</v>
      </c>
      <c r="K145" s="1">
        <v>0.01</v>
      </c>
      <c r="L145" s="1">
        <v>10.0</v>
      </c>
      <c r="M145" s="1" t="s">
        <v>3556</v>
      </c>
      <c r="N145" s="18">
        <v>45984.0</v>
      </c>
      <c r="O145" s="1" t="s">
        <v>3317</v>
      </c>
      <c r="P145" s="1" t="s">
        <v>3301</v>
      </c>
      <c r="Q145" s="1" t="s">
        <v>3231</v>
      </c>
    </row>
    <row r="146">
      <c r="A146" s="1" t="s">
        <v>3557</v>
      </c>
      <c r="B146" s="1">
        <v>1.0</v>
      </c>
      <c r="C146" s="1">
        <v>170.0</v>
      </c>
      <c r="D146" s="2" t="s">
        <v>3254</v>
      </c>
      <c r="E146" s="1">
        <v>1.0</v>
      </c>
      <c r="F146" s="1">
        <v>10.0</v>
      </c>
      <c r="G146" s="1">
        <v>10.08</v>
      </c>
      <c r="H146" s="1">
        <v>42.0</v>
      </c>
      <c r="I146" s="1">
        <v>2.77</v>
      </c>
      <c r="J146" s="1">
        <v>423.0</v>
      </c>
      <c r="K146" s="1">
        <v>0.13</v>
      </c>
      <c r="L146" s="1">
        <v>8.0</v>
      </c>
      <c r="M146" s="1" t="s">
        <v>3558</v>
      </c>
      <c r="N146" s="18">
        <v>45984.0</v>
      </c>
      <c r="O146" s="1" t="s">
        <v>3415</v>
      </c>
      <c r="P146" s="1" t="s">
        <v>3257</v>
      </c>
      <c r="Q146" s="1" t="s">
        <v>3258</v>
      </c>
    </row>
    <row r="147">
      <c r="A147" s="1" t="s">
        <v>3559</v>
      </c>
      <c r="B147" s="1">
        <v>1.0</v>
      </c>
      <c r="C147" s="1">
        <v>140.0</v>
      </c>
      <c r="D147" s="2" t="s">
        <v>3254</v>
      </c>
      <c r="E147" s="1">
        <v>1.0</v>
      </c>
      <c r="F147" s="1">
        <v>9.0</v>
      </c>
      <c r="G147" s="1">
        <v>10.08</v>
      </c>
      <c r="H147" s="1">
        <v>11.0</v>
      </c>
      <c r="I147" s="1">
        <v>0.72</v>
      </c>
      <c r="J147" s="1">
        <v>110.0</v>
      </c>
      <c r="K147" s="1">
        <v>0.13</v>
      </c>
      <c r="L147" s="1">
        <v>10.0</v>
      </c>
      <c r="M147" s="1" t="s">
        <v>3560</v>
      </c>
      <c r="N147" s="18">
        <v>45984.0</v>
      </c>
      <c r="O147" s="1" t="s">
        <v>3455</v>
      </c>
      <c r="P147" s="1" t="s">
        <v>3257</v>
      </c>
      <c r="Q147" s="1" t="s">
        <v>3258</v>
      </c>
    </row>
    <row r="148">
      <c r="A148" s="1" t="s">
        <v>3561</v>
      </c>
      <c r="B148" s="1">
        <v>1.0</v>
      </c>
      <c r="C148" s="1">
        <v>110.0</v>
      </c>
      <c r="D148" s="2" t="s">
        <v>3254</v>
      </c>
      <c r="E148" s="1">
        <v>1.0</v>
      </c>
      <c r="F148" s="1">
        <v>15.0</v>
      </c>
      <c r="G148" s="1">
        <v>14.11</v>
      </c>
      <c r="H148" s="1">
        <v>9.0</v>
      </c>
      <c r="I148" s="1">
        <v>0.59</v>
      </c>
      <c r="J148" s="1">
        <v>126.0</v>
      </c>
      <c r="K148" s="1">
        <v>0.6</v>
      </c>
      <c r="L148" s="1">
        <v>0.0</v>
      </c>
      <c r="M148" s="1" t="s">
        <v>3562</v>
      </c>
      <c r="N148" s="18">
        <v>45984.0</v>
      </c>
      <c r="O148" s="1" t="s">
        <v>3415</v>
      </c>
      <c r="P148" s="1" t="s">
        <v>3257</v>
      </c>
      <c r="Q148" s="1" t="s">
        <v>3258</v>
      </c>
    </row>
    <row r="149">
      <c r="A149" s="1" t="s">
        <v>3563</v>
      </c>
      <c r="B149" s="1">
        <v>1.0</v>
      </c>
      <c r="C149" s="1">
        <v>390.0</v>
      </c>
      <c r="D149" s="2" t="s">
        <v>694</v>
      </c>
      <c r="E149" s="1">
        <v>1.0</v>
      </c>
      <c r="F149" s="1">
        <v>0.0</v>
      </c>
      <c r="G149" s="1">
        <v>0.21</v>
      </c>
      <c r="H149" s="1">
        <v>15.0</v>
      </c>
      <c r="I149" s="1">
        <v>0.99</v>
      </c>
      <c r="J149" s="1">
        <v>3.0</v>
      </c>
      <c r="K149" s="1">
        <v>0.04</v>
      </c>
      <c r="L149" s="1">
        <v>10.0</v>
      </c>
      <c r="M149" s="1" t="s">
        <v>3564</v>
      </c>
      <c r="N149" s="18">
        <v>45980.0</v>
      </c>
      <c r="O149" s="1" t="s">
        <v>3565</v>
      </c>
      <c r="P149" s="1" t="s">
        <v>3230</v>
      </c>
      <c r="Q149" s="1" t="s">
        <v>3231</v>
      </c>
    </row>
    <row r="150">
      <c r="A150" s="1" t="s">
        <v>3563</v>
      </c>
      <c r="B150" s="1">
        <v>1.0</v>
      </c>
      <c r="C150" s="1">
        <v>390.0</v>
      </c>
      <c r="D150" s="2" t="s">
        <v>694</v>
      </c>
      <c r="E150" s="1">
        <v>1.0</v>
      </c>
      <c r="F150" s="1">
        <v>0.0</v>
      </c>
      <c r="G150" s="1">
        <v>0.21</v>
      </c>
      <c r="H150" s="1">
        <v>2.0</v>
      </c>
      <c r="I150" s="1">
        <v>0.13</v>
      </c>
      <c r="J150" s="1">
        <v>0.0</v>
      </c>
      <c r="K150" s="1">
        <v>0.04</v>
      </c>
      <c r="L150" s="1">
        <v>10.0</v>
      </c>
      <c r="M150" s="1" t="s">
        <v>3564</v>
      </c>
      <c r="N150" s="18">
        <v>45980.0</v>
      </c>
      <c r="O150" s="1" t="s">
        <v>3565</v>
      </c>
      <c r="P150" s="1" t="s">
        <v>3230</v>
      </c>
      <c r="Q150" s="1" t="s">
        <v>3252</v>
      </c>
    </row>
    <row r="151">
      <c r="A151" s="1" t="s">
        <v>3566</v>
      </c>
      <c r="B151" s="1">
        <v>1.0</v>
      </c>
      <c r="C151" s="1">
        <v>140.0</v>
      </c>
      <c r="D151" s="2" t="s">
        <v>1052</v>
      </c>
      <c r="E151" s="1">
        <v>1.0</v>
      </c>
      <c r="F151" s="1">
        <v>9.0</v>
      </c>
      <c r="G151" s="1">
        <v>0.0</v>
      </c>
      <c r="H151" s="1">
        <v>0.0</v>
      </c>
      <c r="I151" s="1">
        <v>0.0</v>
      </c>
      <c r="J151" s="1">
        <v>0.0</v>
      </c>
      <c r="K151" s="1">
        <v>0.0</v>
      </c>
      <c r="L151" s="1">
        <v>10.0</v>
      </c>
      <c r="M151" s="1" t="s">
        <v>3567</v>
      </c>
      <c r="N151" s="18">
        <v>45976.0</v>
      </c>
      <c r="O151" s="1" t="s">
        <v>3568</v>
      </c>
      <c r="P151" s="1" t="s">
        <v>3230</v>
      </c>
      <c r="Q151" s="1" t="s">
        <v>3231</v>
      </c>
    </row>
    <row r="152">
      <c r="A152" s="1" t="s">
        <v>3569</v>
      </c>
      <c r="B152" s="1">
        <v>1.0</v>
      </c>
      <c r="C152" s="1">
        <v>70.0</v>
      </c>
      <c r="D152" s="2" t="s">
        <v>2364</v>
      </c>
      <c r="E152" s="1">
        <v>1.0</v>
      </c>
      <c r="F152" s="1">
        <v>5.0</v>
      </c>
      <c r="G152" s="1">
        <v>3.19</v>
      </c>
      <c r="H152" s="1">
        <v>0.0</v>
      </c>
      <c r="I152" s="1">
        <v>0.0</v>
      </c>
      <c r="J152" s="1">
        <v>0.0</v>
      </c>
      <c r="K152" s="1">
        <v>0.04</v>
      </c>
      <c r="L152" s="1">
        <v>10.0</v>
      </c>
      <c r="M152" s="1" t="s">
        <v>3570</v>
      </c>
      <c r="N152" s="18">
        <v>45970.0</v>
      </c>
      <c r="O152" s="1" t="s">
        <v>3571</v>
      </c>
      <c r="P152" s="1" t="s">
        <v>3230</v>
      </c>
      <c r="Q152" s="1" t="s">
        <v>3231</v>
      </c>
    </row>
    <row r="153">
      <c r="A153" s="1" t="s">
        <v>3572</v>
      </c>
      <c r="B153" s="1">
        <v>1.0</v>
      </c>
      <c r="C153" s="1">
        <v>40.0</v>
      </c>
      <c r="D153" s="2" t="s">
        <v>2930</v>
      </c>
      <c r="E153" s="1">
        <v>1.0</v>
      </c>
      <c r="F153" s="1">
        <v>49.0</v>
      </c>
      <c r="G153" s="1">
        <v>0.0</v>
      </c>
      <c r="H153" s="1">
        <v>0.0</v>
      </c>
      <c r="I153" s="1">
        <v>0.0</v>
      </c>
      <c r="J153" s="1">
        <v>0.0</v>
      </c>
      <c r="K153" s="1">
        <v>0.01</v>
      </c>
      <c r="L153" s="1">
        <v>0.0</v>
      </c>
      <c r="M153" s="1" t="s">
        <v>3573</v>
      </c>
      <c r="N153" s="18">
        <v>45967.0</v>
      </c>
      <c r="O153" s="1" t="s">
        <v>3574</v>
      </c>
      <c r="P153" s="1" t="s">
        <v>3230</v>
      </c>
      <c r="Q153" s="1" t="s">
        <v>3231</v>
      </c>
    </row>
    <row r="154">
      <c r="A154" s="1" t="s">
        <v>3575</v>
      </c>
      <c r="B154" s="1">
        <v>1.0</v>
      </c>
      <c r="C154" s="1">
        <v>40.0</v>
      </c>
      <c r="D154" s="2" t="s">
        <v>2930</v>
      </c>
      <c r="E154" s="1">
        <v>1.0</v>
      </c>
      <c r="F154" s="1">
        <v>40.0</v>
      </c>
      <c r="G154" s="1">
        <v>0.0</v>
      </c>
      <c r="H154" s="1">
        <v>0.0</v>
      </c>
      <c r="I154" s="1">
        <v>0.0</v>
      </c>
      <c r="J154" s="1">
        <v>0.0</v>
      </c>
      <c r="K154" s="1">
        <v>0.0</v>
      </c>
      <c r="L154" s="1">
        <v>6810000.0</v>
      </c>
      <c r="M154" s="1" t="s">
        <v>3576</v>
      </c>
      <c r="N154" s="18">
        <v>45967.0</v>
      </c>
      <c r="O154" s="1" t="s">
        <v>3577</v>
      </c>
      <c r="P154" s="1" t="s">
        <v>3230</v>
      </c>
      <c r="Q154" s="1" t="s">
        <v>3231</v>
      </c>
    </row>
    <row r="155">
      <c r="A155" s="1" t="s">
        <v>3578</v>
      </c>
      <c r="B155" s="1">
        <v>1.0</v>
      </c>
      <c r="C155" s="1">
        <v>140.0</v>
      </c>
      <c r="D155" s="2" t="s">
        <v>790</v>
      </c>
      <c r="E155" s="1">
        <v>1.0</v>
      </c>
      <c r="F155" s="1">
        <v>31.0</v>
      </c>
      <c r="G155" s="1">
        <v>0.0</v>
      </c>
      <c r="H155" s="1">
        <v>0.0</v>
      </c>
      <c r="I155" s="1">
        <v>0.0</v>
      </c>
      <c r="J155" s="1">
        <v>0.0</v>
      </c>
      <c r="K155" s="1">
        <v>0.0</v>
      </c>
      <c r="L155" s="1">
        <v>1.1E8</v>
      </c>
      <c r="M155" s="1" t="s">
        <v>3579</v>
      </c>
      <c r="N155" s="18">
        <v>45967.0</v>
      </c>
      <c r="O155" s="1" t="s">
        <v>3277</v>
      </c>
      <c r="P155" s="1" t="s">
        <v>3230</v>
      </c>
      <c r="Q155" s="1" t="s">
        <v>3231</v>
      </c>
    </row>
    <row r="156">
      <c r="A156" s="1" t="s">
        <v>3580</v>
      </c>
      <c r="B156" s="1">
        <v>1.0</v>
      </c>
      <c r="C156" s="1">
        <v>110.0</v>
      </c>
      <c r="D156" s="2" t="s">
        <v>1286</v>
      </c>
      <c r="E156" s="1">
        <v>1.0</v>
      </c>
      <c r="F156" s="1">
        <v>4.0</v>
      </c>
      <c r="G156" s="1">
        <v>2.24</v>
      </c>
      <c r="H156" s="1">
        <v>0.0</v>
      </c>
      <c r="I156" s="1">
        <v>0.0</v>
      </c>
      <c r="J156" s="1">
        <v>0.0</v>
      </c>
      <c r="K156" s="1">
        <v>0.05</v>
      </c>
      <c r="L156" s="1">
        <v>3810000.0</v>
      </c>
      <c r="M156" s="1" t="s">
        <v>3581</v>
      </c>
      <c r="N156" s="18">
        <v>45966.0</v>
      </c>
      <c r="O156" s="1" t="s">
        <v>3582</v>
      </c>
      <c r="P156" s="1" t="s">
        <v>3230</v>
      </c>
      <c r="Q156" s="1" t="s">
        <v>3231</v>
      </c>
    </row>
    <row r="157">
      <c r="A157" s="1" t="s">
        <v>3583</v>
      </c>
      <c r="B157" s="1">
        <v>1.0</v>
      </c>
      <c r="C157" s="1">
        <v>40.0</v>
      </c>
      <c r="D157" s="2" t="s">
        <v>2930</v>
      </c>
      <c r="E157" s="1">
        <v>1.0</v>
      </c>
      <c r="F157" s="1">
        <v>18.0</v>
      </c>
      <c r="G157" s="1">
        <v>0.0</v>
      </c>
      <c r="H157" s="1">
        <v>0.0</v>
      </c>
      <c r="I157" s="1">
        <v>0.0</v>
      </c>
      <c r="J157" s="1">
        <v>0.0</v>
      </c>
      <c r="K157" s="1">
        <v>0.1</v>
      </c>
      <c r="L157" s="1">
        <v>3.8E8</v>
      </c>
      <c r="M157" s="1" t="s">
        <v>3584</v>
      </c>
      <c r="N157" s="18">
        <v>45963.0</v>
      </c>
      <c r="O157" s="1" t="s">
        <v>3585</v>
      </c>
      <c r="P157" s="1" t="s">
        <v>3230</v>
      </c>
      <c r="Q157" s="1" t="s">
        <v>3231</v>
      </c>
    </row>
    <row r="158">
      <c r="A158" s="1" t="s">
        <v>3586</v>
      </c>
      <c r="B158" s="1">
        <v>1.0</v>
      </c>
      <c r="C158" s="1">
        <v>90.0</v>
      </c>
      <c r="D158" s="2" t="s">
        <v>694</v>
      </c>
      <c r="E158" s="1">
        <v>1.0</v>
      </c>
      <c r="F158" s="1">
        <v>18.0</v>
      </c>
      <c r="G158" s="1">
        <v>1.26</v>
      </c>
      <c r="H158" s="1">
        <v>1.0</v>
      </c>
      <c r="I158" s="1">
        <v>0.06</v>
      </c>
      <c r="J158" s="1">
        <v>1.0</v>
      </c>
      <c r="K158" s="1">
        <v>0.43</v>
      </c>
      <c r="L158" s="1">
        <v>2960000.0</v>
      </c>
      <c r="M158" s="1" t="s">
        <v>3587</v>
      </c>
      <c r="N158" s="18">
        <v>45961.0</v>
      </c>
      <c r="O158" s="1" t="s">
        <v>3237</v>
      </c>
      <c r="P158" s="1" t="s">
        <v>3230</v>
      </c>
      <c r="Q158" s="1" t="s">
        <v>3231</v>
      </c>
    </row>
    <row r="159">
      <c r="A159" s="1" t="s">
        <v>3588</v>
      </c>
      <c r="B159" s="1">
        <v>1.0</v>
      </c>
      <c r="C159" s="1">
        <v>70.0</v>
      </c>
      <c r="D159" s="2" t="s">
        <v>2364</v>
      </c>
      <c r="E159" s="1">
        <v>1.0</v>
      </c>
      <c r="F159" s="1">
        <v>29.0</v>
      </c>
      <c r="G159" s="1">
        <v>0.0</v>
      </c>
      <c r="H159" s="1">
        <v>0.0</v>
      </c>
      <c r="I159" s="1">
        <v>0.0</v>
      </c>
      <c r="J159" s="1">
        <v>0.0</v>
      </c>
      <c r="K159" s="1">
        <v>0.03</v>
      </c>
      <c r="L159" s="1">
        <v>4.18E7</v>
      </c>
      <c r="M159" s="1" t="s">
        <v>3589</v>
      </c>
      <c r="N159" s="18">
        <v>45951.0</v>
      </c>
      <c r="O159" s="1" t="s">
        <v>3264</v>
      </c>
      <c r="P159" s="1" t="s">
        <v>3230</v>
      </c>
      <c r="Q159" s="1" t="s">
        <v>3231</v>
      </c>
    </row>
    <row r="160">
      <c r="A160" s="1" t="s">
        <v>3590</v>
      </c>
      <c r="B160" s="1">
        <v>1.0</v>
      </c>
      <c r="C160" s="1">
        <v>480.0</v>
      </c>
      <c r="D160" s="2" t="s">
        <v>2930</v>
      </c>
      <c r="E160" s="1">
        <v>1.0</v>
      </c>
      <c r="F160" s="1">
        <v>27.0</v>
      </c>
      <c r="G160" s="1">
        <v>0.0</v>
      </c>
      <c r="H160" s="1">
        <v>3.0</v>
      </c>
      <c r="I160" s="1">
        <v>0.19</v>
      </c>
      <c r="J160" s="1">
        <v>0.0</v>
      </c>
      <c r="K160" s="1">
        <v>0.0</v>
      </c>
      <c r="L160" s="1">
        <v>5480000.0</v>
      </c>
      <c r="M160" s="1" t="s">
        <v>3591</v>
      </c>
      <c r="N160" s="18">
        <v>45942.0</v>
      </c>
      <c r="O160" s="1" t="s">
        <v>3592</v>
      </c>
      <c r="P160" s="1" t="s">
        <v>3230</v>
      </c>
      <c r="Q160" s="1" t="s">
        <v>3231</v>
      </c>
    </row>
    <row r="161">
      <c r="A161" s="1" t="s">
        <v>3593</v>
      </c>
      <c r="B161" s="1">
        <v>2.0</v>
      </c>
      <c r="C161" s="1">
        <v>720.0</v>
      </c>
      <c r="D161" s="2" t="s">
        <v>1868</v>
      </c>
      <c r="E161" s="1">
        <v>2.0</v>
      </c>
      <c r="F161" s="1">
        <v>12.0</v>
      </c>
      <c r="G161" s="1">
        <v>0.0</v>
      </c>
      <c r="H161" s="1">
        <v>0.0</v>
      </c>
      <c r="I161" s="1">
        <v>0.0</v>
      </c>
      <c r="J161" s="1">
        <v>0.0</v>
      </c>
      <c r="K161" s="1">
        <v>0.0</v>
      </c>
      <c r="L161" s="1">
        <v>1.18E9</v>
      </c>
      <c r="M161" s="1" t="s">
        <v>3594</v>
      </c>
      <c r="N161" s="18">
        <v>46034.0</v>
      </c>
      <c r="O161" s="1" t="s">
        <v>3237</v>
      </c>
      <c r="P161" s="1" t="s">
        <v>3230</v>
      </c>
      <c r="Q161" s="1" t="s">
        <v>3231</v>
      </c>
    </row>
    <row r="162">
      <c r="A162" s="1" t="s">
        <v>3595</v>
      </c>
      <c r="B162" s="1">
        <v>2.0</v>
      </c>
      <c r="C162" s="1">
        <v>40.0</v>
      </c>
      <c r="D162" s="2" t="s">
        <v>1536</v>
      </c>
      <c r="E162" s="1">
        <v>2.0</v>
      </c>
      <c r="F162" s="1">
        <v>12.0</v>
      </c>
      <c r="G162" s="1">
        <v>0.0</v>
      </c>
      <c r="H162" s="1">
        <v>0.0</v>
      </c>
      <c r="I162" s="1">
        <v>0.0</v>
      </c>
      <c r="J162" s="1">
        <v>0.0</v>
      </c>
      <c r="K162" s="1">
        <v>0.04</v>
      </c>
      <c r="L162" s="1">
        <v>3770000.0</v>
      </c>
      <c r="M162" s="1" t="s">
        <v>3596</v>
      </c>
      <c r="N162" s="18">
        <v>46033.0</v>
      </c>
      <c r="O162" s="1" t="s">
        <v>3284</v>
      </c>
      <c r="P162" s="1" t="s">
        <v>3230</v>
      </c>
      <c r="Q162" s="1" t="s">
        <v>3231</v>
      </c>
    </row>
    <row r="163">
      <c r="A163" s="1" t="s">
        <v>3597</v>
      </c>
      <c r="B163" s="1">
        <v>2.0</v>
      </c>
      <c r="C163" s="1">
        <v>320.0</v>
      </c>
      <c r="D163" s="2" t="s">
        <v>2075</v>
      </c>
      <c r="E163" s="1">
        <v>2.0</v>
      </c>
      <c r="F163" s="1">
        <v>39.0</v>
      </c>
      <c r="G163" s="1">
        <v>0.0</v>
      </c>
      <c r="H163" s="1">
        <v>0.0</v>
      </c>
      <c r="I163" s="1">
        <v>0.0</v>
      </c>
      <c r="J163" s="1">
        <v>0.0</v>
      </c>
      <c r="K163" s="1">
        <v>0.0</v>
      </c>
      <c r="L163" s="1">
        <v>2.94E7</v>
      </c>
      <c r="M163" s="1" t="s">
        <v>3598</v>
      </c>
      <c r="N163" s="18">
        <v>46033.0</v>
      </c>
      <c r="O163" s="1" t="s">
        <v>3599</v>
      </c>
      <c r="P163" s="1" t="s">
        <v>3230</v>
      </c>
      <c r="Q163" s="1" t="s">
        <v>3231</v>
      </c>
    </row>
    <row r="164">
      <c r="A164" s="1" t="s">
        <v>3600</v>
      </c>
      <c r="B164" s="1">
        <v>2.0</v>
      </c>
      <c r="C164" s="1">
        <v>320.0</v>
      </c>
      <c r="D164" s="2" t="s">
        <v>2075</v>
      </c>
      <c r="E164" s="1">
        <v>2.0</v>
      </c>
      <c r="F164" s="1">
        <v>43.0</v>
      </c>
      <c r="G164" s="1">
        <v>0.0</v>
      </c>
      <c r="H164" s="1">
        <v>0.0</v>
      </c>
      <c r="I164" s="1">
        <v>0.0</v>
      </c>
      <c r="J164" s="1">
        <v>0.0</v>
      </c>
      <c r="K164" s="1">
        <v>0.0</v>
      </c>
      <c r="L164" s="1">
        <v>2.13E8</v>
      </c>
      <c r="M164" s="1" t="s">
        <v>3601</v>
      </c>
      <c r="N164" s="18">
        <v>46032.0</v>
      </c>
      <c r="O164" s="1" t="s">
        <v>3531</v>
      </c>
      <c r="P164" s="1" t="s">
        <v>3230</v>
      </c>
      <c r="Q164" s="1" t="s">
        <v>3231</v>
      </c>
    </row>
    <row r="165">
      <c r="A165" s="1" t="s">
        <v>3602</v>
      </c>
      <c r="B165" s="1">
        <v>2.0</v>
      </c>
      <c r="C165" s="1">
        <v>320.0</v>
      </c>
      <c r="D165" s="2" t="s">
        <v>1536</v>
      </c>
      <c r="E165" s="1">
        <v>2.0</v>
      </c>
      <c r="F165" s="1">
        <v>10.0</v>
      </c>
      <c r="G165" s="1">
        <v>9.14</v>
      </c>
      <c r="H165" s="1">
        <v>0.0</v>
      </c>
      <c r="I165" s="1">
        <v>0.0</v>
      </c>
      <c r="J165" s="1">
        <v>0.0</v>
      </c>
      <c r="K165" s="1">
        <v>0.05</v>
      </c>
      <c r="L165" s="1">
        <v>1660000.0</v>
      </c>
      <c r="M165" s="1" t="s">
        <v>3603</v>
      </c>
      <c r="N165" s="18">
        <v>46032.0</v>
      </c>
      <c r="O165" s="1" t="s">
        <v>3604</v>
      </c>
      <c r="P165" s="1" t="s">
        <v>3230</v>
      </c>
      <c r="Q165" s="1" t="s">
        <v>3231</v>
      </c>
    </row>
    <row r="166">
      <c r="A166" s="1" t="s">
        <v>3605</v>
      </c>
      <c r="B166" s="1">
        <v>2.0</v>
      </c>
      <c r="C166" s="1">
        <v>50.0</v>
      </c>
      <c r="D166" s="2" t="s">
        <v>581</v>
      </c>
      <c r="E166" s="1">
        <v>2.0</v>
      </c>
      <c r="G166" s="1">
        <v>0.0</v>
      </c>
      <c r="H166" s="1">
        <v>2.0</v>
      </c>
      <c r="I166" s="1">
        <v>0.13</v>
      </c>
      <c r="J166" s="1">
        <v>0.0</v>
      </c>
      <c r="K166" s="1">
        <v>0.0</v>
      </c>
      <c r="L166" s="1">
        <v>39600.0</v>
      </c>
      <c r="M166" s="1" t="s">
        <v>3606</v>
      </c>
      <c r="N166" s="18">
        <v>46030.0</v>
      </c>
      <c r="O166" s="1" t="s">
        <v>3355</v>
      </c>
      <c r="P166" s="1" t="s">
        <v>3257</v>
      </c>
      <c r="Q166" s="1" t="s">
        <v>3408</v>
      </c>
    </row>
    <row r="167">
      <c r="A167" s="1" t="s">
        <v>3607</v>
      </c>
      <c r="B167" s="1">
        <v>2.0</v>
      </c>
      <c r="C167" s="1">
        <v>40.0</v>
      </c>
      <c r="D167" s="2" t="s">
        <v>1052</v>
      </c>
      <c r="E167" s="1">
        <v>2.0</v>
      </c>
      <c r="F167" s="1">
        <v>56.0</v>
      </c>
      <c r="G167" s="1">
        <v>0.0</v>
      </c>
      <c r="H167" s="1">
        <v>0.0</v>
      </c>
      <c r="I167" s="1">
        <v>0.0</v>
      </c>
      <c r="J167" s="1">
        <v>0.0</v>
      </c>
      <c r="K167" s="1">
        <v>0.0</v>
      </c>
      <c r="L167" s="1">
        <v>1.42E8</v>
      </c>
      <c r="M167" s="1" t="s">
        <v>3608</v>
      </c>
      <c r="N167" s="18">
        <v>46027.0</v>
      </c>
      <c r="O167" s="1" t="s">
        <v>3455</v>
      </c>
      <c r="P167" s="1" t="s">
        <v>3294</v>
      </c>
      <c r="Q167" s="1" t="s">
        <v>3231</v>
      </c>
    </row>
    <row r="168">
      <c r="A168" s="1" t="s">
        <v>3409</v>
      </c>
      <c r="B168" s="1">
        <v>2.0</v>
      </c>
      <c r="C168" s="1">
        <v>40.0</v>
      </c>
      <c r="D168" s="2" t="s">
        <v>2940</v>
      </c>
      <c r="E168" s="1">
        <v>2.0</v>
      </c>
      <c r="F168" s="1">
        <v>15.0</v>
      </c>
      <c r="G168" s="1">
        <v>0.0</v>
      </c>
      <c r="H168" s="1">
        <v>0.0</v>
      </c>
      <c r="I168" s="1">
        <v>0.0</v>
      </c>
      <c r="J168" s="1">
        <v>0.0</v>
      </c>
      <c r="K168" s="1">
        <v>0.33</v>
      </c>
      <c r="L168" s="1">
        <v>631000.0</v>
      </c>
      <c r="M168" s="1" t="s">
        <v>3410</v>
      </c>
      <c r="N168" s="18">
        <v>46024.0</v>
      </c>
      <c r="O168" s="1" t="s">
        <v>3411</v>
      </c>
      <c r="P168" s="1" t="s">
        <v>3230</v>
      </c>
      <c r="Q168" s="1" t="s">
        <v>3408</v>
      </c>
    </row>
    <row r="169">
      <c r="A169" s="1" t="s">
        <v>3436</v>
      </c>
      <c r="B169" s="1">
        <v>2.0</v>
      </c>
      <c r="C169" s="1">
        <v>170.0</v>
      </c>
      <c r="D169" s="2" t="s">
        <v>581</v>
      </c>
      <c r="E169" s="1">
        <v>2.0</v>
      </c>
      <c r="F169" s="1">
        <v>19.0</v>
      </c>
      <c r="G169" s="1">
        <v>13.28</v>
      </c>
      <c r="H169" s="1">
        <v>7.0</v>
      </c>
      <c r="I169" s="1">
        <v>0.46</v>
      </c>
      <c r="J169" s="1">
        <v>92.0</v>
      </c>
      <c r="K169" s="1">
        <v>0.21</v>
      </c>
      <c r="L169" s="1">
        <v>60800.0</v>
      </c>
      <c r="M169" s="1" t="s">
        <v>3437</v>
      </c>
      <c r="N169" s="18">
        <v>46017.0</v>
      </c>
      <c r="O169" s="1" t="s">
        <v>3435</v>
      </c>
      <c r="P169" s="1" t="s">
        <v>3257</v>
      </c>
      <c r="Q169" s="1" t="s">
        <v>3408</v>
      </c>
    </row>
    <row r="170">
      <c r="A170" s="1" t="s">
        <v>3451</v>
      </c>
      <c r="B170" s="1">
        <v>2.0</v>
      </c>
      <c r="C170" s="1">
        <v>90.0</v>
      </c>
      <c r="D170" s="2" t="s">
        <v>581</v>
      </c>
      <c r="E170" s="1">
        <v>2.0</v>
      </c>
      <c r="F170" s="1">
        <v>14.0</v>
      </c>
      <c r="G170" s="1">
        <v>13.98</v>
      </c>
      <c r="H170" s="1">
        <v>3.0</v>
      </c>
      <c r="I170" s="1">
        <v>0.19</v>
      </c>
      <c r="J170" s="1">
        <v>41.0</v>
      </c>
      <c r="K170" s="1">
        <v>0.45</v>
      </c>
      <c r="L170" s="1">
        <v>19100.0</v>
      </c>
      <c r="M170" s="1" t="s">
        <v>3452</v>
      </c>
      <c r="N170" s="18">
        <v>46015.0</v>
      </c>
      <c r="O170" s="1" t="s">
        <v>3288</v>
      </c>
      <c r="P170" s="1" t="s">
        <v>3257</v>
      </c>
      <c r="Q170" s="1" t="s">
        <v>3408</v>
      </c>
    </row>
    <row r="171">
      <c r="A171" s="1" t="s">
        <v>3456</v>
      </c>
      <c r="B171" s="1">
        <v>2.0</v>
      </c>
      <c r="C171" s="1">
        <v>70.0</v>
      </c>
      <c r="D171" s="2" t="s">
        <v>581</v>
      </c>
      <c r="E171" s="1">
        <v>2.0</v>
      </c>
      <c r="F171" s="1">
        <v>33.0</v>
      </c>
      <c r="G171" s="1">
        <v>0.0</v>
      </c>
      <c r="H171" s="1">
        <v>3.0</v>
      </c>
      <c r="I171" s="1">
        <v>0.19</v>
      </c>
      <c r="J171" s="1">
        <v>0.0</v>
      </c>
      <c r="K171" s="1">
        <v>0.16</v>
      </c>
      <c r="L171" s="1">
        <v>302000.0</v>
      </c>
      <c r="M171" s="1" t="s">
        <v>3457</v>
      </c>
      <c r="N171" s="18">
        <v>46015.0</v>
      </c>
      <c r="O171" s="1" t="s">
        <v>3458</v>
      </c>
      <c r="P171" s="1" t="s">
        <v>3257</v>
      </c>
      <c r="Q171" s="1" t="s">
        <v>3408</v>
      </c>
    </row>
    <row r="172">
      <c r="A172" s="1" t="s">
        <v>3609</v>
      </c>
      <c r="B172" s="1">
        <v>2.0</v>
      </c>
      <c r="C172" s="1">
        <v>70.0</v>
      </c>
      <c r="D172" s="2" t="s">
        <v>2930</v>
      </c>
      <c r="E172" s="1">
        <v>2.0</v>
      </c>
      <c r="F172" s="1">
        <v>25.0</v>
      </c>
      <c r="G172" s="1">
        <v>0.0</v>
      </c>
      <c r="H172" s="1">
        <v>0.0</v>
      </c>
      <c r="I172" s="1">
        <v>0.0</v>
      </c>
      <c r="J172" s="1">
        <v>0.0</v>
      </c>
      <c r="K172" s="1">
        <v>0.0</v>
      </c>
      <c r="L172" s="1">
        <v>27000.0</v>
      </c>
      <c r="M172" s="1" t="s">
        <v>3610</v>
      </c>
      <c r="N172" s="18">
        <v>46008.0</v>
      </c>
      <c r="O172" s="1" t="s">
        <v>3264</v>
      </c>
      <c r="P172" s="1" t="s">
        <v>3230</v>
      </c>
      <c r="Q172" s="1" t="s">
        <v>3231</v>
      </c>
    </row>
    <row r="173">
      <c r="A173" s="1" t="s">
        <v>3485</v>
      </c>
      <c r="B173" s="1">
        <v>2.0</v>
      </c>
      <c r="C173" s="1">
        <v>140.0</v>
      </c>
      <c r="D173" s="2" t="s">
        <v>979</v>
      </c>
      <c r="E173" s="1">
        <v>2.0</v>
      </c>
      <c r="F173" s="1">
        <v>4.0</v>
      </c>
      <c r="G173" s="1">
        <v>3.93</v>
      </c>
      <c r="H173" s="1">
        <v>6.0</v>
      </c>
      <c r="I173" s="1">
        <v>0.39</v>
      </c>
      <c r="J173" s="1">
        <v>23.0</v>
      </c>
      <c r="K173" s="1">
        <v>0.13</v>
      </c>
      <c r="L173" s="1">
        <v>7.71E7</v>
      </c>
      <c r="M173" s="1" t="s">
        <v>3486</v>
      </c>
      <c r="N173" s="18">
        <v>46004.0</v>
      </c>
      <c r="O173" s="1" t="s">
        <v>3487</v>
      </c>
      <c r="P173" s="1" t="s">
        <v>3257</v>
      </c>
      <c r="Q173" s="1" t="s">
        <v>3408</v>
      </c>
    </row>
    <row r="174">
      <c r="A174" s="1" t="s">
        <v>3611</v>
      </c>
      <c r="B174" s="1">
        <v>2.0</v>
      </c>
      <c r="C174" s="1">
        <v>590.0</v>
      </c>
      <c r="D174" s="2" t="s">
        <v>714</v>
      </c>
      <c r="E174" s="1">
        <v>2.0</v>
      </c>
      <c r="F174" s="1">
        <v>4.0</v>
      </c>
      <c r="G174" s="1">
        <v>5.11</v>
      </c>
      <c r="H174" s="1">
        <v>10.0</v>
      </c>
      <c r="I174" s="1">
        <v>0.66</v>
      </c>
      <c r="J174" s="1">
        <v>51.0</v>
      </c>
      <c r="K174" s="1">
        <v>0.02</v>
      </c>
      <c r="L174" s="1">
        <v>167000.0</v>
      </c>
      <c r="M174" s="1" t="s">
        <v>3612</v>
      </c>
      <c r="N174" s="18">
        <v>45988.0</v>
      </c>
      <c r="O174" s="1" t="s">
        <v>3317</v>
      </c>
      <c r="P174" s="1" t="s">
        <v>3230</v>
      </c>
      <c r="Q174" s="1" t="s">
        <v>3231</v>
      </c>
    </row>
    <row r="175">
      <c r="A175" s="1" t="s">
        <v>3613</v>
      </c>
      <c r="B175" s="1">
        <v>2.0</v>
      </c>
      <c r="C175" s="1">
        <v>50.0</v>
      </c>
      <c r="D175" s="2" t="s">
        <v>581</v>
      </c>
      <c r="E175" s="1">
        <v>2.0</v>
      </c>
      <c r="F175" s="1">
        <v>9.0</v>
      </c>
      <c r="G175" s="1">
        <v>0.0</v>
      </c>
      <c r="H175" s="1">
        <v>2.0</v>
      </c>
      <c r="I175" s="1">
        <v>0.13</v>
      </c>
      <c r="J175" s="1">
        <v>0.0</v>
      </c>
      <c r="K175" s="1">
        <v>0.02</v>
      </c>
      <c r="L175" s="1">
        <v>9.0</v>
      </c>
      <c r="M175" s="1" t="s">
        <v>3614</v>
      </c>
      <c r="N175" s="18">
        <v>45978.0</v>
      </c>
      <c r="O175" s="1" t="s">
        <v>3435</v>
      </c>
      <c r="P175" s="1" t="s">
        <v>3257</v>
      </c>
      <c r="Q175" s="1" t="s">
        <v>3408</v>
      </c>
    </row>
    <row r="176">
      <c r="A176" s="1" t="s">
        <v>3615</v>
      </c>
      <c r="B176" s="1">
        <v>3.0</v>
      </c>
      <c r="C176" s="1">
        <v>70.0</v>
      </c>
      <c r="D176" s="2" t="s">
        <v>581</v>
      </c>
      <c r="E176" s="1">
        <v>2.0</v>
      </c>
      <c r="F176" s="1">
        <v>29.0</v>
      </c>
      <c r="G176" s="1">
        <v>0.0</v>
      </c>
      <c r="H176" s="1">
        <v>1.0</v>
      </c>
      <c r="I176" s="1">
        <v>0.06</v>
      </c>
      <c r="J176" s="1">
        <v>0.0</v>
      </c>
      <c r="K176" s="1">
        <v>0.03</v>
      </c>
      <c r="L176" s="1">
        <v>2.33E8</v>
      </c>
      <c r="M176" s="1" t="s">
        <v>3616</v>
      </c>
      <c r="N176" s="18">
        <v>46042.0</v>
      </c>
      <c r="O176" s="1" t="s">
        <v>3617</v>
      </c>
      <c r="P176" s="1" t="s">
        <v>3294</v>
      </c>
      <c r="Q176" s="1" t="s">
        <v>3408</v>
      </c>
    </row>
    <row r="177">
      <c r="A177" s="1" t="s">
        <v>3618</v>
      </c>
      <c r="B177" s="1">
        <v>3.0</v>
      </c>
      <c r="C177" s="1">
        <v>170.0</v>
      </c>
      <c r="D177" s="2" t="s">
        <v>694</v>
      </c>
      <c r="E177" s="1">
        <v>3.0</v>
      </c>
      <c r="F177" s="1">
        <v>7.0</v>
      </c>
      <c r="G177" s="1">
        <v>0.47</v>
      </c>
      <c r="H177" s="1">
        <v>2.0</v>
      </c>
      <c r="I177" s="1">
        <v>0.13</v>
      </c>
      <c r="J177" s="1">
        <v>0.0</v>
      </c>
      <c r="K177" s="1">
        <v>0.05</v>
      </c>
      <c r="L177" s="1">
        <v>160000.0</v>
      </c>
      <c r="M177" s="1" t="s">
        <v>3619</v>
      </c>
      <c r="N177" s="18">
        <v>46039.0</v>
      </c>
      <c r="O177" s="1" t="s">
        <v>3317</v>
      </c>
      <c r="P177" s="1" t="s">
        <v>3230</v>
      </c>
      <c r="Q177" s="1" t="s">
        <v>3231</v>
      </c>
    </row>
    <row r="178">
      <c r="A178" s="1" t="s">
        <v>3620</v>
      </c>
      <c r="B178" s="1">
        <v>3.0</v>
      </c>
      <c r="C178" s="1">
        <v>70.0</v>
      </c>
      <c r="D178" s="2" t="s">
        <v>2075</v>
      </c>
      <c r="E178" s="1">
        <v>3.0</v>
      </c>
      <c r="F178" s="1">
        <v>46.0</v>
      </c>
      <c r="G178" s="1">
        <v>0.0</v>
      </c>
      <c r="H178" s="1">
        <v>0.0</v>
      </c>
      <c r="I178" s="1">
        <v>0.0</v>
      </c>
      <c r="J178" s="1">
        <v>0.0</v>
      </c>
      <c r="K178" s="1">
        <v>0.0</v>
      </c>
      <c r="L178" s="1">
        <v>6490000.0</v>
      </c>
      <c r="M178" s="1" t="s">
        <v>3621</v>
      </c>
      <c r="N178" s="18">
        <v>46036.0</v>
      </c>
      <c r="O178" s="1" t="s">
        <v>3622</v>
      </c>
      <c r="P178" s="1" t="s">
        <v>3301</v>
      </c>
      <c r="Q178" s="1" t="s">
        <v>3231</v>
      </c>
    </row>
    <row r="179">
      <c r="A179" s="1" t="s">
        <v>3623</v>
      </c>
      <c r="B179" s="1">
        <v>3.0</v>
      </c>
      <c r="C179" s="1">
        <v>90.0</v>
      </c>
      <c r="D179" s="2" t="s">
        <v>1868</v>
      </c>
      <c r="E179" s="1">
        <v>3.0</v>
      </c>
      <c r="F179" s="1">
        <v>12.0</v>
      </c>
      <c r="G179" s="1">
        <v>4.16</v>
      </c>
      <c r="H179" s="1">
        <v>0.0</v>
      </c>
      <c r="I179" s="1">
        <v>0.0</v>
      </c>
      <c r="J179" s="1">
        <v>0.0</v>
      </c>
      <c r="K179" s="1">
        <v>0.68</v>
      </c>
      <c r="L179" s="1">
        <v>242000.0</v>
      </c>
      <c r="M179" s="1" t="s">
        <v>3624</v>
      </c>
      <c r="N179" s="18">
        <v>46034.0</v>
      </c>
      <c r="O179" s="1" t="s">
        <v>3625</v>
      </c>
      <c r="P179" s="1" t="s">
        <v>3301</v>
      </c>
      <c r="Q179" s="1" t="s">
        <v>3231</v>
      </c>
    </row>
    <row r="180">
      <c r="A180" s="1" t="s">
        <v>3626</v>
      </c>
      <c r="B180" s="1">
        <v>3.0</v>
      </c>
      <c r="C180" s="1">
        <v>1900.0</v>
      </c>
      <c r="D180" s="2" t="s">
        <v>2075</v>
      </c>
      <c r="E180" s="1">
        <v>3.0</v>
      </c>
      <c r="F180" s="1">
        <v>79.0</v>
      </c>
      <c r="G180" s="1">
        <v>0.43</v>
      </c>
      <c r="H180" s="1">
        <v>0.0</v>
      </c>
      <c r="I180" s="1">
        <v>0.0</v>
      </c>
      <c r="J180" s="1">
        <v>0.0</v>
      </c>
      <c r="K180" s="1">
        <v>0.0</v>
      </c>
      <c r="L180" s="1">
        <v>6.41E8</v>
      </c>
      <c r="M180" s="1" t="s">
        <v>3627</v>
      </c>
      <c r="N180" s="18">
        <v>46032.0</v>
      </c>
      <c r="O180" s="1" t="s">
        <v>3628</v>
      </c>
      <c r="P180" s="1" t="s">
        <v>3301</v>
      </c>
      <c r="Q180" s="1" t="s">
        <v>3231</v>
      </c>
    </row>
    <row r="181">
      <c r="A181" s="1" t="s">
        <v>3629</v>
      </c>
      <c r="B181" s="1">
        <v>3.0</v>
      </c>
      <c r="C181" s="1">
        <v>70.0</v>
      </c>
      <c r="D181" s="2" t="s">
        <v>1052</v>
      </c>
      <c r="E181" s="1">
        <v>3.0</v>
      </c>
      <c r="F181" s="1">
        <v>41.0</v>
      </c>
      <c r="G181" s="1">
        <v>0.0</v>
      </c>
      <c r="H181" s="1">
        <v>0.0</v>
      </c>
      <c r="I181" s="1">
        <v>0.0</v>
      </c>
      <c r="J181" s="1">
        <v>0.0</v>
      </c>
      <c r="K181" s="1">
        <v>0.0</v>
      </c>
      <c r="L181" s="1">
        <v>1.74E8</v>
      </c>
      <c r="M181" s="1" t="s">
        <v>3630</v>
      </c>
      <c r="N181" s="18">
        <v>46028.0</v>
      </c>
      <c r="O181" s="1" t="s">
        <v>3264</v>
      </c>
      <c r="P181" s="1" t="s">
        <v>3230</v>
      </c>
      <c r="Q181" s="1" t="s">
        <v>3231</v>
      </c>
    </row>
    <row r="182">
      <c r="A182" s="1" t="s">
        <v>3631</v>
      </c>
      <c r="B182" s="1">
        <v>3.0</v>
      </c>
      <c r="C182" s="1">
        <v>50.0</v>
      </c>
      <c r="D182" s="2" t="s">
        <v>1052</v>
      </c>
      <c r="E182" s="1">
        <v>3.0</v>
      </c>
      <c r="F182" s="1">
        <v>8.0</v>
      </c>
      <c r="G182" s="1">
        <v>0.0</v>
      </c>
      <c r="H182" s="1">
        <v>0.0</v>
      </c>
      <c r="I182" s="1">
        <v>0.0</v>
      </c>
      <c r="J182" s="1">
        <v>0.0</v>
      </c>
      <c r="K182" s="1">
        <v>0.0</v>
      </c>
      <c r="L182" s="1">
        <v>1.17E7</v>
      </c>
      <c r="M182" s="1" t="s">
        <v>3632</v>
      </c>
      <c r="N182" s="18">
        <v>46027.0</v>
      </c>
      <c r="O182" s="1" t="s">
        <v>3455</v>
      </c>
      <c r="P182" s="1" t="s">
        <v>3257</v>
      </c>
      <c r="Q182" s="1" t="s">
        <v>3231</v>
      </c>
    </row>
    <row r="183">
      <c r="A183" s="1" t="s">
        <v>3402</v>
      </c>
      <c r="B183" s="1">
        <v>3.0</v>
      </c>
      <c r="C183" s="1">
        <v>50.0</v>
      </c>
      <c r="D183" s="2" t="s">
        <v>581</v>
      </c>
      <c r="E183" s="1">
        <v>3.0</v>
      </c>
      <c r="F183" s="1">
        <v>9.0</v>
      </c>
      <c r="G183" s="1">
        <v>13.98</v>
      </c>
      <c r="H183" s="1">
        <v>1.0</v>
      </c>
      <c r="I183" s="1">
        <v>0.06</v>
      </c>
      <c r="J183" s="1">
        <v>13.0</v>
      </c>
      <c r="K183" s="1">
        <v>0.45</v>
      </c>
      <c r="L183" s="1">
        <v>24000.0</v>
      </c>
      <c r="M183" s="1" t="s">
        <v>3403</v>
      </c>
      <c r="N183" s="18">
        <v>46026.0</v>
      </c>
      <c r="O183" s="1" t="s">
        <v>3404</v>
      </c>
      <c r="P183" s="1" t="s">
        <v>3257</v>
      </c>
      <c r="Q183" s="1" t="s">
        <v>3408</v>
      </c>
    </row>
    <row r="184">
      <c r="A184" s="1" t="s">
        <v>3633</v>
      </c>
      <c r="B184" s="1">
        <v>3.0</v>
      </c>
      <c r="C184" s="1">
        <v>110.0</v>
      </c>
      <c r="D184" s="2" t="s">
        <v>581</v>
      </c>
      <c r="E184" s="1">
        <v>3.0</v>
      </c>
      <c r="F184" s="1">
        <v>34.0</v>
      </c>
      <c r="G184" s="1">
        <v>13.98</v>
      </c>
      <c r="H184" s="1">
        <v>3.0</v>
      </c>
      <c r="I184" s="1">
        <v>0.19</v>
      </c>
      <c r="J184" s="1">
        <v>41.0</v>
      </c>
      <c r="K184" s="1">
        <v>0.45</v>
      </c>
      <c r="L184" s="1">
        <v>49200.0</v>
      </c>
      <c r="M184" s="1" t="s">
        <v>3634</v>
      </c>
      <c r="N184" s="18">
        <v>46024.0</v>
      </c>
      <c r="O184" s="1" t="s">
        <v>3288</v>
      </c>
      <c r="P184" s="1" t="s">
        <v>3257</v>
      </c>
      <c r="Q184" s="1" t="s">
        <v>3408</v>
      </c>
    </row>
    <row r="185">
      <c r="A185" s="1" t="s">
        <v>3422</v>
      </c>
      <c r="B185" s="1">
        <v>3.0</v>
      </c>
      <c r="C185" s="1">
        <v>70.0</v>
      </c>
      <c r="D185" s="2" t="s">
        <v>979</v>
      </c>
      <c r="E185" s="1">
        <v>3.0</v>
      </c>
      <c r="F185" s="1">
        <v>3.0</v>
      </c>
      <c r="G185" s="1">
        <v>0.0</v>
      </c>
      <c r="H185" s="1">
        <v>5.0</v>
      </c>
      <c r="I185" s="1">
        <v>0.33</v>
      </c>
      <c r="J185" s="1">
        <v>0.0</v>
      </c>
      <c r="K185" s="1">
        <v>0.0</v>
      </c>
      <c r="L185" s="1">
        <v>4.76E8</v>
      </c>
      <c r="M185" s="1" t="s">
        <v>3423</v>
      </c>
      <c r="N185" s="18">
        <v>46022.0</v>
      </c>
      <c r="O185" s="1" t="s">
        <v>3424</v>
      </c>
      <c r="P185" s="1" t="s">
        <v>3257</v>
      </c>
      <c r="Q185" s="1" t="s">
        <v>3408</v>
      </c>
    </row>
    <row r="186">
      <c r="A186" s="1" t="s">
        <v>3430</v>
      </c>
      <c r="B186" s="1">
        <v>3.0</v>
      </c>
      <c r="C186" s="1">
        <v>110.0</v>
      </c>
      <c r="D186" s="2" t="s">
        <v>979</v>
      </c>
      <c r="E186" s="1">
        <v>3.0</v>
      </c>
      <c r="F186" s="1">
        <v>3.0</v>
      </c>
      <c r="G186" s="1">
        <v>4.98</v>
      </c>
      <c r="H186" s="1">
        <v>3.0</v>
      </c>
      <c r="I186" s="1">
        <v>0.19</v>
      </c>
      <c r="J186" s="1">
        <v>14.0</v>
      </c>
      <c r="K186" s="1">
        <v>0.16</v>
      </c>
      <c r="L186" s="1">
        <v>1.78E7</v>
      </c>
      <c r="M186" s="1" t="s">
        <v>3431</v>
      </c>
      <c r="N186" s="18">
        <v>46017.0</v>
      </c>
      <c r="O186" s="1" t="s">
        <v>3432</v>
      </c>
      <c r="P186" s="1" t="s">
        <v>3257</v>
      </c>
      <c r="Q186" s="1" t="s">
        <v>3408</v>
      </c>
    </row>
    <row r="187">
      <c r="A187" s="1" t="s">
        <v>3635</v>
      </c>
      <c r="B187" s="1">
        <v>3.0</v>
      </c>
      <c r="C187" s="1">
        <v>90.0</v>
      </c>
      <c r="D187" s="2" t="s">
        <v>2930</v>
      </c>
      <c r="E187" s="1">
        <v>3.0</v>
      </c>
      <c r="F187" s="1">
        <v>26.0</v>
      </c>
      <c r="G187" s="1">
        <v>0.0</v>
      </c>
      <c r="H187" s="1">
        <v>0.0</v>
      </c>
      <c r="I187" s="1">
        <v>0.0</v>
      </c>
      <c r="J187" s="1">
        <v>0.0</v>
      </c>
      <c r="K187" s="1">
        <v>0.0</v>
      </c>
      <c r="L187" s="1">
        <v>45900.0</v>
      </c>
      <c r="M187" s="1" t="s">
        <v>3636</v>
      </c>
      <c r="N187" s="18">
        <v>46014.0</v>
      </c>
      <c r="O187" s="1" t="s">
        <v>3479</v>
      </c>
      <c r="P187" s="1" t="s">
        <v>3230</v>
      </c>
      <c r="Q187" s="1" t="s">
        <v>3252</v>
      </c>
    </row>
    <row r="188">
      <c r="A188" s="1" t="s">
        <v>3472</v>
      </c>
      <c r="B188" s="1">
        <v>3.0</v>
      </c>
      <c r="C188" s="1">
        <v>70.0</v>
      </c>
      <c r="D188" s="2" t="s">
        <v>581</v>
      </c>
      <c r="E188" s="1">
        <v>3.0</v>
      </c>
      <c r="F188" s="1">
        <v>34.0</v>
      </c>
      <c r="G188" s="1">
        <v>0.0</v>
      </c>
      <c r="H188" s="1">
        <v>2.0</v>
      </c>
      <c r="I188" s="1">
        <v>0.13</v>
      </c>
      <c r="J188" s="1">
        <v>0.0</v>
      </c>
      <c r="K188" s="1">
        <v>0.01</v>
      </c>
      <c r="L188" s="1">
        <v>90600.0</v>
      </c>
      <c r="M188" s="1" t="s">
        <v>3473</v>
      </c>
      <c r="N188" s="18">
        <v>46012.0</v>
      </c>
      <c r="O188" s="1" t="s">
        <v>3432</v>
      </c>
      <c r="P188" s="1" t="s">
        <v>3257</v>
      </c>
      <c r="Q188" s="1" t="s">
        <v>3408</v>
      </c>
    </row>
    <row r="189">
      <c r="A189" s="1" t="s">
        <v>3637</v>
      </c>
      <c r="B189" s="1">
        <v>3.0</v>
      </c>
      <c r="C189" s="1">
        <v>90.0</v>
      </c>
      <c r="D189" s="2" t="s">
        <v>694</v>
      </c>
      <c r="E189" s="1">
        <v>3.0</v>
      </c>
      <c r="F189" s="1">
        <v>11.0</v>
      </c>
      <c r="G189" s="1">
        <v>0.0</v>
      </c>
      <c r="H189" s="1">
        <v>2.0</v>
      </c>
      <c r="I189" s="1">
        <v>0.13</v>
      </c>
      <c r="J189" s="1">
        <v>0.0</v>
      </c>
      <c r="K189" s="1">
        <v>0.01</v>
      </c>
      <c r="L189" s="1">
        <v>10.0</v>
      </c>
      <c r="M189" s="1" t="s">
        <v>3638</v>
      </c>
      <c r="N189" s="18">
        <v>45986.0</v>
      </c>
      <c r="O189" s="1" t="s">
        <v>3639</v>
      </c>
      <c r="P189" s="1" t="s">
        <v>3230</v>
      </c>
      <c r="Q189" s="1" t="s">
        <v>3231</v>
      </c>
    </row>
    <row r="190">
      <c r="A190" s="1" t="s">
        <v>3640</v>
      </c>
      <c r="B190" s="1">
        <v>4.0</v>
      </c>
      <c r="C190" s="1">
        <v>70.0</v>
      </c>
      <c r="D190" s="2" t="s">
        <v>1052</v>
      </c>
      <c r="E190" s="1">
        <v>4.0</v>
      </c>
      <c r="F190" s="1">
        <v>19.0</v>
      </c>
      <c r="G190" s="1">
        <v>0.0</v>
      </c>
      <c r="H190" s="1">
        <v>1.0</v>
      </c>
      <c r="I190" s="1">
        <v>0.06</v>
      </c>
      <c r="J190" s="1">
        <v>0.0</v>
      </c>
      <c r="K190" s="1">
        <v>0.0</v>
      </c>
      <c r="L190" s="1">
        <v>8.74E7</v>
      </c>
      <c r="M190" s="1" t="s">
        <v>3641</v>
      </c>
      <c r="N190" s="18">
        <v>46036.0</v>
      </c>
      <c r="O190" s="1" t="s">
        <v>3642</v>
      </c>
      <c r="P190" s="1" t="s">
        <v>3230</v>
      </c>
      <c r="Q190" s="1" t="s">
        <v>3231</v>
      </c>
    </row>
    <row r="191">
      <c r="A191" s="1" t="s">
        <v>3643</v>
      </c>
      <c r="B191" s="1">
        <v>4.0</v>
      </c>
      <c r="C191" s="1">
        <v>50.0</v>
      </c>
      <c r="D191" s="2" t="s">
        <v>581</v>
      </c>
      <c r="E191" s="1">
        <v>4.0</v>
      </c>
      <c r="F191" s="1">
        <v>4.0</v>
      </c>
      <c r="G191" s="1">
        <v>0.0</v>
      </c>
      <c r="H191" s="1">
        <v>1.0</v>
      </c>
      <c r="I191" s="1">
        <v>0.06</v>
      </c>
      <c r="J191" s="1">
        <v>0.0</v>
      </c>
      <c r="K191" s="1">
        <v>0.02</v>
      </c>
      <c r="L191" s="1">
        <v>47200.0</v>
      </c>
      <c r="M191" s="1" t="s">
        <v>3644</v>
      </c>
      <c r="N191" s="18">
        <v>46032.0</v>
      </c>
      <c r="O191" s="1" t="s">
        <v>3645</v>
      </c>
      <c r="P191" s="1" t="s">
        <v>3257</v>
      </c>
      <c r="Q191" s="1" t="s">
        <v>3408</v>
      </c>
    </row>
    <row r="192">
      <c r="A192" s="1" t="s">
        <v>3646</v>
      </c>
      <c r="B192" s="1">
        <v>4.0</v>
      </c>
      <c r="C192" s="1">
        <v>50.0</v>
      </c>
      <c r="D192" s="2" t="s">
        <v>694</v>
      </c>
      <c r="E192" s="1">
        <v>4.0</v>
      </c>
      <c r="F192" s="1">
        <v>21.0</v>
      </c>
      <c r="G192" s="1">
        <v>0.0</v>
      </c>
      <c r="H192" s="1">
        <v>0.0</v>
      </c>
      <c r="I192" s="1">
        <v>0.0</v>
      </c>
      <c r="J192" s="1">
        <v>0.0</v>
      </c>
      <c r="K192" s="1">
        <v>0.03</v>
      </c>
      <c r="L192" s="1">
        <v>153000.0</v>
      </c>
      <c r="M192" s="1" t="s">
        <v>3647</v>
      </c>
      <c r="N192" s="18">
        <v>46028.0</v>
      </c>
      <c r="O192" s="1" t="s">
        <v>3284</v>
      </c>
      <c r="P192" s="1" t="s">
        <v>3230</v>
      </c>
      <c r="Q192" s="1" t="s">
        <v>3231</v>
      </c>
    </row>
    <row r="193">
      <c r="A193" s="1" t="s">
        <v>3648</v>
      </c>
      <c r="B193" s="1">
        <v>4.0</v>
      </c>
      <c r="C193" s="1">
        <v>90.0</v>
      </c>
      <c r="D193" s="2" t="s">
        <v>714</v>
      </c>
      <c r="E193" s="1">
        <v>4.0</v>
      </c>
      <c r="F193" s="1">
        <v>20.0</v>
      </c>
      <c r="G193" s="1">
        <v>0.41</v>
      </c>
      <c r="H193" s="1">
        <v>0.0</v>
      </c>
      <c r="I193" s="1">
        <v>0.0</v>
      </c>
      <c r="J193" s="1">
        <v>0.0</v>
      </c>
      <c r="K193" s="1">
        <v>0.29</v>
      </c>
      <c r="L193" s="1">
        <v>2430000.0</v>
      </c>
      <c r="M193" s="1" t="s">
        <v>3649</v>
      </c>
      <c r="N193" s="18">
        <v>46027.0</v>
      </c>
      <c r="O193" s="1" t="s">
        <v>3650</v>
      </c>
      <c r="P193" s="1" t="s">
        <v>3230</v>
      </c>
      <c r="Q193" s="1" t="s">
        <v>3231</v>
      </c>
    </row>
    <row r="194">
      <c r="A194" s="1" t="s">
        <v>3651</v>
      </c>
      <c r="B194" s="1">
        <v>4.0</v>
      </c>
      <c r="C194" s="1">
        <v>50.0</v>
      </c>
      <c r="D194" s="2" t="s">
        <v>581</v>
      </c>
      <c r="E194" s="1">
        <v>4.0</v>
      </c>
      <c r="F194" s="1">
        <v>3.0</v>
      </c>
      <c r="G194" s="1">
        <v>5.11</v>
      </c>
      <c r="H194" s="1">
        <v>2.0</v>
      </c>
      <c r="I194" s="1">
        <v>0.13</v>
      </c>
      <c r="J194" s="1">
        <v>10.0</v>
      </c>
      <c r="K194" s="1">
        <v>0.12</v>
      </c>
      <c r="L194" s="1">
        <v>34000.0</v>
      </c>
      <c r="M194" s="1" t="s">
        <v>3652</v>
      </c>
      <c r="N194" s="18">
        <v>46027.0</v>
      </c>
      <c r="O194" s="1" t="s">
        <v>3653</v>
      </c>
      <c r="P194" s="1" t="s">
        <v>3334</v>
      </c>
      <c r="Q194" s="1" t="s">
        <v>3408</v>
      </c>
    </row>
    <row r="195">
      <c r="A195" s="1" t="s">
        <v>3654</v>
      </c>
      <c r="B195" s="1">
        <v>4.0</v>
      </c>
      <c r="C195" s="1">
        <v>30.0</v>
      </c>
      <c r="D195" s="2" t="s">
        <v>617</v>
      </c>
      <c r="E195" s="1">
        <v>4.0</v>
      </c>
      <c r="G195" s="1">
        <v>17.48</v>
      </c>
      <c r="H195" s="1">
        <v>0.0</v>
      </c>
      <c r="I195" s="1">
        <v>0.0</v>
      </c>
      <c r="J195" s="1">
        <v>0.0</v>
      </c>
      <c r="K195" s="1">
        <v>0.53</v>
      </c>
      <c r="L195" s="1">
        <v>6790000.0</v>
      </c>
      <c r="M195" s="1" t="s">
        <v>3655</v>
      </c>
      <c r="N195" s="18">
        <v>46026.0</v>
      </c>
      <c r="O195" s="1" t="s">
        <v>3404</v>
      </c>
      <c r="P195" s="1" t="s">
        <v>3257</v>
      </c>
      <c r="Q195" s="1" t="s">
        <v>3408</v>
      </c>
    </row>
    <row r="196">
      <c r="A196" s="1" t="s">
        <v>3656</v>
      </c>
      <c r="B196" s="1">
        <v>4.0</v>
      </c>
      <c r="C196" s="1">
        <v>140.0</v>
      </c>
      <c r="D196" s="2" t="s">
        <v>581</v>
      </c>
      <c r="E196" s="1">
        <v>4.0</v>
      </c>
      <c r="F196" s="1">
        <v>25.0</v>
      </c>
      <c r="G196" s="1">
        <v>13.98</v>
      </c>
      <c r="H196" s="1">
        <v>4.0</v>
      </c>
      <c r="I196" s="1">
        <v>0.26</v>
      </c>
      <c r="J196" s="1">
        <v>55.0</v>
      </c>
      <c r="K196" s="1">
        <v>0.45</v>
      </c>
      <c r="L196" s="1">
        <v>33000.0</v>
      </c>
      <c r="M196" s="1" t="s">
        <v>3657</v>
      </c>
      <c r="N196" s="18">
        <v>46024.0</v>
      </c>
      <c r="O196" s="1" t="s">
        <v>3435</v>
      </c>
      <c r="P196" s="1" t="s">
        <v>3257</v>
      </c>
      <c r="Q196" s="1" t="s">
        <v>3408</v>
      </c>
    </row>
    <row r="197">
      <c r="A197" s="1" t="s">
        <v>3422</v>
      </c>
      <c r="B197" s="1">
        <v>4.0</v>
      </c>
      <c r="C197" s="1">
        <v>70.0</v>
      </c>
      <c r="D197" s="2" t="s">
        <v>3460</v>
      </c>
      <c r="E197" s="1">
        <v>4.0</v>
      </c>
      <c r="F197" s="1">
        <v>3.0</v>
      </c>
      <c r="G197" s="1">
        <v>0.0</v>
      </c>
      <c r="H197" s="1">
        <v>2.0</v>
      </c>
      <c r="I197" s="1">
        <v>0.13</v>
      </c>
      <c r="J197" s="1">
        <v>0.0</v>
      </c>
      <c r="K197" s="1">
        <v>0.0</v>
      </c>
      <c r="L197" s="1">
        <v>4.76E8</v>
      </c>
      <c r="M197" s="1" t="s">
        <v>3423</v>
      </c>
      <c r="N197" s="18">
        <v>46022.0</v>
      </c>
      <c r="O197" s="1" t="s">
        <v>3424</v>
      </c>
      <c r="P197" s="1" t="s">
        <v>3257</v>
      </c>
      <c r="Q197" s="1" t="s">
        <v>3258</v>
      </c>
    </row>
    <row r="198">
      <c r="A198" s="1" t="s">
        <v>3422</v>
      </c>
      <c r="B198" s="1">
        <v>4.0</v>
      </c>
      <c r="C198" s="1">
        <v>70.0</v>
      </c>
      <c r="D198" s="2" t="s">
        <v>3286</v>
      </c>
      <c r="E198" s="1">
        <v>4.0</v>
      </c>
      <c r="F198" s="1">
        <v>3.0</v>
      </c>
      <c r="G198" s="1">
        <v>0.0</v>
      </c>
      <c r="H198" s="1">
        <v>2.0</v>
      </c>
      <c r="I198" s="1">
        <v>0.13</v>
      </c>
      <c r="J198" s="1">
        <v>0.0</v>
      </c>
      <c r="K198" s="1">
        <v>0.0</v>
      </c>
      <c r="L198" s="1">
        <v>4.76E8</v>
      </c>
      <c r="M198" s="1" t="s">
        <v>3423</v>
      </c>
      <c r="N198" s="18">
        <v>46022.0</v>
      </c>
      <c r="O198" s="1" t="s">
        <v>3424</v>
      </c>
      <c r="P198" s="1" t="s">
        <v>3257</v>
      </c>
      <c r="Q198" s="1" t="s">
        <v>3258</v>
      </c>
    </row>
    <row r="199">
      <c r="A199" s="1" t="s">
        <v>3422</v>
      </c>
      <c r="B199" s="1">
        <v>4.0</v>
      </c>
      <c r="C199" s="1">
        <v>70.0</v>
      </c>
      <c r="D199" s="2" t="s">
        <v>3254</v>
      </c>
      <c r="E199" s="1">
        <v>4.0</v>
      </c>
      <c r="F199" s="1">
        <v>3.0</v>
      </c>
      <c r="G199" s="1">
        <v>0.0</v>
      </c>
      <c r="H199" s="1">
        <v>3.0</v>
      </c>
      <c r="I199" s="1">
        <v>0.19</v>
      </c>
      <c r="J199" s="1">
        <v>0.0</v>
      </c>
      <c r="K199" s="1">
        <v>0.0</v>
      </c>
      <c r="L199" s="1">
        <v>4.76E8</v>
      </c>
      <c r="M199" s="1" t="s">
        <v>3423</v>
      </c>
      <c r="N199" s="18">
        <v>46022.0</v>
      </c>
      <c r="O199" s="1" t="s">
        <v>3424</v>
      </c>
      <c r="P199" s="1" t="s">
        <v>3257</v>
      </c>
      <c r="Q199" s="1" t="s">
        <v>3258</v>
      </c>
    </row>
    <row r="200">
      <c r="A200" s="1" t="s">
        <v>3658</v>
      </c>
      <c r="B200" s="1">
        <v>4.0</v>
      </c>
      <c r="C200" s="1">
        <v>70.0</v>
      </c>
      <c r="D200" s="2" t="s">
        <v>581</v>
      </c>
      <c r="E200" s="1">
        <v>4.0</v>
      </c>
      <c r="F200" s="1">
        <v>25.0</v>
      </c>
      <c r="G200" s="1">
        <v>13.28</v>
      </c>
      <c r="H200" s="1">
        <v>2.0</v>
      </c>
      <c r="I200" s="1">
        <v>0.13</v>
      </c>
      <c r="J200" s="1">
        <v>26.0</v>
      </c>
      <c r="K200" s="1">
        <v>0.21</v>
      </c>
      <c r="L200" s="1">
        <v>69700.0</v>
      </c>
      <c r="M200" s="1" t="s">
        <v>3659</v>
      </c>
      <c r="N200" s="18">
        <v>46017.0</v>
      </c>
      <c r="O200" s="1" t="s">
        <v>3435</v>
      </c>
      <c r="P200" s="1" t="s">
        <v>3257</v>
      </c>
      <c r="Q200" s="1" t="s">
        <v>3408</v>
      </c>
    </row>
    <row r="201">
      <c r="A201" s="1" t="s">
        <v>3660</v>
      </c>
      <c r="B201" s="1">
        <v>4.0</v>
      </c>
      <c r="C201" s="1">
        <v>90.0</v>
      </c>
      <c r="D201" s="2" t="s">
        <v>3661</v>
      </c>
      <c r="E201" s="1">
        <v>4.0</v>
      </c>
      <c r="F201" s="1">
        <v>12.0</v>
      </c>
      <c r="G201" s="1">
        <v>0.0</v>
      </c>
      <c r="H201" s="1">
        <v>3.0</v>
      </c>
      <c r="I201" s="1">
        <v>0.19</v>
      </c>
      <c r="J201" s="1">
        <v>0.0</v>
      </c>
      <c r="K201" s="1">
        <v>0.0</v>
      </c>
      <c r="L201" s="1">
        <v>1950000.0</v>
      </c>
      <c r="M201" s="1" t="s">
        <v>3662</v>
      </c>
      <c r="N201" s="18">
        <v>46015.0</v>
      </c>
      <c r="O201" s="1" t="s">
        <v>3663</v>
      </c>
      <c r="P201" s="1" t="s">
        <v>3230</v>
      </c>
      <c r="Q201" s="1" t="s">
        <v>3408</v>
      </c>
    </row>
    <row r="202">
      <c r="A202" s="1" t="s">
        <v>3635</v>
      </c>
      <c r="B202" s="1">
        <v>4.0</v>
      </c>
      <c r="C202" s="1">
        <v>90.0</v>
      </c>
      <c r="D202" s="2" t="s">
        <v>2930</v>
      </c>
      <c r="E202" s="1">
        <v>4.0</v>
      </c>
      <c r="F202" s="1">
        <v>26.0</v>
      </c>
      <c r="G202" s="1">
        <v>0.0</v>
      </c>
      <c r="H202" s="1">
        <v>0.0</v>
      </c>
      <c r="I202" s="1">
        <v>0.0</v>
      </c>
      <c r="J202" s="1">
        <v>0.0</v>
      </c>
      <c r="K202" s="1">
        <v>0.0</v>
      </c>
      <c r="L202" s="1">
        <v>45900.0</v>
      </c>
      <c r="M202" s="1" t="s">
        <v>3636</v>
      </c>
      <c r="N202" s="18">
        <v>46014.0</v>
      </c>
      <c r="O202" s="1" t="s">
        <v>3479</v>
      </c>
      <c r="P202" s="1" t="s">
        <v>3230</v>
      </c>
      <c r="Q202" s="1" t="s">
        <v>3408</v>
      </c>
    </row>
    <row r="203">
      <c r="A203" s="1" t="s">
        <v>3664</v>
      </c>
      <c r="B203" s="1">
        <v>4.0</v>
      </c>
      <c r="C203" s="1">
        <v>70.0</v>
      </c>
      <c r="D203" s="2" t="s">
        <v>2930</v>
      </c>
      <c r="E203" s="1">
        <v>4.0</v>
      </c>
      <c r="F203" s="1">
        <v>18.0</v>
      </c>
      <c r="G203" s="1">
        <v>0.0</v>
      </c>
      <c r="H203" s="1">
        <v>0.0</v>
      </c>
      <c r="I203" s="1">
        <v>0.0</v>
      </c>
      <c r="J203" s="1">
        <v>0.0</v>
      </c>
      <c r="K203" s="1">
        <v>0.0</v>
      </c>
      <c r="L203" s="1">
        <v>31800.0</v>
      </c>
      <c r="M203" s="1" t="s">
        <v>3665</v>
      </c>
      <c r="N203" s="18">
        <v>46008.0</v>
      </c>
      <c r="O203" s="1" t="s">
        <v>3264</v>
      </c>
      <c r="P203" s="1" t="s">
        <v>3230</v>
      </c>
      <c r="Q203" s="1" t="s">
        <v>3231</v>
      </c>
    </row>
    <row r="204">
      <c r="A204" s="1" t="s">
        <v>3666</v>
      </c>
      <c r="B204" s="1">
        <v>4.0</v>
      </c>
      <c r="C204" s="1">
        <v>50.0</v>
      </c>
      <c r="D204" s="2" t="s">
        <v>694</v>
      </c>
      <c r="E204" s="1">
        <v>4.0</v>
      </c>
      <c r="F204" s="1">
        <v>2.0</v>
      </c>
      <c r="G204" s="1">
        <v>0.0</v>
      </c>
      <c r="H204" s="1">
        <v>1.0</v>
      </c>
      <c r="I204" s="1">
        <v>0.06</v>
      </c>
      <c r="J204" s="1">
        <v>0.0</v>
      </c>
      <c r="K204" s="1">
        <v>0.0</v>
      </c>
      <c r="L204" s="1">
        <v>1350000.0</v>
      </c>
      <c r="M204" s="1" t="s">
        <v>3667</v>
      </c>
      <c r="N204" s="18">
        <v>45993.0</v>
      </c>
      <c r="O204" s="1" t="s">
        <v>3284</v>
      </c>
      <c r="P204" s="1" t="s">
        <v>3230</v>
      </c>
      <c r="Q204" s="1" t="s">
        <v>3408</v>
      </c>
    </row>
    <row r="205">
      <c r="A205" s="1" t="s">
        <v>3544</v>
      </c>
      <c r="B205" s="1">
        <v>4.0</v>
      </c>
      <c r="C205" s="1">
        <v>90.0</v>
      </c>
      <c r="D205" s="2" t="s">
        <v>1868</v>
      </c>
      <c r="E205" s="1">
        <v>4.0</v>
      </c>
      <c r="F205" s="1">
        <v>3.0</v>
      </c>
      <c r="G205" s="1">
        <v>0.0</v>
      </c>
      <c r="H205" s="1">
        <v>1.0</v>
      </c>
      <c r="I205" s="1">
        <v>0.06</v>
      </c>
      <c r="J205" s="1">
        <v>0.0</v>
      </c>
      <c r="K205" s="1">
        <v>0.01</v>
      </c>
      <c r="L205" s="1">
        <v>9.0</v>
      </c>
      <c r="M205" s="1" t="s">
        <v>3545</v>
      </c>
      <c r="N205" s="18">
        <v>45986.0</v>
      </c>
      <c r="O205" s="1" t="s">
        <v>3237</v>
      </c>
      <c r="P205" s="1" t="s">
        <v>3230</v>
      </c>
      <c r="Q205" s="1" t="s">
        <v>3408</v>
      </c>
    </row>
    <row r="206">
      <c r="A206" s="1" t="s">
        <v>3557</v>
      </c>
      <c r="B206" s="1">
        <v>4.0</v>
      </c>
      <c r="C206" s="1">
        <v>170.0</v>
      </c>
      <c r="D206" s="2" t="s">
        <v>581</v>
      </c>
      <c r="E206" s="1">
        <v>4.0</v>
      </c>
      <c r="F206" s="1">
        <v>10.0</v>
      </c>
      <c r="G206" s="1">
        <v>10.08</v>
      </c>
      <c r="H206" s="1">
        <v>5.0</v>
      </c>
      <c r="I206" s="1">
        <v>0.33</v>
      </c>
      <c r="J206" s="1">
        <v>50.0</v>
      </c>
      <c r="K206" s="1">
        <v>0.13</v>
      </c>
      <c r="L206" s="1">
        <v>8.0</v>
      </c>
      <c r="M206" s="1" t="s">
        <v>3558</v>
      </c>
      <c r="N206" s="18">
        <v>45984.0</v>
      </c>
      <c r="O206" s="1" t="s">
        <v>3415</v>
      </c>
      <c r="P206" s="1" t="s">
        <v>3257</v>
      </c>
      <c r="Q206" s="1" t="s">
        <v>3408</v>
      </c>
    </row>
    <row r="207">
      <c r="A207" s="1" t="s">
        <v>3668</v>
      </c>
      <c r="B207" s="1">
        <v>5.0</v>
      </c>
      <c r="C207" s="1">
        <v>50.0</v>
      </c>
      <c r="D207" s="2" t="s">
        <v>654</v>
      </c>
      <c r="E207" s="1">
        <v>5.0</v>
      </c>
      <c r="F207" s="1">
        <v>0.0</v>
      </c>
      <c r="G207" s="1">
        <v>0.0</v>
      </c>
      <c r="H207" s="1">
        <v>1.0</v>
      </c>
      <c r="I207" s="1">
        <v>0.06</v>
      </c>
      <c r="J207" s="1">
        <v>0.0</v>
      </c>
      <c r="K207" s="1">
        <v>0.33</v>
      </c>
      <c r="L207" s="1">
        <v>12900.0</v>
      </c>
      <c r="M207" s="1" t="s">
        <v>3669</v>
      </c>
      <c r="N207" s="18">
        <v>46033.0</v>
      </c>
      <c r="O207" s="1" t="s">
        <v>3670</v>
      </c>
      <c r="P207" s="1" t="s">
        <v>3334</v>
      </c>
      <c r="Q207" s="1" t="s">
        <v>3408</v>
      </c>
    </row>
    <row r="208">
      <c r="A208" s="1" t="s">
        <v>3353</v>
      </c>
      <c r="B208" s="1">
        <v>5.0</v>
      </c>
      <c r="C208" s="1">
        <v>50.0</v>
      </c>
      <c r="D208" s="2" t="s">
        <v>581</v>
      </c>
      <c r="E208" s="1">
        <v>5.0</v>
      </c>
      <c r="F208" s="1">
        <v>15.0</v>
      </c>
      <c r="G208" s="1">
        <v>0.0</v>
      </c>
      <c r="H208" s="1">
        <v>1.0</v>
      </c>
      <c r="I208" s="1">
        <v>0.06</v>
      </c>
      <c r="J208" s="1">
        <v>0.0</v>
      </c>
      <c r="K208" s="1">
        <v>0.0</v>
      </c>
      <c r="L208" s="1">
        <v>41500.0</v>
      </c>
      <c r="M208" s="1" t="s">
        <v>3354</v>
      </c>
      <c r="N208" s="18">
        <v>46030.0</v>
      </c>
      <c r="O208" s="1" t="s">
        <v>3355</v>
      </c>
      <c r="P208" s="1" t="s">
        <v>3257</v>
      </c>
      <c r="Q208" s="1" t="s">
        <v>3408</v>
      </c>
    </row>
    <row r="209">
      <c r="A209" s="1" t="s">
        <v>3671</v>
      </c>
      <c r="B209" s="1">
        <v>5.0</v>
      </c>
      <c r="C209" s="1">
        <v>70.0</v>
      </c>
      <c r="D209" s="2" t="s">
        <v>584</v>
      </c>
      <c r="E209" s="1">
        <v>5.0</v>
      </c>
      <c r="F209" s="1">
        <v>12.0</v>
      </c>
      <c r="G209" s="1">
        <v>11.04</v>
      </c>
      <c r="H209" s="1">
        <v>0.0</v>
      </c>
      <c r="I209" s="1">
        <v>0.0</v>
      </c>
      <c r="J209" s="1">
        <v>0.0</v>
      </c>
      <c r="K209" s="1">
        <v>0.47</v>
      </c>
      <c r="L209" s="1">
        <v>161000.0</v>
      </c>
      <c r="M209" s="1" t="s">
        <v>3672</v>
      </c>
      <c r="N209" s="18">
        <v>46028.0</v>
      </c>
      <c r="O209" s="1" t="s">
        <v>3673</v>
      </c>
      <c r="P209" s="1" t="s">
        <v>3257</v>
      </c>
      <c r="Q209" s="1" t="s">
        <v>3408</v>
      </c>
    </row>
    <row r="210">
      <c r="A210" s="1" t="s">
        <v>3674</v>
      </c>
      <c r="B210" s="1">
        <v>5.0</v>
      </c>
      <c r="C210" s="1">
        <v>40.0</v>
      </c>
      <c r="D210" s="2" t="s">
        <v>584</v>
      </c>
      <c r="E210" s="1">
        <v>5.0</v>
      </c>
      <c r="F210" s="1">
        <v>39.0</v>
      </c>
      <c r="G210" s="1">
        <v>12.96</v>
      </c>
      <c r="H210" s="1">
        <v>0.0</v>
      </c>
      <c r="I210" s="1">
        <v>0.0</v>
      </c>
      <c r="J210" s="1">
        <v>0.0</v>
      </c>
      <c r="K210" s="1">
        <v>0.63</v>
      </c>
      <c r="L210" s="1">
        <v>240000.0</v>
      </c>
      <c r="M210" s="1" t="s">
        <v>3675</v>
      </c>
      <c r="N210" s="18">
        <v>46018.0</v>
      </c>
      <c r="O210" s="1" t="s">
        <v>3482</v>
      </c>
      <c r="P210" s="1" t="s">
        <v>3257</v>
      </c>
      <c r="Q210" s="1" t="s">
        <v>3408</v>
      </c>
    </row>
    <row r="211">
      <c r="A211" s="1" t="s">
        <v>3445</v>
      </c>
      <c r="B211" s="1">
        <v>5.0</v>
      </c>
      <c r="C211" s="1">
        <v>110.0</v>
      </c>
      <c r="D211" s="2" t="s">
        <v>581</v>
      </c>
      <c r="E211" s="1">
        <v>5.0</v>
      </c>
      <c r="F211" s="1">
        <v>25.0</v>
      </c>
      <c r="G211" s="1">
        <v>13.28</v>
      </c>
      <c r="H211" s="1">
        <v>2.0</v>
      </c>
      <c r="I211" s="1">
        <v>0.13</v>
      </c>
      <c r="J211" s="1">
        <v>26.0</v>
      </c>
      <c r="K211" s="1">
        <v>0.21</v>
      </c>
      <c r="L211" s="1">
        <v>78800.0</v>
      </c>
      <c r="M211" s="1" t="s">
        <v>3446</v>
      </c>
      <c r="N211" s="18">
        <v>46016.0</v>
      </c>
      <c r="O211" s="1" t="s">
        <v>3415</v>
      </c>
      <c r="P211" s="1" t="s">
        <v>3257</v>
      </c>
      <c r="Q211" s="1" t="s">
        <v>3408</v>
      </c>
    </row>
    <row r="212">
      <c r="A212" s="1" t="s">
        <v>3676</v>
      </c>
      <c r="B212" s="1">
        <v>5.0</v>
      </c>
      <c r="C212" s="1">
        <v>210.0</v>
      </c>
      <c r="D212" s="2" t="s">
        <v>584</v>
      </c>
      <c r="E212" s="1">
        <v>5.0</v>
      </c>
      <c r="F212" s="1">
        <v>25.0</v>
      </c>
      <c r="G212" s="1">
        <v>17.92</v>
      </c>
      <c r="H212" s="1">
        <v>2.0</v>
      </c>
      <c r="I212" s="1">
        <v>0.13</v>
      </c>
      <c r="J212" s="1">
        <v>35.0</v>
      </c>
      <c r="K212" s="1">
        <v>0.32</v>
      </c>
      <c r="L212" s="1">
        <v>44700.0</v>
      </c>
      <c r="M212" s="1" t="s">
        <v>3677</v>
      </c>
      <c r="N212" s="18">
        <v>46007.0</v>
      </c>
      <c r="O212" s="1" t="s">
        <v>3288</v>
      </c>
      <c r="P212" s="1" t="s">
        <v>3257</v>
      </c>
      <c r="Q212" s="1" t="s">
        <v>3408</v>
      </c>
    </row>
    <row r="213">
      <c r="A213" s="1" t="s">
        <v>3678</v>
      </c>
      <c r="B213" s="1">
        <v>5.0</v>
      </c>
      <c r="C213" s="1">
        <v>140.0</v>
      </c>
      <c r="D213" s="2" t="s">
        <v>584</v>
      </c>
      <c r="E213" s="1">
        <v>5.0</v>
      </c>
      <c r="F213" s="1">
        <v>27.0</v>
      </c>
      <c r="G213" s="1">
        <v>13.81</v>
      </c>
      <c r="H213" s="1">
        <v>3.0</v>
      </c>
      <c r="I213" s="1">
        <v>0.19</v>
      </c>
      <c r="J213" s="1">
        <v>41.0</v>
      </c>
      <c r="K213" s="1">
        <v>0.25</v>
      </c>
      <c r="L213" s="1">
        <v>158000.0</v>
      </c>
      <c r="M213" s="1" t="s">
        <v>3679</v>
      </c>
      <c r="N213" s="18">
        <v>46000.0</v>
      </c>
      <c r="O213" s="1" t="s">
        <v>3415</v>
      </c>
      <c r="P213" s="1" t="s">
        <v>3257</v>
      </c>
      <c r="Q213" s="1" t="s">
        <v>3408</v>
      </c>
    </row>
    <row r="214">
      <c r="A214" s="1" t="s">
        <v>3680</v>
      </c>
      <c r="B214" s="1">
        <v>5.0</v>
      </c>
      <c r="C214" s="1">
        <v>110.0</v>
      </c>
      <c r="D214" s="2" t="s">
        <v>581</v>
      </c>
      <c r="E214" s="1">
        <v>5.0</v>
      </c>
      <c r="F214" s="1">
        <v>12.0</v>
      </c>
      <c r="G214" s="1">
        <v>13.92</v>
      </c>
      <c r="H214" s="1">
        <v>2.0</v>
      </c>
      <c r="I214" s="1">
        <v>0.13</v>
      </c>
      <c r="J214" s="1">
        <v>27.0</v>
      </c>
      <c r="K214" s="1">
        <v>0.06</v>
      </c>
      <c r="L214" s="1">
        <v>10.0</v>
      </c>
      <c r="M214" s="1" t="s">
        <v>3681</v>
      </c>
      <c r="N214" s="18">
        <v>45984.0</v>
      </c>
      <c r="O214" s="1" t="s">
        <v>3415</v>
      </c>
      <c r="P214" s="1" t="s">
        <v>3257</v>
      </c>
      <c r="Q214" s="1" t="s">
        <v>3408</v>
      </c>
    </row>
    <row r="215">
      <c r="A215" s="1" t="s">
        <v>3285</v>
      </c>
      <c r="B215" s="1">
        <v>6.0</v>
      </c>
      <c r="C215" s="1">
        <v>50.0</v>
      </c>
      <c r="D215" s="2" t="s">
        <v>584</v>
      </c>
      <c r="E215" s="1">
        <v>6.0</v>
      </c>
      <c r="G215" s="1">
        <v>16.24</v>
      </c>
      <c r="H215" s="1">
        <v>0.0</v>
      </c>
      <c r="I215" s="1">
        <v>0.0</v>
      </c>
      <c r="J215" s="1">
        <v>0.0</v>
      </c>
      <c r="K215" s="1">
        <v>0.67</v>
      </c>
      <c r="L215" s="1">
        <v>997000.0</v>
      </c>
      <c r="M215" s="1" t="s">
        <v>3287</v>
      </c>
      <c r="N215" s="18">
        <v>46038.0</v>
      </c>
      <c r="O215" s="1" t="s">
        <v>3288</v>
      </c>
      <c r="P215" s="1" t="s">
        <v>3257</v>
      </c>
      <c r="Q215" s="1" t="s">
        <v>3408</v>
      </c>
    </row>
    <row r="216">
      <c r="A216" s="1" t="s">
        <v>3682</v>
      </c>
      <c r="B216" s="1">
        <v>6.0</v>
      </c>
      <c r="C216" s="1">
        <v>50.0</v>
      </c>
      <c r="D216" s="2" t="s">
        <v>584</v>
      </c>
      <c r="E216" s="1">
        <v>6.0</v>
      </c>
      <c r="F216" s="1">
        <v>12.0</v>
      </c>
      <c r="G216" s="1">
        <v>11.04</v>
      </c>
      <c r="H216" s="1">
        <v>0.0</v>
      </c>
      <c r="I216" s="1">
        <v>0.0</v>
      </c>
      <c r="J216" s="1">
        <v>0.0</v>
      </c>
      <c r="K216" s="1">
        <v>0.47</v>
      </c>
      <c r="L216" s="1">
        <v>143000.0</v>
      </c>
      <c r="M216" s="1" t="s">
        <v>3683</v>
      </c>
      <c r="N216" s="18">
        <v>46034.0</v>
      </c>
      <c r="O216" s="1" t="s">
        <v>3673</v>
      </c>
      <c r="P216" s="1" t="s">
        <v>3257</v>
      </c>
      <c r="Q216" s="1" t="s">
        <v>3408</v>
      </c>
    </row>
    <row r="217">
      <c r="A217" s="1" t="s">
        <v>3684</v>
      </c>
      <c r="B217" s="1">
        <v>6.0</v>
      </c>
      <c r="C217" s="1">
        <v>50.0</v>
      </c>
      <c r="D217" s="2" t="s">
        <v>584</v>
      </c>
      <c r="E217" s="1">
        <v>6.0</v>
      </c>
      <c r="F217" s="1">
        <v>31.0</v>
      </c>
      <c r="G217" s="1">
        <v>16.24</v>
      </c>
      <c r="H217" s="1">
        <v>1.0</v>
      </c>
      <c r="I217" s="1">
        <v>0.06</v>
      </c>
      <c r="J217" s="1">
        <v>16.0</v>
      </c>
      <c r="K217" s="1">
        <v>0.67</v>
      </c>
      <c r="L217" s="1">
        <v>214000.0</v>
      </c>
      <c r="M217" s="1" t="s">
        <v>3685</v>
      </c>
      <c r="N217" s="18">
        <v>46032.0</v>
      </c>
      <c r="O217" s="1" t="s">
        <v>3686</v>
      </c>
      <c r="P217" s="1" t="s">
        <v>3257</v>
      </c>
      <c r="Q217" s="1" t="s">
        <v>3408</v>
      </c>
    </row>
    <row r="218">
      <c r="A218" s="1" t="s">
        <v>3687</v>
      </c>
      <c r="B218" s="1">
        <v>6.0</v>
      </c>
      <c r="C218" s="1">
        <v>40.0</v>
      </c>
      <c r="D218" s="2" t="s">
        <v>584</v>
      </c>
      <c r="E218" s="1">
        <v>6.0</v>
      </c>
      <c r="F218" s="1">
        <v>14.0</v>
      </c>
      <c r="G218" s="1">
        <v>16.24</v>
      </c>
      <c r="H218" s="1">
        <v>0.0</v>
      </c>
      <c r="I218" s="1">
        <v>0.0</v>
      </c>
      <c r="J218" s="1">
        <v>0.0</v>
      </c>
      <c r="K218" s="1">
        <v>0.67</v>
      </c>
      <c r="L218" s="1">
        <v>121000.0</v>
      </c>
      <c r="M218" s="1" t="s">
        <v>3688</v>
      </c>
      <c r="N218" s="18">
        <v>46032.0</v>
      </c>
      <c r="O218" s="1" t="s">
        <v>3455</v>
      </c>
      <c r="P218" s="1" t="s">
        <v>3257</v>
      </c>
      <c r="Q218" s="1" t="s">
        <v>3408</v>
      </c>
    </row>
    <row r="219">
      <c r="A219" s="1" t="s">
        <v>3689</v>
      </c>
      <c r="B219" s="1">
        <v>6.0</v>
      </c>
      <c r="C219" s="1">
        <v>50.0</v>
      </c>
      <c r="D219" s="2" t="s">
        <v>581</v>
      </c>
      <c r="E219" s="1">
        <v>6.0</v>
      </c>
      <c r="F219" s="1">
        <v>15.0</v>
      </c>
      <c r="G219" s="1">
        <v>0.0</v>
      </c>
      <c r="H219" s="1">
        <v>1.0</v>
      </c>
      <c r="I219" s="1">
        <v>0.06</v>
      </c>
      <c r="J219" s="1">
        <v>0.0</v>
      </c>
      <c r="K219" s="1">
        <v>0.0</v>
      </c>
      <c r="L219" s="1">
        <v>97600.0</v>
      </c>
      <c r="M219" s="1" t="s">
        <v>3690</v>
      </c>
      <c r="N219" s="18">
        <v>46031.0</v>
      </c>
      <c r="O219" s="1" t="s">
        <v>3691</v>
      </c>
      <c r="P219" s="1" t="s">
        <v>3257</v>
      </c>
      <c r="Q219" s="1" t="s">
        <v>3408</v>
      </c>
    </row>
    <row r="220">
      <c r="A220" s="1" t="s">
        <v>3692</v>
      </c>
      <c r="B220" s="1">
        <v>6.0</v>
      </c>
      <c r="C220" s="1">
        <v>50.0</v>
      </c>
      <c r="D220" s="2" t="s">
        <v>584</v>
      </c>
      <c r="E220" s="1">
        <v>6.0</v>
      </c>
      <c r="F220" s="1">
        <v>12.0</v>
      </c>
      <c r="G220" s="1">
        <v>0.0</v>
      </c>
      <c r="H220" s="1">
        <v>1.0</v>
      </c>
      <c r="I220" s="1">
        <v>0.06</v>
      </c>
      <c r="J220" s="1">
        <v>0.0</v>
      </c>
      <c r="K220" s="1">
        <v>0.24</v>
      </c>
      <c r="L220" s="1">
        <v>293000.0</v>
      </c>
      <c r="M220" s="1" t="s">
        <v>3693</v>
      </c>
      <c r="N220" s="18">
        <v>46030.0</v>
      </c>
      <c r="O220" s="1" t="s">
        <v>3673</v>
      </c>
      <c r="P220" s="1" t="s">
        <v>3257</v>
      </c>
      <c r="Q220" s="1" t="s">
        <v>3408</v>
      </c>
    </row>
    <row r="221">
      <c r="A221" s="1" t="s">
        <v>3694</v>
      </c>
      <c r="B221" s="1">
        <v>6.0</v>
      </c>
      <c r="C221" s="1">
        <v>50.0</v>
      </c>
      <c r="D221" s="2" t="s">
        <v>584</v>
      </c>
      <c r="E221" s="1">
        <v>6.0</v>
      </c>
      <c r="F221" s="1">
        <v>14.0</v>
      </c>
      <c r="G221" s="1">
        <v>0.0</v>
      </c>
      <c r="H221" s="1">
        <v>0.0</v>
      </c>
      <c r="I221" s="1">
        <v>0.0</v>
      </c>
      <c r="J221" s="1">
        <v>0.0</v>
      </c>
      <c r="K221" s="1">
        <v>0.0</v>
      </c>
      <c r="L221" s="1">
        <v>34200.0</v>
      </c>
      <c r="M221" s="1" t="s">
        <v>3695</v>
      </c>
      <c r="N221" s="18">
        <v>46030.0</v>
      </c>
      <c r="O221" s="1" t="s">
        <v>3455</v>
      </c>
      <c r="P221" s="1" t="s">
        <v>3257</v>
      </c>
      <c r="Q221" s="1" t="s">
        <v>3408</v>
      </c>
    </row>
    <row r="222">
      <c r="A222" s="1" t="s">
        <v>3696</v>
      </c>
      <c r="B222" s="1">
        <v>6.0</v>
      </c>
      <c r="C222" s="1">
        <v>70.0</v>
      </c>
      <c r="D222" s="2" t="s">
        <v>584</v>
      </c>
      <c r="E222" s="1">
        <v>6.0</v>
      </c>
      <c r="F222" s="1">
        <v>12.0</v>
      </c>
      <c r="G222" s="1">
        <v>11.04</v>
      </c>
      <c r="H222" s="1">
        <v>1.0</v>
      </c>
      <c r="I222" s="1">
        <v>0.06</v>
      </c>
      <c r="J222" s="1">
        <v>11.0</v>
      </c>
      <c r="K222" s="1">
        <v>0.47</v>
      </c>
      <c r="L222" s="1">
        <v>245000.0</v>
      </c>
      <c r="M222" s="1" t="s">
        <v>3697</v>
      </c>
      <c r="N222" s="18">
        <v>46028.0</v>
      </c>
      <c r="O222" s="1" t="s">
        <v>3686</v>
      </c>
      <c r="P222" s="1" t="s">
        <v>3257</v>
      </c>
      <c r="Q222" s="1" t="s">
        <v>3408</v>
      </c>
    </row>
    <row r="223">
      <c r="A223" s="1" t="s">
        <v>3698</v>
      </c>
      <c r="B223" s="1">
        <v>6.0</v>
      </c>
      <c r="C223" s="1">
        <v>170.0</v>
      </c>
      <c r="D223" s="2" t="s">
        <v>2331</v>
      </c>
      <c r="E223" s="1">
        <v>6.0</v>
      </c>
      <c r="F223" s="1">
        <v>21.0</v>
      </c>
      <c r="G223" s="1">
        <v>0.0</v>
      </c>
      <c r="H223" s="1">
        <v>4.0</v>
      </c>
      <c r="I223" s="1">
        <v>0.26</v>
      </c>
      <c r="J223" s="1">
        <v>0.0</v>
      </c>
      <c r="K223" s="1">
        <v>0.0</v>
      </c>
      <c r="L223" s="1">
        <v>2170000.0</v>
      </c>
      <c r="M223" s="1" t="s">
        <v>3699</v>
      </c>
      <c r="N223" s="18">
        <v>46024.0</v>
      </c>
      <c r="O223" s="1" t="s">
        <v>3700</v>
      </c>
      <c r="P223" s="1" t="s">
        <v>3230</v>
      </c>
      <c r="Q223" s="1" t="s">
        <v>3408</v>
      </c>
    </row>
    <row r="224">
      <c r="A224" s="1" t="s">
        <v>3701</v>
      </c>
      <c r="B224" s="1">
        <v>6.0</v>
      </c>
      <c r="C224" s="1">
        <v>110.0</v>
      </c>
      <c r="D224" s="2" t="s">
        <v>2331</v>
      </c>
      <c r="E224" s="1">
        <v>6.0</v>
      </c>
      <c r="F224" s="1">
        <v>12.0</v>
      </c>
      <c r="G224" s="1">
        <v>0.0</v>
      </c>
      <c r="H224" s="1">
        <v>2.0</v>
      </c>
      <c r="I224" s="1">
        <v>0.13</v>
      </c>
      <c r="J224" s="1">
        <v>0.0</v>
      </c>
      <c r="K224" s="1">
        <v>0.0</v>
      </c>
      <c r="L224" s="1">
        <v>2170000.0</v>
      </c>
      <c r="M224" s="1" t="s">
        <v>3702</v>
      </c>
      <c r="N224" s="18">
        <v>46024.0</v>
      </c>
      <c r="O224" s="1" t="s">
        <v>3703</v>
      </c>
      <c r="P224" s="1" t="s">
        <v>3230</v>
      </c>
      <c r="Q224" s="1" t="s">
        <v>3408</v>
      </c>
    </row>
    <row r="225">
      <c r="A225" s="1" t="s">
        <v>3704</v>
      </c>
      <c r="B225" s="1">
        <v>6.0</v>
      </c>
      <c r="C225" s="1">
        <v>140.0</v>
      </c>
      <c r="D225" s="2" t="s">
        <v>581</v>
      </c>
      <c r="E225" s="1">
        <v>6.0</v>
      </c>
      <c r="F225" s="1">
        <v>20.0</v>
      </c>
      <c r="G225" s="1">
        <v>16.24</v>
      </c>
      <c r="H225" s="1">
        <v>3.0</v>
      </c>
      <c r="I225" s="1">
        <v>0.19</v>
      </c>
      <c r="J225" s="1">
        <v>48.0</v>
      </c>
      <c r="K225" s="1">
        <v>0.67</v>
      </c>
      <c r="L225" s="1">
        <v>47200.0</v>
      </c>
      <c r="M225" s="1" t="s">
        <v>3705</v>
      </c>
      <c r="N225" s="18">
        <v>46023.0</v>
      </c>
      <c r="O225" s="1" t="s">
        <v>3706</v>
      </c>
      <c r="P225" s="1" t="s">
        <v>3257</v>
      </c>
      <c r="Q225" s="1" t="s">
        <v>3408</v>
      </c>
    </row>
    <row r="226">
      <c r="A226" s="1" t="s">
        <v>3419</v>
      </c>
      <c r="B226" s="1">
        <v>6.0</v>
      </c>
      <c r="C226" s="1">
        <v>30.0</v>
      </c>
      <c r="D226" s="2" t="s">
        <v>581</v>
      </c>
      <c r="E226" s="1">
        <v>6.0</v>
      </c>
      <c r="F226" s="1">
        <v>44.0</v>
      </c>
      <c r="G226" s="1">
        <v>22.36</v>
      </c>
      <c r="H226" s="1">
        <v>0.0</v>
      </c>
      <c r="I226" s="1">
        <v>0.0</v>
      </c>
      <c r="J226" s="1">
        <v>0.0</v>
      </c>
      <c r="K226" s="1">
        <v>0.99</v>
      </c>
      <c r="L226" s="1">
        <v>18700.0</v>
      </c>
      <c r="M226" s="1" t="s">
        <v>3420</v>
      </c>
      <c r="N226" s="18">
        <v>46022.0</v>
      </c>
      <c r="O226" s="1" t="s">
        <v>3421</v>
      </c>
      <c r="P226" s="1" t="s">
        <v>3257</v>
      </c>
      <c r="Q226" s="1" t="s">
        <v>3408</v>
      </c>
    </row>
    <row r="227">
      <c r="A227" s="1" t="s">
        <v>3707</v>
      </c>
      <c r="B227" s="1">
        <v>6.0</v>
      </c>
      <c r="C227" s="1">
        <v>210.0</v>
      </c>
      <c r="D227" s="2" t="s">
        <v>584</v>
      </c>
      <c r="E227" s="1">
        <v>6.0</v>
      </c>
      <c r="F227" s="1">
        <v>31.0</v>
      </c>
      <c r="G227" s="1">
        <v>16.24</v>
      </c>
      <c r="H227" s="1">
        <v>1.0</v>
      </c>
      <c r="I227" s="1">
        <v>0.06</v>
      </c>
      <c r="J227" s="1">
        <v>16.0</v>
      </c>
      <c r="K227" s="1">
        <v>0.67</v>
      </c>
      <c r="L227" s="1">
        <v>141000.0</v>
      </c>
      <c r="M227" s="1" t="s">
        <v>3708</v>
      </c>
      <c r="N227" s="18">
        <v>46022.0</v>
      </c>
      <c r="O227" s="1" t="s">
        <v>3673</v>
      </c>
      <c r="P227" s="1" t="s">
        <v>3257</v>
      </c>
      <c r="Q227" s="1" t="s">
        <v>3408</v>
      </c>
    </row>
    <row r="228">
      <c r="A228" s="1" t="s">
        <v>3709</v>
      </c>
      <c r="B228" s="1">
        <v>6.0</v>
      </c>
      <c r="C228" s="1">
        <v>170.0</v>
      </c>
      <c r="D228" s="2" t="s">
        <v>584</v>
      </c>
      <c r="E228" s="1">
        <v>6.0</v>
      </c>
      <c r="F228" s="1">
        <v>15.0</v>
      </c>
      <c r="G228" s="1">
        <v>16.24</v>
      </c>
      <c r="H228" s="1">
        <v>1.0</v>
      </c>
      <c r="I228" s="1">
        <v>0.06</v>
      </c>
      <c r="J228" s="1">
        <v>16.0</v>
      </c>
      <c r="K228" s="1">
        <v>0.67</v>
      </c>
      <c r="L228" s="1">
        <v>939000.0</v>
      </c>
      <c r="M228" s="1" t="s">
        <v>3710</v>
      </c>
      <c r="N228" s="18">
        <v>46021.0</v>
      </c>
      <c r="O228" s="1" t="s">
        <v>3673</v>
      </c>
      <c r="P228" s="1" t="s">
        <v>3257</v>
      </c>
      <c r="Q228" s="1" t="s">
        <v>3408</v>
      </c>
    </row>
    <row r="229">
      <c r="A229" s="1" t="s">
        <v>3447</v>
      </c>
      <c r="B229" s="1">
        <v>6.0</v>
      </c>
      <c r="C229" s="1">
        <v>140.0</v>
      </c>
      <c r="D229" s="2" t="s">
        <v>581</v>
      </c>
      <c r="E229" s="1">
        <v>6.0</v>
      </c>
      <c r="F229" s="1">
        <v>14.0</v>
      </c>
      <c r="G229" s="1">
        <v>13.98</v>
      </c>
      <c r="H229" s="1">
        <v>3.0</v>
      </c>
      <c r="I229" s="1">
        <v>0.19</v>
      </c>
      <c r="J229" s="1">
        <v>41.0</v>
      </c>
      <c r="K229" s="1">
        <v>0.45</v>
      </c>
      <c r="L229" s="1">
        <v>26700.0</v>
      </c>
      <c r="M229" s="1" t="s">
        <v>3448</v>
      </c>
      <c r="N229" s="18">
        <v>46016.0</v>
      </c>
      <c r="O229" s="1" t="s">
        <v>3415</v>
      </c>
      <c r="P229" s="1" t="s">
        <v>3257</v>
      </c>
      <c r="Q229" s="1" t="s">
        <v>3408</v>
      </c>
    </row>
    <row r="230">
      <c r="A230" s="1" t="s">
        <v>3711</v>
      </c>
      <c r="B230" s="1">
        <v>6.0</v>
      </c>
      <c r="C230" s="1">
        <v>70.0</v>
      </c>
      <c r="D230" s="2" t="s">
        <v>584</v>
      </c>
      <c r="E230" s="1">
        <v>6.0</v>
      </c>
      <c r="F230" s="1">
        <v>9.0</v>
      </c>
      <c r="G230" s="1">
        <v>0.0</v>
      </c>
      <c r="H230" s="1">
        <v>1.0</v>
      </c>
      <c r="I230" s="1">
        <v>0.06</v>
      </c>
      <c r="J230" s="1">
        <v>0.0</v>
      </c>
      <c r="K230" s="1">
        <v>0.0</v>
      </c>
      <c r="L230" s="1">
        <v>139000.0</v>
      </c>
      <c r="M230" s="1" t="s">
        <v>3712</v>
      </c>
      <c r="N230" s="18">
        <v>46009.0</v>
      </c>
      <c r="O230" s="1" t="s">
        <v>3713</v>
      </c>
      <c r="P230" s="1" t="s">
        <v>3257</v>
      </c>
      <c r="Q230" s="1" t="s">
        <v>3408</v>
      </c>
    </row>
    <row r="231">
      <c r="A231" s="1" t="s">
        <v>3480</v>
      </c>
      <c r="B231" s="1">
        <v>6.0</v>
      </c>
      <c r="C231" s="1">
        <v>50.0</v>
      </c>
      <c r="D231" s="2" t="s">
        <v>594</v>
      </c>
      <c r="E231" s="1">
        <v>6.0</v>
      </c>
      <c r="F231" s="1">
        <v>23.0</v>
      </c>
      <c r="G231" s="1">
        <v>7.8</v>
      </c>
      <c r="H231" s="1">
        <v>1.0</v>
      </c>
      <c r="I231" s="1">
        <v>0.06</v>
      </c>
      <c r="J231" s="1">
        <v>7.0</v>
      </c>
      <c r="K231" s="1">
        <v>0.52</v>
      </c>
      <c r="L231" s="1">
        <v>61800.0</v>
      </c>
      <c r="M231" s="1" t="s">
        <v>3481</v>
      </c>
      <c r="N231" s="18">
        <v>46008.0</v>
      </c>
      <c r="O231" s="1" t="s">
        <v>3482</v>
      </c>
      <c r="P231" s="1" t="s">
        <v>3257</v>
      </c>
      <c r="Q231" s="1" t="s">
        <v>3408</v>
      </c>
    </row>
    <row r="232">
      <c r="A232" s="1" t="s">
        <v>3714</v>
      </c>
      <c r="B232" s="1">
        <v>6.0</v>
      </c>
      <c r="C232" s="1">
        <v>70.0</v>
      </c>
      <c r="D232" s="2" t="s">
        <v>584</v>
      </c>
      <c r="E232" s="1">
        <v>6.0</v>
      </c>
      <c r="F232" s="1">
        <v>47.0</v>
      </c>
      <c r="G232" s="1">
        <v>17.92</v>
      </c>
      <c r="H232" s="1">
        <v>1.0</v>
      </c>
      <c r="I232" s="1">
        <v>0.06</v>
      </c>
      <c r="J232" s="1">
        <v>17.0</v>
      </c>
      <c r="K232" s="1">
        <v>0.32</v>
      </c>
      <c r="L232" s="1">
        <v>657000.0</v>
      </c>
      <c r="M232" s="1" t="s">
        <v>3715</v>
      </c>
      <c r="N232" s="18">
        <v>46003.0</v>
      </c>
      <c r="O232" s="1" t="s">
        <v>3415</v>
      </c>
      <c r="P232" s="1" t="s">
        <v>3257</v>
      </c>
      <c r="Q232" s="1" t="s">
        <v>3408</v>
      </c>
    </row>
    <row r="233">
      <c r="A233" s="1" t="s">
        <v>3716</v>
      </c>
      <c r="B233" s="1">
        <v>6.0</v>
      </c>
      <c r="C233" s="1">
        <v>30.0</v>
      </c>
      <c r="D233" s="2" t="s">
        <v>584</v>
      </c>
      <c r="E233" s="1">
        <v>6.0</v>
      </c>
      <c r="F233" s="1">
        <v>48.0</v>
      </c>
      <c r="G233" s="1">
        <v>21.97</v>
      </c>
      <c r="H233" s="1">
        <v>0.0</v>
      </c>
      <c r="I233" s="1">
        <v>0.0</v>
      </c>
      <c r="J233" s="1">
        <v>0.0</v>
      </c>
      <c r="K233" s="1">
        <v>0.09</v>
      </c>
      <c r="L233" s="1">
        <v>724000.0</v>
      </c>
      <c r="M233" s="1" t="s">
        <v>3717</v>
      </c>
      <c r="N233" s="18">
        <v>46002.0</v>
      </c>
      <c r="O233" s="1" t="s">
        <v>3435</v>
      </c>
      <c r="P233" s="1" t="s">
        <v>3257</v>
      </c>
      <c r="Q233" s="1" t="s">
        <v>3408</v>
      </c>
    </row>
    <row r="234">
      <c r="A234" s="1" t="s">
        <v>3718</v>
      </c>
      <c r="B234" s="1">
        <v>6.0</v>
      </c>
      <c r="C234" s="1">
        <v>170.0</v>
      </c>
      <c r="D234" s="2" t="s">
        <v>584</v>
      </c>
      <c r="E234" s="1">
        <v>6.0</v>
      </c>
      <c r="F234" s="1">
        <v>25.0</v>
      </c>
      <c r="G234" s="1">
        <v>17.92</v>
      </c>
      <c r="H234" s="1">
        <v>2.0</v>
      </c>
      <c r="I234" s="1">
        <v>0.13</v>
      </c>
      <c r="J234" s="1">
        <v>35.0</v>
      </c>
      <c r="K234" s="1">
        <v>0.32</v>
      </c>
      <c r="L234" s="1">
        <v>53600.0</v>
      </c>
      <c r="M234" s="1" t="s">
        <v>3719</v>
      </c>
      <c r="N234" s="18">
        <v>45997.0</v>
      </c>
      <c r="O234" s="1" t="s">
        <v>3720</v>
      </c>
      <c r="P234" s="1" t="s">
        <v>3257</v>
      </c>
      <c r="Q234" s="1" t="s">
        <v>3408</v>
      </c>
    </row>
    <row r="235">
      <c r="A235" s="1" t="s">
        <v>3721</v>
      </c>
      <c r="B235" s="1">
        <v>6.0</v>
      </c>
      <c r="C235" s="1">
        <v>90.0</v>
      </c>
      <c r="D235" s="2" t="s">
        <v>1685</v>
      </c>
      <c r="E235" s="1">
        <v>6.0</v>
      </c>
      <c r="F235" s="1">
        <v>0.0</v>
      </c>
      <c r="G235" s="1">
        <v>0.0</v>
      </c>
      <c r="H235" s="1">
        <v>2.0</v>
      </c>
      <c r="I235" s="1">
        <v>0.13</v>
      </c>
      <c r="J235" s="1">
        <v>0.0</v>
      </c>
      <c r="K235" s="1">
        <v>0.03</v>
      </c>
      <c r="L235" s="1">
        <v>5710000.0</v>
      </c>
      <c r="M235" s="1" t="s">
        <v>3722</v>
      </c>
      <c r="N235" s="18">
        <v>45995.0</v>
      </c>
      <c r="O235" s="1" t="s">
        <v>3407</v>
      </c>
      <c r="P235" s="1" t="s">
        <v>3230</v>
      </c>
      <c r="Q235" s="1" t="s">
        <v>3408</v>
      </c>
    </row>
    <row r="236">
      <c r="A236" s="1" t="s">
        <v>3518</v>
      </c>
      <c r="B236" s="1">
        <v>6.0</v>
      </c>
      <c r="C236" s="1">
        <v>90.0</v>
      </c>
      <c r="D236" s="2" t="s">
        <v>594</v>
      </c>
      <c r="E236" s="1">
        <v>6.0</v>
      </c>
      <c r="F236" s="1">
        <v>20.0</v>
      </c>
      <c r="G236" s="1">
        <v>7.8</v>
      </c>
      <c r="H236" s="1">
        <v>2.0</v>
      </c>
      <c r="I236" s="1">
        <v>0.13</v>
      </c>
      <c r="J236" s="1">
        <v>15.0</v>
      </c>
      <c r="K236" s="1">
        <v>0.52</v>
      </c>
      <c r="L236" s="1">
        <v>34300.0</v>
      </c>
      <c r="M236" s="1" t="s">
        <v>3519</v>
      </c>
      <c r="N236" s="18">
        <v>45992.0</v>
      </c>
      <c r="O236" s="1" t="s">
        <v>3520</v>
      </c>
      <c r="P236" s="1" t="s">
        <v>3257</v>
      </c>
      <c r="Q236" s="1" t="s">
        <v>3408</v>
      </c>
    </row>
    <row r="237">
      <c r="A237" s="1" t="s">
        <v>3723</v>
      </c>
      <c r="B237" s="1">
        <v>6.0</v>
      </c>
      <c r="C237" s="1">
        <v>70.0</v>
      </c>
      <c r="D237" s="2" t="s">
        <v>1685</v>
      </c>
      <c r="E237" s="1">
        <v>6.0</v>
      </c>
      <c r="F237" s="1">
        <v>0.0</v>
      </c>
      <c r="G237" s="1">
        <v>0.0</v>
      </c>
      <c r="H237" s="1">
        <v>1.0</v>
      </c>
      <c r="I237" s="1">
        <v>0.06</v>
      </c>
      <c r="J237" s="1">
        <v>0.0</v>
      </c>
      <c r="K237" s="1">
        <v>0.09</v>
      </c>
      <c r="L237" s="1">
        <v>6480000.0</v>
      </c>
      <c r="M237" s="1" t="s">
        <v>3724</v>
      </c>
      <c r="N237" s="18">
        <v>45988.0</v>
      </c>
      <c r="O237" s="1" t="s">
        <v>3284</v>
      </c>
      <c r="P237" s="1" t="s">
        <v>3230</v>
      </c>
      <c r="Q237" s="1" t="s">
        <v>3408</v>
      </c>
    </row>
    <row r="238">
      <c r="A238" s="1" t="s">
        <v>3725</v>
      </c>
      <c r="B238" s="1">
        <v>6.0</v>
      </c>
      <c r="C238" s="1">
        <v>260.0</v>
      </c>
      <c r="D238" s="2" t="s">
        <v>584</v>
      </c>
      <c r="E238" s="1">
        <v>6.0</v>
      </c>
      <c r="F238" s="1">
        <v>19.0</v>
      </c>
      <c r="G238" s="1">
        <v>17.92</v>
      </c>
      <c r="H238" s="1">
        <v>3.0</v>
      </c>
      <c r="I238" s="1">
        <v>0.19</v>
      </c>
      <c r="J238" s="1">
        <v>53.0</v>
      </c>
      <c r="K238" s="1">
        <v>0.32</v>
      </c>
      <c r="L238" s="1">
        <v>10.0</v>
      </c>
      <c r="M238" s="1" t="s">
        <v>3726</v>
      </c>
      <c r="N238" s="18">
        <v>45984.0</v>
      </c>
      <c r="O238" s="1" t="s">
        <v>3727</v>
      </c>
      <c r="P238" s="1" t="s">
        <v>3257</v>
      </c>
      <c r="Q238" s="1" t="s">
        <v>3408</v>
      </c>
    </row>
    <row r="239">
      <c r="A239" s="1" t="s">
        <v>3728</v>
      </c>
      <c r="B239" s="1">
        <v>6.0</v>
      </c>
      <c r="C239" s="1">
        <v>70.0</v>
      </c>
      <c r="D239" s="2" t="s">
        <v>581</v>
      </c>
      <c r="E239" s="1">
        <v>6.0</v>
      </c>
      <c r="F239" s="1">
        <v>38.0</v>
      </c>
      <c r="G239" s="1">
        <v>6.17</v>
      </c>
      <c r="H239" s="1">
        <v>1.0</v>
      </c>
      <c r="I239" s="1">
        <v>0.06</v>
      </c>
      <c r="J239" s="1">
        <v>6.0</v>
      </c>
      <c r="K239" s="1">
        <v>0.24</v>
      </c>
      <c r="L239" s="1">
        <v>10.0</v>
      </c>
      <c r="M239" s="1" t="s">
        <v>3729</v>
      </c>
      <c r="N239" s="18">
        <v>45979.0</v>
      </c>
      <c r="O239" s="1" t="s">
        <v>3730</v>
      </c>
      <c r="P239" s="1" t="s">
        <v>3257</v>
      </c>
      <c r="Q239" s="1" t="s">
        <v>3408</v>
      </c>
    </row>
    <row r="240">
      <c r="A240" s="1" t="s">
        <v>3731</v>
      </c>
      <c r="B240" s="1">
        <v>7.0</v>
      </c>
      <c r="C240" s="1">
        <v>70.0</v>
      </c>
      <c r="D240" s="2" t="s">
        <v>694</v>
      </c>
      <c r="E240" s="1">
        <v>0.0</v>
      </c>
      <c r="F240" s="1">
        <v>2.0</v>
      </c>
      <c r="G240" s="1">
        <v>0.0</v>
      </c>
      <c r="H240" s="1">
        <v>0.0</v>
      </c>
      <c r="I240" s="1">
        <v>0.0</v>
      </c>
      <c r="J240" s="1">
        <v>0.0</v>
      </c>
      <c r="K240" s="1">
        <v>0.0</v>
      </c>
      <c r="L240" s="1">
        <v>8230000.0</v>
      </c>
      <c r="M240" s="1" t="s">
        <v>3732</v>
      </c>
      <c r="N240" s="18">
        <v>46042.0</v>
      </c>
      <c r="O240" s="1" t="s">
        <v>3670</v>
      </c>
      <c r="P240" s="1" t="s">
        <v>3230</v>
      </c>
      <c r="Q240" s="1" t="s">
        <v>3231</v>
      </c>
    </row>
    <row r="241">
      <c r="A241" s="1" t="s">
        <v>3253</v>
      </c>
      <c r="B241" s="1">
        <v>7.0</v>
      </c>
      <c r="C241" s="1">
        <v>40.0</v>
      </c>
      <c r="D241" s="2" t="s">
        <v>594</v>
      </c>
      <c r="E241" s="1">
        <v>7.0</v>
      </c>
      <c r="F241" s="1">
        <v>36.0</v>
      </c>
      <c r="G241" s="1">
        <v>12.07</v>
      </c>
      <c r="H241" s="1">
        <v>0.0</v>
      </c>
      <c r="I241" s="1">
        <v>0.0</v>
      </c>
      <c r="J241" s="1">
        <v>0.0</v>
      </c>
      <c r="K241" s="1">
        <v>0.52</v>
      </c>
      <c r="L241" s="1">
        <v>63600.0</v>
      </c>
      <c r="M241" s="1" t="s">
        <v>3255</v>
      </c>
      <c r="N241" s="18">
        <v>46041.0</v>
      </c>
      <c r="O241" s="1" t="s">
        <v>3256</v>
      </c>
      <c r="P241" s="1" t="s">
        <v>3257</v>
      </c>
      <c r="Q241" s="1" t="s">
        <v>3408</v>
      </c>
    </row>
    <row r="242">
      <c r="A242" s="1" t="s">
        <v>3733</v>
      </c>
      <c r="B242" s="1">
        <v>7.0</v>
      </c>
      <c r="C242" s="1">
        <v>40.0</v>
      </c>
      <c r="D242" s="2" t="s">
        <v>581</v>
      </c>
      <c r="E242" s="1">
        <v>7.0</v>
      </c>
      <c r="G242" s="1">
        <v>22.36</v>
      </c>
      <c r="H242" s="1">
        <v>0.0</v>
      </c>
      <c r="I242" s="1">
        <v>0.0</v>
      </c>
      <c r="J242" s="1">
        <v>0.0</v>
      </c>
      <c r="K242" s="1">
        <v>0.99</v>
      </c>
      <c r="L242" s="1">
        <v>20200.0</v>
      </c>
      <c r="M242" s="1" t="s">
        <v>3734</v>
      </c>
      <c r="N242" s="18">
        <v>46026.0</v>
      </c>
      <c r="O242" s="1" t="s">
        <v>3735</v>
      </c>
      <c r="P242" s="1" t="s">
        <v>3257</v>
      </c>
      <c r="Q242" s="1" t="s">
        <v>3408</v>
      </c>
    </row>
    <row r="243">
      <c r="A243" s="1" t="s">
        <v>3736</v>
      </c>
      <c r="B243" s="1">
        <v>7.0</v>
      </c>
      <c r="C243" s="1">
        <v>110.0</v>
      </c>
      <c r="D243" s="2" t="s">
        <v>1010</v>
      </c>
      <c r="E243" s="1">
        <v>7.0</v>
      </c>
      <c r="F243" s="1">
        <v>19.0</v>
      </c>
      <c r="G243" s="1">
        <v>0.0</v>
      </c>
      <c r="H243" s="1">
        <v>0.0</v>
      </c>
      <c r="I243" s="1">
        <v>0.0</v>
      </c>
      <c r="J243" s="1">
        <v>0.0</v>
      </c>
      <c r="K243" s="1">
        <v>0.0</v>
      </c>
      <c r="L243" s="1">
        <v>3700000.0</v>
      </c>
      <c r="M243" s="1" t="s">
        <v>3737</v>
      </c>
      <c r="N243" s="18">
        <v>46026.0</v>
      </c>
      <c r="O243" s="1" t="s">
        <v>3663</v>
      </c>
      <c r="P243" s="1" t="s">
        <v>3230</v>
      </c>
      <c r="Q243" s="1" t="s">
        <v>3412</v>
      </c>
    </row>
    <row r="244">
      <c r="A244" s="1" t="s">
        <v>3738</v>
      </c>
      <c r="B244" s="1">
        <v>7.0</v>
      </c>
      <c r="C244" s="1">
        <v>50.0</v>
      </c>
      <c r="D244" s="2" t="s">
        <v>584</v>
      </c>
      <c r="E244" s="1">
        <v>7.0</v>
      </c>
      <c r="F244" s="1">
        <v>16.0</v>
      </c>
      <c r="G244" s="1">
        <v>16.24</v>
      </c>
      <c r="H244" s="1">
        <v>0.0</v>
      </c>
      <c r="I244" s="1">
        <v>0.0</v>
      </c>
      <c r="J244" s="1">
        <v>0.0</v>
      </c>
      <c r="K244" s="1">
        <v>0.67</v>
      </c>
      <c r="L244" s="1">
        <v>31700.0</v>
      </c>
      <c r="M244" s="1" t="s">
        <v>3739</v>
      </c>
      <c r="N244" s="18">
        <v>46022.0</v>
      </c>
      <c r="O244" s="1" t="s">
        <v>3455</v>
      </c>
      <c r="P244" s="1" t="s">
        <v>3257</v>
      </c>
      <c r="Q244" s="1" t="s">
        <v>3408</v>
      </c>
    </row>
    <row r="245">
      <c r="A245" s="1" t="s">
        <v>3425</v>
      </c>
      <c r="B245" s="1">
        <v>7.0</v>
      </c>
      <c r="C245" s="1">
        <v>70.0</v>
      </c>
      <c r="D245" s="2" t="s">
        <v>581</v>
      </c>
      <c r="E245" s="1">
        <v>7.0</v>
      </c>
      <c r="F245" s="1">
        <v>14.0</v>
      </c>
      <c r="G245" s="1">
        <v>0.0</v>
      </c>
      <c r="H245" s="1">
        <v>1.0</v>
      </c>
      <c r="I245" s="1">
        <v>0.06</v>
      </c>
      <c r="J245" s="1">
        <v>0.0</v>
      </c>
      <c r="K245" s="1">
        <v>0.0</v>
      </c>
      <c r="L245" s="1">
        <v>37900.0</v>
      </c>
      <c r="M245" s="1" t="s">
        <v>3426</v>
      </c>
      <c r="N245" s="18">
        <v>46020.0</v>
      </c>
      <c r="O245" s="1" t="s">
        <v>3427</v>
      </c>
      <c r="P245" s="1" t="s">
        <v>3257</v>
      </c>
      <c r="Q245" s="1" t="s">
        <v>3408</v>
      </c>
    </row>
    <row r="246">
      <c r="A246" s="1" t="s">
        <v>3740</v>
      </c>
      <c r="B246" s="1">
        <v>7.0</v>
      </c>
      <c r="C246" s="1">
        <v>90.0</v>
      </c>
      <c r="D246" s="2" t="s">
        <v>1685</v>
      </c>
      <c r="E246" s="1">
        <v>7.0</v>
      </c>
      <c r="F246" s="1">
        <v>0.0</v>
      </c>
      <c r="G246" s="1">
        <v>9.52</v>
      </c>
      <c r="H246" s="1">
        <v>1.0</v>
      </c>
      <c r="I246" s="1">
        <v>0.06</v>
      </c>
      <c r="J246" s="1">
        <v>9.0</v>
      </c>
      <c r="K246" s="1">
        <v>0.06</v>
      </c>
      <c r="L246" s="1">
        <v>5480000.0</v>
      </c>
      <c r="M246" s="1" t="s">
        <v>3741</v>
      </c>
      <c r="N246" s="18">
        <v>46020.0</v>
      </c>
      <c r="O246" s="1" t="s">
        <v>3264</v>
      </c>
      <c r="P246" s="1" t="s">
        <v>3230</v>
      </c>
      <c r="Q246" s="1" t="s">
        <v>3408</v>
      </c>
    </row>
    <row r="247">
      <c r="A247" s="1" t="s">
        <v>3742</v>
      </c>
      <c r="B247" s="1">
        <v>7.0</v>
      </c>
      <c r="C247" s="1">
        <v>110.0</v>
      </c>
      <c r="D247" s="2" t="s">
        <v>584</v>
      </c>
      <c r="E247" s="1">
        <v>7.0</v>
      </c>
      <c r="F247" s="1">
        <v>20.0</v>
      </c>
      <c r="G247" s="1">
        <v>16.13</v>
      </c>
      <c r="H247" s="1">
        <v>2.0</v>
      </c>
      <c r="I247" s="1">
        <v>0.13</v>
      </c>
      <c r="J247" s="1">
        <v>32.0</v>
      </c>
      <c r="K247" s="1">
        <v>0.58</v>
      </c>
      <c r="L247" s="1">
        <v>42700.0</v>
      </c>
      <c r="M247" s="1" t="s">
        <v>3743</v>
      </c>
      <c r="N247" s="18">
        <v>46015.0</v>
      </c>
      <c r="O247" s="1" t="s">
        <v>3458</v>
      </c>
      <c r="P247" s="1" t="s">
        <v>3257</v>
      </c>
      <c r="Q247" s="1" t="s">
        <v>3408</v>
      </c>
    </row>
    <row r="248">
      <c r="A248" s="1" t="s">
        <v>3744</v>
      </c>
      <c r="B248" s="1">
        <v>7.0</v>
      </c>
      <c r="C248" s="1">
        <v>70.0</v>
      </c>
      <c r="D248" s="2" t="s">
        <v>584</v>
      </c>
      <c r="E248" s="1">
        <v>7.0</v>
      </c>
      <c r="F248" s="1">
        <v>11.0</v>
      </c>
      <c r="G248" s="1">
        <v>0.0</v>
      </c>
      <c r="H248" s="1">
        <v>1.0</v>
      </c>
      <c r="I248" s="1">
        <v>0.06</v>
      </c>
      <c r="J248" s="1">
        <v>0.0</v>
      </c>
      <c r="K248" s="1">
        <v>0.0</v>
      </c>
      <c r="L248" s="1">
        <v>351000.0</v>
      </c>
      <c r="M248" s="1" t="s">
        <v>3745</v>
      </c>
      <c r="N248" s="18">
        <v>46011.0</v>
      </c>
      <c r="O248" s="1" t="s">
        <v>3404</v>
      </c>
      <c r="P248" s="1" t="s">
        <v>3257</v>
      </c>
      <c r="Q248" s="1" t="s">
        <v>3408</v>
      </c>
    </row>
    <row r="249">
      <c r="A249" s="1" t="s">
        <v>3746</v>
      </c>
      <c r="B249" s="1">
        <v>7.0</v>
      </c>
      <c r="C249" s="1">
        <v>50.0</v>
      </c>
      <c r="D249" s="2" t="s">
        <v>581</v>
      </c>
      <c r="E249" s="1">
        <v>7.0</v>
      </c>
      <c r="F249" s="1">
        <v>26.0</v>
      </c>
      <c r="G249" s="1">
        <v>14.44</v>
      </c>
      <c r="H249" s="1">
        <v>0.0</v>
      </c>
      <c r="I249" s="1">
        <v>0.0</v>
      </c>
      <c r="J249" s="1">
        <v>0.0</v>
      </c>
      <c r="K249" s="1">
        <v>0.41</v>
      </c>
      <c r="L249" s="1">
        <v>130000.0</v>
      </c>
      <c r="M249" s="1" t="s">
        <v>3747</v>
      </c>
      <c r="N249" s="18">
        <v>46002.0</v>
      </c>
      <c r="O249" s="1" t="s">
        <v>3645</v>
      </c>
      <c r="P249" s="1" t="s">
        <v>3257</v>
      </c>
      <c r="Q249" s="1" t="s">
        <v>3408</v>
      </c>
    </row>
    <row r="250">
      <c r="A250" s="1" t="s">
        <v>3748</v>
      </c>
      <c r="B250" s="1">
        <v>7.0</v>
      </c>
      <c r="C250" s="1">
        <v>140.0</v>
      </c>
      <c r="D250" s="2" t="s">
        <v>1052</v>
      </c>
      <c r="E250" s="1">
        <v>7.0</v>
      </c>
      <c r="F250" s="1">
        <v>8.0</v>
      </c>
      <c r="G250" s="1">
        <v>0.0</v>
      </c>
      <c r="H250" s="1">
        <v>2.0</v>
      </c>
      <c r="I250" s="1">
        <v>0.13</v>
      </c>
      <c r="J250" s="1">
        <v>0.0</v>
      </c>
      <c r="K250" s="1">
        <v>0.0</v>
      </c>
      <c r="L250" s="1">
        <v>9.41E7</v>
      </c>
      <c r="M250" s="1" t="s">
        <v>3749</v>
      </c>
      <c r="N250" s="18">
        <v>45999.0</v>
      </c>
      <c r="O250" s="1" t="s">
        <v>3750</v>
      </c>
      <c r="P250" s="1" t="s">
        <v>3230</v>
      </c>
      <c r="Q250" s="1" t="s">
        <v>3408</v>
      </c>
    </row>
    <row r="251">
      <c r="A251" s="1" t="s">
        <v>3559</v>
      </c>
      <c r="B251" s="1">
        <v>7.0</v>
      </c>
      <c r="C251" s="1">
        <v>140.0</v>
      </c>
      <c r="D251" s="2" t="s">
        <v>581</v>
      </c>
      <c r="E251" s="1">
        <v>7.0</v>
      </c>
      <c r="F251" s="1">
        <v>9.0</v>
      </c>
      <c r="G251" s="1">
        <v>10.08</v>
      </c>
      <c r="H251" s="1">
        <v>0.0</v>
      </c>
      <c r="I251" s="1">
        <v>0.0</v>
      </c>
      <c r="J251" s="1">
        <v>0.0</v>
      </c>
      <c r="K251" s="1">
        <v>0.13</v>
      </c>
      <c r="L251" s="1">
        <v>10.0</v>
      </c>
      <c r="M251" s="1" t="s">
        <v>3560</v>
      </c>
      <c r="N251" s="18">
        <v>45984.0</v>
      </c>
      <c r="O251" s="1" t="s">
        <v>3455</v>
      </c>
      <c r="P251" s="1" t="s">
        <v>3257</v>
      </c>
      <c r="Q251" s="1" t="s">
        <v>3408</v>
      </c>
    </row>
    <row r="252">
      <c r="A252" s="1" t="s">
        <v>3751</v>
      </c>
      <c r="B252" s="1">
        <v>7.0</v>
      </c>
      <c r="C252" s="1">
        <v>50.0</v>
      </c>
      <c r="D252" s="2" t="s">
        <v>1685</v>
      </c>
      <c r="E252" s="1">
        <v>7.0</v>
      </c>
      <c r="F252" s="1">
        <v>0.0</v>
      </c>
      <c r="G252" s="1">
        <v>0.0</v>
      </c>
      <c r="H252" s="1">
        <v>1.0</v>
      </c>
      <c r="I252" s="1">
        <v>0.06</v>
      </c>
      <c r="J252" s="1">
        <v>0.0</v>
      </c>
      <c r="K252" s="1">
        <v>0.03</v>
      </c>
      <c r="L252" s="1">
        <v>9.0</v>
      </c>
      <c r="M252" s="1" t="s">
        <v>3752</v>
      </c>
      <c r="N252" s="18">
        <v>45980.0</v>
      </c>
      <c r="O252" s="1" t="s">
        <v>3407</v>
      </c>
      <c r="P252" s="1" t="s">
        <v>3230</v>
      </c>
      <c r="Q252" s="1" t="s">
        <v>3408</v>
      </c>
    </row>
    <row r="253">
      <c r="A253" s="1" t="s">
        <v>3753</v>
      </c>
      <c r="B253" s="1">
        <v>8.0</v>
      </c>
      <c r="C253" s="1">
        <v>30.0</v>
      </c>
      <c r="D253" s="2" t="s">
        <v>617</v>
      </c>
      <c r="E253" s="1">
        <v>8.0</v>
      </c>
      <c r="F253" s="1">
        <v>11.0</v>
      </c>
      <c r="G253" s="1">
        <v>17.48</v>
      </c>
      <c r="H253" s="1">
        <v>0.0</v>
      </c>
      <c r="I253" s="1">
        <v>0.0</v>
      </c>
      <c r="J253" s="1">
        <v>0.0</v>
      </c>
      <c r="K253" s="1">
        <v>0.53</v>
      </c>
      <c r="L253" s="1">
        <v>3850000.0</v>
      </c>
      <c r="M253" s="1" t="s">
        <v>3754</v>
      </c>
      <c r="N253" s="18">
        <v>46036.0</v>
      </c>
      <c r="O253" s="1" t="s">
        <v>3755</v>
      </c>
      <c r="P253" s="1" t="s">
        <v>3257</v>
      </c>
      <c r="Q253" s="1" t="s">
        <v>3408</v>
      </c>
    </row>
    <row r="254">
      <c r="A254" s="1" t="s">
        <v>3668</v>
      </c>
      <c r="B254" s="1">
        <v>8.0</v>
      </c>
      <c r="C254" s="1">
        <v>50.0</v>
      </c>
      <c r="D254" s="2" t="s">
        <v>3254</v>
      </c>
      <c r="E254" s="1">
        <v>8.0</v>
      </c>
      <c r="F254" s="1">
        <v>0.0</v>
      </c>
      <c r="G254" s="1">
        <v>0.0</v>
      </c>
      <c r="H254" s="1">
        <v>0.0</v>
      </c>
      <c r="I254" s="1">
        <v>0.0</v>
      </c>
      <c r="J254" s="1">
        <v>0.0</v>
      </c>
      <c r="K254" s="1">
        <v>0.33</v>
      </c>
      <c r="L254" s="1">
        <v>12900.0</v>
      </c>
      <c r="M254" s="1" t="s">
        <v>3669</v>
      </c>
      <c r="N254" s="18">
        <v>46033.0</v>
      </c>
      <c r="O254" s="1" t="s">
        <v>3670</v>
      </c>
      <c r="P254" s="1" t="s">
        <v>3334</v>
      </c>
      <c r="Q254" s="1" t="s">
        <v>3258</v>
      </c>
    </row>
    <row r="255">
      <c r="A255" s="1" t="s">
        <v>3756</v>
      </c>
      <c r="B255" s="1">
        <v>8.0</v>
      </c>
      <c r="C255" s="1">
        <v>40.0</v>
      </c>
      <c r="D255" s="2" t="s">
        <v>617</v>
      </c>
      <c r="E255" s="1">
        <v>8.0</v>
      </c>
      <c r="G255" s="1">
        <v>17.48</v>
      </c>
      <c r="H255" s="1">
        <v>0.0</v>
      </c>
      <c r="I255" s="1">
        <v>0.0</v>
      </c>
      <c r="J255" s="1">
        <v>0.0</v>
      </c>
      <c r="K255" s="1">
        <v>0.53</v>
      </c>
      <c r="L255" s="1">
        <v>883000.0</v>
      </c>
      <c r="M255" s="1" t="s">
        <v>3757</v>
      </c>
      <c r="N255" s="18">
        <v>46028.0</v>
      </c>
      <c r="O255" s="1" t="s">
        <v>3355</v>
      </c>
      <c r="P255" s="1" t="s">
        <v>3257</v>
      </c>
      <c r="Q255" s="1" t="s">
        <v>3408</v>
      </c>
    </row>
    <row r="256">
      <c r="A256" s="1" t="s">
        <v>3758</v>
      </c>
      <c r="B256" s="1">
        <v>8.0</v>
      </c>
      <c r="C256" s="1">
        <v>720.0</v>
      </c>
      <c r="D256" s="2" t="s">
        <v>1543</v>
      </c>
      <c r="E256" s="1">
        <v>8.0</v>
      </c>
      <c r="G256" s="1">
        <v>1.9</v>
      </c>
      <c r="H256" s="1">
        <v>0.0</v>
      </c>
      <c r="I256" s="1">
        <v>0.0</v>
      </c>
      <c r="J256" s="1">
        <v>0.0</v>
      </c>
      <c r="K256" s="1">
        <v>0.01</v>
      </c>
      <c r="L256" s="1">
        <v>1870000.0</v>
      </c>
      <c r="M256" s="1" t="s">
        <v>3759</v>
      </c>
      <c r="N256" s="18">
        <v>46028.0</v>
      </c>
      <c r="O256" s="1" t="s">
        <v>3760</v>
      </c>
      <c r="P256" s="1" t="s">
        <v>3334</v>
      </c>
      <c r="Q256" s="1" t="s">
        <v>3231</v>
      </c>
    </row>
    <row r="257">
      <c r="A257" s="1" t="s">
        <v>3651</v>
      </c>
      <c r="B257" s="1">
        <v>8.0</v>
      </c>
      <c r="C257" s="1">
        <v>50.0</v>
      </c>
      <c r="D257" s="2" t="s">
        <v>3254</v>
      </c>
      <c r="E257" s="1">
        <v>8.0</v>
      </c>
      <c r="F257" s="1">
        <v>3.0</v>
      </c>
      <c r="G257" s="1">
        <v>5.11</v>
      </c>
      <c r="H257" s="1">
        <v>0.0</v>
      </c>
      <c r="I257" s="1">
        <v>0.0</v>
      </c>
      <c r="J257" s="1">
        <v>0.0</v>
      </c>
      <c r="K257" s="1">
        <v>0.12</v>
      </c>
      <c r="L257" s="1">
        <v>34000.0</v>
      </c>
      <c r="M257" s="1" t="s">
        <v>3652</v>
      </c>
      <c r="N257" s="18">
        <v>46027.0</v>
      </c>
      <c r="O257" s="1" t="s">
        <v>3653</v>
      </c>
      <c r="P257" s="1" t="s">
        <v>3334</v>
      </c>
      <c r="Q257" s="1" t="s">
        <v>3258</v>
      </c>
    </row>
    <row r="258">
      <c r="A258" s="1" t="s">
        <v>3761</v>
      </c>
      <c r="B258" s="1">
        <v>8.0</v>
      </c>
      <c r="C258" s="1">
        <v>70.0</v>
      </c>
      <c r="D258" s="2" t="s">
        <v>581</v>
      </c>
      <c r="E258" s="1">
        <v>8.0</v>
      </c>
      <c r="F258" s="1">
        <v>30.0</v>
      </c>
      <c r="G258" s="1">
        <v>22.36</v>
      </c>
      <c r="H258" s="1">
        <v>1.0</v>
      </c>
      <c r="I258" s="1">
        <v>0.06</v>
      </c>
      <c r="J258" s="1">
        <v>22.0</v>
      </c>
      <c r="K258" s="1">
        <v>0.99</v>
      </c>
      <c r="L258" s="1">
        <v>36900.0</v>
      </c>
      <c r="M258" s="1" t="s">
        <v>3762</v>
      </c>
      <c r="N258" s="18">
        <v>46022.0</v>
      </c>
      <c r="O258" s="1" t="s">
        <v>3432</v>
      </c>
      <c r="P258" s="1" t="s">
        <v>3257</v>
      </c>
      <c r="Q258" s="1" t="s">
        <v>3408</v>
      </c>
    </row>
    <row r="259">
      <c r="A259" s="1" t="s">
        <v>3763</v>
      </c>
      <c r="B259" s="1">
        <v>8.0</v>
      </c>
      <c r="C259" s="1">
        <v>170.0</v>
      </c>
      <c r="D259" s="2" t="s">
        <v>584</v>
      </c>
      <c r="E259" s="1">
        <v>8.0</v>
      </c>
      <c r="F259" s="1">
        <v>31.0</v>
      </c>
      <c r="G259" s="1">
        <v>12.96</v>
      </c>
      <c r="H259" s="1">
        <v>3.0</v>
      </c>
      <c r="I259" s="1">
        <v>0.19</v>
      </c>
      <c r="J259" s="1">
        <v>38.0</v>
      </c>
      <c r="K259" s="1">
        <v>0.63</v>
      </c>
      <c r="L259" s="1">
        <v>184000.0</v>
      </c>
      <c r="M259" s="1" t="s">
        <v>3764</v>
      </c>
      <c r="N259" s="18">
        <v>46022.0</v>
      </c>
      <c r="O259" s="1" t="s">
        <v>3765</v>
      </c>
      <c r="P259" s="1" t="s">
        <v>3257</v>
      </c>
      <c r="Q259" s="1" t="s">
        <v>3408</v>
      </c>
    </row>
    <row r="260">
      <c r="A260" s="1" t="s">
        <v>3766</v>
      </c>
      <c r="B260" s="1">
        <v>8.0</v>
      </c>
      <c r="C260" s="1">
        <v>70.0</v>
      </c>
      <c r="D260" s="2" t="s">
        <v>581</v>
      </c>
      <c r="E260" s="1">
        <v>8.0</v>
      </c>
      <c r="F260" s="1">
        <v>26.0</v>
      </c>
      <c r="G260" s="1">
        <v>0.0</v>
      </c>
      <c r="H260" s="1">
        <v>0.0</v>
      </c>
      <c r="I260" s="1">
        <v>0.0</v>
      </c>
      <c r="J260" s="1">
        <v>0.0</v>
      </c>
      <c r="K260" s="1">
        <v>0.02</v>
      </c>
      <c r="L260" s="1">
        <v>2.29E8</v>
      </c>
      <c r="M260" s="1" t="s">
        <v>3767</v>
      </c>
      <c r="N260" s="18">
        <v>46020.0</v>
      </c>
      <c r="O260" s="1" t="s">
        <v>3768</v>
      </c>
      <c r="P260" s="1" t="s">
        <v>3294</v>
      </c>
      <c r="Q260" s="1" t="s">
        <v>3408</v>
      </c>
    </row>
    <row r="261">
      <c r="A261" s="1" t="s">
        <v>3769</v>
      </c>
      <c r="B261" s="1">
        <v>8.0</v>
      </c>
      <c r="C261" s="1">
        <v>90.0</v>
      </c>
      <c r="D261" s="2" t="s">
        <v>617</v>
      </c>
      <c r="E261" s="1">
        <v>8.0</v>
      </c>
      <c r="F261" s="1">
        <v>19.0</v>
      </c>
      <c r="G261" s="1">
        <v>9.68</v>
      </c>
      <c r="H261" s="1">
        <v>0.0</v>
      </c>
      <c r="I261" s="1">
        <v>0.0</v>
      </c>
      <c r="J261" s="1">
        <v>0.0</v>
      </c>
      <c r="K261" s="1">
        <v>0.55</v>
      </c>
      <c r="L261" s="1">
        <v>852000.0</v>
      </c>
      <c r="M261" s="1" t="s">
        <v>3770</v>
      </c>
      <c r="N261" s="18">
        <v>46018.0</v>
      </c>
      <c r="O261" s="1" t="s">
        <v>3673</v>
      </c>
      <c r="P261" s="1" t="s">
        <v>3257</v>
      </c>
      <c r="Q261" s="1" t="s">
        <v>3408</v>
      </c>
    </row>
    <row r="262">
      <c r="A262" s="1" t="s">
        <v>3433</v>
      </c>
      <c r="B262" s="1">
        <v>8.0</v>
      </c>
      <c r="C262" s="1">
        <v>110.0</v>
      </c>
      <c r="D262" s="2" t="s">
        <v>594</v>
      </c>
      <c r="E262" s="1">
        <v>8.0</v>
      </c>
      <c r="F262" s="1">
        <v>47.0</v>
      </c>
      <c r="G262" s="1">
        <v>9.29</v>
      </c>
      <c r="H262" s="1">
        <v>2.0</v>
      </c>
      <c r="I262" s="1">
        <v>0.13</v>
      </c>
      <c r="J262" s="1">
        <v>18.0</v>
      </c>
      <c r="K262" s="1">
        <v>0.49</v>
      </c>
      <c r="L262" s="1">
        <v>73700.0</v>
      </c>
      <c r="M262" s="1" t="s">
        <v>3434</v>
      </c>
      <c r="N262" s="18">
        <v>46017.0</v>
      </c>
      <c r="O262" s="1" t="s">
        <v>3435</v>
      </c>
      <c r="P262" s="1" t="s">
        <v>3257</v>
      </c>
      <c r="Q262" s="1" t="s">
        <v>3408</v>
      </c>
    </row>
    <row r="263">
      <c r="A263" s="1" t="s">
        <v>3771</v>
      </c>
      <c r="B263" s="1">
        <v>8.0</v>
      </c>
      <c r="C263" s="1">
        <v>210.0</v>
      </c>
      <c r="D263" s="2" t="s">
        <v>581</v>
      </c>
      <c r="E263" s="1">
        <v>8.0</v>
      </c>
      <c r="F263" s="1">
        <v>29.0</v>
      </c>
      <c r="G263" s="1">
        <v>17.92</v>
      </c>
      <c r="H263" s="1">
        <v>1.0</v>
      </c>
      <c r="I263" s="1">
        <v>0.06</v>
      </c>
      <c r="J263" s="1">
        <v>17.0</v>
      </c>
      <c r="K263" s="1">
        <v>0.32</v>
      </c>
      <c r="L263" s="1">
        <v>44500.0</v>
      </c>
      <c r="M263" s="1" t="s">
        <v>3772</v>
      </c>
      <c r="N263" s="18">
        <v>45998.0</v>
      </c>
      <c r="O263" s="1" t="s">
        <v>3773</v>
      </c>
      <c r="P263" s="1" t="s">
        <v>3257</v>
      </c>
      <c r="Q263" s="1" t="s">
        <v>3408</v>
      </c>
    </row>
    <row r="264">
      <c r="A264" s="1" t="s">
        <v>3514</v>
      </c>
      <c r="B264" s="1">
        <v>8.0</v>
      </c>
      <c r="C264" s="1">
        <v>40.0</v>
      </c>
      <c r="D264" s="2" t="s">
        <v>584</v>
      </c>
      <c r="E264" s="1">
        <v>8.0</v>
      </c>
      <c r="F264" s="1">
        <v>30.0</v>
      </c>
      <c r="G264" s="1">
        <v>0.0</v>
      </c>
      <c r="H264" s="1">
        <v>0.0</v>
      </c>
      <c r="I264" s="1">
        <v>0.0</v>
      </c>
      <c r="J264" s="1">
        <v>0.0</v>
      </c>
      <c r="K264" s="1">
        <v>0.0</v>
      </c>
      <c r="L264" s="1">
        <v>49200.0</v>
      </c>
      <c r="M264" s="1" t="s">
        <v>3515</v>
      </c>
      <c r="N264" s="18">
        <v>45992.0</v>
      </c>
      <c r="O264" s="1" t="s">
        <v>3415</v>
      </c>
      <c r="P264" s="1" t="s">
        <v>3257</v>
      </c>
      <c r="Q264" s="1" t="s">
        <v>3408</v>
      </c>
    </row>
    <row r="265">
      <c r="A265" s="1" t="s">
        <v>3774</v>
      </c>
      <c r="B265" s="1">
        <v>8.0</v>
      </c>
      <c r="C265" s="1">
        <v>50.0</v>
      </c>
      <c r="D265" s="2" t="s">
        <v>617</v>
      </c>
      <c r="E265" s="1">
        <v>8.0</v>
      </c>
      <c r="F265" s="1">
        <v>34.0</v>
      </c>
      <c r="G265" s="1">
        <v>13.04</v>
      </c>
      <c r="H265" s="1">
        <v>0.0</v>
      </c>
      <c r="I265" s="1">
        <v>0.0</v>
      </c>
      <c r="J265" s="1">
        <v>0.0</v>
      </c>
      <c r="K265" s="1">
        <v>0.31</v>
      </c>
      <c r="L265" s="1">
        <v>1.49E7</v>
      </c>
      <c r="M265" s="1" t="s">
        <v>3775</v>
      </c>
      <c r="N265" s="18">
        <v>45992.0</v>
      </c>
      <c r="O265" s="1" t="s">
        <v>3673</v>
      </c>
      <c r="P265" s="1" t="s">
        <v>3257</v>
      </c>
      <c r="Q265" s="1" t="s">
        <v>3408</v>
      </c>
    </row>
    <row r="266">
      <c r="A266" s="1" t="s">
        <v>3776</v>
      </c>
      <c r="B266" s="1">
        <v>8.0</v>
      </c>
      <c r="C266" s="1">
        <v>140.0</v>
      </c>
      <c r="D266" s="2" t="s">
        <v>581</v>
      </c>
      <c r="E266" s="1">
        <v>8.0</v>
      </c>
      <c r="F266" s="1">
        <v>31.0</v>
      </c>
      <c r="G266" s="1">
        <v>17.92</v>
      </c>
      <c r="H266" s="1">
        <v>0.0</v>
      </c>
      <c r="I266" s="1">
        <v>0.0</v>
      </c>
      <c r="J266" s="1">
        <v>0.0</v>
      </c>
      <c r="K266" s="1">
        <v>0.32</v>
      </c>
      <c r="L266" s="1">
        <v>141000.0</v>
      </c>
      <c r="M266" s="1" t="s">
        <v>3777</v>
      </c>
      <c r="N266" s="18">
        <v>45990.0</v>
      </c>
      <c r="O266" s="1" t="s">
        <v>3773</v>
      </c>
      <c r="P266" s="1" t="s">
        <v>3257</v>
      </c>
      <c r="Q266" s="1" t="s">
        <v>3408</v>
      </c>
    </row>
    <row r="267">
      <c r="A267" s="1" t="s">
        <v>3778</v>
      </c>
      <c r="B267" s="1">
        <v>8.0</v>
      </c>
      <c r="C267" s="1">
        <v>70.0</v>
      </c>
      <c r="D267" s="2" t="s">
        <v>1543</v>
      </c>
      <c r="E267" s="1">
        <v>8.0</v>
      </c>
      <c r="F267" s="1">
        <v>11.0</v>
      </c>
      <c r="G267" s="1">
        <v>0.0</v>
      </c>
      <c r="H267" s="1">
        <v>0.0</v>
      </c>
      <c r="I267" s="1">
        <v>0.0</v>
      </c>
      <c r="J267" s="1">
        <v>0.0</v>
      </c>
      <c r="K267" s="1">
        <v>0.0</v>
      </c>
      <c r="L267" s="1">
        <v>5800000.0</v>
      </c>
      <c r="M267" s="1" t="s">
        <v>3779</v>
      </c>
      <c r="N267" s="18">
        <v>45988.0</v>
      </c>
      <c r="O267" s="1" t="s">
        <v>3780</v>
      </c>
      <c r="P267" s="1" t="s">
        <v>3334</v>
      </c>
      <c r="Q267" s="1" t="s">
        <v>3231</v>
      </c>
    </row>
    <row r="268">
      <c r="A268" s="1" t="s">
        <v>3781</v>
      </c>
      <c r="B268" s="1">
        <v>9.0</v>
      </c>
      <c r="C268" s="1">
        <v>210.0</v>
      </c>
      <c r="D268" s="2" t="s">
        <v>584</v>
      </c>
      <c r="E268" s="1">
        <v>9.0</v>
      </c>
      <c r="F268" s="1">
        <v>18.0</v>
      </c>
      <c r="G268" s="1">
        <v>15.04</v>
      </c>
      <c r="H268" s="1">
        <v>1.0</v>
      </c>
      <c r="I268" s="1">
        <v>0.06</v>
      </c>
      <c r="J268" s="1">
        <v>15.0</v>
      </c>
      <c r="K268" s="1">
        <v>0.82</v>
      </c>
      <c r="L268" s="1">
        <v>42500.0</v>
      </c>
      <c r="M268" s="1" t="s">
        <v>3782</v>
      </c>
      <c r="N268" s="18">
        <v>46041.0</v>
      </c>
      <c r="O268" s="1" t="s">
        <v>3355</v>
      </c>
      <c r="P268" s="1" t="s">
        <v>3257</v>
      </c>
      <c r="Q268" s="1" t="s">
        <v>3408</v>
      </c>
    </row>
    <row r="269">
      <c r="A269" s="1" t="s">
        <v>3783</v>
      </c>
      <c r="B269" s="1">
        <v>9.0</v>
      </c>
      <c r="C269" s="1">
        <v>140.0</v>
      </c>
      <c r="D269" s="2" t="s">
        <v>584</v>
      </c>
      <c r="E269" s="1">
        <v>9.0</v>
      </c>
      <c r="F269" s="1">
        <v>40.0</v>
      </c>
      <c r="G269" s="1">
        <v>12.96</v>
      </c>
      <c r="H269" s="1">
        <v>0.0</v>
      </c>
      <c r="I269" s="1">
        <v>0.0</v>
      </c>
      <c r="J269" s="1">
        <v>0.0</v>
      </c>
      <c r="K269" s="1">
        <v>0.63</v>
      </c>
      <c r="L269" s="1">
        <v>216000.0</v>
      </c>
      <c r="M269" s="1" t="s">
        <v>3784</v>
      </c>
      <c r="N269" s="18">
        <v>46028.0</v>
      </c>
      <c r="O269" s="1" t="s">
        <v>3720</v>
      </c>
      <c r="P269" s="1" t="s">
        <v>3257</v>
      </c>
      <c r="Q269" s="1" t="s">
        <v>3408</v>
      </c>
    </row>
    <row r="270">
      <c r="A270" s="1" t="s">
        <v>3736</v>
      </c>
      <c r="B270" s="1">
        <v>9.0</v>
      </c>
      <c r="C270" s="1">
        <v>110.0</v>
      </c>
      <c r="D270" s="2" t="s">
        <v>1010</v>
      </c>
      <c r="E270" s="1">
        <v>9.0</v>
      </c>
      <c r="F270" s="1">
        <v>19.0</v>
      </c>
      <c r="G270" s="1">
        <v>0.0</v>
      </c>
      <c r="H270" s="1">
        <v>0.0</v>
      </c>
      <c r="I270" s="1">
        <v>0.0</v>
      </c>
      <c r="J270" s="1">
        <v>0.0</v>
      </c>
      <c r="K270" s="1">
        <v>0.0</v>
      </c>
      <c r="L270" s="1">
        <v>3700000.0</v>
      </c>
      <c r="M270" s="1" t="s">
        <v>3737</v>
      </c>
      <c r="N270" s="18">
        <v>46026.0</v>
      </c>
      <c r="O270" s="1" t="s">
        <v>3663</v>
      </c>
      <c r="P270" s="1" t="s">
        <v>3230</v>
      </c>
      <c r="Q270" s="1" t="s">
        <v>3408</v>
      </c>
    </row>
    <row r="271">
      <c r="A271" s="1" t="s">
        <v>3416</v>
      </c>
      <c r="B271" s="1">
        <v>9.0</v>
      </c>
      <c r="C271" s="1">
        <v>70.0</v>
      </c>
      <c r="D271" s="2" t="s">
        <v>584</v>
      </c>
      <c r="E271" s="1">
        <v>9.0</v>
      </c>
      <c r="F271" s="1">
        <v>22.0</v>
      </c>
      <c r="G271" s="1">
        <v>12.96</v>
      </c>
      <c r="H271" s="1">
        <v>0.0</v>
      </c>
      <c r="I271" s="1">
        <v>0.0</v>
      </c>
      <c r="J271" s="1">
        <v>0.0</v>
      </c>
      <c r="K271" s="1">
        <v>0.63</v>
      </c>
      <c r="L271" s="1">
        <v>234000.0</v>
      </c>
      <c r="M271" s="1" t="s">
        <v>3417</v>
      </c>
      <c r="N271" s="18">
        <v>46022.0</v>
      </c>
      <c r="O271" s="1" t="s">
        <v>3418</v>
      </c>
      <c r="P271" s="1" t="s">
        <v>3257</v>
      </c>
      <c r="Q271" s="1" t="s">
        <v>3408</v>
      </c>
    </row>
    <row r="272">
      <c r="A272" s="1" t="s">
        <v>3438</v>
      </c>
      <c r="B272" s="1">
        <v>9.0</v>
      </c>
      <c r="C272" s="1">
        <v>70.0</v>
      </c>
      <c r="D272" s="2" t="s">
        <v>581</v>
      </c>
      <c r="E272" s="1">
        <v>9.0</v>
      </c>
      <c r="F272" s="1">
        <v>37.0</v>
      </c>
      <c r="G272" s="1">
        <v>9.29</v>
      </c>
      <c r="H272" s="1">
        <v>0.0</v>
      </c>
      <c r="I272" s="1">
        <v>0.0</v>
      </c>
      <c r="J272" s="1">
        <v>0.0</v>
      </c>
      <c r="K272" s="1">
        <v>0.49</v>
      </c>
      <c r="L272" s="1">
        <v>75000.0</v>
      </c>
      <c r="M272" s="1" t="s">
        <v>3439</v>
      </c>
      <c r="N272" s="18">
        <v>46017.0</v>
      </c>
      <c r="O272" s="1" t="s">
        <v>3435</v>
      </c>
      <c r="P272" s="1" t="s">
        <v>3257</v>
      </c>
      <c r="Q272" s="1" t="s">
        <v>3408</v>
      </c>
    </row>
    <row r="273">
      <c r="A273" s="1" t="s">
        <v>3785</v>
      </c>
      <c r="B273" s="1">
        <v>9.0</v>
      </c>
      <c r="C273" s="1">
        <v>90.0</v>
      </c>
      <c r="D273" s="2" t="s">
        <v>1492</v>
      </c>
      <c r="E273" s="1">
        <v>9.0</v>
      </c>
      <c r="F273" s="1">
        <v>14.0</v>
      </c>
      <c r="G273" s="1">
        <v>0.0</v>
      </c>
      <c r="H273" s="1">
        <v>1.0</v>
      </c>
      <c r="I273" s="1">
        <v>0.06</v>
      </c>
      <c r="J273" s="1">
        <v>0.0</v>
      </c>
      <c r="K273" s="1">
        <v>0.0</v>
      </c>
      <c r="L273" s="1">
        <v>760.0</v>
      </c>
      <c r="M273" s="1" t="s">
        <v>3786</v>
      </c>
      <c r="N273" s="18">
        <v>46016.0</v>
      </c>
      <c r="O273" s="1" t="s">
        <v>3787</v>
      </c>
      <c r="P273" s="1" t="s">
        <v>3230</v>
      </c>
      <c r="Q273" s="1" t="s">
        <v>3408</v>
      </c>
    </row>
    <row r="274">
      <c r="A274" s="1" t="s">
        <v>3788</v>
      </c>
      <c r="B274" s="1">
        <v>9.0</v>
      </c>
      <c r="C274" s="1">
        <v>50.0</v>
      </c>
      <c r="D274" s="2" t="s">
        <v>694</v>
      </c>
      <c r="E274" s="1">
        <v>9.0</v>
      </c>
      <c r="F274" s="1">
        <v>17.0</v>
      </c>
      <c r="G274" s="1">
        <v>0.32</v>
      </c>
      <c r="H274" s="1">
        <v>0.0</v>
      </c>
      <c r="I274" s="1">
        <v>0.0</v>
      </c>
      <c r="J274" s="1">
        <v>0.0</v>
      </c>
      <c r="K274" s="1">
        <v>0.1</v>
      </c>
      <c r="L274" s="1">
        <v>996000.0</v>
      </c>
      <c r="M274" s="1" t="s">
        <v>3789</v>
      </c>
      <c r="N274" s="18">
        <v>46016.0</v>
      </c>
      <c r="O274" s="1" t="s">
        <v>3237</v>
      </c>
      <c r="P274" s="1" t="s">
        <v>3230</v>
      </c>
      <c r="Q274" s="1" t="s">
        <v>3408</v>
      </c>
    </row>
    <row r="275">
      <c r="A275" s="1" t="s">
        <v>3790</v>
      </c>
      <c r="B275" s="1">
        <v>9.0</v>
      </c>
      <c r="C275" s="1">
        <v>90.0</v>
      </c>
      <c r="D275" s="2" t="s">
        <v>617</v>
      </c>
      <c r="E275" s="1">
        <v>9.0</v>
      </c>
      <c r="F275" s="1">
        <v>28.0</v>
      </c>
      <c r="G275" s="1">
        <v>9.68</v>
      </c>
      <c r="H275" s="1">
        <v>1.0</v>
      </c>
      <c r="I275" s="1">
        <v>0.06</v>
      </c>
      <c r="J275" s="1">
        <v>9.0</v>
      </c>
      <c r="K275" s="1">
        <v>0.55</v>
      </c>
      <c r="L275" s="1">
        <v>2000000.0</v>
      </c>
      <c r="M275" s="1" t="s">
        <v>3791</v>
      </c>
      <c r="N275" s="18">
        <v>46014.0</v>
      </c>
      <c r="O275" s="1" t="s">
        <v>3415</v>
      </c>
      <c r="P275" s="1" t="s">
        <v>3257</v>
      </c>
      <c r="Q275" s="1" t="s">
        <v>3408</v>
      </c>
    </row>
    <row r="276">
      <c r="A276" s="1" t="s">
        <v>3792</v>
      </c>
      <c r="B276" s="1">
        <v>9.0</v>
      </c>
      <c r="C276" s="1">
        <v>30.0</v>
      </c>
      <c r="D276" s="2" t="s">
        <v>617</v>
      </c>
      <c r="E276" s="1">
        <v>9.0</v>
      </c>
      <c r="F276" s="1">
        <v>15.0</v>
      </c>
      <c r="G276" s="1">
        <v>13.04</v>
      </c>
      <c r="H276" s="1">
        <v>0.0</v>
      </c>
      <c r="I276" s="1">
        <v>0.0</v>
      </c>
      <c r="J276" s="1">
        <v>0.0</v>
      </c>
      <c r="K276" s="1">
        <v>0.31</v>
      </c>
      <c r="L276" s="1">
        <v>3710000.0</v>
      </c>
      <c r="M276" s="1" t="s">
        <v>3793</v>
      </c>
      <c r="N276" s="18">
        <v>46002.0</v>
      </c>
      <c r="O276" s="1" t="s">
        <v>3415</v>
      </c>
      <c r="P276" s="1" t="s">
        <v>3257</v>
      </c>
      <c r="Q276" s="1" t="s">
        <v>3408</v>
      </c>
    </row>
    <row r="277">
      <c r="A277" s="1" t="s">
        <v>3794</v>
      </c>
      <c r="B277" s="1">
        <v>9.0</v>
      </c>
      <c r="C277" s="1">
        <v>210.0</v>
      </c>
      <c r="D277" s="2" t="s">
        <v>617</v>
      </c>
      <c r="E277" s="1">
        <v>9.0</v>
      </c>
      <c r="F277" s="1">
        <v>16.0</v>
      </c>
      <c r="G277" s="1">
        <v>17.84</v>
      </c>
      <c r="H277" s="1">
        <v>2.0</v>
      </c>
      <c r="I277" s="1">
        <v>0.13</v>
      </c>
      <c r="J277" s="1">
        <v>35.0</v>
      </c>
      <c r="K277" s="1">
        <v>0.12</v>
      </c>
      <c r="L277" s="1">
        <v>8020000.0</v>
      </c>
      <c r="M277" s="1" t="s">
        <v>3795</v>
      </c>
      <c r="N277" s="18">
        <v>45997.0</v>
      </c>
      <c r="O277" s="1" t="s">
        <v>3435</v>
      </c>
      <c r="P277" s="1" t="s">
        <v>3257</v>
      </c>
      <c r="Q277" s="1" t="s">
        <v>3408</v>
      </c>
    </row>
    <row r="278">
      <c r="A278" s="1" t="s">
        <v>3796</v>
      </c>
      <c r="B278" s="1">
        <v>9.0</v>
      </c>
      <c r="C278" s="1">
        <v>140.0</v>
      </c>
      <c r="D278" s="2" t="s">
        <v>694</v>
      </c>
      <c r="E278" s="1">
        <v>9.0</v>
      </c>
      <c r="F278" s="1">
        <v>0.0</v>
      </c>
      <c r="G278" s="1">
        <v>1.26</v>
      </c>
      <c r="H278" s="1">
        <v>0.0</v>
      </c>
      <c r="I278" s="1">
        <v>0.0</v>
      </c>
      <c r="J278" s="1">
        <v>0.0</v>
      </c>
      <c r="K278" s="1">
        <v>0.16</v>
      </c>
      <c r="L278" s="1">
        <v>10.0</v>
      </c>
      <c r="M278" s="1" t="s">
        <v>3797</v>
      </c>
      <c r="N278" s="18">
        <v>45970.0</v>
      </c>
      <c r="O278" s="1" t="s">
        <v>3284</v>
      </c>
      <c r="P278" s="1" t="s">
        <v>3230</v>
      </c>
      <c r="Q278" s="1" t="s">
        <v>3408</v>
      </c>
    </row>
    <row r="279">
      <c r="A279" s="1" t="s">
        <v>3798</v>
      </c>
      <c r="B279" s="1">
        <v>10.0</v>
      </c>
      <c r="C279" s="1">
        <v>50.0</v>
      </c>
      <c r="D279" s="2" t="s">
        <v>2931</v>
      </c>
      <c r="E279" s="1">
        <v>10.0</v>
      </c>
      <c r="G279" s="1">
        <v>20.04</v>
      </c>
      <c r="H279" s="1">
        <v>0.0</v>
      </c>
      <c r="I279" s="1">
        <v>0.0</v>
      </c>
      <c r="J279" s="1">
        <v>0.0</v>
      </c>
      <c r="K279" s="1">
        <v>0.97</v>
      </c>
      <c r="L279" s="1">
        <v>37300.0</v>
      </c>
      <c r="M279" s="1" t="s">
        <v>3799</v>
      </c>
      <c r="N279" s="18">
        <v>46042.0</v>
      </c>
      <c r="O279" s="1" t="s">
        <v>3673</v>
      </c>
      <c r="P279" s="1" t="s">
        <v>3257</v>
      </c>
      <c r="Q279" s="1" t="s">
        <v>3408</v>
      </c>
    </row>
    <row r="280">
      <c r="A280" s="1" t="s">
        <v>3800</v>
      </c>
      <c r="B280" s="1">
        <v>10.0</v>
      </c>
      <c r="C280" s="1">
        <v>30.0</v>
      </c>
      <c r="D280" s="2" t="s">
        <v>617</v>
      </c>
      <c r="E280" s="1">
        <v>10.0</v>
      </c>
      <c r="F280" s="1">
        <v>17.0</v>
      </c>
      <c r="G280" s="1">
        <v>16.61</v>
      </c>
      <c r="H280" s="1">
        <v>0.0</v>
      </c>
      <c r="I280" s="1">
        <v>0.0</v>
      </c>
      <c r="J280" s="1">
        <v>0.0</v>
      </c>
      <c r="K280" s="1">
        <v>1.0</v>
      </c>
      <c r="L280" s="1">
        <v>1.13E7</v>
      </c>
      <c r="M280" s="1" t="s">
        <v>3801</v>
      </c>
      <c r="N280" s="18">
        <v>46038.0</v>
      </c>
      <c r="O280" s="1" t="s">
        <v>3673</v>
      </c>
      <c r="P280" s="1" t="s">
        <v>3257</v>
      </c>
      <c r="Q280" s="1" t="s">
        <v>3408</v>
      </c>
    </row>
    <row r="281">
      <c r="A281" s="1" t="s">
        <v>3802</v>
      </c>
      <c r="B281" s="1">
        <v>10.0</v>
      </c>
      <c r="C281" s="1">
        <v>90.0</v>
      </c>
      <c r="D281" s="2" t="s">
        <v>1035</v>
      </c>
      <c r="E281" s="1">
        <v>10.0</v>
      </c>
      <c r="F281" s="1">
        <v>0.0</v>
      </c>
      <c r="G281" s="1">
        <v>4.02</v>
      </c>
      <c r="H281" s="1">
        <v>0.0</v>
      </c>
      <c r="I281" s="1">
        <v>0.0</v>
      </c>
      <c r="J281" s="1">
        <v>0.0</v>
      </c>
      <c r="K281" s="1">
        <v>0.63</v>
      </c>
      <c r="L281" s="1">
        <v>5100000.0</v>
      </c>
      <c r="M281" s="1" t="s">
        <v>3803</v>
      </c>
      <c r="N281" s="18">
        <v>46035.0</v>
      </c>
      <c r="O281" s="1" t="s">
        <v>3804</v>
      </c>
      <c r="P281" s="1" t="s">
        <v>3230</v>
      </c>
      <c r="Q281" s="1" t="s">
        <v>3408</v>
      </c>
    </row>
    <row r="282">
      <c r="A282" s="1" t="s">
        <v>3805</v>
      </c>
      <c r="B282" s="1">
        <v>10.0</v>
      </c>
      <c r="C282" s="1">
        <v>70.0</v>
      </c>
      <c r="D282" s="2" t="s">
        <v>2986</v>
      </c>
      <c r="E282" s="1">
        <v>10.0</v>
      </c>
      <c r="F282" s="1">
        <v>2.0</v>
      </c>
      <c r="G282" s="1">
        <v>0.0</v>
      </c>
      <c r="H282" s="1">
        <v>0.0</v>
      </c>
      <c r="I282" s="1">
        <v>0.0</v>
      </c>
      <c r="J282" s="1">
        <v>0.0</v>
      </c>
      <c r="K282" s="1">
        <v>0.0</v>
      </c>
      <c r="L282" s="1">
        <v>104000.0</v>
      </c>
      <c r="M282" s="1" t="s">
        <v>3806</v>
      </c>
      <c r="N282" s="18">
        <v>46033.0</v>
      </c>
      <c r="O282" s="1" t="s">
        <v>3807</v>
      </c>
      <c r="P282" s="1" t="s">
        <v>3257</v>
      </c>
      <c r="Q282" s="1" t="s">
        <v>3408</v>
      </c>
    </row>
    <row r="283">
      <c r="A283" s="1" t="s">
        <v>3808</v>
      </c>
      <c r="B283" s="1">
        <v>10.0</v>
      </c>
      <c r="C283" s="1">
        <v>50.0</v>
      </c>
      <c r="D283" s="2" t="s">
        <v>2932</v>
      </c>
      <c r="E283" s="1">
        <v>10.0</v>
      </c>
      <c r="F283" s="1">
        <v>1.0</v>
      </c>
      <c r="G283" s="1">
        <v>0.0</v>
      </c>
      <c r="H283" s="1">
        <v>0.0</v>
      </c>
      <c r="I283" s="1">
        <v>0.0</v>
      </c>
      <c r="J283" s="1">
        <v>0.0</v>
      </c>
      <c r="K283" s="1">
        <v>0.0</v>
      </c>
      <c r="L283" s="1">
        <v>9260000.0</v>
      </c>
      <c r="M283" s="1" t="s">
        <v>3809</v>
      </c>
      <c r="N283" s="18">
        <v>46023.0</v>
      </c>
      <c r="O283" s="1" t="s">
        <v>3482</v>
      </c>
      <c r="P283" s="1" t="s">
        <v>3257</v>
      </c>
      <c r="Q283" s="1" t="s">
        <v>3408</v>
      </c>
    </row>
    <row r="284">
      <c r="A284" s="1" t="s">
        <v>3810</v>
      </c>
      <c r="B284" s="1">
        <v>10.0</v>
      </c>
      <c r="C284" s="1">
        <v>70.0</v>
      </c>
      <c r="D284" s="2" t="s">
        <v>1025</v>
      </c>
      <c r="E284" s="1">
        <v>10.0</v>
      </c>
      <c r="F284" s="1">
        <v>2.0</v>
      </c>
      <c r="G284" s="1">
        <v>17.71</v>
      </c>
      <c r="H284" s="1">
        <v>0.0</v>
      </c>
      <c r="I284" s="1">
        <v>0.0</v>
      </c>
      <c r="J284" s="1">
        <v>0.0</v>
      </c>
      <c r="K284" s="1">
        <v>0.96</v>
      </c>
      <c r="L284" s="1">
        <v>2350000.0</v>
      </c>
      <c r="M284" s="1" t="s">
        <v>3811</v>
      </c>
      <c r="N284" s="18">
        <v>46022.0</v>
      </c>
      <c r="O284" s="1" t="s">
        <v>3812</v>
      </c>
      <c r="P284" s="1" t="s">
        <v>3257</v>
      </c>
      <c r="Q284" s="1" t="s">
        <v>3408</v>
      </c>
    </row>
    <row r="285">
      <c r="A285" s="1" t="s">
        <v>3813</v>
      </c>
      <c r="B285" s="1">
        <v>10.0</v>
      </c>
      <c r="C285" s="1">
        <v>170.0</v>
      </c>
      <c r="D285" s="2" t="s">
        <v>1052</v>
      </c>
      <c r="E285" s="1">
        <v>10.0</v>
      </c>
      <c r="F285" s="1">
        <v>14.0</v>
      </c>
      <c r="G285" s="1">
        <v>0.0</v>
      </c>
      <c r="H285" s="1">
        <v>0.0</v>
      </c>
      <c r="I285" s="1">
        <v>0.0</v>
      </c>
      <c r="J285" s="1">
        <v>0.0</v>
      </c>
      <c r="K285" s="1">
        <v>0.0</v>
      </c>
      <c r="L285" s="1">
        <v>1.96E8</v>
      </c>
      <c r="M285" s="1" t="s">
        <v>3814</v>
      </c>
      <c r="N285" s="18">
        <v>46021.0</v>
      </c>
      <c r="O285" s="1" t="s">
        <v>3493</v>
      </c>
      <c r="P285" s="1" t="s">
        <v>3230</v>
      </c>
      <c r="Q285" s="1" t="s">
        <v>3408</v>
      </c>
    </row>
    <row r="286">
      <c r="A286" s="1" t="s">
        <v>3815</v>
      </c>
      <c r="B286" s="1">
        <v>10.0</v>
      </c>
      <c r="C286" s="1">
        <v>90.0</v>
      </c>
      <c r="D286" s="2" t="s">
        <v>617</v>
      </c>
      <c r="E286" s="1">
        <v>10.0</v>
      </c>
      <c r="F286" s="1">
        <v>25.0</v>
      </c>
      <c r="G286" s="1">
        <v>0.0</v>
      </c>
      <c r="H286" s="1">
        <v>0.0</v>
      </c>
      <c r="I286" s="1">
        <v>0.0</v>
      </c>
      <c r="J286" s="1">
        <v>0.0</v>
      </c>
      <c r="K286" s="1">
        <v>0.11</v>
      </c>
      <c r="L286" s="1">
        <v>1.48E7</v>
      </c>
      <c r="M286" s="1" t="s">
        <v>3816</v>
      </c>
      <c r="N286" s="18">
        <v>46018.0</v>
      </c>
      <c r="O286" s="1" t="s">
        <v>3415</v>
      </c>
      <c r="P286" s="1" t="s">
        <v>3257</v>
      </c>
      <c r="Q286" s="1" t="s">
        <v>3408</v>
      </c>
    </row>
    <row r="287">
      <c r="A287" s="1" t="s">
        <v>3817</v>
      </c>
      <c r="B287" s="1">
        <v>10.0</v>
      </c>
      <c r="C287" s="1">
        <v>70.0</v>
      </c>
      <c r="D287" s="2" t="s">
        <v>1538</v>
      </c>
      <c r="E287" s="1">
        <v>10.0</v>
      </c>
      <c r="F287" s="1">
        <v>22.0</v>
      </c>
      <c r="G287" s="1">
        <v>0.0</v>
      </c>
      <c r="H287" s="1">
        <v>0.0</v>
      </c>
      <c r="I287" s="1">
        <v>0.0</v>
      </c>
      <c r="J287" s="1">
        <v>0.0</v>
      </c>
      <c r="K287" s="1">
        <v>0.0</v>
      </c>
      <c r="L287" s="1">
        <v>1.14E8</v>
      </c>
      <c r="M287" s="1" t="s">
        <v>3818</v>
      </c>
      <c r="N287" s="18">
        <v>46012.0</v>
      </c>
      <c r="O287" s="1" t="s">
        <v>3442</v>
      </c>
      <c r="P287" s="1" t="s">
        <v>3230</v>
      </c>
      <c r="Q287" s="1" t="s">
        <v>3408</v>
      </c>
    </row>
    <row r="288">
      <c r="A288" s="1" t="s">
        <v>3497</v>
      </c>
      <c r="B288" s="1">
        <v>10.0</v>
      </c>
      <c r="C288" s="1">
        <v>50.0</v>
      </c>
      <c r="D288" s="2" t="s">
        <v>856</v>
      </c>
      <c r="E288" s="1">
        <v>10.0</v>
      </c>
      <c r="F288" s="1">
        <v>33.0</v>
      </c>
      <c r="G288" s="1">
        <v>0.27</v>
      </c>
      <c r="H288" s="1">
        <v>0.0</v>
      </c>
      <c r="I288" s="1">
        <v>0.0</v>
      </c>
      <c r="J288" s="1">
        <v>0.0</v>
      </c>
      <c r="K288" s="1">
        <v>0.23</v>
      </c>
      <c r="L288" s="1">
        <v>1.16E8</v>
      </c>
      <c r="M288" s="1" t="s">
        <v>3498</v>
      </c>
      <c r="N288" s="18">
        <v>46002.0</v>
      </c>
      <c r="O288" s="1" t="s">
        <v>3499</v>
      </c>
      <c r="P288" s="1" t="s">
        <v>3230</v>
      </c>
      <c r="Q288" s="1" t="s">
        <v>3408</v>
      </c>
    </row>
    <row r="289">
      <c r="A289" s="1" t="s">
        <v>3819</v>
      </c>
      <c r="B289" s="1">
        <v>10.0</v>
      </c>
      <c r="C289" s="1">
        <v>40.0</v>
      </c>
      <c r="D289" s="2" t="s">
        <v>581</v>
      </c>
      <c r="E289" s="1">
        <v>10.0</v>
      </c>
      <c r="F289" s="1">
        <v>21.0</v>
      </c>
      <c r="G289" s="1">
        <v>3.9</v>
      </c>
      <c r="H289" s="1">
        <v>0.0</v>
      </c>
      <c r="I289" s="1">
        <v>0.0</v>
      </c>
      <c r="J289" s="1">
        <v>0.0</v>
      </c>
      <c r="K289" s="1">
        <v>0.27</v>
      </c>
      <c r="L289" s="1">
        <v>2.06E7</v>
      </c>
      <c r="M289" s="1" t="s">
        <v>3820</v>
      </c>
      <c r="N289" s="18">
        <v>46002.0</v>
      </c>
      <c r="O289" s="1" t="s">
        <v>3821</v>
      </c>
      <c r="P289" s="1" t="s">
        <v>3294</v>
      </c>
      <c r="Q289" s="1" t="s">
        <v>3408</v>
      </c>
    </row>
    <row r="290">
      <c r="A290" s="1" t="s">
        <v>3822</v>
      </c>
      <c r="B290" s="1">
        <v>10.0</v>
      </c>
      <c r="C290" s="1">
        <v>720.0</v>
      </c>
      <c r="D290" s="2" t="s">
        <v>694</v>
      </c>
      <c r="E290" s="1">
        <v>10.0</v>
      </c>
      <c r="F290" s="1">
        <v>19.0</v>
      </c>
      <c r="G290" s="1">
        <v>0.72</v>
      </c>
      <c r="H290" s="1">
        <v>5.0</v>
      </c>
      <c r="I290" s="1">
        <v>0.33</v>
      </c>
      <c r="J290" s="1">
        <v>3.0</v>
      </c>
      <c r="K290" s="1">
        <v>0.16</v>
      </c>
      <c r="L290" s="1">
        <v>1720000.0</v>
      </c>
      <c r="M290" s="1" t="s">
        <v>3823</v>
      </c>
      <c r="N290" s="18">
        <v>46000.0</v>
      </c>
      <c r="O290" s="1" t="s">
        <v>3824</v>
      </c>
      <c r="P290" s="1" t="s">
        <v>3230</v>
      </c>
      <c r="Q290" s="1" t="s">
        <v>3408</v>
      </c>
    </row>
    <row r="291">
      <c r="A291" s="1" t="s">
        <v>3774</v>
      </c>
      <c r="B291" s="1">
        <v>10.0</v>
      </c>
      <c r="C291" s="1">
        <v>50.0</v>
      </c>
      <c r="D291" s="2" t="s">
        <v>617</v>
      </c>
      <c r="E291" s="1">
        <v>10.0</v>
      </c>
      <c r="F291" s="1">
        <v>34.0</v>
      </c>
      <c r="G291" s="1">
        <v>13.04</v>
      </c>
      <c r="H291" s="1">
        <v>0.0</v>
      </c>
      <c r="I291" s="1">
        <v>0.0</v>
      </c>
      <c r="J291" s="1">
        <v>0.0</v>
      </c>
      <c r="K291" s="1">
        <v>0.31</v>
      </c>
      <c r="L291" s="1">
        <v>1.49E7</v>
      </c>
      <c r="M291" s="1" t="s">
        <v>3775</v>
      </c>
      <c r="N291" s="18">
        <v>45992.0</v>
      </c>
      <c r="O291" s="1" t="s">
        <v>3673</v>
      </c>
      <c r="P291" s="1" t="s">
        <v>3257</v>
      </c>
      <c r="Q291" s="1" t="s">
        <v>3408</v>
      </c>
    </row>
    <row r="292">
      <c r="A292" s="1" t="s">
        <v>3825</v>
      </c>
      <c r="B292" s="1">
        <v>10.0</v>
      </c>
      <c r="C292" s="1">
        <v>140.0</v>
      </c>
      <c r="D292" s="2" t="s">
        <v>584</v>
      </c>
      <c r="E292" s="1">
        <v>10.0</v>
      </c>
      <c r="F292" s="1">
        <v>39.0</v>
      </c>
      <c r="G292" s="1">
        <v>13.81</v>
      </c>
      <c r="H292" s="1">
        <v>0.0</v>
      </c>
      <c r="I292" s="1">
        <v>0.0</v>
      </c>
      <c r="J292" s="1">
        <v>0.0</v>
      </c>
      <c r="K292" s="1">
        <v>0.25</v>
      </c>
      <c r="L292" s="1">
        <v>6.0</v>
      </c>
      <c r="M292" s="1" t="s">
        <v>3826</v>
      </c>
      <c r="N292" s="18">
        <v>45986.0</v>
      </c>
      <c r="O292" s="1" t="s">
        <v>3673</v>
      </c>
      <c r="P292" s="1" t="s">
        <v>3257</v>
      </c>
      <c r="Q292" s="1" t="s">
        <v>3408</v>
      </c>
    </row>
    <row r="293">
      <c r="A293" s="1" t="s">
        <v>3586</v>
      </c>
      <c r="B293" s="1">
        <v>10.0</v>
      </c>
      <c r="C293" s="1">
        <v>90.0</v>
      </c>
      <c r="D293" s="2" t="s">
        <v>694</v>
      </c>
      <c r="E293" s="1">
        <v>10.0</v>
      </c>
      <c r="F293" s="1">
        <v>18.0</v>
      </c>
      <c r="G293" s="1">
        <v>1.26</v>
      </c>
      <c r="H293" s="1">
        <v>0.0</v>
      </c>
      <c r="I293" s="1">
        <v>0.0</v>
      </c>
      <c r="J293" s="1">
        <v>0.0</v>
      </c>
      <c r="K293" s="1">
        <v>0.43</v>
      </c>
      <c r="L293" s="1">
        <v>2960000.0</v>
      </c>
      <c r="M293" s="1" t="s">
        <v>3587</v>
      </c>
      <c r="N293" s="18">
        <v>45961.0</v>
      </c>
      <c r="O293" s="1" t="s">
        <v>3237</v>
      </c>
      <c r="P293" s="1" t="s">
        <v>3230</v>
      </c>
      <c r="Q293" s="1" t="s">
        <v>3408</v>
      </c>
    </row>
    <row r="294">
      <c r="A294" s="1" t="s">
        <v>3270</v>
      </c>
      <c r="B294" s="1">
        <v>11.0</v>
      </c>
      <c r="C294" s="1">
        <v>210.0</v>
      </c>
      <c r="D294" s="2" t="s">
        <v>694</v>
      </c>
      <c r="E294" s="1">
        <v>11.0</v>
      </c>
      <c r="F294" s="1">
        <v>22.0</v>
      </c>
      <c r="G294" s="1">
        <v>0.5</v>
      </c>
      <c r="H294" s="1">
        <v>0.0</v>
      </c>
      <c r="I294" s="1">
        <v>0.0</v>
      </c>
      <c r="J294" s="1">
        <v>0.0</v>
      </c>
      <c r="K294" s="1">
        <v>0.11</v>
      </c>
      <c r="L294" s="1">
        <v>1420000.0</v>
      </c>
      <c r="M294" s="1" t="s">
        <v>3271</v>
      </c>
      <c r="N294" s="18">
        <v>46039.0</v>
      </c>
      <c r="O294" s="1" t="s">
        <v>3264</v>
      </c>
      <c r="P294" s="1" t="s">
        <v>3230</v>
      </c>
      <c r="Q294" s="1" t="s">
        <v>3408</v>
      </c>
    </row>
    <row r="295">
      <c r="A295" s="1" t="s">
        <v>3802</v>
      </c>
      <c r="B295" s="1">
        <v>11.0</v>
      </c>
      <c r="C295" s="1">
        <v>90.0</v>
      </c>
      <c r="D295" s="2" t="s">
        <v>1035</v>
      </c>
      <c r="E295" s="1">
        <v>11.0</v>
      </c>
      <c r="F295" s="1">
        <v>0.0</v>
      </c>
      <c r="G295" s="1">
        <v>4.02</v>
      </c>
      <c r="H295" s="1">
        <v>0.0</v>
      </c>
      <c r="I295" s="1">
        <v>0.0</v>
      </c>
      <c r="J295" s="1">
        <v>0.0</v>
      </c>
      <c r="K295" s="1">
        <v>0.63</v>
      </c>
      <c r="L295" s="1">
        <v>5100000.0</v>
      </c>
      <c r="M295" s="1" t="s">
        <v>3803</v>
      </c>
      <c r="N295" s="18">
        <v>46035.0</v>
      </c>
      <c r="O295" s="1" t="s">
        <v>3804</v>
      </c>
      <c r="P295" s="1" t="s">
        <v>3230</v>
      </c>
      <c r="Q295" s="1" t="s">
        <v>3408</v>
      </c>
    </row>
    <row r="296">
      <c r="A296" s="1" t="s">
        <v>3827</v>
      </c>
      <c r="B296" s="1">
        <v>11.0</v>
      </c>
      <c r="C296" s="1">
        <v>70.0</v>
      </c>
      <c r="D296" s="2" t="s">
        <v>798</v>
      </c>
      <c r="E296" s="1">
        <v>11.0</v>
      </c>
      <c r="G296" s="1">
        <v>0.0</v>
      </c>
      <c r="H296" s="1">
        <v>0.0</v>
      </c>
      <c r="I296" s="1">
        <v>0.0</v>
      </c>
      <c r="J296" s="1">
        <v>0.0</v>
      </c>
      <c r="K296" s="1">
        <v>0.0</v>
      </c>
      <c r="L296" s="1">
        <v>5890000.0</v>
      </c>
      <c r="M296" s="1" t="s">
        <v>3828</v>
      </c>
      <c r="N296" s="18">
        <v>46028.0</v>
      </c>
      <c r="O296" s="1" t="s">
        <v>3264</v>
      </c>
      <c r="P296" s="1" t="s">
        <v>3230</v>
      </c>
      <c r="Q296" s="1" t="s">
        <v>3408</v>
      </c>
    </row>
    <row r="297">
      <c r="A297" s="1" t="s">
        <v>3829</v>
      </c>
      <c r="B297" s="1">
        <v>11.0</v>
      </c>
      <c r="C297" s="1">
        <v>50.0</v>
      </c>
      <c r="D297" s="2" t="s">
        <v>1168</v>
      </c>
      <c r="E297" s="1">
        <v>11.0</v>
      </c>
      <c r="F297" s="1">
        <v>3.0</v>
      </c>
      <c r="G297" s="1">
        <v>42.64</v>
      </c>
      <c r="H297" s="1">
        <v>0.0</v>
      </c>
      <c r="I297" s="1">
        <v>0.0</v>
      </c>
      <c r="J297" s="1">
        <v>0.0</v>
      </c>
      <c r="K297" s="1">
        <v>0.11</v>
      </c>
      <c r="L297" s="1">
        <v>5480.0</v>
      </c>
      <c r="M297" s="1" t="s">
        <v>3830</v>
      </c>
      <c r="N297" s="18">
        <v>46026.0</v>
      </c>
      <c r="O297" s="1" t="s">
        <v>3755</v>
      </c>
      <c r="P297" s="1" t="s">
        <v>3257</v>
      </c>
      <c r="Q297" s="1" t="s">
        <v>3408</v>
      </c>
    </row>
    <row r="298">
      <c r="A298" s="1" t="s">
        <v>3633</v>
      </c>
      <c r="B298" s="1">
        <v>11.0</v>
      </c>
      <c r="C298" s="1">
        <v>110.0</v>
      </c>
      <c r="D298" s="2" t="s">
        <v>594</v>
      </c>
      <c r="E298" s="1">
        <v>11.0</v>
      </c>
      <c r="F298" s="1">
        <v>34.0</v>
      </c>
      <c r="G298" s="1">
        <v>13.98</v>
      </c>
      <c r="H298" s="1">
        <v>0.0</v>
      </c>
      <c r="I298" s="1">
        <v>0.0</v>
      </c>
      <c r="J298" s="1">
        <v>0.0</v>
      </c>
      <c r="K298" s="1">
        <v>0.45</v>
      </c>
      <c r="L298" s="1">
        <v>49200.0</v>
      </c>
      <c r="M298" s="1" t="s">
        <v>3634</v>
      </c>
      <c r="N298" s="18">
        <v>46024.0</v>
      </c>
      <c r="O298" s="1" t="s">
        <v>3288</v>
      </c>
      <c r="P298" s="1" t="s">
        <v>3257</v>
      </c>
      <c r="Q298" s="1" t="s">
        <v>3408</v>
      </c>
    </row>
    <row r="299">
      <c r="A299" s="1" t="s">
        <v>3831</v>
      </c>
      <c r="B299" s="1">
        <v>11.0</v>
      </c>
      <c r="C299" s="1">
        <v>390.0</v>
      </c>
      <c r="D299" s="2" t="s">
        <v>694</v>
      </c>
      <c r="E299" s="1">
        <v>11.0</v>
      </c>
      <c r="G299" s="1">
        <v>0.49</v>
      </c>
      <c r="H299" s="1">
        <v>1.0</v>
      </c>
      <c r="I299" s="1">
        <v>0.06</v>
      </c>
      <c r="J299" s="1">
        <v>0.0</v>
      </c>
      <c r="K299" s="1">
        <v>0.05</v>
      </c>
      <c r="L299" s="1">
        <v>7110000.0</v>
      </c>
      <c r="M299" s="1" t="s">
        <v>3832</v>
      </c>
      <c r="N299" s="18">
        <v>46023.0</v>
      </c>
      <c r="O299" s="1" t="s">
        <v>3833</v>
      </c>
      <c r="P299" s="1" t="s">
        <v>3230</v>
      </c>
      <c r="Q299" s="1" t="s">
        <v>3408</v>
      </c>
    </row>
    <row r="300">
      <c r="A300" s="1" t="s">
        <v>3834</v>
      </c>
      <c r="B300" s="1">
        <v>11.0</v>
      </c>
      <c r="C300" s="1">
        <v>390.0</v>
      </c>
      <c r="D300" s="2" t="s">
        <v>798</v>
      </c>
      <c r="E300" s="1">
        <v>11.0</v>
      </c>
      <c r="F300" s="1">
        <v>14.0</v>
      </c>
      <c r="G300" s="1">
        <v>0.0</v>
      </c>
      <c r="H300" s="1">
        <v>3.0</v>
      </c>
      <c r="I300" s="1">
        <v>0.19</v>
      </c>
      <c r="J300" s="1">
        <v>0.0</v>
      </c>
      <c r="K300" s="1">
        <v>0.0</v>
      </c>
      <c r="L300" s="1">
        <v>1300000.0</v>
      </c>
      <c r="M300" s="1" t="s">
        <v>3835</v>
      </c>
      <c r="N300" s="18">
        <v>46020.0</v>
      </c>
      <c r="O300" s="1" t="s">
        <v>3479</v>
      </c>
      <c r="P300" s="1" t="s">
        <v>3230</v>
      </c>
      <c r="Q300" s="1" t="s">
        <v>3408</v>
      </c>
    </row>
    <row r="301">
      <c r="A301" s="1" t="s">
        <v>3836</v>
      </c>
      <c r="B301" s="1">
        <v>11.0</v>
      </c>
      <c r="C301" s="1">
        <v>90.0</v>
      </c>
      <c r="D301" s="2" t="s">
        <v>617</v>
      </c>
      <c r="E301" s="1">
        <v>11.0</v>
      </c>
      <c r="F301" s="1">
        <v>23.0</v>
      </c>
      <c r="G301" s="1">
        <v>0.0</v>
      </c>
      <c r="H301" s="1">
        <v>0.0</v>
      </c>
      <c r="I301" s="1">
        <v>0.0</v>
      </c>
      <c r="J301" s="1">
        <v>0.0</v>
      </c>
      <c r="K301" s="1">
        <v>0.11</v>
      </c>
      <c r="L301" s="1">
        <v>7.51E7</v>
      </c>
      <c r="M301" s="1" t="s">
        <v>3837</v>
      </c>
      <c r="N301" s="18">
        <v>46018.0</v>
      </c>
      <c r="O301" s="1" t="s">
        <v>3673</v>
      </c>
      <c r="P301" s="1" t="s">
        <v>3257</v>
      </c>
      <c r="Q301" s="1" t="s">
        <v>3408</v>
      </c>
    </row>
    <row r="302">
      <c r="A302" s="1" t="s">
        <v>3838</v>
      </c>
      <c r="B302" s="1">
        <v>11.0</v>
      </c>
      <c r="C302" s="1">
        <v>170.0</v>
      </c>
      <c r="D302" s="2" t="s">
        <v>694</v>
      </c>
      <c r="E302" s="1">
        <v>11.0</v>
      </c>
      <c r="F302" s="1">
        <v>9.0</v>
      </c>
      <c r="G302" s="1">
        <v>0.17</v>
      </c>
      <c r="H302" s="1">
        <v>0.0</v>
      </c>
      <c r="I302" s="1">
        <v>0.0</v>
      </c>
      <c r="J302" s="1">
        <v>0.0</v>
      </c>
      <c r="K302" s="1">
        <v>0.21</v>
      </c>
      <c r="L302" s="1">
        <v>2180000.0</v>
      </c>
      <c r="M302" s="1" t="s">
        <v>3839</v>
      </c>
      <c r="N302" s="18">
        <v>46017.0</v>
      </c>
      <c r="O302" s="1" t="s">
        <v>3840</v>
      </c>
      <c r="P302" s="1" t="s">
        <v>3230</v>
      </c>
      <c r="Q302" s="1" t="s">
        <v>3408</v>
      </c>
    </row>
    <row r="303">
      <c r="A303" s="1" t="s">
        <v>3451</v>
      </c>
      <c r="B303" s="1">
        <v>11.0</v>
      </c>
      <c r="C303" s="1">
        <v>90.0</v>
      </c>
      <c r="D303" s="2" t="s">
        <v>594</v>
      </c>
      <c r="E303" s="1">
        <v>11.0</v>
      </c>
      <c r="F303" s="1">
        <v>14.0</v>
      </c>
      <c r="G303" s="1">
        <v>13.98</v>
      </c>
      <c r="H303" s="1">
        <v>0.0</v>
      </c>
      <c r="I303" s="1">
        <v>0.0</v>
      </c>
      <c r="J303" s="1">
        <v>0.0</v>
      </c>
      <c r="K303" s="1">
        <v>0.45</v>
      </c>
      <c r="L303" s="1">
        <v>19100.0</v>
      </c>
      <c r="M303" s="1" t="s">
        <v>3452</v>
      </c>
      <c r="N303" s="18">
        <v>46015.0</v>
      </c>
      <c r="O303" s="1" t="s">
        <v>3288</v>
      </c>
      <c r="P303" s="1" t="s">
        <v>3257</v>
      </c>
      <c r="Q303" s="1" t="s">
        <v>3408</v>
      </c>
    </row>
    <row r="304">
      <c r="A304" s="1" t="s">
        <v>3841</v>
      </c>
      <c r="B304" s="1">
        <v>11.0</v>
      </c>
      <c r="C304" s="1">
        <v>90.0</v>
      </c>
      <c r="D304" s="2" t="s">
        <v>1099</v>
      </c>
      <c r="E304" s="1">
        <v>11.0</v>
      </c>
      <c r="F304" s="1">
        <v>0.0</v>
      </c>
      <c r="G304" s="1">
        <v>2.95</v>
      </c>
      <c r="H304" s="1">
        <v>0.0</v>
      </c>
      <c r="I304" s="1">
        <v>0.0</v>
      </c>
      <c r="J304" s="1">
        <v>0.0</v>
      </c>
      <c r="K304" s="1">
        <v>0.19</v>
      </c>
      <c r="L304" s="1">
        <v>77900.0</v>
      </c>
      <c r="M304" s="1" t="s">
        <v>3842</v>
      </c>
      <c r="N304" s="18">
        <v>46014.0</v>
      </c>
      <c r="O304" s="1" t="s">
        <v>3407</v>
      </c>
      <c r="P304" s="1" t="s">
        <v>3230</v>
      </c>
      <c r="Q304" s="1" t="s">
        <v>3408</v>
      </c>
    </row>
    <row r="305">
      <c r="A305" s="1" t="s">
        <v>3843</v>
      </c>
      <c r="B305" s="1">
        <v>11.0</v>
      </c>
      <c r="C305" s="1">
        <v>50.0</v>
      </c>
      <c r="D305" s="2" t="s">
        <v>617</v>
      </c>
      <c r="E305" s="1">
        <v>11.0</v>
      </c>
      <c r="F305" s="1">
        <v>25.0</v>
      </c>
      <c r="G305" s="1">
        <v>13.04</v>
      </c>
      <c r="H305" s="1">
        <v>0.0</v>
      </c>
      <c r="I305" s="1">
        <v>0.0</v>
      </c>
      <c r="J305" s="1">
        <v>0.0</v>
      </c>
      <c r="K305" s="1">
        <v>0.31</v>
      </c>
      <c r="L305" s="1">
        <v>2.25E7</v>
      </c>
      <c r="M305" s="1" t="s">
        <v>3844</v>
      </c>
      <c r="N305" s="18">
        <v>46005.0</v>
      </c>
      <c r="O305" s="1" t="s">
        <v>3415</v>
      </c>
      <c r="P305" s="1" t="s">
        <v>3257</v>
      </c>
      <c r="Q305" s="1" t="s">
        <v>3408</v>
      </c>
    </row>
    <row r="306">
      <c r="A306" s="1" t="s">
        <v>3845</v>
      </c>
      <c r="B306" s="1">
        <v>11.0</v>
      </c>
      <c r="C306" s="1">
        <v>90.0</v>
      </c>
      <c r="D306" s="2" t="s">
        <v>694</v>
      </c>
      <c r="E306" s="1">
        <v>11.0</v>
      </c>
      <c r="F306" s="1">
        <v>7.0</v>
      </c>
      <c r="G306" s="1">
        <v>0.18</v>
      </c>
      <c r="H306" s="1">
        <v>0.0</v>
      </c>
      <c r="I306" s="1">
        <v>0.0</v>
      </c>
      <c r="J306" s="1">
        <v>0.0</v>
      </c>
      <c r="K306" s="1">
        <v>0.08</v>
      </c>
      <c r="L306" s="1">
        <v>5790000.0</v>
      </c>
      <c r="M306" s="1" t="s">
        <v>3846</v>
      </c>
      <c r="N306" s="18">
        <v>46004.0</v>
      </c>
      <c r="O306" s="1" t="s">
        <v>3840</v>
      </c>
      <c r="P306" s="1" t="s">
        <v>3230</v>
      </c>
      <c r="Q306" s="1" t="s">
        <v>3408</v>
      </c>
    </row>
    <row r="307">
      <c r="A307" s="1" t="s">
        <v>3847</v>
      </c>
      <c r="B307" s="1">
        <v>11.0</v>
      </c>
      <c r="C307" s="1">
        <v>320.0</v>
      </c>
      <c r="D307" s="2" t="s">
        <v>606</v>
      </c>
      <c r="E307" s="1">
        <v>11.0</v>
      </c>
      <c r="F307" s="1">
        <v>34.0</v>
      </c>
      <c r="G307" s="1">
        <v>4.31</v>
      </c>
      <c r="H307" s="1">
        <v>0.0</v>
      </c>
      <c r="I307" s="1">
        <v>0.0</v>
      </c>
      <c r="J307" s="1">
        <v>0.0</v>
      </c>
      <c r="K307" s="1">
        <v>0.02</v>
      </c>
      <c r="L307" s="1">
        <v>2.87E8</v>
      </c>
      <c r="M307" s="1" t="s">
        <v>3848</v>
      </c>
      <c r="N307" s="18">
        <v>46000.0</v>
      </c>
      <c r="O307" s="1" t="s">
        <v>3849</v>
      </c>
      <c r="P307" s="1" t="s">
        <v>3230</v>
      </c>
      <c r="Q307" s="1" t="s">
        <v>3408</v>
      </c>
    </row>
    <row r="308">
      <c r="A308" s="1" t="s">
        <v>3850</v>
      </c>
      <c r="B308" s="1">
        <v>11.0</v>
      </c>
      <c r="C308" s="1">
        <v>30.0</v>
      </c>
      <c r="D308" s="2" t="s">
        <v>694</v>
      </c>
      <c r="E308" s="1">
        <v>11.0</v>
      </c>
      <c r="F308" s="1">
        <v>13.0</v>
      </c>
      <c r="G308" s="1">
        <v>0.52</v>
      </c>
      <c r="H308" s="1">
        <v>0.0</v>
      </c>
      <c r="I308" s="1">
        <v>0.0</v>
      </c>
      <c r="J308" s="1">
        <v>0.0</v>
      </c>
      <c r="K308" s="1">
        <v>0.42</v>
      </c>
      <c r="L308" s="1">
        <v>1950000.0</v>
      </c>
      <c r="M308" s="1" t="s">
        <v>3851</v>
      </c>
      <c r="N308" s="18">
        <v>45996.0</v>
      </c>
      <c r="O308" s="1" t="s">
        <v>3840</v>
      </c>
      <c r="P308" s="1" t="s">
        <v>3230</v>
      </c>
      <c r="Q308" s="1" t="s">
        <v>3408</v>
      </c>
    </row>
    <row r="309">
      <c r="A309" s="1" t="s">
        <v>3852</v>
      </c>
      <c r="B309" s="1">
        <v>11.0</v>
      </c>
      <c r="C309" s="1">
        <v>50.0</v>
      </c>
      <c r="D309" s="2" t="s">
        <v>2931</v>
      </c>
      <c r="E309" s="1">
        <v>11.0</v>
      </c>
      <c r="F309" s="1">
        <v>19.0</v>
      </c>
      <c r="G309" s="1">
        <v>0.0</v>
      </c>
      <c r="H309" s="1">
        <v>0.0</v>
      </c>
      <c r="I309" s="1">
        <v>0.0</v>
      </c>
      <c r="J309" s="1">
        <v>0.0</v>
      </c>
      <c r="K309" s="1">
        <v>0.0</v>
      </c>
      <c r="L309" s="1">
        <v>439000.0</v>
      </c>
      <c r="M309" s="1" t="s">
        <v>3853</v>
      </c>
      <c r="N309" s="18">
        <v>45993.0</v>
      </c>
      <c r="O309" s="1" t="s">
        <v>3854</v>
      </c>
      <c r="P309" s="1" t="s">
        <v>3257</v>
      </c>
      <c r="Q309" s="1" t="s">
        <v>3408</v>
      </c>
    </row>
    <row r="310">
      <c r="A310" s="1" t="s">
        <v>3855</v>
      </c>
      <c r="B310" s="1">
        <v>11.0</v>
      </c>
      <c r="C310" s="1">
        <v>140.0</v>
      </c>
      <c r="D310" s="2" t="s">
        <v>617</v>
      </c>
      <c r="E310" s="1">
        <v>11.0</v>
      </c>
      <c r="F310" s="1">
        <v>21.0</v>
      </c>
      <c r="G310" s="1">
        <v>17.84</v>
      </c>
      <c r="H310" s="1">
        <v>0.0</v>
      </c>
      <c r="I310" s="1">
        <v>0.0</v>
      </c>
      <c r="J310" s="1">
        <v>0.0</v>
      </c>
      <c r="K310" s="1">
        <v>0.12</v>
      </c>
      <c r="L310" s="1">
        <v>4170000.0</v>
      </c>
      <c r="M310" s="1" t="s">
        <v>3856</v>
      </c>
      <c r="N310" s="18">
        <v>45993.0</v>
      </c>
      <c r="O310" s="1" t="s">
        <v>3673</v>
      </c>
      <c r="P310" s="1" t="s">
        <v>3257</v>
      </c>
      <c r="Q310" s="1" t="s">
        <v>3408</v>
      </c>
    </row>
    <row r="311">
      <c r="A311" s="1" t="s">
        <v>3508</v>
      </c>
      <c r="B311" s="1">
        <v>11.0</v>
      </c>
      <c r="C311" s="1">
        <v>260.0</v>
      </c>
      <c r="D311" s="2" t="s">
        <v>694</v>
      </c>
      <c r="E311" s="1">
        <v>11.0</v>
      </c>
      <c r="F311" s="1">
        <v>18.0</v>
      </c>
      <c r="G311" s="1">
        <v>0.75</v>
      </c>
      <c r="H311" s="1">
        <v>0.0</v>
      </c>
      <c r="I311" s="1">
        <v>0.0</v>
      </c>
      <c r="J311" s="1">
        <v>0.0</v>
      </c>
      <c r="K311" s="1">
        <v>0.26</v>
      </c>
      <c r="L311" s="1">
        <v>5000000.0</v>
      </c>
      <c r="M311" s="1" t="s">
        <v>3509</v>
      </c>
      <c r="N311" s="18">
        <v>45993.0</v>
      </c>
      <c r="O311" s="1" t="s">
        <v>3510</v>
      </c>
      <c r="P311" s="1" t="s">
        <v>3230</v>
      </c>
      <c r="Q311" s="1" t="s">
        <v>3408</v>
      </c>
    </row>
    <row r="312">
      <c r="A312" s="1" t="s">
        <v>3857</v>
      </c>
      <c r="B312" s="1">
        <v>11.0</v>
      </c>
      <c r="C312" s="1">
        <v>480.0</v>
      </c>
      <c r="D312" s="2" t="s">
        <v>694</v>
      </c>
      <c r="E312" s="1">
        <v>11.0</v>
      </c>
      <c r="F312" s="1">
        <v>32.0</v>
      </c>
      <c r="G312" s="1">
        <v>0.72</v>
      </c>
      <c r="H312" s="1">
        <v>1.0</v>
      </c>
      <c r="I312" s="1">
        <v>0.06</v>
      </c>
      <c r="J312" s="1">
        <v>0.0</v>
      </c>
      <c r="K312" s="1">
        <v>0.16</v>
      </c>
      <c r="L312" s="1">
        <v>1290000.0</v>
      </c>
      <c r="M312" s="1" t="s">
        <v>3858</v>
      </c>
      <c r="N312" s="18">
        <v>45990.0</v>
      </c>
      <c r="O312" s="1" t="s">
        <v>3317</v>
      </c>
      <c r="P312" s="1" t="s">
        <v>3230</v>
      </c>
      <c r="Q312" s="1" t="s">
        <v>3408</v>
      </c>
    </row>
    <row r="313">
      <c r="A313" s="1" t="s">
        <v>3859</v>
      </c>
      <c r="B313" s="1">
        <v>11.0</v>
      </c>
      <c r="C313" s="1">
        <v>110.0</v>
      </c>
      <c r="D313" s="2" t="s">
        <v>694</v>
      </c>
      <c r="E313" s="1">
        <v>11.0</v>
      </c>
      <c r="F313" s="1">
        <v>14.0</v>
      </c>
      <c r="G313" s="1">
        <v>0.42</v>
      </c>
      <c r="H313" s="1">
        <v>0.0</v>
      </c>
      <c r="I313" s="1">
        <v>0.0</v>
      </c>
      <c r="J313" s="1">
        <v>0.0</v>
      </c>
      <c r="K313" s="1">
        <v>0.2</v>
      </c>
      <c r="L313" s="1">
        <v>1330000.0</v>
      </c>
      <c r="M313" s="1" t="s">
        <v>3860</v>
      </c>
      <c r="N313" s="18">
        <v>45987.0</v>
      </c>
      <c r="O313" s="1" t="s">
        <v>3861</v>
      </c>
      <c r="P313" s="1" t="s">
        <v>3230</v>
      </c>
      <c r="Q313" s="1" t="s">
        <v>3408</v>
      </c>
    </row>
    <row r="314">
      <c r="A314" s="1" t="s">
        <v>3651</v>
      </c>
      <c r="B314" s="1">
        <v>12.0</v>
      </c>
      <c r="C314" s="1">
        <v>50.0</v>
      </c>
      <c r="D314" s="2" t="s">
        <v>654</v>
      </c>
      <c r="E314" s="1">
        <v>12.0</v>
      </c>
      <c r="F314" s="1">
        <v>3.0</v>
      </c>
      <c r="G314" s="1">
        <v>5.11</v>
      </c>
      <c r="H314" s="1">
        <v>0.0</v>
      </c>
      <c r="I314" s="1">
        <v>0.0</v>
      </c>
      <c r="J314" s="1">
        <v>0.0</v>
      </c>
      <c r="K314" s="1">
        <v>0.12</v>
      </c>
      <c r="L314" s="1">
        <v>34000.0</v>
      </c>
      <c r="M314" s="1" t="s">
        <v>3652</v>
      </c>
      <c r="N314" s="18">
        <v>46027.0</v>
      </c>
      <c r="O314" s="1" t="s">
        <v>3653</v>
      </c>
      <c r="P314" s="1" t="s">
        <v>3334</v>
      </c>
      <c r="Q314" s="1" t="s">
        <v>3408</v>
      </c>
    </row>
    <row r="315">
      <c r="A315" s="1" t="s">
        <v>3656</v>
      </c>
      <c r="B315" s="1">
        <v>12.0</v>
      </c>
      <c r="C315" s="1">
        <v>140.0</v>
      </c>
      <c r="D315" s="2" t="s">
        <v>594</v>
      </c>
      <c r="E315" s="1">
        <v>12.0</v>
      </c>
      <c r="F315" s="1">
        <v>25.0</v>
      </c>
      <c r="G315" s="1">
        <v>13.98</v>
      </c>
      <c r="H315" s="1">
        <v>0.0</v>
      </c>
      <c r="I315" s="1">
        <v>0.0</v>
      </c>
      <c r="J315" s="1">
        <v>0.0</v>
      </c>
      <c r="K315" s="1">
        <v>0.45</v>
      </c>
      <c r="L315" s="1">
        <v>33000.0</v>
      </c>
      <c r="M315" s="1" t="s">
        <v>3657</v>
      </c>
      <c r="N315" s="18">
        <v>46024.0</v>
      </c>
      <c r="O315" s="1" t="s">
        <v>3435</v>
      </c>
      <c r="P315" s="1" t="s">
        <v>3257</v>
      </c>
      <c r="Q315" s="1" t="s">
        <v>3408</v>
      </c>
    </row>
    <row r="316">
      <c r="A316" s="1" t="s">
        <v>3447</v>
      </c>
      <c r="B316" s="1">
        <v>12.0</v>
      </c>
      <c r="C316" s="1">
        <v>140.0</v>
      </c>
      <c r="D316" s="2" t="s">
        <v>594</v>
      </c>
      <c r="E316" s="1">
        <v>12.0</v>
      </c>
      <c r="F316" s="1">
        <v>14.0</v>
      </c>
      <c r="G316" s="1">
        <v>13.98</v>
      </c>
      <c r="H316" s="1">
        <v>0.0</v>
      </c>
      <c r="I316" s="1">
        <v>0.0</v>
      </c>
      <c r="J316" s="1">
        <v>0.0</v>
      </c>
      <c r="K316" s="1">
        <v>0.45</v>
      </c>
      <c r="L316" s="1">
        <v>26700.0</v>
      </c>
      <c r="M316" s="1" t="s">
        <v>3448</v>
      </c>
      <c r="N316" s="18">
        <v>46016.0</v>
      </c>
      <c r="O316" s="1" t="s">
        <v>3415</v>
      </c>
      <c r="P316" s="1" t="s">
        <v>3257</v>
      </c>
      <c r="Q316" s="1" t="s">
        <v>3408</v>
      </c>
    </row>
    <row r="317">
      <c r="A317" s="1" t="s">
        <v>3862</v>
      </c>
      <c r="B317" s="1">
        <v>12.0</v>
      </c>
      <c r="C317" s="1">
        <v>90.0</v>
      </c>
      <c r="D317" s="2" t="s">
        <v>581</v>
      </c>
      <c r="E317" s="1">
        <v>12.0</v>
      </c>
      <c r="F317" s="1">
        <v>25.0</v>
      </c>
      <c r="G317" s="1">
        <v>5.45</v>
      </c>
      <c r="H317" s="1">
        <v>0.0</v>
      </c>
      <c r="I317" s="1">
        <v>0.0</v>
      </c>
      <c r="J317" s="1">
        <v>0.0</v>
      </c>
      <c r="K317" s="1">
        <v>0.15</v>
      </c>
      <c r="L317" s="1">
        <v>3.13E7</v>
      </c>
      <c r="M317" s="1" t="s">
        <v>3863</v>
      </c>
      <c r="N317" s="18">
        <v>46014.0</v>
      </c>
      <c r="O317" s="1" t="s">
        <v>3404</v>
      </c>
      <c r="P317" s="1" t="s">
        <v>3294</v>
      </c>
      <c r="Q317" s="1" t="s">
        <v>3408</v>
      </c>
    </row>
    <row r="318">
      <c r="A318" s="1" t="s">
        <v>3864</v>
      </c>
      <c r="B318" s="1">
        <v>12.0</v>
      </c>
      <c r="C318" s="1">
        <v>50.0</v>
      </c>
      <c r="D318" s="2" t="s">
        <v>694</v>
      </c>
      <c r="E318" s="1">
        <v>12.0</v>
      </c>
      <c r="F318" s="1">
        <v>23.0</v>
      </c>
      <c r="G318" s="1">
        <v>0.52</v>
      </c>
      <c r="H318" s="1">
        <v>0.0</v>
      </c>
      <c r="I318" s="1">
        <v>0.0</v>
      </c>
      <c r="J318" s="1">
        <v>0.0</v>
      </c>
      <c r="K318" s="1">
        <v>0.42</v>
      </c>
      <c r="L318" s="1">
        <v>441000.0</v>
      </c>
      <c r="M318" s="1" t="s">
        <v>3865</v>
      </c>
      <c r="N318" s="18">
        <v>46012.0</v>
      </c>
      <c r="O318" s="1" t="s">
        <v>3840</v>
      </c>
      <c r="P318" s="1" t="s">
        <v>3230</v>
      </c>
      <c r="Q318" s="1" t="s">
        <v>3408</v>
      </c>
    </row>
    <row r="319">
      <c r="A319" s="1" t="s">
        <v>3866</v>
      </c>
      <c r="B319" s="1">
        <v>12.0</v>
      </c>
      <c r="C319" s="1">
        <v>40.0</v>
      </c>
      <c r="D319" s="2" t="s">
        <v>581</v>
      </c>
      <c r="E319" s="1">
        <v>12.0</v>
      </c>
      <c r="F319" s="1">
        <v>7.0</v>
      </c>
      <c r="G319" s="1">
        <v>0.0</v>
      </c>
      <c r="H319" s="1">
        <v>0.0</v>
      </c>
      <c r="I319" s="1">
        <v>0.0</v>
      </c>
      <c r="J319" s="1">
        <v>0.0</v>
      </c>
      <c r="K319" s="1">
        <v>0.01</v>
      </c>
      <c r="L319" s="1">
        <v>40200.0</v>
      </c>
      <c r="M319" s="1" t="s">
        <v>3867</v>
      </c>
      <c r="N319" s="18">
        <v>46007.0</v>
      </c>
      <c r="O319" s="1" t="s">
        <v>3435</v>
      </c>
      <c r="P319" s="1" t="s">
        <v>3257</v>
      </c>
      <c r="Q319" s="1" t="s">
        <v>3408</v>
      </c>
    </row>
    <row r="320">
      <c r="A320" s="1" t="s">
        <v>3868</v>
      </c>
      <c r="B320" s="1">
        <v>12.0</v>
      </c>
      <c r="C320" s="1">
        <v>40.0</v>
      </c>
      <c r="D320" s="2" t="s">
        <v>694</v>
      </c>
      <c r="E320" s="1">
        <v>12.0</v>
      </c>
      <c r="F320" s="1">
        <v>5.0</v>
      </c>
      <c r="G320" s="1">
        <v>0.16</v>
      </c>
      <c r="H320" s="1">
        <v>0.0</v>
      </c>
      <c r="I320" s="1">
        <v>0.0</v>
      </c>
      <c r="J320" s="1">
        <v>0.0</v>
      </c>
      <c r="K320" s="1">
        <v>0.07</v>
      </c>
      <c r="L320" s="1">
        <v>3010000.0</v>
      </c>
      <c r="M320" s="1" t="s">
        <v>3869</v>
      </c>
      <c r="N320" s="18">
        <v>46006.0</v>
      </c>
      <c r="O320" s="1" t="s">
        <v>3870</v>
      </c>
      <c r="P320" s="1" t="s">
        <v>3230</v>
      </c>
      <c r="Q320" s="1" t="s">
        <v>3408</v>
      </c>
    </row>
    <row r="321">
      <c r="A321" s="1" t="s">
        <v>3871</v>
      </c>
      <c r="B321" s="1">
        <v>12.0</v>
      </c>
      <c r="C321" s="1">
        <v>70.0</v>
      </c>
      <c r="D321" s="2" t="s">
        <v>581</v>
      </c>
      <c r="E321" s="1">
        <v>12.0</v>
      </c>
      <c r="F321" s="1">
        <v>13.0</v>
      </c>
      <c r="G321" s="1">
        <v>19.05</v>
      </c>
      <c r="H321" s="1">
        <v>0.0</v>
      </c>
      <c r="I321" s="1">
        <v>0.0</v>
      </c>
      <c r="J321" s="1">
        <v>0.0</v>
      </c>
      <c r="K321" s="1">
        <v>0.04</v>
      </c>
      <c r="L321" s="1">
        <v>155000.0</v>
      </c>
      <c r="M321" s="1" t="s">
        <v>3872</v>
      </c>
      <c r="N321" s="18">
        <v>46005.0</v>
      </c>
      <c r="O321" s="1" t="s">
        <v>3435</v>
      </c>
      <c r="P321" s="1" t="s">
        <v>3257</v>
      </c>
      <c r="Q321" s="1" t="s">
        <v>3408</v>
      </c>
    </row>
    <row r="322">
      <c r="A322" s="1" t="s">
        <v>3873</v>
      </c>
      <c r="B322" s="1">
        <v>12.0</v>
      </c>
      <c r="C322" s="1">
        <v>320.0</v>
      </c>
      <c r="D322" s="2" t="s">
        <v>2930</v>
      </c>
      <c r="E322" s="1">
        <v>12.0</v>
      </c>
      <c r="F322" s="1">
        <v>41.0</v>
      </c>
      <c r="G322" s="1">
        <v>0.0</v>
      </c>
      <c r="H322" s="1">
        <v>1.0</v>
      </c>
      <c r="I322" s="1">
        <v>0.06</v>
      </c>
      <c r="J322" s="1">
        <v>0.0</v>
      </c>
      <c r="K322" s="1">
        <v>0.01</v>
      </c>
      <c r="L322" s="1">
        <v>3200000.0</v>
      </c>
      <c r="M322" s="1" t="s">
        <v>3874</v>
      </c>
      <c r="N322" s="18">
        <v>46003.0</v>
      </c>
      <c r="O322" s="1" t="s">
        <v>3875</v>
      </c>
      <c r="P322" s="1" t="s">
        <v>3230</v>
      </c>
      <c r="Q322" s="1" t="s">
        <v>3408</v>
      </c>
    </row>
    <row r="323">
      <c r="A323" s="1" t="s">
        <v>3876</v>
      </c>
      <c r="B323" s="1">
        <v>12.0</v>
      </c>
      <c r="C323" s="1">
        <v>170.0</v>
      </c>
      <c r="D323" s="2" t="s">
        <v>694</v>
      </c>
      <c r="E323" s="1">
        <v>12.0</v>
      </c>
      <c r="F323" s="1">
        <v>23.0</v>
      </c>
      <c r="G323" s="1">
        <v>0.86</v>
      </c>
      <c r="H323" s="1">
        <v>1.0</v>
      </c>
      <c r="I323" s="1">
        <v>0.06</v>
      </c>
      <c r="J323" s="1">
        <v>0.0</v>
      </c>
      <c r="K323" s="1">
        <v>0.37</v>
      </c>
      <c r="L323" s="1">
        <v>2980000.0</v>
      </c>
      <c r="M323" s="1" t="s">
        <v>3877</v>
      </c>
      <c r="N323" s="18">
        <v>45994.0</v>
      </c>
      <c r="O323" s="1" t="s">
        <v>3479</v>
      </c>
      <c r="P323" s="1" t="s">
        <v>3230</v>
      </c>
      <c r="Q323" s="1" t="s">
        <v>3408</v>
      </c>
    </row>
    <row r="324">
      <c r="A324" s="1" t="s">
        <v>3878</v>
      </c>
      <c r="B324" s="1">
        <v>12.0</v>
      </c>
      <c r="C324" s="1">
        <v>110.0</v>
      </c>
      <c r="D324" s="2" t="s">
        <v>617</v>
      </c>
      <c r="E324" s="1">
        <v>12.0</v>
      </c>
      <c r="F324" s="1">
        <v>19.0</v>
      </c>
      <c r="G324" s="1">
        <v>17.84</v>
      </c>
      <c r="H324" s="1">
        <v>0.0</v>
      </c>
      <c r="I324" s="1">
        <v>0.0</v>
      </c>
      <c r="J324" s="1">
        <v>0.0</v>
      </c>
      <c r="K324" s="1">
        <v>0.12</v>
      </c>
      <c r="L324" s="1">
        <v>2910000.0</v>
      </c>
      <c r="M324" s="1" t="s">
        <v>3879</v>
      </c>
      <c r="N324" s="18">
        <v>45988.0</v>
      </c>
      <c r="O324" s="1" t="s">
        <v>3415</v>
      </c>
      <c r="P324" s="1" t="s">
        <v>3257</v>
      </c>
      <c r="Q324" s="1" t="s">
        <v>3408</v>
      </c>
    </row>
    <row r="325">
      <c r="A325" s="1" t="s">
        <v>3880</v>
      </c>
      <c r="B325" s="1">
        <v>12.0</v>
      </c>
      <c r="C325" s="1">
        <v>140.0</v>
      </c>
      <c r="D325" s="2" t="s">
        <v>617</v>
      </c>
      <c r="E325" s="1">
        <v>12.0</v>
      </c>
      <c r="F325" s="1">
        <v>21.0</v>
      </c>
      <c r="G325" s="1">
        <v>17.84</v>
      </c>
      <c r="H325" s="1">
        <v>0.0</v>
      </c>
      <c r="I325" s="1">
        <v>0.0</v>
      </c>
      <c r="J325" s="1">
        <v>0.0</v>
      </c>
      <c r="K325" s="1">
        <v>0.12</v>
      </c>
      <c r="L325" s="1">
        <v>9.0</v>
      </c>
      <c r="M325" s="1" t="s">
        <v>3881</v>
      </c>
      <c r="N325" s="18">
        <v>45986.0</v>
      </c>
      <c r="O325" s="1" t="s">
        <v>3882</v>
      </c>
      <c r="P325" s="1" t="s">
        <v>3257</v>
      </c>
      <c r="Q325" s="1" t="s">
        <v>3408</v>
      </c>
    </row>
    <row r="326">
      <c r="A326" s="1" t="s">
        <v>3559</v>
      </c>
      <c r="B326" s="1">
        <v>12.0</v>
      </c>
      <c r="C326" s="1">
        <v>140.0</v>
      </c>
      <c r="D326" s="2" t="s">
        <v>594</v>
      </c>
      <c r="E326" s="1">
        <v>12.0</v>
      </c>
      <c r="F326" s="1">
        <v>9.0</v>
      </c>
      <c r="G326" s="1">
        <v>10.08</v>
      </c>
      <c r="H326" s="1">
        <v>0.0</v>
      </c>
      <c r="I326" s="1">
        <v>0.0</v>
      </c>
      <c r="J326" s="1">
        <v>0.0</v>
      </c>
      <c r="K326" s="1">
        <v>0.13</v>
      </c>
      <c r="L326" s="1">
        <v>10.0</v>
      </c>
      <c r="M326" s="1" t="s">
        <v>3560</v>
      </c>
      <c r="N326" s="18">
        <v>45984.0</v>
      </c>
      <c r="O326" s="1" t="s">
        <v>3455</v>
      </c>
      <c r="P326" s="1" t="s">
        <v>3257</v>
      </c>
      <c r="Q326" s="1" t="s">
        <v>3408</v>
      </c>
    </row>
    <row r="327">
      <c r="A327" s="1" t="s">
        <v>3883</v>
      </c>
      <c r="B327" s="1">
        <v>12.0</v>
      </c>
      <c r="C327" s="1">
        <v>110.0</v>
      </c>
      <c r="D327" s="2" t="s">
        <v>694</v>
      </c>
      <c r="E327" s="1">
        <v>12.0</v>
      </c>
      <c r="F327" s="1">
        <v>4.0</v>
      </c>
      <c r="G327" s="1">
        <v>0.42</v>
      </c>
      <c r="H327" s="1">
        <v>0.0</v>
      </c>
      <c r="I327" s="1">
        <v>0.0</v>
      </c>
      <c r="J327" s="1">
        <v>0.0</v>
      </c>
      <c r="K327" s="1">
        <v>0.1</v>
      </c>
      <c r="L327" s="1">
        <v>2410000.0</v>
      </c>
      <c r="M327" s="1" t="s">
        <v>3884</v>
      </c>
      <c r="N327" s="18">
        <v>45961.0</v>
      </c>
      <c r="O327" s="1" t="s">
        <v>3565</v>
      </c>
      <c r="P327" s="1" t="s">
        <v>3230</v>
      </c>
      <c r="Q327" s="1" t="s">
        <v>3408</v>
      </c>
    </row>
    <row r="328">
      <c r="A328" s="1" t="s">
        <v>3615</v>
      </c>
      <c r="B328" s="1">
        <v>13.0</v>
      </c>
      <c r="C328" s="1">
        <v>70.0</v>
      </c>
      <c r="D328" s="2" t="s">
        <v>617</v>
      </c>
      <c r="E328" s="1">
        <v>0.0</v>
      </c>
      <c r="F328" s="1">
        <v>29.0</v>
      </c>
      <c r="G328" s="1">
        <v>0.0</v>
      </c>
      <c r="H328" s="1">
        <v>0.0</v>
      </c>
      <c r="I328" s="1">
        <v>0.0</v>
      </c>
      <c r="J328" s="1">
        <v>0.0</v>
      </c>
      <c r="K328" s="1">
        <v>0.03</v>
      </c>
      <c r="L328" s="1">
        <v>2.33E8</v>
      </c>
      <c r="M328" s="1" t="s">
        <v>3616</v>
      </c>
      <c r="N328" s="18">
        <v>46042.0</v>
      </c>
      <c r="O328" s="1" t="s">
        <v>3617</v>
      </c>
      <c r="P328" s="1" t="s">
        <v>3294</v>
      </c>
      <c r="Q328" s="1" t="s">
        <v>3408</v>
      </c>
    </row>
    <row r="329">
      <c r="A329" s="1" t="s">
        <v>3885</v>
      </c>
      <c r="B329" s="1">
        <v>13.0</v>
      </c>
      <c r="C329" s="1">
        <v>70.0</v>
      </c>
      <c r="D329" s="2" t="s">
        <v>1538</v>
      </c>
      <c r="E329" s="1">
        <v>13.0</v>
      </c>
      <c r="F329" s="1">
        <v>27.0</v>
      </c>
      <c r="G329" s="1">
        <v>0.0</v>
      </c>
      <c r="H329" s="1">
        <v>0.0</v>
      </c>
      <c r="I329" s="1">
        <v>0.0</v>
      </c>
      <c r="J329" s="1">
        <v>0.0</v>
      </c>
      <c r="K329" s="1">
        <v>0.0</v>
      </c>
      <c r="L329" s="1">
        <v>8.47E7</v>
      </c>
      <c r="M329" s="1" t="s">
        <v>3886</v>
      </c>
      <c r="N329" s="18">
        <v>46038.0</v>
      </c>
      <c r="O329" s="1" t="s">
        <v>3264</v>
      </c>
      <c r="P329" s="1" t="s">
        <v>3230</v>
      </c>
      <c r="Q329" s="1" t="s">
        <v>3408</v>
      </c>
    </row>
    <row r="330">
      <c r="A330" s="1" t="s">
        <v>3887</v>
      </c>
      <c r="B330" s="1">
        <v>13.0</v>
      </c>
      <c r="C330" s="1">
        <v>70.0</v>
      </c>
      <c r="D330" s="2" t="s">
        <v>2930</v>
      </c>
      <c r="E330" s="1">
        <v>13.0</v>
      </c>
      <c r="F330" s="1">
        <v>15.0</v>
      </c>
      <c r="G330" s="1">
        <v>0.0</v>
      </c>
      <c r="H330" s="1">
        <v>0.0</v>
      </c>
      <c r="I330" s="1">
        <v>0.0</v>
      </c>
      <c r="J330" s="1">
        <v>0.0</v>
      </c>
      <c r="K330" s="1">
        <v>0.0</v>
      </c>
      <c r="L330" s="1">
        <v>428000.0</v>
      </c>
      <c r="M330" s="1" t="s">
        <v>3888</v>
      </c>
      <c r="N330" s="18">
        <v>46028.0</v>
      </c>
      <c r="O330" s="1" t="s">
        <v>3889</v>
      </c>
      <c r="P330" s="1" t="s">
        <v>3230</v>
      </c>
      <c r="Q330" s="1" t="s">
        <v>3408</v>
      </c>
    </row>
    <row r="331">
      <c r="A331" s="1" t="s">
        <v>3402</v>
      </c>
      <c r="B331" s="1">
        <v>13.0</v>
      </c>
      <c r="C331" s="1">
        <v>50.0</v>
      </c>
      <c r="D331" s="2" t="s">
        <v>594</v>
      </c>
      <c r="E331" s="1">
        <v>13.0</v>
      </c>
      <c r="F331" s="1">
        <v>9.0</v>
      </c>
      <c r="G331" s="1">
        <v>13.98</v>
      </c>
      <c r="H331" s="1">
        <v>0.0</v>
      </c>
      <c r="I331" s="1">
        <v>0.0</v>
      </c>
      <c r="J331" s="1">
        <v>0.0</v>
      </c>
      <c r="K331" s="1">
        <v>0.45</v>
      </c>
      <c r="L331" s="1">
        <v>24000.0</v>
      </c>
      <c r="M331" s="1" t="s">
        <v>3403</v>
      </c>
      <c r="N331" s="18">
        <v>46026.0</v>
      </c>
      <c r="O331" s="1" t="s">
        <v>3404</v>
      </c>
      <c r="P331" s="1" t="s">
        <v>3257</v>
      </c>
      <c r="Q331" s="1" t="s">
        <v>3408</v>
      </c>
    </row>
    <row r="332">
      <c r="A332" s="1" t="s">
        <v>3890</v>
      </c>
      <c r="B332" s="1">
        <v>13.0</v>
      </c>
      <c r="C332" s="1">
        <v>90.0</v>
      </c>
      <c r="D332" s="2" t="s">
        <v>598</v>
      </c>
      <c r="E332" s="1">
        <v>13.0</v>
      </c>
      <c r="G332" s="1">
        <v>22.8</v>
      </c>
      <c r="H332" s="1">
        <v>0.0</v>
      </c>
      <c r="I332" s="1">
        <v>0.0</v>
      </c>
      <c r="J332" s="1">
        <v>0.0</v>
      </c>
      <c r="K332" s="1">
        <v>0.54</v>
      </c>
      <c r="L332" s="1">
        <v>129000.0</v>
      </c>
      <c r="M332" s="1" t="s">
        <v>3891</v>
      </c>
      <c r="N332" s="18">
        <v>46022.0</v>
      </c>
      <c r="O332" s="1" t="s">
        <v>3892</v>
      </c>
      <c r="P332" s="1" t="s">
        <v>3257</v>
      </c>
      <c r="Q332" s="1" t="s">
        <v>3408</v>
      </c>
    </row>
    <row r="333">
      <c r="A333" s="1" t="s">
        <v>3436</v>
      </c>
      <c r="B333" s="1">
        <v>13.0</v>
      </c>
      <c r="C333" s="1">
        <v>170.0</v>
      </c>
      <c r="D333" s="2" t="s">
        <v>594</v>
      </c>
      <c r="E333" s="1">
        <v>13.0</v>
      </c>
      <c r="F333" s="1">
        <v>19.0</v>
      </c>
      <c r="G333" s="1">
        <v>13.28</v>
      </c>
      <c r="H333" s="1">
        <v>0.0</v>
      </c>
      <c r="I333" s="1">
        <v>0.0</v>
      </c>
      <c r="J333" s="1">
        <v>0.0</v>
      </c>
      <c r="K333" s="1">
        <v>0.21</v>
      </c>
      <c r="L333" s="1">
        <v>60800.0</v>
      </c>
      <c r="M333" s="1" t="s">
        <v>3437</v>
      </c>
      <c r="N333" s="18">
        <v>46017.0</v>
      </c>
      <c r="O333" s="1" t="s">
        <v>3435</v>
      </c>
      <c r="P333" s="1" t="s">
        <v>3257</v>
      </c>
      <c r="Q333" s="1" t="s">
        <v>3408</v>
      </c>
    </row>
    <row r="334">
      <c r="A334" s="1" t="s">
        <v>3893</v>
      </c>
      <c r="B334" s="1">
        <v>13.0</v>
      </c>
      <c r="C334" s="1">
        <v>390.0</v>
      </c>
      <c r="D334" s="2" t="s">
        <v>2930</v>
      </c>
      <c r="E334" s="1">
        <v>13.0</v>
      </c>
      <c r="F334" s="1">
        <v>28.0</v>
      </c>
      <c r="G334" s="1">
        <v>0.3</v>
      </c>
      <c r="H334" s="1">
        <v>1.0</v>
      </c>
      <c r="I334" s="1">
        <v>0.06</v>
      </c>
      <c r="J334" s="1">
        <v>0.0</v>
      </c>
      <c r="K334" s="1">
        <v>0.01</v>
      </c>
      <c r="L334" s="1">
        <v>6820000.0</v>
      </c>
      <c r="M334" s="1" t="s">
        <v>3894</v>
      </c>
      <c r="N334" s="18">
        <v>46016.0</v>
      </c>
      <c r="O334" s="1" t="s">
        <v>3895</v>
      </c>
      <c r="P334" s="1" t="s">
        <v>3230</v>
      </c>
      <c r="Q334" s="1" t="s">
        <v>3408</v>
      </c>
    </row>
    <row r="335">
      <c r="A335" s="1" t="s">
        <v>3896</v>
      </c>
      <c r="B335" s="1">
        <v>13.0</v>
      </c>
      <c r="C335" s="1">
        <v>110.0</v>
      </c>
      <c r="D335" s="2" t="s">
        <v>581</v>
      </c>
      <c r="E335" s="1">
        <v>13.0</v>
      </c>
      <c r="F335" s="1">
        <v>21.0</v>
      </c>
      <c r="G335" s="1">
        <v>11.16</v>
      </c>
      <c r="H335" s="1">
        <v>0.0</v>
      </c>
      <c r="I335" s="1">
        <v>0.0</v>
      </c>
      <c r="J335" s="1">
        <v>0.0</v>
      </c>
      <c r="K335" s="1">
        <v>0.2</v>
      </c>
      <c r="L335" s="1">
        <v>114000.0</v>
      </c>
      <c r="M335" s="1" t="s">
        <v>3897</v>
      </c>
      <c r="N335" s="18">
        <v>46016.0</v>
      </c>
      <c r="O335" s="1" t="s">
        <v>3673</v>
      </c>
      <c r="P335" s="1" t="s">
        <v>3257</v>
      </c>
      <c r="Q335" s="1" t="s">
        <v>3408</v>
      </c>
    </row>
    <row r="336">
      <c r="A336" s="1" t="s">
        <v>3456</v>
      </c>
      <c r="B336" s="1">
        <v>13.0</v>
      </c>
      <c r="C336" s="1">
        <v>70.0</v>
      </c>
      <c r="D336" s="2" t="s">
        <v>594</v>
      </c>
      <c r="E336" s="1">
        <v>13.0</v>
      </c>
      <c r="F336" s="1">
        <v>33.0</v>
      </c>
      <c r="G336" s="1">
        <v>0.0</v>
      </c>
      <c r="H336" s="1">
        <v>0.0</v>
      </c>
      <c r="I336" s="1">
        <v>0.0</v>
      </c>
      <c r="J336" s="1">
        <v>0.0</v>
      </c>
      <c r="K336" s="1">
        <v>0.16</v>
      </c>
      <c r="L336" s="1">
        <v>302000.0</v>
      </c>
      <c r="M336" s="1" t="s">
        <v>3457</v>
      </c>
      <c r="N336" s="18">
        <v>46015.0</v>
      </c>
      <c r="O336" s="1" t="s">
        <v>3458</v>
      </c>
      <c r="P336" s="1" t="s">
        <v>3257</v>
      </c>
      <c r="Q336" s="1" t="s">
        <v>3408</v>
      </c>
    </row>
    <row r="337">
      <c r="A337" s="1" t="s">
        <v>3898</v>
      </c>
      <c r="B337" s="1">
        <v>13.0</v>
      </c>
      <c r="C337" s="1">
        <v>1000.0</v>
      </c>
      <c r="D337" s="2" t="s">
        <v>2930</v>
      </c>
      <c r="E337" s="1">
        <v>13.0</v>
      </c>
      <c r="F337" s="1">
        <v>27.0</v>
      </c>
      <c r="G337" s="1">
        <v>0.84</v>
      </c>
      <c r="H337" s="1">
        <v>3.0</v>
      </c>
      <c r="I337" s="1">
        <v>0.19</v>
      </c>
      <c r="J337" s="1">
        <v>2.0</v>
      </c>
      <c r="K337" s="1">
        <v>0.01</v>
      </c>
      <c r="L337" s="1">
        <v>6810000.0</v>
      </c>
      <c r="M337" s="1" t="s">
        <v>3899</v>
      </c>
      <c r="N337" s="18">
        <v>46012.0</v>
      </c>
      <c r="O337" s="1" t="s">
        <v>3895</v>
      </c>
      <c r="P337" s="1" t="s">
        <v>3230</v>
      </c>
      <c r="Q337" s="1" t="s">
        <v>3408</v>
      </c>
    </row>
    <row r="338">
      <c r="A338" s="1" t="s">
        <v>3900</v>
      </c>
      <c r="B338" s="1">
        <v>13.0</v>
      </c>
      <c r="C338" s="1">
        <v>90.0</v>
      </c>
      <c r="D338" s="2" t="s">
        <v>617</v>
      </c>
      <c r="E338" s="1">
        <v>13.0</v>
      </c>
      <c r="F338" s="1">
        <v>21.0</v>
      </c>
      <c r="G338" s="1">
        <v>13.04</v>
      </c>
      <c r="H338" s="1">
        <v>0.0</v>
      </c>
      <c r="I338" s="1">
        <v>0.0</v>
      </c>
      <c r="J338" s="1">
        <v>0.0</v>
      </c>
      <c r="K338" s="1">
        <v>0.31</v>
      </c>
      <c r="L338" s="1">
        <v>2.16E7</v>
      </c>
      <c r="M338" s="1" t="s">
        <v>3901</v>
      </c>
      <c r="N338" s="18">
        <v>46011.0</v>
      </c>
      <c r="O338" s="1" t="s">
        <v>3854</v>
      </c>
      <c r="P338" s="1" t="s">
        <v>3257</v>
      </c>
      <c r="Q338" s="1" t="s">
        <v>3408</v>
      </c>
    </row>
    <row r="339">
      <c r="A339" s="1" t="s">
        <v>3902</v>
      </c>
      <c r="B339" s="1">
        <v>13.0</v>
      </c>
      <c r="C339" s="1">
        <v>70.0</v>
      </c>
      <c r="D339" s="2" t="s">
        <v>617</v>
      </c>
      <c r="E339" s="1">
        <v>13.0</v>
      </c>
      <c r="F339" s="1">
        <v>17.0</v>
      </c>
      <c r="G339" s="1">
        <v>16.92</v>
      </c>
      <c r="H339" s="1">
        <v>0.0</v>
      </c>
      <c r="I339" s="1">
        <v>0.0</v>
      </c>
      <c r="J339" s="1">
        <v>0.0</v>
      </c>
      <c r="K339" s="1">
        <v>0.48</v>
      </c>
      <c r="L339" s="1">
        <v>2.2E7</v>
      </c>
      <c r="M339" s="1" t="s">
        <v>3903</v>
      </c>
      <c r="N339" s="18">
        <v>46010.0</v>
      </c>
      <c r="O339" s="1" t="s">
        <v>3256</v>
      </c>
      <c r="P339" s="1" t="s">
        <v>3257</v>
      </c>
      <c r="Q339" s="1" t="s">
        <v>3408</v>
      </c>
    </row>
    <row r="340">
      <c r="A340" s="1" t="s">
        <v>3904</v>
      </c>
      <c r="B340" s="1">
        <v>13.0</v>
      </c>
      <c r="C340" s="1">
        <v>50.0</v>
      </c>
      <c r="D340" s="2" t="s">
        <v>2930</v>
      </c>
      <c r="E340" s="1">
        <v>13.0</v>
      </c>
      <c r="F340" s="1">
        <v>24.0</v>
      </c>
      <c r="G340" s="1">
        <v>0.0</v>
      </c>
      <c r="H340" s="1">
        <v>0.0</v>
      </c>
      <c r="I340" s="1">
        <v>0.0</v>
      </c>
      <c r="J340" s="1">
        <v>0.0</v>
      </c>
      <c r="K340" s="1">
        <v>0.0</v>
      </c>
      <c r="L340" s="1">
        <v>1.19E8</v>
      </c>
      <c r="M340" s="1" t="s">
        <v>3905</v>
      </c>
      <c r="N340" s="18">
        <v>45998.0</v>
      </c>
      <c r="O340" s="1" t="s">
        <v>3906</v>
      </c>
      <c r="P340" s="1" t="s">
        <v>3230</v>
      </c>
      <c r="Q340" s="1" t="s">
        <v>3408</v>
      </c>
    </row>
    <row r="341">
      <c r="A341" s="1" t="s">
        <v>3907</v>
      </c>
      <c r="B341" s="1">
        <v>13.0</v>
      </c>
      <c r="C341" s="1">
        <v>50.0</v>
      </c>
      <c r="D341" s="2" t="s">
        <v>694</v>
      </c>
      <c r="E341" s="1">
        <v>13.0</v>
      </c>
      <c r="F341" s="1">
        <v>4.0</v>
      </c>
      <c r="G341" s="1">
        <v>0.52</v>
      </c>
      <c r="H341" s="1">
        <v>0.0</v>
      </c>
      <c r="I341" s="1">
        <v>0.0</v>
      </c>
      <c r="J341" s="1">
        <v>0.0</v>
      </c>
      <c r="K341" s="1">
        <v>0.14</v>
      </c>
      <c r="L341" s="1">
        <v>2810000.0</v>
      </c>
      <c r="M341" s="1" t="s">
        <v>3908</v>
      </c>
      <c r="N341" s="18">
        <v>45998.0</v>
      </c>
      <c r="O341" s="1" t="s">
        <v>3861</v>
      </c>
      <c r="P341" s="1" t="s">
        <v>3230</v>
      </c>
      <c r="Q341" s="1" t="s">
        <v>3408</v>
      </c>
    </row>
    <row r="342">
      <c r="A342" s="1" t="s">
        <v>3909</v>
      </c>
      <c r="B342" s="1">
        <v>13.0</v>
      </c>
      <c r="C342" s="1">
        <v>110.0</v>
      </c>
      <c r="D342" s="2" t="s">
        <v>1017</v>
      </c>
      <c r="E342" s="1">
        <v>13.0</v>
      </c>
      <c r="F342" s="1">
        <v>14.0</v>
      </c>
      <c r="G342" s="1">
        <v>0.0</v>
      </c>
      <c r="H342" s="1">
        <v>0.0</v>
      </c>
      <c r="I342" s="1">
        <v>0.0</v>
      </c>
      <c r="J342" s="1">
        <v>0.0</v>
      </c>
      <c r="K342" s="1">
        <v>0.0</v>
      </c>
      <c r="L342" s="1">
        <v>3.01E7</v>
      </c>
      <c r="M342" s="1" t="s">
        <v>3910</v>
      </c>
      <c r="N342" s="18">
        <v>45990.0</v>
      </c>
      <c r="O342" s="1" t="s">
        <v>3911</v>
      </c>
      <c r="P342" s="1" t="s">
        <v>3230</v>
      </c>
      <c r="Q342" s="1" t="s">
        <v>3408</v>
      </c>
    </row>
    <row r="343">
      <c r="A343" s="1" t="s">
        <v>3912</v>
      </c>
      <c r="B343" s="1">
        <v>13.0</v>
      </c>
      <c r="C343" s="1">
        <v>480.0</v>
      </c>
      <c r="D343" s="2" t="s">
        <v>581</v>
      </c>
      <c r="E343" s="1">
        <v>13.0</v>
      </c>
      <c r="F343" s="1">
        <v>34.0</v>
      </c>
      <c r="G343" s="1">
        <v>5.78</v>
      </c>
      <c r="H343" s="1">
        <v>0.0</v>
      </c>
      <c r="I343" s="1">
        <v>0.0</v>
      </c>
      <c r="J343" s="1">
        <v>0.0</v>
      </c>
      <c r="K343" s="1">
        <v>0.11</v>
      </c>
      <c r="L343" s="1">
        <v>1.54E9</v>
      </c>
      <c r="M343" s="1" t="s">
        <v>3913</v>
      </c>
      <c r="N343" s="18">
        <v>45987.0</v>
      </c>
      <c r="O343" s="1" t="s">
        <v>3455</v>
      </c>
      <c r="P343" s="1" t="s">
        <v>3257</v>
      </c>
      <c r="Q343" s="1" t="s">
        <v>3408</v>
      </c>
    </row>
    <row r="344">
      <c r="A344" s="1" t="s">
        <v>3914</v>
      </c>
      <c r="B344" s="1">
        <v>13.0</v>
      </c>
      <c r="C344" s="1">
        <v>110.0</v>
      </c>
      <c r="D344" s="2" t="s">
        <v>694</v>
      </c>
      <c r="E344" s="1">
        <v>13.0</v>
      </c>
      <c r="F344" s="1">
        <v>0.0</v>
      </c>
      <c r="G344" s="1">
        <v>0.86</v>
      </c>
      <c r="H344" s="1">
        <v>0.0</v>
      </c>
      <c r="I344" s="1">
        <v>0.0</v>
      </c>
      <c r="J344" s="1">
        <v>0.0</v>
      </c>
      <c r="K344" s="1">
        <v>0.37</v>
      </c>
      <c r="L344" s="1">
        <v>10.0</v>
      </c>
      <c r="M344" s="1" t="s">
        <v>3915</v>
      </c>
      <c r="N344" s="18">
        <v>45985.0</v>
      </c>
      <c r="O344" s="1" t="s">
        <v>3571</v>
      </c>
      <c r="P344" s="1" t="s">
        <v>3230</v>
      </c>
      <c r="Q344" s="1" t="s">
        <v>3408</v>
      </c>
    </row>
    <row r="345">
      <c r="A345" s="1" t="s">
        <v>3557</v>
      </c>
      <c r="B345" s="1">
        <v>13.0</v>
      </c>
      <c r="C345" s="1">
        <v>170.0</v>
      </c>
      <c r="D345" s="2" t="s">
        <v>594</v>
      </c>
      <c r="E345" s="1">
        <v>13.0</v>
      </c>
      <c r="F345" s="1">
        <v>10.0</v>
      </c>
      <c r="G345" s="1">
        <v>10.08</v>
      </c>
      <c r="H345" s="1">
        <v>0.0</v>
      </c>
      <c r="I345" s="1">
        <v>0.0</v>
      </c>
      <c r="J345" s="1">
        <v>0.0</v>
      </c>
      <c r="K345" s="1">
        <v>0.13</v>
      </c>
      <c r="L345" s="1">
        <v>8.0</v>
      </c>
      <c r="M345" s="1" t="s">
        <v>3558</v>
      </c>
      <c r="N345" s="18">
        <v>45984.0</v>
      </c>
      <c r="O345" s="1" t="s">
        <v>3415</v>
      </c>
      <c r="P345" s="1" t="s">
        <v>3257</v>
      </c>
      <c r="Q345" s="1" t="s">
        <v>3408</v>
      </c>
    </row>
    <row r="346">
      <c r="A346" s="1" t="s">
        <v>3916</v>
      </c>
      <c r="B346" s="1">
        <v>13.0</v>
      </c>
      <c r="C346" s="1">
        <v>70.0</v>
      </c>
      <c r="D346" s="2" t="s">
        <v>770</v>
      </c>
      <c r="E346" s="1">
        <v>13.0</v>
      </c>
      <c r="F346" s="1">
        <v>13.0</v>
      </c>
      <c r="G346" s="1">
        <v>0.0</v>
      </c>
      <c r="H346" s="1">
        <v>0.0</v>
      </c>
      <c r="I346" s="1">
        <v>0.0</v>
      </c>
      <c r="J346" s="1">
        <v>0.0</v>
      </c>
      <c r="K346" s="1">
        <v>0.0</v>
      </c>
      <c r="L346" s="1">
        <v>10.0</v>
      </c>
      <c r="M346" s="1" t="s">
        <v>3917</v>
      </c>
      <c r="N346" s="18">
        <v>45981.0</v>
      </c>
      <c r="O346" s="1" t="s">
        <v>3407</v>
      </c>
      <c r="P346" s="1" t="s">
        <v>3230</v>
      </c>
      <c r="Q346" s="1" t="s">
        <v>3408</v>
      </c>
    </row>
    <row r="347">
      <c r="A347" s="1" t="s">
        <v>3918</v>
      </c>
      <c r="B347" s="1">
        <v>13.0</v>
      </c>
      <c r="C347" s="1">
        <v>50.0</v>
      </c>
      <c r="D347" s="2" t="s">
        <v>2930</v>
      </c>
      <c r="E347" s="1">
        <v>13.0</v>
      </c>
      <c r="F347" s="1">
        <v>5.0</v>
      </c>
      <c r="G347" s="1">
        <v>0.0</v>
      </c>
      <c r="H347" s="1">
        <v>0.0</v>
      </c>
      <c r="I347" s="1">
        <v>0.0</v>
      </c>
      <c r="J347" s="1">
        <v>0.0</v>
      </c>
      <c r="K347" s="1">
        <v>0.0</v>
      </c>
      <c r="L347" s="1">
        <v>4.0</v>
      </c>
      <c r="M347" s="1" t="s">
        <v>3919</v>
      </c>
      <c r="N347" s="18">
        <v>45980.0</v>
      </c>
      <c r="O347" s="1" t="s">
        <v>3920</v>
      </c>
      <c r="P347" s="1" t="s">
        <v>3230</v>
      </c>
      <c r="Q347" s="1" t="s">
        <v>3408</v>
      </c>
    </row>
    <row r="348">
      <c r="A348" s="1" t="s">
        <v>3921</v>
      </c>
      <c r="B348" s="1">
        <v>13.0</v>
      </c>
      <c r="C348" s="1">
        <v>260.0</v>
      </c>
      <c r="D348" s="2" t="s">
        <v>2930</v>
      </c>
      <c r="E348" s="1">
        <v>13.0</v>
      </c>
      <c r="F348" s="1">
        <v>2.0</v>
      </c>
      <c r="G348" s="1">
        <v>0.0</v>
      </c>
      <c r="H348" s="1">
        <v>0.0</v>
      </c>
      <c r="I348" s="1">
        <v>0.0</v>
      </c>
      <c r="J348" s="1">
        <v>0.0</v>
      </c>
      <c r="K348" s="1">
        <v>0.0</v>
      </c>
      <c r="L348" s="1">
        <v>10.0</v>
      </c>
      <c r="M348" s="1" t="s">
        <v>3922</v>
      </c>
      <c r="N348" s="18">
        <v>45979.0</v>
      </c>
      <c r="O348" s="1" t="s">
        <v>3592</v>
      </c>
      <c r="P348" s="1" t="s">
        <v>3230</v>
      </c>
      <c r="Q348" s="1" t="s">
        <v>3408</v>
      </c>
    </row>
    <row r="349">
      <c r="A349" s="1" t="s">
        <v>3923</v>
      </c>
      <c r="B349" s="1">
        <v>13.0</v>
      </c>
      <c r="C349" s="1">
        <v>50.0</v>
      </c>
      <c r="D349" s="2" t="s">
        <v>617</v>
      </c>
      <c r="E349" s="1">
        <v>13.0</v>
      </c>
      <c r="F349" s="1">
        <v>13.0</v>
      </c>
      <c r="G349" s="1">
        <v>17.09</v>
      </c>
      <c r="H349" s="1">
        <v>0.0</v>
      </c>
      <c r="I349" s="1">
        <v>0.0</v>
      </c>
      <c r="J349" s="1">
        <v>0.0</v>
      </c>
      <c r="K349" s="1">
        <v>0.69</v>
      </c>
      <c r="L349" s="1">
        <v>183000.0</v>
      </c>
      <c r="M349" s="1" t="s">
        <v>3924</v>
      </c>
      <c r="N349" s="18">
        <v>45978.0</v>
      </c>
      <c r="O349" s="1" t="s">
        <v>3925</v>
      </c>
      <c r="P349" s="1" t="s">
        <v>3257</v>
      </c>
      <c r="Q349" s="1" t="s">
        <v>3408</v>
      </c>
    </row>
    <row r="350">
      <c r="A350" s="1" t="s">
        <v>3926</v>
      </c>
      <c r="B350" s="1">
        <v>14.0</v>
      </c>
      <c r="C350" s="1">
        <v>110.0</v>
      </c>
      <c r="D350" s="2" t="s">
        <v>1052</v>
      </c>
      <c r="E350" s="1">
        <v>14.0</v>
      </c>
      <c r="F350" s="1">
        <v>23.0</v>
      </c>
      <c r="G350" s="1">
        <v>0.0</v>
      </c>
      <c r="H350" s="1">
        <v>0.0</v>
      </c>
      <c r="I350" s="1">
        <v>0.0</v>
      </c>
      <c r="J350" s="1">
        <v>0.0</v>
      </c>
      <c r="K350" s="1">
        <v>0.0</v>
      </c>
      <c r="L350" s="1">
        <v>1.47E8</v>
      </c>
      <c r="M350" s="1" t="s">
        <v>3927</v>
      </c>
      <c r="N350" s="18">
        <v>46038.0</v>
      </c>
      <c r="O350" s="1" t="s">
        <v>3264</v>
      </c>
      <c r="P350" s="1" t="s">
        <v>3230</v>
      </c>
      <c r="Q350" s="1" t="s">
        <v>3408</v>
      </c>
    </row>
    <row r="351">
      <c r="A351" s="1" t="s">
        <v>3668</v>
      </c>
      <c r="B351" s="1">
        <v>14.0</v>
      </c>
      <c r="C351" s="1">
        <v>50.0</v>
      </c>
      <c r="D351" s="2" t="s">
        <v>581</v>
      </c>
      <c r="E351" s="1">
        <v>14.0</v>
      </c>
      <c r="F351" s="1">
        <v>0.0</v>
      </c>
      <c r="G351" s="1">
        <v>0.0</v>
      </c>
      <c r="H351" s="1">
        <v>0.0</v>
      </c>
      <c r="I351" s="1">
        <v>0.0</v>
      </c>
      <c r="J351" s="1">
        <v>0.0</v>
      </c>
      <c r="K351" s="1">
        <v>0.33</v>
      </c>
      <c r="L351" s="1">
        <v>12900.0</v>
      </c>
      <c r="M351" s="1" t="s">
        <v>3669</v>
      </c>
      <c r="N351" s="18">
        <v>46033.0</v>
      </c>
      <c r="O351" s="1" t="s">
        <v>3670</v>
      </c>
      <c r="P351" s="1" t="s">
        <v>3334</v>
      </c>
      <c r="Q351" s="1" t="s">
        <v>3408</v>
      </c>
    </row>
    <row r="352">
      <c r="A352" s="1" t="s">
        <v>3689</v>
      </c>
      <c r="B352" s="1">
        <v>14.0</v>
      </c>
      <c r="C352" s="1">
        <v>50.0</v>
      </c>
      <c r="D352" s="2" t="s">
        <v>594</v>
      </c>
      <c r="E352" s="1">
        <v>14.0</v>
      </c>
      <c r="F352" s="1">
        <v>15.0</v>
      </c>
      <c r="G352" s="1">
        <v>0.0</v>
      </c>
      <c r="H352" s="1">
        <v>0.0</v>
      </c>
      <c r="I352" s="1">
        <v>0.0</v>
      </c>
      <c r="J352" s="1">
        <v>0.0</v>
      </c>
      <c r="K352" s="1">
        <v>0.0</v>
      </c>
      <c r="L352" s="1">
        <v>97600.0</v>
      </c>
      <c r="M352" s="1" t="s">
        <v>3690</v>
      </c>
      <c r="N352" s="18">
        <v>46031.0</v>
      </c>
      <c r="O352" s="1" t="s">
        <v>3691</v>
      </c>
      <c r="P352" s="1" t="s">
        <v>3257</v>
      </c>
      <c r="Q352" s="1" t="s">
        <v>3408</v>
      </c>
    </row>
    <row r="353">
      <c r="A353" s="1" t="s">
        <v>3928</v>
      </c>
      <c r="B353" s="1">
        <v>14.0</v>
      </c>
      <c r="C353" s="1">
        <v>70.0</v>
      </c>
      <c r="D353" s="2" t="s">
        <v>738</v>
      </c>
      <c r="E353" s="1">
        <v>14.0</v>
      </c>
      <c r="F353" s="1">
        <v>4.0</v>
      </c>
      <c r="G353" s="1">
        <v>0.0</v>
      </c>
      <c r="H353" s="1">
        <v>0.0</v>
      </c>
      <c r="I353" s="1">
        <v>0.0</v>
      </c>
      <c r="J353" s="1">
        <v>0.0</v>
      </c>
      <c r="K353" s="1">
        <v>0.0</v>
      </c>
      <c r="L353" s="1">
        <v>1.98E8</v>
      </c>
      <c r="M353" s="1" t="s">
        <v>3929</v>
      </c>
      <c r="N353" s="18">
        <v>46031.0</v>
      </c>
      <c r="O353" s="1" t="s">
        <v>3930</v>
      </c>
      <c r="P353" s="1" t="s">
        <v>3230</v>
      </c>
      <c r="Q353" s="1" t="s">
        <v>3408</v>
      </c>
    </row>
    <row r="354">
      <c r="A354" s="1" t="s">
        <v>3931</v>
      </c>
      <c r="B354" s="1">
        <v>14.0</v>
      </c>
      <c r="C354" s="1">
        <v>50.0</v>
      </c>
      <c r="D354" s="2" t="s">
        <v>1168</v>
      </c>
      <c r="E354" s="1">
        <v>14.0</v>
      </c>
      <c r="F354" s="1">
        <v>4.0</v>
      </c>
      <c r="G354" s="1">
        <v>111.47</v>
      </c>
      <c r="H354" s="1">
        <v>0.0</v>
      </c>
      <c r="I354" s="1">
        <v>0.0</v>
      </c>
      <c r="J354" s="1">
        <v>0.0</v>
      </c>
      <c r="K354" s="1">
        <v>0.96</v>
      </c>
      <c r="L354" s="1">
        <v>10200.0</v>
      </c>
      <c r="M354" s="1" t="s">
        <v>3932</v>
      </c>
      <c r="N354" s="18">
        <v>46030.0</v>
      </c>
      <c r="O354" s="1" t="s">
        <v>3933</v>
      </c>
      <c r="P354" s="1" t="s">
        <v>3257</v>
      </c>
      <c r="Q354" s="1" t="s">
        <v>3408</v>
      </c>
    </row>
    <row r="355">
      <c r="A355" s="1" t="s">
        <v>3934</v>
      </c>
      <c r="B355" s="1">
        <v>14.0</v>
      </c>
      <c r="C355" s="1">
        <v>210.0</v>
      </c>
      <c r="D355" s="2" t="s">
        <v>948</v>
      </c>
      <c r="E355" s="1">
        <v>14.0</v>
      </c>
      <c r="F355" s="1">
        <v>4.0</v>
      </c>
      <c r="G355" s="1">
        <v>0.0</v>
      </c>
      <c r="H355" s="1">
        <v>1.0</v>
      </c>
      <c r="I355" s="1">
        <v>0.06</v>
      </c>
      <c r="J355" s="1">
        <v>0.0</v>
      </c>
      <c r="K355" s="1">
        <v>0.01</v>
      </c>
      <c r="L355" s="1">
        <v>290000.0</v>
      </c>
      <c r="M355" s="1" t="s">
        <v>3935</v>
      </c>
      <c r="N355" s="18">
        <v>46023.0</v>
      </c>
      <c r="O355" s="1" t="s">
        <v>3479</v>
      </c>
      <c r="P355" s="1" t="s">
        <v>3230</v>
      </c>
      <c r="Q355" s="1" t="s">
        <v>3408</v>
      </c>
    </row>
    <row r="356">
      <c r="A356" s="1" t="s">
        <v>3936</v>
      </c>
      <c r="B356" s="1">
        <v>14.0</v>
      </c>
      <c r="C356" s="1">
        <v>260.0</v>
      </c>
      <c r="D356" s="2" t="s">
        <v>2930</v>
      </c>
      <c r="E356" s="1">
        <v>14.0</v>
      </c>
      <c r="F356" s="1">
        <v>61.0</v>
      </c>
      <c r="G356" s="1">
        <v>0.0</v>
      </c>
      <c r="H356" s="1">
        <v>0.0</v>
      </c>
      <c r="I356" s="1">
        <v>0.0</v>
      </c>
      <c r="J356" s="1">
        <v>0.0</v>
      </c>
      <c r="K356" s="1">
        <v>0.0</v>
      </c>
      <c r="L356" s="1">
        <v>5350000.0</v>
      </c>
      <c r="M356" s="1" t="s">
        <v>3937</v>
      </c>
      <c r="N356" s="18">
        <v>46011.0</v>
      </c>
      <c r="O356" s="1" t="s">
        <v>3938</v>
      </c>
      <c r="P356" s="1" t="s">
        <v>3230</v>
      </c>
      <c r="Q356" s="1" t="s">
        <v>3408</v>
      </c>
    </row>
    <row r="357">
      <c r="A357" s="1" t="s">
        <v>3939</v>
      </c>
      <c r="B357" s="1">
        <v>14.0</v>
      </c>
      <c r="C357" s="1">
        <v>40.0</v>
      </c>
      <c r="D357" s="2" t="s">
        <v>581</v>
      </c>
      <c r="E357" s="1">
        <v>14.0</v>
      </c>
      <c r="F357" s="1">
        <v>34.0</v>
      </c>
      <c r="G357" s="1">
        <v>15.21</v>
      </c>
      <c r="H357" s="1">
        <v>0.0</v>
      </c>
      <c r="I357" s="1">
        <v>0.0</v>
      </c>
      <c r="J357" s="1">
        <v>0.0</v>
      </c>
      <c r="K357" s="1">
        <v>0.39</v>
      </c>
      <c r="L357" s="1">
        <v>5300000.0</v>
      </c>
      <c r="M357" s="1" t="s">
        <v>3940</v>
      </c>
      <c r="N357" s="18">
        <v>46010.0</v>
      </c>
      <c r="O357" s="1" t="s">
        <v>3941</v>
      </c>
      <c r="P357" s="1" t="s">
        <v>3257</v>
      </c>
      <c r="Q357" s="1" t="s">
        <v>3408</v>
      </c>
    </row>
    <row r="358">
      <c r="A358" s="1" t="s">
        <v>3942</v>
      </c>
      <c r="B358" s="1">
        <v>14.0</v>
      </c>
      <c r="C358" s="1">
        <v>70.0</v>
      </c>
      <c r="D358" s="2" t="s">
        <v>798</v>
      </c>
      <c r="E358" s="1">
        <v>14.0</v>
      </c>
      <c r="F358" s="1">
        <v>6.0</v>
      </c>
      <c r="G358" s="1">
        <v>0.0</v>
      </c>
      <c r="H358" s="1">
        <v>0.0</v>
      </c>
      <c r="I358" s="1">
        <v>0.0</v>
      </c>
      <c r="J358" s="1">
        <v>0.0</v>
      </c>
      <c r="K358" s="1">
        <v>0.0</v>
      </c>
      <c r="L358" s="1">
        <v>3.22E7</v>
      </c>
      <c r="M358" s="1" t="s">
        <v>3943</v>
      </c>
      <c r="N358" s="18">
        <v>46007.0</v>
      </c>
      <c r="O358" s="1" t="s">
        <v>3407</v>
      </c>
      <c r="P358" s="1" t="s">
        <v>3334</v>
      </c>
      <c r="Q358" s="1" t="s">
        <v>3408</v>
      </c>
    </row>
    <row r="359">
      <c r="A359" s="1" t="s">
        <v>3944</v>
      </c>
      <c r="B359" s="1">
        <v>14.0</v>
      </c>
      <c r="C359" s="1">
        <v>40.0</v>
      </c>
      <c r="D359" s="2" t="s">
        <v>694</v>
      </c>
      <c r="E359" s="1">
        <v>14.0</v>
      </c>
      <c r="F359" s="1">
        <v>13.0</v>
      </c>
      <c r="G359" s="1">
        <v>0.33</v>
      </c>
      <c r="H359" s="1">
        <v>0.0</v>
      </c>
      <c r="I359" s="1">
        <v>0.0</v>
      </c>
      <c r="J359" s="1">
        <v>0.0</v>
      </c>
      <c r="K359" s="1">
        <v>0.29</v>
      </c>
      <c r="L359" s="1">
        <v>7720000.0</v>
      </c>
      <c r="M359" s="1" t="s">
        <v>3945</v>
      </c>
      <c r="N359" s="18">
        <v>45987.0</v>
      </c>
      <c r="O359" s="1" t="s">
        <v>3264</v>
      </c>
      <c r="P359" s="1" t="s">
        <v>3230</v>
      </c>
      <c r="Q359" s="1" t="s">
        <v>3408</v>
      </c>
    </row>
    <row r="360">
      <c r="A360" s="1" t="s">
        <v>3946</v>
      </c>
      <c r="B360" s="1">
        <v>14.0</v>
      </c>
      <c r="C360" s="1">
        <v>260.0</v>
      </c>
      <c r="D360" s="2" t="s">
        <v>2930</v>
      </c>
      <c r="E360" s="1">
        <v>14.0</v>
      </c>
      <c r="F360" s="1">
        <v>30.0</v>
      </c>
      <c r="G360" s="1">
        <v>0.0</v>
      </c>
      <c r="H360" s="1">
        <v>0.0</v>
      </c>
      <c r="I360" s="1">
        <v>0.0</v>
      </c>
      <c r="J360" s="1">
        <v>0.0</v>
      </c>
      <c r="K360" s="1">
        <v>0.0</v>
      </c>
      <c r="L360" s="1">
        <v>0.0</v>
      </c>
      <c r="M360" s="1" t="s">
        <v>3947</v>
      </c>
      <c r="N360" s="18">
        <v>45979.0</v>
      </c>
      <c r="O360" s="1" t="s">
        <v>3948</v>
      </c>
      <c r="P360" s="1" t="s">
        <v>3230</v>
      </c>
      <c r="Q360" s="1" t="s">
        <v>3408</v>
      </c>
    </row>
    <row r="361">
      <c r="A361" s="1" t="s">
        <v>3949</v>
      </c>
      <c r="B361" s="1">
        <v>14.0</v>
      </c>
      <c r="C361" s="1">
        <v>90.0</v>
      </c>
      <c r="D361" s="2" t="s">
        <v>694</v>
      </c>
      <c r="E361" s="1">
        <v>14.0</v>
      </c>
      <c r="F361" s="1">
        <v>25.0</v>
      </c>
      <c r="G361" s="1">
        <v>1.13</v>
      </c>
      <c r="H361" s="1">
        <v>0.0</v>
      </c>
      <c r="I361" s="1">
        <v>0.0</v>
      </c>
      <c r="J361" s="1">
        <v>0.0</v>
      </c>
      <c r="K361" s="1">
        <v>0.18</v>
      </c>
      <c r="L361" s="1">
        <v>1.33E8</v>
      </c>
      <c r="M361" s="1" t="s">
        <v>3950</v>
      </c>
      <c r="N361" s="18">
        <v>45963.0</v>
      </c>
      <c r="O361" s="1" t="s">
        <v>3951</v>
      </c>
      <c r="P361" s="1" t="s">
        <v>3230</v>
      </c>
      <c r="Q361" s="1" t="s">
        <v>3408</v>
      </c>
    </row>
    <row r="362">
      <c r="A362" s="1" t="s">
        <v>3952</v>
      </c>
      <c r="B362" s="1">
        <v>14.0</v>
      </c>
      <c r="C362" s="1">
        <v>50.0</v>
      </c>
      <c r="D362" s="2" t="s">
        <v>2968</v>
      </c>
      <c r="E362" s="1">
        <v>14.0</v>
      </c>
      <c r="F362" s="1">
        <v>7.0</v>
      </c>
      <c r="G362" s="1">
        <v>10.3</v>
      </c>
      <c r="H362" s="1">
        <v>0.0</v>
      </c>
      <c r="I362" s="1">
        <v>0.0</v>
      </c>
      <c r="J362" s="1">
        <v>0.0</v>
      </c>
      <c r="K362" s="1">
        <v>0.6</v>
      </c>
      <c r="L362" s="1">
        <v>143000.0</v>
      </c>
      <c r="M362" s="1" t="s">
        <v>3953</v>
      </c>
      <c r="N362" s="18">
        <v>45951.0</v>
      </c>
      <c r="O362" s="1" t="s">
        <v>3925</v>
      </c>
      <c r="P362" s="1" t="s">
        <v>3257</v>
      </c>
      <c r="Q362" s="1" t="s">
        <v>3408</v>
      </c>
    </row>
    <row r="363">
      <c r="A363" s="1" t="s">
        <v>3954</v>
      </c>
      <c r="B363" s="1">
        <v>15.0</v>
      </c>
      <c r="C363" s="1">
        <v>50.0</v>
      </c>
      <c r="D363" s="2" t="s">
        <v>584</v>
      </c>
      <c r="E363" s="1">
        <v>15.0</v>
      </c>
      <c r="F363" s="1">
        <v>28.0</v>
      </c>
      <c r="G363" s="1">
        <v>12.96</v>
      </c>
      <c r="H363" s="1">
        <v>0.0</v>
      </c>
      <c r="I363" s="1">
        <v>0.0</v>
      </c>
      <c r="J363" s="1">
        <v>0.0</v>
      </c>
      <c r="K363" s="1">
        <v>0.63</v>
      </c>
      <c r="L363" s="1">
        <v>348000.0</v>
      </c>
      <c r="M363" s="1" t="s">
        <v>3955</v>
      </c>
      <c r="N363" s="18">
        <v>46037.0</v>
      </c>
      <c r="O363" s="1" t="s">
        <v>3673</v>
      </c>
      <c r="P363" s="1" t="s">
        <v>3257</v>
      </c>
      <c r="Q363" s="1" t="s">
        <v>3408</v>
      </c>
    </row>
    <row r="364">
      <c r="A364" s="1" t="s">
        <v>3643</v>
      </c>
      <c r="B364" s="1">
        <v>15.0</v>
      </c>
      <c r="C364" s="1">
        <v>50.0</v>
      </c>
      <c r="D364" s="2" t="s">
        <v>594</v>
      </c>
      <c r="E364" s="1">
        <v>15.0</v>
      </c>
      <c r="F364" s="1">
        <v>4.0</v>
      </c>
      <c r="G364" s="1">
        <v>0.0</v>
      </c>
      <c r="H364" s="1">
        <v>0.0</v>
      </c>
      <c r="I364" s="1">
        <v>0.0</v>
      </c>
      <c r="J364" s="1">
        <v>0.0</v>
      </c>
      <c r="K364" s="1">
        <v>0.02</v>
      </c>
      <c r="L364" s="1">
        <v>47200.0</v>
      </c>
      <c r="M364" s="1" t="s">
        <v>3644</v>
      </c>
      <c r="N364" s="18">
        <v>46032.0</v>
      </c>
      <c r="O364" s="1" t="s">
        <v>3645</v>
      </c>
      <c r="P364" s="1" t="s">
        <v>3257</v>
      </c>
      <c r="Q364" s="1" t="s">
        <v>3408</v>
      </c>
    </row>
    <row r="365">
      <c r="A365" s="1" t="s">
        <v>3605</v>
      </c>
      <c r="B365" s="1">
        <v>15.0</v>
      </c>
      <c r="C365" s="1">
        <v>50.0</v>
      </c>
      <c r="D365" s="2" t="s">
        <v>594</v>
      </c>
      <c r="E365" s="1">
        <v>15.0</v>
      </c>
      <c r="G365" s="1">
        <v>0.0</v>
      </c>
      <c r="H365" s="1">
        <v>0.0</v>
      </c>
      <c r="I365" s="1">
        <v>0.0</v>
      </c>
      <c r="J365" s="1">
        <v>0.0</v>
      </c>
      <c r="K365" s="1">
        <v>0.0</v>
      </c>
      <c r="L365" s="1">
        <v>39600.0</v>
      </c>
      <c r="M365" s="1" t="s">
        <v>3606</v>
      </c>
      <c r="N365" s="18">
        <v>46030.0</v>
      </c>
      <c r="O365" s="1" t="s">
        <v>3355</v>
      </c>
      <c r="P365" s="1" t="s">
        <v>3257</v>
      </c>
      <c r="Q365" s="1" t="s">
        <v>3408</v>
      </c>
    </row>
    <row r="366">
      <c r="A366" s="1" t="s">
        <v>3353</v>
      </c>
      <c r="B366" s="1">
        <v>15.0</v>
      </c>
      <c r="C366" s="1">
        <v>50.0</v>
      </c>
      <c r="D366" s="2" t="s">
        <v>594</v>
      </c>
      <c r="E366" s="1">
        <v>15.0</v>
      </c>
      <c r="F366" s="1">
        <v>15.0</v>
      </c>
      <c r="G366" s="1">
        <v>0.0</v>
      </c>
      <c r="H366" s="1">
        <v>0.0</v>
      </c>
      <c r="I366" s="1">
        <v>0.0</v>
      </c>
      <c r="J366" s="1">
        <v>0.0</v>
      </c>
      <c r="K366" s="1">
        <v>0.0</v>
      </c>
      <c r="L366" s="1">
        <v>41500.0</v>
      </c>
      <c r="M366" s="1" t="s">
        <v>3354</v>
      </c>
      <c r="N366" s="18">
        <v>46030.0</v>
      </c>
      <c r="O366" s="1" t="s">
        <v>3355</v>
      </c>
      <c r="P366" s="1" t="s">
        <v>3257</v>
      </c>
      <c r="Q366" s="1" t="s">
        <v>3408</v>
      </c>
    </row>
    <row r="367">
      <c r="A367" s="1" t="s">
        <v>3956</v>
      </c>
      <c r="B367" s="1">
        <v>15.0</v>
      </c>
      <c r="C367" s="1">
        <v>590.0</v>
      </c>
      <c r="D367" s="2" t="s">
        <v>694</v>
      </c>
      <c r="E367" s="1">
        <v>15.0</v>
      </c>
      <c r="F367" s="1">
        <v>12.0</v>
      </c>
      <c r="G367" s="1">
        <v>0.49</v>
      </c>
      <c r="H367" s="1">
        <v>0.0</v>
      </c>
      <c r="I367" s="1">
        <v>0.0</v>
      </c>
      <c r="J367" s="1">
        <v>0.0</v>
      </c>
      <c r="K367" s="1">
        <v>0.05</v>
      </c>
      <c r="L367" s="1">
        <v>3020000.0</v>
      </c>
      <c r="M367" s="1" t="s">
        <v>3957</v>
      </c>
      <c r="N367" s="18">
        <v>46029.0</v>
      </c>
      <c r="O367" s="1" t="s">
        <v>3264</v>
      </c>
      <c r="P367" s="1" t="s">
        <v>3230</v>
      </c>
      <c r="Q367" s="1" t="s">
        <v>3408</v>
      </c>
    </row>
    <row r="368">
      <c r="A368" s="1" t="s">
        <v>3958</v>
      </c>
      <c r="B368" s="1">
        <v>15.0</v>
      </c>
      <c r="C368" s="1">
        <v>50.0</v>
      </c>
      <c r="D368" s="2" t="s">
        <v>581</v>
      </c>
      <c r="E368" s="1">
        <v>15.0</v>
      </c>
      <c r="F368" s="1">
        <v>19.0</v>
      </c>
      <c r="G368" s="1">
        <v>13.5</v>
      </c>
      <c r="H368" s="1">
        <v>0.0</v>
      </c>
      <c r="I368" s="1">
        <v>0.0</v>
      </c>
      <c r="J368" s="1">
        <v>0.0</v>
      </c>
      <c r="K368" s="1">
        <v>0.76</v>
      </c>
      <c r="L368" s="1">
        <v>5310000.0</v>
      </c>
      <c r="M368" s="1" t="s">
        <v>3959</v>
      </c>
      <c r="N368" s="18">
        <v>46026.0</v>
      </c>
      <c r="O368" s="1" t="s">
        <v>3686</v>
      </c>
      <c r="P368" s="1" t="s">
        <v>3257</v>
      </c>
      <c r="Q368" s="1" t="s">
        <v>3408</v>
      </c>
    </row>
    <row r="369">
      <c r="A369" s="1" t="s">
        <v>3960</v>
      </c>
      <c r="B369" s="1">
        <v>15.0</v>
      </c>
      <c r="C369" s="1">
        <v>50.0</v>
      </c>
      <c r="D369" s="2" t="s">
        <v>1213</v>
      </c>
      <c r="E369" s="1">
        <v>15.0</v>
      </c>
      <c r="G369" s="1">
        <v>0.0</v>
      </c>
      <c r="H369" s="1">
        <v>0.0</v>
      </c>
      <c r="I369" s="1">
        <v>0.0</v>
      </c>
      <c r="J369" s="1">
        <v>0.0</v>
      </c>
      <c r="K369" s="1">
        <v>0.0</v>
      </c>
      <c r="L369" s="1">
        <v>212000.0</v>
      </c>
      <c r="M369" s="1" t="s">
        <v>3961</v>
      </c>
      <c r="N369" s="18">
        <v>46021.0</v>
      </c>
      <c r="O369" s="1" t="s">
        <v>3962</v>
      </c>
      <c r="P369" s="1" t="s">
        <v>3257</v>
      </c>
      <c r="Q369" s="1" t="s">
        <v>3408</v>
      </c>
    </row>
    <row r="370">
      <c r="A370" s="1" t="s">
        <v>3963</v>
      </c>
      <c r="B370" s="1">
        <v>15.0</v>
      </c>
      <c r="C370" s="1">
        <v>110.0</v>
      </c>
      <c r="D370" s="2" t="s">
        <v>1610</v>
      </c>
      <c r="E370" s="1">
        <v>15.0</v>
      </c>
      <c r="F370" s="1">
        <v>10.0</v>
      </c>
      <c r="G370" s="1">
        <v>0.0</v>
      </c>
      <c r="H370" s="1">
        <v>0.0</v>
      </c>
      <c r="I370" s="1">
        <v>0.0</v>
      </c>
      <c r="J370" s="1">
        <v>0.0</v>
      </c>
      <c r="K370" s="1">
        <v>0.0</v>
      </c>
      <c r="L370" s="1">
        <v>3.01E8</v>
      </c>
      <c r="M370" s="1" t="s">
        <v>3964</v>
      </c>
      <c r="N370" s="18">
        <v>46021.0</v>
      </c>
      <c r="O370" s="1" t="s">
        <v>3314</v>
      </c>
      <c r="P370" s="1" t="s">
        <v>3257</v>
      </c>
      <c r="Q370" s="1" t="s">
        <v>3408</v>
      </c>
    </row>
    <row r="371">
      <c r="A371" s="1" t="s">
        <v>3425</v>
      </c>
      <c r="B371" s="1">
        <v>15.0</v>
      </c>
      <c r="C371" s="1">
        <v>70.0</v>
      </c>
      <c r="D371" s="2" t="s">
        <v>594</v>
      </c>
      <c r="E371" s="1">
        <v>15.0</v>
      </c>
      <c r="F371" s="1">
        <v>14.0</v>
      </c>
      <c r="G371" s="1">
        <v>0.0</v>
      </c>
      <c r="H371" s="1">
        <v>0.0</v>
      </c>
      <c r="I371" s="1">
        <v>0.0</v>
      </c>
      <c r="J371" s="1">
        <v>0.0</v>
      </c>
      <c r="K371" s="1">
        <v>0.0</v>
      </c>
      <c r="L371" s="1">
        <v>37900.0</v>
      </c>
      <c r="M371" s="1" t="s">
        <v>3426</v>
      </c>
      <c r="N371" s="18">
        <v>46020.0</v>
      </c>
      <c r="O371" s="1" t="s">
        <v>3427</v>
      </c>
      <c r="P371" s="1" t="s">
        <v>3257</v>
      </c>
      <c r="Q371" s="1" t="s">
        <v>3408</v>
      </c>
    </row>
    <row r="372">
      <c r="A372" s="1" t="s">
        <v>3965</v>
      </c>
      <c r="B372" s="1">
        <v>15.0</v>
      </c>
      <c r="C372" s="1">
        <v>70.0</v>
      </c>
      <c r="D372" s="2" t="s">
        <v>694</v>
      </c>
      <c r="E372" s="1">
        <v>15.0</v>
      </c>
      <c r="F372" s="1">
        <v>13.0</v>
      </c>
      <c r="G372" s="1">
        <v>0.43</v>
      </c>
      <c r="H372" s="1">
        <v>0.0</v>
      </c>
      <c r="I372" s="1">
        <v>0.0</v>
      </c>
      <c r="J372" s="1">
        <v>0.0</v>
      </c>
      <c r="K372" s="1">
        <v>0.34</v>
      </c>
      <c r="L372" s="1">
        <v>1790000.0</v>
      </c>
      <c r="M372" s="1" t="s">
        <v>3966</v>
      </c>
      <c r="N372" s="18">
        <v>46020.0</v>
      </c>
      <c r="O372" s="1" t="s">
        <v>3442</v>
      </c>
      <c r="P372" s="1" t="s">
        <v>3230</v>
      </c>
      <c r="Q372" s="1" t="s">
        <v>3408</v>
      </c>
    </row>
    <row r="373">
      <c r="A373" s="1" t="s">
        <v>3967</v>
      </c>
      <c r="B373" s="1">
        <v>15.0</v>
      </c>
      <c r="C373" s="1">
        <v>40.0</v>
      </c>
      <c r="D373" s="2" t="s">
        <v>692</v>
      </c>
      <c r="E373" s="1">
        <v>15.0</v>
      </c>
      <c r="F373" s="1">
        <v>20.0</v>
      </c>
      <c r="G373" s="1">
        <v>0.0</v>
      </c>
      <c r="H373" s="1">
        <v>0.0</v>
      </c>
      <c r="I373" s="1">
        <v>0.0</v>
      </c>
      <c r="J373" s="1">
        <v>0.0</v>
      </c>
      <c r="K373" s="1">
        <v>0.06</v>
      </c>
      <c r="L373" s="1">
        <v>1.91E8</v>
      </c>
      <c r="M373" s="1" t="s">
        <v>3968</v>
      </c>
      <c r="N373" s="18">
        <v>46019.0</v>
      </c>
      <c r="O373" s="1" t="s">
        <v>3969</v>
      </c>
      <c r="P373" s="1" t="s">
        <v>3334</v>
      </c>
      <c r="Q373" s="1" t="s">
        <v>3408</v>
      </c>
    </row>
    <row r="374">
      <c r="A374" s="1" t="s">
        <v>3658</v>
      </c>
      <c r="B374" s="1">
        <v>15.0</v>
      </c>
      <c r="C374" s="1">
        <v>70.0</v>
      </c>
      <c r="D374" s="2" t="s">
        <v>594</v>
      </c>
      <c r="E374" s="1">
        <v>15.0</v>
      </c>
      <c r="F374" s="1">
        <v>25.0</v>
      </c>
      <c r="G374" s="1">
        <v>13.28</v>
      </c>
      <c r="H374" s="1">
        <v>0.0</v>
      </c>
      <c r="I374" s="1">
        <v>0.0</v>
      </c>
      <c r="J374" s="1">
        <v>0.0</v>
      </c>
      <c r="K374" s="1">
        <v>0.21</v>
      </c>
      <c r="L374" s="1">
        <v>69700.0</v>
      </c>
      <c r="M374" s="1" t="s">
        <v>3659</v>
      </c>
      <c r="N374" s="18">
        <v>46017.0</v>
      </c>
      <c r="O374" s="1" t="s">
        <v>3435</v>
      </c>
      <c r="P374" s="1" t="s">
        <v>3257</v>
      </c>
      <c r="Q374" s="1" t="s">
        <v>3408</v>
      </c>
    </row>
    <row r="375">
      <c r="A375" s="1" t="s">
        <v>3970</v>
      </c>
      <c r="B375" s="1">
        <v>15.0</v>
      </c>
      <c r="C375" s="1">
        <v>90.0</v>
      </c>
      <c r="D375" s="2" t="s">
        <v>581</v>
      </c>
      <c r="E375" s="1">
        <v>15.0</v>
      </c>
      <c r="F375" s="1">
        <v>22.0</v>
      </c>
      <c r="G375" s="1">
        <v>11.16</v>
      </c>
      <c r="H375" s="1">
        <v>0.0</v>
      </c>
      <c r="I375" s="1">
        <v>0.0</v>
      </c>
      <c r="J375" s="1">
        <v>0.0</v>
      </c>
      <c r="K375" s="1">
        <v>0.2</v>
      </c>
      <c r="L375" s="1">
        <v>63400.0</v>
      </c>
      <c r="M375" s="1" t="s">
        <v>3971</v>
      </c>
      <c r="N375" s="18">
        <v>46016.0</v>
      </c>
      <c r="O375" s="1" t="s">
        <v>3415</v>
      </c>
      <c r="P375" s="1" t="s">
        <v>3257</v>
      </c>
      <c r="Q375" s="1" t="s">
        <v>3408</v>
      </c>
    </row>
    <row r="376">
      <c r="A376" s="1" t="s">
        <v>3972</v>
      </c>
      <c r="B376" s="1">
        <v>15.0</v>
      </c>
      <c r="C376" s="1">
        <v>50.0</v>
      </c>
      <c r="D376" s="2" t="s">
        <v>2931</v>
      </c>
      <c r="E376" s="1">
        <v>15.0</v>
      </c>
      <c r="F376" s="1">
        <v>6.0</v>
      </c>
      <c r="G376" s="1">
        <v>0.0</v>
      </c>
      <c r="H376" s="1">
        <v>0.0</v>
      </c>
      <c r="I376" s="1">
        <v>0.0</v>
      </c>
      <c r="J376" s="1">
        <v>0.0</v>
      </c>
      <c r="K376" s="1">
        <v>0.0</v>
      </c>
      <c r="L376" s="1">
        <v>15300.0</v>
      </c>
      <c r="M376" s="1" t="s">
        <v>3973</v>
      </c>
      <c r="N376" s="18">
        <v>46015.0</v>
      </c>
      <c r="O376" s="1" t="s">
        <v>3974</v>
      </c>
      <c r="P376" s="1" t="s">
        <v>3257</v>
      </c>
      <c r="Q376" s="1" t="s">
        <v>3408</v>
      </c>
    </row>
    <row r="377">
      <c r="A377" s="1" t="s">
        <v>3975</v>
      </c>
      <c r="B377" s="1">
        <v>15.0</v>
      </c>
      <c r="C377" s="1">
        <v>90.0</v>
      </c>
      <c r="D377" s="2" t="s">
        <v>2930</v>
      </c>
      <c r="E377" s="1">
        <v>15.0</v>
      </c>
      <c r="F377" s="1">
        <v>30.0</v>
      </c>
      <c r="G377" s="1">
        <v>0.0</v>
      </c>
      <c r="H377" s="1">
        <v>0.0</v>
      </c>
      <c r="I377" s="1">
        <v>0.0</v>
      </c>
      <c r="J377" s="1">
        <v>0.0</v>
      </c>
      <c r="K377" s="1">
        <v>0.0</v>
      </c>
      <c r="L377" s="1">
        <v>28900.0</v>
      </c>
      <c r="M377" s="1" t="s">
        <v>3976</v>
      </c>
      <c r="N377" s="18">
        <v>46012.0</v>
      </c>
      <c r="O377" s="1" t="s">
        <v>3479</v>
      </c>
      <c r="P377" s="1" t="s">
        <v>3230</v>
      </c>
      <c r="Q377" s="1" t="s">
        <v>3408</v>
      </c>
    </row>
    <row r="378">
      <c r="A378" s="1" t="s">
        <v>3977</v>
      </c>
      <c r="B378" s="1">
        <v>15.0</v>
      </c>
      <c r="C378" s="1">
        <v>70.0</v>
      </c>
      <c r="D378" s="2" t="s">
        <v>1538</v>
      </c>
      <c r="E378" s="1">
        <v>15.0</v>
      </c>
      <c r="F378" s="1">
        <v>22.0</v>
      </c>
      <c r="G378" s="1">
        <v>0.0</v>
      </c>
      <c r="H378" s="1">
        <v>0.0</v>
      </c>
      <c r="I378" s="1">
        <v>0.0</v>
      </c>
      <c r="J378" s="1">
        <v>0.0</v>
      </c>
      <c r="K378" s="1">
        <v>0.0</v>
      </c>
      <c r="L378" s="1">
        <v>6.28E7</v>
      </c>
      <c r="M378" s="1" t="s">
        <v>3978</v>
      </c>
      <c r="N378" s="18">
        <v>46012.0</v>
      </c>
      <c r="O378" s="1" t="s">
        <v>3442</v>
      </c>
      <c r="P378" s="1" t="s">
        <v>3230</v>
      </c>
      <c r="Q378" s="1" t="s">
        <v>3408</v>
      </c>
    </row>
    <row r="379">
      <c r="A379" s="1" t="s">
        <v>3979</v>
      </c>
      <c r="B379" s="1">
        <v>15.0</v>
      </c>
      <c r="C379" s="1">
        <v>70.0</v>
      </c>
      <c r="D379" s="2" t="s">
        <v>1538</v>
      </c>
      <c r="E379" s="1">
        <v>15.0</v>
      </c>
      <c r="F379" s="1">
        <v>25.0</v>
      </c>
      <c r="G379" s="1">
        <v>0.0</v>
      </c>
      <c r="H379" s="1">
        <v>0.0</v>
      </c>
      <c r="I379" s="1">
        <v>0.0</v>
      </c>
      <c r="J379" s="1">
        <v>0.0</v>
      </c>
      <c r="K379" s="1">
        <v>0.0</v>
      </c>
      <c r="L379" s="1">
        <v>2.36E7</v>
      </c>
      <c r="M379" s="1" t="s">
        <v>3980</v>
      </c>
      <c r="N379" s="18">
        <v>46012.0</v>
      </c>
      <c r="O379" s="1" t="s">
        <v>3442</v>
      </c>
      <c r="P379" s="1" t="s">
        <v>3230</v>
      </c>
      <c r="Q379" s="1" t="s">
        <v>3408</v>
      </c>
    </row>
    <row r="380">
      <c r="A380" s="1" t="s">
        <v>3664</v>
      </c>
      <c r="B380" s="1">
        <v>15.0</v>
      </c>
      <c r="C380" s="1">
        <v>70.0</v>
      </c>
      <c r="D380" s="2" t="s">
        <v>2930</v>
      </c>
      <c r="E380" s="1">
        <v>15.0</v>
      </c>
      <c r="F380" s="1">
        <v>18.0</v>
      </c>
      <c r="G380" s="1">
        <v>0.0</v>
      </c>
      <c r="H380" s="1">
        <v>0.0</v>
      </c>
      <c r="I380" s="1">
        <v>0.0</v>
      </c>
      <c r="J380" s="1">
        <v>0.0</v>
      </c>
      <c r="K380" s="1">
        <v>0.0</v>
      </c>
      <c r="L380" s="1">
        <v>31800.0</v>
      </c>
      <c r="M380" s="1" t="s">
        <v>3665</v>
      </c>
      <c r="N380" s="18">
        <v>46008.0</v>
      </c>
      <c r="O380" s="1" t="s">
        <v>3264</v>
      </c>
      <c r="P380" s="1" t="s">
        <v>3230</v>
      </c>
      <c r="Q380" s="1" t="s">
        <v>3408</v>
      </c>
    </row>
    <row r="381">
      <c r="A381" s="1" t="s">
        <v>3609</v>
      </c>
      <c r="B381" s="1">
        <v>15.0</v>
      </c>
      <c r="C381" s="1">
        <v>70.0</v>
      </c>
      <c r="D381" s="2" t="s">
        <v>2930</v>
      </c>
      <c r="E381" s="1">
        <v>15.0</v>
      </c>
      <c r="F381" s="1">
        <v>25.0</v>
      </c>
      <c r="G381" s="1">
        <v>0.0</v>
      </c>
      <c r="H381" s="1">
        <v>0.0</v>
      </c>
      <c r="I381" s="1">
        <v>0.0</v>
      </c>
      <c r="J381" s="1">
        <v>0.0</v>
      </c>
      <c r="K381" s="1">
        <v>0.0</v>
      </c>
      <c r="L381" s="1">
        <v>27000.0</v>
      </c>
      <c r="M381" s="1" t="s">
        <v>3610</v>
      </c>
      <c r="N381" s="18">
        <v>46008.0</v>
      </c>
      <c r="O381" s="1" t="s">
        <v>3264</v>
      </c>
      <c r="P381" s="1" t="s">
        <v>3230</v>
      </c>
      <c r="Q381" s="1" t="s">
        <v>3408</v>
      </c>
    </row>
    <row r="382">
      <c r="A382" s="1" t="s">
        <v>3514</v>
      </c>
      <c r="B382" s="1">
        <v>15.0</v>
      </c>
      <c r="C382" s="1">
        <v>40.0</v>
      </c>
      <c r="D382" s="2" t="s">
        <v>581</v>
      </c>
      <c r="E382" s="1">
        <v>15.0</v>
      </c>
      <c r="F382" s="1">
        <v>30.0</v>
      </c>
      <c r="G382" s="1">
        <v>0.0</v>
      </c>
      <c r="H382" s="1">
        <v>0.0</v>
      </c>
      <c r="I382" s="1">
        <v>0.0</v>
      </c>
      <c r="J382" s="1">
        <v>0.0</v>
      </c>
      <c r="K382" s="1">
        <v>0.0</v>
      </c>
      <c r="L382" s="1">
        <v>49200.0</v>
      </c>
      <c r="M382" s="1" t="s">
        <v>3515</v>
      </c>
      <c r="N382" s="18">
        <v>45992.0</v>
      </c>
      <c r="O382" s="1" t="s">
        <v>3415</v>
      </c>
      <c r="P382" s="1" t="s">
        <v>3257</v>
      </c>
      <c r="Q382" s="1" t="s">
        <v>3408</v>
      </c>
    </row>
    <row r="383">
      <c r="A383" s="1" t="s">
        <v>3521</v>
      </c>
      <c r="B383" s="1">
        <v>15.0</v>
      </c>
      <c r="C383" s="1">
        <v>50.0</v>
      </c>
      <c r="D383" s="2" t="s">
        <v>2302</v>
      </c>
      <c r="E383" s="1">
        <v>15.0</v>
      </c>
      <c r="F383" s="1">
        <v>0.0</v>
      </c>
      <c r="G383" s="1">
        <v>7.71</v>
      </c>
      <c r="H383" s="1">
        <v>0.0</v>
      </c>
      <c r="I383" s="1">
        <v>0.0</v>
      </c>
      <c r="J383" s="1">
        <v>0.0</v>
      </c>
      <c r="K383" s="1">
        <v>0.29</v>
      </c>
      <c r="L383" s="1">
        <v>2.01E7</v>
      </c>
      <c r="M383" s="1" t="s">
        <v>3522</v>
      </c>
      <c r="N383" s="18">
        <v>45992.0</v>
      </c>
      <c r="O383" s="1" t="s">
        <v>3284</v>
      </c>
      <c r="P383" s="1" t="s">
        <v>3230</v>
      </c>
      <c r="Q383" s="1" t="s">
        <v>3408</v>
      </c>
    </row>
    <row r="384">
      <c r="A384" s="1" t="s">
        <v>3981</v>
      </c>
      <c r="B384" s="1">
        <v>15.0</v>
      </c>
      <c r="C384" s="1">
        <v>50.0</v>
      </c>
      <c r="D384" s="2" t="s">
        <v>647</v>
      </c>
      <c r="E384" s="1">
        <v>15.0</v>
      </c>
      <c r="F384" s="1">
        <v>33.0</v>
      </c>
      <c r="G384" s="1">
        <v>18.31</v>
      </c>
      <c r="H384" s="1">
        <v>0.0</v>
      </c>
      <c r="I384" s="1">
        <v>0.0</v>
      </c>
      <c r="J384" s="1">
        <v>0.0</v>
      </c>
      <c r="K384" s="1">
        <v>0.16</v>
      </c>
      <c r="L384" s="1">
        <v>105000.0</v>
      </c>
      <c r="M384" s="1" t="s">
        <v>3982</v>
      </c>
      <c r="N384" s="18">
        <v>45990.0</v>
      </c>
      <c r="O384" s="1" t="s">
        <v>3432</v>
      </c>
      <c r="P384" s="1" t="s">
        <v>3257</v>
      </c>
      <c r="Q384" s="1" t="s">
        <v>3408</v>
      </c>
    </row>
    <row r="385">
      <c r="A385" s="1" t="s">
        <v>3561</v>
      </c>
      <c r="B385" s="1">
        <v>15.0</v>
      </c>
      <c r="C385" s="1">
        <v>110.0</v>
      </c>
      <c r="D385" s="2" t="s">
        <v>447</v>
      </c>
      <c r="E385" s="1">
        <v>15.0</v>
      </c>
      <c r="F385" s="1">
        <v>15.0</v>
      </c>
      <c r="G385" s="1">
        <v>14.11</v>
      </c>
      <c r="H385" s="1">
        <v>0.0</v>
      </c>
      <c r="I385" s="1">
        <v>0.0</v>
      </c>
      <c r="J385" s="1">
        <v>0.0</v>
      </c>
      <c r="K385" s="1">
        <v>0.6</v>
      </c>
      <c r="L385" s="1">
        <v>0.0</v>
      </c>
      <c r="M385" s="1" t="s">
        <v>3562</v>
      </c>
      <c r="N385" s="18">
        <v>45984.0</v>
      </c>
      <c r="O385" s="1" t="s">
        <v>3415</v>
      </c>
      <c r="P385" s="1" t="s">
        <v>3257</v>
      </c>
      <c r="Q385" s="1" t="s">
        <v>3408</v>
      </c>
    </row>
    <row r="386">
      <c r="A386" s="1" t="s">
        <v>3983</v>
      </c>
      <c r="B386" s="1">
        <v>15.0</v>
      </c>
      <c r="C386" s="1">
        <v>110.0</v>
      </c>
      <c r="D386" s="2" t="s">
        <v>2932</v>
      </c>
      <c r="E386" s="1">
        <v>15.0</v>
      </c>
      <c r="F386" s="1">
        <v>11.0</v>
      </c>
      <c r="G386" s="1">
        <v>0.0</v>
      </c>
      <c r="H386" s="1">
        <v>0.0</v>
      </c>
      <c r="I386" s="1">
        <v>0.0</v>
      </c>
      <c r="J386" s="1">
        <v>0.0</v>
      </c>
      <c r="K386" s="1">
        <v>0.11</v>
      </c>
      <c r="L386" s="1">
        <v>1.19E7</v>
      </c>
      <c r="M386" s="1" t="s">
        <v>3984</v>
      </c>
      <c r="N386" s="18">
        <v>45967.0</v>
      </c>
      <c r="O386" s="1" t="s">
        <v>3415</v>
      </c>
      <c r="P386" s="1" t="s">
        <v>3257</v>
      </c>
      <c r="Q386" s="1" t="s">
        <v>3408</v>
      </c>
    </row>
    <row r="387">
      <c r="A387" s="1" t="s">
        <v>3985</v>
      </c>
      <c r="B387" s="1">
        <v>16.0</v>
      </c>
      <c r="C387" s="1">
        <v>110.0</v>
      </c>
      <c r="D387" s="2" t="s">
        <v>2930</v>
      </c>
      <c r="E387" s="1">
        <v>16.0</v>
      </c>
      <c r="F387" s="1">
        <v>27.0</v>
      </c>
      <c r="G387" s="1">
        <v>0.0</v>
      </c>
      <c r="H387" s="1">
        <v>0.0</v>
      </c>
      <c r="I387" s="1">
        <v>0.0</v>
      </c>
      <c r="J387" s="1">
        <v>0.0</v>
      </c>
      <c r="K387" s="1">
        <v>0.01</v>
      </c>
      <c r="L387" s="1">
        <v>1.26E8</v>
      </c>
      <c r="M387" s="1" t="s">
        <v>3986</v>
      </c>
      <c r="N387" s="18">
        <v>46037.0</v>
      </c>
      <c r="O387" s="1" t="s">
        <v>3987</v>
      </c>
      <c r="P387" s="1" t="s">
        <v>3230</v>
      </c>
      <c r="Q387" s="1" t="s">
        <v>3408</v>
      </c>
    </row>
    <row r="388">
      <c r="A388" s="1" t="s">
        <v>3988</v>
      </c>
      <c r="B388" s="1">
        <v>16.0</v>
      </c>
      <c r="C388" s="1">
        <v>70.0</v>
      </c>
      <c r="D388" s="2" t="s">
        <v>2956</v>
      </c>
      <c r="E388" s="1">
        <v>16.0</v>
      </c>
      <c r="F388" s="1">
        <v>4.0</v>
      </c>
      <c r="G388" s="1">
        <v>0.0</v>
      </c>
      <c r="H388" s="1">
        <v>0.0</v>
      </c>
      <c r="I388" s="1">
        <v>0.0</v>
      </c>
      <c r="J388" s="1">
        <v>0.0</v>
      </c>
      <c r="K388" s="1">
        <v>0.0</v>
      </c>
      <c r="L388" s="1">
        <v>39400.0</v>
      </c>
      <c r="M388" s="1" t="s">
        <v>3989</v>
      </c>
      <c r="N388" s="18">
        <v>46032.0</v>
      </c>
      <c r="O388" s="1" t="s">
        <v>3404</v>
      </c>
      <c r="P388" s="1" t="s">
        <v>3257</v>
      </c>
      <c r="Q388" s="1" t="s">
        <v>3408</v>
      </c>
    </row>
    <row r="389">
      <c r="A389" s="1" t="s">
        <v>3990</v>
      </c>
      <c r="B389" s="1">
        <v>16.0</v>
      </c>
      <c r="C389" s="1">
        <v>40.0</v>
      </c>
      <c r="D389" s="2" t="s">
        <v>1318</v>
      </c>
      <c r="E389" s="1">
        <v>16.0</v>
      </c>
      <c r="F389" s="1">
        <v>0.0</v>
      </c>
      <c r="G389" s="1">
        <v>0.0</v>
      </c>
      <c r="H389" s="1">
        <v>0.0</v>
      </c>
      <c r="I389" s="1">
        <v>0.0</v>
      </c>
      <c r="J389" s="1">
        <v>0.0</v>
      </c>
      <c r="K389" s="1">
        <v>0.0</v>
      </c>
      <c r="L389" s="1">
        <v>2.02E7</v>
      </c>
      <c r="M389" s="1" t="s">
        <v>3991</v>
      </c>
      <c r="N389" s="18">
        <v>46031.0</v>
      </c>
      <c r="O389" s="1" t="s">
        <v>3992</v>
      </c>
      <c r="P389" s="1" t="s">
        <v>3257</v>
      </c>
      <c r="Q389" s="1" t="s">
        <v>3408</v>
      </c>
    </row>
    <row r="390">
      <c r="A390" s="1" t="s">
        <v>3993</v>
      </c>
      <c r="B390" s="1">
        <v>16.0</v>
      </c>
      <c r="C390" s="1">
        <v>50.0</v>
      </c>
      <c r="D390" s="2" t="s">
        <v>2931</v>
      </c>
      <c r="E390" s="1">
        <v>16.0</v>
      </c>
      <c r="F390" s="1">
        <v>3.0</v>
      </c>
      <c r="G390" s="1">
        <v>0.0</v>
      </c>
      <c r="H390" s="1">
        <v>0.0</v>
      </c>
      <c r="I390" s="1">
        <v>0.0</v>
      </c>
      <c r="J390" s="1">
        <v>0.0</v>
      </c>
      <c r="K390" s="1">
        <v>0.0</v>
      </c>
      <c r="L390" s="1">
        <v>0.0</v>
      </c>
      <c r="M390" s="1" t="s">
        <v>3994</v>
      </c>
      <c r="N390" s="18">
        <v>46030.0</v>
      </c>
      <c r="O390" s="1" t="s">
        <v>3256</v>
      </c>
      <c r="P390" s="1" t="s">
        <v>3257</v>
      </c>
      <c r="Q390" s="1" t="s">
        <v>3408</v>
      </c>
    </row>
    <row r="391">
      <c r="A391" s="1" t="s">
        <v>3995</v>
      </c>
      <c r="B391" s="1">
        <v>16.0</v>
      </c>
      <c r="C391" s="1">
        <v>40.0</v>
      </c>
      <c r="D391" s="2" t="s">
        <v>606</v>
      </c>
      <c r="E391" s="1">
        <v>16.0</v>
      </c>
      <c r="F391" s="1">
        <v>5.0</v>
      </c>
      <c r="G391" s="1">
        <v>0.0</v>
      </c>
      <c r="H391" s="1">
        <v>0.0</v>
      </c>
      <c r="I391" s="1">
        <v>0.0</v>
      </c>
      <c r="J391" s="1">
        <v>0.0</v>
      </c>
      <c r="K391" s="1">
        <v>0.33</v>
      </c>
      <c r="L391" s="1">
        <v>2.2E7</v>
      </c>
      <c r="M391" s="1" t="s">
        <v>3996</v>
      </c>
      <c r="N391" s="18">
        <v>46030.0</v>
      </c>
      <c r="O391" s="1" t="s">
        <v>3314</v>
      </c>
      <c r="P391" s="1" t="s">
        <v>3230</v>
      </c>
      <c r="Q391" s="1" t="s">
        <v>3408</v>
      </c>
    </row>
    <row r="392">
      <c r="A392" s="1" t="s">
        <v>3997</v>
      </c>
      <c r="B392" s="1">
        <v>16.0</v>
      </c>
      <c r="C392" s="1">
        <v>390.0</v>
      </c>
      <c r="D392" s="2" t="s">
        <v>694</v>
      </c>
      <c r="E392" s="1">
        <v>16.0</v>
      </c>
      <c r="G392" s="1">
        <v>1.07</v>
      </c>
      <c r="H392" s="1">
        <v>0.0</v>
      </c>
      <c r="I392" s="1">
        <v>0.0</v>
      </c>
      <c r="J392" s="1">
        <v>0.0</v>
      </c>
      <c r="K392" s="1">
        <v>0.2</v>
      </c>
      <c r="L392" s="1">
        <v>2390000.0</v>
      </c>
      <c r="M392" s="1" t="s">
        <v>3998</v>
      </c>
      <c r="N392" s="18">
        <v>46029.0</v>
      </c>
      <c r="O392" s="1" t="s">
        <v>3311</v>
      </c>
      <c r="P392" s="1" t="s">
        <v>3230</v>
      </c>
      <c r="Q392" s="1" t="s">
        <v>3408</v>
      </c>
    </row>
    <row r="393">
      <c r="A393" s="1" t="s">
        <v>3398</v>
      </c>
      <c r="B393" s="1">
        <v>16.0</v>
      </c>
      <c r="C393" s="1">
        <v>140.0</v>
      </c>
      <c r="D393" s="2" t="s">
        <v>724</v>
      </c>
      <c r="E393" s="1">
        <v>16.0</v>
      </c>
      <c r="F393" s="1">
        <v>1.0</v>
      </c>
      <c r="G393" s="1">
        <v>5.43</v>
      </c>
      <c r="H393" s="1">
        <v>0.0</v>
      </c>
      <c r="I393" s="1">
        <v>0.0</v>
      </c>
      <c r="J393" s="1">
        <v>0.0</v>
      </c>
      <c r="K393" s="1">
        <v>0.03</v>
      </c>
      <c r="L393" s="1">
        <v>924000.0</v>
      </c>
      <c r="M393" s="1" t="s">
        <v>3399</v>
      </c>
      <c r="N393" s="18">
        <v>46027.0</v>
      </c>
      <c r="O393" s="1" t="s">
        <v>3284</v>
      </c>
      <c r="P393" s="1" t="s">
        <v>3230</v>
      </c>
      <c r="Q393" s="1" t="s">
        <v>3408</v>
      </c>
    </row>
    <row r="394">
      <c r="A394" s="1" t="s">
        <v>3999</v>
      </c>
      <c r="B394" s="1">
        <v>16.0</v>
      </c>
      <c r="C394" s="1">
        <v>40.0</v>
      </c>
      <c r="D394" s="2" t="s">
        <v>676</v>
      </c>
      <c r="E394" s="1">
        <v>16.0</v>
      </c>
      <c r="F394" s="1">
        <v>14.0</v>
      </c>
      <c r="G394" s="1">
        <v>8.45</v>
      </c>
      <c r="H394" s="1">
        <v>0.0</v>
      </c>
      <c r="I394" s="1">
        <v>0.0</v>
      </c>
      <c r="J394" s="1">
        <v>0.0</v>
      </c>
      <c r="K394" s="1">
        <v>0.76</v>
      </c>
      <c r="L394" s="1">
        <v>5430000.0</v>
      </c>
      <c r="M394" s="1" t="s">
        <v>4000</v>
      </c>
      <c r="N394" s="18">
        <v>46026.0</v>
      </c>
      <c r="O394" s="1" t="s">
        <v>3686</v>
      </c>
      <c r="P394" s="1" t="s">
        <v>3257</v>
      </c>
      <c r="Q394" s="1" t="s">
        <v>3408</v>
      </c>
    </row>
    <row r="395">
      <c r="A395" s="1" t="s">
        <v>4001</v>
      </c>
      <c r="B395" s="1">
        <v>16.0</v>
      </c>
      <c r="C395" s="1">
        <v>170.0</v>
      </c>
      <c r="D395" s="2" t="s">
        <v>2416</v>
      </c>
      <c r="E395" s="1">
        <v>16.0</v>
      </c>
      <c r="F395" s="1">
        <v>7.0</v>
      </c>
      <c r="G395" s="1">
        <v>0.0</v>
      </c>
      <c r="H395" s="1">
        <v>0.0</v>
      </c>
      <c r="I395" s="1">
        <v>0.0</v>
      </c>
      <c r="J395" s="1">
        <v>0.0</v>
      </c>
      <c r="K395" s="1">
        <v>0.0</v>
      </c>
      <c r="L395" s="1">
        <v>921000.0</v>
      </c>
      <c r="M395" s="1" t="s">
        <v>4002</v>
      </c>
      <c r="N395" s="18">
        <v>46024.0</v>
      </c>
      <c r="O395" s="1" t="s">
        <v>4003</v>
      </c>
      <c r="P395" s="1" t="s">
        <v>3301</v>
      </c>
      <c r="Q395" s="1" t="s">
        <v>3408</v>
      </c>
    </row>
    <row r="396">
      <c r="A396" s="1" t="s">
        <v>3738</v>
      </c>
      <c r="B396" s="1">
        <v>16.0</v>
      </c>
      <c r="C396" s="1">
        <v>50.0</v>
      </c>
      <c r="D396" s="2" t="s">
        <v>581</v>
      </c>
      <c r="E396" s="1">
        <v>16.0</v>
      </c>
      <c r="F396" s="1">
        <v>16.0</v>
      </c>
      <c r="G396" s="1">
        <v>16.24</v>
      </c>
      <c r="H396" s="1">
        <v>0.0</v>
      </c>
      <c r="I396" s="1">
        <v>0.0</v>
      </c>
      <c r="J396" s="1">
        <v>0.0</v>
      </c>
      <c r="K396" s="1">
        <v>0.67</v>
      </c>
      <c r="L396" s="1">
        <v>31700.0</v>
      </c>
      <c r="M396" s="1" t="s">
        <v>3739</v>
      </c>
      <c r="N396" s="18">
        <v>46022.0</v>
      </c>
      <c r="O396" s="1" t="s">
        <v>3455</v>
      </c>
      <c r="P396" s="1" t="s">
        <v>3257</v>
      </c>
      <c r="Q396" s="1" t="s">
        <v>3408</v>
      </c>
    </row>
    <row r="397">
      <c r="A397" s="1" t="s">
        <v>4004</v>
      </c>
      <c r="B397" s="1">
        <v>16.0</v>
      </c>
      <c r="C397" s="1">
        <v>170.0</v>
      </c>
      <c r="D397" s="2" t="s">
        <v>588</v>
      </c>
      <c r="E397" s="1">
        <v>16.0</v>
      </c>
      <c r="F397" s="1">
        <v>32.0</v>
      </c>
      <c r="G397" s="1">
        <v>14.43</v>
      </c>
      <c r="H397" s="1">
        <v>0.0</v>
      </c>
      <c r="I397" s="1">
        <v>0.0</v>
      </c>
      <c r="J397" s="1">
        <v>0.0</v>
      </c>
      <c r="K397" s="1">
        <v>0.61</v>
      </c>
      <c r="L397" s="1">
        <v>197000.0</v>
      </c>
      <c r="M397" s="1" t="s">
        <v>4005</v>
      </c>
      <c r="N397" s="18">
        <v>46022.0</v>
      </c>
      <c r="O397" s="1" t="s">
        <v>4006</v>
      </c>
      <c r="P397" s="1" t="s">
        <v>3257</v>
      </c>
      <c r="Q397" s="1" t="s">
        <v>3408</v>
      </c>
    </row>
    <row r="398">
      <c r="A398" s="1" t="s">
        <v>4007</v>
      </c>
      <c r="B398" s="1">
        <v>16.0</v>
      </c>
      <c r="C398" s="1">
        <v>140.0</v>
      </c>
      <c r="D398" s="2" t="s">
        <v>598</v>
      </c>
      <c r="E398" s="1">
        <v>16.0</v>
      </c>
      <c r="F398" s="1">
        <v>40.0</v>
      </c>
      <c r="G398" s="1">
        <v>18.67</v>
      </c>
      <c r="H398" s="1">
        <v>0.0</v>
      </c>
      <c r="I398" s="1">
        <v>0.0</v>
      </c>
      <c r="J398" s="1">
        <v>0.0</v>
      </c>
      <c r="K398" s="1">
        <v>0.79</v>
      </c>
      <c r="L398" s="1">
        <v>543000.0</v>
      </c>
      <c r="M398" s="1" t="s">
        <v>4008</v>
      </c>
      <c r="N398" s="18">
        <v>46022.0</v>
      </c>
      <c r="O398" s="1" t="s">
        <v>3854</v>
      </c>
      <c r="P398" s="1" t="s">
        <v>3257</v>
      </c>
      <c r="Q398" s="1" t="s">
        <v>3408</v>
      </c>
    </row>
    <row r="399">
      <c r="A399" s="1" t="s">
        <v>4009</v>
      </c>
      <c r="B399" s="1">
        <v>16.0</v>
      </c>
      <c r="C399" s="1">
        <v>170.0</v>
      </c>
      <c r="D399" s="2" t="s">
        <v>2416</v>
      </c>
      <c r="E399" s="1">
        <v>16.0</v>
      </c>
      <c r="F399" s="1">
        <v>12.0</v>
      </c>
      <c r="G399" s="1">
        <v>0.0</v>
      </c>
      <c r="H399" s="1">
        <v>0.0</v>
      </c>
      <c r="I399" s="1">
        <v>0.0</v>
      </c>
      <c r="J399" s="1">
        <v>0.0</v>
      </c>
      <c r="K399" s="1">
        <v>0.0</v>
      </c>
      <c r="L399" s="1">
        <v>624000.0</v>
      </c>
      <c r="M399" s="1" t="s">
        <v>4010</v>
      </c>
      <c r="N399" s="18">
        <v>46022.0</v>
      </c>
      <c r="O399" s="1" t="s">
        <v>3442</v>
      </c>
      <c r="P399" s="1" t="s">
        <v>3230</v>
      </c>
      <c r="Q399" s="1" t="s">
        <v>3408</v>
      </c>
    </row>
    <row r="400">
      <c r="A400" s="1" t="s">
        <v>4011</v>
      </c>
      <c r="B400" s="1">
        <v>16.0</v>
      </c>
      <c r="C400" s="1">
        <v>70.0</v>
      </c>
      <c r="D400" s="2" t="s">
        <v>1536</v>
      </c>
      <c r="E400" s="1">
        <v>16.0</v>
      </c>
      <c r="G400" s="1">
        <v>4.65</v>
      </c>
      <c r="H400" s="1">
        <v>0.0</v>
      </c>
      <c r="I400" s="1">
        <v>0.0</v>
      </c>
      <c r="J400" s="1">
        <v>0.0</v>
      </c>
      <c r="K400" s="1">
        <v>0.24</v>
      </c>
      <c r="L400" s="1">
        <v>1.27E7</v>
      </c>
      <c r="M400" s="1" t="s">
        <v>4012</v>
      </c>
      <c r="N400" s="18">
        <v>46020.0</v>
      </c>
      <c r="O400" s="1" t="s">
        <v>3840</v>
      </c>
      <c r="P400" s="1" t="s">
        <v>3334</v>
      </c>
      <c r="Q400" s="1" t="s">
        <v>3408</v>
      </c>
    </row>
    <row r="401">
      <c r="A401" s="1" t="s">
        <v>4013</v>
      </c>
      <c r="B401" s="1">
        <v>16.0</v>
      </c>
      <c r="C401" s="1">
        <v>110.0</v>
      </c>
      <c r="D401" s="2" t="s">
        <v>2416</v>
      </c>
      <c r="E401" s="1">
        <v>16.0</v>
      </c>
      <c r="F401" s="1">
        <v>7.0</v>
      </c>
      <c r="G401" s="1">
        <v>0.0</v>
      </c>
      <c r="H401" s="1">
        <v>0.0</v>
      </c>
      <c r="I401" s="1">
        <v>0.0</v>
      </c>
      <c r="J401" s="1">
        <v>0.0</v>
      </c>
      <c r="K401" s="1">
        <v>0.0</v>
      </c>
      <c r="L401" s="1">
        <v>137000.0</v>
      </c>
      <c r="M401" s="1" t="s">
        <v>4014</v>
      </c>
      <c r="N401" s="18">
        <v>46019.0</v>
      </c>
      <c r="O401" s="1" t="s">
        <v>3407</v>
      </c>
      <c r="P401" s="1" t="s">
        <v>3230</v>
      </c>
      <c r="Q401" s="1" t="s">
        <v>3408</v>
      </c>
    </row>
    <row r="402">
      <c r="A402" s="1" t="s">
        <v>4015</v>
      </c>
      <c r="B402" s="1">
        <v>16.0</v>
      </c>
      <c r="C402" s="1">
        <v>110.0</v>
      </c>
      <c r="D402" s="2" t="s">
        <v>1215</v>
      </c>
      <c r="E402" s="1">
        <v>16.0</v>
      </c>
      <c r="F402" s="1">
        <v>7.0</v>
      </c>
      <c r="G402" s="1">
        <v>0.0</v>
      </c>
      <c r="H402" s="1">
        <v>0.0</v>
      </c>
      <c r="I402" s="1">
        <v>0.0</v>
      </c>
      <c r="J402" s="1">
        <v>0.0</v>
      </c>
      <c r="K402" s="1">
        <v>0.38</v>
      </c>
      <c r="L402" s="1">
        <v>1.93E7</v>
      </c>
      <c r="M402" s="1" t="s">
        <v>4016</v>
      </c>
      <c r="N402" s="18">
        <v>46018.0</v>
      </c>
      <c r="O402" s="1" t="s">
        <v>3482</v>
      </c>
      <c r="P402" s="1" t="s">
        <v>3257</v>
      </c>
      <c r="Q402" s="1" t="s">
        <v>3408</v>
      </c>
    </row>
    <row r="403">
      <c r="A403" s="1" t="s">
        <v>3445</v>
      </c>
      <c r="B403" s="1">
        <v>16.0</v>
      </c>
      <c r="C403" s="1">
        <v>110.0</v>
      </c>
      <c r="D403" s="2" t="s">
        <v>594</v>
      </c>
      <c r="E403" s="1">
        <v>16.0</v>
      </c>
      <c r="F403" s="1">
        <v>25.0</v>
      </c>
      <c r="G403" s="1">
        <v>13.28</v>
      </c>
      <c r="H403" s="1">
        <v>0.0</v>
      </c>
      <c r="I403" s="1">
        <v>0.0</v>
      </c>
      <c r="J403" s="1">
        <v>0.0</v>
      </c>
      <c r="K403" s="1">
        <v>0.21</v>
      </c>
      <c r="L403" s="1">
        <v>78800.0</v>
      </c>
      <c r="M403" s="1" t="s">
        <v>3446</v>
      </c>
      <c r="N403" s="18">
        <v>46016.0</v>
      </c>
      <c r="O403" s="1" t="s">
        <v>3415</v>
      </c>
      <c r="P403" s="1" t="s">
        <v>3257</v>
      </c>
      <c r="Q403" s="1" t="s">
        <v>3408</v>
      </c>
    </row>
    <row r="404">
      <c r="A404" s="1" t="s">
        <v>4017</v>
      </c>
      <c r="B404" s="1">
        <v>16.0</v>
      </c>
      <c r="C404" s="1">
        <v>210.0</v>
      </c>
      <c r="D404" s="2" t="s">
        <v>2416</v>
      </c>
      <c r="E404" s="1">
        <v>16.0</v>
      </c>
      <c r="F404" s="1">
        <v>12.0</v>
      </c>
      <c r="G404" s="1">
        <v>0.0</v>
      </c>
      <c r="H404" s="1">
        <v>0.0</v>
      </c>
      <c r="I404" s="1">
        <v>0.0</v>
      </c>
      <c r="J404" s="1">
        <v>0.0</v>
      </c>
      <c r="K404" s="1">
        <v>0.0</v>
      </c>
      <c r="L404" s="1">
        <v>936000.0</v>
      </c>
      <c r="M404" s="1" t="s">
        <v>4018</v>
      </c>
      <c r="N404" s="18">
        <v>46013.0</v>
      </c>
      <c r="O404" s="1" t="s">
        <v>4003</v>
      </c>
      <c r="P404" s="1" t="s">
        <v>3230</v>
      </c>
      <c r="Q404" s="1" t="s">
        <v>3408</v>
      </c>
    </row>
    <row r="405">
      <c r="A405" s="1" t="s">
        <v>4019</v>
      </c>
      <c r="B405" s="1">
        <v>16.0</v>
      </c>
      <c r="C405" s="1">
        <v>70.0</v>
      </c>
      <c r="D405" s="2" t="s">
        <v>665</v>
      </c>
      <c r="E405" s="1">
        <v>16.0</v>
      </c>
      <c r="F405" s="1">
        <v>14.0</v>
      </c>
      <c r="G405" s="1">
        <v>0.0</v>
      </c>
      <c r="H405" s="1">
        <v>0.0</v>
      </c>
      <c r="I405" s="1">
        <v>0.0</v>
      </c>
      <c r="J405" s="1">
        <v>0.0</v>
      </c>
      <c r="K405" s="1">
        <v>0.0</v>
      </c>
      <c r="L405" s="1">
        <v>6730000.0</v>
      </c>
      <c r="M405" s="1" t="s">
        <v>4020</v>
      </c>
      <c r="N405" s="18">
        <v>46012.0</v>
      </c>
      <c r="O405" s="1" t="s">
        <v>3435</v>
      </c>
      <c r="P405" s="1" t="s">
        <v>3257</v>
      </c>
      <c r="Q405" s="1" t="s">
        <v>3408</v>
      </c>
    </row>
    <row r="406">
      <c r="A406" s="1" t="s">
        <v>4021</v>
      </c>
      <c r="B406" s="1">
        <v>16.0</v>
      </c>
      <c r="C406" s="1">
        <v>40.0</v>
      </c>
      <c r="D406" s="2" t="s">
        <v>1648</v>
      </c>
      <c r="E406" s="1">
        <v>16.0</v>
      </c>
      <c r="F406" s="1">
        <v>2.0</v>
      </c>
      <c r="G406" s="1">
        <v>0.0</v>
      </c>
      <c r="H406" s="1">
        <v>0.0</v>
      </c>
      <c r="I406" s="1">
        <v>0.0</v>
      </c>
      <c r="J406" s="1">
        <v>0.0</v>
      </c>
      <c r="K406" s="1">
        <v>0.0</v>
      </c>
      <c r="L406" s="1">
        <v>117000.0</v>
      </c>
      <c r="M406" s="1" t="s">
        <v>4022</v>
      </c>
      <c r="N406" s="18">
        <v>46011.0</v>
      </c>
      <c r="O406" s="1" t="s">
        <v>4023</v>
      </c>
      <c r="P406" s="1" t="s">
        <v>3334</v>
      </c>
      <c r="Q406" s="1" t="s">
        <v>3408</v>
      </c>
    </row>
    <row r="407">
      <c r="A407" s="1" t="s">
        <v>4024</v>
      </c>
      <c r="B407" s="1">
        <v>16.0</v>
      </c>
      <c r="C407" s="1">
        <v>140.0</v>
      </c>
      <c r="D407" s="2" t="s">
        <v>2416</v>
      </c>
      <c r="E407" s="1">
        <v>16.0</v>
      </c>
      <c r="F407" s="1">
        <v>9.0</v>
      </c>
      <c r="G407" s="1">
        <v>0.0</v>
      </c>
      <c r="H407" s="1">
        <v>0.0</v>
      </c>
      <c r="I407" s="1">
        <v>0.0</v>
      </c>
      <c r="J407" s="1">
        <v>0.0</v>
      </c>
      <c r="K407" s="1">
        <v>0.0</v>
      </c>
      <c r="L407" s="1">
        <v>222000.0</v>
      </c>
      <c r="M407" s="1" t="s">
        <v>4025</v>
      </c>
      <c r="N407" s="18">
        <v>46011.0</v>
      </c>
      <c r="O407" s="1" t="s">
        <v>4026</v>
      </c>
      <c r="P407" s="1" t="s">
        <v>3230</v>
      </c>
      <c r="Q407" s="1" t="s">
        <v>3408</v>
      </c>
    </row>
    <row r="408">
      <c r="A408" s="1" t="s">
        <v>4027</v>
      </c>
      <c r="B408" s="1">
        <v>16.0</v>
      </c>
      <c r="C408" s="1">
        <v>50.0</v>
      </c>
      <c r="D408" s="2" t="s">
        <v>1536</v>
      </c>
      <c r="E408" s="1">
        <v>16.0</v>
      </c>
      <c r="F408" s="1">
        <v>5.0</v>
      </c>
      <c r="G408" s="1">
        <v>7.15</v>
      </c>
      <c r="H408" s="1">
        <v>0.0</v>
      </c>
      <c r="I408" s="1">
        <v>0.0</v>
      </c>
      <c r="J408" s="1">
        <v>0.0</v>
      </c>
      <c r="K408" s="1">
        <v>0.09</v>
      </c>
      <c r="L408" s="1">
        <v>8990000.0</v>
      </c>
      <c r="M408" s="1" t="s">
        <v>4028</v>
      </c>
      <c r="N408" s="18">
        <v>46009.0</v>
      </c>
      <c r="O408" s="1" t="s">
        <v>3479</v>
      </c>
      <c r="P408" s="1" t="s">
        <v>3230</v>
      </c>
      <c r="Q408" s="1" t="s">
        <v>3408</v>
      </c>
    </row>
    <row r="409">
      <c r="A409" s="1" t="s">
        <v>4029</v>
      </c>
      <c r="B409" s="1">
        <v>16.0</v>
      </c>
      <c r="C409" s="1">
        <v>70.0</v>
      </c>
      <c r="D409" s="2" t="s">
        <v>2384</v>
      </c>
      <c r="E409" s="1">
        <v>16.0</v>
      </c>
      <c r="F409" s="1">
        <v>9.0</v>
      </c>
      <c r="G409" s="1">
        <v>0.0</v>
      </c>
      <c r="H409" s="1">
        <v>0.0</v>
      </c>
      <c r="I409" s="1">
        <v>0.0</v>
      </c>
      <c r="J409" s="1">
        <v>0.0</v>
      </c>
      <c r="K409" s="1">
        <v>0.0</v>
      </c>
      <c r="L409" s="1">
        <v>81000.0</v>
      </c>
      <c r="M409" s="1" t="s">
        <v>4030</v>
      </c>
      <c r="N409" s="18">
        <v>46008.0</v>
      </c>
      <c r="O409" s="1" t="s">
        <v>3482</v>
      </c>
      <c r="P409" s="1" t="s">
        <v>3257</v>
      </c>
      <c r="Q409" s="1" t="s">
        <v>3408</v>
      </c>
    </row>
    <row r="410">
      <c r="A410" s="1" t="s">
        <v>4031</v>
      </c>
      <c r="B410" s="1">
        <v>16.0</v>
      </c>
      <c r="C410" s="1">
        <v>140.0</v>
      </c>
      <c r="D410" s="2" t="s">
        <v>2930</v>
      </c>
      <c r="E410" s="1">
        <v>16.0</v>
      </c>
      <c r="F410" s="1">
        <v>30.0</v>
      </c>
      <c r="G410" s="1">
        <v>0.0</v>
      </c>
      <c r="H410" s="1">
        <v>0.0</v>
      </c>
      <c r="I410" s="1">
        <v>0.0</v>
      </c>
      <c r="J410" s="1">
        <v>0.0</v>
      </c>
      <c r="K410" s="1">
        <v>0.01</v>
      </c>
      <c r="L410" s="1">
        <v>6840000.0</v>
      </c>
      <c r="M410" s="1" t="s">
        <v>4032</v>
      </c>
      <c r="N410" s="18">
        <v>46006.0</v>
      </c>
      <c r="O410" s="1" t="s">
        <v>4033</v>
      </c>
      <c r="P410" s="1" t="s">
        <v>3230</v>
      </c>
      <c r="Q410" s="1" t="s">
        <v>3408</v>
      </c>
    </row>
    <row r="411">
      <c r="A411" s="1" t="s">
        <v>4034</v>
      </c>
      <c r="B411" s="1">
        <v>16.0</v>
      </c>
      <c r="C411" s="1">
        <v>40.0</v>
      </c>
      <c r="D411" s="2" t="s">
        <v>3661</v>
      </c>
      <c r="E411" s="1">
        <v>16.0</v>
      </c>
      <c r="F411" s="1">
        <v>13.0</v>
      </c>
      <c r="G411" s="1">
        <v>0.0</v>
      </c>
      <c r="H411" s="1">
        <v>0.0</v>
      </c>
      <c r="I411" s="1">
        <v>0.0</v>
      </c>
      <c r="J411" s="1">
        <v>0.0</v>
      </c>
      <c r="K411" s="1">
        <v>0.0</v>
      </c>
      <c r="L411" s="1">
        <v>8390000.0</v>
      </c>
      <c r="M411" s="1" t="s">
        <v>4035</v>
      </c>
      <c r="N411" s="18">
        <v>46004.0</v>
      </c>
      <c r="O411" s="1" t="s">
        <v>4036</v>
      </c>
      <c r="P411" s="1" t="s">
        <v>3230</v>
      </c>
      <c r="Q411" s="1" t="s">
        <v>3408</v>
      </c>
    </row>
    <row r="412">
      <c r="A412" s="1" t="s">
        <v>4037</v>
      </c>
      <c r="B412" s="1">
        <v>16.0</v>
      </c>
      <c r="C412" s="1">
        <v>90.0</v>
      </c>
      <c r="D412" s="2" t="s">
        <v>2930</v>
      </c>
      <c r="E412" s="1">
        <v>16.0</v>
      </c>
      <c r="F412" s="1">
        <v>35.0</v>
      </c>
      <c r="G412" s="1">
        <v>0.04</v>
      </c>
      <c r="H412" s="1">
        <v>0.0</v>
      </c>
      <c r="I412" s="1">
        <v>0.0</v>
      </c>
      <c r="J412" s="1">
        <v>0.0</v>
      </c>
      <c r="K412" s="1">
        <v>0.01</v>
      </c>
      <c r="L412" s="1">
        <v>6820000.0</v>
      </c>
      <c r="M412" s="1" t="s">
        <v>4038</v>
      </c>
      <c r="N412" s="18">
        <v>45999.0</v>
      </c>
      <c r="O412" s="1" t="s">
        <v>3895</v>
      </c>
      <c r="P412" s="1" t="s">
        <v>3230</v>
      </c>
      <c r="Q412" s="1" t="s">
        <v>3408</v>
      </c>
    </row>
    <row r="413">
      <c r="A413" s="1" t="s">
        <v>4039</v>
      </c>
      <c r="B413" s="1">
        <v>16.0</v>
      </c>
      <c r="C413" s="1">
        <v>30.0</v>
      </c>
      <c r="D413" s="2" t="s">
        <v>581</v>
      </c>
      <c r="E413" s="1">
        <v>16.0</v>
      </c>
      <c r="F413" s="1">
        <v>50.0</v>
      </c>
      <c r="G413" s="1">
        <v>106.64</v>
      </c>
      <c r="H413" s="1">
        <v>0.0</v>
      </c>
      <c r="I413" s="1">
        <v>0.0</v>
      </c>
      <c r="J413" s="1">
        <v>0.0</v>
      </c>
      <c r="K413" s="1">
        <v>0.12</v>
      </c>
      <c r="L413" s="1">
        <v>128000.0</v>
      </c>
      <c r="M413" s="1" t="s">
        <v>4040</v>
      </c>
      <c r="N413" s="18">
        <v>45999.0</v>
      </c>
      <c r="O413" s="1" t="s">
        <v>3415</v>
      </c>
      <c r="P413" s="1" t="s">
        <v>3257</v>
      </c>
      <c r="Q413" s="1" t="s">
        <v>3408</v>
      </c>
    </row>
    <row r="414">
      <c r="A414" s="1" t="s">
        <v>3518</v>
      </c>
      <c r="B414" s="1">
        <v>16.0</v>
      </c>
      <c r="C414" s="1">
        <v>90.0</v>
      </c>
      <c r="D414" s="2" t="s">
        <v>581</v>
      </c>
      <c r="E414" s="1">
        <v>16.0</v>
      </c>
      <c r="F414" s="1">
        <v>20.0</v>
      </c>
      <c r="G414" s="1">
        <v>7.8</v>
      </c>
      <c r="H414" s="1">
        <v>0.0</v>
      </c>
      <c r="I414" s="1">
        <v>0.0</v>
      </c>
      <c r="J414" s="1">
        <v>0.0</v>
      </c>
      <c r="K414" s="1">
        <v>0.52</v>
      </c>
      <c r="L414" s="1">
        <v>34300.0</v>
      </c>
      <c r="M414" s="1" t="s">
        <v>3519</v>
      </c>
      <c r="N414" s="18">
        <v>45992.0</v>
      </c>
      <c r="O414" s="1" t="s">
        <v>3520</v>
      </c>
      <c r="P414" s="1" t="s">
        <v>3257</v>
      </c>
      <c r="Q414" s="1" t="s">
        <v>3408</v>
      </c>
    </row>
    <row r="415">
      <c r="A415" s="1" t="s">
        <v>4041</v>
      </c>
      <c r="B415" s="1">
        <v>16.0</v>
      </c>
      <c r="C415" s="1">
        <v>110.0</v>
      </c>
      <c r="D415" s="2" t="s">
        <v>1536</v>
      </c>
      <c r="E415" s="1">
        <v>16.0</v>
      </c>
      <c r="F415" s="1">
        <v>0.0</v>
      </c>
      <c r="G415" s="1">
        <v>0.0</v>
      </c>
      <c r="H415" s="1">
        <v>0.0</v>
      </c>
      <c r="I415" s="1">
        <v>0.0</v>
      </c>
      <c r="J415" s="1">
        <v>0.0</v>
      </c>
      <c r="K415" s="1">
        <v>0.0</v>
      </c>
      <c r="L415" s="1">
        <v>2.8E7</v>
      </c>
      <c r="M415" s="1" t="s">
        <v>4042</v>
      </c>
      <c r="N415" s="18">
        <v>45988.0</v>
      </c>
      <c r="O415" s="1" t="s">
        <v>3804</v>
      </c>
      <c r="P415" s="1" t="s">
        <v>3230</v>
      </c>
      <c r="Q415" s="1" t="s">
        <v>3408</v>
      </c>
    </row>
    <row r="416">
      <c r="A416" s="1" t="s">
        <v>4043</v>
      </c>
      <c r="B416" s="1">
        <v>16.0</v>
      </c>
      <c r="C416" s="1">
        <v>210.0</v>
      </c>
      <c r="D416" s="2" t="s">
        <v>2930</v>
      </c>
      <c r="E416" s="1">
        <v>16.0</v>
      </c>
      <c r="F416" s="1">
        <v>27.0</v>
      </c>
      <c r="G416" s="1">
        <v>0.1</v>
      </c>
      <c r="H416" s="1">
        <v>0.0</v>
      </c>
      <c r="I416" s="1">
        <v>0.0</v>
      </c>
      <c r="J416" s="1">
        <v>0.0</v>
      </c>
      <c r="K416" s="1">
        <v>0.01</v>
      </c>
      <c r="L416" s="1">
        <v>10.0</v>
      </c>
      <c r="M416" s="1" t="s">
        <v>4044</v>
      </c>
      <c r="N416" s="18">
        <v>45986.0</v>
      </c>
      <c r="O416" s="1" t="s">
        <v>4045</v>
      </c>
      <c r="P416" s="1" t="s">
        <v>3230</v>
      </c>
      <c r="Q416" s="1" t="s">
        <v>3408</v>
      </c>
    </row>
    <row r="417">
      <c r="A417" s="1" t="s">
        <v>3680</v>
      </c>
      <c r="B417" s="1">
        <v>16.0</v>
      </c>
      <c r="C417" s="1">
        <v>110.0</v>
      </c>
      <c r="D417" s="2" t="s">
        <v>594</v>
      </c>
      <c r="E417" s="1">
        <v>16.0</v>
      </c>
      <c r="F417" s="1">
        <v>12.0</v>
      </c>
      <c r="G417" s="1">
        <v>13.92</v>
      </c>
      <c r="H417" s="1">
        <v>0.0</v>
      </c>
      <c r="I417" s="1">
        <v>0.0</v>
      </c>
      <c r="J417" s="1">
        <v>0.0</v>
      </c>
      <c r="K417" s="1">
        <v>0.06</v>
      </c>
      <c r="L417" s="1">
        <v>10.0</v>
      </c>
      <c r="M417" s="1" t="s">
        <v>3681</v>
      </c>
      <c r="N417" s="18">
        <v>45984.0</v>
      </c>
      <c r="O417" s="1" t="s">
        <v>3415</v>
      </c>
      <c r="P417" s="1" t="s">
        <v>3257</v>
      </c>
      <c r="Q417" s="1" t="s">
        <v>3408</v>
      </c>
    </row>
    <row r="418">
      <c r="A418" s="1" t="s">
        <v>4046</v>
      </c>
      <c r="B418" s="1">
        <v>16.0</v>
      </c>
      <c r="C418" s="1">
        <v>110.0</v>
      </c>
      <c r="D418" s="2" t="s">
        <v>584</v>
      </c>
      <c r="E418" s="1">
        <v>16.0</v>
      </c>
      <c r="F418" s="1">
        <v>3.0</v>
      </c>
      <c r="G418" s="1">
        <v>12.04</v>
      </c>
      <c r="H418" s="1">
        <v>0.0</v>
      </c>
      <c r="I418" s="1">
        <v>0.0</v>
      </c>
      <c r="J418" s="1">
        <v>0.0</v>
      </c>
      <c r="K418" s="1">
        <v>0.42</v>
      </c>
      <c r="L418" s="1">
        <v>9.0</v>
      </c>
      <c r="M418" s="1" t="s">
        <v>4047</v>
      </c>
      <c r="N418" s="18">
        <v>45978.0</v>
      </c>
      <c r="O418" s="1" t="s">
        <v>3404</v>
      </c>
      <c r="P418" s="1" t="s">
        <v>3257</v>
      </c>
      <c r="Q418" s="1" t="s">
        <v>3408</v>
      </c>
    </row>
    <row r="419">
      <c r="A419" s="1" t="s">
        <v>4048</v>
      </c>
      <c r="B419" s="1">
        <v>17.0</v>
      </c>
      <c r="C419" s="1">
        <v>40.0</v>
      </c>
      <c r="D419" s="2" t="s">
        <v>683</v>
      </c>
      <c r="E419" s="1">
        <v>17.0</v>
      </c>
      <c r="F419" s="1">
        <v>0.0</v>
      </c>
      <c r="G419" s="1">
        <v>0.0</v>
      </c>
      <c r="H419" s="1">
        <v>0.0</v>
      </c>
      <c r="I419" s="1">
        <v>0.0</v>
      </c>
      <c r="J419" s="1">
        <v>0.0</v>
      </c>
      <c r="K419" s="1">
        <v>0.0</v>
      </c>
      <c r="L419" s="1">
        <v>7.35E7</v>
      </c>
      <c r="M419" s="1" t="s">
        <v>4049</v>
      </c>
      <c r="N419" s="18">
        <v>46032.0</v>
      </c>
      <c r="O419" s="1" t="s">
        <v>4050</v>
      </c>
      <c r="P419" s="1" t="s">
        <v>3301</v>
      </c>
      <c r="Q419" s="1" t="s">
        <v>3408</v>
      </c>
    </row>
    <row r="420">
      <c r="A420" s="1" t="s">
        <v>4051</v>
      </c>
      <c r="B420" s="1">
        <v>17.0</v>
      </c>
      <c r="C420" s="1">
        <v>30.0</v>
      </c>
      <c r="D420" s="2" t="s">
        <v>694</v>
      </c>
      <c r="E420" s="1">
        <v>17.0</v>
      </c>
      <c r="F420" s="1">
        <v>22.0</v>
      </c>
      <c r="G420" s="1">
        <v>0.98</v>
      </c>
      <c r="H420" s="1">
        <v>0.0</v>
      </c>
      <c r="I420" s="1">
        <v>0.0</v>
      </c>
      <c r="J420" s="1">
        <v>0.0</v>
      </c>
      <c r="K420" s="1">
        <v>0.12</v>
      </c>
      <c r="L420" s="1">
        <v>4590000.0</v>
      </c>
      <c r="M420" s="1" t="s">
        <v>4052</v>
      </c>
      <c r="N420" s="18">
        <v>46028.0</v>
      </c>
      <c r="O420" s="1" t="s">
        <v>3264</v>
      </c>
      <c r="P420" s="1" t="s">
        <v>3230</v>
      </c>
      <c r="Q420" s="1" t="s">
        <v>3408</v>
      </c>
    </row>
    <row r="421">
      <c r="A421" s="1" t="s">
        <v>4053</v>
      </c>
      <c r="B421" s="1">
        <v>17.0</v>
      </c>
      <c r="C421" s="1">
        <v>170.0</v>
      </c>
      <c r="D421" s="2" t="s">
        <v>2416</v>
      </c>
      <c r="E421" s="1">
        <v>17.0</v>
      </c>
      <c r="F421" s="1">
        <v>6.0</v>
      </c>
      <c r="G421" s="1">
        <v>0.0</v>
      </c>
      <c r="H421" s="1">
        <v>0.0</v>
      </c>
      <c r="I421" s="1">
        <v>0.0</v>
      </c>
      <c r="J421" s="1">
        <v>0.0</v>
      </c>
      <c r="K421" s="1">
        <v>0.0</v>
      </c>
      <c r="L421" s="1">
        <v>3660000.0</v>
      </c>
      <c r="M421" s="1" t="s">
        <v>4054</v>
      </c>
      <c r="N421" s="18">
        <v>46024.0</v>
      </c>
      <c r="O421" s="1" t="s">
        <v>3479</v>
      </c>
      <c r="P421" s="1" t="s">
        <v>3230</v>
      </c>
      <c r="Q421" s="1" t="s">
        <v>3408</v>
      </c>
    </row>
    <row r="422">
      <c r="A422" s="1" t="s">
        <v>4055</v>
      </c>
      <c r="B422" s="1">
        <v>17.0</v>
      </c>
      <c r="C422" s="1">
        <v>210.0</v>
      </c>
      <c r="D422" s="2" t="s">
        <v>694</v>
      </c>
      <c r="E422" s="1">
        <v>17.0</v>
      </c>
      <c r="F422" s="1">
        <v>9.0</v>
      </c>
      <c r="G422" s="1">
        <v>0.98</v>
      </c>
      <c r="H422" s="1">
        <v>0.0</v>
      </c>
      <c r="I422" s="1">
        <v>0.0</v>
      </c>
      <c r="J422" s="1">
        <v>0.0</v>
      </c>
      <c r="K422" s="1">
        <v>0.12</v>
      </c>
      <c r="L422" s="1">
        <v>2110000.0</v>
      </c>
      <c r="M422" s="1" t="s">
        <v>4056</v>
      </c>
      <c r="N422" s="18">
        <v>46021.0</v>
      </c>
      <c r="O422" s="1" t="s">
        <v>4057</v>
      </c>
      <c r="P422" s="1" t="s">
        <v>3230</v>
      </c>
      <c r="Q422" s="1" t="s">
        <v>3408</v>
      </c>
    </row>
    <row r="423">
      <c r="A423" s="1" t="s">
        <v>4058</v>
      </c>
      <c r="B423" s="1">
        <v>17.0</v>
      </c>
      <c r="C423" s="1">
        <v>40.0</v>
      </c>
      <c r="D423" s="2" t="s">
        <v>1213</v>
      </c>
      <c r="E423" s="1">
        <v>17.0</v>
      </c>
      <c r="F423" s="1">
        <v>5.0</v>
      </c>
      <c r="G423" s="1">
        <v>0.0</v>
      </c>
      <c r="H423" s="1">
        <v>0.0</v>
      </c>
      <c r="I423" s="1">
        <v>0.0</v>
      </c>
      <c r="J423" s="1">
        <v>0.0</v>
      </c>
      <c r="K423" s="1">
        <v>0.0</v>
      </c>
      <c r="L423" s="1">
        <v>249000.0</v>
      </c>
      <c r="M423" s="1" t="s">
        <v>4059</v>
      </c>
      <c r="N423" s="18">
        <v>46021.0</v>
      </c>
      <c r="O423" s="1" t="s">
        <v>4060</v>
      </c>
      <c r="P423" s="1" t="s">
        <v>3257</v>
      </c>
      <c r="Q423" s="1" t="s">
        <v>3408</v>
      </c>
    </row>
    <row r="424">
      <c r="A424" s="1" t="s">
        <v>4061</v>
      </c>
      <c r="B424" s="1">
        <v>17.0</v>
      </c>
      <c r="C424" s="1">
        <v>110.0</v>
      </c>
      <c r="D424" s="2" t="s">
        <v>2416</v>
      </c>
      <c r="E424" s="1">
        <v>17.0</v>
      </c>
      <c r="F424" s="1">
        <v>8.0</v>
      </c>
      <c r="G424" s="1">
        <v>0.0</v>
      </c>
      <c r="H424" s="1">
        <v>0.0</v>
      </c>
      <c r="I424" s="1">
        <v>0.0</v>
      </c>
      <c r="J424" s="1">
        <v>0.0</v>
      </c>
      <c r="K424" s="1">
        <v>0.0</v>
      </c>
      <c r="L424" s="1">
        <v>184000.0</v>
      </c>
      <c r="M424" s="1" t="s">
        <v>4062</v>
      </c>
      <c r="N424" s="18">
        <v>46019.0</v>
      </c>
      <c r="O424" s="1" t="s">
        <v>3479</v>
      </c>
      <c r="P424" s="1" t="s">
        <v>3230</v>
      </c>
      <c r="Q424" s="1" t="s">
        <v>3408</v>
      </c>
    </row>
    <row r="425">
      <c r="A425" s="1" t="s">
        <v>4063</v>
      </c>
      <c r="B425" s="1">
        <v>17.0</v>
      </c>
      <c r="C425" s="1">
        <v>70.0</v>
      </c>
      <c r="D425" s="2" t="s">
        <v>665</v>
      </c>
      <c r="E425" s="1">
        <v>17.0</v>
      </c>
      <c r="F425" s="1">
        <v>16.0</v>
      </c>
      <c r="G425" s="1">
        <v>11.37</v>
      </c>
      <c r="H425" s="1">
        <v>0.0</v>
      </c>
      <c r="I425" s="1">
        <v>0.0</v>
      </c>
      <c r="J425" s="1">
        <v>0.0</v>
      </c>
      <c r="K425" s="1">
        <v>0.75</v>
      </c>
      <c r="L425" s="1">
        <v>1190000.0</v>
      </c>
      <c r="M425" s="1" t="s">
        <v>4064</v>
      </c>
      <c r="N425" s="18">
        <v>46016.0</v>
      </c>
      <c r="O425" s="1" t="s">
        <v>3435</v>
      </c>
      <c r="P425" s="1" t="s">
        <v>3257</v>
      </c>
      <c r="Q425" s="1" t="s">
        <v>3408</v>
      </c>
    </row>
    <row r="426">
      <c r="A426" s="1" t="s">
        <v>4065</v>
      </c>
      <c r="B426" s="1">
        <v>17.0</v>
      </c>
      <c r="C426" s="1">
        <v>170.0</v>
      </c>
      <c r="D426" s="2" t="s">
        <v>770</v>
      </c>
      <c r="E426" s="1">
        <v>17.0</v>
      </c>
      <c r="F426" s="1">
        <v>27.0</v>
      </c>
      <c r="G426" s="1">
        <v>0.0</v>
      </c>
      <c r="H426" s="1">
        <v>0.0</v>
      </c>
      <c r="I426" s="1">
        <v>0.0</v>
      </c>
      <c r="J426" s="1">
        <v>0.0</v>
      </c>
      <c r="K426" s="1">
        <v>0.0</v>
      </c>
      <c r="L426" s="1">
        <v>3.14E7</v>
      </c>
      <c r="M426" s="1" t="s">
        <v>4066</v>
      </c>
      <c r="N426" s="18">
        <v>46015.0</v>
      </c>
      <c r="O426" s="1" t="s">
        <v>3407</v>
      </c>
      <c r="P426" s="1" t="s">
        <v>3230</v>
      </c>
      <c r="Q426" s="1" t="s">
        <v>3408</v>
      </c>
    </row>
    <row r="427">
      <c r="A427" s="1" t="s">
        <v>3472</v>
      </c>
      <c r="B427" s="1">
        <v>17.0</v>
      </c>
      <c r="C427" s="1">
        <v>70.0</v>
      </c>
      <c r="D427" s="2" t="s">
        <v>594</v>
      </c>
      <c r="E427" s="1">
        <v>17.0</v>
      </c>
      <c r="F427" s="1">
        <v>34.0</v>
      </c>
      <c r="G427" s="1">
        <v>0.0</v>
      </c>
      <c r="H427" s="1">
        <v>0.0</v>
      </c>
      <c r="I427" s="1">
        <v>0.0</v>
      </c>
      <c r="J427" s="1">
        <v>0.0</v>
      </c>
      <c r="K427" s="1">
        <v>0.01</v>
      </c>
      <c r="L427" s="1">
        <v>90600.0</v>
      </c>
      <c r="M427" s="1" t="s">
        <v>3473</v>
      </c>
      <c r="N427" s="18">
        <v>46012.0</v>
      </c>
      <c r="O427" s="1" t="s">
        <v>3432</v>
      </c>
      <c r="P427" s="1" t="s">
        <v>3257</v>
      </c>
      <c r="Q427" s="1" t="s">
        <v>3408</v>
      </c>
    </row>
    <row r="428">
      <c r="A428" s="1" t="s">
        <v>4067</v>
      </c>
      <c r="B428" s="1">
        <v>17.0</v>
      </c>
      <c r="C428" s="1">
        <v>70.0</v>
      </c>
      <c r="D428" s="2" t="s">
        <v>1538</v>
      </c>
      <c r="E428" s="1">
        <v>17.0</v>
      </c>
      <c r="F428" s="1">
        <v>23.0</v>
      </c>
      <c r="G428" s="1">
        <v>0.0</v>
      </c>
      <c r="H428" s="1">
        <v>0.0</v>
      </c>
      <c r="I428" s="1">
        <v>0.0</v>
      </c>
      <c r="J428" s="1">
        <v>0.0</v>
      </c>
      <c r="K428" s="1">
        <v>0.0</v>
      </c>
      <c r="L428" s="1">
        <v>3.18E7</v>
      </c>
      <c r="M428" s="1" t="s">
        <v>4068</v>
      </c>
      <c r="N428" s="18">
        <v>46012.0</v>
      </c>
      <c r="O428" s="1" t="s">
        <v>3442</v>
      </c>
      <c r="P428" s="1" t="s">
        <v>3230</v>
      </c>
      <c r="Q428" s="1" t="s">
        <v>3408</v>
      </c>
    </row>
    <row r="429">
      <c r="A429" s="1" t="s">
        <v>4069</v>
      </c>
      <c r="B429" s="1">
        <v>17.0</v>
      </c>
      <c r="C429" s="1">
        <v>70.0</v>
      </c>
      <c r="D429" s="2" t="s">
        <v>2930</v>
      </c>
      <c r="E429" s="1">
        <v>17.0</v>
      </c>
      <c r="F429" s="1">
        <v>51.0</v>
      </c>
      <c r="G429" s="1">
        <v>0.0</v>
      </c>
      <c r="H429" s="1">
        <v>0.0</v>
      </c>
      <c r="I429" s="1">
        <v>0.0</v>
      </c>
      <c r="J429" s="1">
        <v>0.0</v>
      </c>
      <c r="K429" s="1">
        <v>0.01</v>
      </c>
      <c r="L429" s="1">
        <v>1.37E8</v>
      </c>
      <c r="M429" s="1" t="s">
        <v>4070</v>
      </c>
      <c r="N429" s="18">
        <v>46011.0</v>
      </c>
      <c r="O429" s="1" t="s">
        <v>4071</v>
      </c>
      <c r="P429" s="1" t="s">
        <v>3230</v>
      </c>
      <c r="Q429" s="1" t="s">
        <v>3408</v>
      </c>
    </row>
    <row r="430">
      <c r="A430" s="1" t="s">
        <v>4072</v>
      </c>
      <c r="B430" s="1">
        <v>17.0</v>
      </c>
      <c r="C430" s="1">
        <v>140.0</v>
      </c>
      <c r="D430" s="2" t="s">
        <v>2930</v>
      </c>
      <c r="E430" s="1">
        <v>17.0</v>
      </c>
      <c r="F430" s="1">
        <v>21.0</v>
      </c>
      <c r="G430" s="1">
        <v>0.0</v>
      </c>
      <c r="H430" s="1">
        <v>0.0</v>
      </c>
      <c r="I430" s="1">
        <v>0.0</v>
      </c>
      <c r="J430" s="1">
        <v>0.0</v>
      </c>
      <c r="K430" s="1">
        <v>0.01</v>
      </c>
      <c r="L430" s="1">
        <v>6770000.0</v>
      </c>
      <c r="M430" s="1" t="s">
        <v>4073</v>
      </c>
      <c r="N430" s="18">
        <v>46010.0</v>
      </c>
      <c r="O430" s="1" t="s">
        <v>4033</v>
      </c>
      <c r="P430" s="1" t="s">
        <v>3230</v>
      </c>
      <c r="Q430" s="1" t="s">
        <v>3408</v>
      </c>
    </row>
    <row r="431">
      <c r="A431" s="1" t="s">
        <v>4074</v>
      </c>
      <c r="B431" s="1">
        <v>17.0</v>
      </c>
      <c r="C431" s="1">
        <v>50.0</v>
      </c>
      <c r="D431" s="2" t="s">
        <v>770</v>
      </c>
      <c r="E431" s="1">
        <v>17.0</v>
      </c>
      <c r="F431" s="1">
        <v>18.0</v>
      </c>
      <c r="G431" s="1">
        <v>0.0</v>
      </c>
      <c r="H431" s="1">
        <v>0.0</v>
      </c>
      <c r="I431" s="1">
        <v>0.0</v>
      </c>
      <c r="J431" s="1">
        <v>0.0</v>
      </c>
      <c r="K431" s="1">
        <v>0.0</v>
      </c>
      <c r="L431" s="1">
        <v>298000.0</v>
      </c>
      <c r="M431" s="1" t="s">
        <v>4075</v>
      </c>
      <c r="N431" s="18">
        <v>46009.0</v>
      </c>
      <c r="O431" s="1" t="s">
        <v>3407</v>
      </c>
      <c r="P431" s="1" t="s">
        <v>3334</v>
      </c>
      <c r="Q431" s="1" t="s">
        <v>3408</v>
      </c>
    </row>
    <row r="432">
      <c r="A432" s="1" t="s">
        <v>4076</v>
      </c>
      <c r="B432" s="1">
        <v>17.0</v>
      </c>
      <c r="C432" s="1">
        <v>50.0</v>
      </c>
      <c r="D432" s="2" t="s">
        <v>2930</v>
      </c>
      <c r="E432" s="1">
        <v>17.0</v>
      </c>
      <c r="F432" s="1">
        <v>20.0</v>
      </c>
      <c r="G432" s="1">
        <v>0.0</v>
      </c>
      <c r="H432" s="1">
        <v>0.0</v>
      </c>
      <c r="I432" s="1">
        <v>0.0</v>
      </c>
      <c r="J432" s="1">
        <v>0.0</v>
      </c>
      <c r="K432" s="1">
        <v>0.01</v>
      </c>
      <c r="L432" s="1">
        <v>6680000.0</v>
      </c>
      <c r="M432" s="1" t="s">
        <v>4077</v>
      </c>
      <c r="N432" s="18">
        <v>46009.0</v>
      </c>
      <c r="O432" s="1" t="s">
        <v>3875</v>
      </c>
      <c r="P432" s="1" t="s">
        <v>3230</v>
      </c>
      <c r="Q432" s="1" t="s">
        <v>3408</v>
      </c>
    </row>
    <row r="433">
      <c r="A433" s="1" t="s">
        <v>4078</v>
      </c>
      <c r="B433" s="1">
        <v>17.0</v>
      </c>
      <c r="C433" s="1">
        <v>40.0</v>
      </c>
      <c r="D433" s="2" t="s">
        <v>659</v>
      </c>
      <c r="E433" s="1">
        <v>17.0</v>
      </c>
      <c r="F433" s="1">
        <v>9.0</v>
      </c>
      <c r="G433" s="1">
        <v>19.05</v>
      </c>
      <c r="H433" s="1">
        <v>0.0</v>
      </c>
      <c r="I433" s="1">
        <v>0.0</v>
      </c>
      <c r="J433" s="1">
        <v>0.0</v>
      </c>
      <c r="K433" s="1">
        <v>0.04</v>
      </c>
      <c r="L433" s="1">
        <v>149000.0</v>
      </c>
      <c r="M433" s="1" t="s">
        <v>4079</v>
      </c>
      <c r="N433" s="18">
        <v>46009.0</v>
      </c>
      <c r="O433" s="1" t="s">
        <v>3435</v>
      </c>
      <c r="P433" s="1" t="s">
        <v>3257</v>
      </c>
      <c r="Q433" s="1" t="s">
        <v>3408</v>
      </c>
    </row>
    <row r="434">
      <c r="A434" s="1" t="s">
        <v>4080</v>
      </c>
      <c r="B434" s="1">
        <v>17.0</v>
      </c>
      <c r="C434" s="1">
        <v>110.0</v>
      </c>
      <c r="D434" s="2" t="s">
        <v>2930</v>
      </c>
      <c r="E434" s="1">
        <v>17.0</v>
      </c>
      <c r="F434" s="1">
        <v>20.0</v>
      </c>
      <c r="G434" s="1">
        <v>0.0</v>
      </c>
      <c r="H434" s="1">
        <v>0.0</v>
      </c>
      <c r="I434" s="1">
        <v>0.0</v>
      </c>
      <c r="J434" s="1">
        <v>0.0</v>
      </c>
      <c r="K434" s="1">
        <v>0.02</v>
      </c>
      <c r="L434" s="1">
        <v>1.43E8</v>
      </c>
      <c r="M434" s="1" t="s">
        <v>4081</v>
      </c>
      <c r="N434" s="18">
        <v>46006.0</v>
      </c>
      <c r="O434" s="1" t="s">
        <v>3895</v>
      </c>
      <c r="P434" s="1" t="s">
        <v>3230</v>
      </c>
      <c r="Q434" s="1" t="s">
        <v>3408</v>
      </c>
    </row>
    <row r="435">
      <c r="A435" s="1" t="s">
        <v>4082</v>
      </c>
      <c r="B435" s="1">
        <v>17.0</v>
      </c>
      <c r="C435" s="1">
        <v>30.0</v>
      </c>
      <c r="D435" s="2" t="s">
        <v>888</v>
      </c>
      <c r="E435" s="1">
        <v>17.0</v>
      </c>
      <c r="F435" s="1">
        <v>1.0</v>
      </c>
      <c r="G435" s="1">
        <v>2.95</v>
      </c>
      <c r="H435" s="1">
        <v>0.0</v>
      </c>
      <c r="I435" s="1">
        <v>0.0</v>
      </c>
      <c r="J435" s="1">
        <v>0.0</v>
      </c>
      <c r="K435" s="1">
        <v>0.55</v>
      </c>
      <c r="L435" s="1">
        <v>120000.0</v>
      </c>
      <c r="M435" s="1" t="s">
        <v>4083</v>
      </c>
      <c r="N435" s="18">
        <v>46003.0</v>
      </c>
      <c r="O435" s="1" t="s">
        <v>4084</v>
      </c>
      <c r="P435" s="1" t="s">
        <v>3257</v>
      </c>
      <c r="Q435" s="1" t="s">
        <v>3408</v>
      </c>
    </row>
    <row r="436">
      <c r="A436" s="1" t="s">
        <v>4085</v>
      </c>
      <c r="B436" s="1">
        <v>17.0</v>
      </c>
      <c r="C436" s="1">
        <v>40.0</v>
      </c>
      <c r="D436" s="2" t="s">
        <v>2930</v>
      </c>
      <c r="E436" s="1">
        <v>17.0</v>
      </c>
      <c r="F436" s="1">
        <v>25.0</v>
      </c>
      <c r="G436" s="1">
        <v>0.0</v>
      </c>
      <c r="H436" s="1">
        <v>0.0</v>
      </c>
      <c r="I436" s="1">
        <v>0.0</v>
      </c>
      <c r="J436" s="1">
        <v>0.0</v>
      </c>
      <c r="K436" s="1">
        <v>0.02</v>
      </c>
      <c r="L436" s="1">
        <v>6810000.0</v>
      </c>
      <c r="M436" s="1" t="s">
        <v>4086</v>
      </c>
      <c r="N436" s="18">
        <v>45996.0</v>
      </c>
      <c r="O436" s="1" t="s">
        <v>3895</v>
      </c>
      <c r="P436" s="1" t="s">
        <v>3230</v>
      </c>
      <c r="Q436" s="1" t="s">
        <v>3408</v>
      </c>
    </row>
    <row r="437">
      <c r="A437" s="1" t="s">
        <v>4087</v>
      </c>
      <c r="B437" s="1">
        <v>17.0</v>
      </c>
      <c r="C437" s="1">
        <v>140.0</v>
      </c>
      <c r="D437" s="2" t="s">
        <v>792</v>
      </c>
      <c r="E437" s="1">
        <v>17.0</v>
      </c>
      <c r="F437" s="1">
        <v>7.0</v>
      </c>
      <c r="G437" s="1">
        <v>0.0</v>
      </c>
      <c r="H437" s="1">
        <v>0.0</v>
      </c>
      <c r="I437" s="1">
        <v>0.0</v>
      </c>
      <c r="J437" s="1">
        <v>0.0</v>
      </c>
      <c r="K437" s="1">
        <v>0.0</v>
      </c>
      <c r="L437" s="1">
        <v>526000.0</v>
      </c>
      <c r="M437" s="1" t="s">
        <v>4088</v>
      </c>
      <c r="N437" s="18">
        <v>45996.0</v>
      </c>
      <c r="O437" s="1" t="s">
        <v>4089</v>
      </c>
      <c r="P437" s="1" t="s">
        <v>3257</v>
      </c>
      <c r="Q437" s="1" t="s">
        <v>3408</v>
      </c>
    </row>
    <row r="438">
      <c r="A438" s="1" t="s">
        <v>4090</v>
      </c>
      <c r="B438" s="1">
        <v>17.0</v>
      </c>
      <c r="C438" s="1">
        <v>590.0</v>
      </c>
      <c r="D438" s="2" t="s">
        <v>694</v>
      </c>
      <c r="E438" s="1">
        <v>17.0</v>
      </c>
      <c r="F438" s="1">
        <v>5.0</v>
      </c>
      <c r="G438" s="1">
        <v>1.29</v>
      </c>
      <c r="H438" s="1">
        <v>0.0</v>
      </c>
      <c r="I438" s="1">
        <v>0.0</v>
      </c>
      <c r="J438" s="1">
        <v>0.0</v>
      </c>
      <c r="K438" s="1">
        <v>0.11</v>
      </c>
      <c r="L438" s="1">
        <v>6960000.0</v>
      </c>
      <c r="M438" s="1" t="s">
        <v>4091</v>
      </c>
      <c r="N438" s="18">
        <v>45992.0</v>
      </c>
      <c r="O438" s="1" t="s">
        <v>3237</v>
      </c>
      <c r="P438" s="1" t="s">
        <v>3230</v>
      </c>
      <c r="Q438" s="1" t="s">
        <v>3408</v>
      </c>
    </row>
    <row r="439">
      <c r="A439" s="1" t="s">
        <v>4092</v>
      </c>
      <c r="B439" s="1">
        <v>17.0</v>
      </c>
      <c r="C439" s="1">
        <v>90.0</v>
      </c>
      <c r="D439" s="2" t="s">
        <v>694</v>
      </c>
      <c r="E439" s="1">
        <v>17.0</v>
      </c>
      <c r="F439" s="1">
        <v>26.0</v>
      </c>
      <c r="G439" s="1">
        <v>0.75</v>
      </c>
      <c r="H439" s="1">
        <v>0.0</v>
      </c>
      <c r="I439" s="1">
        <v>0.0</v>
      </c>
      <c r="J439" s="1">
        <v>0.0</v>
      </c>
      <c r="K439" s="1">
        <v>0.26</v>
      </c>
      <c r="L439" s="1">
        <v>3650000.0</v>
      </c>
      <c r="M439" s="1" t="s">
        <v>4093</v>
      </c>
      <c r="N439" s="18">
        <v>45990.0</v>
      </c>
      <c r="O439" s="1" t="s">
        <v>3510</v>
      </c>
      <c r="P439" s="1" t="s">
        <v>3230</v>
      </c>
      <c r="Q439" s="1" t="s">
        <v>3408</v>
      </c>
    </row>
    <row r="440">
      <c r="A440" s="1" t="s">
        <v>4094</v>
      </c>
      <c r="B440" s="1">
        <v>17.0</v>
      </c>
      <c r="C440" s="1">
        <v>70.0</v>
      </c>
      <c r="D440" s="2" t="s">
        <v>2930</v>
      </c>
      <c r="E440" s="1">
        <v>17.0</v>
      </c>
      <c r="F440" s="1">
        <v>50.0</v>
      </c>
      <c r="G440" s="1">
        <v>0.0</v>
      </c>
      <c r="H440" s="1">
        <v>0.0</v>
      </c>
      <c r="I440" s="1">
        <v>0.0</v>
      </c>
      <c r="J440" s="1">
        <v>0.0</v>
      </c>
      <c r="K440" s="1">
        <v>0.0</v>
      </c>
      <c r="L440" s="1">
        <v>10.0</v>
      </c>
      <c r="M440" s="1" t="s">
        <v>4095</v>
      </c>
      <c r="N440" s="18">
        <v>45985.0</v>
      </c>
      <c r="O440" s="1" t="s">
        <v>4096</v>
      </c>
      <c r="P440" s="1" t="s">
        <v>3230</v>
      </c>
      <c r="Q440" s="1" t="s">
        <v>3408</v>
      </c>
    </row>
    <row r="441">
      <c r="A441" s="1" t="s">
        <v>4097</v>
      </c>
      <c r="B441" s="1">
        <v>17.0</v>
      </c>
      <c r="C441" s="1">
        <v>50.0</v>
      </c>
      <c r="D441" s="2" t="s">
        <v>2930</v>
      </c>
      <c r="E441" s="1">
        <v>17.0</v>
      </c>
      <c r="F441" s="1">
        <v>13.0</v>
      </c>
      <c r="G441" s="1">
        <v>0.0</v>
      </c>
      <c r="H441" s="1">
        <v>0.0</v>
      </c>
      <c r="I441" s="1">
        <v>0.0</v>
      </c>
      <c r="J441" s="1">
        <v>0.0</v>
      </c>
      <c r="K441" s="1">
        <v>0.0</v>
      </c>
      <c r="L441" s="1">
        <v>10.0</v>
      </c>
      <c r="M441" s="1" t="s">
        <v>4098</v>
      </c>
      <c r="N441" s="18">
        <v>45979.0</v>
      </c>
      <c r="O441" s="1" t="s">
        <v>3895</v>
      </c>
      <c r="P441" s="1" t="s">
        <v>3230</v>
      </c>
      <c r="Q441" s="1" t="s">
        <v>3408</v>
      </c>
    </row>
    <row r="442">
      <c r="A442" s="1" t="s">
        <v>4099</v>
      </c>
      <c r="B442" s="1">
        <v>17.0</v>
      </c>
      <c r="C442" s="1">
        <v>170.0</v>
      </c>
      <c r="D442" s="2" t="s">
        <v>2416</v>
      </c>
      <c r="E442" s="1">
        <v>17.0</v>
      </c>
      <c r="F442" s="1">
        <v>11.0</v>
      </c>
      <c r="G442" s="1">
        <v>0.0</v>
      </c>
      <c r="H442" s="1">
        <v>0.0</v>
      </c>
      <c r="I442" s="1">
        <v>0.0</v>
      </c>
      <c r="J442" s="1">
        <v>0.0</v>
      </c>
      <c r="K442" s="1">
        <v>0.0</v>
      </c>
      <c r="L442" s="1">
        <v>10.0</v>
      </c>
      <c r="M442" s="1" t="s">
        <v>4100</v>
      </c>
      <c r="N442" s="18">
        <v>45979.0</v>
      </c>
      <c r="O442" s="1" t="s">
        <v>4101</v>
      </c>
      <c r="P442" s="1" t="s">
        <v>3230</v>
      </c>
      <c r="Q442" s="1" t="s">
        <v>3408</v>
      </c>
    </row>
    <row r="443">
      <c r="A443" s="1" t="s">
        <v>3613</v>
      </c>
      <c r="B443" s="1">
        <v>17.0</v>
      </c>
      <c r="C443" s="1">
        <v>50.0</v>
      </c>
      <c r="D443" s="2" t="s">
        <v>594</v>
      </c>
      <c r="E443" s="1">
        <v>17.0</v>
      </c>
      <c r="F443" s="1">
        <v>9.0</v>
      </c>
      <c r="G443" s="1">
        <v>0.0</v>
      </c>
      <c r="H443" s="1">
        <v>0.0</v>
      </c>
      <c r="I443" s="1">
        <v>0.0</v>
      </c>
      <c r="J443" s="1">
        <v>0.0</v>
      </c>
      <c r="K443" s="1">
        <v>0.02</v>
      </c>
      <c r="L443" s="1">
        <v>9.0</v>
      </c>
      <c r="M443" s="1" t="s">
        <v>3614</v>
      </c>
      <c r="N443" s="18">
        <v>45978.0</v>
      </c>
      <c r="O443" s="1" t="s">
        <v>3435</v>
      </c>
      <c r="P443" s="1" t="s">
        <v>3257</v>
      </c>
      <c r="Q443" s="1" t="s">
        <v>3408</v>
      </c>
    </row>
    <row r="444">
      <c r="A444" s="1" t="s">
        <v>4102</v>
      </c>
      <c r="B444" s="1">
        <v>18.0</v>
      </c>
      <c r="C444" s="1">
        <v>170.0</v>
      </c>
      <c r="D444" s="2" t="s">
        <v>694</v>
      </c>
      <c r="E444" s="1">
        <v>18.0</v>
      </c>
      <c r="F444" s="1">
        <v>8.0</v>
      </c>
      <c r="G444" s="1">
        <v>1.12</v>
      </c>
      <c r="H444" s="1">
        <v>0.0</v>
      </c>
      <c r="I444" s="1">
        <v>0.0</v>
      </c>
      <c r="J444" s="1">
        <v>0.0</v>
      </c>
      <c r="K444" s="1">
        <v>0.37</v>
      </c>
      <c r="L444" s="1">
        <v>2730000.0</v>
      </c>
      <c r="M444" s="1" t="s">
        <v>4103</v>
      </c>
      <c r="N444" s="18">
        <v>46038.0</v>
      </c>
      <c r="O444" s="1" t="s">
        <v>4104</v>
      </c>
      <c r="P444" s="1" t="s">
        <v>3230</v>
      </c>
      <c r="Q444" s="1" t="s">
        <v>3408</v>
      </c>
    </row>
    <row r="445">
      <c r="A445" s="1" t="s">
        <v>4105</v>
      </c>
      <c r="B445" s="1">
        <v>18.0</v>
      </c>
      <c r="C445" s="1">
        <v>90.0</v>
      </c>
      <c r="D445" s="2" t="s">
        <v>694</v>
      </c>
      <c r="E445" s="1">
        <v>18.0</v>
      </c>
      <c r="F445" s="1">
        <v>10.0</v>
      </c>
      <c r="G445" s="1">
        <v>0.0</v>
      </c>
      <c r="H445" s="1">
        <v>0.0</v>
      </c>
      <c r="I445" s="1">
        <v>0.0</v>
      </c>
      <c r="J445" s="1">
        <v>0.0</v>
      </c>
      <c r="K445" s="1">
        <v>0.02</v>
      </c>
      <c r="L445" s="1">
        <v>2490000.0</v>
      </c>
      <c r="M445" s="1" t="s">
        <v>4106</v>
      </c>
      <c r="N445" s="18">
        <v>46036.0</v>
      </c>
      <c r="O445" s="1" t="s">
        <v>4107</v>
      </c>
      <c r="P445" s="1" t="s">
        <v>3230</v>
      </c>
      <c r="Q445" s="1" t="s">
        <v>3408</v>
      </c>
    </row>
    <row r="446">
      <c r="A446" s="1" t="s">
        <v>4108</v>
      </c>
      <c r="B446" s="1">
        <v>18.0</v>
      </c>
      <c r="C446" s="1">
        <v>70.0</v>
      </c>
      <c r="D446" s="2" t="s">
        <v>665</v>
      </c>
      <c r="E446" s="1">
        <v>18.0</v>
      </c>
      <c r="G446" s="1">
        <v>11.37</v>
      </c>
      <c r="H446" s="1">
        <v>0.0</v>
      </c>
      <c r="I446" s="1">
        <v>0.0</v>
      </c>
      <c r="J446" s="1">
        <v>0.0</v>
      </c>
      <c r="K446" s="1">
        <v>0.75</v>
      </c>
      <c r="L446" s="1">
        <v>372000.0</v>
      </c>
      <c r="M446" s="1" t="s">
        <v>4109</v>
      </c>
      <c r="N446" s="18">
        <v>46035.0</v>
      </c>
      <c r="O446" s="1" t="s">
        <v>4110</v>
      </c>
      <c r="P446" s="1" t="s">
        <v>3257</v>
      </c>
      <c r="Q446" s="1" t="s">
        <v>3408</v>
      </c>
    </row>
    <row r="447">
      <c r="A447" s="1" t="s">
        <v>4111</v>
      </c>
      <c r="B447" s="1">
        <v>18.0</v>
      </c>
      <c r="C447" s="1">
        <v>50.0</v>
      </c>
      <c r="D447" s="2" t="s">
        <v>714</v>
      </c>
      <c r="E447" s="1">
        <v>18.0</v>
      </c>
      <c r="F447" s="1">
        <v>7.0</v>
      </c>
      <c r="G447" s="1">
        <v>0.0</v>
      </c>
      <c r="H447" s="1">
        <v>0.0</v>
      </c>
      <c r="I447" s="1">
        <v>0.0</v>
      </c>
      <c r="J447" s="1">
        <v>0.0</v>
      </c>
      <c r="K447" s="1">
        <v>0.0</v>
      </c>
      <c r="L447" s="1">
        <v>131000.0</v>
      </c>
      <c r="M447" s="1" t="s">
        <v>4112</v>
      </c>
      <c r="N447" s="18">
        <v>46031.0</v>
      </c>
      <c r="O447" s="1" t="s">
        <v>4113</v>
      </c>
      <c r="P447" s="1" t="s">
        <v>3230</v>
      </c>
      <c r="Q447" s="1" t="s">
        <v>3408</v>
      </c>
    </row>
    <row r="448">
      <c r="A448" s="1" t="s">
        <v>4114</v>
      </c>
      <c r="B448" s="1">
        <v>18.0</v>
      </c>
      <c r="C448" s="1">
        <v>40.0</v>
      </c>
      <c r="D448" s="2" t="s">
        <v>598</v>
      </c>
      <c r="E448" s="1">
        <v>18.0</v>
      </c>
      <c r="F448" s="1">
        <v>7.0</v>
      </c>
      <c r="G448" s="1">
        <v>22.8</v>
      </c>
      <c r="H448" s="1">
        <v>0.0</v>
      </c>
      <c r="I448" s="1">
        <v>0.0</v>
      </c>
      <c r="J448" s="1">
        <v>0.0</v>
      </c>
      <c r="K448" s="1">
        <v>0.54</v>
      </c>
      <c r="L448" s="1">
        <v>83700.0</v>
      </c>
      <c r="M448" s="1" t="s">
        <v>4115</v>
      </c>
      <c r="N448" s="18">
        <v>46028.0</v>
      </c>
      <c r="O448" s="1" t="s">
        <v>3673</v>
      </c>
      <c r="P448" s="1" t="s">
        <v>3257</v>
      </c>
      <c r="Q448" s="1" t="s">
        <v>3408</v>
      </c>
    </row>
    <row r="449">
      <c r="A449" s="1" t="s">
        <v>4116</v>
      </c>
      <c r="B449" s="1">
        <v>18.0</v>
      </c>
      <c r="C449" s="1">
        <v>170.0</v>
      </c>
      <c r="D449" s="2" t="s">
        <v>2416</v>
      </c>
      <c r="E449" s="1">
        <v>18.0</v>
      </c>
      <c r="F449" s="1">
        <v>10.0</v>
      </c>
      <c r="G449" s="1">
        <v>0.0</v>
      </c>
      <c r="H449" s="1">
        <v>0.0</v>
      </c>
      <c r="I449" s="1">
        <v>0.0</v>
      </c>
      <c r="J449" s="1">
        <v>0.0</v>
      </c>
      <c r="K449" s="1">
        <v>0.0</v>
      </c>
      <c r="L449" s="1">
        <v>507000.0</v>
      </c>
      <c r="M449" s="1" t="s">
        <v>4117</v>
      </c>
      <c r="N449" s="18">
        <v>46027.0</v>
      </c>
      <c r="O449" s="1" t="s">
        <v>4118</v>
      </c>
      <c r="P449" s="1" t="s">
        <v>3230</v>
      </c>
      <c r="Q449" s="1" t="s">
        <v>3408</v>
      </c>
    </row>
    <row r="450">
      <c r="A450" s="1" t="s">
        <v>4119</v>
      </c>
      <c r="B450" s="1">
        <v>18.0</v>
      </c>
      <c r="C450" s="1">
        <v>40.0</v>
      </c>
      <c r="D450" s="2" t="s">
        <v>439</v>
      </c>
      <c r="E450" s="1">
        <v>18.0</v>
      </c>
      <c r="F450" s="1">
        <v>11.0</v>
      </c>
      <c r="G450" s="1">
        <v>0.0</v>
      </c>
      <c r="H450" s="1">
        <v>0.0</v>
      </c>
      <c r="I450" s="1">
        <v>0.0</v>
      </c>
      <c r="J450" s="1">
        <v>0.0</v>
      </c>
      <c r="K450" s="1">
        <v>0.0</v>
      </c>
      <c r="L450" s="1">
        <v>2740.0</v>
      </c>
      <c r="M450" s="1" t="s">
        <v>4120</v>
      </c>
      <c r="N450" s="18">
        <v>46025.0</v>
      </c>
      <c r="O450" s="1" t="s">
        <v>4121</v>
      </c>
      <c r="P450" s="1" t="s">
        <v>3301</v>
      </c>
      <c r="Q450" s="1" t="s">
        <v>3408</v>
      </c>
    </row>
    <row r="451">
      <c r="A451" s="1" t="s">
        <v>4122</v>
      </c>
      <c r="B451" s="1">
        <v>18.0</v>
      </c>
      <c r="C451" s="1">
        <v>50.0</v>
      </c>
      <c r="D451" s="2" t="s">
        <v>1318</v>
      </c>
      <c r="E451" s="1">
        <v>18.0</v>
      </c>
      <c r="F451" s="1">
        <v>33.0</v>
      </c>
      <c r="G451" s="1">
        <v>0.0</v>
      </c>
      <c r="H451" s="1">
        <v>0.0</v>
      </c>
      <c r="I451" s="1">
        <v>0.0</v>
      </c>
      <c r="J451" s="1">
        <v>0.0</v>
      </c>
      <c r="K451" s="1">
        <v>0.0</v>
      </c>
      <c r="L451" s="1">
        <v>1.02E7</v>
      </c>
      <c r="M451" s="1" t="s">
        <v>4123</v>
      </c>
      <c r="N451" s="18">
        <v>46021.0</v>
      </c>
      <c r="O451" s="1" t="s">
        <v>3482</v>
      </c>
      <c r="P451" s="1" t="s">
        <v>3257</v>
      </c>
      <c r="Q451" s="1" t="s">
        <v>3408</v>
      </c>
    </row>
    <row r="452">
      <c r="A452" s="1" t="s">
        <v>4124</v>
      </c>
      <c r="B452" s="1">
        <v>18.0</v>
      </c>
      <c r="C452" s="1">
        <v>40.0</v>
      </c>
      <c r="D452" s="2" t="s">
        <v>2971</v>
      </c>
      <c r="E452" s="1">
        <v>18.0</v>
      </c>
      <c r="F452" s="1">
        <v>3.0</v>
      </c>
      <c r="G452" s="1">
        <v>0.0</v>
      </c>
      <c r="H452" s="1">
        <v>0.0</v>
      </c>
      <c r="I452" s="1">
        <v>0.0</v>
      </c>
      <c r="J452" s="1">
        <v>0.0</v>
      </c>
      <c r="K452" s="1">
        <v>0.0</v>
      </c>
      <c r="L452" s="1">
        <v>85400.0</v>
      </c>
      <c r="M452" s="1" t="s">
        <v>4125</v>
      </c>
      <c r="N452" s="18">
        <v>46021.0</v>
      </c>
      <c r="O452" s="1" t="s">
        <v>4126</v>
      </c>
      <c r="P452" s="1" t="s">
        <v>3301</v>
      </c>
      <c r="Q452" s="1" t="s">
        <v>3408</v>
      </c>
    </row>
    <row r="453">
      <c r="A453" s="1" t="s">
        <v>4127</v>
      </c>
      <c r="B453" s="1">
        <v>18.0</v>
      </c>
      <c r="C453" s="1">
        <v>210.0</v>
      </c>
      <c r="D453" s="2" t="s">
        <v>694</v>
      </c>
      <c r="E453" s="1">
        <v>18.0</v>
      </c>
      <c r="F453" s="1">
        <v>14.0</v>
      </c>
      <c r="G453" s="1">
        <v>0.05</v>
      </c>
      <c r="H453" s="1">
        <v>0.0</v>
      </c>
      <c r="I453" s="1">
        <v>0.0</v>
      </c>
      <c r="J453" s="1">
        <v>0.0</v>
      </c>
      <c r="K453" s="1">
        <v>0.08</v>
      </c>
      <c r="L453" s="1">
        <v>2780000.0</v>
      </c>
      <c r="M453" s="1" t="s">
        <v>4128</v>
      </c>
      <c r="N453" s="18">
        <v>46019.0</v>
      </c>
      <c r="O453" s="1" t="s">
        <v>4129</v>
      </c>
      <c r="P453" s="1" t="s">
        <v>3230</v>
      </c>
      <c r="Q453" s="1" t="s">
        <v>3408</v>
      </c>
    </row>
    <row r="454">
      <c r="A454" s="1" t="s">
        <v>4130</v>
      </c>
      <c r="B454" s="1">
        <v>18.0</v>
      </c>
      <c r="C454" s="1">
        <v>40.0</v>
      </c>
      <c r="D454" s="2" t="s">
        <v>2930</v>
      </c>
      <c r="E454" s="1">
        <v>18.0</v>
      </c>
      <c r="F454" s="1">
        <v>31.0</v>
      </c>
      <c r="G454" s="1">
        <v>0.0</v>
      </c>
      <c r="H454" s="1">
        <v>0.0</v>
      </c>
      <c r="I454" s="1">
        <v>0.0</v>
      </c>
      <c r="J454" s="1">
        <v>0.0</v>
      </c>
      <c r="K454" s="1">
        <v>0.33</v>
      </c>
      <c r="L454" s="1">
        <v>9410000.0</v>
      </c>
      <c r="M454" s="1" t="s">
        <v>4131</v>
      </c>
      <c r="N454" s="18">
        <v>46015.0</v>
      </c>
      <c r="O454" s="1" t="s">
        <v>3895</v>
      </c>
      <c r="P454" s="1" t="s">
        <v>3230</v>
      </c>
      <c r="Q454" s="1" t="s">
        <v>3408</v>
      </c>
    </row>
    <row r="455">
      <c r="A455" s="1" t="s">
        <v>4132</v>
      </c>
      <c r="B455" s="1">
        <v>18.0</v>
      </c>
      <c r="C455" s="1">
        <v>70.0</v>
      </c>
      <c r="D455" s="2" t="s">
        <v>714</v>
      </c>
      <c r="E455" s="1">
        <v>18.0</v>
      </c>
      <c r="F455" s="1">
        <v>2.0</v>
      </c>
      <c r="G455" s="1">
        <v>0.0</v>
      </c>
      <c r="H455" s="1">
        <v>0.0</v>
      </c>
      <c r="I455" s="1">
        <v>0.0</v>
      </c>
      <c r="J455" s="1">
        <v>0.0</v>
      </c>
      <c r="K455" s="1">
        <v>0.33</v>
      </c>
      <c r="L455" s="1">
        <v>250000.0</v>
      </c>
      <c r="M455" s="1" t="s">
        <v>4133</v>
      </c>
      <c r="N455" s="18">
        <v>46015.0</v>
      </c>
      <c r="O455" s="1" t="s">
        <v>4134</v>
      </c>
      <c r="P455" s="1" t="s">
        <v>3334</v>
      </c>
      <c r="Q455" s="1" t="s">
        <v>3408</v>
      </c>
    </row>
    <row r="456">
      <c r="A456" s="1" t="s">
        <v>4135</v>
      </c>
      <c r="B456" s="1">
        <v>18.0</v>
      </c>
      <c r="C456" s="1">
        <v>110.0</v>
      </c>
      <c r="D456" s="2" t="s">
        <v>2408</v>
      </c>
      <c r="E456" s="1">
        <v>18.0</v>
      </c>
      <c r="F456" s="1">
        <v>2.0</v>
      </c>
      <c r="G456" s="1">
        <v>0.0</v>
      </c>
      <c r="H456" s="1">
        <v>0.0</v>
      </c>
      <c r="I456" s="1">
        <v>0.0</v>
      </c>
      <c r="J456" s="1">
        <v>0.0</v>
      </c>
      <c r="K456" s="1">
        <v>0.0</v>
      </c>
      <c r="L456" s="1">
        <v>2090000.0</v>
      </c>
      <c r="M456" s="1" t="s">
        <v>4136</v>
      </c>
      <c r="N456" s="18">
        <v>46011.0</v>
      </c>
      <c r="O456" s="1" t="s">
        <v>3840</v>
      </c>
      <c r="P456" s="1" t="s">
        <v>3230</v>
      </c>
      <c r="Q456" s="1" t="s">
        <v>3408</v>
      </c>
    </row>
    <row r="457">
      <c r="A457" s="1" t="s">
        <v>3480</v>
      </c>
      <c r="B457" s="1">
        <v>18.0</v>
      </c>
      <c r="C457" s="1">
        <v>50.0</v>
      </c>
      <c r="D457" s="2" t="s">
        <v>581</v>
      </c>
      <c r="E457" s="1">
        <v>18.0</v>
      </c>
      <c r="F457" s="1">
        <v>23.0</v>
      </c>
      <c r="G457" s="1">
        <v>7.8</v>
      </c>
      <c r="H457" s="1">
        <v>0.0</v>
      </c>
      <c r="I457" s="1">
        <v>0.0</v>
      </c>
      <c r="J457" s="1">
        <v>0.0</v>
      </c>
      <c r="K457" s="1">
        <v>0.52</v>
      </c>
      <c r="L457" s="1">
        <v>61800.0</v>
      </c>
      <c r="M457" s="1" t="s">
        <v>3481</v>
      </c>
      <c r="N457" s="18">
        <v>46008.0</v>
      </c>
      <c r="O457" s="1" t="s">
        <v>3482</v>
      </c>
      <c r="P457" s="1" t="s">
        <v>3257</v>
      </c>
      <c r="Q457" s="1" t="s">
        <v>3408</v>
      </c>
    </row>
    <row r="458">
      <c r="A458" s="1" t="s">
        <v>3676</v>
      </c>
      <c r="B458" s="1">
        <v>18.0</v>
      </c>
      <c r="C458" s="1">
        <v>210.0</v>
      </c>
      <c r="D458" s="2" t="s">
        <v>581</v>
      </c>
      <c r="E458" s="1">
        <v>18.0</v>
      </c>
      <c r="F458" s="1">
        <v>25.0</v>
      </c>
      <c r="G458" s="1">
        <v>17.92</v>
      </c>
      <c r="H458" s="1">
        <v>0.0</v>
      </c>
      <c r="I458" s="1">
        <v>0.0</v>
      </c>
      <c r="J458" s="1">
        <v>0.0</v>
      </c>
      <c r="K458" s="1">
        <v>0.32</v>
      </c>
      <c r="L458" s="1">
        <v>44700.0</v>
      </c>
      <c r="M458" s="1" t="s">
        <v>3677</v>
      </c>
      <c r="N458" s="18">
        <v>46007.0</v>
      </c>
      <c r="O458" s="1" t="s">
        <v>3288</v>
      </c>
      <c r="P458" s="1" t="s">
        <v>3257</v>
      </c>
      <c r="Q458" s="1" t="s">
        <v>3408</v>
      </c>
    </row>
    <row r="459">
      <c r="A459" s="1" t="s">
        <v>4137</v>
      </c>
      <c r="B459" s="1">
        <v>18.0</v>
      </c>
      <c r="C459" s="1">
        <v>70.0</v>
      </c>
      <c r="D459" s="2" t="s">
        <v>2253</v>
      </c>
      <c r="E459" s="1">
        <v>18.0</v>
      </c>
      <c r="F459" s="1">
        <v>5.0</v>
      </c>
      <c r="G459" s="1">
        <v>0.0</v>
      </c>
      <c r="H459" s="1">
        <v>0.0</v>
      </c>
      <c r="I459" s="1">
        <v>0.0</v>
      </c>
      <c r="J459" s="1">
        <v>0.0</v>
      </c>
      <c r="K459" s="1">
        <v>0.0</v>
      </c>
      <c r="L459" s="1">
        <v>3.46E8</v>
      </c>
      <c r="M459" s="1" t="s">
        <v>4138</v>
      </c>
      <c r="N459" s="18">
        <v>46006.0</v>
      </c>
      <c r="O459" s="1" t="s">
        <v>3264</v>
      </c>
      <c r="P459" s="1" t="s">
        <v>3230</v>
      </c>
      <c r="Q459" s="1" t="s">
        <v>3408</v>
      </c>
    </row>
    <row r="460">
      <c r="A460" s="1" t="s">
        <v>4139</v>
      </c>
      <c r="B460" s="1">
        <v>18.0</v>
      </c>
      <c r="C460" s="1">
        <v>70.0</v>
      </c>
      <c r="D460" s="2" t="s">
        <v>2416</v>
      </c>
      <c r="E460" s="1">
        <v>18.0</v>
      </c>
      <c r="F460" s="1">
        <v>6.0</v>
      </c>
      <c r="G460" s="1">
        <v>0.0</v>
      </c>
      <c r="H460" s="1">
        <v>0.0</v>
      </c>
      <c r="I460" s="1">
        <v>0.0</v>
      </c>
      <c r="J460" s="1">
        <v>0.0</v>
      </c>
      <c r="K460" s="1">
        <v>0.0</v>
      </c>
      <c r="L460" s="1">
        <v>883000.0</v>
      </c>
      <c r="M460" s="1" t="s">
        <v>4140</v>
      </c>
      <c r="N460" s="18">
        <v>46005.0</v>
      </c>
      <c r="O460" s="1" t="s">
        <v>4003</v>
      </c>
      <c r="P460" s="1" t="s">
        <v>3230</v>
      </c>
      <c r="Q460" s="1" t="s">
        <v>3408</v>
      </c>
    </row>
    <row r="461">
      <c r="A461" s="1" t="s">
        <v>4141</v>
      </c>
      <c r="B461" s="1">
        <v>18.0</v>
      </c>
      <c r="C461" s="1">
        <v>70.0</v>
      </c>
      <c r="D461" s="2" t="s">
        <v>2930</v>
      </c>
      <c r="E461" s="1">
        <v>18.0</v>
      </c>
      <c r="F461" s="1">
        <v>35.0</v>
      </c>
      <c r="G461" s="1">
        <v>0.0</v>
      </c>
      <c r="H461" s="1">
        <v>0.0</v>
      </c>
      <c r="I461" s="1">
        <v>0.0</v>
      </c>
      <c r="J461" s="1">
        <v>0.0</v>
      </c>
      <c r="K461" s="1">
        <v>0.01</v>
      </c>
      <c r="L461" s="1">
        <v>6990000.0</v>
      </c>
      <c r="M461" s="1" t="s">
        <v>4142</v>
      </c>
      <c r="N461" s="18">
        <v>46003.0</v>
      </c>
      <c r="O461" s="1" t="s">
        <v>4143</v>
      </c>
      <c r="P461" s="1" t="s">
        <v>3230</v>
      </c>
      <c r="Q461" s="1" t="s">
        <v>3408</v>
      </c>
    </row>
    <row r="462">
      <c r="A462" s="1" t="s">
        <v>4144</v>
      </c>
      <c r="B462" s="1">
        <v>18.0</v>
      </c>
      <c r="C462" s="1">
        <v>1000.0</v>
      </c>
      <c r="D462" s="2" t="s">
        <v>770</v>
      </c>
      <c r="E462" s="1">
        <v>18.0</v>
      </c>
      <c r="F462" s="1">
        <v>58.0</v>
      </c>
      <c r="G462" s="1">
        <v>0.0</v>
      </c>
      <c r="H462" s="1">
        <v>1.0</v>
      </c>
      <c r="I462" s="1">
        <v>0.06</v>
      </c>
      <c r="J462" s="1">
        <v>0.0</v>
      </c>
      <c r="K462" s="1">
        <v>0.0</v>
      </c>
      <c r="L462" s="1">
        <v>5.86E7</v>
      </c>
      <c r="M462" s="1" t="s">
        <v>4145</v>
      </c>
      <c r="N462" s="18">
        <v>45999.0</v>
      </c>
      <c r="O462" s="1" t="s">
        <v>4146</v>
      </c>
      <c r="P462" s="1" t="s">
        <v>3230</v>
      </c>
      <c r="Q462" s="1" t="s">
        <v>3408</v>
      </c>
    </row>
    <row r="463">
      <c r="A463" s="1" t="s">
        <v>4147</v>
      </c>
      <c r="B463" s="1">
        <v>18.0</v>
      </c>
      <c r="C463" s="1">
        <v>40.0</v>
      </c>
      <c r="D463" s="2" t="s">
        <v>2930</v>
      </c>
      <c r="E463" s="1">
        <v>18.0</v>
      </c>
      <c r="F463" s="1">
        <v>19.0</v>
      </c>
      <c r="G463" s="1">
        <v>0.0</v>
      </c>
      <c r="H463" s="1">
        <v>0.0</v>
      </c>
      <c r="I463" s="1">
        <v>0.0</v>
      </c>
      <c r="J463" s="1">
        <v>0.0</v>
      </c>
      <c r="K463" s="1">
        <v>0.02</v>
      </c>
      <c r="L463" s="1">
        <v>6830000.0</v>
      </c>
      <c r="M463" s="1" t="s">
        <v>4148</v>
      </c>
      <c r="N463" s="18">
        <v>45996.0</v>
      </c>
      <c r="O463" s="1" t="s">
        <v>3895</v>
      </c>
      <c r="P463" s="1" t="s">
        <v>3230</v>
      </c>
      <c r="Q463" s="1" t="s">
        <v>3408</v>
      </c>
    </row>
    <row r="464">
      <c r="A464" s="1" t="s">
        <v>4149</v>
      </c>
      <c r="B464" s="1">
        <v>18.0</v>
      </c>
      <c r="C464" s="1">
        <v>40.0</v>
      </c>
      <c r="D464" s="2" t="s">
        <v>2930</v>
      </c>
      <c r="E464" s="1">
        <v>18.0</v>
      </c>
      <c r="F464" s="1">
        <v>19.0</v>
      </c>
      <c r="G464" s="1">
        <v>0.0</v>
      </c>
      <c r="H464" s="1">
        <v>0.0</v>
      </c>
      <c r="I464" s="1">
        <v>0.0</v>
      </c>
      <c r="J464" s="1">
        <v>0.0</v>
      </c>
      <c r="K464" s="1">
        <v>0.02</v>
      </c>
      <c r="L464" s="1">
        <v>6770000.0</v>
      </c>
      <c r="M464" s="1" t="s">
        <v>4086</v>
      </c>
      <c r="N464" s="18">
        <v>45996.0</v>
      </c>
      <c r="O464" s="1" t="s">
        <v>4150</v>
      </c>
      <c r="P464" s="1" t="s">
        <v>3230</v>
      </c>
      <c r="Q464" s="1" t="s">
        <v>3408</v>
      </c>
    </row>
    <row r="465">
      <c r="A465" s="1" t="s">
        <v>3563</v>
      </c>
      <c r="B465" s="1">
        <v>18.0</v>
      </c>
      <c r="C465" s="1">
        <v>390.0</v>
      </c>
      <c r="D465" s="2" t="s">
        <v>694</v>
      </c>
      <c r="E465" s="1">
        <v>18.0</v>
      </c>
      <c r="F465" s="1">
        <v>0.0</v>
      </c>
      <c r="G465" s="1">
        <v>0.21</v>
      </c>
      <c r="H465" s="1">
        <v>0.0</v>
      </c>
      <c r="I465" s="1">
        <v>0.0</v>
      </c>
      <c r="J465" s="1">
        <v>0.0</v>
      </c>
      <c r="K465" s="1">
        <v>0.04</v>
      </c>
      <c r="L465" s="1">
        <v>10.0</v>
      </c>
      <c r="M465" s="1" t="s">
        <v>3564</v>
      </c>
      <c r="N465" s="18">
        <v>45980.0</v>
      </c>
      <c r="O465" s="1" t="s">
        <v>3565</v>
      </c>
      <c r="P465" s="1" t="s">
        <v>3230</v>
      </c>
      <c r="Q465" s="1" t="s">
        <v>3408</v>
      </c>
    </row>
    <row r="466">
      <c r="A466" s="1" t="s">
        <v>3781</v>
      </c>
      <c r="B466" s="1">
        <v>19.0</v>
      </c>
      <c r="C466" s="1">
        <v>210.0</v>
      </c>
      <c r="D466" s="2" t="s">
        <v>581</v>
      </c>
      <c r="E466" s="1">
        <v>19.0</v>
      </c>
      <c r="F466" s="1">
        <v>18.0</v>
      </c>
      <c r="G466" s="1">
        <v>15.04</v>
      </c>
      <c r="H466" s="1">
        <v>0.0</v>
      </c>
      <c r="I466" s="1">
        <v>0.0</v>
      </c>
      <c r="J466" s="1">
        <v>0.0</v>
      </c>
      <c r="K466" s="1">
        <v>0.82</v>
      </c>
      <c r="L466" s="1">
        <v>42500.0</v>
      </c>
      <c r="M466" s="1" t="s">
        <v>3782</v>
      </c>
      <c r="N466" s="18">
        <v>46041.0</v>
      </c>
      <c r="O466" s="1" t="s">
        <v>3355</v>
      </c>
      <c r="P466" s="1" t="s">
        <v>3257</v>
      </c>
      <c r="Q466" s="1" t="s">
        <v>3408</v>
      </c>
    </row>
    <row r="467">
      <c r="A467" s="1" t="s">
        <v>3253</v>
      </c>
      <c r="B467" s="1">
        <v>19.0</v>
      </c>
      <c r="C467" s="1">
        <v>40.0</v>
      </c>
      <c r="D467" s="2" t="s">
        <v>581</v>
      </c>
      <c r="E467" s="1">
        <v>19.0</v>
      </c>
      <c r="F467" s="1">
        <v>36.0</v>
      </c>
      <c r="G467" s="1">
        <v>12.07</v>
      </c>
      <c r="H467" s="1">
        <v>0.0</v>
      </c>
      <c r="I467" s="1">
        <v>0.0</v>
      </c>
      <c r="J467" s="1">
        <v>0.0</v>
      </c>
      <c r="K467" s="1">
        <v>0.52</v>
      </c>
      <c r="L467" s="1">
        <v>63600.0</v>
      </c>
      <c r="M467" s="1" t="s">
        <v>3255</v>
      </c>
      <c r="N467" s="18">
        <v>46041.0</v>
      </c>
      <c r="O467" s="1" t="s">
        <v>3256</v>
      </c>
      <c r="P467" s="1" t="s">
        <v>3257</v>
      </c>
      <c r="Q467" s="1" t="s">
        <v>3408</v>
      </c>
    </row>
    <row r="468">
      <c r="A468" s="1" t="s">
        <v>4151</v>
      </c>
      <c r="B468" s="1">
        <v>19.0</v>
      </c>
      <c r="C468" s="1">
        <v>90.0</v>
      </c>
      <c r="D468" s="2" t="s">
        <v>835</v>
      </c>
      <c r="E468" s="1">
        <v>19.0</v>
      </c>
      <c r="F468" s="1">
        <v>19.0</v>
      </c>
      <c r="G468" s="1">
        <v>0.0</v>
      </c>
      <c r="H468" s="1">
        <v>0.0</v>
      </c>
      <c r="I468" s="1">
        <v>0.0</v>
      </c>
      <c r="J468" s="1">
        <v>0.0</v>
      </c>
      <c r="K468" s="1">
        <v>0.0</v>
      </c>
      <c r="L468" s="1">
        <v>1.37E7</v>
      </c>
      <c r="M468" s="1" t="s">
        <v>4152</v>
      </c>
      <c r="N468" s="18">
        <v>46036.0</v>
      </c>
      <c r="O468" s="1" t="s">
        <v>3264</v>
      </c>
      <c r="P468" s="1" t="s">
        <v>3230</v>
      </c>
      <c r="Q468" s="1" t="s">
        <v>3408</v>
      </c>
    </row>
    <row r="469">
      <c r="A469" s="1" t="s">
        <v>4153</v>
      </c>
      <c r="B469" s="1">
        <v>19.0</v>
      </c>
      <c r="C469" s="1">
        <v>90.0</v>
      </c>
      <c r="D469" s="2" t="s">
        <v>2930</v>
      </c>
      <c r="E469" s="1">
        <v>19.0</v>
      </c>
      <c r="F469" s="1">
        <v>33.0</v>
      </c>
      <c r="G469" s="1">
        <v>0.0</v>
      </c>
      <c r="H469" s="1">
        <v>0.0</v>
      </c>
      <c r="I469" s="1">
        <v>0.0</v>
      </c>
      <c r="J469" s="1">
        <v>0.0</v>
      </c>
      <c r="K469" s="1">
        <v>0.01</v>
      </c>
      <c r="L469" s="1">
        <v>6740000.0</v>
      </c>
      <c r="M469" s="1" t="s">
        <v>4154</v>
      </c>
      <c r="N469" s="18">
        <v>46036.0</v>
      </c>
      <c r="O469" s="1" t="s">
        <v>4155</v>
      </c>
      <c r="P469" s="1" t="s">
        <v>3230</v>
      </c>
      <c r="Q469" s="1" t="s">
        <v>3408</v>
      </c>
    </row>
    <row r="470">
      <c r="A470" s="1" t="s">
        <v>4156</v>
      </c>
      <c r="B470" s="1">
        <v>19.0</v>
      </c>
      <c r="C470" s="1">
        <v>210.0</v>
      </c>
      <c r="D470" s="2" t="s">
        <v>694</v>
      </c>
      <c r="E470" s="1">
        <v>19.0</v>
      </c>
      <c r="F470" s="1">
        <v>10.0</v>
      </c>
      <c r="G470" s="1">
        <v>0.58</v>
      </c>
      <c r="H470" s="1">
        <v>0.0</v>
      </c>
      <c r="I470" s="1">
        <v>0.0</v>
      </c>
      <c r="J470" s="1">
        <v>0.0</v>
      </c>
      <c r="K470" s="1">
        <v>0.08</v>
      </c>
      <c r="L470" s="1">
        <v>2540000.0</v>
      </c>
      <c r="M470" s="1" t="s">
        <v>4157</v>
      </c>
      <c r="N470" s="18">
        <v>46036.0</v>
      </c>
      <c r="O470" s="1" t="s">
        <v>3264</v>
      </c>
      <c r="P470" s="1" t="s">
        <v>3230</v>
      </c>
      <c r="Q470" s="1" t="s">
        <v>3408</v>
      </c>
    </row>
    <row r="471">
      <c r="A471" s="1" t="s">
        <v>3694</v>
      </c>
      <c r="B471" s="1">
        <v>19.0</v>
      </c>
      <c r="C471" s="1">
        <v>50.0</v>
      </c>
      <c r="D471" s="2" t="s">
        <v>581</v>
      </c>
      <c r="E471" s="1">
        <v>19.0</v>
      </c>
      <c r="F471" s="1">
        <v>14.0</v>
      </c>
      <c r="G471" s="1">
        <v>0.0</v>
      </c>
      <c r="H471" s="1">
        <v>0.0</v>
      </c>
      <c r="I471" s="1">
        <v>0.0</v>
      </c>
      <c r="J471" s="1">
        <v>0.0</v>
      </c>
      <c r="K471" s="1">
        <v>0.0</v>
      </c>
      <c r="L471" s="1">
        <v>34200.0</v>
      </c>
      <c r="M471" s="1" t="s">
        <v>3695</v>
      </c>
      <c r="N471" s="18">
        <v>46030.0</v>
      </c>
      <c r="O471" s="1" t="s">
        <v>3455</v>
      </c>
      <c r="P471" s="1" t="s">
        <v>3257</v>
      </c>
      <c r="Q471" s="1" t="s">
        <v>3408</v>
      </c>
    </row>
    <row r="472">
      <c r="A472" s="1" t="s">
        <v>4158</v>
      </c>
      <c r="B472" s="1">
        <v>19.0</v>
      </c>
      <c r="C472" s="1">
        <v>590.0</v>
      </c>
      <c r="D472" s="2" t="s">
        <v>2957</v>
      </c>
      <c r="E472" s="1">
        <v>19.0</v>
      </c>
      <c r="F472" s="1">
        <v>19.0</v>
      </c>
      <c r="G472" s="1">
        <v>13.47</v>
      </c>
      <c r="H472" s="1">
        <v>0.0</v>
      </c>
      <c r="I472" s="1">
        <v>0.0</v>
      </c>
      <c r="J472" s="1">
        <v>0.0</v>
      </c>
      <c r="K472" s="1">
        <v>0.19</v>
      </c>
      <c r="L472" s="1">
        <v>1100000.0</v>
      </c>
      <c r="M472" s="1" t="s">
        <v>4159</v>
      </c>
      <c r="N472" s="18">
        <v>46029.0</v>
      </c>
      <c r="O472" s="1" t="s">
        <v>3653</v>
      </c>
      <c r="P472" s="1" t="s">
        <v>3257</v>
      </c>
      <c r="Q472" s="1" t="s">
        <v>3408</v>
      </c>
    </row>
    <row r="473">
      <c r="A473" s="1" t="s">
        <v>4160</v>
      </c>
      <c r="B473" s="1">
        <v>19.0</v>
      </c>
      <c r="C473" s="1">
        <v>320.0</v>
      </c>
      <c r="D473" s="2" t="s">
        <v>2930</v>
      </c>
      <c r="E473" s="1">
        <v>19.0</v>
      </c>
      <c r="F473" s="1">
        <v>43.0</v>
      </c>
      <c r="G473" s="1">
        <v>0.0</v>
      </c>
      <c r="H473" s="1">
        <v>0.0</v>
      </c>
      <c r="I473" s="1">
        <v>0.0</v>
      </c>
      <c r="J473" s="1">
        <v>0.0</v>
      </c>
      <c r="K473" s="1">
        <v>0.0</v>
      </c>
      <c r="L473" s="1">
        <v>2.89E8</v>
      </c>
      <c r="M473" s="1" t="s">
        <v>4161</v>
      </c>
      <c r="N473" s="18">
        <v>46026.0</v>
      </c>
      <c r="O473" s="1" t="s">
        <v>4162</v>
      </c>
      <c r="P473" s="1" t="s">
        <v>3301</v>
      </c>
      <c r="Q473" s="1" t="s">
        <v>3408</v>
      </c>
    </row>
    <row r="474">
      <c r="A474" s="1" t="s">
        <v>3704</v>
      </c>
      <c r="B474" s="1">
        <v>19.0</v>
      </c>
      <c r="C474" s="1">
        <v>140.0</v>
      </c>
      <c r="D474" s="2" t="s">
        <v>584</v>
      </c>
      <c r="E474" s="1">
        <v>19.0</v>
      </c>
      <c r="F474" s="1">
        <v>20.0</v>
      </c>
      <c r="G474" s="1">
        <v>16.24</v>
      </c>
      <c r="H474" s="1">
        <v>0.0</v>
      </c>
      <c r="I474" s="1">
        <v>0.0</v>
      </c>
      <c r="J474" s="1">
        <v>0.0</v>
      </c>
      <c r="K474" s="1">
        <v>0.67</v>
      </c>
      <c r="L474" s="1">
        <v>47200.0</v>
      </c>
      <c r="M474" s="1" t="s">
        <v>3705</v>
      </c>
      <c r="N474" s="18">
        <v>46023.0</v>
      </c>
      <c r="O474" s="1" t="s">
        <v>3706</v>
      </c>
      <c r="P474" s="1" t="s">
        <v>3257</v>
      </c>
      <c r="Q474" s="1" t="s">
        <v>3408</v>
      </c>
    </row>
    <row r="475">
      <c r="A475" s="1" t="s">
        <v>3707</v>
      </c>
      <c r="B475" s="1">
        <v>19.0</v>
      </c>
      <c r="C475" s="1">
        <v>210.0</v>
      </c>
      <c r="D475" s="2" t="s">
        <v>581</v>
      </c>
      <c r="E475" s="1">
        <v>19.0</v>
      </c>
      <c r="F475" s="1">
        <v>31.0</v>
      </c>
      <c r="G475" s="1">
        <v>16.24</v>
      </c>
      <c r="H475" s="1">
        <v>0.0</v>
      </c>
      <c r="I475" s="1">
        <v>0.0</v>
      </c>
      <c r="J475" s="1">
        <v>0.0</v>
      </c>
      <c r="K475" s="1">
        <v>0.67</v>
      </c>
      <c r="L475" s="1">
        <v>141000.0</v>
      </c>
      <c r="M475" s="1" t="s">
        <v>3708</v>
      </c>
      <c r="N475" s="18">
        <v>46022.0</v>
      </c>
      <c r="O475" s="1" t="s">
        <v>3673</v>
      </c>
      <c r="P475" s="1" t="s">
        <v>3257</v>
      </c>
      <c r="Q475" s="1" t="s">
        <v>3408</v>
      </c>
    </row>
    <row r="476">
      <c r="A476" s="1" t="s">
        <v>4163</v>
      </c>
      <c r="B476" s="1">
        <v>19.0</v>
      </c>
      <c r="C476" s="1">
        <v>40.0</v>
      </c>
      <c r="D476" s="2" t="s">
        <v>581</v>
      </c>
      <c r="E476" s="1">
        <v>19.0</v>
      </c>
      <c r="G476" s="1">
        <v>0.0</v>
      </c>
      <c r="H476" s="1">
        <v>0.0</v>
      </c>
      <c r="I476" s="1">
        <v>0.0</v>
      </c>
      <c r="J476" s="1">
        <v>0.0</v>
      </c>
      <c r="K476" s="1">
        <v>0.0</v>
      </c>
      <c r="L476" s="1">
        <v>892000.0</v>
      </c>
      <c r="M476" s="1" t="s">
        <v>4164</v>
      </c>
      <c r="N476" s="18">
        <v>46021.0</v>
      </c>
      <c r="O476" s="1" t="s">
        <v>4165</v>
      </c>
      <c r="P476" s="1" t="s">
        <v>3257</v>
      </c>
      <c r="Q476" s="1" t="s">
        <v>3408</v>
      </c>
    </row>
    <row r="477">
      <c r="A477" s="1" t="s">
        <v>4166</v>
      </c>
      <c r="B477" s="1">
        <v>19.0</v>
      </c>
      <c r="C477" s="1">
        <v>1300.0</v>
      </c>
      <c r="D477" s="2" t="s">
        <v>2331</v>
      </c>
      <c r="E477" s="1">
        <v>19.0</v>
      </c>
      <c r="F477" s="1">
        <v>26.0</v>
      </c>
      <c r="G477" s="1">
        <v>0.0</v>
      </c>
      <c r="H477" s="1">
        <v>1.0</v>
      </c>
      <c r="I477" s="1">
        <v>0.06</v>
      </c>
      <c r="J477" s="1">
        <v>0.0</v>
      </c>
      <c r="K477" s="1">
        <v>0.0</v>
      </c>
      <c r="L477" s="1">
        <v>6700000.0</v>
      </c>
      <c r="M477" s="1" t="s">
        <v>4167</v>
      </c>
      <c r="N477" s="18">
        <v>46018.0</v>
      </c>
      <c r="O477" s="1" t="s">
        <v>3700</v>
      </c>
      <c r="P477" s="1" t="s">
        <v>3230</v>
      </c>
      <c r="Q477" s="1" t="s">
        <v>3408</v>
      </c>
    </row>
    <row r="478">
      <c r="A478" s="1" t="s">
        <v>4168</v>
      </c>
      <c r="B478" s="1">
        <v>19.0</v>
      </c>
      <c r="C478" s="1">
        <v>50.0</v>
      </c>
      <c r="D478" s="2" t="s">
        <v>638</v>
      </c>
      <c r="E478" s="1">
        <v>19.0</v>
      </c>
      <c r="F478" s="1">
        <v>3.0</v>
      </c>
      <c r="G478" s="1">
        <v>1.1</v>
      </c>
      <c r="H478" s="1">
        <v>0.0</v>
      </c>
      <c r="I478" s="1">
        <v>0.0</v>
      </c>
      <c r="J478" s="1">
        <v>0.0</v>
      </c>
      <c r="K478" s="1">
        <v>0.14</v>
      </c>
      <c r="L478" s="1">
        <v>1630000.0</v>
      </c>
      <c r="M478" s="1" t="s">
        <v>4169</v>
      </c>
      <c r="N478" s="18">
        <v>46017.0</v>
      </c>
      <c r="O478" s="1" t="s">
        <v>3284</v>
      </c>
      <c r="P478" s="1" t="s">
        <v>3230</v>
      </c>
      <c r="Q478" s="1" t="s">
        <v>3408</v>
      </c>
    </row>
    <row r="479">
      <c r="A479" s="1" t="s">
        <v>4170</v>
      </c>
      <c r="B479" s="1">
        <v>19.0</v>
      </c>
      <c r="C479" s="1">
        <v>30.0</v>
      </c>
      <c r="D479" s="2" t="s">
        <v>1103</v>
      </c>
      <c r="E479" s="1">
        <v>19.0</v>
      </c>
      <c r="F479" s="1">
        <v>22.0</v>
      </c>
      <c r="G479" s="1">
        <v>5.04</v>
      </c>
      <c r="H479" s="1">
        <v>0.0</v>
      </c>
      <c r="I479" s="1">
        <v>0.0</v>
      </c>
      <c r="J479" s="1">
        <v>0.0</v>
      </c>
      <c r="K479" s="1">
        <v>0.11</v>
      </c>
      <c r="L479" s="1">
        <v>1.61E7</v>
      </c>
      <c r="M479" s="1" t="s">
        <v>4171</v>
      </c>
      <c r="N479" s="18">
        <v>46016.0</v>
      </c>
      <c r="O479" s="1" t="s">
        <v>4172</v>
      </c>
      <c r="P479" s="1" t="s">
        <v>3230</v>
      </c>
      <c r="Q479" s="1" t="s">
        <v>3408</v>
      </c>
    </row>
    <row r="480">
      <c r="A480" s="1" t="s">
        <v>4173</v>
      </c>
      <c r="B480" s="1">
        <v>19.0</v>
      </c>
      <c r="C480" s="1">
        <v>70.0</v>
      </c>
      <c r="D480" s="2" t="s">
        <v>581</v>
      </c>
      <c r="E480" s="1">
        <v>19.0</v>
      </c>
      <c r="F480" s="1">
        <v>23.0</v>
      </c>
      <c r="G480" s="1">
        <v>5.81</v>
      </c>
      <c r="H480" s="1">
        <v>0.0</v>
      </c>
      <c r="I480" s="1">
        <v>0.0</v>
      </c>
      <c r="J480" s="1">
        <v>0.0</v>
      </c>
      <c r="K480" s="1">
        <v>0.14</v>
      </c>
      <c r="L480" s="1">
        <v>2.46E8</v>
      </c>
      <c r="M480" s="1" t="s">
        <v>4174</v>
      </c>
      <c r="N480" s="18">
        <v>46015.0</v>
      </c>
      <c r="O480" s="1" t="s">
        <v>3455</v>
      </c>
      <c r="P480" s="1" t="s">
        <v>3294</v>
      </c>
      <c r="Q480" s="1" t="s">
        <v>3408</v>
      </c>
    </row>
    <row r="481">
      <c r="A481" s="1" t="s">
        <v>3742</v>
      </c>
      <c r="B481" s="1">
        <v>19.0</v>
      </c>
      <c r="C481" s="1">
        <v>110.0</v>
      </c>
      <c r="D481" s="2" t="s">
        <v>581</v>
      </c>
      <c r="E481" s="1">
        <v>19.0</v>
      </c>
      <c r="F481" s="1">
        <v>20.0</v>
      </c>
      <c r="G481" s="1">
        <v>16.13</v>
      </c>
      <c r="H481" s="1">
        <v>0.0</v>
      </c>
      <c r="I481" s="1">
        <v>0.0</v>
      </c>
      <c r="J481" s="1">
        <v>0.0</v>
      </c>
      <c r="K481" s="1">
        <v>0.58</v>
      </c>
      <c r="L481" s="1">
        <v>42700.0</v>
      </c>
      <c r="M481" s="1" t="s">
        <v>3743</v>
      </c>
      <c r="N481" s="18">
        <v>46015.0</v>
      </c>
      <c r="O481" s="1" t="s">
        <v>3458</v>
      </c>
      <c r="P481" s="1" t="s">
        <v>3257</v>
      </c>
      <c r="Q481" s="1" t="s">
        <v>3408</v>
      </c>
    </row>
    <row r="482">
      <c r="A482" s="1" t="s">
        <v>4175</v>
      </c>
      <c r="B482" s="1">
        <v>19.0</v>
      </c>
      <c r="C482" s="1">
        <v>50.0</v>
      </c>
      <c r="D482" s="2" t="s">
        <v>581</v>
      </c>
      <c r="E482" s="1">
        <v>19.0</v>
      </c>
      <c r="F482" s="1">
        <v>20.0</v>
      </c>
      <c r="G482" s="1">
        <v>2.95</v>
      </c>
      <c r="H482" s="1">
        <v>0.0</v>
      </c>
      <c r="I482" s="1">
        <v>0.0</v>
      </c>
      <c r="J482" s="1">
        <v>0.0</v>
      </c>
      <c r="K482" s="1">
        <v>0.18</v>
      </c>
      <c r="L482" s="1">
        <v>4.59E7</v>
      </c>
      <c r="M482" s="1" t="s">
        <v>4176</v>
      </c>
      <c r="N482" s="18">
        <v>46014.0</v>
      </c>
      <c r="O482" s="1" t="s">
        <v>4177</v>
      </c>
      <c r="P482" s="1" t="s">
        <v>3294</v>
      </c>
      <c r="Q482" s="1" t="s">
        <v>3408</v>
      </c>
    </row>
    <row r="483">
      <c r="A483" s="1" t="s">
        <v>4178</v>
      </c>
      <c r="B483" s="1">
        <v>19.0</v>
      </c>
      <c r="C483" s="1">
        <v>30.0</v>
      </c>
      <c r="D483" s="2" t="s">
        <v>2167</v>
      </c>
      <c r="E483" s="1">
        <v>19.0</v>
      </c>
      <c r="F483" s="1">
        <v>18.0</v>
      </c>
      <c r="G483" s="1">
        <v>3.29</v>
      </c>
      <c r="H483" s="1">
        <v>0.0</v>
      </c>
      <c r="I483" s="1">
        <v>0.0</v>
      </c>
      <c r="J483" s="1">
        <v>0.0</v>
      </c>
      <c r="K483" s="1">
        <v>0.82</v>
      </c>
      <c r="L483" s="1">
        <v>80600.0</v>
      </c>
      <c r="M483" s="1" t="s">
        <v>4179</v>
      </c>
      <c r="N483" s="18">
        <v>46013.0</v>
      </c>
      <c r="O483" s="1" t="s">
        <v>4180</v>
      </c>
      <c r="P483" s="1" t="s">
        <v>3301</v>
      </c>
      <c r="Q483" s="1" t="s">
        <v>3408</v>
      </c>
    </row>
    <row r="484">
      <c r="A484" s="1" t="s">
        <v>4181</v>
      </c>
      <c r="B484" s="1">
        <v>19.0</v>
      </c>
      <c r="C484" s="1">
        <v>140.0</v>
      </c>
      <c r="D484" s="2" t="s">
        <v>581</v>
      </c>
      <c r="E484" s="1">
        <v>19.0</v>
      </c>
      <c r="F484" s="1">
        <v>28.0</v>
      </c>
      <c r="G484" s="1">
        <v>14.11</v>
      </c>
      <c r="H484" s="1">
        <v>0.0</v>
      </c>
      <c r="I484" s="1">
        <v>0.0</v>
      </c>
      <c r="J484" s="1">
        <v>0.0</v>
      </c>
      <c r="K484" s="1">
        <v>0.6</v>
      </c>
      <c r="L484" s="1">
        <v>54200.0</v>
      </c>
      <c r="M484" s="1" t="s">
        <v>4182</v>
      </c>
      <c r="N484" s="18">
        <v>46012.0</v>
      </c>
      <c r="O484" s="1" t="s">
        <v>4183</v>
      </c>
      <c r="P484" s="1" t="s">
        <v>3257</v>
      </c>
      <c r="Q484" s="1" t="s">
        <v>3408</v>
      </c>
    </row>
    <row r="485">
      <c r="A485" s="1" t="s">
        <v>4184</v>
      </c>
      <c r="B485" s="1">
        <v>19.0</v>
      </c>
      <c r="C485" s="1">
        <v>70.0</v>
      </c>
      <c r="D485" s="2" t="s">
        <v>1546</v>
      </c>
      <c r="E485" s="1">
        <v>19.0</v>
      </c>
      <c r="F485" s="1">
        <v>11.0</v>
      </c>
      <c r="G485" s="1">
        <v>0.52</v>
      </c>
      <c r="H485" s="1">
        <v>0.0</v>
      </c>
      <c r="I485" s="1">
        <v>0.0</v>
      </c>
      <c r="J485" s="1">
        <v>0.0</v>
      </c>
      <c r="K485" s="1">
        <v>0.25</v>
      </c>
      <c r="L485" s="1">
        <v>1.93E8</v>
      </c>
      <c r="M485" s="1" t="s">
        <v>4185</v>
      </c>
      <c r="N485" s="18">
        <v>46011.0</v>
      </c>
      <c r="O485" s="1" t="s">
        <v>3499</v>
      </c>
      <c r="P485" s="1" t="s">
        <v>3230</v>
      </c>
      <c r="Q485" s="1" t="s">
        <v>3408</v>
      </c>
    </row>
    <row r="486">
      <c r="A486" s="1" t="s">
        <v>4186</v>
      </c>
      <c r="B486" s="1">
        <v>19.0</v>
      </c>
      <c r="C486" s="1">
        <v>110.0</v>
      </c>
      <c r="D486" s="2" t="s">
        <v>2930</v>
      </c>
      <c r="E486" s="1">
        <v>19.0</v>
      </c>
      <c r="F486" s="1">
        <v>36.0</v>
      </c>
      <c r="G486" s="1">
        <v>0.0</v>
      </c>
      <c r="H486" s="1">
        <v>0.0</v>
      </c>
      <c r="I486" s="1">
        <v>0.0</v>
      </c>
      <c r="J486" s="1">
        <v>0.0</v>
      </c>
      <c r="K486" s="1">
        <v>0.0</v>
      </c>
      <c r="L486" s="1">
        <v>1100000.0</v>
      </c>
      <c r="M486" s="1" t="s">
        <v>4187</v>
      </c>
      <c r="N486" s="18">
        <v>46011.0</v>
      </c>
      <c r="O486" s="1" t="s">
        <v>4033</v>
      </c>
      <c r="P486" s="1" t="s">
        <v>3230</v>
      </c>
      <c r="Q486" s="1" t="s">
        <v>3408</v>
      </c>
    </row>
    <row r="487">
      <c r="A487" s="1" t="s">
        <v>4188</v>
      </c>
      <c r="B487" s="1">
        <v>19.0</v>
      </c>
      <c r="C487" s="1">
        <v>210.0</v>
      </c>
      <c r="D487" s="2" t="s">
        <v>2416</v>
      </c>
      <c r="E487" s="1">
        <v>19.0</v>
      </c>
      <c r="F487" s="1">
        <v>6.0</v>
      </c>
      <c r="G487" s="1">
        <v>0.0</v>
      </c>
      <c r="H487" s="1">
        <v>0.0</v>
      </c>
      <c r="I487" s="1">
        <v>0.0</v>
      </c>
      <c r="J487" s="1">
        <v>0.0</v>
      </c>
      <c r="K487" s="1">
        <v>0.0</v>
      </c>
      <c r="L487" s="1">
        <v>175000.0</v>
      </c>
      <c r="M487" s="1" t="s">
        <v>4189</v>
      </c>
      <c r="N487" s="18">
        <v>46007.0</v>
      </c>
      <c r="O487" s="1" t="s">
        <v>4003</v>
      </c>
      <c r="P487" s="1" t="s">
        <v>3230</v>
      </c>
      <c r="Q487" s="1" t="s">
        <v>3408</v>
      </c>
    </row>
    <row r="488">
      <c r="A488" s="1" t="s">
        <v>4190</v>
      </c>
      <c r="B488" s="1">
        <v>19.0</v>
      </c>
      <c r="C488" s="1">
        <v>260.0</v>
      </c>
      <c r="D488" s="2" t="s">
        <v>2930</v>
      </c>
      <c r="E488" s="1">
        <v>19.0</v>
      </c>
      <c r="F488" s="1">
        <v>56.0</v>
      </c>
      <c r="G488" s="1">
        <v>0.0</v>
      </c>
      <c r="H488" s="1">
        <v>0.0</v>
      </c>
      <c r="I488" s="1">
        <v>0.0</v>
      </c>
      <c r="J488" s="1">
        <v>0.0</v>
      </c>
      <c r="K488" s="1">
        <v>0.0</v>
      </c>
      <c r="L488" s="1">
        <v>6760000.0</v>
      </c>
      <c r="M488" s="1" t="s">
        <v>4191</v>
      </c>
      <c r="N488" s="18">
        <v>46007.0</v>
      </c>
      <c r="O488" s="1" t="s">
        <v>4143</v>
      </c>
      <c r="P488" s="1" t="s">
        <v>3230</v>
      </c>
      <c r="Q488" s="1" t="s">
        <v>3408</v>
      </c>
    </row>
    <row r="489">
      <c r="A489" s="1" t="s">
        <v>4192</v>
      </c>
      <c r="B489" s="1">
        <v>19.0</v>
      </c>
      <c r="C489" s="1">
        <v>170.0</v>
      </c>
      <c r="D489" s="2" t="s">
        <v>694</v>
      </c>
      <c r="E489" s="1">
        <v>19.0</v>
      </c>
      <c r="F489" s="1">
        <v>22.0</v>
      </c>
      <c r="G489" s="1">
        <v>0.42</v>
      </c>
      <c r="H489" s="1">
        <v>0.0</v>
      </c>
      <c r="I489" s="1">
        <v>0.0</v>
      </c>
      <c r="J489" s="1">
        <v>0.0</v>
      </c>
      <c r="K489" s="1">
        <v>0.2</v>
      </c>
      <c r="L489" s="1">
        <v>6440000.0</v>
      </c>
      <c r="M489" s="1" t="s">
        <v>4193</v>
      </c>
      <c r="N489" s="18">
        <v>46005.0</v>
      </c>
      <c r="O489" s="1" t="s">
        <v>3840</v>
      </c>
      <c r="P489" s="1" t="s">
        <v>3230</v>
      </c>
      <c r="Q489" s="1" t="s">
        <v>3408</v>
      </c>
    </row>
    <row r="490">
      <c r="A490" s="1" t="s">
        <v>3494</v>
      </c>
      <c r="B490" s="1">
        <v>19.0</v>
      </c>
      <c r="C490" s="1">
        <v>110.0</v>
      </c>
      <c r="D490" s="2" t="s">
        <v>694</v>
      </c>
      <c r="E490" s="1">
        <v>19.0</v>
      </c>
      <c r="F490" s="1">
        <v>20.0</v>
      </c>
      <c r="G490" s="1">
        <v>0.16</v>
      </c>
      <c r="H490" s="1">
        <v>0.0</v>
      </c>
      <c r="I490" s="1">
        <v>0.0</v>
      </c>
      <c r="J490" s="1">
        <v>0.0</v>
      </c>
      <c r="K490" s="1">
        <v>0.28</v>
      </c>
      <c r="L490" s="1">
        <v>6070000.0</v>
      </c>
      <c r="M490" s="1" t="s">
        <v>3495</v>
      </c>
      <c r="N490" s="18">
        <v>46002.0</v>
      </c>
      <c r="O490" s="1" t="s">
        <v>3496</v>
      </c>
      <c r="P490" s="1" t="s">
        <v>3230</v>
      </c>
      <c r="Q490" s="1" t="s">
        <v>3408</v>
      </c>
    </row>
    <row r="491">
      <c r="A491" s="1" t="s">
        <v>4194</v>
      </c>
      <c r="B491" s="1">
        <v>19.0</v>
      </c>
      <c r="C491" s="1">
        <v>40.0</v>
      </c>
      <c r="D491" s="2" t="s">
        <v>694</v>
      </c>
      <c r="E491" s="1">
        <v>19.0</v>
      </c>
      <c r="F491" s="1">
        <v>10.0</v>
      </c>
      <c r="G491" s="1">
        <v>0.33</v>
      </c>
      <c r="H491" s="1">
        <v>0.0</v>
      </c>
      <c r="I491" s="1">
        <v>0.0</v>
      </c>
      <c r="J491" s="1">
        <v>0.0</v>
      </c>
      <c r="K491" s="1">
        <v>0.29</v>
      </c>
      <c r="L491" s="1">
        <v>949000.0</v>
      </c>
      <c r="M491" s="1" t="s">
        <v>3945</v>
      </c>
      <c r="N491" s="18">
        <v>45987.0</v>
      </c>
      <c r="O491" s="1" t="s">
        <v>3541</v>
      </c>
      <c r="P491" s="1" t="s">
        <v>3230</v>
      </c>
      <c r="Q491" s="1" t="s">
        <v>3408</v>
      </c>
    </row>
    <row r="492">
      <c r="A492" s="1" t="s">
        <v>4195</v>
      </c>
      <c r="B492" s="1">
        <v>19.0</v>
      </c>
      <c r="C492" s="1">
        <v>110.0</v>
      </c>
      <c r="D492" s="2" t="s">
        <v>2416</v>
      </c>
      <c r="E492" s="1">
        <v>19.0</v>
      </c>
      <c r="F492" s="1">
        <v>11.0</v>
      </c>
      <c r="G492" s="1">
        <v>0.0</v>
      </c>
      <c r="H492" s="1">
        <v>0.0</v>
      </c>
      <c r="I492" s="1">
        <v>0.0</v>
      </c>
      <c r="J492" s="1">
        <v>0.0</v>
      </c>
      <c r="K492" s="1">
        <v>0.0</v>
      </c>
      <c r="L492" s="1">
        <v>10.0</v>
      </c>
      <c r="M492" s="1" t="s">
        <v>4196</v>
      </c>
      <c r="N492" s="18">
        <v>45985.0</v>
      </c>
      <c r="O492" s="1" t="s">
        <v>4197</v>
      </c>
      <c r="P492" s="1" t="s">
        <v>3230</v>
      </c>
      <c r="Q492" s="1" t="s">
        <v>3408</v>
      </c>
    </row>
    <row r="493">
      <c r="A493" s="1" t="s">
        <v>4198</v>
      </c>
      <c r="B493" s="1">
        <v>19.0</v>
      </c>
      <c r="C493" s="1">
        <v>210.0</v>
      </c>
      <c r="D493" s="2" t="s">
        <v>1860</v>
      </c>
      <c r="E493" s="1">
        <v>19.0</v>
      </c>
      <c r="F493" s="1">
        <v>5.0</v>
      </c>
      <c r="G493" s="1">
        <v>3.03</v>
      </c>
      <c r="H493" s="1">
        <v>0.0</v>
      </c>
      <c r="I493" s="1">
        <v>0.0</v>
      </c>
      <c r="J493" s="1">
        <v>0.0</v>
      </c>
      <c r="K493" s="1">
        <v>0.28</v>
      </c>
      <c r="L493" s="1">
        <v>7.0</v>
      </c>
      <c r="M493" s="1" t="s">
        <v>4199</v>
      </c>
      <c r="N493" s="18">
        <v>45980.0</v>
      </c>
      <c r="O493" s="1" t="s">
        <v>4200</v>
      </c>
      <c r="P493" s="1" t="s">
        <v>3230</v>
      </c>
      <c r="Q493" s="1" t="s">
        <v>3408</v>
      </c>
    </row>
    <row r="494">
      <c r="A494" s="1" t="s">
        <v>4201</v>
      </c>
      <c r="B494" s="1">
        <v>20.0</v>
      </c>
      <c r="C494" s="1">
        <v>90.0</v>
      </c>
      <c r="D494" s="2" t="s">
        <v>993</v>
      </c>
      <c r="E494" s="1">
        <v>0.0</v>
      </c>
      <c r="F494" s="1">
        <v>16.0</v>
      </c>
      <c r="G494" s="1">
        <v>0.0</v>
      </c>
      <c r="H494" s="1">
        <v>0.0</v>
      </c>
      <c r="I494" s="1">
        <v>0.0</v>
      </c>
      <c r="J494" s="1">
        <v>0.0</v>
      </c>
      <c r="K494" s="1">
        <v>0.05</v>
      </c>
      <c r="L494" s="1">
        <v>62600.0</v>
      </c>
      <c r="M494" s="1" t="s">
        <v>4202</v>
      </c>
      <c r="N494" s="18">
        <v>46042.0</v>
      </c>
      <c r="O494" s="1" t="s">
        <v>4203</v>
      </c>
      <c r="P494" s="1" t="s">
        <v>3230</v>
      </c>
      <c r="Q494" s="1" t="s">
        <v>3408</v>
      </c>
    </row>
    <row r="495">
      <c r="A495" s="1" t="s">
        <v>4204</v>
      </c>
      <c r="B495" s="1">
        <v>20.0</v>
      </c>
      <c r="C495" s="1">
        <v>40.0</v>
      </c>
      <c r="D495" s="2" t="s">
        <v>694</v>
      </c>
      <c r="E495" s="1">
        <v>20.0</v>
      </c>
      <c r="F495" s="1">
        <v>14.0</v>
      </c>
      <c r="G495" s="1">
        <v>1.12</v>
      </c>
      <c r="H495" s="1">
        <v>0.0</v>
      </c>
      <c r="I495" s="1">
        <v>0.0</v>
      </c>
      <c r="J495" s="1">
        <v>0.0</v>
      </c>
      <c r="K495" s="1">
        <v>0.37</v>
      </c>
      <c r="L495" s="1">
        <v>3060000.0</v>
      </c>
      <c r="M495" s="1" t="s">
        <v>4205</v>
      </c>
      <c r="N495" s="18">
        <v>46036.0</v>
      </c>
      <c r="O495" s="1" t="s">
        <v>3269</v>
      </c>
      <c r="P495" s="1" t="s">
        <v>3230</v>
      </c>
      <c r="Q495" s="1" t="s">
        <v>3408</v>
      </c>
    </row>
    <row r="496">
      <c r="A496" s="1" t="s">
        <v>4206</v>
      </c>
      <c r="B496" s="1">
        <v>20.0</v>
      </c>
      <c r="C496" s="1">
        <v>110.0</v>
      </c>
      <c r="D496" s="2" t="s">
        <v>665</v>
      </c>
      <c r="E496" s="1">
        <v>20.0</v>
      </c>
      <c r="F496" s="1">
        <v>14.0</v>
      </c>
      <c r="G496" s="1">
        <v>11.37</v>
      </c>
      <c r="H496" s="1">
        <v>0.0</v>
      </c>
      <c r="I496" s="1">
        <v>0.0</v>
      </c>
      <c r="J496" s="1">
        <v>0.0</v>
      </c>
      <c r="K496" s="1">
        <v>0.75</v>
      </c>
      <c r="L496" s="1">
        <v>317000.0</v>
      </c>
      <c r="M496" s="1" t="s">
        <v>4207</v>
      </c>
      <c r="N496" s="18">
        <v>46034.0</v>
      </c>
      <c r="O496" s="1" t="s">
        <v>4208</v>
      </c>
      <c r="P496" s="1" t="s">
        <v>3257</v>
      </c>
      <c r="Q496" s="1" t="s">
        <v>3408</v>
      </c>
    </row>
    <row r="497">
      <c r="A497" s="1" t="s">
        <v>4209</v>
      </c>
      <c r="B497" s="1">
        <v>20.0</v>
      </c>
      <c r="C497" s="1">
        <v>480.0</v>
      </c>
      <c r="D497" s="2" t="s">
        <v>2930</v>
      </c>
      <c r="E497" s="1">
        <v>20.0</v>
      </c>
      <c r="F497" s="1">
        <v>24.0</v>
      </c>
      <c r="G497" s="1">
        <v>0.63</v>
      </c>
      <c r="H497" s="1">
        <v>0.0</v>
      </c>
      <c r="I497" s="1">
        <v>0.0</v>
      </c>
      <c r="J497" s="1">
        <v>0.0</v>
      </c>
      <c r="K497" s="1">
        <v>0.01</v>
      </c>
      <c r="L497" s="1">
        <v>6800000.0</v>
      </c>
      <c r="M497" s="1" t="s">
        <v>4210</v>
      </c>
      <c r="N497" s="18">
        <v>46029.0</v>
      </c>
      <c r="O497" s="1" t="s">
        <v>3525</v>
      </c>
      <c r="P497" s="1" t="s">
        <v>3230</v>
      </c>
      <c r="Q497" s="1" t="s">
        <v>3408</v>
      </c>
    </row>
    <row r="498">
      <c r="A498" s="1" t="s">
        <v>4211</v>
      </c>
      <c r="B498" s="1">
        <v>20.0</v>
      </c>
      <c r="C498" s="1">
        <v>140.0</v>
      </c>
      <c r="D498" s="2" t="s">
        <v>2103</v>
      </c>
      <c r="E498" s="1">
        <v>20.0</v>
      </c>
      <c r="F498" s="1">
        <v>14.0</v>
      </c>
      <c r="G498" s="1">
        <v>0.0</v>
      </c>
      <c r="H498" s="1">
        <v>0.0</v>
      </c>
      <c r="I498" s="1">
        <v>0.0</v>
      </c>
      <c r="J498" s="1">
        <v>0.0</v>
      </c>
      <c r="K498" s="1">
        <v>0.0</v>
      </c>
      <c r="L498" s="1">
        <v>285000.0</v>
      </c>
      <c r="M498" s="1" t="s">
        <v>4212</v>
      </c>
      <c r="N498" s="18">
        <v>46028.0</v>
      </c>
      <c r="O498" s="1" t="s">
        <v>4172</v>
      </c>
      <c r="P498" s="1" t="s">
        <v>3230</v>
      </c>
      <c r="Q498" s="1" t="s">
        <v>3408</v>
      </c>
    </row>
    <row r="499">
      <c r="A499" s="1" t="s">
        <v>3696</v>
      </c>
      <c r="B499" s="1">
        <v>20.0</v>
      </c>
      <c r="C499" s="1">
        <v>70.0</v>
      </c>
      <c r="D499" s="2" t="s">
        <v>581</v>
      </c>
      <c r="E499" s="1">
        <v>20.0</v>
      </c>
      <c r="F499" s="1">
        <v>12.0</v>
      </c>
      <c r="G499" s="1">
        <v>11.04</v>
      </c>
      <c r="H499" s="1">
        <v>0.0</v>
      </c>
      <c r="I499" s="1">
        <v>0.0</v>
      </c>
      <c r="J499" s="1">
        <v>0.0</v>
      </c>
      <c r="K499" s="1">
        <v>0.47</v>
      </c>
      <c r="L499" s="1">
        <v>245000.0</v>
      </c>
      <c r="M499" s="1" t="s">
        <v>3697</v>
      </c>
      <c r="N499" s="18">
        <v>46028.0</v>
      </c>
      <c r="O499" s="1" t="s">
        <v>3686</v>
      </c>
      <c r="P499" s="1" t="s">
        <v>3257</v>
      </c>
      <c r="Q499" s="1" t="s">
        <v>3408</v>
      </c>
    </row>
    <row r="500">
      <c r="A500" s="1" t="s">
        <v>4213</v>
      </c>
      <c r="B500" s="1">
        <v>20.0</v>
      </c>
      <c r="C500" s="1">
        <v>110.0</v>
      </c>
      <c r="D500" s="2" t="s">
        <v>2930</v>
      </c>
      <c r="E500" s="1">
        <v>20.0</v>
      </c>
      <c r="F500" s="1">
        <v>45.0</v>
      </c>
      <c r="G500" s="1">
        <v>0.0</v>
      </c>
      <c r="H500" s="1">
        <v>0.0</v>
      </c>
      <c r="I500" s="1">
        <v>0.0</v>
      </c>
      <c r="J500" s="1">
        <v>0.0</v>
      </c>
      <c r="K500" s="1">
        <v>0.0</v>
      </c>
      <c r="L500" s="1">
        <v>4070000.0</v>
      </c>
      <c r="M500" s="1" t="s">
        <v>4214</v>
      </c>
      <c r="N500" s="18">
        <v>46027.0</v>
      </c>
      <c r="O500" s="1" t="s">
        <v>4143</v>
      </c>
      <c r="P500" s="1" t="s">
        <v>3230</v>
      </c>
      <c r="Q500" s="1" t="s">
        <v>3408</v>
      </c>
    </row>
    <row r="501">
      <c r="A501" s="1" t="s">
        <v>4215</v>
      </c>
      <c r="B501" s="1">
        <v>20.0</v>
      </c>
      <c r="C501" s="1">
        <v>110.0</v>
      </c>
      <c r="D501" s="2" t="s">
        <v>2930</v>
      </c>
      <c r="E501" s="1">
        <v>20.0</v>
      </c>
      <c r="F501" s="1">
        <v>38.0</v>
      </c>
      <c r="G501" s="1">
        <v>0.0</v>
      </c>
      <c r="H501" s="1">
        <v>0.0</v>
      </c>
      <c r="I501" s="1">
        <v>0.0</v>
      </c>
      <c r="J501" s="1">
        <v>0.0</v>
      </c>
      <c r="K501" s="1">
        <v>0.01</v>
      </c>
      <c r="L501" s="1">
        <v>3.76E8</v>
      </c>
      <c r="M501" s="1" t="s">
        <v>4216</v>
      </c>
      <c r="N501" s="18">
        <v>46026.0</v>
      </c>
      <c r="O501" s="1" t="s">
        <v>4217</v>
      </c>
      <c r="P501" s="1" t="s">
        <v>3230</v>
      </c>
      <c r="Q501" s="1" t="s">
        <v>3408</v>
      </c>
    </row>
    <row r="502">
      <c r="A502" s="1" t="s">
        <v>4218</v>
      </c>
      <c r="B502" s="1">
        <v>20.0</v>
      </c>
      <c r="C502" s="1">
        <v>70.0</v>
      </c>
      <c r="D502" s="2" t="s">
        <v>888</v>
      </c>
      <c r="E502" s="1">
        <v>20.0</v>
      </c>
      <c r="F502" s="1">
        <v>0.0</v>
      </c>
      <c r="G502" s="1">
        <v>2.78</v>
      </c>
      <c r="H502" s="1">
        <v>0.0</v>
      </c>
      <c r="I502" s="1">
        <v>0.0</v>
      </c>
      <c r="J502" s="1">
        <v>0.0</v>
      </c>
      <c r="K502" s="1">
        <v>0.5</v>
      </c>
      <c r="L502" s="1">
        <v>549000.0</v>
      </c>
      <c r="M502" s="1" t="s">
        <v>4219</v>
      </c>
      <c r="N502" s="18">
        <v>46025.0</v>
      </c>
      <c r="O502" s="1" t="s">
        <v>4084</v>
      </c>
      <c r="P502" s="1" t="s">
        <v>3257</v>
      </c>
      <c r="Q502" s="1" t="s">
        <v>3408</v>
      </c>
    </row>
    <row r="503">
      <c r="A503" s="1" t="s">
        <v>4220</v>
      </c>
      <c r="B503" s="1">
        <v>20.0</v>
      </c>
      <c r="C503" s="1">
        <v>50.0</v>
      </c>
      <c r="D503" s="2" t="s">
        <v>1436</v>
      </c>
      <c r="E503" s="1">
        <v>20.0</v>
      </c>
      <c r="F503" s="1">
        <v>31.0</v>
      </c>
      <c r="G503" s="1">
        <v>18.67</v>
      </c>
      <c r="H503" s="1">
        <v>0.0</v>
      </c>
      <c r="I503" s="1">
        <v>0.0</v>
      </c>
      <c r="J503" s="1">
        <v>0.0</v>
      </c>
      <c r="K503" s="1">
        <v>0.79</v>
      </c>
      <c r="L503" s="1">
        <v>679000.0</v>
      </c>
      <c r="M503" s="1" t="s">
        <v>4221</v>
      </c>
      <c r="N503" s="18">
        <v>46022.0</v>
      </c>
      <c r="O503" s="1" t="s">
        <v>3415</v>
      </c>
      <c r="P503" s="1" t="s">
        <v>3257</v>
      </c>
      <c r="Q503" s="1" t="s">
        <v>3408</v>
      </c>
    </row>
    <row r="504">
      <c r="A504" s="1" t="s">
        <v>4222</v>
      </c>
      <c r="B504" s="1">
        <v>20.0</v>
      </c>
      <c r="C504" s="1">
        <v>210.0</v>
      </c>
      <c r="D504" s="2" t="s">
        <v>598</v>
      </c>
      <c r="E504" s="1">
        <v>20.0</v>
      </c>
      <c r="F504" s="1">
        <v>35.0</v>
      </c>
      <c r="G504" s="1">
        <v>18.67</v>
      </c>
      <c r="H504" s="1">
        <v>0.0</v>
      </c>
      <c r="I504" s="1">
        <v>0.0</v>
      </c>
      <c r="J504" s="1">
        <v>0.0</v>
      </c>
      <c r="K504" s="1">
        <v>0.79</v>
      </c>
      <c r="L504" s="1">
        <v>436000.0</v>
      </c>
      <c r="M504" s="1" t="s">
        <v>4223</v>
      </c>
      <c r="N504" s="18">
        <v>46022.0</v>
      </c>
      <c r="O504" s="1" t="s">
        <v>3673</v>
      </c>
      <c r="P504" s="1" t="s">
        <v>3257</v>
      </c>
      <c r="Q504" s="1" t="s">
        <v>3408</v>
      </c>
    </row>
    <row r="505">
      <c r="A505" s="1" t="s">
        <v>4163</v>
      </c>
      <c r="B505" s="1">
        <v>20.0</v>
      </c>
      <c r="C505" s="1">
        <v>40.0</v>
      </c>
      <c r="D505" s="2" t="s">
        <v>581</v>
      </c>
      <c r="E505" s="1">
        <v>20.0</v>
      </c>
      <c r="G505" s="1">
        <v>0.0</v>
      </c>
      <c r="H505" s="1">
        <v>0.0</v>
      </c>
      <c r="I505" s="1">
        <v>0.0</v>
      </c>
      <c r="J505" s="1">
        <v>0.0</v>
      </c>
      <c r="K505" s="1">
        <v>0.0</v>
      </c>
      <c r="L505" s="1">
        <v>892000.0</v>
      </c>
      <c r="M505" s="1" t="s">
        <v>4164</v>
      </c>
      <c r="N505" s="18">
        <v>46021.0</v>
      </c>
      <c r="O505" s="1" t="s">
        <v>4165</v>
      </c>
      <c r="P505" s="1" t="s">
        <v>3257</v>
      </c>
      <c r="Q505" s="1" t="s">
        <v>3408</v>
      </c>
    </row>
    <row r="506">
      <c r="A506" s="1" t="s">
        <v>4224</v>
      </c>
      <c r="B506" s="1">
        <v>20.0</v>
      </c>
      <c r="C506" s="1">
        <v>70.0</v>
      </c>
      <c r="D506" s="2" t="s">
        <v>1307</v>
      </c>
      <c r="E506" s="1">
        <v>20.0</v>
      </c>
      <c r="G506" s="1">
        <v>0.0</v>
      </c>
      <c r="H506" s="1">
        <v>0.0</v>
      </c>
      <c r="I506" s="1">
        <v>0.0</v>
      </c>
      <c r="J506" s="1">
        <v>0.0</v>
      </c>
      <c r="K506" s="1">
        <v>0.0</v>
      </c>
      <c r="L506" s="1">
        <v>91800.0</v>
      </c>
      <c r="M506" s="1" t="s">
        <v>4225</v>
      </c>
      <c r="N506" s="18">
        <v>46020.0</v>
      </c>
      <c r="O506" s="1" t="s">
        <v>4226</v>
      </c>
      <c r="P506" s="1" t="s">
        <v>3334</v>
      </c>
      <c r="Q506" s="1" t="s">
        <v>3408</v>
      </c>
    </row>
    <row r="507">
      <c r="A507" s="1" t="s">
        <v>4227</v>
      </c>
      <c r="B507" s="1">
        <v>20.0</v>
      </c>
      <c r="C507" s="1">
        <v>90.0</v>
      </c>
      <c r="D507" s="2" t="s">
        <v>1868</v>
      </c>
      <c r="E507" s="1">
        <v>20.0</v>
      </c>
      <c r="F507" s="1">
        <v>21.0</v>
      </c>
      <c r="G507" s="1">
        <v>0.0</v>
      </c>
      <c r="H507" s="1">
        <v>0.0</v>
      </c>
      <c r="I507" s="1">
        <v>0.0</v>
      </c>
      <c r="J507" s="1">
        <v>0.0</v>
      </c>
      <c r="K507" s="1">
        <v>0.33</v>
      </c>
      <c r="L507" s="1">
        <v>1.29E7</v>
      </c>
      <c r="M507" s="1" t="s">
        <v>4228</v>
      </c>
      <c r="N507" s="18">
        <v>46019.0</v>
      </c>
      <c r="O507" s="1" t="s">
        <v>3840</v>
      </c>
      <c r="P507" s="1" t="s">
        <v>3230</v>
      </c>
      <c r="Q507" s="1" t="s">
        <v>3408</v>
      </c>
    </row>
    <row r="508">
      <c r="A508" s="1" t="s">
        <v>4229</v>
      </c>
      <c r="B508" s="1">
        <v>20.0</v>
      </c>
      <c r="C508" s="1">
        <v>70.0</v>
      </c>
      <c r="D508" s="2" t="s">
        <v>581</v>
      </c>
      <c r="E508" s="1">
        <v>20.0</v>
      </c>
      <c r="F508" s="1">
        <v>26.0</v>
      </c>
      <c r="G508" s="1">
        <v>13.88</v>
      </c>
      <c r="H508" s="1">
        <v>0.0</v>
      </c>
      <c r="I508" s="1">
        <v>0.0</v>
      </c>
      <c r="J508" s="1">
        <v>0.0</v>
      </c>
      <c r="K508" s="1">
        <v>0.67</v>
      </c>
      <c r="L508" s="1">
        <v>5520000.0</v>
      </c>
      <c r="M508" s="1" t="s">
        <v>4230</v>
      </c>
      <c r="N508" s="18">
        <v>46017.0</v>
      </c>
      <c r="O508" s="1" t="s">
        <v>3415</v>
      </c>
      <c r="P508" s="1" t="s">
        <v>3257</v>
      </c>
      <c r="Q508" s="1" t="s">
        <v>3408</v>
      </c>
    </row>
    <row r="509">
      <c r="A509" s="1" t="s">
        <v>3438</v>
      </c>
      <c r="B509" s="1">
        <v>20.0</v>
      </c>
      <c r="C509" s="1">
        <v>70.0</v>
      </c>
      <c r="D509" s="2" t="s">
        <v>594</v>
      </c>
      <c r="E509" s="1">
        <v>20.0</v>
      </c>
      <c r="F509" s="1">
        <v>37.0</v>
      </c>
      <c r="G509" s="1">
        <v>9.29</v>
      </c>
      <c r="H509" s="1">
        <v>0.0</v>
      </c>
      <c r="I509" s="1">
        <v>0.0</v>
      </c>
      <c r="J509" s="1">
        <v>0.0</v>
      </c>
      <c r="K509" s="1">
        <v>0.49</v>
      </c>
      <c r="L509" s="1">
        <v>75000.0</v>
      </c>
      <c r="M509" s="1" t="s">
        <v>3439</v>
      </c>
      <c r="N509" s="18">
        <v>46017.0</v>
      </c>
      <c r="O509" s="1" t="s">
        <v>3435</v>
      </c>
      <c r="P509" s="1" t="s">
        <v>3257</v>
      </c>
      <c r="Q509" s="1" t="s">
        <v>3408</v>
      </c>
    </row>
    <row r="510">
      <c r="A510" s="1" t="s">
        <v>4175</v>
      </c>
      <c r="B510" s="1">
        <v>20.0</v>
      </c>
      <c r="C510" s="1">
        <v>50.0</v>
      </c>
      <c r="D510" s="2" t="s">
        <v>581</v>
      </c>
      <c r="E510" s="1">
        <v>20.0</v>
      </c>
      <c r="F510" s="1">
        <v>20.0</v>
      </c>
      <c r="G510" s="1">
        <v>2.95</v>
      </c>
      <c r="H510" s="1">
        <v>0.0</v>
      </c>
      <c r="I510" s="1">
        <v>0.0</v>
      </c>
      <c r="J510" s="1">
        <v>0.0</v>
      </c>
      <c r="K510" s="1">
        <v>0.18</v>
      </c>
      <c r="L510" s="1">
        <v>4.59E7</v>
      </c>
      <c r="M510" s="1" t="s">
        <v>4176</v>
      </c>
      <c r="N510" s="18">
        <v>46014.0</v>
      </c>
      <c r="O510" s="1" t="s">
        <v>4177</v>
      </c>
      <c r="P510" s="1" t="s">
        <v>3294</v>
      </c>
      <c r="Q510" s="1" t="s">
        <v>3408</v>
      </c>
    </row>
    <row r="511">
      <c r="A511" s="1" t="s">
        <v>4181</v>
      </c>
      <c r="B511" s="1">
        <v>20.0</v>
      </c>
      <c r="C511" s="1">
        <v>140.0</v>
      </c>
      <c r="D511" s="2" t="s">
        <v>447</v>
      </c>
      <c r="E511" s="1">
        <v>20.0</v>
      </c>
      <c r="F511" s="1">
        <v>28.0</v>
      </c>
      <c r="G511" s="1">
        <v>14.11</v>
      </c>
      <c r="H511" s="1">
        <v>0.0</v>
      </c>
      <c r="I511" s="1">
        <v>0.0</v>
      </c>
      <c r="J511" s="1">
        <v>0.0</v>
      </c>
      <c r="K511" s="1">
        <v>0.6</v>
      </c>
      <c r="L511" s="1">
        <v>54200.0</v>
      </c>
      <c r="M511" s="1" t="s">
        <v>4182</v>
      </c>
      <c r="N511" s="18">
        <v>46012.0</v>
      </c>
      <c r="O511" s="1" t="s">
        <v>4183</v>
      </c>
      <c r="P511" s="1" t="s">
        <v>3257</v>
      </c>
      <c r="Q511" s="1" t="s">
        <v>3408</v>
      </c>
    </row>
    <row r="512">
      <c r="A512" s="1" t="s">
        <v>4231</v>
      </c>
      <c r="B512" s="1">
        <v>20.0</v>
      </c>
      <c r="C512" s="1">
        <v>70.0</v>
      </c>
      <c r="D512" s="2" t="s">
        <v>2930</v>
      </c>
      <c r="E512" s="1">
        <v>20.0</v>
      </c>
      <c r="F512" s="1">
        <v>22.0</v>
      </c>
      <c r="G512" s="1">
        <v>0.0</v>
      </c>
      <c r="H512" s="1">
        <v>0.0</v>
      </c>
      <c r="I512" s="1">
        <v>0.0</v>
      </c>
      <c r="J512" s="1">
        <v>0.0</v>
      </c>
      <c r="K512" s="1">
        <v>0.01</v>
      </c>
      <c r="L512" s="1">
        <v>1.35E8</v>
      </c>
      <c r="M512" s="1" t="s">
        <v>4232</v>
      </c>
      <c r="N512" s="18">
        <v>46011.0</v>
      </c>
      <c r="O512" s="1" t="s">
        <v>3895</v>
      </c>
      <c r="P512" s="1" t="s">
        <v>3230</v>
      </c>
      <c r="Q512" s="1" t="s">
        <v>3408</v>
      </c>
    </row>
    <row r="513">
      <c r="A513" s="1" t="s">
        <v>3711</v>
      </c>
      <c r="B513" s="1">
        <v>20.0</v>
      </c>
      <c r="C513" s="1">
        <v>70.0</v>
      </c>
      <c r="D513" s="2" t="s">
        <v>581</v>
      </c>
      <c r="E513" s="1">
        <v>20.0</v>
      </c>
      <c r="F513" s="1">
        <v>9.0</v>
      </c>
      <c r="G513" s="1">
        <v>0.0</v>
      </c>
      <c r="H513" s="1">
        <v>0.0</v>
      </c>
      <c r="I513" s="1">
        <v>0.0</v>
      </c>
      <c r="J513" s="1">
        <v>0.0</v>
      </c>
      <c r="K513" s="1">
        <v>0.0</v>
      </c>
      <c r="L513" s="1">
        <v>139000.0</v>
      </c>
      <c r="M513" s="1" t="s">
        <v>3712</v>
      </c>
      <c r="N513" s="18">
        <v>46009.0</v>
      </c>
      <c r="O513" s="1" t="s">
        <v>3713</v>
      </c>
      <c r="P513" s="1" t="s">
        <v>3257</v>
      </c>
      <c r="Q513" s="1" t="s">
        <v>3408</v>
      </c>
    </row>
    <row r="514">
      <c r="A514" s="1" t="s">
        <v>4233</v>
      </c>
      <c r="B514" s="1">
        <v>20.0</v>
      </c>
      <c r="C514" s="1">
        <v>170.0</v>
      </c>
      <c r="D514" s="2" t="s">
        <v>2930</v>
      </c>
      <c r="E514" s="1">
        <v>20.0</v>
      </c>
      <c r="F514" s="1">
        <v>37.0</v>
      </c>
      <c r="G514" s="1">
        <v>0.0</v>
      </c>
      <c r="H514" s="1">
        <v>0.0</v>
      </c>
      <c r="I514" s="1">
        <v>0.0</v>
      </c>
      <c r="J514" s="1">
        <v>0.0</v>
      </c>
      <c r="K514" s="1">
        <v>0.0</v>
      </c>
      <c r="L514" s="1">
        <v>3.24E8</v>
      </c>
      <c r="M514" s="1" t="s">
        <v>4234</v>
      </c>
      <c r="N514" s="18">
        <v>46005.0</v>
      </c>
      <c r="O514" s="1" t="s">
        <v>3479</v>
      </c>
      <c r="P514" s="1" t="s">
        <v>3230</v>
      </c>
      <c r="Q514" s="1" t="s">
        <v>3408</v>
      </c>
    </row>
    <row r="515">
      <c r="A515" s="1" t="s">
        <v>4235</v>
      </c>
      <c r="B515" s="1">
        <v>20.0</v>
      </c>
      <c r="C515" s="1">
        <v>390.0</v>
      </c>
      <c r="D515" s="2" t="s">
        <v>2930</v>
      </c>
      <c r="E515" s="1">
        <v>20.0</v>
      </c>
      <c r="F515" s="1">
        <v>24.0</v>
      </c>
      <c r="G515" s="1">
        <v>0.84</v>
      </c>
      <c r="H515" s="1">
        <v>0.0</v>
      </c>
      <c r="I515" s="1">
        <v>0.0</v>
      </c>
      <c r="J515" s="1">
        <v>0.0</v>
      </c>
      <c r="K515" s="1">
        <v>0.01</v>
      </c>
      <c r="L515" s="1">
        <v>6770000.0</v>
      </c>
      <c r="M515" s="1" t="s">
        <v>4236</v>
      </c>
      <c r="N515" s="18">
        <v>46004.0</v>
      </c>
      <c r="O515" s="1" t="s">
        <v>4217</v>
      </c>
      <c r="P515" s="1" t="s">
        <v>3230</v>
      </c>
      <c r="Q515" s="1" t="s">
        <v>3408</v>
      </c>
    </row>
    <row r="516">
      <c r="A516" s="1" t="s">
        <v>4237</v>
      </c>
      <c r="B516" s="1">
        <v>20.0</v>
      </c>
      <c r="C516" s="1">
        <v>260.0</v>
      </c>
      <c r="D516" s="2" t="s">
        <v>2930</v>
      </c>
      <c r="E516" s="1">
        <v>20.0</v>
      </c>
      <c r="F516" s="1">
        <v>51.0</v>
      </c>
      <c r="G516" s="1">
        <v>0.04</v>
      </c>
      <c r="H516" s="1">
        <v>0.0</v>
      </c>
      <c r="I516" s="1">
        <v>0.0</v>
      </c>
      <c r="J516" s="1">
        <v>0.0</v>
      </c>
      <c r="K516" s="1">
        <v>0.01</v>
      </c>
      <c r="L516" s="1">
        <v>6770000.0</v>
      </c>
      <c r="M516" s="1" t="s">
        <v>4238</v>
      </c>
      <c r="N516" s="18">
        <v>46002.0</v>
      </c>
      <c r="O516" s="1" t="s">
        <v>3525</v>
      </c>
      <c r="P516" s="1" t="s">
        <v>3230</v>
      </c>
      <c r="Q516" s="1" t="s">
        <v>3408</v>
      </c>
    </row>
    <row r="517">
      <c r="A517" s="1" t="s">
        <v>3771</v>
      </c>
      <c r="B517" s="1">
        <v>20.0</v>
      </c>
      <c r="C517" s="1">
        <v>210.0</v>
      </c>
      <c r="D517" s="2" t="s">
        <v>584</v>
      </c>
      <c r="E517" s="1">
        <v>20.0</v>
      </c>
      <c r="F517" s="1">
        <v>29.0</v>
      </c>
      <c r="G517" s="1">
        <v>17.92</v>
      </c>
      <c r="H517" s="1">
        <v>0.0</v>
      </c>
      <c r="I517" s="1">
        <v>0.0</v>
      </c>
      <c r="J517" s="1">
        <v>0.0</v>
      </c>
      <c r="K517" s="1">
        <v>0.32</v>
      </c>
      <c r="L517" s="1">
        <v>44500.0</v>
      </c>
      <c r="M517" s="1" t="s">
        <v>3772</v>
      </c>
      <c r="N517" s="18">
        <v>45998.0</v>
      </c>
      <c r="O517" s="1" t="s">
        <v>3773</v>
      </c>
      <c r="P517" s="1" t="s">
        <v>3257</v>
      </c>
      <c r="Q517" s="1" t="s">
        <v>3408</v>
      </c>
    </row>
    <row r="518">
      <c r="A518" s="1" t="s">
        <v>4239</v>
      </c>
      <c r="B518" s="1">
        <v>20.0</v>
      </c>
      <c r="C518" s="1">
        <v>170.0</v>
      </c>
      <c r="D518" s="2" t="s">
        <v>694</v>
      </c>
      <c r="E518" s="1">
        <v>20.0</v>
      </c>
      <c r="F518" s="1">
        <v>12.0</v>
      </c>
      <c r="G518" s="1">
        <v>0.3</v>
      </c>
      <c r="H518" s="1">
        <v>0.0</v>
      </c>
      <c r="I518" s="1">
        <v>0.0</v>
      </c>
      <c r="J518" s="1">
        <v>0.0</v>
      </c>
      <c r="K518" s="1">
        <v>0.13</v>
      </c>
      <c r="L518" s="1">
        <v>10.0</v>
      </c>
      <c r="M518" s="1" t="s">
        <v>4240</v>
      </c>
      <c r="N518" s="18">
        <v>45986.0</v>
      </c>
      <c r="O518" s="1" t="s">
        <v>3264</v>
      </c>
      <c r="P518" s="1" t="s">
        <v>3230</v>
      </c>
      <c r="Q518" s="1" t="s">
        <v>3408</v>
      </c>
    </row>
    <row r="519">
      <c r="A519" s="1" t="s">
        <v>3725</v>
      </c>
      <c r="B519" s="1">
        <v>20.0</v>
      </c>
      <c r="C519" s="1">
        <v>260.0</v>
      </c>
      <c r="D519" s="2" t="s">
        <v>581</v>
      </c>
      <c r="E519" s="1">
        <v>20.0</v>
      </c>
      <c r="F519" s="1">
        <v>19.0</v>
      </c>
      <c r="G519" s="1">
        <v>17.92</v>
      </c>
      <c r="H519" s="1">
        <v>0.0</v>
      </c>
      <c r="I519" s="1">
        <v>0.0</v>
      </c>
      <c r="J519" s="1">
        <v>0.0</v>
      </c>
      <c r="K519" s="1">
        <v>0.32</v>
      </c>
      <c r="L519" s="1">
        <v>10.0</v>
      </c>
      <c r="M519" s="1" t="s">
        <v>3726</v>
      </c>
      <c r="N519" s="18">
        <v>45984.0</v>
      </c>
      <c r="O519" s="1" t="s">
        <v>3727</v>
      </c>
      <c r="P519" s="1" t="s">
        <v>3257</v>
      </c>
      <c r="Q519" s="1" t="s">
        <v>3408</v>
      </c>
    </row>
    <row r="520">
      <c r="A520" s="1" t="s">
        <v>4241</v>
      </c>
      <c r="B520" s="1">
        <v>20.0</v>
      </c>
      <c r="C520" s="1">
        <v>170.0</v>
      </c>
      <c r="D520" s="2" t="s">
        <v>2416</v>
      </c>
      <c r="E520" s="1">
        <v>20.0</v>
      </c>
      <c r="F520" s="1">
        <v>12.0</v>
      </c>
      <c r="G520" s="1">
        <v>0.0</v>
      </c>
      <c r="H520" s="1">
        <v>0.0</v>
      </c>
      <c r="I520" s="1">
        <v>0.0</v>
      </c>
      <c r="J520" s="1">
        <v>0.0</v>
      </c>
      <c r="K520" s="1">
        <v>0.0</v>
      </c>
      <c r="L520" s="1">
        <v>10.0</v>
      </c>
      <c r="M520" s="1" t="s">
        <v>4242</v>
      </c>
      <c r="N520" s="18">
        <v>45978.0</v>
      </c>
      <c r="O520" s="1" t="s">
        <v>4243</v>
      </c>
      <c r="P520" s="1" t="s">
        <v>3230</v>
      </c>
      <c r="Q520" s="1" t="s">
        <v>3408</v>
      </c>
    </row>
    <row r="521">
      <c r="A521" s="1" t="s">
        <v>4244</v>
      </c>
      <c r="B521" s="1">
        <v>21.0</v>
      </c>
      <c r="C521" s="1">
        <v>140.0</v>
      </c>
      <c r="D521" s="2" t="s">
        <v>2971</v>
      </c>
      <c r="E521" s="1">
        <v>21.0</v>
      </c>
      <c r="F521" s="1">
        <v>3.0</v>
      </c>
      <c r="G521" s="1">
        <v>0.0</v>
      </c>
      <c r="H521" s="1">
        <v>0.0</v>
      </c>
      <c r="I521" s="1">
        <v>0.0</v>
      </c>
      <c r="J521" s="1">
        <v>0.0</v>
      </c>
      <c r="K521" s="1">
        <v>0.05</v>
      </c>
      <c r="L521" s="1">
        <v>133000.0</v>
      </c>
      <c r="M521" s="1" t="s">
        <v>4245</v>
      </c>
      <c r="N521" s="18">
        <v>46039.0</v>
      </c>
      <c r="O521" s="1" t="s">
        <v>3482</v>
      </c>
      <c r="P521" s="1" t="s">
        <v>3334</v>
      </c>
      <c r="Q521" s="1" t="s">
        <v>3408</v>
      </c>
    </row>
    <row r="522">
      <c r="A522" s="1" t="s">
        <v>4246</v>
      </c>
      <c r="B522" s="1">
        <v>21.0</v>
      </c>
      <c r="C522" s="1">
        <v>50.0</v>
      </c>
      <c r="D522" s="2" t="s">
        <v>2930</v>
      </c>
      <c r="E522" s="1">
        <v>21.0</v>
      </c>
      <c r="G522" s="1">
        <v>0.0</v>
      </c>
      <c r="H522" s="1">
        <v>0.0</v>
      </c>
      <c r="I522" s="1">
        <v>0.0</v>
      </c>
      <c r="J522" s="1">
        <v>0.0</v>
      </c>
      <c r="K522" s="1">
        <v>0.01</v>
      </c>
      <c r="L522" s="1">
        <v>3.34E8</v>
      </c>
      <c r="M522" s="1" t="s">
        <v>4247</v>
      </c>
      <c r="N522" s="18">
        <v>46036.0</v>
      </c>
      <c r="O522" s="1" t="s">
        <v>3314</v>
      </c>
      <c r="P522" s="1" t="s">
        <v>3230</v>
      </c>
      <c r="Q522" s="1" t="s">
        <v>3408</v>
      </c>
    </row>
    <row r="523">
      <c r="A523" s="1" t="s">
        <v>4248</v>
      </c>
      <c r="B523" s="1">
        <v>21.0</v>
      </c>
      <c r="C523" s="1">
        <v>590.0</v>
      </c>
      <c r="D523" s="2" t="s">
        <v>2416</v>
      </c>
      <c r="E523" s="1">
        <v>21.0</v>
      </c>
      <c r="F523" s="1">
        <v>19.0</v>
      </c>
      <c r="G523" s="1">
        <v>0.0</v>
      </c>
      <c r="H523" s="1">
        <v>0.0</v>
      </c>
      <c r="I523" s="1">
        <v>0.0</v>
      </c>
      <c r="J523" s="1">
        <v>0.0</v>
      </c>
      <c r="K523" s="1">
        <v>0.0</v>
      </c>
      <c r="L523" s="1">
        <v>697000.0</v>
      </c>
      <c r="M523" s="1" t="s">
        <v>4249</v>
      </c>
      <c r="N523" s="18">
        <v>46036.0</v>
      </c>
      <c r="O523" s="1" t="s">
        <v>4250</v>
      </c>
      <c r="P523" s="1" t="s">
        <v>3230</v>
      </c>
      <c r="Q523" s="1" t="s">
        <v>3408</v>
      </c>
    </row>
    <row r="524">
      <c r="A524" s="1" t="s">
        <v>4209</v>
      </c>
      <c r="B524" s="1">
        <v>21.0</v>
      </c>
      <c r="C524" s="1">
        <v>480.0</v>
      </c>
      <c r="D524" s="2" t="s">
        <v>2930</v>
      </c>
      <c r="E524" s="1">
        <v>21.0</v>
      </c>
      <c r="F524" s="1">
        <v>24.0</v>
      </c>
      <c r="G524" s="1">
        <v>0.63</v>
      </c>
      <c r="H524" s="1">
        <v>0.0</v>
      </c>
      <c r="I524" s="1">
        <v>0.0</v>
      </c>
      <c r="J524" s="1">
        <v>0.0</v>
      </c>
      <c r="K524" s="1">
        <v>0.01</v>
      </c>
      <c r="L524" s="1">
        <v>6800000.0</v>
      </c>
      <c r="M524" s="1" t="s">
        <v>4210</v>
      </c>
      <c r="N524" s="18">
        <v>46029.0</v>
      </c>
      <c r="O524" s="1" t="s">
        <v>3525</v>
      </c>
      <c r="P524" s="1" t="s">
        <v>3230</v>
      </c>
      <c r="Q524" s="1" t="s">
        <v>3408</v>
      </c>
    </row>
    <row r="525">
      <c r="A525" s="1" t="s">
        <v>3671</v>
      </c>
      <c r="B525" s="1">
        <v>21.0</v>
      </c>
      <c r="C525" s="1">
        <v>70.0</v>
      </c>
      <c r="D525" s="2" t="s">
        <v>581</v>
      </c>
      <c r="E525" s="1">
        <v>21.0</v>
      </c>
      <c r="F525" s="1">
        <v>12.0</v>
      </c>
      <c r="G525" s="1">
        <v>11.04</v>
      </c>
      <c r="H525" s="1">
        <v>0.0</v>
      </c>
      <c r="I525" s="1">
        <v>0.0</v>
      </c>
      <c r="J525" s="1">
        <v>0.0</v>
      </c>
      <c r="K525" s="1">
        <v>0.47</v>
      </c>
      <c r="L525" s="1">
        <v>161000.0</v>
      </c>
      <c r="M525" s="1" t="s">
        <v>3672</v>
      </c>
      <c r="N525" s="18">
        <v>46028.0</v>
      </c>
      <c r="O525" s="1" t="s">
        <v>3673</v>
      </c>
      <c r="P525" s="1" t="s">
        <v>3257</v>
      </c>
      <c r="Q525" s="1" t="s">
        <v>3408</v>
      </c>
    </row>
    <row r="526">
      <c r="A526" s="1" t="s">
        <v>4251</v>
      </c>
      <c r="B526" s="1">
        <v>21.0</v>
      </c>
      <c r="C526" s="1">
        <v>90.0</v>
      </c>
      <c r="D526" s="2" t="s">
        <v>439</v>
      </c>
      <c r="E526" s="1">
        <v>21.0</v>
      </c>
      <c r="F526" s="1">
        <v>12.0</v>
      </c>
      <c r="G526" s="1">
        <v>10.61</v>
      </c>
      <c r="H526" s="1">
        <v>0.0</v>
      </c>
      <c r="I526" s="1">
        <v>0.0</v>
      </c>
      <c r="J526" s="1">
        <v>0.0</v>
      </c>
      <c r="K526" s="1">
        <v>0.41</v>
      </c>
      <c r="L526" s="1">
        <v>1.05E7</v>
      </c>
      <c r="M526" s="1" t="s">
        <v>4252</v>
      </c>
      <c r="N526" s="18">
        <v>46027.0</v>
      </c>
      <c r="O526" s="1" t="s">
        <v>3854</v>
      </c>
      <c r="P526" s="1" t="s">
        <v>3257</v>
      </c>
      <c r="Q526" s="1" t="s">
        <v>3408</v>
      </c>
    </row>
    <row r="527">
      <c r="A527" s="1" t="s">
        <v>3413</v>
      </c>
      <c r="B527" s="1">
        <v>21.0</v>
      </c>
      <c r="C527" s="1">
        <v>90.0</v>
      </c>
      <c r="D527" s="2" t="s">
        <v>588</v>
      </c>
      <c r="E527" s="1">
        <v>21.0</v>
      </c>
      <c r="F527" s="1">
        <v>39.0</v>
      </c>
      <c r="G527" s="1">
        <v>14.43</v>
      </c>
      <c r="H527" s="1">
        <v>0.0</v>
      </c>
      <c r="I527" s="1">
        <v>0.0</v>
      </c>
      <c r="J527" s="1">
        <v>0.0</v>
      </c>
      <c r="K527" s="1">
        <v>0.61</v>
      </c>
      <c r="L527" s="1">
        <v>457000.0</v>
      </c>
      <c r="M527" s="1" t="s">
        <v>3414</v>
      </c>
      <c r="N527" s="18">
        <v>46023.0</v>
      </c>
      <c r="O527" s="1" t="s">
        <v>3415</v>
      </c>
      <c r="P527" s="1" t="s">
        <v>3257</v>
      </c>
      <c r="Q527" s="1" t="s">
        <v>3408</v>
      </c>
    </row>
    <row r="528">
      <c r="A528" s="1" t="s">
        <v>4253</v>
      </c>
      <c r="B528" s="1">
        <v>21.0</v>
      </c>
      <c r="C528" s="1">
        <v>50.0</v>
      </c>
      <c r="D528" s="2" t="s">
        <v>665</v>
      </c>
      <c r="E528" s="1">
        <v>21.0</v>
      </c>
      <c r="F528" s="1">
        <v>15.0</v>
      </c>
      <c r="G528" s="1">
        <v>0.0</v>
      </c>
      <c r="H528" s="1">
        <v>0.0</v>
      </c>
      <c r="I528" s="1">
        <v>0.0</v>
      </c>
      <c r="J528" s="1">
        <v>0.0</v>
      </c>
      <c r="K528" s="1">
        <v>0.0</v>
      </c>
      <c r="L528" s="1">
        <v>6360000.0</v>
      </c>
      <c r="M528" s="1" t="s">
        <v>4254</v>
      </c>
      <c r="N528" s="18">
        <v>46022.0</v>
      </c>
      <c r="O528" s="1" t="s">
        <v>4255</v>
      </c>
      <c r="P528" s="1" t="s">
        <v>3257</v>
      </c>
      <c r="Q528" s="1" t="s">
        <v>3408</v>
      </c>
    </row>
    <row r="529">
      <c r="A529" s="1" t="s">
        <v>4256</v>
      </c>
      <c r="B529" s="1">
        <v>21.0</v>
      </c>
      <c r="C529" s="1">
        <v>110.0</v>
      </c>
      <c r="D529" s="2" t="s">
        <v>804</v>
      </c>
      <c r="E529" s="1">
        <v>21.0</v>
      </c>
      <c r="F529" s="1">
        <v>16.0</v>
      </c>
      <c r="G529" s="1">
        <v>0.0</v>
      </c>
      <c r="H529" s="1">
        <v>0.0</v>
      </c>
      <c r="I529" s="1">
        <v>0.0</v>
      </c>
      <c r="J529" s="1">
        <v>0.0</v>
      </c>
      <c r="K529" s="1">
        <v>0.0</v>
      </c>
      <c r="L529" s="1">
        <v>5180.0</v>
      </c>
      <c r="M529" s="1" t="s">
        <v>4257</v>
      </c>
      <c r="N529" s="18">
        <v>46020.0</v>
      </c>
      <c r="O529" s="1" t="s">
        <v>3404</v>
      </c>
      <c r="P529" s="1" t="s">
        <v>3257</v>
      </c>
      <c r="Q529" s="1" t="s">
        <v>3408</v>
      </c>
    </row>
    <row r="530">
      <c r="A530" s="1" t="s">
        <v>4258</v>
      </c>
      <c r="B530" s="1">
        <v>21.0</v>
      </c>
      <c r="C530" s="1">
        <v>50.0</v>
      </c>
      <c r="D530" s="2" t="s">
        <v>581</v>
      </c>
      <c r="E530" s="1">
        <v>21.0</v>
      </c>
      <c r="F530" s="1">
        <v>50.0</v>
      </c>
      <c r="G530" s="1">
        <v>10.82</v>
      </c>
      <c r="H530" s="1">
        <v>0.0</v>
      </c>
      <c r="I530" s="1">
        <v>0.0</v>
      </c>
      <c r="J530" s="1">
        <v>0.0</v>
      </c>
      <c r="K530" s="1">
        <v>0.37</v>
      </c>
      <c r="L530" s="1">
        <v>6.98E7</v>
      </c>
      <c r="M530" s="1" t="s">
        <v>4259</v>
      </c>
      <c r="N530" s="18">
        <v>46015.0</v>
      </c>
      <c r="O530" s="1" t="s">
        <v>3415</v>
      </c>
      <c r="P530" s="1" t="s">
        <v>3257</v>
      </c>
      <c r="Q530" s="1" t="s">
        <v>3408</v>
      </c>
    </row>
    <row r="531">
      <c r="A531" s="1" t="s">
        <v>4260</v>
      </c>
      <c r="B531" s="1">
        <v>21.0</v>
      </c>
      <c r="C531" s="1">
        <v>50.0</v>
      </c>
      <c r="D531" s="2" t="s">
        <v>638</v>
      </c>
      <c r="E531" s="1">
        <v>21.0</v>
      </c>
      <c r="F531" s="1">
        <v>3.0</v>
      </c>
      <c r="G531" s="1">
        <v>1.1</v>
      </c>
      <c r="H531" s="1">
        <v>0.0</v>
      </c>
      <c r="I531" s="1">
        <v>0.0</v>
      </c>
      <c r="J531" s="1">
        <v>0.0</v>
      </c>
      <c r="K531" s="1">
        <v>0.14</v>
      </c>
      <c r="L531" s="1">
        <v>1220000.0</v>
      </c>
      <c r="M531" s="1" t="s">
        <v>4261</v>
      </c>
      <c r="N531" s="18">
        <v>46015.0</v>
      </c>
      <c r="O531" s="1" t="s">
        <v>3242</v>
      </c>
      <c r="P531" s="1" t="s">
        <v>3230</v>
      </c>
      <c r="Q531" s="1" t="s">
        <v>3408</v>
      </c>
    </row>
    <row r="532">
      <c r="A532" s="1" t="s">
        <v>4262</v>
      </c>
      <c r="B532" s="1">
        <v>21.0</v>
      </c>
      <c r="C532" s="1">
        <v>390.0</v>
      </c>
      <c r="D532" s="2" t="s">
        <v>2930</v>
      </c>
      <c r="E532" s="1">
        <v>21.0</v>
      </c>
      <c r="F532" s="1">
        <v>36.0</v>
      </c>
      <c r="G532" s="1">
        <v>0.37</v>
      </c>
      <c r="H532" s="1">
        <v>0.0</v>
      </c>
      <c r="I532" s="1">
        <v>0.0</v>
      </c>
      <c r="J532" s="1">
        <v>0.0</v>
      </c>
      <c r="K532" s="1">
        <v>0.01</v>
      </c>
      <c r="L532" s="1">
        <v>7040000.0</v>
      </c>
      <c r="M532" s="1" t="s">
        <v>4263</v>
      </c>
      <c r="N532" s="18">
        <v>46014.0</v>
      </c>
      <c r="O532" s="1" t="s">
        <v>4217</v>
      </c>
      <c r="P532" s="1" t="s">
        <v>3230</v>
      </c>
      <c r="Q532" s="1" t="s">
        <v>3408</v>
      </c>
    </row>
    <row r="533">
      <c r="A533" s="1" t="s">
        <v>4264</v>
      </c>
      <c r="B533" s="1">
        <v>21.0</v>
      </c>
      <c r="C533" s="1">
        <v>140.0</v>
      </c>
      <c r="D533" s="2" t="s">
        <v>2930</v>
      </c>
      <c r="E533" s="1">
        <v>21.0</v>
      </c>
      <c r="F533" s="1">
        <v>39.0</v>
      </c>
      <c r="G533" s="1">
        <v>0.37</v>
      </c>
      <c r="H533" s="1">
        <v>0.0</v>
      </c>
      <c r="I533" s="1">
        <v>0.0</v>
      </c>
      <c r="J533" s="1">
        <v>0.0</v>
      </c>
      <c r="K533" s="1">
        <v>0.01</v>
      </c>
      <c r="L533" s="1">
        <v>6930000.0</v>
      </c>
      <c r="M533" s="1" t="s">
        <v>4265</v>
      </c>
      <c r="N533" s="18">
        <v>46013.0</v>
      </c>
      <c r="O533" s="1" t="s">
        <v>4266</v>
      </c>
      <c r="P533" s="1" t="s">
        <v>3230</v>
      </c>
      <c r="Q533" s="1" t="s">
        <v>3408</v>
      </c>
    </row>
    <row r="534">
      <c r="A534" s="1" t="s">
        <v>4267</v>
      </c>
      <c r="B534" s="1">
        <v>21.0</v>
      </c>
      <c r="C534" s="1">
        <v>140.0</v>
      </c>
      <c r="D534" s="2" t="s">
        <v>2930</v>
      </c>
      <c r="E534" s="1">
        <v>21.0</v>
      </c>
      <c r="F534" s="1">
        <v>41.0</v>
      </c>
      <c r="G534" s="1">
        <v>0.1</v>
      </c>
      <c r="H534" s="1">
        <v>0.0</v>
      </c>
      <c r="I534" s="1">
        <v>0.0</v>
      </c>
      <c r="J534" s="1">
        <v>0.0</v>
      </c>
      <c r="K534" s="1">
        <v>0.01</v>
      </c>
      <c r="L534" s="1">
        <v>6860000.0</v>
      </c>
      <c r="M534" s="1" t="s">
        <v>4268</v>
      </c>
      <c r="N534" s="18">
        <v>46012.0</v>
      </c>
      <c r="O534" s="1" t="s">
        <v>3906</v>
      </c>
      <c r="P534" s="1" t="s">
        <v>3230</v>
      </c>
      <c r="Q534" s="1" t="s">
        <v>3408</v>
      </c>
    </row>
    <row r="535">
      <c r="A535" s="1" t="s">
        <v>3744</v>
      </c>
      <c r="B535" s="1">
        <v>21.0</v>
      </c>
      <c r="C535" s="1">
        <v>70.0</v>
      </c>
      <c r="D535" s="2" t="s">
        <v>581</v>
      </c>
      <c r="E535" s="1">
        <v>21.0</v>
      </c>
      <c r="F535" s="1">
        <v>11.0</v>
      </c>
      <c r="G535" s="1">
        <v>0.0</v>
      </c>
      <c r="H535" s="1">
        <v>0.0</v>
      </c>
      <c r="I535" s="1">
        <v>0.0</v>
      </c>
      <c r="J535" s="1">
        <v>0.0</v>
      </c>
      <c r="K535" s="1">
        <v>0.0</v>
      </c>
      <c r="L535" s="1">
        <v>351000.0</v>
      </c>
      <c r="M535" s="1" t="s">
        <v>3745</v>
      </c>
      <c r="N535" s="18">
        <v>46011.0</v>
      </c>
      <c r="O535" s="1" t="s">
        <v>3404</v>
      </c>
      <c r="P535" s="1" t="s">
        <v>3257</v>
      </c>
      <c r="Q535" s="1" t="s">
        <v>3408</v>
      </c>
    </row>
    <row r="536">
      <c r="A536" s="1" t="s">
        <v>4235</v>
      </c>
      <c r="B536" s="1">
        <v>21.0</v>
      </c>
      <c r="C536" s="1">
        <v>390.0</v>
      </c>
      <c r="D536" s="2" t="s">
        <v>2930</v>
      </c>
      <c r="E536" s="1">
        <v>21.0</v>
      </c>
      <c r="F536" s="1">
        <v>24.0</v>
      </c>
      <c r="G536" s="1">
        <v>0.84</v>
      </c>
      <c r="H536" s="1">
        <v>0.0</v>
      </c>
      <c r="I536" s="1">
        <v>0.0</v>
      </c>
      <c r="J536" s="1">
        <v>0.0</v>
      </c>
      <c r="K536" s="1">
        <v>0.01</v>
      </c>
      <c r="L536" s="1">
        <v>6770000.0</v>
      </c>
      <c r="M536" s="1" t="s">
        <v>4236</v>
      </c>
      <c r="N536" s="18">
        <v>46004.0</v>
      </c>
      <c r="O536" s="1" t="s">
        <v>4217</v>
      </c>
      <c r="P536" s="1" t="s">
        <v>3230</v>
      </c>
      <c r="Q536" s="1" t="s">
        <v>3408</v>
      </c>
    </row>
    <row r="537">
      <c r="A537" s="1" t="s">
        <v>4269</v>
      </c>
      <c r="B537" s="1">
        <v>21.0</v>
      </c>
      <c r="C537" s="1">
        <v>720.0</v>
      </c>
      <c r="D537" s="2" t="s">
        <v>2416</v>
      </c>
      <c r="E537" s="1">
        <v>21.0</v>
      </c>
      <c r="F537" s="1">
        <v>7.0</v>
      </c>
      <c r="G537" s="1">
        <v>0.0</v>
      </c>
      <c r="H537" s="1">
        <v>1.0</v>
      </c>
      <c r="I537" s="1">
        <v>0.06</v>
      </c>
      <c r="J537" s="1">
        <v>0.0</v>
      </c>
      <c r="K537" s="1">
        <v>0.0</v>
      </c>
      <c r="L537" s="1">
        <v>894000.0</v>
      </c>
      <c r="M537" s="1" t="s">
        <v>4270</v>
      </c>
      <c r="N537" s="18">
        <v>45999.0</v>
      </c>
      <c r="O537" s="1" t="s">
        <v>3479</v>
      </c>
      <c r="P537" s="1" t="s">
        <v>3230</v>
      </c>
      <c r="Q537" s="1" t="s">
        <v>3408</v>
      </c>
    </row>
    <row r="538">
      <c r="A538" s="1" t="s">
        <v>4271</v>
      </c>
      <c r="B538" s="1">
        <v>21.0</v>
      </c>
      <c r="C538" s="1">
        <v>40.0</v>
      </c>
      <c r="D538" s="2" t="s">
        <v>2930</v>
      </c>
      <c r="E538" s="1">
        <v>21.0</v>
      </c>
      <c r="F538" s="1">
        <v>46.0</v>
      </c>
      <c r="G538" s="1">
        <v>0.0</v>
      </c>
      <c r="H538" s="1">
        <v>0.0</v>
      </c>
      <c r="I538" s="1">
        <v>0.0</v>
      </c>
      <c r="J538" s="1">
        <v>0.0</v>
      </c>
      <c r="K538" s="1">
        <v>0.0</v>
      </c>
      <c r="L538" s="1">
        <v>6880000.0</v>
      </c>
      <c r="M538" s="1" t="s">
        <v>4272</v>
      </c>
      <c r="N538" s="18">
        <v>45999.0</v>
      </c>
      <c r="O538" s="1" t="s">
        <v>4033</v>
      </c>
      <c r="P538" s="1" t="s">
        <v>3230</v>
      </c>
      <c r="Q538" s="1" t="s">
        <v>3408</v>
      </c>
    </row>
    <row r="539">
      <c r="A539" s="1" t="s">
        <v>3718</v>
      </c>
      <c r="B539" s="1">
        <v>21.0</v>
      </c>
      <c r="C539" s="1">
        <v>170.0</v>
      </c>
      <c r="D539" s="2" t="s">
        <v>581</v>
      </c>
      <c r="E539" s="1">
        <v>21.0</v>
      </c>
      <c r="F539" s="1">
        <v>25.0</v>
      </c>
      <c r="G539" s="1">
        <v>17.92</v>
      </c>
      <c r="H539" s="1">
        <v>0.0</v>
      </c>
      <c r="I539" s="1">
        <v>0.0</v>
      </c>
      <c r="J539" s="1">
        <v>0.0</v>
      </c>
      <c r="K539" s="1">
        <v>0.32</v>
      </c>
      <c r="L539" s="1">
        <v>53600.0</v>
      </c>
      <c r="M539" s="1" t="s">
        <v>3719</v>
      </c>
      <c r="N539" s="18">
        <v>45997.0</v>
      </c>
      <c r="O539" s="1" t="s">
        <v>3720</v>
      </c>
      <c r="P539" s="1" t="s">
        <v>3257</v>
      </c>
      <c r="Q539" s="1" t="s">
        <v>3408</v>
      </c>
    </row>
    <row r="540">
      <c r="A540" s="1" t="s">
        <v>4273</v>
      </c>
      <c r="B540" s="1">
        <v>21.0</v>
      </c>
      <c r="C540" s="1">
        <v>70.0</v>
      </c>
      <c r="D540" s="2" t="s">
        <v>698</v>
      </c>
      <c r="E540" s="1">
        <v>21.0</v>
      </c>
      <c r="F540" s="1">
        <v>10.0</v>
      </c>
      <c r="G540" s="1">
        <v>0.0</v>
      </c>
      <c r="H540" s="1">
        <v>0.0</v>
      </c>
      <c r="I540" s="1">
        <v>0.0</v>
      </c>
      <c r="J540" s="1">
        <v>0.0</v>
      </c>
      <c r="K540" s="1">
        <v>0.0</v>
      </c>
      <c r="L540" s="1">
        <v>1.14E7</v>
      </c>
      <c r="M540" s="1" t="s">
        <v>4274</v>
      </c>
      <c r="N540" s="18">
        <v>45994.0</v>
      </c>
      <c r="O540" s="1" t="s">
        <v>4275</v>
      </c>
      <c r="P540" s="1" t="s">
        <v>3230</v>
      </c>
      <c r="Q540" s="1" t="s">
        <v>3408</v>
      </c>
    </row>
    <row r="541">
      <c r="A541" s="1" t="s">
        <v>3514</v>
      </c>
      <c r="B541" s="1">
        <v>21.0</v>
      </c>
      <c r="C541" s="1">
        <v>40.0</v>
      </c>
      <c r="D541" s="2" t="s">
        <v>581</v>
      </c>
      <c r="E541" s="1">
        <v>21.0</v>
      </c>
      <c r="F541" s="1">
        <v>30.0</v>
      </c>
      <c r="G541" s="1">
        <v>0.0</v>
      </c>
      <c r="H541" s="1">
        <v>0.0</v>
      </c>
      <c r="I541" s="1">
        <v>0.0</v>
      </c>
      <c r="J541" s="1">
        <v>0.0</v>
      </c>
      <c r="K541" s="1">
        <v>0.0</v>
      </c>
      <c r="L541" s="1">
        <v>49200.0</v>
      </c>
      <c r="M541" s="1" t="s">
        <v>3515</v>
      </c>
      <c r="N541" s="18">
        <v>45992.0</v>
      </c>
      <c r="O541" s="1" t="s">
        <v>3415</v>
      </c>
      <c r="P541" s="1" t="s">
        <v>3257</v>
      </c>
      <c r="Q541" s="1" t="s">
        <v>3408</v>
      </c>
    </row>
    <row r="542">
      <c r="A542" s="1" t="s">
        <v>3232</v>
      </c>
      <c r="B542" s="1">
        <v>22.0</v>
      </c>
      <c r="C542" s="1">
        <v>40.0</v>
      </c>
      <c r="D542" s="2" t="s">
        <v>694</v>
      </c>
      <c r="E542" s="1">
        <v>7.0</v>
      </c>
      <c r="F542" s="1">
        <v>20.0</v>
      </c>
      <c r="G542" s="1">
        <v>0.64</v>
      </c>
      <c r="H542" s="1">
        <v>0.0</v>
      </c>
      <c r="I542" s="1">
        <v>0.0</v>
      </c>
      <c r="J542" s="1">
        <v>0.0</v>
      </c>
      <c r="K542" s="1">
        <v>0.28</v>
      </c>
      <c r="L542" s="1">
        <v>549000.0</v>
      </c>
      <c r="M542" s="1" t="s">
        <v>3233</v>
      </c>
      <c r="N542" s="18">
        <v>46042.0</v>
      </c>
      <c r="O542" s="1" t="s">
        <v>3234</v>
      </c>
      <c r="P542" s="1" t="s">
        <v>3230</v>
      </c>
      <c r="Q542" s="1" t="s">
        <v>3408</v>
      </c>
    </row>
    <row r="543">
      <c r="A543" s="1" t="s">
        <v>3238</v>
      </c>
      <c r="B543" s="1">
        <v>22.0</v>
      </c>
      <c r="C543" s="1">
        <v>30.0</v>
      </c>
      <c r="D543" s="2" t="s">
        <v>694</v>
      </c>
      <c r="E543" s="1">
        <v>15.0</v>
      </c>
      <c r="F543" s="1">
        <v>20.0</v>
      </c>
      <c r="G543" s="1">
        <v>2.01</v>
      </c>
      <c r="H543" s="1">
        <v>0.0</v>
      </c>
      <c r="I543" s="1">
        <v>0.0</v>
      </c>
      <c r="J543" s="1">
        <v>0.0</v>
      </c>
      <c r="K543" s="1">
        <v>0.44</v>
      </c>
      <c r="L543" s="1">
        <v>7500000.0</v>
      </c>
      <c r="M543" s="1" t="s">
        <v>3239</v>
      </c>
      <c r="N543" s="18">
        <v>46042.0</v>
      </c>
      <c r="O543" s="1" t="s">
        <v>3237</v>
      </c>
      <c r="P543" s="1" t="s">
        <v>3230</v>
      </c>
      <c r="Q543" s="1" t="s">
        <v>3408</v>
      </c>
    </row>
    <row r="544">
      <c r="A544" s="1" t="s">
        <v>3781</v>
      </c>
      <c r="B544" s="1">
        <v>22.0</v>
      </c>
      <c r="C544" s="1">
        <v>210.0</v>
      </c>
      <c r="D544" s="2" t="s">
        <v>581</v>
      </c>
      <c r="E544" s="1">
        <v>22.0</v>
      </c>
      <c r="F544" s="1">
        <v>18.0</v>
      </c>
      <c r="G544" s="1">
        <v>15.04</v>
      </c>
      <c r="H544" s="1">
        <v>0.0</v>
      </c>
      <c r="I544" s="1">
        <v>0.0</v>
      </c>
      <c r="J544" s="1">
        <v>0.0</v>
      </c>
      <c r="K544" s="1">
        <v>0.82</v>
      </c>
      <c r="L544" s="1">
        <v>42500.0</v>
      </c>
      <c r="M544" s="1" t="s">
        <v>3782</v>
      </c>
      <c r="N544" s="18">
        <v>46041.0</v>
      </c>
      <c r="O544" s="1" t="s">
        <v>3355</v>
      </c>
      <c r="P544" s="1" t="s">
        <v>3257</v>
      </c>
      <c r="Q544" s="1" t="s">
        <v>3408</v>
      </c>
    </row>
    <row r="545">
      <c r="A545" s="1" t="s">
        <v>3278</v>
      </c>
      <c r="B545" s="1">
        <v>22.0</v>
      </c>
      <c r="C545" s="1">
        <v>210.0</v>
      </c>
      <c r="D545" s="2" t="s">
        <v>694</v>
      </c>
      <c r="E545" s="1">
        <v>22.0</v>
      </c>
      <c r="F545" s="1">
        <v>17.0</v>
      </c>
      <c r="G545" s="1">
        <v>0.76</v>
      </c>
      <c r="H545" s="1">
        <v>0.0</v>
      </c>
      <c r="I545" s="1">
        <v>0.0</v>
      </c>
      <c r="J545" s="1">
        <v>0.0</v>
      </c>
      <c r="K545" s="1">
        <v>0.09</v>
      </c>
      <c r="L545" s="1">
        <v>3440000.0</v>
      </c>
      <c r="M545" s="1" t="s">
        <v>3279</v>
      </c>
      <c r="N545" s="18">
        <v>46038.0</v>
      </c>
      <c r="O545" s="1" t="s">
        <v>3237</v>
      </c>
      <c r="P545" s="1" t="s">
        <v>3230</v>
      </c>
      <c r="Q545" s="1" t="s">
        <v>3408</v>
      </c>
    </row>
    <row r="546">
      <c r="A546" s="1" t="s">
        <v>3285</v>
      </c>
      <c r="B546" s="1">
        <v>22.0</v>
      </c>
      <c r="C546" s="1">
        <v>50.0</v>
      </c>
      <c r="D546" s="2" t="s">
        <v>581</v>
      </c>
      <c r="E546" s="1">
        <v>22.0</v>
      </c>
      <c r="G546" s="1">
        <v>16.24</v>
      </c>
      <c r="H546" s="1">
        <v>0.0</v>
      </c>
      <c r="I546" s="1">
        <v>0.0</v>
      </c>
      <c r="J546" s="1">
        <v>0.0</v>
      </c>
      <c r="K546" s="1">
        <v>0.67</v>
      </c>
      <c r="L546" s="1">
        <v>997000.0</v>
      </c>
      <c r="M546" s="1" t="s">
        <v>3287</v>
      </c>
      <c r="N546" s="18">
        <v>46038.0</v>
      </c>
      <c r="O546" s="1" t="s">
        <v>3288</v>
      </c>
      <c r="P546" s="1" t="s">
        <v>3257</v>
      </c>
      <c r="Q546" s="1" t="s">
        <v>3408</v>
      </c>
    </row>
    <row r="547">
      <c r="A547" s="1" t="s">
        <v>3684</v>
      </c>
      <c r="B547" s="1">
        <v>22.0</v>
      </c>
      <c r="C547" s="1">
        <v>50.0</v>
      </c>
      <c r="D547" s="2" t="s">
        <v>581</v>
      </c>
      <c r="E547" s="1">
        <v>22.0</v>
      </c>
      <c r="F547" s="1">
        <v>31.0</v>
      </c>
      <c r="G547" s="1">
        <v>16.24</v>
      </c>
      <c r="H547" s="1">
        <v>0.0</v>
      </c>
      <c r="I547" s="1">
        <v>0.0</v>
      </c>
      <c r="J547" s="1">
        <v>0.0</v>
      </c>
      <c r="K547" s="1">
        <v>0.67</v>
      </c>
      <c r="L547" s="1">
        <v>214000.0</v>
      </c>
      <c r="M547" s="1" t="s">
        <v>3685</v>
      </c>
      <c r="N547" s="18">
        <v>46032.0</v>
      </c>
      <c r="O547" s="1" t="s">
        <v>3686</v>
      </c>
      <c r="P547" s="1" t="s">
        <v>3257</v>
      </c>
      <c r="Q547" s="1" t="s">
        <v>3408</v>
      </c>
    </row>
    <row r="548">
      <c r="A548" s="1" t="s">
        <v>3687</v>
      </c>
      <c r="B548" s="1">
        <v>22.0</v>
      </c>
      <c r="C548" s="1">
        <v>40.0</v>
      </c>
      <c r="D548" s="2" t="s">
        <v>581</v>
      </c>
      <c r="E548" s="1">
        <v>22.0</v>
      </c>
      <c r="F548" s="1">
        <v>14.0</v>
      </c>
      <c r="G548" s="1">
        <v>16.24</v>
      </c>
      <c r="H548" s="1">
        <v>0.0</v>
      </c>
      <c r="I548" s="1">
        <v>0.0</v>
      </c>
      <c r="J548" s="1">
        <v>0.0</v>
      </c>
      <c r="K548" s="1">
        <v>0.67</v>
      </c>
      <c r="L548" s="1">
        <v>121000.0</v>
      </c>
      <c r="M548" s="1" t="s">
        <v>3688</v>
      </c>
      <c r="N548" s="18">
        <v>46032.0</v>
      </c>
      <c r="O548" s="1" t="s">
        <v>3455</v>
      </c>
      <c r="P548" s="1" t="s">
        <v>3257</v>
      </c>
      <c r="Q548" s="1" t="s">
        <v>3408</v>
      </c>
    </row>
    <row r="549">
      <c r="A549" s="1" t="s">
        <v>4276</v>
      </c>
      <c r="B549" s="1">
        <v>22.0</v>
      </c>
      <c r="C549" s="1">
        <v>40.0</v>
      </c>
      <c r="D549" s="2" t="s">
        <v>1170</v>
      </c>
      <c r="E549" s="1">
        <v>22.0</v>
      </c>
      <c r="F549" s="1">
        <v>0.0</v>
      </c>
      <c r="G549" s="1">
        <v>0.0</v>
      </c>
      <c r="H549" s="1">
        <v>0.0</v>
      </c>
      <c r="I549" s="1">
        <v>0.0</v>
      </c>
      <c r="J549" s="1">
        <v>0.0</v>
      </c>
      <c r="K549" s="1">
        <v>0.0</v>
      </c>
      <c r="L549" s="1">
        <v>1710.0</v>
      </c>
      <c r="M549" s="1" t="s">
        <v>4277</v>
      </c>
      <c r="N549" s="18">
        <v>46032.0</v>
      </c>
      <c r="O549" s="1" t="s">
        <v>4278</v>
      </c>
      <c r="P549" s="1" t="s">
        <v>3334</v>
      </c>
      <c r="Q549" s="1" t="s">
        <v>3408</v>
      </c>
    </row>
    <row r="550">
      <c r="A550" s="1" t="s">
        <v>4279</v>
      </c>
      <c r="B550" s="1">
        <v>22.0</v>
      </c>
      <c r="C550" s="1">
        <v>40.0</v>
      </c>
      <c r="D550" s="2" t="s">
        <v>676</v>
      </c>
      <c r="E550" s="1">
        <v>22.0</v>
      </c>
      <c r="F550" s="1">
        <v>1.0</v>
      </c>
      <c r="G550" s="1">
        <v>0.0</v>
      </c>
      <c r="H550" s="1">
        <v>0.0</v>
      </c>
      <c r="I550" s="1">
        <v>0.0</v>
      </c>
      <c r="J550" s="1">
        <v>0.0</v>
      </c>
      <c r="K550" s="1">
        <v>0.0</v>
      </c>
      <c r="L550" s="1">
        <v>354000.0</v>
      </c>
      <c r="M550" s="1" t="s">
        <v>4280</v>
      </c>
      <c r="N550" s="18">
        <v>46031.0</v>
      </c>
      <c r="O550" s="1" t="s">
        <v>3720</v>
      </c>
      <c r="P550" s="1" t="s">
        <v>3257</v>
      </c>
      <c r="Q550" s="1" t="s">
        <v>3408</v>
      </c>
    </row>
    <row r="551">
      <c r="A551" s="1" t="s">
        <v>3692</v>
      </c>
      <c r="B551" s="1">
        <v>22.0</v>
      </c>
      <c r="C551" s="1">
        <v>50.0</v>
      </c>
      <c r="D551" s="2" t="s">
        <v>581</v>
      </c>
      <c r="E551" s="1">
        <v>22.0</v>
      </c>
      <c r="F551" s="1">
        <v>12.0</v>
      </c>
      <c r="G551" s="1">
        <v>0.0</v>
      </c>
      <c r="H551" s="1">
        <v>0.0</v>
      </c>
      <c r="I551" s="1">
        <v>0.0</v>
      </c>
      <c r="J551" s="1">
        <v>0.0</v>
      </c>
      <c r="K551" s="1">
        <v>0.24</v>
      </c>
      <c r="L551" s="1">
        <v>293000.0</v>
      </c>
      <c r="M551" s="1" t="s">
        <v>3693</v>
      </c>
      <c r="N551" s="18">
        <v>46030.0</v>
      </c>
      <c r="O551" s="1" t="s">
        <v>3673</v>
      </c>
      <c r="P551" s="1" t="s">
        <v>3257</v>
      </c>
      <c r="Q551" s="1" t="s">
        <v>3408</v>
      </c>
    </row>
    <row r="552">
      <c r="A552" s="1" t="s">
        <v>4281</v>
      </c>
      <c r="B552" s="1">
        <v>22.0</v>
      </c>
      <c r="C552" s="1">
        <v>260.0</v>
      </c>
      <c r="D552" s="2" t="s">
        <v>2930</v>
      </c>
      <c r="E552" s="1">
        <v>22.0</v>
      </c>
      <c r="F552" s="1">
        <v>51.0</v>
      </c>
      <c r="G552" s="1">
        <v>0.0</v>
      </c>
      <c r="H552" s="1">
        <v>0.0</v>
      </c>
      <c r="I552" s="1">
        <v>0.0</v>
      </c>
      <c r="J552" s="1">
        <v>0.0</v>
      </c>
      <c r="K552" s="1">
        <v>0.01</v>
      </c>
      <c r="L552" s="1">
        <v>1.33E8</v>
      </c>
      <c r="M552" s="1" t="s">
        <v>4282</v>
      </c>
      <c r="N552" s="18">
        <v>46028.0</v>
      </c>
      <c r="O552" s="1" t="s">
        <v>3987</v>
      </c>
      <c r="P552" s="1" t="s">
        <v>3230</v>
      </c>
      <c r="Q552" s="1" t="s">
        <v>3408</v>
      </c>
    </row>
    <row r="553">
      <c r="A553" s="1" t="s">
        <v>4283</v>
      </c>
      <c r="B553" s="1">
        <v>22.0</v>
      </c>
      <c r="C553" s="1">
        <v>170.0</v>
      </c>
      <c r="D553" s="2" t="s">
        <v>694</v>
      </c>
      <c r="E553" s="1">
        <v>22.0</v>
      </c>
      <c r="F553" s="1">
        <v>7.0</v>
      </c>
      <c r="G553" s="1">
        <v>0.98</v>
      </c>
      <c r="H553" s="1">
        <v>0.0</v>
      </c>
      <c r="I553" s="1">
        <v>0.0</v>
      </c>
      <c r="J553" s="1">
        <v>0.0</v>
      </c>
      <c r="K553" s="1">
        <v>0.12</v>
      </c>
      <c r="L553" s="1">
        <v>1590000.0</v>
      </c>
      <c r="M553" s="1" t="s">
        <v>4284</v>
      </c>
      <c r="N553" s="18">
        <v>46027.0</v>
      </c>
      <c r="O553" s="1" t="s">
        <v>3510</v>
      </c>
      <c r="P553" s="1" t="s">
        <v>3230</v>
      </c>
      <c r="Q553" s="1" t="s">
        <v>3408</v>
      </c>
    </row>
    <row r="554">
      <c r="A554" s="1" t="s">
        <v>4285</v>
      </c>
      <c r="B554" s="1">
        <v>22.0</v>
      </c>
      <c r="C554" s="1">
        <v>90.0</v>
      </c>
      <c r="D554" s="2" t="s">
        <v>694</v>
      </c>
      <c r="E554" s="1">
        <v>22.0</v>
      </c>
      <c r="F554" s="1">
        <v>7.0</v>
      </c>
      <c r="G554" s="1">
        <v>0.0</v>
      </c>
      <c r="H554" s="1">
        <v>0.0</v>
      </c>
      <c r="I554" s="1">
        <v>0.0</v>
      </c>
      <c r="J554" s="1">
        <v>0.0</v>
      </c>
      <c r="K554" s="1">
        <v>0.03</v>
      </c>
      <c r="L554" s="1">
        <v>2800000.0</v>
      </c>
      <c r="M554" s="1" t="s">
        <v>4286</v>
      </c>
      <c r="N554" s="18">
        <v>46023.0</v>
      </c>
      <c r="O554" s="1" t="s">
        <v>3840</v>
      </c>
      <c r="P554" s="1" t="s">
        <v>3230</v>
      </c>
      <c r="Q554" s="1" t="s">
        <v>3408</v>
      </c>
    </row>
    <row r="555">
      <c r="A555" s="1" t="s">
        <v>4287</v>
      </c>
      <c r="B555" s="1">
        <v>22.0</v>
      </c>
      <c r="C555" s="1">
        <v>40.0</v>
      </c>
      <c r="D555" s="2" t="s">
        <v>694</v>
      </c>
      <c r="E555" s="1">
        <v>22.0</v>
      </c>
      <c r="F555" s="1">
        <v>7.0</v>
      </c>
      <c r="G555" s="1">
        <v>1.35</v>
      </c>
      <c r="H555" s="1">
        <v>0.0</v>
      </c>
      <c r="I555" s="1">
        <v>0.0</v>
      </c>
      <c r="J555" s="1">
        <v>0.0</v>
      </c>
      <c r="K555" s="1">
        <v>0.15</v>
      </c>
      <c r="L555" s="1">
        <v>2860000.0</v>
      </c>
      <c r="M555" s="1" t="s">
        <v>4288</v>
      </c>
      <c r="N555" s="18">
        <v>46023.0</v>
      </c>
      <c r="O555" s="1" t="s">
        <v>3479</v>
      </c>
      <c r="P555" s="1" t="s">
        <v>3230</v>
      </c>
      <c r="Q555" s="1" t="s">
        <v>3408</v>
      </c>
    </row>
    <row r="556">
      <c r="A556" s="1" t="s">
        <v>3709</v>
      </c>
      <c r="B556" s="1">
        <v>22.0</v>
      </c>
      <c r="C556" s="1">
        <v>170.0</v>
      </c>
      <c r="D556" s="2" t="s">
        <v>581</v>
      </c>
      <c r="E556" s="1">
        <v>22.0</v>
      </c>
      <c r="F556" s="1">
        <v>15.0</v>
      </c>
      <c r="G556" s="1">
        <v>16.24</v>
      </c>
      <c r="H556" s="1">
        <v>0.0</v>
      </c>
      <c r="I556" s="1">
        <v>0.0</v>
      </c>
      <c r="J556" s="1">
        <v>0.0</v>
      </c>
      <c r="K556" s="1">
        <v>0.67</v>
      </c>
      <c r="L556" s="1">
        <v>939000.0</v>
      </c>
      <c r="M556" s="1" t="s">
        <v>3710</v>
      </c>
      <c r="N556" s="18">
        <v>46021.0</v>
      </c>
      <c r="O556" s="1" t="s">
        <v>3673</v>
      </c>
      <c r="P556" s="1" t="s">
        <v>3257</v>
      </c>
      <c r="Q556" s="1" t="s">
        <v>3408</v>
      </c>
    </row>
    <row r="557">
      <c r="A557" s="1" t="s">
        <v>4289</v>
      </c>
      <c r="B557" s="1">
        <v>22.0</v>
      </c>
      <c r="C557" s="1">
        <v>90.0</v>
      </c>
      <c r="D557" s="2" t="s">
        <v>2930</v>
      </c>
      <c r="E557" s="1">
        <v>22.0</v>
      </c>
      <c r="F557" s="1">
        <v>35.0</v>
      </c>
      <c r="G557" s="1">
        <v>0.37</v>
      </c>
      <c r="H557" s="1">
        <v>0.0</v>
      </c>
      <c r="I557" s="1">
        <v>0.0</v>
      </c>
      <c r="J557" s="1">
        <v>0.0</v>
      </c>
      <c r="K557" s="1">
        <v>0.01</v>
      </c>
      <c r="L557" s="1">
        <v>6980000.0</v>
      </c>
      <c r="M557" s="1" t="s">
        <v>4290</v>
      </c>
      <c r="N557" s="18">
        <v>46020.0</v>
      </c>
      <c r="O557" s="1" t="s">
        <v>4217</v>
      </c>
      <c r="P557" s="1" t="s">
        <v>3230</v>
      </c>
      <c r="Q557" s="1" t="s">
        <v>3408</v>
      </c>
    </row>
    <row r="558">
      <c r="A558" s="1" t="s">
        <v>450</v>
      </c>
      <c r="B558" s="1">
        <v>22.0</v>
      </c>
      <c r="C558" s="1">
        <v>110.0</v>
      </c>
      <c r="D558" s="2" t="s">
        <v>451</v>
      </c>
      <c r="E558" s="1">
        <v>22.0</v>
      </c>
      <c r="F558" s="1">
        <v>21.0</v>
      </c>
      <c r="G558" s="1">
        <v>0.0</v>
      </c>
      <c r="H558" s="1">
        <v>0.0</v>
      </c>
      <c r="I558" s="1">
        <v>0.0</v>
      </c>
      <c r="J558" s="1">
        <v>0.0</v>
      </c>
      <c r="K558" s="1">
        <v>0.0</v>
      </c>
      <c r="L558" s="1">
        <v>1.27E7</v>
      </c>
      <c r="M558" s="1" t="s">
        <v>4291</v>
      </c>
      <c r="N558" s="18">
        <v>46013.0</v>
      </c>
      <c r="O558" s="1" t="s">
        <v>4292</v>
      </c>
      <c r="P558" s="1" t="s">
        <v>3257</v>
      </c>
      <c r="Q558" s="1" t="s">
        <v>3408</v>
      </c>
    </row>
    <row r="559">
      <c r="A559" s="1" t="s">
        <v>4293</v>
      </c>
      <c r="B559" s="1">
        <v>22.0</v>
      </c>
      <c r="C559" s="1">
        <v>70.0</v>
      </c>
      <c r="D559" s="2" t="s">
        <v>2930</v>
      </c>
      <c r="E559" s="1">
        <v>22.0</v>
      </c>
      <c r="F559" s="1">
        <v>19.0</v>
      </c>
      <c r="G559" s="1">
        <v>0.0</v>
      </c>
      <c r="H559" s="1">
        <v>0.0</v>
      </c>
      <c r="I559" s="1">
        <v>0.0</v>
      </c>
      <c r="J559" s="1">
        <v>0.0</v>
      </c>
      <c r="K559" s="1">
        <v>0.33</v>
      </c>
      <c r="L559" s="1">
        <v>256000.0</v>
      </c>
      <c r="M559" s="1" t="s">
        <v>4294</v>
      </c>
      <c r="N559" s="18">
        <v>46013.0</v>
      </c>
      <c r="O559" s="1" t="s">
        <v>4295</v>
      </c>
      <c r="P559" s="1" t="s">
        <v>3230</v>
      </c>
      <c r="Q559" s="1" t="s">
        <v>3408</v>
      </c>
    </row>
    <row r="560">
      <c r="A560" s="1" t="s">
        <v>4296</v>
      </c>
      <c r="B560" s="1">
        <v>22.0</v>
      </c>
      <c r="C560" s="1">
        <v>480.0</v>
      </c>
      <c r="D560" s="2" t="s">
        <v>694</v>
      </c>
      <c r="E560" s="1">
        <v>22.0</v>
      </c>
      <c r="F560" s="1">
        <v>19.0</v>
      </c>
      <c r="G560" s="1">
        <v>0.98</v>
      </c>
      <c r="H560" s="1">
        <v>0.0</v>
      </c>
      <c r="I560" s="1">
        <v>0.0</v>
      </c>
      <c r="J560" s="1">
        <v>0.0</v>
      </c>
      <c r="K560" s="1">
        <v>0.12</v>
      </c>
      <c r="L560" s="1">
        <v>564000.0</v>
      </c>
      <c r="M560" s="1" t="s">
        <v>4297</v>
      </c>
      <c r="N560" s="18">
        <v>46013.0</v>
      </c>
      <c r="O560" s="1" t="s">
        <v>4057</v>
      </c>
      <c r="P560" s="1" t="s">
        <v>3230</v>
      </c>
      <c r="Q560" s="1" t="s">
        <v>3408</v>
      </c>
    </row>
    <row r="561">
      <c r="A561" s="1" t="s">
        <v>4298</v>
      </c>
      <c r="B561" s="1">
        <v>22.0</v>
      </c>
      <c r="C561" s="1">
        <v>170.0</v>
      </c>
      <c r="D561" s="2" t="s">
        <v>2930</v>
      </c>
      <c r="E561" s="1">
        <v>22.0</v>
      </c>
      <c r="F561" s="1">
        <v>49.0</v>
      </c>
      <c r="G561" s="1">
        <v>0.0</v>
      </c>
      <c r="H561" s="1">
        <v>0.0</v>
      </c>
      <c r="I561" s="1">
        <v>0.0</v>
      </c>
      <c r="J561" s="1">
        <v>0.0</v>
      </c>
      <c r="K561" s="1">
        <v>0.01</v>
      </c>
      <c r="L561" s="1">
        <v>3.41E8</v>
      </c>
      <c r="M561" s="1" t="s">
        <v>4299</v>
      </c>
      <c r="N561" s="18">
        <v>46012.0</v>
      </c>
      <c r="O561" s="1" t="s">
        <v>4033</v>
      </c>
      <c r="P561" s="1" t="s">
        <v>3230</v>
      </c>
      <c r="Q561" s="1" t="s">
        <v>3408</v>
      </c>
    </row>
    <row r="562">
      <c r="A562" s="1" t="s">
        <v>3819</v>
      </c>
      <c r="B562" s="1">
        <v>22.0</v>
      </c>
      <c r="C562" s="1">
        <v>40.0</v>
      </c>
      <c r="D562" s="2" t="s">
        <v>439</v>
      </c>
      <c r="E562" s="1">
        <v>22.0</v>
      </c>
      <c r="F562" s="1">
        <v>21.0</v>
      </c>
      <c r="G562" s="1">
        <v>3.9</v>
      </c>
      <c r="H562" s="1">
        <v>0.0</v>
      </c>
      <c r="I562" s="1">
        <v>0.0</v>
      </c>
      <c r="J562" s="1">
        <v>0.0</v>
      </c>
      <c r="K562" s="1">
        <v>0.27</v>
      </c>
      <c r="L562" s="1">
        <v>2.06E7</v>
      </c>
      <c r="M562" s="1" t="s">
        <v>3820</v>
      </c>
      <c r="N562" s="18">
        <v>46002.0</v>
      </c>
      <c r="O562" s="1" t="s">
        <v>3821</v>
      </c>
      <c r="P562" s="1" t="s">
        <v>3294</v>
      </c>
      <c r="Q562" s="1" t="s">
        <v>3408</v>
      </c>
    </row>
    <row r="563">
      <c r="A563" s="1" t="s">
        <v>4300</v>
      </c>
      <c r="B563" s="1">
        <v>22.0</v>
      </c>
      <c r="C563" s="1">
        <v>90.0</v>
      </c>
      <c r="D563" s="2" t="s">
        <v>2930</v>
      </c>
      <c r="E563" s="1">
        <v>22.0</v>
      </c>
      <c r="F563" s="1">
        <v>46.0</v>
      </c>
      <c r="G563" s="1">
        <v>0.0</v>
      </c>
      <c r="H563" s="1">
        <v>0.0</v>
      </c>
      <c r="I563" s="1">
        <v>0.0</v>
      </c>
      <c r="J563" s="1">
        <v>0.0</v>
      </c>
      <c r="K563" s="1">
        <v>0.02</v>
      </c>
      <c r="L563" s="1">
        <v>6700000.0</v>
      </c>
      <c r="M563" s="1" t="s">
        <v>4301</v>
      </c>
      <c r="N563" s="18">
        <v>45993.0</v>
      </c>
      <c r="O563" s="1" t="s">
        <v>3592</v>
      </c>
      <c r="P563" s="1" t="s">
        <v>3230</v>
      </c>
      <c r="Q563" s="1" t="s">
        <v>3408</v>
      </c>
    </row>
    <row r="564">
      <c r="A564" s="1" t="s">
        <v>4302</v>
      </c>
      <c r="B564" s="1">
        <v>22.0</v>
      </c>
      <c r="C564" s="1">
        <v>70.0</v>
      </c>
      <c r="D564" s="2" t="s">
        <v>921</v>
      </c>
      <c r="E564" s="1">
        <v>22.0</v>
      </c>
      <c r="F564" s="1">
        <v>4.0</v>
      </c>
      <c r="G564" s="1">
        <v>3.48</v>
      </c>
      <c r="H564" s="1">
        <v>0.0</v>
      </c>
      <c r="I564" s="1">
        <v>0.0</v>
      </c>
      <c r="J564" s="1">
        <v>0.0</v>
      </c>
      <c r="K564" s="1">
        <v>0.04</v>
      </c>
      <c r="L564" s="1">
        <v>727000.0</v>
      </c>
      <c r="M564" s="1" t="s">
        <v>4303</v>
      </c>
      <c r="N564" s="18">
        <v>45992.0</v>
      </c>
      <c r="O564" s="1" t="s">
        <v>4304</v>
      </c>
      <c r="P564" s="1" t="s">
        <v>3257</v>
      </c>
      <c r="Q564" s="1" t="s">
        <v>3408</v>
      </c>
    </row>
    <row r="565">
      <c r="A565" s="1" t="s">
        <v>4305</v>
      </c>
      <c r="B565" s="1">
        <v>22.0</v>
      </c>
      <c r="C565" s="1">
        <v>50.0</v>
      </c>
      <c r="D565" s="2" t="s">
        <v>1307</v>
      </c>
      <c r="E565" s="1">
        <v>22.0</v>
      </c>
      <c r="F565" s="1">
        <v>2.0</v>
      </c>
      <c r="G565" s="1">
        <v>3.89</v>
      </c>
      <c r="H565" s="1">
        <v>0.0</v>
      </c>
      <c r="I565" s="1">
        <v>0.0</v>
      </c>
      <c r="J565" s="1">
        <v>0.0</v>
      </c>
      <c r="K565" s="1">
        <v>1.0</v>
      </c>
      <c r="L565" s="1">
        <v>2470000.0</v>
      </c>
      <c r="M565" s="1" t="s">
        <v>4306</v>
      </c>
      <c r="N565" s="18">
        <v>45992.0</v>
      </c>
      <c r="O565" s="1" t="s">
        <v>3355</v>
      </c>
      <c r="P565" s="1" t="s">
        <v>3257</v>
      </c>
      <c r="Q565" s="1" t="s">
        <v>3408</v>
      </c>
    </row>
    <row r="566">
      <c r="A566" s="1" t="s">
        <v>4307</v>
      </c>
      <c r="B566" s="1">
        <v>22.0</v>
      </c>
      <c r="C566" s="1">
        <v>90.0</v>
      </c>
      <c r="D566" s="2" t="s">
        <v>1318</v>
      </c>
      <c r="E566" s="1">
        <v>22.0</v>
      </c>
      <c r="F566" s="1">
        <v>8.0</v>
      </c>
      <c r="G566" s="1">
        <v>0.0</v>
      </c>
      <c r="H566" s="1">
        <v>0.0</v>
      </c>
      <c r="I566" s="1">
        <v>0.0</v>
      </c>
      <c r="J566" s="1">
        <v>0.0</v>
      </c>
      <c r="K566" s="1">
        <v>0.02</v>
      </c>
      <c r="L566" s="1">
        <v>7090000.0</v>
      </c>
      <c r="M566" s="1" t="s">
        <v>4308</v>
      </c>
      <c r="N566" s="18">
        <v>45991.0</v>
      </c>
      <c r="O566" s="1" t="s">
        <v>3854</v>
      </c>
      <c r="P566" s="1" t="s">
        <v>3257</v>
      </c>
      <c r="Q566" s="1" t="s">
        <v>3408</v>
      </c>
    </row>
    <row r="567">
      <c r="A567" s="1" t="s">
        <v>4309</v>
      </c>
      <c r="B567" s="1">
        <v>22.0</v>
      </c>
      <c r="C567" s="1">
        <v>170.0</v>
      </c>
      <c r="D567" s="2" t="s">
        <v>748</v>
      </c>
      <c r="E567" s="1">
        <v>22.0</v>
      </c>
      <c r="F567" s="1">
        <v>19.0</v>
      </c>
      <c r="G567" s="1">
        <v>40.16</v>
      </c>
      <c r="H567" s="1">
        <v>0.0</v>
      </c>
      <c r="I567" s="1">
        <v>0.0</v>
      </c>
      <c r="J567" s="1">
        <v>0.0</v>
      </c>
      <c r="K567" s="1">
        <v>0.07</v>
      </c>
      <c r="L567" s="1">
        <v>2440000.0</v>
      </c>
      <c r="M567" s="1" t="s">
        <v>4310</v>
      </c>
      <c r="N567" s="18">
        <v>45988.0</v>
      </c>
      <c r="O567" s="1" t="s">
        <v>4311</v>
      </c>
      <c r="P567" s="1" t="s">
        <v>3334</v>
      </c>
      <c r="Q567" s="1" t="s">
        <v>3408</v>
      </c>
    </row>
    <row r="568">
      <c r="A568" s="1" t="s">
        <v>4312</v>
      </c>
      <c r="B568" s="1">
        <v>22.0</v>
      </c>
      <c r="C568" s="1">
        <v>110.0</v>
      </c>
      <c r="D568" s="2" t="s">
        <v>2930</v>
      </c>
      <c r="E568" s="1">
        <v>22.0</v>
      </c>
      <c r="F568" s="1">
        <v>47.0</v>
      </c>
      <c r="G568" s="1">
        <v>0.0</v>
      </c>
      <c r="H568" s="1">
        <v>0.0</v>
      </c>
      <c r="I568" s="1">
        <v>0.0</v>
      </c>
      <c r="J568" s="1">
        <v>0.0</v>
      </c>
      <c r="K568" s="1">
        <v>0.0</v>
      </c>
      <c r="L568" s="1">
        <v>1.17E8</v>
      </c>
      <c r="M568" s="1" t="s">
        <v>4313</v>
      </c>
      <c r="N568" s="18">
        <v>45987.0</v>
      </c>
      <c r="O568" s="1" t="s">
        <v>4295</v>
      </c>
      <c r="P568" s="1" t="s">
        <v>3230</v>
      </c>
      <c r="Q568" s="1" t="s">
        <v>3408</v>
      </c>
    </row>
    <row r="569">
      <c r="A569" s="1" t="s">
        <v>4314</v>
      </c>
      <c r="B569" s="1">
        <v>22.0</v>
      </c>
      <c r="C569" s="1">
        <v>90.0</v>
      </c>
      <c r="D569" s="2" t="s">
        <v>1198</v>
      </c>
      <c r="E569" s="1">
        <v>22.0</v>
      </c>
      <c r="F569" s="1">
        <v>9.0</v>
      </c>
      <c r="G569" s="1">
        <v>5.31</v>
      </c>
      <c r="H569" s="1">
        <v>0.0</v>
      </c>
      <c r="I569" s="1">
        <v>0.0</v>
      </c>
      <c r="J569" s="1">
        <v>0.0</v>
      </c>
      <c r="K569" s="1">
        <v>0.48</v>
      </c>
      <c r="L569" s="1">
        <v>5.0</v>
      </c>
      <c r="M569" s="1" t="s">
        <v>4315</v>
      </c>
      <c r="N569" s="18">
        <v>45986.0</v>
      </c>
      <c r="O569" s="1" t="s">
        <v>3455</v>
      </c>
      <c r="P569" s="1" t="s">
        <v>3257</v>
      </c>
      <c r="Q569" s="1" t="s">
        <v>3408</v>
      </c>
    </row>
    <row r="570">
      <c r="A570" s="1" t="s">
        <v>4195</v>
      </c>
      <c r="B570" s="1">
        <v>22.0</v>
      </c>
      <c r="C570" s="1">
        <v>110.0</v>
      </c>
      <c r="D570" s="2" t="s">
        <v>2416</v>
      </c>
      <c r="E570" s="1">
        <v>22.0</v>
      </c>
      <c r="F570" s="1">
        <v>11.0</v>
      </c>
      <c r="G570" s="1">
        <v>0.0</v>
      </c>
      <c r="H570" s="1">
        <v>0.0</v>
      </c>
      <c r="I570" s="1">
        <v>0.0</v>
      </c>
      <c r="J570" s="1">
        <v>0.0</v>
      </c>
      <c r="K570" s="1">
        <v>0.0</v>
      </c>
      <c r="L570" s="1">
        <v>10.0</v>
      </c>
      <c r="M570" s="1" t="s">
        <v>4196</v>
      </c>
      <c r="N570" s="18">
        <v>45985.0</v>
      </c>
      <c r="O570" s="1" t="s">
        <v>4197</v>
      </c>
      <c r="P570" s="1" t="s">
        <v>3230</v>
      </c>
      <c r="Q570" s="1" t="s">
        <v>3408</v>
      </c>
    </row>
    <row r="571">
      <c r="A571" s="1" t="s">
        <v>3557</v>
      </c>
      <c r="B571" s="1">
        <v>22.0</v>
      </c>
      <c r="C571" s="1">
        <v>170.0</v>
      </c>
      <c r="D571" s="2" t="s">
        <v>447</v>
      </c>
      <c r="E571" s="1">
        <v>22.0</v>
      </c>
      <c r="F571" s="1">
        <v>10.0</v>
      </c>
      <c r="G571" s="1">
        <v>10.08</v>
      </c>
      <c r="H571" s="1">
        <v>0.0</v>
      </c>
      <c r="I571" s="1">
        <v>0.0</v>
      </c>
      <c r="J571" s="1">
        <v>0.0</v>
      </c>
      <c r="K571" s="1">
        <v>0.13</v>
      </c>
      <c r="L571" s="1">
        <v>8.0</v>
      </c>
      <c r="M571" s="1" t="s">
        <v>3558</v>
      </c>
      <c r="N571" s="18">
        <v>45984.0</v>
      </c>
      <c r="O571" s="1" t="s">
        <v>3415</v>
      </c>
      <c r="P571" s="1" t="s">
        <v>3257</v>
      </c>
      <c r="Q571" s="1" t="s">
        <v>3408</v>
      </c>
    </row>
    <row r="572">
      <c r="A572" s="1" t="s">
        <v>4316</v>
      </c>
      <c r="B572" s="1">
        <v>22.0</v>
      </c>
      <c r="C572" s="1">
        <v>210.0</v>
      </c>
      <c r="D572" s="2" t="s">
        <v>2930</v>
      </c>
      <c r="E572" s="1">
        <v>22.0</v>
      </c>
      <c r="F572" s="1">
        <v>35.0</v>
      </c>
      <c r="G572" s="1">
        <v>0.0</v>
      </c>
      <c r="H572" s="1">
        <v>0.0</v>
      </c>
      <c r="I572" s="1">
        <v>0.0</v>
      </c>
      <c r="J572" s="1">
        <v>0.0</v>
      </c>
      <c r="K572" s="1">
        <v>0.0</v>
      </c>
      <c r="L572" s="1">
        <v>10.0</v>
      </c>
      <c r="M572" s="1" t="s">
        <v>4317</v>
      </c>
      <c r="N572" s="18">
        <v>45979.0</v>
      </c>
      <c r="O572" s="1" t="s">
        <v>4318</v>
      </c>
      <c r="P572" s="1" t="s">
        <v>3230</v>
      </c>
      <c r="Q572" s="1" t="s">
        <v>3408</v>
      </c>
    </row>
    <row r="573">
      <c r="A573" s="1" t="s">
        <v>3259</v>
      </c>
      <c r="B573" s="1">
        <v>23.0</v>
      </c>
      <c r="C573" s="1">
        <v>110.0</v>
      </c>
      <c r="D573" s="2" t="s">
        <v>694</v>
      </c>
      <c r="E573" s="1">
        <v>23.0</v>
      </c>
      <c r="F573" s="1">
        <v>11.0</v>
      </c>
      <c r="G573" s="1">
        <v>0.92</v>
      </c>
      <c r="H573" s="1">
        <v>0.0</v>
      </c>
      <c r="I573" s="1">
        <v>0.0</v>
      </c>
      <c r="J573" s="1">
        <v>0.0</v>
      </c>
      <c r="K573" s="1">
        <v>0.37</v>
      </c>
      <c r="L573" s="1">
        <v>2370000.0</v>
      </c>
      <c r="M573" s="1" t="s">
        <v>3260</v>
      </c>
      <c r="N573" s="18">
        <v>46041.0</v>
      </c>
      <c r="O573" s="1" t="s">
        <v>3261</v>
      </c>
      <c r="P573" s="1" t="s">
        <v>3230</v>
      </c>
      <c r="Q573" s="1" t="s">
        <v>3408</v>
      </c>
    </row>
    <row r="574">
      <c r="A574" s="1" t="s">
        <v>4319</v>
      </c>
      <c r="B574" s="1">
        <v>23.0</v>
      </c>
      <c r="C574" s="1">
        <v>70.0</v>
      </c>
      <c r="D574" s="2" t="s">
        <v>694</v>
      </c>
      <c r="E574" s="1">
        <v>23.0</v>
      </c>
      <c r="F574" s="1">
        <v>7.0</v>
      </c>
      <c r="G574" s="1">
        <v>1.12</v>
      </c>
      <c r="H574" s="1">
        <v>0.0</v>
      </c>
      <c r="I574" s="1">
        <v>0.0</v>
      </c>
      <c r="J574" s="1">
        <v>0.0</v>
      </c>
      <c r="K574" s="1">
        <v>0.37</v>
      </c>
      <c r="L574" s="1">
        <v>2300000.0</v>
      </c>
      <c r="M574" s="1" t="s">
        <v>4320</v>
      </c>
      <c r="N574" s="18">
        <v>46035.0</v>
      </c>
      <c r="O574" s="1" t="s">
        <v>4321</v>
      </c>
      <c r="P574" s="1" t="s">
        <v>3230</v>
      </c>
      <c r="Q574" s="1" t="s">
        <v>3408</v>
      </c>
    </row>
    <row r="575">
      <c r="A575" s="1" t="s">
        <v>3682</v>
      </c>
      <c r="B575" s="1">
        <v>23.0</v>
      </c>
      <c r="C575" s="1">
        <v>50.0</v>
      </c>
      <c r="D575" s="2" t="s">
        <v>581</v>
      </c>
      <c r="E575" s="1">
        <v>23.0</v>
      </c>
      <c r="F575" s="1">
        <v>12.0</v>
      </c>
      <c r="G575" s="1">
        <v>11.04</v>
      </c>
      <c r="H575" s="1">
        <v>0.0</v>
      </c>
      <c r="I575" s="1">
        <v>0.0</v>
      </c>
      <c r="J575" s="1">
        <v>0.0</v>
      </c>
      <c r="K575" s="1">
        <v>0.47</v>
      </c>
      <c r="L575" s="1">
        <v>143000.0</v>
      </c>
      <c r="M575" s="1" t="s">
        <v>3683</v>
      </c>
      <c r="N575" s="18">
        <v>46034.0</v>
      </c>
      <c r="O575" s="1" t="s">
        <v>3673</v>
      </c>
      <c r="P575" s="1" t="s">
        <v>3257</v>
      </c>
      <c r="Q575" s="1" t="s">
        <v>3408</v>
      </c>
    </row>
    <row r="576">
      <c r="A576" s="1" t="s">
        <v>4322</v>
      </c>
      <c r="B576" s="1">
        <v>23.0</v>
      </c>
      <c r="C576" s="1">
        <v>260.0</v>
      </c>
      <c r="D576" s="2" t="s">
        <v>694</v>
      </c>
      <c r="E576" s="1">
        <v>23.0</v>
      </c>
      <c r="F576" s="1">
        <v>11.0</v>
      </c>
      <c r="G576" s="1">
        <v>0.49</v>
      </c>
      <c r="H576" s="1">
        <v>0.0</v>
      </c>
      <c r="I576" s="1">
        <v>0.0</v>
      </c>
      <c r="J576" s="1">
        <v>0.0</v>
      </c>
      <c r="K576" s="1">
        <v>0.05</v>
      </c>
      <c r="L576" s="1">
        <v>3130000.0</v>
      </c>
      <c r="M576" s="1" t="s">
        <v>4323</v>
      </c>
      <c r="N576" s="18">
        <v>46033.0</v>
      </c>
      <c r="O576" s="1" t="s">
        <v>4324</v>
      </c>
      <c r="P576" s="1" t="s">
        <v>3230</v>
      </c>
      <c r="Q576" s="1" t="s">
        <v>3408</v>
      </c>
    </row>
    <row r="577">
      <c r="A577" s="1" t="s">
        <v>4325</v>
      </c>
      <c r="B577" s="1">
        <v>23.0</v>
      </c>
      <c r="C577" s="1">
        <v>70.0</v>
      </c>
      <c r="D577" s="2" t="s">
        <v>2416</v>
      </c>
      <c r="E577" s="1">
        <v>23.0</v>
      </c>
      <c r="G577" s="1">
        <v>0.0</v>
      </c>
      <c r="H577" s="1">
        <v>0.0</v>
      </c>
      <c r="I577" s="1">
        <v>0.0</v>
      </c>
      <c r="J577" s="1">
        <v>0.0</v>
      </c>
      <c r="K577" s="1">
        <v>0.0</v>
      </c>
      <c r="L577" s="1">
        <v>6740.0</v>
      </c>
      <c r="M577" s="1" t="s">
        <v>4326</v>
      </c>
      <c r="N577" s="18">
        <v>46024.0</v>
      </c>
      <c r="O577" s="1" t="s">
        <v>3479</v>
      </c>
      <c r="P577" s="1" t="s">
        <v>3230</v>
      </c>
      <c r="Q577" s="1" t="s">
        <v>3408</v>
      </c>
    </row>
    <row r="578">
      <c r="A578" s="1" t="s">
        <v>4327</v>
      </c>
      <c r="B578" s="1">
        <v>23.0</v>
      </c>
      <c r="C578" s="1">
        <v>70.0</v>
      </c>
      <c r="D578" s="2" t="s">
        <v>1033</v>
      </c>
      <c r="E578" s="1">
        <v>23.0</v>
      </c>
      <c r="F578" s="1">
        <v>3.0</v>
      </c>
      <c r="G578" s="1">
        <v>0.0</v>
      </c>
      <c r="H578" s="1">
        <v>0.0</v>
      </c>
      <c r="I578" s="1">
        <v>0.0</v>
      </c>
      <c r="J578" s="1">
        <v>0.0</v>
      </c>
      <c r="K578" s="1">
        <v>0.0</v>
      </c>
      <c r="L578" s="1">
        <v>591000.0</v>
      </c>
      <c r="M578" s="1" t="s">
        <v>4328</v>
      </c>
      <c r="N578" s="18">
        <v>46023.0</v>
      </c>
      <c r="O578" s="1" t="s">
        <v>3404</v>
      </c>
      <c r="P578" s="1" t="s">
        <v>3257</v>
      </c>
      <c r="Q578" s="1" t="s">
        <v>3408</v>
      </c>
    </row>
    <row r="579">
      <c r="A579" s="1" t="s">
        <v>4004</v>
      </c>
      <c r="B579" s="1">
        <v>23.0</v>
      </c>
      <c r="C579" s="1">
        <v>170.0</v>
      </c>
      <c r="D579" s="2" t="s">
        <v>588</v>
      </c>
      <c r="E579" s="1">
        <v>23.0</v>
      </c>
      <c r="F579" s="1">
        <v>32.0</v>
      </c>
      <c r="G579" s="1">
        <v>14.43</v>
      </c>
      <c r="H579" s="1">
        <v>0.0</v>
      </c>
      <c r="I579" s="1">
        <v>0.0</v>
      </c>
      <c r="J579" s="1">
        <v>0.0</v>
      </c>
      <c r="K579" s="1">
        <v>0.61</v>
      </c>
      <c r="L579" s="1">
        <v>197000.0</v>
      </c>
      <c r="M579" s="1" t="s">
        <v>4005</v>
      </c>
      <c r="N579" s="18">
        <v>46022.0</v>
      </c>
      <c r="O579" s="1" t="s">
        <v>4006</v>
      </c>
      <c r="P579" s="1" t="s">
        <v>3257</v>
      </c>
      <c r="Q579" s="1" t="s">
        <v>3408</v>
      </c>
    </row>
    <row r="580">
      <c r="A580" s="1" t="s">
        <v>4329</v>
      </c>
      <c r="B580" s="1">
        <v>23.0</v>
      </c>
      <c r="C580" s="1">
        <v>50.0</v>
      </c>
      <c r="D580" s="2" t="s">
        <v>581</v>
      </c>
      <c r="E580" s="1">
        <v>23.0</v>
      </c>
      <c r="F580" s="1">
        <v>30.0</v>
      </c>
      <c r="G580" s="1">
        <v>0.0</v>
      </c>
      <c r="H580" s="1">
        <v>0.0</v>
      </c>
      <c r="I580" s="1">
        <v>0.0</v>
      </c>
      <c r="J580" s="1">
        <v>0.0</v>
      </c>
      <c r="K580" s="1">
        <v>1.0</v>
      </c>
      <c r="L580" s="1">
        <v>5450000.0</v>
      </c>
      <c r="M580" s="1" t="s">
        <v>4330</v>
      </c>
      <c r="N580" s="18">
        <v>46021.0</v>
      </c>
      <c r="O580" s="1" t="s">
        <v>4331</v>
      </c>
      <c r="P580" s="1" t="s">
        <v>3257</v>
      </c>
      <c r="Q580" s="1" t="s">
        <v>3408</v>
      </c>
    </row>
    <row r="581">
      <c r="A581" s="1" t="s">
        <v>3674</v>
      </c>
      <c r="B581" s="1">
        <v>23.0</v>
      </c>
      <c r="C581" s="1">
        <v>40.0</v>
      </c>
      <c r="D581" s="2" t="s">
        <v>581</v>
      </c>
      <c r="E581" s="1">
        <v>23.0</v>
      </c>
      <c r="F581" s="1">
        <v>39.0</v>
      </c>
      <c r="G581" s="1">
        <v>12.96</v>
      </c>
      <c r="H581" s="1">
        <v>0.0</v>
      </c>
      <c r="I581" s="1">
        <v>0.0</v>
      </c>
      <c r="J581" s="1">
        <v>0.0</v>
      </c>
      <c r="K581" s="1">
        <v>0.63</v>
      </c>
      <c r="L581" s="1">
        <v>240000.0</v>
      </c>
      <c r="M581" s="1" t="s">
        <v>3675</v>
      </c>
      <c r="N581" s="18">
        <v>46018.0</v>
      </c>
      <c r="O581" s="1" t="s">
        <v>3482</v>
      </c>
      <c r="P581" s="1" t="s">
        <v>3257</v>
      </c>
      <c r="Q581" s="1" t="s">
        <v>3408</v>
      </c>
    </row>
    <row r="582">
      <c r="A582" s="1" t="s">
        <v>4332</v>
      </c>
      <c r="B582" s="1">
        <v>23.0</v>
      </c>
      <c r="C582" s="1">
        <v>40.0</v>
      </c>
      <c r="D582" s="2" t="s">
        <v>2416</v>
      </c>
      <c r="E582" s="1">
        <v>23.0</v>
      </c>
      <c r="F582" s="1">
        <v>8.0</v>
      </c>
      <c r="G582" s="1">
        <v>0.0</v>
      </c>
      <c r="H582" s="1">
        <v>0.0</v>
      </c>
      <c r="I582" s="1">
        <v>0.0</v>
      </c>
      <c r="J582" s="1">
        <v>0.0</v>
      </c>
      <c r="K582" s="1">
        <v>0.01</v>
      </c>
      <c r="L582" s="1">
        <v>1580000.0</v>
      </c>
      <c r="M582" s="1" t="s">
        <v>4333</v>
      </c>
      <c r="N582" s="18">
        <v>46018.0</v>
      </c>
      <c r="O582" s="1" t="s">
        <v>4118</v>
      </c>
      <c r="P582" s="1" t="s">
        <v>3230</v>
      </c>
      <c r="Q582" s="1" t="s">
        <v>3408</v>
      </c>
    </row>
    <row r="583">
      <c r="A583" s="1" t="s">
        <v>4334</v>
      </c>
      <c r="B583" s="1">
        <v>23.0</v>
      </c>
      <c r="C583" s="1">
        <v>40.0</v>
      </c>
      <c r="D583" s="2" t="s">
        <v>439</v>
      </c>
      <c r="E583" s="1">
        <v>23.0</v>
      </c>
      <c r="F583" s="1">
        <v>20.0</v>
      </c>
      <c r="G583" s="1">
        <v>6.38</v>
      </c>
      <c r="H583" s="1">
        <v>0.0</v>
      </c>
      <c r="I583" s="1">
        <v>0.0</v>
      </c>
      <c r="J583" s="1">
        <v>0.0</v>
      </c>
      <c r="K583" s="1">
        <v>0.15</v>
      </c>
      <c r="L583" s="1">
        <v>896000.0</v>
      </c>
      <c r="M583" s="1" t="s">
        <v>4335</v>
      </c>
      <c r="N583" s="18">
        <v>46018.0</v>
      </c>
      <c r="O583" s="1" t="s">
        <v>3482</v>
      </c>
      <c r="P583" s="1" t="s">
        <v>3462</v>
      </c>
      <c r="Q583" s="1" t="s">
        <v>3408</v>
      </c>
    </row>
    <row r="584">
      <c r="A584" s="1" t="s">
        <v>4015</v>
      </c>
      <c r="B584" s="1">
        <v>23.0</v>
      </c>
      <c r="C584" s="1">
        <v>110.0</v>
      </c>
      <c r="D584" s="2" t="s">
        <v>1318</v>
      </c>
      <c r="E584" s="1">
        <v>23.0</v>
      </c>
      <c r="F584" s="1">
        <v>7.0</v>
      </c>
      <c r="G584" s="1">
        <v>0.0</v>
      </c>
      <c r="H584" s="1">
        <v>0.0</v>
      </c>
      <c r="I584" s="1">
        <v>0.0</v>
      </c>
      <c r="J584" s="1">
        <v>0.0</v>
      </c>
      <c r="K584" s="1">
        <v>0.38</v>
      </c>
      <c r="L584" s="1">
        <v>1.93E7</v>
      </c>
      <c r="M584" s="1" t="s">
        <v>4016</v>
      </c>
      <c r="N584" s="18">
        <v>46018.0</v>
      </c>
      <c r="O584" s="1" t="s">
        <v>3482</v>
      </c>
      <c r="P584" s="1" t="s">
        <v>3257</v>
      </c>
      <c r="Q584" s="1" t="s">
        <v>3408</v>
      </c>
    </row>
    <row r="585">
      <c r="A585" s="1" t="s">
        <v>4336</v>
      </c>
      <c r="B585" s="1">
        <v>23.0</v>
      </c>
      <c r="C585" s="1">
        <v>110.0</v>
      </c>
      <c r="D585" s="2" t="s">
        <v>770</v>
      </c>
      <c r="E585" s="1">
        <v>23.0</v>
      </c>
      <c r="F585" s="1">
        <v>22.0</v>
      </c>
      <c r="G585" s="1">
        <v>0.0</v>
      </c>
      <c r="H585" s="1">
        <v>0.0</v>
      </c>
      <c r="I585" s="1">
        <v>0.0</v>
      </c>
      <c r="J585" s="1">
        <v>0.0</v>
      </c>
      <c r="K585" s="1">
        <v>0.0</v>
      </c>
      <c r="L585" s="1">
        <v>2030.0</v>
      </c>
      <c r="M585" s="1" t="s">
        <v>4337</v>
      </c>
      <c r="N585" s="18">
        <v>46017.0</v>
      </c>
      <c r="O585" s="1" t="s">
        <v>4338</v>
      </c>
      <c r="P585" s="1" t="s">
        <v>3230</v>
      </c>
      <c r="Q585" s="1" t="s">
        <v>3408</v>
      </c>
    </row>
    <row r="586">
      <c r="A586" s="1" t="s">
        <v>4339</v>
      </c>
      <c r="B586" s="1">
        <v>23.0</v>
      </c>
      <c r="C586" s="1">
        <v>50.0</v>
      </c>
      <c r="D586" s="2" t="s">
        <v>584</v>
      </c>
      <c r="E586" s="1">
        <v>23.0</v>
      </c>
      <c r="F586" s="1">
        <v>0.0</v>
      </c>
      <c r="G586" s="1">
        <v>63.18</v>
      </c>
      <c r="H586" s="1">
        <v>0.0</v>
      </c>
      <c r="I586" s="1">
        <v>0.0</v>
      </c>
      <c r="J586" s="1">
        <v>0.0</v>
      </c>
      <c r="K586" s="1">
        <v>0.15</v>
      </c>
      <c r="L586" s="1">
        <v>15300.0</v>
      </c>
      <c r="M586" s="1" t="s">
        <v>4340</v>
      </c>
      <c r="N586" s="18">
        <v>46015.0</v>
      </c>
      <c r="O586" s="1" t="s">
        <v>4341</v>
      </c>
      <c r="P586" s="1" t="s">
        <v>3257</v>
      </c>
      <c r="Q586" s="1" t="s">
        <v>3408</v>
      </c>
    </row>
    <row r="587">
      <c r="A587" s="1" t="s">
        <v>4342</v>
      </c>
      <c r="B587" s="1">
        <v>23.0</v>
      </c>
      <c r="C587" s="1">
        <v>70.0</v>
      </c>
      <c r="D587" s="2" t="s">
        <v>2930</v>
      </c>
      <c r="E587" s="1">
        <v>23.0</v>
      </c>
      <c r="F587" s="1">
        <v>55.0</v>
      </c>
      <c r="G587" s="1">
        <v>0.0</v>
      </c>
      <c r="H587" s="1">
        <v>0.0</v>
      </c>
      <c r="I587" s="1">
        <v>0.0</v>
      </c>
      <c r="J587" s="1">
        <v>0.0</v>
      </c>
      <c r="K587" s="1">
        <v>0.0</v>
      </c>
      <c r="L587" s="1">
        <v>157000.0</v>
      </c>
      <c r="M587" s="1" t="s">
        <v>4343</v>
      </c>
      <c r="N587" s="18">
        <v>46011.0</v>
      </c>
      <c r="O587" s="1" t="s">
        <v>4278</v>
      </c>
      <c r="P587" s="1" t="s">
        <v>3301</v>
      </c>
      <c r="Q587" s="1" t="s">
        <v>3408</v>
      </c>
    </row>
    <row r="588">
      <c r="A588" s="1" t="s">
        <v>4344</v>
      </c>
      <c r="B588" s="1">
        <v>23.0</v>
      </c>
      <c r="C588" s="1">
        <v>50.0</v>
      </c>
      <c r="D588" s="2" t="s">
        <v>1307</v>
      </c>
      <c r="E588" s="1">
        <v>23.0</v>
      </c>
      <c r="F588" s="1">
        <v>4.0</v>
      </c>
      <c r="G588" s="1">
        <v>4.78</v>
      </c>
      <c r="H588" s="1">
        <v>0.0</v>
      </c>
      <c r="I588" s="1">
        <v>0.0</v>
      </c>
      <c r="J588" s="1">
        <v>0.0</v>
      </c>
      <c r="K588" s="1">
        <v>0.91</v>
      </c>
      <c r="L588" s="1">
        <v>293000.0</v>
      </c>
      <c r="M588" s="1" t="s">
        <v>4345</v>
      </c>
      <c r="N588" s="18">
        <v>46010.0</v>
      </c>
      <c r="O588" s="1" t="s">
        <v>3686</v>
      </c>
      <c r="P588" s="1" t="s">
        <v>3257</v>
      </c>
      <c r="Q588" s="1" t="s">
        <v>3408</v>
      </c>
    </row>
    <row r="589">
      <c r="A589" s="1" t="s">
        <v>4346</v>
      </c>
      <c r="B589" s="1">
        <v>23.0</v>
      </c>
      <c r="C589" s="1">
        <v>480.0</v>
      </c>
      <c r="D589" s="2" t="s">
        <v>694</v>
      </c>
      <c r="E589" s="1">
        <v>23.0</v>
      </c>
      <c r="F589" s="1">
        <v>18.0</v>
      </c>
      <c r="G589" s="1">
        <v>0.75</v>
      </c>
      <c r="H589" s="1">
        <v>0.0</v>
      </c>
      <c r="I589" s="1">
        <v>0.0</v>
      </c>
      <c r="J589" s="1">
        <v>0.0</v>
      </c>
      <c r="K589" s="1">
        <v>0.26</v>
      </c>
      <c r="L589" s="1">
        <v>2910000.0</v>
      </c>
      <c r="M589" s="1" t="s">
        <v>4347</v>
      </c>
      <c r="N589" s="18">
        <v>46007.0</v>
      </c>
      <c r="O589" s="1" t="s">
        <v>3314</v>
      </c>
      <c r="P589" s="1" t="s">
        <v>3230</v>
      </c>
      <c r="Q589" s="1" t="s">
        <v>3408</v>
      </c>
    </row>
    <row r="590">
      <c r="A590" s="1" t="s">
        <v>4348</v>
      </c>
      <c r="B590" s="1">
        <v>23.0</v>
      </c>
      <c r="C590" s="1">
        <v>70.0</v>
      </c>
      <c r="D590" s="2" t="s">
        <v>451</v>
      </c>
      <c r="E590" s="1">
        <v>23.0</v>
      </c>
      <c r="F590" s="1">
        <v>7.0</v>
      </c>
      <c r="G590" s="1">
        <v>0.0</v>
      </c>
      <c r="H590" s="1">
        <v>0.0</v>
      </c>
      <c r="I590" s="1">
        <v>0.0</v>
      </c>
      <c r="J590" s="1">
        <v>0.0</v>
      </c>
      <c r="K590" s="1">
        <v>0.04</v>
      </c>
      <c r="L590" s="1">
        <v>3.33E8</v>
      </c>
      <c r="M590" s="1" t="s">
        <v>4349</v>
      </c>
      <c r="N590" s="18">
        <v>46004.0</v>
      </c>
      <c r="O590" s="1" t="s">
        <v>4350</v>
      </c>
      <c r="P590" s="1" t="s">
        <v>3230</v>
      </c>
      <c r="Q590" s="1" t="s">
        <v>3408</v>
      </c>
    </row>
    <row r="591">
      <c r="A591" s="1" t="s">
        <v>3716</v>
      </c>
      <c r="B591" s="1">
        <v>23.0</v>
      </c>
      <c r="C591" s="1">
        <v>30.0</v>
      </c>
      <c r="D591" s="2" t="s">
        <v>581</v>
      </c>
      <c r="E591" s="1">
        <v>23.0</v>
      </c>
      <c r="F591" s="1">
        <v>48.0</v>
      </c>
      <c r="G591" s="1">
        <v>21.97</v>
      </c>
      <c r="H591" s="1">
        <v>0.0</v>
      </c>
      <c r="I591" s="1">
        <v>0.0</v>
      </c>
      <c r="J591" s="1">
        <v>0.0</v>
      </c>
      <c r="K591" s="1">
        <v>0.09</v>
      </c>
      <c r="L591" s="1">
        <v>724000.0</v>
      </c>
      <c r="M591" s="1" t="s">
        <v>3717</v>
      </c>
      <c r="N591" s="18">
        <v>46002.0</v>
      </c>
      <c r="O591" s="1" t="s">
        <v>3435</v>
      </c>
      <c r="P591" s="1" t="s">
        <v>3257</v>
      </c>
      <c r="Q591" s="1" t="s">
        <v>3408</v>
      </c>
    </row>
    <row r="592">
      <c r="A592" s="1" t="s">
        <v>4351</v>
      </c>
      <c r="B592" s="1">
        <v>23.0</v>
      </c>
      <c r="C592" s="1">
        <v>140.0</v>
      </c>
      <c r="D592" s="2" t="s">
        <v>770</v>
      </c>
      <c r="E592" s="1">
        <v>23.0</v>
      </c>
      <c r="F592" s="1">
        <v>49.0</v>
      </c>
      <c r="G592" s="1">
        <v>0.0</v>
      </c>
      <c r="H592" s="1">
        <v>0.0</v>
      </c>
      <c r="I592" s="1">
        <v>0.0</v>
      </c>
      <c r="J592" s="1">
        <v>0.0</v>
      </c>
      <c r="K592" s="1">
        <v>0.0</v>
      </c>
      <c r="L592" s="1">
        <v>694000.0</v>
      </c>
      <c r="M592" s="1" t="s">
        <v>4352</v>
      </c>
      <c r="N592" s="18">
        <v>45998.0</v>
      </c>
      <c r="O592" s="1" t="s">
        <v>4353</v>
      </c>
      <c r="P592" s="1" t="s">
        <v>3230</v>
      </c>
      <c r="Q592" s="1" t="s">
        <v>3408</v>
      </c>
    </row>
    <row r="593">
      <c r="A593" s="1" t="s">
        <v>4354</v>
      </c>
      <c r="B593" s="1">
        <v>23.0</v>
      </c>
      <c r="C593" s="1">
        <v>720.0</v>
      </c>
      <c r="D593" s="2" t="s">
        <v>2930</v>
      </c>
      <c r="E593" s="1">
        <v>23.0</v>
      </c>
      <c r="F593" s="1">
        <v>46.0</v>
      </c>
      <c r="G593" s="1">
        <v>0.0</v>
      </c>
      <c r="H593" s="1">
        <v>0.0</v>
      </c>
      <c r="I593" s="1">
        <v>0.0</v>
      </c>
      <c r="J593" s="1">
        <v>0.0</v>
      </c>
      <c r="K593" s="1">
        <v>0.0</v>
      </c>
      <c r="L593" s="1">
        <v>654000.0</v>
      </c>
      <c r="M593" s="1" t="s">
        <v>4355</v>
      </c>
      <c r="N593" s="18">
        <v>45996.0</v>
      </c>
      <c r="O593" s="1" t="s">
        <v>4096</v>
      </c>
      <c r="P593" s="1" t="s">
        <v>3230</v>
      </c>
      <c r="Q593" s="1" t="s">
        <v>3408</v>
      </c>
    </row>
    <row r="594">
      <c r="A594" s="1" t="s">
        <v>4356</v>
      </c>
      <c r="B594" s="1">
        <v>23.0</v>
      </c>
      <c r="C594" s="1">
        <v>70.0</v>
      </c>
      <c r="D594" s="2" t="s">
        <v>1295</v>
      </c>
      <c r="E594" s="1">
        <v>23.0</v>
      </c>
      <c r="F594" s="1">
        <v>22.0</v>
      </c>
      <c r="G594" s="1">
        <v>0.0</v>
      </c>
      <c r="H594" s="1">
        <v>0.0</v>
      </c>
      <c r="I594" s="1">
        <v>0.0</v>
      </c>
      <c r="J594" s="1">
        <v>0.0</v>
      </c>
      <c r="K594" s="1">
        <v>0.0</v>
      </c>
      <c r="L594" s="1">
        <v>5.11E7</v>
      </c>
      <c r="M594" s="1" t="s">
        <v>4357</v>
      </c>
      <c r="N594" s="18">
        <v>45996.0</v>
      </c>
      <c r="O594" s="1" t="s">
        <v>3242</v>
      </c>
      <c r="P594" s="1" t="s">
        <v>3230</v>
      </c>
      <c r="Q594" s="1" t="s">
        <v>3408</v>
      </c>
    </row>
    <row r="595">
      <c r="A595" s="1" t="s">
        <v>4358</v>
      </c>
      <c r="B595" s="1">
        <v>23.0</v>
      </c>
      <c r="C595" s="1">
        <v>170.0</v>
      </c>
      <c r="D595" s="2" t="s">
        <v>694</v>
      </c>
      <c r="E595" s="1">
        <v>23.0</v>
      </c>
      <c r="F595" s="1">
        <v>19.0</v>
      </c>
      <c r="G595" s="1">
        <v>0.72</v>
      </c>
      <c r="H595" s="1">
        <v>0.0</v>
      </c>
      <c r="I595" s="1">
        <v>0.0</v>
      </c>
      <c r="J595" s="1">
        <v>0.0</v>
      </c>
      <c r="K595" s="1">
        <v>0.16</v>
      </c>
      <c r="L595" s="1">
        <v>3040000.0</v>
      </c>
      <c r="M595" s="1" t="s">
        <v>4359</v>
      </c>
      <c r="N595" s="18">
        <v>45991.0</v>
      </c>
      <c r="O595" s="1" t="s">
        <v>4360</v>
      </c>
      <c r="P595" s="1" t="s">
        <v>3230</v>
      </c>
      <c r="Q595" s="1" t="s">
        <v>3408</v>
      </c>
    </row>
    <row r="596">
      <c r="A596" s="1" t="s">
        <v>3322</v>
      </c>
      <c r="B596" s="1">
        <v>24.0</v>
      </c>
      <c r="C596" s="1">
        <v>90.0</v>
      </c>
      <c r="D596" s="2" t="s">
        <v>694</v>
      </c>
      <c r="E596" s="1">
        <v>24.0</v>
      </c>
      <c r="F596" s="1">
        <v>7.0</v>
      </c>
      <c r="G596" s="1">
        <v>0.0</v>
      </c>
      <c r="H596" s="1">
        <v>0.0</v>
      </c>
      <c r="I596" s="1">
        <v>0.0</v>
      </c>
      <c r="J596" s="1">
        <v>0.0</v>
      </c>
      <c r="K596" s="1">
        <v>0.03</v>
      </c>
      <c r="L596" s="1">
        <v>3200000.0</v>
      </c>
      <c r="M596" s="1" t="s">
        <v>3323</v>
      </c>
      <c r="N596" s="18">
        <v>46035.0</v>
      </c>
      <c r="O596" s="1" t="s">
        <v>3314</v>
      </c>
      <c r="P596" s="1" t="s">
        <v>3230</v>
      </c>
      <c r="Q596" s="1" t="s">
        <v>3408</v>
      </c>
    </row>
    <row r="597">
      <c r="A597" s="1" t="s">
        <v>3668</v>
      </c>
      <c r="B597" s="1">
        <v>24.0</v>
      </c>
      <c r="C597" s="1">
        <v>50.0</v>
      </c>
      <c r="D597" s="2" t="s">
        <v>535</v>
      </c>
      <c r="E597" s="1">
        <v>24.0</v>
      </c>
      <c r="F597" s="1">
        <v>0.0</v>
      </c>
      <c r="G597" s="1">
        <v>0.0</v>
      </c>
      <c r="H597" s="1">
        <v>0.0</v>
      </c>
      <c r="I597" s="1">
        <v>0.0</v>
      </c>
      <c r="J597" s="1">
        <v>0.0</v>
      </c>
      <c r="K597" s="1">
        <v>0.33</v>
      </c>
      <c r="L597" s="1">
        <v>12900.0</v>
      </c>
      <c r="M597" s="1" t="s">
        <v>3669</v>
      </c>
      <c r="N597" s="18">
        <v>46033.0</v>
      </c>
      <c r="O597" s="1" t="s">
        <v>3670</v>
      </c>
      <c r="P597" s="1" t="s">
        <v>3334</v>
      </c>
      <c r="Q597" s="1" t="s">
        <v>3408</v>
      </c>
    </row>
    <row r="598">
      <c r="A598" s="1" t="s">
        <v>4361</v>
      </c>
      <c r="B598" s="1">
        <v>24.0</v>
      </c>
      <c r="C598" s="1">
        <v>70.0</v>
      </c>
      <c r="D598" s="2" t="s">
        <v>1868</v>
      </c>
      <c r="E598" s="1">
        <v>24.0</v>
      </c>
      <c r="F598" s="1">
        <v>3.0</v>
      </c>
      <c r="G598" s="1">
        <v>0.0</v>
      </c>
      <c r="H598" s="1">
        <v>0.0</v>
      </c>
      <c r="I598" s="1">
        <v>0.0</v>
      </c>
      <c r="J598" s="1">
        <v>0.0</v>
      </c>
      <c r="K598" s="1">
        <v>0.33</v>
      </c>
      <c r="L598" s="1">
        <v>2.38E9</v>
      </c>
      <c r="M598" s="1" t="s">
        <v>4362</v>
      </c>
      <c r="N598" s="18">
        <v>46028.0</v>
      </c>
      <c r="O598" s="1" t="s">
        <v>4363</v>
      </c>
      <c r="P598" s="1" t="s">
        <v>3230</v>
      </c>
      <c r="Q598" s="1" t="s">
        <v>3408</v>
      </c>
    </row>
    <row r="599">
      <c r="A599" s="1" t="s">
        <v>3651</v>
      </c>
      <c r="B599" s="1">
        <v>24.0</v>
      </c>
      <c r="C599" s="1">
        <v>50.0</v>
      </c>
      <c r="D599" s="2" t="s">
        <v>535</v>
      </c>
      <c r="E599" s="1">
        <v>24.0</v>
      </c>
      <c r="F599" s="1">
        <v>3.0</v>
      </c>
      <c r="G599" s="1">
        <v>5.11</v>
      </c>
      <c r="H599" s="1">
        <v>0.0</v>
      </c>
      <c r="I599" s="1">
        <v>0.0</v>
      </c>
      <c r="J599" s="1">
        <v>0.0</v>
      </c>
      <c r="K599" s="1">
        <v>0.12</v>
      </c>
      <c r="L599" s="1">
        <v>34000.0</v>
      </c>
      <c r="M599" s="1" t="s">
        <v>3652</v>
      </c>
      <c r="N599" s="18">
        <v>46027.0</v>
      </c>
      <c r="O599" s="1" t="s">
        <v>3653</v>
      </c>
      <c r="P599" s="1" t="s">
        <v>3334</v>
      </c>
      <c r="Q599" s="1" t="s">
        <v>3408</v>
      </c>
    </row>
    <row r="600">
      <c r="A600" s="1" t="s">
        <v>4364</v>
      </c>
      <c r="B600" s="1">
        <v>24.0</v>
      </c>
      <c r="C600" s="1">
        <v>170.0</v>
      </c>
      <c r="D600" s="2" t="s">
        <v>839</v>
      </c>
      <c r="E600" s="1">
        <v>24.0</v>
      </c>
      <c r="F600" s="1">
        <v>24.0</v>
      </c>
      <c r="G600" s="1">
        <v>1.6</v>
      </c>
      <c r="H600" s="1">
        <v>0.0</v>
      </c>
      <c r="I600" s="1">
        <v>0.0</v>
      </c>
      <c r="J600" s="1">
        <v>0.0</v>
      </c>
      <c r="K600" s="1">
        <v>0.02</v>
      </c>
      <c r="L600" s="1">
        <v>2070000.0</v>
      </c>
      <c r="M600" s="1" t="s">
        <v>4365</v>
      </c>
      <c r="N600" s="18">
        <v>46025.0</v>
      </c>
      <c r="O600" s="1" t="s">
        <v>4366</v>
      </c>
      <c r="P600" s="1" t="s">
        <v>3257</v>
      </c>
      <c r="Q600" s="1" t="s">
        <v>3408</v>
      </c>
    </row>
    <row r="601">
      <c r="A601" s="1" t="s">
        <v>4367</v>
      </c>
      <c r="B601" s="1">
        <v>24.0</v>
      </c>
      <c r="C601" s="1">
        <v>110.0</v>
      </c>
      <c r="D601" s="2" t="s">
        <v>581</v>
      </c>
      <c r="E601" s="1">
        <v>24.0</v>
      </c>
      <c r="F601" s="1">
        <v>34.0</v>
      </c>
      <c r="G601" s="1">
        <v>19.89</v>
      </c>
      <c r="H601" s="1">
        <v>0.0</v>
      </c>
      <c r="I601" s="1">
        <v>0.0</v>
      </c>
      <c r="J601" s="1">
        <v>0.0</v>
      </c>
      <c r="K601" s="1">
        <v>0.52</v>
      </c>
      <c r="L601" s="1">
        <v>8950000.0</v>
      </c>
      <c r="M601" s="1" t="s">
        <v>4368</v>
      </c>
      <c r="N601" s="18">
        <v>46024.0</v>
      </c>
      <c r="O601" s="1" t="s">
        <v>4369</v>
      </c>
      <c r="P601" s="1" t="s">
        <v>3257</v>
      </c>
      <c r="Q601" s="1" t="s">
        <v>3408</v>
      </c>
    </row>
    <row r="602">
      <c r="A602" s="1" t="s">
        <v>4370</v>
      </c>
      <c r="B602" s="1">
        <v>24.0</v>
      </c>
      <c r="C602" s="1">
        <v>70.0</v>
      </c>
      <c r="D602" s="2" t="s">
        <v>439</v>
      </c>
      <c r="E602" s="1">
        <v>24.0</v>
      </c>
      <c r="F602" s="1">
        <v>17.0</v>
      </c>
      <c r="G602" s="1">
        <v>0.0</v>
      </c>
      <c r="H602" s="1">
        <v>0.0</v>
      </c>
      <c r="I602" s="1">
        <v>0.0</v>
      </c>
      <c r="J602" s="1">
        <v>0.0</v>
      </c>
      <c r="K602" s="1">
        <v>0.04</v>
      </c>
      <c r="L602" s="1">
        <v>255000.0</v>
      </c>
      <c r="M602" s="1" t="s">
        <v>4371</v>
      </c>
      <c r="N602" s="18">
        <v>46023.0</v>
      </c>
      <c r="O602" s="1" t="s">
        <v>4372</v>
      </c>
      <c r="P602" s="1" t="s">
        <v>3294</v>
      </c>
      <c r="Q602" s="1" t="s">
        <v>3408</v>
      </c>
    </row>
    <row r="603">
      <c r="A603" s="1" t="s">
        <v>4373</v>
      </c>
      <c r="B603" s="1">
        <v>24.0</v>
      </c>
      <c r="C603" s="1">
        <v>70.0</v>
      </c>
      <c r="D603" s="2" t="s">
        <v>718</v>
      </c>
      <c r="E603" s="1">
        <v>24.0</v>
      </c>
      <c r="F603" s="1">
        <v>0.0</v>
      </c>
      <c r="G603" s="1">
        <v>0.0</v>
      </c>
      <c r="H603" s="1">
        <v>0.0</v>
      </c>
      <c r="I603" s="1">
        <v>0.0</v>
      </c>
      <c r="J603" s="1">
        <v>0.0</v>
      </c>
      <c r="K603" s="1">
        <v>0.0</v>
      </c>
      <c r="L603" s="1">
        <v>247000.0</v>
      </c>
      <c r="M603" s="1" t="s">
        <v>4374</v>
      </c>
      <c r="N603" s="18">
        <v>46015.0</v>
      </c>
      <c r="P603" s="1" t="s">
        <v>3334</v>
      </c>
      <c r="Q603" s="1" t="s">
        <v>3408</v>
      </c>
    </row>
    <row r="604">
      <c r="A604" s="1" t="s">
        <v>4375</v>
      </c>
      <c r="B604" s="1">
        <v>24.0</v>
      </c>
      <c r="C604" s="1">
        <v>50.0</v>
      </c>
      <c r="D604" s="2" t="s">
        <v>867</v>
      </c>
      <c r="E604" s="1">
        <v>24.0</v>
      </c>
      <c r="F604" s="1">
        <v>1.0</v>
      </c>
      <c r="G604" s="1">
        <v>0.0</v>
      </c>
      <c r="H604" s="1">
        <v>0.0</v>
      </c>
      <c r="I604" s="1">
        <v>0.0</v>
      </c>
      <c r="J604" s="1">
        <v>0.0</v>
      </c>
      <c r="K604" s="1">
        <v>0.0</v>
      </c>
      <c r="L604" s="1">
        <v>4900000.0</v>
      </c>
      <c r="M604" s="1" t="s">
        <v>4376</v>
      </c>
      <c r="N604" s="18">
        <v>46005.0</v>
      </c>
      <c r="O604" s="1" t="s">
        <v>3670</v>
      </c>
      <c r="P604" s="1" t="s">
        <v>3230</v>
      </c>
      <c r="Q604" s="1" t="s">
        <v>3408</v>
      </c>
    </row>
    <row r="605">
      <c r="A605" s="1" t="s">
        <v>4377</v>
      </c>
      <c r="B605" s="1">
        <v>24.0</v>
      </c>
      <c r="C605" s="1">
        <v>70.0</v>
      </c>
      <c r="D605" s="2" t="s">
        <v>1418</v>
      </c>
      <c r="E605" s="1">
        <v>24.0</v>
      </c>
      <c r="F605" s="1">
        <v>18.0</v>
      </c>
      <c r="G605" s="1">
        <v>0.71</v>
      </c>
      <c r="H605" s="1">
        <v>0.0</v>
      </c>
      <c r="I605" s="1">
        <v>0.0</v>
      </c>
      <c r="J605" s="1">
        <v>0.0</v>
      </c>
      <c r="K605" s="1">
        <v>0.27</v>
      </c>
      <c r="L605" s="1">
        <v>2.69E7</v>
      </c>
      <c r="M605" s="1" t="s">
        <v>4378</v>
      </c>
      <c r="N605" s="18">
        <v>46003.0</v>
      </c>
      <c r="O605" s="1" t="s">
        <v>3496</v>
      </c>
      <c r="P605" s="1" t="s">
        <v>3230</v>
      </c>
      <c r="Q605" s="1" t="s">
        <v>3408</v>
      </c>
    </row>
    <row r="606">
      <c r="A606" s="1" t="s">
        <v>3714</v>
      </c>
      <c r="B606" s="1">
        <v>24.0</v>
      </c>
      <c r="C606" s="1">
        <v>70.0</v>
      </c>
      <c r="D606" s="2" t="s">
        <v>581</v>
      </c>
      <c r="E606" s="1">
        <v>24.0</v>
      </c>
      <c r="F606" s="1">
        <v>47.0</v>
      </c>
      <c r="G606" s="1">
        <v>17.92</v>
      </c>
      <c r="H606" s="1">
        <v>0.0</v>
      </c>
      <c r="I606" s="1">
        <v>0.0</v>
      </c>
      <c r="J606" s="1">
        <v>0.0</v>
      </c>
      <c r="K606" s="1">
        <v>0.32</v>
      </c>
      <c r="L606" s="1">
        <v>657000.0</v>
      </c>
      <c r="M606" s="1" t="s">
        <v>3715</v>
      </c>
      <c r="N606" s="18">
        <v>46003.0</v>
      </c>
      <c r="O606" s="1" t="s">
        <v>3415</v>
      </c>
      <c r="P606" s="1" t="s">
        <v>3257</v>
      </c>
      <c r="Q606" s="1" t="s">
        <v>3408</v>
      </c>
    </row>
    <row r="607">
      <c r="A607" s="1" t="s">
        <v>4379</v>
      </c>
      <c r="B607" s="1">
        <v>24.0</v>
      </c>
      <c r="C607" s="1">
        <v>50.0</v>
      </c>
      <c r="D607" s="2" t="s">
        <v>1037</v>
      </c>
      <c r="E607" s="1">
        <v>24.0</v>
      </c>
      <c r="F607" s="1">
        <v>3.0</v>
      </c>
      <c r="G607" s="1">
        <v>10.03</v>
      </c>
      <c r="H607" s="1">
        <v>0.0</v>
      </c>
      <c r="I607" s="1">
        <v>0.0</v>
      </c>
      <c r="J607" s="1">
        <v>0.0</v>
      </c>
      <c r="K607" s="1">
        <v>0.05</v>
      </c>
      <c r="L607" s="1">
        <v>866000.0</v>
      </c>
      <c r="M607" s="1" t="s">
        <v>4380</v>
      </c>
      <c r="N607" s="18">
        <v>46002.0</v>
      </c>
      <c r="O607" s="1" t="s">
        <v>4226</v>
      </c>
      <c r="P607" s="1" t="s">
        <v>3334</v>
      </c>
      <c r="Q607" s="1" t="s">
        <v>3408</v>
      </c>
    </row>
    <row r="608">
      <c r="A608" s="1" t="s">
        <v>4381</v>
      </c>
      <c r="B608" s="1">
        <v>24.0</v>
      </c>
      <c r="C608" s="1">
        <v>90.0</v>
      </c>
      <c r="D608" s="2" t="s">
        <v>2408</v>
      </c>
      <c r="E608" s="1">
        <v>24.0</v>
      </c>
      <c r="F608" s="1">
        <v>2.0</v>
      </c>
      <c r="G608" s="1">
        <v>0.0</v>
      </c>
      <c r="H608" s="1">
        <v>0.0</v>
      </c>
      <c r="I608" s="1">
        <v>0.0</v>
      </c>
      <c r="J608" s="1">
        <v>0.0</v>
      </c>
      <c r="K608" s="1">
        <v>0.02</v>
      </c>
      <c r="L608" s="1">
        <v>2120000.0</v>
      </c>
      <c r="M608" s="1" t="s">
        <v>4382</v>
      </c>
      <c r="N608" s="18">
        <v>46002.0</v>
      </c>
      <c r="O608" s="1" t="s">
        <v>3479</v>
      </c>
      <c r="P608" s="1" t="s">
        <v>3230</v>
      </c>
      <c r="Q608" s="1" t="s">
        <v>3408</v>
      </c>
    </row>
    <row r="609">
      <c r="A609" s="1" t="s">
        <v>4383</v>
      </c>
      <c r="B609" s="1">
        <v>24.0</v>
      </c>
      <c r="C609" s="1">
        <v>110.0</v>
      </c>
      <c r="D609" s="2" t="s">
        <v>694</v>
      </c>
      <c r="E609" s="1">
        <v>24.0</v>
      </c>
      <c r="F609" s="1">
        <v>20.0</v>
      </c>
      <c r="G609" s="1">
        <v>0.14</v>
      </c>
      <c r="H609" s="1">
        <v>0.0</v>
      </c>
      <c r="I609" s="1">
        <v>0.0</v>
      </c>
      <c r="J609" s="1">
        <v>0.0</v>
      </c>
      <c r="K609" s="1">
        <v>0.18</v>
      </c>
      <c r="L609" s="1">
        <v>6640000.0</v>
      </c>
      <c r="M609" s="1" t="s">
        <v>4384</v>
      </c>
      <c r="N609" s="18">
        <v>46000.0</v>
      </c>
      <c r="O609" s="1" t="s">
        <v>3479</v>
      </c>
      <c r="P609" s="1" t="s">
        <v>3230</v>
      </c>
      <c r="Q609" s="1" t="s">
        <v>3408</v>
      </c>
    </row>
    <row r="610">
      <c r="A610" s="1" t="s">
        <v>4385</v>
      </c>
      <c r="B610" s="1">
        <v>24.0</v>
      </c>
      <c r="C610" s="1">
        <v>30.0</v>
      </c>
      <c r="D610" s="2" t="s">
        <v>1860</v>
      </c>
      <c r="E610" s="1">
        <v>24.0</v>
      </c>
      <c r="F610" s="1">
        <v>7.0</v>
      </c>
      <c r="G610" s="1">
        <v>3.36</v>
      </c>
      <c r="H610" s="1">
        <v>0.0</v>
      </c>
      <c r="I610" s="1">
        <v>0.0</v>
      </c>
      <c r="J610" s="1">
        <v>0.0</v>
      </c>
      <c r="K610" s="1">
        <v>0.19</v>
      </c>
      <c r="L610" s="1">
        <v>1.34E8</v>
      </c>
      <c r="M610" s="1" t="s">
        <v>4386</v>
      </c>
      <c r="N610" s="18">
        <v>45998.0</v>
      </c>
      <c r="O610" s="1" t="s">
        <v>4387</v>
      </c>
      <c r="P610" s="1" t="s">
        <v>3230</v>
      </c>
      <c r="Q610" s="1" t="s">
        <v>3408</v>
      </c>
    </row>
    <row r="611">
      <c r="A611" s="1" t="s">
        <v>4388</v>
      </c>
      <c r="B611" s="1">
        <v>24.0</v>
      </c>
      <c r="C611" s="1">
        <v>170.0</v>
      </c>
      <c r="D611" s="2" t="s">
        <v>1436</v>
      </c>
      <c r="E611" s="1">
        <v>24.0</v>
      </c>
      <c r="F611" s="1">
        <v>21.0</v>
      </c>
      <c r="G611" s="1">
        <v>22.12</v>
      </c>
      <c r="H611" s="1">
        <v>0.0</v>
      </c>
      <c r="I611" s="1">
        <v>0.0</v>
      </c>
      <c r="J611" s="1">
        <v>0.0</v>
      </c>
      <c r="K611" s="1">
        <v>0.17</v>
      </c>
      <c r="L611" s="1">
        <v>148000.0</v>
      </c>
      <c r="M611" s="1" t="s">
        <v>4389</v>
      </c>
      <c r="N611" s="18">
        <v>45991.0</v>
      </c>
      <c r="O611" s="1" t="s">
        <v>4390</v>
      </c>
      <c r="P611" s="1" t="s">
        <v>3257</v>
      </c>
      <c r="Q611" s="1" t="s">
        <v>3408</v>
      </c>
    </row>
    <row r="612">
      <c r="A612" s="1" t="s">
        <v>4391</v>
      </c>
      <c r="B612" s="1">
        <v>24.0</v>
      </c>
      <c r="C612" s="1">
        <v>140.0</v>
      </c>
      <c r="D612" s="2" t="s">
        <v>581</v>
      </c>
      <c r="E612" s="1">
        <v>24.0</v>
      </c>
      <c r="F612" s="1">
        <v>52.0</v>
      </c>
      <c r="G612" s="1">
        <v>7.35</v>
      </c>
      <c r="H612" s="1">
        <v>0.0</v>
      </c>
      <c r="I612" s="1">
        <v>0.0</v>
      </c>
      <c r="J612" s="1">
        <v>0.0</v>
      </c>
      <c r="K612" s="1">
        <v>0.05</v>
      </c>
      <c r="L612" s="1">
        <v>10.0</v>
      </c>
      <c r="M612" s="1" t="s">
        <v>4392</v>
      </c>
      <c r="N612" s="18">
        <v>45981.0</v>
      </c>
      <c r="O612" s="1" t="s">
        <v>4393</v>
      </c>
      <c r="P612" s="1" t="s">
        <v>3294</v>
      </c>
      <c r="Q612" s="1" t="s">
        <v>3408</v>
      </c>
    </row>
    <row r="613">
      <c r="A613" s="1" t="s">
        <v>4394</v>
      </c>
      <c r="B613" s="1">
        <v>24.0</v>
      </c>
      <c r="C613" s="1">
        <v>210.0</v>
      </c>
      <c r="D613" s="2" t="s">
        <v>2930</v>
      </c>
      <c r="E613" s="1">
        <v>24.0</v>
      </c>
      <c r="F613" s="1">
        <v>40.0</v>
      </c>
      <c r="G613" s="1">
        <v>0.0</v>
      </c>
      <c r="H613" s="1">
        <v>0.0</v>
      </c>
      <c r="I613" s="1">
        <v>0.0</v>
      </c>
      <c r="J613" s="1">
        <v>0.0</v>
      </c>
      <c r="K613" s="1">
        <v>0.0</v>
      </c>
      <c r="L613" s="1">
        <v>6590000.0</v>
      </c>
      <c r="M613" s="1" t="s">
        <v>4395</v>
      </c>
      <c r="N613" s="18">
        <v>45979.0</v>
      </c>
      <c r="O613" s="1" t="s">
        <v>4396</v>
      </c>
      <c r="P613" s="1" t="s">
        <v>3230</v>
      </c>
      <c r="Q613" s="1" t="s">
        <v>3408</v>
      </c>
    </row>
    <row r="614">
      <c r="A614" s="1" t="s">
        <v>4397</v>
      </c>
      <c r="B614" s="1">
        <v>24.0</v>
      </c>
      <c r="C614" s="1">
        <v>260.0</v>
      </c>
      <c r="D614" s="2" t="s">
        <v>2930</v>
      </c>
      <c r="E614" s="1">
        <v>24.0</v>
      </c>
      <c r="F614" s="1">
        <v>27.0</v>
      </c>
      <c r="G614" s="1">
        <v>0.0</v>
      </c>
      <c r="H614" s="1">
        <v>0.0</v>
      </c>
      <c r="I614" s="1">
        <v>0.0</v>
      </c>
      <c r="J614" s="1">
        <v>0.0</v>
      </c>
      <c r="K614" s="1">
        <v>0.0</v>
      </c>
      <c r="L614" s="1">
        <v>6590000.0</v>
      </c>
      <c r="M614" s="1" t="s">
        <v>4398</v>
      </c>
      <c r="N614" s="18">
        <v>45979.0</v>
      </c>
      <c r="O614" s="1" t="s">
        <v>3895</v>
      </c>
      <c r="P614" s="1" t="s">
        <v>3230</v>
      </c>
      <c r="Q614" s="1" t="s">
        <v>3408</v>
      </c>
    </row>
    <row r="615">
      <c r="A615" s="1" t="s">
        <v>4046</v>
      </c>
      <c r="B615" s="1">
        <v>24.0</v>
      </c>
      <c r="C615" s="1">
        <v>110.0</v>
      </c>
      <c r="D615" s="2" t="s">
        <v>659</v>
      </c>
      <c r="E615" s="1">
        <v>24.0</v>
      </c>
      <c r="F615" s="1">
        <v>3.0</v>
      </c>
      <c r="G615" s="1">
        <v>12.04</v>
      </c>
      <c r="H615" s="1">
        <v>0.0</v>
      </c>
      <c r="I615" s="1">
        <v>0.0</v>
      </c>
      <c r="J615" s="1">
        <v>0.0</v>
      </c>
      <c r="K615" s="1">
        <v>0.42</v>
      </c>
      <c r="L615" s="1">
        <v>9.0</v>
      </c>
      <c r="M615" s="1" t="s">
        <v>4047</v>
      </c>
      <c r="N615" s="18">
        <v>45978.0</v>
      </c>
      <c r="O615" s="1" t="s">
        <v>3404</v>
      </c>
      <c r="P615" s="1" t="s">
        <v>3257</v>
      </c>
      <c r="Q615" s="1" t="s">
        <v>3408</v>
      </c>
    </row>
    <row r="616">
      <c r="A616" s="1" t="s">
        <v>4399</v>
      </c>
      <c r="B616" s="1">
        <v>24.0</v>
      </c>
      <c r="C616" s="1">
        <v>110.0</v>
      </c>
      <c r="D616" s="2" t="s">
        <v>1619</v>
      </c>
      <c r="E616" s="1">
        <v>24.0</v>
      </c>
      <c r="F616" s="1">
        <v>12.0</v>
      </c>
      <c r="G616" s="1">
        <v>0.0</v>
      </c>
      <c r="H616" s="1">
        <v>0.0</v>
      </c>
      <c r="I616" s="1">
        <v>0.0</v>
      </c>
      <c r="J616" s="1">
        <v>0.0</v>
      </c>
      <c r="K616" s="1">
        <v>0.0</v>
      </c>
      <c r="L616" s="1">
        <v>10.0</v>
      </c>
      <c r="M616" s="1" t="s">
        <v>4400</v>
      </c>
      <c r="N616" s="18">
        <v>45969.0</v>
      </c>
      <c r="O616" s="1" t="s">
        <v>3237</v>
      </c>
      <c r="P616" s="1" t="s">
        <v>3230</v>
      </c>
      <c r="Q616" s="1" t="s">
        <v>3408</v>
      </c>
    </row>
    <row r="617">
      <c r="A617" s="1" t="s">
        <v>4401</v>
      </c>
      <c r="B617" s="1">
        <v>25.0</v>
      </c>
      <c r="C617" s="1">
        <v>50.0</v>
      </c>
      <c r="D617" s="2" t="s">
        <v>694</v>
      </c>
      <c r="E617" s="1">
        <v>15.0</v>
      </c>
      <c r="F617" s="1">
        <v>12.0</v>
      </c>
      <c r="G617" s="1">
        <v>1.23</v>
      </c>
      <c r="H617" s="1">
        <v>0.0</v>
      </c>
      <c r="I617" s="1">
        <v>0.0</v>
      </c>
      <c r="J617" s="1">
        <v>0.0</v>
      </c>
      <c r="K617" s="1">
        <v>0.3</v>
      </c>
      <c r="L617" s="1">
        <v>1.39E8</v>
      </c>
      <c r="M617" s="1" t="s">
        <v>4402</v>
      </c>
      <c r="N617" s="18">
        <v>46042.0</v>
      </c>
      <c r="O617" s="1" t="s">
        <v>3314</v>
      </c>
      <c r="P617" s="1" t="s">
        <v>3230</v>
      </c>
      <c r="Q617" s="1" t="s">
        <v>3408</v>
      </c>
    </row>
    <row r="618">
      <c r="A618" s="1" t="s">
        <v>3265</v>
      </c>
      <c r="B618" s="1">
        <v>25.0</v>
      </c>
      <c r="C618" s="1">
        <v>210.0</v>
      </c>
      <c r="D618" s="2" t="s">
        <v>694</v>
      </c>
      <c r="E618" s="1">
        <v>25.0</v>
      </c>
      <c r="F618" s="1">
        <v>4.0</v>
      </c>
      <c r="G618" s="1">
        <v>0.23</v>
      </c>
      <c r="H618" s="1">
        <v>0.0</v>
      </c>
      <c r="I618" s="1">
        <v>0.0</v>
      </c>
      <c r="J618" s="1">
        <v>0.0</v>
      </c>
      <c r="K618" s="1">
        <v>0.07</v>
      </c>
      <c r="L618" s="1">
        <v>2510000.0</v>
      </c>
      <c r="M618" s="1" t="s">
        <v>3266</v>
      </c>
      <c r="N618" s="18">
        <v>46039.0</v>
      </c>
      <c r="O618" s="1" t="s">
        <v>3264</v>
      </c>
      <c r="P618" s="1" t="s">
        <v>3230</v>
      </c>
      <c r="Q618" s="1" t="s">
        <v>3408</v>
      </c>
    </row>
    <row r="619">
      <c r="A619" s="1" t="s">
        <v>4403</v>
      </c>
      <c r="B619" s="1">
        <v>25.0</v>
      </c>
      <c r="C619" s="1">
        <v>90.0</v>
      </c>
      <c r="D619" s="2" t="s">
        <v>754</v>
      </c>
      <c r="E619" s="1">
        <v>25.0</v>
      </c>
      <c r="F619" s="1">
        <v>8.0</v>
      </c>
      <c r="G619" s="1">
        <v>0.0</v>
      </c>
      <c r="H619" s="1">
        <v>0.0</v>
      </c>
      <c r="I619" s="1">
        <v>0.0</v>
      </c>
      <c r="J619" s="1">
        <v>0.0</v>
      </c>
      <c r="K619" s="1">
        <v>0.0</v>
      </c>
      <c r="L619" s="1">
        <v>301000.0</v>
      </c>
      <c r="M619" s="1" t="s">
        <v>4404</v>
      </c>
      <c r="N619" s="18">
        <v>46030.0</v>
      </c>
      <c r="O619" s="1" t="s">
        <v>4110</v>
      </c>
      <c r="P619" s="1" t="s">
        <v>3334</v>
      </c>
      <c r="Q619" s="1" t="s">
        <v>3408</v>
      </c>
    </row>
    <row r="620">
      <c r="A620" s="1" t="s">
        <v>4405</v>
      </c>
      <c r="B620" s="1">
        <v>25.0</v>
      </c>
      <c r="C620" s="1">
        <v>110.0</v>
      </c>
      <c r="D620" s="2" t="s">
        <v>754</v>
      </c>
      <c r="E620" s="1">
        <v>25.0</v>
      </c>
      <c r="F620" s="1">
        <v>9.0</v>
      </c>
      <c r="G620" s="1">
        <v>0.0</v>
      </c>
      <c r="H620" s="1">
        <v>0.0</v>
      </c>
      <c r="I620" s="1">
        <v>0.0</v>
      </c>
      <c r="J620" s="1">
        <v>0.0</v>
      </c>
      <c r="K620" s="1">
        <v>0.0</v>
      </c>
      <c r="L620" s="1">
        <v>1.4E7</v>
      </c>
      <c r="M620" s="1" t="s">
        <v>4406</v>
      </c>
      <c r="N620" s="18">
        <v>46029.0</v>
      </c>
      <c r="O620" s="1" t="s">
        <v>4407</v>
      </c>
      <c r="P620" s="1" t="s">
        <v>3257</v>
      </c>
      <c r="Q620" s="1" t="s">
        <v>3408</v>
      </c>
    </row>
    <row r="621">
      <c r="A621" s="1" t="s">
        <v>4408</v>
      </c>
      <c r="B621" s="1">
        <v>25.0</v>
      </c>
      <c r="C621" s="1">
        <v>390.0</v>
      </c>
      <c r="D621" s="2" t="s">
        <v>2416</v>
      </c>
      <c r="E621" s="1">
        <v>25.0</v>
      </c>
      <c r="F621" s="1">
        <v>13.0</v>
      </c>
      <c r="G621" s="1">
        <v>0.0</v>
      </c>
      <c r="H621" s="1">
        <v>0.0</v>
      </c>
      <c r="I621" s="1">
        <v>0.0</v>
      </c>
      <c r="J621" s="1">
        <v>0.0</v>
      </c>
      <c r="K621" s="1">
        <v>0.0</v>
      </c>
      <c r="L621" s="1">
        <v>1050000.0</v>
      </c>
      <c r="M621" s="1" t="s">
        <v>4409</v>
      </c>
      <c r="N621" s="18">
        <v>46029.0</v>
      </c>
      <c r="O621" s="1" t="s">
        <v>4250</v>
      </c>
      <c r="P621" s="1" t="s">
        <v>3230</v>
      </c>
      <c r="Q621" s="1" t="s">
        <v>3408</v>
      </c>
    </row>
    <row r="622">
      <c r="A622" s="1" t="s">
        <v>4410</v>
      </c>
      <c r="B622" s="1">
        <v>25.0</v>
      </c>
      <c r="C622" s="1">
        <v>110.0</v>
      </c>
      <c r="D622" s="2" t="s">
        <v>754</v>
      </c>
      <c r="E622" s="1">
        <v>25.0</v>
      </c>
      <c r="F622" s="1">
        <v>0.0</v>
      </c>
      <c r="G622" s="1">
        <v>23.05</v>
      </c>
      <c r="H622" s="1">
        <v>0.0</v>
      </c>
      <c r="I622" s="1">
        <v>0.0</v>
      </c>
      <c r="J622" s="1">
        <v>0.0</v>
      </c>
      <c r="K622" s="1">
        <v>0.09</v>
      </c>
      <c r="L622" s="1">
        <v>8120000.0</v>
      </c>
      <c r="M622" s="1" t="s">
        <v>4411</v>
      </c>
      <c r="N622" s="18">
        <v>46028.0</v>
      </c>
      <c r="O622" s="1" t="s">
        <v>3541</v>
      </c>
      <c r="P622" s="1" t="s">
        <v>3230</v>
      </c>
      <c r="Q622" s="1" t="s">
        <v>3408</v>
      </c>
    </row>
    <row r="623">
      <c r="A623" s="1" t="s">
        <v>4412</v>
      </c>
      <c r="B623" s="1">
        <v>25.0</v>
      </c>
      <c r="C623" s="1">
        <v>50.0</v>
      </c>
      <c r="D623" s="2" t="s">
        <v>1198</v>
      </c>
      <c r="E623" s="1">
        <v>25.0</v>
      </c>
      <c r="F623" s="1">
        <v>0.0</v>
      </c>
      <c r="G623" s="1">
        <v>8.51</v>
      </c>
      <c r="H623" s="1">
        <v>0.0</v>
      </c>
      <c r="I623" s="1">
        <v>0.0</v>
      </c>
      <c r="J623" s="1">
        <v>0.0</v>
      </c>
      <c r="K623" s="1">
        <v>0.66</v>
      </c>
      <c r="L623" s="1">
        <v>154000.0</v>
      </c>
      <c r="M623" s="1" t="s">
        <v>4413</v>
      </c>
      <c r="N623" s="18">
        <v>46027.0</v>
      </c>
      <c r="O623" s="1" t="s">
        <v>4414</v>
      </c>
      <c r="P623" s="1" t="s">
        <v>3334</v>
      </c>
      <c r="Q623" s="1" t="s">
        <v>3408</v>
      </c>
    </row>
    <row r="624">
      <c r="A624" s="1" t="s">
        <v>4415</v>
      </c>
      <c r="B624" s="1">
        <v>25.0</v>
      </c>
      <c r="C624" s="1">
        <v>210.0</v>
      </c>
      <c r="D624" s="2" t="s">
        <v>694</v>
      </c>
      <c r="E624" s="1">
        <v>25.0</v>
      </c>
      <c r="F624" s="1">
        <v>11.0</v>
      </c>
      <c r="G624" s="1">
        <v>0.67</v>
      </c>
      <c r="H624" s="1">
        <v>0.0</v>
      </c>
      <c r="I624" s="1">
        <v>0.0</v>
      </c>
      <c r="J624" s="1">
        <v>0.0</v>
      </c>
      <c r="K624" s="1">
        <v>0.11</v>
      </c>
      <c r="L624" s="1">
        <v>2520000.0</v>
      </c>
      <c r="M624" s="1" t="s">
        <v>4416</v>
      </c>
      <c r="N624" s="18">
        <v>46023.0</v>
      </c>
      <c r="O624" s="1" t="s">
        <v>3479</v>
      </c>
      <c r="P624" s="1" t="s">
        <v>3230</v>
      </c>
      <c r="Q624" s="1" t="s">
        <v>3408</v>
      </c>
    </row>
    <row r="625">
      <c r="A625" s="1" t="s">
        <v>4417</v>
      </c>
      <c r="B625" s="1">
        <v>25.0</v>
      </c>
      <c r="C625" s="1">
        <v>70.0</v>
      </c>
      <c r="D625" s="2" t="s">
        <v>581</v>
      </c>
      <c r="E625" s="1">
        <v>25.0</v>
      </c>
      <c r="F625" s="1">
        <v>37.0</v>
      </c>
      <c r="G625" s="1">
        <v>15.32</v>
      </c>
      <c r="H625" s="1">
        <v>0.0</v>
      </c>
      <c r="I625" s="1">
        <v>0.0</v>
      </c>
      <c r="J625" s="1">
        <v>0.0</v>
      </c>
      <c r="K625" s="1">
        <v>0.21</v>
      </c>
      <c r="L625" s="1">
        <v>237000.0</v>
      </c>
      <c r="M625" s="1" t="s">
        <v>4418</v>
      </c>
      <c r="N625" s="18">
        <v>46022.0</v>
      </c>
      <c r="O625" s="1" t="s">
        <v>3435</v>
      </c>
      <c r="P625" s="1" t="s">
        <v>3257</v>
      </c>
      <c r="Q625" s="1" t="s">
        <v>3408</v>
      </c>
    </row>
    <row r="626">
      <c r="A626" s="1" t="s">
        <v>4419</v>
      </c>
      <c r="B626" s="1">
        <v>25.0</v>
      </c>
      <c r="C626" s="1">
        <v>90.0</v>
      </c>
      <c r="D626" s="2" t="s">
        <v>439</v>
      </c>
      <c r="E626" s="1">
        <v>25.0</v>
      </c>
      <c r="F626" s="1">
        <v>9.0</v>
      </c>
      <c r="G626" s="1">
        <v>10.61</v>
      </c>
      <c r="H626" s="1">
        <v>0.0</v>
      </c>
      <c r="I626" s="1">
        <v>0.0</v>
      </c>
      <c r="J626" s="1">
        <v>0.0</v>
      </c>
      <c r="K626" s="1">
        <v>0.41</v>
      </c>
      <c r="L626" s="1">
        <v>1.02E7</v>
      </c>
      <c r="M626" s="1" t="s">
        <v>4420</v>
      </c>
      <c r="N626" s="18">
        <v>46018.0</v>
      </c>
      <c r="O626" s="1" t="s">
        <v>4421</v>
      </c>
      <c r="P626" s="1" t="s">
        <v>3257</v>
      </c>
      <c r="Q626" s="1" t="s">
        <v>3408</v>
      </c>
    </row>
    <row r="627">
      <c r="A627" s="1" t="s">
        <v>4422</v>
      </c>
      <c r="B627" s="1">
        <v>25.0</v>
      </c>
      <c r="C627" s="1">
        <v>110.0</v>
      </c>
      <c r="D627" s="2" t="s">
        <v>2300</v>
      </c>
      <c r="E627" s="1">
        <v>25.0</v>
      </c>
      <c r="F627" s="1">
        <v>24.0</v>
      </c>
      <c r="G627" s="1">
        <v>0.0</v>
      </c>
      <c r="H627" s="1">
        <v>0.0</v>
      </c>
      <c r="I627" s="1">
        <v>0.0</v>
      </c>
      <c r="J627" s="1">
        <v>0.0</v>
      </c>
      <c r="K627" s="1">
        <v>0.0</v>
      </c>
      <c r="L627" s="1">
        <v>42400.0</v>
      </c>
      <c r="M627" s="1" t="s">
        <v>4423</v>
      </c>
      <c r="N627" s="18">
        <v>46012.0</v>
      </c>
      <c r="O627" s="1" t="s">
        <v>3297</v>
      </c>
      <c r="P627" s="1" t="s">
        <v>3230</v>
      </c>
      <c r="Q627" s="1" t="s">
        <v>3408</v>
      </c>
    </row>
    <row r="628">
      <c r="A628" s="1" t="s">
        <v>4424</v>
      </c>
      <c r="B628" s="1">
        <v>25.0</v>
      </c>
      <c r="C628" s="1">
        <v>390.0</v>
      </c>
      <c r="D628" s="2" t="s">
        <v>770</v>
      </c>
      <c r="E628" s="1">
        <v>25.0</v>
      </c>
      <c r="F628" s="1">
        <v>63.0</v>
      </c>
      <c r="G628" s="1">
        <v>0.0</v>
      </c>
      <c r="H628" s="1">
        <v>0.0</v>
      </c>
      <c r="I628" s="1">
        <v>0.0</v>
      </c>
      <c r="J628" s="1">
        <v>0.0</v>
      </c>
      <c r="K628" s="1">
        <v>0.0</v>
      </c>
      <c r="L628" s="1">
        <v>1860000.0</v>
      </c>
      <c r="M628" s="1" t="s">
        <v>4425</v>
      </c>
      <c r="N628" s="18">
        <v>46011.0</v>
      </c>
      <c r="O628" s="1" t="s">
        <v>4426</v>
      </c>
      <c r="P628" s="1" t="s">
        <v>3230</v>
      </c>
      <c r="Q628" s="1" t="s">
        <v>3408</v>
      </c>
    </row>
    <row r="629">
      <c r="A629" s="1" t="s">
        <v>4427</v>
      </c>
      <c r="B629" s="1">
        <v>25.0</v>
      </c>
      <c r="C629" s="1">
        <v>1000.0</v>
      </c>
      <c r="D629" s="2" t="s">
        <v>694</v>
      </c>
      <c r="E629" s="1">
        <v>25.0</v>
      </c>
      <c r="F629" s="1">
        <v>21.0</v>
      </c>
      <c r="G629" s="1">
        <v>0.91</v>
      </c>
      <c r="H629" s="1">
        <v>1.0</v>
      </c>
      <c r="I629" s="1">
        <v>0.06</v>
      </c>
      <c r="J629" s="1">
        <v>0.0</v>
      </c>
      <c r="K629" s="1">
        <v>0.26</v>
      </c>
      <c r="L629" s="1">
        <v>6860000.0</v>
      </c>
      <c r="M629" s="1" t="s">
        <v>4428</v>
      </c>
      <c r="N629" s="18">
        <v>46010.0</v>
      </c>
      <c r="O629" s="1" t="s">
        <v>3479</v>
      </c>
      <c r="P629" s="1" t="s">
        <v>3230</v>
      </c>
      <c r="Q629" s="1" t="s">
        <v>3408</v>
      </c>
    </row>
    <row r="630">
      <c r="A630" s="1" t="s">
        <v>4429</v>
      </c>
      <c r="B630" s="1">
        <v>25.0</v>
      </c>
      <c r="C630" s="1">
        <v>40.0</v>
      </c>
      <c r="D630" s="2" t="s">
        <v>2930</v>
      </c>
      <c r="E630" s="1">
        <v>25.0</v>
      </c>
      <c r="F630" s="1">
        <v>25.0</v>
      </c>
      <c r="G630" s="1">
        <v>0.0</v>
      </c>
      <c r="H630" s="1">
        <v>0.0</v>
      </c>
      <c r="I630" s="1">
        <v>0.0</v>
      </c>
      <c r="J630" s="1">
        <v>0.0</v>
      </c>
      <c r="K630" s="1">
        <v>0.0</v>
      </c>
      <c r="L630" s="1">
        <v>1.11E8</v>
      </c>
      <c r="M630" s="1" t="s">
        <v>4430</v>
      </c>
      <c r="N630" s="18">
        <v>46008.0</v>
      </c>
      <c r="O630" s="1" t="s">
        <v>4217</v>
      </c>
      <c r="P630" s="1" t="s">
        <v>3230</v>
      </c>
      <c r="Q630" s="1" t="s">
        <v>3408</v>
      </c>
    </row>
    <row r="631">
      <c r="A631" s="1" t="s">
        <v>4431</v>
      </c>
      <c r="B631" s="1">
        <v>25.0</v>
      </c>
      <c r="C631" s="1">
        <v>30.0</v>
      </c>
      <c r="D631" s="2" t="s">
        <v>1307</v>
      </c>
      <c r="E631" s="1">
        <v>25.0</v>
      </c>
      <c r="F631" s="1">
        <v>8.0</v>
      </c>
      <c r="G631" s="1">
        <v>4.37</v>
      </c>
      <c r="H631" s="1">
        <v>0.0</v>
      </c>
      <c r="I631" s="1">
        <v>0.0</v>
      </c>
      <c r="J631" s="1">
        <v>0.0</v>
      </c>
      <c r="K631" s="1">
        <v>0.92</v>
      </c>
      <c r="L631" s="1">
        <v>726000.0</v>
      </c>
      <c r="M631" s="1" t="s">
        <v>4432</v>
      </c>
      <c r="N631" s="18">
        <v>46003.0</v>
      </c>
      <c r="O631" s="1" t="s">
        <v>3686</v>
      </c>
      <c r="P631" s="1" t="s">
        <v>3257</v>
      </c>
      <c r="Q631" s="1" t="s">
        <v>3408</v>
      </c>
    </row>
    <row r="632">
      <c r="A632" s="1" t="s">
        <v>4433</v>
      </c>
      <c r="B632" s="1">
        <v>25.0</v>
      </c>
      <c r="C632" s="1">
        <v>70.0</v>
      </c>
      <c r="D632" s="2" t="s">
        <v>1129</v>
      </c>
      <c r="E632" s="1">
        <v>25.0</v>
      </c>
      <c r="F632" s="1">
        <v>2.0</v>
      </c>
      <c r="G632" s="1">
        <v>0.0</v>
      </c>
      <c r="H632" s="1">
        <v>0.0</v>
      </c>
      <c r="I632" s="1">
        <v>0.0</v>
      </c>
      <c r="J632" s="1">
        <v>0.0</v>
      </c>
      <c r="K632" s="1">
        <v>0.0</v>
      </c>
      <c r="L632" s="1">
        <v>3120000.0</v>
      </c>
      <c r="M632" s="1" t="s">
        <v>4434</v>
      </c>
      <c r="N632" s="18">
        <v>46000.0</v>
      </c>
      <c r="O632" s="1" t="s">
        <v>4414</v>
      </c>
      <c r="P632" s="1" t="s">
        <v>3230</v>
      </c>
      <c r="Q632" s="1" t="s">
        <v>3408</v>
      </c>
    </row>
    <row r="633">
      <c r="A633" s="1" t="s">
        <v>3678</v>
      </c>
      <c r="B633" s="1">
        <v>25.0</v>
      </c>
      <c r="C633" s="1">
        <v>140.0</v>
      </c>
      <c r="D633" s="2" t="s">
        <v>581</v>
      </c>
      <c r="E633" s="1">
        <v>25.0</v>
      </c>
      <c r="F633" s="1">
        <v>27.0</v>
      </c>
      <c r="G633" s="1">
        <v>13.81</v>
      </c>
      <c r="H633" s="1">
        <v>0.0</v>
      </c>
      <c r="I633" s="1">
        <v>0.0</v>
      </c>
      <c r="J633" s="1">
        <v>0.0</v>
      </c>
      <c r="K633" s="1">
        <v>0.25</v>
      </c>
      <c r="L633" s="1">
        <v>158000.0</v>
      </c>
      <c r="M633" s="1" t="s">
        <v>3679</v>
      </c>
      <c r="N633" s="18">
        <v>46000.0</v>
      </c>
      <c r="O633" s="1" t="s">
        <v>3415</v>
      </c>
      <c r="P633" s="1" t="s">
        <v>3257</v>
      </c>
      <c r="Q633" s="1" t="s">
        <v>3408</v>
      </c>
    </row>
    <row r="634">
      <c r="A634" s="1" t="s">
        <v>4435</v>
      </c>
      <c r="B634" s="1">
        <v>25.0</v>
      </c>
      <c r="C634" s="1">
        <v>140.0</v>
      </c>
      <c r="D634" s="2" t="s">
        <v>708</v>
      </c>
      <c r="E634" s="1">
        <v>25.0</v>
      </c>
      <c r="F634" s="1">
        <v>2.0</v>
      </c>
      <c r="G634" s="1">
        <v>0.0</v>
      </c>
      <c r="H634" s="1">
        <v>0.0</v>
      </c>
      <c r="I634" s="1">
        <v>0.0</v>
      </c>
      <c r="J634" s="1">
        <v>0.0</v>
      </c>
      <c r="K634" s="1">
        <v>0.07</v>
      </c>
      <c r="L634" s="1">
        <v>129000.0</v>
      </c>
      <c r="M634" s="1" t="s">
        <v>4436</v>
      </c>
      <c r="N634" s="18">
        <v>45997.0</v>
      </c>
      <c r="O634" s="1" t="s">
        <v>4437</v>
      </c>
      <c r="P634" s="1" t="s">
        <v>3257</v>
      </c>
      <c r="Q634" s="1" t="s">
        <v>3408</v>
      </c>
    </row>
    <row r="635">
      <c r="A635" s="1" t="s">
        <v>4438</v>
      </c>
      <c r="B635" s="1">
        <v>25.0</v>
      </c>
      <c r="C635" s="1">
        <v>50.0</v>
      </c>
      <c r="D635" s="2" t="s">
        <v>979</v>
      </c>
      <c r="E635" s="1">
        <v>25.0</v>
      </c>
      <c r="F635" s="1">
        <v>14.0</v>
      </c>
      <c r="G635" s="1">
        <v>4.07</v>
      </c>
      <c r="H635" s="1">
        <v>0.0</v>
      </c>
      <c r="I635" s="1">
        <v>0.0</v>
      </c>
      <c r="J635" s="1">
        <v>0.0</v>
      </c>
      <c r="K635" s="1">
        <v>0.2</v>
      </c>
      <c r="L635" s="1">
        <v>758.0</v>
      </c>
      <c r="M635" s="1" t="s">
        <v>4439</v>
      </c>
      <c r="N635" s="18">
        <v>45996.0</v>
      </c>
      <c r="O635" s="1" t="s">
        <v>4440</v>
      </c>
      <c r="P635" s="1" t="s">
        <v>3230</v>
      </c>
      <c r="Q635" s="1" t="s">
        <v>3408</v>
      </c>
    </row>
    <row r="636">
      <c r="A636" s="1" t="s">
        <v>4441</v>
      </c>
      <c r="B636" s="1">
        <v>25.0</v>
      </c>
      <c r="C636" s="1">
        <v>40.0</v>
      </c>
      <c r="D636" s="2" t="s">
        <v>2930</v>
      </c>
      <c r="E636" s="1">
        <v>25.0</v>
      </c>
      <c r="F636" s="1">
        <v>26.0</v>
      </c>
      <c r="G636" s="1">
        <v>0.0</v>
      </c>
      <c r="H636" s="1">
        <v>0.0</v>
      </c>
      <c r="I636" s="1">
        <v>0.0</v>
      </c>
      <c r="J636" s="1">
        <v>0.0</v>
      </c>
      <c r="K636" s="1">
        <v>0.02</v>
      </c>
      <c r="L636" s="1">
        <v>6780000.0</v>
      </c>
      <c r="M636" s="1" t="s">
        <v>4442</v>
      </c>
      <c r="N636" s="18">
        <v>45996.0</v>
      </c>
      <c r="O636" s="1" t="s">
        <v>4217</v>
      </c>
      <c r="P636" s="1" t="s">
        <v>3230</v>
      </c>
      <c r="Q636" s="1" t="s">
        <v>3408</v>
      </c>
    </row>
    <row r="637">
      <c r="A637" s="1" t="s">
        <v>4443</v>
      </c>
      <c r="B637" s="1">
        <v>25.0</v>
      </c>
      <c r="C637" s="1">
        <v>50.0</v>
      </c>
      <c r="D637" s="2" t="s">
        <v>2930</v>
      </c>
      <c r="E637" s="1">
        <v>25.0</v>
      </c>
      <c r="F637" s="1">
        <v>24.0</v>
      </c>
      <c r="G637" s="1">
        <v>0.04</v>
      </c>
      <c r="H637" s="1">
        <v>0.0</v>
      </c>
      <c r="I637" s="1">
        <v>0.0</v>
      </c>
      <c r="J637" s="1">
        <v>0.0</v>
      </c>
      <c r="K637" s="1">
        <v>0.01</v>
      </c>
      <c r="L637" s="1">
        <v>6850000.0</v>
      </c>
      <c r="M637" s="1" t="s">
        <v>4444</v>
      </c>
      <c r="N637" s="18">
        <v>45996.0</v>
      </c>
      <c r="O637" s="1" t="s">
        <v>4445</v>
      </c>
      <c r="P637" s="1" t="s">
        <v>3230</v>
      </c>
      <c r="Q637" s="1" t="s">
        <v>3408</v>
      </c>
    </row>
    <row r="638">
      <c r="A638" s="1" t="s">
        <v>4446</v>
      </c>
      <c r="B638" s="1">
        <v>25.0</v>
      </c>
      <c r="C638" s="1">
        <v>70.0</v>
      </c>
      <c r="D638" s="2" t="s">
        <v>1307</v>
      </c>
      <c r="E638" s="1">
        <v>25.0</v>
      </c>
      <c r="F638" s="1">
        <v>11.0</v>
      </c>
      <c r="G638" s="1">
        <v>3.89</v>
      </c>
      <c r="H638" s="1">
        <v>0.0</v>
      </c>
      <c r="I638" s="1">
        <v>0.0</v>
      </c>
      <c r="J638" s="1">
        <v>0.0</v>
      </c>
      <c r="K638" s="1">
        <v>1.0</v>
      </c>
      <c r="L638" s="1">
        <v>300000.0</v>
      </c>
      <c r="M638" s="1" t="s">
        <v>4447</v>
      </c>
      <c r="N638" s="18">
        <v>45992.0</v>
      </c>
      <c r="O638" s="1" t="s">
        <v>3355</v>
      </c>
      <c r="P638" s="1" t="s">
        <v>3257</v>
      </c>
      <c r="Q638" s="1" t="s">
        <v>3408</v>
      </c>
    </row>
    <row r="639">
      <c r="A639" s="1" t="s">
        <v>4448</v>
      </c>
      <c r="B639" s="1">
        <v>25.0</v>
      </c>
      <c r="C639" s="1">
        <v>30.0</v>
      </c>
      <c r="D639" s="2" t="s">
        <v>1436</v>
      </c>
      <c r="E639" s="1">
        <v>25.0</v>
      </c>
      <c r="F639" s="1">
        <v>37.0</v>
      </c>
      <c r="G639" s="1">
        <v>14.73</v>
      </c>
      <c r="H639" s="1">
        <v>0.0</v>
      </c>
      <c r="I639" s="1">
        <v>0.0</v>
      </c>
      <c r="J639" s="1">
        <v>0.0</v>
      </c>
      <c r="K639" s="1">
        <v>0.63</v>
      </c>
      <c r="L639" s="1">
        <v>988000.0</v>
      </c>
      <c r="M639" s="1" t="s">
        <v>4449</v>
      </c>
      <c r="N639" s="18">
        <v>45992.0</v>
      </c>
      <c r="O639" s="1" t="s">
        <v>3435</v>
      </c>
      <c r="P639" s="1" t="s">
        <v>3257</v>
      </c>
      <c r="Q639" s="1" t="s">
        <v>3408</v>
      </c>
    </row>
    <row r="640">
      <c r="A640" s="1" t="s">
        <v>4450</v>
      </c>
      <c r="B640" s="1">
        <v>25.0</v>
      </c>
      <c r="C640" s="1">
        <v>90.0</v>
      </c>
      <c r="D640" s="2" t="s">
        <v>581</v>
      </c>
      <c r="E640" s="1">
        <v>25.0</v>
      </c>
      <c r="F640" s="1">
        <v>53.0</v>
      </c>
      <c r="G640" s="1">
        <v>12.89</v>
      </c>
      <c r="H640" s="1">
        <v>0.0</v>
      </c>
      <c r="I640" s="1">
        <v>0.0</v>
      </c>
      <c r="J640" s="1">
        <v>0.0</v>
      </c>
      <c r="K640" s="1">
        <v>0.95</v>
      </c>
      <c r="L640" s="1">
        <v>3.02E7</v>
      </c>
      <c r="M640" s="1" t="s">
        <v>4451</v>
      </c>
      <c r="N640" s="18">
        <v>45991.0</v>
      </c>
      <c r="O640" s="1" t="s">
        <v>4452</v>
      </c>
      <c r="P640" s="1" t="s">
        <v>3257</v>
      </c>
      <c r="Q640" s="1" t="s">
        <v>3408</v>
      </c>
    </row>
    <row r="641">
      <c r="A641" s="1" t="s">
        <v>4453</v>
      </c>
      <c r="B641" s="1">
        <v>25.0</v>
      </c>
      <c r="C641" s="1">
        <v>70.0</v>
      </c>
      <c r="D641" s="2" t="s">
        <v>1052</v>
      </c>
      <c r="E641" s="1">
        <v>25.0</v>
      </c>
      <c r="F641" s="1">
        <v>6.0</v>
      </c>
      <c r="G641" s="1">
        <v>0.0</v>
      </c>
      <c r="H641" s="1">
        <v>0.0</v>
      </c>
      <c r="I641" s="1">
        <v>0.0</v>
      </c>
      <c r="J641" s="1">
        <v>0.0</v>
      </c>
      <c r="K641" s="1">
        <v>0.0</v>
      </c>
      <c r="L641" s="1">
        <v>1.28E8</v>
      </c>
      <c r="M641" s="1" t="s">
        <v>4454</v>
      </c>
      <c r="N641" s="18">
        <v>45987.0</v>
      </c>
      <c r="O641" s="1" t="s">
        <v>3407</v>
      </c>
      <c r="P641" s="1" t="s">
        <v>3230</v>
      </c>
      <c r="Q641" s="1" t="s">
        <v>3408</v>
      </c>
    </row>
    <row r="642">
      <c r="A642" s="1" t="s">
        <v>4455</v>
      </c>
      <c r="B642" s="1">
        <v>26.0</v>
      </c>
      <c r="C642" s="1">
        <v>50.0</v>
      </c>
      <c r="D642" s="2" t="s">
        <v>676</v>
      </c>
      <c r="E642" s="1">
        <v>0.0</v>
      </c>
      <c r="F642" s="1">
        <v>36.0</v>
      </c>
      <c r="G642" s="1">
        <v>0.0</v>
      </c>
      <c r="H642" s="1">
        <v>0.0</v>
      </c>
      <c r="I642" s="1">
        <v>0.0</v>
      </c>
      <c r="J642" s="1">
        <v>0.0</v>
      </c>
      <c r="K642" s="1">
        <v>1.0</v>
      </c>
      <c r="L642" s="1">
        <v>5480000.0</v>
      </c>
      <c r="M642" s="1" t="s">
        <v>4456</v>
      </c>
      <c r="N642" s="18">
        <v>46042.0</v>
      </c>
      <c r="O642" s="1" t="s">
        <v>3355</v>
      </c>
      <c r="P642" s="1" t="s">
        <v>3257</v>
      </c>
      <c r="Q642" s="1" t="s">
        <v>3408</v>
      </c>
    </row>
    <row r="643">
      <c r="A643" s="1" t="s">
        <v>3615</v>
      </c>
      <c r="B643" s="1">
        <v>26.0</v>
      </c>
      <c r="C643" s="1">
        <v>70.0</v>
      </c>
      <c r="D643" s="2" t="s">
        <v>584</v>
      </c>
      <c r="E643" s="1">
        <v>14.0</v>
      </c>
      <c r="F643" s="1">
        <v>29.0</v>
      </c>
      <c r="G643" s="1">
        <v>0.0</v>
      </c>
      <c r="H643" s="1">
        <v>0.0</v>
      </c>
      <c r="I643" s="1">
        <v>0.0</v>
      </c>
      <c r="J643" s="1">
        <v>0.0</v>
      </c>
      <c r="K643" s="1">
        <v>0.03</v>
      </c>
      <c r="L643" s="1">
        <v>2.33E8</v>
      </c>
      <c r="M643" s="1" t="s">
        <v>3616</v>
      </c>
      <c r="N643" s="18">
        <v>46042.0</v>
      </c>
      <c r="O643" s="1" t="s">
        <v>3617</v>
      </c>
      <c r="P643" s="1" t="s">
        <v>3294</v>
      </c>
      <c r="Q643" s="1" t="s">
        <v>3408</v>
      </c>
    </row>
    <row r="644">
      <c r="A644" s="1" t="s">
        <v>4457</v>
      </c>
      <c r="B644" s="1">
        <v>26.0</v>
      </c>
      <c r="C644" s="1">
        <v>260.0</v>
      </c>
      <c r="D644" s="2" t="s">
        <v>1327</v>
      </c>
      <c r="E644" s="1">
        <v>26.0</v>
      </c>
      <c r="F644" s="1">
        <v>7.0</v>
      </c>
      <c r="G644" s="1">
        <v>0.0</v>
      </c>
      <c r="H644" s="1">
        <v>0.0</v>
      </c>
      <c r="I644" s="1">
        <v>0.0</v>
      </c>
      <c r="J644" s="1">
        <v>0.0</v>
      </c>
      <c r="K644" s="1">
        <v>0.0</v>
      </c>
      <c r="L644" s="1">
        <v>6720000.0</v>
      </c>
      <c r="M644" s="1" t="s">
        <v>4458</v>
      </c>
      <c r="N644" s="18">
        <v>46034.0</v>
      </c>
      <c r="O644" s="1" t="s">
        <v>3317</v>
      </c>
      <c r="P644" s="1" t="s">
        <v>3230</v>
      </c>
      <c r="Q644" s="1" t="s">
        <v>3408</v>
      </c>
    </row>
    <row r="645">
      <c r="A645" s="1" t="s">
        <v>4459</v>
      </c>
      <c r="B645" s="1">
        <v>26.0</v>
      </c>
      <c r="C645" s="1">
        <v>480.0</v>
      </c>
      <c r="D645" s="2" t="s">
        <v>581</v>
      </c>
      <c r="E645" s="1">
        <v>26.0</v>
      </c>
      <c r="F645" s="1">
        <v>61.0</v>
      </c>
      <c r="G645" s="1">
        <v>17.08</v>
      </c>
      <c r="H645" s="1">
        <v>0.0</v>
      </c>
      <c r="I645" s="1">
        <v>0.0</v>
      </c>
      <c r="J645" s="1">
        <v>0.0</v>
      </c>
      <c r="K645" s="1">
        <v>0.02</v>
      </c>
      <c r="L645" s="1">
        <v>7540000.0</v>
      </c>
      <c r="M645" s="1" t="s">
        <v>4460</v>
      </c>
      <c r="N645" s="18">
        <v>46030.0</v>
      </c>
      <c r="O645" s="1" t="s">
        <v>4331</v>
      </c>
      <c r="P645" s="1" t="s">
        <v>3257</v>
      </c>
      <c r="Q645" s="1" t="s">
        <v>3408</v>
      </c>
    </row>
    <row r="646">
      <c r="A646" s="1" t="s">
        <v>3390</v>
      </c>
      <c r="B646" s="1">
        <v>26.0</v>
      </c>
      <c r="C646" s="1">
        <v>70.0</v>
      </c>
      <c r="D646" s="2" t="s">
        <v>724</v>
      </c>
      <c r="E646" s="1">
        <v>26.0</v>
      </c>
      <c r="F646" s="1">
        <v>0.0</v>
      </c>
      <c r="G646" s="1">
        <v>0.0</v>
      </c>
      <c r="H646" s="1">
        <v>0.0</v>
      </c>
      <c r="I646" s="1">
        <v>0.0</v>
      </c>
      <c r="J646" s="1">
        <v>0.0</v>
      </c>
      <c r="K646" s="1">
        <v>0.0</v>
      </c>
      <c r="L646" s="1">
        <v>2.21E7</v>
      </c>
      <c r="M646" s="1" t="s">
        <v>3391</v>
      </c>
      <c r="N646" s="18">
        <v>46028.0</v>
      </c>
      <c r="O646" s="1" t="s">
        <v>3317</v>
      </c>
      <c r="P646" s="1" t="s">
        <v>3230</v>
      </c>
      <c r="Q646" s="1" t="s">
        <v>3408</v>
      </c>
    </row>
    <row r="647">
      <c r="A647" s="1" t="s">
        <v>4461</v>
      </c>
      <c r="B647" s="1">
        <v>26.0</v>
      </c>
      <c r="C647" s="1">
        <v>110.0</v>
      </c>
      <c r="D647" s="2" t="s">
        <v>694</v>
      </c>
      <c r="E647" s="1">
        <v>26.0</v>
      </c>
      <c r="F647" s="1">
        <v>10.0</v>
      </c>
      <c r="G647" s="1">
        <v>0.98</v>
      </c>
      <c r="H647" s="1">
        <v>0.0</v>
      </c>
      <c r="I647" s="1">
        <v>0.0</v>
      </c>
      <c r="J647" s="1">
        <v>0.0</v>
      </c>
      <c r="K647" s="1">
        <v>0.12</v>
      </c>
      <c r="L647" s="1">
        <v>2200000.0</v>
      </c>
      <c r="M647" s="1" t="s">
        <v>4462</v>
      </c>
      <c r="N647" s="18">
        <v>46027.0</v>
      </c>
      <c r="O647" s="1" t="s">
        <v>3261</v>
      </c>
      <c r="P647" s="1" t="s">
        <v>3230</v>
      </c>
      <c r="Q647" s="1" t="s">
        <v>3408</v>
      </c>
    </row>
    <row r="648">
      <c r="A648" s="1" t="s">
        <v>4463</v>
      </c>
      <c r="B648" s="1">
        <v>26.0</v>
      </c>
      <c r="C648" s="1">
        <v>50.0</v>
      </c>
      <c r="D648" s="2" t="s">
        <v>748</v>
      </c>
      <c r="E648" s="1">
        <v>26.0</v>
      </c>
      <c r="G648" s="1">
        <v>26.29</v>
      </c>
      <c r="H648" s="1">
        <v>0.0</v>
      </c>
      <c r="I648" s="1">
        <v>0.0</v>
      </c>
      <c r="J648" s="1">
        <v>0.0</v>
      </c>
      <c r="K648" s="1">
        <v>0.3</v>
      </c>
      <c r="L648" s="1">
        <v>893000.0</v>
      </c>
      <c r="M648" s="1" t="s">
        <v>4464</v>
      </c>
      <c r="N648" s="18">
        <v>46026.0</v>
      </c>
      <c r="O648" s="1" t="s">
        <v>4465</v>
      </c>
      <c r="P648" s="1" t="s">
        <v>3257</v>
      </c>
      <c r="Q648" s="1" t="s">
        <v>3408</v>
      </c>
    </row>
    <row r="649">
      <c r="A649" s="1" t="s">
        <v>3761</v>
      </c>
      <c r="B649" s="1">
        <v>26.0</v>
      </c>
      <c r="C649" s="1">
        <v>70.0</v>
      </c>
      <c r="D649" s="2" t="s">
        <v>447</v>
      </c>
      <c r="E649" s="1">
        <v>26.0</v>
      </c>
      <c r="F649" s="1">
        <v>30.0</v>
      </c>
      <c r="G649" s="1">
        <v>22.36</v>
      </c>
      <c r="H649" s="1">
        <v>0.0</v>
      </c>
      <c r="I649" s="1">
        <v>0.0</v>
      </c>
      <c r="J649" s="1">
        <v>0.0</v>
      </c>
      <c r="K649" s="1">
        <v>0.99</v>
      </c>
      <c r="L649" s="1">
        <v>36900.0</v>
      </c>
      <c r="M649" s="1" t="s">
        <v>3762</v>
      </c>
      <c r="N649" s="18">
        <v>46022.0</v>
      </c>
      <c r="O649" s="1" t="s">
        <v>3432</v>
      </c>
      <c r="P649" s="1" t="s">
        <v>3257</v>
      </c>
      <c r="Q649" s="1" t="s">
        <v>3408</v>
      </c>
    </row>
    <row r="650">
      <c r="A650" s="1" t="s">
        <v>3419</v>
      </c>
      <c r="B650" s="1">
        <v>26.0</v>
      </c>
      <c r="C650" s="1">
        <v>30.0</v>
      </c>
      <c r="D650" s="2" t="s">
        <v>447</v>
      </c>
      <c r="E650" s="1">
        <v>26.0</v>
      </c>
      <c r="F650" s="1">
        <v>44.0</v>
      </c>
      <c r="G650" s="1">
        <v>22.36</v>
      </c>
      <c r="H650" s="1">
        <v>0.0</v>
      </c>
      <c r="I650" s="1">
        <v>0.0</v>
      </c>
      <c r="J650" s="1">
        <v>0.0</v>
      </c>
      <c r="K650" s="1">
        <v>0.99</v>
      </c>
      <c r="L650" s="1">
        <v>18700.0</v>
      </c>
      <c r="M650" s="1" t="s">
        <v>3420</v>
      </c>
      <c r="N650" s="18">
        <v>46022.0</v>
      </c>
      <c r="O650" s="1" t="s">
        <v>3421</v>
      </c>
      <c r="P650" s="1" t="s">
        <v>3257</v>
      </c>
      <c r="Q650" s="1" t="s">
        <v>3408</v>
      </c>
    </row>
    <row r="651">
      <c r="A651" s="1" t="s">
        <v>3422</v>
      </c>
      <c r="B651" s="1">
        <v>26.0</v>
      </c>
      <c r="C651" s="1">
        <v>70.0</v>
      </c>
      <c r="D651" s="2" t="s">
        <v>439</v>
      </c>
      <c r="E651" s="1">
        <v>26.0</v>
      </c>
      <c r="F651" s="1">
        <v>3.0</v>
      </c>
      <c r="G651" s="1">
        <v>0.0</v>
      </c>
      <c r="H651" s="1">
        <v>0.0</v>
      </c>
      <c r="I651" s="1">
        <v>0.0</v>
      </c>
      <c r="J651" s="1">
        <v>0.0</v>
      </c>
      <c r="K651" s="1">
        <v>0.0</v>
      </c>
      <c r="L651" s="1">
        <v>4.76E8</v>
      </c>
      <c r="M651" s="1" t="s">
        <v>3423</v>
      </c>
      <c r="N651" s="18">
        <v>46022.0</v>
      </c>
      <c r="O651" s="1" t="s">
        <v>3424</v>
      </c>
      <c r="P651" s="1" t="s">
        <v>3257</v>
      </c>
      <c r="Q651" s="1" t="s">
        <v>3408</v>
      </c>
    </row>
    <row r="652">
      <c r="A652" s="1" t="s">
        <v>4466</v>
      </c>
      <c r="B652" s="1">
        <v>26.0</v>
      </c>
      <c r="C652" s="1">
        <v>90.0</v>
      </c>
      <c r="D652" s="2" t="s">
        <v>2930</v>
      </c>
      <c r="E652" s="1">
        <v>26.0</v>
      </c>
      <c r="F652" s="1">
        <v>27.0</v>
      </c>
      <c r="G652" s="1">
        <v>0.0</v>
      </c>
      <c r="H652" s="1">
        <v>0.0</v>
      </c>
      <c r="I652" s="1">
        <v>0.0</v>
      </c>
      <c r="J652" s="1">
        <v>0.0</v>
      </c>
      <c r="K652" s="1">
        <v>0.0</v>
      </c>
      <c r="L652" s="1">
        <v>4.09E8</v>
      </c>
      <c r="M652" s="1" t="s">
        <v>4467</v>
      </c>
      <c r="N652" s="18">
        <v>46020.0</v>
      </c>
      <c r="O652" s="1" t="s">
        <v>3906</v>
      </c>
      <c r="P652" s="1" t="s">
        <v>3230</v>
      </c>
      <c r="Q652" s="1" t="s">
        <v>3408</v>
      </c>
    </row>
    <row r="653">
      <c r="A653" s="1" t="s">
        <v>4468</v>
      </c>
      <c r="B653" s="1">
        <v>26.0</v>
      </c>
      <c r="C653" s="1">
        <v>70.0</v>
      </c>
      <c r="D653" s="2" t="s">
        <v>1546</v>
      </c>
      <c r="E653" s="1">
        <v>26.0</v>
      </c>
      <c r="F653" s="1">
        <v>8.0</v>
      </c>
      <c r="G653" s="1">
        <v>0.32</v>
      </c>
      <c r="H653" s="1">
        <v>0.0</v>
      </c>
      <c r="I653" s="1">
        <v>0.0</v>
      </c>
      <c r="J653" s="1">
        <v>0.0</v>
      </c>
      <c r="K653" s="1">
        <v>0.24</v>
      </c>
      <c r="L653" s="1">
        <v>1.96E8</v>
      </c>
      <c r="M653" s="1" t="s">
        <v>4469</v>
      </c>
      <c r="N653" s="18">
        <v>46019.0</v>
      </c>
      <c r="O653" s="1" t="s">
        <v>4470</v>
      </c>
      <c r="P653" s="1" t="s">
        <v>3230</v>
      </c>
      <c r="Q653" s="1" t="s">
        <v>3408</v>
      </c>
    </row>
    <row r="654">
      <c r="A654" s="1" t="s">
        <v>4471</v>
      </c>
      <c r="B654" s="1">
        <v>26.0</v>
      </c>
      <c r="C654" s="1">
        <v>50.0</v>
      </c>
      <c r="D654" s="2" t="s">
        <v>833</v>
      </c>
      <c r="E654" s="1">
        <v>26.0</v>
      </c>
      <c r="F654" s="1">
        <v>7.0</v>
      </c>
      <c r="G654" s="1">
        <v>17.8</v>
      </c>
      <c r="H654" s="1">
        <v>0.0</v>
      </c>
      <c r="I654" s="1">
        <v>0.0</v>
      </c>
      <c r="J654" s="1">
        <v>0.0</v>
      </c>
      <c r="K654" s="1">
        <v>0.14</v>
      </c>
      <c r="L654" s="1">
        <v>1180000.0</v>
      </c>
      <c r="M654" s="1" t="s">
        <v>4472</v>
      </c>
      <c r="N654" s="18">
        <v>46017.0</v>
      </c>
      <c r="O654" s="1" t="s">
        <v>3252</v>
      </c>
      <c r="P654" s="1" t="s">
        <v>3230</v>
      </c>
      <c r="Q654" s="1" t="s">
        <v>3408</v>
      </c>
    </row>
    <row r="655">
      <c r="A655" s="1" t="s">
        <v>4473</v>
      </c>
      <c r="B655" s="1">
        <v>26.0</v>
      </c>
      <c r="C655" s="1">
        <v>70.0</v>
      </c>
      <c r="D655" s="2" t="s">
        <v>1183</v>
      </c>
      <c r="E655" s="1">
        <v>26.0</v>
      </c>
      <c r="F655" s="1">
        <v>8.0</v>
      </c>
      <c r="G655" s="1">
        <v>63.18</v>
      </c>
      <c r="H655" s="1">
        <v>0.0</v>
      </c>
      <c r="I655" s="1">
        <v>0.0</v>
      </c>
      <c r="J655" s="1">
        <v>0.0</v>
      </c>
      <c r="K655" s="1">
        <v>0.15</v>
      </c>
      <c r="L655" s="1">
        <v>23200.0</v>
      </c>
      <c r="M655" s="1" t="s">
        <v>4474</v>
      </c>
      <c r="N655" s="18">
        <v>46017.0</v>
      </c>
      <c r="O655" s="1" t="s">
        <v>4372</v>
      </c>
      <c r="P655" s="1" t="s">
        <v>3257</v>
      </c>
      <c r="Q655" s="1" t="s">
        <v>3408</v>
      </c>
    </row>
    <row r="656">
      <c r="A656" s="1" t="s">
        <v>4475</v>
      </c>
      <c r="B656" s="1">
        <v>26.0</v>
      </c>
      <c r="C656" s="1">
        <v>40.0</v>
      </c>
      <c r="D656" s="2" t="s">
        <v>2930</v>
      </c>
      <c r="E656" s="1">
        <v>26.0</v>
      </c>
      <c r="F656" s="1">
        <v>19.0</v>
      </c>
      <c r="G656" s="1">
        <v>0.0</v>
      </c>
      <c r="H656" s="1">
        <v>0.0</v>
      </c>
      <c r="I656" s="1">
        <v>0.0</v>
      </c>
      <c r="J656" s="1">
        <v>0.0</v>
      </c>
      <c r="K656" s="1">
        <v>0.33</v>
      </c>
      <c r="L656" s="1">
        <v>486000.0</v>
      </c>
      <c r="M656" s="1" t="s">
        <v>4476</v>
      </c>
      <c r="N656" s="18">
        <v>46013.0</v>
      </c>
      <c r="O656" s="1" t="s">
        <v>3479</v>
      </c>
      <c r="P656" s="1" t="s">
        <v>3230</v>
      </c>
      <c r="Q656" s="1" t="s">
        <v>3408</v>
      </c>
    </row>
    <row r="657">
      <c r="A657" s="1" t="s">
        <v>4477</v>
      </c>
      <c r="B657" s="1">
        <v>26.0</v>
      </c>
      <c r="C657" s="1">
        <v>110.0</v>
      </c>
      <c r="D657" s="2" t="s">
        <v>1204</v>
      </c>
      <c r="E657" s="1">
        <v>26.0</v>
      </c>
      <c r="F657" s="1">
        <v>4.0</v>
      </c>
      <c r="G657" s="1">
        <v>0.0</v>
      </c>
      <c r="H657" s="1">
        <v>0.0</v>
      </c>
      <c r="I657" s="1">
        <v>0.0</v>
      </c>
      <c r="J657" s="1">
        <v>0.0</v>
      </c>
      <c r="K657" s="1">
        <v>0.02</v>
      </c>
      <c r="L657" s="1">
        <v>381000.0</v>
      </c>
      <c r="M657" s="1" t="s">
        <v>4478</v>
      </c>
      <c r="N657" s="18">
        <v>46013.0</v>
      </c>
      <c r="O657" s="1" t="s">
        <v>3807</v>
      </c>
      <c r="P657" s="1" t="s">
        <v>3257</v>
      </c>
      <c r="Q657" s="1" t="s">
        <v>3408</v>
      </c>
    </row>
    <row r="658">
      <c r="A658" s="1" t="s">
        <v>4479</v>
      </c>
      <c r="B658" s="1">
        <v>26.0</v>
      </c>
      <c r="C658" s="1">
        <v>50.0</v>
      </c>
      <c r="D658" s="2" t="s">
        <v>671</v>
      </c>
      <c r="E658" s="1">
        <v>26.0</v>
      </c>
      <c r="F658" s="1">
        <v>1.0</v>
      </c>
      <c r="G658" s="1">
        <v>0.0</v>
      </c>
      <c r="H658" s="1">
        <v>0.0</v>
      </c>
      <c r="I658" s="1">
        <v>0.0</v>
      </c>
      <c r="J658" s="1">
        <v>0.0</v>
      </c>
      <c r="K658" s="1">
        <v>0.0</v>
      </c>
      <c r="L658" s="1">
        <v>790000.0</v>
      </c>
      <c r="M658" s="1" t="s">
        <v>4480</v>
      </c>
      <c r="N658" s="18">
        <v>46012.0</v>
      </c>
      <c r="O658" s="1" t="s">
        <v>4481</v>
      </c>
      <c r="P658" s="1" t="s">
        <v>3230</v>
      </c>
      <c r="Q658" s="1" t="s">
        <v>3408</v>
      </c>
    </row>
    <row r="659">
      <c r="A659" s="1" t="s">
        <v>4482</v>
      </c>
      <c r="B659" s="1">
        <v>26.0</v>
      </c>
      <c r="C659" s="1">
        <v>70.0</v>
      </c>
      <c r="D659" s="2" t="s">
        <v>921</v>
      </c>
      <c r="E659" s="1">
        <v>26.0</v>
      </c>
      <c r="F659" s="1">
        <v>5.0</v>
      </c>
      <c r="G659" s="1">
        <v>0.0</v>
      </c>
      <c r="H659" s="1">
        <v>0.0</v>
      </c>
      <c r="I659" s="1">
        <v>0.0</v>
      </c>
      <c r="J659" s="1">
        <v>0.0</v>
      </c>
      <c r="K659" s="1">
        <v>0.0</v>
      </c>
      <c r="L659" s="1">
        <v>2640000.0</v>
      </c>
      <c r="M659" s="1" t="s">
        <v>4483</v>
      </c>
      <c r="N659" s="18">
        <v>46012.0</v>
      </c>
      <c r="O659" s="1" t="s">
        <v>4484</v>
      </c>
      <c r="P659" s="1" t="s">
        <v>3334</v>
      </c>
      <c r="Q659" s="1" t="s">
        <v>3408</v>
      </c>
    </row>
    <row r="660">
      <c r="A660" s="1" t="s">
        <v>4485</v>
      </c>
      <c r="B660" s="1">
        <v>26.0</v>
      </c>
      <c r="C660" s="1">
        <v>70.0</v>
      </c>
      <c r="D660" s="2" t="s">
        <v>2930</v>
      </c>
      <c r="E660" s="1">
        <v>26.0</v>
      </c>
      <c r="F660" s="1">
        <v>27.0</v>
      </c>
      <c r="G660" s="1">
        <v>0.0</v>
      </c>
      <c r="H660" s="1">
        <v>0.0</v>
      </c>
      <c r="I660" s="1">
        <v>0.0</v>
      </c>
      <c r="J660" s="1">
        <v>0.0</v>
      </c>
      <c r="K660" s="1">
        <v>0.0</v>
      </c>
      <c r="L660" s="1">
        <v>1870000.0</v>
      </c>
      <c r="M660" s="1" t="s">
        <v>4486</v>
      </c>
      <c r="N660" s="18">
        <v>46011.0</v>
      </c>
      <c r="O660" s="1" t="s">
        <v>4487</v>
      </c>
      <c r="P660" s="1" t="s">
        <v>3230</v>
      </c>
      <c r="Q660" s="1" t="s">
        <v>3408</v>
      </c>
    </row>
    <row r="661">
      <c r="A661" s="1" t="s">
        <v>4488</v>
      </c>
      <c r="B661" s="1">
        <v>26.0</v>
      </c>
      <c r="C661" s="1">
        <v>50.0</v>
      </c>
      <c r="D661" s="2" t="s">
        <v>439</v>
      </c>
      <c r="E661" s="1">
        <v>26.0</v>
      </c>
      <c r="F661" s="1">
        <v>15.0</v>
      </c>
      <c r="G661" s="1">
        <v>28.38</v>
      </c>
      <c r="H661" s="1">
        <v>0.0</v>
      </c>
      <c r="I661" s="1">
        <v>0.0</v>
      </c>
      <c r="J661" s="1">
        <v>0.0</v>
      </c>
      <c r="K661" s="1">
        <v>0.04</v>
      </c>
      <c r="L661" s="1">
        <v>2710000.0</v>
      </c>
      <c r="M661" s="1" t="s">
        <v>4489</v>
      </c>
      <c r="N661" s="18">
        <v>46010.0</v>
      </c>
      <c r="O661" s="1" t="s">
        <v>4490</v>
      </c>
      <c r="P661" s="1" t="s">
        <v>3294</v>
      </c>
      <c r="Q661" s="1" t="s">
        <v>3408</v>
      </c>
    </row>
    <row r="662">
      <c r="A662" s="1" t="s">
        <v>4491</v>
      </c>
      <c r="B662" s="1">
        <v>26.0</v>
      </c>
      <c r="C662" s="1">
        <v>140.0</v>
      </c>
      <c r="D662" s="2" t="s">
        <v>1543</v>
      </c>
      <c r="E662" s="1">
        <v>26.0</v>
      </c>
      <c r="F662" s="1">
        <v>2.0</v>
      </c>
      <c r="G662" s="1">
        <v>0.0</v>
      </c>
      <c r="H662" s="1">
        <v>0.0</v>
      </c>
      <c r="I662" s="1">
        <v>0.0</v>
      </c>
      <c r="J662" s="1">
        <v>0.0</v>
      </c>
      <c r="K662" s="1">
        <v>0.02</v>
      </c>
      <c r="L662" s="1">
        <v>8740000.0</v>
      </c>
      <c r="M662" s="1" t="s">
        <v>4492</v>
      </c>
      <c r="N662" s="18">
        <v>46009.0</v>
      </c>
      <c r="O662" s="1" t="s">
        <v>4493</v>
      </c>
      <c r="P662" s="1" t="s">
        <v>3230</v>
      </c>
      <c r="Q662" s="1" t="s">
        <v>3408</v>
      </c>
    </row>
    <row r="663">
      <c r="A663" s="1" t="s">
        <v>4494</v>
      </c>
      <c r="B663" s="1">
        <v>26.0</v>
      </c>
      <c r="C663" s="1">
        <v>170.0</v>
      </c>
      <c r="D663" s="2" t="s">
        <v>748</v>
      </c>
      <c r="E663" s="1">
        <v>26.0</v>
      </c>
      <c r="F663" s="1">
        <v>17.0</v>
      </c>
      <c r="G663" s="1">
        <v>40.16</v>
      </c>
      <c r="H663" s="1">
        <v>0.0</v>
      </c>
      <c r="I663" s="1">
        <v>0.0</v>
      </c>
      <c r="J663" s="1">
        <v>0.0</v>
      </c>
      <c r="K663" s="1">
        <v>0.07</v>
      </c>
      <c r="L663" s="1">
        <v>1180000.0</v>
      </c>
      <c r="M663" s="1" t="s">
        <v>4495</v>
      </c>
      <c r="N663" s="18">
        <v>46004.0</v>
      </c>
      <c r="O663" s="1" t="s">
        <v>4496</v>
      </c>
      <c r="P663" s="1" t="s">
        <v>3230</v>
      </c>
      <c r="Q663" s="1" t="s">
        <v>3408</v>
      </c>
    </row>
    <row r="664">
      <c r="A664" s="1" t="s">
        <v>4497</v>
      </c>
      <c r="B664" s="1">
        <v>26.0</v>
      </c>
      <c r="C664" s="1">
        <v>210.0</v>
      </c>
      <c r="D664" s="2" t="s">
        <v>581</v>
      </c>
      <c r="E664" s="1">
        <v>26.0</v>
      </c>
      <c r="F664" s="1">
        <v>32.0</v>
      </c>
      <c r="G664" s="1">
        <v>15.21</v>
      </c>
      <c r="H664" s="1">
        <v>0.0</v>
      </c>
      <c r="I664" s="1">
        <v>0.0</v>
      </c>
      <c r="J664" s="1">
        <v>0.0</v>
      </c>
      <c r="K664" s="1">
        <v>0.39</v>
      </c>
      <c r="L664" s="1">
        <v>1130000.0</v>
      </c>
      <c r="M664" s="1" t="s">
        <v>4498</v>
      </c>
      <c r="N664" s="18">
        <v>46002.0</v>
      </c>
      <c r="O664" s="1" t="s">
        <v>4499</v>
      </c>
      <c r="P664" s="1" t="s">
        <v>3257</v>
      </c>
      <c r="Q664" s="1" t="s">
        <v>3408</v>
      </c>
    </row>
    <row r="665">
      <c r="A665" s="1" t="s">
        <v>4500</v>
      </c>
      <c r="B665" s="1">
        <v>26.0</v>
      </c>
      <c r="C665" s="1">
        <v>90.0</v>
      </c>
      <c r="D665" s="2" t="s">
        <v>694</v>
      </c>
      <c r="E665" s="1">
        <v>26.0</v>
      </c>
      <c r="F665" s="1">
        <v>2.0</v>
      </c>
      <c r="G665" s="1">
        <v>0.2</v>
      </c>
      <c r="H665" s="1">
        <v>0.0</v>
      </c>
      <c r="I665" s="1">
        <v>0.0</v>
      </c>
      <c r="J665" s="1">
        <v>0.0</v>
      </c>
      <c r="K665" s="1">
        <v>0.09</v>
      </c>
      <c r="L665" s="1">
        <v>6500000.0</v>
      </c>
      <c r="M665" s="1" t="s">
        <v>4501</v>
      </c>
      <c r="N665" s="18">
        <v>46000.0</v>
      </c>
      <c r="O665" s="1" t="s">
        <v>3824</v>
      </c>
      <c r="P665" s="1" t="s">
        <v>3230</v>
      </c>
      <c r="Q665" s="1" t="s">
        <v>3408</v>
      </c>
    </row>
    <row r="666">
      <c r="A666" s="1" t="s">
        <v>4502</v>
      </c>
      <c r="B666" s="1">
        <v>26.0</v>
      </c>
      <c r="C666" s="1">
        <v>40.0</v>
      </c>
      <c r="D666" s="2" t="s">
        <v>2930</v>
      </c>
      <c r="E666" s="1">
        <v>26.0</v>
      </c>
      <c r="F666" s="1">
        <v>35.0</v>
      </c>
      <c r="G666" s="1">
        <v>0.0</v>
      </c>
      <c r="H666" s="1">
        <v>0.0</v>
      </c>
      <c r="I666" s="1">
        <v>0.0</v>
      </c>
      <c r="J666" s="1">
        <v>0.0</v>
      </c>
      <c r="K666" s="1">
        <v>0.02</v>
      </c>
      <c r="L666" s="1">
        <v>6770000.0</v>
      </c>
      <c r="M666" s="1" t="s">
        <v>4272</v>
      </c>
      <c r="N666" s="18">
        <v>45996.0</v>
      </c>
      <c r="O666" s="1" t="s">
        <v>4217</v>
      </c>
      <c r="P666" s="1" t="s">
        <v>3230</v>
      </c>
      <c r="Q666" s="1" t="s">
        <v>3408</v>
      </c>
    </row>
    <row r="667">
      <c r="A667" s="1" t="s">
        <v>3776</v>
      </c>
      <c r="B667" s="1">
        <v>26.0</v>
      </c>
      <c r="C667" s="1">
        <v>140.0</v>
      </c>
      <c r="D667" s="2" t="s">
        <v>584</v>
      </c>
      <c r="E667" s="1">
        <v>26.0</v>
      </c>
      <c r="F667" s="1">
        <v>31.0</v>
      </c>
      <c r="G667" s="1">
        <v>17.92</v>
      </c>
      <c r="H667" s="1">
        <v>0.0</v>
      </c>
      <c r="I667" s="1">
        <v>0.0</v>
      </c>
      <c r="J667" s="1">
        <v>0.0</v>
      </c>
      <c r="K667" s="1">
        <v>0.32</v>
      </c>
      <c r="L667" s="1">
        <v>141000.0</v>
      </c>
      <c r="M667" s="1" t="s">
        <v>3777</v>
      </c>
      <c r="N667" s="18">
        <v>45990.0</v>
      </c>
      <c r="O667" s="1" t="s">
        <v>3773</v>
      </c>
      <c r="P667" s="1" t="s">
        <v>3257</v>
      </c>
      <c r="Q667" s="1" t="s">
        <v>3408</v>
      </c>
    </row>
    <row r="668">
      <c r="A668" s="1" t="s">
        <v>4503</v>
      </c>
      <c r="B668" s="1">
        <v>26.0</v>
      </c>
      <c r="C668" s="1">
        <v>390.0</v>
      </c>
      <c r="D668" s="2" t="s">
        <v>2930</v>
      </c>
      <c r="E668" s="1">
        <v>26.0</v>
      </c>
      <c r="F668" s="1">
        <v>21.0</v>
      </c>
      <c r="G668" s="1">
        <v>0.0</v>
      </c>
      <c r="H668" s="1">
        <v>0.0</v>
      </c>
      <c r="I668" s="1">
        <v>0.0</v>
      </c>
      <c r="J668" s="1">
        <v>0.0</v>
      </c>
      <c r="K668" s="1">
        <v>0.0</v>
      </c>
      <c r="L668" s="1">
        <v>3300000.0</v>
      </c>
      <c r="M668" s="1" t="s">
        <v>4504</v>
      </c>
      <c r="N668" s="18">
        <v>45987.0</v>
      </c>
      <c r="O668" s="1" t="s">
        <v>4505</v>
      </c>
      <c r="P668" s="1" t="s">
        <v>3230</v>
      </c>
      <c r="Q668" s="1" t="s">
        <v>3408</v>
      </c>
    </row>
    <row r="669">
      <c r="A669" s="1" t="s">
        <v>4506</v>
      </c>
      <c r="B669" s="1">
        <v>26.0</v>
      </c>
      <c r="C669" s="1">
        <v>90.0</v>
      </c>
      <c r="D669" s="2" t="s">
        <v>2930</v>
      </c>
      <c r="E669" s="1">
        <v>26.0</v>
      </c>
      <c r="F669" s="1">
        <v>16.0</v>
      </c>
      <c r="G669" s="1">
        <v>0.0</v>
      </c>
      <c r="H669" s="1">
        <v>0.0</v>
      </c>
      <c r="I669" s="1">
        <v>0.0</v>
      </c>
      <c r="J669" s="1">
        <v>0.0</v>
      </c>
      <c r="K669" s="1">
        <v>0.0</v>
      </c>
      <c r="L669" s="1">
        <v>9.0</v>
      </c>
      <c r="M669" s="1" t="s">
        <v>4507</v>
      </c>
      <c r="N669" s="18">
        <v>45985.0</v>
      </c>
      <c r="O669" s="1" t="s">
        <v>3889</v>
      </c>
      <c r="P669" s="1" t="s">
        <v>3230</v>
      </c>
      <c r="Q669" s="1" t="s">
        <v>3408</v>
      </c>
    </row>
    <row r="670">
      <c r="A670" s="1" t="s">
        <v>3728</v>
      </c>
      <c r="B670" s="1">
        <v>26.0</v>
      </c>
      <c r="C670" s="1">
        <v>70.0</v>
      </c>
      <c r="D670" s="2" t="s">
        <v>439</v>
      </c>
      <c r="E670" s="1">
        <v>26.0</v>
      </c>
      <c r="F670" s="1">
        <v>38.0</v>
      </c>
      <c r="G670" s="1">
        <v>6.17</v>
      </c>
      <c r="H670" s="1">
        <v>0.0</v>
      </c>
      <c r="I670" s="1">
        <v>0.0</v>
      </c>
      <c r="J670" s="1">
        <v>0.0</v>
      </c>
      <c r="K670" s="1">
        <v>0.24</v>
      </c>
      <c r="L670" s="1">
        <v>10.0</v>
      </c>
      <c r="M670" s="1" t="s">
        <v>3729</v>
      </c>
      <c r="N670" s="18">
        <v>45979.0</v>
      </c>
      <c r="O670" s="1" t="s">
        <v>3730</v>
      </c>
      <c r="P670" s="1" t="s">
        <v>3257</v>
      </c>
      <c r="Q670" s="1" t="s">
        <v>3408</v>
      </c>
    </row>
    <row r="671">
      <c r="A671" s="1" t="s">
        <v>4508</v>
      </c>
      <c r="B671" s="1">
        <v>27.0</v>
      </c>
      <c r="C671" s="1">
        <v>2400.0</v>
      </c>
      <c r="D671" s="2" t="s">
        <v>694</v>
      </c>
      <c r="E671" s="1">
        <v>27.0</v>
      </c>
      <c r="F671" s="1">
        <v>14.0</v>
      </c>
      <c r="G671" s="1">
        <v>0.97</v>
      </c>
      <c r="H671" s="1">
        <v>1.0</v>
      </c>
      <c r="I671" s="1">
        <v>0.06</v>
      </c>
      <c r="J671" s="1">
        <v>0.0</v>
      </c>
      <c r="K671" s="1">
        <v>0.25</v>
      </c>
      <c r="L671" s="1">
        <v>4410000.0</v>
      </c>
      <c r="M671" s="1" t="s">
        <v>4509</v>
      </c>
      <c r="N671" s="18">
        <v>46038.0</v>
      </c>
      <c r="O671" s="1" t="s">
        <v>4510</v>
      </c>
      <c r="P671" s="1" t="s">
        <v>3230</v>
      </c>
      <c r="Q671" s="1" t="s">
        <v>3408</v>
      </c>
    </row>
    <row r="672">
      <c r="A672" s="1" t="s">
        <v>3800</v>
      </c>
      <c r="B672" s="1">
        <v>27.0</v>
      </c>
      <c r="C672" s="1">
        <v>30.0</v>
      </c>
      <c r="D672" s="2" t="s">
        <v>1063</v>
      </c>
      <c r="E672" s="1">
        <v>27.0</v>
      </c>
      <c r="F672" s="1">
        <v>17.0</v>
      </c>
      <c r="G672" s="1">
        <v>16.61</v>
      </c>
      <c r="H672" s="1">
        <v>0.0</v>
      </c>
      <c r="I672" s="1">
        <v>0.0</v>
      </c>
      <c r="J672" s="1">
        <v>0.0</v>
      </c>
      <c r="K672" s="1">
        <v>1.0</v>
      </c>
      <c r="L672" s="1">
        <v>1.13E7</v>
      </c>
      <c r="M672" s="1" t="s">
        <v>3801</v>
      </c>
      <c r="N672" s="18">
        <v>46038.0</v>
      </c>
      <c r="O672" s="1" t="s">
        <v>3673</v>
      </c>
      <c r="P672" s="1" t="s">
        <v>3257</v>
      </c>
      <c r="Q672" s="1" t="s">
        <v>3408</v>
      </c>
    </row>
    <row r="673">
      <c r="A673" s="1" t="s">
        <v>4511</v>
      </c>
      <c r="B673" s="1">
        <v>27.0</v>
      </c>
      <c r="C673" s="1">
        <v>30.0</v>
      </c>
      <c r="D673" s="2" t="s">
        <v>1695</v>
      </c>
      <c r="E673" s="1">
        <v>27.0</v>
      </c>
      <c r="F673" s="1">
        <v>0.0</v>
      </c>
      <c r="G673" s="1">
        <v>72.26</v>
      </c>
      <c r="H673" s="1">
        <v>0.0</v>
      </c>
      <c r="I673" s="1">
        <v>0.0</v>
      </c>
      <c r="J673" s="1">
        <v>0.0</v>
      </c>
      <c r="K673" s="1">
        <v>0.9</v>
      </c>
      <c r="L673" s="1">
        <v>21100.0</v>
      </c>
      <c r="M673" s="1" t="s">
        <v>4512</v>
      </c>
      <c r="N673" s="18">
        <v>46032.0</v>
      </c>
      <c r="O673" s="1" t="s">
        <v>3288</v>
      </c>
      <c r="P673" s="1" t="s">
        <v>3257</v>
      </c>
      <c r="Q673" s="1" t="s">
        <v>3408</v>
      </c>
    </row>
    <row r="674">
      <c r="A674" s="1" t="s">
        <v>4513</v>
      </c>
      <c r="B674" s="1">
        <v>27.0</v>
      </c>
      <c r="C674" s="1">
        <v>30.0</v>
      </c>
      <c r="D674" s="2" t="s">
        <v>839</v>
      </c>
      <c r="E674" s="1">
        <v>27.0</v>
      </c>
      <c r="F674" s="1">
        <v>28.0</v>
      </c>
      <c r="G674" s="1">
        <v>4.83</v>
      </c>
      <c r="H674" s="1">
        <v>0.0</v>
      </c>
      <c r="I674" s="1">
        <v>0.0</v>
      </c>
      <c r="J674" s="1">
        <v>0.0</v>
      </c>
      <c r="K674" s="1">
        <v>0.61</v>
      </c>
      <c r="L674" s="1">
        <v>2100000.0</v>
      </c>
      <c r="M674" s="1" t="s">
        <v>4514</v>
      </c>
      <c r="N674" s="18">
        <v>46027.0</v>
      </c>
      <c r="O674" s="1" t="s">
        <v>3455</v>
      </c>
      <c r="P674" s="1" t="s">
        <v>3301</v>
      </c>
      <c r="Q674" s="1" t="s">
        <v>3408</v>
      </c>
    </row>
    <row r="675">
      <c r="A675" s="1" t="s">
        <v>3402</v>
      </c>
      <c r="B675" s="1">
        <v>27.0</v>
      </c>
      <c r="C675" s="1">
        <v>50.0</v>
      </c>
      <c r="D675" s="2" t="s">
        <v>1065</v>
      </c>
      <c r="E675" s="1">
        <v>27.0</v>
      </c>
      <c r="F675" s="1">
        <v>9.0</v>
      </c>
      <c r="G675" s="1">
        <v>13.98</v>
      </c>
      <c r="H675" s="1">
        <v>0.0</v>
      </c>
      <c r="I675" s="1">
        <v>0.0</v>
      </c>
      <c r="J675" s="1">
        <v>0.0</v>
      </c>
      <c r="K675" s="1">
        <v>0.45</v>
      </c>
      <c r="L675" s="1">
        <v>24000.0</v>
      </c>
      <c r="M675" s="1" t="s">
        <v>3403</v>
      </c>
      <c r="N675" s="18">
        <v>46026.0</v>
      </c>
      <c r="O675" s="1" t="s">
        <v>3404</v>
      </c>
      <c r="P675" s="1" t="s">
        <v>3257</v>
      </c>
      <c r="Q675" s="1" t="s">
        <v>3408</v>
      </c>
    </row>
    <row r="676">
      <c r="A676" s="1" t="s">
        <v>4515</v>
      </c>
      <c r="B676" s="1">
        <v>27.0</v>
      </c>
      <c r="C676" s="1">
        <v>70.0</v>
      </c>
      <c r="D676" s="2" t="s">
        <v>2930</v>
      </c>
      <c r="E676" s="1">
        <v>27.0</v>
      </c>
      <c r="F676" s="1">
        <v>13.0</v>
      </c>
      <c r="G676" s="1">
        <v>0.0</v>
      </c>
      <c r="H676" s="1">
        <v>0.0</v>
      </c>
      <c r="I676" s="1">
        <v>0.0</v>
      </c>
      <c r="J676" s="1">
        <v>0.0</v>
      </c>
      <c r="K676" s="1">
        <v>0.0</v>
      </c>
      <c r="L676" s="1">
        <v>863000.0</v>
      </c>
      <c r="M676" s="1" t="s">
        <v>4516</v>
      </c>
      <c r="N676" s="18">
        <v>46026.0</v>
      </c>
      <c r="O676" s="1" t="s">
        <v>3479</v>
      </c>
      <c r="P676" s="1" t="s">
        <v>3230</v>
      </c>
      <c r="Q676" s="1" t="s">
        <v>3408</v>
      </c>
    </row>
    <row r="677">
      <c r="A677" s="1" t="s">
        <v>4517</v>
      </c>
      <c r="B677" s="1">
        <v>27.0</v>
      </c>
      <c r="C677" s="1">
        <v>50.0</v>
      </c>
      <c r="D677" s="2" t="s">
        <v>1129</v>
      </c>
      <c r="E677" s="1">
        <v>27.0</v>
      </c>
      <c r="F677" s="1">
        <v>1.0</v>
      </c>
      <c r="G677" s="1">
        <v>0.0</v>
      </c>
      <c r="H677" s="1">
        <v>0.0</v>
      </c>
      <c r="I677" s="1">
        <v>0.0</v>
      </c>
      <c r="J677" s="1">
        <v>0.0</v>
      </c>
      <c r="K677" s="1">
        <v>0.03</v>
      </c>
      <c r="L677" s="1">
        <v>5260000.0</v>
      </c>
      <c r="M677" s="1" t="s">
        <v>4518</v>
      </c>
      <c r="N677" s="18">
        <v>46025.0</v>
      </c>
      <c r="O677" s="1" t="s">
        <v>4414</v>
      </c>
      <c r="P677" s="1" t="s">
        <v>3334</v>
      </c>
      <c r="Q677" s="1" t="s">
        <v>3408</v>
      </c>
    </row>
    <row r="678">
      <c r="A678" s="1" t="s">
        <v>3656</v>
      </c>
      <c r="B678" s="1">
        <v>27.0</v>
      </c>
      <c r="C678" s="1">
        <v>140.0</v>
      </c>
      <c r="D678" s="2" t="s">
        <v>443</v>
      </c>
      <c r="E678" s="1">
        <v>27.0</v>
      </c>
      <c r="F678" s="1">
        <v>25.0</v>
      </c>
      <c r="G678" s="1">
        <v>13.98</v>
      </c>
      <c r="H678" s="1">
        <v>0.0</v>
      </c>
      <c r="I678" s="1">
        <v>0.0</v>
      </c>
      <c r="J678" s="1">
        <v>0.0</v>
      </c>
      <c r="K678" s="1">
        <v>0.45</v>
      </c>
      <c r="L678" s="1">
        <v>33000.0</v>
      </c>
      <c r="M678" s="1" t="s">
        <v>3657</v>
      </c>
      <c r="N678" s="18">
        <v>46024.0</v>
      </c>
      <c r="O678" s="1" t="s">
        <v>3435</v>
      </c>
      <c r="P678" s="1" t="s">
        <v>3257</v>
      </c>
      <c r="Q678" s="1" t="s">
        <v>3408</v>
      </c>
    </row>
    <row r="679">
      <c r="A679" s="1" t="s">
        <v>4519</v>
      </c>
      <c r="B679" s="1">
        <v>27.0</v>
      </c>
      <c r="C679" s="1">
        <v>70.0</v>
      </c>
      <c r="D679" s="2" t="s">
        <v>1052</v>
      </c>
      <c r="E679" s="1">
        <v>27.0</v>
      </c>
      <c r="F679" s="1">
        <v>17.0</v>
      </c>
      <c r="G679" s="1">
        <v>0.0</v>
      </c>
      <c r="H679" s="1">
        <v>0.0</v>
      </c>
      <c r="I679" s="1">
        <v>0.0</v>
      </c>
      <c r="J679" s="1">
        <v>0.0</v>
      </c>
      <c r="K679" s="1">
        <v>0.0</v>
      </c>
      <c r="L679" s="1">
        <v>1.26E8</v>
      </c>
      <c r="M679" s="1" t="s">
        <v>4520</v>
      </c>
      <c r="N679" s="18">
        <v>46023.0</v>
      </c>
      <c r="O679" s="1" t="s">
        <v>3407</v>
      </c>
      <c r="P679" s="1" t="s">
        <v>3230</v>
      </c>
      <c r="Q679" s="1" t="s">
        <v>3408</v>
      </c>
    </row>
    <row r="680">
      <c r="A680" s="1" t="s">
        <v>4521</v>
      </c>
      <c r="B680" s="1">
        <v>27.0</v>
      </c>
      <c r="C680" s="1">
        <v>110.0</v>
      </c>
      <c r="D680" s="2" t="s">
        <v>1055</v>
      </c>
      <c r="E680" s="1">
        <v>27.0</v>
      </c>
      <c r="F680" s="1">
        <v>30.0</v>
      </c>
      <c r="G680" s="1">
        <v>19.89</v>
      </c>
      <c r="H680" s="1">
        <v>0.0</v>
      </c>
      <c r="I680" s="1">
        <v>0.0</v>
      </c>
      <c r="J680" s="1">
        <v>0.0</v>
      </c>
      <c r="K680" s="1">
        <v>0.52</v>
      </c>
      <c r="L680" s="1">
        <v>575000.0</v>
      </c>
      <c r="M680" s="1" t="s">
        <v>4522</v>
      </c>
      <c r="N680" s="18">
        <v>46022.0</v>
      </c>
      <c r="O680" s="1" t="s">
        <v>4523</v>
      </c>
      <c r="P680" s="1" t="s">
        <v>3257</v>
      </c>
      <c r="Q680" s="1" t="s">
        <v>3408</v>
      </c>
    </row>
    <row r="681">
      <c r="A681" s="1" t="s">
        <v>3425</v>
      </c>
      <c r="B681" s="1">
        <v>27.0</v>
      </c>
      <c r="C681" s="1">
        <v>70.0</v>
      </c>
      <c r="D681" s="2" t="s">
        <v>479</v>
      </c>
      <c r="E681" s="1">
        <v>27.0</v>
      </c>
      <c r="F681" s="1">
        <v>14.0</v>
      </c>
      <c r="G681" s="1">
        <v>0.0</v>
      </c>
      <c r="H681" s="1">
        <v>0.0</v>
      </c>
      <c r="I681" s="1">
        <v>0.0</v>
      </c>
      <c r="J681" s="1">
        <v>0.0</v>
      </c>
      <c r="K681" s="1">
        <v>0.0</v>
      </c>
      <c r="L681" s="1">
        <v>37900.0</v>
      </c>
      <c r="M681" s="1" t="s">
        <v>3426</v>
      </c>
      <c r="N681" s="18">
        <v>46020.0</v>
      </c>
      <c r="O681" s="1" t="s">
        <v>3427</v>
      </c>
      <c r="P681" s="1" t="s">
        <v>3257</v>
      </c>
      <c r="Q681" s="1" t="s">
        <v>3408</v>
      </c>
    </row>
    <row r="682">
      <c r="A682" s="1" t="s">
        <v>4524</v>
      </c>
      <c r="B682" s="1">
        <v>27.0</v>
      </c>
      <c r="C682" s="1">
        <v>50.0</v>
      </c>
      <c r="D682" s="2" t="s">
        <v>2416</v>
      </c>
      <c r="E682" s="1">
        <v>27.0</v>
      </c>
      <c r="F682" s="1">
        <v>31.0</v>
      </c>
      <c r="G682" s="1">
        <v>0.0</v>
      </c>
      <c r="H682" s="1">
        <v>0.0</v>
      </c>
      <c r="I682" s="1">
        <v>0.0</v>
      </c>
      <c r="J682" s="1">
        <v>0.0</v>
      </c>
      <c r="K682" s="1">
        <v>0.0</v>
      </c>
      <c r="L682" s="1">
        <v>2920000.0</v>
      </c>
      <c r="M682" s="1" t="s">
        <v>4525</v>
      </c>
      <c r="N682" s="18">
        <v>46013.0</v>
      </c>
      <c r="O682" s="1" t="s">
        <v>4003</v>
      </c>
      <c r="P682" s="1" t="s">
        <v>3230</v>
      </c>
      <c r="Q682" s="1" t="s">
        <v>3408</v>
      </c>
    </row>
    <row r="683">
      <c r="A683" s="1" t="s">
        <v>4526</v>
      </c>
      <c r="B683" s="1">
        <v>27.0</v>
      </c>
      <c r="C683" s="1">
        <v>70.0</v>
      </c>
      <c r="D683" s="2" t="s">
        <v>665</v>
      </c>
      <c r="E683" s="1">
        <v>27.0</v>
      </c>
      <c r="F683" s="1">
        <v>11.0</v>
      </c>
      <c r="G683" s="1">
        <v>17.38</v>
      </c>
      <c r="H683" s="1">
        <v>0.0</v>
      </c>
      <c r="I683" s="1">
        <v>0.0</v>
      </c>
      <c r="J683" s="1">
        <v>0.0</v>
      </c>
      <c r="K683" s="1">
        <v>0.78</v>
      </c>
      <c r="L683" s="1">
        <v>673000.0</v>
      </c>
      <c r="M683" s="1" t="s">
        <v>4527</v>
      </c>
      <c r="N683" s="18">
        <v>46012.0</v>
      </c>
      <c r="O683" s="1" t="s">
        <v>3458</v>
      </c>
      <c r="P683" s="1" t="s">
        <v>3257</v>
      </c>
      <c r="Q683" s="1" t="s">
        <v>3408</v>
      </c>
    </row>
    <row r="684">
      <c r="A684" s="1" t="s">
        <v>4528</v>
      </c>
      <c r="B684" s="1">
        <v>27.0</v>
      </c>
      <c r="C684" s="1">
        <v>70.0</v>
      </c>
      <c r="D684" s="2" t="s">
        <v>1941</v>
      </c>
      <c r="E684" s="1">
        <v>27.0</v>
      </c>
      <c r="F684" s="1">
        <v>14.0</v>
      </c>
      <c r="G684" s="1">
        <v>2.88</v>
      </c>
      <c r="H684" s="1">
        <v>0.0</v>
      </c>
      <c r="I684" s="1">
        <v>0.0</v>
      </c>
      <c r="J684" s="1">
        <v>0.0</v>
      </c>
      <c r="K684" s="1">
        <v>0.06</v>
      </c>
      <c r="L684" s="1">
        <v>3790000.0</v>
      </c>
      <c r="M684" s="1" t="s">
        <v>4529</v>
      </c>
      <c r="N684" s="18">
        <v>46011.0</v>
      </c>
      <c r="O684" s="1" t="s">
        <v>3582</v>
      </c>
      <c r="P684" s="1" t="s">
        <v>3230</v>
      </c>
      <c r="Q684" s="1" t="s">
        <v>3408</v>
      </c>
    </row>
    <row r="685">
      <c r="A685" s="1" t="s">
        <v>4530</v>
      </c>
      <c r="B685" s="1">
        <v>27.0</v>
      </c>
      <c r="C685" s="1">
        <v>90.0</v>
      </c>
      <c r="D685" s="2" t="s">
        <v>2930</v>
      </c>
      <c r="E685" s="1">
        <v>27.0</v>
      </c>
      <c r="F685" s="1">
        <v>35.0</v>
      </c>
      <c r="G685" s="1">
        <v>0.0</v>
      </c>
      <c r="H685" s="1">
        <v>0.0</v>
      </c>
      <c r="I685" s="1">
        <v>0.0</v>
      </c>
      <c r="J685" s="1">
        <v>0.0</v>
      </c>
      <c r="K685" s="1">
        <v>0.0</v>
      </c>
      <c r="L685" s="1">
        <v>1.13E8</v>
      </c>
      <c r="M685" s="1" t="s">
        <v>4531</v>
      </c>
      <c r="N685" s="18">
        <v>46008.0</v>
      </c>
      <c r="O685" s="1" t="s">
        <v>3938</v>
      </c>
      <c r="P685" s="1" t="s">
        <v>3230</v>
      </c>
      <c r="Q685" s="1" t="s">
        <v>3408</v>
      </c>
    </row>
    <row r="686">
      <c r="A686" s="1" t="s">
        <v>4532</v>
      </c>
      <c r="B686" s="1">
        <v>27.0</v>
      </c>
      <c r="C686" s="1">
        <v>30.0</v>
      </c>
      <c r="D686" s="2" t="s">
        <v>2966</v>
      </c>
      <c r="E686" s="1">
        <v>27.0</v>
      </c>
      <c r="F686" s="1">
        <v>12.0</v>
      </c>
      <c r="G686" s="1">
        <v>59.49</v>
      </c>
      <c r="H686" s="1">
        <v>0.0</v>
      </c>
      <c r="I686" s="1">
        <v>0.0</v>
      </c>
      <c r="J686" s="1">
        <v>0.0</v>
      </c>
      <c r="K686" s="1">
        <v>0.64</v>
      </c>
      <c r="L686" s="1">
        <v>143000.0</v>
      </c>
      <c r="M686" s="1" t="s">
        <v>4533</v>
      </c>
      <c r="N686" s="18">
        <v>46006.0</v>
      </c>
      <c r="O686" s="1" t="s">
        <v>4414</v>
      </c>
      <c r="P686" s="1" t="s">
        <v>3257</v>
      </c>
      <c r="Q686" s="1" t="s">
        <v>3408</v>
      </c>
    </row>
    <row r="687">
      <c r="A687" s="1" t="s">
        <v>4534</v>
      </c>
      <c r="B687" s="1">
        <v>27.0</v>
      </c>
      <c r="C687" s="1">
        <v>30.0</v>
      </c>
      <c r="D687" s="2" t="s">
        <v>1941</v>
      </c>
      <c r="E687" s="1">
        <v>27.0</v>
      </c>
      <c r="F687" s="1">
        <v>14.0</v>
      </c>
      <c r="G687" s="1">
        <v>2.05</v>
      </c>
      <c r="H687" s="1">
        <v>0.0</v>
      </c>
      <c r="I687" s="1">
        <v>0.0</v>
      </c>
      <c r="J687" s="1">
        <v>0.0</v>
      </c>
      <c r="K687" s="1">
        <v>0.27</v>
      </c>
      <c r="L687" s="1">
        <v>1210000.0</v>
      </c>
      <c r="M687" s="1" t="s">
        <v>4535</v>
      </c>
      <c r="N687" s="18">
        <v>46001.0</v>
      </c>
      <c r="O687" s="1" t="s">
        <v>3496</v>
      </c>
      <c r="P687" s="1" t="s">
        <v>3230</v>
      </c>
      <c r="Q687" s="1" t="s">
        <v>3408</v>
      </c>
    </row>
    <row r="688">
      <c r="A688" s="1" t="s">
        <v>4536</v>
      </c>
      <c r="B688" s="1">
        <v>27.0</v>
      </c>
      <c r="C688" s="1">
        <v>170.0</v>
      </c>
      <c r="D688" s="2" t="s">
        <v>617</v>
      </c>
      <c r="E688" s="1">
        <v>27.0</v>
      </c>
      <c r="F688" s="1">
        <v>20.0</v>
      </c>
      <c r="G688" s="1">
        <v>0.0</v>
      </c>
      <c r="H688" s="1">
        <v>0.0</v>
      </c>
      <c r="I688" s="1">
        <v>0.0</v>
      </c>
      <c r="J688" s="1">
        <v>0.0</v>
      </c>
      <c r="K688" s="1">
        <v>0.0</v>
      </c>
      <c r="L688" s="1">
        <v>2.16E7</v>
      </c>
      <c r="M688" s="1" t="s">
        <v>4537</v>
      </c>
      <c r="N688" s="18">
        <v>45997.0</v>
      </c>
      <c r="O688" s="1" t="s">
        <v>3854</v>
      </c>
      <c r="P688" s="1" t="s">
        <v>4538</v>
      </c>
      <c r="Q688" s="1" t="s">
        <v>3408</v>
      </c>
    </row>
    <row r="689">
      <c r="A689" s="1" t="s">
        <v>4539</v>
      </c>
      <c r="B689" s="1">
        <v>27.0</v>
      </c>
      <c r="C689" s="1">
        <v>70.0</v>
      </c>
      <c r="D689" s="2" t="s">
        <v>1331</v>
      </c>
      <c r="E689" s="1">
        <v>27.0</v>
      </c>
      <c r="F689" s="1">
        <v>4.0</v>
      </c>
      <c r="G689" s="1">
        <v>0.0</v>
      </c>
      <c r="H689" s="1">
        <v>0.0</v>
      </c>
      <c r="I689" s="1">
        <v>0.0</v>
      </c>
      <c r="J689" s="1">
        <v>0.0</v>
      </c>
      <c r="K689" s="1">
        <v>0.0</v>
      </c>
      <c r="L689" s="1">
        <v>1.3E7</v>
      </c>
      <c r="M689" s="1" t="s">
        <v>4540</v>
      </c>
      <c r="N689" s="18">
        <v>45993.0</v>
      </c>
      <c r="O689" s="1" t="s">
        <v>3284</v>
      </c>
      <c r="P689" s="1" t="s">
        <v>3230</v>
      </c>
      <c r="Q689" s="1" t="s">
        <v>3408</v>
      </c>
    </row>
    <row r="690">
      <c r="A690" s="1" t="s">
        <v>4198</v>
      </c>
      <c r="B690" s="1">
        <v>27.0</v>
      </c>
      <c r="C690" s="1">
        <v>210.0</v>
      </c>
      <c r="D690" s="2" t="s">
        <v>1860</v>
      </c>
      <c r="E690" s="1">
        <v>27.0</v>
      </c>
      <c r="F690" s="1">
        <v>5.0</v>
      </c>
      <c r="G690" s="1">
        <v>3.03</v>
      </c>
      <c r="H690" s="1">
        <v>0.0</v>
      </c>
      <c r="I690" s="1">
        <v>0.0</v>
      </c>
      <c r="J690" s="1">
        <v>0.0</v>
      </c>
      <c r="K690" s="1">
        <v>0.28</v>
      </c>
      <c r="L690" s="1">
        <v>7.0</v>
      </c>
      <c r="M690" s="1" t="s">
        <v>4199</v>
      </c>
      <c r="N690" s="18">
        <v>45980.0</v>
      </c>
      <c r="O690" s="1" t="s">
        <v>4200</v>
      </c>
      <c r="P690" s="1" t="s">
        <v>3230</v>
      </c>
      <c r="Q690" s="1" t="s">
        <v>3408</v>
      </c>
    </row>
    <row r="691">
      <c r="A691" s="1" t="s">
        <v>3952</v>
      </c>
      <c r="B691" s="1">
        <v>27.0</v>
      </c>
      <c r="C691" s="1">
        <v>50.0</v>
      </c>
      <c r="D691" s="2" t="s">
        <v>1159</v>
      </c>
      <c r="E691" s="1">
        <v>27.0</v>
      </c>
      <c r="F691" s="1">
        <v>7.0</v>
      </c>
      <c r="G691" s="1">
        <v>10.3</v>
      </c>
      <c r="H691" s="1">
        <v>0.0</v>
      </c>
      <c r="I691" s="1">
        <v>0.0</v>
      </c>
      <c r="J691" s="1">
        <v>0.0</v>
      </c>
      <c r="K691" s="1">
        <v>0.6</v>
      </c>
      <c r="L691" s="1">
        <v>143000.0</v>
      </c>
      <c r="M691" s="1" t="s">
        <v>3953</v>
      </c>
      <c r="N691" s="18">
        <v>45951.0</v>
      </c>
      <c r="O691" s="1" t="s">
        <v>3925</v>
      </c>
      <c r="P691" s="1" t="s">
        <v>3257</v>
      </c>
      <c r="Q691" s="1" t="s">
        <v>3408</v>
      </c>
    </row>
    <row r="692">
      <c r="A692" s="1" t="s">
        <v>4541</v>
      </c>
      <c r="B692" s="1">
        <v>28.0</v>
      </c>
      <c r="C692" s="1">
        <v>90.0</v>
      </c>
      <c r="D692" s="2" t="s">
        <v>1941</v>
      </c>
      <c r="E692" s="1">
        <v>0.0</v>
      </c>
      <c r="F692" s="1">
        <v>13.0</v>
      </c>
      <c r="G692" s="1">
        <v>7.12</v>
      </c>
      <c r="H692" s="1">
        <v>0.0</v>
      </c>
      <c r="I692" s="1">
        <v>0.0</v>
      </c>
      <c r="J692" s="1">
        <v>0.0</v>
      </c>
      <c r="K692" s="1">
        <v>0.22</v>
      </c>
      <c r="L692" s="1">
        <v>1560000.0</v>
      </c>
      <c r="M692" s="1" t="s">
        <v>4542</v>
      </c>
      <c r="N692" s="18">
        <v>46042.0</v>
      </c>
      <c r="O692" s="1" t="s">
        <v>4543</v>
      </c>
      <c r="P692" s="1" t="s">
        <v>3230</v>
      </c>
      <c r="Q692" s="1" t="s">
        <v>3408</v>
      </c>
    </row>
    <row r="693">
      <c r="A693" s="1" t="s">
        <v>4544</v>
      </c>
      <c r="B693" s="1">
        <v>28.0</v>
      </c>
      <c r="C693" s="1">
        <v>90.0</v>
      </c>
      <c r="D693" s="2" t="s">
        <v>1691</v>
      </c>
      <c r="E693" s="1">
        <v>28.0</v>
      </c>
      <c r="F693" s="1">
        <v>19.0</v>
      </c>
      <c r="G693" s="1">
        <v>26.64</v>
      </c>
      <c r="H693" s="1">
        <v>0.0</v>
      </c>
      <c r="I693" s="1">
        <v>0.0</v>
      </c>
      <c r="J693" s="1">
        <v>0.0</v>
      </c>
      <c r="K693" s="1">
        <v>0.3</v>
      </c>
      <c r="L693" s="1">
        <v>113000.0</v>
      </c>
      <c r="M693" s="1" t="s">
        <v>4545</v>
      </c>
      <c r="N693" s="18">
        <v>46041.0</v>
      </c>
      <c r="O693" s="1" t="s">
        <v>3415</v>
      </c>
      <c r="P693" s="1" t="s">
        <v>3257</v>
      </c>
      <c r="Q693" s="1" t="s">
        <v>3408</v>
      </c>
    </row>
    <row r="694">
      <c r="A694" s="1" t="s">
        <v>4546</v>
      </c>
      <c r="B694" s="1">
        <v>28.0</v>
      </c>
      <c r="C694" s="1">
        <v>50.0</v>
      </c>
      <c r="D694" s="2" t="s">
        <v>754</v>
      </c>
      <c r="E694" s="1">
        <v>28.0</v>
      </c>
      <c r="F694" s="1">
        <v>11.0</v>
      </c>
      <c r="G694" s="1">
        <v>0.0</v>
      </c>
      <c r="H694" s="1">
        <v>0.0</v>
      </c>
      <c r="I694" s="1">
        <v>0.0</v>
      </c>
      <c r="J694" s="1">
        <v>0.0</v>
      </c>
      <c r="K694" s="1">
        <v>0.0</v>
      </c>
      <c r="L694" s="1">
        <v>1.61E7</v>
      </c>
      <c r="M694" s="1" t="s">
        <v>4547</v>
      </c>
      <c r="N694" s="18">
        <v>46032.0</v>
      </c>
      <c r="O694" s="1" t="s">
        <v>4548</v>
      </c>
      <c r="P694" s="1" t="s">
        <v>4549</v>
      </c>
      <c r="Q694" s="1" t="s">
        <v>3408</v>
      </c>
    </row>
    <row r="695">
      <c r="A695" s="1" t="s">
        <v>4550</v>
      </c>
      <c r="B695" s="1">
        <v>28.0</v>
      </c>
      <c r="C695" s="1">
        <v>390.0</v>
      </c>
      <c r="D695" s="2" t="s">
        <v>1619</v>
      </c>
      <c r="E695" s="1">
        <v>28.0</v>
      </c>
      <c r="F695" s="1">
        <v>11.0</v>
      </c>
      <c r="G695" s="1">
        <v>0.0</v>
      </c>
      <c r="H695" s="1">
        <v>0.0</v>
      </c>
      <c r="I695" s="1">
        <v>0.0</v>
      </c>
      <c r="J695" s="1">
        <v>0.0</v>
      </c>
      <c r="K695" s="1">
        <v>0.0</v>
      </c>
      <c r="L695" s="1">
        <v>5990000.0</v>
      </c>
      <c r="M695" s="1" t="s">
        <v>4551</v>
      </c>
      <c r="N695" s="18">
        <v>46029.0</v>
      </c>
      <c r="O695" s="1" t="s">
        <v>3284</v>
      </c>
      <c r="P695" s="1" t="s">
        <v>3230</v>
      </c>
      <c r="Q695" s="1" t="s">
        <v>3408</v>
      </c>
    </row>
    <row r="696">
      <c r="A696" s="1" t="s">
        <v>4552</v>
      </c>
      <c r="B696" s="1">
        <v>28.0</v>
      </c>
      <c r="C696" s="1">
        <v>50.0</v>
      </c>
      <c r="D696" s="2" t="s">
        <v>867</v>
      </c>
      <c r="E696" s="1">
        <v>28.0</v>
      </c>
      <c r="F696" s="1">
        <v>0.0</v>
      </c>
      <c r="G696" s="1">
        <v>0.0</v>
      </c>
      <c r="H696" s="1">
        <v>0.0</v>
      </c>
      <c r="I696" s="1">
        <v>0.0</v>
      </c>
      <c r="J696" s="1">
        <v>0.0</v>
      </c>
      <c r="K696" s="1">
        <v>0.33</v>
      </c>
      <c r="L696" s="1">
        <v>6170000.0</v>
      </c>
      <c r="M696" s="1" t="s">
        <v>4553</v>
      </c>
      <c r="N696" s="18">
        <v>46025.0</v>
      </c>
      <c r="O696" s="1" t="s">
        <v>4554</v>
      </c>
      <c r="P696" s="1" t="s">
        <v>3230</v>
      </c>
      <c r="Q696" s="1" t="s">
        <v>3408</v>
      </c>
    </row>
    <row r="697">
      <c r="A697" s="1" t="s">
        <v>4555</v>
      </c>
      <c r="B697" s="1">
        <v>28.0</v>
      </c>
      <c r="C697" s="1">
        <v>50.0</v>
      </c>
      <c r="D697" s="2" t="s">
        <v>1129</v>
      </c>
      <c r="E697" s="1">
        <v>28.0</v>
      </c>
      <c r="F697" s="1">
        <v>6.0</v>
      </c>
      <c r="G697" s="1">
        <v>0.0</v>
      </c>
      <c r="H697" s="1">
        <v>0.0</v>
      </c>
      <c r="I697" s="1">
        <v>0.0</v>
      </c>
      <c r="J697" s="1">
        <v>0.0</v>
      </c>
      <c r="K697" s="1">
        <v>0.33</v>
      </c>
      <c r="L697" s="1">
        <v>3820000.0</v>
      </c>
      <c r="M697" s="1" t="s">
        <v>4556</v>
      </c>
      <c r="N697" s="18">
        <v>46025.0</v>
      </c>
      <c r="O697" s="1" t="s">
        <v>4557</v>
      </c>
      <c r="P697" s="1" t="s">
        <v>3257</v>
      </c>
      <c r="Q697" s="1" t="s">
        <v>3408</v>
      </c>
    </row>
    <row r="698">
      <c r="A698" s="1" t="s">
        <v>4558</v>
      </c>
      <c r="B698" s="1">
        <v>28.0</v>
      </c>
      <c r="C698" s="1">
        <v>110.0</v>
      </c>
      <c r="D698" s="2" t="s">
        <v>439</v>
      </c>
      <c r="E698" s="1">
        <v>28.0</v>
      </c>
      <c r="F698" s="1">
        <v>21.0</v>
      </c>
      <c r="G698" s="1">
        <v>4.63</v>
      </c>
      <c r="H698" s="1">
        <v>0.0</v>
      </c>
      <c r="I698" s="1">
        <v>0.0</v>
      </c>
      <c r="J698" s="1">
        <v>0.0</v>
      </c>
      <c r="K698" s="1">
        <v>0.05</v>
      </c>
      <c r="L698" s="1">
        <v>1480.0</v>
      </c>
      <c r="M698" s="1" t="s">
        <v>4559</v>
      </c>
      <c r="N698" s="18">
        <v>46024.0</v>
      </c>
      <c r="O698" s="1" t="s">
        <v>3821</v>
      </c>
      <c r="P698" s="1" t="s">
        <v>3294</v>
      </c>
      <c r="Q698" s="1" t="s">
        <v>3408</v>
      </c>
    </row>
    <row r="699">
      <c r="A699" s="1" t="s">
        <v>4560</v>
      </c>
      <c r="B699" s="1">
        <v>28.0</v>
      </c>
      <c r="C699" s="1">
        <v>170.0</v>
      </c>
      <c r="D699" s="2" t="s">
        <v>2930</v>
      </c>
      <c r="E699" s="1">
        <v>28.0</v>
      </c>
      <c r="F699" s="1">
        <v>60.0</v>
      </c>
      <c r="G699" s="1">
        <v>0.0</v>
      </c>
      <c r="H699" s="1">
        <v>0.0</v>
      </c>
      <c r="I699" s="1">
        <v>0.0</v>
      </c>
      <c r="J699" s="1">
        <v>0.0</v>
      </c>
      <c r="K699" s="1">
        <v>0.01</v>
      </c>
      <c r="L699" s="1">
        <v>1.3E8</v>
      </c>
      <c r="M699" s="1" t="s">
        <v>4561</v>
      </c>
      <c r="N699" s="18">
        <v>46019.0</v>
      </c>
      <c r="O699" s="1" t="s">
        <v>4562</v>
      </c>
      <c r="P699" s="1" t="s">
        <v>3230</v>
      </c>
      <c r="Q699" s="1" t="s">
        <v>3408</v>
      </c>
    </row>
    <row r="700">
      <c r="A700" s="1" t="s">
        <v>4563</v>
      </c>
      <c r="B700" s="1">
        <v>28.0</v>
      </c>
      <c r="C700" s="1">
        <v>30.0</v>
      </c>
      <c r="D700" s="2" t="s">
        <v>581</v>
      </c>
      <c r="E700" s="1">
        <v>28.0</v>
      </c>
      <c r="F700" s="1">
        <v>13.0</v>
      </c>
      <c r="G700" s="1">
        <v>6.36</v>
      </c>
      <c r="H700" s="1">
        <v>0.0</v>
      </c>
      <c r="I700" s="1">
        <v>0.0</v>
      </c>
      <c r="J700" s="1">
        <v>0.0</v>
      </c>
      <c r="K700" s="1">
        <v>0.26</v>
      </c>
      <c r="L700" s="1">
        <v>1520000.0</v>
      </c>
      <c r="M700" s="1" t="s">
        <v>4564</v>
      </c>
      <c r="N700" s="18">
        <v>46017.0</v>
      </c>
      <c r="O700" s="1" t="s">
        <v>3821</v>
      </c>
      <c r="P700" s="1" t="s">
        <v>3294</v>
      </c>
      <c r="Q700" s="1" t="s">
        <v>3408</v>
      </c>
    </row>
    <row r="701">
      <c r="A701" s="1" t="s">
        <v>4168</v>
      </c>
      <c r="B701" s="1">
        <v>28.0</v>
      </c>
      <c r="C701" s="1">
        <v>50.0</v>
      </c>
      <c r="D701" s="2" t="s">
        <v>638</v>
      </c>
      <c r="E701" s="1">
        <v>28.0</v>
      </c>
      <c r="F701" s="1">
        <v>3.0</v>
      </c>
      <c r="G701" s="1">
        <v>1.1</v>
      </c>
      <c r="H701" s="1">
        <v>0.0</v>
      </c>
      <c r="I701" s="1">
        <v>0.0</v>
      </c>
      <c r="J701" s="1">
        <v>0.0</v>
      </c>
      <c r="K701" s="1">
        <v>0.14</v>
      </c>
      <c r="L701" s="1">
        <v>1630000.0</v>
      </c>
      <c r="M701" s="1" t="s">
        <v>4169</v>
      </c>
      <c r="N701" s="18">
        <v>46017.0</v>
      </c>
      <c r="O701" s="1" t="s">
        <v>3284</v>
      </c>
      <c r="P701" s="1" t="s">
        <v>3230</v>
      </c>
      <c r="Q701" s="1" t="s">
        <v>3408</v>
      </c>
    </row>
    <row r="702">
      <c r="A702" s="1" t="s">
        <v>4565</v>
      </c>
      <c r="B702" s="1">
        <v>28.0</v>
      </c>
      <c r="C702" s="1">
        <v>70.0</v>
      </c>
      <c r="D702" s="2" t="s">
        <v>1436</v>
      </c>
      <c r="E702" s="1">
        <v>28.0</v>
      </c>
      <c r="F702" s="1">
        <v>31.0</v>
      </c>
      <c r="G702" s="1">
        <v>18.67</v>
      </c>
      <c r="H702" s="1">
        <v>0.0</v>
      </c>
      <c r="I702" s="1">
        <v>0.0</v>
      </c>
      <c r="J702" s="1">
        <v>0.0</v>
      </c>
      <c r="K702" s="1">
        <v>0.79</v>
      </c>
      <c r="L702" s="1">
        <v>256000.0</v>
      </c>
      <c r="M702" s="1" t="s">
        <v>4566</v>
      </c>
      <c r="N702" s="18">
        <v>46016.0</v>
      </c>
      <c r="O702" s="1" t="s">
        <v>3854</v>
      </c>
      <c r="P702" s="1" t="s">
        <v>3257</v>
      </c>
      <c r="Q702" s="1" t="s">
        <v>3408</v>
      </c>
    </row>
    <row r="703">
      <c r="A703" s="1" t="s">
        <v>4567</v>
      </c>
      <c r="B703" s="1">
        <v>28.0</v>
      </c>
      <c r="C703" s="1">
        <v>50.0</v>
      </c>
      <c r="D703" s="2" t="s">
        <v>1331</v>
      </c>
      <c r="E703" s="1">
        <v>28.0</v>
      </c>
      <c r="F703" s="1">
        <v>6.0</v>
      </c>
      <c r="G703" s="1">
        <v>0.0</v>
      </c>
      <c r="H703" s="1">
        <v>0.0</v>
      </c>
      <c r="I703" s="1">
        <v>0.0</v>
      </c>
      <c r="J703" s="1">
        <v>0.0</v>
      </c>
      <c r="K703" s="1">
        <v>0.0</v>
      </c>
      <c r="L703" s="1">
        <v>1.56E8</v>
      </c>
      <c r="M703" s="1" t="s">
        <v>4568</v>
      </c>
      <c r="N703" s="18">
        <v>46015.0</v>
      </c>
      <c r="O703" s="1" t="s">
        <v>4569</v>
      </c>
      <c r="P703" s="1" t="s">
        <v>3230</v>
      </c>
      <c r="Q703" s="1" t="s">
        <v>3408</v>
      </c>
    </row>
    <row r="704">
      <c r="A704" s="1" t="s">
        <v>4570</v>
      </c>
      <c r="B704" s="1">
        <v>28.0</v>
      </c>
      <c r="C704" s="1">
        <v>320.0</v>
      </c>
      <c r="D704" s="2" t="s">
        <v>2408</v>
      </c>
      <c r="E704" s="1">
        <v>28.0</v>
      </c>
      <c r="F704" s="1">
        <v>4.0</v>
      </c>
      <c r="G704" s="1">
        <v>0.0</v>
      </c>
      <c r="H704" s="1">
        <v>0.0</v>
      </c>
      <c r="I704" s="1">
        <v>0.0</v>
      </c>
      <c r="J704" s="1">
        <v>0.0</v>
      </c>
      <c r="K704" s="1">
        <v>0.02</v>
      </c>
      <c r="L704" s="1">
        <v>2010000.0</v>
      </c>
      <c r="M704" s="1" t="s">
        <v>4571</v>
      </c>
      <c r="N704" s="18">
        <v>46009.0</v>
      </c>
      <c r="O704" s="1" t="s">
        <v>3284</v>
      </c>
      <c r="P704" s="1" t="s">
        <v>3230</v>
      </c>
      <c r="Q704" s="1" t="s">
        <v>3408</v>
      </c>
    </row>
    <row r="705">
      <c r="A705" s="1" t="s">
        <v>4572</v>
      </c>
      <c r="B705" s="1">
        <v>28.0</v>
      </c>
      <c r="C705" s="1">
        <v>90.0</v>
      </c>
      <c r="D705" s="2" t="s">
        <v>2930</v>
      </c>
      <c r="E705" s="1">
        <v>28.0</v>
      </c>
      <c r="F705" s="1">
        <v>29.0</v>
      </c>
      <c r="G705" s="1">
        <v>0.0</v>
      </c>
      <c r="H705" s="1">
        <v>0.0</v>
      </c>
      <c r="I705" s="1">
        <v>0.0</v>
      </c>
      <c r="J705" s="1">
        <v>0.0</v>
      </c>
      <c r="K705" s="1">
        <v>0.0</v>
      </c>
      <c r="L705" s="1">
        <v>1.6E9</v>
      </c>
      <c r="M705" s="1" t="s">
        <v>4573</v>
      </c>
      <c r="N705" s="18">
        <v>46006.0</v>
      </c>
      <c r="O705" s="1" t="s">
        <v>3442</v>
      </c>
      <c r="P705" s="1" t="s">
        <v>3230</v>
      </c>
      <c r="Q705" s="1" t="s">
        <v>3408</v>
      </c>
    </row>
    <row r="706">
      <c r="A706" s="1" t="s">
        <v>4574</v>
      </c>
      <c r="B706" s="1">
        <v>28.0</v>
      </c>
      <c r="C706" s="1">
        <v>70.0</v>
      </c>
      <c r="D706" s="2" t="s">
        <v>1129</v>
      </c>
      <c r="E706" s="1">
        <v>28.0</v>
      </c>
      <c r="F706" s="1">
        <v>7.0</v>
      </c>
      <c r="G706" s="1">
        <v>0.0</v>
      </c>
      <c r="H706" s="1">
        <v>0.0</v>
      </c>
      <c r="I706" s="1">
        <v>0.0</v>
      </c>
      <c r="J706" s="1">
        <v>0.0</v>
      </c>
      <c r="K706" s="1">
        <v>0.0</v>
      </c>
      <c r="L706" s="1">
        <v>3600000.0</v>
      </c>
      <c r="M706" s="1" t="s">
        <v>4575</v>
      </c>
      <c r="N706" s="18">
        <v>46004.0</v>
      </c>
      <c r="O706" s="1" t="s">
        <v>4576</v>
      </c>
      <c r="P706" s="1" t="s">
        <v>3230</v>
      </c>
      <c r="Q706" s="1" t="s">
        <v>3408</v>
      </c>
    </row>
    <row r="707">
      <c r="A707" s="1" t="s">
        <v>4577</v>
      </c>
      <c r="B707" s="1">
        <v>28.0</v>
      </c>
      <c r="C707" s="1">
        <v>90.0</v>
      </c>
      <c r="D707" s="2" t="s">
        <v>581</v>
      </c>
      <c r="E707" s="1">
        <v>28.0</v>
      </c>
      <c r="F707" s="1">
        <v>43.0</v>
      </c>
      <c r="G707" s="1">
        <v>19.51</v>
      </c>
      <c r="H707" s="1">
        <v>0.0</v>
      </c>
      <c r="I707" s="1">
        <v>0.0</v>
      </c>
      <c r="J707" s="1">
        <v>0.0</v>
      </c>
      <c r="K707" s="1">
        <v>0.84</v>
      </c>
      <c r="L707" s="1">
        <v>4750000.0</v>
      </c>
      <c r="M707" s="1" t="s">
        <v>4578</v>
      </c>
      <c r="N707" s="18">
        <v>46004.0</v>
      </c>
      <c r="O707" s="1" t="s">
        <v>3892</v>
      </c>
      <c r="P707" s="1" t="s">
        <v>3257</v>
      </c>
      <c r="Q707" s="1" t="s">
        <v>3408</v>
      </c>
    </row>
    <row r="708">
      <c r="A708" s="1" t="s">
        <v>3746</v>
      </c>
      <c r="B708" s="1">
        <v>28.0</v>
      </c>
      <c r="C708" s="1">
        <v>50.0</v>
      </c>
      <c r="D708" s="2" t="s">
        <v>447</v>
      </c>
      <c r="E708" s="1">
        <v>28.0</v>
      </c>
      <c r="F708" s="1">
        <v>26.0</v>
      </c>
      <c r="G708" s="1">
        <v>14.44</v>
      </c>
      <c r="H708" s="1">
        <v>0.0</v>
      </c>
      <c r="I708" s="1">
        <v>0.0</v>
      </c>
      <c r="J708" s="1">
        <v>0.0</v>
      </c>
      <c r="K708" s="1">
        <v>0.41</v>
      </c>
      <c r="L708" s="1">
        <v>130000.0</v>
      </c>
      <c r="M708" s="1" t="s">
        <v>3747</v>
      </c>
      <c r="N708" s="18">
        <v>46002.0</v>
      </c>
      <c r="O708" s="1" t="s">
        <v>3645</v>
      </c>
      <c r="P708" s="1" t="s">
        <v>3257</v>
      </c>
      <c r="Q708" s="1" t="s">
        <v>3408</v>
      </c>
    </row>
    <row r="709">
      <c r="A709" s="1" t="s">
        <v>4579</v>
      </c>
      <c r="B709" s="1">
        <v>28.0</v>
      </c>
      <c r="C709" s="1">
        <v>1300.0</v>
      </c>
      <c r="D709" s="2" t="s">
        <v>694</v>
      </c>
      <c r="E709" s="1">
        <v>28.0</v>
      </c>
      <c r="F709" s="1">
        <v>27.0</v>
      </c>
      <c r="G709" s="1">
        <v>0.75</v>
      </c>
      <c r="H709" s="1">
        <v>0.0</v>
      </c>
      <c r="I709" s="1">
        <v>0.0</v>
      </c>
      <c r="J709" s="1">
        <v>0.0</v>
      </c>
      <c r="K709" s="1">
        <v>0.26</v>
      </c>
      <c r="L709" s="1">
        <v>6280000.0</v>
      </c>
      <c r="M709" s="1" t="s">
        <v>4580</v>
      </c>
      <c r="N709" s="18">
        <v>46001.0</v>
      </c>
      <c r="O709" s="1" t="s">
        <v>3264</v>
      </c>
      <c r="P709" s="1" t="s">
        <v>3230</v>
      </c>
      <c r="Q709" s="1" t="s">
        <v>3408</v>
      </c>
    </row>
    <row r="710">
      <c r="A710" s="1" t="s">
        <v>4581</v>
      </c>
      <c r="B710" s="1">
        <v>28.0</v>
      </c>
      <c r="C710" s="1">
        <v>110.0</v>
      </c>
      <c r="D710" s="2" t="s">
        <v>451</v>
      </c>
      <c r="E710" s="1">
        <v>28.0</v>
      </c>
      <c r="F710" s="1">
        <v>32.0</v>
      </c>
      <c r="G710" s="1">
        <v>0.0</v>
      </c>
      <c r="H710" s="1">
        <v>0.0</v>
      </c>
      <c r="I710" s="1">
        <v>0.0</v>
      </c>
      <c r="J710" s="1">
        <v>0.0</v>
      </c>
      <c r="K710" s="1">
        <v>0.0</v>
      </c>
      <c r="L710" s="1">
        <v>1.53E7</v>
      </c>
      <c r="M710" s="1" t="s">
        <v>4582</v>
      </c>
      <c r="N710" s="18">
        <v>46000.0</v>
      </c>
      <c r="O710" s="1" t="s">
        <v>3404</v>
      </c>
      <c r="P710" s="1" t="s">
        <v>3257</v>
      </c>
      <c r="Q710" s="1" t="s">
        <v>3408</v>
      </c>
    </row>
    <row r="711">
      <c r="A711" s="1" t="s">
        <v>4583</v>
      </c>
      <c r="B711" s="1">
        <v>28.0</v>
      </c>
      <c r="C711" s="1">
        <v>140.0</v>
      </c>
      <c r="D711" s="2" t="s">
        <v>439</v>
      </c>
      <c r="E711" s="1">
        <v>28.0</v>
      </c>
      <c r="F711" s="1">
        <v>20.0</v>
      </c>
      <c r="G711" s="1">
        <v>6.61</v>
      </c>
      <c r="H711" s="1">
        <v>0.0</v>
      </c>
      <c r="I711" s="1">
        <v>0.0</v>
      </c>
      <c r="J711" s="1">
        <v>0.0</v>
      </c>
      <c r="K711" s="1">
        <v>0.15</v>
      </c>
      <c r="L711" s="1">
        <v>1570000.0</v>
      </c>
      <c r="M711" s="1" t="s">
        <v>4584</v>
      </c>
      <c r="N711" s="18">
        <v>45999.0</v>
      </c>
      <c r="O711" s="1" t="s">
        <v>4372</v>
      </c>
      <c r="P711" s="1" t="s">
        <v>3294</v>
      </c>
      <c r="Q711" s="1" t="s">
        <v>3408</v>
      </c>
    </row>
    <row r="712">
      <c r="A712" s="1" t="s">
        <v>4585</v>
      </c>
      <c r="B712" s="1">
        <v>28.0</v>
      </c>
      <c r="C712" s="1">
        <v>50.0</v>
      </c>
      <c r="D712" s="2" t="s">
        <v>2930</v>
      </c>
      <c r="E712" s="1">
        <v>28.0</v>
      </c>
      <c r="F712" s="1">
        <v>14.0</v>
      </c>
      <c r="G712" s="1">
        <v>0.0</v>
      </c>
      <c r="H712" s="1">
        <v>0.0</v>
      </c>
      <c r="I712" s="1">
        <v>0.0</v>
      </c>
      <c r="J712" s="1">
        <v>0.0</v>
      </c>
      <c r="K712" s="1">
        <v>0.0</v>
      </c>
      <c r="L712" s="1">
        <v>2930000.0</v>
      </c>
      <c r="M712" s="1" t="s">
        <v>4586</v>
      </c>
      <c r="N712" s="18">
        <v>45999.0</v>
      </c>
      <c r="O712" s="1" t="s">
        <v>3479</v>
      </c>
      <c r="P712" s="1" t="s">
        <v>3230</v>
      </c>
      <c r="Q712" s="1" t="s">
        <v>3408</v>
      </c>
    </row>
    <row r="713">
      <c r="A713" s="1" t="s">
        <v>4587</v>
      </c>
      <c r="B713" s="1">
        <v>28.0</v>
      </c>
      <c r="C713" s="1">
        <v>70.0</v>
      </c>
      <c r="D713" s="2" t="s">
        <v>2930</v>
      </c>
      <c r="E713" s="1">
        <v>28.0</v>
      </c>
      <c r="F713" s="1">
        <v>42.0</v>
      </c>
      <c r="G713" s="1">
        <v>0.0</v>
      </c>
      <c r="H713" s="1">
        <v>0.0</v>
      </c>
      <c r="I713" s="1">
        <v>0.0</v>
      </c>
      <c r="J713" s="1">
        <v>0.0</v>
      </c>
      <c r="K713" s="1">
        <v>0.0</v>
      </c>
      <c r="L713" s="1">
        <v>1750000.0</v>
      </c>
      <c r="M713" s="1" t="s">
        <v>4588</v>
      </c>
      <c r="N713" s="18">
        <v>45999.0</v>
      </c>
      <c r="O713" s="1" t="s">
        <v>3840</v>
      </c>
      <c r="P713" s="1" t="s">
        <v>3230</v>
      </c>
      <c r="Q713" s="1" t="s">
        <v>3408</v>
      </c>
    </row>
    <row r="714">
      <c r="A714" s="1" t="s">
        <v>4589</v>
      </c>
      <c r="B714" s="1">
        <v>28.0</v>
      </c>
      <c r="C714" s="1">
        <v>50.0</v>
      </c>
      <c r="D714" s="2" t="s">
        <v>2930</v>
      </c>
      <c r="E714" s="1">
        <v>28.0</v>
      </c>
      <c r="F714" s="1">
        <v>30.0</v>
      </c>
      <c r="G714" s="1">
        <v>0.0</v>
      </c>
      <c r="H714" s="1">
        <v>0.0</v>
      </c>
      <c r="I714" s="1">
        <v>0.0</v>
      </c>
      <c r="J714" s="1">
        <v>0.0</v>
      </c>
      <c r="K714" s="1">
        <v>0.0</v>
      </c>
      <c r="L714" s="1">
        <v>901000.0</v>
      </c>
      <c r="M714" s="1" t="s">
        <v>4590</v>
      </c>
      <c r="N714" s="18">
        <v>45999.0</v>
      </c>
      <c r="O714" s="1" t="s">
        <v>3264</v>
      </c>
      <c r="P714" s="1" t="s">
        <v>3230</v>
      </c>
      <c r="Q714" s="1" t="s">
        <v>3408</v>
      </c>
    </row>
    <row r="715">
      <c r="A715" s="1" t="s">
        <v>4591</v>
      </c>
      <c r="B715" s="1">
        <v>28.0</v>
      </c>
      <c r="C715" s="1">
        <v>140.0</v>
      </c>
      <c r="D715" s="2" t="s">
        <v>694</v>
      </c>
      <c r="E715" s="1">
        <v>28.0</v>
      </c>
      <c r="F715" s="1">
        <v>20.0</v>
      </c>
      <c r="G715" s="1">
        <v>0.82</v>
      </c>
      <c r="H715" s="1">
        <v>0.0</v>
      </c>
      <c r="I715" s="1">
        <v>0.0</v>
      </c>
      <c r="J715" s="1">
        <v>0.0</v>
      </c>
      <c r="K715" s="1">
        <v>0.44</v>
      </c>
      <c r="L715" s="1">
        <v>6700000.0</v>
      </c>
      <c r="M715" s="1" t="s">
        <v>4592</v>
      </c>
      <c r="N715" s="18">
        <v>45995.0</v>
      </c>
      <c r="O715" s="1" t="s">
        <v>3237</v>
      </c>
      <c r="P715" s="1" t="s">
        <v>3230</v>
      </c>
      <c r="Q715" s="1" t="s">
        <v>3408</v>
      </c>
    </row>
    <row r="716">
      <c r="A716" s="1" t="s">
        <v>4593</v>
      </c>
      <c r="B716" s="1">
        <v>28.0</v>
      </c>
      <c r="C716" s="1">
        <v>50.0</v>
      </c>
      <c r="D716" s="2" t="s">
        <v>447</v>
      </c>
      <c r="E716" s="1">
        <v>28.0</v>
      </c>
      <c r="F716" s="1">
        <v>43.0</v>
      </c>
      <c r="G716" s="1">
        <v>14.11</v>
      </c>
      <c r="H716" s="1">
        <v>0.0</v>
      </c>
      <c r="I716" s="1">
        <v>0.0</v>
      </c>
      <c r="J716" s="1">
        <v>0.0</v>
      </c>
      <c r="K716" s="1">
        <v>0.6</v>
      </c>
      <c r="L716" s="1">
        <v>223000.0</v>
      </c>
      <c r="M716" s="1" t="s">
        <v>4594</v>
      </c>
      <c r="N716" s="18">
        <v>45992.0</v>
      </c>
      <c r="O716" s="1" t="s">
        <v>3673</v>
      </c>
      <c r="P716" s="1" t="s">
        <v>3257</v>
      </c>
      <c r="Q716" s="1" t="s">
        <v>3408</v>
      </c>
    </row>
    <row r="717">
      <c r="A717" s="1" t="s">
        <v>4595</v>
      </c>
      <c r="B717" s="1">
        <v>28.0</v>
      </c>
      <c r="C717" s="1">
        <v>70.0</v>
      </c>
      <c r="D717" s="2" t="s">
        <v>447</v>
      </c>
      <c r="E717" s="1">
        <v>28.0</v>
      </c>
      <c r="F717" s="1">
        <v>42.0</v>
      </c>
      <c r="G717" s="1">
        <v>14.11</v>
      </c>
      <c r="H717" s="1">
        <v>0.0</v>
      </c>
      <c r="I717" s="1">
        <v>0.0</v>
      </c>
      <c r="J717" s="1">
        <v>0.0</v>
      </c>
      <c r="K717" s="1">
        <v>0.6</v>
      </c>
      <c r="L717" s="1">
        <v>197000.0</v>
      </c>
      <c r="M717" s="1" t="s">
        <v>4596</v>
      </c>
      <c r="N717" s="18">
        <v>45991.0</v>
      </c>
      <c r="O717" s="1" t="s">
        <v>3288</v>
      </c>
      <c r="P717" s="1" t="s">
        <v>3257</v>
      </c>
      <c r="Q717" s="1" t="s">
        <v>3408</v>
      </c>
    </row>
    <row r="718">
      <c r="A718" s="1" t="s">
        <v>4597</v>
      </c>
      <c r="B718" s="1">
        <v>28.0</v>
      </c>
      <c r="C718" s="1">
        <v>90.0</v>
      </c>
      <c r="D718" s="2" t="s">
        <v>1215</v>
      </c>
      <c r="E718" s="1">
        <v>28.0</v>
      </c>
      <c r="F718" s="1">
        <v>17.0</v>
      </c>
      <c r="G718" s="1">
        <v>0.0</v>
      </c>
      <c r="H718" s="1">
        <v>0.0</v>
      </c>
      <c r="I718" s="1">
        <v>0.0</v>
      </c>
      <c r="J718" s="1">
        <v>0.0</v>
      </c>
      <c r="K718" s="1">
        <v>0.02</v>
      </c>
      <c r="L718" s="1">
        <v>2940000.0</v>
      </c>
      <c r="M718" s="1" t="s">
        <v>4598</v>
      </c>
      <c r="N718" s="18">
        <v>45990.0</v>
      </c>
      <c r="O718" s="1" t="s">
        <v>3432</v>
      </c>
      <c r="P718" s="1" t="s">
        <v>3257</v>
      </c>
      <c r="Q718" s="1" t="s">
        <v>3408</v>
      </c>
    </row>
    <row r="719">
      <c r="A719" s="1" t="s">
        <v>3880</v>
      </c>
      <c r="B719" s="1">
        <v>28.0</v>
      </c>
      <c r="C719" s="1">
        <v>140.0</v>
      </c>
      <c r="D719" s="2" t="s">
        <v>2988</v>
      </c>
      <c r="E719" s="1">
        <v>28.0</v>
      </c>
      <c r="F719" s="1">
        <v>21.0</v>
      </c>
      <c r="G719" s="1">
        <v>17.84</v>
      </c>
      <c r="H719" s="1">
        <v>0.0</v>
      </c>
      <c r="I719" s="1">
        <v>0.0</v>
      </c>
      <c r="J719" s="1">
        <v>0.0</v>
      </c>
      <c r="K719" s="1">
        <v>0.12</v>
      </c>
      <c r="L719" s="1">
        <v>9.0</v>
      </c>
      <c r="M719" s="1" t="s">
        <v>3881</v>
      </c>
      <c r="N719" s="18">
        <v>45986.0</v>
      </c>
      <c r="O719" s="1" t="s">
        <v>3882</v>
      </c>
      <c r="P719" s="1" t="s">
        <v>3257</v>
      </c>
      <c r="Q719" s="1" t="s">
        <v>3408</v>
      </c>
    </row>
    <row r="720">
      <c r="A720" s="1" t="s">
        <v>4599</v>
      </c>
      <c r="B720" s="1">
        <v>28.0</v>
      </c>
      <c r="C720" s="1">
        <v>70.0</v>
      </c>
      <c r="D720" s="2" t="s">
        <v>1295</v>
      </c>
      <c r="E720" s="1">
        <v>28.0</v>
      </c>
      <c r="F720" s="1">
        <v>5.0</v>
      </c>
      <c r="G720" s="1">
        <v>0.0</v>
      </c>
      <c r="H720" s="1">
        <v>0.0</v>
      </c>
      <c r="I720" s="1">
        <v>0.0</v>
      </c>
      <c r="J720" s="1">
        <v>0.0</v>
      </c>
      <c r="K720" s="1">
        <v>0.0</v>
      </c>
      <c r="L720" s="1">
        <v>7.0</v>
      </c>
      <c r="M720" s="1" t="s">
        <v>4600</v>
      </c>
      <c r="N720" s="18">
        <v>45985.0</v>
      </c>
      <c r="O720" s="1" t="s">
        <v>3479</v>
      </c>
      <c r="P720" s="1" t="s">
        <v>3230</v>
      </c>
      <c r="Q720" s="1" t="s">
        <v>3408</v>
      </c>
    </row>
    <row r="721">
      <c r="A721" s="1" t="s">
        <v>4601</v>
      </c>
      <c r="B721" s="1">
        <v>28.0</v>
      </c>
      <c r="C721" s="1">
        <v>90.0</v>
      </c>
      <c r="D721" s="2" t="s">
        <v>581</v>
      </c>
      <c r="E721" s="1">
        <v>28.0</v>
      </c>
      <c r="F721" s="1">
        <v>37.0</v>
      </c>
      <c r="G721" s="1">
        <v>11.38</v>
      </c>
      <c r="H721" s="1">
        <v>0.0</v>
      </c>
      <c r="I721" s="1">
        <v>0.0</v>
      </c>
      <c r="J721" s="1">
        <v>0.0</v>
      </c>
      <c r="K721" s="1">
        <v>0.78</v>
      </c>
      <c r="L721" s="1">
        <v>9.0</v>
      </c>
      <c r="M721" s="1" t="s">
        <v>4602</v>
      </c>
      <c r="N721" s="18">
        <v>45985.0</v>
      </c>
      <c r="O721" s="1" t="s">
        <v>4369</v>
      </c>
      <c r="P721" s="1" t="s">
        <v>3257</v>
      </c>
      <c r="Q721" s="1" t="s">
        <v>3408</v>
      </c>
    </row>
    <row r="722">
      <c r="A722" s="1" t="s">
        <v>4603</v>
      </c>
      <c r="B722" s="1">
        <v>28.0</v>
      </c>
      <c r="C722" s="1">
        <v>140.0</v>
      </c>
      <c r="D722" s="2" t="s">
        <v>979</v>
      </c>
      <c r="E722" s="1">
        <v>28.0</v>
      </c>
      <c r="F722" s="1">
        <v>10.0</v>
      </c>
      <c r="G722" s="1">
        <v>0.0</v>
      </c>
      <c r="H722" s="1">
        <v>0.0</v>
      </c>
      <c r="I722" s="1">
        <v>0.0</v>
      </c>
      <c r="J722" s="1">
        <v>0.0</v>
      </c>
      <c r="K722" s="1">
        <v>0.0</v>
      </c>
      <c r="L722" s="1">
        <v>10.0</v>
      </c>
      <c r="M722" s="1" t="s">
        <v>4604</v>
      </c>
      <c r="N722" s="18">
        <v>45980.0</v>
      </c>
      <c r="O722" s="1" t="s">
        <v>4605</v>
      </c>
      <c r="P722" s="1" t="s">
        <v>3230</v>
      </c>
      <c r="Q722" s="1" t="s">
        <v>3408</v>
      </c>
    </row>
    <row r="723">
      <c r="A723" s="1" t="s">
        <v>4606</v>
      </c>
      <c r="B723" s="1">
        <v>28.0</v>
      </c>
      <c r="C723" s="1">
        <v>70.0</v>
      </c>
      <c r="D723" s="2" t="s">
        <v>718</v>
      </c>
      <c r="E723" s="1">
        <v>28.0</v>
      </c>
      <c r="F723" s="1">
        <v>0.0</v>
      </c>
      <c r="G723" s="1">
        <v>0.0</v>
      </c>
      <c r="H723" s="1">
        <v>0.0</v>
      </c>
      <c r="I723" s="1">
        <v>0.0</v>
      </c>
      <c r="J723" s="1">
        <v>0.0</v>
      </c>
      <c r="K723" s="1">
        <v>0.0</v>
      </c>
      <c r="L723" s="1">
        <v>10.0</v>
      </c>
      <c r="M723" s="1" t="s">
        <v>4607</v>
      </c>
      <c r="N723" s="18">
        <v>45978.0</v>
      </c>
      <c r="O723" s="1" t="s">
        <v>4608</v>
      </c>
      <c r="P723" s="1" t="s">
        <v>3230</v>
      </c>
      <c r="Q723" s="1" t="s">
        <v>3408</v>
      </c>
    </row>
    <row r="724">
      <c r="A724" s="1" t="s">
        <v>4609</v>
      </c>
      <c r="B724" s="1">
        <v>28.0</v>
      </c>
      <c r="C724" s="1">
        <v>260.0</v>
      </c>
      <c r="D724" s="2" t="s">
        <v>2937</v>
      </c>
      <c r="E724" s="1">
        <v>28.0</v>
      </c>
      <c r="F724" s="1">
        <v>16.0</v>
      </c>
      <c r="G724" s="1">
        <v>7.15</v>
      </c>
      <c r="H724" s="1">
        <v>0.0</v>
      </c>
      <c r="I724" s="1">
        <v>0.0</v>
      </c>
      <c r="J724" s="1">
        <v>0.0</v>
      </c>
      <c r="K724" s="1">
        <v>0.08</v>
      </c>
      <c r="L724" s="1">
        <v>1.05E7</v>
      </c>
      <c r="M724" s="1" t="s">
        <v>4610</v>
      </c>
      <c r="N724" s="18">
        <v>45937.0</v>
      </c>
      <c r="O724" s="1" t="s">
        <v>3653</v>
      </c>
      <c r="P724" s="1" t="s">
        <v>3257</v>
      </c>
      <c r="Q724" s="1" t="s">
        <v>3408</v>
      </c>
    </row>
    <row r="725">
      <c r="A725" s="1" t="s">
        <v>4611</v>
      </c>
      <c r="B725" s="1">
        <v>29.0</v>
      </c>
      <c r="C725" s="1">
        <v>140.0</v>
      </c>
      <c r="D725" s="2" t="s">
        <v>581</v>
      </c>
      <c r="E725" s="1">
        <v>29.0</v>
      </c>
      <c r="F725" s="1">
        <v>38.0</v>
      </c>
      <c r="G725" s="1">
        <v>8.0</v>
      </c>
      <c r="H725" s="1">
        <v>0.0</v>
      </c>
      <c r="I725" s="1">
        <v>0.0</v>
      </c>
      <c r="J725" s="1">
        <v>0.0</v>
      </c>
      <c r="K725" s="1">
        <v>0.37</v>
      </c>
      <c r="L725" s="1">
        <v>1.93E8</v>
      </c>
      <c r="M725" s="1" t="s">
        <v>4612</v>
      </c>
      <c r="N725" s="18">
        <v>46042.0</v>
      </c>
      <c r="O725" s="1" t="s">
        <v>4208</v>
      </c>
      <c r="P725" s="1" t="s">
        <v>3257</v>
      </c>
      <c r="Q725" s="1" t="s">
        <v>3408</v>
      </c>
    </row>
    <row r="726">
      <c r="A726" s="1" t="s">
        <v>4613</v>
      </c>
      <c r="B726" s="1">
        <v>29.0</v>
      </c>
      <c r="C726" s="1">
        <v>40.0</v>
      </c>
      <c r="D726" s="2" t="s">
        <v>2971</v>
      </c>
      <c r="E726" s="1">
        <v>29.0</v>
      </c>
      <c r="F726" s="1">
        <v>9.0</v>
      </c>
      <c r="G726" s="1">
        <v>0.0</v>
      </c>
      <c r="H726" s="1">
        <v>0.0</v>
      </c>
      <c r="I726" s="1">
        <v>0.0</v>
      </c>
      <c r="J726" s="1">
        <v>0.0</v>
      </c>
      <c r="K726" s="1">
        <v>0.0</v>
      </c>
      <c r="L726" s="1">
        <v>93900.0</v>
      </c>
      <c r="M726" s="1" t="s">
        <v>4614</v>
      </c>
      <c r="N726" s="18">
        <v>46034.0</v>
      </c>
      <c r="O726" s="1" t="s">
        <v>3760</v>
      </c>
      <c r="P726" s="1" t="s">
        <v>3230</v>
      </c>
      <c r="Q726" s="1" t="s">
        <v>3408</v>
      </c>
    </row>
    <row r="727">
      <c r="A727" s="1" t="s">
        <v>3689</v>
      </c>
      <c r="B727" s="1">
        <v>29.0</v>
      </c>
      <c r="C727" s="1">
        <v>50.0</v>
      </c>
      <c r="D727" s="2" t="s">
        <v>455</v>
      </c>
      <c r="E727" s="1">
        <v>29.0</v>
      </c>
      <c r="F727" s="1">
        <v>15.0</v>
      </c>
      <c r="G727" s="1">
        <v>0.0</v>
      </c>
      <c r="H727" s="1">
        <v>0.0</v>
      </c>
      <c r="I727" s="1">
        <v>0.0</v>
      </c>
      <c r="J727" s="1">
        <v>0.0</v>
      </c>
      <c r="K727" s="1">
        <v>0.0</v>
      </c>
      <c r="L727" s="1">
        <v>97600.0</v>
      </c>
      <c r="M727" s="1" t="s">
        <v>3690</v>
      </c>
      <c r="N727" s="18">
        <v>46031.0</v>
      </c>
      <c r="O727" s="1" t="s">
        <v>3691</v>
      </c>
      <c r="P727" s="1" t="s">
        <v>3257</v>
      </c>
      <c r="Q727" s="1" t="s">
        <v>3408</v>
      </c>
    </row>
    <row r="728">
      <c r="A728" s="1" t="s">
        <v>3990</v>
      </c>
      <c r="B728" s="1">
        <v>29.0</v>
      </c>
      <c r="C728" s="1">
        <v>40.0</v>
      </c>
      <c r="D728" s="2" t="s">
        <v>1215</v>
      </c>
      <c r="E728" s="1">
        <v>29.0</v>
      </c>
      <c r="F728" s="1">
        <v>0.0</v>
      </c>
      <c r="G728" s="1">
        <v>0.0</v>
      </c>
      <c r="H728" s="1">
        <v>0.0</v>
      </c>
      <c r="I728" s="1">
        <v>0.0</v>
      </c>
      <c r="J728" s="1">
        <v>0.0</v>
      </c>
      <c r="K728" s="1">
        <v>0.0</v>
      </c>
      <c r="L728" s="1">
        <v>2.02E7</v>
      </c>
      <c r="M728" s="1" t="s">
        <v>3991</v>
      </c>
      <c r="N728" s="18">
        <v>46031.0</v>
      </c>
      <c r="O728" s="1" t="s">
        <v>3992</v>
      </c>
      <c r="P728" s="1" t="s">
        <v>3257</v>
      </c>
      <c r="Q728" s="1" t="s">
        <v>3408</v>
      </c>
    </row>
    <row r="729">
      <c r="A729" s="1" t="s">
        <v>3605</v>
      </c>
      <c r="B729" s="1">
        <v>29.0</v>
      </c>
      <c r="C729" s="1">
        <v>50.0</v>
      </c>
      <c r="D729" s="2" t="s">
        <v>535</v>
      </c>
      <c r="E729" s="1">
        <v>29.0</v>
      </c>
      <c r="G729" s="1">
        <v>0.0</v>
      </c>
      <c r="H729" s="1">
        <v>0.0</v>
      </c>
      <c r="I729" s="1">
        <v>0.0</v>
      </c>
      <c r="J729" s="1">
        <v>0.0</v>
      </c>
      <c r="K729" s="1">
        <v>0.0</v>
      </c>
      <c r="L729" s="1">
        <v>39600.0</v>
      </c>
      <c r="M729" s="1" t="s">
        <v>3606</v>
      </c>
      <c r="N729" s="18">
        <v>46030.0</v>
      </c>
      <c r="O729" s="1" t="s">
        <v>3355</v>
      </c>
      <c r="P729" s="1" t="s">
        <v>3257</v>
      </c>
      <c r="Q729" s="1" t="s">
        <v>3408</v>
      </c>
    </row>
    <row r="730">
      <c r="A730" s="1" t="s">
        <v>4615</v>
      </c>
      <c r="B730" s="1">
        <v>29.0</v>
      </c>
      <c r="C730" s="1">
        <v>590.0</v>
      </c>
      <c r="D730" s="2" t="s">
        <v>439</v>
      </c>
      <c r="E730" s="1">
        <v>29.0</v>
      </c>
      <c r="F730" s="1">
        <v>29.0</v>
      </c>
      <c r="G730" s="1">
        <v>0.0</v>
      </c>
      <c r="H730" s="1">
        <v>0.0</v>
      </c>
      <c r="I730" s="1">
        <v>0.0</v>
      </c>
      <c r="J730" s="1">
        <v>0.0</v>
      </c>
      <c r="K730" s="1">
        <v>0.01</v>
      </c>
      <c r="L730" s="1">
        <v>9790.0</v>
      </c>
      <c r="M730" s="1" t="s">
        <v>4616</v>
      </c>
      <c r="N730" s="18">
        <v>46027.0</v>
      </c>
      <c r="O730" s="1" t="s">
        <v>4617</v>
      </c>
      <c r="P730" s="1" t="s">
        <v>3294</v>
      </c>
      <c r="Q730" s="1" t="s">
        <v>3408</v>
      </c>
    </row>
    <row r="731">
      <c r="A731" s="1" t="s">
        <v>4618</v>
      </c>
      <c r="B731" s="1">
        <v>29.0</v>
      </c>
      <c r="C731" s="1">
        <v>40.0</v>
      </c>
      <c r="D731" s="2" t="s">
        <v>581</v>
      </c>
      <c r="E731" s="1">
        <v>29.0</v>
      </c>
      <c r="G731" s="1">
        <v>13.88</v>
      </c>
      <c r="H731" s="1">
        <v>0.0</v>
      </c>
      <c r="I731" s="1">
        <v>0.0</v>
      </c>
      <c r="J731" s="1">
        <v>0.0</v>
      </c>
      <c r="K731" s="1">
        <v>0.67</v>
      </c>
      <c r="L731" s="1">
        <v>4660000.0</v>
      </c>
      <c r="M731" s="1" t="s">
        <v>4619</v>
      </c>
      <c r="N731" s="18">
        <v>46026.0</v>
      </c>
      <c r="O731" s="1" t="s">
        <v>3415</v>
      </c>
      <c r="P731" s="1" t="s">
        <v>3257</v>
      </c>
      <c r="Q731" s="1" t="s">
        <v>3408</v>
      </c>
    </row>
    <row r="732">
      <c r="A732" s="1" t="s">
        <v>4620</v>
      </c>
      <c r="B732" s="1">
        <v>29.0</v>
      </c>
      <c r="C732" s="1">
        <v>50.0</v>
      </c>
      <c r="D732" s="2" t="s">
        <v>2930</v>
      </c>
      <c r="E732" s="1">
        <v>29.0</v>
      </c>
      <c r="F732" s="1">
        <v>28.0</v>
      </c>
      <c r="G732" s="1">
        <v>0.0</v>
      </c>
      <c r="H732" s="1">
        <v>0.0</v>
      </c>
      <c r="I732" s="1">
        <v>0.0</v>
      </c>
      <c r="J732" s="1">
        <v>0.0</v>
      </c>
      <c r="K732" s="1">
        <v>0.0</v>
      </c>
      <c r="L732" s="1">
        <v>2880000.0</v>
      </c>
      <c r="M732" s="1" t="s">
        <v>4621</v>
      </c>
      <c r="N732" s="18">
        <v>46026.0</v>
      </c>
      <c r="O732" s="1" t="s">
        <v>4622</v>
      </c>
      <c r="P732" s="1" t="s">
        <v>3230</v>
      </c>
      <c r="Q732" s="1" t="s">
        <v>3408</v>
      </c>
    </row>
    <row r="733">
      <c r="A733" s="1" t="s">
        <v>4623</v>
      </c>
      <c r="B733" s="1">
        <v>29.0</v>
      </c>
      <c r="C733" s="1">
        <v>50.0</v>
      </c>
      <c r="D733" s="2" t="s">
        <v>867</v>
      </c>
      <c r="E733" s="1">
        <v>29.0</v>
      </c>
      <c r="F733" s="1">
        <v>1.0</v>
      </c>
      <c r="G733" s="1">
        <v>0.0</v>
      </c>
      <c r="H733" s="1">
        <v>0.0</v>
      </c>
      <c r="I733" s="1">
        <v>0.0</v>
      </c>
      <c r="J733" s="1">
        <v>0.0</v>
      </c>
      <c r="K733" s="1">
        <v>0.33</v>
      </c>
      <c r="L733" s="1">
        <v>4850000.0</v>
      </c>
      <c r="M733" s="1" t="s">
        <v>4624</v>
      </c>
      <c r="N733" s="18">
        <v>46025.0</v>
      </c>
      <c r="O733" s="1" t="s">
        <v>4625</v>
      </c>
      <c r="P733" s="1" t="s">
        <v>3334</v>
      </c>
      <c r="Q733" s="1" t="s">
        <v>3408</v>
      </c>
    </row>
    <row r="734">
      <c r="A734" s="1" t="s">
        <v>4626</v>
      </c>
      <c r="B734" s="1">
        <v>29.0</v>
      </c>
      <c r="C734" s="1">
        <v>110.0</v>
      </c>
      <c r="D734" s="2" t="s">
        <v>694</v>
      </c>
      <c r="E734" s="1">
        <v>29.0</v>
      </c>
      <c r="F734" s="1">
        <v>12.0</v>
      </c>
      <c r="G734" s="1">
        <v>0.9</v>
      </c>
      <c r="H734" s="1">
        <v>0.0</v>
      </c>
      <c r="I734" s="1">
        <v>0.0</v>
      </c>
      <c r="J734" s="1">
        <v>0.0</v>
      </c>
      <c r="K734" s="1">
        <v>0.36</v>
      </c>
      <c r="L734" s="1">
        <v>2980000.0</v>
      </c>
      <c r="M734" s="1" t="s">
        <v>4627</v>
      </c>
      <c r="N734" s="18">
        <v>46025.0</v>
      </c>
      <c r="O734" s="1" t="s">
        <v>3840</v>
      </c>
      <c r="P734" s="1" t="s">
        <v>3230</v>
      </c>
      <c r="Q734" s="1" t="s">
        <v>3408</v>
      </c>
    </row>
    <row r="735">
      <c r="A735" s="1" t="s">
        <v>4628</v>
      </c>
      <c r="B735" s="1">
        <v>29.0</v>
      </c>
      <c r="C735" s="1">
        <v>90.0</v>
      </c>
      <c r="D735" s="2" t="s">
        <v>665</v>
      </c>
      <c r="E735" s="1">
        <v>29.0</v>
      </c>
      <c r="F735" s="1">
        <v>11.0</v>
      </c>
      <c r="G735" s="1">
        <v>13.87</v>
      </c>
      <c r="H735" s="1">
        <v>0.0</v>
      </c>
      <c r="I735" s="1">
        <v>0.0</v>
      </c>
      <c r="J735" s="1">
        <v>0.0</v>
      </c>
      <c r="K735" s="1">
        <v>0.65</v>
      </c>
      <c r="L735" s="1">
        <v>154000.0</v>
      </c>
      <c r="M735" s="1" t="s">
        <v>4629</v>
      </c>
      <c r="N735" s="18">
        <v>46023.0</v>
      </c>
      <c r="O735" s="1" t="s">
        <v>4110</v>
      </c>
      <c r="P735" s="1" t="s">
        <v>3257</v>
      </c>
      <c r="Q735" s="1" t="s">
        <v>3408</v>
      </c>
    </row>
    <row r="736">
      <c r="A736" s="1" t="s">
        <v>4630</v>
      </c>
      <c r="B736" s="1">
        <v>29.0</v>
      </c>
      <c r="C736" s="1">
        <v>50.0</v>
      </c>
      <c r="D736" s="2" t="s">
        <v>2931</v>
      </c>
      <c r="E736" s="1">
        <v>29.0</v>
      </c>
      <c r="F736" s="1">
        <v>2.0</v>
      </c>
      <c r="G736" s="1">
        <v>0.0</v>
      </c>
      <c r="H736" s="1">
        <v>0.0</v>
      </c>
      <c r="I736" s="1">
        <v>0.0</v>
      </c>
      <c r="J736" s="1">
        <v>0.0</v>
      </c>
      <c r="K736" s="1">
        <v>0.0</v>
      </c>
      <c r="L736" s="1">
        <v>31300.0</v>
      </c>
      <c r="M736" s="1" t="s">
        <v>4631</v>
      </c>
      <c r="N736" s="18">
        <v>46022.0</v>
      </c>
      <c r="O736" s="1" t="s">
        <v>4089</v>
      </c>
      <c r="P736" s="1" t="s">
        <v>3257</v>
      </c>
      <c r="Q736" s="1" t="s">
        <v>3408</v>
      </c>
    </row>
    <row r="737">
      <c r="A737" s="1" t="s">
        <v>3428</v>
      </c>
      <c r="B737" s="1">
        <v>29.0</v>
      </c>
      <c r="C737" s="1">
        <v>40.0</v>
      </c>
      <c r="D737" s="2" t="s">
        <v>2364</v>
      </c>
      <c r="E737" s="1">
        <v>29.0</v>
      </c>
      <c r="F737" s="1">
        <v>3.0</v>
      </c>
      <c r="G737" s="1">
        <v>7.85</v>
      </c>
      <c r="H737" s="1">
        <v>0.0</v>
      </c>
      <c r="I737" s="1">
        <v>0.0</v>
      </c>
      <c r="J737" s="1">
        <v>0.0</v>
      </c>
      <c r="K737" s="1">
        <v>0.05</v>
      </c>
      <c r="L737" s="1">
        <v>3170000.0</v>
      </c>
      <c r="M737" s="1" t="s">
        <v>3429</v>
      </c>
      <c r="N737" s="18">
        <v>46018.0</v>
      </c>
      <c r="O737" s="1" t="s">
        <v>3407</v>
      </c>
      <c r="P737" s="1" t="s">
        <v>3230</v>
      </c>
      <c r="Q737" s="1" t="s">
        <v>3408</v>
      </c>
    </row>
    <row r="738">
      <c r="A738" s="1" t="s">
        <v>3815</v>
      </c>
      <c r="B738" s="1">
        <v>29.0</v>
      </c>
      <c r="C738" s="1">
        <v>90.0</v>
      </c>
      <c r="D738" s="2" t="s">
        <v>439</v>
      </c>
      <c r="E738" s="1">
        <v>29.0</v>
      </c>
      <c r="F738" s="1">
        <v>25.0</v>
      </c>
      <c r="G738" s="1">
        <v>0.0</v>
      </c>
      <c r="H738" s="1">
        <v>0.0</v>
      </c>
      <c r="I738" s="1">
        <v>0.0</v>
      </c>
      <c r="J738" s="1">
        <v>0.0</v>
      </c>
      <c r="K738" s="1">
        <v>0.11</v>
      </c>
      <c r="L738" s="1">
        <v>1.48E7</v>
      </c>
      <c r="M738" s="1" t="s">
        <v>3816</v>
      </c>
      <c r="N738" s="18">
        <v>46018.0</v>
      </c>
      <c r="O738" s="1" t="s">
        <v>3415</v>
      </c>
      <c r="P738" s="1" t="s">
        <v>3257</v>
      </c>
      <c r="Q738" s="1" t="s">
        <v>3408</v>
      </c>
    </row>
    <row r="739">
      <c r="A739" s="1" t="s">
        <v>4632</v>
      </c>
      <c r="B739" s="1">
        <v>29.0</v>
      </c>
      <c r="C739" s="1">
        <v>70.0</v>
      </c>
      <c r="D739" s="2" t="s">
        <v>1052</v>
      </c>
      <c r="E739" s="1">
        <v>29.0</v>
      </c>
      <c r="F739" s="1">
        <v>29.0</v>
      </c>
      <c r="G739" s="1">
        <v>0.0</v>
      </c>
      <c r="H739" s="1">
        <v>0.0</v>
      </c>
      <c r="I739" s="1">
        <v>0.0</v>
      </c>
      <c r="J739" s="1">
        <v>0.0</v>
      </c>
      <c r="K739" s="1">
        <v>0.0</v>
      </c>
      <c r="L739" s="1">
        <v>1.14E8</v>
      </c>
      <c r="M739" s="1" t="s">
        <v>4633</v>
      </c>
      <c r="N739" s="18">
        <v>46017.0</v>
      </c>
      <c r="O739" s="1" t="s">
        <v>4057</v>
      </c>
      <c r="P739" s="1" t="s">
        <v>3230</v>
      </c>
      <c r="Q739" s="1" t="s">
        <v>3408</v>
      </c>
    </row>
    <row r="740">
      <c r="A740" s="1" t="s">
        <v>4634</v>
      </c>
      <c r="B740" s="1">
        <v>29.0</v>
      </c>
      <c r="C740" s="1">
        <v>260.0</v>
      </c>
      <c r="D740" s="2" t="s">
        <v>1052</v>
      </c>
      <c r="E740" s="1">
        <v>29.0</v>
      </c>
      <c r="F740" s="1">
        <v>32.0</v>
      </c>
      <c r="G740" s="1">
        <v>0.0</v>
      </c>
      <c r="H740" s="1">
        <v>0.0</v>
      </c>
      <c r="I740" s="1">
        <v>0.0</v>
      </c>
      <c r="J740" s="1">
        <v>0.0</v>
      </c>
      <c r="K740" s="1">
        <v>0.0</v>
      </c>
      <c r="L740" s="1">
        <v>9.09E7</v>
      </c>
      <c r="M740" s="1" t="s">
        <v>4635</v>
      </c>
      <c r="N740" s="18">
        <v>46013.0</v>
      </c>
      <c r="O740" s="1" t="s">
        <v>4636</v>
      </c>
      <c r="P740" s="1" t="s">
        <v>3230</v>
      </c>
      <c r="Q740" s="1" t="s">
        <v>3408</v>
      </c>
    </row>
    <row r="741">
      <c r="A741" s="1" t="s">
        <v>4637</v>
      </c>
      <c r="B741" s="1">
        <v>29.0</v>
      </c>
      <c r="C741" s="1">
        <v>110.0</v>
      </c>
      <c r="D741" s="2" t="s">
        <v>2930</v>
      </c>
      <c r="E741" s="1">
        <v>29.0</v>
      </c>
      <c r="F741" s="1">
        <v>52.0</v>
      </c>
      <c r="G741" s="1">
        <v>0.0</v>
      </c>
      <c r="H741" s="1">
        <v>0.0</v>
      </c>
      <c r="I741" s="1">
        <v>0.0</v>
      </c>
      <c r="J741" s="1">
        <v>0.0</v>
      </c>
      <c r="K741" s="1">
        <v>0.01</v>
      </c>
      <c r="L741" s="1">
        <v>1.36E8</v>
      </c>
      <c r="M741" s="1" t="s">
        <v>4638</v>
      </c>
      <c r="N741" s="18">
        <v>46006.0</v>
      </c>
      <c r="O741" s="1" t="s">
        <v>4033</v>
      </c>
      <c r="P741" s="1" t="s">
        <v>3230</v>
      </c>
      <c r="Q741" s="1" t="s">
        <v>3408</v>
      </c>
    </row>
    <row r="742">
      <c r="A742" s="1" t="s">
        <v>3483</v>
      </c>
      <c r="B742" s="1">
        <v>29.0</v>
      </c>
      <c r="C742" s="1">
        <v>50.0</v>
      </c>
      <c r="D742" s="2" t="s">
        <v>724</v>
      </c>
      <c r="E742" s="1">
        <v>29.0</v>
      </c>
      <c r="F742" s="1">
        <v>0.0</v>
      </c>
      <c r="G742" s="1">
        <v>0.0</v>
      </c>
      <c r="H742" s="1">
        <v>0.0</v>
      </c>
      <c r="I742" s="1">
        <v>0.0</v>
      </c>
      <c r="J742" s="1">
        <v>0.0</v>
      </c>
      <c r="K742" s="1">
        <v>0.0</v>
      </c>
      <c r="L742" s="1">
        <v>2.35E7</v>
      </c>
      <c r="M742" s="1" t="s">
        <v>3484</v>
      </c>
      <c r="N742" s="18">
        <v>46005.0</v>
      </c>
      <c r="O742" s="1" t="s">
        <v>3407</v>
      </c>
      <c r="P742" s="1" t="s">
        <v>3230</v>
      </c>
      <c r="Q742" s="1" t="s">
        <v>3408</v>
      </c>
    </row>
    <row r="743">
      <c r="A743" s="1" t="s">
        <v>4639</v>
      </c>
      <c r="B743" s="1">
        <v>29.0</v>
      </c>
      <c r="C743" s="1">
        <v>50.0</v>
      </c>
      <c r="D743" s="2" t="s">
        <v>1183</v>
      </c>
      <c r="E743" s="1">
        <v>29.0</v>
      </c>
      <c r="F743" s="1">
        <v>2.0</v>
      </c>
      <c r="G743" s="1">
        <v>0.0</v>
      </c>
      <c r="H743" s="1">
        <v>0.0</v>
      </c>
      <c r="I743" s="1">
        <v>0.0</v>
      </c>
      <c r="J743" s="1">
        <v>0.0</v>
      </c>
      <c r="K743" s="1">
        <v>0.01</v>
      </c>
      <c r="L743" s="1">
        <v>24200.0</v>
      </c>
      <c r="M743" s="1" t="s">
        <v>4640</v>
      </c>
      <c r="N743" s="18">
        <v>46002.0</v>
      </c>
      <c r="O743" s="1" t="s">
        <v>3807</v>
      </c>
      <c r="P743" s="1" t="s">
        <v>3257</v>
      </c>
      <c r="Q743" s="1" t="s">
        <v>3408</v>
      </c>
    </row>
    <row r="744">
      <c r="A744" s="1" t="s">
        <v>4641</v>
      </c>
      <c r="B744" s="1">
        <v>29.0</v>
      </c>
      <c r="C744" s="1">
        <v>50.0</v>
      </c>
      <c r="D744" s="2" t="s">
        <v>1183</v>
      </c>
      <c r="E744" s="1">
        <v>29.0</v>
      </c>
      <c r="F744" s="1">
        <v>12.0</v>
      </c>
      <c r="G744" s="1">
        <v>0.0</v>
      </c>
      <c r="H744" s="1">
        <v>0.0</v>
      </c>
      <c r="I744" s="1">
        <v>0.0</v>
      </c>
      <c r="J744" s="1">
        <v>0.0</v>
      </c>
      <c r="K744" s="1">
        <v>0.01</v>
      </c>
      <c r="L744" s="1">
        <v>33900.0</v>
      </c>
      <c r="M744" s="1" t="s">
        <v>4642</v>
      </c>
      <c r="N744" s="18">
        <v>46002.0</v>
      </c>
      <c r="O744" s="1" t="s">
        <v>4643</v>
      </c>
      <c r="P744" s="1" t="s">
        <v>3257</v>
      </c>
      <c r="Q744" s="1" t="s">
        <v>3408</v>
      </c>
    </row>
    <row r="745">
      <c r="A745" s="1" t="s">
        <v>4644</v>
      </c>
      <c r="B745" s="1">
        <v>29.0</v>
      </c>
      <c r="C745" s="1">
        <v>40.0</v>
      </c>
      <c r="D745" s="2" t="s">
        <v>798</v>
      </c>
      <c r="E745" s="1">
        <v>29.0</v>
      </c>
      <c r="F745" s="1">
        <v>7.0</v>
      </c>
      <c r="G745" s="1">
        <v>0.0</v>
      </c>
      <c r="H745" s="1">
        <v>0.0</v>
      </c>
      <c r="I745" s="1">
        <v>0.0</v>
      </c>
      <c r="J745" s="1">
        <v>0.0</v>
      </c>
      <c r="K745" s="1">
        <v>0.01</v>
      </c>
      <c r="L745" s="1">
        <v>631000.0</v>
      </c>
      <c r="M745" s="1" t="s">
        <v>4645</v>
      </c>
      <c r="N745" s="18">
        <v>45998.0</v>
      </c>
      <c r="O745" s="1" t="s">
        <v>4646</v>
      </c>
      <c r="P745" s="1" t="s">
        <v>3334</v>
      </c>
      <c r="Q745" s="1" t="s">
        <v>3408</v>
      </c>
    </row>
    <row r="746">
      <c r="A746" s="1" t="s">
        <v>4647</v>
      </c>
      <c r="B746" s="1">
        <v>29.0</v>
      </c>
      <c r="C746" s="1">
        <v>480.0</v>
      </c>
      <c r="D746" s="2" t="s">
        <v>1052</v>
      </c>
      <c r="E746" s="1">
        <v>29.0</v>
      </c>
      <c r="F746" s="1">
        <v>31.0</v>
      </c>
      <c r="G746" s="1">
        <v>0.0</v>
      </c>
      <c r="H746" s="1">
        <v>0.0</v>
      </c>
      <c r="I746" s="1">
        <v>0.0</v>
      </c>
      <c r="J746" s="1">
        <v>0.0</v>
      </c>
      <c r="K746" s="1">
        <v>0.0</v>
      </c>
      <c r="L746" s="1">
        <v>1.2E8</v>
      </c>
      <c r="M746" s="1" t="s">
        <v>4648</v>
      </c>
      <c r="N746" s="18">
        <v>45995.0</v>
      </c>
      <c r="O746" s="1" t="s">
        <v>3493</v>
      </c>
      <c r="P746" s="1" t="s">
        <v>3230</v>
      </c>
      <c r="Q746" s="1" t="s">
        <v>3408</v>
      </c>
    </row>
    <row r="747">
      <c r="A747" s="1" t="s">
        <v>3559</v>
      </c>
      <c r="B747" s="1">
        <v>29.0</v>
      </c>
      <c r="C747" s="1">
        <v>140.0</v>
      </c>
      <c r="D747" s="2" t="s">
        <v>447</v>
      </c>
      <c r="E747" s="1">
        <v>29.0</v>
      </c>
      <c r="F747" s="1">
        <v>9.0</v>
      </c>
      <c r="G747" s="1">
        <v>10.08</v>
      </c>
      <c r="H747" s="1">
        <v>0.0</v>
      </c>
      <c r="I747" s="1">
        <v>0.0</v>
      </c>
      <c r="J747" s="1">
        <v>0.0</v>
      </c>
      <c r="K747" s="1">
        <v>0.13</v>
      </c>
      <c r="L747" s="1">
        <v>10.0</v>
      </c>
      <c r="M747" s="1" t="s">
        <v>3560</v>
      </c>
      <c r="N747" s="18">
        <v>45984.0</v>
      </c>
      <c r="O747" s="1" t="s">
        <v>3455</v>
      </c>
      <c r="P747" s="1" t="s">
        <v>3257</v>
      </c>
      <c r="Q747" s="1" t="s">
        <v>3408</v>
      </c>
    </row>
    <row r="748">
      <c r="A748" s="1" t="s">
        <v>4397</v>
      </c>
      <c r="B748" s="1">
        <v>29.0</v>
      </c>
      <c r="C748" s="1">
        <v>260.0</v>
      </c>
      <c r="D748" s="2" t="s">
        <v>2930</v>
      </c>
      <c r="E748" s="1">
        <v>29.0</v>
      </c>
      <c r="F748" s="1">
        <v>27.0</v>
      </c>
      <c r="G748" s="1">
        <v>0.0</v>
      </c>
      <c r="H748" s="1">
        <v>0.0</v>
      </c>
      <c r="I748" s="1">
        <v>0.0</v>
      </c>
      <c r="J748" s="1">
        <v>0.0</v>
      </c>
      <c r="K748" s="1">
        <v>0.0</v>
      </c>
      <c r="L748" s="1">
        <v>6590000.0</v>
      </c>
      <c r="M748" s="1" t="s">
        <v>4398</v>
      </c>
      <c r="N748" s="18">
        <v>45979.0</v>
      </c>
      <c r="O748" s="1" t="s">
        <v>3895</v>
      </c>
      <c r="P748" s="1" t="s">
        <v>3230</v>
      </c>
      <c r="Q748" s="1" t="s">
        <v>3408</v>
      </c>
    </row>
    <row r="749">
      <c r="A749" s="1" t="s">
        <v>4649</v>
      </c>
      <c r="B749" s="1">
        <v>29.0</v>
      </c>
      <c r="C749" s="1">
        <v>40.0</v>
      </c>
      <c r="D749" s="2" t="s">
        <v>1052</v>
      </c>
      <c r="E749" s="1">
        <v>29.0</v>
      </c>
      <c r="F749" s="1">
        <v>4.0</v>
      </c>
      <c r="G749" s="1">
        <v>0.0</v>
      </c>
      <c r="H749" s="1">
        <v>0.0</v>
      </c>
      <c r="I749" s="1">
        <v>0.0</v>
      </c>
      <c r="J749" s="1">
        <v>0.0</v>
      </c>
      <c r="K749" s="1">
        <v>0.0</v>
      </c>
      <c r="L749" s="1">
        <v>10.0</v>
      </c>
      <c r="M749" s="1" t="s">
        <v>4650</v>
      </c>
      <c r="N749" s="18">
        <v>45978.0</v>
      </c>
      <c r="O749" s="1" t="s">
        <v>3568</v>
      </c>
      <c r="P749" s="1" t="s">
        <v>3230</v>
      </c>
      <c r="Q749" s="1" t="s">
        <v>3408</v>
      </c>
    </row>
    <row r="750">
      <c r="A750" s="1" t="s">
        <v>4651</v>
      </c>
      <c r="B750" s="1">
        <v>29.0</v>
      </c>
      <c r="C750" s="1">
        <v>50.0</v>
      </c>
      <c r="D750" s="2" t="s">
        <v>681</v>
      </c>
      <c r="E750" s="1">
        <v>29.0</v>
      </c>
      <c r="F750" s="1">
        <v>2.0</v>
      </c>
      <c r="G750" s="1">
        <v>1.41</v>
      </c>
      <c r="H750" s="1">
        <v>0.0</v>
      </c>
      <c r="I750" s="1">
        <v>0.0</v>
      </c>
      <c r="J750" s="1">
        <v>0.0</v>
      </c>
      <c r="K750" s="1">
        <v>0.42</v>
      </c>
      <c r="L750" s="1">
        <v>633000.0</v>
      </c>
      <c r="M750" s="1" t="s">
        <v>4652</v>
      </c>
      <c r="N750" s="18">
        <v>45951.0</v>
      </c>
      <c r="O750" s="1" t="s">
        <v>3565</v>
      </c>
      <c r="P750" s="1" t="s">
        <v>3230</v>
      </c>
      <c r="Q750" s="1" t="s">
        <v>3408</v>
      </c>
    </row>
    <row r="751">
      <c r="A751" s="1" t="s">
        <v>4653</v>
      </c>
      <c r="B751" s="1">
        <v>30.0</v>
      </c>
      <c r="C751" s="1">
        <v>70.0</v>
      </c>
      <c r="D751" s="2" t="s">
        <v>1327</v>
      </c>
      <c r="E751" s="1">
        <v>80.0</v>
      </c>
      <c r="G751" s="1">
        <v>0.0</v>
      </c>
      <c r="H751" s="1">
        <v>0.0</v>
      </c>
      <c r="I751" s="1">
        <v>0.0</v>
      </c>
      <c r="J751" s="1">
        <v>0.0</v>
      </c>
      <c r="K751" s="1">
        <v>0.0</v>
      </c>
      <c r="L751" s="1">
        <v>2130000.0</v>
      </c>
      <c r="M751" s="1" t="s">
        <v>4654</v>
      </c>
      <c r="N751" s="18">
        <v>46042.0</v>
      </c>
      <c r="O751" s="1" t="s">
        <v>3284</v>
      </c>
      <c r="P751" s="1" t="s">
        <v>3230</v>
      </c>
      <c r="Q751" s="1" t="s">
        <v>3408</v>
      </c>
    </row>
    <row r="752">
      <c r="A752" s="1" t="s">
        <v>4655</v>
      </c>
      <c r="B752" s="1">
        <v>30.0</v>
      </c>
      <c r="C752" s="1">
        <v>70.0</v>
      </c>
      <c r="D752" s="2" t="s">
        <v>1307</v>
      </c>
      <c r="E752" s="1">
        <v>30.0</v>
      </c>
      <c r="F752" s="1">
        <v>5.0</v>
      </c>
      <c r="G752" s="1">
        <v>5.79</v>
      </c>
      <c r="H752" s="1">
        <v>0.0</v>
      </c>
      <c r="I752" s="1">
        <v>0.0</v>
      </c>
      <c r="J752" s="1">
        <v>0.0</v>
      </c>
      <c r="K752" s="1">
        <v>0.87</v>
      </c>
      <c r="L752" s="1">
        <v>1300000.0</v>
      </c>
      <c r="M752" s="1" t="s">
        <v>4656</v>
      </c>
      <c r="N752" s="18">
        <v>46040.0</v>
      </c>
      <c r="O752" s="1" t="s">
        <v>3673</v>
      </c>
      <c r="P752" s="1" t="s">
        <v>3257</v>
      </c>
      <c r="Q752" s="1" t="s">
        <v>3408</v>
      </c>
    </row>
    <row r="753">
      <c r="A753" s="1" t="s">
        <v>4657</v>
      </c>
      <c r="B753" s="1">
        <v>30.0</v>
      </c>
      <c r="C753" s="1">
        <v>70.0</v>
      </c>
      <c r="D753" s="2" t="s">
        <v>2930</v>
      </c>
      <c r="E753" s="1">
        <v>30.0</v>
      </c>
      <c r="G753" s="1">
        <v>0.0</v>
      </c>
      <c r="H753" s="1">
        <v>0.0</v>
      </c>
      <c r="I753" s="1">
        <v>0.0</v>
      </c>
      <c r="J753" s="1">
        <v>0.0</v>
      </c>
      <c r="K753" s="1">
        <v>0.33</v>
      </c>
      <c r="L753" s="1">
        <v>6560000.0</v>
      </c>
      <c r="M753" s="1" t="s">
        <v>4658</v>
      </c>
      <c r="N753" s="18">
        <v>46038.0</v>
      </c>
      <c r="O753" s="1" t="s">
        <v>3525</v>
      </c>
      <c r="P753" s="1" t="s">
        <v>3230</v>
      </c>
      <c r="Q753" s="1" t="s">
        <v>3408</v>
      </c>
    </row>
    <row r="754">
      <c r="A754" s="1" t="s">
        <v>4659</v>
      </c>
      <c r="B754" s="1">
        <v>30.0</v>
      </c>
      <c r="C754" s="1">
        <v>70.0</v>
      </c>
      <c r="D754" s="2" t="s">
        <v>439</v>
      </c>
      <c r="E754" s="1">
        <v>30.0</v>
      </c>
      <c r="F754" s="1">
        <v>10.0</v>
      </c>
      <c r="G754" s="1">
        <v>0.0</v>
      </c>
      <c r="H754" s="1">
        <v>0.0</v>
      </c>
      <c r="I754" s="1">
        <v>0.0</v>
      </c>
      <c r="J754" s="1">
        <v>0.0</v>
      </c>
      <c r="K754" s="1">
        <v>0.33</v>
      </c>
      <c r="L754" s="1">
        <v>339000.0</v>
      </c>
      <c r="M754" s="1" t="s">
        <v>4660</v>
      </c>
      <c r="N754" s="18">
        <v>46038.0</v>
      </c>
      <c r="O754" s="1" t="s">
        <v>4440</v>
      </c>
      <c r="P754" s="1" t="s">
        <v>3230</v>
      </c>
      <c r="Q754" s="1" t="s">
        <v>3408</v>
      </c>
    </row>
    <row r="755">
      <c r="A755" s="1" t="s">
        <v>4661</v>
      </c>
      <c r="B755" s="1">
        <v>30.0</v>
      </c>
      <c r="C755" s="1">
        <v>50.0</v>
      </c>
      <c r="D755" s="2" t="s">
        <v>1037</v>
      </c>
      <c r="E755" s="1">
        <v>30.0</v>
      </c>
      <c r="F755" s="1">
        <v>0.0</v>
      </c>
      <c r="G755" s="1">
        <v>0.0</v>
      </c>
      <c r="H755" s="1">
        <v>0.0</v>
      </c>
      <c r="I755" s="1">
        <v>0.0</v>
      </c>
      <c r="J755" s="1">
        <v>0.0</v>
      </c>
      <c r="K755" s="1">
        <v>0.0</v>
      </c>
      <c r="L755" s="1">
        <v>440000.0</v>
      </c>
      <c r="M755" s="1" t="s">
        <v>4662</v>
      </c>
      <c r="N755" s="18">
        <v>46031.0</v>
      </c>
      <c r="O755" s="1" t="s">
        <v>4663</v>
      </c>
      <c r="P755" s="1" t="s">
        <v>3334</v>
      </c>
      <c r="Q755" s="1" t="s">
        <v>3408</v>
      </c>
    </row>
    <row r="756">
      <c r="A756" s="1" t="s">
        <v>3993</v>
      </c>
      <c r="B756" s="1">
        <v>30.0</v>
      </c>
      <c r="C756" s="1">
        <v>50.0</v>
      </c>
      <c r="D756" s="2" t="s">
        <v>1210</v>
      </c>
      <c r="E756" s="1">
        <v>30.0</v>
      </c>
      <c r="F756" s="1">
        <v>3.0</v>
      </c>
      <c r="G756" s="1">
        <v>0.0</v>
      </c>
      <c r="H756" s="1">
        <v>0.0</v>
      </c>
      <c r="I756" s="1">
        <v>0.0</v>
      </c>
      <c r="J756" s="1">
        <v>0.0</v>
      </c>
      <c r="K756" s="1">
        <v>0.0</v>
      </c>
      <c r="L756" s="1">
        <v>0.0</v>
      </c>
      <c r="M756" s="1" t="s">
        <v>3994</v>
      </c>
      <c r="N756" s="18">
        <v>46030.0</v>
      </c>
      <c r="O756" s="1" t="s">
        <v>3256</v>
      </c>
      <c r="P756" s="1" t="s">
        <v>3257</v>
      </c>
      <c r="Q756" s="1" t="s">
        <v>3408</v>
      </c>
    </row>
    <row r="757">
      <c r="A757" s="1" t="s">
        <v>3353</v>
      </c>
      <c r="B757" s="1">
        <v>30.0</v>
      </c>
      <c r="C757" s="1">
        <v>50.0</v>
      </c>
      <c r="D757" s="2" t="s">
        <v>535</v>
      </c>
      <c r="E757" s="1">
        <v>30.0</v>
      </c>
      <c r="F757" s="1">
        <v>15.0</v>
      </c>
      <c r="G757" s="1">
        <v>0.0</v>
      </c>
      <c r="H757" s="1">
        <v>0.0</v>
      </c>
      <c r="I757" s="1">
        <v>0.0</v>
      </c>
      <c r="J757" s="1">
        <v>0.0</v>
      </c>
      <c r="K757" s="1">
        <v>0.0</v>
      </c>
      <c r="L757" s="1">
        <v>41500.0</v>
      </c>
      <c r="M757" s="1" t="s">
        <v>3354</v>
      </c>
      <c r="N757" s="18">
        <v>46030.0</v>
      </c>
      <c r="O757" s="1" t="s">
        <v>3355</v>
      </c>
      <c r="P757" s="1" t="s">
        <v>3257</v>
      </c>
      <c r="Q757" s="1" t="s">
        <v>3408</v>
      </c>
    </row>
    <row r="758">
      <c r="A758" s="1" t="s">
        <v>4664</v>
      </c>
      <c r="B758" s="1">
        <v>30.0</v>
      </c>
      <c r="C758" s="1">
        <v>40.0</v>
      </c>
      <c r="D758" s="2" t="s">
        <v>598</v>
      </c>
      <c r="E758" s="1">
        <v>30.0</v>
      </c>
      <c r="F758" s="1">
        <v>11.0</v>
      </c>
      <c r="G758" s="1">
        <v>0.0</v>
      </c>
      <c r="H758" s="1">
        <v>0.0</v>
      </c>
      <c r="I758" s="1">
        <v>0.0</v>
      </c>
      <c r="J758" s="1">
        <v>0.0</v>
      </c>
      <c r="K758" s="1">
        <v>0.14</v>
      </c>
      <c r="L758" s="1">
        <v>63000.0</v>
      </c>
      <c r="M758" s="1" t="s">
        <v>4665</v>
      </c>
      <c r="N758" s="18">
        <v>46028.0</v>
      </c>
      <c r="O758" s="1" t="s">
        <v>3284</v>
      </c>
      <c r="P758" s="1" t="s">
        <v>3230</v>
      </c>
      <c r="Q758" s="1" t="s">
        <v>3408</v>
      </c>
    </row>
    <row r="759">
      <c r="A759" s="1" t="s">
        <v>4666</v>
      </c>
      <c r="B759" s="1">
        <v>30.0</v>
      </c>
      <c r="C759" s="1">
        <v>40.0</v>
      </c>
      <c r="D759" s="2" t="s">
        <v>581</v>
      </c>
      <c r="E759" s="1">
        <v>30.0</v>
      </c>
      <c r="F759" s="1">
        <v>30.0</v>
      </c>
      <c r="G759" s="1">
        <v>13.5</v>
      </c>
      <c r="H759" s="1">
        <v>0.0</v>
      </c>
      <c r="I759" s="1">
        <v>0.0</v>
      </c>
      <c r="J759" s="1">
        <v>0.0</v>
      </c>
      <c r="K759" s="1">
        <v>0.76</v>
      </c>
      <c r="L759" s="1">
        <v>1010000.0</v>
      </c>
      <c r="M759" s="1" t="s">
        <v>4667</v>
      </c>
      <c r="N759" s="18">
        <v>46026.0</v>
      </c>
      <c r="O759" s="1" t="s">
        <v>3673</v>
      </c>
      <c r="P759" s="1" t="s">
        <v>3257</v>
      </c>
      <c r="Q759" s="1" t="s">
        <v>3408</v>
      </c>
    </row>
    <row r="760">
      <c r="A760" s="1" t="s">
        <v>4618</v>
      </c>
      <c r="B760" s="1">
        <v>30.0</v>
      </c>
      <c r="C760" s="1">
        <v>40.0</v>
      </c>
      <c r="D760" s="2" t="s">
        <v>581</v>
      </c>
      <c r="E760" s="1">
        <v>30.0</v>
      </c>
      <c r="G760" s="1">
        <v>13.88</v>
      </c>
      <c r="H760" s="1">
        <v>0.0</v>
      </c>
      <c r="I760" s="1">
        <v>0.0</v>
      </c>
      <c r="J760" s="1">
        <v>0.0</v>
      </c>
      <c r="K760" s="1">
        <v>0.67</v>
      </c>
      <c r="L760" s="1">
        <v>4660000.0</v>
      </c>
      <c r="M760" s="1" t="s">
        <v>4619</v>
      </c>
      <c r="N760" s="18">
        <v>46026.0</v>
      </c>
      <c r="O760" s="1" t="s">
        <v>3415</v>
      </c>
      <c r="P760" s="1" t="s">
        <v>3257</v>
      </c>
      <c r="Q760" s="1" t="s">
        <v>3408</v>
      </c>
    </row>
    <row r="761">
      <c r="A761" s="1" t="s">
        <v>4668</v>
      </c>
      <c r="B761" s="1">
        <v>30.0</v>
      </c>
      <c r="C761" s="1">
        <v>110.0</v>
      </c>
      <c r="D761" s="2" t="s">
        <v>2930</v>
      </c>
      <c r="E761" s="1">
        <v>30.0</v>
      </c>
      <c r="F761" s="1">
        <v>34.0</v>
      </c>
      <c r="G761" s="1">
        <v>0.0</v>
      </c>
      <c r="H761" s="1">
        <v>0.0</v>
      </c>
      <c r="I761" s="1">
        <v>0.0</v>
      </c>
      <c r="J761" s="1">
        <v>0.0</v>
      </c>
      <c r="K761" s="1">
        <v>0.01</v>
      </c>
      <c r="L761" s="1">
        <v>3810000.0</v>
      </c>
      <c r="M761" s="1" t="s">
        <v>4669</v>
      </c>
      <c r="N761" s="18">
        <v>46026.0</v>
      </c>
      <c r="O761" s="1" t="s">
        <v>3840</v>
      </c>
      <c r="P761" s="1" t="s">
        <v>3230</v>
      </c>
      <c r="Q761" s="1" t="s">
        <v>3408</v>
      </c>
    </row>
    <row r="762">
      <c r="A762" s="1" t="s">
        <v>4670</v>
      </c>
      <c r="B762" s="1">
        <v>30.0</v>
      </c>
      <c r="C762" s="1">
        <v>50.0</v>
      </c>
      <c r="D762" s="2" t="s">
        <v>1295</v>
      </c>
      <c r="E762" s="1">
        <v>30.0</v>
      </c>
      <c r="F762" s="1">
        <v>3.0</v>
      </c>
      <c r="G762" s="1">
        <v>0.0</v>
      </c>
      <c r="H762" s="1">
        <v>0.0</v>
      </c>
      <c r="I762" s="1">
        <v>0.0</v>
      </c>
      <c r="J762" s="1">
        <v>0.0</v>
      </c>
      <c r="K762" s="1">
        <v>0.33</v>
      </c>
      <c r="L762" s="1">
        <v>5.7E7</v>
      </c>
      <c r="M762" s="1" t="s">
        <v>4671</v>
      </c>
      <c r="N762" s="18">
        <v>46025.0</v>
      </c>
      <c r="O762" s="1" t="s">
        <v>3314</v>
      </c>
      <c r="P762" s="1" t="s">
        <v>3230</v>
      </c>
      <c r="Q762" s="1" t="s">
        <v>3408</v>
      </c>
    </row>
    <row r="763">
      <c r="A763" s="1" t="s">
        <v>4672</v>
      </c>
      <c r="B763" s="1">
        <v>30.0</v>
      </c>
      <c r="C763" s="1">
        <v>50.0</v>
      </c>
      <c r="D763" s="2" t="s">
        <v>1783</v>
      </c>
      <c r="E763" s="1">
        <v>30.0</v>
      </c>
      <c r="F763" s="1">
        <v>24.0</v>
      </c>
      <c r="G763" s="1">
        <v>0.0</v>
      </c>
      <c r="H763" s="1">
        <v>0.0</v>
      </c>
      <c r="I763" s="1">
        <v>0.0</v>
      </c>
      <c r="J763" s="1">
        <v>0.0</v>
      </c>
      <c r="K763" s="1">
        <v>0.33</v>
      </c>
      <c r="L763" s="1">
        <v>5900000.0</v>
      </c>
      <c r="M763" s="1" t="s">
        <v>4673</v>
      </c>
      <c r="N763" s="18">
        <v>46025.0</v>
      </c>
      <c r="O763" s="1" t="s">
        <v>3277</v>
      </c>
      <c r="P763" s="1" t="s">
        <v>3230</v>
      </c>
      <c r="Q763" s="1" t="s">
        <v>3408</v>
      </c>
    </row>
    <row r="764">
      <c r="A764" s="1" t="s">
        <v>4626</v>
      </c>
      <c r="B764" s="1">
        <v>30.0</v>
      </c>
      <c r="C764" s="1">
        <v>110.0</v>
      </c>
      <c r="D764" s="2" t="s">
        <v>694</v>
      </c>
      <c r="E764" s="1">
        <v>30.0</v>
      </c>
      <c r="F764" s="1">
        <v>12.0</v>
      </c>
      <c r="G764" s="1">
        <v>0.9</v>
      </c>
      <c r="H764" s="1">
        <v>0.0</v>
      </c>
      <c r="I764" s="1">
        <v>0.0</v>
      </c>
      <c r="J764" s="1">
        <v>0.0</v>
      </c>
      <c r="K764" s="1">
        <v>0.36</v>
      </c>
      <c r="L764" s="1">
        <v>2980000.0</v>
      </c>
      <c r="M764" s="1" t="s">
        <v>4627</v>
      </c>
      <c r="N764" s="18">
        <v>46025.0</v>
      </c>
      <c r="O764" s="1" t="s">
        <v>3840</v>
      </c>
      <c r="P764" s="1" t="s">
        <v>3230</v>
      </c>
      <c r="Q764" s="1" t="s">
        <v>3408</v>
      </c>
    </row>
    <row r="765">
      <c r="A765" s="1" t="s">
        <v>3633</v>
      </c>
      <c r="B765" s="1">
        <v>30.0</v>
      </c>
      <c r="C765" s="1">
        <v>110.0</v>
      </c>
      <c r="D765" s="2" t="s">
        <v>1065</v>
      </c>
      <c r="E765" s="1">
        <v>30.0</v>
      </c>
      <c r="F765" s="1">
        <v>34.0</v>
      </c>
      <c r="G765" s="1">
        <v>13.98</v>
      </c>
      <c r="H765" s="1">
        <v>0.0</v>
      </c>
      <c r="I765" s="1">
        <v>0.0</v>
      </c>
      <c r="J765" s="1">
        <v>0.0</v>
      </c>
      <c r="K765" s="1">
        <v>0.45</v>
      </c>
      <c r="L765" s="1">
        <v>49200.0</v>
      </c>
      <c r="M765" s="1" t="s">
        <v>3634</v>
      </c>
      <c r="N765" s="18">
        <v>46024.0</v>
      </c>
      <c r="O765" s="1" t="s">
        <v>3288</v>
      </c>
      <c r="P765" s="1" t="s">
        <v>3257</v>
      </c>
      <c r="Q765" s="1" t="s">
        <v>3408</v>
      </c>
    </row>
    <row r="766">
      <c r="A766" s="1" t="s">
        <v>4674</v>
      </c>
      <c r="B766" s="1">
        <v>30.0</v>
      </c>
      <c r="C766" s="1">
        <v>390.0</v>
      </c>
      <c r="D766" s="2" t="s">
        <v>439</v>
      </c>
      <c r="E766" s="1">
        <v>30.0</v>
      </c>
      <c r="F766" s="1">
        <v>28.0</v>
      </c>
      <c r="G766" s="1">
        <v>0.0</v>
      </c>
      <c r="H766" s="1">
        <v>0.0</v>
      </c>
      <c r="I766" s="1">
        <v>0.0</v>
      </c>
      <c r="J766" s="1">
        <v>0.0</v>
      </c>
      <c r="K766" s="1">
        <v>0.01</v>
      </c>
      <c r="L766" s="1">
        <v>9650.0</v>
      </c>
      <c r="M766" s="1" t="s">
        <v>4675</v>
      </c>
      <c r="N766" s="18">
        <v>46021.0</v>
      </c>
      <c r="O766" s="1" t="s">
        <v>4617</v>
      </c>
      <c r="P766" s="1" t="s">
        <v>3294</v>
      </c>
      <c r="Q766" s="1" t="s">
        <v>3408</v>
      </c>
    </row>
    <row r="767">
      <c r="A767" s="1" t="s">
        <v>4676</v>
      </c>
      <c r="B767" s="1">
        <v>30.0</v>
      </c>
      <c r="C767" s="1">
        <v>110.0</v>
      </c>
      <c r="D767" s="2" t="s">
        <v>2302</v>
      </c>
      <c r="E767" s="1">
        <v>30.0</v>
      </c>
      <c r="F767" s="1">
        <v>0.0</v>
      </c>
      <c r="G767" s="1">
        <v>0.0</v>
      </c>
      <c r="H767" s="1">
        <v>0.0</v>
      </c>
      <c r="I767" s="1">
        <v>0.0</v>
      </c>
      <c r="J767" s="1">
        <v>0.0</v>
      </c>
      <c r="K767" s="1">
        <v>0.01</v>
      </c>
      <c r="L767" s="1">
        <v>3.8E7</v>
      </c>
      <c r="M767" s="1" t="s">
        <v>4677</v>
      </c>
      <c r="N767" s="18">
        <v>46018.0</v>
      </c>
      <c r="O767" s="1" t="s">
        <v>4678</v>
      </c>
      <c r="P767" s="1" t="s">
        <v>3334</v>
      </c>
      <c r="Q767" s="1" t="s">
        <v>3408</v>
      </c>
    </row>
    <row r="768">
      <c r="A768" s="1" t="s">
        <v>4679</v>
      </c>
      <c r="B768" s="1">
        <v>30.0</v>
      </c>
      <c r="C768" s="1">
        <v>40.0</v>
      </c>
      <c r="D768" s="2" t="s">
        <v>584</v>
      </c>
      <c r="E768" s="1">
        <v>30.0</v>
      </c>
      <c r="F768" s="1">
        <v>20.0</v>
      </c>
      <c r="G768" s="1">
        <v>3.22</v>
      </c>
      <c r="H768" s="1">
        <v>0.0</v>
      </c>
      <c r="I768" s="1">
        <v>0.0</v>
      </c>
      <c r="J768" s="1">
        <v>0.0</v>
      </c>
      <c r="K768" s="1">
        <v>0.21</v>
      </c>
      <c r="L768" s="1">
        <v>11400.0</v>
      </c>
      <c r="M768" s="1" t="s">
        <v>4680</v>
      </c>
      <c r="N768" s="18">
        <v>46017.0</v>
      </c>
      <c r="O768" s="1" t="s">
        <v>4681</v>
      </c>
      <c r="P768" s="1" t="s">
        <v>3230</v>
      </c>
      <c r="Q768" s="1" t="s">
        <v>3408</v>
      </c>
    </row>
    <row r="769">
      <c r="A769" s="1" t="s">
        <v>3447</v>
      </c>
      <c r="B769" s="1">
        <v>30.0</v>
      </c>
      <c r="C769" s="1">
        <v>140.0</v>
      </c>
      <c r="D769" s="2" t="s">
        <v>1065</v>
      </c>
      <c r="E769" s="1">
        <v>30.0</v>
      </c>
      <c r="F769" s="1">
        <v>14.0</v>
      </c>
      <c r="G769" s="1">
        <v>13.98</v>
      </c>
      <c r="H769" s="1">
        <v>0.0</v>
      </c>
      <c r="I769" s="1">
        <v>0.0</v>
      </c>
      <c r="J769" s="1">
        <v>0.0</v>
      </c>
      <c r="K769" s="1">
        <v>0.45</v>
      </c>
      <c r="L769" s="1">
        <v>26700.0</v>
      </c>
      <c r="M769" s="1" t="s">
        <v>3448</v>
      </c>
      <c r="N769" s="18">
        <v>46016.0</v>
      </c>
      <c r="O769" s="1" t="s">
        <v>3415</v>
      </c>
      <c r="P769" s="1" t="s">
        <v>3257</v>
      </c>
      <c r="Q769" s="1" t="s">
        <v>3408</v>
      </c>
    </row>
    <row r="770">
      <c r="A770" s="1" t="s">
        <v>4682</v>
      </c>
      <c r="B770" s="1">
        <v>30.0</v>
      </c>
      <c r="C770" s="1">
        <v>70.0</v>
      </c>
      <c r="D770" s="2" t="s">
        <v>584</v>
      </c>
      <c r="E770" s="1">
        <v>30.0</v>
      </c>
      <c r="F770" s="1">
        <v>20.0</v>
      </c>
      <c r="G770" s="1">
        <v>11.16</v>
      </c>
      <c r="H770" s="1">
        <v>0.0</v>
      </c>
      <c r="I770" s="1">
        <v>0.0</v>
      </c>
      <c r="J770" s="1">
        <v>0.0</v>
      </c>
      <c r="K770" s="1">
        <v>0.2</v>
      </c>
      <c r="L770" s="1">
        <v>383000.0</v>
      </c>
      <c r="M770" s="1" t="s">
        <v>4683</v>
      </c>
      <c r="N770" s="18">
        <v>46016.0</v>
      </c>
      <c r="O770" s="1" t="s">
        <v>3415</v>
      </c>
      <c r="P770" s="1" t="s">
        <v>3257</v>
      </c>
      <c r="Q770" s="1" t="s">
        <v>3408</v>
      </c>
    </row>
    <row r="771">
      <c r="A771" s="1" t="s">
        <v>3451</v>
      </c>
      <c r="B771" s="1">
        <v>30.0</v>
      </c>
      <c r="C771" s="1">
        <v>90.0</v>
      </c>
      <c r="D771" s="2" t="s">
        <v>1065</v>
      </c>
      <c r="E771" s="1">
        <v>30.0</v>
      </c>
      <c r="F771" s="1">
        <v>14.0</v>
      </c>
      <c r="G771" s="1">
        <v>13.98</v>
      </c>
      <c r="H771" s="1">
        <v>0.0</v>
      </c>
      <c r="I771" s="1">
        <v>0.0</v>
      </c>
      <c r="J771" s="1">
        <v>0.0</v>
      </c>
      <c r="K771" s="1">
        <v>0.45</v>
      </c>
      <c r="L771" s="1">
        <v>19100.0</v>
      </c>
      <c r="M771" s="1" t="s">
        <v>3452</v>
      </c>
      <c r="N771" s="18">
        <v>46015.0</v>
      </c>
      <c r="O771" s="1" t="s">
        <v>3288</v>
      </c>
      <c r="P771" s="1" t="s">
        <v>3257</v>
      </c>
      <c r="Q771" s="1" t="s">
        <v>3408</v>
      </c>
    </row>
    <row r="772">
      <c r="A772" s="1" t="s">
        <v>4684</v>
      </c>
      <c r="B772" s="1">
        <v>30.0</v>
      </c>
      <c r="C772" s="1">
        <v>70.0</v>
      </c>
      <c r="D772" s="2" t="s">
        <v>584</v>
      </c>
      <c r="E772" s="1">
        <v>30.0</v>
      </c>
      <c r="F772" s="1">
        <v>2.0</v>
      </c>
      <c r="G772" s="1">
        <v>0.0</v>
      </c>
      <c r="H772" s="1">
        <v>0.0</v>
      </c>
      <c r="I772" s="1">
        <v>0.0</v>
      </c>
      <c r="J772" s="1">
        <v>0.0</v>
      </c>
      <c r="K772" s="1">
        <v>0.0</v>
      </c>
      <c r="L772" s="1">
        <v>2.11E7</v>
      </c>
      <c r="M772" s="1" t="s">
        <v>4685</v>
      </c>
      <c r="N772" s="18">
        <v>46015.0</v>
      </c>
      <c r="O772" s="1" t="s">
        <v>3407</v>
      </c>
      <c r="P772" s="1" t="s">
        <v>3301</v>
      </c>
      <c r="Q772" s="1" t="s">
        <v>3408</v>
      </c>
    </row>
    <row r="773">
      <c r="A773" s="1" t="s">
        <v>4686</v>
      </c>
      <c r="B773" s="1">
        <v>30.0</v>
      </c>
      <c r="C773" s="1">
        <v>50.0</v>
      </c>
      <c r="D773" s="2" t="s">
        <v>1037</v>
      </c>
      <c r="E773" s="1">
        <v>30.0</v>
      </c>
      <c r="F773" s="1">
        <v>6.0</v>
      </c>
      <c r="G773" s="1">
        <v>0.0</v>
      </c>
      <c r="H773" s="1">
        <v>0.0</v>
      </c>
      <c r="I773" s="1">
        <v>0.0</v>
      </c>
      <c r="J773" s="1">
        <v>0.0</v>
      </c>
      <c r="K773" s="1">
        <v>0.0</v>
      </c>
      <c r="L773" s="1">
        <v>1690000.0</v>
      </c>
      <c r="M773" s="1" t="s">
        <v>4687</v>
      </c>
      <c r="N773" s="18">
        <v>46015.0</v>
      </c>
      <c r="O773" s="1" t="s">
        <v>4134</v>
      </c>
      <c r="P773" s="1" t="s">
        <v>3230</v>
      </c>
      <c r="Q773" s="1" t="s">
        <v>3408</v>
      </c>
    </row>
    <row r="774">
      <c r="A774" s="1" t="s">
        <v>4688</v>
      </c>
      <c r="B774" s="1">
        <v>30.0</v>
      </c>
      <c r="C774" s="1">
        <v>70.0</v>
      </c>
      <c r="D774" s="2" t="s">
        <v>762</v>
      </c>
      <c r="E774" s="1">
        <v>30.0</v>
      </c>
      <c r="F774" s="1">
        <v>5.0</v>
      </c>
      <c r="G774" s="1">
        <v>0.0</v>
      </c>
      <c r="H774" s="1">
        <v>0.0</v>
      </c>
      <c r="I774" s="1">
        <v>0.0</v>
      </c>
      <c r="J774" s="1">
        <v>0.0</v>
      </c>
      <c r="K774" s="1">
        <v>0.0</v>
      </c>
      <c r="L774" s="1">
        <v>388000.0</v>
      </c>
      <c r="M774" s="1" t="s">
        <v>4689</v>
      </c>
      <c r="N774" s="18">
        <v>46007.0</v>
      </c>
      <c r="O774" s="1" t="s">
        <v>3258</v>
      </c>
      <c r="P774" s="1" t="s">
        <v>3257</v>
      </c>
      <c r="Q774" s="1" t="s">
        <v>3408</v>
      </c>
    </row>
    <row r="775">
      <c r="A775" s="1" t="s">
        <v>4690</v>
      </c>
      <c r="B775" s="1">
        <v>30.0</v>
      </c>
      <c r="C775" s="1">
        <v>40.0</v>
      </c>
      <c r="D775" s="2" t="s">
        <v>1295</v>
      </c>
      <c r="E775" s="1">
        <v>30.0</v>
      </c>
      <c r="F775" s="1">
        <v>16.0</v>
      </c>
      <c r="G775" s="1">
        <v>0.0</v>
      </c>
      <c r="H775" s="1">
        <v>0.0</v>
      </c>
      <c r="I775" s="1">
        <v>0.0</v>
      </c>
      <c r="J775" s="1">
        <v>0.0</v>
      </c>
      <c r="K775" s="1">
        <v>0.0</v>
      </c>
      <c r="L775" s="1">
        <v>2.82E8</v>
      </c>
      <c r="M775" s="1" t="s">
        <v>4691</v>
      </c>
      <c r="N775" s="18">
        <v>46003.0</v>
      </c>
      <c r="O775" s="1" t="s">
        <v>3264</v>
      </c>
      <c r="P775" s="1" t="s">
        <v>3230</v>
      </c>
      <c r="Q775" s="1" t="s">
        <v>3408</v>
      </c>
    </row>
    <row r="776">
      <c r="A776" s="1" t="s">
        <v>4692</v>
      </c>
      <c r="B776" s="1">
        <v>30.0</v>
      </c>
      <c r="C776" s="1">
        <v>260.0</v>
      </c>
      <c r="D776" s="2" t="s">
        <v>2930</v>
      </c>
      <c r="E776" s="1">
        <v>30.0</v>
      </c>
      <c r="F776" s="1">
        <v>23.0</v>
      </c>
      <c r="G776" s="1">
        <v>0.04</v>
      </c>
      <c r="H776" s="1">
        <v>0.0</v>
      </c>
      <c r="I776" s="1">
        <v>0.0</v>
      </c>
      <c r="J776" s="1">
        <v>0.0</v>
      </c>
      <c r="K776" s="1">
        <v>0.01</v>
      </c>
      <c r="L776" s="1">
        <v>9070000.0</v>
      </c>
      <c r="M776" s="1" t="s">
        <v>4693</v>
      </c>
      <c r="N776" s="18">
        <v>46002.0</v>
      </c>
      <c r="O776" s="1" t="s">
        <v>4217</v>
      </c>
      <c r="P776" s="1" t="s">
        <v>3230</v>
      </c>
      <c r="Q776" s="1" t="s">
        <v>3408</v>
      </c>
    </row>
    <row r="777">
      <c r="A777" s="1" t="s">
        <v>4694</v>
      </c>
      <c r="B777" s="1">
        <v>30.0</v>
      </c>
      <c r="C777" s="1">
        <v>720.0</v>
      </c>
      <c r="D777" s="2" t="s">
        <v>2930</v>
      </c>
      <c r="E777" s="1">
        <v>30.0</v>
      </c>
      <c r="G777" s="1">
        <v>0.97</v>
      </c>
      <c r="H777" s="1">
        <v>0.0</v>
      </c>
      <c r="I777" s="1">
        <v>0.0</v>
      </c>
      <c r="J777" s="1">
        <v>0.0</v>
      </c>
      <c r="K777" s="1">
        <v>0.0</v>
      </c>
      <c r="L777" s="1">
        <v>1.39E9</v>
      </c>
      <c r="M777" s="1" t="s">
        <v>4695</v>
      </c>
      <c r="N777" s="18">
        <v>46000.0</v>
      </c>
      <c r="O777" s="1" t="s">
        <v>4217</v>
      </c>
      <c r="P777" s="1" t="s">
        <v>3230</v>
      </c>
      <c r="Q777" s="1" t="s">
        <v>3408</v>
      </c>
    </row>
    <row r="778">
      <c r="A778" s="1" t="s">
        <v>4696</v>
      </c>
      <c r="B778" s="1">
        <v>30.0</v>
      </c>
      <c r="C778" s="1">
        <v>50.0</v>
      </c>
      <c r="D778" s="2" t="s">
        <v>2930</v>
      </c>
      <c r="E778" s="1">
        <v>30.0</v>
      </c>
      <c r="F778" s="1">
        <v>58.0</v>
      </c>
      <c r="G778" s="1">
        <v>0.0</v>
      </c>
      <c r="H778" s="1">
        <v>0.0</v>
      </c>
      <c r="I778" s="1">
        <v>0.0</v>
      </c>
      <c r="J778" s="1">
        <v>0.0</v>
      </c>
      <c r="K778" s="1">
        <v>0.0</v>
      </c>
      <c r="L778" s="1">
        <v>1090000.0</v>
      </c>
      <c r="M778" s="1" t="s">
        <v>4697</v>
      </c>
      <c r="N778" s="18">
        <v>45991.0</v>
      </c>
      <c r="O778" s="1" t="s">
        <v>4162</v>
      </c>
      <c r="P778" s="1" t="s">
        <v>3294</v>
      </c>
      <c r="Q778" s="1" t="s">
        <v>3408</v>
      </c>
    </row>
    <row r="779">
      <c r="A779" s="1" t="s">
        <v>4698</v>
      </c>
      <c r="B779" s="1">
        <v>30.0</v>
      </c>
      <c r="C779" s="1">
        <v>90.0</v>
      </c>
      <c r="D779" s="2" t="s">
        <v>1055</v>
      </c>
      <c r="E779" s="1">
        <v>30.0</v>
      </c>
      <c r="F779" s="1">
        <v>33.0</v>
      </c>
      <c r="G779" s="1">
        <v>33.8</v>
      </c>
      <c r="H779" s="1">
        <v>0.0</v>
      </c>
      <c r="I779" s="1">
        <v>0.0</v>
      </c>
      <c r="J779" s="1">
        <v>0.0</v>
      </c>
      <c r="K779" s="1">
        <v>0.46</v>
      </c>
      <c r="L779" s="1">
        <v>2.47E7</v>
      </c>
      <c r="M779" s="1" t="s">
        <v>4699</v>
      </c>
      <c r="N779" s="18">
        <v>45991.0</v>
      </c>
      <c r="O779" s="1" t="s">
        <v>3415</v>
      </c>
      <c r="P779" s="1" t="s">
        <v>3257</v>
      </c>
      <c r="Q779" s="1" t="s">
        <v>3408</v>
      </c>
    </row>
    <row r="780">
      <c r="A780" s="1" t="s">
        <v>4597</v>
      </c>
      <c r="B780" s="1">
        <v>30.0</v>
      </c>
      <c r="C780" s="1">
        <v>90.0</v>
      </c>
      <c r="D780" s="2" t="s">
        <v>1215</v>
      </c>
      <c r="E780" s="1">
        <v>30.0</v>
      </c>
      <c r="F780" s="1">
        <v>17.0</v>
      </c>
      <c r="G780" s="1">
        <v>0.0</v>
      </c>
      <c r="H780" s="1">
        <v>0.0</v>
      </c>
      <c r="I780" s="1">
        <v>0.0</v>
      </c>
      <c r="J780" s="1">
        <v>0.0</v>
      </c>
      <c r="K780" s="1">
        <v>0.02</v>
      </c>
      <c r="L780" s="1">
        <v>2940000.0</v>
      </c>
      <c r="M780" s="1" t="s">
        <v>4598</v>
      </c>
      <c r="N780" s="18">
        <v>45990.0</v>
      </c>
      <c r="O780" s="1" t="s">
        <v>3432</v>
      </c>
      <c r="P780" s="1" t="s">
        <v>3257</v>
      </c>
      <c r="Q780" s="1" t="s">
        <v>3408</v>
      </c>
    </row>
    <row r="781">
      <c r="A781" s="1" t="s">
        <v>4700</v>
      </c>
      <c r="B781" s="1">
        <v>30.0</v>
      </c>
      <c r="C781" s="1">
        <v>50.0</v>
      </c>
      <c r="D781" s="2" t="s">
        <v>1052</v>
      </c>
      <c r="E781" s="1">
        <v>30.0</v>
      </c>
      <c r="F781" s="1">
        <v>26.0</v>
      </c>
      <c r="G781" s="1">
        <v>0.0</v>
      </c>
      <c r="H781" s="1">
        <v>0.0</v>
      </c>
      <c r="I781" s="1">
        <v>0.0</v>
      </c>
      <c r="J781" s="1">
        <v>0.0</v>
      </c>
      <c r="K781" s="1">
        <v>0.0</v>
      </c>
      <c r="L781" s="1">
        <v>1.32E8</v>
      </c>
      <c r="M781" s="1" t="s">
        <v>4701</v>
      </c>
      <c r="N781" s="18">
        <v>45990.0</v>
      </c>
      <c r="O781" s="1" t="s">
        <v>3284</v>
      </c>
      <c r="P781" s="1" t="s">
        <v>3230</v>
      </c>
      <c r="Q781" s="1" t="s">
        <v>3408</v>
      </c>
    </row>
    <row r="782">
      <c r="A782" s="1" t="s">
        <v>4503</v>
      </c>
      <c r="B782" s="1">
        <v>30.0</v>
      </c>
      <c r="C782" s="1">
        <v>390.0</v>
      </c>
      <c r="D782" s="2" t="s">
        <v>2930</v>
      </c>
      <c r="E782" s="1">
        <v>30.0</v>
      </c>
      <c r="F782" s="1">
        <v>21.0</v>
      </c>
      <c r="G782" s="1">
        <v>0.0</v>
      </c>
      <c r="H782" s="1">
        <v>0.0</v>
      </c>
      <c r="I782" s="1">
        <v>0.0</v>
      </c>
      <c r="J782" s="1">
        <v>0.0</v>
      </c>
      <c r="K782" s="1">
        <v>0.0</v>
      </c>
      <c r="L782" s="1">
        <v>3300000.0</v>
      </c>
      <c r="M782" s="1" t="s">
        <v>4504</v>
      </c>
      <c r="N782" s="18">
        <v>45987.0</v>
      </c>
      <c r="O782" s="1" t="s">
        <v>4505</v>
      </c>
      <c r="P782" s="1" t="s">
        <v>3230</v>
      </c>
      <c r="Q782" s="1" t="s">
        <v>3408</v>
      </c>
    </row>
    <row r="783">
      <c r="A783" s="1" t="s">
        <v>3880</v>
      </c>
      <c r="B783" s="1">
        <v>30.0</v>
      </c>
      <c r="C783" s="1">
        <v>140.0</v>
      </c>
      <c r="D783" s="2" t="s">
        <v>2988</v>
      </c>
      <c r="E783" s="1">
        <v>30.0</v>
      </c>
      <c r="F783" s="1">
        <v>21.0</v>
      </c>
      <c r="G783" s="1">
        <v>17.84</v>
      </c>
      <c r="H783" s="1">
        <v>0.0</v>
      </c>
      <c r="I783" s="1">
        <v>0.0</v>
      </c>
      <c r="J783" s="1">
        <v>0.0</v>
      </c>
      <c r="K783" s="1">
        <v>0.12</v>
      </c>
      <c r="L783" s="1">
        <v>9.0</v>
      </c>
      <c r="M783" s="1" t="s">
        <v>3881</v>
      </c>
      <c r="N783" s="18">
        <v>45986.0</v>
      </c>
      <c r="O783" s="1" t="s">
        <v>3882</v>
      </c>
      <c r="P783" s="1" t="s">
        <v>3257</v>
      </c>
      <c r="Q783" s="1" t="s">
        <v>3408</v>
      </c>
    </row>
    <row r="784">
      <c r="A784" s="1" t="s">
        <v>4601</v>
      </c>
      <c r="B784" s="1">
        <v>30.0</v>
      </c>
      <c r="C784" s="1">
        <v>90.0</v>
      </c>
      <c r="D784" s="2" t="s">
        <v>581</v>
      </c>
      <c r="E784" s="1">
        <v>30.0</v>
      </c>
      <c r="F784" s="1">
        <v>37.0</v>
      </c>
      <c r="G784" s="1">
        <v>11.38</v>
      </c>
      <c r="H784" s="1">
        <v>0.0</v>
      </c>
      <c r="I784" s="1">
        <v>0.0</v>
      </c>
      <c r="J784" s="1">
        <v>0.0</v>
      </c>
      <c r="K784" s="1">
        <v>0.78</v>
      </c>
      <c r="L784" s="1">
        <v>9.0</v>
      </c>
      <c r="M784" s="1" t="s">
        <v>4602</v>
      </c>
      <c r="N784" s="18">
        <v>45985.0</v>
      </c>
      <c r="O784" s="1" t="s">
        <v>4369</v>
      </c>
      <c r="P784" s="1" t="s">
        <v>3257</v>
      </c>
      <c r="Q784" s="1" t="s">
        <v>3408</v>
      </c>
    </row>
    <row r="785">
      <c r="A785" s="1" t="s">
        <v>4702</v>
      </c>
      <c r="B785" s="1">
        <v>30.0</v>
      </c>
      <c r="C785" s="1">
        <v>90.0</v>
      </c>
      <c r="D785" s="2" t="s">
        <v>581</v>
      </c>
      <c r="E785" s="1">
        <v>30.0</v>
      </c>
      <c r="F785" s="1">
        <v>9.0</v>
      </c>
      <c r="G785" s="1">
        <v>5.08</v>
      </c>
      <c r="H785" s="1">
        <v>0.0</v>
      </c>
      <c r="I785" s="1">
        <v>0.0</v>
      </c>
      <c r="J785" s="1">
        <v>0.0</v>
      </c>
      <c r="K785" s="1">
        <v>0.18</v>
      </c>
      <c r="L785" s="1">
        <v>0.0</v>
      </c>
      <c r="M785" s="1" t="s">
        <v>4703</v>
      </c>
      <c r="N785" s="18">
        <v>45984.0</v>
      </c>
      <c r="O785" s="1" t="s">
        <v>4704</v>
      </c>
      <c r="P785" s="1" t="s">
        <v>3230</v>
      </c>
      <c r="Q785" s="1" t="s">
        <v>3408</v>
      </c>
    </row>
    <row r="786">
      <c r="A786" s="1" t="s">
        <v>4705</v>
      </c>
      <c r="B786" s="1">
        <v>30.0</v>
      </c>
      <c r="C786" s="1">
        <v>70.0</v>
      </c>
      <c r="D786" s="2" t="s">
        <v>2930</v>
      </c>
      <c r="E786" s="1">
        <v>30.0</v>
      </c>
      <c r="F786" s="1">
        <v>33.0</v>
      </c>
      <c r="G786" s="1">
        <v>0.0</v>
      </c>
      <c r="H786" s="1">
        <v>0.0</v>
      </c>
      <c r="I786" s="1">
        <v>0.0</v>
      </c>
      <c r="J786" s="1">
        <v>0.0</v>
      </c>
      <c r="K786" s="1">
        <v>0.0</v>
      </c>
      <c r="L786" s="1">
        <v>10.0</v>
      </c>
      <c r="M786" s="1" t="s">
        <v>4706</v>
      </c>
      <c r="N786" s="18">
        <v>45978.0</v>
      </c>
      <c r="O786" s="1" t="s">
        <v>3284</v>
      </c>
      <c r="P786" s="1" t="s">
        <v>3230</v>
      </c>
      <c r="Q786" s="1" t="s">
        <v>3408</v>
      </c>
    </row>
    <row r="787">
      <c r="A787" s="1" t="s">
        <v>4653</v>
      </c>
      <c r="B787" s="1">
        <v>31.0</v>
      </c>
      <c r="C787" s="1">
        <v>70.0</v>
      </c>
      <c r="D787" s="2" t="s">
        <v>1327</v>
      </c>
      <c r="E787" s="1">
        <v>80.0</v>
      </c>
      <c r="G787" s="1">
        <v>0.0</v>
      </c>
      <c r="H787" s="1">
        <v>0.0</v>
      </c>
      <c r="I787" s="1">
        <v>0.0</v>
      </c>
      <c r="J787" s="1">
        <v>0.0</v>
      </c>
      <c r="K787" s="1">
        <v>0.0</v>
      </c>
      <c r="L787" s="1">
        <v>2130000.0</v>
      </c>
      <c r="M787" s="1" t="s">
        <v>4654</v>
      </c>
      <c r="N787" s="18">
        <v>46042.0</v>
      </c>
      <c r="O787" s="1" t="s">
        <v>3284</v>
      </c>
      <c r="P787" s="1" t="s">
        <v>3230</v>
      </c>
      <c r="Q787" s="1" t="s">
        <v>3408</v>
      </c>
    </row>
    <row r="788">
      <c r="A788" s="1" t="s">
        <v>4707</v>
      </c>
      <c r="B788" s="1">
        <v>31.0</v>
      </c>
      <c r="C788" s="1">
        <v>30.0</v>
      </c>
      <c r="D788" s="2" t="s">
        <v>439</v>
      </c>
      <c r="E788" s="1">
        <v>0.0</v>
      </c>
      <c r="F788" s="1">
        <v>25.0</v>
      </c>
      <c r="G788" s="1">
        <v>3.21</v>
      </c>
      <c r="H788" s="1">
        <v>0.0</v>
      </c>
      <c r="I788" s="1">
        <v>0.0</v>
      </c>
      <c r="J788" s="1">
        <v>0.0</v>
      </c>
      <c r="K788" s="1">
        <v>0.16</v>
      </c>
      <c r="L788" s="1">
        <v>118000.0</v>
      </c>
      <c r="M788" s="1" t="s">
        <v>4708</v>
      </c>
      <c r="N788" s="18">
        <v>46042.0</v>
      </c>
      <c r="O788" s="1" t="s">
        <v>4709</v>
      </c>
      <c r="P788" s="1" t="s">
        <v>3294</v>
      </c>
      <c r="Q788" s="1" t="s">
        <v>3408</v>
      </c>
    </row>
    <row r="789">
      <c r="A789" s="1" t="s">
        <v>4710</v>
      </c>
      <c r="B789" s="1">
        <v>31.0</v>
      </c>
      <c r="C789" s="1">
        <v>90.0</v>
      </c>
      <c r="D789" s="2" t="s">
        <v>1055</v>
      </c>
      <c r="E789" s="1">
        <v>31.0</v>
      </c>
      <c r="F789" s="1">
        <v>24.0</v>
      </c>
      <c r="G789" s="1">
        <v>20.58</v>
      </c>
      <c r="H789" s="1">
        <v>0.0</v>
      </c>
      <c r="I789" s="1">
        <v>0.0</v>
      </c>
      <c r="J789" s="1">
        <v>0.0</v>
      </c>
      <c r="K789" s="1">
        <v>0.74</v>
      </c>
      <c r="L789" s="1">
        <v>3520000.0</v>
      </c>
      <c r="M789" s="1" t="s">
        <v>4711</v>
      </c>
      <c r="N789" s="18">
        <v>46037.0</v>
      </c>
      <c r="O789" s="1" t="s">
        <v>4421</v>
      </c>
      <c r="P789" s="1" t="s">
        <v>3257</v>
      </c>
      <c r="Q789" s="1" t="s">
        <v>3408</v>
      </c>
    </row>
    <row r="790">
      <c r="A790" s="1" t="s">
        <v>3990</v>
      </c>
      <c r="B790" s="1">
        <v>31.0</v>
      </c>
      <c r="C790" s="1">
        <v>40.0</v>
      </c>
      <c r="D790" s="2" t="s">
        <v>1217</v>
      </c>
      <c r="E790" s="1">
        <v>31.0</v>
      </c>
      <c r="F790" s="1">
        <v>0.0</v>
      </c>
      <c r="G790" s="1">
        <v>0.0</v>
      </c>
      <c r="H790" s="1">
        <v>0.0</v>
      </c>
      <c r="I790" s="1">
        <v>0.0</v>
      </c>
      <c r="J790" s="1">
        <v>0.0</v>
      </c>
      <c r="K790" s="1">
        <v>0.0</v>
      </c>
      <c r="L790" s="1">
        <v>2.02E7</v>
      </c>
      <c r="M790" s="1" t="s">
        <v>3991</v>
      </c>
      <c r="N790" s="18">
        <v>46031.0</v>
      </c>
      <c r="O790" s="1" t="s">
        <v>3992</v>
      </c>
      <c r="P790" s="1" t="s">
        <v>3257</v>
      </c>
      <c r="Q790" s="1" t="s">
        <v>3408</v>
      </c>
    </row>
    <row r="791">
      <c r="A791" s="1" t="s">
        <v>4712</v>
      </c>
      <c r="B791" s="1">
        <v>31.0</v>
      </c>
      <c r="C791" s="1">
        <v>40.0</v>
      </c>
      <c r="D791" s="2" t="s">
        <v>451</v>
      </c>
      <c r="E791" s="1">
        <v>31.0</v>
      </c>
      <c r="F791" s="1">
        <v>33.0</v>
      </c>
      <c r="G791" s="1">
        <v>0.0</v>
      </c>
      <c r="H791" s="1">
        <v>0.0</v>
      </c>
      <c r="I791" s="1">
        <v>0.0</v>
      </c>
      <c r="J791" s="1">
        <v>0.0</v>
      </c>
      <c r="K791" s="1">
        <v>0.0</v>
      </c>
      <c r="L791" s="1">
        <v>1.56E7</v>
      </c>
      <c r="M791" s="1" t="s">
        <v>4713</v>
      </c>
      <c r="N791" s="18">
        <v>46030.0</v>
      </c>
      <c r="O791" s="1" t="s">
        <v>4714</v>
      </c>
      <c r="P791" s="1" t="s">
        <v>3257</v>
      </c>
      <c r="Q791" s="1" t="s">
        <v>3408</v>
      </c>
    </row>
    <row r="792">
      <c r="A792" s="1" t="s">
        <v>3783</v>
      </c>
      <c r="B792" s="1">
        <v>31.0</v>
      </c>
      <c r="C792" s="1">
        <v>140.0</v>
      </c>
      <c r="D792" s="2" t="s">
        <v>581</v>
      </c>
      <c r="E792" s="1">
        <v>31.0</v>
      </c>
      <c r="F792" s="1">
        <v>40.0</v>
      </c>
      <c r="G792" s="1">
        <v>12.96</v>
      </c>
      <c r="H792" s="1">
        <v>0.0</v>
      </c>
      <c r="I792" s="1">
        <v>0.0</v>
      </c>
      <c r="J792" s="1">
        <v>0.0</v>
      </c>
      <c r="K792" s="1">
        <v>0.63</v>
      </c>
      <c r="L792" s="1">
        <v>216000.0</v>
      </c>
      <c r="M792" s="1" t="s">
        <v>3784</v>
      </c>
      <c r="N792" s="18">
        <v>46028.0</v>
      </c>
      <c r="O792" s="1" t="s">
        <v>3720</v>
      </c>
      <c r="P792" s="1" t="s">
        <v>3257</v>
      </c>
      <c r="Q792" s="1" t="s">
        <v>3408</v>
      </c>
    </row>
    <row r="793">
      <c r="A793" s="1" t="s">
        <v>4715</v>
      </c>
      <c r="B793" s="1">
        <v>31.0</v>
      </c>
      <c r="C793" s="1">
        <v>70.0</v>
      </c>
      <c r="D793" s="2" t="s">
        <v>439</v>
      </c>
      <c r="E793" s="1">
        <v>31.0</v>
      </c>
      <c r="F793" s="1">
        <v>13.0</v>
      </c>
      <c r="G793" s="1">
        <v>10.61</v>
      </c>
      <c r="H793" s="1">
        <v>0.0</v>
      </c>
      <c r="I793" s="1">
        <v>0.0</v>
      </c>
      <c r="J793" s="1">
        <v>0.0</v>
      </c>
      <c r="K793" s="1">
        <v>0.41</v>
      </c>
      <c r="L793" s="1">
        <v>2.6E7</v>
      </c>
      <c r="M793" s="1" t="s">
        <v>4716</v>
      </c>
      <c r="N793" s="18">
        <v>46025.0</v>
      </c>
      <c r="O793" s="1" t="s">
        <v>3650</v>
      </c>
      <c r="P793" s="1" t="s">
        <v>3257</v>
      </c>
      <c r="Q793" s="1" t="s">
        <v>3408</v>
      </c>
    </row>
    <row r="794">
      <c r="A794" s="1" t="s">
        <v>3416</v>
      </c>
      <c r="B794" s="1">
        <v>31.0</v>
      </c>
      <c r="C794" s="1">
        <v>70.0</v>
      </c>
      <c r="D794" s="2" t="s">
        <v>581</v>
      </c>
      <c r="E794" s="1">
        <v>31.0</v>
      </c>
      <c r="F794" s="1">
        <v>22.0</v>
      </c>
      <c r="G794" s="1">
        <v>12.96</v>
      </c>
      <c r="H794" s="1">
        <v>0.0</v>
      </c>
      <c r="I794" s="1">
        <v>0.0</v>
      </c>
      <c r="J794" s="1">
        <v>0.0</v>
      </c>
      <c r="K794" s="1">
        <v>0.63</v>
      </c>
      <c r="L794" s="1">
        <v>234000.0</v>
      </c>
      <c r="M794" s="1" t="s">
        <v>3417</v>
      </c>
      <c r="N794" s="18">
        <v>46022.0</v>
      </c>
      <c r="O794" s="1" t="s">
        <v>3418</v>
      </c>
      <c r="P794" s="1" t="s">
        <v>3257</v>
      </c>
      <c r="Q794" s="1" t="s">
        <v>3408</v>
      </c>
    </row>
    <row r="795">
      <c r="A795" s="1" t="s">
        <v>4717</v>
      </c>
      <c r="B795" s="1">
        <v>31.0</v>
      </c>
      <c r="C795" s="1">
        <v>110.0</v>
      </c>
      <c r="D795" s="2" t="s">
        <v>439</v>
      </c>
      <c r="E795" s="1">
        <v>31.0</v>
      </c>
      <c r="F795" s="1">
        <v>19.0</v>
      </c>
      <c r="G795" s="1">
        <v>0.0</v>
      </c>
      <c r="H795" s="1">
        <v>0.0</v>
      </c>
      <c r="I795" s="1">
        <v>0.0</v>
      </c>
      <c r="J795" s="1">
        <v>0.0</v>
      </c>
      <c r="K795" s="1">
        <v>0.01</v>
      </c>
      <c r="L795" s="1">
        <v>926.0</v>
      </c>
      <c r="M795" s="1" t="s">
        <v>4718</v>
      </c>
      <c r="N795" s="18">
        <v>46021.0</v>
      </c>
      <c r="O795" s="1" t="s">
        <v>4617</v>
      </c>
      <c r="P795" s="1" t="s">
        <v>3294</v>
      </c>
      <c r="Q795" s="1" t="s">
        <v>3408</v>
      </c>
    </row>
    <row r="796">
      <c r="A796" s="1" t="s">
        <v>4719</v>
      </c>
      <c r="B796" s="1">
        <v>31.0</v>
      </c>
      <c r="C796" s="1">
        <v>110.0</v>
      </c>
      <c r="D796" s="2" t="s">
        <v>694</v>
      </c>
      <c r="E796" s="1">
        <v>31.0</v>
      </c>
      <c r="F796" s="1">
        <v>15.0</v>
      </c>
      <c r="G796" s="1">
        <v>1.12</v>
      </c>
      <c r="H796" s="1">
        <v>0.0</v>
      </c>
      <c r="I796" s="1">
        <v>0.0</v>
      </c>
      <c r="J796" s="1">
        <v>0.0</v>
      </c>
      <c r="K796" s="1">
        <v>0.37</v>
      </c>
      <c r="L796" s="1">
        <v>4330000.0</v>
      </c>
      <c r="M796" s="1" t="s">
        <v>4720</v>
      </c>
      <c r="N796" s="18">
        <v>46020.0</v>
      </c>
      <c r="O796" s="1" t="s">
        <v>4721</v>
      </c>
      <c r="P796" s="1" t="s">
        <v>3230</v>
      </c>
      <c r="Q796" s="1" t="s">
        <v>3408</v>
      </c>
    </row>
    <row r="797">
      <c r="A797" s="1" t="s">
        <v>4722</v>
      </c>
      <c r="B797" s="1">
        <v>31.0</v>
      </c>
      <c r="C797" s="1">
        <v>30.0</v>
      </c>
      <c r="D797" s="2" t="s">
        <v>1041</v>
      </c>
      <c r="E797" s="1">
        <v>31.0</v>
      </c>
      <c r="F797" s="1">
        <v>5.0</v>
      </c>
      <c r="G797" s="1">
        <v>4.62</v>
      </c>
      <c r="H797" s="1">
        <v>0.0</v>
      </c>
      <c r="I797" s="1">
        <v>0.0</v>
      </c>
      <c r="J797" s="1">
        <v>0.0</v>
      </c>
      <c r="K797" s="1">
        <v>0.12</v>
      </c>
      <c r="L797" s="1">
        <v>1.0E8</v>
      </c>
      <c r="M797" s="1" t="s">
        <v>4723</v>
      </c>
      <c r="N797" s="18">
        <v>46018.0</v>
      </c>
      <c r="O797" s="1" t="s">
        <v>3284</v>
      </c>
      <c r="P797" s="1" t="s">
        <v>3230</v>
      </c>
      <c r="Q797" s="1" t="s">
        <v>3408</v>
      </c>
    </row>
    <row r="798">
      <c r="A798" s="1" t="s">
        <v>4724</v>
      </c>
      <c r="B798" s="1">
        <v>31.0</v>
      </c>
      <c r="C798" s="1">
        <v>210.0</v>
      </c>
      <c r="D798" s="2" t="s">
        <v>770</v>
      </c>
      <c r="E798" s="1">
        <v>31.0</v>
      </c>
      <c r="F798" s="1">
        <v>45.0</v>
      </c>
      <c r="G798" s="1">
        <v>0.0</v>
      </c>
      <c r="H798" s="1">
        <v>0.0</v>
      </c>
      <c r="I798" s="1">
        <v>0.0</v>
      </c>
      <c r="J798" s="1">
        <v>0.0</v>
      </c>
      <c r="K798" s="1">
        <v>0.0</v>
      </c>
      <c r="L798" s="1">
        <v>2190000.0</v>
      </c>
      <c r="M798" s="1" t="s">
        <v>4725</v>
      </c>
      <c r="N798" s="18">
        <v>46018.0</v>
      </c>
      <c r="O798" s="1" t="s">
        <v>4487</v>
      </c>
      <c r="P798" s="1" t="s">
        <v>3230</v>
      </c>
      <c r="Q798" s="1" t="s">
        <v>3408</v>
      </c>
    </row>
    <row r="799">
      <c r="A799" s="1" t="s">
        <v>4726</v>
      </c>
      <c r="B799" s="1">
        <v>31.0</v>
      </c>
      <c r="C799" s="1">
        <v>140.0</v>
      </c>
      <c r="D799" s="2" t="s">
        <v>1307</v>
      </c>
      <c r="E799" s="1">
        <v>31.0</v>
      </c>
      <c r="F799" s="1">
        <v>8.0</v>
      </c>
      <c r="G799" s="1">
        <v>4.66</v>
      </c>
      <c r="H799" s="1">
        <v>0.0</v>
      </c>
      <c r="I799" s="1">
        <v>0.0</v>
      </c>
      <c r="J799" s="1">
        <v>0.0</v>
      </c>
      <c r="K799" s="1">
        <v>0.99</v>
      </c>
      <c r="L799" s="1">
        <v>1810000.0</v>
      </c>
      <c r="M799" s="1" t="s">
        <v>4727</v>
      </c>
      <c r="N799" s="18">
        <v>46017.0</v>
      </c>
      <c r="O799" s="1" t="s">
        <v>3686</v>
      </c>
      <c r="P799" s="1" t="s">
        <v>3257</v>
      </c>
      <c r="Q799" s="1" t="s">
        <v>3408</v>
      </c>
    </row>
    <row r="800">
      <c r="A800" s="1" t="s">
        <v>4728</v>
      </c>
      <c r="B800" s="1">
        <v>31.0</v>
      </c>
      <c r="C800" s="1">
        <v>70.0</v>
      </c>
      <c r="D800" s="2" t="s">
        <v>665</v>
      </c>
      <c r="E800" s="1">
        <v>31.0</v>
      </c>
      <c r="F800" s="1">
        <v>14.0</v>
      </c>
      <c r="G800" s="1">
        <v>13.87</v>
      </c>
      <c r="H800" s="1">
        <v>0.0</v>
      </c>
      <c r="I800" s="1">
        <v>0.0</v>
      </c>
      <c r="J800" s="1">
        <v>0.0</v>
      </c>
      <c r="K800" s="1">
        <v>0.65</v>
      </c>
      <c r="L800" s="1">
        <v>268000.0</v>
      </c>
      <c r="M800" s="1" t="s">
        <v>4729</v>
      </c>
      <c r="N800" s="18">
        <v>46016.0</v>
      </c>
      <c r="O800" s="1" t="s">
        <v>4730</v>
      </c>
      <c r="P800" s="1" t="s">
        <v>3257</v>
      </c>
      <c r="Q800" s="1" t="s">
        <v>3408</v>
      </c>
    </row>
    <row r="801">
      <c r="A801" s="1" t="s">
        <v>4731</v>
      </c>
      <c r="B801" s="1">
        <v>31.0</v>
      </c>
      <c r="C801" s="1">
        <v>320.0</v>
      </c>
      <c r="D801" s="2" t="s">
        <v>2408</v>
      </c>
      <c r="E801" s="1">
        <v>31.0</v>
      </c>
      <c r="F801" s="1">
        <v>21.0</v>
      </c>
      <c r="G801" s="1">
        <v>0.0</v>
      </c>
      <c r="H801" s="1">
        <v>0.0</v>
      </c>
      <c r="I801" s="1">
        <v>0.0</v>
      </c>
      <c r="J801" s="1">
        <v>0.0</v>
      </c>
      <c r="K801" s="1">
        <v>0.0</v>
      </c>
      <c r="L801" s="1">
        <v>6490000.0</v>
      </c>
      <c r="M801" s="1" t="s">
        <v>4732</v>
      </c>
      <c r="N801" s="18">
        <v>46011.0</v>
      </c>
      <c r="O801" s="1" t="s">
        <v>3284</v>
      </c>
      <c r="P801" s="1" t="s">
        <v>3230</v>
      </c>
      <c r="Q801" s="1" t="s">
        <v>3408</v>
      </c>
    </row>
    <row r="802">
      <c r="A802" s="1" t="s">
        <v>4733</v>
      </c>
      <c r="B802" s="1">
        <v>31.0</v>
      </c>
      <c r="C802" s="1">
        <v>70.0</v>
      </c>
      <c r="D802" s="2" t="s">
        <v>2930</v>
      </c>
      <c r="E802" s="1">
        <v>31.0</v>
      </c>
      <c r="F802" s="1">
        <v>33.0</v>
      </c>
      <c r="G802" s="1">
        <v>0.0</v>
      </c>
      <c r="H802" s="1">
        <v>0.0</v>
      </c>
      <c r="I802" s="1">
        <v>0.0</v>
      </c>
      <c r="J802" s="1">
        <v>0.0</v>
      </c>
      <c r="K802" s="1">
        <v>0.0</v>
      </c>
      <c r="L802" s="1">
        <v>1860000.0</v>
      </c>
      <c r="M802" s="1" t="s">
        <v>4734</v>
      </c>
      <c r="N802" s="18">
        <v>46011.0</v>
      </c>
      <c r="O802" s="1" t="s">
        <v>3479</v>
      </c>
      <c r="P802" s="1" t="s">
        <v>3230</v>
      </c>
      <c r="Q802" s="1" t="s">
        <v>3408</v>
      </c>
    </row>
    <row r="803">
      <c r="A803" s="1" t="s">
        <v>4735</v>
      </c>
      <c r="B803" s="1">
        <v>31.0</v>
      </c>
      <c r="C803" s="1">
        <v>590.0</v>
      </c>
      <c r="D803" s="2" t="s">
        <v>770</v>
      </c>
      <c r="E803" s="1">
        <v>31.0</v>
      </c>
      <c r="F803" s="1">
        <v>50.0</v>
      </c>
      <c r="G803" s="1">
        <v>0.0</v>
      </c>
      <c r="H803" s="1">
        <v>0.0</v>
      </c>
      <c r="I803" s="1">
        <v>0.0</v>
      </c>
      <c r="J803" s="1">
        <v>0.0</v>
      </c>
      <c r="K803" s="1">
        <v>0.0</v>
      </c>
      <c r="L803" s="1">
        <v>4330000.0</v>
      </c>
      <c r="M803" s="1" t="s">
        <v>4736</v>
      </c>
      <c r="N803" s="18">
        <v>46011.0</v>
      </c>
      <c r="O803" s="1" t="s">
        <v>4737</v>
      </c>
      <c r="P803" s="1" t="s">
        <v>3230</v>
      </c>
      <c r="Q803" s="1" t="s">
        <v>3408</v>
      </c>
    </row>
    <row r="804">
      <c r="A804" s="1" t="s">
        <v>4078</v>
      </c>
      <c r="B804" s="1">
        <v>31.0</v>
      </c>
      <c r="C804" s="1">
        <v>40.0</v>
      </c>
      <c r="D804" s="2" t="s">
        <v>647</v>
      </c>
      <c r="E804" s="1">
        <v>31.0</v>
      </c>
      <c r="F804" s="1">
        <v>9.0</v>
      </c>
      <c r="G804" s="1">
        <v>19.05</v>
      </c>
      <c r="H804" s="1">
        <v>0.0</v>
      </c>
      <c r="I804" s="1">
        <v>0.0</v>
      </c>
      <c r="J804" s="1">
        <v>0.0</v>
      </c>
      <c r="K804" s="1">
        <v>0.04</v>
      </c>
      <c r="L804" s="1">
        <v>149000.0</v>
      </c>
      <c r="M804" s="1" t="s">
        <v>4079</v>
      </c>
      <c r="N804" s="18">
        <v>46009.0</v>
      </c>
      <c r="O804" s="1" t="s">
        <v>3435</v>
      </c>
      <c r="P804" s="1" t="s">
        <v>3257</v>
      </c>
      <c r="Q804" s="1" t="s">
        <v>3408</v>
      </c>
    </row>
    <row r="805">
      <c r="A805" s="1" t="s">
        <v>4738</v>
      </c>
      <c r="B805" s="1">
        <v>31.0</v>
      </c>
      <c r="C805" s="1">
        <v>140.0</v>
      </c>
      <c r="D805" s="2" t="s">
        <v>911</v>
      </c>
      <c r="E805" s="1">
        <v>31.0</v>
      </c>
      <c r="F805" s="1">
        <v>7.0</v>
      </c>
      <c r="G805" s="1">
        <v>1.61</v>
      </c>
      <c r="H805" s="1">
        <v>0.0</v>
      </c>
      <c r="I805" s="1">
        <v>0.0</v>
      </c>
      <c r="J805" s="1">
        <v>0.0</v>
      </c>
      <c r="K805" s="1">
        <v>0.69</v>
      </c>
      <c r="L805" s="1">
        <v>4.08E7</v>
      </c>
      <c r="M805" s="1" t="s">
        <v>4739</v>
      </c>
      <c r="N805" s="18">
        <v>46008.0</v>
      </c>
      <c r="O805" s="1" t="s">
        <v>4740</v>
      </c>
      <c r="P805" s="1" t="s">
        <v>3230</v>
      </c>
      <c r="Q805" s="1" t="s">
        <v>3408</v>
      </c>
    </row>
    <row r="806">
      <c r="A806" s="1" t="s">
        <v>4741</v>
      </c>
      <c r="B806" s="1">
        <v>31.0</v>
      </c>
      <c r="C806" s="1">
        <v>70.0</v>
      </c>
      <c r="D806" s="2" t="s">
        <v>439</v>
      </c>
      <c r="E806" s="1">
        <v>31.0</v>
      </c>
      <c r="F806" s="1">
        <v>11.0</v>
      </c>
      <c r="G806" s="1">
        <v>17.84</v>
      </c>
      <c r="H806" s="1">
        <v>0.0</v>
      </c>
      <c r="I806" s="1">
        <v>0.0</v>
      </c>
      <c r="J806" s="1">
        <v>0.0</v>
      </c>
      <c r="K806" s="1">
        <v>0.12</v>
      </c>
      <c r="L806" s="1">
        <v>2730000.0</v>
      </c>
      <c r="M806" s="1" t="s">
        <v>4742</v>
      </c>
      <c r="N806" s="18">
        <v>46003.0</v>
      </c>
      <c r="O806" s="1" t="s">
        <v>3432</v>
      </c>
      <c r="P806" s="1" t="s">
        <v>3257</v>
      </c>
      <c r="Q806" s="1" t="s">
        <v>3408</v>
      </c>
    </row>
    <row r="807">
      <c r="A807" s="1" t="s">
        <v>4641</v>
      </c>
      <c r="B807" s="1">
        <v>31.0</v>
      </c>
      <c r="C807" s="1">
        <v>50.0</v>
      </c>
      <c r="D807" s="2" t="s">
        <v>1183</v>
      </c>
      <c r="E807" s="1">
        <v>31.0</v>
      </c>
      <c r="F807" s="1">
        <v>12.0</v>
      </c>
      <c r="G807" s="1">
        <v>0.0</v>
      </c>
      <c r="H807" s="1">
        <v>0.0</v>
      </c>
      <c r="I807" s="1">
        <v>0.0</v>
      </c>
      <c r="J807" s="1">
        <v>0.0</v>
      </c>
      <c r="K807" s="1">
        <v>0.01</v>
      </c>
      <c r="L807" s="1">
        <v>33900.0</v>
      </c>
      <c r="M807" s="1" t="s">
        <v>4642</v>
      </c>
      <c r="N807" s="18">
        <v>46002.0</v>
      </c>
      <c r="O807" s="1" t="s">
        <v>4643</v>
      </c>
      <c r="P807" s="1" t="s">
        <v>3257</v>
      </c>
      <c r="Q807" s="1" t="s">
        <v>3408</v>
      </c>
    </row>
    <row r="808">
      <c r="A808" s="1" t="s">
        <v>4450</v>
      </c>
      <c r="B808" s="1">
        <v>31.0</v>
      </c>
      <c r="C808" s="1">
        <v>90.0</v>
      </c>
      <c r="D808" s="2" t="s">
        <v>581</v>
      </c>
      <c r="E808" s="1">
        <v>31.0</v>
      </c>
      <c r="F808" s="1">
        <v>53.0</v>
      </c>
      <c r="G808" s="1">
        <v>12.89</v>
      </c>
      <c r="H808" s="1">
        <v>0.0</v>
      </c>
      <c r="I808" s="1">
        <v>0.0</v>
      </c>
      <c r="J808" s="1">
        <v>0.0</v>
      </c>
      <c r="K808" s="1">
        <v>0.95</v>
      </c>
      <c r="L808" s="1">
        <v>3.02E7</v>
      </c>
      <c r="M808" s="1" t="s">
        <v>4451</v>
      </c>
      <c r="N808" s="18">
        <v>45991.0</v>
      </c>
      <c r="O808" s="1" t="s">
        <v>4452</v>
      </c>
      <c r="P808" s="1" t="s">
        <v>3257</v>
      </c>
      <c r="Q808" s="1" t="s">
        <v>3408</v>
      </c>
    </row>
    <row r="809">
      <c r="A809" s="1" t="s">
        <v>4743</v>
      </c>
      <c r="B809" s="1">
        <v>31.0</v>
      </c>
      <c r="C809" s="1">
        <v>140.0</v>
      </c>
      <c r="D809" s="2" t="s">
        <v>2941</v>
      </c>
      <c r="E809" s="1">
        <v>31.0</v>
      </c>
      <c r="F809" s="1">
        <v>15.0</v>
      </c>
      <c r="G809" s="1">
        <v>1.53</v>
      </c>
      <c r="H809" s="1">
        <v>0.0</v>
      </c>
      <c r="I809" s="1">
        <v>0.0</v>
      </c>
      <c r="J809" s="1">
        <v>0.0</v>
      </c>
      <c r="K809" s="1">
        <v>0.11</v>
      </c>
      <c r="L809" s="1">
        <v>6.75E7</v>
      </c>
      <c r="M809" s="1" t="s">
        <v>4744</v>
      </c>
      <c r="N809" s="18">
        <v>45990.0</v>
      </c>
      <c r="O809" s="1" t="s">
        <v>3840</v>
      </c>
      <c r="P809" s="1" t="s">
        <v>3230</v>
      </c>
      <c r="Q809" s="1" t="s">
        <v>3408</v>
      </c>
    </row>
    <row r="810">
      <c r="A810" s="1" t="s">
        <v>4312</v>
      </c>
      <c r="B810" s="1">
        <v>31.0</v>
      </c>
      <c r="C810" s="1">
        <v>110.0</v>
      </c>
      <c r="D810" s="2" t="s">
        <v>2930</v>
      </c>
      <c r="E810" s="1">
        <v>31.0</v>
      </c>
      <c r="F810" s="1">
        <v>47.0</v>
      </c>
      <c r="G810" s="1">
        <v>0.0</v>
      </c>
      <c r="H810" s="1">
        <v>0.0</v>
      </c>
      <c r="I810" s="1">
        <v>0.0</v>
      </c>
      <c r="J810" s="1">
        <v>0.0</v>
      </c>
      <c r="K810" s="1">
        <v>0.0</v>
      </c>
      <c r="L810" s="1">
        <v>1.17E8</v>
      </c>
      <c r="M810" s="1" t="s">
        <v>4313</v>
      </c>
      <c r="N810" s="18">
        <v>45987.0</v>
      </c>
      <c r="O810" s="1" t="s">
        <v>4295</v>
      </c>
      <c r="P810" s="1" t="s">
        <v>3230</v>
      </c>
      <c r="Q810" s="1" t="s">
        <v>3408</v>
      </c>
    </row>
    <row r="811">
      <c r="A811" s="1" t="s">
        <v>4745</v>
      </c>
      <c r="B811" s="1">
        <v>31.0</v>
      </c>
      <c r="C811" s="1">
        <v>90.0</v>
      </c>
      <c r="D811" s="2" t="s">
        <v>581</v>
      </c>
      <c r="E811" s="1">
        <v>31.0</v>
      </c>
      <c r="F811" s="1">
        <v>9.0</v>
      </c>
      <c r="G811" s="1">
        <v>0.0</v>
      </c>
      <c r="H811" s="1">
        <v>0.0</v>
      </c>
      <c r="I811" s="1">
        <v>0.0</v>
      </c>
      <c r="J811" s="1">
        <v>0.0</v>
      </c>
      <c r="K811" s="1">
        <v>0.01</v>
      </c>
      <c r="L811" s="1">
        <v>10.0</v>
      </c>
      <c r="M811" s="1" t="s">
        <v>4746</v>
      </c>
      <c r="N811" s="18">
        <v>45985.0</v>
      </c>
      <c r="O811" s="1" t="s">
        <v>4747</v>
      </c>
      <c r="P811" s="1" t="s">
        <v>3230</v>
      </c>
      <c r="Q811" s="1" t="s">
        <v>3408</v>
      </c>
    </row>
    <row r="812">
      <c r="A812" s="1" t="s">
        <v>4748</v>
      </c>
      <c r="B812" s="1">
        <v>31.0</v>
      </c>
      <c r="C812" s="1">
        <v>70.0</v>
      </c>
      <c r="D812" s="2" t="s">
        <v>1160</v>
      </c>
      <c r="E812" s="1">
        <v>31.0</v>
      </c>
      <c r="F812" s="1">
        <v>0.0</v>
      </c>
      <c r="G812" s="1">
        <v>0.0</v>
      </c>
      <c r="H812" s="1">
        <v>0.0</v>
      </c>
      <c r="I812" s="1">
        <v>0.0</v>
      </c>
      <c r="J812" s="1">
        <v>0.0</v>
      </c>
      <c r="K812" s="1">
        <v>0.0</v>
      </c>
      <c r="L812" s="1">
        <v>8.0</v>
      </c>
      <c r="M812" s="1" t="s">
        <v>4749</v>
      </c>
      <c r="N812" s="18">
        <v>45981.0</v>
      </c>
      <c r="O812" s="1" t="s">
        <v>4750</v>
      </c>
      <c r="P812" s="1" t="s">
        <v>3230</v>
      </c>
      <c r="Q812" s="1" t="s">
        <v>3408</v>
      </c>
    </row>
    <row r="813">
      <c r="A813" s="1" t="s">
        <v>4751</v>
      </c>
      <c r="B813" s="1">
        <v>31.0</v>
      </c>
      <c r="C813" s="1">
        <v>70.0</v>
      </c>
      <c r="D813" s="2" t="s">
        <v>768</v>
      </c>
      <c r="E813" s="1">
        <v>31.0</v>
      </c>
      <c r="F813" s="1">
        <v>0.0</v>
      </c>
      <c r="G813" s="1">
        <v>0.0</v>
      </c>
      <c r="H813" s="1">
        <v>0.0</v>
      </c>
      <c r="I813" s="1">
        <v>0.0</v>
      </c>
      <c r="J813" s="1">
        <v>0.0</v>
      </c>
      <c r="K813" s="1">
        <v>0.0</v>
      </c>
      <c r="L813" s="1">
        <v>10.0</v>
      </c>
      <c r="M813" s="1" t="s">
        <v>4752</v>
      </c>
      <c r="N813" s="18">
        <v>45978.0</v>
      </c>
      <c r="O813" s="1" t="s">
        <v>4753</v>
      </c>
      <c r="P813" s="1" t="s">
        <v>3230</v>
      </c>
      <c r="Q813" s="1" t="s">
        <v>3408</v>
      </c>
    </row>
    <row r="814">
      <c r="A814" s="1" t="s">
        <v>4754</v>
      </c>
      <c r="B814" s="1">
        <v>31.0</v>
      </c>
      <c r="C814" s="1">
        <v>260.0</v>
      </c>
      <c r="D814" s="2" t="s">
        <v>698</v>
      </c>
      <c r="E814" s="1">
        <v>31.0</v>
      </c>
      <c r="F814" s="1">
        <v>27.0</v>
      </c>
      <c r="G814" s="1">
        <v>162.8</v>
      </c>
      <c r="H814" s="1">
        <v>0.0</v>
      </c>
      <c r="I814" s="1">
        <v>0.0</v>
      </c>
      <c r="J814" s="1">
        <v>0.0</v>
      </c>
      <c r="K814" s="1">
        <v>0.12</v>
      </c>
      <c r="L814" s="1">
        <v>2440000.0</v>
      </c>
      <c r="M814" s="1" t="s">
        <v>4755</v>
      </c>
      <c r="N814" s="18">
        <v>45937.0</v>
      </c>
      <c r="O814" s="1" t="s">
        <v>4756</v>
      </c>
      <c r="P814" s="1" t="s">
        <v>3230</v>
      </c>
      <c r="Q814" s="1" t="s">
        <v>3408</v>
      </c>
    </row>
    <row r="815">
      <c r="A815" s="1" t="s">
        <v>4757</v>
      </c>
      <c r="B815" s="1">
        <v>32.0</v>
      </c>
      <c r="C815" s="1">
        <v>70.0</v>
      </c>
      <c r="D815" s="2" t="s">
        <v>581</v>
      </c>
      <c r="E815" s="1">
        <v>0.0</v>
      </c>
      <c r="F815" s="1">
        <v>40.0</v>
      </c>
      <c r="G815" s="1">
        <v>6.16</v>
      </c>
      <c r="H815" s="1">
        <v>0.0</v>
      </c>
      <c r="I815" s="1">
        <v>0.0</v>
      </c>
      <c r="J815" s="1">
        <v>0.0</v>
      </c>
      <c r="K815" s="1">
        <v>0.08</v>
      </c>
      <c r="L815" s="1">
        <v>1270000.0</v>
      </c>
      <c r="M815" s="1" t="s">
        <v>4758</v>
      </c>
      <c r="N815" s="18">
        <v>46042.0</v>
      </c>
      <c r="O815" s="1" t="s">
        <v>3821</v>
      </c>
      <c r="P815" s="1" t="s">
        <v>3294</v>
      </c>
      <c r="Q815" s="1" t="s">
        <v>3408</v>
      </c>
    </row>
    <row r="816">
      <c r="A816" s="1" t="s">
        <v>4541</v>
      </c>
      <c r="B816" s="1">
        <v>32.0</v>
      </c>
      <c r="C816" s="1">
        <v>90.0</v>
      </c>
      <c r="D816" s="2" t="s">
        <v>1941</v>
      </c>
      <c r="E816" s="1">
        <v>0.0</v>
      </c>
      <c r="F816" s="1">
        <v>13.0</v>
      </c>
      <c r="G816" s="1">
        <v>7.12</v>
      </c>
      <c r="H816" s="1">
        <v>0.0</v>
      </c>
      <c r="I816" s="1">
        <v>0.0</v>
      </c>
      <c r="J816" s="1">
        <v>0.0</v>
      </c>
      <c r="K816" s="1">
        <v>0.22</v>
      </c>
      <c r="L816" s="1">
        <v>1560000.0</v>
      </c>
      <c r="M816" s="1" t="s">
        <v>4542</v>
      </c>
      <c r="N816" s="18">
        <v>46042.0</v>
      </c>
      <c r="O816" s="1" t="s">
        <v>4543</v>
      </c>
      <c r="P816" s="1" t="s">
        <v>3230</v>
      </c>
      <c r="Q816" s="1" t="s">
        <v>3408</v>
      </c>
    </row>
    <row r="817">
      <c r="A817" s="1" t="s">
        <v>4759</v>
      </c>
      <c r="B817" s="1">
        <v>32.0</v>
      </c>
      <c r="C817" s="1">
        <v>40.0</v>
      </c>
      <c r="D817" s="2" t="s">
        <v>2416</v>
      </c>
      <c r="E817" s="1">
        <v>32.0</v>
      </c>
      <c r="F817" s="1">
        <v>15.0</v>
      </c>
      <c r="G817" s="1">
        <v>0.0</v>
      </c>
      <c r="H817" s="1">
        <v>0.0</v>
      </c>
      <c r="I817" s="1">
        <v>0.0</v>
      </c>
      <c r="J817" s="1">
        <v>0.0</v>
      </c>
      <c r="K817" s="1">
        <v>0.01</v>
      </c>
      <c r="L817" s="1">
        <v>1130000.0</v>
      </c>
      <c r="M817" s="1" t="s">
        <v>4760</v>
      </c>
      <c r="N817" s="18">
        <v>46038.0</v>
      </c>
      <c r="O817" s="1" t="s">
        <v>3264</v>
      </c>
      <c r="P817" s="1" t="s">
        <v>3230</v>
      </c>
      <c r="Q817" s="1" t="s">
        <v>3408</v>
      </c>
    </row>
    <row r="818">
      <c r="A818" s="1" t="s">
        <v>4761</v>
      </c>
      <c r="B818" s="1">
        <v>32.0</v>
      </c>
      <c r="C818" s="1">
        <v>40.0</v>
      </c>
      <c r="D818" s="2" t="s">
        <v>439</v>
      </c>
      <c r="E818" s="1">
        <v>32.0</v>
      </c>
      <c r="F818" s="1">
        <v>18.0</v>
      </c>
      <c r="G818" s="1">
        <v>0.0</v>
      </c>
      <c r="H818" s="1">
        <v>0.0</v>
      </c>
      <c r="I818" s="1">
        <v>0.0</v>
      </c>
      <c r="J818" s="1">
        <v>0.0</v>
      </c>
      <c r="K818" s="1">
        <v>0.02</v>
      </c>
      <c r="L818" s="1">
        <v>1080000.0</v>
      </c>
      <c r="M818" s="1" t="s">
        <v>4762</v>
      </c>
      <c r="N818" s="18">
        <v>46031.0</v>
      </c>
      <c r="O818" s="1" t="s">
        <v>4763</v>
      </c>
      <c r="P818" s="1" t="s">
        <v>3294</v>
      </c>
      <c r="Q818" s="1" t="s">
        <v>3408</v>
      </c>
    </row>
    <row r="819">
      <c r="A819" s="1" t="s">
        <v>4764</v>
      </c>
      <c r="B819" s="1">
        <v>32.0</v>
      </c>
      <c r="C819" s="1">
        <v>50.0</v>
      </c>
      <c r="D819" s="2" t="s">
        <v>754</v>
      </c>
      <c r="E819" s="1">
        <v>32.0</v>
      </c>
      <c r="F819" s="1">
        <v>4.0</v>
      </c>
      <c r="G819" s="1">
        <v>0.0</v>
      </c>
      <c r="H819" s="1">
        <v>0.0</v>
      </c>
      <c r="I819" s="1">
        <v>0.0</v>
      </c>
      <c r="J819" s="1">
        <v>0.0</v>
      </c>
      <c r="K819" s="1">
        <v>0.0</v>
      </c>
      <c r="L819" s="1">
        <v>425000.0</v>
      </c>
      <c r="M819" s="1" t="s">
        <v>4765</v>
      </c>
      <c r="N819" s="18">
        <v>46030.0</v>
      </c>
      <c r="O819" s="1" t="s">
        <v>4766</v>
      </c>
      <c r="P819" s="1" t="s">
        <v>3334</v>
      </c>
      <c r="Q819" s="1" t="s">
        <v>3408</v>
      </c>
    </row>
    <row r="820">
      <c r="A820" s="1" t="s">
        <v>4767</v>
      </c>
      <c r="B820" s="1">
        <v>32.0</v>
      </c>
      <c r="C820" s="1">
        <v>390.0</v>
      </c>
      <c r="D820" s="2" t="s">
        <v>694</v>
      </c>
      <c r="E820" s="1">
        <v>32.0</v>
      </c>
      <c r="F820" s="1">
        <v>22.0</v>
      </c>
      <c r="G820" s="1">
        <v>0.97</v>
      </c>
      <c r="H820" s="1">
        <v>0.0</v>
      </c>
      <c r="I820" s="1">
        <v>0.0</v>
      </c>
      <c r="J820" s="1">
        <v>0.0</v>
      </c>
      <c r="K820" s="1">
        <v>0.19</v>
      </c>
      <c r="L820" s="1">
        <v>7410000.0</v>
      </c>
      <c r="M820" s="1" t="s">
        <v>4768</v>
      </c>
      <c r="N820" s="18">
        <v>46029.0</v>
      </c>
      <c r="O820" s="1" t="s">
        <v>4360</v>
      </c>
      <c r="P820" s="1" t="s">
        <v>3230</v>
      </c>
      <c r="Q820" s="1" t="s">
        <v>3408</v>
      </c>
    </row>
    <row r="821">
      <c r="A821" s="1" t="s">
        <v>4769</v>
      </c>
      <c r="B821" s="1">
        <v>32.0</v>
      </c>
      <c r="C821" s="1">
        <v>30.0</v>
      </c>
      <c r="D821" s="2" t="s">
        <v>439</v>
      </c>
      <c r="E821" s="1">
        <v>32.0</v>
      </c>
      <c r="F821" s="1">
        <v>16.0</v>
      </c>
      <c r="G821" s="1">
        <v>3.14</v>
      </c>
      <c r="H821" s="1">
        <v>0.0</v>
      </c>
      <c r="I821" s="1">
        <v>0.0</v>
      </c>
      <c r="J821" s="1">
        <v>0.0</v>
      </c>
      <c r="K821" s="1">
        <v>0.16</v>
      </c>
      <c r="L821" s="1">
        <v>641000.0</v>
      </c>
      <c r="M821" s="1" t="s">
        <v>4770</v>
      </c>
      <c r="N821" s="18">
        <v>46027.0</v>
      </c>
      <c r="O821" s="1" t="s">
        <v>4771</v>
      </c>
      <c r="P821" s="1" t="s">
        <v>3301</v>
      </c>
      <c r="Q821" s="1" t="s">
        <v>3408</v>
      </c>
    </row>
    <row r="822">
      <c r="A822" s="1" t="s">
        <v>4772</v>
      </c>
      <c r="B822" s="1">
        <v>32.0</v>
      </c>
      <c r="C822" s="1">
        <v>50.0</v>
      </c>
      <c r="D822" s="2" t="s">
        <v>867</v>
      </c>
      <c r="E822" s="1">
        <v>32.0</v>
      </c>
      <c r="F822" s="1">
        <v>1.0</v>
      </c>
      <c r="G822" s="1">
        <v>0.0</v>
      </c>
      <c r="H822" s="1">
        <v>0.0</v>
      </c>
      <c r="I822" s="1">
        <v>0.0</v>
      </c>
      <c r="J822" s="1">
        <v>0.0</v>
      </c>
      <c r="K822" s="1">
        <v>0.33</v>
      </c>
      <c r="L822" s="1">
        <v>5580000.0</v>
      </c>
      <c r="M822" s="1" t="s">
        <v>4773</v>
      </c>
      <c r="N822" s="18">
        <v>46025.0</v>
      </c>
      <c r="O822" s="1" t="s">
        <v>4774</v>
      </c>
      <c r="P822" s="1" t="s">
        <v>3334</v>
      </c>
      <c r="Q822" s="1" t="s">
        <v>3408</v>
      </c>
    </row>
    <row r="823">
      <c r="A823" s="1" t="s">
        <v>4775</v>
      </c>
      <c r="B823" s="1">
        <v>32.0</v>
      </c>
      <c r="C823" s="1">
        <v>50.0</v>
      </c>
      <c r="D823" s="2" t="s">
        <v>1109</v>
      </c>
      <c r="E823" s="1">
        <v>32.0</v>
      </c>
      <c r="F823" s="1">
        <v>0.0</v>
      </c>
      <c r="G823" s="1">
        <v>3.1</v>
      </c>
      <c r="H823" s="1">
        <v>0.0</v>
      </c>
      <c r="I823" s="1">
        <v>0.0</v>
      </c>
      <c r="J823" s="1">
        <v>0.0</v>
      </c>
      <c r="K823" s="1">
        <v>0.22</v>
      </c>
      <c r="L823" s="1">
        <v>2.66E7</v>
      </c>
      <c r="M823" s="1" t="s">
        <v>4776</v>
      </c>
      <c r="N823" s="18">
        <v>46025.0</v>
      </c>
      <c r="O823" s="1" t="s">
        <v>3861</v>
      </c>
      <c r="P823" s="1" t="s">
        <v>3230</v>
      </c>
      <c r="Q823" s="1" t="s">
        <v>3408</v>
      </c>
    </row>
    <row r="824">
      <c r="A824" s="1" t="s">
        <v>4777</v>
      </c>
      <c r="B824" s="1">
        <v>32.0</v>
      </c>
      <c r="C824" s="1">
        <v>140.0</v>
      </c>
      <c r="D824" s="2" t="s">
        <v>1543</v>
      </c>
      <c r="E824" s="1">
        <v>32.0</v>
      </c>
      <c r="F824" s="1">
        <v>3.0</v>
      </c>
      <c r="G824" s="1">
        <v>0.0</v>
      </c>
      <c r="H824" s="1">
        <v>0.0</v>
      </c>
      <c r="I824" s="1">
        <v>0.0</v>
      </c>
      <c r="J824" s="1">
        <v>0.0</v>
      </c>
      <c r="K824" s="1">
        <v>0.33</v>
      </c>
      <c r="L824" s="1">
        <v>5150000.0</v>
      </c>
      <c r="M824" s="1" t="s">
        <v>4778</v>
      </c>
      <c r="N824" s="18">
        <v>46024.0</v>
      </c>
      <c r="O824" s="1" t="s">
        <v>4414</v>
      </c>
      <c r="P824" s="1" t="s">
        <v>3230</v>
      </c>
      <c r="Q824" s="1" t="s">
        <v>3408</v>
      </c>
    </row>
    <row r="825">
      <c r="A825" s="1" t="s">
        <v>4779</v>
      </c>
      <c r="B825" s="1">
        <v>32.0</v>
      </c>
      <c r="C825" s="1">
        <v>50.0</v>
      </c>
      <c r="D825" s="2" t="s">
        <v>1052</v>
      </c>
      <c r="E825" s="1">
        <v>32.0</v>
      </c>
      <c r="F825" s="1">
        <v>29.0</v>
      </c>
      <c r="G825" s="1">
        <v>0.0</v>
      </c>
      <c r="H825" s="1">
        <v>0.0</v>
      </c>
      <c r="I825" s="1">
        <v>0.0</v>
      </c>
      <c r="J825" s="1">
        <v>0.0</v>
      </c>
      <c r="K825" s="1">
        <v>0.0</v>
      </c>
      <c r="L825" s="1">
        <v>6.83E7</v>
      </c>
      <c r="M825" s="1" t="s">
        <v>4780</v>
      </c>
      <c r="N825" s="18">
        <v>46023.0</v>
      </c>
      <c r="O825" s="1" t="s">
        <v>3920</v>
      </c>
      <c r="P825" s="1" t="s">
        <v>3230</v>
      </c>
      <c r="Q825" s="1" t="s">
        <v>3408</v>
      </c>
    </row>
    <row r="826">
      <c r="A826" s="1" t="s">
        <v>4122</v>
      </c>
      <c r="B826" s="1">
        <v>32.0</v>
      </c>
      <c r="C826" s="1">
        <v>50.0</v>
      </c>
      <c r="D826" s="2" t="s">
        <v>1217</v>
      </c>
      <c r="E826" s="1">
        <v>32.0</v>
      </c>
      <c r="F826" s="1">
        <v>33.0</v>
      </c>
      <c r="G826" s="1">
        <v>0.0</v>
      </c>
      <c r="H826" s="1">
        <v>0.0</v>
      </c>
      <c r="I826" s="1">
        <v>0.0</v>
      </c>
      <c r="J826" s="1">
        <v>0.0</v>
      </c>
      <c r="K826" s="1">
        <v>0.0</v>
      </c>
      <c r="L826" s="1">
        <v>1.02E7</v>
      </c>
      <c r="M826" s="1" t="s">
        <v>4123</v>
      </c>
      <c r="N826" s="18">
        <v>46021.0</v>
      </c>
      <c r="O826" s="1" t="s">
        <v>3482</v>
      </c>
      <c r="P826" s="1" t="s">
        <v>3257</v>
      </c>
      <c r="Q826" s="1" t="s">
        <v>3408</v>
      </c>
    </row>
    <row r="827">
      <c r="A827" s="1" t="s">
        <v>4781</v>
      </c>
      <c r="B827" s="1">
        <v>32.0</v>
      </c>
      <c r="C827" s="1">
        <v>70.0</v>
      </c>
      <c r="D827" s="2" t="s">
        <v>606</v>
      </c>
      <c r="E827" s="1">
        <v>32.0</v>
      </c>
      <c r="F827" s="1">
        <v>22.0</v>
      </c>
      <c r="G827" s="1">
        <v>5.22</v>
      </c>
      <c r="H827" s="1">
        <v>0.0</v>
      </c>
      <c r="I827" s="1">
        <v>0.0</v>
      </c>
      <c r="J827" s="1">
        <v>0.0</v>
      </c>
      <c r="K827" s="1">
        <v>0.04</v>
      </c>
      <c r="L827" s="1">
        <v>1.53E8</v>
      </c>
      <c r="M827" s="1" t="s">
        <v>4782</v>
      </c>
      <c r="N827" s="18">
        <v>46021.0</v>
      </c>
      <c r="O827" s="1" t="s">
        <v>4783</v>
      </c>
      <c r="P827" s="1" t="s">
        <v>3230</v>
      </c>
      <c r="Q827" s="1" t="s">
        <v>3408</v>
      </c>
    </row>
    <row r="828">
      <c r="A828" s="1" t="s">
        <v>4784</v>
      </c>
      <c r="B828" s="1">
        <v>32.0</v>
      </c>
      <c r="C828" s="1">
        <v>110.0</v>
      </c>
      <c r="D828" s="2" t="s">
        <v>581</v>
      </c>
      <c r="E828" s="1">
        <v>32.0</v>
      </c>
      <c r="F828" s="1">
        <v>11.0</v>
      </c>
      <c r="G828" s="1">
        <v>5.82</v>
      </c>
      <c r="H828" s="1">
        <v>0.0</v>
      </c>
      <c r="I828" s="1">
        <v>0.0</v>
      </c>
      <c r="J828" s="1">
        <v>0.0</v>
      </c>
      <c r="K828" s="1">
        <v>0.03</v>
      </c>
      <c r="L828" s="1">
        <v>2400.0</v>
      </c>
      <c r="M828" s="1" t="s">
        <v>4785</v>
      </c>
      <c r="N828" s="18">
        <v>46019.0</v>
      </c>
      <c r="O828" s="1" t="s">
        <v>4177</v>
      </c>
      <c r="P828" s="1" t="s">
        <v>3230</v>
      </c>
      <c r="Q828" s="1" t="s">
        <v>3408</v>
      </c>
    </row>
    <row r="829">
      <c r="A829" s="1" t="s">
        <v>3658</v>
      </c>
      <c r="B829" s="1">
        <v>32.0</v>
      </c>
      <c r="C829" s="1">
        <v>70.0</v>
      </c>
      <c r="D829" s="2" t="s">
        <v>2465</v>
      </c>
      <c r="E829" s="1">
        <v>32.0</v>
      </c>
      <c r="F829" s="1">
        <v>25.0</v>
      </c>
      <c r="G829" s="1">
        <v>13.28</v>
      </c>
      <c r="H829" s="1">
        <v>0.0</v>
      </c>
      <c r="I829" s="1">
        <v>0.0</v>
      </c>
      <c r="J829" s="1">
        <v>0.0</v>
      </c>
      <c r="K829" s="1">
        <v>0.21</v>
      </c>
      <c r="L829" s="1">
        <v>69700.0</v>
      </c>
      <c r="M829" s="1" t="s">
        <v>3659</v>
      </c>
      <c r="N829" s="18">
        <v>46017.0</v>
      </c>
      <c r="O829" s="1" t="s">
        <v>3435</v>
      </c>
      <c r="P829" s="1" t="s">
        <v>3257</v>
      </c>
      <c r="Q829" s="1" t="s">
        <v>3408</v>
      </c>
    </row>
    <row r="830">
      <c r="A830" s="1" t="s">
        <v>4786</v>
      </c>
      <c r="B830" s="1">
        <v>32.0</v>
      </c>
      <c r="C830" s="1">
        <v>70.0</v>
      </c>
      <c r="D830" s="2" t="s">
        <v>1129</v>
      </c>
      <c r="E830" s="1">
        <v>32.0</v>
      </c>
      <c r="F830" s="1">
        <v>0.0</v>
      </c>
      <c r="G830" s="1">
        <v>0.0</v>
      </c>
      <c r="H830" s="1">
        <v>0.0</v>
      </c>
      <c r="I830" s="1">
        <v>0.0</v>
      </c>
      <c r="J830" s="1">
        <v>0.0</v>
      </c>
      <c r="K830" s="1">
        <v>0.01</v>
      </c>
      <c r="L830" s="1">
        <v>3800000.0</v>
      </c>
      <c r="M830" s="1" t="s">
        <v>4787</v>
      </c>
      <c r="N830" s="18">
        <v>46015.0</v>
      </c>
      <c r="O830" s="1" t="s">
        <v>3861</v>
      </c>
      <c r="P830" s="1" t="s">
        <v>3334</v>
      </c>
      <c r="Q830" s="1" t="s">
        <v>3408</v>
      </c>
    </row>
    <row r="831">
      <c r="A831" s="1" t="s">
        <v>3790</v>
      </c>
      <c r="B831" s="1">
        <v>32.0</v>
      </c>
      <c r="C831" s="1">
        <v>90.0</v>
      </c>
      <c r="D831" s="2" t="s">
        <v>2932</v>
      </c>
      <c r="E831" s="1">
        <v>32.0</v>
      </c>
      <c r="F831" s="1">
        <v>28.0</v>
      </c>
      <c r="G831" s="1">
        <v>9.68</v>
      </c>
      <c r="H831" s="1">
        <v>0.0</v>
      </c>
      <c r="I831" s="1">
        <v>0.0</v>
      </c>
      <c r="J831" s="1">
        <v>0.0</v>
      </c>
      <c r="K831" s="1">
        <v>0.55</v>
      </c>
      <c r="L831" s="1">
        <v>2000000.0</v>
      </c>
      <c r="M831" s="1" t="s">
        <v>3791</v>
      </c>
      <c r="N831" s="18">
        <v>46014.0</v>
      </c>
      <c r="O831" s="1" t="s">
        <v>3415</v>
      </c>
      <c r="P831" s="1" t="s">
        <v>3257</v>
      </c>
      <c r="Q831" s="1" t="s">
        <v>3408</v>
      </c>
    </row>
    <row r="832">
      <c r="A832" s="1" t="s">
        <v>4788</v>
      </c>
      <c r="B832" s="1">
        <v>32.0</v>
      </c>
      <c r="C832" s="1">
        <v>880.0</v>
      </c>
      <c r="D832" s="2" t="s">
        <v>2930</v>
      </c>
      <c r="E832" s="1">
        <v>32.0</v>
      </c>
      <c r="F832" s="1">
        <v>69.0</v>
      </c>
      <c r="G832" s="1">
        <v>0.57</v>
      </c>
      <c r="H832" s="1">
        <v>0.0</v>
      </c>
      <c r="I832" s="1">
        <v>0.0</v>
      </c>
      <c r="J832" s="1">
        <v>0.0</v>
      </c>
      <c r="K832" s="1">
        <v>0.0</v>
      </c>
      <c r="L832" s="1">
        <v>1.25E9</v>
      </c>
      <c r="M832" s="1" t="s">
        <v>4789</v>
      </c>
      <c r="N832" s="18">
        <v>46013.0</v>
      </c>
      <c r="O832" s="1" t="s">
        <v>4217</v>
      </c>
      <c r="P832" s="1" t="s">
        <v>3230</v>
      </c>
      <c r="Q832" s="1" t="s">
        <v>3408</v>
      </c>
    </row>
    <row r="833">
      <c r="A833" s="1" t="s">
        <v>4790</v>
      </c>
      <c r="B833" s="1">
        <v>32.0</v>
      </c>
      <c r="C833" s="1">
        <v>140.0</v>
      </c>
      <c r="D833" s="2" t="s">
        <v>768</v>
      </c>
      <c r="E833" s="1">
        <v>32.0</v>
      </c>
      <c r="F833" s="1">
        <v>6.0</v>
      </c>
      <c r="G833" s="1">
        <v>0.0</v>
      </c>
      <c r="H833" s="1">
        <v>0.0</v>
      </c>
      <c r="I833" s="1">
        <v>0.0</v>
      </c>
      <c r="J833" s="1">
        <v>0.0</v>
      </c>
      <c r="K833" s="1">
        <v>0.0</v>
      </c>
      <c r="L833" s="1">
        <v>996000.0</v>
      </c>
      <c r="M833" s="1" t="s">
        <v>4791</v>
      </c>
      <c r="N833" s="18">
        <v>46013.0</v>
      </c>
      <c r="O833" s="1" t="s">
        <v>3264</v>
      </c>
      <c r="P833" s="1" t="s">
        <v>3230</v>
      </c>
      <c r="Q833" s="1" t="s">
        <v>3408</v>
      </c>
    </row>
    <row r="834">
      <c r="A834" s="1" t="s">
        <v>4792</v>
      </c>
      <c r="B834" s="1">
        <v>32.0</v>
      </c>
      <c r="C834" s="1">
        <v>50.0</v>
      </c>
      <c r="D834" s="2" t="s">
        <v>2991</v>
      </c>
      <c r="E834" s="1">
        <v>32.0</v>
      </c>
      <c r="F834" s="1">
        <v>1.0</v>
      </c>
      <c r="G834" s="1">
        <v>0.0</v>
      </c>
      <c r="H834" s="1">
        <v>0.0</v>
      </c>
      <c r="I834" s="1">
        <v>0.0</v>
      </c>
      <c r="J834" s="1">
        <v>0.0</v>
      </c>
      <c r="K834" s="1">
        <v>0.0</v>
      </c>
      <c r="L834" s="1">
        <v>32900.0</v>
      </c>
      <c r="M834" s="1" t="s">
        <v>4793</v>
      </c>
      <c r="N834" s="18">
        <v>46012.0</v>
      </c>
      <c r="O834" s="1" t="s">
        <v>4414</v>
      </c>
      <c r="P834" s="1" t="s">
        <v>3257</v>
      </c>
      <c r="Q834" s="1" t="s">
        <v>3408</v>
      </c>
    </row>
    <row r="835">
      <c r="A835" s="1" t="s">
        <v>4794</v>
      </c>
      <c r="B835" s="1">
        <v>32.0</v>
      </c>
      <c r="C835" s="1">
        <v>90.0</v>
      </c>
      <c r="D835" s="2" t="s">
        <v>2930</v>
      </c>
      <c r="E835" s="1">
        <v>32.0</v>
      </c>
      <c r="F835" s="1">
        <v>31.0</v>
      </c>
      <c r="G835" s="1">
        <v>0.0</v>
      </c>
      <c r="H835" s="1">
        <v>0.0</v>
      </c>
      <c r="I835" s="1">
        <v>0.0</v>
      </c>
      <c r="J835" s="1">
        <v>0.0</v>
      </c>
      <c r="K835" s="1">
        <v>0.02</v>
      </c>
      <c r="L835" s="1">
        <v>1870000.0</v>
      </c>
      <c r="M835" s="1" t="s">
        <v>4795</v>
      </c>
      <c r="N835" s="18">
        <v>46011.0</v>
      </c>
      <c r="O835" s="1" t="s">
        <v>3479</v>
      </c>
      <c r="P835" s="1" t="s">
        <v>3230</v>
      </c>
      <c r="Q835" s="1" t="s">
        <v>3408</v>
      </c>
    </row>
    <row r="836">
      <c r="A836" s="1" t="s">
        <v>4796</v>
      </c>
      <c r="B836" s="1">
        <v>32.0</v>
      </c>
      <c r="C836" s="1">
        <v>110.0</v>
      </c>
      <c r="D836" s="2" t="s">
        <v>1619</v>
      </c>
      <c r="E836" s="1">
        <v>32.0</v>
      </c>
      <c r="F836" s="1">
        <v>0.0</v>
      </c>
      <c r="G836" s="1">
        <v>0.0</v>
      </c>
      <c r="H836" s="1">
        <v>0.0</v>
      </c>
      <c r="I836" s="1">
        <v>0.0</v>
      </c>
      <c r="J836" s="1">
        <v>0.0</v>
      </c>
      <c r="K836" s="1">
        <v>0.0</v>
      </c>
      <c r="L836" s="1">
        <v>5100000.0</v>
      </c>
      <c r="M836" s="1" t="s">
        <v>4797</v>
      </c>
      <c r="N836" s="18">
        <v>46008.0</v>
      </c>
      <c r="O836" s="1" t="s">
        <v>4798</v>
      </c>
      <c r="P836" s="1" t="s">
        <v>3230</v>
      </c>
      <c r="Q836" s="1" t="s">
        <v>3408</v>
      </c>
    </row>
    <row r="837">
      <c r="A837" s="1" t="s">
        <v>4799</v>
      </c>
      <c r="B837" s="1">
        <v>32.0</v>
      </c>
      <c r="C837" s="1">
        <v>50.0</v>
      </c>
      <c r="D837" s="2" t="s">
        <v>2930</v>
      </c>
      <c r="E837" s="1">
        <v>32.0</v>
      </c>
      <c r="F837" s="1">
        <v>21.0</v>
      </c>
      <c r="G837" s="1">
        <v>0.0</v>
      </c>
      <c r="H837" s="1">
        <v>0.0</v>
      </c>
      <c r="I837" s="1">
        <v>0.0</v>
      </c>
      <c r="J837" s="1">
        <v>0.0</v>
      </c>
      <c r="K837" s="1">
        <v>0.0</v>
      </c>
      <c r="L837" s="1">
        <v>3.45E7</v>
      </c>
      <c r="M837" s="1" t="s">
        <v>4800</v>
      </c>
      <c r="N837" s="18">
        <v>46008.0</v>
      </c>
      <c r="O837" s="1" t="s">
        <v>4033</v>
      </c>
      <c r="P837" s="1" t="s">
        <v>3230</v>
      </c>
      <c r="Q837" s="1" t="s">
        <v>3408</v>
      </c>
    </row>
    <row r="838">
      <c r="A838" s="1" t="s">
        <v>3483</v>
      </c>
      <c r="B838" s="1">
        <v>32.0</v>
      </c>
      <c r="C838" s="1">
        <v>50.0</v>
      </c>
      <c r="D838" s="2" t="s">
        <v>724</v>
      </c>
      <c r="E838" s="1">
        <v>32.0</v>
      </c>
      <c r="F838" s="1">
        <v>0.0</v>
      </c>
      <c r="G838" s="1">
        <v>0.0</v>
      </c>
      <c r="H838" s="1">
        <v>0.0</v>
      </c>
      <c r="I838" s="1">
        <v>0.0</v>
      </c>
      <c r="J838" s="1">
        <v>0.0</v>
      </c>
      <c r="K838" s="1">
        <v>0.0</v>
      </c>
      <c r="L838" s="1">
        <v>2.35E7</v>
      </c>
      <c r="M838" s="1" t="s">
        <v>3484</v>
      </c>
      <c r="N838" s="18">
        <v>46005.0</v>
      </c>
      <c r="O838" s="1" t="s">
        <v>3407</v>
      </c>
      <c r="P838" s="1" t="s">
        <v>3230</v>
      </c>
      <c r="Q838" s="1" t="s">
        <v>3408</v>
      </c>
    </row>
    <row r="839">
      <c r="A839" s="1" t="s">
        <v>4801</v>
      </c>
      <c r="B839" s="1">
        <v>32.0</v>
      </c>
      <c r="C839" s="1">
        <v>90.0</v>
      </c>
      <c r="D839" s="2" t="s">
        <v>581</v>
      </c>
      <c r="E839" s="1">
        <v>32.0</v>
      </c>
      <c r="F839" s="1">
        <v>51.0</v>
      </c>
      <c r="G839" s="1">
        <v>19.51</v>
      </c>
      <c r="H839" s="1">
        <v>0.0</v>
      </c>
      <c r="I839" s="1">
        <v>0.0</v>
      </c>
      <c r="J839" s="1">
        <v>0.0</v>
      </c>
      <c r="K839" s="1">
        <v>0.84</v>
      </c>
      <c r="L839" s="1">
        <v>5410000.0</v>
      </c>
      <c r="M839" s="1" t="s">
        <v>4802</v>
      </c>
      <c r="N839" s="18">
        <v>46005.0</v>
      </c>
      <c r="O839" s="1" t="s">
        <v>3892</v>
      </c>
      <c r="P839" s="1" t="s">
        <v>3257</v>
      </c>
      <c r="Q839" s="1" t="s">
        <v>3408</v>
      </c>
    </row>
    <row r="840">
      <c r="A840" s="1" t="s">
        <v>4803</v>
      </c>
      <c r="B840" s="1">
        <v>32.0</v>
      </c>
      <c r="C840" s="1">
        <v>70.0</v>
      </c>
      <c r="D840" s="2" t="s">
        <v>1327</v>
      </c>
      <c r="E840" s="1">
        <v>32.0</v>
      </c>
      <c r="F840" s="1">
        <v>29.0</v>
      </c>
      <c r="G840" s="1">
        <v>0.0</v>
      </c>
      <c r="H840" s="1">
        <v>0.0</v>
      </c>
      <c r="I840" s="1">
        <v>0.0</v>
      </c>
      <c r="J840" s="1">
        <v>0.0</v>
      </c>
      <c r="K840" s="1">
        <v>0.0</v>
      </c>
      <c r="L840" s="1">
        <v>1710000.0</v>
      </c>
      <c r="M840" s="1" t="s">
        <v>4804</v>
      </c>
      <c r="N840" s="18">
        <v>46002.0</v>
      </c>
      <c r="O840" s="1" t="s">
        <v>3824</v>
      </c>
      <c r="P840" s="1" t="s">
        <v>3230</v>
      </c>
      <c r="Q840" s="1" t="s">
        <v>3408</v>
      </c>
    </row>
    <row r="841">
      <c r="A841" s="1" t="s">
        <v>4805</v>
      </c>
      <c r="B841" s="1">
        <v>32.0</v>
      </c>
      <c r="C841" s="1">
        <v>1000.0</v>
      </c>
      <c r="D841" s="2" t="s">
        <v>581</v>
      </c>
      <c r="E841" s="1">
        <v>32.0</v>
      </c>
      <c r="F841" s="1">
        <v>60.0</v>
      </c>
      <c r="G841" s="1">
        <v>17.09</v>
      </c>
      <c r="H841" s="1">
        <v>0.0</v>
      </c>
      <c r="I841" s="1">
        <v>0.0</v>
      </c>
      <c r="J841" s="1">
        <v>0.0</v>
      </c>
      <c r="K841" s="1">
        <v>0.02</v>
      </c>
      <c r="L841" s="1">
        <v>1.26E7</v>
      </c>
      <c r="M841" s="1" t="s">
        <v>4806</v>
      </c>
      <c r="N841" s="18">
        <v>45993.0</v>
      </c>
      <c r="O841" s="1" t="s">
        <v>4714</v>
      </c>
      <c r="P841" s="1" t="s">
        <v>3257</v>
      </c>
      <c r="Q841" s="1" t="s">
        <v>3408</v>
      </c>
    </row>
    <row r="842">
      <c r="A842" s="1" t="s">
        <v>4807</v>
      </c>
      <c r="B842" s="1">
        <v>32.0</v>
      </c>
      <c r="C842" s="1">
        <v>30.0</v>
      </c>
      <c r="D842" s="2" t="s">
        <v>913</v>
      </c>
      <c r="E842" s="1">
        <v>32.0</v>
      </c>
      <c r="F842" s="1">
        <v>24.0</v>
      </c>
      <c r="G842" s="1">
        <v>5.68</v>
      </c>
      <c r="H842" s="1">
        <v>0.0</v>
      </c>
      <c r="I842" s="1">
        <v>0.0</v>
      </c>
      <c r="J842" s="1">
        <v>0.0</v>
      </c>
      <c r="K842" s="1">
        <v>0.6</v>
      </c>
      <c r="L842" s="1">
        <v>683000.0</v>
      </c>
      <c r="M842" s="1" t="s">
        <v>4808</v>
      </c>
      <c r="N842" s="18">
        <v>45992.0</v>
      </c>
      <c r="O842" s="1" t="s">
        <v>4197</v>
      </c>
      <c r="P842" s="1" t="s">
        <v>3301</v>
      </c>
      <c r="Q842" s="1" t="s">
        <v>3408</v>
      </c>
    </row>
    <row r="843">
      <c r="A843" s="1" t="s">
        <v>4809</v>
      </c>
      <c r="B843" s="1">
        <v>32.0</v>
      </c>
      <c r="C843" s="1">
        <v>110.0</v>
      </c>
      <c r="D843" s="2" t="s">
        <v>2416</v>
      </c>
      <c r="E843" s="1">
        <v>32.0</v>
      </c>
      <c r="F843" s="1">
        <v>32.0</v>
      </c>
      <c r="G843" s="1">
        <v>0.0</v>
      </c>
      <c r="H843" s="1">
        <v>0.0</v>
      </c>
      <c r="I843" s="1">
        <v>0.0</v>
      </c>
      <c r="J843" s="1">
        <v>0.0</v>
      </c>
      <c r="K843" s="1">
        <v>0.0</v>
      </c>
      <c r="L843" s="1">
        <v>2520000.0</v>
      </c>
      <c r="M843" s="1" t="s">
        <v>4810</v>
      </c>
      <c r="N843" s="18">
        <v>45992.0</v>
      </c>
      <c r="O843" s="1" t="s">
        <v>4811</v>
      </c>
      <c r="P843" s="1" t="s">
        <v>3334</v>
      </c>
      <c r="Q843" s="1" t="s">
        <v>3408</v>
      </c>
    </row>
    <row r="844">
      <c r="A844" s="1" t="s">
        <v>4812</v>
      </c>
      <c r="B844" s="1">
        <v>32.0</v>
      </c>
      <c r="C844" s="1">
        <v>110.0</v>
      </c>
      <c r="D844" s="2" t="s">
        <v>2930</v>
      </c>
      <c r="E844" s="1">
        <v>32.0</v>
      </c>
      <c r="F844" s="1">
        <v>26.0</v>
      </c>
      <c r="G844" s="1">
        <v>0.0</v>
      </c>
      <c r="H844" s="1">
        <v>0.0</v>
      </c>
      <c r="I844" s="1">
        <v>0.0</v>
      </c>
      <c r="J844" s="1">
        <v>0.0</v>
      </c>
      <c r="K844" s="1">
        <v>0.02</v>
      </c>
      <c r="L844" s="1">
        <v>1.18E8</v>
      </c>
      <c r="M844" s="1" t="s">
        <v>4813</v>
      </c>
      <c r="N844" s="18">
        <v>45988.0</v>
      </c>
      <c r="O844" s="1" t="s">
        <v>3525</v>
      </c>
      <c r="P844" s="1" t="s">
        <v>3230</v>
      </c>
      <c r="Q844" s="1" t="s">
        <v>3408</v>
      </c>
    </row>
    <row r="845">
      <c r="A845" s="1" t="s">
        <v>4814</v>
      </c>
      <c r="B845" s="1">
        <v>32.0</v>
      </c>
      <c r="C845" s="1">
        <v>140.0</v>
      </c>
      <c r="D845" s="2" t="s">
        <v>2930</v>
      </c>
      <c r="E845" s="1">
        <v>32.0</v>
      </c>
      <c r="F845" s="1">
        <v>45.0</v>
      </c>
      <c r="G845" s="1">
        <v>0.0</v>
      </c>
      <c r="H845" s="1">
        <v>0.0</v>
      </c>
      <c r="I845" s="1">
        <v>0.0</v>
      </c>
      <c r="J845" s="1">
        <v>0.0</v>
      </c>
      <c r="K845" s="1">
        <v>0.01</v>
      </c>
      <c r="L845" s="1">
        <v>1.17E8</v>
      </c>
      <c r="M845" s="1" t="s">
        <v>4815</v>
      </c>
      <c r="N845" s="18">
        <v>45987.0</v>
      </c>
      <c r="O845" s="1" t="s">
        <v>3525</v>
      </c>
      <c r="P845" s="1" t="s">
        <v>3230</v>
      </c>
      <c r="Q845" s="1" t="s">
        <v>3408</v>
      </c>
    </row>
    <row r="846">
      <c r="A846" s="1" t="s">
        <v>4816</v>
      </c>
      <c r="B846" s="1">
        <v>32.0</v>
      </c>
      <c r="C846" s="1">
        <v>70.0</v>
      </c>
      <c r="D846" s="2" t="s">
        <v>439</v>
      </c>
      <c r="E846" s="1">
        <v>32.0</v>
      </c>
      <c r="F846" s="1">
        <v>12.0</v>
      </c>
      <c r="G846" s="1">
        <v>0.0</v>
      </c>
      <c r="H846" s="1">
        <v>0.0</v>
      </c>
      <c r="I846" s="1">
        <v>0.0</v>
      </c>
      <c r="J846" s="1">
        <v>0.0</v>
      </c>
      <c r="K846" s="1">
        <v>0.01</v>
      </c>
      <c r="L846" s="1">
        <v>5.0</v>
      </c>
      <c r="M846" s="1" t="s">
        <v>4817</v>
      </c>
      <c r="N846" s="18">
        <v>45986.0</v>
      </c>
      <c r="O846" s="1" t="s">
        <v>4818</v>
      </c>
      <c r="P846" s="1" t="s">
        <v>3230</v>
      </c>
      <c r="Q846" s="1" t="s">
        <v>3408</v>
      </c>
    </row>
    <row r="847">
      <c r="A847" s="1" t="s">
        <v>3559</v>
      </c>
      <c r="B847" s="1">
        <v>32.0</v>
      </c>
      <c r="C847" s="1">
        <v>140.0</v>
      </c>
      <c r="D847" s="2" t="s">
        <v>447</v>
      </c>
      <c r="E847" s="1">
        <v>32.0</v>
      </c>
      <c r="F847" s="1">
        <v>9.0</v>
      </c>
      <c r="G847" s="1">
        <v>10.08</v>
      </c>
      <c r="H847" s="1">
        <v>0.0</v>
      </c>
      <c r="I847" s="1">
        <v>0.0</v>
      </c>
      <c r="J847" s="1">
        <v>0.0</v>
      </c>
      <c r="K847" s="1">
        <v>0.13</v>
      </c>
      <c r="L847" s="1">
        <v>10.0</v>
      </c>
      <c r="M847" s="1" t="s">
        <v>3560</v>
      </c>
      <c r="N847" s="18">
        <v>45984.0</v>
      </c>
      <c r="O847" s="1" t="s">
        <v>3455</v>
      </c>
      <c r="P847" s="1" t="s">
        <v>3257</v>
      </c>
      <c r="Q847" s="1" t="s">
        <v>3408</v>
      </c>
    </row>
    <row r="848">
      <c r="A848" s="1" t="s">
        <v>4819</v>
      </c>
      <c r="B848" s="1">
        <v>33.0</v>
      </c>
      <c r="C848" s="1">
        <v>140.0</v>
      </c>
      <c r="D848" s="2" t="s">
        <v>1543</v>
      </c>
      <c r="E848" s="1">
        <v>33.0</v>
      </c>
      <c r="F848" s="1">
        <v>0.0</v>
      </c>
      <c r="G848" s="1">
        <v>0.0</v>
      </c>
      <c r="H848" s="1">
        <v>0.0</v>
      </c>
      <c r="I848" s="1">
        <v>0.0</v>
      </c>
      <c r="J848" s="1">
        <v>0.0</v>
      </c>
      <c r="K848" s="1">
        <v>0.0</v>
      </c>
      <c r="L848" s="1">
        <v>338000.0</v>
      </c>
      <c r="M848" s="1" t="s">
        <v>4820</v>
      </c>
      <c r="N848" s="18">
        <v>46036.0</v>
      </c>
      <c r="O848" s="1" t="s">
        <v>3264</v>
      </c>
      <c r="P848" s="1" t="s">
        <v>3257</v>
      </c>
      <c r="Q848" s="1" t="s">
        <v>3408</v>
      </c>
    </row>
    <row r="849">
      <c r="A849" s="1" t="s">
        <v>4821</v>
      </c>
      <c r="B849" s="1">
        <v>33.0</v>
      </c>
      <c r="C849" s="1">
        <v>260.0</v>
      </c>
      <c r="D849" s="2" t="s">
        <v>581</v>
      </c>
      <c r="E849" s="1">
        <v>33.0</v>
      </c>
      <c r="F849" s="1">
        <v>51.0</v>
      </c>
      <c r="G849" s="1">
        <v>0.0</v>
      </c>
      <c r="H849" s="1">
        <v>0.0</v>
      </c>
      <c r="I849" s="1">
        <v>0.0</v>
      </c>
      <c r="J849" s="1">
        <v>0.0</v>
      </c>
      <c r="K849" s="1">
        <v>0.0</v>
      </c>
      <c r="L849" s="1">
        <v>9600000.0</v>
      </c>
      <c r="M849" s="1" t="s">
        <v>4822</v>
      </c>
      <c r="N849" s="18">
        <v>46030.0</v>
      </c>
      <c r="O849" s="1" t="s">
        <v>3706</v>
      </c>
      <c r="P849" s="1" t="s">
        <v>3257</v>
      </c>
      <c r="Q849" s="1" t="s">
        <v>3408</v>
      </c>
    </row>
    <row r="850">
      <c r="A850" s="1" t="s">
        <v>4823</v>
      </c>
      <c r="B850" s="1">
        <v>33.0</v>
      </c>
      <c r="C850" s="1">
        <v>50.0</v>
      </c>
      <c r="D850" s="2" t="s">
        <v>451</v>
      </c>
      <c r="E850" s="1">
        <v>33.0</v>
      </c>
      <c r="F850" s="1">
        <v>49.0</v>
      </c>
      <c r="G850" s="1">
        <v>10.44</v>
      </c>
      <c r="H850" s="1">
        <v>0.0</v>
      </c>
      <c r="I850" s="1">
        <v>0.0</v>
      </c>
      <c r="J850" s="1">
        <v>0.0</v>
      </c>
      <c r="K850" s="1">
        <v>0.1</v>
      </c>
      <c r="L850" s="1">
        <v>1.6E7</v>
      </c>
      <c r="M850" s="1" t="s">
        <v>4824</v>
      </c>
      <c r="N850" s="18">
        <v>46028.0</v>
      </c>
      <c r="O850" s="1" t="s">
        <v>4825</v>
      </c>
      <c r="P850" s="1" t="s">
        <v>3257</v>
      </c>
      <c r="Q850" s="1" t="s">
        <v>3408</v>
      </c>
    </row>
    <row r="851">
      <c r="A851" s="1" t="s">
        <v>3651</v>
      </c>
      <c r="B851" s="1">
        <v>33.0</v>
      </c>
      <c r="C851" s="1">
        <v>50.0</v>
      </c>
      <c r="D851" s="2" t="s">
        <v>1023</v>
      </c>
      <c r="E851" s="1">
        <v>33.0</v>
      </c>
      <c r="F851" s="1">
        <v>3.0</v>
      </c>
      <c r="G851" s="1">
        <v>5.11</v>
      </c>
      <c r="H851" s="1">
        <v>0.0</v>
      </c>
      <c r="I851" s="1">
        <v>0.0</v>
      </c>
      <c r="J851" s="1">
        <v>0.0</v>
      </c>
      <c r="K851" s="1">
        <v>0.12</v>
      </c>
      <c r="L851" s="1">
        <v>34000.0</v>
      </c>
      <c r="M851" s="1" t="s">
        <v>3652</v>
      </c>
      <c r="N851" s="18">
        <v>46027.0</v>
      </c>
      <c r="O851" s="1" t="s">
        <v>3653</v>
      </c>
      <c r="P851" s="1" t="s">
        <v>3334</v>
      </c>
      <c r="Q851" s="1" t="s">
        <v>3408</v>
      </c>
    </row>
    <row r="852">
      <c r="A852" s="1" t="s">
        <v>4826</v>
      </c>
      <c r="B852" s="1">
        <v>33.0</v>
      </c>
      <c r="C852" s="1">
        <v>210.0</v>
      </c>
      <c r="D852" s="2" t="s">
        <v>581</v>
      </c>
      <c r="E852" s="1">
        <v>33.0</v>
      </c>
      <c r="F852" s="1">
        <v>62.0</v>
      </c>
      <c r="G852" s="1">
        <v>17.08</v>
      </c>
      <c r="H852" s="1">
        <v>0.0</v>
      </c>
      <c r="I852" s="1">
        <v>0.0</v>
      </c>
      <c r="J852" s="1">
        <v>0.0</v>
      </c>
      <c r="K852" s="1">
        <v>0.02</v>
      </c>
      <c r="L852" s="1">
        <v>1.28E7</v>
      </c>
      <c r="M852" s="1" t="s">
        <v>4827</v>
      </c>
      <c r="N852" s="18">
        <v>46024.0</v>
      </c>
      <c r="O852" s="1" t="s">
        <v>4828</v>
      </c>
      <c r="P852" s="1" t="s">
        <v>3257</v>
      </c>
      <c r="Q852" s="1" t="s">
        <v>3408</v>
      </c>
    </row>
    <row r="853">
      <c r="A853" s="1" t="s">
        <v>3430</v>
      </c>
      <c r="B853" s="1">
        <v>33.0</v>
      </c>
      <c r="C853" s="1">
        <v>110.0</v>
      </c>
      <c r="D853" s="2" t="s">
        <v>584</v>
      </c>
      <c r="E853" s="1">
        <v>33.0</v>
      </c>
      <c r="F853" s="1">
        <v>3.0</v>
      </c>
      <c r="G853" s="1">
        <v>4.98</v>
      </c>
      <c r="H853" s="1">
        <v>0.0</v>
      </c>
      <c r="I853" s="1">
        <v>0.0</v>
      </c>
      <c r="J853" s="1">
        <v>0.0</v>
      </c>
      <c r="K853" s="1">
        <v>0.16</v>
      </c>
      <c r="L853" s="1">
        <v>1.78E7</v>
      </c>
      <c r="M853" s="1" t="s">
        <v>3431</v>
      </c>
      <c r="N853" s="18">
        <v>46017.0</v>
      </c>
      <c r="O853" s="1" t="s">
        <v>3432</v>
      </c>
      <c r="P853" s="1" t="s">
        <v>3257</v>
      </c>
      <c r="Q853" s="1" t="s">
        <v>3408</v>
      </c>
    </row>
    <row r="854">
      <c r="A854" s="1" t="s">
        <v>4829</v>
      </c>
      <c r="B854" s="1">
        <v>33.0</v>
      </c>
      <c r="C854" s="1">
        <v>110.0</v>
      </c>
      <c r="D854" s="2" t="s">
        <v>1327</v>
      </c>
      <c r="E854" s="1">
        <v>33.0</v>
      </c>
      <c r="F854" s="1">
        <v>12.0</v>
      </c>
      <c r="G854" s="1">
        <v>0.0</v>
      </c>
      <c r="H854" s="1">
        <v>0.0</v>
      </c>
      <c r="I854" s="1">
        <v>0.0</v>
      </c>
      <c r="J854" s="1">
        <v>0.0</v>
      </c>
      <c r="K854" s="1">
        <v>0.0</v>
      </c>
      <c r="L854" s="1">
        <v>5950000.0</v>
      </c>
      <c r="M854" s="1" t="s">
        <v>4830</v>
      </c>
      <c r="N854" s="18">
        <v>46016.0</v>
      </c>
      <c r="O854" s="1" t="s">
        <v>3493</v>
      </c>
      <c r="P854" s="1" t="s">
        <v>3230</v>
      </c>
      <c r="Q854" s="1" t="s">
        <v>3408</v>
      </c>
    </row>
    <row r="855">
      <c r="A855" s="1" t="s">
        <v>4831</v>
      </c>
      <c r="B855" s="1">
        <v>33.0</v>
      </c>
      <c r="C855" s="1">
        <v>50.0</v>
      </c>
      <c r="D855" s="2" t="s">
        <v>1177</v>
      </c>
      <c r="E855" s="1">
        <v>33.0</v>
      </c>
      <c r="F855" s="1">
        <v>0.0</v>
      </c>
      <c r="G855" s="1">
        <v>0.0</v>
      </c>
      <c r="H855" s="1">
        <v>0.0</v>
      </c>
      <c r="I855" s="1">
        <v>0.0</v>
      </c>
      <c r="J855" s="1">
        <v>0.0</v>
      </c>
      <c r="K855" s="1">
        <v>0.0</v>
      </c>
      <c r="L855" s="1">
        <v>320000.0</v>
      </c>
      <c r="M855" s="1" t="s">
        <v>4832</v>
      </c>
      <c r="N855" s="18">
        <v>46016.0</v>
      </c>
      <c r="O855" s="1" t="s">
        <v>4833</v>
      </c>
      <c r="P855" s="1" t="s">
        <v>3301</v>
      </c>
      <c r="Q855" s="1" t="s">
        <v>3408</v>
      </c>
    </row>
    <row r="856">
      <c r="A856" s="1" t="s">
        <v>4834</v>
      </c>
      <c r="B856" s="1">
        <v>33.0</v>
      </c>
      <c r="C856" s="1">
        <v>70.0</v>
      </c>
      <c r="D856" s="2" t="s">
        <v>665</v>
      </c>
      <c r="E856" s="1">
        <v>33.0</v>
      </c>
      <c r="F856" s="1">
        <v>10.0</v>
      </c>
      <c r="G856" s="1">
        <v>13.87</v>
      </c>
      <c r="H856" s="1">
        <v>0.0</v>
      </c>
      <c r="I856" s="1">
        <v>0.0</v>
      </c>
      <c r="J856" s="1">
        <v>0.0</v>
      </c>
      <c r="K856" s="1">
        <v>0.65</v>
      </c>
      <c r="L856" s="1">
        <v>301000.0</v>
      </c>
      <c r="M856" s="1" t="s">
        <v>4835</v>
      </c>
      <c r="N856" s="18">
        <v>46016.0</v>
      </c>
      <c r="O856" s="1" t="s">
        <v>4836</v>
      </c>
      <c r="P856" s="1" t="s">
        <v>3257</v>
      </c>
      <c r="Q856" s="1" t="s">
        <v>3408</v>
      </c>
    </row>
    <row r="857">
      <c r="A857" s="1" t="s">
        <v>4837</v>
      </c>
      <c r="B857" s="1">
        <v>33.0</v>
      </c>
      <c r="C857" s="1">
        <v>90.0</v>
      </c>
      <c r="D857" s="2" t="s">
        <v>762</v>
      </c>
      <c r="E857" s="1">
        <v>33.0</v>
      </c>
      <c r="F857" s="1">
        <v>4.0</v>
      </c>
      <c r="G857" s="1">
        <v>20.64</v>
      </c>
      <c r="H857" s="1">
        <v>0.0</v>
      </c>
      <c r="I857" s="1">
        <v>0.0</v>
      </c>
      <c r="J857" s="1">
        <v>0.0</v>
      </c>
      <c r="K857" s="1">
        <v>0.38</v>
      </c>
      <c r="L857" s="1">
        <v>7530000.0</v>
      </c>
      <c r="M857" s="1" t="s">
        <v>4838</v>
      </c>
      <c r="N857" s="18">
        <v>46016.0</v>
      </c>
      <c r="O857" s="1" t="s">
        <v>4839</v>
      </c>
      <c r="P857" s="1" t="s">
        <v>3257</v>
      </c>
      <c r="Q857" s="1" t="s">
        <v>3408</v>
      </c>
    </row>
    <row r="858">
      <c r="A858" s="1" t="s">
        <v>4840</v>
      </c>
      <c r="B858" s="1">
        <v>33.0</v>
      </c>
      <c r="C858" s="1">
        <v>70.0</v>
      </c>
      <c r="D858" s="2" t="s">
        <v>503</v>
      </c>
      <c r="E858" s="1">
        <v>33.0</v>
      </c>
      <c r="F858" s="1">
        <v>18.0</v>
      </c>
      <c r="G858" s="1">
        <v>9.2</v>
      </c>
      <c r="H858" s="1">
        <v>0.0</v>
      </c>
      <c r="I858" s="1">
        <v>0.0</v>
      </c>
      <c r="J858" s="1">
        <v>0.0</v>
      </c>
      <c r="K858" s="1">
        <v>0.18</v>
      </c>
      <c r="L858" s="1">
        <v>3.45E7</v>
      </c>
      <c r="M858" s="1" t="s">
        <v>4841</v>
      </c>
      <c r="N858" s="18">
        <v>46015.0</v>
      </c>
      <c r="O858" s="1" t="s">
        <v>4842</v>
      </c>
      <c r="P858" s="1" t="s">
        <v>3257</v>
      </c>
      <c r="Q858" s="1" t="s">
        <v>3408</v>
      </c>
    </row>
    <row r="859">
      <c r="A859" s="1" t="s">
        <v>4843</v>
      </c>
      <c r="B859" s="1">
        <v>33.0</v>
      </c>
      <c r="C859" s="1">
        <v>40.0</v>
      </c>
      <c r="D859" s="2" t="s">
        <v>1941</v>
      </c>
      <c r="E859" s="1">
        <v>33.0</v>
      </c>
      <c r="F859" s="1">
        <v>6.0</v>
      </c>
      <c r="G859" s="1">
        <v>0.0</v>
      </c>
      <c r="H859" s="1">
        <v>0.0</v>
      </c>
      <c r="I859" s="1">
        <v>0.0</v>
      </c>
      <c r="J859" s="1">
        <v>0.0</v>
      </c>
      <c r="K859" s="1">
        <v>0.06</v>
      </c>
      <c r="L859" s="1">
        <v>2820000.0</v>
      </c>
      <c r="M859" s="1" t="s">
        <v>4844</v>
      </c>
      <c r="N859" s="18">
        <v>46014.0</v>
      </c>
      <c r="O859" s="1" t="s">
        <v>4845</v>
      </c>
      <c r="P859" s="1" t="s">
        <v>3230</v>
      </c>
      <c r="Q859" s="1" t="s">
        <v>3408</v>
      </c>
    </row>
    <row r="860">
      <c r="A860" s="1" t="s">
        <v>4846</v>
      </c>
      <c r="B860" s="1">
        <v>33.0</v>
      </c>
      <c r="C860" s="1">
        <v>110.0</v>
      </c>
      <c r="D860" s="2" t="s">
        <v>665</v>
      </c>
      <c r="E860" s="1">
        <v>33.0</v>
      </c>
      <c r="F860" s="1">
        <v>5.0</v>
      </c>
      <c r="G860" s="1">
        <v>13.87</v>
      </c>
      <c r="H860" s="1">
        <v>0.0</v>
      </c>
      <c r="I860" s="1">
        <v>0.0</v>
      </c>
      <c r="J860" s="1">
        <v>0.0</v>
      </c>
      <c r="K860" s="1">
        <v>0.65</v>
      </c>
      <c r="L860" s="1">
        <v>350000.0</v>
      </c>
      <c r="M860" s="1" t="s">
        <v>4847</v>
      </c>
      <c r="N860" s="18">
        <v>46013.0</v>
      </c>
      <c r="O860" s="1" t="s">
        <v>3686</v>
      </c>
      <c r="P860" s="1" t="s">
        <v>3257</v>
      </c>
      <c r="Q860" s="1" t="s">
        <v>3408</v>
      </c>
    </row>
    <row r="861">
      <c r="A861" s="1" t="s">
        <v>4848</v>
      </c>
      <c r="B861" s="1">
        <v>33.0</v>
      </c>
      <c r="C861" s="1">
        <v>90.0</v>
      </c>
      <c r="D861" s="2" t="s">
        <v>439</v>
      </c>
      <c r="E861" s="1">
        <v>33.0</v>
      </c>
      <c r="F861" s="1">
        <v>10.0</v>
      </c>
      <c r="G861" s="1">
        <v>3.57</v>
      </c>
      <c r="H861" s="1">
        <v>0.0</v>
      </c>
      <c r="I861" s="1">
        <v>0.0</v>
      </c>
      <c r="J861" s="1">
        <v>0.0</v>
      </c>
      <c r="K861" s="1">
        <v>0.1</v>
      </c>
      <c r="L861" s="1">
        <v>559000.0</v>
      </c>
      <c r="M861" s="1" t="s">
        <v>4849</v>
      </c>
      <c r="N861" s="18">
        <v>46010.0</v>
      </c>
      <c r="O861" s="1" t="s">
        <v>4850</v>
      </c>
      <c r="P861" s="1" t="s">
        <v>3230</v>
      </c>
      <c r="Q861" s="1" t="s">
        <v>3408</v>
      </c>
    </row>
    <row r="862">
      <c r="A862" s="1" t="s">
        <v>3871</v>
      </c>
      <c r="B862" s="1">
        <v>33.0</v>
      </c>
      <c r="C862" s="1">
        <v>70.0</v>
      </c>
      <c r="D862" s="2" t="s">
        <v>584</v>
      </c>
      <c r="E862" s="1">
        <v>33.0</v>
      </c>
      <c r="F862" s="1">
        <v>13.0</v>
      </c>
      <c r="G862" s="1">
        <v>19.05</v>
      </c>
      <c r="H862" s="1">
        <v>0.0</v>
      </c>
      <c r="I862" s="1">
        <v>0.0</v>
      </c>
      <c r="J862" s="1">
        <v>0.0</v>
      </c>
      <c r="K862" s="1">
        <v>0.04</v>
      </c>
      <c r="L862" s="1">
        <v>155000.0</v>
      </c>
      <c r="M862" s="1" t="s">
        <v>3872</v>
      </c>
      <c r="N862" s="18">
        <v>46005.0</v>
      </c>
      <c r="O862" s="1" t="s">
        <v>3435</v>
      </c>
      <c r="P862" s="1" t="s">
        <v>3257</v>
      </c>
      <c r="Q862" s="1" t="s">
        <v>3408</v>
      </c>
    </row>
    <row r="863">
      <c r="A863" s="1" t="s">
        <v>4851</v>
      </c>
      <c r="B863" s="1">
        <v>33.0</v>
      </c>
      <c r="C863" s="1">
        <v>50.0</v>
      </c>
      <c r="D863" s="2" t="s">
        <v>694</v>
      </c>
      <c r="E863" s="1">
        <v>33.0</v>
      </c>
      <c r="F863" s="1">
        <v>6.0</v>
      </c>
      <c r="G863" s="1">
        <v>0.12</v>
      </c>
      <c r="H863" s="1">
        <v>0.0</v>
      </c>
      <c r="I863" s="1">
        <v>0.0</v>
      </c>
      <c r="J863" s="1">
        <v>0.0</v>
      </c>
      <c r="K863" s="1">
        <v>0.18</v>
      </c>
      <c r="L863" s="1">
        <v>3150000.0</v>
      </c>
      <c r="M863" s="1" t="s">
        <v>4852</v>
      </c>
      <c r="N863" s="18">
        <v>46004.0</v>
      </c>
      <c r="O863" s="1" t="s">
        <v>3479</v>
      </c>
      <c r="P863" s="1" t="s">
        <v>3230</v>
      </c>
      <c r="Q863" s="1" t="s">
        <v>3408</v>
      </c>
    </row>
    <row r="864">
      <c r="A864" s="1" t="s">
        <v>4853</v>
      </c>
      <c r="B864" s="1">
        <v>33.0</v>
      </c>
      <c r="C864" s="1">
        <v>30.0</v>
      </c>
      <c r="D864" s="2" t="s">
        <v>3001</v>
      </c>
      <c r="E864" s="1">
        <v>33.0</v>
      </c>
      <c r="F864" s="1">
        <v>5.0</v>
      </c>
      <c r="G864" s="1">
        <v>103.86</v>
      </c>
      <c r="H864" s="1">
        <v>0.0</v>
      </c>
      <c r="I864" s="1">
        <v>0.0</v>
      </c>
      <c r="J864" s="1">
        <v>0.0</v>
      </c>
      <c r="K864" s="1">
        <v>0.01</v>
      </c>
      <c r="L864" s="1">
        <v>1.04E7</v>
      </c>
      <c r="M864" s="1" t="s">
        <v>4854</v>
      </c>
      <c r="N864" s="18">
        <v>46002.0</v>
      </c>
      <c r="O864" s="1" t="s">
        <v>3482</v>
      </c>
      <c r="P864" s="1" t="s">
        <v>3257</v>
      </c>
      <c r="Q864" s="1" t="s">
        <v>3408</v>
      </c>
    </row>
    <row r="865">
      <c r="A865" s="1" t="s">
        <v>4855</v>
      </c>
      <c r="B865" s="1">
        <v>33.0</v>
      </c>
      <c r="C865" s="1">
        <v>90.0</v>
      </c>
      <c r="D865" s="2" t="s">
        <v>1109</v>
      </c>
      <c r="E865" s="1">
        <v>33.0</v>
      </c>
      <c r="F865" s="1">
        <v>0.0</v>
      </c>
      <c r="G865" s="1">
        <v>2.56</v>
      </c>
      <c r="H865" s="1">
        <v>0.0</v>
      </c>
      <c r="I865" s="1">
        <v>0.0</v>
      </c>
      <c r="J865" s="1">
        <v>0.0</v>
      </c>
      <c r="K865" s="1">
        <v>0.29</v>
      </c>
      <c r="L865" s="1">
        <v>2.72E7</v>
      </c>
      <c r="M865" s="1" t="s">
        <v>4856</v>
      </c>
      <c r="N865" s="18">
        <v>45996.0</v>
      </c>
      <c r="O865" s="1" t="s">
        <v>3861</v>
      </c>
      <c r="P865" s="1" t="s">
        <v>3230</v>
      </c>
      <c r="Q865" s="1" t="s">
        <v>3408</v>
      </c>
    </row>
    <row r="866">
      <c r="A866" s="1" t="s">
        <v>4857</v>
      </c>
      <c r="B866" s="1">
        <v>33.0</v>
      </c>
      <c r="C866" s="1">
        <v>40.0</v>
      </c>
      <c r="D866" s="2" t="s">
        <v>911</v>
      </c>
      <c r="E866" s="1">
        <v>33.0</v>
      </c>
      <c r="F866" s="1">
        <v>4.0</v>
      </c>
      <c r="G866" s="1">
        <v>0.0</v>
      </c>
      <c r="H866" s="1">
        <v>0.0</v>
      </c>
      <c r="I866" s="1">
        <v>0.0</v>
      </c>
      <c r="J866" s="1">
        <v>0.0</v>
      </c>
      <c r="K866" s="1">
        <v>0.07</v>
      </c>
      <c r="L866" s="1">
        <v>1380000.0</v>
      </c>
      <c r="M866" s="1" t="s">
        <v>4858</v>
      </c>
      <c r="N866" s="18">
        <v>45991.0</v>
      </c>
      <c r="O866" s="1" t="s">
        <v>3479</v>
      </c>
      <c r="P866" s="1" t="s">
        <v>3230</v>
      </c>
      <c r="Q866" s="1" t="s">
        <v>3408</v>
      </c>
    </row>
    <row r="867">
      <c r="A867" s="1" t="s">
        <v>4859</v>
      </c>
      <c r="B867" s="1">
        <v>33.0</v>
      </c>
      <c r="C867" s="1">
        <v>70.0</v>
      </c>
      <c r="D867" s="2" t="s">
        <v>2930</v>
      </c>
      <c r="E867" s="1">
        <v>33.0</v>
      </c>
      <c r="F867" s="1">
        <v>25.0</v>
      </c>
      <c r="G867" s="1">
        <v>0.0</v>
      </c>
      <c r="H867" s="1">
        <v>0.0</v>
      </c>
      <c r="I867" s="1">
        <v>0.0</v>
      </c>
      <c r="J867" s="1">
        <v>0.0</v>
      </c>
      <c r="K867" s="1">
        <v>0.01</v>
      </c>
      <c r="L867" s="1">
        <v>6940000.0</v>
      </c>
      <c r="M867" s="1" t="s">
        <v>4860</v>
      </c>
      <c r="N867" s="18">
        <v>45989.0</v>
      </c>
      <c r="O867" s="1" t="s">
        <v>3479</v>
      </c>
      <c r="P867" s="1" t="s">
        <v>3230</v>
      </c>
      <c r="Q867" s="1" t="s">
        <v>3408</v>
      </c>
    </row>
    <row r="868">
      <c r="A868" s="1" t="s">
        <v>4861</v>
      </c>
      <c r="B868" s="1">
        <v>33.0</v>
      </c>
      <c r="C868" s="1">
        <v>110.0</v>
      </c>
      <c r="D868" s="2" t="s">
        <v>2302</v>
      </c>
      <c r="E868" s="1">
        <v>33.0</v>
      </c>
      <c r="F868" s="1">
        <v>5.0</v>
      </c>
      <c r="G868" s="1">
        <v>4.04</v>
      </c>
      <c r="H868" s="1">
        <v>0.0</v>
      </c>
      <c r="I868" s="1">
        <v>0.0</v>
      </c>
      <c r="J868" s="1">
        <v>0.0</v>
      </c>
      <c r="K868" s="1">
        <v>0.05</v>
      </c>
      <c r="L868" s="1">
        <v>5.89E7</v>
      </c>
      <c r="M868" s="1" t="s">
        <v>4862</v>
      </c>
      <c r="N868" s="18">
        <v>45987.0</v>
      </c>
      <c r="O868" s="1" t="s">
        <v>3317</v>
      </c>
      <c r="P868" s="1" t="s">
        <v>3230</v>
      </c>
      <c r="Q868" s="1" t="s">
        <v>3408</v>
      </c>
    </row>
    <row r="869">
      <c r="A869" s="1" t="s">
        <v>3680</v>
      </c>
      <c r="B869" s="1">
        <v>33.0</v>
      </c>
      <c r="C869" s="1">
        <v>110.0</v>
      </c>
      <c r="D869" s="2" t="s">
        <v>447</v>
      </c>
      <c r="E869" s="1">
        <v>33.0</v>
      </c>
      <c r="F869" s="1">
        <v>12.0</v>
      </c>
      <c r="G869" s="1">
        <v>13.92</v>
      </c>
      <c r="H869" s="1">
        <v>0.0</v>
      </c>
      <c r="I869" s="1">
        <v>0.0</v>
      </c>
      <c r="J869" s="1">
        <v>0.0</v>
      </c>
      <c r="K869" s="1">
        <v>0.06</v>
      </c>
      <c r="L869" s="1">
        <v>10.0</v>
      </c>
      <c r="M869" s="1" t="s">
        <v>3681</v>
      </c>
      <c r="N869" s="18">
        <v>45984.0</v>
      </c>
      <c r="O869" s="1" t="s">
        <v>3415</v>
      </c>
      <c r="P869" s="1" t="s">
        <v>3257</v>
      </c>
      <c r="Q869" s="1" t="s">
        <v>3408</v>
      </c>
    </row>
    <row r="870">
      <c r="A870" s="1" t="s">
        <v>4863</v>
      </c>
      <c r="B870" s="1">
        <v>33.0</v>
      </c>
      <c r="C870" s="1">
        <v>70.0</v>
      </c>
      <c r="D870" s="2" t="s">
        <v>2930</v>
      </c>
      <c r="E870" s="1">
        <v>33.0</v>
      </c>
      <c r="F870" s="1">
        <v>28.0</v>
      </c>
      <c r="G870" s="1">
        <v>0.0</v>
      </c>
      <c r="H870" s="1">
        <v>0.0</v>
      </c>
      <c r="I870" s="1">
        <v>0.0</v>
      </c>
      <c r="J870" s="1">
        <v>0.0</v>
      </c>
      <c r="K870" s="1">
        <v>0.02</v>
      </c>
      <c r="L870" s="1">
        <v>1.15E8</v>
      </c>
      <c r="M870" s="1" t="s">
        <v>4864</v>
      </c>
      <c r="N870" s="18">
        <v>45979.0</v>
      </c>
      <c r="O870" s="1" t="s">
        <v>3525</v>
      </c>
      <c r="P870" s="1" t="s">
        <v>3230</v>
      </c>
      <c r="Q870" s="1" t="s">
        <v>3408</v>
      </c>
    </row>
    <row r="871">
      <c r="A871" s="1" t="s">
        <v>4865</v>
      </c>
      <c r="B871" s="1">
        <v>33.0</v>
      </c>
      <c r="C871" s="1">
        <v>110.0</v>
      </c>
      <c r="D871" s="2" t="s">
        <v>2930</v>
      </c>
      <c r="E871" s="1">
        <v>33.0</v>
      </c>
      <c r="F871" s="1">
        <v>7.0</v>
      </c>
      <c r="G871" s="1">
        <v>1.4</v>
      </c>
      <c r="H871" s="1">
        <v>0.0</v>
      </c>
      <c r="I871" s="1">
        <v>0.0</v>
      </c>
      <c r="J871" s="1">
        <v>0.0</v>
      </c>
      <c r="K871" s="1">
        <v>0.02</v>
      </c>
      <c r="L871" s="1">
        <v>10.0</v>
      </c>
      <c r="M871" s="1" t="s">
        <v>4866</v>
      </c>
      <c r="N871" s="18">
        <v>45978.0</v>
      </c>
      <c r="O871" s="1" t="s">
        <v>3592</v>
      </c>
      <c r="P871" s="1" t="s">
        <v>3230</v>
      </c>
      <c r="Q871" s="1" t="s">
        <v>3408</v>
      </c>
    </row>
    <row r="872">
      <c r="A872" s="1" t="s">
        <v>4867</v>
      </c>
      <c r="B872" s="1">
        <v>33.0</v>
      </c>
      <c r="C872" s="1">
        <v>90.0</v>
      </c>
      <c r="D872" s="2" t="s">
        <v>2930</v>
      </c>
      <c r="E872" s="1">
        <v>33.0</v>
      </c>
      <c r="F872" s="1">
        <v>20.0</v>
      </c>
      <c r="G872" s="1">
        <v>1.4</v>
      </c>
      <c r="H872" s="1">
        <v>0.0</v>
      </c>
      <c r="I872" s="1">
        <v>0.0</v>
      </c>
      <c r="J872" s="1">
        <v>0.0</v>
      </c>
      <c r="K872" s="1">
        <v>0.02</v>
      </c>
      <c r="L872" s="1">
        <v>0.0</v>
      </c>
      <c r="M872" s="1" t="s">
        <v>4868</v>
      </c>
      <c r="N872" s="18">
        <v>45978.0</v>
      </c>
      <c r="O872" s="1" t="s">
        <v>3577</v>
      </c>
      <c r="P872" s="1" t="s">
        <v>3230</v>
      </c>
      <c r="Q872" s="1" t="s">
        <v>3408</v>
      </c>
    </row>
    <row r="873">
      <c r="A873" s="1" t="s">
        <v>3267</v>
      </c>
      <c r="B873" s="1">
        <v>34.0</v>
      </c>
      <c r="C873" s="1">
        <v>70.0</v>
      </c>
      <c r="D873" s="2" t="s">
        <v>694</v>
      </c>
      <c r="E873" s="1">
        <v>34.0</v>
      </c>
      <c r="F873" s="1">
        <v>6.0</v>
      </c>
      <c r="G873" s="1">
        <v>0.24</v>
      </c>
      <c r="H873" s="1">
        <v>0.0</v>
      </c>
      <c r="I873" s="1">
        <v>0.0</v>
      </c>
      <c r="J873" s="1">
        <v>0.0</v>
      </c>
      <c r="K873" s="1">
        <v>0.25</v>
      </c>
      <c r="L873" s="1">
        <v>3290000.0</v>
      </c>
      <c r="M873" s="1" t="s">
        <v>3268</v>
      </c>
      <c r="N873" s="18">
        <v>46039.0</v>
      </c>
      <c r="O873" s="1" t="s">
        <v>3269</v>
      </c>
      <c r="P873" s="1" t="s">
        <v>3230</v>
      </c>
      <c r="Q873" s="1" t="s">
        <v>3408</v>
      </c>
    </row>
    <row r="874">
      <c r="A874" s="1" t="s">
        <v>4869</v>
      </c>
      <c r="B874" s="1">
        <v>34.0</v>
      </c>
      <c r="C874" s="1">
        <v>30.0</v>
      </c>
      <c r="D874" s="2" t="s">
        <v>581</v>
      </c>
      <c r="E874" s="1">
        <v>34.0</v>
      </c>
      <c r="F874" s="1">
        <v>61.0</v>
      </c>
      <c r="G874" s="1">
        <v>6.69</v>
      </c>
      <c r="H874" s="1">
        <v>0.0</v>
      </c>
      <c r="I874" s="1">
        <v>0.0</v>
      </c>
      <c r="J874" s="1">
        <v>0.0</v>
      </c>
      <c r="K874" s="1">
        <v>0.31</v>
      </c>
      <c r="L874" s="1">
        <v>1390000.0</v>
      </c>
      <c r="M874" s="1" t="s">
        <v>4870</v>
      </c>
      <c r="N874" s="18">
        <v>46035.0</v>
      </c>
      <c r="O874" s="1" t="s">
        <v>3821</v>
      </c>
      <c r="P874" s="1" t="s">
        <v>3257</v>
      </c>
      <c r="Q874" s="1" t="s">
        <v>3408</v>
      </c>
    </row>
    <row r="875">
      <c r="A875" s="1" t="s">
        <v>3668</v>
      </c>
      <c r="B875" s="1">
        <v>34.0</v>
      </c>
      <c r="C875" s="1">
        <v>50.0</v>
      </c>
      <c r="D875" s="2" t="s">
        <v>1023</v>
      </c>
      <c r="E875" s="1">
        <v>34.0</v>
      </c>
      <c r="F875" s="1">
        <v>0.0</v>
      </c>
      <c r="G875" s="1">
        <v>0.0</v>
      </c>
      <c r="H875" s="1">
        <v>0.0</v>
      </c>
      <c r="I875" s="1">
        <v>0.0</v>
      </c>
      <c r="J875" s="1">
        <v>0.0</v>
      </c>
      <c r="K875" s="1">
        <v>0.33</v>
      </c>
      <c r="L875" s="1">
        <v>12900.0</v>
      </c>
      <c r="M875" s="1" t="s">
        <v>3669</v>
      </c>
      <c r="N875" s="18">
        <v>46033.0</v>
      </c>
      <c r="O875" s="1" t="s">
        <v>3670</v>
      </c>
      <c r="P875" s="1" t="s">
        <v>3334</v>
      </c>
      <c r="Q875" s="1" t="s">
        <v>3408</v>
      </c>
    </row>
    <row r="876">
      <c r="A876" s="1" t="s">
        <v>4871</v>
      </c>
      <c r="B876" s="1">
        <v>34.0</v>
      </c>
      <c r="C876" s="1">
        <v>50.0</v>
      </c>
      <c r="D876" s="2" t="s">
        <v>714</v>
      </c>
      <c r="E876" s="1">
        <v>34.0</v>
      </c>
      <c r="F876" s="1">
        <v>2.0</v>
      </c>
      <c r="G876" s="1">
        <v>0.0</v>
      </c>
      <c r="H876" s="1">
        <v>0.0</v>
      </c>
      <c r="I876" s="1">
        <v>0.0</v>
      </c>
      <c r="J876" s="1">
        <v>0.0</v>
      </c>
      <c r="K876" s="1">
        <v>0.0</v>
      </c>
      <c r="L876" s="1">
        <v>17200.0</v>
      </c>
      <c r="M876" s="1" t="s">
        <v>4872</v>
      </c>
      <c r="N876" s="18">
        <v>46031.0</v>
      </c>
      <c r="O876" s="1" t="s">
        <v>3670</v>
      </c>
      <c r="P876" s="1" t="s">
        <v>3334</v>
      </c>
      <c r="Q876" s="1" t="s">
        <v>3408</v>
      </c>
    </row>
    <row r="877">
      <c r="A877" s="1" t="s">
        <v>4873</v>
      </c>
      <c r="B877" s="1">
        <v>34.0</v>
      </c>
      <c r="C877" s="1">
        <v>590.0</v>
      </c>
      <c r="D877" s="2" t="s">
        <v>439</v>
      </c>
      <c r="E877" s="1">
        <v>34.0</v>
      </c>
      <c r="F877" s="1">
        <v>22.0</v>
      </c>
      <c r="G877" s="1">
        <v>3.15</v>
      </c>
      <c r="H877" s="1">
        <v>0.0</v>
      </c>
      <c r="I877" s="1">
        <v>0.0</v>
      </c>
      <c r="J877" s="1">
        <v>0.0</v>
      </c>
      <c r="K877" s="1">
        <v>0.03</v>
      </c>
      <c r="L877" s="1">
        <v>10200.0</v>
      </c>
      <c r="M877" s="1" t="s">
        <v>4874</v>
      </c>
      <c r="N877" s="18">
        <v>46030.0</v>
      </c>
      <c r="O877" s="1" t="s">
        <v>3673</v>
      </c>
      <c r="P877" s="1" t="s">
        <v>3462</v>
      </c>
      <c r="Q877" s="1" t="s">
        <v>3408</v>
      </c>
    </row>
    <row r="878">
      <c r="A878" s="1" t="s">
        <v>4875</v>
      </c>
      <c r="B878" s="1">
        <v>34.0</v>
      </c>
      <c r="C878" s="1">
        <v>90.0</v>
      </c>
      <c r="D878" s="2" t="s">
        <v>1052</v>
      </c>
      <c r="E878" s="1">
        <v>34.0</v>
      </c>
      <c r="F878" s="1">
        <v>29.0</v>
      </c>
      <c r="G878" s="1">
        <v>0.0</v>
      </c>
      <c r="H878" s="1">
        <v>0.0</v>
      </c>
      <c r="I878" s="1">
        <v>0.0</v>
      </c>
      <c r="J878" s="1">
        <v>0.0</v>
      </c>
      <c r="K878" s="1">
        <v>0.0</v>
      </c>
      <c r="L878" s="1">
        <v>8.66E7</v>
      </c>
      <c r="M878" s="1" t="s">
        <v>4876</v>
      </c>
      <c r="N878" s="18">
        <v>46027.0</v>
      </c>
      <c r="O878" s="1" t="s">
        <v>3442</v>
      </c>
      <c r="P878" s="1" t="s">
        <v>3230</v>
      </c>
      <c r="Q878" s="1" t="s">
        <v>3408</v>
      </c>
    </row>
    <row r="879">
      <c r="A879" s="1" t="s">
        <v>4877</v>
      </c>
      <c r="B879" s="1">
        <v>34.0</v>
      </c>
      <c r="C879" s="1">
        <v>70.0</v>
      </c>
      <c r="D879" s="2" t="s">
        <v>439</v>
      </c>
      <c r="E879" s="1">
        <v>34.0</v>
      </c>
      <c r="F879" s="1">
        <v>21.0</v>
      </c>
      <c r="G879" s="1">
        <v>4.68</v>
      </c>
      <c r="H879" s="1">
        <v>0.0</v>
      </c>
      <c r="I879" s="1">
        <v>0.0</v>
      </c>
      <c r="J879" s="1">
        <v>0.0</v>
      </c>
      <c r="K879" s="1">
        <v>0.06</v>
      </c>
      <c r="L879" s="1">
        <v>852000.0</v>
      </c>
      <c r="M879" s="1" t="s">
        <v>4878</v>
      </c>
      <c r="N879" s="18">
        <v>46027.0</v>
      </c>
      <c r="O879" s="1" t="s">
        <v>4440</v>
      </c>
      <c r="P879" s="1" t="s">
        <v>3230</v>
      </c>
      <c r="Q879" s="1" t="s">
        <v>3408</v>
      </c>
    </row>
    <row r="880">
      <c r="A880" s="1" t="s">
        <v>3654</v>
      </c>
      <c r="B880" s="1">
        <v>34.0</v>
      </c>
      <c r="C880" s="1">
        <v>30.0</v>
      </c>
      <c r="D880" s="2" t="s">
        <v>2988</v>
      </c>
      <c r="E880" s="1">
        <v>34.0</v>
      </c>
      <c r="G880" s="1">
        <v>17.48</v>
      </c>
      <c r="H880" s="1">
        <v>0.0</v>
      </c>
      <c r="I880" s="1">
        <v>0.0</v>
      </c>
      <c r="J880" s="1">
        <v>0.0</v>
      </c>
      <c r="K880" s="1">
        <v>0.53</v>
      </c>
      <c r="L880" s="1">
        <v>6790000.0</v>
      </c>
      <c r="M880" s="1" t="s">
        <v>3655</v>
      </c>
      <c r="N880" s="18">
        <v>46026.0</v>
      </c>
      <c r="O880" s="1" t="s">
        <v>3404</v>
      </c>
      <c r="P880" s="1" t="s">
        <v>3257</v>
      </c>
      <c r="Q880" s="1" t="s">
        <v>3408</v>
      </c>
    </row>
    <row r="881">
      <c r="A881" s="1" t="s">
        <v>4879</v>
      </c>
      <c r="B881" s="1">
        <v>34.0</v>
      </c>
      <c r="C881" s="1">
        <v>260.0</v>
      </c>
      <c r="D881" s="2" t="s">
        <v>694</v>
      </c>
      <c r="E881" s="1">
        <v>34.0</v>
      </c>
      <c r="F881" s="1">
        <v>14.0</v>
      </c>
      <c r="G881" s="1">
        <v>0.72</v>
      </c>
      <c r="H881" s="1">
        <v>0.0</v>
      </c>
      <c r="I881" s="1">
        <v>0.0</v>
      </c>
      <c r="J881" s="1">
        <v>0.0</v>
      </c>
      <c r="K881" s="1">
        <v>0.11</v>
      </c>
      <c r="L881" s="1">
        <v>2950000.0</v>
      </c>
      <c r="M881" s="1" t="s">
        <v>4880</v>
      </c>
      <c r="N881" s="18">
        <v>46025.0</v>
      </c>
      <c r="O881" s="1" t="s">
        <v>3264</v>
      </c>
      <c r="P881" s="1" t="s">
        <v>3230</v>
      </c>
      <c r="Q881" s="1" t="s">
        <v>3408</v>
      </c>
    </row>
    <row r="882">
      <c r="A882" s="1" t="s">
        <v>4881</v>
      </c>
      <c r="B882" s="1">
        <v>34.0</v>
      </c>
      <c r="C882" s="1">
        <v>110.0</v>
      </c>
      <c r="D882" s="2" t="s">
        <v>3001</v>
      </c>
      <c r="E882" s="1">
        <v>34.0</v>
      </c>
      <c r="G882" s="1">
        <v>0.0</v>
      </c>
      <c r="H882" s="1">
        <v>0.0</v>
      </c>
      <c r="I882" s="1">
        <v>0.0</v>
      </c>
      <c r="J882" s="1">
        <v>0.0</v>
      </c>
      <c r="K882" s="1">
        <v>0.03</v>
      </c>
      <c r="L882" s="1">
        <v>2600000.0</v>
      </c>
      <c r="M882" s="1" t="s">
        <v>4882</v>
      </c>
      <c r="N882" s="18">
        <v>46022.0</v>
      </c>
      <c r="O882" s="1" t="s">
        <v>3765</v>
      </c>
      <c r="P882" s="1" t="s">
        <v>3257</v>
      </c>
      <c r="Q882" s="1" t="s">
        <v>3408</v>
      </c>
    </row>
    <row r="883">
      <c r="A883" s="1" t="s">
        <v>4883</v>
      </c>
      <c r="B883" s="1">
        <v>34.0</v>
      </c>
      <c r="C883" s="1">
        <v>70.0</v>
      </c>
      <c r="D883" s="2" t="s">
        <v>1295</v>
      </c>
      <c r="E883" s="1">
        <v>34.0</v>
      </c>
      <c r="F883" s="1">
        <v>9.0</v>
      </c>
      <c r="G883" s="1">
        <v>0.0</v>
      </c>
      <c r="H883" s="1">
        <v>0.0</v>
      </c>
      <c r="I883" s="1">
        <v>0.0</v>
      </c>
      <c r="J883" s="1">
        <v>0.0</v>
      </c>
      <c r="K883" s="1">
        <v>0.0</v>
      </c>
      <c r="L883" s="1">
        <v>2.75E8</v>
      </c>
      <c r="M883" s="1" t="s">
        <v>4884</v>
      </c>
      <c r="N883" s="18">
        <v>46019.0</v>
      </c>
      <c r="O883" s="1" t="s">
        <v>3314</v>
      </c>
      <c r="P883" s="1" t="s">
        <v>3230</v>
      </c>
      <c r="Q883" s="1" t="s">
        <v>3408</v>
      </c>
    </row>
    <row r="884">
      <c r="A884" s="1" t="s">
        <v>4885</v>
      </c>
      <c r="B884" s="1">
        <v>34.0</v>
      </c>
      <c r="C884" s="1">
        <v>90.0</v>
      </c>
      <c r="D884" s="2" t="s">
        <v>991</v>
      </c>
      <c r="E884" s="1">
        <v>34.0</v>
      </c>
      <c r="F884" s="1">
        <v>22.0</v>
      </c>
      <c r="G884" s="1">
        <v>9.78</v>
      </c>
      <c r="H884" s="1">
        <v>0.0</v>
      </c>
      <c r="I884" s="1">
        <v>0.0</v>
      </c>
      <c r="J884" s="1">
        <v>0.0</v>
      </c>
      <c r="K884" s="1">
        <v>0.77</v>
      </c>
      <c r="L884" s="1">
        <v>415000.0</v>
      </c>
      <c r="M884" s="1" t="s">
        <v>4886</v>
      </c>
      <c r="N884" s="18">
        <v>46018.0</v>
      </c>
      <c r="O884" s="1" t="s">
        <v>4887</v>
      </c>
      <c r="P884" s="1" t="s">
        <v>3257</v>
      </c>
      <c r="Q884" s="1" t="s">
        <v>3408</v>
      </c>
    </row>
    <row r="885">
      <c r="A885" s="1" t="s">
        <v>3836</v>
      </c>
      <c r="B885" s="1">
        <v>34.0</v>
      </c>
      <c r="C885" s="1">
        <v>90.0</v>
      </c>
      <c r="D885" s="2" t="s">
        <v>2988</v>
      </c>
      <c r="E885" s="1">
        <v>34.0</v>
      </c>
      <c r="F885" s="1">
        <v>23.0</v>
      </c>
      <c r="G885" s="1">
        <v>0.0</v>
      </c>
      <c r="H885" s="1">
        <v>0.0</v>
      </c>
      <c r="I885" s="1">
        <v>0.0</v>
      </c>
      <c r="J885" s="1">
        <v>0.0</v>
      </c>
      <c r="K885" s="1">
        <v>0.11</v>
      </c>
      <c r="L885" s="1">
        <v>7.51E7</v>
      </c>
      <c r="M885" s="1" t="s">
        <v>3837</v>
      </c>
      <c r="N885" s="18">
        <v>46018.0</v>
      </c>
      <c r="O885" s="1" t="s">
        <v>3673</v>
      </c>
      <c r="P885" s="1" t="s">
        <v>3257</v>
      </c>
      <c r="Q885" s="1" t="s">
        <v>3408</v>
      </c>
    </row>
    <row r="886">
      <c r="A886" s="1" t="s">
        <v>3896</v>
      </c>
      <c r="B886" s="1">
        <v>34.0</v>
      </c>
      <c r="C886" s="1">
        <v>110.0</v>
      </c>
      <c r="D886" s="2" t="s">
        <v>659</v>
      </c>
      <c r="E886" s="1">
        <v>34.0</v>
      </c>
      <c r="F886" s="1">
        <v>21.0</v>
      </c>
      <c r="G886" s="1">
        <v>11.16</v>
      </c>
      <c r="H886" s="1">
        <v>0.0</v>
      </c>
      <c r="I886" s="1">
        <v>0.0</v>
      </c>
      <c r="J886" s="1">
        <v>0.0</v>
      </c>
      <c r="K886" s="1">
        <v>0.2</v>
      </c>
      <c r="L886" s="1">
        <v>114000.0</v>
      </c>
      <c r="M886" s="1" t="s">
        <v>3897</v>
      </c>
      <c r="N886" s="18">
        <v>46016.0</v>
      </c>
      <c r="O886" s="1" t="s">
        <v>3673</v>
      </c>
      <c r="P886" s="1" t="s">
        <v>3257</v>
      </c>
      <c r="Q886" s="1" t="s">
        <v>3408</v>
      </c>
    </row>
    <row r="887">
      <c r="A887" s="1" t="s">
        <v>4888</v>
      </c>
      <c r="B887" s="1">
        <v>34.0</v>
      </c>
      <c r="C887" s="1">
        <v>90.0</v>
      </c>
      <c r="D887" s="2" t="s">
        <v>1543</v>
      </c>
      <c r="E887" s="1">
        <v>34.0</v>
      </c>
      <c r="F887" s="1">
        <v>0.0</v>
      </c>
      <c r="G887" s="1">
        <v>16.66</v>
      </c>
      <c r="H887" s="1">
        <v>0.0</v>
      </c>
      <c r="I887" s="1">
        <v>0.0</v>
      </c>
      <c r="J887" s="1">
        <v>0.0</v>
      </c>
      <c r="K887" s="1">
        <v>0.26</v>
      </c>
      <c r="L887" s="1">
        <v>185000.0</v>
      </c>
      <c r="M887" s="1" t="s">
        <v>4889</v>
      </c>
      <c r="N887" s="18">
        <v>46015.0</v>
      </c>
      <c r="O887" s="1" t="s">
        <v>3479</v>
      </c>
      <c r="P887" s="1" t="s">
        <v>3334</v>
      </c>
      <c r="Q887" s="1" t="s">
        <v>3408</v>
      </c>
    </row>
    <row r="888">
      <c r="A888" s="1" t="s">
        <v>4890</v>
      </c>
      <c r="B888" s="1">
        <v>34.0</v>
      </c>
      <c r="C888" s="1">
        <v>140.0</v>
      </c>
      <c r="D888" s="2" t="s">
        <v>776</v>
      </c>
      <c r="E888" s="1">
        <v>34.0</v>
      </c>
      <c r="F888" s="1">
        <v>2.0</v>
      </c>
      <c r="G888" s="1">
        <v>0.0</v>
      </c>
      <c r="H888" s="1">
        <v>0.0</v>
      </c>
      <c r="I888" s="1">
        <v>0.0</v>
      </c>
      <c r="J888" s="1">
        <v>0.0</v>
      </c>
      <c r="K888" s="1">
        <v>0.0</v>
      </c>
      <c r="L888" s="1">
        <v>183000.0</v>
      </c>
      <c r="M888" s="1" t="s">
        <v>4891</v>
      </c>
      <c r="N888" s="18">
        <v>46013.0</v>
      </c>
      <c r="O888" s="1" t="s">
        <v>3479</v>
      </c>
      <c r="P888" s="1" t="s">
        <v>3257</v>
      </c>
      <c r="Q888" s="1" t="s">
        <v>3408</v>
      </c>
    </row>
    <row r="889">
      <c r="A889" s="1" t="s">
        <v>4892</v>
      </c>
      <c r="B889" s="1">
        <v>34.0</v>
      </c>
      <c r="C889" s="1">
        <v>50.0</v>
      </c>
      <c r="D889" s="2" t="s">
        <v>1041</v>
      </c>
      <c r="E889" s="1">
        <v>34.0</v>
      </c>
      <c r="F889" s="1">
        <v>5.0</v>
      </c>
      <c r="G889" s="1">
        <v>4.4</v>
      </c>
      <c r="H889" s="1">
        <v>0.0</v>
      </c>
      <c r="I889" s="1">
        <v>0.0</v>
      </c>
      <c r="J889" s="1">
        <v>0.0</v>
      </c>
      <c r="K889" s="1">
        <v>0.15</v>
      </c>
      <c r="L889" s="1">
        <v>1.01E8</v>
      </c>
      <c r="M889" s="1" t="s">
        <v>4893</v>
      </c>
      <c r="N889" s="18">
        <v>46011.0</v>
      </c>
      <c r="O889" s="1" t="s">
        <v>3407</v>
      </c>
      <c r="P889" s="1" t="s">
        <v>3230</v>
      </c>
      <c r="Q889" s="1" t="s">
        <v>3408</v>
      </c>
    </row>
    <row r="890">
      <c r="A890" s="1" t="s">
        <v>3902</v>
      </c>
      <c r="B890" s="1">
        <v>34.0</v>
      </c>
      <c r="C890" s="1">
        <v>70.0</v>
      </c>
      <c r="D890" s="2" t="s">
        <v>2988</v>
      </c>
      <c r="E890" s="1">
        <v>34.0</v>
      </c>
      <c r="F890" s="1">
        <v>17.0</v>
      </c>
      <c r="G890" s="1">
        <v>16.92</v>
      </c>
      <c r="H890" s="1">
        <v>0.0</v>
      </c>
      <c r="I890" s="1">
        <v>0.0</v>
      </c>
      <c r="J890" s="1">
        <v>0.0</v>
      </c>
      <c r="K890" s="1">
        <v>0.48</v>
      </c>
      <c r="L890" s="1">
        <v>2.2E7</v>
      </c>
      <c r="M890" s="1" t="s">
        <v>3903</v>
      </c>
      <c r="N890" s="18">
        <v>46010.0</v>
      </c>
      <c r="O890" s="1" t="s">
        <v>3256</v>
      </c>
      <c r="P890" s="1" t="s">
        <v>3257</v>
      </c>
      <c r="Q890" s="1" t="s">
        <v>3408</v>
      </c>
    </row>
    <row r="891">
      <c r="A891" s="1" t="s">
        <v>3866</v>
      </c>
      <c r="B891" s="1">
        <v>34.0</v>
      </c>
      <c r="C891" s="1">
        <v>40.0</v>
      </c>
      <c r="D891" s="2" t="s">
        <v>659</v>
      </c>
      <c r="E891" s="1">
        <v>34.0</v>
      </c>
      <c r="F891" s="1">
        <v>7.0</v>
      </c>
      <c r="G891" s="1">
        <v>0.0</v>
      </c>
      <c r="H891" s="1">
        <v>0.0</v>
      </c>
      <c r="I891" s="1">
        <v>0.0</v>
      </c>
      <c r="J891" s="1">
        <v>0.0</v>
      </c>
      <c r="K891" s="1">
        <v>0.01</v>
      </c>
      <c r="L891" s="1">
        <v>40200.0</v>
      </c>
      <c r="M891" s="1" t="s">
        <v>3867</v>
      </c>
      <c r="N891" s="18">
        <v>46007.0</v>
      </c>
      <c r="O891" s="1" t="s">
        <v>3435</v>
      </c>
      <c r="P891" s="1" t="s">
        <v>3257</v>
      </c>
      <c r="Q891" s="1" t="s">
        <v>3408</v>
      </c>
    </row>
    <row r="892">
      <c r="A892" s="1" t="s">
        <v>4894</v>
      </c>
      <c r="B892" s="1">
        <v>34.0</v>
      </c>
      <c r="C892" s="1">
        <v>70.0</v>
      </c>
      <c r="D892" s="2" t="s">
        <v>439</v>
      </c>
      <c r="E892" s="1">
        <v>34.0</v>
      </c>
      <c r="F892" s="1">
        <v>26.0</v>
      </c>
      <c r="G892" s="1">
        <v>6.6</v>
      </c>
      <c r="H892" s="1">
        <v>0.0</v>
      </c>
      <c r="I892" s="1">
        <v>0.0</v>
      </c>
      <c r="J892" s="1">
        <v>0.0</v>
      </c>
      <c r="K892" s="1">
        <v>0.14</v>
      </c>
      <c r="L892" s="1">
        <v>7120.0</v>
      </c>
      <c r="M892" s="1" t="s">
        <v>4895</v>
      </c>
      <c r="N892" s="18">
        <v>46005.0</v>
      </c>
      <c r="O892" s="1" t="s">
        <v>4121</v>
      </c>
      <c r="P892" s="1" t="s">
        <v>3294</v>
      </c>
      <c r="Q892" s="1" t="s">
        <v>3408</v>
      </c>
    </row>
    <row r="893">
      <c r="A893" s="1" t="s">
        <v>3843</v>
      </c>
      <c r="B893" s="1">
        <v>34.0</v>
      </c>
      <c r="C893" s="1">
        <v>50.0</v>
      </c>
      <c r="D893" s="2" t="s">
        <v>2932</v>
      </c>
      <c r="E893" s="1">
        <v>34.0</v>
      </c>
      <c r="F893" s="1">
        <v>25.0</v>
      </c>
      <c r="G893" s="1">
        <v>13.04</v>
      </c>
      <c r="H893" s="1">
        <v>0.0</v>
      </c>
      <c r="I893" s="1">
        <v>0.0</v>
      </c>
      <c r="J893" s="1">
        <v>0.0</v>
      </c>
      <c r="K893" s="1">
        <v>0.31</v>
      </c>
      <c r="L893" s="1">
        <v>2.25E7</v>
      </c>
      <c r="M893" s="1" t="s">
        <v>3844</v>
      </c>
      <c r="N893" s="18">
        <v>46005.0</v>
      </c>
      <c r="O893" s="1" t="s">
        <v>3415</v>
      </c>
      <c r="P893" s="1" t="s">
        <v>3257</v>
      </c>
      <c r="Q893" s="1" t="s">
        <v>3408</v>
      </c>
    </row>
    <row r="894">
      <c r="A894" s="1" t="s">
        <v>4896</v>
      </c>
      <c r="B894" s="1">
        <v>34.0</v>
      </c>
      <c r="C894" s="1">
        <v>50.0</v>
      </c>
      <c r="D894" s="2" t="s">
        <v>1055</v>
      </c>
      <c r="E894" s="1">
        <v>34.0</v>
      </c>
      <c r="F894" s="1">
        <v>45.0</v>
      </c>
      <c r="G894" s="1">
        <v>25.9</v>
      </c>
      <c r="H894" s="1">
        <v>0.0</v>
      </c>
      <c r="I894" s="1">
        <v>0.0</v>
      </c>
      <c r="J894" s="1">
        <v>0.0</v>
      </c>
      <c r="K894" s="1">
        <v>0.49</v>
      </c>
      <c r="L894" s="1">
        <v>673000.0</v>
      </c>
      <c r="M894" s="1" t="s">
        <v>4897</v>
      </c>
      <c r="N894" s="18">
        <v>46002.0</v>
      </c>
      <c r="O894" s="1" t="s">
        <v>3854</v>
      </c>
      <c r="P894" s="1" t="s">
        <v>3257</v>
      </c>
      <c r="Q894" s="1" t="s">
        <v>3408</v>
      </c>
    </row>
    <row r="895">
      <c r="A895" s="1" t="s">
        <v>4898</v>
      </c>
      <c r="B895" s="1">
        <v>34.0</v>
      </c>
      <c r="C895" s="1">
        <v>90.0</v>
      </c>
      <c r="D895" s="2" t="s">
        <v>439</v>
      </c>
      <c r="E895" s="1">
        <v>34.0</v>
      </c>
      <c r="F895" s="1">
        <v>21.0</v>
      </c>
      <c r="G895" s="1">
        <v>0.0</v>
      </c>
      <c r="H895" s="1">
        <v>0.0</v>
      </c>
      <c r="I895" s="1">
        <v>0.0</v>
      </c>
      <c r="J895" s="1">
        <v>0.0</v>
      </c>
      <c r="K895" s="1">
        <v>0.08</v>
      </c>
      <c r="L895" s="1">
        <v>1020.0</v>
      </c>
      <c r="M895" s="1" t="s">
        <v>4899</v>
      </c>
      <c r="N895" s="18">
        <v>46002.0</v>
      </c>
      <c r="O895" s="1" t="s">
        <v>3854</v>
      </c>
      <c r="P895" s="1" t="s">
        <v>3462</v>
      </c>
      <c r="Q895" s="1" t="s">
        <v>3408</v>
      </c>
    </row>
    <row r="896">
      <c r="A896" s="1" t="s">
        <v>4900</v>
      </c>
      <c r="B896" s="1">
        <v>34.0</v>
      </c>
      <c r="C896" s="1">
        <v>90.0</v>
      </c>
      <c r="D896" s="2" t="s">
        <v>3001</v>
      </c>
      <c r="E896" s="1">
        <v>34.0</v>
      </c>
      <c r="F896" s="1">
        <v>3.0</v>
      </c>
      <c r="G896" s="1">
        <v>0.0</v>
      </c>
      <c r="H896" s="1">
        <v>0.0</v>
      </c>
      <c r="I896" s="1">
        <v>0.0</v>
      </c>
      <c r="J896" s="1">
        <v>0.0</v>
      </c>
      <c r="K896" s="1">
        <v>0.01</v>
      </c>
      <c r="L896" s="1">
        <v>2480000.0</v>
      </c>
      <c r="M896" s="1" t="s">
        <v>4901</v>
      </c>
      <c r="N896" s="18">
        <v>46002.0</v>
      </c>
      <c r="O896" s="1" t="s">
        <v>3765</v>
      </c>
      <c r="P896" s="1" t="s">
        <v>3257</v>
      </c>
      <c r="Q896" s="1" t="s">
        <v>3408</v>
      </c>
    </row>
    <row r="897">
      <c r="A897" s="1" t="s">
        <v>4902</v>
      </c>
      <c r="B897" s="1">
        <v>34.0</v>
      </c>
      <c r="C897" s="1">
        <v>40.0</v>
      </c>
      <c r="D897" s="2" t="s">
        <v>1109</v>
      </c>
      <c r="E897" s="1">
        <v>34.0</v>
      </c>
      <c r="F897" s="1">
        <v>0.0</v>
      </c>
      <c r="G897" s="1">
        <v>5.42</v>
      </c>
      <c r="H897" s="1">
        <v>0.0</v>
      </c>
      <c r="I897" s="1">
        <v>0.0</v>
      </c>
      <c r="J897" s="1">
        <v>0.0</v>
      </c>
      <c r="K897" s="1">
        <v>0.13</v>
      </c>
      <c r="L897" s="1">
        <v>1.55E7</v>
      </c>
      <c r="M897" s="1" t="s">
        <v>4903</v>
      </c>
      <c r="N897" s="18">
        <v>46001.0</v>
      </c>
      <c r="O897" s="1" t="s">
        <v>4904</v>
      </c>
      <c r="P897" s="1" t="s">
        <v>3230</v>
      </c>
      <c r="Q897" s="1" t="s">
        <v>3408</v>
      </c>
    </row>
    <row r="898">
      <c r="A898" s="1" t="s">
        <v>3878</v>
      </c>
      <c r="B898" s="1">
        <v>34.0</v>
      </c>
      <c r="C898" s="1">
        <v>110.0</v>
      </c>
      <c r="D898" s="2" t="s">
        <v>2988</v>
      </c>
      <c r="E898" s="1">
        <v>34.0</v>
      </c>
      <c r="F898" s="1">
        <v>19.0</v>
      </c>
      <c r="G898" s="1">
        <v>17.84</v>
      </c>
      <c r="H898" s="1">
        <v>0.0</v>
      </c>
      <c r="I898" s="1">
        <v>0.0</v>
      </c>
      <c r="J898" s="1">
        <v>0.0</v>
      </c>
      <c r="K898" s="1">
        <v>0.12</v>
      </c>
      <c r="L898" s="1">
        <v>2910000.0</v>
      </c>
      <c r="M898" s="1" t="s">
        <v>3879</v>
      </c>
      <c r="N898" s="18">
        <v>45988.0</v>
      </c>
      <c r="O898" s="1" t="s">
        <v>3415</v>
      </c>
      <c r="P898" s="1" t="s">
        <v>3257</v>
      </c>
      <c r="Q898" s="1" t="s">
        <v>3408</v>
      </c>
    </row>
    <row r="899">
      <c r="A899" s="1" t="s">
        <v>4649</v>
      </c>
      <c r="B899" s="1">
        <v>34.0</v>
      </c>
      <c r="C899" s="1">
        <v>40.0</v>
      </c>
      <c r="D899" s="2" t="s">
        <v>1052</v>
      </c>
      <c r="E899" s="1">
        <v>34.0</v>
      </c>
      <c r="F899" s="1">
        <v>4.0</v>
      </c>
      <c r="G899" s="1">
        <v>0.0</v>
      </c>
      <c r="H899" s="1">
        <v>0.0</v>
      </c>
      <c r="I899" s="1">
        <v>0.0</v>
      </c>
      <c r="J899" s="1">
        <v>0.0</v>
      </c>
      <c r="K899" s="1">
        <v>0.0</v>
      </c>
      <c r="L899" s="1">
        <v>10.0</v>
      </c>
      <c r="M899" s="1" t="s">
        <v>4650</v>
      </c>
      <c r="N899" s="18">
        <v>45978.0</v>
      </c>
      <c r="O899" s="1" t="s">
        <v>3568</v>
      </c>
      <c r="P899" s="1" t="s">
        <v>3230</v>
      </c>
      <c r="Q899" s="1" t="s">
        <v>3408</v>
      </c>
    </row>
    <row r="900">
      <c r="A900" s="1" t="s">
        <v>4705</v>
      </c>
      <c r="B900" s="1">
        <v>34.0</v>
      </c>
      <c r="C900" s="1">
        <v>70.0</v>
      </c>
      <c r="D900" s="2" t="s">
        <v>2930</v>
      </c>
      <c r="E900" s="1">
        <v>34.0</v>
      </c>
      <c r="F900" s="1">
        <v>33.0</v>
      </c>
      <c r="G900" s="1">
        <v>0.0</v>
      </c>
      <c r="H900" s="1">
        <v>0.0</v>
      </c>
      <c r="I900" s="1">
        <v>0.0</v>
      </c>
      <c r="J900" s="1">
        <v>0.0</v>
      </c>
      <c r="K900" s="1">
        <v>0.0</v>
      </c>
      <c r="L900" s="1">
        <v>10.0</v>
      </c>
      <c r="M900" s="1" t="s">
        <v>4706</v>
      </c>
      <c r="N900" s="18">
        <v>45978.0</v>
      </c>
      <c r="O900" s="1" t="s">
        <v>3284</v>
      </c>
      <c r="P900" s="1" t="s">
        <v>3230</v>
      </c>
      <c r="Q900" s="1" t="s">
        <v>3408</v>
      </c>
    </row>
    <row r="901">
      <c r="A901" s="1" t="s">
        <v>4905</v>
      </c>
      <c r="B901" s="1">
        <v>34.0</v>
      </c>
      <c r="C901" s="1">
        <v>30.0</v>
      </c>
      <c r="D901" s="2" t="s">
        <v>1109</v>
      </c>
      <c r="E901" s="1">
        <v>34.0</v>
      </c>
      <c r="F901" s="1">
        <v>1.0</v>
      </c>
      <c r="G901" s="1">
        <v>2.5</v>
      </c>
      <c r="H901" s="1">
        <v>0.0</v>
      </c>
      <c r="I901" s="1">
        <v>0.0</v>
      </c>
      <c r="J901" s="1">
        <v>0.0</v>
      </c>
      <c r="K901" s="1">
        <v>0.3</v>
      </c>
      <c r="L901" s="1">
        <v>2.99E7</v>
      </c>
      <c r="M901" s="1" t="s">
        <v>4906</v>
      </c>
      <c r="N901" s="18">
        <v>45952.0</v>
      </c>
      <c r="O901" s="1" t="s">
        <v>3314</v>
      </c>
      <c r="P901" s="1" t="s">
        <v>3230</v>
      </c>
      <c r="Q901" s="1" t="s">
        <v>3408</v>
      </c>
    </row>
    <row r="902">
      <c r="A902" s="1" t="s">
        <v>4907</v>
      </c>
      <c r="B902" s="1">
        <v>35.0</v>
      </c>
      <c r="C902" s="1">
        <v>50.0</v>
      </c>
      <c r="D902" s="2" t="s">
        <v>515</v>
      </c>
      <c r="E902" s="1">
        <v>35.0</v>
      </c>
      <c r="F902" s="1">
        <v>1.0</v>
      </c>
      <c r="G902" s="1">
        <v>0.0</v>
      </c>
      <c r="H902" s="1">
        <v>0.0</v>
      </c>
      <c r="I902" s="1">
        <v>0.0</v>
      </c>
      <c r="J902" s="1">
        <v>0.0</v>
      </c>
      <c r="K902" s="1">
        <v>0.0</v>
      </c>
      <c r="L902" s="1">
        <v>1000000.0</v>
      </c>
      <c r="M902" s="1" t="s">
        <v>4908</v>
      </c>
      <c r="N902" s="18">
        <v>46032.0</v>
      </c>
      <c r="O902" s="1" t="s">
        <v>4909</v>
      </c>
      <c r="P902" s="1" t="s">
        <v>3334</v>
      </c>
      <c r="Q902" s="1" t="s">
        <v>3408</v>
      </c>
    </row>
    <row r="903">
      <c r="A903" s="1" t="s">
        <v>4910</v>
      </c>
      <c r="B903" s="1">
        <v>35.0</v>
      </c>
      <c r="C903" s="1">
        <v>40.0</v>
      </c>
      <c r="D903" s="2" t="s">
        <v>642</v>
      </c>
      <c r="E903" s="1">
        <v>35.0</v>
      </c>
      <c r="F903" s="1">
        <v>13.0</v>
      </c>
      <c r="G903" s="1">
        <v>0.0</v>
      </c>
      <c r="H903" s="1">
        <v>0.0</v>
      </c>
      <c r="I903" s="1">
        <v>0.0</v>
      </c>
      <c r="J903" s="1">
        <v>0.0</v>
      </c>
      <c r="K903" s="1">
        <v>0.0</v>
      </c>
      <c r="L903" s="1">
        <v>1560000.0</v>
      </c>
      <c r="M903" s="1" t="s">
        <v>4911</v>
      </c>
      <c r="N903" s="18">
        <v>46030.0</v>
      </c>
      <c r="O903" s="1" t="s">
        <v>3713</v>
      </c>
      <c r="P903" s="1" t="s">
        <v>3257</v>
      </c>
      <c r="Q903" s="1" t="s">
        <v>3408</v>
      </c>
    </row>
    <row r="904">
      <c r="A904" s="1" t="s">
        <v>3370</v>
      </c>
      <c r="B904" s="1">
        <v>35.0</v>
      </c>
      <c r="C904" s="1">
        <v>90.0</v>
      </c>
      <c r="D904" s="2" t="s">
        <v>1052</v>
      </c>
      <c r="E904" s="1">
        <v>35.0</v>
      </c>
      <c r="F904" s="1">
        <v>9.0</v>
      </c>
      <c r="G904" s="1">
        <v>0.0</v>
      </c>
      <c r="H904" s="1">
        <v>0.0</v>
      </c>
      <c r="I904" s="1">
        <v>0.0</v>
      </c>
      <c r="J904" s="1">
        <v>0.0</v>
      </c>
      <c r="K904" s="1">
        <v>0.0</v>
      </c>
      <c r="L904" s="1">
        <v>3.01E8</v>
      </c>
      <c r="M904" s="1" t="s">
        <v>3371</v>
      </c>
      <c r="N904" s="18">
        <v>46028.0</v>
      </c>
      <c r="O904" s="1" t="s">
        <v>3372</v>
      </c>
      <c r="P904" s="1" t="s">
        <v>3230</v>
      </c>
      <c r="Q904" s="1" t="s">
        <v>3408</v>
      </c>
    </row>
    <row r="905">
      <c r="A905" s="1" t="s">
        <v>4417</v>
      </c>
      <c r="B905" s="1">
        <v>35.0</v>
      </c>
      <c r="C905" s="1">
        <v>70.0</v>
      </c>
      <c r="D905" s="2" t="s">
        <v>581</v>
      </c>
      <c r="E905" s="1">
        <v>35.0</v>
      </c>
      <c r="F905" s="1">
        <v>37.0</v>
      </c>
      <c r="G905" s="1">
        <v>15.32</v>
      </c>
      <c r="H905" s="1">
        <v>0.0</v>
      </c>
      <c r="I905" s="1">
        <v>0.0</v>
      </c>
      <c r="J905" s="1">
        <v>0.0</v>
      </c>
      <c r="K905" s="1">
        <v>0.21</v>
      </c>
      <c r="L905" s="1">
        <v>237000.0</v>
      </c>
      <c r="M905" s="1" t="s">
        <v>4418</v>
      </c>
      <c r="N905" s="18">
        <v>46022.0</v>
      </c>
      <c r="O905" s="1" t="s">
        <v>3435</v>
      </c>
      <c r="P905" s="1" t="s">
        <v>3257</v>
      </c>
      <c r="Q905" s="1" t="s">
        <v>3408</v>
      </c>
    </row>
    <row r="906">
      <c r="A906" s="1" t="s">
        <v>3970</v>
      </c>
      <c r="B906" s="1">
        <v>35.0</v>
      </c>
      <c r="C906" s="1">
        <v>90.0</v>
      </c>
      <c r="D906" s="2" t="s">
        <v>659</v>
      </c>
      <c r="E906" s="1">
        <v>35.0</v>
      </c>
      <c r="F906" s="1">
        <v>22.0</v>
      </c>
      <c r="G906" s="1">
        <v>11.16</v>
      </c>
      <c r="H906" s="1">
        <v>0.0</v>
      </c>
      <c r="I906" s="1">
        <v>0.0</v>
      </c>
      <c r="J906" s="1">
        <v>0.0</v>
      </c>
      <c r="K906" s="1">
        <v>0.2</v>
      </c>
      <c r="L906" s="1">
        <v>63400.0</v>
      </c>
      <c r="M906" s="1" t="s">
        <v>3971</v>
      </c>
      <c r="N906" s="18">
        <v>46016.0</v>
      </c>
      <c r="O906" s="1" t="s">
        <v>3415</v>
      </c>
      <c r="P906" s="1" t="s">
        <v>3257</v>
      </c>
      <c r="Q906" s="1" t="s">
        <v>3408</v>
      </c>
    </row>
    <row r="907">
      <c r="A907" s="1" t="s">
        <v>4912</v>
      </c>
      <c r="B907" s="1">
        <v>35.0</v>
      </c>
      <c r="C907" s="1">
        <v>70.0</v>
      </c>
      <c r="D907" s="2" t="s">
        <v>726</v>
      </c>
      <c r="E907" s="1">
        <v>35.0</v>
      </c>
      <c r="F907" s="1">
        <v>17.0</v>
      </c>
      <c r="G907" s="1">
        <v>0.0</v>
      </c>
      <c r="H907" s="1">
        <v>0.0</v>
      </c>
      <c r="I907" s="1">
        <v>0.0</v>
      </c>
      <c r="J907" s="1">
        <v>0.0</v>
      </c>
      <c r="K907" s="1">
        <v>0.33</v>
      </c>
      <c r="L907" s="1">
        <v>4650000.0</v>
      </c>
      <c r="M907" s="1" t="s">
        <v>4913</v>
      </c>
      <c r="N907" s="18">
        <v>46015.0</v>
      </c>
      <c r="O907" s="1" t="s">
        <v>4643</v>
      </c>
      <c r="P907" s="1" t="s">
        <v>3257</v>
      </c>
      <c r="Q907" s="1" t="s">
        <v>3408</v>
      </c>
    </row>
    <row r="908">
      <c r="A908" s="1" t="s">
        <v>4914</v>
      </c>
      <c r="B908" s="1">
        <v>35.0</v>
      </c>
      <c r="C908" s="1">
        <v>70.0</v>
      </c>
      <c r="D908" s="2" t="s">
        <v>671</v>
      </c>
      <c r="E908" s="1">
        <v>35.0</v>
      </c>
      <c r="F908" s="1">
        <v>6.0</v>
      </c>
      <c r="G908" s="1">
        <v>0.0</v>
      </c>
      <c r="H908" s="1">
        <v>0.0</v>
      </c>
      <c r="I908" s="1">
        <v>0.0</v>
      </c>
      <c r="J908" s="1">
        <v>0.0</v>
      </c>
      <c r="K908" s="1">
        <v>0.33</v>
      </c>
      <c r="L908" s="1">
        <v>7670000.0</v>
      </c>
      <c r="M908" s="1" t="s">
        <v>4915</v>
      </c>
      <c r="N908" s="18">
        <v>46014.0</v>
      </c>
      <c r="O908" s="1" t="s">
        <v>4576</v>
      </c>
      <c r="P908" s="1" t="s">
        <v>3334</v>
      </c>
      <c r="Q908" s="1" t="s">
        <v>3408</v>
      </c>
    </row>
    <row r="909">
      <c r="A909" s="1" t="s">
        <v>4916</v>
      </c>
      <c r="B909" s="1">
        <v>35.0</v>
      </c>
      <c r="C909" s="1">
        <v>110.0</v>
      </c>
      <c r="D909" s="2" t="s">
        <v>2930</v>
      </c>
      <c r="E909" s="1">
        <v>35.0</v>
      </c>
      <c r="F909" s="1">
        <v>76.0</v>
      </c>
      <c r="G909" s="1">
        <v>0.0</v>
      </c>
      <c r="H909" s="1">
        <v>0.0</v>
      </c>
      <c r="I909" s="1">
        <v>0.0</v>
      </c>
      <c r="J909" s="1">
        <v>0.0</v>
      </c>
      <c r="K909" s="1">
        <v>0.0</v>
      </c>
      <c r="L909" s="1">
        <v>4380000.0</v>
      </c>
      <c r="M909" s="1" t="s">
        <v>4917</v>
      </c>
      <c r="N909" s="18">
        <v>46010.0</v>
      </c>
      <c r="O909" s="1" t="s">
        <v>4918</v>
      </c>
      <c r="P909" s="1" t="s">
        <v>4919</v>
      </c>
      <c r="Q909" s="1" t="s">
        <v>3408</v>
      </c>
    </row>
    <row r="910">
      <c r="A910" s="1" t="s">
        <v>4920</v>
      </c>
      <c r="B910" s="1">
        <v>35.0</v>
      </c>
      <c r="C910" s="1">
        <v>90.0</v>
      </c>
      <c r="D910" s="2" t="s">
        <v>776</v>
      </c>
      <c r="E910" s="1">
        <v>35.0</v>
      </c>
      <c r="F910" s="1">
        <v>21.0</v>
      </c>
      <c r="G910" s="1">
        <v>0.0</v>
      </c>
      <c r="H910" s="1">
        <v>0.0</v>
      </c>
      <c r="I910" s="1">
        <v>0.0</v>
      </c>
      <c r="J910" s="1">
        <v>0.0</v>
      </c>
      <c r="K910" s="1">
        <v>0.06</v>
      </c>
      <c r="L910" s="1">
        <v>8430000.0</v>
      </c>
      <c r="M910" s="1" t="s">
        <v>4921</v>
      </c>
      <c r="N910" s="18">
        <v>46008.0</v>
      </c>
      <c r="O910" s="1" t="s">
        <v>3264</v>
      </c>
      <c r="P910" s="1" t="s">
        <v>3257</v>
      </c>
      <c r="Q910" s="1" t="s">
        <v>3408</v>
      </c>
    </row>
    <row r="911">
      <c r="A911" s="1" t="s">
        <v>4922</v>
      </c>
      <c r="B911" s="1">
        <v>35.0</v>
      </c>
      <c r="C911" s="1">
        <v>170.0</v>
      </c>
      <c r="D911" s="2" t="s">
        <v>694</v>
      </c>
      <c r="E911" s="1">
        <v>35.0</v>
      </c>
      <c r="F911" s="1">
        <v>10.0</v>
      </c>
      <c r="G911" s="1">
        <v>0.3</v>
      </c>
      <c r="H911" s="1">
        <v>0.0</v>
      </c>
      <c r="I911" s="1">
        <v>0.0</v>
      </c>
      <c r="J911" s="1">
        <v>0.0</v>
      </c>
      <c r="K911" s="1">
        <v>0.13</v>
      </c>
      <c r="L911" s="1">
        <v>6510000.0</v>
      </c>
      <c r="M911" s="1" t="s">
        <v>4923</v>
      </c>
      <c r="N911" s="18">
        <v>46005.0</v>
      </c>
      <c r="O911" s="1" t="s">
        <v>3479</v>
      </c>
      <c r="P911" s="1" t="s">
        <v>3230</v>
      </c>
      <c r="Q911" s="1" t="s">
        <v>3408</v>
      </c>
    </row>
    <row r="912">
      <c r="A912" s="1" t="s">
        <v>3485</v>
      </c>
      <c r="B912" s="1">
        <v>35.0</v>
      </c>
      <c r="C912" s="1">
        <v>140.0</v>
      </c>
      <c r="D912" s="2" t="s">
        <v>439</v>
      </c>
      <c r="E912" s="1">
        <v>35.0</v>
      </c>
      <c r="F912" s="1">
        <v>4.0</v>
      </c>
      <c r="G912" s="1">
        <v>3.93</v>
      </c>
      <c r="H912" s="1">
        <v>0.0</v>
      </c>
      <c r="I912" s="1">
        <v>0.0</v>
      </c>
      <c r="J912" s="1">
        <v>0.0</v>
      </c>
      <c r="K912" s="1">
        <v>0.13</v>
      </c>
      <c r="L912" s="1">
        <v>7.71E7</v>
      </c>
      <c r="M912" s="1" t="s">
        <v>3486</v>
      </c>
      <c r="N912" s="18">
        <v>46004.0</v>
      </c>
      <c r="O912" s="1" t="s">
        <v>3487</v>
      </c>
      <c r="P912" s="1" t="s">
        <v>3257</v>
      </c>
      <c r="Q912" s="1" t="s">
        <v>3408</v>
      </c>
    </row>
    <row r="913">
      <c r="A913" s="1" t="s">
        <v>4924</v>
      </c>
      <c r="B913" s="1">
        <v>35.0</v>
      </c>
      <c r="C913" s="1">
        <v>40.0</v>
      </c>
      <c r="D913" s="2" t="s">
        <v>439</v>
      </c>
      <c r="E913" s="1">
        <v>35.0</v>
      </c>
      <c r="F913" s="1">
        <v>33.0</v>
      </c>
      <c r="G913" s="1">
        <v>5.16</v>
      </c>
      <c r="H913" s="1">
        <v>0.0</v>
      </c>
      <c r="I913" s="1">
        <v>0.0</v>
      </c>
      <c r="J913" s="1">
        <v>0.0</v>
      </c>
      <c r="K913" s="1">
        <v>0.27</v>
      </c>
      <c r="L913" s="1">
        <v>4440.0</v>
      </c>
      <c r="M913" s="1" t="s">
        <v>4925</v>
      </c>
      <c r="N913" s="18">
        <v>46003.0</v>
      </c>
      <c r="O913" s="1" t="s">
        <v>4926</v>
      </c>
      <c r="P913" s="1" t="s">
        <v>3294</v>
      </c>
      <c r="Q913" s="1" t="s">
        <v>3408</v>
      </c>
    </row>
    <row r="914">
      <c r="A914" s="1" t="s">
        <v>4927</v>
      </c>
      <c r="B914" s="1">
        <v>35.0</v>
      </c>
      <c r="C914" s="1">
        <v>50.0</v>
      </c>
      <c r="D914" s="2" t="s">
        <v>1941</v>
      </c>
      <c r="E914" s="1">
        <v>35.0</v>
      </c>
      <c r="F914" s="1">
        <v>13.0</v>
      </c>
      <c r="G914" s="1">
        <v>2.88</v>
      </c>
      <c r="H914" s="1">
        <v>0.0</v>
      </c>
      <c r="I914" s="1">
        <v>0.0</v>
      </c>
      <c r="J914" s="1">
        <v>0.0</v>
      </c>
      <c r="K914" s="1">
        <v>0.06</v>
      </c>
      <c r="L914" s="1">
        <v>2560000.0</v>
      </c>
      <c r="M914" s="1" t="s">
        <v>4928</v>
      </c>
      <c r="N914" s="18">
        <v>46000.0</v>
      </c>
      <c r="O914" s="1" t="s">
        <v>3237</v>
      </c>
      <c r="P914" s="1" t="s">
        <v>3230</v>
      </c>
      <c r="Q914" s="1" t="s">
        <v>3408</v>
      </c>
    </row>
    <row r="915">
      <c r="A915" s="1" t="s">
        <v>3794</v>
      </c>
      <c r="B915" s="1">
        <v>35.0</v>
      </c>
      <c r="C915" s="1">
        <v>210.0</v>
      </c>
      <c r="D915" s="2" t="s">
        <v>2988</v>
      </c>
      <c r="E915" s="1">
        <v>35.0</v>
      </c>
      <c r="F915" s="1">
        <v>16.0</v>
      </c>
      <c r="G915" s="1">
        <v>17.84</v>
      </c>
      <c r="H915" s="1">
        <v>0.0</v>
      </c>
      <c r="I915" s="1">
        <v>0.0</v>
      </c>
      <c r="J915" s="1">
        <v>0.0</v>
      </c>
      <c r="K915" s="1">
        <v>0.12</v>
      </c>
      <c r="L915" s="1">
        <v>8020000.0</v>
      </c>
      <c r="M915" s="1" t="s">
        <v>3795</v>
      </c>
      <c r="N915" s="18">
        <v>45997.0</v>
      </c>
      <c r="O915" s="1" t="s">
        <v>3435</v>
      </c>
      <c r="P915" s="1" t="s">
        <v>3257</v>
      </c>
      <c r="Q915" s="1" t="s">
        <v>3408</v>
      </c>
    </row>
    <row r="916">
      <c r="A916" s="1" t="s">
        <v>4929</v>
      </c>
      <c r="B916" s="1">
        <v>35.0</v>
      </c>
      <c r="C916" s="1">
        <v>260.0</v>
      </c>
      <c r="D916" s="2" t="s">
        <v>2930</v>
      </c>
      <c r="E916" s="1">
        <v>35.0</v>
      </c>
      <c r="F916" s="1">
        <v>34.0</v>
      </c>
      <c r="G916" s="1">
        <v>0.1</v>
      </c>
      <c r="H916" s="1">
        <v>0.0</v>
      </c>
      <c r="I916" s="1">
        <v>0.0</v>
      </c>
      <c r="J916" s="1">
        <v>0.0</v>
      </c>
      <c r="K916" s="1">
        <v>0.01</v>
      </c>
      <c r="L916" s="1">
        <v>6860000.0</v>
      </c>
      <c r="M916" s="1" t="s">
        <v>4930</v>
      </c>
      <c r="N916" s="18">
        <v>45997.0</v>
      </c>
      <c r="O916" s="1" t="s">
        <v>4217</v>
      </c>
      <c r="P916" s="1" t="s">
        <v>3230</v>
      </c>
      <c r="Q916" s="1" t="s">
        <v>3408</v>
      </c>
    </row>
    <row r="917">
      <c r="A917" s="1" t="s">
        <v>4931</v>
      </c>
      <c r="B917" s="1">
        <v>35.0</v>
      </c>
      <c r="C917" s="1">
        <v>140.0</v>
      </c>
      <c r="D917" s="2" t="s">
        <v>720</v>
      </c>
      <c r="E917" s="1">
        <v>35.0</v>
      </c>
      <c r="F917" s="1">
        <v>3.0</v>
      </c>
      <c r="G917" s="1">
        <v>20.22</v>
      </c>
      <c r="H917" s="1">
        <v>0.0</v>
      </c>
      <c r="I917" s="1">
        <v>0.0</v>
      </c>
      <c r="J917" s="1">
        <v>0.0</v>
      </c>
      <c r="K917" s="1">
        <v>0.13</v>
      </c>
      <c r="L917" s="1">
        <v>5310000.0</v>
      </c>
      <c r="M917" s="1" t="s">
        <v>4932</v>
      </c>
      <c r="N917" s="18">
        <v>45997.0</v>
      </c>
      <c r="O917" s="1" t="s">
        <v>3432</v>
      </c>
      <c r="P917" s="1" t="s">
        <v>3257</v>
      </c>
      <c r="Q917" s="1" t="s">
        <v>3408</v>
      </c>
    </row>
    <row r="918">
      <c r="A918" s="1" t="s">
        <v>3855</v>
      </c>
      <c r="B918" s="1">
        <v>35.0</v>
      </c>
      <c r="C918" s="1">
        <v>140.0</v>
      </c>
      <c r="D918" s="2" t="s">
        <v>2988</v>
      </c>
      <c r="E918" s="1">
        <v>35.0</v>
      </c>
      <c r="F918" s="1">
        <v>21.0</v>
      </c>
      <c r="G918" s="1">
        <v>17.84</v>
      </c>
      <c r="H918" s="1">
        <v>0.0</v>
      </c>
      <c r="I918" s="1">
        <v>0.0</v>
      </c>
      <c r="J918" s="1">
        <v>0.0</v>
      </c>
      <c r="K918" s="1">
        <v>0.12</v>
      </c>
      <c r="L918" s="1">
        <v>4170000.0</v>
      </c>
      <c r="M918" s="1" t="s">
        <v>3856</v>
      </c>
      <c r="N918" s="18">
        <v>45993.0</v>
      </c>
      <c r="O918" s="1" t="s">
        <v>3673</v>
      </c>
      <c r="P918" s="1" t="s">
        <v>3257</v>
      </c>
      <c r="Q918" s="1" t="s">
        <v>3408</v>
      </c>
    </row>
    <row r="919">
      <c r="A919" s="1" t="s">
        <v>4933</v>
      </c>
      <c r="B919" s="1">
        <v>35.0</v>
      </c>
      <c r="C919" s="1">
        <v>70.0</v>
      </c>
      <c r="D919" s="2" t="s">
        <v>636</v>
      </c>
      <c r="E919" s="1">
        <v>35.0</v>
      </c>
      <c r="F919" s="1">
        <v>20.0</v>
      </c>
      <c r="G919" s="1">
        <v>5.53</v>
      </c>
      <c r="H919" s="1">
        <v>0.0</v>
      </c>
      <c r="I919" s="1">
        <v>0.0</v>
      </c>
      <c r="J919" s="1">
        <v>0.0</v>
      </c>
      <c r="K919" s="1">
        <v>0.29</v>
      </c>
      <c r="L919" s="1">
        <v>390000.0</v>
      </c>
      <c r="M919" s="1" t="s">
        <v>4934</v>
      </c>
      <c r="N919" s="18">
        <v>45992.0</v>
      </c>
      <c r="O919" s="1" t="s">
        <v>4763</v>
      </c>
      <c r="P919" s="1" t="s">
        <v>3230</v>
      </c>
      <c r="Q919" s="1" t="s">
        <v>3408</v>
      </c>
    </row>
    <row r="920">
      <c r="A920" s="1" t="s">
        <v>4935</v>
      </c>
      <c r="B920" s="1">
        <v>35.0</v>
      </c>
      <c r="C920" s="1">
        <v>390.0</v>
      </c>
      <c r="D920" s="2" t="s">
        <v>2930</v>
      </c>
      <c r="E920" s="1">
        <v>35.0</v>
      </c>
      <c r="F920" s="1">
        <v>58.0</v>
      </c>
      <c r="G920" s="1">
        <v>0.0</v>
      </c>
      <c r="H920" s="1">
        <v>0.0</v>
      </c>
      <c r="I920" s="1">
        <v>0.0</v>
      </c>
      <c r="J920" s="1">
        <v>0.0</v>
      </c>
      <c r="K920" s="1">
        <v>0.0</v>
      </c>
      <c r="L920" s="1">
        <v>3720000.0</v>
      </c>
      <c r="M920" s="1" t="s">
        <v>4936</v>
      </c>
      <c r="N920" s="18">
        <v>45989.0</v>
      </c>
      <c r="O920" s="1" t="s">
        <v>4278</v>
      </c>
      <c r="P920" s="1" t="s">
        <v>3294</v>
      </c>
      <c r="Q920" s="1" t="s">
        <v>3408</v>
      </c>
    </row>
    <row r="921">
      <c r="A921" s="1" t="s">
        <v>4937</v>
      </c>
      <c r="B921" s="1">
        <v>35.0</v>
      </c>
      <c r="C921" s="1">
        <v>30.0</v>
      </c>
      <c r="D921" s="2" t="s">
        <v>837</v>
      </c>
      <c r="E921" s="1">
        <v>35.0</v>
      </c>
      <c r="F921" s="1">
        <v>8.0</v>
      </c>
      <c r="G921" s="1">
        <v>77.1</v>
      </c>
      <c r="H921" s="1">
        <v>0.0</v>
      </c>
      <c r="I921" s="1">
        <v>0.0</v>
      </c>
      <c r="J921" s="1">
        <v>0.0</v>
      </c>
      <c r="K921" s="1">
        <v>0.02</v>
      </c>
      <c r="L921" s="1">
        <v>87200.0</v>
      </c>
      <c r="M921" s="1" t="s">
        <v>4938</v>
      </c>
      <c r="N921" s="18">
        <v>45988.0</v>
      </c>
      <c r="O921" s="1" t="s">
        <v>3482</v>
      </c>
      <c r="P921" s="1" t="s">
        <v>3257</v>
      </c>
      <c r="Q921" s="1" t="s">
        <v>3408</v>
      </c>
    </row>
    <row r="922">
      <c r="A922" s="1" t="s">
        <v>4939</v>
      </c>
      <c r="B922" s="1">
        <v>35.0</v>
      </c>
      <c r="C922" s="1">
        <v>30.0</v>
      </c>
      <c r="D922" s="2" t="s">
        <v>439</v>
      </c>
      <c r="E922" s="1">
        <v>35.0</v>
      </c>
      <c r="F922" s="1">
        <v>15.0</v>
      </c>
      <c r="G922" s="1">
        <v>6.57</v>
      </c>
      <c r="H922" s="1">
        <v>0.0</v>
      </c>
      <c r="I922" s="1">
        <v>0.0</v>
      </c>
      <c r="J922" s="1">
        <v>0.0</v>
      </c>
      <c r="K922" s="1">
        <v>0.49</v>
      </c>
      <c r="L922" s="1">
        <v>8.0</v>
      </c>
      <c r="M922" s="1" t="s">
        <v>4940</v>
      </c>
      <c r="N922" s="18">
        <v>45979.0</v>
      </c>
      <c r="O922" s="1" t="s">
        <v>4941</v>
      </c>
      <c r="Q922" s="1" t="s">
        <v>3408</v>
      </c>
    </row>
    <row r="923">
      <c r="A923" s="1" t="s">
        <v>4942</v>
      </c>
      <c r="B923" s="1">
        <v>36.0</v>
      </c>
      <c r="C923" s="1">
        <v>70.0</v>
      </c>
      <c r="D923" s="2" t="s">
        <v>581</v>
      </c>
      <c r="E923" s="1">
        <v>81.0</v>
      </c>
      <c r="F923" s="1">
        <v>7.0</v>
      </c>
      <c r="G923" s="1">
        <v>1.94</v>
      </c>
      <c r="H923" s="1">
        <v>0.0</v>
      </c>
      <c r="I923" s="1">
        <v>0.0</v>
      </c>
      <c r="J923" s="1">
        <v>0.0</v>
      </c>
      <c r="K923" s="1">
        <v>0.11</v>
      </c>
      <c r="L923" s="1">
        <v>9.23E7</v>
      </c>
      <c r="M923" s="1" t="s">
        <v>4943</v>
      </c>
      <c r="N923" s="18">
        <v>46042.0</v>
      </c>
      <c r="O923" s="1" t="s">
        <v>4944</v>
      </c>
      <c r="P923" s="1" t="s">
        <v>3230</v>
      </c>
      <c r="Q923" s="1" t="s">
        <v>3408</v>
      </c>
    </row>
    <row r="924">
      <c r="A924" s="1" t="s">
        <v>4945</v>
      </c>
      <c r="B924" s="1">
        <v>36.0</v>
      </c>
      <c r="C924" s="1">
        <v>210.0</v>
      </c>
      <c r="D924" s="2" t="s">
        <v>638</v>
      </c>
      <c r="E924" s="1">
        <v>35.0</v>
      </c>
      <c r="F924" s="1">
        <v>1.0</v>
      </c>
      <c r="G924" s="1">
        <v>1.31</v>
      </c>
      <c r="H924" s="1">
        <v>0.0</v>
      </c>
      <c r="I924" s="1">
        <v>0.0</v>
      </c>
      <c r="J924" s="1">
        <v>0.0</v>
      </c>
      <c r="K924" s="1">
        <v>0.19</v>
      </c>
      <c r="L924" s="1">
        <v>884000.0</v>
      </c>
      <c r="M924" s="1" t="s">
        <v>4946</v>
      </c>
      <c r="N924" s="18">
        <v>46042.0</v>
      </c>
      <c r="O924" s="1" t="s">
        <v>3284</v>
      </c>
      <c r="P924" s="1" t="s">
        <v>3230</v>
      </c>
      <c r="Q924" s="1" t="s">
        <v>3408</v>
      </c>
    </row>
    <row r="925">
      <c r="A925" s="1" t="s">
        <v>4947</v>
      </c>
      <c r="B925" s="1">
        <v>36.0</v>
      </c>
      <c r="C925" s="1">
        <v>40.0</v>
      </c>
      <c r="D925" s="2" t="s">
        <v>581</v>
      </c>
      <c r="E925" s="1">
        <v>0.0</v>
      </c>
      <c r="F925" s="1">
        <v>19.0</v>
      </c>
      <c r="G925" s="1">
        <v>5.34</v>
      </c>
      <c r="H925" s="1">
        <v>0.0</v>
      </c>
      <c r="I925" s="1">
        <v>0.0</v>
      </c>
      <c r="J925" s="1">
        <v>0.0</v>
      </c>
      <c r="K925" s="1">
        <v>0.87</v>
      </c>
      <c r="L925" s="1">
        <v>6000000.0</v>
      </c>
      <c r="M925" s="1" t="s">
        <v>4948</v>
      </c>
      <c r="N925" s="18">
        <v>46042.0</v>
      </c>
      <c r="O925" s="1" t="s">
        <v>4331</v>
      </c>
      <c r="P925" s="1" t="s">
        <v>3257</v>
      </c>
      <c r="Q925" s="1" t="s">
        <v>3408</v>
      </c>
    </row>
    <row r="926">
      <c r="A926" s="1" t="s">
        <v>3253</v>
      </c>
      <c r="B926" s="1">
        <v>36.0</v>
      </c>
      <c r="C926" s="1">
        <v>40.0</v>
      </c>
      <c r="D926" s="2" t="s">
        <v>1010</v>
      </c>
      <c r="E926" s="1">
        <v>36.0</v>
      </c>
      <c r="F926" s="1">
        <v>36.0</v>
      </c>
      <c r="G926" s="1">
        <v>12.07</v>
      </c>
      <c r="H926" s="1">
        <v>0.0</v>
      </c>
      <c r="I926" s="1">
        <v>0.0</v>
      </c>
      <c r="J926" s="1">
        <v>0.0</v>
      </c>
      <c r="K926" s="1">
        <v>0.52</v>
      </c>
      <c r="L926" s="1">
        <v>63600.0</v>
      </c>
      <c r="M926" s="1" t="s">
        <v>3255</v>
      </c>
      <c r="N926" s="18">
        <v>46041.0</v>
      </c>
      <c r="O926" s="1" t="s">
        <v>3256</v>
      </c>
      <c r="P926" s="1" t="s">
        <v>3257</v>
      </c>
      <c r="Q926" s="1" t="s">
        <v>3408</v>
      </c>
    </row>
    <row r="927">
      <c r="A927" s="1" t="s">
        <v>4949</v>
      </c>
      <c r="B927" s="1">
        <v>36.0</v>
      </c>
      <c r="C927" s="1">
        <v>50.0</v>
      </c>
      <c r="D927" s="2" t="s">
        <v>1109</v>
      </c>
      <c r="E927" s="1">
        <v>36.0</v>
      </c>
      <c r="F927" s="1">
        <v>5.0</v>
      </c>
      <c r="G927" s="1">
        <v>3.09</v>
      </c>
      <c r="H927" s="1">
        <v>0.0</v>
      </c>
      <c r="I927" s="1">
        <v>0.0</v>
      </c>
      <c r="J927" s="1">
        <v>0.0</v>
      </c>
      <c r="K927" s="1">
        <v>0.2</v>
      </c>
      <c r="L927" s="1">
        <v>8320000.0</v>
      </c>
      <c r="M927" s="1" t="s">
        <v>4950</v>
      </c>
      <c r="N927" s="18">
        <v>46038.0</v>
      </c>
      <c r="O927" s="1" t="s">
        <v>3237</v>
      </c>
      <c r="P927" s="1" t="s">
        <v>3334</v>
      </c>
      <c r="Q927" s="1" t="s">
        <v>3408</v>
      </c>
    </row>
    <row r="928">
      <c r="A928" s="1" t="s">
        <v>4951</v>
      </c>
      <c r="B928" s="1">
        <v>36.0</v>
      </c>
      <c r="C928" s="1">
        <v>260.0</v>
      </c>
      <c r="D928" s="2" t="s">
        <v>1431</v>
      </c>
      <c r="E928" s="1">
        <v>36.0</v>
      </c>
      <c r="F928" s="1">
        <v>9.0</v>
      </c>
      <c r="G928" s="1">
        <v>6.92</v>
      </c>
      <c r="H928" s="1">
        <v>0.0</v>
      </c>
      <c r="I928" s="1">
        <v>0.0</v>
      </c>
      <c r="J928" s="1">
        <v>0.0</v>
      </c>
      <c r="K928" s="1">
        <v>0.27</v>
      </c>
      <c r="L928" s="1">
        <v>1240000.0</v>
      </c>
      <c r="M928" s="1" t="s">
        <v>4952</v>
      </c>
      <c r="N928" s="18">
        <v>46033.0</v>
      </c>
      <c r="O928" s="1" t="s">
        <v>3264</v>
      </c>
      <c r="P928" s="1" t="s">
        <v>3230</v>
      </c>
      <c r="Q928" s="1" t="s">
        <v>3408</v>
      </c>
    </row>
    <row r="929">
      <c r="A929" s="1" t="s">
        <v>4953</v>
      </c>
      <c r="B929" s="1">
        <v>36.0</v>
      </c>
      <c r="C929" s="1">
        <v>30.0</v>
      </c>
      <c r="D929" s="2" t="s">
        <v>581</v>
      </c>
      <c r="E929" s="1">
        <v>36.0</v>
      </c>
      <c r="F929" s="1">
        <v>20.0</v>
      </c>
      <c r="G929" s="1">
        <v>3.2</v>
      </c>
      <c r="H929" s="1">
        <v>0.0</v>
      </c>
      <c r="I929" s="1">
        <v>0.0</v>
      </c>
      <c r="J929" s="1">
        <v>0.0</v>
      </c>
      <c r="K929" s="1">
        <v>0.56</v>
      </c>
      <c r="L929" s="1">
        <v>202000.0</v>
      </c>
      <c r="M929" s="1" t="s">
        <v>4954</v>
      </c>
      <c r="N929" s="18">
        <v>46031.0</v>
      </c>
      <c r="O929" s="1" t="s">
        <v>4955</v>
      </c>
      <c r="P929" s="1" t="s">
        <v>3294</v>
      </c>
      <c r="Q929" s="1" t="s">
        <v>3408</v>
      </c>
    </row>
    <row r="930">
      <c r="A930" s="1" t="s">
        <v>4956</v>
      </c>
      <c r="B930" s="1">
        <v>36.0</v>
      </c>
      <c r="C930" s="1">
        <v>50.0</v>
      </c>
      <c r="D930" s="2" t="s">
        <v>581</v>
      </c>
      <c r="E930" s="1">
        <v>36.0</v>
      </c>
      <c r="F930" s="1">
        <v>0.0</v>
      </c>
      <c r="G930" s="1">
        <v>0.0</v>
      </c>
      <c r="H930" s="1">
        <v>0.0</v>
      </c>
      <c r="I930" s="1">
        <v>0.0</v>
      </c>
      <c r="J930" s="1">
        <v>0.0</v>
      </c>
      <c r="K930" s="1">
        <v>0.33</v>
      </c>
      <c r="L930" s="1">
        <v>5070000.0</v>
      </c>
      <c r="M930" s="1" t="s">
        <v>4957</v>
      </c>
      <c r="N930" s="18">
        <v>46031.0</v>
      </c>
      <c r="O930" s="1" t="s">
        <v>3258</v>
      </c>
      <c r="P930" s="1" t="s">
        <v>3257</v>
      </c>
      <c r="Q930" s="1" t="s">
        <v>3408</v>
      </c>
    </row>
    <row r="931">
      <c r="A931" s="1" t="s">
        <v>4958</v>
      </c>
      <c r="B931" s="1">
        <v>36.0</v>
      </c>
      <c r="C931" s="1">
        <v>50.0</v>
      </c>
      <c r="D931" s="2" t="s">
        <v>726</v>
      </c>
      <c r="E931" s="1">
        <v>36.0</v>
      </c>
      <c r="F931" s="1">
        <v>19.0</v>
      </c>
      <c r="G931" s="1">
        <v>0.0</v>
      </c>
      <c r="H931" s="1">
        <v>0.0</v>
      </c>
      <c r="I931" s="1">
        <v>0.0</v>
      </c>
      <c r="J931" s="1">
        <v>0.0</v>
      </c>
      <c r="K931" s="1">
        <v>0.0</v>
      </c>
      <c r="L931" s="1">
        <v>5270000.0</v>
      </c>
      <c r="M931" s="1" t="s">
        <v>4959</v>
      </c>
      <c r="N931" s="18">
        <v>46030.0</v>
      </c>
      <c r="O931" s="1" t="s">
        <v>4134</v>
      </c>
      <c r="P931" s="1" t="s">
        <v>3257</v>
      </c>
      <c r="Q931" s="1" t="s">
        <v>3408</v>
      </c>
    </row>
    <row r="932">
      <c r="A932" s="1" t="s">
        <v>4960</v>
      </c>
      <c r="B932" s="1">
        <v>36.0</v>
      </c>
      <c r="C932" s="1">
        <v>40.0</v>
      </c>
      <c r="D932" s="2" t="s">
        <v>2957</v>
      </c>
      <c r="E932" s="1">
        <v>36.0</v>
      </c>
      <c r="F932" s="1">
        <v>0.0</v>
      </c>
      <c r="G932" s="1">
        <v>0.0</v>
      </c>
      <c r="H932" s="1">
        <v>0.0</v>
      </c>
      <c r="I932" s="1">
        <v>0.0</v>
      </c>
      <c r="J932" s="1">
        <v>0.0</v>
      </c>
      <c r="K932" s="1">
        <v>0.0</v>
      </c>
      <c r="L932" s="1">
        <v>5.4E7</v>
      </c>
      <c r="M932" s="1" t="s">
        <v>4961</v>
      </c>
      <c r="N932" s="18">
        <v>46028.0</v>
      </c>
      <c r="O932" s="1" t="s">
        <v>4962</v>
      </c>
      <c r="P932" s="1" t="s">
        <v>3334</v>
      </c>
      <c r="Q932" s="1" t="s">
        <v>3408</v>
      </c>
    </row>
    <row r="933">
      <c r="A933" s="1" t="s">
        <v>4963</v>
      </c>
      <c r="B933" s="1">
        <v>36.0</v>
      </c>
      <c r="C933" s="1">
        <v>90.0</v>
      </c>
      <c r="D933" s="2" t="s">
        <v>439</v>
      </c>
      <c r="E933" s="1">
        <v>36.0</v>
      </c>
      <c r="F933" s="1">
        <v>23.0</v>
      </c>
      <c r="G933" s="1">
        <v>0.0</v>
      </c>
      <c r="H933" s="1">
        <v>0.0</v>
      </c>
      <c r="I933" s="1">
        <v>0.0</v>
      </c>
      <c r="J933" s="1">
        <v>0.0</v>
      </c>
      <c r="K933" s="1">
        <v>0.05</v>
      </c>
      <c r="L933" s="1">
        <v>809.0</v>
      </c>
      <c r="M933" s="1" t="s">
        <v>4964</v>
      </c>
      <c r="N933" s="18">
        <v>46027.0</v>
      </c>
      <c r="O933" s="1" t="s">
        <v>4965</v>
      </c>
      <c r="P933" s="1" t="s">
        <v>3294</v>
      </c>
      <c r="Q933" s="1" t="s">
        <v>3408</v>
      </c>
    </row>
    <row r="934">
      <c r="A934" s="1" t="s">
        <v>4966</v>
      </c>
      <c r="B934" s="1">
        <v>36.0</v>
      </c>
      <c r="C934" s="1">
        <v>40.0</v>
      </c>
      <c r="D934" s="2" t="s">
        <v>1166</v>
      </c>
      <c r="E934" s="1">
        <v>36.0</v>
      </c>
      <c r="F934" s="1">
        <v>9.0</v>
      </c>
      <c r="G934" s="1">
        <v>0.0</v>
      </c>
      <c r="H934" s="1">
        <v>0.0</v>
      </c>
      <c r="I934" s="1">
        <v>0.0</v>
      </c>
      <c r="J934" s="1">
        <v>0.0</v>
      </c>
      <c r="K934" s="1">
        <v>0.0</v>
      </c>
      <c r="L934" s="1">
        <v>104000.0</v>
      </c>
      <c r="M934" s="1" t="s">
        <v>4967</v>
      </c>
      <c r="N934" s="18">
        <v>46024.0</v>
      </c>
      <c r="O934" s="1" t="s">
        <v>3713</v>
      </c>
      <c r="P934" s="1" t="s">
        <v>3334</v>
      </c>
      <c r="Q934" s="1" t="s">
        <v>3408</v>
      </c>
    </row>
    <row r="935">
      <c r="A935" s="1" t="s">
        <v>4968</v>
      </c>
      <c r="B935" s="1">
        <v>36.0</v>
      </c>
      <c r="C935" s="1">
        <v>50.0</v>
      </c>
      <c r="D935" s="2" t="s">
        <v>2247</v>
      </c>
      <c r="E935" s="1">
        <v>36.0</v>
      </c>
      <c r="G935" s="1">
        <v>0.0</v>
      </c>
      <c r="H935" s="1">
        <v>0.0</v>
      </c>
      <c r="I935" s="1">
        <v>0.0</v>
      </c>
      <c r="J935" s="1">
        <v>0.0</v>
      </c>
      <c r="K935" s="1">
        <v>0.33</v>
      </c>
      <c r="L935" s="1">
        <v>3910000.0</v>
      </c>
      <c r="M935" s="1" t="s">
        <v>4969</v>
      </c>
      <c r="N935" s="18">
        <v>46023.0</v>
      </c>
      <c r="O935" s="1" t="s">
        <v>3499</v>
      </c>
      <c r="P935" s="1" t="s">
        <v>3230</v>
      </c>
      <c r="Q935" s="1" t="s">
        <v>3408</v>
      </c>
    </row>
    <row r="936">
      <c r="A936" s="1" t="s">
        <v>4970</v>
      </c>
      <c r="B936" s="1">
        <v>36.0</v>
      </c>
      <c r="C936" s="1">
        <v>90.0</v>
      </c>
      <c r="D936" s="2" t="s">
        <v>439</v>
      </c>
      <c r="E936" s="1">
        <v>36.0</v>
      </c>
      <c r="F936" s="1">
        <v>26.0</v>
      </c>
      <c r="G936" s="1">
        <v>1.41</v>
      </c>
      <c r="H936" s="1">
        <v>0.0</v>
      </c>
      <c r="I936" s="1">
        <v>0.0</v>
      </c>
      <c r="J936" s="1">
        <v>0.0</v>
      </c>
      <c r="K936" s="1">
        <v>0.29</v>
      </c>
      <c r="L936" s="1">
        <v>15000.0</v>
      </c>
      <c r="M936" s="1" t="s">
        <v>4971</v>
      </c>
      <c r="N936" s="18">
        <v>46023.0</v>
      </c>
      <c r="O936" s="1" t="s">
        <v>3821</v>
      </c>
      <c r="P936" s="1" t="s">
        <v>3294</v>
      </c>
      <c r="Q936" s="1" t="s">
        <v>3408</v>
      </c>
    </row>
    <row r="937">
      <c r="A937" s="1" t="s">
        <v>4972</v>
      </c>
      <c r="B937" s="1">
        <v>36.0</v>
      </c>
      <c r="C937" s="1">
        <v>90.0</v>
      </c>
      <c r="D937" s="2" t="s">
        <v>1543</v>
      </c>
      <c r="E937" s="1">
        <v>36.0</v>
      </c>
      <c r="F937" s="1">
        <v>0.0</v>
      </c>
      <c r="G937" s="1">
        <v>18.33</v>
      </c>
      <c r="H937" s="1">
        <v>0.0</v>
      </c>
      <c r="I937" s="1">
        <v>0.0</v>
      </c>
      <c r="J937" s="1">
        <v>0.0</v>
      </c>
      <c r="K937" s="1">
        <v>0.17</v>
      </c>
      <c r="L937" s="1">
        <v>247000.0</v>
      </c>
      <c r="M937" s="1" t="s">
        <v>4973</v>
      </c>
      <c r="N937" s="18">
        <v>46018.0</v>
      </c>
      <c r="O937" s="1" t="s">
        <v>3479</v>
      </c>
      <c r="P937" s="1" t="s">
        <v>3334</v>
      </c>
      <c r="Q937" s="1" t="s">
        <v>3408</v>
      </c>
    </row>
    <row r="938">
      <c r="A938" s="1" t="s">
        <v>4974</v>
      </c>
      <c r="B938" s="1">
        <v>36.0</v>
      </c>
      <c r="C938" s="1">
        <v>110.0</v>
      </c>
      <c r="D938" s="2" t="s">
        <v>2930</v>
      </c>
      <c r="E938" s="1">
        <v>36.0</v>
      </c>
      <c r="F938" s="1">
        <v>50.0</v>
      </c>
      <c r="G938" s="1">
        <v>0.0</v>
      </c>
      <c r="H938" s="1">
        <v>0.0</v>
      </c>
      <c r="I938" s="1">
        <v>0.0</v>
      </c>
      <c r="J938" s="1">
        <v>0.0</v>
      </c>
      <c r="K938" s="1">
        <v>0.01</v>
      </c>
      <c r="L938" s="1">
        <v>1.34E8</v>
      </c>
      <c r="M938" s="1" t="s">
        <v>4975</v>
      </c>
      <c r="N938" s="18">
        <v>46017.0</v>
      </c>
      <c r="O938" s="1" t="s">
        <v>4217</v>
      </c>
      <c r="P938" s="1" t="s">
        <v>3230</v>
      </c>
      <c r="Q938" s="1" t="s">
        <v>3408</v>
      </c>
    </row>
    <row r="939">
      <c r="A939" s="1" t="s">
        <v>4976</v>
      </c>
      <c r="B939" s="1">
        <v>36.0</v>
      </c>
      <c r="C939" s="1">
        <v>70.0</v>
      </c>
      <c r="D939" s="2" t="s">
        <v>581</v>
      </c>
      <c r="E939" s="1">
        <v>36.0</v>
      </c>
      <c r="F939" s="1">
        <v>5.0</v>
      </c>
      <c r="G939" s="1">
        <v>0.0</v>
      </c>
      <c r="H939" s="1">
        <v>0.0</v>
      </c>
      <c r="I939" s="1">
        <v>0.0</v>
      </c>
      <c r="J939" s="1">
        <v>0.0</v>
      </c>
      <c r="K939" s="1">
        <v>0.0</v>
      </c>
      <c r="L939" s="1">
        <v>4960000.0</v>
      </c>
      <c r="M939" s="1" t="s">
        <v>4977</v>
      </c>
      <c r="N939" s="18">
        <v>46012.0</v>
      </c>
      <c r="O939" s="1" t="s">
        <v>4978</v>
      </c>
      <c r="P939" s="1" t="s">
        <v>3230</v>
      </c>
      <c r="Q939" s="1" t="s">
        <v>3408</v>
      </c>
    </row>
    <row r="940">
      <c r="A940" s="1" t="s">
        <v>4979</v>
      </c>
      <c r="B940" s="1">
        <v>36.0</v>
      </c>
      <c r="C940" s="1">
        <v>90.0</v>
      </c>
      <c r="D940" s="2" t="s">
        <v>2930</v>
      </c>
      <c r="E940" s="1">
        <v>36.0</v>
      </c>
      <c r="F940" s="1">
        <v>29.0</v>
      </c>
      <c r="G940" s="1">
        <v>0.0</v>
      </c>
      <c r="H940" s="1">
        <v>0.0</v>
      </c>
      <c r="I940" s="1">
        <v>0.0</v>
      </c>
      <c r="J940" s="1">
        <v>0.0</v>
      </c>
      <c r="K940" s="1">
        <v>0.02</v>
      </c>
      <c r="L940" s="1">
        <v>2490000.0</v>
      </c>
      <c r="M940" s="1" t="s">
        <v>4980</v>
      </c>
      <c r="N940" s="18">
        <v>46011.0</v>
      </c>
      <c r="O940" s="1" t="s">
        <v>3840</v>
      </c>
      <c r="P940" s="1" t="s">
        <v>3230</v>
      </c>
      <c r="Q940" s="1" t="s">
        <v>3408</v>
      </c>
    </row>
    <row r="941">
      <c r="A941" s="1" t="s">
        <v>4981</v>
      </c>
      <c r="B941" s="1">
        <v>36.0</v>
      </c>
      <c r="C941" s="1">
        <v>90.0</v>
      </c>
      <c r="D941" s="2" t="s">
        <v>726</v>
      </c>
      <c r="E941" s="1">
        <v>36.0</v>
      </c>
      <c r="F941" s="1">
        <v>17.0</v>
      </c>
      <c r="G941" s="1">
        <v>0.0</v>
      </c>
      <c r="H941" s="1">
        <v>0.0</v>
      </c>
      <c r="I941" s="1">
        <v>0.0</v>
      </c>
      <c r="J941" s="1">
        <v>0.0</v>
      </c>
      <c r="K941" s="1">
        <v>0.0</v>
      </c>
      <c r="L941" s="1">
        <v>1950000.0</v>
      </c>
      <c r="M941" s="1" t="s">
        <v>4982</v>
      </c>
      <c r="N941" s="18">
        <v>46011.0</v>
      </c>
      <c r="O941" s="1" t="s">
        <v>4983</v>
      </c>
      <c r="P941" s="1" t="s">
        <v>3257</v>
      </c>
      <c r="Q941" s="1" t="s">
        <v>3408</v>
      </c>
    </row>
    <row r="942">
      <c r="A942" s="1" t="s">
        <v>4984</v>
      </c>
      <c r="B942" s="1">
        <v>36.0</v>
      </c>
      <c r="C942" s="1">
        <v>90.0</v>
      </c>
      <c r="D942" s="2" t="s">
        <v>2930</v>
      </c>
      <c r="E942" s="1">
        <v>36.0</v>
      </c>
      <c r="F942" s="1">
        <v>33.0</v>
      </c>
      <c r="G942" s="1">
        <v>1.52</v>
      </c>
      <c r="H942" s="1">
        <v>0.0</v>
      </c>
      <c r="I942" s="1">
        <v>0.0</v>
      </c>
      <c r="J942" s="1">
        <v>0.0</v>
      </c>
      <c r="K942" s="1">
        <v>0.0</v>
      </c>
      <c r="L942" s="1">
        <v>1500000.0</v>
      </c>
      <c r="M942" s="1" t="s">
        <v>4985</v>
      </c>
      <c r="N942" s="18">
        <v>46006.0</v>
      </c>
      <c r="O942" s="1" t="s">
        <v>4918</v>
      </c>
      <c r="P942" s="1" t="s">
        <v>3230</v>
      </c>
      <c r="Q942" s="1" t="s">
        <v>3408</v>
      </c>
    </row>
    <row r="943">
      <c r="A943" s="1" t="s">
        <v>4986</v>
      </c>
      <c r="B943" s="1">
        <v>36.0</v>
      </c>
      <c r="C943" s="1">
        <v>110.0</v>
      </c>
      <c r="D943" s="2" t="s">
        <v>2930</v>
      </c>
      <c r="E943" s="1">
        <v>36.0</v>
      </c>
      <c r="F943" s="1">
        <v>32.0</v>
      </c>
      <c r="G943" s="1">
        <v>0.0</v>
      </c>
      <c r="H943" s="1">
        <v>0.0</v>
      </c>
      <c r="I943" s="1">
        <v>0.0</v>
      </c>
      <c r="J943" s="1">
        <v>0.0</v>
      </c>
      <c r="K943" s="1">
        <v>0.0</v>
      </c>
      <c r="L943" s="1">
        <v>1690000.0</v>
      </c>
      <c r="M943" s="1" t="s">
        <v>4987</v>
      </c>
      <c r="N943" s="18">
        <v>46004.0</v>
      </c>
      <c r="O943" s="1" t="s">
        <v>3920</v>
      </c>
      <c r="P943" s="1" t="s">
        <v>3230</v>
      </c>
      <c r="Q943" s="1" t="s">
        <v>3408</v>
      </c>
    </row>
    <row r="944">
      <c r="A944" s="1" t="s">
        <v>4988</v>
      </c>
      <c r="B944" s="1">
        <v>36.0</v>
      </c>
      <c r="C944" s="1">
        <v>50.0</v>
      </c>
      <c r="D944" s="2" t="s">
        <v>2247</v>
      </c>
      <c r="E944" s="1">
        <v>36.0</v>
      </c>
      <c r="F944" s="1">
        <v>20.0</v>
      </c>
      <c r="G944" s="1">
        <v>0.0</v>
      </c>
      <c r="H944" s="1">
        <v>0.0</v>
      </c>
      <c r="I944" s="1">
        <v>0.0</v>
      </c>
      <c r="J944" s="1">
        <v>0.0</v>
      </c>
      <c r="K944" s="1">
        <v>0.0</v>
      </c>
      <c r="L944" s="1">
        <v>1170000.0</v>
      </c>
      <c r="M944" s="1" t="s">
        <v>4989</v>
      </c>
      <c r="N944" s="18">
        <v>46003.0</v>
      </c>
      <c r="O944" s="1" t="s">
        <v>4096</v>
      </c>
      <c r="P944" s="1" t="s">
        <v>3230</v>
      </c>
      <c r="Q944" s="1" t="s">
        <v>3408</v>
      </c>
    </row>
    <row r="945">
      <c r="A945" s="1" t="s">
        <v>4990</v>
      </c>
      <c r="B945" s="1">
        <v>36.0</v>
      </c>
      <c r="C945" s="1">
        <v>40.0</v>
      </c>
      <c r="D945" s="2" t="s">
        <v>439</v>
      </c>
      <c r="E945" s="1">
        <v>36.0</v>
      </c>
      <c r="F945" s="1">
        <v>19.0</v>
      </c>
      <c r="G945" s="1">
        <v>3.56</v>
      </c>
      <c r="H945" s="1">
        <v>0.0</v>
      </c>
      <c r="I945" s="1">
        <v>0.0</v>
      </c>
      <c r="J945" s="1">
        <v>0.0</v>
      </c>
      <c r="K945" s="1">
        <v>0.11</v>
      </c>
      <c r="L945" s="1">
        <v>4190.0</v>
      </c>
      <c r="M945" s="1" t="s">
        <v>4991</v>
      </c>
      <c r="N945" s="18">
        <v>46002.0</v>
      </c>
      <c r="O945" s="1" t="s">
        <v>4992</v>
      </c>
      <c r="P945" s="1" t="s">
        <v>3294</v>
      </c>
      <c r="Q945" s="1" t="s">
        <v>3408</v>
      </c>
    </row>
    <row r="946">
      <c r="A946" s="1" t="s">
        <v>4993</v>
      </c>
      <c r="B946" s="1">
        <v>36.0</v>
      </c>
      <c r="C946" s="1">
        <v>50.0</v>
      </c>
      <c r="D946" s="2" t="s">
        <v>439</v>
      </c>
      <c r="E946" s="1">
        <v>36.0</v>
      </c>
      <c r="F946" s="1">
        <v>19.0</v>
      </c>
      <c r="G946" s="1">
        <v>3.08</v>
      </c>
      <c r="H946" s="1">
        <v>0.0</v>
      </c>
      <c r="I946" s="1">
        <v>0.0</v>
      </c>
      <c r="J946" s="1">
        <v>0.0</v>
      </c>
      <c r="K946" s="1">
        <v>0.12</v>
      </c>
      <c r="L946" s="1">
        <v>5110.0</v>
      </c>
      <c r="M946" s="1" t="s">
        <v>4994</v>
      </c>
      <c r="N946" s="18">
        <v>46002.0</v>
      </c>
      <c r="O946" s="1" t="s">
        <v>4995</v>
      </c>
      <c r="P946" s="1" t="s">
        <v>3294</v>
      </c>
      <c r="Q946" s="1" t="s">
        <v>3408</v>
      </c>
    </row>
    <row r="947">
      <c r="A947" s="1" t="s">
        <v>4996</v>
      </c>
      <c r="B947" s="1">
        <v>36.0</v>
      </c>
      <c r="C947" s="1">
        <v>40.0</v>
      </c>
      <c r="D947" s="2" t="s">
        <v>1109</v>
      </c>
      <c r="E947" s="1">
        <v>36.0</v>
      </c>
      <c r="F947" s="1">
        <v>0.0</v>
      </c>
      <c r="G947" s="1">
        <v>0.0</v>
      </c>
      <c r="H947" s="1">
        <v>0.0</v>
      </c>
      <c r="I947" s="1">
        <v>0.0</v>
      </c>
      <c r="J947" s="1">
        <v>0.0</v>
      </c>
      <c r="K947" s="1">
        <v>0.0</v>
      </c>
      <c r="L947" s="1">
        <v>3.02E7</v>
      </c>
      <c r="M947" s="1" t="s">
        <v>4997</v>
      </c>
      <c r="N947" s="18">
        <v>45998.0</v>
      </c>
      <c r="O947" s="1" t="s">
        <v>4998</v>
      </c>
      <c r="P947" s="1" t="s">
        <v>3230</v>
      </c>
      <c r="Q947" s="1" t="s">
        <v>3408</v>
      </c>
    </row>
    <row r="948">
      <c r="A948" s="1" t="s">
        <v>4999</v>
      </c>
      <c r="B948" s="1">
        <v>36.0</v>
      </c>
      <c r="C948" s="1">
        <v>40.0</v>
      </c>
      <c r="D948" s="2" t="s">
        <v>2930</v>
      </c>
      <c r="E948" s="1">
        <v>36.0</v>
      </c>
      <c r="F948" s="1">
        <v>30.0</v>
      </c>
      <c r="G948" s="1">
        <v>0.0</v>
      </c>
      <c r="H948" s="1">
        <v>0.0</v>
      </c>
      <c r="I948" s="1">
        <v>0.0</v>
      </c>
      <c r="J948" s="1">
        <v>0.0</v>
      </c>
      <c r="K948" s="1">
        <v>0.02</v>
      </c>
      <c r="L948" s="1">
        <v>6820000.0</v>
      </c>
      <c r="M948" s="1" t="s">
        <v>5000</v>
      </c>
      <c r="N948" s="18">
        <v>45996.0</v>
      </c>
      <c r="O948" s="1" t="s">
        <v>4217</v>
      </c>
      <c r="P948" s="1" t="s">
        <v>3230</v>
      </c>
      <c r="Q948" s="1" t="s">
        <v>3408</v>
      </c>
    </row>
    <row r="949">
      <c r="A949" s="1" t="s">
        <v>5001</v>
      </c>
      <c r="B949" s="1">
        <v>36.0</v>
      </c>
      <c r="C949" s="1">
        <v>320.0</v>
      </c>
      <c r="D949" s="2" t="s">
        <v>1103</v>
      </c>
      <c r="E949" s="1">
        <v>36.0</v>
      </c>
      <c r="F949" s="1">
        <v>15.0</v>
      </c>
      <c r="G949" s="1">
        <v>1.98</v>
      </c>
      <c r="H949" s="1">
        <v>0.0</v>
      </c>
      <c r="I949" s="1">
        <v>0.0</v>
      </c>
      <c r="J949" s="1">
        <v>0.0</v>
      </c>
      <c r="K949" s="1">
        <v>0.21</v>
      </c>
      <c r="L949" s="1">
        <v>3540000.0</v>
      </c>
      <c r="M949" s="1" t="s">
        <v>5002</v>
      </c>
      <c r="N949" s="18">
        <v>45995.0</v>
      </c>
      <c r="O949" s="1" t="s">
        <v>3479</v>
      </c>
      <c r="P949" s="1" t="s">
        <v>3301</v>
      </c>
      <c r="Q949" s="1" t="s">
        <v>3408</v>
      </c>
    </row>
    <row r="950">
      <c r="A950" s="1" t="s">
        <v>5003</v>
      </c>
      <c r="B950" s="1">
        <v>36.0</v>
      </c>
      <c r="C950" s="1">
        <v>50.0</v>
      </c>
      <c r="D950" s="2" t="s">
        <v>2930</v>
      </c>
      <c r="E950" s="1">
        <v>36.0</v>
      </c>
      <c r="F950" s="1">
        <v>27.0</v>
      </c>
      <c r="G950" s="1">
        <v>0.0</v>
      </c>
      <c r="H950" s="1">
        <v>0.0</v>
      </c>
      <c r="I950" s="1">
        <v>0.0</v>
      </c>
      <c r="J950" s="1">
        <v>0.0</v>
      </c>
      <c r="K950" s="1">
        <v>0.0</v>
      </c>
      <c r="L950" s="1">
        <v>1.2E9</v>
      </c>
      <c r="M950" s="1" t="s">
        <v>5004</v>
      </c>
      <c r="N950" s="18">
        <v>45994.0</v>
      </c>
      <c r="O950" s="1" t="s">
        <v>3840</v>
      </c>
      <c r="P950" s="1" t="s">
        <v>3230</v>
      </c>
      <c r="Q950" s="1" t="s">
        <v>3408</v>
      </c>
    </row>
    <row r="951">
      <c r="A951" s="1" t="s">
        <v>5005</v>
      </c>
      <c r="B951" s="1">
        <v>36.0</v>
      </c>
      <c r="C951" s="1">
        <v>110.0</v>
      </c>
      <c r="D951" s="2" t="s">
        <v>1543</v>
      </c>
      <c r="E951" s="1">
        <v>36.0</v>
      </c>
      <c r="F951" s="1">
        <v>0.0</v>
      </c>
      <c r="G951" s="1">
        <v>22.47</v>
      </c>
      <c r="H951" s="1">
        <v>0.0</v>
      </c>
      <c r="I951" s="1">
        <v>0.0</v>
      </c>
      <c r="J951" s="1">
        <v>0.0</v>
      </c>
      <c r="K951" s="1">
        <v>0.07</v>
      </c>
      <c r="L951" s="1">
        <v>134000.0</v>
      </c>
      <c r="M951" s="1" t="s">
        <v>5006</v>
      </c>
      <c r="N951" s="18">
        <v>45991.0</v>
      </c>
      <c r="O951" s="1" t="s">
        <v>5007</v>
      </c>
      <c r="P951" s="1" t="s">
        <v>3334</v>
      </c>
      <c r="Q951" s="1" t="s">
        <v>3408</v>
      </c>
    </row>
    <row r="952">
      <c r="A952" s="1" t="s">
        <v>5008</v>
      </c>
      <c r="B952" s="1">
        <v>36.0</v>
      </c>
      <c r="C952" s="1">
        <v>90.0</v>
      </c>
      <c r="D952" s="2" t="s">
        <v>581</v>
      </c>
      <c r="E952" s="1">
        <v>36.0</v>
      </c>
      <c r="F952" s="1">
        <v>17.0</v>
      </c>
      <c r="G952" s="1">
        <v>4.07</v>
      </c>
      <c r="H952" s="1">
        <v>0.0</v>
      </c>
      <c r="I952" s="1">
        <v>0.0</v>
      </c>
      <c r="J952" s="1">
        <v>0.0</v>
      </c>
      <c r="K952" s="1">
        <v>0.1</v>
      </c>
      <c r="L952" s="1">
        <v>8.73E7</v>
      </c>
      <c r="M952" s="1" t="s">
        <v>5009</v>
      </c>
      <c r="N952" s="18">
        <v>45987.0</v>
      </c>
      <c r="O952" s="1" t="s">
        <v>5010</v>
      </c>
      <c r="P952" s="1" t="s">
        <v>3257</v>
      </c>
      <c r="Q952" s="1" t="s">
        <v>3408</v>
      </c>
    </row>
    <row r="953">
      <c r="A953" s="1" t="s">
        <v>5011</v>
      </c>
      <c r="B953" s="1">
        <v>36.0</v>
      </c>
      <c r="C953" s="1">
        <v>170.0</v>
      </c>
      <c r="D953" s="2" t="s">
        <v>810</v>
      </c>
      <c r="E953" s="1">
        <v>36.0</v>
      </c>
      <c r="F953" s="1">
        <v>15.0</v>
      </c>
      <c r="G953" s="1">
        <v>4.36</v>
      </c>
      <c r="H953" s="1">
        <v>0.0</v>
      </c>
      <c r="I953" s="1">
        <v>0.0</v>
      </c>
      <c r="J953" s="1">
        <v>0.0</v>
      </c>
      <c r="K953" s="1">
        <v>0.14</v>
      </c>
      <c r="L953" s="1">
        <v>0.0</v>
      </c>
      <c r="M953" s="1" t="s">
        <v>5012</v>
      </c>
      <c r="N953" s="18">
        <v>45984.0</v>
      </c>
      <c r="O953" s="1" t="s">
        <v>4681</v>
      </c>
      <c r="P953" s="1" t="s">
        <v>3294</v>
      </c>
      <c r="Q953" s="1" t="s">
        <v>3408</v>
      </c>
    </row>
    <row r="954">
      <c r="A954" s="1" t="s">
        <v>3923</v>
      </c>
      <c r="B954" s="1">
        <v>36.0</v>
      </c>
      <c r="C954" s="1">
        <v>50.0</v>
      </c>
      <c r="D954" s="2" t="s">
        <v>2988</v>
      </c>
      <c r="E954" s="1">
        <v>36.0</v>
      </c>
      <c r="F954" s="1">
        <v>13.0</v>
      </c>
      <c r="G954" s="1">
        <v>17.09</v>
      </c>
      <c r="H954" s="1">
        <v>0.0</v>
      </c>
      <c r="I954" s="1">
        <v>0.0</v>
      </c>
      <c r="J954" s="1">
        <v>0.0</v>
      </c>
      <c r="K954" s="1">
        <v>0.69</v>
      </c>
      <c r="L954" s="1">
        <v>183000.0</v>
      </c>
      <c r="M954" s="1" t="s">
        <v>3924</v>
      </c>
      <c r="N954" s="18">
        <v>45978.0</v>
      </c>
      <c r="O954" s="1" t="s">
        <v>3925</v>
      </c>
      <c r="P954" s="1" t="s">
        <v>3257</v>
      </c>
      <c r="Q954" s="1" t="s">
        <v>3408</v>
      </c>
    </row>
    <row r="955">
      <c r="A955" s="1" t="s">
        <v>5013</v>
      </c>
      <c r="B955" s="1">
        <v>36.0</v>
      </c>
      <c r="C955" s="1">
        <v>40.0</v>
      </c>
      <c r="D955" s="2" t="s">
        <v>1905</v>
      </c>
      <c r="E955" s="1">
        <v>36.0</v>
      </c>
      <c r="F955" s="1">
        <v>1.0</v>
      </c>
      <c r="G955" s="1">
        <v>0.0</v>
      </c>
      <c r="H955" s="1">
        <v>0.0</v>
      </c>
      <c r="I955" s="1">
        <v>0.0</v>
      </c>
      <c r="J955" s="1">
        <v>0.0</v>
      </c>
      <c r="K955" s="1">
        <v>0.04</v>
      </c>
      <c r="L955" s="1">
        <v>10.0</v>
      </c>
      <c r="M955" s="1" t="s">
        <v>5014</v>
      </c>
      <c r="N955" s="18">
        <v>45978.0</v>
      </c>
      <c r="O955" s="1" t="s">
        <v>5015</v>
      </c>
      <c r="P955" s="1" t="s">
        <v>3257</v>
      </c>
      <c r="Q955" s="1" t="s">
        <v>3408</v>
      </c>
    </row>
    <row r="956">
      <c r="A956" s="1" t="s">
        <v>5016</v>
      </c>
      <c r="B956" s="1">
        <v>36.0</v>
      </c>
      <c r="C956" s="1">
        <v>260.0</v>
      </c>
      <c r="D956" s="2" t="s">
        <v>911</v>
      </c>
      <c r="E956" s="1">
        <v>36.0</v>
      </c>
      <c r="F956" s="1">
        <v>6.0</v>
      </c>
      <c r="G956" s="1">
        <v>1.78</v>
      </c>
      <c r="H956" s="1">
        <v>0.0</v>
      </c>
      <c r="I956" s="1">
        <v>0.0</v>
      </c>
      <c r="J956" s="1">
        <v>0.0</v>
      </c>
      <c r="K956" s="1">
        <v>0.29</v>
      </c>
      <c r="L956" s="1">
        <v>8840000.0</v>
      </c>
      <c r="M956" s="1" t="s">
        <v>5017</v>
      </c>
      <c r="N956" s="18">
        <v>45937.0</v>
      </c>
      <c r="O956" s="1" t="s">
        <v>5018</v>
      </c>
      <c r="P956" s="1" t="s">
        <v>3230</v>
      </c>
      <c r="Q956" s="1" t="s">
        <v>3408</v>
      </c>
    </row>
    <row r="957">
      <c r="A957" s="1" t="s">
        <v>5019</v>
      </c>
      <c r="B957" s="1">
        <v>37.0</v>
      </c>
      <c r="C957" s="1">
        <v>50.0</v>
      </c>
      <c r="D957" s="2" t="s">
        <v>2082</v>
      </c>
      <c r="E957" s="1">
        <v>35.0</v>
      </c>
      <c r="F957" s="1">
        <v>16.0</v>
      </c>
      <c r="G957" s="1">
        <v>15.37</v>
      </c>
      <c r="H957" s="1">
        <v>0.0</v>
      </c>
      <c r="I957" s="1">
        <v>0.0</v>
      </c>
      <c r="J957" s="1">
        <v>0.0</v>
      </c>
      <c r="K957" s="1">
        <v>0.35</v>
      </c>
      <c r="L957" s="1">
        <v>1360000.0</v>
      </c>
      <c r="M957" s="1" t="s">
        <v>5020</v>
      </c>
      <c r="N957" s="18">
        <v>46042.0</v>
      </c>
      <c r="O957" s="1" t="s">
        <v>3237</v>
      </c>
      <c r="P957" s="1" t="s">
        <v>3230</v>
      </c>
      <c r="Q957" s="1" t="s">
        <v>3408</v>
      </c>
    </row>
    <row r="958">
      <c r="A958" s="1" t="s">
        <v>5021</v>
      </c>
      <c r="B958" s="1">
        <v>37.0</v>
      </c>
      <c r="C958" s="1">
        <v>70.0</v>
      </c>
      <c r="D958" s="2" t="s">
        <v>581</v>
      </c>
      <c r="E958" s="1">
        <v>0.0</v>
      </c>
      <c r="F958" s="1">
        <v>25.0</v>
      </c>
      <c r="G958" s="1">
        <v>11.68</v>
      </c>
      <c r="H958" s="1">
        <v>0.0</v>
      </c>
      <c r="I958" s="1">
        <v>0.0</v>
      </c>
      <c r="J958" s="1">
        <v>0.0</v>
      </c>
      <c r="K958" s="1">
        <v>0.17</v>
      </c>
      <c r="L958" s="1">
        <v>1110000.0</v>
      </c>
      <c r="M958" s="1" t="s">
        <v>5022</v>
      </c>
      <c r="N958" s="18">
        <v>46042.0</v>
      </c>
      <c r="O958" s="1" t="s">
        <v>5023</v>
      </c>
      <c r="P958" s="1" t="s">
        <v>3257</v>
      </c>
      <c r="Q958" s="1" t="s">
        <v>3408</v>
      </c>
    </row>
    <row r="959">
      <c r="A959" s="1" t="s">
        <v>5024</v>
      </c>
      <c r="B959" s="1">
        <v>37.0</v>
      </c>
      <c r="C959" s="1">
        <v>50.0</v>
      </c>
      <c r="D959" s="2" t="s">
        <v>1145</v>
      </c>
      <c r="E959" s="1">
        <v>37.0</v>
      </c>
      <c r="F959" s="1">
        <v>1.0</v>
      </c>
      <c r="G959" s="1">
        <v>11.63</v>
      </c>
      <c r="H959" s="1">
        <v>0.0</v>
      </c>
      <c r="I959" s="1">
        <v>0.0</v>
      </c>
      <c r="J959" s="1">
        <v>0.0</v>
      </c>
      <c r="K959" s="1">
        <v>0.09</v>
      </c>
      <c r="L959" s="1">
        <v>1780000.0</v>
      </c>
      <c r="M959" s="1" t="s">
        <v>5025</v>
      </c>
      <c r="N959" s="18">
        <v>46030.0</v>
      </c>
      <c r="O959" s="1" t="s">
        <v>4134</v>
      </c>
      <c r="P959" s="1" t="s">
        <v>3257</v>
      </c>
      <c r="Q959" s="1" t="s">
        <v>3408</v>
      </c>
    </row>
    <row r="960">
      <c r="A960" s="1" t="s">
        <v>5026</v>
      </c>
      <c r="B960" s="1">
        <v>37.0</v>
      </c>
      <c r="C960" s="1">
        <v>210.0</v>
      </c>
      <c r="D960" s="2" t="s">
        <v>1052</v>
      </c>
      <c r="E960" s="1">
        <v>37.0</v>
      </c>
      <c r="F960" s="1">
        <v>18.0</v>
      </c>
      <c r="G960" s="1">
        <v>0.0</v>
      </c>
      <c r="H960" s="1">
        <v>0.0</v>
      </c>
      <c r="I960" s="1">
        <v>0.0</v>
      </c>
      <c r="J960" s="1">
        <v>0.0</v>
      </c>
      <c r="K960" s="1">
        <v>0.0</v>
      </c>
      <c r="L960" s="1">
        <v>1.52E9</v>
      </c>
      <c r="M960" s="1" t="s">
        <v>5027</v>
      </c>
      <c r="N960" s="18">
        <v>46028.0</v>
      </c>
      <c r="O960" s="1" t="s">
        <v>3284</v>
      </c>
      <c r="P960" s="1" t="s">
        <v>3230</v>
      </c>
      <c r="Q960" s="1" t="s">
        <v>3408</v>
      </c>
    </row>
    <row r="961">
      <c r="A961" s="1" t="s">
        <v>4412</v>
      </c>
      <c r="B961" s="1">
        <v>37.0</v>
      </c>
      <c r="C961" s="1">
        <v>50.0</v>
      </c>
      <c r="D961" s="2" t="s">
        <v>592</v>
      </c>
      <c r="E961" s="1">
        <v>37.0</v>
      </c>
      <c r="F961" s="1">
        <v>0.0</v>
      </c>
      <c r="G961" s="1">
        <v>8.51</v>
      </c>
      <c r="H961" s="1">
        <v>0.0</v>
      </c>
      <c r="I961" s="1">
        <v>0.0</v>
      </c>
      <c r="J961" s="1">
        <v>0.0</v>
      </c>
      <c r="K961" s="1">
        <v>0.66</v>
      </c>
      <c r="L961" s="1">
        <v>154000.0</v>
      </c>
      <c r="M961" s="1" t="s">
        <v>4413</v>
      </c>
      <c r="N961" s="18">
        <v>46027.0</v>
      </c>
      <c r="O961" s="1" t="s">
        <v>4414</v>
      </c>
      <c r="P961" s="1" t="s">
        <v>3334</v>
      </c>
      <c r="Q961" s="1" t="s">
        <v>3408</v>
      </c>
    </row>
    <row r="962">
      <c r="A962" s="1" t="s">
        <v>5028</v>
      </c>
      <c r="B962" s="1">
        <v>37.0</v>
      </c>
      <c r="C962" s="1">
        <v>50.0</v>
      </c>
      <c r="D962" s="2" t="s">
        <v>647</v>
      </c>
      <c r="E962" s="1">
        <v>37.0</v>
      </c>
      <c r="F962" s="1">
        <v>9.0</v>
      </c>
      <c r="G962" s="1">
        <v>11.16</v>
      </c>
      <c r="H962" s="1">
        <v>0.0</v>
      </c>
      <c r="I962" s="1">
        <v>0.0</v>
      </c>
      <c r="J962" s="1">
        <v>0.0</v>
      </c>
      <c r="K962" s="1">
        <v>0.2</v>
      </c>
      <c r="L962" s="1">
        <v>147000.0</v>
      </c>
      <c r="M962" s="1" t="s">
        <v>5029</v>
      </c>
      <c r="N962" s="18">
        <v>46026.0</v>
      </c>
      <c r="O962" s="1" t="s">
        <v>3415</v>
      </c>
      <c r="P962" s="1" t="s">
        <v>3257</v>
      </c>
      <c r="Q962" s="1" t="s">
        <v>3408</v>
      </c>
    </row>
    <row r="963">
      <c r="A963" s="1" t="s">
        <v>5030</v>
      </c>
      <c r="B963" s="1">
        <v>37.0</v>
      </c>
      <c r="C963" s="1">
        <v>30.0</v>
      </c>
      <c r="D963" s="2" t="s">
        <v>1436</v>
      </c>
      <c r="E963" s="1">
        <v>37.0</v>
      </c>
      <c r="F963" s="1">
        <v>31.0</v>
      </c>
      <c r="G963" s="1">
        <v>18.67</v>
      </c>
      <c r="H963" s="1">
        <v>0.0</v>
      </c>
      <c r="I963" s="1">
        <v>0.0</v>
      </c>
      <c r="J963" s="1">
        <v>0.0</v>
      </c>
      <c r="K963" s="1">
        <v>0.79</v>
      </c>
      <c r="L963" s="1">
        <v>2110000.0</v>
      </c>
      <c r="M963" s="1" t="s">
        <v>5031</v>
      </c>
      <c r="N963" s="18">
        <v>46026.0</v>
      </c>
      <c r="O963" s="1" t="s">
        <v>3421</v>
      </c>
      <c r="P963" s="1" t="s">
        <v>3257</v>
      </c>
      <c r="Q963" s="1" t="s">
        <v>3408</v>
      </c>
    </row>
    <row r="964">
      <c r="A964" s="1" t="s">
        <v>5032</v>
      </c>
      <c r="B964" s="1">
        <v>37.0</v>
      </c>
      <c r="C964" s="1">
        <v>170.0</v>
      </c>
      <c r="D964" s="2" t="s">
        <v>2227</v>
      </c>
      <c r="E964" s="1">
        <v>37.0</v>
      </c>
      <c r="F964" s="1">
        <v>19.0</v>
      </c>
      <c r="G964" s="1">
        <v>0.0</v>
      </c>
      <c r="H964" s="1">
        <v>0.0</v>
      </c>
      <c r="I964" s="1">
        <v>0.0</v>
      </c>
      <c r="J964" s="1">
        <v>0.0</v>
      </c>
      <c r="K964" s="1">
        <v>0.0</v>
      </c>
      <c r="L964" s="1">
        <v>6880000.0</v>
      </c>
      <c r="M964" s="1" t="s">
        <v>5033</v>
      </c>
      <c r="N964" s="18">
        <v>46025.0</v>
      </c>
      <c r="O964" s="1" t="s">
        <v>3311</v>
      </c>
      <c r="P964" s="1" t="s">
        <v>3301</v>
      </c>
      <c r="Q964" s="1" t="s">
        <v>3408</v>
      </c>
    </row>
    <row r="965">
      <c r="A965" s="1" t="s">
        <v>5034</v>
      </c>
      <c r="B965" s="1">
        <v>37.0</v>
      </c>
      <c r="C965" s="1">
        <v>50.0</v>
      </c>
      <c r="D965" s="2" t="s">
        <v>792</v>
      </c>
      <c r="E965" s="1">
        <v>37.0</v>
      </c>
      <c r="F965" s="1">
        <v>12.0</v>
      </c>
      <c r="G965" s="1">
        <v>0.0</v>
      </c>
      <c r="H965" s="1">
        <v>0.0</v>
      </c>
      <c r="I965" s="1">
        <v>0.0</v>
      </c>
      <c r="J965" s="1">
        <v>0.0</v>
      </c>
      <c r="K965" s="1">
        <v>0.0</v>
      </c>
      <c r="L965" s="1">
        <v>2410000.0</v>
      </c>
      <c r="M965" s="1" t="s">
        <v>5035</v>
      </c>
      <c r="N965" s="18">
        <v>46025.0</v>
      </c>
      <c r="O965" s="1" t="s">
        <v>4089</v>
      </c>
      <c r="P965" s="1" t="s">
        <v>3230</v>
      </c>
      <c r="Q965" s="1" t="s">
        <v>3408</v>
      </c>
    </row>
    <row r="966">
      <c r="A966" s="1" t="s">
        <v>5036</v>
      </c>
      <c r="B966" s="1">
        <v>37.0</v>
      </c>
      <c r="C966" s="1">
        <v>140.0</v>
      </c>
      <c r="D966" s="2" t="s">
        <v>911</v>
      </c>
      <c r="E966" s="1">
        <v>37.0</v>
      </c>
      <c r="F966" s="1">
        <v>0.0</v>
      </c>
      <c r="G966" s="1">
        <v>1.83</v>
      </c>
      <c r="H966" s="1">
        <v>0.0</v>
      </c>
      <c r="I966" s="1">
        <v>0.0</v>
      </c>
      <c r="J966" s="1">
        <v>0.0</v>
      </c>
      <c r="K966" s="1">
        <v>0.52</v>
      </c>
      <c r="L966" s="1">
        <v>1.21E7</v>
      </c>
      <c r="M966" s="1" t="s">
        <v>5037</v>
      </c>
      <c r="N966" s="18">
        <v>46024.0</v>
      </c>
      <c r="O966" s="1" t="s">
        <v>3442</v>
      </c>
      <c r="P966" s="1" t="s">
        <v>3230</v>
      </c>
      <c r="Q966" s="1" t="s">
        <v>3408</v>
      </c>
    </row>
    <row r="967">
      <c r="A967" s="1" t="s">
        <v>3738</v>
      </c>
      <c r="B967" s="1">
        <v>37.0</v>
      </c>
      <c r="C967" s="1">
        <v>50.0</v>
      </c>
      <c r="D967" s="2" t="s">
        <v>475</v>
      </c>
      <c r="E967" s="1">
        <v>37.0</v>
      </c>
      <c r="F967" s="1">
        <v>16.0</v>
      </c>
      <c r="G967" s="1">
        <v>16.24</v>
      </c>
      <c r="H967" s="1">
        <v>0.0</v>
      </c>
      <c r="I967" s="1">
        <v>0.0</v>
      </c>
      <c r="J967" s="1">
        <v>0.0</v>
      </c>
      <c r="K967" s="1">
        <v>0.67</v>
      </c>
      <c r="L967" s="1">
        <v>31700.0</v>
      </c>
      <c r="M967" s="1" t="s">
        <v>3739</v>
      </c>
      <c r="N967" s="18">
        <v>46022.0</v>
      </c>
      <c r="O967" s="1" t="s">
        <v>3455</v>
      </c>
      <c r="P967" s="1" t="s">
        <v>3257</v>
      </c>
      <c r="Q967" s="1" t="s">
        <v>3408</v>
      </c>
    </row>
    <row r="968">
      <c r="A968" s="1" t="s">
        <v>5038</v>
      </c>
      <c r="B968" s="1">
        <v>37.0</v>
      </c>
      <c r="C968" s="1">
        <v>50.0</v>
      </c>
      <c r="D968" s="2" t="s">
        <v>698</v>
      </c>
      <c r="E968" s="1">
        <v>37.0</v>
      </c>
      <c r="F968" s="1">
        <v>8.0</v>
      </c>
      <c r="G968" s="1">
        <v>0.0</v>
      </c>
      <c r="H968" s="1">
        <v>0.0</v>
      </c>
      <c r="I968" s="1">
        <v>0.0</v>
      </c>
      <c r="J968" s="1">
        <v>0.0</v>
      </c>
      <c r="K968" s="1">
        <v>0.0</v>
      </c>
      <c r="L968" s="1">
        <v>2930000.0</v>
      </c>
      <c r="M968" s="1" t="s">
        <v>5039</v>
      </c>
      <c r="N968" s="18">
        <v>46022.0</v>
      </c>
      <c r="O968" s="1" t="s">
        <v>5040</v>
      </c>
      <c r="P968" s="1" t="s">
        <v>3257</v>
      </c>
      <c r="Q968" s="1" t="s">
        <v>3408</v>
      </c>
    </row>
    <row r="969">
      <c r="A969" s="1" t="s">
        <v>5041</v>
      </c>
      <c r="B969" s="1">
        <v>37.0</v>
      </c>
      <c r="C969" s="1">
        <v>110.0</v>
      </c>
      <c r="D969" s="2" t="s">
        <v>439</v>
      </c>
      <c r="E969" s="1">
        <v>37.0</v>
      </c>
      <c r="F969" s="1">
        <v>20.0</v>
      </c>
      <c r="G969" s="1">
        <v>2.75</v>
      </c>
      <c r="H969" s="1">
        <v>0.0</v>
      </c>
      <c r="I969" s="1">
        <v>0.0</v>
      </c>
      <c r="J969" s="1">
        <v>0.0</v>
      </c>
      <c r="K969" s="1">
        <v>0.07</v>
      </c>
      <c r="L969" s="1">
        <v>314.0</v>
      </c>
      <c r="M969" s="1" t="s">
        <v>5042</v>
      </c>
      <c r="N969" s="18">
        <v>46022.0</v>
      </c>
      <c r="O969" s="1" t="s">
        <v>5043</v>
      </c>
      <c r="P969" s="1" t="s">
        <v>3230</v>
      </c>
      <c r="Q969" s="1" t="s">
        <v>3408</v>
      </c>
    </row>
    <row r="970">
      <c r="A970" s="1" t="s">
        <v>5044</v>
      </c>
      <c r="B970" s="1">
        <v>37.0</v>
      </c>
      <c r="C970" s="1">
        <v>70.0</v>
      </c>
      <c r="D970" s="2" t="s">
        <v>598</v>
      </c>
      <c r="E970" s="1">
        <v>37.0</v>
      </c>
      <c r="F970" s="1">
        <v>9.0</v>
      </c>
      <c r="G970" s="1">
        <v>22.8</v>
      </c>
      <c r="H970" s="1">
        <v>0.0</v>
      </c>
      <c r="I970" s="1">
        <v>0.0</v>
      </c>
      <c r="J970" s="1">
        <v>0.0</v>
      </c>
      <c r="K970" s="1">
        <v>0.54</v>
      </c>
      <c r="L970" s="1">
        <v>71300.0</v>
      </c>
      <c r="M970" s="1" t="s">
        <v>5045</v>
      </c>
      <c r="N970" s="18">
        <v>46021.0</v>
      </c>
      <c r="O970" s="1" t="s">
        <v>3432</v>
      </c>
      <c r="P970" s="1" t="s">
        <v>3257</v>
      </c>
      <c r="Q970" s="1" t="s">
        <v>3408</v>
      </c>
    </row>
    <row r="971">
      <c r="A971" s="1" t="s">
        <v>5046</v>
      </c>
      <c r="B971" s="1">
        <v>37.0</v>
      </c>
      <c r="C971" s="1">
        <v>70.0</v>
      </c>
      <c r="D971" s="2" t="s">
        <v>1307</v>
      </c>
      <c r="E971" s="1">
        <v>37.0</v>
      </c>
      <c r="F971" s="1">
        <v>7.0</v>
      </c>
      <c r="G971" s="1">
        <v>5.8</v>
      </c>
      <c r="H971" s="1">
        <v>0.0</v>
      </c>
      <c r="I971" s="1">
        <v>0.0</v>
      </c>
      <c r="J971" s="1">
        <v>0.0</v>
      </c>
      <c r="K971" s="1">
        <v>0.98</v>
      </c>
      <c r="L971" s="1">
        <v>4630000.0</v>
      </c>
      <c r="M971" s="1" t="s">
        <v>5047</v>
      </c>
      <c r="N971" s="18">
        <v>46020.0</v>
      </c>
      <c r="O971" s="1" t="s">
        <v>3713</v>
      </c>
      <c r="P971" s="1" t="s">
        <v>3257</v>
      </c>
      <c r="Q971" s="1" t="s">
        <v>3408</v>
      </c>
    </row>
    <row r="972">
      <c r="A972" s="1" t="s">
        <v>5048</v>
      </c>
      <c r="B972" s="1">
        <v>37.0</v>
      </c>
      <c r="C972" s="1">
        <v>110.0</v>
      </c>
      <c r="D972" s="2" t="s">
        <v>2930</v>
      </c>
      <c r="E972" s="1">
        <v>37.0</v>
      </c>
      <c r="F972" s="1">
        <v>35.0</v>
      </c>
      <c r="G972" s="1">
        <v>0.0</v>
      </c>
      <c r="H972" s="1">
        <v>0.0</v>
      </c>
      <c r="I972" s="1">
        <v>0.0</v>
      </c>
      <c r="J972" s="1">
        <v>0.0</v>
      </c>
      <c r="K972" s="1">
        <v>0.0</v>
      </c>
      <c r="L972" s="1">
        <v>8.24E8</v>
      </c>
      <c r="M972" s="1" t="s">
        <v>5049</v>
      </c>
      <c r="N972" s="18">
        <v>46020.0</v>
      </c>
      <c r="O972" s="1" t="s">
        <v>4918</v>
      </c>
      <c r="P972" s="1" t="s">
        <v>3230</v>
      </c>
      <c r="Q972" s="1" t="s">
        <v>3408</v>
      </c>
    </row>
    <row r="973">
      <c r="A973" s="1" t="s">
        <v>5050</v>
      </c>
      <c r="B973" s="1">
        <v>37.0</v>
      </c>
      <c r="C973" s="1">
        <v>110.0</v>
      </c>
      <c r="D973" s="2" t="s">
        <v>439</v>
      </c>
      <c r="E973" s="1">
        <v>37.0</v>
      </c>
      <c r="F973" s="1">
        <v>14.0</v>
      </c>
      <c r="G973" s="1">
        <v>3.55</v>
      </c>
      <c r="H973" s="1">
        <v>0.0</v>
      </c>
      <c r="I973" s="1">
        <v>0.0</v>
      </c>
      <c r="J973" s="1">
        <v>0.0</v>
      </c>
      <c r="K973" s="1">
        <v>0.05</v>
      </c>
      <c r="L973" s="1">
        <v>154000.0</v>
      </c>
      <c r="M973" s="1" t="s">
        <v>5051</v>
      </c>
      <c r="N973" s="18">
        <v>46020.0</v>
      </c>
      <c r="O973" s="1" t="s">
        <v>5052</v>
      </c>
      <c r="P973" s="1" t="s">
        <v>3301</v>
      </c>
      <c r="Q973" s="1" t="s">
        <v>3408</v>
      </c>
    </row>
    <row r="974">
      <c r="A974" s="1" t="s">
        <v>3815</v>
      </c>
      <c r="B974" s="1">
        <v>37.0</v>
      </c>
      <c r="C974" s="1">
        <v>90.0</v>
      </c>
      <c r="D974" s="2" t="s">
        <v>2988</v>
      </c>
      <c r="E974" s="1">
        <v>37.0</v>
      </c>
      <c r="F974" s="1">
        <v>25.0</v>
      </c>
      <c r="G974" s="1">
        <v>0.0</v>
      </c>
      <c r="H974" s="1">
        <v>0.0</v>
      </c>
      <c r="I974" s="1">
        <v>0.0</v>
      </c>
      <c r="J974" s="1">
        <v>0.0</v>
      </c>
      <c r="K974" s="1">
        <v>0.11</v>
      </c>
      <c r="L974" s="1">
        <v>1.48E7</v>
      </c>
      <c r="M974" s="1" t="s">
        <v>3816</v>
      </c>
      <c r="N974" s="18">
        <v>46018.0</v>
      </c>
      <c r="O974" s="1" t="s">
        <v>3415</v>
      </c>
      <c r="P974" s="1" t="s">
        <v>3257</v>
      </c>
      <c r="Q974" s="1" t="s">
        <v>3408</v>
      </c>
    </row>
    <row r="975">
      <c r="A975" s="1" t="s">
        <v>5053</v>
      </c>
      <c r="B975" s="1">
        <v>37.0</v>
      </c>
      <c r="C975" s="1">
        <v>90.0</v>
      </c>
      <c r="D975" s="2" t="s">
        <v>792</v>
      </c>
      <c r="E975" s="1">
        <v>37.0</v>
      </c>
      <c r="F975" s="1">
        <v>13.0</v>
      </c>
      <c r="G975" s="1">
        <v>0.0</v>
      </c>
      <c r="H975" s="1">
        <v>0.0</v>
      </c>
      <c r="I975" s="1">
        <v>0.0</v>
      </c>
      <c r="J975" s="1">
        <v>0.0</v>
      </c>
      <c r="K975" s="1">
        <v>0.0</v>
      </c>
      <c r="L975" s="1">
        <v>1500000.0</v>
      </c>
      <c r="M975" s="1" t="s">
        <v>5054</v>
      </c>
      <c r="N975" s="18">
        <v>46017.0</v>
      </c>
      <c r="O975" s="1" t="s">
        <v>4089</v>
      </c>
      <c r="P975" s="1" t="s">
        <v>3257</v>
      </c>
      <c r="Q975" s="1" t="s">
        <v>3408</v>
      </c>
    </row>
    <row r="976">
      <c r="A976" s="1" t="s">
        <v>5055</v>
      </c>
      <c r="B976" s="1">
        <v>37.0</v>
      </c>
      <c r="C976" s="1">
        <v>110.0</v>
      </c>
      <c r="D976" s="2" t="s">
        <v>1295</v>
      </c>
      <c r="E976" s="1">
        <v>37.0</v>
      </c>
      <c r="F976" s="1">
        <v>9.0</v>
      </c>
      <c r="G976" s="1">
        <v>0.0</v>
      </c>
      <c r="H976" s="1">
        <v>0.0</v>
      </c>
      <c r="I976" s="1">
        <v>0.0</v>
      </c>
      <c r="J976" s="1">
        <v>0.0</v>
      </c>
      <c r="K976" s="1">
        <v>0.0</v>
      </c>
      <c r="L976" s="1">
        <v>2.91E8</v>
      </c>
      <c r="M976" s="1" t="s">
        <v>5056</v>
      </c>
      <c r="N976" s="18">
        <v>46016.0</v>
      </c>
      <c r="O976" s="1" t="s">
        <v>3314</v>
      </c>
      <c r="P976" s="1" t="s">
        <v>3230</v>
      </c>
      <c r="Q976" s="1" t="s">
        <v>3408</v>
      </c>
    </row>
    <row r="977">
      <c r="A977" s="1" t="s">
        <v>5057</v>
      </c>
      <c r="B977" s="1">
        <v>37.0</v>
      </c>
      <c r="C977" s="1">
        <v>90.0</v>
      </c>
      <c r="D977" s="2" t="s">
        <v>798</v>
      </c>
      <c r="E977" s="1">
        <v>37.0</v>
      </c>
      <c r="F977" s="1">
        <v>10.0</v>
      </c>
      <c r="G977" s="1">
        <v>0.0</v>
      </c>
      <c r="H977" s="1">
        <v>0.0</v>
      </c>
      <c r="I977" s="1">
        <v>0.0</v>
      </c>
      <c r="J977" s="1">
        <v>0.0</v>
      </c>
      <c r="K977" s="1">
        <v>0.0</v>
      </c>
      <c r="L977" s="1">
        <v>1.67E9</v>
      </c>
      <c r="M977" s="1" t="s">
        <v>5058</v>
      </c>
      <c r="N977" s="18">
        <v>46016.0</v>
      </c>
      <c r="O977" s="1" t="s">
        <v>4057</v>
      </c>
      <c r="P977" s="1" t="s">
        <v>3230</v>
      </c>
      <c r="Q977" s="1" t="s">
        <v>3408</v>
      </c>
    </row>
    <row r="978">
      <c r="A978" s="1" t="s">
        <v>5059</v>
      </c>
      <c r="B978" s="1">
        <v>37.0</v>
      </c>
      <c r="C978" s="1">
        <v>30.0</v>
      </c>
      <c r="D978" s="2" t="s">
        <v>1129</v>
      </c>
      <c r="E978" s="1">
        <v>37.0</v>
      </c>
      <c r="F978" s="1">
        <v>9.0</v>
      </c>
      <c r="G978" s="1">
        <v>9.3</v>
      </c>
      <c r="H978" s="1">
        <v>0.0</v>
      </c>
      <c r="I978" s="1">
        <v>0.0</v>
      </c>
      <c r="J978" s="1">
        <v>0.0</v>
      </c>
      <c r="K978" s="1">
        <v>0.76</v>
      </c>
      <c r="L978" s="1">
        <v>1.46E7</v>
      </c>
      <c r="M978" s="1" t="s">
        <v>5060</v>
      </c>
      <c r="N978" s="18">
        <v>46015.0</v>
      </c>
      <c r="O978" s="1" t="s">
        <v>5061</v>
      </c>
      <c r="P978" s="1" t="s">
        <v>3230</v>
      </c>
      <c r="Q978" s="1" t="s">
        <v>3408</v>
      </c>
    </row>
    <row r="979">
      <c r="A979" s="1" t="s">
        <v>5062</v>
      </c>
      <c r="B979" s="1">
        <v>37.0</v>
      </c>
      <c r="C979" s="1">
        <v>50.0</v>
      </c>
      <c r="D979" s="2" t="s">
        <v>439</v>
      </c>
      <c r="E979" s="1">
        <v>37.0</v>
      </c>
      <c r="F979" s="1">
        <v>20.0</v>
      </c>
      <c r="G979" s="1">
        <v>11.83</v>
      </c>
      <c r="H979" s="1">
        <v>0.0</v>
      </c>
      <c r="I979" s="1">
        <v>0.0</v>
      </c>
      <c r="J979" s="1">
        <v>0.0</v>
      </c>
      <c r="K979" s="1">
        <v>0.18</v>
      </c>
      <c r="L979" s="1">
        <v>13400.0</v>
      </c>
      <c r="M979" s="1" t="s">
        <v>5063</v>
      </c>
      <c r="N979" s="18">
        <v>46014.0</v>
      </c>
      <c r="O979" s="1" t="s">
        <v>5023</v>
      </c>
      <c r="P979" s="1" t="s">
        <v>3294</v>
      </c>
      <c r="Q979" s="1" t="s">
        <v>3408</v>
      </c>
    </row>
    <row r="980">
      <c r="A980" s="1" t="s">
        <v>5064</v>
      </c>
      <c r="B980" s="1">
        <v>37.0</v>
      </c>
      <c r="C980" s="1">
        <v>40.0</v>
      </c>
      <c r="D980" s="2" t="s">
        <v>1543</v>
      </c>
      <c r="E980" s="1">
        <v>37.0</v>
      </c>
      <c r="F980" s="1">
        <v>0.0</v>
      </c>
      <c r="G980" s="1">
        <v>0.0</v>
      </c>
      <c r="H980" s="1">
        <v>0.0</v>
      </c>
      <c r="I980" s="1">
        <v>0.0</v>
      </c>
      <c r="J980" s="1">
        <v>0.0</v>
      </c>
      <c r="K980" s="1">
        <v>0.0</v>
      </c>
      <c r="L980" s="1">
        <v>60900.0</v>
      </c>
      <c r="M980" s="1" t="s">
        <v>5065</v>
      </c>
      <c r="N980" s="18">
        <v>46011.0</v>
      </c>
      <c r="O980" s="1" t="s">
        <v>3840</v>
      </c>
      <c r="P980" s="1" t="s">
        <v>3230</v>
      </c>
      <c r="Q980" s="1" t="s">
        <v>3408</v>
      </c>
    </row>
    <row r="981">
      <c r="A981" s="1" t="s">
        <v>5066</v>
      </c>
      <c r="B981" s="1">
        <v>37.0</v>
      </c>
      <c r="C981" s="1">
        <v>50.0</v>
      </c>
      <c r="D981" s="2" t="s">
        <v>921</v>
      </c>
      <c r="E981" s="1">
        <v>37.0</v>
      </c>
      <c r="F981" s="1">
        <v>6.0</v>
      </c>
      <c r="G981" s="1">
        <v>0.0</v>
      </c>
      <c r="H981" s="1">
        <v>0.0</v>
      </c>
      <c r="I981" s="1">
        <v>0.0</v>
      </c>
      <c r="J981" s="1">
        <v>0.0</v>
      </c>
      <c r="K981" s="1">
        <v>0.0</v>
      </c>
      <c r="L981" s="1">
        <v>4830000.0</v>
      </c>
      <c r="M981" s="1" t="s">
        <v>5067</v>
      </c>
      <c r="N981" s="18">
        <v>46008.0</v>
      </c>
      <c r="O981" s="1" t="s">
        <v>5068</v>
      </c>
      <c r="P981" s="1" t="s">
        <v>3230</v>
      </c>
      <c r="Q981" s="1" t="s">
        <v>3408</v>
      </c>
    </row>
    <row r="982">
      <c r="A982" s="1" t="s">
        <v>5069</v>
      </c>
      <c r="B982" s="1">
        <v>37.0</v>
      </c>
      <c r="C982" s="1">
        <v>140.0</v>
      </c>
      <c r="D982" s="2" t="s">
        <v>979</v>
      </c>
      <c r="E982" s="1">
        <v>37.0</v>
      </c>
      <c r="F982" s="1">
        <v>23.0</v>
      </c>
      <c r="G982" s="1">
        <v>7.42</v>
      </c>
      <c r="H982" s="1">
        <v>0.0</v>
      </c>
      <c r="I982" s="1">
        <v>0.0</v>
      </c>
      <c r="J982" s="1">
        <v>0.0</v>
      </c>
      <c r="K982" s="1">
        <v>0.04</v>
      </c>
      <c r="L982" s="1">
        <v>2.43E8</v>
      </c>
      <c r="M982" s="1" t="s">
        <v>5070</v>
      </c>
      <c r="N982" s="18">
        <v>46004.0</v>
      </c>
      <c r="O982" s="1" t="s">
        <v>4278</v>
      </c>
      <c r="P982" s="1" t="s">
        <v>3294</v>
      </c>
      <c r="Q982" s="1" t="s">
        <v>3408</v>
      </c>
    </row>
    <row r="983">
      <c r="A983" s="1" t="s">
        <v>4082</v>
      </c>
      <c r="B983" s="1">
        <v>37.0</v>
      </c>
      <c r="C983" s="1">
        <v>30.0</v>
      </c>
      <c r="D983" s="2" t="s">
        <v>1288</v>
      </c>
      <c r="E983" s="1">
        <v>37.0</v>
      </c>
      <c r="F983" s="1">
        <v>1.0</v>
      </c>
      <c r="G983" s="1">
        <v>2.95</v>
      </c>
      <c r="H983" s="1">
        <v>0.0</v>
      </c>
      <c r="I983" s="1">
        <v>0.0</v>
      </c>
      <c r="J983" s="1">
        <v>0.0</v>
      </c>
      <c r="K983" s="1">
        <v>0.55</v>
      </c>
      <c r="L983" s="1">
        <v>120000.0</v>
      </c>
      <c r="M983" s="1" t="s">
        <v>4083</v>
      </c>
      <c r="N983" s="18">
        <v>46003.0</v>
      </c>
      <c r="O983" s="1" t="s">
        <v>4084</v>
      </c>
      <c r="P983" s="1" t="s">
        <v>3257</v>
      </c>
      <c r="Q983" s="1" t="s">
        <v>3408</v>
      </c>
    </row>
    <row r="984">
      <c r="A984" s="1" t="s">
        <v>5071</v>
      </c>
      <c r="B984" s="1">
        <v>37.0</v>
      </c>
      <c r="C984" s="1">
        <v>40.0</v>
      </c>
      <c r="D984" s="2" t="s">
        <v>1295</v>
      </c>
      <c r="E984" s="1">
        <v>37.0</v>
      </c>
      <c r="F984" s="1">
        <v>10.0</v>
      </c>
      <c r="G984" s="1">
        <v>0.0</v>
      </c>
      <c r="H984" s="1">
        <v>0.0</v>
      </c>
      <c r="I984" s="1">
        <v>0.0</v>
      </c>
      <c r="J984" s="1">
        <v>0.0</v>
      </c>
      <c r="K984" s="1">
        <v>0.0</v>
      </c>
      <c r="L984" s="1">
        <v>1.74E7</v>
      </c>
      <c r="M984" s="1" t="s">
        <v>5072</v>
      </c>
      <c r="N984" s="18">
        <v>46001.0</v>
      </c>
      <c r="O984" s="1" t="s">
        <v>3264</v>
      </c>
      <c r="P984" s="1" t="s">
        <v>3230</v>
      </c>
      <c r="Q984" s="1" t="s">
        <v>3408</v>
      </c>
    </row>
    <row r="985">
      <c r="A985" s="1" t="s">
        <v>4087</v>
      </c>
      <c r="B985" s="1">
        <v>37.0</v>
      </c>
      <c r="C985" s="1">
        <v>140.0</v>
      </c>
      <c r="D985" s="2" t="s">
        <v>792</v>
      </c>
      <c r="E985" s="1">
        <v>37.0</v>
      </c>
      <c r="F985" s="1">
        <v>7.0</v>
      </c>
      <c r="G985" s="1">
        <v>0.0</v>
      </c>
      <c r="H985" s="1">
        <v>0.0</v>
      </c>
      <c r="I985" s="1">
        <v>0.0</v>
      </c>
      <c r="J985" s="1">
        <v>0.0</v>
      </c>
      <c r="K985" s="1">
        <v>0.0</v>
      </c>
      <c r="L985" s="1">
        <v>526000.0</v>
      </c>
      <c r="M985" s="1" t="s">
        <v>4088</v>
      </c>
      <c r="N985" s="18">
        <v>45996.0</v>
      </c>
      <c r="O985" s="1" t="s">
        <v>4089</v>
      </c>
      <c r="P985" s="1" t="s">
        <v>3257</v>
      </c>
      <c r="Q985" s="1" t="s">
        <v>3408</v>
      </c>
    </row>
    <row r="986">
      <c r="A986" s="1" t="s">
        <v>4273</v>
      </c>
      <c r="B986" s="1">
        <v>37.0</v>
      </c>
      <c r="C986" s="1">
        <v>70.0</v>
      </c>
      <c r="D986" s="2" t="s">
        <v>698</v>
      </c>
      <c r="E986" s="1">
        <v>37.0</v>
      </c>
      <c r="F986" s="1">
        <v>10.0</v>
      </c>
      <c r="G986" s="1">
        <v>0.0</v>
      </c>
      <c r="H986" s="1">
        <v>0.0</v>
      </c>
      <c r="I986" s="1">
        <v>0.0</v>
      </c>
      <c r="J986" s="1">
        <v>0.0</v>
      </c>
      <c r="K986" s="1">
        <v>0.0</v>
      </c>
      <c r="L986" s="1">
        <v>1.14E7</v>
      </c>
      <c r="M986" s="1" t="s">
        <v>4274</v>
      </c>
      <c r="N986" s="18">
        <v>45994.0</v>
      </c>
      <c r="O986" s="1" t="s">
        <v>4275</v>
      </c>
      <c r="P986" s="1" t="s">
        <v>3230</v>
      </c>
      <c r="Q986" s="1" t="s">
        <v>3408</v>
      </c>
    </row>
    <row r="987">
      <c r="A987" s="1" t="s">
        <v>4307</v>
      </c>
      <c r="B987" s="1">
        <v>37.0</v>
      </c>
      <c r="C987" s="1">
        <v>90.0</v>
      </c>
      <c r="D987" s="2" t="s">
        <v>617</v>
      </c>
      <c r="E987" s="1">
        <v>37.0</v>
      </c>
      <c r="F987" s="1">
        <v>8.0</v>
      </c>
      <c r="G987" s="1">
        <v>0.0</v>
      </c>
      <c r="H987" s="1">
        <v>0.0</v>
      </c>
      <c r="I987" s="1">
        <v>0.0</v>
      </c>
      <c r="J987" s="1">
        <v>0.0</v>
      </c>
      <c r="K987" s="1">
        <v>0.02</v>
      </c>
      <c r="L987" s="1">
        <v>7090000.0</v>
      </c>
      <c r="M987" s="1" t="s">
        <v>4308</v>
      </c>
      <c r="N987" s="18">
        <v>45991.0</v>
      </c>
      <c r="O987" s="1" t="s">
        <v>3854</v>
      </c>
      <c r="P987" s="1" t="s">
        <v>3257</v>
      </c>
      <c r="Q987" s="1" t="s">
        <v>3408</v>
      </c>
    </row>
    <row r="988">
      <c r="A988" s="1" t="s">
        <v>5073</v>
      </c>
      <c r="B988" s="1">
        <v>37.0</v>
      </c>
      <c r="C988" s="1">
        <v>260.0</v>
      </c>
      <c r="D988" s="2" t="s">
        <v>451</v>
      </c>
      <c r="E988" s="1">
        <v>37.0</v>
      </c>
      <c r="F988" s="1">
        <v>28.0</v>
      </c>
      <c r="G988" s="1">
        <v>13.75</v>
      </c>
      <c r="H988" s="1">
        <v>0.0</v>
      </c>
      <c r="I988" s="1">
        <v>0.0</v>
      </c>
      <c r="J988" s="1">
        <v>0.0</v>
      </c>
      <c r="K988" s="1">
        <v>0.11</v>
      </c>
      <c r="L988" s="1">
        <v>1.2E7</v>
      </c>
      <c r="M988" s="1" t="s">
        <v>5074</v>
      </c>
      <c r="N988" s="18">
        <v>45990.0</v>
      </c>
      <c r="O988" s="1" t="s">
        <v>3421</v>
      </c>
      <c r="P988" s="1" t="s">
        <v>3257</v>
      </c>
      <c r="Q988" s="1" t="s">
        <v>3408</v>
      </c>
    </row>
    <row r="989">
      <c r="A989" s="1" t="s">
        <v>3776</v>
      </c>
      <c r="B989" s="1">
        <v>37.0</v>
      </c>
      <c r="C989" s="1">
        <v>140.0</v>
      </c>
      <c r="D989" s="2" t="s">
        <v>447</v>
      </c>
      <c r="E989" s="1">
        <v>37.0</v>
      </c>
      <c r="F989" s="1">
        <v>31.0</v>
      </c>
      <c r="G989" s="1">
        <v>17.92</v>
      </c>
      <c r="H989" s="1">
        <v>0.0</v>
      </c>
      <c r="I989" s="1">
        <v>0.0</v>
      </c>
      <c r="J989" s="1">
        <v>0.0</v>
      </c>
      <c r="K989" s="1">
        <v>0.32</v>
      </c>
      <c r="L989" s="1">
        <v>141000.0</v>
      </c>
      <c r="M989" s="1" t="s">
        <v>3777</v>
      </c>
      <c r="N989" s="18">
        <v>45990.0</v>
      </c>
      <c r="O989" s="1" t="s">
        <v>3773</v>
      </c>
      <c r="P989" s="1" t="s">
        <v>3257</v>
      </c>
      <c r="Q989" s="1" t="s">
        <v>3408</v>
      </c>
    </row>
    <row r="990">
      <c r="A990" s="1" t="s">
        <v>5075</v>
      </c>
      <c r="B990" s="1">
        <v>37.0</v>
      </c>
      <c r="C990" s="1">
        <v>480.0</v>
      </c>
      <c r="D990" s="2" t="s">
        <v>2416</v>
      </c>
      <c r="E990" s="1">
        <v>37.0</v>
      </c>
      <c r="F990" s="1">
        <v>56.0</v>
      </c>
      <c r="G990" s="1">
        <v>0.0</v>
      </c>
      <c r="H990" s="1">
        <v>0.0</v>
      </c>
      <c r="I990" s="1">
        <v>0.0</v>
      </c>
      <c r="J990" s="1">
        <v>0.0</v>
      </c>
      <c r="K990" s="1">
        <v>0.0</v>
      </c>
      <c r="L990" s="1">
        <v>1940000.0</v>
      </c>
      <c r="M990" s="1" t="s">
        <v>5076</v>
      </c>
      <c r="N990" s="18">
        <v>45990.0</v>
      </c>
      <c r="O990" s="1" t="s">
        <v>4643</v>
      </c>
      <c r="P990" s="1" t="s">
        <v>3257</v>
      </c>
      <c r="Q990" s="1" t="s">
        <v>3408</v>
      </c>
    </row>
    <row r="991">
      <c r="A991" s="1" t="s">
        <v>5077</v>
      </c>
      <c r="B991" s="1">
        <v>37.0</v>
      </c>
      <c r="C991" s="1">
        <v>110.0</v>
      </c>
      <c r="D991" s="2" t="s">
        <v>439</v>
      </c>
      <c r="E991" s="1">
        <v>37.0</v>
      </c>
      <c r="F991" s="1">
        <v>19.0</v>
      </c>
      <c r="G991" s="1">
        <v>3.96</v>
      </c>
      <c r="H991" s="1">
        <v>0.0</v>
      </c>
      <c r="I991" s="1">
        <v>0.0</v>
      </c>
      <c r="J991" s="1">
        <v>0.0</v>
      </c>
      <c r="K991" s="1">
        <v>0.15</v>
      </c>
      <c r="L991" s="1">
        <v>5.0</v>
      </c>
      <c r="M991" s="1" t="s">
        <v>5078</v>
      </c>
      <c r="N991" s="18">
        <v>45986.0</v>
      </c>
      <c r="O991" s="1" t="s">
        <v>5079</v>
      </c>
      <c r="P991" s="1" t="s">
        <v>3294</v>
      </c>
      <c r="Q991" s="1" t="s">
        <v>3408</v>
      </c>
    </row>
    <row r="992">
      <c r="A992" s="1" t="s">
        <v>5080</v>
      </c>
      <c r="B992" s="1">
        <v>37.0</v>
      </c>
      <c r="C992" s="1">
        <v>210.0</v>
      </c>
      <c r="D992" s="2" t="s">
        <v>439</v>
      </c>
      <c r="E992" s="1">
        <v>37.0</v>
      </c>
      <c r="F992" s="1">
        <v>20.0</v>
      </c>
      <c r="G992" s="1">
        <v>0.0</v>
      </c>
      <c r="H992" s="1">
        <v>0.0</v>
      </c>
      <c r="I992" s="1">
        <v>0.0</v>
      </c>
      <c r="J992" s="1">
        <v>0.0</v>
      </c>
      <c r="K992" s="1">
        <v>0.01</v>
      </c>
      <c r="L992" s="1">
        <v>7.0</v>
      </c>
      <c r="M992" s="1" t="s">
        <v>5081</v>
      </c>
      <c r="N992" s="18">
        <v>45986.0</v>
      </c>
      <c r="O992" s="1" t="s">
        <v>5082</v>
      </c>
      <c r="P992" s="1" t="s">
        <v>3294</v>
      </c>
      <c r="Q992" s="1" t="s">
        <v>3408</v>
      </c>
    </row>
    <row r="993">
      <c r="A993" s="1" t="s">
        <v>5083</v>
      </c>
      <c r="B993" s="1">
        <v>37.0</v>
      </c>
      <c r="C993" s="1">
        <v>390.0</v>
      </c>
      <c r="D993" s="2" t="s">
        <v>439</v>
      </c>
      <c r="E993" s="1">
        <v>37.0</v>
      </c>
      <c r="F993" s="1">
        <v>38.0</v>
      </c>
      <c r="G993" s="1">
        <v>10.52</v>
      </c>
      <c r="H993" s="1">
        <v>0.0</v>
      </c>
      <c r="I993" s="1">
        <v>0.0</v>
      </c>
      <c r="J993" s="1">
        <v>0.0</v>
      </c>
      <c r="K993" s="1">
        <v>0.11</v>
      </c>
      <c r="L993" s="1">
        <v>9970.0</v>
      </c>
      <c r="M993" s="1" t="s">
        <v>5084</v>
      </c>
      <c r="N993" s="18">
        <v>45984.0</v>
      </c>
      <c r="O993" s="1" t="s">
        <v>5085</v>
      </c>
      <c r="P993" s="1" t="s">
        <v>3294</v>
      </c>
      <c r="Q993" s="1" t="s">
        <v>3408</v>
      </c>
    </row>
    <row r="994">
      <c r="A994" s="1" t="s">
        <v>5086</v>
      </c>
      <c r="B994" s="1">
        <v>37.0</v>
      </c>
      <c r="C994" s="1">
        <v>50.0</v>
      </c>
      <c r="D994" s="2" t="s">
        <v>439</v>
      </c>
      <c r="E994" s="1">
        <v>37.0</v>
      </c>
      <c r="F994" s="1">
        <v>3.0</v>
      </c>
      <c r="G994" s="1">
        <v>0.0</v>
      </c>
      <c r="H994" s="1">
        <v>0.0</v>
      </c>
      <c r="I994" s="1">
        <v>0.0</v>
      </c>
      <c r="J994" s="1">
        <v>0.0</v>
      </c>
      <c r="K994" s="1">
        <v>0.0</v>
      </c>
      <c r="L994" s="1">
        <v>9.0</v>
      </c>
      <c r="M994" s="1" t="s">
        <v>5087</v>
      </c>
      <c r="N994" s="18">
        <v>45980.0</v>
      </c>
      <c r="O994" s="1" t="s">
        <v>4036</v>
      </c>
      <c r="P994" s="1" t="s">
        <v>3230</v>
      </c>
      <c r="Q994" s="1" t="s">
        <v>3408</v>
      </c>
    </row>
    <row r="995">
      <c r="A995" s="1" t="s">
        <v>5088</v>
      </c>
      <c r="B995" s="1">
        <v>37.0</v>
      </c>
      <c r="C995" s="1">
        <v>70.0</v>
      </c>
      <c r="D995" s="2" t="s">
        <v>1295</v>
      </c>
      <c r="E995" s="1">
        <v>37.0</v>
      </c>
      <c r="F995" s="1">
        <v>5.0</v>
      </c>
      <c r="G995" s="1">
        <v>0.0</v>
      </c>
      <c r="H995" s="1">
        <v>0.0</v>
      </c>
      <c r="I995" s="1">
        <v>0.0</v>
      </c>
      <c r="J995" s="1">
        <v>0.0</v>
      </c>
      <c r="K995" s="1">
        <v>0.0</v>
      </c>
      <c r="L995" s="1">
        <v>2350000.0</v>
      </c>
      <c r="M995" s="1" t="s">
        <v>5089</v>
      </c>
      <c r="N995" s="18">
        <v>45960.0</v>
      </c>
      <c r="O995" s="1" t="s">
        <v>4487</v>
      </c>
      <c r="P995" s="1" t="s">
        <v>3230</v>
      </c>
      <c r="Q995" s="1" t="s">
        <v>3408</v>
      </c>
    </row>
    <row r="996">
      <c r="A996" s="1" t="s">
        <v>5090</v>
      </c>
      <c r="B996" s="1">
        <v>38.0</v>
      </c>
      <c r="C996" s="1">
        <v>70.0</v>
      </c>
      <c r="D996" s="2" t="s">
        <v>581</v>
      </c>
      <c r="E996" s="1">
        <v>0.0</v>
      </c>
      <c r="F996" s="1">
        <v>21.0</v>
      </c>
      <c r="G996" s="1">
        <v>11.68</v>
      </c>
      <c r="H996" s="1">
        <v>0.0</v>
      </c>
      <c r="I996" s="1">
        <v>0.0</v>
      </c>
      <c r="J996" s="1">
        <v>0.0</v>
      </c>
      <c r="K996" s="1">
        <v>0.17</v>
      </c>
      <c r="L996" s="1">
        <v>920000.0</v>
      </c>
      <c r="M996" s="1" t="s">
        <v>5091</v>
      </c>
      <c r="N996" s="18">
        <v>46042.0</v>
      </c>
      <c r="O996" s="1" t="s">
        <v>3293</v>
      </c>
      <c r="P996" s="1" t="s">
        <v>3257</v>
      </c>
      <c r="Q996" s="1" t="s">
        <v>3408</v>
      </c>
    </row>
    <row r="997">
      <c r="A997" s="1" t="s">
        <v>5092</v>
      </c>
      <c r="B997" s="1">
        <v>38.0</v>
      </c>
      <c r="C997" s="1">
        <v>50.0</v>
      </c>
      <c r="D997" s="2" t="s">
        <v>911</v>
      </c>
      <c r="E997" s="1">
        <v>36.0</v>
      </c>
      <c r="F997" s="1">
        <v>0.0</v>
      </c>
      <c r="G997" s="1">
        <v>0.0</v>
      </c>
      <c r="H997" s="1">
        <v>0.0</v>
      </c>
      <c r="I997" s="1">
        <v>0.0</v>
      </c>
      <c r="J997" s="1">
        <v>0.0</v>
      </c>
      <c r="K997" s="1">
        <v>0.03</v>
      </c>
      <c r="L997" s="1">
        <v>9.67E7</v>
      </c>
      <c r="M997" s="1" t="s">
        <v>5093</v>
      </c>
      <c r="N997" s="18">
        <v>46042.0</v>
      </c>
      <c r="O997" s="1" t="s">
        <v>3264</v>
      </c>
      <c r="P997" s="1" t="s">
        <v>3230</v>
      </c>
      <c r="Q997" s="1" t="s">
        <v>3408</v>
      </c>
    </row>
    <row r="998">
      <c r="A998" s="1" t="s">
        <v>5094</v>
      </c>
      <c r="B998" s="1">
        <v>38.0</v>
      </c>
      <c r="C998" s="1">
        <v>90.0</v>
      </c>
      <c r="D998" s="2" t="s">
        <v>2930</v>
      </c>
      <c r="E998" s="1">
        <v>38.0</v>
      </c>
      <c r="F998" s="1">
        <v>36.0</v>
      </c>
      <c r="G998" s="1">
        <v>0.0</v>
      </c>
      <c r="H998" s="1">
        <v>0.0</v>
      </c>
      <c r="I998" s="1">
        <v>0.0</v>
      </c>
      <c r="J998" s="1">
        <v>0.0</v>
      </c>
      <c r="K998" s="1">
        <v>0.0</v>
      </c>
      <c r="L998" s="1">
        <v>2540000.0</v>
      </c>
      <c r="M998" s="1" t="s">
        <v>5095</v>
      </c>
      <c r="N998" s="18">
        <v>46038.0</v>
      </c>
      <c r="O998" s="1" t="s">
        <v>3264</v>
      </c>
      <c r="P998" s="1" t="s">
        <v>3230</v>
      </c>
      <c r="Q998" s="1" t="s">
        <v>3408</v>
      </c>
    </row>
    <row r="999">
      <c r="A999" s="1" t="s">
        <v>5096</v>
      </c>
      <c r="B999" s="1">
        <v>38.0</v>
      </c>
      <c r="C999" s="1">
        <v>210.0</v>
      </c>
      <c r="D999" s="2" t="s">
        <v>694</v>
      </c>
      <c r="E999" s="1">
        <v>38.0</v>
      </c>
      <c r="F999" s="1">
        <v>4.0</v>
      </c>
      <c r="G999" s="1">
        <v>0.88</v>
      </c>
      <c r="H999" s="1">
        <v>0.0</v>
      </c>
      <c r="I999" s="1">
        <v>0.0</v>
      </c>
      <c r="J999" s="1">
        <v>0.0</v>
      </c>
      <c r="K999" s="1">
        <v>0.05</v>
      </c>
      <c r="L999" s="1">
        <v>1110000.0</v>
      </c>
      <c r="M999" s="1" t="s">
        <v>5097</v>
      </c>
      <c r="N999" s="18">
        <v>46038.0</v>
      </c>
      <c r="O999" s="1" t="s">
        <v>3565</v>
      </c>
      <c r="P999" s="1" t="s">
        <v>3230</v>
      </c>
      <c r="Q999" s="1" t="s">
        <v>3408</v>
      </c>
    </row>
    <row r="1000">
      <c r="A1000" s="1" t="s">
        <v>3954</v>
      </c>
      <c r="B1000" s="1">
        <v>38.0</v>
      </c>
      <c r="C1000" s="1">
        <v>50.0</v>
      </c>
      <c r="D1000" s="2" t="s">
        <v>581</v>
      </c>
      <c r="E1000" s="1">
        <v>38.0</v>
      </c>
      <c r="F1000" s="1">
        <v>28.0</v>
      </c>
      <c r="G1000" s="1">
        <v>12.96</v>
      </c>
      <c r="H1000" s="1">
        <v>0.0</v>
      </c>
      <c r="I1000" s="1">
        <v>0.0</v>
      </c>
      <c r="J1000" s="1">
        <v>0.0</v>
      </c>
      <c r="K1000" s="1">
        <v>0.63</v>
      </c>
      <c r="L1000" s="1">
        <v>348000.0</v>
      </c>
      <c r="M1000" s="1" t="s">
        <v>3955</v>
      </c>
      <c r="N1000" s="18">
        <v>46037.0</v>
      </c>
      <c r="O1000" s="1" t="s">
        <v>3673</v>
      </c>
      <c r="P1000" s="1" t="s">
        <v>3257</v>
      </c>
      <c r="Q1000" s="1" t="s">
        <v>3408</v>
      </c>
    </row>
    <row r="1001">
      <c r="A1001" s="1" t="s">
        <v>3668</v>
      </c>
      <c r="B1001" s="1">
        <v>38.0</v>
      </c>
      <c r="C1001" s="1">
        <v>50.0</v>
      </c>
      <c r="D1001" s="2" t="s">
        <v>594</v>
      </c>
      <c r="E1001" s="1">
        <v>38.0</v>
      </c>
      <c r="F1001" s="1">
        <v>0.0</v>
      </c>
      <c r="G1001" s="1">
        <v>0.0</v>
      </c>
      <c r="H1001" s="1">
        <v>0.0</v>
      </c>
      <c r="I1001" s="1">
        <v>0.0</v>
      </c>
      <c r="J1001" s="1">
        <v>0.0</v>
      </c>
      <c r="K1001" s="1">
        <v>0.33</v>
      </c>
      <c r="L1001" s="1">
        <v>12900.0</v>
      </c>
      <c r="M1001" s="1" t="s">
        <v>3669</v>
      </c>
      <c r="N1001" s="18">
        <v>46033.0</v>
      </c>
      <c r="O1001" s="1" t="s">
        <v>3670</v>
      </c>
      <c r="P1001" s="1" t="s">
        <v>3334</v>
      </c>
      <c r="Q1001" s="1" t="s">
        <v>3408</v>
      </c>
    </row>
    <row r="1002">
      <c r="A1002" s="1" t="s">
        <v>5098</v>
      </c>
      <c r="B1002" s="1">
        <v>38.0</v>
      </c>
      <c r="C1002" s="1">
        <v>40.0</v>
      </c>
      <c r="D1002" s="2" t="s">
        <v>895</v>
      </c>
      <c r="E1002" s="1">
        <v>38.0</v>
      </c>
      <c r="F1002" s="1">
        <v>0.0</v>
      </c>
      <c r="G1002" s="1">
        <v>0.0</v>
      </c>
      <c r="H1002" s="1">
        <v>0.0</v>
      </c>
      <c r="I1002" s="1">
        <v>0.0</v>
      </c>
      <c r="J1002" s="1">
        <v>0.0</v>
      </c>
      <c r="K1002" s="1">
        <v>0.0</v>
      </c>
      <c r="L1002" s="1">
        <v>851000.0</v>
      </c>
      <c r="M1002" s="1" t="s">
        <v>5099</v>
      </c>
      <c r="N1002" s="18">
        <v>46032.0</v>
      </c>
      <c r="O1002" s="1" t="s">
        <v>4134</v>
      </c>
      <c r="P1002" s="1" t="s">
        <v>3257</v>
      </c>
      <c r="Q1002" s="1" t="s">
        <v>3408</v>
      </c>
    </row>
    <row r="1003">
      <c r="A1003" s="1" t="s">
        <v>5100</v>
      </c>
      <c r="B1003" s="1">
        <v>38.0</v>
      </c>
      <c r="C1003" s="1">
        <v>50.0</v>
      </c>
      <c r="D1003" s="2" t="s">
        <v>837</v>
      </c>
      <c r="E1003" s="1">
        <v>38.0</v>
      </c>
      <c r="F1003" s="1">
        <v>13.0</v>
      </c>
      <c r="G1003" s="1">
        <v>110.66</v>
      </c>
      <c r="H1003" s="1">
        <v>0.0</v>
      </c>
      <c r="I1003" s="1">
        <v>0.0</v>
      </c>
      <c r="J1003" s="1">
        <v>0.0</v>
      </c>
      <c r="K1003" s="1">
        <v>0.07</v>
      </c>
      <c r="L1003" s="1">
        <v>150000.0</v>
      </c>
      <c r="M1003" s="1" t="s">
        <v>5101</v>
      </c>
      <c r="N1003" s="18">
        <v>46031.0</v>
      </c>
      <c r="O1003" s="1" t="s">
        <v>3482</v>
      </c>
      <c r="P1003" s="1" t="s">
        <v>3257</v>
      </c>
      <c r="Q1003" s="1" t="s">
        <v>3408</v>
      </c>
    </row>
    <row r="1004">
      <c r="A1004" s="1" t="s">
        <v>5102</v>
      </c>
      <c r="B1004" s="1">
        <v>38.0</v>
      </c>
      <c r="C1004" s="1">
        <v>50.0</v>
      </c>
      <c r="D1004" s="2" t="s">
        <v>714</v>
      </c>
      <c r="E1004" s="1">
        <v>38.0</v>
      </c>
      <c r="F1004" s="1">
        <v>2.0</v>
      </c>
      <c r="G1004" s="1">
        <v>0.0</v>
      </c>
      <c r="H1004" s="1">
        <v>0.0</v>
      </c>
      <c r="I1004" s="1">
        <v>0.0</v>
      </c>
      <c r="J1004" s="1">
        <v>0.0</v>
      </c>
      <c r="K1004" s="1">
        <v>0.0</v>
      </c>
      <c r="L1004" s="1">
        <v>21300.0</v>
      </c>
      <c r="M1004" s="1" t="s">
        <v>5103</v>
      </c>
      <c r="N1004" s="18">
        <v>46031.0</v>
      </c>
      <c r="O1004" s="1" t="s">
        <v>4557</v>
      </c>
      <c r="P1004" s="1" t="s">
        <v>3334</v>
      </c>
      <c r="Q1004" s="1" t="s">
        <v>3408</v>
      </c>
    </row>
    <row r="1005">
      <c r="A1005" s="1" t="s">
        <v>5104</v>
      </c>
      <c r="B1005" s="1">
        <v>38.0</v>
      </c>
      <c r="C1005" s="1">
        <v>880.0</v>
      </c>
      <c r="D1005" s="2" t="s">
        <v>2941</v>
      </c>
      <c r="E1005" s="1">
        <v>38.0</v>
      </c>
      <c r="G1005" s="1">
        <v>0.0</v>
      </c>
      <c r="H1005" s="1">
        <v>0.0</v>
      </c>
      <c r="I1005" s="1">
        <v>0.0</v>
      </c>
      <c r="J1005" s="1">
        <v>0.0</v>
      </c>
      <c r="K1005" s="1">
        <v>0.06</v>
      </c>
      <c r="L1005" s="1">
        <v>1.58E7</v>
      </c>
      <c r="M1005" s="1" t="s">
        <v>5105</v>
      </c>
      <c r="N1005" s="18">
        <v>46030.0</v>
      </c>
      <c r="O1005" s="1" t="s">
        <v>5106</v>
      </c>
      <c r="P1005" s="1" t="s">
        <v>3334</v>
      </c>
      <c r="Q1005" s="1" t="s">
        <v>3408</v>
      </c>
    </row>
    <row r="1006">
      <c r="A1006" s="1" t="s">
        <v>3756</v>
      </c>
      <c r="B1006" s="1">
        <v>38.0</v>
      </c>
      <c r="C1006" s="1">
        <v>40.0</v>
      </c>
      <c r="D1006" s="2" t="s">
        <v>1234</v>
      </c>
      <c r="E1006" s="1">
        <v>38.0</v>
      </c>
      <c r="G1006" s="1">
        <v>17.48</v>
      </c>
      <c r="H1006" s="1">
        <v>0.0</v>
      </c>
      <c r="I1006" s="1">
        <v>0.0</v>
      </c>
      <c r="J1006" s="1">
        <v>0.0</v>
      </c>
      <c r="K1006" s="1">
        <v>0.53</v>
      </c>
      <c r="L1006" s="1">
        <v>883000.0</v>
      </c>
      <c r="M1006" s="1" t="s">
        <v>3757</v>
      </c>
      <c r="N1006" s="18">
        <v>46028.0</v>
      </c>
      <c r="O1006" s="1" t="s">
        <v>3355</v>
      </c>
      <c r="P1006" s="1" t="s">
        <v>3257</v>
      </c>
      <c r="Q1006" s="1" t="s">
        <v>3408</v>
      </c>
    </row>
    <row r="1007">
      <c r="A1007" s="1" t="s">
        <v>5107</v>
      </c>
      <c r="B1007" s="1">
        <v>38.0</v>
      </c>
      <c r="C1007" s="1">
        <v>40.0</v>
      </c>
      <c r="D1007" s="2" t="s">
        <v>2103</v>
      </c>
      <c r="E1007" s="1">
        <v>38.0</v>
      </c>
      <c r="F1007" s="1">
        <v>21.0</v>
      </c>
      <c r="G1007" s="1">
        <v>0.0</v>
      </c>
      <c r="H1007" s="1">
        <v>0.0</v>
      </c>
      <c r="I1007" s="1">
        <v>0.0</v>
      </c>
      <c r="J1007" s="1">
        <v>0.0</v>
      </c>
      <c r="K1007" s="1">
        <v>0.0</v>
      </c>
      <c r="L1007" s="1">
        <v>278000.0</v>
      </c>
      <c r="M1007" s="1" t="s">
        <v>5108</v>
      </c>
      <c r="N1007" s="18">
        <v>46027.0</v>
      </c>
      <c r="O1007" s="1" t="s">
        <v>3889</v>
      </c>
      <c r="P1007" s="1" t="s">
        <v>3230</v>
      </c>
      <c r="Q1007" s="1" t="s">
        <v>3408</v>
      </c>
    </row>
    <row r="1008">
      <c r="A1008" s="1" t="s">
        <v>3651</v>
      </c>
      <c r="B1008" s="1">
        <v>38.0</v>
      </c>
      <c r="C1008" s="1">
        <v>50.0</v>
      </c>
      <c r="D1008" s="2" t="s">
        <v>594</v>
      </c>
      <c r="E1008" s="1">
        <v>38.0</v>
      </c>
      <c r="F1008" s="1">
        <v>3.0</v>
      </c>
      <c r="G1008" s="1">
        <v>5.11</v>
      </c>
      <c r="H1008" s="1">
        <v>0.0</v>
      </c>
      <c r="I1008" s="1">
        <v>0.0</v>
      </c>
      <c r="J1008" s="1">
        <v>0.0</v>
      </c>
      <c r="K1008" s="1">
        <v>0.12</v>
      </c>
      <c r="L1008" s="1">
        <v>34000.0</v>
      </c>
      <c r="M1008" s="1" t="s">
        <v>3652</v>
      </c>
      <c r="N1008" s="18">
        <v>46027.0</v>
      </c>
      <c r="O1008" s="1" t="s">
        <v>3653</v>
      </c>
      <c r="P1008" s="1" t="s">
        <v>3334</v>
      </c>
      <c r="Q1008" s="1" t="s">
        <v>3408</v>
      </c>
    </row>
    <row r="1009">
      <c r="A1009" s="1" t="s">
        <v>5109</v>
      </c>
      <c r="B1009" s="1">
        <v>38.0</v>
      </c>
      <c r="C1009" s="1">
        <v>170.0</v>
      </c>
      <c r="D1009" s="2" t="s">
        <v>2416</v>
      </c>
      <c r="E1009" s="1">
        <v>38.0</v>
      </c>
      <c r="F1009" s="1">
        <v>22.0</v>
      </c>
      <c r="G1009" s="1">
        <v>0.0</v>
      </c>
      <c r="H1009" s="1">
        <v>0.0</v>
      </c>
      <c r="I1009" s="1">
        <v>0.0</v>
      </c>
      <c r="J1009" s="1">
        <v>0.0</v>
      </c>
      <c r="K1009" s="1">
        <v>0.0</v>
      </c>
      <c r="L1009" s="1">
        <v>1.2E7</v>
      </c>
      <c r="M1009" s="1" t="s">
        <v>5110</v>
      </c>
      <c r="N1009" s="18">
        <v>46027.0</v>
      </c>
      <c r="O1009" s="1" t="s">
        <v>3314</v>
      </c>
      <c r="P1009" s="1" t="s">
        <v>3301</v>
      </c>
      <c r="Q1009" s="1" t="s">
        <v>3408</v>
      </c>
    </row>
    <row r="1010">
      <c r="A1010" s="1" t="s">
        <v>5111</v>
      </c>
      <c r="B1010" s="1">
        <v>38.0</v>
      </c>
      <c r="C1010" s="1">
        <v>40.0</v>
      </c>
      <c r="D1010" s="2" t="s">
        <v>1912</v>
      </c>
      <c r="E1010" s="1">
        <v>38.0</v>
      </c>
      <c r="F1010" s="1">
        <v>7.0</v>
      </c>
      <c r="G1010" s="1">
        <v>0.0</v>
      </c>
      <c r="H1010" s="1">
        <v>0.0</v>
      </c>
      <c r="I1010" s="1">
        <v>0.0</v>
      </c>
      <c r="J1010" s="1">
        <v>0.0</v>
      </c>
      <c r="K1010" s="1">
        <v>0.11</v>
      </c>
      <c r="L1010" s="1">
        <v>27600.0</v>
      </c>
      <c r="M1010" s="1" t="s">
        <v>5112</v>
      </c>
      <c r="N1010" s="18">
        <v>46027.0</v>
      </c>
      <c r="O1010" s="1" t="s">
        <v>3264</v>
      </c>
      <c r="P1010" s="1" t="s">
        <v>3230</v>
      </c>
      <c r="Q1010" s="1" t="s">
        <v>3408</v>
      </c>
    </row>
    <row r="1011">
      <c r="A1011" s="1" t="s">
        <v>5113</v>
      </c>
      <c r="B1011" s="1">
        <v>38.0</v>
      </c>
      <c r="C1011" s="1">
        <v>50.0</v>
      </c>
      <c r="D1011" s="2" t="s">
        <v>2184</v>
      </c>
      <c r="E1011" s="1">
        <v>38.0</v>
      </c>
      <c r="F1011" s="1">
        <v>11.0</v>
      </c>
      <c r="G1011" s="1">
        <v>0.0</v>
      </c>
      <c r="H1011" s="1">
        <v>0.0</v>
      </c>
      <c r="I1011" s="1">
        <v>0.0</v>
      </c>
      <c r="J1011" s="1">
        <v>0.0</v>
      </c>
      <c r="K1011" s="1">
        <v>0.01</v>
      </c>
      <c r="L1011" s="1">
        <v>7650000.0</v>
      </c>
      <c r="M1011" s="1" t="s">
        <v>5114</v>
      </c>
      <c r="N1011" s="18">
        <v>46025.0</v>
      </c>
      <c r="O1011" s="1" t="s">
        <v>5115</v>
      </c>
      <c r="P1011" s="1" t="s">
        <v>3334</v>
      </c>
      <c r="Q1011" s="1" t="s">
        <v>3408</v>
      </c>
    </row>
    <row r="1012">
      <c r="A1012" s="1" t="s">
        <v>3704</v>
      </c>
      <c r="B1012" s="1">
        <v>38.0</v>
      </c>
      <c r="C1012" s="1">
        <v>140.0</v>
      </c>
      <c r="D1012" s="2" t="s">
        <v>1008</v>
      </c>
      <c r="E1012" s="1">
        <v>38.0</v>
      </c>
      <c r="F1012" s="1">
        <v>20.0</v>
      </c>
      <c r="G1012" s="1">
        <v>16.24</v>
      </c>
      <c r="H1012" s="1">
        <v>0.0</v>
      </c>
      <c r="I1012" s="1">
        <v>0.0</v>
      </c>
      <c r="J1012" s="1">
        <v>0.0</v>
      </c>
      <c r="K1012" s="1">
        <v>0.67</v>
      </c>
      <c r="L1012" s="1">
        <v>47200.0</v>
      </c>
      <c r="M1012" s="1" t="s">
        <v>3705</v>
      </c>
      <c r="N1012" s="18">
        <v>46023.0</v>
      </c>
      <c r="O1012" s="1" t="s">
        <v>3706</v>
      </c>
      <c r="P1012" s="1" t="s">
        <v>3257</v>
      </c>
      <c r="Q1012" s="1" t="s">
        <v>3408</v>
      </c>
    </row>
    <row r="1013">
      <c r="A1013" s="1" t="s">
        <v>5116</v>
      </c>
      <c r="B1013" s="1">
        <v>38.0</v>
      </c>
      <c r="C1013" s="1">
        <v>320.0</v>
      </c>
      <c r="D1013" s="2" t="s">
        <v>1543</v>
      </c>
      <c r="E1013" s="1">
        <v>38.0</v>
      </c>
      <c r="F1013" s="1">
        <v>4.0</v>
      </c>
      <c r="G1013" s="1">
        <v>18.33</v>
      </c>
      <c r="H1013" s="1">
        <v>0.0</v>
      </c>
      <c r="I1013" s="1">
        <v>0.0</v>
      </c>
      <c r="J1013" s="1">
        <v>0.0</v>
      </c>
      <c r="K1013" s="1">
        <v>0.17</v>
      </c>
      <c r="L1013" s="1">
        <v>2.21E8</v>
      </c>
      <c r="M1013" s="1" t="s">
        <v>5117</v>
      </c>
      <c r="N1013" s="18">
        <v>46023.0</v>
      </c>
      <c r="O1013" s="1" t="s">
        <v>4414</v>
      </c>
      <c r="P1013" s="1" t="s">
        <v>3257</v>
      </c>
      <c r="Q1013" s="1" t="s">
        <v>3408</v>
      </c>
    </row>
    <row r="1014">
      <c r="A1014" s="1" t="s">
        <v>3422</v>
      </c>
      <c r="B1014" s="1">
        <v>38.0</v>
      </c>
      <c r="C1014" s="1">
        <v>70.0</v>
      </c>
      <c r="D1014" s="2" t="s">
        <v>584</v>
      </c>
      <c r="E1014" s="1">
        <v>38.0</v>
      </c>
      <c r="F1014" s="1">
        <v>3.0</v>
      </c>
      <c r="G1014" s="1">
        <v>0.0</v>
      </c>
      <c r="H1014" s="1">
        <v>0.0</v>
      </c>
      <c r="I1014" s="1">
        <v>0.0</v>
      </c>
      <c r="J1014" s="1">
        <v>0.0</v>
      </c>
      <c r="K1014" s="1">
        <v>0.0</v>
      </c>
      <c r="L1014" s="1">
        <v>4.76E8</v>
      </c>
      <c r="M1014" s="1" t="s">
        <v>3423</v>
      </c>
      <c r="N1014" s="18">
        <v>46022.0</v>
      </c>
      <c r="O1014" s="1" t="s">
        <v>3424</v>
      </c>
      <c r="P1014" s="1" t="s">
        <v>3257</v>
      </c>
      <c r="Q1014" s="1" t="s">
        <v>3408</v>
      </c>
    </row>
    <row r="1015">
      <c r="A1015" s="1" t="s">
        <v>5118</v>
      </c>
      <c r="B1015" s="1">
        <v>38.0</v>
      </c>
      <c r="C1015" s="1">
        <v>50.0</v>
      </c>
      <c r="D1015" s="2" t="s">
        <v>581</v>
      </c>
      <c r="E1015" s="1">
        <v>38.0</v>
      </c>
      <c r="F1015" s="1">
        <v>19.0</v>
      </c>
      <c r="G1015" s="1">
        <v>3.22</v>
      </c>
      <c r="H1015" s="1">
        <v>0.0</v>
      </c>
      <c r="I1015" s="1">
        <v>0.0</v>
      </c>
      <c r="J1015" s="1">
        <v>0.0</v>
      </c>
      <c r="K1015" s="1">
        <v>0.21</v>
      </c>
      <c r="L1015" s="1">
        <v>35200.0</v>
      </c>
      <c r="M1015" s="1" t="s">
        <v>5119</v>
      </c>
      <c r="N1015" s="18">
        <v>46020.0</v>
      </c>
      <c r="O1015" s="1" t="s">
        <v>5120</v>
      </c>
      <c r="P1015" s="1" t="s">
        <v>3230</v>
      </c>
      <c r="Q1015" s="1" t="s">
        <v>3408</v>
      </c>
    </row>
    <row r="1016">
      <c r="A1016" s="1" t="s">
        <v>4015</v>
      </c>
      <c r="B1016" s="1">
        <v>38.0</v>
      </c>
      <c r="C1016" s="1">
        <v>110.0</v>
      </c>
      <c r="D1016" s="2" t="s">
        <v>617</v>
      </c>
      <c r="E1016" s="1">
        <v>38.0</v>
      </c>
      <c r="F1016" s="1">
        <v>7.0</v>
      </c>
      <c r="G1016" s="1">
        <v>0.0</v>
      </c>
      <c r="H1016" s="1">
        <v>0.0</v>
      </c>
      <c r="I1016" s="1">
        <v>0.0</v>
      </c>
      <c r="J1016" s="1">
        <v>0.0</v>
      </c>
      <c r="K1016" s="1">
        <v>0.38</v>
      </c>
      <c r="L1016" s="1">
        <v>1.93E7</v>
      </c>
      <c r="M1016" s="1" t="s">
        <v>4016</v>
      </c>
      <c r="N1016" s="18">
        <v>46018.0</v>
      </c>
      <c r="O1016" s="1" t="s">
        <v>3482</v>
      </c>
      <c r="P1016" s="1" t="s">
        <v>3257</v>
      </c>
      <c r="Q1016" s="1" t="s">
        <v>3408</v>
      </c>
    </row>
    <row r="1017">
      <c r="A1017" s="1" t="s">
        <v>5121</v>
      </c>
      <c r="B1017" s="1">
        <v>38.0</v>
      </c>
      <c r="C1017" s="1">
        <v>110.0</v>
      </c>
      <c r="D1017" s="2" t="s">
        <v>1052</v>
      </c>
      <c r="E1017" s="1">
        <v>38.0</v>
      </c>
      <c r="F1017" s="1">
        <v>25.0</v>
      </c>
      <c r="G1017" s="1">
        <v>0.0</v>
      </c>
      <c r="H1017" s="1">
        <v>0.0</v>
      </c>
      <c r="I1017" s="1">
        <v>0.0</v>
      </c>
      <c r="J1017" s="1">
        <v>0.0</v>
      </c>
      <c r="K1017" s="1">
        <v>0.0</v>
      </c>
      <c r="L1017" s="1">
        <v>1.22E8</v>
      </c>
      <c r="M1017" s="1" t="s">
        <v>5122</v>
      </c>
      <c r="N1017" s="18">
        <v>46016.0</v>
      </c>
      <c r="O1017" s="1" t="s">
        <v>3407</v>
      </c>
      <c r="P1017" s="1" t="s">
        <v>3230</v>
      </c>
      <c r="Q1017" s="1" t="s">
        <v>3408</v>
      </c>
    </row>
    <row r="1018">
      <c r="A1018" s="1" t="s">
        <v>5123</v>
      </c>
      <c r="B1018" s="1">
        <v>38.0</v>
      </c>
      <c r="C1018" s="1">
        <v>70.0</v>
      </c>
      <c r="D1018" s="2" t="s">
        <v>439</v>
      </c>
      <c r="E1018" s="1">
        <v>38.0</v>
      </c>
      <c r="F1018" s="1">
        <v>18.0</v>
      </c>
      <c r="G1018" s="1">
        <v>5.18</v>
      </c>
      <c r="H1018" s="1">
        <v>0.0</v>
      </c>
      <c r="I1018" s="1">
        <v>0.0</v>
      </c>
      <c r="J1018" s="1">
        <v>0.0</v>
      </c>
      <c r="K1018" s="1">
        <v>0.18</v>
      </c>
      <c r="L1018" s="1">
        <v>11900.0</v>
      </c>
      <c r="M1018" s="1" t="s">
        <v>5124</v>
      </c>
      <c r="N1018" s="18">
        <v>46014.0</v>
      </c>
      <c r="O1018" s="1" t="s">
        <v>5125</v>
      </c>
      <c r="P1018" s="1" t="s">
        <v>3301</v>
      </c>
      <c r="Q1018" s="1" t="s">
        <v>3408</v>
      </c>
    </row>
    <row r="1019">
      <c r="A1019" s="1" t="s">
        <v>5126</v>
      </c>
      <c r="B1019" s="1">
        <v>38.0</v>
      </c>
      <c r="C1019" s="1">
        <v>210.0</v>
      </c>
      <c r="D1019" s="2" t="s">
        <v>726</v>
      </c>
      <c r="E1019" s="1">
        <v>38.0</v>
      </c>
      <c r="F1019" s="1">
        <v>27.0</v>
      </c>
      <c r="G1019" s="1">
        <v>0.0</v>
      </c>
      <c r="H1019" s="1">
        <v>0.0</v>
      </c>
      <c r="I1019" s="1">
        <v>0.0</v>
      </c>
      <c r="J1019" s="1">
        <v>0.0</v>
      </c>
      <c r="K1019" s="1">
        <v>0.0</v>
      </c>
      <c r="L1019" s="1">
        <v>2660000.0</v>
      </c>
      <c r="M1019" s="1" t="s">
        <v>5127</v>
      </c>
      <c r="N1019" s="18">
        <v>46011.0</v>
      </c>
      <c r="O1019" s="1" t="s">
        <v>5128</v>
      </c>
      <c r="P1019" s="1" t="s">
        <v>3257</v>
      </c>
      <c r="Q1019" s="1" t="s">
        <v>3408</v>
      </c>
    </row>
    <row r="1020">
      <c r="A1020" s="1" t="s">
        <v>5129</v>
      </c>
      <c r="B1020" s="1">
        <v>38.0</v>
      </c>
      <c r="C1020" s="1">
        <v>40.0</v>
      </c>
      <c r="D1020" s="2" t="s">
        <v>911</v>
      </c>
      <c r="E1020" s="1">
        <v>38.0</v>
      </c>
      <c r="F1020" s="1">
        <v>0.0</v>
      </c>
      <c r="G1020" s="1">
        <v>1.34</v>
      </c>
      <c r="H1020" s="1">
        <v>0.0</v>
      </c>
      <c r="I1020" s="1">
        <v>0.0</v>
      </c>
      <c r="J1020" s="1">
        <v>0.0</v>
      </c>
      <c r="K1020" s="1">
        <v>0.54</v>
      </c>
      <c r="L1020" s="1">
        <v>5540000.0</v>
      </c>
      <c r="M1020" s="1" t="s">
        <v>5130</v>
      </c>
      <c r="N1020" s="18">
        <v>46006.0</v>
      </c>
      <c r="O1020" s="1" t="s">
        <v>3496</v>
      </c>
      <c r="P1020" s="1" t="s">
        <v>3230</v>
      </c>
      <c r="Q1020" s="1" t="s">
        <v>3408</v>
      </c>
    </row>
    <row r="1021">
      <c r="A1021" s="1" t="s">
        <v>5131</v>
      </c>
      <c r="B1021" s="1">
        <v>38.0</v>
      </c>
      <c r="C1021" s="1">
        <v>1600.0</v>
      </c>
      <c r="D1021" s="2" t="s">
        <v>2930</v>
      </c>
      <c r="E1021" s="1">
        <v>38.0</v>
      </c>
      <c r="F1021" s="1">
        <v>36.0</v>
      </c>
      <c r="G1021" s="1">
        <v>1.52</v>
      </c>
      <c r="H1021" s="1">
        <v>0.0</v>
      </c>
      <c r="I1021" s="1">
        <v>0.0</v>
      </c>
      <c r="J1021" s="1">
        <v>0.0</v>
      </c>
      <c r="K1021" s="1">
        <v>0.0</v>
      </c>
      <c r="L1021" s="1">
        <v>6.16E8</v>
      </c>
      <c r="M1021" s="1" t="s">
        <v>5132</v>
      </c>
      <c r="N1021" s="18">
        <v>46005.0</v>
      </c>
      <c r="O1021" s="1" t="s">
        <v>3442</v>
      </c>
      <c r="P1021" s="1" t="s">
        <v>3230</v>
      </c>
      <c r="Q1021" s="1" t="s">
        <v>3408</v>
      </c>
    </row>
    <row r="1022">
      <c r="A1022" s="1" t="s">
        <v>5133</v>
      </c>
      <c r="B1022" s="1">
        <v>38.0</v>
      </c>
      <c r="C1022" s="1">
        <v>90.0</v>
      </c>
      <c r="D1022" s="2" t="s">
        <v>1166</v>
      </c>
      <c r="E1022" s="1">
        <v>38.0</v>
      </c>
      <c r="F1022" s="1">
        <v>14.0</v>
      </c>
      <c r="G1022" s="1">
        <v>0.0</v>
      </c>
      <c r="H1022" s="1">
        <v>0.0</v>
      </c>
      <c r="I1022" s="1">
        <v>0.0</v>
      </c>
      <c r="J1022" s="1">
        <v>0.0</v>
      </c>
      <c r="K1022" s="1">
        <v>0.0</v>
      </c>
      <c r="L1022" s="1">
        <v>267000.0</v>
      </c>
      <c r="M1022" s="1" t="s">
        <v>5134</v>
      </c>
      <c r="N1022" s="18">
        <v>46004.0</v>
      </c>
      <c r="O1022" s="1" t="s">
        <v>3455</v>
      </c>
      <c r="P1022" s="1" t="s">
        <v>3257</v>
      </c>
      <c r="Q1022" s="1" t="s">
        <v>3408</v>
      </c>
    </row>
    <row r="1023">
      <c r="A1023" s="1" t="s">
        <v>5135</v>
      </c>
      <c r="B1023" s="1">
        <v>38.0</v>
      </c>
      <c r="C1023" s="1">
        <v>110.0</v>
      </c>
      <c r="D1023" s="2" t="s">
        <v>1543</v>
      </c>
      <c r="E1023" s="1">
        <v>38.0</v>
      </c>
      <c r="F1023" s="1">
        <v>0.0</v>
      </c>
      <c r="G1023" s="1">
        <v>22.27</v>
      </c>
      <c r="H1023" s="1">
        <v>0.0</v>
      </c>
      <c r="I1023" s="1">
        <v>0.0</v>
      </c>
      <c r="J1023" s="1">
        <v>0.0</v>
      </c>
      <c r="K1023" s="1">
        <v>0.24</v>
      </c>
      <c r="L1023" s="1">
        <v>6300000.0</v>
      </c>
      <c r="M1023" s="1" t="s">
        <v>5136</v>
      </c>
      <c r="N1023" s="18">
        <v>46000.0</v>
      </c>
      <c r="O1023" s="1" t="s">
        <v>3479</v>
      </c>
      <c r="P1023" s="1" t="s">
        <v>3334</v>
      </c>
      <c r="Q1023" s="1" t="s">
        <v>3408</v>
      </c>
    </row>
    <row r="1024">
      <c r="A1024" s="1" t="s">
        <v>5137</v>
      </c>
      <c r="B1024" s="1">
        <v>38.0</v>
      </c>
      <c r="C1024" s="1">
        <v>70.0</v>
      </c>
      <c r="D1024" s="2" t="s">
        <v>973</v>
      </c>
      <c r="E1024" s="1">
        <v>38.0</v>
      </c>
      <c r="F1024" s="1">
        <v>42.0</v>
      </c>
      <c r="G1024" s="1">
        <v>2.04</v>
      </c>
      <c r="H1024" s="1">
        <v>0.0</v>
      </c>
      <c r="I1024" s="1">
        <v>0.0</v>
      </c>
      <c r="J1024" s="1">
        <v>0.0</v>
      </c>
      <c r="K1024" s="1">
        <v>0.13</v>
      </c>
      <c r="L1024" s="1">
        <v>5.85E7</v>
      </c>
      <c r="M1024" s="1" t="s">
        <v>5138</v>
      </c>
      <c r="N1024" s="18">
        <v>46000.0</v>
      </c>
      <c r="O1024" s="1" t="s">
        <v>3479</v>
      </c>
      <c r="P1024" s="1" t="s">
        <v>3230</v>
      </c>
      <c r="Q1024" s="1" t="s">
        <v>3408</v>
      </c>
    </row>
    <row r="1025">
      <c r="A1025" s="1" t="s">
        <v>5139</v>
      </c>
      <c r="B1025" s="1">
        <v>38.0</v>
      </c>
      <c r="C1025" s="1">
        <v>90.0</v>
      </c>
      <c r="D1025" s="2" t="s">
        <v>2416</v>
      </c>
      <c r="E1025" s="1">
        <v>38.0</v>
      </c>
      <c r="F1025" s="1">
        <v>8.0</v>
      </c>
      <c r="G1025" s="1">
        <v>0.0</v>
      </c>
      <c r="H1025" s="1">
        <v>0.0</v>
      </c>
      <c r="I1025" s="1">
        <v>0.0</v>
      </c>
      <c r="J1025" s="1">
        <v>0.0</v>
      </c>
      <c r="K1025" s="1">
        <v>0.01</v>
      </c>
      <c r="L1025" s="1">
        <v>686000.0</v>
      </c>
      <c r="M1025" s="1" t="s">
        <v>5140</v>
      </c>
      <c r="N1025" s="18">
        <v>45999.0</v>
      </c>
      <c r="O1025" s="1" t="s">
        <v>3920</v>
      </c>
      <c r="P1025" s="1" t="s">
        <v>3230</v>
      </c>
      <c r="Q1025" s="1" t="s">
        <v>3408</v>
      </c>
    </row>
    <row r="1026">
      <c r="A1026" s="1" t="s">
        <v>5141</v>
      </c>
      <c r="B1026" s="1">
        <v>38.0</v>
      </c>
      <c r="C1026" s="1">
        <v>40.0</v>
      </c>
      <c r="D1026" s="2" t="s">
        <v>1052</v>
      </c>
      <c r="E1026" s="1">
        <v>38.0</v>
      </c>
      <c r="F1026" s="1">
        <v>33.0</v>
      </c>
      <c r="G1026" s="1">
        <v>0.0</v>
      </c>
      <c r="H1026" s="1">
        <v>0.0</v>
      </c>
      <c r="I1026" s="1">
        <v>0.0</v>
      </c>
      <c r="J1026" s="1">
        <v>0.0</v>
      </c>
      <c r="K1026" s="1">
        <v>0.0</v>
      </c>
      <c r="L1026" s="1">
        <v>1.51E7</v>
      </c>
      <c r="M1026" s="1" t="s">
        <v>5142</v>
      </c>
      <c r="N1026" s="18">
        <v>45998.0</v>
      </c>
      <c r="O1026" s="1" t="s">
        <v>3479</v>
      </c>
      <c r="P1026" s="1" t="s">
        <v>3230</v>
      </c>
      <c r="Q1026" s="1" t="s">
        <v>3408</v>
      </c>
    </row>
    <row r="1027">
      <c r="A1027" s="1" t="s">
        <v>5143</v>
      </c>
      <c r="B1027" s="1">
        <v>38.0</v>
      </c>
      <c r="C1027" s="1">
        <v>90.0</v>
      </c>
      <c r="D1027" s="2" t="s">
        <v>911</v>
      </c>
      <c r="E1027" s="1">
        <v>38.0</v>
      </c>
      <c r="F1027" s="1">
        <v>3.0</v>
      </c>
      <c r="G1027" s="1">
        <v>2.68</v>
      </c>
      <c r="H1027" s="1">
        <v>0.0</v>
      </c>
      <c r="I1027" s="1">
        <v>0.0</v>
      </c>
      <c r="J1027" s="1">
        <v>0.0</v>
      </c>
      <c r="K1027" s="1">
        <v>0.78</v>
      </c>
      <c r="L1027" s="1">
        <v>6700000.0</v>
      </c>
      <c r="M1027" s="1" t="s">
        <v>5144</v>
      </c>
      <c r="N1027" s="18">
        <v>45998.0</v>
      </c>
      <c r="O1027" s="1" t="s">
        <v>3264</v>
      </c>
      <c r="P1027" s="1" t="s">
        <v>3230</v>
      </c>
      <c r="Q1027" s="1" t="s">
        <v>3408</v>
      </c>
    </row>
    <row r="1028">
      <c r="A1028" s="1" t="s">
        <v>5145</v>
      </c>
      <c r="B1028" s="1">
        <v>38.0</v>
      </c>
      <c r="C1028" s="1">
        <v>90.0</v>
      </c>
      <c r="D1028" s="2" t="s">
        <v>921</v>
      </c>
      <c r="E1028" s="1">
        <v>38.0</v>
      </c>
      <c r="F1028" s="1">
        <v>5.0</v>
      </c>
      <c r="G1028" s="1">
        <v>3.29</v>
      </c>
      <c r="H1028" s="1">
        <v>0.0</v>
      </c>
      <c r="I1028" s="1">
        <v>0.0</v>
      </c>
      <c r="J1028" s="1">
        <v>0.0</v>
      </c>
      <c r="K1028" s="1">
        <v>0.24</v>
      </c>
      <c r="L1028" s="1">
        <v>2450000.0</v>
      </c>
      <c r="M1028" s="1" t="s">
        <v>5146</v>
      </c>
      <c r="N1028" s="18">
        <v>45992.0</v>
      </c>
      <c r="O1028" s="1" t="s">
        <v>5147</v>
      </c>
      <c r="P1028" s="1" t="s">
        <v>3257</v>
      </c>
      <c r="Q1028" s="1" t="s">
        <v>3408</v>
      </c>
    </row>
    <row r="1029">
      <c r="A1029" s="1" t="s">
        <v>5148</v>
      </c>
      <c r="B1029" s="1">
        <v>38.0</v>
      </c>
      <c r="C1029" s="1">
        <v>70.0</v>
      </c>
      <c r="D1029" s="2" t="s">
        <v>2930</v>
      </c>
      <c r="E1029" s="1">
        <v>38.0</v>
      </c>
      <c r="F1029" s="1">
        <v>49.0</v>
      </c>
      <c r="G1029" s="1">
        <v>0.0</v>
      </c>
      <c r="H1029" s="1">
        <v>0.0</v>
      </c>
      <c r="I1029" s="1">
        <v>0.0</v>
      </c>
      <c r="J1029" s="1">
        <v>0.0</v>
      </c>
      <c r="K1029" s="1">
        <v>0.0</v>
      </c>
      <c r="L1029" s="1">
        <v>10.0</v>
      </c>
      <c r="M1029" s="1" t="s">
        <v>5149</v>
      </c>
      <c r="N1029" s="18">
        <v>45968.0</v>
      </c>
      <c r="O1029" s="1" t="s">
        <v>3592</v>
      </c>
      <c r="P1029" s="1" t="s">
        <v>3230</v>
      </c>
      <c r="Q1029" s="1" t="s">
        <v>3408</v>
      </c>
    </row>
    <row r="1030">
      <c r="A1030" s="1" t="s">
        <v>5150</v>
      </c>
      <c r="B1030" s="1">
        <v>39.0</v>
      </c>
      <c r="C1030" s="1">
        <v>50.0</v>
      </c>
      <c r="D1030" s="2" t="s">
        <v>439</v>
      </c>
      <c r="E1030" s="1">
        <v>71.0</v>
      </c>
      <c r="F1030" s="1">
        <v>21.0</v>
      </c>
      <c r="G1030" s="1">
        <v>0.0</v>
      </c>
      <c r="H1030" s="1">
        <v>0.0</v>
      </c>
      <c r="I1030" s="1">
        <v>0.0</v>
      </c>
      <c r="J1030" s="1">
        <v>0.0</v>
      </c>
      <c r="K1030" s="1">
        <v>0.5</v>
      </c>
      <c r="L1030" s="1">
        <v>3790.0</v>
      </c>
      <c r="M1030" s="1" t="s">
        <v>5151</v>
      </c>
      <c r="N1030" s="18">
        <v>46042.0</v>
      </c>
      <c r="O1030" s="1" t="s">
        <v>3293</v>
      </c>
      <c r="P1030" s="1" t="s">
        <v>3294</v>
      </c>
      <c r="Q1030" s="1" t="s">
        <v>3408</v>
      </c>
    </row>
    <row r="1031">
      <c r="A1031" s="1" t="s">
        <v>3618</v>
      </c>
      <c r="B1031" s="1">
        <v>39.0</v>
      </c>
      <c r="C1031" s="1">
        <v>170.0</v>
      </c>
      <c r="D1031" s="2" t="s">
        <v>694</v>
      </c>
      <c r="E1031" s="1">
        <v>39.0</v>
      </c>
      <c r="F1031" s="1">
        <v>7.0</v>
      </c>
      <c r="G1031" s="1">
        <v>0.47</v>
      </c>
      <c r="H1031" s="1">
        <v>0.0</v>
      </c>
      <c r="I1031" s="1">
        <v>0.0</v>
      </c>
      <c r="J1031" s="1">
        <v>0.0</v>
      </c>
      <c r="K1031" s="1">
        <v>0.05</v>
      </c>
      <c r="L1031" s="1">
        <v>160000.0</v>
      </c>
      <c r="M1031" s="1" t="s">
        <v>3619</v>
      </c>
      <c r="N1031" s="18">
        <v>46039.0</v>
      </c>
      <c r="O1031" s="1" t="s">
        <v>3317</v>
      </c>
      <c r="P1031" s="1" t="s">
        <v>3230</v>
      </c>
      <c r="Q1031" s="1" t="s">
        <v>3408</v>
      </c>
    </row>
    <row r="1032">
      <c r="A1032" s="1" t="s">
        <v>5152</v>
      </c>
      <c r="B1032" s="1">
        <v>39.0</v>
      </c>
      <c r="C1032" s="1">
        <v>40.0</v>
      </c>
      <c r="D1032" s="2" t="s">
        <v>1295</v>
      </c>
      <c r="E1032" s="1">
        <v>39.0</v>
      </c>
      <c r="F1032" s="1">
        <v>7.0</v>
      </c>
      <c r="G1032" s="1">
        <v>0.0</v>
      </c>
      <c r="H1032" s="1">
        <v>0.0</v>
      </c>
      <c r="I1032" s="1">
        <v>0.0</v>
      </c>
      <c r="J1032" s="1">
        <v>0.0</v>
      </c>
      <c r="K1032" s="1">
        <v>0.33</v>
      </c>
      <c r="L1032" s="1">
        <v>28200.0</v>
      </c>
      <c r="M1032" s="1" t="s">
        <v>5153</v>
      </c>
      <c r="N1032" s="18">
        <v>46033.0</v>
      </c>
      <c r="O1032" s="1" t="s">
        <v>4338</v>
      </c>
      <c r="P1032" s="1" t="s">
        <v>3334</v>
      </c>
      <c r="Q1032" s="1" t="s">
        <v>3408</v>
      </c>
    </row>
    <row r="1033">
      <c r="A1033" s="1" t="s">
        <v>5154</v>
      </c>
      <c r="B1033" s="1">
        <v>39.0</v>
      </c>
      <c r="C1033" s="1">
        <v>50.0</v>
      </c>
      <c r="D1033" s="2" t="s">
        <v>515</v>
      </c>
      <c r="E1033" s="1">
        <v>39.0</v>
      </c>
      <c r="F1033" s="1">
        <v>1.0</v>
      </c>
      <c r="G1033" s="1">
        <v>0.0</v>
      </c>
      <c r="H1033" s="1">
        <v>0.0</v>
      </c>
      <c r="I1033" s="1">
        <v>0.0</v>
      </c>
      <c r="J1033" s="1">
        <v>0.0</v>
      </c>
      <c r="K1033" s="1">
        <v>0.0</v>
      </c>
      <c r="L1033" s="1">
        <v>1330000.0</v>
      </c>
      <c r="M1033" s="1" t="s">
        <v>5155</v>
      </c>
      <c r="N1033" s="18">
        <v>46032.0</v>
      </c>
      <c r="O1033" s="1" t="s">
        <v>3670</v>
      </c>
      <c r="P1033" s="1" t="s">
        <v>3334</v>
      </c>
      <c r="Q1033" s="1" t="s">
        <v>3408</v>
      </c>
    </row>
    <row r="1034">
      <c r="A1034" s="1" t="s">
        <v>3643</v>
      </c>
      <c r="B1034" s="1">
        <v>39.0</v>
      </c>
      <c r="C1034" s="1">
        <v>50.0</v>
      </c>
      <c r="D1034" s="2" t="s">
        <v>590</v>
      </c>
      <c r="E1034" s="1">
        <v>39.0</v>
      </c>
      <c r="F1034" s="1">
        <v>4.0</v>
      </c>
      <c r="G1034" s="1">
        <v>0.0</v>
      </c>
      <c r="H1034" s="1">
        <v>0.0</v>
      </c>
      <c r="I1034" s="1">
        <v>0.0</v>
      </c>
      <c r="J1034" s="1">
        <v>0.0</v>
      </c>
      <c r="K1034" s="1">
        <v>0.02</v>
      </c>
      <c r="L1034" s="1">
        <v>47200.0</v>
      </c>
      <c r="M1034" s="1" t="s">
        <v>3644</v>
      </c>
      <c r="N1034" s="18">
        <v>46032.0</v>
      </c>
      <c r="O1034" s="1" t="s">
        <v>3645</v>
      </c>
      <c r="P1034" s="1" t="s">
        <v>3257</v>
      </c>
      <c r="Q1034" s="1" t="s">
        <v>3408</v>
      </c>
    </row>
    <row r="1035">
      <c r="A1035" s="1" t="s">
        <v>5156</v>
      </c>
      <c r="B1035" s="1">
        <v>39.0</v>
      </c>
      <c r="C1035" s="1">
        <v>30.0</v>
      </c>
      <c r="D1035" s="2" t="s">
        <v>439</v>
      </c>
      <c r="E1035" s="1">
        <v>39.0</v>
      </c>
      <c r="F1035" s="1">
        <v>15.0</v>
      </c>
      <c r="G1035" s="1">
        <v>2.37</v>
      </c>
      <c r="H1035" s="1">
        <v>0.0</v>
      </c>
      <c r="I1035" s="1">
        <v>0.0</v>
      </c>
      <c r="J1035" s="1">
        <v>0.0</v>
      </c>
      <c r="K1035" s="1">
        <v>0.18</v>
      </c>
      <c r="L1035" s="1">
        <v>366000.0</v>
      </c>
      <c r="M1035" s="1" t="s">
        <v>5157</v>
      </c>
      <c r="N1035" s="18">
        <v>46030.0</v>
      </c>
      <c r="O1035" s="1" t="s">
        <v>5158</v>
      </c>
      <c r="P1035" s="1" t="s">
        <v>3301</v>
      </c>
      <c r="Q1035" s="1" t="s">
        <v>3408</v>
      </c>
    </row>
    <row r="1036">
      <c r="A1036" s="1" t="s">
        <v>5159</v>
      </c>
      <c r="B1036" s="1">
        <v>39.0</v>
      </c>
      <c r="C1036" s="1">
        <v>50.0</v>
      </c>
      <c r="D1036" s="2" t="s">
        <v>1168</v>
      </c>
      <c r="E1036" s="1">
        <v>39.0</v>
      </c>
      <c r="F1036" s="1">
        <v>0.0</v>
      </c>
      <c r="G1036" s="1">
        <v>0.0</v>
      </c>
      <c r="H1036" s="1">
        <v>0.0</v>
      </c>
      <c r="I1036" s="1">
        <v>0.0</v>
      </c>
      <c r="J1036" s="1">
        <v>0.0</v>
      </c>
      <c r="K1036" s="1">
        <v>0.0</v>
      </c>
      <c r="L1036" s="1">
        <v>90000.0</v>
      </c>
      <c r="M1036" s="1" t="s">
        <v>5160</v>
      </c>
      <c r="N1036" s="18">
        <v>46028.0</v>
      </c>
      <c r="O1036" s="1" t="s">
        <v>5161</v>
      </c>
      <c r="P1036" s="1" t="s">
        <v>3334</v>
      </c>
      <c r="Q1036" s="1" t="s">
        <v>3408</v>
      </c>
    </row>
    <row r="1037">
      <c r="A1037" s="1" t="s">
        <v>5162</v>
      </c>
      <c r="B1037" s="1">
        <v>39.0</v>
      </c>
      <c r="C1037" s="1">
        <v>30.0</v>
      </c>
      <c r="D1037" s="2" t="s">
        <v>911</v>
      </c>
      <c r="E1037" s="1">
        <v>39.0</v>
      </c>
      <c r="F1037" s="1">
        <v>25.0</v>
      </c>
      <c r="G1037" s="1">
        <v>1.38</v>
      </c>
      <c r="H1037" s="1">
        <v>0.0</v>
      </c>
      <c r="I1037" s="1">
        <v>0.0</v>
      </c>
      <c r="J1037" s="1">
        <v>0.0</v>
      </c>
      <c r="K1037" s="1">
        <v>0.73</v>
      </c>
      <c r="L1037" s="1">
        <v>2.9E7</v>
      </c>
      <c r="M1037" s="1" t="s">
        <v>5163</v>
      </c>
      <c r="N1037" s="18">
        <v>46027.0</v>
      </c>
      <c r="O1037" s="1" t="s">
        <v>5164</v>
      </c>
      <c r="P1037" s="1" t="s">
        <v>3230</v>
      </c>
      <c r="Q1037" s="1" t="s">
        <v>3408</v>
      </c>
    </row>
    <row r="1038">
      <c r="A1038" s="1" t="s">
        <v>5109</v>
      </c>
      <c r="B1038" s="1">
        <v>39.0</v>
      </c>
      <c r="C1038" s="1">
        <v>170.0</v>
      </c>
      <c r="D1038" s="2" t="s">
        <v>2416</v>
      </c>
      <c r="E1038" s="1">
        <v>39.0</v>
      </c>
      <c r="F1038" s="1">
        <v>22.0</v>
      </c>
      <c r="G1038" s="1">
        <v>0.0</v>
      </c>
      <c r="H1038" s="1">
        <v>0.0</v>
      </c>
      <c r="I1038" s="1">
        <v>0.0</v>
      </c>
      <c r="J1038" s="1">
        <v>0.0</v>
      </c>
      <c r="K1038" s="1">
        <v>0.0</v>
      </c>
      <c r="L1038" s="1">
        <v>1.2E7</v>
      </c>
      <c r="M1038" s="1" t="s">
        <v>5110</v>
      </c>
      <c r="N1038" s="18">
        <v>46027.0</v>
      </c>
      <c r="O1038" s="1" t="s">
        <v>3314</v>
      </c>
      <c r="P1038" s="1" t="s">
        <v>3301</v>
      </c>
      <c r="Q1038" s="1" t="s">
        <v>3408</v>
      </c>
    </row>
    <row r="1039">
      <c r="A1039" s="1" t="s">
        <v>5165</v>
      </c>
      <c r="B1039" s="1">
        <v>39.0</v>
      </c>
      <c r="C1039" s="1">
        <v>30.0</v>
      </c>
      <c r="D1039" s="2" t="s">
        <v>439</v>
      </c>
      <c r="E1039" s="1">
        <v>39.0</v>
      </c>
      <c r="F1039" s="1">
        <v>14.0</v>
      </c>
      <c r="G1039" s="1">
        <v>3.14</v>
      </c>
      <c r="H1039" s="1">
        <v>0.0</v>
      </c>
      <c r="I1039" s="1">
        <v>0.0</v>
      </c>
      <c r="J1039" s="1">
        <v>0.0</v>
      </c>
      <c r="K1039" s="1">
        <v>0.16</v>
      </c>
      <c r="L1039" s="1">
        <v>833000.0</v>
      </c>
      <c r="M1039" s="1" t="s">
        <v>4770</v>
      </c>
      <c r="N1039" s="18">
        <v>46027.0</v>
      </c>
      <c r="O1039" s="1" t="s">
        <v>4747</v>
      </c>
      <c r="P1039" s="1" t="s">
        <v>3230</v>
      </c>
      <c r="Q1039" s="1" t="s">
        <v>3408</v>
      </c>
    </row>
    <row r="1040">
      <c r="A1040" s="1" t="s">
        <v>5166</v>
      </c>
      <c r="B1040" s="1">
        <v>39.0</v>
      </c>
      <c r="C1040" s="1">
        <v>30.0</v>
      </c>
      <c r="D1040" s="2" t="s">
        <v>581</v>
      </c>
      <c r="E1040" s="1">
        <v>39.0</v>
      </c>
      <c r="G1040" s="1">
        <v>4.03</v>
      </c>
      <c r="H1040" s="1">
        <v>0.0</v>
      </c>
      <c r="I1040" s="1">
        <v>0.0</v>
      </c>
      <c r="J1040" s="1">
        <v>0.0</v>
      </c>
      <c r="K1040" s="1">
        <v>0.05</v>
      </c>
      <c r="L1040" s="1">
        <v>110000.0</v>
      </c>
      <c r="M1040" s="1" t="s">
        <v>5167</v>
      </c>
      <c r="N1040" s="18">
        <v>46025.0</v>
      </c>
      <c r="O1040" s="1" t="s">
        <v>3821</v>
      </c>
      <c r="P1040" s="1" t="s">
        <v>3294</v>
      </c>
      <c r="Q1040" s="1" t="s">
        <v>3408</v>
      </c>
    </row>
    <row r="1041">
      <c r="A1041" s="1" t="s">
        <v>5168</v>
      </c>
      <c r="B1041" s="1">
        <v>39.0</v>
      </c>
      <c r="C1041" s="1">
        <v>40.0</v>
      </c>
      <c r="D1041" s="2" t="s">
        <v>581</v>
      </c>
      <c r="E1041" s="1">
        <v>39.0</v>
      </c>
      <c r="F1041" s="1">
        <v>11.0</v>
      </c>
      <c r="G1041" s="1">
        <v>4.33</v>
      </c>
      <c r="H1041" s="1">
        <v>0.0</v>
      </c>
      <c r="I1041" s="1">
        <v>0.0</v>
      </c>
      <c r="J1041" s="1">
        <v>0.0</v>
      </c>
      <c r="K1041" s="1">
        <v>0.09</v>
      </c>
      <c r="L1041" s="1">
        <v>3100.0</v>
      </c>
      <c r="M1041" s="1" t="s">
        <v>5169</v>
      </c>
      <c r="N1041" s="18">
        <v>46024.0</v>
      </c>
      <c r="O1041" s="1" t="s">
        <v>4747</v>
      </c>
      <c r="P1041" s="1" t="s">
        <v>3230</v>
      </c>
      <c r="Q1041" s="1" t="s">
        <v>3408</v>
      </c>
    </row>
    <row r="1042">
      <c r="A1042" s="1" t="s">
        <v>5170</v>
      </c>
      <c r="B1042" s="1">
        <v>39.0</v>
      </c>
      <c r="C1042" s="1">
        <v>40.0</v>
      </c>
      <c r="D1042" s="2" t="s">
        <v>911</v>
      </c>
      <c r="E1042" s="1">
        <v>39.0</v>
      </c>
      <c r="F1042" s="1">
        <v>0.0</v>
      </c>
      <c r="G1042" s="1">
        <v>0.0</v>
      </c>
      <c r="H1042" s="1">
        <v>0.0</v>
      </c>
      <c r="I1042" s="1">
        <v>0.0</v>
      </c>
      <c r="J1042" s="1">
        <v>0.0</v>
      </c>
      <c r="K1042" s="1">
        <v>0.05</v>
      </c>
      <c r="L1042" s="1">
        <v>5.82E7</v>
      </c>
      <c r="M1042" s="1" t="s">
        <v>5171</v>
      </c>
      <c r="N1042" s="18">
        <v>46023.0</v>
      </c>
      <c r="O1042" s="1" t="s">
        <v>3479</v>
      </c>
      <c r="P1042" s="1" t="s">
        <v>3230</v>
      </c>
      <c r="Q1042" s="1" t="s">
        <v>3408</v>
      </c>
    </row>
    <row r="1043">
      <c r="A1043" s="1" t="s">
        <v>5172</v>
      </c>
      <c r="B1043" s="1">
        <v>39.0</v>
      </c>
      <c r="C1043" s="1">
        <v>480.0</v>
      </c>
      <c r="D1043" s="2" t="s">
        <v>2930</v>
      </c>
      <c r="E1043" s="1">
        <v>39.0</v>
      </c>
      <c r="F1043" s="1">
        <v>61.0</v>
      </c>
      <c r="G1043" s="1">
        <v>0.0</v>
      </c>
      <c r="H1043" s="1">
        <v>0.0</v>
      </c>
      <c r="I1043" s="1">
        <v>0.0</v>
      </c>
      <c r="J1043" s="1">
        <v>0.0</v>
      </c>
      <c r="K1043" s="1">
        <v>0.0</v>
      </c>
      <c r="L1043" s="1">
        <v>1680000.0</v>
      </c>
      <c r="M1043" s="1" t="s">
        <v>5173</v>
      </c>
      <c r="N1043" s="18">
        <v>46023.0</v>
      </c>
      <c r="O1043" s="1" t="s">
        <v>5174</v>
      </c>
      <c r="P1043" s="1" t="s">
        <v>3294</v>
      </c>
      <c r="Q1043" s="1" t="s">
        <v>3408</v>
      </c>
    </row>
    <row r="1044">
      <c r="A1044" s="1" t="s">
        <v>5175</v>
      </c>
      <c r="B1044" s="1">
        <v>39.0</v>
      </c>
      <c r="C1044" s="1">
        <v>70.0</v>
      </c>
      <c r="D1044" s="2" t="s">
        <v>726</v>
      </c>
      <c r="E1044" s="1">
        <v>39.0</v>
      </c>
      <c r="F1044" s="1">
        <v>22.0</v>
      </c>
      <c r="G1044" s="1">
        <v>0.0</v>
      </c>
      <c r="H1044" s="1">
        <v>0.0</v>
      </c>
      <c r="I1044" s="1">
        <v>0.0</v>
      </c>
      <c r="J1044" s="1">
        <v>0.0</v>
      </c>
      <c r="K1044" s="1">
        <v>0.0</v>
      </c>
      <c r="L1044" s="1">
        <v>4740000.0</v>
      </c>
      <c r="M1044" s="1" t="s">
        <v>5176</v>
      </c>
      <c r="N1044" s="18">
        <v>46022.0</v>
      </c>
      <c r="O1044" s="1" t="s">
        <v>4557</v>
      </c>
      <c r="P1044" s="1" t="s">
        <v>3334</v>
      </c>
      <c r="Q1044" s="1" t="s">
        <v>3408</v>
      </c>
    </row>
    <row r="1045">
      <c r="A1045" s="1" t="s">
        <v>5177</v>
      </c>
      <c r="B1045" s="1">
        <v>39.0</v>
      </c>
      <c r="C1045" s="1">
        <v>110.0</v>
      </c>
      <c r="D1045" s="2" t="s">
        <v>1307</v>
      </c>
      <c r="E1045" s="1">
        <v>39.0</v>
      </c>
      <c r="F1045" s="1">
        <v>4.0</v>
      </c>
      <c r="G1045" s="1">
        <v>0.0</v>
      </c>
      <c r="H1045" s="1">
        <v>0.0</v>
      </c>
      <c r="I1045" s="1">
        <v>0.0</v>
      </c>
      <c r="J1045" s="1">
        <v>0.0</v>
      </c>
      <c r="K1045" s="1">
        <v>0.0</v>
      </c>
      <c r="L1045" s="1">
        <v>122000.0</v>
      </c>
      <c r="M1045" s="1" t="s">
        <v>5178</v>
      </c>
      <c r="N1045" s="18">
        <v>46021.0</v>
      </c>
      <c r="O1045" s="1" t="s">
        <v>5179</v>
      </c>
      <c r="P1045" s="1" t="s">
        <v>3230</v>
      </c>
      <c r="Q1045" s="1" t="s">
        <v>3408</v>
      </c>
    </row>
    <row r="1046">
      <c r="A1046" s="1" t="s">
        <v>5180</v>
      </c>
      <c r="B1046" s="1">
        <v>39.0</v>
      </c>
      <c r="C1046" s="1">
        <v>90.0</v>
      </c>
      <c r="D1046" s="2" t="s">
        <v>439</v>
      </c>
      <c r="E1046" s="1">
        <v>39.0</v>
      </c>
      <c r="F1046" s="1">
        <v>20.0</v>
      </c>
      <c r="G1046" s="1">
        <v>0.0</v>
      </c>
      <c r="H1046" s="1">
        <v>0.0</v>
      </c>
      <c r="I1046" s="1">
        <v>0.0</v>
      </c>
      <c r="J1046" s="1">
        <v>0.0</v>
      </c>
      <c r="K1046" s="1">
        <v>0.0</v>
      </c>
      <c r="L1046" s="1">
        <v>208000.0</v>
      </c>
      <c r="M1046" s="1" t="s">
        <v>5181</v>
      </c>
      <c r="N1046" s="18">
        <v>46020.0</v>
      </c>
      <c r="O1046" s="1" t="s">
        <v>4965</v>
      </c>
      <c r="P1046" s="1" t="s">
        <v>3294</v>
      </c>
      <c r="Q1046" s="1" t="s">
        <v>3408</v>
      </c>
    </row>
    <row r="1047">
      <c r="A1047" s="1" t="s">
        <v>5182</v>
      </c>
      <c r="B1047" s="1">
        <v>39.0</v>
      </c>
      <c r="C1047" s="1">
        <v>70.0</v>
      </c>
      <c r="D1047" s="2" t="s">
        <v>439</v>
      </c>
      <c r="E1047" s="1">
        <v>39.0</v>
      </c>
      <c r="F1047" s="1">
        <v>19.0</v>
      </c>
      <c r="G1047" s="1">
        <v>3.54</v>
      </c>
      <c r="H1047" s="1">
        <v>0.0</v>
      </c>
      <c r="I1047" s="1">
        <v>0.0</v>
      </c>
      <c r="J1047" s="1">
        <v>0.0</v>
      </c>
      <c r="K1047" s="1">
        <v>0.07</v>
      </c>
      <c r="L1047" s="1">
        <v>217000.0</v>
      </c>
      <c r="M1047" s="1" t="s">
        <v>5183</v>
      </c>
      <c r="N1047" s="18">
        <v>46017.0</v>
      </c>
      <c r="O1047" s="1" t="s">
        <v>5184</v>
      </c>
      <c r="P1047" s="1" t="s">
        <v>3294</v>
      </c>
      <c r="Q1047" s="1" t="s">
        <v>3408</v>
      </c>
    </row>
    <row r="1048">
      <c r="A1048" s="1" t="s">
        <v>5185</v>
      </c>
      <c r="B1048" s="1">
        <v>39.0</v>
      </c>
      <c r="C1048" s="1">
        <v>50.0</v>
      </c>
      <c r="D1048" s="2" t="s">
        <v>911</v>
      </c>
      <c r="E1048" s="1">
        <v>39.0</v>
      </c>
      <c r="F1048" s="1">
        <v>0.0</v>
      </c>
      <c r="G1048" s="1">
        <v>0.39</v>
      </c>
      <c r="H1048" s="1">
        <v>0.0</v>
      </c>
      <c r="I1048" s="1">
        <v>0.0</v>
      </c>
      <c r="J1048" s="1">
        <v>0.0</v>
      </c>
      <c r="K1048" s="1">
        <v>0.16</v>
      </c>
      <c r="L1048" s="1">
        <v>5.72E7</v>
      </c>
      <c r="M1048" s="1" t="s">
        <v>5186</v>
      </c>
      <c r="N1048" s="18">
        <v>46016.0</v>
      </c>
      <c r="O1048" s="1" t="s">
        <v>3264</v>
      </c>
      <c r="P1048" s="1" t="s">
        <v>3230</v>
      </c>
      <c r="Q1048" s="1" t="s">
        <v>3408</v>
      </c>
    </row>
    <row r="1049">
      <c r="A1049" s="1" t="s">
        <v>5187</v>
      </c>
      <c r="B1049" s="1">
        <v>39.0</v>
      </c>
      <c r="C1049" s="1">
        <v>170.0</v>
      </c>
      <c r="D1049" s="2" t="s">
        <v>726</v>
      </c>
      <c r="E1049" s="1">
        <v>39.0</v>
      </c>
      <c r="F1049" s="1">
        <v>12.0</v>
      </c>
      <c r="G1049" s="1">
        <v>0.0</v>
      </c>
      <c r="H1049" s="1">
        <v>0.0</v>
      </c>
      <c r="I1049" s="1">
        <v>0.0</v>
      </c>
      <c r="J1049" s="1">
        <v>0.0</v>
      </c>
      <c r="K1049" s="1">
        <v>0.0</v>
      </c>
      <c r="L1049" s="1">
        <v>4820000.0</v>
      </c>
      <c r="M1049" s="1" t="s">
        <v>5188</v>
      </c>
      <c r="N1049" s="18">
        <v>46016.0</v>
      </c>
      <c r="O1049" s="1" t="s">
        <v>4134</v>
      </c>
      <c r="P1049" s="1" t="s">
        <v>3257</v>
      </c>
      <c r="Q1049" s="1" t="s">
        <v>3408</v>
      </c>
    </row>
    <row r="1050">
      <c r="A1050" s="1" t="s">
        <v>5189</v>
      </c>
      <c r="B1050" s="1">
        <v>39.0</v>
      </c>
      <c r="C1050" s="1">
        <v>70.0</v>
      </c>
      <c r="D1050" s="2" t="s">
        <v>911</v>
      </c>
      <c r="E1050" s="1">
        <v>39.0</v>
      </c>
      <c r="F1050" s="1">
        <v>2.0</v>
      </c>
      <c r="G1050" s="1">
        <v>1.51</v>
      </c>
      <c r="H1050" s="1">
        <v>0.0</v>
      </c>
      <c r="I1050" s="1">
        <v>0.0</v>
      </c>
      <c r="J1050" s="1">
        <v>0.0</v>
      </c>
      <c r="K1050" s="1">
        <v>0.62</v>
      </c>
      <c r="L1050" s="1">
        <v>5.92E7</v>
      </c>
      <c r="M1050" s="1" t="s">
        <v>5190</v>
      </c>
      <c r="N1050" s="18">
        <v>46016.0</v>
      </c>
      <c r="O1050" s="1" t="s">
        <v>3237</v>
      </c>
      <c r="P1050" s="1" t="s">
        <v>3230</v>
      </c>
      <c r="Q1050" s="1" t="s">
        <v>3408</v>
      </c>
    </row>
    <row r="1051">
      <c r="A1051" s="1" t="s">
        <v>5191</v>
      </c>
      <c r="B1051" s="1">
        <v>39.0</v>
      </c>
      <c r="C1051" s="1">
        <v>50.0</v>
      </c>
      <c r="D1051" s="2" t="s">
        <v>602</v>
      </c>
      <c r="E1051" s="1">
        <v>39.0</v>
      </c>
      <c r="F1051" s="1">
        <v>1.0</v>
      </c>
      <c r="G1051" s="1">
        <v>3.38</v>
      </c>
      <c r="H1051" s="1">
        <v>0.0</v>
      </c>
      <c r="I1051" s="1">
        <v>0.0</v>
      </c>
      <c r="J1051" s="1">
        <v>0.0</v>
      </c>
      <c r="K1051" s="1">
        <v>1.0</v>
      </c>
      <c r="L1051" s="1">
        <v>277000.0</v>
      </c>
      <c r="M1051" s="1" t="s">
        <v>5192</v>
      </c>
      <c r="N1051" s="18">
        <v>46015.0</v>
      </c>
      <c r="O1051" s="1" t="s">
        <v>4110</v>
      </c>
      <c r="P1051" s="1" t="s">
        <v>3334</v>
      </c>
      <c r="Q1051" s="1" t="s">
        <v>3408</v>
      </c>
    </row>
    <row r="1052">
      <c r="A1052" s="1" t="s">
        <v>5193</v>
      </c>
      <c r="B1052" s="1">
        <v>39.0</v>
      </c>
      <c r="C1052" s="1">
        <v>50.0</v>
      </c>
      <c r="D1052" s="2" t="s">
        <v>439</v>
      </c>
      <c r="E1052" s="1">
        <v>39.0</v>
      </c>
      <c r="F1052" s="1">
        <v>28.0</v>
      </c>
      <c r="G1052" s="1">
        <v>0.0</v>
      </c>
      <c r="H1052" s="1">
        <v>0.0</v>
      </c>
      <c r="I1052" s="1">
        <v>0.0</v>
      </c>
      <c r="J1052" s="1">
        <v>0.0</v>
      </c>
      <c r="K1052" s="1">
        <v>0.01</v>
      </c>
      <c r="L1052" s="1">
        <v>261000.0</v>
      </c>
      <c r="M1052" s="1" t="s">
        <v>5194</v>
      </c>
      <c r="N1052" s="18">
        <v>46013.0</v>
      </c>
      <c r="O1052" s="1" t="s">
        <v>4926</v>
      </c>
      <c r="P1052" s="1" t="s">
        <v>3294</v>
      </c>
      <c r="Q1052" s="1" t="s">
        <v>3408</v>
      </c>
    </row>
    <row r="1053">
      <c r="A1053" s="1" t="s">
        <v>5195</v>
      </c>
      <c r="B1053" s="1">
        <v>39.0</v>
      </c>
      <c r="C1053" s="1">
        <v>70.0</v>
      </c>
      <c r="D1053" s="2" t="s">
        <v>2930</v>
      </c>
      <c r="E1053" s="1">
        <v>39.0</v>
      </c>
      <c r="F1053" s="1">
        <v>32.0</v>
      </c>
      <c r="G1053" s="1">
        <v>0.0</v>
      </c>
      <c r="H1053" s="1">
        <v>0.0</v>
      </c>
      <c r="I1053" s="1">
        <v>0.0</v>
      </c>
      <c r="J1053" s="1">
        <v>0.0</v>
      </c>
      <c r="K1053" s="1">
        <v>0.0</v>
      </c>
      <c r="L1053" s="1">
        <v>1840000.0</v>
      </c>
      <c r="M1053" s="1" t="s">
        <v>5196</v>
      </c>
      <c r="N1053" s="18">
        <v>46011.0</v>
      </c>
      <c r="O1053" s="1" t="s">
        <v>3479</v>
      </c>
      <c r="P1053" s="1" t="s">
        <v>3230</v>
      </c>
      <c r="Q1053" s="1" t="s">
        <v>3408</v>
      </c>
    </row>
    <row r="1054">
      <c r="A1054" s="1" t="s">
        <v>5197</v>
      </c>
      <c r="B1054" s="1">
        <v>39.0</v>
      </c>
      <c r="C1054" s="1">
        <v>260.0</v>
      </c>
      <c r="D1054" s="2" t="s">
        <v>714</v>
      </c>
      <c r="E1054" s="1">
        <v>39.0</v>
      </c>
      <c r="F1054" s="1">
        <v>6.0</v>
      </c>
      <c r="G1054" s="1">
        <v>9.65</v>
      </c>
      <c r="H1054" s="1">
        <v>0.0</v>
      </c>
      <c r="I1054" s="1">
        <v>0.0</v>
      </c>
      <c r="J1054" s="1">
        <v>0.0</v>
      </c>
      <c r="K1054" s="1">
        <v>0.05</v>
      </c>
      <c r="L1054" s="1">
        <v>1270000.0</v>
      </c>
      <c r="M1054" s="1" t="s">
        <v>5198</v>
      </c>
      <c r="N1054" s="18">
        <v>46010.0</v>
      </c>
      <c r="O1054" s="1" t="s">
        <v>3314</v>
      </c>
      <c r="P1054" s="1" t="s">
        <v>3230</v>
      </c>
      <c r="Q1054" s="1" t="s">
        <v>3408</v>
      </c>
    </row>
    <row r="1055">
      <c r="A1055" s="1" t="s">
        <v>5199</v>
      </c>
      <c r="B1055" s="1">
        <v>39.0</v>
      </c>
      <c r="C1055" s="1">
        <v>50.0</v>
      </c>
      <c r="D1055" s="2" t="s">
        <v>694</v>
      </c>
      <c r="E1055" s="1">
        <v>39.0</v>
      </c>
      <c r="F1055" s="1">
        <v>14.0</v>
      </c>
      <c r="G1055" s="1">
        <v>0.0</v>
      </c>
      <c r="H1055" s="1">
        <v>0.0</v>
      </c>
      <c r="I1055" s="1">
        <v>0.0</v>
      </c>
      <c r="J1055" s="1">
        <v>0.0</v>
      </c>
      <c r="K1055" s="1">
        <v>0.0</v>
      </c>
      <c r="L1055" s="1">
        <v>2190000.0</v>
      </c>
      <c r="M1055" s="1" t="s">
        <v>5200</v>
      </c>
      <c r="N1055" s="18">
        <v>46008.0</v>
      </c>
      <c r="O1055" s="1" t="s">
        <v>3442</v>
      </c>
      <c r="P1055" s="1" t="s">
        <v>3230</v>
      </c>
      <c r="Q1055" s="1" t="s">
        <v>3408</v>
      </c>
    </row>
    <row r="1056">
      <c r="A1056" s="1" t="s">
        <v>5201</v>
      </c>
      <c r="B1056" s="1">
        <v>39.0</v>
      </c>
      <c r="C1056" s="1">
        <v>90.0</v>
      </c>
      <c r="D1056" s="2" t="s">
        <v>954</v>
      </c>
      <c r="E1056" s="1">
        <v>39.0</v>
      </c>
      <c r="F1056" s="1">
        <v>2.0</v>
      </c>
      <c r="G1056" s="1">
        <v>1.28</v>
      </c>
      <c r="H1056" s="1">
        <v>0.0</v>
      </c>
      <c r="I1056" s="1">
        <v>0.0</v>
      </c>
      <c r="J1056" s="1">
        <v>0.0</v>
      </c>
      <c r="K1056" s="1">
        <v>0.19</v>
      </c>
      <c r="L1056" s="1">
        <v>6.81E7</v>
      </c>
      <c r="M1056" s="1" t="s">
        <v>5202</v>
      </c>
      <c r="N1056" s="18">
        <v>46005.0</v>
      </c>
      <c r="O1056" s="1" t="s">
        <v>3861</v>
      </c>
      <c r="P1056" s="1" t="s">
        <v>4549</v>
      </c>
      <c r="Q1056" s="1" t="s">
        <v>3408</v>
      </c>
    </row>
    <row r="1057">
      <c r="A1057" s="1" t="s">
        <v>5203</v>
      </c>
      <c r="B1057" s="1">
        <v>39.0</v>
      </c>
      <c r="C1057" s="1">
        <v>40.0</v>
      </c>
      <c r="D1057" s="2" t="s">
        <v>911</v>
      </c>
      <c r="E1057" s="1">
        <v>39.0</v>
      </c>
      <c r="F1057" s="1">
        <v>0.0</v>
      </c>
      <c r="G1057" s="1">
        <v>1.34</v>
      </c>
      <c r="H1057" s="1">
        <v>0.0</v>
      </c>
      <c r="I1057" s="1">
        <v>0.0</v>
      </c>
      <c r="J1057" s="1">
        <v>0.0</v>
      </c>
      <c r="K1057" s="1">
        <v>0.26</v>
      </c>
      <c r="L1057" s="1">
        <v>1.19E7</v>
      </c>
      <c r="M1057" s="1" t="s">
        <v>5204</v>
      </c>
      <c r="N1057" s="18">
        <v>46003.0</v>
      </c>
      <c r="O1057" s="1" t="s">
        <v>3840</v>
      </c>
      <c r="P1057" s="1" t="s">
        <v>3257</v>
      </c>
      <c r="Q1057" s="1" t="s">
        <v>3408</v>
      </c>
    </row>
    <row r="1058">
      <c r="A1058" s="1" t="s">
        <v>5205</v>
      </c>
      <c r="B1058" s="1">
        <v>39.0</v>
      </c>
      <c r="C1058" s="1">
        <v>70.0</v>
      </c>
      <c r="D1058" s="2" t="s">
        <v>1103</v>
      </c>
      <c r="E1058" s="1">
        <v>39.0</v>
      </c>
      <c r="F1058" s="1">
        <v>4.0</v>
      </c>
      <c r="G1058" s="1">
        <v>1.74</v>
      </c>
      <c r="H1058" s="1">
        <v>0.0</v>
      </c>
      <c r="I1058" s="1">
        <v>0.0</v>
      </c>
      <c r="J1058" s="1">
        <v>0.0</v>
      </c>
      <c r="K1058" s="1">
        <v>0.08</v>
      </c>
      <c r="L1058" s="1">
        <v>1120000.0</v>
      </c>
      <c r="M1058" s="1" t="s">
        <v>5206</v>
      </c>
      <c r="N1058" s="18">
        <v>46002.0</v>
      </c>
      <c r="O1058" s="1" t="s">
        <v>3479</v>
      </c>
      <c r="P1058" s="1" t="s">
        <v>3301</v>
      </c>
      <c r="Q1058" s="1" t="s">
        <v>3408</v>
      </c>
    </row>
    <row r="1059">
      <c r="A1059" s="1" t="s">
        <v>5207</v>
      </c>
      <c r="B1059" s="1">
        <v>39.0</v>
      </c>
      <c r="C1059" s="1">
        <v>90.0</v>
      </c>
      <c r="D1059" s="2" t="s">
        <v>716</v>
      </c>
      <c r="E1059" s="1">
        <v>39.0</v>
      </c>
      <c r="F1059" s="1">
        <v>11.0</v>
      </c>
      <c r="G1059" s="1">
        <v>0.0</v>
      </c>
      <c r="H1059" s="1">
        <v>0.0</v>
      </c>
      <c r="I1059" s="1">
        <v>0.0</v>
      </c>
      <c r="J1059" s="1">
        <v>0.0</v>
      </c>
      <c r="K1059" s="1">
        <v>0.0</v>
      </c>
      <c r="L1059" s="1">
        <v>735000.0</v>
      </c>
      <c r="M1059" s="1" t="s">
        <v>5208</v>
      </c>
      <c r="N1059" s="18">
        <v>46002.0</v>
      </c>
      <c r="O1059" s="1" t="s">
        <v>5209</v>
      </c>
      <c r="P1059" s="1" t="s">
        <v>3257</v>
      </c>
      <c r="Q1059" s="1" t="s">
        <v>3408</v>
      </c>
    </row>
    <row r="1060">
      <c r="A1060" s="1" t="s">
        <v>5210</v>
      </c>
      <c r="B1060" s="1">
        <v>39.0</v>
      </c>
      <c r="C1060" s="1">
        <v>90.0</v>
      </c>
      <c r="D1060" s="2" t="s">
        <v>2312</v>
      </c>
      <c r="E1060" s="1">
        <v>39.0</v>
      </c>
      <c r="F1060" s="1">
        <v>2.0</v>
      </c>
      <c r="G1060" s="1">
        <v>0.0</v>
      </c>
      <c r="H1060" s="1">
        <v>0.0</v>
      </c>
      <c r="I1060" s="1">
        <v>0.0</v>
      </c>
      <c r="J1060" s="1">
        <v>0.0</v>
      </c>
      <c r="K1060" s="1">
        <v>0.0</v>
      </c>
      <c r="L1060" s="1">
        <v>28900.0</v>
      </c>
      <c r="M1060" s="1" t="s">
        <v>5211</v>
      </c>
      <c r="N1060" s="18">
        <v>46000.0</v>
      </c>
      <c r="O1060" s="1" t="s">
        <v>3237</v>
      </c>
      <c r="P1060" s="1" t="s">
        <v>3230</v>
      </c>
      <c r="Q1060" s="1" t="s">
        <v>3408</v>
      </c>
    </row>
    <row r="1061">
      <c r="A1061" s="1" t="s">
        <v>5212</v>
      </c>
      <c r="B1061" s="1">
        <v>39.0</v>
      </c>
      <c r="C1061" s="1">
        <v>50.0</v>
      </c>
      <c r="D1061" s="2" t="s">
        <v>694</v>
      </c>
      <c r="E1061" s="1">
        <v>39.0</v>
      </c>
      <c r="F1061" s="1">
        <v>1.0</v>
      </c>
      <c r="G1061" s="1">
        <v>0.0</v>
      </c>
      <c r="H1061" s="1">
        <v>0.0</v>
      </c>
      <c r="I1061" s="1">
        <v>0.0</v>
      </c>
      <c r="J1061" s="1">
        <v>0.0</v>
      </c>
      <c r="K1061" s="1">
        <v>0.02</v>
      </c>
      <c r="L1061" s="1">
        <v>567000.0</v>
      </c>
      <c r="M1061" s="1" t="s">
        <v>5213</v>
      </c>
      <c r="N1061" s="18">
        <v>45996.0</v>
      </c>
      <c r="O1061" s="1" t="s">
        <v>3264</v>
      </c>
      <c r="P1061" s="1" t="s">
        <v>3230</v>
      </c>
      <c r="Q1061" s="1" t="s">
        <v>3408</v>
      </c>
    </row>
    <row r="1062">
      <c r="A1062" s="1" t="s">
        <v>5214</v>
      </c>
      <c r="B1062" s="1">
        <v>39.0</v>
      </c>
      <c r="C1062" s="1">
        <v>40.0</v>
      </c>
      <c r="D1062" s="2" t="s">
        <v>1052</v>
      </c>
      <c r="E1062" s="1">
        <v>39.0</v>
      </c>
      <c r="F1062" s="1">
        <v>15.0</v>
      </c>
      <c r="G1062" s="1">
        <v>0.0</v>
      </c>
      <c r="H1062" s="1">
        <v>0.0</v>
      </c>
      <c r="I1062" s="1">
        <v>0.0</v>
      </c>
      <c r="J1062" s="1">
        <v>0.0</v>
      </c>
      <c r="K1062" s="1">
        <v>0.0</v>
      </c>
      <c r="L1062" s="1">
        <v>2.05E8</v>
      </c>
      <c r="M1062" s="1" t="s">
        <v>5215</v>
      </c>
      <c r="N1062" s="18">
        <v>45987.0</v>
      </c>
      <c r="O1062" s="1" t="s">
        <v>3824</v>
      </c>
      <c r="P1062" s="1" t="s">
        <v>3230</v>
      </c>
      <c r="Q1062" s="1" t="s">
        <v>3408</v>
      </c>
    </row>
    <row r="1063">
      <c r="A1063" s="1" t="s">
        <v>3825</v>
      </c>
      <c r="B1063" s="1">
        <v>39.0</v>
      </c>
      <c r="C1063" s="1">
        <v>140.0</v>
      </c>
      <c r="D1063" s="2" t="s">
        <v>581</v>
      </c>
      <c r="E1063" s="1">
        <v>39.0</v>
      </c>
      <c r="F1063" s="1">
        <v>39.0</v>
      </c>
      <c r="G1063" s="1">
        <v>13.81</v>
      </c>
      <c r="H1063" s="1">
        <v>0.0</v>
      </c>
      <c r="I1063" s="1">
        <v>0.0</v>
      </c>
      <c r="J1063" s="1">
        <v>0.0</v>
      </c>
      <c r="K1063" s="1">
        <v>0.25</v>
      </c>
      <c r="L1063" s="1">
        <v>6.0</v>
      </c>
      <c r="M1063" s="1" t="s">
        <v>3826</v>
      </c>
      <c r="N1063" s="18">
        <v>45986.0</v>
      </c>
      <c r="O1063" s="1" t="s">
        <v>3673</v>
      </c>
      <c r="P1063" s="1" t="s">
        <v>3257</v>
      </c>
      <c r="Q1063" s="1" t="s">
        <v>3408</v>
      </c>
    </row>
    <row r="1064">
      <c r="A1064" s="1" t="s">
        <v>5216</v>
      </c>
      <c r="B1064" s="1">
        <v>39.0</v>
      </c>
      <c r="C1064" s="1">
        <v>70.0</v>
      </c>
      <c r="D1064" s="2" t="s">
        <v>768</v>
      </c>
      <c r="E1064" s="1">
        <v>39.0</v>
      </c>
      <c r="F1064" s="1">
        <v>0.0</v>
      </c>
      <c r="G1064" s="1">
        <v>0.0</v>
      </c>
      <c r="H1064" s="1">
        <v>0.0</v>
      </c>
      <c r="I1064" s="1">
        <v>0.0</v>
      </c>
      <c r="J1064" s="1">
        <v>0.0</v>
      </c>
      <c r="K1064" s="1">
        <v>0.0</v>
      </c>
      <c r="L1064" s="1">
        <v>10.0</v>
      </c>
      <c r="M1064" s="1" t="s">
        <v>5217</v>
      </c>
      <c r="N1064" s="18">
        <v>45978.0</v>
      </c>
      <c r="O1064" s="1" t="s">
        <v>5218</v>
      </c>
      <c r="P1064" s="1" t="s">
        <v>3230</v>
      </c>
      <c r="Q1064" s="1" t="s">
        <v>3408</v>
      </c>
    </row>
    <row r="1065">
      <c r="A1065" s="1" t="s">
        <v>5150</v>
      </c>
      <c r="B1065" s="1">
        <v>40.0</v>
      </c>
      <c r="C1065" s="1">
        <v>50.0</v>
      </c>
      <c r="D1065" s="2" t="s">
        <v>439</v>
      </c>
      <c r="E1065" s="1">
        <v>71.0</v>
      </c>
      <c r="F1065" s="1">
        <v>21.0</v>
      </c>
      <c r="G1065" s="1">
        <v>0.0</v>
      </c>
      <c r="H1065" s="1">
        <v>0.0</v>
      </c>
      <c r="I1065" s="1">
        <v>0.0</v>
      </c>
      <c r="J1065" s="1">
        <v>0.0</v>
      </c>
      <c r="K1065" s="1">
        <v>0.5</v>
      </c>
      <c r="L1065" s="1">
        <v>3790.0</v>
      </c>
      <c r="M1065" s="1" t="s">
        <v>5151</v>
      </c>
      <c r="N1065" s="18">
        <v>46042.0</v>
      </c>
      <c r="O1065" s="1" t="s">
        <v>3293</v>
      </c>
      <c r="P1065" s="1" t="s">
        <v>3294</v>
      </c>
      <c r="Q1065" s="1" t="s">
        <v>3408</v>
      </c>
    </row>
    <row r="1066">
      <c r="A1066" s="1" t="s">
        <v>5219</v>
      </c>
      <c r="B1066" s="1">
        <v>40.0</v>
      </c>
      <c r="C1066" s="1">
        <v>140.0</v>
      </c>
      <c r="D1066" s="2" t="s">
        <v>1052</v>
      </c>
      <c r="E1066" s="1">
        <v>34.0</v>
      </c>
      <c r="F1066" s="1">
        <v>21.0</v>
      </c>
      <c r="G1066" s="1">
        <v>0.0</v>
      </c>
      <c r="H1066" s="1">
        <v>0.0</v>
      </c>
      <c r="I1066" s="1">
        <v>0.0</v>
      </c>
      <c r="J1066" s="1">
        <v>0.0</v>
      </c>
      <c r="K1066" s="1">
        <v>0.0</v>
      </c>
      <c r="L1066" s="1">
        <v>1.39E8</v>
      </c>
      <c r="M1066" s="1" t="s">
        <v>5220</v>
      </c>
      <c r="N1066" s="18">
        <v>46042.0</v>
      </c>
      <c r="O1066" s="1" t="s">
        <v>3314</v>
      </c>
      <c r="P1066" s="1" t="s">
        <v>3230</v>
      </c>
      <c r="Q1066" s="1" t="s">
        <v>3408</v>
      </c>
    </row>
    <row r="1067">
      <c r="A1067" s="1" t="s">
        <v>5221</v>
      </c>
      <c r="B1067" s="1">
        <v>40.0</v>
      </c>
      <c r="C1067" s="1">
        <v>40.0</v>
      </c>
      <c r="D1067" s="2" t="s">
        <v>1951</v>
      </c>
      <c r="E1067" s="1">
        <v>32.0</v>
      </c>
      <c r="F1067" s="1">
        <v>19.0</v>
      </c>
      <c r="G1067" s="1">
        <v>0.0</v>
      </c>
      <c r="H1067" s="1">
        <v>0.0</v>
      </c>
      <c r="I1067" s="1">
        <v>0.0</v>
      </c>
      <c r="J1067" s="1">
        <v>0.0</v>
      </c>
      <c r="K1067" s="1">
        <v>0.0</v>
      </c>
      <c r="L1067" s="1">
        <v>6170000.0</v>
      </c>
      <c r="M1067" s="1" t="s">
        <v>5222</v>
      </c>
      <c r="N1067" s="18">
        <v>46042.0</v>
      </c>
      <c r="O1067" s="1" t="s">
        <v>4487</v>
      </c>
      <c r="P1067" s="1" t="s">
        <v>3230</v>
      </c>
      <c r="Q1067" s="1" t="s">
        <v>3408</v>
      </c>
    </row>
    <row r="1068">
      <c r="A1068" s="1" t="s">
        <v>5223</v>
      </c>
      <c r="B1068" s="1">
        <v>40.0</v>
      </c>
      <c r="C1068" s="1">
        <v>140.0</v>
      </c>
      <c r="D1068" s="2" t="s">
        <v>439</v>
      </c>
      <c r="E1068" s="1">
        <v>40.0</v>
      </c>
      <c r="F1068" s="1">
        <v>17.0</v>
      </c>
      <c r="G1068" s="1">
        <v>3.05</v>
      </c>
      <c r="H1068" s="1">
        <v>0.0</v>
      </c>
      <c r="I1068" s="1">
        <v>0.0</v>
      </c>
      <c r="J1068" s="1">
        <v>0.0</v>
      </c>
      <c r="K1068" s="1">
        <v>0.06</v>
      </c>
      <c r="L1068" s="1">
        <v>20900.0</v>
      </c>
      <c r="M1068" s="1" t="s">
        <v>5224</v>
      </c>
      <c r="N1068" s="18">
        <v>46039.0</v>
      </c>
      <c r="O1068" s="1" t="s">
        <v>5079</v>
      </c>
      <c r="P1068" s="1" t="s">
        <v>3294</v>
      </c>
      <c r="Q1068" s="1" t="s">
        <v>3408</v>
      </c>
    </row>
    <row r="1069">
      <c r="A1069" s="1" t="s">
        <v>3618</v>
      </c>
      <c r="B1069" s="1">
        <v>40.0</v>
      </c>
      <c r="C1069" s="1">
        <v>170.0</v>
      </c>
      <c r="D1069" s="2" t="s">
        <v>694</v>
      </c>
      <c r="E1069" s="1">
        <v>40.0</v>
      </c>
      <c r="F1069" s="1">
        <v>7.0</v>
      </c>
      <c r="G1069" s="1">
        <v>0.47</v>
      </c>
      <c r="H1069" s="1">
        <v>0.0</v>
      </c>
      <c r="I1069" s="1">
        <v>0.0</v>
      </c>
      <c r="J1069" s="1">
        <v>0.0</v>
      </c>
      <c r="K1069" s="1">
        <v>0.05</v>
      </c>
      <c r="L1069" s="1">
        <v>160000.0</v>
      </c>
      <c r="M1069" s="1" t="s">
        <v>3619</v>
      </c>
      <c r="N1069" s="18">
        <v>46039.0</v>
      </c>
      <c r="O1069" s="1" t="s">
        <v>3317</v>
      </c>
      <c r="P1069" s="1" t="s">
        <v>3230</v>
      </c>
      <c r="Q1069" s="1" t="s">
        <v>3408</v>
      </c>
    </row>
    <row r="1070">
      <c r="A1070" s="1" t="s">
        <v>5225</v>
      </c>
      <c r="B1070" s="1">
        <v>40.0</v>
      </c>
      <c r="C1070" s="1">
        <v>110.0</v>
      </c>
      <c r="D1070" s="2" t="s">
        <v>439</v>
      </c>
      <c r="E1070" s="1">
        <v>40.0</v>
      </c>
      <c r="F1070" s="1">
        <v>29.0</v>
      </c>
      <c r="G1070" s="1">
        <v>2.41</v>
      </c>
      <c r="H1070" s="1">
        <v>0.0</v>
      </c>
      <c r="I1070" s="1">
        <v>0.0</v>
      </c>
      <c r="J1070" s="1">
        <v>0.0</v>
      </c>
      <c r="K1070" s="1">
        <v>0.13</v>
      </c>
      <c r="L1070" s="1">
        <v>6990.0</v>
      </c>
      <c r="M1070" s="1" t="s">
        <v>5226</v>
      </c>
      <c r="N1070" s="18">
        <v>46038.0</v>
      </c>
      <c r="O1070" s="1" t="s">
        <v>5227</v>
      </c>
      <c r="P1070" s="1" t="s">
        <v>3294</v>
      </c>
      <c r="Q1070" s="1" t="s">
        <v>3408</v>
      </c>
    </row>
    <row r="1071">
      <c r="A1071" s="1" t="s">
        <v>5228</v>
      </c>
      <c r="B1071" s="1">
        <v>40.0</v>
      </c>
      <c r="C1071" s="1">
        <v>70.0</v>
      </c>
      <c r="D1071" s="2" t="s">
        <v>471</v>
      </c>
      <c r="E1071" s="1">
        <v>40.0</v>
      </c>
      <c r="F1071" s="1">
        <v>16.0</v>
      </c>
      <c r="G1071" s="1">
        <v>0.0</v>
      </c>
      <c r="H1071" s="1">
        <v>0.0</v>
      </c>
      <c r="I1071" s="1">
        <v>0.0</v>
      </c>
      <c r="J1071" s="1">
        <v>0.0</v>
      </c>
      <c r="K1071" s="1">
        <v>0.0</v>
      </c>
      <c r="L1071" s="1">
        <v>130000.0</v>
      </c>
      <c r="M1071" s="1" t="s">
        <v>5229</v>
      </c>
      <c r="N1071" s="18">
        <v>46035.0</v>
      </c>
      <c r="O1071" s="1" t="s">
        <v>4165</v>
      </c>
      <c r="P1071" s="1" t="s">
        <v>3257</v>
      </c>
      <c r="Q1071" s="1" t="s">
        <v>3408</v>
      </c>
    </row>
    <row r="1072">
      <c r="A1072" s="1" t="s">
        <v>5230</v>
      </c>
      <c r="B1072" s="1">
        <v>40.0</v>
      </c>
      <c r="C1072" s="1">
        <v>40.0</v>
      </c>
      <c r="D1072" s="2" t="s">
        <v>2191</v>
      </c>
      <c r="E1072" s="1">
        <v>40.0</v>
      </c>
      <c r="F1072" s="1">
        <v>0.0</v>
      </c>
      <c r="G1072" s="1">
        <v>0.0</v>
      </c>
      <c r="H1072" s="1">
        <v>0.0</v>
      </c>
      <c r="I1072" s="1">
        <v>0.0</v>
      </c>
      <c r="J1072" s="1">
        <v>0.0</v>
      </c>
      <c r="K1072" s="1">
        <v>0.0</v>
      </c>
      <c r="L1072" s="1">
        <v>701000.0</v>
      </c>
      <c r="M1072" s="1" t="s">
        <v>5231</v>
      </c>
      <c r="N1072" s="18">
        <v>46032.0</v>
      </c>
      <c r="O1072" s="1" t="s">
        <v>4134</v>
      </c>
      <c r="P1072" s="1" t="s">
        <v>3257</v>
      </c>
      <c r="Q1072" s="1" t="s">
        <v>3408</v>
      </c>
    </row>
    <row r="1073">
      <c r="A1073" s="1" t="s">
        <v>3733</v>
      </c>
      <c r="B1073" s="1">
        <v>40.0</v>
      </c>
      <c r="C1073" s="1">
        <v>40.0</v>
      </c>
      <c r="D1073" s="2" t="s">
        <v>588</v>
      </c>
      <c r="E1073" s="1">
        <v>40.0</v>
      </c>
      <c r="G1073" s="1">
        <v>22.36</v>
      </c>
      <c r="H1073" s="1">
        <v>0.0</v>
      </c>
      <c r="I1073" s="1">
        <v>0.0</v>
      </c>
      <c r="J1073" s="1">
        <v>0.0</v>
      </c>
      <c r="K1073" s="1">
        <v>0.99</v>
      </c>
      <c r="L1073" s="1">
        <v>20200.0</v>
      </c>
      <c r="M1073" s="1" t="s">
        <v>3734</v>
      </c>
      <c r="N1073" s="18">
        <v>46026.0</v>
      </c>
      <c r="O1073" s="1" t="s">
        <v>3735</v>
      </c>
      <c r="P1073" s="1" t="s">
        <v>3257</v>
      </c>
      <c r="Q1073" s="1" t="s">
        <v>3408</v>
      </c>
    </row>
    <row r="1074">
      <c r="A1074" s="1" t="s">
        <v>5232</v>
      </c>
      <c r="B1074" s="1">
        <v>40.0</v>
      </c>
      <c r="C1074" s="1">
        <v>40.0</v>
      </c>
      <c r="D1074" s="2" t="s">
        <v>439</v>
      </c>
      <c r="E1074" s="1">
        <v>40.0</v>
      </c>
      <c r="F1074" s="1">
        <v>24.0</v>
      </c>
      <c r="G1074" s="1">
        <v>4.67</v>
      </c>
      <c r="H1074" s="1">
        <v>0.0</v>
      </c>
      <c r="I1074" s="1">
        <v>0.0</v>
      </c>
      <c r="J1074" s="1">
        <v>0.0</v>
      </c>
      <c r="K1074" s="1">
        <v>0.14</v>
      </c>
      <c r="L1074" s="1">
        <v>4350000.0</v>
      </c>
      <c r="M1074" s="1" t="s">
        <v>5233</v>
      </c>
      <c r="N1074" s="18">
        <v>46019.0</v>
      </c>
      <c r="O1074" s="1" t="s">
        <v>4177</v>
      </c>
      <c r="P1074" s="1" t="s">
        <v>3294</v>
      </c>
      <c r="Q1074" s="1" t="s">
        <v>3408</v>
      </c>
    </row>
    <row r="1075">
      <c r="A1075" s="1" t="s">
        <v>5234</v>
      </c>
      <c r="B1075" s="1">
        <v>40.0</v>
      </c>
      <c r="C1075" s="1">
        <v>50.0</v>
      </c>
      <c r="D1075" s="2" t="s">
        <v>911</v>
      </c>
      <c r="E1075" s="1">
        <v>40.0</v>
      </c>
      <c r="F1075" s="1">
        <v>4.0</v>
      </c>
      <c r="G1075" s="1">
        <v>0.39</v>
      </c>
      <c r="H1075" s="1">
        <v>0.0</v>
      </c>
      <c r="I1075" s="1">
        <v>0.0</v>
      </c>
      <c r="J1075" s="1">
        <v>0.0</v>
      </c>
      <c r="K1075" s="1">
        <v>0.16</v>
      </c>
      <c r="L1075" s="1">
        <v>6.01E7</v>
      </c>
      <c r="M1075" s="1" t="s">
        <v>5235</v>
      </c>
      <c r="N1075" s="18">
        <v>46018.0</v>
      </c>
      <c r="O1075" s="1" t="s">
        <v>4295</v>
      </c>
      <c r="P1075" s="1" t="s">
        <v>3230</v>
      </c>
      <c r="Q1075" s="1" t="s">
        <v>3408</v>
      </c>
    </row>
    <row r="1076">
      <c r="A1076" s="1" t="s">
        <v>5236</v>
      </c>
      <c r="B1076" s="1">
        <v>40.0</v>
      </c>
      <c r="C1076" s="1">
        <v>90.0</v>
      </c>
      <c r="D1076" s="2" t="s">
        <v>671</v>
      </c>
      <c r="E1076" s="1">
        <v>40.0</v>
      </c>
      <c r="F1076" s="1">
        <v>1.0</v>
      </c>
      <c r="G1076" s="1">
        <v>0.0</v>
      </c>
      <c r="H1076" s="1">
        <v>0.0</v>
      </c>
      <c r="I1076" s="1">
        <v>0.0</v>
      </c>
      <c r="J1076" s="1">
        <v>0.0</v>
      </c>
      <c r="K1076" s="1">
        <v>0.33</v>
      </c>
      <c r="L1076" s="1">
        <v>9810000.0</v>
      </c>
      <c r="M1076" s="1" t="s">
        <v>5237</v>
      </c>
      <c r="N1076" s="18">
        <v>46014.0</v>
      </c>
      <c r="O1076" s="1" t="s">
        <v>3407</v>
      </c>
      <c r="P1076" s="1" t="s">
        <v>3334</v>
      </c>
      <c r="Q1076" s="1" t="s">
        <v>3408</v>
      </c>
    </row>
    <row r="1077">
      <c r="A1077" s="1" t="s">
        <v>5238</v>
      </c>
      <c r="B1077" s="1">
        <v>40.0</v>
      </c>
      <c r="C1077" s="1">
        <v>390.0</v>
      </c>
      <c r="D1077" s="2" t="s">
        <v>2930</v>
      </c>
      <c r="E1077" s="1">
        <v>40.0</v>
      </c>
      <c r="F1077" s="1">
        <v>35.0</v>
      </c>
      <c r="G1077" s="1">
        <v>2.25</v>
      </c>
      <c r="H1077" s="1">
        <v>0.0</v>
      </c>
      <c r="I1077" s="1">
        <v>0.0</v>
      </c>
      <c r="J1077" s="1">
        <v>0.0</v>
      </c>
      <c r="K1077" s="1">
        <v>0.0</v>
      </c>
      <c r="L1077" s="1">
        <v>2750000.0</v>
      </c>
      <c r="M1077" s="1" t="s">
        <v>5239</v>
      </c>
      <c r="N1077" s="18">
        <v>46014.0</v>
      </c>
      <c r="O1077" s="1" t="s">
        <v>3479</v>
      </c>
      <c r="P1077" s="1" t="s">
        <v>3230</v>
      </c>
      <c r="Q1077" s="1" t="s">
        <v>3408</v>
      </c>
    </row>
    <row r="1078">
      <c r="A1078" s="1" t="s">
        <v>5240</v>
      </c>
      <c r="B1078" s="1">
        <v>40.0</v>
      </c>
      <c r="C1078" s="1">
        <v>170.0</v>
      </c>
      <c r="D1078" s="2" t="s">
        <v>726</v>
      </c>
      <c r="E1078" s="1">
        <v>40.0</v>
      </c>
      <c r="F1078" s="1">
        <v>28.0</v>
      </c>
      <c r="G1078" s="1">
        <v>0.0</v>
      </c>
      <c r="H1078" s="1">
        <v>0.0</v>
      </c>
      <c r="I1078" s="1">
        <v>0.0</v>
      </c>
      <c r="J1078" s="1">
        <v>0.0</v>
      </c>
      <c r="K1078" s="1">
        <v>0.0</v>
      </c>
      <c r="L1078" s="1">
        <v>3300000.0</v>
      </c>
      <c r="M1078" s="1" t="s">
        <v>5241</v>
      </c>
      <c r="N1078" s="18">
        <v>46014.0</v>
      </c>
      <c r="O1078" s="1" t="s">
        <v>4134</v>
      </c>
      <c r="P1078" s="1" t="s">
        <v>3257</v>
      </c>
      <c r="Q1078" s="1" t="s">
        <v>3408</v>
      </c>
    </row>
    <row r="1079">
      <c r="A1079" s="1" t="s">
        <v>3841</v>
      </c>
      <c r="B1079" s="1">
        <v>40.0</v>
      </c>
      <c r="C1079" s="1">
        <v>90.0</v>
      </c>
      <c r="D1079" s="2" t="s">
        <v>681</v>
      </c>
      <c r="E1079" s="1">
        <v>40.0</v>
      </c>
      <c r="F1079" s="1">
        <v>0.0</v>
      </c>
      <c r="G1079" s="1">
        <v>2.95</v>
      </c>
      <c r="H1079" s="1">
        <v>0.0</v>
      </c>
      <c r="I1079" s="1">
        <v>0.0</v>
      </c>
      <c r="J1079" s="1">
        <v>0.0</v>
      </c>
      <c r="K1079" s="1">
        <v>0.19</v>
      </c>
      <c r="L1079" s="1">
        <v>77900.0</v>
      </c>
      <c r="M1079" s="1" t="s">
        <v>3842</v>
      </c>
      <c r="N1079" s="18">
        <v>46014.0</v>
      </c>
      <c r="O1079" s="1" t="s">
        <v>3407</v>
      </c>
      <c r="P1079" s="1" t="s">
        <v>3230</v>
      </c>
      <c r="Q1079" s="1" t="s">
        <v>3408</v>
      </c>
    </row>
    <row r="1080">
      <c r="A1080" s="1" t="s">
        <v>5242</v>
      </c>
      <c r="B1080" s="1">
        <v>40.0</v>
      </c>
      <c r="C1080" s="1">
        <v>90.0</v>
      </c>
      <c r="D1080" s="2" t="s">
        <v>2253</v>
      </c>
      <c r="E1080" s="1">
        <v>40.0</v>
      </c>
      <c r="F1080" s="1">
        <v>8.0</v>
      </c>
      <c r="G1080" s="1">
        <v>0.0</v>
      </c>
      <c r="H1080" s="1">
        <v>0.0</v>
      </c>
      <c r="I1080" s="1">
        <v>0.0</v>
      </c>
      <c r="J1080" s="1">
        <v>0.0</v>
      </c>
      <c r="K1080" s="1">
        <v>0.0</v>
      </c>
      <c r="L1080" s="1">
        <v>1.9E7</v>
      </c>
      <c r="M1080" s="1" t="s">
        <v>5243</v>
      </c>
      <c r="N1080" s="18">
        <v>46011.0</v>
      </c>
      <c r="O1080" s="1" t="s">
        <v>4172</v>
      </c>
      <c r="P1080" s="1" t="s">
        <v>3230</v>
      </c>
      <c r="Q1080" s="1" t="s">
        <v>3408</v>
      </c>
    </row>
    <row r="1081">
      <c r="A1081" s="1" t="s">
        <v>5244</v>
      </c>
      <c r="B1081" s="1">
        <v>40.0</v>
      </c>
      <c r="C1081" s="1">
        <v>110.0</v>
      </c>
      <c r="D1081" s="2" t="s">
        <v>2416</v>
      </c>
      <c r="E1081" s="1">
        <v>40.0</v>
      </c>
      <c r="F1081" s="1">
        <v>8.0</v>
      </c>
      <c r="G1081" s="1">
        <v>0.0</v>
      </c>
      <c r="H1081" s="1">
        <v>0.0</v>
      </c>
      <c r="I1081" s="1">
        <v>0.0</v>
      </c>
      <c r="J1081" s="1">
        <v>0.0</v>
      </c>
      <c r="K1081" s="1">
        <v>0.01</v>
      </c>
      <c r="L1081" s="1">
        <v>2570000.0</v>
      </c>
      <c r="M1081" s="1" t="s">
        <v>5245</v>
      </c>
      <c r="N1081" s="18">
        <v>46007.0</v>
      </c>
      <c r="O1081" s="1" t="s">
        <v>5246</v>
      </c>
      <c r="P1081" s="1" t="s">
        <v>3230</v>
      </c>
      <c r="Q1081" s="1" t="s">
        <v>3408</v>
      </c>
    </row>
    <row r="1082">
      <c r="A1082" s="1" t="s">
        <v>5247</v>
      </c>
      <c r="B1082" s="1">
        <v>40.0</v>
      </c>
      <c r="C1082" s="1">
        <v>50.0</v>
      </c>
      <c r="D1082" s="2" t="s">
        <v>2930</v>
      </c>
      <c r="E1082" s="1">
        <v>40.0</v>
      </c>
      <c r="F1082" s="1">
        <v>45.0</v>
      </c>
      <c r="G1082" s="1">
        <v>0.0</v>
      </c>
      <c r="H1082" s="1">
        <v>0.0</v>
      </c>
      <c r="I1082" s="1">
        <v>0.0</v>
      </c>
      <c r="J1082" s="1">
        <v>0.0</v>
      </c>
      <c r="K1082" s="1">
        <v>0.0</v>
      </c>
      <c r="L1082" s="1">
        <v>6830000.0</v>
      </c>
      <c r="M1082" s="1" t="s">
        <v>5248</v>
      </c>
      <c r="N1082" s="18">
        <v>46001.0</v>
      </c>
      <c r="O1082" s="1" t="s">
        <v>4033</v>
      </c>
      <c r="P1082" s="1" t="s">
        <v>3230</v>
      </c>
      <c r="Q1082" s="1" t="s">
        <v>3408</v>
      </c>
    </row>
    <row r="1083">
      <c r="A1083" s="1" t="s">
        <v>5249</v>
      </c>
      <c r="B1083" s="1">
        <v>40.0</v>
      </c>
      <c r="C1083" s="1">
        <v>50.0</v>
      </c>
      <c r="D1083" s="2" t="s">
        <v>681</v>
      </c>
      <c r="E1083" s="1">
        <v>40.0</v>
      </c>
      <c r="F1083" s="1">
        <v>5.0</v>
      </c>
      <c r="G1083" s="1">
        <v>0.3</v>
      </c>
      <c r="H1083" s="1">
        <v>0.0</v>
      </c>
      <c r="I1083" s="1">
        <v>0.0</v>
      </c>
      <c r="J1083" s="1">
        <v>0.0</v>
      </c>
      <c r="K1083" s="1">
        <v>0.16</v>
      </c>
      <c r="L1083" s="1">
        <v>5940000.0</v>
      </c>
      <c r="M1083" s="1" t="s">
        <v>5250</v>
      </c>
      <c r="N1083" s="18">
        <v>45998.0</v>
      </c>
      <c r="O1083" s="1" t="s">
        <v>3479</v>
      </c>
      <c r="P1083" s="1" t="s">
        <v>3230</v>
      </c>
      <c r="Q1083" s="1" t="s">
        <v>3408</v>
      </c>
    </row>
    <row r="1084">
      <c r="A1084" s="1" t="s">
        <v>3718</v>
      </c>
      <c r="B1084" s="1">
        <v>40.0</v>
      </c>
      <c r="C1084" s="1">
        <v>170.0</v>
      </c>
      <c r="D1084" s="2" t="s">
        <v>475</v>
      </c>
      <c r="E1084" s="1">
        <v>40.0</v>
      </c>
      <c r="F1084" s="1">
        <v>25.0</v>
      </c>
      <c r="G1084" s="1">
        <v>17.92</v>
      </c>
      <c r="H1084" s="1">
        <v>0.0</v>
      </c>
      <c r="I1084" s="1">
        <v>0.0</v>
      </c>
      <c r="J1084" s="1">
        <v>0.0</v>
      </c>
      <c r="K1084" s="1">
        <v>0.32</v>
      </c>
      <c r="L1084" s="1">
        <v>53600.0</v>
      </c>
      <c r="M1084" s="1" t="s">
        <v>3719</v>
      </c>
      <c r="N1084" s="18">
        <v>45997.0</v>
      </c>
      <c r="O1084" s="1" t="s">
        <v>3720</v>
      </c>
      <c r="P1084" s="1" t="s">
        <v>3257</v>
      </c>
      <c r="Q1084" s="1" t="s">
        <v>3408</v>
      </c>
    </row>
    <row r="1085">
      <c r="A1085" s="1" t="s">
        <v>5251</v>
      </c>
      <c r="B1085" s="1">
        <v>40.0</v>
      </c>
      <c r="C1085" s="1">
        <v>70.0</v>
      </c>
      <c r="D1085" s="2" t="s">
        <v>921</v>
      </c>
      <c r="E1085" s="1">
        <v>40.0</v>
      </c>
      <c r="F1085" s="1">
        <v>7.0</v>
      </c>
      <c r="G1085" s="1">
        <v>0.0</v>
      </c>
      <c r="H1085" s="1">
        <v>0.0</v>
      </c>
      <c r="I1085" s="1">
        <v>0.0</v>
      </c>
      <c r="J1085" s="1">
        <v>0.0</v>
      </c>
      <c r="K1085" s="1">
        <v>0.0</v>
      </c>
      <c r="L1085" s="1">
        <v>3910000.0</v>
      </c>
      <c r="M1085" s="1" t="s">
        <v>5252</v>
      </c>
      <c r="N1085" s="18">
        <v>45989.0</v>
      </c>
      <c r="O1085" s="1" t="s">
        <v>3653</v>
      </c>
      <c r="P1085" s="1" t="s">
        <v>3230</v>
      </c>
      <c r="Q1085" s="1" t="s">
        <v>3408</v>
      </c>
    </row>
    <row r="1086">
      <c r="A1086" s="1" t="s">
        <v>5216</v>
      </c>
      <c r="B1086" s="1">
        <v>40.0</v>
      </c>
      <c r="C1086" s="1">
        <v>70.0</v>
      </c>
      <c r="D1086" s="2" t="s">
        <v>768</v>
      </c>
      <c r="E1086" s="1">
        <v>40.0</v>
      </c>
      <c r="F1086" s="1">
        <v>0.0</v>
      </c>
      <c r="G1086" s="1">
        <v>0.0</v>
      </c>
      <c r="H1086" s="1">
        <v>0.0</v>
      </c>
      <c r="I1086" s="1">
        <v>0.0</v>
      </c>
      <c r="J1086" s="1">
        <v>0.0</v>
      </c>
      <c r="K1086" s="1">
        <v>0.0</v>
      </c>
      <c r="L1086" s="1">
        <v>10.0</v>
      </c>
      <c r="M1086" s="1" t="s">
        <v>5217</v>
      </c>
      <c r="N1086" s="18">
        <v>45978.0</v>
      </c>
      <c r="O1086" s="1" t="s">
        <v>5218</v>
      </c>
      <c r="P1086" s="1" t="s">
        <v>3230</v>
      </c>
      <c r="Q1086" s="1" t="s">
        <v>3408</v>
      </c>
    </row>
    <row r="1087">
      <c r="A1087" s="1" t="s">
        <v>4046</v>
      </c>
      <c r="B1087" s="1">
        <v>40.0</v>
      </c>
      <c r="C1087" s="1">
        <v>110.0</v>
      </c>
      <c r="D1087" s="2" t="s">
        <v>584</v>
      </c>
      <c r="E1087" s="1">
        <v>40.0</v>
      </c>
      <c r="F1087" s="1">
        <v>3.0</v>
      </c>
      <c r="G1087" s="1">
        <v>12.04</v>
      </c>
      <c r="H1087" s="1">
        <v>0.0</v>
      </c>
      <c r="I1087" s="1">
        <v>0.0</v>
      </c>
      <c r="J1087" s="1">
        <v>0.0</v>
      </c>
      <c r="K1087" s="1">
        <v>0.42</v>
      </c>
      <c r="L1087" s="1">
        <v>9.0</v>
      </c>
      <c r="M1087" s="1" t="s">
        <v>4047</v>
      </c>
      <c r="N1087" s="18">
        <v>45978.0</v>
      </c>
      <c r="O1087" s="1" t="s">
        <v>3404</v>
      </c>
      <c r="P1087" s="1" t="s">
        <v>3257</v>
      </c>
      <c r="Q1087" s="1" t="s">
        <v>3408</v>
      </c>
    </row>
    <row r="1088">
      <c r="A1088" s="1" t="s">
        <v>5253</v>
      </c>
      <c r="B1088" s="1">
        <v>40.0</v>
      </c>
      <c r="C1088" s="1">
        <v>170.0</v>
      </c>
      <c r="D1088" s="2" t="s">
        <v>1475</v>
      </c>
      <c r="E1088" s="1">
        <v>40.0</v>
      </c>
      <c r="F1088" s="1">
        <v>0.0</v>
      </c>
      <c r="G1088" s="1">
        <v>0.0</v>
      </c>
      <c r="H1088" s="1">
        <v>0.0</v>
      </c>
      <c r="I1088" s="1">
        <v>0.0</v>
      </c>
      <c r="J1088" s="1">
        <v>0.0</v>
      </c>
      <c r="K1088" s="1">
        <v>0.0</v>
      </c>
      <c r="L1088" s="1">
        <v>10.0</v>
      </c>
      <c r="M1088" s="1" t="s">
        <v>5254</v>
      </c>
      <c r="N1088" s="18">
        <v>45969.0</v>
      </c>
      <c r="O1088" s="1" t="s">
        <v>4678</v>
      </c>
      <c r="P1088" s="1" t="s">
        <v>3230</v>
      </c>
      <c r="Q1088" s="1" t="s">
        <v>3408</v>
      </c>
    </row>
    <row r="1089">
      <c r="A1089" s="1" t="s">
        <v>5255</v>
      </c>
      <c r="B1089" s="1">
        <v>40.0</v>
      </c>
      <c r="C1089" s="1">
        <v>30.0</v>
      </c>
      <c r="D1089" s="2" t="s">
        <v>606</v>
      </c>
      <c r="E1089" s="1">
        <v>40.0</v>
      </c>
      <c r="F1089" s="1">
        <v>19.0</v>
      </c>
      <c r="G1089" s="1">
        <v>5.6</v>
      </c>
      <c r="H1089" s="1">
        <v>0.0</v>
      </c>
      <c r="I1089" s="1">
        <v>0.0</v>
      </c>
      <c r="J1089" s="1">
        <v>0.0</v>
      </c>
      <c r="K1089" s="1">
        <v>0.68</v>
      </c>
      <c r="L1089" s="1">
        <v>1.07E8</v>
      </c>
      <c r="M1089" s="1" t="s">
        <v>5256</v>
      </c>
      <c r="N1089" s="18">
        <v>45949.0</v>
      </c>
      <c r="O1089" s="1" t="s">
        <v>5257</v>
      </c>
      <c r="P1089" s="1" t="s">
        <v>3230</v>
      </c>
      <c r="Q1089" s="1" t="s">
        <v>3408</v>
      </c>
    </row>
    <row r="1090">
      <c r="A1090" s="1" t="s">
        <v>5258</v>
      </c>
      <c r="B1090" s="1">
        <v>41.0</v>
      </c>
      <c r="C1090" s="1">
        <v>50.0</v>
      </c>
      <c r="D1090" s="2" t="s">
        <v>1052</v>
      </c>
      <c r="E1090" s="1">
        <v>36.0</v>
      </c>
      <c r="F1090" s="1">
        <v>21.0</v>
      </c>
      <c r="G1090" s="1">
        <v>0.0</v>
      </c>
      <c r="H1090" s="1">
        <v>0.0</v>
      </c>
      <c r="I1090" s="1">
        <v>0.0</v>
      </c>
      <c r="J1090" s="1">
        <v>0.0</v>
      </c>
      <c r="K1090" s="1">
        <v>0.0</v>
      </c>
      <c r="L1090" s="1">
        <v>1.44E8</v>
      </c>
      <c r="M1090" s="1" t="s">
        <v>5259</v>
      </c>
      <c r="N1090" s="18">
        <v>46042.0</v>
      </c>
      <c r="O1090" s="1" t="s">
        <v>3264</v>
      </c>
      <c r="P1090" s="1" t="s">
        <v>3230</v>
      </c>
      <c r="Q1090" s="1" t="s">
        <v>3408</v>
      </c>
    </row>
    <row r="1091">
      <c r="A1091" s="1" t="s">
        <v>5260</v>
      </c>
      <c r="B1091" s="1">
        <v>41.0</v>
      </c>
      <c r="C1091" s="1">
        <v>110.0</v>
      </c>
      <c r="D1091" s="2" t="s">
        <v>581</v>
      </c>
      <c r="E1091" s="1">
        <v>41.0</v>
      </c>
      <c r="F1091" s="1">
        <v>21.0</v>
      </c>
      <c r="G1091" s="1">
        <v>0.0</v>
      </c>
      <c r="H1091" s="1">
        <v>0.0</v>
      </c>
      <c r="I1091" s="1">
        <v>0.0</v>
      </c>
      <c r="J1091" s="1">
        <v>0.0</v>
      </c>
      <c r="K1091" s="1">
        <v>0.04</v>
      </c>
      <c r="L1091" s="1">
        <v>97100.0</v>
      </c>
      <c r="M1091" s="1" t="s">
        <v>5261</v>
      </c>
      <c r="N1091" s="18">
        <v>46038.0</v>
      </c>
      <c r="O1091" s="1" t="s">
        <v>3650</v>
      </c>
      <c r="P1091" s="1" t="s">
        <v>3294</v>
      </c>
      <c r="Q1091" s="1" t="s">
        <v>3408</v>
      </c>
    </row>
    <row r="1092">
      <c r="A1092" s="1" t="s">
        <v>5262</v>
      </c>
      <c r="B1092" s="1">
        <v>41.0</v>
      </c>
      <c r="C1092" s="1">
        <v>320.0</v>
      </c>
      <c r="D1092" s="2" t="s">
        <v>1868</v>
      </c>
      <c r="E1092" s="1">
        <v>41.0</v>
      </c>
      <c r="F1092" s="1">
        <v>47.0</v>
      </c>
      <c r="G1092" s="1">
        <v>0.0</v>
      </c>
      <c r="H1092" s="1">
        <v>0.0</v>
      </c>
      <c r="I1092" s="1">
        <v>0.0</v>
      </c>
      <c r="J1092" s="1">
        <v>0.0</v>
      </c>
      <c r="K1092" s="1">
        <v>0.0</v>
      </c>
      <c r="L1092" s="1">
        <v>1.93E8</v>
      </c>
      <c r="M1092" s="1" t="s">
        <v>5263</v>
      </c>
      <c r="N1092" s="18">
        <v>46033.0</v>
      </c>
      <c r="O1092" s="1" t="s">
        <v>4845</v>
      </c>
      <c r="P1092" s="1" t="s">
        <v>3230</v>
      </c>
      <c r="Q1092" s="1" t="s">
        <v>3408</v>
      </c>
    </row>
    <row r="1093">
      <c r="A1093" s="1" t="s">
        <v>5264</v>
      </c>
      <c r="B1093" s="1">
        <v>41.0</v>
      </c>
      <c r="C1093" s="1">
        <v>2400.0</v>
      </c>
      <c r="D1093" s="2" t="s">
        <v>608</v>
      </c>
      <c r="E1093" s="1">
        <v>41.0</v>
      </c>
      <c r="F1093" s="1">
        <v>37.0</v>
      </c>
      <c r="G1093" s="1">
        <v>2.73</v>
      </c>
      <c r="H1093" s="1">
        <v>0.0</v>
      </c>
      <c r="I1093" s="1">
        <v>0.0</v>
      </c>
      <c r="J1093" s="1">
        <v>0.0</v>
      </c>
      <c r="K1093" s="1">
        <v>0.12</v>
      </c>
      <c r="L1093" s="1">
        <v>1.95E8</v>
      </c>
      <c r="M1093" s="1" t="s">
        <v>5265</v>
      </c>
      <c r="N1093" s="18">
        <v>46032.0</v>
      </c>
      <c r="O1093" s="1" t="s">
        <v>3404</v>
      </c>
      <c r="P1093" s="1" t="s">
        <v>3462</v>
      </c>
      <c r="Q1093" s="1" t="s">
        <v>3408</v>
      </c>
    </row>
    <row r="1094">
      <c r="A1094" s="1" t="s">
        <v>5266</v>
      </c>
      <c r="B1094" s="1">
        <v>41.0</v>
      </c>
      <c r="C1094" s="1">
        <v>480.0</v>
      </c>
      <c r="D1094" s="2" t="s">
        <v>973</v>
      </c>
      <c r="E1094" s="1">
        <v>41.0</v>
      </c>
      <c r="F1094" s="1">
        <v>38.0</v>
      </c>
      <c r="G1094" s="1">
        <v>0.0</v>
      </c>
      <c r="H1094" s="1">
        <v>0.0</v>
      </c>
      <c r="I1094" s="1">
        <v>0.0</v>
      </c>
      <c r="J1094" s="1">
        <v>0.0</v>
      </c>
      <c r="K1094" s="1">
        <v>0.0</v>
      </c>
      <c r="L1094" s="1">
        <v>1.88E7</v>
      </c>
      <c r="M1094" s="1" t="s">
        <v>5267</v>
      </c>
      <c r="N1094" s="18">
        <v>46029.0</v>
      </c>
      <c r="O1094" s="1" t="s">
        <v>5268</v>
      </c>
      <c r="P1094" s="1" t="s">
        <v>3230</v>
      </c>
      <c r="Q1094" s="1" t="s">
        <v>3408</v>
      </c>
    </row>
    <row r="1095">
      <c r="A1095" s="1" t="s">
        <v>5269</v>
      </c>
      <c r="B1095" s="1">
        <v>41.0</v>
      </c>
      <c r="C1095" s="1">
        <v>40.0</v>
      </c>
      <c r="D1095" s="2" t="s">
        <v>714</v>
      </c>
      <c r="E1095" s="1">
        <v>41.0</v>
      </c>
      <c r="F1095" s="1">
        <v>6.0</v>
      </c>
      <c r="G1095" s="1">
        <v>9.8</v>
      </c>
      <c r="H1095" s="1">
        <v>0.0</v>
      </c>
      <c r="I1095" s="1">
        <v>0.0</v>
      </c>
      <c r="J1095" s="1">
        <v>0.0</v>
      </c>
      <c r="K1095" s="1">
        <v>0.04</v>
      </c>
      <c r="L1095" s="1">
        <v>1200000.0</v>
      </c>
      <c r="M1095" s="1" t="s">
        <v>5270</v>
      </c>
      <c r="N1095" s="18">
        <v>46026.0</v>
      </c>
      <c r="O1095" s="1" t="s">
        <v>3407</v>
      </c>
      <c r="P1095" s="1" t="s">
        <v>3230</v>
      </c>
      <c r="Q1095" s="1" t="s">
        <v>3408</v>
      </c>
    </row>
    <row r="1096">
      <c r="A1096" s="1" t="s">
        <v>5271</v>
      </c>
      <c r="B1096" s="1">
        <v>41.0</v>
      </c>
      <c r="C1096" s="1">
        <v>40.0</v>
      </c>
      <c r="D1096" s="2" t="s">
        <v>750</v>
      </c>
      <c r="E1096" s="1">
        <v>41.0</v>
      </c>
      <c r="F1096" s="1">
        <v>0.0</v>
      </c>
      <c r="G1096" s="1">
        <v>0.0</v>
      </c>
      <c r="H1096" s="1">
        <v>0.0</v>
      </c>
      <c r="I1096" s="1">
        <v>0.0</v>
      </c>
      <c r="J1096" s="1">
        <v>0.0</v>
      </c>
      <c r="K1096" s="1">
        <v>0.0</v>
      </c>
      <c r="L1096" s="1">
        <v>2300000.0</v>
      </c>
      <c r="M1096" s="1" t="s">
        <v>5272</v>
      </c>
      <c r="N1096" s="18">
        <v>46025.0</v>
      </c>
      <c r="P1096" s="1" t="s">
        <v>3230</v>
      </c>
      <c r="Q1096" s="1" t="s">
        <v>3408</v>
      </c>
    </row>
    <row r="1097">
      <c r="A1097" s="1" t="s">
        <v>5273</v>
      </c>
      <c r="B1097" s="1">
        <v>41.0</v>
      </c>
      <c r="C1097" s="1">
        <v>40.0</v>
      </c>
      <c r="D1097" s="2" t="s">
        <v>750</v>
      </c>
      <c r="E1097" s="1">
        <v>41.0</v>
      </c>
      <c r="F1097" s="1">
        <v>0.0</v>
      </c>
      <c r="G1097" s="1">
        <v>0.0</v>
      </c>
      <c r="H1097" s="1">
        <v>0.0</v>
      </c>
      <c r="I1097" s="1">
        <v>0.0</v>
      </c>
      <c r="J1097" s="1">
        <v>0.0</v>
      </c>
      <c r="K1097" s="1">
        <v>0.0</v>
      </c>
      <c r="L1097" s="1">
        <v>2320000.0</v>
      </c>
      <c r="M1097" s="1" t="s">
        <v>5274</v>
      </c>
      <c r="N1097" s="18">
        <v>46025.0</v>
      </c>
      <c r="P1097" s="1" t="s">
        <v>3230</v>
      </c>
      <c r="Q1097" s="1" t="s">
        <v>3408</v>
      </c>
    </row>
    <row r="1098">
      <c r="A1098" s="1" t="s">
        <v>5275</v>
      </c>
      <c r="B1098" s="1">
        <v>41.0</v>
      </c>
      <c r="C1098" s="1">
        <v>210.0</v>
      </c>
      <c r="D1098" s="2" t="s">
        <v>1052</v>
      </c>
      <c r="E1098" s="1">
        <v>41.0</v>
      </c>
      <c r="F1098" s="1">
        <v>6.0</v>
      </c>
      <c r="G1098" s="1">
        <v>0.0</v>
      </c>
      <c r="H1098" s="1">
        <v>0.0</v>
      </c>
      <c r="I1098" s="1">
        <v>0.0</v>
      </c>
      <c r="J1098" s="1">
        <v>0.0</v>
      </c>
      <c r="K1098" s="1">
        <v>0.0</v>
      </c>
      <c r="L1098" s="1">
        <v>1.69E8</v>
      </c>
      <c r="M1098" s="1" t="s">
        <v>5276</v>
      </c>
      <c r="N1098" s="18">
        <v>46022.0</v>
      </c>
      <c r="O1098" s="1" t="s">
        <v>3493</v>
      </c>
      <c r="P1098" s="1" t="s">
        <v>3230</v>
      </c>
      <c r="Q1098" s="1" t="s">
        <v>3408</v>
      </c>
    </row>
    <row r="1099">
      <c r="A1099" s="1" t="s">
        <v>3419</v>
      </c>
      <c r="B1099" s="1">
        <v>41.0</v>
      </c>
      <c r="C1099" s="1">
        <v>30.0</v>
      </c>
      <c r="D1099" s="2" t="s">
        <v>588</v>
      </c>
      <c r="E1099" s="1">
        <v>41.0</v>
      </c>
      <c r="F1099" s="1">
        <v>44.0</v>
      </c>
      <c r="G1099" s="1">
        <v>22.36</v>
      </c>
      <c r="H1099" s="1">
        <v>0.0</v>
      </c>
      <c r="I1099" s="1">
        <v>0.0</v>
      </c>
      <c r="J1099" s="1">
        <v>0.0</v>
      </c>
      <c r="K1099" s="1">
        <v>0.99</v>
      </c>
      <c r="L1099" s="1">
        <v>18700.0</v>
      </c>
      <c r="M1099" s="1" t="s">
        <v>3420</v>
      </c>
      <c r="N1099" s="18">
        <v>46022.0</v>
      </c>
      <c r="O1099" s="1" t="s">
        <v>3421</v>
      </c>
      <c r="P1099" s="1" t="s">
        <v>3257</v>
      </c>
      <c r="Q1099" s="1" t="s">
        <v>3408</v>
      </c>
    </row>
    <row r="1100">
      <c r="A1100" s="1" t="s">
        <v>5041</v>
      </c>
      <c r="B1100" s="1">
        <v>41.0</v>
      </c>
      <c r="C1100" s="1">
        <v>110.0</v>
      </c>
      <c r="D1100" s="2" t="s">
        <v>439</v>
      </c>
      <c r="E1100" s="1">
        <v>41.0</v>
      </c>
      <c r="F1100" s="1">
        <v>20.0</v>
      </c>
      <c r="G1100" s="1">
        <v>2.75</v>
      </c>
      <c r="H1100" s="1">
        <v>0.0</v>
      </c>
      <c r="I1100" s="1">
        <v>0.0</v>
      </c>
      <c r="J1100" s="1">
        <v>0.0</v>
      </c>
      <c r="K1100" s="1">
        <v>0.07</v>
      </c>
      <c r="L1100" s="1">
        <v>314.0</v>
      </c>
      <c r="M1100" s="1" t="s">
        <v>5042</v>
      </c>
      <c r="N1100" s="18">
        <v>46022.0</v>
      </c>
      <c r="O1100" s="1" t="s">
        <v>5043</v>
      </c>
      <c r="P1100" s="1" t="s">
        <v>3230</v>
      </c>
      <c r="Q1100" s="1" t="s">
        <v>3408</v>
      </c>
    </row>
    <row r="1101">
      <c r="A1101" s="1" t="s">
        <v>5277</v>
      </c>
      <c r="B1101" s="1">
        <v>41.0</v>
      </c>
      <c r="C1101" s="1">
        <v>40.0</v>
      </c>
      <c r="D1101" s="2" t="s">
        <v>581</v>
      </c>
      <c r="E1101" s="1">
        <v>41.0</v>
      </c>
      <c r="F1101" s="1">
        <v>0.0</v>
      </c>
      <c r="G1101" s="1">
        <v>0.0</v>
      </c>
      <c r="H1101" s="1">
        <v>0.0</v>
      </c>
      <c r="I1101" s="1">
        <v>0.0</v>
      </c>
      <c r="J1101" s="1">
        <v>0.0</v>
      </c>
      <c r="K1101" s="1">
        <v>0.06</v>
      </c>
      <c r="L1101" s="1">
        <v>1540000.0</v>
      </c>
      <c r="M1101" s="1" t="s">
        <v>5278</v>
      </c>
      <c r="N1101" s="18">
        <v>46021.0</v>
      </c>
      <c r="O1101" s="1" t="s">
        <v>5279</v>
      </c>
      <c r="P1101" s="1" t="s">
        <v>3230</v>
      </c>
      <c r="Q1101" s="1" t="s">
        <v>3408</v>
      </c>
    </row>
    <row r="1102">
      <c r="A1102" s="1" t="s">
        <v>5280</v>
      </c>
      <c r="B1102" s="1">
        <v>41.0</v>
      </c>
      <c r="C1102" s="1">
        <v>50.0</v>
      </c>
      <c r="D1102" s="2" t="s">
        <v>439</v>
      </c>
      <c r="E1102" s="1">
        <v>41.0</v>
      </c>
      <c r="F1102" s="1">
        <v>16.0</v>
      </c>
      <c r="G1102" s="1">
        <v>0.0</v>
      </c>
      <c r="H1102" s="1">
        <v>0.0</v>
      </c>
      <c r="I1102" s="1">
        <v>0.0</v>
      </c>
      <c r="J1102" s="1">
        <v>0.0</v>
      </c>
      <c r="K1102" s="1">
        <v>0.06</v>
      </c>
      <c r="L1102" s="1">
        <v>11500.0</v>
      </c>
      <c r="M1102" s="1" t="s">
        <v>5281</v>
      </c>
      <c r="N1102" s="18">
        <v>46018.0</v>
      </c>
      <c r="O1102" s="1" t="s">
        <v>5282</v>
      </c>
      <c r="P1102" s="1" t="s">
        <v>3294</v>
      </c>
      <c r="Q1102" s="1" t="s">
        <v>3408</v>
      </c>
    </row>
    <row r="1103">
      <c r="A1103" s="1" t="s">
        <v>5283</v>
      </c>
      <c r="B1103" s="1">
        <v>41.0</v>
      </c>
      <c r="C1103" s="1">
        <v>110.0</v>
      </c>
      <c r="D1103" s="2" t="s">
        <v>439</v>
      </c>
      <c r="E1103" s="1">
        <v>41.0</v>
      </c>
      <c r="F1103" s="1">
        <v>30.0</v>
      </c>
      <c r="G1103" s="1">
        <v>0.0</v>
      </c>
      <c r="H1103" s="1">
        <v>0.0</v>
      </c>
      <c r="I1103" s="1">
        <v>0.0</v>
      </c>
      <c r="J1103" s="1">
        <v>0.0</v>
      </c>
      <c r="K1103" s="1">
        <v>0.0</v>
      </c>
      <c r="L1103" s="1">
        <v>1700000.0</v>
      </c>
      <c r="M1103" s="1" t="s">
        <v>5284</v>
      </c>
      <c r="N1103" s="18">
        <v>46017.0</v>
      </c>
      <c r="O1103" s="1" t="s">
        <v>5079</v>
      </c>
      <c r="P1103" s="1" t="s">
        <v>3294</v>
      </c>
      <c r="Q1103" s="1" t="s">
        <v>3408</v>
      </c>
    </row>
    <row r="1104">
      <c r="A1104" s="1" t="s">
        <v>3742</v>
      </c>
      <c r="B1104" s="1">
        <v>41.0</v>
      </c>
      <c r="C1104" s="1">
        <v>110.0</v>
      </c>
      <c r="D1104" s="2" t="s">
        <v>1008</v>
      </c>
      <c r="E1104" s="1">
        <v>41.0</v>
      </c>
      <c r="F1104" s="1">
        <v>20.0</v>
      </c>
      <c r="G1104" s="1">
        <v>16.13</v>
      </c>
      <c r="H1104" s="1">
        <v>0.0</v>
      </c>
      <c r="I1104" s="1">
        <v>0.0</v>
      </c>
      <c r="J1104" s="1">
        <v>0.0</v>
      </c>
      <c r="K1104" s="1">
        <v>0.58</v>
      </c>
      <c r="L1104" s="1">
        <v>42700.0</v>
      </c>
      <c r="M1104" s="1" t="s">
        <v>3743</v>
      </c>
      <c r="N1104" s="18">
        <v>46015.0</v>
      </c>
      <c r="O1104" s="1" t="s">
        <v>3458</v>
      </c>
      <c r="P1104" s="1" t="s">
        <v>3257</v>
      </c>
      <c r="Q1104" s="1" t="s">
        <v>3408</v>
      </c>
    </row>
    <row r="1105">
      <c r="A1105" s="1" t="s">
        <v>5285</v>
      </c>
      <c r="B1105" s="1">
        <v>41.0</v>
      </c>
      <c r="C1105" s="1">
        <v>90.0</v>
      </c>
      <c r="D1105" s="2" t="s">
        <v>1825</v>
      </c>
      <c r="E1105" s="1">
        <v>41.0</v>
      </c>
      <c r="F1105" s="1">
        <v>0.0</v>
      </c>
      <c r="G1105" s="1">
        <v>0.0</v>
      </c>
      <c r="H1105" s="1">
        <v>0.0</v>
      </c>
      <c r="I1105" s="1">
        <v>0.0</v>
      </c>
      <c r="J1105" s="1">
        <v>0.0</v>
      </c>
      <c r="K1105" s="1">
        <v>0.0</v>
      </c>
      <c r="L1105" s="1">
        <v>90500.0</v>
      </c>
      <c r="M1105" s="1" t="s">
        <v>5286</v>
      </c>
      <c r="N1105" s="18">
        <v>46015.0</v>
      </c>
      <c r="O1105" s="1" t="s">
        <v>5287</v>
      </c>
      <c r="P1105" s="1" t="s">
        <v>3334</v>
      </c>
      <c r="Q1105" s="1" t="s">
        <v>3408</v>
      </c>
    </row>
    <row r="1106">
      <c r="A1106" s="1" t="s">
        <v>5288</v>
      </c>
      <c r="B1106" s="1">
        <v>41.0</v>
      </c>
      <c r="C1106" s="1">
        <v>70.0</v>
      </c>
      <c r="D1106" s="2" t="s">
        <v>2184</v>
      </c>
      <c r="E1106" s="1">
        <v>41.0</v>
      </c>
      <c r="F1106" s="1">
        <v>11.0</v>
      </c>
      <c r="G1106" s="1">
        <v>0.0</v>
      </c>
      <c r="H1106" s="1">
        <v>0.0</v>
      </c>
      <c r="I1106" s="1">
        <v>0.0</v>
      </c>
      <c r="J1106" s="1">
        <v>0.0</v>
      </c>
      <c r="K1106" s="1">
        <v>0.33</v>
      </c>
      <c r="L1106" s="1">
        <v>4920000.0</v>
      </c>
      <c r="M1106" s="1" t="s">
        <v>5289</v>
      </c>
      <c r="N1106" s="18">
        <v>46015.0</v>
      </c>
      <c r="O1106" s="1" t="s">
        <v>3479</v>
      </c>
      <c r="P1106" s="1" t="s">
        <v>3334</v>
      </c>
      <c r="Q1106" s="1" t="s">
        <v>3408</v>
      </c>
    </row>
    <row r="1107">
      <c r="A1107" s="1" t="s">
        <v>5290</v>
      </c>
      <c r="B1107" s="1">
        <v>41.0</v>
      </c>
      <c r="C1107" s="1">
        <v>30.0</v>
      </c>
      <c r="D1107" s="2" t="s">
        <v>581</v>
      </c>
      <c r="E1107" s="1">
        <v>41.0</v>
      </c>
      <c r="F1107" s="1">
        <v>12.0</v>
      </c>
      <c r="G1107" s="1">
        <v>7.45</v>
      </c>
      <c r="H1107" s="1">
        <v>0.0</v>
      </c>
      <c r="I1107" s="1">
        <v>0.0</v>
      </c>
      <c r="J1107" s="1">
        <v>0.0</v>
      </c>
      <c r="K1107" s="1">
        <v>0.32</v>
      </c>
      <c r="L1107" s="1">
        <v>108000.0</v>
      </c>
      <c r="M1107" s="1" t="s">
        <v>5291</v>
      </c>
      <c r="N1107" s="18">
        <v>46014.0</v>
      </c>
      <c r="O1107" s="1" t="s">
        <v>3765</v>
      </c>
      <c r="P1107" s="1" t="s">
        <v>3257</v>
      </c>
      <c r="Q1107" s="1" t="s">
        <v>3408</v>
      </c>
    </row>
    <row r="1108">
      <c r="A1108" s="1" t="s">
        <v>5240</v>
      </c>
      <c r="B1108" s="1">
        <v>41.0</v>
      </c>
      <c r="C1108" s="1">
        <v>170.0</v>
      </c>
      <c r="D1108" s="2" t="s">
        <v>726</v>
      </c>
      <c r="E1108" s="1">
        <v>41.0</v>
      </c>
      <c r="F1108" s="1">
        <v>28.0</v>
      </c>
      <c r="G1108" s="1">
        <v>0.0</v>
      </c>
      <c r="H1108" s="1">
        <v>0.0</v>
      </c>
      <c r="I1108" s="1">
        <v>0.0</v>
      </c>
      <c r="J1108" s="1">
        <v>0.0</v>
      </c>
      <c r="K1108" s="1">
        <v>0.0</v>
      </c>
      <c r="L1108" s="1">
        <v>3300000.0</v>
      </c>
      <c r="M1108" s="1" t="s">
        <v>5241</v>
      </c>
      <c r="N1108" s="18">
        <v>46014.0</v>
      </c>
      <c r="O1108" s="1" t="s">
        <v>4134</v>
      </c>
      <c r="P1108" s="1" t="s">
        <v>3257</v>
      </c>
      <c r="Q1108" s="1" t="s">
        <v>3408</v>
      </c>
    </row>
    <row r="1109">
      <c r="A1109" s="1" t="s">
        <v>5292</v>
      </c>
      <c r="B1109" s="1">
        <v>41.0</v>
      </c>
      <c r="C1109" s="1">
        <v>40.0</v>
      </c>
      <c r="D1109" s="2" t="s">
        <v>694</v>
      </c>
      <c r="E1109" s="1">
        <v>41.0</v>
      </c>
      <c r="F1109" s="1">
        <v>0.0</v>
      </c>
      <c r="G1109" s="1">
        <v>0.0</v>
      </c>
      <c r="H1109" s="1">
        <v>0.0</v>
      </c>
      <c r="I1109" s="1">
        <v>0.0</v>
      </c>
      <c r="J1109" s="1">
        <v>0.0</v>
      </c>
      <c r="K1109" s="1">
        <v>0.09</v>
      </c>
      <c r="L1109" s="1">
        <v>89600.0</v>
      </c>
      <c r="M1109" s="1" t="s">
        <v>5293</v>
      </c>
      <c r="N1109" s="18">
        <v>46013.0</v>
      </c>
      <c r="O1109" s="1" t="s">
        <v>5294</v>
      </c>
      <c r="P1109" s="1" t="s">
        <v>3334</v>
      </c>
      <c r="Q1109" s="1" t="s">
        <v>3408</v>
      </c>
    </row>
    <row r="1110">
      <c r="A1110" s="1" t="s">
        <v>5295</v>
      </c>
      <c r="B1110" s="1">
        <v>41.0</v>
      </c>
      <c r="C1110" s="1">
        <v>170.0</v>
      </c>
      <c r="D1110" s="2" t="s">
        <v>911</v>
      </c>
      <c r="E1110" s="1">
        <v>41.0</v>
      </c>
      <c r="F1110" s="1">
        <v>1.0</v>
      </c>
      <c r="G1110" s="1">
        <v>1.61</v>
      </c>
      <c r="H1110" s="1">
        <v>0.0</v>
      </c>
      <c r="I1110" s="1">
        <v>0.0</v>
      </c>
      <c r="J1110" s="1">
        <v>0.0</v>
      </c>
      <c r="K1110" s="1">
        <v>0.69</v>
      </c>
      <c r="L1110" s="1">
        <v>5.22E7</v>
      </c>
      <c r="M1110" s="1" t="s">
        <v>5296</v>
      </c>
      <c r="N1110" s="18">
        <v>46011.0</v>
      </c>
      <c r="O1110" s="1" t="s">
        <v>4200</v>
      </c>
      <c r="P1110" s="1" t="s">
        <v>3230</v>
      </c>
      <c r="Q1110" s="1" t="s">
        <v>3408</v>
      </c>
    </row>
    <row r="1111">
      <c r="A1111" s="1" t="s">
        <v>5297</v>
      </c>
      <c r="B1111" s="1">
        <v>41.0</v>
      </c>
      <c r="C1111" s="1">
        <v>720.0</v>
      </c>
      <c r="D1111" s="2" t="s">
        <v>439</v>
      </c>
      <c r="E1111" s="1">
        <v>41.0</v>
      </c>
      <c r="F1111" s="1">
        <v>28.0</v>
      </c>
      <c r="G1111" s="1">
        <v>0.0</v>
      </c>
      <c r="H1111" s="1">
        <v>0.0</v>
      </c>
      <c r="I1111" s="1">
        <v>0.0</v>
      </c>
      <c r="J1111" s="1">
        <v>0.0</v>
      </c>
      <c r="K1111" s="1">
        <v>0.02</v>
      </c>
      <c r="L1111" s="1">
        <v>111000.0</v>
      </c>
      <c r="M1111" s="1" t="s">
        <v>5298</v>
      </c>
      <c r="N1111" s="18">
        <v>46003.0</v>
      </c>
      <c r="O1111" s="1" t="s">
        <v>4965</v>
      </c>
      <c r="P1111" s="1" t="s">
        <v>3294</v>
      </c>
      <c r="Q1111" s="1" t="s">
        <v>3408</v>
      </c>
    </row>
    <row r="1112">
      <c r="A1112" s="1" t="s">
        <v>3771</v>
      </c>
      <c r="B1112" s="1">
        <v>41.0</v>
      </c>
      <c r="C1112" s="1">
        <v>210.0</v>
      </c>
      <c r="D1112" s="2" t="s">
        <v>1008</v>
      </c>
      <c r="E1112" s="1">
        <v>41.0</v>
      </c>
      <c r="F1112" s="1">
        <v>29.0</v>
      </c>
      <c r="G1112" s="1">
        <v>17.92</v>
      </c>
      <c r="H1112" s="1">
        <v>0.0</v>
      </c>
      <c r="I1112" s="1">
        <v>0.0</v>
      </c>
      <c r="J1112" s="1">
        <v>0.0</v>
      </c>
      <c r="K1112" s="1">
        <v>0.32</v>
      </c>
      <c r="L1112" s="1">
        <v>44500.0</v>
      </c>
      <c r="M1112" s="1" t="s">
        <v>3772</v>
      </c>
      <c r="N1112" s="18">
        <v>45998.0</v>
      </c>
      <c r="O1112" s="1" t="s">
        <v>3773</v>
      </c>
      <c r="P1112" s="1" t="s">
        <v>3257</v>
      </c>
      <c r="Q1112" s="1" t="s">
        <v>3408</v>
      </c>
    </row>
    <row r="1113">
      <c r="A1113" s="1" t="s">
        <v>5299</v>
      </c>
      <c r="B1113" s="1">
        <v>41.0</v>
      </c>
      <c r="C1113" s="1">
        <v>70.0</v>
      </c>
      <c r="D1113" s="2" t="s">
        <v>687</v>
      </c>
      <c r="E1113" s="1">
        <v>41.0</v>
      </c>
      <c r="F1113" s="1">
        <v>38.0</v>
      </c>
      <c r="G1113" s="1">
        <v>16.4</v>
      </c>
      <c r="H1113" s="1">
        <v>0.0</v>
      </c>
      <c r="I1113" s="1">
        <v>0.0</v>
      </c>
      <c r="J1113" s="1">
        <v>0.0</v>
      </c>
      <c r="K1113" s="1">
        <v>0.59</v>
      </c>
      <c r="L1113" s="1">
        <v>43400.0</v>
      </c>
      <c r="M1113" s="1" t="s">
        <v>5300</v>
      </c>
      <c r="N1113" s="18">
        <v>45993.0</v>
      </c>
      <c r="O1113" s="1" t="s">
        <v>4165</v>
      </c>
      <c r="P1113" s="1" t="s">
        <v>3257</v>
      </c>
      <c r="Q1113" s="1" t="s">
        <v>3408</v>
      </c>
    </row>
    <row r="1114">
      <c r="A1114" s="1" t="s">
        <v>5251</v>
      </c>
      <c r="B1114" s="1">
        <v>41.0</v>
      </c>
      <c r="C1114" s="1">
        <v>70.0</v>
      </c>
      <c r="D1114" s="2" t="s">
        <v>921</v>
      </c>
      <c r="E1114" s="1">
        <v>41.0</v>
      </c>
      <c r="F1114" s="1">
        <v>7.0</v>
      </c>
      <c r="G1114" s="1">
        <v>0.0</v>
      </c>
      <c r="H1114" s="1">
        <v>0.0</v>
      </c>
      <c r="I1114" s="1">
        <v>0.0</v>
      </c>
      <c r="J1114" s="1">
        <v>0.0</v>
      </c>
      <c r="K1114" s="1">
        <v>0.0</v>
      </c>
      <c r="L1114" s="1">
        <v>3910000.0</v>
      </c>
      <c r="M1114" s="1" t="s">
        <v>5252</v>
      </c>
      <c r="N1114" s="18">
        <v>45989.0</v>
      </c>
      <c r="O1114" s="1" t="s">
        <v>3653</v>
      </c>
      <c r="P1114" s="1" t="s">
        <v>3230</v>
      </c>
      <c r="Q1114" s="1" t="s">
        <v>3408</v>
      </c>
    </row>
    <row r="1115">
      <c r="A1115" s="1" t="s">
        <v>5301</v>
      </c>
      <c r="B1115" s="1">
        <v>41.0</v>
      </c>
      <c r="C1115" s="1">
        <v>90.0</v>
      </c>
      <c r="D1115" s="2" t="s">
        <v>714</v>
      </c>
      <c r="E1115" s="1">
        <v>41.0</v>
      </c>
      <c r="F1115" s="1">
        <v>2.0</v>
      </c>
      <c r="G1115" s="1">
        <v>9.65</v>
      </c>
      <c r="H1115" s="1">
        <v>0.0</v>
      </c>
      <c r="I1115" s="1">
        <v>0.0</v>
      </c>
      <c r="J1115" s="1">
        <v>0.0</v>
      </c>
      <c r="K1115" s="1">
        <v>0.05</v>
      </c>
      <c r="L1115" s="1">
        <v>1400000.0</v>
      </c>
      <c r="M1115" s="1" t="s">
        <v>5302</v>
      </c>
      <c r="N1115" s="18">
        <v>45984.0</v>
      </c>
      <c r="O1115" s="1" t="s">
        <v>4646</v>
      </c>
      <c r="P1115" s="1" t="s">
        <v>3301</v>
      </c>
      <c r="Q1115" s="1" t="s">
        <v>3408</v>
      </c>
    </row>
    <row r="1116">
      <c r="A1116" s="1" t="s">
        <v>5303</v>
      </c>
      <c r="B1116" s="1">
        <v>41.0</v>
      </c>
      <c r="C1116" s="1">
        <v>260.0</v>
      </c>
      <c r="D1116" s="2" t="s">
        <v>447</v>
      </c>
      <c r="E1116" s="1">
        <v>41.0</v>
      </c>
      <c r="F1116" s="1">
        <v>44.0</v>
      </c>
      <c r="G1116" s="1">
        <v>3.43</v>
      </c>
      <c r="H1116" s="1">
        <v>0.0</v>
      </c>
      <c r="I1116" s="1">
        <v>0.0</v>
      </c>
      <c r="J1116" s="1">
        <v>0.0</v>
      </c>
      <c r="K1116" s="1">
        <v>0.81</v>
      </c>
      <c r="L1116" s="1">
        <v>25700.0</v>
      </c>
      <c r="M1116" s="1" t="s">
        <v>5304</v>
      </c>
      <c r="N1116" s="18">
        <v>45937.0</v>
      </c>
      <c r="O1116" s="1" t="s">
        <v>5305</v>
      </c>
      <c r="P1116" s="1" t="s">
        <v>3301</v>
      </c>
      <c r="Q1116" s="1" t="s">
        <v>3408</v>
      </c>
    </row>
    <row r="1117">
      <c r="A1117" s="1" t="s">
        <v>5306</v>
      </c>
      <c r="B1117" s="1">
        <v>42.0</v>
      </c>
      <c r="C1117" s="1">
        <v>50.0</v>
      </c>
      <c r="D1117" s="2" t="s">
        <v>1465</v>
      </c>
      <c r="E1117" s="1">
        <v>0.0</v>
      </c>
      <c r="F1117" s="1">
        <v>33.0</v>
      </c>
      <c r="G1117" s="1">
        <v>0.08</v>
      </c>
      <c r="H1117" s="1">
        <v>0.0</v>
      </c>
      <c r="I1117" s="1">
        <v>0.0</v>
      </c>
      <c r="J1117" s="1">
        <v>0.0</v>
      </c>
      <c r="K1117" s="1">
        <v>0.1</v>
      </c>
      <c r="L1117" s="1">
        <v>719000.0</v>
      </c>
      <c r="M1117" s="1" t="s">
        <v>5307</v>
      </c>
      <c r="N1117" s="18">
        <v>46043.0</v>
      </c>
      <c r="O1117" s="1" t="s">
        <v>3314</v>
      </c>
      <c r="P1117" s="1" t="s">
        <v>3230</v>
      </c>
      <c r="Q1117" s="1" t="s">
        <v>3408</v>
      </c>
    </row>
    <row r="1118">
      <c r="A1118" s="1" t="s">
        <v>5308</v>
      </c>
      <c r="B1118" s="1">
        <v>42.0</v>
      </c>
      <c r="C1118" s="1">
        <v>50.0</v>
      </c>
      <c r="D1118" s="2" t="s">
        <v>439</v>
      </c>
      <c r="E1118" s="1">
        <v>50.0</v>
      </c>
      <c r="F1118" s="1">
        <v>20.0</v>
      </c>
      <c r="G1118" s="1">
        <v>4.85</v>
      </c>
      <c r="H1118" s="1">
        <v>0.0</v>
      </c>
      <c r="I1118" s="1">
        <v>0.0</v>
      </c>
      <c r="J1118" s="1">
        <v>0.0</v>
      </c>
      <c r="K1118" s="1">
        <v>0.12</v>
      </c>
      <c r="L1118" s="1">
        <v>46000.0</v>
      </c>
      <c r="M1118" s="1" t="s">
        <v>5309</v>
      </c>
      <c r="N1118" s="18">
        <v>46042.0</v>
      </c>
      <c r="O1118" s="1" t="s">
        <v>5310</v>
      </c>
      <c r="P1118" s="1" t="s">
        <v>3294</v>
      </c>
      <c r="Q1118" s="1" t="s">
        <v>3408</v>
      </c>
    </row>
    <row r="1119">
      <c r="A1119" s="1" t="s">
        <v>5311</v>
      </c>
      <c r="B1119" s="1">
        <v>42.0</v>
      </c>
      <c r="C1119" s="1">
        <v>140.0</v>
      </c>
      <c r="D1119" s="2" t="s">
        <v>439</v>
      </c>
      <c r="E1119" s="1">
        <v>80.0</v>
      </c>
      <c r="F1119" s="1">
        <v>32.0</v>
      </c>
      <c r="G1119" s="1">
        <v>1.76</v>
      </c>
      <c r="H1119" s="1">
        <v>0.0</v>
      </c>
      <c r="I1119" s="1">
        <v>0.0</v>
      </c>
      <c r="J1119" s="1">
        <v>0.0</v>
      </c>
      <c r="K1119" s="1">
        <v>0.04</v>
      </c>
      <c r="L1119" s="1">
        <v>307000.0</v>
      </c>
      <c r="M1119" s="1" t="s">
        <v>5312</v>
      </c>
      <c r="N1119" s="18">
        <v>46042.0</v>
      </c>
      <c r="O1119" s="1" t="s">
        <v>3404</v>
      </c>
      <c r="P1119" s="1" t="s">
        <v>3294</v>
      </c>
      <c r="Q1119" s="1" t="s">
        <v>3408</v>
      </c>
    </row>
    <row r="1120">
      <c r="A1120" s="1" t="s">
        <v>5313</v>
      </c>
      <c r="B1120" s="1">
        <v>42.0</v>
      </c>
      <c r="C1120" s="1">
        <v>90.0</v>
      </c>
      <c r="D1120" s="2" t="s">
        <v>2080</v>
      </c>
      <c r="E1120" s="1">
        <v>0.0</v>
      </c>
      <c r="F1120" s="1">
        <v>1.0</v>
      </c>
      <c r="G1120" s="1">
        <v>2.75</v>
      </c>
      <c r="H1120" s="1">
        <v>0.0</v>
      </c>
      <c r="I1120" s="1">
        <v>0.0</v>
      </c>
      <c r="J1120" s="1">
        <v>0.0</v>
      </c>
      <c r="K1120" s="1">
        <v>0.09</v>
      </c>
      <c r="L1120" s="1">
        <v>9300000.0</v>
      </c>
      <c r="M1120" s="1" t="s">
        <v>5314</v>
      </c>
      <c r="N1120" s="18">
        <v>46042.0</v>
      </c>
      <c r="O1120" s="1" t="s">
        <v>3314</v>
      </c>
      <c r="P1120" s="1" t="s">
        <v>3230</v>
      </c>
      <c r="Q1120" s="1" t="s">
        <v>3408</v>
      </c>
    </row>
    <row r="1121">
      <c r="A1121" s="1" t="s">
        <v>5315</v>
      </c>
      <c r="B1121" s="1">
        <v>42.0</v>
      </c>
      <c r="C1121" s="1">
        <v>50.0</v>
      </c>
      <c r="D1121" s="2" t="s">
        <v>471</v>
      </c>
      <c r="E1121" s="1">
        <v>42.0</v>
      </c>
      <c r="F1121" s="1">
        <v>4.0</v>
      </c>
      <c r="G1121" s="1">
        <v>0.0</v>
      </c>
      <c r="H1121" s="1">
        <v>0.0</v>
      </c>
      <c r="I1121" s="1">
        <v>0.0</v>
      </c>
      <c r="J1121" s="1">
        <v>0.0</v>
      </c>
      <c r="K1121" s="1">
        <v>0.0</v>
      </c>
      <c r="L1121" s="1">
        <v>246000.0</v>
      </c>
      <c r="M1121" s="1" t="s">
        <v>5316</v>
      </c>
      <c r="N1121" s="18">
        <v>46038.0</v>
      </c>
      <c r="O1121" s="1" t="s">
        <v>5317</v>
      </c>
      <c r="P1121" s="1" t="s">
        <v>3257</v>
      </c>
      <c r="Q1121" s="1" t="s">
        <v>3408</v>
      </c>
    </row>
    <row r="1122">
      <c r="A1122" s="1" t="s">
        <v>5318</v>
      </c>
      <c r="B1122" s="1">
        <v>42.0</v>
      </c>
      <c r="C1122" s="1">
        <v>40.0</v>
      </c>
      <c r="D1122" s="2" t="s">
        <v>1307</v>
      </c>
      <c r="E1122" s="1">
        <v>42.0</v>
      </c>
      <c r="F1122" s="1">
        <v>7.0</v>
      </c>
      <c r="G1122" s="1">
        <v>4.68</v>
      </c>
      <c r="H1122" s="1">
        <v>0.0</v>
      </c>
      <c r="I1122" s="1">
        <v>0.0</v>
      </c>
      <c r="J1122" s="1">
        <v>0.0</v>
      </c>
      <c r="K1122" s="1">
        <v>0.93</v>
      </c>
      <c r="L1122" s="1">
        <v>1030000.0</v>
      </c>
      <c r="M1122" s="1" t="s">
        <v>5319</v>
      </c>
      <c r="N1122" s="18">
        <v>46031.0</v>
      </c>
      <c r="O1122" s="1" t="s">
        <v>5320</v>
      </c>
      <c r="P1122" s="1" t="s">
        <v>3257</v>
      </c>
      <c r="Q1122" s="1" t="s">
        <v>3408</v>
      </c>
    </row>
    <row r="1123">
      <c r="A1123" s="1" t="s">
        <v>5321</v>
      </c>
      <c r="B1123" s="1">
        <v>42.0</v>
      </c>
      <c r="C1123" s="1">
        <v>320.0</v>
      </c>
      <c r="D1123" s="2" t="s">
        <v>598</v>
      </c>
      <c r="E1123" s="1">
        <v>42.0</v>
      </c>
      <c r="F1123" s="1">
        <v>36.0</v>
      </c>
      <c r="G1123" s="1">
        <v>12.84</v>
      </c>
      <c r="H1123" s="1">
        <v>0.0</v>
      </c>
      <c r="I1123" s="1">
        <v>0.0</v>
      </c>
      <c r="J1123" s="1">
        <v>0.0</v>
      </c>
      <c r="K1123" s="1">
        <v>0.64</v>
      </c>
      <c r="L1123" s="1">
        <v>353000.0</v>
      </c>
      <c r="M1123" s="1" t="s">
        <v>5322</v>
      </c>
      <c r="N1123" s="18">
        <v>46029.0</v>
      </c>
      <c r="O1123" s="1" t="s">
        <v>3673</v>
      </c>
      <c r="P1123" s="1" t="s">
        <v>3257</v>
      </c>
      <c r="Q1123" s="1" t="s">
        <v>3408</v>
      </c>
    </row>
    <row r="1124">
      <c r="A1124" s="1" t="s">
        <v>4114</v>
      </c>
      <c r="B1124" s="1">
        <v>42.0</v>
      </c>
      <c r="C1124" s="1">
        <v>40.0</v>
      </c>
      <c r="D1124" s="2" t="s">
        <v>1436</v>
      </c>
      <c r="E1124" s="1">
        <v>42.0</v>
      </c>
      <c r="F1124" s="1">
        <v>7.0</v>
      </c>
      <c r="G1124" s="1">
        <v>22.8</v>
      </c>
      <c r="H1124" s="1">
        <v>0.0</v>
      </c>
      <c r="I1124" s="1">
        <v>0.0</v>
      </c>
      <c r="J1124" s="1">
        <v>0.0</v>
      </c>
      <c r="K1124" s="1">
        <v>0.54</v>
      </c>
      <c r="L1124" s="1">
        <v>83700.0</v>
      </c>
      <c r="M1124" s="1" t="s">
        <v>4115</v>
      </c>
      <c r="N1124" s="18">
        <v>46028.0</v>
      </c>
      <c r="O1124" s="1" t="s">
        <v>3673</v>
      </c>
      <c r="P1124" s="1" t="s">
        <v>3257</v>
      </c>
      <c r="Q1124" s="1" t="s">
        <v>3408</v>
      </c>
    </row>
    <row r="1125">
      <c r="A1125" s="1" t="s">
        <v>5323</v>
      </c>
      <c r="B1125" s="1">
        <v>42.0</v>
      </c>
      <c r="C1125" s="1">
        <v>260.0</v>
      </c>
      <c r="D1125" s="2" t="s">
        <v>2930</v>
      </c>
      <c r="E1125" s="1">
        <v>42.0</v>
      </c>
      <c r="F1125" s="1">
        <v>57.0</v>
      </c>
      <c r="G1125" s="1">
        <v>0.0</v>
      </c>
      <c r="H1125" s="1">
        <v>0.0</v>
      </c>
      <c r="I1125" s="1">
        <v>0.0</v>
      </c>
      <c r="J1125" s="1">
        <v>0.0</v>
      </c>
      <c r="K1125" s="1">
        <v>0.0</v>
      </c>
      <c r="L1125" s="1">
        <v>1080000.0</v>
      </c>
      <c r="M1125" s="1" t="s">
        <v>5324</v>
      </c>
      <c r="N1125" s="18">
        <v>46026.0</v>
      </c>
      <c r="O1125" s="1" t="s">
        <v>5325</v>
      </c>
      <c r="P1125" s="1" t="s">
        <v>3294</v>
      </c>
      <c r="Q1125" s="1" t="s">
        <v>3408</v>
      </c>
    </row>
    <row r="1126">
      <c r="A1126" s="1" t="s">
        <v>5116</v>
      </c>
      <c r="B1126" s="1">
        <v>42.0</v>
      </c>
      <c r="C1126" s="1">
        <v>320.0</v>
      </c>
      <c r="D1126" s="2" t="s">
        <v>1543</v>
      </c>
      <c r="E1126" s="1">
        <v>42.0</v>
      </c>
      <c r="F1126" s="1">
        <v>4.0</v>
      </c>
      <c r="G1126" s="1">
        <v>18.33</v>
      </c>
      <c r="H1126" s="1">
        <v>0.0</v>
      </c>
      <c r="I1126" s="1">
        <v>0.0</v>
      </c>
      <c r="J1126" s="1">
        <v>0.0</v>
      </c>
      <c r="K1126" s="1">
        <v>0.17</v>
      </c>
      <c r="L1126" s="1">
        <v>2.21E8</v>
      </c>
      <c r="M1126" s="1" t="s">
        <v>5117</v>
      </c>
      <c r="N1126" s="18">
        <v>46023.0</v>
      </c>
      <c r="O1126" s="1" t="s">
        <v>4414</v>
      </c>
      <c r="P1126" s="1" t="s">
        <v>3257</v>
      </c>
      <c r="Q1126" s="1" t="s">
        <v>3408</v>
      </c>
    </row>
    <row r="1127">
      <c r="A1127" s="1" t="s">
        <v>5326</v>
      </c>
      <c r="B1127" s="1">
        <v>42.0</v>
      </c>
      <c r="C1127" s="1">
        <v>110.0</v>
      </c>
      <c r="D1127" s="2" t="s">
        <v>439</v>
      </c>
      <c r="E1127" s="1">
        <v>42.0</v>
      </c>
      <c r="F1127" s="1">
        <v>22.0</v>
      </c>
      <c r="G1127" s="1">
        <v>1.86</v>
      </c>
      <c r="H1127" s="1">
        <v>0.0</v>
      </c>
      <c r="I1127" s="1">
        <v>0.0</v>
      </c>
      <c r="J1127" s="1">
        <v>0.0</v>
      </c>
      <c r="K1127" s="1">
        <v>0.04</v>
      </c>
      <c r="L1127" s="1">
        <v>1420.0</v>
      </c>
      <c r="M1127" s="1" t="s">
        <v>5327</v>
      </c>
      <c r="N1127" s="18">
        <v>46023.0</v>
      </c>
      <c r="O1127" s="1" t="s">
        <v>5328</v>
      </c>
      <c r="P1127" s="1" t="s">
        <v>3294</v>
      </c>
      <c r="Q1127" s="1" t="s">
        <v>3408</v>
      </c>
    </row>
    <row r="1128">
      <c r="A1128" s="1" t="s">
        <v>5329</v>
      </c>
      <c r="B1128" s="1">
        <v>42.0</v>
      </c>
      <c r="C1128" s="1">
        <v>90.0</v>
      </c>
      <c r="D1128" s="2" t="s">
        <v>439</v>
      </c>
      <c r="E1128" s="1">
        <v>42.0</v>
      </c>
      <c r="F1128" s="1">
        <v>15.0</v>
      </c>
      <c r="G1128" s="1">
        <v>0.0</v>
      </c>
      <c r="H1128" s="1">
        <v>0.0</v>
      </c>
      <c r="I1128" s="1">
        <v>0.0</v>
      </c>
      <c r="J1128" s="1">
        <v>0.0</v>
      </c>
      <c r="K1128" s="1">
        <v>0.01</v>
      </c>
      <c r="L1128" s="1">
        <v>4.58E7</v>
      </c>
      <c r="M1128" s="1" t="s">
        <v>5330</v>
      </c>
      <c r="N1128" s="18">
        <v>46022.0</v>
      </c>
      <c r="O1128" s="1" t="s">
        <v>4372</v>
      </c>
      <c r="P1128" s="1" t="s">
        <v>3294</v>
      </c>
      <c r="Q1128" s="1" t="s">
        <v>3408</v>
      </c>
    </row>
    <row r="1129">
      <c r="A1129" s="1" t="s">
        <v>5331</v>
      </c>
      <c r="B1129" s="1">
        <v>42.0</v>
      </c>
      <c r="C1129" s="1">
        <v>140.0</v>
      </c>
      <c r="D1129" s="2" t="s">
        <v>1552</v>
      </c>
      <c r="E1129" s="1">
        <v>42.0</v>
      </c>
      <c r="F1129" s="1">
        <v>10.0</v>
      </c>
      <c r="G1129" s="1">
        <v>1.9</v>
      </c>
      <c r="H1129" s="1">
        <v>0.0</v>
      </c>
      <c r="I1129" s="1">
        <v>0.0</v>
      </c>
      <c r="J1129" s="1">
        <v>0.0</v>
      </c>
      <c r="K1129" s="1">
        <v>0.09</v>
      </c>
      <c r="L1129" s="1">
        <v>4350000.0</v>
      </c>
      <c r="M1129" s="1" t="s">
        <v>5332</v>
      </c>
      <c r="N1129" s="18">
        <v>46020.0</v>
      </c>
      <c r="O1129" s="1" t="s">
        <v>4057</v>
      </c>
      <c r="P1129" s="1" t="s">
        <v>3230</v>
      </c>
      <c r="Q1129" s="1" t="s">
        <v>3408</v>
      </c>
    </row>
    <row r="1130">
      <c r="A1130" s="1" t="s">
        <v>5333</v>
      </c>
      <c r="B1130" s="1">
        <v>42.0</v>
      </c>
      <c r="C1130" s="1">
        <v>1600.0</v>
      </c>
      <c r="D1130" s="2" t="s">
        <v>839</v>
      </c>
      <c r="E1130" s="1">
        <v>42.0</v>
      </c>
      <c r="F1130" s="1">
        <v>24.0</v>
      </c>
      <c r="G1130" s="1">
        <v>0.0</v>
      </c>
      <c r="H1130" s="1">
        <v>0.0</v>
      </c>
      <c r="I1130" s="1">
        <v>0.0</v>
      </c>
      <c r="J1130" s="1">
        <v>0.0</v>
      </c>
      <c r="K1130" s="1">
        <v>0.0</v>
      </c>
      <c r="L1130" s="1">
        <v>2.71E7</v>
      </c>
      <c r="M1130" s="1" t="s">
        <v>5334</v>
      </c>
      <c r="N1130" s="18">
        <v>46018.0</v>
      </c>
      <c r="O1130" s="1" t="s">
        <v>4605</v>
      </c>
      <c r="P1130" s="1" t="s">
        <v>3230</v>
      </c>
      <c r="Q1130" s="1" t="s">
        <v>3408</v>
      </c>
    </row>
    <row r="1131">
      <c r="A1131" s="1" t="s">
        <v>5335</v>
      </c>
      <c r="B1131" s="1">
        <v>42.0</v>
      </c>
      <c r="C1131" s="1">
        <v>320.0</v>
      </c>
      <c r="D1131" s="2" t="s">
        <v>439</v>
      </c>
      <c r="E1131" s="1">
        <v>42.0</v>
      </c>
      <c r="F1131" s="1">
        <v>13.0</v>
      </c>
      <c r="G1131" s="1">
        <v>4.16</v>
      </c>
      <c r="H1131" s="1">
        <v>0.0</v>
      </c>
      <c r="I1131" s="1">
        <v>0.0</v>
      </c>
      <c r="J1131" s="1">
        <v>0.0</v>
      </c>
      <c r="K1131" s="1">
        <v>0.07</v>
      </c>
      <c r="L1131" s="1">
        <v>260000.0</v>
      </c>
      <c r="M1131" s="1" t="s">
        <v>5336</v>
      </c>
      <c r="N1131" s="18">
        <v>46018.0</v>
      </c>
      <c r="O1131" s="1" t="s">
        <v>5079</v>
      </c>
      <c r="P1131" s="1" t="s">
        <v>3230</v>
      </c>
      <c r="Q1131" s="1" t="s">
        <v>3408</v>
      </c>
    </row>
    <row r="1132">
      <c r="A1132" s="1" t="s">
        <v>5337</v>
      </c>
      <c r="B1132" s="1">
        <v>42.0</v>
      </c>
      <c r="C1132" s="1">
        <v>170.0</v>
      </c>
      <c r="D1132" s="2" t="s">
        <v>1095</v>
      </c>
      <c r="E1132" s="1">
        <v>42.0</v>
      </c>
      <c r="F1132" s="1">
        <v>20.0</v>
      </c>
      <c r="G1132" s="1">
        <v>0.0</v>
      </c>
      <c r="H1132" s="1">
        <v>0.0</v>
      </c>
      <c r="I1132" s="1">
        <v>0.0</v>
      </c>
      <c r="J1132" s="1">
        <v>0.0</v>
      </c>
      <c r="K1132" s="1">
        <v>0.01</v>
      </c>
      <c r="L1132" s="1">
        <v>3.97E8</v>
      </c>
      <c r="M1132" s="1" t="s">
        <v>5338</v>
      </c>
      <c r="N1132" s="18">
        <v>46016.0</v>
      </c>
      <c r="O1132" s="1" t="s">
        <v>3920</v>
      </c>
      <c r="P1132" s="1" t="s">
        <v>3230</v>
      </c>
      <c r="Q1132" s="1" t="s">
        <v>3408</v>
      </c>
    </row>
    <row r="1133">
      <c r="A1133" s="1" t="s">
        <v>5339</v>
      </c>
      <c r="B1133" s="1">
        <v>42.0</v>
      </c>
      <c r="C1133" s="1">
        <v>90.0</v>
      </c>
      <c r="D1133" s="2" t="s">
        <v>792</v>
      </c>
      <c r="E1133" s="1">
        <v>42.0</v>
      </c>
      <c r="F1133" s="1">
        <v>9.0</v>
      </c>
      <c r="G1133" s="1">
        <v>0.0</v>
      </c>
      <c r="H1133" s="1">
        <v>0.0</v>
      </c>
      <c r="I1133" s="1">
        <v>0.0</v>
      </c>
      <c r="J1133" s="1">
        <v>0.0</v>
      </c>
      <c r="K1133" s="1">
        <v>0.0</v>
      </c>
      <c r="L1133" s="1">
        <v>301000.0</v>
      </c>
      <c r="M1133" s="1" t="s">
        <v>5340</v>
      </c>
      <c r="N1133" s="18">
        <v>46015.0</v>
      </c>
      <c r="O1133" s="1" t="s">
        <v>5341</v>
      </c>
      <c r="P1133" s="1" t="s">
        <v>3257</v>
      </c>
      <c r="Q1133" s="1" t="s">
        <v>3408</v>
      </c>
    </row>
    <row r="1134">
      <c r="A1134" s="1" t="s">
        <v>5342</v>
      </c>
      <c r="B1134" s="1">
        <v>42.0</v>
      </c>
      <c r="C1134" s="1">
        <v>480.0</v>
      </c>
      <c r="D1134" s="2" t="s">
        <v>1868</v>
      </c>
      <c r="E1134" s="1">
        <v>42.0</v>
      </c>
      <c r="F1134" s="1">
        <v>42.0</v>
      </c>
      <c r="G1134" s="1">
        <v>0.0</v>
      </c>
      <c r="H1134" s="1">
        <v>0.0</v>
      </c>
      <c r="I1134" s="1">
        <v>0.0</v>
      </c>
      <c r="J1134" s="1">
        <v>0.0</v>
      </c>
      <c r="K1134" s="1">
        <v>0.0</v>
      </c>
      <c r="L1134" s="1">
        <v>4.23E8</v>
      </c>
      <c r="M1134" s="1" t="s">
        <v>5343</v>
      </c>
      <c r="N1134" s="18">
        <v>46014.0</v>
      </c>
      <c r="O1134" s="1" t="s">
        <v>5344</v>
      </c>
      <c r="P1134" s="1" t="s">
        <v>3230</v>
      </c>
      <c r="Q1134" s="1" t="s">
        <v>3408</v>
      </c>
    </row>
    <row r="1135">
      <c r="A1135" s="1" t="s">
        <v>5345</v>
      </c>
      <c r="B1135" s="1">
        <v>42.0</v>
      </c>
      <c r="C1135" s="1">
        <v>70.0</v>
      </c>
      <c r="D1135" s="2" t="s">
        <v>718</v>
      </c>
      <c r="E1135" s="1">
        <v>42.0</v>
      </c>
      <c r="F1135" s="1">
        <v>7.0</v>
      </c>
      <c r="G1135" s="1">
        <v>0.0</v>
      </c>
      <c r="H1135" s="1">
        <v>0.0</v>
      </c>
      <c r="I1135" s="1">
        <v>0.0</v>
      </c>
      <c r="J1135" s="1">
        <v>0.0</v>
      </c>
      <c r="K1135" s="1">
        <v>0.0</v>
      </c>
      <c r="L1135" s="1">
        <v>1020000.0</v>
      </c>
      <c r="M1135" s="1" t="s">
        <v>5346</v>
      </c>
      <c r="N1135" s="18">
        <v>46014.0</v>
      </c>
      <c r="O1135" s="1" t="s">
        <v>5347</v>
      </c>
      <c r="P1135" s="1" t="s">
        <v>3334</v>
      </c>
      <c r="Q1135" s="1" t="s">
        <v>3408</v>
      </c>
    </row>
    <row r="1136">
      <c r="A1136" s="1" t="s">
        <v>5348</v>
      </c>
      <c r="B1136" s="1">
        <v>42.0</v>
      </c>
      <c r="C1136" s="1">
        <v>480.0</v>
      </c>
      <c r="D1136" s="2" t="s">
        <v>1052</v>
      </c>
      <c r="E1136" s="1">
        <v>42.0</v>
      </c>
      <c r="F1136" s="1">
        <v>14.0</v>
      </c>
      <c r="G1136" s="1">
        <v>0.0</v>
      </c>
      <c r="H1136" s="1">
        <v>0.0</v>
      </c>
      <c r="I1136" s="1">
        <v>0.0</v>
      </c>
      <c r="J1136" s="1">
        <v>0.0</v>
      </c>
      <c r="K1136" s="1">
        <v>0.0</v>
      </c>
      <c r="L1136" s="1">
        <v>1.02E8</v>
      </c>
      <c r="M1136" s="1" t="s">
        <v>5349</v>
      </c>
      <c r="N1136" s="18">
        <v>46012.0</v>
      </c>
      <c r="O1136" s="1" t="s">
        <v>3493</v>
      </c>
      <c r="P1136" s="1" t="s">
        <v>3230</v>
      </c>
      <c r="Q1136" s="1" t="s">
        <v>3408</v>
      </c>
    </row>
    <row r="1137">
      <c r="A1137" s="1" t="s">
        <v>5350</v>
      </c>
      <c r="B1137" s="1">
        <v>42.0</v>
      </c>
      <c r="C1137" s="1">
        <v>170.0</v>
      </c>
      <c r="D1137" s="2" t="s">
        <v>726</v>
      </c>
      <c r="E1137" s="1">
        <v>42.0</v>
      </c>
      <c r="F1137" s="1">
        <v>26.0</v>
      </c>
      <c r="G1137" s="1">
        <v>0.0</v>
      </c>
      <c r="H1137" s="1">
        <v>0.0</v>
      </c>
      <c r="I1137" s="1">
        <v>0.0</v>
      </c>
      <c r="J1137" s="1">
        <v>0.0</v>
      </c>
      <c r="K1137" s="1">
        <v>0.0</v>
      </c>
      <c r="L1137" s="1">
        <v>5080000.0</v>
      </c>
      <c r="M1137" s="1" t="s">
        <v>5351</v>
      </c>
      <c r="N1137" s="18">
        <v>46003.0</v>
      </c>
      <c r="O1137" s="1" t="s">
        <v>3992</v>
      </c>
      <c r="P1137" s="1" t="s">
        <v>3257</v>
      </c>
      <c r="Q1137" s="1" t="s">
        <v>3408</v>
      </c>
    </row>
    <row r="1138">
      <c r="A1138" s="1" t="s">
        <v>5352</v>
      </c>
      <c r="B1138" s="1">
        <v>42.0</v>
      </c>
      <c r="C1138" s="1">
        <v>50.0</v>
      </c>
      <c r="D1138" s="2" t="s">
        <v>792</v>
      </c>
      <c r="E1138" s="1">
        <v>42.0</v>
      </c>
      <c r="F1138" s="1">
        <v>4.0</v>
      </c>
      <c r="G1138" s="1">
        <v>106.64</v>
      </c>
      <c r="H1138" s="1">
        <v>0.0</v>
      </c>
      <c r="I1138" s="1">
        <v>0.0</v>
      </c>
      <c r="J1138" s="1">
        <v>0.0</v>
      </c>
      <c r="K1138" s="1">
        <v>0.12</v>
      </c>
      <c r="L1138" s="1">
        <v>369000.0</v>
      </c>
      <c r="M1138" s="1" t="s">
        <v>5353</v>
      </c>
      <c r="N1138" s="18">
        <v>46002.0</v>
      </c>
      <c r="O1138" s="1" t="s">
        <v>5354</v>
      </c>
      <c r="P1138" s="1" t="s">
        <v>3257</v>
      </c>
      <c r="Q1138" s="1" t="s">
        <v>3408</v>
      </c>
    </row>
    <row r="1139">
      <c r="A1139" s="1" t="s">
        <v>5355</v>
      </c>
      <c r="B1139" s="1">
        <v>42.0</v>
      </c>
      <c r="C1139" s="1">
        <v>50.0</v>
      </c>
      <c r="D1139" s="2" t="s">
        <v>2941</v>
      </c>
      <c r="E1139" s="1">
        <v>42.0</v>
      </c>
      <c r="F1139" s="1">
        <v>30.0</v>
      </c>
      <c r="G1139" s="1">
        <v>2.65</v>
      </c>
      <c r="H1139" s="1">
        <v>0.0</v>
      </c>
      <c r="I1139" s="1">
        <v>0.0</v>
      </c>
      <c r="J1139" s="1">
        <v>0.0</v>
      </c>
      <c r="K1139" s="1">
        <v>0.21</v>
      </c>
      <c r="L1139" s="1">
        <v>5.95E7</v>
      </c>
      <c r="M1139" s="1" t="s">
        <v>5356</v>
      </c>
      <c r="N1139" s="18">
        <v>45999.0</v>
      </c>
      <c r="O1139" s="1" t="s">
        <v>3493</v>
      </c>
      <c r="P1139" s="1" t="s">
        <v>3230</v>
      </c>
      <c r="Q1139" s="1" t="s">
        <v>3408</v>
      </c>
    </row>
    <row r="1140">
      <c r="A1140" s="1" t="s">
        <v>5357</v>
      </c>
      <c r="B1140" s="1">
        <v>42.0</v>
      </c>
      <c r="C1140" s="1">
        <v>210.0</v>
      </c>
      <c r="D1140" s="2" t="s">
        <v>770</v>
      </c>
      <c r="E1140" s="1">
        <v>42.0</v>
      </c>
      <c r="F1140" s="1">
        <v>48.0</v>
      </c>
      <c r="G1140" s="1">
        <v>0.0</v>
      </c>
      <c r="H1140" s="1">
        <v>0.0</v>
      </c>
      <c r="I1140" s="1">
        <v>0.0</v>
      </c>
      <c r="J1140" s="1">
        <v>0.0</v>
      </c>
      <c r="K1140" s="1">
        <v>0.0</v>
      </c>
      <c r="L1140" s="1">
        <v>2450000.0</v>
      </c>
      <c r="M1140" s="1" t="s">
        <v>5358</v>
      </c>
      <c r="N1140" s="18">
        <v>45998.0</v>
      </c>
      <c r="O1140" s="1" t="s">
        <v>5359</v>
      </c>
      <c r="P1140" s="1" t="s">
        <v>3230</v>
      </c>
      <c r="Q1140" s="1" t="s">
        <v>3408</v>
      </c>
    </row>
    <row r="1141">
      <c r="A1141" s="1" t="s">
        <v>5360</v>
      </c>
      <c r="B1141" s="1">
        <v>42.0</v>
      </c>
      <c r="C1141" s="1">
        <v>50.0</v>
      </c>
      <c r="D1141" s="2" t="s">
        <v>581</v>
      </c>
      <c r="E1141" s="1">
        <v>42.0</v>
      </c>
      <c r="F1141" s="1">
        <v>27.0</v>
      </c>
      <c r="G1141" s="1">
        <v>3.59</v>
      </c>
      <c r="H1141" s="1">
        <v>0.0</v>
      </c>
      <c r="I1141" s="1">
        <v>0.0</v>
      </c>
      <c r="J1141" s="1">
        <v>0.0</v>
      </c>
      <c r="K1141" s="1">
        <v>0.04</v>
      </c>
      <c r="L1141" s="1">
        <v>117000.0</v>
      </c>
      <c r="M1141" s="1" t="s">
        <v>5361</v>
      </c>
      <c r="N1141" s="18">
        <v>45996.0</v>
      </c>
      <c r="O1141" s="1" t="s">
        <v>3821</v>
      </c>
      <c r="P1141" s="1" t="s">
        <v>3294</v>
      </c>
      <c r="Q1141" s="1" t="s">
        <v>3408</v>
      </c>
    </row>
    <row r="1142">
      <c r="A1142" s="1" t="s">
        <v>5362</v>
      </c>
      <c r="B1142" s="1">
        <v>42.0</v>
      </c>
      <c r="C1142" s="1">
        <v>170.0</v>
      </c>
      <c r="D1142" s="2" t="s">
        <v>581</v>
      </c>
      <c r="E1142" s="1">
        <v>42.0</v>
      </c>
      <c r="F1142" s="1">
        <v>23.0</v>
      </c>
      <c r="G1142" s="1">
        <v>1.95</v>
      </c>
      <c r="H1142" s="1">
        <v>0.0</v>
      </c>
      <c r="I1142" s="1">
        <v>0.0</v>
      </c>
      <c r="J1142" s="1">
        <v>0.0</v>
      </c>
      <c r="K1142" s="1">
        <v>0.05</v>
      </c>
      <c r="L1142" s="1">
        <v>7190.0</v>
      </c>
      <c r="M1142" s="1" t="s">
        <v>5363</v>
      </c>
      <c r="N1142" s="18">
        <v>45990.0</v>
      </c>
      <c r="O1142" s="1" t="s">
        <v>5364</v>
      </c>
      <c r="P1142" s="1" t="s">
        <v>3462</v>
      </c>
      <c r="Q1142" s="1" t="s">
        <v>3408</v>
      </c>
    </row>
    <row r="1143">
      <c r="A1143" s="1" t="s">
        <v>4597</v>
      </c>
      <c r="B1143" s="1">
        <v>42.0</v>
      </c>
      <c r="C1143" s="1">
        <v>90.0</v>
      </c>
      <c r="D1143" s="2" t="s">
        <v>687</v>
      </c>
      <c r="E1143" s="1">
        <v>42.0</v>
      </c>
      <c r="F1143" s="1">
        <v>17.0</v>
      </c>
      <c r="G1143" s="1">
        <v>0.0</v>
      </c>
      <c r="H1143" s="1">
        <v>0.0</v>
      </c>
      <c r="I1143" s="1">
        <v>0.0</v>
      </c>
      <c r="J1143" s="1">
        <v>0.0</v>
      </c>
      <c r="K1143" s="1">
        <v>0.02</v>
      </c>
      <c r="L1143" s="1">
        <v>2940000.0</v>
      </c>
      <c r="M1143" s="1" t="s">
        <v>4598</v>
      </c>
      <c r="N1143" s="18">
        <v>45990.0</v>
      </c>
      <c r="O1143" s="1" t="s">
        <v>3432</v>
      </c>
      <c r="P1143" s="1" t="s">
        <v>3257</v>
      </c>
      <c r="Q1143" s="1" t="s">
        <v>3408</v>
      </c>
    </row>
    <row r="1144">
      <c r="A1144" s="1" t="s">
        <v>5365</v>
      </c>
      <c r="B1144" s="1">
        <v>42.0</v>
      </c>
      <c r="C1144" s="1">
        <v>590.0</v>
      </c>
      <c r="D1144" s="2" t="s">
        <v>439</v>
      </c>
      <c r="E1144" s="1">
        <v>42.0</v>
      </c>
      <c r="F1144" s="1">
        <v>44.0</v>
      </c>
      <c r="G1144" s="1">
        <v>10.52</v>
      </c>
      <c r="H1144" s="1">
        <v>0.0</v>
      </c>
      <c r="I1144" s="1">
        <v>0.0</v>
      </c>
      <c r="J1144" s="1">
        <v>0.0</v>
      </c>
      <c r="K1144" s="1">
        <v>0.11</v>
      </c>
      <c r="L1144" s="1">
        <v>93600.0</v>
      </c>
      <c r="M1144" s="1" t="s">
        <v>5366</v>
      </c>
      <c r="N1144" s="18">
        <v>45987.0</v>
      </c>
      <c r="O1144" s="1" t="s">
        <v>3404</v>
      </c>
      <c r="P1144" s="1" t="s">
        <v>3462</v>
      </c>
      <c r="Q1144" s="1" t="s">
        <v>3408</v>
      </c>
    </row>
    <row r="1145">
      <c r="A1145" s="1" t="s">
        <v>5367</v>
      </c>
      <c r="B1145" s="1">
        <v>42.0</v>
      </c>
      <c r="C1145" s="1">
        <v>210.0</v>
      </c>
      <c r="D1145" s="2" t="s">
        <v>451</v>
      </c>
      <c r="E1145" s="1">
        <v>42.0</v>
      </c>
      <c r="F1145" s="1">
        <v>23.0</v>
      </c>
      <c r="G1145" s="1">
        <v>18.25</v>
      </c>
      <c r="H1145" s="1">
        <v>0.0</v>
      </c>
      <c r="I1145" s="1">
        <v>0.0</v>
      </c>
      <c r="J1145" s="1">
        <v>0.0</v>
      </c>
      <c r="K1145" s="1">
        <v>0.57</v>
      </c>
      <c r="L1145" s="1">
        <v>7960000.0</v>
      </c>
      <c r="M1145" s="1" t="s">
        <v>5368</v>
      </c>
      <c r="N1145" s="18">
        <v>45981.0</v>
      </c>
      <c r="O1145" s="1" t="s">
        <v>3735</v>
      </c>
      <c r="P1145" s="1" t="s">
        <v>3257</v>
      </c>
      <c r="Q1145" s="1" t="s">
        <v>3408</v>
      </c>
    </row>
    <row r="1146">
      <c r="A1146" s="1" t="s">
        <v>5369</v>
      </c>
      <c r="B1146" s="1">
        <v>42.0</v>
      </c>
      <c r="C1146" s="1">
        <v>390.0</v>
      </c>
      <c r="D1146" s="2" t="s">
        <v>451</v>
      </c>
      <c r="E1146" s="1">
        <v>42.0</v>
      </c>
      <c r="F1146" s="1">
        <v>12.0</v>
      </c>
      <c r="G1146" s="1">
        <v>0.0</v>
      </c>
      <c r="H1146" s="1">
        <v>0.0</v>
      </c>
      <c r="I1146" s="1">
        <v>0.0</v>
      </c>
      <c r="J1146" s="1">
        <v>0.0</v>
      </c>
      <c r="K1146" s="1">
        <v>0.0</v>
      </c>
      <c r="L1146" s="1">
        <v>10.0</v>
      </c>
      <c r="M1146" s="1" t="s">
        <v>5370</v>
      </c>
      <c r="N1146" s="18">
        <v>45979.0</v>
      </c>
      <c r="O1146" s="1" t="s">
        <v>5371</v>
      </c>
      <c r="P1146" s="1" t="s">
        <v>3257</v>
      </c>
      <c r="Q1146" s="1" t="s">
        <v>3408</v>
      </c>
    </row>
    <row r="1147">
      <c r="A1147" s="1" t="s">
        <v>5372</v>
      </c>
      <c r="B1147" s="1">
        <v>43.0</v>
      </c>
      <c r="C1147" s="1">
        <v>210.0</v>
      </c>
      <c r="D1147" s="2" t="s">
        <v>503</v>
      </c>
      <c r="E1147" s="1">
        <v>43.0</v>
      </c>
      <c r="F1147" s="1">
        <v>9.0</v>
      </c>
      <c r="G1147" s="1">
        <v>9.04</v>
      </c>
      <c r="H1147" s="1">
        <v>0.0</v>
      </c>
      <c r="I1147" s="1">
        <v>0.0</v>
      </c>
      <c r="J1147" s="1">
        <v>0.0</v>
      </c>
      <c r="K1147" s="1">
        <v>0.07</v>
      </c>
      <c r="L1147" s="1">
        <v>2.89E7</v>
      </c>
      <c r="M1147" s="1" t="s">
        <v>5373</v>
      </c>
      <c r="N1147" s="18">
        <v>46039.0</v>
      </c>
      <c r="O1147" s="1" t="s">
        <v>5374</v>
      </c>
      <c r="P1147" s="1" t="s">
        <v>3257</v>
      </c>
      <c r="Q1147" s="1" t="s">
        <v>3408</v>
      </c>
    </row>
    <row r="1148">
      <c r="A1148" s="1" t="s">
        <v>5375</v>
      </c>
      <c r="B1148" s="1">
        <v>43.0</v>
      </c>
      <c r="C1148" s="1">
        <v>90.0</v>
      </c>
      <c r="D1148" s="2" t="s">
        <v>2085</v>
      </c>
      <c r="E1148" s="1">
        <v>43.0</v>
      </c>
      <c r="F1148" s="1">
        <v>39.0</v>
      </c>
      <c r="G1148" s="1">
        <v>0.0</v>
      </c>
      <c r="H1148" s="1">
        <v>0.0</v>
      </c>
      <c r="I1148" s="1">
        <v>0.0</v>
      </c>
      <c r="J1148" s="1">
        <v>0.0</v>
      </c>
      <c r="K1148" s="1">
        <v>0.0</v>
      </c>
      <c r="L1148" s="1">
        <v>2.44E7</v>
      </c>
      <c r="M1148" s="1" t="s">
        <v>5376</v>
      </c>
      <c r="N1148" s="18">
        <v>46037.0</v>
      </c>
      <c r="O1148" s="1" t="s">
        <v>3264</v>
      </c>
      <c r="P1148" s="1" t="s">
        <v>3230</v>
      </c>
      <c r="Q1148" s="1" t="s">
        <v>3408</v>
      </c>
    </row>
    <row r="1149">
      <c r="A1149" s="1" t="s">
        <v>5377</v>
      </c>
      <c r="B1149" s="1">
        <v>43.0</v>
      </c>
      <c r="C1149" s="1">
        <v>50.0</v>
      </c>
      <c r="D1149" s="2" t="s">
        <v>837</v>
      </c>
      <c r="E1149" s="1">
        <v>43.0</v>
      </c>
      <c r="F1149" s="1">
        <v>13.0</v>
      </c>
      <c r="G1149" s="1">
        <v>0.0</v>
      </c>
      <c r="H1149" s="1">
        <v>0.0</v>
      </c>
      <c r="I1149" s="1">
        <v>0.0</v>
      </c>
      <c r="J1149" s="1">
        <v>0.0</v>
      </c>
      <c r="K1149" s="1">
        <v>0.0</v>
      </c>
      <c r="L1149" s="1">
        <v>289000.0</v>
      </c>
      <c r="M1149" s="1" t="s">
        <v>5378</v>
      </c>
      <c r="N1149" s="18">
        <v>46030.0</v>
      </c>
      <c r="O1149" s="1" t="s">
        <v>5379</v>
      </c>
      <c r="P1149" s="1" t="s">
        <v>3257</v>
      </c>
      <c r="Q1149" s="1" t="s">
        <v>3408</v>
      </c>
    </row>
    <row r="1150">
      <c r="A1150" s="1" t="s">
        <v>5380</v>
      </c>
      <c r="B1150" s="1">
        <v>43.0</v>
      </c>
      <c r="C1150" s="1">
        <v>70.0</v>
      </c>
      <c r="D1150" s="2" t="s">
        <v>439</v>
      </c>
      <c r="E1150" s="1">
        <v>43.0</v>
      </c>
      <c r="F1150" s="1">
        <v>26.0</v>
      </c>
      <c r="G1150" s="1">
        <v>2.54</v>
      </c>
      <c r="H1150" s="1">
        <v>0.0</v>
      </c>
      <c r="I1150" s="1">
        <v>0.0</v>
      </c>
      <c r="J1150" s="1">
        <v>0.0</v>
      </c>
      <c r="K1150" s="1">
        <v>0.21</v>
      </c>
      <c r="L1150" s="1">
        <v>15800.0</v>
      </c>
      <c r="M1150" s="1" t="s">
        <v>5381</v>
      </c>
      <c r="N1150" s="18">
        <v>46028.0</v>
      </c>
      <c r="O1150" s="1" t="s">
        <v>5382</v>
      </c>
      <c r="P1150" s="1" t="s">
        <v>3294</v>
      </c>
      <c r="Q1150" s="1" t="s">
        <v>3408</v>
      </c>
    </row>
    <row r="1151">
      <c r="A1151" s="1" t="s">
        <v>5383</v>
      </c>
      <c r="B1151" s="1">
        <v>43.0</v>
      </c>
      <c r="C1151" s="1">
        <v>50.0</v>
      </c>
      <c r="D1151" s="2" t="s">
        <v>581</v>
      </c>
      <c r="E1151" s="1">
        <v>43.0</v>
      </c>
      <c r="G1151" s="1">
        <v>0.0</v>
      </c>
      <c r="H1151" s="1">
        <v>0.0</v>
      </c>
      <c r="I1151" s="1">
        <v>0.0</v>
      </c>
      <c r="J1151" s="1">
        <v>0.0</v>
      </c>
      <c r="K1151" s="1">
        <v>0.33</v>
      </c>
      <c r="L1151" s="1">
        <v>4310000.0</v>
      </c>
      <c r="M1151" s="1" t="s">
        <v>5384</v>
      </c>
      <c r="N1151" s="18">
        <v>46025.0</v>
      </c>
      <c r="O1151" s="1" t="s">
        <v>3432</v>
      </c>
      <c r="P1151" s="1" t="s">
        <v>3334</v>
      </c>
      <c r="Q1151" s="1" t="s">
        <v>3408</v>
      </c>
    </row>
    <row r="1152">
      <c r="A1152" s="1" t="s">
        <v>5385</v>
      </c>
      <c r="B1152" s="1">
        <v>43.0</v>
      </c>
      <c r="C1152" s="1">
        <v>390.0</v>
      </c>
      <c r="D1152" s="2" t="s">
        <v>1868</v>
      </c>
      <c r="E1152" s="1">
        <v>43.0</v>
      </c>
      <c r="F1152" s="1">
        <v>42.0</v>
      </c>
      <c r="G1152" s="1">
        <v>0.0</v>
      </c>
      <c r="H1152" s="1">
        <v>0.0</v>
      </c>
      <c r="I1152" s="1">
        <v>0.0</v>
      </c>
      <c r="J1152" s="1">
        <v>0.0</v>
      </c>
      <c r="K1152" s="1">
        <v>0.0</v>
      </c>
      <c r="L1152" s="1">
        <v>4.11E8</v>
      </c>
      <c r="M1152" s="1" t="s">
        <v>5386</v>
      </c>
      <c r="N1152" s="18">
        <v>46024.0</v>
      </c>
      <c r="O1152" s="1" t="s">
        <v>5344</v>
      </c>
      <c r="P1152" s="1" t="s">
        <v>3230</v>
      </c>
      <c r="Q1152" s="1" t="s">
        <v>3408</v>
      </c>
    </row>
    <row r="1153">
      <c r="A1153" s="1" t="s">
        <v>4124</v>
      </c>
      <c r="B1153" s="1">
        <v>43.0</v>
      </c>
      <c r="C1153" s="1">
        <v>40.0</v>
      </c>
      <c r="D1153" s="2" t="s">
        <v>2971</v>
      </c>
      <c r="E1153" s="1">
        <v>43.0</v>
      </c>
      <c r="F1153" s="1">
        <v>3.0</v>
      </c>
      <c r="G1153" s="1">
        <v>0.0</v>
      </c>
      <c r="H1153" s="1">
        <v>0.0</v>
      </c>
      <c r="I1153" s="1">
        <v>0.0</v>
      </c>
      <c r="J1153" s="1">
        <v>0.0</v>
      </c>
      <c r="K1153" s="1">
        <v>0.0</v>
      </c>
      <c r="L1153" s="1">
        <v>85400.0</v>
      </c>
      <c r="M1153" s="1" t="s">
        <v>4125</v>
      </c>
      <c r="N1153" s="18">
        <v>46021.0</v>
      </c>
      <c r="O1153" s="1" t="s">
        <v>4126</v>
      </c>
      <c r="P1153" s="1" t="s">
        <v>3301</v>
      </c>
      <c r="Q1153" s="1" t="s">
        <v>3408</v>
      </c>
    </row>
    <row r="1154">
      <c r="A1154" s="1" t="s">
        <v>5387</v>
      </c>
      <c r="B1154" s="1">
        <v>43.0</v>
      </c>
      <c r="C1154" s="1">
        <v>90.0</v>
      </c>
      <c r="D1154" s="2" t="s">
        <v>754</v>
      </c>
      <c r="E1154" s="1">
        <v>43.0</v>
      </c>
      <c r="F1154" s="1">
        <v>16.0</v>
      </c>
      <c r="G1154" s="1">
        <v>124.94</v>
      </c>
      <c r="H1154" s="1">
        <v>0.0</v>
      </c>
      <c r="I1154" s="1">
        <v>0.0</v>
      </c>
      <c r="J1154" s="1">
        <v>0.0</v>
      </c>
      <c r="K1154" s="1">
        <v>0.13</v>
      </c>
      <c r="L1154" s="1">
        <v>7410000.0</v>
      </c>
      <c r="M1154" s="1" t="s">
        <v>5388</v>
      </c>
      <c r="N1154" s="18">
        <v>46018.0</v>
      </c>
      <c r="O1154" s="1" t="s">
        <v>3421</v>
      </c>
      <c r="P1154" s="1" t="s">
        <v>3257</v>
      </c>
      <c r="Q1154" s="1" t="s">
        <v>3408</v>
      </c>
    </row>
    <row r="1155">
      <c r="A1155" s="1" t="s">
        <v>5389</v>
      </c>
      <c r="B1155" s="1">
        <v>43.0</v>
      </c>
      <c r="C1155" s="1">
        <v>70.0</v>
      </c>
      <c r="D1155" s="2" t="s">
        <v>1538</v>
      </c>
      <c r="E1155" s="1">
        <v>43.0</v>
      </c>
      <c r="F1155" s="1">
        <v>24.0</v>
      </c>
      <c r="G1155" s="1">
        <v>0.0</v>
      </c>
      <c r="H1155" s="1">
        <v>0.0</v>
      </c>
      <c r="I1155" s="1">
        <v>0.0</v>
      </c>
      <c r="J1155" s="1">
        <v>0.0</v>
      </c>
      <c r="K1155" s="1">
        <v>0.0</v>
      </c>
      <c r="L1155" s="1">
        <v>8.6E7</v>
      </c>
      <c r="M1155" s="1" t="s">
        <v>5390</v>
      </c>
      <c r="N1155" s="18">
        <v>46018.0</v>
      </c>
      <c r="O1155" s="1" t="s">
        <v>3442</v>
      </c>
      <c r="P1155" s="1" t="s">
        <v>3230</v>
      </c>
      <c r="Q1155" s="1" t="s">
        <v>3408</v>
      </c>
    </row>
    <row r="1156">
      <c r="A1156" s="1" t="s">
        <v>5391</v>
      </c>
      <c r="B1156" s="1">
        <v>43.0</v>
      </c>
      <c r="C1156" s="1">
        <v>140.0</v>
      </c>
      <c r="D1156" s="2" t="s">
        <v>1454</v>
      </c>
      <c r="E1156" s="1">
        <v>43.0</v>
      </c>
      <c r="F1156" s="1">
        <v>15.0</v>
      </c>
      <c r="G1156" s="1">
        <v>3.25</v>
      </c>
      <c r="H1156" s="1">
        <v>0.0</v>
      </c>
      <c r="I1156" s="1">
        <v>0.0</v>
      </c>
      <c r="J1156" s="1">
        <v>0.0</v>
      </c>
      <c r="K1156" s="1">
        <v>0.33</v>
      </c>
      <c r="L1156" s="1">
        <v>2510000.0</v>
      </c>
      <c r="M1156" s="1" t="s">
        <v>5392</v>
      </c>
      <c r="N1156" s="18">
        <v>46018.0</v>
      </c>
      <c r="O1156" s="1" t="s">
        <v>3407</v>
      </c>
      <c r="P1156" s="1" t="s">
        <v>3301</v>
      </c>
      <c r="Q1156" s="1" t="s">
        <v>3408</v>
      </c>
    </row>
    <row r="1157">
      <c r="A1157" s="1" t="s">
        <v>5393</v>
      </c>
      <c r="B1157" s="1">
        <v>43.0</v>
      </c>
      <c r="C1157" s="1">
        <v>110.0</v>
      </c>
      <c r="D1157" s="2" t="s">
        <v>792</v>
      </c>
      <c r="E1157" s="1">
        <v>43.0</v>
      </c>
      <c r="F1157" s="1">
        <v>7.0</v>
      </c>
      <c r="G1157" s="1">
        <v>0.0</v>
      </c>
      <c r="H1157" s="1">
        <v>0.0</v>
      </c>
      <c r="I1157" s="1">
        <v>0.0</v>
      </c>
      <c r="J1157" s="1">
        <v>0.0</v>
      </c>
      <c r="K1157" s="1">
        <v>0.0</v>
      </c>
      <c r="L1157" s="1">
        <v>1.04E7</v>
      </c>
      <c r="M1157" s="1" t="s">
        <v>5394</v>
      </c>
      <c r="N1157" s="18">
        <v>46015.0</v>
      </c>
      <c r="O1157" s="1" t="s">
        <v>5341</v>
      </c>
      <c r="P1157" s="1" t="s">
        <v>3257</v>
      </c>
      <c r="Q1157" s="1" t="s">
        <v>3408</v>
      </c>
    </row>
    <row r="1158">
      <c r="A1158" s="1" t="s">
        <v>5395</v>
      </c>
      <c r="B1158" s="1">
        <v>43.0</v>
      </c>
      <c r="C1158" s="1">
        <v>40.0</v>
      </c>
      <c r="D1158" s="2" t="s">
        <v>696</v>
      </c>
      <c r="E1158" s="1">
        <v>43.0</v>
      </c>
      <c r="F1158" s="1">
        <v>15.0</v>
      </c>
      <c r="G1158" s="1">
        <v>0.0</v>
      </c>
      <c r="H1158" s="1">
        <v>0.0</v>
      </c>
      <c r="I1158" s="1">
        <v>0.0</v>
      </c>
      <c r="J1158" s="1">
        <v>0.0</v>
      </c>
      <c r="K1158" s="1">
        <v>0.0</v>
      </c>
      <c r="L1158" s="1">
        <v>102000.0</v>
      </c>
      <c r="M1158" s="1" t="s">
        <v>5396</v>
      </c>
      <c r="N1158" s="18">
        <v>46014.0</v>
      </c>
      <c r="O1158" s="1" t="s">
        <v>5397</v>
      </c>
      <c r="P1158" s="1" t="s">
        <v>3230</v>
      </c>
      <c r="Q1158" s="1" t="s">
        <v>3408</v>
      </c>
    </row>
    <row r="1159">
      <c r="A1159" s="1" t="s">
        <v>5398</v>
      </c>
      <c r="B1159" s="1">
        <v>43.0</v>
      </c>
      <c r="C1159" s="1">
        <v>480.0</v>
      </c>
      <c r="D1159" s="2" t="s">
        <v>714</v>
      </c>
      <c r="E1159" s="1">
        <v>43.0</v>
      </c>
      <c r="F1159" s="1">
        <v>9.0</v>
      </c>
      <c r="G1159" s="1">
        <v>5.11</v>
      </c>
      <c r="H1159" s="1">
        <v>0.0</v>
      </c>
      <c r="I1159" s="1">
        <v>0.0</v>
      </c>
      <c r="J1159" s="1">
        <v>0.0</v>
      </c>
      <c r="K1159" s="1">
        <v>0.02</v>
      </c>
      <c r="L1159" s="1">
        <v>148000.0</v>
      </c>
      <c r="M1159" s="1" t="s">
        <v>5399</v>
      </c>
      <c r="N1159" s="18">
        <v>46009.0</v>
      </c>
      <c r="O1159" s="1" t="s">
        <v>5400</v>
      </c>
      <c r="P1159" s="1" t="s">
        <v>3230</v>
      </c>
      <c r="Q1159" s="1" t="s">
        <v>3408</v>
      </c>
    </row>
    <row r="1160">
      <c r="A1160" s="1" t="s">
        <v>5401</v>
      </c>
      <c r="B1160" s="1">
        <v>43.0</v>
      </c>
      <c r="C1160" s="1">
        <v>70.0</v>
      </c>
      <c r="D1160" s="2" t="s">
        <v>694</v>
      </c>
      <c r="E1160" s="1">
        <v>43.0</v>
      </c>
      <c r="F1160" s="1">
        <v>21.0</v>
      </c>
      <c r="G1160" s="1">
        <v>0.75</v>
      </c>
      <c r="H1160" s="1">
        <v>0.0</v>
      </c>
      <c r="I1160" s="1">
        <v>0.0</v>
      </c>
      <c r="J1160" s="1">
        <v>0.0</v>
      </c>
      <c r="K1160" s="1">
        <v>0.26</v>
      </c>
      <c r="L1160" s="1">
        <v>2570000.0</v>
      </c>
      <c r="M1160" s="1" t="s">
        <v>5402</v>
      </c>
      <c r="N1160" s="18">
        <v>46005.0</v>
      </c>
      <c r="O1160" s="1" t="s">
        <v>4057</v>
      </c>
      <c r="P1160" s="1" t="s">
        <v>3230</v>
      </c>
      <c r="Q1160" s="1" t="s">
        <v>3408</v>
      </c>
    </row>
    <row r="1161">
      <c r="A1161" s="1" t="s">
        <v>5403</v>
      </c>
      <c r="B1161" s="1">
        <v>43.0</v>
      </c>
      <c r="C1161" s="1">
        <v>50.0</v>
      </c>
      <c r="D1161" s="2" t="s">
        <v>726</v>
      </c>
      <c r="E1161" s="1">
        <v>43.0</v>
      </c>
      <c r="F1161" s="1">
        <v>17.0</v>
      </c>
      <c r="G1161" s="1">
        <v>19.0</v>
      </c>
      <c r="H1161" s="1">
        <v>0.0</v>
      </c>
      <c r="I1161" s="1">
        <v>0.0</v>
      </c>
      <c r="J1161" s="1">
        <v>0.0</v>
      </c>
      <c r="K1161" s="1">
        <v>0.3</v>
      </c>
      <c r="L1161" s="1">
        <v>2260000.0</v>
      </c>
      <c r="M1161" s="1" t="s">
        <v>5404</v>
      </c>
      <c r="N1161" s="18">
        <v>46002.0</v>
      </c>
      <c r="O1161" s="1" t="s">
        <v>3432</v>
      </c>
      <c r="P1161" s="1" t="s">
        <v>3257</v>
      </c>
      <c r="Q1161" s="1" t="s">
        <v>3408</v>
      </c>
    </row>
    <row r="1162">
      <c r="A1162" s="1" t="s">
        <v>5405</v>
      </c>
      <c r="B1162" s="1">
        <v>43.0</v>
      </c>
      <c r="C1162" s="1">
        <v>260.0</v>
      </c>
      <c r="D1162" s="2" t="s">
        <v>1953</v>
      </c>
      <c r="E1162" s="1">
        <v>43.0</v>
      </c>
      <c r="F1162" s="1">
        <v>15.0</v>
      </c>
      <c r="G1162" s="1">
        <v>0.0</v>
      </c>
      <c r="H1162" s="1">
        <v>0.0</v>
      </c>
      <c r="I1162" s="1">
        <v>0.0</v>
      </c>
      <c r="J1162" s="1">
        <v>0.0</v>
      </c>
      <c r="K1162" s="1">
        <v>0.0</v>
      </c>
      <c r="L1162" s="1">
        <v>311000.0</v>
      </c>
      <c r="M1162" s="1" t="s">
        <v>5406</v>
      </c>
      <c r="N1162" s="18">
        <v>45999.0</v>
      </c>
      <c r="O1162" s="1" t="s">
        <v>4833</v>
      </c>
      <c r="P1162" s="1" t="s">
        <v>3230</v>
      </c>
      <c r="Q1162" s="1" t="s">
        <v>3408</v>
      </c>
    </row>
    <row r="1163">
      <c r="A1163" s="1" t="s">
        <v>5407</v>
      </c>
      <c r="B1163" s="1">
        <v>43.0</v>
      </c>
      <c r="C1163" s="1">
        <v>90.0</v>
      </c>
      <c r="D1163" s="2" t="s">
        <v>2941</v>
      </c>
      <c r="E1163" s="1">
        <v>43.0</v>
      </c>
      <c r="F1163" s="1">
        <v>28.0</v>
      </c>
      <c r="G1163" s="1">
        <v>2.11</v>
      </c>
      <c r="H1163" s="1">
        <v>0.0</v>
      </c>
      <c r="I1163" s="1">
        <v>0.0</v>
      </c>
      <c r="J1163" s="1">
        <v>0.0</v>
      </c>
      <c r="K1163" s="1">
        <v>0.2</v>
      </c>
      <c r="L1163" s="1">
        <v>9980000.0</v>
      </c>
      <c r="M1163" s="1" t="s">
        <v>5408</v>
      </c>
      <c r="N1163" s="18">
        <v>45999.0</v>
      </c>
      <c r="O1163" s="1" t="s">
        <v>3496</v>
      </c>
      <c r="P1163" s="1" t="s">
        <v>3230</v>
      </c>
      <c r="Q1163" s="1" t="s">
        <v>3408</v>
      </c>
    </row>
    <row r="1164">
      <c r="A1164" s="1" t="s">
        <v>5249</v>
      </c>
      <c r="B1164" s="1">
        <v>43.0</v>
      </c>
      <c r="C1164" s="1">
        <v>50.0</v>
      </c>
      <c r="D1164" s="2" t="s">
        <v>681</v>
      </c>
      <c r="E1164" s="1">
        <v>43.0</v>
      </c>
      <c r="F1164" s="1">
        <v>5.0</v>
      </c>
      <c r="G1164" s="1">
        <v>0.3</v>
      </c>
      <c r="H1164" s="1">
        <v>0.0</v>
      </c>
      <c r="I1164" s="1">
        <v>0.0</v>
      </c>
      <c r="J1164" s="1">
        <v>0.0</v>
      </c>
      <c r="K1164" s="1">
        <v>0.16</v>
      </c>
      <c r="L1164" s="1">
        <v>5940000.0</v>
      </c>
      <c r="M1164" s="1" t="s">
        <v>5250</v>
      </c>
      <c r="N1164" s="18">
        <v>45998.0</v>
      </c>
      <c r="O1164" s="1" t="s">
        <v>3479</v>
      </c>
      <c r="P1164" s="1" t="s">
        <v>3230</v>
      </c>
      <c r="Q1164" s="1" t="s">
        <v>3408</v>
      </c>
    </row>
    <row r="1165">
      <c r="A1165" s="1" t="s">
        <v>5409</v>
      </c>
      <c r="B1165" s="1">
        <v>43.0</v>
      </c>
      <c r="C1165" s="1">
        <v>50.0</v>
      </c>
      <c r="D1165" s="2" t="s">
        <v>2416</v>
      </c>
      <c r="E1165" s="1">
        <v>43.0</v>
      </c>
      <c r="F1165" s="1">
        <v>10.0</v>
      </c>
      <c r="G1165" s="1">
        <v>0.0</v>
      </c>
      <c r="H1165" s="1">
        <v>0.0</v>
      </c>
      <c r="I1165" s="1">
        <v>0.0</v>
      </c>
      <c r="J1165" s="1">
        <v>0.0</v>
      </c>
      <c r="K1165" s="1">
        <v>0.0</v>
      </c>
      <c r="L1165" s="1">
        <v>593000.0</v>
      </c>
      <c r="M1165" s="1" t="s">
        <v>5410</v>
      </c>
      <c r="N1165" s="18">
        <v>45993.0</v>
      </c>
      <c r="O1165" s="1" t="s">
        <v>3264</v>
      </c>
      <c r="P1165" s="1" t="s">
        <v>3230</v>
      </c>
      <c r="Q1165" s="1" t="s">
        <v>3408</v>
      </c>
    </row>
    <row r="1166">
      <c r="A1166" s="1" t="s">
        <v>5411</v>
      </c>
      <c r="B1166" s="1">
        <v>43.0</v>
      </c>
      <c r="C1166" s="1">
        <v>320.0</v>
      </c>
      <c r="D1166" s="2" t="s">
        <v>973</v>
      </c>
      <c r="E1166" s="1">
        <v>43.0</v>
      </c>
      <c r="F1166" s="1">
        <v>41.0</v>
      </c>
      <c r="G1166" s="1">
        <v>0.0</v>
      </c>
      <c r="H1166" s="1">
        <v>0.0</v>
      </c>
      <c r="I1166" s="1">
        <v>0.0</v>
      </c>
      <c r="J1166" s="1">
        <v>0.0</v>
      </c>
      <c r="K1166" s="1">
        <v>0.0</v>
      </c>
      <c r="L1166" s="1">
        <v>2.02E7</v>
      </c>
      <c r="M1166" s="1" t="s">
        <v>5412</v>
      </c>
      <c r="N1166" s="18">
        <v>45990.0</v>
      </c>
      <c r="O1166" s="1" t="s">
        <v>5413</v>
      </c>
      <c r="P1166" s="1" t="s">
        <v>3230</v>
      </c>
      <c r="Q1166" s="1" t="s">
        <v>3408</v>
      </c>
    </row>
    <row r="1167">
      <c r="A1167" s="1" t="s">
        <v>5414</v>
      </c>
      <c r="B1167" s="1">
        <v>43.0</v>
      </c>
      <c r="C1167" s="1">
        <v>40.0</v>
      </c>
      <c r="D1167" s="2" t="s">
        <v>1868</v>
      </c>
      <c r="E1167" s="1">
        <v>43.0</v>
      </c>
      <c r="F1167" s="1">
        <v>22.0</v>
      </c>
      <c r="G1167" s="1">
        <v>0.0</v>
      </c>
      <c r="H1167" s="1">
        <v>0.0</v>
      </c>
      <c r="I1167" s="1">
        <v>0.0</v>
      </c>
      <c r="J1167" s="1">
        <v>0.0</v>
      </c>
      <c r="K1167" s="1">
        <v>0.0</v>
      </c>
      <c r="L1167" s="1">
        <v>10.0</v>
      </c>
      <c r="M1167" s="1" t="s">
        <v>5415</v>
      </c>
      <c r="N1167" s="18">
        <v>45972.0</v>
      </c>
      <c r="O1167" s="1" t="s">
        <v>5416</v>
      </c>
      <c r="P1167" s="1" t="s">
        <v>3230</v>
      </c>
      <c r="Q1167" s="1" t="s">
        <v>3408</v>
      </c>
    </row>
    <row r="1168">
      <c r="A1168" s="1" t="s">
        <v>5417</v>
      </c>
      <c r="B1168" s="1">
        <v>44.0</v>
      </c>
      <c r="C1168" s="1">
        <v>40.0</v>
      </c>
      <c r="D1168" s="2" t="s">
        <v>439</v>
      </c>
      <c r="E1168" s="1">
        <v>0.0</v>
      </c>
      <c r="F1168" s="1">
        <v>12.0</v>
      </c>
      <c r="G1168" s="1">
        <v>14.4</v>
      </c>
      <c r="H1168" s="1">
        <v>0.0</v>
      </c>
      <c r="I1168" s="1">
        <v>0.0</v>
      </c>
      <c r="J1168" s="1">
        <v>0.0</v>
      </c>
      <c r="K1168" s="1">
        <v>0.3</v>
      </c>
      <c r="L1168" s="1">
        <v>5.08E7</v>
      </c>
      <c r="M1168" s="1" t="s">
        <v>5418</v>
      </c>
      <c r="N1168" s="18">
        <v>46042.0</v>
      </c>
      <c r="O1168" s="1" t="s">
        <v>3288</v>
      </c>
      <c r="P1168" s="1" t="s">
        <v>3257</v>
      </c>
      <c r="Q1168" s="1" t="s">
        <v>3408</v>
      </c>
    </row>
    <row r="1169">
      <c r="A1169" s="1" t="s">
        <v>5419</v>
      </c>
      <c r="B1169" s="1">
        <v>44.0</v>
      </c>
      <c r="C1169" s="1">
        <v>170.0</v>
      </c>
      <c r="D1169" s="2" t="s">
        <v>2253</v>
      </c>
      <c r="E1169" s="1">
        <v>0.0</v>
      </c>
      <c r="F1169" s="1">
        <v>10.0</v>
      </c>
      <c r="G1169" s="1">
        <v>0.0</v>
      </c>
      <c r="H1169" s="1">
        <v>0.0</v>
      </c>
      <c r="I1169" s="1">
        <v>0.0</v>
      </c>
      <c r="J1169" s="1">
        <v>0.0</v>
      </c>
      <c r="K1169" s="1">
        <v>0.0</v>
      </c>
      <c r="L1169" s="1">
        <v>7.03E7</v>
      </c>
      <c r="M1169" s="1" t="s">
        <v>5420</v>
      </c>
      <c r="N1169" s="18">
        <v>46042.0</v>
      </c>
      <c r="O1169" s="1" t="s">
        <v>3314</v>
      </c>
      <c r="P1169" s="1" t="s">
        <v>3230</v>
      </c>
      <c r="Q1169" s="1" t="s">
        <v>3408</v>
      </c>
    </row>
    <row r="1170">
      <c r="A1170" s="1" t="s">
        <v>5421</v>
      </c>
      <c r="B1170" s="1">
        <v>44.0</v>
      </c>
      <c r="C1170" s="1">
        <v>140.0</v>
      </c>
      <c r="D1170" s="2" t="s">
        <v>636</v>
      </c>
      <c r="E1170" s="1">
        <v>44.0</v>
      </c>
      <c r="F1170" s="1">
        <v>24.0</v>
      </c>
      <c r="G1170" s="1">
        <v>8.89</v>
      </c>
      <c r="H1170" s="1">
        <v>0.0</v>
      </c>
      <c r="I1170" s="1">
        <v>0.0</v>
      </c>
      <c r="J1170" s="1">
        <v>0.0</v>
      </c>
      <c r="K1170" s="1">
        <v>0.12</v>
      </c>
      <c r="L1170" s="1">
        <v>4.76E7</v>
      </c>
      <c r="M1170" s="1" t="s">
        <v>5422</v>
      </c>
      <c r="N1170" s="18">
        <v>46039.0</v>
      </c>
      <c r="O1170" s="1" t="s">
        <v>5423</v>
      </c>
      <c r="P1170" s="1" t="s">
        <v>3257</v>
      </c>
      <c r="Q1170" s="1" t="s">
        <v>3408</v>
      </c>
    </row>
    <row r="1171">
      <c r="A1171" s="1" t="s">
        <v>5424</v>
      </c>
      <c r="B1171" s="1">
        <v>44.0</v>
      </c>
      <c r="C1171" s="1">
        <v>70.0</v>
      </c>
      <c r="D1171" s="2" t="s">
        <v>2048</v>
      </c>
      <c r="E1171" s="1">
        <v>44.0</v>
      </c>
      <c r="F1171" s="1">
        <v>19.0</v>
      </c>
      <c r="G1171" s="1">
        <v>0.0</v>
      </c>
      <c r="H1171" s="1">
        <v>0.0</v>
      </c>
      <c r="I1171" s="1">
        <v>0.0</v>
      </c>
      <c r="J1171" s="1">
        <v>0.0</v>
      </c>
      <c r="K1171" s="1">
        <v>0.0</v>
      </c>
      <c r="L1171" s="1">
        <v>3.97E7</v>
      </c>
      <c r="M1171" s="1" t="s">
        <v>5425</v>
      </c>
      <c r="N1171" s="18">
        <v>46037.0</v>
      </c>
      <c r="O1171" s="1" t="s">
        <v>4172</v>
      </c>
      <c r="P1171" s="1" t="s">
        <v>3230</v>
      </c>
      <c r="Q1171" s="1" t="s">
        <v>3408</v>
      </c>
    </row>
    <row r="1172">
      <c r="A1172" s="1" t="s">
        <v>5426</v>
      </c>
      <c r="B1172" s="1">
        <v>44.0</v>
      </c>
      <c r="C1172" s="1">
        <v>30.0</v>
      </c>
      <c r="D1172" s="2" t="s">
        <v>2949</v>
      </c>
      <c r="E1172" s="1">
        <v>44.0</v>
      </c>
      <c r="F1172" s="1">
        <v>35.0</v>
      </c>
      <c r="G1172" s="1">
        <v>13.3</v>
      </c>
      <c r="H1172" s="1">
        <v>0.0</v>
      </c>
      <c r="I1172" s="1">
        <v>0.0</v>
      </c>
      <c r="J1172" s="1">
        <v>0.0</v>
      </c>
      <c r="K1172" s="1">
        <v>0.56</v>
      </c>
      <c r="L1172" s="1">
        <v>1830000.0</v>
      </c>
      <c r="M1172" s="1" t="s">
        <v>5427</v>
      </c>
      <c r="N1172" s="18">
        <v>46036.0</v>
      </c>
      <c r="O1172" s="1" t="s">
        <v>3256</v>
      </c>
      <c r="P1172" s="1" t="s">
        <v>3257</v>
      </c>
      <c r="Q1172" s="1" t="s">
        <v>3408</v>
      </c>
    </row>
    <row r="1173">
      <c r="A1173" s="1" t="s">
        <v>5428</v>
      </c>
      <c r="B1173" s="1">
        <v>44.0</v>
      </c>
      <c r="C1173" s="1">
        <v>140.0</v>
      </c>
      <c r="D1173" s="2" t="s">
        <v>694</v>
      </c>
      <c r="E1173" s="1">
        <v>44.0</v>
      </c>
      <c r="F1173" s="1">
        <v>25.0</v>
      </c>
      <c r="G1173" s="1">
        <v>1.07</v>
      </c>
      <c r="H1173" s="1">
        <v>0.0</v>
      </c>
      <c r="I1173" s="1">
        <v>0.0</v>
      </c>
      <c r="J1173" s="1">
        <v>0.0</v>
      </c>
      <c r="K1173" s="1">
        <v>0.2</v>
      </c>
      <c r="L1173" s="1">
        <v>1200000.0</v>
      </c>
      <c r="M1173" s="1" t="s">
        <v>5429</v>
      </c>
      <c r="N1173" s="18">
        <v>46027.0</v>
      </c>
      <c r="O1173" s="1" t="s">
        <v>3264</v>
      </c>
      <c r="P1173" s="1" t="s">
        <v>3230</v>
      </c>
      <c r="Q1173" s="1" t="s">
        <v>3408</v>
      </c>
    </row>
    <row r="1174">
      <c r="A1174" s="1" t="s">
        <v>5430</v>
      </c>
      <c r="B1174" s="1">
        <v>44.0</v>
      </c>
      <c r="C1174" s="1">
        <v>40.0</v>
      </c>
      <c r="D1174" s="2" t="s">
        <v>750</v>
      </c>
      <c r="E1174" s="1">
        <v>44.0</v>
      </c>
      <c r="F1174" s="1">
        <v>0.0</v>
      </c>
      <c r="G1174" s="1">
        <v>0.0</v>
      </c>
      <c r="H1174" s="1">
        <v>0.0</v>
      </c>
      <c r="I1174" s="1">
        <v>0.0</v>
      </c>
      <c r="J1174" s="1">
        <v>0.0</v>
      </c>
      <c r="K1174" s="1">
        <v>0.0</v>
      </c>
      <c r="L1174" s="1">
        <v>2270000.0</v>
      </c>
      <c r="M1174" s="1" t="s">
        <v>5274</v>
      </c>
      <c r="N1174" s="18">
        <v>46025.0</v>
      </c>
      <c r="O1174" s="1" t="s">
        <v>4663</v>
      </c>
      <c r="P1174" s="1" t="s">
        <v>3230</v>
      </c>
      <c r="Q1174" s="1" t="s">
        <v>3408</v>
      </c>
    </row>
    <row r="1175">
      <c r="A1175" s="1" t="s">
        <v>4222</v>
      </c>
      <c r="B1175" s="1">
        <v>44.0</v>
      </c>
      <c r="C1175" s="1">
        <v>210.0</v>
      </c>
      <c r="D1175" s="2" t="s">
        <v>1436</v>
      </c>
      <c r="E1175" s="1">
        <v>44.0</v>
      </c>
      <c r="F1175" s="1">
        <v>35.0</v>
      </c>
      <c r="G1175" s="1">
        <v>18.67</v>
      </c>
      <c r="H1175" s="1">
        <v>0.0</v>
      </c>
      <c r="I1175" s="1">
        <v>0.0</v>
      </c>
      <c r="J1175" s="1">
        <v>0.0</v>
      </c>
      <c r="K1175" s="1">
        <v>0.79</v>
      </c>
      <c r="L1175" s="1">
        <v>436000.0</v>
      </c>
      <c r="M1175" s="1" t="s">
        <v>4223</v>
      </c>
      <c r="N1175" s="18">
        <v>46022.0</v>
      </c>
      <c r="O1175" s="1" t="s">
        <v>3673</v>
      </c>
      <c r="P1175" s="1" t="s">
        <v>3257</v>
      </c>
      <c r="Q1175" s="1" t="s">
        <v>3408</v>
      </c>
    </row>
    <row r="1176">
      <c r="A1176" s="1" t="s">
        <v>5431</v>
      </c>
      <c r="B1176" s="1">
        <v>44.0</v>
      </c>
      <c r="C1176" s="1">
        <v>170.0</v>
      </c>
      <c r="D1176" s="2" t="s">
        <v>782</v>
      </c>
      <c r="E1176" s="1">
        <v>44.0</v>
      </c>
      <c r="F1176" s="1">
        <v>15.0</v>
      </c>
      <c r="G1176" s="1">
        <v>0.0</v>
      </c>
      <c r="H1176" s="1">
        <v>0.0</v>
      </c>
      <c r="I1176" s="1">
        <v>0.0</v>
      </c>
      <c r="J1176" s="1">
        <v>0.0</v>
      </c>
      <c r="K1176" s="1">
        <v>0.03</v>
      </c>
      <c r="L1176" s="1">
        <v>1.05E7</v>
      </c>
      <c r="M1176" s="1" t="s">
        <v>5432</v>
      </c>
      <c r="N1176" s="18">
        <v>46022.0</v>
      </c>
      <c r="O1176" s="1" t="s">
        <v>3427</v>
      </c>
      <c r="P1176" s="1" t="s">
        <v>3257</v>
      </c>
      <c r="Q1176" s="1" t="s">
        <v>3408</v>
      </c>
    </row>
    <row r="1177">
      <c r="A1177" s="1" t="s">
        <v>5433</v>
      </c>
      <c r="B1177" s="1">
        <v>44.0</v>
      </c>
      <c r="C1177" s="1">
        <v>50.0</v>
      </c>
      <c r="D1177" s="2" t="s">
        <v>1303</v>
      </c>
      <c r="E1177" s="1">
        <v>44.0</v>
      </c>
      <c r="F1177" s="1">
        <v>0.0</v>
      </c>
      <c r="G1177" s="1">
        <v>0.0</v>
      </c>
      <c r="H1177" s="1">
        <v>0.0</v>
      </c>
      <c r="I1177" s="1">
        <v>0.0</v>
      </c>
      <c r="J1177" s="1">
        <v>0.0</v>
      </c>
      <c r="K1177" s="1">
        <v>0.0</v>
      </c>
      <c r="L1177" s="1">
        <v>887000.0</v>
      </c>
      <c r="M1177" s="1" t="s">
        <v>5434</v>
      </c>
      <c r="N1177" s="18">
        <v>46021.0</v>
      </c>
      <c r="O1177" s="1" t="s">
        <v>5435</v>
      </c>
      <c r="P1177" s="1" t="s">
        <v>3257</v>
      </c>
      <c r="Q1177" s="1" t="s">
        <v>3408</v>
      </c>
    </row>
    <row r="1178">
      <c r="A1178" s="1" t="s">
        <v>5436</v>
      </c>
      <c r="B1178" s="1">
        <v>44.0</v>
      </c>
      <c r="C1178" s="1">
        <v>170.0</v>
      </c>
      <c r="D1178" s="2" t="s">
        <v>2416</v>
      </c>
      <c r="E1178" s="1">
        <v>44.0</v>
      </c>
      <c r="F1178" s="1">
        <v>16.0</v>
      </c>
      <c r="G1178" s="1">
        <v>0.0</v>
      </c>
      <c r="H1178" s="1">
        <v>0.0</v>
      </c>
      <c r="I1178" s="1">
        <v>0.0</v>
      </c>
      <c r="J1178" s="1">
        <v>0.0</v>
      </c>
      <c r="K1178" s="1">
        <v>0.01</v>
      </c>
      <c r="L1178" s="1">
        <v>1.16E7</v>
      </c>
      <c r="M1178" s="1" t="s">
        <v>5437</v>
      </c>
      <c r="N1178" s="18">
        <v>46020.0</v>
      </c>
      <c r="O1178" s="1" t="s">
        <v>5438</v>
      </c>
      <c r="P1178" s="1" t="s">
        <v>3230</v>
      </c>
      <c r="Q1178" s="1" t="s">
        <v>3408</v>
      </c>
    </row>
    <row r="1179">
      <c r="A1179" s="1" t="s">
        <v>5439</v>
      </c>
      <c r="B1179" s="1">
        <v>44.0</v>
      </c>
      <c r="C1179" s="1">
        <v>90.0</v>
      </c>
      <c r="D1179" s="2" t="s">
        <v>1868</v>
      </c>
      <c r="E1179" s="1">
        <v>44.0</v>
      </c>
      <c r="F1179" s="1">
        <v>79.0</v>
      </c>
      <c r="G1179" s="1">
        <v>0.0</v>
      </c>
      <c r="H1179" s="1">
        <v>0.0</v>
      </c>
      <c r="I1179" s="1">
        <v>0.0</v>
      </c>
      <c r="J1179" s="1">
        <v>0.0</v>
      </c>
      <c r="K1179" s="1">
        <v>0.0</v>
      </c>
      <c r="L1179" s="1">
        <v>1.92E8</v>
      </c>
      <c r="M1179" s="1" t="s">
        <v>5440</v>
      </c>
      <c r="N1179" s="18">
        <v>46019.0</v>
      </c>
      <c r="O1179" s="1" t="s">
        <v>3277</v>
      </c>
      <c r="P1179" s="1" t="s">
        <v>3230</v>
      </c>
      <c r="Q1179" s="1" t="s">
        <v>3408</v>
      </c>
    </row>
    <row r="1180">
      <c r="A1180" s="1" t="s">
        <v>5441</v>
      </c>
      <c r="B1180" s="1">
        <v>44.0</v>
      </c>
      <c r="C1180" s="1">
        <v>1600.0</v>
      </c>
      <c r="D1180" s="2" t="s">
        <v>1868</v>
      </c>
      <c r="E1180" s="1">
        <v>44.0</v>
      </c>
      <c r="F1180" s="1">
        <v>43.0</v>
      </c>
      <c r="G1180" s="1">
        <v>0.0</v>
      </c>
      <c r="H1180" s="1">
        <v>0.0</v>
      </c>
      <c r="I1180" s="1">
        <v>0.0</v>
      </c>
      <c r="J1180" s="1">
        <v>0.0</v>
      </c>
      <c r="K1180" s="1">
        <v>0.0</v>
      </c>
      <c r="L1180" s="1">
        <v>2.78E8</v>
      </c>
      <c r="M1180" s="1" t="s">
        <v>5334</v>
      </c>
      <c r="N1180" s="18">
        <v>46018.0</v>
      </c>
      <c r="O1180" s="1" t="s">
        <v>5442</v>
      </c>
      <c r="P1180" s="1" t="s">
        <v>3230</v>
      </c>
      <c r="Q1180" s="1" t="s">
        <v>3408</v>
      </c>
    </row>
    <row r="1181">
      <c r="A1181" s="1" t="s">
        <v>5057</v>
      </c>
      <c r="B1181" s="1">
        <v>44.0</v>
      </c>
      <c r="C1181" s="1">
        <v>90.0</v>
      </c>
      <c r="D1181" s="2" t="s">
        <v>798</v>
      </c>
      <c r="E1181" s="1">
        <v>44.0</v>
      </c>
      <c r="F1181" s="1">
        <v>10.0</v>
      </c>
      <c r="G1181" s="1">
        <v>0.0</v>
      </c>
      <c r="H1181" s="1">
        <v>0.0</v>
      </c>
      <c r="I1181" s="1">
        <v>0.0</v>
      </c>
      <c r="J1181" s="1">
        <v>0.0</v>
      </c>
      <c r="K1181" s="1">
        <v>0.0</v>
      </c>
      <c r="L1181" s="1">
        <v>1.67E9</v>
      </c>
      <c r="M1181" s="1" t="s">
        <v>5058</v>
      </c>
      <c r="N1181" s="18">
        <v>46016.0</v>
      </c>
      <c r="O1181" s="1" t="s">
        <v>4057</v>
      </c>
      <c r="P1181" s="1" t="s">
        <v>3230</v>
      </c>
      <c r="Q1181" s="1" t="s">
        <v>3408</v>
      </c>
    </row>
    <row r="1182">
      <c r="A1182" s="1" t="s">
        <v>5443</v>
      </c>
      <c r="B1182" s="1">
        <v>44.0</v>
      </c>
      <c r="C1182" s="1">
        <v>70.0</v>
      </c>
      <c r="D1182" s="2" t="s">
        <v>439</v>
      </c>
      <c r="E1182" s="1">
        <v>44.0</v>
      </c>
      <c r="F1182" s="1">
        <v>7.0</v>
      </c>
      <c r="G1182" s="1">
        <v>0.0</v>
      </c>
      <c r="H1182" s="1">
        <v>0.0</v>
      </c>
      <c r="I1182" s="1">
        <v>0.0</v>
      </c>
      <c r="J1182" s="1">
        <v>0.0</v>
      </c>
      <c r="K1182" s="1">
        <v>0.0</v>
      </c>
      <c r="L1182" s="1">
        <v>2620000.0</v>
      </c>
      <c r="M1182" s="1" t="s">
        <v>5444</v>
      </c>
      <c r="N1182" s="18">
        <v>46014.0</v>
      </c>
      <c r="O1182" s="1" t="s">
        <v>3432</v>
      </c>
      <c r="P1182" s="1" t="s">
        <v>3257</v>
      </c>
      <c r="Q1182" s="1" t="s">
        <v>3408</v>
      </c>
    </row>
    <row r="1183">
      <c r="A1183" s="1" t="s">
        <v>5445</v>
      </c>
      <c r="B1183" s="1">
        <v>44.0</v>
      </c>
      <c r="C1183" s="1">
        <v>260.0</v>
      </c>
      <c r="D1183" s="2" t="s">
        <v>439</v>
      </c>
      <c r="E1183" s="1">
        <v>44.0</v>
      </c>
      <c r="F1183" s="1">
        <v>35.0</v>
      </c>
      <c r="G1183" s="1">
        <v>8.12</v>
      </c>
      <c r="H1183" s="1">
        <v>0.0</v>
      </c>
      <c r="I1183" s="1">
        <v>0.0</v>
      </c>
      <c r="J1183" s="1">
        <v>0.0</v>
      </c>
      <c r="K1183" s="1">
        <v>0.14</v>
      </c>
      <c r="L1183" s="1">
        <v>11000.0</v>
      </c>
      <c r="M1183" s="1" t="s">
        <v>5446</v>
      </c>
      <c r="N1183" s="18">
        <v>46012.0</v>
      </c>
      <c r="O1183" s="1" t="s">
        <v>3432</v>
      </c>
      <c r="P1183" s="1" t="s">
        <v>3462</v>
      </c>
      <c r="Q1183" s="1" t="s">
        <v>3408</v>
      </c>
    </row>
    <row r="1184">
      <c r="A1184" s="1" t="s">
        <v>5447</v>
      </c>
      <c r="B1184" s="1">
        <v>44.0</v>
      </c>
      <c r="C1184" s="1">
        <v>210.0</v>
      </c>
      <c r="D1184" s="2" t="s">
        <v>1536</v>
      </c>
      <c r="E1184" s="1">
        <v>44.0</v>
      </c>
      <c r="F1184" s="1">
        <v>17.0</v>
      </c>
      <c r="G1184" s="1">
        <v>3.32</v>
      </c>
      <c r="H1184" s="1">
        <v>0.0</v>
      </c>
      <c r="I1184" s="1">
        <v>0.0</v>
      </c>
      <c r="J1184" s="1">
        <v>0.0</v>
      </c>
      <c r="K1184" s="1">
        <v>0.05</v>
      </c>
      <c r="L1184" s="1">
        <v>3.23E7</v>
      </c>
      <c r="M1184" s="1" t="s">
        <v>5448</v>
      </c>
      <c r="N1184" s="18">
        <v>46012.0</v>
      </c>
      <c r="O1184" s="1" t="s">
        <v>4918</v>
      </c>
      <c r="P1184" s="1" t="s">
        <v>3230</v>
      </c>
      <c r="Q1184" s="1" t="s">
        <v>3408</v>
      </c>
    </row>
    <row r="1185">
      <c r="A1185" s="1" t="s">
        <v>5449</v>
      </c>
      <c r="B1185" s="1">
        <v>44.0</v>
      </c>
      <c r="C1185" s="1">
        <v>40.0</v>
      </c>
      <c r="D1185" s="2" t="s">
        <v>1870</v>
      </c>
      <c r="E1185" s="1">
        <v>44.0</v>
      </c>
      <c r="F1185" s="1">
        <v>0.0</v>
      </c>
      <c r="G1185" s="1">
        <v>0.0</v>
      </c>
      <c r="H1185" s="1">
        <v>0.0</v>
      </c>
      <c r="I1185" s="1">
        <v>0.0</v>
      </c>
      <c r="J1185" s="1">
        <v>0.0</v>
      </c>
      <c r="K1185" s="1">
        <v>0.0</v>
      </c>
      <c r="L1185" s="1">
        <v>378000.0</v>
      </c>
      <c r="M1185" s="1" t="s">
        <v>5450</v>
      </c>
      <c r="N1185" s="18">
        <v>46010.0</v>
      </c>
      <c r="O1185" s="1" t="s">
        <v>5451</v>
      </c>
      <c r="P1185" s="1" t="s">
        <v>3257</v>
      </c>
      <c r="Q1185" s="1" t="s">
        <v>3408</v>
      </c>
    </row>
    <row r="1186">
      <c r="A1186" s="1" t="s">
        <v>5452</v>
      </c>
      <c r="B1186" s="1">
        <v>44.0</v>
      </c>
      <c r="C1186" s="1">
        <v>1300.0</v>
      </c>
      <c r="D1186" s="2" t="s">
        <v>694</v>
      </c>
      <c r="E1186" s="1">
        <v>44.0</v>
      </c>
      <c r="F1186" s="1">
        <v>27.0</v>
      </c>
      <c r="G1186" s="1">
        <v>0.75</v>
      </c>
      <c r="H1186" s="1">
        <v>0.0</v>
      </c>
      <c r="I1186" s="1">
        <v>0.0</v>
      </c>
      <c r="J1186" s="1">
        <v>0.0</v>
      </c>
      <c r="K1186" s="1">
        <v>0.26</v>
      </c>
      <c r="L1186" s="1">
        <v>1330000.0</v>
      </c>
      <c r="M1186" s="1" t="s">
        <v>5453</v>
      </c>
      <c r="N1186" s="18">
        <v>46007.0</v>
      </c>
      <c r="O1186" s="1" t="s">
        <v>3479</v>
      </c>
      <c r="P1186" s="1" t="s">
        <v>3230</v>
      </c>
      <c r="Q1186" s="1" t="s">
        <v>3408</v>
      </c>
    </row>
    <row r="1187">
      <c r="A1187" s="1" t="s">
        <v>5454</v>
      </c>
      <c r="B1187" s="1">
        <v>44.0</v>
      </c>
      <c r="C1187" s="1">
        <v>40.0</v>
      </c>
      <c r="D1187" s="2" t="s">
        <v>2416</v>
      </c>
      <c r="E1187" s="1">
        <v>44.0</v>
      </c>
      <c r="F1187" s="1">
        <v>4.0</v>
      </c>
      <c r="G1187" s="1">
        <v>0.0</v>
      </c>
      <c r="H1187" s="1">
        <v>0.0</v>
      </c>
      <c r="I1187" s="1">
        <v>0.0</v>
      </c>
      <c r="J1187" s="1">
        <v>0.0</v>
      </c>
      <c r="K1187" s="1">
        <v>0.0</v>
      </c>
      <c r="L1187" s="1">
        <v>1100000.0</v>
      </c>
      <c r="M1187" s="1" t="s">
        <v>5455</v>
      </c>
      <c r="N1187" s="18">
        <v>46007.0</v>
      </c>
      <c r="O1187" s="1" t="s">
        <v>3479</v>
      </c>
      <c r="P1187" s="1" t="s">
        <v>3230</v>
      </c>
      <c r="Q1187" s="1" t="s">
        <v>3408</v>
      </c>
    </row>
    <row r="1188">
      <c r="A1188" s="1" t="s">
        <v>5456</v>
      </c>
      <c r="B1188" s="1">
        <v>44.0</v>
      </c>
      <c r="C1188" s="1">
        <v>40.0</v>
      </c>
      <c r="D1188" s="2" t="s">
        <v>1868</v>
      </c>
      <c r="E1188" s="1">
        <v>44.0</v>
      </c>
      <c r="F1188" s="1">
        <v>6.0</v>
      </c>
      <c r="G1188" s="1">
        <v>0.0</v>
      </c>
      <c r="H1188" s="1">
        <v>0.0</v>
      </c>
      <c r="I1188" s="1">
        <v>0.0</v>
      </c>
      <c r="J1188" s="1">
        <v>0.0</v>
      </c>
      <c r="K1188" s="1">
        <v>0.0</v>
      </c>
      <c r="L1188" s="1">
        <v>2.41E8</v>
      </c>
      <c r="M1188" s="1" t="s">
        <v>5457</v>
      </c>
      <c r="N1188" s="18">
        <v>46006.0</v>
      </c>
      <c r="O1188" s="1" t="s">
        <v>5458</v>
      </c>
      <c r="P1188" s="1" t="s">
        <v>3230</v>
      </c>
      <c r="Q1188" s="1" t="s">
        <v>3408</v>
      </c>
    </row>
    <row r="1189">
      <c r="A1189" s="1" t="s">
        <v>5459</v>
      </c>
      <c r="B1189" s="1">
        <v>44.0</v>
      </c>
      <c r="C1189" s="1">
        <v>90.0</v>
      </c>
      <c r="D1189" s="2" t="s">
        <v>2949</v>
      </c>
      <c r="E1189" s="1">
        <v>44.0</v>
      </c>
      <c r="F1189" s="1">
        <v>48.0</v>
      </c>
      <c r="G1189" s="1">
        <v>12.42</v>
      </c>
      <c r="H1189" s="1">
        <v>0.0</v>
      </c>
      <c r="I1189" s="1">
        <v>0.0</v>
      </c>
      <c r="J1189" s="1">
        <v>0.0</v>
      </c>
      <c r="K1189" s="1">
        <v>0.59</v>
      </c>
      <c r="L1189" s="1">
        <v>1350000.0</v>
      </c>
      <c r="M1189" s="1" t="s">
        <v>5460</v>
      </c>
      <c r="N1189" s="18">
        <v>46003.0</v>
      </c>
      <c r="O1189" s="1" t="s">
        <v>3415</v>
      </c>
      <c r="P1189" s="1" t="s">
        <v>3257</v>
      </c>
      <c r="Q1189" s="1" t="s">
        <v>3408</v>
      </c>
    </row>
    <row r="1190">
      <c r="A1190" s="1" t="s">
        <v>5461</v>
      </c>
      <c r="B1190" s="1">
        <v>44.0</v>
      </c>
      <c r="C1190" s="1">
        <v>110.0</v>
      </c>
      <c r="D1190" s="2" t="s">
        <v>600</v>
      </c>
      <c r="E1190" s="1">
        <v>44.0</v>
      </c>
      <c r="F1190" s="1">
        <v>8.0</v>
      </c>
      <c r="G1190" s="1">
        <v>4.05</v>
      </c>
      <c r="H1190" s="1">
        <v>0.0</v>
      </c>
      <c r="I1190" s="1">
        <v>0.0</v>
      </c>
      <c r="J1190" s="1">
        <v>0.0</v>
      </c>
      <c r="K1190" s="1">
        <v>0.05</v>
      </c>
      <c r="L1190" s="1">
        <v>2.21E7</v>
      </c>
      <c r="M1190" s="1" t="s">
        <v>5462</v>
      </c>
      <c r="N1190" s="18">
        <v>46003.0</v>
      </c>
      <c r="O1190" s="1" t="s">
        <v>3421</v>
      </c>
      <c r="P1190" s="1" t="s">
        <v>3257</v>
      </c>
      <c r="Q1190" s="1" t="s">
        <v>3408</v>
      </c>
    </row>
    <row r="1191">
      <c r="A1191" s="1" t="s">
        <v>3714</v>
      </c>
      <c r="B1191" s="1">
        <v>44.0</v>
      </c>
      <c r="C1191" s="1">
        <v>70.0</v>
      </c>
      <c r="D1191" s="2" t="s">
        <v>1008</v>
      </c>
      <c r="E1191" s="1">
        <v>44.0</v>
      </c>
      <c r="F1191" s="1">
        <v>47.0</v>
      </c>
      <c r="G1191" s="1">
        <v>17.92</v>
      </c>
      <c r="H1191" s="1">
        <v>0.0</v>
      </c>
      <c r="I1191" s="1">
        <v>0.0</v>
      </c>
      <c r="J1191" s="1">
        <v>0.0</v>
      </c>
      <c r="K1191" s="1">
        <v>0.32</v>
      </c>
      <c r="L1191" s="1">
        <v>657000.0</v>
      </c>
      <c r="M1191" s="1" t="s">
        <v>3715</v>
      </c>
      <c r="N1191" s="18">
        <v>46003.0</v>
      </c>
      <c r="O1191" s="1" t="s">
        <v>3415</v>
      </c>
      <c r="P1191" s="1" t="s">
        <v>3257</v>
      </c>
      <c r="Q1191" s="1" t="s">
        <v>3408</v>
      </c>
    </row>
    <row r="1192">
      <c r="A1192" s="1" t="s">
        <v>5463</v>
      </c>
      <c r="B1192" s="1">
        <v>44.0</v>
      </c>
      <c r="C1192" s="1">
        <v>90.0</v>
      </c>
      <c r="D1192" s="2" t="s">
        <v>2416</v>
      </c>
      <c r="E1192" s="1">
        <v>44.0</v>
      </c>
      <c r="F1192" s="1">
        <v>13.0</v>
      </c>
      <c r="G1192" s="1">
        <v>0.0</v>
      </c>
      <c r="H1192" s="1">
        <v>0.0</v>
      </c>
      <c r="I1192" s="1">
        <v>0.0</v>
      </c>
      <c r="J1192" s="1">
        <v>0.0</v>
      </c>
      <c r="K1192" s="1">
        <v>0.01</v>
      </c>
      <c r="L1192" s="1">
        <v>1.21E7</v>
      </c>
      <c r="M1192" s="1" t="s">
        <v>5464</v>
      </c>
      <c r="N1192" s="18">
        <v>46002.0</v>
      </c>
      <c r="O1192" s="1" t="s">
        <v>5465</v>
      </c>
      <c r="P1192" s="1" t="s">
        <v>3230</v>
      </c>
      <c r="Q1192" s="1" t="s">
        <v>3408</v>
      </c>
    </row>
    <row r="1193">
      <c r="A1193" s="1" t="s">
        <v>5466</v>
      </c>
      <c r="B1193" s="1">
        <v>44.0</v>
      </c>
      <c r="C1193" s="1">
        <v>320.0</v>
      </c>
      <c r="D1193" s="2" t="s">
        <v>681</v>
      </c>
      <c r="E1193" s="1">
        <v>44.0</v>
      </c>
      <c r="F1193" s="1">
        <v>11.0</v>
      </c>
      <c r="G1193" s="1">
        <v>1.29</v>
      </c>
      <c r="H1193" s="1">
        <v>0.0</v>
      </c>
      <c r="I1193" s="1">
        <v>0.0</v>
      </c>
      <c r="J1193" s="1">
        <v>0.0</v>
      </c>
      <c r="K1193" s="1">
        <v>0.32</v>
      </c>
      <c r="L1193" s="1">
        <v>1.08E7</v>
      </c>
      <c r="M1193" s="1" t="s">
        <v>5467</v>
      </c>
      <c r="N1193" s="18">
        <v>46000.0</v>
      </c>
      <c r="O1193" s="1" t="s">
        <v>4057</v>
      </c>
      <c r="P1193" s="1" t="s">
        <v>3230</v>
      </c>
      <c r="Q1193" s="1" t="s">
        <v>3408</v>
      </c>
    </row>
    <row r="1194">
      <c r="A1194" s="1" t="s">
        <v>5468</v>
      </c>
      <c r="B1194" s="1">
        <v>44.0</v>
      </c>
      <c r="C1194" s="1">
        <v>880.0</v>
      </c>
      <c r="D1194" s="2" t="s">
        <v>2930</v>
      </c>
      <c r="E1194" s="1">
        <v>44.0</v>
      </c>
      <c r="F1194" s="1">
        <v>31.0</v>
      </c>
      <c r="G1194" s="1">
        <v>1.52</v>
      </c>
      <c r="H1194" s="1">
        <v>0.0</v>
      </c>
      <c r="I1194" s="1">
        <v>0.0</v>
      </c>
      <c r="J1194" s="1">
        <v>0.0</v>
      </c>
      <c r="K1194" s="1">
        <v>0.0</v>
      </c>
      <c r="L1194" s="1">
        <v>1760000.0</v>
      </c>
      <c r="M1194" s="1" t="s">
        <v>5469</v>
      </c>
      <c r="N1194" s="18">
        <v>45997.0</v>
      </c>
      <c r="O1194" s="1" t="s">
        <v>5470</v>
      </c>
      <c r="P1194" s="1" t="s">
        <v>3294</v>
      </c>
      <c r="Q1194" s="1" t="s">
        <v>3408</v>
      </c>
    </row>
    <row r="1195">
      <c r="A1195" s="1" t="s">
        <v>5471</v>
      </c>
      <c r="B1195" s="1">
        <v>44.0</v>
      </c>
      <c r="C1195" s="1">
        <v>50.0</v>
      </c>
      <c r="D1195" s="2" t="s">
        <v>581</v>
      </c>
      <c r="E1195" s="1">
        <v>44.0</v>
      </c>
      <c r="F1195" s="1">
        <v>11.0</v>
      </c>
      <c r="G1195" s="1">
        <v>12.71</v>
      </c>
      <c r="H1195" s="1">
        <v>0.0</v>
      </c>
      <c r="I1195" s="1">
        <v>0.0</v>
      </c>
      <c r="J1195" s="1">
        <v>0.0</v>
      </c>
      <c r="K1195" s="1">
        <v>0.31</v>
      </c>
      <c r="L1195" s="1">
        <v>0.0</v>
      </c>
      <c r="M1195" s="1" t="s">
        <v>5472</v>
      </c>
      <c r="N1195" s="18">
        <v>45985.0</v>
      </c>
      <c r="O1195" s="1" t="s">
        <v>3415</v>
      </c>
      <c r="P1195" s="1" t="s">
        <v>3257</v>
      </c>
      <c r="Q1195" s="1" t="s">
        <v>3408</v>
      </c>
    </row>
    <row r="1196">
      <c r="A1196" s="1" t="s">
        <v>4867</v>
      </c>
      <c r="B1196" s="1">
        <v>44.0</v>
      </c>
      <c r="C1196" s="1">
        <v>90.0</v>
      </c>
      <c r="D1196" s="2" t="s">
        <v>2930</v>
      </c>
      <c r="E1196" s="1">
        <v>44.0</v>
      </c>
      <c r="F1196" s="1">
        <v>20.0</v>
      </c>
      <c r="G1196" s="1">
        <v>1.4</v>
      </c>
      <c r="H1196" s="1">
        <v>0.0</v>
      </c>
      <c r="I1196" s="1">
        <v>0.0</v>
      </c>
      <c r="J1196" s="1">
        <v>0.0</v>
      </c>
      <c r="K1196" s="1">
        <v>0.02</v>
      </c>
      <c r="L1196" s="1">
        <v>0.0</v>
      </c>
      <c r="M1196" s="1" t="s">
        <v>4868</v>
      </c>
      <c r="N1196" s="18">
        <v>45978.0</v>
      </c>
      <c r="O1196" s="1" t="s">
        <v>3577</v>
      </c>
      <c r="P1196" s="1" t="s">
        <v>3230</v>
      </c>
      <c r="Q1196" s="1" t="s">
        <v>3408</v>
      </c>
    </row>
    <row r="1197">
      <c r="A1197" s="1" t="s">
        <v>5473</v>
      </c>
      <c r="B1197" s="1">
        <v>44.0</v>
      </c>
      <c r="C1197" s="1">
        <v>70.0</v>
      </c>
      <c r="D1197" s="2" t="s">
        <v>2930</v>
      </c>
      <c r="E1197" s="1">
        <v>44.0</v>
      </c>
      <c r="F1197" s="1">
        <v>1.0</v>
      </c>
      <c r="G1197" s="1">
        <v>0.0</v>
      </c>
      <c r="H1197" s="1">
        <v>0.0</v>
      </c>
      <c r="I1197" s="1">
        <v>0.0</v>
      </c>
      <c r="J1197" s="1">
        <v>0.0</v>
      </c>
      <c r="K1197" s="1">
        <v>0.0</v>
      </c>
      <c r="L1197" s="1">
        <v>10.0</v>
      </c>
      <c r="M1197" s="1" t="s">
        <v>5474</v>
      </c>
      <c r="N1197" s="18">
        <v>45968.0</v>
      </c>
      <c r="O1197" s="1" t="s">
        <v>3592</v>
      </c>
      <c r="P1197" s="1" t="s">
        <v>3230</v>
      </c>
      <c r="Q1197" s="1" t="s">
        <v>3408</v>
      </c>
    </row>
    <row r="1198">
      <c r="A1198" s="1" t="s">
        <v>5475</v>
      </c>
      <c r="B1198" s="1">
        <v>45.0</v>
      </c>
      <c r="C1198" s="1">
        <v>170.0</v>
      </c>
      <c r="D1198" s="2" t="s">
        <v>665</v>
      </c>
      <c r="E1198" s="1">
        <v>45.0</v>
      </c>
      <c r="F1198" s="1">
        <v>22.0</v>
      </c>
      <c r="G1198" s="1">
        <v>0.0</v>
      </c>
      <c r="H1198" s="1">
        <v>0.0</v>
      </c>
      <c r="I1198" s="1">
        <v>0.0</v>
      </c>
      <c r="J1198" s="1">
        <v>0.0</v>
      </c>
      <c r="K1198" s="1">
        <v>0.01</v>
      </c>
      <c r="L1198" s="1">
        <v>9140.0</v>
      </c>
      <c r="M1198" s="1" t="s">
        <v>5476</v>
      </c>
      <c r="N1198" s="18">
        <v>46042.0</v>
      </c>
      <c r="O1198" s="1" t="s">
        <v>4646</v>
      </c>
      <c r="P1198" s="1" t="s">
        <v>3301</v>
      </c>
      <c r="Q1198" s="1" t="s">
        <v>3408</v>
      </c>
    </row>
    <row r="1199">
      <c r="A1199" s="1" t="s">
        <v>5477</v>
      </c>
      <c r="B1199" s="1">
        <v>45.0</v>
      </c>
      <c r="C1199" s="1">
        <v>70.0</v>
      </c>
      <c r="D1199" s="2" t="s">
        <v>439</v>
      </c>
      <c r="E1199" s="1">
        <v>45.0</v>
      </c>
      <c r="F1199" s="1">
        <v>21.0</v>
      </c>
      <c r="G1199" s="1">
        <v>6.03</v>
      </c>
      <c r="H1199" s="1">
        <v>0.0</v>
      </c>
      <c r="I1199" s="1">
        <v>0.0</v>
      </c>
      <c r="J1199" s="1">
        <v>0.0</v>
      </c>
      <c r="K1199" s="1">
        <v>0.07</v>
      </c>
      <c r="L1199" s="1">
        <v>1950.0</v>
      </c>
      <c r="M1199" s="1" t="s">
        <v>5478</v>
      </c>
      <c r="N1199" s="18">
        <v>46042.0</v>
      </c>
      <c r="O1199" s="1" t="s">
        <v>4965</v>
      </c>
      <c r="P1199" s="1" t="s">
        <v>3294</v>
      </c>
      <c r="Q1199" s="1" t="s">
        <v>3408</v>
      </c>
    </row>
    <row r="1200">
      <c r="A1200" s="1" t="s">
        <v>5479</v>
      </c>
      <c r="B1200" s="1">
        <v>45.0</v>
      </c>
      <c r="C1200" s="1">
        <v>110.0</v>
      </c>
      <c r="D1200" s="2" t="s">
        <v>2941</v>
      </c>
      <c r="E1200" s="1">
        <v>45.0</v>
      </c>
      <c r="F1200" s="1">
        <v>21.0</v>
      </c>
      <c r="G1200" s="1">
        <v>2.66</v>
      </c>
      <c r="H1200" s="1">
        <v>0.0</v>
      </c>
      <c r="I1200" s="1">
        <v>0.0</v>
      </c>
      <c r="J1200" s="1">
        <v>0.0</v>
      </c>
      <c r="K1200" s="1">
        <v>0.1</v>
      </c>
      <c r="L1200" s="1">
        <v>7.35E7</v>
      </c>
      <c r="M1200" s="1" t="s">
        <v>5480</v>
      </c>
      <c r="N1200" s="18">
        <v>46039.0</v>
      </c>
      <c r="O1200" s="1" t="s">
        <v>5481</v>
      </c>
      <c r="P1200" s="1" t="s">
        <v>3230</v>
      </c>
      <c r="Q1200" s="1" t="s">
        <v>3408</v>
      </c>
    </row>
    <row r="1201">
      <c r="A1201" s="1" t="s">
        <v>5482</v>
      </c>
      <c r="B1201" s="1">
        <v>45.0</v>
      </c>
      <c r="C1201" s="1">
        <v>30.0</v>
      </c>
      <c r="D1201" s="2" t="s">
        <v>993</v>
      </c>
      <c r="E1201" s="1">
        <v>45.0</v>
      </c>
      <c r="F1201" s="1">
        <v>26.0</v>
      </c>
      <c r="G1201" s="1">
        <v>4.0</v>
      </c>
      <c r="H1201" s="1">
        <v>0.0</v>
      </c>
      <c r="I1201" s="1">
        <v>0.0</v>
      </c>
      <c r="J1201" s="1">
        <v>0.0</v>
      </c>
      <c r="K1201" s="1">
        <v>0.16</v>
      </c>
      <c r="L1201" s="1">
        <v>350000.0</v>
      </c>
      <c r="M1201" s="1" t="s">
        <v>5483</v>
      </c>
      <c r="N1201" s="18">
        <v>46038.0</v>
      </c>
      <c r="O1201" s="1" t="s">
        <v>4965</v>
      </c>
      <c r="P1201" s="1" t="s">
        <v>3294</v>
      </c>
      <c r="Q1201" s="1" t="s">
        <v>3408</v>
      </c>
    </row>
    <row r="1202">
      <c r="A1202" s="1" t="s">
        <v>5484</v>
      </c>
      <c r="B1202" s="1">
        <v>45.0</v>
      </c>
      <c r="C1202" s="1">
        <v>260.0</v>
      </c>
      <c r="D1202" s="2" t="s">
        <v>2416</v>
      </c>
      <c r="E1202" s="1">
        <v>45.0</v>
      </c>
      <c r="F1202" s="1">
        <v>14.0</v>
      </c>
      <c r="G1202" s="1">
        <v>0.0</v>
      </c>
      <c r="H1202" s="1">
        <v>0.0</v>
      </c>
      <c r="I1202" s="1">
        <v>0.0</v>
      </c>
      <c r="J1202" s="1">
        <v>0.0</v>
      </c>
      <c r="K1202" s="1">
        <v>0.0</v>
      </c>
      <c r="L1202" s="1">
        <v>193000.0</v>
      </c>
      <c r="M1202" s="1" t="s">
        <v>5485</v>
      </c>
      <c r="N1202" s="18">
        <v>46032.0</v>
      </c>
      <c r="O1202" s="1" t="s">
        <v>3314</v>
      </c>
      <c r="P1202" s="1" t="s">
        <v>3301</v>
      </c>
      <c r="Q1202" s="1" t="s">
        <v>3408</v>
      </c>
    </row>
    <row r="1203">
      <c r="A1203" s="1" t="s">
        <v>5486</v>
      </c>
      <c r="B1203" s="1">
        <v>45.0</v>
      </c>
      <c r="C1203" s="1">
        <v>40.0</v>
      </c>
      <c r="D1203" s="2" t="s">
        <v>750</v>
      </c>
      <c r="E1203" s="1">
        <v>45.0</v>
      </c>
      <c r="F1203" s="1">
        <v>0.0</v>
      </c>
      <c r="G1203" s="1">
        <v>0.0</v>
      </c>
      <c r="H1203" s="1">
        <v>0.0</v>
      </c>
      <c r="I1203" s="1">
        <v>0.0</v>
      </c>
      <c r="J1203" s="1">
        <v>0.0</v>
      </c>
      <c r="K1203" s="1">
        <v>0.0</v>
      </c>
      <c r="L1203" s="1">
        <v>4430000.0</v>
      </c>
      <c r="M1203" s="1" t="s">
        <v>5487</v>
      </c>
      <c r="N1203" s="18">
        <v>46031.0</v>
      </c>
      <c r="P1203" s="1" t="s">
        <v>3334</v>
      </c>
      <c r="Q1203" s="1" t="s">
        <v>3408</v>
      </c>
    </row>
    <row r="1204">
      <c r="A1204" s="1" t="s">
        <v>3990</v>
      </c>
      <c r="B1204" s="1">
        <v>45.0</v>
      </c>
      <c r="C1204" s="1">
        <v>40.0</v>
      </c>
      <c r="D1204" s="2" t="s">
        <v>1217</v>
      </c>
      <c r="E1204" s="1">
        <v>45.0</v>
      </c>
      <c r="F1204" s="1">
        <v>0.0</v>
      </c>
      <c r="G1204" s="1">
        <v>0.0</v>
      </c>
      <c r="H1204" s="1">
        <v>0.0</v>
      </c>
      <c r="I1204" s="1">
        <v>0.0</v>
      </c>
      <c r="J1204" s="1">
        <v>0.0</v>
      </c>
      <c r="K1204" s="1">
        <v>0.0</v>
      </c>
      <c r="L1204" s="1">
        <v>2.02E7</v>
      </c>
      <c r="M1204" s="1" t="s">
        <v>3991</v>
      </c>
      <c r="N1204" s="18">
        <v>46031.0</v>
      </c>
      <c r="O1204" s="1" t="s">
        <v>3992</v>
      </c>
      <c r="P1204" s="1" t="s">
        <v>3257</v>
      </c>
      <c r="Q1204" s="1" t="s">
        <v>3408</v>
      </c>
    </row>
    <row r="1205">
      <c r="A1205" s="1" t="s">
        <v>5488</v>
      </c>
      <c r="B1205" s="1">
        <v>45.0</v>
      </c>
      <c r="C1205" s="1">
        <v>40.0</v>
      </c>
      <c r="D1205" s="2" t="s">
        <v>973</v>
      </c>
      <c r="E1205" s="1">
        <v>45.0</v>
      </c>
      <c r="F1205" s="1">
        <v>34.0</v>
      </c>
      <c r="G1205" s="1">
        <v>1.95</v>
      </c>
      <c r="H1205" s="1">
        <v>0.0</v>
      </c>
      <c r="I1205" s="1">
        <v>0.0</v>
      </c>
      <c r="J1205" s="1">
        <v>0.0</v>
      </c>
      <c r="K1205" s="1">
        <v>0.12</v>
      </c>
      <c r="L1205" s="1">
        <v>5.89E7</v>
      </c>
      <c r="M1205" s="1" t="s">
        <v>5489</v>
      </c>
      <c r="N1205" s="18">
        <v>46031.0</v>
      </c>
      <c r="O1205" s="1" t="s">
        <v>3510</v>
      </c>
      <c r="P1205" s="1" t="s">
        <v>3230</v>
      </c>
      <c r="Q1205" s="1" t="s">
        <v>3408</v>
      </c>
    </row>
    <row r="1206">
      <c r="A1206" s="1" t="s">
        <v>5490</v>
      </c>
      <c r="B1206" s="1">
        <v>45.0</v>
      </c>
      <c r="C1206" s="1">
        <v>30.0</v>
      </c>
      <c r="D1206" s="2" t="s">
        <v>1307</v>
      </c>
      <c r="E1206" s="1">
        <v>45.0</v>
      </c>
      <c r="F1206" s="1">
        <v>5.0</v>
      </c>
      <c r="G1206" s="1">
        <v>5.62</v>
      </c>
      <c r="H1206" s="1">
        <v>0.0</v>
      </c>
      <c r="I1206" s="1">
        <v>0.0</v>
      </c>
      <c r="J1206" s="1">
        <v>0.0</v>
      </c>
      <c r="K1206" s="1">
        <v>0.92</v>
      </c>
      <c r="L1206" s="1">
        <v>36900.0</v>
      </c>
      <c r="M1206" s="1" t="s">
        <v>5491</v>
      </c>
      <c r="N1206" s="18">
        <v>46027.0</v>
      </c>
      <c r="O1206" s="1" t="s">
        <v>3435</v>
      </c>
      <c r="P1206" s="1" t="s">
        <v>3257</v>
      </c>
      <c r="Q1206" s="1" t="s">
        <v>3408</v>
      </c>
    </row>
    <row r="1207">
      <c r="A1207" s="1" t="s">
        <v>5492</v>
      </c>
      <c r="B1207" s="1">
        <v>45.0</v>
      </c>
      <c r="C1207" s="1">
        <v>70.0</v>
      </c>
      <c r="D1207" s="2" t="s">
        <v>911</v>
      </c>
      <c r="E1207" s="1">
        <v>45.0</v>
      </c>
      <c r="G1207" s="1">
        <v>1.5</v>
      </c>
      <c r="H1207" s="1">
        <v>0.0</v>
      </c>
      <c r="I1207" s="1">
        <v>0.0</v>
      </c>
      <c r="J1207" s="1">
        <v>0.0</v>
      </c>
      <c r="K1207" s="1">
        <v>0.29</v>
      </c>
      <c r="L1207" s="1">
        <v>8090000.0</v>
      </c>
      <c r="M1207" s="1" t="s">
        <v>5493</v>
      </c>
      <c r="N1207" s="18">
        <v>46026.0</v>
      </c>
      <c r="O1207" s="1" t="s">
        <v>3237</v>
      </c>
      <c r="P1207" s="1" t="s">
        <v>3257</v>
      </c>
      <c r="Q1207" s="1" t="s">
        <v>3408</v>
      </c>
    </row>
    <row r="1208">
      <c r="A1208" s="1" t="s">
        <v>5494</v>
      </c>
      <c r="B1208" s="1">
        <v>45.0</v>
      </c>
      <c r="C1208" s="1">
        <v>110.0</v>
      </c>
      <c r="D1208" s="2" t="s">
        <v>581</v>
      </c>
      <c r="E1208" s="1">
        <v>45.0</v>
      </c>
      <c r="F1208" s="1">
        <v>11.0</v>
      </c>
      <c r="G1208" s="1">
        <v>4.13</v>
      </c>
      <c r="H1208" s="1">
        <v>0.0</v>
      </c>
      <c r="I1208" s="1">
        <v>0.0</v>
      </c>
      <c r="J1208" s="1">
        <v>0.0</v>
      </c>
      <c r="K1208" s="1">
        <v>0.17</v>
      </c>
      <c r="L1208" s="1">
        <v>17800.0</v>
      </c>
      <c r="M1208" s="1" t="s">
        <v>5495</v>
      </c>
      <c r="N1208" s="18">
        <v>46024.0</v>
      </c>
      <c r="O1208" s="1" t="s">
        <v>4496</v>
      </c>
      <c r="P1208" s="1" t="s">
        <v>3230</v>
      </c>
      <c r="Q1208" s="1" t="s">
        <v>3408</v>
      </c>
    </row>
    <row r="1209">
      <c r="A1209" s="1" t="s">
        <v>5496</v>
      </c>
      <c r="B1209" s="1">
        <v>45.0</v>
      </c>
      <c r="C1209" s="1">
        <v>50.0</v>
      </c>
      <c r="D1209" s="2" t="s">
        <v>2247</v>
      </c>
      <c r="E1209" s="1">
        <v>45.0</v>
      </c>
      <c r="F1209" s="1">
        <v>25.0</v>
      </c>
      <c r="G1209" s="1">
        <v>0.0</v>
      </c>
      <c r="H1209" s="1">
        <v>0.0</v>
      </c>
      <c r="I1209" s="1">
        <v>0.0</v>
      </c>
      <c r="J1209" s="1">
        <v>0.0</v>
      </c>
      <c r="K1209" s="1">
        <v>0.33</v>
      </c>
      <c r="L1209" s="1">
        <v>893000.0</v>
      </c>
      <c r="M1209" s="1" t="s">
        <v>5497</v>
      </c>
      <c r="N1209" s="18">
        <v>46017.0</v>
      </c>
      <c r="O1209" s="1" t="s">
        <v>5498</v>
      </c>
      <c r="P1209" s="1" t="s">
        <v>3230</v>
      </c>
      <c r="Q1209" s="1" t="s">
        <v>3408</v>
      </c>
    </row>
    <row r="1210">
      <c r="A1210" s="1" t="s">
        <v>5499</v>
      </c>
      <c r="B1210" s="1">
        <v>45.0</v>
      </c>
      <c r="C1210" s="1">
        <v>90.0</v>
      </c>
      <c r="D1210" s="2" t="s">
        <v>439</v>
      </c>
      <c r="E1210" s="1">
        <v>45.0</v>
      </c>
      <c r="F1210" s="1">
        <v>35.0</v>
      </c>
      <c r="G1210" s="1">
        <v>6.52</v>
      </c>
      <c r="H1210" s="1">
        <v>0.0</v>
      </c>
      <c r="I1210" s="1">
        <v>0.0</v>
      </c>
      <c r="J1210" s="1">
        <v>0.0</v>
      </c>
      <c r="K1210" s="1">
        <v>0.09</v>
      </c>
      <c r="L1210" s="1">
        <v>1340.0</v>
      </c>
      <c r="M1210" s="1" t="s">
        <v>5500</v>
      </c>
      <c r="N1210" s="18">
        <v>46017.0</v>
      </c>
      <c r="O1210" s="1" t="s">
        <v>4965</v>
      </c>
      <c r="P1210" s="1" t="s">
        <v>3294</v>
      </c>
      <c r="Q1210" s="1" t="s">
        <v>3408</v>
      </c>
    </row>
    <row r="1211">
      <c r="A1211" s="1" t="s">
        <v>5501</v>
      </c>
      <c r="B1211" s="1">
        <v>45.0</v>
      </c>
      <c r="C1211" s="1">
        <v>110.0</v>
      </c>
      <c r="D1211" s="2" t="s">
        <v>762</v>
      </c>
      <c r="E1211" s="1">
        <v>45.0</v>
      </c>
      <c r="F1211" s="1">
        <v>7.0</v>
      </c>
      <c r="G1211" s="1">
        <v>20.64</v>
      </c>
      <c r="H1211" s="1">
        <v>0.0</v>
      </c>
      <c r="I1211" s="1">
        <v>0.0</v>
      </c>
      <c r="J1211" s="1">
        <v>0.0</v>
      </c>
      <c r="K1211" s="1">
        <v>0.38</v>
      </c>
      <c r="L1211" s="1">
        <v>7510000.0</v>
      </c>
      <c r="M1211" s="1" t="s">
        <v>5502</v>
      </c>
      <c r="N1211" s="18">
        <v>46016.0</v>
      </c>
      <c r="O1211" s="1" t="s">
        <v>3258</v>
      </c>
      <c r="P1211" s="1" t="s">
        <v>3257</v>
      </c>
      <c r="Q1211" s="1" t="s">
        <v>3408</v>
      </c>
    </row>
    <row r="1212">
      <c r="A1212" s="1" t="s">
        <v>5503</v>
      </c>
      <c r="B1212" s="1">
        <v>45.0</v>
      </c>
      <c r="C1212" s="1">
        <v>70.0</v>
      </c>
      <c r="D1212" s="2" t="s">
        <v>720</v>
      </c>
      <c r="E1212" s="1">
        <v>45.0</v>
      </c>
      <c r="F1212" s="1">
        <v>2.0</v>
      </c>
      <c r="G1212" s="1">
        <v>0.0</v>
      </c>
      <c r="H1212" s="1">
        <v>0.0</v>
      </c>
      <c r="I1212" s="1">
        <v>0.0</v>
      </c>
      <c r="J1212" s="1">
        <v>0.0</v>
      </c>
      <c r="K1212" s="1">
        <v>0.0</v>
      </c>
      <c r="L1212" s="1">
        <v>246000.0</v>
      </c>
      <c r="M1212" s="1" t="s">
        <v>5504</v>
      </c>
      <c r="N1212" s="18">
        <v>46016.0</v>
      </c>
      <c r="O1212" s="1" t="s">
        <v>4226</v>
      </c>
      <c r="P1212" s="1" t="s">
        <v>3334</v>
      </c>
      <c r="Q1212" s="1" t="s">
        <v>3408</v>
      </c>
    </row>
    <row r="1213">
      <c r="A1213" s="1" t="s">
        <v>5505</v>
      </c>
      <c r="B1213" s="1">
        <v>45.0</v>
      </c>
      <c r="C1213" s="1">
        <v>90.0</v>
      </c>
      <c r="D1213" s="2" t="s">
        <v>1307</v>
      </c>
      <c r="E1213" s="1">
        <v>45.0</v>
      </c>
      <c r="F1213" s="1">
        <v>3.0</v>
      </c>
      <c r="G1213" s="1">
        <v>0.0</v>
      </c>
      <c r="H1213" s="1">
        <v>0.0</v>
      </c>
      <c r="I1213" s="1">
        <v>0.0</v>
      </c>
      <c r="J1213" s="1">
        <v>0.0</v>
      </c>
      <c r="K1213" s="1">
        <v>0.0</v>
      </c>
      <c r="L1213" s="1">
        <v>370000.0</v>
      </c>
      <c r="M1213" s="1" t="s">
        <v>5506</v>
      </c>
      <c r="N1213" s="18">
        <v>46016.0</v>
      </c>
      <c r="O1213" s="1" t="s">
        <v>4839</v>
      </c>
      <c r="P1213" s="1" t="s">
        <v>3257</v>
      </c>
      <c r="Q1213" s="1" t="s">
        <v>3408</v>
      </c>
    </row>
    <row r="1214">
      <c r="A1214" s="1" t="s">
        <v>5507</v>
      </c>
      <c r="B1214" s="1">
        <v>45.0</v>
      </c>
      <c r="C1214" s="1">
        <v>40.0</v>
      </c>
      <c r="D1214" s="2" t="s">
        <v>1307</v>
      </c>
      <c r="E1214" s="1">
        <v>45.0</v>
      </c>
      <c r="F1214" s="1">
        <v>7.0</v>
      </c>
      <c r="G1214" s="1">
        <v>5.5</v>
      </c>
      <c r="H1214" s="1">
        <v>0.0</v>
      </c>
      <c r="I1214" s="1">
        <v>0.0</v>
      </c>
      <c r="J1214" s="1">
        <v>0.0</v>
      </c>
      <c r="K1214" s="1">
        <v>0.98</v>
      </c>
      <c r="L1214" s="1">
        <v>669000.0</v>
      </c>
      <c r="M1214" s="1" t="s">
        <v>5508</v>
      </c>
      <c r="N1214" s="18">
        <v>46015.0</v>
      </c>
      <c r="O1214" s="1" t="s">
        <v>5320</v>
      </c>
      <c r="P1214" s="1" t="s">
        <v>3257</v>
      </c>
      <c r="Q1214" s="1" t="s">
        <v>3408</v>
      </c>
    </row>
    <row r="1215">
      <c r="A1215" s="1" t="s">
        <v>5509</v>
      </c>
      <c r="B1215" s="1">
        <v>45.0</v>
      </c>
      <c r="C1215" s="1">
        <v>50.0</v>
      </c>
      <c r="D1215" s="2" t="s">
        <v>696</v>
      </c>
      <c r="E1215" s="1">
        <v>45.0</v>
      </c>
      <c r="F1215" s="1">
        <v>2.0</v>
      </c>
      <c r="G1215" s="1">
        <v>0.0</v>
      </c>
      <c r="H1215" s="1">
        <v>0.0</v>
      </c>
      <c r="I1215" s="1">
        <v>0.0</v>
      </c>
      <c r="J1215" s="1">
        <v>0.0</v>
      </c>
      <c r="K1215" s="1">
        <v>0.04</v>
      </c>
      <c r="L1215" s="1">
        <v>98400.0</v>
      </c>
      <c r="M1215" s="1" t="s">
        <v>5510</v>
      </c>
      <c r="N1215" s="18">
        <v>46015.0</v>
      </c>
      <c r="O1215" s="1" t="s">
        <v>4134</v>
      </c>
      <c r="P1215" s="1" t="s">
        <v>3334</v>
      </c>
      <c r="Q1215" s="1" t="s">
        <v>3408</v>
      </c>
    </row>
    <row r="1216">
      <c r="A1216" s="1" t="s">
        <v>5511</v>
      </c>
      <c r="B1216" s="1">
        <v>45.0</v>
      </c>
      <c r="C1216" s="1">
        <v>50.0</v>
      </c>
      <c r="D1216" s="2" t="s">
        <v>2416</v>
      </c>
      <c r="E1216" s="1">
        <v>45.0</v>
      </c>
      <c r="F1216" s="1">
        <v>47.0</v>
      </c>
      <c r="G1216" s="1">
        <v>0.0</v>
      </c>
      <c r="H1216" s="1">
        <v>0.0</v>
      </c>
      <c r="I1216" s="1">
        <v>0.0</v>
      </c>
      <c r="J1216" s="1">
        <v>0.0</v>
      </c>
      <c r="K1216" s="1">
        <v>0.0</v>
      </c>
      <c r="L1216" s="1">
        <v>1950000.0</v>
      </c>
      <c r="M1216" s="1" t="s">
        <v>5512</v>
      </c>
      <c r="N1216" s="18">
        <v>46014.0</v>
      </c>
      <c r="O1216" s="1" t="s">
        <v>4278</v>
      </c>
      <c r="P1216" s="1" t="s">
        <v>3334</v>
      </c>
      <c r="Q1216" s="1" t="s">
        <v>3408</v>
      </c>
    </row>
    <row r="1217">
      <c r="A1217" s="1" t="s">
        <v>5513</v>
      </c>
      <c r="B1217" s="1">
        <v>45.0</v>
      </c>
      <c r="C1217" s="1">
        <v>110.0</v>
      </c>
      <c r="D1217" s="2" t="s">
        <v>1295</v>
      </c>
      <c r="E1217" s="1">
        <v>45.0</v>
      </c>
      <c r="F1217" s="1">
        <v>0.0</v>
      </c>
      <c r="G1217" s="1">
        <v>0.0</v>
      </c>
      <c r="H1217" s="1">
        <v>0.0</v>
      </c>
      <c r="I1217" s="1">
        <v>0.0</v>
      </c>
      <c r="J1217" s="1">
        <v>0.0</v>
      </c>
      <c r="K1217" s="1">
        <v>0.0</v>
      </c>
      <c r="L1217" s="1">
        <v>4.99E7</v>
      </c>
      <c r="M1217" s="1" t="s">
        <v>5514</v>
      </c>
      <c r="N1217" s="18">
        <v>46011.0</v>
      </c>
      <c r="O1217" s="1" t="s">
        <v>3840</v>
      </c>
      <c r="P1217" s="1" t="s">
        <v>3230</v>
      </c>
      <c r="Q1217" s="1" t="s">
        <v>3408</v>
      </c>
    </row>
    <row r="1218">
      <c r="A1218" s="1" t="s">
        <v>5515</v>
      </c>
      <c r="B1218" s="1">
        <v>45.0</v>
      </c>
      <c r="C1218" s="1">
        <v>140.0</v>
      </c>
      <c r="D1218" s="2" t="s">
        <v>1515</v>
      </c>
      <c r="E1218" s="1">
        <v>45.0</v>
      </c>
      <c r="F1218" s="1">
        <v>43.0</v>
      </c>
      <c r="G1218" s="1">
        <v>0.0</v>
      </c>
      <c r="H1218" s="1">
        <v>0.0</v>
      </c>
      <c r="I1218" s="1">
        <v>0.0</v>
      </c>
      <c r="J1218" s="1">
        <v>0.0</v>
      </c>
      <c r="K1218" s="1">
        <v>0.0</v>
      </c>
      <c r="L1218" s="1">
        <v>6.49E7</v>
      </c>
      <c r="M1218" s="1" t="s">
        <v>5516</v>
      </c>
      <c r="N1218" s="18">
        <v>46006.0</v>
      </c>
      <c r="O1218" s="1" t="s">
        <v>5364</v>
      </c>
      <c r="P1218" s="1" t="s">
        <v>3257</v>
      </c>
      <c r="Q1218" s="1" t="s">
        <v>3408</v>
      </c>
    </row>
    <row r="1219">
      <c r="A1219" s="1" t="s">
        <v>5517</v>
      </c>
      <c r="B1219" s="1">
        <v>45.0</v>
      </c>
      <c r="C1219" s="1">
        <v>70.0</v>
      </c>
      <c r="D1219" s="2" t="s">
        <v>716</v>
      </c>
      <c r="E1219" s="1">
        <v>45.0</v>
      </c>
      <c r="F1219" s="1">
        <v>7.0</v>
      </c>
      <c r="G1219" s="1">
        <v>0.0</v>
      </c>
      <c r="H1219" s="1">
        <v>0.0</v>
      </c>
      <c r="I1219" s="1">
        <v>0.0</v>
      </c>
      <c r="J1219" s="1">
        <v>0.0</v>
      </c>
      <c r="K1219" s="1">
        <v>0.0</v>
      </c>
      <c r="L1219" s="1">
        <v>741000.0</v>
      </c>
      <c r="M1219" s="1" t="s">
        <v>5518</v>
      </c>
      <c r="N1219" s="18">
        <v>46004.0</v>
      </c>
      <c r="O1219" s="1" t="s">
        <v>4134</v>
      </c>
      <c r="P1219" s="1" t="s">
        <v>3230</v>
      </c>
      <c r="Q1219" s="1" t="s">
        <v>3408</v>
      </c>
    </row>
    <row r="1220">
      <c r="A1220" s="1" t="s">
        <v>4741</v>
      </c>
      <c r="B1220" s="1">
        <v>45.0</v>
      </c>
      <c r="C1220" s="1">
        <v>70.0</v>
      </c>
      <c r="D1220" s="2" t="s">
        <v>2988</v>
      </c>
      <c r="E1220" s="1">
        <v>45.0</v>
      </c>
      <c r="F1220" s="1">
        <v>11.0</v>
      </c>
      <c r="G1220" s="1">
        <v>17.84</v>
      </c>
      <c r="H1220" s="1">
        <v>0.0</v>
      </c>
      <c r="I1220" s="1">
        <v>0.0</v>
      </c>
      <c r="J1220" s="1">
        <v>0.0</v>
      </c>
      <c r="K1220" s="1">
        <v>0.12</v>
      </c>
      <c r="L1220" s="1">
        <v>2730000.0</v>
      </c>
      <c r="M1220" s="1" t="s">
        <v>4742</v>
      </c>
      <c r="N1220" s="18">
        <v>46003.0</v>
      </c>
      <c r="O1220" s="1" t="s">
        <v>3432</v>
      </c>
      <c r="P1220" s="1" t="s">
        <v>3257</v>
      </c>
      <c r="Q1220" s="1" t="s">
        <v>3408</v>
      </c>
    </row>
    <row r="1221">
      <c r="A1221" s="1" t="s">
        <v>5207</v>
      </c>
      <c r="B1221" s="1">
        <v>45.0</v>
      </c>
      <c r="C1221" s="1">
        <v>90.0</v>
      </c>
      <c r="D1221" s="2" t="s">
        <v>716</v>
      </c>
      <c r="E1221" s="1">
        <v>45.0</v>
      </c>
      <c r="F1221" s="1">
        <v>11.0</v>
      </c>
      <c r="G1221" s="1">
        <v>0.0</v>
      </c>
      <c r="H1221" s="1">
        <v>0.0</v>
      </c>
      <c r="I1221" s="1">
        <v>0.0</v>
      </c>
      <c r="J1221" s="1">
        <v>0.0</v>
      </c>
      <c r="K1221" s="1">
        <v>0.0</v>
      </c>
      <c r="L1221" s="1">
        <v>735000.0</v>
      </c>
      <c r="M1221" s="1" t="s">
        <v>5208</v>
      </c>
      <c r="N1221" s="18">
        <v>46002.0</v>
      </c>
      <c r="O1221" s="1" t="s">
        <v>5209</v>
      </c>
      <c r="P1221" s="1" t="s">
        <v>3257</v>
      </c>
      <c r="Q1221" s="1" t="s">
        <v>3408</v>
      </c>
    </row>
    <row r="1222">
      <c r="A1222" s="1" t="s">
        <v>5519</v>
      </c>
      <c r="B1222" s="1">
        <v>45.0</v>
      </c>
      <c r="C1222" s="1">
        <v>140.0</v>
      </c>
      <c r="D1222" s="2" t="s">
        <v>2941</v>
      </c>
      <c r="E1222" s="1">
        <v>45.0</v>
      </c>
      <c r="F1222" s="1">
        <v>7.0</v>
      </c>
      <c r="G1222" s="1">
        <v>1.71</v>
      </c>
      <c r="H1222" s="1">
        <v>0.0</v>
      </c>
      <c r="I1222" s="1">
        <v>0.0</v>
      </c>
      <c r="J1222" s="1">
        <v>0.0</v>
      </c>
      <c r="K1222" s="1">
        <v>0.19</v>
      </c>
      <c r="L1222" s="1">
        <v>10.0</v>
      </c>
      <c r="M1222" s="1" t="s">
        <v>5520</v>
      </c>
      <c r="N1222" s="18">
        <v>45981.0</v>
      </c>
      <c r="O1222" s="1" t="s">
        <v>5521</v>
      </c>
      <c r="P1222" s="1" t="s">
        <v>3230</v>
      </c>
      <c r="Q1222" s="1" t="s">
        <v>3408</v>
      </c>
    </row>
    <row r="1223">
      <c r="A1223" s="1" t="s">
        <v>5522</v>
      </c>
      <c r="B1223" s="1">
        <v>45.0</v>
      </c>
      <c r="C1223" s="1">
        <v>50.0</v>
      </c>
      <c r="D1223" s="2" t="s">
        <v>439</v>
      </c>
      <c r="E1223" s="1">
        <v>45.0</v>
      </c>
      <c r="F1223" s="1">
        <v>16.0</v>
      </c>
      <c r="G1223" s="1">
        <v>0.0</v>
      </c>
      <c r="H1223" s="1">
        <v>0.0</v>
      </c>
      <c r="I1223" s="1">
        <v>0.0</v>
      </c>
      <c r="J1223" s="1">
        <v>0.0</v>
      </c>
      <c r="K1223" s="1">
        <v>0.0</v>
      </c>
      <c r="L1223" s="1">
        <v>8.0</v>
      </c>
      <c r="M1223" s="1" t="s">
        <v>5523</v>
      </c>
      <c r="N1223" s="18">
        <v>45978.0</v>
      </c>
      <c r="O1223" s="1" t="s">
        <v>5524</v>
      </c>
      <c r="P1223" s="1" t="s">
        <v>3462</v>
      </c>
      <c r="Q1223" s="1" t="s">
        <v>3408</v>
      </c>
    </row>
    <row r="1224">
      <c r="A1224" s="1" t="s">
        <v>5525</v>
      </c>
      <c r="B1224" s="1">
        <v>45.0</v>
      </c>
      <c r="C1224" s="1">
        <v>50.0</v>
      </c>
      <c r="D1224" s="2" t="s">
        <v>2302</v>
      </c>
      <c r="E1224" s="1">
        <v>45.0</v>
      </c>
      <c r="F1224" s="1">
        <v>0.0</v>
      </c>
      <c r="G1224" s="1">
        <v>7.08</v>
      </c>
      <c r="H1224" s="1">
        <v>0.0</v>
      </c>
      <c r="I1224" s="1">
        <v>0.0</v>
      </c>
      <c r="J1224" s="1">
        <v>0.0</v>
      </c>
      <c r="K1224" s="1">
        <v>0.08</v>
      </c>
      <c r="L1224" s="1">
        <v>10.0</v>
      </c>
      <c r="M1224" s="1" t="s">
        <v>5526</v>
      </c>
      <c r="N1224" s="18">
        <v>45968.0</v>
      </c>
      <c r="O1224" s="1" t="s">
        <v>5527</v>
      </c>
      <c r="P1224" s="1" t="s">
        <v>3230</v>
      </c>
      <c r="Q1224" s="1" t="s">
        <v>3408</v>
      </c>
    </row>
    <row r="1225">
      <c r="A1225" s="1" t="s">
        <v>5528</v>
      </c>
      <c r="B1225" s="1">
        <v>46.0</v>
      </c>
      <c r="C1225" s="1">
        <v>40.0</v>
      </c>
      <c r="D1225" s="2" t="s">
        <v>1307</v>
      </c>
      <c r="E1225" s="1">
        <v>46.0</v>
      </c>
      <c r="F1225" s="1">
        <v>10.0</v>
      </c>
      <c r="G1225" s="1">
        <v>0.0</v>
      </c>
      <c r="H1225" s="1">
        <v>0.0</v>
      </c>
      <c r="I1225" s="1">
        <v>0.0</v>
      </c>
      <c r="J1225" s="1">
        <v>0.0</v>
      </c>
      <c r="K1225" s="1">
        <v>1.0</v>
      </c>
      <c r="L1225" s="1">
        <v>64600.0</v>
      </c>
      <c r="M1225" s="1" t="s">
        <v>5529</v>
      </c>
      <c r="N1225" s="18">
        <v>46027.0</v>
      </c>
      <c r="O1225" s="1" t="s">
        <v>3720</v>
      </c>
      <c r="P1225" s="1" t="s">
        <v>3257</v>
      </c>
      <c r="Q1225" s="1" t="s">
        <v>3408</v>
      </c>
    </row>
    <row r="1226">
      <c r="A1226" s="1" t="s">
        <v>5530</v>
      </c>
      <c r="B1226" s="1">
        <v>46.0</v>
      </c>
      <c r="C1226" s="1">
        <v>50.0</v>
      </c>
      <c r="D1226" s="2" t="s">
        <v>2930</v>
      </c>
      <c r="E1226" s="1">
        <v>46.0</v>
      </c>
      <c r="F1226" s="1">
        <v>28.0</v>
      </c>
      <c r="G1226" s="1">
        <v>0.0</v>
      </c>
      <c r="H1226" s="1">
        <v>0.0</v>
      </c>
      <c r="I1226" s="1">
        <v>0.0</v>
      </c>
      <c r="J1226" s="1">
        <v>0.0</v>
      </c>
      <c r="K1226" s="1">
        <v>0.33</v>
      </c>
      <c r="L1226" s="1">
        <v>6700000.0</v>
      </c>
      <c r="M1226" s="1" t="s">
        <v>5531</v>
      </c>
      <c r="N1226" s="18">
        <v>46026.0</v>
      </c>
      <c r="O1226" s="1" t="s">
        <v>3895</v>
      </c>
      <c r="P1226" s="1" t="s">
        <v>3230</v>
      </c>
      <c r="Q1226" s="1" t="s">
        <v>3408</v>
      </c>
    </row>
    <row r="1227">
      <c r="A1227" s="1" t="s">
        <v>4218</v>
      </c>
      <c r="B1227" s="1">
        <v>46.0</v>
      </c>
      <c r="C1227" s="1">
        <v>70.0</v>
      </c>
      <c r="D1227" s="2" t="s">
        <v>1288</v>
      </c>
      <c r="E1227" s="1">
        <v>46.0</v>
      </c>
      <c r="F1227" s="1">
        <v>0.0</v>
      </c>
      <c r="G1227" s="1">
        <v>2.78</v>
      </c>
      <c r="H1227" s="1">
        <v>0.0</v>
      </c>
      <c r="I1227" s="1">
        <v>0.0</v>
      </c>
      <c r="J1227" s="1">
        <v>0.0</v>
      </c>
      <c r="K1227" s="1">
        <v>0.5</v>
      </c>
      <c r="L1227" s="1">
        <v>549000.0</v>
      </c>
      <c r="M1227" s="1" t="s">
        <v>4219</v>
      </c>
      <c r="N1227" s="18">
        <v>46025.0</v>
      </c>
      <c r="O1227" s="1" t="s">
        <v>4084</v>
      </c>
      <c r="P1227" s="1" t="s">
        <v>3257</v>
      </c>
      <c r="Q1227" s="1" t="s">
        <v>3408</v>
      </c>
    </row>
    <row r="1228">
      <c r="A1228" s="1" t="s">
        <v>5532</v>
      </c>
      <c r="B1228" s="1">
        <v>46.0</v>
      </c>
      <c r="C1228" s="1">
        <v>90.0</v>
      </c>
      <c r="D1228" s="2" t="s">
        <v>782</v>
      </c>
      <c r="E1228" s="1">
        <v>46.0</v>
      </c>
      <c r="F1228" s="1">
        <v>9.0</v>
      </c>
      <c r="G1228" s="1">
        <v>0.0</v>
      </c>
      <c r="H1228" s="1">
        <v>0.0</v>
      </c>
      <c r="I1228" s="1">
        <v>0.0</v>
      </c>
      <c r="J1228" s="1">
        <v>0.0</v>
      </c>
      <c r="K1228" s="1">
        <v>0.03</v>
      </c>
      <c r="L1228" s="1">
        <v>3460000.0</v>
      </c>
      <c r="M1228" s="1" t="s">
        <v>5533</v>
      </c>
      <c r="N1228" s="18">
        <v>46022.0</v>
      </c>
      <c r="O1228" s="1" t="s">
        <v>3415</v>
      </c>
      <c r="P1228" s="1" t="s">
        <v>3257</v>
      </c>
      <c r="Q1228" s="1" t="s">
        <v>3408</v>
      </c>
    </row>
    <row r="1229">
      <c r="A1229" s="1" t="s">
        <v>5534</v>
      </c>
      <c r="B1229" s="1">
        <v>46.0</v>
      </c>
      <c r="C1229" s="1">
        <v>40.0</v>
      </c>
      <c r="D1229" s="2" t="s">
        <v>439</v>
      </c>
      <c r="E1229" s="1">
        <v>46.0</v>
      </c>
      <c r="F1229" s="1">
        <v>21.0</v>
      </c>
      <c r="G1229" s="1">
        <v>0.0</v>
      </c>
      <c r="H1229" s="1">
        <v>0.0</v>
      </c>
      <c r="I1229" s="1">
        <v>0.0</v>
      </c>
      <c r="J1229" s="1">
        <v>0.0</v>
      </c>
      <c r="K1229" s="1">
        <v>0.03</v>
      </c>
      <c r="L1229" s="1">
        <v>1270000.0</v>
      </c>
      <c r="M1229" s="1" t="s">
        <v>5535</v>
      </c>
      <c r="N1229" s="18">
        <v>46022.0</v>
      </c>
      <c r="O1229" s="1" t="s">
        <v>4926</v>
      </c>
      <c r="P1229" s="1" t="s">
        <v>3294</v>
      </c>
      <c r="Q1229" s="1" t="s">
        <v>3408</v>
      </c>
    </row>
    <row r="1230">
      <c r="A1230" s="1" t="s">
        <v>5536</v>
      </c>
      <c r="B1230" s="1">
        <v>46.0</v>
      </c>
      <c r="C1230" s="1">
        <v>70.0</v>
      </c>
      <c r="D1230" s="2" t="s">
        <v>439</v>
      </c>
      <c r="E1230" s="1">
        <v>46.0</v>
      </c>
      <c r="F1230" s="1">
        <v>20.0</v>
      </c>
      <c r="G1230" s="1">
        <v>4.93</v>
      </c>
      <c r="H1230" s="1">
        <v>0.0</v>
      </c>
      <c r="I1230" s="1">
        <v>0.0</v>
      </c>
      <c r="J1230" s="1">
        <v>0.0</v>
      </c>
      <c r="K1230" s="1">
        <v>0.03</v>
      </c>
      <c r="L1230" s="1">
        <v>1640000.0</v>
      </c>
      <c r="M1230" s="1" t="s">
        <v>5537</v>
      </c>
      <c r="N1230" s="18">
        <v>46017.0</v>
      </c>
      <c r="O1230" s="1" t="s">
        <v>5538</v>
      </c>
      <c r="P1230" s="1" t="s">
        <v>3294</v>
      </c>
      <c r="Q1230" s="1" t="s">
        <v>3408</v>
      </c>
    </row>
    <row r="1231">
      <c r="A1231" s="1" t="s">
        <v>5539</v>
      </c>
      <c r="B1231" s="1">
        <v>46.0</v>
      </c>
      <c r="C1231" s="1">
        <v>70.0</v>
      </c>
      <c r="D1231" s="2" t="s">
        <v>2966</v>
      </c>
      <c r="E1231" s="1">
        <v>46.0</v>
      </c>
      <c r="F1231" s="1">
        <v>13.0</v>
      </c>
      <c r="G1231" s="1">
        <v>56.67</v>
      </c>
      <c r="H1231" s="1">
        <v>0.0</v>
      </c>
      <c r="I1231" s="1">
        <v>0.0</v>
      </c>
      <c r="J1231" s="1">
        <v>0.0</v>
      </c>
      <c r="K1231" s="1">
        <v>0.85</v>
      </c>
      <c r="L1231" s="1">
        <v>42700.0</v>
      </c>
      <c r="M1231" s="1" t="s">
        <v>5540</v>
      </c>
      <c r="N1231" s="18">
        <v>46017.0</v>
      </c>
      <c r="O1231" s="1" t="s">
        <v>3435</v>
      </c>
      <c r="P1231" s="1" t="s">
        <v>3257</v>
      </c>
      <c r="Q1231" s="1" t="s">
        <v>3408</v>
      </c>
    </row>
    <row r="1232">
      <c r="A1232" s="1" t="s">
        <v>4473</v>
      </c>
      <c r="B1232" s="1">
        <v>46.0</v>
      </c>
      <c r="C1232" s="1">
        <v>70.0</v>
      </c>
      <c r="D1232" s="2" t="s">
        <v>5541</v>
      </c>
      <c r="E1232" s="1">
        <v>46.0</v>
      </c>
      <c r="F1232" s="1">
        <v>8.0</v>
      </c>
      <c r="G1232" s="1">
        <v>63.18</v>
      </c>
      <c r="H1232" s="1">
        <v>0.0</v>
      </c>
      <c r="I1232" s="1">
        <v>0.0</v>
      </c>
      <c r="J1232" s="1">
        <v>0.0</v>
      </c>
      <c r="K1232" s="1">
        <v>0.15</v>
      </c>
      <c r="L1232" s="1">
        <v>23200.0</v>
      </c>
      <c r="M1232" s="1" t="s">
        <v>4474</v>
      </c>
      <c r="N1232" s="18">
        <v>46017.0</v>
      </c>
      <c r="O1232" s="1" t="s">
        <v>4372</v>
      </c>
      <c r="P1232" s="1" t="s">
        <v>3257</v>
      </c>
      <c r="Q1232" s="1" t="s">
        <v>3408</v>
      </c>
    </row>
    <row r="1233">
      <c r="A1233" s="1" t="s">
        <v>5542</v>
      </c>
      <c r="B1233" s="1">
        <v>46.0</v>
      </c>
      <c r="C1233" s="1">
        <v>90.0</v>
      </c>
      <c r="D1233" s="2" t="s">
        <v>581</v>
      </c>
      <c r="E1233" s="1">
        <v>46.0</v>
      </c>
      <c r="F1233" s="1">
        <v>39.0</v>
      </c>
      <c r="G1233" s="1">
        <v>15.32</v>
      </c>
      <c r="H1233" s="1">
        <v>0.0</v>
      </c>
      <c r="I1233" s="1">
        <v>0.0</v>
      </c>
      <c r="J1233" s="1">
        <v>0.0</v>
      </c>
      <c r="K1233" s="1">
        <v>0.21</v>
      </c>
      <c r="L1233" s="1">
        <v>79900.0</v>
      </c>
      <c r="M1233" s="1" t="s">
        <v>5543</v>
      </c>
      <c r="N1233" s="18">
        <v>46016.0</v>
      </c>
      <c r="O1233" s="1" t="s">
        <v>3435</v>
      </c>
      <c r="P1233" s="1" t="s">
        <v>3257</v>
      </c>
      <c r="Q1233" s="1" t="s">
        <v>3408</v>
      </c>
    </row>
    <row r="1234">
      <c r="A1234" s="1" t="s">
        <v>3451</v>
      </c>
      <c r="B1234" s="1">
        <v>46.0</v>
      </c>
      <c r="C1234" s="1">
        <v>90.0</v>
      </c>
      <c r="D1234" s="2" t="s">
        <v>447</v>
      </c>
      <c r="E1234" s="1">
        <v>46.0</v>
      </c>
      <c r="F1234" s="1">
        <v>14.0</v>
      </c>
      <c r="G1234" s="1">
        <v>13.98</v>
      </c>
      <c r="H1234" s="1">
        <v>0.0</v>
      </c>
      <c r="I1234" s="1">
        <v>0.0</v>
      </c>
      <c r="J1234" s="1">
        <v>0.0</v>
      </c>
      <c r="K1234" s="1">
        <v>0.45</v>
      </c>
      <c r="L1234" s="1">
        <v>19100.0</v>
      </c>
      <c r="M1234" s="1" t="s">
        <v>3452</v>
      </c>
      <c r="N1234" s="18">
        <v>46015.0</v>
      </c>
      <c r="O1234" s="1" t="s">
        <v>3288</v>
      </c>
      <c r="P1234" s="1" t="s">
        <v>3257</v>
      </c>
      <c r="Q1234" s="1" t="s">
        <v>3408</v>
      </c>
    </row>
    <row r="1235">
      <c r="A1235" s="1" t="s">
        <v>5544</v>
      </c>
      <c r="B1235" s="1">
        <v>46.0</v>
      </c>
      <c r="C1235" s="1">
        <v>90.0</v>
      </c>
      <c r="D1235" s="2" t="s">
        <v>2930</v>
      </c>
      <c r="E1235" s="1">
        <v>46.0</v>
      </c>
      <c r="F1235" s="1">
        <v>15.0</v>
      </c>
      <c r="G1235" s="1">
        <v>0.0</v>
      </c>
      <c r="H1235" s="1">
        <v>0.0</v>
      </c>
      <c r="I1235" s="1">
        <v>0.0</v>
      </c>
      <c r="J1235" s="1">
        <v>0.0</v>
      </c>
      <c r="K1235" s="1">
        <v>0.0</v>
      </c>
      <c r="L1235" s="1">
        <v>6810000.0</v>
      </c>
      <c r="M1235" s="1" t="s">
        <v>5545</v>
      </c>
      <c r="N1235" s="18">
        <v>46015.0</v>
      </c>
      <c r="O1235" s="1" t="s">
        <v>3479</v>
      </c>
      <c r="P1235" s="1" t="s">
        <v>3230</v>
      </c>
      <c r="Q1235" s="1" t="s">
        <v>3408</v>
      </c>
    </row>
    <row r="1236">
      <c r="A1236" s="1" t="s">
        <v>5546</v>
      </c>
      <c r="B1236" s="1">
        <v>46.0</v>
      </c>
      <c r="C1236" s="1">
        <v>50.0</v>
      </c>
      <c r="D1236" s="2" t="s">
        <v>451</v>
      </c>
      <c r="E1236" s="1">
        <v>46.0</v>
      </c>
      <c r="F1236" s="1">
        <v>0.0</v>
      </c>
      <c r="G1236" s="1">
        <v>0.0</v>
      </c>
      <c r="H1236" s="1">
        <v>0.0</v>
      </c>
      <c r="I1236" s="1">
        <v>0.0</v>
      </c>
      <c r="J1236" s="1">
        <v>0.0</v>
      </c>
      <c r="K1236" s="1">
        <v>0.01</v>
      </c>
      <c r="L1236" s="1">
        <v>3.01E7</v>
      </c>
      <c r="M1236" s="1" t="s">
        <v>5547</v>
      </c>
      <c r="N1236" s="18">
        <v>46015.0</v>
      </c>
      <c r="O1236" s="1" t="s">
        <v>4798</v>
      </c>
      <c r="P1236" s="1" t="s">
        <v>3334</v>
      </c>
      <c r="Q1236" s="1" t="s">
        <v>3408</v>
      </c>
    </row>
    <row r="1237">
      <c r="A1237" s="1" t="s">
        <v>5548</v>
      </c>
      <c r="B1237" s="1">
        <v>46.0</v>
      </c>
      <c r="C1237" s="1">
        <v>110.0</v>
      </c>
      <c r="D1237" s="2" t="s">
        <v>439</v>
      </c>
      <c r="E1237" s="1">
        <v>46.0</v>
      </c>
      <c r="F1237" s="1">
        <v>31.0</v>
      </c>
      <c r="G1237" s="1">
        <v>2.21</v>
      </c>
      <c r="H1237" s="1">
        <v>0.0</v>
      </c>
      <c r="I1237" s="1">
        <v>0.0</v>
      </c>
      <c r="J1237" s="1">
        <v>0.0</v>
      </c>
      <c r="K1237" s="1">
        <v>0.13</v>
      </c>
      <c r="L1237" s="1">
        <v>4700.0</v>
      </c>
      <c r="M1237" s="1" t="s">
        <v>5549</v>
      </c>
      <c r="N1237" s="18">
        <v>46014.0</v>
      </c>
      <c r="O1237" s="1" t="s">
        <v>3821</v>
      </c>
      <c r="P1237" s="1" t="s">
        <v>3294</v>
      </c>
      <c r="Q1237" s="1" t="s">
        <v>3408</v>
      </c>
    </row>
    <row r="1238">
      <c r="A1238" s="1" t="s">
        <v>5550</v>
      </c>
      <c r="B1238" s="1">
        <v>46.0</v>
      </c>
      <c r="C1238" s="1">
        <v>30.0</v>
      </c>
      <c r="D1238" s="2" t="s">
        <v>1099</v>
      </c>
      <c r="E1238" s="1">
        <v>46.0</v>
      </c>
      <c r="F1238" s="1">
        <v>25.0</v>
      </c>
      <c r="G1238" s="1">
        <v>3.19</v>
      </c>
      <c r="H1238" s="1">
        <v>0.0</v>
      </c>
      <c r="I1238" s="1">
        <v>0.0</v>
      </c>
      <c r="J1238" s="1">
        <v>0.0</v>
      </c>
      <c r="K1238" s="1">
        <v>0.26</v>
      </c>
      <c r="L1238" s="1">
        <v>1200000.0</v>
      </c>
      <c r="M1238" s="1" t="s">
        <v>5551</v>
      </c>
      <c r="N1238" s="18">
        <v>46014.0</v>
      </c>
      <c r="O1238" s="1" t="s">
        <v>3314</v>
      </c>
      <c r="P1238" s="1" t="s">
        <v>3301</v>
      </c>
      <c r="Q1238" s="1" t="s">
        <v>3408</v>
      </c>
    </row>
    <row r="1239">
      <c r="A1239" s="1" t="s">
        <v>5552</v>
      </c>
      <c r="B1239" s="1">
        <v>46.0</v>
      </c>
      <c r="C1239" s="1">
        <v>880.0</v>
      </c>
      <c r="D1239" s="2" t="s">
        <v>774</v>
      </c>
      <c r="E1239" s="1">
        <v>46.0</v>
      </c>
      <c r="F1239" s="1">
        <v>14.0</v>
      </c>
      <c r="G1239" s="1">
        <v>5.96</v>
      </c>
      <c r="H1239" s="1">
        <v>0.0</v>
      </c>
      <c r="I1239" s="1">
        <v>0.0</v>
      </c>
      <c r="J1239" s="1">
        <v>0.0</v>
      </c>
      <c r="K1239" s="1">
        <v>0.05</v>
      </c>
      <c r="L1239" s="1">
        <v>1460000.0</v>
      </c>
      <c r="M1239" s="1" t="s">
        <v>5553</v>
      </c>
      <c r="N1239" s="18">
        <v>46014.0</v>
      </c>
      <c r="O1239" s="1" t="s">
        <v>3493</v>
      </c>
      <c r="P1239" s="1" t="s">
        <v>3230</v>
      </c>
      <c r="Q1239" s="1" t="s">
        <v>3408</v>
      </c>
    </row>
    <row r="1240">
      <c r="A1240" s="1" t="s">
        <v>5554</v>
      </c>
      <c r="B1240" s="1">
        <v>46.0</v>
      </c>
      <c r="C1240" s="1">
        <v>90.0</v>
      </c>
      <c r="D1240" s="2" t="s">
        <v>1888</v>
      </c>
      <c r="E1240" s="1">
        <v>46.0</v>
      </c>
      <c r="F1240" s="1">
        <v>0.0</v>
      </c>
      <c r="G1240" s="1">
        <v>4.27</v>
      </c>
      <c r="H1240" s="1">
        <v>0.0</v>
      </c>
      <c r="I1240" s="1">
        <v>0.0</v>
      </c>
      <c r="J1240" s="1">
        <v>0.0</v>
      </c>
      <c r="K1240" s="1">
        <v>0.42</v>
      </c>
      <c r="L1240" s="1">
        <v>7.03E7</v>
      </c>
      <c r="M1240" s="1" t="s">
        <v>5555</v>
      </c>
      <c r="N1240" s="18">
        <v>46011.0</v>
      </c>
      <c r="O1240" s="1" t="s">
        <v>3496</v>
      </c>
      <c r="P1240" s="1" t="s">
        <v>3230</v>
      </c>
      <c r="Q1240" s="1" t="s">
        <v>3408</v>
      </c>
    </row>
    <row r="1241">
      <c r="A1241" s="1" t="s">
        <v>5556</v>
      </c>
      <c r="B1241" s="1">
        <v>46.0</v>
      </c>
      <c r="C1241" s="1">
        <v>140.0</v>
      </c>
      <c r="D1241" s="2" t="s">
        <v>2950</v>
      </c>
      <c r="E1241" s="1">
        <v>46.0</v>
      </c>
      <c r="F1241" s="1">
        <v>51.0</v>
      </c>
      <c r="G1241" s="1">
        <v>10.11</v>
      </c>
      <c r="H1241" s="1">
        <v>0.0</v>
      </c>
      <c r="I1241" s="1">
        <v>0.0</v>
      </c>
      <c r="J1241" s="1">
        <v>0.0</v>
      </c>
      <c r="K1241" s="1">
        <v>0.58</v>
      </c>
      <c r="L1241" s="1">
        <v>150000.0</v>
      </c>
      <c r="M1241" s="1" t="s">
        <v>5557</v>
      </c>
      <c r="N1241" s="18">
        <v>46010.0</v>
      </c>
      <c r="O1241" s="1" t="s">
        <v>3435</v>
      </c>
      <c r="P1241" s="1" t="s">
        <v>3257</v>
      </c>
      <c r="Q1241" s="1" t="s">
        <v>3408</v>
      </c>
    </row>
    <row r="1242">
      <c r="A1242" s="1" t="s">
        <v>3939</v>
      </c>
      <c r="B1242" s="1">
        <v>46.0</v>
      </c>
      <c r="C1242" s="1">
        <v>40.0</v>
      </c>
      <c r="D1242" s="2" t="s">
        <v>581</v>
      </c>
      <c r="E1242" s="1">
        <v>46.0</v>
      </c>
      <c r="F1242" s="1">
        <v>34.0</v>
      </c>
      <c r="G1242" s="1">
        <v>15.21</v>
      </c>
      <c r="H1242" s="1">
        <v>0.0</v>
      </c>
      <c r="I1242" s="1">
        <v>0.0</v>
      </c>
      <c r="J1242" s="1">
        <v>0.0</v>
      </c>
      <c r="K1242" s="1">
        <v>0.39</v>
      </c>
      <c r="L1242" s="1">
        <v>5300000.0</v>
      </c>
      <c r="M1242" s="1" t="s">
        <v>3940</v>
      </c>
      <c r="N1242" s="18">
        <v>46010.0</v>
      </c>
      <c r="O1242" s="1" t="s">
        <v>3941</v>
      </c>
      <c r="P1242" s="1" t="s">
        <v>3257</v>
      </c>
      <c r="Q1242" s="1" t="s">
        <v>3408</v>
      </c>
    </row>
    <row r="1243">
      <c r="A1243" s="1" t="s">
        <v>5558</v>
      </c>
      <c r="B1243" s="1">
        <v>46.0</v>
      </c>
      <c r="C1243" s="1">
        <v>50.0</v>
      </c>
      <c r="D1243" s="2" t="s">
        <v>2930</v>
      </c>
      <c r="E1243" s="1">
        <v>46.0</v>
      </c>
      <c r="F1243" s="1">
        <v>21.0</v>
      </c>
      <c r="G1243" s="1">
        <v>0.0</v>
      </c>
      <c r="H1243" s="1">
        <v>0.0</v>
      </c>
      <c r="I1243" s="1">
        <v>0.0</v>
      </c>
      <c r="J1243" s="1">
        <v>0.0</v>
      </c>
      <c r="K1243" s="1">
        <v>0.0</v>
      </c>
      <c r="L1243" s="1">
        <v>353000.0</v>
      </c>
      <c r="M1243" s="1" t="s">
        <v>5559</v>
      </c>
      <c r="N1243" s="18">
        <v>46009.0</v>
      </c>
      <c r="O1243" s="1" t="s">
        <v>3479</v>
      </c>
      <c r="P1243" s="1" t="s">
        <v>3230</v>
      </c>
      <c r="Q1243" s="1" t="s">
        <v>3408</v>
      </c>
    </row>
    <row r="1244">
      <c r="A1244" s="1" t="s">
        <v>5560</v>
      </c>
      <c r="B1244" s="1">
        <v>46.0</v>
      </c>
      <c r="C1244" s="1">
        <v>720.0</v>
      </c>
      <c r="D1244" s="2" t="s">
        <v>973</v>
      </c>
      <c r="E1244" s="1">
        <v>46.0</v>
      </c>
      <c r="F1244" s="1">
        <v>33.0</v>
      </c>
      <c r="G1244" s="1">
        <v>2.04</v>
      </c>
      <c r="H1244" s="1">
        <v>0.0</v>
      </c>
      <c r="I1244" s="1">
        <v>0.0</v>
      </c>
      <c r="J1244" s="1">
        <v>0.0</v>
      </c>
      <c r="K1244" s="1">
        <v>0.13</v>
      </c>
      <c r="L1244" s="1">
        <v>2.97E7</v>
      </c>
      <c r="M1244" s="1" t="s">
        <v>5561</v>
      </c>
      <c r="N1244" s="18">
        <v>46009.0</v>
      </c>
      <c r="O1244" s="1" t="s">
        <v>3479</v>
      </c>
      <c r="P1244" s="1" t="s">
        <v>3230</v>
      </c>
      <c r="Q1244" s="1" t="s">
        <v>3408</v>
      </c>
    </row>
    <row r="1245">
      <c r="A1245" s="1" t="s">
        <v>5562</v>
      </c>
      <c r="B1245" s="1">
        <v>46.0</v>
      </c>
      <c r="C1245" s="1">
        <v>140.0</v>
      </c>
      <c r="D1245" s="2" t="s">
        <v>2416</v>
      </c>
      <c r="E1245" s="1">
        <v>46.0</v>
      </c>
      <c r="F1245" s="1">
        <v>14.0</v>
      </c>
      <c r="G1245" s="1">
        <v>0.0</v>
      </c>
      <c r="H1245" s="1">
        <v>0.0</v>
      </c>
      <c r="I1245" s="1">
        <v>0.0</v>
      </c>
      <c r="J1245" s="1">
        <v>0.0</v>
      </c>
      <c r="K1245" s="1">
        <v>0.0</v>
      </c>
      <c r="L1245" s="1">
        <v>2360000.0</v>
      </c>
      <c r="M1245" s="1" t="s">
        <v>5563</v>
      </c>
      <c r="N1245" s="18">
        <v>46007.0</v>
      </c>
      <c r="O1245" s="1" t="s">
        <v>5564</v>
      </c>
      <c r="P1245" s="1" t="s">
        <v>3230</v>
      </c>
      <c r="Q1245" s="1" t="s">
        <v>3408</v>
      </c>
    </row>
    <row r="1246">
      <c r="A1246" s="1" t="s">
        <v>5565</v>
      </c>
      <c r="B1246" s="1">
        <v>46.0</v>
      </c>
      <c r="C1246" s="1">
        <v>480.0</v>
      </c>
      <c r="D1246" s="2" t="s">
        <v>681</v>
      </c>
      <c r="E1246" s="1">
        <v>46.0</v>
      </c>
      <c r="F1246" s="1">
        <v>16.0</v>
      </c>
      <c r="G1246" s="1">
        <v>1.29</v>
      </c>
      <c r="H1246" s="1">
        <v>0.0</v>
      </c>
      <c r="I1246" s="1">
        <v>0.0</v>
      </c>
      <c r="J1246" s="1">
        <v>0.0</v>
      </c>
      <c r="K1246" s="1">
        <v>0.32</v>
      </c>
      <c r="L1246" s="1">
        <v>1.61E7</v>
      </c>
      <c r="M1246" s="1" t="s">
        <v>5566</v>
      </c>
      <c r="N1246" s="18">
        <v>46006.0</v>
      </c>
      <c r="O1246" s="1" t="s">
        <v>3479</v>
      </c>
      <c r="P1246" s="1" t="s">
        <v>3230</v>
      </c>
      <c r="Q1246" s="1" t="s">
        <v>3408</v>
      </c>
    </row>
    <row r="1247">
      <c r="A1247" s="1" t="s">
        <v>5567</v>
      </c>
      <c r="B1247" s="1">
        <v>46.0</v>
      </c>
      <c r="C1247" s="1">
        <v>70.0</v>
      </c>
      <c r="D1247" s="2" t="s">
        <v>1771</v>
      </c>
      <c r="E1247" s="1">
        <v>46.0</v>
      </c>
      <c r="F1247" s="1">
        <v>2.0</v>
      </c>
      <c r="G1247" s="1">
        <v>0.0</v>
      </c>
      <c r="H1247" s="1">
        <v>0.0</v>
      </c>
      <c r="I1247" s="1">
        <v>0.0</v>
      </c>
      <c r="J1247" s="1">
        <v>0.0</v>
      </c>
      <c r="K1247" s="1">
        <v>0.0</v>
      </c>
      <c r="L1247" s="1">
        <v>488000.0</v>
      </c>
      <c r="M1247" s="1" t="s">
        <v>5568</v>
      </c>
      <c r="N1247" s="18">
        <v>46005.0</v>
      </c>
      <c r="O1247" s="1" t="s">
        <v>3242</v>
      </c>
      <c r="P1247" s="1" t="s">
        <v>3230</v>
      </c>
      <c r="Q1247" s="1" t="s">
        <v>3408</v>
      </c>
    </row>
    <row r="1248">
      <c r="A1248" s="1" t="s">
        <v>5569</v>
      </c>
      <c r="B1248" s="1">
        <v>46.0</v>
      </c>
      <c r="C1248" s="1">
        <v>390.0</v>
      </c>
      <c r="D1248" s="2" t="s">
        <v>1868</v>
      </c>
      <c r="E1248" s="1">
        <v>46.0</v>
      </c>
      <c r="F1248" s="1">
        <v>45.0</v>
      </c>
      <c r="G1248" s="1">
        <v>0.0</v>
      </c>
      <c r="H1248" s="1">
        <v>0.0</v>
      </c>
      <c r="I1248" s="1">
        <v>0.0</v>
      </c>
      <c r="J1248" s="1">
        <v>0.0</v>
      </c>
      <c r="K1248" s="1">
        <v>0.0</v>
      </c>
      <c r="L1248" s="1">
        <v>4.16E8</v>
      </c>
      <c r="M1248" s="1" t="s">
        <v>5570</v>
      </c>
      <c r="N1248" s="18">
        <v>46005.0</v>
      </c>
      <c r="O1248" s="1" t="s">
        <v>5571</v>
      </c>
      <c r="P1248" s="1" t="s">
        <v>3230</v>
      </c>
      <c r="Q1248" s="1" t="s">
        <v>3408</v>
      </c>
    </row>
    <row r="1249">
      <c r="A1249" s="1" t="s">
        <v>3485</v>
      </c>
      <c r="B1249" s="1">
        <v>46.0</v>
      </c>
      <c r="C1249" s="1">
        <v>140.0</v>
      </c>
      <c r="D1249" s="2" t="s">
        <v>584</v>
      </c>
      <c r="E1249" s="1">
        <v>46.0</v>
      </c>
      <c r="F1249" s="1">
        <v>4.0</v>
      </c>
      <c r="G1249" s="1">
        <v>3.93</v>
      </c>
      <c r="H1249" s="1">
        <v>0.0</v>
      </c>
      <c r="I1249" s="1">
        <v>0.0</v>
      </c>
      <c r="J1249" s="1">
        <v>0.0</v>
      </c>
      <c r="K1249" s="1">
        <v>0.13</v>
      </c>
      <c r="L1249" s="1">
        <v>7.71E7</v>
      </c>
      <c r="M1249" s="1" t="s">
        <v>3486</v>
      </c>
      <c r="N1249" s="18">
        <v>46004.0</v>
      </c>
      <c r="O1249" s="1" t="s">
        <v>3487</v>
      </c>
      <c r="P1249" s="1" t="s">
        <v>3257</v>
      </c>
      <c r="Q1249" s="1" t="s">
        <v>3408</v>
      </c>
    </row>
    <row r="1250">
      <c r="A1250" s="1" t="s">
        <v>4988</v>
      </c>
      <c r="B1250" s="1">
        <v>46.0</v>
      </c>
      <c r="C1250" s="1">
        <v>50.0</v>
      </c>
      <c r="D1250" s="2" t="s">
        <v>2247</v>
      </c>
      <c r="E1250" s="1">
        <v>46.0</v>
      </c>
      <c r="F1250" s="1">
        <v>20.0</v>
      </c>
      <c r="G1250" s="1">
        <v>0.0</v>
      </c>
      <c r="H1250" s="1">
        <v>0.0</v>
      </c>
      <c r="I1250" s="1">
        <v>0.0</v>
      </c>
      <c r="J1250" s="1">
        <v>0.0</v>
      </c>
      <c r="K1250" s="1">
        <v>0.0</v>
      </c>
      <c r="L1250" s="1">
        <v>1170000.0</v>
      </c>
      <c r="M1250" s="1" t="s">
        <v>4989</v>
      </c>
      <c r="N1250" s="18">
        <v>46003.0</v>
      </c>
      <c r="O1250" s="1" t="s">
        <v>4096</v>
      </c>
      <c r="P1250" s="1" t="s">
        <v>3230</v>
      </c>
      <c r="Q1250" s="1" t="s">
        <v>3408</v>
      </c>
    </row>
    <row r="1251">
      <c r="A1251" s="1" t="s">
        <v>5572</v>
      </c>
      <c r="B1251" s="1">
        <v>46.0</v>
      </c>
      <c r="C1251" s="1">
        <v>110.0</v>
      </c>
      <c r="D1251" s="2" t="s">
        <v>1888</v>
      </c>
      <c r="E1251" s="1">
        <v>46.0</v>
      </c>
      <c r="F1251" s="1">
        <v>1.0</v>
      </c>
      <c r="G1251" s="1">
        <v>4.78</v>
      </c>
      <c r="H1251" s="1">
        <v>0.0</v>
      </c>
      <c r="I1251" s="1">
        <v>0.0</v>
      </c>
      <c r="J1251" s="1">
        <v>0.0</v>
      </c>
      <c r="K1251" s="1">
        <v>0.49</v>
      </c>
      <c r="L1251" s="1">
        <v>1.73E7</v>
      </c>
      <c r="M1251" s="1" t="s">
        <v>5573</v>
      </c>
      <c r="N1251" s="18">
        <v>46000.0</v>
      </c>
      <c r="O1251" s="1" t="s">
        <v>3442</v>
      </c>
      <c r="P1251" s="1" t="s">
        <v>3230</v>
      </c>
      <c r="Q1251" s="1" t="s">
        <v>3408</v>
      </c>
    </row>
    <row r="1252">
      <c r="A1252" s="1" t="s">
        <v>5574</v>
      </c>
      <c r="B1252" s="1">
        <v>46.0</v>
      </c>
      <c r="C1252" s="1">
        <v>70.0</v>
      </c>
      <c r="D1252" s="2" t="s">
        <v>602</v>
      </c>
      <c r="E1252" s="1">
        <v>46.0</v>
      </c>
      <c r="F1252" s="1">
        <v>0.0</v>
      </c>
      <c r="G1252" s="1">
        <v>4.9</v>
      </c>
      <c r="H1252" s="1">
        <v>0.0</v>
      </c>
      <c r="I1252" s="1">
        <v>0.0</v>
      </c>
      <c r="J1252" s="1">
        <v>0.0</v>
      </c>
      <c r="K1252" s="1">
        <v>0.71</v>
      </c>
      <c r="L1252" s="1">
        <v>78500.0</v>
      </c>
      <c r="M1252" s="1" t="s">
        <v>5575</v>
      </c>
      <c r="N1252" s="18">
        <v>45999.0</v>
      </c>
      <c r="O1252" s="1" t="s">
        <v>3479</v>
      </c>
      <c r="P1252" s="1" t="s">
        <v>3230</v>
      </c>
      <c r="Q1252" s="1" t="s">
        <v>3408</v>
      </c>
    </row>
    <row r="1253">
      <c r="A1253" s="1" t="s">
        <v>5576</v>
      </c>
      <c r="B1253" s="1">
        <v>46.0</v>
      </c>
      <c r="C1253" s="1">
        <v>50.0</v>
      </c>
      <c r="D1253" s="2" t="s">
        <v>1436</v>
      </c>
      <c r="E1253" s="1">
        <v>46.0</v>
      </c>
      <c r="F1253" s="1">
        <v>22.0</v>
      </c>
      <c r="G1253" s="1">
        <v>22.12</v>
      </c>
      <c r="H1253" s="1">
        <v>0.0</v>
      </c>
      <c r="I1253" s="1">
        <v>0.0</v>
      </c>
      <c r="J1253" s="1">
        <v>0.0</v>
      </c>
      <c r="K1253" s="1">
        <v>0.17</v>
      </c>
      <c r="L1253" s="1">
        <v>63700.0</v>
      </c>
      <c r="M1253" s="1" t="s">
        <v>5577</v>
      </c>
      <c r="N1253" s="18">
        <v>45998.0</v>
      </c>
      <c r="O1253" s="1" t="s">
        <v>3854</v>
      </c>
      <c r="P1253" s="1" t="s">
        <v>3257</v>
      </c>
      <c r="Q1253" s="1" t="s">
        <v>3408</v>
      </c>
    </row>
    <row r="1254">
      <c r="A1254" s="1" t="s">
        <v>5578</v>
      </c>
      <c r="B1254" s="1">
        <v>46.0</v>
      </c>
      <c r="C1254" s="1">
        <v>90.0</v>
      </c>
      <c r="D1254" s="2" t="s">
        <v>581</v>
      </c>
      <c r="E1254" s="1">
        <v>46.0</v>
      </c>
      <c r="F1254" s="1">
        <v>16.0</v>
      </c>
      <c r="G1254" s="1">
        <v>0.0</v>
      </c>
      <c r="H1254" s="1">
        <v>0.0</v>
      </c>
      <c r="I1254" s="1">
        <v>0.0</v>
      </c>
      <c r="J1254" s="1">
        <v>0.0</v>
      </c>
      <c r="K1254" s="1">
        <v>0.04</v>
      </c>
      <c r="L1254" s="1">
        <v>2.3E7</v>
      </c>
      <c r="M1254" s="1" t="s">
        <v>5579</v>
      </c>
      <c r="N1254" s="18">
        <v>45995.0</v>
      </c>
      <c r="O1254" s="1" t="s">
        <v>3404</v>
      </c>
      <c r="P1254" s="1" t="s">
        <v>3257</v>
      </c>
      <c r="Q1254" s="1" t="s">
        <v>3408</v>
      </c>
    </row>
    <row r="1255">
      <c r="A1255" s="1" t="s">
        <v>5580</v>
      </c>
      <c r="B1255" s="1">
        <v>46.0</v>
      </c>
      <c r="C1255" s="1">
        <v>30.0</v>
      </c>
      <c r="D1255" s="2" t="s">
        <v>1060</v>
      </c>
      <c r="E1255" s="1">
        <v>46.0</v>
      </c>
      <c r="F1255" s="1">
        <v>36.0</v>
      </c>
      <c r="G1255" s="1">
        <v>22.12</v>
      </c>
      <c r="H1255" s="1">
        <v>0.0</v>
      </c>
      <c r="I1255" s="1">
        <v>0.0</v>
      </c>
      <c r="J1255" s="1">
        <v>0.0</v>
      </c>
      <c r="K1255" s="1">
        <v>0.17</v>
      </c>
      <c r="L1255" s="1">
        <v>121000.0</v>
      </c>
      <c r="M1255" s="1" t="s">
        <v>5581</v>
      </c>
      <c r="N1255" s="18">
        <v>45991.0</v>
      </c>
      <c r="O1255" s="1" t="s">
        <v>4390</v>
      </c>
      <c r="P1255" s="1" t="s">
        <v>3257</v>
      </c>
      <c r="Q1255" s="1" t="s">
        <v>3408</v>
      </c>
    </row>
    <row r="1256">
      <c r="A1256" s="1" t="s">
        <v>3880</v>
      </c>
      <c r="B1256" s="1">
        <v>46.0</v>
      </c>
      <c r="C1256" s="1">
        <v>140.0</v>
      </c>
      <c r="D1256" s="2" t="s">
        <v>1234</v>
      </c>
      <c r="E1256" s="1">
        <v>46.0</v>
      </c>
      <c r="F1256" s="1">
        <v>21.0</v>
      </c>
      <c r="G1256" s="1">
        <v>17.84</v>
      </c>
      <c r="H1256" s="1">
        <v>0.0</v>
      </c>
      <c r="I1256" s="1">
        <v>0.0</v>
      </c>
      <c r="J1256" s="1">
        <v>0.0</v>
      </c>
      <c r="K1256" s="1">
        <v>0.12</v>
      </c>
      <c r="L1256" s="1">
        <v>9.0</v>
      </c>
      <c r="M1256" s="1" t="s">
        <v>3881</v>
      </c>
      <c r="N1256" s="18">
        <v>45986.0</v>
      </c>
      <c r="O1256" s="1" t="s">
        <v>3882</v>
      </c>
      <c r="P1256" s="1" t="s">
        <v>3257</v>
      </c>
      <c r="Q1256" s="1" t="s">
        <v>3408</v>
      </c>
    </row>
    <row r="1257">
      <c r="A1257" s="1" t="s">
        <v>5582</v>
      </c>
      <c r="B1257" s="1">
        <v>46.0</v>
      </c>
      <c r="C1257" s="1">
        <v>90.0</v>
      </c>
      <c r="D1257" s="2" t="s">
        <v>1650</v>
      </c>
      <c r="E1257" s="1">
        <v>46.0</v>
      </c>
      <c r="F1257" s="1">
        <v>0.0</v>
      </c>
      <c r="G1257" s="1">
        <v>0.0</v>
      </c>
      <c r="H1257" s="1">
        <v>0.0</v>
      </c>
      <c r="I1257" s="1">
        <v>0.0</v>
      </c>
      <c r="J1257" s="1">
        <v>0.0</v>
      </c>
      <c r="K1257" s="1">
        <v>0.03</v>
      </c>
      <c r="L1257" s="1">
        <v>9.0</v>
      </c>
      <c r="M1257" s="1" t="s">
        <v>5583</v>
      </c>
      <c r="N1257" s="18">
        <v>45983.0</v>
      </c>
      <c r="O1257" s="1" t="s">
        <v>3237</v>
      </c>
      <c r="P1257" s="1" t="s">
        <v>3230</v>
      </c>
      <c r="Q1257" s="1" t="s">
        <v>3408</v>
      </c>
    </row>
    <row r="1258">
      <c r="A1258" s="1" t="s">
        <v>5013</v>
      </c>
      <c r="B1258" s="1">
        <v>46.0</v>
      </c>
      <c r="C1258" s="1">
        <v>40.0</v>
      </c>
      <c r="D1258" s="2" t="s">
        <v>659</v>
      </c>
      <c r="E1258" s="1">
        <v>46.0</v>
      </c>
      <c r="F1258" s="1">
        <v>1.0</v>
      </c>
      <c r="G1258" s="1">
        <v>0.0</v>
      </c>
      <c r="H1258" s="1">
        <v>0.0</v>
      </c>
      <c r="I1258" s="1">
        <v>0.0</v>
      </c>
      <c r="J1258" s="1">
        <v>0.0</v>
      </c>
      <c r="K1258" s="1">
        <v>0.04</v>
      </c>
      <c r="L1258" s="1">
        <v>10.0</v>
      </c>
      <c r="M1258" s="1" t="s">
        <v>5014</v>
      </c>
      <c r="N1258" s="18">
        <v>45978.0</v>
      </c>
      <c r="O1258" s="1" t="s">
        <v>5015</v>
      </c>
      <c r="P1258" s="1" t="s">
        <v>3257</v>
      </c>
      <c r="Q1258" s="1" t="s">
        <v>3408</v>
      </c>
    </row>
    <row r="1259">
      <c r="A1259" s="1" t="s">
        <v>5584</v>
      </c>
      <c r="B1259" s="1">
        <v>47.0</v>
      </c>
      <c r="C1259" s="1">
        <v>110.0</v>
      </c>
      <c r="D1259" s="2" t="s">
        <v>1973</v>
      </c>
      <c r="E1259" s="1">
        <v>0.0</v>
      </c>
      <c r="F1259" s="1">
        <v>10.0</v>
      </c>
      <c r="G1259" s="1">
        <v>0.0</v>
      </c>
      <c r="H1259" s="1">
        <v>0.0</v>
      </c>
      <c r="I1259" s="1">
        <v>0.0</v>
      </c>
      <c r="J1259" s="1">
        <v>0.0</v>
      </c>
      <c r="K1259" s="1">
        <v>0.0</v>
      </c>
      <c r="L1259" s="1">
        <v>6370000.0</v>
      </c>
      <c r="M1259" s="1" t="s">
        <v>5585</v>
      </c>
      <c r="N1259" s="18">
        <v>46042.0</v>
      </c>
      <c r="O1259" s="1" t="s">
        <v>4845</v>
      </c>
      <c r="P1259" s="1" t="s">
        <v>3230</v>
      </c>
      <c r="Q1259" s="1" t="s">
        <v>3408</v>
      </c>
    </row>
    <row r="1260">
      <c r="A1260" s="1" t="s">
        <v>5586</v>
      </c>
      <c r="B1260" s="1">
        <v>47.0</v>
      </c>
      <c r="C1260" s="1">
        <v>90.0</v>
      </c>
      <c r="D1260" s="2" t="s">
        <v>1454</v>
      </c>
      <c r="E1260" s="1">
        <v>47.0</v>
      </c>
      <c r="F1260" s="1">
        <v>24.0</v>
      </c>
      <c r="G1260" s="1">
        <v>2.91</v>
      </c>
      <c r="H1260" s="1">
        <v>0.0</v>
      </c>
      <c r="I1260" s="1">
        <v>0.0</v>
      </c>
      <c r="J1260" s="1">
        <v>0.0</v>
      </c>
      <c r="K1260" s="1">
        <v>0.34</v>
      </c>
      <c r="L1260" s="1">
        <v>2750000.0</v>
      </c>
      <c r="M1260" s="1" t="s">
        <v>5587</v>
      </c>
      <c r="N1260" s="18">
        <v>46039.0</v>
      </c>
      <c r="O1260" s="1" t="s">
        <v>3284</v>
      </c>
      <c r="P1260" s="1" t="s">
        <v>3230</v>
      </c>
      <c r="Q1260" s="1" t="s">
        <v>3408</v>
      </c>
    </row>
    <row r="1261">
      <c r="A1261" s="1" t="s">
        <v>5588</v>
      </c>
      <c r="B1261" s="1">
        <v>47.0</v>
      </c>
      <c r="C1261" s="1">
        <v>110.0</v>
      </c>
      <c r="D1261" s="2" t="s">
        <v>954</v>
      </c>
      <c r="E1261" s="1">
        <v>47.0</v>
      </c>
      <c r="F1261" s="1">
        <v>22.0</v>
      </c>
      <c r="G1261" s="1">
        <v>1.9</v>
      </c>
      <c r="H1261" s="1">
        <v>0.0</v>
      </c>
      <c r="I1261" s="1">
        <v>0.0</v>
      </c>
      <c r="J1261" s="1">
        <v>0.0</v>
      </c>
      <c r="K1261" s="1">
        <v>0.54</v>
      </c>
      <c r="L1261" s="1">
        <v>1.07E8</v>
      </c>
      <c r="M1261" s="1" t="s">
        <v>5589</v>
      </c>
      <c r="N1261" s="18">
        <v>46039.0</v>
      </c>
      <c r="O1261" s="1" t="s">
        <v>4845</v>
      </c>
      <c r="P1261" s="1" t="s">
        <v>3230</v>
      </c>
      <c r="Q1261" s="1" t="s">
        <v>3408</v>
      </c>
    </row>
    <row r="1262">
      <c r="A1262" s="1" t="s">
        <v>5590</v>
      </c>
      <c r="B1262" s="1">
        <v>47.0</v>
      </c>
      <c r="C1262" s="1">
        <v>70.0</v>
      </c>
      <c r="D1262" s="2" t="s">
        <v>439</v>
      </c>
      <c r="E1262" s="1">
        <v>47.0</v>
      </c>
      <c r="F1262" s="1">
        <v>38.0</v>
      </c>
      <c r="G1262" s="1">
        <v>4.14</v>
      </c>
      <c r="H1262" s="1">
        <v>0.0</v>
      </c>
      <c r="I1262" s="1">
        <v>0.0</v>
      </c>
      <c r="J1262" s="1">
        <v>0.0</v>
      </c>
      <c r="K1262" s="1">
        <v>0.14</v>
      </c>
      <c r="L1262" s="1">
        <v>6400.0</v>
      </c>
      <c r="M1262" s="1" t="s">
        <v>5591</v>
      </c>
      <c r="N1262" s="18">
        <v>46038.0</v>
      </c>
      <c r="O1262" s="1" t="s">
        <v>3288</v>
      </c>
      <c r="P1262" s="1" t="s">
        <v>3294</v>
      </c>
      <c r="Q1262" s="1" t="s">
        <v>3408</v>
      </c>
    </row>
    <row r="1263">
      <c r="A1263" s="1" t="s">
        <v>5592</v>
      </c>
      <c r="B1263" s="1">
        <v>47.0</v>
      </c>
      <c r="C1263" s="1">
        <v>30.0</v>
      </c>
      <c r="D1263" s="2" t="s">
        <v>694</v>
      </c>
      <c r="E1263" s="1">
        <v>47.0</v>
      </c>
      <c r="F1263" s="1">
        <v>0.0</v>
      </c>
      <c r="G1263" s="1">
        <v>1.09</v>
      </c>
      <c r="H1263" s="1">
        <v>0.0</v>
      </c>
      <c r="I1263" s="1">
        <v>0.0</v>
      </c>
      <c r="J1263" s="1">
        <v>0.0</v>
      </c>
      <c r="K1263" s="1">
        <v>0.06</v>
      </c>
      <c r="L1263" s="1">
        <v>3540000.0</v>
      </c>
      <c r="M1263" s="1" t="s">
        <v>5593</v>
      </c>
      <c r="N1263" s="18">
        <v>46038.0</v>
      </c>
      <c r="O1263" s="1" t="s">
        <v>3264</v>
      </c>
      <c r="P1263" s="1" t="s">
        <v>3230</v>
      </c>
      <c r="Q1263" s="1" t="s">
        <v>3408</v>
      </c>
    </row>
    <row r="1264">
      <c r="A1264" s="1" t="s">
        <v>5594</v>
      </c>
      <c r="B1264" s="1">
        <v>47.0</v>
      </c>
      <c r="C1264" s="1">
        <v>50.0</v>
      </c>
      <c r="D1264" s="2" t="s">
        <v>1331</v>
      </c>
      <c r="E1264" s="1">
        <v>47.0</v>
      </c>
      <c r="F1264" s="1">
        <v>26.0</v>
      </c>
      <c r="G1264" s="1">
        <v>0.0</v>
      </c>
      <c r="H1264" s="1">
        <v>0.0</v>
      </c>
      <c r="I1264" s="1">
        <v>0.0</v>
      </c>
      <c r="J1264" s="1">
        <v>0.0</v>
      </c>
      <c r="K1264" s="1">
        <v>0.0</v>
      </c>
      <c r="L1264" s="1">
        <v>5.97E7</v>
      </c>
      <c r="M1264" s="1" t="s">
        <v>5595</v>
      </c>
      <c r="N1264" s="18">
        <v>46038.0</v>
      </c>
      <c r="O1264" s="1" t="s">
        <v>3284</v>
      </c>
      <c r="P1264" s="1" t="s">
        <v>3230</v>
      </c>
      <c r="Q1264" s="1" t="s">
        <v>3408</v>
      </c>
    </row>
    <row r="1265">
      <c r="A1265" s="1" t="s">
        <v>5596</v>
      </c>
      <c r="B1265" s="1">
        <v>47.0</v>
      </c>
      <c r="C1265" s="1">
        <v>140.0</v>
      </c>
      <c r="D1265" s="2" t="s">
        <v>600</v>
      </c>
      <c r="E1265" s="1">
        <v>47.0</v>
      </c>
      <c r="F1265" s="1">
        <v>2.0</v>
      </c>
      <c r="G1265" s="1">
        <v>9.24</v>
      </c>
      <c r="H1265" s="1">
        <v>0.0</v>
      </c>
      <c r="I1265" s="1">
        <v>0.0</v>
      </c>
      <c r="J1265" s="1">
        <v>0.0</v>
      </c>
      <c r="K1265" s="1">
        <v>0.29</v>
      </c>
      <c r="L1265" s="1">
        <v>2920000.0</v>
      </c>
      <c r="M1265" s="1" t="s">
        <v>5597</v>
      </c>
      <c r="N1265" s="18">
        <v>46036.0</v>
      </c>
      <c r="O1265" s="1" t="s">
        <v>5598</v>
      </c>
      <c r="P1265" s="1" t="s">
        <v>3257</v>
      </c>
      <c r="Q1265" s="1" t="s">
        <v>3408</v>
      </c>
    </row>
    <row r="1266">
      <c r="A1266" s="1" t="s">
        <v>5599</v>
      </c>
      <c r="B1266" s="1">
        <v>47.0</v>
      </c>
      <c r="C1266" s="1">
        <v>40.0</v>
      </c>
      <c r="D1266" s="2" t="s">
        <v>439</v>
      </c>
      <c r="E1266" s="1">
        <v>47.0</v>
      </c>
      <c r="F1266" s="1">
        <v>4.0</v>
      </c>
      <c r="G1266" s="1">
        <v>4.44</v>
      </c>
      <c r="H1266" s="1">
        <v>0.0</v>
      </c>
      <c r="I1266" s="1">
        <v>0.0</v>
      </c>
      <c r="J1266" s="1">
        <v>0.0</v>
      </c>
      <c r="K1266" s="1">
        <v>0.21</v>
      </c>
      <c r="L1266" s="1">
        <v>2.23E8</v>
      </c>
      <c r="M1266" s="1" t="s">
        <v>5600</v>
      </c>
      <c r="N1266" s="18">
        <v>46028.0</v>
      </c>
      <c r="O1266" s="1" t="s">
        <v>3455</v>
      </c>
      <c r="P1266" s="1" t="s">
        <v>3257</v>
      </c>
      <c r="Q1266" s="1" t="s">
        <v>3408</v>
      </c>
    </row>
    <row r="1267">
      <c r="A1267" s="1" t="s">
        <v>5601</v>
      </c>
      <c r="B1267" s="1">
        <v>47.0</v>
      </c>
      <c r="C1267" s="1">
        <v>50.0</v>
      </c>
      <c r="D1267" s="2" t="s">
        <v>439</v>
      </c>
      <c r="E1267" s="1">
        <v>47.0</v>
      </c>
      <c r="F1267" s="1">
        <v>21.0</v>
      </c>
      <c r="G1267" s="1">
        <v>3.91</v>
      </c>
      <c r="H1267" s="1">
        <v>0.0</v>
      </c>
      <c r="I1267" s="1">
        <v>0.0</v>
      </c>
      <c r="J1267" s="1">
        <v>0.0</v>
      </c>
      <c r="K1267" s="1">
        <v>0.11</v>
      </c>
      <c r="L1267" s="1">
        <v>1120.0</v>
      </c>
      <c r="M1267" s="1" t="s">
        <v>5602</v>
      </c>
      <c r="N1267" s="18">
        <v>46027.0</v>
      </c>
      <c r="O1267" s="1" t="s">
        <v>4709</v>
      </c>
      <c r="P1267" s="1" t="s">
        <v>3294</v>
      </c>
      <c r="Q1267" s="1" t="s">
        <v>3408</v>
      </c>
    </row>
    <row r="1268">
      <c r="A1268" s="1" t="s">
        <v>5603</v>
      </c>
      <c r="B1268" s="1">
        <v>47.0</v>
      </c>
      <c r="C1268" s="1">
        <v>70.0</v>
      </c>
      <c r="D1268" s="2" t="s">
        <v>754</v>
      </c>
      <c r="E1268" s="1">
        <v>47.0</v>
      </c>
      <c r="G1268" s="1">
        <v>124.94</v>
      </c>
      <c r="H1268" s="1">
        <v>0.0</v>
      </c>
      <c r="I1268" s="1">
        <v>0.0</v>
      </c>
      <c r="J1268" s="1">
        <v>0.0</v>
      </c>
      <c r="K1268" s="1">
        <v>0.13</v>
      </c>
      <c r="L1268" s="1">
        <v>7090000.0</v>
      </c>
      <c r="M1268" s="1" t="s">
        <v>5604</v>
      </c>
      <c r="N1268" s="18">
        <v>46026.0</v>
      </c>
      <c r="O1268" s="1" t="s">
        <v>3421</v>
      </c>
      <c r="P1268" s="1" t="s">
        <v>3257</v>
      </c>
      <c r="Q1268" s="1" t="s">
        <v>3408</v>
      </c>
    </row>
    <row r="1269">
      <c r="A1269" s="1" t="s">
        <v>5605</v>
      </c>
      <c r="B1269" s="1">
        <v>47.0</v>
      </c>
      <c r="C1269" s="1">
        <v>110.0</v>
      </c>
      <c r="D1269" s="2" t="s">
        <v>911</v>
      </c>
      <c r="E1269" s="1">
        <v>47.0</v>
      </c>
      <c r="F1269" s="1">
        <v>0.0</v>
      </c>
      <c r="G1269" s="1">
        <v>1.98</v>
      </c>
      <c r="H1269" s="1">
        <v>0.0</v>
      </c>
      <c r="I1269" s="1">
        <v>0.0</v>
      </c>
      <c r="J1269" s="1">
        <v>0.0</v>
      </c>
      <c r="K1269" s="1">
        <v>0.78</v>
      </c>
      <c r="L1269" s="1">
        <v>6570000.0</v>
      </c>
      <c r="M1269" s="1" t="s">
        <v>5606</v>
      </c>
      <c r="N1269" s="18">
        <v>46025.0</v>
      </c>
      <c r="O1269" s="1" t="s">
        <v>5607</v>
      </c>
      <c r="P1269" s="1" t="s">
        <v>3230</v>
      </c>
      <c r="Q1269" s="1" t="s">
        <v>3408</v>
      </c>
    </row>
    <row r="1270">
      <c r="A1270" s="1" t="s">
        <v>5608</v>
      </c>
      <c r="B1270" s="1">
        <v>47.0</v>
      </c>
      <c r="C1270" s="1">
        <v>140.0</v>
      </c>
      <c r="D1270" s="2" t="s">
        <v>831</v>
      </c>
      <c r="E1270" s="1">
        <v>47.0</v>
      </c>
      <c r="F1270" s="1">
        <v>10.0</v>
      </c>
      <c r="G1270" s="1">
        <v>22.8</v>
      </c>
      <c r="H1270" s="1">
        <v>0.0</v>
      </c>
      <c r="I1270" s="1">
        <v>0.0</v>
      </c>
      <c r="J1270" s="1">
        <v>0.0</v>
      </c>
      <c r="K1270" s="1">
        <v>0.54</v>
      </c>
      <c r="L1270" s="1">
        <v>122000.0</v>
      </c>
      <c r="M1270" s="1" t="s">
        <v>5609</v>
      </c>
      <c r="N1270" s="18">
        <v>46025.0</v>
      </c>
      <c r="O1270" s="1" t="s">
        <v>3435</v>
      </c>
      <c r="P1270" s="1" t="s">
        <v>3257</v>
      </c>
      <c r="Q1270" s="1" t="s">
        <v>3408</v>
      </c>
    </row>
    <row r="1271">
      <c r="A1271" s="1" t="s">
        <v>5610</v>
      </c>
      <c r="B1271" s="1">
        <v>47.0</v>
      </c>
      <c r="C1271" s="1">
        <v>110.0</v>
      </c>
      <c r="D1271" s="2" t="s">
        <v>2930</v>
      </c>
      <c r="E1271" s="1">
        <v>47.0</v>
      </c>
      <c r="F1271" s="1">
        <v>25.0</v>
      </c>
      <c r="G1271" s="1">
        <v>0.0</v>
      </c>
      <c r="H1271" s="1">
        <v>0.0</v>
      </c>
      <c r="I1271" s="1">
        <v>0.0</v>
      </c>
      <c r="J1271" s="1">
        <v>0.0</v>
      </c>
      <c r="K1271" s="1">
        <v>0.0</v>
      </c>
      <c r="L1271" s="1">
        <v>6790000.0</v>
      </c>
      <c r="M1271" s="1" t="s">
        <v>5611</v>
      </c>
      <c r="N1271" s="18">
        <v>46024.0</v>
      </c>
      <c r="O1271" s="1" t="s">
        <v>3895</v>
      </c>
      <c r="P1271" s="1" t="s">
        <v>3230</v>
      </c>
      <c r="Q1271" s="1" t="s">
        <v>3408</v>
      </c>
    </row>
    <row r="1272">
      <c r="A1272" s="1" t="s">
        <v>3761</v>
      </c>
      <c r="B1272" s="1">
        <v>47.0</v>
      </c>
      <c r="C1272" s="1">
        <v>70.0</v>
      </c>
      <c r="D1272" s="2" t="s">
        <v>588</v>
      </c>
      <c r="E1272" s="1">
        <v>47.0</v>
      </c>
      <c r="F1272" s="1">
        <v>30.0</v>
      </c>
      <c r="G1272" s="1">
        <v>22.36</v>
      </c>
      <c r="H1272" s="1">
        <v>0.0</v>
      </c>
      <c r="I1272" s="1">
        <v>0.0</v>
      </c>
      <c r="J1272" s="1">
        <v>0.0</v>
      </c>
      <c r="K1272" s="1">
        <v>0.99</v>
      </c>
      <c r="L1272" s="1">
        <v>36900.0</v>
      </c>
      <c r="M1272" s="1" t="s">
        <v>3762</v>
      </c>
      <c r="N1272" s="18">
        <v>46022.0</v>
      </c>
      <c r="O1272" s="1" t="s">
        <v>3432</v>
      </c>
      <c r="P1272" s="1" t="s">
        <v>3257</v>
      </c>
      <c r="Q1272" s="1" t="s">
        <v>3408</v>
      </c>
    </row>
    <row r="1273">
      <c r="A1273" s="1" t="s">
        <v>5612</v>
      </c>
      <c r="B1273" s="1">
        <v>47.0</v>
      </c>
      <c r="C1273" s="1">
        <v>30.0</v>
      </c>
      <c r="D1273" s="2" t="s">
        <v>581</v>
      </c>
      <c r="E1273" s="1">
        <v>47.0</v>
      </c>
      <c r="F1273" s="1">
        <v>21.0</v>
      </c>
      <c r="G1273" s="1">
        <v>6.04</v>
      </c>
      <c r="H1273" s="1">
        <v>0.0</v>
      </c>
      <c r="I1273" s="1">
        <v>0.0</v>
      </c>
      <c r="J1273" s="1">
        <v>0.0</v>
      </c>
      <c r="K1273" s="1">
        <v>0.14</v>
      </c>
      <c r="L1273" s="1">
        <v>1.93E8</v>
      </c>
      <c r="M1273" s="1" t="s">
        <v>5613</v>
      </c>
      <c r="N1273" s="18">
        <v>46022.0</v>
      </c>
      <c r="O1273" s="1" t="s">
        <v>3404</v>
      </c>
      <c r="P1273" s="1" t="s">
        <v>3257</v>
      </c>
      <c r="Q1273" s="1" t="s">
        <v>3408</v>
      </c>
    </row>
    <row r="1274">
      <c r="A1274" s="1" t="s">
        <v>5614</v>
      </c>
      <c r="B1274" s="1">
        <v>47.0</v>
      </c>
      <c r="C1274" s="1">
        <v>260.0</v>
      </c>
      <c r="D1274" s="2" t="s">
        <v>581</v>
      </c>
      <c r="E1274" s="1">
        <v>47.0</v>
      </c>
      <c r="F1274" s="1">
        <v>37.0</v>
      </c>
      <c r="G1274" s="1">
        <v>0.0</v>
      </c>
      <c r="H1274" s="1">
        <v>0.0</v>
      </c>
      <c r="I1274" s="1">
        <v>0.0</v>
      </c>
      <c r="J1274" s="1">
        <v>0.0</v>
      </c>
      <c r="K1274" s="1">
        <v>0.0</v>
      </c>
      <c r="L1274" s="1">
        <v>1.8E7</v>
      </c>
      <c r="M1274" s="1" t="s">
        <v>5615</v>
      </c>
      <c r="N1274" s="18">
        <v>46020.0</v>
      </c>
      <c r="O1274" s="1" t="s">
        <v>5616</v>
      </c>
      <c r="P1274" s="1" t="s">
        <v>3230</v>
      </c>
      <c r="Q1274" s="1" t="s">
        <v>3408</v>
      </c>
    </row>
    <row r="1275">
      <c r="A1275" s="1" t="s">
        <v>5617</v>
      </c>
      <c r="B1275" s="1">
        <v>47.0</v>
      </c>
      <c r="C1275" s="1">
        <v>260.0</v>
      </c>
      <c r="D1275" s="2" t="s">
        <v>1307</v>
      </c>
      <c r="E1275" s="1">
        <v>47.0</v>
      </c>
      <c r="F1275" s="1">
        <v>7.0</v>
      </c>
      <c r="G1275" s="1">
        <v>5.62</v>
      </c>
      <c r="H1275" s="1">
        <v>0.0</v>
      </c>
      <c r="I1275" s="1">
        <v>0.0</v>
      </c>
      <c r="J1275" s="1">
        <v>0.0</v>
      </c>
      <c r="K1275" s="1">
        <v>0.92</v>
      </c>
      <c r="L1275" s="1">
        <v>200000.0</v>
      </c>
      <c r="M1275" s="1" t="s">
        <v>5618</v>
      </c>
      <c r="N1275" s="18">
        <v>46019.0</v>
      </c>
      <c r="O1275" s="1" t="s">
        <v>5320</v>
      </c>
      <c r="P1275" s="1" t="s">
        <v>3257</v>
      </c>
      <c r="Q1275" s="1" t="s">
        <v>3408</v>
      </c>
    </row>
    <row r="1276">
      <c r="A1276" s="1" t="s">
        <v>5619</v>
      </c>
      <c r="B1276" s="1">
        <v>47.0</v>
      </c>
      <c r="C1276" s="1">
        <v>90.0</v>
      </c>
      <c r="D1276" s="2" t="s">
        <v>451</v>
      </c>
      <c r="E1276" s="1">
        <v>47.0</v>
      </c>
      <c r="F1276" s="1">
        <v>13.0</v>
      </c>
      <c r="G1276" s="1">
        <v>0.0</v>
      </c>
      <c r="H1276" s="1">
        <v>0.0</v>
      </c>
      <c r="I1276" s="1">
        <v>0.0</v>
      </c>
      <c r="J1276" s="1">
        <v>0.0</v>
      </c>
      <c r="K1276" s="1">
        <v>0.01</v>
      </c>
      <c r="L1276" s="1">
        <v>2.62E7</v>
      </c>
      <c r="M1276" s="1" t="s">
        <v>5620</v>
      </c>
      <c r="N1276" s="18">
        <v>46017.0</v>
      </c>
      <c r="O1276" s="1" t="s">
        <v>5359</v>
      </c>
      <c r="P1276" s="1" t="s">
        <v>3230</v>
      </c>
      <c r="Q1276" s="1" t="s">
        <v>3408</v>
      </c>
    </row>
    <row r="1277">
      <c r="A1277" s="1" t="s">
        <v>5621</v>
      </c>
      <c r="B1277" s="1">
        <v>47.0</v>
      </c>
      <c r="C1277" s="1">
        <v>110.0</v>
      </c>
      <c r="D1277" s="2" t="s">
        <v>608</v>
      </c>
      <c r="E1277" s="1">
        <v>47.0</v>
      </c>
      <c r="F1277" s="1">
        <v>27.0</v>
      </c>
      <c r="G1277" s="1">
        <v>2.41</v>
      </c>
      <c r="H1277" s="1">
        <v>0.0</v>
      </c>
      <c r="I1277" s="1">
        <v>0.0</v>
      </c>
      <c r="J1277" s="1">
        <v>0.0</v>
      </c>
      <c r="K1277" s="1">
        <v>0.22</v>
      </c>
      <c r="L1277" s="1">
        <v>7.12E7</v>
      </c>
      <c r="M1277" s="1" t="s">
        <v>5622</v>
      </c>
      <c r="N1277" s="18">
        <v>46017.0</v>
      </c>
      <c r="O1277" s="1" t="s">
        <v>5623</v>
      </c>
      <c r="P1277" s="1" t="s">
        <v>3294</v>
      </c>
      <c r="Q1277" s="1" t="s">
        <v>3408</v>
      </c>
    </row>
    <row r="1278">
      <c r="A1278" s="1" t="s">
        <v>5624</v>
      </c>
      <c r="B1278" s="1">
        <v>47.0</v>
      </c>
      <c r="C1278" s="1">
        <v>70.0</v>
      </c>
      <c r="D1278" s="2" t="s">
        <v>439</v>
      </c>
      <c r="E1278" s="1">
        <v>47.0</v>
      </c>
      <c r="F1278" s="1">
        <v>17.0</v>
      </c>
      <c r="G1278" s="1">
        <v>0.0</v>
      </c>
      <c r="H1278" s="1">
        <v>0.0</v>
      </c>
      <c r="I1278" s="1">
        <v>0.0</v>
      </c>
      <c r="J1278" s="1">
        <v>0.0</v>
      </c>
      <c r="K1278" s="1">
        <v>0.05</v>
      </c>
      <c r="L1278" s="1">
        <v>3520.0</v>
      </c>
      <c r="M1278" s="1" t="s">
        <v>5625</v>
      </c>
      <c r="N1278" s="18">
        <v>46017.0</v>
      </c>
      <c r="O1278" s="1" t="s">
        <v>4617</v>
      </c>
      <c r="P1278" s="1" t="s">
        <v>3294</v>
      </c>
      <c r="Q1278" s="1" t="s">
        <v>3408</v>
      </c>
    </row>
    <row r="1279">
      <c r="A1279" s="1" t="s">
        <v>5626</v>
      </c>
      <c r="B1279" s="1">
        <v>47.0</v>
      </c>
      <c r="C1279" s="1">
        <v>70.0</v>
      </c>
      <c r="D1279" s="2" t="s">
        <v>724</v>
      </c>
      <c r="E1279" s="1">
        <v>47.0</v>
      </c>
      <c r="F1279" s="1">
        <v>0.0</v>
      </c>
      <c r="G1279" s="1">
        <v>0.0</v>
      </c>
      <c r="H1279" s="1">
        <v>0.0</v>
      </c>
      <c r="I1279" s="1">
        <v>0.0</v>
      </c>
      <c r="J1279" s="1">
        <v>0.0</v>
      </c>
      <c r="K1279" s="1">
        <v>0.33</v>
      </c>
      <c r="L1279" s="1">
        <v>2930000.0</v>
      </c>
      <c r="M1279" s="1" t="s">
        <v>5627</v>
      </c>
      <c r="N1279" s="18">
        <v>46017.0</v>
      </c>
      <c r="O1279" s="1" t="s">
        <v>3237</v>
      </c>
      <c r="P1279" s="1" t="s">
        <v>3230</v>
      </c>
      <c r="Q1279" s="1" t="s">
        <v>3408</v>
      </c>
    </row>
    <row r="1280">
      <c r="A1280" s="1" t="s">
        <v>5628</v>
      </c>
      <c r="B1280" s="1">
        <v>47.0</v>
      </c>
      <c r="C1280" s="1">
        <v>70.0</v>
      </c>
      <c r="D1280" s="2" t="s">
        <v>839</v>
      </c>
      <c r="E1280" s="1">
        <v>47.0</v>
      </c>
      <c r="F1280" s="1">
        <v>24.0</v>
      </c>
      <c r="G1280" s="1">
        <v>1.6</v>
      </c>
      <c r="H1280" s="1">
        <v>0.0</v>
      </c>
      <c r="I1280" s="1">
        <v>0.0</v>
      </c>
      <c r="J1280" s="1">
        <v>0.0</v>
      </c>
      <c r="K1280" s="1">
        <v>0.02</v>
      </c>
      <c r="L1280" s="1">
        <v>1150000.0</v>
      </c>
      <c r="M1280" s="1" t="s">
        <v>5629</v>
      </c>
      <c r="N1280" s="18">
        <v>46017.0</v>
      </c>
      <c r="O1280" s="1" t="s">
        <v>5630</v>
      </c>
      <c r="P1280" s="1" t="s">
        <v>3257</v>
      </c>
      <c r="Q1280" s="1" t="s">
        <v>3408</v>
      </c>
    </row>
    <row r="1281">
      <c r="A1281" s="1" t="s">
        <v>3438</v>
      </c>
      <c r="B1281" s="1">
        <v>47.0</v>
      </c>
      <c r="C1281" s="1">
        <v>70.0</v>
      </c>
      <c r="D1281" s="2" t="s">
        <v>636</v>
      </c>
      <c r="E1281" s="1">
        <v>47.0</v>
      </c>
      <c r="F1281" s="1">
        <v>37.0</v>
      </c>
      <c r="G1281" s="1">
        <v>9.29</v>
      </c>
      <c r="H1281" s="1">
        <v>0.0</v>
      </c>
      <c r="I1281" s="1">
        <v>0.0</v>
      </c>
      <c r="J1281" s="1">
        <v>0.0</v>
      </c>
      <c r="K1281" s="1">
        <v>0.49</v>
      </c>
      <c r="L1281" s="1">
        <v>75000.0</v>
      </c>
      <c r="M1281" s="1" t="s">
        <v>3439</v>
      </c>
      <c r="N1281" s="18">
        <v>46017.0</v>
      </c>
      <c r="O1281" s="1" t="s">
        <v>3435</v>
      </c>
      <c r="P1281" s="1" t="s">
        <v>3257</v>
      </c>
      <c r="Q1281" s="1" t="s">
        <v>3408</v>
      </c>
    </row>
    <row r="1282">
      <c r="A1282" s="1" t="s">
        <v>5631</v>
      </c>
      <c r="B1282" s="1">
        <v>47.0</v>
      </c>
      <c r="C1282" s="1">
        <v>170.0</v>
      </c>
      <c r="D1282" s="2" t="s">
        <v>1868</v>
      </c>
      <c r="E1282" s="1">
        <v>47.0</v>
      </c>
      <c r="F1282" s="1">
        <v>40.0</v>
      </c>
      <c r="G1282" s="1">
        <v>0.0</v>
      </c>
      <c r="H1282" s="1">
        <v>0.0</v>
      </c>
      <c r="I1282" s="1">
        <v>0.0</v>
      </c>
      <c r="J1282" s="1">
        <v>0.0</v>
      </c>
      <c r="K1282" s="1">
        <v>0.0</v>
      </c>
      <c r="L1282" s="1">
        <v>4.22E8</v>
      </c>
      <c r="M1282" s="1" t="s">
        <v>5632</v>
      </c>
      <c r="N1282" s="18">
        <v>46014.0</v>
      </c>
      <c r="O1282" s="1" t="s">
        <v>5344</v>
      </c>
      <c r="P1282" s="1" t="s">
        <v>3230</v>
      </c>
      <c r="Q1282" s="1" t="s">
        <v>3408</v>
      </c>
    </row>
    <row r="1283">
      <c r="A1283" s="1" t="s">
        <v>5633</v>
      </c>
      <c r="B1283" s="1">
        <v>47.0</v>
      </c>
      <c r="C1283" s="1">
        <v>90.0</v>
      </c>
      <c r="D1283" s="2" t="s">
        <v>1912</v>
      </c>
      <c r="E1283" s="1">
        <v>47.0</v>
      </c>
      <c r="F1283" s="1">
        <v>14.0</v>
      </c>
      <c r="G1283" s="1">
        <v>0.0</v>
      </c>
      <c r="H1283" s="1">
        <v>0.0</v>
      </c>
      <c r="I1283" s="1">
        <v>0.0</v>
      </c>
      <c r="J1283" s="1">
        <v>0.0</v>
      </c>
      <c r="K1283" s="1">
        <v>0.01</v>
      </c>
      <c r="L1283" s="1">
        <v>541000.0</v>
      </c>
      <c r="M1283" s="1" t="s">
        <v>5634</v>
      </c>
      <c r="N1283" s="18">
        <v>46013.0</v>
      </c>
      <c r="O1283" s="1" t="s">
        <v>3258</v>
      </c>
      <c r="P1283" s="1" t="s">
        <v>3334</v>
      </c>
      <c r="Q1283" s="1" t="s">
        <v>3408</v>
      </c>
    </row>
    <row r="1284">
      <c r="A1284" s="1" t="s">
        <v>5635</v>
      </c>
      <c r="B1284" s="1">
        <v>47.0</v>
      </c>
      <c r="C1284" s="1">
        <v>320.0</v>
      </c>
      <c r="D1284" s="2" t="s">
        <v>716</v>
      </c>
      <c r="E1284" s="1">
        <v>47.0</v>
      </c>
      <c r="F1284" s="1">
        <v>9.0</v>
      </c>
      <c r="G1284" s="1">
        <v>80.22</v>
      </c>
      <c r="H1284" s="1">
        <v>0.0</v>
      </c>
      <c r="I1284" s="1">
        <v>0.0</v>
      </c>
      <c r="J1284" s="1">
        <v>0.0</v>
      </c>
      <c r="K1284" s="1">
        <v>0.05</v>
      </c>
      <c r="L1284" s="1">
        <v>725000.0</v>
      </c>
      <c r="M1284" s="1" t="s">
        <v>5636</v>
      </c>
      <c r="N1284" s="18">
        <v>46011.0</v>
      </c>
      <c r="O1284" s="1" t="s">
        <v>3432</v>
      </c>
      <c r="P1284" s="1" t="s">
        <v>3257</v>
      </c>
      <c r="Q1284" s="1" t="s">
        <v>3408</v>
      </c>
    </row>
    <row r="1285">
      <c r="A1285" s="1" t="s">
        <v>3902</v>
      </c>
      <c r="B1285" s="1">
        <v>47.0</v>
      </c>
      <c r="C1285" s="1">
        <v>70.0</v>
      </c>
      <c r="D1285" s="2" t="s">
        <v>1063</v>
      </c>
      <c r="E1285" s="1">
        <v>47.0</v>
      </c>
      <c r="F1285" s="1">
        <v>17.0</v>
      </c>
      <c r="G1285" s="1">
        <v>16.92</v>
      </c>
      <c r="H1285" s="1">
        <v>0.0</v>
      </c>
      <c r="I1285" s="1">
        <v>0.0</v>
      </c>
      <c r="J1285" s="1">
        <v>0.0</v>
      </c>
      <c r="K1285" s="1">
        <v>0.48</v>
      </c>
      <c r="L1285" s="1">
        <v>2.2E7</v>
      </c>
      <c r="M1285" s="1" t="s">
        <v>3903</v>
      </c>
      <c r="N1285" s="18">
        <v>46010.0</v>
      </c>
      <c r="O1285" s="1" t="s">
        <v>3256</v>
      </c>
      <c r="P1285" s="1" t="s">
        <v>3257</v>
      </c>
      <c r="Q1285" s="1" t="s">
        <v>3408</v>
      </c>
    </row>
    <row r="1286">
      <c r="A1286" s="1" t="s">
        <v>5637</v>
      </c>
      <c r="B1286" s="1">
        <v>47.0</v>
      </c>
      <c r="C1286" s="1">
        <v>50.0</v>
      </c>
      <c r="D1286" s="2" t="s">
        <v>581</v>
      </c>
      <c r="E1286" s="1">
        <v>47.0</v>
      </c>
      <c r="F1286" s="1">
        <v>38.0</v>
      </c>
      <c r="G1286" s="1">
        <v>16.88</v>
      </c>
      <c r="H1286" s="1">
        <v>0.0</v>
      </c>
      <c r="I1286" s="1">
        <v>0.0</v>
      </c>
      <c r="J1286" s="1">
        <v>0.0</v>
      </c>
      <c r="K1286" s="1">
        <v>0.54</v>
      </c>
      <c r="L1286" s="1">
        <v>133000.0</v>
      </c>
      <c r="M1286" s="1" t="s">
        <v>5638</v>
      </c>
      <c r="N1286" s="18">
        <v>46003.0</v>
      </c>
      <c r="O1286" s="1" t="s">
        <v>3892</v>
      </c>
      <c r="P1286" s="1" t="s">
        <v>3257</v>
      </c>
      <c r="Q1286" s="1" t="s">
        <v>3408</v>
      </c>
    </row>
    <row r="1287">
      <c r="A1287" s="1" t="s">
        <v>5639</v>
      </c>
      <c r="B1287" s="1">
        <v>47.0</v>
      </c>
      <c r="C1287" s="1">
        <v>50.0</v>
      </c>
      <c r="D1287" s="2" t="s">
        <v>2416</v>
      </c>
      <c r="E1287" s="1">
        <v>47.0</v>
      </c>
      <c r="F1287" s="1">
        <v>6.0</v>
      </c>
      <c r="G1287" s="1">
        <v>0.0</v>
      </c>
      <c r="H1287" s="1">
        <v>0.0</v>
      </c>
      <c r="I1287" s="1">
        <v>0.0</v>
      </c>
      <c r="J1287" s="1">
        <v>0.0</v>
      </c>
      <c r="K1287" s="1">
        <v>0.0</v>
      </c>
      <c r="L1287" s="1">
        <v>1.72E7</v>
      </c>
      <c r="M1287" s="1" t="s">
        <v>5640</v>
      </c>
      <c r="N1287" s="18">
        <v>46001.0</v>
      </c>
      <c r="O1287" s="1" t="s">
        <v>4811</v>
      </c>
      <c r="P1287" s="1" t="s">
        <v>3230</v>
      </c>
      <c r="Q1287" s="1" t="s">
        <v>3408</v>
      </c>
    </row>
    <row r="1288">
      <c r="A1288" s="1" t="s">
        <v>3514</v>
      </c>
      <c r="B1288" s="1">
        <v>47.0</v>
      </c>
      <c r="C1288" s="1">
        <v>40.0</v>
      </c>
      <c r="D1288" s="2" t="s">
        <v>475</v>
      </c>
      <c r="E1288" s="1">
        <v>47.0</v>
      </c>
      <c r="F1288" s="1">
        <v>30.0</v>
      </c>
      <c r="G1288" s="1">
        <v>0.0</v>
      </c>
      <c r="H1288" s="1">
        <v>0.0</v>
      </c>
      <c r="I1288" s="1">
        <v>0.0</v>
      </c>
      <c r="J1288" s="1">
        <v>0.0</v>
      </c>
      <c r="K1288" s="1">
        <v>0.0</v>
      </c>
      <c r="L1288" s="1">
        <v>49200.0</v>
      </c>
      <c r="M1288" s="1" t="s">
        <v>3515</v>
      </c>
      <c r="N1288" s="18">
        <v>45992.0</v>
      </c>
      <c r="O1288" s="1" t="s">
        <v>3415</v>
      </c>
      <c r="P1288" s="1" t="s">
        <v>3257</v>
      </c>
      <c r="Q1288" s="1" t="s">
        <v>3408</v>
      </c>
    </row>
    <row r="1289">
      <c r="A1289" s="1" t="s">
        <v>5641</v>
      </c>
      <c r="B1289" s="1">
        <v>47.0</v>
      </c>
      <c r="C1289" s="1">
        <v>70.0</v>
      </c>
      <c r="D1289" s="2" t="s">
        <v>1060</v>
      </c>
      <c r="E1289" s="1">
        <v>47.0</v>
      </c>
      <c r="F1289" s="1">
        <v>26.0</v>
      </c>
      <c r="G1289" s="1">
        <v>14.73</v>
      </c>
      <c r="H1289" s="1">
        <v>0.0</v>
      </c>
      <c r="I1289" s="1">
        <v>0.0</v>
      </c>
      <c r="J1289" s="1">
        <v>0.0</v>
      </c>
      <c r="K1289" s="1">
        <v>0.63</v>
      </c>
      <c r="L1289" s="1">
        <v>2060000.0</v>
      </c>
      <c r="M1289" s="1" t="s">
        <v>5642</v>
      </c>
      <c r="N1289" s="18">
        <v>45990.0</v>
      </c>
      <c r="O1289" s="1" t="s">
        <v>3520</v>
      </c>
      <c r="P1289" s="1" t="s">
        <v>3257</v>
      </c>
      <c r="Q1289" s="1" t="s">
        <v>3408</v>
      </c>
    </row>
    <row r="1290">
      <c r="A1290" s="1" t="s">
        <v>5643</v>
      </c>
      <c r="B1290" s="1">
        <v>47.0</v>
      </c>
      <c r="C1290" s="1">
        <v>110.0</v>
      </c>
      <c r="D1290" s="2" t="s">
        <v>600</v>
      </c>
      <c r="E1290" s="1">
        <v>47.0</v>
      </c>
      <c r="F1290" s="1">
        <v>3.0</v>
      </c>
      <c r="G1290" s="1">
        <v>6.8</v>
      </c>
      <c r="H1290" s="1">
        <v>0.0</v>
      </c>
      <c r="I1290" s="1">
        <v>0.0</v>
      </c>
      <c r="J1290" s="1">
        <v>0.0</v>
      </c>
      <c r="K1290" s="1">
        <v>0.13</v>
      </c>
      <c r="L1290" s="1">
        <v>4760000.0</v>
      </c>
      <c r="M1290" s="1" t="s">
        <v>5644</v>
      </c>
      <c r="N1290" s="18">
        <v>45990.0</v>
      </c>
      <c r="O1290" s="1" t="s">
        <v>5645</v>
      </c>
      <c r="P1290" s="1" t="s">
        <v>3257</v>
      </c>
      <c r="Q1290" s="1" t="s">
        <v>3408</v>
      </c>
    </row>
    <row r="1291">
      <c r="A1291" s="1" t="s">
        <v>5646</v>
      </c>
      <c r="B1291" s="1">
        <v>47.0</v>
      </c>
      <c r="C1291" s="1">
        <v>140.0</v>
      </c>
      <c r="D1291" s="2" t="s">
        <v>1481</v>
      </c>
      <c r="E1291" s="1">
        <v>47.0</v>
      </c>
      <c r="F1291" s="1">
        <v>0.0</v>
      </c>
      <c r="G1291" s="1">
        <v>0.0</v>
      </c>
      <c r="H1291" s="1">
        <v>0.0</v>
      </c>
      <c r="I1291" s="1">
        <v>0.0</v>
      </c>
      <c r="J1291" s="1">
        <v>0.0</v>
      </c>
      <c r="K1291" s="1">
        <v>0.01</v>
      </c>
      <c r="L1291" s="1">
        <v>2370000.0</v>
      </c>
      <c r="M1291" s="1" t="s">
        <v>5647</v>
      </c>
      <c r="N1291" s="18">
        <v>45988.0</v>
      </c>
      <c r="O1291" s="1" t="s">
        <v>3264</v>
      </c>
      <c r="P1291" s="1" t="s">
        <v>3230</v>
      </c>
      <c r="Q1291" s="1" t="s">
        <v>3408</v>
      </c>
    </row>
    <row r="1292">
      <c r="A1292" s="1" t="s">
        <v>5648</v>
      </c>
      <c r="B1292" s="1">
        <v>47.0</v>
      </c>
      <c r="C1292" s="1">
        <v>50.0</v>
      </c>
      <c r="D1292" s="2" t="s">
        <v>1868</v>
      </c>
      <c r="E1292" s="1">
        <v>47.0</v>
      </c>
      <c r="F1292" s="1">
        <v>39.0</v>
      </c>
      <c r="G1292" s="1">
        <v>0.0</v>
      </c>
      <c r="H1292" s="1">
        <v>0.0</v>
      </c>
      <c r="I1292" s="1">
        <v>0.0</v>
      </c>
      <c r="J1292" s="1">
        <v>0.0</v>
      </c>
      <c r="K1292" s="1">
        <v>0.0</v>
      </c>
      <c r="L1292" s="1">
        <v>4.28E8</v>
      </c>
      <c r="M1292" s="1" t="s">
        <v>5649</v>
      </c>
      <c r="N1292" s="18">
        <v>45978.0</v>
      </c>
      <c r="O1292" s="1" t="s">
        <v>5650</v>
      </c>
      <c r="P1292" s="1" t="s">
        <v>3230</v>
      </c>
      <c r="Q1292" s="1" t="s">
        <v>3408</v>
      </c>
    </row>
    <row r="1293">
      <c r="A1293" s="1" t="s">
        <v>3753</v>
      </c>
      <c r="B1293" s="1">
        <v>48.0</v>
      </c>
      <c r="C1293" s="1">
        <v>30.0</v>
      </c>
      <c r="D1293" s="2" t="s">
        <v>1234</v>
      </c>
      <c r="E1293" s="1">
        <v>48.0</v>
      </c>
      <c r="F1293" s="1">
        <v>11.0</v>
      </c>
      <c r="G1293" s="1">
        <v>17.48</v>
      </c>
      <c r="H1293" s="1">
        <v>0.0</v>
      </c>
      <c r="I1293" s="1">
        <v>0.0</v>
      </c>
      <c r="J1293" s="1">
        <v>0.0</v>
      </c>
      <c r="K1293" s="1">
        <v>0.53</v>
      </c>
      <c r="L1293" s="1">
        <v>3850000.0</v>
      </c>
      <c r="M1293" s="1" t="s">
        <v>3754</v>
      </c>
      <c r="N1293" s="18">
        <v>46036.0</v>
      </c>
      <c r="O1293" s="1" t="s">
        <v>3755</v>
      </c>
      <c r="P1293" s="1" t="s">
        <v>3257</v>
      </c>
      <c r="Q1293" s="1" t="s">
        <v>3408</v>
      </c>
    </row>
    <row r="1294">
      <c r="A1294" s="1" t="s">
        <v>5651</v>
      </c>
      <c r="B1294" s="1">
        <v>48.0</v>
      </c>
      <c r="C1294" s="1">
        <v>590.0</v>
      </c>
      <c r="D1294" s="2" t="s">
        <v>2930</v>
      </c>
      <c r="E1294" s="1">
        <v>48.0</v>
      </c>
      <c r="F1294" s="1">
        <v>13.0</v>
      </c>
      <c r="G1294" s="1">
        <v>0.0</v>
      </c>
      <c r="H1294" s="1">
        <v>0.0</v>
      </c>
      <c r="I1294" s="1">
        <v>0.0</v>
      </c>
      <c r="J1294" s="1">
        <v>0.0</v>
      </c>
      <c r="K1294" s="1">
        <v>0.0</v>
      </c>
      <c r="L1294" s="1">
        <v>400000.0</v>
      </c>
      <c r="M1294" s="1" t="s">
        <v>5652</v>
      </c>
      <c r="N1294" s="18">
        <v>46035.0</v>
      </c>
      <c r="O1294" s="1" t="s">
        <v>3314</v>
      </c>
      <c r="P1294" s="1" t="s">
        <v>3230</v>
      </c>
      <c r="Q1294" s="1" t="s">
        <v>3408</v>
      </c>
    </row>
    <row r="1295">
      <c r="A1295" s="1" t="s">
        <v>5653</v>
      </c>
      <c r="B1295" s="1">
        <v>48.0</v>
      </c>
      <c r="C1295" s="1">
        <v>50.0</v>
      </c>
      <c r="D1295" s="2" t="s">
        <v>696</v>
      </c>
      <c r="E1295" s="1">
        <v>48.0</v>
      </c>
      <c r="F1295" s="1">
        <v>2.0</v>
      </c>
      <c r="G1295" s="1">
        <v>0.0</v>
      </c>
      <c r="H1295" s="1">
        <v>0.0</v>
      </c>
      <c r="I1295" s="1">
        <v>0.0</v>
      </c>
      <c r="J1295" s="1">
        <v>0.0</v>
      </c>
      <c r="K1295" s="1">
        <v>0.33</v>
      </c>
      <c r="L1295" s="1">
        <v>81200.0</v>
      </c>
      <c r="M1295" s="1" t="s">
        <v>5654</v>
      </c>
      <c r="N1295" s="18">
        <v>46032.0</v>
      </c>
      <c r="O1295" s="1" t="s">
        <v>4134</v>
      </c>
      <c r="P1295" s="1" t="s">
        <v>3334</v>
      </c>
      <c r="Q1295" s="1" t="s">
        <v>3408</v>
      </c>
    </row>
    <row r="1296">
      <c r="A1296" s="1" t="s">
        <v>3605</v>
      </c>
      <c r="B1296" s="1">
        <v>48.0</v>
      </c>
      <c r="C1296" s="1">
        <v>50.0</v>
      </c>
      <c r="D1296" s="2" t="s">
        <v>479</v>
      </c>
      <c r="E1296" s="1">
        <v>48.0</v>
      </c>
      <c r="G1296" s="1">
        <v>0.0</v>
      </c>
      <c r="H1296" s="1">
        <v>0.0</v>
      </c>
      <c r="I1296" s="1">
        <v>0.0</v>
      </c>
      <c r="J1296" s="1">
        <v>0.0</v>
      </c>
      <c r="K1296" s="1">
        <v>0.0</v>
      </c>
      <c r="L1296" s="1">
        <v>39600.0</v>
      </c>
      <c r="M1296" s="1" t="s">
        <v>3606</v>
      </c>
      <c r="N1296" s="18">
        <v>46030.0</v>
      </c>
      <c r="O1296" s="1" t="s">
        <v>3355</v>
      </c>
      <c r="P1296" s="1" t="s">
        <v>3257</v>
      </c>
      <c r="Q1296" s="1" t="s">
        <v>3408</v>
      </c>
    </row>
    <row r="1297">
      <c r="A1297" s="1" t="s">
        <v>5655</v>
      </c>
      <c r="B1297" s="1">
        <v>48.0</v>
      </c>
      <c r="C1297" s="1">
        <v>50.0</v>
      </c>
      <c r="D1297" s="2" t="s">
        <v>439</v>
      </c>
      <c r="E1297" s="1">
        <v>48.0</v>
      </c>
      <c r="F1297" s="1">
        <v>9.0</v>
      </c>
      <c r="G1297" s="1">
        <v>4.29</v>
      </c>
      <c r="H1297" s="1">
        <v>0.0</v>
      </c>
      <c r="I1297" s="1">
        <v>0.0</v>
      </c>
      <c r="J1297" s="1">
        <v>0.0</v>
      </c>
      <c r="K1297" s="1">
        <v>0.25</v>
      </c>
      <c r="L1297" s="1">
        <v>19700.0</v>
      </c>
      <c r="M1297" s="1" t="s">
        <v>5656</v>
      </c>
      <c r="N1297" s="18">
        <v>46027.0</v>
      </c>
      <c r="O1297" s="1" t="s">
        <v>5657</v>
      </c>
      <c r="P1297" s="1" t="s">
        <v>3257</v>
      </c>
      <c r="Q1297" s="1" t="s">
        <v>3408</v>
      </c>
    </row>
    <row r="1298">
      <c r="A1298" s="1" t="s">
        <v>3402</v>
      </c>
      <c r="B1298" s="1">
        <v>48.0</v>
      </c>
      <c r="C1298" s="1">
        <v>50.0</v>
      </c>
      <c r="D1298" s="2" t="s">
        <v>447</v>
      </c>
      <c r="E1298" s="1">
        <v>48.0</v>
      </c>
      <c r="F1298" s="1">
        <v>9.0</v>
      </c>
      <c r="G1298" s="1">
        <v>13.98</v>
      </c>
      <c r="H1298" s="1">
        <v>0.0</v>
      </c>
      <c r="I1298" s="1">
        <v>0.0</v>
      </c>
      <c r="J1298" s="1">
        <v>0.0</v>
      </c>
      <c r="K1298" s="1">
        <v>0.45</v>
      </c>
      <c r="L1298" s="1">
        <v>24000.0</v>
      </c>
      <c r="M1298" s="1" t="s">
        <v>3403</v>
      </c>
      <c r="N1298" s="18">
        <v>46026.0</v>
      </c>
      <c r="O1298" s="1" t="s">
        <v>3404</v>
      </c>
      <c r="P1298" s="1" t="s">
        <v>3257</v>
      </c>
      <c r="Q1298" s="1" t="s">
        <v>3408</v>
      </c>
    </row>
    <row r="1299">
      <c r="A1299" s="1" t="s">
        <v>3808</v>
      </c>
      <c r="B1299" s="1">
        <v>48.0</v>
      </c>
      <c r="C1299" s="1">
        <v>50.0</v>
      </c>
      <c r="D1299" s="2" t="s">
        <v>1217</v>
      </c>
      <c r="E1299" s="1">
        <v>48.0</v>
      </c>
      <c r="F1299" s="1">
        <v>1.0</v>
      </c>
      <c r="G1299" s="1">
        <v>0.0</v>
      </c>
      <c r="H1299" s="1">
        <v>0.0</v>
      </c>
      <c r="I1299" s="1">
        <v>0.0</v>
      </c>
      <c r="J1299" s="1">
        <v>0.0</v>
      </c>
      <c r="K1299" s="1">
        <v>0.0</v>
      </c>
      <c r="L1299" s="1">
        <v>9260000.0</v>
      </c>
      <c r="M1299" s="1" t="s">
        <v>3809</v>
      </c>
      <c r="N1299" s="18">
        <v>46023.0</v>
      </c>
      <c r="O1299" s="1" t="s">
        <v>3482</v>
      </c>
      <c r="P1299" s="1" t="s">
        <v>3257</v>
      </c>
      <c r="Q1299" s="1" t="s">
        <v>3408</v>
      </c>
    </row>
    <row r="1300">
      <c r="A1300" s="1" t="s">
        <v>5658</v>
      </c>
      <c r="B1300" s="1">
        <v>48.0</v>
      </c>
      <c r="C1300" s="1">
        <v>140.0</v>
      </c>
      <c r="D1300" s="2" t="s">
        <v>1129</v>
      </c>
      <c r="E1300" s="1">
        <v>48.0</v>
      </c>
      <c r="F1300" s="1">
        <v>11.0</v>
      </c>
      <c r="G1300" s="1">
        <v>2.32</v>
      </c>
      <c r="H1300" s="1">
        <v>0.0</v>
      </c>
      <c r="I1300" s="1">
        <v>0.0</v>
      </c>
      <c r="J1300" s="1">
        <v>0.0</v>
      </c>
      <c r="K1300" s="1">
        <v>0.16</v>
      </c>
      <c r="L1300" s="1">
        <v>2390000.0</v>
      </c>
      <c r="M1300" s="1" t="s">
        <v>5659</v>
      </c>
      <c r="N1300" s="18">
        <v>46022.0</v>
      </c>
      <c r="O1300" s="1" t="s">
        <v>5660</v>
      </c>
      <c r="P1300" s="1" t="s">
        <v>3257</v>
      </c>
      <c r="Q1300" s="1" t="s">
        <v>3408</v>
      </c>
    </row>
    <row r="1301">
      <c r="A1301" s="1" t="s">
        <v>5661</v>
      </c>
      <c r="B1301" s="1">
        <v>48.0</v>
      </c>
      <c r="C1301" s="1">
        <v>260.0</v>
      </c>
      <c r="D1301" s="2" t="s">
        <v>754</v>
      </c>
      <c r="E1301" s="1">
        <v>48.0</v>
      </c>
      <c r="F1301" s="1">
        <v>18.0</v>
      </c>
      <c r="G1301" s="1">
        <v>23.05</v>
      </c>
      <c r="H1301" s="1">
        <v>0.0</v>
      </c>
      <c r="I1301" s="1">
        <v>0.0</v>
      </c>
      <c r="J1301" s="1">
        <v>0.0</v>
      </c>
      <c r="K1301" s="1">
        <v>0.09</v>
      </c>
      <c r="L1301" s="1">
        <v>9240000.0</v>
      </c>
      <c r="M1301" s="1" t="s">
        <v>5662</v>
      </c>
      <c r="N1301" s="18">
        <v>46020.0</v>
      </c>
      <c r="O1301" s="1" t="s">
        <v>3427</v>
      </c>
      <c r="P1301" s="1" t="s">
        <v>3257</v>
      </c>
      <c r="Q1301" s="1" t="s">
        <v>3408</v>
      </c>
    </row>
    <row r="1302">
      <c r="A1302" s="1" t="s">
        <v>5663</v>
      </c>
      <c r="B1302" s="1">
        <v>48.0</v>
      </c>
      <c r="C1302" s="1">
        <v>110.0</v>
      </c>
      <c r="D1302" s="2" t="s">
        <v>2247</v>
      </c>
      <c r="E1302" s="1">
        <v>48.0</v>
      </c>
      <c r="F1302" s="1">
        <v>17.0</v>
      </c>
      <c r="G1302" s="1">
        <v>0.0</v>
      </c>
      <c r="H1302" s="1">
        <v>0.0</v>
      </c>
      <c r="I1302" s="1">
        <v>0.0</v>
      </c>
      <c r="J1302" s="1">
        <v>0.0</v>
      </c>
      <c r="K1302" s="1">
        <v>0.0</v>
      </c>
      <c r="L1302" s="1">
        <v>1030000.0</v>
      </c>
      <c r="M1302" s="1" t="s">
        <v>5664</v>
      </c>
      <c r="N1302" s="18">
        <v>46018.0</v>
      </c>
      <c r="O1302" s="1" t="s">
        <v>5665</v>
      </c>
      <c r="P1302" s="1" t="s">
        <v>3230</v>
      </c>
      <c r="Q1302" s="1" t="s">
        <v>3408</v>
      </c>
    </row>
    <row r="1303">
      <c r="A1303" s="1" t="s">
        <v>5666</v>
      </c>
      <c r="B1303" s="1">
        <v>48.0</v>
      </c>
      <c r="C1303" s="1">
        <v>90.0</v>
      </c>
      <c r="D1303" s="2" t="s">
        <v>1035</v>
      </c>
      <c r="E1303" s="1">
        <v>48.0</v>
      </c>
      <c r="F1303" s="1">
        <v>2.0</v>
      </c>
      <c r="G1303" s="1">
        <v>0.0</v>
      </c>
      <c r="H1303" s="1">
        <v>0.0</v>
      </c>
      <c r="I1303" s="1">
        <v>0.0</v>
      </c>
      <c r="J1303" s="1">
        <v>0.0</v>
      </c>
      <c r="K1303" s="1">
        <v>0.24</v>
      </c>
      <c r="L1303" s="1">
        <v>6410000.0</v>
      </c>
      <c r="M1303" s="1" t="s">
        <v>5667</v>
      </c>
      <c r="N1303" s="18">
        <v>46018.0</v>
      </c>
      <c r="O1303" s="1" t="s">
        <v>3284</v>
      </c>
      <c r="P1303" s="1" t="s">
        <v>3230</v>
      </c>
      <c r="Q1303" s="1" t="s">
        <v>3408</v>
      </c>
    </row>
    <row r="1304">
      <c r="A1304" s="1" t="s">
        <v>3436</v>
      </c>
      <c r="B1304" s="1">
        <v>48.0</v>
      </c>
      <c r="C1304" s="1">
        <v>170.0</v>
      </c>
      <c r="D1304" s="2" t="s">
        <v>824</v>
      </c>
      <c r="E1304" s="1">
        <v>48.0</v>
      </c>
      <c r="F1304" s="1">
        <v>19.0</v>
      </c>
      <c r="G1304" s="1">
        <v>13.28</v>
      </c>
      <c r="H1304" s="1">
        <v>0.0</v>
      </c>
      <c r="I1304" s="1">
        <v>0.0</v>
      </c>
      <c r="J1304" s="1">
        <v>0.0</v>
      </c>
      <c r="K1304" s="1">
        <v>0.21</v>
      </c>
      <c r="L1304" s="1">
        <v>60800.0</v>
      </c>
      <c r="M1304" s="1" t="s">
        <v>3437</v>
      </c>
      <c r="N1304" s="18">
        <v>46017.0</v>
      </c>
      <c r="O1304" s="1" t="s">
        <v>3435</v>
      </c>
      <c r="P1304" s="1" t="s">
        <v>3257</v>
      </c>
      <c r="Q1304" s="1" t="s">
        <v>3408</v>
      </c>
    </row>
    <row r="1305">
      <c r="A1305" s="1" t="s">
        <v>5668</v>
      </c>
      <c r="B1305" s="1">
        <v>48.0</v>
      </c>
      <c r="C1305" s="1">
        <v>70.0</v>
      </c>
      <c r="D1305" s="2" t="s">
        <v>600</v>
      </c>
      <c r="E1305" s="1">
        <v>48.0</v>
      </c>
      <c r="F1305" s="1">
        <v>8.0</v>
      </c>
      <c r="G1305" s="1">
        <v>4.18</v>
      </c>
      <c r="H1305" s="1">
        <v>0.0</v>
      </c>
      <c r="I1305" s="1">
        <v>0.0</v>
      </c>
      <c r="J1305" s="1">
        <v>0.0</v>
      </c>
      <c r="K1305" s="1">
        <v>0.07</v>
      </c>
      <c r="L1305" s="1">
        <v>4250000.0</v>
      </c>
      <c r="M1305" s="1" t="s">
        <v>5669</v>
      </c>
      <c r="N1305" s="18">
        <v>46015.0</v>
      </c>
      <c r="O1305" s="1" t="s">
        <v>3256</v>
      </c>
      <c r="P1305" s="1" t="s">
        <v>3257</v>
      </c>
      <c r="Q1305" s="1" t="s">
        <v>3408</v>
      </c>
    </row>
    <row r="1306">
      <c r="A1306" s="1" t="s">
        <v>5670</v>
      </c>
      <c r="B1306" s="1">
        <v>48.0</v>
      </c>
      <c r="C1306" s="1">
        <v>40.0</v>
      </c>
      <c r="D1306" s="2" t="s">
        <v>439</v>
      </c>
      <c r="E1306" s="1">
        <v>48.0</v>
      </c>
      <c r="F1306" s="1">
        <v>27.0</v>
      </c>
      <c r="G1306" s="1">
        <v>0.0</v>
      </c>
      <c r="H1306" s="1">
        <v>0.0</v>
      </c>
      <c r="I1306" s="1">
        <v>0.0</v>
      </c>
      <c r="J1306" s="1">
        <v>0.0</v>
      </c>
      <c r="K1306" s="1">
        <v>0.01</v>
      </c>
      <c r="L1306" s="1">
        <v>1240000.0</v>
      </c>
      <c r="M1306" s="1" t="s">
        <v>5671</v>
      </c>
      <c r="N1306" s="18">
        <v>46014.0</v>
      </c>
      <c r="O1306" s="1" t="s">
        <v>4372</v>
      </c>
      <c r="P1306" s="1" t="s">
        <v>3294</v>
      </c>
      <c r="Q1306" s="1" t="s">
        <v>3408</v>
      </c>
    </row>
    <row r="1307">
      <c r="A1307" s="1" t="s">
        <v>5672</v>
      </c>
      <c r="B1307" s="1">
        <v>48.0</v>
      </c>
      <c r="C1307" s="1">
        <v>50.0</v>
      </c>
      <c r="D1307" s="2" t="s">
        <v>792</v>
      </c>
      <c r="E1307" s="1">
        <v>48.0</v>
      </c>
      <c r="F1307" s="1">
        <v>0.0</v>
      </c>
      <c r="G1307" s="1">
        <v>0.0</v>
      </c>
      <c r="H1307" s="1">
        <v>0.0</v>
      </c>
      <c r="I1307" s="1">
        <v>0.0</v>
      </c>
      <c r="J1307" s="1">
        <v>0.0</v>
      </c>
      <c r="K1307" s="1">
        <v>0.0</v>
      </c>
      <c r="L1307" s="1">
        <v>166000.0</v>
      </c>
      <c r="M1307" s="1" t="s">
        <v>5673</v>
      </c>
      <c r="N1307" s="18">
        <v>46014.0</v>
      </c>
      <c r="O1307" s="1" t="s">
        <v>5674</v>
      </c>
      <c r="P1307" s="1" t="s">
        <v>3334</v>
      </c>
      <c r="Q1307" s="1" t="s">
        <v>3408</v>
      </c>
    </row>
    <row r="1308">
      <c r="A1308" s="1" t="s">
        <v>5675</v>
      </c>
      <c r="B1308" s="1">
        <v>48.0</v>
      </c>
      <c r="C1308" s="1">
        <v>90.0</v>
      </c>
      <c r="D1308" s="2" t="s">
        <v>1307</v>
      </c>
      <c r="E1308" s="1">
        <v>48.0</v>
      </c>
      <c r="F1308" s="1">
        <v>0.0</v>
      </c>
      <c r="G1308" s="1">
        <v>0.0</v>
      </c>
      <c r="H1308" s="1">
        <v>0.0</v>
      </c>
      <c r="I1308" s="1">
        <v>0.0</v>
      </c>
      <c r="J1308" s="1">
        <v>0.0</v>
      </c>
      <c r="K1308" s="1">
        <v>0.0</v>
      </c>
      <c r="L1308" s="1">
        <v>162000.0</v>
      </c>
      <c r="M1308" s="1" t="s">
        <v>5676</v>
      </c>
      <c r="N1308" s="18">
        <v>46013.0</v>
      </c>
      <c r="O1308" s="1" t="s">
        <v>3252</v>
      </c>
      <c r="P1308" s="1" t="s">
        <v>3230</v>
      </c>
      <c r="Q1308" s="1" t="s">
        <v>3408</v>
      </c>
    </row>
    <row r="1309">
      <c r="A1309" s="1" t="s">
        <v>5677</v>
      </c>
      <c r="B1309" s="1">
        <v>48.0</v>
      </c>
      <c r="C1309" s="1">
        <v>140.0</v>
      </c>
      <c r="D1309" s="2" t="s">
        <v>1868</v>
      </c>
      <c r="E1309" s="1">
        <v>48.0</v>
      </c>
      <c r="F1309" s="1">
        <v>45.0</v>
      </c>
      <c r="G1309" s="1">
        <v>0.0</v>
      </c>
      <c r="H1309" s="1">
        <v>0.0</v>
      </c>
      <c r="I1309" s="1">
        <v>0.0</v>
      </c>
      <c r="J1309" s="1">
        <v>0.0</v>
      </c>
      <c r="K1309" s="1">
        <v>0.0</v>
      </c>
      <c r="L1309" s="1">
        <v>4.25E8</v>
      </c>
      <c r="M1309" s="1" t="s">
        <v>5678</v>
      </c>
      <c r="N1309" s="18">
        <v>46012.0</v>
      </c>
      <c r="O1309" s="1" t="s">
        <v>5344</v>
      </c>
      <c r="P1309" s="1" t="s">
        <v>3230</v>
      </c>
      <c r="Q1309" s="1" t="s">
        <v>3408</v>
      </c>
    </row>
    <row r="1310">
      <c r="A1310" s="1" t="s">
        <v>4488</v>
      </c>
      <c r="B1310" s="1">
        <v>48.0</v>
      </c>
      <c r="C1310" s="1">
        <v>50.0</v>
      </c>
      <c r="D1310" s="2" t="s">
        <v>581</v>
      </c>
      <c r="E1310" s="1">
        <v>48.0</v>
      </c>
      <c r="F1310" s="1">
        <v>15.0</v>
      </c>
      <c r="G1310" s="1">
        <v>28.38</v>
      </c>
      <c r="H1310" s="1">
        <v>0.0</v>
      </c>
      <c r="I1310" s="1">
        <v>0.0</v>
      </c>
      <c r="J1310" s="1">
        <v>0.0</v>
      </c>
      <c r="K1310" s="1">
        <v>0.04</v>
      </c>
      <c r="L1310" s="1">
        <v>2710000.0</v>
      </c>
      <c r="M1310" s="1" t="s">
        <v>4489</v>
      </c>
      <c r="N1310" s="18">
        <v>46010.0</v>
      </c>
      <c r="O1310" s="1" t="s">
        <v>4490</v>
      </c>
      <c r="P1310" s="1" t="s">
        <v>3294</v>
      </c>
      <c r="Q1310" s="1" t="s">
        <v>3408</v>
      </c>
    </row>
    <row r="1311">
      <c r="A1311" s="1" t="s">
        <v>5679</v>
      </c>
      <c r="B1311" s="1">
        <v>48.0</v>
      </c>
      <c r="C1311" s="1">
        <v>40.0</v>
      </c>
      <c r="D1311" s="2" t="s">
        <v>696</v>
      </c>
      <c r="E1311" s="1">
        <v>48.0</v>
      </c>
      <c r="F1311" s="1">
        <v>2.0</v>
      </c>
      <c r="G1311" s="1">
        <v>0.0</v>
      </c>
      <c r="H1311" s="1">
        <v>0.0</v>
      </c>
      <c r="I1311" s="1">
        <v>0.0</v>
      </c>
      <c r="J1311" s="1">
        <v>0.0</v>
      </c>
      <c r="K1311" s="1">
        <v>0.0</v>
      </c>
      <c r="L1311" s="1">
        <v>78300.0</v>
      </c>
      <c r="M1311" s="1" t="s">
        <v>5680</v>
      </c>
      <c r="N1311" s="18">
        <v>46009.0</v>
      </c>
      <c r="O1311" s="1" t="s">
        <v>4414</v>
      </c>
      <c r="P1311" s="1" t="s">
        <v>3230</v>
      </c>
      <c r="Q1311" s="1" t="s">
        <v>3408</v>
      </c>
    </row>
    <row r="1312">
      <c r="A1312" s="1" t="s">
        <v>5681</v>
      </c>
      <c r="B1312" s="1">
        <v>48.0</v>
      </c>
      <c r="C1312" s="1">
        <v>260.0</v>
      </c>
      <c r="D1312" s="2" t="s">
        <v>770</v>
      </c>
      <c r="E1312" s="1">
        <v>48.0</v>
      </c>
      <c r="F1312" s="1">
        <v>46.0</v>
      </c>
      <c r="G1312" s="1">
        <v>0.0</v>
      </c>
      <c r="H1312" s="1">
        <v>0.0</v>
      </c>
      <c r="I1312" s="1">
        <v>0.0</v>
      </c>
      <c r="J1312" s="1">
        <v>0.0</v>
      </c>
      <c r="K1312" s="1">
        <v>0.0</v>
      </c>
      <c r="L1312" s="1">
        <v>1870000.0</v>
      </c>
      <c r="M1312" s="1" t="s">
        <v>5682</v>
      </c>
      <c r="N1312" s="18">
        <v>46008.0</v>
      </c>
      <c r="O1312" s="1" t="s">
        <v>3407</v>
      </c>
      <c r="P1312" s="1" t="s">
        <v>3230</v>
      </c>
      <c r="Q1312" s="1" t="s">
        <v>3408</v>
      </c>
    </row>
    <row r="1313">
      <c r="A1313" s="1" t="s">
        <v>5683</v>
      </c>
      <c r="B1313" s="1">
        <v>48.0</v>
      </c>
      <c r="C1313" s="1">
        <v>210.0</v>
      </c>
      <c r="D1313" s="2" t="s">
        <v>1868</v>
      </c>
      <c r="E1313" s="1">
        <v>48.0</v>
      </c>
      <c r="F1313" s="1">
        <v>43.0</v>
      </c>
      <c r="G1313" s="1">
        <v>0.0</v>
      </c>
      <c r="H1313" s="1">
        <v>0.0</v>
      </c>
      <c r="I1313" s="1">
        <v>0.0</v>
      </c>
      <c r="J1313" s="1">
        <v>0.0</v>
      </c>
      <c r="K1313" s="1">
        <v>0.0</v>
      </c>
      <c r="L1313" s="1">
        <v>4.22E8</v>
      </c>
      <c r="M1313" s="1" t="s">
        <v>5684</v>
      </c>
      <c r="N1313" s="18">
        <v>46003.0</v>
      </c>
      <c r="O1313" s="1" t="s">
        <v>5344</v>
      </c>
      <c r="P1313" s="1" t="s">
        <v>3230</v>
      </c>
      <c r="Q1313" s="1" t="s">
        <v>3408</v>
      </c>
    </row>
    <row r="1314">
      <c r="A1314" s="1" t="s">
        <v>5685</v>
      </c>
      <c r="B1314" s="1">
        <v>48.0</v>
      </c>
      <c r="C1314" s="1">
        <v>90.0</v>
      </c>
      <c r="D1314" s="2" t="s">
        <v>1868</v>
      </c>
      <c r="E1314" s="1">
        <v>48.0</v>
      </c>
      <c r="F1314" s="1">
        <v>40.0</v>
      </c>
      <c r="G1314" s="1">
        <v>0.0</v>
      </c>
      <c r="H1314" s="1">
        <v>0.0</v>
      </c>
      <c r="I1314" s="1">
        <v>0.0</v>
      </c>
      <c r="J1314" s="1">
        <v>0.0</v>
      </c>
      <c r="K1314" s="1">
        <v>0.0</v>
      </c>
      <c r="L1314" s="1">
        <v>1.75E8</v>
      </c>
      <c r="M1314" s="1" t="s">
        <v>5686</v>
      </c>
      <c r="N1314" s="18">
        <v>46002.0</v>
      </c>
      <c r="O1314" s="1" t="s">
        <v>3499</v>
      </c>
      <c r="P1314" s="1" t="s">
        <v>3230</v>
      </c>
      <c r="Q1314" s="1" t="s">
        <v>3408</v>
      </c>
    </row>
    <row r="1315">
      <c r="A1315" s="1" t="s">
        <v>3716</v>
      </c>
      <c r="B1315" s="1">
        <v>48.0</v>
      </c>
      <c r="C1315" s="1">
        <v>30.0</v>
      </c>
      <c r="D1315" s="2" t="s">
        <v>1008</v>
      </c>
      <c r="E1315" s="1">
        <v>48.0</v>
      </c>
      <c r="F1315" s="1">
        <v>48.0</v>
      </c>
      <c r="G1315" s="1">
        <v>21.97</v>
      </c>
      <c r="H1315" s="1">
        <v>0.0</v>
      </c>
      <c r="I1315" s="1">
        <v>0.0</v>
      </c>
      <c r="J1315" s="1">
        <v>0.0</v>
      </c>
      <c r="K1315" s="1">
        <v>0.09</v>
      </c>
      <c r="L1315" s="1">
        <v>724000.0</v>
      </c>
      <c r="M1315" s="1" t="s">
        <v>3717</v>
      </c>
      <c r="N1315" s="18">
        <v>46002.0</v>
      </c>
      <c r="O1315" s="1" t="s">
        <v>3435</v>
      </c>
      <c r="P1315" s="1" t="s">
        <v>3257</v>
      </c>
      <c r="Q1315" s="1" t="s">
        <v>3408</v>
      </c>
    </row>
    <row r="1316">
      <c r="A1316" s="1" t="s">
        <v>4641</v>
      </c>
      <c r="B1316" s="1">
        <v>48.0</v>
      </c>
      <c r="C1316" s="1">
        <v>50.0</v>
      </c>
      <c r="D1316" s="2" t="s">
        <v>5541</v>
      </c>
      <c r="E1316" s="1">
        <v>48.0</v>
      </c>
      <c r="F1316" s="1">
        <v>12.0</v>
      </c>
      <c r="G1316" s="1">
        <v>0.0</v>
      </c>
      <c r="H1316" s="1">
        <v>0.0</v>
      </c>
      <c r="I1316" s="1">
        <v>0.0</v>
      </c>
      <c r="J1316" s="1">
        <v>0.0</v>
      </c>
      <c r="K1316" s="1">
        <v>0.01</v>
      </c>
      <c r="L1316" s="1">
        <v>33900.0</v>
      </c>
      <c r="M1316" s="1" t="s">
        <v>4642</v>
      </c>
      <c r="N1316" s="18">
        <v>46002.0</v>
      </c>
      <c r="O1316" s="1" t="s">
        <v>4643</v>
      </c>
      <c r="P1316" s="1" t="s">
        <v>3257</v>
      </c>
      <c r="Q1316" s="1" t="s">
        <v>3408</v>
      </c>
    </row>
    <row r="1317">
      <c r="A1317" s="1" t="s">
        <v>5687</v>
      </c>
      <c r="B1317" s="1">
        <v>48.0</v>
      </c>
      <c r="C1317" s="1">
        <v>30.0</v>
      </c>
      <c r="D1317" s="2" t="s">
        <v>1109</v>
      </c>
      <c r="E1317" s="1">
        <v>48.0</v>
      </c>
      <c r="F1317" s="1">
        <v>2.0</v>
      </c>
      <c r="G1317" s="1">
        <v>5.58</v>
      </c>
      <c r="H1317" s="1">
        <v>0.0</v>
      </c>
      <c r="I1317" s="1">
        <v>0.0</v>
      </c>
      <c r="J1317" s="1">
        <v>0.0</v>
      </c>
      <c r="K1317" s="1">
        <v>0.22</v>
      </c>
      <c r="L1317" s="1">
        <v>8.21E7</v>
      </c>
      <c r="M1317" s="1" t="s">
        <v>5688</v>
      </c>
      <c r="N1317" s="18">
        <v>46001.0</v>
      </c>
      <c r="O1317" s="1" t="s">
        <v>5689</v>
      </c>
      <c r="P1317" s="1" t="s">
        <v>3230</v>
      </c>
      <c r="Q1317" s="1" t="s">
        <v>3408</v>
      </c>
    </row>
    <row r="1318">
      <c r="A1318" s="1" t="s">
        <v>5690</v>
      </c>
      <c r="B1318" s="1">
        <v>48.0</v>
      </c>
      <c r="C1318" s="1">
        <v>70.0</v>
      </c>
      <c r="D1318" s="2" t="s">
        <v>792</v>
      </c>
      <c r="E1318" s="1">
        <v>48.0</v>
      </c>
      <c r="F1318" s="1">
        <v>5.0</v>
      </c>
      <c r="G1318" s="1">
        <v>0.0</v>
      </c>
      <c r="H1318" s="1">
        <v>0.0</v>
      </c>
      <c r="I1318" s="1">
        <v>0.0</v>
      </c>
      <c r="J1318" s="1">
        <v>0.0</v>
      </c>
      <c r="K1318" s="1">
        <v>0.07</v>
      </c>
      <c r="L1318" s="1">
        <v>271000.0</v>
      </c>
      <c r="M1318" s="1" t="s">
        <v>5691</v>
      </c>
      <c r="N1318" s="18">
        <v>46000.0</v>
      </c>
      <c r="O1318" s="1" t="s">
        <v>3765</v>
      </c>
      <c r="P1318" s="1" t="s">
        <v>3257</v>
      </c>
      <c r="Q1318" s="1" t="s">
        <v>3408</v>
      </c>
    </row>
    <row r="1319">
      <c r="A1319" s="1" t="s">
        <v>5692</v>
      </c>
      <c r="B1319" s="1">
        <v>48.0</v>
      </c>
      <c r="C1319" s="1">
        <v>70.0</v>
      </c>
      <c r="D1319" s="2" t="s">
        <v>2253</v>
      </c>
      <c r="E1319" s="1">
        <v>48.0</v>
      </c>
      <c r="F1319" s="1">
        <v>22.0</v>
      </c>
      <c r="G1319" s="1">
        <v>0.0</v>
      </c>
      <c r="H1319" s="1">
        <v>0.0</v>
      </c>
      <c r="I1319" s="1">
        <v>0.0</v>
      </c>
      <c r="J1319" s="1">
        <v>0.0</v>
      </c>
      <c r="K1319" s="1">
        <v>0.0</v>
      </c>
      <c r="L1319" s="1">
        <v>1.6E8</v>
      </c>
      <c r="M1319" s="1" t="s">
        <v>5693</v>
      </c>
      <c r="N1319" s="18">
        <v>45999.0</v>
      </c>
      <c r="O1319" s="1" t="s">
        <v>3314</v>
      </c>
      <c r="P1319" s="1" t="s">
        <v>3230</v>
      </c>
      <c r="Q1319" s="1" t="s">
        <v>3408</v>
      </c>
    </row>
    <row r="1320">
      <c r="A1320" s="1" t="s">
        <v>5694</v>
      </c>
      <c r="B1320" s="1">
        <v>48.0</v>
      </c>
      <c r="C1320" s="1">
        <v>140.0</v>
      </c>
      <c r="D1320" s="2" t="s">
        <v>1103</v>
      </c>
      <c r="E1320" s="1">
        <v>48.0</v>
      </c>
      <c r="F1320" s="1">
        <v>26.0</v>
      </c>
      <c r="G1320" s="1">
        <v>1.41</v>
      </c>
      <c r="H1320" s="1">
        <v>0.0</v>
      </c>
      <c r="I1320" s="1">
        <v>0.0</v>
      </c>
      <c r="J1320" s="1">
        <v>0.0</v>
      </c>
      <c r="K1320" s="1">
        <v>0.08</v>
      </c>
      <c r="L1320" s="1">
        <v>1.01E7</v>
      </c>
      <c r="M1320" s="1" t="s">
        <v>5695</v>
      </c>
      <c r="N1320" s="18">
        <v>45997.0</v>
      </c>
      <c r="P1320" s="1" t="s">
        <v>3301</v>
      </c>
      <c r="Q1320" s="1" t="s">
        <v>3408</v>
      </c>
    </row>
    <row r="1321">
      <c r="A1321" s="1" t="s">
        <v>5001</v>
      </c>
      <c r="B1321" s="1">
        <v>48.0</v>
      </c>
      <c r="C1321" s="1">
        <v>320.0</v>
      </c>
      <c r="D1321" s="2" t="s">
        <v>1103</v>
      </c>
      <c r="E1321" s="1">
        <v>48.0</v>
      </c>
      <c r="F1321" s="1">
        <v>15.0</v>
      </c>
      <c r="G1321" s="1">
        <v>1.98</v>
      </c>
      <c r="H1321" s="1">
        <v>0.0</v>
      </c>
      <c r="I1321" s="1">
        <v>0.0</v>
      </c>
      <c r="J1321" s="1">
        <v>0.0</v>
      </c>
      <c r="K1321" s="1">
        <v>0.21</v>
      </c>
      <c r="L1321" s="1">
        <v>3540000.0</v>
      </c>
      <c r="M1321" s="1" t="s">
        <v>5002</v>
      </c>
      <c r="N1321" s="18">
        <v>45995.0</v>
      </c>
      <c r="O1321" s="1" t="s">
        <v>3479</v>
      </c>
      <c r="P1321" s="1" t="s">
        <v>3301</v>
      </c>
      <c r="Q1321" s="1" t="s">
        <v>3408</v>
      </c>
    </row>
    <row r="1322">
      <c r="A1322" s="1" t="s">
        <v>5696</v>
      </c>
      <c r="B1322" s="1">
        <v>48.0</v>
      </c>
      <c r="C1322" s="1">
        <v>170.0</v>
      </c>
      <c r="D1322" s="2" t="s">
        <v>1868</v>
      </c>
      <c r="E1322" s="1">
        <v>48.0</v>
      </c>
      <c r="F1322" s="1">
        <v>38.0</v>
      </c>
      <c r="G1322" s="1">
        <v>0.0</v>
      </c>
      <c r="H1322" s="1">
        <v>0.0</v>
      </c>
      <c r="I1322" s="1">
        <v>0.0</v>
      </c>
      <c r="J1322" s="1">
        <v>0.0</v>
      </c>
      <c r="K1322" s="1">
        <v>0.01</v>
      </c>
      <c r="L1322" s="1">
        <v>4.12E8</v>
      </c>
      <c r="M1322" s="1" t="s">
        <v>5697</v>
      </c>
      <c r="N1322" s="18">
        <v>45992.0</v>
      </c>
      <c r="O1322" s="1" t="s">
        <v>3231</v>
      </c>
      <c r="P1322" s="1" t="s">
        <v>3230</v>
      </c>
      <c r="Q1322" s="1" t="s">
        <v>3408</v>
      </c>
    </row>
    <row r="1323">
      <c r="A1323" s="1" t="s">
        <v>5698</v>
      </c>
      <c r="B1323" s="1">
        <v>48.0</v>
      </c>
      <c r="C1323" s="1">
        <v>30.0</v>
      </c>
      <c r="D1323" s="2" t="s">
        <v>2227</v>
      </c>
      <c r="E1323" s="1">
        <v>48.0</v>
      </c>
      <c r="F1323" s="1">
        <v>8.0</v>
      </c>
      <c r="G1323" s="1">
        <v>1.14</v>
      </c>
      <c r="H1323" s="1">
        <v>0.0</v>
      </c>
      <c r="I1323" s="1">
        <v>0.0</v>
      </c>
      <c r="J1323" s="1">
        <v>0.0</v>
      </c>
      <c r="K1323" s="1">
        <v>0.55</v>
      </c>
      <c r="L1323" s="1">
        <v>3390000.0</v>
      </c>
      <c r="M1323" s="1" t="s">
        <v>5699</v>
      </c>
      <c r="N1323" s="18">
        <v>45990.0</v>
      </c>
      <c r="O1323" s="1" t="s">
        <v>5700</v>
      </c>
      <c r="P1323" s="1" t="s">
        <v>3230</v>
      </c>
      <c r="Q1323" s="1" t="s">
        <v>3408</v>
      </c>
    </row>
    <row r="1324">
      <c r="A1324" s="1" t="s">
        <v>3981</v>
      </c>
      <c r="B1324" s="1">
        <v>48.0</v>
      </c>
      <c r="C1324" s="1">
        <v>50.0</v>
      </c>
      <c r="D1324" s="2" t="s">
        <v>584</v>
      </c>
      <c r="E1324" s="1">
        <v>48.0</v>
      </c>
      <c r="F1324" s="1">
        <v>33.0</v>
      </c>
      <c r="G1324" s="1">
        <v>18.31</v>
      </c>
      <c r="H1324" s="1">
        <v>0.0</v>
      </c>
      <c r="I1324" s="1">
        <v>0.0</v>
      </c>
      <c r="J1324" s="1">
        <v>0.0</v>
      </c>
      <c r="K1324" s="1">
        <v>0.16</v>
      </c>
      <c r="L1324" s="1">
        <v>105000.0</v>
      </c>
      <c r="M1324" s="1" t="s">
        <v>3982</v>
      </c>
      <c r="N1324" s="18">
        <v>45990.0</v>
      </c>
      <c r="O1324" s="1" t="s">
        <v>3432</v>
      </c>
      <c r="P1324" s="1" t="s">
        <v>3257</v>
      </c>
      <c r="Q1324" s="1" t="s">
        <v>3408</v>
      </c>
    </row>
    <row r="1325">
      <c r="A1325" s="1" t="s">
        <v>5701</v>
      </c>
      <c r="B1325" s="1">
        <v>48.0</v>
      </c>
      <c r="C1325" s="1">
        <v>1600.0</v>
      </c>
      <c r="D1325" s="2" t="s">
        <v>1543</v>
      </c>
      <c r="E1325" s="1">
        <v>48.0</v>
      </c>
      <c r="F1325" s="1">
        <v>4.0</v>
      </c>
      <c r="G1325" s="1">
        <v>14.98</v>
      </c>
      <c r="H1325" s="1">
        <v>0.0</v>
      </c>
      <c r="I1325" s="1">
        <v>0.0</v>
      </c>
      <c r="J1325" s="1">
        <v>0.0</v>
      </c>
      <c r="K1325" s="1">
        <v>0.01</v>
      </c>
      <c r="L1325" s="1">
        <v>1.18E7</v>
      </c>
      <c r="M1325" s="1" t="s">
        <v>5702</v>
      </c>
      <c r="N1325" s="18">
        <v>45987.0</v>
      </c>
      <c r="O1325" s="1" t="s">
        <v>3565</v>
      </c>
      <c r="P1325" s="1" t="s">
        <v>3230</v>
      </c>
      <c r="Q1325" s="1" t="s">
        <v>3408</v>
      </c>
    </row>
    <row r="1326">
      <c r="A1326" s="1" t="s">
        <v>4506</v>
      </c>
      <c r="B1326" s="1">
        <v>48.0</v>
      </c>
      <c r="C1326" s="1">
        <v>90.0</v>
      </c>
      <c r="D1326" s="2" t="s">
        <v>2930</v>
      </c>
      <c r="E1326" s="1">
        <v>48.0</v>
      </c>
      <c r="F1326" s="1">
        <v>16.0</v>
      </c>
      <c r="G1326" s="1">
        <v>0.0</v>
      </c>
      <c r="H1326" s="1">
        <v>0.0</v>
      </c>
      <c r="I1326" s="1">
        <v>0.0</v>
      </c>
      <c r="J1326" s="1">
        <v>0.0</v>
      </c>
      <c r="K1326" s="1">
        <v>0.0</v>
      </c>
      <c r="L1326" s="1">
        <v>9.0</v>
      </c>
      <c r="M1326" s="1" t="s">
        <v>4507</v>
      </c>
      <c r="N1326" s="18">
        <v>45985.0</v>
      </c>
      <c r="O1326" s="1" t="s">
        <v>3889</v>
      </c>
      <c r="P1326" s="1" t="s">
        <v>3230</v>
      </c>
      <c r="Q1326" s="1" t="s">
        <v>3408</v>
      </c>
    </row>
    <row r="1327">
      <c r="A1327" s="1" t="s">
        <v>3983</v>
      </c>
      <c r="B1327" s="1">
        <v>48.0</v>
      </c>
      <c r="C1327" s="1">
        <v>110.0</v>
      </c>
      <c r="D1327" s="2" t="s">
        <v>1217</v>
      </c>
      <c r="E1327" s="1">
        <v>48.0</v>
      </c>
      <c r="F1327" s="1">
        <v>11.0</v>
      </c>
      <c r="G1327" s="1">
        <v>0.0</v>
      </c>
      <c r="H1327" s="1">
        <v>0.0</v>
      </c>
      <c r="I1327" s="1">
        <v>0.0</v>
      </c>
      <c r="J1327" s="1">
        <v>0.0</v>
      </c>
      <c r="K1327" s="1">
        <v>0.11</v>
      </c>
      <c r="L1327" s="1">
        <v>1.19E7</v>
      </c>
      <c r="M1327" s="1" t="s">
        <v>3984</v>
      </c>
      <c r="N1327" s="18">
        <v>45967.0</v>
      </c>
      <c r="O1327" s="1" t="s">
        <v>3415</v>
      </c>
      <c r="P1327" s="1" t="s">
        <v>3257</v>
      </c>
      <c r="Q1327" s="1" t="s">
        <v>3408</v>
      </c>
    </row>
    <row r="1328">
      <c r="A1328" s="1" t="s">
        <v>5703</v>
      </c>
      <c r="B1328" s="1">
        <v>48.0</v>
      </c>
      <c r="C1328" s="1">
        <v>40.0</v>
      </c>
      <c r="D1328" s="2" t="s">
        <v>724</v>
      </c>
      <c r="E1328" s="1">
        <v>48.0</v>
      </c>
      <c r="F1328" s="1">
        <v>13.0</v>
      </c>
      <c r="G1328" s="1">
        <v>0.0</v>
      </c>
      <c r="H1328" s="1">
        <v>0.0</v>
      </c>
      <c r="I1328" s="1">
        <v>0.0</v>
      </c>
      <c r="J1328" s="1">
        <v>0.0</v>
      </c>
      <c r="K1328" s="1">
        <v>0.05</v>
      </c>
      <c r="L1328" s="1">
        <v>1.91E7</v>
      </c>
      <c r="M1328" s="1" t="s">
        <v>5704</v>
      </c>
      <c r="N1328" s="18">
        <v>45965.0</v>
      </c>
      <c r="O1328" s="1" t="s">
        <v>3824</v>
      </c>
      <c r="P1328" s="1" t="s">
        <v>3230</v>
      </c>
      <c r="Q1328" s="1" t="s">
        <v>3408</v>
      </c>
    </row>
    <row r="1329">
      <c r="A1329" s="1" t="s">
        <v>5705</v>
      </c>
      <c r="B1329" s="1">
        <v>49.0</v>
      </c>
      <c r="C1329" s="1">
        <v>210.0</v>
      </c>
      <c r="D1329" s="2" t="s">
        <v>581</v>
      </c>
      <c r="E1329" s="1">
        <v>49.0</v>
      </c>
      <c r="F1329" s="1">
        <v>20.0</v>
      </c>
      <c r="G1329" s="1">
        <v>0.0</v>
      </c>
      <c r="H1329" s="1">
        <v>0.0</v>
      </c>
      <c r="I1329" s="1">
        <v>0.0</v>
      </c>
      <c r="J1329" s="1">
        <v>0.0</v>
      </c>
      <c r="K1329" s="1">
        <v>0.0</v>
      </c>
      <c r="L1329" s="1">
        <v>1.56E7</v>
      </c>
      <c r="M1329" s="1" t="s">
        <v>5706</v>
      </c>
      <c r="N1329" s="18">
        <v>46042.0</v>
      </c>
      <c r="O1329" s="1" t="s">
        <v>3293</v>
      </c>
      <c r="P1329" s="1" t="s">
        <v>3294</v>
      </c>
      <c r="Q1329" s="1" t="s">
        <v>3408</v>
      </c>
    </row>
    <row r="1330">
      <c r="A1330" s="1" t="s">
        <v>5707</v>
      </c>
      <c r="B1330" s="1">
        <v>49.0</v>
      </c>
      <c r="C1330" s="1">
        <v>70.0</v>
      </c>
      <c r="D1330" s="2" t="s">
        <v>2364</v>
      </c>
      <c r="E1330" s="1">
        <v>49.0</v>
      </c>
      <c r="F1330" s="1">
        <v>6.0</v>
      </c>
      <c r="G1330" s="1">
        <v>0.0</v>
      </c>
      <c r="H1330" s="1">
        <v>0.0</v>
      </c>
      <c r="I1330" s="1">
        <v>0.0</v>
      </c>
      <c r="J1330" s="1">
        <v>0.0</v>
      </c>
      <c r="K1330" s="1">
        <v>0.01</v>
      </c>
      <c r="L1330" s="1">
        <v>7040000.0</v>
      </c>
      <c r="M1330" s="1" t="s">
        <v>5708</v>
      </c>
      <c r="N1330" s="18">
        <v>46040.0</v>
      </c>
      <c r="O1330" s="1" t="s">
        <v>3237</v>
      </c>
      <c r="P1330" s="1" t="s">
        <v>3230</v>
      </c>
      <c r="Q1330" s="1" t="s">
        <v>3408</v>
      </c>
    </row>
    <row r="1331">
      <c r="A1331" s="1" t="s">
        <v>5709</v>
      </c>
      <c r="B1331" s="1">
        <v>49.0</v>
      </c>
      <c r="C1331" s="1">
        <v>110.0</v>
      </c>
      <c r="D1331" s="2" t="s">
        <v>1307</v>
      </c>
      <c r="E1331" s="1">
        <v>49.0</v>
      </c>
      <c r="F1331" s="1">
        <v>3.0</v>
      </c>
      <c r="G1331" s="1">
        <v>13.73</v>
      </c>
      <c r="H1331" s="1">
        <v>0.0</v>
      </c>
      <c r="I1331" s="1">
        <v>0.0</v>
      </c>
      <c r="J1331" s="1">
        <v>0.0</v>
      </c>
      <c r="K1331" s="1">
        <v>0.92</v>
      </c>
      <c r="L1331" s="1">
        <v>290000.0</v>
      </c>
      <c r="M1331" s="1" t="s">
        <v>5710</v>
      </c>
      <c r="N1331" s="18">
        <v>46038.0</v>
      </c>
      <c r="O1331" s="1" t="s">
        <v>3355</v>
      </c>
      <c r="P1331" s="1" t="s">
        <v>3257</v>
      </c>
      <c r="Q1331" s="1" t="s">
        <v>3408</v>
      </c>
    </row>
    <row r="1332">
      <c r="A1332" s="1" t="s">
        <v>5711</v>
      </c>
      <c r="B1332" s="1">
        <v>49.0</v>
      </c>
      <c r="C1332" s="1">
        <v>40.0</v>
      </c>
      <c r="D1332" s="2" t="s">
        <v>782</v>
      </c>
      <c r="E1332" s="1">
        <v>49.0</v>
      </c>
      <c r="F1332" s="1">
        <v>9.0</v>
      </c>
      <c r="G1332" s="1">
        <v>0.0</v>
      </c>
      <c r="H1332" s="1">
        <v>0.0</v>
      </c>
      <c r="I1332" s="1">
        <v>0.0</v>
      </c>
      <c r="J1332" s="1">
        <v>0.0</v>
      </c>
      <c r="K1332" s="1">
        <v>0.04</v>
      </c>
      <c r="L1332" s="1">
        <v>7660000.0</v>
      </c>
      <c r="M1332" s="1" t="s">
        <v>5712</v>
      </c>
      <c r="N1332" s="18">
        <v>46036.0</v>
      </c>
      <c r="O1332" s="1" t="s">
        <v>3300</v>
      </c>
      <c r="P1332" s="1" t="s">
        <v>3301</v>
      </c>
      <c r="Q1332" s="1" t="s">
        <v>3408</v>
      </c>
    </row>
    <row r="1333">
      <c r="A1333" s="1" t="s">
        <v>5713</v>
      </c>
      <c r="B1333" s="1">
        <v>49.0</v>
      </c>
      <c r="C1333" s="1">
        <v>40.0</v>
      </c>
      <c r="D1333" s="2" t="s">
        <v>586</v>
      </c>
      <c r="E1333" s="1">
        <v>49.0</v>
      </c>
      <c r="F1333" s="1">
        <v>0.0</v>
      </c>
      <c r="G1333" s="1">
        <v>0.0</v>
      </c>
      <c r="H1333" s="1">
        <v>0.0</v>
      </c>
      <c r="I1333" s="1">
        <v>0.0</v>
      </c>
      <c r="J1333" s="1">
        <v>0.0</v>
      </c>
      <c r="K1333" s="1">
        <v>0.0</v>
      </c>
      <c r="L1333" s="1">
        <v>794000.0</v>
      </c>
      <c r="M1333" s="1" t="s">
        <v>5714</v>
      </c>
      <c r="N1333" s="18">
        <v>46031.0</v>
      </c>
      <c r="P1333" s="1" t="s">
        <v>3334</v>
      </c>
      <c r="Q1333" s="1" t="s">
        <v>3408</v>
      </c>
    </row>
    <row r="1334">
      <c r="A1334" s="1" t="s">
        <v>5715</v>
      </c>
      <c r="B1334" s="1">
        <v>49.0</v>
      </c>
      <c r="C1334" s="1">
        <v>40.0</v>
      </c>
      <c r="D1334" s="2" t="s">
        <v>2944</v>
      </c>
      <c r="E1334" s="1">
        <v>49.0</v>
      </c>
      <c r="F1334" s="1">
        <v>33.0</v>
      </c>
      <c r="G1334" s="1">
        <v>0.0</v>
      </c>
      <c r="H1334" s="1">
        <v>0.0</v>
      </c>
      <c r="I1334" s="1">
        <v>0.0</v>
      </c>
      <c r="J1334" s="1">
        <v>0.0</v>
      </c>
      <c r="K1334" s="1">
        <v>0.0</v>
      </c>
      <c r="L1334" s="1">
        <v>304000.0</v>
      </c>
      <c r="M1334" s="1" t="s">
        <v>5716</v>
      </c>
      <c r="N1334" s="18">
        <v>46030.0</v>
      </c>
      <c r="O1334" s="1" t="s">
        <v>3288</v>
      </c>
      <c r="P1334" s="1" t="s">
        <v>3257</v>
      </c>
      <c r="Q1334" s="1" t="s">
        <v>3408</v>
      </c>
    </row>
    <row r="1335">
      <c r="A1335" s="1" t="s">
        <v>5717</v>
      </c>
      <c r="B1335" s="1">
        <v>49.0</v>
      </c>
      <c r="C1335" s="1">
        <v>50.0</v>
      </c>
      <c r="D1335" s="2" t="s">
        <v>746</v>
      </c>
      <c r="E1335" s="1">
        <v>49.0</v>
      </c>
      <c r="F1335" s="1">
        <v>2.0</v>
      </c>
      <c r="G1335" s="1">
        <v>6.36</v>
      </c>
      <c r="H1335" s="1">
        <v>0.0</v>
      </c>
      <c r="I1335" s="1">
        <v>0.0</v>
      </c>
      <c r="J1335" s="1">
        <v>0.0</v>
      </c>
      <c r="K1335" s="1">
        <v>0.74</v>
      </c>
      <c r="L1335" s="1">
        <v>6560.0</v>
      </c>
      <c r="M1335" s="1" t="s">
        <v>5718</v>
      </c>
      <c r="N1335" s="18">
        <v>46028.0</v>
      </c>
      <c r="O1335" s="1" t="s">
        <v>3653</v>
      </c>
      <c r="P1335" s="1" t="s">
        <v>3257</v>
      </c>
      <c r="Q1335" s="1" t="s">
        <v>3408</v>
      </c>
    </row>
    <row r="1336">
      <c r="A1336" s="1" t="s">
        <v>5719</v>
      </c>
      <c r="B1336" s="1">
        <v>49.0</v>
      </c>
      <c r="C1336" s="1">
        <v>320.0</v>
      </c>
      <c r="D1336" s="2" t="s">
        <v>600</v>
      </c>
      <c r="E1336" s="1">
        <v>49.0</v>
      </c>
      <c r="F1336" s="1">
        <v>10.0</v>
      </c>
      <c r="G1336" s="1">
        <v>6.82</v>
      </c>
      <c r="H1336" s="1">
        <v>0.0</v>
      </c>
      <c r="I1336" s="1">
        <v>0.0</v>
      </c>
      <c r="J1336" s="1">
        <v>0.0</v>
      </c>
      <c r="K1336" s="1">
        <v>0.02</v>
      </c>
      <c r="L1336" s="1">
        <v>3760000.0</v>
      </c>
      <c r="M1336" s="1" t="s">
        <v>5720</v>
      </c>
      <c r="N1336" s="18">
        <v>46028.0</v>
      </c>
      <c r="O1336" s="1" t="s">
        <v>3645</v>
      </c>
      <c r="P1336" s="1" t="s">
        <v>3257</v>
      </c>
      <c r="Q1336" s="1" t="s">
        <v>3408</v>
      </c>
    </row>
    <row r="1337">
      <c r="A1337" s="1" t="s">
        <v>5721</v>
      </c>
      <c r="B1337" s="1">
        <v>49.0</v>
      </c>
      <c r="C1337" s="1">
        <v>210.0</v>
      </c>
      <c r="D1337" s="2" t="s">
        <v>1566</v>
      </c>
      <c r="E1337" s="1">
        <v>49.0</v>
      </c>
      <c r="F1337" s="1">
        <v>19.0</v>
      </c>
      <c r="G1337" s="1">
        <v>4.98</v>
      </c>
      <c r="H1337" s="1">
        <v>0.0</v>
      </c>
      <c r="I1337" s="1">
        <v>0.0</v>
      </c>
      <c r="J1337" s="1">
        <v>0.0</v>
      </c>
      <c r="K1337" s="1">
        <v>0.02</v>
      </c>
      <c r="L1337" s="1">
        <v>8.4E7</v>
      </c>
      <c r="M1337" s="1" t="s">
        <v>5722</v>
      </c>
      <c r="N1337" s="18">
        <v>46027.0</v>
      </c>
      <c r="O1337" s="1" t="s">
        <v>5723</v>
      </c>
      <c r="P1337" s="1" t="s">
        <v>3334</v>
      </c>
      <c r="Q1337" s="1" t="s">
        <v>3408</v>
      </c>
    </row>
    <row r="1338">
      <c r="A1338" s="1" t="s">
        <v>5724</v>
      </c>
      <c r="B1338" s="1">
        <v>49.0</v>
      </c>
      <c r="C1338" s="1">
        <v>30.0</v>
      </c>
      <c r="D1338" s="2" t="s">
        <v>581</v>
      </c>
      <c r="E1338" s="1">
        <v>49.0</v>
      </c>
      <c r="F1338" s="1">
        <v>9.0</v>
      </c>
      <c r="G1338" s="1">
        <v>5.81</v>
      </c>
      <c r="H1338" s="1">
        <v>0.0</v>
      </c>
      <c r="I1338" s="1">
        <v>0.0</v>
      </c>
      <c r="J1338" s="1">
        <v>0.0</v>
      </c>
      <c r="K1338" s="1">
        <v>0.4</v>
      </c>
      <c r="L1338" s="1">
        <v>1370000.0</v>
      </c>
      <c r="M1338" s="1" t="s">
        <v>4770</v>
      </c>
      <c r="N1338" s="18">
        <v>46027.0</v>
      </c>
      <c r="O1338" s="1" t="s">
        <v>5725</v>
      </c>
      <c r="P1338" s="1" t="s">
        <v>3230</v>
      </c>
      <c r="Q1338" s="1" t="s">
        <v>3408</v>
      </c>
    </row>
    <row r="1339">
      <c r="A1339" s="1" t="s">
        <v>5726</v>
      </c>
      <c r="B1339" s="1">
        <v>49.0</v>
      </c>
      <c r="C1339" s="1">
        <v>30.0</v>
      </c>
      <c r="D1339" s="2" t="s">
        <v>600</v>
      </c>
      <c r="E1339" s="1">
        <v>49.0</v>
      </c>
      <c r="F1339" s="1">
        <v>8.0</v>
      </c>
      <c r="G1339" s="1">
        <v>9.24</v>
      </c>
      <c r="H1339" s="1">
        <v>0.0</v>
      </c>
      <c r="I1339" s="1">
        <v>0.0</v>
      </c>
      <c r="J1339" s="1">
        <v>0.0</v>
      </c>
      <c r="K1339" s="1">
        <v>0.29</v>
      </c>
      <c r="L1339" s="1">
        <v>1030000.0</v>
      </c>
      <c r="M1339" s="1" t="s">
        <v>5727</v>
      </c>
      <c r="N1339" s="18">
        <v>46027.0</v>
      </c>
      <c r="O1339" s="1" t="s">
        <v>3432</v>
      </c>
      <c r="P1339" s="1" t="s">
        <v>3257</v>
      </c>
      <c r="Q1339" s="1" t="s">
        <v>3408</v>
      </c>
    </row>
    <row r="1340">
      <c r="A1340" s="1" t="s">
        <v>5728</v>
      </c>
      <c r="B1340" s="1">
        <v>49.0</v>
      </c>
      <c r="C1340" s="1">
        <v>50.0</v>
      </c>
      <c r="D1340" s="2" t="s">
        <v>515</v>
      </c>
      <c r="E1340" s="1">
        <v>49.0</v>
      </c>
      <c r="F1340" s="1">
        <v>1.0</v>
      </c>
      <c r="G1340" s="1">
        <v>0.0</v>
      </c>
      <c r="H1340" s="1">
        <v>0.0</v>
      </c>
      <c r="I1340" s="1">
        <v>0.0</v>
      </c>
      <c r="J1340" s="1">
        <v>0.0</v>
      </c>
      <c r="K1340" s="1">
        <v>0.0</v>
      </c>
      <c r="L1340" s="1">
        <v>814000.0</v>
      </c>
      <c r="M1340" s="1" t="s">
        <v>5729</v>
      </c>
      <c r="N1340" s="18">
        <v>46025.0</v>
      </c>
      <c r="O1340" s="1" t="s">
        <v>3258</v>
      </c>
      <c r="P1340" s="1" t="s">
        <v>3257</v>
      </c>
      <c r="Q1340" s="1" t="s">
        <v>3408</v>
      </c>
    </row>
    <row r="1341">
      <c r="A1341" s="1" t="s">
        <v>5730</v>
      </c>
      <c r="B1341" s="1">
        <v>49.0</v>
      </c>
      <c r="C1341" s="1">
        <v>40.0</v>
      </c>
      <c r="D1341" s="2" t="s">
        <v>1868</v>
      </c>
      <c r="E1341" s="1">
        <v>49.0</v>
      </c>
      <c r="F1341" s="1">
        <v>38.0</v>
      </c>
      <c r="G1341" s="1">
        <v>0.0</v>
      </c>
      <c r="H1341" s="1">
        <v>0.0</v>
      </c>
      <c r="I1341" s="1">
        <v>0.0</v>
      </c>
      <c r="J1341" s="1">
        <v>0.0</v>
      </c>
      <c r="K1341" s="1">
        <v>0.33</v>
      </c>
      <c r="L1341" s="1">
        <v>4.1E8</v>
      </c>
      <c r="M1341" s="1" t="s">
        <v>5731</v>
      </c>
      <c r="N1341" s="18">
        <v>46023.0</v>
      </c>
      <c r="O1341" s="1" t="s">
        <v>5571</v>
      </c>
      <c r="P1341" s="1" t="s">
        <v>3230</v>
      </c>
      <c r="Q1341" s="1" t="s">
        <v>3408</v>
      </c>
    </row>
    <row r="1342">
      <c r="A1342" s="1" t="s">
        <v>5732</v>
      </c>
      <c r="B1342" s="1">
        <v>49.0</v>
      </c>
      <c r="C1342" s="1">
        <v>210.0</v>
      </c>
      <c r="D1342" s="2" t="s">
        <v>2930</v>
      </c>
      <c r="E1342" s="1">
        <v>49.0</v>
      </c>
      <c r="F1342" s="1">
        <v>16.0</v>
      </c>
      <c r="G1342" s="1">
        <v>0.0</v>
      </c>
      <c r="H1342" s="1">
        <v>0.0</v>
      </c>
      <c r="I1342" s="1">
        <v>0.0</v>
      </c>
      <c r="J1342" s="1">
        <v>0.0</v>
      </c>
      <c r="K1342" s="1">
        <v>0.0</v>
      </c>
      <c r="L1342" s="1">
        <v>6760000.0</v>
      </c>
      <c r="M1342" s="1" t="s">
        <v>5733</v>
      </c>
      <c r="N1342" s="18">
        <v>46022.0</v>
      </c>
      <c r="O1342" s="1" t="s">
        <v>3442</v>
      </c>
      <c r="P1342" s="1" t="s">
        <v>3230</v>
      </c>
      <c r="Q1342" s="1" t="s">
        <v>3408</v>
      </c>
    </row>
    <row r="1343">
      <c r="A1343" s="1" t="s">
        <v>3425</v>
      </c>
      <c r="B1343" s="1">
        <v>49.0</v>
      </c>
      <c r="C1343" s="1">
        <v>70.0</v>
      </c>
      <c r="D1343" s="2" t="s">
        <v>535</v>
      </c>
      <c r="E1343" s="1">
        <v>49.0</v>
      </c>
      <c r="F1343" s="1">
        <v>14.0</v>
      </c>
      <c r="G1343" s="1">
        <v>0.0</v>
      </c>
      <c r="H1343" s="1">
        <v>0.0</v>
      </c>
      <c r="I1343" s="1">
        <v>0.0</v>
      </c>
      <c r="J1343" s="1">
        <v>0.0</v>
      </c>
      <c r="K1343" s="1">
        <v>0.0</v>
      </c>
      <c r="L1343" s="1">
        <v>37900.0</v>
      </c>
      <c r="M1343" s="1" t="s">
        <v>3426</v>
      </c>
      <c r="N1343" s="18">
        <v>46020.0</v>
      </c>
      <c r="O1343" s="1" t="s">
        <v>3427</v>
      </c>
      <c r="P1343" s="1" t="s">
        <v>3257</v>
      </c>
      <c r="Q1343" s="1" t="s">
        <v>3408</v>
      </c>
    </row>
    <row r="1344">
      <c r="A1344" s="1" t="s">
        <v>3430</v>
      </c>
      <c r="B1344" s="1">
        <v>49.0</v>
      </c>
      <c r="C1344" s="1">
        <v>110.0</v>
      </c>
      <c r="D1344" s="2" t="s">
        <v>439</v>
      </c>
      <c r="E1344" s="1">
        <v>49.0</v>
      </c>
      <c r="F1344" s="1">
        <v>3.0</v>
      </c>
      <c r="G1344" s="1">
        <v>4.98</v>
      </c>
      <c r="H1344" s="1">
        <v>0.0</v>
      </c>
      <c r="I1344" s="1">
        <v>0.0</v>
      </c>
      <c r="J1344" s="1">
        <v>0.0</v>
      </c>
      <c r="K1344" s="1">
        <v>0.16</v>
      </c>
      <c r="L1344" s="1">
        <v>1.78E7</v>
      </c>
      <c r="M1344" s="1" t="s">
        <v>3431</v>
      </c>
      <c r="N1344" s="18">
        <v>46017.0</v>
      </c>
      <c r="O1344" s="1" t="s">
        <v>3432</v>
      </c>
      <c r="P1344" s="1" t="s">
        <v>3257</v>
      </c>
      <c r="Q1344" s="1" t="s">
        <v>3408</v>
      </c>
    </row>
    <row r="1345">
      <c r="A1345" s="1" t="s">
        <v>3447</v>
      </c>
      <c r="B1345" s="1">
        <v>49.0</v>
      </c>
      <c r="C1345" s="1">
        <v>140.0</v>
      </c>
      <c r="D1345" s="2" t="s">
        <v>447</v>
      </c>
      <c r="E1345" s="1">
        <v>49.0</v>
      </c>
      <c r="F1345" s="1">
        <v>14.0</v>
      </c>
      <c r="G1345" s="1">
        <v>13.98</v>
      </c>
      <c r="H1345" s="1">
        <v>0.0</v>
      </c>
      <c r="I1345" s="1">
        <v>0.0</v>
      </c>
      <c r="J1345" s="1">
        <v>0.0</v>
      </c>
      <c r="K1345" s="1">
        <v>0.45</v>
      </c>
      <c r="L1345" s="1">
        <v>26700.0</v>
      </c>
      <c r="M1345" s="1" t="s">
        <v>3448</v>
      </c>
      <c r="N1345" s="18">
        <v>46016.0</v>
      </c>
      <c r="O1345" s="1" t="s">
        <v>3415</v>
      </c>
      <c r="P1345" s="1" t="s">
        <v>3257</v>
      </c>
      <c r="Q1345" s="1" t="s">
        <v>3408</v>
      </c>
    </row>
    <row r="1346">
      <c r="A1346" s="1" t="s">
        <v>3896</v>
      </c>
      <c r="B1346" s="1">
        <v>49.0</v>
      </c>
      <c r="C1346" s="1">
        <v>110.0</v>
      </c>
      <c r="D1346" s="2" t="s">
        <v>584</v>
      </c>
      <c r="E1346" s="1">
        <v>49.0</v>
      </c>
      <c r="F1346" s="1">
        <v>21.0</v>
      </c>
      <c r="G1346" s="1">
        <v>11.16</v>
      </c>
      <c r="H1346" s="1">
        <v>0.0</v>
      </c>
      <c r="I1346" s="1">
        <v>0.0</v>
      </c>
      <c r="J1346" s="1">
        <v>0.0</v>
      </c>
      <c r="K1346" s="1">
        <v>0.2</v>
      </c>
      <c r="L1346" s="1">
        <v>114000.0</v>
      </c>
      <c r="M1346" s="1" t="s">
        <v>3897</v>
      </c>
      <c r="N1346" s="18">
        <v>46016.0</v>
      </c>
      <c r="O1346" s="1" t="s">
        <v>3673</v>
      </c>
      <c r="P1346" s="1" t="s">
        <v>3257</v>
      </c>
      <c r="Q1346" s="1" t="s">
        <v>3408</v>
      </c>
    </row>
    <row r="1347">
      <c r="A1347" s="1" t="s">
        <v>5734</v>
      </c>
      <c r="B1347" s="1">
        <v>49.0</v>
      </c>
      <c r="C1347" s="1">
        <v>50.0</v>
      </c>
      <c r="D1347" s="2" t="s">
        <v>439</v>
      </c>
      <c r="E1347" s="1">
        <v>49.0</v>
      </c>
      <c r="F1347" s="1">
        <v>26.0</v>
      </c>
      <c r="G1347" s="1">
        <v>4.43</v>
      </c>
      <c r="H1347" s="1">
        <v>0.0</v>
      </c>
      <c r="I1347" s="1">
        <v>0.0</v>
      </c>
      <c r="J1347" s="1">
        <v>0.0</v>
      </c>
      <c r="K1347" s="1">
        <v>0.31</v>
      </c>
      <c r="L1347" s="1">
        <v>2560.0</v>
      </c>
      <c r="M1347" s="1" t="s">
        <v>5735</v>
      </c>
      <c r="N1347" s="18">
        <v>46016.0</v>
      </c>
      <c r="O1347" s="1" t="s">
        <v>4372</v>
      </c>
      <c r="P1347" s="1" t="s">
        <v>3294</v>
      </c>
      <c r="Q1347" s="1" t="s">
        <v>3408</v>
      </c>
    </row>
    <row r="1348">
      <c r="A1348" s="1" t="s">
        <v>5736</v>
      </c>
      <c r="B1348" s="1">
        <v>49.0</v>
      </c>
      <c r="C1348" s="1">
        <v>90.0</v>
      </c>
      <c r="D1348" s="2" t="s">
        <v>600</v>
      </c>
      <c r="E1348" s="1">
        <v>49.0</v>
      </c>
      <c r="F1348" s="1">
        <v>14.0</v>
      </c>
      <c r="G1348" s="1">
        <v>6.82</v>
      </c>
      <c r="H1348" s="1">
        <v>0.0</v>
      </c>
      <c r="I1348" s="1">
        <v>0.0</v>
      </c>
      <c r="J1348" s="1">
        <v>0.0</v>
      </c>
      <c r="K1348" s="1">
        <v>0.02</v>
      </c>
      <c r="L1348" s="1">
        <v>6210000.0</v>
      </c>
      <c r="M1348" s="1" t="s">
        <v>5737</v>
      </c>
      <c r="N1348" s="18">
        <v>46015.0</v>
      </c>
      <c r="O1348" s="1" t="s">
        <v>3854</v>
      </c>
      <c r="P1348" s="1" t="s">
        <v>3257</v>
      </c>
      <c r="Q1348" s="1" t="s">
        <v>3408</v>
      </c>
    </row>
    <row r="1349">
      <c r="A1349" s="1" t="s">
        <v>5738</v>
      </c>
      <c r="B1349" s="1">
        <v>49.0</v>
      </c>
      <c r="C1349" s="1">
        <v>140.0</v>
      </c>
      <c r="D1349" s="2" t="s">
        <v>2930</v>
      </c>
      <c r="E1349" s="1">
        <v>49.0</v>
      </c>
      <c r="F1349" s="1">
        <v>20.0</v>
      </c>
      <c r="G1349" s="1">
        <v>0.02</v>
      </c>
      <c r="H1349" s="1">
        <v>0.0</v>
      </c>
      <c r="I1349" s="1">
        <v>0.0</v>
      </c>
      <c r="J1349" s="1">
        <v>0.0</v>
      </c>
      <c r="K1349" s="1">
        <v>0.04</v>
      </c>
      <c r="L1349" s="1">
        <v>1.41E8</v>
      </c>
      <c r="M1349" s="1" t="s">
        <v>5739</v>
      </c>
      <c r="N1349" s="18">
        <v>46007.0</v>
      </c>
      <c r="O1349" s="1" t="s">
        <v>4217</v>
      </c>
      <c r="P1349" s="1" t="s">
        <v>3230</v>
      </c>
      <c r="Q1349" s="1" t="s">
        <v>3408</v>
      </c>
    </row>
    <row r="1350">
      <c r="A1350" s="1" t="s">
        <v>5740</v>
      </c>
      <c r="B1350" s="1">
        <v>49.0</v>
      </c>
      <c r="C1350" s="1">
        <v>90.0</v>
      </c>
      <c r="D1350" s="2" t="s">
        <v>2930</v>
      </c>
      <c r="E1350" s="1">
        <v>49.0</v>
      </c>
      <c r="F1350" s="1">
        <v>12.0</v>
      </c>
      <c r="G1350" s="1">
        <v>0.0</v>
      </c>
      <c r="H1350" s="1">
        <v>0.0</v>
      </c>
      <c r="I1350" s="1">
        <v>0.0</v>
      </c>
      <c r="J1350" s="1">
        <v>0.0</v>
      </c>
      <c r="K1350" s="1">
        <v>0.0</v>
      </c>
      <c r="L1350" s="1">
        <v>3130000.0</v>
      </c>
      <c r="M1350" s="1" t="s">
        <v>5741</v>
      </c>
      <c r="N1350" s="18">
        <v>46003.0</v>
      </c>
      <c r="O1350" s="1" t="s">
        <v>3479</v>
      </c>
      <c r="P1350" s="1" t="s">
        <v>3230</v>
      </c>
      <c r="Q1350" s="1" t="s">
        <v>3408</v>
      </c>
    </row>
    <row r="1351">
      <c r="A1351" s="1" t="s">
        <v>5742</v>
      </c>
      <c r="B1351" s="1">
        <v>49.0</v>
      </c>
      <c r="C1351" s="1">
        <v>70.0</v>
      </c>
      <c r="D1351" s="2" t="s">
        <v>600</v>
      </c>
      <c r="E1351" s="1">
        <v>49.0</v>
      </c>
      <c r="F1351" s="1">
        <v>5.0</v>
      </c>
      <c r="G1351" s="1">
        <v>6.53</v>
      </c>
      <c r="H1351" s="1">
        <v>0.0</v>
      </c>
      <c r="I1351" s="1">
        <v>0.0</v>
      </c>
      <c r="J1351" s="1">
        <v>0.0</v>
      </c>
      <c r="K1351" s="1">
        <v>0.02</v>
      </c>
      <c r="L1351" s="1">
        <v>6180000.0</v>
      </c>
      <c r="M1351" s="1" t="s">
        <v>5743</v>
      </c>
      <c r="N1351" s="18">
        <v>46002.0</v>
      </c>
      <c r="O1351" s="1" t="s">
        <v>5744</v>
      </c>
      <c r="P1351" s="1" t="s">
        <v>3257</v>
      </c>
      <c r="Q1351" s="1" t="s">
        <v>3408</v>
      </c>
    </row>
    <row r="1352">
      <c r="A1352" s="1" t="s">
        <v>4639</v>
      </c>
      <c r="B1352" s="1">
        <v>49.0</v>
      </c>
      <c r="C1352" s="1">
        <v>50.0</v>
      </c>
      <c r="D1352" s="2" t="s">
        <v>5745</v>
      </c>
      <c r="E1352" s="1">
        <v>49.0</v>
      </c>
      <c r="F1352" s="1">
        <v>2.0</v>
      </c>
      <c r="G1352" s="1">
        <v>0.0</v>
      </c>
      <c r="H1352" s="1">
        <v>0.0</v>
      </c>
      <c r="I1352" s="1">
        <v>0.0</v>
      </c>
      <c r="J1352" s="1">
        <v>0.0</v>
      </c>
      <c r="K1352" s="1">
        <v>0.01</v>
      </c>
      <c r="L1352" s="1">
        <v>24200.0</v>
      </c>
      <c r="M1352" s="1" t="s">
        <v>4640</v>
      </c>
      <c r="N1352" s="18">
        <v>46002.0</v>
      </c>
      <c r="O1352" s="1" t="s">
        <v>3807</v>
      </c>
      <c r="P1352" s="1" t="s">
        <v>3257</v>
      </c>
      <c r="Q1352" s="1" t="s">
        <v>3408</v>
      </c>
    </row>
    <row r="1353">
      <c r="A1353" s="1" t="s">
        <v>5746</v>
      </c>
      <c r="B1353" s="1">
        <v>49.0</v>
      </c>
      <c r="C1353" s="1">
        <v>140.0</v>
      </c>
      <c r="D1353" s="2" t="s">
        <v>694</v>
      </c>
      <c r="E1353" s="1">
        <v>49.0</v>
      </c>
      <c r="F1353" s="1">
        <v>51.0</v>
      </c>
      <c r="G1353" s="1">
        <v>1.37</v>
      </c>
      <c r="H1353" s="1">
        <v>0.0</v>
      </c>
      <c r="I1353" s="1">
        <v>0.0</v>
      </c>
      <c r="J1353" s="1">
        <v>0.0</v>
      </c>
      <c r="K1353" s="1">
        <v>0.16</v>
      </c>
      <c r="L1353" s="1">
        <v>8060000.0</v>
      </c>
      <c r="M1353" s="1" t="s">
        <v>5747</v>
      </c>
      <c r="N1353" s="18">
        <v>46000.0</v>
      </c>
      <c r="O1353" s="1" t="s">
        <v>3930</v>
      </c>
      <c r="P1353" s="1" t="s">
        <v>3230</v>
      </c>
      <c r="Q1353" s="1" t="s">
        <v>3408</v>
      </c>
    </row>
    <row r="1354">
      <c r="A1354" s="1" t="s">
        <v>5748</v>
      </c>
      <c r="B1354" s="1">
        <v>49.0</v>
      </c>
      <c r="C1354" s="1">
        <v>70.0</v>
      </c>
      <c r="D1354" s="2" t="s">
        <v>455</v>
      </c>
      <c r="E1354" s="1">
        <v>49.0</v>
      </c>
      <c r="F1354" s="1">
        <v>28.0</v>
      </c>
      <c r="G1354" s="1">
        <v>0.0</v>
      </c>
      <c r="H1354" s="1">
        <v>0.0</v>
      </c>
      <c r="I1354" s="1">
        <v>0.0</v>
      </c>
      <c r="J1354" s="1">
        <v>0.0</v>
      </c>
      <c r="K1354" s="1">
        <v>0.0</v>
      </c>
      <c r="L1354" s="1">
        <v>9.63E7</v>
      </c>
      <c r="M1354" s="1" t="s">
        <v>5749</v>
      </c>
      <c r="N1354" s="18">
        <v>46000.0</v>
      </c>
      <c r="O1354" s="1" t="s">
        <v>3435</v>
      </c>
      <c r="P1354" s="1" t="s">
        <v>3257</v>
      </c>
      <c r="Q1354" s="1" t="s">
        <v>3408</v>
      </c>
    </row>
    <row r="1355">
      <c r="A1355" s="1" t="s">
        <v>5750</v>
      </c>
      <c r="B1355" s="1">
        <v>49.0</v>
      </c>
      <c r="C1355" s="1">
        <v>90.0</v>
      </c>
      <c r="D1355" s="2" t="s">
        <v>911</v>
      </c>
      <c r="E1355" s="1">
        <v>49.0</v>
      </c>
      <c r="F1355" s="1">
        <v>0.0</v>
      </c>
      <c r="G1355" s="1">
        <v>1.34</v>
      </c>
      <c r="H1355" s="1">
        <v>0.0</v>
      </c>
      <c r="I1355" s="1">
        <v>0.0</v>
      </c>
      <c r="J1355" s="1">
        <v>0.0</v>
      </c>
      <c r="K1355" s="1">
        <v>0.26</v>
      </c>
      <c r="L1355" s="1">
        <v>7190000.0</v>
      </c>
      <c r="M1355" s="1" t="s">
        <v>5751</v>
      </c>
      <c r="N1355" s="18">
        <v>45996.0</v>
      </c>
      <c r="O1355" s="1" t="s">
        <v>3840</v>
      </c>
      <c r="P1355" s="1" t="s">
        <v>3257</v>
      </c>
      <c r="Q1355" s="1" t="s">
        <v>3408</v>
      </c>
    </row>
    <row r="1356">
      <c r="A1356" s="1" t="s">
        <v>5752</v>
      </c>
      <c r="B1356" s="1">
        <v>49.0</v>
      </c>
      <c r="C1356" s="1">
        <v>90.0</v>
      </c>
      <c r="D1356" s="2" t="s">
        <v>581</v>
      </c>
      <c r="E1356" s="1">
        <v>49.0</v>
      </c>
      <c r="F1356" s="1">
        <v>1.0</v>
      </c>
      <c r="G1356" s="1">
        <v>0.0</v>
      </c>
      <c r="H1356" s="1">
        <v>0.0</v>
      </c>
      <c r="I1356" s="1">
        <v>0.0</v>
      </c>
      <c r="J1356" s="1">
        <v>0.0</v>
      </c>
      <c r="K1356" s="1">
        <v>0.0</v>
      </c>
      <c r="L1356" s="1">
        <v>5.62E7</v>
      </c>
      <c r="M1356" s="1" t="s">
        <v>5753</v>
      </c>
      <c r="N1356" s="18">
        <v>45994.0</v>
      </c>
      <c r="O1356" s="1" t="s">
        <v>5754</v>
      </c>
      <c r="P1356" s="1" t="s">
        <v>3230</v>
      </c>
      <c r="Q1356" s="1" t="s">
        <v>3408</v>
      </c>
    </row>
    <row r="1357">
      <c r="A1357" s="1" t="s">
        <v>5755</v>
      </c>
      <c r="B1357" s="1">
        <v>49.0</v>
      </c>
      <c r="C1357" s="1">
        <v>40.0</v>
      </c>
      <c r="D1357" s="2" t="s">
        <v>1103</v>
      </c>
      <c r="E1357" s="1">
        <v>49.0</v>
      </c>
      <c r="F1357" s="1">
        <v>8.0</v>
      </c>
      <c r="G1357" s="1">
        <v>1.98</v>
      </c>
      <c r="H1357" s="1">
        <v>0.0</v>
      </c>
      <c r="I1357" s="1">
        <v>0.0</v>
      </c>
      <c r="J1357" s="1">
        <v>0.0</v>
      </c>
      <c r="K1357" s="1">
        <v>0.21</v>
      </c>
      <c r="L1357" s="1">
        <v>3750000.0</v>
      </c>
      <c r="M1357" s="1" t="s">
        <v>5756</v>
      </c>
      <c r="N1357" s="18">
        <v>45993.0</v>
      </c>
      <c r="O1357" s="1" t="s">
        <v>3889</v>
      </c>
      <c r="P1357" s="1" t="s">
        <v>3301</v>
      </c>
      <c r="Q1357" s="1" t="s">
        <v>3408</v>
      </c>
    </row>
    <row r="1358">
      <c r="A1358" s="1" t="s">
        <v>5757</v>
      </c>
      <c r="B1358" s="1">
        <v>49.0</v>
      </c>
      <c r="C1358" s="1">
        <v>390.0</v>
      </c>
      <c r="D1358" s="2" t="s">
        <v>2416</v>
      </c>
      <c r="E1358" s="1">
        <v>49.0</v>
      </c>
      <c r="F1358" s="1">
        <v>29.0</v>
      </c>
      <c r="G1358" s="1">
        <v>0.0</v>
      </c>
      <c r="H1358" s="1">
        <v>0.0</v>
      </c>
      <c r="I1358" s="1">
        <v>0.0</v>
      </c>
      <c r="J1358" s="1">
        <v>0.0</v>
      </c>
      <c r="K1358" s="1">
        <v>0.0</v>
      </c>
      <c r="L1358" s="1">
        <v>4850000.0</v>
      </c>
      <c r="M1358" s="1" t="s">
        <v>5758</v>
      </c>
      <c r="N1358" s="18">
        <v>45989.0</v>
      </c>
      <c r="O1358" s="1" t="s">
        <v>4026</v>
      </c>
      <c r="P1358" s="1" t="s">
        <v>3230</v>
      </c>
      <c r="Q1358" s="1" t="s">
        <v>3408</v>
      </c>
    </row>
    <row r="1359">
      <c r="A1359" s="1" t="s">
        <v>3878</v>
      </c>
      <c r="B1359" s="1">
        <v>49.0</v>
      </c>
      <c r="C1359" s="1">
        <v>110.0</v>
      </c>
      <c r="D1359" s="2" t="s">
        <v>1234</v>
      </c>
      <c r="E1359" s="1">
        <v>49.0</v>
      </c>
      <c r="F1359" s="1">
        <v>19.0</v>
      </c>
      <c r="G1359" s="1">
        <v>17.84</v>
      </c>
      <c r="H1359" s="1">
        <v>0.0</v>
      </c>
      <c r="I1359" s="1">
        <v>0.0</v>
      </c>
      <c r="J1359" s="1">
        <v>0.0</v>
      </c>
      <c r="K1359" s="1">
        <v>0.12</v>
      </c>
      <c r="L1359" s="1">
        <v>2910000.0</v>
      </c>
      <c r="M1359" s="1" t="s">
        <v>3879</v>
      </c>
      <c r="N1359" s="18">
        <v>45988.0</v>
      </c>
      <c r="O1359" s="1" t="s">
        <v>3415</v>
      </c>
      <c r="P1359" s="1" t="s">
        <v>3257</v>
      </c>
      <c r="Q1359" s="1" t="s">
        <v>3408</v>
      </c>
    </row>
    <row r="1360">
      <c r="A1360" s="1" t="s">
        <v>5759</v>
      </c>
      <c r="B1360" s="1">
        <v>49.0</v>
      </c>
      <c r="C1360" s="1">
        <v>210.0</v>
      </c>
      <c r="D1360" s="2" t="s">
        <v>716</v>
      </c>
      <c r="E1360" s="1">
        <v>49.0</v>
      </c>
      <c r="F1360" s="1">
        <v>6.0</v>
      </c>
      <c r="G1360" s="1">
        <v>80.22</v>
      </c>
      <c r="H1360" s="1">
        <v>0.0</v>
      </c>
      <c r="I1360" s="1">
        <v>0.0</v>
      </c>
      <c r="J1360" s="1">
        <v>0.0</v>
      </c>
      <c r="K1360" s="1">
        <v>0.05</v>
      </c>
      <c r="L1360" s="1">
        <v>738000.0</v>
      </c>
      <c r="M1360" s="1" t="s">
        <v>5760</v>
      </c>
      <c r="N1360" s="18">
        <v>45987.0</v>
      </c>
      <c r="O1360" s="1" t="s">
        <v>4643</v>
      </c>
      <c r="P1360" s="1" t="s">
        <v>3334</v>
      </c>
      <c r="Q1360" s="1" t="s">
        <v>3408</v>
      </c>
    </row>
    <row r="1361">
      <c r="A1361" s="1" t="s">
        <v>5761</v>
      </c>
      <c r="B1361" s="1">
        <v>49.0</v>
      </c>
      <c r="C1361" s="1">
        <v>50.0</v>
      </c>
      <c r="D1361" s="2" t="s">
        <v>2930</v>
      </c>
      <c r="E1361" s="1">
        <v>49.0</v>
      </c>
      <c r="F1361" s="1">
        <v>0.0</v>
      </c>
      <c r="G1361" s="1">
        <v>0.0</v>
      </c>
      <c r="H1361" s="1">
        <v>0.0</v>
      </c>
      <c r="I1361" s="1">
        <v>0.0</v>
      </c>
      <c r="J1361" s="1">
        <v>0.0</v>
      </c>
      <c r="K1361" s="1">
        <v>0.02</v>
      </c>
      <c r="L1361" s="1">
        <v>5.0</v>
      </c>
      <c r="M1361" s="1" t="s">
        <v>5762</v>
      </c>
      <c r="N1361" s="18">
        <v>45979.0</v>
      </c>
      <c r="O1361" s="1" t="s">
        <v>3525</v>
      </c>
      <c r="P1361" s="1" t="s">
        <v>3230</v>
      </c>
      <c r="Q1361" s="1" t="s">
        <v>3408</v>
      </c>
    </row>
    <row r="1362">
      <c r="A1362" s="1" t="s">
        <v>5763</v>
      </c>
      <c r="B1362" s="1">
        <v>50.0</v>
      </c>
      <c r="C1362" s="1">
        <v>40.0</v>
      </c>
      <c r="D1362" s="2" t="s">
        <v>581</v>
      </c>
      <c r="E1362" s="1">
        <v>50.0</v>
      </c>
      <c r="G1362" s="1">
        <v>2.52</v>
      </c>
      <c r="H1362" s="1">
        <v>0.0</v>
      </c>
      <c r="I1362" s="1">
        <v>0.0</v>
      </c>
      <c r="J1362" s="1">
        <v>0.0</v>
      </c>
      <c r="K1362" s="1">
        <v>0.18</v>
      </c>
      <c r="L1362" s="1">
        <v>1310000.0</v>
      </c>
      <c r="M1362" s="1" t="s">
        <v>5764</v>
      </c>
      <c r="N1362" s="18">
        <v>46042.0</v>
      </c>
      <c r="O1362" s="1" t="s">
        <v>5023</v>
      </c>
      <c r="P1362" s="1" t="s">
        <v>3294</v>
      </c>
      <c r="Q1362" s="1" t="s">
        <v>3408</v>
      </c>
    </row>
    <row r="1363">
      <c r="A1363" s="1" t="s">
        <v>3618</v>
      </c>
      <c r="B1363" s="1">
        <v>50.0</v>
      </c>
      <c r="C1363" s="1">
        <v>170.0</v>
      </c>
      <c r="D1363" s="2" t="s">
        <v>694</v>
      </c>
      <c r="E1363" s="1">
        <v>50.0</v>
      </c>
      <c r="F1363" s="1">
        <v>7.0</v>
      </c>
      <c r="G1363" s="1">
        <v>0.47</v>
      </c>
      <c r="H1363" s="1">
        <v>0.0</v>
      </c>
      <c r="I1363" s="1">
        <v>0.0</v>
      </c>
      <c r="J1363" s="1">
        <v>0.0</v>
      </c>
      <c r="K1363" s="1">
        <v>0.05</v>
      </c>
      <c r="L1363" s="1">
        <v>160000.0</v>
      </c>
      <c r="M1363" s="1" t="s">
        <v>3619</v>
      </c>
      <c r="N1363" s="18">
        <v>46039.0</v>
      </c>
      <c r="O1363" s="1" t="s">
        <v>3317</v>
      </c>
      <c r="P1363" s="1" t="s">
        <v>3230</v>
      </c>
      <c r="Q1363" s="1" t="s">
        <v>3408</v>
      </c>
    </row>
    <row r="1364">
      <c r="A1364" s="1" t="s">
        <v>5096</v>
      </c>
      <c r="B1364" s="1">
        <v>50.0</v>
      </c>
      <c r="C1364" s="1">
        <v>210.0</v>
      </c>
      <c r="D1364" s="2" t="s">
        <v>694</v>
      </c>
      <c r="E1364" s="1">
        <v>50.0</v>
      </c>
      <c r="F1364" s="1">
        <v>4.0</v>
      </c>
      <c r="G1364" s="1">
        <v>0.88</v>
      </c>
      <c r="H1364" s="1">
        <v>0.0</v>
      </c>
      <c r="I1364" s="1">
        <v>0.0</v>
      </c>
      <c r="J1364" s="1">
        <v>0.0</v>
      </c>
      <c r="K1364" s="1">
        <v>0.05</v>
      </c>
      <c r="L1364" s="1">
        <v>1110000.0</v>
      </c>
      <c r="M1364" s="1" t="s">
        <v>5097</v>
      </c>
      <c r="N1364" s="18">
        <v>46038.0</v>
      </c>
      <c r="O1364" s="1" t="s">
        <v>3565</v>
      </c>
      <c r="P1364" s="1" t="s">
        <v>3230</v>
      </c>
      <c r="Q1364" s="1" t="s">
        <v>3408</v>
      </c>
    </row>
    <row r="1365">
      <c r="A1365" s="1" t="s">
        <v>5765</v>
      </c>
      <c r="B1365" s="1">
        <v>50.0</v>
      </c>
      <c r="C1365" s="1">
        <v>70.0</v>
      </c>
      <c r="D1365" s="2" t="s">
        <v>581</v>
      </c>
      <c r="E1365" s="1">
        <v>50.0</v>
      </c>
      <c r="F1365" s="1">
        <v>17.0</v>
      </c>
      <c r="G1365" s="1">
        <v>16.03</v>
      </c>
      <c r="H1365" s="1">
        <v>0.0</v>
      </c>
      <c r="I1365" s="1">
        <v>0.0</v>
      </c>
      <c r="J1365" s="1">
        <v>0.0</v>
      </c>
      <c r="K1365" s="1">
        <v>0.5</v>
      </c>
      <c r="L1365" s="1">
        <v>922000.0</v>
      </c>
      <c r="M1365" s="1" t="s">
        <v>5766</v>
      </c>
      <c r="N1365" s="18">
        <v>46037.0</v>
      </c>
      <c r="O1365" s="1" t="s">
        <v>5767</v>
      </c>
      <c r="P1365" s="1" t="s">
        <v>3257</v>
      </c>
      <c r="Q1365" s="1" t="s">
        <v>3408</v>
      </c>
    </row>
    <row r="1366">
      <c r="A1366" s="1" t="s">
        <v>5768</v>
      </c>
      <c r="B1366" s="1">
        <v>50.0</v>
      </c>
      <c r="C1366" s="1">
        <v>40.0</v>
      </c>
      <c r="D1366" s="2" t="s">
        <v>1546</v>
      </c>
      <c r="E1366" s="1">
        <v>50.0</v>
      </c>
      <c r="F1366" s="1">
        <v>0.0</v>
      </c>
      <c r="G1366" s="1">
        <v>2.73</v>
      </c>
      <c r="H1366" s="1">
        <v>0.0</v>
      </c>
      <c r="I1366" s="1">
        <v>0.0</v>
      </c>
      <c r="J1366" s="1">
        <v>0.0</v>
      </c>
      <c r="K1366" s="1">
        <v>0.19</v>
      </c>
      <c r="L1366" s="1">
        <v>1.95E8</v>
      </c>
      <c r="M1366" s="1" t="s">
        <v>5769</v>
      </c>
      <c r="N1366" s="18">
        <v>46036.0</v>
      </c>
      <c r="O1366" s="1" t="s">
        <v>3314</v>
      </c>
      <c r="P1366" s="1" t="s">
        <v>3230</v>
      </c>
      <c r="Q1366" s="1" t="s">
        <v>3408</v>
      </c>
    </row>
    <row r="1367">
      <c r="A1367" s="1" t="s">
        <v>5770</v>
      </c>
      <c r="B1367" s="1">
        <v>50.0</v>
      </c>
      <c r="C1367" s="1">
        <v>70.0</v>
      </c>
      <c r="D1367" s="2" t="s">
        <v>716</v>
      </c>
      <c r="E1367" s="1">
        <v>50.0</v>
      </c>
      <c r="F1367" s="1">
        <v>5.0</v>
      </c>
      <c r="G1367" s="1">
        <v>0.0</v>
      </c>
      <c r="H1367" s="1">
        <v>0.0</v>
      </c>
      <c r="I1367" s="1">
        <v>0.0</v>
      </c>
      <c r="J1367" s="1">
        <v>0.0</v>
      </c>
      <c r="K1367" s="1">
        <v>0.0</v>
      </c>
      <c r="L1367" s="1">
        <v>569000.0</v>
      </c>
      <c r="M1367" s="1" t="s">
        <v>5771</v>
      </c>
      <c r="N1367" s="18">
        <v>46032.0</v>
      </c>
      <c r="O1367" s="1" t="s">
        <v>3432</v>
      </c>
      <c r="P1367" s="1" t="s">
        <v>3257</v>
      </c>
      <c r="Q1367" s="1" t="s">
        <v>3408</v>
      </c>
    </row>
    <row r="1368">
      <c r="A1368" s="1" t="s">
        <v>5715</v>
      </c>
      <c r="B1368" s="1">
        <v>50.0</v>
      </c>
      <c r="C1368" s="1">
        <v>40.0</v>
      </c>
      <c r="D1368" s="2" t="s">
        <v>2944</v>
      </c>
      <c r="E1368" s="1">
        <v>50.0</v>
      </c>
      <c r="F1368" s="1">
        <v>33.0</v>
      </c>
      <c r="G1368" s="1">
        <v>0.0</v>
      </c>
      <c r="H1368" s="1">
        <v>0.0</v>
      </c>
      <c r="I1368" s="1">
        <v>0.0</v>
      </c>
      <c r="J1368" s="1">
        <v>0.0</v>
      </c>
      <c r="K1368" s="1">
        <v>0.0</v>
      </c>
      <c r="L1368" s="1">
        <v>304000.0</v>
      </c>
      <c r="M1368" s="1" t="s">
        <v>5716</v>
      </c>
      <c r="N1368" s="18">
        <v>46030.0</v>
      </c>
      <c r="O1368" s="1" t="s">
        <v>3288</v>
      </c>
      <c r="P1368" s="1" t="s">
        <v>3257</v>
      </c>
      <c r="Q1368" s="1" t="s">
        <v>3408</v>
      </c>
    </row>
    <row r="1369">
      <c r="A1369" s="1" t="s">
        <v>5772</v>
      </c>
      <c r="B1369" s="1">
        <v>50.0</v>
      </c>
      <c r="C1369" s="1">
        <v>50.0</v>
      </c>
      <c r="D1369" s="2" t="s">
        <v>1307</v>
      </c>
      <c r="E1369" s="1">
        <v>50.0</v>
      </c>
      <c r="F1369" s="1">
        <v>10.0</v>
      </c>
      <c r="G1369" s="1">
        <v>0.0</v>
      </c>
      <c r="H1369" s="1">
        <v>0.0</v>
      </c>
      <c r="I1369" s="1">
        <v>0.0</v>
      </c>
      <c r="J1369" s="1">
        <v>0.0</v>
      </c>
      <c r="K1369" s="1">
        <v>0.0</v>
      </c>
      <c r="L1369" s="1">
        <v>115000.0</v>
      </c>
      <c r="M1369" s="1" t="s">
        <v>5773</v>
      </c>
      <c r="N1369" s="18">
        <v>46028.0</v>
      </c>
      <c r="O1369" s="1" t="s">
        <v>3355</v>
      </c>
      <c r="P1369" s="1" t="s">
        <v>3257</v>
      </c>
      <c r="Q1369" s="1" t="s">
        <v>3408</v>
      </c>
    </row>
    <row r="1370">
      <c r="A1370" s="1" t="s">
        <v>5774</v>
      </c>
      <c r="B1370" s="1">
        <v>50.0</v>
      </c>
      <c r="C1370" s="1">
        <v>70.0</v>
      </c>
      <c r="D1370" s="2" t="s">
        <v>911</v>
      </c>
      <c r="E1370" s="1">
        <v>50.0</v>
      </c>
      <c r="G1370" s="1">
        <v>1.51</v>
      </c>
      <c r="H1370" s="1">
        <v>0.0</v>
      </c>
      <c r="I1370" s="1">
        <v>0.0</v>
      </c>
      <c r="J1370" s="1">
        <v>0.0</v>
      </c>
      <c r="K1370" s="1">
        <v>0.62</v>
      </c>
      <c r="L1370" s="1">
        <v>2.14E7</v>
      </c>
      <c r="M1370" s="1" t="s">
        <v>5775</v>
      </c>
      <c r="N1370" s="18">
        <v>46027.0</v>
      </c>
      <c r="O1370" s="1" t="s">
        <v>5527</v>
      </c>
      <c r="P1370" s="1" t="s">
        <v>3230</v>
      </c>
      <c r="Q1370" s="1" t="s">
        <v>3408</v>
      </c>
    </row>
    <row r="1371">
      <c r="A1371" s="1" t="s">
        <v>3654</v>
      </c>
      <c r="B1371" s="1">
        <v>50.0</v>
      </c>
      <c r="C1371" s="1">
        <v>30.0</v>
      </c>
      <c r="D1371" s="2" t="s">
        <v>1234</v>
      </c>
      <c r="E1371" s="1">
        <v>50.0</v>
      </c>
      <c r="G1371" s="1">
        <v>17.48</v>
      </c>
      <c r="H1371" s="1">
        <v>0.0</v>
      </c>
      <c r="I1371" s="1">
        <v>0.0</v>
      </c>
      <c r="J1371" s="1">
        <v>0.0</v>
      </c>
      <c r="K1371" s="1">
        <v>0.53</v>
      </c>
      <c r="L1371" s="1">
        <v>6790000.0</v>
      </c>
      <c r="M1371" s="1" t="s">
        <v>3655</v>
      </c>
      <c r="N1371" s="18">
        <v>46026.0</v>
      </c>
      <c r="O1371" s="1" t="s">
        <v>3404</v>
      </c>
      <c r="P1371" s="1" t="s">
        <v>3257</v>
      </c>
      <c r="Q1371" s="1" t="s">
        <v>3408</v>
      </c>
    </row>
    <row r="1372">
      <c r="A1372" s="1" t="s">
        <v>5776</v>
      </c>
      <c r="B1372" s="1">
        <v>50.0</v>
      </c>
      <c r="C1372" s="1">
        <v>90.0</v>
      </c>
      <c r="D1372" s="2" t="s">
        <v>600</v>
      </c>
      <c r="E1372" s="1">
        <v>50.0</v>
      </c>
      <c r="F1372" s="1">
        <v>8.0</v>
      </c>
      <c r="G1372" s="1">
        <v>4.18</v>
      </c>
      <c r="H1372" s="1">
        <v>0.0</v>
      </c>
      <c r="I1372" s="1">
        <v>0.0</v>
      </c>
      <c r="J1372" s="1">
        <v>0.0</v>
      </c>
      <c r="K1372" s="1">
        <v>0.07</v>
      </c>
      <c r="L1372" s="1">
        <v>4200000.0</v>
      </c>
      <c r="M1372" s="1" t="s">
        <v>5777</v>
      </c>
      <c r="N1372" s="18">
        <v>46025.0</v>
      </c>
      <c r="O1372" s="1" t="s">
        <v>5778</v>
      </c>
      <c r="P1372" s="1" t="s">
        <v>3257</v>
      </c>
      <c r="Q1372" s="1" t="s">
        <v>3408</v>
      </c>
    </row>
    <row r="1373">
      <c r="A1373" s="1" t="s">
        <v>5779</v>
      </c>
      <c r="B1373" s="1">
        <v>50.0</v>
      </c>
      <c r="C1373" s="1">
        <v>40.0</v>
      </c>
      <c r="D1373" s="2" t="s">
        <v>792</v>
      </c>
      <c r="E1373" s="1">
        <v>50.0</v>
      </c>
      <c r="F1373" s="1">
        <v>0.0</v>
      </c>
      <c r="G1373" s="1">
        <v>0.0</v>
      </c>
      <c r="H1373" s="1">
        <v>0.0</v>
      </c>
      <c r="I1373" s="1">
        <v>0.0</v>
      </c>
      <c r="J1373" s="1">
        <v>0.0</v>
      </c>
      <c r="K1373" s="1">
        <v>0.0</v>
      </c>
      <c r="L1373" s="1">
        <v>1.81E7</v>
      </c>
      <c r="M1373" s="1" t="s">
        <v>5780</v>
      </c>
      <c r="N1373" s="18">
        <v>46025.0</v>
      </c>
      <c r="O1373" s="1" t="s">
        <v>5781</v>
      </c>
      <c r="P1373" s="1" t="s">
        <v>3334</v>
      </c>
      <c r="Q1373" s="1" t="s">
        <v>3408</v>
      </c>
    </row>
    <row r="1374">
      <c r="A1374" s="1" t="s">
        <v>4220</v>
      </c>
      <c r="B1374" s="1">
        <v>50.0</v>
      </c>
      <c r="C1374" s="1">
        <v>50.0</v>
      </c>
      <c r="D1374" s="2" t="s">
        <v>1060</v>
      </c>
      <c r="E1374" s="1">
        <v>50.0</v>
      </c>
      <c r="F1374" s="1">
        <v>31.0</v>
      </c>
      <c r="G1374" s="1">
        <v>18.67</v>
      </c>
      <c r="H1374" s="1">
        <v>0.0</v>
      </c>
      <c r="I1374" s="1">
        <v>0.0</v>
      </c>
      <c r="J1374" s="1">
        <v>0.0</v>
      </c>
      <c r="K1374" s="1">
        <v>0.79</v>
      </c>
      <c r="L1374" s="1">
        <v>679000.0</v>
      </c>
      <c r="M1374" s="1" t="s">
        <v>4221</v>
      </c>
      <c r="N1374" s="18">
        <v>46022.0</v>
      </c>
      <c r="O1374" s="1" t="s">
        <v>3415</v>
      </c>
      <c r="P1374" s="1" t="s">
        <v>3257</v>
      </c>
      <c r="Q1374" s="1" t="s">
        <v>3408</v>
      </c>
    </row>
    <row r="1375">
      <c r="A1375" s="1" t="s">
        <v>3761</v>
      </c>
      <c r="B1375" s="1">
        <v>50.0</v>
      </c>
      <c r="C1375" s="1">
        <v>70.0</v>
      </c>
      <c r="D1375" s="2" t="s">
        <v>588</v>
      </c>
      <c r="E1375" s="1">
        <v>50.0</v>
      </c>
      <c r="F1375" s="1">
        <v>30.0</v>
      </c>
      <c r="G1375" s="1">
        <v>22.36</v>
      </c>
      <c r="H1375" s="1">
        <v>0.0</v>
      </c>
      <c r="I1375" s="1">
        <v>0.0</v>
      </c>
      <c r="J1375" s="1">
        <v>0.0</v>
      </c>
      <c r="K1375" s="1">
        <v>0.99</v>
      </c>
      <c r="L1375" s="1">
        <v>36900.0</v>
      </c>
      <c r="M1375" s="1" t="s">
        <v>3762</v>
      </c>
      <c r="N1375" s="18">
        <v>46022.0</v>
      </c>
      <c r="O1375" s="1" t="s">
        <v>3432</v>
      </c>
      <c r="P1375" s="1" t="s">
        <v>3257</v>
      </c>
      <c r="Q1375" s="1" t="s">
        <v>3408</v>
      </c>
    </row>
    <row r="1376">
      <c r="A1376" s="1" t="s">
        <v>5782</v>
      </c>
      <c r="B1376" s="1">
        <v>50.0</v>
      </c>
      <c r="C1376" s="1">
        <v>90.0</v>
      </c>
      <c r="D1376" s="2" t="s">
        <v>1979</v>
      </c>
      <c r="E1376" s="1">
        <v>50.0</v>
      </c>
      <c r="F1376" s="1">
        <v>2.0</v>
      </c>
      <c r="G1376" s="1">
        <v>0.0</v>
      </c>
      <c r="H1376" s="1">
        <v>0.0</v>
      </c>
      <c r="I1376" s="1">
        <v>0.0</v>
      </c>
      <c r="J1376" s="1">
        <v>0.0</v>
      </c>
      <c r="K1376" s="1">
        <v>0.03</v>
      </c>
      <c r="L1376" s="1">
        <v>5.07E7</v>
      </c>
      <c r="M1376" s="1" t="s">
        <v>5783</v>
      </c>
      <c r="N1376" s="18">
        <v>46022.0</v>
      </c>
      <c r="O1376" s="1" t="s">
        <v>5784</v>
      </c>
      <c r="P1376" s="1" t="s">
        <v>3230</v>
      </c>
      <c r="Q1376" s="1" t="s">
        <v>3408</v>
      </c>
    </row>
    <row r="1377">
      <c r="A1377" s="1" t="s">
        <v>5666</v>
      </c>
      <c r="B1377" s="1">
        <v>50.0</v>
      </c>
      <c r="C1377" s="1">
        <v>90.0</v>
      </c>
      <c r="D1377" s="2" t="s">
        <v>1035</v>
      </c>
      <c r="E1377" s="1">
        <v>50.0</v>
      </c>
      <c r="F1377" s="1">
        <v>2.0</v>
      </c>
      <c r="G1377" s="1">
        <v>0.0</v>
      </c>
      <c r="H1377" s="1">
        <v>0.0</v>
      </c>
      <c r="I1377" s="1">
        <v>0.0</v>
      </c>
      <c r="J1377" s="1">
        <v>0.0</v>
      </c>
      <c r="K1377" s="1">
        <v>0.24</v>
      </c>
      <c r="L1377" s="1">
        <v>6410000.0</v>
      </c>
      <c r="M1377" s="1" t="s">
        <v>5667</v>
      </c>
      <c r="N1377" s="18">
        <v>46018.0</v>
      </c>
      <c r="O1377" s="1" t="s">
        <v>3284</v>
      </c>
      <c r="P1377" s="1" t="s">
        <v>3230</v>
      </c>
      <c r="Q1377" s="1" t="s">
        <v>3408</v>
      </c>
    </row>
    <row r="1378">
      <c r="A1378" s="1" t="s">
        <v>5785</v>
      </c>
      <c r="B1378" s="1">
        <v>50.0</v>
      </c>
      <c r="C1378" s="1">
        <v>110.0</v>
      </c>
      <c r="D1378" s="2" t="s">
        <v>439</v>
      </c>
      <c r="E1378" s="1">
        <v>50.0</v>
      </c>
      <c r="F1378" s="1">
        <v>46.0</v>
      </c>
      <c r="G1378" s="1">
        <v>5.74</v>
      </c>
      <c r="H1378" s="1">
        <v>0.0</v>
      </c>
      <c r="I1378" s="1">
        <v>0.0</v>
      </c>
      <c r="J1378" s="1">
        <v>0.0</v>
      </c>
      <c r="K1378" s="1">
        <v>0.09</v>
      </c>
      <c r="L1378" s="1">
        <v>8.13E7</v>
      </c>
      <c r="M1378" s="1" t="s">
        <v>5786</v>
      </c>
      <c r="N1378" s="18">
        <v>46017.0</v>
      </c>
      <c r="O1378" s="1" t="s">
        <v>4763</v>
      </c>
      <c r="P1378" s="1" t="s">
        <v>3294</v>
      </c>
      <c r="Q1378" s="1" t="s">
        <v>3408</v>
      </c>
    </row>
    <row r="1379">
      <c r="A1379" s="1" t="s">
        <v>5787</v>
      </c>
      <c r="B1379" s="1">
        <v>50.0</v>
      </c>
      <c r="C1379" s="1">
        <v>40.0</v>
      </c>
      <c r="D1379" s="2" t="s">
        <v>1095</v>
      </c>
      <c r="E1379" s="1">
        <v>50.0</v>
      </c>
      <c r="F1379" s="1">
        <v>7.0</v>
      </c>
      <c r="G1379" s="1">
        <v>0.0</v>
      </c>
      <c r="H1379" s="1">
        <v>0.0</v>
      </c>
      <c r="I1379" s="1">
        <v>0.0</v>
      </c>
      <c r="J1379" s="1">
        <v>0.0</v>
      </c>
      <c r="K1379" s="1">
        <v>0.01</v>
      </c>
      <c r="L1379" s="1">
        <v>4.22E8</v>
      </c>
      <c r="M1379" s="1" t="s">
        <v>5788</v>
      </c>
      <c r="N1379" s="18">
        <v>46015.0</v>
      </c>
      <c r="O1379" s="1" t="s">
        <v>3840</v>
      </c>
      <c r="P1379" s="1" t="s">
        <v>3230</v>
      </c>
      <c r="Q1379" s="1" t="s">
        <v>3408</v>
      </c>
    </row>
    <row r="1380">
      <c r="A1380" s="1" t="s">
        <v>5789</v>
      </c>
      <c r="B1380" s="1">
        <v>50.0</v>
      </c>
      <c r="C1380" s="1">
        <v>30.0</v>
      </c>
      <c r="D1380" s="2" t="s">
        <v>913</v>
      </c>
      <c r="E1380" s="1">
        <v>50.0</v>
      </c>
      <c r="F1380" s="1">
        <v>18.0</v>
      </c>
      <c r="G1380" s="1">
        <v>22.8</v>
      </c>
      <c r="H1380" s="1">
        <v>0.0</v>
      </c>
      <c r="I1380" s="1">
        <v>0.0</v>
      </c>
      <c r="J1380" s="1">
        <v>0.0</v>
      </c>
      <c r="K1380" s="1">
        <v>0.54</v>
      </c>
      <c r="L1380" s="1">
        <v>525000.0</v>
      </c>
      <c r="M1380" s="1" t="s">
        <v>5790</v>
      </c>
      <c r="N1380" s="18">
        <v>46015.0</v>
      </c>
      <c r="O1380" s="1" t="s">
        <v>5791</v>
      </c>
      <c r="P1380" s="1" t="s">
        <v>3257</v>
      </c>
      <c r="Q1380" s="1" t="s">
        <v>3408</v>
      </c>
    </row>
    <row r="1381">
      <c r="A1381" s="1" t="s">
        <v>5792</v>
      </c>
      <c r="B1381" s="1">
        <v>50.0</v>
      </c>
      <c r="C1381" s="1">
        <v>90.0</v>
      </c>
      <c r="D1381" s="2" t="s">
        <v>1473</v>
      </c>
      <c r="E1381" s="1">
        <v>50.0</v>
      </c>
      <c r="F1381" s="1">
        <v>23.0</v>
      </c>
      <c r="G1381" s="1">
        <v>0.0</v>
      </c>
      <c r="H1381" s="1">
        <v>0.0</v>
      </c>
      <c r="I1381" s="1">
        <v>0.0</v>
      </c>
      <c r="J1381" s="1">
        <v>0.0</v>
      </c>
      <c r="K1381" s="1">
        <v>0.0</v>
      </c>
      <c r="L1381" s="1">
        <v>467000.0</v>
      </c>
      <c r="M1381" s="1" t="s">
        <v>5793</v>
      </c>
      <c r="N1381" s="18">
        <v>46014.0</v>
      </c>
      <c r="O1381" s="1" t="s">
        <v>5458</v>
      </c>
      <c r="P1381" s="1" t="s">
        <v>3230</v>
      </c>
      <c r="Q1381" s="1" t="s">
        <v>3408</v>
      </c>
    </row>
    <row r="1382">
      <c r="A1382" s="1" t="s">
        <v>5794</v>
      </c>
      <c r="B1382" s="1">
        <v>50.0</v>
      </c>
      <c r="C1382" s="1">
        <v>390.0</v>
      </c>
      <c r="D1382" s="2" t="s">
        <v>1475</v>
      </c>
      <c r="E1382" s="1">
        <v>50.0</v>
      </c>
      <c r="F1382" s="1">
        <v>14.0</v>
      </c>
      <c r="G1382" s="1">
        <v>0.0</v>
      </c>
      <c r="H1382" s="1">
        <v>0.0</v>
      </c>
      <c r="I1382" s="1">
        <v>0.0</v>
      </c>
      <c r="J1382" s="1">
        <v>0.0</v>
      </c>
      <c r="K1382" s="1">
        <v>0.01</v>
      </c>
      <c r="L1382" s="1">
        <v>1.69E7</v>
      </c>
      <c r="M1382" s="1" t="s">
        <v>5795</v>
      </c>
      <c r="N1382" s="18">
        <v>46009.0</v>
      </c>
      <c r="O1382" s="1" t="s">
        <v>3237</v>
      </c>
      <c r="P1382" s="1" t="s">
        <v>3230</v>
      </c>
      <c r="Q1382" s="1" t="s">
        <v>3408</v>
      </c>
    </row>
    <row r="1383">
      <c r="A1383" s="1" t="s">
        <v>5796</v>
      </c>
      <c r="B1383" s="1">
        <v>50.0</v>
      </c>
      <c r="C1383" s="1">
        <v>170.0</v>
      </c>
      <c r="D1383" s="2" t="s">
        <v>1771</v>
      </c>
      <c r="E1383" s="1">
        <v>50.0</v>
      </c>
      <c r="F1383" s="1">
        <v>2.0</v>
      </c>
      <c r="G1383" s="1">
        <v>0.0</v>
      </c>
      <c r="H1383" s="1">
        <v>0.0</v>
      </c>
      <c r="I1383" s="1">
        <v>0.0</v>
      </c>
      <c r="J1383" s="1">
        <v>0.0</v>
      </c>
      <c r="K1383" s="1">
        <v>0.01</v>
      </c>
      <c r="L1383" s="1">
        <v>514000.0</v>
      </c>
      <c r="M1383" s="1" t="s">
        <v>5797</v>
      </c>
      <c r="N1383" s="18">
        <v>46008.0</v>
      </c>
      <c r="O1383" s="1" t="s">
        <v>5798</v>
      </c>
      <c r="P1383" s="1" t="s">
        <v>3230</v>
      </c>
      <c r="Q1383" s="1" t="s">
        <v>3408</v>
      </c>
    </row>
    <row r="1384">
      <c r="A1384" s="1" t="s">
        <v>5799</v>
      </c>
      <c r="B1384" s="1">
        <v>50.0</v>
      </c>
      <c r="C1384" s="1">
        <v>110.0</v>
      </c>
      <c r="D1384" s="2" t="s">
        <v>1868</v>
      </c>
      <c r="E1384" s="1">
        <v>50.0</v>
      </c>
      <c r="F1384" s="1">
        <v>47.0</v>
      </c>
      <c r="G1384" s="1">
        <v>0.0</v>
      </c>
      <c r="H1384" s="1">
        <v>0.0</v>
      </c>
      <c r="I1384" s="1">
        <v>0.0</v>
      </c>
      <c r="J1384" s="1">
        <v>0.0</v>
      </c>
      <c r="K1384" s="1">
        <v>0.0</v>
      </c>
      <c r="L1384" s="1">
        <v>4.16E8</v>
      </c>
      <c r="M1384" s="1" t="s">
        <v>5800</v>
      </c>
      <c r="N1384" s="18">
        <v>46006.0</v>
      </c>
      <c r="O1384" s="1" t="s">
        <v>5571</v>
      </c>
      <c r="P1384" s="1" t="s">
        <v>3230</v>
      </c>
      <c r="Q1384" s="1" t="s">
        <v>3408</v>
      </c>
    </row>
    <row r="1385">
      <c r="A1385" s="1" t="s">
        <v>5801</v>
      </c>
      <c r="B1385" s="1">
        <v>50.0</v>
      </c>
      <c r="C1385" s="1">
        <v>40.0</v>
      </c>
      <c r="D1385" s="2" t="s">
        <v>2941</v>
      </c>
      <c r="E1385" s="1">
        <v>50.0</v>
      </c>
      <c r="F1385" s="1">
        <v>25.0</v>
      </c>
      <c r="G1385" s="1">
        <v>0.0</v>
      </c>
      <c r="H1385" s="1">
        <v>0.0</v>
      </c>
      <c r="I1385" s="1">
        <v>0.0</v>
      </c>
      <c r="J1385" s="1">
        <v>0.0</v>
      </c>
      <c r="K1385" s="1">
        <v>0.14</v>
      </c>
      <c r="L1385" s="1">
        <v>1.11E7</v>
      </c>
      <c r="M1385" s="1" t="s">
        <v>5802</v>
      </c>
      <c r="N1385" s="18">
        <v>46005.0</v>
      </c>
      <c r="O1385" s="1" t="s">
        <v>3442</v>
      </c>
      <c r="P1385" s="1" t="s">
        <v>3230</v>
      </c>
      <c r="Q1385" s="1" t="s">
        <v>3408</v>
      </c>
    </row>
    <row r="1386">
      <c r="A1386" s="1" t="s">
        <v>5803</v>
      </c>
      <c r="B1386" s="1">
        <v>50.0</v>
      </c>
      <c r="C1386" s="1">
        <v>40.0</v>
      </c>
      <c r="D1386" s="2" t="s">
        <v>1452</v>
      </c>
      <c r="E1386" s="1">
        <v>50.0</v>
      </c>
      <c r="F1386" s="1">
        <v>32.0</v>
      </c>
      <c r="G1386" s="1">
        <v>0.0</v>
      </c>
      <c r="H1386" s="1">
        <v>0.0</v>
      </c>
      <c r="I1386" s="1">
        <v>0.0</v>
      </c>
      <c r="J1386" s="1">
        <v>0.0</v>
      </c>
      <c r="K1386" s="1">
        <v>0.0</v>
      </c>
      <c r="L1386" s="1">
        <v>1.08E8</v>
      </c>
      <c r="M1386" s="1" t="s">
        <v>5804</v>
      </c>
      <c r="N1386" s="18">
        <v>46004.0</v>
      </c>
      <c r="O1386" s="1" t="s">
        <v>3920</v>
      </c>
      <c r="P1386" s="1" t="s">
        <v>3230</v>
      </c>
      <c r="Q1386" s="1" t="s">
        <v>3408</v>
      </c>
    </row>
    <row r="1387">
      <c r="A1387" s="1" t="s">
        <v>5805</v>
      </c>
      <c r="B1387" s="1">
        <v>50.0</v>
      </c>
      <c r="C1387" s="1">
        <v>140.0</v>
      </c>
      <c r="D1387" s="2" t="s">
        <v>2416</v>
      </c>
      <c r="E1387" s="1">
        <v>50.0</v>
      </c>
      <c r="F1387" s="1">
        <v>14.0</v>
      </c>
      <c r="G1387" s="1">
        <v>0.0</v>
      </c>
      <c r="H1387" s="1">
        <v>0.0</v>
      </c>
      <c r="I1387" s="1">
        <v>0.0</v>
      </c>
      <c r="J1387" s="1">
        <v>0.0</v>
      </c>
      <c r="K1387" s="1">
        <v>0.0</v>
      </c>
      <c r="L1387" s="1">
        <v>1020000.0</v>
      </c>
      <c r="M1387" s="1" t="s">
        <v>5806</v>
      </c>
      <c r="N1387" s="18">
        <v>46004.0</v>
      </c>
      <c r="O1387" s="1" t="s">
        <v>3750</v>
      </c>
      <c r="P1387" s="1" t="s">
        <v>3230</v>
      </c>
      <c r="Q1387" s="1" t="s">
        <v>3408</v>
      </c>
    </row>
    <row r="1388">
      <c r="A1388" s="1" t="s">
        <v>5807</v>
      </c>
      <c r="B1388" s="1">
        <v>50.0</v>
      </c>
      <c r="C1388" s="1">
        <v>140.0</v>
      </c>
      <c r="D1388" s="2" t="s">
        <v>1129</v>
      </c>
      <c r="E1388" s="1">
        <v>50.0</v>
      </c>
      <c r="F1388" s="1">
        <v>13.0</v>
      </c>
      <c r="G1388" s="1">
        <v>3.74</v>
      </c>
      <c r="H1388" s="1">
        <v>0.0</v>
      </c>
      <c r="I1388" s="1">
        <v>0.0</v>
      </c>
      <c r="J1388" s="1">
        <v>0.0</v>
      </c>
      <c r="K1388" s="1">
        <v>0.22</v>
      </c>
      <c r="L1388" s="1">
        <v>6590000.0</v>
      </c>
      <c r="M1388" s="1" t="s">
        <v>5808</v>
      </c>
      <c r="N1388" s="18">
        <v>45993.0</v>
      </c>
      <c r="O1388" s="1" t="s">
        <v>5809</v>
      </c>
      <c r="P1388" s="1" t="s">
        <v>3257</v>
      </c>
      <c r="Q1388" s="1" t="s">
        <v>3408</v>
      </c>
    </row>
    <row r="1389">
      <c r="A1389" s="1" t="s">
        <v>3774</v>
      </c>
      <c r="B1389" s="1">
        <v>50.0</v>
      </c>
      <c r="C1389" s="1">
        <v>50.0</v>
      </c>
      <c r="D1389" s="2" t="s">
        <v>2988</v>
      </c>
      <c r="E1389" s="1">
        <v>50.0</v>
      </c>
      <c r="F1389" s="1">
        <v>34.0</v>
      </c>
      <c r="G1389" s="1">
        <v>13.04</v>
      </c>
      <c r="H1389" s="1">
        <v>0.0</v>
      </c>
      <c r="I1389" s="1">
        <v>0.0</v>
      </c>
      <c r="J1389" s="1">
        <v>0.0</v>
      </c>
      <c r="K1389" s="1">
        <v>0.31</v>
      </c>
      <c r="L1389" s="1">
        <v>1.49E7</v>
      </c>
      <c r="M1389" s="1" t="s">
        <v>3775</v>
      </c>
      <c r="N1389" s="18">
        <v>45992.0</v>
      </c>
      <c r="O1389" s="1" t="s">
        <v>3673</v>
      </c>
      <c r="P1389" s="1" t="s">
        <v>3257</v>
      </c>
      <c r="Q1389" s="1" t="s">
        <v>3408</v>
      </c>
    </row>
    <row r="1390">
      <c r="A1390" s="1" t="s">
        <v>5810</v>
      </c>
      <c r="B1390" s="1">
        <v>50.0</v>
      </c>
      <c r="C1390" s="1">
        <v>40.0</v>
      </c>
      <c r="D1390" s="2" t="s">
        <v>439</v>
      </c>
      <c r="E1390" s="1">
        <v>50.0</v>
      </c>
      <c r="F1390" s="1">
        <v>29.0</v>
      </c>
      <c r="G1390" s="1">
        <v>7.42</v>
      </c>
      <c r="H1390" s="1">
        <v>0.0</v>
      </c>
      <c r="I1390" s="1">
        <v>0.0</v>
      </c>
      <c r="J1390" s="1">
        <v>0.0</v>
      </c>
      <c r="K1390" s="1">
        <v>0.17</v>
      </c>
      <c r="L1390" s="1">
        <v>63000.0</v>
      </c>
      <c r="M1390" s="1" t="s">
        <v>5811</v>
      </c>
      <c r="N1390" s="18">
        <v>45992.0</v>
      </c>
      <c r="O1390" s="1" t="s">
        <v>5812</v>
      </c>
      <c r="P1390" s="1" t="s">
        <v>3230</v>
      </c>
      <c r="Q1390" s="1" t="s">
        <v>3408</v>
      </c>
    </row>
    <row r="1391">
      <c r="A1391" s="1" t="s">
        <v>5813</v>
      </c>
      <c r="B1391" s="1">
        <v>50.0</v>
      </c>
      <c r="C1391" s="1">
        <v>90.0</v>
      </c>
      <c r="D1391" s="2" t="s">
        <v>581</v>
      </c>
      <c r="E1391" s="1">
        <v>50.0</v>
      </c>
      <c r="F1391" s="1">
        <v>41.0</v>
      </c>
      <c r="G1391" s="1">
        <v>11.38</v>
      </c>
      <c r="H1391" s="1">
        <v>0.0</v>
      </c>
      <c r="I1391" s="1">
        <v>0.0</v>
      </c>
      <c r="J1391" s="1">
        <v>0.0</v>
      </c>
      <c r="K1391" s="1">
        <v>0.78</v>
      </c>
      <c r="L1391" s="1">
        <v>1.23E7</v>
      </c>
      <c r="M1391" s="1" t="s">
        <v>5814</v>
      </c>
      <c r="N1391" s="18">
        <v>45991.0</v>
      </c>
      <c r="O1391" s="1" t="s">
        <v>5815</v>
      </c>
      <c r="P1391" s="1" t="s">
        <v>3257</v>
      </c>
      <c r="Q1391" s="1" t="s">
        <v>3408</v>
      </c>
    </row>
    <row r="1392">
      <c r="A1392" s="1" t="s">
        <v>5816</v>
      </c>
      <c r="B1392" s="1">
        <v>50.0</v>
      </c>
      <c r="C1392" s="1">
        <v>70.0</v>
      </c>
      <c r="D1392" s="2" t="s">
        <v>2048</v>
      </c>
      <c r="E1392" s="1">
        <v>50.0</v>
      </c>
      <c r="F1392" s="1">
        <v>20.0</v>
      </c>
      <c r="G1392" s="1">
        <v>0.0</v>
      </c>
      <c r="H1392" s="1">
        <v>0.0</v>
      </c>
      <c r="I1392" s="1">
        <v>0.0</v>
      </c>
      <c r="J1392" s="1">
        <v>0.0</v>
      </c>
      <c r="K1392" s="1">
        <v>0.0</v>
      </c>
      <c r="L1392" s="1">
        <v>1.16E8</v>
      </c>
      <c r="M1392" s="1" t="s">
        <v>5817</v>
      </c>
      <c r="N1392" s="18">
        <v>45988.0</v>
      </c>
      <c r="O1392" s="1" t="s">
        <v>3571</v>
      </c>
      <c r="P1392" s="1" t="s">
        <v>3230</v>
      </c>
      <c r="Q1392" s="1" t="s">
        <v>3408</v>
      </c>
    </row>
    <row r="1393">
      <c r="A1393" s="1" t="s">
        <v>5818</v>
      </c>
      <c r="B1393" s="1">
        <v>50.0</v>
      </c>
      <c r="C1393" s="1">
        <v>40.0</v>
      </c>
      <c r="D1393" s="2" t="s">
        <v>798</v>
      </c>
      <c r="E1393" s="1">
        <v>50.0</v>
      </c>
      <c r="F1393" s="1">
        <v>5.0</v>
      </c>
      <c r="G1393" s="1">
        <v>0.0</v>
      </c>
      <c r="H1393" s="1">
        <v>0.0</v>
      </c>
      <c r="I1393" s="1">
        <v>0.0</v>
      </c>
      <c r="J1393" s="1">
        <v>0.0</v>
      </c>
      <c r="K1393" s="1">
        <v>0.0</v>
      </c>
      <c r="L1393" s="1">
        <v>9.0</v>
      </c>
      <c r="M1393" s="1" t="s">
        <v>5819</v>
      </c>
      <c r="N1393" s="18">
        <v>45985.0</v>
      </c>
      <c r="O1393" s="1" t="s">
        <v>3375</v>
      </c>
      <c r="Q1393" s="1" t="s">
        <v>3408</v>
      </c>
    </row>
    <row r="1394">
      <c r="A1394" s="1" t="s">
        <v>5820</v>
      </c>
      <c r="B1394" s="1">
        <v>50.0</v>
      </c>
      <c r="C1394" s="1">
        <v>320.0</v>
      </c>
      <c r="D1394" s="2" t="s">
        <v>1988</v>
      </c>
      <c r="E1394" s="1">
        <v>50.0</v>
      </c>
      <c r="F1394" s="1">
        <v>7.0</v>
      </c>
      <c r="G1394" s="1">
        <v>0.98</v>
      </c>
      <c r="H1394" s="1">
        <v>0.0</v>
      </c>
      <c r="I1394" s="1">
        <v>0.0</v>
      </c>
      <c r="J1394" s="1">
        <v>0.0</v>
      </c>
      <c r="K1394" s="1">
        <v>0.25</v>
      </c>
      <c r="L1394" s="1">
        <v>1.42E8</v>
      </c>
      <c r="M1394" s="1" t="s">
        <v>5821</v>
      </c>
      <c r="N1394" s="18">
        <v>45984.0</v>
      </c>
      <c r="O1394" s="1" t="s">
        <v>3840</v>
      </c>
      <c r="P1394" s="1" t="s">
        <v>3230</v>
      </c>
      <c r="Q1394" s="1" t="s">
        <v>3408</v>
      </c>
    </row>
    <row r="1395">
      <c r="A1395" s="1" t="s">
        <v>5822</v>
      </c>
      <c r="B1395" s="1">
        <v>50.0</v>
      </c>
      <c r="C1395" s="1">
        <v>110.0</v>
      </c>
      <c r="D1395" s="2" t="s">
        <v>833</v>
      </c>
      <c r="E1395" s="1">
        <v>50.0</v>
      </c>
      <c r="F1395" s="1">
        <v>1.0</v>
      </c>
      <c r="G1395" s="1">
        <v>21.24</v>
      </c>
      <c r="H1395" s="1">
        <v>0.0</v>
      </c>
      <c r="I1395" s="1">
        <v>0.0</v>
      </c>
      <c r="J1395" s="1">
        <v>0.0</v>
      </c>
      <c r="K1395" s="1">
        <v>0.1</v>
      </c>
      <c r="L1395" s="1">
        <v>10.0</v>
      </c>
      <c r="M1395" s="1" t="s">
        <v>5823</v>
      </c>
      <c r="N1395" s="18">
        <v>45984.0</v>
      </c>
      <c r="O1395" s="1" t="s">
        <v>3284</v>
      </c>
      <c r="P1395" s="1" t="s">
        <v>3230</v>
      </c>
      <c r="Q1395" s="1" t="s">
        <v>3408</v>
      </c>
    </row>
    <row r="1396">
      <c r="A1396" s="1" t="s">
        <v>5761</v>
      </c>
      <c r="B1396" s="1">
        <v>50.0</v>
      </c>
      <c r="C1396" s="1">
        <v>50.0</v>
      </c>
      <c r="D1396" s="2" t="s">
        <v>2930</v>
      </c>
      <c r="E1396" s="1">
        <v>50.0</v>
      </c>
      <c r="F1396" s="1">
        <v>0.0</v>
      </c>
      <c r="G1396" s="1">
        <v>0.0</v>
      </c>
      <c r="H1396" s="1">
        <v>0.0</v>
      </c>
      <c r="I1396" s="1">
        <v>0.0</v>
      </c>
      <c r="J1396" s="1">
        <v>0.0</v>
      </c>
      <c r="K1396" s="1">
        <v>0.02</v>
      </c>
      <c r="L1396" s="1">
        <v>5.0</v>
      </c>
      <c r="M1396" s="1" t="s">
        <v>5762</v>
      </c>
      <c r="N1396" s="18">
        <v>45979.0</v>
      </c>
      <c r="O1396" s="1" t="s">
        <v>3525</v>
      </c>
      <c r="P1396" s="1" t="s">
        <v>3230</v>
      </c>
      <c r="Q1396" s="1" t="s">
        <v>3408</v>
      </c>
    </row>
    <row r="1397">
      <c r="A1397" s="1" t="s">
        <v>5824</v>
      </c>
      <c r="B1397" s="1">
        <v>51.0</v>
      </c>
      <c r="C1397" s="1">
        <v>140.0</v>
      </c>
      <c r="D1397" s="2" t="s">
        <v>676</v>
      </c>
      <c r="E1397" s="1">
        <v>51.0</v>
      </c>
      <c r="F1397" s="1">
        <v>30.0</v>
      </c>
      <c r="G1397" s="1">
        <v>13.52</v>
      </c>
      <c r="H1397" s="1">
        <v>0.0</v>
      </c>
      <c r="I1397" s="1">
        <v>0.0</v>
      </c>
      <c r="J1397" s="1">
        <v>0.0</v>
      </c>
      <c r="K1397" s="1">
        <v>0.77</v>
      </c>
      <c r="L1397" s="1">
        <v>163000.0</v>
      </c>
      <c r="M1397" s="1" t="s">
        <v>5825</v>
      </c>
      <c r="N1397" s="18">
        <v>46041.0</v>
      </c>
      <c r="O1397" s="1" t="s">
        <v>3355</v>
      </c>
      <c r="P1397" s="1" t="s">
        <v>3257</v>
      </c>
      <c r="Q1397" s="1" t="s">
        <v>3408</v>
      </c>
    </row>
    <row r="1398">
      <c r="A1398" s="1" t="s">
        <v>5826</v>
      </c>
      <c r="B1398" s="1">
        <v>51.0</v>
      </c>
      <c r="C1398" s="1">
        <v>140.0</v>
      </c>
      <c r="D1398" s="2" t="s">
        <v>600</v>
      </c>
      <c r="E1398" s="1">
        <v>51.0</v>
      </c>
      <c r="F1398" s="1">
        <v>2.0</v>
      </c>
      <c r="G1398" s="1">
        <v>9.24</v>
      </c>
      <c r="H1398" s="1">
        <v>0.0</v>
      </c>
      <c r="I1398" s="1">
        <v>0.0</v>
      </c>
      <c r="J1398" s="1">
        <v>0.0</v>
      </c>
      <c r="K1398" s="1">
        <v>0.29</v>
      </c>
      <c r="L1398" s="1">
        <v>7600000.0</v>
      </c>
      <c r="M1398" s="1" t="s">
        <v>5827</v>
      </c>
      <c r="N1398" s="18">
        <v>46037.0</v>
      </c>
      <c r="O1398" s="1" t="s">
        <v>5828</v>
      </c>
      <c r="P1398" s="1" t="s">
        <v>3257</v>
      </c>
      <c r="Q1398" s="1" t="s">
        <v>3408</v>
      </c>
    </row>
    <row r="1399">
      <c r="A1399" s="1" t="s">
        <v>3753</v>
      </c>
      <c r="B1399" s="1">
        <v>51.0</v>
      </c>
      <c r="C1399" s="1">
        <v>30.0</v>
      </c>
      <c r="D1399" s="2" t="s">
        <v>1234</v>
      </c>
      <c r="E1399" s="1">
        <v>51.0</v>
      </c>
      <c r="F1399" s="1">
        <v>11.0</v>
      </c>
      <c r="G1399" s="1">
        <v>17.48</v>
      </c>
      <c r="H1399" s="1">
        <v>0.0</v>
      </c>
      <c r="I1399" s="1">
        <v>0.0</v>
      </c>
      <c r="J1399" s="1">
        <v>0.0</v>
      </c>
      <c r="K1399" s="1">
        <v>0.53</v>
      </c>
      <c r="L1399" s="1">
        <v>3850000.0</v>
      </c>
      <c r="M1399" s="1" t="s">
        <v>3754</v>
      </c>
      <c r="N1399" s="18">
        <v>46036.0</v>
      </c>
      <c r="O1399" s="1" t="s">
        <v>3755</v>
      </c>
      <c r="P1399" s="1" t="s">
        <v>3257</v>
      </c>
      <c r="Q1399" s="1" t="s">
        <v>3408</v>
      </c>
    </row>
    <row r="1400">
      <c r="A1400" s="1" t="s">
        <v>5829</v>
      </c>
      <c r="B1400" s="1">
        <v>51.0</v>
      </c>
      <c r="C1400" s="1">
        <v>210.0</v>
      </c>
      <c r="D1400" s="2" t="s">
        <v>762</v>
      </c>
      <c r="E1400" s="1">
        <v>51.0</v>
      </c>
      <c r="F1400" s="1">
        <v>12.0</v>
      </c>
      <c r="G1400" s="1">
        <v>20.64</v>
      </c>
      <c r="H1400" s="1">
        <v>0.0</v>
      </c>
      <c r="I1400" s="1">
        <v>0.0</v>
      </c>
      <c r="J1400" s="1">
        <v>0.0</v>
      </c>
      <c r="K1400" s="1">
        <v>0.38</v>
      </c>
      <c r="L1400" s="1">
        <v>7430000.0</v>
      </c>
      <c r="M1400" s="1" t="s">
        <v>5830</v>
      </c>
      <c r="N1400" s="18">
        <v>46034.0</v>
      </c>
      <c r="O1400" s="1" t="s">
        <v>4839</v>
      </c>
      <c r="P1400" s="1" t="s">
        <v>3257</v>
      </c>
      <c r="Q1400" s="1" t="s">
        <v>3408</v>
      </c>
    </row>
    <row r="1401">
      <c r="A1401" s="1" t="s">
        <v>5831</v>
      </c>
      <c r="B1401" s="1">
        <v>51.0</v>
      </c>
      <c r="C1401" s="1">
        <v>170.0</v>
      </c>
      <c r="D1401" s="2" t="s">
        <v>600</v>
      </c>
      <c r="E1401" s="1">
        <v>51.0</v>
      </c>
      <c r="F1401" s="1">
        <v>2.0</v>
      </c>
      <c r="G1401" s="1">
        <v>9.24</v>
      </c>
      <c r="H1401" s="1">
        <v>0.0</v>
      </c>
      <c r="I1401" s="1">
        <v>0.0</v>
      </c>
      <c r="J1401" s="1">
        <v>0.0</v>
      </c>
      <c r="K1401" s="1">
        <v>0.29</v>
      </c>
      <c r="L1401" s="1">
        <v>1890000.0</v>
      </c>
      <c r="M1401" s="1" t="s">
        <v>5832</v>
      </c>
      <c r="N1401" s="18">
        <v>46034.0</v>
      </c>
      <c r="O1401" s="1" t="s">
        <v>3418</v>
      </c>
      <c r="P1401" s="1" t="s">
        <v>3257</v>
      </c>
      <c r="Q1401" s="1" t="s">
        <v>3408</v>
      </c>
    </row>
    <row r="1402">
      <c r="A1402" s="1" t="s">
        <v>5833</v>
      </c>
      <c r="B1402" s="1">
        <v>51.0</v>
      </c>
      <c r="C1402" s="1">
        <v>50.0</v>
      </c>
      <c r="D1402" s="2" t="s">
        <v>696</v>
      </c>
      <c r="E1402" s="1">
        <v>51.0</v>
      </c>
      <c r="F1402" s="1">
        <v>2.0</v>
      </c>
      <c r="G1402" s="1">
        <v>0.0</v>
      </c>
      <c r="H1402" s="1">
        <v>0.0</v>
      </c>
      <c r="I1402" s="1">
        <v>0.0</v>
      </c>
      <c r="J1402" s="1">
        <v>0.0</v>
      </c>
      <c r="K1402" s="1">
        <v>0.04</v>
      </c>
      <c r="L1402" s="1">
        <v>321000.0</v>
      </c>
      <c r="M1402" s="1" t="s">
        <v>5834</v>
      </c>
      <c r="N1402" s="18">
        <v>46033.0</v>
      </c>
      <c r="O1402" s="1" t="s">
        <v>3432</v>
      </c>
      <c r="P1402" s="1" t="s">
        <v>3334</v>
      </c>
      <c r="Q1402" s="1" t="s">
        <v>3408</v>
      </c>
    </row>
    <row r="1403">
      <c r="A1403" s="1" t="s">
        <v>5835</v>
      </c>
      <c r="B1403" s="1">
        <v>51.0</v>
      </c>
      <c r="C1403" s="1">
        <v>210.0</v>
      </c>
      <c r="D1403" s="2" t="s">
        <v>439</v>
      </c>
      <c r="E1403" s="1">
        <v>51.0</v>
      </c>
      <c r="F1403" s="1">
        <v>37.0</v>
      </c>
      <c r="G1403" s="1">
        <v>0.0</v>
      </c>
      <c r="H1403" s="1">
        <v>0.0</v>
      </c>
      <c r="I1403" s="1">
        <v>0.0</v>
      </c>
      <c r="J1403" s="1">
        <v>0.0</v>
      </c>
      <c r="K1403" s="1">
        <v>0.01</v>
      </c>
      <c r="L1403" s="1">
        <v>484000.0</v>
      </c>
      <c r="M1403" s="1" t="s">
        <v>5836</v>
      </c>
      <c r="N1403" s="18">
        <v>46033.0</v>
      </c>
      <c r="O1403" s="1" t="s">
        <v>4617</v>
      </c>
      <c r="P1403" s="1" t="s">
        <v>3294</v>
      </c>
      <c r="Q1403" s="1" t="s">
        <v>3408</v>
      </c>
    </row>
    <row r="1404">
      <c r="A1404" s="1" t="s">
        <v>5837</v>
      </c>
      <c r="B1404" s="1">
        <v>51.0</v>
      </c>
      <c r="C1404" s="1">
        <v>110.0</v>
      </c>
      <c r="D1404" s="2" t="s">
        <v>439</v>
      </c>
      <c r="E1404" s="1">
        <v>51.0</v>
      </c>
      <c r="G1404" s="1">
        <v>0.0</v>
      </c>
      <c r="H1404" s="1">
        <v>0.0</v>
      </c>
      <c r="I1404" s="1">
        <v>0.0</v>
      </c>
      <c r="J1404" s="1">
        <v>0.0</v>
      </c>
      <c r="K1404" s="1">
        <v>0.01</v>
      </c>
      <c r="L1404" s="1">
        <v>852000.0</v>
      </c>
      <c r="M1404" s="1" t="s">
        <v>5838</v>
      </c>
      <c r="N1404" s="18">
        <v>46032.0</v>
      </c>
      <c r="O1404" s="1" t="s">
        <v>4278</v>
      </c>
      <c r="P1404" s="1" t="s">
        <v>3294</v>
      </c>
      <c r="Q1404" s="1" t="s">
        <v>3408</v>
      </c>
    </row>
    <row r="1405">
      <c r="A1405" s="1" t="s">
        <v>5839</v>
      </c>
      <c r="B1405" s="1">
        <v>51.0</v>
      </c>
      <c r="C1405" s="1">
        <v>50.0</v>
      </c>
      <c r="D1405" s="2" t="s">
        <v>750</v>
      </c>
      <c r="E1405" s="1">
        <v>51.0</v>
      </c>
      <c r="F1405" s="1">
        <v>5.0</v>
      </c>
      <c r="G1405" s="1">
        <v>0.0</v>
      </c>
      <c r="H1405" s="1">
        <v>0.0</v>
      </c>
      <c r="I1405" s="1">
        <v>0.0</v>
      </c>
      <c r="J1405" s="1">
        <v>0.0</v>
      </c>
      <c r="K1405" s="1">
        <v>0.0</v>
      </c>
      <c r="L1405" s="1">
        <v>1290000.0</v>
      </c>
      <c r="M1405" s="1" t="s">
        <v>5840</v>
      </c>
      <c r="N1405" s="18">
        <v>46031.0</v>
      </c>
      <c r="O1405" s="1" t="s">
        <v>4663</v>
      </c>
      <c r="P1405" s="1" t="s">
        <v>3334</v>
      </c>
      <c r="Q1405" s="1" t="s">
        <v>3408</v>
      </c>
    </row>
    <row r="1406">
      <c r="A1406" s="1" t="s">
        <v>5841</v>
      </c>
      <c r="B1406" s="1">
        <v>51.0</v>
      </c>
      <c r="C1406" s="1">
        <v>40.0</v>
      </c>
      <c r="D1406" s="2" t="s">
        <v>439</v>
      </c>
      <c r="E1406" s="1">
        <v>51.0</v>
      </c>
      <c r="F1406" s="1">
        <v>12.0</v>
      </c>
      <c r="G1406" s="1">
        <v>0.0</v>
      </c>
      <c r="H1406" s="1">
        <v>0.0</v>
      </c>
      <c r="I1406" s="1">
        <v>0.0</v>
      </c>
      <c r="J1406" s="1">
        <v>0.0</v>
      </c>
      <c r="K1406" s="1">
        <v>0.02</v>
      </c>
      <c r="L1406" s="1">
        <v>30300.0</v>
      </c>
      <c r="M1406" s="1" t="s">
        <v>5842</v>
      </c>
      <c r="N1406" s="18">
        <v>46030.0</v>
      </c>
      <c r="O1406" s="1" t="s">
        <v>5843</v>
      </c>
      <c r="P1406" s="1" t="s">
        <v>3257</v>
      </c>
      <c r="Q1406" s="1" t="s">
        <v>3408</v>
      </c>
    </row>
    <row r="1407">
      <c r="A1407" s="1" t="s">
        <v>5844</v>
      </c>
      <c r="B1407" s="1">
        <v>51.0</v>
      </c>
      <c r="C1407" s="1">
        <v>50.0</v>
      </c>
      <c r="D1407" s="2" t="s">
        <v>1396</v>
      </c>
      <c r="E1407" s="1">
        <v>51.0</v>
      </c>
      <c r="F1407" s="1">
        <v>16.0</v>
      </c>
      <c r="G1407" s="1">
        <v>0.0</v>
      </c>
      <c r="H1407" s="1">
        <v>0.0</v>
      </c>
      <c r="I1407" s="1">
        <v>0.0</v>
      </c>
      <c r="J1407" s="1">
        <v>0.0</v>
      </c>
      <c r="K1407" s="1">
        <v>0.0</v>
      </c>
      <c r="L1407" s="1">
        <v>468000.0</v>
      </c>
      <c r="M1407" s="1" t="s">
        <v>5845</v>
      </c>
      <c r="N1407" s="18">
        <v>46029.0</v>
      </c>
      <c r="O1407" s="1" t="s">
        <v>3355</v>
      </c>
      <c r="P1407" s="1" t="s">
        <v>3257</v>
      </c>
      <c r="Q1407" s="1" t="s">
        <v>3408</v>
      </c>
    </row>
    <row r="1408">
      <c r="A1408" s="1" t="s">
        <v>5846</v>
      </c>
      <c r="B1408" s="1">
        <v>51.0</v>
      </c>
      <c r="C1408" s="1">
        <v>320.0</v>
      </c>
      <c r="D1408" s="2" t="s">
        <v>439</v>
      </c>
      <c r="E1408" s="1">
        <v>51.0</v>
      </c>
      <c r="F1408" s="1">
        <v>23.0</v>
      </c>
      <c r="G1408" s="1">
        <v>0.0</v>
      </c>
      <c r="H1408" s="1">
        <v>0.0</v>
      </c>
      <c r="I1408" s="1">
        <v>0.0</v>
      </c>
      <c r="J1408" s="1">
        <v>0.0</v>
      </c>
      <c r="K1408" s="1">
        <v>0.01</v>
      </c>
      <c r="L1408" s="1">
        <v>13700.0</v>
      </c>
      <c r="M1408" s="1" t="s">
        <v>5847</v>
      </c>
      <c r="N1408" s="18">
        <v>46026.0</v>
      </c>
      <c r="O1408" s="1" t="s">
        <v>5848</v>
      </c>
      <c r="P1408" s="1" t="s">
        <v>3462</v>
      </c>
      <c r="Q1408" s="1" t="s">
        <v>3408</v>
      </c>
    </row>
    <row r="1409">
      <c r="A1409" s="1" t="s">
        <v>5166</v>
      </c>
      <c r="B1409" s="1">
        <v>51.0</v>
      </c>
      <c r="C1409" s="1">
        <v>30.0</v>
      </c>
      <c r="D1409" s="2" t="s">
        <v>439</v>
      </c>
      <c r="E1409" s="1">
        <v>51.0</v>
      </c>
      <c r="G1409" s="1">
        <v>4.03</v>
      </c>
      <c r="H1409" s="1">
        <v>0.0</v>
      </c>
      <c r="I1409" s="1">
        <v>0.0</v>
      </c>
      <c r="J1409" s="1">
        <v>0.0</v>
      </c>
      <c r="K1409" s="1">
        <v>0.05</v>
      </c>
      <c r="L1409" s="1">
        <v>110000.0</v>
      </c>
      <c r="M1409" s="1" t="s">
        <v>5167</v>
      </c>
      <c r="N1409" s="18">
        <v>46025.0</v>
      </c>
      <c r="O1409" s="1" t="s">
        <v>3821</v>
      </c>
      <c r="P1409" s="1" t="s">
        <v>3294</v>
      </c>
      <c r="Q1409" s="1" t="s">
        <v>3408</v>
      </c>
    </row>
    <row r="1410">
      <c r="A1410" s="1" t="s">
        <v>5849</v>
      </c>
      <c r="B1410" s="1">
        <v>51.0</v>
      </c>
      <c r="C1410" s="1">
        <v>90.0</v>
      </c>
      <c r="D1410" s="2" t="s">
        <v>720</v>
      </c>
      <c r="E1410" s="1">
        <v>51.0</v>
      </c>
      <c r="F1410" s="1">
        <v>3.0</v>
      </c>
      <c r="G1410" s="1">
        <v>0.0</v>
      </c>
      <c r="H1410" s="1">
        <v>0.0</v>
      </c>
      <c r="I1410" s="1">
        <v>0.0</v>
      </c>
      <c r="J1410" s="1">
        <v>0.0</v>
      </c>
      <c r="K1410" s="1">
        <v>0.02</v>
      </c>
      <c r="L1410" s="1">
        <v>149000.0</v>
      </c>
      <c r="M1410" s="1" t="s">
        <v>5850</v>
      </c>
      <c r="N1410" s="18">
        <v>46024.0</v>
      </c>
      <c r="O1410" s="1" t="s">
        <v>5851</v>
      </c>
      <c r="P1410" s="1" t="s">
        <v>3257</v>
      </c>
      <c r="Q1410" s="1" t="s">
        <v>3408</v>
      </c>
    </row>
    <row r="1411">
      <c r="A1411" s="1" t="s">
        <v>5852</v>
      </c>
      <c r="B1411" s="1">
        <v>51.0</v>
      </c>
      <c r="C1411" s="1">
        <v>40.0</v>
      </c>
      <c r="D1411" s="2" t="s">
        <v>973</v>
      </c>
      <c r="E1411" s="1">
        <v>51.0</v>
      </c>
      <c r="F1411" s="1">
        <v>26.0</v>
      </c>
      <c r="G1411" s="1">
        <v>2.17</v>
      </c>
      <c r="H1411" s="1">
        <v>0.0</v>
      </c>
      <c r="I1411" s="1">
        <v>0.0</v>
      </c>
      <c r="J1411" s="1">
        <v>0.0</v>
      </c>
      <c r="K1411" s="1">
        <v>0.51</v>
      </c>
      <c r="L1411" s="1">
        <v>4.6E7</v>
      </c>
      <c r="M1411" s="1" t="s">
        <v>5853</v>
      </c>
      <c r="N1411" s="18">
        <v>46020.0</v>
      </c>
      <c r="O1411" s="1" t="s">
        <v>3442</v>
      </c>
      <c r="P1411" s="1" t="s">
        <v>3230</v>
      </c>
      <c r="Q1411" s="1" t="s">
        <v>3408</v>
      </c>
    </row>
    <row r="1412">
      <c r="A1412" s="1" t="s">
        <v>5854</v>
      </c>
      <c r="B1412" s="1">
        <v>51.0</v>
      </c>
      <c r="C1412" s="1">
        <v>90.0</v>
      </c>
      <c r="D1412" s="2" t="s">
        <v>581</v>
      </c>
      <c r="E1412" s="1">
        <v>51.0</v>
      </c>
      <c r="F1412" s="1">
        <v>27.0</v>
      </c>
      <c r="G1412" s="1">
        <v>3.59</v>
      </c>
      <c r="H1412" s="1">
        <v>0.0</v>
      </c>
      <c r="I1412" s="1">
        <v>0.0</v>
      </c>
      <c r="J1412" s="1">
        <v>0.0</v>
      </c>
      <c r="K1412" s="1">
        <v>0.03</v>
      </c>
      <c r="L1412" s="1">
        <v>5250000.0</v>
      </c>
      <c r="M1412" s="1" t="s">
        <v>5855</v>
      </c>
      <c r="N1412" s="18">
        <v>46020.0</v>
      </c>
      <c r="O1412" s="1" t="s">
        <v>3821</v>
      </c>
      <c r="P1412" s="1" t="s">
        <v>3294</v>
      </c>
      <c r="Q1412" s="1" t="s">
        <v>3408</v>
      </c>
    </row>
    <row r="1413">
      <c r="A1413" s="1" t="s">
        <v>5856</v>
      </c>
      <c r="B1413" s="1">
        <v>51.0</v>
      </c>
      <c r="C1413" s="1">
        <v>320.0</v>
      </c>
      <c r="D1413" s="2" t="s">
        <v>1890</v>
      </c>
      <c r="E1413" s="1">
        <v>51.0</v>
      </c>
      <c r="F1413" s="1">
        <v>10.0</v>
      </c>
      <c r="G1413" s="1">
        <v>0.02</v>
      </c>
      <c r="H1413" s="1">
        <v>0.0</v>
      </c>
      <c r="I1413" s="1">
        <v>0.0</v>
      </c>
      <c r="J1413" s="1">
        <v>0.0</v>
      </c>
      <c r="K1413" s="1">
        <v>0.13</v>
      </c>
      <c r="L1413" s="1">
        <v>1.29E7</v>
      </c>
      <c r="M1413" s="1" t="s">
        <v>5857</v>
      </c>
      <c r="N1413" s="18">
        <v>46019.0</v>
      </c>
      <c r="O1413" s="1" t="s">
        <v>5858</v>
      </c>
      <c r="P1413" s="1" t="s">
        <v>3230</v>
      </c>
      <c r="Q1413" s="1" t="s">
        <v>3408</v>
      </c>
    </row>
    <row r="1414">
      <c r="A1414" s="1" t="s">
        <v>5859</v>
      </c>
      <c r="B1414" s="1">
        <v>51.0</v>
      </c>
      <c r="C1414" s="1">
        <v>50.0</v>
      </c>
      <c r="D1414" s="2" t="s">
        <v>1536</v>
      </c>
      <c r="E1414" s="1">
        <v>51.0</v>
      </c>
      <c r="F1414" s="1">
        <v>5.0</v>
      </c>
      <c r="G1414" s="1">
        <v>0.0</v>
      </c>
      <c r="H1414" s="1">
        <v>0.0</v>
      </c>
      <c r="I1414" s="1">
        <v>0.0</v>
      </c>
      <c r="J1414" s="1">
        <v>0.0</v>
      </c>
      <c r="K1414" s="1">
        <v>0.33</v>
      </c>
      <c r="L1414" s="1">
        <v>7830000.0</v>
      </c>
      <c r="M1414" s="1" t="s">
        <v>5860</v>
      </c>
      <c r="N1414" s="18">
        <v>46018.0</v>
      </c>
      <c r="O1414" s="1" t="s">
        <v>3284</v>
      </c>
      <c r="P1414" s="1" t="s">
        <v>3230</v>
      </c>
      <c r="Q1414" s="1" t="s">
        <v>3408</v>
      </c>
    </row>
    <row r="1415">
      <c r="A1415" s="1" t="s">
        <v>5861</v>
      </c>
      <c r="B1415" s="1">
        <v>51.0</v>
      </c>
      <c r="C1415" s="1">
        <v>110.0</v>
      </c>
      <c r="D1415" s="2" t="s">
        <v>1060</v>
      </c>
      <c r="E1415" s="1">
        <v>51.0</v>
      </c>
      <c r="F1415" s="1">
        <v>32.0</v>
      </c>
      <c r="G1415" s="1">
        <v>18.67</v>
      </c>
      <c r="H1415" s="1">
        <v>0.0</v>
      </c>
      <c r="I1415" s="1">
        <v>0.0</v>
      </c>
      <c r="J1415" s="1">
        <v>0.0</v>
      </c>
      <c r="K1415" s="1">
        <v>0.79</v>
      </c>
      <c r="L1415" s="1">
        <v>3340000.0</v>
      </c>
      <c r="M1415" s="1" t="s">
        <v>5862</v>
      </c>
      <c r="N1415" s="18">
        <v>46016.0</v>
      </c>
      <c r="O1415" s="1" t="s">
        <v>3435</v>
      </c>
      <c r="P1415" s="1" t="s">
        <v>3257</v>
      </c>
      <c r="Q1415" s="1" t="s">
        <v>3408</v>
      </c>
    </row>
    <row r="1416">
      <c r="A1416" s="1" t="s">
        <v>3447</v>
      </c>
      <c r="B1416" s="1">
        <v>51.0</v>
      </c>
      <c r="C1416" s="1">
        <v>140.0</v>
      </c>
      <c r="D1416" s="2" t="s">
        <v>447</v>
      </c>
      <c r="E1416" s="1">
        <v>51.0</v>
      </c>
      <c r="F1416" s="1">
        <v>14.0</v>
      </c>
      <c r="G1416" s="1">
        <v>13.98</v>
      </c>
      <c r="H1416" s="1">
        <v>0.0</v>
      </c>
      <c r="I1416" s="1">
        <v>0.0</v>
      </c>
      <c r="J1416" s="1">
        <v>0.0</v>
      </c>
      <c r="K1416" s="1">
        <v>0.45</v>
      </c>
      <c r="L1416" s="1">
        <v>26700.0</v>
      </c>
      <c r="M1416" s="1" t="s">
        <v>3448</v>
      </c>
      <c r="N1416" s="18">
        <v>46016.0</v>
      </c>
      <c r="O1416" s="1" t="s">
        <v>3415</v>
      </c>
      <c r="P1416" s="1" t="s">
        <v>3257</v>
      </c>
      <c r="Q1416" s="1" t="s">
        <v>3408</v>
      </c>
    </row>
    <row r="1417">
      <c r="A1417" s="1" t="s">
        <v>5863</v>
      </c>
      <c r="B1417" s="1">
        <v>51.0</v>
      </c>
      <c r="C1417" s="1">
        <v>40.0</v>
      </c>
      <c r="D1417" s="2" t="s">
        <v>911</v>
      </c>
      <c r="E1417" s="1">
        <v>51.0</v>
      </c>
      <c r="F1417" s="1">
        <v>6.0</v>
      </c>
      <c r="G1417" s="1">
        <v>1.23</v>
      </c>
      <c r="H1417" s="1">
        <v>0.0</v>
      </c>
      <c r="I1417" s="1">
        <v>0.0</v>
      </c>
      <c r="J1417" s="1">
        <v>0.0</v>
      </c>
      <c r="K1417" s="1">
        <v>0.46</v>
      </c>
      <c r="L1417" s="1">
        <v>1400000.0</v>
      </c>
      <c r="M1417" s="1" t="s">
        <v>5864</v>
      </c>
      <c r="N1417" s="18">
        <v>46015.0</v>
      </c>
      <c r="O1417" s="1" t="s">
        <v>5865</v>
      </c>
      <c r="P1417" s="1" t="s">
        <v>3230</v>
      </c>
      <c r="Q1417" s="1" t="s">
        <v>3408</v>
      </c>
    </row>
    <row r="1418">
      <c r="A1418" s="1" t="s">
        <v>5866</v>
      </c>
      <c r="B1418" s="1">
        <v>51.0</v>
      </c>
      <c r="C1418" s="1">
        <v>90.0</v>
      </c>
      <c r="D1418" s="2" t="s">
        <v>833</v>
      </c>
      <c r="E1418" s="1">
        <v>51.0</v>
      </c>
      <c r="F1418" s="1">
        <v>15.0</v>
      </c>
      <c r="G1418" s="1">
        <v>15.12</v>
      </c>
      <c r="H1418" s="1">
        <v>0.0</v>
      </c>
      <c r="I1418" s="1">
        <v>0.0</v>
      </c>
      <c r="J1418" s="1">
        <v>0.0</v>
      </c>
      <c r="K1418" s="1">
        <v>0.11</v>
      </c>
      <c r="L1418" s="1">
        <v>1.55E7</v>
      </c>
      <c r="M1418" s="1" t="s">
        <v>5867</v>
      </c>
      <c r="N1418" s="18">
        <v>46014.0</v>
      </c>
      <c r="O1418" s="1" t="s">
        <v>4646</v>
      </c>
      <c r="P1418" s="1" t="s">
        <v>3230</v>
      </c>
      <c r="Q1418" s="1" t="s">
        <v>3408</v>
      </c>
    </row>
    <row r="1419">
      <c r="A1419" s="1" t="s">
        <v>5868</v>
      </c>
      <c r="B1419" s="1">
        <v>51.0</v>
      </c>
      <c r="C1419" s="1">
        <v>70.0</v>
      </c>
      <c r="D1419" s="2" t="s">
        <v>581</v>
      </c>
      <c r="E1419" s="1">
        <v>51.0</v>
      </c>
      <c r="F1419" s="1">
        <v>37.0</v>
      </c>
      <c r="G1419" s="1">
        <v>16.88</v>
      </c>
      <c r="H1419" s="1">
        <v>0.0</v>
      </c>
      <c r="I1419" s="1">
        <v>0.0</v>
      </c>
      <c r="J1419" s="1">
        <v>0.0</v>
      </c>
      <c r="K1419" s="1">
        <v>0.54</v>
      </c>
      <c r="L1419" s="1">
        <v>1130000.0</v>
      </c>
      <c r="M1419" s="1" t="s">
        <v>5869</v>
      </c>
      <c r="N1419" s="18">
        <v>46007.0</v>
      </c>
      <c r="O1419" s="1" t="s">
        <v>3435</v>
      </c>
      <c r="P1419" s="1" t="s">
        <v>3257</v>
      </c>
      <c r="Q1419" s="1" t="s">
        <v>3408</v>
      </c>
    </row>
    <row r="1420">
      <c r="A1420" s="1" t="s">
        <v>5870</v>
      </c>
      <c r="B1420" s="1">
        <v>51.0</v>
      </c>
      <c r="C1420" s="1">
        <v>40.0</v>
      </c>
      <c r="D1420" s="2" t="s">
        <v>772</v>
      </c>
      <c r="E1420" s="1">
        <v>51.0</v>
      </c>
      <c r="F1420" s="1">
        <v>0.0</v>
      </c>
      <c r="G1420" s="1">
        <v>0.0</v>
      </c>
      <c r="H1420" s="1">
        <v>0.0</v>
      </c>
      <c r="I1420" s="1">
        <v>0.0</v>
      </c>
      <c r="J1420" s="1">
        <v>0.0</v>
      </c>
      <c r="K1420" s="1">
        <v>0.0</v>
      </c>
      <c r="L1420" s="1">
        <v>108000.0</v>
      </c>
      <c r="M1420" s="1" t="s">
        <v>5871</v>
      </c>
      <c r="N1420" s="18">
        <v>46005.0</v>
      </c>
      <c r="O1420" s="1" t="s">
        <v>3673</v>
      </c>
      <c r="P1420" s="1" t="s">
        <v>3257</v>
      </c>
      <c r="Q1420" s="1" t="s">
        <v>3408</v>
      </c>
    </row>
    <row r="1421">
      <c r="A1421" s="1" t="s">
        <v>3871</v>
      </c>
      <c r="B1421" s="1">
        <v>51.0</v>
      </c>
      <c r="C1421" s="1">
        <v>70.0</v>
      </c>
      <c r="D1421" s="2" t="s">
        <v>584</v>
      </c>
      <c r="E1421" s="1">
        <v>51.0</v>
      </c>
      <c r="F1421" s="1">
        <v>13.0</v>
      </c>
      <c r="G1421" s="1">
        <v>19.05</v>
      </c>
      <c r="H1421" s="1">
        <v>0.0</v>
      </c>
      <c r="I1421" s="1">
        <v>0.0</v>
      </c>
      <c r="J1421" s="1">
        <v>0.0</v>
      </c>
      <c r="K1421" s="1">
        <v>0.04</v>
      </c>
      <c r="L1421" s="1">
        <v>155000.0</v>
      </c>
      <c r="M1421" s="1" t="s">
        <v>3872</v>
      </c>
      <c r="N1421" s="18">
        <v>46005.0</v>
      </c>
      <c r="O1421" s="1" t="s">
        <v>3435</v>
      </c>
      <c r="P1421" s="1" t="s">
        <v>3257</v>
      </c>
      <c r="Q1421" s="1" t="s">
        <v>3408</v>
      </c>
    </row>
    <row r="1422">
      <c r="A1422" s="1" t="s">
        <v>5740</v>
      </c>
      <c r="B1422" s="1">
        <v>51.0</v>
      </c>
      <c r="C1422" s="1">
        <v>90.0</v>
      </c>
      <c r="D1422" s="2" t="s">
        <v>2930</v>
      </c>
      <c r="E1422" s="1">
        <v>51.0</v>
      </c>
      <c r="F1422" s="1">
        <v>12.0</v>
      </c>
      <c r="G1422" s="1">
        <v>0.0</v>
      </c>
      <c r="H1422" s="1">
        <v>0.0</v>
      </c>
      <c r="I1422" s="1">
        <v>0.0</v>
      </c>
      <c r="J1422" s="1">
        <v>0.0</v>
      </c>
      <c r="K1422" s="1">
        <v>0.0</v>
      </c>
      <c r="L1422" s="1">
        <v>3130000.0</v>
      </c>
      <c r="M1422" s="1" t="s">
        <v>5741</v>
      </c>
      <c r="N1422" s="18">
        <v>46003.0</v>
      </c>
      <c r="O1422" s="1" t="s">
        <v>3479</v>
      </c>
      <c r="P1422" s="1" t="s">
        <v>3230</v>
      </c>
      <c r="Q1422" s="1" t="s">
        <v>3408</v>
      </c>
    </row>
    <row r="1423">
      <c r="A1423" s="1" t="s">
        <v>3792</v>
      </c>
      <c r="B1423" s="1">
        <v>51.0</v>
      </c>
      <c r="C1423" s="1">
        <v>30.0</v>
      </c>
      <c r="D1423" s="2" t="s">
        <v>636</v>
      </c>
      <c r="E1423" s="1">
        <v>51.0</v>
      </c>
      <c r="F1423" s="1">
        <v>15.0</v>
      </c>
      <c r="G1423" s="1">
        <v>13.04</v>
      </c>
      <c r="H1423" s="1">
        <v>0.0</v>
      </c>
      <c r="I1423" s="1">
        <v>0.0</v>
      </c>
      <c r="J1423" s="1">
        <v>0.0</v>
      </c>
      <c r="K1423" s="1">
        <v>0.31</v>
      </c>
      <c r="L1423" s="1">
        <v>3710000.0</v>
      </c>
      <c r="M1423" s="1" t="s">
        <v>3793</v>
      </c>
      <c r="N1423" s="18">
        <v>46002.0</v>
      </c>
      <c r="O1423" s="1" t="s">
        <v>3415</v>
      </c>
      <c r="P1423" s="1" t="s">
        <v>3257</v>
      </c>
      <c r="Q1423" s="1" t="s">
        <v>3408</v>
      </c>
    </row>
    <row r="1424">
      <c r="A1424" s="1" t="s">
        <v>5574</v>
      </c>
      <c r="B1424" s="1">
        <v>51.0</v>
      </c>
      <c r="C1424" s="1">
        <v>70.0</v>
      </c>
      <c r="D1424" s="2" t="s">
        <v>602</v>
      </c>
      <c r="E1424" s="1">
        <v>51.0</v>
      </c>
      <c r="F1424" s="1">
        <v>0.0</v>
      </c>
      <c r="G1424" s="1">
        <v>4.9</v>
      </c>
      <c r="H1424" s="1">
        <v>0.0</v>
      </c>
      <c r="I1424" s="1">
        <v>0.0</v>
      </c>
      <c r="J1424" s="1">
        <v>0.0</v>
      </c>
      <c r="K1424" s="1">
        <v>0.71</v>
      </c>
      <c r="L1424" s="1">
        <v>78500.0</v>
      </c>
      <c r="M1424" s="1" t="s">
        <v>5575</v>
      </c>
      <c r="N1424" s="18">
        <v>45999.0</v>
      </c>
      <c r="O1424" s="1" t="s">
        <v>3479</v>
      </c>
      <c r="P1424" s="1" t="s">
        <v>3230</v>
      </c>
      <c r="Q1424" s="1" t="s">
        <v>3408</v>
      </c>
    </row>
    <row r="1425">
      <c r="A1425" s="1" t="s">
        <v>3771</v>
      </c>
      <c r="B1425" s="1">
        <v>51.0</v>
      </c>
      <c r="C1425" s="1">
        <v>210.0</v>
      </c>
      <c r="D1425" s="2" t="s">
        <v>475</v>
      </c>
      <c r="E1425" s="1">
        <v>51.0</v>
      </c>
      <c r="F1425" s="1">
        <v>29.0</v>
      </c>
      <c r="G1425" s="1">
        <v>17.92</v>
      </c>
      <c r="H1425" s="1">
        <v>0.0</v>
      </c>
      <c r="I1425" s="1">
        <v>0.0</v>
      </c>
      <c r="J1425" s="1">
        <v>0.0</v>
      </c>
      <c r="K1425" s="1">
        <v>0.32</v>
      </c>
      <c r="L1425" s="1">
        <v>44500.0</v>
      </c>
      <c r="M1425" s="1" t="s">
        <v>3772</v>
      </c>
      <c r="N1425" s="18">
        <v>45998.0</v>
      </c>
      <c r="O1425" s="1" t="s">
        <v>3773</v>
      </c>
      <c r="P1425" s="1" t="s">
        <v>3257</v>
      </c>
      <c r="Q1425" s="1" t="s">
        <v>3408</v>
      </c>
    </row>
    <row r="1426">
      <c r="A1426" s="1" t="s">
        <v>5872</v>
      </c>
      <c r="B1426" s="1">
        <v>51.0</v>
      </c>
      <c r="C1426" s="1">
        <v>110.0</v>
      </c>
      <c r="D1426" s="2" t="s">
        <v>592</v>
      </c>
      <c r="E1426" s="1">
        <v>51.0</v>
      </c>
      <c r="F1426" s="1">
        <v>1.0</v>
      </c>
      <c r="G1426" s="1">
        <v>5.31</v>
      </c>
      <c r="H1426" s="1">
        <v>0.0</v>
      </c>
      <c r="I1426" s="1">
        <v>0.0</v>
      </c>
      <c r="J1426" s="1">
        <v>0.0</v>
      </c>
      <c r="K1426" s="1">
        <v>0.48</v>
      </c>
      <c r="L1426" s="1">
        <v>906000.0</v>
      </c>
      <c r="M1426" s="1" t="s">
        <v>5873</v>
      </c>
      <c r="N1426" s="18">
        <v>45989.0</v>
      </c>
      <c r="O1426" s="1" t="s">
        <v>3455</v>
      </c>
      <c r="P1426" s="1" t="s">
        <v>3257</v>
      </c>
      <c r="Q1426" s="1" t="s">
        <v>3408</v>
      </c>
    </row>
    <row r="1427">
      <c r="A1427" s="1" t="s">
        <v>5874</v>
      </c>
      <c r="B1427" s="1">
        <v>51.0</v>
      </c>
      <c r="C1427" s="1">
        <v>480.0</v>
      </c>
      <c r="D1427" s="2" t="s">
        <v>2930</v>
      </c>
      <c r="E1427" s="1">
        <v>51.0</v>
      </c>
      <c r="F1427" s="1">
        <v>30.0</v>
      </c>
      <c r="G1427" s="1">
        <v>0.0</v>
      </c>
      <c r="H1427" s="1">
        <v>0.0</v>
      </c>
      <c r="I1427" s="1">
        <v>0.0</v>
      </c>
      <c r="J1427" s="1">
        <v>0.0</v>
      </c>
      <c r="K1427" s="1">
        <v>0.0</v>
      </c>
      <c r="L1427" s="1">
        <v>1.15E8</v>
      </c>
      <c r="M1427" s="1" t="s">
        <v>5875</v>
      </c>
      <c r="N1427" s="18">
        <v>45979.0</v>
      </c>
      <c r="O1427" s="1" t="s">
        <v>5876</v>
      </c>
      <c r="P1427" s="1" t="s">
        <v>3230</v>
      </c>
      <c r="Q1427" s="1" t="s">
        <v>3408</v>
      </c>
    </row>
    <row r="1428">
      <c r="A1428" s="1" t="s">
        <v>3615</v>
      </c>
      <c r="B1428" s="1">
        <v>52.0</v>
      </c>
      <c r="C1428" s="1">
        <v>70.0</v>
      </c>
      <c r="D1428" s="2" t="s">
        <v>687</v>
      </c>
      <c r="E1428" s="1">
        <v>67.0</v>
      </c>
      <c r="F1428" s="1">
        <v>29.0</v>
      </c>
      <c r="G1428" s="1">
        <v>0.0</v>
      </c>
      <c r="H1428" s="1">
        <v>0.0</v>
      </c>
      <c r="I1428" s="1">
        <v>0.0</v>
      </c>
      <c r="J1428" s="1">
        <v>0.0</v>
      </c>
      <c r="K1428" s="1">
        <v>0.03</v>
      </c>
      <c r="L1428" s="1">
        <v>2.33E8</v>
      </c>
      <c r="M1428" s="1" t="s">
        <v>3616</v>
      </c>
      <c r="N1428" s="18">
        <v>46042.0</v>
      </c>
      <c r="O1428" s="1" t="s">
        <v>3617</v>
      </c>
      <c r="P1428" s="1" t="s">
        <v>3294</v>
      </c>
      <c r="Q1428" s="1" t="s">
        <v>3408</v>
      </c>
    </row>
    <row r="1429">
      <c r="A1429" s="1" t="s">
        <v>5877</v>
      </c>
      <c r="B1429" s="1">
        <v>52.0</v>
      </c>
      <c r="C1429" s="1">
        <v>110.0</v>
      </c>
      <c r="D1429" s="2" t="s">
        <v>681</v>
      </c>
      <c r="E1429" s="1">
        <v>52.0</v>
      </c>
      <c r="F1429" s="1">
        <v>10.0</v>
      </c>
      <c r="G1429" s="1">
        <v>1.24</v>
      </c>
      <c r="H1429" s="1">
        <v>0.0</v>
      </c>
      <c r="I1429" s="1">
        <v>0.0</v>
      </c>
      <c r="J1429" s="1">
        <v>0.0</v>
      </c>
      <c r="K1429" s="1">
        <v>0.47</v>
      </c>
      <c r="L1429" s="1">
        <v>278000.0</v>
      </c>
      <c r="M1429" s="1" t="s">
        <v>5878</v>
      </c>
      <c r="N1429" s="18">
        <v>46038.0</v>
      </c>
      <c r="O1429" s="1" t="s">
        <v>3264</v>
      </c>
      <c r="P1429" s="1" t="s">
        <v>3230</v>
      </c>
      <c r="Q1429" s="1" t="s">
        <v>3408</v>
      </c>
    </row>
    <row r="1430">
      <c r="A1430" s="1" t="s">
        <v>5321</v>
      </c>
      <c r="B1430" s="1">
        <v>52.0</v>
      </c>
      <c r="C1430" s="1">
        <v>320.0</v>
      </c>
      <c r="D1430" s="2" t="s">
        <v>598</v>
      </c>
      <c r="E1430" s="1">
        <v>52.0</v>
      </c>
      <c r="F1430" s="1">
        <v>36.0</v>
      </c>
      <c r="G1430" s="1">
        <v>12.84</v>
      </c>
      <c r="H1430" s="1">
        <v>0.0</v>
      </c>
      <c r="I1430" s="1">
        <v>0.0</v>
      </c>
      <c r="J1430" s="1">
        <v>0.0</v>
      </c>
      <c r="K1430" s="1">
        <v>0.64</v>
      </c>
      <c r="L1430" s="1">
        <v>353000.0</v>
      </c>
      <c r="M1430" s="1" t="s">
        <v>5322</v>
      </c>
      <c r="N1430" s="18">
        <v>46029.0</v>
      </c>
      <c r="O1430" s="1" t="s">
        <v>3673</v>
      </c>
      <c r="P1430" s="1" t="s">
        <v>3257</v>
      </c>
      <c r="Q1430" s="1" t="s">
        <v>3408</v>
      </c>
    </row>
    <row r="1431">
      <c r="A1431" s="1" t="s">
        <v>5879</v>
      </c>
      <c r="B1431" s="1">
        <v>52.0</v>
      </c>
      <c r="C1431" s="1">
        <v>110.0</v>
      </c>
      <c r="D1431" s="2" t="s">
        <v>439</v>
      </c>
      <c r="E1431" s="1">
        <v>52.0</v>
      </c>
      <c r="F1431" s="1">
        <v>26.0</v>
      </c>
      <c r="G1431" s="1">
        <v>3.54</v>
      </c>
      <c r="H1431" s="1">
        <v>0.0</v>
      </c>
      <c r="I1431" s="1">
        <v>0.0</v>
      </c>
      <c r="J1431" s="1">
        <v>0.0</v>
      </c>
      <c r="K1431" s="1">
        <v>0.09</v>
      </c>
      <c r="L1431" s="1">
        <v>6500000.0</v>
      </c>
      <c r="M1431" s="1" t="s">
        <v>5880</v>
      </c>
      <c r="N1431" s="18">
        <v>46028.0</v>
      </c>
      <c r="O1431" s="1" t="s">
        <v>3293</v>
      </c>
      <c r="P1431" s="1" t="s">
        <v>3294</v>
      </c>
      <c r="Q1431" s="1" t="s">
        <v>3408</v>
      </c>
    </row>
    <row r="1432">
      <c r="A1432" s="1" t="s">
        <v>3629</v>
      </c>
      <c r="B1432" s="1">
        <v>52.0</v>
      </c>
      <c r="C1432" s="1">
        <v>70.0</v>
      </c>
      <c r="D1432" s="2" t="s">
        <v>1452</v>
      </c>
      <c r="E1432" s="1">
        <v>52.0</v>
      </c>
      <c r="F1432" s="1">
        <v>41.0</v>
      </c>
      <c r="G1432" s="1">
        <v>0.0</v>
      </c>
      <c r="H1432" s="1">
        <v>0.0</v>
      </c>
      <c r="I1432" s="1">
        <v>0.0</v>
      </c>
      <c r="J1432" s="1">
        <v>0.0</v>
      </c>
      <c r="K1432" s="1">
        <v>0.0</v>
      </c>
      <c r="L1432" s="1">
        <v>1.74E8</v>
      </c>
      <c r="M1432" s="1" t="s">
        <v>3630</v>
      </c>
      <c r="N1432" s="18">
        <v>46028.0</v>
      </c>
      <c r="O1432" s="1" t="s">
        <v>3264</v>
      </c>
      <c r="P1432" s="1" t="s">
        <v>3230</v>
      </c>
      <c r="Q1432" s="1" t="s">
        <v>3408</v>
      </c>
    </row>
    <row r="1433">
      <c r="A1433" s="1" t="s">
        <v>5881</v>
      </c>
      <c r="B1433" s="1">
        <v>52.0</v>
      </c>
      <c r="C1433" s="1">
        <v>40.0</v>
      </c>
      <c r="D1433" s="2" t="s">
        <v>581</v>
      </c>
      <c r="E1433" s="1">
        <v>52.0</v>
      </c>
      <c r="F1433" s="1">
        <v>31.0</v>
      </c>
      <c r="G1433" s="1">
        <v>0.0</v>
      </c>
      <c r="H1433" s="1">
        <v>0.0</v>
      </c>
      <c r="I1433" s="1">
        <v>0.0</v>
      </c>
      <c r="J1433" s="1">
        <v>0.0</v>
      </c>
      <c r="K1433" s="1">
        <v>0.29</v>
      </c>
      <c r="L1433" s="1">
        <v>2.91E8</v>
      </c>
      <c r="M1433" s="1" t="s">
        <v>5882</v>
      </c>
      <c r="N1433" s="18">
        <v>46028.0</v>
      </c>
      <c r="O1433" s="1" t="s">
        <v>3455</v>
      </c>
      <c r="P1433" s="1" t="s">
        <v>3257</v>
      </c>
      <c r="Q1433" s="1" t="s">
        <v>3408</v>
      </c>
    </row>
    <row r="1434">
      <c r="A1434" s="1" t="s">
        <v>5883</v>
      </c>
      <c r="B1434" s="1">
        <v>52.0</v>
      </c>
      <c r="C1434" s="1">
        <v>70.0</v>
      </c>
      <c r="D1434" s="2" t="s">
        <v>716</v>
      </c>
      <c r="E1434" s="1">
        <v>52.0</v>
      </c>
      <c r="F1434" s="1">
        <v>9.0</v>
      </c>
      <c r="G1434" s="1">
        <v>0.0</v>
      </c>
      <c r="H1434" s="1">
        <v>0.0</v>
      </c>
      <c r="I1434" s="1">
        <v>0.0</v>
      </c>
      <c r="J1434" s="1">
        <v>0.0</v>
      </c>
      <c r="K1434" s="1">
        <v>0.0</v>
      </c>
      <c r="L1434" s="1">
        <v>657000.0</v>
      </c>
      <c r="M1434" s="1" t="s">
        <v>5884</v>
      </c>
      <c r="N1434" s="18">
        <v>46024.0</v>
      </c>
      <c r="O1434" s="1" t="s">
        <v>5885</v>
      </c>
      <c r="P1434" s="1" t="s">
        <v>3257</v>
      </c>
      <c r="Q1434" s="1" t="s">
        <v>3408</v>
      </c>
    </row>
    <row r="1435">
      <c r="A1435" s="1" t="s">
        <v>5886</v>
      </c>
      <c r="B1435" s="1">
        <v>52.0</v>
      </c>
      <c r="C1435" s="1">
        <v>70.0</v>
      </c>
      <c r="D1435" s="2" t="s">
        <v>1025</v>
      </c>
      <c r="E1435" s="1">
        <v>52.0</v>
      </c>
      <c r="F1435" s="1">
        <v>15.0</v>
      </c>
      <c r="G1435" s="1">
        <v>14.74</v>
      </c>
      <c r="H1435" s="1">
        <v>0.0</v>
      </c>
      <c r="I1435" s="1">
        <v>0.0</v>
      </c>
      <c r="J1435" s="1">
        <v>0.0</v>
      </c>
      <c r="K1435" s="1">
        <v>1.0</v>
      </c>
      <c r="L1435" s="1">
        <v>96600.0</v>
      </c>
      <c r="M1435" s="1" t="s">
        <v>5887</v>
      </c>
      <c r="N1435" s="18">
        <v>46023.0</v>
      </c>
      <c r="O1435" s="1" t="s">
        <v>5888</v>
      </c>
      <c r="P1435" s="1" t="s">
        <v>3257</v>
      </c>
      <c r="Q1435" s="1" t="s">
        <v>3408</v>
      </c>
    </row>
    <row r="1436">
      <c r="A1436" s="1" t="s">
        <v>5889</v>
      </c>
      <c r="B1436" s="1">
        <v>52.0</v>
      </c>
      <c r="C1436" s="1">
        <v>40.0</v>
      </c>
      <c r="D1436" s="2" t="s">
        <v>1304</v>
      </c>
      <c r="E1436" s="1">
        <v>52.0</v>
      </c>
      <c r="G1436" s="1">
        <v>0.0</v>
      </c>
      <c r="H1436" s="1">
        <v>0.0</v>
      </c>
      <c r="I1436" s="1">
        <v>0.0</v>
      </c>
      <c r="J1436" s="1">
        <v>0.0</v>
      </c>
      <c r="K1436" s="1">
        <v>0.0</v>
      </c>
      <c r="L1436" s="1">
        <v>156000.0</v>
      </c>
      <c r="M1436" s="1" t="s">
        <v>5890</v>
      </c>
      <c r="N1436" s="18">
        <v>46022.0</v>
      </c>
      <c r="O1436" s="1" t="s">
        <v>5257</v>
      </c>
      <c r="P1436" s="1" t="s">
        <v>3334</v>
      </c>
      <c r="Q1436" s="1" t="s">
        <v>3408</v>
      </c>
    </row>
    <row r="1437">
      <c r="A1437" s="1" t="s">
        <v>4417</v>
      </c>
      <c r="B1437" s="1">
        <v>52.0</v>
      </c>
      <c r="C1437" s="1">
        <v>70.0</v>
      </c>
      <c r="D1437" s="2" t="s">
        <v>581</v>
      </c>
      <c r="E1437" s="1">
        <v>52.0</v>
      </c>
      <c r="F1437" s="1">
        <v>37.0</v>
      </c>
      <c r="G1437" s="1">
        <v>15.32</v>
      </c>
      <c r="H1437" s="1">
        <v>0.0</v>
      </c>
      <c r="I1437" s="1">
        <v>0.0</v>
      </c>
      <c r="J1437" s="1">
        <v>0.0</v>
      </c>
      <c r="K1437" s="1">
        <v>0.21</v>
      </c>
      <c r="L1437" s="1">
        <v>237000.0</v>
      </c>
      <c r="M1437" s="1" t="s">
        <v>4418</v>
      </c>
      <c r="N1437" s="18">
        <v>46022.0</v>
      </c>
      <c r="O1437" s="1" t="s">
        <v>3435</v>
      </c>
      <c r="P1437" s="1" t="s">
        <v>3257</v>
      </c>
      <c r="Q1437" s="1" t="s">
        <v>3408</v>
      </c>
    </row>
    <row r="1438">
      <c r="A1438" s="1" t="s">
        <v>5891</v>
      </c>
      <c r="B1438" s="1">
        <v>52.0</v>
      </c>
      <c r="C1438" s="1">
        <v>110.0</v>
      </c>
      <c r="D1438" s="2" t="s">
        <v>439</v>
      </c>
      <c r="E1438" s="1">
        <v>52.0</v>
      </c>
      <c r="F1438" s="1">
        <v>19.0</v>
      </c>
      <c r="G1438" s="1">
        <v>2.75</v>
      </c>
      <c r="H1438" s="1">
        <v>0.0</v>
      </c>
      <c r="I1438" s="1">
        <v>0.0</v>
      </c>
      <c r="J1438" s="1">
        <v>0.0</v>
      </c>
      <c r="K1438" s="1">
        <v>0.05</v>
      </c>
      <c r="L1438" s="1">
        <v>40600.0</v>
      </c>
      <c r="M1438" s="1" t="s">
        <v>5892</v>
      </c>
      <c r="N1438" s="18">
        <v>46021.0</v>
      </c>
      <c r="O1438" s="1" t="s">
        <v>4965</v>
      </c>
      <c r="P1438" s="1" t="s">
        <v>3294</v>
      </c>
      <c r="Q1438" s="1" t="s">
        <v>3408</v>
      </c>
    </row>
    <row r="1439">
      <c r="A1439" s="1" t="s">
        <v>5893</v>
      </c>
      <c r="B1439" s="1">
        <v>52.0</v>
      </c>
      <c r="C1439" s="1">
        <v>170.0</v>
      </c>
      <c r="D1439" s="2" t="s">
        <v>439</v>
      </c>
      <c r="E1439" s="1">
        <v>52.0</v>
      </c>
      <c r="F1439" s="1">
        <v>39.0</v>
      </c>
      <c r="G1439" s="1">
        <v>2.89</v>
      </c>
      <c r="H1439" s="1">
        <v>0.0</v>
      </c>
      <c r="I1439" s="1">
        <v>0.0</v>
      </c>
      <c r="J1439" s="1">
        <v>0.0</v>
      </c>
      <c r="K1439" s="1">
        <v>0.09</v>
      </c>
      <c r="L1439" s="1">
        <v>2340.0</v>
      </c>
      <c r="M1439" s="1" t="s">
        <v>5894</v>
      </c>
      <c r="N1439" s="18">
        <v>46020.0</v>
      </c>
      <c r="O1439" s="1" t="s">
        <v>3821</v>
      </c>
      <c r="P1439" s="1" t="s">
        <v>3294</v>
      </c>
      <c r="Q1439" s="1" t="s">
        <v>3408</v>
      </c>
    </row>
    <row r="1440">
      <c r="A1440" s="1" t="s">
        <v>5895</v>
      </c>
      <c r="B1440" s="1">
        <v>52.0</v>
      </c>
      <c r="C1440" s="1">
        <v>90.0</v>
      </c>
      <c r="D1440" s="2" t="s">
        <v>439</v>
      </c>
      <c r="E1440" s="1">
        <v>52.0</v>
      </c>
      <c r="F1440" s="1">
        <v>24.0</v>
      </c>
      <c r="G1440" s="1">
        <v>4.98</v>
      </c>
      <c r="H1440" s="1">
        <v>0.0</v>
      </c>
      <c r="I1440" s="1">
        <v>0.0</v>
      </c>
      <c r="J1440" s="1">
        <v>0.0</v>
      </c>
      <c r="K1440" s="1">
        <v>0.35</v>
      </c>
      <c r="L1440" s="1">
        <v>4880.0</v>
      </c>
      <c r="M1440" s="1" t="s">
        <v>5896</v>
      </c>
      <c r="N1440" s="18">
        <v>46018.0</v>
      </c>
      <c r="O1440" s="1" t="s">
        <v>5538</v>
      </c>
      <c r="P1440" s="1" t="s">
        <v>3294</v>
      </c>
      <c r="Q1440" s="1" t="s">
        <v>3408</v>
      </c>
    </row>
    <row r="1441">
      <c r="A1441" s="1" t="s">
        <v>3815</v>
      </c>
      <c r="B1441" s="1">
        <v>52.0</v>
      </c>
      <c r="C1441" s="1">
        <v>90.0</v>
      </c>
      <c r="D1441" s="2" t="s">
        <v>2988</v>
      </c>
      <c r="E1441" s="1">
        <v>52.0</v>
      </c>
      <c r="F1441" s="1">
        <v>25.0</v>
      </c>
      <c r="G1441" s="1">
        <v>0.0</v>
      </c>
      <c r="H1441" s="1">
        <v>0.0</v>
      </c>
      <c r="I1441" s="1">
        <v>0.0</v>
      </c>
      <c r="J1441" s="1">
        <v>0.0</v>
      </c>
      <c r="K1441" s="1">
        <v>0.11</v>
      </c>
      <c r="L1441" s="1">
        <v>1.48E7</v>
      </c>
      <c r="M1441" s="1" t="s">
        <v>3816</v>
      </c>
      <c r="N1441" s="18">
        <v>46018.0</v>
      </c>
      <c r="O1441" s="1" t="s">
        <v>3415</v>
      </c>
      <c r="P1441" s="1" t="s">
        <v>3257</v>
      </c>
      <c r="Q1441" s="1" t="s">
        <v>3408</v>
      </c>
    </row>
    <row r="1442">
      <c r="A1442" s="1" t="s">
        <v>5897</v>
      </c>
      <c r="B1442" s="1">
        <v>52.0</v>
      </c>
      <c r="C1442" s="1">
        <v>110.0</v>
      </c>
      <c r="D1442" s="2" t="s">
        <v>581</v>
      </c>
      <c r="E1442" s="1">
        <v>52.0</v>
      </c>
      <c r="F1442" s="1">
        <v>23.0</v>
      </c>
      <c r="G1442" s="1">
        <v>0.0</v>
      </c>
      <c r="H1442" s="1">
        <v>0.0</v>
      </c>
      <c r="I1442" s="1">
        <v>0.0</v>
      </c>
      <c r="J1442" s="1">
        <v>0.0</v>
      </c>
      <c r="K1442" s="1">
        <v>0.0</v>
      </c>
      <c r="L1442" s="1">
        <v>888000.0</v>
      </c>
      <c r="M1442" s="1" t="s">
        <v>5898</v>
      </c>
      <c r="N1442" s="18">
        <v>46017.0</v>
      </c>
      <c r="O1442" s="1" t="s">
        <v>5899</v>
      </c>
      <c r="P1442" s="1" t="s">
        <v>3257</v>
      </c>
      <c r="Q1442" s="1" t="s">
        <v>3408</v>
      </c>
    </row>
    <row r="1443">
      <c r="A1443" s="1" t="s">
        <v>5900</v>
      </c>
      <c r="B1443" s="1">
        <v>52.0</v>
      </c>
      <c r="C1443" s="1">
        <v>90.0</v>
      </c>
      <c r="D1443" s="2" t="s">
        <v>778</v>
      </c>
      <c r="E1443" s="1">
        <v>52.0</v>
      </c>
      <c r="F1443" s="1">
        <v>10.0</v>
      </c>
      <c r="G1443" s="1">
        <v>0.0</v>
      </c>
      <c r="H1443" s="1">
        <v>0.0</v>
      </c>
      <c r="I1443" s="1">
        <v>0.0</v>
      </c>
      <c r="J1443" s="1">
        <v>0.0</v>
      </c>
      <c r="K1443" s="1">
        <v>0.0</v>
      </c>
      <c r="L1443" s="1">
        <v>5460000.0</v>
      </c>
      <c r="M1443" s="1" t="s">
        <v>5901</v>
      </c>
      <c r="N1443" s="18">
        <v>46015.0</v>
      </c>
      <c r="O1443" s="1" t="s">
        <v>4089</v>
      </c>
      <c r="P1443" s="1" t="s">
        <v>3230</v>
      </c>
      <c r="Q1443" s="1" t="s">
        <v>3408</v>
      </c>
    </row>
    <row r="1444">
      <c r="A1444" s="1" t="s">
        <v>5902</v>
      </c>
      <c r="B1444" s="1">
        <v>52.0</v>
      </c>
      <c r="C1444" s="1">
        <v>90.0</v>
      </c>
      <c r="D1444" s="2" t="s">
        <v>1307</v>
      </c>
      <c r="E1444" s="1">
        <v>52.0</v>
      </c>
      <c r="F1444" s="1">
        <v>0.0</v>
      </c>
      <c r="G1444" s="1">
        <v>0.0</v>
      </c>
      <c r="H1444" s="1">
        <v>0.0</v>
      </c>
      <c r="I1444" s="1">
        <v>0.0</v>
      </c>
      <c r="J1444" s="1">
        <v>0.0</v>
      </c>
      <c r="K1444" s="1">
        <v>0.0</v>
      </c>
      <c r="L1444" s="1">
        <v>75800.0</v>
      </c>
      <c r="M1444" s="1" t="s">
        <v>5903</v>
      </c>
      <c r="N1444" s="18">
        <v>46013.0</v>
      </c>
      <c r="O1444" s="1" t="s">
        <v>3231</v>
      </c>
      <c r="P1444" s="1" t="s">
        <v>3334</v>
      </c>
      <c r="Q1444" s="1" t="s">
        <v>3408</v>
      </c>
    </row>
    <row r="1445">
      <c r="A1445" s="1" t="s">
        <v>5904</v>
      </c>
      <c r="B1445" s="1">
        <v>52.0</v>
      </c>
      <c r="C1445" s="1">
        <v>50.0</v>
      </c>
      <c r="D1445" s="2" t="s">
        <v>1307</v>
      </c>
      <c r="E1445" s="1">
        <v>52.0</v>
      </c>
      <c r="F1445" s="1">
        <v>2.0</v>
      </c>
      <c r="G1445" s="1">
        <v>0.0</v>
      </c>
      <c r="H1445" s="1">
        <v>0.0</v>
      </c>
      <c r="I1445" s="1">
        <v>0.0</v>
      </c>
      <c r="J1445" s="1">
        <v>0.0</v>
      </c>
      <c r="K1445" s="1">
        <v>0.0</v>
      </c>
      <c r="L1445" s="1">
        <v>7590000.0</v>
      </c>
      <c r="M1445" s="1" t="s">
        <v>5905</v>
      </c>
      <c r="N1445" s="18">
        <v>46012.0</v>
      </c>
      <c r="O1445" s="1" t="s">
        <v>5906</v>
      </c>
      <c r="P1445" s="1" t="s">
        <v>4549</v>
      </c>
      <c r="Q1445" s="1" t="s">
        <v>3408</v>
      </c>
    </row>
    <row r="1446">
      <c r="A1446" s="1" t="s">
        <v>5907</v>
      </c>
      <c r="B1446" s="1">
        <v>52.0</v>
      </c>
      <c r="C1446" s="1">
        <v>140.0</v>
      </c>
      <c r="D1446" s="2" t="s">
        <v>833</v>
      </c>
      <c r="E1446" s="1">
        <v>52.0</v>
      </c>
      <c r="F1446" s="1">
        <v>8.0</v>
      </c>
      <c r="G1446" s="1">
        <v>21.24</v>
      </c>
      <c r="H1446" s="1">
        <v>0.0</v>
      </c>
      <c r="I1446" s="1">
        <v>0.0</v>
      </c>
      <c r="J1446" s="1">
        <v>0.0</v>
      </c>
      <c r="K1446" s="1">
        <v>0.1</v>
      </c>
      <c r="L1446" s="1">
        <v>1130000.0</v>
      </c>
      <c r="M1446" s="1" t="s">
        <v>5908</v>
      </c>
      <c r="N1446" s="18">
        <v>46011.0</v>
      </c>
      <c r="O1446" s="1" t="s">
        <v>5279</v>
      </c>
      <c r="P1446" s="1" t="s">
        <v>3230</v>
      </c>
      <c r="Q1446" s="1" t="s">
        <v>3408</v>
      </c>
    </row>
    <row r="1447">
      <c r="A1447" s="1" t="s">
        <v>5909</v>
      </c>
      <c r="B1447" s="1">
        <v>52.0</v>
      </c>
      <c r="C1447" s="1">
        <v>110.0</v>
      </c>
      <c r="D1447" s="2" t="s">
        <v>1868</v>
      </c>
      <c r="E1447" s="1">
        <v>52.0</v>
      </c>
      <c r="F1447" s="1">
        <v>48.0</v>
      </c>
      <c r="G1447" s="1">
        <v>0.0</v>
      </c>
      <c r="H1447" s="1">
        <v>0.0</v>
      </c>
      <c r="I1447" s="1">
        <v>0.0</v>
      </c>
      <c r="J1447" s="1">
        <v>0.0</v>
      </c>
      <c r="K1447" s="1">
        <v>0.0</v>
      </c>
      <c r="L1447" s="1">
        <v>4.27E8</v>
      </c>
      <c r="M1447" s="1" t="s">
        <v>5910</v>
      </c>
      <c r="N1447" s="18">
        <v>46010.0</v>
      </c>
      <c r="O1447" s="1" t="s">
        <v>5650</v>
      </c>
      <c r="P1447" s="1" t="s">
        <v>3230</v>
      </c>
      <c r="Q1447" s="1" t="s">
        <v>3408</v>
      </c>
    </row>
    <row r="1448">
      <c r="A1448" s="1" t="s">
        <v>5911</v>
      </c>
      <c r="B1448" s="1">
        <v>52.0</v>
      </c>
      <c r="C1448" s="1">
        <v>70.0</v>
      </c>
      <c r="D1448" s="2" t="s">
        <v>439</v>
      </c>
      <c r="E1448" s="1">
        <v>52.0</v>
      </c>
      <c r="F1448" s="1">
        <v>18.0</v>
      </c>
      <c r="G1448" s="1">
        <v>0.0</v>
      </c>
      <c r="H1448" s="1">
        <v>0.0</v>
      </c>
      <c r="I1448" s="1">
        <v>0.0</v>
      </c>
      <c r="J1448" s="1">
        <v>0.0</v>
      </c>
      <c r="K1448" s="1">
        <v>0.02</v>
      </c>
      <c r="L1448" s="1">
        <v>48000.0</v>
      </c>
      <c r="M1448" s="1" t="s">
        <v>5912</v>
      </c>
      <c r="N1448" s="18">
        <v>46007.0</v>
      </c>
      <c r="O1448" s="1" t="s">
        <v>4113</v>
      </c>
      <c r="P1448" s="1" t="s">
        <v>3230</v>
      </c>
      <c r="Q1448" s="1" t="s">
        <v>3408</v>
      </c>
    </row>
    <row r="1449">
      <c r="A1449" s="1" t="s">
        <v>5687</v>
      </c>
      <c r="B1449" s="1">
        <v>52.0</v>
      </c>
      <c r="C1449" s="1">
        <v>30.0</v>
      </c>
      <c r="D1449" s="2" t="s">
        <v>1109</v>
      </c>
      <c r="E1449" s="1">
        <v>52.0</v>
      </c>
      <c r="F1449" s="1">
        <v>2.0</v>
      </c>
      <c r="G1449" s="1">
        <v>5.58</v>
      </c>
      <c r="H1449" s="1">
        <v>0.0</v>
      </c>
      <c r="I1449" s="1">
        <v>0.0</v>
      </c>
      <c r="J1449" s="1">
        <v>0.0</v>
      </c>
      <c r="K1449" s="1">
        <v>0.22</v>
      </c>
      <c r="L1449" s="1">
        <v>8.21E7</v>
      </c>
      <c r="M1449" s="1" t="s">
        <v>5688</v>
      </c>
      <c r="N1449" s="18">
        <v>46001.0</v>
      </c>
      <c r="O1449" s="1" t="s">
        <v>5689</v>
      </c>
      <c r="P1449" s="1" t="s">
        <v>3230</v>
      </c>
      <c r="Q1449" s="1" t="s">
        <v>3408</v>
      </c>
    </row>
    <row r="1450">
      <c r="A1450" s="1" t="s">
        <v>5913</v>
      </c>
      <c r="B1450" s="1">
        <v>52.0</v>
      </c>
      <c r="C1450" s="1">
        <v>70.0</v>
      </c>
      <c r="D1450" s="2" t="s">
        <v>581</v>
      </c>
      <c r="E1450" s="1">
        <v>52.0</v>
      </c>
      <c r="F1450" s="1">
        <v>4.0</v>
      </c>
      <c r="G1450" s="1">
        <v>4.26</v>
      </c>
      <c r="H1450" s="1">
        <v>0.0</v>
      </c>
      <c r="I1450" s="1">
        <v>0.0</v>
      </c>
      <c r="J1450" s="1">
        <v>0.0</v>
      </c>
      <c r="K1450" s="1">
        <v>0.08</v>
      </c>
      <c r="L1450" s="1">
        <v>3980000.0</v>
      </c>
      <c r="M1450" s="1" t="s">
        <v>5914</v>
      </c>
      <c r="N1450" s="18">
        <v>46000.0</v>
      </c>
      <c r="O1450" s="1" t="s">
        <v>5915</v>
      </c>
      <c r="P1450" s="1" t="s">
        <v>3230</v>
      </c>
      <c r="Q1450" s="1" t="s">
        <v>3408</v>
      </c>
    </row>
    <row r="1451">
      <c r="A1451" s="1" t="s">
        <v>5916</v>
      </c>
      <c r="B1451" s="1">
        <v>52.0</v>
      </c>
      <c r="C1451" s="1">
        <v>70.0</v>
      </c>
      <c r="D1451" s="2" t="s">
        <v>1771</v>
      </c>
      <c r="E1451" s="1">
        <v>52.0</v>
      </c>
      <c r="F1451" s="1">
        <v>0.0</v>
      </c>
      <c r="G1451" s="1">
        <v>0.0</v>
      </c>
      <c r="H1451" s="1">
        <v>0.0</v>
      </c>
      <c r="I1451" s="1">
        <v>0.0</v>
      </c>
      <c r="J1451" s="1">
        <v>0.0</v>
      </c>
      <c r="K1451" s="1">
        <v>0.0</v>
      </c>
      <c r="L1451" s="1">
        <v>627000.0</v>
      </c>
      <c r="M1451" s="1" t="s">
        <v>5917</v>
      </c>
      <c r="N1451" s="18">
        <v>45998.0</v>
      </c>
      <c r="O1451" s="1" t="s">
        <v>4605</v>
      </c>
      <c r="P1451" s="1" t="s">
        <v>3230</v>
      </c>
      <c r="Q1451" s="1" t="s">
        <v>3408</v>
      </c>
    </row>
    <row r="1452">
      <c r="A1452" s="1" t="s">
        <v>5918</v>
      </c>
      <c r="B1452" s="1">
        <v>52.0</v>
      </c>
      <c r="C1452" s="1">
        <v>140.0</v>
      </c>
      <c r="D1452" s="2" t="s">
        <v>581</v>
      </c>
      <c r="E1452" s="1">
        <v>52.0</v>
      </c>
      <c r="F1452" s="1">
        <v>23.0</v>
      </c>
      <c r="G1452" s="1">
        <v>15.62</v>
      </c>
      <c r="H1452" s="1">
        <v>0.0</v>
      </c>
      <c r="I1452" s="1">
        <v>0.0</v>
      </c>
      <c r="J1452" s="1">
        <v>0.0</v>
      </c>
      <c r="K1452" s="1">
        <v>0.54</v>
      </c>
      <c r="L1452" s="1">
        <v>2560000.0</v>
      </c>
      <c r="M1452" s="1" t="s">
        <v>5919</v>
      </c>
      <c r="N1452" s="18">
        <v>45998.0</v>
      </c>
      <c r="O1452" s="1" t="s">
        <v>5899</v>
      </c>
      <c r="P1452" s="1" t="s">
        <v>3257</v>
      </c>
      <c r="Q1452" s="1" t="s">
        <v>3408</v>
      </c>
    </row>
    <row r="1453">
      <c r="A1453" s="1" t="s">
        <v>3794</v>
      </c>
      <c r="B1453" s="1">
        <v>52.0</v>
      </c>
      <c r="C1453" s="1">
        <v>210.0</v>
      </c>
      <c r="D1453" s="2" t="s">
        <v>1234</v>
      </c>
      <c r="E1453" s="1">
        <v>52.0</v>
      </c>
      <c r="F1453" s="1">
        <v>16.0</v>
      </c>
      <c r="G1453" s="1">
        <v>17.84</v>
      </c>
      <c r="H1453" s="1">
        <v>0.0</v>
      </c>
      <c r="I1453" s="1">
        <v>0.0</v>
      </c>
      <c r="J1453" s="1">
        <v>0.0</v>
      </c>
      <c r="K1453" s="1">
        <v>0.12</v>
      </c>
      <c r="L1453" s="1">
        <v>8020000.0</v>
      </c>
      <c r="M1453" s="1" t="s">
        <v>3795</v>
      </c>
      <c r="N1453" s="18">
        <v>45997.0</v>
      </c>
      <c r="O1453" s="1" t="s">
        <v>3435</v>
      </c>
      <c r="P1453" s="1" t="s">
        <v>3257</v>
      </c>
      <c r="Q1453" s="1" t="s">
        <v>3408</v>
      </c>
    </row>
    <row r="1454">
      <c r="A1454" s="1" t="s">
        <v>5920</v>
      </c>
      <c r="B1454" s="1">
        <v>52.0</v>
      </c>
      <c r="C1454" s="1">
        <v>90.0</v>
      </c>
      <c r="D1454" s="2" t="s">
        <v>581</v>
      </c>
      <c r="E1454" s="1">
        <v>52.0</v>
      </c>
      <c r="F1454" s="1">
        <v>0.0</v>
      </c>
      <c r="G1454" s="1">
        <v>11.2</v>
      </c>
      <c r="H1454" s="1">
        <v>0.0</v>
      </c>
      <c r="I1454" s="1">
        <v>0.0</v>
      </c>
      <c r="J1454" s="1">
        <v>0.0</v>
      </c>
      <c r="K1454" s="1">
        <v>0.37</v>
      </c>
      <c r="L1454" s="1">
        <v>7480000.0</v>
      </c>
      <c r="M1454" s="1" t="s">
        <v>5921</v>
      </c>
      <c r="N1454" s="18">
        <v>45995.0</v>
      </c>
      <c r="O1454" s="1" t="s">
        <v>4003</v>
      </c>
      <c r="P1454" s="1" t="s">
        <v>3230</v>
      </c>
      <c r="Q1454" s="1" t="s">
        <v>3408</v>
      </c>
    </row>
    <row r="1455">
      <c r="A1455" s="1" t="s">
        <v>3855</v>
      </c>
      <c r="B1455" s="1">
        <v>52.0</v>
      </c>
      <c r="C1455" s="1">
        <v>140.0</v>
      </c>
      <c r="D1455" s="2" t="s">
        <v>1234</v>
      </c>
      <c r="E1455" s="1">
        <v>52.0</v>
      </c>
      <c r="F1455" s="1">
        <v>21.0</v>
      </c>
      <c r="G1455" s="1">
        <v>17.84</v>
      </c>
      <c r="H1455" s="1">
        <v>0.0</v>
      </c>
      <c r="I1455" s="1">
        <v>0.0</v>
      </c>
      <c r="J1455" s="1">
        <v>0.0</v>
      </c>
      <c r="K1455" s="1">
        <v>0.12</v>
      </c>
      <c r="L1455" s="1">
        <v>4170000.0</v>
      </c>
      <c r="M1455" s="1" t="s">
        <v>3856</v>
      </c>
      <c r="N1455" s="18">
        <v>45993.0</v>
      </c>
      <c r="O1455" s="1" t="s">
        <v>3673</v>
      </c>
      <c r="P1455" s="1" t="s">
        <v>3257</v>
      </c>
      <c r="Q1455" s="1" t="s">
        <v>3408</v>
      </c>
    </row>
    <row r="1456">
      <c r="A1456" s="1" t="s">
        <v>5922</v>
      </c>
      <c r="B1456" s="1">
        <v>52.0</v>
      </c>
      <c r="C1456" s="1">
        <v>70.0</v>
      </c>
      <c r="D1456" s="2" t="s">
        <v>1454</v>
      </c>
      <c r="E1456" s="1">
        <v>52.0</v>
      </c>
      <c r="F1456" s="1">
        <v>25.0</v>
      </c>
      <c r="G1456" s="1">
        <v>2.83</v>
      </c>
      <c r="H1456" s="1">
        <v>0.0</v>
      </c>
      <c r="I1456" s="1">
        <v>0.0</v>
      </c>
      <c r="J1456" s="1">
        <v>0.0</v>
      </c>
      <c r="K1456" s="1">
        <v>0.42</v>
      </c>
      <c r="L1456" s="1">
        <v>1830000.0</v>
      </c>
      <c r="M1456" s="1" t="s">
        <v>5923</v>
      </c>
      <c r="N1456" s="18">
        <v>45993.0</v>
      </c>
      <c r="O1456" s="1" t="s">
        <v>3231</v>
      </c>
      <c r="P1456" s="1" t="s">
        <v>3301</v>
      </c>
      <c r="Q1456" s="1" t="s">
        <v>3408</v>
      </c>
    </row>
    <row r="1457">
      <c r="A1457" s="1" t="s">
        <v>5924</v>
      </c>
      <c r="B1457" s="1">
        <v>52.0</v>
      </c>
      <c r="C1457" s="1">
        <v>70.0</v>
      </c>
      <c r="D1457" s="2" t="s">
        <v>2253</v>
      </c>
      <c r="E1457" s="1">
        <v>52.0</v>
      </c>
      <c r="F1457" s="1">
        <v>5.0</v>
      </c>
      <c r="G1457" s="1">
        <v>0.45</v>
      </c>
      <c r="H1457" s="1">
        <v>0.0</v>
      </c>
      <c r="I1457" s="1">
        <v>0.0</v>
      </c>
      <c r="J1457" s="1">
        <v>0.0</v>
      </c>
      <c r="K1457" s="1">
        <v>0.5</v>
      </c>
      <c r="L1457" s="1">
        <v>4.65E7</v>
      </c>
      <c r="M1457" s="1" t="s">
        <v>5925</v>
      </c>
      <c r="N1457" s="18">
        <v>45993.0</v>
      </c>
      <c r="O1457" s="1" t="s">
        <v>5926</v>
      </c>
      <c r="P1457" s="1" t="s">
        <v>3230</v>
      </c>
      <c r="Q1457" s="1" t="s">
        <v>3408</v>
      </c>
    </row>
    <row r="1458">
      <c r="A1458" s="1" t="s">
        <v>5927</v>
      </c>
      <c r="B1458" s="1">
        <v>52.0</v>
      </c>
      <c r="C1458" s="1">
        <v>90.0</v>
      </c>
      <c r="D1458" s="2" t="s">
        <v>1868</v>
      </c>
      <c r="E1458" s="1">
        <v>52.0</v>
      </c>
      <c r="F1458" s="1">
        <v>18.0</v>
      </c>
      <c r="G1458" s="1">
        <v>0.02</v>
      </c>
      <c r="H1458" s="1">
        <v>0.0</v>
      </c>
      <c r="I1458" s="1">
        <v>0.0</v>
      </c>
      <c r="J1458" s="1">
        <v>0.0</v>
      </c>
      <c r="K1458" s="1">
        <v>0.04</v>
      </c>
      <c r="L1458" s="1">
        <v>1.97E8</v>
      </c>
      <c r="M1458" s="1" t="s">
        <v>5928</v>
      </c>
      <c r="N1458" s="18">
        <v>45992.0</v>
      </c>
      <c r="O1458" s="1" t="s">
        <v>5929</v>
      </c>
      <c r="P1458" s="1" t="s">
        <v>3230</v>
      </c>
      <c r="Q1458" s="1" t="s">
        <v>3408</v>
      </c>
    </row>
    <row r="1459">
      <c r="A1459" s="1" t="s">
        <v>5930</v>
      </c>
      <c r="B1459" s="1">
        <v>52.0</v>
      </c>
      <c r="C1459" s="1">
        <v>70.0</v>
      </c>
      <c r="D1459" s="2" t="s">
        <v>1536</v>
      </c>
      <c r="E1459" s="1">
        <v>52.0</v>
      </c>
      <c r="F1459" s="1">
        <v>12.0</v>
      </c>
      <c r="G1459" s="1">
        <v>0.0</v>
      </c>
      <c r="H1459" s="1">
        <v>0.0</v>
      </c>
      <c r="I1459" s="1">
        <v>0.0</v>
      </c>
      <c r="J1459" s="1">
        <v>0.0</v>
      </c>
      <c r="K1459" s="1">
        <v>0.01</v>
      </c>
      <c r="L1459" s="1">
        <v>3.74E7</v>
      </c>
      <c r="M1459" s="1" t="s">
        <v>5931</v>
      </c>
      <c r="N1459" s="18">
        <v>45987.0</v>
      </c>
      <c r="O1459" s="1" t="s">
        <v>4172</v>
      </c>
      <c r="P1459" s="1" t="s">
        <v>3230</v>
      </c>
      <c r="Q1459" s="1" t="s">
        <v>3408</v>
      </c>
    </row>
    <row r="1460">
      <c r="A1460" s="1" t="s">
        <v>5932</v>
      </c>
      <c r="B1460" s="1">
        <v>52.0</v>
      </c>
      <c r="C1460" s="1">
        <v>70.0</v>
      </c>
      <c r="D1460" s="2" t="s">
        <v>2048</v>
      </c>
      <c r="E1460" s="1">
        <v>52.0</v>
      </c>
      <c r="F1460" s="1">
        <v>16.0</v>
      </c>
      <c r="G1460" s="1">
        <v>0.0</v>
      </c>
      <c r="H1460" s="1">
        <v>0.0</v>
      </c>
      <c r="I1460" s="1">
        <v>0.0</v>
      </c>
      <c r="J1460" s="1">
        <v>0.0</v>
      </c>
      <c r="K1460" s="1">
        <v>0.0</v>
      </c>
      <c r="L1460" s="1">
        <v>10.0</v>
      </c>
      <c r="M1460" s="1" t="s">
        <v>5933</v>
      </c>
      <c r="N1460" s="18">
        <v>45986.0</v>
      </c>
      <c r="O1460" s="1" t="s">
        <v>3582</v>
      </c>
      <c r="P1460" s="1" t="s">
        <v>3230</v>
      </c>
      <c r="Q1460" s="1" t="s">
        <v>3408</v>
      </c>
    </row>
    <row r="1461">
      <c r="A1461" s="1" t="s">
        <v>3880</v>
      </c>
      <c r="B1461" s="1">
        <v>52.0</v>
      </c>
      <c r="C1461" s="1">
        <v>140.0</v>
      </c>
      <c r="D1461" s="2" t="s">
        <v>1234</v>
      </c>
      <c r="E1461" s="1">
        <v>52.0</v>
      </c>
      <c r="F1461" s="1">
        <v>21.0</v>
      </c>
      <c r="G1461" s="1">
        <v>17.84</v>
      </c>
      <c r="H1461" s="1">
        <v>0.0</v>
      </c>
      <c r="I1461" s="1">
        <v>0.0</v>
      </c>
      <c r="J1461" s="1">
        <v>0.0</v>
      </c>
      <c r="K1461" s="1">
        <v>0.12</v>
      </c>
      <c r="L1461" s="1">
        <v>9.0</v>
      </c>
      <c r="M1461" s="1" t="s">
        <v>3881</v>
      </c>
      <c r="N1461" s="18">
        <v>45986.0</v>
      </c>
      <c r="O1461" s="1" t="s">
        <v>3882</v>
      </c>
      <c r="P1461" s="1" t="s">
        <v>3257</v>
      </c>
      <c r="Q1461" s="1" t="s">
        <v>3408</v>
      </c>
    </row>
    <row r="1462">
      <c r="A1462" s="1" t="s">
        <v>5934</v>
      </c>
      <c r="B1462" s="1">
        <v>52.0</v>
      </c>
      <c r="C1462" s="1">
        <v>70.0</v>
      </c>
      <c r="D1462" s="2" t="s">
        <v>973</v>
      </c>
      <c r="E1462" s="1">
        <v>52.0</v>
      </c>
      <c r="F1462" s="1">
        <v>20.0</v>
      </c>
      <c r="G1462" s="1">
        <v>0.0</v>
      </c>
      <c r="H1462" s="1">
        <v>0.0</v>
      </c>
      <c r="I1462" s="1">
        <v>0.0</v>
      </c>
      <c r="J1462" s="1">
        <v>0.0</v>
      </c>
      <c r="K1462" s="1">
        <v>0.0</v>
      </c>
      <c r="L1462" s="1">
        <v>10.0</v>
      </c>
      <c r="M1462" s="1" t="s">
        <v>5935</v>
      </c>
      <c r="N1462" s="18">
        <v>45986.0</v>
      </c>
      <c r="O1462" s="1" t="s">
        <v>3264</v>
      </c>
      <c r="P1462" s="1" t="s">
        <v>3230</v>
      </c>
      <c r="Q1462" s="1" t="s">
        <v>3408</v>
      </c>
    </row>
    <row r="1463">
      <c r="A1463" s="1" t="s">
        <v>5936</v>
      </c>
      <c r="B1463" s="1">
        <v>52.0</v>
      </c>
      <c r="C1463" s="1">
        <v>90.0</v>
      </c>
      <c r="D1463" s="2" t="s">
        <v>600</v>
      </c>
      <c r="E1463" s="1">
        <v>52.0</v>
      </c>
      <c r="F1463" s="1">
        <v>0.0</v>
      </c>
      <c r="G1463" s="1">
        <v>6.8</v>
      </c>
      <c r="H1463" s="1">
        <v>0.0</v>
      </c>
      <c r="I1463" s="1">
        <v>0.0</v>
      </c>
      <c r="J1463" s="1">
        <v>0.0</v>
      </c>
      <c r="K1463" s="1">
        <v>0.13</v>
      </c>
      <c r="L1463" s="1">
        <v>9.0</v>
      </c>
      <c r="M1463" s="1" t="s">
        <v>5937</v>
      </c>
      <c r="N1463" s="18">
        <v>45984.0</v>
      </c>
      <c r="O1463" s="1" t="s">
        <v>5938</v>
      </c>
      <c r="P1463" s="1" t="s">
        <v>3257</v>
      </c>
      <c r="Q1463" s="1" t="s">
        <v>3408</v>
      </c>
    </row>
    <row r="1464">
      <c r="A1464" s="1" t="s">
        <v>5939</v>
      </c>
      <c r="B1464" s="1">
        <v>53.0</v>
      </c>
      <c r="C1464" s="1">
        <v>50.0</v>
      </c>
      <c r="D1464" s="2" t="s">
        <v>439</v>
      </c>
      <c r="E1464" s="1">
        <v>53.0</v>
      </c>
      <c r="F1464" s="1">
        <v>17.0</v>
      </c>
      <c r="G1464" s="1">
        <v>0.0</v>
      </c>
      <c r="H1464" s="1">
        <v>0.0</v>
      </c>
      <c r="I1464" s="1">
        <v>0.0</v>
      </c>
      <c r="J1464" s="1">
        <v>0.0</v>
      </c>
      <c r="K1464" s="1">
        <v>0.03</v>
      </c>
      <c r="L1464" s="1">
        <v>262000.0</v>
      </c>
      <c r="M1464" s="1" t="s">
        <v>5940</v>
      </c>
      <c r="N1464" s="18">
        <v>46042.0</v>
      </c>
      <c r="O1464" s="1" t="s">
        <v>5227</v>
      </c>
      <c r="P1464" s="1" t="s">
        <v>3294</v>
      </c>
      <c r="Q1464" s="1" t="s">
        <v>3408</v>
      </c>
    </row>
    <row r="1465">
      <c r="A1465" s="1" t="s">
        <v>5941</v>
      </c>
      <c r="B1465" s="1">
        <v>53.0</v>
      </c>
      <c r="C1465" s="1">
        <v>50.0</v>
      </c>
      <c r="D1465" s="2" t="s">
        <v>2966</v>
      </c>
      <c r="E1465" s="1">
        <v>53.0</v>
      </c>
      <c r="F1465" s="1">
        <v>10.0</v>
      </c>
      <c r="G1465" s="1">
        <v>44.08</v>
      </c>
      <c r="H1465" s="1">
        <v>0.0</v>
      </c>
      <c r="I1465" s="1">
        <v>0.0</v>
      </c>
      <c r="J1465" s="1">
        <v>0.0</v>
      </c>
      <c r="K1465" s="1">
        <v>0.86</v>
      </c>
      <c r="L1465" s="1">
        <v>70600.0</v>
      </c>
      <c r="M1465" s="1" t="s">
        <v>5942</v>
      </c>
      <c r="N1465" s="18">
        <v>46042.0</v>
      </c>
      <c r="O1465" s="1" t="s">
        <v>3686</v>
      </c>
      <c r="P1465" s="1" t="s">
        <v>3257</v>
      </c>
      <c r="Q1465" s="1" t="s">
        <v>3408</v>
      </c>
    </row>
    <row r="1466">
      <c r="A1466" s="1" t="s">
        <v>3353</v>
      </c>
      <c r="B1466" s="1">
        <v>53.0</v>
      </c>
      <c r="C1466" s="1">
        <v>50.0</v>
      </c>
      <c r="D1466" s="2" t="s">
        <v>479</v>
      </c>
      <c r="E1466" s="1">
        <v>53.0</v>
      </c>
      <c r="F1466" s="1">
        <v>15.0</v>
      </c>
      <c r="G1466" s="1">
        <v>0.0</v>
      </c>
      <c r="H1466" s="1">
        <v>0.0</v>
      </c>
      <c r="I1466" s="1">
        <v>0.0</v>
      </c>
      <c r="J1466" s="1">
        <v>0.0</v>
      </c>
      <c r="K1466" s="1">
        <v>0.0</v>
      </c>
      <c r="L1466" s="1">
        <v>41500.0</v>
      </c>
      <c r="M1466" s="1" t="s">
        <v>3354</v>
      </c>
      <c r="N1466" s="18">
        <v>46030.0</v>
      </c>
      <c r="O1466" s="1" t="s">
        <v>3355</v>
      </c>
      <c r="P1466" s="1" t="s">
        <v>3257</v>
      </c>
      <c r="Q1466" s="1" t="s">
        <v>3408</v>
      </c>
    </row>
    <row r="1467">
      <c r="A1467" s="1" t="s">
        <v>5943</v>
      </c>
      <c r="B1467" s="1">
        <v>53.0</v>
      </c>
      <c r="C1467" s="1">
        <v>720.0</v>
      </c>
      <c r="D1467" s="2" t="s">
        <v>1868</v>
      </c>
      <c r="E1467" s="1">
        <v>53.0</v>
      </c>
      <c r="F1467" s="1">
        <v>44.0</v>
      </c>
      <c r="G1467" s="1">
        <v>0.0</v>
      </c>
      <c r="H1467" s="1">
        <v>0.0</v>
      </c>
      <c r="I1467" s="1">
        <v>0.0</v>
      </c>
      <c r="J1467" s="1">
        <v>0.0</v>
      </c>
      <c r="K1467" s="1">
        <v>0.0</v>
      </c>
      <c r="L1467" s="1">
        <v>4.07E8</v>
      </c>
      <c r="M1467" s="1" t="s">
        <v>5944</v>
      </c>
      <c r="N1467" s="18">
        <v>46029.0</v>
      </c>
      <c r="O1467" s="1" t="s">
        <v>5650</v>
      </c>
      <c r="P1467" s="1" t="s">
        <v>3230</v>
      </c>
      <c r="Q1467" s="1" t="s">
        <v>3408</v>
      </c>
    </row>
    <row r="1468">
      <c r="A1468" s="1" t="s">
        <v>3756</v>
      </c>
      <c r="B1468" s="1">
        <v>53.0</v>
      </c>
      <c r="C1468" s="1">
        <v>40.0</v>
      </c>
      <c r="D1468" s="2" t="s">
        <v>2988</v>
      </c>
      <c r="E1468" s="1">
        <v>53.0</v>
      </c>
      <c r="G1468" s="1">
        <v>17.48</v>
      </c>
      <c r="H1468" s="1">
        <v>0.0</v>
      </c>
      <c r="I1468" s="1">
        <v>0.0</v>
      </c>
      <c r="J1468" s="1">
        <v>0.0</v>
      </c>
      <c r="K1468" s="1">
        <v>0.53</v>
      </c>
      <c r="L1468" s="1">
        <v>883000.0</v>
      </c>
      <c r="M1468" s="1" t="s">
        <v>3757</v>
      </c>
      <c r="N1468" s="18">
        <v>46028.0</v>
      </c>
      <c r="O1468" s="1" t="s">
        <v>3355</v>
      </c>
      <c r="P1468" s="1" t="s">
        <v>3257</v>
      </c>
      <c r="Q1468" s="1" t="s">
        <v>3408</v>
      </c>
    </row>
    <row r="1469">
      <c r="A1469" s="1" t="s">
        <v>5028</v>
      </c>
      <c r="B1469" s="1">
        <v>53.0</v>
      </c>
      <c r="C1469" s="1">
        <v>50.0</v>
      </c>
      <c r="D1469" s="2" t="s">
        <v>584</v>
      </c>
      <c r="E1469" s="1">
        <v>53.0</v>
      </c>
      <c r="F1469" s="1">
        <v>9.0</v>
      </c>
      <c r="G1469" s="1">
        <v>11.16</v>
      </c>
      <c r="H1469" s="1">
        <v>0.0</v>
      </c>
      <c r="I1469" s="1">
        <v>0.0</v>
      </c>
      <c r="J1469" s="1">
        <v>0.0</v>
      </c>
      <c r="K1469" s="1">
        <v>0.2</v>
      </c>
      <c r="L1469" s="1">
        <v>147000.0</v>
      </c>
      <c r="M1469" s="1" t="s">
        <v>5029</v>
      </c>
      <c r="N1469" s="18">
        <v>46026.0</v>
      </c>
      <c r="O1469" s="1" t="s">
        <v>3415</v>
      </c>
      <c r="P1469" s="1" t="s">
        <v>3257</v>
      </c>
      <c r="Q1469" s="1" t="s">
        <v>3408</v>
      </c>
    </row>
    <row r="1470">
      <c r="A1470" s="1" t="s">
        <v>5945</v>
      </c>
      <c r="B1470" s="1">
        <v>53.0</v>
      </c>
      <c r="C1470" s="1">
        <v>30.0</v>
      </c>
      <c r="D1470" s="2" t="s">
        <v>2944</v>
      </c>
      <c r="E1470" s="1">
        <v>53.0</v>
      </c>
      <c r="G1470" s="1">
        <v>9.53</v>
      </c>
      <c r="H1470" s="1">
        <v>0.0</v>
      </c>
      <c r="I1470" s="1">
        <v>0.0</v>
      </c>
      <c r="J1470" s="1">
        <v>0.0</v>
      </c>
      <c r="K1470" s="1">
        <v>0.7</v>
      </c>
      <c r="L1470" s="1">
        <v>326000.0</v>
      </c>
      <c r="M1470" s="1" t="s">
        <v>5946</v>
      </c>
      <c r="N1470" s="18">
        <v>46026.0</v>
      </c>
      <c r="O1470" s="1" t="s">
        <v>3435</v>
      </c>
      <c r="P1470" s="1" t="s">
        <v>3257</v>
      </c>
      <c r="Q1470" s="1" t="s">
        <v>3408</v>
      </c>
    </row>
    <row r="1471">
      <c r="A1471" s="1" t="s">
        <v>5947</v>
      </c>
      <c r="B1471" s="1">
        <v>53.0</v>
      </c>
      <c r="C1471" s="1">
        <v>90.0</v>
      </c>
      <c r="D1471" s="2" t="s">
        <v>778</v>
      </c>
      <c r="E1471" s="1">
        <v>53.0</v>
      </c>
      <c r="F1471" s="1">
        <v>1.0</v>
      </c>
      <c r="G1471" s="1">
        <v>0.0</v>
      </c>
      <c r="H1471" s="1">
        <v>0.0</v>
      </c>
      <c r="I1471" s="1">
        <v>0.0</v>
      </c>
      <c r="J1471" s="1">
        <v>0.0</v>
      </c>
      <c r="K1471" s="1">
        <v>0.0</v>
      </c>
      <c r="L1471" s="1">
        <v>288000.0</v>
      </c>
      <c r="M1471" s="1" t="s">
        <v>5948</v>
      </c>
      <c r="N1471" s="18">
        <v>46025.0</v>
      </c>
      <c r="O1471" s="1" t="s">
        <v>5674</v>
      </c>
      <c r="P1471" s="1" t="s">
        <v>3334</v>
      </c>
      <c r="Q1471" s="1" t="s">
        <v>3408</v>
      </c>
    </row>
    <row r="1472">
      <c r="A1472" s="1" t="s">
        <v>5949</v>
      </c>
      <c r="B1472" s="1">
        <v>53.0</v>
      </c>
      <c r="C1472" s="1">
        <v>90.0</v>
      </c>
      <c r="D1472" s="2" t="s">
        <v>439</v>
      </c>
      <c r="E1472" s="1">
        <v>53.0</v>
      </c>
      <c r="F1472" s="1">
        <v>13.0</v>
      </c>
      <c r="G1472" s="1">
        <v>11.03</v>
      </c>
      <c r="H1472" s="1">
        <v>0.0</v>
      </c>
      <c r="I1472" s="1">
        <v>0.0</v>
      </c>
      <c r="J1472" s="1">
        <v>0.0</v>
      </c>
      <c r="K1472" s="1">
        <v>0.06</v>
      </c>
      <c r="L1472" s="1">
        <v>3.13E8</v>
      </c>
      <c r="M1472" s="1" t="s">
        <v>5950</v>
      </c>
      <c r="N1472" s="18">
        <v>46024.0</v>
      </c>
      <c r="O1472" s="1" t="s">
        <v>5951</v>
      </c>
      <c r="P1472" s="1" t="s">
        <v>3230</v>
      </c>
      <c r="Q1472" s="1" t="s">
        <v>3408</v>
      </c>
    </row>
    <row r="1473">
      <c r="A1473" s="1" t="s">
        <v>3633</v>
      </c>
      <c r="B1473" s="1">
        <v>53.0</v>
      </c>
      <c r="C1473" s="1">
        <v>110.0</v>
      </c>
      <c r="D1473" s="2" t="s">
        <v>447</v>
      </c>
      <c r="E1473" s="1">
        <v>53.0</v>
      </c>
      <c r="F1473" s="1">
        <v>34.0</v>
      </c>
      <c r="G1473" s="1">
        <v>13.98</v>
      </c>
      <c r="H1473" s="1">
        <v>0.0</v>
      </c>
      <c r="I1473" s="1">
        <v>0.0</v>
      </c>
      <c r="J1473" s="1">
        <v>0.0</v>
      </c>
      <c r="K1473" s="1">
        <v>0.45</v>
      </c>
      <c r="L1473" s="1">
        <v>49200.0</v>
      </c>
      <c r="M1473" s="1" t="s">
        <v>3634</v>
      </c>
      <c r="N1473" s="18">
        <v>46024.0</v>
      </c>
      <c r="O1473" s="1" t="s">
        <v>3288</v>
      </c>
      <c r="P1473" s="1" t="s">
        <v>3257</v>
      </c>
      <c r="Q1473" s="1" t="s">
        <v>3408</v>
      </c>
    </row>
    <row r="1474">
      <c r="A1474" s="1" t="s">
        <v>5952</v>
      </c>
      <c r="B1474" s="1">
        <v>53.0</v>
      </c>
      <c r="C1474" s="1">
        <v>110.0</v>
      </c>
      <c r="D1474" s="2" t="s">
        <v>581</v>
      </c>
      <c r="E1474" s="1">
        <v>53.0</v>
      </c>
      <c r="F1474" s="1">
        <v>18.0</v>
      </c>
      <c r="G1474" s="1">
        <v>6.28</v>
      </c>
      <c r="H1474" s="1">
        <v>0.0</v>
      </c>
      <c r="I1474" s="1">
        <v>0.0</v>
      </c>
      <c r="J1474" s="1">
        <v>0.0</v>
      </c>
      <c r="K1474" s="1">
        <v>0.75</v>
      </c>
      <c r="L1474" s="1">
        <v>385000.0</v>
      </c>
      <c r="M1474" s="1" t="s">
        <v>5953</v>
      </c>
      <c r="N1474" s="18">
        <v>46024.0</v>
      </c>
      <c r="O1474" s="1" t="s">
        <v>3435</v>
      </c>
      <c r="P1474" s="1" t="s">
        <v>3257</v>
      </c>
      <c r="Q1474" s="1" t="s">
        <v>3408</v>
      </c>
    </row>
    <row r="1475">
      <c r="A1475" s="1" t="s">
        <v>5954</v>
      </c>
      <c r="B1475" s="1">
        <v>53.0</v>
      </c>
      <c r="C1475" s="1">
        <v>90.0</v>
      </c>
      <c r="D1475" s="2" t="s">
        <v>439</v>
      </c>
      <c r="E1475" s="1">
        <v>53.0</v>
      </c>
      <c r="F1475" s="1">
        <v>17.0</v>
      </c>
      <c r="G1475" s="1">
        <v>3.69</v>
      </c>
      <c r="H1475" s="1">
        <v>0.0</v>
      </c>
      <c r="I1475" s="1">
        <v>0.0</v>
      </c>
      <c r="J1475" s="1">
        <v>0.0</v>
      </c>
      <c r="K1475" s="1">
        <v>0.17</v>
      </c>
      <c r="L1475" s="1">
        <v>242000.0</v>
      </c>
      <c r="M1475" s="1" t="s">
        <v>5955</v>
      </c>
      <c r="N1475" s="18">
        <v>46023.0</v>
      </c>
      <c r="O1475" s="1" t="s">
        <v>5915</v>
      </c>
      <c r="P1475" s="1" t="s">
        <v>3294</v>
      </c>
      <c r="Q1475" s="1" t="s">
        <v>3408</v>
      </c>
    </row>
    <row r="1476">
      <c r="A1476" s="1" t="s">
        <v>4122</v>
      </c>
      <c r="B1476" s="1">
        <v>53.0</v>
      </c>
      <c r="C1476" s="1">
        <v>50.0</v>
      </c>
      <c r="D1476" s="2" t="s">
        <v>1215</v>
      </c>
      <c r="E1476" s="1">
        <v>53.0</v>
      </c>
      <c r="F1476" s="1">
        <v>33.0</v>
      </c>
      <c r="G1476" s="1">
        <v>0.0</v>
      </c>
      <c r="H1476" s="1">
        <v>0.0</v>
      </c>
      <c r="I1476" s="1">
        <v>0.0</v>
      </c>
      <c r="J1476" s="1">
        <v>0.0</v>
      </c>
      <c r="K1476" s="1">
        <v>0.0</v>
      </c>
      <c r="L1476" s="1">
        <v>1.02E7</v>
      </c>
      <c r="M1476" s="1" t="s">
        <v>4123</v>
      </c>
      <c r="N1476" s="18">
        <v>46021.0</v>
      </c>
      <c r="O1476" s="1" t="s">
        <v>3482</v>
      </c>
      <c r="P1476" s="1" t="s">
        <v>3257</v>
      </c>
      <c r="Q1476" s="1" t="s">
        <v>3408</v>
      </c>
    </row>
    <row r="1477">
      <c r="A1477" s="1" t="s">
        <v>5956</v>
      </c>
      <c r="B1477" s="1">
        <v>53.0</v>
      </c>
      <c r="C1477" s="1">
        <v>110.0</v>
      </c>
      <c r="D1477" s="2" t="s">
        <v>581</v>
      </c>
      <c r="E1477" s="1">
        <v>53.0</v>
      </c>
      <c r="F1477" s="1">
        <v>37.0</v>
      </c>
      <c r="G1477" s="1">
        <v>4.63</v>
      </c>
      <c r="H1477" s="1">
        <v>0.0</v>
      </c>
      <c r="I1477" s="1">
        <v>0.0</v>
      </c>
      <c r="J1477" s="1">
        <v>0.0</v>
      </c>
      <c r="K1477" s="1">
        <v>0.1</v>
      </c>
      <c r="L1477" s="1">
        <v>1680000.0</v>
      </c>
      <c r="M1477" s="1" t="s">
        <v>5957</v>
      </c>
      <c r="N1477" s="18">
        <v>46020.0</v>
      </c>
      <c r="O1477" s="1" t="s">
        <v>4763</v>
      </c>
      <c r="P1477" s="1" t="s">
        <v>3294</v>
      </c>
      <c r="Q1477" s="1" t="s">
        <v>3408</v>
      </c>
    </row>
    <row r="1478">
      <c r="A1478" s="1" t="s">
        <v>5958</v>
      </c>
      <c r="B1478" s="1">
        <v>53.0</v>
      </c>
      <c r="C1478" s="1">
        <v>140.0</v>
      </c>
      <c r="D1478" s="2" t="s">
        <v>581</v>
      </c>
      <c r="E1478" s="1">
        <v>53.0</v>
      </c>
      <c r="F1478" s="1">
        <v>6.0</v>
      </c>
      <c r="G1478" s="1">
        <v>2.78</v>
      </c>
      <c r="H1478" s="1">
        <v>0.0</v>
      </c>
      <c r="I1478" s="1">
        <v>0.0</v>
      </c>
      <c r="J1478" s="1">
        <v>0.0</v>
      </c>
      <c r="K1478" s="1">
        <v>0.13</v>
      </c>
      <c r="L1478" s="1">
        <v>2.63E7</v>
      </c>
      <c r="M1478" s="1" t="s">
        <v>5959</v>
      </c>
      <c r="N1478" s="18">
        <v>46017.0</v>
      </c>
      <c r="O1478" s="1" t="s">
        <v>3404</v>
      </c>
      <c r="P1478" s="1" t="s">
        <v>3257</v>
      </c>
      <c r="Q1478" s="1" t="s">
        <v>3408</v>
      </c>
    </row>
    <row r="1479">
      <c r="A1479" s="1" t="s">
        <v>5960</v>
      </c>
      <c r="B1479" s="1">
        <v>53.0</v>
      </c>
      <c r="C1479" s="1">
        <v>260.0</v>
      </c>
      <c r="D1479" s="2" t="s">
        <v>788</v>
      </c>
      <c r="E1479" s="1">
        <v>53.0</v>
      </c>
      <c r="F1479" s="1">
        <v>12.0</v>
      </c>
      <c r="G1479" s="1">
        <v>0.0</v>
      </c>
      <c r="H1479" s="1">
        <v>0.0</v>
      </c>
      <c r="I1479" s="1">
        <v>0.0</v>
      </c>
      <c r="J1479" s="1">
        <v>0.0</v>
      </c>
      <c r="K1479" s="1">
        <v>0.01</v>
      </c>
      <c r="L1479" s="1">
        <v>2.01E8</v>
      </c>
      <c r="M1479" s="1" t="s">
        <v>5961</v>
      </c>
      <c r="N1479" s="18">
        <v>46016.0</v>
      </c>
      <c r="O1479" s="1" t="s">
        <v>5962</v>
      </c>
      <c r="P1479" s="1" t="s">
        <v>3230</v>
      </c>
      <c r="Q1479" s="1" t="s">
        <v>3408</v>
      </c>
    </row>
    <row r="1480">
      <c r="A1480" s="1" t="s">
        <v>5963</v>
      </c>
      <c r="B1480" s="1">
        <v>53.0</v>
      </c>
      <c r="C1480" s="1">
        <v>40.0</v>
      </c>
      <c r="D1480" s="2" t="s">
        <v>581</v>
      </c>
      <c r="E1480" s="1">
        <v>53.0</v>
      </c>
      <c r="F1480" s="1">
        <v>5.0</v>
      </c>
      <c r="G1480" s="1">
        <v>0.0</v>
      </c>
      <c r="H1480" s="1">
        <v>0.0</v>
      </c>
      <c r="I1480" s="1">
        <v>0.0</v>
      </c>
      <c r="J1480" s="1">
        <v>0.0</v>
      </c>
      <c r="K1480" s="1">
        <v>0.21</v>
      </c>
      <c r="L1480" s="1">
        <v>1420000.0</v>
      </c>
      <c r="M1480" s="1" t="s">
        <v>5964</v>
      </c>
      <c r="N1480" s="18">
        <v>46015.0</v>
      </c>
      <c r="O1480" s="1" t="s">
        <v>5965</v>
      </c>
      <c r="P1480" s="1" t="s">
        <v>3334</v>
      </c>
      <c r="Q1480" s="1" t="s">
        <v>3408</v>
      </c>
    </row>
    <row r="1481">
      <c r="A1481" s="1" t="s">
        <v>5966</v>
      </c>
      <c r="B1481" s="1">
        <v>53.0</v>
      </c>
      <c r="C1481" s="1">
        <v>90.0</v>
      </c>
      <c r="D1481" s="2" t="s">
        <v>1166</v>
      </c>
      <c r="E1481" s="1">
        <v>53.0</v>
      </c>
      <c r="G1481" s="1">
        <v>0.0</v>
      </c>
      <c r="H1481" s="1">
        <v>0.0</v>
      </c>
      <c r="I1481" s="1">
        <v>0.0</v>
      </c>
      <c r="J1481" s="1">
        <v>0.0</v>
      </c>
      <c r="K1481" s="1">
        <v>0.0</v>
      </c>
      <c r="L1481" s="1">
        <v>71600.0</v>
      </c>
      <c r="M1481" s="1" t="s">
        <v>5967</v>
      </c>
      <c r="N1481" s="18">
        <v>46014.0</v>
      </c>
      <c r="O1481" s="1" t="s">
        <v>3242</v>
      </c>
      <c r="P1481" s="1" t="s">
        <v>3334</v>
      </c>
      <c r="Q1481" s="1" t="s">
        <v>3408</v>
      </c>
    </row>
    <row r="1482">
      <c r="A1482" s="1" t="s">
        <v>5968</v>
      </c>
      <c r="B1482" s="1">
        <v>53.0</v>
      </c>
      <c r="C1482" s="1">
        <v>110.0</v>
      </c>
      <c r="D1482" s="2" t="s">
        <v>1868</v>
      </c>
      <c r="E1482" s="1">
        <v>53.0</v>
      </c>
      <c r="F1482" s="1">
        <v>44.0</v>
      </c>
      <c r="G1482" s="1">
        <v>0.0</v>
      </c>
      <c r="H1482" s="1">
        <v>0.0</v>
      </c>
      <c r="I1482" s="1">
        <v>0.0</v>
      </c>
      <c r="J1482" s="1">
        <v>0.0</v>
      </c>
      <c r="K1482" s="1">
        <v>0.0</v>
      </c>
      <c r="L1482" s="1">
        <v>4.22E8</v>
      </c>
      <c r="M1482" s="1" t="s">
        <v>5969</v>
      </c>
      <c r="N1482" s="18">
        <v>46013.0</v>
      </c>
      <c r="O1482" s="1" t="s">
        <v>5442</v>
      </c>
      <c r="P1482" s="1" t="s">
        <v>3230</v>
      </c>
      <c r="Q1482" s="1" t="s">
        <v>3408</v>
      </c>
    </row>
    <row r="1483">
      <c r="A1483" s="1" t="s">
        <v>5970</v>
      </c>
      <c r="B1483" s="1">
        <v>53.0</v>
      </c>
      <c r="C1483" s="1">
        <v>70.0</v>
      </c>
      <c r="D1483" s="2" t="s">
        <v>792</v>
      </c>
      <c r="E1483" s="1">
        <v>53.0</v>
      </c>
      <c r="F1483" s="1">
        <v>0.0</v>
      </c>
      <c r="G1483" s="1">
        <v>0.0</v>
      </c>
      <c r="H1483" s="1">
        <v>0.0</v>
      </c>
      <c r="I1483" s="1">
        <v>0.0</v>
      </c>
      <c r="J1483" s="1">
        <v>0.0</v>
      </c>
      <c r="K1483" s="1">
        <v>0.0</v>
      </c>
      <c r="L1483" s="1">
        <v>209000.0</v>
      </c>
      <c r="M1483" s="1" t="s">
        <v>5971</v>
      </c>
      <c r="N1483" s="18">
        <v>46013.0</v>
      </c>
      <c r="O1483" s="1" t="s">
        <v>5674</v>
      </c>
      <c r="P1483" s="1" t="s">
        <v>3334</v>
      </c>
      <c r="Q1483" s="1" t="s">
        <v>3408</v>
      </c>
    </row>
    <row r="1484">
      <c r="A1484" s="1" t="s">
        <v>5972</v>
      </c>
      <c r="B1484" s="1">
        <v>53.0</v>
      </c>
      <c r="C1484" s="1">
        <v>90.0</v>
      </c>
      <c r="D1484" s="2" t="s">
        <v>2416</v>
      </c>
      <c r="E1484" s="1">
        <v>53.0</v>
      </c>
      <c r="F1484" s="1">
        <v>3.0</v>
      </c>
      <c r="G1484" s="1">
        <v>0.0</v>
      </c>
      <c r="H1484" s="1">
        <v>0.0</v>
      </c>
      <c r="I1484" s="1">
        <v>0.0</v>
      </c>
      <c r="J1484" s="1">
        <v>0.0</v>
      </c>
      <c r="K1484" s="1">
        <v>0.0</v>
      </c>
      <c r="L1484" s="1">
        <v>77800.0</v>
      </c>
      <c r="M1484" s="1" t="s">
        <v>5973</v>
      </c>
      <c r="N1484" s="18">
        <v>46012.0</v>
      </c>
      <c r="O1484" s="1" t="s">
        <v>3479</v>
      </c>
      <c r="P1484" s="1" t="s">
        <v>3230</v>
      </c>
      <c r="Q1484" s="1" t="s">
        <v>3408</v>
      </c>
    </row>
    <row r="1485">
      <c r="A1485" s="1" t="s">
        <v>5974</v>
      </c>
      <c r="B1485" s="1">
        <v>53.0</v>
      </c>
      <c r="C1485" s="1">
        <v>70.0</v>
      </c>
      <c r="D1485" s="2" t="s">
        <v>2082</v>
      </c>
      <c r="E1485" s="1">
        <v>53.0</v>
      </c>
      <c r="F1485" s="1">
        <v>11.0</v>
      </c>
      <c r="G1485" s="1">
        <v>19.87</v>
      </c>
      <c r="H1485" s="1">
        <v>0.0</v>
      </c>
      <c r="I1485" s="1">
        <v>0.0</v>
      </c>
      <c r="J1485" s="1">
        <v>0.0</v>
      </c>
      <c r="K1485" s="1">
        <v>0.45</v>
      </c>
      <c r="L1485" s="1">
        <v>1290000.0</v>
      </c>
      <c r="M1485" s="1" t="s">
        <v>5975</v>
      </c>
      <c r="N1485" s="18">
        <v>46010.0</v>
      </c>
      <c r="O1485" s="1" t="s">
        <v>5700</v>
      </c>
      <c r="P1485" s="1" t="s">
        <v>3230</v>
      </c>
      <c r="Q1485" s="1" t="s">
        <v>3408</v>
      </c>
    </row>
    <row r="1486">
      <c r="A1486" s="1" t="s">
        <v>5976</v>
      </c>
      <c r="B1486" s="1">
        <v>53.0</v>
      </c>
      <c r="C1486" s="1">
        <v>110.0</v>
      </c>
      <c r="D1486" s="2" t="s">
        <v>1650</v>
      </c>
      <c r="E1486" s="1">
        <v>53.0</v>
      </c>
      <c r="F1486" s="1">
        <v>0.0</v>
      </c>
      <c r="G1486" s="1">
        <v>4.27</v>
      </c>
      <c r="H1486" s="1">
        <v>0.0</v>
      </c>
      <c r="I1486" s="1">
        <v>0.0</v>
      </c>
      <c r="J1486" s="1">
        <v>0.0</v>
      </c>
      <c r="K1486" s="1">
        <v>0.15</v>
      </c>
      <c r="L1486" s="1">
        <v>41400.0</v>
      </c>
      <c r="M1486" s="1" t="s">
        <v>5977</v>
      </c>
      <c r="N1486" s="18">
        <v>46009.0</v>
      </c>
      <c r="O1486" s="1" t="s">
        <v>4605</v>
      </c>
      <c r="P1486" s="1" t="s">
        <v>3230</v>
      </c>
      <c r="Q1486" s="1" t="s">
        <v>3408</v>
      </c>
    </row>
    <row r="1487">
      <c r="A1487" s="1" t="s">
        <v>4078</v>
      </c>
      <c r="B1487" s="1">
        <v>53.0</v>
      </c>
      <c r="C1487" s="1">
        <v>40.0</v>
      </c>
      <c r="D1487" s="2" t="s">
        <v>584</v>
      </c>
      <c r="E1487" s="1">
        <v>53.0</v>
      </c>
      <c r="F1487" s="1">
        <v>9.0</v>
      </c>
      <c r="G1487" s="1">
        <v>19.05</v>
      </c>
      <c r="H1487" s="1">
        <v>0.0</v>
      </c>
      <c r="I1487" s="1">
        <v>0.0</v>
      </c>
      <c r="J1487" s="1">
        <v>0.0</v>
      </c>
      <c r="K1487" s="1">
        <v>0.04</v>
      </c>
      <c r="L1487" s="1">
        <v>149000.0</v>
      </c>
      <c r="M1487" s="1" t="s">
        <v>4079</v>
      </c>
      <c r="N1487" s="18">
        <v>46009.0</v>
      </c>
      <c r="O1487" s="1" t="s">
        <v>3435</v>
      </c>
      <c r="P1487" s="1" t="s">
        <v>3257</v>
      </c>
      <c r="Q1487" s="1" t="s">
        <v>3408</v>
      </c>
    </row>
    <row r="1488">
      <c r="A1488" s="1" t="s">
        <v>5978</v>
      </c>
      <c r="B1488" s="1">
        <v>53.0</v>
      </c>
      <c r="C1488" s="1">
        <v>90.0</v>
      </c>
      <c r="D1488" s="2" t="s">
        <v>592</v>
      </c>
      <c r="E1488" s="1">
        <v>53.0</v>
      </c>
      <c r="F1488" s="1">
        <v>6.0</v>
      </c>
      <c r="G1488" s="1">
        <v>5.31</v>
      </c>
      <c r="H1488" s="1">
        <v>0.0</v>
      </c>
      <c r="I1488" s="1">
        <v>0.0</v>
      </c>
      <c r="J1488" s="1">
        <v>0.0</v>
      </c>
      <c r="K1488" s="1">
        <v>0.48</v>
      </c>
      <c r="L1488" s="1">
        <v>648000.0</v>
      </c>
      <c r="M1488" s="1" t="s">
        <v>5979</v>
      </c>
      <c r="N1488" s="18">
        <v>46005.0</v>
      </c>
      <c r="O1488" s="1" t="s">
        <v>3404</v>
      </c>
      <c r="P1488" s="1" t="s">
        <v>3257</v>
      </c>
      <c r="Q1488" s="1" t="s">
        <v>3408</v>
      </c>
    </row>
    <row r="1489">
      <c r="A1489" s="1" t="s">
        <v>5980</v>
      </c>
      <c r="B1489" s="1">
        <v>53.0</v>
      </c>
      <c r="C1489" s="1">
        <v>260.0</v>
      </c>
      <c r="D1489" s="2" t="s">
        <v>973</v>
      </c>
      <c r="E1489" s="1">
        <v>53.0</v>
      </c>
      <c r="F1489" s="1">
        <v>32.0</v>
      </c>
      <c r="G1489" s="1">
        <v>2.04</v>
      </c>
      <c r="H1489" s="1">
        <v>0.0</v>
      </c>
      <c r="I1489" s="1">
        <v>0.0</v>
      </c>
      <c r="J1489" s="1">
        <v>0.0</v>
      </c>
      <c r="K1489" s="1">
        <v>0.13</v>
      </c>
      <c r="L1489" s="1">
        <v>3.2E7</v>
      </c>
      <c r="M1489" s="1" t="s">
        <v>5981</v>
      </c>
      <c r="N1489" s="18">
        <v>46002.0</v>
      </c>
      <c r="O1489" s="1" t="s">
        <v>3479</v>
      </c>
      <c r="P1489" s="1" t="s">
        <v>3230</v>
      </c>
      <c r="Q1489" s="1" t="s">
        <v>3408</v>
      </c>
    </row>
    <row r="1490">
      <c r="A1490" s="1" t="s">
        <v>5982</v>
      </c>
      <c r="B1490" s="1">
        <v>53.0</v>
      </c>
      <c r="C1490" s="1">
        <v>70.0</v>
      </c>
      <c r="D1490" s="2" t="s">
        <v>581</v>
      </c>
      <c r="E1490" s="1">
        <v>53.0</v>
      </c>
      <c r="F1490" s="1">
        <v>8.0</v>
      </c>
      <c r="G1490" s="1">
        <v>12.71</v>
      </c>
      <c r="H1490" s="1">
        <v>0.0</v>
      </c>
      <c r="I1490" s="1">
        <v>0.0</v>
      </c>
      <c r="J1490" s="1">
        <v>0.0</v>
      </c>
      <c r="K1490" s="1">
        <v>0.31</v>
      </c>
      <c r="L1490" s="1">
        <v>63800.0</v>
      </c>
      <c r="M1490" s="1" t="s">
        <v>5983</v>
      </c>
      <c r="N1490" s="18">
        <v>46000.0</v>
      </c>
      <c r="O1490" s="1" t="s">
        <v>3673</v>
      </c>
      <c r="P1490" s="1" t="s">
        <v>3257</v>
      </c>
      <c r="Q1490" s="1" t="s">
        <v>3408</v>
      </c>
    </row>
    <row r="1491">
      <c r="A1491" s="1" t="s">
        <v>5984</v>
      </c>
      <c r="B1491" s="1">
        <v>53.0</v>
      </c>
      <c r="C1491" s="1">
        <v>40.0</v>
      </c>
      <c r="D1491" s="2" t="s">
        <v>1951</v>
      </c>
      <c r="E1491" s="1">
        <v>53.0</v>
      </c>
      <c r="F1491" s="1">
        <v>0.0</v>
      </c>
      <c r="G1491" s="1">
        <v>0.0</v>
      </c>
      <c r="H1491" s="1">
        <v>0.0</v>
      </c>
      <c r="I1491" s="1">
        <v>0.0</v>
      </c>
      <c r="J1491" s="1">
        <v>0.0</v>
      </c>
      <c r="K1491" s="1">
        <v>0.0</v>
      </c>
      <c r="L1491" s="1">
        <v>5.18E7</v>
      </c>
      <c r="M1491" s="1" t="s">
        <v>5985</v>
      </c>
      <c r="N1491" s="18">
        <v>45999.0</v>
      </c>
      <c r="O1491" s="1" t="s">
        <v>5986</v>
      </c>
      <c r="P1491" s="1" t="s">
        <v>3230</v>
      </c>
      <c r="Q1491" s="1" t="s">
        <v>3408</v>
      </c>
    </row>
    <row r="1492">
      <c r="A1492" s="1" t="s">
        <v>5987</v>
      </c>
      <c r="B1492" s="1">
        <v>53.0</v>
      </c>
      <c r="C1492" s="1">
        <v>40.0</v>
      </c>
      <c r="D1492" s="2" t="s">
        <v>1350</v>
      </c>
      <c r="E1492" s="1">
        <v>53.0</v>
      </c>
      <c r="F1492" s="1">
        <v>6.0</v>
      </c>
      <c r="G1492" s="1">
        <v>0.0</v>
      </c>
      <c r="H1492" s="1">
        <v>0.0</v>
      </c>
      <c r="I1492" s="1">
        <v>0.0</v>
      </c>
      <c r="J1492" s="1">
        <v>0.0</v>
      </c>
      <c r="K1492" s="1">
        <v>0.0</v>
      </c>
      <c r="L1492" s="1">
        <v>2.22E8</v>
      </c>
      <c r="M1492" s="1" t="s">
        <v>5988</v>
      </c>
      <c r="N1492" s="18">
        <v>45996.0</v>
      </c>
      <c r="O1492" s="1" t="s">
        <v>5344</v>
      </c>
      <c r="P1492" s="1" t="s">
        <v>3230</v>
      </c>
      <c r="Q1492" s="1" t="s">
        <v>3408</v>
      </c>
    </row>
    <row r="1493">
      <c r="A1493" s="1" t="s">
        <v>5989</v>
      </c>
      <c r="B1493" s="1">
        <v>53.0</v>
      </c>
      <c r="C1493" s="1">
        <v>50.0</v>
      </c>
      <c r="D1493" s="2" t="s">
        <v>581</v>
      </c>
      <c r="E1493" s="1">
        <v>53.0</v>
      </c>
      <c r="F1493" s="1">
        <v>1.0</v>
      </c>
      <c r="G1493" s="1">
        <v>4.5</v>
      </c>
      <c r="H1493" s="1">
        <v>0.0</v>
      </c>
      <c r="I1493" s="1">
        <v>0.0</v>
      </c>
      <c r="J1493" s="1">
        <v>0.0</v>
      </c>
      <c r="K1493" s="1">
        <v>0.05</v>
      </c>
      <c r="L1493" s="1">
        <v>7070000.0</v>
      </c>
      <c r="M1493" s="1" t="s">
        <v>5990</v>
      </c>
      <c r="N1493" s="18">
        <v>45996.0</v>
      </c>
      <c r="O1493" s="1" t="s">
        <v>3854</v>
      </c>
      <c r="P1493" s="1" t="s">
        <v>3257</v>
      </c>
      <c r="Q1493" s="1" t="s">
        <v>3408</v>
      </c>
    </row>
    <row r="1494">
      <c r="A1494" s="1" t="s">
        <v>5991</v>
      </c>
      <c r="B1494" s="1">
        <v>53.0</v>
      </c>
      <c r="C1494" s="1">
        <v>50.0</v>
      </c>
      <c r="D1494" s="2" t="s">
        <v>592</v>
      </c>
      <c r="E1494" s="1">
        <v>53.0</v>
      </c>
      <c r="F1494" s="1">
        <v>0.0</v>
      </c>
      <c r="G1494" s="1">
        <v>10.8</v>
      </c>
      <c r="H1494" s="1">
        <v>0.0</v>
      </c>
      <c r="I1494" s="1">
        <v>0.0</v>
      </c>
      <c r="J1494" s="1">
        <v>0.0</v>
      </c>
      <c r="K1494" s="1">
        <v>0.67</v>
      </c>
      <c r="L1494" s="1">
        <v>170000.0</v>
      </c>
      <c r="M1494" s="1" t="s">
        <v>5992</v>
      </c>
      <c r="N1494" s="18">
        <v>45993.0</v>
      </c>
      <c r="O1494" s="1" t="s">
        <v>3455</v>
      </c>
      <c r="P1494" s="1" t="s">
        <v>3257</v>
      </c>
      <c r="Q1494" s="1" t="s">
        <v>3408</v>
      </c>
    </row>
    <row r="1495">
      <c r="A1495" s="1" t="s">
        <v>4388</v>
      </c>
      <c r="B1495" s="1">
        <v>53.0</v>
      </c>
      <c r="C1495" s="1">
        <v>170.0</v>
      </c>
      <c r="D1495" s="2" t="s">
        <v>913</v>
      </c>
      <c r="E1495" s="1">
        <v>53.0</v>
      </c>
      <c r="F1495" s="1">
        <v>21.0</v>
      </c>
      <c r="G1495" s="1">
        <v>22.12</v>
      </c>
      <c r="H1495" s="1">
        <v>0.0</v>
      </c>
      <c r="I1495" s="1">
        <v>0.0</v>
      </c>
      <c r="J1495" s="1">
        <v>0.0</v>
      </c>
      <c r="K1495" s="1">
        <v>0.17</v>
      </c>
      <c r="L1495" s="1">
        <v>148000.0</v>
      </c>
      <c r="M1495" s="1" t="s">
        <v>4389</v>
      </c>
      <c r="N1495" s="18">
        <v>45991.0</v>
      </c>
      <c r="O1495" s="1" t="s">
        <v>4390</v>
      </c>
      <c r="P1495" s="1" t="s">
        <v>3257</v>
      </c>
      <c r="Q1495" s="1" t="s">
        <v>3408</v>
      </c>
    </row>
    <row r="1496">
      <c r="A1496" s="1" t="s">
        <v>5993</v>
      </c>
      <c r="B1496" s="1">
        <v>53.0</v>
      </c>
      <c r="C1496" s="1">
        <v>70.0</v>
      </c>
      <c r="D1496" s="2" t="s">
        <v>439</v>
      </c>
      <c r="E1496" s="1">
        <v>53.0</v>
      </c>
      <c r="F1496" s="1">
        <v>30.0</v>
      </c>
      <c r="G1496" s="1">
        <v>0.0</v>
      </c>
      <c r="H1496" s="1">
        <v>0.0</v>
      </c>
      <c r="I1496" s="1">
        <v>0.0</v>
      </c>
      <c r="J1496" s="1">
        <v>0.0</v>
      </c>
      <c r="K1496" s="1">
        <v>0.03</v>
      </c>
      <c r="L1496" s="1">
        <v>5750.0</v>
      </c>
      <c r="M1496" s="1" t="s">
        <v>5994</v>
      </c>
      <c r="N1496" s="18">
        <v>45990.0</v>
      </c>
      <c r="O1496" s="1" t="s">
        <v>5023</v>
      </c>
      <c r="P1496" s="1" t="s">
        <v>3294</v>
      </c>
      <c r="Q1496" s="1" t="s">
        <v>3408</v>
      </c>
    </row>
    <row r="1497">
      <c r="A1497" s="1" t="s">
        <v>5995</v>
      </c>
      <c r="B1497" s="1">
        <v>53.0</v>
      </c>
      <c r="C1497" s="1">
        <v>140.0</v>
      </c>
      <c r="D1497" s="2" t="s">
        <v>439</v>
      </c>
      <c r="E1497" s="1">
        <v>53.0</v>
      </c>
      <c r="F1497" s="1">
        <v>21.0</v>
      </c>
      <c r="G1497" s="1">
        <v>4.81</v>
      </c>
      <c r="H1497" s="1">
        <v>0.0</v>
      </c>
      <c r="I1497" s="1">
        <v>0.0</v>
      </c>
      <c r="J1497" s="1">
        <v>0.0</v>
      </c>
      <c r="K1497" s="1">
        <v>0.04</v>
      </c>
      <c r="L1497" s="1">
        <v>45900.0</v>
      </c>
      <c r="M1497" s="1" t="s">
        <v>5996</v>
      </c>
      <c r="N1497" s="18">
        <v>45989.0</v>
      </c>
      <c r="O1497" s="1" t="s">
        <v>3650</v>
      </c>
      <c r="P1497" s="1" t="s">
        <v>3294</v>
      </c>
      <c r="Q1497" s="1" t="s">
        <v>3408</v>
      </c>
    </row>
    <row r="1498">
      <c r="A1498" s="1" t="s">
        <v>5997</v>
      </c>
      <c r="B1498" s="1">
        <v>53.0</v>
      </c>
      <c r="C1498" s="1">
        <v>110.0</v>
      </c>
      <c r="D1498" s="2" t="s">
        <v>1103</v>
      </c>
      <c r="E1498" s="1">
        <v>53.0</v>
      </c>
      <c r="F1498" s="1">
        <v>25.0</v>
      </c>
      <c r="G1498" s="1">
        <v>1.41</v>
      </c>
      <c r="H1498" s="1">
        <v>0.0</v>
      </c>
      <c r="I1498" s="1">
        <v>0.0</v>
      </c>
      <c r="J1498" s="1">
        <v>0.0</v>
      </c>
      <c r="K1498" s="1">
        <v>0.08</v>
      </c>
      <c r="L1498" s="1">
        <v>1.12E7</v>
      </c>
      <c r="M1498" s="1" t="s">
        <v>5998</v>
      </c>
      <c r="N1498" s="18">
        <v>45988.0</v>
      </c>
      <c r="O1498" s="1" t="s">
        <v>5999</v>
      </c>
      <c r="P1498" s="1" t="s">
        <v>3301</v>
      </c>
      <c r="Q1498" s="1" t="s">
        <v>3408</v>
      </c>
    </row>
    <row r="1499">
      <c r="A1499" s="1" t="s">
        <v>6000</v>
      </c>
      <c r="B1499" s="1">
        <v>53.0</v>
      </c>
      <c r="C1499" s="1">
        <v>260.0</v>
      </c>
      <c r="D1499" s="2" t="s">
        <v>772</v>
      </c>
      <c r="E1499" s="1">
        <v>53.0</v>
      </c>
      <c r="F1499" s="1">
        <v>10.0</v>
      </c>
      <c r="G1499" s="1">
        <v>81.59</v>
      </c>
      <c r="H1499" s="1">
        <v>0.0</v>
      </c>
      <c r="I1499" s="1">
        <v>0.0</v>
      </c>
      <c r="J1499" s="1">
        <v>0.0</v>
      </c>
      <c r="K1499" s="1">
        <v>0.02</v>
      </c>
      <c r="L1499" s="1">
        <v>10.0</v>
      </c>
      <c r="M1499" s="1" t="s">
        <v>6001</v>
      </c>
      <c r="N1499" s="18">
        <v>45985.0</v>
      </c>
      <c r="O1499" s="1" t="s">
        <v>3435</v>
      </c>
      <c r="P1499" s="1" t="s">
        <v>3257</v>
      </c>
      <c r="Q1499" s="1" t="s">
        <v>3408</v>
      </c>
    </row>
    <row r="1500">
      <c r="A1500" s="1" t="s">
        <v>6002</v>
      </c>
      <c r="B1500" s="1">
        <v>53.0</v>
      </c>
      <c r="C1500" s="1">
        <v>1600.0</v>
      </c>
      <c r="D1500" s="2" t="s">
        <v>754</v>
      </c>
      <c r="E1500" s="1">
        <v>53.0</v>
      </c>
      <c r="F1500" s="1">
        <v>9.0</v>
      </c>
      <c r="G1500" s="1">
        <v>50.62</v>
      </c>
      <c r="H1500" s="1">
        <v>0.0</v>
      </c>
      <c r="I1500" s="1">
        <v>0.0</v>
      </c>
      <c r="J1500" s="1">
        <v>0.0</v>
      </c>
      <c r="K1500" s="1">
        <v>0.13</v>
      </c>
      <c r="L1500" s="1">
        <v>9.0</v>
      </c>
      <c r="M1500" s="1" t="s">
        <v>6003</v>
      </c>
      <c r="N1500" s="18">
        <v>45985.0</v>
      </c>
      <c r="O1500" s="1" t="s">
        <v>6004</v>
      </c>
      <c r="P1500" s="1" t="s">
        <v>3230</v>
      </c>
      <c r="Q1500" s="1" t="s">
        <v>3408</v>
      </c>
    </row>
    <row r="1501">
      <c r="A1501" s="1" t="s">
        <v>6005</v>
      </c>
      <c r="B1501" s="1">
        <v>53.0</v>
      </c>
      <c r="C1501" s="1">
        <v>110.0</v>
      </c>
      <c r="D1501" s="2" t="s">
        <v>2416</v>
      </c>
      <c r="E1501" s="1">
        <v>53.0</v>
      </c>
      <c r="F1501" s="1">
        <v>9.0</v>
      </c>
      <c r="G1501" s="1">
        <v>0.0</v>
      </c>
      <c r="H1501" s="1">
        <v>0.0</v>
      </c>
      <c r="I1501" s="1">
        <v>0.0</v>
      </c>
      <c r="J1501" s="1">
        <v>0.0</v>
      </c>
      <c r="K1501" s="1">
        <v>0.0</v>
      </c>
      <c r="L1501" s="1">
        <v>10.0</v>
      </c>
      <c r="M1501" s="1" t="s">
        <v>6006</v>
      </c>
      <c r="N1501" s="18">
        <v>45978.0</v>
      </c>
      <c r="O1501" s="1" t="s">
        <v>3314</v>
      </c>
      <c r="P1501" s="1" t="s">
        <v>3230</v>
      </c>
      <c r="Q1501" s="1" t="s">
        <v>3408</v>
      </c>
    </row>
    <row r="1502">
      <c r="A1502" s="1" t="s">
        <v>6007</v>
      </c>
      <c r="B1502" s="1">
        <v>53.0</v>
      </c>
      <c r="C1502" s="1">
        <v>70.0</v>
      </c>
      <c r="D1502" s="2" t="s">
        <v>2253</v>
      </c>
      <c r="E1502" s="1">
        <v>53.0</v>
      </c>
      <c r="F1502" s="1">
        <v>28.0</v>
      </c>
      <c r="G1502" s="1">
        <v>0.0</v>
      </c>
      <c r="H1502" s="1">
        <v>0.0</v>
      </c>
      <c r="I1502" s="1">
        <v>0.0</v>
      </c>
      <c r="J1502" s="1">
        <v>0.0</v>
      </c>
      <c r="K1502" s="1">
        <v>0.0</v>
      </c>
      <c r="L1502" s="1">
        <v>2.93E8</v>
      </c>
      <c r="M1502" s="1" t="s">
        <v>6008</v>
      </c>
      <c r="N1502" s="18">
        <v>45965.0</v>
      </c>
      <c r="O1502" s="1" t="s">
        <v>6009</v>
      </c>
      <c r="P1502" s="1" t="s">
        <v>3257</v>
      </c>
      <c r="Q1502" s="1" t="s">
        <v>3408</v>
      </c>
    </row>
    <row r="1503">
      <c r="A1503" s="1" t="s">
        <v>6010</v>
      </c>
      <c r="B1503" s="1">
        <v>54.0</v>
      </c>
      <c r="C1503" s="1">
        <v>70.0</v>
      </c>
      <c r="D1503" s="2" t="s">
        <v>798</v>
      </c>
      <c r="E1503" s="1">
        <v>0.0</v>
      </c>
      <c r="F1503" s="1">
        <v>20.0</v>
      </c>
      <c r="G1503" s="1">
        <v>0.0</v>
      </c>
      <c r="H1503" s="1">
        <v>0.0</v>
      </c>
      <c r="I1503" s="1">
        <v>0.0</v>
      </c>
      <c r="J1503" s="1">
        <v>0.0</v>
      </c>
      <c r="K1503" s="1">
        <v>0.33</v>
      </c>
      <c r="L1503" s="1">
        <v>138000.0</v>
      </c>
      <c r="M1503" s="1" t="s">
        <v>6011</v>
      </c>
      <c r="N1503" s="18">
        <v>46042.0</v>
      </c>
      <c r="O1503" s="1" t="s">
        <v>3375</v>
      </c>
      <c r="P1503" s="1" t="s">
        <v>3230</v>
      </c>
      <c r="Q1503" s="1" t="s">
        <v>3408</v>
      </c>
    </row>
    <row r="1504">
      <c r="A1504" s="1" t="s">
        <v>6012</v>
      </c>
      <c r="B1504" s="1">
        <v>54.0</v>
      </c>
      <c r="C1504" s="1">
        <v>50.0</v>
      </c>
      <c r="D1504" s="2" t="s">
        <v>439</v>
      </c>
      <c r="E1504" s="1">
        <v>0.0</v>
      </c>
      <c r="F1504" s="1">
        <v>12.0</v>
      </c>
      <c r="G1504" s="1">
        <v>0.0</v>
      </c>
      <c r="H1504" s="1">
        <v>0.0</v>
      </c>
      <c r="I1504" s="1">
        <v>0.0</v>
      </c>
      <c r="J1504" s="1">
        <v>0.0</v>
      </c>
      <c r="K1504" s="1">
        <v>0.05</v>
      </c>
      <c r="L1504" s="1">
        <v>45800.0</v>
      </c>
      <c r="M1504" s="1" t="s">
        <v>6013</v>
      </c>
      <c r="N1504" s="18">
        <v>46042.0</v>
      </c>
      <c r="O1504" s="1" t="s">
        <v>6014</v>
      </c>
      <c r="P1504" s="1" t="s">
        <v>3230</v>
      </c>
      <c r="Q1504" s="1" t="s">
        <v>3408</v>
      </c>
    </row>
    <row r="1505">
      <c r="A1505" s="1" t="s">
        <v>6015</v>
      </c>
      <c r="B1505" s="1">
        <v>54.0</v>
      </c>
      <c r="C1505" s="1">
        <v>70.0</v>
      </c>
      <c r="D1505" s="2" t="s">
        <v>979</v>
      </c>
      <c r="E1505" s="1">
        <v>54.0</v>
      </c>
      <c r="F1505" s="1">
        <v>14.0</v>
      </c>
      <c r="G1505" s="1">
        <v>1.28</v>
      </c>
      <c r="H1505" s="1">
        <v>0.0</v>
      </c>
      <c r="I1505" s="1">
        <v>0.0</v>
      </c>
      <c r="J1505" s="1">
        <v>0.0</v>
      </c>
      <c r="K1505" s="1">
        <v>0.06</v>
      </c>
      <c r="L1505" s="1">
        <v>810000.0</v>
      </c>
      <c r="M1505" s="1" t="s">
        <v>6016</v>
      </c>
      <c r="N1505" s="18">
        <v>46038.0</v>
      </c>
      <c r="O1505" s="1" t="s">
        <v>4709</v>
      </c>
      <c r="P1505" s="1" t="s">
        <v>3230</v>
      </c>
      <c r="Q1505" s="1" t="s">
        <v>3408</v>
      </c>
    </row>
    <row r="1506">
      <c r="A1506" s="1" t="s">
        <v>6017</v>
      </c>
      <c r="B1506" s="1">
        <v>54.0</v>
      </c>
      <c r="C1506" s="1">
        <v>170.0</v>
      </c>
      <c r="D1506" s="2" t="s">
        <v>581</v>
      </c>
      <c r="E1506" s="1">
        <v>54.0</v>
      </c>
      <c r="F1506" s="1">
        <v>30.0</v>
      </c>
      <c r="G1506" s="1">
        <v>5.92</v>
      </c>
      <c r="H1506" s="1">
        <v>0.0</v>
      </c>
      <c r="I1506" s="1">
        <v>0.0</v>
      </c>
      <c r="J1506" s="1">
        <v>0.0</v>
      </c>
      <c r="K1506" s="1">
        <v>0.37</v>
      </c>
      <c r="L1506" s="1">
        <v>106000.0</v>
      </c>
      <c r="M1506" s="1" t="s">
        <v>6018</v>
      </c>
      <c r="N1506" s="18">
        <v>46035.0</v>
      </c>
      <c r="O1506" s="1" t="s">
        <v>3650</v>
      </c>
      <c r="P1506" s="1" t="s">
        <v>4538</v>
      </c>
      <c r="Q1506" s="1" t="s">
        <v>3408</v>
      </c>
    </row>
    <row r="1507">
      <c r="A1507" s="1" t="s">
        <v>6019</v>
      </c>
      <c r="B1507" s="1">
        <v>54.0</v>
      </c>
      <c r="C1507" s="1">
        <v>140.0</v>
      </c>
      <c r="D1507" s="2" t="s">
        <v>439</v>
      </c>
      <c r="E1507" s="1">
        <v>54.0</v>
      </c>
      <c r="F1507" s="1">
        <v>22.0</v>
      </c>
      <c r="G1507" s="1">
        <v>2.83</v>
      </c>
      <c r="H1507" s="1">
        <v>0.0</v>
      </c>
      <c r="I1507" s="1">
        <v>0.0</v>
      </c>
      <c r="J1507" s="1">
        <v>0.0</v>
      </c>
      <c r="K1507" s="1">
        <v>0.05</v>
      </c>
      <c r="L1507" s="1">
        <v>16900.0</v>
      </c>
      <c r="M1507" s="1" t="s">
        <v>6020</v>
      </c>
      <c r="N1507" s="18">
        <v>46035.0</v>
      </c>
      <c r="O1507" s="1" t="s">
        <v>3821</v>
      </c>
      <c r="P1507" s="1" t="s">
        <v>3301</v>
      </c>
      <c r="Q1507" s="1" t="s">
        <v>3408</v>
      </c>
    </row>
    <row r="1508">
      <c r="A1508" s="1" t="s">
        <v>6021</v>
      </c>
      <c r="B1508" s="1">
        <v>54.0</v>
      </c>
      <c r="C1508" s="1">
        <v>30.0</v>
      </c>
      <c r="D1508" s="2" t="s">
        <v>439</v>
      </c>
      <c r="E1508" s="1">
        <v>54.0</v>
      </c>
      <c r="F1508" s="1">
        <v>15.0</v>
      </c>
      <c r="G1508" s="1">
        <v>2.43</v>
      </c>
      <c r="H1508" s="1">
        <v>0.0</v>
      </c>
      <c r="I1508" s="1">
        <v>0.0</v>
      </c>
      <c r="J1508" s="1">
        <v>0.0</v>
      </c>
      <c r="K1508" s="1">
        <v>0.06</v>
      </c>
      <c r="L1508" s="1">
        <v>86800.0</v>
      </c>
      <c r="M1508" s="1" t="s">
        <v>4770</v>
      </c>
      <c r="N1508" s="18">
        <v>46030.0</v>
      </c>
      <c r="O1508" s="1" t="s">
        <v>4709</v>
      </c>
      <c r="P1508" s="1" t="s">
        <v>3294</v>
      </c>
      <c r="Q1508" s="1" t="s">
        <v>3408</v>
      </c>
    </row>
    <row r="1509">
      <c r="A1509" s="1" t="s">
        <v>6022</v>
      </c>
      <c r="B1509" s="1">
        <v>54.0</v>
      </c>
      <c r="C1509" s="1">
        <v>720.0</v>
      </c>
      <c r="D1509" s="2" t="s">
        <v>2416</v>
      </c>
      <c r="E1509" s="1">
        <v>54.0</v>
      </c>
      <c r="F1509" s="1">
        <v>47.0</v>
      </c>
      <c r="G1509" s="1">
        <v>0.0</v>
      </c>
      <c r="H1509" s="1">
        <v>0.0</v>
      </c>
      <c r="I1509" s="1">
        <v>0.0</v>
      </c>
      <c r="J1509" s="1">
        <v>0.0</v>
      </c>
      <c r="K1509" s="1">
        <v>0.0</v>
      </c>
      <c r="L1509" s="1">
        <v>1.96E7</v>
      </c>
      <c r="M1509" s="1" t="s">
        <v>6023</v>
      </c>
      <c r="N1509" s="18">
        <v>46029.0</v>
      </c>
      <c r="O1509" s="1" t="s">
        <v>3264</v>
      </c>
      <c r="P1509" s="1" t="s">
        <v>3230</v>
      </c>
      <c r="Q1509" s="1" t="s">
        <v>3408</v>
      </c>
    </row>
    <row r="1510">
      <c r="A1510" s="1" t="s">
        <v>6024</v>
      </c>
      <c r="B1510" s="1">
        <v>54.0</v>
      </c>
      <c r="C1510" s="1">
        <v>210.0</v>
      </c>
      <c r="D1510" s="2" t="s">
        <v>833</v>
      </c>
      <c r="E1510" s="1">
        <v>54.0</v>
      </c>
      <c r="F1510" s="1">
        <v>11.0</v>
      </c>
      <c r="G1510" s="1">
        <v>13.96</v>
      </c>
      <c r="H1510" s="1">
        <v>0.0</v>
      </c>
      <c r="I1510" s="1">
        <v>0.0</v>
      </c>
      <c r="J1510" s="1">
        <v>0.0</v>
      </c>
      <c r="K1510" s="1">
        <v>0.15</v>
      </c>
      <c r="L1510" s="1">
        <v>6130000.0</v>
      </c>
      <c r="M1510" s="1" t="s">
        <v>6025</v>
      </c>
      <c r="N1510" s="18">
        <v>46028.0</v>
      </c>
      <c r="O1510" s="1" t="s">
        <v>4646</v>
      </c>
      <c r="P1510" s="1" t="s">
        <v>3334</v>
      </c>
      <c r="Q1510" s="1" t="s">
        <v>3408</v>
      </c>
    </row>
    <row r="1511">
      <c r="A1511" s="1" t="s">
        <v>6026</v>
      </c>
      <c r="B1511" s="1">
        <v>54.0</v>
      </c>
      <c r="C1511" s="1">
        <v>40.0</v>
      </c>
      <c r="D1511" s="2" t="s">
        <v>716</v>
      </c>
      <c r="E1511" s="1">
        <v>54.0</v>
      </c>
      <c r="F1511" s="1">
        <v>4.0</v>
      </c>
      <c r="G1511" s="1">
        <v>66.01</v>
      </c>
      <c r="H1511" s="1">
        <v>0.0</v>
      </c>
      <c r="I1511" s="1">
        <v>0.0</v>
      </c>
      <c r="J1511" s="1">
        <v>0.0</v>
      </c>
      <c r="K1511" s="1">
        <v>0.35</v>
      </c>
      <c r="L1511" s="1">
        <v>692000.0</v>
      </c>
      <c r="M1511" s="1" t="s">
        <v>6027</v>
      </c>
      <c r="N1511" s="18">
        <v>46026.0</v>
      </c>
      <c r="O1511" s="1" t="s">
        <v>3432</v>
      </c>
      <c r="P1511" s="1" t="s">
        <v>3257</v>
      </c>
      <c r="Q1511" s="1" t="s">
        <v>3408</v>
      </c>
    </row>
    <row r="1512">
      <c r="A1512" s="1" t="s">
        <v>3422</v>
      </c>
      <c r="B1512" s="1">
        <v>54.0</v>
      </c>
      <c r="C1512" s="1">
        <v>70.0</v>
      </c>
      <c r="D1512" s="2" t="s">
        <v>2932</v>
      </c>
      <c r="E1512" s="1">
        <v>54.0</v>
      </c>
      <c r="F1512" s="1">
        <v>3.0</v>
      </c>
      <c r="G1512" s="1">
        <v>0.0</v>
      </c>
      <c r="H1512" s="1">
        <v>0.0</v>
      </c>
      <c r="I1512" s="1">
        <v>0.0</v>
      </c>
      <c r="J1512" s="1">
        <v>0.0</v>
      </c>
      <c r="K1512" s="1">
        <v>0.0</v>
      </c>
      <c r="L1512" s="1">
        <v>4.76E8</v>
      </c>
      <c r="M1512" s="1" t="s">
        <v>3423</v>
      </c>
      <c r="N1512" s="18">
        <v>46022.0</v>
      </c>
      <c r="O1512" s="1" t="s">
        <v>3424</v>
      </c>
      <c r="P1512" s="1" t="s">
        <v>3257</v>
      </c>
      <c r="Q1512" s="1" t="s">
        <v>3408</v>
      </c>
    </row>
    <row r="1513">
      <c r="A1513" s="1" t="s">
        <v>6028</v>
      </c>
      <c r="B1513" s="1">
        <v>54.0</v>
      </c>
      <c r="C1513" s="1">
        <v>50.0</v>
      </c>
      <c r="D1513" s="2" t="s">
        <v>800</v>
      </c>
      <c r="E1513" s="1">
        <v>54.0</v>
      </c>
      <c r="G1513" s="1">
        <v>0.0</v>
      </c>
      <c r="H1513" s="1">
        <v>0.0</v>
      </c>
      <c r="I1513" s="1">
        <v>0.0</v>
      </c>
      <c r="J1513" s="1">
        <v>0.0</v>
      </c>
      <c r="K1513" s="1">
        <v>0.0</v>
      </c>
      <c r="L1513" s="1">
        <v>1120000.0</v>
      </c>
      <c r="M1513" s="1" t="s">
        <v>6029</v>
      </c>
      <c r="N1513" s="18">
        <v>46021.0</v>
      </c>
      <c r="O1513" s="1" t="s">
        <v>6030</v>
      </c>
      <c r="P1513" s="1" t="s">
        <v>3334</v>
      </c>
      <c r="Q1513" s="1" t="s">
        <v>3408</v>
      </c>
    </row>
    <row r="1514">
      <c r="A1514" s="1" t="s">
        <v>6031</v>
      </c>
      <c r="B1514" s="1">
        <v>54.0</v>
      </c>
      <c r="C1514" s="1">
        <v>1000.0</v>
      </c>
      <c r="D1514" s="2" t="s">
        <v>1099</v>
      </c>
      <c r="E1514" s="1">
        <v>54.0</v>
      </c>
      <c r="F1514" s="1">
        <v>9.0</v>
      </c>
      <c r="G1514" s="1">
        <v>2.48</v>
      </c>
      <c r="H1514" s="1">
        <v>0.0</v>
      </c>
      <c r="I1514" s="1">
        <v>0.0</v>
      </c>
      <c r="J1514" s="1">
        <v>0.0</v>
      </c>
      <c r="K1514" s="1">
        <v>0.08</v>
      </c>
      <c r="L1514" s="1">
        <v>552000.0</v>
      </c>
      <c r="M1514" s="1" t="s">
        <v>6032</v>
      </c>
      <c r="N1514" s="18">
        <v>46019.0</v>
      </c>
      <c r="O1514" s="1" t="s">
        <v>3496</v>
      </c>
      <c r="P1514" s="1" t="s">
        <v>3230</v>
      </c>
      <c r="Q1514" s="1" t="s">
        <v>3408</v>
      </c>
    </row>
    <row r="1515">
      <c r="A1515" s="1" t="s">
        <v>6033</v>
      </c>
      <c r="B1515" s="1">
        <v>54.0</v>
      </c>
      <c r="C1515" s="1">
        <v>40.0</v>
      </c>
      <c r="D1515" s="2" t="s">
        <v>768</v>
      </c>
      <c r="E1515" s="1">
        <v>54.0</v>
      </c>
      <c r="F1515" s="1">
        <v>6.0</v>
      </c>
      <c r="G1515" s="1">
        <v>0.0</v>
      </c>
      <c r="H1515" s="1">
        <v>0.0</v>
      </c>
      <c r="I1515" s="1">
        <v>0.0</v>
      </c>
      <c r="J1515" s="1">
        <v>0.0</v>
      </c>
      <c r="K1515" s="1">
        <v>0.03</v>
      </c>
      <c r="L1515" s="1">
        <v>273000.0</v>
      </c>
      <c r="M1515" s="1" t="s">
        <v>6034</v>
      </c>
      <c r="N1515" s="18">
        <v>46018.0</v>
      </c>
      <c r="O1515" s="1" t="s">
        <v>3264</v>
      </c>
      <c r="P1515" s="1" t="s">
        <v>3230</v>
      </c>
      <c r="Q1515" s="1" t="s">
        <v>3408</v>
      </c>
    </row>
    <row r="1516">
      <c r="A1516" s="1" t="s">
        <v>6035</v>
      </c>
      <c r="B1516" s="1">
        <v>54.0</v>
      </c>
      <c r="C1516" s="1">
        <v>50.0</v>
      </c>
      <c r="D1516" s="2" t="s">
        <v>1868</v>
      </c>
      <c r="E1516" s="1">
        <v>54.0</v>
      </c>
      <c r="F1516" s="1">
        <v>37.0</v>
      </c>
      <c r="G1516" s="1">
        <v>0.0</v>
      </c>
      <c r="H1516" s="1">
        <v>0.0</v>
      </c>
      <c r="I1516" s="1">
        <v>0.0</v>
      </c>
      <c r="J1516" s="1">
        <v>0.0</v>
      </c>
      <c r="K1516" s="1">
        <v>0.33</v>
      </c>
      <c r="L1516" s="1">
        <v>4.13E8</v>
      </c>
      <c r="M1516" s="1" t="s">
        <v>6036</v>
      </c>
      <c r="N1516" s="18">
        <v>46016.0</v>
      </c>
      <c r="O1516" s="1" t="s">
        <v>4663</v>
      </c>
      <c r="P1516" s="1" t="s">
        <v>3230</v>
      </c>
      <c r="Q1516" s="1" t="s">
        <v>3408</v>
      </c>
    </row>
    <row r="1517">
      <c r="A1517" s="1" t="s">
        <v>6037</v>
      </c>
      <c r="B1517" s="1">
        <v>54.0</v>
      </c>
      <c r="C1517" s="1">
        <v>170.0</v>
      </c>
      <c r="D1517" s="2" t="s">
        <v>1868</v>
      </c>
      <c r="E1517" s="1">
        <v>54.0</v>
      </c>
      <c r="F1517" s="1">
        <v>58.0</v>
      </c>
      <c r="G1517" s="1">
        <v>0.0</v>
      </c>
      <c r="H1517" s="1">
        <v>0.0</v>
      </c>
      <c r="I1517" s="1">
        <v>0.0</v>
      </c>
      <c r="J1517" s="1">
        <v>0.0</v>
      </c>
      <c r="K1517" s="1">
        <v>0.0</v>
      </c>
      <c r="L1517" s="1">
        <v>4.15E8</v>
      </c>
      <c r="M1517" s="1" t="s">
        <v>6038</v>
      </c>
      <c r="N1517" s="18">
        <v>46016.0</v>
      </c>
      <c r="O1517" s="1" t="s">
        <v>5650</v>
      </c>
      <c r="P1517" s="1" t="s">
        <v>3230</v>
      </c>
      <c r="Q1517" s="1" t="s">
        <v>3408</v>
      </c>
    </row>
    <row r="1518">
      <c r="A1518" s="1" t="s">
        <v>3896</v>
      </c>
      <c r="B1518" s="1">
        <v>54.0</v>
      </c>
      <c r="C1518" s="1">
        <v>110.0</v>
      </c>
      <c r="D1518" s="2" t="s">
        <v>1691</v>
      </c>
      <c r="E1518" s="1">
        <v>54.0</v>
      </c>
      <c r="F1518" s="1">
        <v>21.0</v>
      </c>
      <c r="G1518" s="1">
        <v>11.16</v>
      </c>
      <c r="H1518" s="1">
        <v>0.0</v>
      </c>
      <c r="I1518" s="1">
        <v>0.0</v>
      </c>
      <c r="J1518" s="1">
        <v>0.0</v>
      </c>
      <c r="K1518" s="1">
        <v>0.2</v>
      </c>
      <c r="L1518" s="1">
        <v>114000.0</v>
      </c>
      <c r="M1518" s="1" t="s">
        <v>3897</v>
      </c>
      <c r="N1518" s="18">
        <v>46016.0</v>
      </c>
      <c r="O1518" s="1" t="s">
        <v>3673</v>
      </c>
      <c r="P1518" s="1" t="s">
        <v>3257</v>
      </c>
      <c r="Q1518" s="1" t="s">
        <v>3408</v>
      </c>
    </row>
    <row r="1519">
      <c r="A1519" s="1" t="s">
        <v>6039</v>
      </c>
      <c r="B1519" s="1">
        <v>54.0</v>
      </c>
      <c r="C1519" s="1">
        <v>50.0</v>
      </c>
      <c r="D1519" s="2" t="s">
        <v>600</v>
      </c>
      <c r="E1519" s="1">
        <v>54.0</v>
      </c>
      <c r="F1519" s="1">
        <v>10.0</v>
      </c>
      <c r="G1519" s="1">
        <v>10.11</v>
      </c>
      <c r="H1519" s="1">
        <v>0.0</v>
      </c>
      <c r="I1519" s="1">
        <v>0.0</v>
      </c>
      <c r="J1519" s="1">
        <v>0.0</v>
      </c>
      <c r="K1519" s="1">
        <v>0.05</v>
      </c>
      <c r="L1519" s="1">
        <v>3810000.0</v>
      </c>
      <c r="M1519" s="1" t="s">
        <v>6040</v>
      </c>
      <c r="N1519" s="18">
        <v>46015.0</v>
      </c>
      <c r="O1519" s="1" t="s">
        <v>3854</v>
      </c>
      <c r="P1519" s="1" t="s">
        <v>3257</v>
      </c>
      <c r="Q1519" s="1" t="s">
        <v>3408</v>
      </c>
    </row>
    <row r="1520">
      <c r="A1520" s="1" t="s">
        <v>6041</v>
      </c>
      <c r="B1520" s="1">
        <v>54.0</v>
      </c>
      <c r="C1520" s="1">
        <v>320.0</v>
      </c>
      <c r="D1520" s="2" t="s">
        <v>2364</v>
      </c>
      <c r="E1520" s="1">
        <v>54.0</v>
      </c>
      <c r="F1520" s="1">
        <v>10.0</v>
      </c>
      <c r="G1520" s="1">
        <v>5.52</v>
      </c>
      <c r="H1520" s="1">
        <v>0.0</v>
      </c>
      <c r="I1520" s="1">
        <v>0.0</v>
      </c>
      <c r="J1520" s="1">
        <v>0.0</v>
      </c>
      <c r="K1520" s="1">
        <v>0.03</v>
      </c>
      <c r="L1520" s="1">
        <v>6760000.0</v>
      </c>
      <c r="M1520" s="1" t="s">
        <v>6042</v>
      </c>
      <c r="N1520" s="18">
        <v>46013.0</v>
      </c>
      <c r="O1520" s="1" t="s">
        <v>3242</v>
      </c>
      <c r="P1520" s="1" t="s">
        <v>3230</v>
      </c>
      <c r="Q1520" s="1" t="s">
        <v>3408</v>
      </c>
    </row>
    <row r="1521">
      <c r="A1521" s="1" t="s">
        <v>6043</v>
      </c>
      <c r="B1521" s="1">
        <v>54.0</v>
      </c>
      <c r="C1521" s="1">
        <v>70.0</v>
      </c>
      <c r="D1521" s="2" t="s">
        <v>2048</v>
      </c>
      <c r="E1521" s="1">
        <v>54.0</v>
      </c>
      <c r="F1521" s="1">
        <v>8.0</v>
      </c>
      <c r="G1521" s="1">
        <v>0.0</v>
      </c>
      <c r="H1521" s="1">
        <v>0.0</v>
      </c>
      <c r="I1521" s="1">
        <v>0.0</v>
      </c>
      <c r="J1521" s="1">
        <v>0.0</v>
      </c>
      <c r="K1521" s="1">
        <v>0.0</v>
      </c>
      <c r="L1521" s="1">
        <v>3.78E7</v>
      </c>
      <c r="M1521" s="1" t="s">
        <v>6044</v>
      </c>
      <c r="N1521" s="18">
        <v>46012.0</v>
      </c>
      <c r="O1521" s="1" t="s">
        <v>5986</v>
      </c>
      <c r="P1521" s="1" t="s">
        <v>3230</v>
      </c>
      <c r="Q1521" s="1" t="s">
        <v>3408</v>
      </c>
    </row>
    <row r="1522">
      <c r="A1522" s="1" t="s">
        <v>6045</v>
      </c>
      <c r="B1522" s="1">
        <v>54.0</v>
      </c>
      <c r="C1522" s="1">
        <v>50.0</v>
      </c>
      <c r="D1522" s="2" t="s">
        <v>1307</v>
      </c>
      <c r="E1522" s="1">
        <v>54.0</v>
      </c>
      <c r="F1522" s="1">
        <v>4.0</v>
      </c>
      <c r="G1522" s="1">
        <v>4.39</v>
      </c>
      <c r="H1522" s="1">
        <v>0.0</v>
      </c>
      <c r="I1522" s="1">
        <v>0.0</v>
      </c>
      <c r="J1522" s="1">
        <v>0.0</v>
      </c>
      <c r="K1522" s="1">
        <v>0.97</v>
      </c>
      <c r="L1522" s="1">
        <v>55800.0</v>
      </c>
      <c r="M1522" s="1" t="s">
        <v>6046</v>
      </c>
      <c r="N1522" s="18">
        <v>46011.0</v>
      </c>
      <c r="O1522" s="1" t="s">
        <v>3435</v>
      </c>
      <c r="P1522" s="1" t="s">
        <v>3257</v>
      </c>
      <c r="Q1522" s="1" t="s">
        <v>3408</v>
      </c>
    </row>
    <row r="1523">
      <c r="A1523" s="1" t="s">
        <v>4488</v>
      </c>
      <c r="B1523" s="1">
        <v>54.0</v>
      </c>
      <c r="C1523" s="1">
        <v>50.0</v>
      </c>
      <c r="D1523" s="2" t="s">
        <v>439</v>
      </c>
      <c r="E1523" s="1">
        <v>54.0</v>
      </c>
      <c r="F1523" s="1">
        <v>15.0</v>
      </c>
      <c r="G1523" s="1">
        <v>28.38</v>
      </c>
      <c r="H1523" s="1">
        <v>0.0</v>
      </c>
      <c r="I1523" s="1">
        <v>0.0</v>
      </c>
      <c r="J1523" s="1">
        <v>0.0</v>
      </c>
      <c r="K1523" s="1">
        <v>0.04</v>
      </c>
      <c r="L1523" s="1">
        <v>2710000.0</v>
      </c>
      <c r="M1523" s="1" t="s">
        <v>4489</v>
      </c>
      <c r="N1523" s="18">
        <v>46010.0</v>
      </c>
      <c r="O1523" s="1" t="s">
        <v>4490</v>
      </c>
      <c r="P1523" s="1" t="s">
        <v>3294</v>
      </c>
      <c r="Q1523" s="1" t="s">
        <v>3408</v>
      </c>
    </row>
    <row r="1524">
      <c r="A1524" s="1" t="s">
        <v>6047</v>
      </c>
      <c r="B1524" s="1">
        <v>54.0</v>
      </c>
      <c r="C1524" s="1">
        <v>70.0</v>
      </c>
      <c r="D1524" s="2" t="s">
        <v>588</v>
      </c>
      <c r="E1524" s="1">
        <v>54.0</v>
      </c>
      <c r="F1524" s="1">
        <v>34.0</v>
      </c>
      <c r="G1524" s="1">
        <v>16.4</v>
      </c>
      <c r="H1524" s="1">
        <v>0.0</v>
      </c>
      <c r="I1524" s="1">
        <v>0.0</v>
      </c>
      <c r="J1524" s="1">
        <v>0.0</v>
      </c>
      <c r="K1524" s="1">
        <v>0.59</v>
      </c>
      <c r="L1524" s="1">
        <v>839000.0</v>
      </c>
      <c r="M1524" s="1" t="s">
        <v>6048</v>
      </c>
      <c r="N1524" s="18">
        <v>46010.0</v>
      </c>
      <c r="O1524" s="1" t="s">
        <v>4983</v>
      </c>
      <c r="P1524" s="1" t="s">
        <v>3257</v>
      </c>
      <c r="Q1524" s="1" t="s">
        <v>3408</v>
      </c>
    </row>
    <row r="1525">
      <c r="A1525" s="1" t="s">
        <v>3711</v>
      </c>
      <c r="B1525" s="1">
        <v>54.0</v>
      </c>
      <c r="C1525" s="1">
        <v>70.0</v>
      </c>
      <c r="D1525" s="2" t="s">
        <v>475</v>
      </c>
      <c r="E1525" s="1">
        <v>54.0</v>
      </c>
      <c r="F1525" s="1">
        <v>9.0</v>
      </c>
      <c r="G1525" s="1">
        <v>0.0</v>
      </c>
      <c r="H1525" s="1">
        <v>0.0</v>
      </c>
      <c r="I1525" s="1">
        <v>0.0</v>
      </c>
      <c r="J1525" s="1">
        <v>0.0</v>
      </c>
      <c r="K1525" s="1">
        <v>0.0</v>
      </c>
      <c r="L1525" s="1">
        <v>139000.0</v>
      </c>
      <c r="M1525" s="1" t="s">
        <v>3712</v>
      </c>
      <c r="N1525" s="18">
        <v>46009.0</v>
      </c>
      <c r="O1525" s="1" t="s">
        <v>3713</v>
      </c>
      <c r="P1525" s="1" t="s">
        <v>3257</v>
      </c>
      <c r="Q1525" s="1" t="s">
        <v>3408</v>
      </c>
    </row>
    <row r="1526">
      <c r="A1526" s="1" t="s">
        <v>6049</v>
      </c>
      <c r="B1526" s="1">
        <v>54.0</v>
      </c>
      <c r="C1526" s="1">
        <v>30.0</v>
      </c>
      <c r="D1526" s="2" t="s">
        <v>1481</v>
      </c>
      <c r="E1526" s="1">
        <v>54.0</v>
      </c>
      <c r="F1526" s="1">
        <v>1.0</v>
      </c>
      <c r="G1526" s="1">
        <v>5.59</v>
      </c>
      <c r="H1526" s="1">
        <v>0.0</v>
      </c>
      <c r="I1526" s="1">
        <v>0.0</v>
      </c>
      <c r="J1526" s="1">
        <v>0.0</v>
      </c>
      <c r="K1526" s="1">
        <v>0.18</v>
      </c>
      <c r="L1526" s="1">
        <v>1640000.0</v>
      </c>
      <c r="M1526" s="1" t="s">
        <v>6050</v>
      </c>
      <c r="N1526" s="18">
        <v>46007.0</v>
      </c>
      <c r="O1526" s="1" t="s">
        <v>3479</v>
      </c>
      <c r="P1526" s="1" t="s">
        <v>3230</v>
      </c>
      <c r="Q1526" s="1" t="s">
        <v>3408</v>
      </c>
    </row>
    <row r="1527">
      <c r="A1527" s="1" t="s">
        <v>6051</v>
      </c>
      <c r="B1527" s="1">
        <v>54.0</v>
      </c>
      <c r="C1527" s="1">
        <v>50.0</v>
      </c>
      <c r="D1527" s="2" t="s">
        <v>581</v>
      </c>
      <c r="E1527" s="1">
        <v>54.0</v>
      </c>
      <c r="F1527" s="1">
        <v>36.0</v>
      </c>
      <c r="G1527" s="1">
        <v>16.88</v>
      </c>
      <c r="H1527" s="1">
        <v>0.0</v>
      </c>
      <c r="I1527" s="1">
        <v>0.0</v>
      </c>
      <c r="J1527" s="1">
        <v>0.0</v>
      </c>
      <c r="K1527" s="1">
        <v>0.54</v>
      </c>
      <c r="L1527" s="1">
        <v>5200000.0</v>
      </c>
      <c r="M1527" s="1" t="s">
        <v>6052</v>
      </c>
      <c r="N1527" s="18">
        <v>46003.0</v>
      </c>
      <c r="O1527" s="1" t="s">
        <v>3435</v>
      </c>
      <c r="P1527" s="1" t="s">
        <v>3257</v>
      </c>
      <c r="Q1527" s="1" t="s">
        <v>3408</v>
      </c>
    </row>
    <row r="1528">
      <c r="A1528" s="1" t="s">
        <v>6053</v>
      </c>
      <c r="B1528" s="1">
        <v>54.0</v>
      </c>
      <c r="C1528" s="1">
        <v>70.0</v>
      </c>
      <c r="D1528" s="2" t="s">
        <v>581</v>
      </c>
      <c r="E1528" s="1">
        <v>54.0</v>
      </c>
      <c r="F1528" s="1">
        <v>1.0</v>
      </c>
      <c r="G1528" s="1">
        <v>4.26</v>
      </c>
      <c r="H1528" s="1">
        <v>0.0</v>
      </c>
      <c r="I1528" s="1">
        <v>0.0</v>
      </c>
      <c r="J1528" s="1">
        <v>0.0</v>
      </c>
      <c r="K1528" s="1">
        <v>0.08</v>
      </c>
      <c r="L1528" s="1">
        <v>5710000.0</v>
      </c>
      <c r="M1528" s="1" t="s">
        <v>5914</v>
      </c>
      <c r="N1528" s="18">
        <v>46000.0</v>
      </c>
      <c r="O1528" s="1" t="s">
        <v>6054</v>
      </c>
      <c r="P1528" s="1" t="s">
        <v>3230</v>
      </c>
      <c r="Q1528" s="1" t="s">
        <v>3408</v>
      </c>
    </row>
    <row r="1529">
      <c r="A1529" s="1" t="s">
        <v>6055</v>
      </c>
      <c r="B1529" s="1">
        <v>54.0</v>
      </c>
      <c r="C1529" s="1">
        <v>260.0</v>
      </c>
      <c r="D1529" s="2" t="s">
        <v>439</v>
      </c>
      <c r="E1529" s="1">
        <v>54.0</v>
      </c>
      <c r="F1529" s="1">
        <v>32.0</v>
      </c>
      <c r="G1529" s="1">
        <v>0.0</v>
      </c>
      <c r="H1529" s="1">
        <v>0.0</v>
      </c>
      <c r="I1529" s="1">
        <v>0.0</v>
      </c>
      <c r="J1529" s="1">
        <v>0.0</v>
      </c>
      <c r="K1529" s="1">
        <v>0.05</v>
      </c>
      <c r="L1529" s="1">
        <v>233000.0</v>
      </c>
      <c r="M1529" s="1" t="s">
        <v>6056</v>
      </c>
      <c r="N1529" s="18">
        <v>45987.0</v>
      </c>
      <c r="O1529" s="1" t="s">
        <v>3293</v>
      </c>
      <c r="P1529" s="1" t="s">
        <v>3294</v>
      </c>
      <c r="Q1529" s="1" t="s">
        <v>3408</v>
      </c>
    </row>
    <row r="1530">
      <c r="A1530" s="1" t="s">
        <v>6057</v>
      </c>
      <c r="B1530" s="1">
        <v>54.0</v>
      </c>
      <c r="C1530" s="1">
        <v>1000.0</v>
      </c>
      <c r="D1530" s="2" t="s">
        <v>439</v>
      </c>
      <c r="E1530" s="1">
        <v>54.0</v>
      </c>
      <c r="F1530" s="1">
        <v>17.0</v>
      </c>
      <c r="G1530" s="1">
        <v>11.92</v>
      </c>
      <c r="H1530" s="1">
        <v>0.0</v>
      </c>
      <c r="I1530" s="1">
        <v>0.0</v>
      </c>
      <c r="J1530" s="1">
        <v>0.0</v>
      </c>
      <c r="K1530" s="1">
        <v>0.02</v>
      </c>
      <c r="L1530" s="1">
        <v>9.0</v>
      </c>
      <c r="M1530" s="1" t="s">
        <v>6058</v>
      </c>
      <c r="N1530" s="18">
        <v>45984.0</v>
      </c>
      <c r="O1530" s="1" t="s">
        <v>6059</v>
      </c>
      <c r="P1530" s="1" t="s">
        <v>3230</v>
      </c>
      <c r="Q1530" s="1" t="s">
        <v>3408</v>
      </c>
    </row>
    <row r="1531">
      <c r="A1531" s="1" t="s">
        <v>6060</v>
      </c>
      <c r="B1531" s="1">
        <v>54.0</v>
      </c>
      <c r="C1531" s="1">
        <v>390.0</v>
      </c>
      <c r="D1531" s="2" t="s">
        <v>1452</v>
      </c>
      <c r="E1531" s="1">
        <v>54.0</v>
      </c>
      <c r="F1531" s="1">
        <v>13.0</v>
      </c>
      <c r="G1531" s="1">
        <v>0.0</v>
      </c>
      <c r="H1531" s="1">
        <v>0.0</v>
      </c>
      <c r="I1531" s="1">
        <v>0.0</v>
      </c>
      <c r="J1531" s="1">
        <v>0.0</v>
      </c>
      <c r="K1531" s="1">
        <v>0.0</v>
      </c>
      <c r="L1531" s="1">
        <v>6.0</v>
      </c>
      <c r="M1531" s="1" t="s">
        <v>6061</v>
      </c>
      <c r="N1531" s="18">
        <v>45980.0</v>
      </c>
      <c r="O1531" s="1" t="s">
        <v>3920</v>
      </c>
      <c r="P1531" s="1" t="s">
        <v>3230</v>
      </c>
      <c r="Q1531" s="1" t="s">
        <v>3408</v>
      </c>
    </row>
    <row r="1532">
      <c r="A1532" s="1" t="s">
        <v>6062</v>
      </c>
      <c r="B1532" s="1">
        <v>55.0</v>
      </c>
      <c r="C1532" s="1">
        <v>50.0</v>
      </c>
      <c r="D1532" s="2" t="s">
        <v>439</v>
      </c>
      <c r="E1532" s="1">
        <v>66.0</v>
      </c>
      <c r="F1532" s="1">
        <v>14.0</v>
      </c>
      <c r="G1532" s="1">
        <v>0.0</v>
      </c>
      <c r="H1532" s="1">
        <v>0.0</v>
      </c>
      <c r="I1532" s="1">
        <v>0.0</v>
      </c>
      <c r="J1532" s="1">
        <v>0.0</v>
      </c>
      <c r="K1532" s="1">
        <v>0.03</v>
      </c>
      <c r="L1532" s="1">
        <v>19300.0</v>
      </c>
      <c r="M1532" s="1" t="s">
        <v>6063</v>
      </c>
      <c r="N1532" s="18">
        <v>46043.0</v>
      </c>
      <c r="O1532" s="1" t="s">
        <v>3551</v>
      </c>
      <c r="P1532" s="1" t="s">
        <v>3230</v>
      </c>
      <c r="Q1532" s="1" t="s">
        <v>3408</v>
      </c>
    </row>
    <row r="1533">
      <c r="A1533" s="1" t="s">
        <v>6064</v>
      </c>
      <c r="B1533" s="1">
        <v>55.0</v>
      </c>
      <c r="C1533" s="1">
        <v>90.0</v>
      </c>
      <c r="D1533" s="2" t="s">
        <v>1160</v>
      </c>
      <c r="E1533" s="1">
        <v>55.0</v>
      </c>
      <c r="F1533" s="1">
        <v>31.0</v>
      </c>
      <c r="G1533" s="1">
        <v>4.46</v>
      </c>
      <c r="H1533" s="1">
        <v>0.0</v>
      </c>
      <c r="I1533" s="1">
        <v>0.0</v>
      </c>
      <c r="J1533" s="1">
        <v>0.0</v>
      </c>
      <c r="K1533" s="1">
        <v>0.06</v>
      </c>
      <c r="L1533" s="1">
        <v>1.5E7</v>
      </c>
      <c r="M1533" s="1" t="s">
        <v>6065</v>
      </c>
      <c r="N1533" s="18">
        <v>46039.0</v>
      </c>
      <c r="O1533" s="1" t="s">
        <v>6066</v>
      </c>
      <c r="P1533" s="1" t="s">
        <v>3230</v>
      </c>
      <c r="Q1533" s="1" t="s">
        <v>3408</v>
      </c>
    </row>
    <row r="1534">
      <c r="A1534" s="1" t="s">
        <v>6067</v>
      </c>
      <c r="B1534" s="1">
        <v>55.0</v>
      </c>
      <c r="C1534" s="1">
        <v>320.0</v>
      </c>
      <c r="D1534" s="2" t="s">
        <v>973</v>
      </c>
      <c r="E1534" s="1">
        <v>55.0</v>
      </c>
      <c r="F1534" s="1">
        <v>52.0</v>
      </c>
      <c r="G1534" s="1">
        <v>2.09</v>
      </c>
      <c r="H1534" s="1">
        <v>0.0</v>
      </c>
      <c r="I1534" s="1">
        <v>0.0</v>
      </c>
      <c r="J1534" s="1">
        <v>0.0</v>
      </c>
      <c r="K1534" s="1">
        <v>0.14</v>
      </c>
      <c r="L1534" s="1">
        <v>5.67E7</v>
      </c>
      <c r="M1534" s="1" t="s">
        <v>6068</v>
      </c>
      <c r="N1534" s="18">
        <v>46035.0</v>
      </c>
      <c r="O1534" s="1" t="s">
        <v>3284</v>
      </c>
      <c r="P1534" s="1" t="s">
        <v>3301</v>
      </c>
      <c r="Q1534" s="1" t="s">
        <v>3408</v>
      </c>
    </row>
    <row r="1535">
      <c r="A1535" s="1" t="s">
        <v>6069</v>
      </c>
      <c r="B1535" s="1">
        <v>55.0</v>
      </c>
      <c r="C1535" s="1">
        <v>70.0</v>
      </c>
      <c r="D1535" s="2" t="s">
        <v>2944</v>
      </c>
      <c r="E1535" s="1">
        <v>55.0</v>
      </c>
      <c r="F1535" s="1">
        <v>33.0</v>
      </c>
      <c r="G1535" s="1">
        <v>9.53</v>
      </c>
      <c r="H1535" s="1">
        <v>0.0</v>
      </c>
      <c r="I1535" s="1">
        <v>0.0</v>
      </c>
      <c r="J1535" s="1">
        <v>0.0</v>
      </c>
      <c r="K1535" s="1">
        <v>0.7</v>
      </c>
      <c r="L1535" s="1">
        <v>130000.0</v>
      </c>
      <c r="M1535" s="1" t="s">
        <v>6070</v>
      </c>
      <c r="N1535" s="18">
        <v>46035.0</v>
      </c>
      <c r="O1535" s="1" t="s">
        <v>3288</v>
      </c>
      <c r="P1535" s="1" t="s">
        <v>3257</v>
      </c>
      <c r="Q1535" s="1" t="s">
        <v>3408</v>
      </c>
    </row>
    <row r="1536">
      <c r="A1536" s="1" t="s">
        <v>6071</v>
      </c>
      <c r="B1536" s="1">
        <v>55.0</v>
      </c>
      <c r="C1536" s="1">
        <v>70.0</v>
      </c>
      <c r="D1536" s="2" t="s">
        <v>439</v>
      </c>
      <c r="E1536" s="1">
        <v>55.0</v>
      </c>
      <c r="F1536" s="1">
        <v>12.0</v>
      </c>
      <c r="G1536" s="1">
        <v>0.0</v>
      </c>
      <c r="H1536" s="1">
        <v>0.0</v>
      </c>
      <c r="I1536" s="1">
        <v>0.0</v>
      </c>
      <c r="J1536" s="1">
        <v>0.0</v>
      </c>
      <c r="K1536" s="1">
        <v>0.03</v>
      </c>
      <c r="L1536" s="1">
        <v>15100.0</v>
      </c>
      <c r="M1536" s="1" t="s">
        <v>6072</v>
      </c>
      <c r="N1536" s="18">
        <v>46034.0</v>
      </c>
      <c r="O1536" s="1" t="s">
        <v>6073</v>
      </c>
      <c r="P1536" s="1" t="s">
        <v>3257</v>
      </c>
      <c r="Q1536" s="1" t="s">
        <v>3408</v>
      </c>
    </row>
    <row r="1537">
      <c r="A1537" s="1" t="s">
        <v>6074</v>
      </c>
      <c r="B1537" s="1">
        <v>55.0</v>
      </c>
      <c r="C1537" s="1">
        <v>40.0</v>
      </c>
      <c r="D1537" s="2" t="s">
        <v>1951</v>
      </c>
      <c r="E1537" s="1">
        <v>55.0</v>
      </c>
      <c r="F1537" s="1">
        <v>21.0</v>
      </c>
      <c r="G1537" s="1">
        <v>0.0</v>
      </c>
      <c r="H1537" s="1">
        <v>0.0</v>
      </c>
      <c r="I1537" s="1">
        <v>0.0</v>
      </c>
      <c r="J1537" s="1">
        <v>0.0</v>
      </c>
      <c r="K1537" s="1">
        <v>0.33</v>
      </c>
      <c r="L1537" s="1">
        <v>1.46E8</v>
      </c>
      <c r="M1537" s="1" t="s">
        <v>5864</v>
      </c>
      <c r="N1537" s="18">
        <v>46028.0</v>
      </c>
      <c r="O1537" s="1" t="s">
        <v>5700</v>
      </c>
      <c r="P1537" s="1" t="s">
        <v>3257</v>
      </c>
      <c r="Q1537" s="1" t="s">
        <v>3408</v>
      </c>
    </row>
    <row r="1538">
      <c r="A1538" s="1" t="s">
        <v>6075</v>
      </c>
      <c r="B1538" s="1">
        <v>55.0</v>
      </c>
      <c r="C1538" s="1">
        <v>390.0</v>
      </c>
      <c r="D1538" s="2" t="s">
        <v>2048</v>
      </c>
      <c r="E1538" s="1">
        <v>55.0</v>
      </c>
      <c r="F1538" s="1">
        <v>17.0</v>
      </c>
      <c r="G1538" s="1">
        <v>0.0</v>
      </c>
      <c r="H1538" s="1">
        <v>0.0</v>
      </c>
      <c r="I1538" s="1">
        <v>0.0</v>
      </c>
      <c r="J1538" s="1">
        <v>0.0</v>
      </c>
      <c r="K1538" s="1">
        <v>0.01</v>
      </c>
      <c r="L1538" s="1">
        <v>1.73E8</v>
      </c>
      <c r="M1538" s="1" t="s">
        <v>6076</v>
      </c>
      <c r="N1538" s="18">
        <v>46028.0</v>
      </c>
      <c r="O1538" s="1" t="s">
        <v>3314</v>
      </c>
      <c r="P1538" s="1" t="s">
        <v>3230</v>
      </c>
      <c r="Q1538" s="1" t="s">
        <v>3408</v>
      </c>
    </row>
    <row r="1539">
      <c r="A1539" s="1" t="s">
        <v>6077</v>
      </c>
      <c r="B1539" s="1">
        <v>55.0</v>
      </c>
      <c r="C1539" s="1">
        <v>70.0</v>
      </c>
      <c r="D1539" s="2" t="s">
        <v>1566</v>
      </c>
      <c r="E1539" s="1">
        <v>55.0</v>
      </c>
      <c r="F1539" s="1">
        <v>10.0</v>
      </c>
      <c r="G1539" s="1">
        <v>0.0</v>
      </c>
      <c r="H1539" s="1">
        <v>0.0</v>
      </c>
      <c r="I1539" s="1">
        <v>0.0</v>
      </c>
      <c r="J1539" s="1">
        <v>0.0</v>
      </c>
      <c r="K1539" s="1">
        <v>0.0</v>
      </c>
      <c r="L1539" s="1">
        <v>5.67E7</v>
      </c>
      <c r="M1539" s="1" t="s">
        <v>6078</v>
      </c>
      <c r="N1539" s="18">
        <v>46027.0</v>
      </c>
      <c r="O1539" s="1" t="s">
        <v>3317</v>
      </c>
      <c r="P1539" s="1" t="s">
        <v>3230</v>
      </c>
      <c r="Q1539" s="1" t="s">
        <v>3408</v>
      </c>
    </row>
    <row r="1540">
      <c r="A1540" s="1" t="s">
        <v>6079</v>
      </c>
      <c r="B1540" s="1">
        <v>55.0</v>
      </c>
      <c r="C1540" s="1">
        <v>50.0</v>
      </c>
      <c r="D1540" s="2" t="s">
        <v>778</v>
      </c>
      <c r="E1540" s="1">
        <v>55.0</v>
      </c>
      <c r="F1540" s="1">
        <v>9.0</v>
      </c>
      <c r="G1540" s="1">
        <v>0.0</v>
      </c>
      <c r="H1540" s="1">
        <v>0.0</v>
      </c>
      <c r="I1540" s="1">
        <v>0.0</v>
      </c>
      <c r="J1540" s="1">
        <v>0.0</v>
      </c>
      <c r="K1540" s="1">
        <v>0.0</v>
      </c>
      <c r="L1540" s="1">
        <v>4710000.0</v>
      </c>
      <c r="M1540" s="1" t="s">
        <v>6080</v>
      </c>
      <c r="N1540" s="18">
        <v>46025.0</v>
      </c>
      <c r="O1540" s="1" t="s">
        <v>3765</v>
      </c>
      <c r="P1540" s="1" t="s">
        <v>3257</v>
      </c>
      <c r="Q1540" s="1" t="s">
        <v>3408</v>
      </c>
    </row>
    <row r="1541">
      <c r="A1541" s="1" t="s">
        <v>6081</v>
      </c>
      <c r="B1541" s="1">
        <v>55.0</v>
      </c>
      <c r="C1541" s="1">
        <v>140.0</v>
      </c>
      <c r="D1541" s="2" t="s">
        <v>581</v>
      </c>
      <c r="E1541" s="1">
        <v>55.0</v>
      </c>
      <c r="F1541" s="1">
        <v>39.0</v>
      </c>
      <c r="G1541" s="1">
        <v>15.32</v>
      </c>
      <c r="H1541" s="1">
        <v>0.0</v>
      </c>
      <c r="I1541" s="1">
        <v>0.0</v>
      </c>
      <c r="J1541" s="1">
        <v>0.0</v>
      </c>
      <c r="K1541" s="1">
        <v>0.21</v>
      </c>
      <c r="L1541" s="1">
        <v>234000.0</v>
      </c>
      <c r="M1541" s="1" t="s">
        <v>6082</v>
      </c>
      <c r="N1541" s="18">
        <v>46024.0</v>
      </c>
      <c r="O1541" s="1" t="s">
        <v>5815</v>
      </c>
      <c r="P1541" s="1" t="s">
        <v>3257</v>
      </c>
      <c r="Q1541" s="1" t="s">
        <v>3408</v>
      </c>
    </row>
    <row r="1542">
      <c r="A1542" s="1" t="s">
        <v>6083</v>
      </c>
      <c r="B1542" s="1">
        <v>55.0</v>
      </c>
      <c r="C1542" s="1">
        <v>260.0</v>
      </c>
      <c r="D1542" s="2" t="s">
        <v>1973</v>
      </c>
      <c r="E1542" s="1">
        <v>55.0</v>
      </c>
      <c r="F1542" s="1">
        <v>26.0</v>
      </c>
      <c r="G1542" s="1">
        <v>0.0</v>
      </c>
      <c r="H1542" s="1">
        <v>0.0</v>
      </c>
      <c r="I1542" s="1">
        <v>0.0</v>
      </c>
      <c r="J1542" s="1">
        <v>0.0</v>
      </c>
      <c r="K1542" s="1">
        <v>0.0</v>
      </c>
      <c r="L1542" s="1">
        <v>1.47E7</v>
      </c>
      <c r="M1542" s="1" t="s">
        <v>6084</v>
      </c>
      <c r="N1542" s="18">
        <v>46019.0</v>
      </c>
      <c r="O1542" s="1" t="s">
        <v>3920</v>
      </c>
      <c r="P1542" s="1" t="s">
        <v>3230</v>
      </c>
      <c r="Q1542" s="1" t="s">
        <v>3408</v>
      </c>
    </row>
    <row r="1543">
      <c r="A1543" s="1" t="s">
        <v>6085</v>
      </c>
      <c r="B1543" s="1">
        <v>55.0</v>
      </c>
      <c r="C1543" s="1">
        <v>110.0</v>
      </c>
      <c r="D1543" s="2" t="s">
        <v>2302</v>
      </c>
      <c r="E1543" s="1">
        <v>55.0</v>
      </c>
      <c r="F1543" s="1">
        <v>0.0</v>
      </c>
      <c r="G1543" s="1">
        <v>8.41</v>
      </c>
      <c r="H1543" s="1">
        <v>0.0</v>
      </c>
      <c r="I1543" s="1">
        <v>0.0</v>
      </c>
      <c r="J1543" s="1">
        <v>0.0</v>
      </c>
      <c r="K1543" s="1">
        <v>0.03</v>
      </c>
      <c r="L1543" s="1">
        <v>2.13E7</v>
      </c>
      <c r="M1543" s="1" t="s">
        <v>6086</v>
      </c>
      <c r="N1543" s="18">
        <v>46018.0</v>
      </c>
      <c r="O1543" s="1" t="s">
        <v>3264</v>
      </c>
      <c r="P1543" s="1" t="s">
        <v>3230</v>
      </c>
      <c r="Q1543" s="1" t="s">
        <v>3408</v>
      </c>
    </row>
    <row r="1544">
      <c r="A1544" s="1" t="s">
        <v>6087</v>
      </c>
      <c r="B1544" s="1">
        <v>55.0</v>
      </c>
      <c r="C1544" s="1">
        <v>90.0</v>
      </c>
      <c r="D1544" s="2" t="s">
        <v>2957</v>
      </c>
      <c r="E1544" s="1">
        <v>55.0</v>
      </c>
      <c r="F1544" s="1">
        <v>21.0</v>
      </c>
      <c r="G1544" s="1">
        <v>13.76</v>
      </c>
      <c r="H1544" s="1">
        <v>0.0</v>
      </c>
      <c r="I1544" s="1">
        <v>0.0</v>
      </c>
      <c r="J1544" s="1">
        <v>0.0</v>
      </c>
      <c r="K1544" s="1">
        <v>0.62</v>
      </c>
      <c r="L1544" s="1">
        <v>2.86E7</v>
      </c>
      <c r="M1544" s="1" t="s">
        <v>6088</v>
      </c>
      <c r="N1544" s="18">
        <v>46017.0</v>
      </c>
      <c r="O1544" s="1" t="s">
        <v>5147</v>
      </c>
      <c r="P1544" s="1" t="s">
        <v>3334</v>
      </c>
      <c r="Q1544" s="1" t="s">
        <v>3408</v>
      </c>
    </row>
    <row r="1545">
      <c r="A1545" s="1" t="s">
        <v>6089</v>
      </c>
      <c r="B1545" s="1">
        <v>55.0</v>
      </c>
      <c r="C1545" s="1">
        <v>320.0</v>
      </c>
      <c r="D1545" s="2" t="s">
        <v>754</v>
      </c>
      <c r="E1545" s="1">
        <v>55.0</v>
      </c>
      <c r="F1545" s="1">
        <v>21.0</v>
      </c>
      <c r="G1545" s="1">
        <v>35.96</v>
      </c>
      <c r="H1545" s="1">
        <v>0.0</v>
      </c>
      <c r="I1545" s="1">
        <v>0.0</v>
      </c>
      <c r="J1545" s="1">
        <v>0.0</v>
      </c>
      <c r="K1545" s="1">
        <v>0.05</v>
      </c>
      <c r="L1545" s="1">
        <v>1210000.0</v>
      </c>
      <c r="M1545" s="1" t="s">
        <v>6090</v>
      </c>
      <c r="N1545" s="18">
        <v>46017.0</v>
      </c>
      <c r="O1545" s="1" t="s">
        <v>3421</v>
      </c>
      <c r="P1545" s="1" t="s">
        <v>3257</v>
      </c>
      <c r="Q1545" s="1" t="s">
        <v>3408</v>
      </c>
    </row>
    <row r="1546">
      <c r="A1546" s="1" t="s">
        <v>6091</v>
      </c>
      <c r="B1546" s="1">
        <v>55.0</v>
      </c>
      <c r="C1546" s="1">
        <v>70.0</v>
      </c>
      <c r="D1546" s="2" t="s">
        <v>1667</v>
      </c>
      <c r="E1546" s="1">
        <v>55.0</v>
      </c>
      <c r="F1546" s="1">
        <v>1.0</v>
      </c>
      <c r="G1546" s="1">
        <v>0.0</v>
      </c>
      <c r="H1546" s="1">
        <v>0.0</v>
      </c>
      <c r="I1546" s="1">
        <v>0.0</v>
      </c>
      <c r="J1546" s="1">
        <v>0.0</v>
      </c>
      <c r="K1546" s="1">
        <v>0.33</v>
      </c>
      <c r="L1546" s="1">
        <v>1.28E7</v>
      </c>
      <c r="M1546" s="1" t="s">
        <v>6092</v>
      </c>
      <c r="N1546" s="18">
        <v>46016.0</v>
      </c>
      <c r="O1546" s="1" t="s">
        <v>3479</v>
      </c>
      <c r="P1546" s="1" t="s">
        <v>3230</v>
      </c>
      <c r="Q1546" s="1" t="s">
        <v>3408</v>
      </c>
    </row>
    <row r="1547">
      <c r="A1547" s="1" t="s">
        <v>6093</v>
      </c>
      <c r="B1547" s="1">
        <v>55.0</v>
      </c>
      <c r="C1547" s="1">
        <v>50.0</v>
      </c>
      <c r="D1547" s="2" t="s">
        <v>2930</v>
      </c>
      <c r="E1547" s="1">
        <v>55.0</v>
      </c>
      <c r="F1547" s="1">
        <v>32.0</v>
      </c>
      <c r="G1547" s="1">
        <v>0.0</v>
      </c>
      <c r="H1547" s="1">
        <v>0.0</v>
      </c>
      <c r="I1547" s="1">
        <v>0.0</v>
      </c>
      <c r="J1547" s="1">
        <v>0.0</v>
      </c>
      <c r="K1547" s="1">
        <v>0.06</v>
      </c>
      <c r="L1547" s="1">
        <v>1.59E8</v>
      </c>
      <c r="M1547" s="1" t="s">
        <v>6094</v>
      </c>
      <c r="N1547" s="18">
        <v>46013.0</v>
      </c>
      <c r="O1547" s="1" t="s">
        <v>3442</v>
      </c>
      <c r="P1547" s="1" t="s">
        <v>3230</v>
      </c>
      <c r="Q1547" s="1" t="s">
        <v>3408</v>
      </c>
    </row>
    <row r="1548">
      <c r="A1548" s="1" t="s">
        <v>6095</v>
      </c>
      <c r="B1548" s="1">
        <v>55.0</v>
      </c>
      <c r="C1548" s="1">
        <v>50.0</v>
      </c>
      <c r="D1548" s="2" t="s">
        <v>1543</v>
      </c>
      <c r="E1548" s="1">
        <v>55.0</v>
      </c>
      <c r="F1548" s="1">
        <v>0.0</v>
      </c>
      <c r="G1548" s="1">
        <v>0.0</v>
      </c>
      <c r="H1548" s="1">
        <v>0.0</v>
      </c>
      <c r="I1548" s="1">
        <v>0.0</v>
      </c>
      <c r="J1548" s="1">
        <v>0.0</v>
      </c>
      <c r="K1548" s="1">
        <v>0.0</v>
      </c>
      <c r="L1548" s="1">
        <v>1120000.0</v>
      </c>
      <c r="M1548" s="1" t="s">
        <v>6096</v>
      </c>
      <c r="N1548" s="18">
        <v>46012.0</v>
      </c>
      <c r="O1548" s="1" t="s">
        <v>3840</v>
      </c>
      <c r="P1548" s="1" t="s">
        <v>3230</v>
      </c>
      <c r="Q1548" s="1" t="s">
        <v>3408</v>
      </c>
    </row>
    <row r="1549">
      <c r="A1549" s="1" t="s">
        <v>6097</v>
      </c>
      <c r="B1549" s="1">
        <v>55.0</v>
      </c>
      <c r="C1549" s="1">
        <v>1300.0</v>
      </c>
      <c r="D1549" s="2" t="s">
        <v>2249</v>
      </c>
      <c r="E1549" s="1">
        <v>55.0</v>
      </c>
      <c r="F1549" s="1">
        <v>20.0</v>
      </c>
      <c r="G1549" s="1">
        <v>0.0</v>
      </c>
      <c r="H1549" s="1">
        <v>0.0</v>
      </c>
      <c r="I1549" s="1">
        <v>0.0</v>
      </c>
      <c r="J1549" s="1">
        <v>0.0</v>
      </c>
      <c r="K1549" s="1">
        <v>0.0</v>
      </c>
      <c r="L1549" s="1">
        <v>2.52E8</v>
      </c>
      <c r="M1549" s="1" t="s">
        <v>6098</v>
      </c>
      <c r="N1549" s="18">
        <v>46012.0</v>
      </c>
      <c r="O1549" s="1" t="s">
        <v>5650</v>
      </c>
      <c r="P1549" s="1" t="s">
        <v>3230</v>
      </c>
      <c r="Q1549" s="1" t="s">
        <v>3408</v>
      </c>
    </row>
    <row r="1550">
      <c r="A1550" s="1" t="s">
        <v>6099</v>
      </c>
      <c r="B1550" s="1">
        <v>55.0</v>
      </c>
      <c r="C1550" s="1">
        <v>70.0</v>
      </c>
      <c r="D1550" s="2" t="s">
        <v>581</v>
      </c>
      <c r="E1550" s="1">
        <v>55.0</v>
      </c>
      <c r="F1550" s="1">
        <v>16.0</v>
      </c>
      <c r="G1550" s="1">
        <v>0.0</v>
      </c>
      <c r="H1550" s="1">
        <v>0.0</v>
      </c>
      <c r="I1550" s="1">
        <v>0.0</v>
      </c>
      <c r="J1550" s="1">
        <v>0.0</v>
      </c>
      <c r="K1550" s="1">
        <v>0.04</v>
      </c>
      <c r="L1550" s="1">
        <v>365000.0</v>
      </c>
      <c r="M1550" s="1" t="s">
        <v>6100</v>
      </c>
      <c r="N1550" s="18">
        <v>46011.0</v>
      </c>
      <c r="O1550" s="1" t="s">
        <v>3854</v>
      </c>
      <c r="P1550" s="1" t="s">
        <v>3462</v>
      </c>
      <c r="Q1550" s="1" t="s">
        <v>3408</v>
      </c>
    </row>
    <row r="1551">
      <c r="A1551" s="1" t="s">
        <v>6101</v>
      </c>
      <c r="B1551" s="1">
        <v>55.0</v>
      </c>
      <c r="C1551" s="1">
        <v>390.0</v>
      </c>
      <c r="D1551" s="2" t="s">
        <v>1868</v>
      </c>
      <c r="E1551" s="1">
        <v>55.0</v>
      </c>
      <c r="F1551" s="1">
        <v>52.0</v>
      </c>
      <c r="G1551" s="1">
        <v>0.0</v>
      </c>
      <c r="H1551" s="1">
        <v>0.0</v>
      </c>
      <c r="I1551" s="1">
        <v>0.0</v>
      </c>
      <c r="J1551" s="1">
        <v>0.0</v>
      </c>
      <c r="K1551" s="1">
        <v>0.0</v>
      </c>
      <c r="L1551" s="1">
        <v>4.25E8</v>
      </c>
      <c r="M1551" s="1" t="s">
        <v>6102</v>
      </c>
      <c r="N1551" s="18">
        <v>46008.0</v>
      </c>
      <c r="O1551" s="1" t="s">
        <v>5344</v>
      </c>
      <c r="P1551" s="1" t="s">
        <v>3230</v>
      </c>
      <c r="Q1551" s="1" t="s">
        <v>3408</v>
      </c>
    </row>
    <row r="1552">
      <c r="A1552" s="1" t="s">
        <v>6103</v>
      </c>
      <c r="B1552" s="1">
        <v>55.0</v>
      </c>
      <c r="C1552" s="1">
        <v>70.0</v>
      </c>
      <c r="D1552" s="2" t="s">
        <v>1771</v>
      </c>
      <c r="E1552" s="1">
        <v>55.0</v>
      </c>
      <c r="F1552" s="1">
        <v>0.0</v>
      </c>
      <c r="G1552" s="1">
        <v>0.0</v>
      </c>
      <c r="H1552" s="1">
        <v>0.0</v>
      </c>
      <c r="I1552" s="1">
        <v>0.0</v>
      </c>
      <c r="J1552" s="1">
        <v>0.0</v>
      </c>
      <c r="K1552" s="1">
        <v>0.0</v>
      </c>
      <c r="L1552" s="1">
        <v>566000.0</v>
      </c>
      <c r="M1552" s="1" t="s">
        <v>6104</v>
      </c>
      <c r="N1552" s="18">
        <v>46006.0</v>
      </c>
      <c r="O1552" s="1" t="s">
        <v>3242</v>
      </c>
      <c r="P1552" s="1" t="s">
        <v>3230</v>
      </c>
      <c r="Q1552" s="1" t="s">
        <v>3408</v>
      </c>
    </row>
    <row r="1553">
      <c r="A1553" s="1" t="s">
        <v>6105</v>
      </c>
      <c r="B1553" s="1">
        <v>55.0</v>
      </c>
      <c r="C1553" s="1">
        <v>590.0</v>
      </c>
      <c r="D1553" s="2" t="s">
        <v>2249</v>
      </c>
      <c r="E1553" s="1">
        <v>55.0</v>
      </c>
      <c r="F1553" s="1">
        <v>22.0</v>
      </c>
      <c r="G1553" s="1">
        <v>0.0</v>
      </c>
      <c r="H1553" s="1">
        <v>0.0</v>
      </c>
      <c r="I1553" s="1">
        <v>0.0</v>
      </c>
      <c r="J1553" s="1">
        <v>0.0</v>
      </c>
      <c r="K1553" s="1">
        <v>0.0</v>
      </c>
      <c r="L1553" s="1">
        <v>3.11E7</v>
      </c>
      <c r="M1553" s="1" t="s">
        <v>6106</v>
      </c>
      <c r="N1553" s="18">
        <v>46005.0</v>
      </c>
      <c r="O1553" s="1" t="s">
        <v>5442</v>
      </c>
      <c r="P1553" s="1" t="s">
        <v>3230</v>
      </c>
      <c r="Q1553" s="1" t="s">
        <v>3408</v>
      </c>
    </row>
    <row r="1554">
      <c r="A1554" s="1" t="s">
        <v>6107</v>
      </c>
      <c r="B1554" s="1">
        <v>55.0</v>
      </c>
      <c r="C1554" s="1">
        <v>50.0</v>
      </c>
      <c r="D1554" s="2" t="s">
        <v>602</v>
      </c>
      <c r="E1554" s="1">
        <v>55.0</v>
      </c>
      <c r="F1554" s="1">
        <v>10.0</v>
      </c>
      <c r="G1554" s="1">
        <v>4.23</v>
      </c>
      <c r="H1554" s="1">
        <v>0.0</v>
      </c>
      <c r="I1554" s="1">
        <v>0.0</v>
      </c>
      <c r="J1554" s="1">
        <v>0.0</v>
      </c>
      <c r="K1554" s="1">
        <v>0.59</v>
      </c>
      <c r="L1554" s="1">
        <v>283000.0</v>
      </c>
      <c r="M1554" s="1" t="s">
        <v>6108</v>
      </c>
      <c r="N1554" s="18">
        <v>46003.0</v>
      </c>
      <c r="O1554" s="1" t="s">
        <v>5115</v>
      </c>
      <c r="P1554" s="1" t="s">
        <v>3230</v>
      </c>
      <c r="Q1554" s="1" t="s">
        <v>3408</v>
      </c>
    </row>
    <row r="1555">
      <c r="A1555" s="1" t="s">
        <v>6109</v>
      </c>
      <c r="B1555" s="1">
        <v>55.0</v>
      </c>
      <c r="C1555" s="1">
        <v>70.0</v>
      </c>
      <c r="D1555" s="2" t="s">
        <v>1543</v>
      </c>
      <c r="E1555" s="1">
        <v>55.0</v>
      </c>
      <c r="F1555" s="1">
        <v>11.0</v>
      </c>
      <c r="G1555" s="1">
        <v>0.0</v>
      </c>
      <c r="H1555" s="1">
        <v>0.0</v>
      </c>
      <c r="I1555" s="1">
        <v>0.0</v>
      </c>
      <c r="J1555" s="1">
        <v>0.0</v>
      </c>
      <c r="K1555" s="1">
        <v>0.01</v>
      </c>
      <c r="L1555" s="1">
        <v>6510000.0</v>
      </c>
      <c r="M1555" s="1" t="s">
        <v>6110</v>
      </c>
      <c r="N1555" s="18">
        <v>46000.0</v>
      </c>
      <c r="O1555" s="1" t="s">
        <v>3840</v>
      </c>
      <c r="P1555" s="1" t="s">
        <v>3230</v>
      </c>
      <c r="Q1555" s="1" t="s">
        <v>3408</v>
      </c>
    </row>
    <row r="1556">
      <c r="A1556" s="1" t="s">
        <v>6111</v>
      </c>
      <c r="B1556" s="1">
        <v>55.0</v>
      </c>
      <c r="C1556" s="1">
        <v>210.0</v>
      </c>
      <c r="D1556" s="2" t="s">
        <v>718</v>
      </c>
      <c r="E1556" s="1">
        <v>55.0</v>
      </c>
      <c r="F1556" s="1">
        <v>18.0</v>
      </c>
      <c r="G1556" s="1">
        <v>40.16</v>
      </c>
      <c r="H1556" s="1">
        <v>0.0</v>
      </c>
      <c r="I1556" s="1">
        <v>0.0</v>
      </c>
      <c r="J1556" s="1">
        <v>0.0</v>
      </c>
      <c r="K1556" s="1">
        <v>0.07</v>
      </c>
      <c r="L1556" s="1">
        <v>2180000.0</v>
      </c>
      <c r="M1556" s="1" t="s">
        <v>6112</v>
      </c>
      <c r="N1556" s="18">
        <v>45993.0</v>
      </c>
      <c r="O1556" s="1" t="s">
        <v>3479</v>
      </c>
      <c r="P1556" s="1" t="s">
        <v>3230</v>
      </c>
      <c r="Q1556" s="1" t="s">
        <v>3408</v>
      </c>
    </row>
    <row r="1557">
      <c r="A1557" s="1" t="s">
        <v>6113</v>
      </c>
      <c r="B1557" s="1">
        <v>55.0</v>
      </c>
      <c r="C1557" s="1">
        <v>40.0</v>
      </c>
      <c r="D1557" s="2" t="s">
        <v>439</v>
      </c>
      <c r="E1557" s="1">
        <v>55.0</v>
      </c>
      <c r="F1557" s="1">
        <v>26.0</v>
      </c>
      <c r="G1557" s="1">
        <v>3.33</v>
      </c>
      <c r="H1557" s="1">
        <v>0.0</v>
      </c>
      <c r="I1557" s="1">
        <v>0.0</v>
      </c>
      <c r="J1557" s="1">
        <v>0.0</v>
      </c>
      <c r="K1557" s="1">
        <v>0.11</v>
      </c>
      <c r="L1557" s="1">
        <v>600000.0</v>
      </c>
      <c r="M1557" s="1" t="s">
        <v>6114</v>
      </c>
      <c r="N1557" s="18">
        <v>45992.0</v>
      </c>
      <c r="O1557" s="1" t="s">
        <v>6115</v>
      </c>
      <c r="P1557" s="1" t="s">
        <v>3294</v>
      </c>
      <c r="Q1557" s="1" t="s">
        <v>3408</v>
      </c>
    </row>
    <row r="1558">
      <c r="A1558" s="1" t="s">
        <v>6116</v>
      </c>
      <c r="B1558" s="1">
        <v>55.0</v>
      </c>
      <c r="C1558" s="1">
        <v>260.0</v>
      </c>
      <c r="D1558" s="2" t="s">
        <v>724</v>
      </c>
      <c r="E1558" s="1">
        <v>55.0</v>
      </c>
      <c r="F1558" s="1">
        <v>0.0</v>
      </c>
      <c r="G1558" s="1">
        <v>14.68</v>
      </c>
      <c r="H1558" s="1">
        <v>0.0</v>
      </c>
      <c r="I1558" s="1">
        <v>0.0</v>
      </c>
      <c r="J1558" s="1">
        <v>0.0</v>
      </c>
      <c r="K1558" s="1">
        <v>0.13</v>
      </c>
      <c r="L1558" s="1">
        <v>5960000.0</v>
      </c>
      <c r="M1558" s="1" t="s">
        <v>6117</v>
      </c>
      <c r="N1558" s="18">
        <v>45991.0</v>
      </c>
      <c r="O1558" s="1" t="s">
        <v>4569</v>
      </c>
      <c r="P1558" s="1" t="s">
        <v>3230</v>
      </c>
      <c r="Q1558" s="1" t="s">
        <v>3408</v>
      </c>
    </row>
    <row r="1559">
      <c r="A1559" s="1" t="s">
        <v>6118</v>
      </c>
      <c r="B1559" s="1">
        <v>55.0</v>
      </c>
      <c r="C1559" s="1">
        <v>320.0</v>
      </c>
      <c r="D1559" s="2" t="s">
        <v>706</v>
      </c>
      <c r="E1559" s="1">
        <v>55.0</v>
      </c>
      <c r="F1559" s="1">
        <v>3.0</v>
      </c>
      <c r="G1559" s="1">
        <v>0.0</v>
      </c>
      <c r="H1559" s="1">
        <v>0.0</v>
      </c>
      <c r="I1559" s="1">
        <v>0.0</v>
      </c>
      <c r="J1559" s="1">
        <v>0.0</v>
      </c>
      <c r="K1559" s="1">
        <v>0.0</v>
      </c>
      <c r="L1559" s="1">
        <v>10.0</v>
      </c>
      <c r="M1559" s="1" t="s">
        <v>6119</v>
      </c>
      <c r="N1559" s="18">
        <v>45984.0</v>
      </c>
      <c r="O1559" s="1" t="s">
        <v>5744</v>
      </c>
      <c r="P1559" s="1" t="s">
        <v>3257</v>
      </c>
      <c r="Q1559" s="1" t="s">
        <v>3408</v>
      </c>
    </row>
    <row r="1560">
      <c r="A1560" s="1" t="s">
        <v>6120</v>
      </c>
      <c r="B1560" s="1">
        <v>55.0</v>
      </c>
      <c r="C1560" s="1">
        <v>140.0</v>
      </c>
      <c r="D1560" s="2" t="s">
        <v>451</v>
      </c>
      <c r="E1560" s="1">
        <v>55.0</v>
      </c>
      <c r="F1560" s="1">
        <v>18.0</v>
      </c>
      <c r="G1560" s="1">
        <v>24.18</v>
      </c>
      <c r="H1560" s="1">
        <v>0.0</v>
      </c>
      <c r="I1560" s="1">
        <v>0.0</v>
      </c>
      <c r="J1560" s="1">
        <v>0.0</v>
      </c>
      <c r="K1560" s="1">
        <v>0.34</v>
      </c>
      <c r="L1560" s="1">
        <v>8.0</v>
      </c>
      <c r="M1560" s="1" t="s">
        <v>6121</v>
      </c>
      <c r="N1560" s="18">
        <v>45984.0</v>
      </c>
      <c r="O1560" s="1" t="s">
        <v>4390</v>
      </c>
      <c r="P1560" s="1" t="s">
        <v>3257</v>
      </c>
      <c r="Q1560" s="1" t="s">
        <v>3408</v>
      </c>
    </row>
    <row r="1561">
      <c r="A1561" s="1" t="s">
        <v>6122</v>
      </c>
      <c r="B1561" s="1">
        <v>55.0</v>
      </c>
      <c r="C1561" s="1">
        <v>140.0</v>
      </c>
      <c r="D1561" s="2" t="s">
        <v>439</v>
      </c>
      <c r="E1561" s="1">
        <v>55.0</v>
      </c>
      <c r="F1561" s="1">
        <v>37.0</v>
      </c>
      <c r="G1561" s="1">
        <v>4.4</v>
      </c>
      <c r="H1561" s="1">
        <v>0.0</v>
      </c>
      <c r="I1561" s="1">
        <v>0.0</v>
      </c>
      <c r="J1561" s="1">
        <v>0.0</v>
      </c>
      <c r="K1561" s="1">
        <v>0.11</v>
      </c>
      <c r="L1561" s="1">
        <v>4.98E7</v>
      </c>
      <c r="M1561" s="1" t="s">
        <v>6123</v>
      </c>
      <c r="N1561" s="18">
        <v>45978.0</v>
      </c>
      <c r="O1561" s="1" t="s">
        <v>5851</v>
      </c>
      <c r="P1561" s="1" t="s">
        <v>3462</v>
      </c>
      <c r="Q1561" s="1" t="s">
        <v>3408</v>
      </c>
    </row>
    <row r="1562">
      <c r="A1562" s="1" t="s">
        <v>6124</v>
      </c>
      <c r="B1562" s="1">
        <v>56.0</v>
      </c>
      <c r="C1562" s="1">
        <v>70.0</v>
      </c>
      <c r="D1562" s="2" t="s">
        <v>1129</v>
      </c>
      <c r="E1562" s="1">
        <v>0.0</v>
      </c>
      <c r="F1562" s="1">
        <v>9.0</v>
      </c>
      <c r="G1562" s="1">
        <v>11.21</v>
      </c>
      <c r="H1562" s="1">
        <v>0.0</v>
      </c>
      <c r="I1562" s="1">
        <v>0.0</v>
      </c>
      <c r="J1562" s="1">
        <v>0.0</v>
      </c>
      <c r="K1562" s="1">
        <v>0.57</v>
      </c>
      <c r="L1562" s="1">
        <v>2490000.0</v>
      </c>
      <c r="M1562" s="1" t="s">
        <v>6125</v>
      </c>
      <c r="N1562" s="18">
        <v>46042.0</v>
      </c>
      <c r="O1562" s="1" t="s">
        <v>6126</v>
      </c>
      <c r="P1562" s="1" t="s">
        <v>3230</v>
      </c>
      <c r="Q1562" s="1" t="s">
        <v>3408</v>
      </c>
    </row>
    <row r="1563">
      <c r="A1563" s="1" t="s">
        <v>6127</v>
      </c>
      <c r="B1563" s="1">
        <v>56.0</v>
      </c>
      <c r="C1563" s="1">
        <v>40.0</v>
      </c>
      <c r="D1563" s="2" t="s">
        <v>606</v>
      </c>
      <c r="E1563" s="1">
        <v>53.0</v>
      </c>
      <c r="F1563" s="1">
        <v>2.0</v>
      </c>
      <c r="G1563" s="1">
        <v>0.0</v>
      </c>
      <c r="H1563" s="1">
        <v>0.0</v>
      </c>
      <c r="I1563" s="1">
        <v>0.0</v>
      </c>
      <c r="J1563" s="1">
        <v>0.0</v>
      </c>
      <c r="K1563" s="1">
        <v>0.04</v>
      </c>
      <c r="L1563" s="1">
        <v>1.56E8</v>
      </c>
      <c r="M1563" s="1" t="s">
        <v>6128</v>
      </c>
      <c r="N1563" s="18">
        <v>46042.0</v>
      </c>
      <c r="O1563" s="1" t="s">
        <v>3264</v>
      </c>
      <c r="P1563" s="1" t="s">
        <v>3230</v>
      </c>
      <c r="Q1563" s="1" t="s">
        <v>3408</v>
      </c>
    </row>
    <row r="1564">
      <c r="A1564" s="1" t="s">
        <v>6129</v>
      </c>
      <c r="B1564" s="1">
        <v>56.0</v>
      </c>
      <c r="C1564" s="1">
        <v>3600.0</v>
      </c>
      <c r="D1564" s="2" t="s">
        <v>1890</v>
      </c>
      <c r="E1564" s="1">
        <v>56.0</v>
      </c>
      <c r="F1564" s="1">
        <v>18.0</v>
      </c>
      <c r="G1564" s="1">
        <v>0.13</v>
      </c>
      <c r="H1564" s="1">
        <v>0.0</v>
      </c>
      <c r="I1564" s="1">
        <v>0.0</v>
      </c>
      <c r="J1564" s="1">
        <v>0.0</v>
      </c>
      <c r="K1564" s="1">
        <v>0.05</v>
      </c>
      <c r="L1564" s="1">
        <v>1.41E8</v>
      </c>
      <c r="M1564" s="1" t="s">
        <v>6130</v>
      </c>
      <c r="N1564" s="18">
        <v>46040.0</v>
      </c>
      <c r="O1564" s="1" t="s">
        <v>6131</v>
      </c>
      <c r="P1564" s="1" t="s">
        <v>3230</v>
      </c>
      <c r="Q1564" s="1" t="s">
        <v>3408</v>
      </c>
    </row>
    <row r="1565">
      <c r="A1565" s="1" t="s">
        <v>6132</v>
      </c>
      <c r="B1565" s="1">
        <v>56.0</v>
      </c>
      <c r="C1565" s="1">
        <v>110.0</v>
      </c>
      <c r="D1565" s="2" t="s">
        <v>2249</v>
      </c>
      <c r="E1565" s="1">
        <v>56.0</v>
      </c>
      <c r="F1565" s="1">
        <v>20.0</v>
      </c>
      <c r="G1565" s="1">
        <v>0.0</v>
      </c>
      <c r="H1565" s="1">
        <v>0.0</v>
      </c>
      <c r="I1565" s="1">
        <v>0.0</v>
      </c>
      <c r="J1565" s="1">
        <v>0.0</v>
      </c>
      <c r="K1565" s="1">
        <v>0.0</v>
      </c>
      <c r="L1565" s="1">
        <v>2.93E8</v>
      </c>
      <c r="M1565" s="1" t="s">
        <v>6133</v>
      </c>
      <c r="N1565" s="18">
        <v>46037.0</v>
      </c>
      <c r="O1565" s="1" t="s">
        <v>5650</v>
      </c>
      <c r="P1565" s="1" t="s">
        <v>3230</v>
      </c>
      <c r="Q1565" s="1" t="s">
        <v>3408</v>
      </c>
    </row>
    <row r="1566">
      <c r="A1566" s="1" t="s">
        <v>6134</v>
      </c>
      <c r="B1566" s="1">
        <v>56.0</v>
      </c>
      <c r="C1566" s="1">
        <v>50.0</v>
      </c>
      <c r="D1566" s="2" t="s">
        <v>581</v>
      </c>
      <c r="E1566" s="1">
        <v>56.0</v>
      </c>
      <c r="F1566" s="1">
        <v>38.0</v>
      </c>
      <c r="G1566" s="1">
        <v>15.32</v>
      </c>
      <c r="H1566" s="1">
        <v>0.0</v>
      </c>
      <c r="I1566" s="1">
        <v>0.0</v>
      </c>
      <c r="J1566" s="1">
        <v>0.0</v>
      </c>
      <c r="K1566" s="1">
        <v>0.21</v>
      </c>
      <c r="L1566" s="1">
        <v>548000.0</v>
      </c>
      <c r="M1566" s="1" t="s">
        <v>6135</v>
      </c>
      <c r="N1566" s="18">
        <v>46030.0</v>
      </c>
      <c r="O1566" s="1" t="s">
        <v>5791</v>
      </c>
      <c r="P1566" s="1" t="s">
        <v>3257</v>
      </c>
      <c r="Q1566" s="1" t="s">
        <v>3408</v>
      </c>
    </row>
    <row r="1567">
      <c r="A1567" s="1" t="s">
        <v>6136</v>
      </c>
      <c r="B1567" s="1">
        <v>56.0</v>
      </c>
      <c r="C1567" s="1">
        <v>170.0</v>
      </c>
      <c r="D1567" s="2" t="s">
        <v>439</v>
      </c>
      <c r="E1567" s="1">
        <v>56.0</v>
      </c>
      <c r="F1567" s="1">
        <v>19.0</v>
      </c>
      <c r="G1567" s="1">
        <v>0.0</v>
      </c>
      <c r="H1567" s="1">
        <v>0.0</v>
      </c>
      <c r="I1567" s="1">
        <v>0.0</v>
      </c>
      <c r="J1567" s="1">
        <v>0.0</v>
      </c>
      <c r="K1567" s="1">
        <v>0.01</v>
      </c>
      <c r="L1567" s="1">
        <v>1.36E7</v>
      </c>
      <c r="M1567" s="1" t="s">
        <v>6137</v>
      </c>
      <c r="N1567" s="18">
        <v>46026.0</v>
      </c>
      <c r="O1567" s="1" t="s">
        <v>3821</v>
      </c>
      <c r="P1567" s="1" t="s">
        <v>3294</v>
      </c>
      <c r="Q1567" s="1" t="s">
        <v>3408</v>
      </c>
    </row>
    <row r="1568">
      <c r="A1568" s="1" t="s">
        <v>6138</v>
      </c>
      <c r="B1568" s="1">
        <v>56.0</v>
      </c>
      <c r="C1568" s="1">
        <v>50.0</v>
      </c>
      <c r="D1568" s="2" t="s">
        <v>1750</v>
      </c>
      <c r="E1568" s="1">
        <v>56.0</v>
      </c>
      <c r="F1568" s="1">
        <v>2.0</v>
      </c>
      <c r="G1568" s="1">
        <v>0.0</v>
      </c>
      <c r="H1568" s="1">
        <v>0.0</v>
      </c>
      <c r="I1568" s="1">
        <v>0.0</v>
      </c>
      <c r="J1568" s="1">
        <v>0.0</v>
      </c>
      <c r="K1568" s="1">
        <v>0.01</v>
      </c>
      <c r="L1568" s="1">
        <v>42900.0</v>
      </c>
      <c r="M1568" s="1" t="s">
        <v>6139</v>
      </c>
      <c r="N1568" s="18">
        <v>46023.0</v>
      </c>
      <c r="O1568" s="1" t="s">
        <v>3407</v>
      </c>
      <c r="P1568" s="1" t="s">
        <v>3230</v>
      </c>
      <c r="Q1568" s="1" t="s">
        <v>3408</v>
      </c>
    </row>
    <row r="1569">
      <c r="A1569" s="1" t="s">
        <v>5441</v>
      </c>
      <c r="B1569" s="1">
        <v>56.0</v>
      </c>
      <c r="C1569" s="1">
        <v>1600.0</v>
      </c>
      <c r="D1569" s="2" t="s">
        <v>1868</v>
      </c>
      <c r="E1569" s="1">
        <v>56.0</v>
      </c>
      <c r="F1569" s="1">
        <v>43.0</v>
      </c>
      <c r="G1569" s="1">
        <v>0.0</v>
      </c>
      <c r="H1569" s="1">
        <v>0.0</v>
      </c>
      <c r="I1569" s="1">
        <v>0.0</v>
      </c>
      <c r="J1569" s="1">
        <v>0.0</v>
      </c>
      <c r="K1569" s="1">
        <v>0.0</v>
      </c>
      <c r="L1569" s="1">
        <v>2.78E8</v>
      </c>
      <c r="M1569" s="1" t="s">
        <v>5334</v>
      </c>
      <c r="N1569" s="18">
        <v>46018.0</v>
      </c>
      <c r="O1569" s="1" t="s">
        <v>5442</v>
      </c>
      <c r="P1569" s="1" t="s">
        <v>3230</v>
      </c>
      <c r="Q1569" s="1" t="s">
        <v>3408</v>
      </c>
    </row>
    <row r="1570">
      <c r="A1570" s="1" t="s">
        <v>6140</v>
      </c>
      <c r="B1570" s="1">
        <v>56.0</v>
      </c>
      <c r="C1570" s="1">
        <v>70.0</v>
      </c>
      <c r="D1570" s="2" t="s">
        <v>716</v>
      </c>
      <c r="E1570" s="1">
        <v>56.0</v>
      </c>
      <c r="F1570" s="1">
        <v>10.0</v>
      </c>
      <c r="G1570" s="1">
        <v>0.0</v>
      </c>
      <c r="H1570" s="1">
        <v>0.0</v>
      </c>
      <c r="I1570" s="1">
        <v>0.0</v>
      </c>
      <c r="J1570" s="1">
        <v>0.0</v>
      </c>
      <c r="K1570" s="1">
        <v>0.0</v>
      </c>
      <c r="L1570" s="1">
        <v>290000.0</v>
      </c>
      <c r="M1570" s="1" t="s">
        <v>6141</v>
      </c>
      <c r="N1570" s="18">
        <v>46016.0</v>
      </c>
      <c r="O1570" s="1" t="s">
        <v>6142</v>
      </c>
      <c r="P1570" s="1" t="s">
        <v>3334</v>
      </c>
      <c r="Q1570" s="1" t="s">
        <v>3408</v>
      </c>
    </row>
    <row r="1571">
      <c r="A1571" s="1" t="s">
        <v>3970</v>
      </c>
      <c r="B1571" s="1">
        <v>56.0</v>
      </c>
      <c r="C1571" s="1">
        <v>90.0</v>
      </c>
      <c r="D1571" s="2" t="s">
        <v>584</v>
      </c>
      <c r="E1571" s="1">
        <v>56.0</v>
      </c>
      <c r="F1571" s="1">
        <v>22.0</v>
      </c>
      <c r="G1571" s="1">
        <v>11.16</v>
      </c>
      <c r="H1571" s="1">
        <v>0.0</v>
      </c>
      <c r="I1571" s="1">
        <v>0.0</v>
      </c>
      <c r="J1571" s="1">
        <v>0.0</v>
      </c>
      <c r="K1571" s="1">
        <v>0.2</v>
      </c>
      <c r="L1571" s="1">
        <v>63400.0</v>
      </c>
      <c r="M1571" s="1" t="s">
        <v>3971</v>
      </c>
      <c r="N1571" s="18">
        <v>46016.0</v>
      </c>
      <c r="O1571" s="1" t="s">
        <v>3415</v>
      </c>
      <c r="P1571" s="1" t="s">
        <v>3257</v>
      </c>
      <c r="Q1571" s="1" t="s">
        <v>3408</v>
      </c>
    </row>
    <row r="1572">
      <c r="A1572" s="1" t="s">
        <v>6143</v>
      </c>
      <c r="B1572" s="1">
        <v>56.0</v>
      </c>
      <c r="C1572" s="1">
        <v>70.0</v>
      </c>
      <c r="D1572" s="2" t="s">
        <v>665</v>
      </c>
      <c r="E1572" s="1">
        <v>56.0</v>
      </c>
      <c r="F1572" s="1">
        <v>5.0</v>
      </c>
      <c r="G1572" s="1">
        <v>13.87</v>
      </c>
      <c r="H1572" s="1">
        <v>0.0</v>
      </c>
      <c r="I1572" s="1">
        <v>0.0</v>
      </c>
      <c r="J1572" s="1">
        <v>0.0</v>
      </c>
      <c r="K1572" s="1">
        <v>0.65</v>
      </c>
      <c r="L1572" s="1">
        <v>144000.0</v>
      </c>
      <c r="M1572" s="1" t="s">
        <v>6144</v>
      </c>
      <c r="N1572" s="18">
        <v>46016.0</v>
      </c>
      <c r="O1572" s="1" t="s">
        <v>5815</v>
      </c>
      <c r="P1572" s="1" t="s">
        <v>3257</v>
      </c>
      <c r="Q1572" s="1" t="s">
        <v>3408</v>
      </c>
    </row>
    <row r="1573">
      <c r="A1573" s="1" t="s">
        <v>6145</v>
      </c>
      <c r="B1573" s="1">
        <v>56.0</v>
      </c>
      <c r="C1573" s="1">
        <v>30.0</v>
      </c>
      <c r="D1573" s="2" t="s">
        <v>1099</v>
      </c>
      <c r="E1573" s="1">
        <v>56.0</v>
      </c>
      <c r="F1573" s="1">
        <v>20.0</v>
      </c>
      <c r="G1573" s="1">
        <v>1.28</v>
      </c>
      <c r="H1573" s="1">
        <v>0.0</v>
      </c>
      <c r="I1573" s="1">
        <v>0.0</v>
      </c>
      <c r="J1573" s="1">
        <v>0.0</v>
      </c>
      <c r="K1573" s="1">
        <v>0.57</v>
      </c>
      <c r="L1573" s="1">
        <v>987000.0</v>
      </c>
      <c r="M1573" s="1" t="s">
        <v>6146</v>
      </c>
      <c r="N1573" s="18">
        <v>46015.0</v>
      </c>
      <c r="O1573" s="1" t="s">
        <v>4845</v>
      </c>
      <c r="P1573" s="1" t="s">
        <v>3230</v>
      </c>
      <c r="Q1573" s="1" t="s">
        <v>3408</v>
      </c>
    </row>
    <row r="1574">
      <c r="A1574" s="1" t="s">
        <v>6147</v>
      </c>
      <c r="B1574" s="1">
        <v>56.0</v>
      </c>
      <c r="C1574" s="1">
        <v>40.0</v>
      </c>
      <c r="D1574" s="2" t="s">
        <v>439</v>
      </c>
      <c r="E1574" s="1">
        <v>56.0</v>
      </c>
      <c r="F1574" s="1">
        <v>11.0</v>
      </c>
      <c r="G1574" s="1">
        <v>0.0</v>
      </c>
      <c r="H1574" s="1">
        <v>0.0</v>
      </c>
      <c r="I1574" s="1">
        <v>0.0</v>
      </c>
      <c r="J1574" s="1">
        <v>0.0</v>
      </c>
      <c r="K1574" s="1">
        <v>0.33</v>
      </c>
      <c r="L1574" s="1">
        <v>1050000.0</v>
      </c>
      <c r="M1574" s="1" t="s">
        <v>6148</v>
      </c>
      <c r="N1574" s="18">
        <v>46015.0</v>
      </c>
      <c r="O1574" s="1" t="s">
        <v>4771</v>
      </c>
      <c r="P1574" s="1" t="s">
        <v>3230</v>
      </c>
      <c r="Q1574" s="1" t="s">
        <v>3408</v>
      </c>
    </row>
    <row r="1575">
      <c r="A1575" s="1" t="s">
        <v>6149</v>
      </c>
      <c r="B1575" s="1">
        <v>56.0</v>
      </c>
      <c r="C1575" s="1">
        <v>90.0</v>
      </c>
      <c r="D1575" s="2" t="s">
        <v>1307</v>
      </c>
      <c r="E1575" s="1">
        <v>56.0</v>
      </c>
      <c r="F1575" s="1">
        <v>5.0</v>
      </c>
      <c r="G1575" s="1">
        <v>0.0</v>
      </c>
      <c r="H1575" s="1">
        <v>0.0</v>
      </c>
      <c r="I1575" s="1">
        <v>0.0</v>
      </c>
      <c r="J1575" s="1">
        <v>0.0</v>
      </c>
      <c r="K1575" s="1">
        <v>0.0</v>
      </c>
      <c r="L1575" s="1">
        <v>243000.0</v>
      </c>
      <c r="M1575" s="1" t="s">
        <v>6150</v>
      </c>
      <c r="N1575" s="18">
        <v>46014.0</v>
      </c>
      <c r="O1575" s="1" t="s">
        <v>6151</v>
      </c>
      <c r="P1575" s="1" t="s">
        <v>3230</v>
      </c>
      <c r="Q1575" s="1" t="s">
        <v>3408</v>
      </c>
    </row>
    <row r="1576">
      <c r="A1576" s="1" t="s">
        <v>6152</v>
      </c>
      <c r="B1576" s="1">
        <v>56.0</v>
      </c>
      <c r="C1576" s="1">
        <v>70.0</v>
      </c>
      <c r="D1576" s="2" t="s">
        <v>694</v>
      </c>
      <c r="E1576" s="1">
        <v>56.0</v>
      </c>
      <c r="F1576" s="1">
        <v>0.0</v>
      </c>
      <c r="G1576" s="1">
        <v>0.98</v>
      </c>
      <c r="H1576" s="1">
        <v>0.0</v>
      </c>
      <c r="I1576" s="1">
        <v>0.0</v>
      </c>
      <c r="J1576" s="1">
        <v>0.0</v>
      </c>
      <c r="K1576" s="1">
        <v>0.12</v>
      </c>
      <c r="L1576" s="1">
        <v>1.51E7</v>
      </c>
      <c r="M1576" s="1" t="s">
        <v>6153</v>
      </c>
      <c r="N1576" s="18">
        <v>46014.0</v>
      </c>
      <c r="O1576" s="1" t="s">
        <v>4350</v>
      </c>
      <c r="P1576" s="1" t="s">
        <v>3334</v>
      </c>
      <c r="Q1576" s="1" t="s">
        <v>3408</v>
      </c>
    </row>
    <row r="1577">
      <c r="A1577" s="1" t="s">
        <v>4181</v>
      </c>
      <c r="B1577" s="1">
        <v>56.0</v>
      </c>
      <c r="C1577" s="1">
        <v>140.0</v>
      </c>
      <c r="D1577" s="2" t="s">
        <v>447</v>
      </c>
      <c r="E1577" s="1">
        <v>56.0</v>
      </c>
      <c r="F1577" s="1">
        <v>28.0</v>
      </c>
      <c r="G1577" s="1">
        <v>14.11</v>
      </c>
      <c r="H1577" s="1">
        <v>0.0</v>
      </c>
      <c r="I1577" s="1">
        <v>0.0</v>
      </c>
      <c r="J1577" s="1">
        <v>0.0</v>
      </c>
      <c r="K1577" s="1">
        <v>0.6</v>
      </c>
      <c r="L1577" s="1">
        <v>54200.0</v>
      </c>
      <c r="M1577" s="1" t="s">
        <v>4182</v>
      </c>
      <c r="N1577" s="18">
        <v>46012.0</v>
      </c>
      <c r="O1577" s="1" t="s">
        <v>4183</v>
      </c>
      <c r="P1577" s="1" t="s">
        <v>3257</v>
      </c>
      <c r="Q1577" s="1" t="s">
        <v>3408</v>
      </c>
    </row>
    <row r="1578">
      <c r="A1578" s="1" t="s">
        <v>6154</v>
      </c>
      <c r="B1578" s="1">
        <v>56.0</v>
      </c>
      <c r="C1578" s="1">
        <v>40.0</v>
      </c>
      <c r="D1578" s="2" t="s">
        <v>712</v>
      </c>
      <c r="E1578" s="1">
        <v>56.0</v>
      </c>
      <c r="F1578" s="1">
        <v>3.0</v>
      </c>
      <c r="G1578" s="1">
        <v>0.0</v>
      </c>
      <c r="H1578" s="1">
        <v>0.0</v>
      </c>
      <c r="I1578" s="1">
        <v>0.0</v>
      </c>
      <c r="J1578" s="1">
        <v>0.0</v>
      </c>
      <c r="K1578" s="1">
        <v>0.0</v>
      </c>
      <c r="L1578" s="1">
        <v>28700.0</v>
      </c>
      <c r="M1578" s="1" t="s">
        <v>6155</v>
      </c>
      <c r="N1578" s="18">
        <v>46011.0</v>
      </c>
      <c r="O1578" s="1" t="s">
        <v>6156</v>
      </c>
      <c r="P1578" s="1" t="s">
        <v>3230</v>
      </c>
      <c r="Q1578" s="1" t="s">
        <v>3408</v>
      </c>
    </row>
    <row r="1579">
      <c r="A1579" s="1" t="s">
        <v>6157</v>
      </c>
      <c r="B1579" s="1">
        <v>56.0</v>
      </c>
      <c r="C1579" s="1">
        <v>70.0</v>
      </c>
      <c r="D1579" s="2" t="s">
        <v>439</v>
      </c>
      <c r="E1579" s="1">
        <v>56.0</v>
      </c>
      <c r="F1579" s="1">
        <v>16.0</v>
      </c>
      <c r="G1579" s="1">
        <v>0.0</v>
      </c>
      <c r="H1579" s="1">
        <v>0.0</v>
      </c>
      <c r="I1579" s="1">
        <v>0.0</v>
      </c>
      <c r="J1579" s="1">
        <v>0.0</v>
      </c>
      <c r="K1579" s="1">
        <v>0.0</v>
      </c>
      <c r="L1579" s="1">
        <v>776000.0</v>
      </c>
      <c r="M1579" s="1" t="s">
        <v>6158</v>
      </c>
      <c r="N1579" s="18">
        <v>46010.0</v>
      </c>
      <c r="O1579" s="1" t="s">
        <v>5538</v>
      </c>
      <c r="P1579" s="1" t="s">
        <v>3230</v>
      </c>
      <c r="Q1579" s="1" t="s">
        <v>3408</v>
      </c>
    </row>
    <row r="1580">
      <c r="A1580" s="1" t="s">
        <v>6159</v>
      </c>
      <c r="B1580" s="1">
        <v>56.0</v>
      </c>
      <c r="C1580" s="1">
        <v>110.0</v>
      </c>
      <c r="D1580" s="2" t="s">
        <v>2364</v>
      </c>
      <c r="E1580" s="1">
        <v>56.0</v>
      </c>
      <c r="F1580" s="1">
        <v>8.0</v>
      </c>
      <c r="G1580" s="1">
        <v>5.14</v>
      </c>
      <c r="H1580" s="1">
        <v>0.0</v>
      </c>
      <c r="I1580" s="1">
        <v>0.0</v>
      </c>
      <c r="J1580" s="1">
        <v>0.0</v>
      </c>
      <c r="K1580" s="1">
        <v>0.03</v>
      </c>
      <c r="L1580" s="1">
        <v>7070000.0</v>
      </c>
      <c r="M1580" s="1" t="s">
        <v>6160</v>
      </c>
      <c r="N1580" s="18">
        <v>46009.0</v>
      </c>
      <c r="O1580" s="1" t="s">
        <v>3479</v>
      </c>
      <c r="P1580" s="1" t="s">
        <v>3230</v>
      </c>
      <c r="Q1580" s="1" t="s">
        <v>3408</v>
      </c>
    </row>
    <row r="1581">
      <c r="A1581" s="1" t="s">
        <v>6161</v>
      </c>
      <c r="B1581" s="1">
        <v>56.0</v>
      </c>
      <c r="C1581" s="1">
        <v>30.0</v>
      </c>
      <c r="D1581" s="2" t="s">
        <v>2936</v>
      </c>
      <c r="E1581" s="1">
        <v>56.0</v>
      </c>
      <c r="F1581" s="1">
        <v>4.0</v>
      </c>
      <c r="G1581" s="1">
        <v>6.3</v>
      </c>
      <c r="H1581" s="1">
        <v>0.0</v>
      </c>
      <c r="I1581" s="1">
        <v>0.0</v>
      </c>
      <c r="J1581" s="1">
        <v>0.0</v>
      </c>
      <c r="K1581" s="1">
        <v>0.21</v>
      </c>
      <c r="L1581" s="1">
        <v>501000.0</v>
      </c>
      <c r="M1581" s="1" t="s">
        <v>6162</v>
      </c>
      <c r="N1581" s="18">
        <v>46003.0</v>
      </c>
      <c r="O1581" s="1" t="s">
        <v>6163</v>
      </c>
      <c r="P1581" s="1" t="s">
        <v>3230</v>
      </c>
      <c r="Q1581" s="1" t="s">
        <v>3408</v>
      </c>
    </row>
    <row r="1582">
      <c r="A1582" s="1" t="s">
        <v>6164</v>
      </c>
      <c r="B1582" s="1">
        <v>56.0</v>
      </c>
      <c r="C1582" s="1">
        <v>50.0</v>
      </c>
      <c r="D1582" s="2" t="s">
        <v>2966</v>
      </c>
      <c r="E1582" s="1">
        <v>56.0</v>
      </c>
      <c r="F1582" s="1">
        <v>15.0</v>
      </c>
      <c r="G1582" s="1">
        <v>59.49</v>
      </c>
      <c r="H1582" s="1">
        <v>0.0</v>
      </c>
      <c r="I1582" s="1">
        <v>0.0</v>
      </c>
      <c r="J1582" s="1">
        <v>0.0</v>
      </c>
      <c r="K1582" s="1">
        <v>0.64</v>
      </c>
      <c r="L1582" s="1">
        <v>60800.0</v>
      </c>
      <c r="M1582" s="1" t="s">
        <v>6165</v>
      </c>
      <c r="N1582" s="18">
        <v>46002.0</v>
      </c>
      <c r="O1582" s="1" t="s">
        <v>3435</v>
      </c>
      <c r="P1582" s="1" t="s">
        <v>3257</v>
      </c>
      <c r="Q1582" s="1" t="s">
        <v>3408</v>
      </c>
    </row>
    <row r="1583">
      <c r="A1583" s="1" t="s">
        <v>6166</v>
      </c>
      <c r="B1583" s="1">
        <v>56.0</v>
      </c>
      <c r="C1583" s="1">
        <v>90.0</v>
      </c>
      <c r="D1583" s="2" t="s">
        <v>581</v>
      </c>
      <c r="E1583" s="1">
        <v>56.0</v>
      </c>
      <c r="F1583" s="1">
        <v>1.0</v>
      </c>
      <c r="G1583" s="1">
        <v>0.0</v>
      </c>
      <c r="H1583" s="1">
        <v>0.0</v>
      </c>
      <c r="I1583" s="1">
        <v>0.0</v>
      </c>
      <c r="J1583" s="1">
        <v>0.0</v>
      </c>
      <c r="K1583" s="1">
        <v>0.14</v>
      </c>
      <c r="L1583" s="1">
        <v>4500000.0</v>
      </c>
      <c r="M1583" s="1" t="s">
        <v>6167</v>
      </c>
      <c r="N1583" s="18">
        <v>45998.0</v>
      </c>
      <c r="O1583" s="1" t="s">
        <v>6168</v>
      </c>
      <c r="P1583" s="1" t="s">
        <v>3230</v>
      </c>
      <c r="Q1583" s="1" t="s">
        <v>3408</v>
      </c>
    </row>
    <row r="1584">
      <c r="A1584" s="1" t="s">
        <v>3561</v>
      </c>
      <c r="B1584" s="1">
        <v>56.0</v>
      </c>
      <c r="C1584" s="1">
        <v>110.0</v>
      </c>
      <c r="D1584" s="2" t="s">
        <v>687</v>
      </c>
      <c r="E1584" s="1">
        <v>56.0</v>
      </c>
      <c r="F1584" s="1">
        <v>15.0</v>
      </c>
      <c r="G1584" s="1">
        <v>14.11</v>
      </c>
      <c r="H1584" s="1">
        <v>0.0</v>
      </c>
      <c r="I1584" s="1">
        <v>0.0</v>
      </c>
      <c r="J1584" s="1">
        <v>0.0</v>
      </c>
      <c r="K1584" s="1">
        <v>0.6</v>
      </c>
      <c r="L1584" s="1">
        <v>0.0</v>
      </c>
      <c r="M1584" s="1" t="s">
        <v>3562</v>
      </c>
      <c r="N1584" s="18">
        <v>45984.0</v>
      </c>
      <c r="O1584" s="1" t="s">
        <v>3415</v>
      </c>
      <c r="P1584" s="1" t="s">
        <v>3257</v>
      </c>
      <c r="Q1584" s="1" t="s">
        <v>3408</v>
      </c>
    </row>
    <row r="1585">
      <c r="A1585" s="1" t="s">
        <v>6169</v>
      </c>
      <c r="B1585" s="1">
        <v>56.0</v>
      </c>
      <c r="C1585" s="1">
        <v>170.0</v>
      </c>
      <c r="D1585" s="2" t="s">
        <v>2950</v>
      </c>
      <c r="E1585" s="1">
        <v>56.0</v>
      </c>
      <c r="F1585" s="1">
        <v>8.0</v>
      </c>
      <c r="G1585" s="1">
        <v>10.11</v>
      </c>
      <c r="H1585" s="1">
        <v>0.0</v>
      </c>
      <c r="I1585" s="1">
        <v>0.0</v>
      </c>
      <c r="J1585" s="1">
        <v>0.0</v>
      </c>
      <c r="K1585" s="1">
        <v>0.58</v>
      </c>
      <c r="L1585" s="1">
        <v>10.0</v>
      </c>
      <c r="M1585" s="1" t="s">
        <v>6170</v>
      </c>
      <c r="N1585" s="18">
        <v>45984.0</v>
      </c>
      <c r="O1585" s="1" t="s">
        <v>6171</v>
      </c>
      <c r="P1585" s="1" t="s">
        <v>3257</v>
      </c>
      <c r="Q1585" s="1" t="s">
        <v>3408</v>
      </c>
    </row>
    <row r="1586">
      <c r="A1586" s="1" t="s">
        <v>3725</v>
      </c>
      <c r="B1586" s="1">
        <v>56.0</v>
      </c>
      <c r="C1586" s="1">
        <v>260.0</v>
      </c>
      <c r="D1586" s="2" t="s">
        <v>6172</v>
      </c>
      <c r="E1586" s="1">
        <v>56.0</v>
      </c>
      <c r="F1586" s="1">
        <v>19.0</v>
      </c>
      <c r="G1586" s="1">
        <v>17.92</v>
      </c>
      <c r="H1586" s="1">
        <v>0.0</v>
      </c>
      <c r="I1586" s="1">
        <v>0.0</v>
      </c>
      <c r="J1586" s="1">
        <v>0.0</v>
      </c>
      <c r="K1586" s="1">
        <v>0.32</v>
      </c>
      <c r="L1586" s="1">
        <v>10.0</v>
      </c>
      <c r="M1586" s="1" t="s">
        <v>3726</v>
      </c>
      <c r="N1586" s="18">
        <v>45984.0</v>
      </c>
      <c r="O1586" s="1" t="s">
        <v>3727</v>
      </c>
      <c r="P1586" s="1" t="s">
        <v>3257</v>
      </c>
      <c r="Q1586" s="1" t="s">
        <v>3408</v>
      </c>
    </row>
    <row r="1587">
      <c r="A1587" s="1" t="s">
        <v>6173</v>
      </c>
      <c r="B1587" s="1">
        <v>56.0</v>
      </c>
      <c r="C1587" s="1">
        <v>70.0</v>
      </c>
      <c r="D1587" s="2" t="s">
        <v>581</v>
      </c>
      <c r="E1587" s="1">
        <v>56.0</v>
      </c>
      <c r="F1587" s="1">
        <v>6.0</v>
      </c>
      <c r="G1587" s="1">
        <v>15.63</v>
      </c>
      <c r="H1587" s="1">
        <v>0.0</v>
      </c>
      <c r="I1587" s="1">
        <v>0.0</v>
      </c>
      <c r="J1587" s="1">
        <v>0.0</v>
      </c>
      <c r="K1587" s="1">
        <v>0.84</v>
      </c>
      <c r="L1587" s="1">
        <v>10.0</v>
      </c>
      <c r="M1587" s="1" t="s">
        <v>6174</v>
      </c>
      <c r="N1587" s="18">
        <v>45979.0</v>
      </c>
      <c r="O1587" s="1" t="s">
        <v>3673</v>
      </c>
      <c r="P1587" s="1" t="s">
        <v>3257</v>
      </c>
      <c r="Q1587" s="1" t="s">
        <v>3408</v>
      </c>
    </row>
    <row r="1588">
      <c r="A1588" s="1" t="s">
        <v>6175</v>
      </c>
      <c r="B1588" s="1">
        <v>57.0</v>
      </c>
      <c r="C1588" s="1">
        <v>30.0</v>
      </c>
      <c r="D1588" s="2" t="s">
        <v>6176</v>
      </c>
      <c r="E1588" s="1">
        <v>57.0</v>
      </c>
      <c r="F1588" s="1">
        <v>12.0</v>
      </c>
      <c r="G1588" s="1">
        <v>151.55</v>
      </c>
      <c r="H1588" s="1">
        <v>0.0</v>
      </c>
      <c r="I1588" s="1">
        <v>0.0</v>
      </c>
      <c r="J1588" s="1">
        <v>0.0</v>
      </c>
      <c r="K1588" s="1">
        <v>0.59</v>
      </c>
      <c r="L1588" s="1">
        <v>169000.0</v>
      </c>
      <c r="M1588" s="1" t="s">
        <v>6177</v>
      </c>
      <c r="N1588" s="18">
        <v>46036.0</v>
      </c>
      <c r="O1588" s="1" t="s">
        <v>3482</v>
      </c>
      <c r="P1588" s="1" t="s">
        <v>3257</v>
      </c>
      <c r="Q1588" s="1" t="s">
        <v>3408</v>
      </c>
    </row>
    <row r="1589">
      <c r="A1589" s="1" t="s">
        <v>6178</v>
      </c>
      <c r="B1589" s="1">
        <v>57.0</v>
      </c>
      <c r="C1589" s="1">
        <v>90.0</v>
      </c>
      <c r="D1589" s="2" t="s">
        <v>1055</v>
      </c>
      <c r="E1589" s="1">
        <v>57.0</v>
      </c>
      <c r="G1589" s="1">
        <v>13.88</v>
      </c>
      <c r="H1589" s="1">
        <v>0.0</v>
      </c>
      <c r="I1589" s="1">
        <v>0.0</v>
      </c>
      <c r="J1589" s="1">
        <v>0.0</v>
      </c>
      <c r="K1589" s="1">
        <v>0.67</v>
      </c>
      <c r="L1589" s="1">
        <v>1.22E7</v>
      </c>
      <c r="M1589" s="1" t="s">
        <v>6179</v>
      </c>
      <c r="N1589" s="18">
        <v>46034.0</v>
      </c>
      <c r="O1589" s="1" t="s">
        <v>3673</v>
      </c>
      <c r="P1589" s="1" t="s">
        <v>3257</v>
      </c>
      <c r="Q1589" s="1" t="s">
        <v>3408</v>
      </c>
    </row>
    <row r="1590">
      <c r="A1590" s="1" t="s">
        <v>6180</v>
      </c>
      <c r="B1590" s="1">
        <v>57.0</v>
      </c>
      <c r="C1590" s="1">
        <v>90.0</v>
      </c>
      <c r="D1590" s="2" t="s">
        <v>439</v>
      </c>
      <c r="E1590" s="1">
        <v>57.0</v>
      </c>
      <c r="F1590" s="1">
        <v>44.0</v>
      </c>
      <c r="G1590" s="1">
        <v>3.83</v>
      </c>
      <c r="H1590" s="1">
        <v>0.0</v>
      </c>
      <c r="I1590" s="1">
        <v>0.0</v>
      </c>
      <c r="J1590" s="1">
        <v>0.0</v>
      </c>
      <c r="K1590" s="1">
        <v>0.1</v>
      </c>
      <c r="L1590" s="1">
        <v>518000.0</v>
      </c>
      <c r="M1590" s="1" t="s">
        <v>6181</v>
      </c>
      <c r="N1590" s="18">
        <v>46034.0</v>
      </c>
      <c r="O1590" s="1" t="s">
        <v>3404</v>
      </c>
      <c r="P1590" s="1" t="s">
        <v>3462</v>
      </c>
      <c r="Q1590" s="1" t="s">
        <v>3408</v>
      </c>
    </row>
    <row r="1591">
      <c r="A1591" s="1" t="s">
        <v>3687</v>
      </c>
      <c r="B1591" s="1">
        <v>57.0</v>
      </c>
      <c r="C1591" s="1">
        <v>40.0</v>
      </c>
      <c r="D1591" s="2" t="s">
        <v>475</v>
      </c>
      <c r="E1591" s="1">
        <v>57.0</v>
      </c>
      <c r="F1591" s="1">
        <v>14.0</v>
      </c>
      <c r="G1591" s="1">
        <v>16.24</v>
      </c>
      <c r="H1591" s="1">
        <v>0.0</v>
      </c>
      <c r="I1591" s="1">
        <v>0.0</v>
      </c>
      <c r="J1591" s="1">
        <v>0.0</v>
      </c>
      <c r="K1591" s="1">
        <v>0.67</v>
      </c>
      <c r="L1591" s="1">
        <v>121000.0</v>
      </c>
      <c r="M1591" s="1" t="s">
        <v>3688</v>
      </c>
      <c r="N1591" s="18">
        <v>46032.0</v>
      </c>
      <c r="O1591" s="1" t="s">
        <v>3455</v>
      </c>
      <c r="P1591" s="1" t="s">
        <v>3257</v>
      </c>
      <c r="Q1591" s="1" t="s">
        <v>3408</v>
      </c>
    </row>
    <row r="1592">
      <c r="A1592" s="1" t="s">
        <v>6182</v>
      </c>
      <c r="B1592" s="1">
        <v>57.0</v>
      </c>
      <c r="C1592" s="1">
        <v>480.0</v>
      </c>
      <c r="D1592" s="2" t="s">
        <v>2191</v>
      </c>
      <c r="E1592" s="1">
        <v>57.0</v>
      </c>
      <c r="F1592" s="1">
        <v>23.0</v>
      </c>
      <c r="G1592" s="1">
        <v>0.0</v>
      </c>
      <c r="H1592" s="1">
        <v>0.0</v>
      </c>
      <c r="I1592" s="1">
        <v>0.0</v>
      </c>
      <c r="J1592" s="1">
        <v>0.0</v>
      </c>
      <c r="K1592" s="1">
        <v>0.0</v>
      </c>
      <c r="L1592" s="1">
        <v>4810000.0</v>
      </c>
      <c r="M1592" s="1" t="s">
        <v>6183</v>
      </c>
      <c r="N1592" s="18">
        <v>46029.0</v>
      </c>
      <c r="O1592" s="1" t="s">
        <v>3274</v>
      </c>
      <c r="P1592" s="1" t="s">
        <v>3230</v>
      </c>
      <c r="Q1592" s="1" t="s">
        <v>3408</v>
      </c>
    </row>
    <row r="1593">
      <c r="A1593" s="1" t="s">
        <v>6184</v>
      </c>
      <c r="B1593" s="1">
        <v>57.0</v>
      </c>
      <c r="C1593" s="1">
        <v>50.0</v>
      </c>
      <c r="D1593" s="2" t="s">
        <v>1307</v>
      </c>
      <c r="E1593" s="1">
        <v>57.0</v>
      </c>
      <c r="F1593" s="1">
        <v>11.0</v>
      </c>
      <c r="G1593" s="1">
        <v>11.47</v>
      </c>
      <c r="H1593" s="1">
        <v>0.0</v>
      </c>
      <c r="I1593" s="1">
        <v>0.0</v>
      </c>
      <c r="J1593" s="1">
        <v>0.0</v>
      </c>
      <c r="K1593" s="1">
        <v>0.9</v>
      </c>
      <c r="L1593" s="1">
        <v>94200.0</v>
      </c>
      <c r="M1593" s="1" t="s">
        <v>6185</v>
      </c>
      <c r="N1593" s="18">
        <v>46028.0</v>
      </c>
      <c r="O1593" s="1" t="s">
        <v>3355</v>
      </c>
      <c r="P1593" s="1" t="s">
        <v>3257</v>
      </c>
      <c r="Q1593" s="1" t="s">
        <v>3408</v>
      </c>
    </row>
    <row r="1594">
      <c r="A1594" s="1" t="s">
        <v>6186</v>
      </c>
      <c r="B1594" s="1">
        <v>57.0</v>
      </c>
      <c r="C1594" s="1">
        <v>50.0</v>
      </c>
      <c r="D1594" s="2" t="s">
        <v>1868</v>
      </c>
      <c r="E1594" s="1">
        <v>57.0</v>
      </c>
      <c r="F1594" s="1">
        <v>56.0</v>
      </c>
      <c r="G1594" s="1">
        <v>0.0</v>
      </c>
      <c r="H1594" s="1">
        <v>0.0</v>
      </c>
      <c r="I1594" s="1">
        <v>0.0</v>
      </c>
      <c r="J1594" s="1">
        <v>0.0</v>
      </c>
      <c r="K1594" s="1">
        <v>0.33</v>
      </c>
      <c r="L1594" s="1">
        <v>4.03E8</v>
      </c>
      <c r="M1594" s="1" t="s">
        <v>6187</v>
      </c>
      <c r="N1594" s="18">
        <v>46028.0</v>
      </c>
      <c r="O1594" s="1" t="s">
        <v>5458</v>
      </c>
      <c r="P1594" s="1" t="s">
        <v>3230</v>
      </c>
      <c r="Q1594" s="1" t="s">
        <v>3408</v>
      </c>
    </row>
    <row r="1595">
      <c r="A1595" s="1" t="s">
        <v>6188</v>
      </c>
      <c r="B1595" s="1">
        <v>57.0</v>
      </c>
      <c r="C1595" s="1">
        <v>30.0</v>
      </c>
      <c r="D1595" s="2" t="s">
        <v>439</v>
      </c>
      <c r="E1595" s="1">
        <v>57.0</v>
      </c>
      <c r="F1595" s="1">
        <v>6.0</v>
      </c>
      <c r="G1595" s="1">
        <v>3.1</v>
      </c>
      <c r="H1595" s="1">
        <v>0.0</v>
      </c>
      <c r="I1595" s="1">
        <v>0.0</v>
      </c>
      <c r="J1595" s="1">
        <v>0.0</v>
      </c>
      <c r="K1595" s="1">
        <v>0.29</v>
      </c>
      <c r="L1595" s="1">
        <v>493000.0</v>
      </c>
      <c r="M1595" s="1" t="s">
        <v>4564</v>
      </c>
      <c r="N1595" s="18">
        <v>46027.0</v>
      </c>
      <c r="O1595" s="1" t="s">
        <v>6189</v>
      </c>
      <c r="P1595" s="1" t="s">
        <v>3334</v>
      </c>
      <c r="Q1595" s="1" t="s">
        <v>3408</v>
      </c>
    </row>
    <row r="1596">
      <c r="A1596" s="1" t="s">
        <v>6190</v>
      </c>
      <c r="B1596" s="1">
        <v>57.0</v>
      </c>
      <c r="C1596" s="1">
        <v>70.0</v>
      </c>
      <c r="D1596" s="2" t="s">
        <v>1868</v>
      </c>
      <c r="E1596" s="1">
        <v>57.0</v>
      </c>
      <c r="F1596" s="1">
        <v>39.0</v>
      </c>
      <c r="G1596" s="1">
        <v>0.0</v>
      </c>
      <c r="H1596" s="1">
        <v>0.0</v>
      </c>
      <c r="I1596" s="1">
        <v>0.0</v>
      </c>
      <c r="J1596" s="1">
        <v>0.0</v>
      </c>
      <c r="K1596" s="1">
        <v>0.0</v>
      </c>
      <c r="L1596" s="1">
        <v>4.08E8</v>
      </c>
      <c r="M1596" s="1" t="s">
        <v>6191</v>
      </c>
      <c r="N1596" s="18">
        <v>46024.0</v>
      </c>
      <c r="O1596" s="1" t="s">
        <v>5571</v>
      </c>
      <c r="P1596" s="1" t="s">
        <v>3230</v>
      </c>
      <c r="Q1596" s="1" t="s">
        <v>3408</v>
      </c>
    </row>
    <row r="1597">
      <c r="A1597" s="1" t="s">
        <v>4004</v>
      </c>
      <c r="B1597" s="1">
        <v>57.0</v>
      </c>
      <c r="C1597" s="1">
        <v>170.0</v>
      </c>
      <c r="D1597" s="2" t="s">
        <v>447</v>
      </c>
      <c r="E1597" s="1">
        <v>57.0</v>
      </c>
      <c r="F1597" s="1">
        <v>32.0</v>
      </c>
      <c r="G1597" s="1">
        <v>14.43</v>
      </c>
      <c r="H1597" s="1">
        <v>0.0</v>
      </c>
      <c r="I1597" s="1">
        <v>0.0</v>
      </c>
      <c r="J1597" s="1">
        <v>0.0</v>
      </c>
      <c r="K1597" s="1">
        <v>0.61</v>
      </c>
      <c r="L1597" s="1">
        <v>197000.0</v>
      </c>
      <c r="M1597" s="1" t="s">
        <v>4005</v>
      </c>
      <c r="N1597" s="18">
        <v>46022.0</v>
      </c>
      <c r="O1597" s="1" t="s">
        <v>4006</v>
      </c>
      <c r="P1597" s="1" t="s">
        <v>3257</v>
      </c>
      <c r="Q1597" s="1" t="s">
        <v>3408</v>
      </c>
    </row>
    <row r="1598">
      <c r="A1598" s="1" t="s">
        <v>6192</v>
      </c>
      <c r="B1598" s="1">
        <v>57.0</v>
      </c>
      <c r="C1598" s="1">
        <v>110.0</v>
      </c>
      <c r="D1598" s="2" t="s">
        <v>782</v>
      </c>
      <c r="E1598" s="1">
        <v>57.0</v>
      </c>
      <c r="F1598" s="1">
        <v>3.0</v>
      </c>
      <c r="G1598" s="1">
        <v>0.0</v>
      </c>
      <c r="H1598" s="1">
        <v>0.0</v>
      </c>
      <c r="I1598" s="1">
        <v>0.0</v>
      </c>
      <c r="J1598" s="1">
        <v>0.0</v>
      </c>
      <c r="K1598" s="1">
        <v>0.03</v>
      </c>
      <c r="L1598" s="1">
        <v>9620000.0</v>
      </c>
      <c r="M1598" s="1" t="s">
        <v>6193</v>
      </c>
      <c r="N1598" s="18">
        <v>46022.0</v>
      </c>
      <c r="O1598" s="1" t="s">
        <v>3673</v>
      </c>
      <c r="P1598" s="1" t="s">
        <v>3257</v>
      </c>
      <c r="Q1598" s="1" t="s">
        <v>3408</v>
      </c>
    </row>
    <row r="1599">
      <c r="A1599" s="1" t="s">
        <v>6194</v>
      </c>
      <c r="B1599" s="1">
        <v>57.0</v>
      </c>
      <c r="C1599" s="1">
        <v>720.0</v>
      </c>
      <c r="D1599" s="2" t="s">
        <v>2930</v>
      </c>
      <c r="E1599" s="1">
        <v>57.0</v>
      </c>
      <c r="F1599" s="1">
        <v>42.0</v>
      </c>
      <c r="G1599" s="1">
        <v>0.57</v>
      </c>
      <c r="H1599" s="1">
        <v>0.0</v>
      </c>
      <c r="I1599" s="1">
        <v>0.0</v>
      </c>
      <c r="J1599" s="1">
        <v>0.0</v>
      </c>
      <c r="K1599" s="1">
        <v>0.0</v>
      </c>
      <c r="L1599" s="1">
        <v>1.3E8</v>
      </c>
      <c r="M1599" s="1" t="s">
        <v>6195</v>
      </c>
      <c r="N1599" s="18">
        <v>46020.0</v>
      </c>
      <c r="O1599" s="1" t="s">
        <v>6196</v>
      </c>
      <c r="P1599" s="1" t="s">
        <v>3230</v>
      </c>
      <c r="Q1599" s="1" t="s">
        <v>3408</v>
      </c>
    </row>
    <row r="1600">
      <c r="A1600" s="1" t="s">
        <v>6197</v>
      </c>
      <c r="B1600" s="1">
        <v>57.0</v>
      </c>
      <c r="C1600" s="1">
        <v>90.0</v>
      </c>
      <c r="D1600" s="2" t="s">
        <v>2416</v>
      </c>
      <c r="E1600" s="1">
        <v>57.0</v>
      </c>
      <c r="F1600" s="1">
        <v>13.0</v>
      </c>
      <c r="G1600" s="1">
        <v>0.0</v>
      </c>
      <c r="H1600" s="1">
        <v>0.0</v>
      </c>
      <c r="I1600" s="1">
        <v>0.0</v>
      </c>
      <c r="J1600" s="1">
        <v>0.0</v>
      </c>
      <c r="K1600" s="1">
        <v>0.0</v>
      </c>
      <c r="L1600" s="1">
        <v>0.0</v>
      </c>
      <c r="M1600" s="1" t="s">
        <v>6198</v>
      </c>
      <c r="N1600" s="18">
        <v>46017.0</v>
      </c>
      <c r="O1600" s="1" t="s">
        <v>3750</v>
      </c>
      <c r="P1600" s="1" t="s">
        <v>3230</v>
      </c>
      <c r="Q1600" s="1" t="s">
        <v>3408</v>
      </c>
    </row>
    <row r="1601">
      <c r="A1601" s="1" t="s">
        <v>4565</v>
      </c>
      <c r="B1601" s="1">
        <v>57.0</v>
      </c>
      <c r="C1601" s="1">
        <v>70.0</v>
      </c>
      <c r="D1601" s="2" t="s">
        <v>1060</v>
      </c>
      <c r="E1601" s="1">
        <v>57.0</v>
      </c>
      <c r="F1601" s="1">
        <v>31.0</v>
      </c>
      <c r="G1601" s="1">
        <v>18.67</v>
      </c>
      <c r="H1601" s="1">
        <v>0.0</v>
      </c>
      <c r="I1601" s="1">
        <v>0.0</v>
      </c>
      <c r="J1601" s="1">
        <v>0.0</v>
      </c>
      <c r="K1601" s="1">
        <v>0.79</v>
      </c>
      <c r="L1601" s="1">
        <v>256000.0</v>
      </c>
      <c r="M1601" s="1" t="s">
        <v>4566</v>
      </c>
      <c r="N1601" s="18">
        <v>46016.0</v>
      </c>
      <c r="O1601" s="1" t="s">
        <v>3854</v>
      </c>
      <c r="P1601" s="1" t="s">
        <v>3257</v>
      </c>
      <c r="Q1601" s="1" t="s">
        <v>3408</v>
      </c>
    </row>
    <row r="1602">
      <c r="A1602" s="1" t="s">
        <v>4132</v>
      </c>
      <c r="B1602" s="1">
        <v>57.0</v>
      </c>
      <c r="C1602" s="1">
        <v>70.0</v>
      </c>
      <c r="D1602" s="2" t="s">
        <v>768</v>
      </c>
      <c r="E1602" s="1">
        <v>57.0</v>
      </c>
      <c r="F1602" s="1">
        <v>2.0</v>
      </c>
      <c r="G1602" s="1">
        <v>0.0</v>
      </c>
      <c r="H1602" s="1">
        <v>0.0</v>
      </c>
      <c r="I1602" s="1">
        <v>0.0</v>
      </c>
      <c r="J1602" s="1">
        <v>0.0</v>
      </c>
      <c r="K1602" s="1">
        <v>0.33</v>
      </c>
      <c r="L1602" s="1">
        <v>250000.0</v>
      </c>
      <c r="M1602" s="1" t="s">
        <v>4133</v>
      </c>
      <c r="N1602" s="18">
        <v>46015.0</v>
      </c>
      <c r="O1602" s="1" t="s">
        <v>4134</v>
      </c>
      <c r="P1602" s="1" t="s">
        <v>3334</v>
      </c>
      <c r="Q1602" s="1" t="s">
        <v>3408</v>
      </c>
    </row>
    <row r="1603">
      <c r="A1603" s="1" t="s">
        <v>3477</v>
      </c>
      <c r="B1603" s="1">
        <v>57.0</v>
      </c>
      <c r="C1603" s="1">
        <v>110.0</v>
      </c>
      <c r="D1603" s="2" t="s">
        <v>2364</v>
      </c>
      <c r="E1603" s="1">
        <v>57.0</v>
      </c>
      <c r="F1603" s="1">
        <v>5.0</v>
      </c>
      <c r="G1603" s="1">
        <v>0.0</v>
      </c>
      <c r="H1603" s="1">
        <v>0.0</v>
      </c>
      <c r="I1603" s="1">
        <v>0.0</v>
      </c>
      <c r="J1603" s="1">
        <v>0.0</v>
      </c>
      <c r="K1603" s="1">
        <v>0.01</v>
      </c>
      <c r="L1603" s="1">
        <v>7020000.0</v>
      </c>
      <c r="M1603" s="1" t="s">
        <v>3478</v>
      </c>
      <c r="N1603" s="18">
        <v>46008.0</v>
      </c>
      <c r="O1603" s="1" t="s">
        <v>3479</v>
      </c>
      <c r="P1603" s="1" t="s">
        <v>3230</v>
      </c>
      <c r="Q1603" s="1" t="s">
        <v>3408</v>
      </c>
    </row>
    <row r="1604">
      <c r="A1604" s="1" t="s">
        <v>6199</v>
      </c>
      <c r="B1604" s="1">
        <v>57.0</v>
      </c>
      <c r="C1604" s="1">
        <v>50.0</v>
      </c>
      <c r="D1604" s="2" t="s">
        <v>1868</v>
      </c>
      <c r="E1604" s="1">
        <v>57.0</v>
      </c>
      <c r="F1604" s="1">
        <v>45.0</v>
      </c>
      <c r="G1604" s="1">
        <v>0.0</v>
      </c>
      <c r="H1604" s="1">
        <v>0.0</v>
      </c>
      <c r="I1604" s="1">
        <v>0.0</v>
      </c>
      <c r="J1604" s="1">
        <v>0.0</v>
      </c>
      <c r="K1604" s="1">
        <v>0.0</v>
      </c>
      <c r="L1604" s="1">
        <v>4.16E8</v>
      </c>
      <c r="M1604" s="1" t="s">
        <v>6200</v>
      </c>
      <c r="N1604" s="18">
        <v>46006.0</v>
      </c>
      <c r="O1604" s="1" t="s">
        <v>5344</v>
      </c>
      <c r="P1604" s="1" t="s">
        <v>3230</v>
      </c>
      <c r="Q1604" s="1" t="s">
        <v>3408</v>
      </c>
    </row>
    <row r="1605">
      <c r="A1605" s="1" t="s">
        <v>6201</v>
      </c>
      <c r="B1605" s="1">
        <v>57.0</v>
      </c>
      <c r="C1605" s="1">
        <v>140.0</v>
      </c>
      <c r="D1605" s="2" t="s">
        <v>581</v>
      </c>
      <c r="E1605" s="1">
        <v>57.0</v>
      </c>
      <c r="F1605" s="1">
        <v>39.0</v>
      </c>
      <c r="G1605" s="1">
        <v>16.88</v>
      </c>
      <c r="H1605" s="1">
        <v>0.0</v>
      </c>
      <c r="I1605" s="1">
        <v>0.0</v>
      </c>
      <c r="J1605" s="1">
        <v>0.0</v>
      </c>
      <c r="K1605" s="1">
        <v>0.54</v>
      </c>
      <c r="L1605" s="1">
        <v>131000.0</v>
      </c>
      <c r="M1605" s="1" t="s">
        <v>6202</v>
      </c>
      <c r="N1605" s="18">
        <v>46005.0</v>
      </c>
      <c r="O1605" s="1" t="s">
        <v>3892</v>
      </c>
      <c r="P1605" s="1" t="s">
        <v>3257</v>
      </c>
      <c r="Q1605" s="1" t="s">
        <v>3408</v>
      </c>
    </row>
    <row r="1606">
      <c r="A1606" s="1" t="s">
        <v>6203</v>
      </c>
      <c r="B1606" s="1">
        <v>57.0</v>
      </c>
      <c r="C1606" s="1">
        <v>110.0</v>
      </c>
      <c r="D1606" s="2" t="s">
        <v>2416</v>
      </c>
      <c r="E1606" s="1">
        <v>57.0</v>
      </c>
      <c r="F1606" s="1">
        <v>11.0</v>
      </c>
      <c r="G1606" s="1">
        <v>0.0</v>
      </c>
      <c r="H1606" s="1">
        <v>0.0</v>
      </c>
      <c r="I1606" s="1">
        <v>0.0</v>
      </c>
      <c r="J1606" s="1">
        <v>0.0</v>
      </c>
      <c r="K1606" s="1">
        <v>0.01</v>
      </c>
      <c r="L1606" s="1">
        <v>3120000.0</v>
      </c>
      <c r="M1606" s="1" t="s">
        <v>6204</v>
      </c>
      <c r="N1606" s="18">
        <v>46004.0</v>
      </c>
      <c r="O1606" s="1" t="s">
        <v>4811</v>
      </c>
      <c r="P1606" s="1" t="s">
        <v>3230</v>
      </c>
      <c r="Q1606" s="1" t="s">
        <v>3408</v>
      </c>
    </row>
    <row r="1607">
      <c r="A1607" s="1" t="s">
        <v>6205</v>
      </c>
      <c r="B1607" s="1">
        <v>57.0</v>
      </c>
      <c r="C1607" s="1">
        <v>70.0</v>
      </c>
      <c r="D1607" s="2" t="s">
        <v>1331</v>
      </c>
      <c r="E1607" s="1">
        <v>57.0</v>
      </c>
      <c r="F1607" s="1">
        <v>20.0</v>
      </c>
      <c r="G1607" s="1">
        <v>0.0</v>
      </c>
      <c r="H1607" s="1">
        <v>0.0</v>
      </c>
      <c r="I1607" s="1">
        <v>0.0</v>
      </c>
      <c r="J1607" s="1">
        <v>0.0</v>
      </c>
      <c r="K1607" s="1">
        <v>0.0</v>
      </c>
      <c r="L1607" s="1">
        <v>8.35E7</v>
      </c>
      <c r="M1607" s="1" t="s">
        <v>6206</v>
      </c>
      <c r="N1607" s="18">
        <v>46001.0</v>
      </c>
      <c r="O1607" s="1" t="s">
        <v>6207</v>
      </c>
      <c r="P1607" s="1" t="s">
        <v>3230</v>
      </c>
      <c r="Q1607" s="1" t="s">
        <v>3408</v>
      </c>
    </row>
    <row r="1608">
      <c r="A1608" s="1" t="s">
        <v>6208</v>
      </c>
      <c r="B1608" s="1">
        <v>57.0</v>
      </c>
      <c r="C1608" s="1">
        <v>30.0</v>
      </c>
      <c r="D1608" s="2" t="s">
        <v>439</v>
      </c>
      <c r="E1608" s="1">
        <v>57.0</v>
      </c>
      <c r="F1608" s="1">
        <v>27.0</v>
      </c>
      <c r="G1608" s="1">
        <v>7.22</v>
      </c>
      <c r="H1608" s="1">
        <v>0.0</v>
      </c>
      <c r="I1608" s="1">
        <v>0.0</v>
      </c>
      <c r="J1608" s="1">
        <v>0.0</v>
      </c>
      <c r="K1608" s="1">
        <v>0.23</v>
      </c>
      <c r="L1608" s="1">
        <v>1200000.0</v>
      </c>
      <c r="M1608" s="1" t="s">
        <v>4708</v>
      </c>
      <c r="N1608" s="18">
        <v>46000.0</v>
      </c>
      <c r="O1608" s="1" t="s">
        <v>3821</v>
      </c>
      <c r="P1608" s="1" t="s">
        <v>3294</v>
      </c>
      <c r="Q1608" s="1" t="s">
        <v>3408</v>
      </c>
    </row>
    <row r="1609">
      <c r="A1609" s="1" t="s">
        <v>6209</v>
      </c>
      <c r="B1609" s="1">
        <v>57.0</v>
      </c>
      <c r="C1609" s="1">
        <v>210.0</v>
      </c>
      <c r="D1609" s="2" t="s">
        <v>698</v>
      </c>
      <c r="E1609" s="1">
        <v>57.0</v>
      </c>
      <c r="F1609" s="1">
        <v>27.0</v>
      </c>
      <c r="G1609" s="1">
        <v>120.58</v>
      </c>
      <c r="H1609" s="1">
        <v>0.0</v>
      </c>
      <c r="I1609" s="1">
        <v>0.0</v>
      </c>
      <c r="J1609" s="1">
        <v>0.0</v>
      </c>
      <c r="K1609" s="1">
        <v>0.04</v>
      </c>
      <c r="L1609" s="1">
        <v>2.69E7</v>
      </c>
      <c r="M1609" s="1" t="s">
        <v>6210</v>
      </c>
      <c r="N1609" s="18">
        <v>45996.0</v>
      </c>
      <c r="O1609" s="1" t="s">
        <v>6211</v>
      </c>
      <c r="P1609" s="1" t="s">
        <v>3257</v>
      </c>
      <c r="Q1609" s="1" t="s">
        <v>3408</v>
      </c>
    </row>
    <row r="1610">
      <c r="A1610" s="1" t="s">
        <v>6212</v>
      </c>
      <c r="B1610" s="1">
        <v>57.0</v>
      </c>
      <c r="C1610" s="1">
        <v>260.0</v>
      </c>
      <c r="D1610" s="2" t="s">
        <v>2249</v>
      </c>
      <c r="E1610" s="1">
        <v>57.0</v>
      </c>
      <c r="F1610" s="1">
        <v>19.0</v>
      </c>
      <c r="G1610" s="1">
        <v>0.0</v>
      </c>
      <c r="H1610" s="1">
        <v>0.0</v>
      </c>
      <c r="I1610" s="1">
        <v>0.0</v>
      </c>
      <c r="J1610" s="1">
        <v>0.0</v>
      </c>
      <c r="K1610" s="1">
        <v>0.0</v>
      </c>
      <c r="L1610" s="1">
        <v>1.4E8</v>
      </c>
      <c r="M1610" s="1" t="s">
        <v>6213</v>
      </c>
      <c r="N1610" s="18">
        <v>45995.0</v>
      </c>
      <c r="O1610" s="1" t="s">
        <v>5344</v>
      </c>
      <c r="P1610" s="1" t="s">
        <v>3230</v>
      </c>
      <c r="Q1610" s="1" t="s">
        <v>3408</v>
      </c>
    </row>
    <row r="1611">
      <c r="A1611" s="1" t="s">
        <v>6214</v>
      </c>
      <c r="B1611" s="1">
        <v>57.0</v>
      </c>
      <c r="C1611" s="1">
        <v>50.0</v>
      </c>
      <c r="D1611" s="2" t="s">
        <v>439</v>
      </c>
      <c r="E1611" s="1">
        <v>57.0</v>
      </c>
      <c r="F1611" s="1">
        <v>19.0</v>
      </c>
      <c r="G1611" s="1">
        <v>0.0</v>
      </c>
      <c r="H1611" s="1">
        <v>0.0</v>
      </c>
      <c r="I1611" s="1">
        <v>0.0</v>
      </c>
      <c r="J1611" s="1">
        <v>0.0</v>
      </c>
      <c r="K1611" s="1">
        <v>0.03</v>
      </c>
      <c r="L1611" s="1">
        <v>2950000.0</v>
      </c>
      <c r="M1611" s="1" t="s">
        <v>6215</v>
      </c>
      <c r="N1611" s="18">
        <v>45992.0</v>
      </c>
      <c r="O1611" s="1" t="s">
        <v>3293</v>
      </c>
      <c r="P1611" s="1" t="s">
        <v>3294</v>
      </c>
      <c r="Q1611" s="1" t="s">
        <v>3408</v>
      </c>
    </row>
    <row r="1612">
      <c r="A1612" s="1" t="s">
        <v>6055</v>
      </c>
      <c r="B1612" s="1">
        <v>57.0</v>
      </c>
      <c r="C1612" s="1">
        <v>260.0</v>
      </c>
      <c r="D1612" s="2" t="s">
        <v>439</v>
      </c>
      <c r="E1612" s="1">
        <v>57.0</v>
      </c>
      <c r="F1612" s="1">
        <v>32.0</v>
      </c>
      <c r="G1612" s="1">
        <v>0.0</v>
      </c>
      <c r="H1612" s="1">
        <v>0.0</v>
      </c>
      <c r="I1612" s="1">
        <v>0.0</v>
      </c>
      <c r="J1612" s="1">
        <v>0.0</v>
      </c>
      <c r="K1612" s="1">
        <v>0.05</v>
      </c>
      <c r="L1612" s="1">
        <v>233000.0</v>
      </c>
      <c r="M1612" s="1" t="s">
        <v>6056</v>
      </c>
      <c r="N1612" s="18">
        <v>45987.0</v>
      </c>
      <c r="O1612" s="1" t="s">
        <v>3293</v>
      </c>
      <c r="P1612" s="1" t="s">
        <v>3294</v>
      </c>
      <c r="Q1612" s="1" t="s">
        <v>3408</v>
      </c>
    </row>
    <row r="1613">
      <c r="A1613" s="1" t="s">
        <v>5818</v>
      </c>
      <c r="B1613" s="1">
        <v>57.0</v>
      </c>
      <c r="C1613" s="1">
        <v>40.0</v>
      </c>
      <c r="D1613" s="2" t="s">
        <v>798</v>
      </c>
      <c r="E1613" s="1">
        <v>57.0</v>
      </c>
      <c r="F1613" s="1">
        <v>5.0</v>
      </c>
      <c r="G1613" s="1">
        <v>0.0</v>
      </c>
      <c r="H1613" s="1">
        <v>0.0</v>
      </c>
      <c r="I1613" s="1">
        <v>0.0</v>
      </c>
      <c r="J1613" s="1">
        <v>0.0</v>
      </c>
      <c r="K1613" s="1">
        <v>0.0</v>
      </c>
      <c r="L1613" s="1">
        <v>9.0</v>
      </c>
      <c r="M1613" s="1" t="s">
        <v>5819</v>
      </c>
      <c r="N1613" s="18">
        <v>45985.0</v>
      </c>
      <c r="O1613" s="1" t="s">
        <v>3375</v>
      </c>
      <c r="Q1613" s="1" t="s">
        <v>3408</v>
      </c>
    </row>
    <row r="1614">
      <c r="A1614" s="1" t="s">
        <v>6216</v>
      </c>
      <c r="B1614" s="1">
        <v>57.0</v>
      </c>
      <c r="C1614" s="1">
        <v>90.0</v>
      </c>
      <c r="D1614" s="2" t="s">
        <v>833</v>
      </c>
      <c r="E1614" s="1">
        <v>57.0</v>
      </c>
      <c r="F1614" s="1">
        <v>0.0</v>
      </c>
      <c r="G1614" s="1">
        <v>21.24</v>
      </c>
      <c r="H1614" s="1">
        <v>0.0</v>
      </c>
      <c r="I1614" s="1">
        <v>0.0</v>
      </c>
      <c r="J1614" s="1">
        <v>0.0</v>
      </c>
      <c r="K1614" s="1">
        <v>0.1</v>
      </c>
      <c r="L1614" s="1">
        <v>10.0</v>
      </c>
      <c r="M1614" s="1" t="s">
        <v>6217</v>
      </c>
      <c r="N1614" s="18">
        <v>45984.0</v>
      </c>
      <c r="O1614" s="1" t="s">
        <v>3407</v>
      </c>
      <c r="P1614" s="1" t="s">
        <v>3230</v>
      </c>
      <c r="Q1614" s="1" t="s">
        <v>3408</v>
      </c>
    </row>
    <row r="1615">
      <c r="A1615" s="1" t="s">
        <v>6218</v>
      </c>
      <c r="B1615" s="1">
        <v>57.0</v>
      </c>
      <c r="C1615" s="1">
        <v>110.0</v>
      </c>
      <c r="D1615" s="2" t="s">
        <v>681</v>
      </c>
      <c r="E1615" s="1">
        <v>57.0</v>
      </c>
      <c r="F1615" s="1">
        <v>13.0</v>
      </c>
      <c r="G1615" s="1">
        <v>0.0</v>
      </c>
      <c r="H1615" s="1">
        <v>0.0</v>
      </c>
      <c r="I1615" s="1">
        <v>0.0</v>
      </c>
      <c r="J1615" s="1">
        <v>0.0</v>
      </c>
      <c r="K1615" s="1">
        <v>0.0</v>
      </c>
      <c r="L1615" s="1">
        <v>0.0</v>
      </c>
      <c r="M1615" s="1" t="s">
        <v>6219</v>
      </c>
      <c r="N1615" s="18">
        <v>45980.0</v>
      </c>
      <c r="O1615" s="1" t="s">
        <v>6220</v>
      </c>
      <c r="P1615" s="1" t="s">
        <v>3230</v>
      </c>
      <c r="Q1615" s="1" t="s">
        <v>3408</v>
      </c>
    </row>
    <row r="1616">
      <c r="A1616" s="1" t="s">
        <v>6221</v>
      </c>
      <c r="B1616" s="1">
        <v>57.0</v>
      </c>
      <c r="C1616" s="1">
        <v>90.0</v>
      </c>
      <c r="D1616" s="2" t="s">
        <v>839</v>
      </c>
      <c r="E1616" s="1">
        <v>57.0</v>
      </c>
      <c r="F1616" s="1">
        <v>0.0</v>
      </c>
      <c r="G1616" s="1">
        <v>0.0</v>
      </c>
      <c r="H1616" s="1">
        <v>0.0</v>
      </c>
      <c r="I1616" s="1">
        <v>0.0</v>
      </c>
      <c r="J1616" s="1">
        <v>0.0</v>
      </c>
      <c r="K1616" s="1">
        <v>0.01</v>
      </c>
      <c r="L1616" s="1">
        <v>10.0</v>
      </c>
      <c r="M1616" s="1" t="s">
        <v>6222</v>
      </c>
      <c r="N1616" s="18">
        <v>45975.0</v>
      </c>
      <c r="O1616" s="1" t="s">
        <v>3407</v>
      </c>
      <c r="P1616" s="1" t="s">
        <v>3230</v>
      </c>
      <c r="Q1616" s="1" t="s">
        <v>3408</v>
      </c>
    </row>
    <row r="1617">
      <c r="A1617" s="1" t="s">
        <v>6223</v>
      </c>
      <c r="B1617" s="1">
        <v>58.0</v>
      </c>
      <c r="C1617" s="1">
        <v>110.0</v>
      </c>
      <c r="D1617" s="2" t="s">
        <v>2416</v>
      </c>
      <c r="E1617" s="1">
        <v>42.0</v>
      </c>
      <c r="F1617" s="1">
        <v>15.0</v>
      </c>
      <c r="G1617" s="1">
        <v>0.0</v>
      </c>
      <c r="H1617" s="1">
        <v>0.0</v>
      </c>
      <c r="I1617" s="1">
        <v>0.0</v>
      </c>
      <c r="J1617" s="1">
        <v>0.0</v>
      </c>
      <c r="K1617" s="1">
        <v>0.0</v>
      </c>
      <c r="L1617" s="1">
        <v>1310000.0</v>
      </c>
      <c r="M1617" s="1" t="s">
        <v>6224</v>
      </c>
      <c r="N1617" s="18">
        <v>46042.0</v>
      </c>
      <c r="O1617" s="1" t="s">
        <v>3264</v>
      </c>
      <c r="P1617" s="1" t="s">
        <v>3230</v>
      </c>
      <c r="Q1617" s="1" t="s">
        <v>3408</v>
      </c>
    </row>
    <row r="1618">
      <c r="A1618" s="1" t="s">
        <v>6225</v>
      </c>
      <c r="B1618" s="1">
        <v>58.0</v>
      </c>
      <c r="C1618" s="1">
        <v>110.0</v>
      </c>
      <c r="D1618" s="2" t="s">
        <v>2048</v>
      </c>
      <c r="E1618" s="1">
        <v>0.0</v>
      </c>
      <c r="F1618" s="1">
        <v>10.0</v>
      </c>
      <c r="G1618" s="1">
        <v>0.0</v>
      </c>
      <c r="H1618" s="1">
        <v>0.0</v>
      </c>
      <c r="I1618" s="1">
        <v>0.0</v>
      </c>
      <c r="J1618" s="1">
        <v>0.0</v>
      </c>
      <c r="K1618" s="1">
        <v>0.01</v>
      </c>
      <c r="L1618" s="1">
        <v>1.56E9</v>
      </c>
      <c r="M1618" s="1" t="s">
        <v>6226</v>
      </c>
      <c r="N1618" s="18">
        <v>46042.0</v>
      </c>
      <c r="O1618" s="1" t="s">
        <v>3565</v>
      </c>
      <c r="P1618" s="1" t="s">
        <v>3230</v>
      </c>
      <c r="Q1618" s="1" t="s">
        <v>3408</v>
      </c>
    </row>
    <row r="1619">
      <c r="A1619" s="1" t="s">
        <v>6227</v>
      </c>
      <c r="B1619" s="1">
        <v>58.0</v>
      </c>
      <c r="C1619" s="1">
        <v>110.0</v>
      </c>
      <c r="D1619" s="2" t="s">
        <v>439</v>
      </c>
      <c r="E1619" s="1">
        <v>0.0</v>
      </c>
      <c r="F1619" s="1">
        <v>25.0</v>
      </c>
      <c r="G1619" s="1">
        <v>6.09</v>
      </c>
      <c r="H1619" s="1">
        <v>0.0</v>
      </c>
      <c r="I1619" s="1">
        <v>0.0</v>
      </c>
      <c r="J1619" s="1">
        <v>0.0</v>
      </c>
      <c r="K1619" s="1">
        <v>0.27</v>
      </c>
      <c r="L1619" s="1">
        <v>26400.0</v>
      </c>
      <c r="M1619" s="1" t="s">
        <v>6228</v>
      </c>
      <c r="N1619" s="18">
        <v>46042.0</v>
      </c>
      <c r="O1619" s="1" t="s">
        <v>6229</v>
      </c>
      <c r="P1619" s="1" t="s">
        <v>3294</v>
      </c>
      <c r="Q1619" s="1" t="s">
        <v>3408</v>
      </c>
    </row>
    <row r="1620">
      <c r="A1620" s="1" t="s">
        <v>6230</v>
      </c>
      <c r="B1620" s="1">
        <v>58.0</v>
      </c>
      <c r="C1620" s="1">
        <v>70.0</v>
      </c>
      <c r="D1620" s="2" t="s">
        <v>1805</v>
      </c>
      <c r="E1620" s="1">
        <v>58.0</v>
      </c>
      <c r="F1620" s="1">
        <v>0.0</v>
      </c>
      <c r="G1620" s="1">
        <v>0.0</v>
      </c>
      <c r="H1620" s="1">
        <v>0.0</v>
      </c>
      <c r="I1620" s="1">
        <v>0.0</v>
      </c>
      <c r="J1620" s="1">
        <v>0.0</v>
      </c>
      <c r="K1620" s="1">
        <v>0.02</v>
      </c>
      <c r="L1620" s="1">
        <v>1820000.0</v>
      </c>
      <c r="M1620" s="1" t="s">
        <v>6231</v>
      </c>
      <c r="N1620" s="18">
        <v>46038.0</v>
      </c>
      <c r="O1620" s="1" t="s">
        <v>3237</v>
      </c>
      <c r="P1620" s="1" t="s">
        <v>3230</v>
      </c>
      <c r="Q1620" s="1" t="s">
        <v>3408</v>
      </c>
    </row>
    <row r="1621">
      <c r="A1621" s="1" t="s">
        <v>6017</v>
      </c>
      <c r="B1621" s="1">
        <v>58.0</v>
      </c>
      <c r="C1621" s="1">
        <v>170.0</v>
      </c>
      <c r="D1621" s="2" t="s">
        <v>581</v>
      </c>
      <c r="E1621" s="1">
        <v>58.0</v>
      </c>
      <c r="F1621" s="1">
        <v>30.0</v>
      </c>
      <c r="G1621" s="1">
        <v>5.92</v>
      </c>
      <c r="H1621" s="1">
        <v>0.0</v>
      </c>
      <c r="I1621" s="1">
        <v>0.0</v>
      </c>
      <c r="J1621" s="1">
        <v>0.0</v>
      </c>
      <c r="K1621" s="1">
        <v>0.37</v>
      </c>
      <c r="L1621" s="1">
        <v>106000.0</v>
      </c>
      <c r="M1621" s="1" t="s">
        <v>6018</v>
      </c>
      <c r="N1621" s="18">
        <v>46035.0</v>
      </c>
      <c r="O1621" s="1" t="s">
        <v>3650</v>
      </c>
      <c r="P1621" s="1" t="s">
        <v>4538</v>
      </c>
      <c r="Q1621" s="1" t="s">
        <v>3408</v>
      </c>
    </row>
    <row r="1622">
      <c r="A1622" s="1" t="s">
        <v>6232</v>
      </c>
      <c r="B1622" s="1">
        <v>58.0</v>
      </c>
      <c r="C1622" s="1">
        <v>30.0</v>
      </c>
      <c r="D1622" s="2" t="s">
        <v>439</v>
      </c>
      <c r="E1622" s="1">
        <v>58.0</v>
      </c>
      <c r="F1622" s="1">
        <v>5.0</v>
      </c>
      <c r="G1622" s="1">
        <v>5.4</v>
      </c>
      <c r="H1622" s="1">
        <v>0.0</v>
      </c>
      <c r="I1622" s="1">
        <v>0.0</v>
      </c>
      <c r="J1622" s="1">
        <v>0.0</v>
      </c>
      <c r="K1622" s="1">
        <v>0.45</v>
      </c>
      <c r="L1622" s="1">
        <v>688000.0</v>
      </c>
      <c r="M1622" s="1" t="s">
        <v>6233</v>
      </c>
      <c r="N1622" s="18">
        <v>46035.0</v>
      </c>
      <c r="O1622" s="1" t="s">
        <v>6234</v>
      </c>
      <c r="P1622" s="1" t="s">
        <v>3301</v>
      </c>
      <c r="Q1622" s="1" t="s">
        <v>3408</v>
      </c>
    </row>
    <row r="1623">
      <c r="A1623" s="1" t="s">
        <v>6235</v>
      </c>
      <c r="B1623" s="1">
        <v>58.0</v>
      </c>
      <c r="C1623" s="1">
        <v>40.0</v>
      </c>
      <c r="D1623" s="2" t="s">
        <v>581</v>
      </c>
      <c r="E1623" s="1">
        <v>58.0</v>
      </c>
      <c r="F1623" s="1">
        <v>25.0</v>
      </c>
      <c r="G1623" s="1">
        <v>3.0</v>
      </c>
      <c r="H1623" s="1">
        <v>0.0</v>
      </c>
      <c r="I1623" s="1">
        <v>0.0</v>
      </c>
      <c r="J1623" s="1">
        <v>0.0</v>
      </c>
      <c r="K1623" s="1">
        <v>0.3</v>
      </c>
      <c r="L1623" s="1">
        <v>1.8E7</v>
      </c>
      <c r="M1623" s="1" t="s">
        <v>6236</v>
      </c>
      <c r="N1623" s="18">
        <v>46031.0</v>
      </c>
      <c r="O1623" s="1" t="s">
        <v>3821</v>
      </c>
      <c r="P1623" s="1" t="s">
        <v>3294</v>
      </c>
      <c r="Q1623" s="1" t="s">
        <v>3408</v>
      </c>
    </row>
    <row r="1624">
      <c r="A1624" s="1" t="s">
        <v>6237</v>
      </c>
      <c r="B1624" s="1">
        <v>58.0</v>
      </c>
      <c r="C1624" s="1">
        <v>30.0</v>
      </c>
      <c r="D1624" s="2" t="s">
        <v>581</v>
      </c>
      <c r="E1624" s="1">
        <v>58.0</v>
      </c>
      <c r="F1624" s="1">
        <v>14.0</v>
      </c>
      <c r="G1624" s="1">
        <v>4.35</v>
      </c>
      <c r="H1624" s="1">
        <v>0.0</v>
      </c>
      <c r="I1624" s="1">
        <v>0.0</v>
      </c>
      <c r="J1624" s="1">
        <v>0.0</v>
      </c>
      <c r="K1624" s="1">
        <v>0.65</v>
      </c>
      <c r="L1624" s="1">
        <v>878000.0</v>
      </c>
      <c r="M1624" s="1" t="s">
        <v>6238</v>
      </c>
      <c r="N1624" s="18">
        <v>46031.0</v>
      </c>
      <c r="O1624" s="1" t="s">
        <v>3755</v>
      </c>
      <c r="P1624" s="1" t="s">
        <v>3257</v>
      </c>
      <c r="Q1624" s="1" t="s">
        <v>3408</v>
      </c>
    </row>
    <row r="1625">
      <c r="A1625" s="1" t="s">
        <v>3689</v>
      </c>
      <c r="B1625" s="1">
        <v>58.0</v>
      </c>
      <c r="C1625" s="1">
        <v>50.0</v>
      </c>
      <c r="D1625" s="2" t="s">
        <v>479</v>
      </c>
      <c r="E1625" s="1">
        <v>58.0</v>
      </c>
      <c r="F1625" s="1">
        <v>15.0</v>
      </c>
      <c r="G1625" s="1">
        <v>0.0</v>
      </c>
      <c r="H1625" s="1">
        <v>0.0</v>
      </c>
      <c r="I1625" s="1">
        <v>0.0</v>
      </c>
      <c r="J1625" s="1">
        <v>0.0</v>
      </c>
      <c r="K1625" s="1">
        <v>0.0</v>
      </c>
      <c r="L1625" s="1">
        <v>97600.0</v>
      </c>
      <c r="M1625" s="1" t="s">
        <v>3690</v>
      </c>
      <c r="N1625" s="18">
        <v>46031.0</v>
      </c>
      <c r="O1625" s="1" t="s">
        <v>3691</v>
      </c>
      <c r="P1625" s="1" t="s">
        <v>3257</v>
      </c>
      <c r="Q1625" s="1" t="s">
        <v>3408</v>
      </c>
    </row>
    <row r="1626">
      <c r="A1626" s="1" t="s">
        <v>6239</v>
      </c>
      <c r="B1626" s="1">
        <v>58.0</v>
      </c>
      <c r="C1626" s="1">
        <v>40.0</v>
      </c>
      <c r="D1626" s="2" t="s">
        <v>676</v>
      </c>
      <c r="E1626" s="1">
        <v>58.0</v>
      </c>
      <c r="F1626" s="1">
        <v>0.0</v>
      </c>
      <c r="G1626" s="1">
        <v>8.45</v>
      </c>
      <c r="H1626" s="1">
        <v>0.0</v>
      </c>
      <c r="I1626" s="1">
        <v>0.0</v>
      </c>
      <c r="J1626" s="1">
        <v>0.0</v>
      </c>
      <c r="K1626" s="1">
        <v>0.76</v>
      </c>
      <c r="L1626" s="1">
        <v>785000.0</v>
      </c>
      <c r="M1626" s="1" t="s">
        <v>6240</v>
      </c>
      <c r="N1626" s="18">
        <v>46026.0</v>
      </c>
      <c r="O1626" s="1" t="s">
        <v>3686</v>
      </c>
      <c r="P1626" s="1" t="s">
        <v>3257</v>
      </c>
      <c r="Q1626" s="1" t="s">
        <v>3408</v>
      </c>
    </row>
    <row r="1627">
      <c r="A1627" s="1" t="s">
        <v>6241</v>
      </c>
      <c r="B1627" s="1">
        <v>58.0</v>
      </c>
      <c r="C1627" s="1">
        <v>30.0</v>
      </c>
      <c r="D1627" s="2" t="s">
        <v>588</v>
      </c>
      <c r="E1627" s="1">
        <v>58.0</v>
      </c>
      <c r="F1627" s="1">
        <v>25.0</v>
      </c>
      <c r="G1627" s="1">
        <v>15.47</v>
      </c>
      <c r="H1627" s="1">
        <v>0.0</v>
      </c>
      <c r="I1627" s="1">
        <v>0.0</v>
      </c>
      <c r="J1627" s="1">
        <v>0.0</v>
      </c>
      <c r="K1627" s="1">
        <v>0.63</v>
      </c>
      <c r="L1627" s="1">
        <v>806000.0</v>
      </c>
      <c r="M1627" s="1" t="s">
        <v>6242</v>
      </c>
      <c r="N1627" s="18">
        <v>46026.0</v>
      </c>
      <c r="O1627" s="1" t="s">
        <v>3404</v>
      </c>
      <c r="P1627" s="1" t="s">
        <v>3257</v>
      </c>
      <c r="Q1627" s="1" t="s">
        <v>3408</v>
      </c>
    </row>
    <row r="1628">
      <c r="A1628" s="1" t="s">
        <v>6243</v>
      </c>
      <c r="B1628" s="1">
        <v>58.0</v>
      </c>
      <c r="C1628" s="1">
        <v>70.0</v>
      </c>
      <c r="D1628" s="2" t="s">
        <v>2953</v>
      </c>
      <c r="E1628" s="1">
        <v>58.0</v>
      </c>
      <c r="F1628" s="1">
        <v>0.0</v>
      </c>
      <c r="G1628" s="1">
        <v>0.0</v>
      </c>
      <c r="H1628" s="1">
        <v>0.0</v>
      </c>
      <c r="I1628" s="1">
        <v>0.0</v>
      </c>
      <c r="J1628" s="1">
        <v>0.0</v>
      </c>
      <c r="K1628" s="1">
        <v>0.0</v>
      </c>
      <c r="L1628" s="1">
        <v>31900.0</v>
      </c>
      <c r="M1628" s="1" t="s">
        <v>6244</v>
      </c>
      <c r="N1628" s="18">
        <v>46025.0</v>
      </c>
      <c r="O1628" s="1" t="s">
        <v>4118</v>
      </c>
      <c r="P1628" s="1" t="s">
        <v>3334</v>
      </c>
      <c r="Q1628" s="1" t="s">
        <v>3408</v>
      </c>
    </row>
    <row r="1629">
      <c r="A1629" s="1" t="s">
        <v>3413</v>
      </c>
      <c r="B1629" s="1">
        <v>58.0</v>
      </c>
      <c r="C1629" s="1">
        <v>90.0</v>
      </c>
      <c r="D1629" s="2" t="s">
        <v>447</v>
      </c>
      <c r="E1629" s="1">
        <v>58.0</v>
      </c>
      <c r="F1629" s="1">
        <v>39.0</v>
      </c>
      <c r="G1629" s="1">
        <v>14.43</v>
      </c>
      <c r="H1629" s="1">
        <v>0.0</v>
      </c>
      <c r="I1629" s="1">
        <v>0.0</v>
      </c>
      <c r="J1629" s="1">
        <v>0.0</v>
      </c>
      <c r="K1629" s="1">
        <v>0.61</v>
      </c>
      <c r="L1629" s="1">
        <v>457000.0</v>
      </c>
      <c r="M1629" s="1" t="s">
        <v>3414</v>
      </c>
      <c r="N1629" s="18">
        <v>46023.0</v>
      </c>
      <c r="O1629" s="1" t="s">
        <v>3415</v>
      </c>
      <c r="P1629" s="1" t="s">
        <v>3257</v>
      </c>
      <c r="Q1629" s="1" t="s">
        <v>3408</v>
      </c>
    </row>
    <row r="1630">
      <c r="A1630" s="1" t="s">
        <v>6245</v>
      </c>
      <c r="B1630" s="1">
        <v>58.0</v>
      </c>
      <c r="C1630" s="1">
        <v>40.0</v>
      </c>
      <c r="D1630" s="2" t="s">
        <v>833</v>
      </c>
      <c r="E1630" s="1">
        <v>58.0</v>
      </c>
      <c r="F1630" s="1">
        <v>7.0</v>
      </c>
      <c r="G1630" s="1">
        <v>15.12</v>
      </c>
      <c r="H1630" s="1">
        <v>0.0</v>
      </c>
      <c r="I1630" s="1">
        <v>0.0</v>
      </c>
      <c r="J1630" s="1">
        <v>0.0</v>
      </c>
      <c r="K1630" s="1">
        <v>0.11</v>
      </c>
      <c r="L1630" s="1">
        <v>2.61E7</v>
      </c>
      <c r="M1630" s="1" t="s">
        <v>6246</v>
      </c>
      <c r="N1630" s="18">
        <v>46022.0</v>
      </c>
      <c r="O1630" s="1" t="s">
        <v>5279</v>
      </c>
      <c r="P1630" s="1" t="s">
        <v>3230</v>
      </c>
      <c r="Q1630" s="1" t="s">
        <v>3408</v>
      </c>
    </row>
    <row r="1631">
      <c r="A1631" s="1" t="s">
        <v>6247</v>
      </c>
      <c r="B1631" s="1">
        <v>58.0</v>
      </c>
      <c r="C1631" s="1">
        <v>70.0</v>
      </c>
      <c r="D1631" s="2" t="s">
        <v>588</v>
      </c>
      <c r="E1631" s="1">
        <v>58.0</v>
      </c>
      <c r="F1631" s="1">
        <v>26.0</v>
      </c>
      <c r="G1631" s="1">
        <v>15.47</v>
      </c>
      <c r="H1631" s="1">
        <v>0.0</v>
      </c>
      <c r="I1631" s="1">
        <v>0.0</v>
      </c>
      <c r="J1631" s="1">
        <v>0.0</v>
      </c>
      <c r="K1631" s="1">
        <v>0.63</v>
      </c>
      <c r="L1631" s="1">
        <v>1350000.0</v>
      </c>
      <c r="M1631" s="1" t="s">
        <v>6248</v>
      </c>
      <c r="N1631" s="18">
        <v>46022.0</v>
      </c>
      <c r="O1631" s="1" t="s">
        <v>4183</v>
      </c>
      <c r="P1631" s="1" t="s">
        <v>3257</v>
      </c>
      <c r="Q1631" s="1" t="s">
        <v>3408</v>
      </c>
    </row>
    <row r="1632">
      <c r="A1632" s="1" t="s">
        <v>6249</v>
      </c>
      <c r="B1632" s="1">
        <v>58.0</v>
      </c>
      <c r="C1632" s="1">
        <v>30.0</v>
      </c>
      <c r="D1632" s="2" t="s">
        <v>1099</v>
      </c>
      <c r="E1632" s="1">
        <v>58.0</v>
      </c>
      <c r="F1632" s="1">
        <v>17.0</v>
      </c>
      <c r="G1632" s="1">
        <v>1.71</v>
      </c>
      <c r="H1632" s="1">
        <v>0.0</v>
      </c>
      <c r="I1632" s="1">
        <v>0.0</v>
      </c>
      <c r="J1632" s="1">
        <v>0.0</v>
      </c>
      <c r="K1632" s="1">
        <v>0.42</v>
      </c>
      <c r="L1632" s="1">
        <v>3640000.0</v>
      </c>
      <c r="M1632" s="1" t="s">
        <v>6250</v>
      </c>
      <c r="N1632" s="18">
        <v>46022.0</v>
      </c>
      <c r="O1632" s="1" t="s">
        <v>6251</v>
      </c>
      <c r="P1632" s="1" t="s">
        <v>3230</v>
      </c>
      <c r="Q1632" s="1" t="s">
        <v>3408</v>
      </c>
    </row>
    <row r="1633">
      <c r="A1633" s="1" t="s">
        <v>6252</v>
      </c>
      <c r="B1633" s="1">
        <v>58.0</v>
      </c>
      <c r="C1633" s="1">
        <v>170.0</v>
      </c>
      <c r="D1633" s="2" t="s">
        <v>1868</v>
      </c>
      <c r="E1633" s="1">
        <v>58.0</v>
      </c>
      <c r="F1633" s="1">
        <v>40.0</v>
      </c>
      <c r="G1633" s="1">
        <v>0.0</v>
      </c>
      <c r="H1633" s="1">
        <v>0.0</v>
      </c>
      <c r="I1633" s="1">
        <v>0.0</v>
      </c>
      <c r="J1633" s="1">
        <v>0.0</v>
      </c>
      <c r="K1633" s="1">
        <v>0.0</v>
      </c>
      <c r="L1633" s="1">
        <v>4.08E8</v>
      </c>
      <c r="M1633" s="1" t="s">
        <v>6253</v>
      </c>
      <c r="N1633" s="18">
        <v>46022.0</v>
      </c>
      <c r="O1633" s="1" t="s">
        <v>5442</v>
      </c>
      <c r="P1633" s="1" t="s">
        <v>3230</v>
      </c>
      <c r="Q1633" s="1" t="s">
        <v>3408</v>
      </c>
    </row>
    <row r="1634">
      <c r="A1634" s="1" t="s">
        <v>6254</v>
      </c>
      <c r="B1634" s="1">
        <v>58.0</v>
      </c>
      <c r="C1634" s="1">
        <v>70.0</v>
      </c>
      <c r="D1634" s="2" t="s">
        <v>1912</v>
      </c>
      <c r="E1634" s="1">
        <v>58.0</v>
      </c>
      <c r="F1634" s="1">
        <v>14.0</v>
      </c>
      <c r="G1634" s="1">
        <v>0.0</v>
      </c>
      <c r="H1634" s="1">
        <v>0.0</v>
      </c>
      <c r="I1634" s="1">
        <v>0.0</v>
      </c>
      <c r="J1634" s="1">
        <v>0.0</v>
      </c>
      <c r="K1634" s="1">
        <v>0.02</v>
      </c>
      <c r="L1634" s="1">
        <v>4270000.0</v>
      </c>
      <c r="M1634" s="1" t="s">
        <v>6255</v>
      </c>
      <c r="N1634" s="18">
        <v>46022.0</v>
      </c>
      <c r="O1634" s="1" t="s">
        <v>4134</v>
      </c>
      <c r="P1634" s="1" t="s">
        <v>3257</v>
      </c>
      <c r="Q1634" s="1" t="s">
        <v>3408</v>
      </c>
    </row>
    <row r="1635">
      <c r="A1635" s="1" t="s">
        <v>6256</v>
      </c>
      <c r="B1635" s="1">
        <v>58.0</v>
      </c>
      <c r="C1635" s="1">
        <v>90.0</v>
      </c>
      <c r="D1635" s="2" t="s">
        <v>778</v>
      </c>
      <c r="E1635" s="1">
        <v>58.0</v>
      </c>
      <c r="F1635" s="1">
        <v>11.0</v>
      </c>
      <c r="G1635" s="1">
        <v>0.0</v>
      </c>
      <c r="H1635" s="1">
        <v>0.0</v>
      </c>
      <c r="I1635" s="1">
        <v>0.0</v>
      </c>
      <c r="J1635" s="1">
        <v>0.0</v>
      </c>
      <c r="K1635" s="1">
        <v>0.0</v>
      </c>
      <c r="L1635" s="1">
        <v>2920000.0</v>
      </c>
      <c r="M1635" s="1" t="s">
        <v>6257</v>
      </c>
      <c r="N1635" s="18">
        <v>46021.0</v>
      </c>
      <c r="O1635" s="1" t="s">
        <v>5754</v>
      </c>
      <c r="P1635" s="1" t="s">
        <v>3257</v>
      </c>
      <c r="Q1635" s="1" t="s">
        <v>3408</v>
      </c>
    </row>
    <row r="1636">
      <c r="A1636" s="1" t="s">
        <v>6258</v>
      </c>
      <c r="B1636" s="1">
        <v>58.0</v>
      </c>
      <c r="C1636" s="1">
        <v>70.0</v>
      </c>
      <c r="D1636" s="2" t="s">
        <v>439</v>
      </c>
      <c r="E1636" s="1">
        <v>58.0</v>
      </c>
      <c r="F1636" s="1">
        <v>9.0</v>
      </c>
      <c r="G1636" s="1">
        <v>3.39</v>
      </c>
      <c r="H1636" s="1">
        <v>0.0</v>
      </c>
      <c r="I1636" s="1">
        <v>0.0</v>
      </c>
      <c r="J1636" s="1">
        <v>0.0</v>
      </c>
      <c r="K1636" s="1">
        <v>0.07</v>
      </c>
      <c r="L1636" s="1">
        <v>5420.0</v>
      </c>
      <c r="M1636" s="1" t="s">
        <v>6259</v>
      </c>
      <c r="N1636" s="18">
        <v>46020.0</v>
      </c>
      <c r="O1636" s="1" t="s">
        <v>6260</v>
      </c>
      <c r="P1636" s="1" t="s">
        <v>3230</v>
      </c>
      <c r="Q1636" s="1" t="s">
        <v>3408</v>
      </c>
    </row>
    <row r="1637">
      <c r="A1637" s="1" t="s">
        <v>5118</v>
      </c>
      <c r="B1637" s="1">
        <v>58.0</v>
      </c>
      <c r="C1637" s="1">
        <v>50.0</v>
      </c>
      <c r="D1637" s="2" t="s">
        <v>439</v>
      </c>
      <c r="E1637" s="1">
        <v>58.0</v>
      </c>
      <c r="F1637" s="1">
        <v>19.0</v>
      </c>
      <c r="G1637" s="1">
        <v>3.22</v>
      </c>
      <c r="H1637" s="1">
        <v>0.0</v>
      </c>
      <c r="I1637" s="1">
        <v>0.0</v>
      </c>
      <c r="J1637" s="1">
        <v>0.0</v>
      </c>
      <c r="K1637" s="1">
        <v>0.21</v>
      </c>
      <c r="L1637" s="1">
        <v>35200.0</v>
      </c>
      <c r="M1637" s="1" t="s">
        <v>5119</v>
      </c>
      <c r="N1637" s="18">
        <v>46020.0</v>
      </c>
      <c r="O1637" s="1" t="s">
        <v>5120</v>
      </c>
      <c r="P1637" s="1" t="s">
        <v>3230</v>
      </c>
      <c r="Q1637" s="1" t="s">
        <v>3408</v>
      </c>
    </row>
    <row r="1638">
      <c r="A1638" s="1" t="s">
        <v>6261</v>
      </c>
      <c r="B1638" s="1">
        <v>58.0</v>
      </c>
      <c r="C1638" s="1">
        <v>260.0</v>
      </c>
      <c r="D1638" s="2" t="s">
        <v>2249</v>
      </c>
      <c r="E1638" s="1">
        <v>58.0</v>
      </c>
      <c r="F1638" s="1">
        <v>17.0</v>
      </c>
      <c r="G1638" s="1">
        <v>0.0</v>
      </c>
      <c r="H1638" s="1">
        <v>0.0</v>
      </c>
      <c r="I1638" s="1">
        <v>0.0</v>
      </c>
      <c r="J1638" s="1">
        <v>0.0</v>
      </c>
      <c r="K1638" s="1">
        <v>0.0</v>
      </c>
      <c r="L1638" s="1">
        <v>1.54E8</v>
      </c>
      <c r="M1638" s="1" t="s">
        <v>6262</v>
      </c>
      <c r="N1638" s="18">
        <v>46018.0</v>
      </c>
      <c r="O1638" s="1" t="s">
        <v>5650</v>
      </c>
      <c r="P1638" s="1" t="s">
        <v>3230</v>
      </c>
      <c r="Q1638" s="1" t="s">
        <v>3408</v>
      </c>
    </row>
    <row r="1639">
      <c r="A1639" s="1" t="s">
        <v>6263</v>
      </c>
      <c r="B1639" s="1">
        <v>58.0</v>
      </c>
      <c r="C1639" s="1">
        <v>110.0</v>
      </c>
      <c r="D1639" s="2" t="s">
        <v>1868</v>
      </c>
      <c r="E1639" s="1">
        <v>58.0</v>
      </c>
      <c r="F1639" s="1">
        <v>57.0</v>
      </c>
      <c r="G1639" s="1">
        <v>0.0</v>
      </c>
      <c r="H1639" s="1">
        <v>0.0</v>
      </c>
      <c r="I1639" s="1">
        <v>0.0</v>
      </c>
      <c r="J1639" s="1">
        <v>0.0</v>
      </c>
      <c r="K1639" s="1">
        <v>0.0</v>
      </c>
      <c r="L1639" s="1">
        <v>4.15E8</v>
      </c>
      <c r="M1639" s="1" t="s">
        <v>6264</v>
      </c>
      <c r="N1639" s="18">
        <v>46018.0</v>
      </c>
      <c r="O1639" s="1" t="s">
        <v>5571</v>
      </c>
      <c r="P1639" s="1" t="s">
        <v>3230</v>
      </c>
      <c r="Q1639" s="1" t="s">
        <v>3408</v>
      </c>
    </row>
    <row r="1640">
      <c r="A1640" s="1" t="s">
        <v>6265</v>
      </c>
      <c r="B1640" s="1">
        <v>58.0</v>
      </c>
      <c r="C1640" s="1">
        <v>70.0</v>
      </c>
      <c r="D1640" s="2" t="s">
        <v>2966</v>
      </c>
      <c r="E1640" s="1">
        <v>58.0</v>
      </c>
      <c r="F1640" s="1">
        <v>30.0</v>
      </c>
      <c r="G1640" s="1">
        <v>56.67</v>
      </c>
      <c r="H1640" s="1">
        <v>0.0</v>
      </c>
      <c r="I1640" s="1">
        <v>0.0</v>
      </c>
      <c r="J1640" s="1">
        <v>0.0</v>
      </c>
      <c r="K1640" s="1">
        <v>0.85</v>
      </c>
      <c r="L1640" s="1">
        <v>40200.0</v>
      </c>
      <c r="M1640" s="1" t="s">
        <v>6266</v>
      </c>
      <c r="N1640" s="18">
        <v>46017.0</v>
      </c>
      <c r="O1640" s="1" t="s">
        <v>3404</v>
      </c>
      <c r="P1640" s="1" t="s">
        <v>3257</v>
      </c>
      <c r="Q1640" s="1" t="s">
        <v>3408</v>
      </c>
    </row>
    <row r="1641">
      <c r="A1641" s="1" t="s">
        <v>3443</v>
      </c>
      <c r="B1641" s="1">
        <v>58.0</v>
      </c>
      <c r="C1641" s="1">
        <v>1300.0</v>
      </c>
      <c r="D1641" s="2" t="s">
        <v>2364</v>
      </c>
      <c r="E1641" s="1">
        <v>58.0</v>
      </c>
      <c r="F1641" s="1">
        <v>11.0</v>
      </c>
      <c r="G1641" s="1">
        <v>5.52</v>
      </c>
      <c r="H1641" s="1">
        <v>0.0</v>
      </c>
      <c r="I1641" s="1">
        <v>0.0</v>
      </c>
      <c r="J1641" s="1">
        <v>0.0</v>
      </c>
      <c r="K1641" s="1">
        <v>0.03</v>
      </c>
      <c r="L1641" s="1">
        <v>6820000.0</v>
      </c>
      <c r="M1641" s="1" t="s">
        <v>3444</v>
      </c>
      <c r="N1641" s="18">
        <v>46016.0</v>
      </c>
      <c r="O1641" s="1" t="s">
        <v>3407</v>
      </c>
      <c r="P1641" s="1" t="s">
        <v>3230</v>
      </c>
      <c r="Q1641" s="1" t="s">
        <v>3408</v>
      </c>
    </row>
    <row r="1642">
      <c r="A1642" s="1" t="s">
        <v>6267</v>
      </c>
      <c r="B1642" s="1">
        <v>58.0</v>
      </c>
      <c r="C1642" s="1">
        <v>40.0</v>
      </c>
      <c r="D1642" s="2" t="s">
        <v>1307</v>
      </c>
      <c r="E1642" s="1">
        <v>58.0</v>
      </c>
      <c r="F1642" s="1">
        <v>12.0</v>
      </c>
      <c r="G1642" s="1">
        <v>6.85</v>
      </c>
      <c r="H1642" s="1">
        <v>0.0</v>
      </c>
      <c r="I1642" s="1">
        <v>0.0</v>
      </c>
      <c r="J1642" s="1">
        <v>0.0</v>
      </c>
      <c r="K1642" s="1">
        <v>1.0</v>
      </c>
      <c r="L1642" s="1">
        <v>1480000.0</v>
      </c>
      <c r="M1642" s="1" t="s">
        <v>6268</v>
      </c>
      <c r="N1642" s="18">
        <v>46015.0</v>
      </c>
      <c r="O1642" s="1" t="s">
        <v>5320</v>
      </c>
      <c r="P1642" s="1" t="s">
        <v>3257</v>
      </c>
      <c r="Q1642" s="1" t="s">
        <v>3408</v>
      </c>
    </row>
    <row r="1643">
      <c r="A1643" s="1" t="s">
        <v>6269</v>
      </c>
      <c r="B1643" s="1">
        <v>58.0</v>
      </c>
      <c r="C1643" s="1">
        <v>70.0</v>
      </c>
      <c r="D1643" s="2" t="s">
        <v>439</v>
      </c>
      <c r="E1643" s="1">
        <v>58.0</v>
      </c>
      <c r="F1643" s="1">
        <v>19.0</v>
      </c>
      <c r="G1643" s="1">
        <v>2.22</v>
      </c>
      <c r="H1643" s="1">
        <v>0.0</v>
      </c>
      <c r="I1643" s="1">
        <v>0.0</v>
      </c>
      <c r="J1643" s="1">
        <v>0.0</v>
      </c>
      <c r="K1643" s="1">
        <v>0.07</v>
      </c>
      <c r="L1643" s="1">
        <v>38600.0</v>
      </c>
      <c r="M1643" s="1" t="s">
        <v>6270</v>
      </c>
      <c r="N1643" s="18">
        <v>46015.0</v>
      </c>
      <c r="O1643" s="1" t="s">
        <v>6271</v>
      </c>
      <c r="P1643" s="1" t="s">
        <v>3294</v>
      </c>
      <c r="Q1643" s="1" t="s">
        <v>3408</v>
      </c>
    </row>
    <row r="1644">
      <c r="A1644" s="1" t="s">
        <v>6272</v>
      </c>
      <c r="B1644" s="1">
        <v>58.0</v>
      </c>
      <c r="C1644" s="1">
        <v>50.0</v>
      </c>
      <c r="D1644" s="2" t="s">
        <v>786</v>
      </c>
      <c r="E1644" s="1">
        <v>58.0</v>
      </c>
      <c r="F1644" s="1">
        <v>7.0</v>
      </c>
      <c r="G1644" s="1">
        <v>54.7</v>
      </c>
      <c r="H1644" s="1">
        <v>0.0</v>
      </c>
      <c r="I1644" s="1">
        <v>0.0</v>
      </c>
      <c r="J1644" s="1">
        <v>0.0</v>
      </c>
      <c r="K1644" s="1">
        <v>0.22</v>
      </c>
      <c r="L1644" s="1">
        <v>543000.0</v>
      </c>
      <c r="M1644" s="1" t="s">
        <v>6273</v>
      </c>
      <c r="N1644" s="18">
        <v>46014.0</v>
      </c>
      <c r="O1644" s="1" t="s">
        <v>3432</v>
      </c>
      <c r="P1644" s="1" t="s">
        <v>3334</v>
      </c>
      <c r="Q1644" s="1" t="s">
        <v>3408</v>
      </c>
    </row>
    <row r="1645">
      <c r="A1645" s="1" t="s">
        <v>6274</v>
      </c>
      <c r="B1645" s="1">
        <v>58.0</v>
      </c>
      <c r="C1645" s="1">
        <v>90.0</v>
      </c>
      <c r="D1645" s="2" t="s">
        <v>843</v>
      </c>
      <c r="E1645" s="1">
        <v>58.0</v>
      </c>
      <c r="F1645" s="1">
        <v>0.0</v>
      </c>
      <c r="G1645" s="1">
        <v>0.0</v>
      </c>
      <c r="H1645" s="1">
        <v>0.0</v>
      </c>
      <c r="I1645" s="1">
        <v>0.0</v>
      </c>
      <c r="J1645" s="1">
        <v>0.0</v>
      </c>
      <c r="K1645" s="1">
        <v>0.0</v>
      </c>
      <c r="L1645" s="1">
        <v>4120000.0</v>
      </c>
      <c r="M1645" s="1" t="s">
        <v>6275</v>
      </c>
      <c r="N1645" s="18">
        <v>46014.0</v>
      </c>
      <c r="O1645" s="1" t="s">
        <v>4118</v>
      </c>
      <c r="P1645" s="1" t="s">
        <v>3230</v>
      </c>
      <c r="Q1645" s="1" t="s">
        <v>3408</v>
      </c>
    </row>
    <row r="1646">
      <c r="A1646" s="1" t="s">
        <v>6276</v>
      </c>
      <c r="B1646" s="1">
        <v>58.0</v>
      </c>
      <c r="C1646" s="1">
        <v>50.0</v>
      </c>
      <c r="D1646" s="2" t="s">
        <v>439</v>
      </c>
      <c r="E1646" s="1">
        <v>58.0</v>
      </c>
      <c r="F1646" s="1">
        <v>14.0</v>
      </c>
      <c r="G1646" s="1">
        <v>0.0</v>
      </c>
      <c r="H1646" s="1">
        <v>0.0</v>
      </c>
      <c r="I1646" s="1">
        <v>0.0</v>
      </c>
      <c r="J1646" s="1">
        <v>0.0</v>
      </c>
      <c r="K1646" s="1">
        <v>0.04</v>
      </c>
      <c r="L1646" s="1">
        <v>728.0</v>
      </c>
      <c r="M1646" s="1" t="s">
        <v>6277</v>
      </c>
      <c r="N1646" s="18">
        <v>46010.0</v>
      </c>
      <c r="O1646" s="1" t="s">
        <v>6278</v>
      </c>
      <c r="P1646" s="1" t="s">
        <v>3294</v>
      </c>
      <c r="Q1646" s="1" t="s">
        <v>3408</v>
      </c>
    </row>
    <row r="1647">
      <c r="A1647" s="1" t="s">
        <v>6279</v>
      </c>
      <c r="B1647" s="1">
        <v>58.0</v>
      </c>
      <c r="C1647" s="1">
        <v>70.0</v>
      </c>
      <c r="D1647" s="2" t="s">
        <v>2048</v>
      </c>
      <c r="E1647" s="1">
        <v>58.0</v>
      </c>
      <c r="F1647" s="1">
        <v>11.0</v>
      </c>
      <c r="G1647" s="1">
        <v>0.0</v>
      </c>
      <c r="H1647" s="1">
        <v>0.0</v>
      </c>
      <c r="I1647" s="1">
        <v>0.0</v>
      </c>
      <c r="J1647" s="1">
        <v>0.0</v>
      </c>
      <c r="K1647" s="1">
        <v>0.0</v>
      </c>
      <c r="L1647" s="1">
        <v>3.9E7</v>
      </c>
      <c r="M1647" s="1" t="s">
        <v>5933</v>
      </c>
      <c r="N1647" s="18">
        <v>46008.0</v>
      </c>
      <c r="O1647" s="1" t="s">
        <v>3479</v>
      </c>
      <c r="P1647" s="1" t="s">
        <v>3230</v>
      </c>
      <c r="Q1647" s="1" t="s">
        <v>3408</v>
      </c>
    </row>
    <row r="1648">
      <c r="A1648" s="1" t="s">
        <v>6280</v>
      </c>
      <c r="B1648" s="1">
        <v>58.0</v>
      </c>
      <c r="C1648" s="1">
        <v>170.0</v>
      </c>
      <c r="D1648" s="2" t="s">
        <v>2416</v>
      </c>
      <c r="E1648" s="1">
        <v>58.0</v>
      </c>
      <c r="F1648" s="1">
        <v>33.0</v>
      </c>
      <c r="G1648" s="1">
        <v>0.0</v>
      </c>
      <c r="H1648" s="1">
        <v>0.0</v>
      </c>
      <c r="I1648" s="1">
        <v>0.0</v>
      </c>
      <c r="J1648" s="1">
        <v>0.0</v>
      </c>
      <c r="K1648" s="1">
        <v>0.0</v>
      </c>
      <c r="L1648" s="1">
        <v>471000.0</v>
      </c>
      <c r="M1648" s="1" t="s">
        <v>6281</v>
      </c>
      <c r="N1648" s="18">
        <v>46007.0</v>
      </c>
      <c r="O1648" s="1" t="s">
        <v>3252</v>
      </c>
      <c r="P1648" s="1" t="s">
        <v>3230</v>
      </c>
      <c r="Q1648" s="1" t="s">
        <v>3408</v>
      </c>
    </row>
    <row r="1649">
      <c r="A1649" s="1" t="s">
        <v>6282</v>
      </c>
      <c r="B1649" s="1">
        <v>58.0</v>
      </c>
      <c r="C1649" s="1">
        <v>70.0</v>
      </c>
      <c r="D1649" s="2" t="s">
        <v>1307</v>
      </c>
      <c r="E1649" s="1">
        <v>58.0</v>
      </c>
      <c r="F1649" s="1">
        <v>5.0</v>
      </c>
      <c r="G1649" s="1">
        <v>5.28</v>
      </c>
      <c r="H1649" s="1">
        <v>0.0</v>
      </c>
      <c r="I1649" s="1">
        <v>0.0</v>
      </c>
      <c r="J1649" s="1">
        <v>0.0</v>
      </c>
      <c r="K1649" s="1">
        <v>0.94</v>
      </c>
      <c r="L1649" s="1">
        <v>116000.0</v>
      </c>
      <c r="M1649" s="1" t="s">
        <v>6283</v>
      </c>
      <c r="N1649" s="18">
        <v>46004.0</v>
      </c>
      <c r="O1649" s="1" t="s">
        <v>4183</v>
      </c>
      <c r="P1649" s="1" t="s">
        <v>3257</v>
      </c>
      <c r="Q1649" s="1" t="s">
        <v>3408</v>
      </c>
    </row>
    <row r="1650">
      <c r="A1650" s="1" t="s">
        <v>6284</v>
      </c>
      <c r="B1650" s="1">
        <v>58.0</v>
      </c>
      <c r="C1650" s="1">
        <v>40.0</v>
      </c>
      <c r="D1650" s="2" t="s">
        <v>439</v>
      </c>
      <c r="E1650" s="1">
        <v>58.0</v>
      </c>
      <c r="F1650" s="1">
        <v>17.0</v>
      </c>
      <c r="G1650" s="1">
        <v>3.75</v>
      </c>
      <c r="H1650" s="1">
        <v>0.0</v>
      </c>
      <c r="I1650" s="1">
        <v>0.0</v>
      </c>
      <c r="J1650" s="1">
        <v>0.0</v>
      </c>
      <c r="K1650" s="1">
        <v>0.24</v>
      </c>
      <c r="L1650" s="1">
        <v>1.27E7</v>
      </c>
      <c r="M1650" s="1" t="s">
        <v>6285</v>
      </c>
      <c r="N1650" s="18">
        <v>46003.0</v>
      </c>
      <c r="O1650" s="1" t="s">
        <v>5865</v>
      </c>
      <c r="P1650" s="1" t="s">
        <v>3301</v>
      </c>
      <c r="Q1650" s="1" t="s">
        <v>3408</v>
      </c>
    </row>
    <row r="1651">
      <c r="A1651" s="1" t="s">
        <v>6286</v>
      </c>
      <c r="B1651" s="1">
        <v>58.0</v>
      </c>
      <c r="C1651" s="1">
        <v>40.0</v>
      </c>
      <c r="D1651" s="2" t="s">
        <v>638</v>
      </c>
      <c r="E1651" s="1">
        <v>58.0</v>
      </c>
      <c r="F1651" s="1">
        <v>6.0</v>
      </c>
      <c r="G1651" s="1">
        <v>0.0</v>
      </c>
      <c r="H1651" s="1">
        <v>0.0</v>
      </c>
      <c r="I1651" s="1">
        <v>0.0</v>
      </c>
      <c r="J1651" s="1">
        <v>0.0</v>
      </c>
      <c r="K1651" s="1">
        <v>0.12</v>
      </c>
      <c r="L1651" s="1">
        <v>2980000.0</v>
      </c>
      <c r="M1651" s="1" t="s">
        <v>6287</v>
      </c>
      <c r="N1651" s="18">
        <v>46000.0</v>
      </c>
      <c r="O1651" s="1" t="s">
        <v>3479</v>
      </c>
      <c r="P1651" s="1" t="s">
        <v>3230</v>
      </c>
      <c r="Q1651" s="1" t="s">
        <v>3408</v>
      </c>
    </row>
    <row r="1652">
      <c r="A1652" s="1" t="s">
        <v>6288</v>
      </c>
      <c r="B1652" s="1">
        <v>58.0</v>
      </c>
      <c r="C1652" s="1">
        <v>480.0</v>
      </c>
      <c r="D1652" s="2" t="s">
        <v>1452</v>
      </c>
      <c r="E1652" s="1">
        <v>58.0</v>
      </c>
      <c r="F1652" s="1">
        <v>12.0</v>
      </c>
      <c r="G1652" s="1">
        <v>0.0</v>
      </c>
      <c r="H1652" s="1">
        <v>0.0</v>
      </c>
      <c r="I1652" s="1">
        <v>0.0</v>
      </c>
      <c r="J1652" s="1">
        <v>0.0</v>
      </c>
      <c r="K1652" s="1">
        <v>0.0</v>
      </c>
      <c r="L1652" s="1">
        <v>1800000.0</v>
      </c>
      <c r="M1652" s="1" t="s">
        <v>6289</v>
      </c>
      <c r="N1652" s="18">
        <v>45999.0</v>
      </c>
      <c r="O1652" s="1" t="s">
        <v>3496</v>
      </c>
      <c r="P1652" s="1" t="s">
        <v>3230</v>
      </c>
      <c r="Q1652" s="1" t="s">
        <v>3408</v>
      </c>
    </row>
    <row r="1653">
      <c r="A1653" s="1" t="s">
        <v>6290</v>
      </c>
      <c r="B1653" s="1">
        <v>58.0</v>
      </c>
      <c r="C1653" s="1">
        <v>50.0</v>
      </c>
      <c r="D1653" s="2" t="s">
        <v>1307</v>
      </c>
      <c r="E1653" s="1">
        <v>58.0</v>
      </c>
      <c r="F1653" s="1">
        <v>10.0</v>
      </c>
      <c r="G1653" s="1">
        <v>15.34</v>
      </c>
      <c r="H1653" s="1">
        <v>0.0</v>
      </c>
      <c r="I1653" s="1">
        <v>0.0</v>
      </c>
      <c r="J1653" s="1">
        <v>0.0</v>
      </c>
      <c r="K1653" s="1">
        <v>0.94</v>
      </c>
      <c r="L1653" s="1">
        <v>3930000.0</v>
      </c>
      <c r="M1653" s="1" t="s">
        <v>6291</v>
      </c>
      <c r="N1653" s="18">
        <v>45995.0</v>
      </c>
      <c r="O1653" s="1" t="s">
        <v>3458</v>
      </c>
      <c r="P1653" s="1" t="s">
        <v>3257</v>
      </c>
      <c r="Q1653" s="1" t="s">
        <v>3408</v>
      </c>
    </row>
    <row r="1654">
      <c r="A1654" s="1" t="s">
        <v>6292</v>
      </c>
      <c r="B1654" s="1">
        <v>58.0</v>
      </c>
      <c r="C1654" s="1">
        <v>70.0</v>
      </c>
      <c r="D1654" s="2" t="s">
        <v>581</v>
      </c>
      <c r="E1654" s="1">
        <v>58.0</v>
      </c>
      <c r="F1654" s="1">
        <v>23.0</v>
      </c>
      <c r="G1654" s="1">
        <v>7.3</v>
      </c>
      <c r="H1654" s="1">
        <v>0.0</v>
      </c>
      <c r="I1654" s="1">
        <v>0.0</v>
      </c>
      <c r="J1654" s="1">
        <v>0.0</v>
      </c>
      <c r="K1654" s="1">
        <v>0.61</v>
      </c>
      <c r="L1654" s="1">
        <v>484000.0</v>
      </c>
      <c r="M1654" s="1" t="s">
        <v>6293</v>
      </c>
      <c r="N1654" s="18">
        <v>45991.0</v>
      </c>
      <c r="O1654" s="1" t="s">
        <v>3673</v>
      </c>
      <c r="P1654" s="1" t="s">
        <v>3257</v>
      </c>
      <c r="Q1654" s="1" t="s">
        <v>3408</v>
      </c>
    </row>
    <row r="1655">
      <c r="A1655" s="1" t="s">
        <v>6294</v>
      </c>
      <c r="B1655" s="1">
        <v>58.0</v>
      </c>
      <c r="C1655" s="1">
        <v>210.0</v>
      </c>
      <c r="D1655" s="2" t="s">
        <v>439</v>
      </c>
      <c r="E1655" s="1">
        <v>58.0</v>
      </c>
      <c r="F1655" s="1">
        <v>17.0</v>
      </c>
      <c r="G1655" s="1">
        <v>16.74</v>
      </c>
      <c r="H1655" s="1">
        <v>0.0</v>
      </c>
      <c r="I1655" s="1">
        <v>0.0</v>
      </c>
      <c r="J1655" s="1">
        <v>0.0</v>
      </c>
      <c r="K1655" s="1">
        <v>0.32</v>
      </c>
      <c r="L1655" s="1">
        <v>6850.0</v>
      </c>
      <c r="M1655" s="1" t="s">
        <v>6295</v>
      </c>
      <c r="N1655" s="18">
        <v>45990.0</v>
      </c>
      <c r="O1655" s="1" t="s">
        <v>6296</v>
      </c>
      <c r="P1655" s="1" t="s">
        <v>3230</v>
      </c>
      <c r="Q1655" s="1" t="s">
        <v>3408</v>
      </c>
    </row>
    <row r="1656">
      <c r="A1656" s="1" t="s">
        <v>6297</v>
      </c>
      <c r="B1656" s="1">
        <v>58.0</v>
      </c>
      <c r="C1656" s="1">
        <v>90.0</v>
      </c>
      <c r="D1656" s="2" t="s">
        <v>748</v>
      </c>
      <c r="E1656" s="1">
        <v>58.0</v>
      </c>
      <c r="F1656" s="1">
        <v>15.0</v>
      </c>
      <c r="G1656" s="1">
        <v>32.81</v>
      </c>
      <c r="H1656" s="1">
        <v>0.0</v>
      </c>
      <c r="I1656" s="1">
        <v>0.0</v>
      </c>
      <c r="J1656" s="1">
        <v>0.0</v>
      </c>
      <c r="K1656" s="1">
        <v>0.07</v>
      </c>
      <c r="L1656" s="1">
        <v>920000.0</v>
      </c>
      <c r="M1656" s="1" t="s">
        <v>6298</v>
      </c>
      <c r="N1656" s="18">
        <v>45989.0</v>
      </c>
      <c r="O1656" s="1" t="s">
        <v>6299</v>
      </c>
      <c r="P1656" s="1" t="s">
        <v>3334</v>
      </c>
      <c r="Q1656" s="1" t="s">
        <v>3408</v>
      </c>
    </row>
    <row r="1657">
      <c r="A1657" s="1" t="s">
        <v>6300</v>
      </c>
      <c r="B1657" s="1">
        <v>58.0</v>
      </c>
      <c r="C1657" s="1">
        <v>40.0</v>
      </c>
      <c r="D1657" s="2" t="s">
        <v>1469</v>
      </c>
      <c r="E1657" s="1">
        <v>58.0</v>
      </c>
      <c r="F1657" s="1">
        <v>0.0</v>
      </c>
      <c r="G1657" s="1">
        <v>4.34</v>
      </c>
      <c r="H1657" s="1">
        <v>0.0</v>
      </c>
      <c r="I1657" s="1">
        <v>0.0</v>
      </c>
      <c r="J1657" s="1">
        <v>0.0</v>
      </c>
      <c r="K1657" s="1">
        <v>0.16</v>
      </c>
      <c r="L1657" s="1">
        <v>10.0</v>
      </c>
      <c r="M1657" s="1" t="s">
        <v>6301</v>
      </c>
      <c r="N1657" s="18">
        <v>45970.0</v>
      </c>
      <c r="O1657" s="1" t="s">
        <v>3237</v>
      </c>
      <c r="P1657" s="1" t="s">
        <v>3230</v>
      </c>
      <c r="Q1657" s="1" t="s">
        <v>3408</v>
      </c>
    </row>
    <row r="1658">
      <c r="A1658" s="1" t="s">
        <v>6302</v>
      </c>
      <c r="B1658" s="1">
        <v>59.0</v>
      </c>
      <c r="C1658" s="1">
        <v>40.0</v>
      </c>
      <c r="D1658" s="2" t="s">
        <v>724</v>
      </c>
      <c r="E1658" s="1">
        <v>0.0</v>
      </c>
      <c r="F1658" s="1">
        <v>4.0</v>
      </c>
      <c r="G1658" s="1">
        <v>0.0</v>
      </c>
      <c r="H1658" s="1">
        <v>0.0</v>
      </c>
      <c r="I1658" s="1">
        <v>0.0</v>
      </c>
      <c r="J1658" s="1">
        <v>0.0</v>
      </c>
      <c r="K1658" s="1">
        <v>0.02</v>
      </c>
      <c r="L1658" s="1">
        <v>5370000.0</v>
      </c>
      <c r="M1658" s="1" t="s">
        <v>6303</v>
      </c>
      <c r="N1658" s="18">
        <v>46043.0</v>
      </c>
      <c r="O1658" s="1" t="s">
        <v>3284</v>
      </c>
      <c r="P1658" s="1" t="s">
        <v>3230</v>
      </c>
      <c r="Q1658" s="1" t="s">
        <v>3408</v>
      </c>
    </row>
    <row r="1659">
      <c r="A1659" s="1" t="s">
        <v>6304</v>
      </c>
      <c r="B1659" s="1">
        <v>59.0</v>
      </c>
      <c r="C1659" s="1">
        <v>210.0</v>
      </c>
      <c r="D1659" s="2" t="s">
        <v>833</v>
      </c>
      <c r="E1659" s="1">
        <v>56.0</v>
      </c>
      <c r="F1659" s="1">
        <v>11.0</v>
      </c>
      <c r="G1659" s="1">
        <v>20.35</v>
      </c>
      <c r="H1659" s="1">
        <v>0.0</v>
      </c>
      <c r="I1659" s="1">
        <v>0.0</v>
      </c>
      <c r="J1659" s="1">
        <v>0.0</v>
      </c>
      <c r="K1659" s="1">
        <v>0.16</v>
      </c>
      <c r="L1659" s="1">
        <v>2.42E7</v>
      </c>
      <c r="M1659" s="1" t="s">
        <v>6305</v>
      </c>
      <c r="N1659" s="18">
        <v>46042.0</v>
      </c>
      <c r="O1659" s="1" t="s">
        <v>4646</v>
      </c>
      <c r="P1659" s="1" t="s">
        <v>3230</v>
      </c>
      <c r="Q1659" s="1" t="s">
        <v>3408</v>
      </c>
    </row>
    <row r="1660">
      <c r="A1660" s="1" t="s">
        <v>6306</v>
      </c>
      <c r="B1660" s="1">
        <v>59.0</v>
      </c>
      <c r="C1660" s="1">
        <v>50.0</v>
      </c>
      <c r="D1660" s="2" t="s">
        <v>439</v>
      </c>
      <c r="E1660" s="1">
        <v>59.0</v>
      </c>
      <c r="F1660" s="1">
        <v>28.0</v>
      </c>
      <c r="G1660" s="1">
        <v>0.0</v>
      </c>
      <c r="H1660" s="1">
        <v>0.0</v>
      </c>
      <c r="I1660" s="1">
        <v>0.0</v>
      </c>
      <c r="J1660" s="1">
        <v>0.0</v>
      </c>
      <c r="K1660" s="1">
        <v>0.33</v>
      </c>
      <c r="L1660" s="1">
        <v>185000.0</v>
      </c>
      <c r="M1660" s="1" t="s">
        <v>6307</v>
      </c>
      <c r="N1660" s="18">
        <v>46042.0</v>
      </c>
      <c r="O1660" s="1" t="s">
        <v>6308</v>
      </c>
      <c r="P1660" s="1" t="s">
        <v>3301</v>
      </c>
      <c r="Q1660" s="1" t="s">
        <v>3408</v>
      </c>
    </row>
    <row r="1661">
      <c r="A1661" s="1" t="s">
        <v>6309</v>
      </c>
      <c r="B1661" s="1">
        <v>59.0</v>
      </c>
      <c r="C1661" s="1">
        <v>70.0</v>
      </c>
      <c r="D1661" s="2" t="s">
        <v>581</v>
      </c>
      <c r="E1661" s="1">
        <v>59.0</v>
      </c>
      <c r="F1661" s="1">
        <v>7.0</v>
      </c>
      <c r="G1661" s="1">
        <v>6.56</v>
      </c>
      <c r="H1661" s="1">
        <v>0.0</v>
      </c>
      <c r="I1661" s="1">
        <v>0.0</v>
      </c>
      <c r="J1661" s="1">
        <v>0.0</v>
      </c>
      <c r="K1661" s="1">
        <v>0.04</v>
      </c>
      <c r="L1661" s="1">
        <v>3.17E7</v>
      </c>
      <c r="M1661" s="1" t="s">
        <v>6310</v>
      </c>
      <c r="N1661" s="18">
        <v>46041.0</v>
      </c>
      <c r="O1661" s="1" t="s">
        <v>3821</v>
      </c>
      <c r="P1661" s="1" t="s">
        <v>3301</v>
      </c>
      <c r="Q1661" s="1" t="s">
        <v>3408</v>
      </c>
    </row>
    <row r="1662">
      <c r="A1662" s="1" t="s">
        <v>3800</v>
      </c>
      <c r="B1662" s="1">
        <v>59.0</v>
      </c>
      <c r="C1662" s="1">
        <v>30.0</v>
      </c>
      <c r="D1662" s="2" t="s">
        <v>1234</v>
      </c>
      <c r="E1662" s="1">
        <v>59.0</v>
      </c>
      <c r="F1662" s="1">
        <v>17.0</v>
      </c>
      <c r="G1662" s="1">
        <v>16.61</v>
      </c>
      <c r="H1662" s="1">
        <v>0.0</v>
      </c>
      <c r="I1662" s="1">
        <v>0.0</v>
      </c>
      <c r="J1662" s="1">
        <v>0.0</v>
      </c>
      <c r="K1662" s="1">
        <v>1.0</v>
      </c>
      <c r="L1662" s="1">
        <v>1.13E7</v>
      </c>
      <c r="M1662" s="1" t="s">
        <v>3801</v>
      </c>
      <c r="N1662" s="18">
        <v>46038.0</v>
      </c>
      <c r="O1662" s="1" t="s">
        <v>3673</v>
      </c>
      <c r="P1662" s="1" t="s">
        <v>3257</v>
      </c>
      <c r="Q1662" s="1" t="s">
        <v>3408</v>
      </c>
    </row>
    <row r="1663">
      <c r="A1663" s="1" t="s">
        <v>6311</v>
      </c>
      <c r="B1663" s="1">
        <v>59.0</v>
      </c>
      <c r="C1663" s="1">
        <v>70.0</v>
      </c>
      <c r="D1663" s="2" t="s">
        <v>1868</v>
      </c>
      <c r="E1663" s="1">
        <v>59.0</v>
      </c>
      <c r="F1663" s="1">
        <v>42.0</v>
      </c>
      <c r="G1663" s="1">
        <v>0.0</v>
      </c>
      <c r="H1663" s="1">
        <v>0.0</v>
      </c>
      <c r="I1663" s="1">
        <v>0.0</v>
      </c>
      <c r="J1663" s="1">
        <v>0.0</v>
      </c>
      <c r="K1663" s="1">
        <v>0.0</v>
      </c>
      <c r="L1663" s="1">
        <v>4.32E8</v>
      </c>
      <c r="M1663" s="1" t="s">
        <v>6312</v>
      </c>
      <c r="N1663" s="18">
        <v>46035.0</v>
      </c>
      <c r="O1663" s="1" t="s">
        <v>5442</v>
      </c>
      <c r="P1663" s="1" t="s">
        <v>3230</v>
      </c>
      <c r="Q1663" s="1" t="s">
        <v>3408</v>
      </c>
    </row>
    <row r="1664">
      <c r="A1664" s="1" t="s">
        <v>6237</v>
      </c>
      <c r="B1664" s="1">
        <v>59.0</v>
      </c>
      <c r="C1664" s="1">
        <v>30.0</v>
      </c>
      <c r="D1664" s="2" t="s">
        <v>581</v>
      </c>
      <c r="E1664" s="1">
        <v>59.0</v>
      </c>
      <c r="F1664" s="1">
        <v>14.0</v>
      </c>
      <c r="G1664" s="1">
        <v>4.35</v>
      </c>
      <c r="H1664" s="1">
        <v>0.0</v>
      </c>
      <c r="I1664" s="1">
        <v>0.0</v>
      </c>
      <c r="J1664" s="1">
        <v>0.0</v>
      </c>
      <c r="K1664" s="1">
        <v>0.65</v>
      </c>
      <c r="L1664" s="1">
        <v>878000.0</v>
      </c>
      <c r="M1664" s="1" t="s">
        <v>6238</v>
      </c>
      <c r="N1664" s="18">
        <v>46031.0</v>
      </c>
      <c r="O1664" s="1" t="s">
        <v>3755</v>
      </c>
      <c r="P1664" s="1" t="s">
        <v>3257</v>
      </c>
      <c r="Q1664" s="1" t="s">
        <v>3408</v>
      </c>
    </row>
    <row r="1665">
      <c r="A1665" s="1" t="s">
        <v>4111</v>
      </c>
      <c r="B1665" s="1">
        <v>59.0</v>
      </c>
      <c r="C1665" s="1">
        <v>50.0</v>
      </c>
      <c r="D1665" s="2" t="s">
        <v>768</v>
      </c>
      <c r="E1665" s="1">
        <v>59.0</v>
      </c>
      <c r="F1665" s="1">
        <v>7.0</v>
      </c>
      <c r="G1665" s="1">
        <v>0.0</v>
      </c>
      <c r="H1665" s="1">
        <v>0.0</v>
      </c>
      <c r="I1665" s="1">
        <v>0.0</v>
      </c>
      <c r="J1665" s="1">
        <v>0.0</v>
      </c>
      <c r="K1665" s="1">
        <v>0.0</v>
      </c>
      <c r="L1665" s="1">
        <v>131000.0</v>
      </c>
      <c r="M1665" s="1" t="s">
        <v>4112</v>
      </c>
      <c r="N1665" s="18">
        <v>46031.0</v>
      </c>
      <c r="O1665" s="1" t="s">
        <v>4113</v>
      </c>
      <c r="P1665" s="1" t="s">
        <v>3230</v>
      </c>
      <c r="Q1665" s="1" t="s">
        <v>3408</v>
      </c>
    </row>
    <row r="1666">
      <c r="A1666" s="1" t="s">
        <v>6021</v>
      </c>
      <c r="B1666" s="1">
        <v>59.0</v>
      </c>
      <c r="C1666" s="1">
        <v>30.0</v>
      </c>
      <c r="D1666" s="2" t="s">
        <v>439</v>
      </c>
      <c r="E1666" s="1">
        <v>59.0</v>
      </c>
      <c r="F1666" s="1">
        <v>15.0</v>
      </c>
      <c r="G1666" s="1">
        <v>2.43</v>
      </c>
      <c r="H1666" s="1">
        <v>0.0</v>
      </c>
      <c r="I1666" s="1">
        <v>0.0</v>
      </c>
      <c r="J1666" s="1">
        <v>0.0</v>
      </c>
      <c r="K1666" s="1">
        <v>0.06</v>
      </c>
      <c r="L1666" s="1">
        <v>86800.0</v>
      </c>
      <c r="M1666" s="1" t="s">
        <v>4770</v>
      </c>
      <c r="N1666" s="18">
        <v>46030.0</v>
      </c>
      <c r="O1666" s="1" t="s">
        <v>4709</v>
      </c>
      <c r="P1666" s="1" t="s">
        <v>3294</v>
      </c>
      <c r="Q1666" s="1" t="s">
        <v>3408</v>
      </c>
    </row>
    <row r="1667">
      <c r="A1667" s="1" t="s">
        <v>6313</v>
      </c>
      <c r="B1667" s="1">
        <v>59.0</v>
      </c>
      <c r="C1667" s="1">
        <v>390.0</v>
      </c>
      <c r="D1667" s="2" t="s">
        <v>2930</v>
      </c>
      <c r="E1667" s="1">
        <v>59.0</v>
      </c>
      <c r="F1667" s="1">
        <v>51.0</v>
      </c>
      <c r="G1667" s="1">
        <v>0.0</v>
      </c>
      <c r="H1667" s="1">
        <v>0.0</v>
      </c>
      <c r="I1667" s="1">
        <v>0.0</v>
      </c>
      <c r="J1667" s="1">
        <v>0.0</v>
      </c>
      <c r="K1667" s="1">
        <v>0.0</v>
      </c>
      <c r="L1667" s="1">
        <v>1.31E8</v>
      </c>
      <c r="M1667" s="1" t="s">
        <v>6314</v>
      </c>
      <c r="N1667" s="18">
        <v>46029.0</v>
      </c>
      <c r="O1667" s="1" t="s">
        <v>4143</v>
      </c>
      <c r="P1667" s="1" t="s">
        <v>3230</v>
      </c>
      <c r="Q1667" s="1" t="s">
        <v>3408</v>
      </c>
    </row>
    <row r="1668">
      <c r="A1668" s="1" t="s">
        <v>6315</v>
      </c>
      <c r="B1668" s="1">
        <v>59.0</v>
      </c>
      <c r="C1668" s="1">
        <v>30.0</v>
      </c>
      <c r="D1668" s="2" t="s">
        <v>447</v>
      </c>
      <c r="E1668" s="1">
        <v>59.0</v>
      </c>
      <c r="F1668" s="1">
        <v>1.0</v>
      </c>
      <c r="G1668" s="1">
        <v>72.26</v>
      </c>
      <c r="H1668" s="1">
        <v>0.0</v>
      </c>
      <c r="I1668" s="1">
        <v>0.0</v>
      </c>
      <c r="J1668" s="1">
        <v>0.0</v>
      </c>
      <c r="K1668" s="1">
        <v>0.9</v>
      </c>
      <c r="L1668" s="1">
        <v>15200.0</v>
      </c>
      <c r="M1668" s="1" t="s">
        <v>6316</v>
      </c>
      <c r="N1668" s="18">
        <v>46026.0</v>
      </c>
      <c r="O1668" s="1" t="s">
        <v>4183</v>
      </c>
      <c r="P1668" s="1" t="s">
        <v>3257</v>
      </c>
      <c r="Q1668" s="1" t="s">
        <v>3408</v>
      </c>
    </row>
    <row r="1669">
      <c r="A1669" s="1" t="s">
        <v>6317</v>
      </c>
      <c r="B1669" s="1">
        <v>59.0</v>
      </c>
      <c r="C1669" s="1">
        <v>70.0</v>
      </c>
      <c r="D1669" s="2" t="s">
        <v>2227</v>
      </c>
      <c r="E1669" s="1">
        <v>59.0</v>
      </c>
      <c r="F1669" s="1">
        <v>33.0</v>
      </c>
      <c r="G1669" s="1">
        <v>0.0</v>
      </c>
      <c r="H1669" s="1">
        <v>0.0</v>
      </c>
      <c r="I1669" s="1">
        <v>0.0</v>
      </c>
      <c r="J1669" s="1">
        <v>0.0</v>
      </c>
      <c r="K1669" s="1">
        <v>0.0</v>
      </c>
      <c r="L1669" s="1">
        <v>202000.0</v>
      </c>
      <c r="M1669" s="1" t="s">
        <v>6318</v>
      </c>
      <c r="N1669" s="18">
        <v>46025.0</v>
      </c>
      <c r="O1669" s="1" t="s">
        <v>6319</v>
      </c>
      <c r="P1669" s="1" t="s">
        <v>3334</v>
      </c>
      <c r="Q1669" s="1" t="s">
        <v>3408</v>
      </c>
    </row>
    <row r="1670">
      <c r="A1670" s="1" t="s">
        <v>6320</v>
      </c>
      <c r="B1670" s="1">
        <v>59.0</v>
      </c>
      <c r="C1670" s="1">
        <v>70.0</v>
      </c>
      <c r="D1670" s="2" t="s">
        <v>638</v>
      </c>
      <c r="E1670" s="1">
        <v>59.0</v>
      </c>
      <c r="F1670" s="1">
        <v>6.0</v>
      </c>
      <c r="G1670" s="1">
        <v>0.0</v>
      </c>
      <c r="H1670" s="1">
        <v>0.0</v>
      </c>
      <c r="I1670" s="1">
        <v>0.0</v>
      </c>
      <c r="J1670" s="1">
        <v>0.0</v>
      </c>
      <c r="K1670" s="1">
        <v>0.0</v>
      </c>
      <c r="L1670" s="1">
        <v>1.99E7</v>
      </c>
      <c r="M1670" s="1" t="s">
        <v>6321</v>
      </c>
      <c r="N1670" s="18">
        <v>46024.0</v>
      </c>
      <c r="O1670" s="1" t="s">
        <v>3264</v>
      </c>
      <c r="P1670" s="1" t="s">
        <v>3230</v>
      </c>
      <c r="Q1670" s="1" t="s">
        <v>3408</v>
      </c>
    </row>
    <row r="1671">
      <c r="A1671" s="1" t="s">
        <v>6322</v>
      </c>
      <c r="B1671" s="1">
        <v>59.0</v>
      </c>
      <c r="C1671" s="1">
        <v>50.0</v>
      </c>
      <c r="D1671" s="2" t="s">
        <v>1981</v>
      </c>
      <c r="E1671" s="1">
        <v>59.0</v>
      </c>
      <c r="F1671" s="1">
        <v>12.0</v>
      </c>
      <c r="G1671" s="1">
        <v>6.72</v>
      </c>
      <c r="H1671" s="1">
        <v>0.0</v>
      </c>
      <c r="I1671" s="1">
        <v>0.0</v>
      </c>
      <c r="J1671" s="1">
        <v>0.0</v>
      </c>
      <c r="K1671" s="1">
        <v>0.74</v>
      </c>
      <c r="L1671" s="1">
        <v>1.16E8</v>
      </c>
      <c r="M1671" s="1" t="s">
        <v>6323</v>
      </c>
      <c r="N1671" s="18">
        <v>46020.0</v>
      </c>
      <c r="O1671" s="1" t="s">
        <v>6324</v>
      </c>
      <c r="P1671" s="1" t="s">
        <v>3230</v>
      </c>
      <c r="Q1671" s="1" t="s">
        <v>3408</v>
      </c>
    </row>
    <row r="1672">
      <c r="A1672" s="1" t="s">
        <v>6325</v>
      </c>
      <c r="B1672" s="1">
        <v>59.0</v>
      </c>
      <c r="C1672" s="1">
        <v>110.0</v>
      </c>
      <c r="D1672" s="2" t="s">
        <v>439</v>
      </c>
      <c r="E1672" s="1">
        <v>59.0</v>
      </c>
      <c r="F1672" s="1">
        <v>11.0</v>
      </c>
      <c r="G1672" s="1">
        <v>2.99</v>
      </c>
      <c r="H1672" s="1">
        <v>0.0</v>
      </c>
      <c r="I1672" s="1">
        <v>0.0</v>
      </c>
      <c r="J1672" s="1">
        <v>0.0</v>
      </c>
      <c r="K1672" s="1">
        <v>0.12</v>
      </c>
      <c r="L1672" s="1">
        <v>10300.0</v>
      </c>
      <c r="M1672" s="1" t="s">
        <v>6326</v>
      </c>
      <c r="N1672" s="18">
        <v>46020.0</v>
      </c>
      <c r="O1672" s="1" t="s">
        <v>3358</v>
      </c>
      <c r="P1672" s="1" t="s">
        <v>3301</v>
      </c>
      <c r="Q1672" s="1" t="s">
        <v>3408</v>
      </c>
    </row>
    <row r="1673">
      <c r="A1673" s="1" t="s">
        <v>6327</v>
      </c>
      <c r="B1673" s="1">
        <v>59.0</v>
      </c>
      <c r="C1673" s="1">
        <v>140.0</v>
      </c>
      <c r="D1673" s="2" t="s">
        <v>1017</v>
      </c>
      <c r="E1673" s="1">
        <v>59.0</v>
      </c>
      <c r="F1673" s="1">
        <v>23.0</v>
      </c>
      <c r="G1673" s="1">
        <v>3.08</v>
      </c>
      <c r="H1673" s="1">
        <v>0.0</v>
      </c>
      <c r="I1673" s="1">
        <v>0.0</v>
      </c>
      <c r="J1673" s="1">
        <v>0.0</v>
      </c>
      <c r="K1673" s="1">
        <v>0.12</v>
      </c>
      <c r="L1673" s="1">
        <v>1290000.0</v>
      </c>
      <c r="M1673" s="1" t="s">
        <v>6328</v>
      </c>
      <c r="N1673" s="18">
        <v>46019.0</v>
      </c>
      <c r="O1673" s="1" t="s">
        <v>3650</v>
      </c>
      <c r="P1673" s="1" t="s">
        <v>3294</v>
      </c>
      <c r="Q1673" s="1" t="s">
        <v>3408</v>
      </c>
    </row>
    <row r="1674">
      <c r="A1674" s="1" t="s">
        <v>6329</v>
      </c>
      <c r="B1674" s="1">
        <v>59.0</v>
      </c>
      <c r="C1674" s="1">
        <v>50.0</v>
      </c>
      <c r="D1674" s="2" t="s">
        <v>1868</v>
      </c>
      <c r="E1674" s="1">
        <v>59.0</v>
      </c>
      <c r="F1674" s="1">
        <v>50.0</v>
      </c>
      <c r="G1674" s="1">
        <v>0.0</v>
      </c>
      <c r="H1674" s="1">
        <v>0.0</v>
      </c>
      <c r="I1674" s="1">
        <v>0.0</v>
      </c>
      <c r="J1674" s="1">
        <v>0.0</v>
      </c>
      <c r="K1674" s="1">
        <v>0.03</v>
      </c>
      <c r="L1674" s="1">
        <v>4.15E8</v>
      </c>
      <c r="M1674" s="1" t="s">
        <v>6330</v>
      </c>
      <c r="N1674" s="18">
        <v>46017.0</v>
      </c>
      <c r="O1674" s="1" t="s">
        <v>5650</v>
      </c>
      <c r="P1674" s="1" t="s">
        <v>3230</v>
      </c>
      <c r="Q1674" s="1" t="s">
        <v>3408</v>
      </c>
    </row>
    <row r="1675">
      <c r="A1675" s="1" t="s">
        <v>6331</v>
      </c>
      <c r="B1675" s="1">
        <v>59.0</v>
      </c>
      <c r="C1675" s="1">
        <v>90.0</v>
      </c>
      <c r="D1675" s="2" t="s">
        <v>581</v>
      </c>
      <c r="E1675" s="1">
        <v>59.0</v>
      </c>
      <c r="F1675" s="1">
        <v>3.0</v>
      </c>
      <c r="G1675" s="1">
        <v>3.14</v>
      </c>
      <c r="H1675" s="1">
        <v>0.0</v>
      </c>
      <c r="I1675" s="1">
        <v>0.0</v>
      </c>
      <c r="J1675" s="1">
        <v>0.0</v>
      </c>
      <c r="K1675" s="1">
        <v>0.14</v>
      </c>
      <c r="L1675" s="1">
        <v>8590000.0</v>
      </c>
      <c r="M1675" s="1" t="s">
        <v>6332</v>
      </c>
      <c r="N1675" s="18">
        <v>46016.0</v>
      </c>
      <c r="O1675" s="1" t="s">
        <v>3404</v>
      </c>
      <c r="P1675" s="1" t="s">
        <v>3257</v>
      </c>
      <c r="Q1675" s="1" t="s">
        <v>3408</v>
      </c>
    </row>
    <row r="1676">
      <c r="A1676" s="1" t="s">
        <v>3742</v>
      </c>
      <c r="B1676" s="1">
        <v>59.0</v>
      </c>
      <c r="C1676" s="1">
        <v>110.0</v>
      </c>
      <c r="D1676" s="2" t="s">
        <v>475</v>
      </c>
      <c r="E1676" s="1">
        <v>59.0</v>
      </c>
      <c r="F1676" s="1">
        <v>20.0</v>
      </c>
      <c r="G1676" s="1">
        <v>16.13</v>
      </c>
      <c r="H1676" s="1">
        <v>0.0</v>
      </c>
      <c r="I1676" s="1">
        <v>0.0</v>
      </c>
      <c r="J1676" s="1">
        <v>0.0</v>
      </c>
      <c r="K1676" s="1">
        <v>0.58</v>
      </c>
      <c r="L1676" s="1">
        <v>42700.0</v>
      </c>
      <c r="M1676" s="1" t="s">
        <v>3743</v>
      </c>
      <c r="N1676" s="18">
        <v>46015.0</v>
      </c>
      <c r="O1676" s="1" t="s">
        <v>3458</v>
      </c>
      <c r="P1676" s="1" t="s">
        <v>3257</v>
      </c>
      <c r="Q1676" s="1" t="s">
        <v>3408</v>
      </c>
    </row>
    <row r="1677">
      <c r="A1677" s="1" t="s">
        <v>6333</v>
      </c>
      <c r="B1677" s="1">
        <v>59.0</v>
      </c>
      <c r="C1677" s="1">
        <v>90.0</v>
      </c>
      <c r="D1677" s="2" t="s">
        <v>774</v>
      </c>
      <c r="E1677" s="1">
        <v>59.0</v>
      </c>
      <c r="F1677" s="1">
        <v>13.0</v>
      </c>
      <c r="G1677" s="1">
        <v>0.0</v>
      </c>
      <c r="H1677" s="1">
        <v>0.0</v>
      </c>
      <c r="I1677" s="1">
        <v>0.0</v>
      </c>
      <c r="J1677" s="1">
        <v>0.0</v>
      </c>
      <c r="K1677" s="1">
        <v>0.01</v>
      </c>
      <c r="L1677" s="1">
        <v>325000.0</v>
      </c>
      <c r="M1677" s="1" t="s">
        <v>6334</v>
      </c>
      <c r="N1677" s="18">
        <v>46015.0</v>
      </c>
      <c r="O1677" s="1" t="s">
        <v>6324</v>
      </c>
      <c r="P1677" s="1" t="s">
        <v>3230</v>
      </c>
      <c r="Q1677" s="1" t="s">
        <v>3408</v>
      </c>
    </row>
    <row r="1678">
      <c r="A1678" s="1" t="s">
        <v>6335</v>
      </c>
      <c r="B1678" s="1">
        <v>59.0</v>
      </c>
      <c r="C1678" s="1">
        <v>140.0</v>
      </c>
      <c r="D1678" s="2" t="s">
        <v>581</v>
      </c>
      <c r="E1678" s="1">
        <v>59.0</v>
      </c>
      <c r="F1678" s="1">
        <v>36.0</v>
      </c>
      <c r="G1678" s="1">
        <v>15.32</v>
      </c>
      <c r="H1678" s="1">
        <v>0.0</v>
      </c>
      <c r="I1678" s="1">
        <v>0.0</v>
      </c>
      <c r="J1678" s="1">
        <v>0.0</v>
      </c>
      <c r="K1678" s="1">
        <v>0.21</v>
      </c>
      <c r="L1678" s="1">
        <v>81700.0</v>
      </c>
      <c r="M1678" s="1" t="s">
        <v>6336</v>
      </c>
      <c r="N1678" s="18">
        <v>46014.0</v>
      </c>
      <c r="O1678" s="1" t="s">
        <v>3706</v>
      </c>
      <c r="P1678" s="1" t="s">
        <v>3257</v>
      </c>
      <c r="Q1678" s="1" t="s">
        <v>3408</v>
      </c>
    </row>
    <row r="1679">
      <c r="A1679" s="1" t="s">
        <v>6337</v>
      </c>
      <c r="B1679" s="1">
        <v>59.0</v>
      </c>
      <c r="C1679" s="1">
        <v>590.0</v>
      </c>
      <c r="D1679" s="2" t="s">
        <v>1473</v>
      </c>
      <c r="E1679" s="1">
        <v>59.0</v>
      </c>
      <c r="F1679" s="1">
        <v>63.0</v>
      </c>
      <c r="G1679" s="1">
        <v>0.0</v>
      </c>
      <c r="H1679" s="1">
        <v>0.0</v>
      </c>
      <c r="I1679" s="1">
        <v>0.0</v>
      </c>
      <c r="J1679" s="1">
        <v>0.0</v>
      </c>
      <c r="K1679" s="1">
        <v>0.0</v>
      </c>
      <c r="L1679" s="1">
        <v>2.62E8</v>
      </c>
      <c r="M1679" s="1" t="s">
        <v>6338</v>
      </c>
      <c r="N1679" s="18">
        <v>46009.0</v>
      </c>
      <c r="O1679" s="1" t="s">
        <v>3231</v>
      </c>
      <c r="P1679" s="1" t="s">
        <v>3230</v>
      </c>
      <c r="Q1679" s="1" t="s">
        <v>3408</v>
      </c>
    </row>
    <row r="1680">
      <c r="A1680" s="1" t="s">
        <v>6339</v>
      </c>
      <c r="B1680" s="1">
        <v>59.0</v>
      </c>
      <c r="C1680" s="1">
        <v>50.0</v>
      </c>
      <c r="D1680" s="2" t="s">
        <v>1771</v>
      </c>
      <c r="E1680" s="1">
        <v>59.0</v>
      </c>
      <c r="F1680" s="1">
        <v>0.0</v>
      </c>
      <c r="G1680" s="1">
        <v>0.0</v>
      </c>
      <c r="H1680" s="1">
        <v>0.0</v>
      </c>
      <c r="I1680" s="1">
        <v>0.0</v>
      </c>
      <c r="J1680" s="1">
        <v>0.0</v>
      </c>
      <c r="K1680" s="1">
        <v>0.0</v>
      </c>
      <c r="L1680" s="1">
        <v>917000.0</v>
      </c>
      <c r="M1680" s="1" t="s">
        <v>6340</v>
      </c>
      <c r="N1680" s="18">
        <v>46008.0</v>
      </c>
      <c r="O1680" s="1" t="s">
        <v>3861</v>
      </c>
      <c r="P1680" s="1" t="s">
        <v>3230</v>
      </c>
      <c r="Q1680" s="1" t="s">
        <v>3408</v>
      </c>
    </row>
    <row r="1681">
      <c r="A1681" s="1" t="s">
        <v>3866</v>
      </c>
      <c r="B1681" s="1">
        <v>59.0</v>
      </c>
      <c r="C1681" s="1">
        <v>40.0</v>
      </c>
      <c r="D1681" s="2" t="s">
        <v>594</v>
      </c>
      <c r="E1681" s="1">
        <v>59.0</v>
      </c>
      <c r="F1681" s="1">
        <v>7.0</v>
      </c>
      <c r="G1681" s="1">
        <v>0.0</v>
      </c>
      <c r="H1681" s="1">
        <v>0.0</v>
      </c>
      <c r="I1681" s="1">
        <v>0.0</v>
      </c>
      <c r="J1681" s="1">
        <v>0.0</v>
      </c>
      <c r="K1681" s="1">
        <v>0.01</v>
      </c>
      <c r="L1681" s="1">
        <v>40200.0</v>
      </c>
      <c r="M1681" s="1" t="s">
        <v>3867</v>
      </c>
      <c r="N1681" s="18">
        <v>46007.0</v>
      </c>
      <c r="O1681" s="1" t="s">
        <v>3435</v>
      </c>
      <c r="P1681" s="1" t="s">
        <v>3257</v>
      </c>
      <c r="Q1681" s="1" t="s">
        <v>3408</v>
      </c>
    </row>
    <row r="1682">
      <c r="A1682" s="1" t="s">
        <v>6341</v>
      </c>
      <c r="B1682" s="1">
        <v>59.0</v>
      </c>
      <c r="C1682" s="1">
        <v>70.0</v>
      </c>
      <c r="D1682" s="2" t="s">
        <v>581</v>
      </c>
      <c r="E1682" s="1">
        <v>59.0</v>
      </c>
      <c r="F1682" s="1">
        <v>19.0</v>
      </c>
      <c r="G1682" s="1">
        <v>13.37</v>
      </c>
      <c r="H1682" s="1">
        <v>0.0</v>
      </c>
      <c r="I1682" s="1">
        <v>0.0</v>
      </c>
      <c r="J1682" s="1">
        <v>0.0</v>
      </c>
      <c r="K1682" s="1">
        <v>0.4</v>
      </c>
      <c r="L1682" s="1">
        <v>3.08E8</v>
      </c>
      <c r="M1682" s="1" t="s">
        <v>6342</v>
      </c>
      <c r="N1682" s="18">
        <v>46006.0</v>
      </c>
      <c r="O1682" s="1" t="s">
        <v>4414</v>
      </c>
      <c r="P1682" s="1" t="s">
        <v>3257</v>
      </c>
      <c r="Q1682" s="1" t="s">
        <v>3408</v>
      </c>
    </row>
    <row r="1683">
      <c r="A1683" s="1" t="s">
        <v>6343</v>
      </c>
      <c r="B1683" s="1">
        <v>59.0</v>
      </c>
      <c r="C1683" s="1">
        <v>90.0</v>
      </c>
      <c r="D1683" s="2" t="s">
        <v>2930</v>
      </c>
      <c r="E1683" s="1">
        <v>59.0</v>
      </c>
      <c r="F1683" s="1">
        <v>25.0</v>
      </c>
      <c r="G1683" s="1">
        <v>0.02</v>
      </c>
      <c r="H1683" s="1">
        <v>0.0</v>
      </c>
      <c r="I1683" s="1">
        <v>0.0</v>
      </c>
      <c r="J1683" s="1">
        <v>0.0</v>
      </c>
      <c r="K1683" s="1">
        <v>0.04</v>
      </c>
      <c r="L1683" s="1">
        <v>1.44E8</v>
      </c>
      <c r="M1683" s="1" t="s">
        <v>6344</v>
      </c>
      <c r="N1683" s="18">
        <v>46005.0</v>
      </c>
      <c r="O1683" s="1" t="s">
        <v>3906</v>
      </c>
      <c r="P1683" s="1" t="s">
        <v>3230</v>
      </c>
      <c r="Q1683" s="1" t="s">
        <v>3408</v>
      </c>
    </row>
    <row r="1684">
      <c r="A1684" s="1" t="s">
        <v>6345</v>
      </c>
      <c r="B1684" s="1">
        <v>59.0</v>
      </c>
      <c r="C1684" s="1">
        <v>90.0</v>
      </c>
      <c r="D1684" s="2" t="s">
        <v>798</v>
      </c>
      <c r="E1684" s="1">
        <v>59.0</v>
      </c>
      <c r="F1684" s="1">
        <v>6.0</v>
      </c>
      <c r="G1684" s="1">
        <v>0.0</v>
      </c>
      <c r="H1684" s="1">
        <v>0.0</v>
      </c>
      <c r="I1684" s="1">
        <v>0.0</v>
      </c>
      <c r="J1684" s="1">
        <v>0.0</v>
      </c>
      <c r="K1684" s="1">
        <v>0.01</v>
      </c>
      <c r="L1684" s="1">
        <v>5.95E7</v>
      </c>
      <c r="M1684" s="1" t="s">
        <v>6346</v>
      </c>
      <c r="N1684" s="18">
        <v>46004.0</v>
      </c>
      <c r="O1684" s="1" t="s">
        <v>4146</v>
      </c>
      <c r="P1684" s="1" t="s">
        <v>3230</v>
      </c>
      <c r="Q1684" s="1" t="s">
        <v>3408</v>
      </c>
    </row>
    <row r="1685">
      <c r="A1685" s="1" t="s">
        <v>6347</v>
      </c>
      <c r="B1685" s="1">
        <v>59.0</v>
      </c>
      <c r="C1685" s="1">
        <v>50.0</v>
      </c>
      <c r="D1685" s="2" t="s">
        <v>2227</v>
      </c>
      <c r="E1685" s="1">
        <v>59.0</v>
      </c>
      <c r="F1685" s="1">
        <v>8.0</v>
      </c>
      <c r="G1685" s="1">
        <v>0.0</v>
      </c>
      <c r="H1685" s="1">
        <v>0.0</v>
      </c>
      <c r="I1685" s="1">
        <v>0.0</v>
      </c>
      <c r="J1685" s="1">
        <v>0.0</v>
      </c>
      <c r="K1685" s="1">
        <v>0.0</v>
      </c>
      <c r="L1685" s="1">
        <v>444000.0</v>
      </c>
      <c r="M1685" s="1" t="s">
        <v>6348</v>
      </c>
      <c r="N1685" s="18">
        <v>46003.0</v>
      </c>
      <c r="O1685" s="1" t="s">
        <v>3442</v>
      </c>
      <c r="P1685" s="1" t="s">
        <v>3230</v>
      </c>
      <c r="Q1685" s="1" t="s">
        <v>3408</v>
      </c>
    </row>
    <row r="1686">
      <c r="A1686" s="1" t="s">
        <v>4741</v>
      </c>
      <c r="B1686" s="1">
        <v>59.0</v>
      </c>
      <c r="C1686" s="1">
        <v>70.0</v>
      </c>
      <c r="D1686" s="2" t="s">
        <v>1234</v>
      </c>
      <c r="E1686" s="1">
        <v>59.0</v>
      </c>
      <c r="F1686" s="1">
        <v>11.0</v>
      </c>
      <c r="G1686" s="1">
        <v>17.84</v>
      </c>
      <c r="H1686" s="1">
        <v>0.0</v>
      </c>
      <c r="I1686" s="1">
        <v>0.0</v>
      </c>
      <c r="J1686" s="1">
        <v>0.0</v>
      </c>
      <c r="K1686" s="1">
        <v>0.12</v>
      </c>
      <c r="L1686" s="1">
        <v>2730000.0</v>
      </c>
      <c r="M1686" s="1" t="s">
        <v>4742</v>
      </c>
      <c r="N1686" s="18">
        <v>46003.0</v>
      </c>
      <c r="O1686" s="1" t="s">
        <v>3432</v>
      </c>
      <c r="P1686" s="1" t="s">
        <v>3257</v>
      </c>
      <c r="Q1686" s="1" t="s">
        <v>3408</v>
      </c>
    </row>
    <row r="1687">
      <c r="A1687" s="1" t="s">
        <v>6349</v>
      </c>
      <c r="B1687" s="1">
        <v>59.0</v>
      </c>
      <c r="C1687" s="1">
        <v>50.0</v>
      </c>
      <c r="D1687" s="2" t="s">
        <v>784</v>
      </c>
      <c r="E1687" s="1">
        <v>59.0</v>
      </c>
      <c r="F1687" s="1">
        <v>8.0</v>
      </c>
      <c r="G1687" s="1">
        <v>0.0</v>
      </c>
      <c r="H1687" s="1">
        <v>0.0</v>
      </c>
      <c r="I1687" s="1">
        <v>0.0</v>
      </c>
      <c r="J1687" s="1">
        <v>0.0</v>
      </c>
      <c r="K1687" s="1">
        <v>0.0</v>
      </c>
      <c r="L1687" s="1">
        <v>4420000.0</v>
      </c>
      <c r="M1687" s="1" t="s">
        <v>6350</v>
      </c>
      <c r="N1687" s="18">
        <v>46002.0</v>
      </c>
      <c r="O1687" s="1" t="s">
        <v>3479</v>
      </c>
      <c r="P1687" s="1" t="s">
        <v>3230</v>
      </c>
      <c r="Q1687" s="1" t="s">
        <v>3408</v>
      </c>
    </row>
    <row r="1688">
      <c r="A1688" s="1" t="s">
        <v>6351</v>
      </c>
      <c r="B1688" s="1">
        <v>59.0</v>
      </c>
      <c r="C1688" s="1">
        <v>90.0</v>
      </c>
      <c r="D1688" s="2" t="s">
        <v>911</v>
      </c>
      <c r="E1688" s="1">
        <v>59.0</v>
      </c>
      <c r="F1688" s="1">
        <v>0.0</v>
      </c>
      <c r="G1688" s="1">
        <v>1.34</v>
      </c>
      <c r="H1688" s="1">
        <v>0.0</v>
      </c>
      <c r="I1688" s="1">
        <v>0.0</v>
      </c>
      <c r="J1688" s="1">
        <v>0.0</v>
      </c>
      <c r="K1688" s="1">
        <v>0.26</v>
      </c>
      <c r="L1688" s="1">
        <v>1.05E7</v>
      </c>
      <c r="M1688" s="1" t="s">
        <v>6352</v>
      </c>
      <c r="N1688" s="18">
        <v>46002.0</v>
      </c>
      <c r="O1688" s="1" t="s">
        <v>3840</v>
      </c>
      <c r="P1688" s="1" t="s">
        <v>3257</v>
      </c>
      <c r="Q1688" s="1" t="s">
        <v>3408</v>
      </c>
    </row>
    <row r="1689">
      <c r="A1689" s="1" t="s">
        <v>6353</v>
      </c>
      <c r="B1689" s="1">
        <v>59.0</v>
      </c>
      <c r="C1689" s="1">
        <v>70.0</v>
      </c>
      <c r="D1689" s="2" t="s">
        <v>2364</v>
      </c>
      <c r="E1689" s="1">
        <v>59.0</v>
      </c>
      <c r="F1689" s="1">
        <v>7.0</v>
      </c>
      <c r="G1689" s="1">
        <v>6.35</v>
      </c>
      <c r="H1689" s="1">
        <v>0.0</v>
      </c>
      <c r="I1689" s="1">
        <v>0.0</v>
      </c>
      <c r="J1689" s="1">
        <v>0.0</v>
      </c>
      <c r="K1689" s="1">
        <v>0.05</v>
      </c>
      <c r="L1689" s="1">
        <v>3280000.0</v>
      </c>
      <c r="M1689" s="1" t="s">
        <v>6354</v>
      </c>
      <c r="N1689" s="18">
        <v>46000.0</v>
      </c>
      <c r="O1689" s="1" t="s">
        <v>3479</v>
      </c>
      <c r="P1689" s="1" t="s">
        <v>3230</v>
      </c>
      <c r="Q1689" s="1" t="s">
        <v>3408</v>
      </c>
    </row>
    <row r="1690">
      <c r="A1690" s="1" t="s">
        <v>6288</v>
      </c>
      <c r="B1690" s="1">
        <v>59.0</v>
      </c>
      <c r="C1690" s="1">
        <v>480.0</v>
      </c>
      <c r="D1690" s="2" t="s">
        <v>1452</v>
      </c>
      <c r="E1690" s="1">
        <v>59.0</v>
      </c>
      <c r="F1690" s="1">
        <v>12.0</v>
      </c>
      <c r="G1690" s="1">
        <v>0.0</v>
      </c>
      <c r="H1690" s="1">
        <v>0.0</v>
      </c>
      <c r="I1690" s="1">
        <v>0.0</v>
      </c>
      <c r="J1690" s="1">
        <v>0.0</v>
      </c>
      <c r="K1690" s="1">
        <v>0.0</v>
      </c>
      <c r="L1690" s="1">
        <v>1800000.0</v>
      </c>
      <c r="M1690" s="1" t="s">
        <v>6289</v>
      </c>
      <c r="N1690" s="18">
        <v>45999.0</v>
      </c>
      <c r="O1690" s="1" t="s">
        <v>3496</v>
      </c>
      <c r="P1690" s="1" t="s">
        <v>3230</v>
      </c>
      <c r="Q1690" s="1" t="s">
        <v>3408</v>
      </c>
    </row>
    <row r="1691">
      <c r="A1691" s="1" t="s">
        <v>6355</v>
      </c>
      <c r="B1691" s="1">
        <v>59.0</v>
      </c>
      <c r="C1691" s="1">
        <v>90.0</v>
      </c>
      <c r="D1691" s="2" t="s">
        <v>754</v>
      </c>
      <c r="E1691" s="1">
        <v>59.0</v>
      </c>
      <c r="F1691" s="1">
        <v>28.0</v>
      </c>
      <c r="G1691" s="1">
        <v>56.72</v>
      </c>
      <c r="H1691" s="1">
        <v>0.0</v>
      </c>
      <c r="I1691" s="1">
        <v>0.0</v>
      </c>
      <c r="J1691" s="1">
        <v>0.0</v>
      </c>
      <c r="K1691" s="1">
        <v>0.64</v>
      </c>
      <c r="L1691" s="1">
        <v>2.56E7</v>
      </c>
      <c r="M1691" s="1" t="s">
        <v>6356</v>
      </c>
      <c r="N1691" s="18">
        <v>45999.0</v>
      </c>
      <c r="O1691" s="1" t="s">
        <v>6357</v>
      </c>
      <c r="P1691" s="1" t="s">
        <v>3230</v>
      </c>
      <c r="Q1691" s="1" t="s">
        <v>3408</v>
      </c>
    </row>
    <row r="1692">
      <c r="A1692" s="1" t="s">
        <v>6358</v>
      </c>
      <c r="B1692" s="1">
        <v>59.0</v>
      </c>
      <c r="C1692" s="1">
        <v>40.0</v>
      </c>
      <c r="D1692" s="2" t="s">
        <v>439</v>
      </c>
      <c r="E1692" s="1">
        <v>59.0</v>
      </c>
      <c r="F1692" s="1">
        <v>20.0</v>
      </c>
      <c r="G1692" s="1">
        <v>0.0</v>
      </c>
      <c r="H1692" s="1">
        <v>0.0</v>
      </c>
      <c r="I1692" s="1">
        <v>0.0</v>
      </c>
      <c r="J1692" s="1">
        <v>0.0</v>
      </c>
      <c r="K1692" s="1">
        <v>0.2</v>
      </c>
      <c r="L1692" s="1">
        <v>56500.0</v>
      </c>
      <c r="M1692" s="1" t="s">
        <v>6359</v>
      </c>
      <c r="N1692" s="18">
        <v>45998.0</v>
      </c>
      <c r="O1692" s="1" t="s">
        <v>5079</v>
      </c>
      <c r="P1692" s="1" t="s">
        <v>3294</v>
      </c>
      <c r="Q1692" s="1" t="s">
        <v>3408</v>
      </c>
    </row>
    <row r="1693">
      <c r="A1693" s="1" t="s">
        <v>4438</v>
      </c>
      <c r="B1693" s="1">
        <v>59.0</v>
      </c>
      <c r="C1693" s="1">
        <v>50.0</v>
      </c>
      <c r="D1693" s="2" t="s">
        <v>439</v>
      </c>
      <c r="E1693" s="1">
        <v>59.0</v>
      </c>
      <c r="F1693" s="1">
        <v>14.0</v>
      </c>
      <c r="G1693" s="1">
        <v>4.07</v>
      </c>
      <c r="H1693" s="1">
        <v>0.0</v>
      </c>
      <c r="I1693" s="1">
        <v>0.0</v>
      </c>
      <c r="J1693" s="1">
        <v>0.0</v>
      </c>
      <c r="K1693" s="1">
        <v>0.2</v>
      </c>
      <c r="L1693" s="1">
        <v>758.0</v>
      </c>
      <c r="M1693" s="1" t="s">
        <v>4439</v>
      </c>
      <c r="N1693" s="18">
        <v>45996.0</v>
      </c>
      <c r="O1693" s="1" t="s">
        <v>4440</v>
      </c>
      <c r="P1693" s="1" t="s">
        <v>3230</v>
      </c>
      <c r="Q1693" s="1" t="s">
        <v>3408</v>
      </c>
    </row>
    <row r="1694">
      <c r="A1694" s="1" t="s">
        <v>6360</v>
      </c>
      <c r="B1694" s="1">
        <v>59.0</v>
      </c>
      <c r="C1694" s="1">
        <v>90.0</v>
      </c>
      <c r="D1694" s="2" t="s">
        <v>2253</v>
      </c>
      <c r="E1694" s="1">
        <v>59.0</v>
      </c>
      <c r="F1694" s="1">
        <v>19.0</v>
      </c>
      <c r="G1694" s="1">
        <v>0.0</v>
      </c>
      <c r="H1694" s="1">
        <v>0.0</v>
      </c>
      <c r="I1694" s="1">
        <v>0.0</v>
      </c>
      <c r="J1694" s="1">
        <v>0.0</v>
      </c>
      <c r="K1694" s="1">
        <v>0.0</v>
      </c>
      <c r="L1694" s="1">
        <v>6330000.0</v>
      </c>
      <c r="M1694" s="1" t="s">
        <v>6361</v>
      </c>
      <c r="N1694" s="18">
        <v>45993.0</v>
      </c>
      <c r="O1694" s="1" t="s">
        <v>4101</v>
      </c>
      <c r="P1694" s="1" t="s">
        <v>3230</v>
      </c>
      <c r="Q1694" s="1" t="s">
        <v>3408</v>
      </c>
    </row>
    <row r="1695">
      <c r="A1695" s="1" t="s">
        <v>6362</v>
      </c>
      <c r="B1695" s="1">
        <v>59.0</v>
      </c>
      <c r="C1695" s="1">
        <v>90.0</v>
      </c>
      <c r="D1695" s="2" t="s">
        <v>439</v>
      </c>
      <c r="E1695" s="1">
        <v>59.0</v>
      </c>
      <c r="F1695" s="1">
        <v>11.0</v>
      </c>
      <c r="G1695" s="1">
        <v>5.08</v>
      </c>
      <c r="H1695" s="1">
        <v>0.0</v>
      </c>
      <c r="I1695" s="1">
        <v>0.0</v>
      </c>
      <c r="J1695" s="1">
        <v>0.0</v>
      </c>
      <c r="K1695" s="1">
        <v>0.02</v>
      </c>
      <c r="L1695" s="1">
        <v>39400.0</v>
      </c>
      <c r="M1695" s="1" t="s">
        <v>6363</v>
      </c>
      <c r="N1695" s="18">
        <v>45991.0</v>
      </c>
      <c r="O1695" s="1" t="s">
        <v>6364</v>
      </c>
      <c r="P1695" s="1" t="s">
        <v>3230</v>
      </c>
      <c r="Q1695" s="1" t="s">
        <v>3408</v>
      </c>
    </row>
    <row r="1696">
      <c r="A1696" s="1" t="s">
        <v>6365</v>
      </c>
      <c r="B1696" s="1">
        <v>59.0</v>
      </c>
      <c r="C1696" s="1">
        <v>170.0</v>
      </c>
      <c r="D1696" s="2" t="s">
        <v>2253</v>
      </c>
      <c r="E1696" s="1">
        <v>59.0</v>
      </c>
      <c r="F1696" s="1">
        <v>30.0</v>
      </c>
      <c r="G1696" s="1">
        <v>0.26</v>
      </c>
      <c r="H1696" s="1">
        <v>0.0</v>
      </c>
      <c r="I1696" s="1">
        <v>0.0</v>
      </c>
      <c r="J1696" s="1">
        <v>0.0</v>
      </c>
      <c r="K1696" s="1">
        <v>1.0</v>
      </c>
      <c r="L1696" s="1">
        <v>2880000.0</v>
      </c>
      <c r="M1696" s="1" t="s">
        <v>6366</v>
      </c>
      <c r="N1696" s="18">
        <v>45989.0</v>
      </c>
      <c r="O1696" s="1" t="s">
        <v>6367</v>
      </c>
      <c r="P1696" s="1" t="s">
        <v>3301</v>
      </c>
      <c r="Q1696" s="1" t="s">
        <v>3408</v>
      </c>
    </row>
    <row r="1697">
      <c r="A1697" s="1" t="s">
        <v>6368</v>
      </c>
      <c r="B1697" s="1">
        <v>59.0</v>
      </c>
      <c r="C1697" s="1">
        <v>590.0</v>
      </c>
      <c r="D1697" s="2" t="s">
        <v>439</v>
      </c>
      <c r="E1697" s="1">
        <v>59.0</v>
      </c>
      <c r="F1697" s="1">
        <v>22.0</v>
      </c>
      <c r="G1697" s="1">
        <v>5.37</v>
      </c>
      <c r="H1697" s="1">
        <v>0.0</v>
      </c>
      <c r="I1697" s="1">
        <v>0.0</v>
      </c>
      <c r="J1697" s="1">
        <v>0.0</v>
      </c>
      <c r="K1697" s="1">
        <v>0.04</v>
      </c>
      <c r="L1697" s="1">
        <v>8060.0</v>
      </c>
      <c r="M1697" s="1" t="s">
        <v>6369</v>
      </c>
      <c r="N1697" s="18">
        <v>45989.0</v>
      </c>
      <c r="O1697" s="1" t="s">
        <v>3854</v>
      </c>
      <c r="P1697" s="1" t="s">
        <v>3462</v>
      </c>
      <c r="Q1697" s="1" t="s">
        <v>3408</v>
      </c>
    </row>
    <row r="1698">
      <c r="A1698" s="1" t="s">
        <v>6370</v>
      </c>
      <c r="B1698" s="1">
        <v>59.0</v>
      </c>
      <c r="C1698" s="1">
        <v>70.0</v>
      </c>
      <c r="D1698" s="2" t="s">
        <v>1771</v>
      </c>
      <c r="E1698" s="1">
        <v>59.0</v>
      </c>
      <c r="F1698" s="1">
        <v>0.0</v>
      </c>
      <c r="G1698" s="1">
        <v>0.0</v>
      </c>
      <c r="H1698" s="1">
        <v>0.0</v>
      </c>
      <c r="I1698" s="1">
        <v>0.0</v>
      </c>
      <c r="J1698" s="1">
        <v>0.0</v>
      </c>
      <c r="K1698" s="1">
        <v>0.0</v>
      </c>
      <c r="L1698" s="1">
        <v>10.0</v>
      </c>
      <c r="M1698" s="1" t="s">
        <v>6371</v>
      </c>
      <c r="N1698" s="18">
        <v>45986.0</v>
      </c>
      <c r="O1698" s="1" t="s">
        <v>4569</v>
      </c>
      <c r="P1698" s="1" t="s">
        <v>3230</v>
      </c>
      <c r="Q1698" s="1" t="s">
        <v>3408</v>
      </c>
    </row>
    <row r="1699">
      <c r="A1699" s="1" t="s">
        <v>4046</v>
      </c>
      <c r="B1699" s="1">
        <v>59.0</v>
      </c>
      <c r="C1699" s="1">
        <v>110.0</v>
      </c>
      <c r="D1699" s="2" t="s">
        <v>647</v>
      </c>
      <c r="E1699" s="1">
        <v>59.0</v>
      </c>
      <c r="F1699" s="1">
        <v>3.0</v>
      </c>
      <c r="G1699" s="1">
        <v>12.04</v>
      </c>
      <c r="H1699" s="1">
        <v>0.0</v>
      </c>
      <c r="I1699" s="1">
        <v>0.0</v>
      </c>
      <c r="J1699" s="1">
        <v>0.0</v>
      </c>
      <c r="K1699" s="1">
        <v>0.42</v>
      </c>
      <c r="L1699" s="1">
        <v>9.0</v>
      </c>
      <c r="M1699" s="1" t="s">
        <v>4047</v>
      </c>
      <c r="N1699" s="18">
        <v>45978.0</v>
      </c>
      <c r="O1699" s="1" t="s">
        <v>3404</v>
      </c>
      <c r="P1699" s="1" t="s">
        <v>3257</v>
      </c>
      <c r="Q1699" s="1" t="s">
        <v>3408</v>
      </c>
    </row>
    <row r="1700">
      <c r="A1700" s="1" t="s">
        <v>6372</v>
      </c>
      <c r="B1700" s="1">
        <v>60.0</v>
      </c>
      <c r="C1700" s="1">
        <v>90.0</v>
      </c>
      <c r="D1700" s="2" t="s">
        <v>911</v>
      </c>
      <c r="E1700" s="1">
        <v>0.0</v>
      </c>
      <c r="F1700" s="1">
        <v>7.0</v>
      </c>
      <c r="G1700" s="1">
        <v>1.56</v>
      </c>
      <c r="H1700" s="1">
        <v>0.0</v>
      </c>
      <c r="I1700" s="1">
        <v>0.0</v>
      </c>
      <c r="J1700" s="1">
        <v>0.0</v>
      </c>
      <c r="K1700" s="1">
        <v>0.46</v>
      </c>
      <c r="L1700" s="1">
        <v>1.82E7</v>
      </c>
      <c r="M1700" s="1" t="s">
        <v>6373</v>
      </c>
      <c r="N1700" s="18">
        <v>46042.0</v>
      </c>
      <c r="O1700" s="1" t="s">
        <v>6374</v>
      </c>
      <c r="P1700" s="1" t="s">
        <v>3230</v>
      </c>
      <c r="Q1700" s="1" t="s">
        <v>3408</v>
      </c>
    </row>
    <row r="1701">
      <c r="A1701" s="1" t="s">
        <v>6375</v>
      </c>
      <c r="B1701" s="1">
        <v>60.0</v>
      </c>
      <c r="C1701" s="1">
        <v>90.0</v>
      </c>
      <c r="D1701" s="2" t="s">
        <v>2253</v>
      </c>
      <c r="E1701" s="1">
        <v>0.0</v>
      </c>
      <c r="F1701" s="1">
        <v>9.0</v>
      </c>
      <c r="G1701" s="1">
        <v>0.0</v>
      </c>
      <c r="H1701" s="1">
        <v>0.0</v>
      </c>
      <c r="I1701" s="1">
        <v>0.0</v>
      </c>
      <c r="J1701" s="1">
        <v>0.0</v>
      </c>
      <c r="K1701" s="1">
        <v>0.0</v>
      </c>
      <c r="L1701" s="1">
        <v>7410000.0</v>
      </c>
      <c r="M1701" s="1" t="s">
        <v>6376</v>
      </c>
      <c r="N1701" s="18">
        <v>46042.0</v>
      </c>
      <c r="O1701" s="1" t="s">
        <v>3314</v>
      </c>
      <c r="P1701" s="1" t="s">
        <v>3230</v>
      </c>
      <c r="Q1701" s="1" t="s">
        <v>3408</v>
      </c>
    </row>
    <row r="1702">
      <c r="A1702" s="1" t="s">
        <v>6377</v>
      </c>
      <c r="B1702" s="1">
        <v>60.0</v>
      </c>
      <c r="C1702" s="1">
        <v>90.0</v>
      </c>
      <c r="D1702" s="2" t="s">
        <v>581</v>
      </c>
      <c r="E1702" s="1">
        <v>60.0</v>
      </c>
      <c r="F1702" s="1">
        <v>19.0</v>
      </c>
      <c r="G1702" s="1">
        <v>7.61</v>
      </c>
      <c r="H1702" s="1">
        <v>0.0</v>
      </c>
      <c r="I1702" s="1">
        <v>0.0</v>
      </c>
      <c r="J1702" s="1">
        <v>0.0</v>
      </c>
      <c r="K1702" s="1">
        <v>0.12</v>
      </c>
      <c r="L1702" s="1">
        <v>209000.0</v>
      </c>
      <c r="M1702" s="1" t="s">
        <v>6378</v>
      </c>
      <c r="N1702" s="18">
        <v>46041.0</v>
      </c>
      <c r="O1702" s="1" t="s">
        <v>5023</v>
      </c>
      <c r="P1702" s="1" t="s">
        <v>3294</v>
      </c>
      <c r="Q1702" s="1" t="s">
        <v>3408</v>
      </c>
    </row>
    <row r="1703">
      <c r="A1703" s="1" t="s">
        <v>6379</v>
      </c>
      <c r="B1703" s="1">
        <v>60.0</v>
      </c>
      <c r="C1703" s="1">
        <v>50.0</v>
      </c>
      <c r="D1703" s="2" t="s">
        <v>1665</v>
      </c>
      <c r="E1703" s="1">
        <v>60.0</v>
      </c>
      <c r="F1703" s="1">
        <v>0.0</v>
      </c>
      <c r="G1703" s="1">
        <v>0.0</v>
      </c>
      <c r="H1703" s="1">
        <v>0.0</v>
      </c>
      <c r="I1703" s="1">
        <v>0.0</v>
      </c>
      <c r="J1703" s="1">
        <v>0.0</v>
      </c>
      <c r="K1703" s="1">
        <v>0.0</v>
      </c>
      <c r="L1703" s="1">
        <v>631000.0</v>
      </c>
      <c r="M1703" s="1" t="s">
        <v>3332</v>
      </c>
      <c r="N1703" s="18">
        <v>46039.0</v>
      </c>
      <c r="O1703" s="1" t="s">
        <v>6380</v>
      </c>
      <c r="P1703" s="1" t="s">
        <v>3230</v>
      </c>
      <c r="Q1703" s="1" t="s">
        <v>3408</v>
      </c>
    </row>
    <row r="1704">
      <c r="A1704" s="1" t="s">
        <v>6381</v>
      </c>
      <c r="B1704" s="1">
        <v>60.0</v>
      </c>
      <c r="C1704" s="1">
        <v>3600.0</v>
      </c>
      <c r="D1704" s="2" t="s">
        <v>2249</v>
      </c>
      <c r="E1704" s="1">
        <v>60.0</v>
      </c>
      <c r="F1704" s="1">
        <v>24.0</v>
      </c>
      <c r="G1704" s="1">
        <v>0.0</v>
      </c>
      <c r="H1704" s="1">
        <v>0.0</v>
      </c>
      <c r="I1704" s="1">
        <v>0.0</v>
      </c>
      <c r="J1704" s="1">
        <v>0.0</v>
      </c>
      <c r="K1704" s="1">
        <v>0.0</v>
      </c>
      <c r="L1704" s="1">
        <v>2.83E8</v>
      </c>
      <c r="M1704" s="1" t="s">
        <v>6382</v>
      </c>
      <c r="N1704" s="18">
        <v>46036.0</v>
      </c>
      <c r="O1704" s="1" t="s">
        <v>5650</v>
      </c>
      <c r="P1704" s="1" t="s">
        <v>3230</v>
      </c>
      <c r="Q1704" s="1" t="s">
        <v>3408</v>
      </c>
    </row>
    <row r="1705">
      <c r="A1705" s="1" t="s">
        <v>6383</v>
      </c>
      <c r="B1705" s="1">
        <v>60.0</v>
      </c>
      <c r="C1705" s="1">
        <v>50.0</v>
      </c>
      <c r="D1705" s="2" t="s">
        <v>1868</v>
      </c>
      <c r="E1705" s="1">
        <v>60.0</v>
      </c>
      <c r="F1705" s="1">
        <v>51.0</v>
      </c>
      <c r="G1705" s="1">
        <v>0.0</v>
      </c>
      <c r="H1705" s="1">
        <v>0.0</v>
      </c>
      <c r="I1705" s="1">
        <v>0.0</v>
      </c>
      <c r="J1705" s="1">
        <v>0.0</v>
      </c>
      <c r="K1705" s="1">
        <v>0.33</v>
      </c>
      <c r="L1705" s="1">
        <v>4.32E8</v>
      </c>
      <c r="M1705" s="1" t="s">
        <v>6384</v>
      </c>
      <c r="N1705" s="18">
        <v>46036.0</v>
      </c>
      <c r="O1705" s="1" t="s">
        <v>5161</v>
      </c>
      <c r="P1705" s="1" t="s">
        <v>3230</v>
      </c>
      <c r="Q1705" s="1" t="s">
        <v>3408</v>
      </c>
    </row>
    <row r="1706">
      <c r="A1706" s="1" t="s">
        <v>6385</v>
      </c>
      <c r="B1706" s="1">
        <v>60.0</v>
      </c>
      <c r="C1706" s="1">
        <v>110.0</v>
      </c>
      <c r="D1706" s="2" t="s">
        <v>2995</v>
      </c>
      <c r="E1706" s="1">
        <v>60.0</v>
      </c>
      <c r="F1706" s="1">
        <v>3.0</v>
      </c>
      <c r="G1706" s="1">
        <v>0.0</v>
      </c>
      <c r="H1706" s="1">
        <v>0.0</v>
      </c>
      <c r="I1706" s="1">
        <v>0.0</v>
      </c>
      <c r="J1706" s="1">
        <v>0.0</v>
      </c>
      <c r="K1706" s="1">
        <v>0.08</v>
      </c>
      <c r="L1706" s="1">
        <v>3210000.0</v>
      </c>
      <c r="M1706" s="1" t="s">
        <v>6386</v>
      </c>
      <c r="N1706" s="18">
        <v>46035.0</v>
      </c>
      <c r="O1706" s="1" t="s">
        <v>6387</v>
      </c>
      <c r="P1706" s="1" t="s">
        <v>3257</v>
      </c>
      <c r="Q1706" s="1" t="s">
        <v>3408</v>
      </c>
    </row>
    <row r="1707">
      <c r="A1707" s="1" t="s">
        <v>6388</v>
      </c>
      <c r="B1707" s="1">
        <v>60.0</v>
      </c>
      <c r="C1707" s="1">
        <v>320.0</v>
      </c>
      <c r="D1707" s="2" t="s">
        <v>1868</v>
      </c>
      <c r="E1707" s="1">
        <v>60.0</v>
      </c>
      <c r="F1707" s="1">
        <v>62.0</v>
      </c>
      <c r="G1707" s="1">
        <v>0.0</v>
      </c>
      <c r="H1707" s="1">
        <v>0.0</v>
      </c>
      <c r="I1707" s="1">
        <v>0.0</v>
      </c>
      <c r="J1707" s="1">
        <v>0.0</v>
      </c>
      <c r="K1707" s="1">
        <v>0.0</v>
      </c>
      <c r="L1707" s="1">
        <v>4.26E8</v>
      </c>
      <c r="M1707" s="1" t="s">
        <v>6389</v>
      </c>
      <c r="N1707" s="18">
        <v>46033.0</v>
      </c>
      <c r="O1707" s="1" t="s">
        <v>5442</v>
      </c>
      <c r="P1707" s="1" t="s">
        <v>3230</v>
      </c>
      <c r="Q1707" s="1" t="s">
        <v>3408</v>
      </c>
    </row>
    <row r="1708">
      <c r="A1708" s="1" t="s">
        <v>6390</v>
      </c>
      <c r="B1708" s="1">
        <v>60.0</v>
      </c>
      <c r="C1708" s="1">
        <v>50.0</v>
      </c>
      <c r="D1708" s="2" t="s">
        <v>1543</v>
      </c>
      <c r="E1708" s="1">
        <v>60.0</v>
      </c>
      <c r="F1708" s="1">
        <v>0.0</v>
      </c>
      <c r="G1708" s="1">
        <v>0.0</v>
      </c>
      <c r="H1708" s="1">
        <v>0.0</v>
      </c>
      <c r="I1708" s="1">
        <v>0.0</v>
      </c>
      <c r="J1708" s="1">
        <v>0.0</v>
      </c>
      <c r="K1708" s="1">
        <v>0.01</v>
      </c>
      <c r="L1708" s="1">
        <v>6730000.0</v>
      </c>
      <c r="M1708" s="1" t="s">
        <v>6391</v>
      </c>
      <c r="N1708" s="18">
        <v>46033.0</v>
      </c>
      <c r="O1708" s="1" t="s">
        <v>3264</v>
      </c>
      <c r="P1708" s="1" t="s">
        <v>3230</v>
      </c>
      <c r="Q1708" s="1" t="s">
        <v>3408</v>
      </c>
    </row>
    <row r="1709">
      <c r="A1709" s="1" t="s">
        <v>6392</v>
      </c>
      <c r="B1709" s="1">
        <v>60.0</v>
      </c>
      <c r="C1709" s="1">
        <v>50.0</v>
      </c>
      <c r="D1709" s="2" t="s">
        <v>1543</v>
      </c>
      <c r="E1709" s="1">
        <v>60.0</v>
      </c>
      <c r="F1709" s="1">
        <v>0.0</v>
      </c>
      <c r="G1709" s="1">
        <v>0.0</v>
      </c>
      <c r="H1709" s="1">
        <v>0.0</v>
      </c>
      <c r="I1709" s="1">
        <v>0.0</v>
      </c>
      <c r="J1709" s="1">
        <v>0.0</v>
      </c>
      <c r="K1709" s="1">
        <v>0.02</v>
      </c>
      <c r="L1709" s="1">
        <v>6900000.0</v>
      </c>
      <c r="M1709" s="1" t="s">
        <v>6393</v>
      </c>
      <c r="N1709" s="18">
        <v>46033.0</v>
      </c>
      <c r="O1709" s="1" t="s">
        <v>3237</v>
      </c>
      <c r="P1709" s="1" t="s">
        <v>3230</v>
      </c>
      <c r="Q1709" s="1" t="s">
        <v>3408</v>
      </c>
    </row>
    <row r="1710">
      <c r="A1710" s="1" t="s">
        <v>6394</v>
      </c>
      <c r="B1710" s="1">
        <v>60.0</v>
      </c>
      <c r="C1710" s="1">
        <v>260.0</v>
      </c>
      <c r="D1710" s="2" t="s">
        <v>1473</v>
      </c>
      <c r="E1710" s="1">
        <v>60.0</v>
      </c>
      <c r="F1710" s="1">
        <v>60.0</v>
      </c>
      <c r="G1710" s="1">
        <v>5.82</v>
      </c>
      <c r="H1710" s="1">
        <v>0.0</v>
      </c>
      <c r="I1710" s="1">
        <v>0.0</v>
      </c>
      <c r="J1710" s="1">
        <v>0.0</v>
      </c>
      <c r="K1710" s="1">
        <v>0.04</v>
      </c>
      <c r="L1710" s="1">
        <v>1.59E8</v>
      </c>
      <c r="M1710" s="1" t="s">
        <v>6395</v>
      </c>
      <c r="N1710" s="18">
        <v>46032.0</v>
      </c>
      <c r="O1710" s="1" t="s">
        <v>5650</v>
      </c>
      <c r="P1710" s="1" t="s">
        <v>3230</v>
      </c>
      <c r="Q1710" s="1" t="s">
        <v>3408</v>
      </c>
    </row>
    <row r="1711">
      <c r="A1711" s="1" t="s">
        <v>6396</v>
      </c>
      <c r="B1711" s="1">
        <v>60.0</v>
      </c>
      <c r="C1711" s="1">
        <v>260.0</v>
      </c>
      <c r="D1711" s="2" t="s">
        <v>770</v>
      </c>
      <c r="E1711" s="1">
        <v>60.0</v>
      </c>
      <c r="F1711" s="1">
        <v>52.0</v>
      </c>
      <c r="G1711" s="1">
        <v>0.0</v>
      </c>
      <c r="H1711" s="1">
        <v>0.0</v>
      </c>
      <c r="I1711" s="1">
        <v>0.0</v>
      </c>
      <c r="J1711" s="1">
        <v>0.0</v>
      </c>
      <c r="K1711" s="1">
        <v>0.0</v>
      </c>
      <c r="L1711" s="1">
        <v>7690000.0</v>
      </c>
      <c r="M1711" s="1" t="s">
        <v>6397</v>
      </c>
      <c r="N1711" s="18">
        <v>46032.0</v>
      </c>
      <c r="O1711" s="1" t="s">
        <v>3264</v>
      </c>
      <c r="P1711" s="1" t="s">
        <v>3230</v>
      </c>
      <c r="Q1711" s="1" t="s">
        <v>3408</v>
      </c>
    </row>
    <row r="1712">
      <c r="A1712" s="1" t="s">
        <v>5104</v>
      </c>
      <c r="B1712" s="1">
        <v>60.0</v>
      </c>
      <c r="C1712" s="1">
        <v>880.0</v>
      </c>
      <c r="D1712" s="2" t="s">
        <v>2945</v>
      </c>
      <c r="E1712" s="1">
        <v>60.0</v>
      </c>
      <c r="G1712" s="1">
        <v>0.0</v>
      </c>
      <c r="H1712" s="1">
        <v>0.0</v>
      </c>
      <c r="I1712" s="1">
        <v>0.0</v>
      </c>
      <c r="J1712" s="1">
        <v>0.0</v>
      </c>
      <c r="K1712" s="1">
        <v>0.06</v>
      </c>
      <c r="L1712" s="1">
        <v>1.58E7</v>
      </c>
      <c r="M1712" s="1" t="s">
        <v>5105</v>
      </c>
      <c r="N1712" s="18">
        <v>46030.0</v>
      </c>
      <c r="O1712" s="1" t="s">
        <v>5106</v>
      </c>
      <c r="P1712" s="1" t="s">
        <v>3334</v>
      </c>
      <c r="Q1712" s="1" t="s">
        <v>3408</v>
      </c>
    </row>
    <row r="1713">
      <c r="A1713" s="1" t="s">
        <v>6398</v>
      </c>
      <c r="B1713" s="1">
        <v>60.0</v>
      </c>
      <c r="C1713" s="1">
        <v>140.0</v>
      </c>
      <c r="D1713" s="2" t="s">
        <v>2941</v>
      </c>
      <c r="E1713" s="1">
        <v>60.0</v>
      </c>
      <c r="F1713" s="1">
        <v>23.0</v>
      </c>
      <c r="G1713" s="1">
        <v>1.22</v>
      </c>
      <c r="H1713" s="1">
        <v>0.0</v>
      </c>
      <c r="I1713" s="1">
        <v>0.0</v>
      </c>
      <c r="J1713" s="1">
        <v>0.0</v>
      </c>
      <c r="K1713" s="1">
        <v>0.12</v>
      </c>
      <c r="L1713" s="1">
        <v>5.27E7</v>
      </c>
      <c r="M1713" s="1" t="s">
        <v>6399</v>
      </c>
      <c r="N1713" s="18">
        <v>46028.0</v>
      </c>
      <c r="O1713" s="1" t="s">
        <v>6400</v>
      </c>
      <c r="P1713" s="1" t="s">
        <v>3334</v>
      </c>
      <c r="Q1713" s="1" t="s">
        <v>3408</v>
      </c>
    </row>
    <row r="1714">
      <c r="A1714" s="1" t="s">
        <v>6401</v>
      </c>
      <c r="B1714" s="1">
        <v>60.0</v>
      </c>
      <c r="C1714" s="1">
        <v>90.0</v>
      </c>
      <c r="D1714" s="2" t="s">
        <v>843</v>
      </c>
      <c r="E1714" s="1">
        <v>60.0</v>
      </c>
      <c r="F1714" s="1">
        <v>2.0</v>
      </c>
      <c r="G1714" s="1">
        <v>0.0</v>
      </c>
      <c r="H1714" s="1">
        <v>0.0</v>
      </c>
      <c r="I1714" s="1">
        <v>0.0</v>
      </c>
      <c r="J1714" s="1">
        <v>0.0</v>
      </c>
      <c r="K1714" s="1">
        <v>0.33</v>
      </c>
      <c r="L1714" s="1">
        <v>3860000.0</v>
      </c>
      <c r="M1714" s="1" t="s">
        <v>6402</v>
      </c>
      <c r="N1714" s="18">
        <v>46024.0</v>
      </c>
      <c r="O1714" s="1" t="s">
        <v>4275</v>
      </c>
      <c r="P1714" s="1" t="s">
        <v>3230</v>
      </c>
      <c r="Q1714" s="1" t="s">
        <v>3408</v>
      </c>
    </row>
    <row r="1715">
      <c r="A1715" s="1" t="s">
        <v>5168</v>
      </c>
      <c r="B1715" s="1">
        <v>60.0</v>
      </c>
      <c r="C1715" s="1">
        <v>40.0</v>
      </c>
      <c r="D1715" s="2" t="s">
        <v>439</v>
      </c>
      <c r="E1715" s="1">
        <v>60.0</v>
      </c>
      <c r="F1715" s="1">
        <v>11.0</v>
      </c>
      <c r="G1715" s="1">
        <v>4.33</v>
      </c>
      <c r="H1715" s="1">
        <v>0.0</v>
      </c>
      <c r="I1715" s="1">
        <v>0.0</v>
      </c>
      <c r="J1715" s="1">
        <v>0.0</v>
      </c>
      <c r="K1715" s="1">
        <v>0.09</v>
      </c>
      <c r="L1715" s="1">
        <v>3100.0</v>
      </c>
      <c r="M1715" s="1" t="s">
        <v>5169</v>
      </c>
      <c r="N1715" s="18">
        <v>46024.0</v>
      </c>
      <c r="O1715" s="1" t="s">
        <v>4747</v>
      </c>
      <c r="P1715" s="1" t="s">
        <v>3230</v>
      </c>
      <c r="Q1715" s="1" t="s">
        <v>3408</v>
      </c>
    </row>
    <row r="1716">
      <c r="A1716" s="1" t="s">
        <v>3763</v>
      </c>
      <c r="B1716" s="1">
        <v>60.0</v>
      </c>
      <c r="C1716" s="1">
        <v>170.0</v>
      </c>
      <c r="D1716" s="2" t="s">
        <v>581</v>
      </c>
      <c r="E1716" s="1">
        <v>60.0</v>
      </c>
      <c r="F1716" s="1">
        <v>31.0</v>
      </c>
      <c r="G1716" s="1">
        <v>12.96</v>
      </c>
      <c r="H1716" s="1">
        <v>0.0</v>
      </c>
      <c r="I1716" s="1">
        <v>0.0</v>
      </c>
      <c r="J1716" s="1">
        <v>0.0</v>
      </c>
      <c r="K1716" s="1">
        <v>0.63</v>
      </c>
      <c r="L1716" s="1">
        <v>184000.0</v>
      </c>
      <c r="M1716" s="1" t="s">
        <v>3764</v>
      </c>
      <c r="N1716" s="18">
        <v>46022.0</v>
      </c>
      <c r="O1716" s="1" t="s">
        <v>3765</v>
      </c>
      <c r="P1716" s="1" t="s">
        <v>3257</v>
      </c>
      <c r="Q1716" s="1" t="s">
        <v>3408</v>
      </c>
    </row>
    <row r="1717">
      <c r="A1717" s="1" t="s">
        <v>6403</v>
      </c>
      <c r="B1717" s="1">
        <v>60.0</v>
      </c>
      <c r="C1717" s="1">
        <v>720.0</v>
      </c>
      <c r="D1717" s="2" t="s">
        <v>2930</v>
      </c>
      <c r="E1717" s="1">
        <v>60.0</v>
      </c>
      <c r="F1717" s="1">
        <v>32.0</v>
      </c>
      <c r="G1717" s="1">
        <v>0.57</v>
      </c>
      <c r="H1717" s="1">
        <v>0.0</v>
      </c>
      <c r="I1717" s="1">
        <v>0.0</v>
      </c>
      <c r="J1717" s="1">
        <v>0.0</v>
      </c>
      <c r="K1717" s="1">
        <v>0.0</v>
      </c>
      <c r="L1717" s="1">
        <v>1.29E8</v>
      </c>
      <c r="M1717" s="1" t="s">
        <v>6195</v>
      </c>
      <c r="N1717" s="18">
        <v>46020.0</v>
      </c>
      <c r="O1717" s="1" t="s">
        <v>4217</v>
      </c>
      <c r="P1717" s="1" t="s">
        <v>3230</v>
      </c>
      <c r="Q1717" s="1" t="s">
        <v>3408</v>
      </c>
    </row>
    <row r="1718">
      <c r="A1718" s="1" t="s">
        <v>6404</v>
      </c>
      <c r="B1718" s="1">
        <v>60.0</v>
      </c>
      <c r="C1718" s="1">
        <v>70.0</v>
      </c>
      <c r="D1718" s="2" t="s">
        <v>581</v>
      </c>
      <c r="E1718" s="1">
        <v>60.0</v>
      </c>
      <c r="F1718" s="1">
        <v>5.0</v>
      </c>
      <c r="G1718" s="1">
        <v>6.45</v>
      </c>
      <c r="H1718" s="1">
        <v>0.0</v>
      </c>
      <c r="I1718" s="1">
        <v>0.0</v>
      </c>
      <c r="J1718" s="1">
        <v>0.0</v>
      </c>
      <c r="K1718" s="1">
        <v>0.19</v>
      </c>
      <c r="L1718" s="1">
        <v>7560000.0</v>
      </c>
      <c r="M1718" s="1" t="s">
        <v>6405</v>
      </c>
      <c r="N1718" s="18">
        <v>46018.0</v>
      </c>
      <c r="O1718" s="1" t="s">
        <v>6406</v>
      </c>
      <c r="P1718" s="1" t="s">
        <v>3257</v>
      </c>
      <c r="Q1718" s="1" t="s">
        <v>3408</v>
      </c>
    </row>
    <row r="1719">
      <c r="A1719" s="1" t="s">
        <v>6407</v>
      </c>
      <c r="B1719" s="1">
        <v>60.0</v>
      </c>
      <c r="C1719" s="1">
        <v>320.0</v>
      </c>
      <c r="D1719" s="2" t="s">
        <v>2249</v>
      </c>
      <c r="E1719" s="1">
        <v>60.0</v>
      </c>
      <c r="F1719" s="1">
        <v>9.0</v>
      </c>
      <c r="G1719" s="1">
        <v>0.0</v>
      </c>
      <c r="H1719" s="1">
        <v>0.0</v>
      </c>
      <c r="I1719" s="1">
        <v>0.0</v>
      </c>
      <c r="J1719" s="1">
        <v>0.0</v>
      </c>
      <c r="K1719" s="1">
        <v>0.0</v>
      </c>
      <c r="L1719" s="1">
        <v>2.51E8</v>
      </c>
      <c r="M1719" s="1" t="s">
        <v>6408</v>
      </c>
      <c r="N1719" s="18">
        <v>46013.0</v>
      </c>
      <c r="O1719" s="1" t="s">
        <v>5344</v>
      </c>
      <c r="P1719" s="1" t="s">
        <v>3230</v>
      </c>
      <c r="Q1719" s="1" t="s">
        <v>3408</v>
      </c>
    </row>
    <row r="1720">
      <c r="A1720" s="1" t="s">
        <v>6409</v>
      </c>
      <c r="B1720" s="1">
        <v>60.0</v>
      </c>
      <c r="C1720" s="1">
        <v>90.0</v>
      </c>
      <c r="D1720" s="2" t="s">
        <v>1307</v>
      </c>
      <c r="E1720" s="1">
        <v>60.0</v>
      </c>
      <c r="F1720" s="1">
        <v>7.0</v>
      </c>
      <c r="G1720" s="1">
        <v>0.0</v>
      </c>
      <c r="H1720" s="1">
        <v>0.0</v>
      </c>
      <c r="I1720" s="1">
        <v>0.0</v>
      </c>
      <c r="J1720" s="1">
        <v>0.0</v>
      </c>
      <c r="K1720" s="1">
        <v>0.0</v>
      </c>
      <c r="L1720" s="1">
        <v>247000.0</v>
      </c>
      <c r="M1720" s="1" t="s">
        <v>6410</v>
      </c>
      <c r="N1720" s="18">
        <v>46013.0</v>
      </c>
      <c r="O1720" s="1" t="s">
        <v>3258</v>
      </c>
      <c r="P1720" s="1" t="s">
        <v>3257</v>
      </c>
      <c r="Q1720" s="1" t="s">
        <v>3408</v>
      </c>
    </row>
    <row r="1721">
      <c r="A1721" s="1" t="s">
        <v>6411</v>
      </c>
      <c r="B1721" s="1">
        <v>60.0</v>
      </c>
      <c r="C1721" s="1">
        <v>110.0</v>
      </c>
      <c r="D1721" s="2" t="s">
        <v>1868</v>
      </c>
      <c r="E1721" s="1">
        <v>60.0</v>
      </c>
      <c r="F1721" s="1">
        <v>57.0</v>
      </c>
      <c r="G1721" s="1">
        <v>0.0</v>
      </c>
      <c r="H1721" s="1">
        <v>0.0</v>
      </c>
      <c r="I1721" s="1">
        <v>0.0</v>
      </c>
      <c r="J1721" s="1">
        <v>0.0</v>
      </c>
      <c r="K1721" s="1">
        <v>0.0</v>
      </c>
      <c r="L1721" s="1">
        <v>4.24E8</v>
      </c>
      <c r="M1721" s="1" t="s">
        <v>6412</v>
      </c>
      <c r="N1721" s="18">
        <v>46009.0</v>
      </c>
      <c r="O1721" s="1" t="s">
        <v>5571</v>
      </c>
      <c r="P1721" s="1" t="s">
        <v>3230</v>
      </c>
      <c r="Q1721" s="1" t="s">
        <v>3408</v>
      </c>
    </row>
    <row r="1722">
      <c r="A1722" s="1" t="s">
        <v>6413</v>
      </c>
      <c r="B1722" s="1">
        <v>60.0</v>
      </c>
      <c r="C1722" s="1">
        <v>90.0</v>
      </c>
      <c r="D1722" s="2" t="s">
        <v>581</v>
      </c>
      <c r="E1722" s="1">
        <v>60.0</v>
      </c>
      <c r="F1722" s="1">
        <v>9.0</v>
      </c>
      <c r="G1722" s="1">
        <v>3.39</v>
      </c>
      <c r="H1722" s="1">
        <v>0.0</v>
      </c>
      <c r="I1722" s="1">
        <v>0.0</v>
      </c>
      <c r="J1722" s="1">
        <v>0.0</v>
      </c>
      <c r="K1722" s="1">
        <v>0.11</v>
      </c>
      <c r="L1722" s="1">
        <v>3.84E8</v>
      </c>
      <c r="M1722" s="1" t="s">
        <v>6414</v>
      </c>
      <c r="N1722" s="18">
        <v>46008.0</v>
      </c>
      <c r="O1722" s="1" t="s">
        <v>3713</v>
      </c>
      <c r="P1722" s="1" t="s">
        <v>3257</v>
      </c>
      <c r="Q1722" s="1" t="s">
        <v>3408</v>
      </c>
    </row>
    <row r="1723">
      <c r="A1723" s="1" t="s">
        <v>6415</v>
      </c>
      <c r="B1723" s="1">
        <v>60.0</v>
      </c>
      <c r="C1723" s="1">
        <v>110.0</v>
      </c>
      <c r="D1723" s="2" t="s">
        <v>1771</v>
      </c>
      <c r="E1723" s="1">
        <v>60.0</v>
      </c>
      <c r="F1723" s="1">
        <v>0.0</v>
      </c>
      <c r="G1723" s="1">
        <v>0.0</v>
      </c>
      <c r="H1723" s="1">
        <v>0.0</v>
      </c>
      <c r="I1723" s="1">
        <v>0.0</v>
      </c>
      <c r="J1723" s="1">
        <v>0.0</v>
      </c>
      <c r="K1723" s="1">
        <v>0.01</v>
      </c>
      <c r="L1723" s="1">
        <v>1790000.0</v>
      </c>
      <c r="M1723" s="1" t="s">
        <v>6416</v>
      </c>
      <c r="N1723" s="18">
        <v>46006.0</v>
      </c>
      <c r="O1723" s="1" t="s">
        <v>3284</v>
      </c>
      <c r="P1723" s="1" t="s">
        <v>3230</v>
      </c>
      <c r="Q1723" s="1" t="s">
        <v>3408</v>
      </c>
    </row>
    <row r="1724">
      <c r="A1724" s="1" t="s">
        <v>6417</v>
      </c>
      <c r="B1724" s="1">
        <v>60.0</v>
      </c>
      <c r="C1724" s="1">
        <v>110.0</v>
      </c>
      <c r="D1724" s="2" t="s">
        <v>681</v>
      </c>
      <c r="E1724" s="1">
        <v>60.0</v>
      </c>
      <c r="F1724" s="1">
        <v>6.0</v>
      </c>
      <c r="G1724" s="1">
        <v>0.29</v>
      </c>
      <c r="H1724" s="1">
        <v>0.0</v>
      </c>
      <c r="I1724" s="1">
        <v>0.0</v>
      </c>
      <c r="J1724" s="1">
        <v>0.0</v>
      </c>
      <c r="K1724" s="1">
        <v>0.21</v>
      </c>
      <c r="L1724" s="1">
        <v>1.54E7</v>
      </c>
      <c r="M1724" s="1" t="s">
        <v>6418</v>
      </c>
      <c r="N1724" s="18">
        <v>46005.0</v>
      </c>
      <c r="O1724" s="1" t="s">
        <v>3479</v>
      </c>
      <c r="P1724" s="1" t="s">
        <v>3230</v>
      </c>
      <c r="Q1724" s="1" t="s">
        <v>3408</v>
      </c>
    </row>
    <row r="1725">
      <c r="A1725" s="1" t="s">
        <v>6419</v>
      </c>
      <c r="B1725" s="1">
        <v>60.0</v>
      </c>
      <c r="C1725" s="1">
        <v>140.0</v>
      </c>
      <c r="D1725" s="2" t="s">
        <v>581</v>
      </c>
      <c r="E1725" s="1">
        <v>60.0</v>
      </c>
      <c r="F1725" s="1">
        <v>52.0</v>
      </c>
      <c r="G1725" s="1">
        <v>19.51</v>
      </c>
      <c r="H1725" s="1">
        <v>0.0</v>
      </c>
      <c r="I1725" s="1">
        <v>0.0</v>
      </c>
      <c r="J1725" s="1">
        <v>0.0</v>
      </c>
      <c r="K1725" s="1">
        <v>0.84</v>
      </c>
      <c r="L1725" s="1">
        <v>8170000.0</v>
      </c>
      <c r="M1725" s="1" t="s">
        <v>6420</v>
      </c>
      <c r="N1725" s="18">
        <v>46005.0</v>
      </c>
      <c r="O1725" s="1" t="s">
        <v>5791</v>
      </c>
      <c r="P1725" s="1" t="s">
        <v>3257</v>
      </c>
      <c r="Q1725" s="1" t="s">
        <v>3408</v>
      </c>
    </row>
    <row r="1726">
      <c r="A1726" s="1" t="s">
        <v>6421</v>
      </c>
      <c r="B1726" s="1">
        <v>60.0</v>
      </c>
      <c r="C1726" s="1">
        <v>90.0</v>
      </c>
      <c r="D1726" s="2" t="s">
        <v>2416</v>
      </c>
      <c r="E1726" s="1">
        <v>60.0</v>
      </c>
      <c r="F1726" s="1">
        <v>18.0</v>
      </c>
      <c r="G1726" s="1">
        <v>0.0</v>
      </c>
      <c r="H1726" s="1">
        <v>0.0</v>
      </c>
      <c r="I1726" s="1">
        <v>0.0</v>
      </c>
      <c r="J1726" s="1">
        <v>0.0</v>
      </c>
      <c r="K1726" s="1">
        <v>0.0</v>
      </c>
      <c r="L1726" s="1">
        <v>408000.0</v>
      </c>
      <c r="M1726" s="1" t="s">
        <v>6422</v>
      </c>
      <c r="N1726" s="18">
        <v>46003.0</v>
      </c>
      <c r="O1726" s="1" t="s">
        <v>5438</v>
      </c>
      <c r="P1726" s="1" t="s">
        <v>3230</v>
      </c>
      <c r="Q1726" s="1" t="s">
        <v>3408</v>
      </c>
    </row>
    <row r="1727">
      <c r="A1727" s="1" t="s">
        <v>6284</v>
      </c>
      <c r="B1727" s="1">
        <v>60.0</v>
      </c>
      <c r="C1727" s="1">
        <v>40.0</v>
      </c>
      <c r="D1727" s="2" t="s">
        <v>439</v>
      </c>
      <c r="E1727" s="1">
        <v>60.0</v>
      </c>
      <c r="F1727" s="1">
        <v>17.0</v>
      </c>
      <c r="G1727" s="1">
        <v>3.75</v>
      </c>
      <c r="H1727" s="1">
        <v>0.0</v>
      </c>
      <c r="I1727" s="1">
        <v>0.0</v>
      </c>
      <c r="J1727" s="1">
        <v>0.0</v>
      </c>
      <c r="K1727" s="1">
        <v>0.24</v>
      </c>
      <c r="L1727" s="1">
        <v>1.27E7</v>
      </c>
      <c r="M1727" s="1" t="s">
        <v>6285</v>
      </c>
      <c r="N1727" s="18">
        <v>46003.0</v>
      </c>
      <c r="O1727" s="1" t="s">
        <v>5865</v>
      </c>
      <c r="P1727" s="1" t="s">
        <v>3301</v>
      </c>
      <c r="Q1727" s="1" t="s">
        <v>3408</v>
      </c>
    </row>
    <row r="1728">
      <c r="A1728" s="1" t="s">
        <v>4641</v>
      </c>
      <c r="B1728" s="1">
        <v>60.0</v>
      </c>
      <c r="C1728" s="1">
        <v>50.0</v>
      </c>
      <c r="D1728" s="2" t="s">
        <v>1638</v>
      </c>
      <c r="E1728" s="1">
        <v>60.0</v>
      </c>
      <c r="F1728" s="1">
        <v>12.0</v>
      </c>
      <c r="G1728" s="1">
        <v>0.0</v>
      </c>
      <c r="H1728" s="1">
        <v>0.0</v>
      </c>
      <c r="I1728" s="1">
        <v>0.0</v>
      </c>
      <c r="J1728" s="1">
        <v>0.0</v>
      </c>
      <c r="K1728" s="1">
        <v>0.01</v>
      </c>
      <c r="L1728" s="1">
        <v>33900.0</v>
      </c>
      <c r="M1728" s="1" t="s">
        <v>4642</v>
      </c>
      <c r="N1728" s="18">
        <v>46002.0</v>
      </c>
      <c r="O1728" s="1" t="s">
        <v>4643</v>
      </c>
      <c r="P1728" s="1" t="s">
        <v>3257</v>
      </c>
      <c r="Q1728" s="1" t="s">
        <v>3408</v>
      </c>
    </row>
    <row r="1729">
      <c r="A1729" s="1" t="s">
        <v>6423</v>
      </c>
      <c r="B1729" s="1">
        <v>60.0</v>
      </c>
      <c r="C1729" s="1">
        <v>720.0</v>
      </c>
      <c r="D1729" s="2" t="s">
        <v>681</v>
      </c>
      <c r="E1729" s="1">
        <v>60.0</v>
      </c>
      <c r="F1729" s="1">
        <v>13.0</v>
      </c>
      <c r="G1729" s="1">
        <v>1.29</v>
      </c>
      <c r="H1729" s="1">
        <v>0.0</v>
      </c>
      <c r="I1729" s="1">
        <v>0.0</v>
      </c>
      <c r="J1729" s="1">
        <v>0.0</v>
      </c>
      <c r="K1729" s="1">
        <v>0.32</v>
      </c>
      <c r="L1729" s="1">
        <v>1.59E7</v>
      </c>
      <c r="M1729" s="1" t="s">
        <v>6424</v>
      </c>
      <c r="N1729" s="18">
        <v>45996.0</v>
      </c>
      <c r="O1729" s="1" t="s">
        <v>3442</v>
      </c>
      <c r="P1729" s="1" t="s">
        <v>3230</v>
      </c>
      <c r="Q1729" s="1" t="s">
        <v>3408</v>
      </c>
    </row>
    <row r="1730">
      <c r="A1730" s="1" t="s">
        <v>6425</v>
      </c>
      <c r="B1730" s="1">
        <v>60.0</v>
      </c>
      <c r="C1730" s="1">
        <v>390.0</v>
      </c>
      <c r="D1730" s="2" t="s">
        <v>750</v>
      </c>
      <c r="E1730" s="1">
        <v>60.0</v>
      </c>
      <c r="F1730" s="1">
        <v>30.0</v>
      </c>
      <c r="G1730" s="1">
        <v>0.0</v>
      </c>
      <c r="H1730" s="1">
        <v>0.0</v>
      </c>
      <c r="I1730" s="1">
        <v>0.0</v>
      </c>
      <c r="J1730" s="1">
        <v>0.0</v>
      </c>
      <c r="K1730" s="1">
        <v>0.0</v>
      </c>
      <c r="L1730" s="1">
        <v>6470000.0</v>
      </c>
      <c r="M1730" s="1" t="s">
        <v>6426</v>
      </c>
      <c r="N1730" s="18">
        <v>45995.0</v>
      </c>
      <c r="O1730" s="1" t="s">
        <v>4496</v>
      </c>
      <c r="P1730" s="1" t="s">
        <v>3334</v>
      </c>
      <c r="Q1730" s="1" t="s">
        <v>3408</v>
      </c>
    </row>
    <row r="1731">
      <c r="A1731" s="1" t="s">
        <v>6427</v>
      </c>
      <c r="B1731" s="1">
        <v>60.0</v>
      </c>
      <c r="C1731" s="1">
        <v>90.0</v>
      </c>
      <c r="D1731" s="2" t="s">
        <v>954</v>
      </c>
      <c r="E1731" s="1">
        <v>60.0</v>
      </c>
      <c r="F1731" s="1">
        <v>22.0</v>
      </c>
      <c r="G1731" s="1">
        <v>0.0</v>
      </c>
      <c r="H1731" s="1">
        <v>0.0</v>
      </c>
      <c r="I1731" s="1">
        <v>0.0</v>
      </c>
      <c r="J1731" s="1">
        <v>0.0</v>
      </c>
      <c r="K1731" s="1">
        <v>0.0</v>
      </c>
      <c r="L1731" s="1">
        <v>1.48E7</v>
      </c>
      <c r="M1731" s="1" t="s">
        <v>6428</v>
      </c>
      <c r="N1731" s="18">
        <v>45987.0</v>
      </c>
      <c r="O1731" s="1" t="s">
        <v>6429</v>
      </c>
      <c r="P1731" s="1" t="s">
        <v>3230</v>
      </c>
      <c r="Q1731" s="1" t="s">
        <v>3408</v>
      </c>
    </row>
    <row r="1732">
      <c r="A1732" s="1" t="s">
        <v>6430</v>
      </c>
      <c r="B1732" s="1">
        <v>60.0</v>
      </c>
      <c r="C1732" s="1">
        <v>70.0</v>
      </c>
      <c r="D1732" s="2" t="s">
        <v>1055</v>
      </c>
      <c r="E1732" s="1">
        <v>60.0</v>
      </c>
      <c r="F1732" s="1">
        <v>33.0</v>
      </c>
      <c r="G1732" s="1">
        <v>2.66</v>
      </c>
      <c r="H1732" s="1">
        <v>0.0</v>
      </c>
      <c r="I1732" s="1">
        <v>0.0</v>
      </c>
      <c r="J1732" s="1">
        <v>0.0</v>
      </c>
      <c r="K1732" s="1">
        <v>0.64</v>
      </c>
      <c r="L1732" s="1">
        <v>10.0</v>
      </c>
      <c r="M1732" s="1" t="s">
        <v>6431</v>
      </c>
      <c r="N1732" s="18">
        <v>45986.0</v>
      </c>
      <c r="O1732" s="1" t="s">
        <v>4165</v>
      </c>
      <c r="P1732" s="1" t="s">
        <v>3257</v>
      </c>
      <c r="Q1732" s="1" t="s">
        <v>3408</v>
      </c>
    </row>
    <row r="1733">
      <c r="A1733" s="1" t="s">
        <v>6432</v>
      </c>
      <c r="B1733" s="1">
        <v>60.0</v>
      </c>
      <c r="C1733" s="1">
        <v>110.0</v>
      </c>
      <c r="D1733" s="2" t="s">
        <v>581</v>
      </c>
      <c r="E1733" s="1">
        <v>60.0</v>
      </c>
      <c r="F1733" s="1">
        <v>33.0</v>
      </c>
      <c r="G1733" s="1">
        <v>6.13</v>
      </c>
      <c r="H1733" s="1">
        <v>0.0</v>
      </c>
      <c r="I1733" s="1">
        <v>0.0</v>
      </c>
      <c r="J1733" s="1">
        <v>0.0</v>
      </c>
      <c r="K1733" s="1">
        <v>0.12</v>
      </c>
      <c r="L1733" s="1">
        <v>2.39E7</v>
      </c>
      <c r="M1733" s="1" t="s">
        <v>6433</v>
      </c>
      <c r="N1733" s="18">
        <v>45966.0</v>
      </c>
      <c r="O1733" s="1" t="s">
        <v>3293</v>
      </c>
      <c r="P1733" s="1" t="s">
        <v>3294</v>
      </c>
      <c r="Q1733" s="1" t="s">
        <v>3408</v>
      </c>
    </row>
    <row r="1734">
      <c r="A1734" s="1" t="s">
        <v>6434</v>
      </c>
      <c r="B1734" s="1">
        <v>61.0</v>
      </c>
      <c r="C1734" s="1">
        <v>70.0</v>
      </c>
      <c r="D1734" s="2" t="s">
        <v>439</v>
      </c>
      <c r="E1734" s="1">
        <v>61.0</v>
      </c>
      <c r="F1734" s="1">
        <v>24.0</v>
      </c>
      <c r="G1734" s="1">
        <v>4.28</v>
      </c>
      <c r="H1734" s="1">
        <v>0.0</v>
      </c>
      <c r="I1734" s="1">
        <v>0.0</v>
      </c>
      <c r="J1734" s="1">
        <v>0.0</v>
      </c>
      <c r="K1734" s="1">
        <v>0.17</v>
      </c>
      <c r="L1734" s="1">
        <v>25100.0</v>
      </c>
      <c r="M1734" s="1" t="s">
        <v>6435</v>
      </c>
      <c r="N1734" s="18">
        <v>46038.0</v>
      </c>
      <c r="O1734" s="1" t="s">
        <v>6436</v>
      </c>
      <c r="P1734" s="1" t="s">
        <v>3294</v>
      </c>
      <c r="Q1734" s="1" t="s">
        <v>3408</v>
      </c>
    </row>
    <row r="1735">
      <c r="A1735" s="1" t="s">
        <v>5709</v>
      </c>
      <c r="B1735" s="1">
        <v>61.0</v>
      </c>
      <c r="C1735" s="1">
        <v>110.0</v>
      </c>
      <c r="D1735" s="2" t="s">
        <v>1307</v>
      </c>
      <c r="E1735" s="1">
        <v>61.0</v>
      </c>
      <c r="F1735" s="1">
        <v>3.0</v>
      </c>
      <c r="G1735" s="1">
        <v>13.73</v>
      </c>
      <c r="H1735" s="1">
        <v>0.0</v>
      </c>
      <c r="I1735" s="1">
        <v>0.0</v>
      </c>
      <c r="J1735" s="1">
        <v>0.0</v>
      </c>
      <c r="K1735" s="1">
        <v>0.92</v>
      </c>
      <c r="L1735" s="1">
        <v>290000.0</v>
      </c>
      <c r="M1735" s="1" t="s">
        <v>5710</v>
      </c>
      <c r="N1735" s="18">
        <v>46038.0</v>
      </c>
      <c r="O1735" s="1" t="s">
        <v>3355</v>
      </c>
      <c r="P1735" s="1" t="s">
        <v>3257</v>
      </c>
      <c r="Q1735" s="1" t="s">
        <v>3408</v>
      </c>
    </row>
    <row r="1736">
      <c r="A1736" s="1" t="s">
        <v>6437</v>
      </c>
      <c r="B1736" s="1">
        <v>61.0</v>
      </c>
      <c r="C1736" s="1">
        <v>40.0</v>
      </c>
      <c r="D1736" s="2" t="s">
        <v>439</v>
      </c>
      <c r="E1736" s="1">
        <v>61.0</v>
      </c>
      <c r="F1736" s="1">
        <v>15.0</v>
      </c>
      <c r="G1736" s="1">
        <v>3.86</v>
      </c>
      <c r="H1736" s="1">
        <v>0.0</v>
      </c>
      <c r="I1736" s="1">
        <v>0.0</v>
      </c>
      <c r="J1736" s="1">
        <v>0.0</v>
      </c>
      <c r="K1736" s="1">
        <v>0.04</v>
      </c>
      <c r="L1736" s="1">
        <v>3.91E7</v>
      </c>
      <c r="M1736" s="1" t="s">
        <v>6438</v>
      </c>
      <c r="N1736" s="18">
        <v>46036.0</v>
      </c>
      <c r="O1736" s="1" t="s">
        <v>3821</v>
      </c>
      <c r="P1736" s="1" t="s">
        <v>3294</v>
      </c>
      <c r="Q1736" s="1" t="s">
        <v>3408</v>
      </c>
    </row>
    <row r="1737">
      <c r="A1737" s="1" t="s">
        <v>6439</v>
      </c>
      <c r="B1737" s="1">
        <v>61.0</v>
      </c>
      <c r="C1737" s="1">
        <v>30.0</v>
      </c>
      <c r="D1737" s="2" t="s">
        <v>447</v>
      </c>
      <c r="E1737" s="1">
        <v>61.0</v>
      </c>
      <c r="F1737" s="1">
        <v>26.0</v>
      </c>
      <c r="G1737" s="1">
        <v>4.23</v>
      </c>
      <c r="H1737" s="1">
        <v>0.0</v>
      </c>
      <c r="I1737" s="1">
        <v>0.0</v>
      </c>
      <c r="J1737" s="1">
        <v>0.0</v>
      </c>
      <c r="K1737" s="1">
        <v>0.63</v>
      </c>
      <c r="L1737" s="1">
        <v>123000.0</v>
      </c>
      <c r="M1737" s="1" t="s">
        <v>6440</v>
      </c>
      <c r="N1737" s="18">
        <v>46031.0</v>
      </c>
      <c r="O1737" s="1" t="s">
        <v>6441</v>
      </c>
      <c r="P1737" s="1" t="s">
        <v>3257</v>
      </c>
      <c r="Q1737" s="1" t="s">
        <v>3408</v>
      </c>
    </row>
    <row r="1738">
      <c r="A1738" s="1" t="s">
        <v>5879</v>
      </c>
      <c r="B1738" s="1">
        <v>61.0</v>
      </c>
      <c r="C1738" s="1">
        <v>110.0</v>
      </c>
      <c r="D1738" s="2" t="s">
        <v>439</v>
      </c>
      <c r="E1738" s="1">
        <v>61.0</v>
      </c>
      <c r="F1738" s="1">
        <v>26.0</v>
      </c>
      <c r="G1738" s="1">
        <v>3.54</v>
      </c>
      <c r="H1738" s="1">
        <v>0.0</v>
      </c>
      <c r="I1738" s="1">
        <v>0.0</v>
      </c>
      <c r="J1738" s="1">
        <v>0.0</v>
      </c>
      <c r="K1738" s="1">
        <v>0.09</v>
      </c>
      <c r="L1738" s="1">
        <v>6500000.0</v>
      </c>
      <c r="M1738" s="1" t="s">
        <v>5880</v>
      </c>
      <c r="N1738" s="18">
        <v>46028.0</v>
      </c>
      <c r="O1738" s="1" t="s">
        <v>3293</v>
      </c>
      <c r="P1738" s="1" t="s">
        <v>3294</v>
      </c>
      <c r="Q1738" s="1" t="s">
        <v>3408</v>
      </c>
    </row>
    <row r="1739">
      <c r="A1739" s="1" t="s">
        <v>6442</v>
      </c>
      <c r="B1739" s="1">
        <v>61.0</v>
      </c>
      <c r="C1739" s="1">
        <v>90.0</v>
      </c>
      <c r="D1739" s="2" t="s">
        <v>2930</v>
      </c>
      <c r="E1739" s="1">
        <v>61.0</v>
      </c>
      <c r="F1739" s="1">
        <v>38.0</v>
      </c>
      <c r="G1739" s="1">
        <v>0.58</v>
      </c>
      <c r="H1739" s="1">
        <v>0.0</v>
      </c>
      <c r="I1739" s="1">
        <v>0.0</v>
      </c>
      <c r="J1739" s="1">
        <v>0.0</v>
      </c>
      <c r="K1739" s="1">
        <v>0.01</v>
      </c>
      <c r="L1739" s="1">
        <v>6850000.0</v>
      </c>
      <c r="M1739" s="1" t="s">
        <v>6443</v>
      </c>
      <c r="N1739" s="18">
        <v>46028.0</v>
      </c>
      <c r="O1739" s="1" t="s">
        <v>6444</v>
      </c>
      <c r="P1739" s="1" t="s">
        <v>3230</v>
      </c>
      <c r="Q1739" s="1" t="s">
        <v>3408</v>
      </c>
    </row>
    <row r="1740">
      <c r="A1740" s="1" t="s">
        <v>6445</v>
      </c>
      <c r="B1740" s="1">
        <v>61.0</v>
      </c>
      <c r="C1740" s="1">
        <v>40.0</v>
      </c>
      <c r="D1740" s="2" t="s">
        <v>621</v>
      </c>
      <c r="E1740" s="1">
        <v>61.0</v>
      </c>
      <c r="F1740" s="1">
        <v>6.0</v>
      </c>
      <c r="G1740" s="1">
        <v>3.27</v>
      </c>
      <c r="H1740" s="1">
        <v>0.0</v>
      </c>
      <c r="I1740" s="1">
        <v>0.0</v>
      </c>
      <c r="J1740" s="1">
        <v>0.0</v>
      </c>
      <c r="K1740" s="1">
        <v>0.12</v>
      </c>
      <c r="L1740" s="1">
        <v>1490000.0</v>
      </c>
      <c r="M1740" s="1" t="s">
        <v>6446</v>
      </c>
      <c r="N1740" s="18">
        <v>46027.0</v>
      </c>
      <c r="O1740" s="1" t="s">
        <v>6059</v>
      </c>
      <c r="P1740" s="1" t="s">
        <v>3230</v>
      </c>
      <c r="Q1740" s="1" t="s">
        <v>3408</v>
      </c>
    </row>
    <row r="1741">
      <c r="A1741" s="1" t="s">
        <v>6447</v>
      </c>
      <c r="B1741" s="1">
        <v>61.0</v>
      </c>
      <c r="C1741" s="1">
        <v>50.0</v>
      </c>
      <c r="D1741" s="2" t="s">
        <v>1536</v>
      </c>
      <c r="E1741" s="1">
        <v>61.0</v>
      </c>
      <c r="F1741" s="1">
        <v>1.0</v>
      </c>
      <c r="G1741" s="1">
        <v>4.47</v>
      </c>
      <c r="H1741" s="1">
        <v>0.0</v>
      </c>
      <c r="I1741" s="1">
        <v>0.0</v>
      </c>
      <c r="J1741" s="1">
        <v>0.0</v>
      </c>
      <c r="K1741" s="1">
        <v>0.03</v>
      </c>
      <c r="L1741" s="1">
        <v>3.35E7</v>
      </c>
      <c r="M1741" s="1" t="s">
        <v>6448</v>
      </c>
      <c r="N1741" s="18">
        <v>46025.0</v>
      </c>
      <c r="O1741" s="1" t="s">
        <v>3407</v>
      </c>
      <c r="P1741" s="1" t="s">
        <v>3230</v>
      </c>
      <c r="Q1741" s="1" t="s">
        <v>3408</v>
      </c>
    </row>
    <row r="1742">
      <c r="A1742" s="1" t="s">
        <v>6449</v>
      </c>
      <c r="B1742" s="1">
        <v>61.0</v>
      </c>
      <c r="C1742" s="1">
        <v>70.0</v>
      </c>
      <c r="D1742" s="2" t="s">
        <v>2253</v>
      </c>
      <c r="E1742" s="1">
        <v>61.0</v>
      </c>
      <c r="G1742" s="1">
        <v>0.35</v>
      </c>
      <c r="H1742" s="1">
        <v>0.0</v>
      </c>
      <c r="I1742" s="1">
        <v>0.0</v>
      </c>
      <c r="J1742" s="1">
        <v>0.0</v>
      </c>
      <c r="K1742" s="1">
        <v>0.91</v>
      </c>
      <c r="L1742" s="1">
        <v>996000.0</v>
      </c>
      <c r="M1742" s="1" t="s">
        <v>6450</v>
      </c>
      <c r="N1742" s="18">
        <v>46025.0</v>
      </c>
      <c r="O1742" s="1" t="s">
        <v>6451</v>
      </c>
      <c r="P1742" s="1" t="s">
        <v>3301</v>
      </c>
      <c r="Q1742" s="1" t="s">
        <v>3408</v>
      </c>
    </row>
    <row r="1743">
      <c r="A1743" s="1" t="s">
        <v>3656</v>
      </c>
      <c r="B1743" s="1">
        <v>61.0</v>
      </c>
      <c r="C1743" s="1">
        <v>140.0</v>
      </c>
      <c r="D1743" s="2" t="s">
        <v>443</v>
      </c>
      <c r="E1743" s="1">
        <v>61.0</v>
      </c>
      <c r="F1743" s="1">
        <v>25.0</v>
      </c>
      <c r="G1743" s="1">
        <v>13.98</v>
      </c>
      <c r="H1743" s="1">
        <v>0.0</v>
      </c>
      <c r="I1743" s="1">
        <v>0.0</v>
      </c>
      <c r="J1743" s="1">
        <v>0.0</v>
      </c>
      <c r="K1743" s="1">
        <v>0.45</v>
      </c>
      <c r="L1743" s="1">
        <v>33000.0</v>
      </c>
      <c r="M1743" s="1" t="s">
        <v>3657</v>
      </c>
      <c r="N1743" s="18">
        <v>46024.0</v>
      </c>
      <c r="O1743" s="1" t="s">
        <v>3435</v>
      </c>
      <c r="P1743" s="1" t="s">
        <v>3257</v>
      </c>
      <c r="Q1743" s="1" t="s">
        <v>3408</v>
      </c>
    </row>
    <row r="1744">
      <c r="A1744" s="1" t="s">
        <v>6194</v>
      </c>
      <c r="B1744" s="1">
        <v>61.0</v>
      </c>
      <c r="C1744" s="1">
        <v>720.0</v>
      </c>
      <c r="D1744" s="2" t="s">
        <v>2930</v>
      </c>
      <c r="E1744" s="1">
        <v>61.0</v>
      </c>
      <c r="F1744" s="1">
        <v>42.0</v>
      </c>
      <c r="G1744" s="1">
        <v>0.57</v>
      </c>
      <c r="H1744" s="1">
        <v>0.0</v>
      </c>
      <c r="I1744" s="1">
        <v>0.0</v>
      </c>
      <c r="J1744" s="1">
        <v>0.0</v>
      </c>
      <c r="K1744" s="1">
        <v>0.0</v>
      </c>
      <c r="L1744" s="1">
        <v>1.3E8</v>
      </c>
      <c r="M1744" s="1" t="s">
        <v>6195</v>
      </c>
      <c r="N1744" s="18">
        <v>46020.0</v>
      </c>
      <c r="O1744" s="1" t="s">
        <v>6196</v>
      </c>
      <c r="P1744" s="1" t="s">
        <v>3230</v>
      </c>
      <c r="Q1744" s="1" t="s">
        <v>3408</v>
      </c>
    </row>
    <row r="1745">
      <c r="A1745" s="1" t="s">
        <v>6452</v>
      </c>
      <c r="B1745" s="1">
        <v>61.0</v>
      </c>
      <c r="C1745" s="1">
        <v>70.0</v>
      </c>
      <c r="D1745" s="2" t="s">
        <v>1868</v>
      </c>
      <c r="E1745" s="1">
        <v>61.0</v>
      </c>
      <c r="F1745" s="1">
        <v>49.0</v>
      </c>
      <c r="G1745" s="1">
        <v>0.0</v>
      </c>
      <c r="H1745" s="1">
        <v>0.0</v>
      </c>
      <c r="I1745" s="1">
        <v>0.0</v>
      </c>
      <c r="J1745" s="1">
        <v>0.0</v>
      </c>
      <c r="K1745" s="1">
        <v>0.0</v>
      </c>
      <c r="L1745" s="1">
        <v>4.08E8</v>
      </c>
      <c r="M1745" s="1" t="s">
        <v>6453</v>
      </c>
      <c r="N1745" s="18">
        <v>46020.0</v>
      </c>
      <c r="O1745" s="1" t="s">
        <v>5650</v>
      </c>
      <c r="P1745" s="1" t="s">
        <v>3230</v>
      </c>
      <c r="Q1745" s="1" t="s">
        <v>3408</v>
      </c>
    </row>
    <row r="1746">
      <c r="A1746" s="1" t="s">
        <v>6454</v>
      </c>
      <c r="B1746" s="1">
        <v>61.0</v>
      </c>
      <c r="C1746" s="1">
        <v>70.0</v>
      </c>
      <c r="D1746" s="2" t="s">
        <v>1452</v>
      </c>
      <c r="E1746" s="1">
        <v>61.0</v>
      </c>
      <c r="F1746" s="1">
        <v>36.0</v>
      </c>
      <c r="G1746" s="1">
        <v>0.0</v>
      </c>
      <c r="H1746" s="1">
        <v>0.0</v>
      </c>
      <c r="I1746" s="1">
        <v>0.0</v>
      </c>
      <c r="J1746" s="1">
        <v>0.0</v>
      </c>
      <c r="K1746" s="1">
        <v>0.0</v>
      </c>
      <c r="L1746" s="1">
        <v>1.92E8</v>
      </c>
      <c r="M1746" s="1" t="s">
        <v>6455</v>
      </c>
      <c r="N1746" s="18">
        <v>46018.0</v>
      </c>
      <c r="O1746" s="1" t="s">
        <v>3479</v>
      </c>
      <c r="P1746" s="1" t="s">
        <v>3230</v>
      </c>
      <c r="Q1746" s="1" t="s">
        <v>3408</v>
      </c>
    </row>
    <row r="1747">
      <c r="A1747" s="1" t="s">
        <v>6456</v>
      </c>
      <c r="B1747" s="1">
        <v>61.0</v>
      </c>
      <c r="C1747" s="1">
        <v>50.0</v>
      </c>
      <c r="D1747" s="2" t="s">
        <v>1685</v>
      </c>
      <c r="E1747" s="1">
        <v>61.0</v>
      </c>
      <c r="F1747" s="1">
        <v>1.0</v>
      </c>
      <c r="G1747" s="1">
        <v>0.0</v>
      </c>
      <c r="H1747" s="1">
        <v>0.0</v>
      </c>
      <c r="I1747" s="1">
        <v>0.0</v>
      </c>
      <c r="J1747" s="1">
        <v>0.0</v>
      </c>
      <c r="K1747" s="1">
        <v>0.01</v>
      </c>
      <c r="L1747" s="1">
        <v>3.27E7</v>
      </c>
      <c r="M1747" s="1" t="s">
        <v>6457</v>
      </c>
      <c r="N1747" s="18">
        <v>46017.0</v>
      </c>
      <c r="O1747" s="1" t="s">
        <v>3861</v>
      </c>
      <c r="P1747" s="1" t="s">
        <v>3230</v>
      </c>
      <c r="Q1747" s="1" t="s">
        <v>3408</v>
      </c>
    </row>
    <row r="1748">
      <c r="A1748" s="1" t="s">
        <v>6458</v>
      </c>
      <c r="B1748" s="1">
        <v>61.0</v>
      </c>
      <c r="C1748" s="1">
        <v>90.0</v>
      </c>
      <c r="D1748" s="2" t="s">
        <v>439</v>
      </c>
      <c r="E1748" s="1">
        <v>61.0</v>
      </c>
      <c r="F1748" s="1">
        <v>28.0</v>
      </c>
      <c r="G1748" s="1">
        <v>4.7</v>
      </c>
      <c r="H1748" s="1">
        <v>0.0</v>
      </c>
      <c r="I1748" s="1">
        <v>0.0</v>
      </c>
      <c r="J1748" s="1">
        <v>0.0</v>
      </c>
      <c r="K1748" s="1">
        <v>0.07</v>
      </c>
      <c r="L1748" s="1">
        <v>571000.0</v>
      </c>
      <c r="M1748" s="1" t="s">
        <v>6459</v>
      </c>
      <c r="N1748" s="18">
        <v>46017.0</v>
      </c>
      <c r="O1748" s="1" t="s">
        <v>3293</v>
      </c>
      <c r="P1748" s="1" t="s">
        <v>3294</v>
      </c>
      <c r="Q1748" s="1" t="s">
        <v>3408</v>
      </c>
    </row>
    <row r="1749">
      <c r="A1749" s="1" t="s">
        <v>6460</v>
      </c>
      <c r="B1749" s="1">
        <v>61.0</v>
      </c>
      <c r="C1749" s="1">
        <v>320.0</v>
      </c>
      <c r="D1749" s="2" t="s">
        <v>642</v>
      </c>
      <c r="E1749" s="1">
        <v>61.0</v>
      </c>
      <c r="F1749" s="1">
        <v>14.0</v>
      </c>
      <c r="G1749" s="1">
        <v>309.48</v>
      </c>
      <c r="H1749" s="1">
        <v>0.0</v>
      </c>
      <c r="I1749" s="1">
        <v>0.0</v>
      </c>
      <c r="J1749" s="1">
        <v>0.0</v>
      </c>
      <c r="K1749" s="1">
        <v>0.05</v>
      </c>
      <c r="L1749" s="1">
        <v>67900.0</v>
      </c>
      <c r="M1749" s="1" t="s">
        <v>6461</v>
      </c>
      <c r="N1749" s="18">
        <v>46016.0</v>
      </c>
      <c r="O1749" s="1" t="s">
        <v>3415</v>
      </c>
      <c r="P1749" s="1" t="s">
        <v>3257</v>
      </c>
      <c r="Q1749" s="1" t="s">
        <v>3408</v>
      </c>
    </row>
    <row r="1750">
      <c r="A1750" s="1" t="s">
        <v>6462</v>
      </c>
      <c r="B1750" s="1">
        <v>61.0</v>
      </c>
      <c r="C1750" s="1">
        <v>50.0</v>
      </c>
      <c r="D1750" s="2" t="s">
        <v>681</v>
      </c>
      <c r="E1750" s="1">
        <v>61.0</v>
      </c>
      <c r="F1750" s="1">
        <v>12.0</v>
      </c>
      <c r="G1750" s="1">
        <v>1.12</v>
      </c>
      <c r="H1750" s="1">
        <v>0.0</v>
      </c>
      <c r="I1750" s="1">
        <v>0.0</v>
      </c>
      <c r="J1750" s="1">
        <v>0.0</v>
      </c>
      <c r="K1750" s="1">
        <v>0.11</v>
      </c>
      <c r="L1750" s="1">
        <v>2160000.0</v>
      </c>
      <c r="M1750" s="1" t="s">
        <v>6463</v>
      </c>
      <c r="N1750" s="18">
        <v>46015.0</v>
      </c>
      <c r="O1750" s="1" t="s">
        <v>3479</v>
      </c>
      <c r="P1750" s="1" t="s">
        <v>3230</v>
      </c>
      <c r="Q1750" s="1" t="s">
        <v>3408</v>
      </c>
    </row>
    <row r="1751">
      <c r="A1751" s="1" t="s">
        <v>6269</v>
      </c>
      <c r="B1751" s="1">
        <v>61.0</v>
      </c>
      <c r="C1751" s="1">
        <v>70.0</v>
      </c>
      <c r="D1751" s="2" t="s">
        <v>439</v>
      </c>
      <c r="E1751" s="1">
        <v>61.0</v>
      </c>
      <c r="F1751" s="1">
        <v>19.0</v>
      </c>
      <c r="G1751" s="1">
        <v>2.22</v>
      </c>
      <c r="H1751" s="1">
        <v>0.0</v>
      </c>
      <c r="I1751" s="1">
        <v>0.0</v>
      </c>
      <c r="J1751" s="1">
        <v>0.0</v>
      </c>
      <c r="K1751" s="1">
        <v>0.07</v>
      </c>
      <c r="L1751" s="1">
        <v>38600.0</v>
      </c>
      <c r="M1751" s="1" t="s">
        <v>6270</v>
      </c>
      <c r="N1751" s="18">
        <v>46015.0</v>
      </c>
      <c r="O1751" s="1" t="s">
        <v>6271</v>
      </c>
      <c r="P1751" s="1" t="s">
        <v>3294</v>
      </c>
      <c r="Q1751" s="1" t="s">
        <v>3408</v>
      </c>
    </row>
    <row r="1752">
      <c r="A1752" s="1" t="s">
        <v>6464</v>
      </c>
      <c r="B1752" s="1">
        <v>61.0</v>
      </c>
      <c r="C1752" s="1">
        <v>50.0</v>
      </c>
      <c r="D1752" s="2" t="s">
        <v>581</v>
      </c>
      <c r="E1752" s="1">
        <v>61.0</v>
      </c>
      <c r="F1752" s="1">
        <v>12.0</v>
      </c>
      <c r="G1752" s="1">
        <v>0.0</v>
      </c>
      <c r="H1752" s="1">
        <v>0.0</v>
      </c>
      <c r="I1752" s="1">
        <v>0.0</v>
      </c>
      <c r="J1752" s="1">
        <v>0.0</v>
      </c>
      <c r="K1752" s="1">
        <v>0.05</v>
      </c>
      <c r="L1752" s="1">
        <v>4.53E7</v>
      </c>
      <c r="M1752" s="1" t="s">
        <v>6465</v>
      </c>
      <c r="N1752" s="18">
        <v>46014.0</v>
      </c>
      <c r="O1752" s="1" t="s">
        <v>4576</v>
      </c>
      <c r="P1752" s="1" t="s">
        <v>3257</v>
      </c>
      <c r="Q1752" s="1" t="s">
        <v>3408</v>
      </c>
    </row>
    <row r="1753">
      <c r="A1753" s="1" t="s">
        <v>6466</v>
      </c>
      <c r="B1753" s="1">
        <v>61.0</v>
      </c>
      <c r="C1753" s="1">
        <v>210.0</v>
      </c>
      <c r="D1753" s="2" t="s">
        <v>1868</v>
      </c>
      <c r="E1753" s="1">
        <v>61.0</v>
      </c>
      <c r="F1753" s="1">
        <v>58.0</v>
      </c>
      <c r="G1753" s="1">
        <v>0.0</v>
      </c>
      <c r="H1753" s="1">
        <v>0.0</v>
      </c>
      <c r="I1753" s="1">
        <v>0.0</v>
      </c>
      <c r="J1753" s="1">
        <v>0.0</v>
      </c>
      <c r="K1753" s="1">
        <v>0.0</v>
      </c>
      <c r="L1753" s="1">
        <v>4.25E8</v>
      </c>
      <c r="M1753" s="1" t="s">
        <v>6467</v>
      </c>
      <c r="N1753" s="18">
        <v>46014.0</v>
      </c>
      <c r="O1753" s="1" t="s">
        <v>5442</v>
      </c>
      <c r="P1753" s="1" t="s">
        <v>3230</v>
      </c>
      <c r="Q1753" s="1" t="s">
        <v>3408</v>
      </c>
    </row>
    <row r="1754">
      <c r="A1754" s="1" t="s">
        <v>6468</v>
      </c>
      <c r="B1754" s="1">
        <v>61.0</v>
      </c>
      <c r="C1754" s="1">
        <v>40.0</v>
      </c>
      <c r="D1754" s="2" t="s">
        <v>1109</v>
      </c>
      <c r="E1754" s="1">
        <v>61.0</v>
      </c>
      <c r="F1754" s="1">
        <v>43.0</v>
      </c>
      <c r="G1754" s="1">
        <v>0.0</v>
      </c>
      <c r="H1754" s="1">
        <v>0.0</v>
      </c>
      <c r="I1754" s="1">
        <v>0.0</v>
      </c>
      <c r="J1754" s="1">
        <v>0.0</v>
      </c>
      <c r="K1754" s="1">
        <v>0.0</v>
      </c>
      <c r="L1754" s="1">
        <v>5.97E7</v>
      </c>
      <c r="M1754" s="1" t="s">
        <v>6469</v>
      </c>
      <c r="N1754" s="18">
        <v>46013.0</v>
      </c>
      <c r="O1754" s="1" t="s">
        <v>3895</v>
      </c>
      <c r="P1754" s="1" t="s">
        <v>3230</v>
      </c>
      <c r="Q1754" s="1" t="s">
        <v>3408</v>
      </c>
    </row>
    <row r="1755">
      <c r="A1755" s="1" t="s">
        <v>6470</v>
      </c>
      <c r="B1755" s="1">
        <v>61.0</v>
      </c>
      <c r="C1755" s="1">
        <v>70.0</v>
      </c>
      <c r="D1755" s="2" t="s">
        <v>439</v>
      </c>
      <c r="E1755" s="1">
        <v>61.0</v>
      </c>
      <c r="F1755" s="1">
        <v>10.0</v>
      </c>
      <c r="G1755" s="1">
        <v>0.0</v>
      </c>
      <c r="H1755" s="1">
        <v>0.0</v>
      </c>
      <c r="I1755" s="1">
        <v>0.0</v>
      </c>
      <c r="J1755" s="1">
        <v>0.0</v>
      </c>
      <c r="K1755" s="1">
        <v>0.08</v>
      </c>
      <c r="L1755" s="1">
        <v>19100.0</v>
      </c>
      <c r="M1755" s="1" t="s">
        <v>6471</v>
      </c>
      <c r="N1755" s="18">
        <v>46010.0</v>
      </c>
      <c r="O1755" s="1" t="s">
        <v>6472</v>
      </c>
      <c r="P1755" s="1" t="s">
        <v>3257</v>
      </c>
      <c r="Q1755" s="1" t="s">
        <v>3408</v>
      </c>
    </row>
    <row r="1756">
      <c r="A1756" s="1" t="s">
        <v>6473</v>
      </c>
      <c r="B1756" s="1">
        <v>61.0</v>
      </c>
      <c r="C1756" s="1">
        <v>70.0</v>
      </c>
      <c r="D1756" s="2" t="s">
        <v>2930</v>
      </c>
      <c r="E1756" s="1">
        <v>61.0</v>
      </c>
      <c r="F1756" s="1">
        <v>17.0</v>
      </c>
      <c r="G1756" s="1">
        <v>0.0</v>
      </c>
      <c r="H1756" s="1">
        <v>0.0</v>
      </c>
      <c r="I1756" s="1">
        <v>0.0</v>
      </c>
      <c r="J1756" s="1">
        <v>0.0</v>
      </c>
      <c r="K1756" s="1">
        <v>0.0</v>
      </c>
      <c r="L1756" s="1">
        <v>1.13E7</v>
      </c>
      <c r="M1756" s="1" t="s">
        <v>6474</v>
      </c>
      <c r="N1756" s="18">
        <v>46009.0</v>
      </c>
      <c r="O1756" s="1" t="s">
        <v>4487</v>
      </c>
      <c r="P1756" s="1" t="s">
        <v>3230</v>
      </c>
      <c r="Q1756" s="1" t="s">
        <v>3408</v>
      </c>
    </row>
    <row r="1757">
      <c r="A1757" s="1" t="s">
        <v>6475</v>
      </c>
      <c r="B1757" s="1">
        <v>61.0</v>
      </c>
      <c r="C1757" s="1">
        <v>210.0</v>
      </c>
      <c r="D1757" s="2" t="s">
        <v>439</v>
      </c>
      <c r="E1757" s="1">
        <v>61.0</v>
      </c>
      <c r="F1757" s="1">
        <v>21.0</v>
      </c>
      <c r="G1757" s="1">
        <v>8.64</v>
      </c>
      <c r="H1757" s="1">
        <v>0.0</v>
      </c>
      <c r="I1757" s="1">
        <v>0.0</v>
      </c>
      <c r="J1757" s="1">
        <v>0.0</v>
      </c>
      <c r="K1757" s="1">
        <v>0.07</v>
      </c>
      <c r="L1757" s="1">
        <v>141000.0</v>
      </c>
      <c r="M1757" s="1" t="s">
        <v>6476</v>
      </c>
      <c r="N1757" s="18">
        <v>46009.0</v>
      </c>
      <c r="O1757" s="1" t="s">
        <v>3854</v>
      </c>
      <c r="P1757" s="1" t="s">
        <v>3462</v>
      </c>
      <c r="Q1757" s="1" t="s">
        <v>3408</v>
      </c>
    </row>
    <row r="1758">
      <c r="A1758" s="1" t="s">
        <v>6279</v>
      </c>
      <c r="B1758" s="1">
        <v>61.0</v>
      </c>
      <c r="C1758" s="1">
        <v>70.0</v>
      </c>
      <c r="D1758" s="2" t="s">
        <v>2048</v>
      </c>
      <c r="E1758" s="1">
        <v>61.0</v>
      </c>
      <c r="F1758" s="1">
        <v>11.0</v>
      </c>
      <c r="G1758" s="1">
        <v>0.0</v>
      </c>
      <c r="H1758" s="1">
        <v>0.0</v>
      </c>
      <c r="I1758" s="1">
        <v>0.0</v>
      </c>
      <c r="J1758" s="1">
        <v>0.0</v>
      </c>
      <c r="K1758" s="1">
        <v>0.0</v>
      </c>
      <c r="L1758" s="1">
        <v>3.9E7</v>
      </c>
      <c r="M1758" s="1" t="s">
        <v>5933</v>
      </c>
      <c r="N1758" s="18">
        <v>46008.0</v>
      </c>
      <c r="O1758" s="1" t="s">
        <v>3479</v>
      </c>
      <c r="P1758" s="1" t="s">
        <v>3230</v>
      </c>
      <c r="Q1758" s="1" t="s">
        <v>3408</v>
      </c>
    </row>
    <row r="1759">
      <c r="A1759" s="1" t="s">
        <v>6477</v>
      </c>
      <c r="B1759" s="1">
        <v>61.0</v>
      </c>
      <c r="C1759" s="1">
        <v>140.0</v>
      </c>
      <c r="D1759" s="2" t="s">
        <v>1868</v>
      </c>
      <c r="E1759" s="1">
        <v>61.0</v>
      </c>
      <c r="F1759" s="1">
        <v>53.0</v>
      </c>
      <c r="G1759" s="1">
        <v>0.0</v>
      </c>
      <c r="H1759" s="1">
        <v>0.0</v>
      </c>
      <c r="I1759" s="1">
        <v>0.0</v>
      </c>
      <c r="J1759" s="1">
        <v>0.0</v>
      </c>
      <c r="K1759" s="1">
        <v>0.0</v>
      </c>
      <c r="L1759" s="1">
        <v>4.17E8</v>
      </c>
      <c r="M1759" s="1" t="s">
        <v>6478</v>
      </c>
      <c r="N1759" s="18">
        <v>46006.0</v>
      </c>
      <c r="O1759" s="1" t="s">
        <v>5442</v>
      </c>
      <c r="P1759" s="1" t="s">
        <v>3230</v>
      </c>
      <c r="Q1759" s="1" t="s">
        <v>3408</v>
      </c>
    </row>
    <row r="1760">
      <c r="A1760" s="1" t="s">
        <v>6479</v>
      </c>
      <c r="B1760" s="1">
        <v>61.0</v>
      </c>
      <c r="C1760" s="1">
        <v>170.0</v>
      </c>
      <c r="D1760" s="2" t="s">
        <v>1536</v>
      </c>
      <c r="E1760" s="1">
        <v>61.0</v>
      </c>
      <c r="F1760" s="1">
        <v>26.0</v>
      </c>
      <c r="G1760" s="1">
        <v>3.83</v>
      </c>
      <c r="H1760" s="1">
        <v>0.0</v>
      </c>
      <c r="I1760" s="1">
        <v>0.0</v>
      </c>
      <c r="J1760" s="1">
        <v>0.0</v>
      </c>
      <c r="K1760" s="1">
        <v>0.01</v>
      </c>
      <c r="L1760" s="1">
        <v>1.86E7</v>
      </c>
      <c r="M1760" s="1" t="s">
        <v>6480</v>
      </c>
      <c r="N1760" s="18">
        <v>46004.0</v>
      </c>
      <c r="O1760" s="1" t="s">
        <v>3493</v>
      </c>
      <c r="P1760" s="1" t="s">
        <v>3230</v>
      </c>
      <c r="Q1760" s="1" t="s">
        <v>3408</v>
      </c>
    </row>
    <row r="1761">
      <c r="A1761" s="1" t="s">
        <v>6481</v>
      </c>
      <c r="B1761" s="1">
        <v>61.0</v>
      </c>
      <c r="C1761" s="1">
        <v>90.0</v>
      </c>
      <c r="D1761" s="2" t="s">
        <v>2930</v>
      </c>
      <c r="E1761" s="1">
        <v>61.0</v>
      </c>
      <c r="F1761" s="1">
        <v>22.0</v>
      </c>
      <c r="G1761" s="1">
        <v>0.0</v>
      </c>
      <c r="H1761" s="1">
        <v>0.0</v>
      </c>
      <c r="I1761" s="1">
        <v>0.0</v>
      </c>
      <c r="J1761" s="1">
        <v>0.0</v>
      </c>
      <c r="K1761" s="1">
        <v>0.0</v>
      </c>
      <c r="L1761" s="1">
        <v>6850000.0</v>
      </c>
      <c r="M1761" s="1" t="s">
        <v>4849</v>
      </c>
      <c r="N1761" s="18">
        <v>46002.0</v>
      </c>
      <c r="O1761" s="1" t="s">
        <v>4217</v>
      </c>
      <c r="P1761" s="1" t="s">
        <v>3230</v>
      </c>
      <c r="Q1761" s="1" t="s">
        <v>3408</v>
      </c>
    </row>
    <row r="1762">
      <c r="A1762" s="1" t="s">
        <v>6482</v>
      </c>
      <c r="B1762" s="1">
        <v>61.0</v>
      </c>
      <c r="C1762" s="1">
        <v>50.0</v>
      </c>
      <c r="D1762" s="2" t="s">
        <v>2358</v>
      </c>
      <c r="E1762" s="1">
        <v>61.0</v>
      </c>
      <c r="F1762" s="1">
        <v>21.0</v>
      </c>
      <c r="G1762" s="1">
        <v>0.0</v>
      </c>
      <c r="H1762" s="1">
        <v>0.0</v>
      </c>
      <c r="I1762" s="1">
        <v>0.0</v>
      </c>
      <c r="J1762" s="1">
        <v>0.0</v>
      </c>
      <c r="K1762" s="1">
        <v>0.0</v>
      </c>
      <c r="L1762" s="1">
        <v>2.16E8</v>
      </c>
      <c r="M1762" s="1" t="s">
        <v>6483</v>
      </c>
      <c r="N1762" s="18">
        <v>45999.0</v>
      </c>
      <c r="O1762" s="1" t="s">
        <v>5442</v>
      </c>
      <c r="P1762" s="1" t="s">
        <v>3230</v>
      </c>
      <c r="Q1762" s="1" t="s">
        <v>3408</v>
      </c>
    </row>
    <row r="1763">
      <c r="A1763" s="1" t="s">
        <v>4039</v>
      </c>
      <c r="B1763" s="1">
        <v>61.0</v>
      </c>
      <c r="C1763" s="1">
        <v>30.0</v>
      </c>
      <c r="D1763" s="2" t="s">
        <v>642</v>
      </c>
      <c r="E1763" s="1">
        <v>61.0</v>
      </c>
      <c r="F1763" s="1">
        <v>50.0</v>
      </c>
      <c r="G1763" s="1">
        <v>106.64</v>
      </c>
      <c r="H1763" s="1">
        <v>0.0</v>
      </c>
      <c r="I1763" s="1">
        <v>0.0</v>
      </c>
      <c r="J1763" s="1">
        <v>0.0</v>
      </c>
      <c r="K1763" s="1">
        <v>0.12</v>
      </c>
      <c r="L1763" s="1">
        <v>128000.0</v>
      </c>
      <c r="M1763" s="1" t="s">
        <v>4040</v>
      </c>
      <c r="N1763" s="18">
        <v>45999.0</v>
      </c>
      <c r="O1763" s="1" t="s">
        <v>3415</v>
      </c>
      <c r="P1763" s="1" t="s">
        <v>3257</v>
      </c>
      <c r="Q1763" s="1" t="s">
        <v>3408</v>
      </c>
    </row>
    <row r="1764">
      <c r="A1764" s="1" t="s">
        <v>3718</v>
      </c>
      <c r="B1764" s="1">
        <v>61.0</v>
      </c>
      <c r="C1764" s="1">
        <v>170.0</v>
      </c>
      <c r="D1764" s="2" t="s">
        <v>447</v>
      </c>
      <c r="E1764" s="1">
        <v>61.0</v>
      </c>
      <c r="F1764" s="1">
        <v>25.0</v>
      </c>
      <c r="G1764" s="1">
        <v>17.92</v>
      </c>
      <c r="H1764" s="1">
        <v>0.0</v>
      </c>
      <c r="I1764" s="1">
        <v>0.0</v>
      </c>
      <c r="J1764" s="1">
        <v>0.0</v>
      </c>
      <c r="K1764" s="1">
        <v>0.32</v>
      </c>
      <c r="L1764" s="1">
        <v>53600.0</v>
      </c>
      <c r="M1764" s="1" t="s">
        <v>3719</v>
      </c>
      <c r="N1764" s="18">
        <v>45997.0</v>
      </c>
      <c r="O1764" s="1" t="s">
        <v>3720</v>
      </c>
      <c r="P1764" s="1" t="s">
        <v>3257</v>
      </c>
      <c r="Q1764" s="1" t="s">
        <v>3408</v>
      </c>
    </row>
    <row r="1765">
      <c r="A1765" s="1" t="s">
        <v>6484</v>
      </c>
      <c r="B1765" s="1">
        <v>61.0</v>
      </c>
      <c r="C1765" s="1">
        <v>40.0</v>
      </c>
      <c r="D1765" s="2" t="s">
        <v>714</v>
      </c>
      <c r="E1765" s="1">
        <v>61.0</v>
      </c>
      <c r="F1765" s="1">
        <v>1.0</v>
      </c>
      <c r="G1765" s="1">
        <v>0.0</v>
      </c>
      <c r="H1765" s="1">
        <v>0.0</v>
      </c>
      <c r="I1765" s="1">
        <v>0.0</v>
      </c>
      <c r="J1765" s="1">
        <v>0.0</v>
      </c>
      <c r="K1765" s="1">
        <v>0.04</v>
      </c>
      <c r="L1765" s="1">
        <v>322000.0</v>
      </c>
      <c r="M1765" s="1" t="s">
        <v>6485</v>
      </c>
      <c r="N1765" s="18">
        <v>45996.0</v>
      </c>
      <c r="O1765" s="1" t="s">
        <v>3317</v>
      </c>
      <c r="P1765" s="1" t="s">
        <v>3230</v>
      </c>
      <c r="Q1765" s="1" t="s">
        <v>3408</v>
      </c>
    </row>
    <row r="1766">
      <c r="A1766" s="1" t="s">
        <v>4438</v>
      </c>
      <c r="B1766" s="1">
        <v>61.0</v>
      </c>
      <c r="C1766" s="1">
        <v>50.0</v>
      </c>
      <c r="D1766" s="2" t="s">
        <v>439</v>
      </c>
      <c r="E1766" s="1">
        <v>61.0</v>
      </c>
      <c r="F1766" s="1">
        <v>14.0</v>
      </c>
      <c r="G1766" s="1">
        <v>4.07</v>
      </c>
      <c r="H1766" s="1">
        <v>0.0</v>
      </c>
      <c r="I1766" s="1">
        <v>0.0</v>
      </c>
      <c r="J1766" s="1">
        <v>0.0</v>
      </c>
      <c r="K1766" s="1">
        <v>0.2</v>
      </c>
      <c r="L1766" s="1">
        <v>758.0</v>
      </c>
      <c r="M1766" s="1" t="s">
        <v>4439</v>
      </c>
      <c r="N1766" s="18">
        <v>45996.0</v>
      </c>
      <c r="O1766" s="1" t="s">
        <v>4440</v>
      </c>
      <c r="P1766" s="1" t="s">
        <v>3230</v>
      </c>
      <c r="Q1766" s="1" t="s">
        <v>3408</v>
      </c>
    </row>
    <row r="1767">
      <c r="A1767" s="1" t="s">
        <v>6486</v>
      </c>
      <c r="B1767" s="1">
        <v>61.0</v>
      </c>
      <c r="C1767" s="1">
        <v>90.0</v>
      </c>
      <c r="D1767" s="2" t="s">
        <v>2364</v>
      </c>
      <c r="E1767" s="1">
        <v>61.0</v>
      </c>
      <c r="F1767" s="1">
        <v>26.0</v>
      </c>
      <c r="G1767" s="1">
        <v>0.0</v>
      </c>
      <c r="H1767" s="1">
        <v>0.0</v>
      </c>
      <c r="I1767" s="1">
        <v>0.0</v>
      </c>
      <c r="J1767" s="1">
        <v>0.0</v>
      </c>
      <c r="K1767" s="1">
        <v>0.0</v>
      </c>
      <c r="L1767" s="1">
        <v>3030000.0</v>
      </c>
      <c r="M1767" s="1" t="s">
        <v>6487</v>
      </c>
      <c r="N1767" s="18">
        <v>45996.0</v>
      </c>
      <c r="O1767" s="1" t="s">
        <v>3493</v>
      </c>
      <c r="P1767" s="1" t="s">
        <v>3230</v>
      </c>
      <c r="Q1767" s="1" t="s">
        <v>3408</v>
      </c>
    </row>
    <row r="1768">
      <c r="A1768" s="1" t="s">
        <v>6488</v>
      </c>
      <c r="B1768" s="1">
        <v>61.0</v>
      </c>
      <c r="C1768" s="1">
        <v>70.0</v>
      </c>
      <c r="D1768" s="2" t="s">
        <v>439</v>
      </c>
      <c r="E1768" s="1">
        <v>61.0</v>
      </c>
      <c r="F1768" s="1">
        <v>15.0</v>
      </c>
      <c r="G1768" s="1">
        <v>1.16</v>
      </c>
      <c r="H1768" s="1">
        <v>0.0</v>
      </c>
      <c r="I1768" s="1">
        <v>0.0</v>
      </c>
      <c r="J1768" s="1">
        <v>0.0</v>
      </c>
      <c r="K1768" s="1">
        <v>0.17</v>
      </c>
      <c r="L1768" s="1">
        <v>9.52E7</v>
      </c>
      <c r="M1768" s="1" t="s">
        <v>6489</v>
      </c>
      <c r="N1768" s="18">
        <v>45991.0</v>
      </c>
      <c r="O1768" s="1" t="s">
        <v>6490</v>
      </c>
      <c r="P1768" s="1" t="s">
        <v>4919</v>
      </c>
      <c r="Q1768" s="1" t="s">
        <v>3408</v>
      </c>
    </row>
    <row r="1769">
      <c r="A1769" s="1" t="s">
        <v>6491</v>
      </c>
      <c r="B1769" s="1">
        <v>61.0</v>
      </c>
      <c r="C1769" s="1">
        <v>90.0</v>
      </c>
      <c r="D1769" s="2" t="s">
        <v>1103</v>
      </c>
      <c r="E1769" s="1">
        <v>61.0</v>
      </c>
      <c r="F1769" s="1">
        <v>28.0</v>
      </c>
      <c r="G1769" s="1">
        <v>2.08</v>
      </c>
      <c r="H1769" s="1">
        <v>0.0</v>
      </c>
      <c r="I1769" s="1">
        <v>0.0</v>
      </c>
      <c r="J1769" s="1">
        <v>0.0</v>
      </c>
      <c r="K1769" s="1">
        <v>0.17</v>
      </c>
      <c r="L1769" s="1">
        <v>3090000.0</v>
      </c>
      <c r="M1769" s="1" t="s">
        <v>6492</v>
      </c>
      <c r="N1769" s="18">
        <v>45990.0</v>
      </c>
      <c r="O1769" s="1" t="s">
        <v>4663</v>
      </c>
      <c r="P1769" s="1" t="s">
        <v>3230</v>
      </c>
      <c r="Q1769" s="1" t="s">
        <v>3408</v>
      </c>
    </row>
    <row r="1770">
      <c r="A1770" s="1" t="s">
        <v>6493</v>
      </c>
      <c r="B1770" s="1">
        <v>61.0</v>
      </c>
      <c r="C1770" s="1">
        <v>90.0</v>
      </c>
      <c r="D1770" s="2" t="s">
        <v>3001</v>
      </c>
      <c r="E1770" s="1">
        <v>61.0</v>
      </c>
      <c r="F1770" s="1">
        <v>4.0</v>
      </c>
      <c r="G1770" s="1">
        <v>0.0</v>
      </c>
      <c r="H1770" s="1">
        <v>0.0</v>
      </c>
      <c r="I1770" s="1">
        <v>0.0</v>
      </c>
      <c r="J1770" s="1">
        <v>0.0</v>
      </c>
      <c r="K1770" s="1">
        <v>0.0</v>
      </c>
      <c r="L1770" s="1">
        <v>2970000.0</v>
      </c>
      <c r="M1770" s="1" t="s">
        <v>6494</v>
      </c>
      <c r="N1770" s="18">
        <v>45988.0</v>
      </c>
      <c r="O1770" s="1" t="s">
        <v>3427</v>
      </c>
      <c r="P1770" s="1" t="s">
        <v>3257</v>
      </c>
      <c r="Q1770" s="1" t="s">
        <v>3408</v>
      </c>
    </row>
    <row r="1771">
      <c r="A1771" s="1" t="s">
        <v>6495</v>
      </c>
      <c r="B1771" s="1">
        <v>61.0</v>
      </c>
      <c r="C1771" s="1">
        <v>70.0</v>
      </c>
      <c r="D1771" s="2" t="s">
        <v>835</v>
      </c>
      <c r="E1771" s="1">
        <v>61.0</v>
      </c>
      <c r="F1771" s="1">
        <v>13.0</v>
      </c>
      <c r="G1771" s="1">
        <v>0.0</v>
      </c>
      <c r="H1771" s="1">
        <v>0.0</v>
      </c>
      <c r="I1771" s="1">
        <v>0.0</v>
      </c>
      <c r="J1771" s="1">
        <v>0.0</v>
      </c>
      <c r="K1771" s="1">
        <v>0.01</v>
      </c>
      <c r="L1771" s="1">
        <v>1.19E7</v>
      </c>
      <c r="M1771" s="1" t="s">
        <v>6496</v>
      </c>
      <c r="N1771" s="18">
        <v>45986.0</v>
      </c>
      <c r="O1771" s="1" t="s">
        <v>3284</v>
      </c>
      <c r="P1771" s="1" t="s">
        <v>3230</v>
      </c>
      <c r="Q1771" s="1" t="s">
        <v>3408</v>
      </c>
    </row>
    <row r="1772">
      <c r="A1772" s="1" t="s">
        <v>6497</v>
      </c>
      <c r="B1772" s="1">
        <v>61.0</v>
      </c>
      <c r="C1772" s="1">
        <v>110.0</v>
      </c>
      <c r="D1772" s="2" t="s">
        <v>600</v>
      </c>
      <c r="E1772" s="1">
        <v>61.0</v>
      </c>
      <c r="F1772" s="1">
        <v>4.0</v>
      </c>
      <c r="G1772" s="1">
        <v>12.58</v>
      </c>
      <c r="H1772" s="1">
        <v>0.0</v>
      </c>
      <c r="I1772" s="1">
        <v>0.0</v>
      </c>
      <c r="J1772" s="1">
        <v>0.0</v>
      </c>
      <c r="K1772" s="1">
        <v>0.22</v>
      </c>
      <c r="L1772" s="1">
        <v>0.0</v>
      </c>
      <c r="M1772" s="1" t="s">
        <v>6498</v>
      </c>
      <c r="N1772" s="18">
        <v>45984.0</v>
      </c>
      <c r="O1772" s="1" t="s">
        <v>4643</v>
      </c>
      <c r="P1772" s="1" t="s">
        <v>3257</v>
      </c>
      <c r="Q1772" s="1" t="s">
        <v>3408</v>
      </c>
    </row>
    <row r="1773">
      <c r="A1773" s="1" t="s">
        <v>5761</v>
      </c>
      <c r="B1773" s="1">
        <v>61.0</v>
      </c>
      <c r="C1773" s="1">
        <v>50.0</v>
      </c>
      <c r="D1773" s="2" t="s">
        <v>2930</v>
      </c>
      <c r="E1773" s="1">
        <v>61.0</v>
      </c>
      <c r="F1773" s="1">
        <v>0.0</v>
      </c>
      <c r="G1773" s="1">
        <v>0.0</v>
      </c>
      <c r="H1773" s="1">
        <v>0.0</v>
      </c>
      <c r="I1773" s="1">
        <v>0.0</v>
      </c>
      <c r="J1773" s="1">
        <v>0.0</v>
      </c>
      <c r="K1773" s="1">
        <v>0.02</v>
      </c>
      <c r="L1773" s="1">
        <v>5.0</v>
      </c>
      <c r="M1773" s="1" t="s">
        <v>5762</v>
      </c>
      <c r="N1773" s="18">
        <v>45979.0</v>
      </c>
      <c r="O1773" s="1" t="s">
        <v>3525</v>
      </c>
      <c r="P1773" s="1" t="s">
        <v>3230</v>
      </c>
      <c r="Q1773" s="1" t="s">
        <v>3408</v>
      </c>
    </row>
    <row r="1774">
      <c r="A1774" s="1" t="s">
        <v>6499</v>
      </c>
      <c r="B1774" s="1">
        <v>62.0</v>
      </c>
      <c r="C1774" s="1">
        <v>70.0</v>
      </c>
      <c r="D1774" s="2" t="s">
        <v>581</v>
      </c>
      <c r="E1774" s="1">
        <v>59.0</v>
      </c>
      <c r="F1774" s="1">
        <v>38.0</v>
      </c>
      <c r="G1774" s="1">
        <v>0.0</v>
      </c>
      <c r="H1774" s="1">
        <v>0.0</v>
      </c>
      <c r="I1774" s="1">
        <v>0.0</v>
      </c>
      <c r="J1774" s="1">
        <v>0.0</v>
      </c>
      <c r="K1774" s="1">
        <v>0.0</v>
      </c>
      <c r="L1774" s="1">
        <v>1790000.0</v>
      </c>
      <c r="M1774" s="1" t="s">
        <v>6500</v>
      </c>
      <c r="N1774" s="18">
        <v>46042.0</v>
      </c>
      <c r="O1774" s="1" t="s">
        <v>3288</v>
      </c>
      <c r="P1774" s="1" t="s">
        <v>3257</v>
      </c>
      <c r="Q1774" s="1" t="s">
        <v>3408</v>
      </c>
    </row>
    <row r="1775">
      <c r="A1775" s="1" t="s">
        <v>6501</v>
      </c>
      <c r="B1775" s="1">
        <v>62.0</v>
      </c>
      <c r="C1775" s="1">
        <v>12100.0</v>
      </c>
      <c r="D1775" s="2" t="s">
        <v>2249</v>
      </c>
      <c r="E1775" s="1">
        <v>62.0</v>
      </c>
      <c r="F1775" s="1">
        <v>22.0</v>
      </c>
      <c r="G1775" s="1">
        <v>0.0</v>
      </c>
      <c r="H1775" s="1">
        <v>0.0</v>
      </c>
      <c r="I1775" s="1">
        <v>0.0</v>
      </c>
      <c r="J1775" s="1">
        <v>0.0</v>
      </c>
      <c r="K1775" s="1">
        <v>0.0</v>
      </c>
      <c r="L1775" s="1">
        <v>2.92E8</v>
      </c>
      <c r="M1775" s="1" t="s">
        <v>6502</v>
      </c>
      <c r="N1775" s="18">
        <v>46037.0</v>
      </c>
      <c r="O1775" s="1" t="s">
        <v>5650</v>
      </c>
      <c r="P1775" s="1" t="s">
        <v>3230</v>
      </c>
      <c r="Q1775" s="1" t="s">
        <v>3408</v>
      </c>
    </row>
    <row r="1776">
      <c r="A1776" s="1" t="s">
        <v>6503</v>
      </c>
      <c r="B1776" s="1">
        <v>62.0</v>
      </c>
      <c r="C1776" s="1">
        <v>30.0</v>
      </c>
      <c r="D1776" s="2" t="s">
        <v>676</v>
      </c>
      <c r="E1776" s="1">
        <v>62.0</v>
      </c>
      <c r="F1776" s="1">
        <v>20.0</v>
      </c>
      <c r="G1776" s="1">
        <v>11.07</v>
      </c>
      <c r="H1776" s="1">
        <v>0.0</v>
      </c>
      <c r="I1776" s="1">
        <v>0.0</v>
      </c>
      <c r="J1776" s="1">
        <v>0.0</v>
      </c>
      <c r="K1776" s="1">
        <v>0.51</v>
      </c>
      <c r="L1776" s="1">
        <v>689000.0</v>
      </c>
      <c r="M1776" s="1" t="s">
        <v>6504</v>
      </c>
      <c r="N1776" s="18">
        <v>46034.0</v>
      </c>
      <c r="O1776" s="1" t="s">
        <v>4084</v>
      </c>
      <c r="P1776" s="1" t="s">
        <v>3257</v>
      </c>
      <c r="Q1776" s="1" t="s">
        <v>3408</v>
      </c>
    </row>
    <row r="1777">
      <c r="A1777" s="1" t="s">
        <v>6505</v>
      </c>
      <c r="B1777" s="1">
        <v>62.0</v>
      </c>
      <c r="C1777" s="1">
        <v>260.0</v>
      </c>
      <c r="D1777" s="2" t="s">
        <v>1868</v>
      </c>
      <c r="E1777" s="1">
        <v>62.0</v>
      </c>
      <c r="F1777" s="1">
        <v>57.0</v>
      </c>
      <c r="G1777" s="1">
        <v>0.0</v>
      </c>
      <c r="H1777" s="1">
        <v>0.0</v>
      </c>
      <c r="I1777" s="1">
        <v>0.0</v>
      </c>
      <c r="J1777" s="1">
        <v>0.0</v>
      </c>
      <c r="K1777" s="1">
        <v>0.0</v>
      </c>
      <c r="L1777" s="1">
        <v>4.31E8</v>
      </c>
      <c r="M1777" s="1" t="s">
        <v>6506</v>
      </c>
      <c r="N1777" s="18">
        <v>46033.0</v>
      </c>
      <c r="O1777" s="1" t="s">
        <v>5442</v>
      </c>
      <c r="P1777" s="1" t="s">
        <v>3230</v>
      </c>
      <c r="Q1777" s="1" t="s">
        <v>3408</v>
      </c>
    </row>
    <row r="1778">
      <c r="A1778" s="1" t="s">
        <v>6507</v>
      </c>
      <c r="B1778" s="1">
        <v>62.0</v>
      </c>
      <c r="C1778" s="1">
        <v>390.0</v>
      </c>
      <c r="D1778" s="2" t="s">
        <v>754</v>
      </c>
      <c r="E1778" s="1">
        <v>62.0</v>
      </c>
      <c r="F1778" s="1">
        <v>15.0</v>
      </c>
      <c r="G1778" s="1">
        <v>26.99</v>
      </c>
      <c r="H1778" s="1">
        <v>0.0</v>
      </c>
      <c r="I1778" s="1">
        <v>0.0</v>
      </c>
      <c r="J1778" s="1">
        <v>0.0</v>
      </c>
      <c r="K1778" s="1">
        <v>0.06</v>
      </c>
      <c r="L1778" s="1">
        <v>1.57E7</v>
      </c>
      <c r="M1778" s="1" t="s">
        <v>6508</v>
      </c>
      <c r="N1778" s="18">
        <v>46032.0</v>
      </c>
      <c r="O1778" s="1" t="s">
        <v>3284</v>
      </c>
      <c r="P1778" s="1" t="s">
        <v>3230</v>
      </c>
      <c r="Q1778" s="1" t="s">
        <v>3408</v>
      </c>
    </row>
    <row r="1779">
      <c r="A1779" s="1" t="s">
        <v>6134</v>
      </c>
      <c r="B1779" s="1">
        <v>62.0</v>
      </c>
      <c r="C1779" s="1">
        <v>50.0</v>
      </c>
      <c r="D1779" s="2" t="s">
        <v>581</v>
      </c>
      <c r="E1779" s="1">
        <v>62.0</v>
      </c>
      <c r="F1779" s="1">
        <v>38.0</v>
      </c>
      <c r="G1779" s="1">
        <v>15.32</v>
      </c>
      <c r="H1779" s="1">
        <v>0.0</v>
      </c>
      <c r="I1779" s="1">
        <v>0.0</v>
      </c>
      <c r="J1779" s="1">
        <v>0.0</v>
      </c>
      <c r="K1779" s="1">
        <v>0.21</v>
      </c>
      <c r="L1779" s="1">
        <v>548000.0</v>
      </c>
      <c r="M1779" s="1" t="s">
        <v>6135</v>
      </c>
      <c r="N1779" s="18">
        <v>46030.0</v>
      </c>
      <c r="O1779" s="1" t="s">
        <v>5791</v>
      </c>
      <c r="P1779" s="1" t="s">
        <v>3257</v>
      </c>
      <c r="Q1779" s="1" t="s">
        <v>3408</v>
      </c>
    </row>
    <row r="1780">
      <c r="A1780" s="1" t="s">
        <v>6509</v>
      </c>
      <c r="B1780" s="1">
        <v>62.0</v>
      </c>
      <c r="C1780" s="1">
        <v>390.0</v>
      </c>
      <c r="D1780" s="2" t="s">
        <v>1543</v>
      </c>
      <c r="E1780" s="1">
        <v>62.0</v>
      </c>
      <c r="F1780" s="1">
        <v>3.0</v>
      </c>
      <c r="G1780" s="1">
        <v>8.04</v>
      </c>
      <c r="H1780" s="1">
        <v>0.0</v>
      </c>
      <c r="I1780" s="1">
        <v>0.0</v>
      </c>
      <c r="J1780" s="1">
        <v>0.0</v>
      </c>
      <c r="K1780" s="1">
        <v>0.03</v>
      </c>
      <c r="L1780" s="1">
        <v>8870000.0</v>
      </c>
      <c r="M1780" s="1" t="s">
        <v>6510</v>
      </c>
      <c r="N1780" s="18">
        <v>46029.0</v>
      </c>
      <c r="O1780" s="1" t="s">
        <v>3237</v>
      </c>
      <c r="P1780" s="1" t="s">
        <v>3230</v>
      </c>
      <c r="Q1780" s="1" t="s">
        <v>3408</v>
      </c>
    </row>
    <row r="1781">
      <c r="A1781" s="1" t="s">
        <v>6511</v>
      </c>
      <c r="B1781" s="1">
        <v>62.0</v>
      </c>
      <c r="C1781" s="1">
        <v>390.0</v>
      </c>
      <c r="D1781" s="2" t="s">
        <v>758</v>
      </c>
      <c r="E1781" s="1">
        <v>62.0</v>
      </c>
      <c r="F1781" s="1">
        <v>12.0</v>
      </c>
      <c r="G1781" s="1">
        <v>0.0</v>
      </c>
      <c r="H1781" s="1">
        <v>0.0</v>
      </c>
      <c r="I1781" s="1">
        <v>0.0</v>
      </c>
      <c r="J1781" s="1">
        <v>0.0</v>
      </c>
      <c r="K1781" s="1">
        <v>0.01</v>
      </c>
      <c r="L1781" s="1">
        <v>2470000.0</v>
      </c>
      <c r="M1781" s="1" t="s">
        <v>6512</v>
      </c>
      <c r="N1781" s="18">
        <v>46028.0</v>
      </c>
      <c r="O1781" s="1" t="s">
        <v>6513</v>
      </c>
      <c r="P1781" s="1" t="s">
        <v>3230</v>
      </c>
      <c r="Q1781" s="1" t="s">
        <v>3408</v>
      </c>
    </row>
    <row r="1782">
      <c r="A1782" s="1" t="s">
        <v>5494</v>
      </c>
      <c r="B1782" s="1">
        <v>62.0</v>
      </c>
      <c r="C1782" s="1">
        <v>110.0</v>
      </c>
      <c r="D1782" s="2" t="s">
        <v>439</v>
      </c>
      <c r="E1782" s="1">
        <v>62.0</v>
      </c>
      <c r="F1782" s="1">
        <v>11.0</v>
      </c>
      <c r="G1782" s="1">
        <v>4.13</v>
      </c>
      <c r="H1782" s="1">
        <v>0.0</v>
      </c>
      <c r="I1782" s="1">
        <v>0.0</v>
      </c>
      <c r="J1782" s="1">
        <v>0.0</v>
      </c>
      <c r="K1782" s="1">
        <v>0.17</v>
      </c>
      <c r="L1782" s="1">
        <v>17800.0</v>
      </c>
      <c r="M1782" s="1" t="s">
        <v>5495</v>
      </c>
      <c r="N1782" s="18">
        <v>46024.0</v>
      </c>
      <c r="O1782" s="1" t="s">
        <v>4496</v>
      </c>
      <c r="P1782" s="1" t="s">
        <v>3230</v>
      </c>
      <c r="Q1782" s="1" t="s">
        <v>3408</v>
      </c>
    </row>
    <row r="1783">
      <c r="A1783" s="1" t="s">
        <v>6514</v>
      </c>
      <c r="B1783" s="1">
        <v>62.0</v>
      </c>
      <c r="C1783" s="1">
        <v>90.0</v>
      </c>
      <c r="D1783" s="2" t="s">
        <v>2944</v>
      </c>
      <c r="E1783" s="1">
        <v>62.0</v>
      </c>
      <c r="F1783" s="1">
        <v>22.0</v>
      </c>
      <c r="G1783" s="1">
        <v>9.53</v>
      </c>
      <c r="H1783" s="1">
        <v>0.0</v>
      </c>
      <c r="I1783" s="1">
        <v>0.0</v>
      </c>
      <c r="J1783" s="1">
        <v>0.0</v>
      </c>
      <c r="K1783" s="1">
        <v>0.7</v>
      </c>
      <c r="L1783" s="1">
        <v>220000.0</v>
      </c>
      <c r="M1783" s="1" t="s">
        <v>6515</v>
      </c>
      <c r="N1783" s="18">
        <v>46023.0</v>
      </c>
      <c r="O1783" s="1" t="s">
        <v>3288</v>
      </c>
      <c r="P1783" s="1" t="s">
        <v>3257</v>
      </c>
      <c r="Q1783" s="1" t="s">
        <v>3408</v>
      </c>
    </row>
    <row r="1784">
      <c r="A1784" s="1" t="s">
        <v>6516</v>
      </c>
      <c r="B1784" s="1">
        <v>62.0</v>
      </c>
      <c r="C1784" s="1">
        <v>40.0</v>
      </c>
      <c r="D1784" s="2" t="s">
        <v>439</v>
      </c>
      <c r="E1784" s="1">
        <v>62.0</v>
      </c>
      <c r="F1784" s="1">
        <v>24.0</v>
      </c>
      <c r="G1784" s="1">
        <v>4.07</v>
      </c>
      <c r="H1784" s="1">
        <v>0.0</v>
      </c>
      <c r="I1784" s="1">
        <v>0.0</v>
      </c>
      <c r="J1784" s="1">
        <v>0.0</v>
      </c>
      <c r="K1784" s="1">
        <v>0.11</v>
      </c>
      <c r="L1784" s="1">
        <v>7770000.0</v>
      </c>
      <c r="M1784" s="1" t="s">
        <v>6517</v>
      </c>
      <c r="N1784" s="18">
        <v>46023.0</v>
      </c>
      <c r="O1784" s="1" t="s">
        <v>3404</v>
      </c>
      <c r="P1784" s="1" t="s">
        <v>3462</v>
      </c>
      <c r="Q1784" s="1" t="s">
        <v>3408</v>
      </c>
    </row>
    <row r="1785">
      <c r="A1785" s="1" t="s">
        <v>6518</v>
      </c>
      <c r="B1785" s="1">
        <v>62.0</v>
      </c>
      <c r="C1785" s="1">
        <v>40.0</v>
      </c>
      <c r="D1785" s="2" t="s">
        <v>2302</v>
      </c>
      <c r="E1785" s="1">
        <v>62.0</v>
      </c>
      <c r="F1785" s="1">
        <v>4.0</v>
      </c>
      <c r="G1785" s="1">
        <v>0.0</v>
      </c>
      <c r="H1785" s="1">
        <v>0.0</v>
      </c>
      <c r="I1785" s="1">
        <v>0.0</v>
      </c>
      <c r="J1785" s="1">
        <v>0.0</v>
      </c>
      <c r="K1785" s="1">
        <v>0.01</v>
      </c>
      <c r="L1785" s="1">
        <v>3.68E7</v>
      </c>
      <c r="M1785" s="1" t="s">
        <v>6519</v>
      </c>
      <c r="N1785" s="18">
        <v>46023.0</v>
      </c>
      <c r="O1785" s="1" t="s">
        <v>3317</v>
      </c>
      <c r="P1785" s="1" t="s">
        <v>3301</v>
      </c>
      <c r="Q1785" s="1" t="s">
        <v>3408</v>
      </c>
    </row>
    <row r="1786">
      <c r="A1786" s="1" t="s">
        <v>6520</v>
      </c>
      <c r="B1786" s="1">
        <v>62.0</v>
      </c>
      <c r="C1786" s="1">
        <v>90.0</v>
      </c>
      <c r="D1786" s="2" t="s">
        <v>2949</v>
      </c>
      <c r="E1786" s="1">
        <v>62.0</v>
      </c>
      <c r="F1786" s="1">
        <v>37.0</v>
      </c>
      <c r="G1786" s="1">
        <v>13.48</v>
      </c>
      <c r="H1786" s="1">
        <v>0.0</v>
      </c>
      <c r="I1786" s="1">
        <v>0.0</v>
      </c>
      <c r="J1786" s="1">
        <v>0.0</v>
      </c>
      <c r="K1786" s="1">
        <v>0.89</v>
      </c>
      <c r="L1786" s="1">
        <v>2720000.0</v>
      </c>
      <c r="M1786" s="1" t="s">
        <v>6521</v>
      </c>
      <c r="N1786" s="18">
        <v>46022.0</v>
      </c>
      <c r="O1786" s="1" t="s">
        <v>3288</v>
      </c>
      <c r="P1786" s="1" t="s">
        <v>3257</v>
      </c>
      <c r="Q1786" s="1" t="s">
        <v>3408</v>
      </c>
    </row>
    <row r="1787">
      <c r="A1787" s="1" t="s">
        <v>6522</v>
      </c>
      <c r="B1787" s="1">
        <v>62.0</v>
      </c>
      <c r="C1787" s="1">
        <v>320.0</v>
      </c>
      <c r="D1787" s="2" t="s">
        <v>1868</v>
      </c>
      <c r="E1787" s="1">
        <v>62.0</v>
      </c>
      <c r="F1787" s="1">
        <v>59.0</v>
      </c>
      <c r="G1787" s="1">
        <v>0.0</v>
      </c>
      <c r="H1787" s="1">
        <v>0.0</v>
      </c>
      <c r="I1787" s="1">
        <v>0.0</v>
      </c>
      <c r="J1787" s="1">
        <v>0.0</v>
      </c>
      <c r="K1787" s="1">
        <v>0.0</v>
      </c>
      <c r="L1787" s="1">
        <v>4.15E8</v>
      </c>
      <c r="M1787" s="1" t="s">
        <v>6523</v>
      </c>
      <c r="N1787" s="18">
        <v>46018.0</v>
      </c>
      <c r="O1787" s="1" t="s">
        <v>5571</v>
      </c>
      <c r="P1787" s="1" t="s">
        <v>3230</v>
      </c>
      <c r="Q1787" s="1" t="s">
        <v>3408</v>
      </c>
    </row>
    <row r="1788">
      <c r="A1788" s="1" t="s">
        <v>6524</v>
      </c>
      <c r="B1788" s="1">
        <v>62.0</v>
      </c>
      <c r="C1788" s="1">
        <v>70.0</v>
      </c>
      <c r="D1788" s="2" t="s">
        <v>899</v>
      </c>
      <c r="E1788" s="1">
        <v>62.0</v>
      </c>
      <c r="F1788" s="1">
        <v>12.0</v>
      </c>
      <c r="G1788" s="1">
        <v>9.78</v>
      </c>
      <c r="H1788" s="1">
        <v>0.0</v>
      </c>
      <c r="I1788" s="1">
        <v>0.0</v>
      </c>
      <c r="J1788" s="1">
        <v>0.0</v>
      </c>
      <c r="K1788" s="1">
        <v>0.77</v>
      </c>
      <c r="L1788" s="1">
        <v>6290000.0</v>
      </c>
      <c r="M1788" s="1" t="s">
        <v>6525</v>
      </c>
      <c r="N1788" s="18">
        <v>46016.0</v>
      </c>
      <c r="O1788" s="1" t="s">
        <v>5744</v>
      </c>
      <c r="P1788" s="1" t="s">
        <v>3257</v>
      </c>
      <c r="Q1788" s="1" t="s">
        <v>3408</v>
      </c>
    </row>
    <row r="1789">
      <c r="A1789" s="1" t="s">
        <v>6526</v>
      </c>
      <c r="B1789" s="1">
        <v>62.0</v>
      </c>
      <c r="C1789" s="1">
        <v>320.0</v>
      </c>
      <c r="D1789" s="2" t="s">
        <v>439</v>
      </c>
      <c r="E1789" s="1">
        <v>62.0</v>
      </c>
      <c r="F1789" s="1">
        <v>23.0</v>
      </c>
      <c r="G1789" s="1">
        <v>11.9</v>
      </c>
      <c r="H1789" s="1">
        <v>0.0</v>
      </c>
      <c r="I1789" s="1">
        <v>0.0</v>
      </c>
      <c r="J1789" s="1">
        <v>0.0</v>
      </c>
      <c r="K1789" s="1">
        <v>0.07</v>
      </c>
      <c r="L1789" s="1">
        <v>7.52E7</v>
      </c>
      <c r="M1789" s="1" t="s">
        <v>6527</v>
      </c>
      <c r="N1789" s="18">
        <v>46016.0</v>
      </c>
      <c r="O1789" s="1" t="s">
        <v>3404</v>
      </c>
      <c r="P1789" s="1" t="s">
        <v>3462</v>
      </c>
      <c r="Q1789" s="1" t="s">
        <v>3408</v>
      </c>
    </row>
    <row r="1790">
      <c r="A1790" s="1" t="s">
        <v>4132</v>
      </c>
      <c r="B1790" s="1">
        <v>62.0</v>
      </c>
      <c r="C1790" s="1">
        <v>70.0</v>
      </c>
      <c r="D1790" s="2" t="s">
        <v>768</v>
      </c>
      <c r="E1790" s="1">
        <v>62.0</v>
      </c>
      <c r="F1790" s="1">
        <v>2.0</v>
      </c>
      <c r="G1790" s="1">
        <v>0.0</v>
      </c>
      <c r="H1790" s="1">
        <v>0.0</v>
      </c>
      <c r="I1790" s="1">
        <v>0.0</v>
      </c>
      <c r="J1790" s="1">
        <v>0.0</v>
      </c>
      <c r="K1790" s="1">
        <v>0.33</v>
      </c>
      <c r="L1790" s="1">
        <v>250000.0</v>
      </c>
      <c r="M1790" s="1" t="s">
        <v>4133</v>
      </c>
      <c r="N1790" s="18">
        <v>46015.0</v>
      </c>
      <c r="O1790" s="1" t="s">
        <v>4134</v>
      </c>
      <c r="P1790" s="1" t="s">
        <v>3334</v>
      </c>
      <c r="Q1790" s="1" t="s">
        <v>3408</v>
      </c>
    </row>
    <row r="1791">
      <c r="A1791" s="1" t="s">
        <v>6528</v>
      </c>
      <c r="B1791" s="1">
        <v>62.0</v>
      </c>
      <c r="C1791" s="1">
        <v>50.0</v>
      </c>
      <c r="D1791" s="2" t="s">
        <v>584</v>
      </c>
      <c r="E1791" s="1">
        <v>62.0</v>
      </c>
      <c r="F1791" s="1">
        <v>38.0</v>
      </c>
      <c r="G1791" s="1">
        <v>0.0</v>
      </c>
      <c r="H1791" s="1">
        <v>0.0</v>
      </c>
      <c r="I1791" s="1">
        <v>0.0</v>
      </c>
      <c r="J1791" s="1">
        <v>0.0</v>
      </c>
      <c r="K1791" s="1">
        <v>0.02</v>
      </c>
      <c r="L1791" s="1">
        <v>5030000.0</v>
      </c>
      <c r="M1791" s="1" t="s">
        <v>6529</v>
      </c>
      <c r="N1791" s="18">
        <v>46015.0</v>
      </c>
      <c r="O1791" s="1" t="s">
        <v>3458</v>
      </c>
      <c r="P1791" s="1" t="s">
        <v>3257</v>
      </c>
      <c r="Q1791" s="1" t="s">
        <v>3408</v>
      </c>
    </row>
    <row r="1792">
      <c r="A1792" s="1" t="s">
        <v>6530</v>
      </c>
      <c r="B1792" s="1">
        <v>62.0</v>
      </c>
      <c r="C1792" s="1">
        <v>30.0</v>
      </c>
      <c r="D1792" s="2" t="s">
        <v>439</v>
      </c>
      <c r="E1792" s="1">
        <v>62.0</v>
      </c>
      <c r="F1792" s="1">
        <v>10.0</v>
      </c>
      <c r="G1792" s="1">
        <v>4.83</v>
      </c>
      <c r="H1792" s="1">
        <v>0.0</v>
      </c>
      <c r="I1792" s="1">
        <v>0.0</v>
      </c>
      <c r="J1792" s="1">
        <v>0.0</v>
      </c>
      <c r="K1792" s="1">
        <v>0.36</v>
      </c>
      <c r="L1792" s="1">
        <v>246000.0</v>
      </c>
      <c r="M1792" s="1" t="s">
        <v>6531</v>
      </c>
      <c r="N1792" s="18">
        <v>46014.0</v>
      </c>
      <c r="O1792" s="1" t="s">
        <v>3821</v>
      </c>
      <c r="P1792" s="1" t="s">
        <v>3230</v>
      </c>
      <c r="Q1792" s="1" t="s">
        <v>3408</v>
      </c>
    </row>
    <row r="1793">
      <c r="A1793" s="1" t="s">
        <v>6532</v>
      </c>
      <c r="B1793" s="1">
        <v>62.0</v>
      </c>
      <c r="C1793" s="1">
        <v>110.0</v>
      </c>
      <c r="D1793" s="2" t="s">
        <v>439</v>
      </c>
      <c r="E1793" s="1">
        <v>62.0</v>
      </c>
      <c r="F1793" s="1">
        <v>21.0</v>
      </c>
      <c r="G1793" s="1">
        <v>10.8</v>
      </c>
      <c r="H1793" s="1">
        <v>0.0</v>
      </c>
      <c r="I1793" s="1">
        <v>0.0</v>
      </c>
      <c r="J1793" s="1">
        <v>0.0</v>
      </c>
      <c r="K1793" s="1">
        <v>0.12</v>
      </c>
      <c r="L1793" s="1">
        <v>12300.0</v>
      </c>
      <c r="M1793" s="1" t="s">
        <v>6533</v>
      </c>
      <c r="N1793" s="18">
        <v>46014.0</v>
      </c>
      <c r="O1793" s="1" t="s">
        <v>3821</v>
      </c>
      <c r="P1793" s="1" t="s">
        <v>3294</v>
      </c>
      <c r="Q1793" s="1" t="s">
        <v>3408</v>
      </c>
    </row>
    <row r="1794">
      <c r="A1794" s="1" t="s">
        <v>6534</v>
      </c>
      <c r="B1794" s="1">
        <v>62.0</v>
      </c>
      <c r="C1794" s="1">
        <v>90.0</v>
      </c>
      <c r="D1794" s="2" t="s">
        <v>2931</v>
      </c>
      <c r="E1794" s="1">
        <v>62.0</v>
      </c>
      <c r="F1794" s="1">
        <v>1.0</v>
      </c>
      <c r="G1794" s="1">
        <v>0.0</v>
      </c>
      <c r="H1794" s="1">
        <v>0.0</v>
      </c>
      <c r="I1794" s="1">
        <v>0.0</v>
      </c>
      <c r="J1794" s="1">
        <v>0.0</v>
      </c>
      <c r="K1794" s="1">
        <v>0.0</v>
      </c>
      <c r="L1794" s="1">
        <v>364000.0</v>
      </c>
      <c r="M1794" s="1" t="s">
        <v>6535</v>
      </c>
      <c r="N1794" s="18">
        <v>46013.0</v>
      </c>
      <c r="O1794" s="1" t="s">
        <v>3992</v>
      </c>
      <c r="P1794" s="1" t="s">
        <v>3257</v>
      </c>
      <c r="Q1794" s="1" t="s">
        <v>3408</v>
      </c>
    </row>
    <row r="1795">
      <c r="A1795" s="1" t="s">
        <v>6536</v>
      </c>
      <c r="B1795" s="1">
        <v>62.0</v>
      </c>
      <c r="C1795" s="1">
        <v>90.0</v>
      </c>
      <c r="D1795" s="2" t="s">
        <v>1475</v>
      </c>
      <c r="E1795" s="1">
        <v>62.0</v>
      </c>
      <c r="F1795" s="1">
        <v>9.0</v>
      </c>
      <c r="G1795" s="1">
        <v>0.0</v>
      </c>
      <c r="H1795" s="1">
        <v>0.0</v>
      </c>
      <c r="I1795" s="1">
        <v>0.0</v>
      </c>
      <c r="J1795" s="1">
        <v>0.0</v>
      </c>
      <c r="K1795" s="1">
        <v>0.01</v>
      </c>
      <c r="L1795" s="1">
        <v>1.76E7</v>
      </c>
      <c r="M1795" s="1" t="s">
        <v>6537</v>
      </c>
      <c r="N1795" s="18">
        <v>46011.0</v>
      </c>
      <c r="O1795" s="1" t="s">
        <v>4845</v>
      </c>
      <c r="P1795" s="1" t="s">
        <v>3230</v>
      </c>
      <c r="Q1795" s="1" t="s">
        <v>3408</v>
      </c>
    </row>
    <row r="1796">
      <c r="A1796" s="1" t="s">
        <v>6538</v>
      </c>
      <c r="B1796" s="1">
        <v>62.0</v>
      </c>
      <c r="C1796" s="1">
        <v>50.0</v>
      </c>
      <c r="D1796" s="2" t="s">
        <v>581</v>
      </c>
      <c r="E1796" s="1">
        <v>62.0</v>
      </c>
      <c r="F1796" s="1">
        <v>4.0</v>
      </c>
      <c r="G1796" s="1">
        <v>2.49</v>
      </c>
      <c r="H1796" s="1">
        <v>0.0</v>
      </c>
      <c r="I1796" s="1">
        <v>0.0</v>
      </c>
      <c r="J1796" s="1">
        <v>0.0</v>
      </c>
      <c r="K1796" s="1">
        <v>0.08</v>
      </c>
      <c r="L1796" s="1">
        <v>1.16E7</v>
      </c>
      <c r="M1796" s="1" t="s">
        <v>6539</v>
      </c>
      <c r="N1796" s="18">
        <v>46010.0</v>
      </c>
      <c r="O1796" s="1" t="s">
        <v>4663</v>
      </c>
      <c r="P1796" s="1" t="s">
        <v>4549</v>
      </c>
      <c r="Q1796" s="1" t="s">
        <v>3408</v>
      </c>
    </row>
    <row r="1797">
      <c r="A1797" s="1" t="s">
        <v>6540</v>
      </c>
      <c r="B1797" s="1">
        <v>62.0</v>
      </c>
      <c r="C1797" s="1">
        <v>70.0</v>
      </c>
      <c r="D1797" s="2" t="s">
        <v>638</v>
      </c>
      <c r="E1797" s="1">
        <v>62.0</v>
      </c>
      <c r="F1797" s="1">
        <v>13.0</v>
      </c>
      <c r="G1797" s="1">
        <v>0.0</v>
      </c>
      <c r="H1797" s="1">
        <v>0.0</v>
      </c>
      <c r="I1797" s="1">
        <v>0.0</v>
      </c>
      <c r="J1797" s="1">
        <v>0.0</v>
      </c>
      <c r="K1797" s="1">
        <v>0.01</v>
      </c>
      <c r="L1797" s="1">
        <v>9590000.0</v>
      </c>
      <c r="M1797" s="1" t="s">
        <v>6541</v>
      </c>
      <c r="N1797" s="18">
        <v>46010.0</v>
      </c>
      <c r="O1797" s="1" t="s">
        <v>3479</v>
      </c>
      <c r="P1797" s="1" t="s">
        <v>3230</v>
      </c>
      <c r="Q1797" s="1" t="s">
        <v>3408</v>
      </c>
    </row>
    <row r="1798">
      <c r="A1798" s="1" t="s">
        <v>6542</v>
      </c>
      <c r="B1798" s="1">
        <v>62.0</v>
      </c>
      <c r="C1798" s="1">
        <v>30.0</v>
      </c>
      <c r="D1798" s="2" t="s">
        <v>839</v>
      </c>
      <c r="E1798" s="1">
        <v>62.0</v>
      </c>
      <c r="F1798" s="1">
        <v>26.0</v>
      </c>
      <c r="G1798" s="1">
        <v>4.25</v>
      </c>
      <c r="H1798" s="1">
        <v>0.0</v>
      </c>
      <c r="I1798" s="1">
        <v>0.0</v>
      </c>
      <c r="J1798" s="1">
        <v>0.0</v>
      </c>
      <c r="K1798" s="1">
        <v>0.7</v>
      </c>
      <c r="L1798" s="1">
        <v>3180000.0</v>
      </c>
      <c r="M1798" s="1" t="s">
        <v>6543</v>
      </c>
      <c r="N1798" s="18">
        <v>46008.0</v>
      </c>
      <c r="O1798" s="1" t="s">
        <v>4393</v>
      </c>
      <c r="P1798" s="1" t="s">
        <v>3230</v>
      </c>
      <c r="Q1798" s="1" t="s">
        <v>3408</v>
      </c>
    </row>
    <row r="1799">
      <c r="A1799" s="1" t="s">
        <v>6544</v>
      </c>
      <c r="B1799" s="1">
        <v>62.0</v>
      </c>
      <c r="C1799" s="1">
        <v>70.0</v>
      </c>
      <c r="D1799" s="2" t="s">
        <v>638</v>
      </c>
      <c r="E1799" s="1">
        <v>62.0</v>
      </c>
      <c r="F1799" s="1">
        <v>11.0</v>
      </c>
      <c r="G1799" s="1">
        <v>1.23</v>
      </c>
      <c r="H1799" s="1">
        <v>0.0</v>
      </c>
      <c r="I1799" s="1">
        <v>0.0</v>
      </c>
      <c r="J1799" s="1">
        <v>0.0</v>
      </c>
      <c r="K1799" s="1">
        <v>0.21</v>
      </c>
      <c r="L1799" s="1">
        <v>3160000.0</v>
      </c>
      <c r="M1799" s="1" t="s">
        <v>6545</v>
      </c>
      <c r="N1799" s="18">
        <v>46002.0</v>
      </c>
      <c r="O1799" s="1" t="s">
        <v>3264</v>
      </c>
      <c r="P1799" s="1" t="s">
        <v>3230</v>
      </c>
      <c r="Q1799" s="1" t="s">
        <v>3408</v>
      </c>
    </row>
    <row r="1800">
      <c r="A1800" s="1" t="s">
        <v>6546</v>
      </c>
      <c r="B1800" s="1">
        <v>62.0</v>
      </c>
      <c r="C1800" s="1">
        <v>50.0</v>
      </c>
      <c r="D1800" s="2" t="s">
        <v>1396</v>
      </c>
      <c r="E1800" s="1">
        <v>62.0</v>
      </c>
      <c r="F1800" s="1">
        <v>26.0</v>
      </c>
      <c r="G1800" s="1">
        <v>0.0</v>
      </c>
      <c r="H1800" s="1">
        <v>0.0</v>
      </c>
      <c r="I1800" s="1">
        <v>0.0</v>
      </c>
      <c r="J1800" s="1">
        <v>0.0</v>
      </c>
      <c r="K1800" s="1">
        <v>0.0</v>
      </c>
      <c r="L1800" s="1">
        <v>25300.0</v>
      </c>
      <c r="M1800" s="1" t="s">
        <v>6547</v>
      </c>
      <c r="N1800" s="18">
        <v>45999.0</v>
      </c>
      <c r="O1800" s="1" t="s">
        <v>3821</v>
      </c>
      <c r="P1800" s="1" t="s">
        <v>3294</v>
      </c>
      <c r="Q1800" s="1" t="s">
        <v>3408</v>
      </c>
    </row>
    <row r="1801">
      <c r="A1801" s="1" t="s">
        <v>4435</v>
      </c>
      <c r="B1801" s="1">
        <v>62.0</v>
      </c>
      <c r="C1801" s="1">
        <v>140.0</v>
      </c>
      <c r="D1801" s="2" t="s">
        <v>1380</v>
      </c>
      <c r="E1801" s="1">
        <v>62.0</v>
      </c>
      <c r="F1801" s="1">
        <v>2.0</v>
      </c>
      <c r="G1801" s="1">
        <v>0.0</v>
      </c>
      <c r="H1801" s="1">
        <v>0.0</v>
      </c>
      <c r="I1801" s="1">
        <v>0.0</v>
      </c>
      <c r="J1801" s="1">
        <v>0.0</v>
      </c>
      <c r="K1801" s="1">
        <v>0.07</v>
      </c>
      <c r="L1801" s="1">
        <v>129000.0</v>
      </c>
      <c r="M1801" s="1" t="s">
        <v>4436</v>
      </c>
      <c r="N1801" s="18">
        <v>45997.0</v>
      </c>
      <c r="O1801" s="1" t="s">
        <v>4437</v>
      </c>
      <c r="P1801" s="1" t="s">
        <v>3257</v>
      </c>
      <c r="Q1801" s="1" t="s">
        <v>3408</v>
      </c>
    </row>
    <row r="1802">
      <c r="A1802" s="1" t="s">
        <v>6548</v>
      </c>
      <c r="B1802" s="1">
        <v>62.0</v>
      </c>
      <c r="C1802" s="1">
        <v>110.0</v>
      </c>
      <c r="D1802" s="2" t="s">
        <v>581</v>
      </c>
      <c r="E1802" s="1">
        <v>62.0</v>
      </c>
      <c r="F1802" s="1">
        <v>16.0</v>
      </c>
      <c r="G1802" s="1">
        <v>4.82</v>
      </c>
      <c r="H1802" s="1">
        <v>0.0</v>
      </c>
      <c r="I1802" s="1">
        <v>0.0</v>
      </c>
      <c r="J1802" s="1">
        <v>0.0</v>
      </c>
      <c r="K1802" s="1">
        <v>0.66</v>
      </c>
      <c r="L1802" s="1">
        <v>17600.0</v>
      </c>
      <c r="M1802" s="1" t="s">
        <v>6549</v>
      </c>
      <c r="N1802" s="18">
        <v>45997.0</v>
      </c>
      <c r="O1802" s="1" t="s">
        <v>3520</v>
      </c>
      <c r="P1802" s="1" t="s">
        <v>3257</v>
      </c>
      <c r="Q1802" s="1" t="s">
        <v>3408</v>
      </c>
    </row>
    <row r="1803">
      <c r="A1803" s="1" t="s">
        <v>5360</v>
      </c>
      <c r="B1803" s="1">
        <v>62.0</v>
      </c>
      <c r="C1803" s="1">
        <v>50.0</v>
      </c>
      <c r="D1803" s="2" t="s">
        <v>439</v>
      </c>
      <c r="E1803" s="1">
        <v>62.0</v>
      </c>
      <c r="F1803" s="1">
        <v>27.0</v>
      </c>
      <c r="G1803" s="1">
        <v>3.59</v>
      </c>
      <c r="H1803" s="1">
        <v>0.0</v>
      </c>
      <c r="I1803" s="1">
        <v>0.0</v>
      </c>
      <c r="J1803" s="1">
        <v>0.0</v>
      </c>
      <c r="K1803" s="1">
        <v>0.04</v>
      </c>
      <c r="L1803" s="1">
        <v>117000.0</v>
      </c>
      <c r="M1803" s="1" t="s">
        <v>5361</v>
      </c>
      <c r="N1803" s="18">
        <v>45996.0</v>
      </c>
      <c r="O1803" s="1" t="s">
        <v>3821</v>
      </c>
      <c r="P1803" s="1" t="s">
        <v>3294</v>
      </c>
      <c r="Q1803" s="1" t="s">
        <v>3408</v>
      </c>
    </row>
    <row r="1804">
      <c r="A1804" s="1" t="s">
        <v>6550</v>
      </c>
      <c r="B1804" s="1">
        <v>62.0</v>
      </c>
      <c r="C1804" s="1">
        <v>70.0</v>
      </c>
      <c r="D1804" s="2" t="s">
        <v>2249</v>
      </c>
      <c r="E1804" s="1">
        <v>62.0</v>
      </c>
      <c r="F1804" s="1">
        <v>15.0</v>
      </c>
      <c r="G1804" s="1">
        <v>0.0</v>
      </c>
      <c r="H1804" s="1">
        <v>0.0</v>
      </c>
      <c r="I1804" s="1">
        <v>0.0</v>
      </c>
      <c r="J1804" s="1">
        <v>0.0</v>
      </c>
      <c r="K1804" s="1">
        <v>0.0</v>
      </c>
      <c r="L1804" s="1">
        <v>2.41E8</v>
      </c>
      <c r="M1804" s="1" t="s">
        <v>6551</v>
      </c>
      <c r="N1804" s="18">
        <v>45996.0</v>
      </c>
      <c r="O1804" s="1" t="s">
        <v>5571</v>
      </c>
      <c r="P1804" s="1" t="s">
        <v>3230</v>
      </c>
      <c r="Q1804" s="1" t="s">
        <v>3408</v>
      </c>
    </row>
    <row r="1805">
      <c r="A1805" s="1" t="s">
        <v>6552</v>
      </c>
      <c r="B1805" s="1">
        <v>62.0</v>
      </c>
      <c r="C1805" s="1">
        <v>70.0</v>
      </c>
      <c r="D1805" s="2" t="s">
        <v>724</v>
      </c>
      <c r="E1805" s="1">
        <v>62.0</v>
      </c>
      <c r="F1805" s="1">
        <v>0.0</v>
      </c>
      <c r="G1805" s="1">
        <v>0.0</v>
      </c>
      <c r="H1805" s="1">
        <v>0.0</v>
      </c>
      <c r="I1805" s="1">
        <v>0.0</v>
      </c>
      <c r="J1805" s="1">
        <v>0.0</v>
      </c>
      <c r="K1805" s="1">
        <v>0.0</v>
      </c>
      <c r="L1805" s="1">
        <v>1.05E7</v>
      </c>
      <c r="M1805" s="1" t="s">
        <v>6553</v>
      </c>
      <c r="N1805" s="18">
        <v>45996.0</v>
      </c>
      <c r="O1805" s="1" t="s">
        <v>3840</v>
      </c>
      <c r="P1805" s="1" t="s">
        <v>3230</v>
      </c>
      <c r="Q1805" s="1" t="s">
        <v>3408</v>
      </c>
    </row>
    <row r="1806">
      <c r="A1806" s="1" t="s">
        <v>6554</v>
      </c>
      <c r="B1806" s="1">
        <v>62.0</v>
      </c>
      <c r="C1806" s="1">
        <v>140.0</v>
      </c>
      <c r="D1806" s="2" t="s">
        <v>2936</v>
      </c>
      <c r="E1806" s="1">
        <v>62.0</v>
      </c>
      <c r="F1806" s="1">
        <v>23.0</v>
      </c>
      <c r="G1806" s="1">
        <v>4.45</v>
      </c>
      <c r="H1806" s="1">
        <v>0.0</v>
      </c>
      <c r="I1806" s="1">
        <v>0.0</v>
      </c>
      <c r="J1806" s="1">
        <v>0.0</v>
      </c>
      <c r="K1806" s="1">
        <v>0.05</v>
      </c>
      <c r="L1806" s="1">
        <v>38500.0</v>
      </c>
      <c r="M1806" s="1" t="s">
        <v>6555</v>
      </c>
      <c r="N1806" s="18">
        <v>45994.0</v>
      </c>
      <c r="O1806" s="1" t="s">
        <v>5052</v>
      </c>
      <c r="P1806" s="1" t="s">
        <v>3230</v>
      </c>
      <c r="Q1806" s="1" t="s">
        <v>3408</v>
      </c>
    </row>
    <row r="1807">
      <c r="A1807" s="1" t="s">
        <v>6556</v>
      </c>
      <c r="B1807" s="1">
        <v>62.0</v>
      </c>
      <c r="C1807" s="1">
        <v>50.0</v>
      </c>
      <c r="D1807" s="2" t="s">
        <v>581</v>
      </c>
      <c r="E1807" s="1">
        <v>62.0</v>
      </c>
      <c r="F1807" s="1">
        <v>28.0</v>
      </c>
      <c r="G1807" s="1">
        <v>17.38</v>
      </c>
      <c r="H1807" s="1">
        <v>0.0</v>
      </c>
      <c r="I1807" s="1">
        <v>0.0</v>
      </c>
      <c r="J1807" s="1">
        <v>0.0</v>
      </c>
      <c r="K1807" s="1">
        <v>0.78</v>
      </c>
      <c r="L1807" s="1">
        <v>978000.0</v>
      </c>
      <c r="M1807" s="1" t="s">
        <v>6557</v>
      </c>
      <c r="N1807" s="18">
        <v>45992.0</v>
      </c>
      <c r="O1807" s="1" t="s">
        <v>3415</v>
      </c>
      <c r="P1807" s="1" t="s">
        <v>3257</v>
      </c>
      <c r="Q1807" s="1" t="s">
        <v>3408</v>
      </c>
    </row>
    <row r="1808">
      <c r="A1808" s="1" t="s">
        <v>4307</v>
      </c>
      <c r="B1808" s="1">
        <v>62.0</v>
      </c>
      <c r="C1808" s="1">
        <v>90.0</v>
      </c>
      <c r="D1808" s="2" t="s">
        <v>1215</v>
      </c>
      <c r="E1808" s="1">
        <v>62.0</v>
      </c>
      <c r="F1808" s="1">
        <v>8.0</v>
      </c>
      <c r="G1808" s="1">
        <v>0.0</v>
      </c>
      <c r="H1808" s="1">
        <v>0.0</v>
      </c>
      <c r="I1808" s="1">
        <v>0.0</v>
      </c>
      <c r="J1808" s="1">
        <v>0.0</v>
      </c>
      <c r="K1808" s="1">
        <v>0.02</v>
      </c>
      <c r="L1808" s="1">
        <v>7090000.0</v>
      </c>
      <c r="M1808" s="1" t="s">
        <v>4308</v>
      </c>
      <c r="N1808" s="18">
        <v>45991.0</v>
      </c>
      <c r="O1808" s="1" t="s">
        <v>3854</v>
      </c>
      <c r="P1808" s="1" t="s">
        <v>3257</v>
      </c>
      <c r="Q1808" s="1" t="s">
        <v>3408</v>
      </c>
    </row>
    <row r="1809">
      <c r="A1809" s="1" t="s">
        <v>6558</v>
      </c>
      <c r="B1809" s="1">
        <v>62.0</v>
      </c>
      <c r="C1809" s="1">
        <v>40.0</v>
      </c>
      <c r="D1809" s="2" t="s">
        <v>911</v>
      </c>
      <c r="E1809" s="1">
        <v>62.0</v>
      </c>
      <c r="F1809" s="1">
        <v>3.0</v>
      </c>
      <c r="G1809" s="1">
        <v>7.45</v>
      </c>
      <c r="H1809" s="1">
        <v>0.0</v>
      </c>
      <c r="I1809" s="1">
        <v>0.0</v>
      </c>
      <c r="J1809" s="1">
        <v>0.0</v>
      </c>
      <c r="K1809" s="1">
        <v>0.08</v>
      </c>
      <c r="L1809" s="1">
        <v>1.01E7</v>
      </c>
      <c r="M1809" s="1" t="s">
        <v>6559</v>
      </c>
      <c r="N1809" s="18">
        <v>45991.0</v>
      </c>
      <c r="O1809" s="1" t="s">
        <v>3264</v>
      </c>
      <c r="P1809" s="1" t="s">
        <v>3230</v>
      </c>
      <c r="Q1809" s="1" t="s">
        <v>3408</v>
      </c>
    </row>
    <row r="1810">
      <c r="A1810" s="1" t="s">
        <v>6560</v>
      </c>
      <c r="B1810" s="1">
        <v>62.0</v>
      </c>
      <c r="C1810" s="1">
        <v>110.0</v>
      </c>
      <c r="D1810" s="2" t="s">
        <v>439</v>
      </c>
      <c r="E1810" s="1">
        <v>62.0</v>
      </c>
      <c r="F1810" s="1">
        <v>18.0</v>
      </c>
      <c r="G1810" s="1">
        <v>4.28</v>
      </c>
      <c r="H1810" s="1">
        <v>0.0</v>
      </c>
      <c r="I1810" s="1">
        <v>0.0</v>
      </c>
      <c r="J1810" s="1">
        <v>0.0</v>
      </c>
      <c r="K1810" s="1">
        <v>0.1</v>
      </c>
      <c r="L1810" s="1">
        <v>127000.0</v>
      </c>
      <c r="M1810" s="1" t="s">
        <v>6561</v>
      </c>
      <c r="N1810" s="18">
        <v>45990.0</v>
      </c>
      <c r="O1810" s="1" t="s">
        <v>3821</v>
      </c>
      <c r="P1810" s="1" t="s">
        <v>3294</v>
      </c>
      <c r="Q1810" s="1" t="s">
        <v>3408</v>
      </c>
    </row>
    <row r="1811">
      <c r="A1811" s="1" t="s">
        <v>6562</v>
      </c>
      <c r="B1811" s="1">
        <v>62.0</v>
      </c>
      <c r="C1811" s="1">
        <v>480.0</v>
      </c>
      <c r="D1811" s="2" t="s">
        <v>911</v>
      </c>
      <c r="E1811" s="1">
        <v>62.0</v>
      </c>
      <c r="F1811" s="1">
        <v>7.0</v>
      </c>
      <c r="G1811" s="1">
        <v>1.83</v>
      </c>
      <c r="H1811" s="1">
        <v>0.0</v>
      </c>
      <c r="I1811" s="1">
        <v>0.0</v>
      </c>
      <c r="J1811" s="1">
        <v>0.0</v>
      </c>
      <c r="K1811" s="1">
        <v>0.47</v>
      </c>
      <c r="L1811" s="1">
        <v>1.62E7</v>
      </c>
      <c r="M1811" s="1" t="s">
        <v>6563</v>
      </c>
      <c r="N1811" s="18">
        <v>45987.0</v>
      </c>
      <c r="O1811" s="1" t="s">
        <v>3571</v>
      </c>
      <c r="P1811" s="1" t="s">
        <v>3230</v>
      </c>
      <c r="Q1811" s="1" t="s">
        <v>3408</v>
      </c>
    </row>
    <row r="1812">
      <c r="A1812" s="1" t="s">
        <v>6370</v>
      </c>
      <c r="B1812" s="1">
        <v>62.0</v>
      </c>
      <c r="C1812" s="1">
        <v>70.0</v>
      </c>
      <c r="D1812" s="2" t="s">
        <v>1771</v>
      </c>
      <c r="E1812" s="1">
        <v>62.0</v>
      </c>
      <c r="F1812" s="1">
        <v>0.0</v>
      </c>
      <c r="G1812" s="1">
        <v>0.0</v>
      </c>
      <c r="H1812" s="1">
        <v>0.0</v>
      </c>
      <c r="I1812" s="1">
        <v>0.0</v>
      </c>
      <c r="J1812" s="1">
        <v>0.0</v>
      </c>
      <c r="K1812" s="1">
        <v>0.0</v>
      </c>
      <c r="L1812" s="1">
        <v>10.0</v>
      </c>
      <c r="M1812" s="1" t="s">
        <v>6371</v>
      </c>
      <c r="N1812" s="18">
        <v>45986.0</v>
      </c>
      <c r="O1812" s="1" t="s">
        <v>4569</v>
      </c>
      <c r="P1812" s="1" t="s">
        <v>3230</v>
      </c>
      <c r="Q1812" s="1" t="s">
        <v>3408</v>
      </c>
    </row>
    <row r="1813">
      <c r="A1813" s="1" t="s">
        <v>6169</v>
      </c>
      <c r="B1813" s="1">
        <v>62.0</v>
      </c>
      <c r="C1813" s="1">
        <v>170.0</v>
      </c>
      <c r="D1813" s="2" t="s">
        <v>2944</v>
      </c>
      <c r="E1813" s="1">
        <v>62.0</v>
      </c>
      <c r="F1813" s="1">
        <v>8.0</v>
      </c>
      <c r="G1813" s="1">
        <v>10.11</v>
      </c>
      <c r="H1813" s="1">
        <v>0.0</v>
      </c>
      <c r="I1813" s="1">
        <v>0.0</v>
      </c>
      <c r="J1813" s="1">
        <v>0.0</v>
      </c>
      <c r="K1813" s="1">
        <v>0.58</v>
      </c>
      <c r="L1813" s="1">
        <v>10.0</v>
      </c>
      <c r="M1813" s="1" t="s">
        <v>6170</v>
      </c>
      <c r="N1813" s="18">
        <v>45984.0</v>
      </c>
      <c r="O1813" s="1" t="s">
        <v>6171</v>
      </c>
      <c r="P1813" s="1" t="s">
        <v>3257</v>
      </c>
      <c r="Q1813" s="1" t="s">
        <v>3408</v>
      </c>
    </row>
    <row r="1814">
      <c r="A1814" s="1" t="s">
        <v>6564</v>
      </c>
      <c r="B1814" s="1">
        <v>62.0</v>
      </c>
      <c r="C1814" s="1">
        <v>110.0</v>
      </c>
      <c r="D1814" s="2" t="s">
        <v>782</v>
      </c>
      <c r="E1814" s="1">
        <v>62.0</v>
      </c>
      <c r="F1814" s="1">
        <v>3.0</v>
      </c>
      <c r="G1814" s="1">
        <v>44.69</v>
      </c>
      <c r="H1814" s="1">
        <v>0.0</v>
      </c>
      <c r="I1814" s="1">
        <v>0.0</v>
      </c>
      <c r="J1814" s="1">
        <v>0.0</v>
      </c>
      <c r="K1814" s="1">
        <v>0.1</v>
      </c>
      <c r="L1814" s="1">
        <v>10.0</v>
      </c>
      <c r="M1814" s="1" t="s">
        <v>6565</v>
      </c>
      <c r="N1814" s="18">
        <v>45981.0</v>
      </c>
      <c r="O1814" s="1" t="s">
        <v>3427</v>
      </c>
      <c r="P1814" s="1" t="s">
        <v>3257</v>
      </c>
      <c r="Q1814" s="1" t="s">
        <v>3408</v>
      </c>
    </row>
    <row r="1815">
      <c r="A1815" s="1" t="s">
        <v>4046</v>
      </c>
      <c r="B1815" s="1">
        <v>62.0</v>
      </c>
      <c r="C1815" s="1">
        <v>110.0</v>
      </c>
      <c r="D1815" s="2" t="s">
        <v>647</v>
      </c>
      <c r="E1815" s="1">
        <v>62.0</v>
      </c>
      <c r="F1815" s="1">
        <v>3.0</v>
      </c>
      <c r="G1815" s="1">
        <v>12.04</v>
      </c>
      <c r="H1815" s="1">
        <v>0.0</v>
      </c>
      <c r="I1815" s="1">
        <v>0.0</v>
      </c>
      <c r="J1815" s="1">
        <v>0.0</v>
      </c>
      <c r="K1815" s="1">
        <v>0.42</v>
      </c>
      <c r="L1815" s="1">
        <v>9.0</v>
      </c>
      <c r="M1815" s="1" t="s">
        <v>4047</v>
      </c>
      <c r="N1815" s="18">
        <v>45978.0</v>
      </c>
      <c r="O1815" s="1" t="s">
        <v>3404</v>
      </c>
      <c r="P1815" s="1" t="s">
        <v>3257</v>
      </c>
      <c r="Q1815" s="1" t="s">
        <v>3408</v>
      </c>
    </row>
    <row r="1816">
      <c r="A1816" s="1" t="s">
        <v>6566</v>
      </c>
      <c r="B1816" s="1">
        <v>62.0</v>
      </c>
      <c r="C1816" s="1">
        <v>90.0</v>
      </c>
      <c r="D1816" s="2" t="s">
        <v>2934</v>
      </c>
      <c r="E1816" s="1">
        <v>62.0</v>
      </c>
      <c r="F1816" s="1">
        <v>68.0</v>
      </c>
      <c r="G1816" s="1">
        <v>5.67</v>
      </c>
      <c r="H1816" s="1">
        <v>0.0</v>
      </c>
      <c r="I1816" s="1">
        <v>0.0</v>
      </c>
      <c r="J1816" s="1">
        <v>0.0</v>
      </c>
      <c r="K1816" s="1">
        <v>0.23</v>
      </c>
      <c r="L1816" s="1">
        <v>3.03E8</v>
      </c>
      <c r="M1816" s="1" t="s">
        <v>6567</v>
      </c>
      <c r="N1816" s="18">
        <v>45959.0</v>
      </c>
      <c r="O1816" s="1" t="s">
        <v>4143</v>
      </c>
      <c r="P1816" s="1" t="s">
        <v>3230</v>
      </c>
      <c r="Q1816" s="1" t="s">
        <v>3408</v>
      </c>
    </row>
    <row r="1817">
      <c r="A1817" s="1" t="s">
        <v>6568</v>
      </c>
      <c r="B1817" s="1">
        <v>63.0</v>
      </c>
      <c r="C1817" s="1">
        <v>110.0</v>
      </c>
      <c r="D1817" s="2" t="s">
        <v>979</v>
      </c>
      <c r="E1817" s="1">
        <v>63.0</v>
      </c>
      <c r="F1817" s="1">
        <v>7.0</v>
      </c>
      <c r="G1817" s="1">
        <v>0.0</v>
      </c>
      <c r="H1817" s="1">
        <v>0.0</v>
      </c>
      <c r="I1817" s="1">
        <v>0.0</v>
      </c>
      <c r="J1817" s="1">
        <v>0.0</v>
      </c>
      <c r="K1817" s="1">
        <v>0.0</v>
      </c>
      <c r="L1817" s="1">
        <v>6.69E8</v>
      </c>
      <c r="M1817" s="1" t="s">
        <v>6569</v>
      </c>
      <c r="N1817" s="18">
        <v>46038.0</v>
      </c>
      <c r="O1817" s="1" t="s">
        <v>6570</v>
      </c>
      <c r="P1817" s="1" t="s">
        <v>3230</v>
      </c>
      <c r="Q1817" s="1" t="s">
        <v>3408</v>
      </c>
    </row>
    <row r="1818">
      <c r="A1818" s="1" t="s">
        <v>6571</v>
      </c>
      <c r="B1818" s="1">
        <v>63.0</v>
      </c>
      <c r="C1818" s="1">
        <v>320.0</v>
      </c>
      <c r="D1818" s="2" t="s">
        <v>2416</v>
      </c>
      <c r="E1818" s="1">
        <v>63.0</v>
      </c>
      <c r="G1818" s="1">
        <v>0.0</v>
      </c>
      <c r="H1818" s="1">
        <v>0.0</v>
      </c>
      <c r="I1818" s="1">
        <v>0.0</v>
      </c>
      <c r="J1818" s="1">
        <v>0.0</v>
      </c>
      <c r="K1818" s="1">
        <v>0.0</v>
      </c>
      <c r="L1818" s="1">
        <v>321000.0</v>
      </c>
      <c r="M1818" s="1" t="s">
        <v>6572</v>
      </c>
      <c r="N1818" s="18">
        <v>46037.0</v>
      </c>
      <c r="O1818" s="1" t="s">
        <v>6573</v>
      </c>
      <c r="P1818" s="1" t="s">
        <v>3334</v>
      </c>
      <c r="Q1818" s="1" t="s">
        <v>3408</v>
      </c>
    </row>
    <row r="1819">
      <c r="A1819" s="1" t="s">
        <v>6574</v>
      </c>
      <c r="B1819" s="1">
        <v>63.0</v>
      </c>
      <c r="C1819" s="1">
        <v>390.0</v>
      </c>
      <c r="D1819" s="2" t="s">
        <v>1868</v>
      </c>
      <c r="E1819" s="1">
        <v>63.0</v>
      </c>
      <c r="F1819" s="1">
        <v>47.0</v>
      </c>
      <c r="G1819" s="1">
        <v>0.0</v>
      </c>
      <c r="H1819" s="1">
        <v>0.0</v>
      </c>
      <c r="I1819" s="1">
        <v>0.0</v>
      </c>
      <c r="J1819" s="1">
        <v>0.0</v>
      </c>
      <c r="K1819" s="1">
        <v>0.0</v>
      </c>
      <c r="L1819" s="1">
        <v>4.13E8</v>
      </c>
      <c r="M1819" s="1" t="s">
        <v>6575</v>
      </c>
      <c r="N1819" s="18">
        <v>46024.0</v>
      </c>
      <c r="O1819" s="1" t="s">
        <v>5571</v>
      </c>
      <c r="P1819" s="1" t="s">
        <v>3230</v>
      </c>
      <c r="Q1819" s="1" t="s">
        <v>3408</v>
      </c>
    </row>
    <row r="1820">
      <c r="A1820" s="1" t="s">
        <v>6576</v>
      </c>
      <c r="B1820" s="1">
        <v>63.0</v>
      </c>
      <c r="C1820" s="1">
        <v>40.0</v>
      </c>
      <c r="D1820" s="2" t="s">
        <v>447</v>
      </c>
      <c r="E1820" s="1">
        <v>63.0</v>
      </c>
      <c r="F1820" s="1">
        <v>17.0</v>
      </c>
      <c r="G1820" s="1">
        <v>3.51</v>
      </c>
      <c r="H1820" s="1">
        <v>0.0</v>
      </c>
      <c r="I1820" s="1">
        <v>0.0</v>
      </c>
      <c r="J1820" s="1">
        <v>0.0</v>
      </c>
      <c r="K1820" s="1">
        <v>0.56</v>
      </c>
      <c r="L1820" s="1">
        <v>1250000.0</v>
      </c>
      <c r="M1820" s="1" t="s">
        <v>6577</v>
      </c>
      <c r="N1820" s="18">
        <v>46024.0</v>
      </c>
      <c r="O1820" s="1" t="s">
        <v>3435</v>
      </c>
      <c r="P1820" s="1" t="s">
        <v>3257</v>
      </c>
      <c r="Q1820" s="1" t="s">
        <v>3408</v>
      </c>
    </row>
    <row r="1821">
      <c r="A1821" s="1" t="s">
        <v>6578</v>
      </c>
      <c r="B1821" s="1">
        <v>63.0</v>
      </c>
      <c r="C1821" s="1">
        <v>110.0</v>
      </c>
      <c r="D1821" s="2" t="s">
        <v>899</v>
      </c>
      <c r="E1821" s="1">
        <v>63.0</v>
      </c>
      <c r="F1821" s="1">
        <v>19.0</v>
      </c>
      <c r="G1821" s="1">
        <v>9.78</v>
      </c>
      <c r="H1821" s="1">
        <v>0.0</v>
      </c>
      <c r="I1821" s="1">
        <v>0.0</v>
      </c>
      <c r="J1821" s="1">
        <v>0.0</v>
      </c>
      <c r="K1821" s="1">
        <v>0.77</v>
      </c>
      <c r="L1821" s="1">
        <v>1.65E7</v>
      </c>
      <c r="M1821" s="1" t="s">
        <v>6579</v>
      </c>
      <c r="N1821" s="18">
        <v>46022.0</v>
      </c>
      <c r="O1821" s="1" t="s">
        <v>4414</v>
      </c>
      <c r="P1821" s="1" t="s">
        <v>3257</v>
      </c>
      <c r="Q1821" s="1" t="s">
        <v>3408</v>
      </c>
    </row>
    <row r="1822">
      <c r="A1822" s="1" t="s">
        <v>6580</v>
      </c>
      <c r="B1822" s="1">
        <v>63.0</v>
      </c>
      <c r="C1822" s="1">
        <v>260.0</v>
      </c>
      <c r="D1822" s="2" t="s">
        <v>439</v>
      </c>
      <c r="E1822" s="1">
        <v>63.0</v>
      </c>
      <c r="F1822" s="1">
        <v>6.0</v>
      </c>
      <c r="G1822" s="1">
        <v>4.1</v>
      </c>
      <c r="H1822" s="1">
        <v>0.0</v>
      </c>
      <c r="I1822" s="1">
        <v>0.0</v>
      </c>
      <c r="J1822" s="1">
        <v>0.0</v>
      </c>
      <c r="K1822" s="1">
        <v>0.05</v>
      </c>
      <c r="L1822" s="1">
        <v>2.81E7</v>
      </c>
      <c r="M1822" s="1" t="s">
        <v>6581</v>
      </c>
      <c r="N1822" s="18">
        <v>46018.0</v>
      </c>
      <c r="O1822" s="1" t="s">
        <v>3404</v>
      </c>
      <c r="P1822" s="1" t="s">
        <v>3257</v>
      </c>
      <c r="Q1822" s="1" t="s">
        <v>3408</v>
      </c>
    </row>
    <row r="1823">
      <c r="A1823" s="1" t="s">
        <v>3658</v>
      </c>
      <c r="B1823" s="1">
        <v>63.0</v>
      </c>
      <c r="C1823" s="1">
        <v>70.0</v>
      </c>
      <c r="D1823" s="2" t="s">
        <v>447</v>
      </c>
      <c r="E1823" s="1">
        <v>63.0</v>
      </c>
      <c r="F1823" s="1">
        <v>25.0</v>
      </c>
      <c r="G1823" s="1">
        <v>13.28</v>
      </c>
      <c r="H1823" s="1">
        <v>0.0</v>
      </c>
      <c r="I1823" s="1">
        <v>0.0</v>
      </c>
      <c r="J1823" s="1">
        <v>0.0</v>
      </c>
      <c r="K1823" s="1">
        <v>0.21</v>
      </c>
      <c r="L1823" s="1">
        <v>69700.0</v>
      </c>
      <c r="M1823" s="1" t="s">
        <v>3659</v>
      </c>
      <c r="N1823" s="18">
        <v>46017.0</v>
      </c>
      <c r="O1823" s="1" t="s">
        <v>3435</v>
      </c>
      <c r="P1823" s="1" t="s">
        <v>3257</v>
      </c>
      <c r="Q1823" s="1" t="s">
        <v>3408</v>
      </c>
    </row>
    <row r="1824">
      <c r="A1824" s="1" t="s">
        <v>3436</v>
      </c>
      <c r="B1824" s="1">
        <v>63.0</v>
      </c>
      <c r="C1824" s="1">
        <v>170.0</v>
      </c>
      <c r="D1824" s="2" t="s">
        <v>824</v>
      </c>
      <c r="E1824" s="1">
        <v>63.0</v>
      </c>
      <c r="F1824" s="1">
        <v>19.0</v>
      </c>
      <c r="G1824" s="1">
        <v>13.28</v>
      </c>
      <c r="H1824" s="1">
        <v>0.0</v>
      </c>
      <c r="I1824" s="1">
        <v>0.0</v>
      </c>
      <c r="J1824" s="1">
        <v>0.0</v>
      </c>
      <c r="K1824" s="1">
        <v>0.21</v>
      </c>
      <c r="L1824" s="1">
        <v>60800.0</v>
      </c>
      <c r="M1824" s="1" t="s">
        <v>3437</v>
      </c>
      <c r="N1824" s="18">
        <v>46017.0</v>
      </c>
      <c r="O1824" s="1" t="s">
        <v>3435</v>
      </c>
      <c r="P1824" s="1" t="s">
        <v>3257</v>
      </c>
      <c r="Q1824" s="1" t="s">
        <v>3408</v>
      </c>
    </row>
    <row r="1825">
      <c r="A1825" s="1" t="s">
        <v>6582</v>
      </c>
      <c r="B1825" s="1">
        <v>63.0</v>
      </c>
      <c r="C1825" s="1">
        <v>140.0</v>
      </c>
      <c r="D1825" s="2" t="s">
        <v>439</v>
      </c>
      <c r="E1825" s="1">
        <v>63.0</v>
      </c>
      <c r="F1825" s="1">
        <v>40.0</v>
      </c>
      <c r="G1825" s="1">
        <v>0.0</v>
      </c>
      <c r="H1825" s="1">
        <v>0.0</v>
      </c>
      <c r="I1825" s="1">
        <v>0.0</v>
      </c>
      <c r="J1825" s="1">
        <v>0.0</v>
      </c>
      <c r="K1825" s="1">
        <v>0.0</v>
      </c>
      <c r="L1825" s="1">
        <v>1370000.0</v>
      </c>
      <c r="M1825" s="1" t="s">
        <v>6583</v>
      </c>
      <c r="N1825" s="18">
        <v>46016.0</v>
      </c>
      <c r="O1825" s="1" t="s">
        <v>5538</v>
      </c>
      <c r="P1825" s="1" t="s">
        <v>3294</v>
      </c>
      <c r="Q1825" s="1" t="s">
        <v>3408</v>
      </c>
    </row>
    <row r="1826">
      <c r="A1826" s="1" t="s">
        <v>6584</v>
      </c>
      <c r="B1826" s="1">
        <v>63.0</v>
      </c>
      <c r="C1826" s="1">
        <v>40.0</v>
      </c>
      <c r="D1826" s="2" t="s">
        <v>911</v>
      </c>
      <c r="E1826" s="1">
        <v>63.0</v>
      </c>
      <c r="F1826" s="1">
        <v>2.0</v>
      </c>
      <c r="G1826" s="1">
        <v>1.23</v>
      </c>
      <c r="H1826" s="1">
        <v>0.0</v>
      </c>
      <c r="I1826" s="1">
        <v>0.0</v>
      </c>
      <c r="J1826" s="1">
        <v>0.0</v>
      </c>
      <c r="K1826" s="1">
        <v>0.46</v>
      </c>
      <c r="L1826" s="1">
        <v>6880000.0</v>
      </c>
      <c r="M1826" s="1" t="s">
        <v>4665</v>
      </c>
      <c r="N1826" s="18">
        <v>46015.0</v>
      </c>
      <c r="O1826" s="1" t="s">
        <v>6585</v>
      </c>
      <c r="P1826" s="1" t="s">
        <v>3230</v>
      </c>
      <c r="Q1826" s="1" t="s">
        <v>3408</v>
      </c>
    </row>
    <row r="1827">
      <c r="A1827" s="1" t="s">
        <v>6586</v>
      </c>
      <c r="B1827" s="1">
        <v>63.0</v>
      </c>
      <c r="C1827" s="1">
        <v>90.0</v>
      </c>
      <c r="D1827" s="2" t="s">
        <v>694</v>
      </c>
      <c r="E1827" s="1">
        <v>63.0</v>
      </c>
      <c r="F1827" s="1">
        <v>15.0</v>
      </c>
      <c r="G1827" s="1">
        <v>0.0</v>
      </c>
      <c r="H1827" s="1">
        <v>0.0</v>
      </c>
      <c r="I1827" s="1">
        <v>0.0</v>
      </c>
      <c r="J1827" s="1">
        <v>0.0</v>
      </c>
      <c r="K1827" s="1">
        <v>0.02</v>
      </c>
      <c r="L1827" s="1">
        <v>2160000.0</v>
      </c>
      <c r="M1827" s="1" t="s">
        <v>6587</v>
      </c>
      <c r="N1827" s="18">
        <v>46014.0</v>
      </c>
      <c r="O1827" s="1" t="s">
        <v>3496</v>
      </c>
      <c r="P1827" s="1" t="s">
        <v>3230</v>
      </c>
      <c r="Q1827" s="1" t="s">
        <v>3408</v>
      </c>
    </row>
    <row r="1828">
      <c r="A1828" s="1" t="s">
        <v>6588</v>
      </c>
      <c r="B1828" s="1">
        <v>63.0</v>
      </c>
      <c r="C1828" s="1">
        <v>70.0</v>
      </c>
      <c r="D1828" s="2" t="s">
        <v>2930</v>
      </c>
      <c r="E1828" s="1">
        <v>63.0</v>
      </c>
      <c r="F1828" s="1">
        <v>69.0</v>
      </c>
      <c r="G1828" s="1">
        <v>0.0</v>
      </c>
      <c r="H1828" s="1">
        <v>0.0</v>
      </c>
      <c r="I1828" s="1">
        <v>0.0</v>
      </c>
      <c r="J1828" s="1">
        <v>0.0</v>
      </c>
      <c r="K1828" s="1">
        <v>0.01</v>
      </c>
      <c r="L1828" s="1">
        <v>1.36E8</v>
      </c>
      <c r="M1828" s="1" t="s">
        <v>6589</v>
      </c>
      <c r="N1828" s="18">
        <v>46011.0</v>
      </c>
      <c r="O1828" s="1" t="s">
        <v>4217</v>
      </c>
      <c r="P1828" s="1" t="s">
        <v>3230</v>
      </c>
      <c r="Q1828" s="1" t="s">
        <v>3408</v>
      </c>
    </row>
    <row r="1829">
      <c r="A1829" s="1" t="s">
        <v>6590</v>
      </c>
      <c r="B1829" s="1">
        <v>63.0</v>
      </c>
      <c r="C1829" s="1">
        <v>50.0</v>
      </c>
      <c r="D1829" s="2" t="s">
        <v>439</v>
      </c>
      <c r="E1829" s="1">
        <v>63.0</v>
      </c>
      <c r="F1829" s="1">
        <v>27.0</v>
      </c>
      <c r="G1829" s="1">
        <v>0.0</v>
      </c>
      <c r="H1829" s="1">
        <v>0.0</v>
      </c>
      <c r="I1829" s="1">
        <v>0.0</v>
      </c>
      <c r="J1829" s="1">
        <v>0.0</v>
      </c>
      <c r="K1829" s="1">
        <v>0.03</v>
      </c>
      <c r="L1829" s="1">
        <v>28700.0</v>
      </c>
      <c r="M1829" s="1" t="s">
        <v>6591</v>
      </c>
      <c r="N1829" s="18">
        <v>46010.0</v>
      </c>
      <c r="O1829" s="1" t="s">
        <v>4926</v>
      </c>
      <c r="P1829" s="1" t="s">
        <v>3294</v>
      </c>
      <c r="Q1829" s="1" t="s">
        <v>3408</v>
      </c>
    </row>
    <row r="1830">
      <c r="A1830" s="1" t="s">
        <v>6592</v>
      </c>
      <c r="B1830" s="1">
        <v>63.0</v>
      </c>
      <c r="C1830" s="1">
        <v>40.0</v>
      </c>
      <c r="D1830" s="2" t="s">
        <v>1473</v>
      </c>
      <c r="E1830" s="1">
        <v>63.0</v>
      </c>
      <c r="F1830" s="1">
        <v>51.0</v>
      </c>
      <c r="G1830" s="1">
        <v>0.0</v>
      </c>
      <c r="H1830" s="1">
        <v>0.0</v>
      </c>
      <c r="I1830" s="1">
        <v>0.0</v>
      </c>
      <c r="J1830" s="1">
        <v>0.0</v>
      </c>
      <c r="K1830" s="1">
        <v>0.0</v>
      </c>
      <c r="L1830" s="1">
        <v>2.64E8</v>
      </c>
      <c r="M1830" s="1" t="s">
        <v>6593</v>
      </c>
      <c r="N1830" s="18">
        <v>46008.0</v>
      </c>
      <c r="O1830" s="1" t="s">
        <v>5458</v>
      </c>
      <c r="P1830" s="1" t="s">
        <v>3334</v>
      </c>
      <c r="Q1830" s="1" t="s">
        <v>3408</v>
      </c>
    </row>
    <row r="1831">
      <c r="A1831" s="1" t="s">
        <v>6594</v>
      </c>
      <c r="B1831" s="1">
        <v>63.0</v>
      </c>
      <c r="C1831" s="1">
        <v>70.0</v>
      </c>
      <c r="D1831" s="2" t="s">
        <v>2249</v>
      </c>
      <c r="E1831" s="1">
        <v>63.0</v>
      </c>
      <c r="F1831" s="1">
        <v>17.0</v>
      </c>
      <c r="G1831" s="1">
        <v>0.0</v>
      </c>
      <c r="H1831" s="1">
        <v>0.0</v>
      </c>
      <c r="I1831" s="1">
        <v>0.0</v>
      </c>
      <c r="J1831" s="1">
        <v>0.0</v>
      </c>
      <c r="K1831" s="1">
        <v>0.0</v>
      </c>
      <c r="L1831" s="1">
        <v>2.51E8</v>
      </c>
      <c r="M1831" s="1" t="s">
        <v>6595</v>
      </c>
      <c r="N1831" s="18">
        <v>46006.0</v>
      </c>
      <c r="O1831" s="1" t="s">
        <v>5344</v>
      </c>
      <c r="P1831" s="1" t="s">
        <v>3230</v>
      </c>
      <c r="Q1831" s="1" t="s">
        <v>3408</v>
      </c>
    </row>
    <row r="1832">
      <c r="A1832" s="1" t="s">
        <v>6596</v>
      </c>
      <c r="B1832" s="1">
        <v>63.0</v>
      </c>
      <c r="C1832" s="1">
        <v>70.0</v>
      </c>
      <c r="D1832" s="2" t="s">
        <v>2949</v>
      </c>
      <c r="E1832" s="1">
        <v>63.0</v>
      </c>
      <c r="G1832" s="1">
        <v>0.0</v>
      </c>
      <c r="H1832" s="1">
        <v>0.0</v>
      </c>
      <c r="I1832" s="1">
        <v>0.0</v>
      </c>
      <c r="J1832" s="1">
        <v>0.0</v>
      </c>
      <c r="K1832" s="1">
        <v>0.0</v>
      </c>
      <c r="L1832" s="1">
        <v>5540000.0</v>
      </c>
      <c r="M1832" s="1" t="s">
        <v>6597</v>
      </c>
      <c r="N1832" s="18">
        <v>46005.0</v>
      </c>
      <c r="O1832" s="1" t="s">
        <v>4350</v>
      </c>
      <c r="P1832" s="1" t="s">
        <v>3257</v>
      </c>
      <c r="Q1832" s="1" t="s">
        <v>3408</v>
      </c>
    </row>
    <row r="1833">
      <c r="A1833" s="1" t="s">
        <v>6598</v>
      </c>
      <c r="B1833" s="1">
        <v>63.0</v>
      </c>
      <c r="C1833" s="1">
        <v>40.0</v>
      </c>
      <c r="D1833" s="2" t="s">
        <v>2930</v>
      </c>
      <c r="E1833" s="1">
        <v>63.0</v>
      </c>
      <c r="F1833" s="1">
        <v>64.0</v>
      </c>
      <c r="G1833" s="1">
        <v>0.0</v>
      </c>
      <c r="H1833" s="1">
        <v>0.0</v>
      </c>
      <c r="I1833" s="1">
        <v>0.0</v>
      </c>
      <c r="J1833" s="1">
        <v>0.0</v>
      </c>
      <c r="K1833" s="1">
        <v>0.0</v>
      </c>
      <c r="L1833" s="1">
        <v>2.79E7</v>
      </c>
      <c r="M1833" s="1" t="s">
        <v>6599</v>
      </c>
      <c r="N1833" s="18">
        <v>46001.0</v>
      </c>
      <c r="O1833" s="1" t="s">
        <v>4033</v>
      </c>
      <c r="P1833" s="1" t="s">
        <v>3230</v>
      </c>
      <c r="Q1833" s="1" t="s">
        <v>3408</v>
      </c>
    </row>
    <row r="1834">
      <c r="A1834" s="1" t="s">
        <v>6600</v>
      </c>
      <c r="B1834" s="1">
        <v>63.0</v>
      </c>
      <c r="C1834" s="1">
        <v>40.0</v>
      </c>
      <c r="D1834" s="2" t="s">
        <v>439</v>
      </c>
      <c r="E1834" s="1">
        <v>63.0</v>
      </c>
      <c r="F1834" s="1">
        <v>20.0</v>
      </c>
      <c r="G1834" s="1">
        <v>3.64</v>
      </c>
      <c r="H1834" s="1">
        <v>0.0</v>
      </c>
      <c r="I1834" s="1">
        <v>0.0</v>
      </c>
      <c r="J1834" s="1">
        <v>0.0</v>
      </c>
      <c r="K1834" s="1">
        <v>0.12</v>
      </c>
      <c r="L1834" s="1">
        <v>4110.0</v>
      </c>
      <c r="M1834" s="1" t="s">
        <v>6601</v>
      </c>
      <c r="N1834" s="18">
        <v>45999.0</v>
      </c>
      <c r="O1834" s="1" t="s">
        <v>3854</v>
      </c>
      <c r="P1834" s="1" t="s">
        <v>3462</v>
      </c>
      <c r="Q1834" s="1" t="s">
        <v>3408</v>
      </c>
    </row>
    <row r="1835">
      <c r="A1835" s="1" t="s">
        <v>5357</v>
      </c>
      <c r="B1835" s="1">
        <v>63.0</v>
      </c>
      <c r="C1835" s="1">
        <v>210.0</v>
      </c>
      <c r="D1835" s="2" t="s">
        <v>770</v>
      </c>
      <c r="E1835" s="1">
        <v>63.0</v>
      </c>
      <c r="F1835" s="1">
        <v>48.0</v>
      </c>
      <c r="G1835" s="1">
        <v>0.0</v>
      </c>
      <c r="H1835" s="1">
        <v>0.0</v>
      </c>
      <c r="I1835" s="1">
        <v>0.0</v>
      </c>
      <c r="J1835" s="1">
        <v>0.0</v>
      </c>
      <c r="K1835" s="1">
        <v>0.0</v>
      </c>
      <c r="L1835" s="1">
        <v>2450000.0</v>
      </c>
      <c r="M1835" s="1" t="s">
        <v>5358</v>
      </c>
      <c r="N1835" s="18">
        <v>45998.0</v>
      </c>
      <c r="O1835" s="1" t="s">
        <v>5359</v>
      </c>
      <c r="P1835" s="1" t="s">
        <v>3230</v>
      </c>
      <c r="Q1835" s="1" t="s">
        <v>3408</v>
      </c>
    </row>
    <row r="1836">
      <c r="A1836" s="1" t="s">
        <v>6602</v>
      </c>
      <c r="B1836" s="1">
        <v>63.0</v>
      </c>
      <c r="C1836" s="1">
        <v>110.0</v>
      </c>
      <c r="D1836" s="2" t="s">
        <v>638</v>
      </c>
      <c r="E1836" s="1">
        <v>63.0</v>
      </c>
      <c r="F1836" s="1">
        <v>25.0</v>
      </c>
      <c r="G1836" s="1">
        <v>0.0</v>
      </c>
      <c r="H1836" s="1">
        <v>0.0</v>
      </c>
      <c r="I1836" s="1">
        <v>0.0</v>
      </c>
      <c r="J1836" s="1">
        <v>0.0</v>
      </c>
      <c r="K1836" s="1">
        <v>0.0</v>
      </c>
      <c r="L1836" s="1">
        <v>708000.0</v>
      </c>
      <c r="M1836" s="1" t="s">
        <v>6603</v>
      </c>
      <c r="N1836" s="18">
        <v>45997.0</v>
      </c>
      <c r="O1836" s="1" t="s">
        <v>3264</v>
      </c>
      <c r="P1836" s="1" t="s">
        <v>3230</v>
      </c>
      <c r="Q1836" s="1" t="s">
        <v>3408</v>
      </c>
    </row>
    <row r="1837">
      <c r="A1837" s="1" t="s">
        <v>6604</v>
      </c>
      <c r="B1837" s="1">
        <v>63.0</v>
      </c>
      <c r="C1837" s="1">
        <v>210.0</v>
      </c>
      <c r="D1837" s="2" t="s">
        <v>439</v>
      </c>
      <c r="E1837" s="1">
        <v>63.0</v>
      </c>
      <c r="F1837" s="1">
        <v>24.0</v>
      </c>
      <c r="G1837" s="1">
        <v>0.0</v>
      </c>
      <c r="H1837" s="1">
        <v>0.0</v>
      </c>
      <c r="I1837" s="1">
        <v>0.0</v>
      </c>
      <c r="J1837" s="1">
        <v>0.0</v>
      </c>
      <c r="K1837" s="1">
        <v>0.01</v>
      </c>
      <c r="L1837" s="1">
        <v>42500.0</v>
      </c>
      <c r="M1837" s="1" t="s">
        <v>6605</v>
      </c>
      <c r="N1837" s="18">
        <v>45992.0</v>
      </c>
      <c r="O1837" s="1" t="s">
        <v>6606</v>
      </c>
      <c r="P1837" s="1" t="s">
        <v>3462</v>
      </c>
      <c r="Q1837" s="1" t="s">
        <v>3408</v>
      </c>
    </row>
    <row r="1838">
      <c r="A1838" s="1" t="s">
        <v>6607</v>
      </c>
      <c r="B1838" s="1">
        <v>63.0</v>
      </c>
      <c r="C1838" s="1">
        <v>1600.0</v>
      </c>
      <c r="D1838" s="2" t="s">
        <v>681</v>
      </c>
      <c r="E1838" s="1">
        <v>63.0</v>
      </c>
      <c r="F1838" s="1">
        <v>16.0</v>
      </c>
      <c r="G1838" s="1">
        <v>1.29</v>
      </c>
      <c r="H1838" s="1">
        <v>0.0</v>
      </c>
      <c r="I1838" s="1">
        <v>0.0</v>
      </c>
      <c r="J1838" s="1">
        <v>0.0</v>
      </c>
      <c r="K1838" s="1">
        <v>0.32</v>
      </c>
      <c r="L1838" s="1">
        <v>1.58E7</v>
      </c>
      <c r="M1838" s="1" t="s">
        <v>6608</v>
      </c>
      <c r="N1838" s="18">
        <v>45990.0</v>
      </c>
      <c r="O1838" s="1" t="s">
        <v>3571</v>
      </c>
      <c r="P1838" s="1" t="s">
        <v>3230</v>
      </c>
      <c r="Q1838" s="1" t="s">
        <v>3408</v>
      </c>
    </row>
    <row r="1839">
      <c r="A1839" s="1" t="s">
        <v>6609</v>
      </c>
      <c r="B1839" s="1">
        <v>63.0</v>
      </c>
      <c r="C1839" s="1">
        <v>140.0</v>
      </c>
      <c r="D1839" s="2" t="s">
        <v>2249</v>
      </c>
      <c r="E1839" s="1">
        <v>63.0</v>
      </c>
      <c r="F1839" s="1">
        <v>8.0</v>
      </c>
      <c r="G1839" s="1">
        <v>0.0</v>
      </c>
      <c r="H1839" s="1">
        <v>0.0</v>
      </c>
      <c r="I1839" s="1">
        <v>0.0</v>
      </c>
      <c r="J1839" s="1">
        <v>0.0</v>
      </c>
      <c r="K1839" s="1">
        <v>0.0</v>
      </c>
      <c r="L1839" s="1">
        <v>2.47E8</v>
      </c>
      <c r="M1839" s="1" t="s">
        <v>6610</v>
      </c>
      <c r="N1839" s="18">
        <v>45988.0</v>
      </c>
      <c r="O1839" s="1" t="s">
        <v>5650</v>
      </c>
      <c r="P1839" s="1" t="s">
        <v>3230</v>
      </c>
      <c r="Q1839" s="1" t="s">
        <v>3408</v>
      </c>
    </row>
    <row r="1840">
      <c r="A1840" s="1" t="s">
        <v>6611</v>
      </c>
      <c r="B1840" s="1">
        <v>63.0</v>
      </c>
      <c r="C1840" s="1">
        <v>140.0</v>
      </c>
      <c r="D1840" s="2" t="s">
        <v>1103</v>
      </c>
      <c r="E1840" s="1">
        <v>63.0</v>
      </c>
      <c r="F1840" s="1">
        <v>34.0</v>
      </c>
      <c r="G1840" s="1">
        <v>1.41</v>
      </c>
      <c r="H1840" s="1">
        <v>0.0</v>
      </c>
      <c r="I1840" s="1">
        <v>0.0</v>
      </c>
      <c r="J1840" s="1">
        <v>0.0</v>
      </c>
      <c r="K1840" s="1">
        <v>0.08</v>
      </c>
      <c r="L1840" s="1">
        <v>2.19E8</v>
      </c>
      <c r="M1840" s="1" t="s">
        <v>6612</v>
      </c>
      <c r="N1840" s="18">
        <v>45988.0</v>
      </c>
      <c r="O1840" s="1" t="s">
        <v>3264</v>
      </c>
      <c r="P1840" s="1" t="s">
        <v>3301</v>
      </c>
      <c r="Q1840" s="1" t="s">
        <v>3408</v>
      </c>
    </row>
    <row r="1841">
      <c r="A1841" s="1" t="s">
        <v>6613</v>
      </c>
      <c r="B1841" s="1">
        <v>63.0</v>
      </c>
      <c r="C1841" s="1">
        <v>70.0</v>
      </c>
      <c r="D1841" s="2" t="s">
        <v>2048</v>
      </c>
      <c r="E1841" s="1">
        <v>63.0</v>
      </c>
      <c r="F1841" s="1">
        <v>16.0</v>
      </c>
      <c r="G1841" s="1">
        <v>0.0</v>
      </c>
      <c r="H1841" s="1">
        <v>0.0</v>
      </c>
      <c r="I1841" s="1">
        <v>0.0</v>
      </c>
      <c r="J1841" s="1">
        <v>0.0</v>
      </c>
      <c r="K1841" s="1">
        <v>0.0</v>
      </c>
      <c r="L1841" s="1">
        <v>10.0</v>
      </c>
      <c r="M1841" s="1" t="s">
        <v>6614</v>
      </c>
      <c r="N1841" s="18">
        <v>45986.0</v>
      </c>
      <c r="O1841" s="1" t="s">
        <v>6615</v>
      </c>
      <c r="P1841" s="1" t="s">
        <v>3230</v>
      </c>
      <c r="Q1841" s="1" t="s">
        <v>3408</v>
      </c>
    </row>
    <row r="1842">
      <c r="A1842" s="1" t="s">
        <v>6616</v>
      </c>
      <c r="B1842" s="1">
        <v>63.0</v>
      </c>
      <c r="C1842" s="1">
        <v>50.0</v>
      </c>
      <c r="D1842" s="2" t="s">
        <v>746</v>
      </c>
      <c r="E1842" s="1">
        <v>63.0</v>
      </c>
      <c r="F1842" s="1">
        <v>0.0</v>
      </c>
      <c r="G1842" s="1">
        <v>0.92</v>
      </c>
      <c r="H1842" s="1">
        <v>0.0</v>
      </c>
      <c r="I1842" s="1">
        <v>0.0</v>
      </c>
      <c r="J1842" s="1">
        <v>0.0</v>
      </c>
      <c r="K1842" s="1">
        <v>0.15</v>
      </c>
      <c r="L1842" s="1">
        <v>10.0</v>
      </c>
      <c r="M1842" s="1" t="s">
        <v>6617</v>
      </c>
      <c r="N1842" s="18">
        <v>45986.0</v>
      </c>
      <c r="O1842" s="1" t="s">
        <v>5279</v>
      </c>
      <c r="P1842" s="1" t="s">
        <v>3230</v>
      </c>
      <c r="Q1842" s="1" t="s">
        <v>3408</v>
      </c>
    </row>
    <row r="1843">
      <c r="A1843" s="1" t="s">
        <v>6618</v>
      </c>
      <c r="B1843" s="1">
        <v>63.0</v>
      </c>
      <c r="C1843" s="1">
        <v>70.0</v>
      </c>
      <c r="D1843" s="2" t="s">
        <v>2987</v>
      </c>
      <c r="E1843" s="1">
        <v>63.0</v>
      </c>
      <c r="F1843" s="1">
        <v>30.0</v>
      </c>
      <c r="G1843" s="1">
        <v>0.0</v>
      </c>
      <c r="H1843" s="1">
        <v>0.0</v>
      </c>
      <c r="I1843" s="1">
        <v>0.0</v>
      </c>
      <c r="J1843" s="1">
        <v>0.0</v>
      </c>
      <c r="K1843" s="1">
        <v>0.0</v>
      </c>
      <c r="L1843" s="1">
        <v>9.0</v>
      </c>
      <c r="M1843" s="1" t="s">
        <v>6619</v>
      </c>
      <c r="N1843" s="18">
        <v>45979.0</v>
      </c>
      <c r="O1843" s="1" t="s">
        <v>5962</v>
      </c>
      <c r="P1843" s="1" t="s">
        <v>3230</v>
      </c>
      <c r="Q1843" s="1" t="s">
        <v>3408</v>
      </c>
    </row>
    <row r="1844">
      <c r="A1844" s="1" t="s">
        <v>6620</v>
      </c>
      <c r="B1844" s="1">
        <v>64.0</v>
      </c>
      <c r="C1844" s="1">
        <v>30.0</v>
      </c>
      <c r="D1844" s="2" t="s">
        <v>439</v>
      </c>
      <c r="E1844" s="1">
        <v>64.0</v>
      </c>
      <c r="F1844" s="1">
        <v>0.0</v>
      </c>
      <c r="G1844" s="1">
        <v>7.58</v>
      </c>
      <c r="H1844" s="1">
        <v>0.0</v>
      </c>
      <c r="I1844" s="1">
        <v>0.0</v>
      </c>
      <c r="J1844" s="1">
        <v>0.0</v>
      </c>
      <c r="K1844" s="1">
        <v>0.23</v>
      </c>
      <c r="L1844" s="1">
        <v>7590000.0</v>
      </c>
      <c r="M1844" s="1" t="s">
        <v>6621</v>
      </c>
      <c r="N1844" s="18">
        <v>46042.0</v>
      </c>
      <c r="O1844" s="1" t="s">
        <v>4393</v>
      </c>
      <c r="P1844" s="1" t="s">
        <v>3230</v>
      </c>
      <c r="Q1844" s="1" t="s">
        <v>3408</v>
      </c>
    </row>
    <row r="1845">
      <c r="A1845" s="1" t="s">
        <v>6622</v>
      </c>
      <c r="B1845" s="1">
        <v>64.0</v>
      </c>
      <c r="C1845" s="1">
        <v>70.0</v>
      </c>
      <c r="D1845" s="2" t="s">
        <v>1543</v>
      </c>
      <c r="E1845" s="1">
        <v>64.0</v>
      </c>
      <c r="F1845" s="1">
        <v>0.0</v>
      </c>
      <c r="G1845" s="1">
        <v>8.04</v>
      </c>
      <c r="H1845" s="1">
        <v>0.0</v>
      </c>
      <c r="I1845" s="1">
        <v>0.0</v>
      </c>
      <c r="J1845" s="1">
        <v>0.0</v>
      </c>
      <c r="K1845" s="1">
        <v>0.03</v>
      </c>
      <c r="L1845" s="1">
        <v>604000.0</v>
      </c>
      <c r="M1845" s="1" t="s">
        <v>6623</v>
      </c>
      <c r="N1845" s="18">
        <v>46037.0</v>
      </c>
      <c r="O1845" s="1" t="s">
        <v>3237</v>
      </c>
      <c r="P1845" s="1" t="s">
        <v>3230</v>
      </c>
      <c r="Q1845" s="1" t="s">
        <v>3408</v>
      </c>
    </row>
    <row r="1846">
      <c r="A1846" s="1" t="s">
        <v>6624</v>
      </c>
      <c r="B1846" s="1">
        <v>64.0</v>
      </c>
      <c r="C1846" s="1">
        <v>320.0</v>
      </c>
      <c r="D1846" s="2" t="s">
        <v>1981</v>
      </c>
      <c r="E1846" s="1">
        <v>64.0</v>
      </c>
      <c r="F1846" s="1">
        <v>14.0</v>
      </c>
      <c r="G1846" s="1">
        <v>6.72</v>
      </c>
      <c r="H1846" s="1">
        <v>0.0</v>
      </c>
      <c r="I1846" s="1">
        <v>0.0</v>
      </c>
      <c r="J1846" s="1">
        <v>0.0</v>
      </c>
      <c r="K1846" s="1">
        <v>0.74</v>
      </c>
      <c r="L1846" s="1">
        <v>4.12E7</v>
      </c>
      <c r="M1846" s="1" t="s">
        <v>6625</v>
      </c>
      <c r="N1846" s="18">
        <v>46033.0</v>
      </c>
      <c r="O1846" s="1" t="s">
        <v>3653</v>
      </c>
      <c r="P1846" s="1" t="s">
        <v>3257</v>
      </c>
      <c r="Q1846" s="1" t="s">
        <v>3408</v>
      </c>
    </row>
    <row r="1847">
      <c r="A1847" s="1" t="s">
        <v>6626</v>
      </c>
      <c r="B1847" s="1">
        <v>64.0</v>
      </c>
      <c r="C1847" s="1">
        <v>390.0</v>
      </c>
      <c r="D1847" s="2" t="s">
        <v>1890</v>
      </c>
      <c r="E1847" s="1">
        <v>64.0</v>
      </c>
      <c r="F1847" s="1">
        <v>16.0</v>
      </c>
      <c r="G1847" s="1">
        <v>0.02</v>
      </c>
      <c r="H1847" s="1">
        <v>0.0</v>
      </c>
      <c r="I1847" s="1">
        <v>0.0</v>
      </c>
      <c r="J1847" s="1">
        <v>0.0</v>
      </c>
      <c r="K1847" s="1">
        <v>0.07</v>
      </c>
      <c r="L1847" s="1">
        <v>1.24E7</v>
      </c>
      <c r="M1847" s="1" t="s">
        <v>6627</v>
      </c>
      <c r="N1847" s="18">
        <v>46029.0</v>
      </c>
      <c r="O1847" s="1" t="s">
        <v>4505</v>
      </c>
      <c r="P1847" s="1" t="s">
        <v>3230</v>
      </c>
      <c r="Q1847" s="1" t="s">
        <v>3408</v>
      </c>
    </row>
    <row r="1848">
      <c r="A1848" s="1" t="s">
        <v>6628</v>
      </c>
      <c r="B1848" s="1">
        <v>64.0</v>
      </c>
      <c r="C1848" s="1">
        <v>40.0</v>
      </c>
      <c r="D1848" s="2" t="s">
        <v>439</v>
      </c>
      <c r="E1848" s="1">
        <v>64.0</v>
      </c>
      <c r="F1848" s="1">
        <v>11.0</v>
      </c>
      <c r="G1848" s="1">
        <v>0.0</v>
      </c>
      <c r="H1848" s="1">
        <v>0.0</v>
      </c>
      <c r="I1848" s="1">
        <v>0.0</v>
      </c>
      <c r="J1848" s="1">
        <v>0.0</v>
      </c>
      <c r="K1848" s="1">
        <v>0.06</v>
      </c>
      <c r="L1848" s="1">
        <v>20600.0</v>
      </c>
      <c r="M1848" s="1" t="s">
        <v>6629</v>
      </c>
      <c r="N1848" s="18">
        <v>46028.0</v>
      </c>
      <c r="O1848" s="1" t="s">
        <v>5744</v>
      </c>
      <c r="P1848" s="1" t="s">
        <v>3257</v>
      </c>
      <c r="Q1848" s="1" t="s">
        <v>3408</v>
      </c>
    </row>
    <row r="1849">
      <c r="A1849" s="1" t="s">
        <v>6630</v>
      </c>
      <c r="B1849" s="1">
        <v>64.0</v>
      </c>
      <c r="C1849" s="1">
        <v>70.0</v>
      </c>
      <c r="D1849" s="2" t="s">
        <v>1552</v>
      </c>
      <c r="E1849" s="1">
        <v>64.0</v>
      </c>
      <c r="F1849" s="1">
        <v>14.0</v>
      </c>
      <c r="G1849" s="1">
        <v>3.72</v>
      </c>
      <c r="H1849" s="1">
        <v>0.0</v>
      </c>
      <c r="I1849" s="1">
        <v>0.0</v>
      </c>
      <c r="J1849" s="1">
        <v>0.0</v>
      </c>
      <c r="K1849" s="1">
        <v>0.05</v>
      </c>
      <c r="L1849" s="1">
        <v>1.91E7</v>
      </c>
      <c r="M1849" s="1" t="s">
        <v>6631</v>
      </c>
      <c r="N1849" s="18">
        <v>46022.0</v>
      </c>
      <c r="O1849" s="1" t="s">
        <v>4057</v>
      </c>
      <c r="P1849" s="1" t="s">
        <v>3230</v>
      </c>
      <c r="Q1849" s="1" t="s">
        <v>3408</v>
      </c>
    </row>
    <row r="1850">
      <c r="A1850" s="1" t="s">
        <v>6632</v>
      </c>
      <c r="B1850" s="1">
        <v>64.0</v>
      </c>
      <c r="C1850" s="1">
        <v>90.0</v>
      </c>
      <c r="D1850" s="2" t="s">
        <v>742</v>
      </c>
      <c r="E1850" s="1">
        <v>64.0</v>
      </c>
      <c r="F1850" s="1">
        <v>0.0</v>
      </c>
      <c r="G1850" s="1">
        <v>0.0</v>
      </c>
      <c r="H1850" s="1">
        <v>0.0</v>
      </c>
      <c r="I1850" s="1">
        <v>0.0</v>
      </c>
      <c r="J1850" s="1">
        <v>0.0</v>
      </c>
      <c r="K1850" s="1">
        <v>0.0</v>
      </c>
      <c r="L1850" s="1">
        <v>1.62E8</v>
      </c>
      <c r="M1850" s="1" t="s">
        <v>6633</v>
      </c>
      <c r="N1850" s="18">
        <v>46021.0</v>
      </c>
      <c r="P1850" s="1" t="s">
        <v>3334</v>
      </c>
      <c r="Q1850" s="1" t="s">
        <v>3408</v>
      </c>
    </row>
    <row r="1851">
      <c r="A1851" s="1" t="s">
        <v>6634</v>
      </c>
      <c r="B1851" s="1">
        <v>64.0</v>
      </c>
      <c r="C1851" s="1">
        <v>70.0</v>
      </c>
      <c r="D1851" s="2" t="s">
        <v>776</v>
      </c>
      <c r="E1851" s="1">
        <v>64.0</v>
      </c>
      <c r="F1851" s="1">
        <v>17.0</v>
      </c>
      <c r="G1851" s="1">
        <v>20.93</v>
      </c>
      <c r="H1851" s="1">
        <v>0.0</v>
      </c>
      <c r="I1851" s="1">
        <v>0.0</v>
      </c>
      <c r="J1851" s="1">
        <v>0.0</v>
      </c>
      <c r="K1851" s="1">
        <v>0.14</v>
      </c>
      <c r="L1851" s="1">
        <v>7640000.0</v>
      </c>
      <c r="M1851" s="1" t="s">
        <v>6635</v>
      </c>
      <c r="N1851" s="18">
        <v>46018.0</v>
      </c>
      <c r="O1851" s="1" t="s">
        <v>3479</v>
      </c>
      <c r="P1851" s="1" t="s">
        <v>3230</v>
      </c>
      <c r="Q1851" s="1" t="s">
        <v>3408</v>
      </c>
    </row>
    <row r="1852">
      <c r="A1852" s="1" t="s">
        <v>6636</v>
      </c>
      <c r="B1852" s="1">
        <v>64.0</v>
      </c>
      <c r="C1852" s="1">
        <v>110.0</v>
      </c>
      <c r="D1852" s="2" t="s">
        <v>1103</v>
      </c>
      <c r="E1852" s="1">
        <v>64.0</v>
      </c>
      <c r="F1852" s="1">
        <v>30.0</v>
      </c>
      <c r="G1852" s="1">
        <v>0.69</v>
      </c>
      <c r="H1852" s="1">
        <v>0.0</v>
      </c>
      <c r="I1852" s="1">
        <v>0.0</v>
      </c>
      <c r="J1852" s="1">
        <v>0.0</v>
      </c>
      <c r="K1852" s="1">
        <v>0.05</v>
      </c>
      <c r="L1852" s="1">
        <v>8.54E7</v>
      </c>
      <c r="M1852" s="1" t="s">
        <v>6637</v>
      </c>
      <c r="N1852" s="18">
        <v>46018.0</v>
      </c>
      <c r="O1852" s="1" t="s">
        <v>3264</v>
      </c>
      <c r="P1852" s="1" t="s">
        <v>3230</v>
      </c>
      <c r="Q1852" s="1" t="s">
        <v>3408</v>
      </c>
    </row>
    <row r="1853">
      <c r="A1853" s="1" t="s">
        <v>6638</v>
      </c>
      <c r="B1853" s="1">
        <v>64.0</v>
      </c>
      <c r="C1853" s="1">
        <v>260.0</v>
      </c>
      <c r="D1853" s="2" t="s">
        <v>1469</v>
      </c>
      <c r="E1853" s="1">
        <v>64.0</v>
      </c>
      <c r="F1853" s="1">
        <v>9.0</v>
      </c>
      <c r="G1853" s="1">
        <v>4.13</v>
      </c>
      <c r="H1853" s="1">
        <v>0.0</v>
      </c>
      <c r="I1853" s="1">
        <v>0.0</v>
      </c>
      <c r="J1853" s="1">
        <v>0.0</v>
      </c>
      <c r="K1853" s="1">
        <v>0.25</v>
      </c>
      <c r="L1853" s="1">
        <v>3730000.0</v>
      </c>
      <c r="M1853" s="1" t="s">
        <v>6639</v>
      </c>
      <c r="N1853" s="18">
        <v>46018.0</v>
      </c>
      <c r="O1853" s="1" t="s">
        <v>4414</v>
      </c>
      <c r="P1853" s="1" t="s">
        <v>3230</v>
      </c>
      <c r="Q1853" s="1" t="s">
        <v>3408</v>
      </c>
    </row>
    <row r="1854">
      <c r="A1854" s="1" t="s">
        <v>6640</v>
      </c>
      <c r="B1854" s="1">
        <v>64.0</v>
      </c>
      <c r="C1854" s="1">
        <v>40.0</v>
      </c>
      <c r="D1854" s="2" t="s">
        <v>768</v>
      </c>
      <c r="E1854" s="1">
        <v>64.0</v>
      </c>
      <c r="G1854" s="1">
        <v>0.0</v>
      </c>
      <c r="H1854" s="1">
        <v>0.0</v>
      </c>
      <c r="I1854" s="1">
        <v>0.0</v>
      </c>
      <c r="J1854" s="1">
        <v>0.0</v>
      </c>
      <c r="K1854" s="1">
        <v>0.0</v>
      </c>
      <c r="L1854" s="1">
        <v>2910.0</v>
      </c>
      <c r="M1854" s="1" t="s">
        <v>6641</v>
      </c>
      <c r="N1854" s="18">
        <v>46016.0</v>
      </c>
      <c r="O1854" s="1" t="s">
        <v>3713</v>
      </c>
      <c r="P1854" s="1" t="s">
        <v>3257</v>
      </c>
      <c r="Q1854" s="1" t="s">
        <v>3408</v>
      </c>
    </row>
    <row r="1855">
      <c r="A1855" s="1" t="s">
        <v>6642</v>
      </c>
      <c r="B1855" s="1">
        <v>64.0</v>
      </c>
      <c r="C1855" s="1">
        <v>170.0</v>
      </c>
      <c r="D1855" s="2" t="s">
        <v>439</v>
      </c>
      <c r="E1855" s="1">
        <v>64.0</v>
      </c>
      <c r="F1855" s="1">
        <v>15.0</v>
      </c>
      <c r="G1855" s="1">
        <v>3.55</v>
      </c>
      <c r="H1855" s="1">
        <v>0.0</v>
      </c>
      <c r="I1855" s="1">
        <v>0.0</v>
      </c>
      <c r="J1855" s="1">
        <v>0.0</v>
      </c>
      <c r="K1855" s="1">
        <v>0.05</v>
      </c>
      <c r="L1855" s="1">
        <v>108000.0</v>
      </c>
      <c r="M1855" s="1" t="s">
        <v>6643</v>
      </c>
      <c r="N1855" s="18">
        <v>46015.0</v>
      </c>
      <c r="O1855" s="1" t="s">
        <v>6644</v>
      </c>
      <c r="P1855" s="1" t="s">
        <v>3230</v>
      </c>
      <c r="Q1855" s="1" t="s">
        <v>3408</v>
      </c>
    </row>
    <row r="1856">
      <c r="A1856" s="1" t="s">
        <v>4181</v>
      </c>
      <c r="B1856" s="1">
        <v>64.0</v>
      </c>
      <c r="C1856" s="1">
        <v>140.0</v>
      </c>
      <c r="D1856" s="2" t="s">
        <v>447</v>
      </c>
      <c r="E1856" s="1">
        <v>64.0</v>
      </c>
      <c r="F1856" s="1">
        <v>28.0</v>
      </c>
      <c r="G1856" s="1">
        <v>14.11</v>
      </c>
      <c r="H1856" s="1">
        <v>0.0</v>
      </c>
      <c r="I1856" s="1">
        <v>0.0</v>
      </c>
      <c r="J1856" s="1">
        <v>0.0</v>
      </c>
      <c r="K1856" s="1">
        <v>0.6</v>
      </c>
      <c r="L1856" s="1">
        <v>54200.0</v>
      </c>
      <c r="M1856" s="1" t="s">
        <v>4182</v>
      </c>
      <c r="N1856" s="18">
        <v>46012.0</v>
      </c>
      <c r="O1856" s="1" t="s">
        <v>4183</v>
      </c>
      <c r="P1856" s="1" t="s">
        <v>3257</v>
      </c>
      <c r="Q1856" s="1" t="s">
        <v>3408</v>
      </c>
    </row>
    <row r="1857">
      <c r="A1857" s="1" t="s">
        <v>6645</v>
      </c>
      <c r="B1857" s="1">
        <v>64.0</v>
      </c>
      <c r="C1857" s="1">
        <v>70.0</v>
      </c>
      <c r="D1857" s="2" t="s">
        <v>2302</v>
      </c>
      <c r="E1857" s="1">
        <v>64.0</v>
      </c>
      <c r="F1857" s="1">
        <v>20.0</v>
      </c>
      <c r="G1857" s="1">
        <v>1.76</v>
      </c>
      <c r="H1857" s="1">
        <v>0.0</v>
      </c>
      <c r="I1857" s="1">
        <v>0.0</v>
      </c>
      <c r="J1857" s="1">
        <v>0.0</v>
      </c>
      <c r="K1857" s="1">
        <v>0.15</v>
      </c>
      <c r="L1857" s="1">
        <v>1.45E8</v>
      </c>
      <c r="M1857" s="1" t="s">
        <v>6646</v>
      </c>
      <c r="N1857" s="18">
        <v>46012.0</v>
      </c>
      <c r="O1857" s="1" t="s">
        <v>6647</v>
      </c>
      <c r="P1857" s="1" t="s">
        <v>3301</v>
      </c>
      <c r="Q1857" s="1" t="s">
        <v>3408</v>
      </c>
    </row>
    <row r="1858">
      <c r="A1858" s="1" t="s">
        <v>6648</v>
      </c>
      <c r="B1858" s="1">
        <v>64.0</v>
      </c>
      <c r="C1858" s="1">
        <v>70.0</v>
      </c>
      <c r="D1858" s="2" t="s">
        <v>581</v>
      </c>
      <c r="E1858" s="1">
        <v>64.0</v>
      </c>
      <c r="F1858" s="1">
        <v>39.0</v>
      </c>
      <c r="G1858" s="1">
        <v>16.88</v>
      </c>
      <c r="H1858" s="1">
        <v>0.0</v>
      </c>
      <c r="I1858" s="1">
        <v>0.0</v>
      </c>
      <c r="J1858" s="1">
        <v>0.0</v>
      </c>
      <c r="K1858" s="1">
        <v>0.54</v>
      </c>
      <c r="L1858" s="1">
        <v>7640000.0</v>
      </c>
      <c r="M1858" s="1" t="s">
        <v>6649</v>
      </c>
      <c r="N1858" s="18">
        <v>46010.0</v>
      </c>
      <c r="O1858" s="1" t="s">
        <v>3458</v>
      </c>
      <c r="P1858" s="1" t="s">
        <v>3257</v>
      </c>
      <c r="Q1858" s="1" t="s">
        <v>3408</v>
      </c>
    </row>
    <row r="1859">
      <c r="A1859" s="1" t="s">
        <v>6650</v>
      </c>
      <c r="B1859" s="1">
        <v>64.0</v>
      </c>
      <c r="C1859" s="1">
        <v>320.0</v>
      </c>
      <c r="D1859" s="2" t="s">
        <v>1452</v>
      </c>
      <c r="E1859" s="1">
        <v>64.0</v>
      </c>
      <c r="F1859" s="1">
        <v>36.0</v>
      </c>
      <c r="G1859" s="1">
        <v>0.0</v>
      </c>
      <c r="H1859" s="1">
        <v>0.0</v>
      </c>
      <c r="I1859" s="1">
        <v>0.0</v>
      </c>
      <c r="J1859" s="1">
        <v>0.0</v>
      </c>
      <c r="K1859" s="1">
        <v>0.0</v>
      </c>
      <c r="L1859" s="1">
        <v>1.44E8</v>
      </c>
      <c r="M1859" s="1" t="s">
        <v>6651</v>
      </c>
      <c r="N1859" s="18">
        <v>46008.0</v>
      </c>
      <c r="O1859" s="1" t="s">
        <v>3479</v>
      </c>
      <c r="P1859" s="1" t="s">
        <v>3230</v>
      </c>
      <c r="Q1859" s="1" t="s">
        <v>3408</v>
      </c>
    </row>
    <row r="1860">
      <c r="A1860" s="1" t="s">
        <v>6652</v>
      </c>
      <c r="B1860" s="1">
        <v>64.0</v>
      </c>
      <c r="C1860" s="1">
        <v>260.0</v>
      </c>
      <c r="D1860" s="2" t="s">
        <v>1052</v>
      </c>
      <c r="E1860" s="1">
        <v>64.0</v>
      </c>
      <c r="F1860" s="1">
        <v>34.0</v>
      </c>
      <c r="G1860" s="1">
        <v>0.0</v>
      </c>
      <c r="H1860" s="1">
        <v>0.0</v>
      </c>
      <c r="I1860" s="1">
        <v>0.0</v>
      </c>
      <c r="J1860" s="1">
        <v>0.0</v>
      </c>
      <c r="K1860" s="1">
        <v>0.0</v>
      </c>
      <c r="L1860" s="1">
        <v>5.89E8</v>
      </c>
      <c r="M1860" s="1" t="s">
        <v>6653</v>
      </c>
      <c r="N1860" s="18">
        <v>46006.0</v>
      </c>
      <c r="O1860" s="1" t="s">
        <v>3479</v>
      </c>
      <c r="P1860" s="1" t="s">
        <v>3230</v>
      </c>
      <c r="Q1860" s="1" t="s">
        <v>3408</v>
      </c>
    </row>
    <row r="1861">
      <c r="A1861" s="1" t="s">
        <v>6654</v>
      </c>
      <c r="B1861" s="1">
        <v>64.0</v>
      </c>
      <c r="C1861" s="1">
        <v>390.0</v>
      </c>
      <c r="D1861" s="2" t="s">
        <v>808</v>
      </c>
      <c r="E1861" s="1">
        <v>64.0</v>
      </c>
      <c r="F1861" s="1">
        <v>25.0</v>
      </c>
      <c r="G1861" s="1">
        <v>77.1</v>
      </c>
      <c r="H1861" s="1">
        <v>0.0</v>
      </c>
      <c r="I1861" s="1">
        <v>0.0</v>
      </c>
      <c r="J1861" s="1">
        <v>0.0</v>
      </c>
      <c r="K1861" s="1">
        <v>0.02</v>
      </c>
      <c r="L1861" s="1">
        <v>75200.0</v>
      </c>
      <c r="M1861" s="1" t="s">
        <v>6655</v>
      </c>
      <c r="N1861" s="18">
        <v>46006.0</v>
      </c>
      <c r="O1861" s="1" t="s">
        <v>3482</v>
      </c>
      <c r="P1861" s="1" t="s">
        <v>3257</v>
      </c>
      <c r="Q1861" s="1" t="s">
        <v>3408</v>
      </c>
    </row>
    <row r="1862">
      <c r="A1862" s="1" t="s">
        <v>6656</v>
      </c>
      <c r="B1862" s="1">
        <v>64.0</v>
      </c>
      <c r="C1862" s="1">
        <v>90.0</v>
      </c>
      <c r="D1862" s="2" t="s">
        <v>2416</v>
      </c>
      <c r="E1862" s="1">
        <v>64.0</v>
      </c>
      <c r="F1862" s="1">
        <v>23.0</v>
      </c>
      <c r="G1862" s="1">
        <v>0.0</v>
      </c>
      <c r="H1862" s="1">
        <v>0.0</v>
      </c>
      <c r="I1862" s="1">
        <v>0.0</v>
      </c>
      <c r="J1862" s="1">
        <v>0.0</v>
      </c>
      <c r="K1862" s="1">
        <v>0.0</v>
      </c>
      <c r="L1862" s="1">
        <v>0.0</v>
      </c>
      <c r="M1862" s="1" t="s">
        <v>6657</v>
      </c>
      <c r="N1862" s="18">
        <v>46005.0</v>
      </c>
      <c r="O1862" s="1" t="s">
        <v>4096</v>
      </c>
      <c r="P1862" s="1" t="s">
        <v>3230</v>
      </c>
      <c r="Q1862" s="1" t="s">
        <v>3408</v>
      </c>
    </row>
    <row r="1863">
      <c r="A1863" s="1" t="s">
        <v>6658</v>
      </c>
      <c r="B1863" s="1">
        <v>64.0</v>
      </c>
      <c r="C1863" s="1">
        <v>140.0</v>
      </c>
      <c r="D1863" s="2" t="s">
        <v>1473</v>
      </c>
      <c r="E1863" s="1">
        <v>64.0</v>
      </c>
      <c r="F1863" s="1">
        <v>52.0</v>
      </c>
      <c r="G1863" s="1">
        <v>0.0</v>
      </c>
      <c r="H1863" s="1">
        <v>0.0</v>
      </c>
      <c r="I1863" s="1">
        <v>0.0</v>
      </c>
      <c r="J1863" s="1">
        <v>0.0</v>
      </c>
      <c r="K1863" s="1">
        <v>0.0</v>
      </c>
      <c r="L1863" s="1">
        <v>4.54E8</v>
      </c>
      <c r="M1863" s="1" t="s">
        <v>6659</v>
      </c>
      <c r="N1863" s="18">
        <v>46003.0</v>
      </c>
      <c r="P1863" s="1" t="s">
        <v>3230</v>
      </c>
      <c r="Q1863" s="1" t="s">
        <v>3408</v>
      </c>
    </row>
    <row r="1864">
      <c r="A1864" s="1" t="s">
        <v>6660</v>
      </c>
      <c r="B1864" s="1">
        <v>64.0</v>
      </c>
      <c r="C1864" s="1">
        <v>40.0</v>
      </c>
      <c r="D1864" s="2" t="s">
        <v>439</v>
      </c>
      <c r="E1864" s="1">
        <v>64.0</v>
      </c>
      <c r="F1864" s="1">
        <v>16.0</v>
      </c>
      <c r="G1864" s="1">
        <v>5.02</v>
      </c>
      <c r="H1864" s="1">
        <v>0.0</v>
      </c>
      <c r="I1864" s="1">
        <v>0.0</v>
      </c>
      <c r="J1864" s="1">
        <v>0.0</v>
      </c>
      <c r="K1864" s="1">
        <v>0.07</v>
      </c>
      <c r="L1864" s="1">
        <v>68000.0</v>
      </c>
      <c r="M1864" s="1" t="s">
        <v>6661</v>
      </c>
      <c r="N1864" s="18">
        <v>46003.0</v>
      </c>
      <c r="O1864" s="1" t="s">
        <v>5079</v>
      </c>
      <c r="P1864" s="1" t="s">
        <v>3294</v>
      </c>
      <c r="Q1864" s="1" t="s">
        <v>3408</v>
      </c>
    </row>
    <row r="1865">
      <c r="A1865" s="1" t="s">
        <v>6662</v>
      </c>
      <c r="B1865" s="1">
        <v>64.0</v>
      </c>
      <c r="C1865" s="1">
        <v>70.0</v>
      </c>
      <c r="D1865" s="2" t="s">
        <v>2412</v>
      </c>
      <c r="E1865" s="1">
        <v>64.0</v>
      </c>
      <c r="F1865" s="1">
        <v>21.0</v>
      </c>
      <c r="G1865" s="1">
        <v>0.0</v>
      </c>
      <c r="H1865" s="1">
        <v>0.0</v>
      </c>
      <c r="I1865" s="1">
        <v>0.0</v>
      </c>
      <c r="J1865" s="1">
        <v>0.0</v>
      </c>
      <c r="K1865" s="1">
        <v>0.0</v>
      </c>
      <c r="L1865" s="1">
        <v>43700.0</v>
      </c>
      <c r="M1865" s="1" t="s">
        <v>6663</v>
      </c>
      <c r="N1865" s="18">
        <v>46001.0</v>
      </c>
      <c r="O1865" s="1" t="s">
        <v>6664</v>
      </c>
      <c r="P1865" s="1" t="s">
        <v>3230</v>
      </c>
      <c r="Q1865" s="1" t="s">
        <v>3408</v>
      </c>
    </row>
    <row r="1866">
      <c r="A1866" s="1" t="s">
        <v>6665</v>
      </c>
      <c r="B1866" s="1">
        <v>64.0</v>
      </c>
      <c r="C1866" s="1">
        <v>110.0</v>
      </c>
      <c r="D1866" s="2" t="s">
        <v>1307</v>
      </c>
      <c r="E1866" s="1">
        <v>64.0</v>
      </c>
      <c r="F1866" s="1">
        <v>3.0</v>
      </c>
      <c r="G1866" s="1">
        <v>8.86</v>
      </c>
      <c r="H1866" s="1">
        <v>0.0</v>
      </c>
      <c r="I1866" s="1">
        <v>0.0</v>
      </c>
      <c r="J1866" s="1">
        <v>0.0</v>
      </c>
      <c r="K1866" s="1">
        <v>0.85</v>
      </c>
      <c r="L1866" s="1">
        <v>90100.0</v>
      </c>
      <c r="M1866" s="1" t="s">
        <v>6666</v>
      </c>
      <c r="N1866" s="18">
        <v>46000.0</v>
      </c>
      <c r="O1866" s="1" t="s">
        <v>3256</v>
      </c>
      <c r="P1866" s="1" t="s">
        <v>3257</v>
      </c>
      <c r="Q1866" s="1" t="s">
        <v>3408</v>
      </c>
    </row>
    <row r="1867">
      <c r="A1867" s="1" t="s">
        <v>6667</v>
      </c>
      <c r="B1867" s="1">
        <v>64.0</v>
      </c>
      <c r="C1867" s="1">
        <v>50.0</v>
      </c>
      <c r="D1867" s="2" t="s">
        <v>839</v>
      </c>
      <c r="E1867" s="1">
        <v>64.0</v>
      </c>
      <c r="F1867" s="1">
        <v>18.0</v>
      </c>
      <c r="G1867" s="1">
        <v>0.0</v>
      </c>
      <c r="H1867" s="1">
        <v>0.0</v>
      </c>
      <c r="I1867" s="1">
        <v>0.0</v>
      </c>
      <c r="J1867" s="1">
        <v>0.0</v>
      </c>
      <c r="K1867" s="1">
        <v>0.01</v>
      </c>
      <c r="L1867" s="1">
        <v>1990000.0</v>
      </c>
      <c r="M1867" s="1" t="s">
        <v>6668</v>
      </c>
      <c r="N1867" s="18">
        <v>45999.0</v>
      </c>
      <c r="O1867" s="1" t="s">
        <v>3237</v>
      </c>
      <c r="P1867" s="1" t="s">
        <v>3230</v>
      </c>
      <c r="Q1867" s="1" t="s">
        <v>3408</v>
      </c>
    </row>
    <row r="1868">
      <c r="A1868" s="1" t="s">
        <v>6669</v>
      </c>
      <c r="B1868" s="1">
        <v>64.0</v>
      </c>
      <c r="C1868" s="1">
        <v>210.0</v>
      </c>
      <c r="D1868" s="2" t="s">
        <v>911</v>
      </c>
      <c r="E1868" s="1">
        <v>64.0</v>
      </c>
      <c r="F1868" s="1">
        <v>5.0</v>
      </c>
      <c r="G1868" s="1">
        <v>1.83</v>
      </c>
      <c r="H1868" s="1">
        <v>0.0</v>
      </c>
      <c r="I1868" s="1">
        <v>0.0</v>
      </c>
      <c r="J1868" s="1">
        <v>0.0</v>
      </c>
      <c r="K1868" s="1">
        <v>0.47</v>
      </c>
      <c r="L1868" s="1">
        <v>5.01E7</v>
      </c>
      <c r="M1868" s="1" t="s">
        <v>6670</v>
      </c>
      <c r="N1868" s="18">
        <v>45994.0</v>
      </c>
      <c r="O1868" s="1" t="s">
        <v>4360</v>
      </c>
      <c r="P1868" s="1" t="s">
        <v>3230</v>
      </c>
      <c r="Q1868" s="1" t="s">
        <v>3408</v>
      </c>
    </row>
    <row r="1869">
      <c r="A1869" s="1" t="s">
        <v>6671</v>
      </c>
      <c r="B1869" s="1">
        <v>64.0</v>
      </c>
      <c r="C1869" s="1">
        <v>170.0</v>
      </c>
      <c r="D1869" s="2" t="s">
        <v>1475</v>
      </c>
      <c r="E1869" s="1">
        <v>64.0</v>
      </c>
      <c r="F1869" s="1">
        <v>9.0</v>
      </c>
      <c r="G1869" s="1">
        <v>6.58</v>
      </c>
      <c r="H1869" s="1">
        <v>0.0</v>
      </c>
      <c r="I1869" s="1">
        <v>0.0</v>
      </c>
      <c r="J1869" s="1">
        <v>0.0</v>
      </c>
      <c r="K1869" s="1">
        <v>0.03</v>
      </c>
      <c r="L1869" s="1">
        <v>2890000.0</v>
      </c>
      <c r="M1869" s="1" t="s">
        <v>6672</v>
      </c>
      <c r="N1869" s="18">
        <v>45993.0</v>
      </c>
      <c r="O1869" s="1" t="s">
        <v>3442</v>
      </c>
      <c r="P1869" s="1" t="s">
        <v>3301</v>
      </c>
      <c r="Q1869" s="1" t="s">
        <v>3408</v>
      </c>
    </row>
    <row r="1870">
      <c r="A1870" s="1" t="s">
        <v>6673</v>
      </c>
      <c r="B1870" s="1">
        <v>64.0</v>
      </c>
      <c r="C1870" s="1">
        <v>50.0</v>
      </c>
      <c r="D1870" s="2" t="s">
        <v>439</v>
      </c>
      <c r="E1870" s="1">
        <v>64.0</v>
      </c>
      <c r="F1870" s="1">
        <v>12.0</v>
      </c>
      <c r="G1870" s="1">
        <v>16.16</v>
      </c>
      <c r="H1870" s="1">
        <v>0.0</v>
      </c>
      <c r="I1870" s="1">
        <v>0.0</v>
      </c>
      <c r="J1870" s="1">
        <v>0.0</v>
      </c>
      <c r="K1870" s="1">
        <v>0.42</v>
      </c>
      <c r="L1870" s="1">
        <v>2.96E7</v>
      </c>
      <c r="M1870" s="1" t="s">
        <v>6674</v>
      </c>
      <c r="N1870" s="18">
        <v>45991.0</v>
      </c>
      <c r="O1870" s="1" t="s">
        <v>5364</v>
      </c>
      <c r="P1870" s="1" t="s">
        <v>3462</v>
      </c>
      <c r="Q1870" s="1" t="s">
        <v>3408</v>
      </c>
    </row>
    <row r="1871">
      <c r="A1871" s="1" t="s">
        <v>6675</v>
      </c>
      <c r="B1871" s="1">
        <v>64.0</v>
      </c>
      <c r="C1871" s="1">
        <v>110.0</v>
      </c>
      <c r="D1871" s="2" t="s">
        <v>776</v>
      </c>
      <c r="E1871" s="1">
        <v>64.0</v>
      </c>
      <c r="F1871" s="1">
        <v>18.0</v>
      </c>
      <c r="G1871" s="1">
        <v>0.0</v>
      </c>
      <c r="H1871" s="1">
        <v>0.0</v>
      </c>
      <c r="I1871" s="1">
        <v>0.0</v>
      </c>
      <c r="J1871" s="1">
        <v>0.0</v>
      </c>
      <c r="K1871" s="1">
        <v>0.0</v>
      </c>
      <c r="L1871" s="1">
        <v>154000.0</v>
      </c>
      <c r="M1871" s="1" t="s">
        <v>6676</v>
      </c>
      <c r="N1871" s="18">
        <v>45991.0</v>
      </c>
      <c r="O1871" s="1" t="s">
        <v>5279</v>
      </c>
      <c r="P1871" s="1" t="s">
        <v>3230</v>
      </c>
      <c r="Q1871" s="1" t="s">
        <v>3408</v>
      </c>
    </row>
    <row r="1872">
      <c r="A1872" s="1" t="s">
        <v>4702</v>
      </c>
      <c r="B1872" s="1">
        <v>64.0</v>
      </c>
      <c r="C1872" s="1">
        <v>90.0</v>
      </c>
      <c r="D1872" s="2" t="s">
        <v>439</v>
      </c>
      <c r="E1872" s="1">
        <v>64.0</v>
      </c>
      <c r="F1872" s="1">
        <v>9.0</v>
      </c>
      <c r="G1872" s="1">
        <v>5.08</v>
      </c>
      <c r="H1872" s="1">
        <v>0.0</v>
      </c>
      <c r="I1872" s="1">
        <v>0.0</v>
      </c>
      <c r="J1872" s="1">
        <v>0.0</v>
      </c>
      <c r="K1872" s="1">
        <v>0.18</v>
      </c>
      <c r="L1872" s="1">
        <v>0.0</v>
      </c>
      <c r="M1872" s="1" t="s">
        <v>4703</v>
      </c>
      <c r="N1872" s="18">
        <v>45984.0</v>
      </c>
      <c r="O1872" s="1" t="s">
        <v>4704</v>
      </c>
      <c r="P1872" s="1" t="s">
        <v>3230</v>
      </c>
      <c r="Q1872" s="1" t="s">
        <v>3408</v>
      </c>
    </row>
    <row r="1873">
      <c r="A1873" s="1" t="s">
        <v>6677</v>
      </c>
      <c r="B1873" s="1">
        <v>64.0</v>
      </c>
      <c r="C1873" s="1">
        <v>70.0</v>
      </c>
      <c r="D1873" s="2" t="s">
        <v>439</v>
      </c>
      <c r="E1873" s="1">
        <v>64.0</v>
      </c>
      <c r="F1873" s="1">
        <v>19.0</v>
      </c>
      <c r="G1873" s="1">
        <v>0.0</v>
      </c>
      <c r="H1873" s="1">
        <v>0.0</v>
      </c>
      <c r="I1873" s="1">
        <v>0.0</v>
      </c>
      <c r="J1873" s="1">
        <v>0.0</v>
      </c>
      <c r="K1873" s="1">
        <v>0.01</v>
      </c>
      <c r="L1873" s="1">
        <v>10.0</v>
      </c>
      <c r="M1873" s="1" t="s">
        <v>6678</v>
      </c>
      <c r="N1873" s="18">
        <v>45984.0</v>
      </c>
      <c r="O1873" s="1" t="s">
        <v>4177</v>
      </c>
      <c r="P1873" s="1" t="s">
        <v>3294</v>
      </c>
      <c r="Q1873" s="1" t="s">
        <v>3408</v>
      </c>
    </row>
    <row r="1874">
      <c r="A1874" s="1" t="s">
        <v>3923</v>
      </c>
      <c r="B1874" s="1">
        <v>64.0</v>
      </c>
      <c r="C1874" s="1">
        <v>50.0</v>
      </c>
      <c r="D1874" s="2" t="s">
        <v>1234</v>
      </c>
      <c r="E1874" s="1">
        <v>64.0</v>
      </c>
      <c r="F1874" s="1">
        <v>13.0</v>
      </c>
      <c r="G1874" s="1">
        <v>17.09</v>
      </c>
      <c r="H1874" s="1">
        <v>0.0</v>
      </c>
      <c r="I1874" s="1">
        <v>0.0</v>
      </c>
      <c r="J1874" s="1">
        <v>0.0</v>
      </c>
      <c r="K1874" s="1">
        <v>0.69</v>
      </c>
      <c r="L1874" s="1">
        <v>183000.0</v>
      </c>
      <c r="M1874" s="1" t="s">
        <v>3924</v>
      </c>
      <c r="N1874" s="18">
        <v>45978.0</v>
      </c>
      <c r="O1874" s="1" t="s">
        <v>3925</v>
      </c>
      <c r="P1874" s="1" t="s">
        <v>3257</v>
      </c>
      <c r="Q1874" s="1" t="s">
        <v>3408</v>
      </c>
    </row>
    <row r="1875">
      <c r="A1875" s="1" t="s">
        <v>6679</v>
      </c>
      <c r="B1875" s="1">
        <v>65.0</v>
      </c>
      <c r="C1875" s="1">
        <v>70.0</v>
      </c>
      <c r="D1875" s="2" t="s">
        <v>475</v>
      </c>
      <c r="E1875" s="1">
        <v>65.0</v>
      </c>
      <c r="F1875" s="1">
        <v>15.0</v>
      </c>
      <c r="G1875" s="1">
        <v>13.75</v>
      </c>
      <c r="H1875" s="1">
        <v>0.0</v>
      </c>
      <c r="I1875" s="1">
        <v>0.0</v>
      </c>
      <c r="J1875" s="1">
        <v>0.0</v>
      </c>
      <c r="K1875" s="1">
        <v>0.12</v>
      </c>
      <c r="L1875" s="1">
        <v>40600.0</v>
      </c>
      <c r="M1875" s="1" t="s">
        <v>6680</v>
      </c>
      <c r="N1875" s="18">
        <v>46037.0</v>
      </c>
      <c r="O1875" s="1" t="s">
        <v>6681</v>
      </c>
      <c r="P1875" s="1" t="s">
        <v>3257</v>
      </c>
      <c r="Q1875" s="1" t="s">
        <v>3408</v>
      </c>
    </row>
    <row r="1876">
      <c r="A1876" s="1" t="s">
        <v>6682</v>
      </c>
      <c r="B1876" s="1">
        <v>65.0</v>
      </c>
      <c r="C1876" s="1">
        <v>50.0</v>
      </c>
      <c r="D1876" s="2" t="s">
        <v>581</v>
      </c>
      <c r="E1876" s="1">
        <v>65.0</v>
      </c>
      <c r="F1876" s="1">
        <v>18.0</v>
      </c>
      <c r="G1876" s="1">
        <v>15.32</v>
      </c>
      <c r="H1876" s="1">
        <v>0.0</v>
      </c>
      <c r="I1876" s="1">
        <v>0.0</v>
      </c>
      <c r="J1876" s="1">
        <v>0.0</v>
      </c>
      <c r="K1876" s="1">
        <v>0.21</v>
      </c>
      <c r="L1876" s="1">
        <v>240000.0</v>
      </c>
      <c r="M1876" s="1" t="s">
        <v>6683</v>
      </c>
      <c r="N1876" s="18">
        <v>46031.0</v>
      </c>
      <c r="O1876" s="1" t="s">
        <v>4165</v>
      </c>
      <c r="P1876" s="1" t="s">
        <v>3257</v>
      </c>
      <c r="Q1876" s="1" t="s">
        <v>3408</v>
      </c>
    </row>
    <row r="1877">
      <c r="A1877" s="1" t="s">
        <v>6684</v>
      </c>
      <c r="B1877" s="1">
        <v>65.0</v>
      </c>
      <c r="C1877" s="1">
        <v>50.0</v>
      </c>
      <c r="D1877" s="2" t="s">
        <v>676</v>
      </c>
      <c r="E1877" s="1">
        <v>65.0</v>
      </c>
      <c r="F1877" s="1">
        <v>2.0</v>
      </c>
      <c r="G1877" s="1">
        <v>0.0</v>
      </c>
      <c r="H1877" s="1">
        <v>0.0</v>
      </c>
      <c r="I1877" s="1">
        <v>0.0</v>
      </c>
      <c r="J1877" s="1">
        <v>0.0</v>
      </c>
      <c r="K1877" s="1">
        <v>0.0</v>
      </c>
      <c r="L1877" s="1">
        <v>1550000.0</v>
      </c>
      <c r="M1877" s="1" t="s">
        <v>6685</v>
      </c>
      <c r="N1877" s="18">
        <v>46030.0</v>
      </c>
      <c r="O1877" s="1" t="s">
        <v>4643</v>
      </c>
      <c r="P1877" s="1" t="s">
        <v>3257</v>
      </c>
      <c r="Q1877" s="1" t="s">
        <v>3408</v>
      </c>
    </row>
    <row r="1878">
      <c r="A1878" s="1" t="s">
        <v>6686</v>
      </c>
      <c r="B1878" s="1">
        <v>65.0</v>
      </c>
      <c r="C1878" s="1">
        <v>390.0</v>
      </c>
      <c r="D1878" s="2" t="s">
        <v>1890</v>
      </c>
      <c r="E1878" s="1">
        <v>65.0</v>
      </c>
      <c r="F1878" s="1">
        <v>12.0</v>
      </c>
      <c r="G1878" s="1">
        <v>0.02</v>
      </c>
      <c r="H1878" s="1">
        <v>0.0</v>
      </c>
      <c r="I1878" s="1">
        <v>0.0</v>
      </c>
      <c r="J1878" s="1">
        <v>0.0</v>
      </c>
      <c r="K1878" s="1">
        <v>0.06</v>
      </c>
      <c r="L1878" s="1">
        <v>1.13E7</v>
      </c>
      <c r="M1878" s="1" t="s">
        <v>6687</v>
      </c>
      <c r="N1878" s="18">
        <v>46029.0</v>
      </c>
      <c r="O1878" s="1" t="s">
        <v>6131</v>
      </c>
      <c r="P1878" s="1" t="s">
        <v>3230</v>
      </c>
      <c r="Q1878" s="1" t="s">
        <v>3408</v>
      </c>
    </row>
    <row r="1879">
      <c r="A1879" s="1" t="s">
        <v>6688</v>
      </c>
      <c r="B1879" s="1">
        <v>65.0</v>
      </c>
      <c r="C1879" s="1">
        <v>140.0</v>
      </c>
      <c r="D1879" s="2" t="s">
        <v>2930</v>
      </c>
      <c r="E1879" s="1">
        <v>65.0</v>
      </c>
      <c r="F1879" s="1">
        <v>62.0</v>
      </c>
      <c r="G1879" s="1">
        <v>0.0</v>
      </c>
      <c r="H1879" s="1">
        <v>0.0</v>
      </c>
      <c r="I1879" s="1">
        <v>0.0</v>
      </c>
      <c r="J1879" s="1">
        <v>0.0</v>
      </c>
      <c r="K1879" s="1">
        <v>0.01</v>
      </c>
      <c r="L1879" s="1">
        <v>1.33E8</v>
      </c>
      <c r="M1879" s="1" t="s">
        <v>6689</v>
      </c>
      <c r="N1879" s="18">
        <v>46028.0</v>
      </c>
      <c r="O1879" s="1" t="s">
        <v>3525</v>
      </c>
      <c r="P1879" s="1" t="s">
        <v>3230</v>
      </c>
      <c r="Q1879" s="1" t="s">
        <v>3408</v>
      </c>
    </row>
    <row r="1880">
      <c r="A1880" s="1" t="s">
        <v>6690</v>
      </c>
      <c r="B1880" s="1">
        <v>65.0</v>
      </c>
      <c r="C1880" s="1">
        <v>50.0</v>
      </c>
      <c r="D1880" s="2" t="s">
        <v>439</v>
      </c>
      <c r="E1880" s="1">
        <v>65.0</v>
      </c>
      <c r="F1880" s="1">
        <v>55.0</v>
      </c>
      <c r="G1880" s="1">
        <v>0.0</v>
      </c>
      <c r="H1880" s="1">
        <v>0.0</v>
      </c>
      <c r="I1880" s="1">
        <v>0.0</v>
      </c>
      <c r="J1880" s="1">
        <v>0.0</v>
      </c>
      <c r="K1880" s="1">
        <v>0.33</v>
      </c>
      <c r="L1880" s="1">
        <v>1.38E9</v>
      </c>
      <c r="M1880" s="1" t="s">
        <v>6691</v>
      </c>
      <c r="N1880" s="18">
        <v>46028.0</v>
      </c>
      <c r="O1880" s="1" t="s">
        <v>6692</v>
      </c>
      <c r="P1880" s="1" t="s">
        <v>3294</v>
      </c>
      <c r="Q1880" s="1" t="s">
        <v>3408</v>
      </c>
    </row>
    <row r="1881">
      <c r="A1881" s="1" t="s">
        <v>6693</v>
      </c>
      <c r="B1881" s="1">
        <v>65.0</v>
      </c>
      <c r="C1881" s="1">
        <v>70.0</v>
      </c>
      <c r="D1881" s="2" t="s">
        <v>904</v>
      </c>
      <c r="E1881" s="1">
        <v>65.0</v>
      </c>
      <c r="F1881" s="1">
        <v>13.0</v>
      </c>
      <c r="G1881" s="1">
        <v>3.25</v>
      </c>
      <c r="H1881" s="1">
        <v>0.0</v>
      </c>
      <c r="I1881" s="1">
        <v>0.0</v>
      </c>
      <c r="J1881" s="1">
        <v>0.0</v>
      </c>
      <c r="K1881" s="1">
        <v>0.33</v>
      </c>
      <c r="L1881" s="1">
        <v>1.42E7</v>
      </c>
      <c r="M1881" s="1" t="s">
        <v>6694</v>
      </c>
      <c r="N1881" s="18">
        <v>46028.0</v>
      </c>
      <c r="O1881" s="1" t="s">
        <v>3231</v>
      </c>
      <c r="P1881" s="1" t="s">
        <v>3301</v>
      </c>
      <c r="Q1881" s="1" t="s">
        <v>3408</v>
      </c>
    </row>
    <row r="1882">
      <c r="A1882" s="1" t="s">
        <v>5030</v>
      </c>
      <c r="B1882" s="1">
        <v>65.0</v>
      </c>
      <c r="C1882" s="1">
        <v>30.0</v>
      </c>
      <c r="D1882" s="2" t="s">
        <v>1060</v>
      </c>
      <c r="E1882" s="1">
        <v>65.0</v>
      </c>
      <c r="F1882" s="1">
        <v>31.0</v>
      </c>
      <c r="G1882" s="1">
        <v>18.67</v>
      </c>
      <c r="H1882" s="1">
        <v>0.0</v>
      </c>
      <c r="I1882" s="1">
        <v>0.0</v>
      </c>
      <c r="J1882" s="1">
        <v>0.0</v>
      </c>
      <c r="K1882" s="1">
        <v>0.79</v>
      </c>
      <c r="L1882" s="1">
        <v>2110000.0</v>
      </c>
      <c r="M1882" s="1" t="s">
        <v>5031</v>
      </c>
      <c r="N1882" s="18">
        <v>46026.0</v>
      </c>
      <c r="O1882" s="1" t="s">
        <v>3421</v>
      </c>
      <c r="P1882" s="1" t="s">
        <v>3257</v>
      </c>
      <c r="Q1882" s="1" t="s">
        <v>3408</v>
      </c>
    </row>
    <row r="1883">
      <c r="A1883" s="1" t="s">
        <v>6695</v>
      </c>
      <c r="B1883" s="1">
        <v>65.0</v>
      </c>
      <c r="C1883" s="1">
        <v>140.0</v>
      </c>
      <c r="D1883" s="2" t="s">
        <v>638</v>
      </c>
      <c r="E1883" s="1">
        <v>65.0</v>
      </c>
      <c r="F1883" s="1">
        <v>16.0</v>
      </c>
      <c r="G1883" s="1">
        <v>0.0</v>
      </c>
      <c r="H1883" s="1">
        <v>0.0</v>
      </c>
      <c r="I1883" s="1">
        <v>0.0</v>
      </c>
      <c r="J1883" s="1">
        <v>0.0</v>
      </c>
      <c r="K1883" s="1">
        <v>0.0</v>
      </c>
      <c r="L1883" s="1">
        <v>522000.0</v>
      </c>
      <c r="M1883" s="1" t="s">
        <v>6696</v>
      </c>
      <c r="N1883" s="18">
        <v>46026.0</v>
      </c>
      <c r="O1883" s="1" t="s">
        <v>3840</v>
      </c>
      <c r="P1883" s="1" t="s">
        <v>3230</v>
      </c>
      <c r="Q1883" s="1" t="s">
        <v>3408</v>
      </c>
    </row>
    <row r="1884">
      <c r="A1884" s="1" t="s">
        <v>6697</v>
      </c>
      <c r="B1884" s="1">
        <v>65.0</v>
      </c>
      <c r="C1884" s="1">
        <v>1300.0</v>
      </c>
      <c r="D1884" s="2" t="s">
        <v>2249</v>
      </c>
      <c r="E1884" s="1">
        <v>65.0</v>
      </c>
      <c r="F1884" s="1">
        <v>23.0</v>
      </c>
      <c r="G1884" s="1">
        <v>0.0</v>
      </c>
      <c r="H1884" s="1">
        <v>0.0</v>
      </c>
      <c r="I1884" s="1">
        <v>0.0</v>
      </c>
      <c r="J1884" s="1">
        <v>0.0</v>
      </c>
      <c r="K1884" s="1">
        <v>0.0</v>
      </c>
      <c r="L1884" s="1">
        <v>2.44E8</v>
      </c>
      <c r="M1884" s="1" t="s">
        <v>6698</v>
      </c>
      <c r="N1884" s="18">
        <v>46026.0</v>
      </c>
      <c r="O1884" s="1" t="s">
        <v>5650</v>
      </c>
      <c r="P1884" s="1" t="s">
        <v>3230</v>
      </c>
      <c r="Q1884" s="1" t="s">
        <v>3408</v>
      </c>
    </row>
    <row r="1885">
      <c r="A1885" s="1" t="s">
        <v>5849</v>
      </c>
      <c r="B1885" s="1">
        <v>65.0</v>
      </c>
      <c r="C1885" s="1">
        <v>90.0</v>
      </c>
      <c r="D1885" s="2" t="s">
        <v>1207</v>
      </c>
      <c r="E1885" s="1">
        <v>65.0</v>
      </c>
      <c r="F1885" s="1">
        <v>3.0</v>
      </c>
      <c r="G1885" s="1">
        <v>0.0</v>
      </c>
      <c r="H1885" s="1">
        <v>0.0</v>
      </c>
      <c r="I1885" s="1">
        <v>0.0</v>
      </c>
      <c r="J1885" s="1">
        <v>0.0</v>
      </c>
      <c r="K1885" s="1">
        <v>0.02</v>
      </c>
      <c r="L1885" s="1">
        <v>149000.0</v>
      </c>
      <c r="M1885" s="1" t="s">
        <v>5850</v>
      </c>
      <c r="N1885" s="18">
        <v>46024.0</v>
      </c>
      <c r="O1885" s="1" t="s">
        <v>5851</v>
      </c>
      <c r="P1885" s="1" t="s">
        <v>3257</v>
      </c>
      <c r="Q1885" s="1" t="s">
        <v>3408</v>
      </c>
    </row>
    <row r="1886">
      <c r="A1886" s="1" t="s">
        <v>6699</v>
      </c>
      <c r="B1886" s="1">
        <v>65.0</v>
      </c>
      <c r="C1886" s="1">
        <v>70.0</v>
      </c>
      <c r="D1886" s="2" t="s">
        <v>2048</v>
      </c>
      <c r="E1886" s="1">
        <v>65.0</v>
      </c>
      <c r="F1886" s="1">
        <v>16.0</v>
      </c>
      <c r="G1886" s="1">
        <v>0.0</v>
      </c>
      <c r="H1886" s="1">
        <v>0.0</v>
      </c>
      <c r="I1886" s="1">
        <v>0.0</v>
      </c>
      <c r="J1886" s="1">
        <v>0.0</v>
      </c>
      <c r="K1886" s="1">
        <v>0.0</v>
      </c>
      <c r="L1886" s="1">
        <v>3.46E7</v>
      </c>
      <c r="M1886" s="1" t="s">
        <v>6700</v>
      </c>
      <c r="N1886" s="18">
        <v>46021.0</v>
      </c>
      <c r="O1886" s="1" t="s">
        <v>4295</v>
      </c>
      <c r="P1886" s="1" t="s">
        <v>3230</v>
      </c>
      <c r="Q1886" s="1" t="s">
        <v>3408</v>
      </c>
    </row>
    <row r="1887">
      <c r="A1887" s="1" t="s">
        <v>6701</v>
      </c>
      <c r="B1887" s="1">
        <v>65.0</v>
      </c>
      <c r="C1887" s="1">
        <v>70.0</v>
      </c>
      <c r="D1887" s="2" t="s">
        <v>2253</v>
      </c>
      <c r="E1887" s="1">
        <v>65.0</v>
      </c>
      <c r="F1887" s="1">
        <v>17.0</v>
      </c>
      <c r="G1887" s="1">
        <v>0.3</v>
      </c>
      <c r="H1887" s="1">
        <v>0.0</v>
      </c>
      <c r="I1887" s="1">
        <v>0.0</v>
      </c>
      <c r="J1887" s="1">
        <v>0.0</v>
      </c>
      <c r="K1887" s="1">
        <v>1.0</v>
      </c>
      <c r="L1887" s="1">
        <v>9.95E7</v>
      </c>
      <c r="M1887" s="1" t="s">
        <v>6702</v>
      </c>
      <c r="N1887" s="18">
        <v>46018.0</v>
      </c>
      <c r="O1887" s="1" t="s">
        <v>6703</v>
      </c>
      <c r="P1887" s="1" t="s">
        <v>3301</v>
      </c>
      <c r="Q1887" s="1" t="s">
        <v>3408</v>
      </c>
    </row>
    <row r="1888">
      <c r="A1888" s="1" t="s">
        <v>6704</v>
      </c>
      <c r="B1888" s="1">
        <v>65.0</v>
      </c>
      <c r="C1888" s="1">
        <v>50.0</v>
      </c>
      <c r="D1888" s="2" t="s">
        <v>718</v>
      </c>
      <c r="E1888" s="1">
        <v>65.0</v>
      </c>
      <c r="F1888" s="1">
        <v>17.0</v>
      </c>
      <c r="G1888" s="1">
        <v>26.29</v>
      </c>
      <c r="H1888" s="1">
        <v>0.0</v>
      </c>
      <c r="I1888" s="1">
        <v>0.0</v>
      </c>
      <c r="J1888" s="1">
        <v>0.0</v>
      </c>
      <c r="K1888" s="1">
        <v>0.3</v>
      </c>
      <c r="L1888" s="1">
        <v>3050000.0</v>
      </c>
      <c r="M1888" s="1" t="s">
        <v>6705</v>
      </c>
      <c r="N1888" s="18">
        <v>46017.0</v>
      </c>
      <c r="O1888" s="1" t="s">
        <v>3231</v>
      </c>
      <c r="P1888" s="1" t="s">
        <v>3257</v>
      </c>
      <c r="Q1888" s="1" t="s">
        <v>3408</v>
      </c>
    </row>
    <row r="1889">
      <c r="A1889" s="1" t="s">
        <v>3451</v>
      </c>
      <c r="B1889" s="1">
        <v>65.0</v>
      </c>
      <c r="C1889" s="1">
        <v>90.0</v>
      </c>
      <c r="D1889" s="2" t="s">
        <v>2979</v>
      </c>
      <c r="E1889" s="1">
        <v>65.0</v>
      </c>
      <c r="F1889" s="1">
        <v>14.0</v>
      </c>
      <c r="G1889" s="1">
        <v>13.98</v>
      </c>
      <c r="H1889" s="1">
        <v>0.0</v>
      </c>
      <c r="I1889" s="1">
        <v>0.0</v>
      </c>
      <c r="J1889" s="1">
        <v>0.0</v>
      </c>
      <c r="K1889" s="1">
        <v>0.45</v>
      </c>
      <c r="L1889" s="1">
        <v>19100.0</v>
      </c>
      <c r="M1889" s="1" t="s">
        <v>3452</v>
      </c>
      <c r="N1889" s="18">
        <v>46015.0</v>
      </c>
      <c r="O1889" s="1" t="s">
        <v>3288</v>
      </c>
      <c r="P1889" s="1" t="s">
        <v>3257</v>
      </c>
      <c r="Q1889" s="1" t="s">
        <v>3408</v>
      </c>
    </row>
    <row r="1890">
      <c r="A1890" s="1" t="s">
        <v>6706</v>
      </c>
      <c r="B1890" s="1">
        <v>65.0</v>
      </c>
      <c r="C1890" s="1">
        <v>40.0</v>
      </c>
      <c r="D1890" s="2" t="s">
        <v>2134</v>
      </c>
      <c r="E1890" s="1">
        <v>65.0</v>
      </c>
      <c r="F1890" s="1">
        <v>0.0</v>
      </c>
      <c r="G1890" s="1">
        <v>0.0</v>
      </c>
      <c r="H1890" s="1">
        <v>0.0</v>
      </c>
      <c r="I1890" s="1">
        <v>0.0</v>
      </c>
      <c r="J1890" s="1">
        <v>0.0</v>
      </c>
      <c r="K1890" s="1">
        <v>0.01</v>
      </c>
      <c r="L1890" s="1">
        <v>278000.0</v>
      </c>
      <c r="M1890" s="1" t="s">
        <v>5864</v>
      </c>
      <c r="N1890" s="18">
        <v>46015.0</v>
      </c>
      <c r="O1890" s="1" t="s">
        <v>6707</v>
      </c>
      <c r="P1890" s="1" t="s">
        <v>3230</v>
      </c>
      <c r="Q1890" s="1" t="s">
        <v>3408</v>
      </c>
    </row>
    <row r="1891">
      <c r="A1891" s="1" t="s">
        <v>6708</v>
      </c>
      <c r="B1891" s="1">
        <v>65.0</v>
      </c>
      <c r="C1891" s="1">
        <v>40.0</v>
      </c>
      <c r="D1891" s="2" t="s">
        <v>911</v>
      </c>
      <c r="E1891" s="1">
        <v>65.0</v>
      </c>
      <c r="F1891" s="1">
        <v>2.0</v>
      </c>
      <c r="G1891" s="1">
        <v>1.23</v>
      </c>
      <c r="H1891" s="1">
        <v>0.0</v>
      </c>
      <c r="I1891" s="1">
        <v>0.0</v>
      </c>
      <c r="J1891" s="1">
        <v>0.0</v>
      </c>
      <c r="K1891" s="1">
        <v>0.46</v>
      </c>
      <c r="L1891" s="1">
        <v>6860000.0</v>
      </c>
      <c r="M1891" s="1" t="s">
        <v>5864</v>
      </c>
      <c r="N1891" s="18">
        <v>46015.0</v>
      </c>
      <c r="O1891" s="1" t="s">
        <v>6709</v>
      </c>
      <c r="P1891" s="1" t="s">
        <v>3230</v>
      </c>
      <c r="Q1891" s="1" t="s">
        <v>3408</v>
      </c>
    </row>
    <row r="1892">
      <c r="A1892" s="1" t="s">
        <v>6710</v>
      </c>
      <c r="B1892" s="1">
        <v>65.0</v>
      </c>
      <c r="C1892" s="1">
        <v>110.0</v>
      </c>
      <c r="D1892" s="2" t="s">
        <v>899</v>
      </c>
      <c r="E1892" s="1">
        <v>65.0</v>
      </c>
      <c r="F1892" s="1">
        <v>17.0</v>
      </c>
      <c r="G1892" s="1">
        <v>6.72</v>
      </c>
      <c r="H1892" s="1">
        <v>0.0</v>
      </c>
      <c r="I1892" s="1">
        <v>0.0</v>
      </c>
      <c r="J1892" s="1">
        <v>0.0</v>
      </c>
      <c r="K1892" s="1">
        <v>0.74</v>
      </c>
      <c r="L1892" s="1">
        <v>3.98E7</v>
      </c>
      <c r="M1892" s="1" t="s">
        <v>6711</v>
      </c>
      <c r="N1892" s="18">
        <v>46014.0</v>
      </c>
      <c r="O1892" s="1" t="s">
        <v>4576</v>
      </c>
      <c r="P1892" s="1" t="s">
        <v>3257</v>
      </c>
      <c r="Q1892" s="1" t="s">
        <v>3408</v>
      </c>
    </row>
    <row r="1893">
      <c r="A1893" s="1" t="s">
        <v>6712</v>
      </c>
      <c r="B1893" s="1">
        <v>65.0</v>
      </c>
      <c r="C1893" s="1">
        <v>70.0</v>
      </c>
      <c r="D1893" s="2" t="s">
        <v>2253</v>
      </c>
      <c r="E1893" s="1">
        <v>65.0</v>
      </c>
      <c r="F1893" s="1">
        <v>5.0</v>
      </c>
      <c r="G1893" s="1">
        <v>0.0</v>
      </c>
      <c r="H1893" s="1">
        <v>0.0</v>
      </c>
      <c r="I1893" s="1">
        <v>0.0</v>
      </c>
      <c r="J1893" s="1">
        <v>0.0</v>
      </c>
      <c r="K1893" s="1">
        <v>0.0</v>
      </c>
      <c r="L1893" s="1">
        <v>5830000.0</v>
      </c>
      <c r="M1893" s="1" t="s">
        <v>6713</v>
      </c>
      <c r="N1893" s="18">
        <v>46012.0</v>
      </c>
      <c r="O1893" s="1" t="s">
        <v>4605</v>
      </c>
      <c r="P1893" s="1" t="s">
        <v>3230</v>
      </c>
      <c r="Q1893" s="1" t="s">
        <v>3408</v>
      </c>
    </row>
    <row r="1894">
      <c r="A1894" s="1" t="s">
        <v>6714</v>
      </c>
      <c r="B1894" s="1">
        <v>65.0</v>
      </c>
      <c r="C1894" s="1">
        <v>70.0</v>
      </c>
      <c r="D1894" s="2" t="s">
        <v>1536</v>
      </c>
      <c r="E1894" s="1">
        <v>65.0</v>
      </c>
      <c r="F1894" s="1">
        <v>0.0</v>
      </c>
      <c r="G1894" s="1">
        <v>0.0</v>
      </c>
      <c r="H1894" s="1">
        <v>0.0</v>
      </c>
      <c r="I1894" s="1">
        <v>0.0</v>
      </c>
      <c r="J1894" s="1">
        <v>0.0</v>
      </c>
      <c r="K1894" s="1">
        <v>0.0</v>
      </c>
      <c r="L1894" s="1">
        <v>1.44E7</v>
      </c>
      <c r="M1894" s="1" t="s">
        <v>6715</v>
      </c>
      <c r="N1894" s="18">
        <v>46011.0</v>
      </c>
      <c r="O1894" s="1" t="s">
        <v>3840</v>
      </c>
      <c r="P1894" s="1" t="s">
        <v>3230</v>
      </c>
      <c r="Q1894" s="1" t="s">
        <v>3408</v>
      </c>
    </row>
    <row r="1895">
      <c r="A1895" s="1" t="s">
        <v>6716</v>
      </c>
      <c r="B1895" s="1">
        <v>65.0</v>
      </c>
      <c r="C1895" s="1">
        <v>40.0</v>
      </c>
      <c r="D1895" s="2" t="s">
        <v>439</v>
      </c>
      <c r="E1895" s="1">
        <v>65.0</v>
      </c>
      <c r="F1895" s="1">
        <v>17.0</v>
      </c>
      <c r="G1895" s="1">
        <v>0.0</v>
      </c>
      <c r="H1895" s="1">
        <v>0.0</v>
      </c>
      <c r="I1895" s="1">
        <v>0.0</v>
      </c>
      <c r="J1895" s="1">
        <v>0.0</v>
      </c>
      <c r="K1895" s="1">
        <v>0.03</v>
      </c>
      <c r="L1895" s="1">
        <v>2850000.0</v>
      </c>
      <c r="M1895" s="1" t="s">
        <v>6717</v>
      </c>
      <c r="N1895" s="18">
        <v>46008.0</v>
      </c>
      <c r="O1895" s="1" t="s">
        <v>4121</v>
      </c>
      <c r="P1895" s="1" t="s">
        <v>3294</v>
      </c>
      <c r="Q1895" s="1" t="s">
        <v>3408</v>
      </c>
    </row>
    <row r="1896">
      <c r="A1896" s="1" t="s">
        <v>6718</v>
      </c>
      <c r="B1896" s="1">
        <v>65.0</v>
      </c>
      <c r="C1896" s="1">
        <v>140.0</v>
      </c>
      <c r="D1896" s="2" t="s">
        <v>581</v>
      </c>
      <c r="E1896" s="1">
        <v>65.0</v>
      </c>
      <c r="F1896" s="1">
        <v>43.0</v>
      </c>
      <c r="G1896" s="1">
        <v>2.34</v>
      </c>
      <c r="H1896" s="1">
        <v>0.0</v>
      </c>
      <c r="I1896" s="1">
        <v>0.0</v>
      </c>
      <c r="J1896" s="1">
        <v>0.0</v>
      </c>
      <c r="K1896" s="1">
        <v>0.15</v>
      </c>
      <c r="L1896" s="1">
        <v>4.94E7</v>
      </c>
      <c r="M1896" s="1" t="s">
        <v>6719</v>
      </c>
      <c r="N1896" s="18">
        <v>46008.0</v>
      </c>
      <c r="O1896" s="1" t="s">
        <v>3821</v>
      </c>
      <c r="P1896" s="1" t="s">
        <v>3294</v>
      </c>
      <c r="Q1896" s="1" t="s">
        <v>3408</v>
      </c>
    </row>
    <row r="1897">
      <c r="A1897" s="1" t="s">
        <v>6720</v>
      </c>
      <c r="B1897" s="1">
        <v>65.0</v>
      </c>
      <c r="C1897" s="1">
        <v>70.0</v>
      </c>
      <c r="D1897" s="2" t="s">
        <v>2364</v>
      </c>
      <c r="E1897" s="1">
        <v>65.0</v>
      </c>
      <c r="F1897" s="1">
        <v>1.0</v>
      </c>
      <c r="G1897" s="1">
        <v>8.33</v>
      </c>
      <c r="H1897" s="1">
        <v>0.0</v>
      </c>
      <c r="I1897" s="1">
        <v>0.0</v>
      </c>
      <c r="J1897" s="1">
        <v>0.0</v>
      </c>
      <c r="K1897" s="1">
        <v>0.04</v>
      </c>
      <c r="L1897" s="1">
        <v>1800000.0</v>
      </c>
      <c r="M1897" s="1" t="s">
        <v>6721</v>
      </c>
      <c r="N1897" s="18">
        <v>46008.0</v>
      </c>
      <c r="O1897" s="1" t="s">
        <v>3375</v>
      </c>
      <c r="P1897" s="1" t="s">
        <v>3230</v>
      </c>
      <c r="Q1897" s="1" t="s">
        <v>3408</v>
      </c>
    </row>
    <row r="1898">
      <c r="A1898" s="1" t="s">
        <v>6722</v>
      </c>
      <c r="B1898" s="1">
        <v>65.0</v>
      </c>
      <c r="C1898" s="1">
        <v>50.0</v>
      </c>
      <c r="D1898" s="2" t="s">
        <v>439</v>
      </c>
      <c r="E1898" s="1">
        <v>65.0</v>
      </c>
      <c r="F1898" s="1">
        <v>17.0</v>
      </c>
      <c r="G1898" s="1">
        <v>4.78</v>
      </c>
      <c r="H1898" s="1">
        <v>0.0</v>
      </c>
      <c r="I1898" s="1">
        <v>0.0</v>
      </c>
      <c r="J1898" s="1">
        <v>0.0</v>
      </c>
      <c r="K1898" s="1">
        <v>0.07</v>
      </c>
      <c r="L1898" s="1">
        <v>124000.0</v>
      </c>
      <c r="M1898" s="1" t="s">
        <v>6723</v>
      </c>
      <c r="N1898" s="18">
        <v>46007.0</v>
      </c>
      <c r="O1898" s="1" t="s">
        <v>5079</v>
      </c>
      <c r="P1898" s="1" t="s">
        <v>3294</v>
      </c>
      <c r="Q1898" s="1" t="s">
        <v>3408</v>
      </c>
    </row>
    <row r="1899">
      <c r="A1899" s="1" t="s">
        <v>5565</v>
      </c>
      <c r="B1899" s="1">
        <v>65.0</v>
      </c>
      <c r="C1899" s="1">
        <v>480.0</v>
      </c>
      <c r="D1899" s="2" t="s">
        <v>681</v>
      </c>
      <c r="E1899" s="1">
        <v>65.0</v>
      </c>
      <c r="F1899" s="1">
        <v>16.0</v>
      </c>
      <c r="G1899" s="1">
        <v>1.29</v>
      </c>
      <c r="H1899" s="1">
        <v>0.0</v>
      </c>
      <c r="I1899" s="1">
        <v>0.0</v>
      </c>
      <c r="J1899" s="1">
        <v>0.0</v>
      </c>
      <c r="K1899" s="1">
        <v>0.32</v>
      </c>
      <c r="L1899" s="1">
        <v>1.61E7</v>
      </c>
      <c r="M1899" s="1" t="s">
        <v>5566</v>
      </c>
      <c r="N1899" s="18">
        <v>46006.0</v>
      </c>
      <c r="O1899" s="1" t="s">
        <v>3479</v>
      </c>
      <c r="P1899" s="1" t="s">
        <v>3230</v>
      </c>
      <c r="Q1899" s="1" t="s">
        <v>3408</v>
      </c>
    </row>
    <row r="1900">
      <c r="A1900" s="1" t="s">
        <v>6724</v>
      </c>
      <c r="B1900" s="1">
        <v>65.0</v>
      </c>
      <c r="C1900" s="1">
        <v>1000.0</v>
      </c>
      <c r="D1900" s="2" t="s">
        <v>1327</v>
      </c>
      <c r="E1900" s="1">
        <v>65.0</v>
      </c>
      <c r="F1900" s="1">
        <v>25.0</v>
      </c>
      <c r="G1900" s="1">
        <v>0.0</v>
      </c>
      <c r="H1900" s="1">
        <v>0.0</v>
      </c>
      <c r="I1900" s="1">
        <v>0.0</v>
      </c>
      <c r="J1900" s="1">
        <v>0.0</v>
      </c>
      <c r="K1900" s="1">
        <v>0.0</v>
      </c>
      <c r="L1900" s="1">
        <v>5960000.0</v>
      </c>
      <c r="M1900" s="1" t="s">
        <v>6725</v>
      </c>
      <c r="N1900" s="18">
        <v>46004.0</v>
      </c>
      <c r="O1900" s="1" t="s">
        <v>3314</v>
      </c>
      <c r="P1900" s="1" t="s">
        <v>3230</v>
      </c>
      <c r="Q1900" s="1" t="s">
        <v>3408</v>
      </c>
    </row>
    <row r="1901">
      <c r="A1901" s="1" t="s">
        <v>6726</v>
      </c>
      <c r="B1901" s="1">
        <v>65.0</v>
      </c>
      <c r="C1901" s="1">
        <v>50.0</v>
      </c>
      <c r="D1901" s="2" t="s">
        <v>798</v>
      </c>
      <c r="E1901" s="1">
        <v>65.0</v>
      </c>
      <c r="F1901" s="1">
        <v>17.0</v>
      </c>
      <c r="G1901" s="1">
        <v>0.0</v>
      </c>
      <c r="H1901" s="1">
        <v>0.0</v>
      </c>
      <c r="I1901" s="1">
        <v>0.0</v>
      </c>
      <c r="J1901" s="1">
        <v>0.0</v>
      </c>
      <c r="K1901" s="1">
        <v>0.01</v>
      </c>
      <c r="L1901" s="1">
        <v>3.25E7</v>
      </c>
      <c r="M1901" s="1" t="s">
        <v>6727</v>
      </c>
      <c r="N1901" s="18">
        <v>46002.0</v>
      </c>
      <c r="O1901" s="1" t="s">
        <v>3861</v>
      </c>
      <c r="P1901" s="1" t="s">
        <v>3230</v>
      </c>
      <c r="Q1901" s="1" t="s">
        <v>3408</v>
      </c>
    </row>
    <row r="1902">
      <c r="A1902" s="1" t="s">
        <v>6205</v>
      </c>
      <c r="B1902" s="1">
        <v>65.0</v>
      </c>
      <c r="C1902" s="1">
        <v>70.0</v>
      </c>
      <c r="D1902" s="2" t="s">
        <v>1331</v>
      </c>
      <c r="E1902" s="1">
        <v>65.0</v>
      </c>
      <c r="F1902" s="1">
        <v>20.0</v>
      </c>
      <c r="G1902" s="1">
        <v>0.0</v>
      </c>
      <c r="H1902" s="1">
        <v>0.0</v>
      </c>
      <c r="I1902" s="1">
        <v>0.0</v>
      </c>
      <c r="J1902" s="1">
        <v>0.0</v>
      </c>
      <c r="K1902" s="1">
        <v>0.0</v>
      </c>
      <c r="L1902" s="1">
        <v>8.35E7</v>
      </c>
      <c r="M1902" s="1" t="s">
        <v>6206</v>
      </c>
      <c r="N1902" s="18">
        <v>46001.0</v>
      </c>
      <c r="O1902" s="1" t="s">
        <v>6207</v>
      </c>
      <c r="P1902" s="1" t="s">
        <v>3230</v>
      </c>
      <c r="Q1902" s="1" t="s">
        <v>3408</v>
      </c>
    </row>
    <row r="1903">
      <c r="A1903" s="1" t="s">
        <v>6728</v>
      </c>
      <c r="B1903" s="1">
        <v>65.0</v>
      </c>
      <c r="C1903" s="1">
        <v>40.0</v>
      </c>
      <c r="D1903" s="2" t="s">
        <v>439</v>
      </c>
      <c r="E1903" s="1">
        <v>65.0</v>
      </c>
      <c r="F1903" s="1">
        <v>29.0</v>
      </c>
      <c r="G1903" s="1">
        <v>0.0</v>
      </c>
      <c r="H1903" s="1">
        <v>0.0</v>
      </c>
      <c r="I1903" s="1">
        <v>0.0</v>
      </c>
      <c r="J1903" s="1">
        <v>0.0</v>
      </c>
      <c r="K1903" s="1">
        <v>0.01</v>
      </c>
      <c r="L1903" s="1">
        <v>3.25E7</v>
      </c>
      <c r="M1903" s="1" t="s">
        <v>6729</v>
      </c>
      <c r="N1903" s="18">
        <v>46000.0</v>
      </c>
      <c r="O1903" s="1" t="s">
        <v>3821</v>
      </c>
      <c r="P1903" s="1" t="s">
        <v>3294</v>
      </c>
      <c r="Q1903" s="1" t="s">
        <v>3408</v>
      </c>
    </row>
    <row r="1904">
      <c r="A1904" s="1" t="s">
        <v>6730</v>
      </c>
      <c r="B1904" s="1">
        <v>65.0</v>
      </c>
      <c r="C1904" s="1">
        <v>590.0</v>
      </c>
      <c r="D1904" s="2" t="s">
        <v>681</v>
      </c>
      <c r="E1904" s="1">
        <v>65.0</v>
      </c>
      <c r="F1904" s="1">
        <v>12.0</v>
      </c>
      <c r="G1904" s="1">
        <v>1.29</v>
      </c>
      <c r="H1904" s="1">
        <v>0.0</v>
      </c>
      <c r="I1904" s="1">
        <v>0.0</v>
      </c>
      <c r="J1904" s="1">
        <v>0.0</v>
      </c>
      <c r="K1904" s="1">
        <v>0.32</v>
      </c>
      <c r="L1904" s="1">
        <v>5940000.0</v>
      </c>
      <c r="M1904" s="1" t="s">
        <v>6731</v>
      </c>
      <c r="N1904" s="18">
        <v>45996.0</v>
      </c>
      <c r="O1904" s="1" t="s">
        <v>3493</v>
      </c>
      <c r="P1904" s="1" t="s">
        <v>3230</v>
      </c>
      <c r="Q1904" s="1" t="s">
        <v>3408</v>
      </c>
    </row>
    <row r="1905">
      <c r="A1905" s="1" t="s">
        <v>6732</v>
      </c>
      <c r="B1905" s="1">
        <v>65.0</v>
      </c>
      <c r="C1905" s="1">
        <v>40.0</v>
      </c>
      <c r="D1905" s="2" t="s">
        <v>581</v>
      </c>
      <c r="E1905" s="1">
        <v>65.0</v>
      </c>
      <c r="F1905" s="1">
        <v>12.0</v>
      </c>
      <c r="G1905" s="1">
        <v>0.0</v>
      </c>
      <c r="H1905" s="1">
        <v>0.0</v>
      </c>
      <c r="I1905" s="1">
        <v>0.0</v>
      </c>
      <c r="J1905" s="1">
        <v>0.0</v>
      </c>
      <c r="K1905" s="1">
        <v>0.14</v>
      </c>
      <c r="L1905" s="1">
        <v>157000.0</v>
      </c>
      <c r="M1905" s="1" t="s">
        <v>6733</v>
      </c>
      <c r="N1905" s="18">
        <v>45995.0</v>
      </c>
      <c r="O1905" s="1" t="s">
        <v>6734</v>
      </c>
      <c r="P1905" s="1" t="s">
        <v>3257</v>
      </c>
      <c r="Q1905" s="1" t="s">
        <v>3408</v>
      </c>
    </row>
    <row r="1906">
      <c r="A1906" s="1" t="s">
        <v>6735</v>
      </c>
      <c r="B1906" s="1">
        <v>65.0</v>
      </c>
      <c r="C1906" s="1">
        <v>140.0</v>
      </c>
      <c r="D1906" s="2" t="s">
        <v>2080</v>
      </c>
      <c r="E1906" s="1">
        <v>65.0</v>
      </c>
      <c r="F1906" s="1">
        <v>4.0</v>
      </c>
      <c r="G1906" s="1">
        <v>3.06</v>
      </c>
      <c r="H1906" s="1">
        <v>0.0</v>
      </c>
      <c r="I1906" s="1">
        <v>0.0</v>
      </c>
      <c r="J1906" s="1">
        <v>0.0</v>
      </c>
      <c r="K1906" s="1">
        <v>0.43</v>
      </c>
      <c r="L1906" s="1">
        <v>1750000.0</v>
      </c>
      <c r="M1906" s="1" t="s">
        <v>6736</v>
      </c>
      <c r="N1906" s="18">
        <v>45993.0</v>
      </c>
      <c r="O1906" s="1" t="s">
        <v>3264</v>
      </c>
      <c r="P1906" s="1" t="s">
        <v>3230</v>
      </c>
      <c r="Q1906" s="1" t="s">
        <v>3408</v>
      </c>
    </row>
    <row r="1907">
      <c r="A1907" s="1" t="s">
        <v>6737</v>
      </c>
      <c r="B1907" s="1">
        <v>65.0</v>
      </c>
      <c r="C1907" s="1">
        <v>170.0</v>
      </c>
      <c r="D1907" s="2" t="s">
        <v>681</v>
      </c>
      <c r="E1907" s="1">
        <v>65.0</v>
      </c>
      <c r="F1907" s="1">
        <v>10.0</v>
      </c>
      <c r="G1907" s="1">
        <v>0.3</v>
      </c>
      <c r="H1907" s="1">
        <v>0.0</v>
      </c>
      <c r="I1907" s="1">
        <v>0.0</v>
      </c>
      <c r="J1907" s="1">
        <v>0.0</v>
      </c>
      <c r="K1907" s="1">
        <v>0.16</v>
      </c>
      <c r="L1907" s="1">
        <v>1.63E7</v>
      </c>
      <c r="M1907" s="1" t="s">
        <v>6738</v>
      </c>
      <c r="N1907" s="18">
        <v>45993.0</v>
      </c>
      <c r="O1907" s="1" t="s">
        <v>3407</v>
      </c>
      <c r="P1907" s="1" t="s">
        <v>3230</v>
      </c>
      <c r="Q1907" s="1" t="s">
        <v>3408</v>
      </c>
    </row>
    <row r="1908">
      <c r="A1908" s="1" t="s">
        <v>4593</v>
      </c>
      <c r="B1908" s="1">
        <v>65.0</v>
      </c>
      <c r="C1908" s="1">
        <v>50.0</v>
      </c>
      <c r="D1908" s="2" t="s">
        <v>581</v>
      </c>
      <c r="E1908" s="1">
        <v>65.0</v>
      </c>
      <c r="F1908" s="1">
        <v>43.0</v>
      </c>
      <c r="G1908" s="1">
        <v>14.11</v>
      </c>
      <c r="H1908" s="1">
        <v>0.0</v>
      </c>
      <c r="I1908" s="1">
        <v>0.0</v>
      </c>
      <c r="J1908" s="1">
        <v>0.0</v>
      </c>
      <c r="K1908" s="1">
        <v>0.6</v>
      </c>
      <c r="L1908" s="1">
        <v>223000.0</v>
      </c>
      <c r="M1908" s="1" t="s">
        <v>4594</v>
      </c>
      <c r="N1908" s="18">
        <v>45992.0</v>
      </c>
      <c r="O1908" s="1" t="s">
        <v>3673</v>
      </c>
      <c r="P1908" s="1" t="s">
        <v>3257</v>
      </c>
      <c r="Q1908" s="1" t="s">
        <v>3408</v>
      </c>
    </row>
    <row r="1909">
      <c r="A1909" s="1" t="s">
        <v>6739</v>
      </c>
      <c r="B1909" s="1">
        <v>65.0</v>
      </c>
      <c r="C1909" s="1">
        <v>40.0</v>
      </c>
      <c r="D1909" s="2" t="s">
        <v>1076</v>
      </c>
      <c r="E1909" s="1">
        <v>65.0</v>
      </c>
      <c r="F1909" s="1">
        <v>0.0</v>
      </c>
      <c r="G1909" s="1">
        <v>5.86</v>
      </c>
      <c r="H1909" s="1">
        <v>0.0</v>
      </c>
      <c r="I1909" s="1">
        <v>0.0</v>
      </c>
      <c r="J1909" s="1">
        <v>0.0</v>
      </c>
      <c r="K1909" s="1">
        <v>0.12</v>
      </c>
      <c r="L1909" s="1">
        <v>4.21E7</v>
      </c>
      <c r="M1909" s="1" t="s">
        <v>6740</v>
      </c>
      <c r="N1909" s="18">
        <v>45991.0</v>
      </c>
      <c r="O1909" s="1" t="s">
        <v>3565</v>
      </c>
      <c r="P1909" s="1" t="s">
        <v>3230</v>
      </c>
      <c r="Q1909" s="1" t="s">
        <v>3408</v>
      </c>
    </row>
    <row r="1910">
      <c r="A1910" s="1" t="s">
        <v>5872</v>
      </c>
      <c r="B1910" s="1">
        <v>65.0</v>
      </c>
      <c r="C1910" s="1">
        <v>110.0</v>
      </c>
      <c r="D1910" s="2" t="s">
        <v>1198</v>
      </c>
      <c r="E1910" s="1">
        <v>65.0</v>
      </c>
      <c r="F1910" s="1">
        <v>1.0</v>
      </c>
      <c r="G1910" s="1">
        <v>5.31</v>
      </c>
      <c r="H1910" s="1">
        <v>0.0</v>
      </c>
      <c r="I1910" s="1">
        <v>0.0</v>
      </c>
      <c r="J1910" s="1">
        <v>0.0</v>
      </c>
      <c r="K1910" s="1">
        <v>0.48</v>
      </c>
      <c r="L1910" s="1">
        <v>906000.0</v>
      </c>
      <c r="M1910" s="1" t="s">
        <v>5873</v>
      </c>
      <c r="N1910" s="18">
        <v>45989.0</v>
      </c>
      <c r="O1910" s="1" t="s">
        <v>3455</v>
      </c>
      <c r="P1910" s="1" t="s">
        <v>3257</v>
      </c>
      <c r="Q1910" s="1" t="s">
        <v>3408</v>
      </c>
    </row>
    <row r="1911">
      <c r="A1911" s="1" t="s">
        <v>6741</v>
      </c>
      <c r="B1911" s="1">
        <v>65.0</v>
      </c>
      <c r="C1911" s="1">
        <v>90.0</v>
      </c>
      <c r="D1911" s="2" t="s">
        <v>2249</v>
      </c>
      <c r="E1911" s="1">
        <v>65.0</v>
      </c>
      <c r="F1911" s="1">
        <v>14.0</v>
      </c>
      <c r="G1911" s="1">
        <v>0.0</v>
      </c>
      <c r="H1911" s="1">
        <v>0.0</v>
      </c>
      <c r="I1911" s="1">
        <v>0.0</v>
      </c>
      <c r="J1911" s="1">
        <v>0.0</v>
      </c>
      <c r="K1911" s="1">
        <v>0.0</v>
      </c>
      <c r="L1911" s="1">
        <v>2.44E8</v>
      </c>
      <c r="M1911" s="1" t="s">
        <v>6742</v>
      </c>
      <c r="N1911" s="18">
        <v>45988.0</v>
      </c>
      <c r="O1911" s="1" t="s">
        <v>5650</v>
      </c>
      <c r="P1911" s="1" t="s">
        <v>3230</v>
      </c>
      <c r="Q1911" s="1" t="s">
        <v>3408</v>
      </c>
    </row>
    <row r="1912">
      <c r="A1912" s="1" t="s">
        <v>6743</v>
      </c>
      <c r="B1912" s="1">
        <v>65.0</v>
      </c>
      <c r="C1912" s="1">
        <v>210.0</v>
      </c>
      <c r="D1912" s="2" t="s">
        <v>581</v>
      </c>
      <c r="E1912" s="1">
        <v>65.0</v>
      </c>
      <c r="F1912" s="1">
        <v>43.0</v>
      </c>
      <c r="G1912" s="1">
        <v>16.88</v>
      </c>
      <c r="H1912" s="1">
        <v>0.0</v>
      </c>
      <c r="I1912" s="1">
        <v>0.0</v>
      </c>
      <c r="J1912" s="1">
        <v>0.0</v>
      </c>
      <c r="K1912" s="1">
        <v>0.54</v>
      </c>
      <c r="L1912" s="1">
        <v>104000.0</v>
      </c>
      <c r="M1912" s="1" t="s">
        <v>6744</v>
      </c>
      <c r="N1912" s="18">
        <v>45988.0</v>
      </c>
      <c r="O1912" s="1" t="s">
        <v>6745</v>
      </c>
      <c r="P1912" s="1" t="s">
        <v>3257</v>
      </c>
      <c r="Q1912" s="1" t="s">
        <v>3408</v>
      </c>
    </row>
    <row r="1913">
      <c r="A1913" s="1" t="s">
        <v>6746</v>
      </c>
      <c r="B1913" s="1">
        <v>65.0</v>
      </c>
      <c r="C1913" s="1">
        <v>90.0</v>
      </c>
      <c r="D1913" s="2" t="s">
        <v>1473</v>
      </c>
      <c r="E1913" s="1">
        <v>65.0</v>
      </c>
      <c r="F1913" s="1">
        <v>34.0</v>
      </c>
      <c r="G1913" s="1">
        <v>0.0</v>
      </c>
      <c r="H1913" s="1">
        <v>0.0</v>
      </c>
      <c r="I1913" s="1">
        <v>0.0</v>
      </c>
      <c r="J1913" s="1">
        <v>0.0</v>
      </c>
      <c r="K1913" s="1">
        <v>0.0</v>
      </c>
      <c r="L1913" s="1">
        <v>9.0</v>
      </c>
      <c r="M1913" s="1" t="s">
        <v>6747</v>
      </c>
      <c r="N1913" s="18">
        <v>45985.0</v>
      </c>
      <c r="O1913" s="1" t="s">
        <v>5650</v>
      </c>
      <c r="P1913" s="1" t="s">
        <v>3230</v>
      </c>
      <c r="Q1913" s="1" t="s">
        <v>3408</v>
      </c>
    </row>
    <row r="1914">
      <c r="A1914" s="1" t="s">
        <v>3680</v>
      </c>
      <c r="B1914" s="1">
        <v>65.0</v>
      </c>
      <c r="C1914" s="1">
        <v>110.0</v>
      </c>
      <c r="D1914" s="2" t="s">
        <v>447</v>
      </c>
      <c r="E1914" s="1">
        <v>65.0</v>
      </c>
      <c r="F1914" s="1">
        <v>12.0</v>
      </c>
      <c r="G1914" s="1">
        <v>13.92</v>
      </c>
      <c r="H1914" s="1">
        <v>0.0</v>
      </c>
      <c r="I1914" s="1">
        <v>0.0</v>
      </c>
      <c r="J1914" s="1">
        <v>0.0</v>
      </c>
      <c r="K1914" s="1">
        <v>0.06</v>
      </c>
      <c r="L1914" s="1">
        <v>10.0</v>
      </c>
      <c r="M1914" s="1" t="s">
        <v>3681</v>
      </c>
      <c r="N1914" s="18">
        <v>45984.0</v>
      </c>
      <c r="O1914" s="1" t="s">
        <v>3415</v>
      </c>
      <c r="P1914" s="1" t="s">
        <v>3257</v>
      </c>
      <c r="Q1914" s="1" t="s">
        <v>3408</v>
      </c>
    </row>
    <row r="1915">
      <c r="A1915" s="1" t="s">
        <v>6748</v>
      </c>
      <c r="B1915" s="1">
        <v>65.0</v>
      </c>
      <c r="C1915" s="1">
        <v>110.0</v>
      </c>
      <c r="D1915" s="2" t="s">
        <v>2186</v>
      </c>
      <c r="E1915" s="1">
        <v>65.0</v>
      </c>
      <c r="F1915" s="1">
        <v>48.0</v>
      </c>
      <c r="G1915" s="1">
        <v>0.0</v>
      </c>
      <c r="H1915" s="1">
        <v>0.0</v>
      </c>
      <c r="I1915" s="1">
        <v>0.0</v>
      </c>
      <c r="J1915" s="1">
        <v>0.0</v>
      </c>
      <c r="K1915" s="1">
        <v>0.0</v>
      </c>
      <c r="L1915" s="1">
        <v>4090000.0</v>
      </c>
      <c r="M1915" s="1" t="s">
        <v>6749</v>
      </c>
      <c r="N1915" s="18">
        <v>45981.0</v>
      </c>
      <c r="O1915" s="1" t="s">
        <v>3317</v>
      </c>
      <c r="P1915" s="1" t="s">
        <v>3230</v>
      </c>
      <c r="Q1915" s="1" t="s">
        <v>3408</v>
      </c>
    </row>
    <row r="1916">
      <c r="A1916" s="1" t="s">
        <v>3613</v>
      </c>
      <c r="B1916" s="1">
        <v>65.0</v>
      </c>
      <c r="C1916" s="1">
        <v>50.0</v>
      </c>
      <c r="D1916" s="2" t="s">
        <v>690</v>
      </c>
      <c r="E1916" s="1">
        <v>65.0</v>
      </c>
      <c r="F1916" s="1">
        <v>9.0</v>
      </c>
      <c r="G1916" s="1">
        <v>0.0</v>
      </c>
      <c r="H1916" s="1">
        <v>0.0</v>
      </c>
      <c r="I1916" s="1">
        <v>0.0</v>
      </c>
      <c r="J1916" s="1">
        <v>0.0</v>
      </c>
      <c r="K1916" s="1">
        <v>0.02</v>
      </c>
      <c r="L1916" s="1">
        <v>9.0</v>
      </c>
      <c r="M1916" s="1" t="s">
        <v>3614</v>
      </c>
      <c r="N1916" s="18">
        <v>45978.0</v>
      </c>
      <c r="O1916" s="1" t="s">
        <v>3435</v>
      </c>
      <c r="P1916" s="1" t="s">
        <v>3257</v>
      </c>
      <c r="Q1916" s="1" t="s">
        <v>3408</v>
      </c>
    </row>
    <row r="1917">
      <c r="A1917" s="1" t="s">
        <v>6750</v>
      </c>
      <c r="B1917" s="1">
        <v>66.0</v>
      </c>
      <c r="C1917" s="1">
        <v>30.0</v>
      </c>
      <c r="D1917" s="2" t="s">
        <v>676</v>
      </c>
      <c r="E1917" s="1">
        <v>0.0</v>
      </c>
      <c r="F1917" s="1">
        <v>42.0</v>
      </c>
      <c r="G1917" s="1">
        <v>11.49</v>
      </c>
      <c r="H1917" s="1">
        <v>0.0</v>
      </c>
      <c r="I1917" s="1">
        <v>0.0</v>
      </c>
      <c r="J1917" s="1">
        <v>0.0</v>
      </c>
      <c r="K1917" s="1">
        <v>0.66</v>
      </c>
      <c r="L1917" s="1">
        <v>3880000.0</v>
      </c>
      <c r="M1917" s="1" t="s">
        <v>6751</v>
      </c>
      <c r="N1917" s="18">
        <v>46042.0</v>
      </c>
      <c r="O1917" s="1" t="s">
        <v>3288</v>
      </c>
      <c r="P1917" s="1" t="s">
        <v>3257</v>
      </c>
      <c r="Q1917" s="1" t="s">
        <v>3408</v>
      </c>
    </row>
    <row r="1918">
      <c r="A1918" s="1" t="s">
        <v>6752</v>
      </c>
      <c r="B1918" s="1">
        <v>66.0</v>
      </c>
      <c r="C1918" s="1">
        <v>140.0</v>
      </c>
      <c r="D1918" s="2" t="s">
        <v>2253</v>
      </c>
      <c r="E1918" s="1">
        <v>87.0</v>
      </c>
      <c r="F1918" s="1">
        <v>7.0</v>
      </c>
      <c r="G1918" s="1">
        <v>0.0</v>
      </c>
      <c r="H1918" s="1">
        <v>0.0</v>
      </c>
      <c r="I1918" s="1">
        <v>0.0</v>
      </c>
      <c r="J1918" s="1">
        <v>0.0</v>
      </c>
      <c r="K1918" s="1">
        <v>0.0</v>
      </c>
      <c r="L1918" s="1">
        <v>1.38E8</v>
      </c>
      <c r="M1918" s="1" t="s">
        <v>6753</v>
      </c>
      <c r="N1918" s="18">
        <v>46042.0</v>
      </c>
      <c r="O1918" s="1" t="s">
        <v>3264</v>
      </c>
      <c r="P1918" s="1" t="s">
        <v>3230</v>
      </c>
      <c r="Q1918" s="1" t="s">
        <v>3408</v>
      </c>
    </row>
    <row r="1919">
      <c r="A1919" s="1" t="s">
        <v>6754</v>
      </c>
      <c r="B1919" s="1">
        <v>66.0</v>
      </c>
      <c r="C1919" s="1">
        <v>90.0</v>
      </c>
      <c r="D1919" s="2" t="s">
        <v>439</v>
      </c>
      <c r="E1919" s="1">
        <v>66.0</v>
      </c>
      <c r="F1919" s="1">
        <v>14.0</v>
      </c>
      <c r="G1919" s="1">
        <v>8.66</v>
      </c>
      <c r="H1919" s="1">
        <v>0.0</v>
      </c>
      <c r="I1919" s="1">
        <v>0.0</v>
      </c>
      <c r="J1919" s="1">
        <v>0.0</v>
      </c>
      <c r="K1919" s="1">
        <v>0.18</v>
      </c>
      <c r="L1919" s="1">
        <v>5930000.0</v>
      </c>
      <c r="M1919" s="1" t="s">
        <v>6755</v>
      </c>
      <c r="N1919" s="18">
        <v>46042.0</v>
      </c>
      <c r="O1919" s="1" t="s">
        <v>4763</v>
      </c>
      <c r="P1919" s="1" t="s">
        <v>4919</v>
      </c>
      <c r="Q1919" s="1" t="s">
        <v>3408</v>
      </c>
    </row>
    <row r="1920">
      <c r="A1920" s="1" t="s">
        <v>6756</v>
      </c>
      <c r="B1920" s="1">
        <v>66.0</v>
      </c>
      <c r="C1920" s="1">
        <v>70.0</v>
      </c>
      <c r="D1920" s="2" t="s">
        <v>1860</v>
      </c>
      <c r="E1920" s="1">
        <v>66.0</v>
      </c>
      <c r="F1920" s="1">
        <v>21.0</v>
      </c>
      <c r="G1920" s="1">
        <v>4.85</v>
      </c>
      <c r="H1920" s="1">
        <v>0.0</v>
      </c>
      <c r="I1920" s="1">
        <v>0.0</v>
      </c>
      <c r="J1920" s="1">
        <v>0.0</v>
      </c>
      <c r="K1920" s="1">
        <v>0.04</v>
      </c>
      <c r="L1920" s="1">
        <v>1.52E7</v>
      </c>
      <c r="M1920" s="1" t="s">
        <v>6757</v>
      </c>
      <c r="N1920" s="18">
        <v>46041.0</v>
      </c>
      <c r="O1920" s="1" t="s">
        <v>4487</v>
      </c>
      <c r="P1920" s="1" t="s">
        <v>3230</v>
      </c>
      <c r="Q1920" s="1" t="s">
        <v>3408</v>
      </c>
    </row>
    <row r="1921">
      <c r="A1921" s="1" t="s">
        <v>6758</v>
      </c>
      <c r="B1921" s="1">
        <v>66.0</v>
      </c>
      <c r="C1921" s="1">
        <v>40.0</v>
      </c>
      <c r="D1921" s="2" t="s">
        <v>606</v>
      </c>
      <c r="E1921" s="1">
        <v>66.0</v>
      </c>
      <c r="F1921" s="1">
        <v>29.0</v>
      </c>
      <c r="G1921" s="1">
        <v>0.0</v>
      </c>
      <c r="H1921" s="1">
        <v>0.0</v>
      </c>
      <c r="I1921" s="1">
        <v>0.0</v>
      </c>
      <c r="J1921" s="1">
        <v>0.0</v>
      </c>
      <c r="K1921" s="1">
        <v>0.04</v>
      </c>
      <c r="L1921" s="1">
        <v>2.95E8</v>
      </c>
      <c r="M1921" s="1" t="s">
        <v>6759</v>
      </c>
      <c r="N1921" s="18">
        <v>46039.0</v>
      </c>
      <c r="O1921" s="1" t="s">
        <v>3889</v>
      </c>
      <c r="P1921" s="1" t="s">
        <v>3230</v>
      </c>
      <c r="Q1921" s="1" t="s">
        <v>3408</v>
      </c>
    </row>
    <row r="1922">
      <c r="A1922" s="1" t="s">
        <v>6760</v>
      </c>
      <c r="B1922" s="1">
        <v>66.0</v>
      </c>
      <c r="C1922" s="1">
        <v>110.0</v>
      </c>
      <c r="D1922" s="2" t="s">
        <v>1981</v>
      </c>
      <c r="E1922" s="1">
        <v>66.0</v>
      </c>
      <c r="F1922" s="1">
        <v>8.0</v>
      </c>
      <c r="G1922" s="1">
        <v>4.49</v>
      </c>
      <c r="H1922" s="1">
        <v>0.0</v>
      </c>
      <c r="I1922" s="1">
        <v>0.0</v>
      </c>
      <c r="J1922" s="1">
        <v>0.0</v>
      </c>
      <c r="K1922" s="1">
        <v>0.76</v>
      </c>
      <c r="L1922" s="1">
        <v>2.22E8</v>
      </c>
      <c r="M1922" s="1" t="s">
        <v>6761</v>
      </c>
      <c r="N1922" s="18">
        <v>46039.0</v>
      </c>
      <c r="O1922" s="1" t="s">
        <v>3571</v>
      </c>
      <c r="P1922" s="1" t="s">
        <v>3257</v>
      </c>
      <c r="Q1922" s="1" t="s">
        <v>3408</v>
      </c>
    </row>
    <row r="1923">
      <c r="A1923" s="1" t="s">
        <v>6762</v>
      </c>
      <c r="B1923" s="1">
        <v>66.0</v>
      </c>
      <c r="C1923" s="1">
        <v>40.0</v>
      </c>
      <c r="D1923" s="2" t="s">
        <v>1532</v>
      </c>
      <c r="E1923" s="1">
        <v>66.0</v>
      </c>
      <c r="F1923" s="1">
        <v>0.0</v>
      </c>
      <c r="G1923" s="1">
        <v>1.63</v>
      </c>
      <c r="H1923" s="1">
        <v>0.0</v>
      </c>
      <c r="I1923" s="1">
        <v>0.0</v>
      </c>
      <c r="J1923" s="1">
        <v>0.0</v>
      </c>
      <c r="K1923" s="1">
        <v>0.31</v>
      </c>
      <c r="L1923" s="1">
        <v>3.76E7</v>
      </c>
      <c r="M1923" s="1" t="s">
        <v>6763</v>
      </c>
      <c r="N1923" s="18">
        <v>46038.0</v>
      </c>
      <c r="O1923" s="1" t="s">
        <v>3237</v>
      </c>
      <c r="P1923" s="1" t="s">
        <v>3334</v>
      </c>
      <c r="Q1923" s="1" t="s">
        <v>3408</v>
      </c>
    </row>
    <row r="1924">
      <c r="A1924" s="1" t="s">
        <v>6764</v>
      </c>
      <c r="B1924" s="1">
        <v>66.0</v>
      </c>
      <c r="C1924" s="1">
        <v>30.0</v>
      </c>
      <c r="D1924" s="2" t="s">
        <v>1099</v>
      </c>
      <c r="E1924" s="1">
        <v>66.0</v>
      </c>
      <c r="F1924" s="1">
        <v>22.0</v>
      </c>
      <c r="G1924" s="1">
        <v>1.74</v>
      </c>
      <c r="H1924" s="1">
        <v>0.0</v>
      </c>
      <c r="I1924" s="1">
        <v>0.0</v>
      </c>
      <c r="J1924" s="1">
        <v>0.0</v>
      </c>
      <c r="K1924" s="1">
        <v>0.8</v>
      </c>
      <c r="L1924" s="1">
        <v>1990000.0</v>
      </c>
      <c r="M1924" s="1" t="s">
        <v>4808</v>
      </c>
      <c r="N1924" s="18">
        <v>46036.0</v>
      </c>
      <c r="O1924" s="1" t="s">
        <v>3237</v>
      </c>
      <c r="P1924" s="1" t="s">
        <v>3230</v>
      </c>
      <c r="Q1924" s="1" t="s">
        <v>3408</v>
      </c>
    </row>
    <row r="1925">
      <c r="A1925" s="1" t="s">
        <v>6765</v>
      </c>
      <c r="B1925" s="1">
        <v>66.0</v>
      </c>
      <c r="C1925" s="1">
        <v>90.0</v>
      </c>
      <c r="D1925" s="2" t="s">
        <v>708</v>
      </c>
      <c r="E1925" s="1">
        <v>66.0</v>
      </c>
      <c r="F1925" s="1">
        <v>5.0</v>
      </c>
      <c r="G1925" s="1">
        <v>0.0</v>
      </c>
      <c r="H1925" s="1">
        <v>0.0</v>
      </c>
      <c r="I1925" s="1">
        <v>0.0</v>
      </c>
      <c r="J1925" s="1">
        <v>0.0</v>
      </c>
      <c r="K1925" s="1">
        <v>0.0</v>
      </c>
      <c r="L1925" s="1">
        <v>52600.0</v>
      </c>
      <c r="M1925" s="1" t="s">
        <v>6766</v>
      </c>
      <c r="N1925" s="18">
        <v>46035.0</v>
      </c>
      <c r="O1925" s="1" t="s">
        <v>5598</v>
      </c>
      <c r="P1925" s="1" t="s">
        <v>3334</v>
      </c>
      <c r="Q1925" s="1" t="s">
        <v>3408</v>
      </c>
    </row>
    <row r="1926">
      <c r="A1926" s="1" t="s">
        <v>6767</v>
      </c>
      <c r="B1926" s="1">
        <v>66.0</v>
      </c>
      <c r="C1926" s="1">
        <v>90.0</v>
      </c>
      <c r="D1926" s="2" t="s">
        <v>2253</v>
      </c>
      <c r="E1926" s="1">
        <v>66.0</v>
      </c>
      <c r="F1926" s="1">
        <v>5.0</v>
      </c>
      <c r="G1926" s="1">
        <v>0.0</v>
      </c>
      <c r="H1926" s="1">
        <v>0.0</v>
      </c>
      <c r="I1926" s="1">
        <v>0.0</v>
      </c>
      <c r="J1926" s="1">
        <v>0.0</v>
      </c>
      <c r="K1926" s="1">
        <v>0.0</v>
      </c>
      <c r="L1926" s="1">
        <v>2.65E7</v>
      </c>
      <c r="M1926" s="1" t="s">
        <v>6768</v>
      </c>
      <c r="N1926" s="18">
        <v>46028.0</v>
      </c>
      <c r="O1926" s="1" t="s">
        <v>3264</v>
      </c>
      <c r="P1926" s="1" t="s">
        <v>3230</v>
      </c>
      <c r="Q1926" s="1" t="s">
        <v>3408</v>
      </c>
    </row>
    <row r="1927">
      <c r="A1927" s="1" t="s">
        <v>6769</v>
      </c>
      <c r="B1927" s="1">
        <v>66.0</v>
      </c>
      <c r="C1927" s="1">
        <v>90.0</v>
      </c>
      <c r="D1927" s="2" t="s">
        <v>2968</v>
      </c>
      <c r="E1927" s="1">
        <v>66.0</v>
      </c>
      <c r="G1927" s="1">
        <v>0.0</v>
      </c>
      <c r="H1927" s="1">
        <v>0.0</v>
      </c>
      <c r="I1927" s="1">
        <v>0.0</v>
      </c>
      <c r="J1927" s="1">
        <v>0.0</v>
      </c>
      <c r="K1927" s="1">
        <v>0.05</v>
      </c>
      <c r="L1927" s="1">
        <v>632000.0</v>
      </c>
      <c r="M1927" s="1" t="s">
        <v>6770</v>
      </c>
      <c r="N1927" s="18">
        <v>46022.0</v>
      </c>
      <c r="O1927" s="1" t="s">
        <v>4839</v>
      </c>
      <c r="P1927" s="1" t="s">
        <v>3257</v>
      </c>
      <c r="Q1927" s="1" t="s">
        <v>3408</v>
      </c>
    </row>
    <row r="1928">
      <c r="A1928" s="1" t="s">
        <v>6771</v>
      </c>
      <c r="B1928" s="1">
        <v>66.0</v>
      </c>
      <c r="C1928" s="1">
        <v>50.0</v>
      </c>
      <c r="D1928" s="2" t="s">
        <v>581</v>
      </c>
      <c r="E1928" s="1">
        <v>66.0</v>
      </c>
      <c r="F1928" s="1">
        <v>0.0</v>
      </c>
      <c r="G1928" s="1">
        <v>0.0</v>
      </c>
      <c r="H1928" s="1">
        <v>0.0</v>
      </c>
      <c r="I1928" s="1">
        <v>0.0</v>
      </c>
      <c r="J1928" s="1">
        <v>0.0</v>
      </c>
      <c r="K1928" s="1">
        <v>0.0</v>
      </c>
      <c r="L1928" s="1">
        <v>1500000.0</v>
      </c>
      <c r="M1928" s="1" t="s">
        <v>6772</v>
      </c>
      <c r="N1928" s="18">
        <v>46021.0</v>
      </c>
      <c r="O1928" s="1" t="s">
        <v>3482</v>
      </c>
      <c r="P1928" s="1" t="s">
        <v>3257</v>
      </c>
      <c r="Q1928" s="1" t="s">
        <v>3408</v>
      </c>
    </row>
    <row r="1929">
      <c r="A1929" s="1" t="s">
        <v>6028</v>
      </c>
      <c r="B1929" s="1">
        <v>66.0</v>
      </c>
      <c r="C1929" s="1">
        <v>50.0</v>
      </c>
      <c r="D1929" s="2" t="s">
        <v>800</v>
      </c>
      <c r="E1929" s="1">
        <v>66.0</v>
      </c>
      <c r="G1929" s="1">
        <v>0.0</v>
      </c>
      <c r="H1929" s="1">
        <v>0.0</v>
      </c>
      <c r="I1929" s="1">
        <v>0.0</v>
      </c>
      <c r="J1929" s="1">
        <v>0.0</v>
      </c>
      <c r="K1929" s="1">
        <v>0.0</v>
      </c>
      <c r="L1929" s="1">
        <v>1120000.0</v>
      </c>
      <c r="M1929" s="1" t="s">
        <v>6029</v>
      </c>
      <c r="N1929" s="18">
        <v>46021.0</v>
      </c>
      <c r="O1929" s="1" t="s">
        <v>6030</v>
      </c>
      <c r="P1929" s="1" t="s">
        <v>3334</v>
      </c>
      <c r="Q1929" s="1" t="s">
        <v>3408</v>
      </c>
    </row>
    <row r="1930">
      <c r="A1930" s="1" t="s">
        <v>6773</v>
      </c>
      <c r="B1930" s="1">
        <v>66.0</v>
      </c>
      <c r="C1930" s="1">
        <v>1000.0</v>
      </c>
      <c r="D1930" s="2" t="s">
        <v>581</v>
      </c>
      <c r="E1930" s="1">
        <v>66.0</v>
      </c>
      <c r="F1930" s="1">
        <v>53.0</v>
      </c>
      <c r="G1930" s="1">
        <v>19.89</v>
      </c>
      <c r="H1930" s="1">
        <v>0.0</v>
      </c>
      <c r="I1930" s="1">
        <v>0.0</v>
      </c>
      <c r="J1930" s="1">
        <v>0.0</v>
      </c>
      <c r="K1930" s="1">
        <v>0.91</v>
      </c>
      <c r="L1930" s="1">
        <v>6660000.0</v>
      </c>
      <c r="M1930" s="1" t="s">
        <v>6774</v>
      </c>
      <c r="N1930" s="18">
        <v>46019.0</v>
      </c>
      <c r="O1930" s="1" t="s">
        <v>4369</v>
      </c>
      <c r="P1930" s="1" t="s">
        <v>3257</v>
      </c>
      <c r="Q1930" s="1" t="s">
        <v>3408</v>
      </c>
    </row>
    <row r="1931">
      <c r="A1931" s="1" t="s">
        <v>6775</v>
      </c>
      <c r="B1931" s="1">
        <v>66.0</v>
      </c>
      <c r="C1931" s="1">
        <v>50.0</v>
      </c>
      <c r="D1931" s="2" t="s">
        <v>2249</v>
      </c>
      <c r="E1931" s="1">
        <v>66.0</v>
      </c>
      <c r="F1931" s="1">
        <v>20.0</v>
      </c>
      <c r="G1931" s="1">
        <v>0.0</v>
      </c>
      <c r="H1931" s="1">
        <v>0.0</v>
      </c>
      <c r="I1931" s="1">
        <v>0.0</v>
      </c>
      <c r="J1931" s="1">
        <v>0.0</v>
      </c>
      <c r="K1931" s="1">
        <v>0.0</v>
      </c>
      <c r="L1931" s="1">
        <v>2.48E8</v>
      </c>
      <c r="M1931" s="1" t="s">
        <v>6776</v>
      </c>
      <c r="N1931" s="18">
        <v>46018.0</v>
      </c>
      <c r="O1931" s="1" t="s">
        <v>5344</v>
      </c>
      <c r="P1931" s="1" t="s">
        <v>3230</v>
      </c>
      <c r="Q1931" s="1" t="s">
        <v>3408</v>
      </c>
    </row>
    <row r="1932">
      <c r="A1932" s="1" t="s">
        <v>6777</v>
      </c>
      <c r="B1932" s="1">
        <v>66.0</v>
      </c>
      <c r="C1932" s="1">
        <v>40.0</v>
      </c>
      <c r="D1932" s="2" t="s">
        <v>439</v>
      </c>
      <c r="E1932" s="1">
        <v>66.0</v>
      </c>
      <c r="F1932" s="1">
        <v>19.0</v>
      </c>
      <c r="G1932" s="1">
        <v>4.62</v>
      </c>
      <c r="H1932" s="1">
        <v>0.0</v>
      </c>
      <c r="I1932" s="1">
        <v>0.0</v>
      </c>
      <c r="J1932" s="1">
        <v>0.0</v>
      </c>
      <c r="K1932" s="1">
        <v>0.14</v>
      </c>
      <c r="L1932" s="1">
        <v>58700.0</v>
      </c>
      <c r="M1932" s="1" t="s">
        <v>6778</v>
      </c>
      <c r="N1932" s="18">
        <v>46015.0</v>
      </c>
      <c r="O1932" s="1" t="s">
        <v>6779</v>
      </c>
      <c r="P1932" s="1" t="s">
        <v>3230</v>
      </c>
      <c r="Q1932" s="1" t="s">
        <v>3408</v>
      </c>
    </row>
    <row r="1933">
      <c r="A1933" s="1" t="s">
        <v>6780</v>
      </c>
      <c r="B1933" s="1">
        <v>66.0</v>
      </c>
      <c r="C1933" s="1">
        <v>70.0</v>
      </c>
      <c r="D1933" s="2" t="s">
        <v>439</v>
      </c>
      <c r="E1933" s="1">
        <v>66.0</v>
      </c>
      <c r="F1933" s="1">
        <v>36.0</v>
      </c>
      <c r="G1933" s="1">
        <v>4.41</v>
      </c>
      <c r="H1933" s="1">
        <v>0.0</v>
      </c>
      <c r="I1933" s="1">
        <v>0.0</v>
      </c>
      <c r="J1933" s="1">
        <v>0.0</v>
      </c>
      <c r="K1933" s="1">
        <v>0.14</v>
      </c>
      <c r="L1933" s="1">
        <v>1.23E7</v>
      </c>
      <c r="M1933" s="1" t="s">
        <v>6781</v>
      </c>
      <c r="N1933" s="18">
        <v>46015.0</v>
      </c>
      <c r="O1933" s="1" t="s">
        <v>3404</v>
      </c>
      <c r="P1933" s="1" t="s">
        <v>3462</v>
      </c>
      <c r="Q1933" s="1" t="s">
        <v>3408</v>
      </c>
    </row>
    <row r="1934">
      <c r="A1934" s="1" t="s">
        <v>6782</v>
      </c>
      <c r="B1934" s="1">
        <v>66.0</v>
      </c>
      <c r="C1934" s="1">
        <v>50.0</v>
      </c>
      <c r="D1934" s="2" t="s">
        <v>581</v>
      </c>
      <c r="E1934" s="1">
        <v>66.0</v>
      </c>
      <c r="F1934" s="1">
        <v>30.0</v>
      </c>
      <c r="G1934" s="1">
        <v>15.32</v>
      </c>
      <c r="H1934" s="1">
        <v>0.0</v>
      </c>
      <c r="I1934" s="1">
        <v>0.0</v>
      </c>
      <c r="J1934" s="1">
        <v>0.0</v>
      </c>
      <c r="K1934" s="1">
        <v>0.21</v>
      </c>
      <c r="L1934" s="1">
        <v>129000.0</v>
      </c>
      <c r="M1934" s="1" t="s">
        <v>6783</v>
      </c>
      <c r="N1934" s="18">
        <v>46014.0</v>
      </c>
      <c r="O1934" s="1" t="s">
        <v>4643</v>
      </c>
      <c r="P1934" s="1" t="s">
        <v>3257</v>
      </c>
      <c r="Q1934" s="1" t="s">
        <v>3408</v>
      </c>
    </row>
    <row r="1935">
      <c r="A1935" s="1" t="s">
        <v>6784</v>
      </c>
      <c r="B1935" s="1">
        <v>66.0</v>
      </c>
      <c r="C1935" s="1">
        <v>70.0</v>
      </c>
      <c r="D1935" s="2" t="s">
        <v>581</v>
      </c>
      <c r="E1935" s="1">
        <v>66.0</v>
      </c>
      <c r="F1935" s="1">
        <v>6.0</v>
      </c>
      <c r="G1935" s="1">
        <v>0.0</v>
      </c>
      <c r="H1935" s="1">
        <v>0.0</v>
      </c>
      <c r="I1935" s="1">
        <v>0.0</v>
      </c>
      <c r="J1935" s="1">
        <v>0.0</v>
      </c>
      <c r="K1935" s="1">
        <v>0.09</v>
      </c>
      <c r="L1935" s="1">
        <v>1.57E7</v>
      </c>
      <c r="M1935" s="1" t="s">
        <v>6785</v>
      </c>
      <c r="N1935" s="18">
        <v>46014.0</v>
      </c>
      <c r="O1935" s="1" t="s">
        <v>6786</v>
      </c>
      <c r="P1935" s="1" t="s">
        <v>3230</v>
      </c>
      <c r="Q1935" s="1" t="s">
        <v>3408</v>
      </c>
    </row>
    <row r="1936">
      <c r="A1936" s="1" t="s">
        <v>6787</v>
      </c>
      <c r="B1936" s="1">
        <v>66.0</v>
      </c>
      <c r="C1936" s="1">
        <v>90.0</v>
      </c>
      <c r="D1936" s="2" t="s">
        <v>714</v>
      </c>
      <c r="E1936" s="1">
        <v>66.0</v>
      </c>
      <c r="F1936" s="1">
        <v>0.0</v>
      </c>
      <c r="G1936" s="1">
        <v>0.0</v>
      </c>
      <c r="H1936" s="1">
        <v>0.0</v>
      </c>
      <c r="I1936" s="1">
        <v>0.0</v>
      </c>
      <c r="J1936" s="1">
        <v>0.0</v>
      </c>
      <c r="K1936" s="1">
        <v>0.0</v>
      </c>
      <c r="L1936" s="1">
        <v>32500.0</v>
      </c>
      <c r="M1936" s="1" t="s">
        <v>6788</v>
      </c>
      <c r="N1936" s="18">
        <v>46010.0</v>
      </c>
      <c r="O1936" s="1" t="s">
        <v>3252</v>
      </c>
      <c r="P1936" s="1" t="s">
        <v>3334</v>
      </c>
      <c r="Q1936" s="1" t="s">
        <v>3408</v>
      </c>
    </row>
    <row r="1937">
      <c r="A1937" s="1" t="s">
        <v>6789</v>
      </c>
      <c r="B1937" s="1">
        <v>66.0</v>
      </c>
      <c r="C1937" s="1">
        <v>140.0</v>
      </c>
      <c r="D1937" s="2" t="s">
        <v>1400</v>
      </c>
      <c r="E1937" s="1">
        <v>66.0</v>
      </c>
      <c r="F1937" s="1">
        <v>0.0</v>
      </c>
      <c r="G1937" s="1">
        <v>3.06</v>
      </c>
      <c r="H1937" s="1">
        <v>0.0</v>
      </c>
      <c r="I1937" s="1">
        <v>0.0</v>
      </c>
      <c r="J1937" s="1">
        <v>0.0</v>
      </c>
      <c r="K1937" s="1">
        <v>0.43</v>
      </c>
      <c r="L1937" s="1">
        <v>1400000.0</v>
      </c>
      <c r="M1937" s="1" t="s">
        <v>6790</v>
      </c>
      <c r="N1937" s="18">
        <v>46009.0</v>
      </c>
      <c r="O1937" s="1" t="s">
        <v>4295</v>
      </c>
      <c r="P1937" s="1" t="s">
        <v>3230</v>
      </c>
      <c r="Q1937" s="1" t="s">
        <v>3408</v>
      </c>
    </row>
    <row r="1938">
      <c r="A1938" s="1" t="s">
        <v>6791</v>
      </c>
      <c r="B1938" s="1">
        <v>66.0</v>
      </c>
      <c r="C1938" s="1">
        <v>70.0</v>
      </c>
      <c r="D1938" s="2" t="s">
        <v>2930</v>
      </c>
      <c r="E1938" s="1">
        <v>66.0</v>
      </c>
      <c r="F1938" s="1">
        <v>50.0</v>
      </c>
      <c r="G1938" s="1">
        <v>0.0</v>
      </c>
      <c r="H1938" s="1">
        <v>0.0</v>
      </c>
      <c r="I1938" s="1">
        <v>0.0</v>
      </c>
      <c r="J1938" s="1">
        <v>0.0</v>
      </c>
      <c r="K1938" s="1">
        <v>0.05</v>
      </c>
      <c r="L1938" s="1">
        <v>5600.0</v>
      </c>
      <c r="M1938" s="1" t="s">
        <v>6792</v>
      </c>
      <c r="N1938" s="18">
        <v>46001.0</v>
      </c>
      <c r="O1938" s="1" t="s">
        <v>3821</v>
      </c>
      <c r="P1938" s="1" t="s">
        <v>3301</v>
      </c>
      <c r="Q1938" s="1" t="s">
        <v>3408</v>
      </c>
    </row>
    <row r="1939">
      <c r="A1939" s="1" t="s">
        <v>6793</v>
      </c>
      <c r="B1939" s="1">
        <v>66.0</v>
      </c>
      <c r="C1939" s="1">
        <v>30.0</v>
      </c>
      <c r="D1939" s="2" t="s">
        <v>439</v>
      </c>
      <c r="E1939" s="1">
        <v>66.0</v>
      </c>
      <c r="F1939" s="1">
        <v>19.0</v>
      </c>
      <c r="G1939" s="1">
        <v>6.41</v>
      </c>
      <c r="H1939" s="1">
        <v>0.0</v>
      </c>
      <c r="I1939" s="1">
        <v>0.0</v>
      </c>
      <c r="J1939" s="1">
        <v>0.0</v>
      </c>
      <c r="K1939" s="1">
        <v>0.21</v>
      </c>
      <c r="L1939" s="1">
        <v>208000.0</v>
      </c>
      <c r="M1939" s="1" t="s">
        <v>6794</v>
      </c>
      <c r="N1939" s="18">
        <v>45999.0</v>
      </c>
      <c r="O1939" s="1" t="s">
        <v>4681</v>
      </c>
      <c r="P1939" s="1" t="s">
        <v>3294</v>
      </c>
      <c r="Q1939" s="1" t="s">
        <v>3408</v>
      </c>
    </row>
    <row r="1940">
      <c r="A1940" s="1" t="s">
        <v>6795</v>
      </c>
      <c r="B1940" s="1">
        <v>66.0</v>
      </c>
      <c r="C1940" s="1">
        <v>70.0</v>
      </c>
      <c r="D1940" s="2" t="s">
        <v>439</v>
      </c>
      <c r="E1940" s="1">
        <v>66.0</v>
      </c>
      <c r="F1940" s="1">
        <v>30.0</v>
      </c>
      <c r="G1940" s="1">
        <v>0.0</v>
      </c>
      <c r="H1940" s="1">
        <v>0.0</v>
      </c>
      <c r="I1940" s="1">
        <v>0.0</v>
      </c>
      <c r="J1940" s="1">
        <v>0.0</v>
      </c>
      <c r="K1940" s="1">
        <v>0.05</v>
      </c>
      <c r="L1940" s="1">
        <v>1090000.0</v>
      </c>
      <c r="M1940" s="1" t="s">
        <v>6796</v>
      </c>
      <c r="N1940" s="18">
        <v>45999.0</v>
      </c>
      <c r="O1940" s="1" t="s">
        <v>3821</v>
      </c>
      <c r="P1940" s="1" t="s">
        <v>3294</v>
      </c>
      <c r="Q1940" s="1" t="s">
        <v>3408</v>
      </c>
    </row>
    <row r="1941">
      <c r="A1941" s="1" t="s">
        <v>6797</v>
      </c>
      <c r="B1941" s="1">
        <v>66.0</v>
      </c>
      <c r="C1941" s="1">
        <v>1300.0</v>
      </c>
      <c r="D1941" s="2" t="s">
        <v>2416</v>
      </c>
      <c r="E1941" s="1">
        <v>66.0</v>
      </c>
      <c r="F1941" s="1">
        <v>38.0</v>
      </c>
      <c r="G1941" s="1">
        <v>0.73</v>
      </c>
      <c r="H1941" s="1">
        <v>0.0</v>
      </c>
      <c r="I1941" s="1">
        <v>0.0</v>
      </c>
      <c r="J1941" s="1">
        <v>0.0</v>
      </c>
      <c r="K1941" s="1">
        <v>0.0</v>
      </c>
      <c r="L1941" s="1">
        <v>589000.0</v>
      </c>
      <c r="M1941" s="1" t="s">
        <v>6798</v>
      </c>
      <c r="N1941" s="18">
        <v>45997.0</v>
      </c>
      <c r="O1941" s="1" t="s">
        <v>3407</v>
      </c>
      <c r="P1941" s="1" t="s">
        <v>3230</v>
      </c>
      <c r="Q1941" s="1" t="s">
        <v>3408</v>
      </c>
    </row>
    <row r="1942">
      <c r="A1942" s="1" t="s">
        <v>6799</v>
      </c>
      <c r="B1942" s="1">
        <v>66.0</v>
      </c>
      <c r="C1942" s="1">
        <v>30.0</v>
      </c>
      <c r="D1942" s="2" t="s">
        <v>581</v>
      </c>
      <c r="E1942" s="1">
        <v>66.0</v>
      </c>
      <c r="F1942" s="1">
        <v>4.0</v>
      </c>
      <c r="G1942" s="1">
        <v>26.42</v>
      </c>
      <c r="H1942" s="1">
        <v>0.0</v>
      </c>
      <c r="I1942" s="1">
        <v>0.0</v>
      </c>
      <c r="J1942" s="1">
        <v>0.0</v>
      </c>
      <c r="K1942" s="1">
        <v>0.99</v>
      </c>
      <c r="L1942" s="1">
        <v>29100.0</v>
      </c>
      <c r="M1942" s="1" t="s">
        <v>6800</v>
      </c>
      <c r="N1942" s="18">
        <v>45993.0</v>
      </c>
      <c r="O1942" s="1" t="s">
        <v>3404</v>
      </c>
      <c r="P1942" s="1" t="s">
        <v>3257</v>
      </c>
      <c r="Q1942" s="1" t="s">
        <v>3408</v>
      </c>
    </row>
    <row r="1943">
      <c r="A1943" s="1" t="s">
        <v>6801</v>
      </c>
      <c r="B1943" s="1">
        <v>66.0</v>
      </c>
      <c r="C1943" s="1">
        <v>140.0</v>
      </c>
      <c r="D1943" s="2" t="s">
        <v>581</v>
      </c>
      <c r="E1943" s="1">
        <v>66.0</v>
      </c>
      <c r="F1943" s="1">
        <v>33.0</v>
      </c>
      <c r="G1943" s="1">
        <v>16.88</v>
      </c>
      <c r="H1943" s="1">
        <v>0.0</v>
      </c>
      <c r="I1943" s="1">
        <v>0.0</v>
      </c>
      <c r="J1943" s="1">
        <v>0.0</v>
      </c>
      <c r="K1943" s="1">
        <v>0.54</v>
      </c>
      <c r="L1943" s="1">
        <v>7530000.0</v>
      </c>
      <c r="M1943" s="1" t="s">
        <v>6802</v>
      </c>
      <c r="N1943" s="18">
        <v>45991.0</v>
      </c>
      <c r="O1943" s="1" t="s">
        <v>3435</v>
      </c>
      <c r="P1943" s="1" t="s">
        <v>3257</v>
      </c>
      <c r="Q1943" s="1" t="s">
        <v>3408</v>
      </c>
    </row>
    <row r="1944">
      <c r="A1944" s="1" t="s">
        <v>6803</v>
      </c>
      <c r="B1944" s="1">
        <v>66.0</v>
      </c>
      <c r="C1944" s="1">
        <v>70.0</v>
      </c>
      <c r="D1944" s="2" t="s">
        <v>439</v>
      </c>
      <c r="E1944" s="1">
        <v>66.0</v>
      </c>
      <c r="F1944" s="1">
        <v>8.0</v>
      </c>
      <c r="G1944" s="1">
        <v>0.0</v>
      </c>
      <c r="H1944" s="1">
        <v>0.0</v>
      </c>
      <c r="I1944" s="1">
        <v>0.0</v>
      </c>
      <c r="J1944" s="1">
        <v>0.0</v>
      </c>
      <c r="K1944" s="1">
        <v>0.01</v>
      </c>
      <c r="L1944" s="1">
        <v>1490000.0</v>
      </c>
      <c r="M1944" s="1" t="s">
        <v>6804</v>
      </c>
      <c r="N1944" s="18">
        <v>45991.0</v>
      </c>
      <c r="O1944" s="1" t="s">
        <v>6805</v>
      </c>
      <c r="P1944" s="1" t="s">
        <v>3294</v>
      </c>
      <c r="Q1944" s="1" t="s">
        <v>3408</v>
      </c>
    </row>
    <row r="1945">
      <c r="A1945" s="1" t="s">
        <v>6806</v>
      </c>
      <c r="B1945" s="1">
        <v>66.0</v>
      </c>
      <c r="C1945" s="1">
        <v>70.0</v>
      </c>
      <c r="D1945" s="2" t="s">
        <v>2941</v>
      </c>
      <c r="E1945" s="1">
        <v>66.0</v>
      </c>
      <c r="F1945" s="1">
        <v>17.0</v>
      </c>
      <c r="G1945" s="1">
        <v>1.59</v>
      </c>
      <c r="H1945" s="1">
        <v>0.0</v>
      </c>
      <c r="I1945" s="1">
        <v>0.0</v>
      </c>
      <c r="J1945" s="1">
        <v>0.0</v>
      </c>
      <c r="K1945" s="1">
        <v>0.18</v>
      </c>
      <c r="L1945" s="1">
        <v>2.2E7</v>
      </c>
      <c r="M1945" s="1" t="s">
        <v>6807</v>
      </c>
      <c r="N1945" s="18">
        <v>45990.0</v>
      </c>
      <c r="O1945" s="1" t="s">
        <v>3840</v>
      </c>
      <c r="P1945" s="1" t="s">
        <v>3230</v>
      </c>
      <c r="Q1945" s="1" t="s">
        <v>3408</v>
      </c>
    </row>
    <row r="1946">
      <c r="A1946" s="1" t="s">
        <v>3637</v>
      </c>
      <c r="B1946" s="1">
        <v>66.0</v>
      </c>
      <c r="C1946" s="1">
        <v>90.0</v>
      </c>
      <c r="D1946" s="2" t="s">
        <v>694</v>
      </c>
      <c r="E1946" s="1">
        <v>66.0</v>
      </c>
      <c r="F1946" s="1">
        <v>11.0</v>
      </c>
      <c r="G1946" s="1">
        <v>0.0</v>
      </c>
      <c r="H1946" s="1">
        <v>0.0</v>
      </c>
      <c r="I1946" s="1">
        <v>0.0</v>
      </c>
      <c r="J1946" s="1">
        <v>0.0</v>
      </c>
      <c r="K1946" s="1">
        <v>0.01</v>
      </c>
      <c r="L1946" s="1">
        <v>10.0</v>
      </c>
      <c r="M1946" s="1" t="s">
        <v>3638</v>
      </c>
      <c r="N1946" s="18">
        <v>45986.0</v>
      </c>
      <c r="O1946" s="1" t="s">
        <v>3639</v>
      </c>
      <c r="P1946" s="1" t="s">
        <v>3230</v>
      </c>
      <c r="Q1946" s="1" t="s">
        <v>3408</v>
      </c>
    </row>
    <row r="1947">
      <c r="A1947" s="1" t="s">
        <v>6808</v>
      </c>
      <c r="B1947" s="1">
        <v>66.0</v>
      </c>
      <c r="C1947" s="1">
        <v>70.0</v>
      </c>
      <c r="D1947" s="2" t="s">
        <v>608</v>
      </c>
      <c r="E1947" s="1">
        <v>66.0</v>
      </c>
      <c r="F1947" s="1">
        <v>0.0</v>
      </c>
      <c r="G1947" s="1">
        <v>5.16</v>
      </c>
      <c r="H1947" s="1">
        <v>0.0</v>
      </c>
      <c r="I1947" s="1">
        <v>0.0</v>
      </c>
      <c r="J1947" s="1">
        <v>0.0</v>
      </c>
      <c r="K1947" s="1">
        <v>0.59</v>
      </c>
      <c r="L1947" s="1">
        <v>9.0</v>
      </c>
      <c r="M1947" s="1" t="s">
        <v>6809</v>
      </c>
      <c r="N1947" s="18">
        <v>45984.0</v>
      </c>
      <c r="O1947" s="1" t="s">
        <v>3256</v>
      </c>
      <c r="P1947" s="1" t="s">
        <v>3257</v>
      </c>
      <c r="Q1947" s="1" t="s">
        <v>3408</v>
      </c>
    </row>
    <row r="1948">
      <c r="A1948" s="1" t="s">
        <v>6810</v>
      </c>
      <c r="B1948" s="1">
        <v>66.0</v>
      </c>
      <c r="C1948" s="1">
        <v>140.0</v>
      </c>
      <c r="D1948" s="2" t="s">
        <v>2944</v>
      </c>
      <c r="E1948" s="1">
        <v>66.0</v>
      </c>
      <c r="F1948" s="1">
        <v>10.0</v>
      </c>
      <c r="G1948" s="1">
        <v>10.11</v>
      </c>
      <c r="H1948" s="1">
        <v>0.0</v>
      </c>
      <c r="I1948" s="1">
        <v>0.0</v>
      </c>
      <c r="J1948" s="1">
        <v>0.0</v>
      </c>
      <c r="K1948" s="1">
        <v>0.58</v>
      </c>
      <c r="L1948" s="1">
        <v>5.0</v>
      </c>
      <c r="M1948" s="1" t="s">
        <v>6811</v>
      </c>
      <c r="N1948" s="18">
        <v>45984.0</v>
      </c>
      <c r="O1948" s="1" t="s">
        <v>3435</v>
      </c>
      <c r="P1948" s="1" t="s">
        <v>3257</v>
      </c>
      <c r="Q1948" s="1" t="s">
        <v>3408</v>
      </c>
    </row>
    <row r="1949">
      <c r="A1949" s="1" t="s">
        <v>6812</v>
      </c>
      <c r="B1949" s="1">
        <v>67.0</v>
      </c>
      <c r="C1949" s="1">
        <v>70.0</v>
      </c>
      <c r="D1949" s="2" t="s">
        <v>439</v>
      </c>
      <c r="E1949" s="1">
        <v>56.0</v>
      </c>
      <c r="F1949" s="1">
        <v>16.0</v>
      </c>
      <c r="G1949" s="1">
        <v>0.0</v>
      </c>
      <c r="H1949" s="1">
        <v>0.0</v>
      </c>
      <c r="I1949" s="1">
        <v>0.0</v>
      </c>
      <c r="J1949" s="1">
        <v>0.0</v>
      </c>
      <c r="K1949" s="1">
        <v>0.08</v>
      </c>
      <c r="L1949" s="1">
        <v>1.94E7</v>
      </c>
      <c r="M1949" s="1" t="s">
        <v>6813</v>
      </c>
      <c r="N1949" s="18">
        <v>46042.0</v>
      </c>
      <c r="O1949" s="1" t="s">
        <v>3650</v>
      </c>
      <c r="P1949" s="1" t="s">
        <v>3294</v>
      </c>
      <c r="Q1949" s="1" t="s">
        <v>3408</v>
      </c>
    </row>
    <row r="1950">
      <c r="A1950" s="1" t="s">
        <v>6814</v>
      </c>
      <c r="B1950" s="1">
        <v>67.0</v>
      </c>
      <c r="C1950" s="1">
        <v>140.0</v>
      </c>
      <c r="D1950" s="2" t="s">
        <v>439</v>
      </c>
      <c r="E1950" s="1">
        <v>0.0</v>
      </c>
      <c r="F1950" s="1">
        <v>21.0</v>
      </c>
      <c r="G1950" s="1">
        <v>5.53</v>
      </c>
      <c r="H1950" s="1">
        <v>0.0</v>
      </c>
      <c r="I1950" s="1">
        <v>0.0</v>
      </c>
      <c r="J1950" s="1">
        <v>0.0</v>
      </c>
      <c r="K1950" s="1">
        <v>0.38</v>
      </c>
      <c r="L1950" s="1">
        <v>4920.0</v>
      </c>
      <c r="M1950" s="1" t="s">
        <v>6815</v>
      </c>
      <c r="N1950" s="18">
        <v>46042.0</v>
      </c>
      <c r="O1950" s="1" t="s">
        <v>4763</v>
      </c>
      <c r="P1950" s="1" t="s">
        <v>3294</v>
      </c>
      <c r="Q1950" s="1" t="s">
        <v>3408</v>
      </c>
    </row>
    <row r="1951">
      <c r="A1951" s="1" t="s">
        <v>6816</v>
      </c>
      <c r="B1951" s="1">
        <v>67.0</v>
      </c>
      <c r="C1951" s="1">
        <v>110.0</v>
      </c>
      <c r="D1951" s="2" t="s">
        <v>1452</v>
      </c>
      <c r="E1951" s="1">
        <v>67.0</v>
      </c>
      <c r="F1951" s="1">
        <v>6.0</v>
      </c>
      <c r="G1951" s="1">
        <v>0.0</v>
      </c>
      <c r="H1951" s="1">
        <v>0.0</v>
      </c>
      <c r="I1951" s="1">
        <v>0.0</v>
      </c>
      <c r="J1951" s="1">
        <v>0.0</v>
      </c>
      <c r="K1951" s="1">
        <v>0.0</v>
      </c>
      <c r="L1951" s="1">
        <v>5.03E7</v>
      </c>
      <c r="M1951" s="1" t="s">
        <v>6817</v>
      </c>
      <c r="N1951" s="18">
        <v>46040.0</v>
      </c>
      <c r="O1951" s="1" t="s">
        <v>3264</v>
      </c>
      <c r="P1951" s="1" t="s">
        <v>3230</v>
      </c>
      <c r="Q1951" s="1" t="s">
        <v>3408</v>
      </c>
    </row>
    <row r="1952">
      <c r="A1952" s="1" t="s">
        <v>6818</v>
      </c>
      <c r="B1952" s="1">
        <v>67.0</v>
      </c>
      <c r="C1952" s="1">
        <v>720.0</v>
      </c>
      <c r="D1952" s="2" t="s">
        <v>2182</v>
      </c>
      <c r="E1952" s="1">
        <v>67.0</v>
      </c>
      <c r="F1952" s="1">
        <v>18.0</v>
      </c>
      <c r="G1952" s="1">
        <v>0.0</v>
      </c>
      <c r="H1952" s="1">
        <v>0.0</v>
      </c>
      <c r="I1952" s="1">
        <v>0.0</v>
      </c>
      <c r="J1952" s="1">
        <v>0.0</v>
      </c>
      <c r="K1952" s="1">
        <v>0.0</v>
      </c>
      <c r="L1952" s="1">
        <v>6720000.0</v>
      </c>
      <c r="M1952" s="1" t="s">
        <v>6819</v>
      </c>
      <c r="N1952" s="18">
        <v>46035.0</v>
      </c>
      <c r="O1952" s="1" t="s">
        <v>3237</v>
      </c>
      <c r="P1952" s="1" t="s">
        <v>3230</v>
      </c>
      <c r="Q1952" s="1" t="s">
        <v>3408</v>
      </c>
    </row>
    <row r="1953">
      <c r="A1953" s="1" t="s">
        <v>6820</v>
      </c>
      <c r="B1953" s="1">
        <v>67.0</v>
      </c>
      <c r="C1953" s="1">
        <v>90.0</v>
      </c>
      <c r="D1953" s="2" t="s">
        <v>839</v>
      </c>
      <c r="E1953" s="1">
        <v>67.0</v>
      </c>
      <c r="F1953" s="1">
        <v>21.0</v>
      </c>
      <c r="G1953" s="1">
        <v>1.6</v>
      </c>
      <c r="H1953" s="1">
        <v>0.0</v>
      </c>
      <c r="I1953" s="1">
        <v>0.0</v>
      </c>
      <c r="J1953" s="1">
        <v>0.0</v>
      </c>
      <c r="K1953" s="1">
        <v>0.02</v>
      </c>
      <c r="L1953" s="1">
        <v>2080000.0</v>
      </c>
      <c r="M1953" s="1" t="s">
        <v>6821</v>
      </c>
      <c r="N1953" s="18">
        <v>46034.0</v>
      </c>
      <c r="O1953" s="1" t="s">
        <v>4505</v>
      </c>
      <c r="P1953" s="1" t="s">
        <v>3257</v>
      </c>
      <c r="Q1953" s="1" t="s">
        <v>3408</v>
      </c>
    </row>
    <row r="1954">
      <c r="A1954" s="1" t="s">
        <v>6822</v>
      </c>
      <c r="B1954" s="1">
        <v>67.0</v>
      </c>
      <c r="C1954" s="1">
        <v>40.0</v>
      </c>
      <c r="D1954" s="2" t="s">
        <v>681</v>
      </c>
      <c r="E1954" s="1">
        <v>67.0</v>
      </c>
      <c r="F1954" s="1">
        <v>11.0</v>
      </c>
      <c r="G1954" s="1">
        <v>1.23</v>
      </c>
      <c r="H1954" s="1">
        <v>0.0</v>
      </c>
      <c r="I1954" s="1">
        <v>0.0</v>
      </c>
      <c r="J1954" s="1">
        <v>0.0</v>
      </c>
      <c r="K1954" s="1">
        <v>0.2</v>
      </c>
      <c r="L1954" s="1">
        <v>1.75E7</v>
      </c>
      <c r="M1954" s="1" t="s">
        <v>6823</v>
      </c>
      <c r="N1954" s="18">
        <v>46033.0</v>
      </c>
      <c r="O1954" s="1" t="s">
        <v>3237</v>
      </c>
      <c r="P1954" s="1" t="s">
        <v>3230</v>
      </c>
      <c r="Q1954" s="1" t="s">
        <v>3408</v>
      </c>
    </row>
    <row r="1955">
      <c r="A1955" s="1" t="s">
        <v>6824</v>
      </c>
      <c r="B1955" s="1">
        <v>67.0</v>
      </c>
      <c r="C1955" s="1">
        <v>40.0</v>
      </c>
      <c r="D1955" s="2" t="s">
        <v>681</v>
      </c>
      <c r="E1955" s="1">
        <v>67.0</v>
      </c>
      <c r="F1955" s="1">
        <v>9.0</v>
      </c>
      <c r="G1955" s="1">
        <v>1.12</v>
      </c>
      <c r="H1955" s="1">
        <v>0.0</v>
      </c>
      <c r="I1955" s="1">
        <v>0.0</v>
      </c>
      <c r="J1955" s="1">
        <v>0.0</v>
      </c>
      <c r="K1955" s="1">
        <v>0.11</v>
      </c>
      <c r="L1955" s="1">
        <v>4140000.0</v>
      </c>
      <c r="M1955" s="1" t="s">
        <v>6825</v>
      </c>
      <c r="N1955" s="18">
        <v>46032.0</v>
      </c>
      <c r="O1955" s="1" t="s">
        <v>3568</v>
      </c>
      <c r="P1955" s="1" t="s">
        <v>3230</v>
      </c>
      <c r="Q1955" s="1" t="s">
        <v>3408</v>
      </c>
    </row>
    <row r="1956">
      <c r="A1956" s="1" t="s">
        <v>6826</v>
      </c>
      <c r="B1956" s="1">
        <v>67.0</v>
      </c>
      <c r="C1956" s="1">
        <v>40.0</v>
      </c>
      <c r="D1956" s="2" t="s">
        <v>581</v>
      </c>
      <c r="E1956" s="1">
        <v>67.0</v>
      </c>
      <c r="F1956" s="1">
        <v>0.0</v>
      </c>
      <c r="G1956" s="1">
        <v>0.0</v>
      </c>
      <c r="H1956" s="1">
        <v>0.0</v>
      </c>
      <c r="I1956" s="1">
        <v>0.0</v>
      </c>
      <c r="J1956" s="1">
        <v>0.0</v>
      </c>
      <c r="K1956" s="1">
        <v>0.0</v>
      </c>
      <c r="L1956" s="1">
        <v>797000.0</v>
      </c>
      <c r="M1956" s="1" t="s">
        <v>6827</v>
      </c>
      <c r="N1956" s="18">
        <v>46031.0</v>
      </c>
      <c r="O1956" s="1" t="s">
        <v>4084</v>
      </c>
      <c r="P1956" s="1" t="s">
        <v>3257</v>
      </c>
      <c r="Q1956" s="1" t="s">
        <v>3408</v>
      </c>
    </row>
    <row r="1957">
      <c r="A1957" s="1" t="s">
        <v>6828</v>
      </c>
      <c r="B1957" s="1">
        <v>67.0</v>
      </c>
      <c r="C1957" s="1">
        <v>30.0</v>
      </c>
      <c r="D1957" s="2" t="s">
        <v>2209</v>
      </c>
      <c r="E1957" s="1">
        <v>67.0</v>
      </c>
      <c r="F1957" s="1">
        <v>0.0</v>
      </c>
      <c r="G1957" s="1">
        <v>4.55</v>
      </c>
      <c r="H1957" s="1">
        <v>0.0</v>
      </c>
      <c r="I1957" s="1">
        <v>0.0</v>
      </c>
      <c r="J1957" s="1">
        <v>0.0</v>
      </c>
      <c r="K1957" s="1">
        <v>0.09</v>
      </c>
      <c r="L1957" s="1">
        <v>2700000.0</v>
      </c>
      <c r="M1957" s="1" t="s">
        <v>6829</v>
      </c>
      <c r="N1957" s="18">
        <v>46027.0</v>
      </c>
      <c r="O1957" s="1" t="s">
        <v>3264</v>
      </c>
      <c r="P1957" s="1" t="s">
        <v>3301</v>
      </c>
      <c r="Q1957" s="1" t="s">
        <v>3408</v>
      </c>
    </row>
    <row r="1958">
      <c r="A1958" s="1" t="s">
        <v>6830</v>
      </c>
      <c r="B1958" s="1">
        <v>67.0</v>
      </c>
      <c r="C1958" s="1">
        <v>50.0</v>
      </c>
      <c r="D1958" s="2" t="s">
        <v>2949</v>
      </c>
      <c r="E1958" s="1">
        <v>67.0</v>
      </c>
      <c r="G1958" s="1">
        <v>13.48</v>
      </c>
      <c r="H1958" s="1">
        <v>0.0</v>
      </c>
      <c r="I1958" s="1">
        <v>0.0</v>
      </c>
      <c r="J1958" s="1">
        <v>0.0</v>
      </c>
      <c r="K1958" s="1">
        <v>0.89</v>
      </c>
      <c r="L1958" s="1">
        <v>2750000.0</v>
      </c>
      <c r="M1958" s="1" t="s">
        <v>6831</v>
      </c>
      <c r="N1958" s="18">
        <v>46024.0</v>
      </c>
      <c r="O1958" s="1" t="s">
        <v>3455</v>
      </c>
      <c r="P1958" s="1" t="s">
        <v>3257</v>
      </c>
      <c r="Q1958" s="1" t="s">
        <v>3408</v>
      </c>
    </row>
    <row r="1959">
      <c r="A1959" s="1" t="s">
        <v>6832</v>
      </c>
      <c r="B1959" s="1">
        <v>67.0</v>
      </c>
      <c r="C1959" s="1">
        <v>110.0</v>
      </c>
      <c r="D1959" s="2" t="s">
        <v>1868</v>
      </c>
      <c r="E1959" s="1">
        <v>67.0</v>
      </c>
      <c r="F1959" s="1">
        <v>49.0</v>
      </c>
      <c r="G1959" s="1">
        <v>0.0</v>
      </c>
      <c r="H1959" s="1">
        <v>0.0</v>
      </c>
      <c r="I1959" s="1">
        <v>0.0</v>
      </c>
      <c r="J1959" s="1">
        <v>0.0</v>
      </c>
      <c r="K1959" s="1">
        <v>0.0</v>
      </c>
      <c r="L1959" s="1">
        <v>4.08E8</v>
      </c>
      <c r="M1959" s="1" t="s">
        <v>6833</v>
      </c>
      <c r="N1959" s="18">
        <v>46024.0</v>
      </c>
      <c r="O1959" s="1" t="s">
        <v>5571</v>
      </c>
      <c r="P1959" s="1" t="s">
        <v>3230</v>
      </c>
      <c r="Q1959" s="1" t="s">
        <v>3408</v>
      </c>
    </row>
    <row r="1960">
      <c r="A1960" s="1" t="s">
        <v>3704</v>
      </c>
      <c r="B1960" s="1">
        <v>67.0</v>
      </c>
      <c r="C1960" s="1">
        <v>140.0</v>
      </c>
      <c r="D1960" s="2" t="s">
        <v>475</v>
      </c>
      <c r="E1960" s="1">
        <v>67.0</v>
      </c>
      <c r="F1960" s="1">
        <v>20.0</v>
      </c>
      <c r="G1960" s="1">
        <v>16.24</v>
      </c>
      <c r="H1960" s="1">
        <v>0.0</v>
      </c>
      <c r="I1960" s="1">
        <v>0.0</v>
      </c>
      <c r="J1960" s="1">
        <v>0.0</v>
      </c>
      <c r="K1960" s="1">
        <v>0.67</v>
      </c>
      <c r="L1960" s="1">
        <v>47200.0</v>
      </c>
      <c r="M1960" s="1" t="s">
        <v>3705</v>
      </c>
      <c r="N1960" s="18">
        <v>46023.0</v>
      </c>
      <c r="O1960" s="1" t="s">
        <v>3706</v>
      </c>
      <c r="P1960" s="1" t="s">
        <v>3257</v>
      </c>
      <c r="Q1960" s="1" t="s">
        <v>3408</v>
      </c>
    </row>
    <row r="1961">
      <c r="A1961" s="1" t="s">
        <v>6834</v>
      </c>
      <c r="B1961" s="1">
        <v>67.0</v>
      </c>
      <c r="C1961" s="1">
        <v>260.0</v>
      </c>
      <c r="D1961" s="2" t="s">
        <v>2048</v>
      </c>
      <c r="E1961" s="1">
        <v>67.0</v>
      </c>
      <c r="F1961" s="1">
        <v>20.0</v>
      </c>
      <c r="G1961" s="1">
        <v>0.0</v>
      </c>
      <c r="H1961" s="1">
        <v>0.0</v>
      </c>
      <c r="I1961" s="1">
        <v>0.0</v>
      </c>
      <c r="J1961" s="1">
        <v>0.0</v>
      </c>
      <c r="K1961" s="1">
        <v>0.0</v>
      </c>
      <c r="L1961" s="1">
        <v>1.38E7</v>
      </c>
      <c r="M1961" s="1" t="s">
        <v>6835</v>
      </c>
      <c r="N1961" s="18">
        <v>46023.0</v>
      </c>
      <c r="O1961" s="1" t="s">
        <v>3479</v>
      </c>
      <c r="P1961" s="1" t="s">
        <v>3230</v>
      </c>
      <c r="Q1961" s="1" t="s">
        <v>3408</v>
      </c>
    </row>
    <row r="1962">
      <c r="A1962" s="1" t="s">
        <v>6836</v>
      </c>
      <c r="B1962" s="1">
        <v>67.0</v>
      </c>
      <c r="C1962" s="1">
        <v>30.0</v>
      </c>
      <c r="D1962" s="2" t="s">
        <v>1099</v>
      </c>
      <c r="E1962" s="1">
        <v>67.0</v>
      </c>
      <c r="F1962" s="1">
        <v>10.0</v>
      </c>
      <c r="G1962" s="1">
        <v>1.28</v>
      </c>
      <c r="H1962" s="1">
        <v>0.0</v>
      </c>
      <c r="I1962" s="1">
        <v>0.0</v>
      </c>
      <c r="J1962" s="1">
        <v>0.0</v>
      </c>
      <c r="K1962" s="1">
        <v>0.57</v>
      </c>
      <c r="L1962" s="1">
        <v>400000.0</v>
      </c>
      <c r="M1962" s="1" t="s">
        <v>6146</v>
      </c>
      <c r="N1962" s="18">
        <v>46021.0</v>
      </c>
      <c r="O1962" s="1" t="s">
        <v>6837</v>
      </c>
      <c r="P1962" s="1" t="s">
        <v>3230</v>
      </c>
      <c r="Q1962" s="1" t="s">
        <v>3408</v>
      </c>
    </row>
    <row r="1963">
      <c r="A1963" s="1" t="s">
        <v>6838</v>
      </c>
      <c r="B1963" s="1">
        <v>67.0</v>
      </c>
      <c r="C1963" s="1">
        <v>110.0</v>
      </c>
      <c r="D1963" s="2" t="s">
        <v>2253</v>
      </c>
      <c r="E1963" s="1">
        <v>67.0</v>
      </c>
      <c r="F1963" s="1">
        <v>19.0</v>
      </c>
      <c r="G1963" s="1">
        <v>0.0</v>
      </c>
      <c r="H1963" s="1">
        <v>0.0</v>
      </c>
      <c r="I1963" s="1">
        <v>0.0</v>
      </c>
      <c r="J1963" s="1">
        <v>0.0</v>
      </c>
      <c r="K1963" s="1">
        <v>0.0</v>
      </c>
      <c r="L1963" s="1">
        <v>2.81E8</v>
      </c>
      <c r="M1963" s="1" t="s">
        <v>6839</v>
      </c>
      <c r="N1963" s="18">
        <v>46019.0</v>
      </c>
      <c r="O1963" s="1" t="s">
        <v>3479</v>
      </c>
      <c r="P1963" s="1" t="s">
        <v>3230</v>
      </c>
      <c r="Q1963" s="1" t="s">
        <v>3408</v>
      </c>
    </row>
    <row r="1964">
      <c r="A1964" s="1" t="s">
        <v>6840</v>
      </c>
      <c r="B1964" s="1">
        <v>67.0</v>
      </c>
      <c r="C1964" s="1">
        <v>320.0</v>
      </c>
      <c r="D1964" s="2" t="s">
        <v>1400</v>
      </c>
      <c r="E1964" s="1">
        <v>67.0</v>
      </c>
      <c r="F1964" s="1">
        <v>0.0</v>
      </c>
      <c r="G1964" s="1">
        <v>3.86</v>
      </c>
      <c r="H1964" s="1">
        <v>0.0</v>
      </c>
      <c r="I1964" s="1">
        <v>0.0</v>
      </c>
      <c r="J1964" s="1">
        <v>0.0</v>
      </c>
      <c r="K1964" s="1">
        <v>0.34</v>
      </c>
      <c r="L1964" s="1">
        <v>1560000.0</v>
      </c>
      <c r="M1964" s="1" t="s">
        <v>6841</v>
      </c>
      <c r="N1964" s="18">
        <v>46017.0</v>
      </c>
      <c r="O1964" s="1" t="s">
        <v>3442</v>
      </c>
      <c r="P1964" s="1" t="s">
        <v>3230</v>
      </c>
      <c r="Q1964" s="1" t="s">
        <v>3408</v>
      </c>
    </row>
    <row r="1965">
      <c r="A1965" s="1" t="s">
        <v>6842</v>
      </c>
      <c r="B1965" s="1">
        <v>67.0</v>
      </c>
      <c r="C1965" s="1">
        <v>70.0</v>
      </c>
      <c r="D1965" s="2" t="s">
        <v>581</v>
      </c>
      <c r="E1965" s="1">
        <v>67.0</v>
      </c>
      <c r="F1965" s="1">
        <v>20.0</v>
      </c>
      <c r="G1965" s="1">
        <v>5.39</v>
      </c>
      <c r="H1965" s="1">
        <v>0.0</v>
      </c>
      <c r="I1965" s="1">
        <v>0.0</v>
      </c>
      <c r="J1965" s="1">
        <v>0.0</v>
      </c>
      <c r="K1965" s="1">
        <v>0.47</v>
      </c>
      <c r="L1965" s="1">
        <v>331000.0</v>
      </c>
      <c r="M1965" s="1" t="s">
        <v>6843</v>
      </c>
      <c r="N1965" s="18">
        <v>46017.0</v>
      </c>
      <c r="O1965" s="1" t="s">
        <v>3415</v>
      </c>
      <c r="P1965" s="1" t="s">
        <v>3257</v>
      </c>
      <c r="Q1965" s="1" t="s">
        <v>3408</v>
      </c>
    </row>
    <row r="1966">
      <c r="A1966" s="1" t="s">
        <v>6331</v>
      </c>
      <c r="B1966" s="1">
        <v>67.0</v>
      </c>
      <c r="C1966" s="1">
        <v>90.0</v>
      </c>
      <c r="D1966" s="2" t="s">
        <v>581</v>
      </c>
      <c r="E1966" s="1">
        <v>67.0</v>
      </c>
      <c r="F1966" s="1">
        <v>3.0</v>
      </c>
      <c r="G1966" s="1">
        <v>3.14</v>
      </c>
      <c r="H1966" s="1">
        <v>0.0</v>
      </c>
      <c r="I1966" s="1">
        <v>0.0</v>
      </c>
      <c r="J1966" s="1">
        <v>0.0</v>
      </c>
      <c r="K1966" s="1">
        <v>0.14</v>
      </c>
      <c r="L1966" s="1">
        <v>8590000.0</v>
      </c>
      <c r="M1966" s="1" t="s">
        <v>6332</v>
      </c>
      <c r="N1966" s="18">
        <v>46016.0</v>
      </c>
      <c r="O1966" s="1" t="s">
        <v>3404</v>
      </c>
      <c r="P1966" s="1" t="s">
        <v>3257</v>
      </c>
      <c r="Q1966" s="1" t="s">
        <v>3408</v>
      </c>
    </row>
    <row r="1967">
      <c r="A1967" s="1" t="s">
        <v>5288</v>
      </c>
      <c r="B1967" s="1">
        <v>67.0</v>
      </c>
      <c r="C1967" s="1">
        <v>70.0</v>
      </c>
      <c r="D1967" s="2" t="s">
        <v>1918</v>
      </c>
      <c r="E1967" s="1">
        <v>67.0</v>
      </c>
      <c r="F1967" s="1">
        <v>11.0</v>
      </c>
      <c r="G1967" s="1">
        <v>0.0</v>
      </c>
      <c r="H1967" s="1">
        <v>0.0</v>
      </c>
      <c r="I1967" s="1">
        <v>0.0</v>
      </c>
      <c r="J1967" s="1">
        <v>0.0</v>
      </c>
      <c r="K1967" s="1">
        <v>0.33</v>
      </c>
      <c r="L1967" s="1">
        <v>4920000.0</v>
      </c>
      <c r="M1967" s="1" t="s">
        <v>5289</v>
      </c>
      <c r="N1967" s="18">
        <v>46015.0</v>
      </c>
      <c r="O1967" s="1" t="s">
        <v>3479</v>
      </c>
      <c r="P1967" s="1" t="s">
        <v>3334</v>
      </c>
      <c r="Q1967" s="1" t="s">
        <v>3408</v>
      </c>
    </row>
    <row r="1968">
      <c r="A1968" s="1" t="s">
        <v>3862</v>
      </c>
      <c r="B1968" s="1">
        <v>67.0</v>
      </c>
      <c r="C1968" s="1">
        <v>90.0</v>
      </c>
      <c r="D1968" s="2" t="s">
        <v>439</v>
      </c>
      <c r="E1968" s="1">
        <v>67.0</v>
      </c>
      <c r="F1968" s="1">
        <v>25.0</v>
      </c>
      <c r="G1968" s="1">
        <v>5.45</v>
      </c>
      <c r="H1968" s="1">
        <v>0.0</v>
      </c>
      <c r="I1968" s="1">
        <v>0.0</v>
      </c>
      <c r="J1968" s="1">
        <v>0.0</v>
      </c>
      <c r="K1968" s="1">
        <v>0.15</v>
      </c>
      <c r="L1968" s="1">
        <v>3.13E7</v>
      </c>
      <c r="M1968" s="1" t="s">
        <v>3863</v>
      </c>
      <c r="N1968" s="18">
        <v>46014.0</v>
      </c>
      <c r="O1968" s="1" t="s">
        <v>3404</v>
      </c>
      <c r="P1968" s="1" t="s">
        <v>3294</v>
      </c>
      <c r="Q1968" s="1" t="s">
        <v>3408</v>
      </c>
    </row>
    <row r="1969">
      <c r="A1969" s="1" t="s">
        <v>6844</v>
      </c>
      <c r="B1969" s="1">
        <v>67.0</v>
      </c>
      <c r="C1969" s="1">
        <v>50.0</v>
      </c>
      <c r="D1969" s="2" t="s">
        <v>581</v>
      </c>
      <c r="E1969" s="1">
        <v>67.0</v>
      </c>
      <c r="F1969" s="1">
        <v>9.0</v>
      </c>
      <c r="G1969" s="1">
        <v>0.0</v>
      </c>
      <c r="H1969" s="1">
        <v>0.0</v>
      </c>
      <c r="I1969" s="1">
        <v>0.0</v>
      </c>
      <c r="J1969" s="1">
        <v>0.0</v>
      </c>
      <c r="K1969" s="1">
        <v>0.18</v>
      </c>
      <c r="L1969" s="1">
        <v>804000.0</v>
      </c>
      <c r="M1969" s="1" t="s">
        <v>6845</v>
      </c>
      <c r="N1969" s="18">
        <v>46012.0</v>
      </c>
      <c r="O1969" s="1" t="s">
        <v>3427</v>
      </c>
      <c r="P1969" s="1" t="s">
        <v>3257</v>
      </c>
      <c r="Q1969" s="1" t="s">
        <v>3408</v>
      </c>
    </row>
    <row r="1970">
      <c r="A1970" s="1" t="s">
        <v>6846</v>
      </c>
      <c r="B1970" s="1">
        <v>67.0</v>
      </c>
      <c r="C1970" s="1">
        <v>30.0</v>
      </c>
      <c r="D1970" s="2" t="s">
        <v>439</v>
      </c>
      <c r="E1970" s="1">
        <v>67.0</v>
      </c>
      <c r="F1970" s="1">
        <v>14.0</v>
      </c>
      <c r="G1970" s="1">
        <v>15.09</v>
      </c>
      <c r="H1970" s="1">
        <v>0.0</v>
      </c>
      <c r="I1970" s="1">
        <v>0.0</v>
      </c>
      <c r="J1970" s="1">
        <v>0.0</v>
      </c>
      <c r="K1970" s="1">
        <v>0.17</v>
      </c>
      <c r="L1970" s="1">
        <v>11700.0</v>
      </c>
      <c r="M1970" s="1" t="s">
        <v>6847</v>
      </c>
      <c r="N1970" s="18">
        <v>46012.0</v>
      </c>
      <c r="O1970" s="1" t="s">
        <v>4177</v>
      </c>
      <c r="P1970" s="1" t="s">
        <v>3230</v>
      </c>
      <c r="Q1970" s="1" t="s">
        <v>3408</v>
      </c>
    </row>
    <row r="1971">
      <c r="A1971" s="1" t="s">
        <v>6848</v>
      </c>
      <c r="B1971" s="1">
        <v>67.0</v>
      </c>
      <c r="C1971" s="1">
        <v>90.0</v>
      </c>
      <c r="D1971" s="2" t="s">
        <v>911</v>
      </c>
      <c r="E1971" s="1">
        <v>67.0</v>
      </c>
      <c r="F1971" s="1">
        <v>0.0</v>
      </c>
      <c r="G1971" s="1">
        <v>1.83</v>
      </c>
      <c r="H1971" s="1">
        <v>0.0</v>
      </c>
      <c r="I1971" s="1">
        <v>0.0</v>
      </c>
      <c r="J1971" s="1">
        <v>0.0</v>
      </c>
      <c r="K1971" s="1">
        <v>0.47</v>
      </c>
      <c r="L1971" s="1">
        <v>5.22E7</v>
      </c>
      <c r="M1971" s="1" t="s">
        <v>6849</v>
      </c>
      <c r="N1971" s="18">
        <v>46007.0</v>
      </c>
      <c r="O1971" s="1" t="s">
        <v>3442</v>
      </c>
      <c r="P1971" s="1" t="s">
        <v>3230</v>
      </c>
      <c r="Q1971" s="1" t="s">
        <v>3408</v>
      </c>
    </row>
    <row r="1972">
      <c r="A1972" s="1" t="s">
        <v>5803</v>
      </c>
      <c r="B1972" s="1">
        <v>67.0</v>
      </c>
      <c r="C1972" s="1">
        <v>40.0</v>
      </c>
      <c r="D1972" s="2" t="s">
        <v>1452</v>
      </c>
      <c r="E1972" s="1">
        <v>67.0</v>
      </c>
      <c r="F1972" s="1">
        <v>32.0</v>
      </c>
      <c r="G1972" s="1">
        <v>0.0</v>
      </c>
      <c r="H1972" s="1">
        <v>0.0</v>
      </c>
      <c r="I1972" s="1">
        <v>0.0</v>
      </c>
      <c r="J1972" s="1">
        <v>0.0</v>
      </c>
      <c r="K1972" s="1">
        <v>0.0</v>
      </c>
      <c r="L1972" s="1">
        <v>1.08E8</v>
      </c>
      <c r="M1972" s="1" t="s">
        <v>5804</v>
      </c>
      <c r="N1972" s="18">
        <v>46004.0</v>
      </c>
      <c r="O1972" s="1" t="s">
        <v>3920</v>
      </c>
      <c r="P1972" s="1" t="s">
        <v>3230</v>
      </c>
      <c r="Q1972" s="1" t="s">
        <v>3408</v>
      </c>
    </row>
    <row r="1973">
      <c r="A1973" s="1" t="s">
        <v>6850</v>
      </c>
      <c r="B1973" s="1">
        <v>67.0</v>
      </c>
      <c r="C1973" s="1">
        <v>390.0</v>
      </c>
      <c r="D1973" s="2" t="s">
        <v>2249</v>
      </c>
      <c r="E1973" s="1">
        <v>67.0</v>
      </c>
      <c r="F1973" s="1">
        <v>7.0</v>
      </c>
      <c r="G1973" s="1">
        <v>0.0</v>
      </c>
      <c r="H1973" s="1">
        <v>0.0</v>
      </c>
      <c r="I1973" s="1">
        <v>0.0</v>
      </c>
      <c r="J1973" s="1">
        <v>0.0</v>
      </c>
      <c r="K1973" s="1">
        <v>0.0</v>
      </c>
      <c r="L1973" s="1">
        <v>1.22E8</v>
      </c>
      <c r="M1973" s="1" t="s">
        <v>6851</v>
      </c>
      <c r="N1973" s="18">
        <v>46001.0</v>
      </c>
      <c r="O1973" s="1" t="s">
        <v>5344</v>
      </c>
      <c r="P1973" s="1" t="s">
        <v>3230</v>
      </c>
      <c r="Q1973" s="1" t="s">
        <v>3408</v>
      </c>
    </row>
    <row r="1974">
      <c r="A1974" s="1" t="s">
        <v>5984</v>
      </c>
      <c r="B1974" s="1">
        <v>67.0</v>
      </c>
      <c r="C1974" s="1">
        <v>40.0</v>
      </c>
      <c r="D1974" s="2" t="s">
        <v>1951</v>
      </c>
      <c r="E1974" s="1">
        <v>67.0</v>
      </c>
      <c r="F1974" s="1">
        <v>0.0</v>
      </c>
      <c r="G1974" s="1">
        <v>0.0</v>
      </c>
      <c r="H1974" s="1">
        <v>0.0</v>
      </c>
      <c r="I1974" s="1">
        <v>0.0</v>
      </c>
      <c r="J1974" s="1">
        <v>0.0</v>
      </c>
      <c r="K1974" s="1">
        <v>0.0</v>
      </c>
      <c r="L1974" s="1">
        <v>5.18E7</v>
      </c>
      <c r="M1974" s="1" t="s">
        <v>5985</v>
      </c>
      <c r="N1974" s="18">
        <v>45999.0</v>
      </c>
      <c r="O1974" s="1" t="s">
        <v>5986</v>
      </c>
      <c r="P1974" s="1" t="s">
        <v>3230</v>
      </c>
      <c r="Q1974" s="1" t="s">
        <v>3408</v>
      </c>
    </row>
    <row r="1975">
      <c r="A1975" s="1" t="s">
        <v>6852</v>
      </c>
      <c r="B1975" s="1">
        <v>67.0</v>
      </c>
      <c r="C1975" s="1">
        <v>70.0</v>
      </c>
      <c r="D1975" s="2" t="s">
        <v>1473</v>
      </c>
      <c r="E1975" s="1">
        <v>67.0</v>
      </c>
      <c r="F1975" s="1">
        <v>61.0</v>
      </c>
      <c r="G1975" s="1">
        <v>0.0</v>
      </c>
      <c r="H1975" s="1">
        <v>0.0</v>
      </c>
      <c r="I1975" s="1">
        <v>0.0</v>
      </c>
      <c r="J1975" s="1">
        <v>0.0</v>
      </c>
      <c r="K1975" s="1">
        <v>0.0</v>
      </c>
      <c r="L1975" s="1">
        <v>3.61E8</v>
      </c>
      <c r="M1975" s="1" t="s">
        <v>6853</v>
      </c>
      <c r="N1975" s="18">
        <v>45999.0</v>
      </c>
      <c r="O1975" s="1" t="s">
        <v>5571</v>
      </c>
      <c r="P1975" s="1" t="s">
        <v>3230</v>
      </c>
      <c r="Q1975" s="1" t="s">
        <v>3408</v>
      </c>
    </row>
    <row r="1976">
      <c r="A1976" s="1" t="s">
        <v>6854</v>
      </c>
      <c r="B1976" s="1">
        <v>67.0</v>
      </c>
      <c r="C1976" s="1">
        <v>70.0</v>
      </c>
      <c r="D1976" s="2" t="s">
        <v>3001</v>
      </c>
      <c r="E1976" s="1">
        <v>67.0</v>
      </c>
      <c r="F1976" s="1">
        <v>1.0</v>
      </c>
      <c r="G1976" s="1">
        <v>103.86</v>
      </c>
      <c r="H1976" s="1">
        <v>0.0</v>
      </c>
      <c r="I1976" s="1">
        <v>0.0</v>
      </c>
      <c r="J1976" s="1">
        <v>0.0</v>
      </c>
      <c r="K1976" s="1">
        <v>0.01</v>
      </c>
      <c r="L1976" s="1">
        <v>3150000.0</v>
      </c>
      <c r="M1976" s="1" t="s">
        <v>6855</v>
      </c>
      <c r="N1976" s="18">
        <v>45996.0</v>
      </c>
      <c r="O1976" s="1" t="s">
        <v>3765</v>
      </c>
      <c r="P1976" s="1" t="s">
        <v>3257</v>
      </c>
      <c r="Q1976" s="1" t="s">
        <v>3408</v>
      </c>
    </row>
    <row r="1977">
      <c r="A1977" s="1" t="s">
        <v>6856</v>
      </c>
      <c r="B1977" s="1">
        <v>67.0</v>
      </c>
      <c r="C1977" s="1">
        <v>70.0</v>
      </c>
      <c r="D1977" s="2" t="s">
        <v>2054</v>
      </c>
      <c r="E1977" s="1">
        <v>67.0</v>
      </c>
      <c r="F1977" s="1">
        <v>0.0</v>
      </c>
      <c r="G1977" s="1">
        <v>0.0</v>
      </c>
      <c r="H1977" s="1">
        <v>0.0</v>
      </c>
      <c r="I1977" s="1">
        <v>0.0</v>
      </c>
      <c r="J1977" s="1">
        <v>0.0</v>
      </c>
      <c r="K1977" s="1">
        <v>0.0</v>
      </c>
      <c r="L1977" s="1">
        <v>8410000.0</v>
      </c>
      <c r="M1977" s="1" t="s">
        <v>6857</v>
      </c>
      <c r="N1977" s="18">
        <v>45995.0</v>
      </c>
      <c r="O1977" s="1" t="s">
        <v>6858</v>
      </c>
      <c r="P1977" s="1" t="s">
        <v>3230</v>
      </c>
      <c r="Q1977" s="1" t="s">
        <v>3408</v>
      </c>
    </row>
    <row r="1978">
      <c r="A1978" s="1" t="s">
        <v>6859</v>
      </c>
      <c r="B1978" s="1">
        <v>67.0</v>
      </c>
      <c r="C1978" s="1">
        <v>320.0</v>
      </c>
      <c r="D1978" s="2" t="s">
        <v>581</v>
      </c>
      <c r="E1978" s="1">
        <v>67.0</v>
      </c>
      <c r="F1978" s="1">
        <v>10.0</v>
      </c>
      <c r="G1978" s="1">
        <v>6.21</v>
      </c>
      <c r="H1978" s="1">
        <v>0.0</v>
      </c>
      <c r="I1978" s="1">
        <v>0.0</v>
      </c>
      <c r="J1978" s="1">
        <v>0.0</v>
      </c>
      <c r="K1978" s="1">
        <v>0.07</v>
      </c>
      <c r="L1978" s="1">
        <v>148000.0</v>
      </c>
      <c r="M1978" s="1" t="s">
        <v>6860</v>
      </c>
      <c r="N1978" s="18">
        <v>45993.0</v>
      </c>
      <c r="O1978" s="1" t="s">
        <v>3821</v>
      </c>
      <c r="P1978" s="1" t="s">
        <v>3230</v>
      </c>
      <c r="Q1978" s="1" t="s">
        <v>3408</v>
      </c>
    </row>
    <row r="1979">
      <c r="A1979" s="1" t="s">
        <v>6861</v>
      </c>
      <c r="B1979" s="1">
        <v>67.0</v>
      </c>
      <c r="C1979" s="1">
        <v>30.0</v>
      </c>
      <c r="D1979" s="2" t="s">
        <v>581</v>
      </c>
      <c r="E1979" s="1">
        <v>67.0</v>
      </c>
      <c r="F1979" s="1">
        <v>9.0</v>
      </c>
      <c r="G1979" s="1">
        <v>17.96</v>
      </c>
      <c r="H1979" s="1">
        <v>0.0</v>
      </c>
      <c r="I1979" s="1">
        <v>0.0</v>
      </c>
      <c r="J1979" s="1">
        <v>0.0</v>
      </c>
      <c r="K1979" s="1">
        <v>0.66</v>
      </c>
      <c r="L1979" s="1">
        <v>99500.0</v>
      </c>
      <c r="M1979" s="1" t="s">
        <v>6862</v>
      </c>
      <c r="N1979" s="18">
        <v>45991.0</v>
      </c>
      <c r="O1979" s="1" t="s">
        <v>5828</v>
      </c>
      <c r="P1979" s="1" t="s">
        <v>3257</v>
      </c>
      <c r="Q1979" s="1" t="s">
        <v>3408</v>
      </c>
    </row>
    <row r="1980">
      <c r="A1980" s="1" t="s">
        <v>6863</v>
      </c>
      <c r="B1980" s="1">
        <v>67.0</v>
      </c>
      <c r="C1980" s="1">
        <v>70.0</v>
      </c>
      <c r="D1980" s="2" t="s">
        <v>439</v>
      </c>
      <c r="E1980" s="1">
        <v>67.0</v>
      </c>
      <c r="F1980" s="1">
        <v>12.0</v>
      </c>
      <c r="G1980" s="1">
        <v>16.16</v>
      </c>
      <c r="H1980" s="1">
        <v>0.0</v>
      </c>
      <c r="I1980" s="1">
        <v>0.0</v>
      </c>
      <c r="J1980" s="1">
        <v>0.0</v>
      </c>
      <c r="K1980" s="1">
        <v>0.42</v>
      </c>
      <c r="L1980" s="1">
        <v>2.71E8</v>
      </c>
      <c r="M1980" s="1" t="s">
        <v>6864</v>
      </c>
      <c r="N1980" s="18">
        <v>45991.0</v>
      </c>
      <c r="O1980" s="1" t="s">
        <v>4278</v>
      </c>
      <c r="P1980" s="1" t="s">
        <v>3294</v>
      </c>
      <c r="Q1980" s="1" t="s">
        <v>3408</v>
      </c>
    </row>
    <row r="1981">
      <c r="A1981" s="1" t="s">
        <v>6865</v>
      </c>
      <c r="B1981" s="1">
        <v>67.0</v>
      </c>
      <c r="C1981" s="1">
        <v>40.0</v>
      </c>
      <c r="D1981" s="2" t="s">
        <v>581</v>
      </c>
      <c r="E1981" s="1">
        <v>67.0</v>
      </c>
      <c r="F1981" s="1">
        <v>30.0</v>
      </c>
      <c r="G1981" s="1">
        <v>19.09</v>
      </c>
      <c r="H1981" s="1">
        <v>0.0</v>
      </c>
      <c r="I1981" s="1">
        <v>0.0</v>
      </c>
      <c r="J1981" s="1">
        <v>0.0</v>
      </c>
      <c r="K1981" s="1">
        <v>0.98</v>
      </c>
      <c r="L1981" s="1">
        <v>5820000.0</v>
      </c>
      <c r="M1981" s="1" t="s">
        <v>6866</v>
      </c>
      <c r="N1981" s="18">
        <v>45990.0</v>
      </c>
      <c r="O1981" s="1" t="s">
        <v>4452</v>
      </c>
      <c r="P1981" s="1" t="s">
        <v>3257</v>
      </c>
      <c r="Q1981" s="1" t="s">
        <v>3408</v>
      </c>
    </row>
    <row r="1982">
      <c r="A1982" s="1" t="s">
        <v>6867</v>
      </c>
      <c r="B1982" s="1">
        <v>67.0</v>
      </c>
      <c r="C1982" s="1">
        <v>170.0</v>
      </c>
      <c r="D1982" s="2" t="s">
        <v>581</v>
      </c>
      <c r="E1982" s="1">
        <v>67.0</v>
      </c>
      <c r="F1982" s="1">
        <v>27.0</v>
      </c>
      <c r="G1982" s="1">
        <v>15.21</v>
      </c>
      <c r="H1982" s="1">
        <v>0.0</v>
      </c>
      <c r="I1982" s="1">
        <v>0.0</v>
      </c>
      <c r="J1982" s="1">
        <v>0.0</v>
      </c>
      <c r="K1982" s="1">
        <v>0.39</v>
      </c>
      <c r="L1982" s="1">
        <v>154000.0</v>
      </c>
      <c r="M1982" s="1" t="s">
        <v>6868</v>
      </c>
      <c r="N1982" s="18">
        <v>45989.0</v>
      </c>
      <c r="O1982" s="1" t="s">
        <v>3355</v>
      </c>
      <c r="P1982" s="1" t="s">
        <v>3257</v>
      </c>
      <c r="Q1982" s="1" t="s">
        <v>3408</v>
      </c>
    </row>
    <row r="1983">
      <c r="A1983" s="1" t="s">
        <v>6869</v>
      </c>
      <c r="B1983" s="1">
        <v>67.0</v>
      </c>
      <c r="C1983" s="1">
        <v>90.0</v>
      </c>
      <c r="D1983" s="2" t="s">
        <v>439</v>
      </c>
      <c r="E1983" s="1">
        <v>67.0</v>
      </c>
      <c r="F1983" s="1">
        <v>7.0</v>
      </c>
      <c r="G1983" s="1">
        <v>5.42</v>
      </c>
      <c r="H1983" s="1">
        <v>0.0</v>
      </c>
      <c r="I1983" s="1">
        <v>0.0</v>
      </c>
      <c r="J1983" s="1">
        <v>0.0</v>
      </c>
      <c r="K1983" s="1">
        <v>0.13</v>
      </c>
      <c r="L1983" s="1">
        <v>1990000.0</v>
      </c>
      <c r="M1983" s="1" t="s">
        <v>6870</v>
      </c>
      <c r="N1983" s="18">
        <v>45981.0</v>
      </c>
      <c r="O1983" s="1" t="s">
        <v>5962</v>
      </c>
      <c r="P1983" s="1" t="s">
        <v>3230</v>
      </c>
      <c r="Q1983" s="1" t="s">
        <v>3408</v>
      </c>
    </row>
    <row r="1984">
      <c r="A1984" s="1" t="s">
        <v>6871</v>
      </c>
      <c r="B1984" s="1">
        <v>67.0</v>
      </c>
      <c r="C1984" s="1">
        <v>880.0</v>
      </c>
      <c r="D1984" s="2" t="s">
        <v>911</v>
      </c>
      <c r="E1984" s="1">
        <v>67.0</v>
      </c>
      <c r="F1984" s="1">
        <v>4.0</v>
      </c>
      <c r="G1984" s="1">
        <v>1.77</v>
      </c>
      <c r="H1984" s="1">
        <v>0.0</v>
      </c>
      <c r="I1984" s="1">
        <v>0.0</v>
      </c>
      <c r="J1984" s="1">
        <v>0.0</v>
      </c>
      <c r="K1984" s="1">
        <v>0.47</v>
      </c>
      <c r="L1984" s="1">
        <v>0.0</v>
      </c>
      <c r="M1984" s="1" t="s">
        <v>6872</v>
      </c>
      <c r="N1984" s="18">
        <v>45980.0</v>
      </c>
      <c r="O1984" s="1" t="s">
        <v>3442</v>
      </c>
      <c r="P1984" s="1" t="s">
        <v>3230</v>
      </c>
      <c r="Q1984" s="1" t="s">
        <v>3408</v>
      </c>
    </row>
    <row r="1985">
      <c r="A1985" s="1" t="s">
        <v>6873</v>
      </c>
      <c r="B1985" s="1">
        <v>67.0</v>
      </c>
      <c r="C1985" s="1">
        <v>70.0</v>
      </c>
      <c r="D1985" s="2" t="s">
        <v>724</v>
      </c>
      <c r="E1985" s="1">
        <v>67.0</v>
      </c>
      <c r="F1985" s="1">
        <v>0.0</v>
      </c>
      <c r="G1985" s="1">
        <v>0.0</v>
      </c>
      <c r="H1985" s="1">
        <v>0.0</v>
      </c>
      <c r="I1985" s="1">
        <v>0.0</v>
      </c>
      <c r="J1985" s="1">
        <v>0.0</v>
      </c>
      <c r="K1985" s="1">
        <v>0.0</v>
      </c>
      <c r="L1985" s="1">
        <v>10.0</v>
      </c>
      <c r="M1985" s="1" t="s">
        <v>6874</v>
      </c>
      <c r="N1985" s="18">
        <v>45978.0</v>
      </c>
      <c r="O1985" s="1" t="s">
        <v>6875</v>
      </c>
      <c r="P1985" s="1" t="s">
        <v>3230</v>
      </c>
      <c r="Q1985" s="1" t="s">
        <v>3408</v>
      </c>
    </row>
    <row r="1986">
      <c r="A1986" s="1" t="s">
        <v>6221</v>
      </c>
      <c r="B1986" s="1">
        <v>67.0</v>
      </c>
      <c r="C1986" s="1">
        <v>90.0</v>
      </c>
      <c r="D1986" s="2" t="s">
        <v>839</v>
      </c>
      <c r="E1986" s="1">
        <v>67.0</v>
      </c>
      <c r="F1986" s="1">
        <v>0.0</v>
      </c>
      <c r="G1986" s="1">
        <v>0.0</v>
      </c>
      <c r="H1986" s="1">
        <v>0.0</v>
      </c>
      <c r="I1986" s="1">
        <v>0.0</v>
      </c>
      <c r="J1986" s="1">
        <v>0.0</v>
      </c>
      <c r="K1986" s="1">
        <v>0.01</v>
      </c>
      <c r="L1986" s="1">
        <v>10.0</v>
      </c>
      <c r="M1986" s="1" t="s">
        <v>6222</v>
      </c>
      <c r="N1986" s="18">
        <v>45975.0</v>
      </c>
      <c r="O1986" s="1" t="s">
        <v>3407</v>
      </c>
      <c r="P1986" s="1" t="s">
        <v>3230</v>
      </c>
      <c r="Q1986" s="1" t="s">
        <v>3408</v>
      </c>
    </row>
    <row r="1987">
      <c r="A1987" s="1" t="s">
        <v>6876</v>
      </c>
      <c r="B1987" s="1">
        <v>67.0</v>
      </c>
      <c r="C1987" s="1">
        <v>90.0</v>
      </c>
      <c r="D1987" s="2" t="s">
        <v>439</v>
      </c>
      <c r="E1987" s="1">
        <v>67.0</v>
      </c>
      <c r="F1987" s="1">
        <v>18.0</v>
      </c>
      <c r="G1987" s="1">
        <v>0.0</v>
      </c>
      <c r="H1987" s="1">
        <v>0.0</v>
      </c>
      <c r="I1987" s="1">
        <v>0.0</v>
      </c>
      <c r="J1987" s="1">
        <v>0.0</v>
      </c>
      <c r="K1987" s="1">
        <v>0.05</v>
      </c>
      <c r="L1987" s="1">
        <v>2600000.0</v>
      </c>
      <c r="M1987" s="1" t="s">
        <v>6877</v>
      </c>
      <c r="N1987" s="18">
        <v>45966.0</v>
      </c>
      <c r="O1987" s="1" t="s">
        <v>4372</v>
      </c>
      <c r="P1987" s="1" t="s">
        <v>3294</v>
      </c>
      <c r="Q1987" s="1" t="s">
        <v>3408</v>
      </c>
    </row>
    <row r="1988">
      <c r="A1988" s="1" t="s">
        <v>6878</v>
      </c>
      <c r="B1988" s="1">
        <v>68.0</v>
      </c>
      <c r="C1988" s="1">
        <v>50.0</v>
      </c>
      <c r="D1988" s="2" t="s">
        <v>786</v>
      </c>
      <c r="E1988" s="1">
        <v>68.0</v>
      </c>
      <c r="F1988" s="1">
        <v>31.0</v>
      </c>
      <c r="G1988" s="1">
        <v>46.79</v>
      </c>
      <c r="H1988" s="1">
        <v>0.0</v>
      </c>
      <c r="I1988" s="1">
        <v>0.0</v>
      </c>
      <c r="J1988" s="1">
        <v>0.0</v>
      </c>
      <c r="K1988" s="1">
        <v>0.29</v>
      </c>
      <c r="L1988" s="1">
        <v>2.19E7</v>
      </c>
      <c r="M1988" s="1" t="s">
        <v>6879</v>
      </c>
      <c r="N1988" s="18">
        <v>46037.0</v>
      </c>
      <c r="O1988" s="1" t="s">
        <v>6880</v>
      </c>
      <c r="P1988" s="1" t="s">
        <v>3230</v>
      </c>
      <c r="Q1988" s="1" t="s">
        <v>3408</v>
      </c>
    </row>
    <row r="1989">
      <c r="A1989" s="1" t="s">
        <v>6881</v>
      </c>
      <c r="B1989" s="1">
        <v>68.0</v>
      </c>
      <c r="C1989" s="1">
        <v>110.0</v>
      </c>
      <c r="D1989" s="2" t="s">
        <v>2995</v>
      </c>
      <c r="E1989" s="1">
        <v>68.0</v>
      </c>
      <c r="F1989" s="1">
        <v>12.0</v>
      </c>
      <c r="G1989" s="1">
        <v>98.55</v>
      </c>
      <c r="H1989" s="1">
        <v>0.0</v>
      </c>
      <c r="I1989" s="1">
        <v>0.0</v>
      </c>
      <c r="J1989" s="1">
        <v>0.0</v>
      </c>
      <c r="K1989" s="1">
        <v>0.15</v>
      </c>
      <c r="L1989" s="1">
        <v>9940000.0</v>
      </c>
      <c r="M1989" s="1" t="s">
        <v>6882</v>
      </c>
      <c r="N1989" s="18">
        <v>46035.0</v>
      </c>
      <c r="O1989" s="1" t="s">
        <v>3427</v>
      </c>
      <c r="P1989" s="1" t="s">
        <v>3257</v>
      </c>
      <c r="Q1989" s="1" t="s">
        <v>3408</v>
      </c>
    </row>
    <row r="1990">
      <c r="A1990" s="1" t="s">
        <v>6883</v>
      </c>
      <c r="B1990" s="1">
        <v>68.0</v>
      </c>
      <c r="C1990" s="1">
        <v>30.0</v>
      </c>
      <c r="D1990" s="2" t="s">
        <v>439</v>
      </c>
      <c r="E1990" s="1">
        <v>68.0</v>
      </c>
      <c r="F1990" s="1">
        <v>9.0</v>
      </c>
      <c r="G1990" s="1">
        <v>4.82</v>
      </c>
      <c r="H1990" s="1">
        <v>0.0</v>
      </c>
      <c r="I1990" s="1">
        <v>0.0</v>
      </c>
      <c r="J1990" s="1">
        <v>0.0</v>
      </c>
      <c r="K1990" s="1">
        <v>0.21</v>
      </c>
      <c r="L1990" s="1">
        <v>7200000.0</v>
      </c>
      <c r="M1990" s="1" t="s">
        <v>6884</v>
      </c>
      <c r="N1990" s="18">
        <v>46034.0</v>
      </c>
      <c r="O1990" s="1" t="s">
        <v>6885</v>
      </c>
      <c r="P1990" s="1" t="s">
        <v>3334</v>
      </c>
      <c r="Q1990" s="1" t="s">
        <v>3408</v>
      </c>
    </row>
    <row r="1991">
      <c r="A1991" s="1" t="s">
        <v>6886</v>
      </c>
      <c r="B1991" s="1">
        <v>68.0</v>
      </c>
      <c r="C1991" s="1">
        <v>720.0</v>
      </c>
      <c r="D1991" s="2" t="s">
        <v>678</v>
      </c>
      <c r="E1991" s="1">
        <v>68.0</v>
      </c>
      <c r="G1991" s="1">
        <v>5.0</v>
      </c>
      <c r="H1991" s="1">
        <v>0.0</v>
      </c>
      <c r="I1991" s="1">
        <v>0.0</v>
      </c>
      <c r="J1991" s="1">
        <v>0.0</v>
      </c>
      <c r="K1991" s="1">
        <v>0.02</v>
      </c>
      <c r="L1991" s="1">
        <v>263000.0</v>
      </c>
      <c r="M1991" s="1" t="s">
        <v>6887</v>
      </c>
      <c r="N1991" s="18">
        <v>46032.0</v>
      </c>
      <c r="O1991" s="1" t="s">
        <v>6888</v>
      </c>
      <c r="P1991" s="1" t="s">
        <v>3294</v>
      </c>
      <c r="Q1991" s="1" t="s">
        <v>3408</v>
      </c>
    </row>
    <row r="1992">
      <c r="A1992" s="1" t="s">
        <v>3684</v>
      </c>
      <c r="B1992" s="1">
        <v>68.0</v>
      </c>
      <c r="C1992" s="1">
        <v>50.0</v>
      </c>
      <c r="D1992" s="2" t="s">
        <v>475</v>
      </c>
      <c r="E1992" s="1">
        <v>68.0</v>
      </c>
      <c r="F1992" s="1">
        <v>31.0</v>
      </c>
      <c r="G1992" s="1">
        <v>16.24</v>
      </c>
      <c r="H1992" s="1">
        <v>0.0</v>
      </c>
      <c r="I1992" s="1">
        <v>0.0</v>
      </c>
      <c r="J1992" s="1">
        <v>0.0</v>
      </c>
      <c r="K1992" s="1">
        <v>0.67</v>
      </c>
      <c r="L1992" s="1">
        <v>214000.0</v>
      </c>
      <c r="M1992" s="1" t="s">
        <v>3685</v>
      </c>
      <c r="N1992" s="18">
        <v>46032.0</v>
      </c>
      <c r="O1992" s="1" t="s">
        <v>3686</v>
      </c>
      <c r="P1992" s="1" t="s">
        <v>3257</v>
      </c>
      <c r="Q1992" s="1" t="s">
        <v>3408</v>
      </c>
    </row>
    <row r="1993">
      <c r="A1993" s="1" t="s">
        <v>6889</v>
      </c>
      <c r="B1993" s="1">
        <v>68.0</v>
      </c>
      <c r="C1993" s="1">
        <v>30.0</v>
      </c>
      <c r="D1993" s="2" t="s">
        <v>1307</v>
      </c>
      <c r="E1993" s="1">
        <v>68.0</v>
      </c>
      <c r="F1993" s="1">
        <v>5.0</v>
      </c>
      <c r="G1993" s="1">
        <v>5.38</v>
      </c>
      <c r="H1993" s="1">
        <v>0.0</v>
      </c>
      <c r="I1993" s="1">
        <v>0.0</v>
      </c>
      <c r="J1993" s="1">
        <v>0.0</v>
      </c>
      <c r="K1993" s="1">
        <v>0.99</v>
      </c>
      <c r="L1993" s="1">
        <v>619000.0</v>
      </c>
      <c r="M1993" s="1" t="s">
        <v>6890</v>
      </c>
      <c r="N1993" s="18">
        <v>46032.0</v>
      </c>
      <c r="O1993" s="1" t="s">
        <v>3355</v>
      </c>
      <c r="P1993" s="1" t="s">
        <v>3257</v>
      </c>
      <c r="Q1993" s="1" t="s">
        <v>3408</v>
      </c>
    </row>
    <row r="1994">
      <c r="A1994" s="1" t="s">
        <v>6891</v>
      </c>
      <c r="B1994" s="1">
        <v>68.0</v>
      </c>
      <c r="C1994" s="1">
        <v>30.0</v>
      </c>
      <c r="D1994" s="2" t="s">
        <v>921</v>
      </c>
      <c r="E1994" s="1">
        <v>68.0</v>
      </c>
      <c r="F1994" s="1">
        <v>0.0</v>
      </c>
      <c r="G1994" s="1">
        <v>3.98</v>
      </c>
      <c r="H1994" s="1">
        <v>0.0</v>
      </c>
      <c r="I1994" s="1">
        <v>0.0</v>
      </c>
      <c r="J1994" s="1">
        <v>0.0</v>
      </c>
      <c r="K1994" s="1">
        <v>0.37</v>
      </c>
      <c r="L1994" s="1">
        <v>6290000.0</v>
      </c>
      <c r="M1994" s="1" t="s">
        <v>6892</v>
      </c>
      <c r="N1994" s="18">
        <v>46031.0</v>
      </c>
      <c r="O1994" s="1" t="s">
        <v>3653</v>
      </c>
      <c r="P1994" s="1" t="s">
        <v>3257</v>
      </c>
      <c r="Q1994" s="1" t="s">
        <v>3408</v>
      </c>
    </row>
    <row r="1995">
      <c r="A1995" s="1" t="s">
        <v>6893</v>
      </c>
      <c r="B1995" s="1">
        <v>68.0</v>
      </c>
      <c r="C1995" s="1">
        <v>50.0</v>
      </c>
      <c r="D1995" s="2" t="s">
        <v>581</v>
      </c>
      <c r="E1995" s="1">
        <v>68.0</v>
      </c>
      <c r="F1995" s="1">
        <v>0.0</v>
      </c>
      <c r="G1995" s="1">
        <v>0.0</v>
      </c>
      <c r="H1995" s="1">
        <v>0.0</v>
      </c>
      <c r="I1995" s="1">
        <v>0.0</v>
      </c>
      <c r="J1995" s="1">
        <v>0.0</v>
      </c>
      <c r="K1995" s="1">
        <v>0.0</v>
      </c>
      <c r="L1995" s="1">
        <v>1960000.0</v>
      </c>
      <c r="M1995" s="1" t="s">
        <v>6894</v>
      </c>
      <c r="N1995" s="18">
        <v>46031.0</v>
      </c>
      <c r="O1995" s="1" t="s">
        <v>6472</v>
      </c>
      <c r="P1995" s="1" t="s">
        <v>3257</v>
      </c>
      <c r="Q1995" s="1" t="s">
        <v>3408</v>
      </c>
    </row>
    <row r="1996">
      <c r="A1996" s="1" t="s">
        <v>5377</v>
      </c>
      <c r="B1996" s="1">
        <v>68.0</v>
      </c>
      <c r="C1996" s="1">
        <v>50.0</v>
      </c>
      <c r="D1996" s="2" t="s">
        <v>2965</v>
      </c>
      <c r="E1996" s="1">
        <v>68.0</v>
      </c>
      <c r="F1996" s="1">
        <v>13.0</v>
      </c>
      <c r="G1996" s="1">
        <v>0.0</v>
      </c>
      <c r="H1996" s="1">
        <v>0.0</v>
      </c>
      <c r="I1996" s="1">
        <v>0.0</v>
      </c>
      <c r="J1996" s="1">
        <v>0.0</v>
      </c>
      <c r="K1996" s="1">
        <v>0.0</v>
      </c>
      <c r="L1996" s="1">
        <v>289000.0</v>
      </c>
      <c r="M1996" s="1" t="s">
        <v>5378</v>
      </c>
      <c r="N1996" s="18">
        <v>46030.0</v>
      </c>
      <c r="O1996" s="1" t="s">
        <v>5379</v>
      </c>
      <c r="P1996" s="1" t="s">
        <v>3257</v>
      </c>
      <c r="Q1996" s="1" t="s">
        <v>3408</v>
      </c>
    </row>
    <row r="1997">
      <c r="A1997" s="1" t="s">
        <v>6895</v>
      </c>
      <c r="B1997" s="1">
        <v>68.0</v>
      </c>
      <c r="C1997" s="1">
        <v>110.0</v>
      </c>
      <c r="D1997" s="2" t="s">
        <v>754</v>
      </c>
      <c r="E1997" s="1">
        <v>68.0</v>
      </c>
      <c r="F1997" s="1">
        <v>18.0</v>
      </c>
      <c r="G1997" s="1">
        <v>30.03</v>
      </c>
      <c r="H1997" s="1">
        <v>0.0</v>
      </c>
      <c r="I1997" s="1">
        <v>0.0</v>
      </c>
      <c r="J1997" s="1">
        <v>0.0</v>
      </c>
      <c r="K1997" s="1">
        <v>0.55</v>
      </c>
      <c r="L1997" s="1">
        <v>1.65E8</v>
      </c>
      <c r="M1997" s="1" t="s">
        <v>6896</v>
      </c>
      <c r="N1997" s="18">
        <v>46030.0</v>
      </c>
      <c r="O1997" s="1" t="s">
        <v>5435</v>
      </c>
      <c r="P1997" s="1" t="s">
        <v>3230</v>
      </c>
      <c r="Q1997" s="1" t="s">
        <v>3408</v>
      </c>
    </row>
    <row r="1998">
      <c r="A1998" s="1" t="s">
        <v>6897</v>
      </c>
      <c r="B1998" s="1">
        <v>68.0</v>
      </c>
      <c r="C1998" s="1">
        <v>50.0</v>
      </c>
      <c r="D1998" s="2" t="s">
        <v>1396</v>
      </c>
      <c r="E1998" s="1">
        <v>68.0</v>
      </c>
      <c r="F1998" s="1">
        <v>16.0</v>
      </c>
      <c r="G1998" s="1">
        <v>0.0</v>
      </c>
      <c r="H1998" s="1">
        <v>0.0</v>
      </c>
      <c r="I1998" s="1">
        <v>0.0</v>
      </c>
      <c r="J1998" s="1">
        <v>0.0</v>
      </c>
      <c r="K1998" s="1">
        <v>0.0</v>
      </c>
      <c r="L1998" s="1">
        <v>339000.0</v>
      </c>
      <c r="M1998" s="1" t="s">
        <v>5845</v>
      </c>
      <c r="N1998" s="18">
        <v>46029.0</v>
      </c>
      <c r="O1998" s="1" t="s">
        <v>6898</v>
      </c>
      <c r="P1998" s="1" t="s">
        <v>3257</v>
      </c>
      <c r="Q1998" s="1" t="s">
        <v>3408</v>
      </c>
    </row>
    <row r="1999">
      <c r="A1999" s="1" t="s">
        <v>6899</v>
      </c>
      <c r="B1999" s="1">
        <v>68.0</v>
      </c>
      <c r="C1999" s="1">
        <v>70.0</v>
      </c>
      <c r="D1999" s="2" t="s">
        <v>1868</v>
      </c>
      <c r="E1999" s="1">
        <v>68.0</v>
      </c>
      <c r="F1999" s="1">
        <v>61.0</v>
      </c>
      <c r="G1999" s="1">
        <v>0.0</v>
      </c>
      <c r="H1999" s="1">
        <v>0.0</v>
      </c>
      <c r="I1999" s="1">
        <v>0.0</v>
      </c>
      <c r="J1999" s="1">
        <v>0.0</v>
      </c>
      <c r="K1999" s="1">
        <v>0.0</v>
      </c>
      <c r="L1999" s="1">
        <v>4.09E8</v>
      </c>
      <c r="M1999" s="1" t="s">
        <v>6900</v>
      </c>
      <c r="N1999" s="18">
        <v>46026.0</v>
      </c>
      <c r="O1999" s="1" t="s">
        <v>5571</v>
      </c>
      <c r="P1999" s="1" t="s">
        <v>3230</v>
      </c>
      <c r="Q1999" s="1" t="s">
        <v>3408</v>
      </c>
    </row>
    <row r="2000">
      <c r="A2000" s="1" t="s">
        <v>6901</v>
      </c>
      <c r="B2000" s="1">
        <v>68.0</v>
      </c>
      <c r="C2000" s="1">
        <v>50.0</v>
      </c>
      <c r="D2000" s="2" t="s">
        <v>439</v>
      </c>
      <c r="E2000" s="1">
        <v>68.0</v>
      </c>
      <c r="F2000" s="1">
        <v>13.0</v>
      </c>
      <c r="G2000" s="1">
        <v>0.0</v>
      </c>
      <c r="H2000" s="1">
        <v>0.0</v>
      </c>
      <c r="I2000" s="1">
        <v>0.0</v>
      </c>
      <c r="J2000" s="1">
        <v>0.0</v>
      </c>
      <c r="K2000" s="1">
        <v>0.02</v>
      </c>
      <c r="L2000" s="1">
        <v>336000.0</v>
      </c>
      <c r="M2000" s="1" t="s">
        <v>6902</v>
      </c>
      <c r="N2000" s="18">
        <v>46025.0</v>
      </c>
      <c r="O2000" s="1" t="s">
        <v>3821</v>
      </c>
      <c r="P2000" s="1" t="s">
        <v>3294</v>
      </c>
      <c r="Q2000" s="1" t="s">
        <v>3408</v>
      </c>
    </row>
    <row r="2001">
      <c r="A2001" s="1" t="s">
        <v>6903</v>
      </c>
      <c r="B2001" s="1">
        <v>68.0</v>
      </c>
      <c r="C2001" s="1">
        <v>70.0</v>
      </c>
      <c r="D2001" s="2" t="s">
        <v>762</v>
      </c>
      <c r="E2001" s="1">
        <v>68.0</v>
      </c>
      <c r="F2001" s="1">
        <v>2.0</v>
      </c>
      <c r="G2001" s="1">
        <v>43.51</v>
      </c>
      <c r="H2001" s="1">
        <v>0.0</v>
      </c>
      <c r="I2001" s="1">
        <v>0.0</v>
      </c>
      <c r="J2001" s="1">
        <v>0.0</v>
      </c>
      <c r="K2001" s="1">
        <v>0.29</v>
      </c>
      <c r="L2001" s="1">
        <v>1.25E7</v>
      </c>
      <c r="M2001" s="1" t="s">
        <v>6904</v>
      </c>
      <c r="N2001" s="18">
        <v>46025.0</v>
      </c>
      <c r="O2001" s="1" t="s">
        <v>6905</v>
      </c>
      <c r="P2001" s="1" t="s">
        <v>3257</v>
      </c>
      <c r="Q2001" s="1" t="s">
        <v>3408</v>
      </c>
    </row>
    <row r="2002">
      <c r="A2002" s="1" t="s">
        <v>6906</v>
      </c>
      <c r="B2002" s="1">
        <v>68.0</v>
      </c>
      <c r="C2002" s="1">
        <v>40.0</v>
      </c>
      <c r="D2002" s="2" t="s">
        <v>1890</v>
      </c>
      <c r="E2002" s="1">
        <v>68.0</v>
      </c>
      <c r="F2002" s="1">
        <v>3.0</v>
      </c>
      <c r="G2002" s="1">
        <v>0.0</v>
      </c>
      <c r="H2002" s="1">
        <v>0.0</v>
      </c>
      <c r="I2002" s="1">
        <v>0.0</v>
      </c>
      <c r="J2002" s="1">
        <v>0.0</v>
      </c>
      <c r="K2002" s="1">
        <v>0.05</v>
      </c>
      <c r="L2002" s="1">
        <v>1.25E7</v>
      </c>
      <c r="M2002" s="1" t="s">
        <v>6907</v>
      </c>
      <c r="N2002" s="18">
        <v>46025.0</v>
      </c>
      <c r="O2002" s="1" t="s">
        <v>5858</v>
      </c>
      <c r="P2002" s="1" t="s">
        <v>3230</v>
      </c>
      <c r="Q2002" s="1" t="s">
        <v>3408</v>
      </c>
    </row>
    <row r="2003">
      <c r="A2003" s="1" t="s">
        <v>6908</v>
      </c>
      <c r="B2003" s="1">
        <v>68.0</v>
      </c>
      <c r="C2003" s="1">
        <v>90.0</v>
      </c>
      <c r="D2003" s="2" t="s">
        <v>581</v>
      </c>
      <c r="E2003" s="1">
        <v>68.0</v>
      </c>
      <c r="F2003" s="1">
        <v>21.0</v>
      </c>
      <c r="G2003" s="1">
        <v>4.7</v>
      </c>
      <c r="H2003" s="1">
        <v>0.0</v>
      </c>
      <c r="I2003" s="1">
        <v>0.0</v>
      </c>
      <c r="J2003" s="1">
        <v>0.0</v>
      </c>
      <c r="K2003" s="1">
        <v>0.36</v>
      </c>
      <c r="L2003" s="1">
        <v>59100.0</v>
      </c>
      <c r="M2003" s="1" t="s">
        <v>6909</v>
      </c>
      <c r="N2003" s="18">
        <v>46024.0</v>
      </c>
      <c r="O2003" s="1" t="s">
        <v>3854</v>
      </c>
      <c r="P2003" s="1" t="s">
        <v>3257</v>
      </c>
      <c r="Q2003" s="1" t="s">
        <v>3408</v>
      </c>
    </row>
    <row r="2004">
      <c r="A2004" s="1" t="s">
        <v>6910</v>
      </c>
      <c r="B2004" s="1">
        <v>68.0</v>
      </c>
      <c r="C2004" s="1">
        <v>90.0</v>
      </c>
      <c r="D2004" s="2" t="s">
        <v>2938</v>
      </c>
      <c r="E2004" s="1">
        <v>68.0</v>
      </c>
      <c r="F2004" s="1">
        <v>0.0</v>
      </c>
      <c r="G2004" s="1">
        <v>0.0</v>
      </c>
      <c r="H2004" s="1">
        <v>0.0</v>
      </c>
      <c r="I2004" s="1">
        <v>0.0</v>
      </c>
      <c r="J2004" s="1">
        <v>0.0</v>
      </c>
      <c r="K2004" s="1">
        <v>0.0</v>
      </c>
      <c r="L2004" s="1">
        <v>6230000.0</v>
      </c>
      <c r="M2004" s="1" t="s">
        <v>6911</v>
      </c>
      <c r="N2004" s="18">
        <v>46023.0</v>
      </c>
      <c r="O2004" s="1" t="s">
        <v>3407</v>
      </c>
      <c r="P2004" s="1" t="s">
        <v>3257</v>
      </c>
      <c r="Q2004" s="1" t="s">
        <v>3408</v>
      </c>
    </row>
    <row r="2005">
      <c r="A2005" s="1" t="s">
        <v>6912</v>
      </c>
      <c r="B2005" s="1">
        <v>68.0</v>
      </c>
      <c r="C2005" s="1">
        <v>50.0</v>
      </c>
      <c r="D2005" s="2" t="s">
        <v>726</v>
      </c>
      <c r="E2005" s="1">
        <v>68.0</v>
      </c>
      <c r="F2005" s="1">
        <v>5.0</v>
      </c>
      <c r="G2005" s="1">
        <v>0.0</v>
      </c>
      <c r="H2005" s="1">
        <v>0.0</v>
      </c>
      <c r="I2005" s="1">
        <v>0.0</v>
      </c>
      <c r="J2005" s="1">
        <v>0.0</v>
      </c>
      <c r="K2005" s="1">
        <v>0.0</v>
      </c>
      <c r="L2005" s="1">
        <v>3360000.0</v>
      </c>
      <c r="M2005" s="1" t="s">
        <v>6913</v>
      </c>
      <c r="N2005" s="18">
        <v>46022.0</v>
      </c>
      <c r="O2005" s="1" t="s">
        <v>6914</v>
      </c>
      <c r="P2005" s="1" t="s">
        <v>3230</v>
      </c>
      <c r="Q2005" s="1" t="s">
        <v>3408</v>
      </c>
    </row>
    <row r="2006">
      <c r="A2006" s="1" t="s">
        <v>6915</v>
      </c>
      <c r="B2006" s="1">
        <v>68.0</v>
      </c>
      <c r="C2006" s="1">
        <v>70.0</v>
      </c>
      <c r="D2006" s="2" t="s">
        <v>455</v>
      </c>
      <c r="E2006" s="1">
        <v>68.0</v>
      </c>
      <c r="F2006" s="1">
        <v>17.0</v>
      </c>
      <c r="G2006" s="1">
        <v>0.0</v>
      </c>
      <c r="H2006" s="1">
        <v>0.0</v>
      </c>
      <c r="I2006" s="1">
        <v>0.0</v>
      </c>
      <c r="J2006" s="1">
        <v>0.0</v>
      </c>
      <c r="K2006" s="1">
        <v>0.0</v>
      </c>
      <c r="L2006" s="1">
        <v>1.4E7</v>
      </c>
      <c r="M2006" s="1" t="s">
        <v>6916</v>
      </c>
      <c r="N2006" s="18">
        <v>46022.0</v>
      </c>
      <c r="O2006" s="1" t="s">
        <v>3854</v>
      </c>
      <c r="P2006" s="1" t="s">
        <v>3257</v>
      </c>
      <c r="Q2006" s="1" t="s">
        <v>3408</v>
      </c>
    </row>
    <row r="2007">
      <c r="A2007" s="1" t="s">
        <v>6325</v>
      </c>
      <c r="B2007" s="1">
        <v>68.0</v>
      </c>
      <c r="C2007" s="1">
        <v>110.0</v>
      </c>
      <c r="D2007" s="2" t="s">
        <v>439</v>
      </c>
      <c r="E2007" s="1">
        <v>68.0</v>
      </c>
      <c r="F2007" s="1">
        <v>11.0</v>
      </c>
      <c r="G2007" s="1">
        <v>2.99</v>
      </c>
      <c r="H2007" s="1">
        <v>0.0</v>
      </c>
      <c r="I2007" s="1">
        <v>0.0</v>
      </c>
      <c r="J2007" s="1">
        <v>0.0</v>
      </c>
      <c r="K2007" s="1">
        <v>0.12</v>
      </c>
      <c r="L2007" s="1">
        <v>10300.0</v>
      </c>
      <c r="M2007" s="1" t="s">
        <v>6326</v>
      </c>
      <c r="N2007" s="18">
        <v>46020.0</v>
      </c>
      <c r="O2007" s="1" t="s">
        <v>3358</v>
      </c>
      <c r="P2007" s="1" t="s">
        <v>3301</v>
      </c>
      <c r="Q2007" s="1" t="s">
        <v>3408</v>
      </c>
    </row>
    <row r="2008">
      <c r="A2008" s="1" t="s">
        <v>6329</v>
      </c>
      <c r="B2008" s="1">
        <v>68.0</v>
      </c>
      <c r="C2008" s="1">
        <v>50.0</v>
      </c>
      <c r="D2008" s="2" t="s">
        <v>1868</v>
      </c>
      <c r="E2008" s="1">
        <v>68.0</v>
      </c>
      <c r="F2008" s="1">
        <v>50.0</v>
      </c>
      <c r="G2008" s="1">
        <v>0.0</v>
      </c>
      <c r="H2008" s="1">
        <v>0.0</v>
      </c>
      <c r="I2008" s="1">
        <v>0.0</v>
      </c>
      <c r="J2008" s="1">
        <v>0.0</v>
      </c>
      <c r="K2008" s="1">
        <v>0.03</v>
      </c>
      <c r="L2008" s="1">
        <v>4.15E8</v>
      </c>
      <c r="M2008" s="1" t="s">
        <v>6330</v>
      </c>
      <c r="N2008" s="18">
        <v>46017.0</v>
      </c>
      <c r="O2008" s="1" t="s">
        <v>5650</v>
      </c>
      <c r="P2008" s="1" t="s">
        <v>3230</v>
      </c>
      <c r="Q2008" s="1" t="s">
        <v>3408</v>
      </c>
    </row>
    <row r="2009">
      <c r="A2009" s="1" t="s">
        <v>6917</v>
      </c>
      <c r="B2009" s="1">
        <v>68.0</v>
      </c>
      <c r="C2009" s="1">
        <v>210.0</v>
      </c>
      <c r="D2009" s="2" t="s">
        <v>766</v>
      </c>
      <c r="E2009" s="1">
        <v>68.0</v>
      </c>
      <c r="F2009" s="1">
        <v>11.0</v>
      </c>
      <c r="G2009" s="1">
        <v>0.0</v>
      </c>
      <c r="H2009" s="1">
        <v>0.0</v>
      </c>
      <c r="I2009" s="1">
        <v>0.0</v>
      </c>
      <c r="J2009" s="1">
        <v>0.0</v>
      </c>
      <c r="K2009" s="1">
        <v>0.33</v>
      </c>
      <c r="L2009" s="1">
        <v>1.4E8</v>
      </c>
      <c r="M2009" s="1" t="s">
        <v>6918</v>
      </c>
      <c r="N2009" s="18">
        <v>46016.0</v>
      </c>
      <c r="O2009" s="1" t="s">
        <v>3284</v>
      </c>
      <c r="P2009" s="1" t="s">
        <v>3230</v>
      </c>
      <c r="Q2009" s="1" t="s">
        <v>3408</v>
      </c>
    </row>
    <row r="2010">
      <c r="A2010" s="1" t="s">
        <v>6919</v>
      </c>
      <c r="B2010" s="1">
        <v>68.0</v>
      </c>
      <c r="C2010" s="1">
        <v>90.0</v>
      </c>
      <c r="D2010" s="2" t="s">
        <v>681</v>
      </c>
      <c r="E2010" s="1">
        <v>68.0</v>
      </c>
      <c r="F2010" s="1">
        <v>9.0</v>
      </c>
      <c r="G2010" s="1">
        <v>0.47</v>
      </c>
      <c r="H2010" s="1">
        <v>0.0</v>
      </c>
      <c r="I2010" s="1">
        <v>0.0</v>
      </c>
      <c r="J2010" s="1">
        <v>0.0</v>
      </c>
      <c r="K2010" s="1">
        <v>0.18</v>
      </c>
      <c r="L2010" s="1">
        <v>1.56E7</v>
      </c>
      <c r="M2010" s="1" t="s">
        <v>6920</v>
      </c>
      <c r="N2010" s="18">
        <v>46015.0</v>
      </c>
      <c r="O2010" s="1" t="s">
        <v>5798</v>
      </c>
      <c r="P2010" s="1" t="s">
        <v>3230</v>
      </c>
      <c r="Q2010" s="1" t="s">
        <v>3408</v>
      </c>
    </row>
    <row r="2011">
      <c r="A2011" s="1" t="s">
        <v>6921</v>
      </c>
      <c r="B2011" s="1">
        <v>68.0</v>
      </c>
      <c r="C2011" s="1">
        <v>90.0</v>
      </c>
      <c r="D2011" s="2" t="s">
        <v>439</v>
      </c>
      <c r="E2011" s="1">
        <v>68.0</v>
      </c>
      <c r="F2011" s="1">
        <v>17.0</v>
      </c>
      <c r="G2011" s="1">
        <v>4.51</v>
      </c>
      <c r="H2011" s="1">
        <v>0.0</v>
      </c>
      <c r="I2011" s="1">
        <v>0.0</v>
      </c>
      <c r="J2011" s="1">
        <v>0.0</v>
      </c>
      <c r="K2011" s="1">
        <v>0.03</v>
      </c>
      <c r="L2011" s="1">
        <v>53000.0</v>
      </c>
      <c r="M2011" s="1" t="s">
        <v>6922</v>
      </c>
      <c r="N2011" s="18">
        <v>46014.0</v>
      </c>
      <c r="O2011" s="1" t="s">
        <v>6923</v>
      </c>
      <c r="P2011" s="1" t="s">
        <v>3294</v>
      </c>
      <c r="Q2011" s="1" t="s">
        <v>3408</v>
      </c>
    </row>
    <row r="2012">
      <c r="A2012" s="1" t="s">
        <v>6924</v>
      </c>
      <c r="B2012" s="1">
        <v>68.0</v>
      </c>
      <c r="C2012" s="1">
        <v>390.0</v>
      </c>
      <c r="D2012" s="2" t="s">
        <v>606</v>
      </c>
      <c r="E2012" s="1">
        <v>68.0</v>
      </c>
      <c r="F2012" s="1">
        <v>22.0</v>
      </c>
      <c r="G2012" s="1">
        <v>3.01</v>
      </c>
      <c r="H2012" s="1">
        <v>0.0</v>
      </c>
      <c r="I2012" s="1">
        <v>0.0</v>
      </c>
      <c r="J2012" s="1">
        <v>0.0</v>
      </c>
      <c r="K2012" s="1">
        <v>0.07</v>
      </c>
      <c r="L2012" s="1">
        <v>1.61E8</v>
      </c>
      <c r="M2012" s="1" t="s">
        <v>6925</v>
      </c>
      <c r="N2012" s="18">
        <v>46010.0</v>
      </c>
      <c r="O2012" s="1" t="s">
        <v>3582</v>
      </c>
      <c r="P2012" s="1" t="s">
        <v>3334</v>
      </c>
      <c r="Q2012" s="1" t="s">
        <v>3408</v>
      </c>
    </row>
    <row r="2013">
      <c r="A2013" s="1" t="s">
        <v>6926</v>
      </c>
      <c r="B2013" s="1">
        <v>68.0</v>
      </c>
      <c r="C2013" s="1">
        <v>50.0</v>
      </c>
      <c r="D2013" s="2" t="s">
        <v>2930</v>
      </c>
      <c r="E2013" s="1">
        <v>68.0</v>
      </c>
      <c r="F2013" s="1">
        <v>48.0</v>
      </c>
      <c r="G2013" s="1">
        <v>0.14</v>
      </c>
      <c r="H2013" s="1">
        <v>0.0</v>
      </c>
      <c r="I2013" s="1">
        <v>0.0</v>
      </c>
      <c r="J2013" s="1">
        <v>0.0</v>
      </c>
      <c r="K2013" s="1">
        <v>0.04</v>
      </c>
      <c r="L2013" s="1">
        <v>0.0</v>
      </c>
      <c r="M2013" s="1" t="s">
        <v>6927</v>
      </c>
      <c r="N2013" s="18">
        <v>46009.0</v>
      </c>
      <c r="O2013" s="1" t="s">
        <v>3895</v>
      </c>
      <c r="P2013" s="1" t="s">
        <v>3230</v>
      </c>
      <c r="Q2013" s="1" t="s">
        <v>3408</v>
      </c>
    </row>
    <row r="2014">
      <c r="A2014" s="1" t="s">
        <v>6928</v>
      </c>
      <c r="B2014" s="1">
        <v>68.0</v>
      </c>
      <c r="C2014" s="1">
        <v>210.0</v>
      </c>
      <c r="D2014" s="2" t="s">
        <v>681</v>
      </c>
      <c r="E2014" s="1">
        <v>68.0</v>
      </c>
      <c r="F2014" s="1">
        <v>8.0</v>
      </c>
      <c r="G2014" s="1">
        <v>1.29</v>
      </c>
      <c r="H2014" s="1">
        <v>0.0</v>
      </c>
      <c r="I2014" s="1">
        <v>0.0</v>
      </c>
      <c r="J2014" s="1">
        <v>0.0</v>
      </c>
      <c r="K2014" s="1">
        <v>0.32</v>
      </c>
      <c r="L2014" s="1">
        <v>6000000.0</v>
      </c>
      <c r="M2014" s="1" t="s">
        <v>6929</v>
      </c>
      <c r="N2014" s="18">
        <v>46007.0</v>
      </c>
      <c r="O2014" s="1" t="s">
        <v>3442</v>
      </c>
      <c r="P2014" s="1" t="s">
        <v>3230</v>
      </c>
      <c r="Q2014" s="1" t="s">
        <v>3408</v>
      </c>
    </row>
    <row r="2015">
      <c r="A2015" s="1" t="s">
        <v>6930</v>
      </c>
      <c r="B2015" s="1">
        <v>68.0</v>
      </c>
      <c r="C2015" s="1">
        <v>110.0</v>
      </c>
      <c r="D2015" s="2" t="s">
        <v>581</v>
      </c>
      <c r="E2015" s="1">
        <v>68.0</v>
      </c>
      <c r="G2015" s="1">
        <v>15.21</v>
      </c>
      <c r="H2015" s="1">
        <v>0.0</v>
      </c>
      <c r="I2015" s="1">
        <v>0.0</v>
      </c>
      <c r="J2015" s="1">
        <v>0.0</v>
      </c>
      <c r="K2015" s="1">
        <v>0.39</v>
      </c>
      <c r="L2015" s="1">
        <v>1100000.0</v>
      </c>
      <c r="M2015" s="1" t="s">
        <v>6931</v>
      </c>
      <c r="N2015" s="18">
        <v>46006.0</v>
      </c>
      <c r="O2015" s="1" t="s">
        <v>5320</v>
      </c>
      <c r="P2015" s="1" t="s">
        <v>3257</v>
      </c>
      <c r="Q2015" s="1" t="s">
        <v>3408</v>
      </c>
    </row>
    <row r="2016">
      <c r="A2016" s="1" t="s">
        <v>6932</v>
      </c>
      <c r="B2016" s="1">
        <v>68.0</v>
      </c>
      <c r="C2016" s="1">
        <v>70.0</v>
      </c>
      <c r="D2016" s="2" t="s">
        <v>911</v>
      </c>
      <c r="E2016" s="1">
        <v>68.0</v>
      </c>
      <c r="F2016" s="1">
        <v>0.0</v>
      </c>
      <c r="G2016" s="1">
        <v>1.18</v>
      </c>
      <c r="H2016" s="1">
        <v>0.0</v>
      </c>
      <c r="I2016" s="1">
        <v>0.0</v>
      </c>
      <c r="J2016" s="1">
        <v>0.0</v>
      </c>
      <c r="K2016" s="1">
        <v>0.16</v>
      </c>
      <c r="L2016" s="1">
        <v>5.17E7</v>
      </c>
      <c r="M2016" s="1" t="s">
        <v>6933</v>
      </c>
      <c r="N2016" s="18">
        <v>46005.0</v>
      </c>
      <c r="O2016" s="1" t="s">
        <v>3264</v>
      </c>
      <c r="P2016" s="1" t="s">
        <v>3230</v>
      </c>
      <c r="Q2016" s="1" t="s">
        <v>3408</v>
      </c>
    </row>
    <row r="2017">
      <c r="A2017" s="1" t="s">
        <v>6934</v>
      </c>
      <c r="B2017" s="1">
        <v>68.0</v>
      </c>
      <c r="C2017" s="1">
        <v>140.0</v>
      </c>
      <c r="D2017" s="2" t="s">
        <v>581</v>
      </c>
      <c r="E2017" s="1">
        <v>68.0</v>
      </c>
      <c r="F2017" s="1">
        <v>44.0</v>
      </c>
      <c r="G2017" s="1">
        <v>4.99</v>
      </c>
      <c r="H2017" s="1">
        <v>0.0</v>
      </c>
      <c r="I2017" s="1">
        <v>0.0</v>
      </c>
      <c r="J2017" s="1">
        <v>0.0</v>
      </c>
      <c r="K2017" s="1">
        <v>0.84</v>
      </c>
      <c r="L2017" s="1">
        <v>6180000.0</v>
      </c>
      <c r="M2017" s="1" t="s">
        <v>6935</v>
      </c>
      <c r="N2017" s="18">
        <v>46005.0</v>
      </c>
      <c r="O2017" s="1" t="s">
        <v>6936</v>
      </c>
      <c r="P2017" s="1" t="s">
        <v>3257</v>
      </c>
      <c r="Q2017" s="1" t="s">
        <v>3408</v>
      </c>
    </row>
    <row r="2018">
      <c r="A2018" s="1" t="s">
        <v>6347</v>
      </c>
      <c r="B2018" s="1">
        <v>68.0</v>
      </c>
      <c r="C2018" s="1">
        <v>50.0</v>
      </c>
      <c r="D2018" s="2" t="s">
        <v>2227</v>
      </c>
      <c r="E2018" s="1">
        <v>68.0</v>
      </c>
      <c r="F2018" s="1">
        <v>8.0</v>
      </c>
      <c r="G2018" s="1">
        <v>0.0</v>
      </c>
      <c r="H2018" s="1">
        <v>0.0</v>
      </c>
      <c r="I2018" s="1">
        <v>0.0</v>
      </c>
      <c r="J2018" s="1">
        <v>0.0</v>
      </c>
      <c r="K2018" s="1">
        <v>0.0</v>
      </c>
      <c r="L2018" s="1">
        <v>444000.0</v>
      </c>
      <c r="M2018" s="1" t="s">
        <v>6348</v>
      </c>
      <c r="N2018" s="18">
        <v>46003.0</v>
      </c>
      <c r="O2018" s="1" t="s">
        <v>3442</v>
      </c>
      <c r="P2018" s="1" t="s">
        <v>3230</v>
      </c>
      <c r="Q2018" s="1" t="s">
        <v>3408</v>
      </c>
    </row>
    <row r="2019">
      <c r="A2019" s="1" t="s">
        <v>6937</v>
      </c>
      <c r="B2019" s="1">
        <v>68.0</v>
      </c>
      <c r="C2019" s="1">
        <v>70.0</v>
      </c>
      <c r="D2019" s="2" t="s">
        <v>581</v>
      </c>
      <c r="E2019" s="1">
        <v>68.0</v>
      </c>
      <c r="F2019" s="1">
        <v>38.0</v>
      </c>
      <c r="G2019" s="1">
        <v>0.0</v>
      </c>
      <c r="H2019" s="1">
        <v>0.0</v>
      </c>
      <c r="I2019" s="1">
        <v>0.0</v>
      </c>
      <c r="J2019" s="1">
        <v>0.0</v>
      </c>
      <c r="K2019" s="1">
        <v>0.8</v>
      </c>
      <c r="L2019" s="1">
        <v>754000.0</v>
      </c>
      <c r="M2019" s="1" t="s">
        <v>6938</v>
      </c>
      <c r="N2019" s="18">
        <v>46002.0</v>
      </c>
      <c r="O2019" s="1" t="s">
        <v>3427</v>
      </c>
      <c r="P2019" s="1" t="s">
        <v>3257</v>
      </c>
      <c r="Q2019" s="1" t="s">
        <v>3408</v>
      </c>
    </row>
    <row r="2020">
      <c r="A2020" s="1" t="s">
        <v>3819</v>
      </c>
      <c r="B2020" s="1">
        <v>68.0</v>
      </c>
      <c r="C2020" s="1">
        <v>40.0</v>
      </c>
      <c r="D2020" s="2" t="s">
        <v>687</v>
      </c>
      <c r="E2020" s="1">
        <v>68.0</v>
      </c>
      <c r="F2020" s="1">
        <v>21.0</v>
      </c>
      <c r="G2020" s="1">
        <v>3.9</v>
      </c>
      <c r="H2020" s="1">
        <v>0.0</v>
      </c>
      <c r="I2020" s="1">
        <v>0.0</v>
      </c>
      <c r="J2020" s="1">
        <v>0.0</v>
      </c>
      <c r="K2020" s="1">
        <v>0.27</v>
      </c>
      <c r="L2020" s="1">
        <v>2.06E7</v>
      </c>
      <c r="M2020" s="1" t="s">
        <v>3820</v>
      </c>
      <c r="N2020" s="18">
        <v>46002.0</v>
      </c>
      <c r="O2020" s="1" t="s">
        <v>3821</v>
      </c>
      <c r="P2020" s="1" t="s">
        <v>3294</v>
      </c>
      <c r="Q2020" s="1" t="s">
        <v>3408</v>
      </c>
    </row>
    <row r="2021">
      <c r="A2021" s="1" t="s">
        <v>6939</v>
      </c>
      <c r="B2021" s="1">
        <v>68.0</v>
      </c>
      <c r="C2021" s="1">
        <v>210.0</v>
      </c>
      <c r="D2021" s="2" t="s">
        <v>681</v>
      </c>
      <c r="E2021" s="1">
        <v>68.0</v>
      </c>
      <c r="F2021" s="1">
        <v>14.0</v>
      </c>
      <c r="G2021" s="1">
        <v>1.29</v>
      </c>
      <c r="H2021" s="1">
        <v>0.0</v>
      </c>
      <c r="I2021" s="1">
        <v>0.0</v>
      </c>
      <c r="J2021" s="1">
        <v>0.0</v>
      </c>
      <c r="K2021" s="1">
        <v>0.32</v>
      </c>
      <c r="L2021" s="1">
        <v>5870000.0</v>
      </c>
      <c r="M2021" s="1" t="s">
        <v>6940</v>
      </c>
      <c r="N2021" s="18">
        <v>46002.0</v>
      </c>
      <c r="O2021" s="1" t="s">
        <v>3407</v>
      </c>
      <c r="P2021" s="1" t="s">
        <v>3230</v>
      </c>
      <c r="Q2021" s="1" t="s">
        <v>3408</v>
      </c>
    </row>
    <row r="2022">
      <c r="A2022" s="1" t="s">
        <v>6941</v>
      </c>
      <c r="B2022" s="1">
        <v>68.0</v>
      </c>
      <c r="C2022" s="1">
        <v>110.0</v>
      </c>
      <c r="D2022" s="2" t="s">
        <v>2937</v>
      </c>
      <c r="E2022" s="1">
        <v>68.0</v>
      </c>
      <c r="F2022" s="1">
        <v>22.0</v>
      </c>
      <c r="G2022" s="1">
        <v>5.34</v>
      </c>
      <c r="H2022" s="1">
        <v>0.0</v>
      </c>
      <c r="I2022" s="1">
        <v>0.0</v>
      </c>
      <c r="J2022" s="1">
        <v>0.0</v>
      </c>
      <c r="K2022" s="1">
        <v>0.06</v>
      </c>
      <c r="L2022" s="1">
        <v>3.21E7</v>
      </c>
      <c r="M2022" s="1" t="s">
        <v>6942</v>
      </c>
      <c r="N2022" s="18">
        <v>46000.0</v>
      </c>
      <c r="O2022" s="1" t="s">
        <v>3493</v>
      </c>
      <c r="P2022" s="1" t="s">
        <v>3230</v>
      </c>
      <c r="Q2022" s="1" t="s">
        <v>3408</v>
      </c>
    </row>
    <row r="2023">
      <c r="A2023" s="1" t="s">
        <v>6943</v>
      </c>
      <c r="B2023" s="1">
        <v>68.0</v>
      </c>
      <c r="C2023" s="1">
        <v>110.0</v>
      </c>
      <c r="D2023" s="2" t="s">
        <v>439</v>
      </c>
      <c r="E2023" s="1">
        <v>68.0</v>
      </c>
      <c r="F2023" s="1">
        <v>22.0</v>
      </c>
      <c r="G2023" s="1">
        <v>6.39</v>
      </c>
      <c r="H2023" s="1">
        <v>0.0</v>
      </c>
      <c r="I2023" s="1">
        <v>0.0</v>
      </c>
      <c r="J2023" s="1">
        <v>0.0</v>
      </c>
      <c r="K2023" s="1">
        <v>0.3</v>
      </c>
      <c r="L2023" s="1">
        <v>3380000.0</v>
      </c>
      <c r="M2023" s="1" t="s">
        <v>6944</v>
      </c>
      <c r="N2023" s="18">
        <v>45997.0</v>
      </c>
      <c r="O2023" s="1" t="s">
        <v>6945</v>
      </c>
      <c r="P2023" s="1" t="s">
        <v>3294</v>
      </c>
      <c r="Q2023" s="1" t="s">
        <v>3408</v>
      </c>
    </row>
    <row r="2024">
      <c r="A2024" s="1" t="s">
        <v>6946</v>
      </c>
      <c r="B2024" s="1">
        <v>68.0</v>
      </c>
      <c r="C2024" s="1">
        <v>50.0</v>
      </c>
      <c r="D2024" s="2" t="s">
        <v>746</v>
      </c>
      <c r="E2024" s="1">
        <v>68.0</v>
      </c>
      <c r="F2024" s="1">
        <v>17.0</v>
      </c>
      <c r="G2024" s="1">
        <v>0.0</v>
      </c>
      <c r="H2024" s="1">
        <v>0.0</v>
      </c>
      <c r="I2024" s="1">
        <v>0.0</v>
      </c>
      <c r="J2024" s="1">
        <v>0.0</v>
      </c>
      <c r="K2024" s="1">
        <v>0.01</v>
      </c>
      <c r="L2024" s="1">
        <v>351000.0</v>
      </c>
      <c r="M2024" s="1" t="s">
        <v>6947</v>
      </c>
      <c r="N2024" s="18">
        <v>45997.0</v>
      </c>
      <c r="O2024" s="1" t="s">
        <v>3407</v>
      </c>
      <c r="P2024" s="1" t="s">
        <v>4538</v>
      </c>
      <c r="Q2024" s="1" t="s">
        <v>3408</v>
      </c>
    </row>
    <row r="2025">
      <c r="A2025" s="1" t="s">
        <v>6948</v>
      </c>
      <c r="B2025" s="1">
        <v>68.0</v>
      </c>
      <c r="C2025" s="1">
        <v>170.0</v>
      </c>
      <c r="D2025" s="2" t="s">
        <v>770</v>
      </c>
      <c r="E2025" s="1">
        <v>68.0</v>
      </c>
      <c r="F2025" s="1">
        <v>51.0</v>
      </c>
      <c r="G2025" s="1">
        <v>0.0</v>
      </c>
      <c r="H2025" s="1">
        <v>0.0</v>
      </c>
      <c r="I2025" s="1">
        <v>0.0</v>
      </c>
      <c r="J2025" s="1">
        <v>0.0</v>
      </c>
      <c r="K2025" s="1">
        <v>0.0</v>
      </c>
      <c r="L2025" s="1">
        <v>427000.0</v>
      </c>
      <c r="M2025" s="1" t="s">
        <v>6949</v>
      </c>
      <c r="N2025" s="18">
        <v>45992.0</v>
      </c>
      <c r="O2025" s="1" t="s">
        <v>4353</v>
      </c>
      <c r="P2025" s="1" t="s">
        <v>3230</v>
      </c>
      <c r="Q2025" s="1" t="s">
        <v>3408</v>
      </c>
    </row>
    <row r="2026">
      <c r="A2026" s="1" t="s">
        <v>6950</v>
      </c>
      <c r="B2026" s="1">
        <v>68.0</v>
      </c>
      <c r="C2026" s="1">
        <v>30.0</v>
      </c>
      <c r="D2026" s="2" t="s">
        <v>439</v>
      </c>
      <c r="E2026" s="1">
        <v>68.0</v>
      </c>
      <c r="F2026" s="1">
        <v>13.0</v>
      </c>
      <c r="G2026" s="1">
        <v>5.37</v>
      </c>
      <c r="H2026" s="1">
        <v>0.0</v>
      </c>
      <c r="I2026" s="1">
        <v>0.0</v>
      </c>
      <c r="J2026" s="1">
        <v>0.0</v>
      </c>
      <c r="K2026" s="1">
        <v>0.13</v>
      </c>
      <c r="L2026" s="1">
        <v>3610000.0</v>
      </c>
      <c r="M2026" s="1" t="s">
        <v>6951</v>
      </c>
      <c r="N2026" s="18">
        <v>45991.0</v>
      </c>
      <c r="O2026" s="1" t="s">
        <v>6952</v>
      </c>
      <c r="P2026" s="1" t="s">
        <v>3257</v>
      </c>
      <c r="Q2026" s="1" t="s">
        <v>3408</v>
      </c>
    </row>
    <row r="2027">
      <c r="A2027" s="1" t="s">
        <v>6953</v>
      </c>
      <c r="B2027" s="1">
        <v>68.0</v>
      </c>
      <c r="C2027" s="1">
        <v>90.0</v>
      </c>
      <c r="D2027" s="2" t="s">
        <v>698</v>
      </c>
      <c r="E2027" s="1">
        <v>68.0</v>
      </c>
      <c r="F2027" s="1">
        <v>15.0</v>
      </c>
      <c r="G2027" s="1">
        <v>0.0</v>
      </c>
      <c r="H2027" s="1">
        <v>0.0</v>
      </c>
      <c r="I2027" s="1">
        <v>0.0</v>
      </c>
      <c r="J2027" s="1">
        <v>0.0</v>
      </c>
      <c r="K2027" s="1">
        <v>0.01</v>
      </c>
      <c r="L2027" s="1">
        <v>1.21E7</v>
      </c>
      <c r="M2027" s="1" t="s">
        <v>6954</v>
      </c>
      <c r="N2027" s="18">
        <v>45991.0</v>
      </c>
      <c r="O2027" s="1" t="s">
        <v>5007</v>
      </c>
      <c r="P2027" s="1" t="s">
        <v>3230</v>
      </c>
      <c r="Q2027" s="1" t="s">
        <v>3408</v>
      </c>
    </row>
    <row r="2028">
      <c r="A2028" s="1" t="s">
        <v>6955</v>
      </c>
      <c r="B2028" s="1">
        <v>68.0</v>
      </c>
      <c r="C2028" s="1">
        <v>40.0</v>
      </c>
      <c r="D2028" s="2" t="s">
        <v>581</v>
      </c>
      <c r="E2028" s="1">
        <v>68.0</v>
      </c>
      <c r="F2028" s="1">
        <v>7.0</v>
      </c>
      <c r="G2028" s="1">
        <v>3.56</v>
      </c>
      <c r="H2028" s="1">
        <v>0.0</v>
      </c>
      <c r="I2028" s="1">
        <v>0.0</v>
      </c>
      <c r="J2028" s="1">
        <v>0.0</v>
      </c>
      <c r="K2028" s="1">
        <v>0.2</v>
      </c>
      <c r="L2028" s="1">
        <v>6420000.0</v>
      </c>
      <c r="M2028" s="1" t="s">
        <v>6956</v>
      </c>
      <c r="N2028" s="18">
        <v>45991.0</v>
      </c>
      <c r="O2028" s="1" t="s">
        <v>4965</v>
      </c>
      <c r="P2028" s="1" t="s">
        <v>3301</v>
      </c>
      <c r="Q2028" s="1" t="s">
        <v>3408</v>
      </c>
    </row>
    <row r="2029">
      <c r="A2029" s="1" t="s">
        <v>6957</v>
      </c>
      <c r="B2029" s="1">
        <v>68.0</v>
      </c>
      <c r="C2029" s="1">
        <v>110.0</v>
      </c>
      <c r="D2029" s="2" t="s">
        <v>527</v>
      </c>
      <c r="E2029" s="1">
        <v>68.0</v>
      </c>
      <c r="F2029" s="1">
        <v>6.0</v>
      </c>
      <c r="G2029" s="1">
        <v>8.98</v>
      </c>
      <c r="H2029" s="1">
        <v>0.0</v>
      </c>
      <c r="I2029" s="1">
        <v>0.0</v>
      </c>
      <c r="J2029" s="1">
        <v>0.0</v>
      </c>
      <c r="K2029" s="1">
        <v>0.07</v>
      </c>
      <c r="L2029" s="1">
        <v>1.95E7</v>
      </c>
      <c r="M2029" s="1" t="s">
        <v>6958</v>
      </c>
      <c r="N2029" s="18">
        <v>45990.0</v>
      </c>
      <c r="O2029" s="1" t="s">
        <v>6959</v>
      </c>
      <c r="P2029" s="1" t="s">
        <v>3257</v>
      </c>
      <c r="Q2029" s="1" t="s">
        <v>3408</v>
      </c>
    </row>
    <row r="2030">
      <c r="A2030" s="1" t="s">
        <v>6960</v>
      </c>
      <c r="B2030" s="1">
        <v>68.0</v>
      </c>
      <c r="C2030" s="1">
        <v>50.0</v>
      </c>
      <c r="D2030" s="2" t="s">
        <v>439</v>
      </c>
      <c r="E2030" s="1">
        <v>68.0</v>
      </c>
      <c r="F2030" s="1">
        <v>10.0</v>
      </c>
      <c r="G2030" s="1">
        <v>0.0</v>
      </c>
      <c r="H2030" s="1">
        <v>0.0</v>
      </c>
      <c r="I2030" s="1">
        <v>0.0</v>
      </c>
      <c r="J2030" s="1">
        <v>0.0</v>
      </c>
      <c r="K2030" s="1">
        <v>0.02</v>
      </c>
      <c r="L2030" s="1">
        <v>4600.0</v>
      </c>
      <c r="M2030" s="1" t="s">
        <v>6961</v>
      </c>
      <c r="N2030" s="18">
        <v>45989.0</v>
      </c>
      <c r="O2030" s="1" t="s">
        <v>4496</v>
      </c>
      <c r="P2030" s="1" t="s">
        <v>3230</v>
      </c>
      <c r="Q2030" s="1" t="s">
        <v>3408</v>
      </c>
    </row>
    <row r="2031">
      <c r="A2031" s="1" t="s">
        <v>6962</v>
      </c>
      <c r="B2031" s="1">
        <v>68.0</v>
      </c>
      <c r="C2031" s="1">
        <v>50.0</v>
      </c>
      <c r="D2031" s="2" t="s">
        <v>746</v>
      </c>
      <c r="E2031" s="1">
        <v>68.0</v>
      </c>
      <c r="F2031" s="1">
        <v>17.0</v>
      </c>
      <c r="G2031" s="1">
        <v>0.31</v>
      </c>
      <c r="H2031" s="1">
        <v>0.0</v>
      </c>
      <c r="I2031" s="1">
        <v>0.0</v>
      </c>
      <c r="J2031" s="1">
        <v>0.0</v>
      </c>
      <c r="K2031" s="1">
        <v>0.13</v>
      </c>
      <c r="L2031" s="1">
        <v>599000.0</v>
      </c>
      <c r="M2031" s="1" t="s">
        <v>6963</v>
      </c>
      <c r="N2031" s="18">
        <v>45959.0</v>
      </c>
      <c r="O2031" s="1" t="s">
        <v>3284</v>
      </c>
      <c r="P2031" s="1" t="s">
        <v>3257</v>
      </c>
      <c r="Q2031" s="1" t="s">
        <v>3408</v>
      </c>
    </row>
    <row r="2032">
      <c r="A2032" s="1" t="s">
        <v>6964</v>
      </c>
      <c r="B2032" s="1">
        <v>69.0</v>
      </c>
      <c r="C2032" s="1">
        <v>40.0</v>
      </c>
      <c r="D2032" s="2" t="s">
        <v>608</v>
      </c>
      <c r="E2032" s="1">
        <v>69.0</v>
      </c>
      <c r="F2032" s="1">
        <v>0.0</v>
      </c>
      <c r="G2032" s="1">
        <v>6.03</v>
      </c>
      <c r="H2032" s="1">
        <v>0.0</v>
      </c>
      <c r="I2032" s="1">
        <v>0.0</v>
      </c>
      <c r="J2032" s="1">
        <v>0.0</v>
      </c>
      <c r="K2032" s="1">
        <v>0.14</v>
      </c>
      <c r="L2032" s="1">
        <v>1.12E8</v>
      </c>
      <c r="M2032" s="1" t="s">
        <v>6965</v>
      </c>
      <c r="N2032" s="18">
        <v>46039.0</v>
      </c>
      <c r="O2032" s="1" t="s">
        <v>5279</v>
      </c>
      <c r="P2032" s="1" t="s">
        <v>3230</v>
      </c>
      <c r="Q2032" s="1" t="s">
        <v>3408</v>
      </c>
    </row>
    <row r="2033">
      <c r="A2033" s="1" t="s">
        <v>4710</v>
      </c>
      <c r="B2033" s="1">
        <v>69.0</v>
      </c>
      <c r="C2033" s="1">
        <v>90.0</v>
      </c>
      <c r="D2033" s="2" t="s">
        <v>1005</v>
      </c>
      <c r="E2033" s="1">
        <v>69.0</v>
      </c>
      <c r="F2033" s="1">
        <v>24.0</v>
      </c>
      <c r="G2033" s="1">
        <v>20.58</v>
      </c>
      <c r="H2033" s="1">
        <v>0.0</v>
      </c>
      <c r="I2033" s="1">
        <v>0.0</v>
      </c>
      <c r="J2033" s="1">
        <v>0.0</v>
      </c>
      <c r="K2033" s="1">
        <v>0.74</v>
      </c>
      <c r="L2033" s="1">
        <v>3520000.0</v>
      </c>
      <c r="M2033" s="1" t="s">
        <v>4711</v>
      </c>
      <c r="N2033" s="18">
        <v>46037.0</v>
      </c>
      <c r="O2033" s="1" t="s">
        <v>4421</v>
      </c>
      <c r="P2033" s="1" t="s">
        <v>3257</v>
      </c>
      <c r="Q2033" s="1" t="s">
        <v>3408</v>
      </c>
    </row>
    <row r="2034">
      <c r="A2034" s="1" t="s">
        <v>6966</v>
      </c>
      <c r="B2034" s="1">
        <v>69.0</v>
      </c>
      <c r="C2034" s="1">
        <v>70.0</v>
      </c>
      <c r="D2034" s="2" t="s">
        <v>782</v>
      </c>
      <c r="E2034" s="1">
        <v>69.0</v>
      </c>
      <c r="F2034" s="1">
        <v>5.0</v>
      </c>
      <c r="G2034" s="1">
        <v>0.0</v>
      </c>
      <c r="H2034" s="1">
        <v>0.0</v>
      </c>
      <c r="I2034" s="1">
        <v>0.0</v>
      </c>
      <c r="J2034" s="1">
        <v>0.0</v>
      </c>
      <c r="K2034" s="1">
        <v>0.19</v>
      </c>
      <c r="L2034" s="1">
        <v>1200000.0</v>
      </c>
      <c r="M2034" s="1" t="s">
        <v>6967</v>
      </c>
      <c r="N2034" s="18">
        <v>46031.0</v>
      </c>
      <c r="O2034" s="1" t="s">
        <v>4006</v>
      </c>
      <c r="P2034" s="1" t="s">
        <v>3257</v>
      </c>
      <c r="Q2034" s="1" t="s">
        <v>3408</v>
      </c>
    </row>
    <row r="2035">
      <c r="A2035" s="1" t="s">
        <v>6968</v>
      </c>
      <c r="B2035" s="1">
        <v>69.0</v>
      </c>
      <c r="C2035" s="1">
        <v>140.0</v>
      </c>
      <c r="D2035" s="2" t="s">
        <v>1017</v>
      </c>
      <c r="E2035" s="1">
        <v>69.0</v>
      </c>
      <c r="F2035" s="1">
        <v>14.0</v>
      </c>
      <c r="G2035" s="1">
        <v>3.57</v>
      </c>
      <c r="H2035" s="1">
        <v>0.0</v>
      </c>
      <c r="I2035" s="1">
        <v>0.0</v>
      </c>
      <c r="J2035" s="1">
        <v>0.0</v>
      </c>
      <c r="K2035" s="1">
        <v>0.07</v>
      </c>
      <c r="L2035" s="1">
        <v>4460000.0</v>
      </c>
      <c r="M2035" s="1" t="s">
        <v>6969</v>
      </c>
      <c r="N2035" s="18">
        <v>46027.0</v>
      </c>
      <c r="O2035" s="1" t="s">
        <v>6970</v>
      </c>
      <c r="P2035" s="1" t="s">
        <v>3257</v>
      </c>
      <c r="Q2035" s="1" t="s">
        <v>3408</v>
      </c>
    </row>
    <row r="2036">
      <c r="A2036" s="1" t="s">
        <v>6971</v>
      </c>
      <c r="B2036" s="1">
        <v>69.0</v>
      </c>
      <c r="C2036" s="1">
        <v>40.0</v>
      </c>
      <c r="D2036" s="2" t="s">
        <v>581</v>
      </c>
      <c r="E2036" s="1">
        <v>69.0</v>
      </c>
      <c r="F2036" s="1">
        <v>2.0</v>
      </c>
      <c r="G2036" s="1">
        <v>6.35</v>
      </c>
      <c r="H2036" s="1">
        <v>0.0</v>
      </c>
      <c r="I2036" s="1">
        <v>0.0</v>
      </c>
      <c r="J2036" s="1">
        <v>0.0</v>
      </c>
      <c r="K2036" s="1">
        <v>0.6</v>
      </c>
      <c r="L2036" s="1">
        <v>3080000.0</v>
      </c>
      <c r="M2036" s="1" t="s">
        <v>6972</v>
      </c>
      <c r="N2036" s="18">
        <v>46027.0</v>
      </c>
      <c r="O2036" s="1" t="s">
        <v>4965</v>
      </c>
      <c r="P2036" s="1" t="s">
        <v>3257</v>
      </c>
      <c r="Q2036" s="1" t="s">
        <v>3408</v>
      </c>
    </row>
    <row r="2037">
      <c r="A2037" s="1" t="s">
        <v>3808</v>
      </c>
      <c r="B2037" s="1">
        <v>69.0</v>
      </c>
      <c r="C2037" s="1">
        <v>50.0</v>
      </c>
      <c r="D2037" s="2" t="s">
        <v>1215</v>
      </c>
      <c r="E2037" s="1">
        <v>69.0</v>
      </c>
      <c r="F2037" s="1">
        <v>1.0</v>
      </c>
      <c r="G2037" s="1">
        <v>0.0</v>
      </c>
      <c r="H2037" s="1">
        <v>0.0</v>
      </c>
      <c r="I2037" s="1">
        <v>0.0</v>
      </c>
      <c r="J2037" s="1">
        <v>0.0</v>
      </c>
      <c r="K2037" s="1">
        <v>0.0</v>
      </c>
      <c r="L2037" s="1">
        <v>9260000.0</v>
      </c>
      <c r="M2037" s="1" t="s">
        <v>3809</v>
      </c>
      <c r="N2037" s="18">
        <v>46023.0</v>
      </c>
      <c r="O2037" s="1" t="s">
        <v>3482</v>
      </c>
      <c r="P2037" s="1" t="s">
        <v>3257</v>
      </c>
      <c r="Q2037" s="1" t="s">
        <v>3408</v>
      </c>
    </row>
    <row r="2038">
      <c r="A2038" s="1" t="s">
        <v>6973</v>
      </c>
      <c r="B2038" s="1">
        <v>69.0</v>
      </c>
      <c r="C2038" s="1">
        <v>30.0</v>
      </c>
      <c r="D2038" s="2" t="s">
        <v>1099</v>
      </c>
      <c r="E2038" s="1">
        <v>69.0</v>
      </c>
      <c r="F2038" s="1">
        <v>8.0</v>
      </c>
      <c r="G2038" s="1">
        <v>1.28</v>
      </c>
      <c r="H2038" s="1">
        <v>0.0</v>
      </c>
      <c r="I2038" s="1">
        <v>0.0</v>
      </c>
      <c r="J2038" s="1">
        <v>0.0</v>
      </c>
      <c r="K2038" s="1">
        <v>0.57</v>
      </c>
      <c r="L2038" s="1">
        <v>967000.0</v>
      </c>
      <c r="M2038" s="1" t="s">
        <v>6146</v>
      </c>
      <c r="N2038" s="18">
        <v>46021.0</v>
      </c>
      <c r="O2038" s="1" t="s">
        <v>6974</v>
      </c>
      <c r="P2038" s="1" t="s">
        <v>3230</v>
      </c>
      <c r="Q2038" s="1" t="s">
        <v>3408</v>
      </c>
    </row>
    <row r="2039">
      <c r="A2039" s="1" t="s">
        <v>6975</v>
      </c>
      <c r="B2039" s="1">
        <v>69.0</v>
      </c>
      <c r="C2039" s="1">
        <v>50.0</v>
      </c>
      <c r="D2039" s="2" t="s">
        <v>694</v>
      </c>
      <c r="E2039" s="1">
        <v>69.0</v>
      </c>
      <c r="F2039" s="1">
        <v>0.0</v>
      </c>
      <c r="G2039" s="1">
        <v>2.65</v>
      </c>
      <c r="H2039" s="1">
        <v>0.0</v>
      </c>
      <c r="I2039" s="1">
        <v>0.0</v>
      </c>
      <c r="J2039" s="1">
        <v>0.0</v>
      </c>
      <c r="K2039" s="1">
        <v>0.35</v>
      </c>
      <c r="L2039" s="1">
        <v>78600.0</v>
      </c>
      <c r="M2039" s="1" t="s">
        <v>6976</v>
      </c>
      <c r="N2039" s="18">
        <v>46021.0</v>
      </c>
      <c r="O2039" s="1" t="s">
        <v>3264</v>
      </c>
      <c r="P2039" s="1" t="s">
        <v>3230</v>
      </c>
      <c r="Q2039" s="1" t="s">
        <v>3408</v>
      </c>
    </row>
    <row r="2040">
      <c r="A2040" s="1" t="s">
        <v>6977</v>
      </c>
      <c r="B2040" s="1">
        <v>69.0</v>
      </c>
      <c r="C2040" s="1">
        <v>40.0</v>
      </c>
      <c r="D2040" s="2" t="s">
        <v>581</v>
      </c>
      <c r="E2040" s="1">
        <v>69.0</v>
      </c>
      <c r="G2040" s="1">
        <v>4.7</v>
      </c>
      <c r="H2040" s="1">
        <v>0.0</v>
      </c>
      <c r="I2040" s="1">
        <v>0.0</v>
      </c>
      <c r="J2040" s="1">
        <v>0.0</v>
      </c>
      <c r="K2040" s="1">
        <v>0.36</v>
      </c>
      <c r="L2040" s="1">
        <v>33700.0</v>
      </c>
      <c r="M2040" s="1" t="s">
        <v>6978</v>
      </c>
      <c r="N2040" s="18">
        <v>46020.0</v>
      </c>
      <c r="O2040" s="1" t="s">
        <v>3854</v>
      </c>
      <c r="P2040" s="1" t="s">
        <v>3257</v>
      </c>
      <c r="Q2040" s="1" t="s">
        <v>3408</v>
      </c>
    </row>
    <row r="2041">
      <c r="A2041" s="1" t="s">
        <v>6979</v>
      </c>
      <c r="B2041" s="1">
        <v>69.0</v>
      </c>
      <c r="C2041" s="1">
        <v>70.0</v>
      </c>
      <c r="D2041" s="2" t="s">
        <v>1868</v>
      </c>
      <c r="E2041" s="1">
        <v>69.0</v>
      </c>
      <c r="F2041" s="1">
        <v>28.0</v>
      </c>
      <c r="G2041" s="1">
        <v>0.0</v>
      </c>
      <c r="H2041" s="1">
        <v>0.0</v>
      </c>
      <c r="I2041" s="1">
        <v>0.0</v>
      </c>
      <c r="J2041" s="1">
        <v>0.0</v>
      </c>
      <c r="K2041" s="1">
        <v>0.0</v>
      </c>
      <c r="L2041" s="1">
        <v>2.59E7</v>
      </c>
      <c r="M2041" s="1" t="s">
        <v>6980</v>
      </c>
      <c r="N2041" s="18">
        <v>46018.0</v>
      </c>
      <c r="O2041" s="1" t="s">
        <v>6981</v>
      </c>
      <c r="P2041" s="1" t="s">
        <v>3230</v>
      </c>
      <c r="Q2041" s="1" t="s">
        <v>3408</v>
      </c>
    </row>
    <row r="2042">
      <c r="A2042" s="1" t="s">
        <v>4015</v>
      </c>
      <c r="B2042" s="1">
        <v>69.0</v>
      </c>
      <c r="C2042" s="1">
        <v>110.0</v>
      </c>
      <c r="D2042" s="2" t="s">
        <v>1217</v>
      </c>
      <c r="E2042" s="1">
        <v>69.0</v>
      </c>
      <c r="F2042" s="1">
        <v>7.0</v>
      </c>
      <c r="G2042" s="1">
        <v>0.0</v>
      </c>
      <c r="H2042" s="1">
        <v>0.0</v>
      </c>
      <c r="I2042" s="1">
        <v>0.0</v>
      </c>
      <c r="J2042" s="1">
        <v>0.0</v>
      </c>
      <c r="K2042" s="1">
        <v>0.38</v>
      </c>
      <c r="L2042" s="1">
        <v>1.93E7</v>
      </c>
      <c r="M2042" s="1" t="s">
        <v>4016</v>
      </c>
      <c r="N2042" s="18">
        <v>46018.0</v>
      </c>
      <c r="O2042" s="1" t="s">
        <v>3482</v>
      </c>
      <c r="P2042" s="1" t="s">
        <v>3257</v>
      </c>
      <c r="Q2042" s="1" t="s">
        <v>3408</v>
      </c>
    </row>
    <row r="2043">
      <c r="A2043" s="1" t="s">
        <v>6982</v>
      </c>
      <c r="B2043" s="1">
        <v>69.0</v>
      </c>
      <c r="C2043" s="1">
        <v>70.0</v>
      </c>
      <c r="D2043" s="2" t="s">
        <v>2253</v>
      </c>
      <c r="E2043" s="1">
        <v>69.0</v>
      </c>
      <c r="F2043" s="1">
        <v>13.0</v>
      </c>
      <c r="G2043" s="1">
        <v>0.34</v>
      </c>
      <c r="H2043" s="1">
        <v>0.0</v>
      </c>
      <c r="I2043" s="1">
        <v>0.0</v>
      </c>
      <c r="J2043" s="1">
        <v>0.0</v>
      </c>
      <c r="K2043" s="1">
        <v>0.99</v>
      </c>
      <c r="L2043" s="1">
        <v>878000.0</v>
      </c>
      <c r="M2043" s="1" t="s">
        <v>6983</v>
      </c>
      <c r="N2043" s="18">
        <v>46017.0</v>
      </c>
      <c r="O2043" s="1" t="s">
        <v>6984</v>
      </c>
      <c r="P2043" s="1" t="s">
        <v>3257</v>
      </c>
      <c r="Q2043" s="1" t="s">
        <v>3408</v>
      </c>
    </row>
    <row r="2044">
      <c r="A2044" s="1" t="s">
        <v>6985</v>
      </c>
      <c r="B2044" s="1">
        <v>69.0</v>
      </c>
      <c r="C2044" s="1">
        <v>50.0</v>
      </c>
      <c r="D2044" s="2" t="s">
        <v>581</v>
      </c>
      <c r="E2044" s="1">
        <v>69.0</v>
      </c>
      <c r="F2044" s="1">
        <v>44.0</v>
      </c>
      <c r="G2044" s="1">
        <v>19.89</v>
      </c>
      <c r="H2044" s="1">
        <v>0.0</v>
      </c>
      <c r="I2044" s="1">
        <v>0.0</v>
      </c>
      <c r="J2044" s="1">
        <v>0.0</v>
      </c>
      <c r="K2044" s="1">
        <v>0.91</v>
      </c>
      <c r="L2044" s="1">
        <v>4620000.0</v>
      </c>
      <c r="M2044" s="1" t="s">
        <v>6986</v>
      </c>
      <c r="N2044" s="18">
        <v>46015.0</v>
      </c>
      <c r="O2044" s="1" t="s">
        <v>5791</v>
      </c>
      <c r="P2044" s="1" t="s">
        <v>3257</v>
      </c>
      <c r="Q2044" s="1" t="s">
        <v>3408</v>
      </c>
    </row>
    <row r="2045">
      <c r="A2045" s="1" t="s">
        <v>6987</v>
      </c>
      <c r="B2045" s="1">
        <v>69.0</v>
      </c>
      <c r="C2045" s="1">
        <v>90.0</v>
      </c>
      <c r="D2045" s="2" t="s">
        <v>2950</v>
      </c>
      <c r="E2045" s="1">
        <v>69.0</v>
      </c>
      <c r="F2045" s="1">
        <v>51.0</v>
      </c>
      <c r="G2045" s="1">
        <v>10.11</v>
      </c>
      <c r="H2045" s="1">
        <v>0.0</v>
      </c>
      <c r="I2045" s="1">
        <v>0.0</v>
      </c>
      <c r="J2045" s="1">
        <v>0.0</v>
      </c>
      <c r="K2045" s="1">
        <v>0.58</v>
      </c>
      <c r="L2045" s="1">
        <v>225000.0</v>
      </c>
      <c r="M2045" s="1" t="s">
        <v>6988</v>
      </c>
      <c r="N2045" s="18">
        <v>46012.0</v>
      </c>
      <c r="O2045" s="1" t="s">
        <v>6989</v>
      </c>
      <c r="P2045" s="1" t="s">
        <v>3257</v>
      </c>
      <c r="Q2045" s="1" t="s">
        <v>3408</v>
      </c>
    </row>
    <row r="2046">
      <c r="A2046" s="1" t="s">
        <v>6990</v>
      </c>
      <c r="B2046" s="1">
        <v>69.0</v>
      </c>
      <c r="C2046" s="1">
        <v>90.0</v>
      </c>
      <c r="D2046" s="2" t="s">
        <v>2950</v>
      </c>
      <c r="E2046" s="1">
        <v>69.0</v>
      </c>
      <c r="F2046" s="1">
        <v>37.0</v>
      </c>
      <c r="G2046" s="1">
        <v>10.11</v>
      </c>
      <c r="H2046" s="1">
        <v>0.0</v>
      </c>
      <c r="I2046" s="1">
        <v>0.0</v>
      </c>
      <c r="J2046" s="1">
        <v>0.0</v>
      </c>
      <c r="K2046" s="1">
        <v>0.58</v>
      </c>
      <c r="L2046" s="1">
        <v>217000.0</v>
      </c>
      <c r="M2046" s="1" t="s">
        <v>6991</v>
      </c>
      <c r="N2046" s="18">
        <v>46010.0</v>
      </c>
      <c r="O2046" s="1" t="s">
        <v>3455</v>
      </c>
      <c r="P2046" s="1" t="s">
        <v>3257</v>
      </c>
      <c r="Q2046" s="1" t="s">
        <v>3408</v>
      </c>
    </row>
    <row r="2047">
      <c r="A2047" s="1" t="s">
        <v>6992</v>
      </c>
      <c r="B2047" s="1">
        <v>69.0</v>
      </c>
      <c r="C2047" s="1">
        <v>90.0</v>
      </c>
      <c r="D2047" s="2" t="s">
        <v>1868</v>
      </c>
      <c r="E2047" s="1">
        <v>69.0</v>
      </c>
      <c r="F2047" s="1">
        <v>59.0</v>
      </c>
      <c r="G2047" s="1">
        <v>0.0</v>
      </c>
      <c r="H2047" s="1">
        <v>0.0</v>
      </c>
      <c r="I2047" s="1">
        <v>0.0</v>
      </c>
      <c r="J2047" s="1">
        <v>0.0</v>
      </c>
      <c r="K2047" s="1">
        <v>0.0</v>
      </c>
      <c r="L2047" s="1">
        <v>4.19E8</v>
      </c>
      <c r="M2047" s="1" t="s">
        <v>6993</v>
      </c>
      <c r="N2047" s="18">
        <v>46008.0</v>
      </c>
      <c r="O2047" s="1" t="s">
        <v>5344</v>
      </c>
      <c r="P2047" s="1" t="s">
        <v>3230</v>
      </c>
      <c r="Q2047" s="1" t="s">
        <v>3408</v>
      </c>
    </row>
    <row r="2048">
      <c r="A2048" s="1" t="s">
        <v>6994</v>
      </c>
      <c r="B2048" s="1">
        <v>69.0</v>
      </c>
      <c r="C2048" s="1">
        <v>70.0</v>
      </c>
      <c r="D2048" s="2" t="s">
        <v>439</v>
      </c>
      <c r="E2048" s="1">
        <v>69.0</v>
      </c>
      <c r="F2048" s="1">
        <v>12.0</v>
      </c>
      <c r="G2048" s="1">
        <v>0.0</v>
      </c>
      <c r="H2048" s="1">
        <v>0.0</v>
      </c>
      <c r="I2048" s="1">
        <v>0.0</v>
      </c>
      <c r="J2048" s="1">
        <v>0.0</v>
      </c>
      <c r="K2048" s="1">
        <v>0.02</v>
      </c>
      <c r="L2048" s="1">
        <v>39400.0</v>
      </c>
      <c r="M2048" s="1" t="s">
        <v>6995</v>
      </c>
      <c r="N2048" s="18">
        <v>46008.0</v>
      </c>
      <c r="O2048" s="1" t="s">
        <v>6996</v>
      </c>
      <c r="P2048" s="1" t="s">
        <v>3294</v>
      </c>
      <c r="Q2048" s="1" t="s">
        <v>3408</v>
      </c>
    </row>
    <row r="2049">
      <c r="A2049" s="1" t="s">
        <v>6997</v>
      </c>
      <c r="B2049" s="1">
        <v>69.0</v>
      </c>
      <c r="C2049" s="1">
        <v>140.0</v>
      </c>
      <c r="D2049" s="2" t="s">
        <v>756</v>
      </c>
      <c r="E2049" s="1">
        <v>69.0</v>
      </c>
      <c r="F2049" s="1">
        <v>13.0</v>
      </c>
      <c r="G2049" s="1">
        <v>3.25</v>
      </c>
      <c r="H2049" s="1">
        <v>0.0</v>
      </c>
      <c r="I2049" s="1">
        <v>0.0</v>
      </c>
      <c r="J2049" s="1">
        <v>0.0</v>
      </c>
      <c r="K2049" s="1">
        <v>0.13</v>
      </c>
      <c r="L2049" s="1">
        <v>8670000.0</v>
      </c>
      <c r="M2049" s="1" t="s">
        <v>6998</v>
      </c>
      <c r="N2049" s="18">
        <v>46005.0</v>
      </c>
      <c r="O2049" s="1" t="s">
        <v>3442</v>
      </c>
      <c r="P2049" s="1" t="s">
        <v>3230</v>
      </c>
      <c r="Q2049" s="1" t="s">
        <v>3408</v>
      </c>
    </row>
    <row r="2050">
      <c r="A2050" s="1" t="s">
        <v>6999</v>
      </c>
      <c r="B2050" s="1">
        <v>69.0</v>
      </c>
      <c r="C2050" s="1">
        <v>90.0</v>
      </c>
      <c r="D2050" s="2" t="s">
        <v>1857</v>
      </c>
      <c r="E2050" s="1">
        <v>69.0</v>
      </c>
      <c r="F2050" s="1">
        <v>0.0</v>
      </c>
      <c r="G2050" s="1">
        <v>3.56</v>
      </c>
      <c r="H2050" s="1">
        <v>0.0</v>
      </c>
      <c r="I2050" s="1">
        <v>0.0</v>
      </c>
      <c r="J2050" s="1">
        <v>0.0</v>
      </c>
      <c r="K2050" s="1">
        <v>0.26</v>
      </c>
      <c r="L2050" s="1">
        <v>8.12E7</v>
      </c>
      <c r="M2050" s="1" t="s">
        <v>7000</v>
      </c>
      <c r="N2050" s="18">
        <v>46005.0</v>
      </c>
      <c r="O2050" s="1" t="s">
        <v>3407</v>
      </c>
      <c r="P2050" s="1" t="s">
        <v>3230</v>
      </c>
      <c r="Q2050" s="1" t="s">
        <v>3408</v>
      </c>
    </row>
    <row r="2051">
      <c r="A2051" s="1" t="s">
        <v>7001</v>
      </c>
      <c r="B2051" s="1">
        <v>69.0</v>
      </c>
      <c r="C2051" s="1">
        <v>110.0</v>
      </c>
      <c r="D2051" s="2" t="s">
        <v>780</v>
      </c>
      <c r="E2051" s="1">
        <v>69.0</v>
      </c>
      <c r="F2051" s="1">
        <v>12.0</v>
      </c>
      <c r="G2051" s="1">
        <v>0.0</v>
      </c>
      <c r="H2051" s="1">
        <v>0.0</v>
      </c>
      <c r="I2051" s="1">
        <v>0.0</v>
      </c>
      <c r="J2051" s="1">
        <v>0.0</v>
      </c>
      <c r="K2051" s="1">
        <v>0.0</v>
      </c>
      <c r="L2051" s="1">
        <v>674000.0</v>
      </c>
      <c r="M2051" s="1" t="s">
        <v>7002</v>
      </c>
      <c r="N2051" s="18">
        <v>46004.0</v>
      </c>
      <c r="O2051" s="1" t="s">
        <v>6936</v>
      </c>
      <c r="P2051" s="1" t="s">
        <v>3334</v>
      </c>
      <c r="Q2051" s="1" t="s">
        <v>3408</v>
      </c>
    </row>
    <row r="2052">
      <c r="A2052" s="1" t="s">
        <v>6724</v>
      </c>
      <c r="B2052" s="1">
        <v>69.0</v>
      </c>
      <c r="C2052" s="1">
        <v>1000.0</v>
      </c>
      <c r="D2052" s="2" t="s">
        <v>1327</v>
      </c>
      <c r="E2052" s="1">
        <v>69.0</v>
      </c>
      <c r="F2052" s="1">
        <v>25.0</v>
      </c>
      <c r="G2052" s="1">
        <v>0.0</v>
      </c>
      <c r="H2052" s="1">
        <v>0.0</v>
      </c>
      <c r="I2052" s="1">
        <v>0.0</v>
      </c>
      <c r="J2052" s="1">
        <v>0.0</v>
      </c>
      <c r="K2052" s="1">
        <v>0.0</v>
      </c>
      <c r="L2052" s="1">
        <v>5960000.0</v>
      </c>
      <c r="M2052" s="1" t="s">
        <v>6725</v>
      </c>
      <c r="N2052" s="18">
        <v>46004.0</v>
      </c>
      <c r="O2052" s="1" t="s">
        <v>3314</v>
      </c>
      <c r="P2052" s="1" t="s">
        <v>3230</v>
      </c>
      <c r="Q2052" s="1" t="s">
        <v>3408</v>
      </c>
    </row>
    <row r="2053">
      <c r="A2053" s="1" t="s">
        <v>7003</v>
      </c>
      <c r="B2053" s="1">
        <v>69.0</v>
      </c>
      <c r="C2053" s="1">
        <v>70.0</v>
      </c>
      <c r="D2053" s="2" t="s">
        <v>439</v>
      </c>
      <c r="E2053" s="1">
        <v>69.0</v>
      </c>
      <c r="F2053" s="1">
        <v>3.0</v>
      </c>
      <c r="G2053" s="1">
        <v>0.0</v>
      </c>
      <c r="H2053" s="1">
        <v>0.0</v>
      </c>
      <c r="I2053" s="1">
        <v>0.0</v>
      </c>
      <c r="J2053" s="1">
        <v>0.0</v>
      </c>
      <c r="K2053" s="1">
        <v>0.0</v>
      </c>
      <c r="L2053" s="1">
        <v>12800.0</v>
      </c>
      <c r="M2053" s="1" t="s">
        <v>7004</v>
      </c>
      <c r="N2053" s="18">
        <v>46004.0</v>
      </c>
      <c r="O2053" s="1" t="s">
        <v>4440</v>
      </c>
      <c r="P2053" s="1" t="s">
        <v>3301</v>
      </c>
      <c r="Q2053" s="1" t="s">
        <v>3408</v>
      </c>
    </row>
    <row r="2054">
      <c r="A2054" s="1" t="s">
        <v>7005</v>
      </c>
      <c r="B2054" s="1">
        <v>69.0</v>
      </c>
      <c r="C2054" s="1">
        <v>70.0</v>
      </c>
      <c r="D2054" s="2" t="s">
        <v>1400</v>
      </c>
      <c r="E2054" s="1">
        <v>69.0</v>
      </c>
      <c r="F2054" s="1">
        <v>6.0</v>
      </c>
      <c r="G2054" s="1">
        <v>3.06</v>
      </c>
      <c r="H2054" s="1">
        <v>0.0</v>
      </c>
      <c r="I2054" s="1">
        <v>0.0</v>
      </c>
      <c r="J2054" s="1">
        <v>0.0</v>
      </c>
      <c r="K2054" s="1">
        <v>0.43</v>
      </c>
      <c r="L2054" s="1">
        <v>1400000.0</v>
      </c>
      <c r="M2054" s="1" t="s">
        <v>7006</v>
      </c>
      <c r="N2054" s="18">
        <v>46003.0</v>
      </c>
      <c r="O2054" s="1" t="s">
        <v>4057</v>
      </c>
      <c r="P2054" s="1" t="s">
        <v>3230</v>
      </c>
      <c r="Q2054" s="1" t="s">
        <v>3408</v>
      </c>
    </row>
    <row r="2055">
      <c r="A2055" s="1" t="s">
        <v>7007</v>
      </c>
      <c r="B2055" s="1">
        <v>69.0</v>
      </c>
      <c r="C2055" s="1">
        <v>50.0</v>
      </c>
      <c r="D2055" s="2" t="s">
        <v>439</v>
      </c>
      <c r="E2055" s="1">
        <v>69.0</v>
      </c>
      <c r="F2055" s="1">
        <v>24.0</v>
      </c>
      <c r="G2055" s="1">
        <v>0.0</v>
      </c>
      <c r="H2055" s="1">
        <v>0.0</v>
      </c>
      <c r="I2055" s="1">
        <v>0.0</v>
      </c>
      <c r="J2055" s="1">
        <v>0.0</v>
      </c>
      <c r="K2055" s="1">
        <v>0.0</v>
      </c>
      <c r="L2055" s="1">
        <v>1650000.0</v>
      </c>
      <c r="M2055" s="1" t="s">
        <v>7008</v>
      </c>
      <c r="N2055" s="18">
        <v>46002.0</v>
      </c>
      <c r="O2055" s="1" t="s">
        <v>4372</v>
      </c>
      <c r="P2055" s="1" t="s">
        <v>3294</v>
      </c>
      <c r="Q2055" s="1" t="s">
        <v>3408</v>
      </c>
    </row>
    <row r="2056">
      <c r="A2056" s="1" t="s">
        <v>7009</v>
      </c>
      <c r="B2056" s="1">
        <v>69.0</v>
      </c>
      <c r="C2056" s="1">
        <v>70.0</v>
      </c>
      <c r="D2056" s="2" t="s">
        <v>581</v>
      </c>
      <c r="E2056" s="1">
        <v>69.0</v>
      </c>
      <c r="F2056" s="1">
        <v>30.0</v>
      </c>
      <c r="G2056" s="1">
        <v>15.21</v>
      </c>
      <c r="H2056" s="1">
        <v>0.0</v>
      </c>
      <c r="I2056" s="1">
        <v>0.0</v>
      </c>
      <c r="J2056" s="1">
        <v>0.0</v>
      </c>
      <c r="K2056" s="1">
        <v>0.39</v>
      </c>
      <c r="L2056" s="1">
        <v>346000.0</v>
      </c>
      <c r="M2056" s="1" t="s">
        <v>7010</v>
      </c>
      <c r="N2056" s="18">
        <v>46001.0</v>
      </c>
      <c r="O2056" s="1" t="s">
        <v>5899</v>
      </c>
      <c r="P2056" s="1" t="s">
        <v>3257</v>
      </c>
      <c r="Q2056" s="1" t="s">
        <v>3408</v>
      </c>
    </row>
    <row r="2057">
      <c r="A2057" s="1" t="s">
        <v>7011</v>
      </c>
      <c r="B2057" s="1">
        <v>69.0</v>
      </c>
      <c r="C2057" s="1">
        <v>110.0</v>
      </c>
      <c r="D2057" s="2" t="s">
        <v>1041</v>
      </c>
      <c r="E2057" s="1">
        <v>69.0</v>
      </c>
      <c r="F2057" s="1">
        <v>0.0</v>
      </c>
      <c r="G2057" s="1">
        <v>6.08</v>
      </c>
      <c r="H2057" s="1">
        <v>0.0</v>
      </c>
      <c r="I2057" s="1">
        <v>0.0</v>
      </c>
      <c r="J2057" s="1">
        <v>0.0</v>
      </c>
      <c r="K2057" s="1">
        <v>0.25</v>
      </c>
      <c r="L2057" s="1">
        <v>720000.0</v>
      </c>
      <c r="M2057" s="1" t="s">
        <v>7012</v>
      </c>
      <c r="N2057" s="18">
        <v>45997.0</v>
      </c>
      <c r="O2057" s="1" t="s">
        <v>3407</v>
      </c>
      <c r="P2057" s="1" t="s">
        <v>3230</v>
      </c>
      <c r="Q2057" s="1" t="s">
        <v>3408</v>
      </c>
    </row>
    <row r="2058">
      <c r="A2058" s="1" t="s">
        <v>7013</v>
      </c>
      <c r="B2058" s="1">
        <v>69.0</v>
      </c>
      <c r="C2058" s="1">
        <v>70.0</v>
      </c>
      <c r="D2058" s="2" t="s">
        <v>726</v>
      </c>
      <c r="E2058" s="1">
        <v>69.0</v>
      </c>
      <c r="F2058" s="1">
        <v>35.0</v>
      </c>
      <c r="G2058" s="1">
        <v>19.0</v>
      </c>
      <c r="H2058" s="1">
        <v>0.0</v>
      </c>
      <c r="I2058" s="1">
        <v>0.0</v>
      </c>
      <c r="J2058" s="1">
        <v>0.0</v>
      </c>
      <c r="K2058" s="1">
        <v>0.3</v>
      </c>
      <c r="L2058" s="1">
        <v>6530000.0</v>
      </c>
      <c r="M2058" s="1" t="s">
        <v>7014</v>
      </c>
      <c r="N2058" s="18">
        <v>45993.0</v>
      </c>
      <c r="O2058" s="1" t="s">
        <v>4643</v>
      </c>
      <c r="P2058" s="1" t="s">
        <v>3257</v>
      </c>
      <c r="Q2058" s="1" t="s">
        <v>3408</v>
      </c>
    </row>
    <row r="2059">
      <c r="A2059" s="1" t="s">
        <v>7015</v>
      </c>
      <c r="B2059" s="1">
        <v>69.0</v>
      </c>
      <c r="C2059" s="1">
        <v>40.0</v>
      </c>
      <c r="D2059" s="2" t="s">
        <v>581</v>
      </c>
      <c r="E2059" s="1">
        <v>69.0</v>
      </c>
      <c r="F2059" s="1">
        <v>1.0</v>
      </c>
      <c r="G2059" s="1">
        <v>3.64</v>
      </c>
      <c r="H2059" s="1">
        <v>0.0</v>
      </c>
      <c r="I2059" s="1">
        <v>0.0</v>
      </c>
      <c r="J2059" s="1">
        <v>0.0</v>
      </c>
      <c r="K2059" s="1">
        <v>0.17</v>
      </c>
      <c r="L2059" s="1">
        <v>1.03E7</v>
      </c>
      <c r="M2059" s="1" t="s">
        <v>7016</v>
      </c>
      <c r="N2059" s="18">
        <v>45991.0</v>
      </c>
      <c r="O2059" s="1" t="s">
        <v>7017</v>
      </c>
      <c r="P2059" s="1" t="s">
        <v>3334</v>
      </c>
      <c r="Q2059" s="1" t="s">
        <v>3408</v>
      </c>
    </row>
    <row r="2060">
      <c r="A2060" s="1" t="s">
        <v>3776</v>
      </c>
      <c r="B2060" s="1">
        <v>69.0</v>
      </c>
      <c r="C2060" s="1">
        <v>140.0</v>
      </c>
      <c r="D2060" s="2" t="s">
        <v>475</v>
      </c>
      <c r="E2060" s="1">
        <v>69.0</v>
      </c>
      <c r="F2060" s="1">
        <v>31.0</v>
      </c>
      <c r="G2060" s="1">
        <v>17.92</v>
      </c>
      <c r="H2060" s="1">
        <v>0.0</v>
      </c>
      <c r="I2060" s="1">
        <v>0.0</v>
      </c>
      <c r="J2060" s="1">
        <v>0.0</v>
      </c>
      <c r="K2060" s="1">
        <v>0.32</v>
      </c>
      <c r="L2060" s="1">
        <v>141000.0</v>
      </c>
      <c r="M2060" s="1" t="s">
        <v>3777</v>
      </c>
      <c r="N2060" s="18">
        <v>45990.0</v>
      </c>
      <c r="O2060" s="1" t="s">
        <v>3773</v>
      </c>
      <c r="P2060" s="1" t="s">
        <v>3257</v>
      </c>
      <c r="Q2060" s="1" t="s">
        <v>3408</v>
      </c>
    </row>
    <row r="2061">
      <c r="A2061" s="1" t="s">
        <v>7018</v>
      </c>
      <c r="B2061" s="1">
        <v>69.0</v>
      </c>
      <c r="C2061" s="1">
        <v>70.0</v>
      </c>
      <c r="D2061" s="2" t="s">
        <v>798</v>
      </c>
      <c r="E2061" s="1">
        <v>69.0</v>
      </c>
      <c r="F2061" s="1">
        <v>17.0</v>
      </c>
      <c r="G2061" s="1">
        <v>0.0</v>
      </c>
      <c r="H2061" s="1">
        <v>0.0</v>
      </c>
      <c r="I2061" s="1">
        <v>0.0</v>
      </c>
      <c r="J2061" s="1">
        <v>0.0</v>
      </c>
      <c r="K2061" s="1">
        <v>0.0</v>
      </c>
      <c r="L2061" s="1">
        <v>3.63E7</v>
      </c>
      <c r="M2061" s="1" t="s">
        <v>7019</v>
      </c>
      <c r="N2061" s="18">
        <v>45989.0</v>
      </c>
      <c r="O2061" s="1" t="s">
        <v>3284</v>
      </c>
      <c r="P2061" s="1" t="s">
        <v>3334</v>
      </c>
      <c r="Q2061" s="1" t="s">
        <v>3408</v>
      </c>
    </row>
    <row r="2062">
      <c r="A2062" s="1" t="s">
        <v>7020</v>
      </c>
      <c r="B2062" s="1">
        <v>69.0</v>
      </c>
      <c r="C2062" s="1">
        <v>70.0</v>
      </c>
      <c r="D2062" s="2" t="s">
        <v>2932</v>
      </c>
      <c r="E2062" s="1">
        <v>69.0</v>
      </c>
      <c r="F2062" s="1">
        <v>18.0</v>
      </c>
      <c r="G2062" s="1">
        <v>5.08</v>
      </c>
      <c r="H2062" s="1">
        <v>0.0</v>
      </c>
      <c r="I2062" s="1">
        <v>0.0</v>
      </c>
      <c r="J2062" s="1">
        <v>0.0</v>
      </c>
      <c r="K2062" s="1">
        <v>0.18</v>
      </c>
      <c r="L2062" s="1">
        <v>9.0</v>
      </c>
      <c r="M2062" s="1" t="s">
        <v>7021</v>
      </c>
      <c r="N2062" s="18">
        <v>45986.0</v>
      </c>
      <c r="O2062" s="1" t="s">
        <v>7022</v>
      </c>
      <c r="P2062" s="1" t="s">
        <v>3230</v>
      </c>
      <c r="Q2062" s="1" t="s">
        <v>3408</v>
      </c>
    </row>
    <row r="2063">
      <c r="A2063" s="1" t="s">
        <v>6302</v>
      </c>
      <c r="B2063" s="1">
        <v>70.0</v>
      </c>
      <c r="C2063" s="1">
        <v>40.0</v>
      </c>
      <c r="D2063" s="2" t="s">
        <v>724</v>
      </c>
      <c r="E2063" s="1">
        <v>0.0</v>
      </c>
      <c r="F2063" s="1">
        <v>4.0</v>
      </c>
      <c r="G2063" s="1">
        <v>0.0</v>
      </c>
      <c r="H2063" s="1">
        <v>0.0</v>
      </c>
      <c r="I2063" s="1">
        <v>0.0</v>
      </c>
      <c r="J2063" s="1">
        <v>0.0</v>
      </c>
      <c r="K2063" s="1">
        <v>0.02</v>
      </c>
      <c r="L2063" s="1">
        <v>5370000.0</v>
      </c>
      <c r="M2063" s="1" t="s">
        <v>6303</v>
      </c>
      <c r="N2063" s="18">
        <v>46043.0</v>
      </c>
      <c r="O2063" s="1" t="s">
        <v>3284</v>
      </c>
      <c r="P2063" s="1" t="s">
        <v>3230</v>
      </c>
      <c r="Q2063" s="1" t="s">
        <v>3408</v>
      </c>
    </row>
    <row r="2064">
      <c r="A2064" s="1" t="s">
        <v>7023</v>
      </c>
      <c r="B2064" s="1">
        <v>70.0</v>
      </c>
      <c r="C2064" s="1">
        <v>110.0</v>
      </c>
      <c r="D2064" s="2" t="s">
        <v>911</v>
      </c>
      <c r="E2064" s="1">
        <v>0.0</v>
      </c>
      <c r="F2064" s="1">
        <v>6.0</v>
      </c>
      <c r="G2064" s="1">
        <v>2.01</v>
      </c>
      <c r="H2064" s="1">
        <v>0.0</v>
      </c>
      <c r="I2064" s="1">
        <v>0.0</v>
      </c>
      <c r="J2064" s="1">
        <v>0.0</v>
      </c>
      <c r="K2064" s="1">
        <v>0.75</v>
      </c>
      <c r="L2064" s="1">
        <v>9800000.0</v>
      </c>
      <c r="M2064" s="1" t="s">
        <v>7024</v>
      </c>
      <c r="N2064" s="18">
        <v>46042.0</v>
      </c>
      <c r="O2064" s="1" t="s">
        <v>3264</v>
      </c>
      <c r="P2064" s="1" t="s">
        <v>3230</v>
      </c>
      <c r="Q2064" s="1" t="s">
        <v>3408</v>
      </c>
    </row>
    <row r="2065">
      <c r="A2065" s="1" t="s">
        <v>7025</v>
      </c>
      <c r="B2065" s="1">
        <v>70.0</v>
      </c>
      <c r="C2065" s="1">
        <v>40.0</v>
      </c>
      <c r="D2065" s="2" t="s">
        <v>762</v>
      </c>
      <c r="E2065" s="1">
        <v>70.0</v>
      </c>
      <c r="F2065" s="1">
        <v>6.0</v>
      </c>
      <c r="G2065" s="1">
        <v>22.69</v>
      </c>
      <c r="H2065" s="1">
        <v>0.0</v>
      </c>
      <c r="I2065" s="1">
        <v>0.0</v>
      </c>
      <c r="J2065" s="1">
        <v>0.0</v>
      </c>
      <c r="K2065" s="1">
        <v>0.65</v>
      </c>
      <c r="L2065" s="1">
        <v>8710000.0</v>
      </c>
      <c r="M2065" s="1" t="s">
        <v>7026</v>
      </c>
      <c r="N2065" s="18">
        <v>46042.0</v>
      </c>
      <c r="O2065" s="1" t="s">
        <v>3258</v>
      </c>
      <c r="P2065" s="1" t="s">
        <v>3257</v>
      </c>
      <c r="Q2065" s="1" t="s">
        <v>3408</v>
      </c>
    </row>
    <row r="2066">
      <c r="A2066" s="1" t="s">
        <v>7027</v>
      </c>
      <c r="B2066" s="1">
        <v>70.0</v>
      </c>
      <c r="C2066" s="1">
        <v>70.0</v>
      </c>
      <c r="D2066" s="2" t="s">
        <v>904</v>
      </c>
      <c r="E2066" s="1">
        <v>70.0</v>
      </c>
      <c r="F2066" s="1">
        <v>31.0</v>
      </c>
      <c r="G2066" s="1">
        <v>2.91</v>
      </c>
      <c r="H2066" s="1">
        <v>0.0</v>
      </c>
      <c r="I2066" s="1">
        <v>0.0</v>
      </c>
      <c r="J2066" s="1">
        <v>0.0</v>
      </c>
      <c r="K2066" s="1">
        <v>0.34</v>
      </c>
      <c r="L2066" s="1">
        <v>6820000.0</v>
      </c>
      <c r="M2066" s="1" t="s">
        <v>7028</v>
      </c>
      <c r="N2066" s="18">
        <v>46039.0</v>
      </c>
      <c r="O2066" s="1" t="s">
        <v>3231</v>
      </c>
      <c r="P2066" s="1" t="s">
        <v>3301</v>
      </c>
      <c r="Q2066" s="1" t="s">
        <v>3408</v>
      </c>
    </row>
    <row r="2067">
      <c r="A2067" s="1" t="s">
        <v>7029</v>
      </c>
      <c r="B2067" s="1">
        <v>70.0</v>
      </c>
      <c r="C2067" s="1">
        <v>70.0</v>
      </c>
      <c r="D2067" s="2" t="s">
        <v>754</v>
      </c>
      <c r="E2067" s="1">
        <v>70.0</v>
      </c>
      <c r="F2067" s="1">
        <v>20.0</v>
      </c>
      <c r="G2067" s="1">
        <v>42.58</v>
      </c>
      <c r="H2067" s="1">
        <v>0.0</v>
      </c>
      <c r="I2067" s="1">
        <v>0.0</v>
      </c>
      <c r="J2067" s="1">
        <v>0.0</v>
      </c>
      <c r="K2067" s="1">
        <v>0.74</v>
      </c>
      <c r="L2067" s="1">
        <v>9200000.0</v>
      </c>
      <c r="M2067" s="1" t="s">
        <v>7030</v>
      </c>
      <c r="N2067" s="18">
        <v>46037.0</v>
      </c>
      <c r="O2067" s="1" t="s">
        <v>7031</v>
      </c>
      <c r="P2067" s="1" t="s">
        <v>3257</v>
      </c>
      <c r="Q2067" s="1" t="s">
        <v>3408</v>
      </c>
    </row>
    <row r="2068">
      <c r="A2068" s="1" t="s">
        <v>7032</v>
      </c>
      <c r="B2068" s="1">
        <v>70.0</v>
      </c>
      <c r="C2068" s="1">
        <v>40.0</v>
      </c>
      <c r="D2068" s="2" t="s">
        <v>2249</v>
      </c>
      <c r="E2068" s="1">
        <v>70.0</v>
      </c>
      <c r="F2068" s="1">
        <v>20.0</v>
      </c>
      <c r="G2068" s="1">
        <v>0.0</v>
      </c>
      <c r="H2068" s="1">
        <v>0.0</v>
      </c>
      <c r="I2068" s="1">
        <v>0.0</v>
      </c>
      <c r="J2068" s="1">
        <v>0.0</v>
      </c>
      <c r="K2068" s="1">
        <v>0.0</v>
      </c>
      <c r="L2068" s="1">
        <v>2.87E8</v>
      </c>
      <c r="M2068" s="1" t="s">
        <v>7033</v>
      </c>
      <c r="N2068" s="18">
        <v>46036.0</v>
      </c>
      <c r="O2068" s="1" t="s">
        <v>5650</v>
      </c>
      <c r="P2068" s="1" t="s">
        <v>3230</v>
      </c>
      <c r="Q2068" s="1" t="s">
        <v>3408</v>
      </c>
    </row>
    <row r="2069">
      <c r="A2069" s="1" t="s">
        <v>7034</v>
      </c>
      <c r="B2069" s="1">
        <v>70.0</v>
      </c>
      <c r="C2069" s="1">
        <v>50.0</v>
      </c>
      <c r="D2069" s="2" t="s">
        <v>581</v>
      </c>
      <c r="E2069" s="1">
        <v>70.0</v>
      </c>
      <c r="F2069" s="1">
        <v>13.0</v>
      </c>
      <c r="G2069" s="1">
        <v>0.0</v>
      </c>
      <c r="H2069" s="1">
        <v>0.0</v>
      </c>
      <c r="I2069" s="1">
        <v>0.0</v>
      </c>
      <c r="J2069" s="1">
        <v>0.0</v>
      </c>
      <c r="K2069" s="1">
        <v>0.33</v>
      </c>
      <c r="L2069" s="1">
        <v>251000.0</v>
      </c>
      <c r="M2069" s="1" t="s">
        <v>7035</v>
      </c>
      <c r="N2069" s="18">
        <v>46033.0</v>
      </c>
      <c r="O2069" s="1" t="s">
        <v>3432</v>
      </c>
      <c r="P2069" s="1" t="s">
        <v>3257</v>
      </c>
      <c r="Q2069" s="1" t="s">
        <v>3408</v>
      </c>
    </row>
    <row r="2070">
      <c r="A2070" s="1" t="s">
        <v>7036</v>
      </c>
      <c r="B2070" s="1">
        <v>70.0</v>
      </c>
      <c r="C2070" s="1">
        <v>70.0</v>
      </c>
      <c r="D2070" s="2" t="s">
        <v>1868</v>
      </c>
      <c r="E2070" s="1">
        <v>70.0</v>
      </c>
      <c r="F2070" s="1">
        <v>23.0</v>
      </c>
      <c r="G2070" s="1">
        <v>0.0</v>
      </c>
      <c r="H2070" s="1">
        <v>0.0</v>
      </c>
      <c r="I2070" s="1">
        <v>0.0</v>
      </c>
      <c r="J2070" s="1">
        <v>0.0</v>
      </c>
      <c r="K2070" s="1">
        <v>0.0</v>
      </c>
      <c r="L2070" s="1">
        <v>2.48E7</v>
      </c>
      <c r="M2070" s="1" t="s">
        <v>7037</v>
      </c>
      <c r="N2070" s="18">
        <v>46028.0</v>
      </c>
      <c r="O2070" s="1" t="s">
        <v>7038</v>
      </c>
      <c r="P2070" s="1" t="s">
        <v>3230</v>
      </c>
      <c r="Q2070" s="1" t="s">
        <v>3408</v>
      </c>
    </row>
    <row r="2071">
      <c r="A2071" s="1" t="s">
        <v>7039</v>
      </c>
      <c r="B2071" s="1">
        <v>70.0</v>
      </c>
      <c r="C2071" s="1">
        <v>90.0</v>
      </c>
      <c r="D2071" s="2" t="s">
        <v>638</v>
      </c>
      <c r="E2071" s="1">
        <v>70.0</v>
      </c>
      <c r="F2071" s="1">
        <v>12.0</v>
      </c>
      <c r="G2071" s="1">
        <v>0.0</v>
      </c>
      <c r="H2071" s="1">
        <v>0.0</v>
      </c>
      <c r="I2071" s="1">
        <v>0.0</v>
      </c>
      <c r="J2071" s="1">
        <v>0.0</v>
      </c>
      <c r="K2071" s="1">
        <v>0.0</v>
      </c>
      <c r="L2071" s="1">
        <v>1.21E8</v>
      </c>
      <c r="M2071" s="1" t="s">
        <v>7040</v>
      </c>
      <c r="N2071" s="18">
        <v>46027.0</v>
      </c>
      <c r="O2071" s="1" t="s">
        <v>4487</v>
      </c>
      <c r="P2071" s="1" t="s">
        <v>3230</v>
      </c>
      <c r="Q2071" s="1" t="s">
        <v>3408</v>
      </c>
    </row>
    <row r="2072">
      <c r="A2072" s="1" t="s">
        <v>7041</v>
      </c>
      <c r="B2072" s="1">
        <v>70.0</v>
      </c>
      <c r="C2072" s="1">
        <v>90.0</v>
      </c>
      <c r="D2072" s="2" t="s">
        <v>439</v>
      </c>
      <c r="E2072" s="1">
        <v>70.0</v>
      </c>
      <c r="F2072" s="1">
        <v>16.0</v>
      </c>
      <c r="G2072" s="1">
        <v>11.03</v>
      </c>
      <c r="H2072" s="1">
        <v>0.0</v>
      </c>
      <c r="I2072" s="1">
        <v>0.0</v>
      </c>
      <c r="J2072" s="1">
        <v>0.0</v>
      </c>
      <c r="K2072" s="1">
        <v>0.06</v>
      </c>
      <c r="L2072" s="1">
        <v>1.19E7</v>
      </c>
      <c r="M2072" s="1" t="s">
        <v>7042</v>
      </c>
      <c r="N2072" s="18">
        <v>46025.0</v>
      </c>
      <c r="O2072" s="1" t="s">
        <v>5364</v>
      </c>
      <c r="P2072" s="1" t="s">
        <v>3257</v>
      </c>
      <c r="Q2072" s="1" t="s">
        <v>3408</v>
      </c>
    </row>
    <row r="2073">
      <c r="A2073" s="1" t="s">
        <v>5608</v>
      </c>
      <c r="B2073" s="1">
        <v>70.0</v>
      </c>
      <c r="C2073" s="1">
        <v>140.0</v>
      </c>
      <c r="D2073" s="2" t="s">
        <v>913</v>
      </c>
      <c r="E2073" s="1">
        <v>70.0</v>
      </c>
      <c r="F2073" s="1">
        <v>10.0</v>
      </c>
      <c r="G2073" s="1">
        <v>22.8</v>
      </c>
      <c r="H2073" s="1">
        <v>0.0</v>
      </c>
      <c r="I2073" s="1">
        <v>0.0</v>
      </c>
      <c r="J2073" s="1">
        <v>0.0</v>
      </c>
      <c r="K2073" s="1">
        <v>0.54</v>
      </c>
      <c r="L2073" s="1">
        <v>122000.0</v>
      </c>
      <c r="M2073" s="1" t="s">
        <v>5609</v>
      </c>
      <c r="N2073" s="18">
        <v>46025.0</v>
      </c>
      <c r="O2073" s="1" t="s">
        <v>3435</v>
      </c>
      <c r="P2073" s="1" t="s">
        <v>3257</v>
      </c>
      <c r="Q2073" s="1" t="s">
        <v>3408</v>
      </c>
    </row>
    <row r="2074">
      <c r="A2074" s="1" t="s">
        <v>7043</v>
      </c>
      <c r="B2074" s="1">
        <v>70.0</v>
      </c>
      <c r="C2074" s="1">
        <v>260.0</v>
      </c>
      <c r="D2074" s="2" t="s">
        <v>696</v>
      </c>
      <c r="E2074" s="1">
        <v>70.0</v>
      </c>
      <c r="F2074" s="1">
        <v>2.0</v>
      </c>
      <c r="G2074" s="1">
        <v>3.06</v>
      </c>
      <c r="H2074" s="1">
        <v>0.0</v>
      </c>
      <c r="I2074" s="1">
        <v>0.0</v>
      </c>
      <c r="J2074" s="1">
        <v>0.0</v>
      </c>
      <c r="K2074" s="1">
        <v>0.72</v>
      </c>
      <c r="L2074" s="1">
        <v>275000.0</v>
      </c>
      <c r="M2074" s="1" t="s">
        <v>7044</v>
      </c>
      <c r="N2074" s="18">
        <v>46024.0</v>
      </c>
      <c r="O2074" s="1" t="s">
        <v>6324</v>
      </c>
      <c r="P2074" s="1" t="s">
        <v>3230</v>
      </c>
      <c r="Q2074" s="1" t="s">
        <v>3408</v>
      </c>
    </row>
    <row r="2075">
      <c r="A2075" s="1" t="s">
        <v>5118</v>
      </c>
      <c r="B2075" s="1">
        <v>70.0</v>
      </c>
      <c r="C2075" s="1">
        <v>50.0</v>
      </c>
      <c r="D2075" s="2" t="s">
        <v>439</v>
      </c>
      <c r="E2075" s="1">
        <v>70.0</v>
      </c>
      <c r="F2075" s="1">
        <v>19.0</v>
      </c>
      <c r="G2075" s="1">
        <v>3.22</v>
      </c>
      <c r="H2075" s="1">
        <v>0.0</v>
      </c>
      <c r="I2075" s="1">
        <v>0.0</v>
      </c>
      <c r="J2075" s="1">
        <v>0.0</v>
      </c>
      <c r="K2075" s="1">
        <v>0.21</v>
      </c>
      <c r="L2075" s="1">
        <v>35200.0</v>
      </c>
      <c r="M2075" s="1" t="s">
        <v>5119</v>
      </c>
      <c r="N2075" s="18">
        <v>46020.0</v>
      </c>
      <c r="O2075" s="1" t="s">
        <v>5120</v>
      </c>
      <c r="P2075" s="1" t="s">
        <v>3230</v>
      </c>
      <c r="Q2075" s="1" t="s">
        <v>3408</v>
      </c>
    </row>
    <row r="2076">
      <c r="A2076" s="1" t="s">
        <v>7045</v>
      </c>
      <c r="B2076" s="1">
        <v>70.0</v>
      </c>
      <c r="C2076" s="1">
        <v>40.0</v>
      </c>
      <c r="D2076" s="2" t="s">
        <v>1511</v>
      </c>
      <c r="E2076" s="1">
        <v>70.0</v>
      </c>
      <c r="F2076" s="1">
        <v>5.0</v>
      </c>
      <c r="G2076" s="1">
        <v>8.21</v>
      </c>
      <c r="H2076" s="1">
        <v>0.0</v>
      </c>
      <c r="I2076" s="1">
        <v>0.0</v>
      </c>
      <c r="J2076" s="1">
        <v>0.0</v>
      </c>
      <c r="K2076" s="1">
        <v>0.53</v>
      </c>
      <c r="L2076" s="1">
        <v>1.05E7</v>
      </c>
      <c r="M2076" s="1" t="s">
        <v>7046</v>
      </c>
      <c r="N2076" s="18">
        <v>46018.0</v>
      </c>
      <c r="O2076" s="1" t="s">
        <v>7047</v>
      </c>
      <c r="P2076" s="1" t="s">
        <v>3230</v>
      </c>
      <c r="Q2076" s="1" t="s">
        <v>3408</v>
      </c>
    </row>
    <row r="2077">
      <c r="A2077" s="1" t="s">
        <v>7048</v>
      </c>
      <c r="B2077" s="1">
        <v>70.0</v>
      </c>
      <c r="C2077" s="1">
        <v>70.0</v>
      </c>
      <c r="D2077" s="2" t="s">
        <v>1538</v>
      </c>
      <c r="E2077" s="1">
        <v>70.0</v>
      </c>
      <c r="F2077" s="1">
        <v>24.0</v>
      </c>
      <c r="G2077" s="1">
        <v>0.0</v>
      </c>
      <c r="H2077" s="1">
        <v>0.0</v>
      </c>
      <c r="I2077" s="1">
        <v>0.0</v>
      </c>
      <c r="J2077" s="1">
        <v>0.0</v>
      </c>
      <c r="K2077" s="1">
        <v>0.0</v>
      </c>
      <c r="L2077" s="1">
        <v>8.78E7</v>
      </c>
      <c r="M2077" s="1" t="s">
        <v>7049</v>
      </c>
      <c r="N2077" s="18">
        <v>46018.0</v>
      </c>
      <c r="O2077" s="1" t="s">
        <v>4096</v>
      </c>
      <c r="P2077" s="1" t="s">
        <v>3230</v>
      </c>
      <c r="Q2077" s="1" t="s">
        <v>3408</v>
      </c>
    </row>
    <row r="2078">
      <c r="A2078" s="1" t="s">
        <v>7050</v>
      </c>
      <c r="B2078" s="1">
        <v>70.0</v>
      </c>
      <c r="C2078" s="1">
        <v>50.0</v>
      </c>
      <c r="D2078" s="2" t="s">
        <v>1650</v>
      </c>
      <c r="E2078" s="1">
        <v>70.0</v>
      </c>
      <c r="F2078" s="1">
        <v>0.0</v>
      </c>
      <c r="G2078" s="1">
        <v>0.0</v>
      </c>
      <c r="H2078" s="1">
        <v>0.0</v>
      </c>
      <c r="I2078" s="1">
        <v>0.0</v>
      </c>
      <c r="J2078" s="1">
        <v>0.0</v>
      </c>
      <c r="K2078" s="1">
        <v>0.0</v>
      </c>
      <c r="L2078" s="1">
        <v>850000.0</v>
      </c>
      <c r="M2078" s="1" t="s">
        <v>7051</v>
      </c>
      <c r="N2078" s="18">
        <v>46015.0</v>
      </c>
      <c r="O2078" s="1" t="s">
        <v>3493</v>
      </c>
      <c r="P2078" s="1" t="s">
        <v>3230</v>
      </c>
      <c r="Q2078" s="1" t="s">
        <v>3408</v>
      </c>
    </row>
    <row r="2079">
      <c r="A2079" s="1" t="s">
        <v>7052</v>
      </c>
      <c r="B2079" s="1">
        <v>70.0</v>
      </c>
      <c r="C2079" s="1">
        <v>50.0</v>
      </c>
      <c r="D2079" s="2" t="s">
        <v>738</v>
      </c>
      <c r="E2079" s="1">
        <v>70.0</v>
      </c>
      <c r="F2079" s="1">
        <v>16.0</v>
      </c>
      <c r="G2079" s="1">
        <v>0.0</v>
      </c>
      <c r="H2079" s="1">
        <v>0.0</v>
      </c>
      <c r="I2079" s="1">
        <v>0.0</v>
      </c>
      <c r="J2079" s="1">
        <v>0.0</v>
      </c>
      <c r="K2079" s="1">
        <v>0.0</v>
      </c>
      <c r="L2079" s="1">
        <v>3650000.0</v>
      </c>
      <c r="M2079" s="1" t="s">
        <v>7053</v>
      </c>
      <c r="N2079" s="18">
        <v>46014.0</v>
      </c>
      <c r="O2079" s="1" t="s">
        <v>3293</v>
      </c>
      <c r="P2079" s="1" t="s">
        <v>3257</v>
      </c>
      <c r="Q2079" s="1" t="s">
        <v>3408</v>
      </c>
    </row>
    <row r="2080">
      <c r="A2080" s="1" t="s">
        <v>7054</v>
      </c>
      <c r="B2080" s="1">
        <v>70.0</v>
      </c>
      <c r="C2080" s="1">
        <v>70.0</v>
      </c>
      <c r="D2080" s="2" t="s">
        <v>1055</v>
      </c>
      <c r="E2080" s="1">
        <v>70.0</v>
      </c>
      <c r="F2080" s="1">
        <v>38.0</v>
      </c>
      <c r="G2080" s="1">
        <v>9.01</v>
      </c>
      <c r="H2080" s="1">
        <v>0.0</v>
      </c>
      <c r="I2080" s="1">
        <v>0.0</v>
      </c>
      <c r="J2080" s="1">
        <v>0.0</v>
      </c>
      <c r="K2080" s="1">
        <v>0.19</v>
      </c>
      <c r="L2080" s="1">
        <v>1.6E7</v>
      </c>
      <c r="M2080" s="1" t="s">
        <v>7055</v>
      </c>
      <c r="N2080" s="18">
        <v>46014.0</v>
      </c>
      <c r="O2080" s="1" t="s">
        <v>3288</v>
      </c>
      <c r="P2080" s="1" t="s">
        <v>3462</v>
      </c>
      <c r="Q2080" s="1" t="s">
        <v>3408</v>
      </c>
    </row>
    <row r="2081">
      <c r="A2081" s="1" t="s">
        <v>7056</v>
      </c>
      <c r="B2081" s="1">
        <v>70.0</v>
      </c>
      <c r="C2081" s="1">
        <v>90.0</v>
      </c>
      <c r="D2081" s="2" t="s">
        <v>1103</v>
      </c>
      <c r="E2081" s="1">
        <v>70.0</v>
      </c>
      <c r="F2081" s="1">
        <v>32.0</v>
      </c>
      <c r="G2081" s="1">
        <v>2.8</v>
      </c>
      <c r="H2081" s="1">
        <v>0.0</v>
      </c>
      <c r="I2081" s="1">
        <v>0.0</v>
      </c>
      <c r="J2081" s="1">
        <v>0.0</v>
      </c>
      <c r="K2081" s="1">
        <v>0.03</v>
      </c>
      <c r="L2081" s="1">
        <v>1.02E8</v>
      </c>
      <c r="M2081" s="1" t="s">
        <v>7057</v>
      </c>
      <c r="N2081" s="18">
        <v>46013.0</v>
      </c>
      <c r="O2081" s="1" t="s">
        <v>7058</v>
      </c>
      <c r="P2081" s="1" t="s">
        <v>3230</v>
      </c>
      <c r="Q2081" s="1" t="s">
        <v>3408</v>
      </c>
    </row>
    <row r="2082">
      <c r="A2082" s="1" t="s">
        <v>7059</v>
      </c>
      <c r="B2082" s="1">
        <v>70.0</v>
      </c>
      <c r="C2082" s="1">
        <v>110.0</v>
      </c>
      <c r="D2082" s="2" t="s">
        <v>776</v>
      </c>
      <c r="E2082" s="1">
        <v>70.0</v>
      </c>
      <c r="F2082" s="1">
        <v>6.0</v>
      </c>
      <c r="G2082" s="1">
        <v>0.0</v>
      </c>
      <c r="H2082" s="1">
        <v>0.0</v>
      </c>
      <c r="I2082" s="1">
        <v>0.0</v>
      </c>
      <c r="J2082" s="1">
        <v>0.0</v>
      </c>
      <c r="K2082" s="1">
        <v>0.06</v>
      </c>
      <c r="L2082" s="1">
        <v>7160000.0</v>
      </c>
      <c r="M2082" s="1" t="s">
        <v>7060</v>
      </c>
      <c r="N2082" s="18">
        <v>46011.0</v>
      </c>
      <c r="O2082" s="1" t="s">
        <v>3479</v>
      </c>
      <c r="P2082" s="1" t="s">
        <v>3230</v>
      </c>
      <c r="Q2082" s="1" t="s">
        <v>3408</v>
      </c>
    </row>
    <row r="2083">
      <c r="A2083" s="1" t="s">
        <v>5064</v>
      </c>
      <c r="B2083" s="1">
        <v>70.0</v>
      </c>
      <c r="C2083" s="1">
        <v>40.0</v>
      </c>
      <c r="D2083" s="2" t="s">
        <v>1543</v>
      </c>
      <c r="E2083" s="1">
        <v>70.0</v>
      </c>
      <c r="F2083" s="1">
        <v>0.0</v>
      </c>
      <c r="G2083" s="1">
        <v>0.0</v>
      </c>
      <c r="H2083" s="1">
        <v>0.0</v>
      </c>
      <c r="I2083" s="1">
        <v>0.0</v>
      </c>
      <c r="J2083" s="1">
        <v>0.0</v>
      </c>
      <c r="K2083" s="1">
        <v>0.0</v>
      </c>
      <c r="L2083" s="1">
        <v>60900.0</v>
      </c>
      <c r="M2083" s="1" t="s">
        <v>5065</v>
      </c>
      <c r="N2083" s="18">
        <v>46011.0</v>
      </c>
      <c r="O2083" s="1" t="s">
        <v>3840</v>
      </c>
      <c r="P2083" s="1" t="s">
        <v>3230</v>
      </c>
      <c r="Q2083" s="1" t="s">
        <v>3408</v>
      </c>
    </row>
    <row r="2084">
      <c r="A2084" s="1" t="s">
        <v>7061</v>
      </c>
      <c r="B2084" s="1">
        <v>70.0</v>
      </c>
      <c r="C2084" s="1">
        <v>110.0</v>
      </c>
      <c r="D2084" s="2" t="s">
        <v>756</v>
      </c>
      <c r="E2084" s="1">
        <v>70.0</v>
      </c>
      <c r="F2084" s="1">
        <v>13.0</v>
      </c>
      <c r="G2084" s="1">
        <v>3.25</v>
      </c>
      <c r="H2084" s="1">
        <v>0.0</v>
      </c>
      <c r="I2084" s="1">
        <v>0.0</v>
      </c>
      <c r="J2084" s="1">
        <v>0.0</v>
      </c>
      <c r="K2084" s="1">
        <v>0.13</v>
      </c>
      <c r="L2084" s="1">
        <v>9620000.0</v>
      </c>
      <c r="M2084" s="1" t="s">
        <v>7062</v>
      </c>
      <c r="N2084" s="18">
        <v>46011.0</v>
      </c>
      <c r="O2084" s="1" t="s">
        <v>4487</v>
      </c>
      <c r="P2084" s="1" t="s">
        <v>3230</v>
      </c>
      <c r="Q2084" s="1" t="s">
        <v>3408</v>
      </c>
    </row>
    <row r="2085">
      <c r="A2085" s="1" t="s">
        <v>6926</v>
      </c>
      <c r="B2085" s="1">
        <v>70.0</v>
      </c>
      <c r="C2085" s="1">
        <v>50.0</v>
      </c>
      <c r="D2085" s="2" t="s">
        <v>2930</v>
      </c>
      <c r="E2085" s="1">
        <v>70.0</v>
      </c>
      <c r="F2085" s="1">
        <v>48.0</v>
      </c>
      <c r="G2085" s="1">
        <v>0.14</v>
      </c>
      <c r="H2085" s="1">
        <v>0.0</v>
      </c>
      <c r="I2085" s="1">
        <v>0.0</v>
      </c>
      <c r="J2085" s="1">
        <v>0.0</v>
      </c>
      <c r="K2085" s="1">
        <v>0.04</v>
      </c>
      <c r="L2085" s="1">
        <v>0.0</v>
      </c>
      <c r="M2085" s="1" t="s">
        <v>6927</v>
      </c>
      <c r="N2085" s="18">
        <v>46009.0</v>
      </c>
      <c r="O2085" s="1" t="s">
        <v>3895</v>
      </c>
      <c r="P2085" s="1" t="s">
        <v>3230</v>
      </c>
      <c r="Q2085" s="1" t="s">
        <v>3408</v>
      </c>
    </row>
    <row r="2086">
      <c r="A2086" s="1" t="s">
        <v>7063</v>
      </c>
      <c r="B2086" s="1">
        <v>70.0</v>
      </c>
      <c r="C2086" s="1">
        <v>50.0</v>
      </c>
      <c r="D2086" s="2" t="s">
        <v>439</v>
      </c>
      <c r="E2086" s="1">
        <v>70.0</v>
      </c>
      <c r="F2086" s="1">
        <v>26.0</v>
      </c>
      <c r="G2086" s="1">
        <v>0.0</v>
      </c>
      <c r="H2086" s="1">
        <v>0.0</v>
      </c>
      <c r="I2086" s="1">
        <v>0.0</v>
      </c>
      <c r="J2086" s="1">
        <v>0.0</v>
      </c>
      <c r="K2086" s="1">
        <v>0.0</v>
      </c>
      <c r="L2086" s="1">
        <v>1.35E7</v>
      </c>
      <c r="M2086" s="1" t="s">
        <v>7064</v>
      </c>
      <c r="N2086" s="18">
        <v>46008.0</v>
      </c>
      <c r="O2086" s="1" t="s">
        <v>3821</v>
      </c>
      <c r="P2086" s="1" t="s">
        <v>3294</v>
      </c>
      <c r="Q2086" s="1" t="s">
        <v>3408</v>
      </c>
    </row>
    <row r="2087">
      <c r="A2087" s="1" t="s">
        <v>7065</v>
      </c>
      <c r="B2087" s="1">
        <v>70.0</v>
      </c>
      <c r="C2087" s="1">
        <v>260.0</v>
      </c>
      <c r="D2087" s="2" t="s">
        <v>720</v>
      </c>
      <c r="E2087" s="1">
        <v>70.0</v>
      </c>
      <c r="F2087" s="1">
        <v>2.0</v>
      </c>
      <c r="G2087" s="1">
        <v>20.22</v>
      </c>
      <c r="H2087" s="1">
        <v>0.0</v>
      </c>
      <c r="I2087" s="1">
        <v>0.0</v>
      </c>
      <c r="J2087" s="1">
        <v>0.0</v>
      </c>
      <c r="K2087" s="1">
        <v>0.13</v>
      </c>
      <c r="L2087" s="1">
        <v>3670000.0</v>
      </c>
      <c r="M2087" s="1" t="s">
        <v>7066</v>
      </c>
      <c r="N2087" s="18">
        <v>46005.0</v>
      </c>
      <c r="O2087" s="1" t="s">
        <v>5379</v>
      </c>
      <c r="P2087" s="1" t="s">
        <v>3257</v>
      </c>
      <c r="Q2087" s="1" t="s">
        <v>3408</v>
      </c>
    </row>
    <row r="2088">
      <c r="A2088" s="1" t="s">
        <v>6934</v>
      </c>
      <c r="B2088" s="1">
        <v>70.0</v>
      </c>
      <c r="C2088" s="1">
        <v>140.0</v>
      </c>
      <c r="D2088" s="2" t="s">
        <v>581</v>
      </c>
      <c r="E2088" s="1">
        <v>70.0</v>
      </c>
      <c r="F2088" s="1">
        <v>44.0</v>
      </c>
      <c r="G2088" s="1">
        <v>4.99</v>
      </c>
      <c r="H2088" s="1">
        <v>0.0</v>
      </c>
      <c r="I2088" s="1">
        <v>0.0</v>
      </c>
      <c r="J2088" s="1">
        <v>0.0</v>
      </c>
      <c r="K2088" s="1">
        <v>0.84</v>
      </c>
      <c r="L2088" s="1">
        <v>6180000.0</v>
      </c>
      <c r="M2088" s="1" t="s">
        <v>6935</v>
      </c>
      <c r="N2088" s="18">
        <v>46005.0</v>
      </c>
      <c r="O2088" s="1" t="s">
        <v>6936</v>
      </c>
      <c r="P2088" s="1" t="s">
        <v>3257</v>
      </c>
      <c r="Q2088" s="1" t="s">
        <v>3408</v>
      </c>
    </row>
    <row r="2089">
      <c r="A2089" s="1" t="s">
        <v>7067</v>
      </c>
      <c r="B2089" s="1">
        <v>70.0</v>
      </c>
      <c r="C2089" s="1">
        <v>50.0</v>
      </c>
      <c r="D2089" s="2" t="s">
        <v>720</v>
      </c>
      <c r="E2089" s="1">
        <v>70.0</v>
      </c>
      <c r="G2089" s="1">
        <v>0.0</v>
      </c>
      <c r="H2089" s="1">
        <v>0.0</v>
      </c>
      <c r="I2089" s="1">
        <v>0.0</v>
      </c>
      <c r="J2089" s="1">
        <v>0.0</v>
      </c>
      <c r="K2089" s="1">
        <v>0.29</v>
      </c>
      <c r="L2089" s="1">
        <v>894000.0</v>
      </c>
      <c r="M2089" s="1" t="s">
        <v>7068</v>
      </c>
      <c r="N2089" s="18">
        <v>46002.0</v>
      </c>
      <c r="O2089" s="1" t="s">
        <v>6472</v>
      </c>
      <c r="P2089" s="1" t="s">
        <v>3257</v>
      </c>
      <c r="Q2089" s="1" t="s">
        <v>3408</v>
      </c>
    </row>
    <row r="2090">
      <c r="A2090" s="1" t="s">
        <v>6941</v>
      </c>
      <c r="B2090" s="1">
        <v>70.0</v>
      </c>
      <c r="C2090" s="1">
        <v>110.0</v>
      </c>
      <c r="D2090" s="2" t="s">
        <v>2937</v>
      </c>
      <c r="E2090" s="1">
        <v>70.0</v>
      </c>
      <c r="F2090" s="1">
        <v>22.0</v>
      </c>
      <c r="G2090" s="1">
        <v>5.34</v>
      </c>
      <c r="H2090" s="1">
        <v>0.0</v>
      </c>
      <c r="I2090" s="1">
        <v>0.0</v>
      </c>
      <c r="J2090" s="1">
        <v>0.0</v>
      </c>
      <c r="K2090" s="1">
        <v>0.06</v>
      </c>
      <c r="L2090" s="1">
        <v>3.21E7</v>
      </c>
      <c r="M2090" s="1" t="s">
        <v>6942</v>
      </c>
      <c r="N2090" s="18">
        <v>46000.0</v>
      </c>
      <c r="O2090" s="1" t="s">
        <v>3493</v>
      </c>
      <c r="P2090" s="1" t="s">
        <v>3230</v>
      </c>
      <c r="Q2090" s="1" t="s">
        <v>3408</v>
      </c>
    </row>
    <row r="2091">
      <c r="A2091" s="1" t="s">
        <v>7069</v>
      </c>
      <c r="B2091" s="1">
        <v>70.0</v>
      </c>
      <c r="C2091" s="1">
        <v>40.0</v>
      </c>
      <c r="D2091" s="2" t="s">
        <v>581</v>
      </c>
      <c r="E2091" s="1">
        <v>70.0</v>
      </c>
      <c r="F2091" s="1">
        <v>10.0</v>
      </c>
      <c r="G2091" s="1">
        <v>0.0</v>
      </c>
      <c r="H2091" s="1">
        <v>0.0</v>
      </c>
      <c r="I2091" s="1">
        <v>0.0</v>
      </c>
      <c r="J2091" s="1">
        <v>0.0</v>
      </c>
      <c r="K2091" s="1">
        <v>0.02</v>
      </c>
      <c r="L2091" s="1">
        <v>1.66E7</v>
      </c>
      <c r="M2091" s="1" t="s">
        <v>7070</v>
      </c>
      <c r="N2091" s="18">
        <v>45994.0</v>
      </c>
      <c r="O2091" s="1" t="s">
        <v>7022</v>
      </c>
      <c r="P2091" s="1" t="s">
        <v>3301</v>
      </c>
      <c r="Q2091" s="1" t="s">
        <v>3408</v>
      </c>
    </row>
    <row r="2092">
      <c r="A2092" s="1" t="s">
        <v>6859</v>
      </c>
      <c r="B2092" s="1">
        <v>70.0</v>
      </c>
      <c r="C2092" s="1">
        <v>320.0</v>
      </c>
      <c r="D2092" s="2" t="s">
        <v>581</v>
      </c>
      <c r="E2092" s="1">
        <v>70.0</v>
      </c>
      <c r="F2092" s="1">
        <v>10.0</v>
      </c>
      <c r="G2092" s="1">
        <v>6.21</v>
      </c>
      <c r="H2092" s="1">
        <v>0.0</v>
      </c>
      <c r="I2092" s="1">
        <v>0.0</v>
      </c>
      <c r="J2092" s="1">
        <v>0.0</v>
      </c>
      <c r="K2092" s="1">
        <v>0.07</v>
      </c>
      <c r="L2092" s="1">
        <v>148000.0</v>
      </c>
      <c r="M2092" s="1" t="s">
        <v>6860</v>
      </c>
      <c r="N2092" s="18">
        <v>45993.0</v>
      </c>
      <c r="O2092" s="1" t="s">
        <v>3821</v>
      </c>
      <c r="P2092" s="1" t="s">
        <v>3230</v>
      </c>
      <c r="Q2092" s="1" t="s">
        <v>3408</v>
      </c>
    </row>
    <row r="2093">
      <c r="A2093" s="1" t="s">
        <v>7071</v>
      </c>
      <c r="B2093" s="1">
        <v>70.0</v>
      </c>
      <c r="C2093" s="1">
        <v>140.0</v>
      </c>
      <c r="D2093" s="2" t="s">
        <v>1868</v>
      </c>
      <c r="E2093" s="1">
        <v>70.0</v>
      </c>
      <c r="F2093" s="1">
        <v>45.0</v>
      </c>
      <c r="G2093" s="1">
        <v>0.0</v>
      </c>
      <c r="H2093" s="1">
        <v>0.0</v>
      </c>
      <c r="I2093" s="1">
        <v>0.0</v>
      </c>
      <c r="J2093" s="1">
        <v>0.0</v>
      </c>
      <c r="K2093" s="1">
        <v>0.0</v>
      </c>
      <c r="L2093" s="1">
        <v>4.04E8</v>
      </c>
      <c r="M2093" s="1" t="s">
        <v>7072</v>
      </c>
      <c r="N2093" s="18">
        <v>45992.0</v>
      </c>
      <c r="O2093" s="1" t="s">
        <v>5442</v>
      </c>
      <c r="P2093" s="1" t="s">
        <v>3230</v>
      </c>
      <c r="Q2093" s="1" t="s">
        <v>3408</v>
      </c>
    </row>
    <row r="2094">
      <c r="A2094" s="1" t="s">
        <v>7073</v>
      </c>
      <c r="B2094" s="1">
        <v>70.0</v>
      </c>
      <c r="C2094" s="1">
        <v>40.0</v>
      </c>
      <c r="D2094" s="2" t="s">
        <v>2941</v>
      </c>
      <c r="E2094" s="1">
        <v>70.0</v>
      </c>
      <c r="F2094" s="1">
        <v>24.0</v>
      </c>
      <c r="G2094" s="1">
        <v>0.0</v>
      </c>
      <c r="H2094" s="1">
        <v>0.0</v>
      </c>
      <c r="I2094" s="1">
        <v>0.0</v>
      </c>
      <c r="J2094" s="1">
        <v>0.0</v>
      </c>
      <c r="K2094" s="1">
        <v>0.08</v>
      </c>
      <c r="L2094" s="1">
        <v>3770000.0</v>
      </c>
      <c r="M2094" s="1" t="s">
        <v>7074</v>
      </c>
      <c r="N2094" s="18">
        <v>45992.0</v>
      </c>
      <c r="O2094" s="1" t="s">
        <v>3237</v>
      </c>
      <c r="P2094" s="1" t="s">
        <v>3230</v>
      </c>
      <c r="Q2094" s="1" t="s">
        <v>3408</v>
      </c>
    </row>
    <row r="2095">
      <c r="A2095" s="1" t="s">
        <v>7075</v>
      </c>
      <c r="B2095" s="1">
        <v>70.0</v>
      </c>
      <c r="C2095" s="1">
        <v>260.0</v>
      </c>
      <c r="D2095" s="2" t="s">
        <v>911</v>
      </c>
      <c r="E2095" s="1">
        <v>70.0</v>
      </c>
      <c r="F2095" s="1">
        <v>7.0</v>
      </c>
      <c r="G2095" s="1">
        <v>1.83</v>
      </c>
      <c r="H2095" s="1">
        <v>0.0</v>
      </c>
      <c r="I2095" s="1">
        <v>0.0</v>
      </c>
      <c r="J2095" s="1">
        <v>0.0</v>
      </c>
      <c r="K2095" s="1">
        <v>0.47</v>
      </c>
      <c r="L2095" s="1">
        <v>2.03E7</v>
      </c>
      <c r="M2095" s="1" t="s">
        <v>7076</v>
      </c>
      <c r="N2095" s="18">
        <v>45990.0</v>
      </c>
      <c r="O2095" s="1" t="s">
        <v>3264</v>
      </c>
      <c r="P2095" s="1" t="s">
        <v>3230</v>
      </c>
      <c r="Q2095" s="1" t="s">
        <v>3408</v>
      </c>
    </row>
    <row r="2096">
      <c r="A2096" s="1" t="s">
        <v>6867</v>
      </c>
      <c r="B2096" s="1">
        <v>70.0</v>
      </c>
      <c r="C2096" s="1">
        <v>170.0</v>
      </c>
      <c r="D2096" s="2" t="s">
        <v>581</v>
      </c>
      <c r="E2096" s="1">
        <v>70.0</v>
      </c>
      <c r="F2096" s="1">
        <v>27.0</v>
      </c>
      <c r="G2096" s="1">
        <v>15.21</v>
      </c>
      <c r="H2096" s="1">
        <v>0.0</v>
      </c>
      <c r="I2096" s="1">
        <v>0.0</v>
      </c>
      <c r="J2096" s="1">
        <v>0.0</v>
      </c>
      <c r="K2096" s="1">
        <v>0.39</v>
      </c>
      <c r="L2096" s="1">
        <v>154000.0</v>
      </c>
      <c r="M2096" s="1" t="s">
        <v>6868</v>
      </c>
      <c r="N2096" s="18">
        <v>45989.0</v>
      </c>
      <c r="O2096" s="1" t="s">
        <v>3355</v>
      </c>
      <c r="P2096" s="1" t="s">
        <v>3257</v>
      </c>
      <c r="Q2096" s="1" t="s">
        <v>3408</v>
      </c>
    </row>
    <row r="2097">
      <c r="A2097" s="1" t="s">
        <v>7077</v>
      </c>
      <c r="B2097" s="1">
        <v>70.0</v>
      </c>
      <c r="C2097" s="1">
        <v>50.0</v>
      </c>
      <c r="D2097" s="2" t="s">
        <v>770</v>
      </c>
      <c r="E2097" s="1">
        <v>70.0</v>
      </c>
      <c r="F2097" s="1">
        <v>23.0</v>
      </c>
      <c r="G2097" s="1">
        <v>0.0</v>
      </c>
      <c r="H2097" s="1">
        <v>0.0</v>
      </c>
      <c r="I2097" s="1">
        <v>0.0</v>
      </c>
      <c r="J2097" s="1">
        <v>0.0</v>
      </c>
      <c r="K2097" s="1">
        <v>0.0</v>
      </c>
      <c r="L2097" s="1">
        <v>10.0</v>
      </c>
      <c r="M2097" s="1" t="s">
        <v>7078</v>
      </c>
      <c r="N2097" s="18">
        <v>45980.0</v>
      </c>
      <c r="O2097" s="1" t="s">
        <v>3293</v>
      </c>
      <c r="P2097" s="1" t="s">
        <v>3230</v>
      </c>
      <c r="Q2097" s="1" t="s">
        <v>3408</v>
      </c>
    </row>
    <row r="2098">
      <c r="A2098" s="1" t="s">
        <v>7079</v>
      </c>
      <c r="B2098" s="1">
        <v>70.0</v>
      </c>
      <c r="C2098" s="1">
        <v>210.0</v>
      </c>
      <c r="D2098" s="2" t="s">
        <v>1860</v>
      </c>
      <c r="E2098" s="1">
        <v>70.0</v>
      </c>
      <c r="F2098" s="1">
        <v>0.0</v>
      </c>
      <c r="G2098" s="1">
        <v>3.49</v>
      </c>
      <c r="H2098" s="1">
        <v>0.0</v>
      </c>
      <c r="I2098" s="1">
        <v>0.0</v>
      </c>
      <c r="J2098" s="1">
        <v>0.0</v>
      </c>
      <c r="K2098" s="1">
        <v>0.22</v>
      </c>
      <c r="L2098" s="1">
        <v>10.0</v>
      </c>
      <c r="M2098" s="1" t="s">
        <v>7080</v>
      </c>
      <c r="N2098" s="18">
        <v>45980.0</v>
      </c>
      <c r="O2098" s="1" t="s">
        <v>3496</v>
      </c>
      <c r="P2098" s="1" t="s">
        <v>3230</v>
      </c>
      <c r="Q2098" s="1" t="s">
        <v>3408</v>
      </c>
    </row>
    <row r="2099">
      <c r="A2099" s="1" t="s">
        <v>7081</v>
      </c>
      <c r="B2099" s="1">
        <v>71.0</v>
      </c>
      <c r="C2099" s="1">
        <v>40.0</v>
      </c>
      <c r="D2099" s="2" t="s">
        <v>581</v>
      </c>
      <c r="E2099" s="1">
        <v>71.0</v>
      </c>
      <c r="F2099" s="1">
        <v>6.0</v>
      </c>
      <c r="G2099" s="1">
        <v>3.92</v>
      </c>
      <c r="H2099" s="1">
        <v>0.0</v>
      </c>
      <c r="I2099" s="1">
        <v>0.0</v>
      </c>
      <c r="J2099" s="1">
        <v>0.0</v>
      </c>
      <c r="K2099" s="1">
        <v>0.66</v>
      </c>
      <c r="L2099" s="1">
        <v>15800.0</v>
      </c>
      <c r="M2099" s="1" t="s">
        <v>7082</v>
      </c>
      <c r="N2099" s="18">
        <v>46035.0</v>
      </c>
      <c r="O2099" s="1" t="s">
        <v>3673</v>
      </c>
      <c r="P2099" s="1" t="s">
        <v>3257</v>
      </c>
      <c r="Q2099" s="1" t="s">
        <v>3408</v>
      </c>
    </row>
    <row r="2100">
      <c r="A2100" s="1" t="s">
        <v>3668</v>
      </c>
      <c r="B2100" s="1">
        <v>71.0</v>
      </c>
      <c r="C2100" s="1">
        <v>50.0</v>
      </c>
      <c r="D2100" s="2" t="s">
        <v>594</v>
      </c>
      <c r="E2100" s="1">
        <v>71.0</v>
      </c>
      <c r="F2100" s="1">
        <v>0.0</v>
      </c>
      <c r="G2100" s="1">
        <v>0.0</v>
      </c>
      <c r="H2100" s="1">
        <v>0.0</v>
      </c>
      <c r="I2100" s="1">
        <v>0.0</v>
      </c>
      <c r="J2100" s="1">
        <v>0.0</v>
      </c>
      <c r="K2100" s="1">
        <v>0.33</v>
      </c>
      <c r="L2100" s="1">
        <v>12900.0</v>
      </c>
      <c r="M2100" s="1" t="s">
        <v>3669</v>
      </c>
      <c r="N2100" s="18">
        <v>46033.0</v>
      </c>
      <c r="O2100" s="1" t="s">
        <v>3670</v>
      </c>
      <c r="P2100" s="1" t="s">
        <v>3334</v>
      </c>
      <c r="Q2100" s="1" t="s">
        <v>3408</v>
      </c>
    </row>
    <row r="2101">
      <c r="A2101" s="1" t="s">
        <v>7083</v>
      </c>
      <c r="B2101" s="1">
        <v>71.0</v>
      </c>
      <c r="C2101" s="1">
        <v>50.0</v>
      </c>
      <c r="D2101" s="2" t="s">
        <v>581</v>
      </c>
      <c r="E2101" s="1">
        <v>71.0</v>
      </c>
      <c r="F2101" s="1">
        <v>7.0</v>
      </c>
      <c r="G2101" s="1">
        <v>0.0</v>
      </c>
      <c r="H2101" s="1">
        <v>0.0</v>
      </c>
      <c r="I2101" s="1">
        <v>0.0</v>
      </c>
      <c r="J2101" s="1">
        <v>0.0</v>
      </c>
      <c r="K2101" s="1">
        <v>0.0</v>
      </c>
      <c r="L2101" s="1">
        <v>208000.0</v>
      </c>
      <c r="M2101" s="1" t="s">
        <v>7084</v>
      </c>
      <c r="N2101" s="18">
        <v>46030.0</v>
      </c>
      <c r="O2101" s="1" t="s">
        <v>4208</v>
      </c>
      <c r="P2101" s="1" t="s">
        <v>3257</v>
      </c>
      <c r="Q2101" s="1" t="s">
        <v>3408</v>
      </c>
    </row>
    <row r="2102">
      <c r="A2102" s="1" t="s">
        <v>7085</v>
      </c>
      <c r="B2102" s="1">
        <v>71.0</v>
      </c>
      <c r="C2102" s="1">
        <v>90.0</v>
      </c>
      <c r="D2102" s="2" t="s">
        <v>1418</v>
      </c>
      <c r="E2102" s="1">
        <v>71.0</v>
      </c>
      <c r="F2102" s="1">
        <v>19.0</v>
      </c>
      <c r="G2102" s="1">
        <v>0.0</v>
      </c>
      <c r="H2102" s="1">
        <v>0.0</v>
      </c>
      <c r="I2102" s="1">
        <v>0.0</v>
      </c>
      <c r="J2102" s="1">
        <v>0.0</v>
      </c>
      <c r="K2102" s="1">
        <v>0.33</v>
      </c>
      <c r="L2102" s="1">
        <v>4.02E7</v>
      </c>
      <c r="M2102" s="1" t="s">
        <v>7086</v>
      </c>
      <c r="N2102" s="18">
        <v>46027.0</v>
      </c>
      <c r="O2102" s="1" t="s">
        <v>3541</v>
      </c>
      <c r="P2102" s="1" t="s">
        <v>3230</v>
      </c>
      <c r="Q2102" s="1" t="s">
        <v>3408</v>
      </c>
    </row>
    <row r="2103">
      <c r="A2103" s="1" t="s">
        <v>7087</v>
      </c>
      <c r="B2103" s="1">
        <v>71.0</v>
      </c>
      <c r="C2103" s="1">
        <v>50.0</v>
      </c>
      <c r="D2103" s="2" t="s">
        <v>439</v>
      </c>
      <c r="E2103" s="1">
        <v>71.0</v>
      </c>
      <c r="F2103" s="1">
        <v>18.0</v>
      </c>
      <c r="G2103" s="1">
        <v>0.0</v>
      </c>
      <c r="H2103" s="1">
        <v>0.0</v>
      </c>
      <c r="I2103" s="1">
        <v>0.0</v>
      </c>
      <c r="J2103" s="1">
        <v>0.0</v>
      </c>
      <c r="K2103" s="1">
        <v>0.01</v>
      </c>
      <c r="L2103" s="1">
        <v>78300.0</v>
      </c>
      <c r="M2103" s="1" t="s">
        <v>7088</v>
      </c>
      <c r="N2103" s="18">
        <v>46027.0</v>
      </c>
      <c r="O2103" s="1" t="s">
        <v>4709</v>
      </c>
      <c r="P2103" s="1" t="s">
        <v>3294</v>
      </c>
      <c r="Q2103" s="1" t="s">
        <v>3408</v>
      </c>
    </row>
    <row r="2104">
      <c r="A2104" s="1" t="s">
        <v>7089</v>
      </c>
      <c r="B2104" s="1">
        <v>71.0</v>
      </c>
      <c r="C2104" s="1">
        <v>50.0</v>
      </c>
      <c r="D2104" s="2" t="s">
        <v>581</v>
      </c>
      <c r="E2104" s="1">
        <v>71.0</v>
      </c>
      <c r="F2104" s="1">
        <v>38.0</v>
      </c>
      <c r="G2104" s="1">
        <v>15.32</v>
      </c>
      <c r="H2104" s="1">
        <v>0.0</v>
      </c>
      <c r="I2104" s="1">
        <v>0.0</v>
      </c>
      <c r="J2104" s="1">
        <v>0.0</v>
      </c>
      <c r="K2104" s="1">
        <v>0.21</v>
      </c>
      <c r="L2104" s="1">
        <v>358000.0</v>
      </c>
      <c r="M2104" s="1" t="s">
        <v>4908</v>
      </c>
      <c r="N2104" s="18">
        <v>46026.0</v>
      </c>
      <c r="O2104" s="1" t="s">
        <v>3404</v>
      </c>
      <c r="P2104" s="1" t="s">
        <v>3257</v>
      </c>
      <c r="Q2104" s="1" t="s">
        <v>3408</v>
      </c>
    </row>
    <row r="2105">
      <c r="A2105" s="1" t="s">
        <v>7090</v>
      </c>
      <c r="B2105" s="1">
        <v>71.0</v>
      </c>
      <c r="C2105" s="1">
        <v>40.0</v>
      </c>
      <c r="D2105" s="2" t="s">
        <v>979</v>
      </c>
      <c r="E2105" s="1">
        <v>71.0</v>
      </c>
      <c r="F2105" s="1">
        <v>7.0</v>
      </c>
      <c r="G2105" s="1">
        <v>3.13</v>
      </c>
      <c r="H2105" s="1">
        <v>0.0</v>
      </c>
      <c r="I2105" s="1">
        <v>0.0</v>
      </c>
      <c r="J2105" s="1">
        <v>0.0</v>
      </c>
      <c r="K2105" s="1">
        <v>0.11</v>
      </c>
      <c r="L2105" s="1">
        <v>2.41E7</v>
      </c>
      <c r="M2105" s="1" t="s">
        <v>7091</v>
      </c>
      <c r="N2105" s="18">
        <v>46025.0</v>
      </c>
      <c r="O2105" s="1" t="s">
        <v>3713</v>
      </c>
      <c r="P2105" s="1" t="s">
        <v>3334</v>
      </c>
      <c r="Q2105" s="1" t="s">
        <v>3408</v>
      </c>
    </row>
    <row r="2106">
      <c r="A2106" s="1" t="s">
        <v>7092</v>
      </c>
      <c r="B2106" s="1">
        <v>71.0</v>
      </c>
      <c r="C2106" s="1">
        <v>170.0</v>
      </c>
      <c r="D2106" s="2" t="s">
        <v>447</v>
      </c>
      <c r="E2106" s="1">
        <v>71.0</v>
      </c>
      <c r="F2106" s="1">
        <v>30.0</v>
      </c>
      <c r="G2106" s="1">
        <v>3.5</v>
      </c>
      <c r="H2106" s="1">
        <v>0.0</v>
      </c>
      <c r="I2106" s="1">
        <v>0.0</v>
      </c>
      <c r="J2106" s="1">
        <v>0.0</v>
      </c>
      <c r="K2106" s="1">
        <v>0.49</v>
      </c>
      <c r="L2106" s="1">
        <v>987000.0</v>
      </c>
      <c r="M2106" s="1" t="s">
        <v>7093</v>
      </c>
      <c r="N2106" s="18">
        <v>46025.0</v>
      </c>
      <c r="O2106" s="1" t="s">
        <v>3854</v>
      </c>
      <c r="P2106" s="1" t="s">
        <v>3257</v>
      </c>
      <c r="Q2106" s="1" t="s">
        <v>3408</v>
      </c>
    </row>
    <row r="2107">
      <c r="A2107" s="1" t="s">
        <v>7094</v>
      </c>
      <c r="B2107" s="1">
        <v>71.0</v>
      </c>
      <c r="C2107" s="1">
        <v>40.0</v>
      </c>
      <c r="D2107" s="2" t="s">
        <v>1350</v>
      </c>
      <c r="E2107" s="1">
        <v>71.0</v>
      </c>
      <c r="F2107" s="1">
        <v>9.0</v>
      </c>
      <c r="G2107" s="1">
        <v>2.74</v>
      </c>
      <c r="H2107" s="1">
        <v>0.0</v>
      </c>
      <c r="I2107" s="1">
        <v>0.0</v>
      </c>
      <c r="J2107" s="1">
        <v>0.0</v>
      </c>
      <c r="K2107" s="1">
        <v>0.13</v>
      </c>
      <c r="L2107" s="1">
        <v>3.02E8</v>
      </c>
      <c r="M2107" s="1" t="s">
        <v>7095</v>
      </c>
      <c r="N2107" s="18">
        <v>46024.0</v>
      </c>
      <c r="P2107" s="1" t="s">
        <v>3334</v>
      </c>
      <c r="Q2107" s="1" t="s">
        <v>3408</v>
      </c>
    </row>
    <row r="2108">
      <c r="A2108" s="1" t="s">
        <v>3808</v>
      </c>
      <c r="B2108" s="1">
        <v>71.0</v>
      </c>
      <c r="C2108" s="1">
        <v>50.0</v>
      </c>
      <c r="D2108" s="2" t="s">
        <v>1215</v>
      </c>
      <c r="E2108" s="1">
        <v>71.0</v>
      </c>
      <c r="F2108" s="1">
        <v>1.0</v>
      </c>
      <c r="G2108" s="1">
        <v>0.0</v>
      </c>
      <c r="H2108" s="1">
        <v>0.0</v>
      </c>
      <c r="I2108" s="1">
        <v>0.0</v>
      </c>
      <c r="J2108" s="1">
        <v>0.0</v>
      </c>
      <c r="K2108" s="1">
        <v>0.0</v>
      </c>
      <c r="L2108" s="1">
        <v>9260000.0</v>
      </c>
      <c r="M2108" s="1" t="s">
        <v>3809</v>
      </c>
      <c r="N2108" s="18">
        <v>46023.0</v>
      </c>
      <c r="O2108" s="1" t="s">
        <v>3482</v>
      </c>
      <c r="P2108" s="1" t="s">
        <v>3257</v>
      </c>
      <c r="Q2108" s="1" t="s">
        <v>3408</v>
      </c>
    </row>
    <row r="2109">
      <c r="A2109" s="1" t="s">
        <v>7096</v>
      </c>
      <c r="B2109" s="1">
        <v>71.0</v>
      </c>
      <c r="C2109" s="1">
        <v>40.0</v>
      </c>
      <c r="D2109" s="2" t="s">
        <v>2440</v>
      </c>
      <c r="E2109" s="1">
        <v>71.0</v>
      </c>
      <c r="F2109" s="1">
        <v>16.0</v>
      </c>
      <c r="G2109" s="1">
        <v>0.82</v>
      </c>
      <c r="H2109" s="1">
        <v>0.0</v>
      </c>
      <c r="I2109" s="1">
        <v>0.0</v>
      </c>
      <c r="J2109" s="1">
        <v>0.0</v>
      </c>
      <c r="K2109" s="1">
        <v>0.41</v>
      </c>
      <c r="L2109" s="1">
        <v>9920.0</v>
      </c>
      <c r="M2109" s="1" t="s">
        <v>7097</v>
      </c>
      <c r="N2109" s="18">
        <v>46022.0</v>
      </c>
      <c r="O2109" s="1" t="s">
        <v>6885</v>
      </c>
      <c r="P2109" s="1" t="s">
        <v>3230</v>
      </c>
      <c r="Q2109" s="1" t="s">
        <v>3408</v>
      </c>
    </row>
    <row r="2110">
      <c r="A2110" s="1" t="s">
        <v>7098</v>
      </c>
      <c r="B2110" s="1">
        <v>71.0</v>
      </c>
      <c r="C2110" s="1">
        <v>50.0</v>
      </c>
      <c r="D2110" s="2" t="s">
        <v>3001</v>
      </c>
      <c r="E2110" s="1">
        <v>71.0</v>
      </c>
      <c r="F2110" s="1">
        <v>10.0</v>
      </c>
      <c r="G2110" s="1">
        <v>0.0</v>
      </c>
      <c r="H2110" s="1">
        <v>0.0</v>
      </c>
      <c r="I2110" s="1">
        <v>0.0</v>
      </c>
      <c r="J2110" s="1">
        <v>0.0</v>
      </c>
      <c r="K2110" s="1">
        <v>0.03</v>
      </c>
      <c r="L2110" s="1">
        <v>1130000.0</v>
      </c>
      <c r="M2110" s="1" t="s">
        <v>7099</v>
      </c>
      <c r="N2110" s="18">
        <v>46021.0</v>
      </c>
      <c r="O2110" s="1" t="s">
        <v>3435</v>
      </c>
      <c r="P2110" s="1" t="s">
        <v>3257</v>
      </c>
      <c r="Q2110" s="1" t="s">
        <v>3408</v>
      </c>
    </row>
    <row r="2111">
      <c r="A2111" s="1" t="s">
        <v>7100</v>
      </c>
      <c r="B2111" s="1">
        <v>71.0</v>
      </c>
      <c r="C2111" s="1">
        <v>90.0</v>
      </c>
      <c r="D2111" s="2" t="s">
        <v>581</v>
      </c>
      <c r="E2111" s="1">
        <v>71.0</v>
      </c>
      <c r="F2111" s="1">
        <v>38.0</v>
      </c>
      <c r="G2111" s="1">
        <v>6.98</v>
      </c>
      <c r="H2111" s="1">
        <v>0.0</v>
      </c>
      <c r="I2111" s="1">
        <v>0.0</v>
      </c>
      <c r="J2111" s="1">
        <v>0.0</v>
      </c>
      <c r="K2111" s="1">
        <v>0.07</v>
      </c>
      <c r="L2111" s="1">
        <v>7970.0</v>
      </c>
      <c r="M2111" s="1" t="s">
        <v>7101</v>
      </c>
      <c r="N2111" s="18">
        <v>46019.0</v>
      </c>
      <c r="O2111" s="1" t="s">
        <v>7102</v>
      </c>
      <c r="P2111" s="1" t="s">
        <v>3462</v>
      </c>
      <c r="Q2111" s="1" t="s">
        <v>3408</v>
      </c>
    </row>
    <row r="2112">
      <c r="A2112" s="1" t="s">
        <v>7103</v>
      </c>
      <c r="B2112" s="1">
        <v>71.0</v>
      </c>
      <c r="C2112" s="1">
        <v>40.0</v>
      </c>
      <c r="D2112" s="2" t="s">
        <v>1511</v>
      </c>
      <c r="E2112" s="1">
        <v>71.0</v>
      </c>
      <c r="F2112" s="1">
        <v>2.0</v>
      </c>
      <c r="G2112" s="1">
        <v>8.21</v>
      </c>
      <c r="H2112" s="1">
        <v>0.0</v>
      </c>
      <c r="I2112" s="1">
        <v>0.0</v>
      </c>
      <c r="J2112" s="1">
        <v>0.0</v>
      </c>
      <c r="K2112" s="1">
        <v>0.53</v>
      </c>
      <c r="L2112" s="1">
        <v>8290000.0</v>
      </c>
      <c r="M2112" s="1" t="s">
        <v>7104</v>
      </c>
      <c r="N2112" s="18">
        <v>46018.0</v>
      </c>
      <c r="O2112" s="1" t="s">
        <v>6168</v>
      </c>
      <c r="P2112" s="1" t="s">
        <v>3230</v>
      </c>
      <c r="Q2112" s="1" t="s">
        <v>3408</v>
      </c>
    </row>
    <row r="2113">
      <c r="A2113" s="1" t="s">
        <v>7105</v>
      </c>
      <c r="B2113" s="1">
        <v>71.0</v>
      </c>
      <c r="C2113" s="1">
        <v>70.0</v>
      </c>
      <c r="D2113" s="2" t="s">
        <v>2048</v>
      </c>
      <c r="E2113" s="1">
        <v>71.0</v>
      </c>
      <c r="F2113" s="1">
        <v>16.0</v>
      </c>
      <c r="G2113" s="1">
        <v>0.0</v>
      </c>
      <c r="H2113" s="1">
        <v>0.0</v>
      </c>
      <c r="I2113" s="1">
        <v>0.0</v>
      </c>
      <c r="J2113" s="1">
        <v>0.0</v>
      </c>
      <c r="K2113" s="1">
        <v>0.0</v>
      </c>
      <c r="L2113" s="1">
        <v>4.14E7</v>
      </c>
      <c r="M2113" s="1" t="s">
        <v>6700</v>
      </c>
      <c r="N2113" s="18">
        <v>46017.0</v>
      </c>
      <c r="O2113" s="1" t="s">
        <v>7106</v>
      </c>
      <c r="P2113" s="1" t="s">
        <v>3230</v>
      </c>
      <c r="Q2113" s="1" t="s">
        <v>3408</v>
      </c>
    </row>
    <row r="2114">
      <c r="A2114" s="1" t="s">
        <v>3433</v>
      </c>
      <c r="B2114" s="1">
        <v>71.0</v>
      </c>
      <c r="C2114" s="1">
        <v>110.0</v>
      </c>
      <c r="D2114" s="2" t="s">
        <v>636</v>
      </c>
      <c r="E2114" s="1">
        <v>71.0</v>
      </c>
      <c r="F2114" s="1">
        <v>47.0</v>
      </c>
      <c r="G2114" s="1">
        <v>9.29</v>
      </c>
      <c r="H2114" s="1">
        <v>0.0</v>
      </c>
      <c r="I2114" s="1">
        <v>0.0</v>
      </c>
      <c r="J2114" s="1">
        <v>0.0</v>
      </c>
      <c r="K2114" s="1">
        <v>0.49</v>
      </c>
      <c r="L2114" s="1">
        <v>73700.0</v>
      </c>
      <c r="M2114" s="1" t="s">
        <v>3434</v>
      </c>
      <c r="N2114" s="18">
        <v>46017.0</v>
      </c>
      <c r="O2114" s="1" t="s">
        <v>3435</v>
      </c>
      <c r="P2114" s="1" t="s">
        <v>3257</v>
      </c>
      <c r="Q2114" s="1" t="s">
        <v>3408</v>
      </c>
    </row>
    <row r="2115">
      <c r="A2115" s="1" t="s">
        <v>7107</v>
      </c>
      <c r="B2115" s="1">
        <v>71.0</v>
      </c>
      <c r="C2115" s="1">
        <v>210.0</v>
      </c>
      <c r="D2115" s="2" t="s">
        <v>439</v>
      </c>
      <c r="E2115" s="1">
        <v>71.0</v>
      </c>
      <c r="F2115" s="1">
        <v>24.0</v>
      </c>
      <c r="G2115" s="1">
        <v>1.54</v>
      </c>
      <c r="H2115" s="1">
        <v>0.0</v>
      </c>
      <c r="I2115" s="1">
        <v>0.0</v>
      </c>
      <c r="J2115" s="1">
        <v>0.0</v>
      </c>
      <c r="K2115" s="1">
        <v>0.09</v>
      </c>
      <c r="L2115" s="1">
        <v>8.12E7</v>
      </c>
      <c r="M2115" s="1" t="s">
        <v>7108</v>
      </c>
      <c r="N2115" s="18">
        <v>46017.0</v>
      </c>
      <c r="O2115" s="1" t="s">
        <v>3293</v>
      </c>
      <c r="P2115" s="1" t="s">
        <v>3294</v>
      </c>
      <c r="Q2115" s="1" t="s">
        <v>3408</v>
      </c>
    </row>
    <row r="2116">
      <c r="A2116" s="1" t="s">
        <v>7109</v>
      </c>
      <c r="B2116" s="1">
        <v>71.0</v>
      </c>
      <c r="C2116" s="1">
        <v>70.0</v>
      </c>
      <c r="D2116" s="2" t="s">
        <v>2048</v>
      </c>
      <c r="E2116" s="1">
        <v>71.0</v>
      </c>
      <c r="F2116" s="1">
        <v>17.0</v>
      </c>
      <c r="G2116" s="1">
        <v>0.0</v>
      </c>
      <c r="H2116" s="1">
        <v>0.0</v>
      </c>
      <c r="I2116" s="1">
        <v>0.0</v>
      </c>
      <c r="J2116" s="1">
        <v>0.0</v>
      </c>
      <c r="K2116" s="1">
        <v>0.0</v>
      </c>
      <c r="L2116" s="1">
        <v>6340000.0</v>
      </c>
      <c r="M2116" s="1" t="s">
        <v>5933</v>
      </c>
      <c r="N2116" s="18">
        <v>46012.0</v>
      </c>
      <c r="O2116" s="1" t="s">
        <v>6324</v>
      </c>
      <c r="P2116" s="1" t="s">
        <v>3230</v>
      </c>
      <c r="Q2116" s="1" t="s">
        <v>3408</v>
      </c>
    </row>
    <row r="2117">
      <c r="A2117" s="1" t="s">
        <v>7110</v>
      </c>
      <c r="B2117" s="1">
        <v>71.0</v>
      </c>
      <c r="C2117" s="1">
        <v>480.0</v>
      </c>
      <c r="D2117" s="2" t="s">
        <v>2249</v>
      </c>
      <c r="E2117" s="1">
        <v>71.0</v>
      </c>
      <c r="F2117" s="1">
        <v>12.0</v>
      </c>
      <c r="G2117" s="1">
        <v>0.0</v>
      </c>
      <c r="H2117" s="1">
        <v>0.0</v>
      </c>
      <c r="I2117" s="1">
        <v>0.0</v>
      </c>
      <c r="J2117" s="1">
        <v>0.0</v>
      </c>
      <c r="K2117" s="1">
        <v>0.0</v>
      </c>
      <c r="L2117" s="1">
        <v>2.48E8</v>
      </c>
      <c r="M2117" s="1" t="s">
        <v>7111</v>
      </c>
      <c r="N2117" s="18">
        <v>46010.0</v>
      </c>
      <c r="O2117" s="1" t="s">
        <v>5344</v>
      </c>
      <c r="P2117" s="1" t="s">
        <v>3230</v>
      </c>
      <c r="Q2117" s="1" t="s">
        <v>3408</v>
      </c>
    </row>
    <row r="2118">
      <c r="A2118" s="1" t="s">
        <v>7112</v>
      </c>
      <c r="B2118" s="1">
        <v>71.0</v>
      </c>
      <c r="C2118" s="1">
        <v>50.0</v>
      </c>
      <c r="D2118" s="2" t="s">
        <v>782</v>
      </c>
      <c r="E2118" s="1">
        <v>71.0</v>
      </c>
      <c r="F2118" s="1">
        <v>8.0</v>
      </c>
      <c r="G2118" s="1">
        <v>0.0</v>
      </c>
      <c r="H2118" s="1">
        <v>0.0</v>
      </c>
      <c r="I2118" s="1">
        <v>0.0</v>
      </c>
      <c r="J2118" s="1">
        <v>0.0</v>
      </c>
      <c r="K2118" s="1">
        <v>0.11</v>
      </c>
      <c r="L2118" s="1">
        <v>3.22E7</v>
      </c>
      <c r="M2118" s="1" t="s">
        <v>7113</v>
      </c>
      <c r="N2118" s="18">
        <v>46009.0</v>
      </c>
      <c r="O2118" s="1" t="s">
        <v>3237</v>
      </c>
      <c r="P2118" s="1" t="s">
        <v>3230</v>
      </c>
      <c r="Q2118" s="1" t="s">
        <v>3408</v>
      </c>
    </row>
    <row r="2119">
      <c r="A2119" s="1" t="s">
        <v>7114</v>
      </c>
      <c r="B2119" s="1">
        <v>71.0</v>
      </c>
      <c r="C2119" s="1">
        <v>70.0</v>
      </c>
      <c r="D2119" s="2" t="s">
        <v>439</v>
      </c>
      <c r="E2119" s="1">
        <v>71.0</v>
      </c>
      <c r="F2119" s="1">
        <v>13.0</v>
      </c>
      <c r="G2119" s="1">
        <v>0.0</v>
      </c>
      <c r="H2119" s="1">
        <v>0.0</v>
      </c>
      <c r="I2119" s="1">
        <v>0.0</v>
      </c>
      <c r="J2119" s="1">
        <v>0.0</v>
      </c>
      <c r="K2119" s="1">
        <v>0.02</v>
      </c>
      <c r="L2119" s="1">
        <v>493.0</v>
      </c>
      <c r="M2119" s="1" t="s">
        <v>7115</v>
      </c>
      <c r="N2119" s="18">
        <v>46005.0</v>
      </c>
      <c r="O2119" s="1" t="s">
        <v>4496</v>
      </c>
      <c r="P2119" s="1" t="s">
        <v>3230</v>
      </c>
      <c r="Q2119" s="1" t="s">
        <v>3408</v>
      </c>
    </row>
    <row r="2120">
      <c r="A2120" s="1" t="s">
        <v>6486</v>
      </c>
      <c r="B2120" s="1">
        <v>71.0</v>
      </c>
      <c r="C2120" s="1">
        <v>90.0</v>
      </c>
      <c r="D2120" s="2" t="s">
        <v>2364</v>
      </c>
      <c r="E2120" s="1">
        <v>71.0</v>
      </c>
      <c r="F2120" s="1">
        <v>26.0</v>
      </c>
      <c r="G2120" s="1">
        <v>0.0</v>
      </c>
      <c r="H2120" s="1">
        <v>0.0</v>
      </c>
      <c r="I2120" s="1">
        <v>0.0</v>
      </c>
      <c r="J2120" s="1">
        <v>0.0</v>
      </c>
      <c r="K2120" s="1">
        <v>0.0</v>
      </c>
      <c r="L2120" s="1">
        <v>3030000.0</v>
      </c>
      <c r="M2120" s="1" t="s">
        <v>6487</v>
      </c>
      <c r="N2120" s="18">
        <v>45996.0</v>
      </c>
      <c r="O2120" s="1" t="s">
        <v>3493</v>
      </c>
      <c r="P2120" s="1" t="s">
        <v>3230</v>
      </c>
      <c r="Q2120" s="1" t="s">
        <v>3408</v>
      </c>
    </row>
    <row r="2121">
      <c r="A2121" s="1" t="s">
        <v>6856</v>
      </c>
      <c r="B2121" s="1">
        <v>71.0</v>
      </c>
      <c r="C2121" s="1">
        <v>70.0</v>
      </c>
      <c r="D2121" s="2" t="s">
        <v>2054</v>
      </c>
      <c r="E2121" s="1">
        <v>71.0</v>
      </c>
      <c r="F2121" s="1">
        <v>0.0</v>
      </c>
      <c r="G2121" s="1">
        <v>0.0</v>
      </c>
      <c r="H2121" s="1">
        <v>0.0</v>
      </c>
      <c r="I2121" s="1">
        <v>0.0</v>
      </c>
      <c r="J2121" s="1">
        <v>0.0</v>
      </c>
      <c r="K2121" s="1">
        <v>0.0</v>
      </c>
      <c r="L2121" s="1">
        <v>8410000.0</v>
      </c>
      <c r="M2121" s="1" t="s">
        <v>6857</v>
      </c>
      <c r="N2121" s="18">
        <v>45995.0</v>
      </c>
      <c r="O2121" s="1" t="s">
        <v>6858</v>
      </c>
      <c r="P2121" s="1" t="s">
        <v>3230</v>
      </c>
      <c r="Q2121" s="1" t="s">
        <v>3408</v>
      </c>
    </row>
    <row r="2122">
      <c r="A2122" s="1" t="s">
        <v>7116</v>
      </c>
      <c r="B2122" s="1">
        <v>71.0</v>
      </c>
      <c r="C2122" s="1">
        <v>140.0</v>
      </c>
      <c r="D2122" s="2" t="s">
        <v>1052</v>
      </c>
      <c r="E2122" s="1">
        <v>71.0</v>
      </c>
      <c r="F2122" s="1">
        <v>27.0</v>
      </c>
      <c r="G2122" s="1">
        <v>0.0</v>
      </c>
      <c r="H2122" s="1">
        <v>0.0</v>
      </c>
      <c r="I2122" s="1">
        <v>0.0</v>
      </c>
      <c r="J2122" s="1">
        <v>0.0</v>
      </c>
      <c r="K2122" s="1">
        <v>0.0</v>
      </c>
      <c r="L2122" s="1">
        <v>1.05E8</v>
      </c>
      <c r="M2122" s="1" t="s">
        <v>7117</v>
      </c>
      <c r="N2122" s="18">
        <v>45995.0</v>
      </c>
      <c r="O2122" s="1" t="s">
        <v>3920</v>
      </c>
      <c r="P2122" s="1" t="s">
        <v>3230</v>
      </c>
      <c r="Q2122" s="1" t="s">
        <v>3408</v>
      </c>
    </row>
    <row r="2123">
      <c r="A2123" s="1" t="s">
        <v>7118</v>
      </c>
      <c r="B2123" s="1">
        <v>71.0</v>
      </c>
      <c r="C2123" s="1">
        <v>70.0</v>
      </c>
      <c r="D2123" s="2" t="s">
        <v>439</v>
      </c>
      <c r="E2123" s="1">
        <v>71.0</v>
      </c>
      <c r="F2123" s="1">
        <v>11.0</v>
      </c>
      <c r="G2123" s="1">
        <v>4.5</v>
      </c>
      <c r="H2123" s="1">
        <v>0.0</v>
      </c>
      <c r="I2123" s="1">
        <v>0.0</v>
      </c>
      <c r="J2123" s="1">
        <v>0.0</v>
      </c>
      <c r="K2123" s="1">
        <v>0.07</v>
      </c>
      <c r="L2123" s="1">
        <v>714000.0</v>
      </c>
      <c r="M2123" s="1" t="s">
        <v>7119</v>
      </c>
      <c r="N2123" s="18">
        <v>45995.0</v>
      </c>
      <c r="O2123" s="1" t="s">
        <v>7120</v>
      </c>
      <c r="P2123" s="1" t="s">
        <v>3230</v>
      </c>
      <c r="Q2123" s="1" t="s">
        <v>3408</v>
      </c>
    </row>
    <row r="2124">
      <c r="A2124" s="1" t="s">
        <v>7121</v>
      </c>
      <c r="B2124" s="1">
        <v>71.0</v>
      </c>
      <c r="C2124" s="1">
        <v>110.0</v>
      </c>
      <c r="D2124" s="2" t="s">
        <v>439</v>
      </c>
      <c r="E2124" s="1">
        <v>71.0</v>
      </c>
      <c r="F2124" s="1">
        <v>13.0</v>
      </c>
      <c r="G2124" s="1">
        <v>5.22</v>
      </c>
      <c r="H2124" s="1">
        <v>0.0</v>
      </c>
      <c r="I2124" s="1">
        <v>0.0</v>
      </c>
      <c r="J2124" s="1">
        <v>0.0</v>
      </c>
      <c r="K2124" s="1">
        <v>0.12</v>
      </c>
      <c r="L2124" s="1">
        <v>1.27E8</v>
      </c>
      <c r="M2124" s="1" t="s">
        <v>7122</v>
      </c>
      <c r="N2124" s="18">
        <v>45993.0</v>
      </c>
      <c r="O2124" s="1" t="s">
        <v>5364</v>
      </c>
      <c r="P2124" s="1" t="s">
        <v>3257</v>
      </c>
      <c r="Q2124" s="1" t="s">
        <v>3408</v>
      </c>
    </row>
    <row r="2125">
      <c r="A2125" s="1" t="s">
        <v>7123</v>
      </c>
      <c r="B2125" s="1">
        <v>71.0</v>
      </c>
      <c r="C2125" s="1">
        <v>70.0</v>
      </c>
      <c r="D2125" s="2" t="s">
        <v>581</v>
      </c>
      <c r="E2125" s="1">
        <v>71.0</v>
      </c>
      <c r="F2125" s="1">
        <v>9.0</v>
      </c>
      <c r="G2125" s="1">
        <v>5.43</v>
      </c>
      <c r="H2125" s="1">
        <v>0.0</v>
      </c>
      <c r="I2125" s="1">
        <v>0.0</v>
      </c>
      <c r="J2125" s="1">
        <v>0.0</v>
      </c>
      <c r="K2125" s="1">
        <v>0.11</v>
      </c>
      <c r="L2125" s="1">
        <v>3.71E8</v>
      </c>
      <c r="M2125" s="1" t="s">
        <v>7124</v>
      </c>
      <c r="N2125" s="18">
        <v>45991.0</v>
      </c>
      <c r="O2125" s="1" t="s">
        <v>4278</v>
      </c>
      <c r="P2125" s="1" t="s">
        <v>3230</v>
      </c>
      <c r="Q2125" s="1" t="s">
        <v>3408</v>
      </c>
    </row>
    <row r="2126">
      <c r="A2126" s="1" t="s">
        <v>7125</v>
      </c>
      <c r="B2126" s="1">
        <v>71.0</v>
      </c>
      <c r="C2126" s="1">
        <v>90.0</v>
      </c>
      <c r="D2126" s="2" t="s">
        <v>581</v>
      </c>
      <c r="E2126" s="1">
        <v>71.0</v>
      </c>
      <c r="F2126" s="1">
        <v>7.0</v>
      </c>
      <c r="G2126" s="1">
        <v>4.5</v>
      </c>
      <c r="H2126" s="1">
        <v>0.0</v>
      </c>
      <c r="I2126" s="1">
        <v>0.0</v>
      </c>
      <c r="J2126" s="1">
        <v>0.0</v>
      </c>
      <c r="K2126" s="1">
        <v>0.05</v>
      </c>
      <c r="L2126" s="1">
        <v>5000000.0</v>
      </c>
      <c r="M2126" s="1" t="s">
        <v>7126</v>
      </c>
      <c r="N2126" s="18">
        <v>45989.0</v>
      </c>
      <c r="O2126" s="1" t="s">
        <v>3404</v>
      </c>
      <c r="P2126" s="1" t="s">
        <v>3257</v>
      </c>
      <c r="Q2126" s="1" t="s">
        <v>3408</v>
      </c>
    </row>
    <row r="2127">
      <c r="A2127" s="1" t="s">
        <v>7127</v>
      </c>
      <c r="B2127" s="1">
        <v>71.0</v>
      </c>
      <c r="C2127" s="1">
        <v>320.0</v>
      </c>
      <c r="D2127" s="2" t="s">
        <v>1868</v>
      </c>
      <c r="E2127" s="1">
        <v>71.0</v>
      </c>
      <c r="F2127" s="1">
        <v>35.0</v>
      </c>
      <c r="G2127" s="1">
        <v>0.0</v>
      </c>
      <c r="H2127" s="1">
        <v>0.0</v>
      </c>
      <c r="I2127" s="1">
        <v>0.0</v>
      </c>
      <c r="J2127" s="1">
        <v>0.0</v>
      </c>
      <c r="K2127" s="1">
        <v>0.0</v>
      </c>
      <c r="L2127" s="1">
        <v>9.0</v>
      </c>
      <c r="M2127" s="1" t="s">
        <v>7128</v>
      </c>
      <c r="N2127" s="18">
        <v>45986.0</v>
      </c>
      <c r="O2127" s="1" t="s">
        <v>5571</v>
      </c>
      <c r="P2127" s="1" t="s">
        <v>3230</v>
      </c>
      <c r="Q2127" s="1" t="s">
        <v>3408</v>
      </c>
    </row>
    <row r="2128">
      <c r="A2128" s="1" t="s">
        <v>7129</v>
      </c>
      <c r="B2128" s="1">
        <v>71.0</v>
      </c>
      <c r="C2128" s="1">
        <v>260.0</v>
      </c>
      <c r="D2128" s="2" t="s">
        <v>681</v>
      </c>
      <c r="E2128" s="1">
        <v>71.0</v>
      </c>
      <c r="F2128" s="1">
        <v>17.0</v>
      </c>
      <c r="G2128" s="1">
        <v>1.29</v>
      </c>
      <c r="H2128" s="1">
        <v>0.0</v>
      </c>
      <c r="I2128" s="1">
        <v>0.0</v>
      </c>
      <c r="J2128" s="1">
        <v>0.0</v>
      </c>
      <c r="K2128" s="1">
        <v>0.32</v>
      </c>
      <c r="L2128" s="1">
        <v>1.69E7</v>
      </c>
      <c r="M2128" s="1" t="s">
        <v>7130</v>
      </c>
      <c r="N2128" s="18">
        <v>45984.0</v>
      </c>
      <c r="O2128" s="1" t="s">
        <v>3264</v>
      </c>
      <c r="P2128" s="1" t="s">
        <v>3230</v>
      </c>
      <c r="Q2128" s="1" t="s">
        <v>3408</v>
      </c>
    </row>
    <row r="2129">
      <c r="A2129" s="1" t="s">
        <v>7131</v>
      </c>
      <c r="B2129" s="1">
        <v>71.0</v>
      </c>
      <c r="C2129" s="1">
        <v>30.0</v>
      </c>
      <c r="D2129" s="2" t="s">
        <v>694</v>
      </c>
      <c r="E2129" s="1">
        <v>71.0</v>
      </c>
      <c r="F2129" s="1">
        <v>6.0</v>
      </c>
      <c r="G2129" s="1">
        <v>3.47</v>
      </c>
      <c r="H2129" s="1">
        <v>0.0</v>
      </c>
      <c r="I2129" s="1">
        <v>0.0</v>
      </c>
      <c r="J2129" s="1">
        <v>0.0</v>
      </c>
      <c r="K2129" s="1">
        <v>0.11</v>
      </c>
      <c r="L2129" s="1">
        <v>6720000.0</v>
      </c>
      <c r="M2129" s="1" t="s">
        <v>7132</v>
      </c>
      <c r="N2129" s="18">
        <v>45976.0</v>
      </c>
      <c r="O2129" s="1" t="s">
        <v>7133</v>
      </c>
      <c r="P2129" s="1" t="s">
        <v>3230</v>
      </c>
      <c r="Q2129" s="1" t="s">
        <v>3408</v>
      </c>
    </row>
    <row r="2130">
      <c r="A2130" s="1" t="s">
        <v>7134</v>
      </c>
      <c r="B2130" s="1">
        <v>71.0</v>
      </c>
      <c r="C2130" s="1">
        <v>140.0</v>
      </c>
      <c r="D2130" s="2" t="s">
        <v>740</v>
      </c>
      <c r="E2130" s="1">
        <v>71.0</v>
      </c>
      <c r="F2130" s="1">
        <v>12.0</v>
      </c>
      <c r="G2130" s="1">
        <v>0.0</v>
      </c>
      <c r="H2130" s="1">
        <v>0.0</v>
      </c>
      <c r="I2130" s="1">
        <v>0.0</v>
      </c>
      <c r="J2130" s="1">
        <v>0.0</v>
      </c>
      <c r="K2130" s="1">
        <v>0.0</v>
      </c>
      <c r="L2130" s="1">
        <v>2.34E8</v>
      </c>
      <c r="M2130" s="1" t="s">
        <v>7135</v>
      </c>
      <c r="N2130" s="18">
        <v>45963.0</v>
      </c>
      <c r="O2130" s="1" t="s">
        <v>3314</v>
      </c>
      <c r="P2130" s="1" t="s">
        <v>3230</v>
      </c>
      <c r="Q2130" s="1" t="s">
        <v>3408</v>
      </c>
    </row>
    <row r="2131">
      <c r="A2131" s="1" t="s">
        <v>7136</v>
      </c>
      <c r="B2131" s="1">
        <v>72.0</v>
      </c>
      <c r="C2131" s="1">
        <v>40.0</v>
      </c>
      <c r="D2131" s="2" t="s">
        <v>439</v>
      </c>
      <c r="E2131" s="1">
        <v>0.0</v>
      </c>
      <c r="F2131" s="1">
        <v>22.0</v>
      </c>
      <c r="G2131" s="1">
        <v>0.0</v>
      </c>
      <c r="H2131" s="1">
        <v>0.0</v>
      </c>
      <c r="I2131" s="1">
        <v>0.0</v>
      </c>
      <c r="J2131" s="1">
        <v>0.0</v>
      </c>
      <c r="K2131" s="1">
        <v>0.05</v>
      </c>
      <c r="L2131" s="1">
        <v>18500.0</v>
      </c>
      <c r="M2131" s="1" t="s">
        <v>7137</v>
      </c>
      <c r="N2131" s="18">
        <v>46042.0</v>
      </c>
      <c r="O2131" s="1" t="s">
        <v>4763</v>
      </c>
      <c r="P2131" s="1" t="s">
        <v>3294</v>
      </c>
      <c r="Q2131" s="1" t="s">
        <v>3408</v>
      </c>
    </row>
    <row r="2132">
      <c r="A2132" s="1" t="s">
        <v>4455</v>
      </c>
      <c r="B2132" s="1">
        <v>72.0</v>
      </c>
      <c r="C2132" s="1">
        <v>50.0</v>
      </c>
      <c r="D2132" s="2" t="s">
        <v>979</v>
      </c>
      <c r="E2132" s="1">
        <v>0.0</v>
      </c>
      <c r="F2132" s="1">
        <v>36.0</v>
      </c>
      <c r="G2132" s="1">
        <v>0.0</v>
      </c>
      <c r="H2132" s="1">
        <v>0.0</v>
      </c>
      <c r="I2132" s="1">
        <v>0.0</v>
      </c>
      <c r="J2132" s="1">
        <v>0.0</v>
      </c>
      <c r="K2132" s="1">
        <v>1.0</v>
      </c>
      <c r="L2132" s="1">
        <v>5480000.0</v>
      </c>
      <c r="M2132" s="1" t="s">
        <v>4456</v>
      </c>
      <c r="N2132" s="18">
        <v>46042.0</v>
      </c>
      <c r="O2132" s="1" t="s">
        <v>3355</v>
      </c>
      <c r="P2132" s="1" t="s">
        <v>3257</v>
      </c>
      <c r="Q2132" s="1" t="s">
        <v>3408</v>
      </c>
    </row>
    <row r="2133">
      <c r="A2133" s="1" t="s">
        <v>7138</v>
      </c>
      <c r="B2133" s="1">
        <v>72.0</v>
      </c>
      <c r="C2133" s="1">
        <v>50.0</v>
      </c>
      <c r="D2133" s="2" t="s">
        <v>606</v>
      </c>
      <c r="E2133" s="1">
        <v>56.0</v>
      </c>
      <c r="F2133" s="1">
        <v>25.0</v>
      </c>
      <c r="G2133" s="1">
        <v>0.0</v>
      </c>
      <c r="H2133" s="1">
        <v>0.0</v>
      </c>
      <c r="I2133" s="1">
        <v>0.0</v>
      </c>
      <c r="J2133" s="1">
        <v>0.0</v>
      </c>
      <c r="K2133" s="1">
        <v>0.04</v>
      </c>
      <c r="L2133" s="1">
        <v>3.09E8</v>
      </c>
      <c r="M2133" s="1" t="s">
        <v>7139</v>
      </c>
      <c r="N2133" s="18">
        <v>46042.0</v>
      </c>
      <c r="O2133" s="1" t="s">
        <v>5527</v>
      </c>
      <c r="P2133" s="1" t="s">
        <v>3230</v>
      </c>
      <c r="Q2133" s="1" t="s">
        <v>3408</v>
      </c>
    </row>
    <row r="2134">
      <c r="A2134" s="1" t="s">
        <v>7140</v>
      </c>
      <c r="B2134" s="1">
        <v>72.0</v>
      </c>
      <c r="C2134" s="1">
        <v>5400.0</v>
      </c>
      <c r="D2134" s="2" t="s">
        <v>2249</v>
      </c>
      <c r="E2134" s="1">
        <v>72.0</v>
      </c>
      <c r="F2134" s="1">
        <v>25.0</v>
      </c>
      <c r="G2134" s="1">
        <v>0.0</v>
      </c>
      <c r="H2134" s="1">
        <v>0.0</v>
      </c>
      <c r="I2134" s="1">
        <v>0.0</v>
      </c>
      <c r="J2134" s="1">
        <v>0.0</v>
      </c>
      <c r="K2134" s="1">
        <v>0.0</v>
      </c>
      <c r="L2134" s="1">
        <v>2.75E8</v>
      </c>
      <c r="M2134" s="1" t="s">
        <v>7141</v>
      </c>
      <c r="N2134" s="18">
        <v>46035.0</v>
      </c>
      <c r="O2134" s="1" t="s">
        <v>5650</v>
      </c>
      <c r="P2134" s="1" t="s">
        <v>3230</v>
      </c>
      <c r="Q2134" s="1" t="s">
        <v>3408</v>
      </c>
    </row>
    <row r="2135">
      <c r="A2135" s="1" t="s">
        <v>7142</v>
      </c>
      <c r="B2135" s="1">
        <v>72.0</v>
      </c>
      <c r="C2135" s="1">
        <v>30.0</v>
      </c>
      <c r="D2135" s="2" t="s">
        <v>1986</v>
      </c>
      <c r="E2135" s="1">
        <v>72.0</v>
      </c>
      <c r="F2135" s="1">
        <v>33.0</v>
      </c>
      <c r="G2135" s="1">
        <v>9.27</v>
      </c>
      <c r="H2135" s="1">
        <v>0.0</v>
      </c>
      <c r="I2135" s="1">
        <v>0.0</v>
      </c>
      <c r="J2135" s="1">
        <v>0.0</v>
      </c>
      <c r="K2135" s="1">
        <v>0.42</v>
      </c>
      <c r="L2135" s="1">
        <v>1860000.0</v>
      </c>
      <c r="M2135" s="1" t="s">
        <v>7143</v>
      </c>
      <c r="N2135" s="18">
        <v>46034.0</v>
      </c>
      <c r="O2135" s="1" t="s">
        <v>4646</v>
      </c>
      <c r="P2135" s="1" t="s">
        <v>3230</v>
      </c>
      <c r="Q2135" s="1" t="s">
        <v>3408</v>
      </c>
    </row>
    <row r="2136">
      <c r="A2136" s="1" t="s">
        <v>7144</v>
      </c>
      <c r="B2136" s="1">
        <v>72.0</v>
      </c>
      <c r="C2136" s="1">
        <v>40.0</v>
      </c>
      <c r="D2136" s="2" t="s">
        <v>2253</v>
      </c>
      <c r="E2136" s="1">
        <v>72.0</v>
      </c>
      <c r="F2136" s="1">
        <v>4.0</v>
      </c>
      <c r="G2136" s="1">
        <v>0.0</v>
      </c>
      <c r="H2136" s="1">
        <v>0.0</v>
      </c>
      <c r="I2136" s="1">
        <v>0.0</v>
      </c>
      <c r="J2136" s="1">
        <v>0.0</v>
      </c>
      <c r="K2136" s="1">
        <v>0.0</v>
      </c>
      <c r="L2136" s="1">
        <v>2.01E7</v>
      </c>
      <c r="M2136" s="1" t="s">
        <v>7145</v>
      </c>
      <c r="N2136" s="18">
        <v>46033.0</v>
      </c>
      <c r="O2136" s="1" t="s">
        <v>4172</v>
      </c>
      <c r="P2136" s="1" t="s">
        <v>3230</v>
      </c>
      <c r="Q2136" s="1" t="s">
        <v>3408</v>
      </c>
    </row>
    <row r="2137">
      <c r="A2137" s="1" t="s">
        <v>7146</v>
      </c>
      <c r="B2137" s="1">
        <v>72.0</v>
      </c>
      <c r="C2137" s="1">
        <v>40.0</v>
      </c>
      <c r="D2137" s="2" t="s">
        <v>738</v>
      </c>
      <c r="E2137" s="1">
        <v>72.0</v>
      </c>
      <c r="F2137" s="1">
        <v>16.0</v>
      </c>
      <c r="G2137" s="1">
        <v>0.0</v>
      </c>
      <c r="H2137" s="1">
        <v>0.0</v>
      </c>
      <c r="I2137" s="1">
        <v>0.0</v>
      </c>
      <c r="J2137" s="1">
        <v>0.0</v>
      </c>
      <c r="K2137" s="1">
        <v>0.0</v>
      </c>
      <c r="L2137" s="1">
        <v>1250000.0</v>
      </c>
      <c r="M2137" s="1" t="s">
        <v>7147</v>
      </c>
      <c r="N2137" s="18">
        <v>46031.0</v>
      </c>
      <c r="O2137" s="1" t="s">
        <v>3479</v>
      </c>
      <c r="P2137" s="1" t="s">
        <v>3257</v>
      </c>
      <c r="Q2137" s="1" t="s">
        <v>3408</v>
      </c>
    </row>
    <row r="2138">
      <c r="A2138" s="1" t="s">
        <v>7148</v>
      </c>
      <c r="B2138" s="1">
        <v>72.0</v>
      </c>
      <c r="C2138" s="1">
        <v>70.0</v>
      </c>
      <c r="D2138" s="2" t="s">
        <v>778</v>
      </c>
      <c r="E2138" s="1">
        <v>72.0</v>
      </c>
      <c r="F2138" s="1">
        <v>10.0</v>
      </c>
      <c r="G2138" s="1">
        <v>0.0</v>
      </c>
      <c r="H2138" s="1">
        <v>0.0</v>
      </c>
      <c r="I2138" s="1">
        <v>0.0</v>
      </c>
      <c r="J2138" s="1">
        <v>0.0</v>
      </c>
      <c r="K2138" s="1">
        <v>0.0</v>
      </c>
      <c r="L2138" s="1">
        <v>4830000.0</v>
      </c>
      <c r="M2138" s="1" t="s">
        <v>7149</v>
      </c>
      <c r="N2138" s="18">
        <v>46030.0</v>
      </c>
      <c r="O2138" s="1" t="s">
        <v>7150</v>
      </c>
      <c r="P2138" s="1" t="s">
        <v>3257</v>
      </c>
      <c r="Q2138" s="1" t="s">
        <v>3408</v>
      </c>
    </row>
    <row r="2139">
      <c r="A2139" s="1" t="s">
        <v>7151</v>
      </c>
      <c r="B2139" s="1">
        <v>72.0</v>
      </c>
      <c r="C2139" s="1">
        <v>390.0</v>
      </c>
      <c r="D2139" s="2" t="s">
        <v>2253</v>
      </c>
      <c r="E2139" s="1">
        <v>72.0</v>
      </c>
      <c r="F2139" s="1">
        <v>3.0</v>
      </c>
      <c r="G2139" s="1">
        <v>0.0</v>
      </c>
      <c r="H2139" s="1">
        <v>0.0</v>
      </c>
      <c r="I2139" s="1">
        <v>0.0</v>
      </c>
      <c r="J2139" s="1">
        <v>0.0</v>
      </c>
      <c r="K2139" s="1">
        <v>0.0</v>
      </c>
      <c r="L2139" s="1">
        <v>2.27E8</v>
      </c>
      <c r="M2139" s="1" t="s">
        <v>7152</v>
      </c>
      <c r="N2139" s="18">
        <v>46030.0</v>
      </c>
      <c r="O2139" s="1" t="s">
        <v>3314</v>
      </c>
      <c r="P2139" s="1" t="s">
        <v>3230</v>
      </c>
      <c r="Q2139" s="1" t="s">
        <v>3408</v>
      </c>
    </row>
    <row r="2140">
      <c r="A2140" s="1" t="s">
        <v>6690</v>
      </c>
      <c r="B2140" s="1">
        <v>72.0</v>
      </c>
      <c r="C2140" s="1">
        <v>50.0</v>
      </c>
      <c r="D2140" s="2" t="s">
        <v>439</v>
      </c>
      <c r="E2140" s="1">
        <v>72.0</v>
      </c>
      <c r="F2140" s="1">
        <v>55.0</v>
      </c>
      <c r="G2140" s="1">
        <v>0.0</v>
      </c>
      <c r="H2140" s="1">
        <v>0.0</v>
      </c>
      <c r="I2140" s="1">
        <v>0.0</v>
      </c>
      <c r="J2140" s="1">
        <v>0.0</v>
      </c>
      <c r="K2140" s="1">
        <v>0.33</v>
      </c>
      <c r="L2140" s="1">
        <v>1.38E9</v>
      </c>
      <c r="M2140" s="1" t="s">
        <v>6691</v>
      </c>
      <c r="N2140" s="18">
        <v>46028.0</v>
      </c>
      <c r="O2140" s="1" t="s">
        <v>6692</v>
      </c>
      <c r="P2140" s="1" t="s">
        <v>3294</v>
      </c>
      <c r="Q2140" s="1" t="s">
        <v>3408</v>
      </c>
    </row>
    <row r="2141">
      <c r="A2141" s="1" t="s">
        <v>7153</v>
      </c>
      <c r="B2141" s="1">
        <v>72.0</v>
      </c>
      <c r="C2141" s="1">
        <v>320.0</v>
      </c>
      <c r="D2141" s="2" t="s">
        <v>636</v>
      </c>
      <c r="E2141" s="1">
        <v>72.0</v>
      </c>
      <c r="F2141" s="1">
        <v>43.0</v>
      </c>
      <c r="G2141" s="1">
        <v>2.18</v>
      </c>
      <c r="H2141" s="1">
        <v>0.0</v>
      </c>
      <c r="I2141" s="1">
        <v>0.0</v>
      </c>
      <c r="J2141" s="1">
        <v>0.0</v>
      </c>
      <c r="K2141" s="1">
        <v>0.01</v>
      </c>
      <c r="L2141" s="1">
        <v>1.38E7</v>
      </c>
      <c r="M2141" s="1" t="s">
        <v>7154</v>
      </c>
      <c r="N2141" s="18">
        <v>46027.0</v>
      </c>
      <c r="O2141" s="1" t="s">
        <v>3284</v>
      </c>
      <c r="P2141" s="1" t="s">
        <v>3230</v>
      </c>
      <c r="Q2141" s="1" t="s">
        <v>3408</v>
      </c>
    </row>
    <row r="2142">
      <c r="A2142" s="1" t="s">
        <v>7155</v>
      </c>
      <c r="B2142" s="1">
        <v>72.0</v>
      </c>
      <c r="C2142" s="1">
        <v>90.0</v>
      </c>
      <c r="D2142" s="2" t="s">
        <v>2048</v>
      </c>
      <c r="E2142" s="1">
        <v>72.0</v>
      </c>
      <c r="G2142" s="1">
        <v>0.0</v>
      </c>
      <c r="H2142" s="1">
        <v>0.0</v>
      </c>
      <c r="I2142" s="1">
        <v>0.0</v>
      </c>
      <c r="J2142" s="1">
        <v>0.0</v>
      </c>
      <c r="K2142" s="1">
        <v>0.0</v>
      </c>
      <c r="L2142" s="1">
        <v>5.55E7</v>
      </c>
      <c r="M2142" s="1" t="s">
        <v>7156</v>
      </c>
      <c r="N2142" s="18">
        <v>46026.0</v>
      </c>
      <c r="O2142" s="1" t="s">
        <v>3479</v>
      </c>
      <c r="P2142" s="1" t="s">
        <v>3230</v>
      </c>
      <c r="Q2142" s="1" t="s">
        <v>3408</v>
      </c>
    </row>
    <row r="2143">
      <c r="A2143" s="1" t="s">
        <v>7157</v>
      </c>
      <c r="B2143" s="1">
        <v>72.0</v>
      </c>
      <c r="C2143" s="1">
        <v>50.0</v>
      </c>
      <c r="D2143" s="2" t="s">
        <v>439</v>
      </c>
      <c r="E2143" s="1">
        <v>72.0</v>
      </c>
      <c r="F2143" s="1">
        <v>24.0</v>
      </c>
      <c r="G2143" s="1">
        <v>0.0</v>
      </c>
      <c r="H2143" s="1">
        <v>0.0</v>
      </c>
      <c r="I2143" s="1">
        <v>0.0</v>
      </c>
      <c r="J2143" s="1">
        <v>0.0</v>
      </c>
      <c r="K2143" s="1">
        <v>0.33</v>
      </c>
      <c r="L2143" s="1">
        <v>44900.0</v>
      </c>
      <c r="M2143" s="1" t="s">
        <v>7158</v>
      </c>
      <c r="N2143" s="18">
        <v>46025.0</v>
      </c>
      <c r="O2143" s="1" t="s">
        <v>7159</v>
      </c>
      <c r="P2143" s="1" t="s">
        <v>3230</v>
      </c>
      <c r="Q2143" s="1" t="s">
        <v>3408</v>
      </c>
    </row>
    <row r="2144">
      <c r="A2144" s="1" t="s">
        <v>7160</v>
      </c>
      <c r="B2144" s="1">
        <v>72.0</v>
      </c>
      <c r="C2144" s="1">
        <v>70.0</v>
      </c>
      <c r="D2144" s="2" t="s">
        <v>581</v>
      </c>
      <c r="E2144" s="1">
        <v>72.0</v>
      </c>
      <c r="F2144" s="1">
        <v>15.0</v>
      </c>
      <c r="G2144" s="1">
        <v>0.0</v>
      </c>
      <c r="H2144" s="1">
        <v>0.0</v>
      </c>
      <c r="I2144" s="1">
        <v>0.0</v>
      </c>
      <c r="J2144" s="1">
        <v>0.0</v>
      </c>
      <c r="K2144" s="1">
        <v>0.33</v>
      </c>
      <c r="L2144" s="1">
        <v>158000.0</v>
      </c>
      <c r="M2144" s="1" t="s">
        <v>7161</v>
      </c>
      <c r="N2144" s="18">
        <v>46025.0</v>
      </c>
      <c r="O2144" s="1" t="s">
        <v>7162</v>
      </c>
      <c r="P2144" s="1" t="s">
        <v>3257</v>
      </c>
      <c r="Q2144" s="1" t="s">
        <v>3408</v>
      </c>
    </row>
    <row r="2145">
      <c r="A2145" s="1" t="s">
        <v>7163</v>
      </c>
      <c r="B2145" s="1">
        <v>72.0</v>
      </c>
      <c r="C2145" s="1">
        <v>210.0</v>
      </c>
      <c r="D2145" s="2" t="s">
        <v>581</v>
      </c>
      <c r="E2145" s="1">
        <v>72.0</v>
      </c>
      <c r="F2145" s="1">
        <v>35.0</v>
      </c>
      <c r="G2145" s="1">
        <v>15.32</v>
      </c>
      <c r="H2145" s="1">
        <v>0.0</v>
      </c>
      <c r="I2145" s="1">
        <v>0.0</v>
      </c>
      <c r="J2145" s="1">
        <v>0.0</v>
      </c>
      <c r="K2145" s="1">
        <v>0.21</v>
      </c>
      <c r="L2145" s="1">
        <v>47500.0</v>
      </c>
      <c r="M2145" s="1" t="s">
        <v>7164</v>
      </c>
      <c r="N2145" s="18">
        <v>46022.0</v>
      </c>
      <c r="O2145" s="1" t="s">
        <v>3458</v>
      </c>
      <c r="P2145" s="1" t="s">
        <v>3257</v>
      </c>
      <c r="Q2145" s="1" t="s">
        <v>3408</v>
      </c>
    </row>
    <row r="2146">
      <c r="A2146" s="1" t="s">
        <v>7165</v>
      </c>
      <c r="B2146" s="1">
        <v>72.0</v>
      </c>
      <c r="C2146" s="1">
        <v>110.0</v>
      </c>
      <c r="D2146" s="2" t="s">
        <v>1868</v>
      </c>
      <c r="E2146" s="1">
        <v>72.0</v>
      </c>
      <c r="F2146" s="1">
        <v>59.0</v>
      </c>
      <c r="G2146" s="1">
        <v>0.0</v>
      </c>
      <c r="H2146" s="1">
        <v>0.0</v>
      </c>
      <c r="I2146" s="1">
        <v>0.0</v>
      </c>
      <c r="J2146" s="1">
        <v>0.0</v>
      </c>
      <c r="K2146" s="1">
        <v>0.0</v>
      </c>
      <c r="L2146" s="1">
        <v>4.09E8</v>
      </c>
      <c r="M2146" s="1" t="s">
        <v>7166</v>
      </c>
      <c r="N2146" s="18">
        <v>46020.0</v>
      </c>
      <c r="O2146" s="1" t="s">
        <v>5571</v>
      </c>
      <c r="P2146" s="1" t="s">
        <v>3230</v>
      </c>
      <c r="Q2146" s="1" t="s">
        <v>3408</v>
      </c>
    </row>
    <row r="2147">
      <c r="A2147" s="1" t="s">
        <v>7167</v>
      </c>
      <c r="B2147" s="1">
        <v>72.0</v>
      </c>
      <c r="C2147" s="1">
        <v>70.0</v>
      </c>
      <c r="D2147" s="2" t="s">
        <v>694</v>
      </c>
      <c r="E2147" s="1">
        <v>72.0</v>
      </c>
      <c r="F2147" s="1">
        <v>4.0</v>
      </c>
      <c r="G2147" s="1">
        <v>0.17</v>
      </c>
      <c r="H2147" s="1">
        <v>0.0</v>
      </c>
      <c r="I2147" s="1">
        <v>0.0</v>
      </c>
      <c r="J2147" s="1">
        <v>0.0</v>
      </c>
      <c r="K2147" s="1">
        <v>0.24</v>
      </c>
      <c r="L2147" s="1">
        <v>853000.0</v>
      </c>
      <c r="M2147" s="1" t="s">
        <v>7168</v>
      </c>
      <c r="N2147" s="18">
        <v>46018.0</v>
      </c>
      <c r="O2147" s="1" t="s">
        <v>3479</v>
      </c>
      <c r="P2147" s="1" t="s">
        <v>3230</v>
      </c>
      <c r="Q2147" s="1" t="s">
        <v>3408</v>
      </c>
    </row>
    <row r="2148">
      <c r="A2148" s="1" t="s">
        <v>7169</v>
      </c>
      <c r="B2148" s="1">
        <v>72.0</v>
      </c>
      <c r="C2148" s="1">
        <v>50.0</v>
      </c>
      <c r="D2148" s="2" t="s">
        <v>2949</v>
      </c>
      <c r="E2148" s="1">
        <v>72.0</v>
      </c>
      <c r="F2148" s="1">
        <v>37.0</v>
      </c>
      <c r="G2148" s="1">
        <v>13.3</v>
      </c>
      <c r="H2148" s="1">
        <v>0.0</v>
      </c>
      <c r="I2148" s="1">
        <v>0.0</v>
      </c>
      <c r="J2148" s="1">
        <v>0.0</v>
      </c>
      <c r="K2148" s="1">
        <v>0.56</v>
      </c>
      <c r="L2148" s="1">
        <v>3280000.0</v>
      </c>
      <c r="M2148" s="1" t="s">
        <v>7170</v>
      </c>
      <c r="N2148" s="18">
        <v>46017.0</v>
      </c>
      <c r="O2148" s="1" t="s">
        <v>3854</v>
      </c>
      <c r="P2148" s="1" t="s">
        <v>3257</v>
      </c>
      <c r="Q2148" s="1" t="s">
        <v>3408</v>
      </c>
    </row>
    <row r="2149">
      <c r="A2149" s="1" t="s">
        <v>7171</v>
      </c>
      <c r="B2149" s="1">
        <v>72.0</v>
      </c>
      <c r="C2149" s="1">
        <v>50.0</v>
      </c>
      <c r="D2149" s="2" t="s">
        <v>979</v>
      </c>
      <c r="E2149" s="1">
        <v>72.0</v>
      </c>
      <c r="F2149" s="1">
        <v>12.0</v>
      </c>
      <c r="G2149" s="1">
        <v>0.0</v>
      </c>
      <c r="H2149" s="1">
        <v>0.0</v>
      </c>
      <c r="I2149" s="1">
        <v>0.0</v>
      </c>
      <c r="J2149" s="1">
        <v>0.0</v>
      </c>
      <c r="K2149" s="1">
        <v>0.04</v>
      </c>
      <c r="L2149" s="1">
        <v>3.56E7</v>
      </c>
      <c r="M2149" s="1" t="s">
        <v>7172</v>
      </c>
      <c r="N2149" s="18">
        <v>46014.0</v>
      </c>
      <c r="O2149" s="1" t="s">
        <v>5023</v>
      </c>
      <c r="P2149" s="1" t="s">
        <v>3294</v>
      </c>
      <c r="Q2149" s="1" t="s">
        <v>3408</v>
      </c>
    </row>
    <row r="2150">
      <c r="A2150" s="1" t="s">
        <v>7173</v>
      </c>
      <c r="B2150" s="1">
        <v>72.0</v>
      </c>
      <c r="C2150" s="1">
        <v>140.0</v>
      </c>
      <c r="D2150" s="2" t="s">
        <v>1350</v>
      </c>
      <c r="E2150" s="1">
        <v>72.0</v>
      </c>
      <c r="F2150" s="1">
        <v>1.0</v>
      </c>
      <c r="G2150" s="1">
        <v>0.0</v>
      </c>
      <c r="H2150" s="1">
        <v>0.0</v>
      </c>
      <c r="I2150" s="1">
        <v>0.0</v>
      </c>
      <c r="J2150" s="1">
        <v>0.0</v>
      </c>
      <c r="K2150" s="1">
        <v>0.01</v>
      </c>
      <c r="L2150" s="1">
        <v>2.28E8</v>
      </c>
      <c r="M2150" s="1" t="s">
        <v>7174</v>
      </c>
      <c r="N2150" s="18">
        <v>46013.0</v>
      </c>
      <c r="O2150" s="1" t="s">
        <v>3231</v>
      </c>
      <c r="P2150" s="1" t="s">
        <v>3230</v>
      </c>
      <c r="Q2150" s="1" t="s">
        <v>3408</v>
      </c>
    </row>
    <row r="2151">
      <c r="A2151" s="1" t="s">
        <v>7061</v>
      </c>
      <c r="B2151" s="1">
        <v>72.0</v>
      </c>
      <c r="C2151" s="1">
        <v>110.0</v>
      </c>
      <c r="D2151" s="2" t="s">
        <v>756</v>
      </c>
      <c r="E2151" s="1">
        <v>72.0</v>
      </c>
      <c r="F2151" s="1">
        <v>13.0</v>
      </c>
      <c r="G2151" s="1">
        <v>3.25</v>
      </c>
      <c r="H2151" s="1">
        <v>0.0</v>
      </c>
      <c r="I2151" s="1">
        <v>0.0</v>
      </c>
      <c r="J2151" s="1">
        <v>0.0</v>
      </c>
      <c r="K2151" s="1">
        <v>0.13</v>
      </c>
      <c r="L2151" s="1">
        <v>9620000.0</v>
      </c>
      <c r="M2151" s="1" t="s">
        <v>7062</v>
      </c>
      <c r="N2151" s="18">
        <v>46011.0</v>
      </c>
      <c r="O2151" s="1" t="s">
        <v>4487</v>
      </c>
      <c r="P2151" s="1" t="s">
        <v>3230</v>
      </c>
      <c r="Q2151" s="1" t="s">
        <v>3408</v>
      </c>
    </row>
    <row r="2152">
      <c r="A2152" s="1" t="s">
        <v>7175</v>
      </c>
      <c r="B2152" s="1">
        <v>72.0</v>
      </c>
      <c r="C2152" s="1">
        <v>210.0</v>
      </c>
      <c r="D2152" s="2" t="s">
        <v>724</v>
      </c>
      <c r="E2152" s="1">
        <v>72.0</v>
      </c>
      <c r="F2152" s="1">
        <v>5.0</v>
      </c>
      <c r="G2152" s="1">
        <v>4.0</v>
      </c>
      <c r="H2152" s="1">
        <v>0.0</v>
      </c>
      <c r="I2152" s="1">
        <v>0.0</v>
      </c>
      <c r="J2152" s="1">
        <v>0.0</v>
      </c>
      <c r="K2152" s="1">
        <v>0.01</v>
      </c>
      <c r="L2152" s="1">
        <v>6780000.0</v>
      </c>
      <c r="M2152" s="1" t="s">
        <v>7176</v>
      </c>
      <c r="N2152" s="18">
        <v>46008.0</v>
      </c>
      <c r="O2152" s="1" t="s">
        <v>3442</v>
      </c>
      <c r="P2152" s="1" t="s">
        <v>3230</v>
      </c>
      <c r="Q2152" s="1" t="s">
        <v>3408</v>
      </c>
    </row>
    <row r="2153">
      <c r="A2153" s="1" t="s">
        <v>7177</v>
      </c>
      <c r="B2153" s="1">
        <v>72.0</v>
      </c>
      <c r="C2153" s="1">
        <v>70.0</v>
      </c>
      <c r="D2153" s="2" t="s">
        <v>2253</v>
      </c>
      <c r="E2153" s="1">
        <v>72.0</v>
      </c>
      <c r="F2153" s="1">
        <v>30.0</v>
      </c>
      <c r="G2153" s="1">
        <v>0.0</v>
      </c>
      <c r="H2153" s="1">
        <v>0.0</v>
      </c>
      <c r="I2153" s="1">
        <v>0.0</v>
      </c>
      <c r="J2153" s="1">
        <v>0.0</v>
      </c>
      <c r="K2153" s="1">
        <v>0.0</v>
      </c>
      <c r="L2153" s="1">
        <v>1.49E8</v>
      </c>
      <c r="M2153" s="1" t="s">
        <v>7178</v>
      </c>
      <c r="N2153" s="18">
        <v>46002.0</v>
      </c>
      <c r="O2153" s="1" t="s">
        <v>7179</v>
      </c>
      <c r="P2153" s="1" t="s">
        <v>3230</v>
      </c>
      <c r="Q2153" s="1" t="s">
        <v>3408</v>
      </c>
    </row>
    <row r="2154">
      <c r="A2154" s="1" t="s">
        <v>5352</v>
      </c>
      <c r="B2154" s="1">
        <v>72.0</v>
      </c>
      <c r="C2154" s="1">
        <v>50.0</v>
      </c>
      <c r="D2154" s="2" t="s">
        <v>760</v>
      </c>
      <c r="E2154" s="1">
        <v>72.0</v>
      </c>
      <c r="F2154" s="1">
        <v>4.0</v>
      </c>
      <c r="G2154" s="1">
        <v>106.64</v>
      </c>
      <c r="H2154" s="1">
        <v>0.0</v>
      </c>
      <c r="I2154" s="1">
        <v>0.0</v>
      </c>
      <c r="J2154" s="1">
        <v>0.0</v>
      </c>
      <c r="K2154" s="1">
        <v>0.12</v>
      </c>
      <c r="L2154" s="1">
        <v>369000.0</v>
      </c>
      <c r="M2154" s="1" t="s">
        <v>5353</v>
      </c>
      <c r="N2154" s="18">
        <v>46002.0</v>
      </c>
      <c r="O2154" s="1" t="s">
        <v>5354</v>
      </c>
      <c r="P2154" s="1" t="s">
        <v>3257</v>
      </c>
      <c r="Q2154" s="1" t="s">
        <v>3408</v>
      </c>
    </row>
    <row r="2155">
      <c r="A2155" s="1" t="s">
        <v>7180</v>
      </c>
      <c r="B2155" s="1">
        <v>72.0</v>
      </c>
      <c r="C2155" s="1">
        <v>90.0</v>
      </c>
      <c r="D2155" s="2" t="s">
        <v>770</v>
      </c>
      <c r="E2155" s="1">
        <v>72.0</v>
      </c>
      <c r="F2155" s="1">
        <v>33.0</v>
      </c>
      <c r="G2155" s="1">
        <v>0.0</v>
      </c>
      <c r="H2155" s="1">
        <v>0.0</v>
      </c>
      <c r="I2155" s="1">
        <v>0.0</v>
      </c>
      <c r="J2155" s="1">
        <v>0.0</v>
      </c>
      <c r="K2155" s="1">
        <v>0.0</v>
      </c>
      <c r="L2155" s="1">
        <v>1.24E7</v>
      </c>
      <c r="M2155" s="1" t="s">
        <v>7181</v>
      </c>
      <c r="N2155" s="18">
        <v>45999.0</v>
      </c>
      <c r="O2155" s="1" t="s">
        <v>3407</v>
      </c>
      <c r="P2155" s="1" t="s">
        <v>3230</v>
      </c>
      <c r="Q2155" s="1" t="s">
        <v>3408</v>
      </c>
    </row>
    <row r="2156">
      <c r="A2156" s="1" t="s">
        <v>6946</v>
      </c>
      <c r="B2156" s="1">
        <v>72.0</v>
      </c>
      <c r="C2156" s="1">
        <v>50.0</v>
      </c>
      <c r="D2156" s="2" t="s">
        <v>746</v>
      </c>
      <c r="E2156" s="1">
        <v>72.0</v>
      </c>
      <c r="F2156" s="1">
        <v>17.0</v>
      </c>
      <c r="G2156" s="1">
        <v>0.0</v>
      </c>
      <c r="H2156" s="1">
        <v>0.0</v>
      </c>
      <c r="I2156" s="1">
        <v>0.0</v>
      </c>
      <c r="J2156" s="1">
        <v>0.0</v>
      </c>
      <c r="K2156" s="1">
        <v>0.01</v>
      </c>
      <c r="L2156" s="1">
        <v>351000.0</v>
      </c>
      <c r="M2156" s="1" t="s">
        <v>6947</v>
      </c>
      <c r="N2156" s="18">
        <v>45997.0</v>
      </c>
      <c r="O2156" s="1" t="s">
        <v>3407</v>
      </c>
      <c r="P2156" s="1" t="s">
        <v>4538</v>
      </c>
      <c r="Q2156" s="1" t="s">
        <v>3408</v>
      </c>
    </row>
    <row r="2157">
      <c r="A2157" s="1" t="s">
        <v>7182</v>
      </c>
      <c r="B2157" s="1">
        <v>72.0</v>
      </c>
      <c r="C2157" s="1">
        <v>90.0</v>
      </c>
      <c r="D2157" s="2" t="s">
        <v>439</v>
      </c>
      <c r="E2157" s="1">
        <v>72.0</v>
      </c>
      <c r="F2157" s="1">
        <v>17.0</v>
      </c>
      <c r="G2157" s="1">
        <v>5.12</v>
      </c>
      <c r="H2157" s="1">
        <v>0.0</v>
      </c>
      <c r="I2157" s="1">
        <v>0.0</v>
      </c>
      <c r="J2157" s="1">
        <v>0.0</v>
      </c>
      <c r="K2157" s="1">
        <v>0.41</v>
      </c>
      <c r="L2157" s="1">
        <v>2.68E8</v>
      </c>
      <c r="M2157" s="1" t="s">
        <v>7183</v>
      </c>
      <c r="N2157" s="18">
        <v>45996.0</v>
      </c>
      <c r="O2157" s="1" t="s">
        <v>3821</v>
      </c>
      <c r="P2157" s="1" t="s">
        <v>3294</v>
      </c>
      <c r="Q2157" s="1" t="s">
        <v>3408</v>
      </c>
    </row>
    <row r="2158">
      <c r="A2158" s="1" t="s">
        <v>7184</v>
      </c>
      <c r="B2158" s="1">
        <v>72.0</v>
      </c>
      <c r="C2158" s="1">
        <v>40.0</v>
      </c>
      <c r="D2158" s="2" t="s">
        <v>2249</v>
      </c>
      <c r="E2158" s="1">
        <v>72.0</v>
      </c>
      <c r="F2158" s="1">
        <v>3.0</v>
      </c>
      <c r="G2158" s="1">
        <v>0.0</v>
      </c>
      <c r="H2158" s="1">
        <v>0.0</v>
      </c>
      <c r="I2158" s="1">
        <v>0.0</v>
      </c>
      <c r="J2158" s="1">
        <v>0.0</v>
      </c>
      <c r="K2158" s="1">
        <v>0.01</v>
      </c>
      <c r="L2158" s="1">
        <v>6.9E7</v>
      </c>
      <c r="M2158" s="1" t="s">
        <v>7185</v>
      </c>
      <c r="N2158" s="18">
        <v>45995.0</v>
      </c>
      <c r="O2158" s="1" t="s">
        <v>5344</v>
      </c>
      <c r="P2158" s="1" t="s">
        <v>3230</v>
      </c>
      <c r="Q2158" s="1" t="s">
        <v>3408</v>
      </c>
    </row>
    <row r="2159">
      <c r="A2159" s="1" t="s">
        <v>6430</v>
      </c>
      <c r="B2159" s="1">
        <v>72.0</v>
      </c>
      <c r="C2159" s="1">
        <v>70.0</v>
      </c>
      <c r="D2159" s="2" t="s">
        <v>1055</v>
      </c>
      <c r="E2159" s="1">
        <v>72.0</v>
      </c>
      <c r="F2159" s="1">
        <v>33.0</v>
      </c>
      <c r="G2159" s="1">
        <v>2.66</v>
      </c>
      <c r="H2159" s="1">
        <v>0.0</v>
      </c>
      <c r="I2159" s="1">
        <v>0.0</v>
      </c>
      <c r="J2159" s="1">
        <v>0.0</v>
      </c>
      <c r="K2159" s="1">
        <v>0.64</v>
      </c>
      <c r="L2159" s="1">
        <v>10.0</v>
      </c>
      <c r="M2159" s="1" t="s">
        <v>6431</v>
      </c>
      <c r="N2159" s="18">
        <v>45986.0</v>
      </c>
      <c r="O2159" s="1" t="s">
        <v>4165</v>
      </c>
      <c r="P2159" s="1" t="s">
        <v>3257</v>
      </c>
      <c r="Q2159" s="1" t="s">
        <v>3408</v>
      </c>
    </row>
    <row r="2160">
      <c r="A2160" s="1" t="s">
        <v>7186</v>
      </c>
      <c r="B2160" s="1">
        <v>72.0</v>
      </c>
      <c r="C2160" s="1">
        <v>260.0</v>
      </c>
      <c r="D2160" s="2" t="s">
        <v>439</v>
      </c>
      <c r="E2160" s="1">
        <v>72.0</v>
      </c>
      <c r="F2160" s="1">
        <v>14.0</v>
      </c>
      <c r="G2160" s="1">
        <v>5.76</v>
      </c>
      <c r="H2160" s="1">
        <v>0.0</v>
      </c>
      <c r="I2160" s="1">
        <v>0.0</v>
      </c>
      <c r="J2160" s="1">
        <v>0.0</v>
      </c>
      <c r="K2160" s="1">
        <v>0.12</v>
      </c>
      <c r="L2160" s="1">
        <v>10.0</v>
      </c>
      <c r="M2160" s="1" t="s">
        <v>7187</v>
      </c>
      <c r="N2160" s="18">
        <v>45985.0</v>
      </c>
      <c r="O2160" s="1" t="s">
        <v>3645</v>
      </c>
      <c r="Q2160" s="1" t="s">
        <v>3408</v>
      </c>
    </row>
    <row r="2161">
      <c r="A2161" s="1" t="s">
        <v>7023</v>
      </c>
      <c r="B2161" s="1">
        <v>73.0</v>
      </c>
      <c r="C2161" s="1">
        <v>110.0</v>
      </c>
      <c r="D2161" s="2" t="s">
        <v>911</v>
      </c>
      <c r="E2161" s="1">
        <v>0.0</v>
      </c>
      <c r="F2161" s="1">
        <v>6.0</v>
      </c>
      <c r="G2161" s="1">
        <v>2.01</v>
      </c>
      <c r="H2161" s="1">
        <v>0.0</v>
      </c>
      <c r="I2161" s="1">
        <v>0.0</v>
      </c>
      <c r="J2161" s="1">
        <v>0.0</v>
      </c>
      <c r="K2161" s="1">
        <v>0.75</v>
      </c>
      <c r="L2161" s="1">
        <v>9800000.0</v>
      </c>
      <c r="M2161" s="1" t="s">
        <v>7024</v>
      </c>
      <c r="N2161" s="18">
        <v>46042.0</v>
      </c>
      <c r="O2161" s="1" t="s">
        <v>3264</v>
      </c>
      <c r="P2161" s="1" t="s">
        <v>3230</v>
      </c>
      <c r="Q2161" s="1" t="s">
        <v>3408</v>
      </c>
    </row>
    <row r="2162">
      <c r="A2162" s="1" t="s">
        <v>5705</v>
      </c>
      <c r="B2162" s="1">
        <v>73.0</v>
      </c>
      <c r="C2162" s="1">
        <v>210.0</v>
      </c>
      <c r="D2162" s="2" t="s">
        <v>439</v>
      </c>
      <c r="E2162" s="1">
        <v>73.0</v>
      </c>
      <c r="F2162" s="1">
        <v>20.0</v>
      </c>
      <c r="G2162" s="1">
        <v>0.0</v>
      </c>
      <c r="H2162" s="1">
        <v>0.0</v>
      </c>
      <c r="I2162" s="1">
        <v>0.0</v>
      </c>
      <c r="J2162" s="1">
        <v>0.0</v>
      </c>
      <c r="K2162" s="1">
        <v>0.0</v>
      </c>
      <c r="L2162" s="1">
        <v>1.56E7</v>
      </c>
      <c r="M2162" s="1" t="s">
        <v>5706</v>
      </c>
      <c r="N2162" s="18">
        <v>46042.0</v>
      </c>
      <c r="O2162" s="1" t="s">
        <v>3293</v>
      </c>
      <c r="P2162" s="1" t="s">
        <v>3294</v>
      </c>
      <c r="Q2162" s="1" t="s">
        <v>3408</v>
      </c>
    </row>
    <row r="2163">
      <c r="A2163" s="1" t="s">
        <v>7188</v>
      </c>
      <c r="B2163" s="1">
        <v>73.0</v>
      </c>
      <c r="C2163" s="1">
        <v>140.0</v>
      </c>
      <c r="D2163" s="2" t="s">
        <v>1998</v>
      </c>
      <c r="E2163" s="1">
        <v>73.0</v>
      </c>
      <c r="F2163" s="1">
        <v>6.0</v>
      </c>
      <c r="G2163" s="1">
        <v>2.56</v>
      </c>
      <c r="H2163" s="1">
        <v>0.0</v>
      </c>
      <c r="I2163" s="1">
        <v>0.0</v>
      </c>
      <c r="J2163" s="1">
        <v>0.0</v>
      </c>
      <c r="K2163" s="1">
        <v>0.38</v>
      </c>
      <c r="L2163" s="1">
        <v>329000.0</v>
      </c>
      <c r="M2163" s="1" t="s">
        <v>7189</v>
      </c>
      <c r="N2163" s="18">
        <v>46038.0</v>
      </c>
      <c r="O2163" s="1" t="s">
        <v>3261</v>
      </c>
      <c r="P2163" s="1" t="s">
        <v>3230</v>
      </c>
      <c r="Q2163" s="1" t="s">
        <v>3408</v>
      </c>
    </row>
    <row r="2164">
      <c r="A2164" s="1" t="s">
        <v>7190</v>
      </c>
      <c r="B2164" s="1">
        <v>73.0</v>
      </c>
      <c r="C2164" s="1">
        <v>50.0</v>
      </c>
      <c r="D2164" s="2" t="s">
        <v>584</v>
      </c>
      <c r="E2164" s="1">
        <v>73.0</v>
      </c>
      <c r="F2164" s="1">
        <v>0.0</v>
      </c>
      <c r="G2164" s="1">
        <v>0.0</v>
      </c>
      <c r="H2164" s="1">
        <v>0.0</v>
      </c>
      <c r="I2164" s="1">
        <v>0.0</v>
      </c>
      <c r="J2164" s="1">
        <v>0.0</v>
      </c>
      <c r="K2164" s="1">
        <v>0.08</v>
      </c>
      <c r="L2164" s="1">
        <v>42000.0</v>
      </c>
      <c r="M2164" s="1" t="s">
        <v>7191</v>
      </c>
      <c r="N2164" s="18">
        <v>46024.0</v>
      </c>
      <c r="O2164" s="1" t="s">
        <v>4983</v>
      </c>
      <c r="P2164" s="1" t="s">
        <v>3334</v>
      </c>
      <c r="Q2164" s="1" t="s">
        <v>3408</v>
      </c>
    </row>
    <row r="2165">
      <c r="A2165" s="1" t="s">
        <v>7192</v>
      </c>
      <c r="B2165" s="1">
        <v>73.0</v>
      </c>
      <c r="C2165" s="1">
        <v>40.0</v>
      </c>
      <c r="D2165" s="2" t="s">
        <v>439</v>
      </c>
      <c r="E2165" s="1">
        <v>73.0</v>
      </c>
      <c r="F2165" s="1">
        <v>23.0</v>
      </c>
      <c r="G2165" s="1">
        <v>0.0</v>
      </c>
      <c r="H2165" s="1">
        <v>0.0</v>
      </c>
      <c r="I2165" s="1">
        <v>0.0</v>
      </c>
      <c r="J2165" s="1">
        <v>0.0</v>
      </c>
      <c r="K2165" s="1">
        <v>0.03</v>
      </c>
      <c r="L2165" s="1">
        <v>970000.0</v>
      </c>
      <c r="M2165" s="1" t="s">
        <v>7193</v>
      </c>
      <c r="N2165" s="18">
        <v>46023.0</v>
      </c>
      <c r="O2165" s="1" t="s">
        <v>6271</v>
      </c>
      <c r="P2165" s="1" t="s">
        <v>3294</v>
      </c>
      <c r="Q2165" s="1" t="s">
        <v>3408</v>
      </c>
    </row>
    <row r="2166">
      <c r="A2166" s="1" t="s">
        <v>7194</v>
      </c>
      <c r="B2166" s="1">
        <v>73.0</v>
      </c>
      <c r="C2166" s="1">
        <v>50.0</v>
      </c>
      <c r="D2166" s="2" t="s">
        <v>2153</v>
      </c>
      <c r="E2166" s="1">
        <v>73.0</v>
      </c>
      <c r="F2166" s="1">
        <v>3.0</v>
      </c>
      <c r="G2166" s="1">
        <v>0.0</v>
      </c>
      <c r="H2166" s="1">
        <v>0.0</v>
      </c>
      <c r="I2166" s="1">
        <v>0.0</v>
      </c>
      <c r="J2166" s="1">
        <v>0.0</v>
      </c>
      <c r="K2166" s="1">
        <v>0.0</v>
      </c>
      <c r="L2166" s="1">
        <v>4280000.0</v>
      </c>
      <c r="M2166" s="1" t="s">
        <v>7195</v>
      </c>
      <c r="N2166" s="18">
        <v>46022.0</v>
      </c>
      <c r="O2166" s="1" t="s">
        <v>3258</v>
      </c>
      <c r="P2166" s="1" t="s">
        <v>3230</v>
      </c>
      <c r="Q2166" s="1" t="s">
        <v>3408</v>
      </c>
    </row>
    <row r="2167">
      <c r="A2167" s="1" t="s">
        <v>7196</v>
      </c>
      <c r="B2167" s="1">
        <v>73.0</v>
      </c>
      <c r="C2167" s="1">
        <v>30.0</v>
      </c>
      <c r="D2167" s="2" t="s">
        <v>581</v>
      </c>
      <c r="E2167" s="1">
        <v>73.0</v>
      </c>
      <c r="F2167" s="1">
        <v>34.0</v>
      </c>
      <c r="G2167" s="1">
        <v>15.32</v>
      </c>
      <c r="H2167" s="1">
        <v>0.0</v>
      </c>
      <c r="I2167" s="1">
        <v>0.0</v>
      </c>
      <c r="J2167" s="1">
        <v>0.0</v>
      </c>
      <c r="K2167" s="1">
        <v>0.21</v>
      </c>
      <c r="L2167" s="1">
        <v>531000.0</v>
      </c>
      <c r="M2167" s="1" t="s">
        <v>7197</v>
      </c>
      <c r="N2167" s="18">
        <v>46022.0</v>
      </c>
      <c r="O2167" s="1" t="s">
        <v>5791</v>
      </c>
      <c r="P2167" s="1" t="s">
        <v>3257</v>
      </c>
      <c r="Q2167" s="1" t="s">
        <v>3408</v>
      </c>
    </row>
    <row r="2168">
      <c r="A2168" s="1" t="s">
        <v>7198</v>
      </c>
      <c r="B2168" s="1">
        <v>73.0</v>
      </c>
      <c r="C2168" s="1">
        <v>40.0</v>
      </c>
      <c r="D2168" s="2" t="s">
        <v>439</v>
      </c>
      <c r="E2168" s="1">
        <v>73.0</v>
      </c>
      <c r="F2168" s="1">
        <v>14.0</v>
      </c>
      <c r="G2168" s="1">
        <v>0.0</v>
      </c>
      <c r="H2168" s="1">
        <v>0.0</v>
      </c>
      <c r="I2168" s="1">
        <v>0.0</v>
      </c>
      <c r="J2168" s="1">
        <v>0.0</v>
      </c>
      <c r="K2168" s="1">
        <v>0.03</v>
      </c>
      <c r="L2168" s="1">
        <v>1540000.0</v>
      </c>
      <c r="M2168" s="1" t="s">
        <v>7199</v>
      </c>
      <c r="N2168" s="18">
        <v>46021.0</v>
      </c>
      <c r="O2168" s="1" t="s">
        <v>6059</v>
      </c>
      <c r="P2168" s="1" t="s">
        <v>3230</v>
      </c>
      <c r="Q2168" s="1" t="s">
        <v>3408</v>
      </c>
    </row>
    <row r="2169">
      <c r="A2169" s="1" t="s">
        <v>7200</v>
      </c>
      <c r="B2169" s="1">
        <v>73.0</v>
      </c>
      <c r="C2169" s="1">
        <v>30.0</v>
      </c>
      <c r="D2169" s="2" t="s">
        <v>439</v>
      </c>
      <c r="E2169" s="1">
        <v>73.0</v>
      </c>
      <c r="F2169" s="1">
        <v>13.0</v>
      </c>
      <c r="G2169" s="1">
        <v>4.24</v>
      </c>
      <c r="H2169" s="1">
        <v>0.0</v>
      </c>
      <c r="I2169" s="1">
        <v>0.0</v>
      </c>
      <c r="J2169" s="1">
        <v>0.0</v>
      </c>
      <c r="K2169" s="1">
        <v>0.07</v>
      </c>
      <c r="L2169" s="1">
        <v>4.09E7</v>
      </c>
      <c r="M2169" s="1" t="s">
        <v>7201</v>
      </c>
      <c r="N2169" s="18">
        <v>46019.0</v>
      </c>
      <c r="O2169" s="1" t="s">
        <v>5538</v>
      </c>
      <c r="P2169" s="1" t="s">
        <v>3230</v>
      </c>
      <c r="Q2169" s="1" t="s">
        <v>3408</v>
      </c>
    </row>
    <row r="2170">
      <c r="A2170" s="1" t="s">
        <v>7202</v>
      </c>
      <c r="B2170" s="1">
        <v>73.0</v>
      </c>
      <c r="C2170" s="1">
        <v>30.0</v>
      </c>
      <c r="D2170" s="2" t="s">
        <v>1436</v>
      </c>
      <c r="E2170" s="1">
        <v>73.0</v>
      </c>
      <c r="F2170" s="1">
        <v>36.0</v>
      </c>
      <c r="G2170" s="1">
        <v>12.84</v>
      </c>
      <c r="H2170" s="1">
        <v>0.0</v>
      </c>
      <c r="I2170" s="1">
        <v>0.0</v>
      </c>
      <c r="J2170" s="1">
        <v>0.0</v>
      </c>
      <c r="K2170" s="1">
        <v>0.64</v>
      </c>
      <c r="L2170" s="1">
        <v>456000.0</v>
      </c>
      <c r="M2170" s="1" t="s">
        <v>7203</v>
      </c>
      <c r="N2170" s="18">
        <v>46017.0</v>
      </c>
      <c r="O2170" s="1" t="s">
        <v>3435</v>
      </c>
      <c r="P2170" s="1" t="s">
        <v>3257</v>
      </c>
      <c r="Q2170" s="1" t="s">
        <v>3408</v>
      </c>
    </row>
    <row r="2171">
      <c r="A2171" s="1" t="s">
        <v>7204</v>
      </c>
      <c r="B2171" s="1">
        <v>73.0</v>
      </c>
      <c r="C2171" s="1">
        <v>90.0</v>
      </c>
      <c r="D2171" s="2" t="s">
        <v>784</v>
      </c>
      <c r="E2171" s="1">
        <v>73.0</v>
      </c>
      <c r="F2171" s="1">
        <v>2.0</v>
      </c>
      <c r="G2171" s="1">
        <v>0.0</v>
      </c>
      <c r="H2171" s="1">
        <v>0.0</v>
      </c>
      <c r="I2171" s="1">
        <v>0.0</v>
      </c>
      <c r="J2171" s="1">
        <v>0.0</v>
      </c>
      <c r="K2171" s="1">
        <v>0.0</v>
      </c>
      <c r="L2171" s="1">
        <v>1.02E7</v>
      </c>
      <c r="M2171" s="1" t="s">
        <v>7205</v>
      </c>
      <c r="N2171" s="18">
        <v>46017.0</v>
      </c>
      <c r="O2171" s="1" t="s">
        <v>7206</v>
      </c>
      <c r="P2171" s="1" t="s">
        <v>3230</v>
      </c>
      <c r="Q2171" s="1" t="s">
        <v>3408</v>
      </c>
    </row>
    <row r="2172">
      <c r="A2172" s="1" t="s">
        <v>7207</v>
      </c>
      <c r="B2172" s="1">
        <v>73.0</v>
      </c>
      <c r="C2172" s="1">
        <v>40.0</v>
      </c>
      <c r="D2172" s="2" t="s">
        <v>638</v>
      </c>
      <c r="E2172" s="1">
        <v>73.0</v>
      </c>
      <c r="F2172" s="1">
        <v>3.0</v>
      </c>
      <c r="G2172" s="1">
        <v>1.81</v>
      </c>
      <c r="H2172" s="1">
        <v>0.0</v>
      </c>
      <c r="I2172" s="1">
        <v>0.0</v>
      </c>
      <c r="J2172" s="1">
        <v>0.0</v>
      </c>
      <c r="K2172" s="1">
        <v>0.02</v>
      </c>
      <c r="L2172" s="1">
        <v>1.21E8</v>
      </c>
      <c r="M2172" s="1" t="s">
        <v>7208</v>
      </c>
      <c r="N2172" s="18">
        <v>46016.0</v>
      </c>
      <c r="O2172" s="1" t="s">
        <v>3479</v>
      </c>
      <c r="P2172" s="1" t="s">
        <v>3230</v>
      </c>
      <c r="Q2172" s="1" t="s">
        <v>3408</v>
      </c>
    </row>
    <row r="2173">
      <c r="A2173" s="1" t="s">
        <v>7209</v>
      </c>
      <c r="B2173" s="1">
        <v>73.0</v>
      </c>
      <c r="C2173" s="1">
        <v>170.0</v>
      </c>
      <c r="D2173" s="2" t="s">
        <v>2957</v>
      </c>
      <c r="E2173" s="1">
        <v>73.0</v>
      </c>
      <c r="F2173" s="1">
        <v>16.0</v>
      </c>
      <c r="G2173" s="1">
        <v>0.0</v>
      </c>
      <c r="H2173" s="1">
        <v>0.0</v>
      </c>
      <c r="I2173" s="1">
        <v>0.0</v>
      </c>
      <c r="J2173" s="1">
        <v>0.0</v>
      </c>
      <c r="K2173" s="1">
        <v>0.04</v>
      </c>
      <c r="L2173" s="1">
        <v>5300000.0</v>
      </c>
      <c r="M2173" s="1" t="s">
        <v>7210</v>
      </c>
      <c r="N2173" s="18">
        <v>46015.0</v>
      </c>
      <c r="O2173" s="1" t="s">
        <v>3713</v>
      </c>
      <c r="P2173" s="1" t="s">
        <v>3334</v>
      </c>
      <c r="Q2173" s="1" t="s">
        <v>3408</v>
      </c>
    </row>
    <row r="2174">
      <c r="A2174" s="1" t="s">
        <v>7211</v>
      </c>
      <c r="B2174" s="1">
        <v>73.0</v>
      </c>
      <c r="C2174" s="1">
        <v>70.0</v>
      </c>
      <c r="D2174" s="2" t="s">
        <v>581</v>
      </c>
      <c r="E2174" s="1">
        <v>73.0</v>
      </c>
      <c r="F2174" s="1">
        <v>54.0</v>
      </c>
      <c r="G2174" s="1">
        <v>7.03</v>
      </c>
      <c r="H2174" s="1">
        <v>0.0</v>
      </c>
      <c r="I2174" s="1">
        <v>0.0</v>
      </c>
      <c r="J2174" s="1">
        <v>0.0</v>
      </c>
      <c r="K2174" s="1">
        <v>0.55</v>
      </c>
      <c r="L2174" s="1">
        <v>2.14E7</v>
      </c>
      <c r="M2174" s="1" t="s">
        <v>7212</v>
      </c>
      <c r="N2174" s="18">
        <v>46012.0</v>
      </c>
      <c r="O2174" s="1" t="s">
        <v>3427</v>
      </c>
      <c r="P2174" s="1" t="s">
        <v>3257</v>
      </c>
      <c r="Q2174" s="1" t="s">
        <v>3408</v>
      </c>
    </row>
    <row r="2175">
      <c r="A2175" s="1" t="s">
        <v>7213</v>
      </c>
      <c r="B2175" s="1">
        <v>73.0</v>
      </c>
      <c r="C2175" s="1">
        <v>50.0</v>
      </c>
      <c r="D2175" s="2" t="s">
        <v>2253</v>
      </c>
      <c r="E2175" s="1">
        <v>73.0</v>
      </c>
      <c r="F2175" s="1">
        <v>8.0</v>
      </c>
      <c r="G2175" s="1">
        <v>0.0</v>
      </c>
      <c r="H2175" s="1">
        <v>0.0</v>
      </c>
      <c r="I2175" s="1">
        <v>0.0</v>
      </c>
      <c r="J2175" s="1">
        <v>0.0</v>
      </c>
      <c r="K2175" s="1">
        <v>0.0</v>
      </c>
      <c r="L2175" s="1">
        <v>7.69E7</v>
      </c>
      <c r="M2175" s="1" t="s">
        <v>7214</v>
      </c>
      <c r="N2175" s="18">
        <v>46006.0</v>
      </c>
      <c r="O2175" s="1" t="s">
        <v>3314</v>
      </c>
      <c r="P2175" s="1" t="s">
        <v>3230</v>
      </c>
      <c r="Q2175" s="1" t="s">
        <v>3408</v>
      </c>
    </row>
    <row r="2176">
      <c r="A2176" s="1" t="s">
        <v>7215</v>
      </c>
      <c r="B2176" s="1">
        <v>73.0</v>
      </c>
      <c r="C2176" s="1">
        <v>90.0</v>
      </c>
      <c r="D2176" s="2" t="s">
        <v>581</v>
      </c>
      <c r="E2176" s="1">
        <v>73.0</v>
      </c>
      <c r="F2176" s="1">
        <v>40.0</v>
      </c>
      <c r="G2176" s="1">
        <v>16.88</v>
      </c>
      <c r="H2176" s="1">
        <v>0.0</v>
      </c>
      <c r="I2176" s="1">
        <v>0.0</v>
      </c>
      <c r="J2176" s="1">
        <v>0.0</v>
      </c>
      <c r="K2176" s="1">
        <v>0.54</v>
      </c>
      <c r="L2176" s="1">
        <v>130000.0</v>
      </c>
      <c r="M2176" s="1" t="s">
        <v>7216</v>
      </c>
      <c r="N2176" s="18">
        <v>46005.0</v>
      </c>
      <c r="O2176" s="1" t="s">
        <v>3892</v>
      </c>
      <c r="P2176" s="1" t="s">
        <v>3257</v>
      </c>
      <c r="Q2176" s="1" t="s">
        <v>3408</v>
      </c>
    </row>
    <row r="2177">
      <c r="A2177" s="1" t="s">
        <v>3485</v>
      </c>
      <c r="B2177" s="1">
        <v>73.0</v>
      </c>
      <c r="C2177" s="1">
        <v>140.0</v>
      </c>
      <c r="D2177" s="2" t="s">
        <v>2932</v>
      </c>
      <c r="E2177" s="1">
        <v>73.0</v>
      </c>
      <c r="F2177" s="1">
        <v>4.0</v>
      </c>
      <c r="G2177" s="1">
        <v>3.93</v>
      </c>
      <c r="H2177" s="1">
        <v>0.0</v>
      </c>
      <c r="I2177" s="1">
        <v>0.0</v>
      </c>
      <c r="J2177" s="1">
        <v>0.0</v>
      </c>
      <c r="K2177" s="1">
        <v>0.13</v>
      </c>
      <c r="L2177" s="1">
        <v>7.71E7</v>
      </c>
      <c r="M2177" s="1" t="s">
        <v>3486</v>
      </c>
      <c r="N2177" s="18">
        <v>46004.0</v>
      </c>
      <c r="O2177" s="1" t="s">
        <v>3487</v>
      </c>
      <c r="P2177" s="1" t="s">
        <v>3257</v>
      </c>
      <c r="Q2177" s="1" t="s">
        <v>3408</v>
      </c>
    </row>
    <row r="2178">
      <c r="A2178" s="1" t="s">
        <v>7217</v>
      </c>
      <c r="B2178" s="1">
        <v>73.0</v>
      </c>
      <c r="C2178" s="1">
        <v>30.0</v>
      </c>
      <c r="D2178" s="2" t="s">
        <v>740</v>
      </c>
      <c r="E2178" s="1">
        <v>73.0</v>
      </c>
      <c r="F2178" s="1">
        <v>28.0</v>
      </c>
      <c r="G2178" s="1">
        <v>4.95</v>
      </c>
      <c r="H2178" s="1">
        <v>0.0</v>
      </c>
      <c r="I2178" s="1">
        <v>0.0</v>
      </c>
      <c r="J2178" s="1">
        <v>0.0</v>
      </c>
      <c r="K2178" s="1">
        <v>0.32</v>
      </c>
      <c r="L2178" s="1">
        <v>2.41E8</v>
      </c>
      <c r="M2178" s="1" t="s">
        <v>7218</v>
      </c>
      <c r="N2178" s="18">
        <v>46002.0</v>
      </c>
      <c r="O2178" s="1" t="s">
        <v>3479</v>
      </c>
      <c r="P2178" s="1" t="s">
        <v>3230</v>
      </c>
      <c r="Q2178" s="1" t="s">
        <v>3408</v>
      </c>
    </row>
    <row r="2179">
      <c r="A2179" s="1" t="s">
        <v>6598</v>
      </c>
      <c r="B2179" s="1">
        <v>73.0</v>
      </c>
      <c r="C2179" s="1">
        <v>40.0</v>
      </c>
      <c r="D2179" s="2" t="s">
        <v>2930</v>
      </c>
      <c r="E2179" s="1">
        <v>73.0</v>
      </c>
      <c r="F2179" s="1">
        <v>64.0</v>
      </c>
      <c r="G2179" s="1">
        <v>0.0</v>
      </c>
      <c r="H2179" s="1">
        <v>0.0</v>
      </c>
      <c r="I2179" s="1">
        <v>0.0</v>
      </c>
      <c r="J2179" s="1">
        <v>0.0</v>
      </c>
      <c r="K2179" s="1">
        <v>0.0</v>
      </c>
      <c r="L2179" s="1">
        <v>2.79E7</v>
      </c>
      <c r="M2179" s="1" t="s">
        <v>6599</v>
      </c>
      <c r="N2179" s="18">
        <v>46001.0</v>
      </c>
      <c r="O2179" s="1" t="s">
        <v>4033</v>
      </c>
      <c r="P2179" s="1" t="s">
        <v>3230</v>
      </c>
      <c r="Q2179" s="1" t="s">
        <v>3408</v>
      </c>
    </row>
    <row r="2180">
      <c r="A2180" s="1" t="s">
        <v>7219</v>
      </c>
      <c r="B2180" s="1">
        <v>73.0</v>
      </c>
      <c r="C2180" s="1">
        <v>40.0</v>
      </c>
      <c r="D2180" s="2" t="s">
        <v>581</v>
      </c>
      <c r="E2180" s="1">
        <v>73.0</v>
      </c>
      <c r="F2180" s="1">
        <v>22.0</v>
      </c>
      <c r="G2180" s="1">
        <v>9.01</v>
      </c>
      <c r="H2180" s="1">
        <v>0.0</v>
      </c>
      <c r="I2180" s="1">
        <v>0.0</v>
      </c>
      <c r="J2180" s="1">
        <v>0.0</v>
      </c>
      <c r="K2180" s="1">
        <v>0.22</v>
      </c>
      <c r="L2180" s="1">
        <v>1.46E7</v>
      </c>
      <c r="M2180" s="1" t="s">
        <v>7220</v>
      </c>
      <c r="N2180" s="18">
        <v>45999.0</v>
      </c>
      <c r="O2180" s="1" t="s">
        <v>3293</v>
      </c>
      <c r="P2180" s="1" t="s">
        <v>3294</v>
      </c>
      <c r="Q2180" s="1" t="s">
        <v>3408</v>
      </c>
    </row>
    <row r="2181">
      <c r="A2181" s="1" t="s">
        <v>6669</v>
      </c>
      <c r="B2181" s="1">
        <v>73.0</v>
      </c>
      <c r="C2181" s="1">
        <v>210.0</v>
      </c>
      <c r="D2181" s="2" t="s">
        <v>911</v>
      </c>
      <c r="E2181" s="1">
        <v>73.0</v>
      </c>
      <c r="F2181" s="1">
        <v>5.0</v>
      </c>
      <c r="G2181" s="1">
        <v>1.83</v>
      </c>
      <c r="H2181" s="1">
        <v>0.0</v>
      </c>
      <c r="I2181" s="1">
        <v>0.0</v>
      </c>
      <c r="J2181" s="1">
        <v>0.0</v>
      </c>
      <c r="K2181" s="1">
        <v>0.47</v>
      </c>
      <c r="L2181" s="1">
        <v>5.01E7</v>
      </c>
      <c r="M2181" s="1" t="s">
        <v>6670</v>
      </c>
      <c r="N2181" s="18">
        <v>45994.0</v>
      </c>
      <c r="O2181" s="1" t="s">
        <v>4360</v>
      </c>
      <c r="P2181" s="1" t="s">
        <v>3230</v>
      </c>
      <c r="Q2181" s="1" t="s">
        <v>3408</v>
      </c>
    </row>
    <row r="2182">
      <c r="A2182" s="1" t="s">
        <v>7221</v>
      </c>
      <c r="B2182" s="1">
        <v>73.0</v>
      </c>
      <c r="C2182" s="1">
        <v>70.0</v>
      </c>
      <c r="D2182" s="2" t="s">
        <v>581</v>
      </c>
      <c r="E2182" s="1">
        <v>73.0</v>
      </c>
      <c r="F2182" s="1">
        <v>8.0</v>
      </c>
      <c r="G2182" s="1">
        <v>5.01</v>
      </c>
      <c r="H2182" s="1">
        <v>0.0</v>
      </c>
      <c r="I2182" s="1">
        <v>0.0</v>
      </c>
      <c r="J2182" s="1">
        <v>0.0</v>
      </c>
      <c r="K2182" s="1">
        <v>0.1</v>
      </c>
      <c r="L2182" s="1">
        <v>2.34E7</v>
      </c>
      <c r="M2182" s="1" t="s">
        <v>7222</v>
      </c>
      <c r="N2182" s="18">
        <v>45993.0</v>
      </c>
      <c r="O2182" s="1" t="s">
        <v>3713</v>
      </c>
      <c r="P2182" s="1" t="s">
        <v>3257</v>
      </c>
      <c r="Q2182" s="1" t="s">
        <v>3408</v>
      </c>
    </row>
    <row r="2183">
      <c r="A2183" s="1" t="s">
        <v>7223</v>
      </c>
      <c r="B2183" s="1">
        <v>73.0</v>
      </c>
      <c r="C2183" s="1">
        <v>70.0</v>
      </c>
      <c r="D2183" s="2" t="s">
        <v>694</v>
      </c>
      <c r="E2183" s="1">
        <v>73.0</v>
      </c>
      <c r="F2183" s="1">
        <v>18.0</v>
      </c>
      <c r="G2183" s="1">
        <v>1.18</v>
      </c>
      <c r="H2183" s="1">
        <v>0.0</v>
      </c>
      <c r="I2183" s="1">
        <v>0.0</v>
      </c>
      <c r="J2183" s="1">
        <v>0.0</v>
      </c>
      <c r="K2183" s="1">
        <v>0.15</v>
      </c>
      <c r="L2183" s="1">
        <v>7880000.0</v>
      </c>
      <c r="M2183" s="1" t="s">
        <v>7224</v>
      </c>
      <c r="N2183" s="18">
        <v>45991.0</v>
      </c>
      <c r="O2183" s="1" t="s">
        <v>3565</v>
      </c>
      <c r="P2183" s="1" t="s">
        <v>3230</v>
      </c>
      <c r="Q2183" s="1" t="s">
        <v>3408</v>
      </c>
    </row>
    <row r="2184">
      <c r="A2184" s="1" t="s">
        <v>7225</v>
      </c>
      <c r="B2184" s="1">
        <v>73.0</v>
      </c>
      <c r="C2184" s="1">
        <v>70.0</v>
      </c>
      <c r="D2184" s="2" t="s">
        <v>2253</v>
      </c>
      <c r="E2184" s="1">
        <v>73.0</v>
      </c>
      <c r="F2184" s="1">
        <v>0.0</v>
      </c>
      <c r="G2184" s="1">
        <v>0.0</v>
      </c>
      <c r="H2184" s="1">
        <v>0.0</v>
      </c>
      <c r="I2184" s="1">
        <v>0.0</v>
      </c>
      <c r="J2184" s="1">
        <v>0.0</v>
      </c>
      <c r="K2184" s="1">
        <v>0.0</v>
      </c>
      <c r="L2184" s="1">
        <v>9.0</v>
      </c>
      <c r="M2184" s="1" t="s">
        <v>7226</v>
      </c>
      <c r="N2184" s="18">
        <v>45985.0</v>
      </c>
      <c r="O2184" s="1" t="s">
        <v>7227</v>
      </c>
      <c r="P2184" s="1" t="s">
        <v>3230</v>
      </c>
      <c r="Q2184" s="1" t="s">
        <v>3408</v>
      </c>
    </row>
    <row r="2185">
      <c r="A2185" s="1" t="s">
        <v>5471</v>
      </c>
      <c r="B2185" s="1">
        <v>73.0</v>
      </c>
      <c r="C2185" s="1">
        <v>50.0</v>
      </c>
      <c r="D2185" s="2" t="s">
        <v>439</v>
      </c>
      <c r="E2185" s="1">
        <v>73.0</v>
      </c>
      <c r="F2185" s="1">
        <v>11.0</v>
      </c>
      <c r="G2185" s="1">
        <v>12.71</v>
      </c>
      <c r="H2185" s="1">
        <v>0.0</v>
      </c>
      <c r="I2185" s="1">
        <v>0.0</v>
      </c>
      <c r="J2185" s="1">
        <v>0.0</v>
      </c>
      <c r="K2185" s="1">
        <v>0.31</v>
      </c>
      <c r="L2185" s="1">
        <v>0.0</v>
      </c>
      <c r="M2185" s="1" t="s">
        <v>5472</v>
      </c>
      <c r="N2185" s="18">
        <v>45985.0</v>
      </c>
      <c r="O2185" s="1" t="s">
        <v>3415</v>
      </c>
      <c r="P2185" s="1" t="s">
        <v>3257</v>
      </c>
      <c r="Q2185" s="1" t="s">
        <v>3408</v>
      </c>
    </row>
    <row r="2186">
      <c r="A2186" s="1" t="s">
        <v>7228</v>
      </c>
      <c r="B2186" s="1">
        <v>73.0</v>
      </c>
      <c r="C2186" s="1">
        <v>70.0</v>
      </c>
      <c r="D2186" s="2" t="s">
        <v>581</v>
      </c>
      <c r="E2186" s="1">
        <v>73.0</v>
      </c>
      <c r="F2186" s="1">
        <v>10.0</v>
      </c>
      <c r="G2186" s="1">
        <v>5.13</v>
      </c>
      <c r="H2186" s="1">
        <v>0.0</v>
      </c>
      <c r="I2186" s="1">
        <v>0.0</v>
      </c>
      <c r="J2186" s="1">
        <v>0.0</v>
      </c>
      <c r="K2186" s="1">
        <v>0.11</v>
      </c>
      <c r="L2186" s="1">
        <v>10.0</v>
      </c>
      <c r="M2186" s="1" t="s">
        <v>7229</v>
      </c>
      <c r="N2186" s="18">
        <v>45980.0</v>
      </c>
      <c r="O2186" s="1" t="s">
        <v>7230</v>
      </c>
      <c r="P2186" s="1" t="s">
        <v>3257</v>
      </c>
      <c r="Q2186" s="1" t="s">
        <v>3408</v>
      </c>
    </row>
    <row r="2187">
      <c r="A2187" s="1" t="s">
        <v>7077</v>
      </c>
      <c r="B2187" s="1">
        <v>73.0</v>
      </c>
      <c r="C2187" s="1">
        <v>50.0</v>
      </c>
      <c r="D2187" s="2" t="s">
        <v>770</v>
      </c>
      <c r="E2187" s="1">
        <v>73.0</v>
      </c>
      <c r="F2187" s="1">
        <v>23.0</v>
      </c>
      <c r="G2187" s="1">
        <v>0.0</v>
      </c>
      <c r="H2187" s="1">
        <v>0.0</v>
      </c>
      <c r="I2187" s="1">
        <v>0.0</v>
      </c>
      <c r="J2187" s="1">
        <v>0.0</v>
      </c>
      <c r="K2187" s="1">
        <v>0.0</v>
      </c>
      <c r="L2187" s="1">
        <v>10.0</v>
      </c>
      <c r="M2187" s="1" t="s">
        <v>7078</v>
      </c>
      <c r="N2187" s="18">
        <v>45980.0</v>
      </c>
      <c r="O2187" s="1" t="s">
        <v>3293</v>
      </c>
      <c r="P2187" s="1" t="s">
        <v>3230</v>
      </c>
      <c r="Q2187" s="1" t="s">
        <v>3408</v>
      </c>
    </row>
    <row r="2188">
      <c r="A2188" s="1" t="s">
        <v>7231</v>
      </c>
      <c r="B2188" s="1">
        <v>73.0</v>
      </c>
      <c r="C2188" s="1">
        <v>70.0</v>
      </c>
      <c r="D2188" s="2" t="s">
        <v>581</v>
      </c>
      <c r="E2188" s="1">
        <v>73.0</v>
      </c>
      <c r="F2188" s="1">
        <v>10.0</v>
      </c>
      <c r="G2188" s="1">
        <v>1.85</v>
      </c>
      <c r="H2188" s="1">
        <v>0.0</v>
      </c>
      <c r="I2188" s="1">
        <v>0.0</v>
      </c>
      <c r="J2188" s="1">
        <v>0.0</v>
      </c>
      <c r="K2188" s="1">
        <v>0.28</v>
      </c>
      <c r="L2188" s="1">
        <v>1.01E8</v>
      </c>
      <c r="M2188" s="1" t="s">
        <v>7232</v>
      </c>
      <c r="N2188" s="18">
        <v>45952.0</v>
      </c>
      <c r="O2188" s="1" t="s">
        <v>3821</v>
      </c>
      <c r="P2188" s="1" t="s">
        <v>3257</v>
      </c>
      <c r="Q2188" s="1" t="s">
        <v>3408</v>
      </c>
    </row>
    <row r="2189">
      <c r="A2189" s="1" t="s">
        <v>7233</v>
      </c>
      <c r="B2189" s="1">
        <v>74.0</v>
      </c>
      <c r="C2189" s="1">
        <v>50.0</v>
      </c>
      <c r="D2189" s="2" t="s">
        <v>1868</v>
      </c>
      <c r="E2189" s="1">
        <v>0.0</v>
      </c>
      <c r="F2189" s="1">
        <v>30.0</v>
      </c>
      <c r="G2189" s="1">
        <v>0.0</v>
      </c>
      <c r="H2189" s="1">
        <v>0.0</v>
      </c>
      <c r="I2189" s="1">
        <v>0.0</v>
      </c>
      <c r="J2189" s="1">
        <v>0.0</v>
      </c>
      <c r="K2189" s="1">
        <v>0.33</v>
      </c>
      <c r="L2189" s="1">
        <v>2.46E7</v>
      </c>
      <c r="M2189" s="1" t="s">
        <v>7234</v>
      </c>
      <c r="N2189" s="18">
        <v>46042.0</v>
      </c>
      <c r="O2189" s="1" t="s">
        <v>4505</v>
      </c>
      <c r="P2189" s="1" t="s">
        <v>3230</v>
      </c>
      <c r="Q2189" s="1" t="s">
        <v>3408</v>
      </c>
    </row>
    <row r="2190">
      <c r="A2190" s="1" t="s">
        <v>6129</v>
      </c>
      <c r="B2190" s="1">
        <v>74.0</v>
      </c>
      <c r="C2190" s="1">
        <v>3600.0</v>
      </c>
      <c r="D2190" s="2" t="s">
        <v>1890</v>
      </c>
      <c r="E2190" s="1">
        <v>74.0</v>
      </c>
      <c r="F2190" s="1">
        <v>18.0</v>
      </c>
      <c r="G2190" s="1">
        <v>0.13</v>
      </c>
      <c r="H2190" s="1">
        <v>0.0</v>
      </c>
      <c r="I2190" s="1">
        <v>0.0</v>
      </c>
      <c r="J2190" s="1">
        <v>0.0</v>
      </c>
      <c r="K2190" s="1">
        <v>0.05</v>
      </c>
      <c r="L2190" s="1">
        <v>1.41E8</v>
      </c>
      <c r="M2190" s="1" t="s">
        <v>6130</v>
      </c>
      <c r="N2190" s="18">
        <v>46040.0</v>
      </c>
      <c r="O2190" s="1" t="s">
        <v>6131</v>
      </c>
      <c r="P2190" s="1" t="s">
        <v>3230</v>
      </c>
      <c r="Q2190" s="1" t="s">
        <v>3408</v>
      </c>
    </row>
    <row r="2191">
      <c r="A2191" s="1" t="s">
        <v>7235</v>
      </c>
      <c r="B2191" s="1">
        <v>74.0</v>
      </c>
      <c r="C2191" s="1">
        <v>30.0</v>
      </c>
      <c r="D2191" s="2" t="s">
        <v>681</v>
      </c>
      <c r="E2191" s="1">
        <v>74.0</v>
      </c>
      <c r="F2191" s="1">
        <v>7.0</v>
      </c>
      <c r="G2191" s="1">
        <v>1.12</v>
      </c>
      <c r="H2191" s="1">
        <v>0.0</v>
      </c>
      <c r="I2191" s="1">
        <v>0.0</v>
      </c>
      <c r="J2191" s="1">
        <v>0.0</v>
      </c>
      <c r="K2191" s="1">
        <v>0.17</v>
      </c>
      <c r="L2191" s="1">
        <v>1.79E7</v>
      </c>
      <c r="M2191" s="1" t="s">
        <v>7236</v>
      </c>
      <c r="N2191" s="18">
        <v>46039.0</v>
      </c>
      <c r="O2191" s="1" t="s">
        <v>3264</v>
      </c>
      <c r="P2191" s="1" t="s">
        <v>3230</v>
      </c>
      <c r="Q2191" s="1" t="s">
        <v>3408</v>
      </c>
    </row>
    <row r="2192">
      <c r="A2192" s="1" t="s">
        <v>7237</v>
      </c>
      <c r="B2192" s="1">
        <v>74.0</v>
      </c>
      <c r="C2192" s="1">
        <v>50.0</v>
      </c>
      <c r="D2192" s="2" t="s">
        <v>1860</v>
      </c>
      <c r="E2192" s="1">
        <v>74.0</v>
      </c>
      <c r="F2192" s="1">
        <v>7.0</v>
      </c>
      <c r="G2192" s="1">
        <v>3.17</v>
      </c>
      <c r="H2192" s="1">
        <v>0.0</v>
      </c>
      <c r="I2192" s="1">
        <v>0.0</v>
      </c>
      <c r="J2192" s="1">
        <v>0.0</v>
      </c>
      <c r="K2192" s="1">
        <v>0.19</v>
      </c>
      <c r="L2192" s="1">
        <v>4.38E8</v>
      </c>
      <c r="M2192" s="1" t="s">
        <v>7238</v>
      </c>
      <c r="N2192" s="18">
        <v>46036.0</v>
      </c>
      <c r="O2192" s="1" t="s">
        <v>4543</v>
      </c>
      <c r="P2192" s="1" t="s">
        <v>3230</v>
      </c>
      <c r="Q2192" s="1" t="s">
        <v>3408</v>
      </c>
    </row>
    <row r="2193">
      <c r="A2193" s="1" t="s">
        <v>7239</v>
      </c>
      <c r="B2193" s="1">
        <v>74.0</v>
      </c>
      <c r="C2193" s="1">
        <v>70.0</v>
      </c>
      <c r="D2193" s="2" t="s">
        <v>681</v>
      </c>
      <c r="E2193" s="1">
        <v>74.0</v>
      </c>
      <c r="F2193" s="1">
        <v>10.0</v>
      </c>
      <c r="G2193" s="1">
        <v>0.18</v>
      </c>
      <c r="H2193" s="1">
        <v>0.0</v>
      </c>
      <c r="I2193" s="1">
        <v>0.0</v>
      </c>
      <c r="J2193" s="1">
        <v>0.0</v>
      </c>
      <c r="K2193" s="1">
        <v>0.05</v>
      </c>
      <c r="L2193" s="1">
        <v>1.78E7</v>
      </c>
      <c r="M2193" s="1" t="s">
        <v>7240</v>
      </c>
      <c r="N2193" s="18">
        <v>46036.0</v>
      </c>
      <c r="O2193" s="1" t="s">
        <v>3264</v>
      </c>
      <c r="P2193" s="1" t="s">
        <v>3230</v>
      </c>
      <c r="Q2193" s="1" t="s">
        <v>3408</v>
      </c>
    </row>
    <row r="2194">
      <c r="A2194" s="1" t="s">
        <v>7241</v>
      </c>
      <c r="B2194" s="1">
        <v>74.0</v>
      </c>
      <c r="C2194" s="1">
        <v>50.0</v>
      </c>
      <c r="D2194" s="2" t="s">
        <v>439</v>
      </c>
      <c r="E2194" s="1">
        <v>74.0</v>
      </c>
      <c r="F2194" s="1">
        <v>21.0</v>
      </c>
      <c r="G2194" s="1">
        <v>0.0</v>
      </c>
      <c r="H2194" s="1">
        <v>0.0</v>
      </c>
      <c r="I2194" s="1">
        <v>0.0</v>
      </c>
      <c r="J2194" s="1">
        <v>0.0</v>
      </c>
      <c r="K2194" s="1">
        <v>0.02</v>
      </c>
      <c r="L2194" s="1">
        <v>2730000.0</v>
      </c>
      <c r="M2194" s="1" t="s">
        <v>7242</v>
      </c>
      <c r="N2194" s="18">
        <v>46035.0</v>
      </c>
      <c r="O2194" s="1" t="s">
        <v>3293</v>
      </c>
      <c r="P2194" s="1" t="s">
        <v>3294</v>
      </c>
      <c r="Q2194" s="1" t="s">
        <v>3408</v>
      </c>
    </row>
    <row r="2195">
      <c r="A2195" s="1" t="s">
        <v>7243</v>
      </c>
      <c r="B2195" s="1">
        <v>74.0</v>
      </c>
      <c r="C2195" s="1">
        <v>140.0</v>
      </c>
      <c r="D2195" s="2" t="s">
        <v>1890</v>
      </c>
      <c r="E2195" s="1">
        <v>74.0</v>
      </c>
      <c r="F2195" s="1">
        <v>10.0</v>
      </c>
      <c r="G2195" s="1">
        <v>0.02</v>
      </c>
      <c r="H2195" s="1">
        <v>0.0</v>
      </c>
      <c r="I2195" s="1">
        <v>0.0</v>
      </c>
      <c r="J2195" s="1">
        <v>0.0</v>
      </c>
      <c r="K2195" s="1">
        <v>0.16</v>
      </c>
      <c r="L2195" s="1">
        <v>1.75E7</v>
      </c>
      <c r="M2195" s="1" t="s">
        <v>7244</v>
      </c>
      <c r="N2195" s="18">
        <v>46034.0</v>
      </c>
      <c r="O2195" s="1" t="s">
        <v>5498</v>
      </c>
      <c r="P2195" s="1" t="s">
        <v>3230</v>
      </c>
      <c r="Q2195" s="1" t="s">
        <v>3408</v>
      </c>
    </row>
    <row r="2196">
      <c r="A2196" s="1" t="s">
        <v>7245</v>
      </c>
      <c r="B2196" s="1">
        <v>74.0</v>
      </c>
      <c r="C2196" s="1">
        <v>50.0</v>
      </c>
      <c r="D2196" s="2" t="s">
        <v>584</v>
      </c>
      <c r="E2196" s="1">
        <v>74.0</v>
      </c>
      <c r="F2196" s="1">
        <v>0.0</v>
      </c>
      <c r="G2196" s="1">
        <v>0.0</v>
      </c>
      <c r="H2196" s="1">
        <v>0.0</v>
      </c>
      <c r="I2196" s="1">
        <v>0.0</v>
      </c>
      <c r="J2196" s="1">
        <v>0.0</v>
      </c>
      <c r="K2196" s="1">
        <v>0.02</v>
      </c>
      <c r="L2196" s="1">
        <v>52800.0</v>
      </c>
      <c r="M2196" s="1" t="s">
        <v>4908</v>
      </c>
      <c r="N2196" s="18">
        <v>46031.0</v>
      </c>
      <c r="O2196" s="1" t="s">
        <v>5754</v>
      </c>
      <c r="P2196" s="1" t="s">
        <v>3334</v>
      </c>
      <c r="Q2196" s="1" t="s">
        <v>3408</v>
      </c>
    </row>
    <row r="2197">
      <c r="A2197" s="1" t="s">
        <v>3756</v>
      </c>
      <c r="B2197" s="1">
        <v>74.0</v>
      </c>
      <c r="C2197" s="1">
        <v>40.0</v>
      </c>
      <c r="D2197" s="2" t="s">
        <v>1234</v>
      </c>
      <c r="E2197" s="1">
        <v>74.0</v>
      </c>
      <c r="G2197" s="1">
        <v>17.48</v>
      </c>
      <c r="H2197" s="1">
        <v>0.0</v>
      </c>
      <c r="I2197" s="1">
        <v>0.0</v>
      </c>
      <c r="J2197" s="1">
        <v>0.0</v>
      </c>
      <c r="K2197" s="1">
        <v>0.53</v>
      </c>
      <c r="L2197" s="1">
        <v>883000.0</v>
      </c>
      <c r="M2197" s="1" t="s">
        <v>3757</v>
      </c>
      <c r="N2197" s="18">
        <v>46028.0</v>
      </c>
      <c r="O2197" s="1" t="s">
        <v>3355</v>
      </c>
      <c r="P2197" s="1" t="s">
        <v>3257</v>
      </c>
      <c r="Q2197" s="1" t="s">
        <v>3408</v>
      </c>
    </row>
    <row r="2198">
      <c r="A2198" s="1" t="s">
        <v>7246</v>
      </c>
      <c r="B2198" s="1">
        <v>74.0</v>
      </c>
      <c r="C2198" s="1">
        <v>70.0</v>
      </c>
      <c r="D2198" s="2" t="s">
        <v>581</v>
      </c>
      <c r="E2198" s="1">
        <v>74.0</v>
      </c>
      <c r="F2198" s="1">
        <v>0.0</v>
      </c>
      <c r="G2198" s="1">
        <v>0.0</v>
      </c>
      <c r="H2198" s="1">
        <v>0.0</v>
      </c>
      <c r="I2198" s="1">
        <v>0.0</v>
      </c>
      <c r="J2198" s="1">
        <v>0.0</v>
      </c>
      <c r="K2198" s="1">
        <v>0.48</v>
      </c>
      <c r="L2198" s="1">
        <v>95200.0</v>
      </c>
      <c r="M2198" s="1" t="s">
        <v>7247</v>
      </c>
      <c r="N2198" s="18">
        <v>46024.0</v>
      </c>
      <c r="O2198" s="1" t="s">
        <v>3992</v>
      </c>
      <c r="P2198" s="1" t="s">
        <v>3257</v>
      </c>
      <c r="Q2198" s="1" t="s">
        <v>3408</v>
      </c>
    </row>
    <row r="2199">
      <c r="A2199" s="1" t="s">
        <v>7248</v>
      </c>
      <c r="B2199" s="1">
        <v>74.0</v>
      </c>
      <c r="C2199" s="1">
        <v>30.0</v>
      </c>
      <c r="D2199" s="2" t="s">
        <v>1099</v>
      </c>
      <c r="E2199" s="1">
        <v>74.0</v>
      </c>
      <c r="F2199" s="1">
        <v>22.0</v>
      </c>
      <c r="G2199" s="1">
        <v>1.28</v>
      </c>
      <c r="H2199" s="1">
        <v>0.0</v>
      </c>
      <c r="I2199" s="1">
        <v>0.0</v>
      </c>
      <c r="J2199" s="1">
        <v>0.0</v>
      </c>
      <c r="K2199" s="1">
        <v>0.57</v>
      </c>
      <c r="L2199" s="1">
        <v>186000.0</v>
      </c>
      <c r="M2199" s="1" t="s">
        <v>6146</v>
      </c>
      <c r="N2199" s="18">
        <v>46021.0</v>
      </c>
      <c r="O2199" s="1" t="s">
        <v>5781</v>
      </c>
      <c r="P2199" s="1" t="s">
        <v>3230</v>
      </c>
      <c r="Q2199" s="1" t="s">
        <v>3408</v>
      </c>
    </row>
    <row r="2200">
      <c r="A2200" s="1" t="s">
        <v>7249</v>
      </c>
      <c r="B2200" s="1">
        <v>74.0</v>
      </c>
      <c r="C2200" s="1">
        <v>70.0</v>
      </c>
      <c r="D2200" s="2" t="s">
        <v>1469</v>
      </c>
      <c r="E2200" s="1">
        <v>74.0</v>
      </c>
      <c r="F2200" s="1">
        <v>1.0</v>
      </c>
      <c r="G2200" s="1">
        <v>4.13</v>
      </c>
      <c r="H2200" s="1">
        <v>0.0</v>
      </c>
      <c r="I2200" s="1">
        <v>0.0</v>
      </c>
      <c r="J2200" s="1">
        <v>0.0</v>
      </c>
      <c r="K2200" s="1">
        <v>0.25</v>
      </c>
      <c r="L2200" s="1">
        <v>3670000.0</v>
      </c>
      <c r="M2200" s="1" t="s">
        <v>7250</v>
      </c>
      <c r="N2200" s="18">
        <v>46019.0</v>
      </c>
      <c r="O2200" s="1" t="s">
        <v>4295</v>
      </c>
      <c r="P2200" s="1" t="s">
        <v>3230</v>
      </c>
      <c r="Q2200" s="1" t="s">
        <v>3408</v>
      </c>
    </row>
    <row r="2201">
      <c r="A2201" s="1" t="s">
        <v>7251</v>
      </c>
      <c r="B2201" s="1">
        <v>74.0</v>
      </c>
      <c r="C2201" s="1">
        <v>170.0</v>
      </c>
      <c r="D2201" s="2" t="s">
        <v>756</v>
      </c>
      <c r="E2201" s="1">
        <v>74.0</v>
      </c>
      <c r="F2201" s="1">
        <v>10.0</v>
      </c>
      <c r="G2201" s="1">
        <v>4.11</v>
      </c>
      <c r="H2201" s="1">
        <v>0.0</v>
      </c>
      <c r="I2201" s="1">
        <v>0.0</v>
      </c>
      <c r="J2201" s="1">
        <v>0.0</v>
      </c>
      <c r="K2201" s="1">
        <v>0.04</v>
      </c>
      <c r="L2201" s="1">
        <v>3890000.0</v>
      </c>
      <c r="M2201" s="1" t="s">
        <v>7252</v>
      </c>
      <c r="N2201" s="18">
        <v>46017.0</v>
      </c>
      <c r="O2201" s="1" t="s">
        <v>5400</v>
      </c>
      <c r="P2201" s="1" t="s">
        <v>3230</v>
      </c>
      <c r="Q2201" s="1" t="s">
        <v>3408</v>
      </c>
    </row>
    <row r="2202">
      <c r="A2202" s="1" t="s">
        <v>7253</v>
      </c>
      <c r="B2202" s="1">
        <v>74.0</v>
      </c>
      <c r="C2202" s="1">
        <v>70.0</v>
      </c>
      <c r="D2202" s="2" t="s">
        <v>581</v>
      </c>
      <c r="E2202" s="1">
        <v>74.0</v>
      </c>
      <c r="F2202" s="1">
        <v>0.0</v>
      </c>
      <c r="G2202" s="1">
        <v>14.54</v>
      </c>
      <c r="H2202" s="1">
        <v>0.0</v>
      </c>
      <c r="I2202" s="1">
        <v>0.0</v>
      </c>
      <c r="J2202" s="1">
        <v>0.0</v>
      </c>
      <c r="K2202" s="1">
        <v>1.0</v>
      </c>
      <c r="L2202" s="1">
        <v>26400.0</v>
      </c>
      <c r="M2202" s="1" t="s">
        <v>7254</v>
      </c>
      <c r="N2202" s="18">
        <v>46016.0</v>
      </c>
      <c r="O2202" s="1" t="s">
        <v>4177</v>
      </c>
      <c r="P2202" s="1" t="s">
        <v>3257</v>
      </c>
      <c r="Q2202" s="1" t="s">
        <v>3408</v>
      </c>
    </row>
    <row r="2203">
      <c r="A2203" s="1" t="s">
        <v>6091</v>
      </c>
      <c r="B2203" s="1">
        <v>74.0</v>
      </c>
      <c r="C2203" s="1">
        <v>70.0</v>
      </c>
      <c r="D2203" s="2" t="s">
        <v>1667</v>
      </c>
      <c r="E2203" s="1">
        <v>74.0</v>
      </c>
      <c r="F2203" s="1">
        <v>1.0</v>
      </c>
      <c r="G2203" s="1">
        <v>0.0</v>
      </c>
      <c r="H2203" s="1">
        <v>0.0</v>
      </c>
      <c r="I2203" s="1">
        <v>0.0</v>
      </c>
      <c r="J2203" s="1">
        <v>0.0</v>
      </c>
      <c r="K2203" s="1">
        <v>0.33</v>
      </c>
      <c r="L2203" s="1">
        <v>1.28E7</v>
      </c>
      <c r="M2203" s="1" t="s">
        <v>6092</v>
      </c>
      <c r="N2203" s="18">
        <v>46016.0</v>
      </c>
      <c r="O2203" s="1" t="s">
        <v>3479</v>
      </c>
      <c r="P2203" s="1" t="s">
        <v>3230</v>
      </c>
      <c r="Q2203" s="1" t="s">
        <v>3408</v>
      </c>
    </row>
    <row r="2204">
      <c r="A2204" s="1" t="s">
        <v>3447</v>
      </c>
      <c r="B2204" s="1">
        <v>74.0</v>
      </c>
      <c r="C2204" s="1">
        <v>140.0</v>
      </c>
      <c r="D2204" s="2" t="s">
        <v>2465</v>
      </c>
      <c r="E2204" s="1">
        <v>74.0</v>
      </c>
      <c r="F2204" s="1">
        <v>14.0</v>
      </c>
      <c r="G2204" s="1">
        <v>13.98</v>
      </c>
      <c r="H2204" s="1">
        <v>0.0</v>
      </c>
      <c r="I2204" s="1">
        <v>0.0</v>
      </c>
      <c r="J2204" s="1">
        <v>0.0</v>
      </c>
      <c r="K2204" s="1">
        <v>0.45</v>
      </c>
      <c r="L2204" s="1">
        <v>26700.0</v>
      </c>
      <c r="M2204" s="1" t="s">
        <v>3448</v>
      </c>
      <c r="N2204" s="18">
        <v>46016.0</v>
      </c>
      <c r="O2204" s="1" t="s">
        <v>3415</v>
      </c>
      <c r="P2204" s="1" t="s">
        <v>3257</v>
      </c>
      <c r="Q2204" s="1" t="s">
        <v>3408</v>
      </c>
    </row>
    <row r="2205">
      <c r="A2205" s="1" t="s">
        <v>7255</v>
      </c>
      <c r="B2205" s="1">
        <v>74.0</v>
      </c>
      <c r="C2205" s="1">
        <v>50.0</v>
      </c>
      <c r="D2205" s="2" t="s">
        <v>1010</v>
      </c>
      <c r="E2205" s="1">
        <v>74.0</v>
      </c>
      <c r="F2205" s="1">
        <v>27.0</v>
      </c>
      <c r="G2205" s="1">
        <v>0.0</v>
      </c>
      <c r="H2205" s="1">
        <v>0.0</v>
      </c>
      <c r="I2205" s="1">
        <v>0.0</v>
      </c>
      <c r="J2205" s="1">
        <v>0.0</v>
      </c>
      <c r="K2205" s="1">
        <v>0.33</v>
      </c>
      <c r="L2205" s="1">
        <v>5500000.0</v>
      </c>
      <c r="M2205" s="1" t="s">
        <v>7256</v>
      </c>
      <c r="N2205" s="18">
        <v>46015.0</v>
      </c>
      <c r="O2205" s="1" t="s">
        <v>7257</v>
      </c>
      <c r="P2205" s="1" t="s">
        <v>3230</v>
      </c>
      <c r="Q2205" s="1" t="s">
        <v>3408</v>
      </c>
    </row>
    <row r="2206">
      <c r="A2206" s="1" t="s">
        <v>7258</v>
      </c>
      <c r="B2206" s="1">
        <v>74.0</v>
      </c>
      <c r="C2206" s="1">
        <v>110.0</v>
      </c>
      <c r="D2206" s="2" t="s">
        <v>714</v>
      </c>
      <c r="E2206" s="1">
        <v>74.0</v>
      </c>
      <c r="F2206" s="1">
        <v>5.0</v>
      </c>
      <c r="G2206" s="1">
        <v>0.0</v>
      </c>
      <c r="H2206" s="1">
        <v>0.0</v>
      </c>
      <c r="I2206" s="1">
        <v>0.0</v>
      </c>
      <c r="J2206" s="1">
        <v>0.0</v>
      </c>
      <c r="K2206" s="1">
        <v>0.0</v>
      </c>
      <c r="L2206" s="1">
        <v>152000.0</v>
      </c>
      <c r="M2206" s="1" t="s">
        <v>7259</v>
      </c>
      <c r="N2206" s="18">
        <v>46014.0</v>
      </c>
      <c r="O2206" s="1" t="s">
        <v>3252</v>
      </c>
      <c r="P2206" s="1" t="s">
        <v>3334</v>
      </c>
      <c r="Q2206" s="1" t="s">
        <v>3408</v>
      </c>
    </row>
    <row r="2207">
      <c r="A2207" s="1" t="s">
        <v>7260</v>
      </c>
      <c r="B2207" s="1">
        <v>74.0</v>
      </c>
      <c r="C2207" s="1">
        <v>50.0</v>
      </c>
      <c r="D2207" s="2" t="s">
        <v>2364</v>
      </c>
      <c r="E2207" s="1">
        <v>74.0</v>
      </c>
      <c r="F2207" s="1">
        <v>14.0</v>
      </c>
      <c r="G2207" s="1">
        <v>0.0</v>
      </c>
      <c r="H2207" s="1">
        <v>0.0</v>
      </c>
      <c r="I2207" s="1">
        <v>0.0</v>
      </c>
      <c r="J2207" s="1">
        <v>0.0</v>
      </c>
      <c r="K2207" s="1">
        <v>0.06</v>
      </c>
      <c r="L2207" s="1">
        <v>1.27E7</v>
      </c>
      <c r="M2207" s="1" t="s">
        <v>7261</v>
      </c>
      <c r="N2207" s="18">
        <v>46014.0</v>
      </c>
      <c r="O2207" s="1" t="s">
        <v>7262</v>
      </c>
      <c r="P2207" s="1" t="s">
        <v>3301</v>
      </c>
      <c r="Q2207" s="1" t="s">
        <v>3408</v>
      </c>
    </row>
    <row r="2208">
      <c r="A2208" s="1" t="s">
        <v>7263</v>
      </c>
      <c r="B2208" s="1">
        <v>74.0</v>
      </c>
      <c r="C2208" s="1">
        <v>140.0</v>
      </c>
      <c r="D2208" s="2" t="s">
        <v>439</v>
      </c>
      <c r="E2208" s="1">
        <v>74.0</v>
      </c>
      <c r="F2208" s="1">
        <v>12.0</v>
      </c>
      <c r="G2208" s="1">
        <v>2.98</v>
      </c>
      <c r="H2208" s="1">
        <v>0.0</v>
      </c>
      <c r="I2208" s="1">
        <v>0.0</v>
      </c>
      <c r="J2208" s="1">
        <v>0.0</v>
      </c>
      <c r="K2208" s="1">
        <v>0.02</v>
      </c>
      <c r="L2208" s="1">
        <v>51000.0</v>
      </c>
      <c r="M2208" s="1" t="s">
        <v>7264</v>
      </c>
      <c r="N2208" s="18">
        <v>46013.0</v>
      </c>
      <c r="O2208" s="1" t="s">
        <v>5310</v>
      </c>
      <c r="P2208" s="1" t="s">
        <v>3230</v>
      </c>
      <c r="Q2208" s="1" t="s">
        <v>3408</v>
      </c>
    </row>
    <row r="2209">
      <c r="A2209" s="1" t="s">
        <v>7265</v>
      </c>
      <c r="B2209" s="1">
        <v>74.0</v>
      </c>
      <c r="C2209" s="1">
        <v>40.0</v>
      </c>
      <c r="D2209" s="2" t="s">
        <v>768</v>
      </c>
      <c r="E2209" s="1">
        <v>74.0</v>
      </c>
      <c r="F2209" s="1">
        <v>0.0</v>
      </c>
      <c r="G2209" s="1">
        <v>0.0</v>
      </c>
      <c r="H2209" s="1">
        <v>0.0</v>
      </c>
      <c r="I2209" s="1">
        <v>0.0</v>
      </c>
      <c r="J2209" s="1">
        <v>0.0</v>
      </c>
      <c r="K2209" s="1">
        <v>0.0</v>
      </c>
      <c r="L2209" s="1">
        <v>170000.0</v>
      </c>
      <c r="M2209" s="1" t="s">
        <v>7266</v>
      </c>
      <c r="N2209" s="18">
        <v>46013.0</v>
      </c>
      <c r="O2209" s="1" t="s">
        <v>3252</v>
      </c>
      <c r="P2209" s="1" t="s">
        <v>3334</v>
      </c>
      <c r="Q2209" s="1" t="s">
        <v>3408</v>
      </c>
    </row>
    <row r="2210">
      <c r="A2210" s="1" t="s">
        <v>7267</v>
      </c>
      <c r="B2210" s="1">
        <v>74.0</v>
      </c>
      <c r="C2210" s="1">
        <v>30.0</v>
      </c>
      <c r="D2210" s="2" t="s">
        <v>439</v>
      </c>
      <c r="E2210" s="1">
        <v>74.0</v>
      </c>
      <c r="F2210" s="1">
        <v>9.0</v>
      </c>
      <c r="G2210" s="1">
        <v>7.06</v>
      </c>
      <c r="H2210" s="1">
        <v>0.0</v>
      </c>
      <c r="I2210" s="1">
        <v>0.0</v>
      </c>
      <c r="J2210" s="1">
        <v>0.0</v>
      </c>
      <c r="K2210" s="1">
        <v>0.09</v>
      </c>
      <c r="L2210" s="1">
        <v>931000.0</v>
      </c>
      <c r="M2210" s="1" t="s">
        <v>7268</v>
      </c>
      <c r="N2210" s="18">
        <v>46013.0</v>
      </c>
      <c r="O2210" s="1" t="s">
        <v>3432</v>
      </c>
      <c r="P2210" s="1" t="s">
        <v>3230</v>
      </c>
      <c r="Q2210" s="1" t="s">
        <v>3408</v>
      </c>
    </row>
    <row r="2211">
      <c r="A2211" s="1" t="s">
        <v>3472</v>
      </c>
      <c r="B2211" s="1">
        <v>74.0</v>
      </c>
      <c r="C2211" s="1">
        <v>70.0</v>
      </c>
      <c r="D2211" s="2" t="s">
        <v>443</v>
      </c>
      <c r="E2211" s="1">
        <v>74.0</v>
      </c>
      <c r="F2211" s="1">
        <v>34.0</v>
      </c>
      <c r="G2211" s="1">
        <v>0.0</v>
      </c>
      <c r="H2211" s="1">
        <v>0.0</v>
      </c>
      <c r="I2211" s="1">
        <v>0.0</v>
      </c>
      <c r="J2211" s="1">
        <v>0.0</v>
      </c>
      <c r="K2211" s="1">
        <v>0.01</v>
      </c>
      <c r="L2211" s="1">
        <v>90600.0</v>
      </c>
      <c r="M2211" s="1" t="s">
        <v>3473</v>
      </c>
      <c r="N2211" s="18">
        <v>46012.0</v>
      </c>
      <c r="O2211" s="1" t="s">
        <v>3432</v>
      </c>
      <c r="P2211" s="1" t="s">
        <v>3257</v>
      </c>
      <c r="Q2211" s="1" t="s">
        <v>3408</v>
      </c>
    </row>
    <row r="2212">
      <c r="A2212" s="1" t="s">
        <v>7269</v>
      </c>
      <c r="B2212" s="1">
        <v>74.0</v>
      </c>
      <c r="C2212" s="1">
        <v>390.0</v>
      </c>
      <c r="D2212" s="2" t="s">
        <v>921</v>
      </c>
      <c r="E2212" s="1">
        <v>74.0</v>
      </c>
      <c r="F2212" s="1">
        <v>7.0</v>
      </c>
      <c r="G2212" s="1">
        <v>3.48</v>
      </c>
      <c r="H2212" s="1">
        <v>0.0</v>
      </c>
      <c r="I2212" s="1">
        <v>0.0</v>
      </c>
      <c r="J2212" s="1">
        <v>0.0</v>
      </c>
      <c r="K2212" s="1">
        <v>0.06</v>
      </c>
      <c r="L2212" s="1">
        <v>1.11E7</v>
      </c>
      <c r="M2212" s="1" t="s">
        <v>7270</v>
      </c>
      <c r="N2212" s="18">
        <v>46011.0</v>
      </c>
      <c r="O2212" s="1" t="s">
        <v>4576</v>
      </c>
      <c r="P2212" s="1" t="s">
        <v>3257</v>
      </c>
      <c r="Q2212" s="1" t="s">
        <v>3408</v>
      </c>
    </row>
    <row r="2213">
      <c r="A2213" s="1" t="s">
        <v>7271</v>
      </c>
      <c r="B2213" s="1">
        <v>74.0</v>
      </c>
      <c r="C2213" s="1">
        <v>480.0</v>
      </c>
      <c r="D2213" s="2" t="s">
        <v>1055</v>
      </c>
      <c r="E2213" s="1">
        <v>74.0</v>
      </c>
      <c r="F2213" s="1">
        <v>49.0</v>
      </c>
      <c r="G2213" s="1">
        <v>3.87</v>
      </c>
      <c r="H2213" s="1">
        <v>0.0</v>
      </c>
      <c r="I2213" s="1">
        <v>0.0</v>
      </c>
      <c r="J2213" s="1">
        <v>0.0</v>
      </c>
      <c r="K2213" s="1">
        <v>0.19</v>
      </c>
      <c r="L2213" s="1">
        <v>2.04E7</v>
      </c>
      <c r="M2213" s="1" t="s">
        <v>7272</v>
      </c>
      <c r="N2213" s="18">
        <v>46010.0</v>
      </c>
      <c r="O2213" s="1" t="s">
        <v>4965</v>
      </c>
      <c r="P2213" s="1" t="s">
        <v>3230</v>
      </c>
      <c r="Q2213" s="1" t="s">
        <v>3408</v>
      </c>
    </row>
    <row r="2214">
      <c r="A2214" s="1" t="s">
        <v>7273</v>
      </c>
      <c r="B2214" s="1">
        <v>74.0</v>
      </c>
      <c r="C2214" s="1">
        <v>70.0</v>
      </c>
      <c r="D2214" s="2" t="s">
        <v>439</v>
      </c>
      <c r="E2214" s="1">
        <v>74.0</v>
      </c>
      <c r="F2214" s="1">
        <v>21.0</v>
      </c>
      <c r="G2214" s="1">
        <v>0.0</v>
      </c>
      <c r="H2214" s="1">
        <v>0.0</v>
      </c>
      <c r="I2214" s="1">
        <v>0.0</v>
      </c>
      <c r="J2214" s="1">
        <v>0.0</v>
      </c>
      <c r="K2214" s="1">
        <v>0.02</v>
      </c>
      <c r="L2214" s="1">
        <v>3340.0</v>
      </c>
      <c r="M2214" s="1" t="s">
        <v>7274</v>
      </c>
      <c r="N2214" s="18">
        <v>46004.0</v>
      </c>
      <c r="O2214" s="1" t="s">
        <v>6142</v>
      </c>
      <c r="P2214" s="1" t="s">
        <v>3257</v>
      </c>
      <c r="Q2214" s="1" t="s">
        <v>3408</v>
      </c>
    </row>
    <row r="2215">
      <c r="A2215" s="1" t="s">
        <v>7275</v>
      </c>
      <c r="B2215" s="1">
        <v>74.0</v>
      </c>
      <c r="C2215" s="1">
        <v>50.0</v>
      </c>
      <c r="D2215" s="2" t="s">
        <v>581</v>
      </c>
      <c r="E2215" s="1">
        <v>74.0</v>
      </c>
      <c r="F2215" s="1">
        <v>37.0</v>
      </c>
      <c r="G2215" s="1">
        <v>2.34</v>
      </c>
      <c r="H2215" s="1">
        <v>0.0</v>
      </c>
      <c r="I2215" s="1">
        <v>0.0</v>
      </c>
      <c r="J2215" s="1">
        <v>0.0</v>
      </c>
      <c r="K2215" s="1">
        <v>0.15</v>
      </c>
      <c r="L2215" s="1">
        <v>5.88E7</v>
      </c>
      <c r="M2215" s="1" t="s">
        <v>7276</v>
      </c>
      <c r="N2215" s="18">
        <v>46004.0</v>
      </c>
      <c r="O2215" s="1" t="s">
        <v>5865</v>
      </c>
      <c r="P2215" s="1" t="s">
        <v>3294</v>
      </c>
      <c r="Q2215" s="1" t="s">
        <v>3408</v>
      </c>
    </row>
    <row r="2216">
      <c r="A2216" s="1" t="s">
        <v>7277</v>
      </c>
      <c r="B2216" s="1">
        <v>74.0</v>
      </c>
      <c r="C2216" s="1">
        <v>50.0</v>
      </c>
      <c r="D2216" s="2" t="s">
        <v>439</v>
      </c>
      <c r="E2216" s="1">
        <v>74.0</v>
      </c>
      <c r="F2216" s="1">
        <v>24.0</v>
      </c>
      <c r="G2216" s="1">
        <v>0.0</v>
      </c>
      <c r="H2216" s="1">
        <v>0.0</v>
      </c>
      <c r="I2216" s="1">
        <v>0.0</v>
      </c>
      <c r="J2216" s="1">
        <v>0.0</v>
      </c>
      <c r="K2216" s="1">
        <v>0.02</v>
      </c>
      <c r="L2216" s="1">
        <v>697.0</v>
      </c>
      <c r="M2216" s="1" t="s">
        <v>7278</v>
      </c>
      <c r="N2216" s="18">
        <v>46003.0</v>
      </c>
      <c r="O2216" s="1" t="s">
        <v>7279</v>
      </c>
      <c r="P2216" s="1" t="s">
        <v>3294</v>
      </c>
      <c r="Q2216" s="1" t="s">
        <v>3408</v>
      </c>
    </row>
    <row r="2217">
      <c r="A2217" s="1" t="s">
        <v>6658</v>
      </c>
      <c r="B2217" s="1">
        <v>74.0</v>
      </c>
      <c r="C2217" s="1">
        <v>140.0</v>
      </c>
      <c r="D2217" s="2" t="s">
        <v>1473</v>
      </c>
      <c r="E2217" s="1">
        <v>74.0</v>
      </c>
      <c r="F2217" s="1">
        <v>52.0</v>
      </c>
      <c r="G2217" s="1">
        <v>0.0</v>
      </c>
      <c r="H2217" s="1">
        <v>0.0</v>
      </c>
      <c r="I2217" s="1">
        <v>0.0</v>
      </c>
      <c r="J2217" s="1">
        <v>0.0</v>
      </c>
      <c r="K2217" s="1">
        <v>0.0</v>
      </c>
      <c r="L2217" s="1">
        <v>4.54E8</v>
      </c>
      <c r="M2217" s="1" t="s">
        <v>6659</v>
      </c>
      <c r="N2217" s="18">
        <v>46003.0</v>
      </c>
      <c r="P2217" s="1" t="s">
        <v>3230</v>
      </c>
      <c r="Q2217" s="1" t="s">
        <v>3408</v>
      </c>
    </row>
    <row r="2218">
      <c r="A2218" s="1" t="s">
        <v>3746</v>
      </c>
      <c r="B2218" s="1">
        <v>74.0</v>
      </c>
      <c r="C2218" s="1">
        <v>50.0</v>
      </c>
      <c r="D2218" s="2" t="s">
        <v>479</v>
      </c>
      <c r="E2218" s="1">
        <v>74.0</v>
      </c>
      <c r="F2218" s="1">
        <v>26.0</v>
      </c>
      <c r="G2218" s="1">
        <v>14.44</v>
      </c>
      <c r="H2218" s="1">
        <v>0.0</v>
      </c>
      <c r="I2218" s="1">
        <v>0.0</v>
      </c>
      <c r="J2218" s="1">
        <v>0.0</v>
      </c>
      <c r="K2218" s="1">
        <v>0.41</v>
      </c>
      <c r="L2218" s="1">
        <v>130000.0</v>
      </c>
      <c r="M2218" s="1" t="s">
        <v>3747</v>
      </c>
      <c r="N2218" s="18">
        <v>46002.0</v>
      </c>
      <c r="O2218" s="1" t="s">
        <v>3645</v>
      </c>
      <c r="P2218" s="1" t="s">
        <v>3257</v>
      </c>
      <c r="Q2218" s="1" t="s">
        <v>3408</v>
      </c>
    </row>
    <row r="2219">
      <c r="A2219" s="1" t="s">
        <v>7280</v>
      </c>
      <c r="B2219" s="1">
        <v>74.0</v>
      </c>
      <c r="C2219" s="1">
        <v>140.0</v>
      </c>
      <c r="D2219" s="2" t="s">
        <v>2249</v>
      </c>
      <c r="E2219" s="1">
        <v>74.0</v>
      </c>
      <c r="F2219" s="1">
        <v>16.0</v>
      </c>
      <c r="G2219" s="1">
        <v>0.0</v>
      </c>
      <c r="H2219" s="1">
        <v>0.0</v>
      </c>
      <c r="I2219" s="1">
        <v>0.0</v>
      </c>
      <c r="J2219" s="1">
        <v>0.0</v>
      </c>
      <c r="K2219" s="1">
        <v>0.0</v>
      </c>
      <c r="L2219" s="1">
        <v>1.23E7</v>
      </c>
      <c r="M2219" s="1" t="s">
        <v>7281</v>
      </c>
      <c r="N2219" s="18">
        <v>46001.0</v>
      </c>
      <c r="O2219" s="1" t="s">
        <v>5344</v>
      </c>
      <c r="P2219" s="1" t="s">
        <v>3230</v>
      </c>
      <c r="Q2219" s="1" t="s">
        <v>3408</v>
      </c>
    </row>
    <row r="2220">
      <c r="A2220" s="1" t="s">
        <v>7282</v>
      </c>
      <c r="B2220" s="1">
        <v>74.0</v>
      </c>
      <c r="C2220" s="1">
        <v>90.0</v>
      </c>
      <c r="D2220" s="2" t="s">
        <v>439</v>
      </c>
      <c r="E2220" s="1">
        <v>74.0</v>
      </c>
      <c r="F2220" s="1">
        <v>27.0</v>
      </c>
      <c r="G2220" s="1">
        <v>2.75</v>
      </c>
      <c r="H2220" s="1">
        <v>0.0</v>
      </c>
      <c r="I2220" s="1">
        <v>0.0</v>
      </c>
      <c r="J2220" s="1">
        <v>0.0</v>
      </c>
      <c r="K2220" s="1">
        <v>0.05</v>
      </c>
      <c r="L2220" s="1">
        <v>336000.0</v>
      </c>
      <c r="M2220" s="1" t="s">
        <v>7283</v>
      </c>
      <c r="N2220" s="18">
        <v>46000.0</v>
      </c>
      <c r="O2220" s="1" t="s">
        <v>4965</v>
      </c>
      <c r="P2220" s="1" t="s">
        <v>3294</v>
      </c>
      <c r="Q2220" s="1" t="s">
        <v>3408</v>
      </c>
    </row>
    <row r="2221">
      <c r="A2221" s="1" t="s">
        <v>7284</v>
      </c>
      <c r="B2221" s="1">
        <v>74.0</v>
      </c>
      <c r="C2221" s="1">
        <v>90.0</v>
      </c>
      <c r="D2221" s="2" t="s">
        <v>581</v>
      </c>
      <c r="E2221" s="1">
        <v>74.0</v>
      </c>
      <c r="F2221" s="1">
        <v>18.0</v>
      </c>
      <c r="G2221" s="1">
        <v>8.47</v>
      </c>
      <c r="H2221" s="1">
        <v>0.0</v>
      </c>
      <c r="I2221" s="1">
        <v>0.0</v>
      </c>
      <c r="J2221" s="1">
        <v>0.0</v>
      </c>
      <c r="K2221" s="1">
        <v>0.96</v>
      </c>
      <c r="L2221" s="1">
        <v>4040000.0</v>
      </c>
      <c r="M2221" s="1" t="s">
        <v>7285</v>
      </c>
      <c r="N2221" s="18">
        <v>46000.0</v>
      </c>
      <c r="O2221" s="1" t="s">
        <v>4183</v>
      </c>
      <c r="P2221" s="1" t="s">
        <v>3257</v>
      </c>
      <c r="Q2221" s="1" t="s">
        <v>3408</v>
      </c>
    </row>
    <row r="2222">
      <c r="A2222" s="1" t="s">
        <v>7286</v>
      </c>
      <c r="B2222" s="1">
        <v>74.0</v>
      </c>
      <c r="C2222" s="1">
        <v>50.0</v>
      </c>
      <c r="D2222" s="2" t="s">
        <v>600</v>
      </c>
      <c r="E2222" s="1">
        <v>74.0</v>
      </c>
      <c r="F2222" s="1">
        <v>4.0</v>
      </c>
      <c r="G2222" s="1">
        <v>12.58</v>
      </c>
      <c r="H2222" s="1">
        <v>0.0</v>
      </c>
      <c r="I2222" s="1">
        <v>0.0</v>
      </c>
      <c r="J2222" s="1">
        <v>0.0</v>
      </c>
      <c r="K2222" s="1">
        <v>0.22</v>
      </c>
      <c r="L2222" s="1">
        <v>3890000.0</v>
      </c>
      <c r="M2222" s="1" t="s">
        <v>7287</v>
      </c>
      <c r="N2222" s="18">
        <v>45999.0</v>
      </c>
      <c r="O2222" s="1" t="s">
        <v>7288</v>
      </c>
      <c r="P2222" s="1" t="s">
        <v>3257</v>
      </c>
      <c r="Q2222" s="1" t="s">
        <v>3408</v>
      </c>
    </row>
    <row r="2223">
      <c r="A2223" s="1" t="s">
        <v>7289</v>
      </c>
      <c r="B2223" s="1">
        <v>74.0</v>
      </c>
      <c r="C2223" s="1">
        <v>110.0</v>
      </c>
      <c r="D2223" s="2" t="s">
        <v>439</v>
      </c>
      <c r="E2223" s="1">
        <v>74.0</v>
      </c>
      <c r="F2223" s="1">
        <v>34.0</v>
      </c>
      <c r="G2223" s="1">
        <v>0.0</v>
      </c>
      <c r="H2223" s="1">
        <v>0.0</v>
      </c>
      <c r="I2223" s="1">
        <v>0.0</v>
      </c>
      <c r="J2223" s="1">
        <v>0.0</v>
      </c>
      <c r="K2223" s="1">
        <v>0.0</v>
      </c>
      <c r="L2223" s="1">
        <v>2030000.0</v>
      </c>
      <c r="M2223" s="1" t="s">
        <v>7290</v>
      </c>
      <c r="N2223" s="18">
        <v>45999.0</v>
      </c>
      <c r="O2223" s="1" t="s">
        <v>4926</v>
      </c>
      <c r="P2223" s="1" t="s">
        <v>3294</v>
      </c>
      <c r="Q2223" s="1" t="s">
        <v>3408</v>
      </c>
    </row>
    <row r="2224">
      <c r="A2224" s="1" t="s">
        <v>7291</v>
      </c>
      <c r="B2224" s="1">
        <v>74.0</v>
      </c>
      <c r="C2224" s="1">
        <v>70.0</v>
      </c>
      <c r="D2224" s="2" t="s">
        <v>756</v>
      </c>
      <c r="E2224" s="1">
        <v>74.0</v>
      </c>
      <c r="F2224" s="1">
        <v>55.0</v>
      </c>
      <c r="G2224" s="1">
        <v>0.0</v>
      </c>
      <c r="H2224" s="1">
        <v>0.0</v>
      </c>
      <c r="I2224" s="1">
        <v>0.0</v>
      </c>
      <c r="J2224" s="1">
        <v>0.0</v>
      </c>
      <c r="K2224" s="1">
        <v>0.0</v>
      </c>
      <c r="L2224" s="1">
        <v>3.19E7</v>
      </c>
      <c r="M2224" s="1" t="s">
        <v>7292</v>
      </c>
      <c r="N2224" s="18">
        <v>45998.0</v>
      </c>
      <c r="O2224" s="1" t="s">
        <v>4172</v>
      </c>
      <c r="P2224" s="1" t="s">
        <v>3230</v>
      </c>
      <c r="Q2224" s="1" t="s">
        <v>3408</v>
      </c>
    </row>
    <row r="2225">
      <c r="A2225" s="1" t="s">
        <v>5576</v>
      </c>
      <c r="B2225" s="1">
        <v>74.0</v>
      </c>
      <c r="C2225" s="1">
        <v>50.0</v>
      </c>
      <c r="D2225" s="2" t="s">
        <v>913</v>
      </c>
      <c r="E2225" s="1">
        <v>74.0</v>
      </c>
      <c r="F2225" s="1">
        <v>22.0</v>
      </c>
      <c r="G2225" s="1">
        <v>22.12</v>
      </c>
      <c r="H2225" s="1">
        <v>0.0</v>
      </c>
      <c r="I2225" s="1">
        <v>0.0</v>
      </c>
      <c r="J2225" s="1">
        <v>0.0</v>
      </c>
      <c r="K2225" s="1">
        <v>0.17</v>
      </c>
      <c r="L2225" s="1">
        <v>63700.0</v>
      </c>
      <c r="M2225" s="1" t="s">
        <v>5577</v>
      </c>
      <c r="N2225" s="18">
        <v>45998.0</v>
      </c>
      <c r="O2225" s="1" t="s">
        <v>3854</v>
      </c>
      <c r="P2225" s="1" t="s">
        <v>3257</v>
      </c>
      <c r="Q2225" s="1" t="s">
        <v>3408</v>
      </c>
    </row>
    <row r="2226">
      <c r="A2226" s="1" t="s">
        <v>7293</v>
      </c>
      <c r="B2226" s="1">
        <v>74.0</v>
      </c>
      <c r="C2226" s="1">
        <v>50.0</v>
      </c>
      <c r="D2226" s="2" t="s">
        <v>2249</v>
      </c>
      <c r="E2226" s="1">
        <v>74.0</v>
      </c>
      <c r="F2226" s="1">
        <v>14.0</v>
      </c>
      <c r="G2226" s="1">
        <v>0.0</v>
      </c>
      <c r="H2226" s="1">
        <v>0.0</v>
      </c>
      <c r="I2226" s="1">
        <v>0.0</v>
      </c>
      <c r="J2226" s="1">
        <v>0.0</v>
      </c>
      <c r="K2226" s="1">
        <v>0.0</v>
      </c>
      <c r="L2226" s="1">
        <v>1.1E8</v>
      </c>
      <c r="M2226" s="1" t="s">
        <v>7294</v>
      </c>
      <c r="N2226" s="18">
        <v>45997.0</v>
      </c>
      <c r="O2226" s="1" t="s">
        <v>5571</v>
      </c>
      <c r="P2226" s="1" t="s">
        <v>3230</v>
      </c>
      <c r="Q2226" s="1" t="s">
        <v>3408</v>
      </c>
    </row>
    <row r="2227">
      <c r="A2227" s="1" t="s">
        <v>7295</v>
      </c>
      <c r="B2227" s="1">
        <v>74.0</v>
      </c>
      <c r="C2227" s="1">
        <v>30.0</v>
      </c>
      <c r="D2227" s="2" t="s">
        <v>2080</v>
      </c>
      <c r="E2227" s="1">
        <v>74.0</v>
      </c>
      <c r="F2227" s="1">
        <v>0.0</v>
      </c>
      <c r="G2227" s="1">
        <v>7.51</v>
      </c>
      <c r="H2227" s="1">
        <v>0.0</v>
      </c>
      <c r="I2227" s="1">
        <v>0.0</v>
      </c>
      <c r="J2227" s="1">
        <v>0.0</v>
      </c>
      <c r="K2227" s="1">
        <v>0.18</v>
      </c>
      <c r="L2227" s="1">
        <v>963000.0</v>
      </c>
      <c r="M2227" s="1" t="s">
        <v>7296</v>
      </c>
      <c r="N2227" s="18">
        <v>45992.0</v>
      </c>
      <c r="O2227" s="1" t="s">
        <v>3264</v>
      </c>
      <c r="P2227" s="1" t="s">
        <v>3230</v>
      </c>
      <c r="Q2227" s="1" t="s">
        <v>3408</v>
      </c>
    </row>
    <row r="2228">
      <c r="A2228" s="1" t="s">
        <v>7297</v>
      </c>
      <c r="B2228" s="1">
        <v>74.0</v>
      </c>
      <c r="C2228" s="1">
        <v>170.0</v>
      </c>
      <c r="D2228" s="2" t="s">
        <v>2249</v>
      </c>
      <c r="E2228" s="1">
        <v>74.0</v>
      </c>
      <c r="F2228" s="1">
        <v>17.0</v>
      </c>
      <c r="G2228" s="1">
        <v>0.0</v>
      </c>
      <c r="H2228" s="1">
        <v>0.0</v>
      </c>
      <c r="I2228" s="1">
        <v>0.0</v>
      </c>
      <c r="J2228" s="1">
        <v>0.0</v>
      </c>
      <c r="K2228" s="1">
        <v>0.0</v>
      </c>
      <c r="L2228" s="1">
        <v>2.35E8</v>
      </c>
      <c r="M2228" s="1" t="s">
        <v>7298</v>
      </c>
      <c r="N2228" s="18">
        <v>45991.0</v>
      </c>
      <c r="O2228" s="1" t="s">
        <v>5650</v>
      </c>
      <c r="P2228" s="1" t="s">
        <v>3230</v>
      </c>
      <c r="Q2228" s="1" t="s">
        <v>3408</v>
      </c>
    </row>
    <row r="2229">
      <c r="A2229" s="1" t="s">
        <v>7299</v>
      </c>
      <c r="B2229" s="1">
        <v>74.0</v>
      </c>
      <c r="C2229" s="1">
        <v>50.0</v>
      </c>
      <c r="D2229" s="2" t="s">
        <v>581</v>
      </c>
      <c r="E2229" s="1">
        <v>74.0</v>
      </c>
      <c r="F2229" s="1">
        <v>8.0</v>
      </c>
      <c r="G2229" s="1">
        <v>5.01</v>
      </c>
      <c r="H2229" s="1">
        <v>0.0</v>
      </c>
      <c r="I2229" s="1">
        <v>0.0</v>
      </c>
      <c r="J2229" s="1">
        <v>0.0</v>
      </c>
      <c r="K2229" s="1">
        <v>0.1</v>
      </c>
      <c r="L2229" s="1">
        <v>239000.0</v>
      </c>
      <c r="M2229" s="1" t="s">
        <v>7300</v>
      </c>
      <c r="N2229" s="18">
        <v>45991.0</v>
      </c>
      <c r="O2229" s="1" t="s">
        <v>4496</v>
      </c>
      <c r="P2229" s="1" t="s">
        <v>3230</v>
      </c>
      <c r="Q2229" s="1" t="s">
        <v>3408</v>
      </c>
    </row>
    <row r="2230">
      <c r="A2230" s="1" t="s">
        <v>6609</v>
      </c>
      <c r="B2230" s="1">
        <v>74.0</v>
      </c>
      <c r="C2230" s="1">
        <v>140.0</v>
      </c>
      <c r="D2230" s="2" t="s">
        <v>2249</v>
      </c>
      <c r="E2230" s="1">
        <v>74.0</v>
      </c>
      <c r="F2230" s="1">
        <v>8.0</v>
      </c>
      <c r="G2230" s="1">
        <v>0.0</v>
      </c>
      <c r="H2230" s="1">
        <v>0.0</v>
      </c>
      <c r="I2230" s="1">
        <v>0.0</v>
      </c>
      <c r="J2230" s="1">
        <v>0.0</v>
      </c>
      <c r="K2230" s="1">
        <v>0.0</v>
      </c>
      <c r="L2230" s="1">
        <v>2.47E8</v>
      </c>
      <c r="M2230" s="1" t="s">
        <v>6610</v>
      </c>
      <c r="N2230" s="18">
        <v>45988.0</v>
      </c>
      <c r="O2230" s="1" t="s">
        <v>5650</v>
      </c>
      <c r="P2230" s="1" t="s">
        <v>3230</v>
      </c>
      <c r="Q2230" s="1" t="s">
        <v>3408</v>
      </c>
    </row>
    <row r="2231">
      <c r="A2231" s="1" t="s">
        <v>3615</v>
      </c>
      <c r="B2231" s="1">
        <v>75.0</v>
      </c>
      <c r="C2231" s="1">
        <v>70.0</v>
      </c>
      <c r="D2231" s="2" t="s">
        <v>2932</v>
      </c>
      <c r="E2231" s="1">
        <v>0.0</v>
      </c>
      <c r="F2231" s="1">
        <v>29.0</v>
      </c>
      <c r="G2231" s="1">
        <v>0.0</v>
      </c>
      <c r="H2231" s="1">
        <v>0.0</v>
      </c>
      <c r="I2231" s="1">
        <v>0.0</v>
      </c>
      <c r="J2231" s="1">
        <v>0.0</v>
      </c>
      <c r="K2231" s="1">
        <v>0.03</v>
      </c>
      <c r="L2231" s="1">
        <v>2.33E8</v>
      </c>
      <c r="M2231" s="1" t="s">
        <v>3616</v>
      </c>
      <c r="N2231" s="18">
        <v>46042.0</v>
      </c>
      <c r="O2231" s="1" t="s">
        <v>3617</v>
      </c>
      <c r="P2231" s="1" t="s">
        <v>3294</v>
      </c>
      <c r="Q2231" s="1" t="s">
        <v>3408</v>
      </c>
    </row>
    <row r="2232">
      <c r="A2232" s="1" t="s">
        <v>7025</v>
      </c>
      <c r="B2232" s="1">
        <v>75.0</v>
      </c>
      <c r="C2232" s="1">
        <v>40.0</v>
      </c>
      <c r="D2232" s="2" t="s">
        <v>762</v>
      </c>
      <c r="E2232" s="1">
        <v>75.0</v>
      </c>
      <c r="F2232" s="1">
        <v>6.0</v>
      </c>
      <c r="G2232" s="1">
        <v>22.69</v>
      </c>
      <c r="H2232" s="1">
        <v>0.0</v>
      </c>
      <c r="I2232" s="1">
        <v>0.0</v>
      </c>
      <c r="J2232" s="1">
        <v>0.0</v>
      </c>
      <c r="K2232" s="1">
        <v>0.65</v>
      </c>
      <c r="L2232" s="1">
        <v>8710000.0</v>
      </c>
      <c r="M2232" s="1" t="s">
        <v>7026</v>
      </c>
      <c r="N2232" s="18">
        <v>46042.0</v>
      </c>
      <c r="O2232" s="1" t="s">
        <v>3258</v>
      </c>
      <c r="P2232" s="1" t="s">
        <v>3257</v>
      </c>
      <c r="Q2232" s="1" t="s">
        <v>3408</v>
      </c>
    </row>
    <row r="2233">
      <c r="A2233" s="1" t="s">
        <v>7301</v>
      </c>
      <c r="B2233" s="1">
        <v>75.0</v>
      </c>
      <c r="C2233" s="1">
        <v>70.0</v>
      </c>
      <c r="D2233" s="2" t="s">
        <v>439</v>
      </c>
      <c r="E2233" s="1">
        <v>75.0</v>
      </c>
      <c r="F2233" s="1">
        <v>54.0</v>
      </c>
      <c r="G2233" s="1">
        <v>17.42</v>
      </c>
      <c r="H2233" s="1">
        <v>0.0</v>
      </c>
      <c r="I2233" s="1">
        <v>0.0</v>
      </c>
      <c r="J2233" s="1">
        <v>0.0</v>
      </c>
      <c r="K2233" s="1">
        <v>0.7</v>
      </c>
      <c r="L2233" s="1">
        <v>3330000.0</v>
      </c>
      <c r="M2233" s="1" t="s">
        <v>7302</v>
      </c>
      <c r="N2233" s="18">
        <v>46042.0</v>
      </c>
      <c r="O2233" s="1" t="s">
        <v>6692</v>
      </c>
      <c r="P2233" s="1" t="s">
        <v>3230</v>
      </c>
      <c r="Q2233" s="1" t="s">
        <v>3408</v>
      </c>
    </row>
    <row r="2234">
      <c r="A2234" s="1" t="s">
        <v>7303</v>
      </c>
      <c r="B2234" s="1">
        <v>75.0</v>
      </c>
      <c r="C2234" s="1">
        <v>50.0</v>
      </c>
      <c r="D2234" s="2" t="s">
        <v>792</v>
      </c>
      <c r="E2234" s="1">
        <v>75.0</v>
      </c>
      <c r="F2234" s="1">
        <v>1.0</v>
      </c>
      <c r="G2234" s="1">
        <v>0.0</v>
      </c>
      <c r="H2234" s="1">
        <v>0.0</v>
      </c>
      <c r="I2234" s="1">
        <v>0.0</v>
      </c>
      <c r="J2234" s="1">
        <v>0.0</v>
      </c>
      <c r="K2234" s="1">
        <v>0.0</v>
      </c>
      <c r="L2234" s="1">
        <v>262000.0</v>
      </c>
      <c r="M2234" s="1" t="s">
        <v>7304</v>
      </c>
      <c r="N2234" s="18">
        <v>46040.0</v>
      </c>
      <c r="O2234" s="1" t="s">
        <v>5674</v>
      </c>
      <c r="P2234" s="1" t="s">
        <v>3230</v>
      </c>
      <c r="Q2234" s="1" t="s">
        <v>3408</v>
      </c>
    </row>
    <row r="2235">
      <c r="A2235" s="1" t="s">
        <v>7305</v>
      </c>
      <c r="B2235" s="1">
        <v>75.0</v>
      </c>
      <c r="C2235" s="1">
        <v>90.0</v>
      </c>
      <c r="D2235" s="2" t="s">
        <v>1103</v>
      </c>
      <c r="E2235" s="1">
        <v>75.0</v>
      </c>
      <c r="F2235" s="1">
        <v>7.0</v>
      </c>
      <c r="G2235" s="1">
        <v>0.0</v>
      </c>
      <c r="H2235" s="1">
        <v>0.0</v>
      </c>
      <c r="I2235" s="1">
        <v>0.0</v>
      </c>
      <c r="J2235" s="1">
        <v>0.0</v>
      </c>
      <c r="K2235" s="1">
        <v>0.0</v>
      </c>
      <c r="L2235" s="1">
        <v>1590000.0</v>
      </c>
      <c r="M2235" s="1" t="s">
        <v>7306</v>
      </c>
      <c r="N2235" s="18">
        <v>46039.0</v>
      </c>
      <c r="O2235" s="1" t="s">
        <v>3284</v>
      </c>
      <c r="P2235" s="1" t="s">
        <v>3230</v>
      </c>
      <c r="Q2235" s="1" t="s">
        <v>3408</v>
      </c>
    </row>
    <row r="2236">
      <c r="A2236" s="1" t="s">
        <v>7307</v>
      </c>
      <c r="B2236" s="1">
        <v>75.0</v>
      </c>
      <c r="C2236" s="1">
        <v>40.0</v>
      </c>
      <c r="D2236" s="2" t="s">
        <v>720</v>
      </c>
      <c r="E2236" s="1">
        <v>75.0</v>
      </c>
      <c r="F2236" s="1">
        <v>5.0</v>
      </c>
      <c r="G2236" s="1">
        <v>15.66</v>
      </c>
      <c r="H2236" s="1">
        <v>0.0</v>
      </c>
      <c r="I2236" s="1">
        <v>0.0</v>
      </c>
      <c r="J2236" s="1">
        <v>0.0</v>
      </c>
      <c r="K2236" s="1">
        <v>0.35</v>
      </c>
      <c r="L2236" s="1">
        <v>5500000.0</v>
      </c>
      <c r="M2236" s="1" t="s">
        <v>7308</v>
      </c>
      <c r="N2236" s="18">
        <v>46036.0</v>
      </c>
      <c r="O2236" s="1" t="s">
        <v>7309</v>
      </c>
      <c r="P2236" s="1" t="s">
        <v>3257</v>
      </c>
      <c r="Q2236" s="1" t="s">
        <v>3408</v>
      </c>
    </row>
    <row r="2237">
      <c r="A2237" s="1" t="s">
        <v>7310</v>
      </c>
      <c r="B2237" s="1">
        <v>75.0</v>
      </c>
      <c r="C2237" s="1">
        <v>50.0</v>
      </c>
      <c r="D2237" s="2" t="s">
        <v>584</v>
      </c>
      <c r="E2237" s="1">
        <v>75.0</v>
      </c>
      <c r="F2237" s="1">
        <v>0.0</v>
      </c>
      <c r="G2237" s="1">
        <v>0.0</v>
      </c>
      <c r="H2237" s="1">
        <v>0.0</v>
      </c>
      <c r="I2237" s="1">
        <v>0.0</v>
      </c>
      <c r="J2237" s="1">
        <v>0.0</v>
      </c>
      <c r="K2237" s="1">
        <v>0.33</v>
      </c>
      <c r="L2237" s="1">
        <v>69100.0</v>
      </c>
      <c r="M2237" s="1" t="s">
        <v>7311</v>
      </c>
      <c r="N2237" s="18">
        <v>46035.0</v>
      </c>
      <c r="O2237" s="1" t="s">
        <v>3992</v>
      </c>
      <c r="P2237" s="1" t="s">
        <v>3334</v>
      </c>
      <c r="Q2237" s="1" t="s">
        <v>3408</v>
      </c>
    </row>
    <row r="2238">
      <c r="A2238" s="1" t="s">
        <v>7312</v>
      </c>
      <c r="B2238" s="1">
        <v>75.0</v>
      </c>
      <c r="C2238" s="1">
        <v>40.0</v>
      </c>
      <c r="D2238" s="2" t="s">
        <v>676</v>
      </c>
      <c r="E2238" s="1">
        <v>75.0</v>
      </c>
      <c r="F2238" s="1">
        <v>0.0</v>
      </c>
      <c r="G2238" s="1">
        <v>0.0</v>
      </c>
      <c r="H2238" s="1">
        <v>0.0</v>
      </c>
      <c r="I2238" s="1">
        <v>0.0</v>
      </c>
      <c r="J2238" s="1">
        <v>0.0</v>
      </c>
      <c r="K2238" s="1">
        <v>0.0</v>
      </c>
      <c r="L2238" s="1">
        <v>645000.0</v>
      </c>
      <c r="M2238" s="1" t="s">
        <v>7313</v>
      </c>
      <c r="N2238" s="18">
        <v>46031.0</v>
      </c>
      <c r="O2238" s="1" t="s">
        <v>4643</v>
      </c>
      <c r="P2238" s="1" t="s">
        <v>3257</v>
      </c>
      <c r="Q2238" s="1" t="s">
        <v>3408</v>
      </c>
    </row>
    <row r="2239">
      <c r="A2239" s="1" t="s">
        <v>7314</v>
      </c>
      <c r="B2239" s="1">
        <v>75.0</v>
      </c>
      <c r="C2239" s="1">
        <v>590.0</v>
      </c>
      <c r="D2239" s="2" t="s">
        <v>835</v>
      </c>
      <c r="E2239" s="1">
        <v>75.0</v>
      </c>
      <c r="F2239" s="1">
        <v>14.0</v>
      </c>
      <c r="G2239" s="1">
        <v>0.0</v>
      </c>
      <c r="H2239" s="1">
        <v>0.0</v>
      </c>
      <c r="I2239" s="1">
        <v>0.0</v>
      </c>
      <c r="J2239" s="1">
        <v>0.0</v>
      </c>
      <c r="K2239" s="1">
        <v>0.0</v>
      </c>
      <c r="L2239" s="1">
        <v>1.42E7</v>
      </c>
      <c r="M2239" s="1" t="s">
        <v>7315</v>
      </c>
      <c r="N2239" s="18">
        <v>46028.0</v>
      </c>
      <c r="O2239" s="1" t="s">
        <v>3284</v>
      </c>
      <c r="P2239" s="1" t="s">
        <v>3230</v>
      </c>
      <c r="Q2239" s="1" t="s">
        <v>3408</v>
      </c>
    </row>
    <row r="2240">
      <c r="A2240" s="1" t="s">
        <v>7316</v>
      </c>
      <c r="B2240" s="1">
        <v>75.0</v>
      </c>
      <c r="C2240" s="1">
        <v>260.0</v>
      </c>
      <c r="D2240" s="2" t="s">
        <v>770</v>
      </c>
      <c r="E2240" s="1">
        <v>75.0</v>
      </c>
      <c r="F2240" s="1">
        <v>41.0</v>
      </c>
      <c r="G2240" s="1">
        <v>0.0</v>
      </c>
      <c r="H2240" s="1">
        <v>0.0</v>
      </c>
      <c r="I2240" s="1">
        <v>0.0</v>
      </c>
      <c r="J2240" s="1">
        <v>0.0</v>
      </c>
      <c r="K2240" s="1">
        <v>0.0</v>
      </c>
      <c r="L2240" s="1">
        <v>7370000.0</v>
      </c>
      <c r="M2240" s="1" t="s">
        <v>7317</v>
      </c>
      <c r="N2240" s="18">
        <v>46026.0</v>
      </c>
      <c r="O2240" s="1" t="s">
        <v>3264</v>
      </c>
      <c r="P2240" s="1" t="s">
        <v>3230</v>
      </c>
      <c r="Q2240" s="1" t="s">
        <v>3408</v>
      </c>
    </row>
    <row r="2241">
      <c r="A2241" s="1" t="s">
        <v>7318</v>
      </c>
      <c r="B2241" s="1">
        <v>75.0</v>
      </c>
      <c r="C2241" s="1">
        <v>90.0</v>
      </c>
      <c r="D2241" s="2" t="s">
        <v>447</v>
      </c>
      <c r="E2241" s="1">
        <v>75.0</v>
      </c>
      <c r="F2241" s="1">
        <v>18.0</v>
      </c>
      <c r="G2241" s="1">
        <v>3.26</v>
      </c>
      <c r="H2241" s="1">
        <v>0.0</v>
      </c>
      <c r="I2241" s="1">
        <v>0.0</v>
      </c>
      <c r="J2241" s="1">
        <v>0.0</v>
      </c>
      <c r="K2241" s="1">
        <v>0.52</v>
      </c>
      <c r="L2241" s="1">
        <v>9880.0</v>
      </c>
      <c r="M2241" s="1" t="s">
        <v>7319</v>
      </c>
      <c r="N2241" s="18">
        <v>46023.0</v>
      </c>
      <c r="O2241" s="1" t="s">
        <v>3645</v>
      </c>
      <c r="P2241" s="1" t="s">
        <v>3257</v>
      </c>
      <c r="Q2241" s="1" t="s">
        <v>3408</v>
      </c>
    </row>
    <row r="2242">
      <c r="A2242" s="1" t="s">
        <v>7320</v>
      </c>
      <c r="B2242" s="1">
        <v>75.0</v>
      </c>
      <c r="C2242" s="1">
        <v>40.0</v>
      </c>
      <c r="D2242" s="2" t="s">
        <v>899</v>
      </c>
      <c r="E2242" s="1">
        <v>75.0</v>
      </c>
      <c r="F2242" s="1">
        <v>18.0</v>
      </c>
      <c r="G2242" s="1">
        <v>6.72</v>
      </c>
      <c r="H2242" s="1">
        <v>0.0</v>
      </c>
      <c r="I2242" s="1">
        <v>0.0</v>
      </c>
      <c r="J2242" s="1">
        <v>0.0</v>
      </c>
      <c r="K2242" s="1">
        <v>0.74</v>
      </c>
      <c r="L2242" s="1">
        <v>2.92E8</v>
      </c>
      <c r="M2242" s="1" t="s">
        <v>7321</v>
      </c>
      <c r="N2242" s="18">
        <v>46023.0</v>
      </c>
      <c r="O2242" s="1" t="s">
        <v>4576</v>
      </c>
      <c r="P2242" s="1" t="s">
        <v>3257</v>
      </c>
      <c r="Q2242" s="1" t="s">
        <v>3408</v>
      </c>
    </row>
    <row r="2243">
      <c r="A2243" s="1" t="s">
        <v>7322</v>
      </c>
      <c r="B2243" s="1">
        <v>75.0</v>
      </c>
      <c r="C2243" s="1">
        <v>70.0</v>
      </c>
      <c r="D2243" s="2" t="s">
        <v>1548</v>
      </c>
      <c r="E2243" s="1">
        <v>75.0</v>
      </c>
      <c r="G2243" s="1">
        <v>3.04</v>
      </c>
      <c r="H2243" s="1">
        <v>0.0</v>
      </c>
      <c r="I2243" s="1">
        <v>0.0</v>
      </c>
      <c r="J2243" s="1">
        <v>0.0</v>
      </c>
      <c r="K2243" s="1">
        <v>0.1</v>
      </c>
      <c r="L2243" s="1">
        <v>71900.0</v>
      </c>
      <c r="M2243" s="1" t="s">
        <v>7323</v>
      </c>
      <c r="N2243" s="18">
        <v>46021.0</v>
      </c>
      <c r="O2243" s="1" t="s">
        <v>3930</v>
      </c>
      <c r="P2243" s="1" t="s">
        <v>3230</v>
      </c>
      <c r="Q2243" s="1" t="s">
        <v>3408</v>
      </c>
    </row>
    <row r="2244">
      <c r="A2244" s="1" t="s">
        <v>5852</v>
      </c>
      <c r="B2244" s="1">
        <v>75.0</v>
      </c>
      <c r="C2244" s="1">
        <v>40.0</v>
      </c>
      <c r="D2244" s="2" t="s">
        <v>973</v>
      </c>
      <c r="E2244" s="1">
        <v>75.0</v>
      </c>
      <c r="F2244" s="1">
        <v>26.0</v>
      </c>
      <c r="G2244" s="1">
        <v>2.17</v>
      </c>
      <c r="H2244" s="1">
        <v>0.0</v>
      </c>
      <c r="I2244" s="1">
        <v>0.0</v>
      </c>
      <c r="J2244" s="1">
        <v>0.0</v>
      </c>
      <c r="K2244" s="1">
        <v>0.51</v>
      </c>
      <c r="L2244" s="1">
        <v>4.6E7</v>
      </c>
      <c r="M2244" s="1" t="s">
        <v>5853</v>
      </c>
      <c r="N2244" s="18">
        <v>46020.0</v>
      </c>
      <c r="O2244" s="1" t="s">
        <v>3442</v>
      </c>
      <c r="P2244" s="1" t="s">
        <v>3230</v>
      </c>
      <c r="Q2244" s="1" t="s">
        <v>3408</v>
      </c>
    </row>
    <row r="2245">
      <c r="A2245" s="1" t="s">
        <v>7324</v>
      </c>
      <c r="B2245" s="1">
        <v>75.0</v>
      </c>
      <c r="C2245" s="1">
        <v>50.0</v>
      </c>
      <c r="D2245" s="2" t="s">
        <v>439</v>
      </c>
      <c r="E2245" s="1">
        <v>75.0</v>
      </c>
      <c r="F2245" s="1">
        <v>16.0</v>
      </c>
      <c r="G2245" s="1">
        <v>1.91</v>
      </c>
      <c r="H2245" s="1">
        <v>0.0</v>
      </c>
      <c r="I2245" s="1">
        <v>0.0</v>
      </c>
      <c r="J2245" s="1">
        <v>0.0</v>
      </c>
      <c r="K2245" s="1">
        <v>0.31</v>
      </c>
      <c r="L2245" s="1">
        <v>877000.0</v>
      </c>
      <c r="M2245" s="1" t="s">
        <v>7325</v>
      </c>
      <c r="N2245" s="18">
        <v>46020.0</v>
      </c>
      <c r="O2245" s="1" t="s">
        <v>3404</v>
      </c>
      <c r="P2245" s="1" t="s">
        <v>3462</v>
      </c>
      <c r="Q2245" s="1" t="s">
        <v>3408</v>
      </c>
    </row>
    <row r="2246">
      <c r="A2246" s="1" t="s">
        <v>7326</v>
      </c>
      <c r="B2246" s="1">
        <v>75.0</v>
      </c>
      <c r="C2246" s="1">
        <v>50.0</v>
      </c>
      <c r="D2246" s="2" t="s">
        <v>720</v>
      </c>
      <c r="E2246" s="1">
        <v>75.0</v>
      </c>
      <c r="F2246" s="1">
        <v>52.0</v>
      </c>
      <c r="G2246" s="1">
        <v>0.0</v>
      </c>
      <c r="H2246" s="1">
        <v>0.0</v>
      </c>
      <c r="I2246" s="1">
        <v>0.0</v>
      </c>
      <c r="J2246" s="1">
        <v>0.0</v>
      </c>
      <c r="K2246" s="1">
        <v>0.0</v>
      </c>
      <c r="L2246" s="1">
        <v>1800000.0</v>
      </c>
      <c r="M2246" s="1" t="s">
        <v>7327</v>
      </c>
      <c r="N2246" s="18">
        <v>46019.0</v>
      </c>
      <c r="O2246" s="1" t="s">
        <v>7328</v>
      </c>
      <c r="P2246" s="1" t="s">
        <v>3257</v>
      </c>
      <c r="Q2246" s="1" t="s">
        <v>3408</v>
      </c>
    </row>
    <row r="2247">
      <c r="A2247" s="1" t="s">
        <v>7329</v>
      </c>
      <c r="B2247" s="1">
        <v>75.0</v>
      </c>
      <c r="C2247" s="1">
        <v>90.0</v>
      </c>
      <c r="D2247" s="2" t="s">
        <v>776</v>
      </c>
      <c r="E2247" s="1">
        <v>75.0</v>
      </c>
      <c r="F2247" s="1">
        <v>24.0</v>
      </c>
      <c r="G2247" s="1">
        <v>20.93</v>
      </c>
      <c r="H2247" s="1">
        <v>0.0</v>
      </c>
      <c r="I2247" s="1">
        <v>0.0</v>
      </c>
      <c r="J2247" s="1">
        <v>0.0</v>
      </c>
      <c r="K2247" s="1">
        <v>0.14</v>
      </c>
      <c r="L2247" s="1">
        <v>6610000.0</v>
      </c>
      <c r="M2247" s="1" t="s">
        <v>7330</v>
      </c>
      <c r="N2247" s="18">
        <v>46018.0</v>
      </c>
      <c r="O2247" s="1" t="s">
        <v>6171</v>
      </c>
      <c r="P2247" s="1" t="s">
        <v>3257</v>
      </c>
      <c r="Q2247" s="1" t="s">
        <v>3408</v>
      </c>
    </row>
    <row r="2248">
      <c r="A2248" s="1" t="s">
        <v>7331</v>
      </c>
      <c r="B2248" s="1">
        <v>75.0</v>
      </c>
      <c r="C2248" s="1">
        <v>110.0</v>
      </c>
      <c r="D2248" s="2" t="s">
        <v>439</v>
      </c>
      <c r="E2248" s="1">
        <v>75.0</v>
      </c>
      <c r="F2248" s="1">
        <v>25.0</v>
      </c>
      <c r="G2248" s="1">
        <v>7.05</v>
      </c>
      <c r="H2248" s="1">
        <v>0.0</v>
      </c>
      <c r="I2248" s="1">
        <v>0.0</v>
      </c>
      <c r="J2248" s="1">
        <v>0.0</v>
      </c>
      <c r="K2248" s="1">
        <v>0.15</v>
      </c>
      <c r="L2248" s="1">
        <v>56500.0</v>
      </c>
      <c r="M2248" s="1" t="s">
        <v>7332</v>
      </c>
      <c r="N2248" s="18">
        <v>46017.0</v>
      </c>
      <c r="O2248" s="1" t="s">
        <v>4643</v>
      </c>
      <c r="P2248" s="1" t="s">
        <v>3462</v>
      </c>
      <c r="Q2248" s="1" t="s">
        <v>3408</v>
      </c>
    </row>
    <row r="2249">
      <c r="A2249" s="1" t="s">
        <v>7333</v>
      </c>
      <c r="B2249" s="1">
        <v>75.0</v>
      </c>
      <c r="C2249" s="1">
        <v>140.0</v>
      </c>
      <c r="D2249" s="2" t="s">
        <v>439</v>
      </c>
      <c r="E2249" s="1">
        <v>75.0</v>
      </c>
      <c r="F2249" s="1">
        <v>18.0</v>
      </c>
      <c r="G2249" s="1">
        <v>3.3</v>
      </c>
      <c r="H2249" s="1">
        <v>0.0</v>
      </c>
      <c r="I2249" s="1">
        <v>0.0</v>
      </c>
      <c r="J2249" s="1">
        <v>0.0</v>
      </c>
      <c r="K2249" s="1">
        <v>0.07</v>
      </c>
      <c r="L2249" s="1">
        <v>2830000.0</v>
      </c>
      <c r="M2249" s="1" t="s">
        <v>7334</v>
      </c>
      <c r="N2249" s="18">
        <v>46017.0</v>
      </c>
      <c r="O2249" s="1" t="s">
        <v>4440</v>
      </c>
      <c r="P2249" s="1" t="s">
        <v>3257</v>
      </c>
      <c r="Q2249" s="1" t="s">
        <v>3408</v>
      </c>
    </row>
    <row r="2250">
      <c r="A2250" s="1" t="s">
        <v>7335</v>
      </c>
      <c r="B2250" s="1">
        <v>75.0</v>
      </c>
      <c r="C2250" s="1">
        <v>110.0</v>
      </c>
      <c r="D2250" s="2" t="s">
        <v>581</v>
      </c>
      <c r="E2250" s="1">
        <v>75.0</v>
      </c>
      <c r="F2250" s="1">
        <v>12.0</v>
      </c>
      <c r="G2250" s="1">
        <v>10.12</v>
      </c>
      <c r="H2250" s="1">
        <v>0.0</v>
      </c>
      <c r="I2250" s="1">
        <v>0.0</v>
      </c>
      <c r="J2250" s="1">
        <v>0.0</v>
      </c>
      <c r="K2250" s="1">
        <v>0.97</v>
      </c>
      <c r="L2250" s="1">
        <v>7180000.0</v>
      </c>
      <c r="M2250" s="1" t="s">
        <v>7336</v>
      </c>
      <c r="N2250" s="18">
        <v>46017.0</v>
      </c>
      <c r="O2250" s="1" t="s">
        <v>5899</v>
      </c>
      <c r="P2250" s="1" t="s">
        <v>3257</v>
      </c>
      <c r="Q2250" s="1" t="s">
        <v>3408</v>
      </c>
    </row>
    <row r="2251">
      <c r="A2251" s="1" t="s">
        <v>7337</v>
      </c>
      <c r="B2251" s="1">
        <v>75.0</v>
      </c>
      <c r="C2251" s="1">
        <v>90.0</v>
      </c>
      <c r="D2251" s="2" t="s">
        <v>581</v>
      </c>
      <c r="E2251" s="1">
        <v>75.0</v>
      </c>
      <c r="F2251" s="1">
        <v>13.0</v>
      </c>
      <c r="G2251" s="1">
        <v>21.86</v>
      </c>
      <c r="H2251" s="1">
        <v>0.0</v>
      </c>
      <c r="I2251" s="1">
        <v>0.0</v>
      </c>
      <c r="J2251" s="1">
        <v>0.0</v>
      </c>
      <c r="K2251" s="1">
        <v>1.0</v>
      </c>
      <c r="L2251" s="1">
        <v>5160000.0</v>
      </c>
      <c r="M2251" s="1" t="s">
        <v>7338</v>
      </c>
      <c r="N2251" s="18">
        <v>46014.0</v>
      </c>
      <c r="O2251" s="1" t="s">
        <v>5815</v>
      </c>
      <c r="P2251" s="1" t="s">
        <v>3257</v>
      </c>
      <c r="Q2251" s="1" t="s">
        <v>3408</v>
      </c>
    </row>
    <row r="2252">
      <c r="A2252" s="1" t="s">
        <v>7339</v>
      </c>
      <c r="B2252" s="1">
        <v>75.0</v>
      </c>
      <c r="C2252" s="1">
        <v>50.0</v>
      </c>
      <c r="D2252" s="2" t="s">
        <v>1452</v>
      </c>
      <c r="E2252" s="1">
        <v>75.0</v>
      </c>
      <c r="F2252" s="1">
        <v>46.0</v>
      </c>
      <c r="G2252" s="1">
        <v>0.0</v>
      </c>
      <c r="H2252" s="1">
        <v>0.0</v>
      </c>
      <c r="I2252" s="1">
        <v>0.0</v>
      </c>
      <c r="J2252" s="1">
        <v>0.0</v>
      </c>
      <c r="K2252" s="1">
        <v>0.0</v>
      </c>
      <c r="L2252" s="1">
        <v>2.52E8</v>
      </c>
      <c r="M2252" s="1" t="s">
        <v>7340</v>
      </c>
      <c r="N2252" s="18">
        <v>46013.0</v>
      </c>
      <c r="O2252" s="1" t="s">
        <v>4487</v>
      </c>
      <c r="P2252" s="1" t="s">
        <v>3230</v>
      </c>
      <c r="Q2252" s="1" t="s">
        <v>3408</v>
      </c>
    </row>
    <row r="2253">
      <c r="A2253" s="1" t="s">
        <v>7341</v>
      </c>
      <c r="B2253" s="1">
        <v>75.0</v>
      </c>
      <c r="C2253" s="1">
        <v>70.0</v>
      </c>
      <c r="D2253" s="2" t="s">
        <v>2930</v>
      </c>
      <c r="E2253" s="1">
        <v>75.0</v>
      </c>
      <c r="F2253" s="1">
        <v>57.0</v>
      </c>
      <c r="G2253" s="1">
        <v>0.0</v>
      </c>
      <c r="H2253" s="1">
        <v>0.0</v>
      </c>
      <c r="I2253" s="1">
        <v>0.0</v>
      </c>
      <c r="J2253" s="1">
        <v>0.0</v>
      </c>
      <c r="K2253" s="1">
        <v>0.0</v>
      </c>
      <c r="L2253" s="1">
        <v>633000.0</v>
      </c>
      <c r="M2253" s="1" t="s">
        <v>7342</v>
      </c>
      <c r="N2253" s="18">
        <v>46010.0</v>
      </c>
      <c r="O2253" s="1" t="s">
        <v>4393</v>
      </c>
      <c r="P2253" s="1" t="s">
        <v>3294</v>
      </c>
      <c r="Q2253" s="1" t="s">
        <v>3408</v>
      </c>
    </row>
    <row r="2254">
      <c r="A2254" s="1" t="s">
        <v>7343</v>
      </c>
      <c r="B2254" s="1">
        <v>75.0</v>
      </c>
      <c r="C2254" s="1">
        <v>720.0</v>
      </c>
      <c r="D2254" s="2" t="s">
        <v>2249</v>
      </c>
      <c r="E2254" s="1">
        <v>75.0</v>
      </c>
      <c r="F2254" s="1">
        <v>10.0</v>
      </c>
      <c r="G2254" s="1">
        <v>0.0</v>
      </c>
      <c r="H2254" s="1">
        <v>0.0</v>
      </c>
      <c r="I2254" s="1">
        <v>0.0</v>
      </c>
      <c r="J2254" s="1">
        <v>0.0</v>
      </c>
      <c r="K2254" s="1">
        <v>0.0</v>
      </c>
      <c r="L2254" s="1">
        <v>9810000.0</v>
      </c>
      <c r="M2254" s="1" t="s">
        <v>7344</v>
      </c>
      <c r="N2254" s="18">
        <v>46009.0</v>
      </c>
      <c r="O2254" s="1" t="s">
        <v>5650</v>
      </c>
      <c r="P2254" s="1" t="s">
        <v>3230</v>
      </c>
      <c r="Q2254" s="1" t="s">
        <v>3408</v>
      </c>
    </row>
    <row r="2255">
      <c r="A2255" s="1" t="s">
        <v>7345</v>
      </c>
      <c r="B2255" s="1">
        <v>75.0</v>
      </c>
      <c r="C2255" s="1">
        <v>70.0</v>
      </c>
      <c r="D2255" s="2" t="s">
        <v>2253</v>
      </c>
      <c r="E2255" s="1">
        <v>75.0</v>
      </c>
      <c r="F2255" s="1">
        <v>9.0</v>
      </c>
      <c r="G2255" s="1">
        <v>0.0</v>
      </c>
      <c r="H2255" s="1">
        <v>0.0</v>
      </c>
      <c r="I2255" s="1">
        <v>0.0</v>
      </c>
      <c r="J2255" s="1">
        <v>0.0</v>
      </c>
      <c r="K2255" s="1">
        <v>0.0</v>
      </c>
      <c r="L2255" s="1">
        <v>3070000.0</v>
      </c>
      <c r="M2255" s="1" t="s">
        <v>7346</v>
      </c>
      <c r="N2255" s="18">
        <v>46006.0</v>
      </c>
      <c r="O2255" s="1" t="s">
        <v>4096</v>
      </c>
      <c r="P2255" s="1" t="s">
        <v>3230</v>
      </c>
      <c r="Q2255" s="1" t="s">
        <v>3408</v>
      </c>
    </row>
    <row r="2256">
      <c r="A2256" s="1" t="s">
        <v>7347</v>
      </c>
      <c r="B2256" s="1">
        <v>75.0</v>
      </c>
      <c r="C2256" s="1">
        <v>70.0</v>
      </c>
      <c r="D2256" s="2" t="s">
        <v>754</v>
      </c>
      <c r="E2256" s="1">
        <v>75.0</v>
      </c>
      <c r="F2256" s="1">
        <v>27.0</v>
      </c>
      <c r="G2256" s="1">
        <v>0.0</v>
      </c>
      <c r="H2256" s="1">
        <v>0.0</v>
      </c>
      <c r="I2256" s="1">
        <v>0.0</v>
      </c>
      <c r="J2256" s="1">
        <v>0.0</v>
      </c>
      <c r="K2256" s="1">
        <v>0.0</v>
      </c>
      <c r="L2256" s="1">
        <v>4.24E8</v>
      </c>
      <c r="M2256" s="1" t="s">
        <v>7348</v>
      </c>
      <c r="N2256" s="18">
        <v>46006.0</v>
      </c>
      <c r="O2256" s="1" t="s">
        <v>6324</v>
      </c>
      <c r="P2256" s="1" t="s">
        <v>3230</v>
      </c>
      <c r="Q2256" s="1" t="s">
        <v>3408</v>
      </c>
    </row>
    <row r="2257">
      <c r="A2257" s="1" t="s">
        <v>7349</v>
      </c>
      <c r="B2257" s="1">
        <v>75.0</v>
      </c>
      <c r="C2257" s="1">
        <v>1000.0</v>
      </c>
      <c r="D2257" s="2" t="s">
        <v>581</v>
      </c>
      <c r="E2257" s="1">
        <v>75.0</v>
      </c>
      <c r="F2257" s="1">
        <v>42.0</v>
      </c>
      <c r="G2257" s="1">
        <v>19.44</v>
      </c>
      <c r="H2257" s="1">
        <v>0.0</v>
      </c>
      <c r="I2257" s="1">
        <v>0.0</v>
      </c>
      <c r="J2257" s="1">
        <v>0.0</v>
      </c>
      <c r="K2257" s="1">
        <v>0.58</v>
      </c>
      <c r="L2257" s="1">
        <v>1.43E7</v>
      </c>
      <c r="M2257" s="1" t="s">
        <v>7350</v>
      </c>
      <c r="N2257" s="18">
        <v>46006.0</v>
      </c>
      <c r="O2257" s="1" t="s">
        <v>3673</v>
      </c>
      <c r="P2257" s="1" t="s">
        <v>3257</v>
      </c>
      <c r="Q2257" s="1" t="s">
        <v>3408</v>
      </c>
    </row>
    <row r="2258">
      <c r="A2258" s="1" t="s">
        <v>5978</v>
      </c>
      <c r="B2258" s="1">
        <v>75.0</v>
      </c>
      <c r="C2258" s="1">
        <v>90.0</v>
      </c>
      <c r="D2258" s="2" t="s">
        <v>1198</v>
      </c>
      <c r="E2258" s="1">
        <v>75.0</v>
      </c>
      <c r="F2258" s="1">
        <v>6.0</v>
      </c>
      <c r="G2258" s="1">
        <v>5.31</v>
      </c>
      <c r="H2258" s="1">
        <v>0.0</v>
      </c>
      <c r="I2258" s="1">
        <v>0.0</v>
      </c>
      <c r="J2258" s="1">
        <v>0.0</v>
      </c>
      <c r="K2258" s="1">
        <v>0.48</v>
      </c>
      <c r="L2258" s="1">
        <v>648000.0</v>
      </c>
      <c r="M2258" s="1" t="s">
        <v>5979</v>
      </c>
      <c r="N2258" s="18">
        <v>46005.0</v>
      </c>
      <c r="O2258" s="1" t="s">
        <v>3404</v>
      </c>
      <c r="P2258" s="1" t="s">
        <v>3257</v>
      </c>
      <c r="Q2258" s="1" t="s">
        <v>3408</v>
      </c>
    </row>
    <row r="2259">
      <c r="A2259" s="1" t="s">
        <v>7351</v>
      </c>
      <c r="B2259" s="1">
        <v>75.0</v>
      </c>
      <c r="C2259" s="1">
        <v>90.0</v>
      </c>
      <c r="D2259" s="2" t="s">
        <v>584</v>
      </c>
      <c r="E2259" s="1">
        <v>75.0</v>
      </c>
      <c r="F2259" s="1">
        <v>32.0</v>
      </c>
      <c r="G2259" s="1">
        <v>16.88</v>
      </c>
      <c r="H2259" s="1">
        <v>0.0</v>
      </c>
      <c r="I2259" s="1">
        <v>0.0</v>
      </c>
      <c r="J2259" s="1">
        <v>0.0</v>
      </c>
      <c r="K2259" s="1">
        <v>0.54</v>
      </c>
      <c r="L2259" s="1">
        <v>2.25E7</v>
      </c>
      <c r="M2259" s="1" t="s">
        <v>7352</v>
      </c>
      <c r="N2259" s="18">
        <v>46002.0</v>
      </c>
      <c r="O2259" s="1" t="s">
        <v>3435</v>
      </c>
      <c r="P2259" s="1" t="s">
        <v>3257</v>
      </c>
      <c r="Q2259" s="1" t="s">
        <v>3408</v>
      </c>
    </row>
    <row r="2260">
      <c r="A2260" s="1" t="s">
        <v>7353</v>
      </c>
      <c r="B2260" s="1">
        <v>75.0</v>
      </c>
      <c r="C2260" s="1">
        <v>50.0</v>
      </c>
      <c r="D2260" s="2" t="s">
        <v>2249</v>
      </c>
      <c r="E2260" s="1">
        <v>75.0</v>
      </c>
      <c r="F2260" s="1">
        <v>7.0</v>
      </c>
      <c r="G2260" s="1">
        <v>0.0</v>
      </c>
      <c r="H2260" s="1">
        <v>0.0</v>
      </c>
      <c r="I2260" s="1">
        <v>0.0</v>
      </c>
      <c r="J2260" s="1">
        <v>0.0</v>
      </c>
      <c r="K2260" s="1">
        <v>0.0</v>
      </c>
      <c r="L2260" s="1">
        <v>2300000.0</v>
      </c>
      <c r="M2260" s="1" t="s">
        <v>7354</v>
      </c>
      <c r="N2260" s="18">
        <v>46001.0</v>
      </c>
      <c r="O2260" s="1" t="s">
        <v>5344</v>
      </c>
      <c r="P2260" s="1" t="s">
        <v>3230</v>
      </c>
      <c r="Q2260" s="1" t="s">
        <v>3408</v>
      </c>
    </row>
    <row r="2261">
      <c r="A2261" s="1" t="s">
        <v>7355</v>
      </c>
      <c r="B2261" s="1">
        <v>75.0</v>
      </c>
      <c r="C2261" s="1">
        <v>110.0</v>
      </c>
      <c r="D2261" s="2" t="s">
        <v>439</v>
      </c>
      <c r="E2261" s="1">
        <v>75.0</v>
      </c>
      <c r="F2261" s="1">
        <v>18.0</v>
      </c>
      <c r="G2261" s="1">
        <v>3.39</v>
      </c>
      <c r="H2261" s="1">
        <v>0.0</v>
      </c>
      <c r="I2261" s="1">
        <v>0.0</v>
      </c>
      <c r="J2261" s="1">
        <v>0.0</v>
      </c>
      <c r="K2261" s="1">
        <v>0.09</v>
      </c>
      <c r="L2261" s="1">
        <v>1660.0</v>
      </c>
      <c r="M2261" s="1" t="s">
        <v>7356</v>
      </c>
      <c r="N2261" s="18">
        <v>46001.0</v>
      </c>
      <c r="O2261" s="1" t="s">
        <v>3821</v>
      </c>
      <c r="P2261" s="1" t="s">
        <v>3230</v>
      </c>
      <c r="Q2261" s="1" t="s">
        <v>3408</v>
      </c>
    </row>
    <row r="2262">
      <c r="A2262" s="1" t="s">
        <v>6358</v>
      </c>
      <c r="B2262" s="1">
        <v>75.0</v>
      </c>
      <c r="C2262" s="1">
        <v>40.0</v>
      </c>
      <c r="D2262" s="2" t="s">
        <v>439</v>
      </c>
      <c r="E2262" s="1">
        <v>75.0</v>
      </c>
      <c r="F2262" s="1">
        <v>20.0</v>
      </c>
      <c r="G2262" s="1">
        <v>0.0</v>
      </c>
      <c r="H2262" s="1">
        <v>0.0</v>
      </c>
      <c r="I2262" s="1">
        <v>0.0</v>
      </c>
      <c r="J2262" s="1">
        <v>0.0</v>
      </c>
      <c r="K2262" s="1">
        <v>0.2</v>
      </c>
      <c r="L2262" s="1">
        <v>56500.0</v>
      </c>
      <c r="M2262" s="1" t="s">
        <v>6359</v>
      </c>
      <c r="N2262" s="18">
        <v>45998.0</v>
      </c>
      <c r="O2262" s="1" t="s">
        <v>5079</v>
      </c>
      <c r="P2262" s="1" t="s">
        <v>3294</v>
      </c>
      <c r="Q2262" s="1" t="s">
        <v>3408</v>
      </c>
    </row>
    <row r="2263">
      <c r="A2263" s="1" t="s">
        <v>7357</v>
      </c>
      <c r="B2263" s="1">
        <v>75.0</v>
      </c>
      <c r="C2263" s="1">
        <v>1300.0</v>
      </c>
      <c r="D2263" s="2" t="s">
        <v>2249</v>
      </c>
      <c r="E2263" s="1">
        <v>75.0</v>
      </c>
      <c r="F2263" s="1">
        <v>15.0</v>
      </c>
      <c r="G2263" s="1">
        <v>0.0</v>
      </c>
      <c r="H2263" s="1">
        <v>0.0</v>
      </c>
      <c r="I2263" s="1">
        <v>0.0</v>
      </c>
      <c r="J2263" s="1">
        <v>0.0</v>
      </c>
      <c r="K2263" s="1">
        <v>0.0</v>
      </c>
      <c r="L2263" s="1">
        <v>2.33E8</v>
      </c>
      <c r="M2263" s="1" t="s">
        <v>7358</v>
      </c>
      <c r="N2263" s="18">
        <v>45992.0</v>
      </c>
      <c r="O2263" s="1" t="s">
        <v>5442</v>
      </c>
      <c r="P2263" s="1" t="s">
        <v>3230</v>
      </c>
      <c r="Q2263" s="1" t="s">
        <v>3408</v>
      </c>
    </row>
    <row r="2264">
      <c r="A2264" s="1" t="s">
        <v>7359</v>
      </c>
      <c r="B2264" s="1">
        <v>75.0</v>
      </c>
      <c r="C2264" s="1">
        <v>50.0</v>
      </c>
      <c r="D2264" s="2" t="s">
        <v>581</v>
      </c>
      <c r="E2264" s="1">
        <v>75.0</v>
      </c>
      <c r="F2264" s="1">
        <v>34.0</v>
      </c>
      <c r="G2264" s="1">
        <v>16.88</v>
      </c>
      <c r="H2264" s="1">
        <v>0.0</v>
      </c>
      <c r="I2264" s="1">
        <v>0.0</v>
      </c>
      <c r="J2264" s="1">
        <v>0.0</v>
      </c>
      <c r="K2264" s="1">
        <v>0.54</v>
      </c>
      <c r="L2264" s="1">
        <v>130000.0</v>
      </c>
      <c r="M2264" s="1" t="s">
        <v>7360</v>
      </c>
      <c r="N2264" s="18">
        <v>45990.0</v>
      </c>
      <c r="O2264" s="1" t="s">
        <v>3735</v>
      </c>
      <c r="P2264" s="1" t="s">
        <v>3257</v>
      </c>
      <c r="Q2264" s="1" t="s">
        <v>3408</v>
      </c>
    </row>
    <row r="2265">
      <c r="A2265" s="1" t="s">
        <v>7361</v>
      </c>
      <c r="B2265" s="1">
        <v>75.0</v>
      </c>
      <c r="C2265" s="1">
        <v>70.0</v>
      </c>
      <c r="D2265" s="2" t="s">
        <v>1552</v>
      </c>
      <c r="E2265" s="1">
        <v>75.0</v>
      </c>
      <c r="F2265" s="1">
        <v>7.0</v>
      </c>
      <c r="G2265" s="1">
        <v>1.27</v>
      </c>
      <c r="H2265" s="1">
        <v>0.0</v>
      </c>
      <c r="I2265" s="1">
        <v>0.0</v>
      </c>
      <c r="J2265" s="1">
        <v>0.0</v>
      </c>
      <c r="K2265" s="1">
        <v>0.1</v>
      </c>
      <c r="L2265" s="1">
        <v>10.0</v>
      </c>
      <c r="M2265" s="1" t="s">
        <v>7362</v>
      </c>
      <c r="N2265" s="18">
        <v>45985.0</v>
      </c>
      <c r="O2265" s="1" t="s">
        <v>3479</v>
      </c>
      <c r="P2265" s="1" t="s">
        <v>3230</v>
      </c>
      <c r="Q2265" s="1" t="s">
        <v>3408</v>
      </c>
    </row>
    <row r="2266">
      <c r="A2266" s="1" t="s">
        <v>4751</v>
      </c>
      <c r="B2266" s="1">
        <v>75.0</v>
      </c>
      <c r="C2266" s="1">
        <v>70.0</v>
      </c>
      <c r="D2266" s="2" t="s">
        <v>768</v>
      </c>
      <c r="E2266" s="1">
        <v>75.0</v>
      </c>
      <c r="F2266" s="1">
        <v>0.0</v>
      </c>
      <c r="G2266" s="1">
        <v>0.0</v>
      </c>
      <c r="H2266" s="1">
        <v>0.0</v>
      </c>
      <c r="I2266" s="1">
        <v>0.0</v>
      </c>
      <c r="J2266" s="1">
        <v>0.0</v>
      </c>
      <c r="K2266" s="1">
        <v>0.0</v>
      </c>
      <c r="L2266" s="1">
        <v>10.0</v>
      </c>
      <c r="M2266" s="1" t="s">
        <v>4752</v>
      </c>
      <c r="N2266" s="18">
        <v>45978.0</v>
      </c>
      <c r="O2266" s="1" t="s">
        <v>4753</v>
      </c>
      <c r="P2266" s="1" t="s">
        <v>3230</v>
      </c>
      <c r="Q2266" s="1" t="s">
        <v>3408</v>
      </c>
    </row>
    <row r="2267">
      <c r="A2267" s="1" t="s">
        <v>7363</v>
      </c>
      <c r="B2267" s="1">
        <v>75.0</v>
      </c>
      <c r="C2267" s="1">
        <v>110.0</v>
      </c>
      <c r="D2267" s="2" t="s">
        <v>694</v>
      </c>
      <c r="E2267" s="1">
        <v>75.0</v>
      </c>
      <c r="F2267" s="1">
        <v>37.0</v>
      </c>
      <c r="G2267" s="1">
        <v>1.33</v>
      </c>
      <c r="H2267" s="1">
        <v>0.0</v>
      </c>
      <c r="I2267" s="1">
        <v>0.0</v>
      </c>
      <c r="J2267" s="1">
        <v>0.0</v>
      </c>
      <c r="K2267" s="1">
        <v>0.15</v>
      </c>
      <c r="L2267" s="1">
        <v>6090000.0</v>
      </c>
      <c r="M2267" s="1" t="s">
        <v>7364</v>
      </c>
      <c r="N2267" s="18">
        <v>45952.0</v>
      </c>
      <c r="O2267" s="1" t="s">
        <v>3237</v>
      </c>
      <c r="P2267" s="1" t="s">
        <v>3230</v>
      </c>
      <c r="Q2267" s="1" t="s">
        <v>3408</v>
      </c>
    </row>
    <row r="2268">
      <c r="A2268" s="1" t="s">
        <v>7365</v>
      </c>
      <c r="B2268" s="1">
        <v>76.0</v>
      </c>
      <c r="C2268" s="1">
        <v>110.0</v>
      </c>
      <c r="D2268" s="2" t="s">
        <v>439</v>
      </c>
      <c r="E2268" s="1">
        <v>76.0</v>
      </c>
      <c r="F2268" s="1">
        <v>11.0</v>
      </c>
      <c r="G2268" s="1">
        <v>6.92</v>
      </c>
      <c r="H2268" s="1">
        <v>0.0</v>
      </c>
      <c r="I2268" s="1">
        <v>0.0</v>
      </c>
      <c r="J2268" s="1">
        <v>0.0</v>
      </c>
      <c r="K2268" s="1">
        <v>0.04</v>
      </c>
      <c r="L2268" s="1">
        <v>1430.0</v>
      </c>
      <c r="M2268" s="1" t="s">
        <v>7366</v>
      </c>
      <c r="N2268" s="18">
        <v>46041.0</v>
      </c>
      <c r="O2268" s="1" t="s">
        <v>5310</v>
      </c>
      <c r="P2268" s="1" t="s">
        <v>3301</v>
      </c>
      <c r="Q2268" s="1" t="s">
        <v>3408</v>
      </c>
    </row>
    <row r="2269">
      <c r="A2269" s="1" t="s">
        <v>7367</v>
      </c>
      <c r="B2269" s="1">
        <v>76.0</v>
      </c>
      <c r="C2269" s="1">
        <v>140.0</v>
      </c>
      <c r="D2269" s="2" t="s">
        <v>782</v>
      </c>
      <c r="E2269" s="1">
        <v>76.0</v>
      </c>
      <c r="F2269" s="1">
        <v>6.0</v>
      </c>
      <c r="G2269" s="1">
        <v>0.0</v>
      </c>
      <c r="H2269" s="1">
        <v>0.0</v>
      </c>
      <c r="I2269" s="1">
        <v>0.0</v>
      </c>
      <c r="J2269" s="1">
        <v>0.0</v>
      </c>
      <c r="K2269" s="1">
        <v>0.09</v>
      </c>
      <c r="L2269" s="1">
        <v>2020000.0</v>
      </c>
      <c r="M2269" s="1" t="s">
        <v>7368</v>
      </c>
      <c r="N2269" s="18">
        <v>46041.0</v>
      </c>
      <c r="O2269" s="1" t="s">
        <v>7369</v>
      </c>
      <c r="P2269" s="1" t="s">
        <v>3257</v>
      </c>
      <c r="Q2269" s="1" t="s">
        <v>3408</v>
      </c>
    </row>
    <row r="2270">
      <c r="A2270" s="1" t="s">
        <v>7370</v>
      </c>
      <c r="B2270" s="1">
        <v>76.0</v>
      </c>
      <c r="C2270" s="1">
        <v>30.0</v>
      </c>
      <c r="D2270" s="2" t="s">
        <v>911</v>
      </c>
      <c r="E2270" s="1">
        <v>76.0</v>
      </c>
      <c r="F2270" s="1">
        <v>5.0</v>
      </c>
      <c r="G2270" s="1">
        <v>1.32</v>
      </c>
      <c r="H2270" s="1">
        <v>0.0</v>
      </c>
      <c r="I2270" s="1">
        <v>0.0</v>
      </c>
      <c r="J2270" s="1">
        <v>0.0</v>
      </c>
      <c r="K2270" s="1">
        <v>0.49</v>
      </c>
      <c r="L2270" s="1">
        <v>6630000.0</v>
      </c>
      <c r="M2270" s="1" t="s">
        <v>7371</v>
      </c>
      <c r="N2270" s="18">
        <v>46041.0</v>
      </c>
      <c r="O2270" s="1" t="s">
        <v>7372</v>
      </c>
      <c r="P2270" s="1" t="s">
        <v>3334</v>
      </c>
      <c r="Q2270" s="1" t="s">
        <v>3408</v>
      </c>
    </row>
    <row r="2271">
      <c r="A2271" s="1" t="s">
        <v>7373</v>
      </c>
      <c r="B2271" s="1">
        <v>76.0</v>
      </c>
      <c r="C2271" s="1">
        <v>170.0</v>
      </c>
      <c r="D2271" s="2" t="s">
        <v>714</v>
      </c>
      <c r="E2271" s="1">
        <v>76.0</v>
      </c>
      <c r="F2271" s="1">
        <v>0.0</v>
      </c>
      <c r="G2271" s="1">
        <v>0.0</v>
      </c>
      <c r="H2271" s="1">
        <v>0.0</v>
      </c>
      <c r="I2271" s="1">
        <v>0.0</v>
      </c>
      <c r="J2271" s="1">
        <v>0.0</v>
      </c>
      <c r="K2271" s="1">
        <v>0.0</v>
      </c>
      <c r="L2271" s="1">
        <v>705000.0</v>
      </c>
      <c r="M2271" s="1" t="s">
        <v>7374</v>
      </c>
      <c r="N2271" s="18">
        <v>46041.0</v>
      </c>
      <c r="O2271" s="1" t="s">
        <v>3231</v>
      </c>
      <c r="P2271" s="1" t="s">
        <v>3230</v>
      </c>
      <c r="Q2271" s="1" t="s">
        <v>3408</v>
      </c>
    </row>
    <row r="2272">
      <c r="A2272" s="1" t="s">
        <v>7375</v>
      </c>
      <c r="B2272" s="1">
        <v>76.0</v>
      </c>
      <c r="C2272" s="1">
        <v>110.0</v>
      </c>
      <c r="D2272" s="2" t="s">
        <v>720</v>
      </c>
      <c r="E2272" s="1">
        <v>76.0</v>
      </c>
      <c r="F2272" s="1">
        <v>2.0</v>
      </c>
      <c r="G2272" s="1">
        <v>0.0</v>
      </c>
      <c r="H2272" s="1">
        <v>0.0</v>
      </c>
      <c r="I2272" s="1">
        <v>0.0</v>
      </c>
      <c r="J2272" s="1">
        <v>0.0</v>
      </c>
      <c r="K2272" s="1">
        <v>0.02</v>
      </c>
      <c r="L2272" s="1">
        <v>456000.0</v>
      </c>
      <c r="M2272" s="1" t="s">
        <v>7376</v>
      </c>
      <c r="N2272" s="18">
        <v>46038.0</v>
      </c>
      <c r="O2272" s="1" t="s">
        <v>5754</v>
      </c>
      <c r="P2272" s="1" t="s">
        <v>3257</v>
      </c>
      <c r="Q2272" s="1" t="s">
        <v>3408</v>
      </c>
    </row>
    <row r="2273">
      <c r="A2273" s="1" t="s">
        <v>7377</v>
      </c>
      <c r="B2273" s="1">
        <v>76.0</v>
      </c>
      <c r="C2273" s="1">
        <v>140.0</v>
      </c>
      <c r="D2273" s="2" t="s">
        <v>720</v>
      </c>
      <c r="E2273" s="1">
        <v>76.0</v>
      </c>
      <c r="F2273" s="1">
        <v>3.0</v>
      </c>
      <c r="G2273" s="1">
        <v>0.0</v>
      </c>
      <c r="H2273" s="1">
        <v>0.0</v>
      </c>
      <c r="I2273" s="1">
        <v>0.0</v>
      </c>
      <c r="J2273" s="1">
        <v>0.0</v>
      </c>
      <c r="K2273" s="1">
        <v>0.02</v>
      </c>
      <c r="L2273" s="1">
        <v>443000.0</v>
      </c>
      <c r="M2273" s="1" t="s">
        <v>7378</v>
      </c>
      <c r="N2273" s="18">
        <v>46036.0</v>
      </c>
      <c r="O2273" s="1" t="s">
        <v>7309</v>
      </c>
      <c r="P2273" s="1" t="s">
        <v>3257</v>
      </c>
      <c r="Q2273" s="1" t="s">
        <v>3408</v>
      </c>
    </row>
    <row r="2274">
      <c r="A2274" s="1" t="s">
        <v>7379</v>
      </c>
      <c r="B2274" s="1">
        <v>76.0</v>
      </c>
      <c r="C2274" s="1">
        <v>50.0</v>
      </c>
      <c r="D2274" s="2" t="s">
        <v>439</v>
      </c>
      <c r="E2274" s="1">
        <v>76.0</v>
      </c>
      <c r="F2274" s="1">
        <v>33.0</v>
      </c>
      <c r="G2274" s="1">
        <v>1.49</v>
      </c>
      <c r="H2274" s="1">
        <v>0.0</v>
      </c>
      <c r="I2274" s="1">
        <v>0.0</v>
      </c>
      <c r="J2274" s="1">
        <v>0.0</v>
      </c>
      <c r="K2274" s="1">
        <v>0.23</v>
      </c>
      <c r="L2274" s="1">
        <v>23500.0</v>
      </c>
      <c r="M2274" s="1" t="s">
        <v>7380</v>
      </c>
      <c r="N2274" s="18">
        <v>46036.0</v>
      </c>
      <c r="O2274" s="1" t="s">
        <v>3293</v>
      </c>
      <c r="P2274" s="1" t="s">
        <v>3294</v>
      </c>
      <c r="Q2274" s="1" t="s">
        <v>3408</v>
      </c>
    </row>
    <row r="2275">
      <c r="A2275" s="1" t="s">
        <v>7381</v>
      </c>
      <c r="B2275" s="1">
        <v>76.0</v>
      </c>
      <c r="C2275" s="1">
        <v>70.0</v>
      </c>
      <c r="D2275" s="2" t="s">
        <v>784</v>
      </c>
      <c r="E2275" s="1">
        <v>76.0</v>
      </c>
      <c r="F2275" s="1">
        <v>24.0</v>
      </c>
      <c r="G2275" s="1">
        <v>0.0</v>
      </c>
      <c r="H2275" s="1">
        <v>0.0</v>
      </c>
      <c r="I2275" s="1">
        <v>0.0</v>
      </c>
      <c r="J2275" s="1">
        <v>0.0</v>
      </c>
      <c r="K2275" s="1">
        <v>0.0</v>
      </c>
      <c r="L2275" s="1">
        <v>214000.0</v>
      </c>
      <c r="M2275" s="1" t="s">
        <v>7382</v>
      </c>
      <c r="N2275" s="18">
        <v>46034.0</v>
      </c>
      <c r="O2275" s="1" t="s">
        <v>4646</v>
      </c>
      <c r="P2275" s="1" t="s">
        <v>3230</v>
      </c>
      <c r="Q2275" s="1" t="s">
        <v>3408</v>
      </c>
    </row>
    <row r="2276">
      <c r="A2276" s="1" t="s">
        <v>7383</v>
      </c>
      <c r="B2276" s="1">
        <v>76.0</v>
      </c>
      <c r="C2276" s="1">
        <v>50.0</v>
      </c>
      <c r="D2276" s="2" t="s">
        <v>1543</v>
      </c>
      <c r="E2276" s="1">
        <v>76.0</v>
      </c>
      <c r="F2276" s="1">
        <v>10.0</v>
      </c>
      <c r="G2276" s="1">
        <v>0.0</v>
      </c>
      <c r="H2276" s="1">
        <v>0.0</v>
      </c>
      <c r="I2276" s="1">
        <v>0.0</v>
      </c>
      <c r="J2276" s="1">
        <v>0.0</v>
      </c>
      <c r="K2276" s="1">
        <v>0.02</v>
      </c>
      <c r="L2276" s="1">
        <v>3790000.0</v>
      </c>
      <c r="M2276" s="1" t="s">
        <v>6185</v>
      </c>
      <c r="N2276" s="18">
        <v>46030.0</v>
      </c>
      <c r="O2276" s="1" t="s">
        <v>5527</v>
      </c>
      <c r="P2276" s="1" t="s">
        <v>3230</v>
      </c>
      <c r="Q2276" s="1" t="s">
        <v>3408</v>
      </c>
    </row>
    <row r="2277">
      <c r="A2277" s="1" t="s">
        <v>7384</v>
      </c>
      <c r="B2277" s="1">
        <v>76.0</v>
      </c>
      <c r="C2277" s="1">
        <v>40.0</v>
      </c>
      <c r="D2277" s="2" t="s">
        <v>2951</v>
      </c>
      <c r="E2277" s="1">
        <v>76.0</v>
      </c>
      <c r="F2277" s="1">
        <v>6.0</v>
      </c>
      <c r="G2277" s="1">
        <v>0.0</v>
      </c>
      <c r="H2277" s="1">
        <v>0.0</v>
      </c>
      <c r="I2277" s="1">
        <v>0.0</v>
      </c>
      <c r="J2277" s="1">
        <v>0.0</v>
      </c>
      <c r="K2277" s="1">
        <v>0.0</v>
      </c>
      <c r="L2277" s="1">
        <v>997000.0</v>
      </c>
      <c r="M2277" s="1" t="s">
        <v>7348</v>
      </c>
      <c r="N2277" s="18">
        <v>46028.0</v>
      </c>
      <c r="O2277" s="1" t="s">
        <v>5161</v>
      </c>
      <c r="P2277" s="1" t="s">
        <v>3230</v>
      </c>
      <c r="Q2277" s="1" t="s">
        <v>3408</v>
      </c>
    </row>
    <row r="2278">
      <c r="A2278" s="1" t="s">
        <v>7385</v>
      </c>
      <c r="B2278" s="1">
        <v>76.0</v>
      </c>
      <c r="C2278" s="1">
        <v>110.0</v>
      </c>
      <c r="D2278" s="2" t="s">
        <v>2253</v>
      </c>
      <c r="E2278" s="1">
        <v>76.0</v>
      </c>
      <c r="F2278" s="1">
        <v>20.0</v>
      </c>
      <c r="G2278" s="1">
        <v>0.0</v>
      </c>
      <c r="H2278" s="1">
        <v>0.0</v>
      </c>
      <c r="I2278" s="1">
        <v>0.0</v>
      </c>
      <c r="J2278" s="1">
        <v>0.0</v>
      </c>
      <c r="K2278" s="1">
        <v>0.0</v>
      </c>
      <c r="L2278" s="1">
        <v>4.44E8</v>
      </c>
      <c r="M2278" s="1" t="s">
        <v>7386</v>
      </c>
      <c r="N2278" s="18">
        <v>46026.0</v>
      </c>
      <c r="O2278" s="1" t="s">
        <v>6451</v>
      </c>
      <c r="P2278" s="1" t="s">
        <v>3301</v>
      </c>
      <c r="Q2278" s="1" t="s">
        <v>3408</v>
      </c>
    </row>
    <row r="2279">
      <c r="A2279" s="1" t="s">
        <v>7387</v>
      </c>
      <c r="B2279" s="1">
        <v>76.0</v>
      </c>
      <c r="C2279" s="1">
        <v>110.0</v>
      </c>
      <c r="D2279" s="2" t="s">
        <v>2048</v>
      </c>
      <c r="E2279" s="1">
        <v>76.0</v>
      </c>
      <c r="F2279" s="1">
        <v>16.0</v>
      </c>
      <c r="G2279" s="1">
        <v>0.0</v>
      </c>
      <c r="H2279" s="1">
        <v>0.0</v>
      </c>
      <c r="I2279" s="1">
        <v>0.0</v>
      </c>
      <c r="J2279" s="1">
        <v>0.0</v>
      </c>
      <c r="K2279" s="1">
        <v>0.0</v>
      </c>
      <c r="L2279" s="1">
        <v>3.75E7</v>
      </c>
      <c r="M2279" s="1" t="s">
        <v>7388</v>
      </c>
      <c r="N2279" s="18">
        <v>46026.0</v>
      </c>
      <c r="O2279" s="1" t="s">
        <v>7389</v>
      </c>
      <c r="P2279" s="1" t="s">
        <v>3230</v>
      </c>
      <c r="Q2279" s="1" t="s">
        <v>3408</v>
      </c>
    </row>
    <row r="2280">
      <c r="A2280" s="1" t="s">
        <v>7390</v>
      </c>
      <c r="B2280" s="1">
        <v>76.0</v>
      </c>
      <c r="C2280" s="1">
        <v>40.0</v>
      </c>
      <c r="D2280" s="2" t="s">
        <v>581</v>
      </c>
      <c r="E2280" s="1">
        <v>76.0</v>
      </c>
      <c r="F2280" s="1">
        <v>12.0</v>
      </c>
      <c r="G2280" s="1">
        <v>7.37</v>
      </c>
      <c r="H2280" s="1">
        <v>0.0</v>
      </c>
      <c r="I2280" s="1">
        <v>0.0</v>
      </c>
      <c r="J2280" s="1">
        <v>0.0</v>
      </c>
      <c r="K2280" s="1">
        <v>0.66</v>
      </c>
      <c r="L2280" s="1">
        <v>746000.0</v>
      </c>
      <c r="M2280" s="1" t="s">
        <v>7391</v>
      </c>
      <c r="N2280" s="18">
        <v>46026.0</v>
      </c>
      <c r="O2280" s="1" t="s">
        <v>3755</v>
      </c>
      <c r="P2280" s="1" t="s">
        <v>3257</v>
      </c>
      <c r="Q2280" s="1" t="s">
        <v>3408</v>
      </c>
    </row>
    <row r="2281">
      <c r="A2281" s="1" t="s">
        <v>7392</v>
      </c>
      <c r="B2281" s="1">
        <v>76.0</v>
      </c>
      <c r="C2281" s="1">
        <v>70.0</v>
      </c>
      <c r="D2281" s="2" t="s">
        <v>581</v>
      </c>
      <c r="E2281" s="1">
        <v>76.0</v>
      </c>
      <c r="F2281" s="1">
        <v>8.0</v>
      </c>
      <c r="G2281" s="1">
        <v>2.5</v>
      </c>
      <c r="H2281" s="1">
        <v>0.0</v>
      </c>
      <c r="I2281" s="1">
        <v>0.0</v>
      </c>
      <c r="J2281" s="1">
        <v>0.0</v>
      </c>
      <c r="K2281" s="1">
        <v>0.11</v>
      </c>
      <c r="L2281" s="1">
        <v>6.54E7</v>
      </c>
      <c r="M2281" s="1" t="s">
        <v>7393</v>
      </c>
      <c r="N2281" s="18">
        <v>46025.0</v>
      </c>
      <c r="O2281" s="1" t="s">
        <v>5848</v>
      </c>
      <c r="P2281" s="1" t="s">
        <v>3257</v>
      </c>
      <c r="Q2281" s="1" t="s">
        <v>3408</v>
      </c>
    </row>
    <row r="2282">
      <c r="A2282" s="1" t="s">
        <v>7394</v>
      </c>
      <c r="B2282" s="1">
        <v>76.0</v>
      </c>
      <c r="C2282" s="1">
        <v>110.0</v>
      </c>
      <c r="D2282" s="2" t="s">
        <v>1536</v>
      </c>
      <c r="E2282" s="1">
        <v>76.0</v>
      </c>
      <c r="F2282" s="1">
        <v>13.0</v>
      </c>
      <c r="G2282" s="1">
        <v>0.0</v>
      </c>
      <c r="H2282" s="1">
        <v>0.0</v>
      </c>
      <c r="I2282" s="1">
        <v>0.0</v>
      </c>
      <c r="J2282" s="1">
        <v>0.0</v>
      </c>
      <c r="K2282" s="1">
        <v>0.0</v>
      </c>
      <c r="L2282" s="1">
        <v>2.75E7</v>
      </c>
      <c r="M2282" s="1" t="s">
        <v>7395</v>
      </c>
      <c r="N2282" s="18">
        <v>46022.0</v>
      </c>
      <c r="O2282" s="1" t="s">
        <v>3479</v>
      </c>
      <c r="P2282" s="1" t="s">
        <v>3230</v>
      </c>
      <c r="Q2282" s="1" t="s">
        <v>3408</v>
      </c>
    </row>
    <row r="2283">
      <c r="A2283" s="1" t="s">
        <v>4122</v>
      </c>
      <c r="B2283" s="1">
        <v>76.0</v>
      </c>
      <c r="C2283" s="1">
        <v>50.0</v>
      </c>
      <c r="D2283" s="2" t="s">
        <v>687</v>
      </c>
      <c r="E2283" s="1">
        <v>76.0</v>
      </c>
      <c r="F2283" s="1">
        <v>33.0</v>
      </c>
      <c r="G2283" s="1">
        <v>0.0</v>
      </c>
      <c r="H2283" s="1">
        <v>0.0</v>
      </c>
      <c r="I2283" s="1">
        <v>0.0</v>
      </c>
      <c r="J2283" s="1">
        <v>0.0</v>
      </c>
      <c r="K2283" s="1">
        <v>0.0</v>
      </c>
      <c r="L2283" s="1">
        <v>1.02E7</v>
      </c>
      <c r="M2283" s="1" t="s">
        <v>4123</v>
      </c>
      <c r="N2283" s="18">
        <v>46021.0</v>
      </c>
      <c r="O2283" s="1" t="s">
        <v>3482</v>
      </c>
      <c r="P2283" s="1" t="s">
        <v>3257</v>
      </c>
      <c r="Q2283" s="1" t="s">
        <v>3408</v>
      </c>
    </row>
    <row r="2284">
      <c r="A2284" s="1" t="s">
        <v>6836</v>
      </c>
      <c r="B2284" s="1">
        <v>76.0</v>
      </c>
      <c r="C2284" s="1">
        <v>30.0</v>
      </c>
      <c r="D2284" s="2" t="s">
        <v>1099</v>
      </c>
      <c r="E2284" s="1">
        <v>76.0</v>
      </c>
      <c r="F2284" s="1">
        <v>10.0</v>
      </c>
      <c r="G2284" s="1">
        <v>1.28</v>
      </c>
      <c r="H2284" s="1">
        <v>0.0</v>
      </c>
      <c r="I2284" s="1">
        <v>0.0</v>
      </c>
      <c r="J2284" s="1">
        <v>0.0</v>
      </c>
      <c r="K2284" s="1">
        <v>0.57</v>
      </c>
      <c r="L2284" s="1">
        <v>400000.0</v>
      </c>
      <c r="M2284" s="1" t="s">
        <v>6146</v>
      </c>
      <c r="N2284" s="18">
        <v>46021.0</v>
      </c>
      <c r="O2284" s="1" t="s">
        <v>6837</v>
      </c>
      <c r="P2284" s="1" t="s">
        <v>3230</v>
      </c>
      <c r="Q2284" s="1" t="s">
        <v>3408</v>
      </c>
    </row>
    <row r="2285">
      <c r="A2285" s="1" t="s">
        <v>7396</v>
      </c>
      <c r="B2285" s="1">
        <v>76.0</v>
      </c>
      <c r="C2285" s="1">
        <v>40.0</v>
      </c>
      <c r="D2285" s="2" t="s">
        <v>581</v>
      </c>
      <c r="E2285" s="1">
        <v>76.0</v>
      </c>
      <c r="F2285" s="1">
        <v>1.0</v>
      </c>
      <c r="G2285" s="1">
        <v>0.0</v>
      </c>
      <c r="H2285" s="1">
        <v>0.0</v>
      </c>
      <c r="I2285" s="1">
        <v>0.0</v>
      </c>
      <c r="J2285" s="1">
        <v>0.0</v>
      </c>
      <c r="K2285" s="1">
        <v>0.0</v>
      </c>
      <c r="L2285" s="1">
        <v>985000.0</v>
      </c>
      <c r="M2285" s="1" t="s">
        <v>7397</v>
      </c>
      <c r="N2285" s="18">
        <v>46021.0</v>
      </c>
      <c r="O2285" s="1" t="s">
        <v>3418</v>
      </c>
      <c r="P2285" s="1" t="s">
        <v>3257</v>
      </c>
      <c r="Q2285" s="1" t="s">
        <v>3408</v>
      </c>
    </row>
    <row r="2286">
      <c r="A2286" s="1" t="s">
        <v>7398</v>
      </c>
      <c r="B2286" s="1">
        <v>76.0</v>
      </c>
      <c r="C2286" s="1">
        <v>30.0</v>
      </c>
      <c r="D2286" s="2" t="s">
        <v>439</v>
      </c>
      <c r="E2286" s="1">
        <v>76.0</v>
      </c>
      <c r="F2286" s="1">
        <v>13.0</v>
      </c>
      <c r="G2286" s="1">
        <v>4.74</v>
      </c>
      <c r="H2286" s="1">
        <v>0.0</v>
      </c>
      <c r="I2286" s="1">
        <v>0.0</v>
      </c>
      <c r="J2286" s="1">
        <v>0.0</v>
      </c>
      <c r="K2286" s="1">
        <v>0.21</v>
      </c>
      <c r="L2286" s="1">
        <v>2.6E7</v>
      </c>
      <c r="M2286" s="1" t="s">
        <v>4564</v>
      </c>
      <c r="N2286" s="18">
        <v>46020.0</v>
      </c>
      <c r="O2286" s="1" t="s">
        <v>3337</v>
      </c>
      <c r="P2286" s="1" t="s">
        <v>3230</v>
      </c>
      <c r="Q2286" s="1" t="s">
        <v>3408</v>
      </c>
    </row>
    <row r="2287">
      <c r="A2287" s="1" t="s">
        <v>7399</v>
      </c>
      <c r="B2287" s="1">
        <v>76.0</v>
      </c>
      <c r="C2287" s="1">
        <v>30.0</v>
      </c>
      <c r="D2287" s="2" t="s">
        <v>740</v>
      </c>
      <c r="E2287" s="1">
        <v>76.0</v>
      </c>
      <c r="F2287" s="1">
        <v>27.0</v>
      </c>
      <c r="G2287" s="1">
        <v>25.06</v>
      </c>
      <c r="H2287" s="1">
        <v>0.0</v>
      </c>
      <c r="I2287" s="1">
        <v>0.0</v>
      </c>
      <c r="J2287" s="1">
        <v>0.0</v>
      </c>
      <c r="K2287" s="1">
        <v>0.62</v>
      </c>
      <c r="L2287" s="1">
        <v>5.17E7</v>
      </c>
      <c r="M2287" s="1" t="s">
        <v>7400</v>
      </c>
      <c r="N2287" s="18">
        <v>46017.0</v>
      </c>
      <c r="O2287" s="1" t="s">
        <v>7401</v>
      </c>
      <c r="P2287" s="1" t="s">
        <v>3230</v>
      </c>
      <c r="Q2287" s="1" t="s">
        <v>3408</v>
      </c>
    </row>
    <row r="2288">
      <c r="A2288" s="1" t="s">
        <v>7402</v>
      </c>
      <c r="B2288" s="1">
        <v>76.0</v>
      </c>
      <c r="C2288" s="1">
        <v>40.0</v>
      </c>
      <c r="D2288" s="2" t="s">
        <v>1857</v>
      </c>
      <c r="E2288" s="1">
        <v>76.0</v>
      </c>
      <c r="F2288" s="1">
        <v>0.0</v>
      </c>
      <c r="G2288" s="1">
        <v>3.68</v>
      </c>
      <c r="H2288" s="1">
        <v>0.0</v>
      </c>
      <c r="I2288" s="1">
        <v>0.0</v>
      </c>
      <c r="J2288" s="1">
        <v>0.0</v>
      </c>
      <c r="K2288" s="1">
        <v>0.37</v>
      </c>
      <c r="L2288" s="1">
        <v>9.76E7</v>
      </c>
      <c r="M2288" s="1" t="s">
        <v>7403</v>
      </c>
      <c r="N2288" s="18">
        <v>46016.0</v>
      </c>
      <c r="O2288" s="1" t="s">
        <v>3237</v>
      </c>
      <c r="P2288" s="1" t="s">
        <v>3230</v>
      </c>
      <c r="Q2288" s="1" t="s">
        <v>3408</v>
      </c>
    </row>
    <row r="2289">
      <c r="A2289" s="1" t="s">
        <v>5285</v>
      </c>
      <c r="B2289" s="1">
        <v>76.0</v>
      </c>
      <c r="C2289" s="1">
        <v>90.0</v>
      </c>
      <c r="D2289" s="2" t="s">
        <v>2953</v>
      </c>
      <c r="E2289" s="1">
        <v>76.0</v>
      </c>
      <c r="F2289" s="1">
        <v>0.0</v>
      </c>
      <c r="G2289" s="1">
        <v>0.0</v>
      </c>
      <c r="H2289" s="1">
        <v>0.0</v>
      </c>
      <c r="I2289" s="1">
        <v>0.0</v>
      </c>
      <c r="J2289" s="1">
        <v>0.0</v>
      </c>
      <c r="K2289" s="1">
        <v>0.0</v>
      </c>
      <c r="L2289" s="1">
        <v>90500.0</v>
      </c>
      <c r="M2289" s="1" t="s">
        <v>5286</v>
      </c>
      <c r="N2289" s="18">
        <v>46015.0</v>
      </c>
      <c r="O2289" s="1" t="s">
        <v>5287</v>
      </c>
      <c r="P2289" s="1" t="s">
        <v>3334</v>
      </c>
      <c r="Q2289" s="1" t="s">
        <v>3408</v>
      </c>
    </row>
    <row r="2290">
      <c r="A2290" s="1" t="s">
        <v>7404</v>
      </c>
      <c r="B2290" s="1">
        <v>76.0</v>
      </c>
      <c r="C2290" s="1">
        <v>40.0</v>
      </c>
      <c r="D2290" s="2" t="s">
        <v>911</v>
      </c>
      <c r="E2290" s="1">
        <v>76.0</v>
      </c>
      <c r="F2290" s="1">
        <v>6.0</v>
      </c>
      <c r="G2290" s="1">
        <v>1.23</v>
      </c>
      <c r="H2290" s="1">
        <v>0.0</v>
      </c>
      <c r="I2290" s="1">
        <v>0.0</v>
      </c>
      <c r="J2290" s="1">
        <v>0.0</v>
      </c>
      <c r="K2290" s="1">
        <v>0.46</v>
      </c>
      <c r="L2290" s="1">
        <v>6750000.0</v>
      </c>
      <c r="M2290" s="1" t="s">
        <v>5864</v>
      </c>
      <c r="N2290" s="18">
        <v>46015.0</v>
      </c>
      <c r="O2290" s="1" t="s">
        <v>7405</v>
      </c>
      <c r="P2290" s="1" t="s">
        <v>3230</v>
      </c>
      <c r="Q2290" s="1" t="s">
        <v>3408</v>
      </c>
    </row>
    <row r="2291">
      <c r="A2291" s="1" t="s">
        <v>7406</v>
      </c>
      <c r="B2291" s="1">
        <v>76.0</v>
      </c>
      <c r="C2291" s="1">
        <v>480.0</v>
      </c>
      <c r="D2291" s="2" t="s">
        <v>694</v>
      </c>
      <c r="E2291" s="1">
        <v>76.0</v>
      </c>
      <c r="F2291" s="1">
        <v>13.0</v>
      </c>
      <c r="G2291" s="1">
        <v>1.58</v>
      </c>
      <c r="H2291" s="1">
        <v>0.0</v>
      </c>
      <c r="I2291" s="1">
        <v>0.0</v>
      </c>
      <c r="J2291" s="1">
        <v>0.0</v>
      </c>
      <c r="K2291" s="1">
        <v>0.02</v>
      </c>
      <c r="L2291" s="1">
        <v>3630000.0</v>
      </c>
      <c r="M2291" s="1" t="s">
        <v>7407</v>
      </c>
      <c r="N2291" s="18">
        <v>46014.0</v>
      </c>
      <c r="O2291" s="1" t="s">
        <v>3496</v>
      </c>
      <c r="P2291" s="1" t="s">
        <v>3257</v>
      </c>
      <c r="Q2291" s="1" t="s">
        <v>3408</v>
      </c>
    </row>
    <row r="2292">
      <c r="A2292" s="1" t="s">
        <v>7408</v>
      </c>
      <c r="B2292" s="1">
        <v>76.0</v>
      </c>
      <c r="C2292" s="1">
        <v>70.0</v>
      </c>
      <c r="D2292" s="2" t="s">
        <v>581</v>
      </c>
      <c r="E2292" s="1">
        <v>76.0</v>
      </c>
      <c r="F2292" s="1">
        <v>13.0</v>
      </c>
      <c r="G2292" s="1">
        <v>21.86</v>
      </c>
      <c r="H2292" s="1">
        <v>0.0</v>
      </c>
      <c r="I2292" s="1">
        <v>0.0</v>
      </c>
      <c r="J2292" s="1">
        <v>0.0</v>
      </c>
      <c r="K2292" s="1">
        <v>1.0</v>
      </c>
      <c r="L2292" s="1">
        <v>2.0E7</v>
      </c>
      <c r="M2292" s="1" t="s">
        <v>7409</v>
      </c>
      <c r="N2292" s="18">
        <v>46014.0</v>
      </c>
      <c r="O2292" s="1" t="s">
        <v>5791</v>
      </c>
      <c r="P2292" s="1" t="s">
        <v>3257</v>
      </c>
      <c r="Q2292" s="1" t="s">
        <v>3408</v>
      </c>
    </row>
    <row r="2293">
      <c r="A2293" s="1" t="s">
        <v>7410</v>
      </c>
      <c r="B2293" s="1">
        <v>76.0</v>
      </c>
      <c r="C2293" s="1">
        <v>90.0</v>
      </c>
      <c r="D2293" s="2" t="s">
        <v>2249</v>
      </c>
      <c r="E2293" s="1">
        <v>76.0</v>
      </c>
      <c r="F2293" s="1">
        <v>19.0</v>
      </c>
      <c r="G2293" s="1">
        <v>0.0</v>
      </c>
      <c r="H2293" s="1">
        <v>0.0</v>
      </c>
      <c r="I2293" s="1">
        <v>0.0</v>
      </c>
      <c r="J2293" s="1">
        <v>0.0</v>
      </c>
      <c r="K2293" s="1">
        <v>0.0</v>
      </c>
      <c r="L2293" s="1">
        <v>5.06E7</v>
      </c>
      <c r="M2293" s="1" t="s">
        <v>7411</v>
      </c>
      <c r="N2293" s="18">
        <v>46011.0</v>
      </c>
      <c r="O2293" s="1" t="s">
        <v>5344</v>
      </c>
      <c r="P2293" s="1" t="s">
        <v>3230</v>
      </c>
      <c r="Q2293" s="1" t="s">
        <v>3408</v>
      </c>
    </row>
    <row r="2294">
      <c r="A2294" s="1" t="s">
        <v>7412</v>
      </c>
      <c r="B2294" s="1">
        <v>76.0</v>
      </c>
      <c r="C2294" s="1">
        <v>70.0</v>
      </c>
      <c r="D2294" s="2" t="s">
        <v>447</v>
      </c>
      <c r="E2294" s="1">
        <v>76.0</v>
      </c>
      <c r="F2294" s="1">
        <v>11.0</v>
      </c>
      <c r="G2294" s="1">
        <v>2.58</v>
      </c>
      <c r="H2294" s="1">
        <v>0.0</v>
      </c>
      <c r="I2294" s="1">
        <v>0.0</v>
      </c>
      <c r="J2294" s="1">
        <v>0.0</v>
      </c>
      <c r="K2294" s="1">
        <v>0.53</v>
      </c>
      <c r="L2294" s="1">
        <v>1180000.0</v>
      </c>
      <c r="M2294" s="1" t="s">
        <v>7413</v>
      </c>
      <c r="N2294" s="18">
        <v>46010.0</v>
      </c>
      <c r="O2294" s="1" t="s">
        <v>3435</v>
      </c>
      <c r="P2294" s="1" t="s">
        <v>3257</v>
      </c>
      <c r="Q2294" s="1" t="s">
        <v>3408</v>
      </c>
    </row>
    <row r="2295">
      <c r="A2295" s="1" t="s">
        <v>3480</v>
      </c>
      <c r="B2295" s="1">
        <v>76.0</v>
      </c>
      <c r="C2295" s="1">
        <v>50.0</v>
      </c>
      <c r="D2295" s="2" t="s">
        <v>447</v>
      </c>
      <c r="E2295" s="1">
        <v>76.0</v>
      </c>
      <c r="F2295" s="1">
        <v>23.0</v>
      </c>
      <c r="G2295" s="1">
        <v>7.8</v>
      </c>
      <c r="H2295" s="1">
        <v>0.0</v>
      </c>
      <c r="I2295" s="1">
        <v>0.0</v>
      </c>
      <c r="J2295" s="1">
        <v>0.0</v>
      </c>
      <c r="K2295" s="1">
        <v>0.52</v>
      </c>
      <c r="L2295" s="1">
        <v>61800.0</v>
      </c>
      <c r="M2295" s="1" t="s">
        <v>3481</v>
      </c>
      <c r="N2295" s="18">
        <v>46008.0</v>
      </c>
      <c r="O2295" s="1" t="s">
        <v>3482</v>
      </c>
      <c r="P2295" s="1" t="s">
        <v>3257</v>
      </c>
      <c r="Q2295" s="1" t="s">
        <v>3408</v>
      </c>
    </row>
    <row r="2296">
      <c r="A2296" s="1" t="s">
        <v>7414</v>
      </c>
      <c r="B2296" s="1">
        <v>76.0</v>
      </c>
      <c r="C2296" s="1">
        <v>110.0</v>
      </c>
      <c r="D2296" s="2" t="s">
        <v>581</v>
      </c>
      <c r="E2296" s="1">
        <v>76.0</v>
      </c>
      <c r="F2296" s="1">
        <v>13.0</v>
      </c>
      <c r="G2296" s="1">
        <v>8.47</v>
      </c>
      <c r="H2296" s="1">
        <v>0.0</v>
      </c>
      <c r="I2296" s="1">
        <v>0.0</v>
      </c>
      <c r="J2296" s="1">
        <v>0.0</v>
      </c>
      <c r="K2296" s="1">
        <v>0.96</v>
      </c>
      <c r="L2296" s="1">
        <v>7160000.0</v>
      </c>
      <c r="M2296" s="1" t="s">
        <v>7415</v>
      </c>
      <c r="N2296" s="18">
        <v>46005.0</v>
      </c>
      <c r="O2296" s="1" t="s">
        <v>4965</v>
      </c>
      <c r="P2296" s="1" t="s">
        <v>3230</v>
      </c>
      <c r="Q2296" s="1" t="s">
        <v>3408</v>
      </c>
    </row>
    <row r="2297">
      <c r="A2297" s="1" t="s">
        <v>7416</v>
      </c>
      <c r="B2297" s="1">
        <v>76.0</v>
      </c>
      <c r="C2297" s="1">
        <v>70.0</v>
      </c>
      <c r="D2297" s="2" t="s">
        <v>2249</v>
      </c>
      <c r="E2297" s="1">
        <v>76.0</v>
      </c>
      <c r="F2297" s="1">
        <v>7.0</v>
      </c>
      <c r="G2297" s="1">
        <v>0.0</v>
      </c>
      <c r="H2297" s="1">
        <v>0.0</v>
      </c>
      <c r="I2297" s="1">
        <v>0.0</v>
      </c>
      <c r="J2297" s="1">
        <v>0.0</v>
      </c>
      <c r="K2297" s="1">
        <v>0.0</v>
      </c>
      <c r="L2297" s="1">
        <v>1700000.0</v>
      </c>
      <c r="M2297" s="1" t="s">
        <v>7417</v>
      </c>
      <c r="N2297" s="18">
        <v>46005.0</v>
      </c>
      <c r="O2297" s="1" t="s">
        <v>3284</v>
      </c>
      <c r="P2297" s="1" t="s">
        <v>3230</v>
      </c>
      <c r="Q2297" s="1" t="s">
        <v>3408</v>
      </c>
    </row>
    <row r="2298">
      <c r="A2298" s="1" t="s">
        <v>7275</v>
      </c>
      <c r="B2298" s="1">
        <v>76.0</v>
      </c>
      <c r="C2298" s="1">
        <v>50.0</v>
      </c>
      <c r="D2298" s="2" t="s">
        <v>581</v>
      </c>
      <c r="E2298" s="1">
        <v>76.0</v>
      </c>
      <c r="F2298" s="1">
        <v>37.0</v>
      </c>
      <c r="G2298" s="1">
        <v>2.34</v>
      </c>
      <c r="H2298" s="1">
        <v>0.0</v>
      </c>
      <c r="I2298" s="1">
        <v>0.0</v>
      </c>
      <c r="J2298" s="1">
        <v>0.0</v>
      </c>
      <c r="K2298" s="1">
        <v>0.15</v>
      </c>
      <c r="L2298" s="1">
        <v>5.88E7</v>
      </c>
      <c r="M2298" s="1" t="s">
        <v>7276</v>
      </c>
      <c r="N2298" s="18">
        <v>46004.0</v>
      </c>
      <c r="O2298" s="1" t="s">
        <v>5865</v>
      </c>
      <c r="P2298" s="1" t="s">
        <v>3294</v>
      </c>
      <c r="Q2298" s="1" t="s">
        <v>3408</v>
      </c>
    </row>
    <row r="2299">
      <c r="A2299" s="1" t="s">
        <v>7418</v>
      </c>
      <c r="B2299" s="1">
        <v>76.0</v>
      </c>
      <c r="C2299" s="1">
        <v>140.0</v>
      </c>
      <c r="D2299" s="2" t="s">
        <v>2957</v>
      </c>
      <c r="E2299" s="1">
        <v>76.0</v>
      </c>
      <c r="F2299" s="1">
        <v>18.0</v>
      </c>
      <c r="G2299" s="1">
        <v>7.29</v>
      </c>
      <c r="H2299" s="1">
        <v>0.0</v>
      </c>
      <c r="I2299" s="1">
        <v>0.0</v>
      </c>
      <c r="J2299" s="1">
        <v>0.0</v>
      </c>
      <c r="K2299" s="1">
        <v>0.05</v>
      </c>
      <c r="L2299" s="1">
        <v>1.09E7</v>
      </c>
      <c r="M2299" s="1" t="s">
        <v>7419</v>
      </c>
      <c r="N2299" s="18">
        <v>46002.0</v>
      </c>
      <c r="O2299" s="1" t="s">
        <v>4414</v>
      </c>
      <c r="P2299" s="1" t="s">
        <v>3334</v>
      </c>
      <c r="Q2299" s="1" t="s">
        <v>3408</v>
      </c>
    </row>
    <row r="2300">
      <c r="A2300" s="1" t="s">
        <v>7420</v>
      </c>
      <c r="B2300" s="1">
        <v>76.0</v>
      </c>
      <c r="C2300" s="1">
        <v>30.0</v>
      </c>
      <c r="D2300" s="2" t="s">
        <v>439</v>
      </c>
      <c r="E2300" s="1">
        <v>76.0</v>
      </c>
      <c r="F2300" s="1">
        <v>17.0</v>
      </c>
      <c r="G2300" s="1">
        <v>3.56</v>
      </c>
      <c r="H2300" s="1">
        <v>0.0</v>
      </c>
      <c r="I2300" s="1">
        <v>0.0</v>
      </c>
      <c r="J2300" s="1">
        <v>0.0</v>
      </c>
      <c r="K2300" s="1">
        <v>0.38</v>
      </c>
      <c r="L2300" s="1">
        <v>7410.0</v>
      </c>
      <c r="M2300" s="1" t="s">
        <v>7421</v>
      </c>
      <c r="N2300" s="18">
        <v>46002.0</v>
      </c>
      <c r="O2300" s="1" t="s">
        <v>7022</v>
      </c>
      <c r="P2300" s="1" t="s">
        <v>3230</v>
      </c>
      <c r="Q2300" s="1" t="s">
        <v>3408</v>
      </c>
    </row>
    <row r="2301">
      <c r="A2301" s="1" t="s">
        <v>7422</v>
      </c>
      <c r="B2301" s="1">
        <v>76.0</v>
      </c>
      <c r="C2301" s="1">
        <v>90.0</v>
      </c>
      <c r="D2301" s="2" t="s">
        <v>764</v>
      </c>
      <c r="E2301" s="1">
        <v>76.0</v>
      </c>
      <c r="F2301" s="1">
        <v>11.0</v>
      </c>
      <c r="G2301" s="1">
        <v>0.0</v>
      </c>
      <c r="H2301" s="1">
        <v>0.0</v>
      </c>
      <c r="I2301" s="1">
        <v>0.0</v>
      </c>
      <c r="J2301" s="1">
        <v>0.0</v>
      </c>
      <c r="K2301" s="1">
        <v>0.0</v>
      </c>
      <c r="L2301" s="1">
        <v>1.37E7</v>
      </c>
      <c r="M2301" s="1" t="s">
        <v>7423</v>
      </c>
      <c r="N2301" s="18">
        <v>46002.0</v>
      </c>
      <c r="O2301" s="1" t="s">
        <v>5754</v>
      </c>
      <c r="P2301" s="1" t="s">
        <v>3230</v>
      </c>
      <c r="Q2301" s="1" t="s">
        <v>3408</v>
      </c>
    </row>
    <row r="2302">
      <c r="A2302" s="1" t="s">
        <v>7424</v>
      </c>
      <c r="B2302" s="1">
        <v>76.0</v>
      </c>
      <c r="C2302" s="1">
        <v>70.0</v>
      </c>
      <c r="D2302" s="2" t="s">
        <v>439</v>
      </c>
      <c r="E2302" s="1">
        <v>76.0</v>
      </c>
      <c r="F2302" s="1">
        <v>22.0</v>
      </c>
      <c r="G2302" s="1">
        <v>0.0</v>
      </c>
      <c r="H2302" s="1">
        <v>0.0</v>
      </c>
      <c r="I2302" s="1">
        <v>0.0</v>
      </c>
      <c r="J2302" s="1">
        <v>0.0</v>
      </c>
      <c r="K2302" s="1">
        <v>0.07</v>
      </c>
      <c r="L2302" s="1">
        <v>344000.0</v>
      </c>
      <c r="M2302" s="1" t="s">
        <v>7425</v>
      </c>
      <c r="N2302" s="18">
        <v>46000.0</v>
      </c>
      <c r="O2302" s="1" t="s">
        <v>5023</v>
      </c>
      <c r="P2302" s="1" t="s">
        <v>3294</v>
      </c>
      <c r="Q2302" s="1" t="s">
        <v>3408</v>
      </c>
    </row>
    <row r="2303">
      <c r="A2303" s="1" t="s">
        <v>3771</v>
      </c>
      <c r="B2303" s="1">
        <v>76.0</v>
      </c>
      <c r="C2303" s="1">
        <v>210.0</v>
      </c>
      <c r="D2303" s="2" t="s">
        <v>447</v>
      </c>
      <c r="E2303" s="1">
        <v>76.0</v>
      </c>
      <c r="F2303" s="1">
        <v>29.0</v>
      </c>
      <c r="G2303" s="1">
        <v>17.92</v>
      </c>
      <c r="H2303" s="1">
        <v>0.0</v>
      </c>
      <c r="I2303" s="1">
        <v>0.0</v>
      </c>
      <c r="J2303" s="1">
        <v>0.0</v>
      </c>
      <c r="K2303" s="1">
        <v>0.32</v>
      </c>
      <c r="L2303" s="1">
        <v>44500.0</v>
      </c>
      <c r="M2303" s="1" t="s">
        <v>3772</v>
      </c>
      <c r="N2303" s="18">
        <v>45998.0</v>
      </c>
      <c r="O2303" s="1" t="s">
        <v>3773</v>
      </c>
      <c r="P2303" s="1" t="s">
        <v>3257</v>
      </c>
      <c r="Q2303" s="1" t="s">
        <v>3408</v>
      </c>
    </row>
    <row r="2304">
      <c r="A2304" s="1" t="s">
        <v>7426</v>
      </c>
      <c r="B2304" s="1">
        <v>76.0</v>
      </c>
      <c r="C2304" s="1">
        <v>50.0</v>
      </c>
      <c r="D2304" s="2" t="s">
        <v>439</v>
      </c>
      <c r="E2304" s="1">
        <v>76.0</v>
      </c>
      <c r="F2304" s="1">
        <v>28.0</v>
      </c>
      <c r="G2304" s="1">
        <v>7.66</v>
      </c>
      <c r="H2304" s="1">
        <v>0.0</v>
      </c>
      <c r="I2304" s="1">
        <v>0.0</v>
      </c>
      <c r="J2304" s="1">
        <v>0.0</v>
      </c>
      <c r="K2304" s="1">
        <v>0.73</v>
      </c>
      <c r="L2304" s="1">
        <v>2940.0</v>
      </c>
      <c r="M2304" s="1" t="s">
        <v>7427</v>
      </c>
      <c r="N2304" s="18">
        <v>45995.0</v>
      </c>
      <c r="O2304" s="1" t="s">
        <v>3821</v>
      </c>
      <c r="P2304" s="1" t="s">
        <v>3294</v>
      </c>
      <c r="Q2304" s="1" t="s">
        <v>3408</v>
      </c>
    </row>
    <row r="2305">
      <c r="A2305" s="1" t="s">
        <v>7428</v>
      </c>
      <c r="B2305" s="1">
        <v>76.0</v>
      </c>
      <c r="C2305" s="1">
        <v>70.0</v>
      </c>
      <c r="D2305" s="2" t="s">
        <v>2048</v>
      </c>
      <c r="E2305" s="1">
        <v>76.0</v>
      </c>
      <c r="F2305" s="1">
        <v>18.0</v>
      </c>
      <c r="G2305" s="1">
        <v>0.0</v>
      </c>
      <c r="H2305" s="1">
        <v>0.0</v>
      </c>
      <c r="I2305" s="1">
        <v>0.0</v>
      </c>
      <c r="J2305" s="1">
        <v>0.0</v>
      </c>
      <c r="K2305" s="1">
        <v>0.0</v>
      </c>
      <c r="L2305" s="1">
        <v>1.8E8</v>
      </c>
      <c r="M2305" s="1" t="s">
        <v>7429</v>
      </c>
      <c r="N2305" s="18">
        <v>45995.0</v>
      </c>
      <c r="O2305" s="1" t="s">
        <v>5986</v>
      </c>
      <c r="P2305" s="1" t="s">
        <v>3230</v>
      </c>
      <c r="Q2305" s="1" t="s">
        <v>3408</v>
      </c>
    </row>
    <row r="2306">
      <c r="A2306" s="1" t="s">
        <v>7430</v>
      </c>
      <c r="B2306" s="1">
        <v>76.0</v>
      </c>
      <c r="C2306" s="1">
        <v>320.0</v>
      </c>
      <c r="D2306" s="2" t="s">
        <v>2134</v>
      </c>
      <c r="E2306" s="1">
        <v>76.0</v>
      </c>
      <c r="F2306" s="1">
        <v>7.0</v>
      </c>
      <c r="G2306" s="1">
        <v>8.4</v>
      </c>
      <c r="H2306" s="1">
        <v>0.0</v>
      </c>
      <c r="I2306" s="1">
        <v>0.0</v>
      </c>
      <c r="J2306" s="1">
        <v>0.0</v>
      </c>
      <c r="K2306" s="1">
        <v>0.01</v>
      </c>
      <c r="L2306" s="1">
        <v>2.69E7</v>
      </c>
      <c r="M2306" s="1" t="s">
        <v>7431</v>
      </c>
      <c r="N2306" s="18">
        <v>45989.0</v>
      </c>
      <c r="O2306" s="1" t="s">
        <v>3264</v>
      </c>
      <c r="P2306" s="1" t="s">
        <v>3230</v>
      </c>
      <c r="Q2306" s="1" t="s">
        <v>3408</v>
      </c>
    </row>
    <row r="2307">
      <c r="A2307" s="1" t="s">
        <v>7432</v>
      </c>
      <c r="B2307" s="1">
        <v>76.0</v>
      </c>
      <c r="C2307" s="1">
        <v>70.0</v>
      </c>
      <c r="D2307" s="2" t="s">
        <v>2048</v>
      </c>
      <c r="E2307" s="1">
        <v>76.0</v>
      </c>
      <c r="F2307" s="1">
        <v>14.0</v>
      </c>
      <c r="G2307" s="1">
        <v>0.0</v>
      </c>
      <c r="H2307" s="1">
        <v>0.0</v>
      </c>
      <c r="I2307" s="1">
        <v>0.0</v>
      </c>
      <c r="J2307" s="1">
        <v>0.0</v>
      </c>
      <c r="K2307" s="1">
        <v>0.0</v>
      </c>
      <c r="L2307" s="1">
        <v>3.9E7</v>
      </c>
      <c r="M2307" s="1" t="s">
        <v>7433</v>
      </c>
      <c r="N2307" s="18">
        <v>45988.0</v>
      </c>
      <c r="O2307" s="1" t="s">
        <v>6875</v>
      </c>
      <c r="P2307" s="1" t="s">
        <v>3230</v>
      </c>
      <c r="Q2307" s="1" t="s">
        <v>3408</v>
      </c>
    </row>
    <row r="2308">
      <c r="A2308" s="1" t="s">
        <v>7434</v>
      </c>
      <c r="B2308" s="1">
        <v>76.0</v>
      </c>
      <c r="C2308" s="1">
        <v>140.0</v>
      </c>
      <c r="D2308" s="2" t="s">
        <v>581</v>
      </c>
      <c r="E2308" s="1">
        <v>76.0</v>
      </c>
      <c r="F2308" s="1">
        <v>24.0</v>
      </c>
      <c r="G2308" s="1">
        <v>4.64</v>
      </c>
      <c r="H2308" s="1">
        <v>0.0</v>
      </c>
      <c r="I2308" s="1">
        <v>0.0</v>
      </c>
      <c r="J2308" s="1">
        <v>0.0</v>
      </c>
      <c r="K2308" s="1">
        <v>0.22</v>
      </c>
      <c r="L2308" s="1">
        <v>90400.0</v>
      </c>
      <c r="M2308" s="1" t="s">
        <v>7435</v>
      </c>
      <c r="N2308" s="18">
        <v>45987.0</v>
      </c>
      <c r="O2308" s="1" t="s">
        <v>5125</v>
      </c>
      <c r="P2308" s="1" t="s">
        <v>3294</v>
      </c>
      <c r="Q2308" s="1" t="s">
        <v>3408</v>
      </c>
    </row>
    <row r="2309">
      <c r="A2309" s="1" t="s">
        <v>7436</v>
      </c>
      <c r="B2309" s="1">
        <v>76.0</v>
      </c>
      <c r="C2309" s="1">
        <v>140.0</v>
      </c>
      <c r="D2309" s="2" t="s">
        <v>439</v>
      </c>
      <c r="E2309" s="1">
        <v>76.0</v>
      </c>
      <c r="F2309" s="1">
        <v>42.0</v>
      </c>
      <c r="G2309" s="1">
        <v>2.34</v>
      </c>
      <c r="H2309" s="1">
        <v>0.0</v>
      </c>
      <c r="I2309" s="1">
        <v>0.0</v>
      </c>
      <c r="J2309" s="1">
        <v>0.0</v>
      </c>
      <c r="K2309" s="1">
        <v>0.15</v>
      </c>
      <c r="L2309" s="1">
        <v>1.59E8</v>
      </c>
      <c r="M2309" s="1" t="s">
        <v>7437</v>
      </c>
      <c r="N2309" s="18">
        <v>45987.0</v>
      </c>
      <c r="O2309" s="1" t="s">
        <v>3293</v>
      </c>
      <c r="P2309" s="1" t="s">
        <v>3294</v>
      </c>
      <c r="Q2309" s="1" t="s">
        <v>3408</v>
      </c>
    </row>
    <row r="2310">
      <c r="A2310" s="1" t="s">
        <v>7438</v>
      </c>
      <c r="B2310" s="1">
        <v>76.0</v>
      </c>
      <c r="C2310" s="1">
        <v>70.0</v>
      </c>
      <c r="D2310" s="2" t="s">
        <v>2048</v>
      </c>
      <c r="E2310" s="1">
        <v>76.0</v>
      </c>
      <c r="F2310" s="1">
        <v>16.0</v>
      </c>
      <c r="G2310" s="1">
        <v>0.0</v>
      </c>
      <c r="H2310" s="1">
        <v>0.0</v>
      </c>
      <c r="I2310" s="1">
        <v>0.0</v>
      </c>
      <c r="J2310" s="1">
        <v>0.0</v>
      </c>
      <c r="K2310" s="1">
        <v>0.0</v>
      </c>
      <c r="L2310" s="1">
        <v>10.0</v>
      </c>
      <c r="M2310" s="1" t="s">
        <v>7439</v>
      </c>
      <c r="N2310" s="18">
        <v>45986.0</v>
      </c>
      <c r="O2310" s="1" t="s">
        <v>3571</v>
      </c>
      <c r="P2310" s="1" t="s">
        <v>3230</v>
      </c>
      <c r="Q2310" s="1" t="s">
        <v>3408</v>
      </c>
    </row>
    <row r="2311">
      <c r="A2311" s="1" t="s">
        <v>7440</v>
      </c>
      <c r="B2311" s="1">
        <v>76.0</v>
      </c>
      <c r="C2311" s="1">
        <v>90.0</v>
      </c>
      <c r="D2311" s="2" t="s">
        <v>581</v>
      </c>
      <c r="E2311" s="1">
        <v>76.0</v>
      </c>
      <c r="F2311" s="1">
        <v>23.0</v>
      </c>
      <c r="G2311" s="1">
        <v>22.95</v>
      </c>
      <c r="H2311" s="1">
        <v>0.0</v>
      </c>
      <c r="I2311" s="1">
        <v>0.0</v>
      </c>
      <c r="J2311" s="1">
        <v>0.0</v>
      </c>
      <c r="K2311" s="1">
        <v>0.29</v>
      </c>
      <c r="L2311" s="1">
        <v>0.0</v>
      </c>
      <c r="M2311" s="1" t="s">
        <v>7441</v>
      </c>
      <c r="N2311" s="18">
        <v>45980.0</v>
      </c>
      <c r="O2311" s="1" t="s">
        <v>3941</v>
      </c>
      <c r="P2311" s="1" t="s">
        <v>3257</v>
      </c>
      <c r="Q2311" s="1" t="s">
        <v>3408</v>
      </c>
    </row>
    <row r="2312">
      <c r="A2312" s="1" t="s">
        <v>7442</v>
      </c>
      <c r="B2312" s="1">
        <v>76.0</v>
      </c>
      <c r="C2312" s="1">
        <v>90.0</v>
      </c>
      <c r="D2312" s="2" t="s">
        <v>754</v>
      </c>
      <c r="E2312" s="1">
        <v>76.0</v>
      </c>
      <c r="F2312" s="1">
        <v>25.0</v>
      </c>
      <c r="G2312" s="1">
        <v>43.54</v>
      </c>
      <c r="H2312" s="1">
        <v>0.0</v>
      </c>
      <c r="I2312" s="1">
        <v>0.0</v>
      </c>
      <c r="J2312" s="1">
        <v>0.0</v>
      </c>
      <c r="K2312" s="1">
        <v>0.03</v>
      </c>
      <c r="L2312" s="1">
        <v>0.0</v>
      </c>
      <c r="M2312" s="1" t="s">
        <v>7443</v>
      </c>
      <c r="N2312" s="18">
        <v>45979.0</v>
      </c>
      <c r="O2312" s="1" t="s">
        <v>7444</v>
      </c>
      <c r="P2312" s="1" t="s">
        <v>3230</v>
      </c>
      <c r="Q2312" s="1" t="s">
        <v>3408</v>
      </c>
    </row>
    <row r="2313">
      <c r="A2313" s="1" t="s">
        <v>7445</v>
      </c>
      <c r="B2313" s="1">
        <v>77.0</v>
      </c>
      <c r="C2313" s="1">
        <v>90.0</v>
      </c>
      <c r="D2313" s="2" t="s">
        <v>1198</v>
      </c>
      <c r="E2313" s="1">
        <v>77.0</v>
      </c>
      <c r="G2313" s="1">
        <v>5.99</v>
      </c>
      <c r="H2313" s="1">
        <v>0.0</v>
      </c>
      <c r="I2313" s="1">
        <v>0.0</v>
      </c>
      <c r="J2313" s="1">
        <v>0.0</v>
      </c>
      <c r="K2313" s="1">
        <v>0.58</v>
      </c>
      <c r="L2313" s="1">
        <v>1290000.0</v>
      </c>
      <c r="M2313" s="1" t="s">
        <v>7446</v>
      </c>
      <c r="N2313" s="18">
        <v>46042.0</v>
      </c>
      <c r="O2313" s="1" t="s">
        <v>3404</v>
      </c>
      <c r="P2313" s="1" t="s">
        <v>3294</v>
      </c>
      <c r="Q2313" s="1" t="s">
        <v>3408</v>
      </c>
    </row>
    <row r="2314">
      <c r="A2314" s="1" t="s">
        <v>7447</v>
      </c>
      <c r="B2314" s="1">
        <v>77.0</v>
      </c>
      <c r="C2314" s="1">
        <v>50.0</v>
      </c>
      <c r="D2314" s="2" t="s">
        <v>581</v>
      </c>
      <c r="E2314" s="1">
        <v>77.0</v>
      </c>
      <c r="F2314" s="1">
        <v>26.0</v>
      </c>
      <c r="G2314" s="1">
        <v>0.0</v>
      </c>
      <c r="H2314" s="1">
        <v>0.0</v>
      </c>
      <c r="I2314" s="1">
        <v>0.0</v>
      </c>
      <c r="J2314" s="1">
        <v>0.0</v>
      </c>
      <c r="K2314" s="1">
        <v>0.03</v>
      </c>
      <c r="L2314" s="1">
        <v>2.02E8</v>
      </c>
      <c r="M2314" s="1" t="s">
        <v>7448</v>
      </c>
      <c r="N2314" s="18">
        <v>46042.0</v>
      </c>
      <c r="O2314" s="1" t="s">
        <v>7449</v>
      </c>
      <c r="P2314" s="1" t="s">
        <v>3230</v>
      </c>
      <c r="Q2314" s="1" t="s">
        <v>3408</v>
      </c>
    </row>
    <row r="2315">
      <c r="A2315" s="1" t="s">
        <v>7450</v>
      </c>
      <c r="B2315" s="1">
        <v>77.0</v>
      </c>
      <c r="C2315" s="1">
        <v>40.0</v>
      </c>
      <c r="D2315" s="2" t="s">
        <v>1473</v>
      </c>
      <c r="E2315" s="1">
        <v>77.0</v>
      </c>
      <c r="F2315" s="1">
        <v>11.0</v>
      </c>
      <c r="G2315" s="1">
        <v>0.0</v>
      </c>
      <c r="H2315" s="1">
        <v>0.0</v>
      </c>
      <c r="I2315" s="1">
        <v>0.0</v>
      </c>
      <c r="J2315" s="1">
        <v>0.0</v>
      </c>
      <c r="K2315" s="1">
        <v>0.33</v>
      </c>
      <c r="L2315" s="1">
        <v>2.44E8</v>
      </c>
      <c r="M2315" s="1" t="s">
        <v>7451</v>
      </c>
      <c r="N2315" s="18">
        <v>46040.0</v>
      </c>
      <c r="O2315" s="1" t="s">
        <v>3231</v>
      </c>
      <c r="P2315" s="1" t="s">
        <v>3230</v>
      </c>
      <c r="Q2315" s="1" t="s">
        <v>3408</v>
      </c>
    </row>
    <row r="2316">
      <c r="A2316" s="1" t="s">
        <v>7452</v>
      </c>
      <c r="B2316" s="1">
        <v>77.0</v>
      </c>
      <c r="C2316" s="1">
        <v>90.0</v>
      </c>
      <c r="D2316" s="2" t="s">
        <v>2249</v>
      </c>
      <c r="E2316" s="1">
        <v>77.0</v>
      </c>
      <c r="F2316" s="1">
        <v>1.0</v>
      </c>
      <c r="G2316" s="1">
        <v>0.0</v>
      </c>
      <c r="H2316" s="1">
        <v>0.0</v>
      </c>
      <c r="I2316" s="1">
        <v>0.0</v>
      </c>
      <c r="J2316" s="1">
        <v>0.0</v>
      </c>
      <c r="K2316" s="1">
        <v>0.0</v>
      </c>
      <c r="L2316" s="1">
        <v>1780000.0</v>
      </c>
      <c r="M2316" s="1" t="s">
        <v>7453</v>
      </c>
      <c r="N2316" s="18">
        <v>46036.0</v>
      </c>
      <c r="O2316" s="1" t="s">
        <v>3252</v>
      </c>
      <c r="P2316" s="1" t="s">
        <v>3230</v>
      </c>
      <c r="Q2316" s="1" t="s">
        <v>3408</v>
      </c>
    </row>
    <row r="2317">
      <c r="A2317" s="1" t="s">
        <v>7454</v>
      </c>
      <c r="B2317" s="1">
        <v>77.0</v>
      </c>
      <c r="C2317" s="1">
        <v>50.0</v>
      </c>
      <c r="D2317" s="2" t="s">
        <v>750</v>
      </c>
      <c r="E2317" s="1">
        <v>77.0</v>
      </c>
      <c r="F2317" s="1">
        <v>0.0</v>
      </c>
      <c r="G2317" s="1">
        <v>0.0</v>
      </c>
      <c r="H2317" s="1">
        <v>0.0</v>
      </c>
      <c r="I2317" s="1">
        <v>0.0</v>
      </c>
      <c r="J2317" s="1">
        <v>0.0</v>
      </c>
      <c r="K2317" s="1">
        <v>0.0</v>
      </c>
      <c r="L2317" s="1">
        <v>87700.0</v>
      </c>
      <c r="M2317" s="1" t="s">
        <v>7455</v>
      </c>
      <c r="N2317" s="18">
        <v>46031.0</v>
      </c>
      <c r="O2317" s="1" t="s">
        <v>4338</v>
      </c>
      <c r="P2317" s="1" t="s">
        <v>3334</v>
      </c>
      <c r="Q2317" s="1" t="s">
        <v>3408</v>
      </c>
    </row>
    <row r="2318">
      <c r="A2318" s="1" t="s">
        <v>7456</v>
      </c>
      <c r="B2318" s="1">
        <v>77.0</v>
      </c>
      <c r="C2318" s="1">
        <v>90.0</v>
      </c>
      <c r="D2318" s="2" t="s">
        <v>754</v>
      </c>
      <c r="E2318" s="1">
        <v>77.0</v>
      </c>
      <c r="F2318" s="1">
        <v>19.0</v>
      </c>
      <c r="G2318" s="1">
        <v>40.66</v>
      </c>
      <c r="H2318" s="1">
        <v>0.0</v>
      </c>
      <c r="I2318" s="1">
        <v>0.0</v>
      </c>
      <c r="J2318" s="1">
        <v>0.0</v>
      </c>
      <c r="K2318" s="1">
        <v>0.95</v>
      </c>
      <c r="L2318" s="1">
        <v>1.49E7</v>
      </c>
      <c r="M2318" s="1" t="s">
        <v>7457</v>
      </c>
      <c r="N2318" s="18">
        <v>46028.0</v>
      </c>
      <c r="O2318" s="1" t="s">
        <v>6573</v>
      </c>
      <c r="P2318" s="1" t="s">
        <v>3230</v>
      </c>
      <c r="Q2318" s="1" t="s">
        <v>3408</v>
      </c>
    </row>
    <row r="2319">
      <c r="A2319" s="1" t="s">
        <v>7458</v>
      </c>
      <c r="B2319" s="1">
        <v>77.0</v>
      </c>
      <c r="C2319" s="1">
        <v>30.0</v>
      </c>
      <c r="D2319" s="2" t="s">
        <v>746</v>
      </c>
      <c r="E2319" s="1">
        <v>77.0</v>
      </c>
      <c r="G2319" s="1">
        <v>0.97</v>
      </c>
      <c r="H2319" s="1">
        <v>0.0</v>
      </c>
      <c r="I2319" s="1">
        <v>0.0</v>
      </c>
      <c r="J2319" s="1">
        <v>0.0</v>
      </c>
      <c r="K2319" s="1">
        <v>0.15</v>
      </c>
      <c r="L2319" s="1">
        <v>33200.0</v>
      </c>
      <c r="M2319" s="1" t="s">
        <v>7459</v>
      </c>
      <c r="N2319" s="18">
        <v>46027.0</v>
      </c>
      <c r="O2319" s="1" t="s">
        <v>4393</v>
      </c>
      <c r="P2319" s="1" t="s">
        <v>3230</v>
      </c>
      <c r="Q2319" s="1" t="s">
        <v>3408</v>
      </c>
    </row>
    <row r="2320">
      <c r="A2320" s="1" t="s">
        <v>7460</v>
      </c>
      <c r="B2320" s="1">
        <v>77.0</v>
      </c>
      <c r="C2320" s="1">
        <v>30.0</v>
      </c>
      <c r="D2320" s="2" t="s">
        <v>439</v>
      </c>
      <c r="E2320" s="1">
        <v>77.0</v>
      </c>
      <c r="F2320" s="1">
        <v>13.0</v>
      </c>
      <c r="G2320" s="1">
        <v>13.09</v>
      </c>
      <c r="H2320" s="1">
        <v>0.0</v>
      </c>
      <c r="I2320" s="1">
        <v>0.0</v>
      </c>
      <c r="J2320" s="1">
        <v>0.0</v>
      </c>
      <c r="K2320" s="1">
        <v>0.41</v>
      </c>
      <c r="L2320" s="1">
        <v>1580000.0</v>
      </c>
      <c r="M2320" s="1" t="s">
        <v>7461</v>
      </c>
      <c r="N2320" s="18">
        <v>46026.0</v>
      </c>
      <c r="O2320" s="1" t="s">
        <v>6945</v>
      </c>
      <c r="P2320" s="1" t="s">
        <v>3301</v>
      </c>
      <c r="Q2320" s="1" t="s">
        <v>3408</v>
      </c>
    </row>
    <row r="2321">
      <c r="A2321" s="1" t="s">
        <v>7462</v>
      </c>
      <c r="B2321" s="1">
        <v>77.0</v>
      </c>
      <c r="C2321" s="1">
        <v>110.0</v>
      </c>
      <c r="D2321" s="2" t="s">
        <v>1986</v>
      </c>
      <c r="E2321" s="1">
        <v>77.0</v>
      </c>
      <c r="F2321" s="1">
        <v>33.0</v>
      </c>
      <c r="G2321" s="1">
        <v>10.46</v>
      </c>
      <c r="H2321" s="1">
        <v>0.0</v>
      </c>
      <c r="I2321" s="1">
        <v>0.0</v>
      </c>
      <c r="J2321" s="1">
        <v>0.0</v>
      </c>
      <c r="K2321" s="1">
        <v>0.39</v>
      </c>
      <c r="L2321" s="1">
        <v>3260000.0</v>
      </c>
      <c r="M2321" s="1" t="s">
        <v>7463</v>
      </c>
      <c r="N2321" s="18">
        <v>46026.0</v>
      </c>
      <c r="O2321" s="1" t="s">
        <v>3479</v>
      </c>
      <c r="P2321" s="1" t="s">
        <v>3230</v>
      </c>
      <c r="Q2321" s="1" t="s">
        <v>3408</v>
      </c>
    </row>
    <row r="2322">
      <c r="A2322" s="1" t="s">
        <v>6243</v>
      </c>
      <c r="B2322" s="1">
        <v>77.0</v>
      </c>
      <c r="C2322" s="1">
        <v>70.0</v>
      </c>
      <c r="D2322" s="2" t="s">
        <v>1825</v>
      </c>
      <c r="E2322" s="1">
        <v>77.0</v>
      </c>
      <c r="F2322" s="1">
        <v>0.0</v>
      </c>
      <c r="G2322" s="1">
        <v>0.0</v>
      </c>
      <c r="H2322" s="1">
        <v>0.0</v>
      </c>
      <c r="I2322" s="1">
        <v>0.0</v>
      </c>
      <c r="J2322" s="1">
        <v>0.0</v>
      </c>
      <c r="K2322" s="1">
        <v>0.0</v>
      </c>
      <c r="L2322" s="1">
        <v>31900.0</v>
      </c>
      <c r="M2322" s="1" t="s">
        <v>6244</v>
      </c>
      <c r="N2322" s="18">
        <v>46025.0</v>
      </c>
      <c r="O2322" s="1" t="s">
        <v>4118</v>
      </c>
      <c r="P2322" s="1" t="s">
        <v>3334</v>
      </c>
      <c r="Q2322" s="1" t="s">
        <v>3408</v>
      </c>
    </row>
    <row r="2323">
      <c r="A2323" s="1" t="s">
        <v>7464</v>
      </c>
      <c r="B2323" s="1">
        <v>77.0</v>
      </c>
      <c r="C2323" s="1">
        <v>170.0</v>
      </c>
      <c r="D2323" s="2" t="s">
        <v>1536</v>
      </c>
      <c r="E2323" s="1">
        <v>77.0</v>
      </c>
      <c r="F2323" s="1">
        <v>5.0</v>
      </c>
      <c r="G2323" s="1">
        <v>4.52</v>
      </c>
      <c r="H2323" s="1">
        <v>0.0</v>
      </c>
      <c r="I2323" s="1">
        <v>0.0</v>
      </c>
      <c r="J2323" s="1">
        <v>0.0</v>
      </c>
      <c r="K2323" s="1">
        <v>0.03</v>
      </c>
      <c r="L2323" s="1">
        <v>8.44E7</v>
      </c>
      <c r="M2323" s="1" t="s">
        <v>7465</v>
      </c>
      <c r="N2323" s="18">
        <v>46025.0</v>
      </c>
      <c r="O2323" s="1" t="s">
        <v>3284</v>
      </c>
      <c r="P2323" s="1" t="s">
        <v>3230</v>
      </c>
      <c r="Q2323" s="1" t="s">
        <v>3408</v>
      </c>
    </row>
    <row r="2324">
      <c r="A2324" s="1" t="s">
        <v>7466</v>
      </c>
      <c r="B2324" s="1">
        <v>77.0</v>
      </c>
      <c r="C2324" s="1">
        <v>70.0</v>
      </c>
      <c r="D2324" s="2" t="s">
        <v>665</v>
      </c>
      <c r="E2324" s="1">
        <v>77.0</v>
      </c>
      <c r="F2324" s="1">
        <v>0.0</v>
      </c>
      <c r="G2324" s="1">
        <v>0.0</v>
      </c>
      <c r="H2324" s="1">
        <v>0.0</v>
      </c>
      <c r="I2324" s="1">
        <v>0.0</v>
      </c>
      <c r="J2324" s="1">
        <v>0.0</v>
      </c>
      <c r="K2324" s="1">
        <v>0.0</v>
      </c>
      <c r="L2324" s="1">
        <v>2.65E7</v>
      </c>
      <c r="M2324" s="1" t="s">
        <v>7467</v>
      </c>
      <c r="N2324" s="18">
        <v>46025.0</v>
      </c>
      <c r="O2324" s="1" t="s">
        <v>5015</v>
      </c>
      <c r="P2324" s="1" t="s">
        <v>3257</v>
      </c>
      <c r="Q2324" s="1" t="s">
        <v>3408</v>
      </c>
    </row>
    <row r="2325">
      <c r="A2325" s="1" t="s">
        <v>7468</v>
      </c>
      <c r="B2325" s="1">
        <v>77.0</v>
      </c>
      <c r="C2325" s="1">
        <v>90.0</v>
      </c>
      <c r="D2325" s="2" t="s">
        <v>1868</v>
      </c>
      <c r="E2325" s="1">
        <v>77.0</v>
      </c>
      <c r="F2325" s="1">
        <v>61.0</v>
      </c>
      <c r="G2325" s="1">
        <v>0.0</v>
      </c>
      <c r="H2325" s="1">
        <v>0.0</v>
      </c>
      <c r="I2325" s="1">
        <v>0.0</v>
      </c>
      <c r="J2325" s="1">
        <v>0.0</v>
      </c>
      <c r="K2325" s="1">
        <v>0.0</v>
      </c>
      <c r="L2325" s="1">
        <v>4.06E8</v>
      </c>
      <c r="M2325" s="1" t="s">
        <v>7469</v>
      </c>
      <c r="N2325" s="18">
        <v>46024.0</v>
      </c>
      <c r="O2325" s="1" t="s">
        <v>5650</v>
      </c>
      <c r="P2325" s="1" t="s">
        <v>3230</v>
      </c>
      <c r="Q2325" s="1" t="s">
        <v>3408</v>
      </c>
    </row>
    <row r="2326">
      <c r="A2326" s="1" t="s">
        <v>4222</v>
      </c>
      <c r="B2326" s="1">
        <v>77.0</v>
      </c>
      <c r="C2326" s="1">
        <v>210.0</v>
      </c>
      <c r="D2326" s="2" t="s">
        <v>1060</v>
      </c>
      <c r="E2326" s="1">
        <v>77.0</v>
      </c>
      <c r="F2326" s="1">
        <v>35.0</v>
      </c>
      <c r="G2326" s="1">
        <v>18.67</v>
      </c>
      <c r="H2326" s="1">
        <v>0.0</v>
      </c>
      <c r="I2326" s="1">
        <v>0.0</v>
      </c>
      <c r="J2326" s="1">
        <v>0.0</v>
      </c>
      <c r="K2326" s="1">
        <v>0.79</v>
      </c>
      <c r="L2326" s="1">
        <v>436000.0</v>
      </c>
      <c r="M2326" s="1" t="s">
        <v>4223</v>
      </c>
      <c r="N2326" s="18">
        <v>46022.0</v>
      </c>
      <c r="O2326" s="1" t="s">
        <v>3673</v>
      </c>
      <c r="P2326" s="1" t="s">
        <v>3257</v>
      </c>
      <c r="Q2326" s="1" t="s">
        <v>3408</v>
      </c>
    </row>
    <row r="2327">
      <c r="A2327" s="1" t="s">
        <v>7470</v>
      </c>
      <c r="B2327" s="1">
        <v>77.0</v>
      </c>
      <c r="C2327" s="1">
        <v>170.0</v>
      </c>
      <c r="D2327" s="2" t="s">
        <v>2253</v>
      </c>
      <c r="E2327" s="1">
        <v>77.0</v>
      </c>
      <c r="F2327" s="1">
        <v>8.0</v>
      </c>
      <c r="G2327" s="1">
        <v>0.0</v>
      </c>
      <c r="H2327" s="1">
        <v>0.0</v>
      </c>
      <c r="I2327" s="1">
        <v>0.0</v>
      </c>
      <c r="J2327" s="1">
        <v>0.0</v>
      </c>
      <c r="K2327" s="1">
        <v>0.0</v>
      </c>
      <c r="L2327" s="1">
        <v>2.65E7</v>
      </c>
      <c r="M2327" s="1" t="s">
        <v>7471</v>
      </c>
      <c r="N2327" s="18">
        <v>46022.0</v>
      </c>
      <c r="O2327" s="1" t="s">
        <v>3496</v>
      </c>
      <c r="P2327" s="1" t="s">
        <v>3230</v>
      </c>
      <c r="Q2327" s="1" t="s">
        <v>3408</v>
      </c>
    </row>
    <row r="2328">
      <c r="A2328" s="1" t="s">
        <v>7472</v>
      </c>
      <c r="B2328" s="1">
        <v>77.0</v>
      </c>
      <c r="C2328" s="1">
        <v>50.0</v>
      </c>
      <c r="D2328" s="2" t="s">
        <v>581</v>
      </c>
      <c r="E2328" s="1">
        <v>77.0</v>
      </c>
      <c r="F2328" s="1">
        <v>8.0</v>
      </c>
      <c r="G2328" s="1">
        <v>15.32</v>
      </c>
      <c r="H2328" s="1">
        <v>0.0</v>
      </c>
      <c r="I2328" s="1">
        <v>0.0</v>
      </c>
      <c r="J2328" s="1">
        <v>0.0</v>
      </c>
      <c r="K2328" s="1">
        <v>0.21</v>
      </c>
      <c r="L2328" s="1">
        <v>343000.0</v>
      </c>
      <c r="M2328" s="1" t="s">
        <v>7473</v>
      </c>
      <c r="N2328" s="18">
        <v>46021.0</v>
      </c>
      <c r="O2328" s="1" t="s">
        <v>3404</v>
      </c>
      <c r="P2328" s="1" t="s">
        <v>3257</v>
      </c>
      <c r="Q2328" s="1" t="s">
        <v>3408</v>
      </c>
    </row>
    <row r="2329">
      <c r="A2329" s="1" t="s">
        <v>7474</v>
      </c>
      <c r="B2329" s="1">
        <v>77.0</v>
      </c>
      <c r="C2329" s="1">
        <v>70.0</v>
      </c>
      <c r="D2329" s="2" t="s">
        <v>581</v>
      </c>
      <c r="E2329" s="1">
        <v>77.0</v>
      </c>
      <c r="F2329" s="1">
        <v>14.0</v>
      </c>
      <c r="G2329" s="1">
        <v>1.5</v>
      </c>
      <c r="H2329" s="1">
        <v>0.0</v>
      </c>
      <c r="I2329" s="1">
        <v>0.0</v>
      </c>
      <c r="J2329" s="1">
        <v>0.0</v>
      </c>
      <c r="K2329" s="1">
        <v>0.08</v>
      </c>
      <c r="L2329" s="1">
        <v>2330000.0</v>
      </c>
      <c r="M2329" s="1" t="s">
        <v>7475</v>
      </c>
      <c r="N2329" s="18">
        <v>46021.0</v>
      </c>
      <c r="O2329" s="1" t="s">
        <v>3404</v>
      </c>
      <c r="P2329" s="1" t="s">
        <v>3257</v>
      </c>
      <c r="Q2329" s="1" t="s">
        <v>3408</v>
      </c>
    </row>
    <row r="2330">
      <c r="A2330" s="1" t="s">
        <v>7476</v>
      </c>
      <c r="B2330" s="1">
        <v>77.0</v>
      </c>
      <c r="C2330" s="1">
        <v>170.0</v>
      </c>
      <c r="D2330" s="2" t="s">
        <v>581</v>
      </c>
      <c r="E2330" s="1">
        <v>77.0</v>
      </c>
      <c r="F2330" s="1">
        <v>44.0</v>
      </c>
      <c r="G2330" s="1">
        <v>4.93</v>
      </c>
      <c r="H2330" s="1">
        <v>0.0</v>
      </c>
      <c r="I2330" s="1">
        <v>0.0</v>
      </c>
      <c r="J2330" s="1">
        <v>0.0</v>
      </c>
      <c r="K2330" s="1">
        <v>0.86</v>
      </c>
      <c r="L2330" s="1">
        <v>7430000.0</v>
      </c>
      <c r="M2330" s="1" t="s">
        <v>7477</v>
      </c>
      <c r="N2330" s="18">
        <v>46018.0</v>
      </c>
      <c r="O2330" s="1" t="s">
        <v>7478</v>
      </c>
      <c r="P2330" s="1" t="s">
        <v>3257</v>
      </c>
      <c r="Q2330" s="1" t="s">
        <v>3408</v>
      </c>
    </row>
    <row r="2331">
      <c r="A2331" s="1" t="s">
        <v>7479</v>
      </c>
      <c r="B2331" s="1">
        <v>77.0</v>
      </c>
      <c r="C2331" s="1">
        <v>70.0</v>
      </c>
      <c r="D2331" s="2" t="s">
        <v>439</v>
      </c>
      <c r="E2331" s="1">
        <v>77.0</v>
      </c>
      <c r="F2331" s="1">
        <v>20.0</v>
      </c>
      <c r="G2331" s="1">
        <v>6.45</v>
      </c>
      <c r="H2331" s="1">
        <v>0.0</v>
      </c>
      <c r="I2331" s="1">
        <v>0.0</v>
      </c>
      <c r="J2331" s="1">
        <v>0.0</v>
      </c>
      <c r="K2331" s="1">
        <v>0.19</v>
      </c>
      <c r="L2331" s="1">
        <v>5520000.0</v>
      </c>
      <c r="M2331" s="1" t="s">
        <v>7480</v>
      </c>
      <c r="N2331" s="18">
        <v>46018.0</v>
      </c>
      <c r="O2331" s="1" t="s">
        <v>5079</v>
      </c>
      <c r="P2331" s="1" t="s">
        <v>3301</v>
      </c>
      <c r="Q2331" s="1" t="s">
        <v>3408</v>
      </c>
    </row>
    <row r="2332">
      <c r="A2332" s="1" t="s">
        <v>3445</v>
      </c>
      <c r="B2332" s="1">
        <v>77.0</v>
      </c>
      <c r="C2332" s="1">
        <v>110.0</v>
      </c>
      <c r="D2332" s="2" t="s">
        <v>447</v>
      </c>
      <c r="E2332" s="1">
        <v>77.0</v>
      </c>
      <c r="F2332" s="1">
        <v>25.0</v>
      </c>
      <c r="G2332" s="1">
        <v>13.28</v>
      </c>
      <c r="H2332" s="1">
        <v>0.0</v>
      </c>
      <c r="I2332" s="1">
        <v>0.0</v>
      </c>
      <c r="J2332" s="1">
        <v>0.0</v>
      </c>
      <c r="K2332" s="1">
        <v>0.21</v>
      </c>
      <c r="L2332" s="1">
        <v>78800.0</v>
      </c>
      <c r="M2332" s="1" t="s">
        <v>3446</v>
      </c>
      <c r="N2332" s="18">
        <v>46016.0</v>
      </c>
      <c r="O2332" s="1" t="s">
        <v>3415</v>
      </c>
      <c r="P2332" s="1" t="s">
        <v>3257</v>
      </c>
      <c r="Q2332" s="1" t="s">
        <v>3408</v>
      </c>
    </row>
    <row r="2333">
      <c r="A2333" s="1" t="s">
        <v>7481</v>
      </c>
      <c r="B2333" s="1">
        <v>77.0</v>
      </c>
      <c r="C2333" s="1">
        <v>70.0</v>
      </c>
      <c r="D2333" s="2" t="s">
        <v>762</v>
      </c>
      <c r="E2333" s="1">
        <v>77.0</v>
      </c>
      <c r="F2333" s="1">
        <v>5.0</v>
      </c>
      <c r="G2333" s="1">
        <v>20.64</v>
      </c>
      <c r="H2333" s="1">
        <v>0.0</v>
      </c>
      <c r="I2333" s="1">
        <v>0.0</v>
      </c>
      <c r="J2333" s="1">
        <v>0.0</v>
      </c>
      <c r="K2333" s="1">
        <v>0.38</v>
      </c>
      <c r="L2333" s="1">
        <v>7000000.0</v>
      </c>
      <c r="M2333" s="1" t="s">
        <v>7482</v>
      </c>
      <c r="N2333" s="18">
        <v>46016.0</v>
      </c>
      <c r="O2333" s="1" t="s">
        <v>7309</v>
      </c>
      <c r="P2333" s="1" t="s">
        <v>3257</v>
      </c>
      <c r="Q2333" s="1" t="s">
        <v>3408</v>
      </c>
    </row>
    <row r="2334">
      <c r="A2334" s="1" t="s">
        <v>7483</v>
      </c>
      <c r="B2334" s="1">
        <v>77.0</v>
      </c>
      <c r="C2334" s="1">
        <v>90.0</v>
      </c>
      <c r="D2334" s="2" t="s">
        <v>740</v>
      </c>
      <c r="E2334" s="1">
        <v>77.0</v>
      </c>
      <c r="F2334" s="1">
        <v>12.0</v>
      </c>
      <c r="G2334" s="1">
        <v>12.67</v>
      </c>
      <c r="H2334" s="1">
        <v>0.0</v>
      </c>
      <c r="I2334" s="1">
        <v>0.0</v>
      </c>
      <c r="J2334" s="1">
        <v>0.0</v>
      </c>
      <c r="K2334" s="1">
        <v>0.4</v>
      </c>
      <c r="L2334" s="1">
        <v>7.16E7</v>
      </c>
      <c r="M2334" s="1" t="s">
        <v>7484</v>
      </c>
      <c r="N2334" s="18">
        <v>46015.0</v>
      </c>
      <c r="O2334" s="1" t="s">
        <v>6400</v>
      </c>
      <c r="P2334" s="1" t="s">
        <v>3230</v>
      </c>
      <c r="Q2334" s="1" t="s">
        <v>3408</v>
      </c>
    </row>
    <row r="2335">
      <c r="A2335" s="1" t="s">
        <v>7485</v>
      </c>
      <c r="B2335" s="1">
        <v>77.0</v>
      </c>
      <c r="C2335" s="1">
        <v>140.0</v>
      </c>
      <c r="D2335" s="2" t="s">
        <v>1097</v>
      </c>
      <c r="E2335" s="1">
        <v>77.0</v>
      </c>
      <c r="F2335" s="1">
        <v>4.0</v>
      </c>
      <c r="G2335" s="1">
        <v>0.0</v>
      </c>
      <c r="H2335" s="1">
        <v>0.0</v>
      </c>
      <c r="I2335" s="1">
        <v>0.0</v>
      </c>
      <c r="J2335" s="1">
        <v>0.0</v>
      </c>
      <c r="K2335" s="1">
        <v>0.01</v>
      </c>
      <c r="L2335" s="1">
        <v>403000.0</v>
      </c>
      <c r="M2335" s="1" t="s">
        <v>7486</v>
      </c>
      <c r="N2335" s="18">
        <v>46014.0</v>
      </c>
      <c r="O2335" s="1" t="s">
        <v>3479</v>
      </c>
      <c r="P2335" s="1" t="s">
        <v>3230</v>
      </c>
      <c r="Q2335" s="1" t="s">
        <v>3408</v>
      </c>
    </row>
    <row r="2336">
      <c r="A2336" s="1" t="s">
        <v>7487</v>
      </c>
      <c r="B2336" s="1">
        <v>77.0</v>
      </c>
      <c r="C2336" s="1">
        <v>90.0</v>
      </c>
      <c r="D2336" s="2" t="s">
        <v>581</v>
      </c>
      <c r="E2336" s="1">
        <v>77.0</v>
      </c>
      <c r="F2336" s="1">
        <v>54.0</v>
      </c>
      <c r="G2336" s="1">
        <v>19.21</v>
      </c>
      <c r="H2336" s="1">
        <v>0.0</v>
      </c>
      <c r="I2336" s="1">
        <v>0.0</v>
      </c>
      <c r="J2336" s="1">
        <v>0.0</v>
      </c>
      <c r="K2336" s="1">
        <v>0.86</v>
      </c>
      <c r="L2336" s="1">
        <v>1.91E7</v>
      </c>
      <c r="M2336" s="1" t="s">
        <v>7488</v>
      </c>
      <c r="N2336" s="18">
        <v>46013.0</v>
      </c>
      <c r="O2336" s="1" t="s">
        <v>3427</v>
      </c>
      <c r="P2336" s="1" t="s">
        <v>3257</v>
      </c>
      <c r="Q2336" s="1" t="s">
        <v>3408</v>
      </c>
    </row>
    <row r="2337">
      <c r="A2337" s="1" t="s">
        <v>7489</v>
      </c>
      <c r="B2337" s="1">
        <v>77.0</v>
      </c>
      <c r="C2337" s="1">
        <v>110.0</v>
      </c>
      <c r="D2337" s="2" t="s">
        <v>738</v>
      </c>
      <c r="E2337" s="1">
        <v>77.0</v>
      </c>
      <c r="F2337" s="1">
        <v>16.0</v>
      </c>
      <c r="G2337" s="1">
        <v>0.0</v>
      </c>
      <c r="H2337" s="1">
        <v>0.0</v>
      </c>
      <c r="I2337" s="1">
        <v>0.0</v>
      </c>
      <c r="J2337" s="1">
        <v>0.0</v>
      </c>
      <c r="K2337" s="1">
        <v>0.0</v>
      </c>
      <c r="L2337" s="1">
        <v>1050000.0</v>
      </c>
      <c r="M2337" s="1" t="s">
        <v>7490</v>
      </c>
      <c r="N2337" s="18">
        <v>46013.0</v>
      </c>
      <c r="O2337" s="1" t="s">
        <v>3479</v>
      </c>
      <c r="P2337" s="1" t="s">
        <v>3334</v>
      </c>
      <c r="Q2337" s="1" t="s">
        <v>3408</v>
      </c>
    </row>
    <row r="2338">
      <c r="A2338" s="1" t="s">
        <v>7491</v>
      </c>
      <c r="B2338" s="1">
        <v>77.0</v>
      </c>
      <c r="C2338" s="1">
        <v>90.0</v>
      </c>
      <c r="D2338" s="2" t="s">
        <v>750</v>
      </c>
      <c r="E2338" s="1">
        <v>77.0</v>
      </c>
      <c r="F2338" s="1">
        <v>0.0</v>
      </c>
      <c r="G2338" s="1">
        <v>0.0</v>
      </c>
      <c r="H2338" s="1">
        <v>0.0</v>
      </c>
      <c r="I2338" s="1">
        <v>0.0</v>
      </c>
      <c r="J2338" s="1">
        <v>0.0</v>
      </c>
      <c r="K2338" s="1">
        <v>0.0</v>
      </c>
      <c r="L2338" s="1">
        <v>74400.0</v>
      </c>
      <c r="M2338" s="1" t="s">
        <v>7492</v>
      </c>
      <c r="N2338" s="18">
        <v>46012.0</v>
      </c>
      <c r="O2338" s="1" t="s">
        <v>3252</v>
      </c>
      <c r="P2338" s="1" t="s">
        <v>3334</v>
      </c>
      <c r="Q2338" s="1" t="s">
        <v>3408</v>
      </c>
    </row>
    <row r="2339">
      <c r="A2339" s="1" t="s">
        <v>7493</v>
      </c>
      <c r="B2339" s="1">
        <v>77.0</v>
      </c>
      <c r="C2339" s="1">
        <v>50.0</v>
      </c>
      <c r="D2339" s="2" t="s">
        <v>784</v>
      </c>
      <c r="E2339" s="1">
        <v>77.0</v>
      </c>
      <c r="F2339" s="1">
        <v>2.0</v>
      </c>
      <c r="G2339" s="1">
        <v>0.0</v>
      </c>
      <c r="H2339" s="1">
        <v>0.0</v>
      </c>
      <c r="I2339" s="1">
        <v>0.0</v>
      </c>
      <c r="J2339" s="1">
        <v>0.0</v>
      </c>
      <c r="K2339" s="1">
        <v>0.0</v>
      </c>
      <c r="L2339" s="1">
        <v>8200000.0</v>
      </c>
      <c r="M2339" s="1" t="s">
        <v>7494</v>
      </c>
      <c r="N2339" s="18">
        <v>46010.0</v>
      </c>
      <c r="O2339" s="1" t="s">
        <v>4569</v>
      </c>
      <c r="P2339" s="1" t="s">
        <v>3334</v>
      </c>
      <c r="Q2339" s="1" t="s">
        <v>3408</v>
      </c>
    </row>
    <row r="2340">
      <c r="A2340" s="1" t="s">
        <v>7495</v>
      </c>
      <c r="B2340" s="1">
        <v>77.0</v>
      </c>
      <c r="C2340" s="1">
        <v>1000.0</v>
      </c>
      <c r="D2340" s="2" t="s">
        <v>2249</v>
      </c>
      <c r="E2340" s="1">
        <v>77.0</v>
      </c>
      <c r="F2340" s="1">
        <v>19.0</v>
      </c>
      <c r="G2340" s="1">
        <v>0.0</v>
      </c>
      <c r="H2340" s="1">
        <v>0.0</v>
      </c>
      <c r="I2340" s="1">
        <v>0.0</v>
      </c>
      <c r="J2340" s="1">
        <v>0.0</v>
      </c>
      <c r="K2340" s="1">
        <v>0.0</v>
      </c>
      <c r="L2340" s="1">
        <v>2.41E8</v>
      </c>
      <c r="M2340" s="1" t="s">
        <v>7496</v>
      </c>
      <c r="N2340" s="18">
        <v>46008.0</v>
      </c>
      <c r="O2340" s="1" t="s">
        <v>5571</v>
      </c>
      <c r="P2340" s="1" t="s">
        <v>3230</v>
      </c>
      <c r="Q2340" s="1" t="s">
        <v>3408</v>
      </c>
    </row>
    <row r="2341">
      <c r="A2341" s="1" t="s">
        <v>7497</v>
      </c>
      <c r="B2341" s="1">
        <v>77.0</v>
      </c>
      <c r="C2341" s="1">
        <v>40.0</v>
      </c>
      <c r="D2341" s="2" t="s">
        <v>439</v>
      </c>
      <c r="E2341" s="1">
        <v>77.0</v>
      </c>
      <c r="F2341" s="1">
        <v>18.0</v>
      </c>
      <c r="G2341" s="1">
        <v>2.3</v>
      </c>
      <c r="H2341" s="1">
        <v>0.0</v>
      </c>
      <c r="I2341" s="1">
        <v>0.0</v>
      </c>
      <c r="J2341" s="1">
        <v>0.0</v>
      </c>
      <c r="K2341" s="1">
        <v>0.07</v>
      </c>
      <c r="L2341" s="1">
        <v>200000.0</v>
      </c>
      <c r="M2341" s="1" t="s">
        <v>7498</v>
      </c>
      <c r="N2341" s="18">
        <v>46003.0</v>
      </c>
      <c r="O2341" s="1" t="s">
        <v>7230</v>
      </c>
      <c r="P2341" s="1" t="s">
        <v>3294</v>
      </c>
      <c r="Q2341" s="1" t="s">
        <v>3408</v>
      </c>
    </row>
    <row r="2342">
      <c r="A2342" s="1" t="s">
        <v>6349</v>
      </c>
      <c r="B2342" s="1">
        <v>77.0</v>
      </c>
      <c r="C2342" s="1">
        <v>50.0</v>
      </c>
      <c r="D2342" s="2" t="s">
        <v>776</v>
      </c>
      <c r="E2342" s="1">
        <v>77.0</v>
      </c>
      <c r="F2342" s="1">
        <v>8.0</v>
      </c>
      <c r="G2342" s="1">
        <v>0.0</v>
      </c>
      <c r="H2342" s="1">
        <v>0.0</v>
      </c>
      <c r="I2342" s="1">
        <v>0.0</v>
      </c>
      <c r="J2342" s="1">
        <v>0.0</v>
      </c>
      <c r="K2342" s="1">
        <v>0.0</v>
      </c>
      <c r="L2342" s="1">
        <v>4420000.0</v>
      </c>
      <c r="M2342" s="1" t="s">
        <v>6350</v>
      </c>
      <c r="N2342" s="18">
        <v>46002.0</v>
      </c>
      <c r="O2342" s="1" t="s">
        <v>3479</v>
      </c>
      <c r="P2342" s="1" t="s">
        <v>3230</v>
      </c>
      <c r="Q2342" s="1" t="s">
        <v>3408</v>
      </c>
    </row>
    <row r="2343">
      <c r="A2343" s="1" t="s">
        <v>7499</v>
      </c>
      <c r="B2343" s="1">
        <v>77.0</v>
      </c>
      <c r="C2343" s="1">
        <v>70.0</v>
      </c>
      <c r="D2343" s="2" t="s">
        <v>581</v>
      </c>
      <c r="E2343" s="1">
        <v>77.0</v>
      </c>
      <c r="F2343" s="1">
        <v>53.0</v>
      </c>
      <c r="G2343" s="1">
        <v>19.44</v>
      </c>
      <c r="H2343" s="1">
        <v>0.0</v>
      </c>
      <c r="I2343" s="1">
        <v>0.0</v>
      </c>
      <c r="J2343" s="1">
        <v>0.0</v>
      </c>
      <c r="K2343" s="1">
        <v>0.58</v>
      </c>
      <c r="L2343" s="1">
        <v>9700000.0</v>
      </c>
      <c r="M2343" s="1" t="s">
        <v>7500</v>
      </c>
      <c r="N2343" s="18">
        <v>46002.0</v>
      </c>
      <c r="O2343" s="1" t="s">
        <v>3455</v>
      </c>
      <c r="P2343" s="1" t="s">
        <v>3257</v>
      </c>
      <c r="Q2343" s="1" t="s">
        <v>3408</v>
      </c>
    </row>
    <row r="2344">
      <c r="A2344" s="1" t="s">
        <v>7501</v>
      </c>
      <c r="B2344" s="1">
        <v>77.0</v>
      </c>
      <c r="C2344" s="1">
        <v>50.0</v>
      </c>
      <c r="D2344" s="2" t="s">
        <v>1988</v>
      </c>
      <c r="E2344" s="1">
        <v>77.0</v>
      </c>
      <c r="F2344" s="1">
        <v>7.0</v>
      </c>
      <c r="G2344" s="1">
        <v>0.0</v>
      </c>
      <c r="H2344" s="1">
        <v>0.0</v>
      </c>
      <c r="I2344" s="1">
        <v>0.0</v>
      </c>
      <c r="J2344" s="1">
        <v>0.0</v>
      </c>
      <c r="K2344" s="1">
        <v>0.0</v>
      </c>
      <c r="L2344" s="1">
        <v>9.38E7</v>
      </c>
      <c r="M2344" s="1" t="s">
        <v>7502</v>
      </c>
      <c r="N2344" s="18">
        <v>46000.0</v>
      </c>
      <c r="O2344" s="1" t="s">
        <v>3493</v>
      </c>
      <c r="P2344" s="1" t="s">
        <v>3230</v>
      </c>
      <c r="Q2344" s="1" t="s">
        <v>3408</v>
      </c>
    </row>
    <row r="2345">
      <c r="A2345" s="1" t="s">
        <v>7503</v>
      </c>
      <c r="B2345" s="1">
        <v>77.0</v>
      </c>
      <c r="C2345" s="1">
        <v>70.0</v>
      </c>
      <c r="D2345" s="2" t="s">
        <v>439</v>
      </c>
      <c r="E2345" s="1">
        <v>77.0</v>
      </c>
      <c r="F2345" s="1">
        <v>10.0</v>
      </c>
      <c r="G2345" s="1">
        <v>0.0</v>
      </c>
      <c r="H2345" s="1">
        <v>0.0</v>
      </c>
      <c r="I2345" s="1">
        <v>0.0</v>
      </c>
      <c r="J2345" s="1">
        <v>0.0</v>
      </c>
      <c r="K2345" s="1">
        <v>0.04</v>
      </c>
      <c r="L2345" s="1">
        <v>6090.0</v>
      </c>
      <c r="M2345" s="1" t="s">
        <v>7504</v>
      </c>
      <c r="N2345" s="18">
        <v>45998.0</v>
      </c>
      <c r="O2345" s="1" t="s">
        <v>4113</v>
      </c>
      <c r="P2345" s="1" t="s">
        <v>3230</v>
      </c>
      <c r="Q2345" s="1" t="s">
        <v>3408</v>
      </c>
    </row>
    <row r="2346">
      <c r="A2346" s="1" t="s">
        <v>7505</v>
      </c>
      <c r="B2346" s="1">
        <v>77.0</v>
      </c>
      <c r="C2346" s="1">
        <v>90.0</v>
      </c>
      <c r="D2346" s="2" t="s">
        <v>748</v>
      </c>
      <c r="E2346" s="1">
        <v>77.0</v>
      </c>
      <c r="F2346" s="1">
        <v>0.0</v>
      </c>
      <c r="G2346" s="1">
        <v>0.0</v>
      </c>
      <c r="H2346" s="1">
        <v>0.0</v>
      </c>
      <c r="I2346" s="1">
        <v>0.0</v>
      </c>
      <c r="J2346" s="1">
        <v>0.0</v>
      </c>
      <c r="K2346" s="1">
        <v>0.0</v>
      </c>
      <c r="L2346" s="1">
        <v>1690000.0</v>
      </c>
      <c r="M2346" s="1" t="s">
        <v>7506</v>
      </c>
      <c r="N2346" s="18">
        <v>45995.0</v>
      </c>
      <c r="O2346" s="1" t="s">
        <v>4134</v>
      </c>
      <c r="P2346" s="1" t="s">
        <v>3257</v>
      </c>
      <c r="Q2346" s="1" t="s">
        <v>3408</v>
      </c>
    </row>
    <row r="2347">
      <c r="A2347" s="1" t="s">
        <v>7507</v>
      </c>
      <c r="B2347" s="1">
        <v>77.0</v>
      </c>
      <c r="C2347" s="1">
        <v>140.0</v>
      </c>
      <c r="D2347" s="2" t="s">
        <v>2931</v>
      </c>
      <c r="E2347" s="1">
        <v>77.0</v>
      </c>
      <c r="F2347" s="1">
        <v>8.0</v>
      </c>
      <c r="G2347" s="1">
        <v>0.0</v>
      </c>
      <c r="H2347" s="1">
        <v>0.0</v>
      </c>
      <c r="I2347" s="1">
        <v>0.0</v>
      </c>
      <c r="J2347" s="1">
        <v>0.0</v>
      </c>
      <c r="K2347" s="1">
        <v>0.0</v>
      </c>
      <c r="L2347" s="1">
        <v>39400.0</v>
      </c>
      <c r="M2347" s="1" t="s">
        <v>7508</v>
      </c>
      <c r="N2347" s="18">
        <v>45994.0</v>
      </c>
      <c r="O2347" s="1" t="s">
        <v>4255</v>
      </c>
      <c r="P2347" s="1" t="s">
        <v>3257</v>
      </c>
      <c r="Q2347" s="1" t="s">
        <v>3408</v>
      </c>
    </row>
    <row r="2348">
      <c r="A2348" s="1" t="s">
        <v>7509</v>
      </c>
      <c r="B2348" s="1">
        <v>77.0</v>
      </c>
      <c r="C2348" s="1">
        <v>70.0</v>
      </c>
      <c r="D2348" s="2" t="s">
        <v>2048</v>
      </c>
      <c r="E2348" s="1">
        <v>77.0</v>
      </c>
      <c r="F2348" s="1">
        <v>16.0</v>
      </c>
      <c r="G2348" s="1">
        <v>0.0</v>
      </c>
      <c r="H2348" s="1">
        <v>0.0</v>
      </c>
      <c r="I2348" s="1">
        <v>0.0</v>
      </c>
      <c r="J2348" s="1">
        <v>0.0</v>
      </c>
      <c r="K2348" s="1">
        <v>0.0</v>
      </c>
      <c r="L2348" s="1">
        <v>8.31E7</v>
      </c>
      <c r="M2348" s="1" t="s">
        <v>5933</v>
      </c>
      <c r="N2348" s="18">
        <v>45993.0</v>
      </c>
      <c r="O2348" s="1" t="s">
        <v>6615</v>
      </c>
      <c r="P2348" s="1" t="s">
        <v>3230</v>
      </c>
      <c r="Q2348" s="1" t="s">
        <v>3408</v>
      </c>
    </row>
    <row r="2349">
      <c r="A2349" s="1" t="s">
        <v>7510</v>
      </c>
      <c r="B2349" s="1">
        <v>77.0</v>
      </c>
      <c r="C2349" s="1">
        <v>110.0</v>
      </c>
      <c r="D2349" s="2" t="s">
        <v>1860</v>
      </c>
      <c r="E2349" s="1">
        <v>77.0</v>
      </c>
      <c r="F2349" s="1">
        <v>17.0</v>
      </c>
      <c r="G2349" s="1">
        <v>3.36</v>
      </c>
      <c r="H2349" s="1">
        <v>0.0</v>
      </c>
      <c r="I2349" s="1">
        <v>0.0</v>
      </c>
      <c r="J2349" s="1">
        <v>0.0</v>
      </c>
      <c r="K2349" s="1">
        <v>0.19</v>
      </c>
      <c r="L2349" s="1">
        <v>4.95E8</v>
      </c>
      <c r="M2349" s="1" t="s">
        <v>7511</v>
      </c>
      <c r="N2349" s="18">
        <v>45992.0</v>
      </c>
      <c r="O2349" s="1" t="s">
        <v>4543</v>
      </c>
      <c r="P2349" s="1" t="s">
        <v>3230</v>
      </c>
      <c r="Q2349" s="1" t="s">
        <v>3408</v>
      </c>
    </row>
    <row r="2350">
      <c r="A2350" s="1" t="s">
        <v>7512</v>
      </c>
      <c r="B2350" s="1">
        <v>77.0</v>
      </c>
      <c r="C2350" s="1">
        <v>390.0</v>
      </c>
      <c r="D2350" s="2" t="s">
        <v>714</v>
      </c>
      <c r="E2350" s="1">
        <v>77.0</v>
      </c>
      <c r="F2350" s="1">
        <v>3.0</v>
      </c>
      <c r="G2350" s="1">
        <v>17.4</v>
      </c>
      <c r="H2350" s="1">
        <v>0.0</v>
      </c>
      <c r="I2350" s="1">
        <v>0.0</v>
      </c>
      <c r="J2350" s="1">
        <v>0.0</v>
      </c>
      <c r="K2350" s="1">
        <v>0.04</v>
      </c>
      <c r="L2350" s="1">
        <v>921000.0</v>
      </c>
      <c r="M2350" s="1" t="s">
        <v>7513</v>
      </c>
      <c r="N2350" s="18">
        <v>45992.0</v>
      </c>
      <c r="O2350" s="1" t="s">
        <v>7309</v>
      </c>
      <c r="P2350" s="1" t="s">
        <v>3230</v>
      </c>
      <c r="Q2350" s="1" t="s">
        <v>3408</v>
      </c>
    </row>
    <row r="2351">
      <c r="A2351" s="1" t="s">
        <v>7514</v>
      </c>
      <c r="B2351" s="1">
        <v>77.0</v>
      </c>
      <c r="C2351" s="1">
        <v>390.0</v>
      </c>
      <c r="D2351" s="2" t="s">
        <v>581</v>
      </c>
      <c r="E2351" s="1">
        <v>77.0</v>
      </c>
      <c r="F2351" s="1">
        <v>57.0</v>
      </c>
      <c r="G2351" s="1">
        <v>19.44</v>
      </c>
      <c r="H2351" s="1">
        <v>0.0</v>
      </c>
      <c r="I2351" s="1">
        <v>0.0</v>
      </c>
      <c r="J2351" s="1">
        <v>0.0</v>
      </c>
      <c r="K2351" s="1">
        <v>0.58</v>
      </c>
      <c r="L2351" s="1">
        <v>9660000.0</v>
      </c>
      <c r="M2351" s="1" t="s">
        <v>7515</v>
      </c>
      <c r="N2351" s="18">
        <v>45991.0</v>
      </c>
      <c r="O2351" s="1" t="s">
        <v>4390</v>
      </c>
      <c r="P2351" s="1" t="s">
        <v>3257</v>
      </c>
      <c r="Q2351" s="1" t="s">
        <v>3408</v>
      </c>
    </row>
    <row r="2352">
      <c r="A2352" s="1" t="s">
        <v>7516</v>
      </c>
      <c r="B2352" s="1">
        <v>77.0</v>
      </c>
      <c r="C2352" s="1">
        <v>110.0</v>
      </c>
      <c r="D2352" s="2" t="s">
        <v>2249</v>
      </c>
      <c r="E2352" s="1">
        <v>77.0</v>
      </c>
      <c r="F2352" s="1">
        <v>15.0</v>
      </c>
      <c r="G2352" s="1">
        <v>0.0</v>
      </c>
      <c r="H2352" s="1">
        <v>0.0</v>
      </c>
      <c r="I2352" s="1">
        <v>0.0</v>
      </c>
      <c r="J2352" s="1">
        <v>0.0</v>
      </c>
      <c r="K2352" s="1">
        <v>0.0</v>
      </c>
      <c r="L2352" s="1">
        <v>1.32E8</v>
      </c>
      <c r="M2352" s="1" t="s">
        <v>7517</v>
      </c>
      <c r="N2352" s="18">
        <v>45989.0</v>
      </c>
      <c r="O2352" s="1" t="s">
        <v>5344</v>
      </c>
      <c r="P2352" s="1" t="s">
        <v>3230</v>
      </c>
      <c r="Q2352" s="1" t="s">
        <v>3408</v>
      </c>
    </row>
    <row r="2353">
      <c r="A2353" s="1" t="s">
        <v>7518</v>
      </c>
      <c r="B2353" s="1">
        <v>77.0</v>
      </c>
      <c r="C2353" s="1">
        <v>480.0</v>
      </c>
      <c r="D2353" s="2" t="s">
        <v>911</v>
      </c>
      <c r="E2353" s="1">
        <v>77.0</v>
      </c>
      <c r="F2353" s="1">
        <v>6.0</v>
      </c>
      <c r="G2353" s="1">
        <v>1.83</v>
      </c>
      <c r="H2353" s="1">
        <v>0.0</v>
      </c>
      <c r="I2353" s="1">
        <v>0.0</v>
      </c>
      <c r="J2353" s="1">
        <v>0.0</v>
      </c>
      <c r="K2353" s="1">
        <v>0.47</v>
      </c>
      <c r="L2353" s="1">
        <v>5.24E7</v>
      </c>
      <c r="M2353" s="1" t="s">
        <v>7519</v>
      </c>
      <c r="N2353" s="18">
        <v>45988.0</v>
      </c>
      <c r="O2353" s="1" t="s">
        <v>4360</v>
      </c>
      <c r="P2353" s="1" t="s">
        <v>3230</v>
      </c>
      <c r="Q2353" s="1" t="s">
        <v>3408</v>
      </c>
    </row>
    <row r="2354">
      <c r="A2354" s="1" t="s">
        <v>7520</v>
      </c>
      <c r="B2354" s="1">
        <v>77.0</v>
      </c>
      <c r="C2354" s="1">
        <v>70.0</v>
      </c>
      <c r="D2354" s="2" t="s">
        <v>439</v>
      </c>
      <c r="E2354" s="1">
        <v>77.0</v>
      </c>
      <c r="F2354" s="1">
        <v>15.0</v>
      </c>
      <c r="G2354" s="1">
        <v>4.57</v>
      </c>
      <c r="H2354" s="1">
        <v>0.0</v>
      </c>
      <c r="I2354" s="1">
        <v>0.0</v>
      </c>
      <c r="J2354" s="1">
        <v>0.0</v>
      </c>
      <c r="K2354" s="1">
        <v>0.22</v>
      </c>
      <c r="L2354" s="1">
        <v>1.44E7</v>
      </c>
      <c r="M2354" s="1" t="s">
        <v>7521</v>
      </c>
      <c r="N2354" s="18">
        <v>45963.0</v>
      </c>
      <c r="O2354" s="1" t="s">
        <v>6115</v>
      </c>
      <c r="P2354" s="1" t="s">
        <v>3294</v>
      </c>
      <c r="Q2354" s="1" t="s">
        <v>3408</v>
      </c>
    </row>
    <row r="2355">
      <c r="A2355" s="1" t="s">
        <v>7522</v>
      </c>
      <c r="B2355" s="1">
        <v>78.0</v>
      </c>
      <c r="C2355" s="1">
        <v>210.0</v>
      </c>
      <c r="D2355" s="2" t="s">
        <v>782</v>
      </c>
      <c r="E2355" s="1">
        <v>0.0</v>
      </c>
      <c r="F2355" s="1">
        <v>3.0</v>
      </c>
      <c r="G2355" s="1">
        <v>0.0</v>
      </c>
      <c r="H2355" s="1">
        <v>0.0</v>
      </c>
      <c r="I2355" s="1">
        <v>0.0</v>
      </c>
      <c r="J2355" s="1">
        <v>0.0</v>
      </c>
      <c r="K2355" s="1">
        <v>0.03</v>
      </c>
      <c r="L2355" s="1">
        <v>2630000.0</v>
      </c>
      <c r="M2355" s="1" t="s">
        <v>7523</v>
      </c>
      <c r="N2355" s="18">
        <v>46042.0</v>
      </c>
      <c r="O2355" s="1" t="s">
        <v>4006</v>
      </c>
      <c r="P2355" s="1" t="s">
        <v>3257</v>
      </c>
      <c r="Q2355" s="1" t="s">
        <v>3408</v>
      </c>
    </row>
    <row r="2356">
      <c r="A2356" s="1" t="s">
        <v>7524</v>
      </c>
      <c r="B2356" s="1">
        <v>78.0</v>
      </c>
      <c r="C2356" s="1">
        <v>170.0</v>
      </c>
      <c r="D2356" s="2" t="s">
        <v>1981</v>
      </c>
      <c r="E2356" s="1">
        <v>0.0</v>
      </c>
      <c r="F2356" s="1">
        <v>15.0</v>
      </c>
      <c r="G2356" s="1">
        <v>4.49</v>
      </c>
      <c r="H2356" s="1">
        <v>0.0</v>
      </c>
      <c r="I2356" s="1">
        <v>0.0</v>
      </c>
      <c r="J2356" s="1">
        <v>0.0</v>
      </c>
      <c r="K2356" s="1">
        <v>0.76</v>
      </c>
      <c r="L2356" s="1">
        <v>7.87E7</v>
      </c>
      <c r="M2356" s="1" t="s">
        <v>7525</v>
      </c>
      <c r="N2356" s="18">
        <v>46042.0</v>
      </c>
      <c r="O2356" s="1" t="s">
        <v>3284</v>
      </c>
      <c r="P2356" s="1" t="s">
        <v>3230</v>
      </c>
      <c r="Q2356" s="1" t="s">
        <v>3408</v>
      </c>
    </row>
    <row r="2357">
      <c r="A2357" s="1" t="s">
        <v>7526</v>
      </c>
      <c r="B2357" s="1">
        <v>78.0</v>
      </c>
      <c r="C2357" s="1">
        <v>140.0</v>
      </c>
      <c r="D2357" s="2" t="s">
        <v>2253</v>
      </c>
      <c r="E2357" s="1">
        <v>32.0</v>
      </c>
      <c r="F2357" s="1">
        <v>9.0</v>
      </c>
      <c r="G2357" s="1">
        <v>0.0</v>
      </c>
      <c r="H2357" s="1">
        <v>0.0</v>
      </c>
      <c r="I2357" s="1">
        <v>0.0</v>
      </c>
      <c r="J2357" s="1">
        <v>0.0</v>
      </c>
      <c r="K2357" s="1">
        <v>0.0</v>
      </c>
      <c r="L2357" s="1">
        <v>8.93E7</v>
      </c>
      <c r="M2357" s="1" t="s">
        <v>7527</v>
      </c>
      <c r="N2357" s="18">
        <v>46042.0</v>
      </c>
      <c r="O2357" s="1" t="s">
        <v>3314</v>
      </c>
      <c r="P2357" s="1" t="s">
        <v>3230</v>
      </c>
      <c r="Q2357" s="1" t="s">
        <v>3408</v>
      </c>
    </row>
    <row r="2358">
      <c r="A2358" s="1" t="s">
        <v>7528</v>
      </c>
      <c r="B2358" s="1">
        <v>78.0</v>
      </c>
      <c r="C2358" s="1">
        <v>40.0</v>
      </c>
      <c r="D2358" s="2" t="s">
        <v>740</v>
      </c>
      <c r="E2358" s="1">
        <v>78.0</v>
      </c>
      <c r="F2358" s="1">
        <v>4.0</v>
      </c>
      <c r="G2358" s="1">
        <v>0.0</v>
      </c>
      <c r="H2358" s="1">
        <v>0.0</v>
      </c>
      <c r="I2358" s="1">
        <v>0.0</v>
      </c>
      <c r="J2358" s="1">
        <v>0.0</v>
      </c>
      <c r="K2358" s="1">
        <v>0.02</v>
      </c>
      <c r="L2358" s="1">
        <v>79400.0</v>
      </c>
      <c r="M2358" s="1" t="s">
        <v>7529</v>
      </c>
      <c r="N2358" s="18">
        <v>46041.0</v>
      </c>
      <c r="O2358" s="1" t="s">
        <v>4393</v>
      </c>
      <c r="P2358" s="1" t="s">
        <v>3230</v>
      </c>
      <c r="Q2358" s="1" t="s">
        <v>3408</v>
      </c>
    </row>
    <row r="2359">
      <c r="A2359" s="1" t="s">
        <v>7530</v>
      </c>
      <c r="B2359" s="1">
        <v>78.0</v>
      </c>
      <c r="C2359" s="1">
        <v>50.0</v>
      </c>
      <c r="D2359" s="2" t="s">
        <v>681</v>
      </c>
      <c r="E2359" s="1">
        <v>78.0</v>
      </c>
      <c r="F2359" s="1">
        <v>20.0</v>
      </c>
      <c r="G2359" s="1">
        <v>1.19</v>
      </c>
      <c r="H2359" s="1">
        <v>0.0</v>
      </c>
      <c r="I2359" s="1">
        <v>0.0</v>
      </c>
      <c r="J2359" s="1">
        <v>0.0</v>
      </c>
      <c r="K2359" s="1">
        <v>0.05</v>
      </c>
      <c r="L2359" s="1">
        <v>532000.0</v>
      </c>
      <c r="M2359" s="1" t="s">
        <v>7531</v>
      </c>
      <c r="N2359" s="18">
        <v>46040.0</v>
      </c>
      <c r="O2359" s="1" t="s">
        <v>7532</v>
      </c>
      <c r="P2359" s="1" t="s">
        <v>3230</v>
      </c>
      <c r="Q2359" s="1" t="s">
        <v>3408</v>
      </c>
    </row>
    <row r="2360">
      <c r="A2360" s="1" t="s">
        <v>7533</v>
      </c>
      <c r="B2360" s="1">
        <v>78.0</v>
      </c>
      <c r="C2360" s="1">
        <v>170.0</v>
      </c>
      <c r="D2360" s="2" t="s">
        <v>720</v>
      </c>
      <c r="E2360" s="1">
        <v>78.0</v>
      </c>
      <c r="F2360" s="1">
        <v>2.0</v>
      </c>
      <c r="G2360" s="1">
        <v>0.0</v>
      </c>
      <c r="H2360" s="1">
        <v>0.0</v>
      </c>
      <c r="I2360" s="1">
        <v>0.0</v>
      </c>
      <c r="J2360" s="1">
        <v>0.0</v>
      </c>
      <c r="K2360" s="1">
        <v>0.02</v>
      </c>
      <c r="L2360" s="1">
        <v>1240000.0</v>
      </c>
      <c r="M2360" s="1" t="s">
        <v>7534</v>
      </c>
      <c r="N2360" s="18">
        <v>46038.0</v>
      </c>
      <c r="O2360" s="1" t="s">
        <v>3432</v>
      </c>
      <c r="P2360" s="1" t="s">
        <v>3257</v>
      </c>
      <c r="Q2360" s="1" t="s">
        <v>3408</v>
      </c>
    </row>
    <row r="2361">
      <c r="A2361" s="1" t="s">
        <v>7535</v>
      </c>
      <c r="B2361" s="1">
        <v>78.0</v>
      </c>
      <c r="C2361" s="1">
        <v>90.0</v>
      </c>
      <c r="D2361" s="2" t="s">
        <v>1860</v>
      </c>
      <c r="E2361" s="1">
        <v>78.0</v>
      </c>
      <c r="F2361" s="1">
        <v>19.0</v>
      </c>
      <c r="G2361" s="1">
        <v>4.32</v>
      </c>
      <c r="H2361" s="1">
        <v>0.0</v>
      </c>
      <c r="I2361" s="1">
        <v>0.0</v>
      </c>
      <c r="J2361" s="1">
        <v>0.0</v>
      </c>
      <c r="K2361" s="1">
        <v>0.11</v>
      </c>
      <c r="L2361" s="1">
        <v>2.89E7</v>
      </c>
      <c r="M2361" s="1" t="s">
        <v>7536</v>
      </c>
      <c r="N2361" s="18">
        <v>46036.0</v>
      </c>
      <c r="O2361" s="1" t="s">
        <v>3231</v>
      </c>
      <c r="P2361" s="1" t="s">
        <v>3230</v>
      </c>
      <c r="Q2361" s="1" t="s">
        <v>3408</v>
      </c>
    </row>
    <row r="2362">
      <c r="A2362" s="1" t="s">
        <v>7537</v>
      </c>
      <c r="B2362" s="1">
        <v>78.0</v>
      </c>
      <c r="C2362" s="1">
        <v>50.0</v>
      </c>
      <c r="D2362" s="2" t="s">
        <v>581</v>
      </c>
      <c r="E2362" s="1">
        <v>78.0</v>
      </c>
      <c r="F2362" s="1">
        <v>0.0</v>
      </c>
      <c r="G2362" s="1">
        <v>0.0</v>
      </c>
      <c r="H2362" s="1">
        <v>0.0</v>
      </c>
      <c r="I2362" s="1">
        <v>0.0</v>
      </c>
      <c r="J2362" s="1">
        <v>0.0</v>
      </c>
      <c r="K2362" s="1">
        <v>0.33</v>
      </c>
      <c r="L2362" s="1">
        <v>69900.0</v>
      </c>
      <c r="M2362" s="1" t="s">
        <v>7538</v>
      </c>
      <c r="N2362" s="18">
        <v>46033.0</v>
      </c>
      <c r="O2362" s="1" t="s">
        <v>4557</v>
      </c>
      <c r="P2362" s="1" t="s">
        <v>3334</v>
      </c>
      <c r="Q2362" s="1" t="s">
        <v>3408</v>
      </c>
    </row>
    <row r="2363">
      <c r="A2363" s="1" t="s">
        <v>7539</v>
      </c>
      <c r="B2363" s="1">
        <v>78.0</v>
      </c>
      <c r="C2363" s="1">
        <v>50.0</v>
      </c>
      <c r="D2363" s="2" t="s">
        <v>772</v>
      </c>
      <c r="E2363" s="1">
        <v>78.0</v>
      </c>
      <c r="F2363" s="1">
        <v>9.0</v>
      </c>
      <c r="G2363" s="1">
        <v>57.02</v>
      </c>
      <c r="H2363" s="1">
        <v>0.0</v>
      </c>
      <c r="I2363" s="1">
        <v>0.0</v>
      </c>
      <c r="J2363" s="1">
        <v>0.0</v>
      </c>
      <c r="K2363" s="1">
        <v>0.13</v>
      </c>
      <c r="L2363" s="1">
        <v>2940000.0</v>
      </c>
      <c r="M2363" s="1" t="s">
        <v>7540</v>
      </c>
      <c r="N2363" s="18">
        <v>46032.0</v>
      </c>
      <c r="O2363" s="1" t="s">
        <v>7541</v>
      </c>
      <c r="P2363" s="1" t="s">
        <v>3257</v>
      </c>
      <c r="Q2363" s="1" t="s">
        <v>3408</v>
      </c>
    </row>
    <row r="2364">
      <c r="A2364" s="1" t="s">
        <v>7542</v>
      </c>
      <c r="B2364" s="1">
        <v>78.0</v>
      </c>
      <c r="C2364" s="1">
        <v>40.0</v>
      </c>
      <c r="D2364" s="2" t="s">
        <v>600</v>
      </c>
      <c r="E2364" s="1">
        <v>78.0</v>
      </c>
      <c r="F2364" s="1">
        <v>4.0</v>
      </c>
      <c r="G2364" s="1">
        <v>9.24</v>
      </c>
      <c r="H2364" s="1">
        <v>0.0</v>
      </c>
      <c r="I2364" s="1">
        <v>0.0</v>
      </c>
      <c r="J2364" s="1">
        <v>0.0</v>
      </c>
      <c r="K2364" s="1">
        <v>0.29</v>
      </c>
      <c r="L2364" s="1">
        <v>3810000.0</v>
      </c>
      <c r="M2364" s="1" t="s">
        <v>7543</v>
      </c>
      <c r="N2364" s="18">
        <v>46032.0</v>
      </c>
      <c r="O2364" s="1" t="s">
        <v>3933</v>
      </c>
      <c r="P2364" s="1" t="s">
        <v>3257</v>
      </c>
      <c r="Q2364" s="1" t="s">
        <v>3408</v>
      </c>
    </row>
    <row r="2365">
      <c r="A2365" s="1" t="s">
        <v>7544</v>
      </c>
      <c r="B2365" s="1">
        <v>78.0</v>
      </c>
      <c r="C2365" s="1">
        <v>110.0</v>
      </c>
      <c r="D2365" s="2" t="s">
        <v>439</v>
      </c>
      <c r="E2365" s="1">
        <v>78.0</v>
      </c>
      <c r="F2365" s="1">
        <v>19.0</v>
      </c>
      <c r="G2365" s="1">
        <v>0.0</v>
      </c>
      <c r="H2365" s="1">
        <v>0.0</v>
      </c>
      <c r="I2365" s="1">
        <v>0.0</v>
      </c>
      <c r="J2365" s="1">
        <v>0.0</v>
      </c>
      <c r="K2365" s="1">
        <v>0.0</v>
      </c>
      <c r="L2365" s="1">
        <v>32100.0</v>
      </c>
      <c r="M2365" s="1" t="s">
        <v>7545</v>
      </c>
      <c r="N2365" s="18">
        <v>46032.0</v>
      </c>
      <c r="O2365" s="1" t="s">
        <v>7546</v>
      </c>
      <c r="P2365" s="1" t="s">
        <v>3230</v>
      </c>
      <c r="Q2365" s="1" t="s">
        <v>3408</v>
      </c>
    </row>
    <row r="2366">
      <c r="A2366" s="1" t="s">
        <v>7547</v>
      </c>
      <c r="B2366" s="1">
        <v>78.0</v>
      </c>
      <c r="C2366" s="1">
        <v>12100.0</v>
      </c>
      <c r="D2366" s="2" t="s">
        <v>754</v>
      </c>
      <c r="E2366" s="1">
        <v>78.0</v>
      </c>
      <c r="F2366" s="1">
        <v>39.0</v>
      </c>
      <c r="G2366" s="1">
        <v>51.05</v>
      </c>
      <c r="H2366" s="1">
        <v>0.0</v>
      </c>
      <c r="I2366" s="1">
        <v>0.0</v>
      </c>
      <c r="J2366" s="1">
        <v>0.0</v>
      </c>
      <c r="K2366" s="1">
        <v>0.39</v>
      </c>
      <c r="L2366" s="1">
        <v>4.41E8</v>
      </c>
      <c r="M2366" s="1" t="s">
        <v>7548</v>
      </c>
      <c r="N2366" s="18">
        <v>46032.0</v>
      </c>
      <c r="O2366" s="1" t="s">
        <v>7549</v>
      </c>
      <c r="P2366" s="1" t="s">
        <v>3230</v>
      </c>
      <c r="Q2366" s="1" t="s">
        <v>3408</v>
      </c>
    </row>
    <row r="2367">
      <c r="A2367" s="1" t="s">
        <v>7550</v>
      </c>
      <c r="B2367" s="1">
        <v>78.0</v>
      </c>
      <c r="C2367" s="1">
        <v>50.0</v>
      </c>
      <c r="D2367" s="2" t="s">
        <v>581</v>
      </c>
      <c r="E2367" s="1">
        <v>78.0</v>
      </c>
      <c r="F2367" s="1">
        <v>9.0</v>
      </c>
      <c r="G2367" s="1">
        <v>0.0</v>
      </c>
      <c r="H2367" s="1">
        <v>0.0</v>
      </c>
      <c r="I2367" s="1">
        <v>0.0</v>
      </c>
      <c r="J2367" s="1">
        <v>0.0</v>
      </c>
      <c r="K2367" s="1">
        <v>0.0</v>
      </c>
      <c r="L2367" s="1">
        <v>457000.0</v>
      </c>
      <c r="M2367" s="1" t="s">
        <v>7551</v>
      </c>
      <c r="N2367" s="18">
        <v>46032.0</v>
      </c>
      <c r="O2367" s="1" t="s">
        <v>4390</v>
      </c>
      <c r="P2367" s="1" t="s">
        <v>3257</v>
      </c>
      <c r="Q2367" s="1" t="s">
        <v>3408</v>
      </c>
    </row>
    <row r="2368">
      <c r="A2368" s="1" t="s">
        <v>7552</v>
      </c>
      <c r="B2368" s="1">
        <v>78.0</v>
      </c>
      <c r="C2368" s="1">
        <v>50.0</v>
      </c>
      <c r="D2368" s="2" t="s">
        <v>519</v>
      </c>
      <c r="E2368" s="1">
        <v>78.0</v>
      </c>
      <c r="F2368" s="1">
        <v>3.0</v>
      </c>
      <c r="G2368" s="1">
        <v>0.0</v>
      </c>
      <c r="H2368" s="1">
        <v>0.0</v>
      </c>
      <c r="I2368" s="1">
        <v>0.0</v>
      </c>
      <c r="J2368" s="1">
        <v>0.0</v>
      </c>
      <c r="K2368" s="1">
        <v>0.2</v>
      </c>
      <c r="L2368" s="1">
        <v>5.6E7</v>
      </c>
      <c r="M2368" s="1" t="s">
        <v>7553</v>
      </c>
      <c r="N2368" s="18">
        <v>46032.0</v>
      </c>
      <c r="O2368" s="1" t="s">
        <v>7554</v>
      </c>
      <c r="P2368" s="1" t="s">
        <v>3301</v>
      </c>
      <c r="Q2368" s="1" t="s">
        <v>3408</v>
      </c>
    </row>
    <row r="2369">
      <c r="A2369" s="1" t="s">
        <v>7555</v>
      </c>
      <c r="B2369" s="1">
        <v>78.0</v>
      </c>
      <c r="C2369" s="1">
        <v>30.0</v>
      </c>
      <c r="D2369" s="2" t="s">
        <v>1870</v>
      </c>
      <c r="E2369" s="1">
        <v>78.0</v>
      </c>
      <c r="F2369" s="1">
        <v>20.0</v>
      </c>
      <c r="G2369" s="1">
        <v>1.48</v>
      </c>
      <c r="H2369" s="1">
        <v>0.0</v>
      </c>
      <c r="I2369" s="1">
        <v>0.0</v>
      </c>
      <c r="J2369" s="1">
        <v>0.0</v>
      </c>
      <c r="K2369" s="1">
        <v>0.18</v>
      </c>
      <c r="L2369" s="1">
        <v>132000.0</v>
      </c>
      <c r="M2369" s="1" t="s">
        <v>7556</v>
      </c>
      <c r="N2369" s="18">
        <v>46031.0</v>
      </c>
      <c r="O2369" s="1" t="s">
        <v>3565</v>
      </c>
      <c r="P2369" s="1" t="s">
        <v>3257</v>
      </c>
      <c r="Q2369" s="1" t="s">
        <v>3408</v>
      </c>
    </row>
    <row r="2370">
      <c r="A2370" s="1" t="s">
        <v>7557</v>
      </c>
      <c r="B2370" s="1">
        <v>78.0</v>
      </c>
      <c r="C2370" s="1">
        <v>40.0</v>
      </c>
      <c r="D2370" s="2" t="s">
        <v>1076</v>
      </c>
      <c r="E2370" s="1">
        <v>78.0</v>
      </c>
      <c r="F2370" s="1">
        <v>24.0</v>
      </c>
      <c r="G2370" s="1">
        <v>0.0</v>
      </c>
      <c r="H2370" s="1">
        <v>0.0</v>
      </c>
      <c r="I2370" s="1">
        <v>0.0</v>
      </c>
      <c r="J2370" s="1">
        <v>0.0</v>
      </c>
      <c r="K2370" s="1">
        <v>0.08</v>
      </c>
      <c r="L2370" s="1">
        <v>3.99E7</v>
      </c>
      <c r="M2370" s="1" t="s">
        <v>7558</v>
      </c>
      <c r="N2370" s="18">
        <v>46031.0</v>
      </c>
      <c r="O2370" s="1" t="s">
        <v>3565</v>
      </c>
      <c r="P2370" s="1" t="s">
        <v>3230</v>
      </c>
      <c r="Q2370" s="1" t="s">
        <v>3408</v>
      </c>
    </row>
    <row r="2371">
      <c r="A2371" s="1" t="s">
        <v>7559</v>
      </c>
      <c r="B2371" s="1">
        <v>78.0</v>
      </c>
      <c r="C2371" s="1">
        <v>50.0</v>
      </c>
      <c r="D2371" s="2" t="s">
        <v>499</v>
      </c>
      <c r="E2371" s="1">
        <v>78.0</v>
      </c>
      <c r="F2371" s="1">
        <v>0.0</v>
      </c>
      <c r="G2371" s="1">
        <v>15.32</v>
      </c>
      <c r="H2371" s="1">
        <v>0.0</v>
      </c>
      <c r="I2371" s="1">
        <v>0.0</v>
      </c>
      <c r="J2371" s="1">
        <v>0.0</v>
      </c>
      <c r="K2371" s="1">
        <v>0.21</v>
      </c>
      <c r="L2371" s="1">
        <v>79300.0</v>
      </c>
      <c r="M2371" s="1" t="s">
        <v>4908</v>
      </c>
      <c r="N2371" s="18">
        <v>46031.0</v>
      </c>
      <c r="O2371" s="1" t="s">
        <v>3992</v>
      </c>
      <c r="P2371" s="1" t="s">
        <v>3334</v>
      </c>
      <c r="Q2371" s="1" t="s">
        <v>3408</v>
      </c>
    </row>
    <row r="2372">
      <c r="A2372" s="1" t="s">
        <v>7560</v>
      </c>
      <c r="B2372" s="1">
        <v>78.0</v>
      </c>
      <c r="C2372" s="1">
        <v>30.0</v>
      </c>
      <c r="D2372" s="2" t="s">
        <v>581</v>
      </c>
      <c r="E2372" s="1">
        <v>78.0</v>
      </c>
      <c r="F2372" s="1">
        <v>2.0</v>
      </c>
      <c r="G2372" s="1">
        <v>1.94</v>
      </c>
      <c r="H2372" s="1">
        <v>0.0</v>
      </c>
      <c r="I2372" s="1">
        <v>0.0</v>
      </c>
      <c r="J2372" s="1">
        <v>0.0</v>
      </c>
      <c r="K2372" s="1">
        <v>0.25</v>
      </c>
      <c r="L2372" s="1">
        <v>3150000.0</v>
      </c>
      <c r="M2372" s="1" t="s">
        <v>4808</v>
      </c>
      <c r="N2372" s="18">
        <v>46031.0</v>
      </c>
      <c r="O2372" s="1" t="s">
        <v>7561</v>
      </c>
      <c r="P2372" s="1" t="s">
        <v>3334</v>
      </c>
      <c r="Q2372" s="1" t="s">
        <v>3408</v>
      </c>
    </row>
    <row r="2373">
      <c r="A2373" s="1" t="s">
        <v>7562</v>
      </c>
      <c r="B2373" s="1">
        <v>78.0</v>
      </c>
      <c r="C2373" s="1">
        <v>30.0</v>
      </c>
      <c r="D2373" s="2" t="s">
        <v>581</v>
      </c>
      <c r="E2373" s="1">
        <v>78.0</v>
      </c>
      <c r="G2373" s="1">
        <v>15.03</v>
      </c>
      <c r="H2373" s="1">
        <v>0.0</v>
      </c>
      <c r="I2373" s="1">
        <v>0.0</v>
      </c>
      <c r="J2373" s="1">
        <v>0.0</v>
      </c>
      <c r="K2373" s="1">
        <v>1.0</v>
      </c>
      <c r="L2373" s="1">
        <v>1.02E7</v>
      </c>
      <c r="M2373" s="1" t="s">
        <v>7563</v>
      </c>
      <c r="N2373" s="18">
        <v>46026.0</v>
      </c>
      <c r="O2373" s="1" t="s">
        <v>7564</v>
      </c>
      <c r="P2373" s="1" t="s">
        <v>3257</v>
      </c>
      <c r="Q2373" s="1" t="s">
        <v>3408</v>
      </c>
    </row>
    <row r="2374">
      <c r="A2374" s="1" t="s">
        <v>7565</v>
      </c>
      <c r="B2374" s="1">
        <v>78.0</v>
      </c>
      <c r="C2374" s="1">
        <v>90.0</v>
      </c>
      <c r="D2374" s="2" t="s">
        <v>2364</v>
      </c>
      <c r="E2374" s="1">
        <v>78.0</v>
      </c>
      <c r="F2374" s="1">
        <v>44.0</v>
      </c>
      <c r="G2374" s="1">
        <v>0.0</v>
      </c>
      <c r="H2374" s="1">
        <v>0.0</v>
      </c>
      <c r="I2374" s="1">
        <v>0.0</v>
      </c>
      <c r="J2374" s="1">
        <v>0.0</v>
      </c>
      <c r="K2374" s="1">
        <v>0.01</v>
      </c>
      <c r="L2374" s="1">
        <v>4220000.0</v>
      </c>
      <c r="M2374" s="1" t="s">
        <v>7566</v>
      </c>
      <c r="N2374" s="18">
        <v>46026.0</v>
      </c>
      <c r="O2374" s="1" t="s">
        <v>4798</v>
      </c>
      <c r="P2374" s="1" t="s">
        <v>3301</v>
      </c>
      <c r="Q2374" s="1" t="s">
        <v>3408</v>
      </c>
    </row>
    <row r="2375">
      <c r="A2375" s="1" t="s">
        <v>7567</v>
      </c>
      <c r="B2375" s="1">
        <v>78.0</v>
      </c>
      <c r="C2375" s="1">
        <v>50.0</v>
      </c>
      <c r="D2375" s="2" t="s">
        <v>2930</v>
      </c>
      <c r="E2375" s="1">
        <v>78.0</v>
      </c>
      <c r="F2375" s="1">
        <v>25.0</v>
      </c>
      <c r="G2375" s="1">
        <v>0.0</v>
      </c>
      <c r="H2375" s="1">
        <v>0.0</v>
      </c>
      <c r="I2375" s="1">
        <v>0.0</v>
      </c>
      <c r="J2375" s="1">
        <v>0.0</v>
      </c>
      <c r="K2375" s="1">
        <v>0.33</v>
      </c>
      <c r="L2375" s="1">
        <v>6690000.0</v>
      </c>
      <c r="M2375" s="1" t="s">
        <v>7568</v>
      </c>
      <c r="N2375" s="18">
        <v>46026.0</v>
      </c>
      <c r="O2375" s="1" t="s">
        <v>3895</v>
      </c>
      <c r="P2375" s="1" t="s">
        <v>3230</v>
      </c>
      <c r="Q2375" s="1" t="s">
        <v>3408</v>
      </c>
    </row>
    <row r="2376">
      <c r="A2376" s="1" t="s">
        <v>7569</v>
      </c>
      <c r="B2376" s="1">
        <v>78.0</v>
      </c>
      <c r="C2376" s="1">
        <v>90.0</v>
      </c>
      <c r="D2376" s="2" t="s">
        <v>2048</v>
      </c>
      <c r="E2376" s="1">
        <v>78.0</v>
      </c>
      <c r="F2376" s="1">
        <v>17.0</v>
      </c>
      <c r="G2376" s="1">
        <v>0.0</v>
      </c>
      <c r="H2376" s="1">
        <v>0.0</v>
      </c>
      <c r="I2376" s="1">
        <v>0.0</v>
      </c>
      <c r="J2376" s="1">
        <v>0.0</v>
      </c>
      <c r="K2376" s="1">
        <v>0.0</v>
      </c>
      <c r="L2376" s="1">
        <v>1.0E8</v>
      </c>
      <c r="M2376" s="1" t="s">
        <v>7570</v>
      </c>
      <c r="N2376" s="18">
        <v>46026.0</v>
      </c>
      <c r="O2376" s="1" t="s">
        <v>4798</v>
      </c>
      <c r="P2376" s="1" t="s">
        <v>3230</v>
      </c>
      <c r="Q2376" s="1" t="s">
        <v>3408</v>
      </c>
    </row>
    <row r="2377">
      <c r="A2377" s="1" t="s">
        <v>7571</v>
      </c>
      <c r="B2377" s="1">
        <v>78.0</v>
      </c>
      <c r="C2377" s="1">
        <v>40.0</v>
      </c>
      <c r="D2377" s="2" t="s">
        <v>439</v>
      </c>
      <c r="E2377" s="1">
        <v>78.0</v>
      </c>
      <c r="F2377" s="1">
        <v>13.0</v>
      </c>
      <c r="G2377" s="1">
        <v>0.0</v>
      </c>
      <c r="H2377" s="1">
        <v>0.0</v>
      </c>
      <c r="I2377" s="1">
        <v>0.0</v>
      </c>
      <c r="J2377" s="1">
        <v>0.0</v>
      </c>
      <c r="K2377" s="1">
        <v>0.03</v>
      </c>
      <c r="L2377" s="1">
        <v>12200.0</v>
      </c>
      <c r="M2377" s="1" t="s">
        <v>7572</v>
      </c>
      <c r="N2377" s="18">
        <v>46025.0</v>
      </c>
      <c r="O2377" s="1" t="s">
        <v>4496</v>
      </c>
      <c r="P2377" s="1" t="s">
        <v>3230</v>
      </c>
      <c r="Q2377" s="1" t="s">
        <v>3408</v>
      </c>
    </row>
    <row r="2378">
      <c r="A2378" s="1" t="s">
        <v>7573</v>
      </c>
      <c r="B2378" s="1">
        <v>78.0</v>
      </c>
      <c r="C2378" s="1">
        <v>40.0</v>
      </c>
      <c r="D2378" s="2" t="s">
        <v>754</v>
      </c>
      <c r="E2378" s="1">
        <v>78.0</v>
      </c>
      <c r="F2378" s="1">
        <v>22.0</v>
      </c>
      <c r="G2378" s="1">
        <v>75.01</v>
      </c>
      <c r="H2378" s="1">
        <v>0.0</v>
      </c>
      <c r="I2378" s="1">
        <v>0.0</v>
      </c>
      <c r="J2378" s="1">
        <v>0.0</v>
      </c>
      <c r="K2378" s="1">
        <v>0.9</v>
      </c>
      <c r="L2378" s="1">
        <v>4240000.0</v>
      </c>
      <c r="M2378" s="1" t="s">
        <v>7574</v>
      </c>
      <c r="N2378" s="18">
        <v>46022.0</v>
      </c>
      <c r="O2378" s="1" t="s">
        <v>7575</v>
      </c>
      <c r="P2378" s="1" t="s">
        <v>3334</v>
      </c>
      <c r="Q2378" s="1" t="s">
        <v>3408</v>
      </c>
    </row>
    <row r="2379">
      <c r="A2379" s="1" t="s">
        <v>7576</v>
      </c>
      <c r="B2379" s="1">
        <v>78.0</v>
      </c>
      <c r="C2379" s="1">
        <v>140.0</v>
      </c>
      <c r="D2379" s="2" t="s">
        <v>1475</v>
      </c>
      <c r="E2379" s="1">
        <v>78.0</v>
      </c>
      <c r="F2379" s="1">
        <v>25.0</v>
      </c>
      <c r="G2379" s="1">
        <v>0.0</v>
      </c>
      <c r="H2379" s="1">
        <v>0.0</v>
      </c>
      <c r="I2379" s="1">
        <v>0.0</v>
      </c>
      <c r="J2379" s="1">
        <v>0.0</v>
      </c>
      <c r="K2379" s="1">
        <v>0.0</v>
      </c>
      <c r="L2379" s="1">
        <v>8140000.0</v>
      </c>
      <c r="M2379" s="1" t="s">
        <v>7577</v>
      </c>
      <c r="N2379" s="18">
        <v>46022.0</v>
      </c>
      <c r="O2379" s="1" t="s">
        <v>3824</v>
      </c>
      <c r="P2379" s="1" t="s">
        <v>3230</v>
      </c>
      <c r="Q2379" s="1" t="s">
        <v>3408</v>
      </c>
    </row>
    <row r="2380">
      <c r="A2380" s="1" t="s">
        <v>7578</v>
      </c>
      <c r="B2380" s="1">
        <v>78.0</v>
      </c>
      <c r="C2380" s="1">
        <v>50.0</v>
      </c>
      <c r="D2380" s="2" t="s">
        <v>2253</v>
      </c>
      <c r="E2380" s="1">
        <v>78.0</v>
      </c>
      <c r="F2380" s="1">
        <v>26.0</v>
      </c>
      <c r="G2380" s="1">
        <v>0.25</v>
      </c>
      <c r="H2380" s="1">
        <v>0.0</v>
      </c>
      <c r="I2380" s="1">
        <v>0.0</v>
      </c>
      <c r="J2380" s="1">
        <v>0.0</v>
      </c>
      <c r="K2380" s="1">
        <v>0.99</v>
      </c>
      <c r="L2380" s="1">
        <v>5180000.0</v>
      </c>
      <c r="M2380" s="1" t="s">
        <v>7579</v>
      </c>
      <c r="N2380" s="18">
        <v>46021.0</v>
      </c>
      <c r="O2380" s="1" t="s">
        <v>7580</v>
      </c>
      <c r="P2380" s="1" t="s">
        <v>3301</v>
      </c>
      <c r="Q2380" s="1" t="s">
        <v>3408</v>
      </c>
    </row>
    <row r="2381">
      <c r="A2381" s="1" t="s">
        <v>7581</v>
      </c>
      <c r="B2381" s="1">
        <v>78.0</v>
      </c>
      <c r="C2381" s="1">
        <v>70.0</v>
      </c>
      <c r="D2381" s="2" t="s">
        <v>2416</v>
      </c>
      <c r="E2381" s="1">
        <v>78.0</v>
      </c>
      <c r="F2381" s="1">
        <v>26.0</v>
      </c>
      <c r="G2381" s="1">
        <v>0.0</v>
      </c>
      <c r="H2381" s="1">
        <v>0.0</v>
      </c>
      <c r="I2381" s="1">
        <v>0.0</v>
      </c>
      <c r="J2381" s="1">
        <v>0.0</v>
      </c>
      <c r="K2381" s="1">
        <v>0.0</v>
      </c>
      <c r="L2381" s="1">
        <v>4190000.0</v>
      </c>
      <c r="M2381" s="1" t="s">
        <v>7582</v>
      </c>
      <c r="N2381" s="18">
        <v>46021.0</v>
      </c>
      <c r="O2381" s="1" t="s">
        <v>3493</v>
      </c>
      <c r="P2381" s="1" t="s">
        <v>3301</v>
      </c>
      <c r="Q2381" s="1" t="s">
        <v>3408</v>
      </c>
    </row>
    <row r="2382">
      <c r="A2382" s="1" t="s">
        <v>5044</v>
      </c>
      <c r="B2382" s="1">
        <v>78.0</v>
      </c>
      <c r="C2382" s="1">
        <v>70.0</v>
      </c>
      <c r="D2382" s="2" t="s">
        <v>1436</v>
      </c>
      <c r="E2382" s="1">
        <v>78.0</v>
      </c>
      <c r="F2382" s="1">
        <v>9.0</v>
      </c>
      <c r="G2382" s="1">
        <v>22.8</v>
      </c>
      <c r="H2382" s="1">
        <v>0.0</v>
      </c>
      <c r="I2382" s="1">
        <v>0.0</v>
      </c>
      <c r="J2382" s="1">
        <v>0.0</v>
      </c>
      <c r="K2382" s="1">
        <v>0.54</v>
      </c>
      <c r="L2382" s="1">
        <v>71300.0</v>
      </c>
      <c r="M2382" s="1" t="s">
        <v>5045</v>
      </c>
      <c r="N2382" s="18">
        <v>46021.0</v>
      </c>
      <c r="O2382" s="1" t="s">
        <v>3432</v>
      </c>
      <c r="P2382" s="1" t="s">
        <v>3257</v>
      </c>
      <c r="Q2382" s="1" t="s">
        <v>3408</v>
      </c>
    </row>
    <row r="2383">
      <c r="A2383" s="1" t="s">
        <v>4563</v>
      </c>
      <c r="B2383" s="1">
        <v>78.0</v>
      </c>
      <c r="C2383" s="1">
        <v>30.0</v>
      </c>
      <c r="D2383" s="2" t="s">
        <v>439</v>
      </c>
      <c r="E2383" s="1">
        <v>78.0</v>
      </c>
      <c r="F2383" s="1">
        <v>13.0</v>
      </c>
      <c r="G2383" s="1">
        <v>6.36</v>
      </c>
      <c r="H2383" s="1">
        <v>0.0</v>
      </c>
      <c r="I2383" s="1">
        <v>0.0</v>
      </c>
      <c r="J2383" s="1">
        <v>0.0</v>
      </c>
      <c r="K2383" s="1">
        <v>0.26</v>
      </c>
      <c r="L2383" s="1">
        <v>1520000.0</v>
      </c>
      <c r="M2383" s="1" t="s">
        <v>4564</v>
      </c>
      <c r="N2383" s="18">
        <v>46017.0</v>
      </c>
      <c r="O2383" s="1" t="s">
        <v>3821</v>
      </c>
      <c r="P2383" s="1" t="s">
        <v>3294</v>
      </c>
      <c r="Q2383" s="1" t="s">
        <v>3408</v>
      </c>
    </row>
    <row r="2384">
      <c r="A2384" s="1" t="s">
        <v>7583</v>
      </c>
      <c r="B2384" s="1">
        <v>78.0</v>
      </c>
      <c r="C2384" s="1">
        <v>390.0</v>
      </c>
      <c r="D2384" s="2" t="s">
        <v>808</v>
      </c>
      <c r="E2384" s="1">
        <v>78.0</v>
      </c>
      <c r="F2384" s="1">
        <v>15.0</v>
      </c>
      <c r="G2384" s="1">
        <v>110.66</v>
      </c>
      <c r="H2384" s="1">
        <v>0.0</v>
      </c>
      <c r="I2384" s="1">
        <v>0.0</v>
      </c>
      <c r="J2384" s="1">
        <v>0.0</v>
      </c>
      <c r="K2384" s="1">
        <v>0.07</v>
      </c>
      <c r="L2384" s="1">
        <v>46000.0</v>
      </c>
      <c r="M2384" s="1" t="s">
        <v>7584</v>
      </c>
      <c r="N2384" s="18">
        <v>46016.0</v>
      </c>
      <c r="O2384" s="1" t="s">
        <v>3765</v>
      </c>
      <c r="P2384" s="1" t="s">
        <v>3257</v>
      </c>
      <c r="Q2384" s="1" t="s">
        <v>3408</v>
      </c>
    </row>
    <row r="2385">
      <c r="A2385" s="1" t="s">
        <v>7585</v>
      </c>
      <c r="B2385" s="1">
        <v>78.0</v>
      </c>
      <c r="C2385" s="1">
        <v>50.0</v>
      </c>
      <c r="D2385" s="2" t="s">
        <v>581</v>
      </c>
      <c r="E2385" s="1">
        <v>78.0</v>
      </c>
      <c r="F2385" s="1">
        <v>38.0</v>
      </c>
      <c r="G2385" s="1">
        <v>15.32</v>
      </c>
      <c r="H2385" s="1">
        <v>0.0</v>
      </c>
      <c r="I2385" s="1">
        <v>0.0</v>
      </c>
      <c r="J2385" s="1">
        <v>0.0</v>
      </c>
      <c r="K2385" s="1">
        <v>0.21</v>
      </c>
      <c r="L2385" s="1">
        <v>942000.0</v>
      </c>
      <c r="M2385" s="1" t="s">
        <v>7586</v>
      </c>
      <c r="N2385" s="18">
        <v>46015.0</v>
      </c>
      <c r="O2385" s="1" t="s">
        <v>5791</v>
      </c>
      <c r="P2385" s="1" t="s">
        <v>3257</v>
      </c>
      <c r="Q2385" s="1" t="s">
        <v>3408</v>
      </c>
    </row>
    <row r="2386">
      <c r="A2386" s="1" t="s">
        <v>7587</v>
      </c>
      <c r="B2386" s="1">
        <v>78.0</v>
      </c>
      <c r="C2386" s="1">
        <v>50.0</v>
      </c>
      <c r="D2386" s="2" t="s">
        <v>447</v>
      </c>
      <c r="E2386" s="1">
        <v>78.0</v>
      </c>
      <c r="F2386" s="1">
        <v>0.0</v>
      </c>
      <c r="G2386" s="1">
        <v>0.0</v>
      </c>
      <c r="H2386" s="1">
        <v>0.0</v>
      </c>
      <c r="I2386" s="1">
        <v>0.0</v>
      </c>
      <c r="J2386" s="1">
        <v>0.0</v>
      </c>
      <c r="K2386" s="1">
        <v>0.0</v>
      </c>
      <c r="L2386" s="1">
        <v>22500.0</v>
      </c>
      <c r="M2386" s="1" t="s">
        <v>7588</v>
      </c>
      <c r="N2386" s="18">
        <v>46015.0</v>
      </c>
      <c r="O2386" s="1" t="s">
        <v>3435</v>
      </c>
      <c r="P2386" s="1" t="s">
        <v>3257</v>
      </c>
      <c r="Q2386" s="1" t="s">
        <v>3408</v>
      </c>
    </row>
    <row r="2387">
      <c r="A2387" s="1" t="s">
        <v>5290</v>
      </c>
      <c r="B2387" s="1">
        <v>78.0</v>
      </c>
      <c r="C2387" s="1">
        <v>30.0</v>
      </c>
      <c r="D2387" s="2" t="s">
        <v>439</v>
      </c>
      <c r="E2387" s="1">
        <v>78.0</v>
      </c>
      <c r="F2387" s="1">
        <v>12.0</v>
      </c>
      <c r="G2387" s="1">
        <v>7.45</v>
      </c>
      <c r="H2387" s="1">
        <v>0.0</v>
      </c>
      <c r="I2387" s="1">
        <v>0.0</v>
      </c>
      <c r="J2387" s="1">
        <v>0.0</v>
      </c>
      <c r="K2387" s="1">
        <v>0.32</v>
      </c>
      <c r="L2387" s="1">
        <v>108000.0</v>
      </c>
      <c r="M2387" s="1" t="s">
        <v>5291</v>
      </c>
      <c r="N2387" s="18">
        <v>46014.0</v>
      </c>
      <c r="O2387" s="1" t="s">
        <v>3765</v>
      </c>
      <c r="P2387" s="1" t="s">
        <v>3257</v>
      </c>
      <c r="Q2387" s="1" t="s">
        <v>3408</v>
      </c>
    </row>
    <row r="2388">
      <c r="A2388" s="1" t="s">
        <v>7589</v>
      </c>
      <c r="B2388" s="1">
        <v>78.0</v>
      </c>
      <c r="C2388" s="1">
        <v>590.0</v>
      </c>
      <c r="D2388" s="2" t="s">
        <v>698</v>
      </c>
      <c r="E2388" s="1">
        <v>78.0</v>
      </c>
      <c r="F2388" s="1">
        <v>13.0</v>
      </c>
      <c r="G2388" s="1">
        <v>50.64</v>
      </c>
      <c r="H2388" s="1">
        <v>0.0</v>
      </c>
      <c r="I2388" s="1">
        <v>0.0</v>
      </c>
      <c r="J2388" s="1">
        <v>0.0</v>
      </c>
      <c r="K2388" s="1">
        <v>0.19</v>
      </c>
      <c r="L2388" s="1">
        <v>3.0E7</v>
      </c>
      <c r="M2388" s="1" t="s">
        <v>7590</v>
      </c>
      <c r="N2388" s="18">
        <v>46014.0</v>
      </c>
      <c r="O2388" s="1" t="s">
        <v>7591</v>
      </c>
      <c r="P2388" s="1" t="s">
        <v>3230</v>
      </c>
      <c r="Q2388" s="1" t="s">
        <v>3408</v>
      </c>
    </row>
    <row r="2389">
      <c r="A2389" s="1" t="s">
        <v>7592</v>
      </c>
      <c r="B2389" s="1">
        <v>78.0</v>
      </c>
      <c r="C2389" s="1">
        <v>1000.0</v>
      </c>
      <c r="D2389" s="2" t="s">
        <v>2249</v>
      </c>
      <c r="E2389" s="1">
        <v>78.0</v>
      </c>
      <c r="F2389" s="1">
        <v>13.0</v>
      </c>
      <c r="G2389" s="1">
        <v>0.0</v>
      </c>
      <c r="H2389" s="1">
        <v>0.0</v>
      </c>
      <c r="I2389" s="1">
        <v>0.0</v>
      </c>
      <c r="J2389" s="1">
        <v>0.0</v>
      </c>
      <c r="K2389" s="1">
        <v>0.0</v>
      </c>
      <c r="L2389" s="1">
        <v>1.39E8</v>
      </c>
      <c r="M2389" s="1" t="s">
        <v>7593</v>
      </c>
      <c r="N2389" s="18">
        <v>46013.0</v>
      </c>
      <c r="O2389" s="1" t="s">
        <v>5650</v>
      </c>
      <c r="P2389" s="1" t="s">
        <v>3230</v>
      </c>
      <c r="Q2389" s="1" t="s">
        <v>3408</v>
      </c>
    </row>
    <row r="2390">
      <c r="A2390" s="1" t="s">
        <v>7594</v>
      </c>
      <c r="B2390" s="1">
        <v>78.0</v>
      </c>
      <c r="C2390" s="1">
        <v>880.0</v>
      </c>
      <c r="D2390" s="2" t="s">
        <v>754</v>
      </c>
      <c r="E2390" s="1">
        <v>78.0</v>
      </c>
      <c r="F2390" s="1">
        <v>38.0</v>
      </c>
      <c r="G2390" s="1">
        <v>52.88</v>
      </c>
      <c r="H2390" s="1">
        <v>0.0</v>
      </c>
      <c r="I2390" s="1">
        <v>0.0</v>
      </c>
      <c r="J2390" s="1">
        <v>0.0</v>
      </c>
      <c r="K2390" s="1">
        <v>0.35</v>
      </c>
      <c r="L2390" s="1">
        <v>4.16E8</v>
      </c>
      <c r="M2390" s="1" t="s">
        <v>7595</v>
      </c>
      <c r="N2390" s="18">
        <v>46010.0</v>
      </c>
      <c r="O2390" s="1" t="s">
        <v>3493</v>
      </c>
      <c r="P2390" s="1" t="s">
        <v>3230</v>
      </c>
      <c r="Q2390" s="1" t="s">
        <v>3408</v>
      </c>
    </row>
    <row r="2391">
      <c r="A2391" s="1" t="s">
        <v>7596</v>
      </c>
      <c r="B2391" s="1">
        <v>78.0</v>
      </c>
      <c r="C2391" s="1">
        <v>50.0</v>
      </c>
      <c r="D2391" s="2" t="s">
        <v>1481</v>
      </c>
      <c r="E2391" s="1">
        <v>78.0</v>
      </c>
      <c r="F2391" s="1">
        <v>0.0</v>
      </c>
      <c r="G2391" s="1">
        <v>0.0</v>
      </c>
      <c r="H2391" s="1">
        <v>0.0</v>
      </c>
      <c r="I2391" s="1">
        <v>0.0</v>
      </c>
      <c r="J2391" s="1">
        <v>0.0</v>
      </c>
      <c r="K2391" s="1">
        <v>0.02</v>
      </c>
      <c r="L2391" s="1">
        <v>2430000.0</v>
      </c>
      <c r="M2391" s="1" t="s">
        <v>7597</v>
      </c>
      <c r="N2391" s="18">
        <v>46010.0</v>
      </c>
      <c r="O2391" s="1" t="s">
        <v>3479</v>
      </c>
      <c r="P2391" s="1" t="s">
        <v>3230</v>
      </c>
      <c r="Q2391" s="1" t="s">
        <v>3408</v>
      </c>
    </row>
    <row r="2392">
      <c r="A2392" s="1" t="s">
        <v>7598</v>
      </c>
      <c r="B2392" s="1">
        <v>78.0</v>
      </c>
      <c r="C2392" s="1">
        <v>70.0</v>
      </c>
      <c r="D2392" s="2" t="s">
        <v>740</v>
      </c>
      <c r="E2392" s="1">
        <v>78.0</v>
      </c>
      <c r="F2392" s="1">
        <v>5.0</v>
      </c>
      <c r="G2392" s="1">
        <v>16.62</v>
      </c>
      <c r="H2392" s="1">
        <v>0.0</v>
      </c>
      <c r="I2392" s="1">
        <v>0.0</v>
      </c>
      <c r="J2392" s="1">
        <v>0.0</v>
      </c>
      <c r="K2392" s="1">
        <v>0.11</v>
      </c>
      <c r="L2392" s="1">
        <v>3.93E7</v>
      </c>
      <c r="M2392" s="1" t="s">
        <v>7599</v>
      </c>
      <c r="N2392" s="18">
        <v>46008.0</v>
      </c>
      <c r="O2392" s="1" t="s">
        <v>7600</v>
      </c>
      <c r="P2392" s="1" t="s">
        <v>3230</v>
      </c>
      <c r="Q2392" s="1" t="s">
        <v>3408</v>
      </c>
    </row>
    <row r="2393">
      <c r="A2393" s="1" t="s">
        <v>7601</v>
      </c>
      <c r="B2393" s="1">
        <v>78.0</v>
      </c>
      <c r="C2393" s="1">
        <v>110.0</v>
      </c>
      <c r="D2393" s="2" t="s">
        <v>758</v>
      </c>
      <c r="E2393" s="1">
        <v>78.0</v>
      </c>
      <c r="F2393" s="1">
        <v>6.0</v>
      </c>
      <c r="G2393" s="1">
        <v>73.39</v>
      </c>
      <c r="H2393" s="1">
        <v>0.0</v>
      </c>
      <c r="I2393" s="1">
        <v>0.0</v>
      </c>
      <c r="J2393" s="1">
        <v>0.0</v>
      </c>
      <c r="K2393" s="1">
        <v>0.03</v>
      </c>
      <c r="L2393" s="1">
        <v>2120000.0</v>
      </c>
      <c r="M2393" s="1" t="s">
        <v>7602</v>
      </c>
      <c r="N2393" s="18">
        <v>46008.0</v>
      </c>
      <c r="O2393" s="1" t="s">
        <v>7603</v>
      </c>
      <c r="P2393" s="1" t="s">
        <v>3257</v>
      </c>
      <c r="Q2393" s="1" t="s">
        <v>3408</v>
      </c>
    </row>
    <row r="2394">
      <c r="A2394" s="1" t="s">
        <v>7604</v>
      </c>
      <c r="B2394" s="1">
        <v>78.0</v>
      </c>
      <c r="C2394" s="1">
        <v>90.0</v>
      </c>
      <c r="D2394" s="2" t="s">
        <v>774</v>
      </c>
      <c r="E2394" s="1">
        <v>78.0</v>
      </c>
      <c r="F2394" s="1">
        <v>2.0</v>
      </c>
      <c r="G2394" s="1">
        <v>9.1</v>
      </c>
      <c r="H2394" s="1">
        <v>0.0</v>
      </c>
      <c r="I2394" s="1">
        <v>0.0</v>
      </c>
      <c r="J2394" s="1">
        <v>0.0</v>
      </c>
      <c r="K2394" s="1">
        <v>0.01</v>
      </c>
      <c r="L2394" s="1">
        <v>5230000.0</v>
      </c>
      <c r="M2394" s="1" t="s">
        <v>7605</v>
      </c>
      <c r="N2394" s="18">
        <v>46007.0</v>
      </c>
      <c r="O2394" s="1" t="s">
        <v>7606</v>
      </c>
      <c r="P2394" s="1" t="s">
        <v>3257</v>
      </c>
      <c r="Q2394" s="1" t="s">
        <v>3408</v>
      </c>
    </row>
    <row r="2395">
      <c r="A2395" s="1" t="s">
        <v>7607</v>
      </c>
      <c r="B2395" s="1">
        <v>78.0</v>
      </c>
      <c r="C2395" s="1">
        <v>90.0</v>
      </c>
      <c r="D2395" s="2" t="s">
        <v>1052</v>
      </c>
      <c r="E2395" s="1">
        <v>78.0</v>
      </c>
      <c r="F2395" s="1">
        <v>33.0</v>
      </c>
      <c r="G2395" s="1">
        <v>0.0</v>
      </c>
      <c r="H2395" s="1">
        <v>0.0</v>
      </c>
      <c r="I2395" s="1">
        <v>0.0</v>
      </c>
      <c r="J2395" s="1">
        <v>0.0</v>
      </c>
      <c r="K2395" s="1">
        <v>0.0</v>
      </c>
      <c r="L2395" s="1">
        <v>1.81E8</v>
      </c>
      <c r="M2395" s="1" t="s">
        <v>7608</v>
      </c>
      <c r="N2395" s="18">
        <v>46007.0</v>
      </c>
      <c r="O2395" s="1" t="s">
        <v>3479</v>
      </c>
      <c r="P2395" s="1" t="s">
        <v>3230</v>
      </c>
      <c r="Q2395" s="1" t="s">
        <v>3408</v>
      </c>
    </row>
    <row r="2396">
      <c r="A2396" s="1" t="s">
        <v>7609</v>
      </c>
      <c r="B2396" s="1">
        <v>78.0</v>
      </c>
      <c r="C2396" s="1">
        <v>70.0</v>
      </c>
      <c r="D2396" s="2" t="s">
        <v>718</v>
      </c>
      <c r="E2396" s="1">
        <v>78.0</v>
      </c>
      <c r="F2396" s="1">
        <v>13.0</v>
      </c>
      <c r="G2396" s="1">
        <v>0.0</v>
      </c>
      <c r="H2396" s="1">
        <v>0.0</v>
      </c>
      <c r="I2396" s="1">
        <v>0.0</v>
      </c>
      <c r="J2396" s="1">
        <v>0.0</v>
      </c>
      <c r="K2396" s="1">
        <v>0.0</v>
      </c>
      <c r="L2396" s="1">
        <v>2000000.0</v>
      </c>
      <c r="M2396" s="1" t="s">
        <v>7610</v>
      </c>
      <c r="N2396" s="18">
        <v>46005.0</v>
      </c>
      <c r="O2396" s="1" t="s">
        <v>4414</v>
      </c>
      <c r="P2396" s="1" t="s">
        <v>3257</v>
      </c>
      <c r="Q2396" s="1" t="s">
        <v>3408</v>
      </c>
    </row>
    <row r="2397">
      <c r="A2397" s="1" t="s">
        <v>7611</v>
      </c>
      <c r="B2397" s="1">
        <v>78.0</v>
      </c>
      <c r="C2397" s="1">
        <v>90.0</v>
      </c>
      <c r="D2397" s="2" t="s">
        <v>2178</v>
      </c>
      <c r="E2397" s="1">
        <v>78.0</v>
      </c>
      <c r="F2397" s="1">
        <v>0.0</v>
      </c>
      <c r="G2397" s="1">
        <v>0.0</v>
      </c>
      <c r="H2397" s="1">
        <v>0.0</v>
      </c>
      <c r="I2397" s="1">
        <v>0.0</v>
      </c>
      <c r="J2397" s="1">
        <v>0.0</v>
      </c>
      <c r="K2397" s="1">
        <v>0.0</v>
      </c>
      <c r="L2397" s="1">
        <v>3390000.0</v>
      </c>
      <c r="M2397" s="1" t="s">
        <v>7612</v>
      </c>
      <c r="N2397" s="18">
        <v>46005.0</v>
      </c>
      <c r="O2397" s="1" t="s">
        <v>7613</v>
      </c>
      <c r="P2397" s="1" t="s">
        <v>3230</v>
      </c>
      <c r="Q2397" s="1" t="s">
        <v>3408</v>
      </c>
    </row>
    <row r="2398">
      <c r="A2398" s="1" t="s">
        <v>7614</v>
      </c>
      <c r="B2398" s="1">
        <v>78.0</v>
      </c>
      <c r="C2398" s="1">
        <v>70.0</v>
      </c>
      <c r="D2398" s="2" t="s">
        <v>581</v>
      </c>
      <c r="E2398" s="1">
        <v>78.0</v>
      </c>
      <c r="F2398" s="1">
        <v>53.0</v>
      </c>
      <c r="G2398" s="1">
        <v>19.44</v>
      </c>
      <c r="H2398" s="1">
        <v>0.0</v>
      </c>
      <c r="I2398" s="1">
        <v>0.0</v>
      </c>
      <c r="J2398" s="1">
        <v>0.0</v>
      </c>
      <c r="K2398" s="1">
        <v>0.58</v>
      </c>
      <c r="L2398" s="1">
        <v>1.25E7</v>
      </c>
      <c r="M2398" s="1" t="s">
        <v>7615</v>
      </c>
      <c r="N2398" s="18">
        <v>46000.0</v>
      </c>
      <c r="O2398" s="1" t="s">
        <v>3645</v>
      </c>
      <c r="P2398" s="1" t="s">
        <v>3257</v>
      </c>
      <c r="Q2398" s="1" t="s">
        <v>3408</v>
      </c>
    </row>
    <row r="2399">
      <c r="A2399" s="1" t="s">
        <v>7616</v>
      </c>
      <c r="B2399" s="1">
        <v>78.0</v>
      </c>
      <c r="C2399" s="1">
        <v>110.0</v>
      </c>
      <c r="D2399" s="2" t="s">
        <v>1874</v>
      </c>
      <c r="E2399" s="1">
        <v>78.0</v>
      </c>
      <c r="F2399" s="1">
        <v>22.0</v>
      </c>
      <c r="G2399" s="1">
        <v>0.0</v>
      </c>
      <c r="H2399" s="1">
        <v>0.0</v>
      </c>
      <c r="I2399" s="1">
        <v>0.0</v>
      </c>
      <c r="J2399" s="1">
        <v>0.0</v>
      </c>
      <c r="K2399" s="1">
        <v>0.0</v>
      </c>
      <c r="L2399" s="1">
        <v>8.95E7</v>
      </c>
      <c r="M2399" s="1" t="s">
        <v>7617</v>
      </c>
      <c r="N2399" s="18">
        <v>45999.0</v>
      </c>
      <c r="P2399" s="1" t="s">
        <v>3334</v>
      </c>
      <c r="Q2399" s="1" t="s">
        <v>3408</v>
      </c>
    </row>
    <row r="2400">
      <c r="A2400" s="1" t="s">
        <v>7618</v>
      </c>
      <c r="B2400" s="1">
        <v>78.0</v>
      </c>
      <c r="C2400" s="1">
        <v>50.0</v>
      </c>
      <c r="D2400" s="2" t="s">
        <v>581</v>
      </c>
      <c r="E2400" s="1">
        <v>78.0</v>
      </c>
      <c r="F2400" s="1">
        <v>2.0</v>
      </c>
      <c r="G2400" s="1">
        <v>8.37</v>
      </c>
      <c r="H2400" s="1">
        <v>0.0</v>
      </c>
      <c r="I2400" s="1">
        <v>0.0</v>
      </c>
      <c r="J2400" s="1">
        <v>0.0</v>
      </c>
      <c r="K2400" s="1">
        <v>0.11</v>
      </c>
      <c r="L2400" s="1">
        <v>4190000.0</v>
      </c>
      <c r="M2400" s="1" t="s">
        <v>7619</v>
      </c>
      <c r="N2400" s="18">
        <v>45992.0</v>
      </c>
      <c r="O2400" s="1" t="s">
        <v>3713</v>
      </c>
      <c r="P2400" s="1" t="s">
        <v>3257</v>
      </c>
      <c r="Q2400" s="1" t="s">
        <v>3408</v>
      </c>
    </row>
    <row r="2401">
      <c r="A2401" s="1" t="s">
        <v>7620</v>
      </c>
      <c r="B2401" s="1">
        <v>78.0</v>
      </c>
      <c r="C2401" s="1">
        <v>70.0</v>
      </c>
      <c r="D2401" s="2" t="s">
        <v>1327</v>
      </c>
      <c r="E2401" s="1">
        <v>78.0</v>
      </c>
      <c r="F2401" s="1">
        <v>23.0</v>
      </c>
      <c r="G2401" s="1">
        <v>0.0</v>
      </c>
      <c r="H2401" s="1">
        <v>0.0</v>
      </c>
      <c r="I2401" s="1">
        <v>0.0</v>
      </c>
      <c r="J2401" s="1">
        <v>0.0</v>
      </c>
      <c r="K2401" s="1">
        <v>0.0</v>
      </c>
      <c r="L2401" s="1">
        <v>247000.0</v>
      </c>
      <c r="M2401" s="1" t="s">
        <v>7621</v>
      </c>
      <c r="N2401" s="18">
        <v>45991.0</v>
      </c>
      <c r="O2401" s="1" t="s">
        <v>3264</v>
      </c>
      <c r="P2401" s="1" t="s">
        <v>3230</v>
      </c>
      <c r="Q2401" s="1" t="s">
        <v>3408</v>
      </c>
    </row>
    <row r="2402">
      <c r="A2402" s="1" t="s">
        <v>7622</v>
      </c>
      <c r="B2402" s="1">
        <v>78.0</v>
      </c>
      <c r="C2402" s="1">
        <v>70.0</v>
      </c>
      <c r="D2402" s="2" t="s">
        <v>581</v>
      </c>
      <c r="E2402" s="1">
        <v>78.0</v>
      </c>
      <c r="F2402" s="1">
        <v>20.0</v>
      </c>
      <c r="G2402" s="1">
        <v>4.63</v>
      </c>
      <c r="H2402" s="1">
        <v>0.0</v>
      </c>
      <c r="I2402" s="1">
        <v>0.0</v>
      </c>
      <c r="J2402" s="1">
        <v>0.0</v>
      </c>
      <c r="K2402" s="1">
        <v>0.12</v>
      </c>
      <c r="L2402" s="1">
        <v>1.73E7</v>
      </c>
      <c r="M2402" s="1" t="s">
        <v>7623</v>
      </c>
      <c r="N2402" s="18">
        <v>45991.0</v>
      </c>
      <c r="O2402" s="1" t="s">
        <v>5364</v>
      </c>
      <c r="P2402" s="1" t="s">
        <v>3230</v>
      </c>
      <c r="Q2402" s="1" t="s">
        <v>3408</v>
      </c>
    </row>
    <row r="2403">
      <c r="A2403" s="1" t="s">
        <v>7624</v>
      </c>
      <c r="B2403" s="1">
        <v>78.0</v>
      </c>
      <c r="C2403" s="1">
        <v>70.0</v>
      </c>
      <c r="D2403" s="2" t="s">
        <v>439</v>
      </c>
      <c r="E2403" s="1">
        <v>78.0</v>
      </c>
      <c r="F2403" s="1">
        <v>17.0</v>
      </c>
      <c r="G2403" s="1">
        <v>5.6</v>
      </c>
      <c r="H2403" s="1">
        <v>0.0</v>
      </c>
      <c r="I2403" s="1">
        <v>0.0</v>
      </c>
      <c r="J2403" s="1">
        <v>0.0</v>
      </c>
      <c r="K2403" s="1">
        <v>0.1</v>
      </c>
      <c r="L2403" s="1">
        <v>220000.0</v>
      </c>
      <c r="M2403" s="1" t="s">
        <v>7625</v>
      </c>
      <c r="N2403" s="18">
        <v>45989.0</v>
      </c>
      <c r="O2403" s="1" t="s">
        <v>3288</v>
      </c>
      <c r="P2403" s="1" t="s">
        <v>3462</v>
      </c>
      <c r="Q2403" s="1" t="s">
        <v>3408</v>
      </c>
    </row>
    <row r="2404">
      <c r="A2404" s="1" t="s">
        <v>7626</v>
      </c>
      <c r="B2404" s="1">
        <v>78.0</v>
      </c>
      <c r="C2404" s="1">
        <v>90.0</v>
      </c>
      <c r="D2404" s="2" t="s">
        <v>2048</v>
      </c>
      <c r="E2404" s="1">
        <v>78.0</v>
      </c>
      <c r="F2404" s="1">
        <v>15.0</v>
      </c>
      <c r="G2404" s="1">
        <v>0.0</v>
      </c>
      <c r="H2404" s="1">
        <v>0.0</v>
      </c>
      <c r="I2404" s="1">
        <v>0.0</v>
      </c>
      <c r="J2404" s="1">
        <v>0.0</v>
      </c>
      <c r="K2404" s="1">
        <v>0.0</v>
      </c>
      <c r="L2404" s="1">
        <v>4.12E8</v>
      </c>
      <c r="M2404" s="1" t="s">
        <v>7627</v>
      </c>
      <c r="N2404" s="18">
        <v>45987.0</v>
      </c>
      <c r="O2404" s="1" t="s">
        <v>6875</v>
      </c>
      <c r="P2404" s="1" t="s">
        <v>3230</v>
      </c>
      <c r="Q2404" s="1" t="s">
        <v>3408</v>
      </c>
    </row>
    <row r="2405">
      <c r="A2405" s="1" t="s">
        <v>7628</v>
      </c>
      <c r="B2405" s="1">
        <v>78.0</v>
      </c>
      <c r="C2405" s="1">
        <v>70.0</v>
      </c>
      <c r="D2405" s="2" t="s">
        <v>904</v>
      </c>
      <c r="E2405" s="1">
        <v>78.0</v>
      </c>
      <c r="F2405" s="1">
        <v>26.0</v>
      </c>
      <c r="G2405" s="1">
        <v>2.83</v>
      </c>
      <c r="H2405" s="1">
        <v>0.0</v>
      </c>
      <c r="I2405" s="1">
        <v>0.0</v>
      </c>
      <c r="J2405" s="1">
        <v>0.0</v>
      </c>
      <c r="K2405" s="1">
        <v>0.42</v>
      </c>
      <c r="L2405" s="1">
        <v>942000.0</v>
      </c>
      <c r="M2405" s="1" t="s">
        <v>7629</v>
      </c>
      <c r="N2405" s="18">
        <v>45987.0</v>
      </c>
      <c r="P2405" s="1" t="s">
        <v>3301</v>
      </c>
      <c r="Q2405" s="1" t="s">
        <v>3408</v>
      </c>
    </row>
    <row r="2406">
      <c r="A2406" s="1" t="s">
        <v>7630</v>
      </c>
      <c r="B2406" s="1">
        <v>78.0</v>
      </c>
      <c r="C2406" s="1">
        <v>70.0</v>
      </c>
      <c r="D2406" s="2" t="s">
        <v>2134</v>
      </c>
      <c r="E2406" s="1">
        <v>78.0</v>
      </c>
      <c r="F2406" s="1">
        <v>21.0</v>
      </c>
      <c r="G2406" s="1">
        <v>0.0</v>
      </c>
      <c r="H2406" s="1">
        <v>0.0</v>
      </c>
      <c r="I2406" s="1">
        <v>0.0</v>
      </c>
      <c r="J2406" s="1">
        <v>0.0</v>
      </c>
      <c r="K2406" s="1">
        <v>0.01</v>
      </c>
      <c r="L2406" s="1">
        <v>10.0</v>
      </c>
      <c r="M2406" s="1" t="s">
        <v>7631</v>
      </c>
      <c r="N2406" s="18">
        <v>45985.0</v>
      </c>
      <c r="O2406" s="1" t="s">
        <v>7632</v>
      </c>
      <c r="P2406" s="1" t="s">
        <v>3230</v>
      </c>
      <c r="Q2406" s="1" t="s">
        <v>3408</v>
      </c>
    </row>
    <row r="2407">
      <c r="A2407" s="1" t="s">
        <v>7633</v>
      </c>
      <c r="B2407" s="1">
        <v>78.0</v>
      </c>
      <c r="C2407" s="1">
        <v>1600.0</v>
      </c>
      <c r="D2407" s="2" t="s">
        <v>754</v>
      </c>
      <c r="E2407" s="1">
        <v>78.0</v>
      </c>
      <c r="F2407" s="1">
        <v>10.0</v>
      </c>
      <c r="G2407" s="1">
        <v>0.0</v>
      </c>
      <c r="H2407" s="1">
        <v>0.0</v>
      </c>
      <c r="I2407" s="1">
        <v>0.0</v>
      </c>
      <c r="J2407" s="1">
        <v>0.0</v>
      </c>
      <c r="K2407" s="1">
        <v>0.0</v>
      </c>
      <c r="L2407" s="1">
        <v>8.0</v>
      </c>
      <c r="M2407" s="1" t="s">
        <v>7634</v>
      </c>
      <c r="N2407" s="18">
        <v>45981.0</v>
      </c>
      <c r="O2407" s="1" t="s">
        <v>7635</v>
      </c>
      <c r="P2407" s="1" t="s">
        <v>3230</v>
      </c>
      <c r="Q2407" s="1" t="s">
        <v>3408</v>
      </c>
    </row>
    <row r="2408">
      <c r="A2408" s="1" t="s">
        <v>5013</v>
      </c>
      <c r="B2408" s="1">
        <v>78.0</v>
      </c>
      <c r="C2408" s="1">
        <v>40.0</v>
      </c>
      <c r="D2408" s="2" t="s">
        <v>2958</v>
      </c>
      <c r="E2408" s="1">
        <v>78.0</v>
      </c>
      <c r="F2408" s="1">
        <v>1.0</v>
      </c>
      <c r="G2408" s="1">
        <v>0.0</v>
      </c>
      <c r="H2408" s="1">
        <v>0.0</v>
      </c>
      <c r="I2408" s="1">
        <v>0.0</v>
      </c>
      <c r="J2408" s="1">
        <v>0.0</v>
      </c>
      <c r="K2408" s="1">
        <v>0.04</v>
      </c>
      <c r="L2408" s="1">
        <v>10.0</v>
      </c>
      <c r="M2408" s="1" t="s">
        <v>5014</v>
      </c>
      <c r="N2408" s="18">
        <v>45978.0</v>
      </c>
      <c r="O2408" s="1" t="s">
        <v>5015</v>
      </c>
      <c r="P2408" s="1" t="s">
        <v>3257</v>
      </c>
      <c r="Q2408" s="1" t="s">
        <v>3408</v>
      </c>
    </row>
    <row r="2409">
      <c r="A2409" s="1" t="s">
        <v>7636</v>
      </c>
      <c r="B2409" s="1">
        <v>78.0</v>
      </c>
      <c r="C2409" s="1">
        <v>90.0</v>
      </c>
      <c r="D2409" s="2" t="s">
        <v>1475</v>
      </c>
      <c r="E2409" s="1">
        <v>78.0</v>
      </c>
      <c r="F2409" s="1">
        <v>7.0</v>
      </c>
      <c r="G2409" s="1">
        <v>0.0</v>
      </c>
      <c r="H2409" s="1">
        <v>0.0</v>
      </c>
      <c r="I2409" s="1">
        <v>0.0</v>
      </c>
      <c r="J2409" s="1">
        <v>0.0</v>
      </c>
      <c r="K2409" s="1">
        <v>0.01</v>
      </c>
      <c r="L2409" s="1">
        <v>0.0</v>
      </c>
      <c r="M2409" s="1" t="s">
        <v>7637</v>
      </c>
      <c r="N2409" s="18">
        <v>45978.0</v>
      </c>
      <c r="O2409" s="1" t="s">
        <v>4962</v>
      </c>
      <c r="P2409" s="1" t="s">
        <v>3230</v>
      </c>
      <c r="Q2409" s="1" t="s">
        <v>3408</v>
      </c>
    </row>
    <row r="2410">
      <c r="A2410" s="1" t="s">
        <v>7638</v>
      </c>
      <c r="B2410" s="1">
        <v>79.0</v>
      </c>
      <c r="C2410" s="1">
        <v>70.0</v>
      </c>
      <c r="D2410" s="2" t="s">
        <v>798</v>
      </c>
      <c r="E2410" s="1">
        <v>79.0</v>
      </c>
      <c r="F2410" s="1">
        <v>19.0</v>
      </c>
      <c r="G2410" s="1">
        <v>0.0</v>
      </c>
      <c r="H2410" s="1">
        <v>0.0</v>
      </c>
      <c r="I2410" s="1">
        <v>0.0</v>
      </c>
      <c r="J2410" s="1">
        <v>0.0</v>
      </c>
      <c r="K2410" s="1">
        <v>0.04</v>
      </c>
      <c r="L2410" s="1">
        <v>1.08E8</v>
      </c>
      <c r="M2410" s="1" t="s">
        <v>7639</v>
      </c>
      <c r="N2410" s="18">
        <v>46035.0</v>
      </c>
      <c r="O2410" s="1" t="s">
        <v>3565</v>
      </c>
      <c r="P2410" s="1" t="s">
        <v>3230</v>
      </c>
      <c r="Q2410" s="1" t="s">
        <v>3408</v>
      </c>
    </row>
    <row r="2411">
      <c r="A2411" s="1" t="s">
        <v>7640</v>
      </c>
      <c r="B2411" s="1">
        <v>79.0</v>
      </c>
      <c r="C2411" s="1">
        <v>720.0</v>
      </c>
      <c r="D2411" s="2" t="s">
        <v>2249</v>
      </c>
      <c r="E2411" s="1">
        <v>79.0</v>
      </c>
      <c r="F2411" s="1">
        <v>16.0</v>
      </c>
      <c r="G2411" s="1">
        <v>0.0</v>
      </c>
      <c r="H2411" s="1">
        <v>0.0</v>
      </c>
      <c r="I2411" s="1">
        <v>0.0</v>
      </c>
      <c r="J2411" s="1">
        <v>0.0</v>
      </c>
      <c r="K2411" s="1">
        <v>0.0</v>
      </c>
      <c r="L2411" s="1">
        <v>5600000.0</v>
      </c>
      <c r="M2411" s="1" t="s">
        <v>7641</v>
      </c>
      <c r="N2411" s="18">
        <v>46035.0</v>
      </c>
      <c r="O2411" s="1" t="s">
        <v>5571</v>
      </c>
      <c r="P2411" s="1" t="s">
        <v>3230</v>
      </c>
      <c r="Q2411" s="1" t="s">
        <v>3408</v>
      </c>
    </row>
    <row r="2412">
      <c r="A2412" s="1" t="s">
        <v>7642</v>
      </c>
      <c r="B2412" s="1">
        <v>79.0</v>
      </c>
      <c r="C2412" s="1">
        <v>50.0</v>
      </c>
      <c r="D2412" s="2" t="s">
        <v>581</v>
      </c>
      <c r="E2412" s="1">
        <v>79.0</v>
      </c>
      <c r="F2412" s="1">
        <v>38.0</v>
      </c>
      <c r="G2412" s="1">
        <v>0.0</v>
      </c>
      <c r="H2412" s="1">
        <v>0.0</v>
      </c>
      <c r="I2412" s="1">
        <v>0.0</v>
      </c>
      <c r="J2412" s="1">
        <v>0.0</v>
      </c>
      <c r="K2412" s="1">
        <v>0.02</v>
      </c>
      <c r="L2412" s="1">
        <v>4890000.0</v>
      </c>
      <c r="M2412" s="1" t="s">
        <v>7643</v>
      </c>
      <c r="N2412" s="18">
        <v>46033.0</v>
      </c>
      <c r="O2412" s="1" t="s">
        <v>3435</v>
      </c>
      <c r="P2412" s="1" t="s">
        <v>3257</v>
      </c>
      <c r="Q2412" s="1" t="s">
        <v>3408</v>
      </c>
    </row>
    <row r="2413">
      <c r="A2413" s="1" t="s">
        <v>7644</v>
      </c>
      <c r="B2413" s="1">
        <v>79.0</v>
      </c>
      <c r="C2413" s="1">
        <v>260.0</v>
      </c>
      <c r="D2413" s="2" t="s">
        <v>581</v>
      </c>
      <c r="E2413" s="1">
        <v>79.0</v>
      </c>
      <c r="F2413" s="1">
        <v>46.0</v>
      </c>
      <c r="G2413" s="1">
        <v>19.89</v>
      </c>
      <c r="H2413" s="1">
        <v>0.0</v>
      </c>
      <c r="I2413" s="1">
        <v>0.0</v>
      </c>
      <c r="J2413" s="1">
        <v>0.0</v>
      </c>
      <c r="K2413" s="1">
        <v>0.91</v>
      </c>
      <c r="L2413" s="1">
        <v>1.02E7</v>
      </c>
      <c r="M2413" s="1" t="s">
        <v>7645</v>
      </c>
      <c r="N2413" s="18">
        <v>46033.0</v>
      </c>
      <c r="O2413" s="1" t="s">
        <v>4499</v>
      </c>
      <c r="P2413" s="1" t="s">
        <v>3257</v>
      </c>
      <c r="Q2413" s="1" t="s">
        <v>3408</v>
      </c>
    </row>
    <row r="2414">
      <c r="A2414" s="1" t="s">
        <v>7646</v>
      </c>
      <c r="B2414" s="1">
        <v>79.0</v>
      </c>
      <c r="C2414" s="1">
        <v>70.0</v>
      </c>
      <c r="D2414" s="2" t="s">
        <v>581</v>
      </c>
      <c r="E2414" s="1">
        <v>79.0</v>
      </c>
      <c r="F2414" s="1">
        <v>8.0</v>
      </c>
      <c r="G2414" s="1">
        <v>0.0</v>
      </c>
      <c r="H2414" s="1">
        <v>0.0</v>
      </c>
      <c r="I2414" s="1">
        <v>0.0</v>
      </c>
      <c r="J2414" s="1">
        <v>0.0</v>
      </c>
      <c r="K2414" s="1">
        <v>0.0</v>
      </c>
      <c r="L2414" s="1">
        <v>159000.0</v>
      </c>
      <c r="M2414" s="1" t="s">
        <v>7647</v>
      </c>
      <c r="N2414" s="18">
        <v>46032.0</v>
      </c>
      <c r="O2414" s="1" t="s">
        <v>4084</v>
      </c>
      <c r="P2414" s="1" t="s">
        <v>3257</v>
      </c>
      <c r="Q2414" s="1" t="s">
        <v>3408</v>
      </c>
    </row>
    <row r="2415">
      <c r="A2415" s="1" t="s">
        <v>7648</v>
      </c>
      <c r="B2415" s="1">
        <v>79.0</v>
      </c>
      <c r="C2415" s="1">
        <v>50.0</v>
      </c>
      <c r="D2415" s="2" t="s">
        <v>581</v>
      </c>
      <c r="E2415" s="1">
        <v>79.0</v>
      </c>
      <c r="F2415" s="1">
        <v>0.0</v>
      </c>
      <c r="G2415" s="1">
        <v>0.0</v>
      </c>
      <c r="H2415" s="1">
        <v>0.0</v>
      </c>
      <c r="I2415" s="1">
        <v>0.0</v>
      </c>
      <c r="J2415" s="1">
        <v>0.0</v>
      </c>
      <c r="K2415" s="1">
        <v>0.1</v>
      </c>
      <c r="L2415" s="1">
        <v>90100.0</v>
      </c>
      <c r="M2415" s="1" t="s">
        <v>7035</v>
      </c>
      <c r="N2415" s="18">
        <v>46031.0</v>
      </c>
      <c r="O2415" s="1" t="s">
        <v>7649</v>
      </c>
      <c r="P2415" s="1" t="s">
        <v>3257</v>
      </c>
      <c r="Q2415" s="1" t="s">
        <v>3408</v>
      </c>
    </row>
    <row r="2416">
      <c r="A2416" s="1" t="s">
        <v>7650</v>
      </c>
      <c r="B2416" s="1">
        <v>79.0</v>
      </c>
      <c r="C2416" s="1">
        <v>90.0</v>
      </c>
      <c r="D2416" s="2" t="s">
        <v>800</v>
      </c>
      <c r="E2416" s="1">
        <v>79.0</v>
      </c>
      <c r="F2416" s="1">
        <v>3.0</v>
      </c>
      <c r="G2416" s="1">
        <v>0.0</v>
      </c>
      <c r="H2416" s="1">
        <v>0.0</v>
      </c>
      <c r="I2416" s="1">
        <v>0.0</v>
      </c>
      <c r="J2416" s="1">
        <v>0.0</v>
      </c>
      <c r="K2416" s="1">
        <v>0.0</v>
      </c>
      <c r="L2416" s="1">
        <v>540000.0</v>
      </c>
      <c r="M2416" s="1" t="s">
        <v>7651</v>
      </c>
      <c r="N2416" s="18">
        <v>46031.0</v>
      </c>
      <c r="O2416" s="1" t="s">
        <v>3231</v>
      </c>
      <c r="P2416" s="1" t="s">
        <v>3334</v>
      </c>
      <c r="Q2416" s="1" t="s">
        <v>3408</v>
      </c>
    </row>
    <row r="2417">
      <c r="A2417" s="1" t="s">
        <v>3353</v>
      </c>
      <c r="B2417" s="1">
        <v>79.0</v>
      </c>
      <c r="C2417" s="1">
        <v>50.0</v>
      </c>
      <c r="D2417" s="2" t="s">
        <v>443</v>
      </c>
      <c r="E2417" s="1">
        <v>79.0</v>
      </c>
      <c r="F2417" s="1">
        <v>15.0</v>
      </c>
      <c r="G2417" s="1">
        <v>0.0</v>
      </c>
      <c r="H2417" s="1">
        <v>0.0</v>
      </c>
      <c r="I2417" s="1">
        <v>0.0</v>
      </c>
      <c r="J2417" s="1">
        <v>0.0</v>
      </c>
      <c r="K2417" s="1">
        <v>0.0</v>
      </c>
      <c r="L2417" s="1">
        <v>41500.0</v>
      </c>
      <c r="M2417" s="1" t="s">
        <v>3354</v>
      </c>
      <c r="N2417" s="18">
        <v>46030.0</v>
      </c>
      <c r="O2417" s="1" t="s">
        <v>3355</v>
      </c>
      <c r="P2417" s="1" t="s">
        <v>3257</v>
      </c>
      <c r="Q2417" s="1" t="s">
        <v>3408</v>
      </c>
    </row>
    <row r="2418">
      <c r="A2418" s="1" t="s">
        <v>7652</v>
      </c>
      <c r="B2418" s="1">
        <v>79.0</v>
      </c>
      <c r="C2418" s="1">
        <v>90.0</v>
      </c>
      <c r="D2418" s="2" t="s">
        <v>764</v>
      </c>
      <c r="E2418" s="1">
        <v>79.0</v>
      </c>
      <c r="F2418" s="1">
        <v>11.0</v>
      </c>
      <c r="G2418" s="1">
        <v>0.0</v>
      </c>
      <c r="H2418" s="1">
        <v>0.0</v>
      </c>
      <c r="I2418" s="1">
        <v>0.0</v>
      </c>
      <c r="J2418" s="1">
        <v>0.0</v>
      </c>
      <c r="K2418" s="1">
        <v>0.0</v>
      </c>
      <c r="L2418" s="1">
        <v>1170000.0</v>
      </c>
      <c r="M2418" s="1" t="s">
        <v>7653</v>
      </c>
      <c r="N2418" s="18">
        <v>46029.0</v>
      </c>
      <c r="O2418" s="1" t="s">
        <v>7654</v>
      </c>
      <c r="P2418" s="1" t="s">
        <v>3257</v>
      </c>
      <c r="Q2418" s="1" t="s">
        <v>3408</v>
      </c>
    </row>
    <row r="2419">
      <c r="A2419" s="1" t="s">
        <v>7655</v>
      </c>
      <c r="B2419" s="1">
        <v>79.0</v>
      </c>
      <c r="C2419" s="1">
        <v>40.0</v>
      </c>
      <c r="D2419" s="2" t="s">
        <v>1981</v>
      </c>
      <c r="E2419" s="1">
        <v>79.0</v>
      </c>
      <c r="F2419" s="1">
        <v>9.0</v>
      </c>
      <c r="G2419" s="1">
        <v>6.72</v>
      </c>
      <c r="H2419" s="1">
        <v>0.0</v>
      </c>
      <c r="I2419" s="1">
        <v>0.0</v>
      </c>
      <c r="J2419" s="1">
        <v>0.0</v>
      </c>
      <c r="K2419" s="1">
        <v>0.74</v>
      </c>
      <c r="L2419" s="1">
        <v>2.42E8</v>
      </c>
      <c r="M2419" s="1" t="s">
        <v>7656</v>
      </c>
      <c r="N2419" s="18">
        <v>46027.0</v>
      </c>
      <c r="O2419" s="1" t="s">
        <v>7262</v>
      </c>
      <c r="P2419" s="1" t="s">
        <v>3230</v>
      </c>
      <c r="Q2419" s="1" t="s">
        <v>3408</v>
      </c>
    </row>
    <row r="2420">
      <c r="A2420" s="1" t="s">
        <v>7657</v>
      </c>
      <c r="B2420" s="1">
        <v>79.0</v>
      </c>
      <c r="C2420" s="1">
        <v>40.0</v>
      </c>
      <c r="D2420" s="2" t="s">
        <v>638</v>
      </c>
      <c r="E2420" s="1">
        <v>79.0</v>
      </c>
      <c r="F2420" s="1">
        <v>12.0</v>
      </c>
      <c r="G2420" s="1">
        <v>0.0</v>
      </c>
      <c r="H2420" s="1">
        <v>0.0</v>
      </c>
      <c r="I2420" s="1">
        <v>0.0</v>
      </c>
      <c r="J2420" s="1">
        <v>0.0</v>
      </c>
      <c r="K2420" s="1">
        <v>0.06</v>
      </c>
      <c r="L2420" s="1">
        <v>4.99E7</v>
      </c>
      <c r="M2420" s="1" t="s">
        <v>5112</v>
      </c>
      <c r="N2420" s="18">
        <v>46026.0</v>
      </c>
      <c r="O2420" s="1" t="s">
        <v>3861</v>
      </c>
      <c r="P2420" s="1" t="s">
        <v>3334</v>
      </c>
      <c r="Q2420" s="1" t="s">
        <v>3408</v>
      </c>
    </row>
    <row r="2421">
      <c r="A2421" s="1" t="s">
        <v>7387</v>
      </c>
      <c r="B2421" s="1">
        <v>79.0</v>
      </c>
      <c r="C2421" s="1">
        <v>110.0</v>
      </c>
      <c r="D2421" s="2" t="s">
        <v>2048</v>
      </c>
      <c r="E2421" s="1">
        <v>79.0</v>
      </c>
      <c r="F2421" s="1">
        <v>16.0</v>
      </c>
      <c r="G2421" s="1">
        <v>0.0</v>
      </c>
      <c r="H2421" s="1">
        <v>0.0</v>
      </c>
      <c r="I2421" s="1">
        <v>0.0</v>
      </c>
      <c r="J2421" s="1">
        <v>0.0</v>
      </c>
      <c r="K2421" s="1">
        <v>0.0</v>
      </c>
      <c r="L2421" s="1">
        <v>3.75E7</v>
      </c>
      <c r="M2421" s="1" t="s">
        <v>7388</v>
      </c>
      <c r="N2421" s="18">
        <v>46026.0</v>
      </c>
      <c r="O2421" s="1" t="s">
        <v>7389</v>
      </c>
      <c r="P2421" s="1" t="s">
        <v>3230</v>
      </c>
      <c r="Q2421" s="1" t="s">
        <v>3408</v>
      </c>
    </row>
    <row r="2422">
      <c r="A2422" s="1" t="s">
        <v>7658</v>
      </c>
      <c r="B2422" s="1">
        <v>79.0</v>
      </c>
      <c r="C2422" s="1">
        <v>170.0</v>
      </c>
      <c r="D2422" s="2" t="s">
        <v>1095</v>
      </c>
      <c r="E2422" s="1">
        <v>79.0</v>
      </c>
      <c r="G2422" s="1">
        <v>0.0</v>
      </c>
      <c r="H2422" s="1">
        <v>0.0</v>
      </c>
      <c r="I2422" s="1">
        <v>0.0</v>
      </c>
      <c r="J2422" s="1">
        <v>0.0</v>
      </c>
      <c r="K2422" s="1">
        <v>0.0</v>
      </c>
      <c r="L2422" s="1">
        <v>2.93E7</v>
      </c>
      <c r="M2422" s="1" t="s">
        <v>7659</v>
      </c>
      <c r="N2422" s="18">
        <v>46025.0</v>
      </c>
      <c r="O2422" s="1" t="s">
        <v>7660</v>
      </c>
      <c r="P2422" s="1" t="s">
        <v>3230</v>
      </c>
      <c r="Q2422" s="1" t="s">
        <v>3408</v>
      </c>
    </row>
    <row r="2423">
      <c r="A2423" s="1" t="s">
        <v>7661</v>
      </c>
      <c r="B2423" s="1">
        <v>79.0</v>
      </c>
      <c r="C2423" s="1">
        <v>90.0</v>
      </c>
      <c r="D2423" s="2" t="s">
        <v>1912</v>
      </c>
      <c r="E2423" s="1">
        <v>79.0</v>
      </c>
      <c r="F2423" s="1">
        <v>0.0</v>
      </c>
      <c r="G2423" s="1">
        <v>0.0</v>
      </c>
      <c r="H2423" s="1">
        <v>0.0</v>
      </c>
      <c r="I2423" s="1">
        <v>0.0</v>
      </c>
      <c r="J2423" s="1">
        <v>0.0</v>
      </c>
      <c r="K2423" s="1">
        <v>0.02</v>
      </c>
      <c r="L2423" s="1">
        <v>1.21E7</v>
      </c>
      <c r="M2423" s="1" t="s">
        <v>7662</v>
      </c>
      <c r="N2423" s="18">
        <v>46024.0</v>
      </c>
      <c r="O2423" s="1" t="s">
        <v>3479</v>
      </c>
      <c r="P2423" s="1" t="s">
        <v>3230</v>
      </c>
      <c r="Q2423" s="1" t="s">
        <v>3408</v>
      </c>
    </row>
    <row r="2424">
      <c r="A2424" s="1" t="s">
        <v>7663</v>
      </c>
      <c r="B2424" s="1">
        <v>79.0</v>
      </c>
      <c r="C2424" s="1">
        <v>210.0</v>
      </c>
      <c r="D2424" s="2" t="s">
        <v>439</v>
      </c>
      <c r="E2424" s="1">
        <v>79.0</v>
      </c>
      <c r="F2424" s="1">
        <v>37.0</v>
      </c>
      <c r="G2424" s="1">
        <v>2.04</v>
      </c>
      <c r="H2424" s="1">
        <v>0.0</v>
      </c>
      <c r="I2424" s="1">
        <v>0.0</v>
      </c>
      <c r="J2424" s="1">
        <v>0.0</v>
      </c>
      <c r="K2424" s="1">
        <v>0.19</v>
      </c>
      <c r="L2424" s="1">
        <v>8240000.0</v>
      </c>
      <c r="M2424" s="1" t="s">
        <v>7664</v>
      </c>
      <c r="N2424" s="18">
        <v>46024.0</v>
      </c>
      <c r="O2424" s="1" t="s">
        <v>3821</v>
      </c>
      <c r="P2424" s="1" t="s">
        <v>3294</v>
      </c>
      <c r="Q2424" s="1" t="s">
        <v>3408</v>
      </c>
    </row>
    <row r="2425">
      <c r="A2425" s="1" t="s">
        <v>7665</v>
      </c>
      <c r="B2425" s="1">
        <v>79.0</v>
      </c>
      <c r="C2425" s="1">
        <v>140.0</v>
      </c>
      <c r="D2425" s="2" t="s">
        <v>2937</v>
      </c>
      <c r="E2425" s="1">
        <v>79.0</v>
      </c>
      <c r="F2425" s="1">
        <v>18.0</v>
      </c>
      <c r="G2425" s="1">
        <v>8.05</v>
      </c>
      <c r="H2425" s="1">
        <v>0.0</v>
      </c>
      <c r="I2425" s="1">
        <v>0.0</v>
      </c>
      <c r="J2425" s="1">
        <v>0.0</v>
      </c>
      <c r="K2425" s="1">
        <v>0.15</v>
      </c>
      <c r="L2425" s="1">
        <v>1.39E7</v>
      </c>
      <c r="M2425" s="1" t="s">
        <v>7666</v>
      </c>
      <c r="N2425" s="18">
        <v>46023.0</v>
      </c>
      <c r="O2425" s="1" t="s">
        <v>3493</v>
      </c>
      <c r="P2425" s="1" t="s">
        <v>3301</v>
      </c>
      <c r="Q2425" s="1" t="s">
        <v>3408</v>
      </c>
    </row>
    <row r="2426">
      <c r="A2426" s="1" t="s">
        <v>7667</v>
      </c>
      <c r="B2426" s="1">
        <v>79.0</v>
      </c>
      <c r="C2426" s="1">
        <v>40.0</v>
      </c>
      <c r="D2426" s="2" t="s">
        <v>463</v>
      </c>
      <c r="E2426" s="1">
        <v>79.0</v>
      </c>
      <c r="F2426" s="1">
        <v>13.0</v>
      </c>
      <c r="G2426" s="1">
        <v>0.28</v>
      </c>
      <c r="H2426" s="1">
        <v>0.0</v>
      </c>
      <c r="I2426" s="1">
        <v>0.0</v>
      </c>
      <c r="J2426" s="1">
        <v>0.0</v>
      </c>
      <c r="K2426" s="1">
        <v>0.15</v>
      </c>
      <c r="L2426" s="1">
        <v>97600.0</v>
      </c>
      <c r="M2426" s="1" t="s">
        <v>7097</v>
      </c>
      <c r="N2426" s="18">
        <v>46023.0</v>
      </c>
      <c r="O2426" s="1" t="s">
        <v>4203</v>
      </c>
      <c r="P2426" s="1" t="s">
        <v>3257</v>
      </c>
      <c r="Q2426" s="1" t="s">
        <v>3408</v>
      </c>
    </row>
    <row r="2427">
      <c r="A2427" s="1" t="s">
        <v>7668</v>
      </c>
      <c r="B2427" s="1">
        <v>79.0</v>
      </c>
      <c r="C2427" s="1">
        <v>70.0</v>
      </c>
      <c r="D2427" s="2" t="s">
        <v>1469</v>
      </c>
      <c r="E2427" s="1">
        <v>79.0</v>
      </c>
      <c r="F2427" s="1">
        <v>0.0</v>
      </c>
      <c r="G2427" s="1">
        <v>7.43</v>
      </c>
      <c r="H2427" s="1">
        <v>0.0</v>
      </c>
      <c r="I2427" s="1">
        <v>0.0</v>
      </c>
      <c r="J2427" s="1">
        <v>0.0</v>
      </c>
      <c r="K2427" s="1">
        <v>0.14</v>
      </c>
      <c r="L2427" s="1">
        <v>1410000.0</v>
      </c>
      <c r="M2427" s="1" t="s">
        <v>7669</v>
      </c>
      <c r="N2427" s="18">
        <v>46023.0</v>
      </c>
      <c r="O2427" s="1" t="s">
        <v>3840</v>
      </c>
      <c r="P2427" s="1" t="s">
        <v>3230</v>
      </c>
      <c r="Q2427" s="1" t="s">
        <v>3408</v>
      </c>
    </row>
    <row r="2428">
      <c r="A2428" s="1" t="s">
        <v>7670</v>
      </c>
      <c r="B2428" s="1">
        <v>79.0</v>
      </c>
      <c r="C2428" s="1">
        <v>50.0</v>
      </c>
      <c r="D2428" s="2" t="s">
        <v>1708</v>
      </c>
      <c r="E2428" s="1">
        <v>79.0</v>
      </c>
      <c r="F2428" s="1">
        <v>11.0</v>
      </c>
      <c r="G2428" s="1">
        <v>0.0</v>
      </c>
      <c r="H2428" s="1">
        <v>0.0</v>
      </c>
      <c r="I2428" s="1">
        <v>0.0</v>
      </c>
      <c r="J2428" s="1">
        <v>0.0</v>
      </c>
      <c r="K2428" s="1">
        <v>0.0</v>
      </c>
      <c r="L2428" s="1">
        <v>556000.0</v>
      </c>
      <c r="M2428" s="1" t="s">
        <v>7671</v>
      </c>
      <c r="N2428" s="18">
        <v>46022.0</v>
      </c>
      <c r="O2428" s="1" t="s">
        <v>6936</v>
      </c>
      <c r="P2428" s="1" t="s">
        <v>3257</v>
      </c>
      <c r="Q2428" s="1" t="s">
        <v>3408</v>
      </c>
    </row>
    <row r="2429">
      <c r="A2429" s="1" t="s">
        <v>7672</v>
      </c>
      <c r="B2429" s="1">
        <v>79.0</v>
      </c>
      <c r="C2429" s="1">
        <v>90.0</v>
      </c>
      <c r="D2429" s="2" t="s">
        <v>714</v>
      </c>
      <c r="E2429" s="1">
        <v>79.0</v>
      </c>
      <c r="F2429" s="1">
        <v>0.0</v>
      </c>
      <c r="G2429" s="1">
        <v>0.0</v>
      </c>
      <c r="H2429" s="1">
        <v>0.0</v>
      </c>
      <c r="I2429" s="1">
        <v>0.0</v>
      </c>
      <c r="J2429" s="1">
        <v>0.0</v>
      </c>
      <c r="K2429" s="1">
        <v>0.0</v>
      </c>
      <c r="L2429" s="1">
        <v>1030000.0</v>
      </c>
      <c r="M2429" s="1" t="s">
        <v>7673</v>
      </c>
      <c r="N2429" s="18">
        <v>46021.0</v>
      </c>
      <c r="O2429" s="1" t="s">
        <v>3252</v>
      </c>
      <c r="P2429" s="1" t="s">
        <v>3230</v>
      </c>
      <c r="Q2429" s="1" t="s">
        <v>3408</v>
      </c>
    </row>
    <row r="2430">
      <c r="A2430" s="1" t="s">
        <v>7581</v>
      </c>
      <c r="B2430" s="1">
        <v>79.0</v>
      </c>
      <c r="C2430" s="1">
        <v>70.0</v>
      </c>
      <c r="D2430" s="2" t="s">
        <v>2416</v>
      </c>
      <c r="E2430" s="1">
        <v>79.0</v>
      </c>
      <c r="F2430" s="1">
        <v>26.0</v>
      </c>
      <c r="G2430" s="1">
        <v>0.0</v>
      </c>
      <c r="H2430" s="1">
        <v>0.0</v>
      </c>
      <c r="I2430" s="1">
        <v>0.0</v>
      </c>
      <c r="J2430" s="1">
        <v>0.0</v>
      </c>
      <c r="K2430" s="1">
        <v>0.0</v>
      </c>
      <c r="L2430" s="1">
        <v>4190000.0</v>
      </c>
      <c r="M2430" s="1" t="s">
        <v>7582</v>
      </c>
      <c r="N2430" s="18">
        <v>46021.0</v>
      </c>
      <c r="O2430" s="1" t="s">
        <v>3493</v>
      </c>
      <c r="P2430" s="1" t="s">
        <v>3301</v>
      </c>
      <c r="Q2430" s="1" t="s">
        <v>3408</v>
      </c>
    </row>
    <row r="2431">
      <c r="A2431" s="1" t="s">
        <v>7674</v>
      </c>
      <c r="B2431" s="1">
        <v>79.0</v>
      </c>
      <c r="C2431" s="1">
        <v>90.0</v>
      </c>
      <c r="D2431" s="2" t="s">
        <v>1473</v>
      </c>
      <c r="E2431" s="1">
        <v>79.0</v>
      </c>
      <c r="F2431" s="1">
        <v>42.0</v>
      </c>
      <c r="G2431" s="1">
        <v>6.21</v>
      </c>
      <c r="H2431" s="1">
        <v>0.0</v>
      </c>
      <c r="I2431" s="1">
        <v>0.0</v>
      </c>
      <c r="J2431" s="1">
        <v>0.0</v>
      </c>
      <c r="K2431" s="1">
        <v>0.04</v>
      </c>
      <c r="L2431" s="1">
        <v>3.04E8</v>
      </c>
      <c r="M2431" s="1" t="s">
        <v>7675</v>
      </c>
      <c r="N2431" s="18">
        <v>46021.0</v>
      </c>
      <c r="O2431" s="1" t="s">
        <v>3231</v>
      </c>
      <c r="P2431" s="1" t="s">
        <v>3230</v>
      </c>
      <c r="Q2431" s="1" t="s">
        <v>3408</v>
      </c>
    </row>
    <row r="2432">
      <c r="A2432" s="1" t="s">
        <v>3425</v>
      </c>
      <c r="B2432" s="1">
        <v>79.0</v>
      </c>
      <c r="C2432" s="1">
        <v>70.0</v>
      </c>
      <c r="D2432" s="2" t="s">
        <v>1398</v>
      </c>
      <c r="E2432" s="1">
        <v>79.0</v>
      </c>
      <c r="F2432" s="1">
        <v>14.0</v>
      </c>
      <c r="G2432" s="1">
        <v>0.0</v>
      </c>
      <c r="H2432" s="1">
        <v>0.0</v>
      </c>
      <c r="I2432" s="1">
        <v>0.0</v>
      </c>
      <c r="J2432" s="1">
        <v>0.0</v>
      </c>
      <c r="K2432" s="1">
        <v>0.0</v>
      </c>
      <c r="L2432" s="1">
        <v>37900.0</v>
      </c>
      <c r="M2432" s="1" t="s">
        <v>3426</v>
      </c>
      <c r="N2432" s="18">
        <v>46020.0</v>
      </c>
      <c r="O2432" s="1" t="s">
        <v>3427</v>
      </c>
      <c r="P2432" s="1" t="s">
        <v>3257</v>
      </c>
      <c r="Q2432" s="1" t="s">
        <v>3408</v>
      </c>
    </row>
    <row r="2433">
      <c r="A2433" s="1" t="s">
        <v>7676</v>
      </c>
      <c r="B2433" s="1">
        <v>79.0</v>
      </c>
      <c r="C2433" s="1">
        <v>40.0</v>
      </c>
      <c r="D2433" s="2" t="s">
        <v>694</v>
      </c>
      <c r="E2433" s="1">
        <v>79.0</v>
      </c>
      <c r="F2433" s="1">
        <v>28.0</v>
      </c>
      <c r="G2433" s="1">
        <v>0.0</v>
      </c>
      <c r="H2433" s="1">
        <v>0.0</v>
      </c>
      <c r="I2433" s="1">
        <v>0.0</v>
      </c>
      <c r="J2433" s="1">
        <v>0.0</v>
      </c>
      <c r="K2433" s="1">
        <v>0.05</v>
      </c>
      <c r="L2433" s="1">
        <v>7790000.0</v>
      </c>
      <c r="M2433" s="1" t="s">
        <v>7677</v>
      </c>
      <c r="N2433" s="18">
        <v>46020.0</v>
      </c>
      <c r="O2433" s="1" t="s">
        <v>3840</v>
      </c>
      <c r="P2433" s="1" t="s">
        <v>3230</v>
      </c>
      <c r="Q2433" s="1" t="s">
        <v>3408</v>
      </c>
    </row>
    <row r="2434">
      <c r="A2434" s="1" t="s">
        <v>7678</v>
      </c>
      <c r="B2434" s="1">
        <v>79.0</v>
      </c>
      <c r="C2434" s="1">
        <v>50.0</v>
      </c>
      <c r="D2434" s="2" t="s">
        <v>810</v>
      </c>
      <c r="E2434" s="1">
        <v>79.0</v>
      </c>
      <c r="F2434" s="1">
        <v>21.0</v>
      </c>
      <c r="G2434" s="1">
        <v>3.22</v>
      </c>
      <c r="H2434" s="1">
        <v>0.0</v>
      </c>
      <c r="I2434" s="1">
        <v>0.0</v>
      </c>
      <c r="J2434" s="1">
        <v>0.0</v>
      </c>
      <c r="K2434" s="1">
        <v>0.5</v>
      </c>
      <c r="L2434" s="1">
        <v>1.61E8</v>
      </c>
      <c r="M2434" s="1" t="s">
        <v>7679</v>
      </c>
      <c r="N2434" s="18">
        <v>46019.0</v>
      </c>
      <c r="O2434" s="1" t="s">
        <v>3673</v>
      </c>
      <c r="P2434" s="1" t="s">
        <v>3257</v>
      </c>
      <c r="Q2434" s="1" t="s">
        <v>3408</v>
      </c>
    </row>
    <row r="2435">
      <c r="A2435" s="1" t="s">
        <v>7680</v>
      </c>
      <c r="B2435" s="1">
        <v>79.0</v>
      </c>
      <c r="C2435" s="1">
        <v>110.0</v>
      </c>
      <c r="D2435" s="2" t="s">
        <v>2249</v>
      </c>
      <c r="E2435" s="1">
        <v>79.0</v>
      </c>
      <c r="F2435" s="1">
        <v>0.0</v>
      </c>
      <c r="G2435" s="1">
        <v>0.0</v>
      </c>
      <c r="H2435" s="1">
        <v>0.0</v>
      </c>
      <c r="I2435" s="1">
        <v>0.0</v>
      </c>
      <c r="J2435" s="1">
        <v>0.0</v>
      </c>
      <c r="K2435" s="1">
        <v>0.0</v>
      </c>
      <c r="L2435" s="1">
        <v>2210000.0</v>
      </c>
      <c r="M2435" s="1" t="s">
        <v>7681</v>
      </c>
      <c r="N2435" s="18">
        <v>46018.0</v>
      </c>
      <c r="O2435" s="1" t="s">
        <v>3252</v>
      </c>
      <c r="P2435" s="1" t="s">
        <v>3230</v>
      </c>
      <c r="Q2435" s="1" t="s">
        <v>3408</v>
      </c>
    </row>
    <row r="2436">
      <c r="A2436" s="1" t="s">
        <v>7682</v>
      </c>
      <c r="B2436" s="1">
        <v>79.0</v>
      </c>
      <c r="C2436" s="1">
        <v>170.0</v>
      </c>
      <c r="D2436" s="2" t="s">
        <v>581</v>
      </c>
      <c r="E2436" s="1">
        <v>79.0</v>
      </c>
      <c r="F2436" s="1">
        <v>11.0</v>
      </c>
      <c r="G2436" s="1">
        <v>13.5</v>
      </c>
      <c r="H2436" s="1">
        <v>0.0</v>
      </c>
      <c r="I2436" s="1">
        <v>0.0</v>
      </c>
      <c r="J2436" s="1">
        <v>0.0</v>
      </c>
      <c r="K2436" s="1">
        <v>0.76</v>
      </c>
      <c r="L2436" s="1">
        <v>2.96E7</v>
      </c>
      <c r="M2436" s="1" t="s">
        <v>7683</v>
      </c>
      <c r="N2436" s="18">
        <v>46018.0</v>
      </c>
      <c r="O2436" s="1" t="s">
        <v>3355</v>
      </c>
      <c r="P2436" s="1" t="s">
        <v>3257</v>
      </c>
      <c r="Q2436" s="1" t="s">
        <v>3408</v>
      </c>
    </row>
    <row r="2437">
      <c r="A2437" s="1" t="s">
        <v>6840</v>
      </c>
      <c r="B2437" s="1">
        <v>79.0</v>
      </c>
      <c r="C2437" s="1">
        <v>320.0</v>
      </c>
      <c r="D2437" s="2" t="s">
        <v>2080</v>
      </c>
      <c r="E2437" s="1">
        <v>79.0</v>
      </c>
      <c r="F2437" s="1">
        <v>0.0</v>
      </c>
      <c r="G2437" s="1">
        <v>3.86</v>
      </c>
      <c r="H2437" s="1">
        <v>0.0</v>
      </c>
      <c r="I2437" s="1">
        <v>0.0</v>
      </c>
      <c r="J2437" s="1">
        <v>0.0</v>
      </c>
      <c r="K2437" s="1">
        <v>0.34</v>
      </c>
      <c r="L2437" s="1">
        <v>1560000.0</v>
      </c>
      <c r="M2437" s="1" t="s">
        <v>6841</v>
      </c>
      <c r="N2437" s="18">
        <v>46017.0</v>
      </c>
      <c r="O2437" s="1" t="s">
        <v>3442</v>
      </c>
      <c r="P2437" s="1" t="s">
        <v>3230</v>
      </c>
      <c r="Q2437" s="1" t="s">
        <v>3408</v>
      </c>
    </row>
    <row r="2438">
      <c r="A2438" s="1" t="s">
        <v>3896</v>
      </c>
      <c r="B2438" s="1">
        <v>79.0</v>
      </c>
      <c r="C2438" s="1">
        <v>110.0</v>
      </c>
      <c r="D2438" s="2" t="s">
        <v>584</v>
      </c>
      <c r="E2438" s="1">
        <v>79.0</v>
      </c>
      <c r="F2438" s="1">
        <v>21.0</v>
      </c>
      <c r="G2438" s="1">
        <v>11.16</v>
      </c>
      <c r="H2438" s="1">
        <v>0.0</v>
      </c>
      <c r="I2438" s="1">
        <v>0.0</v>
      </c>
      <c r="J2438" s="1">
        <v>0.0</v>
      </c>
      <c r="K2438" s="1">
        <v>0.2</v>
      </c>
      <c r="L2438" s="1">
        <v>114000.0</v>
      </c>
      <c r="M2438" s="1" t="s">
        <v>3897</v>
      </c>
      <c r="N2438" s="18">
        <v>46016.0</v>
      </c>
      <c r="O2438" s="1" t="s">
        <v>3673</v>
      </c>
      <c r="P2438" s="1" t="s">
        <v>3257</v>
      </c>
      <c r="Q2438" s="1" t="s">
        <v>3408</v>
      </c>
    </row>
    <row r="2439">
      <c r="A2439" s="1" t="s">
        <v>7684</v>
      </c>
      <c r="B2439" s="1">
        <v>79.0</v>
      </c>
      <c r="C2439" s="1">
        <v>70.0</v>
      </c>
      <c r="D2439" s="2" t="s">
        <v>600</v>
      </c>
      <c r="E2439" s="1">
        <v>79.0</v>
      </c>
      <c r="F2439" s="1">
        <v>0.0</v>
      </c>
      <c r="G2439" s="1">
        <v>0.0</v>
      </c>
      <c r="H2439" s="1">
        <v>0.0</v>
      </c>
      <c r="I2439" s="1">
        <v>0.0</v>
      </c>
      <c r="J2439" s="1">
        <v>0.0</v>
      </c>
      <c r="K2439" s="1">
        <v>0.02</v>
      </c>
      <c r="L2439" s="1">
        <v>259000.0</v>
      </c>
      <c r="M2439" s="1" t="s">
        <v>7685</v>
      </c>
      <c r="N2439" s="18">
        <v>46016.0</v>
      </c>
      <c r="O2439" s="1" t="s">
        <v>3258</v>
      </c>
      <c r="P2439" s="1" t="s">
        <v>3257</v>
      </c>
      <c r="Q2439" s="1" t="s">
        <v>3408</v>
      </c>
    </row>
    <row r="2440">
      <c r="A2440" s="1" t="s">
        <v>7686</v>
      </c>
      <c r="B2440" s="1">
        <v>79.0</v>
      </c>
      <c r="C2440" s="1">
        <v>170.0</v>
      </c>
      <c r="D2440" s="2" t="s">
        <v>447</v>
      </c>
      <c r="E2440" s="1">
        <v>79.0</v>
      </c>
      <c r="F2440" s="1">
        <v>29.0</v>
      </c>
      <c r="G2440" s="1">
        <v>3.5</v>
      </c>
      <c r="H2440" s="1">
        <v>0.0</v>
      </c>
      <c r="I2440" s="1">
        <v>0.0</v>
      </c>
      <c r="J2440" s="1">
        <v>0.0</v>
      </c>
      <c r="K2440" s="1">
        <v>0.49</v>
      </c>
      <c r="L2440" s="1">
        <v>623000.0</v>
      </c>
      <c r="M2440" s="1" t="s">
        <v>7687</v>
      </c>
      <c r="N2440" s="18">
        <v>46015.0</v>
      </c>
      <c r="O2440" s="1" t="s">
        <v>3435</v>
      </c>
      <c r="P2440" s="1" t="s">
        <v>3257</v>
      </c>
      <c r="Q2440" s="1" t="s">
        <v>3408</v>
      </c>
    </row>
    <row r="2441">
      <c r="A2441" s="1" t="s">
        <v>7688</v>
      </c>
      <c r="B2441" s="1">
        <v>79.0</v>
      </c>
      <c r="C2441" s="1">
        <v>50.0</v>
      </c>
      <c r="D2441" s="2" t="s">
        <v>600</v>
      </c>
      <c r="E2441" s="1">
        <v>79.0</v>
      </c>
      <c r="F2441" s="1">
        <v>0.0</v>
      </c>
      <c r="G2441" s="1">
        <v>0.0</v>
      </c>
      <c r="H2441" s="1">
        <v>0.0</v>
      </c>
      <c r="I2441" s="1">
        <v>0.0</v>
      </c>
      <c r="J2441" s="1">
        <v>0.0</v>
      </c>
      <c r="K2441" s="1">
        <v>0.2</v>
      </c>
      <c r="L2441" s="1">
        <v>737000.0</v>
      </c>
      <c r="M2441" s="1" t="s">
        <v>7689</v>
      </c>
      <c r="N2441" s="18">
        <v>46015.0</v>
      </c>
      <c r="O2441" s="1" t="s">
        <v>5341</v>
      </c>
      <c r="P2441" s="1" t="s">
        <v>3257</v>
      </c>
      <c r="Q2441" s="1" t="s">
        <v>3408</v>
      </c>
    </row>
    <row r="2442">
      <c r="A2442" s="1" t="s">
        <v>7690</v>
      </c>
      <c r="B2442" s="1">
        <v>79.0</v>
      </c>
      <c r="C2442" s="1">
        <v>50.0</v>
      </c>
      <c r="D2442" s="2" t="s">
        <v>519</v>
      </c>
      <c r="E2442" s="1">
        <v>79.0</v>
      </c>
      <c r="F2442" s="1">
        <v>4.0</v>
      </c>
      <c r="G2442" s="1">
        <v>0.0</v>
      </c>
      <c r="H2442" s="1">
        <v>0.0</v>
      </c>
      <c r="I2442" s="1">
        <v>0.0</v>
      </c>
      <c r="J2442" s="1">
        <v>0.0</v>
      </c>
      <c r="K2442" s="1">
        <v>0.33</v>
      </c>
      <c r="L2442" s="1">
        <v>2.07E7</v>
      </c>
      <c r="M2442" s="1" t="s">
        <v>7691</v>
      </c>
      <c r="N2442" s="18">
        <v>46015.0</v>
      </c>
      <c r="O2442" s="1" t="s">
        <v>4774</v>
      </c>
      <c r="P2442" s="1" t="s">
        <v>3230</v>
      </c>
      <c r="Q2442" s="1" t="s">
        <v>3408</v>
      </c>
    </row>
    <row r="2443">
      <c r="A2443" s="1" t="s">
        <v>7692</v>
      </c>
      <c r="B2443" s="1">
        <v>79.0</v>
      </c>
      <c r="C2443" s="1">
        <v>90.0</v>
      </c>
      <c r="D2443" s="2" t="s">
        <v>581</v>
      </c>
      <c r="E2443" s="1">
        <v>79.0</v>
      </c>
      <c r="F2443" s="1">
        <v>8.0</v>
      </c>
      <c r="G2443" s="1">
        <v>0.0</v>
      </c>
      <c r="H2443" s="1">
        <v>0.0</v>
      </c>
      <c r="I2443" s="1">
        <v>0.0</v>
      </c>
      <c r="J2443" s="1">
        <v>0.0</v>
      </c>
      <c r="K2443" s="1">
        <v>0.0</v>
      </c>
      <c r="L2443" s="1">
        <v>263000.0</v>
      </c>
      <c r="M2443" s="1" t="s">
        <v>7693</v>
      </c>
      <c r="N2443" s="18">
        <v>46015.0</v>
      </c>
      <c r="O2443" s="1" t="s">
        <v>4255</v>
      </c>
      <c r="P2443" s="1" t="s">
        <v>3257</v>
      </c>
      <c r="Q2443" s="1" t="s">
        <v>3408</v>
      </c>
    </row>
    <row r="2444">
      <c r="A2444" s="1" t="s">
        <v>7694</v>
      </c>
      <c r="B2444" s="1">
        <v>79.0</v>
      </c>
      <c r="C2444" s="1">
        <v>50.0</v>
      </c>
      <c r="D2444" s="2" t="s">
        <v>710</v>
      </c>
      <c r="E2444" s="1">
        <v>79.0</v>
      </c>
      <c r="F2444" s="1">
        <v>13.0</v>
      </c>
      <c r="G2444" s="1">
        <v>0.0</v>
      </c>
      <c r="H2444" s="1">
        <v>0.0</v>
      </c>
      <c r="I2444" s="1">
        <v>0.0</v>
      </c>
      <c r="J2444" s="1">
        <v>0.0</v>
      </c>
      <c r="K2444" s="1">
        <v>0.0</v>
      </c>
      <c r="L2444" s="1">
        <v>1740000.0</v>
      </c>
      <c r="M2444" s="1" t="s">
        <v>7695</v>
      </c>
      <c r="N2444" s="18">
        <v>46014.0</v>
      </c>
      <c r="O2444" s="1" t="s">
        <v>4465</v>
      </c>
      <c r="P2444" s="1" t="s">
        <v>3257</v>
      </c>
      <c r="Q2444" s="1" t="s">
        <v>3408</v>
      </c>
    </row>
    <row r="2445">
      <c r="A2445" s="1" t="s">
        <v>7696</v>
      </c>
      <c r="B2445" s="1">
        <v>79.0</v>
      </c>
      <c r="C2445" s="1">
        <v>90.0</v>
      </c>
      <c r="D2445" s="2" t="s">
        <v>439</v>
      </c>
      <c r="E2445" s="1">
        <v>79.0</v>
      </c>
      <c r="F2445" s="1">
        <v>16.0</v>
      </c>
      <c r="G2445" s="1">
        <v>2.72</v>
      </c>
      <c r="H2445" s="1">
        <v>0.0</v>
      </c>
      <c r="I2445" s="1">
        <v>0.0</v>
      </c>
      <c r="J2445" s="1">
        <v>0.0</v>
      </c>
      <c r="K2445" s="1">
        <v>0.08</v>
      </c>
      <c r="L2445" s="1">
        <v>937000.0</v>
      </c>
      <c r="M2445" s="1" t="s">
        <v>7697</v>
      </c>
      <c r="N2445" s="18">
        <v>46013.0</v>
      </c>
      <c r="O2445" s="1" t="s">
        <v>4121</v>
      </c>
      <c r="P2445" s="1" t="s">
        <v>3294</v>
      </c>
      <c r="Q2445" s="1" t="s">
        <v>3408</v>
      </c>
    </row>
    <row r="2446">
      <c r="A2446" s="1" t="s">
        <v>7698</v>
      </c>
      <c r="B2446" s="1">
        <v>79.0</v>
      </c>
      <c r="C2446" s="1">
        <v>70.0</v>
      </c>
      <c r="D2446" s="2" t="s">
        <v>694</v>
      </c>
      <c r="E2446" s="1">
        <v>79.0</v>
      </c>
      <c r="F2446" s="1">
        <v>3.0</v>
      </c>
      <c r="G2446" s="1">
        <v>0.0</v>
      </c>
      <c r="H2446" s="1">
        <v>0.0</v>
      </c>
      <c r="I2446" s="1">
        <v>0.0</v>
      </c>
      <c r="J2446" s="1">
        <v>0.0</v>
      </c>
      <c r="K2446" s="1">
        <v>0.0</v>
      </c>
      <c r="L2446" s="1">
        <v>7080000.0</v>
      </c>
      <c r="M2446" s="1" t="s">
        <v>7699</v>
      </c>
      <c r="N2446" s="18">
        <v>46010.0</v>
      </c>
      <c r="O2446" s="1" t="s">
        <v>3479</v>
      </c>
      <c r="P2446" s="1" t="s">
        <v>3230</v>
      </c>
      <c r="Q2446" s="1" t="s">
        <v>3408</v>
      </c>
    </row>
    <row r="2447">
      <c r="A2447" s="1" t="s">
        <v>7700</v>
      </c>
      <c r="B2447" s="1">
        <v>79.0</v>
      </c>
      <c r="C2447" s="1">
        <v>90.0</v>
      </c>
      <c r="D2447" s="2" t="s">
        <v>798</v>
      </c>
      <c r="E2447" s="1">
        <v>79.0</v>
      </c>
      <c r="F2447" s="1">
        <v>19.0</v>
      </c>
      <c r="G2447" s="1">
        <v>0.0</v>
      </c>
      <c r="H2447" s="1">
        <v>0.0</v>
      </c>
      <c r="I2447" s="1">
        <v>0.0</v>
      </c>
      <c r="J2447" s="1">
        <v>0.0</v>
      </c>
      <c r="K2447" s="1">
        <v>0.01</v>
      </c>
      <c r="L2447" s="1">
        <v>8.68E7</v>
      </c>
      <c r="M2447" s="1" t="s">
        <v>7701</v>
      </c>
      <c r="N2447" s="18">
        <v>46004.0</v>
      </c>
      <c r="O2447" s="1" t="s">
        <v>4146</v>
      </c>
      <c r="P2447" s="1" t="s">
        <v>3334</v>
      </c>
      <c r="Q2447" s="1" t="s">
        <v>3408</v>
      </c>
    </row>
    <row r="2448">
      <c r="A2448" s="1" t="s">
        <v>7702</v>
      </c>
      <c r="B2448" s="1">
        <v>79.0</v>
      </c>
      <c r="C2448" s="1">
        <v>140.0</v>
      </c>
      <c r="D2448" s="2" t="s">
        <v>1469</v>
      </c>
      <c r="E2448" s="1">
        <v>79.0</v>
      </c>
      <c r="F2448" s="1">
        <v>8.0</v>
      </c>
      <c r="G2448" s="1">
        <v>4.63</v>
      </c>
      <c r="H2448" s="1">
        <v>0.0</v>
      </c>
      <c r="I2448" s="1">
        <v>0.0</v>
      </c>
      <c r="J2448" s="1">
        <v>0.0</v>
      </c>
      <c r="K2448" s="1">
        <v>0.31</v>
      </c>
      <c r="L2448" s="1">
        <v>133000.0</v>
      </c>
      <c r="M2448" s="1" t="s">
        <v>7703</v>
      </c>
      <c r="N2448" s="18">
        <v>46004.0</v>
      </c>
      <c r="O2448" s="1" t="s">
        <v>3407</v>
      </c>
      <c r="P2448" s="1" t="s">
        <v>3230</v>
      </c>
      <c r="Q2448" s="1" t="s">
        <v>3408</v>
      </c>
    </row>
    <row r="2449">
      <c r="A2449" s="1" t="s">
        <v>7704</v>
      </c>
      <c r="B2449" s="1">
        <v>79.0</v>
      </c>
      <c r="C2449" s="1">
        <v>70.0</v>
      </c>
      <c r="D2449" s="2" t="s">
        <v>608</v>
      </c>
      <c r="E2449" s="1">
        <v>79.0</v>
      </c>
      <c r="F2449" s="1">
        <v>28.0</v>
      </c>
      <c r="G2449" s="1">
        <v>2.44</v>
      </c>
      <c r="H2449" s="1">
        <v>0.0</v>
      </c>
      <c r="I2449" s="1">
        <v>0.0</v>
      </c>
      <c r="J2449" s="1">
        <v>0.0</v>
      </c>
      <c r="K2449" s="1">
        <v>0.25</v>
      </c>
      <c r="L2449" s="1">
        <v>1.08E8</v>
      </c>
      <c r="M2449" s="1" t="s">
        <v>7705</v>
      </c>
      <c r="N2449" s="18">
        <v>46004.0</v>
      </c>
      <c r="O2449" s="1" t="s">
        <v>7706</v>
      </c>
      <c r="P2449" s="1" t="s">
        <v>3294</v>
      </c>
      <c r="Q2449" s="1" t="s">
        <v>3408</v>
      </c>
    </row>
    <row r="2450">
      <c r="A2450" s="1" t="s">
        <v>7707</v>
      </c>
      <c r="B2450" s="1">
        <v>79.0</v>
      </c>
      <c r="C2450" s="1">
        <v>70.0</v>
      </c>
      <c r="D2450" s="2" t="s">
        <v>581</v>
      </c>
      <c r="E2450" s="1">
        <v>79.0</v>
      </c>
      <c r="F2450" s="1">
        <v>0.0</v>
      </c>
      <c r="G2450" s="1">
        <v>37.33</v>
      </c>
      <c r="H2450" s="1">
        <v>0.0</v>
      </c>
      <c r="I2450" s="1">
        <v>0.0</v>
      </c>
      <c r="J2450" s="1">
        <v>0.0</v>
      </c>
      <c r="K2450" s="1">
        <v>0.57</v>
      </c>
      <c r="L2450" s="1">
        <v>769000.0</v>
      </c>
      <c r="M2450" s="1" t="s">
        <v>7708</v>
      </c>
      <c r="N2450" s="18">
        <v>46003.0</v>
      </c>
      <c r="O2450" s="1" t="s">
        <v>7709</v>
      </c>
      <c r="P2450" s="1" t="s">
        <v>3257</v>
      </c>
      <c r="Q2450" s="1" t="s">
        <v>3408</v>
      </c>
    </row>
    <row r="2451">
      <c r="A2451" s="1" t="s">
        <v>7710</v>
      </c>
      <c r="B2451" s="1">
        <v>79.0</v>
      </c>
      <c r="C2451" s="1">
        <v>480.0</v>
      </c>
      <c r="D2451" s="2" t="s">
        <v>714</v>
      </c>
      <c r="E2451" s="1">
        <v>79.0</v>
      </c>
      <c r="F2451" s="1">
        <v>4.0</v>
      </c>
      <c r="G2451" s="1">
        <v>11.33</v>
      </c>
      <c r="H2451" s="1">
        <v>0.0</v>
      </c>
      <c r="I2451" s="1">
        <v>0.0</v>
      </c>
      <c r="J2451" s="1">
        <v>0.0</v>
      </c>
      <c r="K2451" s="1">
        <v>0.03</v>
      </c>
      <c r="L2451" s="1">
        <v>1900000.0</v>
      </c>
      <c r="M2451" s="1" t="s">
        <v>7711</v>
      </c>
      <c r="N2451" s="18">
        <v>46001.0</v>
      </c>
      <c r="O2451" s="1" t="s">
        <v>7712</v>
      </c>
      <c r="P2451" s="1" t="s">
        <v>3230</v>
      </c>
      <c r="Q2451" s="1" t="s">
        <v>3408</v>
      </c>
    </row>
    <row r="2452">
      <c r="A2452" s="1" t="s">
        <v>7219</v>
      </c>
      <c r="B2452" s="1">
        <v>79.0</v>
      </c>
      <c r="C2452" s="1">
        <v>40.0</v>
      </c>
      <c r="D2452" s="2" t="s">
        <v>581</v>
      </c>
      <c r="E2452" s="1">
        <v>79.0</v>
      </c>
      <c r="F2452" s="1">
        <v>22.0</v>
      </c>
      <c r="G2452" s="1">
        <v>9.01</v>
      </c>
      <c r="H2452" s="1">
        <v>0.0</v>
      </c>
      <c r="I2452" s="1">
        <v>0.0</v>
      </c>
      <c r="J2452" s="1">
        <v>0.0</v>
      </c>
      <c r="K2452" s="1">
        <v>0.22</v>
      </c>
      <c r="L2452" s="1">
        <v>1.46E7</v>
      </c>
      <c r="M2452" s="1" t="s">
        <v>7220</v>
      </c>
      <c r="N2452" s="18">
        <v>45999.0</v>
      </c>
      <c r="O2452" s="1" t="s">
        <v>3293</v>
      </c>
      <c r="P2452" s="1" t="s">
        <v>3294</v>
      </c>
      <c r="Q2452" s="1" t="s">
        <v>3408</v>
      </c>
    </row>
    <row r="2453">
      <c r="A2453" s="1" t="s">
        <v>7713</v>
      </c>
      <c r="B2453" s="1">
        <v>79.0</v>
      </c>
      <c r="C2453" s="1">
        <v>50.0</v>
      </c>
      <c r="D2453" s="2" t="s">
        <v>463</v>
      </c>
      <c r="E2453" s="1">
        <v>79.0</v>
      </c>
      <c r="F2453" s="1">
        <v>1.0</v>
      </c>
      <c r="G2453" s="1">
        <v>0.0</v>
      </c>
      <c r="H2453" s="1">
        <v>0.0</v>
      </c>
      <c r="I2453" s="1">
        <v>0.0</v>
      </c>
      <c r="J2453" s="1">
        <v>0.0</v>
      </c>
      <c r="K2453" s="1">
        <v>0.0</v>
      </c>
      <c r="L2453" s="1">
        <v>1160000.0</v>
      </c>
      <c r="M2453" s="1" t="s">
        <v>7714</v>
      </c>
      <c r="N2453" s="18">
        <v>45998.0</v>
      </c>
      <c r="O2453" s="1" t="s">
        <v>6513</v>
      </c>
      <c r="P2453" s="1" t="s">
        <v>3257</v>
      </c>
      <c r="Q2453" s="1" t="s">
        <v>3408</v>
      </c>
    </row>
    <row r="2454">
      <c r="A2454" s="1" t="s">
        <v>7715</v>
      </c>
      <c r="B2454" s="1">
        <v>79.0</v>
      </c>
      <c r="C2454" s="1">
        <v>70.0</v>
      </c>
      <c r="D2454" s="2" t="s">
        <v>439</v>
      </c>
      <c r="E2454" s="1">
        <v>79.0</v>
      </c>
      <c r="F2454" s="1">
        <v>21.0</v>
      </c>
      <c r="G2454" s="1">
        <v>0.0</v>
      </c>
      <c r="H2454" s="1">
        <v>0.0</v>
      </c>
      <c r="I2454" s="1">
        <v>0.0</v>
      </c>
      <c r="J2454" s="1">
        <v>0.0</v>
      </c>
      <c r="K2454" s="1">
        <v>0.01</v>
      </c>
      <c r="L2454" s="1">
        <v>345000.0</v>
      </c>
      <c r="M2454" s="1" t="s">
        <v>7716</v>
      </c>
      <c r="N2454" s="18">
        <v>45997.0</v>
      </c>
      <c r="O2454" s="1" t="s">
        <v>4709</v>
      </c>
      <c r="P2454" s="1" t="s">
        <v>3294</v>
      </c>
      <c r="Q2454" s="1" t="s">
        <v>3408</v>
      </c>
    </row>
    <row r="2455">
      <c r="A2455" s="1" t="s">
        <v>7717</v>
      </c>
      <c r="B2455" s="1">
        <v>79.0</v>
      </c>
      <c r="C2455" s="1">
        <v>90.0</v>
      </c>
      <c r="D2455" s="2" t="s">
        <v>439</v>
      </c>
      <c r="E2455" s="1">
        <v>79.0</v>
      </c>
      <c r="F2455" s="1">
        <v>12.0</v>
      </c>
      <c r="G2455" s="1">
        <v>0.0</v>
      </c>
      <c r="H2455" s="1">
        <v>0.0</v>
      </c>
      <c r="I2455" s="1">
        <v>0.0</v>
      </c>
      <c r="J2455" s="1">
        <v>0.0</v>
      </c>
      <c r="K2455" s="1">
        <v>0.0</v>
      </c>
      <c r="L2455" s="1">
        <v>7300.0</v>
      </c>
      <c r="M2455" s="1" t="s">
        <v>7718</v>
      </c>
      <c r="N2455" s="18">
        <v>45993.0</v>
      </c>
      <c r="O2455" s="1" t="s">
        <v>3821</v>
      </c>
      <c r="P2455" s="1" t="s">
        <v>3230</v>
      </c>
      <c r="Q2455" s="1" t="s">
        <v>3408</v>
      </c>
    </row>
    <row r="2456">
      <c r="A2456" s="1" t="s">
        <v>7719</v>
      </c>
      <c r="B2456" s="1">
        <v>79.0</v>
      </c>
      <c r="C2456" s="1">
        <v>480.0</v>
      </c>
      <c r="D2456" s="2" t="s">
        <v>2941</v>
      </c>
      <c r="E2456" s="1">
        <v>79.0</v>
      </c>
      <c r="F2456" s="1">
        <v>56.0</v>
      </c>
      <c r="G2456" s="1">
        <v>0.0</v>
      </c>
      <c r="H2456" s="1">
        <v>0.0</v>
      </c>
      <c r="I2456" s="1">
        <v>0.0</v>
      </c>
      <c r="J2456" s="1">
        <v>0.0</v>
      </c>
      <c r="K2456" s="1">
        <v>0.04</v>
      </c>
      <c r="L2456" s="1">
        <v>2.1E8</v>
      </c>
      <c r="M2456" s="1" t="s">
        <v>7720</v>
      </c>
      <c r="N2456" s="18">
        <v>45992.0</v>
      </c>
      <c r="O2456" s="1" t="s">
        <v>7721</v>
      </c>
      <c r="P2456" s="1" t="s">
        <v>3301</v>
      </c>
      <c r="Q2456" s="1" t="s">
        <v>3408</v>
      </c>
    </row>
    <row r="2457">
      <c r="A2457" s="1" t="s">
        <v>4937</v>
      </c>
      <c r="B2457" s="1">
        <v>79.0</v>
      </c>
      <c r="C2457" s="1">
        <v>30.0</v>
      </c>
      <c r="D2457" s="2" t="s">
        <v>1713</v>
      </c>
      <c r="E2457" s="1">
        <v>79.0</v>
      </c>
      <c r="F2457" s="1">
        <v>8.0</v>
      </c>
      <c r="G2457" s="1">
        <v>77.1</v>
      </c>
      <c r="H2457" s="1">
        <v>0.0</v>
      </c>
      <c r="I2457" s="1">
        <v>0.0</v>
      </c>
      <c r="J2457" s="1">
        <v>0.0</v>
      </c>
      <c r="K2457" s="1">
        <v>0.02</v>
      </c>
      <c r="L2457" s="1">
        <v>87200.0</v>
      </c>
      <c r="M2457" s="1" t="s">
        <v>4938</v>
      </c>
      <c r="N2457" s="18">
        <v>45988.0</v>
      </c>
      <c r="O2457" s="1" t="s">
        <v>3482</v>
      </c>
      <c r="P2457" s="1" t="s">
        <v>3257</v>
      </c>
      <c r="Q2457" s="1" t="s">
        <v>3408</v>
      </c>
    </row>
    <row r="2458">
      <c r="A2458" s="1" t="s">
        <v>7722</v>
      </c>
      <c r="B2458" s="1">
        <v>80.0</v>
      </c>
      <c r="C2458" s="1">
        <v>210.0</v>
      </c>
      <c r="D2458" s="2" t="s">
        <v>1436</v>
      </c>
      <c r="E2458" s="1">
        <v>80.0</v>
      </c>
      <c r="F2458" s="1">
        <v>38.0</v>
      </c>
      <c r="G2458" s="1">
        <v>14.6</v>
      </c>
      <c r="H2458" s="1">
        <v>0.0</v>
      </c>
      <c r="I2458" s="1">
        <v>0.0</v>
      </c>
      <c r="J2458" s="1">
        <v>0.0</v>
      </c>
      <c r="K2458" s="1">
        <v>0.6</v>
      </c>
      <c r="L2458" s="1">
        <v>233000.0</v>
      </c>
      <c r="M2458" s="1" t="s">
        <v>7723</v>
      </c>
      <c r="N2458" s="18">
        <v>46041.0</v>
      </c>
      <c r="O2458" s="1" t="s">
        <v>3288</v>
      </c>
      <c r="P2458" s="1" t="s">
        <v>3257</v>
      </c>
      <c r="Q2458" s="1" t="s">
        <v>3408</v>
      </c>
    </row>
    <row r="2459">
      <c r="A2459" s="1" t="s">
        <v>7724</v>
      </c>
      <c r="B2459" s="1">
        <v>80.0</v>
      </c>
      <c r="C2459" s="1">
        <v>140.0</v>
      </c>
      <c r="D2459" s="2" t="s">
        <v>1052</v>
      </c>
      <c r="E2459" s="1">
        <v>80.0</v>
      </c>
      <c r="F2459" s="1">
        <v>37.0</v>
      </c>
      <c r="G2459" s="1">
        <v>0.0</v>
      </c>
      <c r="H2459" s="1">
        <v>0.0</v>
      </c>
      <c r="I2459" s="1">
        <v>0.0</v>
      </c>
      <c r="J2459" s="1">
        <v>0.0</v>
      </c>
      <c r="K2459" s="1">
        <v>0.0</v>
      </c>
      <c r="L2459" s="1">
        <v>6.11E8</v>
      </c>
      <c r="M2459" s="1" t="s">
        <v>7725</v>
      </c>
      <c r="N2459" s="18">
        <v>46039.0</v>
      </c>
      <c r="O2459" s="1" t="s">
        <v>4487</v>
      </c>
      <c r="P2459" s="1" t="s">
        <v>3230</v>
      </c>
      <c r="Q2459" s="1" t="s">
        <v>3408</v>
      </c>
    </row>
    <row r="2460">
      <c r="A2460" s="1" t="s">
        <v>7726</v>
      </c>
      <c r="B2460" s="1">
        <v>80.0</v>
      </c>
      <c r="C2460" s="1">
        <v>30.0</v>
      </c>
      <c r="D2460" s="2" t="s">
        <v>654</v>
      </c>
      <c r="E2460" s="1">
        <v>80.0</v>
      </c>
      <c r="F2460" s="1">
        <v>9.0</v>
      </c>
      <c r="G2460" s="1">
        <v>0.97</v>
      </c>
      <c r="H2460" s="1">
        <v>0.0</v>
      </c>
      <c r="I2460" s="1">
        <v>0.0</v>
      </c>
      <c r="J2460" s="1">
        <v>0.0</v>
      </c>
      <c r="K2460" s="1">
        <v>0.29</v>
      </c>
      <c r="L2460" s="1">
        <v>826000.0</v>
      </c>
      <c r="M2460" s="1" t="s">
        <v>7727</v>
      </c>
      <c r="N2460" s="18">
        <v>46037.0</v>
      </c>
      <c r="O2460" s="1" t="s">
        <v>3264</v>
      </c>
      <c r="P2460" s="1" t="s">
        <v>3230</v>
      </c>
      <c r="Q2460" s="1" t="s">
        <v>3408</v>
      </c>
    </row>
    <row r="2461">
      <c r="A2461" s="1" t="s">
        <v>7728</v>
      </c>
      <c r="B2461" s="1">
        <v>80.0</v>
      </c>
      <c r="C2461" s="1">
        <v>50.0</v>
      </c>
      <c r="D2461" s="2" t="s">
        <v>581</v>
      </c>
      <c r="E2461" s="1">
        <v>80.0</v>
      </c>
      <c r="F2461" s="1">
        <v>36.0</v>
      </c>
      <c r="G2461" s="1">
        <v>15.02</v>
      </c>
      <c r="H2461" s="1">
        <v>0.0</v>
      </c>
      <c r="I2461" s="1">
        <v>0.0</v>
      </c>
      <c r="J2461" s="1">
        <v>0.0</v>
      </c>
      <c r="K2461" s="1">
        <v>0.72</v>
      </c>
      <c r="L2461" s="1">
        <v>207000.0</v>
      </c>
      <c r="M2461" s="1" t="s">
        <v>7729</v>
      </c>
      <c r="N2461" s="18">
        <v>46037.0</v>
      </c>
      <c r="O2461" s="1" t="s">
        <v>6681</v>
      </c>
      <c r="P2461" s="1" t="s">
        <v>3257</v>
      </c>
      <c r="Q2461" s="1" t="s">
        <v>3408</v>
      </c>
    </row>
    <row r="2462">
      <c r="A2462" s="1" t="s">
        <v>7730</v>
      </c>
      <c r="B2462" s="1">
        <v>80.0</v>
      </c>
      <c r="C2462" s="1">
        <v>210.0</v>
      </c>
      <c r="D2462" s="2" t="s">
        <v>1286</v>
      </c>
      <c r="E2462" s="1">
        <v>80.0</v>
      </c>
      <c r="F2462" s="1">
        <v>34.0</v>
      </c>
      <c r="G2462" s="1">
        <v>0.0</v>
      </c>
      <c r="H2462" s="1">
        <v>0.0</v>
      </c>
      <c r="I2462" s="1">
        <v>0.0</v>
      </c>
      <c r="J2462" s="1">
        <v>0.0</v>
      </c>
      <c r="K2462" s="1">
        <v>0.0</v>
      </c>
      <c r="L2462" s="1">
        <v>158000.0</v>
      </c>
      <c r="M2462" s="1" t="s">
        <v>7731</v>
      </c>
      <c r="N2462" s="18">
        <v>46036.0</v>
      </c>
      <c r="O2462" s="1" t="s">
        <v>3358</v>
      </c>
      <c r="P2462" s="1" t="s">
        <v>3301</v>
      </c>
      <c r="Q2462" s="1" t="s">
        <v>3408</v>
      </c>
    </row>
    <row r="2463">
      <c r="A2463" s="1" t="s">
        <v>7732</v>
      </c>
      <c r="B2463" s="1">
        <v>80.0</v>
      </c>
      <c r="C2463" s="1">
        <v>2400.0</v>
      </c>
      <c r="D2463" s="2" t="s">
        <v>592</v>
      </c>
      <c r="E2463" s="1">
        <v>80.0</v>
      </c>
      <c r="F2463" s="1">
        <v>13.0</v>
      </c>
      <c r="G2463" s="1">
        <v>5.31</v>
      </c>
      <c r="H2463" s="1">
        <v>0.0</v>
      </c>
      <c r="I2463" s="1">
        <v>0.0</v>
      </c>
      <c r="J2463" s="1">
        <v>0.0</v>
      </c>
      <c r="K2463" s="1">
        <v>0.24</v>
      </c>
      <c r="L2463" s="1">
        <v>1.72E7</v>
      </c>
      <c r="M2463" s="1" t="s">
        <v>7733</v>
      </c>
      <c r="N2463" s="18">
        <v>46035.0</v>
      </c>
      <c r="O2463" s="1" t="s">
        <v>3720</v>
      </c>
      <c r="P2463" s="1" t="s">
        <v>3257</v>
      </c>
      <c r="Q2463" s="1" t="s">
        <v>3408</v>
      </c>
    </row>
    <row r="2464">
      <c r="A2464" s="1" t="s">
        <v>7734</v>
      </c>
      <c r="B2464" s="1">
        <v>80.0</v>
      </c>
      <c r="C2464" s="1">
        <v>30.0</v>
      </c>
      <c r="D2464" s="2" t="s">
        <v>1055</v>
      </c>
      <c r="E2464" s="1">
        <v>80.0</v>
      </c>
      <c r="F2464" s="1">
        <v>35.0</v>
      </c>
      <c r="G2464" s="1">
        <v>19.89</v>
      </c>
      <c r="H2464" s="1">
        <v>0.0</v>
      </c>
      <c r="I2464" s="1">
        <v>0.0</v>
      </c>
      <c r="J2464" s="1">
        <v>0.0</v>
      </c>
      <c r="K2464" s="1">
        <v>0.52</v>
      </c>
      <c r="L2464" s="1">
        <v>980000.0</v>
      </c>
      <c r="M2464" s="1" t="s">
        <v>7735</v>
      </c>
      <c r="N2464" s="18">
        <v>46026.0</v>
      </c>
      <c r="O2464" s="1" t="s">
        <v>4836</v>
      </c>
      <c r="P2464" s="1" t="s">
        <v>3257</v>
      </c>
      <c r="Q2464" s="1" t="s">
        <v>3408</v>
      </c>
    </row>
    <row r="2465">
      <c r="A2465" s="1" t="s">
        <v>7565</v>
      </c>
      <c r="B2465" s="1">
        <v>80.0</v>
      </c>
      <c r="C2465" s="1">
        <v>90.0</v>
      </c>
      <c r="D2465" s="2" t="s">
        <v>2364</v>
      </c>
      <c r="E2465" s="1">
        <v>80.0</v>
      </c>
      <c r="F2465" s="1">
        <v>44.0</v>
      </c>
      <c r="G2465" s="1">
        <v>0.0</v>
      </c>
      <c r="H2465" s="1">
        <v>0.0</v>
      </c>
      <c r="I2465" s="1">
        <v>0.0</v>
      </c>
      <c r="J2465" s="1">
        <v>0.0</v>
      </c>
      <c r="K2465" s="1">
        <v>0.01</v>
      </c>
      <c r="L2465" s="1">
        <v>4220000.0</v>
      </c>
      <c r="M2465" s="1" t="s">
        <v>7566</v>
      </c>
      <c r="N2465" s="18">
        <v>46026.0</v>
      </c>
      <c r="O2465" s="1" t="s">
        <v>4798</v>
      </c>
      <c r="P2465" s="1" t="s">
        <v>3301</v>
      </c>
      <c r="Q2465" s="1" t="s">
        <v>3408</v>
      </c>
    </row>
    <row r="2466">
      <c r="A2466" s="1" t="s">
        <v>7736</v>
      </c>
      <c r="B2466" s="1">
        <v>80.0</v>
      </c>
      <c r="C2466" s="1">
        <v>110.0</v>
      </c>
      <c r="D2466" s="2" t="s">
        <v>2273</v>
      </c>
      <c r="E2466" s="1">
        <v>80.0</v>
      </c>
      <c r="F2466" s="1">
        <v>14.0</v>
      </c>
      <c r="G2466" s="1">
        <v>0.0</v>
      </c>
      <c r="H2466" s="1">
        <v>0.0</v>
      </c>
      <c r="I2466" s="1">
        <v>0.0</v>
      </c>
      <c r="J2466" s="1">
        <v>0.0</v>
      </c>
      <c r="K2466" s="1">
        <v>0.0</v>
      </c>
      <c r="L2466" s="1">
        <v>1.67E8</v>
      </c>
      <c r="M2466" s="1" t="s">
        <v>7737</v>
      </c>
      <c r="N2466" s="18">
        <v>46026.0</v>
      </c>
      <c r="O2466" s="1" t="s">
        <v>3264</v>
      </c>
      <c r="P2466" s="1" t="s">
        <v>3230</v>
      </c>
      <c r="Q2466" s="1" t="s">
        <v>3408</v>
      </c>
    </row>
    <row r="2467">
      <c r="A2467" s="1" t="s">
        <v>7738</v>
      </c>
      <c r="B2467" s="1">
        <v>80.0</v>
      </c>
      <c r="C2467" s="1">
        <v>90.0</v>
      </c>
      <c r="D2467" s="2" t="s">
        <v>439</v>
      </c>
      <c r="E2467" s="1">
        <v>80.0</v>
      </c>
      <c r="F2467" s="1">
        <v>15.0</v>
      </c>
      <c r="G2467" s="1">
        <v>4.27</v>
      </c>
      <c r="H2467" s="1">
        <v>0.0</v>
      </c>
      <c r="I2467" s="1">
        <v>0.0</v>
      </c>
      <c r="J2467" s="1">
        <v>0.0</v>
      </c>
      <c r="K2467" s="1">
        <v>0.13</v>
      </c>
      <c r="L2467" s="1">
        <v>3.79E7</v>
      </c>
      <c r="M2467" s="1" t="s">
        <v>7739</v>
      </c>
      <c r="N2467" s="18">
        <v>46025.0</v>
      </c>
      <c r="O2467" s="1" t="s">
        <v>3435</v>
      </c>
      <c r="P2467" s="1" t="s">
        <v>3257</v>
      </c>
      <c r="Q2467" s="1" t="s">
        <v>3408</v>
      </c>
    </row>
    <row r="2468">
      <c r="A2468" s="1" t="s">
        <v>6769</v>
      </c>
      <c r="B2468" s="1">
        <v>80.0</v>
      </c>
      <c r="C2468" s="1">
        <v>90.0</v>
      </c>
      <c r="D2468" s="2" t="s">
        <v>2968</v>
      </c>
      <c r="E2468" s="1">
        <v>80.0</v>
      </c>
      <c r="G2468" s="1">
        <v>0.0</v>
      </c>
      <c r="H2468" s="1">
        <v>0.0</v>
      </c>
      <c r="I2468" s="1">
        <v>0.0</v>
      </c>
      <c r="J2468" s="1">
        <v>0.0</v>
      </c>
      <c r="K2468" s="1">
        <v>0.05</v>
      </c>
      <c r="L2468" s="1">
        <v>632000.0</v>
      </c>
      <c r="M2468" s="1" t="s">
        <v>6770</v>
      </c>
      <c r="N2468" s="18">
        <v>46022.0</v>
      </c>
      <c r="O2468" s="1" t="s">
        <v>4839</v>
      </c>
      <c r="P2468" s="1" t="s">
        <v>3257</v>
      </c>
      <c r="Q2468" s="1" t="s">
        <v>3408</v>
      </c>
    </row>
    <row r="2469">
      <c r="A2469" s="1" t="s">
        <v>7740</v>
      </c>
      <c r="B2469" s="1">
        <v>80.0</v>
      </c>
      <c r="C2469" s="1">
        <v>90.0</v>
      </c>
      <c r="D2469" s="2" t="s">
        <v>1912</v>
      </c>
      <c r="E2469" s="1">
        <v>80.0</v>
      </c>
      <c r="F2469" s="1">
        <v>4.0</v>
      </c>
      <c r="G2469" s="1">
        <v>0.0</v>
      </c>
      <c r="H2469" s="1">
        <v>0.0</v>
      </c>
      <c r="I2469" s="1">
        <v>0.0</v>
      </c>
      <c r="J2469" s="1">
        <v>0.0</v>
      </c>
      <c r="K2469" s="1">
        <v>0.0</v>
      </c>
      <c r="L2469" s="1">
        <v>1.46E7</v>
      </c>
      <c r="M2469" s="1" t="s">
        <v>7741</v>
      </c>
      <c r="N2469" s="18">
        <v>46022.0</v>
      </c>
      <c r="O2469" s="1" t="s">
        <v>5650</v>
      </c>
      <c r="P2469" s="1" t="s">
        <v>3230</v>
      </c>
      <c r="Q2469" s="1" t="s">
        <v>3408</v>
      </c>
    </row>
    <row r="2470">
      <c r="A2470" s="1" t="s">
        <v>7742</v>
      </c>
      <c r="B2470" s="1">
        <v>80.0</v>
      </c>
      <c r="C2470" s="1">
        <v>320.0</v>
      </c>
      <c r="D2470" s="2" t="s">
        <v>1452</v>
      </c>
      <c r="E2470" s="1">
        <v>80.0</v>
      </c>
      <c r="F2470" s="1">
        <v>0.0</v>
      </c>
      <c r="G2470" s="1">
        <v>0.0</v>
      </c>
      <c r="H2470" s="1">
        <v>0.0</v>
      </c>
      <c r="I2470" s="1">
        <v>0.0</v>
      </c>
      <c r="J2470" s="1">
        <v>0.0</v>
      </c>
      <c r="K2470" s="1">
        <v>0.0</v>
      </c>
      <c r="L2470" s="1">
        <v>5.43E8</v>
      </c>
      <c r="M2470" s="1" t="s">
        <v>7743</v>
      </c>
      <c r="N2470" s="18">
        <v>46021.0</v>
      </c>
      <c r="O2470" s="1" t="s">
        <v>3479</v>
      </c>
      <c r="P2470" s="1" t="s">
        <v>3230</v>
      </c>
      <c r="Q2470" s="1" t="s">
        <v>3408</v>
      </c>
    </row>
    <row r="2471">
      <c r="A2471" s="1" t="s">
        <v>7744</v>
      </c>
      <c r="B2471" s="1">
        <v>80.0</v>
      </c>
      <c r="C2471" s="1">
        <v>50.0</v>
      </c>
      <c r="D2471" s="2" t="s">
        <v>1286</v>
      </c>
      <c r="E2471" s="1">
        <v>80.0</v>
      </c>
      <c r="F2471" s="1">
        <v>3.0</v>
      </c>
      <c r="G2471" s="1">
        <v>0.0</v>
      </c>
      <c r="H2471" s="1">
        <v>0.0</v>
      </c>
      <c r="I2471" s="1">
        <v>0.0</v>
      </c>
      <c r="J2471" s="1">
        <v>0.0</v>
      </c>
      <c r="K2471" s="1">
        <v>0.0</v>
      </c>
      <c r="L2471" s="1">
        <v>3280000.0</v>
      </c>
      <c r="M2471" s="1" t="s">
        <v>7745</v>
      </c>
      <c r="N2471" s="18">
        <v>46021.0</v>
      </c>
      <c r="O2471" s="1" t="s">
        <v>3407</v>
      </c>
      <c r="P2471" s="1" t="s">
        <v>3334</v>
      </c>
      <c r="Q2471" s="1" t="s">
        <v>3408</v>
      </c>
    </row>
    <row r="2472">
      <c r="A2472" s="1" t="s">
        <v>6975</v>
      </c>
      <c r="B2472" s="1">
        <v>80.0</v>
      </c>
      <c r="C2472" s="1">
        <v>50.0</v>
      </c>
      <c r="D2472" s="2" t="s">
        <v>694</v>
      </c>
      <c r="E2472" s="1">
        <v>80.0</v>
      </c>
      <c r="F2472" s="1">
        <v>0.0</v>
      </c>
      <c r="G2472" s="1">
        <v>2.65</v>
      </c>
      <c r="H2472" s="1">
        <v>0.0</v>
      </c>
      <c r="I2472" s="1">
        <v>0.0</v>
      </c>
      <c r="J2472" s="1">
        <v>0.0</v>
      </c>
      <c r="K2472" s="1">
        <v>0.35</v>
      </c>
      <c r="L2472" s="1">
        <v>78600.0</v>
      </c>
      <c r="M2472" s="1" t="s">
        <v>6976</v>
      </c>
      <c r="N2472" s="18">
        <v>46021.0</v>
      </c>
      <c r="O2472" s="1" t="s">
        <v>3264</v>
      </c>
      <c r="P2472" s="1" t="s">
        <v>3230</v>
      </c>
      <c r="Q2472" s="1" t="s">
        <v>3408</v>
      </c>
    </row>
    <row r="2473">
      <c r="A2473" s="1" t="s">
        <v>7746</v>
      </c>
      <c r="B2473" s="1">
        <v>80.0</v>
      </c>
      <c r="C2473" s="1">
        <v>50.0</v>
      </c>
      <c r="D2473" s="2" t="s">
        <v>911</v>
      </c>
      <c r="E2473" s="1">
        <v>80.0</v>
      </c>
      <c r="F2473" s="1">
        <v>0.0</v>
      </c>
      <c r="G2473" s="1">
        <v>7.29</v>
      </c>
      <c r="H2473" s="1">
        <v>0.0</v>
      </c>
      <c r="I2473" s="1">
        <v>0.0</v>
      </c>
      <c r="J2473" s="1">
        <v>0.0</v>
      </c>
      <c r="K2473" s="1">
        <v>0.12</v>
      </c>
      <c r="L2473" s="1">
        <v>8740000.0</v>
      </c>
      <c r="M2473" s="1" t="s">
        <v>7747</v>
      </c>
      <c r="N2473" s="18">
        <v>46021.0</v>
      </c>
      <c r="O2473" s="1" t="s">
        <v>3840</v>
      </c>
      <c r="P2473" s="1" t="s">
        <v>3230</v>
      </c>
      <c r="Q2473" s="1" t="s">
        <v>3408</v>
      </c>
    </row>
    <row r="2474">
      <c r="A2474" s="1" t="s">
        <v>3836</v>
      </c>
      <c r="B2474" s="1">
        <v>80.0</v>
      </c>
      <c r="C2474" s="1">
        <v>90.0</v>
      </c>
      <c r="D2474" s="2" t="s">
        <v>1063</v>
      </c>
      <c r="E2474" s="1">
        <v>80.0</v>
      </c>
      <c r="F2474" s="1">
        <v>23.0</v>
      </c>
      <c r="G2474" s="1">
        <v>0.0</v>
      </c>
      <c r="H2474" s="1">
        <v>0.0</v>
      </c>
      <c r="I2474" s="1">
        <v>0.0</v>
      </c>
      <c r="J2474" s="1">
        <v>0.0</v>
      </c>
      <c r="K2474" s="1">
        <v>0.11</v>
      </c>
      <c r="L2474" s="1">
        <v>7.51E7</v>
      </c>
      <c r="M2474" s="1" t="s">
        <v>3837</v>
      </c>
      <c r="N2474" s="18">
        <v>46018.0</v>
      </c>
      <c r="O2474" s="1" t="s">
        <v>3673</v>
      </c>
      <c r="P2474" s="1" t="s">
        <v>3257</v>
      </c>
      <c r="Q2474" s="1" t="s">
        <v>3408</v>
      </c>
    </row>
    <row r="2475">
      <c r="A2475" s="1" t="s">
        <v>7748</v>
      </c>
      <c r="B2475" s="1">
        <v>80.0</v>
      </c>
      <c r="C2475" s="1">
        <v>70.0</v>
      </c>
      <c r="D2475" s="2" t="s">
        <v>581</v>
      </c>
      <c r="E2475" s="1">
        <v>80.0</v>
      </c>
      <c r="F2475" s="1">
        <v>8.0</v>
      </c>
      <c r="G2475" s="1">
        <v>5.39</v>
      </c>
      <c r="H2475" s="1">
        <v>0.0</v>
      </c>
      <c r="I2475" s="1">
        <v>0.0</v>
      </c>
      <c r="J2475" s="1">
        <v>0.0</v>
      </c>
      <c r="K2475" s="1">
        <v>0.47</v>
      </c>
      <c r="L2475" s="1">
        <v>1100000.0</v>
      </c>
      <c r="M2475" s="1" t="s">
        <v>7749</v>
      </c>
      <c r="N2475" s="18">
        <v>46017.0</v>
      </c>
      <c r="O2475" s="1" t="s">
        <v>3854</v>
      </c>
      <c r="P2475" s="1" t="s">
        <v>3257</v>
      </c>
      <c r="Q2475" s="1" t="s">
        <v>3408</v>
      </c>
    </row>
    <row r="2476">
      <c r="A2476" s="1" t="s">
        <v>7750</v>
      </c>
      <c r="B2476" s="1">
        <v>80.0</v>
      </c>
      <c r="C2476" s="1">
        <v>70.0</v>
      </c>
      <c r="D2476" s="2" t="s">
        <v>581</v>
      </c>
      <c r="E2476" s="1">
        <v>80.0</v>
      </c>
      <c r="F2476" s="1">
        <v>31.0</v>
      </c>
      <c r="G2476" s="1">
        <v>4.93</v>
      </c>
      <c r="H2476" s="1">
        <v>0.0</v>
      </c>
      <c r="I2476" s="1">
        <v>0.0</v>
      </c>
      <c r="J2476" s="1">
        <v>0.0</v>
      </c>
      <c r="K2476" s="1">
        <v>0.86</v>
      </c>
      <c r="L2476" s="1">
        <v>7130000.0</v>
      </c>
      <c r="M2476" s="1" t="s">
        <v>7751</v>
      </c>
      <c r="N2476" s="18">
        <v>46017.0</v>
      </c>
      <c r="O2476" s="1" t="s">
        <v>5815</v>
      </c>
      <c r="P2476" s="1" t="s">
        <v>3257</v>
      </c>
      <c r="Q2476" s="1" t="s">
        <v>3408</v>
      </c>
    </row>
    <row r="2477">
      <c r="A2477" s="1" t="s">
        <v>7752</v>
      </c>
      <c r="B2477" s="1">
        <v>80.0</v>
      </c>
      <c r="C2477" s="1">
        <v>880.0</v>
      </c>
      <c r="D2477" s="2" t="s">
        <v>638</v>
      </c>
      <c r="E2477" s="1">
        <v>80.0</v>
      </c>
      <c r="F2477" s="1">
        <v>37.0</v>
      </c>
      <c r="G2477" s="1">
        <v>0.0</v>
      </c>
      <c r="H2477" s="1">
        <v>0.0</v>
      </c>
      <c r="I2477" s="1">
        <v>0.0</v>
      </c>
      <c r="J2477" s="1">
        <v>0.0</v>
      </c>
      <c r="K2477" s="1">
        <v>0.0</v>
      </c>
      <c r="L2477" s="1">
        <v>143000.0</v>
      </c>
      <c r="M2477" s="1" t="s">
        <v>7753</v>
      </c>
      <c r="N2477" s="18">
        <v>46016.0</v>
      </c>
      <c r="O2477" s="1" t="s">
        <v>5125</v>
      </c>
      <c r="P2477" s="1" t="s">
        <v>3294</v>
      </c>
      <c r="Q2477" s="1" t="s">
        <v>3408</v>
      </c>
    </row>
    <row r="2478">
      <c r="A2478" s="1" t="s">
        <v>7754</v>
      </c>
      <c r="B2478" s="1">
        <v>80.0</v>
      </c>
      <c r="C2478" s="1">
        <v>40.0</v>
      </c>
      <c r="D2478" s="2" t="s">
        <v>638</v>
      </c>
      <c r="E2478" s="1">
        <v>80.0</v>
      </c>
      <c r="F2478" s="1">
        <v>18.0</v>
      </c>
      <c r="G2478" s="1">
        <v>0.0</v>
      </c>
      <c r="H2478" s="1">
        <v>0.0</v>
      </c>
      <c r="I2478" s="1">
        <v>0.0</v>
      </c>
      <c r="J2478" s="1">
        <v>0.0</v>
      </c>
      <c r="K2478" s="1">
        <v>0.0</v>
      </c>
      <c r="L2478" s="1">
        <v>2150000.0</v>
      </c>
      <c r="M2478" s="1" t="s">
        <v>7755</v>
      </c>
      <c r="N2478" s="18">
        <v>46015.0</v>
      </c>
      <c r="O2478" s="1" t="s">
        <v>3407</v>
      </c>
      <c r="P2478" s="1" t="s">
        <v>3230</v>
      </c>
      <c r="Q2478" s="1" t="s">
        <v>3408</v>
      </c>
    </row>
    <row r="2479">
      <c r="A2479" s="1" t="s">
        <v>7756</v>
      </c>
      <c r="B2479" s="1">
        <v>80.0</v>
      </c>
      <c r="C2479" s="1">
        <v>50.0</v>
      </c>
      <c r="D2479" s="2" t="s">
        <v>681</v>
      </c>
      <c r="E2479" s="1">
        <v>80.0</v>
      </c>
      <c r="F2479" s="1">
        <v>0.0</v>
      </c>
      <c r="G2479" s="1">
        <v>0.0</v>
      </c>
      <c r="H2479" s="1">
        <v>0.0</v>
      </c>
      <c r="I2479" s="1">
        <v>0.0</v>
      </c>
      <c r="J2479" s="1">
        <v>0.0</v>
      </c>
      <c r="K2479" s="1">
        <v>0.09</v>
      </c>
      <c r="L2479" s="1">
        <v>1.1E7</v>
      </c>
      <c r="M2479" s="1" t="s">
        <v>7757</v>
      </c>
      <c r="N2479" s="18">
        <v>46014.0</v>
      </c>
      <c r="O2479" s="1" t="s">
        <v>4481</v>
      </c>
      <c r="P2479" s="1" t="s">
        <v>3230</v>
      </c>
      <c r="Q2479" s="1" t="s">
        <v>3408</v>
      </c>
    </row>
    <row r="2480">
      <c r="A2480" s="1" t="s">
        <v>7406</v>
      </c>
      <c r="B2480" s="1">
        <v>80.0</v>
      </c>
      <c r="C2480" s="1">
        <v>480.0</v>
      </c>
      <c r="D2480" s="2" t="s">
        <v>694</v>
      </c>
      <c r="E2480" s="1">
        <v>80.0</v>
      </c>
      <c r="F2480" s="1">
        <v>13.0</v>
      </c>
      <c r="G2480" s="1">
        <v>1.58</v>
      </c>
      <c r="H2480" s="1">
        <v>0.0</v>
      </c>
      <c r="I2480" s="1">
        <v>0.0</v>
      </c>
      <c r="J2480" s="1">
        <v>0.0</v>
      </c>
      <c r="K2480" s="1">
        <v>0.02</v>
      </c>
      <c r="L2480" s="1">
        <v>3630000.0</v>
      </c>
      <c r="M2480" s="1" t="s">
        <v>7407</v>
      </c>
      <c r="N2480" s="18">
        <v>46014.0</v>
      </c>
      <c r="O2480" s="1" t="s">
        <v>3496</v>
      </c>
      <c r="P2480" s="1" t="s">
        <v>3257</v>
      </c>
      <c r="Q2480" s="1" t="s">
        <v>3408</v>
      </c>
    </row>
    <row r="2481">
      <c r="A2481" s="1" t="s">
        <v>7758</v>
      </c>
      <c r="B2481" s="1">
        <v>80.0</v>
      </c>
      <c r="C2481" s="1">
        <v>50.0</v>
      </c>
      <c r="D2481" s="2" t="s">
        <v>499</v>
      </c>
      <c r="E2481" s="1">
        <v>80.0</v>
      </c>
      <c r="F2481" s="1">
        <v>0.0</v>
      </c>
      <c r="G2481" s="1">
        <v>0.0</v>
      </c>
      <c r="H2481" s="1">
        <v>0.0</v>
      </c>
      <c r="I2481" s="1">
        <v>0.0</v>
      </c>
      <c r="J2481" s="1">
        <v>0.0</v>
      </c>
      <c r="K2481" s="1">
        <v>0.08</v>
      </c>
      <c r="L2481" s="1">
        <v>42800.0</v>
      </c>
      <c r="M2481" s="1" t="s">
        <v>7759</v>
      </c>
      <c r="N2481" s="18">
        <v>46014.0</v>
      </c>
      <c r="O2481" s="1" t="s">
        <v>6142</v>
      </c>
      <c r="P2481" s="1" t="s">
        <v>3334</v>
      </c>
      <c r="Q2481" s="1" t="s">
        <v>3408</v>
      </c>
    </row>
    <row r="2482">
      <c r="A2482" s="1" t="s">
        <v>7760</v>
      </c>
      <c r="B2482" s="1">
        <v>80.0</v>
      </c>
      <c r="C2482" s="1">
        <v>40.0</v>
      </c>
      <c r="D2482" s="2" t="s">
        <v>638</v>
      </c>
      <c r="E2482" s="1">
        <v>80.0</v>
      </c>
      <c r="F2482" s="1">
        <v>33.0</v>
      </c>
      <c r="G2482" s="1">
        <v>0.0</v>
      </c>
      <c r="H2482" s="1">
        <v>0.0</v>
      </c>
      <c r="I2482" s="1">
        <v>0.0</v>
      </c>
      <c r="J2482" s="1">
        <v>0.0</v>
      </c>
      <c r="K2482" s="1">
        <v>0.21</v>
      </c>
      <c r="L2482" s="1">
        <v>1870000.0</v>
      </c>
      <c r="M2482" s="1" t="s">
        <v>7761</v>
      </c>
      <c r="N2482" s="18">
        <v>46013.0</v>
      </c>
      <c r="O2482" s="1" t="s">
        <v>3479</v>
      </c>
      <c r="P2482" s="1" t="s">
        <v>3230</v>
      </c>
      <c r="Q2482" s="1" t="s">
        <v>3408</v>
      </c>
    </row>
    <row r="2483">
      <c r="A2483" s="1" t="s">
        <v>7762</v>
      </c>
      <c r="B2483" s="1">
        <v>80.0</v>
      </c>
      <c r="C2483" s="1">
        <v>90.0</v>
      </c>
      <c r="D2483" s="2" t="s">
        <v>1103</v>
      </c>
      <c r="E2483" s="1">
        <v>80.0</v>
      </c>
      <c r="F2483" s="1">
        <v>20.0</v>
      </c>
      <c r="G2483" s="1">
        <v>0.0</v>
      </c>
      <c r="H2483" s="1">
        <v>0.0</v>
      </c>
      <c r="I2483" s="1">
        <v>0.0</v>
      </c>
      <c r="J2483" s="1">
        <v>0.0</v>
      </c>
      <c r="K2483" s="1">
        <v>0.01</v>
      </c>
      <c r="L2483" s="1">
        <v>3.7E7</v>
      </c>
      <c r="M2483" s="1" t="s">
        <v>7763</v>
      </c>
      <c r="N2483" s="18">
        <v>46009.0</v>
      </c>
      <c r="O2483" s="1" t="s">
        <v>7764</v>
      </c>
      <c r="P2483" s="1" t="s">
        <v>3230</v>
      </c>
      <c r="Q2483" s="1" t="s">
        <v>3408</v>
      </c>
    </row>
    <row r="2484">
      <c r="A2484" s="1" t="s">
        <v>6716</v>
      </c>
      <c r="B2484" s="1">
        <v>80.0</v>
      </c>
      <c r="C2484" s="1">
        <v>40.0</v>
      </c>
      <c r="D2484" s="2" t="s">
        <v>439</v>
      </c>
      <c r="E2484" s="1">
        <v>80.0</v>
      </c>
      <c r="F2484" s="1">
        <v>17.0</v>
      </c>
      <c r="G2484" s="1">
        <v>0.0</v>
      </c>
      <c r="H2484" s="1">
        <v>0.0</v>
      </c>
      <c r="I2484" s="1">
        <v>0.0</v>
      </c>
      <c r="J2484" s="1">
        <v>0.0</v>
      </c>
      <c r="K2484" s="1">
        <v>0.03</v>
      </c>
      <c r="L2484" s="1">
        <v>2850000.0</v>
      </c>
      <c r="M2484" s="1" t="s">
        <v>6717</v>
      </c>
      <c r="N2484" s="18">
        <v>46008.0</v>
      </c>
      <c r="O2484" s="1" t="s">
        <v>4121</v>
      </c>
      <c r="P2484" s="1" t="s">
        <v>3294</v>
      </c>
      <c r="Q2484" s="1" t="s">
        <v>3408</v>
      </c>
    </row>
    <row r="2485">
      <c r="A2485" s="1" t="s">
        <v>7765</v>
      </c>
      <c r="B2485" s="1">
        <v>80.0</v>
      </c>
      <c r="C2485" s="1">
        <v>70.0</v>
      </c>
      <c r="D2485" s="2" t="s">
        <v>447</v>
      </c>
      <c r="E2485" s="1">
        <v>80.0</v>
      </c>
      <c r="F2485" s="1">
        <v>20.0</v>
      </c>
      <c r="G2485" s="1">
        <v>4.48</v>
      </c>
      <c r="H2485" s="1">
        <v>0.0</v>
      </c>
      <c r="I2485" s="1">
        <v>0.0</v>
      </c>
      <c r="J2485" s="1">
        <v>0.0</v>
      </c>
      <c r="K2485" s="1">
        <v>0.38</v>
      </c>
      <c r="L2485" s="1">
        <v>33900.0</v>
      </c>
      <c r="M2485" s="1" t="s">
        <v>7766</v>
      </c>
      <c r="N2485" s="18">
        <v>46007.0</v>
      </c>
      <c r="O2485" s="1" t="s">
        <v>7767</v>
      </c>
      <c r="P2485" s="1" t="s">
        <v>3257</v>
      </c>
      <c r="Q2485" s="1" t="s">
        <v>3408</v>
      </c>
    </row>
    <row r="2486">
      <c r="A2486" s="1" t="s">
        <v>7768</v>
      </c>
      <c r="B2486" s="1">
        <v>80.0</v>
      </c>
      <c r="C2486" s="1">
        <v>70.0</v>
      </c>
      <c r="D2486" s="2" t="s">
        <v>1454</v>
      </c>
      <c r="E2486" s="1">
        <v>80.0</v>
      </c>
      <c r="F2486" s="1">
        <v>22.0</v>
      </c>
      <c r="G2486" s="1">
        <v>6.51</v>
      </c>
      <c r="H2486" s="1">
        <v>0.0</v>
      </c>
      <c r="I2486" s="1">
        <v>0.0</v>
      </c>
      <c r="J2486" s="1">
        <v>0.0</v>
      </c>
      <c r="K2486" s="1">
        <v>0.05</v>
      </c>
      <c r="L2486" s="1">
        <v>1.64E7</v>
      </c>
      <c r="M2486" s="1" t="s">
        <v>7769</v>
      </c>
      <c r="N2486" s="18">
        <v>46005.0</v>
      </c>
      <c r="O2486" s="1" t="s">
        <v>7770</v>
      </c>
      <c r="P2486" s="1" t="s">
        <v>3334</v>
      </c>
      <c r="Q2486" s="1" t="s">
        <v>3408</v>
      </c>
    </row>
    <row r="2487">
      <c r="A2487" s="1" t="s">
        <v>7771</v>
      </c>
      <c r="B2487" s="1">
        <v>80.0</v>
      </c>
      <c r="C2487" s="1">
        <v>110.0</v>
      </c>
      <c r="D2487" s="2" t="s">
        <v>1626</v>
      </c>
      <c r="E2487" s="1">
        <v>80.0</v>
      </c>
      <c r="F2487" s="1">
        <v>12.0</v>
      </c>
      <c r="G2487" s="1">
        <v>0.0</v>
      </c>
      <c r="H2487" s="1">
        <v>0.0</v>
      </c>
      <c r="I2487" s="1">
        <v>0.0</v>
      </c>
      <c r="J2487" s="1">
        <v>0.0</v>
      </c>
      <c r="K2487" s="1">
        <v>0.0</v>
      </c>
      <c r="L2487" s="1">
        <v>7.33E7</v>
      </c>
      <c r="M2487" s="1" t="s">
        <v>7772</v>
      </c>
      <c r="N2487" s="18">
        <v>46004.0</v>
      </c>
      <c r="O2487" s="1" t="s">
        <v>3264</v>
      </c>
      <c r="P2487" s="1" t="s">
        <v>3230</v>
      </c>
      <c r="Q2487" s="1" t="s">
        <v>3408</v>
      </c>
    </row>
    <row r="2488">
      <c r="A2488" s="1" t="s">
        <v>7773</v>
      </c>
      <c r="B2488" s="1">
        <v>80.0</v>
      </c>
      <c r="C2488" s="1">
        <v>50.0</v>
      </c>
      <c r="D2488" s="2" t="s">
        <v>1469</v>
      </c>
      <c r="E2488" s="1">
        <v>80.0</v>
      </c>
      <c r="F2488" s="1">
        <v>0.0</v>
      </c>
      <c r="G2488" s="1">
        <v>3.63</v>
      </c>
      <c r="H2488" s="1">
        <v>0.0</v>
      </c>
      <c r="I2488" s="1">
        <v>0.0</v>
      </c>
      <c r="J2488" s="1">
        <v>0.0</v>
      </c>
      <c r="K2488" s="1">
        <v>0.18</v>
      </c>
      <c r="L2488" s="1">
        <v>6820000.0</v>
      </c>
      <c r="M2488" s="1" t="s">
        <v>7774</v>
      </c>
      <c r="N2488" s="18">
        <v>46003.0</v>
      </c>
      <c r="O2488" s="1" t="s">
        <v>3237</v>
      </c>
      <c r="P2488" s="1" t="s">
        <v>3230</v>
      </c>
      <c r="Q2488" s="1" t="s">
        <v>3408</v>
      </c>
    </row>
    <row r="2489">
      <c r="A2489" s="1" t="s">
        <v>7775</v>
      </c>
      <c r="B2489" s="1">
        <v>80.0</v>
      </c>
      <c r="C2489" s="1">
        <v>70.0</v>
      </c>
      <c r="D2489" s="2" t="s">
        <v>439</v>
      </c>
      <c r="E2489" s="1">
        <v>80.0</v>
      </c>
      <c r="F2489" s="1">
        <v>26.0</v>
      </c>
      <c r="G2489" s="1">
        <v>3.55</v>
      </c>
      <c r="H2489" s="1">
        <v>0.0</v>
      </c>
      <c r="I2489" s="1">
        <v>0.0</v>
      </c>
      <c r="J2489" s="1">
        <v>0.0</v>
      </c>
      <c r="K2489" s="1">
        <v>0.05</v>
      </c>
      <c r="L2489" s="1">
        <v>26500.0</v>
      </c>
      <c r="M2489" s="1" t="s">
        <v>7776</v>
      </c>
      <c r="N2489" s="18">
        <v>46003.0</v>
      </c>
      <c r="O2489" s="1" t="s">
        <v>4121</v>
      </c>
      <c r="P2489" s="1" t="s">
        <v>3294</v>
      </c>
      <c r="Q2489" s="1" t="s">
        <v>3408</v>
      </c>
    </row>
    <row r="2490">
      <c r="A2490" s="1" t="s">
        <v>4377</v>
      </c>
      <c r="B2490" s="1">
        <v>80.0</v>
      </c>
      <c r="C2490" s="1">
        <v>70.0</v>
      </c>
      <c r="D2490" s="2" t="s">
        <v>1418</v>
      </c>
      <c r="E2490" s="1">
        <v>80.0</v>
      </c>
      <c r="F2490" s="1">
        <v>18.0</v>
      </c>
      <c r="G2490" s="1">
        <v>0.71</v>
      </c>
      <c r="H2490" s="1">
        <v>0.0</v>
      </c>
      <c r="I2490" s="1">
        <v>0.0</v>
      </c>
      <c r="J2490" s="1">
        <v>0.0</v>
      </c>
      <c r="K2490" s="1">
        <v>0.27</v>
      </c>
      <c r="L2490" s="1">
        <v>2.69E7</v>
      </c>
      <c r="M2490" s="1" t="s">
        <v>4378</v>
      </c>
      <c r="N2490" s="18">
        <v>46003.0</v>
      </c>
      <c r="O2490" s="1" t="s">
        <v>3496</v>
      </c>
      <c r="P2490" s="1" t="s">
        <v>3230</v>
      </c>
      <c r="Q2490" s="1" t="s">
        <v>3408</v>
      </c>
    </row>
    <row r="2491">
      <c r="A2491" s="1" t="s">
        <v>7777</v>
      </c>
      <c r="B2491" s="1">
        <v>80.0</v>
      </c>
      <c r="C2491" s="1">
        <v>50.0</v>
      </c>
      <c r="D2491" s="2" t="s">
        <v>581</v>
      </c>
      <c r="E2491" s="1">
        <v>80.0</v>
      </c>
      <c r="F2491" s="1">
        <v>54.0</v>
      </c>
      <c r="G2491" s="1">
        <v>19.44</v>
      </c>
      <c r="H2491" s="1">
        <v>0.0</v>
      </c>
      <c r="I2491" s="1">
        <v>0.0</v>
      </c>
      <c r="J2491" s="1">
        <v>0.0</v>
      </c>
      <c r="K2491" s="1">
        <v>0.58</v>
      </c>
      <c r="L2491" s="1">
        <v>7960000.0</v>
      </c>
      <c r="M2491" s="1" t="s">
        <v>7778</v>
      </c>
      <c r="N2491" s="18">
        <v>46003.0</v>
      </c>
      <c r="O2491" s="1" t="s">
        <v>3520</v>
      </c>
      <c r="P2491" s="1" t="s">
        <v>3257</v>
      </c>
      <c r="Q2491" s="1" t="s">
        <v>3408</v>
      </c>
    </row>
    <row r="2492">
      <c r="A2492" s="1" t="s">
        <v>3714</v>
      </c>
      <c r="B2492" s="1">
        <v>80.0</v>
      </c>
      <c r="C2492" s="1">
        <v>70.0</v>
      </c>
      <c r="D2492" s="2" t="s">
        <v>439</v>
      </c>
      <c r="E2492" s="1">
        <v>80.0</v>
      </c>
      <c r="F2492" s="1">
        <v>47.0</v>
      </c>
      <c r="G2492" s="1">
        <v>17.92</v>
      </c>
      <c r="H2492" s="1">
        <v>0.0</v>
      </c>
      <c r="I2492" s="1">
        <v>0.0</v>
      </c>
      <c r="J2492" s="1">
        <v>0.0</v>
      </c>
      <c r="K2492" s="1">
        <v>0.32</v>
      </c>
      <c r="L2492" s="1">
        <v>657000.0</v>
      </c>
      <c r="M2492" s="1" t="s">
        <v>3715</v>
      </c>
      <c r="N2492" s="18">
        <v>46003.0</v>
      </c>
      <c r="O2492" s="1" t="s">
        <v>3415</v>
      </c>
      <c r="P2492" s="1" t="s">
        <v>3257</v>
      </c>
      <c r="Q2492" s="1" t="s">
        <v>3408</v>
      </c>
    </row>
    <row r="2493">
      <c r="A2493" s="1" t="s">
        <v>7779</v>
      </c>
      <c r="B2493" s="1">
        <v>80.0</v>
      </c>
      <c r="C2493" s="1">
        <v>50.0</v>
      </c>
      <c r="D2493" s="2" t="s">
        <v>694</v>
      </c>
      <c r="E2493" s="1">
        <v>80.0</v>
      </c>
      <c r="F2493" s="1">
        <v>0.0</v>
      </c>
      <c r="G2493" s="1">
        <v>0.0</v>
      </c>
      <c r="H2493" s="1">
        <v>0.0</v>
      </c>
      <c r="I2493" s="1">
        <v>0.0</v>
      </c>
      <c r="J2493" s="1">
        <v>0.0</v>
      </c>
      <c r="K2493" s="1">
        <v>0.43</v>
      </c>
      <c r="L2493" s="1">
        <v>1.59E7</v>
      </c>
      <c r="M2493" s="1" t="s">
        <v>7780</v>
      </c>
      <c r="N2493" s="18">
        <v>46000.0</v>
      </c>
      <c r="O2493" s="1" t="s">
        <v>7781</v>
      </c>
      <c r="P2493" s="1" t="s">
        <v>3230</v>
      </c>
      <c r="Q2493" s="1" t="s">
        <v>3408</v>
      </c>
    </row>
    <row r="2494">
      <c r="A2494" s="1" t="s">
        <v>7782</v>
      </c>
      <c r="B2494" s="1">
        <v>80.0</v>
      </c>
      <c r="C2494" s="1">
        <v>70.0</v>
      </c>
      <c r="D2494" s="2" t="s">
        <v>1103</v>
      </c>
      <c r="E2494" s="1">
        <v>80.0</v>
      </c>
      <c r="F2494" s="1">
        <v>41.0</v>
      </c>
      <c r="G2494" s="1">
        <v>0.0</v>
      </c>
      <c r="H2494" s="1">
        <v>0.0</v>
      </c>
      <c r="I2494" s="1">
        <v>0.0</v>
      </c>
      <c r="J2494" s="1">
        <v>0.0</v>
      </c>
      <c r="K2494" s="1">
        <v>0.01</v>
      </c>
      <c r="L2494" s="1">
        <v>3990000.0</v>
      </c>
      <c r="M2494" s="1" t="s">
        <v>7783</v>
      </c>
      <c r="N2494" s="18">
        <v>45999.0</v>
      </c>
      <c r="O2494" s="1" t="s">
        <v>5344</v>
      </c>
      <c r="P2494" s="1" t="s">
        <v>3230</v>
      </c>
      <c r="Q2494" s="1" t="s">
        <v>3408</v>
      </c>
    </row>
    <row r="2495">
      <c r="A2495" s="1" t="s">
        <v>7784</v>
      </c>
      <c r="B2495" s="1">
        <v>80.0</v>
      </c>
      <c r="C2495" s="1">
        <v>90.0</v>
      </c>
      <c r="D2495" s="2" t="s">
        <v>1099</v>
      </c>
      <c r="E2495" s="1">
        <v>80.0</v>
      </c>
      <c r="F2495" s="1">
        <v>10.0</v>
      </c>
      <c r="G2495" s="1">
        <v>1.6</v>
      </c>
      <c r="H2495" s="1">
        <v>0.0</v>
      </c>
      <c r="I2495" s="1">
        <v>0.0</v>
      </c>
      <c r="J2495" s="1">
        <v>0.0</v>
      </c>
      <c r="K2495" s="1">
        <v>0.39</v>
      </c>
      <c r="L2495" s="1">
        <v>1120000.0</v>
      </c>
      <c r="M2495" s="1" t="s">
        <v>7785</v>
      </c>
      <c r="N2495" s="18">
        <v>45997.0</v>
      </c>
      <c r="O2495" s="1" t="s">
        <v>7600</v>
      </c>
      <c r="P2495" s="1" t="s">
        <v>3230</v>
      </c>
      <c r="Q2495" s="1" t="s">
        <v>3408</v>
      </c>
    </row>
    <row r="2496">
      <c r="A2496" s="1" t="s">
        <v>7182</v>
      </c>
      <c r="B2496" s="1">
        <v>80.0</v>
      </c>
      <c r="C2496" s="1">
        <v>90.0</v>
      </c>
      <c r="D2496" s="2" t="s">
        <v>439</v>
      </c>
      <c r="E2496" s="1">
        <v>80.0</v>
      </c>
      <c r="F2496" s="1">
        <v>17.0</v>
      </c>
      <c r="G2496" s="1">
        <v>5.12</v>
      </c>
      <c r="H2496" s="1">
        <v>0.0</v>
      </c>
      <c r="I2496" s="1">
        <v>0.0</v>
      </c>
      <c r="J2496" s="1">
        <v>0.0</v>
      </c>
      <c r="K2496" s="1">
        <v>0.41</v>
      </c>
      <c r="L2496" s="1">
        <v>2.68E8</v>
      </c>
      <c r="M2496" s="1" t="s">
        <v>7183</v>
      </c>
      <c r="N2496" s="18">
        <v>45996.0</v>
      </c>
      <c r="O2496" s="1" t="s">
        <v>3821</v>
      </c>
      <c r="P2496" s="1" t="s">
        <v>3294</v>
      </c>
      <c r="Q2496" s="1" t="s">
        <v>3408</v>
      </c>
    </row>
    <row r="2497">
      <c r="A2497" s="1" t="s">
        <v>7786</v>
      </c>
      <c r="B2497" s="1">
        <v>80.0</v>
      </c>
      <c r="C2497" s="1">
        <v>40.0</v>
      </c>
      <c r="D2497" s="2" t="s">
        <v>1543</v>
      </c>
      <c r="E2497" s="1">
        <v>80.0</v>
      </c>
      <c r="F2497" s="1">
        <v>8.0</v>
      </c>
      <c r="G2497" s="1">
        <v>0.0</v>
      </c>
      <c r="H2497" s="1">
        <v>0.0</v>
      </c>
      <c r="I2497" s="1">
        <v>0.0</v>
      </c>
      <c r="J2497" s="1">
        <v>0.0</v>
      </c>
      <c r="K2497" s="1">
        <v>0.04</v>
      </c>
      <c r="L2497" s="1">
        <v>624000.0</v>
      </c>
      <c r="M2497" s="1" t="s">
        <v>7787</v>
      </c>
      <c r="N2497" s="18">
        <v>45996.0</v>
      </c>
      <c r="O2497" s="1" t="s">
        <v>7788</v>
      </c>
      <c r="P2497" s="1" t="s">
        <v>3230</v>
      </c>
      <c r="Q2497" s="1" t="s">
        <v>3408</v>
      </c>
    </row>
    <row r="2498">
      <c r="A2498" s="1" t="s">
        <v>5580</v>
      </c>
      <c r="B2498" s="1">
        <v>80.0</v>
      </c>
      <c r="C2498" s="1">
        <v>30.0</v>
      </c>
      <c r="D2498" s="2" t="s">
        <v>1436</v>
      </c>
      <c r="E2498" s="1">
        <v>80.0</v>
      </c>
      <c r="F2498" s="1">
        <v>36.0</v>
      </c>
      <c r="G2498" s="1">
        <v>22.12</v>
      </c>
      <c r="H2498" s="1">
        <v>0.0</v>
      </c>
      <c r="I2498" s="1">
        <v>0.0</v>
      </c>
      <c r="J2498" s="1">
        <v>0.0</v>
      </c>
      <c r="K2498" s="1">
        <v>0.17</v>
      </c>
      <c r="L2498" s="1">
        <v>121000.0</v>
      </c>
      <c r="M2498" s="1" t="s">
        <v>5581</v>
      </c>
      <c r="N2498" s="18">
        <v>45991.0</v>
      </c>
      <c r="O2498" s="1" t="s">
        <v>4390</v>
      </c>
      <c r="P2498" s="1" t="s">
        <v>3257</v>
      </c>
      <c r="Q2498" s="1" t="s">
        <v>3408</v>
      </c>
    </row>
    <row r="2499">
      <c r="A2499" s="1" t="s">
        <v>7789</v>
      </c>
      <c r="B2499" s="1">
        <v>80.0</v>
      </c>
      <c r="C2499" s="1">
        <v>90.0</v>
      </c>
      <c r="D2499" s="2" t="s">
        <v>581</v>
      </c>
      <c r="E2499" s="1">
        <v>80.0</v>
      </c>
      <c r="F2499" s="1">
        <v>40.0</v>
      </c>
      <c r="G2499" s="1">
        <v>8.47</v>
      </c>
      <c r="H2499" s="1">
        <v>0.0</v>
      </c>
      <c r="I2499" s="1">
        <v>0.0</v>
      </c>
      <c r="J2499" s="1">
        <v>0.0</v>
      </c>
      <c r="K2499" s="1">
        <v>0.96</v>
      </c>
      <c r="L2499" s="1">
        <v>9.0</v>
      </c>
      <c r="M2499" s="1" t="s">
        <v>7790</v>
      </c>
      <c r="N2499" s="18">
        <v>45985.0</v>
      </c>
      <c r="O2499" s="1" t="s">
        <v>7791</v>
      </c>
      <c r="P2499" s="1" t="s">
        <v>3257</v>
      </c>
      <c r="Q2499" s="1" t="s">
        <v>3408</v>
      </c>
    </row>
    <row r="2500">
      <c r="A2500" s="1" t="s">
        <v>7522</v>
      </c>
      <c r="B2500" s="1">
        <v>81.0</v>
      </c>
      <c r="C2500" s="1">
        <v>210.0</v>
      </c>
      <c r="D2500" s="2" t="s">
        <v>782</v>
      </c>
      <c r="E2500" s="1">
        <v>0.0</v>
      </c>
      <c r="F2500" s="1">
        <v>3.0</v>
      </c>
      <c r="G2500" s="1">
        <v>0.0</v>
      </c>
      <c r="H2500" s="1">
        <v>0.0</v>
      </c>
      <c r="I2500" s="1">
        <v>0.0</v>
      </c>
      <c r="J2500" s="1">
        <v>0.0</v>
      </c>
      <c r="K2500" s="1">
        <v>0.03</v>
      </c>
      <c r="L2500" s="1">
        <v>2630000.0</v>
      </c>
      <c r="M2500" s="1" t="s">
        <v>7523</v>
      </c>
      <c r="N2500" s="18">
        <v>46042.0</v>
      </c>
      <c r="O2500" s="1" t="s">
        <v>4006</v>
      </c>
      <c r="P2500" s="1" t="s">
        <v>3257</v>
      </c>
      <c r="Q2500" s="1" t="s">
        <v>3408</v>
      </c>
    </row>
    <row r="2501">
      <c r="A2501" s="1" t="s">
        <v>7792</v>
      </c>
      <c r="B2501" s="1">
        <v>81.0</v>
      </c>
      <c r="C2501" s="1">
        <v>50.0</v>
      </c>
      <c r="D2501" s="2" t="s">
        <v>784</v>
      </c>
      <c r="E2501" s="1">
        <v>99.0</v>
      </c>
      <c r="F2501" s="1">
        <v>10.0</v>
      </c>
      <c r="G2501" s="1">
        <v>0.0</v>
      </c>
      <c r="H2501" s="1">
        <v>0.0</v>
      </c>
      <c r="I2501" s="1">
        <v>0.0</v>
      </c>
      <c r="J2501" s="1">
        <v>0.0</v>
      </c>
      <c r="K2501" s="1">
        <v>0.0</v>
      </c>
      <c r="L2501" s="1">
        <v>7010000.0</v>
      </c>
      <c r="M2501" s="1" t="s">
        <v>7793</v>
      </c>
      <c r="N2501" s="18">
        <v>46042.0</v>
      </c>
      <c r="O2501" s="1" t="s">
        <v>7794</v>
      </c>
      <c r="P2501" s="1" t="s">
        <v>3334</v>
      </c>
      <c r="Q2501" s="1" t="s">
        <v>3408</v>
      </c>
    </row>
    <row r="2502">
      <c r="A2502" s="1" t="s">
        <v>7795</v>
      </c>
      <c r="B2502" s="1">
        <v>81.0</v>
      </c>
      <c r="C2502" s="1">
        <v>90.0</v>
      </c>
      <c r="D2502" s="2" t="s">
        <v>696</v>
      </c>
      <c r="E2502" s="1">
        <v>81.0</v>
      </c>
      <c r="F2502" s="1">
        <v>0.0</v>
      </c>
      <c r="G2502" s="1">
        <v>0.0</v>
      </c>
      <c r="H2502" s="1">
        <v>0.0</v>
      </c>
      <c r="I2502" s="1">
        <v>0.0</v>
      </c>
      <c r="J2502" s="1">
        <v>0.0</v>
      </c>
      <c r="K2502" s="1">
        <v>0.0</v>
      </c>
      <c r="L2502" s="1">
        <v>57100.0</v>
      </c>
      <c r="M2502" s="1" t="s">
        <v>7796</v>
      </c>
      <c r="N2502" s="18">
        <v>46042.0</v>
      </c>
      <c r="O2502" s="1" t="s">
        <v>4250</v>
      </c>
      <c r="P2502" s="1" t="s">
        <v>3230</v>
      </c>
      <c r="Q2502" s="1" t="s">
        <v>3408</v>
      </c>
    </row>
    <row r="2503">
      <c r="A2503" s="1" t="s">
        <v>7797</v>
      </c>
      <c r="B2503" s="1">
        <v>81.0</v>
      </c>
      <c r="C2503" s="1">
        <v>140.0</v>
      </c>
      <c r="D2503" s="2" t="s">
        <v>1951</v>
      </c>
      <c r="E2503" s="1">
        <v>81.0</v>
      </c>
      <c r="F2503" s="1">
        <v>7.0</v>
      </c>
      <c r="G2503" s="1">
        <v>2.62</v>
      </c>
      <c r="H2503" s="1">
        <v>0.0</v>
      </c>
      <c r="I2503" s="1">
        <v>0.0</v>
      </c>
      <c r="J2503" s="1">
        <v>0.0</v>
      </c>
      <c r="K2503" s="1">
        <v>0.07</v>
      </c>
      <c r="L2503" s="1">
        <v>1190000.0</v>
      </c>
      <c r="M2503" s="1" t="s">
        <v>7798</v>
      </c>
      <c r="N2503" s="18">
        <v>46042.0</v>
      </c>
      <c r="O2503" s="1" t="s">
        <v>3264</v>
      </c>
      <c r="P2503" s="1" t="s">
        <v>3334</v>
      </c>
      <c r="Q2503" s="1" t="s">
        <v>3408</v>
      </c>
    </row>
    <row r="2504">
      <c r="A2504" s="1" t="s">
        <v>7799</v>
      </c>
      <c r="B2504" s="1">
        <v>81.0</v>
      </c>
      <c r="C2504" s="1">
        <v>50.0</v>
      </c>
      <c r="D2504" s="2" t="s">
        <v>1481</v>
      </c>
      <c r="E2504" s="1">
        <v>81.0</v>
      </c>
      <c r="F2504" s="1">
        <v>8.0</v>
      </c>
      <c r="G2504" s="1">
        <v>0.0</v>
      </c>
      <c r="H2504" s="1">
        <v>0.0</v>
      </c>
      <c r="I2504" s="1">
        <v>0.0</v>
      </c>
      <c r="J2504" s="1">
        <v>0.0</v>
      </c>
      <c r="K2504" s="1">
        <v>0.03</v>
      </c>
      <c r="L2504" s="1">
        <v>671000.0</v>
      </c>
      <c r="M2504" s="1" t="s">
        <v>7800</v>
      </c>
      <c r="N2504" s="18">
        <v>46040.0</v>
      </c>
      <c r="O2504" s="1" t="s">
        <v>3264</v>
      </c>
      <c r="P2504" s="1" t="s">
        <v>3230</v>
      </c>
      <c r="Q2504" s="1" t="s">
        <v>3408</v>
      </c>
    </row>
    <row r="2505">
      <c r="A2505" s="1" t="s">
        <v>7305</v>
      </c>
      <c r="B2505" s="1">
        <v>81.0</v>
      </c>
      <c r="C2505" s="1">
        <v>90.0</v>
      </c>
      <c r="D2505" s="2" t="s">
        <v>1103</v>
      </c>
      <c r="E2505" s="1">
        <v>81.0</v>
      </c>
      <c r="F2505" s="1">
        <v>7.0</v>
      </c>
      <c r="G2505" s="1">
        <v>0.0</v>
      </c>
      <c r="H2505" s="1">
        <v>0.0</v>
      </c>
      <c r="I2505" s="1">
        <v>0.0</v>
      </c>
      <c r="J2505" s="1">
        <v>0.0</v>
      </c>
      <c r="K2505" s="1">
        <v>0.0</v>
      </c>
      <c r="L2505" s="1">
        <v>1590000.0</v>
      </c>
      <c r="M2505" s="1" t="s">
        <v>7306</v>
      </c>
      <c r="N2505" s="18">
        <v>46039.0</v>
      </c>
      <c r="O2505" s="1" t="s">
        <v>3284</v>
      </c>
      <c r="P2505" s="1" t="s">
        <v>3230</v>
      </c>
      <c r="Q2505" s="1" t="s">
        <v>3408</v>
      </c>
    </row>
    <row r="2506">
      <c r="A2506" s="1" t="s">
        <v>7801</v>
      </c>
      <c r="B2506" s="1">
        <v>81.0</v>
      </c>
      <c r="C2506" s="1">
        <v>50.0</v>
      </c>
      <c r="D2506" s="2" t="s">
        <v>581</v>
      </c>
      <c r="E2506" s="1">
        <v>81.0</v>
      </c>
      <c r="F2506" s="1">
        <v>18.0</v>
      </c>
      <c r="G2506" s="1">
        <v>0.0</v>
      </c>
      <c r="H2506" s="1">
        <v>0.0</v>
      </c>
      <c r="I2506" s="1">
        <v>0.0</v>
      </c>
      <c r="J2506" s="1">
        <v>0.0</v>
      </c>
      <c r="K2506" s="1">
        <v>0.0</v>
      </c>
      <c r="L2506" s="1">
        <v>278000.0</v>
      </c>
      <c r="M2506" s="1" t="s">
        <v>7802</v>
      </c>
      <c r="N2506" s="18">
        <v>46035.0</v>
      </c>
      <c r="O2506" s="1" t="s">
        <v>4006</v>
      </c>
      <c r="P2506" s="1" t="s">
        <v>3257</v>
      </c>
      <c r="Q2506" s="1" t="s">
        <v>3408</v>
      </c>
    </row>
    <row r="2507">
      <c r="A2507" s="1" t="s">
        <v>7803</v>
      </c>
      <c r="B2507" s="1">
        <v>81.0</v>
      </c>
      <c r="C2507" s="1">
        <v>2400.0</v>
      </c>
      <c r="D2507" s="2" t="s">
        <v>754</v>
      </c>
      <c r="E2507" s="1">
        <v>81.0</v>
      </c>
      <c r="F2507" s="1">
        <v>23.0</v>
      </c>
      <c r="G2507" s="1">
        <v>30.03</v>
      </c>
      <c r="H2507" s="1">
        <v>0.0</v>
      </c>
      <c r="I2507" s="1">
        <v>0.0</v>
      </c>
      <c r="J2507" s="1">
        <v>0.0</v>
      </c>
      <c r="K2507" s="1">
        <v>0.55</v>
      </c>
      <c r="L2507" s="1">
        <v>1.8E8</v>
      </c>
      <c r="M2507" s="1" t="s">
        <v>7804</v>
      </c>
      <c r="N2507" s="18">
        <v>46035.0</v>
      </c>
      <c r="O2507" s="1" t="s">
        <v>7805</v>
      </c>
      <c r="P2507" s="1" t="s">
        <v>3230</v>
      </c>
      <c r="Q2507" s="1" t="s">
        <v>3408</v>
      </c>
    </row>
    <row r="2508">
      <c r="A2508" s="1" t="s">
        <v>7648</v>
      </c>
      <c r="B2508" s="1">
        <v>81.0</v>
      </c>
      <c r="C2508" s="1">
        <v>50.0</v>
      </c>
      <c r="D2508" s="2" t="s">
        <v>581</v>
      </c>
      <c r="E2508" s="1">
        <v>81.0</v>
      </c>
      <c r="F2508" s="1">
        <v>0.0</v>
      </c>
      <c r="G2508" s="1">
        <v>0.0</v>
      </c>
      <c r="H2508" s="1">
        <v>0.0</v>
      </c>
      <c r="I2508" s="1">
        <v>0.0</v>
      </c>
      <c r="J2508" s="1">
        <v>0.0</v>
      </c>
      <c r="K2508" s="1">
        <v>0.1</v>
      </c>
      <c r="L2508" s="1">
        <v>90100.0</v>
      </c>
      <c r="M2508" s="1" t="s">
        <v>7035</v>
      </c>
      <c r="N2508" s="18">
        <v>46031.0</v>
      </c>
      <c r="O2508" s="1" t="s">
        <v>7649</v>
      </c>
      <c r="P2508" s="1" t="s">
        <v>3257</v>
      </c>
      <c r="Q2508" s="1" t="s">
        <v>3408</v>
      </c>
    </row>
    <row r="2509">
      <c r="A2509" s="1" t="s">
        <v>7806</v>
      </c>
      <c r="B2509" s="1">
        <v>81.0</v>
      </c>
      <c r="C2509" s="1">
        <v>50.0</v>
      </c>
      <c r="D2509" s="2" t="s">
        <v>2249</v>
      </c>
      <c r="E2509" s="1">
        <v>81.0</v>
      </c>
      <c r="F2509" s="1">
        <v>36.0</v>
      </c>
      <c r="G2509" s="1">
        <v>0.0</v>
      </c>
      <c r="H2509" s="1">
        <v>0.0</v>
      </c>
      <c r="I2509" s="1">
        <v>0.0</v>
      </c>
      <c r="J2509" s="1">
        <v>0.0</v>
      </c>
      <c r="K2509" s="1">
        <v>0.33</v>
      </c>
      <c r="L2509" s="1">
        <v>4810000.0</v>
      </c>
      <c r="M2509" s="1" t="s">
        <v>7807</v>
      </c>
      <c r="N2509" s="18">
        <v>46030.0</v>
      </c>
      <c r="O2509" s="1" t="s">
        <v>5650</v>
      </c>
      <c r="P2509" s="1" t="s">
        <v>3230</v>
      </c>
      <c r="Q2509" s="1" t="s">
        <v>3408</v>
      </c>
    </row>
    <row r="2510">
      <c r="A2510" s="1" t="s">
        <v>7657</v>
      </c>
      <c r="B2510" s="1">
        <v>81.0</v>
      </c>
      <c r="C2510" s="1">
        <v>40.0</v>
      </c>
      <c r="D2510" s="2" t="s">
        <v>638</v>
      </c>
      <c r="E2510" s="1">
        <v>81.0</v>
      </c>
      <c r="F2510" s="1">
        <v>12.0</v>
      </c>
      <c r="G2510" s="1">
        <v>0.0</v>
      </c>
      <c r="H2510" s="1">
        <v>0.0</v>
      </c>
      <c r="I2510" s="1">
        <v>0.0</v>
      </c>
      <c r="J2510" s="1">
        <v>0.0</v>
      </c>
      <c r="K2510" s="1">
        <v>0.06</v>
      </c>
      <c r="L2510" s="1">
        <v>4.99E7</v>
      </c>
      <c r="M2510" s="1" t="s">
        <v>5112</v>
      </c>
      <c r="N2510" s="18">
        <v>46026.0</v>
      </c>
      <c r="O2510" s="1" t="s">
        <v>3861</v>
      </c>
      <c r="P2510" s="1" t="s">
        <v>3334</v>
      </c>
      <c r="Q2510" s="1" t="s">
        <v>3408</v>
      </c>
    </row>
    <row r="2511">
      <c r="A2511" s="1" t="s">
        <v>7808</v>
      </c>
      <c r="B2511" s="1">
        <v>81.0</v>
      </c>
      <c r="C2511" s="1">
        <v>140.0</v>
      </c>
      <c r="D2511" s="2" t="s">
        <v>2249</v>
      </c>
      <c r="E2511" s="1">
        <v>81.0</v>
      </c>
      <c r="F2511" s="1">
        <v>19.0</v>
      </c>
      <c r="G2511" s="1">
        <v>0.0</v>
      </c>
      <c r="H2511" s="1">
        <v>0.0</v>
      </c>
      <c r="I2511" s="1">
        <v>0.0</v>
      </c>
      <c r="J2511" s="1">
        <v>0.0</v>
      </c>
      <c r="K2511" s="1">
        <v>0.0</v>
      </c>
      <c r="L2511" s="1">
        <v>2.48E8</v>
      </c>
      <c r="M2511" s="1" t="s">
        <v>7809</v>
      </c>
      <c r="N2511" s="18">
        <v>46026.0</v>
      </c>
      <c r="O2511" s="1" t="s">
        <v>5650</v>
      </c>
      <c r="P2511" s="1" t="s">
        <v>3230</v>
      </c>
      <c r="Q2511" s="1" t="s">
        <v>3408</v>
      </c>
    </row>
    <row r="2512">
      <c r="A2512" s="1" t="s">
        <v>7810</v>
      </c>
      <c r="B2512" s="1">
        <v>81.0</v>
      </c>
      <c r="C2512" s="1">
        <v>90.0</v>
      </c>
      <c r="D2512" s="2" t="s">
        <v>778</v>
      </c>
      <c r="E2512" s="1">
        <v>81.0</v>
      </c>
      <c r="F2512" s="1">
        <v>10.0</v>
      </c>
      <c r="G2512" s="1">
        <v>0.0</v>
      </c>
      <c r="H2512" s="1">
        <v>0.0</v>
      </c>
      <c r="I2512" s="1">
        <v>0.0</v>
      </c>
      <c r="J2512" s="1">
        <v>0.0</v>
      </c>
      <c r="K2512" s="1">
        <v>0.0</v>
      </c>
      <c r="L2512" s="1">
        <v>4660000.0</v>
      </c>
      <c r="M2512" s="1" t="s">
        <v>7811</v>
      </c>
      <c r="N2512" s="18">
        <v>46025.0</v>
      </c>
      <c r="O2512" s="1" t="s">
        <v>4084</v>
      </c>
      <c r="P2512" s="1" t="s">
        <v>3257</v>
      </c>
      <c r="Q2512" s="1" t="s">
        <v>3408</v>
      </c>
    </row>
    <row r="2513">
      <c r="A2513" s="1" t="s">
        <v>7812</v>
      </c>
      <c r="B2513" s="1">
        <v>81.0</v>
      </c>
      <c r="C2513" s="1">
        <v>70.0</v>
      </c>
      <c r="D2513" s="2" t="s">
        <v>439</v>
      </c>
      <c r="E2513" s="1">
        <v>81.0</v>
      </c>
      <c r="F2513" s="1">
        <v>17.0</v>
      </c>
      <c r="G2513" s="1">
        <v>0.0</v>
      </c>
      <c r="H2513" s="1">
        <v>0.0</v>
      </c>
      <c r="I2513" s="1">
        <v>0.0</v>
      </c>
      <c r="J2513" s="1">
        <v>0.0</v>
      </c>
      <c r="K2513" s="1">
        <v>0.04</v>
      </c>
      <c r="L2513" s="1">
        <v>199000.0</v>
      </c>
      <c r="M2513" s="1" t="s">
        <v>7813</v>
      </c>
      <c r="N2513" s="18">
        <v>46023.0</v>
      </c>
      <c r="O2513" s="1" t="s">
        <v>4372</v>
      </c>
      <c r="P2513" s="1" t="s">
        <v>3294</v>
      </c>
      <c r="Q2513" s="1" t="s">
        <v>3408</v>
      </c>
    </row>
    <row r="2514">
      <c r="A2514" s="1" t="s">
        <v>7814</v>
      </c>
      <c r="B2514" s="1">
        <v>81.0</v>
      </c>
      <c r="C2514" s="1">
        <v>50.0</v>
      </c>
      <c r="D2514" s="2" t="s">
        <v>592</v>
      </c>
      <c r="E2514" s="1">
        <v>81.0</v>
      </c>
      <c r="F2514" s="1">
        <v>0.0</v>
      </c>
      <c r="G2514" s="1">
        <v>0.0</v>
      </c>
      <c r="H2514" s="1">
        <v>0.0</v>
      </c>
      <c r="I2514" s="1">
        <v>0.0</v>
      </c>
      <c r="J2514" s="1">
        <v>0.0</v>
      </c>
      <c r="K2514" s="1">
        <v>0.0</v>
      </c>
      <c r="L2514" s="1">
        <v>45300.0</v>
      </c>
      <c r="M2514" s="1" t="s">
        <v>7815</v>
      </c>
      <c r="N2514" s="18">
        <v>46021.0</v>
      </c>
      <c r="O2514" s="1" t="s">
        <v>3713</v>
      </c>
      <c r="P2514" s="1" t="s">
        <v>3257</v>
      </c>
      <c r="Q2514" s="1" t="s">
        <v>3408</v>
      </c>
    </row>
    <row r="2515">
      <c r="A2515" s="1" t="s">
        <v>7816</v>
      </c>
      <c r="B2515" s="1">
        <v>81.0</v>
      </c>
      <c r="C2515" s="1">
        <v>90.0</v>
      </c>
      <c r="D2515" s="2" t="s">
        <v>740</v>
      </c>
      <c r="E2515" s="1">
        <v>81.0</v>
      </c>
      <c r="F2515" s="1">
        <v>2.0</v>
      </c>
      <c r="G2515" s="1">
        <v>6.75</v>
      </c>
      <c r="H2515" s="1">
        <v>0.0</v>
      </c>
      <c r="I2515" s="1">
        <v>0.0</v>
      </c>
      <c r="J2515" s="1">
        <v>0.0</v>
      </c>
      <c r="K2515" s="1">
        <v>0.63</v>
      </c>
      <c r="L2515" s="1">
        <v>3.37E7</v>
      </c>
      <c r="M2515" s="1" t="s">
        <v>7817</v>
      </c>
      <c r="N2515" s="18">
        <v>46020.0</v>
      </c>
      <c r="O2515" s="1" t="s">
        <v>3237</v>
      </c>
      <c r="P2515" s="1" t="s">
        <v>3230</v>
      </c>
      <c r="Q2515" s="1" t="s">
        <v>3408</v>
      </c>
    </row>
    <row r="2516">
      <c r="A2516" s="1" t="s">
        <v>7818</v>
      </c>
      <c r="B2516" s="1">
        <v>81.0</v>
      </c>
      <c r="C2516" s="1">
        <v>110.0</v>
      </c>
      <c r="D2516" s="2" t="s">
        <v>2227</v>
      </c>
      <c r="E2516" s="1">
        <v>81.0</v>
      </c>
      <c r="F2516" s="1">
        <v>22.0</v>
      </c>
      <c r="G2516" s="1">
        <v>0.0</v>
      </c>
      <c r="H2516" s="1">
        <v>0.0</v>
      </c>
      <c r="I2516" s="1">
        <v>0.0</v>
      </c>
      <c r="J2516" s="1">
        <v>0.0</v>
      </c>
      <c r="K2516" s="1">
        <v>0.0</v>
      </c>
      <c r="L2516" s="1">
        <v>2100000.0</v>
      </c>
      <c r="M2516" s="1" t="s">
        <v>7819</v>
      </c>
      <c r="N2516" s="18">
        <v>46019.0</v>
      </c>
      <c r="O2516" s="1" t="s">
        <v>3264</v>
      </c>
      <c r="P2516" s="1" t="s">
        <v>3230</v>
      </c>
      <c r="Q2516" s="1" t="s">
        <v>3408</v>
      </c>
    </row>
    <row r="2517">
      <c r="A2517" s="1" t="s">
        <v>7820</v>
      </c>
      <c r="B2517" s="1">
        <v>81.0</v>
      </c>
      <c r="C2517" s="1">
        <v>50.0</v>
      </c>
      <c r="D2517" s="2" t="s">
        <v>2939</v>
      </c>
      <c r="E2517" s="1">
        <v>81.0</v>
      </c>
      <c r="F2517" s="1">
        <v>27.0</v>
      </c>
      <c r="G2517" s="1">
        <v>0.0</v>
      </c>
      <c r="H2517" s="1">
        <v>0.0</v>
      </c>
      <c r="I2517" s="1">
        <v>0.0</v>
      </c>
      <c r="J2517" s="1">
        <v>0.0</v>
      </c>
      <c r="K2517" s="1">
        <v>0.02</v>
      </c>
      <c r="L2517" s="1">
        <v>622000.0</v>
      </c>
      <c r="M2517" s="1" t="s">
        <v>7821</v>
      </c>
      <c r="N2517" s="18">
        <v>46018.0</v>
      </c>
      <c r="O2517" s="1" t="s">
        <v>5079</v>
      </c>
      <c r="P2517" s="1" t="s">
        <v>3294</v>
      </c>
      <c r="Q2517" s="1" t="s">
        <v>3408</v>
      </c>
    </row>
    <row r="2518">
      <c r="A2518" s="1" t="s">
        <v>7822</v>
      </c>
      <c r="B2518" s="1">
        <v>81.0</v>
      </c>
      <c r="C2518" s="1">
        <v>720.0</v>
      </c>
      <c r="D2518" s="2" t="s">
        <v>581</v>
      </c>
      <c r="E2518" s="1">
        <v>81.0</v>
      </c>
      <c r="F2518" s="1">
        <v>54.0</v>
      </c>
      <c r="G2518" s="1">
        <v>19.39</v>
      </c>
      <c r="H2518" s="1">
        <v>0.0</v>
      </c>
      <c r="I2518" s="1">
        <v>0.0</v>
      </c>
      <c r="J2518" s="1">
        <v>0.0</v>
      </c>
      <c r="K2518" s="1">
        <v>0.78</v>
      </c>
      <c r="L2518" s="1">
        <v>1.18E7</v>
      </c>
      <c r="M2518" s="1" t="s">
        <v>7823</v>
      </c>
      <c r="N2518" s="18">
        <v>46018.0</v>
      </c>
      <c r="O2518" s="1" t="s">
        <v>3892</v>
      </c>
      <c r="P2518" s="1" t="s">
        <v>3257</v>
      </c>
      <c r="Q2518" s="1" t="s">
        <v>3408</v>
      </c>
    </row>
    <row r="2519">
      <c r="A2519" s="1" t="s">
        <v>5900</v>
      </c>
      <c r="B2519" s="1">
        <v>81.0</v>
      </c>
      <c r="C2519" s="1">
        <v>90.0</v>
      </c>
      <c r="D2519" s="2" t="s">
        <v>778</v>
      </c>
      <c r="E2519" s="1">
        <v>81.0</v>
      </c>
      <c r="F2519" s="1">
        <v>10.0</v>
      </c>
      <c r="G2519" s="1">
        <v>0.0</v>
      </c>
      <c r="H2519" s="1">
        <v>0.0</v>
      </c>
      <c r="I2519" s="1">
        <v>0.0</v>
      </c>
      <c r="J2519" s="1">
        <v>0.0</v>
      </c>
      <c r="K2519" s="1">
        <v>0.0</v>
      </c>
      <c r="L2519" s="1">
        <v>5460000.0</v>
      </c>
      <c r="M2519" s="1" t="s">
        <v>5901</v>
      </c>
      <c r="N2519" s="18">
        <v>46015.0</v>
      </c>
      <c r="O2519" s="1" t="s">
        <v>4089</v>
      </c>
      <c r="P2519" s="1" t="s">
        <v>3230</v>
      </c>
      <c r="Q2519" s="1" t="s">
        <v>3408</v>
      </c>
    </row>
    <row r="2520">
      <c r="A2520" s="1" t="s">
        <v>7824</v>
      </c>
      <c r="B2520" s="1">
        <v>81.0</v>
      </c>
      <c r="C2520" s="1">
        <v>50.0</v>
      </c>
      <c r="D2520" s="2" t="s">
        <v>581</v>
      </c>
      <c r="E2520" s="1">
        <v>81.0</v>
      </c>
      <c r="F2520" s="1">
        <v>0.0</v>
      </c>
      <c r="G2520" s="1">
        <v>0.0</v>
      </c>
      <c r="H2520" s="1">
        <v>0.0</v>
      </c>
      <c r="I2520" s="1">
        <v>0.0</v>
      </c>
      <c r="J2520" s="1">
        <v>0.0</v>
      </c>
      <c r="K2520" s="1">
        <v>0.02</v>
      </c>
      <c r="L2520" s="1">
        <v>102000.0</v>
      </c>
      <c r="M2520" s="1" t="s">
        <v>7825</v>
      </c>
      <c r="N2520" s="18">
        <v>46014.0</v>
      </c>
      <c r="O2520" s="1" t="s">
        <v>4557</v>
      </c>
      <c r="P2520" s="1" t="s">
        <v>3257</v>
      </c>
      <c r="Q2520" s="1" t="s">
        <v>3408</v>
      </c>
    </row>
    <row r="2521">
      <c r="A2521" s="1" t="s">
        <v>7826</v>
      </c>
      <c r="B2521" s="1">
        <v>81.0</v>
      </c>
      <c r="C2521" s="1">
        <v>90.0</v>
      </c>
      <c r="D2521" s="2" t="s">
        <v>581</v>
      </c>
      <c r="E2521" s="1">
        <v>81.0</v>
      </c>
      <c r="F2521" s="1">
        <v>6.0</v>
      </c>
      <c r="G2521" s="1">
        <v>0.0</v>
      </c>
      <c r="H2521" s="1">
        <v>0.0</v>
      </c>
      <c r="I2521" s="1">
        <v>0.0</v>
      </c>
      <c r="J2521" s="1">
        <v>0.0</v>
      </c>
      <c r="K2521" s="1">
        <v>0.0</v>
      </c>
      <c r="L2521" s="1">
        <v>2760000.0</v>
      </c>
      <c r="M2521" s="1" t="s">
        <v>7827</v>
      </c>
      <c r="N2521" s="18">
        <v>46012.0</v>
      </c>
      <c r="O2521" s="1" t="s">
        <v>7828</v>
      </c>
      <c r="P2521" s="1" t="s">
        <v>3257</v>
      </c>
      <c r="Q2521" s="1" t="s">
        <v>3408</v>
      </c>
    </row>
    <row r="2522">
      <c r="A2522" s="1" t="s">
        <v>7829</v>
      </c>
      <c r="B2522" s="1">
        <v>81.0</v>
      </c>
      <c r="C2522" s="1">
        <v>720.0</v>
      </c>
      <c r="D2522" s="2" t="s">
        <v>1473</v>
      </c>
      <c r="E2522" s="1">
        <v>81.0</v>
      </c>
      <c r="F2522" s="1">
        <v>60.0</v>
      </c>
      <c r="G2522" s="1">
        <v>0.0</v>
      </c>
      <c r="H2522" s="1">
        <v>0.0</v>
      </c>
      <c r="I2522" s="1">
        <v>0.0</v>
      </c>
      <c r="J2522" s="1">
        <v>0.0</v>
      </c>
      <c r="K2522" s="1">
        <v>0.0</v>
      </c>
      <c r="L2522" s="1">
        <v>5.88E8</v>
      </c>
      <c r="M2522" s="1" t="s">
        <v>7830</v>
      </c>
      <c r="N2522" s="18">
        <v>46011.0</v>
      </c>
      <c r="O2522" s="1" t="s">
        <v>5344</v>
      </c>
      <c r="P2522" s="1" t="s">
        <v>3230</v>
      </c>
      <c r="Q2522" s="1" t="s">
        <v>3408</v>
      </c>
    </row>
    <row r="2523">
      <c r="A2523" s="1" t="s">
        <v>7831</v>
      </c>
      <c r="B2523" s="1">
        <v>81.0</v>
      </c>
      <c r="C2523" s="1">
        <v>140.0</v>
      </c>
      <c r="D2523" s="2" t="s">
        <v>581</v>
      </c>
      <c r="E2523" s="1">
        <v>81.0</v>
      </c>
      <c r="F2523" s="1">
        <v>17.0</v>
      </c>
      <c r="G2523" s="1">
        <v>4.56</v>
      </c>
      <c r="H2523" s="1">
        <v>0.0</v>
      </c>
      <c r="I2523" s="1">
        <v>0.0</v>
      </c>
      <c r="J2523" s="1">
        <v>0.0</v>
      </c>
      <c r="K2523" s="1">
        <v>0.14</v>
      </c>
      <c r="L2523" s="1">
        <v>1.16E8</v>
      </c>
      <c r="M2523" s="1" t="s">
        <v>7832</v>
      </c>
      <c r="N2523" s="18">
        <v>46011.0</v>
      </c>
      <c r="O2523" s="1" t="s">
        <v>3432</v>
      </c>
      <c r="P2523" s="1" t="s">
        <v>3257</v>
      </c>
      <c r="Q2523" s="1" t="s">
        <v>3408</v>
      </c>
    </row>
    <row r="2524">
      <c r="A2524" s="1" t="s">
        <v>4688</v>
      </c>
      <c r="B2524" s="1">
        <v>81.0</v>
      </c>
      <c r="C2524" s="1">
        <v>70.0</v>
      </c>
      <c r="D2524" s="2" t="s">
        <v>720</v>
      </c>
      <c r="E2524" s="1">
        <v>81.0</v>
      </c>
      <c r="F2524" s="1">
        <v>5.0</v>
      </c>
      <c r="G2524" s="1">
        <v>0.0</v>
      </c>
      <c r="H2524" s="1">
        <v>0.0</v>
      </c>
      <c r="I2524" s="1">
        <v>0.0</v>
      </c>
      <c r="J2524" s="1">
        <v>0.0</v>
      </c>
      <c r="K2524" s="1">
        <v>0.0</v>
      </c>
      <c r="L2524" s="1">
        <v>388000.0</v>
      </c>
      <c r="M2524" s="1" t="s">
        <v>4689</v>
      </c>
      <c r="N2524" s="18">
        <v>46007.0</v>
      </c>
      <c r="O2524" s="1" t="s">
        <v>3258</v>
      </c>
      <c r="P2524" s="1" t="s">
        <v>3257</v>
      </c>
      <c r="Q2524" s="1" t="s">
        <v>3408</v>
      </c>
    </row>
    <row r="2525">
      <c r="A2525" s="1" t="s">
        <v>7833</v>
      </c>
      <c r="B2525" s="1">
        <v>81.0</v>
      </c>
      <c r="C2525" s="1">
        <v>390.0</v>
      </c>
      <c r="D2525" s="2" t="s">
        <v>681</v>
      </c>
      <c r="E2525" s="1">
        <v>81.0</v>
      </c>
      <c r="F2525" s="1">
        <v>8.0</v>
      </c>
      <c r="G2525" s="1">
        <v>0.3</v>
      </c>
      <c r="H2525" s="1">
        <v>0.0</v>
      </c>
      <c r="I2525" s="1">
        <v>0.0</v>
      </c>
      <c r="J2525" s="1">
        <v>0.0</v>
      </c>
      <c r="K2525" s="1">
        <v>0.16</v>
      </c>
      <c r="L2525" s="1">
        <v>1.49E7</v>
      </c>
      <c r="M2525" s="1" t="s">
        <v>7834</v>
      </c>
      <c r="N2525" s="18">
        <v>46007.0</v>
      </c>
      <c r="O2525" s="1" t="s">
        <v>3840</v>
      </c>
      <c r="P2525" s="1" t="s">
        <v>3230</v>
      </c>
      <c r="Q2525" s="1" t="s">
        <v>3408</v>
      </c>
    </row>
    <row r="2526">
      <c r="A2526" s="1" t="s">
        <v>7835</v>
      </c>
      <c r="B2526" s="1">
        <v>81.0</v>
      </c>
      <c r="C2526" s="1">
        <v>90.0</v>
      </c>
      <c r="D2526" s="2" t="s">
        <v>772</v>
      </c>
      <c r="E2526" s="1">
        <v>81.0</v>
      </c>
      <c r="F2526" s="1">
        <v>7.0</v>
      </c>
      <c r="G2526" s="1">
        <v>0.0</v>
      </c>
      <c r="H2526" s="1">
        <v>0.0</v>
      </c>
      <c r="I2526" s="1">
        <v>0.0</v>
      </c>
      <c r="J2526" s="1">
        <v>0.0</v>
      </c>
      <c r="K2526" s="1">
        <v>0.0</v>
      </c>
      <c r="L2526" s="1">
        <v>1470000.0</v>
      </c>
      <c r="M2526" s="1" t="s">
        <v>7836</v>
      </c>
      <c r="N2526" s="18">
        <v>46006.0</v>
      </c>
      <c r="O2526" s="1" t="s">
        <v>4226</v>
      </c>
      <c r="P2526" s="1" t="s">
        <v>3257</v>
      </c>
      <c r="Q2526" s="1" t="s">
        <v>3408</v>
      </c>
    </row>
    <row r="2527">
      <c r="A2527" s="1" t="s">
        <v>7837</v>
      </c>
      <c r="B2527" s="1">
        <v>81.0</v>
      </c>
      <c r="C2527" s="1">
        <v>70.0</v>
      </c>
      <c r="D2527" s="2" t="s">
        <v>740</v>
      </c>
      <c r="E2527" s="1">
        <v>81.0</v>
      </c>
      <c r="F2527" s="1">
        <v>21.0</v>
      </c>
      <c r="G2527" s="1">
        <v>0.0</v>
      </c>
      <c r="H2527" s="1">
        <v>0.0</v>
      </c>
      <c r="I2527" s="1">
        <v>0.0</v>
      </c>
      <c r="J2527" s="1">
        <v>0.0</v>
      </c>
      <c r="K2527" s="1">
        <v>0.14</v>
      </c>
      <c r="L2527" s="1">
        <v>2.51E7</v>
      </c>
      <c r="M2527" s="1" t="s">
        <v>7838</v>
      </c>
      <c r="N2527" s="18">
        <v>46001.0</v>
      </c>
      <c r="O2527" s="1" t="s">
        <v>3479</v>
      </c>
      <c r="P2527" s="1" t="s">
        <v>3230</v>
      </c>
      <c r="Q2527" s="1" t="s">
        <v>3408</v>
      </c>
    </row>
    <row r="2528">
      <c r="A2528" s="1" t="s">
        <v>7839</v>
      </c>
      <c r="B2528" s="1">
        <v>81.0</v>
      </c>
      <c r="C2528" s="1">
        <v>480.0</v>
      </c>
      <c r="D2528" s="2" t="s">
        <v>754</v>
      </c>
      <c r="E2528" s="1">
        <v>81.0</v>
      </c>
      <c r="F2528" s="1">
        <v>32.0</v>
      </c>
      <c r="G2528" s="1">
        <v>47.65</v>
      </c>
      <c r="H2528" s="1">
        <v>0.0</v>
      </c>
      <c r="I2528" s="1">
        <v>0.0</v>
      </c>
      <c r="J2528" s="1">
        <v>0.0</v>
      </c>
      <c r="K2528" s="1">
        <v>0.2</v>
      </c>
      <c r="L2528" s="1">
        <v>1.13E8</v>
      </c>
      <c r="M2528" s="1" t="s">
        <v>7840</v>
      </c>
      <c r="N2528" s="18">
        <v>45998.0</v>
      </c>
      <c r="O2528" s="1" t="s">
        <v>4918</v>
      </c>
      <c r="P2528" s="1" t="s">
        <v>3230</v>
      </c>
      <c r="Q2528" s="1" t="s">
        <v>3408</v>
      </c>
    </row>
    <row r="2529">
      <c r="A2529" s="1" t="s">
        <v>7841</v>
      </c>
      <c r="B2529" s="1">
        <v>81.0</v>
      </c>
      <c r="C2529" s="1">
        <v>90.0</v>
      </c>
      <c r="D2529" s="2" t="s">
        <v>581</v>
      </c>
      <c r="E2529" s="1">
        <v>81.0</v>
      </c>
      <c r="F2529" s="1">
        <v>6.0</v>
      </c>
      <c r="G2529" s="1">
        <v>4.84</v>
      </c>
      <c r="H2529" s="1">
        <v>0.0</v>
      </c>
      <c r="I2529" s="1">
        <v>0.0</v>
      </c>
      <c r="J2529" s="1">
        <v>0.0</v>
      </c>
      <c r="K2529" s="1">
        <v>0.09</v>
      </c>
      <c r="L2529" s="1">
        <v>4.46E7</v>
      </c>
      <c r="M2529" s="1" t="s">
        <v>7842</v>
      </c>
      <c r="N2529" s="18">
        <v>45995.0</v>
      </c>
      <c r="O2529" s="1" t="s">
        <v>4183</v>
      </c>
      <c r="P2529" s="1" t="s">
        <v>3257</v>
      </c>
      <c r="Q2529" s="1" t="s">
        <v>3408</v>
      </c>
    </row>
    <row r="2530">
      <c r="A2530" s="1" t="s">
        <v>7843</v>
      </c>
      <c r="B2530" s="1">
        <v>81.0</v>
      </c>
      <c r="C2530" s="1">
        <v>40.0</v>
      </c>
      <c r="D2530" s="2" t="s">
        <v>439</v>
      </c>
      <c r="E2530" s="1">
        <v>81.0</v>
      </c>
      <c r="F2530" s="1">
        <v>14.0</v>
      </c>
      <c r="G2530" s="1">
        <v>1.06</v>
      </c>
      <c r="H2530" s="1">
        <v>0.0</v>
      </c>
      <c r="I2530" s="1">
        <v>0.0</v>
      </c>
      <c r="J2530" s="1">
        <v>0.0</v>
      </c>
      <c r="K2530" s="1">
        <v>0.15</v>
      </c>
      <c r="L2530" s="1">
        <v>4030000.0</v>
      </c>
      <c r="M2530" s="1" t="s">
        <v>7844</v>
      </c>
      <c r="N2530" s="18">
        <v>45995.0</v>
      </c>
      <c r="O2530" s="1" t="s">
        <v>7845</v>
      </c>
      <c r="P2530" s="1" t="s">
        <v>3294</v>
      </c>
      <c r="Q2530" s="1" t="s">
        <v>3408</v>
      </c>
    </row>
    <row r="2531">
      <c r="A2531" s="1" t="s">
        <v>7717</v>
      </c>
      <c r="B2531" s="1">
        <v>81.0</v>
      </c>
      <c r="C2531" s="1">
        <v>90.0</v>
      </c>
      <c r="D2531" s="2" t="s">
        <v>439</v>
      </c>
      <c r="E2531" s="1">
        <v>81.0</v>
      </c>
      <c r="F2531" s="1">
        <v>12.0</v>
      </c>
      <c r="G2531" s="1">
        <v>0.0</v>
      </c>
      <c r="H2531" s="1">
        <v>0.0</v>
      </c>
      <c r="I2531" s="1">
        <v>0.0</v>
      </c>
      <c r="J2531" s="1">
        <v>0.0</v>
      </c>
      <c r="K2531" s="1">
        <v>0.0</v>
      </c>
      <c r="L2531" s="1">
        <v>7300.0</v>
      </c>
      <c r="M2531" s="1" t="s">
        <v>7718</v>
      </c>
      <c r="N2531" s="18">
        <v>45993.0</v>
      </c>
      <c r="O2531" s="1" t="s">
        <v>3821</v>
      </c>
      <c r="P2531" s="1" t="s">
        <v>3230</v>
      </c>
      <c r="Q2531" s="1" t="s">
        <v>3408</v>
      </c>
    </row>
    <row r="2532">
      <c r="A2532" s="1" t="s">
        <v>4593</v>
      </c>
      <c r="B2532" s="1">
        <v>81.0</v>
      </c>
      <c r="C2532" s="1">
        <v>50.0</v>
      </c>
      <c r="D2532" s="2" t="s">
        <v>463</v>
      </c>
      <c r="E2532" s="1">
        <v>81.0</v>
      </c>
      <c r="F2532" s="1">
        <v>43.0</v>
      </c>
      <c r="G2532" s="1">
        <v>14.11</v>
      </c>
      <c r="H2532" s="1">
        <v>0.0</v>
      </c>
      <c r="I2532" s="1">
        <v>0.0</v>
      </c>
      <c r="J2532" s="1">
        <v>0.0</v>
      </c>
      <c r="K2532" s="1">
        <v>0.6</v>
      </c>
      <c r="L2532" s="1">
        <v>223000.0</v>
      </c>
      <c r="M2532" s="1" t="s">
        <v>4594</v>
      </c>
      <c r="N2532" s="18">
        <v>45992.0</v>
      </c>
      <c r="O2532" s="1" t="s">
        <v>3673</v>
      </c>
      <c r="P2532" s="1" t="s">
        <v>3257</v>
      </c>
      <c r="Q2532" s="1" t="s">
        <v>3408</v>
      </c>
    </row>
    <row r="2533">
      <c r="A2533" s="1" t="s">
        <v>7846</v>
      </c>
      <c r="B2533" s="1">
        <v>81.0</v>
      </c>
      <c r="C2533" s="1">
        <v>90.0</v>
      </c>
      <c r="D2533" s="2" t="s">
        <v>724</v>
      </c>
      <c r="E2533" s="1">
        <v>81.0</v>
      </c>
      <c r="F2533" s="1">
        <v>11.0</v>
      </c>
      <c r="G2533" s="1">
        <v>0.0</v>
      </c>
      <c r="H2533" s="1">
        <v>0.0</v>
      </c>
      <c r="I2533" s="1">
        <v>0.0</v>
      </c>
      <c r="J2533" s="1">
        <v>0.0</v>
      </c>
      <c r="K2533" s="1">
        <v>0.15</v>
      </c>
      <c r="L2533" s="1">
        <v>1480000.0</v>
      </c>
      <c r="M2533" s="1" t="s">
        <v>7847</v>
      </c>
      <c r="N2533" s="18">
        <v>45990.0</v>
      </c>
      <c r="O2533" s="1" t="s">
        <v>7309</v>
      </c>
      <c r="P2533" s="1" t="s">
        <v>3257</v>
      </c>
      <c r="Q2533" s="1" t="s">
        <v>3408</v>
      </c>
    </row>
    <row r="2534">
      <c r="A2534" s="1" t="s">
        <v>7432</v>
      </c>
      <c r="B2534" s="1">
        <v>81.0</v>
      </c>
      <c r="C2534" s="1">
        <v>70.0</v>
      </c>
      <c r="D2534" s="2" t="s">
        <v>2048</v>
      </c>
      <c r="E2534" s="1">
        <v>81.0</v>
      </c>
      <c r="F2534" s="1">
        <v>14.0</v>
      </c>
      <c r="G2534" s="1">
        <v>0.0</v>
      </c>
      <c r="H2534" s="1">
        <v>0.0</v>
      </c>
      <c r="I2534" s="1">
        <v>0.0</v>
      </c>
      <c r="J2534" s="1">
        <v>0.0</v>
      </c>
      <c r="K2534" s="1">
        <v>0.0</v>
      </c>
      <c r="L2534" s="1">
        <v>3.9E7</v>
      </c>
      <c r="M2534" s="1" t="s">
        <v>7433</v>
      </c>
      <c r="N2534" s="18">
        <v>45988.0</v>
      </c>
      <c r="O2534" s="1" t="s">
        <v>6875</v>
      </c>
      <c r="P2534" s="1" t="s">
        <v>3230</v>
      </c>
      <c r="Q2534" s="1" t="s">
        <v>3408</v>
      </c>
    </row>
    <row r="2535">
      <c r="A2535" s="1" t="s">
        <v>7848</v>
      </c>
      <c r="B2535" s="1">
        <v>81.0</v>
      </c>
      <c r="C2535" s="1">
        <v>70.0</v>
      </c>
      <c r="D2535" s="2" t="s">
        <v>1475</v>
      </c>
      <c r="E2535" s="1">
        <v>81.0</v>
      </c>
      <c r="F2535" s="1">
        <v>16.0</v>
      </c>
      <c r="G2535" s="1">
        <v>7.71</v>
      </c>
      <c r="H2535" s="1">
        <v>0.0</v>
      </c>
      <c r="I2535" s="1">
        <v>0.0</v>
      </c>
      <c r="J2535" s="1">
        <v>0.0</v>
      </c>
      <c r="K2535" s="1">
        <v>0.01</v>
      </c>
      <c r="L2535" s="1">
        <v>9.0</v>
      </c>
      <c r="M2535" s="1" t="s">
        <v>7849</v>
      </c>
      <c r="N2535" s="18">
        <v>45986.0</v>
      </c>
      <c r="O2535" s="1" t="s">
        <v>3284</v>
      </c>
      <c r="P2535" s="1" t="s">
        <v>3230</v>
      </c>
      <c r="Q2535" s="1" t="s">
        <v>3408</v>
      </c>
    </row>
    <row r="2536">
      <c r="A2536" s="1" t="s">
        <v>7850</v>
      </c>
      <c r="B2536" s="1">
        <v>81.0</v>
      </c>
      <c r="C2536" s="1">
        <v>40.0</v>
      </c>
      <c r="D2536" s="2" t="s">
        <v>1912</v>
      </c>
      <c r="E2536" s="1">
        <v>81.0</v>
      </c>
      <c r="F2536" s="1">
        <v>13.0</v>
      </c>
      <c r="G2536" s="1">
        <v>4.02</v>
      </c>
      <c r="H2536" s="1">
        <v>0.0</v>
      </c>
      <c r="I2536" s="1">
        <v>0.0</v>
      </c>
      <c r="J2536" s="1">
        <v>0.0</v>
      </c>
      <c r="K2536" s="1">
        <v>0.02</v>
      </c>
      <c r="L2536" s="1">
        <v>173000.0</v>
      </c>
      <c r="M2536" s="1" t="s">
        <v>7851</v>
      </c>
      <c r="N2536" s="18">
        <v>45983.0</v>
      </c>
      <c r="O2536" s="1" t="s">
        <v>4162</v>
      </c>
      <c r="P2536" s="1" t="s">
        <v>3230</v>
      </c>
      <c r="Q2536" s="1" t="s">
        <v>3408</v>
      </c>
    </row>
    <row r="2537">
      <c r="A2537" s="1" t="s">
        <v>7852</v>
      </c>
      <c r="B2537" s="1">
        <v>81.0</v>
      </c>
      <c r="C2537" s="1">
        <v>70.0</v>
      </c>
      <c r="D2537" s="2" t="s">
        <v>1473</v>
      </c>
      <c r="E2537" s="1">
        <v>81.0</v>
      </c>
      <c r="F2537" s="1">
        <v>40.0</v>
      </c>
      <c r="G2537" s="1">
        <v>0.0</v>
      </c>
      <c r="H2537" s="1">
        <v>0.0</v>
      </c>
      <c r="I2537" s="1">
        <v>0.0</v>
      </c>
      <c r="J2537" s="1">
        <v>0.0</v>
      </c>
      <c r="K2537" s="1">
        <v>0.0</v>
      </c>
      <c r="L2537" s="1">
        <v>10.0</v>
      </c>
      <c r="M2537" s="1" t="s">
        <v>7853</v>
      </c>
      <c r="N2537" s="18">
        <v>45980.0</v>
      </c>
      <c r="O2537" s="1" t="s">
        <v>5344</v>
      </c>
      <c r="P2537" s="1" t="s">
        <v>3230</v>
      </c>
      <c r="Q2537" s="1" t="s">
        <v>3408</v>
      </c>
    </row>
    <row r="2538">
      <c r="A2538" s="1" t="s">
        <v>7854</v>
      </c>
      <c r="B2538" s="1">
        <v>81.0</v>
      </c>
      <c r="C2538" s="1">
        <v>70.0</v>
      </c>
      <c r="D2538" s="2" t="s">
        <v>439</v>
      </c>
      <c r="E2538" s="1">
        <v>81.0</v>
      </c>
      <c r="F2538" s="1">
        <v>22.0</v>
      </c>
      <c r="G2538" s="1">
        <v>0.0</v>
      </c>
      <c r="H2538" s="1">
        <v>0.0</v>
      </c>
      <c r="I2538" s="1">
        <v>0.0</v>
      </c>
      <c r="J2538" s="1">
        <v>0.0</v>
      </c>
      <c r="K2538" s="1">
        <v>0.04</v>
      </c>
      <c r="L2538" s="1">
        <v>2880000.0</v>
      </c>
      <c r="M2538" s="1" t="s">
        <v>7855</v>
      </c>
      <c r="N2538" s="18">
        <v>45979.0</v>
      </c>
      <c r="O2538" s="1" t="s">
        <v>3293</v>
      </c>
      <c r="P2538" s="1" t="s">
        <v>3294</v>
      </c>
      <c r="Q2538" s="1" t="s">
        <v>3408</v>
      </c>
    </row>
    <row r="2539">
      <c r="A2539" s="1" t="s">
        <v>7856</v>
      </c>
      <c r="B2539" s="1">
        <v>81.0</v>
      </c>
      <c r="C2539" s="1">
        <v>40.0</v>
      </c>
      <c r="D2539" s="2" t="s">
        <v>439</v>
      </c>
      <c r="E2539" s="1">
        <v>81.0</v>
      </c>
      <c r="F2539" s="1">
        <v>22.0</v>
      </c>
      <c r="G2539" s="1">
        <v>0.0</v>
      </c>
      <c r="H2539" s="1">
        <v>0.0</v>
      </c>
      <c r="I2539" s="1">
        <v>0.0</v>
      </c>
      <c r="J2539" s="1">
        <v>0.0</v>
      </c>
      <c r="K2539" s="1">
        <v>0.07</v>
      </c>
      <c r="L2539" s="1">
        <v>7.86E7</v>
      </c>
      <c r="M2539" s="1" t="s">
        <v>5233</v>
      </c>
      <c r="N2539" s="18">
        <v>45962.0</v>
      </c>
      <c r="O2539" s="1" t="s">
        <v>3293</v>
      </c>
      <c r="P2539" s="1" t="s">
        <v>3294</v>
      </c>
      <c r="Q2539" s="1" t="s">
        <v>3408</v>
      </c>
    </row>
    <row r="2540">
      <c r="A2540" s="1" t="s">
        <v>7857</v>
      </c>
      <c r="B2540" s="1">
        <v>82.0</v>
      </c>
      <c r="C2540" s="1">
        <v>90.0</v>
      </c>
      <c r="D2540" s="2" t="s">
        <v>581</v>
      </c>
      <c r="E2540" s="1">
        <v>82.0</v>
      </c>
      <c r="F2540" s="1">
        <v>19.0</v>
      </c>
      <c r="G2540" s="1">
        <v>0.0</v>
      </c>
      <c r="H2540" s="1">
        <v>0.0</v>
      </c>
      <c r="I2540" s="1">
        <v>0.0</v>
      </c>
      <c r="J2540" s="1">
        <v>0.0</v>
      </c>
      <c r="K2540" s="1">
        <v>0.0</v>
      </c>
      <c r="L2540" s="1">
        <v>1290000.0</v>
      </c>
      <c r="M2540" s="1" t="s">
        <v>7858</v>
      </c>
      <c r="N2540" s="18">
        <v>46038.0</v>
      </c>
      <c r="O2540" s="1" t="s">
        <v>4255</v>
      </c>
      <c r="P2540" s="1" t="s">
        <v>3257</v>
      </c>
      <c r="Q2540" s="1" t="s">
        <v>3408</v>
      </c>
    </row>
    <row r="2541">
      <c r="A2541" s="1" t="s">
        <v>6568</v>
      </c>
      <c r="B2541" s="1">
        <v>82.0</v>
      </c>
      <c r="C2541" s="1">
        <v>110.0</v>
      </c>
      <c r="D2541" s="2" t="s">
        <v>979</v>
      </c>
      <c r="E2541" s="1">
        <v>82.0</v>
      </c>
      <c r="F2541" s="1">
        <v>7.0</v>
      </c>
      <c r="G2541" s="1">
        <v>0.0</v>
      </c>
      <c r="H2541" s="1">
        <v>0.0</v>
      </c>
      <c r="I2541" s="1">
        <v>0.0</v>
      </c>
      <c r="J2541" s="1">
        <v>0.0</v>
      </c>
      <c r="K2541" s="1">
        <v>0.0</v>
      </c>
      <c r="L2541" s="1">
        <v>6.69E8</v>
      </c>
      <c r="M2541" s="1" t="s">
        <v>6569</v>
      </c>
      <c r="N2541" s="18">
        <v>46038.0</v>
      </c>
      <c r="O2541" s="1" t="s">
        <v>6570</v>
      </c>
      <c r="P2541" s="1" t="s">
        <v>3230</v>
      </c>
      <c r="Q2541" s="1" t="s">
        <v>3408</v>
      </c>
    </row>
    <row r="2542">
      <c r="A2542" s="1" t="s">
        <v>7859</v>
      </c>
      <c r="B2542" s="1">
        <v>82.0</v>
      </c>
      <c r="C2542" s="1">
        <v>260.0</v>
      </c>
      <c r="D2542" s="2" t="s">
        <v>1103</v>
      </c>
      <c r="E2542" s="1">
        <v>82.0</v>
      </c>
      <c r="F2542" s="1">
        <v>19.0</v>
      </c>
      <c r="G2542" s="1">
        <v>2.59</v>
      </c>
      <c r="H2542" s="1">
        <v>0.0</v>
      </c>
      <c r="I2542" s="1">
        <v>0.0</v>
      </c>
      <c r="J2542" s="1">
        <v>0.0</v>
      </c>
      <c r="K2542" s="1">
        <v>0.2</v>
      </c>
      <c r="L2542" s="1">
        <v>1.96E7</v>
      </c>
      <c r="M2542" s="1" t="s">
        <v>7860</v>
      </c>
      <c r="N2542" s="18">
        <v>46037.0</v>
      </c>
      <c r="O2542" s="1" t="s">
        <v>3628</v>
      </c>
      <c r="P2542" s="1" t="s">
        <v>3301</v>
      </c>
      <c r="Q2542" s="1" t="s">
        <v>3408</v>
      </c>
    </row>
    <row r="2543">
      <c r="A2543" s="1" t="s">
        <v>7861</v>
      </c>
      <c r="B2543" s="1">
        <v>82.0</v>
      </c>
      <c r="C2543" s="1">
        <v>590.0</v>
      </c>
      <c r="D2543" s="2" t="s">
        <v>439</v>
      </c>
      <c r="E2543" s="1">
        <v>82.0</v>
      </c>
      <c r="F2543" s="1">
        <v>36.0</v>
      </c>
      <c r="G2543" s="1">
        <v>2.49</v>
      </c>
      <c r="H2543" s="1">
        <v>0.0</v>
      </c>
      <c r="I2543" s="1">
        <v>0.0</v>
      </c>
      <c r="J2543" s="1">
        <v>0.0</v>
      </c>
      <c r="K2543" s="1">
        <v>0.01</v>
      </c>
      <c r="L2543" s="1">
        <v>32600.0</v>
      </c>
      <c r="M2543" s="1" t="s">
        <v>7862</v>
      </c>
      <c r="N2543" s="18">
        <v>46034.0</v>
      </c>
      <c r="O2543" s="1" t="s">
        <v>3293</v>
      </c>
      <c r="P2543" s="1" t="s">
        <v>3294</v>
      </c>
      <c r="Q2543" s="1" t="s">
        <v>3408</v>
      </c>
    </row>
    <row r="2544">
      <c r="A2544" s="1" t="s">
        <v>7863</v>
      </c>
      <c r="B2544" s="1">
        <v>82.0</v>
      </c>
      <c r="C2544" s="1">
        <v>50.0</v>
      </c>
      <c r="D2544" s="2" t="s">
        <v>581</v>
      </c>
      <c r="E2544" s="1">
        <v>82.0</v>
      </c>
      <c r="F2544" s="1">
        <v>30.0</v>
      </c>
      <c r="G2544" s="1">
        <v>0.0</v>
      </c>
      <c r="H2544" s="1">
        <v>0.0</v>
      </c>
      <c r="I2544" s="1">
        <v>0.0</v>
      </c>
      <c r="J2544" s="1">
        <v>0.0</v>
      </c>
      <c r="K2544" s="1">
        <v>0.0</v>
      </c>
      <c r="L2544" s="1">
        <v>277000.0</v>
      </c>
      <c r="M2544" s="1" t="s">
        <v>7864</v>
      </c>
      <c r="N2544" s="18">
        <v>46032.0</v>
      </c>
      <c r="O2544" s="1" t="s">
        <v>6142</v>
      </c>
      <c r="P2544" s="1" t="s">
        <v>3257</v>
      </c>
      <c r="Q2544" s="1" t="s">
        <v>3408</v>
      </c>
    </row>
    <row r="2545">
      <c r="A2545" s="1" t="s">
        <v>7865</v>
      </c>
      <c r="B2545" s="1">
        <v>82.0</v>
      </c>
      <c r="C2545" s="1">
        <v>40.0</v>
      </c>
      <c r="D2545" s="2" t="s">
        <v>1868</v>
      </c>
      <c r="E2545" s="1">
        <v>82.0</v>
      </c>
      <c r="F2545" s="1">
        <v>60.0</v>
      </c>
      <c r="G2545" s="1">
        <v>0.0</v>
      </c>
      <c r="H2545" s="1">
        <v>0.0</v>
      </c>
      <c r="I2545" s="1">
        <v>0.0</v>
      </c>
      <c r="J2545" s="1">
        <v>0.0</v>
      </c>
      <c r="K2545" s="1">
        <v>0.0</v>
      </c>
      <c r="L2545" s="1">
        <v>4.22E8</v>
      </c>
      <c r="M2545" s="1" t="s">
        <v>7866</v>
      </c>
      <c r="N2545" s="18">
        <v>46032.0</v>
      </c>
      <c r="O2545" s="1" t="s">
        <v>5650</v>
      </c>
      <c r="P2545" s="1" t="s">
        <v>3230</v>
      </c>
      <c r="Q2545" s="1" t="s">
        <v>3408</v>
      </c>
    </row>
    <row r="2546">
      <c r="A2546" s="1" t="s">
        <v>7867</v>
      </c>
      <c r="B2546" s="1">
        <v>82.0</v>
      </c>
      <c r="C2546" s="1">
        <v>40.0</v>
      </c>
      <c r="D2546" s="2" t="s">
        <v>1204</v>
      </c>
      <c r="E2546" s="1">
        <v>82.0</v>
      </c>
      <c r="F2546" s="1">
        <v>9.0</v>
      </c>
      <c r="G2546" s="1">
        <v>0.0</v>
      </c>
      <c r="H2546" s="1">
        <v>0.0</v>
      </c>
      <c r="I2546" s="1">
        <v>0.0</v>
      </c>
      <c r="J2546" s="1">
        <v>0.0</v>
      </c>
      <c r="K2546" s="1">
        <v>0.0</v>
      </c>
      <c r="L2546" s="1">
        <v>341000.0</v>
      </c>
      <c r="M2546" s="1" t="s">
        <v>7868</v>
      </c>
      <c r="N2546" s="18">
        <v>46030.0</v>
      </c>
      <c r="O2546" s="1" t="s">
        <v>4084</v>
      </c>
      <c r="P2546" s="1" t="s">
        <v>3257</v>
      </c>
      <c r="Q2546" s="1" t="s">
        <v>3408</v>
      </c>
    </row>
    <row r="2547">
      <c r="A2547" s="1" t="s">
        <v>7869</v>
      </c>
      <c r="B2547" s="1">
        <v>82.0</v>
      </c>
      <c r="C2547" s="1">
        <v>170.0</v>
      </c>
      <c r="D2547" s="2" t="s">
        <v>1536</v>
      </c>
      <c r="E2547" s="1">
        <v>82.0</v>
      </c>
      <c r="F2547" s="1">
        <v>5.0</v>
      </c>
      <c r="G2547" s="1">
        <v>6.74</v>
      </c>
      <c r="H2547" s="1">
        <v>0.0</v>
      </c>
      <c r="I2547" s="1">
        <v>0.0</v>
      </c>
      <c r="J2547" s="1">
        <v>0.0</v>
      </c>
      <c r="K2547" s="1">
        <v>0.1</v>
      </c>
      <c r="L2547" s="1">
        <v>3.38E7</v>
      </c>
      <c r="M2547" s="1" t="s">
        <v>7870</v>
      </c>
      <c r="N2547" s="18">
        <v>46027.0</v>
      </c>
      <c r="O2547" s="1" t="s">
        <v>3264</v>
      </c>
      <c r="P2547" s="1" t="s">
        <v>3230</v>
      </c>
      <c r="Q2547" s="1" t="s">
        <v>3408</v>
      </c>
    </row>
    <row r="2548">
      <c r="A2548" s="1" t="s">
        <v>7871</v>
      </c>
      <c r="B2548" s="1">
        <v>82.0</v>
      </c>
      <c r="C2548" s="1">
        <v>70.0</v>
      </c>
      <c r="D2548" s="2" t="s">
        <v>455</v>
      </c>
      <c r="E2548" s="1">
        <v>82.0</v>
      </c>
      <c r="F2548" s="1">
        <v>19.0</v>
      </c>
      <c r="G2548" s="1">
        <v>0.0</v>
      </c>
      <c r="H2548" s="1">
        <v>0.0</v>
      </c>
      <c r="I2548" s="1">
        <v>0.0</v>
      </c>
      <c r="J2548" s="1">
        <v>0.0</v>
      </c>
      <c r="K2548" s="1">
        <v>0.0</v>
      </c>
      <c r="L2548" s="1">
        <v>1.42E7</v>
      </c>
      <c r="M2548" s="1" t="s">
        <v>7872</v>
      </c>
      <c r="N2548" s="18">
        <v>46025.0</v>
      </c>
      <c r="O2548" s="1" t="s">
        <v>3421</v>
      </c>
      <c r="P2548" s="1" t="s">
        <v>3462</v>
      </c>
      <c r="Q2548" s="1" t="s">
        <v>3408</v>
      </c>
    </row>
    <row r="2549">
      <c r="A2549" s="1" t="s">
        <v>7873</v>
      </c>
      <c r="B2549" s="1">
        <v>82.0</v>
      </c>
      <c r="C2549" s="1">
        <v>90.0</v>
      </c>
      <c r="D2549" s="2" t="s">
        <v>592</v>
      </c>
      <c r="E2549" s="1">
        <v>82.0</v>
      </c>
      <c r="F2549" s="1">
        <v>1.0</v>
      </c>
      <c r="G2549" s="1">
        <v>10.27</v>
      </c>
      <c r="H2549" s="1">
        <v>0.0</v>
      </c>
      <c r="I2549" s="1">
        <v>0.0</v>
      </c>
      <c r="J2549" s="1">
        <v>0.0</v>
      </c>
      <c r="K2549" s="1">
        <v>0.39</v>
      </c>
      <c r="L2549" s="1">
        <v>533000.0</v>
      </c>
      <c r="M2549" s="1" t="s">
        <v>7874</v>
      </c>
      <c r="N2549" s="18">
        <v>46024.0</v>
      </c>
      <c r="O2549" s="1" t="s">
        <v>5364</v>
      </c>
      <c r="P2549" s="1" t="s">
        <v>3257</v>
      </c>
      <c r="Q2549" s="1" t="s">
        <v>3408</v>
      </c>
    </row>
    <row r="2550">
      <c r="A2550" s="1" t="s">
        <v>7875</v>
      </c>
      <c r="B2550" s="1">
        <v>82.0</v>
      </c>
      <c r="C2550" s="1">
        <v>50.0</v>
      </c>
      <c r="D2550" s="2" t="s">
        <v>1052</v>
      </c>
      <c r="E2550" s="1">
        <v>82.0</v>
      </c>
      <c r="F2550" s="1">
        <v>24.0</v>
      </c>
      <c r="G2550" s="1">
        <v>0.0</v>
      </c>
      <c r="H2550" s="1">
        <v>0.0</v>
      </c>
      <c r="I2550" s="1">
        <v>0.0</v>
      </c>
      <c r="J2550" s="1">
        <v>0.0</v>
      </c>
      <c r="K2550" s="1">
        <v>0.0</v>
      </c>
      <c r="L2550" s="1">
        <v>2.13E8</v>
      </c>
      <c r="M2550" s="1" t="s">
        <v>7876</v>
      </c>
      <c r="N2550" s="18">
        <v>46022.0</v>
      </c>
      <c r="O2550" s="1" t="s">
        <v>3479</v>
      </c>
      <c r="P2550" s="1" t="s">
        <v>3230</v>
      </c>
      <c r="Q2550" s="1" t="s">
        <v>3408</v>
      </c>
    </row>
    <row r="2551">
      <c r="A2551" s="1" t="s">
        <v>5431</v>
      </c>
      <c r="B2551" s="1">
        <v>82.0</v>
      </c>
      <c r="C2551" s="1">
        <v>170.0</v>
      </c>
      <c r="D2551" s="2" t="s">
        <v>2433</v>
      </c>
      <c r="E2551" s="1">
        <v>82.0</v>
      </c>
      <c r="F2551" s="1">
        <v>15.0</v>
      </c>
      <c r="G2551" s="1">
        <v>0.0</v>
      </c>
      <c r="H2551" s="1">
        <v>0.0</v>
      </c>
      <c r="I2551" s="1">
        <v>0.0</v>
      </c>
      <c r="J2551" s="1">
        <v>0.0</v>
      </c>
      <c r="K2551" s="1">
        <v>0.03</v>
      </c>
      <c r="L2551" s="1">
        <v>1.05E7</v>
      </c>
      <c r="M2551" s="1" t="s">
        <v>5432</v>
      </c>
      <c r="N2551" s="18">
        <v>46022.0</v>
      </c>
      <c r="O2551" s="1" t="s">
        <v>3427</v>
      </c>
      <c r="P2551" s="1" t="s">
        <v>3257</v>
      </c>
      <c r="Q2551" s="1" t="s">
        <v>3408</v>
      </c>
    </row>
    <row r="2552">
      <c r="A2552" s="1" t="s">
        <v>3890</v>
      </c>
      <c r="B2552" s="1">
        <v>82.0</v>
      </c>
      <c r="C2552" s="1">
        <v>90.0</v>
      </c>
      <c r="D2552" s="2" t="s">
        <v>1436</v>
      </c>
      <c r="E2552" s="1">
        <v>82.0</v>
      </c>
      <c r="G2552" s="1">
        <v>22.8</v>
      </c>
      <c r="H2552" s="1">
        <v>0.0</v>
      </c>
      <c r="I2552" s="1">
        <v>0.0</v>
      </c>
      <c r="J2552" s="1">
        <v>0.0</v>
      </c>
      <c r="K2552" s="1">
        <v>0.54</v>
      </c>
      <c r="L2552" s="1">
        <v>129000.0</v>
      </c>
      <c r="M2552" s="1" t="s">
        <v>3891</v>
      </c>
      <c r="N2552" s="18">
        <v>46022.0</v>
      </c>
      <c r="O2552" s="1" t="s">
        <v>3892</v>
      </c>
      <c r="P2552" s="1" t="s">
        <v>3257</v>
      </c>
      <c r="Q2552" s="1" t="s">
        <v>3408</v>
      </c>
    </row>
    <row r="2553">
      <c r="A2553" s="1" t="s">
        <v>7877</v>
      </c>
      <c r="B2553" s="1">
        <v>82.0</v>
      </c>
      <c r="C2553" s="1">
        <v>50.0</v>
      </c>
      <c r="D2553" s="2" t="s">
        <v>581</v>
      </c>
      <c r="E2553" s="1">
        <v>82.0</v>
      </c>
      <c r="F2553" s="1">
        <v>5.0</v>
      </c>
      <c r="G2553" s="1">
        <v>0.0</v>
      </c>
      <c r="H2553" s="1">
        <v>0.0</v>
      </c>
      <c r="I2553" s="1">
        <v>0.0</v>
      </c>
      <c r="J2553" s="1">
        <v>0.0</v>
      </c>
      <c r="K2553" s="1">
        <v>0.0</v>
      </c>
      <c r="L2553" s="1">
        <v>1.48E7</v>
      </c>
      <c r="M2553" s="1" t="s">
        <v>7878</v>
      </c>
      <c r="N2553" s="18">
        <v>46022.0</v>
      </c>
      <c r="O2553" s="1" t="s">
        <v>3686</v>
      </c>
      <c r="P2553" s="1" t="s">
        <v>3257</v>
      </c>
      <c r="Q2553" s="1" t="s">
        <v>3408</v>
      </c>
    </row>
    <row r="2554">
      <c r="A2554" s="1" t="s">
        <v>7742</v>
      </c>
      <c r="B2554" s="1">
        <v>82.0</v>
      </c>
      <c r="C2554" s="1">
        <v>320.0</v>
      </c>
      <c r="D2554" s="2" t="s">
        <v>1452</v>
      </c>
      <c r="E2554" s="1">
        <v>82.0</v>
      </c>
      <c r="F2554" s="1">
        <v>0.0</v>
      </c>
      <c r="G2554" s="1">
        <v>0.0</v>
      </c>
      <c r="H2554" s="1">
        <v>0.0</v>
      </c>
      <c r="I2554" s="1">
        <v>0.0</v>
      </c>
      <c r="J2554" s="1">
        <v>0.0</v>
      </c>
      <c r="K2554" s="1">
        <v>0.0</v>
      </c>
      <c r="L2554" s="1">
        <v>5.43E8</v>
      </c>
      <c r="M2554" s="1" t="s">
        <v>7743</v>
      </c>
      <c r="N2554" s="18">
        <v>46021.0</v>
      </c>
      <c r="O2554" s="1" t="s">
        <v>3479</v>
      </c>
      <c r="P2554" s="1" t="s">
        <v>3230</v>
      </c>
      <c r="Q2554" s="1" t="s">
        <v>3408</v>
      </c>
    </row>
    <row r="2555">
      <c r="A2555" s="1" t="s">
        <v>7879</v>
      </c>
      <c r="B2555" s="1">
        <v>82.0</v>
      </c>
      <c r="C2555" s="1">
        <v>140.0</v>
      </c>
      <c r="D2555" s="2" t="s">
        <v>776</v>
      </c>
      <c r="E2555" s="1">
        <v>82.0</v>
      </c>
      <c r="F2555" s="1">
        <v>6.0</v>
      </c>
      <c r="G2555" s="1">
        <v>20.93</v>
      </c>
      <c r="H2555" s="1">
        <v>0.0</v>
      </c>
      <c r="I2555" s="1">
        <v>0.0</v>
      </c>
      <c r="J2555" s="1">
        <v>0.0</v>
      </c>
      <c r="K2555" s="1">
        <v>0.14</v>
      </c>
      <c r="L2555" s="1">
        <v>6400000.0</v>
      </c>
      <c r="M2555" s="1" t="s">
        <v>7880</v>
      </c>
      <c r="N2555" s="18">
        <v>46021.0</v>
      </c>
      <c r="O2555" s="1" t="s">
        <v>3479</v>
      </c>
      <c r="P2555" s="1" t="s">
        <v>3257</v>
      </c>
      <c r="Q2555" s="1" t="s">
        <v>3408</v>
      </c>
    </row>
    <row r="2556">
      <c r="A2556" s="1" t="s">
        <v>7881</v>
      </c>
      <c r="B2556" s="1">
        <v>82.0</v>
      </c>
      <c r="C2556" s="1">
        <v>170.0</v>
      </c>
      <c r="D2556" s="2" t="s">
        <v>1304</v>
      </c>
      <c r="E2556" s="1">
        <v>82.0</v>
      </c>
      <c r="F2556" s="1">
        <v>30.0</v>
      </c>
      <c r="G2556" s="1">
        <v>2.69</v>
      </c>
      <c r="H2556" s="1">
        <v>0.0</v>
      </c>
      <c r="I2556" s="1">
        <v>0.0</v>
      </c>
      <c r="J2556" s="1">
        <v>0.0</v>
      </c>
      <c r="K2556" s="1">
        <v>0.15</v>
      </c>
      <c r="L2556" s="1">
        <v>2550000.0</v>
      </c>
      <c r="M2556" s="1" t="s">
        <v>7882</v>
      </c>
      <c r="N2556" s="18">
        <v>46017.0</v>
      </c>
      <c r="O2556" s="1" t="s">
        <v>3821</v>
      </c>
      <c r="P2556" s="1" t="s">
        <v>3294</v>
      </c>
      <c r="Q2556" s="1" t="s">
        <v>3408</v>
      </c>
    </row>
    <row r="2557">
      <c r="A2557" s="1" t="s">
        <v>3970</v>
      </c>
      <c r="B2557" s="1">
        <v>82.0</v>
      </c>
      <c r="C2557" s="1">
        <v>90.0</v>
      </c>
      <c r="D2557" s="2" t="s">
        <v>738</v>
      </c>
      <c r="E2557" s="1">
        <v>82.0</v>
      </c>
      <c r="F2557" s="1">
        <v>22.0</v>
      </c>
      <c r="G2557" s="1">
        <v>11.16</v>
      </c>
      <c r="H2557" s="1">
        <v>0.0</v>
      </c>
      <c r="I2557" s="1">
        <v>0.0</v>
      </c>
      <c r="J2557" s="1">
        <v>0.0</v>
      </c>
      <c r="K2557" s="1">
        <v>0.2</v>
      </c>
      <c r="L2557" s="1">
        <v>63400.0</v>
      </c>
      <c r="M2557" s="1" t="s">
        <v>3971</v>
      </c>
      <c r="N2557" s="18">
        <v>46016.0</v>
      </c>
      <c r="O2557" s="1" t="s">
        <v>3415</v>
      </c>
      <c r="P2557" s="1" t="s">
        <v>3257</v>
      </c>
      <c r="Q2557" s="1" t="s">
        <v>3408</v>
      </c>
    </row>
    <row r="2558">
      <c r="A2558" s="1" t="s">
        <v>7883</v>
      </c>
      <c r="B2558" s="1">
        <v>82.0</v>
      </c>
      <c r="C2558" s="1">
        <v>170.0</v>
      </c>
      <c r="D2558" s="2" t="s">
        <v>778</v>
      </c>
      <c r="E2558" s="1">
        <v>82.0</v>
      </c>
      <c r="F2558" s="1">
        <v>7.0</v>
      </c>
      <c r="G2558" s="1">
        <v>600.0</v>
      </c>
      <c r="H2558" s="1">
        <v>0.0</v>
      </c>
      <c r="I2558" s="1">
        <v>0.0</v>
      </c>
      <c r="J2558" s="1">
        <v>0.0</v>
      </c>
      <c r="K2558" s="1">
        <v>0.14</v>
      </c>
      <c r="L2558" s="1">
        <v>3800000.0</v>
      </c>
      <c r="M2558" s="1" t="s">
        <v>7884</v>
      </c>
      <c r="N2558" s="18">
        <v>46016.0</v>
      </c>
      <c r="O2558" s="1" t="s">
        <v>3432</v>
      </c>
      <c r="P2558" s="1" t="s">
        <v>3257</v>
      </c>
      <c r="Q2558" s="1" t="s">
        <v>3408</v>
      </c>
    </row>
    <row r="2559">
      <c r="A2559" s="1" t="s">
        <v>6985</v>
      </c>
      <c r="B2559" s="1">
        <v>82.0</v>
      </c>
      <c r="C2559" s="1">
        <v>50.0</v>
      </c>
      <c r="D2559" s="2" t="s">
        <v>581</v>
      </c>
      <c r="E2559" s="1">
        <v>82.0</v>
      </c>
      <c r="F2559" s="1">
        <v>44.0</v>
      </c>
      <c r="G2559" s="1">
        <v>19.89</v>
      </c>
      <c r="H2559" s="1">
        <v>0.0</v>
      </c>
      <c r="I2559" s="1">
        <v>0.0</v>
      </c>
      <c r="J2559" s="1">
        <v>0.0</v>
      </c>
      <c r="K2559" s="1">
        <v>0.91</v>
      </c>
      <c r="L2559" s="1">
        <v>4620000.0</v>
      </c>
      <c r="M2559" s="1" t="s">
        <v>6986</v>
      </c>
      <c r="N2559" s="18">
        <v>46015.0</v>
      </c>
      <c r="O2559" s="1" t="s">
        <v>5791</v>
      </c>
      <c r="P2559" s="1" t="s">
        <v>3257</v>
      </c>
      <c r="Q2559" s="1" t="s">
        <v>3408</v>
      </c>
    </row>
    <row r="2560">
      <c r="A2560" s="1" t="s">
        <v>7756</v>
      </c>
      <c r="B2560" s="1">
        <v>82.0</v>
      </c>
      <c r="C2560" s="1">
        <v>50.0</v>
      </c>
      <c r="D2560" s="2" t="s">
        <v>654</v>
      </c>
      <c r="E2560" s="1">
        <v>82.0</v>
      </c>
      <c r="F2560" s="1">
        <v>0.0</v>
      </c>
      <c r="G2560" s="1">
        <v>0.0</v>
      </c>
      <c r="H2560" s="1">
        <v>0.0</v>
      </c>
      <c r="I2560" s="1">
        <v>0.0</v>
      </c>
      <c r="J2560" s="1">
        <v>0.0</v>
      </c>
      <c r="K2560" s="1">
        <v>0.09</v>
      </c>
      <c r="L2560" s="1">
        <v>1.1E7</v>
      </c>
      <c r="M2560" s="1" t="s">
        <v>7757</v>
      </c>
      <c r="N2560" s="18">
        <v>46014.0</v>
      </c>
      <c r="O2560" s="1" t="s">
        <v>4481</v>
      </c>
      <c r="P2560" s="1" t="s">
        <v>3230</v>
      </c>
      <c r="Q2560" s="1" t="s">
        <v>3408</v>
      </c>
    </row>
    <row r="2561">
      <c r="A2561" s="1" t="s">
        <v>7885</v>
      </c>
      <c r="B2561" s="1">
        <v>82.0</v>
      </c>
      <c r="C2561" s="1">
        <v>50.0</v>
      </c>
      <c r="D2561" s="2" t="s">
        <v>2937</v>
      </c>
      <c r="E2561" s="1">
        <v>82.0</v>
      </c>
      <c r="F2561" s="1">
        <v>7.0</v>
      </c>
      <c r="G2561" s="1">
        <v>7.55</v>
      </c>
      <c r="H2561" s="1">
        <v>0.0</v>
      </c>
      <c r="I2561" s="1">
        <v>0.0</v>
      </c>
      <c r="J2561" s="1">
        <v>0.0</v>
      </c>
      <c r="K2561" s="1">
        <v>0.51</v>
      </c>
      <c r="L2561" s="1">
        <v>2470000.0</v>
      </c>
      <c r="M2561" s="1" t="s">
        <v>7886</v>
      </c>
      <c r="N2561" s="18">
        <v>46014.0</v>
      </c>
      <c r="O2561" s="1" t="s">
        <v>7887</v>
      </c>
      <c r="P2561" s="1" t="s">
        <v>3230</v>
      </c>
      <c r="Q2561" s="1" t="s">
        <v>3408</v>
      </c>
    </row>
    <row r="2562">
      <c r="A2562" s="1" t="s">
        <v>7758</v>
      </c>
      <c r="B2562" s="1">
        <v>82.0</v>
      </c>
      <c r="C2562" s="1">
        <v>50.0</v>
      </c>
      <c r="D2562" s="2" t="s">
        <v>584</v>
      </c>
      <c r="E2562" s="1">
        <v>82.0</v>
      </c>
      <c r="F2562" s="1">
        <v>0.0</v>
      </c>
      <c r="G2562" s="1">
        <v>0.0</v>
      </c>
      <c r="H2562" s="1">
        <v>0.0</v>
      </c>
      <c r="I2562" s="1">
        <v>0.0</v>
      </c>
      <c r="J2562" s="1">
        <v>0.0</v>
      </c>
      <c r="K2562" s="1">
        <v>0.08</v>
      </c>
      <c r="L2562" s="1">
        <v>42800.0</v>
      </c>
      <c r="M2562" s="1" t="s">
        <v>7759</v>
      </c>
      <c r="N2562" s="18">
        <v>46014.0</v>
      </c>
      <c r="O2562" s="1" t="s">
        <v>6142</v>
      </c>
      <c r="P2562" s="1" t="s">
        <v>3334</v>
      </c>
      <c r="Q2562" s="1" t="s">
        <v>3408</v>
      </c>
    </row>
    <row r="2563">
      <c r="A2563" s="1" t="s">
        <v>7888</v>
      </c>
      <c r="B2563" s="1">
        <v>82.0</v>
      </c>
      <c r="C2563" s="1">
        <v>140.0</v>
      </c>
      <c r="D2563" s="2" t="s">
        <v>2963</v>
      </c>
      <c r="E2563" s="1">
        <v>82.0</v>
      </c>
      <c r="F2563" s="1">
        <v>17.0</v>
      </c>
      <c r="G2563" s="1">
        <v>351.14</v>
      </c>
      <c r="H2563" s="1">
        <v>0.0</v>
      </c>
      <c r="I2563" s="1">
        <v>0.0</v>
      </c>
      <c r="J2563" s="1">
        <v>0.0</v>
      </c>
      <c r="K2563" s="1">
        <v>0.04</v>
      </c>
      <c r="L2563" s="1">
        <v>3080000.0</v>
      </c>
      <c r="M2563" s="1" t="s">
        <v>7889</v>
      </c>
      <c r="N2563" s="18">
        <v>46012.0</v>
      </c>
      <c r="O2563" s="1" t="s">
        <v>4643</v>
      </c>
      <c r="P2563" s="1" t="s">
        <v>3230</v>
      </c>
      <c r="Q2563" s="1" t="s">
        <v>3408</v>
      </c>
    </row>
    <row r="2564">
      <c r="A2564" s="1" t="s">
        <v>7890</v>
      </c>
      <c r="B2564" s="1">
        <v>82.0</v>
      </c>
      <c r="C2564" s="1">
        <v>90.0</v>
      </c>
      <c r="D2564" s="2" t="s">
        <v>638</v>
      </c>
      <c r="E2564" s="1">
        <v>82.0</v>
      </c>
      <c r="F2564" s="1">
        <v>34.0</v>
      </c>
      <c r="G2564" s="1">
        <v>0.0</v>
      </c>
      <c r="H2564" s="1">
        <v>0.0</v>
      </c>
      <c r="I2564" s="1">
        <v>0.0</v>
      </c>
      <c r="J2564" s="1">
        <v>0.0</v>
      </c>
      <c r="K2564" s="1">
        <v>0.0</v>
      </c>
      <c r="L2564" s="1">
        <v>5030000.0</v>
      </c>
      <c r="M2564" s="1" t="s">
        <v>7891</v>
      </c>
      <c r="N2564" s="18">
        <v>46007.0</v>
      </c>
      <c r="O2564" s="1" t="s">
        <v>3264</v>
      </c>
      <c r="P2564" s="1" t="s">
        <v>3334</v>
      </c>
      <c r="Q2564" s="1" t="s">
        <v>3408</v>
      </c>
    </row>
    <row r="2565">
      <c r="A2565" s="1" t="s">
        <v>7273</v>
      </c>
      <c r="B2565" s="1">
        <v>82.0</v>
      </c>
      <c r="C2565" s="1">
        <v>70.0</v>
      </c>
      <c r="D2565" s="2" t="s">
        <v>439</v>
      </c>
      <c r="E2565" s="1">
        <v>82.0</v>
      </c>
      <c r="F2565" s="1">
        <v>21.0</v>
      </c>
      <c r="G2565" s="1">
        <v>0.0</v>
      </c>
      <c r="H2565" s="1">
        <v>0.0</v>
      </c>
      <c r="I2565" s="1">
        <v>0.0</v>
      </c>
      <c r="J2565" s="1">
        <v>0.0</v>
      </c>
      <c r="K2565" s="1">
        <v>0.02</v>
      </c>
      <c r="L2565" s="1">
        <v>3340.0</v>
      </c>
      <c r="M2565" s="1" t="s">
        <v>7274</v>
      </c>
      <c r="N2565" s="18">
        <v>46004.0</v>
      </c>
      <c r="O2565" s="1" t="s">
        <v>6142</v>
      </c>
      <c r="P2565" s="1" t="s">
        <v>3257</v>
      </c>
      <c r="Q2565" s="1" t="s">
        <v>3408</v>
      </c>
    </row>
    <row r="2566">
      <c r="A2566" s="1" t="s">
        <v>7892</v>
      </c>
      <c r="B2566" s="1">
        <v>82.0</v>
      </c>
      <c r="C2566" s="1">
        <v>70.0</v>
      </c>
      <c r="D2566" s="2" t="s">
        <v>2249</v>
      </c>
      <c r="E2566" s="1">
        <v>82.0</v>
      </c>
      <c r="F2566" s="1">
        <v>13.0</v>
      </c>
      <c r="G2566" s="1">
        <v>0.0</v>
      </c>
      <c r="H2566" s="1">
        <v>0.0</v>
      </c>
      <c r="I2566" s="1">
        <v>0.0</v>
      </c>
      <c r="J2566" s="1">
        <v>0.0</v>
      </c>
      <c r="K2566" s="1">
        <v>0.0</v>
      </c>
      <c r="L2566" s="1">
        <v>1.19E7</v>
      </c>
      <c r="M2566" s="1" t="s">
        <v>7893</v>
      </c>
      <c r="N2566" s="18">
        <v>46004.0</v>
      </c>
      <c r="O2566" s="1" t="s">
        <v>5650</v>
      </c>
      <c r="P2566" s="1" t="s">
        <v>3230</v>
      </c>
      <c r="Q2566" s="1" t="s">
        <v>3408</v>
      </c>
    </row>
    <row r="2567">
      <c r="A2567" s="1" t="s">
        <v>7894</v>
      </c>
      <c r="B2567" s="1">
        <v>82.0</v>
      </c>
      <c r="C2567" s="1">
        <v>40.0</v>
      </c>
      <c r="D2567" s="2" t="s">
        <v>581</v>
      </c>
      <c r="E2567" s="1">
        <v>82.0</v>
      </c>
      <c r="F2567" s="1">
        <v>11.0</v>
      </c>
      <c r="G2567" s="1">
        <v>3.14</v>
      </c>
      <c r="H2567" s="1">
        <v>0.0</v>
      </c>
      <c r="I2567" s="1">
        <v>0.0</v>
      </c>
      <c r="J2567" s="1">
        <v>0.0</v>
      </c>
      <c r="K2567" s="1">
        <v>0.59</v>
      </c>
      <c r="L2567" s="1">
        <v>800000.0</v>
      </c>
      <c r="M2567" s="1" t="s">
        <v>4086</v>
      </c>
      <c r="N2567" s="18">
        <v>46004.0</v>
      </c>
      <c r="O2567" s="1" t="s">
        <v>4110</v>
      </c>
      <c r="P2567" s="1" t="s">
        <v>3257</v>
      </c>
      <c r="Q2567" s="1" t="s">
        <v>3408</v>
      </c>
    </row>
    <row r="2568">
      <c r="A2568" s="1" t="s">
        <v>7895</v>
      </c>
      <c r="B2568" s="1">
        <v>82.0</v>
      </c>
      <c r="C2568" s="1">
        <v>70.0</v>
      </c>
      <c r="D2568" s="2" t="s">
        <v>439</v>
      </c>
      <c r="E2568" s="1">
        <v>82.0</v>
      </c>
      <c r="F2568" s="1">
        <v>24.0</v>
      </c>
      <c r="G2568" s="1">
        <v>7.0</v>
      </c>
      <c r="H2568" s="1">
        <v>0.0</v>
      </c>
      <c r="I2568" s="1">
        <v>0.0</v>
      </c>
      <c r="J2568" s="1">
        <v>0.0</v>
      </c>
      <c r="K2568" s="1">
        <v>0.06</v>
      </c>
      <c r="L2568" s="1">
        <v>1010000.0</v>
      </c>
      <c r="M2568" s="1" t="s">
        <v>7896</v>
      </c>
      <c r="N2568" s="18">
        <v>46004.0</v>
      </c>
      <c r="O2568" s="1" t="s">
        <v>3821</v>
      </c>
      <c r="P2568" s="1" t="s">
        <v>3294</v>
      </c>
      <c r="Q2568" s="1" t="s">
        <v>3408</v>
      </c>
    </row>
    <row r="2569">
      <c r="A2569" s="1" t="s">
        <v>7897</v>
      </c>
      <c r="B2569" s="1">
        <v>82.0</v>
      </c>
      <c r="C2569" s="1">
        <v>70.0</v>
      </c>
      <c r="D2569" s="2" t="s">
        <v>726</v>
      </c>
      <c r="E2569" s="1">
        <v>82.0</v>
      </c>
      <c r="F2569" s="1">
        <v>13.0</v>
      </c>
      <c r="G2569" s="1">
        <v>0.0</v>
      </c>
      <c r="H2569" s="1">
        <v>0.0</v>
      </c>
      <c r="I2569" s="1">
        <v>0.0</v>
      </c>
      <c r="J2569" s="1">
        <v>0.0</v>
      </c>
      <c r="K2569" s="1">
        <v>0.0</v>
      </c>
      <c r="L2569" s="1">
        <v>5590000.0</v>
      </c>
      <c r="M2569" s="1" t="s">
        <v>7898</v>
      </c>
      <c r="N2569" s="18">
        <v>46000.0</v>
      </c>
      <c r="O2569" s="1" t="s">
        <v>4983</v>
      </c>
      <c r="P2569" s="1" t="s">
        <v>3230</v>
      </c>
      <c r="Q2569" s="1" t="s">
        <v>3408</v>
      </c>
    </row>
    <row r="2570">
      <c r="A2570" s="1" t="s">
        <v>7782</v>
      </c>
      <c r="B2570" s="1">
        <v>82.0</v>
      </c>
      <c r="C2570" s="1">
        <v>70.0</v>
      </c>
      <c r="D2570" s="2" t="s">
        <v>1103</v>
      </c>
      <c r="E2570" s="1">
        <v>82.0</v>
      </c>
      <c r="F2570" s="1">
        <v>41.0</v>
      </c>
      <c r="G2570" s="1">
        <v>0.0</v>
      </c>
      <c r="H2570" s="1">
        <v>0.0</v>
      </c>
      <c r="I2570" s="1">
        <v>0.0</v>
      </c>
      <c r="J2570" s="1">
        <v>0.0</v>
      </c>
      <c r="K2570" s="1">
        <v>0.01</v>
      </c>
      <c r="L2570" s="1">
        <v>3990000.0</v>
      </c>
      <c r="M2570" s="1" t="s">
        <v>7783</v>
      </c>
      <c r="N2570" s="18">
        <v>45999.0</v>
      </c>
      <c r="O2570" s="1" t="s">
        <v>5344</v>
      </c>
      <c r="P2570" s="1" t="s">
        <v>3230</v>
      </c>
      <c r="Q2570" s="1" t="s">
        <v>3408</v>
      </c>
    </row>
    <row r="2571">
      <c r="A2571" s="1" t="s">
        <v>7899</v>
      </c>
      <c r="B2571" s="1">
        <v>82.0</v>
      </c>
      <c r="C2571" s="1">
        <v>50.0</v>
      </c>
      <c r="D2571" s="2" t="s">
        <v>1592</v>
      </c>
      <c r="E2571" s="1">
        <v>82.0</v>
      </c>
      <c r="F2571" s="1">
        <v>2.0</v>
      </c>
      <c r="G2571" s="1">
        <v>0.0</v>
      </c>
      <c r="H2571" s="1">
        <v>0.0</v>
      </c>
      <c r="I2571" s="1">
        <v>0.0</v>
      </c>
      <c r="J2571" s="1">
        <v>0.0</v>
      </c>
      <c r="K2571" s="1">
        <v>0.01</v>
      </c>
      <c r="L2571" s="1">
        <v>5330000.0</v>
      </c>
      <c r="M2571" s="1" t="s">
        <v>7900</v>
      </c>
      <c r="N2571" s="18">
        <v>45998.0</v>
      </c>
      <c r="O2571" s="1" t="s">
        <v>3565</v>
      </c>
      <c r="P2571" s="1" t="s">
        <v>3230</v>
      </c>
      <c r="Q2571" s="1" t="s">
        <v>3408</v>
      </c>
    </row>
    <row r="2572">
      <c r="A2572" s="1" t="s">
        <v>7901</v>
      </c>
      <c r="B2572" s="1">
        <v>82.0</v>
      </c>
      <c r="C2572" s="1">
        <v>90.0</v>
      </c>
      <c r="D2572" s="2" t="s">
        <v>581</v>
      </c>
      <c r="E2572" s="1">
        <v>82.0</v>
      </c>
      <c r="F2572" s="1">
        <v>54.0</v>
      </c>
      <c r="G2572" s="1">
        <v>7.03</v>
      </c>
      <c r="H2572" s="1">
        <v>0.0</v>
      </c>
      <c r="I2572" s="1">
        <v>0.0</v>
      </c>
      <c r="J2572" s="1">
        <v>0.0</v>
      </c>
      <c r="K2572" s="1">
        <v>0.55</v>
      </c>
      <c r="L2572" s="1">
        <v>1.64E7</v>
      </c>
      <c r="M2572" s="1" t="s">
        <v>7902</v>
      </c>
      <c r="N2572" s="18">
        <v>45993.0</v>
      </c>
      <c r="O2572" s="1" t="s">
        <v>3415</v>
      </c>
      <c r="P2572" s="1" t="s">
        <v>3257</v>
      </c>
      <c r="Q2572" s="1" t="s">
        <v>3408</v>
      </c>
    </row>
    <row r="2573">
      <c r="A2573" s="1" t="s">
        <v>6613</v>
      </c>
      <c r="B2573" s="1">
        <v>82.0</v>
      </c>
      <c r="C2573" s="1">
        <v>70.0</v>
      </c>
      <c r="D2573" s="2" t="s">
        <v>2048</v>
      </c>
      <c r="E2573" s="1">
        <v>82.0</v>
      </c>
      <c r="F2573" s="1">
        <v>16.0</v>
      </c>
      <c r="G2573" s="1">
        <v>0.0</v>
      </c>
      <c r="H2573" s="1">
        <v>0.0</v>
      </c>
      <c r="I2573" s="1">
        <v>0.0</v>
      </c>
      <c r="J2573" s="1">
        <v>0.0</v>
      </c>
      <c r="K2573" s="1">
        <v>0.0</v>
      </c>
      <c r="L2573" s="1">
        <v>10.0</v>
      </c>
      <c r="M2573" s="1" t="s">
        <v>6614</v>
      </c>
      <c r="N2573" s="18">
        <v>45986.0</v>
      </c>
      <c r="O2573" s="1" t="s">
        <v>6615</v>
      </c>
      <c r="P2573" s="1" t="s">
        <v>3230</v>
      </c>
      <c r="Q2573" s="1" t="s">
        <v>3408</v>
      </c>
    </row>
    <row r="2574">
      <c r="A2574" s="1" t="s">
        <v>3637</v>
      </c>
      <c r="B2574" s="1">
        <v>82.0</v>
      </c>
      <c r="C2574" s="1">
        <v>90.0</v>
      </c>
      <c r="D2574" s="2" t="s">
        <v>694</v>
      </c>
      <c r="E2574" s="1">
        <v>82.0</v>
      </c>
      <c r="F2574" s="1">
        <v>11.0</v>
      </c>
      <c r="G2574" s="1">
        <v>0.0</v>
      </c>
      <c r="H2574" s="1">
        <v>0.0</v>
      </c>
      <c r="I2574" s="1">
        <v>0.0</v>
      </c>
      <c r="J2574" s="1">
        <v>0.0</v>
      </c>
      <c r="K2574" s="1">
        <v>0.01</v>
      </c>
      <c r="L2574" s="1">
        <v>10.0</v>
      </c>
      <c r="M2574" s="1" t="s">
        <v>3638</v>
      </c>
      <c r="N2574" s="18">
        <v>45986.0</v>
      </c>
      <c r="O2574" s="1" t="s">
        <v>3639</v>
      </c>
      <c r="P2574" s="1" t="s">
        <v>3230</v>
      </c>
      <c r="Q2574" s="1" t="s">
        <v>3408</v>
      </c>
    </row>
    <row r="2575">
      <c r="A2575" s="1" t="s">
        <v>7903</v>
      </c>
      <c r="B2575" s="1">
        <v>82.0</v>
      </c>
      <c r="C2575" s="1">
        <v>90.0</v>
      </c>
      <c r="D2575" s="2" t="s">
        <v>439</v>
      </c>
      <c r="E2575" s="1">
        <v>82.0</v>
      </c>
      <c r="F2575" s="1">
        <v>28.0</v>
      </c>
      <c r="G2575" s="1">
        <v>6.54</v>
      </c>
      <c r="H2575" s="1">
        <v>0.0</v>
      </c>
      <c r="I2575" s="1">
        <v>0.0</v>
      </c>
      <c r="J2575" s="1">
        <v>0.0</v>
      </c>
      <c r="K2575" s="1">
        <v>0.19</v>
      </c>
      <c r="L2575" s="1">
        <v>10.0</v>
      </c>
      <c r="M2575" s="1" t="s">
        <v>7904</v>
      </c>
      <c r="N2575" s="18">
        <v>45986.0</v>
      </c>
      <c r="O2575" s="1" t="s">
        <v>5079</v>
      </c>
      <c r="P2575" s="1" t="s">
        <v>3294</v>
      </c>
      <c r="Q2575" s="1" t="s">
        <v>3408</v>
      </c>
    </row>
    <row r="2576">
      <c r="A2576" s="1" t="s">
        <v>7905</v>
      </c>
      <c r="B2576" s="1">
        <v>82.0</v>
      </c>
      <c r="C2576" s="1">
        <v>110.0</v>
      </c>
      <c r="D2576" s="2" t="s">
        <v>439</v>
      </c>
      <c r="E2576" s="1">
        <v>82.0</v>
      </c>
      <c r="F2576" s="1">
        <v>14.0</v>
      </c>
      <c r="G2576" s="1">
        <v>1.41</v>
      </c>
      <c r="H2576" s="1">
        <v>0.0</v>
      </c>
      <c r="I2576" s="1">
        <v>0.0</v>
      </c>
      <c r="J2576" s="1">
        <v>0.0</v>
      </c>
      <c r="K2576" s="1">
        <v>0.02</v>
      </c>
      <c r="L2576" s="1">
        <v>10.0</v>
      </c>
      <c r="M2576" s="1" t="s">
        <v>7906</v>
      </c>
      <c r="N2576" s="18">
        <v>45980.0</v>
      </c>
      <c r="O2576" s="1" t="s">
        <v>3404</v>
      </c>
      <c r="P2576" s="1" t="s">
        <v>3294</v>
      </c>
      <c r="Q2576" s="1" t="s">
        <v>3408</v>
      </c>
    </row>
    <row r="2577">
      <c r="A2577" s="1" t="s">
        <v>7907</v>
      </c>
      <c r="B2577" s="1">
        <v>82.0</v>
      </c>
      <c r="C2577" s="1">
        <v>170.0</v>
      </c>
      <c r="D2577" s="2" t="s">
        <v>1452</v>
      </c>
      <c r="E2577" s="1">
        <v>82.0</v>
      </c>
      <c r="F2577" s="1">
        <v>8.0</v>
      </c>
      <c r="G2577" s="1">
        <v>0.0</v>
      </c>
      <c r="H2577" s="1">
        <v>0.0</v>
      </c>
      <c r="I2577" s="1">
        <v>0.0</v>
      </c>
      <c r="J2577" s="1">
        <v>0.0</v>
      </c>
      <c r="K2577" s="1">
        <v>0.0</v>
      </c>
      <c r="L2577" s="1">
        <v>10.0</v>
      </c>
      <c r="M2577" s="1" t="s">
        <v>7908</v>
      </c>
      <c r="N2577" s="18">
        <v>45967.0</v>
      </c>
      <c r="O2577" s="1" t="s">
        <v>5164</v>
      </c>
      <c r="P2577" s="1" t="s">
        <v>3230</v>
      </c>
      <c r="Q2577" s="1" t="s">
        <v>3408</v>
      </c>
    </row>
    <row r="2578">
      <c r="A2578" s="1" t="s">
        <v>7909</v>
      </c>
      <c r="B2578" s="1">
        <v>83.0</v>
      </c>
      <c r="C2578" s="1">
        <v>70.0</v>
      </c>
      <c r="D2578" s="2" t="s">
        <v>1431</v>
      </c>
      <c r="E2578" s="1">
        <v>0.0</v>
      </c>
      <c r="F2578" s="1">
        <v>7.0</v>
      </c>
      <c r="G2578" s="1">
        <v>0.0</v>
      </c>
      <c r="H2578" s="1">
        <v>0.0</v>
      </c>
      <c r="I2578" s="1">
        <v>0.0</v>
      </c>
      <c r="J2578" s="1">
        <v>0.0</v>
      </c>
      <c r="K2578" s="1">
        <v>0.05</v>
      </c>
      <c r="L2578" s="1">
        <v>3.64E7</v>
      </c>
      <c r="M2578" s="1" t="s">
        <v>7910</v>
      </c>
      <c r="N2578" s="18">
        <v>46042.0</v>
      </c>
      <c r="O2578" s="1" t="s">
        <v>4543</v>
      </c>
      <c r="P2578" s="1" t="s">
        <v>3230</v>
      </c>
      <c r="Q2578" s="1" t="s">
        <v>3408</v>
      </c>
    </row>
    <row r="2579">
      <c r="A2579" s="1" t="s">
        <v>7911</v>
      </c>
      <c r="B2579" s="1">
        <v>83.0</v>
      </c>
      <c r="C2579" s="1">
        <v>260.0</v>
      </c>
      <c r="D2579" s="2" t="s">
        <v>681</v>
      </c>
      <c r="E2579" s="1">
        <v>83.0</v>
      </c>
      <c r="F2579" s="1">
        <v>15.0</v>
      </c>
      <c r="G2579" s="1">
        <v>0.72</v>
      </c>
      <c r="H2579" s="1">
        <v>0.0</v>
      </c>
      <c r="I2579" s="1">
        <v>0.0</v>
      </c>
      <c r="J2579" s="1">
        <v>0.0</v>
      </c>
      <c r="K2579" s="1">
        <v>0.16</v>
      </c>
      <c r="L2579" s="1">
        <v>1.24E7</v>
      </c>
      <c r="M2579" s="1" t="s">
        <v>7912</v>
      </c>
      <c r="N2579" s="18">
        <v>46039.0</v>
      </c>
      <c r="O2579" s="1" t="s">
        <v>3284</v>
      </c>
      <c r="P2579" s="1" t="s">
        <v>3230</v>
      </c>
      <c r="Q2579" s="1" t="s">
        <v>3408</v>
      </c>
    </row>
    <row r="2580">
      <c r="A2580" s="1" t="s">
        <v>7913</v>
      </c>
      <c r="B2580" s="1">
        <v>83.0</v>
      </c>
      <c r="C2580" s="1">
        <v>30.0</v>
      </c>
      <c r="D2580" s="2" t="s">
        <v>911</v>
      </c>
      <c r="E2580" s="1">
        <v>83.0</v>
      </c>
      <c r="F2580" s="1">
        <v>5.0</v>
      </c>
      <c r="G2580" s="1">
        <v>1.23</v>
      </c>
      <c r="H2580" s="1">
        <v>0.0</v>
      </c>
      <c r="I2580" s="1">
        <v>0.0</v>
      </c>
      <c r="J2580" s="1">
        <v>0.0</v>
      </c>
      <c r="K2580" s="1">
        <v>0.46</v>
      </c>
      <c r="L2580" s="1">
        <v>7620000.0</v>
      </c>
      <c r="M2580" s="1" t="s">
        <v>7914</v>
      </c>
      <c r="N2580" s="18">
        <v>46036.0</v>
      </c>
      <c r="O2580" s="1" t="s">
        <v>7405</v>
      </c>
      <c r="P2580" s="1" t="s">
        <v>3230</v>
      </c>
      <c r="Q2580" s="1" t="s">
        <v>3408</v>
      </c>
    </row>
    <row r="2581">
      <c r="A2581" s="1" t="s">
        <v>7915</v>
      </c>
      <c r="B2581" s="1">
        <v>83.0</v>
      </c>
      <c r="C2581" s="1">
        <v>4400.0</v>
      </c>
      <c r="D2581" s="2" t="s">
        <v>2249</v>
      </c>
      <c r="E2581" s="1">
        <v>83.0</v>
      </c>
      <c r="F2581" s="1">
        <v>11.0</v>
      </c>
      <c r="G2581" s="1">
        <v>0.0</v>
      </c>
      <c r="H2581" s="1">
        <v>0.0</v>
      </c>
      <c r="I2581" s="1">
        <v>0.0</v>
      </c>
      <c r="J2581" s="1">
        <v>0.0</v>
      </c>
      <c r="K2581" s="1">
        <v>0.0</v>
      </c>
      <c r="L2581" s="1">
        <v>2.71E8</v>
      </c>
      <c r="M2581" s="1" t="s">
        <v>7916</v>
      </c>
      <c r="N2581" s="18">
        <v>46035.0</v>
      </c>
      <c r="O2581" s="1" t="s">
        <v>3284</v>
      </c>
      <c r="P2581" s="1" t="s">
        <v>3230</v>
      </c>
      <c r="Q2581" s="1" t="s">
        <v>3408</v>
      </c>
    </row>
    <row r="2582">
      <c r="A2582" s="1" t="s">
        <v>7917</v>
      </c>
      <c r="B2582" s="1">
        <v>83.0</v>
      </c>
      <c r="C2582" s="1">
        <v>260.0</v>
      </c>
      <c r="D2582" s="2" t="s">
        <v>696</v>
      </c>
      <c r="E2582" s="1">
        <v>83.0</v>
      </c>
      <c r="F2582" s="1">
        <v>13.0</v>
      </c>
      <c r="G2582" s="1">
        <v>3.06</v>
      </c>
      <c r="H2582" s="1">
        <v>0.0</v>
      </c>
      <c r="I2582" s="1">
        <v>0.0</v>
      </c>
      <c r="J2582" s="1">
        <v>0.0</v>
      </c>
      <c r="K2582" s="1">
        <v>0.72</v>
      </c>
      <c r="L2582" s="1">
        <v>422000.0</v>
      </c>
      <c r="M2582" s="1" t="s">
        <v>7918</v>
      </c>
      <c r="N2582" s="18">
        <v>46033.0</v>
      </c>
      <c r="O2582" s="1" t="s">
        <v>3510</v>
      </c>
      <c r="P2582" s="1" t="s">
        <v>3230</v>
      </c>
      <c r="Q2582" s="1" t="s">
        <v>3408</v>
      </c>
    </row>
    <row r="2583">
      <c r="A2583" s="1" t="s">
        <v>7919</v>
      </c>
      <c r="B2583" s="1">
        <v>83.0</v>
      </c>
      <c r="C2583" s="1">
        <v>50.0</v>
      </c>
      <c r="D2583" s="2" t="s">
        <v>581</v>
      </c>
      <c r="E2583" s="1">
        <v>83.0</v>
      </c>
      <c r="F2583" s="1">
        <v>30.0</v>
      </c>
      <c r="G2583" s="1">
        <v>0.0</v>
      </c>
      <c r="H2583" s="1">
        <v>0.0</v>
      </c>
      <c r="I2583" s="1">
        <v>0.0</v>
      </c>
      <c r="J2583" s="1">
        <v>0.0</v>
      </c>
      <c r="K2583" s="1">
        <v>0.0</v>
      </c>
      <c r="L2583" s="1">
        <v>838000.0</v>
      </c>
      <c r="M2583" s="1" t="s">
        <v>7920</v>
      </c>
      <c r="N2583" s="18">
        <v>46032.0</v>
      </c>
      <c r="O2583" s="1" t="s">
        <v>3854</v>
      </c>
      <c r="P2583" s="1" t="s">
        <v>3257</v>
      </c>
      <c r="Q2583" s="1" t="s">
        <v>3408</v>
      </c>
    </row>
    <row r="2584">
      <c r="A2584" s="1" t="s">
        <v>7650</v>
      </c>
      <c r="B2584" s="1">
        <v>83.0</v>
      </c>
      <c r="C2584" s="1">
        <v>90.0</v>
      </c>
      <c r="D2584" s="2" t="s">
        <v>800</v>
      </c>
      <c r="E2584" s="1">
        <v>83.0</v>
      </c>
      <c r="F2584" s="1">
        <v>3.0</v>
      </c>
      <c r="G2584" s="1">
        <v>0.0</v>
      </c>
      <c r="H2584" s="1">
        <v>0.0</v>
      </c>
      <c r="I2584" s="1">
        <v>0.0</v>
      </c>
      <c r="J2584" s="1">
        <v>0.0</v>
      </c>
      <c r="K2584" s="1">
        <v>0.0</v>
      </c>
      <c r="L2584" s="1">
        <v>540000.0</v>
      </c>
      <c r="M2584" s="1" t="s">
        <v>7651</v>
      </c>
      <c r="N2584" s="18">
        <v>46031.0</v>
      </c>
      <c r="O2584" s="1" t="s">
        <v>3231</v>
      </c>
      <c r="P2584" s="1" t="s">
        <v>3334</v>
      </c>
      <c r="Q2584" s="1" t="s">
        <v>3408</v>
      </c>
    </row>
    <row r="2585">
      <c r="A2585" s="1" t="s">
        <v>7921</v>
      </c>
      <c r="B2585" s="1">
        <v>83.0</v>
      </c>
      <c r="C2585" s="1">
        <v>40.0</v>
      </c>
      <c r="D2585" s="2" t="s">
        <v>2416</v>
      </c>
      <c r="E2585" s="1">
        <v>83.0</v>
      </c>
      <c r="F2585" s="1">
        <v>13.0</v>
      </c>
      <c r="G2585" s="1">
        <v>0.0</v>
      </c>
      <c r="H2585" s="1">
        <v>0.0</v>
      </c>
      <c r="I2585" s="1">
        <v>0.0</v>
      </c>
      <c r="J2585" s="1">
        <v>0.0</v>
      </c>
      <c r="K2585" s="1">
        <v>0.33</v>
      </c>
      <c r="L2585" s="1">
        <v>4580000.0</v>
      </c>
      <c r="M2585" s="1" t="s">
        <v>7922</v>
      </c>
      <c r="N2585" s="18">
        <v>46026.0</v>
      </c>
      <c r="O2585" s="1" t="s">
        <v>3442</v>
      </c>
      <c r="P2585" s="1" t="s">
        <v>3301</v>
      </c>
      <c r="Q2585" s="1" t="s">
        <v>3408</v>
      </c>
    </row>
    <row r="2586">
      <c r="A2586" s="1" t="s">
        <v>7923</v>
      </c>
      <c r="B2586" s="1">
        <v>83.0</v>
      </c>
      <c r="C2586" s="1">
        <v>90.0</v>
      </c>
      <c r="D2586" s="2" t="s">
        <v>1868</v>
      </c>
      <c r="E2586" s="1">
        <v>83.0</v>
      </c>
      <c r="F2586" s="1">
        <v>11.0</v>
      </c>
      <c r="G2586" s="1">
        <v>0.0</v>
      </c>
      <c r="H2586" s="1">
        <v>0.0</v>
      </c>
      <c r="I2586" s="1">
        <v>0.0</v>
      </c>
      <c r="J2586" s="1">
        <v>0.0</v>
      </c>
      <c r="K2586" s="1">
        <v>0.0</v>
      </c>
      <c r="L2586" s="1">
        <v>1560000.0</v>
      </c>
      <c r="M2586" s="1" t="s">
        <v>7924</v>
      </c>
      <c r="N2586" s="18">
        <v>46026.0</v>
      </c>
      <c r="O2586" s="1" t="s">
        <v>3264</v>
      </c>
      <c r="P2586" s="1" t="s">
        <v>3230</v>
      </c>
      <c r="Q2586" s="1" t="s">
        <v>3408</v>
      </c>
    </row>
    <row r="2587">
      <c r="A2587" s="1" t="s">
        <v>7661</v>
      </c>
      <c r="B2587" s="1">
        <v>83.0</v>
      </c>
      <c r="C2587" s="1">
        <v>90.0</v>
      </c>
      <c r="D2587" s="2" t="s">
        <v>1912</v>
      </c>
      <c r="E2587" s="1">
        <v>83.0</v>
      </c>
      <c r="F2587" s="1">
        <v>0.0</v>
      </c>
      <c r="G2587" s="1">
        <v>0.0</v>
      </c>
      <c r="H2587" s="1">
        <v>0.0</v>
      </c>
      <c r="I2587" s="1">
        <v>0.0</v>
      </c>
      <c r="J2587" s="1">
        <v>0.0</v>
      </c>
      <c r="K2587" s="1">
        <v>0.02</v>
      </c>
      <c r="L2587" s="1">
        <v>1.21E7</v>
      </c>
      <c r="M2587" s="1" t="s">
        <v>7662</v>
      </c>
      <c r="N2587" s="18">
        <v>46024.0</v>
      </c>
      <c r="O2587" s="1" t="s">
        <v>3479</v>
      </c>
      <c r="P2587" s="1" t="s">
        <v>3230</v>
      </c>
      <c r="Q2587" s="1" t="s">
        <v>3408</v>
      </c>
    </row>
    <row r="2588">
      <c r="A2588" s="1" t="s">
        <v>6630</v>
      </c>
      <c r="B2588" s="1">
        <v>83.0</v>
      </c>
      <c r="C2588" s="1">
        <v>70.0</v>
      </c>
      <c r="D2588" s="2" t="s">
        <v>1552</v>
      </c>
      <c r="E2588" s="1">
        <v>83.0</v>
      </c>
      <c r="F2588" s="1">
        <v>14.0</v>
      </c>
      <c r="G2588" s="1">
        <v>3.72</v>
      </c>
      <c r="H2588" s="1">
        <v>0.0</v>
      </c>
      <c r="I2588" s="1">
        <v>0.0</v>
      </c>
      <c r="J2588" s="1">
        <v>0.0</v>
      </c>
      <c r="K2588" s="1">
        <v>0.05</v>
      </c>
      <c r="L2588" s="1">
        <v>1.91E7</v>
      </c>
      <c r="M2588" s="1" t="s">
        <v>6631</v>
      </c>
      <c r="N2588" s="18">
        <v>46022.0</v>
      </c>
      <c r="O2588" s="1" t="s">
        <v>4057</v>
      </c>
      <c r="P2588" s="1" t="s">
        <v>3230</v>
      </c>
      <c r="Q2588" s="1" t="s">
        <v>3408</v>
      </c>
    </row>
    <row r="2589">
      <c r="A2589" s="1" t="s">
        <v>7925</v>
      </c>
      <c r="B2589" s="1">
        <v>83.0</v>
      </c>
      <c r="C2589" s="1">
        <v>70.0</v>
      </c>
      <c r="D2589" s="2" t="s">
        <v>439</v>
      </c>
      <c r="E2589" s="1">
        <v>83.0</v>
      </c>
      <c r="G2589" s="1">
        <v>2.49</v>
      </c>
      <c r="H2589" s="1">
        <v>0.0</v>
      </c>
      <c r="I2589" s="1">
        <v>0.0</v>
      </c>
      <c r="J2589" s="1">
        <v>0.0</v>
      </c>
      <c r="K2589" s="1">
        <v>0.11</v>
      </c>
      <c r="L2589" s="1">
        <v>936.0</v>
      </c>
      <c r="M2589" s="1" t="s">
        <v>7926</v>
      </c>
      <c r="N2589" s="18">
        <v>46022.0</v>
      </c>
      <c r="O2589" s="1" t="s">
        <v>7927</v>
      </c>
      <c r="P2589" s="1" t="s">
        <v>3294</v>
      </c>
      <c r="Q2589" s="1" t="s">
        <v>3408</v>
      </c>
    </row>
    <row r="2590">
      <c r="A2590" s="1" t="s">
        <v>7928</v>
      </c>
      <c r="B2590" s="1">
        <v>83.0</v>
      </c>
      <c r="C2590" s="1">
        <v>70.0</v>
      </c>
      <c r="D2590" s="2" t="s">
        <v>455</v>
      </c>
      <c r="E2590" s="1">
        <v>83.0</v>
      </c>
      <c r="F2590" s="1">
        <v>48.0</v>
      </c>
      <c r="G2590" s="1">
        <v>0.0</v>
      </c>
      <c r="H2590" s="1">
        <v>0.0</v>
      </c>
      <c r="I2590" s="1">
        <v>0.0</v>
      </c>
      <c r="J2590" s="1">
        <v>0.0</v>
      </c>
      <c r="K2590" s="1">
        <v>0.0</v>
      </c>
      <c r="L2590" s="1">
        <v>2.68E7</v>
      </c>
      <c r="M2590" s="1" t="s">
        <v>7929</v>
      </c>
      <c r="N2590" s="18">
        <v>46020.0</v>
      </c>
      <c r="O2590" s="1" t="s">
        <v>3854</v>
      </c>
      <c r="P2590" s="1" t="s">
        <v>3462</v>
      </c>
      <c r="Q2590" s="1" t="s">
        <v>3408</v>
      </c>
    </row>
    <row r="2591">
      <c r="A2591" s="1" t="s">
        <v>3815</v>
      </c>
      <c r="B2591" s="1">
        <v>83.0</v>
      </c>
      <c r="C2591" s="1">
        <v>90.0</v>
      </c>
      <c r="D2591" s="2" t="s">
        <v>1063</v>
      </c>
      <c r="E2591" s="1">
        <v>83.0</v>
      </c>
      <c r="F2591" s="1">
        <v>25.0</v>
      </c>
      <c r="G2591" s="1">
        <v>0.0</v>
      </c>
      <c r="H2591" s="1">
        <v>0.0</v>
      </c>
      <c r="I2591" s="1">
        <v>0.0</v>
      </c>
      <c r="J2591" s="1">
        <v>0.0</v>
      </c>
      <c r="K2591" s="1">
        <v>0.11</v>
      </c>
      <c r="L2591" s="1">
        <v>1.48E7</v>
      </c>
      <c r="M2591" s="1" t="s">
        <v>3816</v>
      </c>
      <c r="N2591" s="18">
        <v>46018.0</v>
      </c>
      <c r="O2591" s="1" t="s">
        <v>3415</v>
      </c>
      <c r="P2591" s="1" t="s">
        <v>3257</v>
      </c>
      <c r="Q2591" s="1" t="s">
        <v>3408</v>
      </c>
    </row>
    <row r="2592">
      <c r="A2592" s="1" t="s">
        <v>7930</v>
      </c>
      <c r="B2592" s="1">
        <v>83.0</v>
      </c>
      <c r="C2592" s="1">
        <v>70.0</v>
      </c>
      <c r="D2592" s="2" t="s">
        <v>770</v>
      </c>
      <c r="E2592" s="1">
        <v>83.0</v>
      </c>
      <c r="F2592" s="1">
        <v>56.0</v>
      </c>
      <c r="G2592" s="1">
        <v>0.0</v>
      </c>
      <c r="H2592" s="1">
        <v>0.0</v>
      </c>
      <c r="I2592" s="1">
        <v>0.0</v>
      </c>
      <c r="J2592" s="1">
        <v>0.0</v>
      </c>
      <c r="K2592" s="1">
        <v>0.0</v>
      </c>
      <c r="L2592" s="1">
        <v>1680000.0</v>
      </c>
      <c r="M2592" s="1" t="s">
        <v>7931</v>
      </c>
      <c r="N2592" s="18">
        <v>46017.0</v>
      </c>
      <c r="O2592" s="1" t="s">
        <v>7932</v>
      </c>
      <c r="P2592" s="1" t="s">
        <v>3230</v>
      </c>
      <c r="Q2592" s="1" t="s">
        <v>3408</v>
      </c>
    </row>
    <row r="2593">
      <c r="A2593" s="1" t="s">
        <v>7933</v>
      </c>
      <c r="B2593" s="1">
        <v>83.0</v>
      </c>
      <c r="C2593" s="1">
        <v>140.0</v>
      </c>
      <c r="D2593" s="2" t="s">
        <v>770</v>
      </c>
      <c r="E2593" s="1">
        <v>83.0</v>
      </c>
      <c r="F2593" s="1">
        <v>21.0</v>
      </c>
      <c r="G2593" s="1">
        <v>0.0</v>
      </c>
      <c r="H2593" s="1">
        <v>0.0</v>
      </c>
      <c r="I2593" s="1">
        <v>0.0</v>
      </c>
      <c r="J2593" s="1">
        <v>0.0</v>
      </c>
      <c r="K2593" s="1">
        <v>0.0</v>
      </c>
      <c r="L2593" s="1">
        <v>2400000.0</v>
      </c>
      <c r="M2593" s="1" t="s">
        <v>7934</v>
      </c>
      <c r="N2593" s="18">
        <v>46016.0</v>
      </c>
      <c r="O2593" s="1" t="s">
        <v>4096</v>
      </c>
      <c r="P2593" s="1" t="s">
        <v>3230</v>
      </c>
      <c r="Q2593" s="1" t="s">
        <v>3408</v>
      </c>
    </row>
    <row r="2594">
      <c r="A2594" s="1" t="s">
        <v>7935</v>
      </c>
      <c r="B2594" s="1">
        <v>83.0</v>
      </c>
      <c r="C2594" s="1">
        <v>210.0</v>
      </c>
      <c r="D2594" s="2" t="s">
        <v>1912</v>
      </c>
      <c r="E2594" s="1">
        <v>83.0</v>
      </c>
      <c r="F2594" s="1">
        <v>5.0</v>
      </c>
      <c r="G2594" s="1">
        <v>0.0</v>
      </c>
      <c r="H2594" s="1">
        <v>0.0</v>
      </c>
      <c r="I2594" s="1">
        <v>0.0</v>
      </c>
      <c r="J2594" s="1">
        <v>0.0</v>
      </c>
      <c r="K2594" s="1">
        <v>0.01</v>
      </c>
      <c r="L2594" s="1">
        <v>625000.0</v>
      </c>
      <c r="M2594" s="1" t="s">
        <v>7936</v>
      </c>
      <c r="N2594" s="18">
        <v>46015.0</v>
      </c>
      <c r="O2594" s="1" t="s">
        <v>3264</v>
      </c>
      <c r="P2594" s="1" t="s">
        <v>3230</v>
      </c>
      <c r="Q2594" s="1" t="s">
        <v>3408</v>
      </c>
    </row>
    <row r="2595">
      <c r="A2595" s="1" t="s">
        <v>7937</v>
      </c>
      <c r="B2595" s="1">
        <v>83.0</v>
      </c>
      <c r="C2595" s="1">
        <v>70.0</v>
      </c>
      <c r="D2595" s="2" t="s">
        <v>581</v>
      </c>
      <c r="E2595" s="1">
        <v>83.0</v>
      </c>
      <c r="F2595" s="1">
        <v>12.0</v>
      </c>
      <c r="G2595" s="1">
        <v>2.64</v>
      </c>
      <c r="H2595" s="1">
        <v>0.0</v>
      </c>
      <c r="I2595" s="1">
        <v>0.0</v>
      </c>
      <c r="J2595" s="1">
        <v>0.0</v>
      </c>
      <c r="K2595" s="1">
        <v>0.12</v>
      </c>
      <c r="L2595" s="1">
        <v>6.75E7</v>
      </c>
      <c r="M2595" s="1" t="s">
        <v>7938</v>
      </c>
      <c r="N2595" s="18">
        <v>46014.0</v>
      </c>
      <c r="O2595" s="1" t="s">
        <v>6054</v>
      </c>
      <c r="P2595" s="1" t="s">
        <v>3334</v>
      </c>
      <c r="Q2595" s="1" t="s">
        <v>3408</v>
      </c>
    </row>
    <row r="2596">
      <c r="A2596" s="1" t="s">
        <v>7939</v>
      </c>
      <c r="B2596" s="1">
        <v>83.0</v>
      </c>
      <c r="C2596" s="1">
        <v>140.0</v>
      </c>
      <c r="D2596" s="2" t="s">
        <v>1536</v>
      </c>
      <c r="E2596" s="1">
        <v>83.0</v>
      </c>
      <c r="F2596" s="1">
        <v>10.0</v>
      </c>
      <c r="G2596" s="1">
        <v>9.11</v>
      </c>
      <c r="H2596" s="1">
        <v>0.0</v>
      </c>
      <c r="I2596" s="1">
        <v>0.0</v>
      </c>
      <c r="J2596" s="1">
        <v>0.0</v>
      </c>
      <c r="K2596" s="1">
        <v>0.04</v>
      </c>
      <c r="L2596" s="1">
        <v>1.72E7</v>
      </c>
      <c r="M2596" s="1" t="s">
        <v>7940</v>
      </c>
      <c r="N2596" s="18">
        <v>46011.0</v>
      </c>
      <c r="O2596" s="1" t="s">
        <v>3314</v>
      </c>
      <c r="P2596" s="1" t="s">
        <v>3230</v>
      </c>
      <c r="Q2596" s="1" t="s">
        <v>3408</v>
      </c>
    </row>
    <row r="2597">
      <c r="A2597" s="1" t="s">
        <v>7941</v>
      </c>
      <c r="B2597" s="1">
        <v>83.0</v>
      </c>
      <c r="C2597" s="1">
        <v>390.0</v>
      </c>
      <c r="D2597" s="2" t="s">
        <v>602</v>
      </c>
      <c r="E2597" s="1">
        <v>83.0</v>
      </c>
      <c r="F2597" s="1">
        <v>20.0</v>
      </c>
      <c r="G2597" s="1">
        <v>4.23</v>
      </c>
      <c r="H2597" s="1">
        <v>0.0</v>
      </c>
      <c r="I2597" s="1">
        <v>0.0</v>
      </c>
      <c r="J2597" s="1">
        <v>0.0</v>
      </c>
      <c r="K2597" s="1">
        <v>0.59</v>
      </c>
      <c r="L2597" s="1">
        <v>117000.0</v>
      </c>
      <c r="M2597" s="1" t="s">
        <v>7942</v>
      </c>
      <c r="N2597" s="18">
        <v>46010.0</v>
      </c>
      <c r="O2597" s="1" t="s">
        <v>7943</v>
      </c>
      <c r="P2597" s="1" t="s">
        <v>3230</v>
      </c>
      <c r="Q2597" s="1" t="s">
        <v>3408</v>
      </c>
    </row>
    <row r="2598">
      <c r="A2598" s="1" t="s">
        <v>7944</v>
      </c>
      <c r="B2598" s="1">
        <v>83.0</v>
      </c>
      <c r="C2598" s="1">
        <v>70.0</v>
      </c>
      <c r="D2598" s="2" t="s">
        <v>754</v>
      </c>
      <c r="E2598" s="1">
        <v>83.0</v>
      </c>
      <c r="F2598" s="1">
        <v>12.0</v>
      </c>
      <c r="G2598" s="1">
        <v>14.13</v>
      </c>
      <c r="H2598" s="1">
        <v>0.0</v>
      </c>
      <c r="I2598" s="1">
        <v>0.0</v>
      </c>
      <c r="J2598" s="1">
        <v>0.0</v>
      </c>
      <c r="K2598" s="1">
        <v>0.9</v>
      </c>
      <c r="L2598" s="1">
        <v>909000.0</v>
      </c>
      <c r="M2598" s="1" t="s">
        <v>7945</v>
      </c>
      <c r="N2598" s="18">
        <v>46005.0</v>
      </c>
      <c r="O2598" s="1" t="s">
        <v>7946</v>
      </c>
      <c r="P2598" s="1" t="s">
        <v>3230</v>
      </c>
      <c r="Q2598" s="1" t="s">
        <v>3408</v>
      </c>
    </row>
    <row r="2599">
      <c r="A2599" s="1" t="s">
        <v>7947</v>
      </c>
      <c r="B2599" s="1">
        <v>83.0</v>
      </c>
      <c r="C2599" s="1">
        <v>70.0</v>
      </c>
      <c r="D2599" s="2" t="s">
        <v>712</v>
      </c>
      <c r="E2599" s="1">
        <v>83.0</v>
      </c>
      <c r="F2599" s="1">
        <v>6.0</v>
      </c>
      <c r="G2599" s="1">
        <v>0.0</v>
      </c>
      <c r="H2599" s="1">
        <v>0.0</v>
      </c>
      <c r="I2599" s="1">
        <v>0.0</v>
      </c>
      <c r="J2599" s="1">
        <v>0.0</v>
      </c>
      <c r="K2599" s="1">
        <v>0.0</v>
      </c>
      <c r="L2599" s="1">
        <v>15000.0</v>
      </c>
      <c r="M2599" s="1" t="s">
        <v>4406</v>
      </c>
      <c r="N2599" s="18">
        <v>46004.0</v>
      </c>
      <c r="O2599" s="1" t="s">
        <v>3415</v>
      </c>
      <c r="P2599" s="1" t="s">
        <v>3257</v>
      </c>
      <c r="Q2599" s="1" t="s">
        <v>3408</v>
      </c>
    </row>
    <row r="2600">
      <c r="A2600" s="1" t="s">
        <v>7948</v>
      </c>
      <c r="B2600" s="1">
        <v>83.0</v>
      </c>
      <c r="C2600" s="1">
        <v>40.0</v>
      </c>
      <c r="D2600" s="2" t="s">
        <v>770</v>
      </c>
      <c r="E2600" s="1">
        <v>83.0</v>
      </c>
      <c r="F2600" s="1">
        <v>50.0</v>
      </c>
      <c r="G2600" s="1">
        <v>0.0</v>
      </c>
      <c r="H2600" s="1">
        <v>0.0</v>
      </c>
      <c r="I2600" s="1">
        <v>0.0</v>
      </c>
      <c r="J2600" s="1">
        <v>0.0</v>
      </c>
      <c r="K2600" s="1">
        <v>0.0</v>
      </c>
      <c r="L2600" s="1">
        <v>5240000.0</v>
      </c>
      <c r="M2600" s="1" t="s">
        <v>7949</v>
      </c>
      <c r="N2600" s="18">
        <v>46003.0</v>
      </c>
      <c r="O2600" s="1" t="s">
        <v>3479</v>
      </c>
      <c r="P2600" s="1" t="s">
        <v>3230</v>
      </c>
      <c r="Q2600" s="1" t="s">
        <v>3408</v>
      </c>
    </row>
    <row r="2601">
      <c r="A2601" s="1" t="s">
        <v>7950</v>
      </c>
      <c r="B2601" s="1">
        <v>83.0</v>
      </c>
      <c r="C2601" s="1">
        <v>90.0</v>
      </c>
      <c r="D2601" s="2" t="s">
        <v>584</v>
      </c>
      <c r="E2601" s="1">
        <v>83.0</v>
      </c>
      <c r="F2601" s="1">
        <v>30.0</v>
      </c>
      <c r="G2601" s="1">
        <v>20.53</v>
      </c>
      <c r="H2601" s="1">
        <v>0.0</v>
      </c>
      <c r="I2601" s="1">
        <v>0.0</v>
      </c>
      <c r="J2601" s="1">
        <v>0.0</v>
      </c>
      <c r="K2601" s="1">
        <v>0.57</v>
      </c>
      <c r="L2601" s="1">
        <v>2.99E7</v>
      </c>
      <c r="M2601" s="1" t="s">
        <v>7951</v>
      </c>
      <c r="N2601" s="18">
        <v>46002.0</v>
      </c>
      <c r="O2601" s="1" t="s">
        <v>3435</v>
      </c>
      <c r="P2601" s="1" t="s">
        <v>3257</v>
      </c>
      <c r="Q2601" s="1" t="s">
        <v>3408</v>
      </c>
    </row>
    <row r="2602">
      <c r="A2602" s="1" t="s">
        <v>7952</v>
      </c>
      <c r="B2602" s="1">
        <v>83.0</v>
      </c>
      <c r="C2602" s="1">
        <v>50.0</v>
      </c>
      <c r="D2602" s="2" t="s">
        <v>1475</v>
      </c>
      <c r="E2602" s="1">
        <v>83.0</v>
      </c>
      <c r="F2602" s="1">
        <v>22.0</v>
      </c>
      <c r="G2602" s="1">
        <v>0.0</v>
      </c>
      <c r="H2602" s="1">
        <v>0.0</v>
      </c>
      <c r="I2602" s="1">
        <v>0.0</v>
      </c>
      <c r="J2602" s="1">
        <v>0.0</v>
      </c>
      <c r="K2602" s="1">
        <v>0.0</v>
      </c>
      <c r="L2602" s="1">
        <v>2900000.0</v>
      </c>
      <c r="M2602" s="1" t="s">
        <v>7953</v>
      </c>
      <c r="N2602" s="18">
        <v>46001.0</v>
      </c>
      <c r="O2602" s="1" t="s">
        <v>3442</v>
      </c>
      <c r="P2602" s="1" t="s">
        <v>3230</v>
      </c>
      <c r="Q2602" s="1" t="s">
        <v>3408</v>
      </c>
    </row>
    <row r="2603">
      <c r="A2603" s="1" t="s">
        <v>7954</v>
      </c>
      <c r="B2603" s="1">
        <v>83.0</v>
      </c>
      <c r="C2603" s="1">
        <v>170.0</v>
      </c>
      <c r="D2603" s="2" t="s">
        <v>778</v>
      </c>
      <c r="E2603" s="1">
        <v>83.0</v>
      </c>
      <c r="F2603" s="1">
        <v>12.0</v>
      </c>
      <c r="G2603" s="1">
        <v>0.0</v>
      </c>
      <c r="H2603" s="1">
        <v>0.0</v>
      </c>
      <c r="I2603" s="1">
        <v>0.0</v>
      </c>
      <c r="J2603" s="1">
        <v>0.0</v>
      </c>
      <c r="K2603" s="1">
        <v>0.0</v>
      </c>
      <c r="L2603" s="1">
        <v>4280000.0</v>
      </c>
      <c r="M2603" s="1" t="s">
        <v>7955</v>
      </c>
      <c r="N2603" s="18">
        <v>46000.0</v>
      </c>
      <c r="O2603" s="1" t="s">
        <v>7956</v>
      </c>
      <c r="P2603" s="1" t="s">
        <v>3257</v>
      </c>
      <c r="Q2603" s="1" t="s">
        <v>3408</v>
      </c>
    </row>
    <row r="2604">
      <c r="A2604" s="1" t="s">
        <v>7957</v>
      </c>
      <c r="B2604" s="1">
        <v>83.0</v>
      </c>
      <c r="C2604" s="1">
        <v>50.0</v>
      </c>
      <c r="D2604" s="2" t="s">
        <v>1246</v>
      </c>
      <c r="E2604" s="1">
        <v>83.0</v>
      </c>
      <c r="F2604" s="1">
        <v>0.0</v>
      </c>
      <c r="G2604" s="1">
        <v>0.0</v>
      </c>
      <c r="H2604" s="1">
        <v>0.0</v>
      </c>
      <c r="I2604" s="1">
        <v>0.0</v>
      </c>
      <c r="J2604" s="1">
        <v>0.0</v>
      </c>
      <c r="K2604" s="1">
        <v>0.0</v>
      </c>
      <c r="L2604" s="1">
        <v>2520000.0</v>
      </c>
      <c r="M2604" s="1" t="s">
        <v>7958</v>
      </c>
      <c r="N2604" s="18">
        <v>46000.0</v>
      </c>
      <c r="O2604" s="1" t="s">
        <v>7613</v>
      </c>
      <c r="P2604" s="1" t="s">
        <v>3334</v>
      </c>
      <c r="Q2604" s="1" t="s">
        <v>3408</v>
      </c>
    </row>
    <row r="2605">
      <c r="A2605" s="1" t="s">
        <v>6735</v>
      </c>
      <c r="B2605" s="1">
        <v>83.0</v>
      </c>
      <c r="C2605" s="1">
        <v>140.0</v>
      </c>
      <c r="D2605" s="2" t="s">
        <v>1400</v>
      </c>
      <c r="E2605" s="1">
        <v>83.0</v>
      </c>
      <c r="F2605" s="1">
        <v>4.0</v>
      </c>
      <c r="G2605" s="1">
        <v>3.06</v>
      </c>
      <c r="H2605" s="1">
        <v>0.0</v>
      </c>
      <c r="I2605" s="1">
        <v>0.0</v>
      </c>
      <c r="J2605" s="1">
        <v>0.0</v>
      </c>
      <c r="K2605" s="1">
        <v>0.43</v>
      </c>
      <c r="L2605" s="1">
        <v>1750000.0</v>
      </c>
      <c r="M2605" s="1" t="s">
        <v>6736</v>
      </c>
      <c r="N2605" s="18">
        <v>45993.0</v>
      </c>
      <c r="O2605" s="1" t="s">
        <v>3264</v>
      </c>
      <c r="P2605" s="1" t="s">
        <v>3230</v>
      </c>
      <c r="Q2605" s="1" t="s">
        <v>3408</v>
      </c>
    </row>
    <row r="2606">
      <c r="A2606" s="1" t="s">
        <v>7959</v>
      </c>
      <c r="B2606" s="1">
        <v>83.0</v>
      </c>
      <c r="C2606" s="1">
        <v>140.0</v>
      </c>
      <c r="D2606" s="2" t="s">
        <v>581</v>
      </c>
      <c r="E2606" s="1">
        <v>83.0</v>
      </c>
      <c r="F2606" s="1">
        <v>33.0</v>
      </c>
      <c r="G2606" s="1">
        <v>16.88</v>
      </c>
      <c r="H2606" s="1">
        <v>0.0</v>
      </c>
      <c r="I2606" s="1">
        <v>0.0</v>
      </c>
      <c r="J2606" s="1">
        <v>0.0</v>
      </c>
      <c r="K2606" s="1">
        <v>0.54</v>
      </c>
      <c r="L2606" s="1">
        <v>2.28E7</v>
      </c>
      <c r="M2606" s="1" t="s">
        <v>6802</v>
      </c>
      <c r="N2606" s="18">
        <v>45990.0</v>
      </c>
      <c r="O2606" s="1" t="s">
        <v>3288</v>
      </c>
      <c r="P2606" s="1" t="s">
        <v>3257</v>
      </c>
      <c r="Q2606" s="1" t="s">
        <v>3408</v>
      </c>
    </row>
    <row r="2607">
      <c r="A2607" s="1" t="s">
        <v>7960</v>
      </c>
      <c r="B2607" s="1">
        <v>83.0</v>
      </c>
      <c r="C2607" s="1">
        <v>110.0</v>
      </c>
      <c r="D2607" s="2" t="s">
        <v>581</v>
      </c>
      <c r="E2607" s="1">
        <v>83.0</v>
      </c>
      <c r="F2607" s="1">
        <v>10.0</v>
      </c>
      <c r="G2607" s="1">
        <v>6.69</v>
      </c>
      <c r="H2607" s="1">
        <v>0.0</v>
      </c>
      <c r="I2607" s="1">
        <v>0.0</v>
      </c>
      <c r="J2607" s="1">
        <v>0.0</v>
      </c>
      <c r="K2607" s="1">
        <v>0.24</v>
      </c>
      <c r="L2607" s="1">
        <v>4760000.0</v>
      </c>
      <c r="M2607" s="1" t="s">
        <v>7961</v>
      </c>
      <c r="N2607" s="18">
        <v>45990.0</v>
      </c>
      <c r="O2607" s="1" t="s">
        <v>5538</v>
      </c>
      <c r="P2607" s="1" t="s">
        <v>3230</v>
      </c>
      <c r="Q2607" s="1" t="s">
        <v>3408</v>
      </c>
    </row>
    <row r="2608">
      <c r="A2608" s="1" t="s">
        <v>7962</v>
      </c>
      <c r="B2608" s="1">
        <v>83.0</v>
      </c>
      <c r="C2608" s="1">
        <v>590.0</v>
      </c>
      <c r="D2608" s="2" t="s">
        <v>1475</v>
      </c>
      <c r="E2608" s="1">
        <v>83.0</v>
      </c>
      <c r="F2608" s="1">
        <v>26.0</v>
      </c>
      <c r="G2608" s="1">
        <v>4.31</v>
      </c>
      <c r="H2608" s="1">
        <v>0.0</v>
      </c>
      <c r="I2608" s="1">
        <v>0.0</v>
      </c>
      <c r="J2608" s="1">
        <v>0.0</v>
      </c>
      <c r="K2608" s="1">
        <v>0.03</v>
      </c>
      <c r="L2608" s="1">
        <v>8.0</v>
      </c>
      <c r="M2608" s="1" t="s">
        <v>7963</v>
      </c>
      <c r="N2608" s="18">
        <v>45986.0</v>
      </c>
      <c r="O2608" s="1" t="s">
        <v>3568</v>
      </c>
      <c r="P2608" s="1" t="s">
        <v>3230</v>
      </c>
      <c r="Q2608" s="1" t="s">
        <v>3408</v>
      </c>
    </row>
    <row r="2609">
      <c r="A2609" s="1" t="s">
        <v>7964</v>
      </c>
      <c r="B2609" s="1">
        <v>83.0</v>
      </c>
      <c r="C2609" s="1">
        <v>170.0</v>
      </c>
      <c r="D2609" s="2" t="s">
        <v>439</v>
      </c>
      <c r="E2609" s="1">
        <v>83.0</v>
      </c>
      <c r="F2609" s="1">
        <v>12.0</v>
      </c>
      <c r="G2609" s="1">
        <v>4.15</v>
      </c>
      <c r="H2609" s="1">
        <v>0.0</v>
      </c>
      <c r="I2609" s="1">
        <v>0.0</v>
      </c>
      <c r="J2609" s="1">
        <v>0.0</v>
      </c>
      <c r="K2609" s="1">
        <v>0.06</v>
      </c>
      <c r="L2609" s="1">
        <v>0.0</v>
      </c>
      <c r="M2609" s="1" t="s">
        <v>7965</v>
      </c>
      <c r="N2609" s="18">
        <v>45984.0</v>
      </c>
      <c r="O2609" s="1" t="s">
        <v>3821</v>
      </c>
      <c r="P2609" s="1" t="s">
        <v>3301</v>
      </c>
      <c r="Q2609" s="1" t="s">
        <v>3408</v>
      </c>
    </row>
    <row r="2610">
      <c r="A2610" s="1" t="s">
        <v>7966</v>
      </c>
      <c r="B2610" s="1">
        <v>84.0</v>
      </c>
      <c r="C2610" s="1">
        <v>50.0</v>
      </c>
      <c r="D2610" s="2" t="s">
        <v>1868</v>
      </c>
      <c r="E2610" s="1">
        <v>57.0</v>
      </c>
      <c r="F2610" s="1">
        <v>48.0</v>
      </c>
      <c r="G2610" s="1">
        <v>0.0</v>
      </c>
      <c r="H2610" s="1">
        <v>0.0</v>
      </c>
      <c r="I2610" s="1">
        <v>0.0</v>
      </c>
      <c r="J2610" s="1">
        <v>0.0</v>
      </c>
      <c r="K2610" s="1">
        <v>0.0</v>
      </c>
      <c r="L2610" s="1">
        <v>4.29E8</v>
      </c>
      <c r="M2610" s="1" t="s">
        <v>7967</v>
      </c>
      <c r="N2610" s="18">
        <v>46042.0</v>
      </c>
      <c r="O2610" s="1" t="s">
        <v>5442</v>
      </c>
      <c r="P2610" s="1" t="s">
        <v>3230</v>
      </c>
      <c r="Q2610" s="1" t="s">
        <v>3408</v>
      </c>
    </row>
    <row r="2611">
      <c r="A2611" s="1" t="s">
        <v>7968</v>
      </c>
      <c r="B2611" s="1">
        <v>84.0</v>
      </c>
      <c r="C2611" s="1">
        <v>90.0</v>
      </c>
      <c r="D2611" s="2" t="s">
        <v>1892</v>
      </c>
      <c r="E2611" s="1">
        <v>84.0</v>
      </c>
      <c r="F2611" s="1">
        <v>0.0</v>
      </c>
      <c r="G2611" s="1">
        <v>6.61</v>
      </c>
      <c r="H2611" s="1">
        <v>0.0</v>
      </c>
      <c r="I2611" s="1">
        <v>0.0</v>
      </c>
      <c r="J2611" s="1">
        <v>0.0</v>
      </c>
      <c r="K2611" s="1">
        <v>0.82</v>
      </c>
      <c r="L2611" s="1">
        <v>322000.0</v>
      </c>
      <c r="M2611" s="1" t="s">
        <v>7969</v>
      </c>
      <c r="N2611" s="18">
        <v>46042.0</v>
      </c>
      <c r="O2611" s="1" t="s">
        <v>4845</v>
      </c>
      <c r="P2611" s="1" t="s">
        <v>3230</v>
      </c>
      <c r="Q2611" s="1" t="s">
        <v>3408</v>
      </c>
    </row>
    <row r="2612">
      <c r="A2612" s="1" t="s">
        <v>4544</v>
      </c>
      <c r="B2612" s="1">
        <v>84.0</v>
      </c>
      <c r="C2612" s="1">
        <v>90.0</v>
      </c>
      <c r="D2612" s="2" t="s">
        <v>584</v>
      </c>
      <c r="E2612" s="1">
        <v>84.0</v>
      </c>
      <c r="F2612" s="1">
        <v>19.0</v>
      </c>
      <c r="G2612" s="1">
        <v>26.64</v>
      </c>
      <c r="H2612" s="1">
        <v>0.0</v>
      </c>
      <c r="I2612" s="1">
        <v>0.0</v>
      </c>
      <c r="J2612" s="1">
        <v>0.0</v>
      </c>
      <c r="K2612" s="1">
        <v>0.3</v>
      </c>
      <c r="L2612" s="1">
        <v>113000.0</v>
      </c>
      <c r="M2612" s="1" t="s">
        <v>4545</v>
      </c>
      <c r="N2612" s="18">
        <v>46041.0</v>
      </c>
      <c r="O2612" s="1" t="s">
        <v>3415</v>
      </c>
      <c r="P2612" s="1" t="s">
        <v>3257</v>
      </c>
      <c r="Q2612" s="1" t="s">
        <v>3408</v>
      </c>
    </row>
    <row r="2613">
      <c r="A2613" s="1" t="s">
        <v>7970</v>
      </c>
      <c r="B2613" s="1">
        <v>84.0</v>
      </c>
      <c r="C2613" s="1">
        <v>30.0</v>
      </c>
      <c r="D2613" s="2" t="s">
        <v>954</v>
      </c>
      <c r="E2613" s="1">
        <v>84.0</v>
      </c>
      <c r="F2613" s="1">
        <v>11.0</v>
      </c>
      <c r="G2613" s="1">
        <v>1.31</v>
      </c>
      <c r="H2613" s="1">
        <v>0.0</v>
      </c>
      <c r="I2613" s="1">
        <v>0.0</v>
      </c>
      <c r="J2613" s="1">
        <v>0.0</v>
      </c>
      <c r="K2613" s="1">
        <v>0.49</v>
      </c>
      <c r="L2613" s="1">
        <v>8.8E7</v>
      </c>
      <c r="M2613" s="1" t="s">
        <v>7971</v>
      </c>
      <c r="N2613" s="18">
        <v>46038.0</v>
      </c>
      <c r="O2613" s="1" t="s">
        <v>3264</v>
      </c>
      <c r="P2613" s="1" t="s">
        <v>3230</v>
      </c>
      <c r="Q2613" s="1" t="s">
        <v>3408</v>
      </c>
    </row>
    <row r="2614">
      <c r="A2614" s="1" t="s">
        <v>7972</v>
      </c>
      <c r="B2614" s="1">
        <v>84.0</v>
      </c>
      <c r="C2614" s="1">
        <v>110.0</v>
      </c>
      <c r="D2614" s="2" t="s">
        <v>1228</v>
      </c>
      <c r="E2614" s="1">
        <v>84.0</v>
      </c>
      <c r="F2614" s="1">
        <v>10.0</v>
      </c>
      <c r="G2614" s="1">
        <v>1.43</v>
      </c>
      <c r="H2614" s="1">
        <v>0.0</v>
      </c>
      <c r="I2614" s="1">
        <v>0.0</v>
      </c>
      <c r="J2614" s="1">
        <v>0.0</v>
      </c>
      <c r="K2614" s="1">
        <v>0.23</v>
      </c>
      <c r="L2614" s="1">
        <v>3.22E7</v>
      </c>
      <c r="M2614" s="1" t="s">
        <v>7973</v>
      </c>
      <c r="N2614" s="18">
        <v>46036.0</v>
      </c>
      <c r="O2614" s="1" t="s">
        <v>7974</v>
      </c>
      <c r="P2614" s="1" t="s">
        <v>3230</v>
      </c>
      <c r="Q2614" s="1" t="s">
        <v>3408</v>
      </c>
    </row>
    <row r="2615">
      <c r="A2615" s="1" t="s">
        <v>7975</v>
      </c>
      <c r="B2615" s="1">
        <v>84.0</v>
      </c>
      <c r="C2615" s="1">
        <v>40.0</v>
      </c>
      <c r="D2615" s="2" t="s">
        <v>716</v>
      </c>
      <c r="E2615" s="1">
        <v>84.0</v>
      </c>
      <c r="F2615" s="1">
        <v>4.0</v>
      </c>
      <c r="G2615" s="1">
        <v>66.01</v>
      </c>
      <c r="H2615" s="1">
        <v>0.0</v>
      </c>
      <c r="I2615" s="1">
        <v>0.0</v>
      </c>
      <c r="J2615" s="1">
        <v>0.0</v>
      </c>
      <c r="K2615" s="1">
        <v>0.35</v>
      </c>
      <c r="L2615" s="1">
        <v>368000.0</v>
      </c>
      <c r="M2615" s="1" t="s">
        <v>7976</v>
      </c>
      <c r="N2615" s="18">
        <v>46036.0</v>
      </c>
      <c r="O2615" s="1" t="s">
        <v>4643</v>
      </c>
      <c r="P2615" s="1" t="s">
        <v>3257</v>
      </c>
      <c r="Q2615" s="1" t="s">
        <v>3408</v>
      </c>
    </row>
    <row r="2616">
      <c r="A2616" s="1" t="s">
        <v>7977</v>
      </c>
      <c r="B2616" s="1">
        <v>84.0</v>
      </c>
      <c r="C2616" s="1">
        <v>50.0</v>
      </c>
      <c r="D2616" s="2" t="s">
        <v>581</v>
      </c>
      <c r="E2616" s="1">
        <v>84.0</v>
      </c>
      <c r="F2616" s="1">
        <v>0.0</v>
      </c>
      <c r="G2616" s="1">
        <v>0.0</v>
      </c>
      <c r="H2616" s="1">
        <v>0.0</v>
      </c>
      <c r="I2616" s="1">
        <v>0.0</v>
      </c>
      <c r="J2616" s="1">
        <v>0.0</v>
      </c>
      <c r="K2616" s="1">
        <v>0.0</v>
      </c>
      <c r="L2616" s="1">
        <v>1140000.0</v>
      </c>
      <c r="M2616" s="1" t="s">
        <v>7978</v>
      </c>
      <c r="N2616" s="18">
        <v>46035.0</v>
      </c>
      <c r="O2616" s="1" t="s">
        <v>4839</v>
      </c>
      <c r="P2616" s="1" t="s">
        <v>3257</v>
      </c>
      <c r="Q2616" s="1" t="s">
        <v>3408</v>
      </c>
    </row>
    <row r="2617">
      <c r="A2617" s="1" t="s">
        <v>7979</v>
      </c>
      <c r="B2617" s="1">
        <v>84.0</v>
      </c>
      <c r="C2617" s="1">
        <v>480.0</v>
      </c>
      <c r="D2617" s="2" t="s">
        <v>778</v>
      </c>
      <c r="E2617" s="1">
        <v>84.0</v>
      </c>
      <c r="F2617" s="1">
        <v>5.0</v>
      </c>
      <c r="G2617" s="1">
        <v>0.0</v>
      </c>
      <c r="H2617" s="1">
        <v>0.0</v>
      </c>
      <c r="I2617" s="1">
        <v>0.0</v>
      </c>
      <c r="J2617" s="1">
        <v>0.0</v>
      </c>
      <c r="K2617" s="1">
        <v>0.0</v>
      </c>
      <c r="L2617" s="1">
        <v>730000.0</v>
      </c>
      <c r="M2617" s="1" t="s">
        <v>7980</v>
      </c>
      <c r="N2617" s="18">
        <v>46034.0</v>
      </c>
      <c r="O2617" s="1" t="s">
        <v>7981</v>
      </c>
      <c r="P2617" s="1" t="s">
        <v>3257</v>
      </c>
      <c r="Q2617" s="1" t="s">
        <v>3408</v>
      </c>
    </row>
    <row r="2618">
      <c r="A2618" s="1" t="s">
        <v>7982</v>
      </c>
      <c r="B2618" s="1">
        <v>84.0</v>
      </c>
      <c r="C2618" s="1">
        <v>50.0</v>
      </c>
      <c r="D2618" s="2" t="s">
        <v>740</v>
      </c>
      <c r="E2618" s="1">
        <v>84.0</v>
      </c>
      <c r="F2618" s="1">
        <v>6.0</v>
      </c>
      <c r="G2618" s="1">
        <v>0.0</v>
      </c>
      <c r="H2618" s="1">
        <v>0.0</v>
      </c>
      <c r="I2618" s="1">
        <v>0.0</v>
      </c>
      <c r="J2618" s="1">
        <v>0.0</v>
      </c>
      <c r="K2618" s="1">
        <v>0.33</v>
      </c>
      <c r="L2618" s="1">
        <v>5.96E7</v>
      </c>
      <c r="M2618" s="1" t="s">
        <v>7983</v>
      </c>
      <c r="N2618" s="18">
        <v>46031.0</v>
      </c>
      <c r="O2618" s="1" t="s">
        <v>7984</v>
      </c>
      <c r="P2618" s="1" t="s">
        <v>3230</v>
      </c>
      <c r="Q2618" s="1" t="s">
        <v>3408</v>
      </c>
    </row>
    <row r="2619">
      <c r="A2619" s="1" t="s">
        <v>7985</v>
      </c>
      <c r="B2619" s="1">
        <v>84.0</v>
      </c>
      <c r="C2619" s="1">
        <v>110.0</v>
      </c>
      <c r="D2619" s="2" t="s">
        <v>760</v>
      </c>
      <c r="E2619" s="1">
        <v>84.0</v>
      </c>
      <c r="F2619" s="1">
        <v>7.0</v>
      </c>
      <c r="G2619" s="1">
        <v>0.0</v>
      </c>
      <c r="H2619" s="1">
        <v>0.0</v>
      </c>
      <c r="I2619" s="1">
        <v>0.0</v>
      </c>
      <c r="J2619" s="1">
        <v>0.0</v>
      </c>
      <c r="K2619" s="1">
        <v>0.0</v>
      </c>
      <c r="L2619" s="1">
        <v>2.42E7</v>
      </c>
      <c r="M2619" s="1" t="s">
        <v>7986</v>
      </c>
      <c r="N2619" s="18">
        <v>46031.0</v>
      </c>
      <c r="O2619" s="1" t="s">
        <v>4505</v>
      </c>
      <c r="P2619" s="1" t="s">
        <v>3230</v>
      </c>
      <c r="Q2619" s="1" t="s">
        <v>3408</v>
      </c>
    </row>
    <row r="2620">
      <c r="A2620" s="1" t="s">
        <v>3671</v>
      </c>
      <c r="B2620" s="1">
        <v>84.0</v>
      </c>
      <c r="C2620" s="1">
        <v>70.0</v>
      </c>
      <c r="D2620" s="2" t="s">
        <v>499</v>
      </c>
      <c r="E2620" s="1">
        <v>84.0</v>
      </c>
      <c r="F2620" s="1">
        <v>12.0</v>
      </c>
      <c r="G2620" s="1">
        <v>11.04</v>
      </c>
      <c r="H2620" s="1">
        <v>0.0</v>
      </c>
      <c r="I2620" s="1">
        <v>0.0</v>
      </c>
      <c r="J2620" s="1">
        <v>0.0</v>
      </c>
      <c r="K2620" s="1">
        <v>0.47</v>
      </c>
      <c r="L2620" s="1">
        <v>161000.0</v>
      </c>
      <c r="M2620" s="1" t="s">
        <v>3672</v>
      </c>
      <c r="N2620" s="18">
        <v>46028.0</v>
      </c>
      <c r="O2620" s="1" t="s">
        <v>3673</v>
      </c>
      <c r="P2620" s="1" t="s">
        <v>3257</v>
      </c>
      <c r="Q2620" s="1" t="s">
        <v>3408</v>
      </c>
    </row>
    <row r="2621">
      <c r="A2621" s="1" t="s">
        <v>7987</v>
      </c>
      <c r="B2621" s="1">
        <v>84.0</v>
      </c>
      <c r="C2621" s="1">
        <v>30.0</v>
      </c>
      <c r="D2621" s="2" t="s">
        <v>581</v>
      </c>
      <c r="E2621" s="1">
        <v>84.0</v>
      </c>
      <c r="F2621" s="1">
        <v>33.0</v>
      </c>
      <c r="G2621" s="1">
        <v>20.69</v>
      </c>
      <c r="H2621" s="1">
        <v>0.0</v>
      </c>
      <c r="I2621" s="1">
        <v>0.0</v>
      </c>
      <c r="J2621" s="1">
        <v>0.0</v>
      </c>
      <c r="K2621" s="1">
        <v>0.71</v>
      </c>
      <c r="L2621" s="1">
        <v>217000.0</v>
      </c>
      <c r="M2621" s="1" t="s">
        <v>7988</v>
      </c>
      <c r="N2621" s="18">
        <v>46026.0</v>
      </c>
      <c r="O2621" s="1" t="s">
        <v>3925</v>
      </c>
      <c r="P2621" s="1" t="s">
        <v>3257</v>
      </c>
      <c r="Q2621" s="1" t="s">
        <v>3408</v>
      </c>
    </row>
    <row r="2622">
      <c r="A2622" s="1" t="s">
        <v>7989</v>
      </c>
      <c r="B2622" s="1">
        <v>84.0</v>
      </c>
      <c r="C2622" s="1">
        <v>50.0</v>
      </c>
      <c r="D2622" s="2" t="s">
        <v>581</v>
      </c>
      <c r="E2622" s="1">
        <v>84.0</v>
      </c>
      <c r="G2622" s="1">
        <v>0.0</v>
      </c>
      <c r="H2622" s="1">
        <v>0.0</v>
      </c>
      <c r="I2622" s="1">
        <v>0.0</v>
      </c>
      <c r="J2622" s="1">
        <v>0.0</v>
      </c>
      <c r="K2622" s="1">
        <v>0.33</v>
      </c>
      <c r="L2622" s="1">
        <v>500000.0</v>
      </c>
      <c r="M2622" s="1" t="s">
        <v>7990</v>
      </c>
      <c r="N2622" s="18">
        <v>46025.0</v>
      </c>
      <c r="O2622" s="1" t="s">
        <v>3415</v>
      </c>
      <c r="P2622" s="1" t="s">
        <v>3257</v>
      </c>
      <c r="Q2622" s="1" t="s">
        <v>3408</v>
      </c>
    </row>
    <row r="2623">
      <c r="A2623" s="1" t="s">
        <v>7466</v>
      </c>
      <c r="B2623" s="1">
        <v>84.0</v>
      </c>
      <c r="C2623" s="1">
        <v>70.0</v>
      </c>
      <c r="D2623" s="2" t="s">
        <v>665</v>
      </c>
      <c r="E2623" s="1">
        <v>84.0</v>
      </c>
      <c r="F2623" s="1">
        <v>0.0</v>
      </c>
      <c r="G2623" s="1">
        <v>0.0</v>
      </c>
      <c r="H2623" s="1">
        <v>0.0</v>
      </c>
      <c r="I2623" s="1">
        <v>0.0</v>
      </c>
      <c r="J2623" s="1">
        <v>0.0</v>
      </c>
      <c r="K2623" s="1">
        <v>0.0</v>
      </c>
      <c r="L2623" s="1">
        <v>2.65E7</v>
      </c>
      <c r="M2623" s="1" t="s">
        <v>7467</v>
      </c>
      <c r="N2623" s="18">
        <v>46025.0</v>
      </c>
      <c r="O2623" s="1" t="s">
        <v>5015</v>
      </c>
      <c r="P2623" s="1" t="s">
        <v>3257</v>
      </c>
      <c r="Q2623" s="1" t="s">
        <v>3408</v>
      </c>
    </row>
    <row r="2624">
      <c r="A2624" s="1" t="s">
        <v>7991</v>
      </c>
      <c r="B2624" s="1">
        <v>84.0</v>
      </c>
      <c r="C2624" s="1">
        <v>40.0</v>
      </c>
      <c r="D2624" s="2" t="s">
        <v>768</v>
      </c>
      <c r="E2624" s="1">
        <v>84.0</v>
      </c>
      <c r="F2624" s="1">
        <v>2.0</v>
      </c>
      <c r="G2624" s="1">
        <v>0.0</v>
      </c>
      <c r="H2624" s="1">
        <v>0.0</v>
      </c>
      <c r="I2624" s="1">
        <v>0.0</v>
      </c>
      <c r="J2624" s="1">
        <v>0.0</v>
      </c>
      <c r="K2624" s="1">
        <v>0.0</v>
      </c>
      <c r="L2624" s="1">
        <v>84800.0</v>
      </c>
      <c r="M2624" s="1" t="s">
        <v>7992</v>
      </c>
      <c r="N2624" s="18">
        <v>46024.0</v>
      </c>
      <c r="O2624" s="1" t="s">
        <v>7993</v>
      </c>
      <c r="P2624" s="1" t="s">
        <v>3334</v>
      </c>
      <c r="Q2624" s="1" t="s">
        <v>3408</v>
      </c>
    </row>
    <row r="2625">
      <c r="A2625" s="1" t="s">
        <v>7994</v>
      </c>
      <c r="B2625" s="1">
        <v>84.0</v>
      </c>
      <c r="C2625" s="1">
        <v>50.0</v>
      </c>
      <c r="D2625" s="2" t="s">
        <v>996</v>
      </c>
      <c r="E2625" s="1">
        <v>84.0</v>
      </c>
      <c r="F2625" s="1">
        <v>3.0</v>
      </c>
      <c r="G2625" s="1">
        <v>0.0</v>
      </c>
      <c r="H2625" s="1">
        <v>0.0</v>
      </c>
      <c r="I2625" s="1">
        <v>0.0</v>
      </c>
      <c r="J2625" s="1">
        <v>0.0</v>
      </c>
      <c r="K2625" s="1">
        <v>0.0</v>
      </c>
      <c r="L2625" s="1">
        <v>40600.0</v>
      </c>
      <c r="M2625" s="1" t="s">
        <v>7995</v>
      </c>
      <c r="N2625" s="18">
        <v>46024.0</v>
      </c>
      <c r="O2625" s="1" t="s">
        <v>3418</v>
      </c>
      <c r="P2625" s="1" t="s">
        <v>3257</v>
      </c>
      <c r="Q2625" s="1" t="s">
        <v>3408</v>
      </c>
    </row>
    <row r="2626">
      <c r="A2626" s="1" t="s">
        <v>5532</v>
      </c>
      <c r="B2626" s="1">
        <v>84.0</v>
      </c>
      <c r="C2626" s="1">
        <v>90.0</v>
      </c>
      <c r="D2626" s="2" t="s">
        <v>2433</v>
      </c>
      <c r="E2626" s="1">
        <v>84.0</v>
      </c>
      <c r="F2626" s="1">
        <v>9.0</v>
      </c>
      <c r="G2626" s="1">
        <v>0.0</v>
      </c>
      <c r="H2626" s="1">
        <v>0.0</v>
      </c>
      <c r="I2626" s="1">
        <v>0.0</v>
      </c>
      <c r="J2626" s="1">
        <v>0.0</v>
      </c>
      <c r="K2626" s="1">
        <v>0.03</v>
      </c>
      <c r="L2626" s="1">
        <v>3460000.0</v>
      </c>
      <c r="M2626" s="1" t="s">
        <v>5533</v>
      </c>
      <c r="N2626" s="18">
        <v>46022.0</v>
      </c>
      <c r="O2626" s="1" t="s">
        <v>3415</v>
      </c>
      <c r="P2626" s="1" t="s">
        <v>3257</v>
      </c>
      <c r="Q2626" s="1" t="s">
        <v>3408</v>
      </c>
    </row>
    <row r="2627">
      <c r="A2627" s="1" t="s">
        <v>7996</v>
      </c>
      <c r="B2627" s="1">
        <v>84.0</v>
      </c>
      <c r="C2627" s="1">
        <v>210.0</v>
      </c>
      <c r="D2627" s="2" t="s">
        <v>647</v>
      </c>
      <c r="E2627" s="1">
        <v>84.0</v>
      </c>
      <c r="F2627" s="1">
        <v>24.0</v>
      </c>
      <c r="G2627" s="1">
        <v>1.28</v>
      </c>
      <c r="H2627" s="1">
        <v>0.0</v>
      </c>
      <c r="I2627" s="1">
        <v>0.0</v>
      </c>
      <c r="J2627" s="1">
        <v>0.0</v>
      </c>
      <c r="K2627" s="1">
        <v>0.3</v>
      </c>
      <c r="L2627" s="1">
        <v>2.5E8</v>
      </c>
      <c r="M2627" s="1" t="s">
        <v>7997</v>
      </c>
      <c r="N2627" s="18">
        <v>46021.0</v>
      </c>
      <c r="O2627" s="1" t="s">
        <v>3479</v>
      </c>
      <c r="P2627" s="1" t="s">
        <v>3230</v>
      </c>
      <c r="Q2627" s="1" t="s">
        <v>3408</v>
      </c>
    </row>
    <row r="2628">
      <c r="A2628" s="1" t="s">
        <v>7998</v>
      </c>
      <c r="B2628" s="1">
        <v>84.0</v>
      </c>
      <c r="C2628" s="1">
        <v>210.0</v>
      </c>
      <c r="D2628" s="2" t="s">
        <v>1052</v>
      </c>
      <c r="E2628" s="1">
        <v>84.0</v>
      </c>
      <c r="F2628" s="1">
        <v>25.0</v>
      </c>
      <c r="G2628" s="1">
        <v>0.0</v>
      </c>
      <c r="H2628" s="1">
        <v>0.0</v>
      </c>
      <c r="I2628" s="1">
        <v>0.0</v>
      </c>
      <c r="J2628" s="1">
        <v>0.0</v>
      </c>
      <c r="K2628" s="1">
        <v>0.0</v>
      </c>
      <c r="L2628" s="1">
        <v>5.06E8</v>
      </c>
      <c r="M2628" s="1" t="s">
        <v>7999</v>
      </c>
      <c r="N2628" s="18">
        <v>46018.0</v>
      </c>
      <c r="O2628" s="1" t="s">
        <v>3479</v>
      </c>
      <c r="P2628" s="1" t="s">
        <v>3230</v>
      </c>
      <c r="Q2628" s="1" t="s">
        <v>3408</v>
      </c>
    </row>
    <row r="2629">
      <c r="A2629" s="1" t="s">
        <v>8000</v>
      </c>
      <c r="B2629" s="1">
        <v>84.0</v>
      </c>
      <c r="C2629" s="1">
        <v>90.0</v>
      </c>
      <c r="D2629" s="2" t="s">
        <v>581</v>
      </c>
      <c r="E2629" s="1">
        <v>84.0</v>
      </c>
      <c r="F2629" s="1">
        <v>0.0</v>
      </c>
      <c r="G2629" s="1">
        <v>0.0</v>
      </c>
      <c r="H2629" s="1">
        <v>0.0</v>
      </c>
      <c r="I2629" s="1">
        <v>0.0</v>
      </c>
      <c r="J2629" s="1">
        <v>0.0</v>
      </c>
      <c r="K2629" s="1">
        <v>0.0</v>
      </c>
      <c r="L2629" s="1">
        <v>2.87E7</v>
      </c>
      <c r="M2629" s="1" t="s">
        <v>8001</v>
      </c>
      <c r="N2629" s="18">
        <v>46014.0</v>
      </c>
      <c r="O2629" s="1" t="s">
        <v>3404</v>
      </c>
      <c r="P2629" s="1" t="s">
        <v>3257</v>
      </c>
      <c r="Q2629" s="1" t="s">
        <v>3408</v>
      </c>
    </row>
    <row r="2630">
      <c r="A2630" s="1" t="s">
        <v>8002</v>
      </c>
      <c r="B2630" s="1">
        <v>84.0</v>
      </c>
      <c r="C2630" s="1">
        <v>70.0</v>
      </c>
      <c r="D2630" s="2" t="s">
        <v>754</v>
      </c>
      <c r="E2630" s="1">
        <v>84.0</v>
      </c>
      <c r="F2630" s="1">
        <v>11.0</v>
      </c>
      <c r="G2630" s="1">
        <v>29.19</v>
      </c>
      <c r="H2630" s="1">
        <v>0.0</v>
      </c>
      <c r="I2630" s="1">
        <v>0.0</v>
      </c>
      <c r="J2630" s="1">
        <v>0.0</v>
      </c>
      <c r="K2630" s="1">
        <v>0.63</v>
      </c>
      <c r="L2630" s="1">
        <v>4520000.0</v>
      </c>
      <c r="M2630" s="1" t="s">
        <v>8003</v>
      </c>
      <c r="N2630" s="18">
        <v>46012.0</v>
      </c>
      <c r="O2630" s="1" t="s">
        <v>8004</v>
      </c>
      <c r="P2630" s="1" t="s">
        <v>3334</v>
      </c>
      <c r="Q2630" s="1" t="s">
        <v>3408</v>
      </c>
    </row>
    <row r="2631">
      <c r="A2631" s="1" t="s">
        <v>8005</v>
      </c>
      <c r="B2631" s="1">
        <v>84.0</v>
      </c>
      <c r="C2631" s="1">
        <v>590.0</v>
      </c>
      <c r="D2631" s="2" t="s">
        <v>581</v>
      </c>
      <c r="E2631" s="1">
        <v>84.0</v>
      </c>
      <c r="F2631" s="1">
        <v>42.0</v>
      </c>
      <c r="G2631" s="1">
        <v>20.83</v>
      </c>
      <c r="H2631" s="1">
        <v>0.0</v>
      </c>
      <c r="I2631" s="1">
        <v>0.0</v>
      </c>
      <c r="J2631" s="1">
        <v>0.0</v>
      </c>
      <c r="K2631" s="1">
        <v>0.85</v>
      </c>
      <c r="L2631" s="1">
        <v>3.16E7</v>
      </c>
      <c r="M2631" s="1" t="s">
        <v>8006</v>
      </c>
      <c r="N2631" s="18">
        <v>46011.0</v>
      </c>
      <c r="O2631" s="1" t="s">
        <v>8007</v>
      </c>
      <c r="P2631" s="1" t="s">
        <v>3257</v>
      </c>
      <c r="Q2631" s="1" t="s">
        <v>3408</v>
      </c>
    </row>
    <row r="2632">
      <c r="A2632" s="1" t="s">
        <v>8008</v>
      </c>
      <c r="B2632" s="1">
        <v>84.0</v>
      </c>
      <c r="C2632" s="1">
        <v>40.0</v>
      </c>
      <c r="D2632" s="2" t="s">
        <v>439</v>
      </c>
      <c r="E2632" s="1">
        <v>84.0</v>
      </c>
      <c r="F2632" s="1">
        <v>15.0</v>
      </c>
      <c r="G2632" s="1">
        <v>0.0</v>
      </c>
      <c r="H2632" s="1">
        <v>0.0</v>
      </c>
      <c r="I2632" s="1">
        <v>0.0</v>
      </c>
      <c r="J2632" s="1">
        <v>0.0</v>
      </c>
      <c r="K2632" s="1">
        <v>0.16</v>
      </c>
      <c r="L2632" s="1">
        <v>9770000.0</v>
      </c>
      <c r="M2632" s="1" t="s">
        <v>8009</v>
      </c>
      <c r="N2632" s="18">
        <v>46002.0</v>
      </c>
      <c r="O2632" s="1" t="s">
        <v>8010</v>
      </c>
      <c r="P2632" s="1" t="s">
        <v>3462</v>
      </c>
      <c r="Q2632" s="1" t="s">
        <v>3408</v>
      </c>
    </row>
    <row r="2633">
      <c r="A2633" s="1" t="s">
        <v>8011</v>
      </c>
      <c r="B2633" s="1">
        <v>84.0</v>
      </c>
      <c r="C2633" s="1">
        <v>110.0</v>
      </c>
      <c r="D2633" s="2" t="s">
        <v>2957</v>
      </c>
      <c r="E2633" s="1">
        <v>84.0</v>
      </c>
      <c r="F2633" s="1">
        <v>23.0</v>
      </c>
      <c r="G2633" s="1">
        <v>7.29</v>
      </c>
      <c r="H2633" s="1">
        <v>0.0</v>
      </c>
      <c r="I2633" s="1">
        <v>0.0</v>
      </c>
      <c r="J2633" s="1">
        <v>0.0</v>
      </c>
      <c r="K2633" s="1">
        <v>0.05</v>
      </c>
      <c r="L2633" s="1">
        <v>986000.0</v>
      </c>
      <c r="M2633" s="1" t="s">
        <v>8012</v>
      </c>
      <c r="N2633" s="18">
        <v>46002.0</v>
      </c>
      <c r="O2633" s="1" t="s">
        <v>3455</v>
      </c>
      <c r="P2633" s="1" t="s">
        <v>3257</v>
      </c>
      <c r="Q2633" s="1" t="s">
        <v>3408</v>
      </c>
    </row>
    <row r="2634">
      <c r="A2634" s="1" t="s">
        <v>8013</v>
      </c>
      <c r="B2634" s="1">
        <v>84.0</v>
      </c>
      <c r="C2634" s="1">
        <v>140.0</v>
      </c>
      <c r="D2634" s="2" t="s">
        <v>1473</v>
      </c>
      <c r="E2634" s="1">
        <v>84.0</v>
      </c>
      <c r="F2634" s="1">
        <v>60.0</v>
      </c>
      <c r="G2634" s="1">
        <v>0.0</v>
      </c>
      <c r="H2634" s="1">
        <v>0.0</v>
      </c>
      <c r="I2634" s="1">
        <v>0.0</v>
      </c>
      <c r="J2634" s="1">
        <v>0.0</v>
      </c>
      <c r="K2634" s="1">
        <v>0.0</v>
      </c>
      <c r="L2634" s="1">
        <v>2.43E8</v>
      </c>
      <c r="M2634" s="1" t="s">
        <v>8014</v>
      </c>
      <c r="N2634" s="18">
        <v>45999.0</v>
      </c>
      <c r="P2634" s="1" t="s">
        <v>3230</v>
      </c>
      <c r="Q2634" s="1" t="s">
        <v>3408</v>
      </c>
    </row>
    <row r="2635">
      <c r="A2635" s="1" t="s">
        <v>8015</v>
      </c>
      <c r="B2635" s="1">
        <v>84.0</v>
      </c>
      <c r="C2635" s="1">
        <v>40.0</v>
      </c>
      <c r="D2635" s="2" t="s">
        <v>439</v>
      </c>
      <c r="E2635" s="1">
        <v>84.0</v>
      </c>
      <c r="F2635" s="1">
        <v>15.0</v>
      </c>
      <c r="G2635" s="1">
        <v>0.0</v>
      </c>
      <c r="H2635" s="1">
        <v>0.0</v>
      </c>
      <c r="I2635" s="1">
        <v>0.0</v>
      </c>
      <c r="J2635" s="1">
        <v>0.0</v>
      </c>
      <c r="K2635" s="1">
        <v>0.02</v>
      </c>
      <c r="L2635" s="1">
        <v>623.0</v>
      </c>
      <c r="M2635" s="1" t="s">
        <v>8016</v>
      </c>
      <c r="N2635" s="18">
        <v>45998.0</v>
      </c>
      <c r="O2635" s="1" t="s">
        <v>4440</v>
      </c>
      <c r="P2635" s="1" t="s">
        <v>3230</v>
      </c>
      <c r="Q2635" s="1" t="s">
        <v>3408</v>
      </c>
    </row>
    <row r="2636">
      <c r="A2636" s="1" t="s">
        <v>8017</v>
      </c>
      <c r="B2636" s="1">
        <v>84.0</v>
      </c>
      <c r="C2636" s="1">
        <v>110.0</v>
      </c>
      <c r="D2636" s="2" t="s">
        <v>746</v>
      </c>
      <c r="E2636" s="1">
        <v>84.0</v>
      </c>
      <c r="F2636" s="1">
        <v>24.0</v>
      </c>
      <c r="G2636" s="1">
        <v>0.51</v>
      </c>
      <c r="H2636" s="1">
        <v>0.0</v>
      </c>
      <c r="I2636" s="1">
        <v>0.0</v>
      </c>
      <c r="J2636" s="1">
        <v>0.0</v>
      </c>
      <c r="K2636" s="1">
        <v>0.03</v>
      </c>
      <c r="L2636" s="1">
        <v>140000.0</v>
      </c>
      <c r="M2636" s="1" t="s">
        <v>6676</v>
      </c>
      <c r="N2636" s="18">
        <v>45997.0</v>
      </c>
      <c r="O2636" s="1" t="s">
        <v>3407</v>
      </c>
      <c r="P2636" s="1" t="s">
        <v>4538</v>
      </c>
      <c r="Q2636" s="1" t="s">
        <v>3408</v>
      </c>
    </row>
    <row r="2637">
      <c r="A2637" s="1" t="s">
        <v>7507</v>
      </c>
      <c r="B2637" s="1">
        <v>84.0</v>
      </c>
      <c r="C2637" s="1">
        <v>140.0</v>
      </c>
      <c r="D2637" s="2" t="s">
        <v>2931</v>
      </c>
      <c r="E2637" s="1">
        <v>84.0</v>
      </c>
      <c r="F2637" s="1">
        <v>8.0</v>
      </c>
      <c r="G2637" s="1">
        <v>0.0</v>
      </c>
      <c r="H2637" s="1">
        <v>0.0</v>
      </c>
      <c r="I2637" s="1">
        <v>0.0</v>
      </c>
      <c r="J2637" s="1">
        <v>0.0</v>
      </c>
      <c r="K2637" s="1">
        <v>0.0</v>
      </c>
      <c r="L2637" s="1">
        <v>39400.0</v>
      </c>
      <c r="M2637" s="1" t="s">
        <v>7508</v>
      </c>
      <c r="N2637" s="18">
        <v>45994.0</v>
      </c>
      <c r="O2637" s="1" t="s">
        <v>4255</v>
      </c>
      <c r="P2637" s="1" t="s">
        <v>3257</v>
      </c>
      <c r="Q2637" s="1" t="s">
        <v>3408</v>
      </c>
    </row>
    <row r="2638">
      <c r="A2638" s="1" t="s">
        <v>8018</v>
      </c>
      <c r="B2638" s="1">
        <v>84.0</v>
      </c>
      <c r="C2638" s="1">
        <v>50.0</v>
      </c>
      <c r="D2638" s="2" t="s">
        <v>584</v>
      </c>
      <c r="E2638" s="1">
        <v>84.0</v>
      </c>
      <c r="F2638" s="1">
        <v>14.0</v>
      </c>
      <c r="G2638" s="1">
        <v>4.07</v>
      </c>
      <c r="H2638" s="1">
        <v>0.0</v>
      </c>
      <c r="I2638" s="1">
        <v>0.0</v>
      </c>
      <c r="J2638" s="1">
        <v>0.0</v>
      </c>
      <c r="K2638" s="1">
        <v>0.2</v>
      </c>
      <c r="L2638" s="1">
        <v>1360.0</v>
      </c>
      <c r="M2638" s="1" t="s">
        <v>8019</v>
      </c>
      <c r="N2638" s="18">
        <v>45993.0</v>
      </c>
      <c r="O2638" s="1" t="s">
        <v>4440</v>
      </c>
      <c r="P2638" s="1" t="s">
        <v>3230</v>
      </c>
      <c r="Q2638" s="1" t="s">
        <v>3408</v>
      </c>
    </row>
    <row r="2639">
      <c r="A2639" s="1" t="s">
        <v>8020</v>
      </c>
      <c r="B2639" s="1">
        <v>84.0</v>
      </c>
      <c r="C2639" s="1">
        <v>210.0</v>
      </c>
      <c r="D2639" s="2" t="s">
        <v>1452</v>
      </c>
      <c r="E2639" s="1">
        <v>84.0</v>
      </c>
      <c r="F2639" s="1">
        <v>6.0</v>
      </c>
      <c r="G2639" s="1">
        <v>0.0</v>
      </c>
      <c r="H2639" s="1">
        <v>0.0</v>
      </c>
      <c r="I2639" s="1">
        <v>0.0</v>
      </c>
      <c r="J2639" s="1">
        <v>0.0</v>
      </c>
      <c r="K2639" s="1">
        <v>0.0</v>
      </c>
      <c r="L2639" s="1">
        <v>9.0</v>
      </c>
      <c r="M2639" s="1" t="s">
        <v>8021</v>
      </c>
      <c r="N2639" s="18">
        <v>45986.0</v>
      </c>
      <c r="O2639" s="1" t="s">
        <v>3479</v>
      </c>
      <c r="P2639" s="1" t="s">
        <v>3230</v>
      </c>
      <c r="Q2639" s="1" t="s">
        <v>3408</v>
      </c>
    </row>
    <row r="2640">
      <c r="A2640" s="1" t="s">
        <v>5820</v>
      </c>
      <c r="B2640" s="1">
        <v>84.0</v>
      </c>
      <c r="C2640" s="1">
        <v>320.0</v>
      </c>
      <c r="D2640" s="2" t="s">
        <v>1228</v>
      </c>
      <c r="E2640" s="1">
        <v>84.0</v>
      </c>
      <c r="F2640" s="1">
        <v>7.0</v>
      </c>
      <c r="G2640" s="1">
        <v>0.98</v>
      </c>
      <c r="H2640" s="1">
        <v>0.0</v>
      </c>
      <c r="I2640" s="1">
        <v>0.0</v>
      </c>
      <c r="J2640" s="1">
        <v>0.0</v>
      </c>
      <c r="K2640" s="1">
        <v>0.25</v>
      </c>
      <c r="L2640" s="1">
        <v>1.42E8</v>
      </c>
      <c r="M2640" s="1" t="s">
        <v>5821</v>
      </c>
      <c r="N2640" s="18">
        <v>45984.0</v>
      </c>
      <c r="O2640" s="1" t="s">
        <v>3840</v>
      </c>
      <c r="P2640" s="1" t="s">
        <v>3230</v>
      </c>
      <c r="Q2640" s="1" t="s">
        <v>3408</v>
      </c>
    </row>
    <row r="2641">
      <c r="A2641" s="1" t="s">
        <v>8022</v>
      </c>
      <c r="B2641" s="1">
        <v>85.0</v>
      </c>
      <c r="C2641" s="1">
        <v>30.0</v>
      </c>
      <c r="D2641" s="2" t="s">
        <v>581</v>
      </c>
      <c r="E2641" s="1">
        <v>0.0</v>
      </c>
      <c r="G2641" s="1">
        <v>3.47</v>
      </c>
      <c r="H2641" s="1">
        <v>0.0</v>
      </c>
      <c r="I2641" s="1">
        <v>0.0</v>
      </c>
      <c r="J2641" s="1">
        <v>0.0</v>
      </c>
      <c r="K2641" s="1">
        <v>0.31</v>
      </c>
      <c r="L2641" s="1">
        <v>15700.0</v>
      </c>
      <c r="M2641" s="1" t="s">
        <v>4564</v>
      </c>
      <c r="N2641" s="18">
        <v>46042.0</v>
      </c>
      <c r="O2641" s="1" t="s">
        <v>5382</v>
      </c>
      <c r="P2641" s="1" t="s">
        <v>3294</v>
      </c>
      <c r="Q2641" s="1" t="s">
        <v>3408</v>
      </c>
    </row>
    <row r="2642">
      <c r="A2642" s="1" t="s">
        <v>8023</v>
      </c>
      <c r="B2642" s="1">
        <v>85.0</v>
      </c>
      <c r="C2642" s="1">
        <v>40.0</v>
      </c>
      <c r="D2642" s="2" t="s">
        <v>581</v>
      </c>
      <c r="E2642" s="1">
        <v>0.0</v>
      </c>
      <c r="F2642" s="1">
        <v>4.0</v>
      </c>
      <c r="G2642" s="1">
        <v>15.96</v>
      </c>
      <c r="H2642" s="1">
        <v>0.0</v>
      </c>
      <c r="I2642" s="1">
        <v>0.0</v>
      </c>
      <c r="J2642" s="1">
        <v>0.0</v>
      </c>
      <c r="K2642" s="1">
        <v>0.98</v>
      </c>
      <c r="L2642" s="1">
        <v>63200.0</v>
      </c>
      <c r="M2642" s="1" t="s">
        <v>8024</v>
      </c>
      <c r="N2642" s="18">
        <v>46042.0</v>
      </c>
      <c r="O2642" s="1" t="s">
        <v>3755</v>
      </c>
      <c r="P2642" s="1" t="s">
        <v>3257</v>
      </c>
      <c r="Q2642" s="1" t="s">
        <v>3408</v>
      </c>
    </row>
    <row r="2643">
      <c r="A2643" s="1" t="s">
        <v>8025</v>
      </c>
      <c r="B2643" s="1">
        <v>85.0</v>
      </c>
      <c r="C2643" s="1">
        <v>40.0</v>
      </c>
      <c r="D2643" s="2" t="s">
        <v>1109</v>
      </c>
      <c r="E2643" s="1">
        <v>0.0</v>
      </c>
      <c r="F2643" s="1">
        <v>6.0</v>
      </c>
      <c r="G2643" s="1">
        <v>2.94</v>
      </c>
      <c r="H2643" s="1">
        <v>0.0</v>
      </c>
      <c r="I2643" s="1">
        <v>0.0</v>
      </c>
      <c r="J2643" s="1">
        <v>0.0</v>
      </c>
      <c r="K2643" s="1">
        <v>0.32</v>
      </c>
      <c r="L2643" s="1">
        <v>6.98E8</v>
      </c>
      <c r="M2643" s="1" t="s">
        <v>8026</v>
      </c>
      <c r="N2643" s="18">
        <v>46042.0</v>
      </c>
      <c r="O2643" s="1" t="s">
        <v>3565</v>
      </c>
      <c r="P2643" s="1" t="s">
        <v>3230</v>
      </c>
      <c r="Q2643" s="1" t="s">
        <v>3408</v>
      </c>
    </row>
    <row r="2644">
      <c r="A2644" s="1" t="s">
        <v>8027</v>
      </c>
      <c r="B2644" s="1">
        <v>85.0</v>
      </c>
      <c r="C2644" s="1">
        <v>50.0</v>
      </c>
      <c r="D2644" s="2" t="s">
        <v>728</v>
      </c>
      <c r="E2644" s="1">
        <v>0.0</v>
      </c>
      <c r="F2644" s="1">
        <v>0.0</v>
      </c>
      <c r="G2644" s="1">
        <v>0.0</v>
      </c>
      <c r="H2644" s="1">
        <v>0.0</v>
      </c>
      <c r="I2644" s="1">
        <v>0.0</v>
      </c>
      <c r="J2644" s="1">
        <v>0.0</v>
      </c>
      <c r="K2644" s="1">
        <v>0.26</v>
      </c>
      <c r="L2644" s="1">
        <v>3.4E7</v>
      </c>
      <c r="M2644" s="1" t="s">
        <v>8028</v>
      </c>
      <c r="N2644" s="18">
        <v>46042.0</v>
      </c>
      <c r="O2644" s="1" t="s">
        <v>4663</v>
      </c>
      <c r="P2644" s="1" t="s">
        <v>3230</v>
      </c>
      <c r="Q2644" s="1" t="s">
        <v>3408</v>
      </c>
    </row>
    <row r="2645">
      <c r="A2645" s="1" t="s">
        <v>8029</v>
      </c>
      <c r="B2645" s="1">
        <v>85.0</v>
      </c>
      <c r="C2645" s="1">
        <v>170.0</v>
      </c>
      <c r="D2645" s="2" t="s">
        <v>439</v>
      </c>
      <c r="E2645" s="1">
        <v>85.0</v>
      </c>
      <c r="F2645" s="1">
        <v>21.0</v>
      </c>
      <c r="G2645" s="1">
        <v>5.61</v>
      </c>
      <c r="H2645" s="1">
        <v>0.0</v>
      </c>
      <c r="I2645" s="1">
        <v>0.0</v>
      </c>
      <c r="J2645" s="1">
        <v>0.0</v>
      </c>
      <c r="K2645" s="1">
        <v>0.1</v>
      </c>
      <c r="L2645" s="1">
        <v>1.27E7</v>
      </c>
      <c r="M2645" s="1" t="s">
        <v>8030</v>
      </c>
      <c r="N2645" s="18">
        <v>46041.0</v>
      </c>
      <c r="O2645" s="1" t="s">
        <v>3821</v>
      </c>
      <c r="P2645" s="1" t="s">
        <v>3294</v>
      </c>
      <c r="Q2645" s="1" t="s">
        <v>3408</v>
      </c>
    </row>
    <row r="2646">
      <c r="A2646" s="1" t="s">
        <v>8031</v>
      </c>
      <c r="B2646" s="1">
        <v>85.0</v>
      </c>
      <c r="C2646" s="1">
        <v>1900.0</v>
      </c>
      <c r="D2646" s="2" t="s">
        <v>592</v>
      </c>
      <c r="E2646" s="1">
        <v>85.0</v>
      </c>
      <c r="F2646" s="1">
        <v>14.0</v>
      </c>
      <c r="G2646" s="1">
        <v>5.31</v>
      </c>
      <c r="H2646" s="1">
        <v>0.0</v>
      </c>
      <c r="I2646" s="1">
        <v>0.0</v>
      </c>
      <c r="J2646" s="1">
        <v>0.0</v>
      </c>
      <c r="K2646" s="1">
        <v>0.24</v>
      </c>
      <c r="L2646" s="1">
        <v>7890000.0</v>
      </c>
      <c r="M2646" s="1" t="s">
        <v>8032</v>
      </c>
      <c r="N2646" s="18">
        <v>46037.0</v>
      </c>
      <c r="O2646" s="1" t="s">
        <v>3720</v>
      </c>
      <c r="P2646" s="1" t="s">
        <v>3257</v>
      </c>
      <c r="Q2646" s="1" t="s">
        <v>3408</v>
      </c>
    </row>
    <row r="2647">
      <c r="A2647" s="1" t="s">
        <v>8033</v>
      </c>
      <c r="B2647" s="1">
        <v>85.0</v>
      </c>
      <c r="C2647" s="1">
        <v>320.0</v>
      </c>
      <c r="D2647" s="2" t="s">
        <v>2937</v>
      </c>
      <c r="E2647" s="1">
        <v>85.0</v>
      </c>
      <c r="F2647" s="1">
        <v>23.0</v>
      </c>
      <c r="G2647" s="1">
        <v>6.56</v>
      </c>
      <c r="H2647" s="1">
        <v>0.0</v>
      </c>
      <c r="I2647" s="1">
        <v>0.0</v>
      </c>
      <c r="J2647" s="1">
        <v>0.0</v>
      </c>
      <c r="K2647" s="1">
        <v>0.06</v>
      </c>
      <c r="L2647" s="1">
        <v>1.85E7</v>
      </c>
      <c r="M2647" s="1" t="s">
        <v>8034</v>
      </c>
      <c r="N2647" s="18">
        <v>46033.0</v>
      </c>
      <c r="O2647" s="1" t="s">
        <v>8035</v>
      </c>
      <c r="P2647" s="1" t="s">
        <v>3257</v>
      </c>
      <c r="Q2647" s="1" t="s">
        <v>3408</v>
      </c>
    </row>
    <row r="2648">
      <c r="A2648" s="1" t="s">
        <v>8036</v>
      </c>
      <c r="B2648" s="1">
        <v>85.0</v>
      </c>
      <c r="C2648" s="1">
        <v>2900.0</v>
      </c>
      <c r="D2648" s="2" t="s">
        <v>756</v>
      </c>
      <c r="E2648" s="1">
        <v>85.0</v>
      </c>
      <c r="F2648" s="1">
        <v>38.0</v>
      </c>
      <c r="G2648" s="1">
        <v>1.9</v>
      </c>
      <c r="H2648" s="1">
        <v>0.0</v>
      </c>
      <c r="I2648" s="1">
        <v>0.0</v>
      </c>
      <c r="J2648" s="1">
        <v>0.0</v>
      </c>
      <c r="K2648" s="1">
        <v>0.01</v>
      </c>
      <c r="L2648" s="1">
        <v>5.59E7</v>
      </c>
      <c r="M2648" s="1" t="s">
        <v>8037</v>
      </c>
      <c r="N2648" s="18">
        <v>46033.0</v>
      </c>
      <c r="O2648" s="1" t="s">
        <v>3248</v>
      </c>
      <c r="P2648" s="1" t="s">
        <v>3230</v>
      </c>
      <c r="Q2648" s="1" t="s">
        <v>3408</v>
      </c>
    </row>
    <row r="2649">
      <c r="A2649" s="1" t="s">
        <v>8038</v>
      </c>
      <c r="B2649" s="1">
        <v>85.0</v>
      </c>
      <c r="C2649" s="1">
        <v>480.0</v>
      </c>
      <c r="D2649" s="2" t="s">
        <v>1590</v>
      </c>
      <c r="E2649" s="1">
        <v>85.0</v>
      </c>
      <c r="F2649" s="1">
        <v>35.0</v>
      </c>
      <c r="G2649" s="1">
        <v>0.0</v>
      </c>
      <c r="H2649" s="1">
        <v>0.0</v>
      </c>
      <c r="I2649" s="1">
        <v>0.0</v>
      </c>
      <c r="J2649" s="1">
        <v>0.0</v>
      </c>
      <c r="K2649" s="1">
        <v>0.0</v>
      </c>
      <c r="L2649" s="1">
        <v>4090000.0</v>
      </c>
      <c r="M2649" s="1" t="s">
        <v>8039</v>
      </c>
      <c r="N2649" s="18">
        <v>46033.0</v>
      </c>
      <c r="O2649" s="1" t="s">
        <v>3284</v>
      </c>
      <c r="P2649" s="1" t="s">
        <v>3230</v>
      </c>
      <c r="Q2649" s="1" t="s">
        <v>3408</v>
      </c>
    </row>
    <row r="2650">
      <c r="A2650" s="1" t="s">
        <v>8040</v>
      </c>
      <c r="B2650" s="1">
        <v>85.0</v>
      </c>
      <c r="C2650" s="1">
        <v>50.0</v>
      </c>
      <c r="D2650" s="2" t="s">
        <v>499</v>
      </c>
      <c r="E2650" s="1">
        <v>85.0</v>
      </c>
      <c r="F2650" s="1">
        <v>0.0</v>
      </c>
      <c r="G2650" s="1">
        <v>0.0</v>
      </c>
      <c r="H2650" s="1">
        <v>0.0</v>
      </c>
      <c r="I2650" s="1">
        <v>0.0</v>
      </c>
      <c r="J2650" s="1">
        <v>0.0</v>
      </c>
      <c r="K2650" s="1">
        <v>0.08</v>
      </c>
      <c r="L2650" s="1">
        <v>50700.0</v>
      </c>
      <c r="M2650" s="1" t="s">
        <v>8041</v>
      </c>
      <c r="N2650" s="18">
        <v>46032.0</v>
      </c>
      <c r="O2650" s="1" t="s">
        <v>5754</v>
      </c>
      <c r="P2650" s="1" t="s">
        <v>3334</v>
      </c>
      <c r="Q2650" s="1" t="s">
        <v>3408</v>
      </c>
    </row>
    <row r="2651">
      <c r="A2651" s="1" t="s">
        <v>8042</v>
      </c>
      <c r="B2651" s="1">
        <v>85.0</v>
      </c>
      <c r="C2651" s="1">
        <v>50.0</v>
      </c>
      <c r="D2651" s="2" t="s">
        <v>768</v>
      </c>
      <c r="E2651" s="1">
        <v>85.0</v>
      </c>
      <c r="F2651" s="1">
        <v>0.0</v>
      </c>
      <c r="G2651" s="1">
        <v>0.0</v>
      </c>
      <c r="H2651" s="1">
        <v>0.0</v>
      </c>
      <c r="I2651" s="1">
        <v>0.0</v>
      </c>
      <c r="J2651" s="1">
        <v>0.0</v>
      </c>
      <c r="K2651" s="1">
        <v>0.0</v>
      </c>
      <c r="L2651" s="1">
        <v>4390000.0</v>
      </c>
      <c r="M2651" s="1" t="s">
        <v>8043</v>
      </c>
      <c r="N2651" s="18">
        <v>46032.0</v>
      </c>
      <c r="O2651" s="1" t="s">
        <v>8044</v>
      </c>
      <c r="P2651" s="1" t="s">
        <v>3334</v>
      </c>
      <c r="Q2651" s="1" t="s">
        <v>3408</v>
      </c>
    </row>
    <row r="2652">
      <c r="A2652" s="1" t="s">
        <v>8045</v>
      </c>
      <c r="B2652" s="1">
        <v>85.0</v>
      </c>
      <c r="C2652" s="1">
        <v>90.0</v>
      </c>
      <c r="D2652" s="2" t="s">
        <v>762</v>
      </c>
      <c r="E2652" s="1">
        <v>85.0</v>
      </c>
      <c r="F2652" s="1">
        <v>13.0</v>
      </c>
      <c r="G2652" s="1">
        <v>0.0</v>
      </c>
      <c r="H2652" s="1">
        <v>0.0</v>
      </c>
      <c r="I2652" s="1">
        <v>0.0</v>
      </c>
      <c r="J2652" s="1">
        <v>0.0</v>
      </c>
      <c r="K2652" s="1">
        <v>0.0</v>
      </c>
      <c r="L2652" s="1">
        <v>1.4E7</v>
      </c>
      <c r="M2652" s="1" t="s">
        <v>8046</v>
      </c>
      <c r="N2652" s="18">
        <v>46030.0</v>
      </c>
      <c r="O2652" s="1" t="s">
        <v>3258</v>
      </c>
      <c r="P2652" s="1" t="s">
        <v>3257</v>
      </c>
      <c r="Q2652" s="1" t="s">
        <v>3408</v>
      </c>
    </row>
    <row r="2653">
      <c r="A2653" s="1" t="s">
        <v>3402</v>
      </c>
      <c r="B2653" s="1">
        <v>85.0</v>
      </c>
      <c r="C2653" s="1">
        <v>50.0</v>
      </c>
      <c r="D2653" s="2" t="s">
        <v>1471</v>
      </c>
      <c r="E2653" s="1">
        <v>85.0</v>
      </c>
      <c r="F2653" s="1">
        <v>9.0</v>
      </c>
      <c r="G2653" s="1">
        <v>13.98</v>
      </c>
      <c r="H2653" s="1">
        <v>0.0</v>
      </c>
      <c r="I2653" s="1">
        <v>0.0</v>
      </c>
      <c r="J2653" s="1">
        <v>0.0</v>
      </c>
      <c r="K2653" s="1">
        <v>0.45</v>
      </c>
      <c r="L2653" s="1">
        <v>24000.0</v>
      </c>
      <c r="M2653" s="1" t="s">
        <v>3403</v>
      </c>
      <c r="N2653" s="18">
        <v>46026.0</v>
      </c>
      <c r="O2653" s="1" t="s">
        <v>3404</v>
      </c>
      <c r="P2653" s="1" t="s">
        <v>3257</v>
      </c>
      <c r="Q2653" s="1" t="s">
        <v>3408</v>
      </c>
    </row>
    <row r="2654">
      <c r="A2654" s="1" t="s">
        <v>8047</v>
      </c>
      <c r="B2654" s="1">
        <v>85.0</v>
      </c>
      <c r="C2654" s="1">
        <v>40.0</v>
      </c>
      <c r="D2654" s="2" t="s">
        <v>581</v>
      </c>
      <c r="E2654" s="1">
        <v>85.0</v>
      </c>
      <c r="F2654" s="1">
        <v>31.0</v>
      </c>
      <c r="G2654" s="1">
        <v>16.54</v>
      </c>
      <c r="H2654" s="1">
        <v>0.0</v>
      </c>
      <c r="I2654" s="1">
        <v>0.0</v>
      </c>
      <c r="J2654" s="1">
        <v>0.0</v>
      </c>
      <c r="K2654" s="1">
        <v>0.7</v>
      </c>
      <c r="L2654" s="1">
        <v>321000.0</v>
      </c>
      <c r="M2654" s="1" t="s">
        <v>8048</v>
      </c>
      <c r="N2654" s="18">
        <v>46026.0</v>
      </c>
      <c r="O2654" s="1" t="s">
        <v>4165</v>
      </c>
      <c r="P2654" s="1" t="s">
        <v>3257</v>
      </c>
      <c r="Q2654" s="1" t="s">
        <v>3408</v>
      </c>
    </row>
    <row r="2655">
      <c r="A2655" s="1" t="s">
        <v>8049</v>
      </c>
      <c r="B2655" s="1">
        <v>85.0</v>
      </c>
      <c r="C2655" s="1">
        <v>140.0</v>
      </c>
      <c r="D2655" s="2" t="s">
        <v>455</v>
      </c>
      <c r="E2655" s="1">
        <v>85.0</v>
      </c>
      <c r="F2655" s="1">
        <v>17.0</v>
      </c>
      <c r="G2655" s="1">
        <v>0.0</v>
      </c>
      <c r="H2655" s="1">
        <v>0.0</v>
      </c>
      <c r="I2655" s="1">
        <v>0.0</v>
      </c>
      <c r="J2655" s="1">
        <v>0.0</v>
      </c>
      <c r="K2655" s="1">
        <v>0.0</v>
      </c>
      <c r="L2655" s="1">
        <v>1.13E7</v>
      </c>
      <c r="M2655" s="1" t="s">
        <v>8050</v>
      </c>
      <c r="N2655" s="18">
        <v>46025.0</v>
      </c>
      <c r="O2655" s="1" t="s">
        <v>3415</v>
      </c>
      <c r="P2655" s="1" t="s">
        <v>3257</v>
      </c>
      <c r="Q2655" s="1" t="s">
        <v>3408</v>
      </c>
    </row>
    <row r="2656">
      <c r="A2656" s="1" t="s">
        <v>8051</v>
      </c>
      <c r="B2656" s="1">
        <v>85.0</v>
      </c>
      <c r="C2656" s="1">
        <v>30.0</v>
      </c>
      <c r="D2656" s="2" t="s">
        <v>1076</v>
      </c>
      <c r="E2656" s="1">
        <v>85.0</v>
      </c>
      <c r="F2656" s="1">
        <v>0.0</v>
      </c>
      <c r="G2656" s="1">
        <v>2.42</v>
      </c>
      <c r="H2656" s="1">
        <v>0.0</v>
      </c>
      <c r="I2656" s="1">
        <v>0.0</v>
      </c>
      <c r="J2656" s="1">
        <v>0.0</v>
      </c>
      <c r="K2656" s="1">
        <v>0.13</v>
      </c>
      <c r="L2656" s="1">
        <v>1.6E8</v>
      </c>
      <c r="M2656" s="1" t="s">
        <v>8052</v>
      </c>
      <c r="N2656" s="18">
        <v>46023.0</v>
      </c>
      <c r="O2656" s="1" t="s">
        <v>3861</v>
      </c>
      <c r="P2656" s="1" t="s">
        <v>3334</v>
      </c>
      <c r="Q2656" s="1" t="s">
        <v>3408</v>
      </c>
    </row>
    <row r="2657">
      <c r="A2657" s="1" t="s">
        <v>8053</v>
      </c>
      <c r="B2657" s="1">
        <v>85.0</v>
      </c>
      <c r="C2657" s="1">
        <v>70.0</v>
      </c>
      <c r="D2657" s="2" t="s">
        <v>447</v>
      </c>
      <c r="E2657" s="1">
        <v>85.0</v>
      </c>
      <c r="G2657" s="1">
        <v>9.08</v>
      </c>
      <c r="H2657" s="1">
        <v>0.0</v>
      </c>
      <c r="I2657" s="1">
        <v>0.0</v>
      </c>
      <c r="J2657" s="1">
        <v>0.0</v>
      </c>
      <c r="K2657" s="1">
        <v>0.7</v>
      </c>
      <c r="L2657" s="1">
        <v>115000.0</v>
      </c>
      <c r="M2657" s="1" t="s">
        <v>8054</v>
      </c>
      <c r="N2657" s="18">
        <v>46023.0</v>
      </c>
      <c r="O2657" s="1" t="s">
        <v>3435</v>
      </c>
      <c r="P2657" s="1" t="s">
        <v>3257</v>
      </c>
      <c r="Q2657" s="1" t="s">
        <v>3408</v>
      </c>
    </row>
    <row r="2658">
      <c r="A2658" s="1" t="s">
        <v>6247</v>
      </c>
      <c r="B2658" s="1">
        <v>85.0</v>
      </c>
      <c r="C2658" s="1">
        <v>70.0</v>
      </c>
      <c r="D2658" s="2" t="s">
        <v>993</v>
      </c>
      <c r="E2658" s="1">
        <v>85.0</v>
      </c>
      <c r="F2658" s="1">
        <v>26.0</v>
      </c>
      <c r="G2658" s="1">
        <v>15.47</v>
      </c>
      <c r="H2658" s="1">
        <v>0.0</v>
      </c>
      <c r="I2658" s="1">
        <v>0.0</v>
      </c>
      <c r="J2658" s="1">
        <v>0.0</v>
      </c>
      <c r="K2658" s="1">
        <v>0.63</v>
      </c>
      <c r="L2658" s="1">
        <v>1350000.0</v>
      </c>
      <c r="M2658" s="1" t="s">
        <v>6248</v>
      </c>
      <c r="N2658" s="18">
        <v>46022.0</v>
      </c>
      <c r="O2658" s="1" t="s">
        <v>4183</v>
      </c>
      <c r="P2658" s="1" t="s">
        <v>3257</v>
      </c>
      <c r="Q2658" s="1" t="s">
        <v>3408</v>
      </c>
    </row>
    <row r="2659">
      <c r="A2659" s="1" t="s">
        <v>3707</v>
      </c>
      <c r="B2659" s="1">
        <v>85.0</v>
      </c>
      <c r="C2659" s="1">
        <v>210.0</v>
      </c>
      <c r="D2659" s="2" t="s">
        <v>1008</v>
      </c>
      <c r="E2659" s="1">
        <v>85.0</v>
      </c>
      <c r="F2659" s="1">
        <v>31.0</v>
      </c>
      <c r="G2659" s="1">
        <v>16.24</v>
      </c>
      <c r="H2659" s="1">
        <v>0.0</v>
      </c>
      <c r="I2659" s="1">
        <v>0.0</v>
      </c>
      <c r="J2659" s="1">
        <v>0.0</v>
      </c>
      <c r="K2659" s="1">
        <v>0.67</v>
      </c>
      <c r="L2659" s="1">
        <v>141000.0</v>
      </c>
      <c r="M2659" s="1" t="s">
        <v>3708</v>
      </c>
      <c r="N2659" s="18">
        <v>46022.0</v>
      </c>
      <c r="O2659" s="1" t="s">
        <v>3673</v>
      </c>
      <c r="P2659" s="1" t="s">
        <v>3257</v>
      </c>
      <c r="Q2659" s="1" t="s">
        <v>3408</v>
      </c>
    </row>
    <row r="2660">
      <c r="A2660" s="1" t="s">
        <v>8055</v>
      </c>
      <c r="B2660" s="1">
        <v>85.0</v>
      </c>
      <c r="C2660" s="1">
        <v>90.0</v>
      </c>
      <c r="D2660" s="2" t="s">
        <v>439</v>
      </c>
      <c r="E2660" s="1">
        <v>85.0</v>
      </c>
      <c r="F2660" s="1">
        <v>15.0</v>
      </c>
      <c r="G2660" s="1">
        <v>3.94</v>
      </c>
      <c r="H2660" s="1">
        <v>0.0</v>
      </c>
      <c r="I2660" s="1">
        <v>0.0</v>
      </c>
      <c r="J2660" s="1">
        <v>0.0</v>
      </c>
      <c r="K2660" s="1">
        <v>0.12</v>
      </c>
      <c r="L2660" s="1">
        <v>144000.0</v>
      </c>
      <c r="M2660" s="1" t="s">
        <v>8056</v>
      </c>
      <c r="N2660" s="18">
        <v>46020.0</v>
      </c>
      <c r="O2660" s="1" t="s">
        <v>5120</v>
      </c>
      <c r="P2660" s="1" t="s">
        <v>3257</v>
      </c>
      <c r="Q2660" s="1" t="s">
        <v>3408</v>
      </c>
    </row>
    <row r="2661">
      <c r="A2661" s="1" t="s">
        <v>8057</v>
      </c>
      <c r="B2661" s="1">
        <v>85.0</v>
      </c>
      <c r="C2661" s="1">
        <v>40.0</v>
      </c>
      <c r="D2661" s="2" t="s">
        <v>2312</v>
      </c>
      <c r="E2661" s="1">
        <v>85.0</v>
      </c>
      <c r="F2661" s="1">
        <v>7.0</v>
      </c>
      <c r="G2661" s="1">
        <v>0.0</v>
      </c>
      <c r="H2661" s="1">
        <v>0.0</v>
      </c>
      <c r="I2661" s="1">
        <v>0.0</v>
      </c>
      <c r="J2661" s="1">
        <v>0.0</v>
      </c>
      <c r="K2661" s="1">
        <v>0.33</v>
      </c>
      <c r="L2661" s="1">
        <v>18500.0</v>
      </c>
      <c r="M2661" s="1" t="s">
        <v>8058</v>
      </c>
      <c r="N2661" s="18">
        <v>46016.0</v>
      </c>
      <c r="O2661" s="1" t="s">
        <v>3284</v>
      </c>
      <c r="P2661" s="1" t="s">
        <v>3230</v>
      </c>
      <c r="Q2661" s="1" t="s">
        <v>3408</v>
      </c>
    </row>
    <row r="2662">
      <c r="A2662" s="1" t="s">
        <v>4682</v>
      </c>
      <c r="B2662" s="1">
        <v>85.0</v>
      </c>
      <c r="C2662" s="1">
        <v>70.0</v>
      </c>
      <c r="D2662" s="2" t="s">
        <v>774</v>
      </c>
      <c r="E2662" s="1">
        <v>85.0</v>
      </c>
      <c r="F2662" s="1">
        <v>20.0</v>
      </c>
      <c r="G2662" s="1">
        <v>11.16</v>
      </c>
      <c r="H2662" s="1">
        <v>0.0</v>
      </c>
      <c r="I2662" s="1">
        <v>0.0</v>
      </c>
      <c r="J2662" s="1">
        <v>0.0</v>
      </c>
      <c r="K2662" s="1">
        <v>0.2</v>
      </c>
      <c r="L2662" s="1">
        <v>383000.0</v>
      </c>
      <c r="M2662" s="1" t="s">
        <v>4683</v>
      </c>
      <c r="N2662" s="18">
        <v>46016.0</v>
      </c>
      <c r="O2662" s="1" t="s">
        <v>3415</v>
      </c>
      <c r="P2662" s="1" t="s">
        <v>3257</v>
      </c>
      <c r="Q2662" s="1" t="s">
        <v>3408</v>
      </c>
    </row>
    <row r="2663">
      <c r="A2663" s="1" t="s">
        <v>7754</v>
      </c>
      <c r="B2663" s="1">
        <v>85.0</v>
      </c>
      <c r="C2663" s="1">
        <v>40.0</v>
      </c>
      <c r="D2663" s="2" t="s">
        <v>638</v>
      </c>
      <c r="E2663" s="1">
        <v>85.0</v>
      </c>
      <c r="F2663" s="1">
        <v>18.0</v>
      </c>
      <c r="G2663" s="1">
        <v>0.0</v>
      </c>
      <c r="H2663" s="1">
        <v>0.0</v>
      </c>
      <c r="I2663" s="1">
        <v>0.0</v>
      </c>
      <c r="J2663" s="1">
        <v>0.0</v>
      </c>
      <c r="K2663" s="1">
        <v>0.0</v>
      </c>
      <c r="L2663" s="1">
        <v>2150000.0</v>
      </c>
      <c r="M2663" s="1" t="s">
        <v>7755</v>
      </c>
      <c r="N2663" s="18">
        <v>46015.0</v>
      </c>
      <c r="O2663" s="1" t="s">
        <v>3407</v>
      </c>
      <c r="P2663" s="1" t="s">
        <v>3230</v>
      </c>
      <c r="Q2663" s="1" t="s">
        <v>3408</v>
      </c>
    </row>
    <row r="2664">
      <c r="A2664" s="1" t="s">
        <v>8059</v>
      </c>
      <c r="B2664" s="1">
        <v>85.0</v>
      </c>
      <c r="C2664" s="1">
        <v>320.0</v>
      </c>
      <c r="D2664" s="2" t="s">
        <v>455</v>
      </c>
      <c r="E2664" s="1">
        <v>85.0</v>
      </c>
      <c r="F2664" s="1">
        <v>14.0</v>
      </c>
      <c r="G2664" s="1">
        <v>0.0</v>
      </c>
      <c r="H2664" s="1">
        <v>0.0</v>
      </c>
      <c r="I2664" s="1">
        <v>0.0</v>
      </c>
      <c r="J2664" s="1">
        <v>0.0</v>
      </c>
      <c r="K2664" s="1">
        <v>0.0</v>
      </c>
      <c r="L2664" s="1">
        <v>2.4E7</v>
      </c>
      <c r="M2664" s="1" t="s">
        <v>8060</v>
      </c>
      <c r="N2664" s="18">
        <v>46015.0</v>
      </c>
      <c r="O2664" s="1" t="s">
        <v>3415</v>
      </c>
      <c r="P2664" s="1" t="s">
        <v>3257</v>
      </c>
      <c r="Q2664" s="1" t="s">
        <v>3408</v>
      </c>
    </row>
    <row r="2665">
      <c r="A2665" s="1" t="s">
        <v>8061</v>
      </c>
      <c r="B2665" s="1">
        <v>85.0</v>
      </c>
      <c r="C2665" s="1">
        <v>70.0</v>
      </c>
      <c r="D2665" s="2" t="s">
        <v>654</v>
      </c>
      <c r="E2665" s="1">
        <v>85.0</v>
      </c>
      <c r="F2665" s="1">
        <v>3.0</v>
      </c>
      <c r="G2665" s="1">
        <v>0.0</v>
      </c>
      <c r="H2665" s="1">
        <v>0.0</v>
      </c>
      <c r="I2665" s="1">
        <v>0.0</v>
      </c>
      <c r="J2665" s="1">
        <v>0.0</v>
      </c>
      <c r="K2665" s="1">
        <v>0.33</v>
      </c>
      <c r="L2665" s="1">
        <v>780000.0</v>
      </c>
      <c r="M2665" s="1" t="s">
        <v>8062</v>
      </c>
      <c r="N2665" s="18">
        <v>46014.0</v>
      </c>
      <c r="O2665" s="1" t="s">
        <v>8063</v>
      </c>
      <c r="P2665" s="1" t="s">
        <v>3334</v>
      </c>
      <c r="Q2665" s="1" t="s">
        <v>3408</v>
      </c>
    </row>
    <row r="2666">
      <c r="A2666" s="1" t="s">
        <v>8064</v>
      </c>
      <c r="B2666" s="1">
        <v>85.0</v>
      </c>
      <c r="C2666" s="1">
        <v>40.0</v>
      </c>
      <c r="D2666" s="2" t="s">
        <v>2420</v>
      </c>
      <c r="E2666" s="1">
        <v>85.0</v>
      </c>
      <c r="F2666" s="1">
        <v>6.0</v>
      </c>
      <c r="G2666" s="1">
        <v>0.0</v>
      </c>
      <c r="H2666" s="1">
        <v>0.0</v>
      </c>
      <c r="I2666" s="1">
        <v>0.0</v>
      </c>
      <c r="J2666" s="1">
        <v>0.0</v>
      </c>
      <c r="K2666" s="1">
        <v>0.33</v>
      </c>
      <c r="L2666" s="1">
        <v>528000.0</v>
      </c>
      <c r="M2666" s="1" t="s">
        <v>8065</v>
      </c>
      <c r="N2666" s="18">
        <v>46014.0</v>
      </c>
      <c r="O2666" s="1" t="s">
        <v>3284</v>
      </c>
      <c r="P2666" s="1" t="s">
        <v>3230</v>
      </c>
      <c r="Q2666" s="1" t="s">
        <v>3408</v>
      </c>
    </row>
    <row r="2667">
      <c r="A2667" s="1" t="s">
        <v>8066</v>
      </c>
      <c r="B2667" s="1">
        <v>85.0</v>
      </c>
      <c r="C2667" s="1">
        <v>70.0</v>
      </c>
      <c r="D2667" s="2" t="s">
        <v>1198</v>
      </c>
      <c r="E2667" s="1">
        <v>85.0</v>
      </c>
      <c r="F2667" s="1">
        <v>0.0</v>
      </c>
      <c r="G2667" s="1">
        <v>4.95</v>
      </c>
      <c r="H2667" s="1">
        <v>0.0</v>
      </c>
      <c r="I2667" s="1">
        <v>0.0</v>
      </c>
      <c r="J2667" s="1">
        <v>0.0</v>
      </c>
      <c r="K2667" s="1">
        <v>0.66</v>
      </c>
      <c r="L2667" s="1">
        <v>1340000.0</v>
      </c>
      <c r="M2667" s="1" t="s">
        <v>8067</v>
      </c>
      <c r="N2667" s="18">
        <v>46014.0</v>
      </c>
      <c r="O2667" s="1" t="s">
        <v>6030</v>
      </c>
      <c r="P2667" s="1" t="s">
        <v>3257</v>
      </c>
      <c r="Q2667" s="1" t="s">
        <v>3408</v>
      </c>
    </row>
    <row r="2668">
      <c r="A2668" s="1" t="s">
        <v>6339</v>
      </c>
      <c r="B2668" s="1">
        <v>85.0</v>
      </c>
      <c r="C2668" s="1">
        <v>50.0</v>
      </c>
      <c r="D2668" s="2" t="s">
        <v>1771</v>
      </c>
      <c r="E2668" s="1">
        <v>85.0</v>
      </c>
      <c r="F2668" s="1">
        <v>0.0</v>
      </c>
      <c r="G2668" s="1">
        <v>0.0</v>
      </c>
      <c r="H2668" s="1">
        <v>0.0</v>
      </c>
      <c r="I2668" s="1">
        <v>0.0</v>
      </c>
      <c r="J2668" s="1">
        <v>0.0</v>
      </c>
      <c r="K2668" s="1">
        <v>0.0</v>
      </c>
      <c r="L2668" s="1">
        <v>917000.0</v>
      </c>
      <c r="M2668" s="1" t="s">
        <v>6340</v>
      </c>
      <c r="N2668" s="18">
        <v>46008.0</v>
      </c>
      <c r="O2668" s="1" t="s">
        <v>3861</v>
      </c>
      <c r="P2668" s="1" t="s">
        <v>3230</v>
      </c>
      <c r="Q2668" s="1" t="s">
        <v>3408</v>
      </c>
    </row>
    <row r="2669">
      <c r="A2669" s="1" t="s">
        <v>8068</v>
      </c>
      <c r="B2669" s="1">
        <v>85.0</v>
      </c>
      <c r="C2669" s="1">
        <v>50.0</v>
      </c>
      <c r="D2669" s="2" t="s">
        <v>439</v>
      </c>
      <c r="E2669" s="1">
        <v>85.0</v>
      </c>
      <c r="F2669" s="1">
        <v>15.0</v>
      </c>
      <c r="G2669" s="1">
        <v>0.0</v>
      </c>
      <c r="H2669" s="1">
        <v>0.0</v>
      </c>
      <c r="I2669" s="1">
        <v>0.0</v>
      </c>
      <c r="J2669" s="1">
        <v>0.0</v>
      </c>
      <c r="K2669" s="1">
        <v>0.03</v>
      </c>
      <c r="L2669" s="1">
        <v>81300.0</v>
      </c>
      <c r="M2669" s="1" t="s">
        <v>8069</v>
      </c>
      <c r="N2669" s="18">
        <v>46007.0</v>
      </c>
      <c r="O2669" s="1" t="s">
        <v>5079</v>
      </c>
      <c r="P2669" s="1" t="s">
        <v>3294</v>
      </c>
      <c r="Q2669" s="1" t="s">
        <v>3408</v>
      </c>
    </row>
    <row r="2670">
      <c r="A2670" s="1" t="s">
        <v>8070</v>
      </c>
      <c r="B2670" s="1">
        <v>85.0</v>
      </c>
      <c r="C2670" s="1">
        <v>90.0</v>
      </c>
      <c r="D2670" s="2" t="s">
        <v>1097</v>
      </c>
      <c r="E2670" s="1">
        <v>85.0</v>
      </c>
      <c r="F2670" s="1">
        <v>7.0</v>
      </c>
      <c r="G2670" s="1">
        <v>0.0</v>
      </c>
      <c r="H2670" s="1">
        <v>0.0</v>
      </c>
      <c r="I2670" s="1">
        <v>0.0</v>
      </c>
      <c r="J2670" s="1">
        <v>0.0</v>
      </c>
      <c r="K2670" s="1">
        <v>0.01</v>
      </c>
      <c r="L2670" s="1">
        <v>381000.0</v>
      </c>
      <c r="M2670" s="1" t="s">
        <v>8071</v>
      </c>
      <c r="N2670" s="18">
        <v>46006.0</v>
      </c>
      <c r="O2670" s="1" t="s">
        <v>3479</v>
      </c>
      <c r="P2670" s="1" t="s">
        <v>3230</v>
      </c>
      <c r="Q2670" s="1" t="s">
        <v>3408</v>
      </c>
    </row>
    <row r="2671">
      <c r="A2671" s="1" t="s">
        <v>8072</v>
      </c>
      <c r="B2671" s="1">
        <v>85.0</v>
      </c>
      <c r="C2671" s="1">
        <v>70.0</v>
      </c>
      <c r="D2671" s="2" t="s">
        <v>2253</v>
      </c>
      <c r="E2671" s="1">
        <v>85.0</v>
      </c>
      <c r="F2671" s="1">
        <v>6.0</v>
      </c>
      <c r="G2671" s="1">
        <v>0.0</v>
      </c>
      <c r="H2671" s="1">
        <v>0.0</v>
      </c>
      <c r="I2671" s="1">
        <v>0.0</v>
      </c>
      <c r="J2671" s="1">
        <v>0.0</v>
      </c>
      <c r="K2671" s="1">
        <v>0.0</v>
      </c>
      <c r="L2671" s="1">
        <v>2.19E7</v>
      </c>
      <c r="M2671" s="1" t="s">
        <v>8073</v>
      </c>
      <c r="N2671" s="18">
        <v>46005.0</v>
      </c>
      <c r="O2671" s="1" t="s">
        <v>3479</v>
      </c>
      <c r="P2671" s="1" t="s">
        <v>3230</v>
      </c>
      <c r="Q2671" s="1" t="s">
        <v>3408</v>
      </c>
    </row>
    <row r="2672">
      <c r="A2672" s="1" t="s">
        <v>8074</v>
      </c>
      <c r="B2672" s="1">
        <v>85.0</v>
      </c>
      <c r="C2672" s="1">
        <v>70.0</v>
      </c>
      <c r="D2672" s="2" t="s">
        <v>798</v>
      </c>
      <c r="E2672" s="1">
        <v>85.0</v>
      </c>
      <c r="F2672" s="1">
        <v>31.0</v>
      </c>
      <c r="G2672" s="1">
        <v>0.0</v>
      </c>
      <c r="H2672" s="1">
        <v>0.0</v>
      </c>
      <c r="I2672" s="1">
        <v>0.0</v>
      </c>
      <c r="J2672" s="1">
        <v>0.0</v>
      </c>
      <c r="K2672" s="1">
        <v>0.0</v>
      </c>
      <c r="L2672" s="1">
        <v>2.69E7</v>
      </c>
      <c r="M2672" s="1" t="s">
        <v>8075</v>
      </c>
      <c r="N2672" s="18">
        <v>46004.0</v>
      </c>
      <c r="O2672" s="1" t="s">
        <v>4338</v>
      </c>
      <c r="P2672" s="1" t="s">
        <v>3334</v>
      </c>
      <c r="Q2672" s="1" t="s">
        <v>3408</v>
      </c>
    </row>
    <row r="2673">
      <c r="A2673" s="1" t="s">
        <v>8076</v>
      </c>
      <c r="B2673" s="1">
        <v>85.0</v>
      </c>
      <c r="C2673" s="1">
        <v>110.0</v>
      </c>
      <c r="D2673" s="2" t="s">
        <v>439</v>
      </c>
      <c r="E2673" s="1">
        <v>85.0</v>
      </c>
      <c r="F2673" s="1">
        <v>14.0</v>
      </c>
      <c r="G2673" s="1">
        <v>4.07</v>
      </c>
      <c r="H2673" s="1">
        <v>0.0</v>
      </c>
      <c r="I2673" s="1">
        <v>0.0</v>
      </c>
      <c r="J2673" s="1">
        <v>0.0</v>
      </c>
      <c r="K2673" s="1">
        <v>0.1</v>
      </c>
      <c r="L2673" s="1">
        <v>6.76E7</v>
      </c>
      <c r="M2673" s="1" t="s">
        <v>8077</v>
      </c>
      <c r="N2673" s="18">
        <v>46003.0</v>
      </c>
      <c r="O2673" s="1" t="s">
        <v>5364</v>
      </c>
      <c r="P2673" s="1" t="s">
        <v>3257</v>
      </c>
      <c r="Q2673" s="1" t="s">
        <v>3408</v>
      </c>
    </row>
    <row r="2674">
      <c r="A2674" s="1" t="s">
        <v>7177</v>
      </c>
      <c r="B2674" s="1">
        <v>85.0</v>
      </c>
      <c r="C2674" s="1">
        <v>70.0</v>
      </c>
      <c r="D2674" s="2" t="s">
        <v>2253</v>
      </c>
      <c r="E2674" s="1">
        <v>85.0</v>
      </c>
      <c r="F2674" s="1">
        <v>30.0</v>
      </c>
      <c r="G2674" s="1">
        <v>0.0</v>
      </c>
      <c r="H2674" s="1">
        <v>0.0</v>
      </c>
      <c r="I2674" s="1">
        <v>0.0</v>
      </c>
      <c r="J2674" s="1">
        <v>0.0</v>
      </c>
      <c r="K2674" s="1">
        <v>0.0</v>
      </c>
      <c r="L2674" s="1">
        <v>1.49E8</v>
      </c>
      <c r="M2674" s="1" t="s">
        <v>7178</v>
      </c>
      <c r="N2674" s="18">
        <v>46002.0</v>
      </c>
      <c r="O2674" s="1" t="s">
        <v>7179</v>
      </c>
      <c r="P2674" s="1" t="s">
        <v>3230</v>
      </c>
      <c r="Q2674" s="1" t="s">
        <v>3408</v>
      </c>
    </row>
    <row r="2675">
      <c r="A2675" s="1" t="s">
        <v>8078</v>
      </c>
      <c r="B2675" s="1">
        <v>85.0</v>
      </c>
      <c r="C2675" s="1">
        <v>390.0</v>
      </c>
      <c r="D2675" s="2" t="s">
        <v>1475</v>
      </c>
      <c r="E2675" s="1">
        <v>85.0</v>
      </c>
      <c r="F2675" s="1">
        <v>14.0</v>
      </c>
      <c r="G2675" s="1">
        <v>6.58</v>
      </c>
      <c r="H2675" s="1">
        <v>0.0</v>
      </c>
      <c r="I2675" s="1">
        <v>0.0</v>
      </c>
      <c r="J2675" s="1">
        <v>0.0</v>
      </c>
      <c r="K2675" s="1">
        <v>0.03</v>
      </c>
      <c r="L2675" s="1">
        <v>9390000.0</v>
      </c>
      <c r="M2675" s="1" t="s">
        <v>8079</v>
      </c>
      <c r="N2675" s="18">
        <v>46002.0</v>
      </c>
      <c r="O2675" s="1" t="s">
        <v>4057</v>
      </c>
      <c r="P2675" s="1" t="s">
        <v>3301</v>
      </c>
      <c r="Q2675" s="1" t="s">
        <v>3408</v>
      </c>
    </row>
    <row r="2676">
      <c r="A2676" s="1" t="s">
        <v>8080</v>
      </c>
      <c r="B2676" s="1">
        <v>85.0</v>
      </c>
      <c r="C2676" s="1">
        <v>30.0</v>
      </c>
      <c r="D2676" s="2" t="s">
        <v>1475</v>
      </c>
      <c r="E2676" s="1">
        <v>85.0</v>
      </c>
      <c r="F2676" s="1">
        <v>9.0</v>
      </c>
      <c r="G2676" s="1">
        <v>6.58</v>
      </c>
      <c r="H2676" s="1">
        <v>0.0</v>
      </c>
      <c r="I2676" s="1">
        <v>0.0</v>
      </c>
      <c r="J2676" s="1">
        <v>0.0</v>
      </c>
      <c r="K2676" s="1">
        <v>0.03</v>
      </c>
      <c r="L2676" s="1">
        <v>9540000.0</v>
      </c>
      <c r="M2676" s="1" t="s">
        <v>8081</v>
      </c>
      <c r="N2676" s="18">
        <v>46002.0</v>
      </c>
      <c r="O2676" s="1" t="s">
        <v>3248</v>
      </c>
      <c r="P2676" s="1" t="s">
        <v>3301</v>
      </c>
      <c r="Q2676" s="1" t="s">
        <v>3408</v>
      </c>
    </row>
    <row r="2677">
      <c r="A2677" s="1" t="s">
        <v>8082</v>
      </c>
      <c r="B2677" s="1">
        <v>85.0</v>
      </c>
      <c r="C2677" s="1">
        <v>40.0</v>
      </c>
      <c r="D2677" s="2" t="s">
        <v>2937</v>
      </c>
      <c r="E2677" s="1">
        <v>85.0</v>
      </c>
      <c r="F2677" s="1">
        <v>35.0</v>
      </c>
      <c r="G2677" s="1">
        <v>2.44</v>
      </c>
      <c r="H2677" s="1">
        <v>0.0</v>
      </c>
      <c r="I2677" s="1">
        <v>0.0</v>
      </c>
      <c r="J2677" s="1">
        <v>0.0</v>
      </c>
      <c r="K2677" s="1">
        <v>0.54</v>
      </c>
      <c r="L2677" s="1">
        <v>1.94E7</v>
      </c>
      <c r="M2677" s="1" t="s">
        <v>8083</v>
      </c>
      <c r="N2677" s="18">
        <v>46001.0</v>
      </c>
      <c r="O2677" s="1" t="s">
        <v>3407</v>
      </c>
      <c r="P2677" s="1" t="s">
        <v>3230</v>
      </c>
      <c r="Q2677" s="1" t="s">
        <v>3408</v>
      </c>
    </row>
    <row r="2678">
      <c r="A2678" s="1" t="s">
        <v>8084</v>
      </c>
      <c r="B2678" s="1">
        <v>85.0</v>
      </c>
      <c r="C2678" s="1">
        <v>90.0</v>
      </c>
      <c r="D2678" s="2" t="s">
        <v>1052</v>
      </c>
      <c r="E2678" s="1">
        <v>85.0</v>
      </c>
      <c r="F2678" s="1">
        <v>11.0</v>
      </c>
      <c r="G2678" s="1">
        <v>0.0</v>
      </c>
      <c r="H2678" s="1">
        <v>0.0</v>
      </c>
      <c r="I2678" s="1">
        <v>0.0</v>
      </c>
      <c r="J2678" s="1">
        <v>0.0</v>
      </c>
      <c r="K2678" s="1">
        <v>0.0</v>
      </c>
      <c r="L2678" s="1">
        <v>9.43E7</v>
      </c>
      <c r="M2678" s="1" t="s">
        <v>8085</v>
      </c>
      <c r="N2678" s="18">
        <v>46001.0</v>
      </c>
      <c r="O2678" s="1" t="s">
        <v>3407</v>
      </c>
      <c r="P2678" s="1" t="s">
        <v>3230</v>
      </c>
      <c r="Q2678" s="1" t="s">
        <v>3408</v>
      </c>
    </row>
    <row r="2679">
      <c r="A2679" s="1" t="s">
        <v>8086</v>
      </c>
      <c r="B2679" s="1">
        <v>85.0</v>
      </c>
      <c r="C2679" s="1">
        <v>90.0</v>
      </c>
      <c r="D2679" s="2" t="s">
        <v>581</v>
      </c>
      <c r="E2679" s="1">
        <v>85.0</v>
      </c>
      <c r="F2679" s="1">
        <v>0.0</v>
      </c>
      <c r="G2679" s="1">
        <v>0.0</v>
      </c>
      <c r="H2679" s="1">
        <v>0.0</v>
      </c>
      <c r="I2679" s="1">
        <v>0.0</v>
      </c>
      <c r="J2679" s="1">
        <v>0.0</v>
      </c>
      <c r="K2679" s="1">
        <v>0.0</v>
      </c>
      <c r="L2679" s="1">
        <v>4920000.0</v>
      </c>
      <c r="M2679" s="1" t="s">
        <v>8087</v>
      </c>
      <c r="N2679" s="18">
        <v>46001.0</v>
      </c>
      <c r="O2679" s="1" t="s">
        <v>5674</v>
      </c>
      <c r="P2679" s="1" t="s">
        <v>3257</v>
      </c>
      <c r="Q2679" s="1" t="s">
        <v>3408</v>
      </c>
    </row>
    <row r="2680">
      <c r="A2680" s="1" t="s">
        <v>8088</v>
      </c>
      <c r="B2680" s="1">
        <v>85.0</v>
      </c>
      <c r="C2680" s="1">
        <v>140.0</v>
      </c>
      <c r="D2680" s="2" t="s">
        <v>2961</v>
      </c>
      <c r="E2680" s="1">
        <v>85.0</v>
      </c>
      <c r="F2680" s="1">
        <v>24.0</v>
      </c>
      <c r="G2680" s="1">
        <v>0.0</v>
      </c>
      <c r="H2680" s="1">
        <v>0.0</v>
      </c>
      <c r="I2680" s="1">
        <v>0.0</v>
      </c>
      <c r="J2680" s="1">
        <v>0.0</v>
      </c>
      <c r="K2680" s="1">
        <v>0.06</v>
      </c>
      <c r="L2680" s="1">
        <v>246000.0</v>
      </c>
      <c r="M2680" s="1" t="s">
        <v>8089</v>
      </c>
      <c r="N2680" s="18">
        <v>46000.0</v>
      </c>
      <c r="O2680" s="1" t="s">
        <v>8090</v>
      </c>
      <c r="P2680" s="1" t="s">
        <v>3230</v>
      </c>
      <c r="Q2680" s="1" t="s">
        <v>3408</v>
      </c>
    </row>
    <row r="2681">
      <c r="A2681" s="1" t="s">
        <v>3518</v>
      </c>
      <c r="B2681" s="1">
        <v>85.0</v>
      </c>
      <c r="C2681" s="1">
        <v>90.0</v>
      </c>
      <c r="D2681" s="2" t="s">
        <v>636</v>
      </c>
      <c r="E2681" s="1">
        <v>85.0</v>
      </c>
      <c r="F2681" s="1">
        <v>20.0</v>
      </c>
      <c r="G2681" s="1">
        <v>7.8</v>
      </c>
      <c r="H2681" s="1">
        <v>0.0</v>
      </c>
      <c r="I2681" s="1">
        <v>0.0</v>
      </c>
      <c r="J2681" s="1">
        <v>0.0</v>
      </c>
      <c r="K2681" s="1">
        <v>0.52</v>
      </c>
      <c r="L2681" s="1">
        <v>34300.0</v>
      </c>
      <c r="M2681" s="1" t="s">
        <v>3519</v>
      </c>
      <c r="N2681" s="18">
        <v>45992.0</v>
      </c>
      <c r="O2681" s="1" t="s">
        <v>3520</v>
      </c>
      <c r="P2681" s="1" t="s">
        <v>3257</v>
      </c>
      <c r="Q2681" s="1" t="s">
        <v>3408</v>
      </c>
    </row>
    <row r="2682">
      <c r="A2682" s="1" t="s">
        <v>6365</v>
      </c>
      <c r="B2682" s="1">
        <v>85.0</v>
      </c>
      <c r="C2682" s="1">
        <v>170.0</v>
      </c>
      <c r="D2682" s="2" t="s">
        <v>2253</v>
      </c>
      <c r="E2682" s="1">
        <v>85.0</v>
      </c>
      <c r="F2682" s="1">
        <v>30.0</v>
      </c>
      <c r="G2682" s="1">
        <v>0.26</v>
      </c>
      <c r="H2682" s="1">
        <v>0.0</v>
      </c>
      <c r="I2682" s="1">
        <v>0.0</v>
      </c>
      <c r="J2682" s="1">
        <v>0.0</v>
      </c>
      <c r="K2682" s="1">
        <v>1.0</v>
      </c>
      <c r="L2682" s="1">
        <v>2880000.0</v>
      </c>
      <c r="M2682" s="1" t="s">
        <v>6366</v>
      </c>
      <c r="N2682" s="18">
        <v>45989.0</v>
      </c>
      <c r="O2682" s="1" t="s">
        <v>6367</v>
      </c>
      <c r="P2682" s="1" t="s">
        <v>3301</v>
      </c>
      <c r="Q2682" s="1" t="s">
        <v>3408</v>
      </c>
    </row>
    <row r="2683">
      <c r="A2683" s="1" t="s">
        <v>8091</v>
      </c>
      <c r="B2683" s="1">
        <v>86.0</v>
      </c>
      <c r="C2683" s="1">
        <v>90.0</v>
      </c>
      <c r="D2683" s="2" t="s">
        <v>1648</v>
      </c>
      <c r="E2683" s="1">
        <v>0.0</v>
      </c>
      <c r="F2683" s="1">
        <v>0.0</v>
      </c>
      <c r="G2683" s="1">
        <v>0.0</v>
      </c>
      <c r="H2683" s="1">
        <v>0.0</v>
      </c>
      <c r="I2683" s="1">
        <v>0.0</v>
      </c>
      <c r="J2683" s="1">
        <v>0.0</v>
      </c>
      <c r="K2683" s="1">
        <v>0.03</v>
      </c>
      <c r="L2683" s="1">
        <v>353000.0</v>
      </c>
      <c r="M2683" s="1" t="s">
        <v>8092</v>
      </c>
      <c r="N2683" s="18">
        <v>46042.0</v>
      </c>
      <c r="O2683" s="1" t="s">
        <v>3264</v>
      </c>
      <c r="P2683" s="1" t="s">
        <v>3230</v>
      </c>
      <c r="Q2683" s="1" t="s">
        <v>3408</v>
      </c>
    </row>
    <row r="2684">
      <c r="A2684" s="1" t="s">
        <v>8093</v>
      </c>
      <c r="B2684" s="1">
        <v>86.0</v>
      </c>
      <c r="C2684" s="1">
        <v>90.0</v>
      </c>
      <c r="D2684" s="2" t="s">
        <v>2936</v>
      </c>
      <c r="E2684" s="1">
        <v>86.0</v>
      </c>
      <c r="F2684" s="1">
        <v>15.0</v>
      </c>
      <c r="G2684" s="1">
        <v>0.0</v>
      </c>
      <c r="H2684" s="1">
        <v>0.0</v>
      </c>
      <c r="I2684" s="1">
        <v>0.0</v>
      </c>
      <c r="J2684" s="1">
        <v>0.0</v>
      </c>
      <c r="K2684" s="1">
        <v>0.07</v>
      </c>
      <c r="L2684" s="1">
        <v>95700.0</v>
      </c>
      <c r="M2684" s="1" t="s">
        <v>8094</v>
      </c>
      <c r="N2684" s="18">
        <v>46039.0</v>
      </c>
      <c r="O2684" s="1" t="s">
        <v>3435</v>
      </c>
      <c r="P2684" s="1" t="s">
        <v>3294</v>
      </c>
      <c r="Q2684" s="1" t="s">
        <v>3408</v>
      </c>
    </row>
    <row r="2685">
      <c r="A2685" s="1" t="s">
        <v>8095</v>
      </c>
      <c r="B2685" s="1">
        <v>86.0</v>
      </c>
      <c r="C2685" s="1">
        <v>50.0</v>
      </c>
      <c r="D2685" s="2" t="s">
        <v>581</v>
      </c>
      <c r="E2685" s="1">
        <v>86.0</v>
      </c>
      <c r="F2685" s="1">
        <v>33.0</v>
      </c>
      <c r="G2685" s="1">
        <v>0.0</v>
      </c>
      <c r="H2685" s="1">
        <v>0.0</v>
      </c>
      <c r="I2685" s="1">
        <v>0.0</v>
      </c>
      <c r="J2685" s="1">
        <v>0.0</v>
      </c>
      <c r="K2685" s="1">
        <v>0.36</v>
      </c>
      <c r="L2685" s="1">
        <v>634000.0</v>
      </c>
      <c r="M2685" s="1" t="s">
        <v>8096</v>
      </c>
      <c r="N2685" s="18">
        <v>46037.0</v>
      </c>
      <c r="O2685" s="1" t="s">
        <v>4255</v>
      </c>
      <c r="P2685" s="1" t="s">
        <v>3257</v>
      </c>
      <c r="Q2685" s="1" t="s">
        <v>3408</v>
      </c>
    </row>
    <row r="2686">
      <c r="A2686" s="1" t="s">
        <v>8097</v>
      </c>
      <c r="B2686" s="1">
        <v>86.0</v>
      </c>
      <c r="C2686" s="1">
        <v>90.0</v>
      </c>
      <c r="D2686" s="2" t="s">
        <v>581</v>
      </c>
      <c r="E2686" s="1">
        <v>86.0</v>
      </c>
      <c r="F2686" s="1">
        <v>24.0</v>
      </c>
      <c r="G2686" s="1">
        <v>0.0</v>
      </c>
      <c r="H2686" s="1">
        <v>0.0</v>
      </c>
      <c r="I2686" s="1">
        <v>0.0</v>
      </c>
      <c r="J2686" s="1">
        <v>0.0</v>
      </c>
      <c r="K2686" s="1">
        <v>0.04</v>
      </c>
      <c r="L2686" s="1">
        <v>31500.0</v>
      </c>
      <c r="M2686" s="1" t="s">
        <v>8098</v>
      </c>
      <c r="N2686" s="18">
        <v>46035.0</v>
      </c>
      <c r="O2686" s="1" t="s">
        <v>4617</v>
      </c>
      <c r="P2686" s="1" t="s">
        <v>3294</v>
      </c>
      <c r="Q2686" s="1" t="s">
        <v>3408</v>
      </c>
    </row>
    <row r="2687">
      <c r="A2687" s="1" t="s">
        <v>8099</v>
      </c>
      <c r="B2687" s="1">
        <v>86.0</v>
      </c>
      <c r="C2687" s="1">
        <v>40.0</v>
      </c>
      <c r="D2687" s="2" t="s">
        <v>954</v>
      </c>
      <c r="E2687" s="1">
        <v>86.0</v>
      </c>
      <c r="F2687" s="1">
        <v>8.0</v>
      </c>
      <c r="G2687" s="1">
        <v>1.5</v>
      </c>
      <c r="H2687" s="1">
        <v>0.0</v>
      </c>
      <c r="I2687" s="1">
        <v>0.0</v>
      </c>
      <c r="J2687" s="1">
        <v>0.0</v>
      </c>
      <c r="K2687" s="1">
        <v>0.66</v>
      </c>
      <c r="L2687" s="1">
        <v>1.59E8</v>
      </c>
      <c r="M2687" s="1" t="s">
        <v>8100</v>
      </c>
      <c r="N2687" s="18">
        <v>46035.0</v>
      </c>
      <c r="O2687" s="1" t="s">
        <v>8101</v>
      </c>
      <c r="P2687" s="1" t="s">
        <v>3334</v>
      </c>
      <c r="Q2687" s="1" t="s">
        <v>3408</v>
      </c>
    </row>
    <row r="2688">
      <c r="A2688" s="1" t="s">
        <v>8102</v>
      </c>
      <c r="B2688" s="1">
        <v>86.0</v>
      </c>
      <c r="C2688" s="1">
        <v>480.0</v>
      </c>
      <c r="D2688" s="2" t="s">
        <v>447</v>
      </c>
      <c r="E2688" s="1">
        <v>86.0</v>
      </c>
      <c r="F2688" s="1">
        <v>21.0</v>
      </c>
      <c r="G2688" s="1">
        <v>4.86</v>
      </c>
      <c r="H2688" s="1">
        <v>0.0</v>
      </c>
      <c r="I2688" s="1">
        <v>0.0</v>
      </c>
      <c r="J2688" s="1">
        <v>0.0</v>
      </c>
      <c r="K2688" s="1">
        <v>0.54</v>
      </c>
      <c r="L2688" s="1">
        <v>80400.0</v>
      </c>
      <c r="M2688" s="1" t="s">
        <v>8103</v>
      </c>
      <c r="N2688" s="18">
        <v>46033.0</v>
      </c>
      <c r="O2688" s="1" t="s">
        <v>3288</v>
      </c>
      <c r="P2688" s="1" t="s">
        <v>3257</v>
      </c>
      <c r="Q2688" s="1" t="s">
        <v>3408</v>
      </c>
    </row>
    <row r="2689">
      <c r="A2689" s="1" t="s">
        <v>8104</v>
      </c>
      <c r="B2689" s="1">
        <v>86.0</v>
      </c>
      <c r="C2689" s="1">
        <v>390.0</v>
      </c>
      <c r="D2689" s="2" t="s">
        <v>738</v>
      </c>
      <c r="E2689" s="1">
        <v>86.0</v>
      </c>
      <c r="F2689" s="1">
        <v>15.0</v>
      </c>
      <c r="G2689" s="1">
        <v>26.29</v>
      </c>
      <c r="H2689" s="1">
        <v>0.0</v>
      </c>
      <c r="I2689" s="1">
        <v>0.0</v>
      </c>
      <c r="J2689" s="1">
        <v>0.0</v>
      </c>
      <c r="K2689" s="1">
        <v>0.3</v>
      </c>
      <c r="L2689" s="1">
        <v>1400000.0</v>
      </c>
      <c r="M2689" s="1" t="s">
        <v>8105</v>
      </c>
      <c r="N2689" s="18">
        <v>46032.0</v>
      </c>
      <c r="O2689" s="1" t="s">
        <v>3231</v>
      </c>
      <c r="P2689" s="1" t="s">
        <v>3334</v>
      </c>
      <c r="Q2689" s="1" t="s">
        <v>3408</v>
      </c>
    </row>
    <row r="2690">
      <c r="A2690" s="1" t="s">
        <v>8106</v>
      </c>
      <c r="B2690" s="1">
        <v>86.0</v>
      </c>
      <c r="C2690" s="1">
        <v>40.0</v>
      </c>
      <c r="D2690" s="2" t="s">
        <v>2253</v>
      </c>
      <c r="E2690" s="1">
        <v>86.0</v>
      </c>
      <c r="F2690" s="1">
        <v>9.0</v>
      </c>
      <c r="G2690" s="1">
        <v>0.0</v>
      </c>
      <c r="H2690" s="1">
        <v>0.0</v>
      </c>
      <c r="I2690" s="1">
        <v>0.0</v>
      </c>
      <c r="J2690" s="1">
        <v>0.0</v>
      </c>
      <c r="K2690" s="1">
        <v>0.0</v>
      </c>
      <c r="L2690" s="1">
        <v>7210000.0</v>
      </c>
      <c r="M2690" s="1" t="s">
        <v>8107</v>
      </c>
      <c r="N2690" s="18">
        <v>46031.0</v>
      </c>
      <c r="O2690" s="1" t="s">
        <v>3237</v>
      </c>
      <c r="P2690" s="1" t="s">
        <v>3230</v>
      </c>
      <c r="Q2690" s="1" t="s">
        <v>3408</v>
      </c>
    </row>
    <row r="2691">
      <c r="A2691" s="1" t="s">
        <v>8108</v>
      </c>
      <c r="B2691" s="1">
        <v>86.0</v>
      </c>
      <c r="C2691" s="1">
        <v>30.0</v>
      </c>
      <c r="D2691" s="2" t="s">
        <v>746</v>
      </c>
      <c r="E2691" s="1">
        <v>86.0</v>
      </c>
      <c r="F2691" s="1">
        <v>24.0</v>
      </c>
      <c r="G2691" s="1">
        <v>0.83</v>
      </c>
      <c r="H2691" s="1">
        <v>0.0</v>
      </c>
      <c r="I2691" s="1">
        <v>0.0</v>
      </c>
      <c r="J2691" s="1">
        <v>0.0</v>
      </c>
      <c r="K2691" s="1">
        <v>0.02</v>
      </c>
      <c r="L2691" s="1">
        <v>250000.0</v>
      </c>
      <c r="M2691" s="1" t="s">
        <v>8109</v>
      </c>
      <c r="N2691" s="18">
        <v>46028.0</v>
      </c>
      <c r="O2691" s="1" t="s">
        <v>3284</v>
      </c>
      <c r="P2691" s="1" t="s">
        <v>4549</v>
      </c>
      <c r="Q2691" s="1" t="s">
        <v>3408</v>
      </c>
    </row>
    <row r="2692">
      <c r="A2692" s="1" t="s">
        <v>8110</v>
      </c>
      <c r="B2692" s="1">
        <v>86.0</v>
      </c>
      <c r="C2692" s="1">
        <v>210.0</v>
      </c>
      <c r="D2692" s="2" t="s">
        <v>2302</v>
      </c>
      <c r="E2692" s="1">
        <v>86.0</v>
      </c>
      <c r="F2692" s="1">
        <v>1.0</v>
      </c>
      <c r="G2692" s="1">
        <v>6.04</v>
      </c>
      <c r="H2692" s="1">
        <v>0.0</v>
      </c>
      <c r="I2692" s="1">
        <v>0.0</v>
      </c>
      <c r="J2692" s="1">
        <v>0.0</v>
      </c>
      <c r="K2692" s="1">
        <v>0.06</v>
      </c>
      <c r="L2692" s="1">
        <v>1.66E8</v>
      </c>
      <c r="M2692" s="1" t="s">
        <v>8111</v>
      </c>
      <c r="N2692" s="18">
        <v>46028.0</v>
      </c>
      <c r="O2692" s="1" t="s">
        <v>3317</v>
      </c>
      <c r="P2692" s="1" t="s">
        <v>3301</v>
      </c>
      <c r="Q2692" s="1" t="s">
        <v>3408</v>
      </c>
    </row>
    <row r="2693">
      <c r="A2693" s="1" t="s">
        <v>5028</v>
      </c>
      <c r="B2693" s="1">
        <v>86.0</v>
      </c>
      <c r="C2693" s="1">
        <v>50.0</v>
      </c>
      <c r="D2693" s="2" t="s">
        <v>1702</v>
      </c>
      <c r="E2693" s="1">
        <v>86.0</v>
      </c>
      <c r="F2693" s="1">
        <v>9.0</v>
      </c>
      <c r="G2693" s="1">
        <v>11.16</v>
      </c>
      <c r="H2693" s="1">
        <v>0.0</v>
      </c>
      <c r="I2693" s="1">
        <v>0.0</v>
      </c>
      <c r="J2693" s="1">
        <v>0.0</v>
      </c>
      <c r="K2693" s="1">
        <v>0.2</v>
      </c>
      <c r="L2693" s="1">
        <v>147000.0</v>
      </c>
      <c r="M2693" s="1" t="s">
        <v>5029</v>
      </c>
      <c r="N2693" s="18">
        <v>46026.0</v>
      </c>
      <c r="O2693" s="1" t="s">
        <v>3415</v>
      </c>
      <c r="P2693" s="1" t="s">
        <v>3257</v>
      </c>
      <c r="Q2693" s="1" t="s">
        <v>3408</v>
      </c>
    </row>
    <row r="2694">
      <c r="A2694" s="1" t="s">
        <v>8112</v>
      </c>
      <c r="B2694" s="1">
        <v>86.0</v>
      </c>
      <c r="C2694" s="1">
        <v>90.0</v>
      </c>
      <c r="D2694" s="2" t="s">
        <v>2253</v>
      </c>
      <c r="E2694" s="1">
        <v>86.0</v>
      </c>
      <c r="G2694" s="1">
        <v>0.0</v>
      </c>
      <c r="H2694" s="1">
        <v>0.0</v>
      </c>
      <c r="I2694" s="1">
        <v>0.0</v>
      </c>
      <c r="J2694" s="1">
        <v>0.0</v>
      </c>
      <c r="K2694" s="1">
        <v>0.0</v>
      </c>
      <c r="L2694" s="1">
        <v>5.81E7</v>
      </c>
      <c r="M2694" s="1" t="s">
        <v>8113</v>
      </c>
      <c r="N2694" s="18">
        <v>46026.0</v>
      </c>
      <c r="O2694" s="1" t="s">
        <v>3496</v>
      </c>
      <c r="P2694" s="1" t="s">
        <v>3230</v>
      </c>
      <c r="Q2694" s="1" t="s">
        <v>3408</v>
      </c>
    </row>
    <row r="2695">
      <c r="A2695" s="1" t="s">
        <v>8114</v>
      </c>
      <c r="B2695" s="1">
        <v>86.0</v>
      </c>
      <c r="C2695" s="1">
        <v>50.0</v>
      </c>
      <c r="D2695" s="2" t="s">
        <v>581</v>
      </c>
      <c r="E2695" s="1">
        <v>86.0</v>
      </c>
      <c r="F2695" s="1">
        <v>0.0</v>
      </c>
      <c r="G2695" s="1">
        <v>0.0</v>
      </c>
      <c r="H2695" s="1">
        <v>0.0</v>
      </c>
      <c r="I2695" s="1">
        <v>0.0</v>
      </c>
      <c r="J2695" s="1">
        <v>0.0</v>
      </c>
      <c r="K2695" s="1">
        <v>0.0</v>
      </c>
      <c r="L2695" s="1">
        <v>876000.0</v>
      </c>
      <c r="M2695" s="1" t="s">
        <v>8115</v>
      </c>
      <c r="N2695" s="18">
        <v>46025.0</v>
      </c>
      <c r="O2695" s="1" t="s">
        <v>4643</v>
      </c>
      <c r="P2695" s="1" t="s">
        <v>3257</v>
      </c>
      <c r="Q2695" s="1" t="s">
        <v>3408</v>
      </c>
    </row>
    <row r="2696">
      <c r="A2696" s="1" t="s">
        <v>8116</v>
      </c>
      <c r="B2696" s="1">
        <v>86.0</v>
      </c>
      <c r="C2696" s="1">
        <v>50.0</v>
      </c>
      <c r="D2696" s="2" t="s">
        <v>2048</v>
      </c>
      <c r="E2696" s="1">
        <v>86.0</v>
      </c>
      <c r="F2696" s="1">
        <v>21.0</v>
      </c>
      <c r="G2696" s="1">
        <v>0.0</v>
      </c>
      <c r="H2696" s="1">
        <v>0.0</v>
      </c>
      <c r="I2696" s="1">
        <v>0.0</v>
      </c>
      <c r="J2696" s="1">
        <v>0.0</v>
      </c>
      <c r="K2696" s="1">
        <v>0.0</v>
      </c>
      <c r="L2696" s="1">
        <v>2.34E8</v>
      </c>
      <c r="M2696" s="1" t="s">
        <v>8117</v>
      </c>
      <c r="N2696" s="18">
        <v>46025.0</v>
      </c>
      <c r="O2696" s="1" t="s">
        <v>4605</v>
      </c>
      <c r="P2696" s="1" t="s">
        <v>3230</v>
      </c>
      <c r="Q2696" s="1" t="s">
        <v>3408</v>
      </c>
    </row>
    <row r="2697">
      <c r="A2697" s="1" t="s">
        <v>8118</v>
      </c>
      <c r="B2697" s="1">
        <v>86.0</v>
      </c>
      <c r="C2697" s="1">
        <v>90.0</v>
      </c>
      <c r="D2697" s="2" t="s">
        <v>2930</v>
      </c>
      <c r="E2697" s="1">
        <v>86.0</v>
      </c>
      <c r="F2697" s="1">
        <v>46.0</v>
      </c>
      <c r="G2697" s="1">
        <v>0.0</v>
      </c>
      <c r="H2697" s="1">
        <v>0.0</v>
      </c>
      <c r="I2697" s="1">
        <v>0.0</v>
      </c>
      <c r="J2697" s="1">
        <v>0.0</v>
      </c>
      <c r="K2697" s="1">
        <v>0.0</v>
      </c>
      <c r="L2697" s="1">
        <v>309000.0</v>
      </c>
      <c r="M2697" s="1" t="s">
        <v>8119</v>
      </c>
      <c r="N2697" s="18">
        <v>46025.0</v>
      </c>
      <c r="O2697" s="1" t="s">
        <v>5325</v>
      </c>
      <c r="P2697" s="1" t="s">
        <v>3294</v>
      </c>
      <c r="Q2697" s="1" t="s">
        <v>3408</v>
      </c>
    </row>
    <row r="2698">
      <c r="A2698" s="1" t="s">
        <v>8120</v>
      </c>
      <c r="B2698" s="1">
        <v>86.0</v>
      </c>
      <c r="C2698" s="1">
        <v>70.0</v>
      </c>
      <c r="D2698" s="2" t="s">
        <v>1035</v>
      </c>
      <c r="E2698" s="1">
        <v>86.0</v>
      </c>
      <c r="F2698" s="1">
        <v>0.0</v>
      </c>
      <c r="G2698" s="1">
        <v>0.0</v>
      </c>
      <c r="H2698" s="1">
        <v>0.0</v>
      </c>
      <c r="I2698" s="1">
        <v>0.0</v>
      </c>
      <c r="J2698" s="1">
        <v>0.0</v>
      </c>
      <c r="K2698" s="1">
        <v>0.33</v>
      </c>
      <c r="L2698" s="1">
        <v>47300.0</v>
      </c>
      <c r="M2698" s="1" t="s">
        <v>8121</v>
      </c>
      <c r="N2698" s="18">
        <v>46023.0</v>
      </c>
      <c r="O2698" s="1" t="s">
        <v>4481</v>
      </c>
      <c r="P2698" s="1" t="s">
        <v>4549</v>
      </c>
      <c r="Q2698" s="1" t="s">
        <v>3408</v>
      </c>
    </row>
    <row r="2699">
      <c r="A2699" s="1" t="s">
        <v>8122</v>
      </c>
      <c r="B2699" s="1">
        <v>86.0</v>
      </c>
      <c r="C2699" s="1">
        <v>90.0</v>
      </c>
      <c r="D2699" s="2" t="s">
        <v>782</v>
      </c>
      <c r="E2699" s="1">
        <v>86.0</v>
      </c>
      <c r="F2699" s="1">
        <v>11.0</v>
      </c>
      <c r="G2699" s="1">
        <v>19.33</v>
      </c>
      <c r="H2699" s="1">
        <v>0.0</v>
      </c>
      <c r="I2699" s="1">
        <v>0.0</v>
      </c>
      <c r="J2699" s="1">
        <v>0.0</v>
      </c>
      <c r="K2699" s="1">
        <v>0.32</v>
      </c>
      <c r="L2699" s="1">
        <v>6.3E7</v>
      </c>
      <c r="M2699" s="1" t="s">
        <v>8123</v>
      </c>
      <c r="N2699" s="18">
        <v>46022.0</v>
      </c>
      <c r="O2699" s="1" t="s">
        <v>3479</v>
      </c>
      <c r="P2699" s="1" t="s">
        <v>3230</v>
      </c>
      <c r="Q2699" s="1" t="s">
        <v>3408</v>
      </c>
    </row>
    <row r="2700">
      <c r="A2700" s="1" t="s">
        <v>8124</v>
      </c>
      <c r="B2700" s="1">
        <v>86.0</v>
      </c>
      <c r="C2700" s="1">
        <v>70.0</v>
      </c>
      <c r="D2700" s="2" t="s">
        <v>608</v>
      </c>
      <c r="E2700" s="1">
        <v>86.0</v>
      </c>
      <c r="F2700" s="1">
        <v>21.0</v>
      </c>
      <c r="G2700" s="1">
        <v>2.81</v>
      </c>
      <c r="H2700" s="1">
        <v>0.0</v>
      </c>
      <c r="I2700" s="1">
        <v>0.0</v>
      </c>
      <c r="J2700" s="1">
        <v>0.0</v>
      </c>
      <c r="K2700" s="1">
        <v>0.6</v>
      </c>
      <c r="L2700" s="1">
        <v>10200.0</v>
      </c>
      <c r="M2700" s="1" t="s">
        <v>8125</v>
      </c>
      <c r="N2700" s="18">
        <v>46021.0</v>
      </c>
      <c r="O2700" s="1" t="s">
        <v>6171</v>
      </c>
      <c r="P2700" s="1" t="s">
        <v>3257</v>
      </c>
      <c r="Q2700" s="1" t="s">
        <v>3408</v>
      </c>
    </row>
    <row r="2701">
      <c r="A2701" s="1" t="s">
        <v>8126</v>
      </c>
      <c r="B2701" s="1">
        <v>86.0</v>
      </c>
      <c r="C2701" s="1">
        <v>210.0</v>
      </c>
      <c r="D2701" s="2" t="s">
        <v>778</v>
      </c>
      <c r="E2701" s="1">
        <v>86.0</v>
      </c>
      <c r="F2701" s="1">
        <v>11.0</v>
      </c>
      <c r="G2701" s="1">
        <v>0.0</v>
      </c>
      <c r="H2701" s="1">
        <v>0.0</v>
      </c>
      <c r="I2701" s="1">
        <v>0.0</v>
      </c>
      <c r="J2701" s="1">
        <v>0.0</v>
      </c>
      <c r="K2701" s="1">
        <v>0.0</v>
      </c>
      <c r="L2701" s="1">
        <v>686000.0</v>
      </c>
      <c r="M2701" s="1" t="s">
        <v>8127</v>
      </c>
      <c r="N2701" s="18">
        <v>46021.0</v>
      </c>
      <c r="O2701" s="1" t="s">
        <v>7541</v>
      </c>
      <c r="P2701" s="1" t="s">
        <v>3257</v>
      </c>
      <c r="Q2701" s="1" t="s">
        <v>3408</v>
      </c>
    </row>
    <row r="2702">
      <c r="A2702" s="1" t="s">
        <v>8128</v>
      </c>
      <c r="B2702" s="1">
        <v>86.0</v>
      </c>
      <c r="C2702" s="1">
        <v>210.0</v>
      </c>
      <c r="D2702" s="2" t="s">
        <v>756</v>
      </c>
      <c r="E2702" s="1">
        <v>86.0</v>
      </c>
      <c r="F2702" s="1">
        <v>64.0</v>
      </c>
      <c r="G2702" s="1">
        <v>14.27</v>
      </c>
      <c r="H2702" s="1">
        <v>0.0</v>
      </c>
      <c r="I2702" s="1">
        <v>0.0</v>
      </c>
      <c r="J2702" s="1">
        <v>0.0</v>
      </c>
      <c r="K2702" s="1">
        <v>0.03</v>
      </c>
      <c r="L2702" s="1">
        <v>1.24E7</v>
      </c>
      <c r="M2702" s="1" t="s">
        <v>8129</v>
      </c>
      <c r="N2702" s="18">
        <v>46020.0</v>
      </c>
      <c r="O2702" s="1" t="s">
        <v>3264</v>
      </c>
      <c r="P2702" s="1" t="s">
        <v>3230</v>
      </c>
      <c r="Q2702" s="1" t="s">
        <v>3408</v>
      </c>
    </row>
    <row r="2703">
      <c r="A2703" s="1" t="s">
        <v>8130</v>
      </c>
      <c r="B2703" s="1">
        <v>86.0</v>
      </c>
      <c r="C2703" s="1">
        <v>50.0</v>
      </c>
      <c r="D2703" s="2" t="s">
        <v>1168</v>
      </c>
      <c r="E2703" s="1">
        <v>86.0</v>
      </c>
      <c r="F2703" s="1">
        <v>0.0</v>
      </c>
      <c r="G2703" s="1">
        <v>0.0</v>
      </c>
      <c r="H2703" s="1">
        <v>0.0</v>
      </c>
      <c r="I2703" s="1">
        <v>0.0</v>
      </c>
      <c r="J2703" s="1">
        <v>0.0</v>
      </c>
      <c r="K2703" s="1">
        <v>0.0</v>
      </c>
      <c r="L2703" s="1">
        <v>178000.0</v>
      </c>
      <c r="M2703" s="1" t="s">
        <v>8131</v>
      </c>
      <c r="N2703" s="18">
        <v>46020.0</v>
      </c>
      <c r="O2703" s="1" t="s">
        <v>3252</v>
      </c>
      <c r="P2703" s="1" t="s">
        <v>3334</v>
      </c>
      <c r="Q2703" s="1" t="s">
        <v>3408</v>
      </c>
    </row>
    <row r="2704">
      <c r="A2704" s="1" t="s">
        <v>8132</v>
      </c>
      <c r="B2704" s="1">
        <v>86.0</v>
      </c>
      <c r="C2704" s="1">
        <v>70.0</v>
      </c>
      <c r="D2704" s="2" t="s">
        <v>1213</v>
      </c>
      <c r="E2704" s="1">
        <v>86.0</v>
      </c>
      <c r="F2704" s="1">
        <v>3.0</v>
      </c>
      <c r="G2704" s="1">
        <v>0.0</v>
      </c>
      <c r="H2704" s="1">
        <v>0.0</v>
      </c>
      <c r="I2704" s="1">
        <v>0.0</v>
      </c>
      <c r="J2704" s="1">
        <v>0.0</v>
      </c>
      <c r="K2704" s="1">
        <v>0.71</v>
      </c>
      <c r="L2704" s="1">
        <v>106000.0</v>
      </c>
      <c r="M2704" s="1" t="s">
        <v>8133</v>
      </c>
      <c r="N2704" s="18">
        <v>46020.0</v>
      </c>
      <c r="O2704" s="1" t="s">
        <v>3432</v>
      </c>
      <c r="P2704" s="1" t="s">
        <v>3334</v>
      </c>
      <c r="Q2704" s="1" t="s">
        <v>3408</v>
      </c>
    </row>
    <row r="2705">
      <c r="A2705" s="1" t="s">
        <v>8134</v>
      </c>
      <c r="B2705" s="1">
        <v>86.0</v>
      </c>
      <c r="C2705" s="1">
        <v>40.0</v>
      </c>
      <c r="D2705" s="2" t="s">
        <v>1511</v>
      </c>
      <c r="E2705" s="1">
        <v>86.0</v>
      </c>
      <c r="F2705" s="1">
        <v>1.0</v>
      </c>
      <c r="G2705" s="1">
        <v>8.21</v>
      </c>
      <c r="H2705" s="1">
        <v>0.0</v>
      </c>
      <c r="I2705" s="1">
        <v>0.0</v>
      </c>
      <c r="J2705" s="1">
        <v>0.0</v>
      </c>
      <c r="K2705" s="1">
        <v>0.53</v>
      </c>
      <c r="L2705" s="1">
        <v>1.06E7</v>
      </c>
      <c r="M2705" s="1" t="s">
        <v>5233</v>
      </c>
      <c r="N2705" s="18">
        <v>46018.0</v>
      </c>
      <c r="O2705" s="1" t="s">
        <v>4543</v>
      </c>
      <c r="P2705" s="1" t="s">
        <v>3230</v>
      </c>
      <c r="Q2705" s="1" t="s">
        <v>3408</v>
      </c>
    </row>
    <row r="2706">
      <c r="A2706" s="1" t="s">
        <v>8135</v>
      </c>
      <c r="B2706" s="1">
        <v>86.0</v>
      </c>
      <c r="C2706" s="1">
        <v>30.0</v>
      </c>
      <c r="D2706" s="2" t="s">
        <v>740</v>
      </c>
      <c r="E2706" s="1">
        <v>86.0</v>
      </c>
      <c r="F2706" s="1">
        <v>40.0</v>
      </c>
      <c r="G2706" s="1">
        <v>14.52</v>
      </c>
      <c r="H2706" s="1">
        <v>0.0</v>
      </c>
      <c r="I2706" s="1">
        <v>0.0</v>
      </c>
      <c r="J2706" s="1">
        <v>0.0</v>
      </c>
      <c r="K2706" s="1">
        <v>0.85</v>
      </c>
      <c r="L2706" s="1">
        <v>6.4E7</v>
      </c>
      <c r="M2706" s="1" t="s">
        <v>8136</v>
      </c>
      <c r="N2706" s="18">
        <v>46016.0</v>
      </c>
      <c r="O2706" s="1" t="s">
        <v>4487</v>
      </c>
      <c r="P2706" s="1" t="s">
        <v>3230</v>
      </c>
      <c r="Q2706" s="1" t="s">
        <v>3408</v>
      </c>
    </row>
    <row r="2707">
      <c r="A2707" s="1" t="s">
        <v>6462</v>
      </c>
      <c r="B2707" s="1">
        <v>86.0</v>
      </c>
      <c r="C2707" s="1">
        <v>50.0</v>
      </c>
      <c r="D2707" s="2" t="s">
        <v>654</v>
      </c>
      <c r="E2707" s="1">
        <v>86.0</v>
      </c>
      <c r="F2707" s="1">
        <v>12.0</v>
      </c>
      <c r="G2707" s="1">
        <v>1.12</v>
      </c>
      <c r="H2707" s="1">
        <v>0.0</v>
      </c>
      <c r="I2707" s="1">
        <v>0.0</v>
      </c>
      <c r="J2707" s="1">
        <v>0.0</v>
      </c>
      <c r="K2707" s="1">
        <v>0.11</v>
      </c>
      <c r="L2707" s="1">
        <v>2160000.0</v>
      </c>
      <c r="M2707" s="1" t="s">
        <v>6463</v>
      </c>
      <c r="N2707" s="18">
        <v>46015.0</v>
      </c>
      <c r="O2707" s="1" t="s">
        <v>3479</v>
      </c>
      <c r="P2707" s="1" t="s">
        <v>3230</v>
      </c>
      <c r="Q2707" s="1" t="s">
        <v>3408</v>
      </c>
    </row>
    <row r="2708">
      <c r="A2708" s="1" t="s">
        <v>8137</v>
      </c>
      <c r="B2708" s="1">
        <v>86.0</v>
      </c>
      <c r="C2708" s="1">
        <v>70.0</v>
      </c>
      <c r="D2708" s="2" t="s">
        <v>2963</v>
      </c>
      <c r="E2708" s="1">
        <v>86.0</v>
      </c>
      <c r="F2708" s="1">
        <v>13.0</v>
      </c>
      <c r="G2708" s="1">
        <v>220.21</v>
      </c>
      <c r="H2708" s="1">
        <v>0.0</v>
      </c>
      <c r="I2708" s="1">
        <v>0.0</v>
      </c>
      <c r="J2708" s="1">
        <v>0.0</v>
      </c>
      <c r="K2708" s="1">
        <v>0.05</v>
      </c>
      <c r="L2708" s="1">
        <v>6570000.0</v>
      </c>
      <c r="M2708" s="1" t="s">
        <v>8138</v>
      </c>
      <c r="N2708" s="18">
        <v>46015.0</v>
      </c>
      <c r="O2708" s="1" t="s">
        <v>5128</v>
      </c>
      <c r="P2708" s="1" t="s">
        <v>3230</v>
      </c>
      <c r="Q2708" s="1" t="s">
        <v>3408</v>
      </c>
    </row>
    <row r="2709">
      <c r="A2709" s="1" t="s">
        <v>8139</v>
      </c>
      <c r="B2709" s="1">
        <v>86.0</v>
      </c>
      <c r="C2709" s="1">
        <v>140.0</v>
      </c>
      <c r="D2709" s="2" t="s">
        <v>754</v>
      </c>
      <c r="E2709" s="1">
        <v>86.0</v>
      </c>
      <c r="F2709" s="1">
        <v>27.0</v>
      </c>
      <c r="G2709" s="1">
        <v>0.0</v>
      </c>
      <c r="H2709" s="1">
        <v>0.0</v>
      </c>
      <c r="I2709" s="1">
        <v>0.0</v>
      </c>
      <c r="J2709" s="1">
        <v>0.0</v>
      </c>
      <c r="K2709" s="1">
        <v>0.0</v>
      </c>
      <c r="L2709" s="1">
        <v>5.37E7</v>
      </c>
      <c r="M2709" s="1" t="s">
        <v>8140</v>
      </c>
      <c r="N2709" s="18">
        <v>46014.0</v>
      </c>
      <c r="O2709" s="1" t="s">
        <v>3496</v>
      </c>
      <c r="P2709" s="1" t="s">
        <v>3230</v>
      </c>
      <c r="Q2709" s="1" t="s">
        <v>3408</v>
      </c>
    </row>
    <row r="2710">
      <c r="A2710" s="1" t="s">
        <v>8141</v>
      </c>
      <c r="B2710" s="1">
        <v>86.0</v>
      </c>
      <c r="C2710" s="1">
        <v>70.0</v>
      </c>
      <c r="D2710" s="2" t="s">
        <v>1307</v>
      </c>
      <c r="E2710" s="1">
        <v>86.0</v>
      </c>
      <c r="F2710" s="1">
        <v>24.0</v>
      </c>
      <c r="G2710" s="1">
        <v>6.76</v>
      </c>
      <c r="H2710" s="1">
        <v>0.0</v>
      </c>
      <c r="I2710" s="1">
        <v>0.0</v>
      </c>
      <c r="J2710" s="1">
        <v>0.0</v>
      </c>
      <c r="K2710" s="1">
        <v>0.93</v>
      </c>
      <c r="L2710" s="1">
        <v>77100.0</v>
      </c>
      <c r="M2710" s="1" t="s">
        <v>8142</v>
      </c>
      <c r="N2710" s="18">
        <v>46014.0</v>
      </c>
      <c r="O2710" s="1" t="s">
        <v>3288</v>
      </c>
      <c r="P2710" s="1" t="s">
        <v>3257</v>
      </c>
      <c r="Q2710" s="1" t="s">
        <v>3408</v>
      </c>
    </row>
    <row r="2711">
      <c r="A2711" s="1" t="s">
        <v>8143</v>
      </c>
      <c r="B2711" s="1">
        <v>86.0</v>
      </c>
      <c r="C2711" s="1">
        <v>110.0</v>
      </c>
      <c r="D2711" s="2" t="s">
        <v>696</v>
      </c>
      <c r="E2711" s="1">
        <v>86.0</v>
      </c>
      <c r="F2711" s="1">
        <v>5.0</v>
      </c>
      <c r="G2711" s="1">
        <v>3.06</v>
      </c>
      <c r="H2711" s="1">
        <v>0.0</v>
      </c>
      <c r="I2711" s="1">
        <v>0.0</v>
      </c>
      <c r="J2711" s="1">
        <v>0.0</v>
      </c>
      <c r="K2711" s="1">
        <v>0.72</v>
      </c>
      <c r="L2711" s="1">
        <v>5510000.0</v>
      </c>
      <c r="M2711" s="1" t="s">
        <v>8144</v>
      </c>
      <c r="N2711" s="18">
        <v>46013.0</v>
      </c>
      <c r="O2711" s="1" t="s">
        <v>3493</v>
      </c>
      <c r="P2711" s="1" t="s">
        <v>3230</v>
      </c>
      <c r="Q2711" s="1" t="s">
        <v>3408</v>
      </c>
    </row>
    <row r="2712">
      <c r="A2712" s="1" t="s">
        <v>8145</v>
      </c>
      <c r="B2712" s="1">
        <v>86.0</v>
      </c>
      <c r="C2712" s="1">
        <v>50.0</v>
      </c>
      <c r="D2712" s="2" t="s">
        <v>1394</v>
      </c>
      <c r="E2712" s="1">
        <v>86.0</v>
      </c>
      <c r="F2712" s="1">
        <v>0.0</v>
      </c>
      <c r="G2712" s="1">
        <v>0.0</v>
      </c>
      <c r="H2712" s="1">
        <v>0.0</v>
      </c>
      <c r="I2712" s="1">
        <v>0.0</v>
      </c>
      <c r="J2712" s="1">
        <v>0.0</v>
      </c>
      <c r="K2712" s="1">
        <v>0.0</v>
      </c>
      <c r="L2712" s="1">
        <v>169000.0</v>
      </c>
      <c r="M2712" s="1" t="s">
        <v>8146</v>
      </c>
      <c r="N2712" s="18">
        <v>46013.0</v>
      </c>
      <c r="O2712" s="1" t="s">
        <v>3861</v>
      </c>
      <c r="P2712" s="1" t="s">
        <v>3230</v>
      </c>
      <c r="Q2712" s="1" t="s">
        <v>3408</v>
      </c>
    </row>
    <row r="2713">
      <c r="A2713" s="1" t="s">
        <v>8147</v>
      </c>
      <c r="B2713" s="1">
        <v>86.0</v>
      </c>
      <c r="C2713" s="1">
        <v>70.0</v>
      </c>
      <c r="D2713" s="2" t="s">
        <v>439</v>
      </c>
      <c r="E2713" s="1">
        <v>86.0</v>
      </c>
      <c r="F2713" s="1">
        <v>17.0</v>
      </c>
      <c r="G2713" s="1">
        <v>0.0</v>
      </c>
      <c r="H2713" s="1">
        <v>0.0</v>
      </c>
      <c r="I2713" s="1">
        <v>0.0</v>
      </c>
      <c r="J2713" s="1">
        <v>0.0</v>
      </c>
      <c r="K2713" s="1">
        <v>0.1</v>
      </c>
      <c r="L2713" s="1">
        <v>6170.0</v>
      </c>
      <c r="M2713" s="1" t="s">
        <v>8148</v>
      </c>
      <c r="N2713" s="18">
        <v>46011.0</v>
      </c>
      <c r="O2713" s="1" t="s">
        <v>8149</v>
      </c>
      <c r="P2713" s="1" t="s">
        <v>3294</v>
      </c>
      <c r="Q2713" s="1" t="s">
        <v>3408</v>
      </c>
    </row>
    <row r="2714">
      <c r="A2714" s="1" t="s">
        <v>6787</v>
      </c>
      <c r="B2714" s="1">
        <v>86.0</v>
      </c>
      <c r="C2714" s="1">
        <v>90.0</v>
      </c>
      <c r="D2714" s="2" t="s">
        <v>714</v>
      </c>
      <c r="E2714" s="1">
        <v>86.0</v>
      </c>
      <c r="F2714" s="1">
        <v>0.0</v>
      </c>
      <c r="G2714" s="1">
        <v>0.0</v>
      </c>
      <c r="H2714" s="1">
        <v>0.0</v>
      </c>
      <c r="I2714" s="1">
        <v>0.0</v>
      </c>
      <c r="J2714" s="1">
        <v>0.0</v>
      </c>
      <c r="K2714" s="1">
        <v>0.0</v>
      </c>
      <c r="L2714" s="1">
        <v>32500.0</v>
      </c>
      <c r="M2714" s="1" t="s">
        <v>6788</v>
      </c>
      <c r="N2714" s="18">
        <v>46010.0</v>
      </c>
      <c r="O2714" s="1" t="s">
        <v>3252</v>
      </c>
      <c r="P2714" s="1" t="s">
        <v>3334</v>
      </c>
      <c r="Q2714" s="1" t="s">
        <v>3408</v>
      </c>
    </row>
    <row r="2715">
      <c r="A2715" s="1" t="s">
        <v>8150</v>
      </c>
      <c r="B2715" s="1">
        <v>86.0</v>
      </c>
      <c r="C2715" s="1">
        <v>390.0</v>
      </c>
      <c r="D2715" s="2" t="s">
        <v>606</v>
      </c>
      <c r="E2715" s="1">
        <v>86.0</v>
      </c>
      <c r="F2715" s="1">
        <v>22.0</v>
      </c>
      <c r="G2715" s="1">
        <v>3.01</v>
      </c>
      <c r="H2715" s="1">
        <v>0.0</v>
      </c>
      <c r="I2715" s="1">
        <v>0.0</v>
      </c>
      <c r="J2715" s="1">
        <v>0.0</v>
      </c>
      <c r="K2715" s="1">
        <v>0.07</v>
      </c>
      <c r="L2715" s="1">
        <v>2.66E8</v>
      </c>
      <c r="M2715" s="1" t="s">
        <v>8151</v>
      </c>
      <c r="N2715" s="18">
        <v>46009.0</v>
      </c>
      <c r="O2715" s="1" t="s">
        <v>3237</v>
      </c>
      <c r="P2715" s="1" t="s">
        <v>3334</v>
      </c>
      <c r="Q2715" s="1" t="s">
        <v>3408</v>
      </c>
    </row>
    <row r="2716">
      <c r="A2716" s="1" t="s">
        <v>8152</v>
      </c>
      <c r="B2716" s="1">
        <v>86.0</v>
      </c>
      <c r="C2716" s="1">
        <v>70.0</v>
      </c>
      <c r="D2716" s="2" t="s">
        <v>1536</v>
      </c>
      <c r="E2716" s="1">
        <v>86.0</v>
      </c>
      <c r="F2716" s="1">
        <v>11.0</v>
      </c>
      <c r="G2716" s="1">
        <v>0.0</v>
      </c>
      <c r="H2716" s="1">
        <v>0.0</v>
      </c>
      <c r="I2716" s="1">
        <v>0.0</v>
      </c>
      <c r="J2716" s="1">
        <v>0.0</v>
      </c>
      <c r="K2716" s="1">
        <v>0.17</v>
      </c>
      <c r="L2716" s="1">
        <v>2.37E7</v>
      </c>
      <c r="M2716" s="1" t="s">
        <v>8153</v>
      </c>
      <c r="N2716" s="18">
        <v>46008.0</v>
      </c>
      <c r="O2716" s="1" t="s">
        <v>3479</v>
      </c>
      <c r="P2716" s="1" t="s">
        <v>3230</v>
      </c>
      <c r="Q2716" s="1" t="s">
        <v>3408</v>
      </c>
    </row>
    <row r="2717">
      <c r="A2717" s="1" t="s">
        <v>8154</v>
      </c>
      <c r="B2717" s="1">
        <v>86.0</v>
      </c>
      <c r="C2717" s="1">
        <v>50.0</v>
      </c>
      <c r="D2717" s="2" t="s">
        <v>654</v>
      </c>
      <c r="E2717" s="1">
        <v>86.0</v>
      </c>
      <c r="F2717" s="1">
        <v>2.0</v>
      </c>
      <c r="G2717" s="1">
        <v>1.54</v>
      </c>
      <c r="H2717" s="1">
        <v>0.0</v>
      </c>
      <c r="I2717" s="1">
        <v>0.0</v>
      </c>
      <c r="J2717" s="1">
        <v>0.0</v>
      </c>
      <c r="K2717" s="1">
        <v>0.08</v>
      </c>
      <c r="L2717" s="1">
        <v>0.0</v>
      </c>
      <c r="M2717" s="1" t="s">
        <v>8155</v>
      </c>
      <c r="N2717" s="18">
        <v>46005.0</v>
      </c>
      <c r="O2717" s="1" t="s">
        <v>3407</v>
      </c>
      <c r="P2717" s="1" t="s">
        <v>3334</v>
      </c>
      <c r="Q2717" s="1" t="s">
        <v>3408</v>
      </c>
    </row>
    <row r="2718">
      <c r="A2718" s="1" t="s">
        <v>8156</v>
      </c>
      <c r="B2718" s="1">
        <v>86.0</v>
      </c>
      <c r="C2718" s="1">
        <v>40.0</v>
      </c>
      <c r="D2718" s="2" t="s">
        <v>694</v>
      </c>
      <c r="E2718" s="1">
        <v>86.0</v>
      </c>
      <c r="F2718" s="1">
        <v>23.0</v>
      </c>
      <c r="G2718" s="1">
        <v>3.21</v>
      </c>
      <c r="H2718" s="1">
        <v>0.0</v>
      </c>
      <c r="I2718" s="1">
        <v>0.0</v>
      </c>
      <c r="J2718" s="1">
        <v>0.0</v>
      </c>
      <c r="K2718" s="1">
        <v>0.19</v>
      </c>
      <c r="L2718" s="1">
        <v>7700000.0</v>
      </c>
      <c r="M2718" s="1" t="s">
        <v>8157</v>
      </c>
      <c r="N2718" s="18">
        <v>46005.0</v>
      </c>
      <c r="O2718" s="1" t="s">
        <v>3496</v>
      </c>
      <c r="P2718" s="1" t="s">
        <v>3230</v>
      </c>
      <c r="Q2718" s="1" t="s">
        <v>3408</v>
      </c>
    </row>
    <row r="2719">
      <c r="A2719" s="1" t="s">
        <v>8158</v>
      </c>
      <c r="B2719" s="1">
        <v>86.0</v>
      </c>
      <c r="C2719" s="1">
        <v>70.0</v>
      </c>
      <c r="D2719" s="2" t="s">
        <v>439</v>
      </c>
      <c r="E2719" s="1">
        <v>86.0</v>
      </c>
      <c r="F2719" s="1">
        <v>25.0</v>
      </c>
      <c r="G2719" s="1">
        <v>0.0</v>
      </c>
      <c r="H2719" s="1">
        <v>0.0</v>
      </c>
      <c r="I2719" s="1">
        <v>0.0</v>
      </c>
      <c r="J2719" s="1">
        <v>0.0</v>
      </c>
      <c r="K2719" s="1">
        <v>0.02</v>
      </c>
      <c r="L2719" s="1">
        <v>798000.0</v>
      </c>
      <c r="M2719" s="1" t="s">
        <v>8159</v>
      </c>
      <c r="N2719" s="18">
        <v>46005.0</v>
      </c>
      <c r="O2719" s="1" t="s">
        <v>4965</v>
      </c>
      <c r="P2719" s="1" t="s">
        <v>3294</v>
      </c>
      <c r="Q2719" s="1" t="s">
        <v>3408</v>
      </c>
    </row>
    <row r="2720">
      <c r="A2720" s="1" t="s">
        <v>8160</v>
      </c>
      <c r="B2720" s="1">
        <v>86.0</v>
      </c>
      <c r="C2720" s="1">
        <v>40.0</v>
      </c>
      <c r="D2720" s="2" t="s">
        <v>2418</v>
      </c>
      <c r="E2720" s="1">
        <v>86.0</v>
      </c>
      <c r="F2720" s="1">
        <v>10.0</v>
      </c>
      <c r="G2720" s="1">
        <v>0.0</v>
      </c>
      <c r="H2720" s="1">
        <v>0.0</v>
      </c>
      <c r="I2720" s="1">
        <v>0.0</v>
      </c>
      <c r="J2720" s="1">
        <v>0.0</v>
      </c>
      <c r="K2720" s="1">
        <v>0.03</v>
      </c>
      <c r="L2720" s="1">
        <v>3830000.0</v>
      </c>
      <c r="M2720" s="1" t="s">
        <v>8161</v>
      </c>
      <c r="N2720" s="18">
        <v>46004.0</v>
      </c>
      <c r="O2720" s="1" t="s">
        <v>8162</v>
      </c>
      <c r="P2720" s="1" t="s">
        <v>3230</v>
      </c>
      <c r="Q2720" s="1" t="s">
        <v>3408</v>
      </c>
    </row>
    <row r="2721">
      <c r="A2721" s="1" t="s">
        <v>7005</v>
      </c>
      <c r="B2721" s="1">
        <v>86.0</v>
      </c>
      <c r="C2721" s="1">
        <v>70.0</v>
      </c>
      <c r="D2721" s="2" t="s">
        <v>2080</v>
      </c>
      <c r="E2721" s="1">
        <v>86.0</v>
      </c>
      <c r="F2721" s="1">
        <v>6.0</v>
      </c>
      <c r="G2721" s="1">
        <v>3.06</v>
      </c>
      <c r="H2721" s="1">
        <v>0.0</v>
      </c>
      <c r="I2721" s="1">
        <v>0.0</v>
      </c>
      <c r="J2721" s="1">
        <v>0.0</v>
      </c>
      <c r="K2721" s="1">
        <v>0.43</v>
      </c>
      <c r="L2721" s="1">
        <v>1400000.0</v>
      </c>
      <c r="M2721" s="1" t="s">
        <v>7006</v>
      </c>
      <c r="N2721" s="18">
        <v>46003.0</v>
      </c>
      <c r="O2721" s="1" t="s">
        <v>4057</v>
      </c>
      <c r="P2721" s="1" t="s">
        <v>3230</v>
      </c>
      <c r="Q2721" s="1" t="s">
        <v>3408</v>
      </c>
    </row>
    <row r="2722">
      <c r="A2722" s="1" t="s">
        <v>8163</v>
      </c>
      <c r="B2722" s="1">
        <v>86.0</v>
      </c>
      <c r="C2722" s="1">
        <v>70.0</v>
      </c>
      <c r="D2722" s="2" t="s">
        <v>581</v>
      </c>
      <c r="E2722" s="1">
        <v>86.0</v>
      </c>
      <c r="F2722" s="1">
        <v>50.0</v>
      </c>
      <c r="G2722" s="1">
        <v>19.51</v>
      </c>
      <c r="H2722" s="1">
        <v>0.0</v>
      </c>
      <c r="I2722" s="1">
        <v>0.0</v>
      </c>
      <c r="J2722" s="1">
        <v>0.0</v>
      </c>
      <c r="K2722" s="1">
        <v>0.84</v>
      </c>
      <c r="L2722" s="1">
        <v>6800000.0</v>
      </c>
      <c r="M2722" s="1" t="s">
        <v>8164</v>
      </c>
      <c r="N2722" s="18">
        <v>46002.0</v>
      </c>
      <c r="O2722" s="1" t="s">
        <v>5815</v>
      </c>
      <c r="P2722" s="1" t="s">
        <v>3257</v>
      </c>
      <c r="Q2722" s="1" t="s">
        <v>3408</v>
      </c>
    </row>
    <row r="2723">
      <c r="A2723" s="1" t="s">
        <v>8165</v>
      </c>
      <c r="B2723" s="1">
        <v>86.0</v>
      </c>
      <c r="C2723" s="1">
        <v>70.0</v>
      </c>
      <c r="D2723" s="2" t="s">
        <v>694</v>
      </c>
      <c r="E2723" s="1">
        <v>86.0</v>
      </c>
      <c r="F2723" s="1">
        <v>0.0</v>
      </c>
      <c r="G2723" s="1">
        <v>0.0</v>
      </c>
      <c r="H2723" s="1">
        <v>0.0</v>
      </c>
      <c r="I2723" s="1">
        <v>0.0</v>
      </c>
      <c r="J2723" s="1">
        <v>0.0</v>
      </c>
      <c r="K2723" s="1">
        <v>0.0</v>
      </c>
      <c r="L2723" s="1">
        <v>7940000.0</v>
      </c>
      <c r="M2723" s="1" t="s">
        <v>8166</v>
      </c>
      <c r="N2723" s="18">
        <v>45996.0</v>
      </c>
      <c r="O2723" s="1" t="s">
        <v>3571</v>
      </c>
      <c r="P2723" s="1" t="s">
        <v>3230</v>
      </c>
      <c r="Q2723" s="1" t="s">
        <v>3408</v>
      </c>
    </row>
    <row r="2724">
      <c r="A2724" s="1" t="s">
        <v>8167</v>
      </c>
      <c r="B2724" s="1">
        <v>86.0</v>
      </c>
      <c r="C2724" s="1">
        <v>50.0</v>
      </c>
      <c r="D2724" s="2" t="s">
        <v>1532</v>
      </c>
      <c r="E2724" s="1">
        <v>86.0</v>
      </c>
      <c r="F2724" s="1">
        <v>23.0</v>
      </c>
      <c r="G2724" s="1">
        <v>1.07</v>
      </c>
      <c r="H2724" s="1">
        <v>0.0</v>
      </c>
      <c r="I2724" s="1">
        <v>0.0</v>
      </c>
      <c r="J2724" s="1">
        <v>0.0</v>
      </c>
      <c r="K2724" s="1">
        <v>0.09</v>
      </c>
      <c r="L2724" s="1">
        <v>8720000.0</v>
      </c>
      <c r="M2724" s="1" t="s">
        <v>8168</v>
      </c>
      <c r="N2724" s="18">
        <v>45996.0</v>
      </c>
      <c r="O2724" s="1" t="s">
        <v>5700</v>
      </c>
      <c r="P2724" s="1" t="s">
        <v>3230</v>
      </c>
      <c r="Q2724" s="1" t="s">
        <v>3408</v>
      </c>
    </row>
    <row r="2725">
      <c r="A2725" s="1" t="s">
        <v>8169</v>
      </c>
      <c r="B2725" s="1">
        <v>86.0</v>
      </c>
      <c r="C2725" s="1">
        <v>110.0</v>
      </c>
      <c r="D2725" s="2" t="s">
        <v>776</v>
      </c>
      <c r="E2725" s="1">
        <v>86.0</v>
      </c>
      <c r="F2725" s="1">
        <v>9.0</v>
      </c>
      <c r="G2725" s="1">
        <v>0.0</v>
      </c>
      <c r="H2725" s="1">
        <v>0.0</v>
      </c>
      <c r="I2725" s="1">
        <v>0.0</v>
      </c>
      <c r="J2725" s="1">
        <v>0.0</v>
      </c>
      <c r="K2725" s="1">
        <v>0.0</v>
      </c>
      <c r="L2725" s="1">
        <v>4260000.0</v>
      </c>
      <c r="M2725" s="1" t="s">
        <v>8170</v>
      </c>
      <c r="N2725" s="18">
        <v>45994.0</v>
      </c>
      <c r="O2725" s="1" t="s">
        <v>4278</v>
      </c>
      <c r="P2725" s="1" t="s">
        <v>3257</v>
      </c>
      <c r="Q2725" s="1" t="s">
        <v>3408</v>
      </c>
    </row>
    <row r="2726">
      <c r="A2726" s="1" t="s">
        <v>8171</v>
      </c>
      <c r="B2726" s="1">
        <v>86.0</v>
      </c>
      <c r="C2726" s="1">
        <v>90.0</v>
      </c>
      <c r="D2726" s="2" t="s">
        <v>439</v>
      </c>
      <c r="E2726" s="1">
        <v>86.0</v>
      </c>
      <c r="F2726" s="1">
        <v>14.0</v>
      </c>
      <c r="G2726" s="1">
        <v>4.79</v>
      </c>
      <c r="H2726" s="1">
        <v>0.0</v>
      </c>
      <c r="I2726" s="1">
        <v>0.0</v>
      </c>
      <c r="J2726" s="1">
        <v>0.0</v>
      </c>
      <c r="K2726" s="1">
        <v>0.5</v>
      </c>
      <c r="L2726" s="1">
        <v>857.0</v>
      </c>
      <c r="M2726" s="1" t="s">
        <v>8172</v>
      </c>
      <c r="N2726" s="18">
        <v>45990.0</v>
      </c>
      <c r="O2726" s="1" t="s">
        <v>5458</v>
      </c>
      <c r="P2726" s="1" t="s">
        <v>3462</v>
      </c>
      <c r="Q2726" s="1" t="s">
        <v>3408</v>
      </c>
    </row>
    <row r="2727">
      <c r="A2727" s="1" t="s">
        <v>8173</v>
      </c>
      <c r="B2727" s="1">
        <v>86.0</v>
      </c>
      <c r="C2727" s="1">
        <v>480.0</v>
      </c>
      <c r="D2727" s="2" t="s">
        <v>581</v>
      </c>
      <c r="E2727" s="1">
        <v>86.0</v>
      </c>
      <c r="F2727" s="1">
        <v>61.0</v>
      </c>
      <c r="G2727" s="1">
        <v>19.44</v>
      </c>
      <c r="H2727" s="1">
        <v>0.0</v>
      </c>
      <c r="I2727" s="1">
        <v>0.0</v>
      </c>
      <c r="J2727" s="1">
        <v>0.0</v>
      </c>
      <c r="K2727" s="1">
        <v>0.58</v>
      </c>
      <c r="L2727" s="1">
        <v>1.94E7</v>
      </c>
      <c r="M2727" s="1" t="s">
        <v>8174</v>
      </c>
      <c r="N2727" s="18">
        <v>45988.0</v>
      </c>
      <c r="O2727" s="1" t="s">
        <v>3673</v>
      </c>
      <c r="P2727" s="1" t="s">
        <v>3257</v>
      </c>
      <c r="Q2727" s="1" t="s">
        <v>3408</v>
      </c>
    </row>
    <row r="2728">
      <c r="A2728" s="1" t="s">
        <v>8175</v>
      </c>
      <c r="B2728" s="1">
        <v>86.0</v>
      </c>
      <c r="C2728" s="1">
        <v>260.0</v>
      </c>
      <c r="D2728" s="2" t="s">
        <v>439</v>
      </c>
      <c r="E2728" s="1">
        <v>86.0</v>
      </c>
      <c r="F2728" s="1">
        <v>20.0</v>
      </c>
      <c r="G2728" s="1">
        <v>12.81</v>
      </c>
      <c r="H2728" s="1">
        <v>0.0</v>
      </c>
      <c r="I2728" s="1">
        <v>0.0</v>
      </c>
      <c r="J2728" s="1">
        <v>0.0</v>
      </c>
      <c r="K2728" s="1">
        <v>0.03</v>
      </c>
      <c r="L2728" s="1">
        <v>38900.0</v>
      </c>
      <c r="M2728" s="1" t="s">
        <v>8176</v>
      </c>
      <c r="N2728" s="18">
        <v>45988.0</v>
      </c>
      <c r="O2728" s="1" t="s">
        <v>4678</v>
      </c>
      <c r="P2728" s="1" t="s">
        <v>3230</v>
      </c>
      <c r="Q2728" s="1" t="s">
        <v>3408</v>
      </c>
    </row>
    <row r="2729">
      <c r="A2729" s="1" t="s">
        <v>8177</v>
      </c>
      <c r="B2729" s="1">
        <v>86.0</v>
      </c>
      <c r="C2729" s="1">
        <v>90.0</v>
      </c>
      <c r="D2729" s="2" t="s">
        <v>1473</v>
      </c>
      <c r="E2729" s="1">
        <v>86.0</v>
      </c>
      <c r="F2729" s="1">
        <v>59.0</v>
      </c>
      <c r="G2729" s="1">
        <v>0.0</v>
      </c>
      <c r="H2729" s="1">
        <v>0.0</v>
      </c>
      <c r="I2729" s="1">
        <v>0.0</v>
      </c>
      <c r="J2729" s="1">
        <v>0.0</v>
      </c>
      <c r="K2729" s="1">
        <v>0.0</v>
      </c>
      <c r="L2729" s="1">
        <v>10.0</v>
      </c>
      <c r="M2729" s="1" t="s">
        <v>8178</v>
      </c>
      <c r="N2729" s="18">
        <v>45986.0</v>
      </c>
      <c r="O2729" s="1" t="s">
        <v>5650</v>
      </c>
      <c r="P2729" s="1" t="s">
        <v>3230</v>
      </c>
      <c r="Q2729" s="1" t="s">
        <v>3408</v>
      </c>
    </row>
    <row r="2730">
      <c r="A2730" s="1" t="s">
        <v>8179</v>
      </c>
      <c r="B2730" s="1">
        <v>87.0</v>
      </c>
      <c r="C2730" s="1">
        <v>90.0</v>
      </c>
      <c r="D2730" s="2" t="s">
        <v>581</v>
      </c>
      <c r="E2730" s="1">
        <v>0.0</v>
      </c>
      <c r="F2730" s="1">
        <v>25.0</v>
      </c>
      <c r="G2730" s="1">
        <v>2.05</v>
      </c>
      <c r="H2730" s="1">
        <v>0.0</v>
      </c>
      <c r="I2730" s="1">
        <v>0.0</v>
      </c>
      <c r="J2730" s="1">
        <v>0.0</v>
      </c>
      <c r="K2730" s="1">
        <v>0.07</v>
      </c>
      <c r="L2730" s="1">
        <v>1.11E7</v>
      </c>
      <c r="M2730" s="1" t="s">
        <v>8180</v>
      </c>
      <c r="N2730" s="18">
        <v>46042.0</v>
      </c>
      <c r="O2730" s="1" t="s">
        <v>4617</v>
      </c>
      <c r="P2730" s="1" t="s">
        <v>3294</v>
      </c>
      <c r="Q2730" s="1" t="s">
        <v>3408</v>
      </c>
    </row>
    <row r="2731">
      <c r="A2731" s="1" t="s">
        <v>8181</v>
      </c>
      <c r="B2731" s="1">
        <v>87.0</v>
      </c>
      <c r="C2731" s="1">
        <v>170.0</v>
      </c>
      <c r="D2731" s="2" t="s">
        <v>1742</v>
      </c>
      <c r="E2731" s="1">
        <v>87.0</v>
      </c>
      <c r="F2731" s="1">
        <v>20.0</v>
      </c>
      <c r="G2731" s="1">
        <v>3.55</v>
      </c>
      <c r="H2731" s="1">
        <v>0.0</v>
      </c>
      <c r="I2731" s="1">
        <v>0.0</v>
      </c>
      <c r="J2731" s="1">
        <v>0.0</v>
      </c>
      <c r="K2731" s="1">
        <v>0.21</v>
      </c>
      <c r="L2731" s="1">
        <v>2.57E7</v>
      </c>
      <c r="M2731" s="1" t="s">
        <v>8182</v>
      </c>
      <c r="N2731" s="18">
        <v>46036.0</v>
      </c>
      <c r="O2731" s="1" t="s">
        <v>6009</v>
      </c>
      <c r="P2731" s="1" t="s">
        <v>3334</v>
      </c>
      <c r="Q2731" s="1" t="s">
        <v>3408</v>
      </c>
    </row>
    <row r="2732">
      <c r="A2732" s="1" t="s">
        <v>8183</v>
      </c>
      <c r="B2732" s="1">
        <v>87.0</v>
      </c>
      <c r="C2732" s="1">
        <v>30.0</v>
      </c>
      <c r="D2732" s="2" t="s">
        <v>581</v>
      </c>
      <c r="E2732" s="1">
        <v>87.0</v>
      </c>
      <c r="F2732" s="1">
        <v>47.0</v>
      </c>
      <c r="G2732" s="1">
        <v>13.58</v>
      </c>
      <c r="H2732" s="1">
        <v>0.0</v>
      </c>
      <c r="I2732" s="1">
        <v>0.0</v>
      </c>
      <c r="J2732" s="1">
        <v>0.0</v>
      </c>
      <c r="K2732" s="1">
        <v>0.71</v>
      </c>
      <c r="L2732" s="1">
        <v>1.09E7</v>
      </c>
      <c r="M2732" s="1" t="s">
        <v>8184</v>
      </c>
      <c r="N2732" s="18">
        <v>46034.0</v>
      </c>
      <c r="O2732" s="1" t="s">
        <v>8185</v>
      </c>
      <c r="P2732" s="1" t="s">
        <v>3257</v>
      </c>
      <c r="Q2732" s="1" t="s">
        <v>3408</v>
      </c>
    </row>
    <row r="2733">
      <c r="A2733" s="1" t="s">
        <v>8186</v>
      </c>
      <c r="B2733" s="1">
        <v>87.0</v>
      </c>
      <c r="C2733" s="1">
        <v>50.0</v>
      </c>
      <c r="D2733" s="2" t="s">
        <v>778</v>
      </c>
      <c r="E2733" s="1">
        <v>87.0</v>
      </c>
      <c r="F2733" s="1">
        <v>5.0</v>
      </c>
      <c r="G2733" s="1">
        <v>0.0</v>
      </c>
      <c r="H2733" s="1">
        <v>0.0</v>
      </c>
      <c r="I2733" s="1">
        <v>0.0</v>
      </c>
      <c r="J2733" s="1">
        <v>0.0</v>
      </c>
      <c r="K2733" s="1">
        <v>0.0</v>
      </c>
      <c r="L2733" s="1">
        <v>4100000.0</v>
      </c>
      <c r="M2733" s="1" t="s">
        <v>8187</v>
      </c>
      <c r="N2733" s="18">
        <v>46031.0</v>
      </c>
      <c r="O2733" s="1" t="s">
        <v>7981</v>
      </c>
      <c r="P2733" s="1" t="s">
        <v>3257</v>
      </c>
      <c r="Q2733" s="1" t="s">
        <v>3408</v>
      </c>
    </row>
    <row r="2734">
      <c r="A2734" s="1" t="s">
        <v>8188</v>
      </c>
      <c r="B2734" s="1">
        <v>87.0</v>
      </c>
      <c r="C2734" s="1">
        <v>40.0</v>
      </c>
      <c r="D2734" s="2" t="s">
        <v>2032</v>
      </c>
      <c r="E2734" s="1">
        <v>87.0</v>
      </c>
      <c r="F2734" s="1">
        <v>0.0</v>
      </c>
      <c r="G2734" s="1">
        <v>0.0</v>
      </c>
      <c r="H2734" s="1">
        <v>0.0</v>
      </c>
      <c r="I2734" s="1">
        <v>0.0</v>
      </c>
      <c r="J2734" s="1">
        <v>0.0</v>
      </c>
      <c r="K2734" s="1">
        <v>0.0</v>
      </c>
      <c r="L2734" s="1">
        <v>1.57E8</v>
      </c>
      <c r="M2734" s="1" t="s">
        <v>8189</v>
      </c>
      <c r="N2734" s="18">
        <v>46030.0</v>
      </c>
      <c r="O2734" s="1" t="s">
        <v>3314</v>
      </c>
      <c r="P2734" s="1" t="s">
        <v>3230</v>
      </c>
      <c r="Q2734" s="1" t="s">
        <v>3408</v>
      </c>
    </row>
    <row r="2735">
      <c r="A2735" s="1" t="s">
        <v>8190</v>
      </c>
      <c r="B2735" s="1">
        <v>87.0</v>
      </c>
      <c r="C2735" s="1">
        <v>140.0</v>
      </c>
      <c r="D2735" s="2" t="s">
        <v>1536</v>
      </c>
      <c r="E2735" s="1">
        <v>87.0</v>
      </c>
      <c r="F2735" s="1">
        <v>4.0</v>
      </c>
      <c r="G2735" s="1">
        <v>4.52</v>
      </c>
      <c r="H2735" s="1">
        <v>0.0</v>
      </c>
      <c r="I2735" s="1">
        <v>0.0</v>
      </c>
      <c r="J2735" s="1">
        <v>0.0</v>
      </c>
      <c r="K2735" s="1">
        <v>0.03</v>
      </c>
      <c r="L2735" s="1">
        <v>1.2E7</v>
      </c>
      <c r="M2735" s="1" t="s">
        <v>8191</v>
      </c>
      <c r="N2735" s="18">
        <v>46028.0</v>
      </c>
      <c r="O2735" s="1" t="s">
        <v>3314</v>
      </c>
      <c r="P2735" s="1" t="s">
        <v>3230</v>
      </c>
      <c r="Q2735" s="1" t="s">
        <v>3408</v>
      </c>
    </row>
    <row r="2736">
      <c r="A2736" s="1" t="s">
        <v>8192</v>
      </c>
      <c r="B2736" s="1">
        <v>87.0</v>
      </c>
      <c r="C2736" s="1">
        <v>90.0</v>
      </c>
      <c r="D2736" s="2" t="s">
        <v>638</v>
      </c>
      <c r="E2736" s="1">
        <v>87.0</v>
      </c>
      <c r="F2736" s="1">
        <v>20.0</v>
      </c>
      <c r="G2736" s="1">
        <v>0.0</v>
      </c>
      <c r="H2736" s="1">
        <v>0.0</v>
      </c>
      <c r="I2736" s="1">
        <v>0.0</v>
      </c>
      <c r="J2736" s="1">
        <v>0.0</v>
      </c>
      <c r="K2736" s="1">
        <v>0.01</v>
      </c>
      <c r="L2736" s="1">
        <v>116000.0</v>
      </c>
      <c r="M2736" s="1" t="s">
        <v>8193</v>
      </c>
      <c r="N2736" s="18">
        <v>46028.0</v>
      </c>
      <c r="O2736" s="1" t="s">
        <v>3284</v>
      </c>
      <c r="P2736" s="1" t="s">
        <v>3230</v>
      </c>
      <c r="Q2736" s="1" t="s">
        <v>3408</v>
      </c>
    </row>
    <row r="2737">
      <c r="A2737" s="1" t="s">
        <v>8194</v>
      </c>
      <c r="B2737" s="1">
        <v>87.0</v>
      </c>
      <c r="C2737" s="1">
        <v>50.0</v>
      </c>
      <c r="D2737" s="2" t="s">
        <v>584</v>
      </c>
      <c r="E2737" s="1">
        <v>87.0</v>
      </c>
      <c r="F2737" s="1">
        <v>16.0</v>
      </c>
      <c r="G2737" s="1">
        <v>4.99</v>
      </c>
      <c r="H2737" s="1">
        <v>0.0</v>
      </c>
      <c r="I2737" s="1">
        <v>0.0</v>
      </c>
      <c r="J2737" s="1">
        <v>0.0</v>
      </c>
      <c r="K2737" s="1">
        <v>0.32</v>
      </c>
      <c r="L2737" s="1">
        <v>4950000.0</v>
      </c>
      <c r="M2737" s="1" t="s">
        <v>8195</v>
      </c>
      <c r="N2737" s="18">
        <v>46025.0</v>
      </c>
      <c r="O2737" s="1" t="s">
        <v>3458</v>
      </c>
      <c r="P2737" s="1" t="s">
        <v>3257</v>
      </c>
      <c r="Q2737" s="1" t="s">
        <v>3408</v>
      </c>
    </row>
    <row r="2738">
      <c r="A2738" s="1" t="s">
        <v>8196</v>
      </c>
      <c r="B2738" s="1">
        <v>87.0</v>
      </c>
      <c r="C2738" s="1">
        <v>40.0</v>
      </c>
      <c r="D2738" s="2" t="s">
        <v>581</v>
      </c>
      <c r="E2738" s="1">
        <v>87.0</v>
      </c>
      <c r="F2738" s="1">
        <v>20.0</v>
      </c>
      <c r="G2738" s="1">
        <v>0.0</v>
      </c>
      <c r="H2738" s="1">
        <v>0.0</v>
      </c>
      <c r="I2738" s="1">
        <v>0.0</v>
      </c>
      <c r="J2738" s="1">
        <v>0.0</v>
      </c>
      <c r="K2738" s="1">
        <v>0.0</v>
      </c>
      <c r="L2738" s="1">
        <v>138000.0</v>
      </c>
      <c r="M2738" s="1" t="s">
        <v>8197</v>
      </c>
      <c r="N2738" s="18">
        <v>46025.0</v>
      </c>
      <c r="O2738" s="1" t="s">
        <v>4452</v>
      </c>
      <c r="P2738" s="1" t="s">
        <v>3257</v>
      </c>
      <c r="Q2738" s="1" t="s">
        <v>3408</v>
      </c>
    </row>
    <row r="2739">
      <c r="A2739" s="1" t="s">
        <v>4966</v>
      </c>
      <c r="B2739" s="1">
        <v>87.0</v>
      </c>
      <c r="C2739" s="1">
        <v>40.0</v>
      </c>
      <c r="D2739" s="2" t="s">
        <v>1307</v>
      </c>
      <c r="E2739" s="1">
        <v>87.0</v>
      </c>
      <c r="F2739" s="1">
        <v>9.0</v>
      </c>
      <c r="G2739" s="1">
        <v>0.0</v>
      </c>
      <c r="H2739" s="1">
        <v>0.0</v>
      </c>
      <c r="I2739" s="1">
        <v>0.0</v>
      </c>
      <c r="J2739" s="1">
        <v>0.0</v>
      </c>
      <c r="K2739" s="1">
        <v>0.0</v>
      </c>
      <c r="L2739" s="1">
        <v>104000.0</v>
      </c>
      <c r="M2739" s="1" t="s">
        <v>4967</v>
      </c>
      <c r="N2739" s="18">
        <v>46024.0</v>
      </c>
      <c r="O2739" s="1" t="s">
        <v>3713</v>
      </c>
      <c r="P2739" s="1" t="s">
        <v>3334</v>
      </c>
      <c r="Q2739" s="1" t="s">
        <v>3408</v>
      </c>
    </row>
    <row r="2740">
      <c r="A2740" s="1" t="s">
        <v>6192</v>
      </c>
      <c r="B2740" s="1">
        <v>87.0</v>
      </c>
      <c r="C2740" s="1">
        <v>110.0</v>
      </c>
      <c r="D2740" s="2" t="s">
        <v>782</v>
      </c>
      <c r="E2740" s="1">
        <v>87.0</v>
      </c>
      <c r="F2740" s="1">
        <v>3.0</v>
      </c>
      <c r="G2740" s="1">
        <v>0.0</v>
      </c>
      <c r="H2740" s="1">
        <v>0.0</v>
      </c>
      <c r="I2740" s="1">
        <v>0.0</v>
      </c>
      <c r="J2740" s="1">
        <v>0.0</v>
      </c>
      <c r="K2740" s="1">
        <v>0.03</v>
      </c>
      <c r="L2740" s="1">
        <v>9620000.0</v>
      </c>
      <c r="M2740" s="1" t="s">
        <v>6193</v>
      </c>
      <c r="N2740" s="18">
        <v>46022.0</v>
      </c>
      <c r="O2740" s="1" t="s">
        <v>3673</v>
      </c>
      <c r="P2740" s="1" t="s">
        <v>3257</v>
      </c>
      <c r="Q2740" s="1" t="s">
        <v>3408</v>
      </c>
    </row>
    <row r="2741">
      <c r="A2741" s="1" t="s">
        <v>8198</v>
      </c>
      <c r="B2741" s="1">
        <v>87.0</v>
      </c>
      <c r="C2741" s="1">
        <v>40.0</v>
      </c>
      <c r="D2741" s="2" t="s">
        <v>704</v>
      </c>
      <c r="E2741" s="1">
        <v>87.0</v>
      </c>
      <c r="F2741" s="1">
        <v>7.0</v>
      </c>
      <c r="G2741" s="1">
        <v>0.0</v>
      </c>
      <c r="H2741" s="1">
        <v>0.0</v>
      </c>
      <c r="I2741" s="1">
        <v>0.0</v>
      </c>
      <c r="J2741" s="1">
        <v>0.0</v>
      </c>
      <c r="K2741" s="1">
        <v>0.0</v>
      </c>
      <c r="L2741" s="1">
        <v>75600.0</v>
      </c>
      <c r="M2741" s="1" t="s">
        <v>8199</v>
      </c>
      <c r="N2741" s="18">
        <v>46021.0</v>
      </c>
      <c r="O2741" s="1" t="s">
        <v>6905</v>
      </c>
      <c r="P2741" s="1" t="s">
        <v>3257</v>
      </c>
      <c r="Q2741" s="1" t="s">
        <v>3408</v>
      </c>
    </row>
    <row r="2742">
      <c r="A2742" s="1" t="s">
        <v>4173</v>
      </c>
      <c r="B2742" s="1">
        <v>87.0</v>
      </c>
      <c r="C2742" s="1">
        <v>70.0</v>
      </c>
      <c r="D2742" s="2" t="s">
        <v>439</v>
      </c>
      <c r="E2742" s="1">
        <v>87.0</v>
      </c>
      <c r="F2742" s="1">
        <v>23.0</v>
      </c>
      <c r="G2742" s="1">
        <v>5.81</v>
      </c>
      <c r="H2742" s="1">
        <v>0.0</v>
      </c>
      <c r="I2742" s="1">
        <v>0.0</v>
      </c>
      <c r="J2742" s="1">
        <v>0.0</v>
      </c>
      <c r="K2742" s="1">
        <v>0.14</v>
      </c>
      <c r="L2742" s="1">
        <v>2.46E8</v>
      </c>
      <c r="M2742" s="1" t="s">
        <v>4174</v>
      </c>
      <c r="N2742" s="18">
        <v>46015.0</v>
      </c>
      <c r="O2742" s="1" t="s">
        <v>3455</v>
      </c>
      <c r="P2742" s="1" t="s">
        <v>3294</v>
      </c>
      <c r="Q2742" s="1" t="s">
        <v>3408</v>
      </c>
    </row>
    <row r="2743">
      <c r="A2743" s="1" t="s">
        <v>6145</v>
      </c>
      <c r="B2743" s="1">
        <v>87.0</v>
      </c>
      <c r="C2743" s="1">
        <v>30.0</v>
      </c>
      <c r="D2743" s="2" t="s">
        <v>1099</v>
      </c>
      <c r="E2743" s="1">
        <v>87.0</v>
      </c>
      <c r="F2743" s="1">
        <v>20.0</v>
      </c>
      <c r="G2743" s="1">
        <v>1.28</v>
      </c>
      <c r="H2743" s="1">
        <v>0.0</v>
      </c>
      <c r="I2743" s="1">
        <v>0.0</v>
      </c>
      <c r="J2743" s="1">
        <v>0.0</v>
      </c>
      <c r="K2743" s="1">
        <v>0.57</v>
      </c>
      <c r="L2743" s="1">
        <v>987000.0</v>
      </c>
      <c r="M2743" s="1" t="s">
        <v>6146</v>
      </c>
      <c r="N2743" s="18">
        <v>46015.0</v>
      </c>
      <c r="O2743" s="1" t="s">
        <v>4845</v>
      </c>
      <c r="P2743" s="1" t="s">
        <v>3230</v>
      </c>
      <c r="Q2743" s="1" t="s">
        <v>3408</v>
      </c>
    </row>
    <row r="2744">
      <c r="A2744" s="1" t="s">
        <v>8200</v>
      </c>
      <c r="B2744" s="1">
        <v>87.0</v>
      </c>
      <c r="C2744" s="1">
        <v>70.0</v>
      </c>
      <c r="D2744" s="2" t="s">
        <v>581</v>
      </c>
      <c r="E2744" s="1">
        <v>87.0</v>
      </c>
      <c r="F2744" s="1">
        <v>0.0</v>
      </c>
      <c r="G2744" s="1">
        <v>0.0</v>
      </c>
      <c r="H2744" s="1">
        <v>0.0</v>
      </c>
      <c r="I2744" s="1">
        <v>0.0</v>
      </c>
      <c r="J2744" s="1">
        <v>0.0</v>
      </c>
      <c r="K2744" s="1">
        <v>0.0</v>
      </c>
      <c r="L2744" s="1">
        <v>278000.0</v>
      </c>
      <c r="M2744" s="1" t="s">
        <v>8201</v>
      </c>
      <c r="N2744" s="18">
        <v>46015.0</v>
      </c>
      <c r="O2744" s="1" t="s">
        <v>3482</v>
      </c>
      <c r="P2744" s="1" t="s">
        <v>3257</v>
      </c>
      <c r="Q2744" s="1" t="s">
        <v>3408</v>
      </c>
    </row>
    <row r="2745">
      <c r="A2745" s="1" t="s">
        <v>8202</v>
      </c>
      <c r="B2745" s="1">
        <v>87.0</v>
      </c>
      <c r="C2745" s="1">
        <v>110.0</v>
      </c>
      <c r="D2745" s="2" t="s">
        <v>1109</v>
      </c>
      <c r="E2745" s="1">
        <v>87.0</v>
      </c>
      <c r="F2745" s="1">
        <v>3.0</v>
      </c>
      <c r="G2745" s="1">
        <v>2.28</v>
      </c>
      <c r="H2745" s="1">
        <v>0.0</v>
      </c>
      <c r="I2745" s="1">
        <v>0.0</v>
      </c>
      <c r="J2745" s="1">
        <v>0.0</v>
      </c>
      <c r="K2745" s="1">
        <v>0.12</v>
      </c>
      <c r="L2745" s="1">
        <v>1.18E8</v>
      </c>
      <c r="M2745" s="1" t="s">
        <v>8203</v>
      </c>
      <c r="N2745" s="18">
        <v>46013.0</v>
      </c>
      <c r="O2745" s="1" t="s">
        <v>3840</v>
      </c>
      <c r="P2745" s="1" t="s">
        <v>3230</v>
      </c>
      <c r="Q2745" s="1" t="s">
        <v>3408</v>
      </c>
    </row>
    <row r="2746">
      <c r="A2746" s="1" t="s">
        <v>8204</v>
      </c>
      <c r="B2746" s="1">
        <v>87.0</v>
      </c>
      <c r="C2746" s="1">
        <v>90.0</v>
      </c>
      <c r="D2746" s="2" t="s">
        <v>776</v>
      </c>
      <c r="E2746" s="1">
        <v>87.0</v>
      </c>
      <c r="F2746" s="1">
        <v>6.0</v>
      </c>
      <c r="G2746" s="1">
        <v>0.0</v>
      </c>
      <c r="H2746" s="1">
        <v>0.0</v>
      </c>
      <c r="I2746" s="1">
        <v>0.0</v>
      </c>
      <c r="J2746" s="1">
        <v>0.0</v>
      </c>
      <c r="K2746" s="1">
        <v>0.06</v>
      </c>
      <c r="L2746" s="1">
        <v>6100000.0</v>
      </c>
      <c r="M2746" s="1" t="s">
        <v>8205</v>
      </c>
      <c r="N2746" s="18">
        <v>46013.0</v>
      </c>
      <c r="O2746" s="1" t="s">
        <v>3479</v>
      </c>
      <c r="P2746" s="1" t="s">
        <v>3257</v>
      </c>
      <c r="Q2746" s="1" t="s">
        <v>3408</v>
      </c>
    </row>
    <row r="2747">
      <c r="A2747" s="1" t="s">
        <v>8206</v>
      </c>
      <c r="B2747" s="1">
        <v>87.0</v>
      </c>
      <c r="C2747" s="1">
        <v>320.0</v>
      </c>
      <c r="D2747" s="2" t="s">
        <v>740</v>
      </c>
      <c r="E2747" s="1">
        <v>87.0</v>
      </c>
      <c r="F2747" s="1">
        <v>22.0</v>
      </c>
      <c r="G2747" s="1">
        <v>19.76</v>
      </c>
      <c r="H2747" s="1">
        <v>0.0</v>
      </c>
      <c r="I2747" s="1">
        <v>0.0</v>
      </c>
      <c r="J2747" s="1">
        <v>0.0</v>
      </c>
      <c r="K2747" s="1">
        <v>0.67</v>
      </c>
      <c r="L2747" s="1">
        <v>2.13E7</v>
      </c>
      <c r="M2747" s="1" t="s">
        <v>8207</v>
      </c>
      <c r="N2747" s="18">
        <v>46011.0</v>
      </c>
      <c r="O2747" s="1" t="s">
        <v>8208</v>
      </c>
      <c r="P2747" s="1" t="s">
        <v>3230</v>
      </c>
      <c r="Q2747" s="1" t="s">
        <v>3408</v>
      </c>
    </row>
    <row r="2748">
      <c r="A2748" s="1" t="s">
        <v>8147</v>
      </c>
      <c r="B2748" s="1">
        <v>87.0</v>
      </c>
      <c r="C2748" s="1">
        <v>70.0</v>
      </c>
      <c r="D2748" s="2" t="s">
        <v>439</v>
      </c>
      <c r="E2748" s="1">
        <v>87.0</v>
      </c>
      <c r="F2748" s="1">
        <v>17.0</v>
      </c>
      <c r="G2748" s="1">
        <v>0.0</v>
      </c>
      <c r="H2748" s="1">
        <v>0.0</v>
      </c>
      <c r="I2748" s="1">
        <v>0.0</v>
      </c>
      <c r="J2748" s="1">
        <v>0.0</v>
      </c>
      <c r="K2748" s="1">
        <v>0.1</v>
      </c>
      <c r="L2748" s="1">
        <v>6170.0</v>
      </c>
      <c r="M2748" s="1" t="s">
        <v>8148</v>
      </c>
      <c r="N2748" s="18">
        <v>46011.0</v>
      </c>
      <c r="O2748" s="1" t="s">
        <v>8149</v>
      </c>
      <c r="P2748" s="1" t="s">
        <v>3294</v>
      </c>
      <c r="Q2748" s="1" t="s">
        <v>3408</v>
      </c>
    </row>
    <row r="2749">
      <c r="A2749" s="1" t="s">
        <v>8209</v>
      </c>
      <c r="B2749" s="1">
        <v>87.0</v>
      </c>
      <c r="C2749" s="1">
        <v>70.0</v>
      </c>
      <c r="D2749" s="2" t="s">
        <v>2048</v>
      </c>
      <c r="E2749" s="1">
        <v>87.0</v>
      </c>
      <c r="F2749" s="1">
        <v>10.0</v>
      </c>
      <c r="G2749" s="1">
        <v>0.0</v>
      </c>
      <c r="H2749" s="1">
        <v>0.0</v>
      </c>
      <c r="I2749" s="1">
        <v>0.0</v>
      </c>
      <c r="J2749" s="1">
        <v>0.0</v>
      </c>
      <c r="K2749" s="1">
        <v>0.0</v>
      </c>
      <c r="L2749" s="1">
        <v>1.78E8</v>
      </c>
      <c r="M2749" s="1" t="s">
        <v>8210</v>
      </c>
      <c r="N2749" s="18">
        <v>46008.0</v>
      </c>
      <c r="O2749" s="1" t="s">
        <v>3442</v>
      </c>
      <c r="P2749" s="1" t="s">
        <v>3230</v>
      </c>
      <c r="Q2749" s="1" t="s">
        <v>3408</v>
      </c>
    </row>
    <row r="2750">
      <c r="A2750" s="1" t="s">
        <v>8211</v>
      </c>
      <c r="B2750" s="1">
        <v>87.0</v>
      </c>
      <c r="C2750" s="1">
        <v>110.0</v>
      </c>
      <c r="D2750" s="2" t="s">
        <v>1953</v>
      </c>
      <c r="E2750" s="1">
        <v>87.0</v>
      </c>
      <c r="F2750" s="1">
        <v>17.0</v>
      </c>
      <c r="G2750" s="1">
        <v>0.0</v>
      </c>
      <c r="H2750" s="1">
        <v>0.0</v>
      </c>
      <c r="I2750" s="1">
        <v>0.0</v>
      </c>
      <c r="J2750" s="1">
        <v>0.0</v>
      </c>
      <c r="K2750" s="1">
        <v>0.0</v>
      </c>
      <c r="L2750" s="1">
        <v>415000.0</v>
      </c>
      <c r="M2750" s="1" t="s">
        <v>8212</v>
      </c>
      <c r="N2750" s="18">
        <v>46004.0</v>
      </c>
      <c r="O2750" s="1" t="s">
        <v>4798</v>
      </c>
      <c r="P2750" s="1" t="s">
        <v>3230</v>
      </c>
      <c r="Q2750" s="1" t="s">
        <v>3408</v>
      </c>
    </row>
    <row r="2751">
      <c r="A2751" s="1" t="s">
        <v>8213</v>
      </c>
      <c r="B2751" s="1">
        <v>87.0</v>
      </c>
      <c r="C2751" s="1">
        <v>70.0</v>
      </c>
      <c r="D2751" s="2" t="s">
        <v>2937</v>
      </c>
      <c r="E2751" s="1">
        <v>87.0</v>
      </c>
      <c r="F2751" s="1">
        <v>31.0</v>
      </c>
      <c r="G2751" s="1">
        <v>5.34</v>
      </c>
      <c r="H2751" s="1">
        <v>0.0</v>
      </c>
      <c r="I2751" s="1">
        <v>0.0</v>
      </c>
      <c r="J2751" s="1">
        <v>0.0</v>
      </c>
      <c r="K2751" s="1">
        <v>0.06</v>
      </c>
      <c r="L2751" s="1">
        <v>3.7E7</v>
      </c>
      <c r="M2751" s="1" t="s">
        <v>8214</v>
      </c>
      <c r="N2751" s="18">
        <v>46002.0</v>
      </c>
      <c r="O2751" s="1" t="s">
        <v>7770</v>
      </c>
      <c r="P2751" s="1" t="s">
        <v>3230</v>
      </c>
      <c r="Q2751" s="1" t="s">
        <v>3408</v>
      </c>
    </row>
    <row r="2752">
      <c r="A2752" s="1" t="s">
        <v>8215</v>
      </c>
      <c r="B2752" s="1">
        <v>87.0</v>
      </c>
      <c r="C2752" s="1">
        <v>40.0</v>
      </c>
      <c r="D2752" s="2" t="s">
        <v>581</v>
      </c>
      <c r="E2752" s="1">
        <v>87.0</v>
      </c>
      <c r="F2752" s="1">
        <v>31.0</v>
      </c>
      <c r="G2752" s="1">
        <v>16.88</v>
      </c>
      <c r="H2752" s="1">
        <v>0.0</v>
      </c>
      <c r="I2752" s="1">
        <v>0.0</v>
      </c>
      <c r="J2752" s="1">
        <v>0.0</v>
      </c>
      <c r="K2752" s="1">
        <v>0.54</v>
      </c>
      <c r="L2752" s="1">
        <v>746000.0</v>
      </c>
      <c r="M2752" s="1" t="s">
        <v>8216</v>
      </c>
      <c r="N2752" s="18">
        <v>46002.0</v>
      </c>
      <c r="O2752" s="1" t="s">
        <v>3435</v>
      </c>
      <c r="P2752" s="1" t="s">
        <v>3257</v>
      </c>
      <c r="Q2752" s="1" t="s">
        <v>3408</v>
      </c>
    </row>
    <row r="2753">
      <c r="A2753" s="1" t="s">
        <v>8217</v>
      </c>
      <c r="B2753" s="1">
        <v>87.0</v>
      </c>
      <c r="C2753" s="1">
        <v>110.0</v>
      </c>
      <c r="D2753" s="2" t="s">
        <v>2949</v>
      </c>
      <c r="E2753" s="1">
        <v>87.0</v>
      </c>
      <c r="F2753" s="1">
        <v>47.0</v>
      </c>
      <c r="G2753" s="1">
        <v>12.42</v>
      </c>
      <c r="H2753" s="1">
        <v>0.0</v>
      </c>
      <c r="I2753" s="1">
        <v>0.0</v>
      </c>
      <c r="J2753" s="1">
        <v>0.0</v>
      </c>
      <c r="K2753" s="1">
        <v>0.59</v>
      </c>
      <c r="L2753" s="1">
        <v>6990000.0</v>
      </c>
      <c r="M2753" s="1" t="s">
        <v>8218</v>
      </c>
      <c r="N2753" s="18">
        <v>46001.0</v>
      </c>
      <c r="O2753" s="1" t="s">
        <v>3645</v>
      </c>
      <c r="P2753" s="1" t="s">
        <v>3257</v>
      </c>
      <c r="Q2753" s="1" t="s">
        <v>3408</v>
      </c>
    </row>
    <row r="2754">
      <c r="A2754" s="1" t="s">
        <v>8219</v>
      </c>
      <c r="B2754" s="1">
        <v>87.0</v>
      </c>
      <c r="C2754" s="1">
        <v>90.0</v>
      </c>
      <c r="D2754" s="2" t="s">
        <v>455</v>
      </c>
      <c r="E2754" s="1">
        <v>87.0</v>
      </c>
      <c r="F2754" s="1">
        <v>10.0</v>
      </c>
      <c r="G2754" s="1">
        <v>0.0</v>
      </c>
      <c r="H2754" s="1">
        <v>0.0</v>
      </c>
      <c r="I2754" s="1">
        <v>0.0</v>
      </c>
      <c r="J2754" s="1">
        <v>0.0</v>
      </c>
      <c r="K2754" s="1">
        <v>0.0</v>
      </c>
      <c r="L2754" s="1">
        <v>7.25E7</v>
      </c>
      <c r="M2754" s="1" t="s">
        <v>8220</v>
      </c>
      <c r="N2754" s="18">
        <v>46000.0</v>
      </c>
      <c r="O2754" s="1" t="s">
        <v>7767</v>
      </c>
      <c r="P2754" s="1" t="s">
        <v>3257</v>
      </c>
      <c r="Q2754" s="1" t="s">
        <v>3408</v>
      </c>
    </row>
    <row r="2755">
      <c r="A2755" s="1" t="s">
        <v>8221</v>
      </c>
      <c r="B2755" s="1">
        <v>87.0</v>
      </c>
      <c r="C2755" s="1">
        <v>70.0</v>
      </c>
      <c r="D2755" s="2" t="s">
        <v>2957</v>
      </c>
      <c r="E2755" s="1">
        <v>87.0</v>
      </c>
      <c r="F2755" s="1">
        <v>3.0</v>
      </c>
      <c r="G2755" s="1">
        <v>0.0</v>
      </c>
      <c r="H2755" s="1">
        <v>0.0</v>
      </c>
      <c r="I2755" s="1">
        <v>0.0</v>
      </c>
      <c r="J2755" s="1">
        <v>0.0</v>
      </c>
      <c r="K2755" s="1">
        <v>0.0</v>
      </c>
      <c r="L2755" s="1">
        <v>1980000.0</v>
      </c>
      <c r="M2755" s="1" t="s">
        <v>8222</v>
      </c>
      <c r="N2755" s="18">
        <v>46000.0</v>
      </c>
      <c r="O2755" s="1" t="s">
        <v>6142</v>
      </c>
      <c r="P2755" s="1" t="s">
        <v>3257</v>
      </c>
      <c r="Q2755" s="1" t="s">
        <v>3408</v>
      </c>
    </row>
    <row r="2756">
      <c r="A2756" s="1" t="s">
        <v>8223</v>
      </c>
      <c r="B2756" s="1">
        <v>87.0</v>
      </c>
      <c r="C2756" s="1">
        <v>50.0</v>
      </c>
      <c r="D2756" s="2" t="s">
        <v>904</v>
      </c>
      <c r="E2756" s="1">
        <v>87.0</v>
      </c>
      <c r="F2756" s="1">
        <v>0.0</v>
      </c>
      <c r="G2756" s="1">
        <v>0.0</v>
      </c>
      <c r="H2756" s="1">
        <v>0.0</v>
      </c>
      <c r="I2756" s="1">
        <v>0.0</v>
      </c>
      <c r="J2756" s="1">
        <v>0.0</v>
      </c>
      <c r="K2756" s="1">
        <v>0.0</v>
      </c>
      <c r="L2756" s="1">
        <v>354000.0</v>
      </c>
      <c r="M2756" s="1" t="s">
        <v>8224</v>
      </c>
      <c r="N2756" s="18">
        <v>46000.0</v>
      </c>
      <c r="O2756" s="1" t="s">
        <v>5744</v>
      </c>
      <c r="P2756" s="1" t="s">
        <v>3230</v>
      </c>
      <c r="Q2756" s="1" t="s">
        <v>3408</v>
      </c>
    </row>
    <row r="2757">
      <c r="A2757" s="1" t="s">
        <v>7614</v>
      </c>
      <c r="B2757" s="1">
        <v>87.0</v>
      </c>
      <c r="C2757" s="1">
        <v>70.0</v>
      </c>
      <c r="D2757" s="2" t="s">
        <v>581</v>
      </c>
      <c r="E2757" s="1">
        <v>87.0</v>
      </c>
      <c r="F2757" s="1">
        <v>53.0</v>
      </c>
      <c r="G2757" s="1">
        <v>19.44</v>
      </c>
      <c r="H2757" s="1">
        <v>0.0</v>
      </c>
      <c r="I2757" s="1">
        <v>0.0</v>
      </c>
      <c r="J2757" s="1">
        <v>0.0</v>
      </c>
      <c r="K2757" s="1">
        <v>0.58</v>
      </c>
      <c r="L2757" s="1">
        <v>1.25E7</v>
      </c>
      <c r="M2757" s="1" t="s">
        <v>7615</v>
      </c>
      <c r="N2757" s="18">
        <v>46000.0</v>
      </c>
      <c r="O2757" s="1" t="s">
        <v>3645</v>
      </c>
      <c r="P2757" s="1" t="s">
        <v>3257</v>
      </c>
      <c r="Q2757" s="1" t="s">
        <v>3408</v>
      </c>
    </row>
    <row r="2758">
      <c r="A2758" s="1" t="s">
        <v>8225</v>
      </c>
      <c r="B2758" s="1">
        <v>87.0</v>
      </c>
      <c r="C2758" s="1">
        <v>50.0</v>
      </c>
      <c r="D2758" s="2" t="s">
        <v>1473</v>
      </c>
      <c r="E2758" s="1">
        <v>87.0</v>
      </c>
      <c r="F2758" s="1">
        <v>48.0</v>
      </c>
      <c r="G2758" s="1">
        <v>0.0</v>
      </c>
      <c r="H2758" s="1">
        <v>0.0</v>
      </c>
      <c r="I2758" s="1">
        <v>0.0</v>
      </c>
      <c r="J2758" s="1">
        <v>0.0</v>
      </c>
      <c r="K2758" s="1">
        <v>0.0</v>
      </c>
      <c r="L2758" s="1">
        <v>1.23E8</v>
      </c>
      <c r="M2758" s="1" t="s">
        <v>8226</v>
      </c>
      <c r="N2758" s="18">
        <v>45998.0</v>
      </c>
      <c r="O2758" s="1" t="s">
        <v>3231</v>
      </c>
      <c r="P2758" s="1" t="s">
        <v>3230</v>
      </c>
      <c r="Q2758" s="1" t="s">
        <v>3408</v>
      </c>
    </row>
    <row r="2759">
      <c r="A2759" s="1" t="s">
        <v>8227</v>
      </c>
      <c r="B2759" s="1">
        <v>87.0</v>
      </c>
      <c r="C2759" s="1">
        <v>90.0</v>
      </c>
      <c r="D2759" s="2" t="s">
        <v>2191</v>
      </c>
      <c r="E2759" s="1">
        <v>87.0</v>
      </c>
      <c r="F2759" s="1">
        <v>10.0</v>
      </c>
      <c r="G2759" s="1">
        <v>7.69</v>
      </c>
      <c r="H2759" s="1">
        <v>0.0</v>
      </c>
      <c r="I2759" s="1">
        <v>0.0</v>
      </c>
      <c r="J2759" s="1">
        <v>0.0</v>
      </c>
      <c r="K2759" s="1">
        <v>0.17</v>
      </c>
      <c r="L2759" s="1">
        <v>1150000.0</v>
      </c>
      <c r="M2759" s="1" t="s">
        <v>8228</v>
      </c>
      <c r="N2759" s="18">
        <v>45996.0</v>
      </c>
      <c r="O2759" s="1" t="s">
        <v>3854</v>
      </c>
      <c r="P2759" s="1" t="s">
        <v>3230</v>
      </c>
      <c r="Q2759" s="1" t="s">
        <v>3408</v>
      </c>
    </row>
    <row r="2760">
      <c r="A2760" s="1" t="s">
        <v>8229</v>
      </c>
      <c r="B2760" s="1">
        <v>87.0</v>
      </c>
      <c r="C2760" s="1">
        <v>260.0</v>
      </c>
      <c r="D2760" s="2" t="s">
        <v>1475</v>
      </c>
      <c r="E2760" s="1">
        <v>87.0</v>
      </c>
      <c r="F2760" s="1">
        <v>15.0</v>
      </c>
      <c r="G2760" s="1">
        <v>4.31</v>
      </c>
      <c r="H2760" s="1">
        <v>0.0</v>
      </c>
      <c r="I2760" s="1">
        <v>0.0</v>
      </c>
      <c r="J2760" s="1">
        <v>0.0</v>
      </c>
      <c r="K2760" s="1">
        <v>0.03</v>
      </c>
      <c r="L2760" s="1">
        <v>6410000.0</v>
      </c>
      <c r="M2760" s="1" t="s">
        <v>8230</v>
      </c>
      <c r="N2760" s="18">
        <v>45995.0</v>
      </c>
      <c r="O2760" s="1" t="s">
        <v>3252</v>
      </c>
      <c r="P2760" s="1" t="s">
        <v>3230</v>
      </c>
      <c r="Q2760" s="1" t="s">
        <v>3408</v>
      </c>
    </row>
    <row r="2761">
      <c r="A2761" s="1" t="s">
        <v>8231</v>
      </c>
      <c r="B2761" s="1">
        <v>87.0</v>
      </c>
      <c r="C2761" s="1">
        <v>1000.0</v>
      </c>
      <c r="D2761" s="2" t="s">
        <v>1912</v>
      </c>
      <c r="E2761" s="1">
        <v>87.0</v>
      </c>
      <c r="F2761" s="1">
        <v>0.0</v>
      </c>
      <c r="G2761" s="1">
        <v>0.0</v>
      </c>
      <c r="H2761" s="1">
        <v>0.0</v>
      </c>
      <c r="I2761" s="1">
        <v>0.0</v>
      </c>
      <c r="J2761" s="1">
        <v>0.0</v>
      </c>
      <c r="K2761" s="1">
        <v>0.0</v>
      </c>
      <c r="L2761" s="1">
        <v>1.9E7</v>
      </c>
      <c r="M2761" s="1" t="s">
        <v>8232</v>
      </c>
      <c r="N2761" s="18">
        <v>45994.0</v>
      </c>
      <c r="O2761" s="1" t="s">
        <v>3264</v>
      </c>
      <c r="P2761" s="1" t="s">
        <v>3230</v>
      </c>
      <c r="Q2761" s="1" t="s">
        <v>3408</v>
      </c>
    </row>
    <row r="2762">
      <c r="A2762" s="1" t="s">
        <v>8233</v>
      </c>
      <c r="B2762" s="1">
        <v>87.0</v>
      </c>
      <c r="C2762" s="1">
        <v>140.0</v>
      </c>
      <c r="D2762" s="2" t="s">
        <v>694</v>
      </c>
      <c r="E2762" s="1">
        <v>87.0</v>
      </c>
      <c r="F2762" s="1">
        <v>18.0</v>
      </c>
      <c r="G2762" s="1">
        <v>0.55</v>
      </c>
      <c r="H2762" s="1">
        <v>0.0</v>
      </c>
      <c r="I2762" s="1">
        <v>0.0</v>
      </c>
      <c r="J2762" s="1">
        <v>0.0</v>
      </c>
      <c r="K2762" s="1">
        <v>0.03</v>
      </c>
      <c r="L2762" s="1">
        <v>254000.0</v>
      </c>
      <c r="M2762" s="1" t="s">
        <v>8234</v>
      </c>
      <c r="N2762" s="18">
        <v>45994.0</v>
      </c>
      <c r="O2762" s="1" t="s">
        <v>3284</v>
      </c>
      <c r="P2762" s="1" t="s">
        <v>3230</v>
      </c>
      <c r="Q2762" s="1" t="s">
        <v>3408</v>
      </c>
    </row>
    <row r="2763">
      <c r="A2763" s="1" t="s">
        <v>8235</v>
      </c>
      <c r="B2763" s="1">
        <v>87.0</v>
      </c>
      <c r="C2763" s="1">
        <v>90.0</v>
      </c>
      <c r="D2763" s="2" t="s">
        <v>581</v>
      </c>
      <c r="E2763" s="1">
        <v>87.0</v>
      </c>
      <c r="F2763" s="1">
        <v>17.0</v>
      </c>
      <c r="G2763" s="1">
        <v>18.33</v>
      </c>
      <c r="H2763" s="1">
        <v>0.0</v>
      </c>
      <c r="I2763" s="1">
        <v>0.0</v>
      </c>
      <c r="J2763" s="1">
        <v>0.0</v>
      </c>
      <c r="K2763" s="1">
        <v>0.92</v>
      </c>
      <c r="L2763" s="1">
        <v>346000.0</v>
      </c>
      <c r="M2763" s="1" t="s">
        <v>8236</v>
      </c>
      <c r="N2763" s="18">
        <v>45991.0</v>
      </c>
      <c r="O2763" s="1" t="s">
        <v>5791</v>
      </c>
      <c r="P2763" s="1" t="s">
        <v>3257</v>
      </c>
      <c r="Q2763" s="1" t="s">
        <v>3408</v>
      </c>
    </row>
    <row r="2764">
      <c r="A2764" s="1" t="s">
        <v>8237</v>
      </c>
      <c r="B2764" s="1">
        <v>87.0</v>
      </c>
      <c r="C2764" s="1">
        <v>70.0</v>
      </c>
      <c r="D2764" s="2" t="s">
        <v>1327</v>
      </c>
      <c r="E2764" s="1">
        <v>87.0</v>
      </c>
      <c r="F2764" s="1">
        <v>3.0</v>
      </c>
      <c r="G2764" s="1">
        <v>0.0</v>
      </c>
      <c r="H2764" s="1">
        <v>0.0</v>
      </c>
      <c r="I2764" s="1">
        <v>0.0</v>
      </c>
      <c r="J2764" s="1">
        <v>0.0</v>
      </c>
      <c r="K2764" s="1">
        <v>0.01</v>
      </c>
      <c r="L2764" s="1">
        <v>1.24E7</v>
      </c>
      <c r="M2764" s="1" t="s">
        <v>8238</v>
      </c>
      <c r="N2764" s="18">
        <v>45990.0</v>
      </c>
      <c r="O2764" s="1" t="s">
        <v>3314</v>
      </c>
      <c r="P2764" s="1" t="s">
        <v>3230</v>
      </c>
      <c r="Q2764" s="1" t="s">
        <v>3408</v>
      </c>
    </row>
    <row r="2765">
      <c r="A2765" s="1" t="s">
        <v>8239</v>
      </c>
      <c r="B2765" s="1">
        <v>87.0</v>
      </c>
      <c r="C2765" s="1">
        <v>50.0</v>
      </c>
      <c r="D2765" s="2" t="s">
        <v>2273</v>
      </c>
      <c r="E2765" s="1">
        <v>87.0</v>
      </c>
      <c r="F2765" s="1">
        <v>2.0</v>
      </c>
      <c r="G2765" s="1">
        <v>0.0</v>
      </c>
      <c r="H2765" s="1">
        <v>0.0</v>
      </c>
      <c r="I2765" s="1">
        <v>0.0</v>
      </c>
      <c r="J2765" s="1">
        <v>0.0</v>
      </c>
      <c r="K2765" s="1">
        <v>0.0</v>
      </c>
      <c r="L2765" s="1">
        <v>2.79E7</v>
      </c>
      <c r="M2765" s="1" t="s">
        <v>8240</v>
      </c>
      <c r="N2765" s="18">
        <v>45989.0</v>
      </c>
      <c r="O2765" s="1" t="s">
        <v>3840</v>
      </c>
      <c r="P2765" s="1" t="s">
        <v>3230</v>
      </c>
      <c r="Q2765" s="1" t="s">
        <v>3408</v>
      </c>
    </row>
    <row r="2766">
      <c r="A2766" s="1" t="s">
        <v>8241</v>
      </c>
      <c r="B2766" s="1">
        <v>87.0</v>
      </c>
      <c r="C2766" s="1">
        <v>590.0</v>
      </c>
      <c r="D2766" s="2" t="s">
        <v>581</v>
      </c>
      <c r="E2766" s="1">
        <v>87.0</v>
      </c>
      <c r="F2766" s="1">
        <v>55.0</v>
      </c>
      <c r="G2766" s="1">
        <v>19.44</v>
      </c>
      <c r="H2766" s="1">
        <v>0.0</v>
      </c>
      <c r="I2766" s="1">
        <v>0.0</v>
      </c>
      <c r="J2766" s="1">
        <v>0.0</v>
      </c>
      <c r="K2766" s="1">
        <v>0.58</v>
      </c>
      <c r="L2766" s="1">
        <v>1.27E7</v>
      </c>
      <c r="M2766" s="1" t="s">
        <v>8242</v>
      </c>
      <c r="N2766" s="18">
        <v>45988.0</v>
      </c>
      <c r="O2766" s="1" t="s">
        <v>4110</v>
      </c>
      <c r="P2766" s="1" t="s">
        <v>3257</v>
      </c>
      <c r="Q2766" s="1" t="s">
        <v>3408</v>
      </c>
    </row>
    <row r="2767">
      <c r="A2767" s="1" t="s">
        <v>8243</v>
      </c>
      <c r="B2767" s="1">
        <v>87.0</v>
      </c>
      <c r="C2767" s="1">
        <v>720.0</v>
      </c>
      <c r="D2767" s="2" t="s">
        <v>740</v>
      </c>
      <c r="E2767" s="1">
        <v>87.0</v>
      </c>
      <c r="F2767" s="1">
        <v>37.0</v>
      </c>
      <c r="G2767" s="1">
        <v>50.22</v>
      </c>
      <c r="H2767" s="1">
        <v>0.0</v>
      </c>
      <c r="I2767" s="1">
        <v>0.0</v>
      </c>
      <c r="J2767" s="1">
        <v>0.0</v>
      </c>
      <c r="K2767" s="1">
        <v>0.3</v>
      </c>
      <c r="L2767" s="1">
        <v>10.0</v>
      </c>
      <c r="M2767" s="1" t="s">
        <v>8244</v>
      </c>
      <c r="N2767" s="18">
        <v>45986.0</v>
      </c>
      <c r="O2767" s="1" t="s">
        <v>4200</v>
      </c>
      <c r="P2767" s="1" t="s">
        <v>3230</v>
      </c>
      <c r="Q2767" s="1" t="s">
        <v>3408</v>
      </c>
    </row>
    <row r="2768">
      <c r="A2768" s="1" t="s">
        <v>7630</v>
      </c>
      <c r="B2768" s="1">
        <v>87.0</v>
      </c>
      <c r="C2768" s="1">
        <v>70.0</v>
      </c>
      <c r="D2768" s="2" t="s">
        <v>2134</v>
      </c>
      <c r="E2768" s="1">
        <v>87.0</v>
      </c>
      <c r="F2768" s="1">
        <v>21.0</v>
      </c>
      <c r="G2768" s="1">
        <v>0.0</v>
      </c>
      <c r="H2768" s="1">
        <v>0.0</v>
      </c>
      <c r="I2768" s="1">
        <v>0.0</v>
      </c>
      <c r="J2768" s="1">
        <v>0.0</v>
      </c>
      <c r="K2768" s="1">
        <v>0.01</v>
      </c>
      <c r="L2768" s="1">
        <v>10.0</v>
      </c>
      <c r="M2768" s="1" t="s">
        <v>7631</v>
      </c>
      <c r="N2768" s="18">
        <v>45985.0</v>
      </c>
      <c r="O2768" s="1" t="s">
        <v>7632</v>
      </c>
      <c r="P2768" s="1" t="s">
        <v>3230</v>
      </c>
      <c r="Q2768" s="1" t="s">
        <v>3408</v>
      </c>
    </row>
    <row r="2769">
      <c r="A2769" s="1" t="s">
        <v>8245</v>
      </c>
      <c r="B2769" s="1">
        <v>87.0</v>
      </c>
      <c r="C2769" s="1">
        <v>140.0</v>
      </c>
      <c r="D2769" s="2" t="s">
        <v>439</v>
      </c>
      <c r="E2769" s="1">
        <v>87.0</v>
      </c>
      <c r="F2769" s="1">
        <v>15.0</v>
      </c>
      <c r="G2769" s="1">
        <v>4.0</v>
      </c>
      <c r="H2769" s="1">
        <v>0.0</v>
      </c>
      <c r="I2769" s="1">
        <v>0.0</v>
      </c>
      <c r="J2769" s="1">
        <v>0.0</v>
      </c>
      <c r="K2769" s="1">
        <v>0.05</v>
      </c>
      <c r="L2769" s="1">
        <v>0.0</v>
      </c>
      <c r="M2769" s="1" t="s">
        <v>8246</v>
      </c>
      <c r="N2769" s="18">
        <v>45984.0</v>
      </c>
      <c r="O2769" s="1" t="s">
        <v>6059</v>
      </c>
      <c r="P2769" s="1" t="s">
        <v>3334</v>
      </c>
      <c r="Q2769" s="1" t="s">
        <v>3408</v>
      </c>
    </row>
    <row r="2770">
      <c r="A2770" s="1" t="s">
        <v>8247</v>
      </c>
      <c r="B2770" s="1">
        <v>87.0</v>
      </c>
      <c r="C2770" s="1">
        <v>70.0</v>
      </c>
      <c r="D2770" s="2" t="s">
        <v>762</v>
      </c>
      <c r="E2770" s="1">
        <v>87.0</v>
      </c>
      <c r="F2770" s="1">
        <v>1.0</v>
      </c>
      <c r="G2770" s="1">
        <v>22.54</v>
      </c>
      <c r="H2770" s="1">
        <v>0.0</v>
      </c>
      <c r="I2770" s="1">
        <v>0.0</v>
      </c>
      <c r="J2770" s="1">
        <v>0.0</v>
      </c>
      <c r="K2770" s="1">
        <v>0.6</v>
      </c>
      <c r="L2770" s="1">
        <v>10.0</v>
      </c>
      <c r="M2770" s="1" t="s">
        <v>8248</v>
      </c>
      <c r="N2770" s="18">
        <v>45984.0</v>
      </c>
      <c r="O2770" s="1" t="s">
        <v>4839</v>
      </c>
      <c r="P2770" s="1" t="s">
        <v>3257</v>
      </c>
      <c r="Q2770" s="1" t="s">
        <v>3408</v>
      </c>
    </row>
    <row r="2771">
      <c r="A2771" s="1" t="s">
        <v>8249</v>
      </c>
      <c r="B2771" s="1">
        <v>87.0</v>
      </c>
      <c r="C2771" s="1">
        <v>210.0</v>
      </c>
      <c r="D2771" s="2" t="s">
        <v>792</v>
      </c>
      <c r="E2771" s="1">
        <v>87.0</v>
      </c>
      <c r="F2771" s="1">
        <v>4.0</v>
      </c>
      <c r="G2771" s="1">
        <v>0.0</v>
      </c>
      <c r="H2771" s="1">
        <v>0.0</v>
      </c>
      <c r="I2771" s="1">
        <v>0.0</v>
      </c>
      <c r="J2771" s="1">
        <v>0.0</v>
      </c>
      <c r="K2771" s="1">
        <v>0.0</v>
      </c>
      <c r="L2771" s="1">
        <v>10.0</v>
      </c>
      <c r="M2771" s="1" t="s">
        <v>8250</v>
      </c>
      <c r="N2771" s="18">
        <v>45981.0</v>
      </c>
      <c r="O2771" s="1" t="s">
        <v>8251</v>
      </c>
      <c r="P2771" s="1" t="s">
        <v>3257</v>
      </c>
      <c r="Q2771" s="1" t="s">
        <v>3408</v>
      </c>
    </row>
    <row r="2772">
      <c r="A2772" s="1" t="s">
        <v>8252</v>
      </c>
      <c r="B2772" s="1">
        <v>87.0</v>
      </c>
      <c r="C2772" s="1">
        <v>50.0</v>
      </c>
      <c r="D2772" s="2" t="s">
        <v>581</v>
      </c>
      <c r="E2772" s="1">
        <v>87.0</v>
      </c>
      <c r="F2772" s="1">
        <v>10.0</v>
      </c>
      <c r="G2772" s="1">
        <v>0.0</v>
      </c>
      <c r="H2772" s="1">
        <v>0.0</v>
      </c>
      <c r="I2772" s="1">
        <v>0.0</v>
      </c>
      <c r="J2772" s="1">
        <v>0.0</v>
      </c>
      <c r="K2772" s="1">
        <v>0.04</v>
      </c>
      <c r="L2772" s="1">
        <v>9.0</v>
      </c>
      <c r="M2772" s="1" t="s">
        <v>8253</v>
      </c>
      <c r="N2772" s="18">
        <v>45981.0</v>
      </c>
      <c r="O2772" s="1" t="s">
        <v>5184</v>
      </c>
      <c r="P2772" s="1" t="s">
        <v>3257</v>
      </c>
      <c r="Q2772" s="1" t="s">
        <v>3408</v>
      </c>
    </row>
    <row r="2773">
      <c r="A2773" s="1" t="s">
        <v>8254</v>
      </c>
      <c r="B2773" s="1">
        <v>88.0</v>
      </c>
      <c r="C2773" s="1">
        <v>140.0</v>
      </c>
      <c r="D2773" s="2" t="s">
        <v>2930</v>
      </c>
      <c r="E2773" s="1">
        <v>17.0</v>
      </c>
      <c r="F2773" s="1">
        <v>68.0</v>
      </c>
      <c r="G2773" s="1">
        <v>0.08</v>
      </c>
      <c r="H2773" s="1">
        <v>0.0</v>
      </c>
      <c r="I2773" s="1">
        <v>0.0</v>
      </c>
      <c r="J2773" s="1">
        <v>0.0</v>
      </c>
      <c r="K2773" s="1">
        <v>0.01</v>
      </c>
      <c r="L2773" s="1">
        <v>6500000.0</v>
      </c>
      <c r="M2773" s="1" t="s">
        <v>8255</v>
      </c>
      <c r="N2773" s="18">
        <v>46042.0</v>
      </c>
      <c r="O2773" s="1" t="s">
        <v>4266</v>
      </c>
      <c r="P2773" s="1" t="s">
        <v>3230</v>
      </c>
      <c r="Q2773" s="1" t="s">
        <v>3408</v>
      </c>
    </row>
    <row r="2774">
      <c r="A2774" s="1" t="s">
        <v>8256</v>
      </c>
      <c r="B2774" s="1">
        <v>88.0</v>
      </c>
      <c r="C2774" s="1">
        <v>50.0</v>
      </c>
      <c r="D2774" s="2" t="s">
        <v>439</v>
      </c>
      <c r="E2774" s="1">
        <v>88.0</v>
      </c>
      <c r="F2774" s="1">
        <v>10.0</v>
      </c>
      <c r="G2774" s="1">
        <v>0.0</v>
      </c>
      <c r="H2774" s="1">
        <v>0.0</v>
      </c>
      <c r="I2774" s="1">
        <v>0.0</v>
      </c>
      <c r="J2774" s="1">
        <v>0.0</v>
      </c>
      <c r="K2774" s="1">
        <v>0.16</v>
      </c>
      <c r="L2774" s="1">
        <v>3500000.0</v>
      </c>
      <c r="M2774" s="1" t="s">
        <v>8257</v>
      </c>
      <c r="N2774" s="18">
        <v>46035.0</v>
      </c>
      <c r="O2774" s="1" t="s">
        <v>7230</v>
      </c>
      <c r="P2774" s="1" t="s">
        <v>3257</v>
      </c>
      <c r="Q2774" s="1" t="s">
        <v>3408</v>
      </c>
    </row>
    <row r="2775">
      <c r="A2775" s="1" t="s">
        <v>4511</v>
      </c>
      <c r="B2775" s="1">
        <v>88.0</v>
      </c>
      <c r="C2775" s="1">
        <v>30.0</v>
      </c>
      <c r="D2775" s="2" t="s">
        <v>993</v>
      </c>
      <c r="E2775" s="1">
        <v>88.0</v>
      </c>
      <c r="F2775" s="1">
        <v>0.0</v>
      </c>
      <c r="G2775" s="1">
        <v>72.26</v>
      </c>
      <c r="H2775" s="1">
        <v>0.0</v>
      </c>
      <c r="I2775" s="1">
        <v>0.0</v>
      </c>
      <c r="J2775" s="1">
        <v>0.0</v>
      </c>
      <c r="K2775" s="1">
        <v>0.9</v>
      </c>
      <c r="L2775" s="1">
        <v>21100.0</v>
      </c>
      <c r="M2775" s="1" t="s">
        <v>4512</v>
      </c>
      <c r="N2775" s="18">
        <v>46032.0</v>
      </c>
      <c r="O2775" s="1" t="s">
        <v>3288</v>
      </c>
      <c r="P2775" s="1" t="s">
        <v>3257</v>
      </c>
      <c r="Q2775" s="1" t="s">
        <v>3408</v>
      </c>
    </row>
    <row r="2776">
      <c r="A2776" s="1" t="s">
        <v>8258</v>
      </c>
      <c r="B2776" s="1">
        <v>88.0</v>
      </c>
      <c r="C2776" s="1">
        <v>50.0</v>
      </c>
      <c r="D2776" s="2" t="s">
        <v>710</v>
      </c>
      <c r="E2776" s="1">
        <v>88.0</v>
      </c>
      <c r="F2776" s="1">
        <v>0.0</v>
      </c>
      <c r="G2776" s="1">
        <v>0.0</v>
      </c>
      <c r="H2776" s="1">
        <v>0.0</v>
      </c>
      <c r="I2776" s="1">
        <v>0.0</v>
      </c>
      <c r="J2776" s="1">
        <v>0.0</v>
      </c>
      <c r="K2776" s="1">
        <v>0.0</v>
      </c>
      <c r="L2776" s="1">
        <v>164000.0</v>
      </c>
      <c r="M2776" s="1" t="s">
        <v>8259</v>
      </c>
      <c r="N2776" s="18">
        <v>46031.0</v>
      </c>
      <c r="O2776" s="1" t="s">
        <v>3407</v>
      </c>
      <c r="P2776" s="1" t="s">
        <v>3257</v>
      </c>
      <c r="Q2776" s="1" t="s">
        <v>3408</v>
      </c>
    </row>
    <row r="2777">
      <c r="A2777" s="1" t="s">
        <v>8260</v>
      </c>
      <c r="B2777" s="1">
        <v>88.0</v>
      </c>
      <c r="C2777" s="1">
        <v>140.0</v>
      </c>
      <c r="D2777" s="2" t="s">
        <v>1475</v>
      </c>
      <c r="E2777" s="1">
        <v>88.0</v>
      </c>
      <c r="F2777" s="1">
        <v>11.0</v>
      </c>
      <c r="G2777" s="1">
        <v>5.27</v>
      </c>
      <c r="H2777" s="1">
        <v>0.0</v>
      </c>
      <c r="I2777" s="1">
        <v>0.0</v>
      </c>
      <c r="J2777" s="1">
        <v>0.0</v>
      </c>
      <c r="K2777" s="1">
        <v>0.01</v>
      </c>
      <c r="L2777" s="1">
        <v>5180000.0</v>
      </c>
      <c r="M2777" s="1" t="s">
        <v>8261</v>
      </c>
      <c r="N2777" s="18">
        <v>46028.0</v>
      </c>
      <c r="O2777" s="1" t="s">
        <v>3565</v>
      </c>
      <c r="P2777" s="1" t="s">
        <v>3230</v>
      </c>
      <c r="Q2777" s="1" t="s">
        <v>3408</v>
      </c>
    </row>
    <row r="2778">
      <c r="A2778" s="1" t="s">
        <v>8262</v>
      </c>
      <c r="B2778" s="1">
        <v>88.0</v>
      </c>
      <c r="C2778" s="1">
        <v>210.0</v>
      </c>
      <c r="D2778" s="2" t="s">
        <v>1552</v>
      </c>
      <c r="E2778" s="1">
        <v>88.0</v>
      </c>
      <c r="F2778" s="1">
        <v>9.0</v>
      </c>
      <c r="G2778" s="1">
        <v>2.25</v>
      </c>
      <c r="H2778" s="1">
        <v>0.0</v>
      </c>
      <c r="I2778" s="1">
        <v>0.0</v>
      </c>
      <c r="J2778" s="1">
        <v>0.0</v>
      </c>
      <c r="K2778" s="1">
        <v>0.08</v>
      </c>
      <c r="L2778" s="1">
        <v>174000.0</v>
      </c>
      <c r="M2778" s="1" t="s">
        <v>8263</v>
      </c>
      <c r="N2778" s="18">
        <v>46028.0</v>
      </c>
      <c r="O2778" s="1" t="s">
        <v>3314</v>
      </c>
      <c r="P2778" s="1" t="s">
        <v>3334</v>
      </c>
      <c r="Q2778" s="1" t="s">
        <v>3408</v>
      </c>
    </row>
    <row r="2779">
      <c r="A2779" s="1" t="s">
        <v>8264</v>
      </c>
      <c r="B2779" s="1">
        <v>88.0</v>
      </c>
      <c r="C2779" s="1">
        <v>210.0</v>
      </c>
      <c r="D2779" s="2" t="s">
        <v>2249</v>
      </c>
      <c r="E2779" s="1">
        <v>88.0</v>
      </c>
      <c r="F2779" s="1">
        <v>18.0</v>
      </c>
      <c r="G2779" s="1">
        <v>0.0</v>
      </c>
      <c r="H2779" s="1">
        <v>0.0</v>
      </c>
      <c r="I2779" s="1">
        <v>0.0</v>
      </c>
      <c r="J2779" s="1">
        <v>0.0</v>
      </c>
      <c r="K2779" s="1">
        <v>0.0</v>
      </c>
      <c r="L2779" s="1">
        <v>1.8E8</v>
      </c>
      <c r="M2779" s="1" t="s">
        <v>8265</v>
      </c>
      <c r="N2779" s="18">
        <v>46028.0</v>
      </c>
      <c r="O2779" s="1" t="s">
        <v>8266</v>
      </c>
      <c r="P2779" s="1" t="s">
        <v>3230</v>
      </c>
      <c r="Q2779" s="1" t="s">
        <v>3408</v>
      </c>
    </row>
    <row r="2780">
      <c r="A2780" s="1" t="s">
        <v>8267</v>
      </c>
      <c r="B2780" s="1">
        <v>88.0</v>
      </c>
      <c r="C2780" s="1">
        <v>390.0</v>
      </c>
      <c r="D2780" s="2" t="s">
        <v>439</v>
      </c>
      <c r="E2780" s="1">
        <v>88.0</v>
      </c>
      <c r="F2780" s="1">
        <v>37.0</v>
      </c>
      <c r="G2780" s="1">
        <v>6.21</v>
      </c>
      <c r="H2780" s="1">
        <v>0.0</v>
      </c>
      <c r="I2780" s="1">
        <v>0.0</v>
      </c>
      <c r="J2780" s="1">
        <v>0.0</v>
      </c>
      <c r="K2780" s="1">
        <v>0.07</v>
      </c>
      <c r="L2780" s="1">
        <v>2.54E8</v>
      </c>
      <c r="M2780" s="1" t="s">
        <v>8268</v>
      </c>
      <c r="N2780" s="18">
        <v>46028.0</v>
      </c>
      <c r="O2780" s="1" t="s">
        <v>8269</v>
      </c>
      <c r="P2780" s="1" t="s">
        <v>3294</v>
      </c>
      <c r="Q2780" s="1" t="s">
        <v>3408</v>
      </c>
    </row>
    <row r="2781">
      <c r="A2781" s="1" t="s">
        <v>6445</v>
      </c>
      <c r="B2781" s="1">
        <v>88.0</v>
      </c>
      <c r="C2781" s="1">
        <v>40.0</v>
      </c>
      <c r="D2781" s="2" t="s">
        <v>581</v>
      </c>
      <c r="E2781" s="1">
        <v>88.0</v>
      </c>
      <c r="F2781" s="1">
        <v>6.0</v>
      </c>
      <c r="G2781" s="1">
        <v>3.27</v>
      </c>
      <c r="H2781" s="1">
        <v>0.0</v>
      </c>
      <c r="I2781" s="1">
        <v>0.0</v>
      </c>
      <c r="J2781" s="1">
        <v>0.0</v>
      </c>
      <c r="K2781" s="1">
        <v>0.12</v>
      </c>
      <c r="L2781" s="1">
        <v>1490000.0</v>
      </c>
      <c r="M2781" s="1" t="s">
        <v>6446</v>
      </c>
      <c r="N2781" s="18">
        <v>46027.0</v>
      </c>
      <c r="O2781" s="1" t="s">
        <v>6059</v>
      </c>
      <c r="P2781" s="1" t="s">
        <v>3230</v>
      </c>
      <c r="Q2781" s="1" t="s">
        <v>3408</v>
      </c>
    </row>
    <row r="2782">
      <c r="A2782" s="1" t="s">
        <v>8270</v>
      </c>
      <c r="B2782" s="1">
        <v>88.0</v>
      </c>
      <c r="C2782" s="1">
        <v>50.0</v>
      </c>
      <c r="D2782" s="2" t="s">
        <v>676</v>
      </c>
      <c r="E2782" s="1">
        <v>88.0</v>
      </c>
      <c r="F2782" s="1">
        <v>20.0</v>
      </c>
      <c r="G2782" s="1">
        <v>13.5</v>
      </c>
      <c r="H2782" s="1">
        <v>0.0</v>
      </c>
      <c r="I2782" s="1">
        <v>0.0</v>
      </c>
      <c r="J2782" s="1">
        <v>0.0</v>
      </c>
      <c r="K2782" s="1">
        <v>0.76</v>
      </c>
      <c r="L2782" s="1">
        <v>1100000.0</v>
      </c>
      <c r="M2782" s="1" t="s">
        <v>8271</v>
      </c>
      <c r="N2782" s="18">
        <v>46026.0</v>
      </c>
      <c r="O2782" s="1" t="s">
        <v>4499</v>
      </c>
      <c r="P2782" s="1" t="s">
        <v>3257</v>
      </c>
      <c r="Q2782" s="1" t="s">
        <v>3408</v>
      </c>
    </row>
    <row r="2783">
      <c r="A2783" s="1" t="s">
        <v>3829</v>
      </c>
      <c r="B2783" s="1">
        <v>88.0</v>
      </c>
      <c r="C2783" s="1">
        <v>50.0</v>
      </c>
      <c r="D2783" s="2" t="s">
        <v>1166</v>
      </c>
      <c r="E2783" s="1">
        <v>88.0</v>
      </c>
      <c r="F2783" s="1">
        <v>3.0</v>
      </c>
      <c r="G2783" s="1">
        <v>42.64</v>
      </c>
      <c r="H2783" s="1">
        <v>0.0</v>
      </c>
      <c r="I2783" s="1">
        <v>0.0</v>
      </c>
      <c r="J2783" s="1">
        <v>0.0</v>
      </c>
      <c r="K2783" s="1">
        <v>0.11</v>
      </c>
      <c r="L2783" s="1">
        <v>5480.0</v>
      </c>
      <c r="M2783" s="1" t="s">
        <v>3830</v>
      </c>
      <c r="N2783" s="18">
        <v>46026.0</v>
      </c>
      <c r="O2783" s="1" t="s">
        <v>3755</v>
      </c>
      <c r="P2783" s="1" t="s">
        <v>3257</v>
      </c>
      <c r="Q2783" s="1" t="s">
        <v>3408</v>
      </c>
    </row>
    <row r="2784">
      <c r="A2784" s="1" t="s">
        <v>8272</v>
      </c>
      <c r="B2784" s="1">
        <v>88.0</v>
      </c>
      <c r="C2784" s="1">
        <v>50.0</v>
      </c>
      <c r="D2784" s="2" t="s">
        <v>581</v>
      </c>
      <c r="E2784" s="1">
        <v>88.0</v>
      </c>
      <c r="G2784" s="1">
        <v>4.99</v>
      </c>
      <c r="H2784" s="1">
        <v>0.0</v>
      </c>
      <c r="I2784" s="1">
        <v>0.0</v>
      </c>
      <c r="J2784" s="1">
        <v>0.0</v>
      </c>
      <c r="K2784" s="1">
        <v>0.32</v>
      </c>
      <c r="L2784" s="1">
        <v>40800.0</v>
      </c>
      <c r="M2784" s="1" t="s">
        <v>4957</v>
      </c>
      <c r="N2784" s="18">
        <v>46026.0</v>
      </c>
      <c r="O2784" s="1" t="s">
        <v>3252</v>
      </c>
      <c r="P2784" s="1" t="s">
        <v>3334</v>
      </c>
      <c r="Q2784" s="1" t="s">
        <v>3408</v>
      </c>
    </row>
    <row r="2785">
      <c r="A2785" s="1" t="s">
        <v>8273</v>
      </c>
      <c r="B2785" s="1">
        <v>88.0</v>
      </c>
      <c r="C2785" s="1">
        <v>70.0</v>
      </c>
      <c r="D2785" s="2" t="s">
        <v>581</v>
      </c>
      <c r="E2785" s="1">
        <v>88.0</v>
      </c>
      <c r="F2785" s="1">
        <v>18.0</v>
      </c>
      <c r="G2785" s="1">
        <v>0.0</v>
      </c>
      <c r="H2785" s="1">
        <v>0.0</v>
      </c>
      <c r="I2785" s="1">
        <v>0.0</v>
      </c>
      <c r="J2785" s="1">
        <v>0.0</v>
      </c>
      <c r="K2785" s="1">
        <v>0.0</v>
      </c>
      <c r="L2785" s="1">
        <v>183000.0</v>
      </c>
      <c r="M2785" s="1" t="s">
        <v>8274</v>
      </c>
      <c r="N2785" s="18">
        <v>46025.0</v>
      </c>
      <c r="O2785" s="1" t="s">
        <v>3427</v>
      </c>
      <c r="P2785" s="1" t="s">
        <v>3257</v>
      </c>
      <c r="Q2785" s="1" t="s">
        <v>3408</v>
      </c>
    </row>
    <row r="2786">
      <c r="A2786" s="1" t="s">
        <v>8275</v>
      </c>
      <c r="B2786" s="1">
        <v>88.0</v>
      </c>
      <c r="C2786" s="1">
        <v>140.0</v>
      </c>
      <c r="D2786" s="2" t="s">
        <v>2937</v>
      </c>
      <c r="E2786" s="1">
        <v>88.0</v>
      </c>
      <c r="G2786" s="1">
        <v>6.56</v>
      </c>
      <c r="H2786" s="1">
        <v>0.0</v>
      </c>
      <c r="I2786" s="1">
        <v>0.0</v>
      </c>
      <c r="J2786" s="1">
        <v>0.0</v>
      </c>
      <c r="K2786" s="1">
        <v>0.06</v>
      </c>
      <c r="L2786" s="1">
        <v>1.04E7</v>
      </c>
      <c r="M2786" s="1" t="s">
        <v>8276</v>
      </c>
      <c r="N2786" s="18">
        <v>46025.0</v>
      </c>
      <c r="O2786" s="1" t="s">
        <v>8277</v>
      </c>
      <c r="P2786" s="1" t="s">
        <v>3257</v>
      </c>
      <c r="Q2786" s="1" t="s">
        <v>3408</v>
      </c>
    </row>
    <row r="2787">
      <c r="A2787" s="1" t="s">
        <v>8278</v>
      </c>
      <c r="B2787" s="1">
        <v>88.0</v>
      </c>
      <c r="C2787" s="1">
        <v>210.0</v>
      </c>
      <c r="D2787" s="2" t="s">
        <v>2930</v>
      </c>
      <c r="E2787" s="1">
        <v>88.0</v>
      </c>
      <c r="G2787" s="1">
        <v>0.55</v>
      </c>
      <c r="H2787" s="1">
        <v>0.0</v>
      </c>
      <c r="I2787" s="1">
        <v>0.0</v>
      </c>
      <c r="J2787" s="1">
        <v>0.0</v>
      </c>
      <c r="K2787" s="1">
        <v>0.01</v>
      </c>
      <c r="L2787" s="1">
        <v>0.0</v>
      </c>
      <c r="M2787" s="1" t="s">
        <v>8279</v>
      </c>
      <c r="N2787" s="18">
        <v>46024.0</v>
      </c>
      <c r="O2787" s="1" t="s">
        <v>4150</v>
      </c>
      <c r="P2787" s="1" t="s">
        <v>3230</v>
      </c>
      <c r="Q2787" s="1" t="s">
        <v>3408</v>
      </c>
    </row>
    <row r="2788">
      <c r="A2788" s="1" t="s">
        <v>8280</v>
      </c>
      <c r="B2788" s="1">
        <v>88.0</v>
      </c>
      <c r="C2788" s="1">
        <v>70.0</v>
      </c>
      <c r="D2788" s="2" t="s">
        <v>1099</v>
      </c>
      <c r="E2788" s="1">
        <v>88.0</v>
      </c>
      <c r="F2788" s="1">
        <v>18.0</v>
      </c>
      <c r="G2788" s="1">
        <v>3.19</v>
      </c>
      <c r="H2788" s="1">
        <v>0.0</v>
      </c>
      <c r="I2788" s="1">
        <v>0.0</v>
      </c>
      <c r="J2788" s="1">
        <v>0.0</v>
      </c>
      <c r="K2788" s="1">
        <v>0.26</v>
      </c>
      <c r="L2788" s="1">
        <v>3150000.0</v>
      </c>
      <c r="M2788" s="1" t="s">
        <v>8281</v>
      </c>
      <c r="N2788" s="18">
        <v>46022.0</v>
      </c>
      <c r="O2788" s="1" t="s">
        <v>3889</v>
      </c>
      <c r="P2788" s="1" t="s">
        <v>3334</v>
      </c>
      <c r="Q2788" s="1" t="s">
        <v>3408</v>
      </c>
    </row>
    <row r="2789">
      <c r="A2789" s="1" t="s">
        <v>8282</v>
      </c>
      <c r="B2789" s="1">
        <v>88.0</v>
      </c>
      <c r="C2789" s="1">
        <v>40.0</v>
      </c>
      <c r="D2789" s="2" t="s">
        <v>608</v>
      </c>
      <c r="E2789" s="1">
        <v>88.0</v>
      </c>
      <c r="F2789" s="1">
        <v>26.0</v>
      </c>
      <c r="G2789" s="1">
        <v>3.36</v>
      </c>
      <c r="H2789" s="1">
        <v>0.0</v>
      </c>
      <c r="I2789" s="1">
        <v>0.0</v>
      </c>
      <c r="J2789" s="1">
        <v>0.0</v>
      </c>
      <c r="K2789" s="1">
        <v>0.33</v>
      </c>
      <c r="L2789" s="1">
        <v>1.23E8</v>
      </c>
      <c r="M2789" s="1" t="s">
        <v>8283</v>
      </c>
      <c r="N2789" s="18">
        <v>46021.0</v>
      </c>
      <c r="O2789" s="1" t="s">
        <v>3293</v>
      </c>
      <c r="P2789" s="1" t="s">
        <v>3301</v>
      </c>
      <c r="Q2789" s="1" t="s">
        <v>3408</v>
      </c>
    </row>
    <row r="2790">
      <c r="A2790" s="1" t="s">
        <v>8284</v>
      </c>
      <c r="B2790" s="1">
        <v>88.0</v>
      </c>
      <c r="C2790" s="1">
        <v>90.0</v>
      </c>
      <c r="D2790" s="2" t="s">
        <v>439</v>
      </c>
      <c r="E2790" s="1">
        <v>88.0</v>
      </c>
      <c r="G2790" s="1">
        <v>0.0</v>
      </c>
      <c r="H2790" s="1">
        <v>0.0</v>
      </c>
      <c r="I2790" s="1">
        <v>0.0</v>
      </c>
      <c r="J2790" s="1">
        <v>0.0</v>
      </c>
      <c r="K2790" s="1">
        <v>0.02</v>
      </c>
      <c r="L2790" s="1">
        <v>1740.0</v>
      </c>
      <c r="M2790" s="1" t="s">
        <v>8285</v>
      </c>
      <c r="N2790" s="18">
        <v>46020.0</v>
      </c>
      <c r="O2790" s="1" t="s">
        <v>5052</v>
      </c>
      <c r="P2790" s="1" t="s">
        <v>3230</v>
      </c>
      <c r="Q2790" s="1" t="s">
        <v>3408</v>
      </c>
    </row>
    <row r="2791">
      <c r="A2791" s="1" t="s">
        <v>8286</v>
      </c>
      <c r="B2791" s="1">
        <v>88.0</v>
      </c>
      <c r="C2791" s="1">
        <v>50.0</v>
      </c>
      <c r="D2791" s="2" t="s">
        <v>2937</v>
      </c>
      <c r="E2791" s="1">
        <v>88.0</v>
      </c>
      <c r="F2791" s="1">
        <v>11.0</v>
      </c>
      <c r="G2791" s="1">
        <v>6.56</v>
      </c>
      <c r="H2791" s="1">
        <v>0.0</v>
      </c>
      <c r="I2791" s="1">
        <v>0.0</v>
      </c>
      <c r="J2791" s="1">
        <v>0.0</v>
      </c>
      <c r="K2791" s="1">
        <v>0.06</v>
      </c>
      <c r="L2791" s="1">
        <v>2.69E7</v>
      </c>
      <c r="M2791" s="1" t="s">
        <v>8287</v>
      </c>
      <c r="N2791" s="18">
        <v>46019.0</v>
      </c>
      <c r="O2791" s="1" t="s">
        <v>3442</v>
      </c>
      <c r="P2791" s="1" t="s">
        <v>3230</v>
      </c>
      <c r="Q2791" s="1" t="s">
        <v>3408</v>
      </c>
    </row>
    <row r="2792">
      <c r="A2792" s="1" t="s">
        <v>4679</v>
      </c>
      <c r="B2792" s="1">
        <v>88.0</v>
      </c>
      <c r="C2792" s="1">
        <v>40.0</v>
      </c>
      <c r="D2792" s="2" t="s">
        <v>439</v>
      </c>
      <c r="E2792" s="1">
        <v>88.0</v>
      </c>
      <c r="F2792" s="1">
        <v>20.0</v>
      </c>
      <c r="G2792" s="1">
        <v>3.22</v>
      </c>
      <c r="H2792" s="1">
        <v>0.0</v>
      </c>
      <c r="I2792" s="1">
        <v>0.0</v>
      </c>
      <c r="J2792" s="1">
        <v>0.0</v>
      </c>
      <c r="K2792" s="1">
        <v>0.21</v>
      </c>
      <c r="L2792" s="1">
        <v>11400.0</v>
      </c>
      <c r="M2792" s="1" t="s">
        <v>4680</v>
      </c>
      <c r="N2792" s="18">
        <v>46017.0</v>
      </c>
      <c r="O2792" s="1" t="s">
        <v>4681</v>
      </c>
      <c r="P2792" s="1" t="s">
        <v>3230</v>
      </c>
      <c r="Q2792" s="1" t="s">
        <v>3408</v>
      </c>
    </row>
    <row r="2793">
      <c r="A2793" s="1" t="s">
        <v>7933</v>
      </c>
      <c r="B2793" s="1">
        <v>88.0</v>
      </c>
      <c r="C2793" s="1">
        <v>140.0</v>
      </c>
      <c r="D2793" s="2" t="s">
        <v>770</v>
      </c>
      <c r="E2793" s="1">
        <v>88.0</v>
      </c>
      <c r="F2793" s="1">
        <v>21.0</v>
      </c>
      <c r="G2793" s="1">
        <v>0.0</v>
      </c>
      <c r="H2793" s="1">
        <v>0.0</v>
      </c>
      <c r="I2793" s="1">
        <v>0.0</v>
      </c>
      <c r="J2793" s="1">
        <v>0.0</v>
      </c>
      <c r="K2793" s="1">
        <v>0.0</v>
      </c>
      <c r="L2793" s="1">
        <v>2400000.0</v>
      </c>
      <c r="M2793" s="1" t="s">
        <v>7934</v>
      </c>
      <c r="N2793" s="18">
        <v>46016.0</v>
      </c>
      <c r="O2793" s="1" t="s">
        <v>4096</v>
      </c>
      <c r="P2793" s="1" t="s">
        <v>3230</v>
      </c>
      <c r="Q2793" s="1" t="s">
        <v>3408</v>
      </c>
    </row>
    <row r="2794">
      <c r="A2794" s="1" t="s">
        <v>8288</v>
      </c>
      <c r="B2794" s="1">
        <v>88.0</v>
      </c>
      <c r="C2794" s="1">
        <v>140.0</v>
      </c>
      <c r="D2794" s="2" t="s">
        <v>581</v>
      </c>
      <c r="E2794" s="1">
        <v>88.0</v>
      </c>
      <c r="F2794" s="1">
        <v>56.0</v>
      </c>
      <c r="G2794" s="1">
        <v>19.39</v>
      </c>
      <c r="H2794" s="1">
        <v>0.0</v>
      </c>
      <c r="I2794" s="1">
        <v>0.0</v>
      </c>
      <c r="J2794" s="1">
        <v>0.0</v>
      </c>
      <c r="K2794" s="1">
        <v>0.78</v>
      </c>
      <c r="L2794" s="1">
        <v>1.76E7</v>
      </c>
      <c r="M2794" s="1" t="s">
        <v>8289</v>
      </c>
      <c r="N2794" s="18">
        <v>46016.0</v>
      </c>
      <c r="O2794" s="1" t="s">
        <v>3892</v>
      </c>
      <c r="P2794" s="1" t="s">
        <v>3257</v>
      </c>
      <c r="Q2794" s="1" t="s">
        <v>3408</v>
      </c>
    </row>
    <row r="2795">
      <c r="A2795" s="1" t="s">
        <v>8290</v>
      </c>
      <c r="B2795" s="1">
        <v>88.0</v>
      </c>
      <c r="C2795" s="1">
        <v>140.0</v>
      </c>
      <c r="D2795" s="2" t="s">
        <v>581</v>
      </c>
      <c r="E2795" s="1">
        <v>88.0</v>
      </c>
      <c r="F2795" s="1">
        <v>54.0</v>
      </c>
      <c r="G2795" s="1">
        <v>19.39</v>
      </c>
      <c r="H2795" s="1">
        <v>0.0</v>
      </c>
      <c r="I2795" s="1">
        <v>0.0</v>
      </c>
      <c r="J2795" s="1">
        <v>0.0</v>
      </c>
      <c r="K2795" s="1">
        <v>0.78</v>
      </c>
      <c r="L2795" s="1">
        <v>8290000.0</v>
      </c>
      <c r="M2795" s="1" t="s">
        <v>8291</v>
      </c>
      <c r="N2795" s="18">
        <v>46016.0</v>
      </c>
      <c r="O2795" s="1" t="s">
        <v>3854</v>
      </c>
      <c r="P2795" s="1" t="s">
        <v>3257</v>
      </c>
      <c r="Q2795" s="1" t="s">
        <v>3408</v>
      </c>
    </row>
    <row r="2796">
      <c r="A2796" s="1" t="s">
        <v>3451</v>
      </c>
      <c r="B2796" s="1">
        <v>88.0</v>
      </c>
      <c r="C2796" s="1">
        <v>90.0</v>
      </c>
      <c r="D2796" s="2" t="s">
        <v>2979</v>
      </c>
      <c r="E2796" s="1">
        <v>88.0</v>
      </c>
      <c r="F2796" s="1">
        <v>14.0</v>
      </c>
      <c r="G2796" s="1">
        <v>13.98</v>
      </c>
      <c r="H2796" s="1">
        <v>0.0</v>
      </c>
      <c r="I2796" s="1">
        <v>0.0</v>
      </c>
      <c r="J2796" s="1">
        <v>0.0</v>
      </c>
      <c r="K2796" s="1">
        <v>0.45</v>
      </c>
      <c r="L2796" s="1">
        <v>19100.0</v>
      </c>
      <c r="M2796" s="1" t="s">
        <v>3452</v>
      </c>
      <c r="N2796" s="18">
        <v>46015.0</v>
      </c>
      <c r="O2796" s="1" t="s">
        <v>3288</v>
      </c>
      <c r="P2796" s="1" t="s">
        <v>3257</v>
      </c>
      <c r="Q2796" s="1" t="s">
        <v>3408</v>
      </c>
    </row>
    <row r="2797">
      <c r="A2797" s="1" t="s">
        <v>8292</v>
      </c>
      <c r="B2797" s="1">
        <v>88.0</v>
      </c>
      <c r="C2797" s="1">
        <v>70.0</v>
      </c>
      <c r="D2797" s="2" t="s">
        <v>720</v>
      </c>
      <c r="E2797" s="1">
        <v>88.0</v>
      </c>
      <c r="F2797" s="1">
        <v>2.0</v>
      </c>
      <c r="G2797" s="1">
        <v>0.0</v>
      </c>
      <c r="H2797" s="1">
        <v>0.0</v>
      </c>
      <c r="I2797" s="1">
        <v>0.0</v>
      </c>
      <c r="J2797" s="1">
        <v>0.0</v>
      </c>
      <c r="K2797" s="1">
        <v>0.02</v>
      </c>
      <c r="L2797" s="1">
        <v>385000.0</v>
      </c>
      <c r="M2797" s="1" t="s">
        <v>8293</v>
      </c>
      <c r="N2797" s="18">
        <v>46015.0</v>
      </c>
      <c r="O2797" s="1" t="s">
        <v>3670</v>
      </c>
      <c r="P2797" s="1" t="s">
        <v>3257</v>
      </c>
      <c r="Q2797" s="1" t="s">
        <v>3408</v>
      </c>
    </row>
    <row r="2798">
      <c r="A2798" s="1" t="s">
        <v>7688</v>
      </c>
      <c r="B2798" s="1">
        <v>88.0</v>
      </c>
      <c r="C2798" s="1">
        <v>50.0</v>
      </c>
      <c r="D2798" s="2" t="s">
        <v>600</v>
      </c>
      <c r="E2798" s="1">
        <v>88.0</v>
      </c>
      <c r="F2798" s="1">
        <v>0.0</v>
      </c>
      <c r="G2798" s="1">
        <v>0.0</v>
      </c>
      <c r="H2798" s="1">
        <v>0.0</v>
      </c>
      <c r="I2798" s="1">
        <v>0.0</v>
      </c>
      <c r="J2798" s="1">
        <v>0.0</v>
      </c>
      <c r="K2798" s="1">
        <v>0.2</v>
      </c>
      <c r="L2798" s="1">
        <v>737000.0</v>
      </c>
      <c r="M2798" s="1" t="s">
        <v>7689</v>
      </c>
      <c r="N2798" s="18">
        <v>46015.0</v>
      </c>
      <c r="O2798" s="1" t="s">
        <v>5341</v>
      </c>
      <c r="P2798" s="1" t="s">
        <v>3257</v>
      </c>
      <c r="Q2798" s="1" t="s">
        <v>3408</v>
      </c>
    </row>
    <row r="2799">
      <c r="A2799" s="1" t="s">
        <v>5966</v>
      </c>
      <c r="B2799" s="1">
        <v>88.0</v>
      </c>
      <c r="C2799" s="1">
        <v>90.0</v>
      </c>
      <c r="D2799" s="2" t="s">
        <v>1307</v>
      </c>
      <c r="E2799" s="1">
        <v>88.0</v>
      </c>
      <c r="G2799" s="1">
        <v>0.0</v>
      </c>
      <c r="H2799" s="1">
        <v>0.0</v>
      </c>
      <c r="I2799" s="1">
        <v>0.0</v>
      </c>
      <c r="J2799" s="1">
        <v>0.0</v>
      </c>
      <c r="K2799" s="1">
        <v>0.0</v>
      </c>
      <c r="L2799" s="1">
        <v>71600.0</v>
      </c>
      <c r="M2799" s="1" t="s">
        <v>5967</v>
      </c>
      <c r="N2799" s="18">
        <v>46014.0</v>
      </c>
      <c r="O2799" s="1" t="s">
        <v>3242</v>
      </c>
      <c r="P2799" s="1" t="s">
        <v>3334</v>
      </c>
      <c r="Q2799" s="1" t="s">
        <v>3408</v>
      </c>
    </row>
    <row r="2800">
      <c r="A2800" s="1" t="s">
        <v>8294</v>
      </c>
      <c r="B2800" s="1">
        <v>88.0</v>
      </c>
      <c r="C2800" s="1">
        <v>110.0</v>
      </c>
      <c r="D2800" s="2" t="s">
        <v>1708</v>
      </c>
      <c r="E2800" s="1">
        <v>88.0</v>
      </c>
      <c r="F2800" s="1">
        <v>12.0</v>
      </c>
      <c r="G2800" s="1">
        <v>0.0</v>
      </c>
      <c r="H2800" s="1">
        <v>0.0</v>
      </c>
      <c r="I2800" s="1">
        <v>0.0</v>
      </c>
      <c r="J2800" s="1">
        <v>0.0</v>
      </c>
      <c r="K2800" s="1">
        <v>0.0</v>
      </c>
      <c r="L2800" s="1">
        <v>705000.0</v>
      </c>
      <c r="M2800" s="1" t="s">
        <v>8295</v>
      </c>
      <c r="N2800" s="18">
        <v>46013.0</v>
      </c>
      <c r="O2800" s="1" t="s">
        <v>6936</v>
      </c>
      <c r="P2800" s="1" t="s">
        <v>3257</v>
      </c>
      <c r="Q2800" s="1" t="s">
        <v>3408</v>
      </c>
    </row>
    <row r="2801">
      <c r="A2801" s="1" t="s">
        <v>4792</v>
      </c>
      <c r="B2801" s="1">
        <v>88.0</v>
      </c>
      <c r="C2801" s="1">
        <v>50.0</v>
      </c>
      <c r="D2801" s="2" t="s">
        <v>2991</v>
      </c>
      <c r="E2801" s="1">
        <v>88.0</v>
      </c>
      <c r="F2801" s="1">
        <v>1.0</v>
      </c>
      <c r="G2801" s="1">
        <v>0.0</v>
      </c>
      <c r="H2801" s="1">
        <v>0.0</v>
      </c>
      <c r="I2801" s="1">
        <v>0.0</v>
      </c>
      <c r="J2801" s="1">
        <v>0.0</v>
      </c>
      <c r="K2801" s="1">
        <v>0.0</v>
      </c>
      <c r="L2801" s="1">
        <v>32900.0</v>
      </c>
      <c r="M2801" s="1" t="s">
        <v>4793</v>
      </c>
      <c r="N2801" s="18">
        <v>46012.0</v>
      </c>
      <c r="O2801" s="1" t="s">
        <v>4414</v>
      </c>
      <c r="P2801" s="1" t="s">
        <v>3257</v>
      </c>
      <c r="Q2801" s="1" t="s">
        <v>3408</v>
      </c>
    </row>
    <row r="2802">
      <c r="A2802" s="1" t="s">
        <v>8296</v>
      </c>
      <c r="B2802" s="1">
        <v>88.0</v>
      </c>
      <c r="C2802" s="1">
        <v>50.0</v>
      </c>
      <c r="D2802" s="2" t="s">
        <v>750</v>
      </c>
      <c r="E2802" s="1">
        <v>88.0</v>
      </c>
      <c r="F2802" s="1">
        <v>12.0</v>
      </c>
      <c r="G2802" s="1">
        <v>0.0</v>
      </c>
      <c r="H2802" s="1">
        <v>0.0</v>
      </c>
      <c r="I2802" s="1">
        <v>0.0</v>
      </c>
      <c r="J2802" s="1">
        <v>0.0</v>
      </c>
      <c r="K2802" s="1">
        <v>0.0</v>
      </c>
      <c r="L2802" s="1">
        <v>263000.0</v>
      </c>
      <c r="M2802" s="1" t="s">
        <v>8297</v>
      </c>
      <c r="N2802" s="18">
        <v>46012.0</v>
      </c>
      <c r="O2802" s="1" t="s">
        <v>3432</v>
      </c>
      <c r="P2802" s="1" t="s">
        <v>3334</v>
      </c>
      <c r="Q2802" s="1" t="s">
        <v>3408</v>
      </c>
    </row>
    <row r="2803">
      <c r="A2803" s="1" t="s">
        <v>8298</v>
      </c>
      <c r="B2803" s="1">
        <v>88.0</v>
      </c>
      <c r="C2803" s="1">
        <v>40.0</v>
      </c>
      <c r="D2803" s="2" t="s">
        <v>1951</v>
      </c>
      <c r="E2803" s="1">
        <v>88.0</v>
      </c>
      <c r="F2803" s="1">
        <v>6.0</v>
      </c>
      <c r="G2803" s="1">
        <v>10.28</v>
      </c>
      <c r="H2803" s="1">
        <v>0.0</v>
      </c>
      <c r="I2803" s="1">
        <v>0.0</v>
      </c>
      <c r="J2803" s="1">
        <v>0.0</v>
      </c>
      <c r="K2803" s="1">
        <v>0.38</v>
      </c>
      <c r="L2803" s="1">
        <v>1.5E7</v>
      </c>
      <c r="M2803" s="1" t="s">
        <v>8299</v>
      </c>
      <c r="N2803" s="18">
        <v>46012.0</v>
      </c>
      <c r="O2803" s="1" t="s">
        <v>7600</v>
      </c>
      <c r="P2803" s="1" t="s">
        <v>3230</v>
      </c>
      <c r="Q2803" s="1" t="s">
        <v>3408</v>
      </c>
    </row>
    <row r="2804">
      <c r="A2804" s="1" t="s">
        <v>8300</v>
      </c>
      <c r="B2804" s="1">
        <v>88.0</v>
      </c>
      <c r="C2804" s="1">
        <v>70.0</v>
      </c>
      <c r="D2804" s="2" t="s">
        <v>1667</v>
      </c>
      <c r="E2804" s="1">
        <v>88.0</v>
      </c>
      <c r="F2804" s="1">
        <v>0.0</v>
      </c>
      <c r="G2804" s="1">
        <v>0.0</v>
      </c>
      <c r="H2804" s="1">
        <v>0.0</v>
      </c>
      <c r="I2804" s="1">
        <v>0.0</v>
      </c>
      <c r="J2804" s="1">
        <v>0.0</v>
      </c>
      <c r="K2804" s="1">
        <v>0.0</v>
      </c>
      <c r="L2804" s="1">
        <v>5930000.0</v>
      </c>
      <c r="M2804" s="1" t="s">
        <v>8301</v>
      </c>
      <c r="N2804" s="18">
        <v>46010.0</v>
      </c>
      <c r="O2804" s="1" t="s">
        <v>3840</v>
      </c>
      <c r="P2804" s="1" t="s">
        <v>3230</v>
      </c>
      <c r="Q2804" s="1" t="s">
        <v>3408</v>
      </c>
    </row>
    <row r="2805">
      <c r="A2805" s="1" t="s">
        <v>8302</v>
      </c>
      <c r="B2805" s="1">
        <v>88.0</v>
      </c>
      <c r="C2805" s="1">
        <v>70.0</v>
      </c>
      <c r="D2805" s="2" t="s">
        <v>439</v>
      </c>
      <c r="E2805" s="1">
        <v>88.0</v>
      </c>
      <c r="F2805" s="1">
        <v>28.0</v>
      </c>
      <c r="G2805" s="1">
        <v>7.02</v>
      </c>
      <c r="H2805" s="1">
        <v>0.0</v>
      </c>
      <c r="I2805" s="1">
        <v>0.0</v>
      </c>
      <c r="J2805" s="1">
        <v>0.0</v>
      </c>
      <c r="K2805" s="1">
        <v>0.05</v>
      </c>
      <c r="L2805" s="1">
        <v>2.93E8</v>
      </c>
      <c r="M2805" s="1" t="s">
        <v>8303</v>
      </c>
      <c r="N2805" s="18">
        <v>46009.0</v>
      </c>
      <c r="O2805" s="1" t="s">
        <v>3404</v>
      </c>
      <c r="P2805" s="1" t="s">
        <v>3462</v>
      </c>
      <c r="Q2805" s="1" t="s">
        <v>3408</v>
      </c>
    </row>
    <row r="2806">
      <c r="A2806" s="1" t="s">
        <v>8304</v>
      </c>
      <c r="B2806" s="1">
        <v>88.0</v>
      </c>
      <c r="C2806" s="1">
        <v>110.0</v>
      </c>
      <c r="D2806" s="2" t="s">
        <v>954</v>
      </c>
      <c r="E2806" s="1">
        <v>88.0</v>
      </c>
      <c r="F2806" s="1">
        <v>6.0</v>
      </c>
      <c r="G2806" s="1">
        <v>1.24</v>
      </c>
      <c r="H2806" s="1">
        <v>0.0</v>
      </c>
      <c r="I2806" s="1">
        <v>0.0</v>
      </c>
      <c r="J2806" s="1">
        <v>0.0</v>
      </c>
      <c r="K2806" s="1">
        <v>0.58</v>
      </c>
      <c r="L2806" s="1">
        <v>6.69E7</v>
      </c>
      <c r="M2806" s="1" t="s">
        <v>8305</v>
      </c>
      <c r="N2806" s="18">
        <v>46009.0</v>
      </c>
      <c r="O2806" s="1" t="s">
        <v>3479</v>
      </c>
      <c r="P2806" s="1" t="s">
        <v>3230</v>
      </c>
      <c r="Q2806" s="1" t="s">
        <v>3408</v>
      </c>
    </row>
    <row r="2807">
      <c r="A2807" s="1" t="s">
        <v>8306</v>
      </c>
      <c r="B2807" s="1">
        <v>88.0</v>
      </c>
      <c r="C2807" s="1">
        <v>70.0</v>
      </c>
      <c r="D2807" s="2" t="s">
        <v>592</v>
      </c>
      <c r="E2807" s="1">
        <v>88.0</v>
      </c>
      <c r="F2807" s="1">
        <v>0.0</v>
      </c>
      <c r="G2807" s="1">
        <v>10.8</v>
      </c>
      <c r="H2807" s="1">
        <v>0.0</v>
      </c>
      <c r="I2807" s="1">
        <v>0.0</v>
      </c>
      <c r="J2807" s="1">
        <v>0.0</v>
      </c>
      <c r="K2807" s="1">
        <v>0.67</v>
      </c>
      <c r="L2807" s="1">
        <v>1320000.0</v>
      </c>
      <c r="M2807" s="1" t="s">
        <v>8307</v>
      </c>
      <c r="N2807" s="18">
        <v>45999.0</v>
      </c>
      <c r="O2807" s="1" t="s">
        <v>3404</v>
      </c>
      <c r="P2807" s="1" t="s">
        <v>3257</v>
      </c>
      <c r="Q2807" s="1" t="s">
        <v>3408</v>
      </c>
    </row>
    <row r="2808">
      <c r="A2808" s="1" t="s">
        <v>8308</v>
      </c>
      <c r="B2808" s="1">
        <v>88.0</v>
      </c>
      <c r="C2808" s="1">
        <v>90.0</v>
      </c>
      <c r="D2808" s="2" t="s">
        <v>439</v>
      </c>
      <c r="E2808" s="1">
        <v>88.0</v>
      </c>
      <c r="F2808" s="1">
        <v>29.0</v>
      </c>
      <c r="G2808" s="1">
        <v>0.0</v>
      </c>
      <c r="H2808" s="1">
        <v>0.0</v>
      </c>
      <c r="I2808" s="1">
        <v>0.0</v>
      </c>
      <c r="J2808" s="1">
        <v>0.0</v>
      </c>
      <c r="K2808" s="1">
        <v>0.0</v>
      </c>
      <c r="L2808" s="1">
        <v>14800.0</v>
      </c>
      <c r="M2808" s="1" t="s">
        <v>8309</v>
      </c>
      <c r="N2808" s="18">
        <v>45987.0</v>
      </c>
      <c r="O2808" s="1" t="s">
        <v>3293</v>
      </c>
      <c r="P2808" s="1" t="s">
        <v>3230</v>
      </c>
      <c r="Q2808" s="1" t="s">
        <v>3408</v>
      </c>
    </row>
    <row r="2809">
      <c r="A2809" s="1" t="s">
        <v>3559</v>
      </c>
      <c r="B2809" s="1">
        <v>88.0</v>
      </c>
      <c r="C2809" s="1">
        <v>140.0</v>
      </c>
      <c r="D2809" s="2" t="s">
        <v>702</v>
      </c>
      <c r="E2809" s="1">
        <v>88.0</v>
      </c>
      <c r="F2809" s="1">
        <v>9.0</v>
      </c>
      <c r="G2809" s="1">
        <v>10.08</v>
      </c>
      <c r="H2809" s="1">
        <v>0.0</v>
      </c>
      <c r="I2809" s="1">
        <v>0.0</v>
      </c>
      <c r="J2809" s="1">
        <v>0.0</v>
      </c>
      <c r="K2809" s="1">
        <v>0.13</v>
      </c>
      <c r="L2809" s="1">
        <v>10.0</v>
      </c>
      <c r="M2809" s="1" t="s">
        <v>3560</v>
      </c>
      <c r="N2809" s="18">
        <v>45984.0</v>
      </c>
      <c r="O2809" s="1" t="s">
        <v>3455</v>
      </c>
      <c r="P2809" s="1" t="s">
        <v>3257</v>
      </c>
      <c r="Q2809" s="1" t="s">
        <v>3408</v>
      </c>
    </row>
    <row r="2810">
      <c r="A2810" s="1" t="s">
        <v>8310</v>
      </c>
      <c r="B2810" s="1">
        <v>88.0</v>
      </c>
      <c r="C2810" s="1">
        <v>70.0</v>
      </c>
      <c r="D2810" s="2" t="s">
        <v>2048</v>
      </c>
      <c r="E2810" s="1">
        <v>88.0</v>
      </c>
      <c r="F2810" s="1">
        <v>1.0</v>
      </c>
      <c r="G2810" s="1">
        <v>0.0</v>
      </c>
      <c r="H2810" s="1">
        <v>0.0</v>
      </c>
      <c r="I2810" s="1">
        <v>0.0</v>
      </c>
      <c r="J2810" s="1">
        <v>0.0</v>
      </c>
      <c r="K2810" s="1">
        <v>0.0</v>
      </c>
      <c r="L2810" s="1">
        <v>10.0</v>
      </c>
      <c r="M2810" s="1" t="s">
        <v>8311</v>
      </c>
      <c r="N2810" s="18">
        <v>45978.0</v>
      </c>
      <c r="O2810" s="1" t="s">
        <v>3264</v>
      </c>
      <c r="P2810" s="1" t="s">
        <v>3230</v>
      </c>
      <c r="Q2810" s="1" t="s">
        <v>3408</v>
      </c>
    </row>
    <row r="2811">
      <c r="A2811" s="1" t="s">
        <v>8312</v>
      </c>
      <c r="B2811" s="1">
        <v>89.0</v>
      </c>
      <c r="C2811" s="1">
        <v>110.0</v>
      </c>
      <c r="D2811" s="2" t="s">
        <v>439</v>
      </c>
      <c r="E2811" s="1">
        <v>89.0</v>
      </c>
      <c r="F2811" s="1">
        <v>11.0</v>
      </c>
      <c r="G2811" s="1">
        <v>5.96</v>
      </c>
      <c r="H2811" s="1">
        <v>0.0</v>
      </c>
      <c r="I2811" s="1">
        <v>0.0</v>
      </c>
      <c r="J2811" s="1">
        <v>0.0</v>
      </c>
      <c r="K2811" s="1">
        <v>0.06</v>
      </c>
      <c r="L2811" s="1">
        <v>7.69E7</v>
      </c>
      <c r="M2811" s="1" t="s">
        <v>8313</v>
      </c>
      <c r="N2811" s="18">
        <v>46041.0</v>
      </c>
      <c r="O2811" s="1" t="s">
        <v>4747</v>
      </c>
      <c r="P2811" s="1" t="s">
        <v>3230</v>
      </c>
      <c r="Q2811" s="1" t="s">
        <v>3408</v>
      </c>
    </row>
    <row r="2812">
      <c r="A2812" s="1" t="s">
        <v>8314</v>
      </c>
      <c r="B2812" s="1">
        <v>89.0</v>
      </c>
      <c r="C2812" s="1">
        <v>140.0</v>
      </c>
      <c r="D2812" s="2" t="s">
        <v>1685</v>
      </c>
      <c r="E2812" s="1">
        <v>89.0</v>
      </c>
      <c r="F2812" s="1">
        <v>7.0</v>
      </c>
      <c r="G2812" s="1">
        <v>0.0</v>
      </c>
      <c r="H2812" s="1">
        <v>0.0</v>
      </c>
      <c r="I2812" s="1">
        <v>0.0</v>
      </c>
      <c r="J2812" s="1">
        <v>0.0</v>
      </c>
      <c r="K2812" s="1">
        <v>0.03</v>
      </c>
      <c r="L2812" s="1">
        <v>9370000.0</v>
      </c>
      <c r="M2812" s="1" t="s">
        <v>8315</v>
      </c>
      <c r="N2812" s="18">
        <v>46038.0</v>
      </c>
      <c r="O2812" s="1" t="s">
        <v>3565</v>
      </c>
      <c r="P2812" s="1" t="s">
        <v>3334</v>
      </c>
      <c r="Q2812" s="1" t="s">
        <v>3408</v>
      </c>
    </row>
    <row r="2813">
      <c r="A2813" s="1" t="s">
        <v>3285</v>
      </c>
      <c r="B2813" s="1">
        <v>89.0</v>
      </c>
      <c r="C2813" s="1">
        <v>50.0</v>
      </c>
      <c r="D2813" s="2" t="s">
        <v>451</v>
      </c>
      <c r="E2813" s="1">
        <v>89.0</v>
      </c>
      <c r="G2813" s="1">
        <v>16.24</v>
      </c>
      <c r="H2813" s="1">
        <v>0.0</v>
      </c>
      <c r="I2813" s="1">
        <v>0.0</v>
      </c>
      <c r="J2813" s="1">
        <v>0.0</v>
      </c>
      <c r="K2813" s="1">
        <v>0.67</v>
      </c>
      <c r="L2813" s="1">
        <v>997000.0</v>
      </c>
      <c r="M2813" s="1" t="s">
        <v>3287</v>
      </c>
      <c r="N2813" s="18">
        <v>46038.0</v>
      </c>
      <c r="O2813" s="1" t="s">
        <v>3288</v>
      </c>
      <c r="P2813" s="1" t="s">
        <v>3257</v>
      </c>
      <c r="Q2813" s="1" t="s">
        <v>3408</v>
      </c>
    </row>
    <row r="2814">
      <c r="A2814" s="1" t="s">
        <v>8183</v>
      </c>
      <c r="B2814" s="1">
        <v>89.0</v>
      </c>
      <c r="C2814" s="1">
        <v>30.0</v>
      </c>
      <c r="D2814" s="2" t="s">
        <v>581</v>
      </c>
      <c r="E2814" s="1">
        <v>89.0</v>
      </c>
      <c r="F2814" s="1">
        <v>47.0</v>
      </c>
      <c r="G2814" s="1">
        <v>13.58</v>
      </c>
      <c r="H2814" s="1">
        <v>0.0</v>
      </c>
      <c r="I2814" s="1">
        <v>0.0</v>
      </c>
      <c r="J2814" s="1">
        <v>0.0</v>
      </c>
      <c r="K2814" s="1">
        <v>0.71</v>
      </c>
      <c r="L2814" s="1">
        <v>1.09E7</v>
      </c>
      <c r="M2814" s="1" t="s">
        <v>8184</v>
      </c>
      <c r="N2814" s="18">
        <v>46034.0</v>
      </c>
      <c r="O2814" s="1" t="s">
        <v>8185</v>
      </c>
      <c r="P2814" s="1" t="s">
        <v>3257</v>
      </c>
      <c r="Q2814" s="1" t="s">
        <v>3408</v>
      </c>
    </row>
    <row r="2815">
      <c r="A2815" s="1" t="s">
        <v>8316</v>
      </c>
      <c r="B2815" s="1">
        <v>89.0</v>
      </c>
      <c r="C2815" s="1">
        <v>40.0</v>
      </c>
      <c r="D2815" s="2" t="s">
        <v>2963</v>
      </c>
      <c r="E2815" s="1">
        <v>89.0</v>
      </c>
      <c r="F2815" s="1">
        <v>2.0</v>
      </c>
      <c r="G2815" s="1">
        <v>0.0</v>
      </c>
      <c r="H2815" s="1">
        <v>0.0</v>
      </c>
      <c r="I2815" s="1">
        <v>0.0</v>
      </c>
      <c r="J2815" s="1">
        <v>0.0</v>
      </c>
      <c r="K2815" s="1">
        <v>0.0</v>
      </c>
      <c r="L2815" s="1">
        <v>3050000.0</v>
      </c>
      <c r="M2815" s="1" t="s">
        <v>8317</v>
      </c>
      <c r="N2815" s="18">
        <v>46032.0</v>
      </c>
      <c r="O2815" s="1" t="s">
        <v>8318</v>
      </c>
      <c r="P2815" s="1" t="s">
        <v>3230</v>
      </c>
      <c r="Q2815" s="1" t="s">
        <v>3408</v>
      </c>
    </row>
    <row r="2816">
      <c r="A2816" s="1" t="s">
        <v>8319</v>
      </c>
      <c r="B2816" s="1">
        <v>89.0</v>
      </c>
      <c r="C2816" s="1">
        <v>50.0</v>
      </c>
      <c r="D2816" s="2" t="s">
        <v>778</v>
      </c>
      <c r="E2816" s="1">
        <v>89.0</v>
      </c>
      <c r="F2816" s="1">
        <v>8.0</v>
      </c>
      <c r="G2816" s="1">
        <v>0.0</v>
      </c>
      <c r="H2816" s="1">
        <v>0.0</v>
      </c>
      <c r="I2816" s="1">
        <v>0.0</v>
      </c>
      <c r="J2816" s="1">
        <v>0.0</v>
      </c>
      <c r="K2816" s="1">
        <v>0.0</v>
      </c>
      <c r="L2816" s="1">
        <v>1470000.0</v>
      </c>
      <c r="M2816" s="1" t="s">
        <v>8320</v>
      </c>
      <c r="N2816" s="18">
        <v>46031.0</v>
      </c>
      <c r="O2816" s="1" t="s">
        <v>4089</v>
      </c>
      <c r="P2816" s="1" t="s">
        <v>3257</v>
      </c>
      <c r="Q2816" s="1" t="s">
        <v>3408</v>
      </c>
    </row>
    <row r="2817">
      <c r="A2817" s="1" t="s">
        <v>6895</v>
      </c>
      <c r="B2817" s="1">
        <v>89.0</v>
      </c>
      <c r="C2817" s="1">
        <v>110.0</v>
      </c>
      <c r="D2817" s="2" t="s">
        <v>754</v>
      </c>
      <c r="E2817" s="1">
        <v>89.0</v>
      </c>
      <c r="F2817" s="1">
        <v>18.0</v>
      </c>
      <c r="G2817" s="1">
        <v>30.03</v>
      </c>
      <c r="H2817" s="1">
        <v>0.0</v>
      </c>
      <c r="I2817" s="1">
        <v>0.0</v>
      </c>
      <c r="J2817" s="1">
        <v>0.0</v>
      </c>
      <c r="K2817" s="1">
        <v>0.55</v>
      </c>
      <c r="L2817" s="1">
        <v>1.65E8</v>
      </c>
      <c r="M2817" s="1" t="s">
        <v>6896</v>
      </c>
      <c r="N2817" s="18">
        <v>46030.0</v>
      </c>
      <c r="O2817" s="1" t="s">
        <v>5435</v>
      </c>
      <c r="P2817" s="1" t="s">
        <v>3230</v>
      </c>
      <c r="Q2817" s="1" t="s">
        <v>3408</v>
      </c>
    </row>
    <row r="2818">
      <c r="A2818" s="1" t="s">
        <v>6075</v>
      </c>
      <c r="B2818" s="1">
        <v>89.0</v>
      </c>
      <c r="C2818" s="1">
        <v>390.0</v>
      </c>
      <c r="D2818" s="2" t="s">
        <v>2048</v>
      </c>
      <c r="E2818" s="1">
        <v>89.0</v>
      </c>
      <c r="F2818" s="1">
        <v>17.0</v>
      </c>
      <c r="G2818" s="1">
        <v>0.0</v>
      </c>
      <c r="H2818" s="1">
        <v>0.0</v>
      </c>
      <c r="I2818" s="1">
        <v>0.0</v>
      </c>
      <c r="J2818" s="1">
        <v>0.0</v>
      </c>
      <c r="K2818" s="1">
        <v>0.01</v>
      </c>
      <c r="L2818" s="1">
        <v>1.73E8</v>
      </c>
      <c r="M2818" s="1" t="s">
        <v>6076</v>
      </c>
      <c r="N2818" s="18">
        <v>46028.0</v>
      </c>
      <c r="O2818" s="1" t="s">
        <v>3314</v>
      </c>
      <c r="P2818" s="1" t="s">
        <v>3230</v>
      </c>
      <c r="Q2818" s="1" t="s">
        <v>3408</v>
      </c>
    </row>
    <row r="2819">
      <c r="A2819" s="1" t="s">
        <v>8321</v>
      </c>
      <c r="B2819" s="1">
        <v>89.0</v>
      </c>
      <c r="C2819" s="1">
        <v>40.0</v>
      </c>
      <c r="D2819" s="2" t="s">
        <v>770</v>
      </c>
      <c r="E2819" s="1">
        <v>89.0</v>
      </c>
      <c r="G2819" s="1">
        <v>0.0</v>
      </c>
      <c r="H2819" s="1">
        <v>0.0</v>
      </c>
      <c r="I2819" s="1">
        <v>0.0</v>
      </c>
      <c r="J2819" s="1">
        <v>0.0</v>
      </c>
      <c r="K2819" s="1">
        <v>0.33</v>
      </c>
      <c r="L2819" s="1">
        <v>2480000.0</v>
      </c>
      <c r="M2819" s="1" t="s">
        <v>8322</v>
      </c>
      <c r="N2819" s="18">
        <v>46026.0</v>
      </c>
      <c r="O2819" s="1" t="s">
        <v>3407</v>
      </c>
      <c r="P2819" s="1" t="s">
        <v>3230</v>
      </c>
      <c r="Q2819" s="1" t="s">
        <v>3408</v>
      </c>
    </row>
    <row r="2820">
      <c r="A2820" s="1" t="s">
        <v>7571</v>
      </c>
      <c r="B2820" s="1">
        <v>89.0</v>
      </c>
      <c r="C2820" s="1">
        <v>40.0</v>
      </c>
      <c r="D2820" s="2" t="s">
        <v>439</v>
      </c>
      <c r="E2820" s="1">
        <v>89.0</v>
      </c>
      <c r="F2820" s="1">
        <v>13.0</v>
      </c>
      <c r="G2820" s="1">
        <v>0.0</v>
      </c>
      <c r="H2820" s="1">
        <v>0.0</v>
      </c>
      <c r="I2820" s="1">
        <v>0.0</v>
      </c>
      <c r="J2820" s="1">
        <v>0.0</v>
      </c>
      <c r="K2820" s="1">
        <v>0.03</v>
      </c>
      <c r="L2820" s="1">
        <v>12200.0</v>
      </c>
      <c r="M2820" s="1" t="s">
        <v>7572</v>
      </c>
      <c r="N2820" s="18">
        <v>46025.0</v>
      </c>
      <c r="O2820" s="1" t="s">
        <v>4496</v>
      </c>
      <c r="P2820" s="1" t="s">
        <v>3230</v>
      </c>
      <c r="Q2820" s="1" t="s">
        <v>3408</v>
      </c>
    </row>
    <row r="2821">
      <c r="A2821" s="1" t="s">
        <v>8323</v>
      </c>
      <c r="B2821" s="1">
        <v>89.0</v>
      </c>
      <c r="C2821" s="1">
        <v>590.0</v>
      </c>
      <c r="D2821" s="2" t="s">
        <v>726</v>
      </c>
      <c r="E2821" s="1">
        <v>89.0</v>
      </c>
      <c r="F2821" s="1">
        <v>27.0</v>
      </c>
      <c r="G2821" s="1">
        <v>15.41</v>
      </c>
      <c r="H2821" s="1">
        <v>0.0</v>
      </c>
      <c r="I2821" s="1">
        <v>0.0</v>
      </c>
      <c r="J2821" s="1">
        <v>0.0</v>
      </c>
      <c r="K2821" s="1">
        <v>0.52</v>
      </c>
      <c r="L2821" s="1">
        <v>999000.0</v>
      </c>
      <c r="M2821" s="1" t="s">
        <v>8324</v>
      </c>
      <c r="N2821" s="18">
        <v>46023.0</v>
      </c>
      <c r="O2821" s="1" t="s">
        <v>4226</v>
      </c>
      <c r="P2821" s="1" t="s">
        <v>3257</v>
      </c>
      <c r="Q2821" s="1" t="s">
        <v>3408</v>
      </c>
    </row>
    <row r="2822">
      <c r="A2822" s="1" t="s">
        <v>8325</v>
      </c>
      <c r="B2822" s="1">
        <v>89.0</v>
      </c>
      <c r="C2822" s="1">
        <v>90.0</v>
      </c>
      <c r="D2822" s="2" t="s">
        <v>742</v>
      </c>
      <c r="E2822" s="1">
        <v>89.0</v>
      </c>
      <c r="F2822" s="1">
        <v>1.0</v>
      </c>
      <c r="G2822" s="1">
        <v>0.0</v>
      </c>
      <c r="H2822" s="1">
        <v>0.0</v>
      </c>
      <c r="I2822" s="1">
        <v>0.0</v>
      </c>
      <c r="J2822" s="1">
        <v>0.0</v>
      </c>
      <c r="K2822" s="1">
        <v>0.0</v>
      </c>
      <c r="L2822" s="1">
        <v>1.04E7</v>
      </c>
      <c r="M2822" s="1" t="s">
        <v>8326</v>
      </c>
      <c r="N2822" s="18">
        <v>46021.0</v>
      </c>
      <c r="O2822" s="1" t="s">
        <v>5965</v>
      </c>
      <c r="P2822" s="1" t="s">
        <v>3334</v>
      </c>
      <c r="Q2822" s="1" t="s">
        <v>3408</v>
      </c>
    </row>
    <row r="2823">
      <c r="A2823" s="1" t="s">
        <v>5277</v>
      </c>
      <c r="B2823" s="1">
        <v>89.0</v>
      </c>
      <c r="C2823" s="1">
        <v>40.0</v>
      </c>
      <c r="D2823" s="2" t="s">
        <v>581</v>
      </c>
      <c r="E2823" s="1">
        <v>89.0</v>
      </c>
      <c r="F2823" s="1">
        <v>0.0</v>
      </c>
      <c r="G2823" s="1">
        <v>0.0</v>
      </c>
      <c r="H2823" s="1">
        <v>0.0</v>
      </c>
      <c r="I2823" s="1">
        <v>0.0</v>
      </c>
      <c r="J2823" s="1">
        <v>0.0</v>
      </c>
      <c r="K2823" s="1">
        <v>0.06</v>
      </c>
      <c r="L2823" s="1">
        <v>1540000.0</v>
      </c>
      <c r="M2823" s="1" t="s">
        <v>5278</v>
      </c>
      <c r="N2823" s="18">
        <v>46021.0</v>
      </c>
      <c r="O2823" s="1" t="s">
        <v>5279</v>
      </c>
      <c r="P2823" s="1" t="s">
        <v>3230</v>
      </c>
      <c r="Q2823" s="1" t="s">
        <v>3408</v>
      </c>
    </row>
    <row r="2824">
      <c r="A2824" s="1" t="s">
        <v>8327</v>
      </c>
      <c r="B2824" s="1">
        <v>89.0</v>
      </c>
      <c r="C2824" s="1">
        <v>140.0</v>
      </c>
      <c r="D2824" s="2" t="s">
        <v>638</v>
      </c>
      <c r="E2824" s="1">
        <v>89.0</v>
      </c>
      <c r="F2824" s="1">
        <v>25.0</v>
      </c>
      <c r="G2824" s="1">
        <v>2.39</v>
      </c>
      <c r="H2824" s="1">
        <v>0.0</v>
      </c>
      <c r="I2824" s="1">
        <v>0.0</v>
      </c>
      <c r="J2824" s="1">
        <v>0.0</v>
      </c>
      <c r="K2824" s="1">
        <v>0.02</v>
      </c>
      <c r="L2824" s="1">
        <v>9540000.0</v>
      </c>
      <c r="M2824" s="1" t="s">
        <v>8328</v>
      </c>
      <c r="N2824" s="18">
        <v>46020.0</v>
      </c>
      <c r="O2824" s="1" t="s">
        <v>3442</v>
      </c>
      <c r="P2824" s="1" t="s">
        <v>3230</v>
      </c>
      <c r="Q2824" s="1" t="s">
        <v>3408</v>
      </c>
    </row>
    <row r="2825">
      <c r="A2825" s="1" t="s">
        <v>8329</v>
      </c>
      <c r="B2825" s="1">
        <v>89.0</v>
      </c>
      <c r="C2825" s="1">
        <v>260.0</v>
      </c>
      <c r="D2825" s="2" t="s">
        <v>447</v>
      </c>
      <c r="E2825" s="1">
        <v>89.0</v>
      </c>
      <c r="F2825" s="1">
        <v>31.0</v>
      </c>
      <c r="G2825" s="1">
        <v>4.86</v>
      </c>
      <c r="H2825" s="1">
        <v>0.0</v>
      </c>
      <c r="I2825" s="1">
        <v>0.0</v>
      </c>
      <c r="J2825" s="1">
        <v>0.0</v>
      </c>
      <c r="K2825" s="1">
        <v>0.54</v>
      </c>
      <c r="L2825" s="1">
        <v>431000.0</v>
      </c>
      <c r="M2825" s="1" t="s">
        <v>8330</v>
      </c>
      <c r="N2825" s="18">
        <v>46018.0</v>
      </c>
      <c r="O2825" s="1" t="s">
        <v>3415</v>
      </c>
      <c r="P2825" s="1" t="s">
        <v>3257</v>
      </c>
      <c r="Q2825" s="1" t="s">
        <v>3408</v>
      </c>
    </row>
    <row r="2826">
      <c r="A2826" s="1" t="s">
        <v>8331</v>
      </c>
      <c r="B2826" s="1">
        <v>89.0</v>
      </c>
      <c r="C2826" s="1">
        <v>30.0</v>
      </c>
      <c r="D2826" s="2" t="s">
        <v>754</v>
      </c>
      <c r="E2826" s="1">
        <v>89.0</v>
      </c>
      <c r="F2826" s="1">
        <v>0.0</v>
      </c>
      <c r="G2826" s="1">
        <v>12.51</v>
      </c>
      <c r="H2826" s="1">
        <v>0.0</v>
      </c>
      <c r="I2826" s="1">
        <v>0.0</v>
      </c>
      <c r="J2826" s="1">
        <v>0.0</v>
      </c>
      <c r="K2826" s="1">
        <v>0.63</v>
      </c>
      <c r="L2826" s="1">
        <v>8.8E7</v>
      </c>
      <c r="M2826" s="1" t="s">
        <v>8332</v>
      </c>
      <c r="N2826" s="18">
        <v>46018.0</v>
      </c>
      <c r="O2826" s="1" t="s">
        <v>5218</v>
      </c>
      <c r="P2826" s="1" t="s">
        <v>3230</v>
      </c>
      <c r="Q2826" s="1" t="s">
        <v>3408</v>
      </c>
    </row>
    <row r="2827">
      <c r="A2827" s="1" t="s">
        <v>8333</v>
      </c>
      <c r="B2827" s="1">
        <v>89.0</v>
      </c>
      <c r="C2827" s="1">
        <v>110.0</v>
      </c>
      <c r="D2827" s="2" t="s">
        <v>913</v>
      </c>
      <c r="E2827" s="1">
        <v>89.0</v>
      </c>
      <c r="F2827" s="1">
        <v>25.0</v>
      </c>
      <c r="G2827" s="1">
        <v>22.8</v>
      </c>
      <c r="H2827" s="1">
        <v>0.0</v>
      </c>
      <c r="I2827" s="1">
        <v>0.0</v>
      </c>
      <c r="J2827" s="1">
        <v>0.0</v>
      </c>
      <c r="K2827" s="1">
        <v>0.54</v>
      </c>
      <c r="L2827" s="1">
        <v>87300.0</v>
      </c>
      <c r="M2827" s="1" t="s">
        <v>8334</v>
      </c>
      <c r="N2827" s="18">
        <v>46016.0</v>
      </c>
      <c r="O2827" s="1" t="s">
        <v>5791</v>
      </c>
      <c r="P2827" s="1" t="s">
        <v>3257</v>
      </c>
      <c r="Q2827" s="1" t="s">
        <v>3408</v>
      </c>
    </row>
    <row r="2828">
      <c r="A2828" s="1" t="s">
        <v>8288</v>
      </c>
      <c r="B2828" s="1">
        <v>89.0</v>
      </c>
      <c r="C2828" s="1">
        <v>140.0</v>
      </c>
      <c r="D2828" s="2" t="s">
        <v>581</v>
      </c>
      <c r="E2828" s="1">
        <v>89.0</v>
      </c>
      <c r="F2828" s="1">
        <v>56.0</v>
      </c>
      <c r="G2828" s="1">
        <v>19.39</v>
      </c>
      <c r="H2828" s="1">
        <v>0.0</v>
      </c>
      <c r="I2828" s="1">
        <v>0.0</v>
      </c>
      <c r="J2828" s="1">
        <v>0.0</v>
      </c>
      <c r="K2828" s="1">
        <v>0.78</v>
      </c>
      <c r="L2828" s="1">
        <v>1.76E7</v>
      </c>
      <c r="M2828" s="1" t="s">
        <v>8289</v>
      </c>
      <c r="N2828" s="18">
        <v>46016.0</v>
      </c>
      <c r="O2828" s="1" t="s">
        <v>3892</v>
      </c>
      <c r="P2828" s="1" t="s">
        <v>3257</v>
      </c>
      <c r="Q2828" s="1" t="s">
        <v>3408</v>
      </c>
    </row>
    <row r="2829">
      <c r="A2829" s="1" t="s">
        <v>8335</v>
      </c>
      <c r="B2829" s="1">
        <v>89.0</v>
      </c>
      <c r="C2829" s="1">
        <v>70.0</v>
      </c>
      <c r="D2829" s="2" t="s">
        <v>584</v>
      </c>
      <c r="E2829" s="1">
        <v>89.0</v>
      </c>
      <c r="F2829" s="1">
        <v>17.0</v>
      </c>
      <c r="G2829" s="1">
        <v>309.48</v>
      </c>
      <c r="H2829" s="1">
        <v>0.0</v>
      </c>
      <c r="I2829" s="1">
        <v>0.0</v>
      </c>
      <c r="J2829" s="1">
        <v>0.0</v>
      </c>
      <c r="K2829" s="1">
        <v>0.05</v>
      </c>
      <c r="L2829" s="1">
        <v>138000.0</v>
      </c>
      <c r="M2829" s="1" t="s">
        <v>8336</v>
      </c>
      <c r="N2829" s="18">
        <v>46015.0</v>
      </c>
      <c r="O2829" s="1" t="s">
        <v>8337</v>
      </c>
      <c r="P2829" s="1" t="s">
        <v>3257</v>
      </c>
      <c r="Q2829" s="1" t="s">
        <v>3408</v>
      </c>
    </row>
    <row r="2830">
      <c r="A2830" s="1" t="s">
        <v>8338</v>
      </c>
      <c r="B2830" s="1">
        <v>89.0</v>
      </c>
      <c r="C2830" s="1">
        <v>50.0</v>
      </c>
      <c r="D2830" s="2" t="s">
        <v>600</v>
      </c>
      <c r="E2830" s="1">
        <v>89.0</v>
      </c>
      <c r="F2830" s="1">
        <v>0.0</v>
      </c>
      <c r="G2830" s="1">
        <v>0.0</v>
      </c>
      <c r="H2830" s="1">
        <v>0.0</v>
      </c>
      <c r="I2830" s="1">
        <v>0.0</v>
      </c>
      <c r="J2830" s="1">
        <v>0.0</v>
      </c>
      <c r="K2830" s="1">
        <v>0.33</v>
      </c>
      <c r="L2830" s="1">
        <v>866000.0</v>
      </c>
      <c r="M2830" s="1" t="s">
        <v>8339</v>
      </c>
      <c r="N2830" s="18">
        <v>46015.0</v>
      </c>
      <c r="O2830" s="1" t="s">
        <v>8340</v>
      </c>
      <c r="P2830" s="1" t="s">
        <v>3257</v>
      </c>
      <c r="Q2830" s="1" t="s">
        <v>3408</v>
      </c>
    </row>
    <row r="2831">
      <c r="A2831" s="1" t="s">
        <v>8341</v>
      </c>
      <c r="B2831" s="1">
        <v>89.0</v>
      </c>
      <c r="C2831" s="1">
        <v>90.0</v>
      </c>
      <c r="D2831" s="2" t="s">
        <v>2038</v>
      </c>
      <c r="E2831" s="1">
        <v>89.0</v>
      </c>
      <c r="F2831" s="1">
        <v>0.0</v>
      </c>
      <c r="G2831" s="1">
        <v>8.14</v>
      </c>
      <c r="H2831" s="1">
        <v>0.0</v>
      </c>
      <c r="I2831" s="1">
        <v>0.0</v>
      </c>
      <c r="J2831" s="1">
        <v>0.0</v>
      </c>
      <c r="K2831" s="1">
        <v>0.16</v>
      </c>
      <c r="L2831" s="1">
        <v>3350000.0</v>
      </c>
      <c r="M2831" s="1" t="s">
        <v>8342</v>
      </c>
      <c r="N2831" s="18">
        <v>46014.0</v>
      </c>
      <c r="O2831" s="1" t="s">
        <v>3493</v>
      </c>
      <c r="P2831" s="1" t="s">
        <v>3230</v>
      </c>
      <c r="Q2831" s="1" t="s">
        <v>3408</v>
      </c>
    </row>
    <row r="2832">
      <c r="A2832" s="1" t="s">
        <v>8343</v>
      </c>
      <c r="B2832" s="1">
        <v>89.0</v>
      </c>
      <c r="C2832" s="1">
        <v>70.0</v>
      </c>
      <c r="D2832" s="2" t="s">
        <v>447</v>
      </c>
      <c r="E2832" s="1">
        <v>89.0</v>
      </c>
      <c r="F2832" s="1">
        <v>21.0</v>
      </c>
      <c r="G2832" s="1">
        <v>4.7</v>
      </c>
      <c r="H2832" s="1">
        <v>0.0</v>
      </c>
      <c r="I2832" s="1">
        <v>0.0</v>
      </c>
      <c r="J2832" s="1">
        <v>0.0</v>
      </c>
      <c r="K2832" s="1">
        <v>0.36</v>
      </c>
      <c r="L2832" s="1">
        <v>42700.0</v>
      </c>
      <c r="M2832" s="1" t="s">
        <v>8344</v>
      </c>
      <c r="N2832" s="18">
        <v>46014.0</v>
      </c>
      <c r="O2832" s="1" t="s">
        <v>3435</v>
      </c>
      <c r="P2832" s="1" t="s">
        <v>3257</v>
      </c>
      <c r="Q2832" s="1" t="s">
        <v>3408</v>
      </c>
    </row>
    <row r="2833">
      <c r="A2833" s="1" t="s">
        <v>8345</v>
      </c>
      <c r="B2833" s="1">
        <v>89.0</v>
      </c>
      <c r="C2833" s="1">
        <v>260.0</v>
      </c>
      <c r="D2833" s="2" t="s">
        <v>770</v>
      </c>
      <c r="E2833" s="1">
        <v>89.0</v>
      </c>
      <c r="F2833" s="1">
        <v>18.0</v>
      </c>
      <c r="G2833" s="1">
        <v>0.0</v>
      </c>
      <c r="H2833" s="1">
        <v>0.0</v>
      </c>
      <c r="I2833" s="1">
        <v>0.0</v>
      </c>
      <c r="J2833" s="1">
        <v>0.0</v>
      </c>
      <c r="K2833" s="1">
        <v>0.0</v>
      </c>
      <c r="L2833" s="1">
        <v>366000.0</v>
      </c>
      <c r="M2833" s="1" t="s">
        <v>8346</v>
      </c>
      <c r="N2833" s="18">
        <v>46011.0</v>
      </c>
      <c r="O2833" s="1" t="s">
        <v>3479</v>
      </c>
      <c r="P2833" s="1" t="s">
        <v>3230</v>
      </c>
      <c r="Q2833" s="1" t="s">
        <v>3408</v>
      </c>
    </row>
    <row r="2834">
      <c r="A2834" s="1" t="s">
        <v>8347</v>
      </c>
      <c r="B2834" s="1">
        <v>89.0</v>
      </c>
      <c r="C2834" s="1">
        <v>110.0</v>
      </c>
      <c r="D2834" s="2" t="s">
        <v>1606</v>
      </c>
      <c r="E2834" s="1">
        <v>89.0</v>
      </c>
      <c r="F2834" s="1">
        <v>14.0</v>
      </c>
      <c r="G2834" s="1">
        <v>0.0</v>
      </c>
      <c r="H2834" s="1">
        <v>0.0</v>
      </c>
      <c r="I2834" s="1">
        <v>0.0</v>
      </c>
      <c r="J2834" s="1">
        <v>0.0</v>
      </c>
      <c r="K2834" s="1">
        <v>0.0</v>
      </c>
      <c r="L2834" s="1">
        <v>2.34E8</v>
      </c>
      <c r="M2834" s="1" t="s">
        <v>8348</v>
      </c>
      <c r="N2834" s="18">
        <v>46008.0</v>
      </c>
      <c r="O2834" s="1" t="s">
        <v>3237</v>
      </c>
      <c r="P2834" s="1" t="s">
        <v>3230</v>
      </c>
      <c r="Q2834" s="1" t="s">
        <v>3408</v>
      </c>
    </row>
    <row r="2835">
      <c r="A2835" s="1" t="s">
        <v>8349</v>
      </c>
      <c r="B2835" s="1">
        <v>89.0</v>
      </c>
      <c r="C2835" s="1">
        <v>70.0</v>
      </c>
      <c r="D2835" s="2" t="s">
        <v>638</v>
      </c>
      <c r="E2835" s="1">
        <v>89.0</v>
      </c>
      <c r="F2835" s="1">
        <v>4.0</v>
      </c>
      <c r="G2835" s="1">
        <v>0.0</v>
      </c>
      <c r="H2835" s="1">
        <v>0.0</v>
      </c>
      <c r="I2835" s="1">
        <v>0.0</v>
      </c>
      <c r="J2835" s="1">
        <v>0.0</v>
      </c>
      <c r="K2835" s="1">
        <v>0.0</v>
      </c>
      <c r="L2835" s="1">
        <v>1.44E7</v>
      </c>
      <c r="M2835" s="1" t="s">
        <v>8350</v>
      </c>
      <c r="N2835" s="18">
        <v>46006.0</v>
      </c>
      <c r="O2835" s="1" t="s">
        <v>4295</v>
      </c>
      <c r="P2835" s="1" t="s">
        <v>3230</v>
      </c>
      <c r="Q2835" s="1" t="s">
        <v>3408</v>
      </c>
    </row>
    <row r="2836">
      <c r="A2836" s="1" t="s">
        <v>8156</v>
      </c>
      <c r="B2836" s="1">
        <v>89.0</v>
      </c>
      <c r="C2836" s="1">
        <v>40.0</v>
      </c>
      <c r="D2836" s="2" t="s">
        <v>694</v>
      </c>
      <c r="E2836" s="1">
        <v>89.0</v>
      </c>
      <c r="F2836" s="1">
        <v>23.0</v>
      </c>
      <c r="G2836" s="1">
        <v>3.21</v>
      </c>
      <c r="H2836" s="1">
        <v>0.0</v>
      </c>
      <c r="I2836" s="1">
        <v>0.0</v>
      </c>
      <c r="J2836" s="1">
        <v>0.0</v>
      </c>
      <c r="K2836" s="1">
        <v>0.19</v>
      </c>
      <c r="L2836" s="1">
        <v>7700000.0</v>
      </c>
      <c r="M2836" s="1" t="s">
        <v>8157</v>
      </c>
      <c r="N2836" s="18">
        <v>46005.0</v>
      </c>
      <c r="O2836" s="1" t="s">
        <v>3496</v>
      </c>
      <c r="P2836" s="1" t="s">
        <v>3230</v>
      </c>
      <c r="Q2836" s="1" t="s">
        <v>3408</v>
      </c>
    </row>
    <row r="2837">
      <c r="A2837" s="1" t="s">
        <v>8351</v>
      </c>
      <c r="B2837" s="1">
        <v>89.0</v>
      </c>
      <c r="C2837" s="1">
        <v>70.0</v>
      </c>
      <c r="D2837" s="2" t="s">
        <v>439</v>
      </c>
      <c r="E2837" s="1">
        <v>89.0</v>
      </c>
      <c r="F2837" s="1">
        <v>37.0</v>
      </c>
      <c r="G2837" s="1">
        <v>5.26</v>
      </c>
      <c r="H2837" s="1">
        <v>0.0</v>
      </c>
      <c r="I2837" s="1">
        <v>0.0</v>
      </c>
      <c r="J2837" s="1">
        <v>0.0</v>
      </c>
      <c r="K2837" s="1">
        <v>0.06</v>
      </c>
      <c r="L2837" s="1">
        <v>2750000.0</v>
      </c>
      <c r="M2837" s="1" t="s">
        <v>8352</v>
      </c>
      <c r="N2837" s="18">
        <v>46003.0</v>
      </c>
      <c r="O2837" s="1" t="s">
        <v>4617</v>
      </c>
      <c r="P2837" s="1" t="s">
        <v>4538</v>
      </c>
      <c r="Q2837" s="1" t="s">
        <v>3408</v>
      </c>
    </row>
    <row r="2838">
      <c r="A2838" s="1" t="s">
        <v>8353</v>
      </c>
      <c r="B2838" s="1">
        <v>89.0</v>
      </c>
      <c r="C2838" s="1">
        <v>50.0</v>
      </c>
      <c r="D2838" s="2" t="s">
        <v>1355</v>
      </c>
      <c r="E2838" s="1">
        <v>89.0</v>
      </c>
      <c r="F2838" s="1">
        <v>0.0</v>
      </c>
      <c r="G2838" s="1">
        <v>2.9</v>
      </c>
      <c r="H2838" s="1">
        <v>0.0</v>
      </c>
      <c r="I2838" s="1">
        <v>0.0</v>
      </c>
      <c r="J2838" s="1">
        <v>0.0</v>
      </c>
      <c r="K2838" s="1">
        <v>0.39</v>
      </c>
      <c r="L2838" s="1">
        <v>8.8E7</v>
      </c>
      <c r="M2838" s="1" t="s">
        <v>8354</v>
      </c>
      <c r="N2838" s="18">
        <v>46002.0</v>
      </c>
      <c r="O2838" s="1" t="s">
        <v>8355</v>
      </c>
      <c r="P2838" s="1" t="s">
        <v>3230</v>
      </c>
      <c r="Q2838" s="1" t="s">
        <v>3408</v>
      </c>
    </row>
    <row r="2839">
      <c r="A2839" s="1" t="s">
        <v>8356</v>
      </c>
      <c r="B2839" s="1">
        <v>89.0</v>
      </c>
      <c r="C2839" s="1">
        <v>50.0</v>
      </c>
      <c r="D2839" s="2" t="s">
        <v>1129</v>
      </c>
      <c r="E2839" s="1">
        <v>89.0</v>
      </c>
      <c r="F2839" s="1">
        <v>8.0</v>
      </c>
      <c r="G2839" s="1">
        <v>0.0</v>
      </c>
      <c r="H2839" s="1">
        <v>0.0</v>
      </c>
      <c r="I2839" s="1">
        <v>0.0</v>
      </c>
      <c r="J2839" s="1">
        <v>0.0</v>
      </c>
      <c r="K2839" s="1">
        <v>0.0</v>
      </c>
      <c r="L2839" s="1">
        <v>4070000.0</v>
      </c>
      <c r="M2839" s="1" t="s">
        <v>8357</v>
      </c>
      <c r="N2839" s="18">
        <v>46000.0</v>
      </c>
      <c r="O2839" s="1" t="s">
        <v>8358</v>
      </c>
      <c r="P2839" s="1" t="s">
        <v>3230</v>
      </c>
      <c r="Q2839" s="1" t="s">
        <v>3408</v>
      </c>
    </row>
    <row r="2840">
      <c r="A2840" s="1" t="s">
        <v>8359</v>
      </c>
      <c r="B2840" s="1">
        <v>89.0</v>
      </c>
      <c r="C2840" s="1">
        <v>50.0</v>
      </c>
      <c r="D2840" s="2" t="s">
        <v>2408</v>
      </c>
      <c r="E2840" s="1">
        <v>89.0</v>
      </c>
      <c r="F2840" s="1">
        <v>17.0</v>
      </c>
      <c r="G2840" s="1">
        <v>0.0</v>
      </c>
      <c r="H2840" s="1">
        <v>0.0</v>
      </c>
      <c r="I2840" s="1">
        <v>0.0</v>
      </c>
      <c r="J2840" s="1">
        <v>0.0</v>
      </c>
      <c r="K2840" s="1">
        <v>0.0</v>
      </c>
      <c r="L2840" s="1">
        <v>3.89E7</v>
      </c>
      <c r="M2840" s="1" t="s">
        <v>8360</v>
      </c>
      <c r="N2840" s="18">
        <v>45997.0</v>
      </c>
      <c r="O2840" s="1" t="s">
        <v>3565</v>
      </c>
      <c r="P2840" s="1" t="s">
        <v>3230</v>
      </c>
      <c r="Q2840" s="1" t="s">
        <v>3408</v>
      </c>
    </row>
    <row r="2841">
      <c r="A2841" s="1" t="s">
        <v>8361</v>
      </c>
      <c r="B2841" s="1">
        <v>89.0</v>
      </c>
      <c r="C2841" s="1">
        <v>320.0</v>
      </c>
      <c r="D2841" s="2" t="s">
        <v>1473</v>
      </c>
      <c r="E2841" s="1">
        <v>89.0</v>
      </c>
      <c r="F2841" s="1">
        <v>59.0</v>
      </c>
      <c r="G2841" s="1">
        <v>7.42</v>
      </c>
      <c r="H2841" s="1">
        <v>0.0</v>
      </c>
      <c r="I2841" s="1">
        <v>0.0</v>
      </c>
      <c r="J2841" s="1">
        <v>0.0</v>
      </c>
      <c r="K2841" s="1">
        <v>0.04</v>
      </c>
      <c r="L2841" s="1">
        <v>1.09E8</v>
      </c>
      <c r="M2841" s="1" t="s">
        <v>8362</v>
      </c>
      <c r="N2841" s="18">
        <v>45996.0</v>
      </c>
      <c r="O2841" s="1" t="s">
        <v>5650</v>
      </c>
      <c r="P2841" s="1" t="s">
        <v>3230</v>
      </c>
      <c r="Q2841" s="1" t="s">
        <v>3408</v>
      </c>
    </row>
    <row r="2842">
      <c r="A2842" s="1" t="s">
        <v>8363</v>
      </c>
      <c r="B2842" s="1">
        <v>89.0</v>
      </c>
      <c r="C2842" s="1">
        <v>30.0</v>
      </c>
      <c r="D2842" s="2" t="s">
        <v>694</v>
      </c>
      <c r="E2842" s="1">
        <v>89.0</v>
      </c>
      <c r="F2842" s="1">
        <v>11.0</v>
      </c>
      <c r="G2842" s="1">
        <v>0.71</v>
      </c>
      <c r="H2842" s="1">
        <v>0.0</v>
      </c>
      <c r="I2842" s="1">
        <v>0.0</v>
      </c>
      <c r="J2842" s="1">
        <v>0.0</v>
      </c>
      <c r="K2842" s="1">
        <v>0.07</v>
      </c>
      <c r="L2842" s="1">
        <v>7940000.0</v>
      </c>
      <c r="M2842" s="1" t="s">
        <v>8364</v>
      </c>
      <c r="N2842" s="18">
        <v>45995.0</v>
      </c>
      <c r="O2842" s="1" t="s">
        <v>8365</v>
      </c>
      <c r="P2842" s="1" t="s">
        <v>3230</v>
      </c>
      <c r="Q2842" s="1" t="s">
        <v>3408</v>
      </c>
    </row>
    <row r="2843">
      <c r="A2843" s="1" t="s">
        <v>8366</v>
      </c>
      <c r="B2843" s="1">
        <v>89.0</v>
      </c>
      <c r="C2843" s="1">
        <v>30.0</v>
      </c>
      <c r="D2843" s="2" t="s">
        <v>740</v>
      </c>
      <c r="E2843" s="1">
        <v>89.0</v>
      </c>
      <c r="F2843" s="1">
        <v>10.0</v>
      </c>
      <c r="G2843" s="1">
        <v>9.72</v>
      </c>
      <c r="H2843" s="1">
        <v>0.0</v>
      </c>
      <c r="I2843" s="1">
        <v>0.0</v>
      </c>
      <c r="J2843" s="1">
        <v>0.0</v>
      </c>
      <c r="K2843" s="1">
        <v>0.82</v>
      </c>
      <c r="L2843" s="1">
        <v>2.04E7</v>
      </c>
      <c r="M2843" s="1" t="s">
        <v>8367</v>
      </c>
      <c r="N2843" s="18">
        <v>45992.0</v>
      </c>
      <c r="O2843" s="1" t="s">
        <v>6858</v>
      </c>
      <c r="P2843" s="1" t="s">
        <v>3230</v>
      </c>
      <c r="Q2843" s="1" t="s">
        <v>3408</v>
      </c>
    </row>
    <row r="2844">
      <c r="A2844" s="1" t="s">
        <v>8235</v>
      </c>
      <c r="B2844" s="1">
        <v>89.0</v>
      </c>
      <c r="C2844" s="1">
        <v>90.0</v>
      </c>
      <c r="D2844" s="2" t="s">
        <v>581</v>
      </c>
      <c r="E2844" s="1">
        <v>89.0</v>
      </c>
      <c r="F2844" s="1">
        <v>17.0</v>
      </c>
      <c r="G2844" s="1">
        <v>18.33</v>
      </c>
      <c r="H2844" s="1">
        <v>0.0</v>
      </c>
      <c r="I2844" s="1">
        <v>0.0</v>
      </c>
      <c r="J2844" s="1">
        <v>0.0</v>
      </c>
      <c r="K2844" s="1">
        <v>0.92</v>
      </c>
      <c r="L2844" s="1">
        <v>346000.0</v>
      </c>
      <c r="M2844" s="1" t="s">
        <v>8236</v>
      </c>
      <c r="N2844" s="18">
        <v>45991.0</v>
      </c>
      <c r="O2844" s="1" t="s">
        <v>5791</v>
      </c>
      <c r="P2844" s="1" t="s">
        <v>3257</v>
      </c>
      <c r="Q2844" s="1" t="s">
        <v>3408</v>
      </c>
    </row>
    <row r="2845">
      <c r="A2845" s="1" t="s">
        <v>8368</v>
      </c>
      <c r="B2845" s="1">
        <v>89.0</v>
      </c>
      <c r="C2845" s="1">
        <v>40.0</v>
      </c>
      <c r="D2845" s="2" t="s">
        <v>754</v>
      </c>
      <c r="E2845" s="1">
        <v>89.0</v>
      </c>
      <c r="F2845" s="1">
        <v>27.0</v>
      </c>
      <c r="G2845" s="1">
        <v>44.54</v>
      </c>
      <c r="H2845" s="1">
        <v>0.0</v>
      </c>
      <c r="I2845" s="1">
        <v>0.0</v>
      </c>
      <c r="J2845" s="1">
        <v>0.0</v>
      </c>
      <c r="K2845" s="1">
        <v>0.32</v>
      </c>
      <c r="L2845" s="1">
        <v>1.01E8</v>
      </c>
      <c r="M2845" s="1" t="s">
        <v>8369</v>
      </c>
      <c r="N2845" s="18">
        <v>45991.0</v>
      </c>
      <c r="O2845" s="1" t="s">
        <v>8370</v>
      </c>
      <c r="P2845" s="1" t="s">
        <v>3230</v>
      </c>
      <c r="Q2845" s="1" t="s">
        <v>3408</v>
      </c>
    </row>
    <row r="2846">
      <c r="A2846" s="1" t="s">
        <v>8371</v>
      </c>
      <c r="B2846" s="1">
        <v>89.0</v>
      </c>
      <c r="C2846" s="1">
        <v>50.0</v>
      </c>
      <c r="D2846" s="2" t="s">
        <v>439</v>
      </c>
      <c r="E2846" s="1">
        <v>89.0</v>
      </c>
      <c r="F2846" s="1">
        <v>33.0</v>
      </c>
      <c r="G2846" s="1">
        <v>57.59</v>
      </c>
      <c r="H2846" s="1">
        <v>0.0</v>
      </c>
      <c r="I2846" s="1">
        <v>0.0</v>
      </c>
      <c r="J2846" s="1">
        <v>0.0</v>
      </c>
      <c r="K2846" s="1">
        <v>0.7</v>
      </c>
      <c r="L2846" s="1">
        <v>1270.0</v>
      </c>
      <c r="M2846" s="1" t="s">
        <v>8372</v>
      </c>
      <c r="N2846" s="18">
        <v>45990.0</v>
      </c>
      <c r="O2846" s="1" t="s">
        <v>5364</v>
      </c>
      <c r="P2846" s="1" t="s">
        <v>3301</v>
      </c>
      <c r="Q2846" s="1" t="s">
        <v>3408</v>
      </c>
    </row>
    <row r="2847">
      <c r="A2847" s="1" t="s">
        <v>8373</v>
      </c>
      <c r="B2847" s="1">
        <v>89.0</v>
      </c>
      <c r="C2847" s="1">
        <v>480.0</v>
      </c>
      <c r="D2847" s="2" t="s">
        <v>581</v>
      </c>
      <c r="E2847" s="1">
        <v>89.0</v>
      </c>
      <c r="F2847" s="1">
        <v>55.0</v>
      </c>
      <c r="G2847" s="1">
        <v>19.44</v>
      </c>
      <c r="H2847" s="1">
        <v>0.0</v>
      </c>
      <c r="I2847" s="1">
        <v>0.0</v>
      </c>
      <c r="J2847" s="1">
        <v>0.0</v>
      </c>
      <c r="K2847" s="1">
        <v>0.58</v>
      </c>
      <c r="L2847" s="1">
        <v>10.0</v>
      </c>
      <c r="M2847" s="1" t="s">
        <v>8374</v>
      </c>
      <c r="N2847" s="18">
        <v>45986.0</v>
      </c>
      <c r="O2847" s="1" t="s">
        <v>4110</v>
      </c>
      <c r="P2847" s="1" t="s">
        <v>3257</v>
      </c>
      <c r="Q2847" s="1" t="s">
        <v>3408</v>
      </c>
    </row>
    <row r="2848">
      <c r="A2848" s="1" t="s">
        <v>8375</v>
      </c>
      <c r="B2848" s="1">
        <v>89.0</v>
      </c>
      <c r="C2848" s="1">
        <v>110.0</v>
      </c>
      <c r="D2848" s="2" t="s">
        <v>581</v>
      </c>
      <c r="E2848" s="1">
        <v>89.0</v>
      </c>
      <c r="F2848" s="1">
        <v>9.0</v>
      </c>
      <c r="G2848" s="1">
        <v>3.02</v>
      </c>
      <c r="H2848" s="1">
        <v>0.0</v>
      </c>
      <c r="I2848" s="1">
        <v>0.0</v>
      </c>
      <c r="J2848" s="1">
        <v>0.0</v>
      </c>
      <c r="K2848" s="1">
        <v>0.12</v>
      </c>
      <c r="L2848" s="1">
        <v>9.0</v>
      </c>
      <c r="M2848" s="1" t="s">
        <v>8376</v>
      </c>
      <c r="N2848" s="18">
        <v>45984.0</v>
      </c>
      <c r="O2848" s="1" t="s">
        <v>7022</v>
      </c>
      <c r="P2848" s="1" t="s">
        <v>3230</v>
      </c>
      <c r="Q2848" s="1" t="s">
        <v>3408</v>
      </c>
    </row>
    <row r="2849">
      <c r="A2849" s="1" t="s">
        <v>8377</v>
      </c>
      <c r="B2849" s="1">
        <v>89.0</v>
      </c>
      <c r="C2849" s="1">
        <v>210.0</v>
      </c>
      <c r="D2849" s="2" t="s">
        <v>1998</v>
      </c>
      <c r="E2849" s="1">
        <v>89.0</v>
      </c>
      <c r="F2849" s="1">
        <v>7.0</v>
      </c>
      <c r="G2849" s="1">
        <v>0.0</v>
      </c>
      <c r="H2849" s="1">
        <v>0.0</v>
      </c>
      <c r="I2849" s="1">
        <v>0.0</v>
      </c>
      <c r="J2849" s="1">
        <v>0.0</v>
      </c>
      <c r="K2849" s="1">
        <v>0.0</v>
      </c>
      <c r="L2849" s="1">
        <v>9.0</v>
      </c>
      <c r="M2849" s="1" t="s">
        <v>8378</v>
      </c>
      <c r="N2849" s="18">
        <v>45981.0</v>
      </c>
      <c r="O2849" s="1" t="s">
        <v>3317</v>
      </c>
      <c r="P2849" s="1" t="s">
        <v>3230</v>
      </c>
      <c r="Q2849" s="1" t="s">
        <v>3408</v>
      </c>
    </row>
    <row r="2850">
      <c r="A2850" s="1" t="s">
        <v>6618</v>
      </c>
      <c r="B2850" s="1">
        <v>89.0</v>
      </c>
      <c r="C2850" s="1">
        <v>70.0</v>
      </c>
      <c r="D2850" s="2" t="s">
        <v>2987</v>
      </c>
      <c r="E2850" s="1">
        <v>89.0</v>
      </c>
      <c r="F2850" s="1">
        <v>30.0</v>
      </c>
      <c r="G2850" s="1">
        <v>0.0</v>
      </c>
      <c r="H2850" s="1">
        <v>0.0</v>
      </c>
      <c r="I2850" s="1">
        <v>0.0</v>
      </c>
      <c r="J2850" s="1">
        <v>0.0</v>
      </c>
      <c r="K2850" s="1">
        <v>0.0</v>
      </c>
      <c r="L2850" s="1">
        <v>9.0</v>
      </c>
      <c r="M2850" s="1" t="s">
        <v>6619</v>
      </c>
      <c r="N2850" s="18">
        <v>45979.0</v>
      </c>
      <c r="O2850" s="1" t="s">
        <v>5962</v>
      </c>
      <c r="P2850" s="1" t="s">
        <v>3230</v>
      </c>
      <c r="Q2850" s="1" t="s">
        <v>3408</v>
      </c>
    </row>
    <row r="2851">
      <c r="A2851" s="1" t="s">
        <v>8379</v>
      </c>
      <c r="B2851" s="1">
        <v>89.0</v>
      </c>
      <c r="C2851" s="1">
        <v>90.0</v>
      </c>
      <c r="D2851" s="2" t="s">
        <v>782</v>
      </c>
      <c r="E2851" s="1">
        <v>89.0</v>
      </c>
      <c r="F2851" s="1">
        <v>10.0</v>
      </c>
      <c r="G2851" s="1">
        <v>10.82</v>
      </c>
      <c r="H2851" s="1">
        <v>0.0</v>
      </c>
      <c r="I2851" s="1">
        <v>0.0</v>
      </c>
      <c r="J2851" s="1">
        <v>0.0</v>
      </c>
      <c r="K2851" s="1">
        <v>0.04</v>
      </c>
      <c r="L2851" s="1">
        <v>10.0</v>
      </c>
      <c r="M2851" s="1" t="s">
        <v>8380</v>
      </c>
      <c r="N2851" s="18">
        <v>45967.0</v>
      </c>
      <c r="O2851" s="1" t="s">
        <v>8381</v>
      </c>
      <c r="P2851" s="1" t="s">
        <v>3230</v>
      </c>
      <c r="Q2851" s="1" t="s">
        <v>3408</v>
      </c>
    </row>
    <row r="2852">
      <c r="A2852" s="1" t="s">
        <v>8382</v>
      </c>
      <c r="B2852" s="1">
        <v>90.0</v>
      </c>
      <c r="C2852" s="1">
        <v>90.0</v>
      </c>
      <c r="D2852" s="2" t="s">
        <v>439</v>
      </c>
      <c r="E2852" s="1">
        <v>0.0</v>
      </c>
      <c r="F2852" s="1">
        <v>7.0</v>
      </c>
      <c r="G2852" s="1">
        <v>2.96</v>
      </c>
      <c r="H2852" s="1">
        <v>0.0</v>
      </c>
      <c r="I2852" s="1">
        <v>0.0</v>
      </c>
      <c r="J2852" s="1">
        <v>0.0</v>
      </c>
      <c r="K2852" s="1">
        <v>0.07</v>
      </c>
      <c r="L2852" s="1">
        <v>6.16E7</v>
      </c>
      <c r="M2852" s="1" t="s">
        <v>8383</v>
      </c>
      <c r="N2852" s="18">
        <v>46042.0</v>
      </c>
      <c r="O2852" s="1" t="s">
        <v>3404</v>
      </c>
      <c r="P2852" s="1" t="s">
        <v>3257</v>
      </c>
      <c r="Q2852" s="1" t="s">
        <v>3408</v>
      </c>
    </row>
    <row r="2853">
      <c r="A2853" s="1" t="s">
        <v>8384</v>
      </c>
      <c r="B2853" s="1">
        <v>90.0</v>
      </c>
      <c r="C2853" s="1">
        <v>140.0</v>
      </c>
      <c r="D2853" s="2" t="s">
        <v>2253</v>
      </c>
      <c r="E2853" s="1">
        <v>0.0</v>
      </c>
      <c r="F2853" s="1">
        <v>13.0</v>
      </c>
      <c r="G2853" s="1">
        <v>0.0</v>
      </c>
      <c r="H2853" s="1">
        <v>0.0</v>
      </c>
      <c r="I2853" s="1">
        <v>0.0</v>
      </c>
      <c r="J2853" s="1">
        <v>0.0</v>
      </c>
      <c r="K2853" s="1">
        <v>0.0</v>
      </c>
      <c r="L2853" s="1">
        <v>2.62E8</v>
      </c>
      <c r="M2853" s="1" t="s">
        <v>8385</v>
      </c>
      <c r="N2853" s="18">
        <v>46042.0</v>
      </c>
      <c r="O2853" s="1" t="s">
        <v>3264</v>
      </c>
      <c r="P2853" s="1" t="s">
        <v>3230</v>
      </c>
      <c r="Q2853" s="1" t="s">
        <v>3408</v>
      </c>
    </row>
    <row r="2854">
      <c r="A2854" s="1" t="s">
        <v>8386</v>
      </c>
      <c r="B2854" s="1">
        <v>90.0</v>
      </c>
      <c r="C2854" s="1">
        <v>90.0</v>
      </c>
      <c r="D2854" s="2" t="s">
        <v>439</v>
      </c>
      <c r="E2854" s="1">
        <v>90.0</v>
      </c>
      <c r="F2854" s="1">
        <v>32.0</v>
      </c>
      <c r="G2854" s="1">
        <v>2.86</v>
      </c>
      <c r="H2854" s="1">
        <v>0.0</v>
      </c>
      <c r="I2854" s="1">
        <v>0.0</v>
      </c>
      <c r="J2854" s="1">
        <v>0.0</v>
      </c>
      <c r="K2854" s="1">
        <v>0.09</v>
      </c>
      <c r="L2854" s="1">
        <v>2800000.0</v>
      </c>
      <c r="M2854" s="1" t="s">
        <v>8387</v>
      </c>
      <c r="N2854" s="18">
        <v>46037.0</v>
      </c>
      <c r="O2854" s="1" t="s">
        <v>8388</v>
      </c>
      <c r="P2854" s="1" t="s">
        <v>3301</v>
      </c>
      <c r="Q2854" s="1" t="s">
        <v>3408</v>
      </c>
    </row>
    <row r="2855">
      <c r="A2855" s="1" t="s">
        <v>8389</v>
      </c>
      <c r="B2855" s="1">
        <v>90.0</v>
      </c>
      <c r="C2855" s="1">
        <v>1900.0</v>
      </c>
      <c r="D2855" s="2" t="s">
        <v>592</v>
      </c>
      <c r="E2855" s="1">
        <v>90.0</v>
      </c>
      <c r="F2855" s="1">
        <v>19.0</v>
      </c>
      <c r="G2855" s="1">
        <v>5.31</v>
      </c>
      <c r="H2855" s="1">
        <v>0.0</v>
      </c>
      <c r="I2855" s="1">
        <v>0.0</v>
      </c>
      <c r="J2855" s="1">
        <v>0.0</v>
      </c>
      <c r="K2855" s="1">
        <v>0.24</v>
      </c>
      <c r="L2855" s="1">
        <v>1.5E7</v>
      </c>
      <c r="M2855" s="1" t="s">
        <v>8390</v>
      </c>
      <c r="N2855" s="18">
        <v>46035.0</v>
      </c>
      <c r="O2855" s="1" t="s">
        <v>3317</v>
      </c>
      <c r="P2855" s="1" t="s">
        <v>3230</v>
      </c>
      <c r="Q2855" s="1" t="s">
        <v>3408</v>
      </c>
    </row>
    <row r="2856">
      <c r="A2856" s="1" t="s">
        <v>8391</v>
      </c>
      <c r="B2856" s="1">
        <v>90.0</v>
      </c>
      <c r="C2856" s="1">
        <v>50.0</v>
      </c>
      <c r="D2856" s="2" t="s">
        <v>1177</v>
      </c>
      <c r="E2856" s="1">
        <v>90.0</v>
      </c>
      <c r="F2856" s="1">
        <v>0.0</v>
      </c>
      <c r="G2856" s="1">
        <v>0.0</v>
      </c>
      <c r="H2856" s="1">
        <v>0.0</v>
      </c>
      <c r="I2856" s="1">
        <v>0.0</v>
      </c>
      <c r="J2856" s="1">
        <v>0.0</v>
      </c>
      <c r="K2856" s="1">
        <v>0.0</v>
      </c>
      <c r="L2856" s="1">
        <v>342000.0</v>
      </c>
      <c r="M2856" s="1" t="s">
        <v>8392</v>
      </c>
      <c r="N2856" s="18">
        <v>46033.0</v>
      </c>
      <c r="O2856" s="1" t="s">
        <v>5007</v>
      </c>
      <c r="P2856" s="1" t="s">
        <v>3334</v>
      </c>
      <c r="Q2856" s="1" t="s">
        <v>3408</v>
      </c>
    </row>
    <row r="2857">
      <c r="A2857" s="1" t="s">
        <v>8393</v>
      </c>
      <c r="B2857" s="1">
        <v>90.0</v>
      </c>
      <c r="C2857" s="1">
        <v>40.0</v>
      </c>
      <c r="D2857" s="2" t="s">
        <v>439</v>
      </c>
      <c r="E2857" s="1">
        <v>90.0</v>
      </c>
      <c r="F2857" s="1">
        <v>24.0</v>
      </c>
      <c r="G2857" s="1">
        <v>0.0</v>
      </c>
      <c r="H2857" s="1">
        <v>0.0</v>
      </c>
      <c r="I2857" s="1">
        <v>0.0</v>
      </c>
      <c r="J2857" s="1">
        <v>0.0</v>
      </c>
      <c r="K2857" s="1">
        <v>0.05</v>
      </c>
      <c r="L2857" s="1">
        <v>1290000.0</v>
      </c>
      <c r="M2857" s="1" t="s">
        <v>4762</v>
      </c>
      <c r="N2857" s="18">
        <v>46031.0</v>
      </c>
      <c r="O2857" s="1" t="s">
        <v>3821</v>
      </c>
      <c r="P2857" s="1" t="s">
        <v>3294</v>
      </c>
      <c r="Q2857" s="1" t="s">
        <v>3408</v>
      </c>
    </row>
    <row r="2858">
      <c r="A2858" s="1" t="s">
        <v>8190</v>
      </c>
      <c r="B2858" s="1">
        <v>90.0</v>
      </c>
      <c r="C2858" s="1">
        <v>140.0</v>
      </c>
      <c r="D2858" s="2" t="s">
        <v>1536</v>
      </c>
      <c r="E2858" s="1">
        <v>90.0</v>
      </c>
      <c r="F2858" s="1">
        <v>4.0</v>
      </c>
      <c r="G2858" s="1">
        <v>4.52</v>
      </c>
      <c r="H2858" s="1">
        <v>0.0</v>
      </c>
      <c r="I2858" s="1">
        <v>0.0</v>
      </c>
      <c r="J2858" s="1">
        <v>0.0</v>
      </c>
      <c r="K2858" s="1">
        <v>0.03</v>
      </c>
      <c r="L2858" s="1">
        <v>1.2E7</v>
      </c>
      <c r="M2858" s="1" t="s">
        <v>8191</v>
      </c>
      <c r="N2858" s="18">
        <v>46028.0</v>
      </c>
      <c r="O2858" s="1" t="s">
        <v>3314</v>
      </c>
      <c r="P2858" s="1" t="s">
        <v>3230</v>
      </c>
      <c r="Q2858" s="1" t="s">
        <v>3408</v>
      </c>
    </row>
    <row r="2859">
      <c r="A2859" s="1" t="s">
        <v>8394</v>
      </c>
      <c r="B2859" s="1">
        <v>90.0</v>
      </c>
      <c r="C2859" s="1">
        <v>210.0</v>
      </c>
      <c r="D2859" s="2" t="s">
        <v>581</v>
      </c>
      <c r="E2859" s="1">
        <v>90.0</v>
      </c>
      <c r="F2859" s="1">
        <v>47.0</v>
      </c>
      <c r="G2859" s="1">
        <v>19.39</v>
      </c>
      <c r="H2859" s="1">
        <v>0.0</v>
      </c>
      <c r="I2859" s="1">
        <v>0.0</v>
      </c>
      <c r="J2859" s="1">
        <v>0.0</v>
      </c>
      <c r="K2859" s="1">
        <v>0.78</v>
      </c>
      <c r="L2859" s="1">
        <v>2.18E7</v>
      </c>
      <c r="M2859" s="1" t="s">
        <v>8395</v>
      </c>
      <c r="N2859" s="18">
        <v>46027.0</v>
      </c>
      <c r="O2859" s="1" t="s">
        <v>4208</v>
      </c>
      <c r="P2859" s="1" t="s">
        <v>3257</v>
      </c>
      <c r="Q2859" s="1" t="s">
        <v>3408</v>
      </c>
    </row>
    <row r="2860">
      <c r="A2860" s="1" t="s">
        <v>8396</v>
      </c>
      <c r="B2860" s="1">
        <v>90.0</v>
      </c>
      <c r="C2860" s="1">
        <v>40.0</v>
      </c>
      <c r="D2860" s="2" t="s">
        <v>1543</v>
      </c>
      <c r="E2860" s="1">
        <v>90.0</v>
      </c>
      <c r="F2860" s="1">
        <v>7.0</v>
      </c>
      <c r="G2860" s="1">
        <v>0.0</v>
      </c>
      <c r="H2860" s="1">
        <v>0.0</v>
      </c>
      <c r="I2860" s="1">
        <v>0.0</v>
      </c>
      <c r="J2860" s="1">
        <v>0.0</v>
      </c>
      <c r="K2860" s="1">
        <v>0.0</v>
      </c>
      <c r="L2860" s="1">
        <v>407000.0</v>
      </c>
      <c r="M2860" s="1" t="s">
        <v>8397</v>
      </c>
      <c r="N2860" s="18">
        <v>46026.0</v>
      </c>
      <c r="O2860" s="1" t="s">
        <v>4576</v>
      </c>
      <c r="P2860" s="1" t="s">
        <v>3230</v>
      </c>
      <c r="Q2860" s="1" t="s">
        <v>3408</v>
      </c>
    </row>
    <row r="2861">
      <c r="A2861" s="1" t="s">
        <v>8398</v>
      </c>
      <c r="B2861" s="1">
        <v>90.0</v>
      </c>
      <c r="C2861" s="1">
        <v>70.0</v>
      </c>
      <c r="D2861" s="2" t="s">
        <v>784</v>
      </c>
      <c r="E2861" s="1">
        <v>90.0</v>
      </c>
      <c r="F2861" s="1">
        <v>11.0</v>
      </c>
      <c r="G2861" s="1">
        <v>0.0</v>
      </c>
      <c r="H2861" s="1">
        <v>0.0</v>
      </c>
      <c r="I2861" s="1">
        <v>0.0</v>
      </c>
      <c r="J2861" s="1">
        <v>0.0</v>
      </c>
      <c r="K2861" s="1">
        <v>0.0</v>
      </c>
      <c r="L2861" s="1">
        <v>2.12E7</v>
      </c>
      <c r="M2861" s="1" t="s">
        <v>8399</v>
      </c>
      <c r="N2861" s="18">
        <v>46025.0</v>
      </c>
      <c r="O2861" s="1" t="s">
        <v>4965</v>
      </c>
      <c r="P2861" s="1" t="s">
        <v>3230</v>
      </c>
      <c r="Q2861" s="1" t="s">
        <v>3408</v>
      </c>
    </row>
    <row r="2862">
      <c r="A2862" s="1" t="s">
        <v>8400</v>
      </c>
      <c r="B2862" s="1">
        <v>90.0</v>
      </c>
      <c r="C2862" s="1">
        <v>110.0</v>
      </c>
      <c r="D2862" s="2" t="s">
        <v>439</v>
      </c>
      <c r="E2862" s="1">
        <v>90.0</v>
      </c>
      <c r="F2862" s="1">
        <v>18.0</v>
      </c>
      <c r="G2862" s="1">
        <v>6.82</v>
      </c>
      <c r="H2862" s="1">
        <v>0.0</v>
      </c>
      <c r="I2862" s="1">
        <v>0.0</v>
      </c>
      <c r="J2862" s="1">
        <v>0.0</v>
      </c>
      <c r="K2862" s="1">
        <v>0.05</v>
      </c>
      <c r="L2862" s="1">
        <v>15300.0</v>
      </c>
      <c r="M2862" s="1" t="s">
        <v>8401</v>
      </c>
      <c r="N2862" s="18">
        <v>46025.0</v>
      </c>
      <c r="O2862" s="1" t="s">
        <v>3821</v>
      </c>
      <c r="P2862" s="1" t="s">
        <v>3294</v>
      </c>
      <c r="Q2862" s="1" t="s">
        <v>3408</v>
      </c>
    </row>
    <row r="2863">
      <c r="A2863" s="1" t="s">
        <v>8402</v>
      </c>
      <c r="B2863" s="1">
        <v>90.0</v>
      </c>
      <c r="C2863" s="1">
        <v>140.0</v>
      </c>
      <c r="D2863" s="2" t="s">
        <v>808</v>
      </c>
      <c r="E2863" s="1">
        <v>90.0</v>
      </c>
      <c r="F2863" s="1">
        <v>18.0</v>
      </c>
      <c r="G2863" s="1">
        <v>0.0</v>
      </c>
      <c r="H2863" s="1">
        <v>0.0</v>
      </c>
      <c r="I2863" s="1">
        <v>0.0</v>
      </c>
      <c r="J2863" s="1">
        <v>0.0</v>
      </c>
      <c r="K2863" s="1">
        <v>0.0</v>
      </c>
      <c r="L2863" s="1">
        <v>92900.0</v>
      </c>
      <c r="M2863" s="1" t="s">
        <v>8403</v>
      </c>
      <c r="N2863" s="18">
        <v>46024.0</v>
      </c>
      <c r="O2863" s="1" t="s">
        <v>4084</v>
      </c>
      <c r="P2863" s="1" t="s">
        <v>3257</v>
      </c>
      <c r="Q2863" s="1" t="s">
        <v>3408</v>
      </c>
    </row>
    <row r="2864">
      <c r="A2864" s="1" t="s">
        <v>4004</v>
      </c>
      <c r="B2864" s="1">
        <v>90.0</v>
      </c>
      <c r="C2864" s="1">
        <v>170.0</v>
      </c>
      <c r="D2864" s="2" t="s">
        <v>463</v>
      </c>
      <c r="E2864" s="1">
        <v>90.0</v>
      </c>
      <c r="F2864" s="1">
        <v>32.0</v>
      </c>
      <c r="G2864" s="1">
        <v>14.43</v>
      </c>
      <c r="H2864" s="1">
        <v>0.0</v>
      </c>
      <c r="I2864" s="1">
        <v>0.0</v>
      </c>
      <c r="J2864" s="1">
        <v>0.0</v>
      </c>
      <c r="K2864" s="1">
        <v>0.61</v>
      </c>
      <c r="L2864" s="1">
        <v>197000.0</v>
      </c>
      <c r="M2864" s="1" t="s">
        <v>4005</v>
      </c>
      <c r="N2864" s="18">
        <v>46022.0</v>
      </c>
      <c r="O2864" s="1" t="s">
        <v>4006</v>
      </c>
      <c r="P2864" s="1" t="s">
        <v>3257</v>
      </c>
      <c r="Q2864" s="1" t="s">
        <v>3408</v>
      </c>
    </row>
    <row r="2865">
      <c r="A2865" s="1" t="s">
        <v>7814</v>
      </c>
      <c r="B2865" s="1">
        <v>90.0</v>
      </c>
      <c r="C2865" s="1">
        <v>50.0</v>
      </c>
      <c r="D2865" s="2" t="s">
        <v>592</v>
      </c>
      <c r="E2865" s="1">
        <v>90.0</v>
      </c>
      <c r="F2865" s="1">
        <v>0.0</v>
      </c>
      <c r="G2865" s="1">
        <v>0.0</v>
      </c>
      <c r="H2865" s="1">
        <v>0.0</v>
      </c>
      <c r="I2865" s="1">
        <v>0.0</v>
      </c>
      <c r="J2865" s="1">
        <v>0.0</v>
      </c>
      <c r="K2865" s="1">
        <v>0.0</v>
      </c>
      <c r="L2865" s="1">
        <v>45300.0</v>
      </c>
      <c r="M2865" s="1" t="s">
        <v>7815</v>
      </c>
      <c r="N2865" s="18">
        <v>46021.0</v>
      </c>
      <c r="O2865" s="1" t="s">
        <v>3713</v>
      </c>
      <c r="P2865" s="1" t="s">
        <v>3257</v>
      </c>
      <c r="Q2865" s="1" t="s">
        <v>3408</v>
      </c>
    </row>
    <row r="2866">
      <c r="A2866" s="1" t="s">
        <v>5854</v>
      </c>
      <c r="B2866" s="1">
        <v>90.0</v>
      </c>
      <c r="C2866" s="1">
        <v>90.0</v>
      </c>
      <c r="D2866" s="2" t="s">
        <v>439</v>
      </c>
      <c r="E2866" s="1">
        <v>90.0</v>
      </c>
      <c r="F2866" s="1">
        <v>27.0</v>
      </c>
      <c r="G2866" s="1">
        <v>3.59</v>
      </c>
      <c r="H2866" s="1">
        <v>0.0</v>
      </c>
      <c r="I2866" s="1">
        <v>0.0</v>
      </c>
      <c r="J2866" s="1">
        <v>0.0</v>
      </c>
      <c r="K2866" s="1">
        <v>0.03</v>
      </c>
      <c r="L2866" s="1">
        <v>5250000.0</v>
      </c>
      <c r="M2866" s="1" t="s">
        <v>5855</v>
      </c>
      <c r="N2866" s="18">
        <v>46020.0</v>
      </c>
      <c r="O2866" s="1" t="s">
        <v>3821</v>
      </c>
      <c r="P2866" s="1" t="s">
        <v>3294</v>
      </c>
      <c r="Q2866" s="1" t="s">
        <v>3408</v>
      </c>
    </row>
    <row r="2867">
      <c r="A2867" s="1" t="s">
        <v>8404</v>
      </c>
      <c r="B2867" s="1">
        <v>90.0</v>
      </c>
      <c r="C2867" s="1">
        <v>110.0</v>
      </c>
      <c r="D2867" s="2" t="s">
        <v>439</v>
      </c>
      <c r="E2867" s="1">
        <v>90.0</v>
      </c>
      <c r="F2867" s="1">
        <v>45.0</v>
      </c>
      <c r="G2867" s="1">
        <v>6.5</v>
      </c>
      <c r="H2867" s="1">
        <v>0.0</v>
      </c>
      <c r="I2867" s="1">
        <v>0.0</v>
      </c>
      <c r="J2867" s="1">
        <v>0.0</v>
      </c>
      <c r="K2867" s="1">
        <v>0.52</v>
      </c>
      <c r="L2867" s="1">
        <v>2.43E7</v>
      </c>
      <c r="M2867" s="1" t="s">
        <v>8405</v>
      </c>
      <c r="N2867" s="18">
        <v>46019.0</v>
      </c>
      <c r="O2867" s="1" t="s">
        <v>4407</v>
      </c>
      <c r="P2867" s="1" t="s">
        <v>3230</v>
      </c>
      <c r="Q2867" s="1" t="s">
        <v>3408</v>
      </c>
    </row>
    <row r="2868">
      <c r="A2868" s="1" t="s">
        <v>8406</v>
      </c>
      <c r="B2868" s="1">
        <v>90.0</v>
      </c>
      <c r="C2868" s="1">
        <v>40.0</v>
      </c>
      <c r="D2868" s="2" t="s">
        <v>1511</v>
      </c>
      <c r="E2868" s="1">
        <v>90.0</v>
      </c>
      <c r="F2868" s="1">
        <v>6.0</v>
      </c>
      <c r="G2868" s="1">
        <v>8.21</v>
      </c>
      <c r="H2868" s="1">
        <v>0.0</v>
      </c>
      <c r="I2868" s="1">
        <v>0.0</v>
      </c>
      <c r="J2868" s="1">
        <v>0.0</v>
      </c>
      <c r="K2868" s="1">
        <v>0.53</v>
      </c>
      <c r="L2868" s="1">
        <v>1.21E7</v>
      </c>
      <c r="M2868" s="1" t="s">
        <v>8407</v>
      </c>
      <c r="N2868" s="18">
        <v>46018.0</v>
      </c>
      <c r="O2868" s="1" t="s">
        <v>8408</v>
      </c>
      <c r="P2868" s="1" t="s">
        <v>3230</v>
      </c>
      <c r="Q2868" s="1" t="s">
        <v>3408</v>
      </c>
    </row>
    <row r="2869">
      <c r="A2869" s="1" t="s">
        <v>8409</v>
      </c>
      <c r="B2869" s="1">
        <v>90.0</v>
      </c>
      <c r="C2869" s="1">
        <v>90.0</v>
      </c>
      <c r="D2869" s="2" t="s">
        <v>439</v>
      </c>
      <c r="E2869" s="1">
        <v>90.0</v>
      </c>
      <c r="F2869" s="1">
        <v>15.0</v>
      </c>
      <c r="G2869" s="1">
        <v>6.7</v>
      </c>
      <c r="H2869" s="1">
        <v>0.0</v>
      </c>
      <c r="I2869" s="1">
        <v>0.0</v>
      </c>
      <c r="J2869" s="1">
        <v>0.0</v>
      </c>
      <c r="K2869" s="1">
        <v>0.25</v>
      </c>
      <c r="L2869" s="1">
        <v>2220.0</v>
      </c>
      <c r="M2869" s="1" t="s">
        <v>8410</v>
      </c>
      <c r="N2869" s="18">
        <v>46018.0</v>
      </c>
      <c r="O2869" s="1" t="s">
        <v>3293</v>
      </c>
      <c r="P2869" s="1" t="s">
        <v>3294</v>
      </c>
      <c r="Q2869" s="1" t="s">
        <v>3408</v>
      </c>
    </row>
    <row r="2870">
      <c r="A2870" s="1" t="s">
        <v>8411</v>
      </c>
      <c r="B2870" s="1">
        <v>90.0</v>
      </c>
      <c r="C2870" s="1">
        <v>210.0</v>
      </c>
      <c r="D2870" s="2" t="s">
        <v>936</v>
      </c>
      <c r="E2870" s="1">
        <v>90.0</v>
      </c>
      <c r="F2870" s="1">
        <v>1.0</v>
      </c>
      <c r="G2870" s="1">
        <v>1.81</v>
      </c>
      <c r="H2870" s="1">
        <v>0.0</v>
      </c>
      <c r="I2870" s="1">
        <v>0.0</v>
      </c>
      <c r="J2870" s="1">
        <v>0.0</v>
      </c>
      <c r="K2870" s="1">
        <v>0.36</v>
      </c>
      <c r="L2870" s="1">
        <v>194000.0</v>
      </c>
      <c r="M2870" s="1" t="s">
        <v>8412</v>
      </c>
      <c r="N2870" s="18">
        <v>46018.0</v>
      </c>
      <c r="O2870" s="1" t="s">
        <v>3264</v>
      </c>
      <c r="P2870" s="1" t="s">
        <v>3230</v>
      </c>
      <c r="Q2870" s="1" t="s">
        <v>3408</v>
      </c>
    </row>
    <row r="2871">
      <c r="A2871" s="1" t="s">
        <v>8413</v>
      </c>
      <c r="B2871" s="1">
        <v>90.0</v>
      </c>
      <c r="C2871" s="1">
        <v>50.0</v>
      </c>
      <c r="D2871" s="2" t="s">
        <v>2957</v>
      </c>
      <c r="E2871" s="1">
        <v>90.0</v>
      </c>
      <c r="F2871" s="1">
        <v>6.0</v>
      </c>
      <c r="G2871" s="1">
        <v>0.0</v>
      </c>
      <c r="H2871" s="1">
        <v>0.0</v>
      </c>
      <c r="I2871" s="1">
        <v>0.0</v>
      </c>
      <c r="J2871" s="1">
        <v>0.0</v>
      </c>
      <c r="K2871" s="1">
        <v>0.0</v>
      </c>
      <c r="L2871" s="1">
        <v>3560000.0</v>
      </c>
      <c r="M2871" s="1" t="s">
        <v>8414</v>
      </c>
      <c r="N2871" s="18">
        <v>46015.0</v>
      </c>
      <c r="O2871" s="1" t="s">
        <v>4643</v>
      </c>
      <c r="P2871" s="1" t="s">
        <v>3334</v>
      </c>
      <c r="Q2871" s="1" t="s">
        <v>3408</v>
      </c>
    </row>
    <row r="2872">
      <c r="A2872" s="1" t="s">
        <v>8415</v>
      </c>
      <c r="B2872" s="1">
        <v>90.0</v>
      </c>
      <c r="C2872" s="1">
        <v>70.0</v>
      </c>
      <c r="D2872" s="2" t="s">
        <v>1213</v>
      </c>
      <c r="E2872" s="1">
        <v>90.0</v>
      </c>
      <c r="F2872" s="1">
        <v>2.0</v>
      </c>
      <c r="G2872" s="1">
        <v>0.0</v>
      </c>
      <c r="H2872" s="1">
        <v>0.0</v>
      </c>
      <c r="I2872" s="1">
        <v>0.0</v>
      </c>
      <c r="J2872" s="1">
        <v>0.0</v>
      </c>
      <c r="K2872" s="1">
        <v>0.0</v>
      </c>
      <c r="L2872" s="1">
        <v>142000.0</v>
      </c>
      <c r="M2872" s="1" t="s">
        <v>8416</v>
      </c>
      <c r="N2872" s="18">
        <v>46012.0</v>
      </c>
      <c r="O2872" s="1" t="s">
        <v>3258</v>
      </c>
      <c r="P2872" s="1" t="s">
        <v>3334</v>
      </c>
      <c r="Q2872" s="1" t="s">
        <v>3408</v>
      </c>
    </row>
    <row r="2873">
      <c r="A2873" s="1" t="s">
        <v>4976</v>
      </c>
      <c r="B2873" s="1">
        <v>90.0</v>
      </c>
      <c r="C2873" s="1">
        <v>70.0</v>
      </c>
      <c r="D2873" s="2" t="s">
        <v>617</v>
      </c>
      <c r="E2873" s="1">
        <v>90.0</v>
      </c>
      <c r="F2873" s="1">
        <v>5.0</v>
      </c>
      <c r="G2873" s="1">
        <v>0.0</v>
      </c>
      <c r="H2873" s="1">
        <v>0.0</v>
      </c>
      <c r="I2873" s="1">
        <v>0.0</v>
      </c>
      <c r="J2873" s="1">
        <v>0.0</v>
      </c>
      <c r="K2873" s="1">
        <v>0.0</v>
      </c>
      <c r="L2873" s="1">
        <v>4960000.0</v>
      </c>
      <c r="M2873" s="1" t="s">
        <v>4977</v>
      </c>
      <c r="N2873" s="18">
        <v>46012.0</v>
      </c>
      <c r="O2873" s="1" t="s">
        <v>4978</v>
      </c>
      <c r="P2873" s="1" t="s">
        <v>3230</v>
      </c>
      <c r="Q2873" s="1" t="s">
        <v>3408</v>
      </c>
    </row>
    <row r="2874">
      <c r="A2874" s="1" t="s">
        <v>8417</v>
      </c>
      <c r="B2874" s="1">
        <v>90.0</v>
      </c>
      <c r="C2874" s="1">
        <v>30.0</v>
      </c>
      <c r="D2874" s="2" t="s">
        <v>2082</v>
      </c>
      <c r="E2874" s="1">
        <v>90.0</v>
      </c>
      <c r="F2874" s="1">
        <v>2.0</v>
      </c>
      <c r="G2874" s="1">
        <v>13.34</v>
      </c>
      <c r="H2874" s="1">
        <v>0.0</v>
      </c>
      <c r="I2874" s="1">
        <v>0.0</v>
      </c>
      <c r="J2874" s="1">
        <v>0.0</v>
      </c>
      <c r="K2874" s="1">
        <v>0.25</v>
      </c>
      <c r="L2874" s="1">
        <v>1370000.0</v>
      </c>
      <c r="M2874" s="1" t="s">
        <v>8418</v>
      </c>
      <c r="N2874" s="18">
        <v>46005.0</v>
      </c>
      <c r="O2874" s="1" t="s">
        <v>3479</v>
      </c>
      <c r="P2874" s="1" t="s">
        <v>3230</v>
      </c>
      <c r="Q2874" s="1" t="s">
        <v>3408</v>
      </c>
    </row>
    <row r="2875">
      <c r="A2875" s="1" t="s">
        <v>7894</v>
      </c>
      <c r="B2875" s="1">
        <v>90.0</v>
      </c>
      <c r="C2875" s="1">
        <v>40.0</v>
      </c>
      <c r="D2875" s="2" t="s">
        <v>447</v>
      </c>
      <c r="E2875" s="1">
        <v>90.0</v>
      </c>
      <c r="F2875" s="1">
        <v>11.0</v>
      </c>
      <c r="G2875" s="1">
        <v>3.14</v>
      </c>
      <c r="H2875" s="1">
        <v>0.0</v>
      </c>
      <c r="I2875" s="1">
        <v>0.0</v>
      </c>
      <c r="J2875" s="1">
        <v>0.0</v>
      </c>
      <c r="K2875" s="1">
        <v>0.59</v>
      </c>
      <c r="L2875" s="1">
        <v>800000.0</v>
      </c>
      <c r="M2875" s="1" t="s">
        <v>4086</v>
      </c>
      <c r="N2875" s="18">
        <v>46004.0</v>
      </c>
      <c r="O2875" s="1" t="s">
        <v>4110</v>
      </c>
      <c r="P2875" s="1" t="s">
        <v>3257</v>
      </c>
      <c r="Q2875" s="1" t="s">
        <v>3408</v>
      </c>
    </row>
    <row r="2876">
      <c r="A2876" s="1" t="s">
        <v>8419</v>
      </c>
      <c r="B2876" s="1">
        <v>90.0</v>
      </c>
      <c r="C2876" s="1">
        <v>70.0</v>
      </c>
      <c r="D2876" s="2" t="s">
        <v>654</v>
      </c>
      <c r="E2876" s="1">
        <v>90.0</v>
      </c>
      <c r="F2876" s="1">
        <v>1.0</v>
      </c>
      <c r="G2876" s="1">
        <v>3.82</v>
      </c>
      <c r="H2876" s="1">
        <v>0.0</v>
      </c>
      <c r="I2876" s="1">
        <v>0.0</v>
      </c>
      <c r="J2876" s="1">
        <v>0.0</v>
      </c>
      <c r="K2876" s="1">
        <v>0.14</v>
      </c>
      <c r="L2876" s="1">
        <v>1800000.0</v>
      </c>
      <c r="M2876" s="1" t="s">
        <v>8420</v>
      </c>
      <c r="N2876" s="18">
        <v>46003.0</v>
      </c>
      <c r="O2876" s="1" t="s">
        <v>4118</v>
      </c>
      <c r="P2876" s="1" t="s">
        <v>3334</v>
      </c>
      <c r="Q2876" s="1" t="s">
        <v>3408</v>
      </c>
    </row>
    <row r="2877">
      <c r="A2877" s="1" t="s">
        <v>8421</v>
      </c>
      <c r="B2877" s="1">
        <v>90.0</v>
      </c>
      <c r="C2877" s="1">
        <v>210.0</v>
      </c>
      <c r="D2877" s="2" t="s">
        <v>2957</v>
      </c>
      <c r="E2877" s="1">
        <v>90.0</v>
      </c>
      <c r="F2877" s="1">
        <v>20.0</v>
      </c>
      <c r="G2877" s="1">
        <v>7.29</v>
      </c>
      <c r="H2877" s="1">
        <v>0.0</v>
      </c>
      <c r="I2877" s="1">
        <v>0.0</v>
      </c>
      <c r="J2877" s="1">
        <v>0.0</v>
      </c>
      <c r="K2877" s="1">
        <v>0.05</v>
      </c>
      <c r="L2877" s="1">
        <v>5150000.0</v>
      </c>
      <c r="M2877" s="1" t="s">
        <v>8422</v>
      </c>
      <c r="N2877" s="18">
        <v>46002.0</v>
      </c>
      <c r="O2877" s="1" t="s">
        <v>3479</v>
      </c>
      <c r="P2877" s="1" t="s">
        <v>3334</v>
      </c>
      <c r="Q2877" s="1" t="s">
        <v>3408</v>
      </c>
    </row>
    <row r="2878">
      <c r="A2878" s="1" t="s">
        <v>8423</v>
      </c>
      <c r="B2878" s="1">
        <v>90.0</v>
      </c>
      <c r="C2878" s="1">
        <v>170.0</v>
      </c>
      <c r="D2878" s="2" t="s">
        <v>581</v>
      </c>
      <c r="E2878" s="1">
        <v>90.0</v>
      </c>
      <c r="F2878" s="1">
        <v>31.0</v>
      </c>
      <c r="G2878" s="1">
        <v>4.99</v>
      </c>
      <c r="H2878" s="1">
        <v>0.0</v>
      </c>
      <c r="I2878" s="1">
        <v>0.0</v>
      </c>
      <c r="J2878" s="1">
        <v>0.0</v>
      </c>
      <c r="K2878" s="1">
        <v>0.84</v>
      </c>
      <c r="L2878" s="1">
        <v>6620000.0</v>
      </c>
      <c r="M2878" s="1" t="s">
        <v>8424</v>
      </c>
      <c r="N2878" s="18">
        <v>46001.0</v>
      </c>
      <c r="O2878" s="1" t="s">
        <v>4887</v>
      </c>
      <c r="P2878" s="1" t="s">
        <v>3257</v>
      </c>
      <c r="Q2878" s="1" t="s">
        <v>3408</v>
      </c>
    </row>
    <row r="2879">
      <c r="A2879" s="1" t="s">
        <v>8425</v>
      </c>
      <c r="B2879" s="1">
        <v>90.0</v>
      </c>
      <c r="C2879" s="1">
        <v>50.0</v>
      </c>
      <c r="D2879" s="2" t="s">
        <v>2963</v>
      </c>
      <c r="E2879" s="1">
        <v>90.0</v>
      </c>
      <c r="F2879" s="1">
        <v>12.0</v>
      </c>
      <c r="G2879" s="1">
        <v>0.0</v>
      </c>
      <c r="H2879" s="1">
        <v>0.0</v>
      </c>
      <c r="I2879" s="1">
        <v>0.0</v>
      </c>
      <c r="J2879" s="1">
        <v>0.0</v>
      </c>
      <c r="K2879" s="1">
        <v>0.0</v>
      </c>
      <c r="L2879" s="1">
        <v>1220000.0</v>
      </c>
      <c r="M2879" s="1" t="s">
        <v>8426</v>
      </c>
      <c r="N2879" s="18">
        <v>46001.0</v>
      </c>
      <c r="O2879" s="1" t="s">
        <v>8427</v>
      </c>
      <c r="P2879" s="1" t="s">
        <v>3230</v>
      </c>
      <c r="Q2879" s="1" t="s">
        <v>3408</v>
      </c>
    </row>
    <row r="2880">
      <c r="A2880" s="1" t="s">
        <v>8428</v>
      </c>
      <c r="B2880" s="1">
        <v>90.0</v>
      </c>
      <c r="C2880" s="1">
        <v>50.0</v>
      </c>
      <c r="D2880" s="2" t="s">
        <v>439</v>
      </c>
      <c r="E2880" s="1">
        <v>90.0</v>
      </c>
      <c r="F2880" s="1">
        <v>15.0</v>
      </c>
      <c r="G2880" s="1">
        <v>1.74</v>
      </c>
      <c r="H2880" s="1">
        <v>0.0</v>
      </c>
      <c r="I2880" s="1">
        <v>0.0</v>
      </c>
      <c r="J2880" s="1">
        <v>0.0</v>
      </c>
      <c r="K2880" s="1">
        <v>0.09</v>
      </c>
      <c r="L2880" s="1">
        <v>133000.0</v>
      </c>
      <c r="M2880" s="1" t="s">
        <v>8429</v>
      </c>
      <c r="N2880" s="18">
        <v>45993.0</v>
      </c>
      <c r="O2880" s="1" t="s">
        <v>4121</v>
      </c>
      <c r="P2880" s="1" t="s">
        <v>3294</v>
      </c>
      <c r="Q2880" s="1" t="s">
        <v>3408</v>
      </c>
    </row>
    <row r="2881">
      <c r="A2881" s="1" t="s">
        <v>3855</v>
      </c>
      <c r="B2881" s="1">
        <v>90.0</v>
      </c>
      <c r="C2881" s="1">
        <v>140.0</v>
      </c>
      <c r="D2881" s="2" t="s">
        <v>1246</v>
      </c>
      <c r="E2881" s="1">
        <v>90.0</v>
      </c>
      <c r="F2881" s="1">
        <v>21.0</v>
      </c>
      <c r="G2881" s="1">
        <v>17.84</v>
      </c>
      <c r="H2881" s="1">
        <v>0.0</v>
      </c>
      <c r="I2881" s="1">
        <v>0.0</v>
      </c>
      <c r="J2881" s="1">
        <v>0.0</v>
      </c>
      <c r="K2881" s="1">
        <v>0.12</v>
      </c>
      <c r="L2881" s="1">
        <v>4170000.0</v>
      </c>
      <c r="M2881" s="1" t="s">
        <v>3856</v>
      </c>
      <c r="N2881" s="18">
        <v>45993.0</v>
      </c>
      <c r="O2881" s="1" t="s">
        <v>3673</v>
      </c>
      <c r="P2881" s="1" t="s">
        <v>3257</v>
      </c>
      <c r="Q2881" s="1" t="s">
        <v>3408</v>
      </c>
    </row>
    <row r="2882">
      <c r="A2882" s="1" t="s">
        <v>8430</v>
      </c>
      <c r="B2882" s="1">
        <v>90.0</v>
      </c>
      <c r="C2882" s="1">
        <v>70.0</v>
      </c>
      <c r="D2882" s="2" t="s">
        <v>581</v>
      </c>
      <c r="E2882" s="1">
        <v>90.0</v>
      </c>
      <c r="F2882" s="1">
        <v>12.0</v>
      </c>
      <c r="G2882" s="1">
        <v>17.9</v>
      </c>
      <c r="H2882" s="1">
        <v>0.0</v>
      </c>
      <c r="I2882" s="1">
        <v>0.0</v>
      </c>
      <c r="J2882" s="1">
        <v>0.0</v>
      </c>
      <c r="K2882" s="1">
        <v>0.86</v>
      </c>
      <c r="L2882" s="1">
        <v>1010000.0</v>
      </c>
      <c r="M2882" s="1" t="s">
        <v>8431</v>
      </c>
      <c r="N2882" s="18">
        <v>45993.0</v>
      </c>
      <c r="O2882" s="1" t="s">
        <v>4226</v>
      </c>
      <c r="P2882" s="1" t="s">
        <v>3257</v>
      </c>
      <c r="Q2882" s="1" t="s">
        <v>3408</v>
      </c>
    </row>
    <row r="2883">
      <c r="A2883" s="1" t="s">
        <v>8432</v>
      </c>
      <c r="B2883" s="1">
        <v>90.0</v>
      </c>
      <c r="C2883" s="1">
        <v>70.0</v>
      </c>
      <c r="D2883" s="2" t="s">
        <v>581</v>
      </c>
      <c r="E2883" s="1">
        <v>90.0</v>
      </c>
      <c r="F2883" s="1">
        <v>34.0</v>
      </c>
      <c r="G2883" s="1">
        <v>16.88</v>
      </c>
      <c r="H2883" s="1">
        <v>0.0</v>
      </c>
      <c r="I2883" s="1">
        <v>0.0</v>
      </c>
      <c r="J2883" s="1">
        <v>0.0</v>
      </c>
      <c r="K2883" s="1">
        <v>0.54</v>
      </c>
      <c r="L2883" s="1">
        <v>163000.0</v>
      </c>
      <c r="M2883" s="1" t="s">
        <v>8433</v>
      </c>
      <c r="N2883" s="18">
        <v>45991.0</v>
      </c>
      <c r="O2883" s="1" t="s">
        <v>3673</v>
      </c>
      <c r="P2883" s="1" t="s">
        <v>3257</v>
      </c>
      <c r="Q2883" s="1" t="s">
        <v>3408</v>
      </c>
    </row>
    <row r="2884">
      <c r="A2884" s="1" t="s">
        <v>8434</v>
      </c>
      <c r="B2884" s="1">
        <v>90.0</v>
      </c>
      <c r="C2884" s="1">
        <v>90.0</v>
      </c>
      <c r="D2884" s="2" t="s">
        <v>694</v>
      </c>
      <c r="E2884" s="1">
        <v>90.0</v>
      </c>
      <c r="F2884" s="1">
        <v>40.0</v>
      </c>
      <c r="G2884" s="1">
        <v>0.75</v>
      </c>
      <c r="H2884" s="1">
        <v>0.0</v>
      </c>
      <c r="I2884" s="1">
        <v>0.0</v>
      </c>
      <c r="J2884" s="1">
        <v>0.0</v>
      </c>
      <c r="K2884" s="1">
        <v>0.12</v>
      </c>
      <c r="L2884" s="1">
        <v>8000000.0</v>
      </c>
      <c r="M2884" s="1" t="s">
        <v>8435</v>
      </c>
      <c r="N2884" s="18">
        <v>45990.0</v>
      </c>
      <c r="O2884" s="1" t="s">
        <v>6168</v>
      </c>
      <c r="P2884" s="1" t="s">
        <v>3230</v>
      </c>
      <c r="Q2884" s="1" t="s">
        <v>3408</v>
      </c>
    </row>
    <row r="2885">
      <c r="A2885" s="1" t="s">
        <v>8436</v>
      </c>
      <c r="B2885" s="1">
        <v>90.0</v>
      </c>
      <c r="C2885" s="1">
        <v>70.0</v>
      </c>
      <c r="D2885" s="2" t="s">
        <v>694</v>
      </c>
      <c r="E2885" s="1">
        <v>90.0</v>
      </c>
      <c r="F2885" s="1">
        <v>14.0</v>
      </c>
      <c r="G2885" s="1">
        <v>1.24</v>
      </c>
      <c r="H2885" s="1">
        <v>0.0</v>
      </c>
      <c r="I2885" s="1">
        <v>0.0</v>
      </c>
      <c r="J2885" s="1">
        <v>0.0</v>
      </c>
      <c r="K2885" s="1">
        <v>0.07</v>
      </c>
      <c r="L2885" s="1">
        <v>7820000.0</v>
      </c>
      <c r="M2885" s="1" t="s">
        <v>8437</v>
      </c>
      <c r="N2885" s="18">
        <v>45989.0</v>
      </c>
      <c r="O2885" s="1" t="s">
        <v>4543</v>
      </c>
      <c r="P2885" s="1" t="s">
        <v>4549</v>
      </c>
      <c r="Q2885" s="1" t="s">
        <v>3408</v>
      </c>
    </row>
    <row r="2886">
      <c r="A2886" s="1" t="s">
        <v>8438</v>
      </c>
      <c r="B2886" s="1">
        <v>90.0</v>
      </c>
      <c r="C2886" s="1">
        <v>30.0</v>
      </c>
      <c r="D2886" s="2" t="s">
        <v>439</v>
      </c>
      <c r="E2886" s="1">
        <v>90.0</v>
      </c>
      <c r="F2886" s="1">
        <v>13.0</v>
      </c>
      <c r="G2886" s="1">
        <v>10.41</v>
      </c>
      <c r="H2886" s="1">
        <v>0.0</v>
      </c>
      <c r="I2886" s="1">
        <v>0.0</v>
      </c>
      <c r="J2886" s="1">
        <v>0.0</v>
      </c>
      <c r="K2886" s="1">
        <v>0.15</v>
      </c>
      <c r="L2886" s="1">
        <v>0.0</v>
      </c>
      <c r="M2886" s="1" t="s">
        <v>8439</v>
      </c>
      <c r="N2886" s="18">
        <v>45984.0</v>
      </c>
      <c r="O2886" s="1" t="s">
        <v>4926</v>
      </c>
      <c r="P2886" s="1" t="s">
        <v>3294</v>
      </c>
      <c r="Q2886" s="1" t="s">
        <v>3408</v>
      </c>
    </row>
    <row r="2887">
      <c r="A2887" s="1" t="s">
        <v>8440</v>
      </c>
      <c r="B2887" s="1">
        <v>90.0</v>
      </c>
      <c r="C2887" s="1">
        <v>90.0</v>
      </c>
      <c r="D2887" s="2" t="s">
        <v>439</v>
      </c>
      <c r="E2887" s="1">
        <v>90.0</v>
      </c>
      <c r="F2887" s="1">
        <v>4.0</v>
      </c>
      <c r="G2887" s="1">
        <v>3.53</v>
      </c>
      <c r="H2887" s="1">
        <v>0.0</v>
      </c>
      <c r="I2887" s="1">
        <v>0.0</v>
      </c>
      <c r="J2887" s="1">
        <v>0.0</v>
      </c>
      <c r="K2887" s="1">
        <v>0.17</v>
      </c>
      <c r="L2887" s="1">
        <v>8.0</v>
      </c>
      <c r="M2887" s="1" t="s">
        <v>8441</v>
      </c>
      <c r="N2887" s="18">
        <v>45980.0</v>
      </c>
      <c r="O2887" s="1" t="s">
        <v>7561</v>
      </c>
      <c r="P2887" s="1" t="s">
        <v>3230</v>
      </c>
      <c r="Q2887" s="1" t="s">
        <v>3408</v>
      </c>
    </row>
    <row r="2888">
      <c r="A2888" s="1" t="s">
        <v>8442</v>
      </c>
      <c r="B2888" s="1">
        <v>90.0</v>
      </c>
      <c r="C2888" s="1">
        <v>880.0</v>
      </c>
      <c r="D2888" s="2" t="s">
        <v>1532</v>
      </c>
      <c r="E2888" s="1">
        <v>90.0</v>
      </c>
      <c r="F2888" s="1">
        <v>0.0</v>
      </c>
      <c r="G2888" s="1">
        <v>2.46</v>
      </c>
      <c r="H2888" s="1">
        <v>0.0</v>
      </c>
      <c r="I2888" s="1">
        <v>0.0</v>
      </c>
      <c r="J2888" s="1">
        <v>0.0</v>
      </c>
      <c r="K2888" s="1">
        <v>0.06</v>
      </c>
      <c r="L2888" s="1">
        <v>8.0</v>
      </c>
      <c r="M2888" s="1" t="s">
        <v>8443</v>
      </c>
      <c r="N2888" s="18">
        <v>45980.0</v>
      </c>
      <c r="O2888" s="1" t="s">
        <v>3920</v>
      </c>
      <c r="P2888" s="1" t="s">
        <v>3230</v>
      </c>
      <c r="Q2888" s="1" t="s">
        <v>3408</v>
      </c>
    </row>
    <row r="2889">
      <c r="A2889" s="1" t="s">
        <v>8444</v>
      </c>
      <c r="B2889" s="1">
        <v>90.0</v>
      </c>
      <c r="C2889" s="1">
        <v>70.0</v>
      </c>
      <c r="D2889" s="2" t="s">
        <v>714</v>
      </c>
      <c r="E2889" s="1">
        <v>90.0</v>
      </c>
      <c r="F2889" s="1">
        <v>0.0</v>
      </c>
      <c r="G2889" s="1">
        <v>0.0</v>
      </c>
      <c r="H2889" s="1">
        <v>0.0</v>
      </c>
      <c r="I2889" s="1">
        <v>0.0</v>
      </c>
      <c r="J2889" s="1">
        <v>0.0</v>
      </c>
      <c r="K2889" s="1">
        <v>0.0</v>
      </c>
      <c r="L2889" s="1">
        <v>185.0</v>
      </c>
      <c r="M2889" s="1" t="s">
        <v>8445</v>
      </c>
      <c r="N2889" s="18">
        <v>45978.0</v>
      </c>
      <c r="O2889" s="1" t="s">
        <v>3252</v>
      </c>
      <c r="P2889" s="1" t="s">
        <v>3230</v>
      </c>
      <c r="Q2889" s="1" t="s">
        <v>3408</v>
      </c>
    </row>
    <row r="2890">
      <c r="A2890" s="1" t="s">
        <v>8446</v>
      </c>
      <c r="B2890" s="1">
        <v>91.0</v>
      </c>
      <c r="C2890" s="1">
        <v>90.0</v>
      </c>
      <c r="D2890" s="2" t="s">
        <v>1552</v>
      </c>
      <c r="E2890" s="1">
        <v>91.0</v>
      </c>
      <c r="G2890" s="1">
        <v>2.16</v>
      </c>
      <c r="H2890" s="1">
        <v>0.0</v>
      </c>
      <c r="I2890" s="1">
        <v>0.0</v>
      </c>
      <c r="J2890" s="1">
        <v>0.0</v>
      </c>
      <c r="K2890" s="1">
        <v>0.14</v>
      </c>
      <c r="L2890" s="1">
        <v>4190000.0</v>
      </c>
      <c r="M2890" s="1" t="s">
        <v>8447</v>
      </c>
      <c r="N2890" s="18">
        <v>46040.0</v>
      </c>
      <c r="O2890" s="1" t="s">
        <v>3269</v>
      </c>
      <c r="P2890" s="1" t="s">
        <v>3334</v>
      </c>
      <c r="Q2890" s="1" t="s">
        <v>3408</v>
      </c>
    </row>
    <row r="2891">
      <c r="A2891" s="1" t="s">
        <v>8448</v>
      </c>
      <c r="B2891" s="1">
        <v>91.0</v>
      </c>
      <c r="C2891" s="1">
        <v>110.0</v>
      </c>
      <c r="D2891" s="2" t="s">
        <v>1650</v>
      </c>
      <c r="E2891" s="1">
        <v>91.0</v>
      </c>
      <c r="F2891" s="1">
        <v>4.0</v>
      </c>
      <c r="G2891" s="1">
        <v>5.78</v>
      </c>
      <c r="H2891" s="1">
        <v>0.0</v>
      </c>
      <c r="I2891" s="1">
        <v>0.0</v>
      </c>
      <c r="J2891" s="1">
        <v>0.0</v>
      </c>
      <c r="K2891" s="1">
        <v>0.06</v>
      </c>
      <c r="L2891" s="1">
        <v>114000.0</v>
      </c>
      <c r="M2891" s="1" t="s">
        <v>8449</v>
      </c>
      <c r="N2891" s="18">
        <v>46038.0</v>
      </c>
      <c r="O2891" s="1" t="s">
        <v>3824</v>
      </c>
      <c r="P2891" s="1" t="s">
        <v>3230</v>
      </c>
      <c r="Q2891" s="1" t="s">
        <v>3408</v>
      </c>
    </row>
    <row r="2892">
      <c r="A2892" s="1" t="s">
        <v>8450</v>
      </c>
      <c r="B2892" s="1">
        <v>91.0</v>
      </c>
      <c r="C2892" s="1">
        <v>50.0</v>
      </c>
      <c r="D2892" s="2" t="s">
        <v>1129</v>
      </c>
      <c r="E2892" s="1">
        <v>91.0</v>
      </c>
      <c r="F2892" s="1">
        <v>8.0</v>
      </c>
      <c r="G2892" s="1">
        <v>23.38</v>
      </c>
      <c r="H2892" s="1">
        <v>0.0</v>
      </c>
      <c r="I2892" s="1">
        <v>0.0</v>
      </c>
      <c r="J2892" s="1">
        <v>0.0</v>
      </c>
      <c r="K2892" s="1">
        <v>0.39</v>
      </c>
      <c r="L2892" s="1">
        <v>1140000.0</v>
      </c>
      <c r="M2892" s="1" t="s">
        <v>8451</v>
      </c>
      <c r="N2892" s="18">
        <v>46037.0</v>
      </c>
      <c r="O2892" s="1" t="s">
        <v>4110</v>
      </c>
      <c r="P2892" s="1" t="s">
        <v>3257</v>
      </c>
      <c r="Q2892" s="1" t="s">
        <v>3408</v>
      </c>
    </row>
    <row r="2893">
      <c r="A2893" s="1" t="s">
        <v>8452</v>
      </c>
      <c r="B2893" s="1">
        <v>91.0</v>
      </c>
      <c r="C2893" s="1">
        <v>30.0</v>
      </c>
      <c r="D2893" s="2" t="s">
        <v>581</v>
      </c>
      <c r="E2893" s="1">
        <v>91.0</v>
      </c>
      <c r="F2893" s="1">
        <v>33.0</v>
      </c>
      <c r="G2893" s="1">
        <v>16.54</v>
      </c>
      <c r="H2893" s="1">
        <v>0.0</v>
      </c>
      <c r="I2893" s="1">
        <v>0.0</v>
      </c>
      <c r="J2893" s="1">
        <v>0.0</v>
      </c>
      <c r="K2893" s="1">
        <v>0.7</v>
      </c>
      <c r="L2893" s="1">
        <v>4460000.0</v>
      </c>
      <c r="M2893" s="1" t="s">
        <v>8453</v>
      </c>
      <c r="N2893" s="18">
        <v>46032.0</v>
      </c>
      <c r="O2893" s="1" t="s">
        <v>4165</v>
      </c>
      <c r="P2893" s="1" t="s">
        <v>3257</v>
      </c>
      <c r="Q2893" s="1" t="s">
        <v>3408</v>
      </c>
    </row>
    <row r="2894">
      <c r="A2894" s="1" t="s">
        <v>8454</v>
      </c>
      <c r="B2894" s="1">
        <v>91.0</v>
      </c>
      <c r="C2894" s="1">
        <v>590.0</v>
      </c>
      <c r="D2894" s="2" t="s">
        <v>455</v>
      </c>
      <c r="E2894" s="1">
        <v>91.0</v>
      </c>
      <c r="F2894" s="1">
        <v>51.0</v>
      </c>
      <c r="G2894" s="1">
        <v>0.0</v>
      </c>
      <c r="H2894" s="1">
        <v>0.0</v>
      </c>
      <c r="I2894" s="1">
        <v>0.0</v>
      </c>
      <c r="J2894" s="1">
        <v>0.0</v>
      </c>
      <c r="K2894" s="1">
        <v>0.0</v>
      </c>
      <c r="L2894" s="1">
        <v>7.11E7</v>
      </c>
      <c r="M2894" s="1" t="s">
        <v>8455</v>
      </c>
      <c r="N2894" s="18">
        <v>46028.0</v>
      </c>
      <c r="O2894" s="1" t="s">
        <v>3455</v>
      </c>
      <c r="P2894" s="1" t="s">
        <v>3294</v>
      </c>
      <c r="Q2894" s="1" t="s">
        <v>3408</v>
      </c>
    </row>
    <row r="2895">
      <c r="A2895" s="1" t="s">
        <v>8456</v>
      </c>
      <c r="B2895" s="1">
        <v>91.0</v>
      </c>
      <c r="C2895" s="1">
        <v>140.0</v>
      </c>
      <c r="D2895" s="2" t="s">
        <v>1436</v>
      </c>
      <c r="E2895" s="1">
        <v>91.0</v>
      </c>
      <c r="F2895" s="1">
        <v>38.0</v>
      </c>
      <c r="G2895" s="1">
        <v>12.84</v>
      </c>
      <c r="H2895" s="1">
        <v>0.0</v>
      </c>
      <c r="I2895" s="1">
        <v>0.0</v>
      </c>
      <c r="J2895" s="1">
        <v>0.0</v>
      </c>
      <c r="K2895" s="1">
        <v>0.64</v>
      </c>
      <c r="L2895" s="1">
        <v>275000.0</v>
      </c>
      <c r="M2895" s="1" t="s">
        <v>8457</v>
      </c>
      <c r="N2895" s="18">
        <v>46028.0</v>
      </c>
      <c r="O2895" s="1" t="s">
        <v>3288</v>
      </c>
      <c r="P2895" s="1" t="s">
        <v>3257</v>
      </c>
      <c r="Q2895" s="1" t="s">
        <v>3408</v>
      </c>
    </row>
    <row r="2896">
      <c r="A2896" s="1" t="s">
        <v>8108</v>
      </c>
      <c r="B2896" s="1">
        <v>91.0</v>
      </c>
      <c r="C2896" s="1">
        <v>30.0</v>
      </c>
      <c r="D2896" s="2" t="s">
        <v>746</v>
      </c>
      <c r="E2896" s="1">
        <v>91.0</v>
      </c>
      <c r="F2896" s="1">
        <v>24.0</v>
      </c>
      <c r="G2896" s="1">
        <v>0.83</v>
      </c>
      <c r="H2896" s="1">
        <v>0.0</v>
      </c>
      <c r="I2896" s="1">
        <v>0.0</v>
      </c>
      <c r="J2896" s="1">
        <v>0.0</v>
      </c>
      <c r="K2896" s="1">
        <v>0.02</v>
      </c>
      <c r="L2896" s="1">
        <v>250000.0</v>
      </c>
      <c r="M2896" s="1" t="s">
        <v>8109</v>
      </c>
      <c r="N2896" s="18">
        <v>46028.0</v>
      </c>
      <c r="O2896" s="1" t="s">
        <v>3284</v>
      </c>
      <c r="P2896" s="1" t="s">
        <v>4549</v>
      </c>
      <c r="Q2896" s="1" t="s">
        <v>3408</v>
      </c>
    </row>
    <row r="2897">
      <c r="A2897" s="1" t="s">
        <v>3400</v>
      </c>
      <c r="B2897" s="1">
        <v>91.0</v>
      </c>
      <c r="C2897" s="1">
        <v>70.0</v>
      </c>
      <c r="D2897" s="2" t="s">
        <v>714</v>
      </c>
      <c r="E2897" s="1">
        <v>91.0</v>
      </c>
      <c r="F2897" s="1">
        <v>37.0</v>
      </c>
      <c r="G2897" s="1">
        <v>0.0</v>
      </c>
      <c r="H2897" s="1">
        <v>0.0</v>
      </c>
      <c r="I2897" s="1">
        <v>0.0</v>
      </c>
      <c r="J2897" s="1">
        <v>0.0</v>
      </c>
      <c r="K2897" s="1">
        <v>0.0</v>
      </c>
      <c r="L2897" s="1">
        <v>1.52E7</v>
      </c>
      <c r="M2897" s="1" t="s">
        <v>3401</v>
      </c>
      <c r="N2897" s="18">
        <v>46027.0</v>
      </c>
      <c r="O2897" s="1" t="s">
        <v>3317</v>
      </c>
      <c r="P2897" s="1" t="s">
        <v>3301</v>
      </c>
      <c r="Q2897" s="1" t="s">
        <v>3408</v>
      </c>
    </row>
    <row r="2898">
      <c r="A2898" s="1" t="s">
        <v>8458</v>
      </c>
      <c r="B2898" s="1">
        <v>91.0</v>
      </c>
      <c r="C2898" s="1">
        <v>50.0</v>
      </c>
      <c r="D2898" s="2" t="s">
        <v>451</v>
      </c>
      <c r="E2898" s="1">
        <v>91.0</v>
      </c>
      <c r="F2898" s="1">
        <v>27.0</v>
      </c>
      <c r="G2898" s="1">
        <v>0.0</v>
      </c>
      <c r="H2898" s="1">
        <v>0.0</v>
      </c>
      <c r="I2898" s="1">
        <v>0.0</v>
      </c>
      <c r="J2898" s="1">
        <v>0.0</v>
      </c>
      <c r="K2898" s="1">
        <v>0.0</v>
      </c>
      <c r="L2898" s="1">
        <v>1.38E7</v>
      </c>
      <c r="M2898" s="1" t="s">
        <v>8459</v>
      </c>
      <c r="N2898" s="18">
        <v>46025.0</v>
      </c>
      <c r="O2898" s="1" t="s">
        <v>8007</v>
      </c>
      <c r="P2898" s="1" t="s">
        <v>3257</v>
      </c>
      <c r="Q2898" s="1" t="s">
        <v>3408</v>
      </c>
    </row>
    <row r="2899">
      <c r="A2899" s="1" t="s">
        <v>8460</v>
      </c>
      <c r="B2899" s="1">
        <v>91.0</v>
      </c>
      <c r="C2899" s="1">
        <v>70.0</v>
      </c>
      <c r="D2899" s="2" t="s">
        <v>724</v>
      </c>
      <c r="E2899" s="1">
        <v>91.0</v>
      </c>
      <c r="F2899" s="1">
        <v>9.0</v>
      </c>
      <c r="G2899" s="1">
        <v>0.0</v>
      </c>
      <c r="H2899" s="1">
        <v>0.0</v>
      </c>
      <c r="I2899" s="1">
        <v>0.0</v>
      </c>
      <c r="J2899" s="1">
        <v>0.0</v>
      </c>
      <c r="K2899" s="1">
        <v>0.0</v>
      </c>
      <c r="L2899" s="1">
        <v>3490000.0</v>
      </c>
      <c r="M2899" s="1" t="s">
        <v>8461</v>
      </c>
      <c r="N2899" s="18">
        <v>46025.0</v>
      </c>
      <c r="O2899" s="1" t="s">
        <v>3479</v>
      </c>
      <c r="P2899" s="1" t="s">
        <v>3230</v>
      </c>
      <c r="Q2899" s="1" t="s">
        <v>3408</v>
      </c>
    </row>
    <row r="2900">
      <c r="A2900" s="1" t="s">
        <v>8398</v>
      </c>
      <c r="B2900" s="1">
        <v>91.0</v>
      </c>
      <c r="C2900" s="1">
        <v>70.0</v>
      </c>
      <c r="D2900" s="2" t="s">
        <v>784</v>
      </c>
      <c r="E2900" s="1">
        <v>91.0</v>
      </c>
      <c r="F2900" s="1">
        <v>11.0</v>
      </c>
      <c r="G2900" s="1">
        <v>0.0</v>
      </c>
      <c r="H2900" s="1">
        <v>0.0</v>
      </c>
      <c r="I2900" s="1">
        <v>0.0</v>
      </c>
      <c r="J2900" s="1">
        <v>0.0</v>
      </c>
      <c r="K2900" s="1">
        <v>0.0</v>
      </c>
      <c r="L2900" s="1">
        <v>2.12E7</v>
      </c>
      <c r="M2900" s="1" t="s">
        <v>8399</v>
      </c>
      <c r="N2900" s="18">
        <v>46025.0</v>
      </c>
      <c r="O2900" s="1" t="s">
        <v>4965</v>
      </c>
      <c r="P2900" s="1" t="s">
        <v>3230</v>
      </c>
      <c r="Q2900" s="1" t="s">
        <v>3408</v>
      </c>
    </row>
    <row r="2901">
      <c r="A2901" s="1" t="s">
        <v>8462</v>
      </c>
      <c r="B2901" s="1">
        <v>91.0</v>
      </c>
      <c r="C2901" s="1">
        <v>50.0</v>
      </c>
      <c r="D2901" s="2" t="s">
        <v>1998</v>
      </c>
      <c r="E2901" s="1">
        <v>91.0</v>
      </c>
      <c r="F2901" s="1">
        <v>4.0</v>
      </c>
      <c r="G2901" s="1">
        <v>1.3</v>
      </c>
      <c r="H2901" s="1">
        <v>0.0</v>
      </c>
      <c r="I2901" s="1">
        <v>0.0</v>
      </c>
      <c r="J2901" s="1">
        <v>0.0</v>
      </c>
      <c r="K2901" s="1">
        <v>0.27</v>
      </c>
      <c r="L2901" s="1">
        <v>317000.0</v>
      </c>
      <c r="M2901" s="1" t="s">
        <v>8463</v>
      </c>
      <c r="N2901" s="18">
        <v>46022.0</v>
      </c>
      <c r="O2901" s="1" t="s">
        <v>3840</v>
      </c>
      <c r="P2901" s="1" t="s">
        <v>3230</v>
      </c>
      <c r="Q2901" s="1" t="s">
        <v>3408</v>
      </c>
    </row>
    <row r="2902">
      <c r="A2902" s="1" t="s">
        <v>8464</v>
      </c>
      <c r="B2902" s="1">
        <v>91.0</v>
      </c>
      <c r="C2902" s="1">
        <v>30.0</v>
      </c>
      <c r="D2902" s="2" t="s">
        <v>581</v>
      </c>
      <c r="E2902" s="1">
        <v>91.0</v>
      </c>
      <c r="F2902" s="1">
        <v>52.0</v>
      </c>
      <c r="G2902" s="1">
        <v>19.21</v>
      </c>
      <c r="H2902" s="1">
        <v>0.0</v>
      </c>
      <c r="I2902" s="1">
        <v>0.0</v>
      </c>
      <c r="J2902" s="1">
        <v>0.0</v>
      </c>
      <c r="K2902" s="1">
        <v>0.86</v>
      </c>
      <c r="L2902" s="1">
        <v>2.95E7</v>
      </c>
      <c r="M2902" s="1" t="s">
        <v>8465</v>
      </c>
      <c r="N2902" s="18">
        <v>46022.0</v>
      </c>
      <c r="O2902" s="1" t="s">
        <v>3892</v>
      </c>
      <c r="P2902" s="1" t="s">
        <v>3257</v>
      </c>
      <c r="Q2902" s="1" t="s">
        <v>3408</v>
      </c>
    </row>
    <row r="2903">
      <c r="A2903" s="1" t="s">
        <v>8466</v>
      </c>
      <c r="B2903" s="1">
        <v>91.0</v>
      </c>
      <c r="C2903" s="1">
        <v>30.0</v>
      </c>
      <c r="D2903" s="2" t="s">
        <v>740</v>
      </c>
      <c r="E2903" s="1">
        <v>91.0</v>
      </c>
      <c r="F2903" s="1">
        <v>16.0</v>
      </c>
      <c r="G2903" s="1">
        <v>16.71</v>
      </c>
      <c r="H2903" s="1">
        <v>0.0</v>
      </c>
      <c r="I2903" s="1">
        <v>0.0</v>
      </c>
      <c r="J2903" s="1">
        <v>0.0</v>
      </c>
      <c r="K2903" s="1">
        <v>0.19</v>
      </c>
      <c r="L2903" s="1">
        <v>9.07E7</v>
      </c>
      <c r="M2903" s="1" t="s">
        <v>8467</v>
      </c>
      <c r="N2903" s="18">
        <v>46019.0</v>
      </c>
      <c r="O2903" s="1" t="s">
        <v>3317</v>
      </c>
      <c r="P2903" s="1" t="s">
        <v>3230</v>
      </c>
      <c r="Q2903" s="1" t="s">
        <v>3408</v>
      </c>
    </row>
    <row r="2904">
      <c r="A2904" s="1" t="s">
        <v>8468</v>
      </c>
      <c r="B2904" s="1">
        <v>91.0</v>
      </c>
      <c r="C2904" s="1">
        <v>50.0</v>
      </c>
      <c r="D2904" s="2" t="s">
        <v>581</v>
      </c>
      <c r="E2904" s="1">
        <v>91.0</v>
      </c>
      <c r="F2904" s="1">
        <v>0.0</v>
      </c>
      <c r="G2904" s="1">
        <v>15.32</v>
      </c>
      <c r="H2904" s="1">
        <v>0.0</v>
      </c>
      <c r="I2904" s="1">
        <v>0.0</v>
      </c>
      <c r="J2904" s="1">
        <v>0.0</v>
      </c>
      <c r="K2904" s="1">
        <v>0.21</v>
      </c>
      <c r="L2904" s="1">
        <v>79100.0</v>
      </c>
      <c r="M2904" s="1" t="s">
        <v>8469</v>
      </c>
      <c r="N2904" s="18">
        <v>46019.0</v>
      </c>
      <c r="O2904" s="1" t="s">
        <v>4643</v>
      </c>
      <c r="P2904" s="1" t="s">
        <v>3257</v>
      </c>
      <c r="Q2904" s="1" t="s">
        <v>3408</v>
      </c>
    </row>
    <row r="2905">
      <c r="A2905" s="1" t="s">
        <v>8470</v>
      </c>
      <c r="B2905" s="1">
        <v>91.0</v>
      </c>
      <c r="C2905" s="1">
        <v>50.0</v>
      </c>
      <c r="D2905" s="2" t="s">
        <v>1511</v>
      </c>
      <c r="E2905" s="1">
        <v>91.0</v>
      </c>
      <c r="F2905" s="1">
        <v>3.0</v>
      </c>
      <c r="G2905" s="1">
        <v>8.21</v>
      </c>
      <c r="H2905" s="1">
        <v>0.0</v>
      </c>
      <c r="I2905" s="1">
        <v>0.0</v>
      </c>
      <c r="J2905" s="1">
        <v>0.0</v>
      </c>
      <c r="K2905" s="1">
        <v>0.53</v>
      </c>
      <c r="L2905" s="1">
        <v>1.22E7</v>
      </c>
      <c r="M2905" s="1" t="s">
        <v>8471</v>
      </c>
      <c r="N2905" s="18">
        <v>46018.0</v>
      </c>
      <c r="O2905" s="1" t="s">
        <v>8472</v>
      </c>
      <c r="P2905" s="1" t="s">
        <v>3230</v>
      </c>
      <c r="Q2905" s="1" t="s">
        <v>3408</v>
      </c>
    </row>
    <row r="2906">
      <c r="A2906" s="1" t="s">
        <v>8473</v>
      </c>
      <c r="B2906" s="1">
        <v>91.0</v>
      </c>
      <c r="C2906" s="1">
        <v>70.0</v>
      </c>
      <c r="D2906" s="2" t="s">
        <v>2949</v>
      </c>
      <c r="E2906" s="1">
        <v>91.0</v>
      </c>
      <c r="G2906" s="1">
        <v>13.48</v>
      </c>
      <c r="H2906" s="1">
        <v>0.0</v>
      </c>
      <c r="I2906" s="1">
        <v>0.0</v>
      </c>
      <c r="J2906" s="1">
        <v>0.0</v>
      </c>
      <c r="K2906" s="1">
        <v>0.89</v>
      </c>
      <c r="L2906" s="1">
        <v>3630000.0</v>
      </c>
      <c r="M2906" s="1" t="s">
        <v>8474</v>
      </c>
      <c r="N2906" s="18">
        <v>46018.0</v>
      </c>
      <c r="O2906" s="1" t="s">
        <v>3673</v>
      </c>
      <c r="P2906" s="1" t="s">
        <v>3257</v>
      </c>
      <c r="Q2906" s="1" t="s">
        <v>3408</v>
      </c>
    </row>
    <row r="2907">
      <c r="A2907" s="1" t="s">
        <v>8475</v>
      </c>
      <c r="B2907" s="1">
        <v>91.0</v>
      </c>
      <c r="C2907" s="1">
        <v>70.0</v>
      </c>
      <c r="D2907" s="2" t="s">
        <v>839</v>
      </c>
      <c r="E2907" s="1">
        <v>91.0</v>
      </c>
      <c r="F2907" s="1">
        <v>17.0</v>
      </c>
      <c r="G2907" s="1">
        <v>0.0</v>
      </c>
      <c r="H2907" s="1">
        <v>0.0</v>
      </c>
      <c r="I2907" s="1">
        <v>0.0</v>
      </c>
      <c r="J2907" s="1">
        <v>0.0</v>
      </c>
      <c r="K2907" s="1">
        <v>0.02</v>
      </c>
      <c r="L2907" s="1">
        <v>404000.0</v>
      </c>
      <c r="M2907" s="1" t="s">
        <v>8476</v>
      </c>
      <c r="N2907" s="18">
        <v>46017.0</v>
      </c>
      <c r="O2907" s="1" t="s">
        <v>4845</v>
      </c>
      <c r="P2907" s="1" t="s">
        <v>3230</v>
      </c>
      <c r="Q2907" s="1" t="s">
        <v>3408</v>
      </c>
    </row>
    <row r="2908">
      <c r="A2908" s="1" t="s">
        <v>3658</v>
      </c>
      <c r="B2908" s="1">
        <v>91.0</v>
      </c>
      <c r="C2908" s="1">
        <v>70.0</v>
      </c>
      <c r="D2908" s="2" t="s">
        <v>443</v>
      </c>
      <c r="E2908" s="1">
        <v>91.0</v>
      </c>
      <c r="F2908" s="1">
        <v>25.0</v>
      </c>
      <c r="G2908" s="1">
        <v>13.28</v>
      </c>
      <c r="H2908" s="1">
        <v>0.0</v>
      </c>
      <c r="I2908" s="1">
        <v>0.0</v>
      </c>
      <c r="J2908" s="1">
        <v>0.0</v>
      </c>
      <c r="K2908" s="1">
        <v>0.21</v>
      </c>
      <c r="L2908" s="1">
        <v>69700.0</v>
      </c>
      <c r="M2908" s="1" t="s">
        <v>3659</v>
      </c>
      <c r="N2908" s="18">
        <v>46017.0</v>
      </c>
      <c r="O2908" s="1" t="s">
        <v>3435</v>
      </c>
      <c r="P2908" s="1" t="s">
        <v>3257</v>
      </c>
      <c r="Q2908" s="1" t="s">
        <v>3408</v>
      </c>
    </row>
    <row r="2909">
      <c r="A2909" s="1" t="s">
        <v>8477</v>
      </c>
      <c r="B2909" s="1">
        <v>91.0</v>
      </c>
      <c r="C2909" s="1">
        <v>110.0</v>
      </c>
      <c r="D2909" s="2" t="s">
        <v>1543</v>
      </c>
      <c r="E2909" s="1">
        <v>91.0</v>
      </c>
      <c r="F2909" s="1">
        <v>9.0</v>
      </c>
      <c r="G2909" s="1">
        <v>15.79</v>
      </c>
      <c r="H2909" s="1">
        <v>0.0</v>
      </c>
      <c r="I2909" s="1">
        <v>0.0</v>
      </c>
      <c r="J2909" s="1">
        <v>0.0</v>
      </c>
      <c r="K2909" s="1">
        <v>0.05</v>
      </c>
      <c r="L2909" s="1">
        <v>398000.0</v>
      </c>
      <c r="M2909" s="1" t="s">
        <v>8478</v>
      </c>
      <c r="N2909" s="18">
        <v>46017.0</v>
      </c>
      <c r="O2909" s="1" t="s">
        <v>3479</v>
      </c>
      <c r="P2909" s="1" t="s">
        <v>3230</v>
      </c>
      <c r="Q2909" s="1" t="s">
        <v>3408</v>
      </c>
    </row>
    <row r="2910">
      <c r="A2910" s="1" t="s">
        <v>8479</v>
      </c>
      <c r="B2910" s="1">
        <v>91.0</v>
      </c>
      <c r="C2910" s="1">
        <v>110.0</v>
      </c>
      <c r="D2910" s="2" t="s">
        <v>439</v>
      </c>
      <c r="E2910" s="1">
        <v>91.0</v>
      </c>
      <c r="F2910" s="1">
        <v>16.0</v>
      </c>
      <c r="G2910" s="1">
        <v>4.69</v>
      </c>
      <c r="H2910" s="1">
        <v>0.0</v>
      </c>
      <c r="I2910" s="1">
        <v>0.0</v>
      </c>
      <c r="J2910" s="1">
        <v>0.0</v>
      </c>
      <c r="K2910" s="1">
        <v>0.07</v>
      </c>
      <c r="L2910" s="1">
        <v>3270000.0</v>
      </c>
      <c r="M2910" s="1" t="s">
        <v>8480</v>
      </c>
      <c r="N2910" s="18">
        <v>46016.0</v>
      </c>
      <c r="O2910" s="1" t="s">
        <v>4617</v>
      </c>
      <c r="P2910" s="1" t="s">
        <v>3294</v>
      </c>
      <c r="Q2910" s="1" t="s">
        <v>3408</v>
      </c>
    </row>
    <row r="2911">
      <c r="A2911" s="1" t="s">
        <v>8481</v>
      </c>
      <c r="B2911" s="1">
        <v>91.0</v>
      </c>
      <c r="C2911" s="1">
        <v>90.0</v>
      </c>
      <c r="D2911" s="2" t="s">
        <v>439</v>
      </c>
      <c r="E2911" s="1">
        <v>91.0</v>
      </c>
      <c r="F2911" s="1">
        <v>13.0</v>
      </c>
      <c r="G2911" s="1">
        <v>3.67</v>
      </c>
      <c r="H2911" s="1">
        <v>0.0</v>
      </c>
      <c r="I2911" s="1">
        <v>0.0</v>
      </c>
      <c r="J2911" s="1">
        <v>0.0</v>
      </c>
      <c r="K2911" s="1">
        <v>0.11</v>
      </c>
      <c r="L2911" s="1">
        <v>1.14E8</v>
      </c>
      <c r="M2911" s="1" t="s">
        <v>8482</v>
      </c>
      <c r="N2911" s="18">
        <v>46014.0</v>
      </c>
      <c r="O2911" s="1" t="s">
        <v>5120</v>
      </c>
      <c r="P2911" s="1" t="s">
        <v>3257</v>
      </c>
      <c r="Q2911" s="1" t="s">
        <v>3408</v>
      </c>
    </row>
    <row r="2912">
      <c r="A2912" s="1" t="s">
        <v>8002</v>
      </c>
      <c r="B2912" s="1">
        <v>91.0</v>
      </c>
      <c r="C2912" s="1">
        <v>70.0</v>
      </c>
      <c r="D2912" s="2" t="s">
        <v>754</v>
      </c>
      <c r="E2912" s="1">
        <v>91.0</v>
      </c>
      <c r="F2912" s="1">
        <v>11.0</v>
      </c>
      <c r="G2912" s="1">
        <v>29.19</v>
      </c>
      <c r="H2912" s="1">
        <v>0.0</v>
      </c>
      <c r="I2912" s="1">
        <v>0.0</v>
      </c>
      <c r="J2912" s="1">
        <v>0.0</v>
      </c>
      <c r="K2912" s="1">
        <v>0.63</v>
      </c>
      <c r="L2912" s="1">
        <v>4520000.0</v>
      </c>
      <c r="M2912" s="1" t="s">
        <v>8003</v>
      </c>
      <c r="N2912" s="18">
        <v>46012.0</v>
      </c>
      <c r="O2912" s="1" t="s">
        <v>8004</v>
      </c>
      <c r="P2912" s="1" t="s">
        <v>3334</v>
      </c>
      <c r="Q2912" s="1" t="s">
        <v>3408</v>
      </c>
    </row>
    <row r="2913">
      <c r="A2913" s="1" t="s">
        <v>8483</v>
      </c>
      <c r="B2913" s="1">
        <v>91.0</v>
      </c>
      <c r="C2913" s="1">
        <v>90.0</v>
      </c>
      <c r="D2913" s="2" t="s">
        <v>581</v>
      </c>
      <c r="E2913" s="1">
        <v>91.0</v>
      </c>
      <c r="F2913" s="1">
        <v>10.0</v>
      </c>
      <c r="G2913" s="1">
        <v>0.0</v>
      </c>
      <c r="H2913" s="1">
        <v>0.0</v>
      </c>
      <c r="I2913" s="1">
        <v>0.0</v>
      </c>
      <c r="J2913" s="1">
        <v>0.0</v>
      </c>
      <c r="K2913" s="1">
        <v>0.0</v>
      </c>
      <c r="L2913" s="1">
        <v>4.3E7</v>
      </c>
      <c r="M2913" s="1" t="s">
        <v>8484</v>
      </c>
      <c r="N2913" s="18">
        <v>46010.0</v>
      </c>
      <c r="O2913" s="1" t="s">
        <v>4177</v>
      </c>
      <c r="P2913" s="1" t="s">
        <v>3230</v>
      </c>
      <c r="Q2913" s="1" t="s">
        <v>3408</v>
      </c>
    </row>
    <row r="2914">
      <c r="A2914" s="1" t="s">
        <v>8485</v>
      </c>
      <c r="B2914" s="1">
        <v>91.0</v>
      </c>
      <c r="C2914" s="1">
        <v>70.0</v>
      </c>
      <c r="D2914" s="2" t="s">
        <v>2048</v>
      </c>
      <c r="E2914" s="1">
        <v>91.0</v>
      </c>
      <c r="F2914" s="1">
        <v>17.0</v>
      </c>
      <c r="G2914" s="1">
        <v>0.0</v>
      </c>
      <c r="H2914" s="1">
        <v>0.0</v>
      </c>
      <c r="I2914" s="1">
        <v>0.0</v>
      </c>
      <c r="J2914" s="1">
        <v>0.0</v>
      </c>
      <c r="K2914" s="1">
        <v>0.0</v>
      </c>
      <c r="L2914" s="1">
        <v>2.13E7</v>
      </c>
      <c r="M2914" s="1" t="s">
        <v>8486</v>
      </c>
      <c r="N2914" s="18">
        <v>46009.0</v>
      </c>
      <c r="O2914" s="1" t="s">
        <v>4295</v>
      </c>
      <c r="P2914" s="1" t="s">
        <v>3230</v>
      </c>
      <c r="Q2914" s="1" t="s">
        <v>3408</v>
      </c>
    </row>
    <row r="2915">
      <c r="A2915" s="1" t="s">
        <v>8487</v>
      </c>
      <c r="B2915" s="1">
        <v>91.0</v>
      </c>
      <c r="C2915" s="1">
        <v>70.0</v>
      </c>
      <c r="D2915" s="2" t="s">
        <v>2048</v>
      </c>
      <c r="E2915" s="1">
        <v>91.0</v>
      </c>
      <c r="F2915" s="1">
        <v>15.0</v>
      </c>
      <c r="G2915" s="1">
        <v>0.0</v>
      </c>
      <c r="H2915" s="1">
        <v>0.0</v>
      </c>
      <c r="I2915" s="1">
        <v>0.0</v>
      </c>
      <c r="J2915" s="1">
        <v>0.0</v>
      </c>
      <c r="K2915" s="1">
        <v>0.0</v>
      </c>
      <c r="L2915" s="1">
        <v>0.0</v>
      </c>
      <c r="M2915" s="1" t="s">
        <v>8488</v>
      </c>
      <c r="N2915" s="18">
        <v>46009.0</v>
      </c>
      <c r="O2915" s="1" t="s">
        <v>3407</v>
      </c>
      <c r="P2915" s="1" t="s">
        <v>3230</v>
      </c>
      <c r="Q2915" s="1" t="s">
        <v>3408</v>
      </c>
    </row>
    <row r="2916">
      <c r="A2916" s="1" t="s">
        <v>8347</v>
      </c>
      <c r="B2916" s="1">
        <v>91.0</v>
      </c>
      <c r="C2916" s="1">
        <v>110.0</v>
      </c>
      <c r="D2916" s="2" t="s">
        <v>1606</v>
      </c>
      <c r="E2916" s="1">
        <v>91.0</v>
      </c>
      <c r="F2916" s="1">
        <v>14.0</v>
      </c>
      <c r="G2916" s="1">
        <v>0.0</v>
      </c>
      <c r="H2916" s="1">
        <v>0.0</v>
      </c>
      <c r="I2916" s="1">
        <v>0.0</v>
      </c>
      <c r="J2916" s="1">
        <v>0.0</v>
      </c>
      <c r="K2916" s="1">
        <v>0.0</v>
      </c>
      <c r="L2916" s="1">
        <v>2.34E8</v>
      </c>
      <c r="M2916" s="1" t="s">
        <v>8348</v>
      </c>
      <c r="N2916" s="18">
        <v>46008.0</v>
      </c>
      <c r="O2916" s="1" t="s">
        <v>3237</v>
      </c>
      <c r="P2916" s="1" t="s">
        <v>3230</v>
      </c>
      <c r="Q2916" s="1" t="s">
        <v>3408</v>
      </c>
    </row>
    <row r="2917">
      <c r="A2917" s="1" t="s">
        <v>8489</v>
      </c>
      <c r="B2917" s="1">
        <v>91.0</v>
      </c>
      <c r="C2917" s="1">
        <v>70.0</v>
      </c>
      <c r="D2917" s="2" t="s">
        <v>2048</v>
      </c>
      <c r="E2917" s="1">
        <v>91.0</v>
      </c>
      <c r="F2917" s="1">
        <v>7.0</v>
      </c>
      <c r="G2917" s="1">
        <v>0.0</v>
      </c>
      <c r="H2917" s="1">
        <v>0.0</v>
      </c>
      <c r="I2917" s="1">
        <v>0.0</v>
      </c>
      <c r="J2917" s="1">
        <v>0.0</v>
      </c>
      <c r="K2917" s="1">
        <v>0.0</v>
      </c>
      <c r="L2917" s="1">
        <v>1.58E8</v>
      </c>
      <c r="M2917" s="1" t="s">
        <v>8490</v>
      </c>
      <c r="N2917" s="18">
        <v>46007.0</v>
      </c>
      <c r="O2917" s="1" t="s">
        <v>4622</v>
      </c>
      <c r="P2917" s="1" t="s">
        <v>3230</v>
      </c>
      <c r="Q2917" s="1" t="s">
        <v>3408</v>
      </c>
    </row>
    <row r="2918">
      <c r="A2918" s="1" t="s">
        <v>8491</v>
      </c>
      <c r="B2918" s="1">
        <v>91.0</v>
      </c>
      <c r="C2918" s="1">
        <v>170.0</v>
      </c>
      <c r="D2918" s="2" t="s">
        <v>581</v>
      </c>
      <c r="E2918" s="1">
        <v>91.0</v>
      </c>
      <c r="F2918" s="1">
        <v>49.0</v>
      </c>
      <c r="G2918" s="1">
        <v>20.83</v>
      </c>
      <c r="H2918" s="1">
        <v>0.0</v>
      </c>
      <c r="I2918" s="1">
        <v>0.0</v>
      </c>
      <c r="J2918" s="1">
        <v>0.0</v>
      </c>
      <c r="K2918" s="1">
        <v>0.85</v>
      </c>
      <c r="L2918" s="1">
        <v>1.23E7</v>
      </c>
      <c r="M2918" s="1" t="s">
        <v>8492</v>
      </c>
      <c r="N2918" s="18">
        <v>46005.0</v>
      </c>
      <c r="O2918" s="1" t="s">
        <v>4369</v>
      </c>
      <c r="P2918" s="1" t="s">
        <v>3257</v>
      </c>
      <c r="Q2918" s="1" t="s">
        <v>3408</v>
      </c>
    </row>
    <row r="2919">
      <c r="A2919" s="1" t="s">
        <v>8493</v>
      </c>
      <c r="B2919" s="1">
        <v>91.0</v>
      </c>
      <c r="C2919" s="1">
        <v>70.0</v>
      </c>
      <c r="D2919" s="2" t="s">
        <v>754</v>
      </c>
      <c r="E2919" s="1">
        <v>91.0</v>
      </c>
      <c r="F2919" s="1">
        <v>18.0</v>
      </c>
      <c r="G2919" s="1">
        <v>0.0</v>
      </c>
      <c r="H2919" s="1">
        <v>0.0</v>
      </c>
      <c r="I2919" s="1">
        <v>0.0</v>
      </c>
      <c r="J2919" s="1">
        <v>0.0</v>
      </c>
      <c r="K2919" s="1">
        <v>0.0</v>
      </c>
      <c r="L2919" s="1">
        <v>4150000.0</v>
      </c>
      <c r="M2919" s="1" t="s">
        <v>8494</v>
      </c>
      <c r="N2919" s="18">
        <v>46005.0</v>
      </c>
      <c r="O2919" s="1" t="s">
        <v>3432</v>
      </c>
      <c r="P2919" s="1" t="s">
        <v>3257</v>
      </c>
      <c r="Q2919" s="1" t="s">
        <v>3408</v>
      </c>
    </row>
    <row r="2920">
      <c r="A2920" s="1" t="s">
        <v>8495</v>
      </c>
      <c r="B2920" s="1">
        <v>91.0</v>
      </c>
      <c r="C2920" s="1">
        <v>50.0</v>
      </c>
      <c r="D2920" s="2" t="s">
        <v>581</v>
      </c>
      <c r="E2920" s="1">
        <v>91.0</v>
      </c>
      <c r="F2920" s="1">
        <v>23.0</v>
      </c>
      <c r="G2920" s="1">
        <v>14.47</v>
      </c>
      <c r="H2920" s="1">
        <v>0.0</v>
      </c>
      <c r="I2920" s="1">
        <v>0.0</v>
      </c>
      <c r="J2920" s="1">
        <v>0.0</v>
      </c>
      <c r="K2920" s="1">
        <v>0.99</v>
      </c>
      <c r="L2920" s="1">
        <v>402000.0</v>
      </c>
      <c r="M2920" s="1" t="s">
        <v>8496</v>
      </c>
      <c r="N2920" s="18">
        <v>46002.0</v>
      </c>
      <c r="O2920" s="1" t="s">
        <v>5320</v>
      </c>
      <c r="P2920" s="1" t="s">
        <v>3257</v>
      </c>
      <c r="Q2920" s="1" t="s">
        <v>3408</v>
      </c>
    </row>
    <row r="2921">
      <c r="A2921" s="1" t="s">
        <v>3716</v>
      </c>
      <c r="B2921" s="1">
        <v>91.0</v>
      </c>
      <c r="C2921" s="1">
        <v>30.0</v>
      </c>
      <c r="D2921" s="2" t="s">
        <v>475</v>
      </c>
      <c r="E2921" s="1">
        <v>91.0</v>
      </c>
      <c r="F2921" s="1">
        <v>48.0</v>
      </c>
      <c r="G2921" s="1">
        <v>21.97</v>
      </c>
      <c r="H2921" s="1">
        <v>0.0</v>
      </c>
      <c r="I2921" s="1">
        <v>0.0</v>
      </c>
      <c r="J2921" s="1">
        <v>0.0</v>
      </c>
      <c r="K2921" s="1">
        <v>0.09</v>
      </c>
      <c r="L2921" s="1">
        <v>724000.0</v>
      </c>
      <c r="M2921" s="1" t="s">
        <v>3717</v>
      </c>
      <c r="N2921" s="18">
        <v>46002.0</v>
      </c>
      <c r="O2921" s="1" t="s">
        <v>3435</v>
      </c>
      <c r="P2921" s="1" t="s">
        <v>3257</v>
      </c>
      <c r="Q2921" s="1" t="s">
        <v>3408</v>
      </c>
    </row>
    <row r="2922">
      <c r="A2922" s="1" t="s">
        <v>8497</v>
      </c>
      <c r="B2922" s="1">
        <v>91.0</v>
      </c>
      <c r="C2922" s="1">
        <v>140.0</v>
      </c>
      <c r="D2922" s="2" t="s">
        <v>1452</v>
      </c>
      <c r="E2922" s="1">
        <v>91.0</v>
      </c>
      <c r="F2922" s="1">
        <v>30.0</v>
      </c>
      <c r="G2922" s="1">
        <v>0.0</v>
      </c>
      <c r="H2922" s="1">
        <v>0.0</v>
      </c>
      <c r="I2922" s="1">
        <v>0.0</v>
      </c>
      <c r="J2922" s="1">
        <v>0.0</v>
      </c>
      <c r="K2922" s="1">
        <v>0.0</v>
      </c>
      <c r="L2922" s="1">
        <v>9.15E7</v>
      </c>
      <c r="M2922" s="1" t="s">
        <v>8498</v>
      </c>
      <c r="N2922" s="18">
        <v>46001.0</v>
      </c>
      <c r="O2922" s="1" t="s">
        <v>4998</v>
      </c>
      <c r="P2922" s="1" t="s">
        <v>3230</v>
      </c>
      <c r="Q2922" s="1" t="s">
        <v>3408</v>
      </c>
    </row>
    <row r="2923">
      <c r="A2923" s="1" t="s">
        <v>8499</v>
      </c>
      <c r="B2923" s="1">
        <v>91.0</v>
      </c>
      <c r="C2923" s="1">
        <v>70.0</v>
      </c>
      <c r="D2923" s="2" t="s">
        <v>439</v>
      </c>
      <c r="E2923" s="1">
        <v>91.0</v>
      </c>
      <c r="F2923" s="1">
        <v>11.0</v>
      </c>
      <c r="G2923" s="1">
        <v>12.33</v>
      </c>
      <c r="H2923" s="1">
        <v>0.0</v>
      </c>
      <c r="I2923" s="1">
        <v>0.0</v>
      </c>
      <c r="J2923" s="1">
        <v>0.0</v>
      </c>
      <c r="K2923" s="1">
        <v>0.11</v>
      </c>
      <c r="L2923" s="1">
        <v>4430000.0</v>
      </c>
      <c r="M2923" s="1" t="s">
        <v>8500</v>
      </c>
      <c r="N2923" s="18">
        <v>45998.0</v>
      </c>
      <c r="O2923" s="1" t="s">
        <v>4763</v>
      </c>
      <c r="P2923" s="1" t="s">
        <v>3294</v>
      </c>
      <c r="Q2923" s="1" t="s">
        <v>3408</v>
      </c>
    </row>
    <row r="2924">
      <c r="A2924" s="1" t="s">
        <v>8501</v>
      </c>
      <c r="B2924" s="1">
        <v>91.0</v>
      </c>
      <c r="C2924" s="1">
        <v>30.0</v>
      </c>
      <c r="D2924" s="2" t="s">
        <v>581</v>
      </c>
      <c r="E2924" s="1">
        <v>91.0</v>
      </c>
      <c r="F2924" s="1">
        <v>47.0</v>
      </c>
      <c r="G2924" s="1">
        <v>7.03</v>
      </c>
      <c r="H2924" s="1">
        <v>0.0</v>
      </c>
      <c r="I2924" s="1">
        <v>0.0</v>
      </c>
      <c r="J2924" s="1">
        <v>0.0</v>
      </c>
      <c r="K2924" s="1">
        <v>0.55</v>
      </c>
      <c r="L2924" s="1">
        <v>1.91E7</v>
      </c>
      <c r="M2924" s="1" t="s">
        <v>8502</v>
      </c>
      <c r="N2924" s="18">
        <v>45992.0</v>
      </c>
      <c r="O2924" s="1" t="s">
        <v>3427</v>
      </c>
      <c r="P2924" s="1" t="s">
        <v>3257</v>
      </c>
      <c r="Q2924" s="1" t="s">
        <v>3408</v>
      </c>
    </row>
    <row r="2925">
      <c r="A2925" s="1" t="s">
        <v>8503</v>
      </c>
      <c r="B2925" s="1">
        <v>91.0</v>
      </c>
      <c r="C2925" s="1">
        <v>50.0</v>
      </c>
      <c r="D2925" s="2" t="s">
        <v>746</v>
      </c>
      <c r="E2925" s="1">
        <v>91.0</v>
      </c>
      <c r="F2925" s="1">
        <v>11.0</v>
      </c>
      <c r="G2925" s="1">
        <v>0.0</v>
      </c>
      <c r="H2925" s="1">
        <v>0.0</v>
      </c>
      <c r="I2925" s="1">
        <v>0.0</v>
      </c>
      <c r="J2925" s="1">
        <v>0.0</v>
      </c>
      <c r="K2925" s="1">
        <v>0.0</v>
      </c>
      <c r="L2925" s="1">
        <v>310000.0</v>
      </c>
      <c r="M2925" s="1" t="s">
        <v>8504</v>
      </c>
      <c r="N2925" s="18">
        <v>45990.0</v>
      </c>
      <c r="O2925" s="1" t="s">
        <v>3264</v>
      </c>
      <c r="P2925" s="1" t="s">
        <v>3230</v>
      </c>
      <c r="Q2925" s="1" t="s">
        <v>3408</v>
      </c>
    </row>
    <row r="2926">
      <c r="A2926" s="1" t="s">
        <v>8505</v>
      </c>
      <c r="B2926" s="1">
        <v>91.0</v>
      </c>
      <c r="C2926" s="1">
        <v>390.0</v>
      </c>
      <c r="D2926" s="2" t="s">
        <v>1183</v>
      </c>
      <c r="E2926" s="1">
        <v>91.0</v>
      </c>
      <c r="F2926" s="1">
        <v>54.0</v>
      </c>
      <c r="G2926" s="1">
        <v>60.57</v>
      </c>
      <c r="H2926" s="1">
        <v>0.0</v>
      </c>
      <c r="I2926" s="1">
        <v>0.0</v>
      </c>
      <c r="J2926" s="1">
        <v>0.0</v>
      </c>
      <c r="K2926" s="1">
        <v>0.35</v>
      </c>
      <c r="L2926" s="1">
        <v>4230000.0</v>
      </c>
      <c r="M2926" s="1" t="s">
        <v>8506</v>
      </c>
      <c r="N2926" s="18">
        <v>45989.0</v>
      </c>
      <c r="O2926" s="1" t="s">
        <v>3415</v>
      </c>
      <c r="P2926" s="1" t="s">
        <v>3257</v>
      </c>
      <c r="Q2926" s="1" t="s">
        <v>3408</v>
      </c>
    </row>
    <row r="2927">
      <c r="A2927" s="1" t="s">
        <v>8175</v>
      </c>
      <c r="B2927" s="1">
        <v>91.0</v>
      </c>
      <c r="C2927" s="1">
        <v>260.0</v>
      </c>
      <c r="D2927" s="2" t="s">
        <v>439</v>
      </c>
      <c r="E2927" s="1">
        <v>91.0</v>
      </c>
      <c r="F2927" s="1">
        <v>20.0</v>
      </c>
      <c r="G2927" s="1">
        <v>12.81</v>
      </c>
      <c r="H2927" s="1">
        <v>0.0</v>
      </c>
      <c r="I2927" s="1">
        <v>0.0</v>
      </c>
      <c r="J2927" s="1">
        <v>0.0</v>
      </c>
      <c r="K2927" s="1">
        <v>0.03</v>
      </c>
      <c r="L2927" s="1">
        <v>38900.0</v>
      </c>
      <c r="M2927" s="1" t="s">
        <v>8176</v>
      </c>
      <c r="N2927" s="18">
        <v>45988.0</v>
      </c>
      <c r="O2927" s="1" t="s">
        <v>4678</v>
      </c>
      <c r="P2927" s="1" t="s">
        <v>3230</v>
      </c>
      <c r="Q2927" s="1" t="s">
        <v>3408</v>
      </c>
    </row>
    <row r="2928">
      <c r="A2928" s="1" t="s">
        <v>6495</v>
      </c>
      <c r="B2928" s="1">
        <v>91.0</v>
      </c>
      <c r="C2928" s="1">
        <v>70.0</v>
      </c>
      <c r="D2928" s="2" t="s">
        <v>835</v>
      </c>
      <c r="E2928" s="1">
        <v>91.0</v>
      </c>
      <c r="F2928" s="1">
        <v>13.0</v>
      </c>
      <c r="G2928" s="1">
        <v>0.0</v>
      </c>
      <c r="H2928" s="1">
        <v>0.0</v>
      </c>
      <c r="I2928" s="1">
        <v>0.0</v>
      </c>
      <c r="J2928" s="1">
        <v>0.0</v>
      </c>
      <c r="K2928" s="1">
        <v>0.01</v>
      </c>
      <c r="L2928" s="1">
        <v>1.19E7</v>
      </c>
      <c r="M2928" s="1" t="s">
        <v>6496</v>
      </c>
      <c r="N2928" s="18">
        <v>45986.0</v>
      </c>
      <c r="O2928" s="1" t="s">
        <v>3284</v>
      </c>
      <c r="P2928" s="1" t="s">
        <v>3230</v>
      </c>
      <c r="Q2928" s="1" t="s">
        <v>3408</v>
      </c>
    </row>
    <row r="2929">
      <c r="A2929" s="1" t="s">
        <v>8507</v>
      </c>
      <c r="B2929" s="1">
        <v>91.0</v>
      </c>
      <c r="C2929" s="1">
        <v>170.0</v>
      </c>
      <c r="D2929" s="2" t="s">
        <v>439</v>
      </c>
      <c r="E2929" s="1">
        <v>91.0</v>
      </c>
      <c r="F2929" s="1">
        <v>15.0</v>
      </c>
      <c r="G2929" s="1">
        <v>9.93</v>
      </c>
      <c r="H2929" s="1">
        <v>0.0</v>
      </c>
      <c r="I2929" s="1">
        <v>0.0</v>
      </c>
      <c r="J2929" s="1">
        <v>0.0</v>
      </c>
      <c r="K2929" s="1">
        <v>0.04</v>
      </c>
      <c r="L2929" s="1">
        <v>5.0</v>
      </c>
      <c r="M2929" s="1" t="s">
        <v>8508</v>
      </c>
      <c r="N2929" s="18">
        <v>45984.0</v>
      </c>
      <c r="O2929" s="1" t="s">
        <v>8509</v>
      </c>
      <c r="P2929" s="1" t="s">
        <v>3294</v>
      </c>
      <c r="Q2929" s="1" t="s">
        <v>3408</v>
      </c>
    </row>
    <row r="2930">
      <c r="A2930" s="1" t="s">
        <v>8444</v>
      </c>
      <c r="B2930" s="1">
        <v>91.0</v>
      </c>
      <c r="C2930" s="1">
        <v>70.0</v>
      </c>
      <c r="D2930" s="2" t="s">
        <v>714</v>
      </c>
      <c r="E2930" s="1">
        <v>91.0</v>
      </c>
      <c r="F2930" s="1">
        <v>0.0</v>
      </c>
      <c r="G2930" s="1">
        <v>0.0</v>
      </c>
      <c r="H2930" s="1">
        <v>0.0</v>
      </c>
      <c r="I2930" s="1">
        <v>0.0</v>
      </c>
      <c r="J2930" s="1">
        <v>0.0</v>
      </c>
      <c r="K2930" s="1">
        <v>0.0</v>
      </c>
      <c r="L2930" s="1">
        <v>185.0</v>
      </c>
      <c r="M2930" s="1" t="s">
        <v>8445</v>
      </c>
      <c r="N2930" s="18">
        <v>45978.0</v>
      </c>
      <c r="O2930" s="1" t="s">
        <v>3252</v>
      </c>
      <c r="P2930" s="1" t="s">
        <v>3230</v>
      </c>
      <c r="Q2930" s="1" t="s">
        <v>3408</v>
      </c>
    </row>
    <row r="2931">
      <c r="A2931" s="1" t="s">
        <v>7188</v>
      </c>
      <c r="B2931" s="1">
        <v>92.0</v>
      </c>
      <c r="C2931" s="1">
        <v>140.0</v>
      </c>
      <c r="D2931" s="2" t="s">
        <v>1998</v>
      </c>
      <c r="E2931" s="1">
        <v>92.0</v>
      </c>
      <c r="F2931" s="1">
        <v>6.0</v>
      </c>
      <c r="G2931" s="1">
        <v>2.56</v>
      </c>
      <c r="H2931" s="1">
        <v>0.0</v>
      </c>
      <c r="I2931" s="1">
        <v>0.0</v>
      </c>
      <c r="J2931" s="1">
        <v>0.0</v>
      </c>
      <c r="K2931" s="1">
        <v>0.38</v>
      </c>
      <c r="L2931" s="1">
        <v>329000.0</v>
      </c>
      <c r="M2931" s="1" t="s">
        <v>7189</v>
      </c>
      <c r="N2931" s="18">
        <v>46038.0</v>
      </c>
      <c r="O2931" s="1" t="s">
        <v>3261</v>
      </c>
      <c r="P2931" s="1" t="s">
        <v>3230</v>
      </c>
      <c r="Q2931" s="1" t="s">
        <v>3408</v>
      </c>
    </row>
    <row r="2932">
      <c r="A2932" s="1" t="s">
        <v>8510</v>
      </c>
      <c r="B2932" s="1">
        <v>92.0</v>
      </c>
      <c r="C2932" s="1">
        <v>40.0</v>
      </c>
      <c r="D2932" s="2" t="s">
        <v>1986</v>
      </c>
      <c r="E2932" s="1">
        <v>92.0</v>
      </c>
      <c r="F2932" s="1">
        <v>33.0</v>
      </c>
      <c r="G2932" s="1">
        <v>0.0</v>
      </c>
      <c r="H2932" s="1">
        <v>0.0</v>
      </c>
      <c r="I2932" s="1">
        <v>0.0</v>
      </c>
      <c r="J2932" s="1">
        <v>0.0</v>
      </c>
      <c r="K2932" s="1">
        <v>0.0</v>
      </c>
      <c r="L2932" s="1">
        <v>3520000.0</v>
      </c>
      <c r="M2932" s="1" t="s">
        <v>8511</v>
      </c>
      <c r="N2932" s="18">
        <v>46038.0</v>
      </c>
      <c r="O2932" s="1" t="s">
        <v>3248</v>
      </c>
      <c r="P2932" s="1" t="s">
        <v>3301</v>
      </c>
      <c r="Q2932" s="1" t="s">
        <v>3408</v>
      </c>
    </row>
    <row r="2933">
      <c r="A2933" s="1" t="s">
        <v>8512</v>
      </c>
      <c r="B2933" s="1">
        <v>92.0</v>
      </c>
      <c r="C2933" s="1">
        <v>110.0</v>
      </c>
      <c r="D2933" s="2" t="s">
        <v>439</v>
      </c>
      <c r="E2933" s="1">
        <v>92.0</v>
      </c>
      <c r="F2933" s="1">
        <v>16.0</v>
      </c>
      <c r="G2933" s="1">
        <v>3.07</v>
      </c>
      <c r="H2933" s="1">
        <v>0.0</v>
      </c>
      <c r="I2933" s="1">
        <v>0.0</v>
      </c>
      <c r="J2933" s="1">
        <v>0.0</v>
      </c>
      <c r="K2933" s="1">
        <v>0.11</v>
      </c>
      <c r="L2933" s="1">
        <v>51500.0</v>
      </c>
      <c r="M2933" s="1" t="s">
        <v>8513</v>
      </c>
      <c r="N2933" s="18">
        <v>46034.0</v>
      </c>
      <c r="O2933" s="1" t="s">
        <v>3293</v>
      </c>
      <c r="P2933" s="1" t="s">
        <v>3294</v>
      </c>
      <c r="Q2933" s="1" t="s">
        <v>3408</v>
      </c>
    </row>
    <row r="2934">
      <c r="A2934" s="1" t="s">
        <v>8514</v>
      </c>
      <c r="B2934" s="1">
        <v>92.0</v>
      </c>
      <c r="C2934" s="1">
        <v>210.0</v>
      </c>
      <c r="D2934" s="2" t="s">
        <v>581</v>
      </c>
      <c r="E2934" s="1">
        <v>92.0</v>
      </c>
      <c r="F2934" s="1">
        <v>51.0</v>
      </c>
      <c r="G2934" s="1">
        <v>0.0</v>
      </c>
      <c r="H2934" s="1">
        <v>0.0</v>
      </c>
      <c r="I2934" s="1">
        <v>0.0</v>
      </c>
      <c r="J2934" s="1">
        <v>0.0</v>
      </c>
      <c r="K2934" s="1">
        <v>0.0</v>
      </c>
      <c r="L2934" s="1">
        <v>1.04E7</v>
      </c>
      <c r="M2934" s="1" t="s">
        <v>8515</v>
      </c>
      <c r="N2934" s="18">
        <v>46032.0</v>
      </c>
      <c r="O2934" s="1" t="s">
        <v>4390</v>
      </c>
      <c r="P2934" s="1" t="s">
        <v>3257</v>
      </c>
      <c r="Q2934" s="1" t="s">
        <v>3408</v>
      </c>
    </row>
    <row r="2935">
      <c r="A2935" s="1" t="s">
        <v>8516</v>
      </c>
      <c r="B2935" s="1">
        <v>92.0</v>
      </c>
      <c r="C2935" s="1">
        <v>40.0</v>
      </c>
      <c r="D2935" s="2" t="s">
        <v>2253</v>
      </c>
      <c r="E2935" s="1">
        <v>92.0</v>
      </c>
      <c r="F2935" s="1">
        <v>8.0</v>
      </c>
      <c r="G2935" s="1">
        <v>0.0</v>
      </c>
      <c r="H2935" s="1">
        <v>0.0</v>
      </c>
      <c r="I2935" s="1">
        <v>0.0</v>
      </c>
      <c r="J2935" s="1">
        <v>0.0</v>
      </c>
      <c r="K2935" s="1">
        <v>0.33</v>
      </c>
      <c r="L2935" s="1">
        <v>1.18E7</v>
      </c>
      <c r="M2935" s="1" t="s">
        <v>8517</v>
      </c>
      <c r="N2935" s="18">
        <v>46031.0</v>
      </c>
      <c r="O2935" s="1" t="s">
        <v>3571</v>
      </c>
      <c r="P2935" s="1" t="s">
        <v>3230</v>
      </c>
      <c r="Q2935" s="1" t="s">
        <v>3408</v>
      </c>
    </row>
    <row r="2936">
      <c r="A2936" s="1" t="s">
        <v>8518</v>
      </c>
      <c r="B2936" s="1">
        <v>92.0</v>
      </c>
      <c r="C2936" s="1">
        <v>170.0</v>
      </c>
      <c r="D2936" s="2" t="s">
        <v>581</v>
      </c>
      <c r="E2936" s="1">
        <v>92.0</v>
      </c>
      <c r="F2936" s="1">
        <v>52.0</v>
      </c>
      <c r="G2936" s="1">
        <v>13.88</v>
      </c>
      <c r="H2936" s="1">
        <v>0.0</v>
      </c>
      <c r="I2936" s="1">
        <v>0.0</v>
      </c>
      <c r="J2936" s="1">
        <v>0.0</v>
      </c>
      <c r="K2936" s="1">
        <v>0.5</v>
      </c>
      <c r="L2936" s="1">
        <v>1.45E7</v>
      </c>
      <c r="M2936" s="1" t="s">
        <v>8519</v>
      </c>
      <c r="N2936" s="18">
        <v>46027.0</v>
      </c>
      <c r="O2936" s="1" t="s">
        <v>3673</v>
      </c>
      <c r="P2936" s="1" t="s">
        <v>3257</v>
      </c>
      <c r="Q2936" s="1" t="s">
        <v>3408</v>
      </c>
    </row>
    <row r="2937">
      <c r="A2937" s="1" t="s">
        <v>8520</v>
      </c>
      <c r="B2937" s="1">
        <v>92.0</v>
      </c>
      <c r="C2937" s="1">
        <v>40.0</v>
      </c>
      <c r="D2937" s="2" t="s">
        <v>1511</v>
      </c>
      <c r="E2937" s="1">
        <v>92.0</v>
      </c>
      <c r="F2937" s="1">
        <v>0.0</v>
      </c>
      <c r="G2937" s="1">
        <v>21.64</v>
      </c>
      <c r="H2937" s="1">
        <v>0.0</v>
      </c>
      <c r="I2937" s="1">
        <v>0.0</v>
      </c>
      <c r="J2937" s="1">
        <v>0.0</v>
      </c>
      <c r="K2937" s="1">
        <v>0.41</v>
      </c>
      <c r="L2937" s="1">
        <v>3400000.0</v>
      </c>
      <c r="M2937" s="1" t="s">
        <v>8521</v>
      </c>
      <c r="N2937" s="18">
        <v>46026.0</v>
      </c>
      <c r="O2937" s="1" t="s">
        <v>5218</v>
      </c>
      <c r="P2937" s="1" t="s">
        <v>3334</v>
      </c>
      <c r="Q2937" s="1" t="s">
        <v>3408</v>
      </c>
    </row>
    <row r="2938">
      <c r="A2938" s="1" t="s">
        <v>8522</v>
      </c>
      <c r="B2938" s="1">
        <v>92.0</v>
      </c>
      <c r="C2938" s="1">
        <v>50.0</v>
      </c>
      <c r="D2938" s="2" t="s">
        <v>581</v>
      </c>
      <c r="E2938" s="1">
        <v>92.0</v>
      </c>
      <c r="F2938" s="1">
        <v>0.0</v>
      </c>
      <c r="G2938" s="1">
        <v>0.0</v>
      </c>
      <c r="H2938" s="1">
        <v>0.0</v>
      </c>
      <c r="I2938" s="1">
        <v>0.0</v>
      </c>
      <c r="J2938" s="1">
        <v>0.0</v>
      </c>
      <c r="K2938" s="1">
        <v>0.0</v>
      </c>
      <c r="L2938" s="1">
        <v>62400.0</v>
      </c>
      <c r="M2938" s="1" t="s">
        <v>4908</v>
      </c>
      <c r="N2938" s="18">
        <v>46025.0</v>
      </c>
      <c r="O2938" s="1" t="s">
        <v>4338</v>
      </c>
      <c r="P2938" s="1" t="s">
        <v>3334</v>
      </c>
      <c r="Q2938" s="1" t="s">
        <v>3408</v>
      </c>
    </row>
    <row r="2939">
      <c r="A2939" s="1" t="s">
        <v>8523</v>
      </c>
      <c r="B2939" s="1">
        <v>92.0</v>
      </c>
      <c r="C2939" s="1">
        <v>40.0</v>
      </c>
      <c r="D2939" s="2" t="s">
        <v>710</v>
      </c>
      <c r="E2939" s="1">
        <v>92.0</v>
      </c>
      <c r="F2939" s="1">
        <v>3.0</v>
      </c>
      <c r="G2939" s="1">
        <v>0.0</v>
      </c>
      <c r="H2939" s="1">
        <v>0.0</v>
      </c>
      <c r="I2939" s="1">
        <v>0.0</v>
      </c>
      <c r="J2939" s="1">
        <v>0.0</v>
      </c>
      <c r="K2939" s="1">
        <v>0.0</v>
      </c>
      <c r="L2939" s="1">
        <v>239000.0</v>
      </c>
      <c r="M2939" s="1" t="s">
        <v>8524</v>
      </c>
      <c r="N2939" s="18">
        <v>46025.0</v>
      </c>
      <c r="O2939" s="1" t="s">
        <v>4839</v>
      </c>
      <c r="P2939" s="1" t="s">
        <v>3257</v>
      </c>
      <c r="Q2939" s="1" t="s">
        <v>3408</v>
      </c>
    </row>
    <row r="2940">
      <c r="A2940" s="1" t="s">
        <v>8275</v>
      </c>
      <c r="B2940" s="1">
        <v>92.0</v>
      </c>
      <c r="C2940" s="1">
        <v>140.0</v>
      </c>
      <c r="D2940" s="2" t="s">
        <v>2937</v>
      </c>
      <c r="E2940" s="1">
        <v>92.0</v>
      </c>
      <c r="G2940" s="1">
        <v>6.56</v>
      </c>
      <c r="H2940" s="1">
        <v>0.0</v>
      </c>
      <c r="I2940" s="1">
        <v>0.0</v>
      </c>
      <c r="J2940" s="1">
        <v>0.0</v>
      </c>
      <c r="K2940" s="1">
        <v>0.06</v>
      </c>
      <c r="L2940" s="1">
        <v>1.04E7</v>
      </c>
      <c r="M2940" s="1" t="s">
        <v>8276</v>
      </c>
      <c r="N2940" s="18">
        <v>46025.0</v>
      </c>
      <c r="O2940" s="1" t="s">
        <v>8277</v>
      </c>
      <c r="P2940" s="1" t="s">
        <v>3257</v>
      </c>
      <c r="Q2940" s="1" t="s">
        <v>3408</v>
      </c>
    </row>
    <row r="2941">
      <c r="A2941" s="1" t="s">
        <v>8525</v>
      </c>
      <c r="B2941" s="1">
        <v>92.0</v>
      </c>
      <c r="C2941" s="1">
        <v>260.0</v>
      </c>
      <c r="D2941" s="2" t="s">
        <v>2273</v>
      </c>
      <c r="E2941" s="1">
        <v>92.0</v>
      </c>
      <c r="F2941" s="1">
        <v>70.0</v>
      </c>
      <c r="G2941" s="1">
        <v>3.05</v>
      </c>
      <c r="H2941" s="1">
        <v>0.0</v>
      </c>
      <c r="I2941" s="1">
        <v>0.0</v>
      </c>
      <c r="J2941" s="1">
        <v>0.0</v>
      </c>
      <c r="K2941" s="1">
        <v>0.18</v>
      </c>
      <c r="L2941" s="1">
        <v>2.73E9</v>
      </c>
      <c r="M2941" s="1" t="s">
        <v>8526</v>
      </c>
      <c r="N2941" s="18">
        <v>46025.0</v>
      </c>
      <c r="O2941" s="1" t="s">
        <v>8527</v>
      </c>
      <c r="P2941" s="1" t="s">
        <v>3230</v>
      </c>
      <c r="Q2941" s="1" t="s">
        <v>3408</v>
      </c>
    </row>
    <row r="2942">
      <c r="A2942" s="1" t="s">
        <v>3656</v>
      </c>
      <c r="B2942" s="1">
        <v>92.0</v>
      </c>
      <c r="C2942" s="1">
        <v>140.0</v>
      </c>
      <c r="D2942" s="2" t="s">
        <v>447</v>
      </c>
      <c r="E2942" s="1">
        <v>92.0</v>
      </c>
      <c r="F2942" s="1">
        <v>25.0</v>
      </c>
      <c r="G2942" s="1">
        <v>13.98</v>
      </c>
      <c r="H2942" s="1">
        <v>0.0</v>
      </c>
      <c r="I2942" s="1">
        <v>0.0</v>
      </c>
      <c r="J2942" s="1">
        <v>0.0</v>
      </c>
      <c r="K2942" s="1">
        <v>0.45</v>
      </c>
      <c r="L2942" s="1">
        <v>33000.0</v>
      </c>
      <c r="M2942" s="1" t="s">
        <v>3657</v>
      </c>
      <c r="N2942" s="18">
        <v>46024.0</v>
      </c>
      <c r="O2942" s="1" t="s">
        <v>3435</v>
      </c>
      <c r="P2942" s="1" t="s">
        <v>3257</v>
      </c>
      <c r="Q2942" s="1" t="s">
        <v>3408</v>
      </c>
    </row>
    <row r="2943">
      <c r="A2943" s="1" t="s">
        <v>8528</v>
      </c>
      <c r="B2943" s="1">
        <v>92.0</v>
      </c>
      <c r="C2943" s="1">
        <v>50.0</v>
      </c>
      <c r="D2943" s="2" t="s">
        <v>581</v>
      </c>
      <c r="E2943" s="1">
        <v>92.0</v>
      </c>
      <c r="F2943" s="1">
        <v>28.0</v>
      </c>
      <c r="G2943" s="1">
        <v>4.86</v>
      </c>
      <c r="H2943" s="1">
        <v>0.0</v>
      </c>
      <c r="I2943" s="1">
        <v>0.0</v>
      </c>
      <c r="J2943" s="1">
        <v>0.0</v>
      </c>
      <c r="K2943" s="1">
        <v>0.54</v>
      </c>
      <c r="L2943" s="1">
        <v>139000.0</v>
      </c>
      <c r="M2943" s="1" t="s">
        <v>8529</v>
      </c>
      <c r="N2943" s="18">
        <v>46022.0</v>
      </c>
      <c r="O2943" s="1" t="s">
        <v>3256</v>
      </c>
      <c r="P2943" s="1" t="s">
        <v>3257</v>
      </c>
      <c r="Q2943" s="1" t="s">
        <v>3408</v>
      </c>
    </row>
    <row r="2944">
      <c r="A2944" s="1" t="s">
        <v>5431</v>
      </c>
      <c r="B2944" s="1">
        <v>92.0</v>
      </c>
      <c r="C2944" s="1">
        <v>170.0</v>
      </c>
      <c r="D2944" s="2" t="s">
        <v>3001</v>
      </c>
      <c r="E2944" s="1">
        <v>92.0</v>
      </c>
      <c r="F2944" s="1">
        <v>15.0</v>
      </c>
      <c r="G2944" s="1">
        <v>0.0</v>
      </c>
      <c r="H2944" s="1">
        <v>0.0</v>
      </c>
      <c r="I2944" s="1">
        <v>0.0</v>
      </c>
      <c r="J2944" s="1">
        <v>0.0</v>
      </c>
      <c r="K2944" s="1">
        <v>0.03</v>
      </c>
      <c r="L2944" s="1">
        <v>1.05E7</v>
      </c>
      <c r="M2944" s="1" t="s">
        <v>5432</v>
      </c>
      <c r="N2944" s="18">
        <v>46022.0</v>
      </c>
      <c r="O2944" s="1" t="s">
        <v>3427</v>
      </c>
      <c r="P2944" s="1" t="s">
        <v>3257</v>
      </c>
      <c r="Q2944" s="1" t="s">
        <v>3408</v>
      </c>
    </row>
    <row r="2945">
      <c r="A2945" s="1" t="s">
        <v>8530</v>
      </c>
      <c r="B2945" s="1">
        <v>92.0</v>
      </c>
      <c r="C2945" s="1">
        <v>320.0</v>
      </c>
      <c r="D2945" s="2" t="s">
        <v>439</v>
      </c>
      <c r="E2945" s="1">
        <v>92.0</v>
      </c>
      <c r="F2945" s="1">
        <v>44.0</v>
      </c>
      <c r="G2945" s="1">
        <v>17.08</v>
      </c>
      <c r="H2945" s="1">
        <v>0.0</v>
      </c>
      <c r="I2945" s="1">
        <v>0.0</v>
      </c>
      <c r="J2945" s="1">
        <v>0.0</v>
      </c>
      <c r="K2945" s="1">
        <v>0.02</v>
      </c>
      <c r="L2945" s="1">
        <v>1.69E7</v>
      </c>
      <c r="M2945" s="1" t="s">
        <v>8531</v>
      </c>
      <c r="N2945" s="18">
        <v>46022.0</v>
      </c>
      <c r="O2945" s="1" t="s">
        <v>8532</v>
      </c>
      <c r="P2945" s="1" t="s">
        <v>3257</v>
      </c>
      <c r="Q2945" s="1" t="s">
        <v>3408</v>
      </c>
    </row>
    <row r="2946">
      <c r="A2946" s="1" t="s">
        <v>8533</v>
      </c>
      <c r="B2946" s="1">
        <v>92.0</v>
      </c>
      <c r="C2946" s="1">
        <v>70.0</v>
      </c>
      <c r="D2946" s="2" t="s">
        <v>439</v>
      </c>
      <c r="E2946" s="1">
        <v>92.0</v>
      </c>
      <c r="F2946" s="1">
        <v>10.0</v>
      </c>
      <c r="G2946" s="1">
        <v>0.0</v>
      </c>
      <c r="H2946" s="1">
        <v>0.0</v>
      </c>
      <c r="I2946" s="1">
        <v>0.0</v>
      </c>
      <c r="J2946" s="1">
        <v>0.0</v>
      </c>
      <c r="K2946" s="1">
        <v>0.07</v>
      </c>
      <c r="L2946" s="1">
        <v>314000.0</v>
      </c>
      <c r="M2946" s="1" t="s">
        <v>8534</v>
      </c>
      <c r="N2946" s="18">
        <v>46021.0</v>
      </c>
      <c r="O2946" s="1" t="s">
        <v>4944</v>
      </c>
      <c r="P2946" s="1" t="s">
        <v>3230</v>
      </c>
      <c r="Q2946" s="1" t="s">
        <v>3408</v>
      </c>
    </row>
    <row r="2947">
      <c r="A2947" s="1" t="s">
        <v>7996</v>
      </c>
      <c r="B2947" s="1">
        <v>92.0</v>
      </c>
      <c r="C2947" s="1">
        <v>210.0</v>
      </c>
      <c r="D2947" s="2" t="s">
        <v>647</v>
      </c>
      <c r="E2947" s="1">
        <v>92.0</v>
      </c>
      <c r="F2947" s="1">
        <v>24.0</v>
      </c>
      <c r="G2947" s="1">
        <v>1.28</v>
      </c>
      <c r="H2947" s="1">
        <v>0.0</v>
      </c>
      <c r="I2947" s="1">
        <v>0.0</v>
      </c>
      <c r="J2947" s="1">
        <v>0.0</v>
      </c>
      <c r="K2947" s="1">
        <v>0.3</v>
      </c>
      <c r="L2947" s="1">
        <v>2.5E8</v>
      </c>
      <c r="M2947" s="1" t="s">
        <v>7997</v>
      </c>
      <c r="N2947" s="18">
        <v>46021.0</v>
      </c>
      <c r="O2947" s="1" t="s">
        <v>3479</v>
      </c>
      <c r="P2947" s="1" t="s">
        <v>3230</v>
      </c>
      <c r="Q2947" s="1" t="s">
        <v>3408</v>
      </c>
    </row>
    <row r="2948">
      <c r="A2948" s="1" t="s">
        <v>8292</v>
      </c>
      <c r="B2948" s="1">
        <v>92.0</v>
      </c>
      <c r="C2948" s="1">
        <v>70.0</v>
      </c>
      <c r="D2948" s="2" t="s">
        <v>720</v>
      </c>
      <c r="E2948" s="1">
        <v>92.0</v>
      </c>
      <c r="F2948" s="1">
        <v>2.0</v>
      </c>
      <c r="G2948" s="1">
        <v>0.0</v>
      </c>
      <c r="H2948" s="1">
        <v>0.0</v>
      </c>
      <c r="I2948" s="1">
        <v>0.0</v>
      </c>
      <c r="J2948" s="1">
        <v>0.0</v>
      </c>
      <c r="K2948" s="1">
        <v>0.02</v>
      </c>
      <c r="L2948" s="1">
        <v>385000.0</v>
      </c>
      <c r="M2948" s="1" t="s">
        <v>8293</v>
      </c>
      <c r="N2948" s="18">
        <v>46015.0</v>
      </c>
      <c r="O2948" s="1" t="s">
        <v>3670</v>
      </c>
      <c r="P2948" s="1" t="s">
        <v>3257</v>
      </c>
      <c r="Q2948" s="1" t="s">
        <v>3408</v>
      </c>
    </row>
    <row r="2949">
      <c r="A2949" s="1" t="s">
        <v>8535</v>
      </c>
      <c r="B2949" s="1">
        <v>92.0</v>
      </c>
      <c r="C2949" s="1">
        <v>50.0</v>
      </c>
      <c r="D2949" s="2" t="s">
        <v>581</v>
      </c>
      <c r="E2949" s="1">
        <v>92.0</v>
      </c>
      <c r="F2949" s="1">
        <v>2.0</v>
      </c>
      <c r="G2949" s="1">
        <v>0.0</v>
      </c>
      <c r="H2949" s="1">
        <v>0.0</v>
      </c>
      <c r="I2949" s="1">
        <v>0.0</v>
      </c>
      <c r="J2949" s="1">
        <v>0.0</v>
      </c>
      <c r="K2949" s="1">
        <v>0.0</v>
      </c>
      <c r="L2949" s="1">
        <v>1620000.0</v>
      </c>
      <c r="M2949" s="1" t="s">
        <v>8536</v>
      </c>
      <c r="N2949" s="18">
        <v>46015.0</v>
      </c>
      <c r="O2949" s="1" t="s">
        <v>4255</v>
      </c>
      <c r="P2949" s="1" t="s">
        <v>3257</v>
      </c>
      <c r="Q2949" s="1" t="s">
        <v>3408</v>
      </c>
    </row>
    <row r="2950">
      <c r="A2950" s="1" t="s">
        <v>8537</v>
      </c>
      <c r="B2950" s="1">
        <v>92.0</v>
      </c>
      <c r="C2950" s="1">
        <v>50.0</v>
      </c>
      <c r="D2950" s="2" t="s">
        <v>665</v>
      </c>
      <c r="E2950" s="1">
        <v>92.0</v>
      </c>
      <c r="F2950" s="1">
        <v>1.0</v>
      </c>
      <c r="G2950" s="1">
        <v>0.0</v>
      </c>
      <c r="H2950" s="1">
        <v>0.0</v>
      </c>
      <c r="I2950" s="1">
        <v>0.0</v>
      </c>
      <c r="J2950" s="1">
        <v>0.0</v>
      </c>
      <c r="K2950" s="1">
        <v>0.0</v>
      </c>
      <c r="L2950" s="1">
        <v>1.25E7</v>
      </c>
      <c r="M2950" s="1" t="s">
        <v>8538</v>
      </c>
      <c r="N2950" s="18">
        <v>46015.0</v>
      </c>
      <c r="O2950" s="1" t="s">
        <v>3435</v>
      </c>
      <c r="P2950" s="1" t="s">
        <v>3257</v>
      </c>
      <c r="Q2950" s="1" t="s">
        <v>3408</v>
      </c>
    </row>
    <row r="2951">
      <c r="A2951" s="1" t="s">
        <v>8539</v>
      </c>
      <c r="B2951" s="1">
        <v>92.0</v>
      </c>
      <c r="C2951" s="1">
        <v>1600.0</v>
      </c>
      <c r="D2951" s="2" t="s">
        <v>439</v>
      </c>
      <c r="E2951" s="1">
        <v>92.0</v>
      </c>
      <c r="F2951" s="1">
        <v>41.0</v>
      </c>
      <c r="G2951" s="1">
        <v>4.98</v>
      </c>
      <c r="H2951" s="1">
        <v>0.0</v>
      </c>
      <c r="I2951" s="1">
        <v>0.0</v>
      </c>
      <c r="J2951" s="1">
        <v>0.0</v>
      </c>
      <c r="K2951" s="1">
        <v>0.08</v>
      </c>
      <c r="L2951" s="1">
        <v>67700.0</v>
      </c>
      <c r="M2951" s="1" t="s">
        <v>8540</v>
      </c>
      <c r="N2951" s="18">
        <v>46014.0</v>
      </c>
      <c r="O2951" s="1" t="s">
        <v>4121</v>
      </c>
      <c r="P2951" s="1" t="s">
        <v>3294</v>
      </c>
      <c r="Q2951" s="1" t="s">
        <v>3408</v>
      </c>
    </row>
    <row r="2952">
      <c r="A2952" s="1" t="s">
        <v>8541</v>
      </c>
      <c r="B2952" s="1">
        <v>92.0</v>
      </c>
      <c r="C2952" s="1">
        <v>90.0</v>
      </c>
      <c r="D2952" s="2" t="s">
        <v>581</v>
      </c>
      <c r="E2952" s="1">
        <v>92.0</v>
      </c>
      <c r="F2952" s="1">
        <v>19.0</v>
      </c>
      <c r="G2952" s="1">
        <v>18.33</v>
      </c>
      <c r="H2952" s="1">
        <v>0.0</v>
      </c>
      <c r="I2952" s="1">
        <v>0.0</v>
      </c>
      <c r="J2952" s="1">
        <v>0.0</v>
      </c>
      <c r="K2952" s="1">
        <v>0.92</v>
      </c>
      <c r="L2952" s="1">
        <v>731000.0</v>
      </c>
      <c r="M2952" s="1" t="s">
        <v>8542</v>
      </c>
      <c r="N2952" s="18">
        <v>46012.0</v>
      </c>
      <c r="O2952" s="1" t="s">
        <v>3520</v>
      </c>
      <c r="P2952" s="1" t="s">
        <v>3257</v>
      </c>
      <c r="Q2952" s="1" t="s">
        <v>3408</v>
      </c>
    </row>
    <row r="2953">
      <c r="A2953" s="1" t="s">
        <v>8543</v>
      </c>
      <c r="B2953" s="1">
        <v>92.0</v>
      </c>
      <c r="C2953" s="1">
        <v>210.0</v>
      </c>
      <c r="D2953" s="2" t="s">
        <v>638</v>
      </c>
      <c r="E2953" s="1">
        <v>92.0</v>
      </c>
      <c r="F2953" s="1">
        <v>35.0</v>
      </c>
      <c r="G2953" s="1">
        <v>0.0</v>
      </c>
      <c r="H2953" s="1">
        <v>0.0</v>
      </c>
      <c r="I2953" s="1">
        <v>0.0</v>
      </c>
      <c r="J2953" s="1">
        <v>0.0</v>
      </c>
      <c r="K2953" s="1">
        <v>0.01</v>
      </c>
      <c r="L2953" s="1">
        <v>9340000.0</v>
      </c>
      <c r="M2953" s="1" t="s">
        <v>8544</v>
      </c>
      <c r="N2953" s="18">
        <v>46010.0</v>
      </c>
      <c r="O2953" s="1" t="s">
        <v>3479</v>
      </c>
      <c r="P2953" s="1" t="s">
        <v>3230</v>
      </c>
      <c r="Q2953" s="1" t="s">
        <v>3408</v>
      </c>
    </row>
    <row r="2954">
      <c r="A2954" s="1" t="s">
        <v>8545</v>
      </c>
      <c r="B2954" s="1">
        <v>92.0</v>
      </c>
      <c r="C2954" s="1">
        <v>40.0</v>
      </c>
      <c r="D2954" s="2" t="s">
        <v>1619</v>
      </c>
      <c r="E2954" s="1">
        <v>92.0</v>
      </c>
      <c r="F2954" s="1">
        <v>2.0</v>
      </c>
      <c r="G2954" s="1">
        <v>0.0</v>
      </c>
      <c r="H2954" s="1">
        <v>0.0</v>
      </c>
      <c r="I2954" s="1">
        <v>0.0</v>
      </c>
      <c r="J2954" s="1">
        <v>0.0</v>
      </c>
      <c r="K2954" s="1">
        <v>0.0</v>
      </c>
      <c r="L2954" s="1">
        <v>4880000.0</v>
      </c>
      <c r="M2954" s="1" t="s">
        <v>8546</v>
      </c>
      <c r="N2954" s="18">
        <v>46010.0</v>
      </c>
      <c r="O2954" s="1" t="s">
        <v>6324</v>
      </c>
      <c r="P2954" s="1" t="s">
        <v>3230</v>
      </c>
      <c r="Q2954" s="1" t="s">
        <v>3408</v>
      </c>
    </row>
    <row r="2955">
      <c r="A2955" s="1" t="s">
        <v>8547</v>
      </c>
      <c r="B2955" s="1">
        <v>92.0</v>
      </c>
      <c r="C2955" s="1">
        <v>1000.0</v>
      </c>
      <c r="D2955" s="2" t="s">
        <v>581</v>
      </c>
      <c r="E2955" s="1">
        <v>92.0</v>
      </c>
      <c r="F2955" s="1">
        <v>62.0</v>
      </c>
      <c r="G2955" s="1">
        <v>19.44</v>
      </c>
      <c r="H2955" s="1">
        <v>0.0</v>
      </c>
      <c r="I2955" s="1">
        <v>0.0</v>
      </c>
      <c r="J2955" s="1">
        <v>0.0</v>
      </c>
      <c r="K2955" s="1">
        <v>0.58</v>
      </c>
      <c r="L2955" s="1">
        <v>7420000.0</v>
      </c>
      <c r="M2955" s="1" t="s">
        <v>8548</v>
      </c>
      <c r="N2955" s="18">
        <v>46008.0</v>
      </c>
      <c r="O2955" s="1" t="s">
        <v>4390</v>
      </c>
      <c r="P2955" s="1" t="s">
        <v>3257</v>
      </c>
      <c r="Q2955" s="1" t="s">
        <v>3408</v>
      </c>
    </row>
    <row r="2956">
      <c r="A2956" s="1" t="s">
        <v>8549</v>
      </c>
      <c r="B2956" s="1">
        <v>92.0</v>
      </c>
      <c r="C2956" s="1">
        <v>50.0</v>
      </c>
      <c r="D2956" s="2" t="s">
        <v>581</v>
      </c>
      <c r="E2956" s="1">
        <v>92.0</v>
      </c>
      <c r="F2956" s="1">
        <v>17.0</v>
      </c>
      <c r="G2956" s="1">
        <v>0.0</v>
      </c>
      <c r="H2956" s="1">
        <v>0.0</v>
      </c>
      <c r="I2956" s="1">
        <v>0.0</v>
      </c>
      <c r="J2956" s="1">
        <v>0.0</v>
      </c>
      <c r="K2956" s="1">
        <v>0.05</v>
      </c>
      <c r="L2956" s="1">
        <v>3.04E8</v>
      </c>
      <c r="M2956" s="1" t="s">
        <v>8550</v>
      </c>
      <c r="N2956" s="18">
        <v>46004.0</v>
      </c>
      <c r="O2956" s="1" t="s">
        <v>5538</v>
      </c>
      <c r="P2956" s="1" t="s">
        <v>3230</v>
      </c>
      <c r="Q2956" s="1" t="s">
        <v>3408</v>
      </c>
    </row>
    <row r="2957">
      <c r="A2957" s="1" t="s">
        <v>8551</v>
      </c>
      <c r="B2957" s="1">
        <v>92.0</v>
      </c>
      <c r="C2957" s="1">
        <v>90.0</v>
      </c>
      <c r="D2957" s="2" t="s">
        <v>2253</v>
      </c>
      <c r="E2957" s="1">
        <v>92.0</v>
      </c>
      <c r="F2957" s="1">
        <v>1.0</v>
      </c>
      <c r="G2957" s="1">
        <v>0.0</v>
      </c>
      <c r="H2957" s="1">
        <v>0.0</v>
      </c>
      <c r="I2957" s="1">
        <v>0.0</v>
      </c>
      <c r="J2957" s="1">
        <v>0.0</v>
      </c>
      <c r="K2957" s="1">
        <v>0.0</v>
      </c>
      <c r="L2957" s="1">
        <v>3.0E7</v>
      </c>
      <c r="M2957" s="1" t="s">
        <v>8552</v>
      </c>
      <c r="N2957" s="18">
        <v>46001.0</v>
      </c>
      <c r="O2957" s="1" t="s">
        <v>4295</v>
      </c>
      <c r="P2957" s="1" t="s">
        <v>3230</v>
      </c>
      <c r="Q2957" s="1" t="s">
        <v>3408</v>
      </c>
    </row>
    <row r="2958">
      <c r="A2958" s="1" t="s">
        <v>8553</v>
      </c>
      <c r="B2958" s="1">
        <v>92.0</v>
      </c>
      <c r="C2958" s="1">
        <v>90.0</v>
      </c>
      <c r="D2958" s="2" t="s">
        <v>2054</v>
      </c>
      <c r="E2958" s="1">
        <v>92.0</v>
      </c>
      <c r="F2958" s="1">
        <v>0.0</v>
      </c>
      <c r="G2958" s="1">
        <v>0.0</v>
      </c>
      <c r="H2958" s="1">
        <v>0.0</v>
      </c>
      <c r="I2958" s="1">
        <v>0.0</v>
      </c>
      <c r="J2958" s="1">
        <v>0.0</v>
      </c>
      <c r="K2958" s="1">
        <v>0.05</v>
      </c>
      <c r="L2958" s="1">
        <v>1230000.0</v>
      </c>
      <c r="M2958" s="1" t="s">
        <v>8554</v>
      </c>
      <c r="N2958" s="18">
        <v>45992.0</v>
      </c>
      <c r="O2958" s="1" t="s">
        <v>5700</v>
      </c>
      <c r="P2958" s="1" t="s">
        <v>3230</v>
      </c>
      <c r="Q2958" s="1" t="s">
        <v>3408</v>
      </c>
    </row>
    <row r="2959">
      <c r="A2959" s="1" t="s">
        <v>8366</v>
      </c>
      <c r="B2959" s="1">
        <v>92.0</v>
      </c>
      <c r="C2959" s="1">
        <v>30.0</v>
      </c>
      <c r="D2959" s="2" t="s">
        <v>740</v>
      </c>
      <c r="E2959" s="1">
        <v>92.0</v>
      </c>
      <c r="F2959" s="1">
        <v>10.0</v>
      </c>
      <c r="G2959" s="1">
        <v>9.72</v>
      </c>
      <c r="H2959" s="1">
        <v>0.0</v>
      </c>
      <c r="I2959" s="1">
        <v>0.0</v>
      </c>
      <c r="J2959" s="1">
        <v>0.0</v>
      </c>
      <c r="K2959" s="1">
        <v>0.82</v>
      </c>
      <c r="L2959" s="1">
        <v>2.04E7</v>
      </c>
      <c r="M2959" s="1" t="s">
        <v>8367</v>
      </c>
      <c r="N2959" s="18">
        <v>45992.0</v>
      </c>
      <c r="O2959" s="1" t="s">
        <v>6858</v>
      </c>
      <c r="P2959" s="1" t="s">
        <v>3230</v>
      </c>
      <c r="Q2959" s="1" t="s">
        <v>3408</v>
      </c>
    </row>
    <row r="2960">
      <c r="A2960" s="1" t="s">
        <v>8555</v>
      </c>
      <c r="B2960" s="1">
        <v>92.0</v>
      </c>
      <c r="C2960" s="1">
        <v>50.0</v>
      </c>
      <c r="D2960" s="2" t="s">
        <v>2420</v>
      </c>
      <c r="E2960" s="1">
        <v>92.0</v>
      </c>
      <c r="F2960" s="1">
        <v>30.0</v>
      </c>
      <c r="G2960" s="1">
        <v>0.0</v>
      </c>
      <c r="H2960" s="1">
        <v>0.0</v>
      </c>
      <c r="I2960" s="1">
        <v>0.0</v>
      </c>
      <c r="J2960" s="1">
        <v>0.0</v>
      </c>
      <c r="K2960" s="1">
        <v>0.0</v>
      </c>
      <c r="L2960" s="1">
        <v>7900000.0</v>
      </c>
      <c r="M2960" s="1" t="s">
        <v>8556</v>
      </c>
      <c r="N2960" s="18">
        <v>45992.0</v>
      </c>
      <c r="O2960" s="1" t="s">
        <v>3314</v>
      </c>
      <c r="P2960" s="1" t="s">
        <v>3230</v>
      </c>
      <c r="Q2960" s="1" t="s">
        <v>3408</v>
      </c>
    </row>
    <row r="2961">
      <c r="A2961" s="1" t="s">
        <v>6675</v>
      </c>
      <c r="B2961" s="1">
        <v>92.0</v>
      </c>
      <c r="C2961" s="1">
        <v>110.0</v>
      </c>
      <c r="D2961" s="2" t="s">
        <v>776</v>
      </c>
      <c r="E2961" s="1">
        <v>92.0</v>
      </c>
      <c r="F2961" s="1">
        <v>18.0</v>
      </c>
      <c r="G2961" s="1">
        <v>0.0</v>
      </c>
      <c r="H2961" s="1">
        <v>0.0</v>
      </c>
      <c r="I2961" s="1">
        <v>0.0</v>
      </c>
      <c r="J2961" s="1">
        <v>0.0</v>
      </c>
      <c r="K2961" s="1">
        <v>0.0</v>
      </c>
      <c r="L2961" s="1">
        <v>154000.0</v>
      </c>
      <c r="M2961" s="1" t="s">
        <v>6676</v>
      </c>
      <c r="N2961" s="18">
        <v>45991.0</v>
      </c>
      <c r="O2961" s="1" t="s">
        <v>5279</v>
      </c>
      <c r="P2961" s="1" t="s">
        <v>3230</v>
      </c>
      <c r="Q2961" s="1" t="s">
        <v>3408</v>
      </c>
    </row>
    <row r="2962">
      <c r="A2962" s="1" t="s">
        <v>8557</v>
      </c>
      <c r="B2962" s="1">
        <v>92.0</v>
      </c>
      <c r="C2962" s="1">
        <v>70.0</v>
      </c>
      <c r="D2962" s="2" t="s">
        <v>1860</v>
      </c>
      <c r="E2962" s="1">
        <v>92.0</v>
      </c>
      <c r="F2962" s="1">
        <v>10.0</v>
      </c>
      <c r="G2962" s="1">
        <v>0.0</v>
      </c>
      <c r="H2962" s="1">
        <v>0.0</v>
      </c>
      <c r="I2962" s="1">
        <v>0.0</v>
      </c>
      <c r="J2962" s="1">
        <v>0.0</v>
      </c>
      <c r="K2962" s="1">
        <v>0.03</v>
      </c>
      <c r="L2962" s="1">
        <v>9.0</v>
      </c>
      <c r="M2962" s="1" t="s">
        <v>8558</v>
      </c>
      <c r="N2962" s="18">
        <v>45984.0</v>
      </c>
      <c r="O2962" s="1" t="s">
        <v>6319</v>
      </c>
      <c r="P2962" s="1" t="s">
        <v>3230</v>
      </c>
      <c r="Q2962" s="1" t="s">
        <v>3408</v>
      </c>
    </row>
    <row r="2963">
      <c r="A2963" s="1" t="s">
        <v>8559</v>
      </c>
      <c r="B2963" s="1">
        <v>92.0</v>
      </c>
      <c r="C2963" s="1">
        <v>210.0</v>
      </c>
      <c r="D2963" s="2" t="s">
        <v>581</v>
      </c>
      <c r="E2963" s="1">
        <v>92.0</v>
      </c>
      <c r="F2963" s="1">
        <v>23.0</v>
      </c>
      <c r="G2963" s="1">
        <v>4.46</v>
      </c>
      <c r="H2963" s="1">
        <v>0.0</v>
      </c>
      <c r="I2963" s="1">
        <v>0.0</v>
      </c>
      <c r="J2963" s="1">
        <v>0.0</v>
      </c>
      <c r="K2963" s="1">
        <v>0.38</v>
      </c>
      <c r="L2963" s="1">
        <v>110000.0</v>
      </c>
      <c r="M2963" s="1" t="s">
        <v>8560</v>
      </c>
      <c r="N2963" s="18">
        <v>45984.0</v>
      </c>
      <c r="O2963" s="1" t="s">
        <v>3673</v>
      </c>
      <c r="P2963" s="1" t="s">
        <v>3257</v>
      </c>
      <c r="Q2963" s="1" t="s">
        <v>3408</v>
      </c>
    </row>
    <row r="2964">
      <c r="A2964" s="1" t="s">
        <v>8561</v>
      </c>
      <c r="B2964" s="1">
        <v>93.0</v>
      </c>
      <c r="C2964" s="1">
        <v>50.0</v>
      </c>
      <c r="D2964" s="2" t="s">
        <v>581</v>
      </c>
      <c r="E2964" s="1">
        <v>93.0</v>
      </c>
      <c r="F2964" s="1">
        <v>7.0</v>
      </c>
      <c r="G2964" s="1">
        <v>0.0</v>
      </c>
      <c r="H2964" s="1">
        <v>0.0</v>
      </c>
      <c r="I2964" s="1">
        <v>0.0</v>
      </c>
      <c r="J2964" s="1">
        <v>0.0</v>
      </c>
      <c r="K2964" s="1">
        <v>0.0</v>
      </c>
      <c r="L2964" s="1">
        <v>184000.0</v>
      </c>
      <c r="M2964" s="1" t="s">
        <v>8562</v>
      </c>
      <c r="N2964" s="18">
        <v>46037.0</v>
      </c>
      <c r="O2964" s="1" t="s">
        <v>7369</v>
      </c>
      <c r="P2964" s="1" t="s">
        <v>3257</v>
      </c>
      <c r="Q2964" s="1" t="s">
        <v>3408</v>
      </c>
    </row>
    <row r="2965">
      <c r="A2965" s="1" t="s">
        <v>8563</v>
      </c>
      <c r="B2965" s="1">
        <v>93.0</v>
      </c>
      <c r="C2965" s="1">
        <v>70.0</v>
      </c>
      <c r="D2965" s="2" t="s">
        <v>439</v>
      </c>
      <c r="E2965" s="1">
        <v>93.0</v>
      </c>
      <c r="F2965" s="1">
        <v>9.0</v>
      </c>
      <c r="G2965" s="1">
        <v>0.0</v>
      </c>
      <c r="H2965" s="1">
        <v>0.0</v>
      </c>
      <c r="I2965" s="1">
        <v>0.0</v>
      </c>
      <c r="J2965" s="1">
        <v>0.0</v>
      </c>
      <c r="K2965" s="1">
        <v>0.01</v>
      </c>
      <c r="L2965" s="1">
        <v>4610.0</v>
      </c>
      <c r="M2965" s="1" t="s">
        <v>8564</v>
      </c>
      <c r="N2965" s="18">
        <v>46037.0</v>
      </c>
      <c r="O2965" s="1" t="s">
        <v>5725</v>
      </c>
      <c r="P2965" s="1" t="s">
        <v>3230</v>
      </c>
      <c r="Q2965" s="1" t="s">
        <v>3408</v>
      </c>
    </row>
    <row r="2966">
      <c r="A2966" s="1" t="s">
        <v>8565</v>
      </c>
      <c r="B2966" s="1">
        <v>93.0</v>
      </c>
      <c r="C2966" s="1">
        <v>30.0</v>
      </c>
      <c r="D2966" s="2" t="s">
        <v>439</v>
      </c>
      <c r="E2966" s="1">
        <v>93.0</v>
      </c>
      <c r="F2966" s="1">
        <v>6.0</v>
      </c>
      <c r="G2966" s="1">
        <v>3.68</v>
      </c>
      <c r="H2966" s="1">
        <v>0.0</v>
      </c>
      <c r="I2966" s="1">
        <v>0.0</v>
      </c>
      <c r="J2966" s="1">
        <v>0.0</v>
      </c>
      <c r="K2966" s="1">
        <v>0.3</v>
      </c>
      <c r="L2966" s="1">
        <v>1680000.0</v>
      </c>
      <c r="M2966" s="1" t="s">
        <v>8566</v>
      </c>
      <c r="N2966" s="18">
        <v>46031.0</v>
      </c>
      <c r="O2966" s="1" t="s">
        <v>8567</v>
      </c>
      <c r="P2966" s="1" t="s">
        <v>3294</v>
      </c>
      <c r="Q2966" s="1" t="s">
        <v>3408</v>
      </c>
    </row>
    <row r="2967">
      <c r="A2967" s="1" t="s">
        <v>8568</v>
      </c>
      <c r="B2967" s="1">
        <v>93.0</v>
      </c>
      <c r="C2967" s="1">
        <v>50.0</v>
      </c>
      <c r="D2967" s="2" t="s">
        <v>904</v>
      </c>
      <c r="E2967" s="1">
        <v>93.0</v>
      </c>
      <c r="F2967" s="1">
        <v>0.0</v>
      </c>
      <c r="G2967" s="1">
        <v>0.0</v>
      </c>
      <c r="H2967" s="1">
        <v>0.0</v>
      </c>
      <c r="I2967" s="1">
        <v>0.0</v>
      </c>
      <c r="J2967" s="1">
        <v>0.0</v>
      </c>
      <c r="K2967" s="1">
        <v>0.33</v>
      </c>
      <c r="L2967" s="1">
        <v>412000.0</v>
      </c>
      <c r="M2967" s="1" t="s">
        <v>8569</v>
      </c>
      <c r="N2967" s="18">
        <v>46031.0</v>
      </c>
      <c r="O2967" s="1" t="s">
        <v>6441</v>
      </c>
      <c r="P2967" s="1" t="s">
        <v>4549</v>
      </c>
      <c r="Q2967" s="1" t="s">
        <v>3408</v>
      </c>
    </row>
    <row r="2968">
      <c r="A2968" s="1" t="s">
        <v>3692</v>
      </c>
      <c r="B2968" s="1">
        <v>93.0</v>
      </c>
      <c r="C2968" s="1">
        <v>50.0</v>
      </c>
      <c r="D2968" s="2" t="s">
        <v>475</v>
      </c>
      <c r="E2968" s="1">
        <v>93.0</v>
      </c>
      <c r="F2968" s="1">
        <v>12.0</v>
      </c>
      <c r="G2968" s="1">
        <v>0.0</v>
      </c>
      <c r="H2968" s="1">
        <v>0.0</v>
      </c>
      <c r="I2968" s="1">
        <v>0.0</v>
      </c>
      <c r="J2968" s="1">
        <v>0.0</v>
      </c>
      <c r="K2968" s="1">
        <v>0.24</v>
      </c>
      <c r="L2968" s="1">
        <v>293000.0</v>
      </c>
      <c r="M2968" s="1" t="s">
        <v>3693</v>
      </c>
      <c r="N2968" s="18">
        <v>46030.0</v>
      </c>
      <c r="O2968" s="1" t="s">
        <v>3673</v>
      </c>
      <c r="P2968" s="1" t="s">
        <v>3257</v>
      </c>
      <c r="Q2968" s="1" t="s">
        <v>3408</v>
      </c>
    </row>
    <row r="2969">
      <c r="A2969" s="1" t="s">
        <v>8570</v>
      </c>
      <c r="B2969" s="1">
        <v>93.0</v>
      </c>
      <c r="C2969" s="1">
        <v>110.0</v>
      </c>
      <c r="D2969" s="2" t="s">
        <v>1981</v>
      </c>
      <c r="E2969" s="1">
        <v>93.0</v>
      </c>
      <c r="F2969" s="1">
        <v>18.0</v>
      </c>
      <c r="G2969" s="1">
        <v>4.85</v>
      </c>
      <c r="H2969" s="1">
        <v>0.0</v>
      </c>
      <c r="I2969" s="1">
        <v>0.0</v>
      </c>
      <c r="J2969" s="1">
        <v>0.0</v>
      </c>
      <c r="K2969" s="1">
        <v>0.65</v>
      </c>
      <c r="L2969" s="1">
        <v>2580000.0</v>
      </c>
      <c r="M2969" s="1" t="s">
        <v>8571</v>
      </c>
      <c r="N2969" s="18">
        <v>46028.0</v>
      </c>
      <c r="O2969" s="1" t="s">
        <v>3565</v>
      </c>
      <c r="P2969" s="1" t="s">
        <v>3230</v>
      </c>
      <c r="Q2969" s="1" t="s">
        <v>3408</v>
      </c>
    </row>
    <row r="2970">
      <c r="A2970" s="1" t="s">
        <v>8572</v>
      </c>
      <c r="B2970" s="1">
        <v>93.0</v>
      </c>
      <c r="C2970" s="1">
        <v>110.0</v>
      </c>
      <c r="D2970" s="2" t="s">
        <v>1708</v>
      </c>
      <c r="E2970" s="1">
        <v>93.0</v>
      </c>
      <c r="F2970" s="1">
        <v>11.0</v>
      </c>
      <c r="G2970" s="1">
        <v>0.0</v>
      </c>
      <c r="H2970" s="1">
        <v>0.0</v>
      </c>
      <c r="I2970" s="1">
        <v>0.0</v>
      </c>
      <c r="J2970" s="1">
        <v>0.0</v>
      </c>
      <c r="K2970" s="1">
        <v>0.01</v>
      </c>
      <c r="L2970" s="1">
        <v>836000.0</v>
      </c>
      <c r="M2970" s="1" t="s">
        <v>8573</v>
      </c>
      <c r="N2970" s="18">
        <v>46027.0</v>
      </c>
      <c r="O2970" s="1" t="s">
        <v>4414</v>
      </c>
      <c r="P2970" s="1" t="s">
        <v>3257</v>
      </c>
      <c r="Q2970" s="1" t="s">
        <v>3408</v>
      </c>
    </row>
    <row r="2971">
      <c r="A2971" s="1" t="s">
        <v>6241</v>
      </c>
      <c r="B2971" s="1">
        <v>93.0</v>
      </c>
      <c r="C2971" s="1">
        <v>30.0</v>
      </c>
      <c r="D2971" s="2" t="s">
        <v>993</v>
      </c>
      <c r="E2971" s="1">
        <v>93.0</v>
      </c>
      <c r="F2971" s="1">
        <v>25.0</v>
      </c>
      <c r="G2971" s="1">
        <v>15.47</v>
      </c>
      <c r="H2971" s="1">
        <v>0.0</v>
      </c>
      <c r="I2971" s="1">
        <v>0.0</v>
      </c>
      <c r="J2971" s="1">
        <v>0.0</v>
      </c>
      <c r="K2971" s="1">
        <v>0.63</v>
      </c>
      <c r="L2971" s="1">
        <v>806000.0</v>
      </c>
      <c r="M2971" s="1" t="s">
        <v>6242</v>
      </c>
      <c r="N2971" s="18">
        <v>46026.0</v>
      </c>
      <c r="O2971" s="1" t="s">
        <v>3404</v>
      </c>
      <c r="P2971" s="1" t="s">
        <v>3257</v>
      </c>
      <c r="Q2971" s="1" t="s">
        <v>3408</v>
      </c>
    </row>
    <row r="2972">
      <c r="A2972" s="1" t="s">
        <v>8272</v>
      </c>
      <c r="B2972" s="1">
        <v>93.0</v>
      </c>
      <c r="C2972" s="1">
        <v>50.0</v>
      </c>
      <c r="D2972" s="2" t="s">
        <v>581</v>
      </c>
      <c r="E2972" s="1">
        <v>93.0</v>
      </c>
      <c r="G2972" s="1">
        <v>4.99</v>
      </c>
      <c r="H2972" s="1">
        <v>0.0</v>
      </c>
      <c r="I2972" s="1">
        <v>0.0</v>
      </c>
      <c r="J2972" s="1">
        <v>0.0</v>
      </c>
      <c r="K2972" s="1">
        <v>0.32</v>
      </c>
      <c r="L2972" s="1">
        <v>40800.0</v>
      </c>
      <c r="M2972" s="1" t="s">
        <v>4957</v>
      </c>
      <c r="N2972" s="18">
        <v>46026.0</v>
      </c>
      <c r="O2972" s="1" t="s">
        <v>3252</v>
      </c>
      <c r="P2972" s="1" t="s">
        <v>3334</v>
      </c>
      <c r="Q2972" s="1" t="s">
        <v>3408</v>
      </c>
    </row>
    <row r="2973">
      <c r="A2973" s="1" t="s">
        <v>8574</v>
      </c>
      <c r="B2973" s="1">
        <v>93.0</v>
      </c>
      <c r="C2973" s="1">
        <v>40.0</v>
      </c>
      <c r="D2973" s="2" t="s">
        <v>659</v>
      </c>
      <c r="E2973" s="1">
        <v>93.0</v>
      </c>
      <c r="F2973" s="1">
        <v>0.0</v>
      </c>
      <c r="G2973" s="1">
        <v>0.0</v>
      </c>
      <c r="H2973" s="1">
        <v>0.0</v>
      </c>
      <c r="I2973" s="1">
        <v>0.0</v>
      </c>
      <c r="J2973" s="1">
        <v>0.0</v>
      </c>
      <c r="K2973" s="1">
        <v>0.0</v>
      </c>
      <c r="L2973" s="1">
        <v>64500.0</v>
      </c>
      <c r="M2973" s="1" t="s">
        <v>8575</v>
      </c>
      <c r="N2973" s="18">
        <v>46025.0</v>
      </c>
      <c r="O2973" s="1" t="s">
        <v>3258</v>
      </c>
      <c r="P2973" s="1" t="s">
        <v>3334</v>
      </c>
      <c r="Q2973" s="1" t="s">
        <v>3408</v>
      </c>
    </row>
    <row r="2974">
      <c r="A2974" s="1" t="s">
        <v>7665</v>
      </c>
      <c r="B2974" s="1">
        <v>93.0</v>
      </c>
      <c r="C2974" s="1">
        <v>140.0</v>
      </c>
      <c r="D2974" s="2" t="s">
        <v>2937</v>
      </c>
      <c r="E2974" s="1">
        <v>93.0</v>
      </c>
      <c r="F2974" s="1">
        <v>18.0</v>
      </c>
      <c r="G2974" s="1">
        <v>8.05</v>
      </c>
      <c r="H2974" s="1">
        <v>0.0</v>
      </c>
      <c r="I2974" s="1">
        <v>0.0</v>
      </c>
      <c r="J2974" s="1">
        <v>0.0</v>
      </c>
      <c r="K2974" s="1">
        <v>0.15</v>
      </c>
      <c r="L2974" s="1">
        <v>1.39E7</v>
      </c>
      <c r="M2974" s="1" t="s">
        <v>7666</v>
      </c>
      <c r="N2974" s="18">
        <v>46023.0</v>
      </c>
      <c r="O2974" s="1" t="s">
        <v>3493</v>
      </c>
      <c r="P2974" s="1" t="s">
        <v>3301</v>
      </c>
      <c r="Q2974" s="1" t="s">
        <v>3408</v>
      </c>
    </row>
    <row r="2975">
      <c r="A2975" s="1" t="s">
        <v>8323</v>
      </c>
      <c r="B2975" s="1">
        <v>93.0</v>
      </c>
      <c r="C2975" s="1">
        <v>590.0</v>
      </c>
      <c r="D2975" s="2" t="s">
        <v>726</v>
      </c>
      <c r="E2975" s="1">
        <v>93.0</v>
      </c>
      <c r="F2975" s="1">
        <v>27.0</v>
      </c>
      <c r="G2975" s="1">
        <v>15.41</v>
      </c>
      <c r="H2975" s="1">
        <v>0.0</v>
      </c>
      <c r="I2975" s="1">
        <v>0.0</v>
      </c>
      <c r="J2975" s="1">
        <v>0.0</v>
      </c>
      <c r="K2975" s="1">
        <v>0.52</v>
      </c>
      <c r="L2975" s="1">
        <v>999000.0</v>
      </c>
      <c r="M2975" s="1" t="s">
        <v>8324</v>
      </c>
      <c r="N2975" s="18">
        <v>46023.0</v>
      </c>
      <c r="O2975" s="1" t="s">
        <v>4226</v>
      </c>
      <c r="P2975" s="1" t="s">
        <v>3257</v>
      </c>
      <c r="Q2975" s="1" t="s">
        <v>3408</v>
      </c>
    </row>
    <row r="2976">
      <c r="A2976" s="1" t="s">
        <v>8576</v>
      </c>
      <c r="B2976" s="1">
        <v>93.0</v>
      </c>
      <c r="C2976" s="1">
        <v>50.0</v>
      </c>
      <c r="D2976" s="2" t="s">
        <v>581</v>
      </c>
      <c r="E2976" s="1">
        <v>93.0</v>
      </c>
      <c r="F2976" s="1">
        <v>30.0</v>
      </c>
      <c r="G2976" s="1">
        <v>12.52</v>
      </c>
      <c r="H2976" s="1">
        <v>0.0</v>
      </c>
      <c r="I2976" s="1">
        <v>0.0</v>
      </c>
      <c r="J2976" s="1">
        <v>0.0</v>
      </c>
      <c r="K2976" s="1">
        <v>0.95</v>
      </c>
      <c r="L2976" s="1">
        <v>4130000.0</v>
      </c>
      <c r="M2976" s="1" t="s">
        <v>8577</v>
      </c>
      <c r="N2976" s="18">
        <v>46022.0</v>
      </c>
      <c r="O2976" s="1" t="s">
        <v>4452</v>
      </c>
      <c r="P2976" s="1" t="s">
        <v>3257</v>
      </c>
      <c r="Q2976" s="1" t="s">
        <v>3408</v>
      </c>
    </row>
    <row r="2977">
      <c r="A2977" s="1" t="s">
        <v>8578</v>
      </c>
      <c r="B2977" s="1">
        <v>93.0</v>
      </c>
      <c r="C2977" s="1">
        <v>50.0</v>
      </c>
      <c r="D2977" s="2" t="s">
        <v>2253</v>
      </c>
      <c r="E2977" s="1">
        <v>93.0</v>
      </c>
      <c r="F2977" s="1">
        <v>7.0</v>
      </c>
      <c r="G2977" s="1">
        <v>0.0</v>
      </c>
      <c r="H2977" s="1">
        <v>0.0</v>
      </c>
      <c r="I2977" s="1">
        <v>0.0</v>
      </c>
      <c r="J2977" s="1">
        <v>0.0</v>
      </c>
      <c r="K2977" s="1">
        <v>0.33</v>
      </c>
      <c r="L2977" s="1">
        <v>7020000.0</v>
      </c>
      <c r="M2977" s="1" t="s">
        <v>8579</v>
      </c>
      <c r="N2977" s="18">
        <v>46020.0</v>
      </c>
      <c r="O2977" s="1" t="s">
        <v>3479</v>
      </c>
      <c r="P2977" s="1" t="s">
        <v>3230</v>
      </c>
      <c r="Q2977" s="1" t="s">
        <v>3408</v>
      </c>
    </row>
    <row r="2978">
      <c r="A2978" s="1" t="s">
        <v>8580</v>
      </c>
      <c r="B2978" s="1">
        <v>93.0</v>
      </c>
      <c r="C2978" s="1">
        <v>40.0</v>
      </c>
      <c r="D2978" s="2" t="s">
        <v>756</v>
      </c>
      <c r="E2978" s="1">
        <v>93.0</v>
      </c>
      <c r="F2978" s="1">
        <v>41.0</v>
      </c>
      <c r="G2978" s="1">
        <v>4.61</v>
      </c>
      <c r="H2978" s="1">
        <v>0.0</v>
      </c>
      <c r="I2978" s="1">
        <v>0.0</v>
      </c>
      <c r="J2978" s="1">
        <v>0.0</v>
      </c>
      <c r="K2978" s="1">
        <v>0.01</v>
      </c>
      <c r="L2978" s="1">
        <v>4.31E7</v>
      </c>
      <c r="M2978" s="1" t="s">
        <v>8581</v>
      </c>
      <c r="N2978" s="18">
        <v>46018.0</v>
      </c>
      <c r="O2978" s="1" t="s">
        <v>8582</v>
      </c>
      <c r="P2978" s="1" t="s">
        <v>3230</v>
      </c>
      <c r="Q2978" s="1" t="s">
        <v>3408</v>
      </c>
    </row>
    <row r="2979">
      <c r="A2979" s="1" t="s">
        <v>8331</v>
      </c>
      <c r="B2979" s="1">
        <v>93.0</v>
      </c>
      <c r="C2979" s="1">
        <v>30.0</v>
      </c>
      <c r="D2979" s="2" t="s">
        <v>754</v>
      </c>
      <c r="E2979" s="1">
        <v>93.0</v>
      </c>
      <c r="F2979" s="1">
        <v>0.0</v>
      </c>
      <c r="G2979" s="1">
        <v>12.51</v>
      </c>
      <c r="H2979" s="1">
        <v>0.0</v>
      </c>
      <c r="I2979" s="1">
        <v>0.0</v>
      </c>
      <c r="J2979" s="1">
        <v>0.0</v>
      </c>
      <c r="K2979" s="1">
        <v>0.63</v>
      </c>
      <c r="L2979" s="1">
        <v>8.8E7</v>
      </c>
      <c r="M2979" s="1" t="s">
        <v>8332</v>
      </c>
      <c r="N2979" s="18">
        <v>46018.0</v>
      </c>
      <c r="O2979" s="1" t="s">
        <v>5218</v>
      </c>
      <c r="P2979" s="1" t="s">
        <v>3230</v>
      </c>
      <c r="Q2979" s="1" t="s">
        <v>3408</v>
      </c>
    </row>
    <row r="2980">
      <c r="A2980" s="1" t="s">
        <v>8583</v>
      </c>
      <c r="B2980" s="1">
        <v>93.0</v>
      </c>
      <c r="C2980" s="1">
        <v>140.0</v>
      </c>
      <c r="D2980" s="2" t="s">
        <v>439</v>
      </c>
      <c r="E2980" s="1">
        <v>93.0</v>
      </c>
      <c r="F2980" s="1">
        <v>32.0</v>
      </c>
      <c r="G2980" s="1">
        <v>0.0</v>
      </c>
      <c r="H2980" s="1">
        <v>0.0</v>
      </c>
      <c r="I2980" s="1">
        <v>0.0</v>
      </c>
      <c r="J2980" s="1">
        <v>0.0</v>
      </c>
      <c r="K2980" s="1">
        <v>0.0</v>
      </c>
      <c r="L2980" s="1">
        <v>5020000.0</v>
      </c>
      <c r="M2980" s="1" t="s">
        <v>8584</v>
      </c>
      <c r="N2980" s="18">
        <v>46016.0</v>
      </c>
      <c r="O2980" s="1" t="s">
        <v>3821</v>
      </c>
      <c r="P2980" s="1" t="s">
        <v>3294</v>
      </c>
      <c r="Q2980" s="1" t="s">
        <v>3408</v>
      </c>
    </row>
    <row r="2981">
      <c r="A2981" s="1" t="s">
        <v>8585</v>
      </c>
      <c r="B2981" s="1">
        <v>93.0</v>
      </c>
      <c r="C2981" s="1">
        <v>50.0</v>
      </c>
      <c r="D2981" s="2" t="s">
        <v>754</v>
      </c>
      <c r="E2981" s="1">
        <v>93.0</v>
      </c>
      <c r="F2981" s="1">
        <v>0.0</v>
      </c>
      <c r="G2981" s="1">
        <v>0.0</v>
      </c>
      <c r="H2981" s="1">
        <v>0.0</v>
      </c>
      <c r="I2981" s="1">
        <v>0.0</v>
      </c>
      <c r="J2981" s="1">
        <v>0.0</v>
      </c>
      <c r="K2981" s="1">
        <v>0.33</v>
      </c>
      <c r="L2981" s="1">
        <v>2580000.0</v>
      </c>
      <c r="M2981" s="1" t="s">
        <v>8586</v>
      </c>
      <c r="N2981" s="18">
        <v>46014.0</v>
      </c>
      <c r="O2981" s="1" t="s">
        <v>8587</v>
      </c>
      <c r="P2981" s="1" t="s">
        <v>3230</v>
      </c>
      <c r="Q2981" s="1" t="s">
        <v>3408</v>
      </c>
    </row>
    <row r="2982">
      <c r="A2982" s="1" t="s">
        <v>8588</v>
      </c>
      <c r="B2982" s="1">
        <v>93.0</v>
      </c>
      <c r="C2982" s="1">
        <v>170.0</v>
      </c>
      <c r="D2982" s="2" t="s">
        <v>1481</v>
      </c>
      <c r="E2982" s="1">
        <v>93.0</v>
      </c>
      <c r="F2982" s="1">
        <v>16.0</v>
      </c>
      <c r="G2982" s="1">
        <v>3.23</v>
      </c>
      <c r="H2982" s="1">
        <v>0.0</v>
      </c>
      <c r="I2982" s="1">
        <v>0.0</v>
      </c>
      <c r="J2982" s="1">
        <v>0.0</v>
      </c>
      <c r="K2982" s="1">
        <v>0.22</v>
      </c>
      <c r="L2982" s="1">
        <v>1780000.0</v>
      </c>
      <c r="M2982" s="1" t="s">
        <v>8589</v>
      </c>
      <c r="N2982" s="18">
        <v>46012.0</v>
      </c>
      <c r="O2982" s="1" t="s">
        <v>3442</v>
      </c>
      <c r="P2982" s="1" t="s">
        <v>3230</v>
      </c>
      <c r="Q2982" s="1" t="s">
        <v>3408</v>
      </c>
    </row>
    <row r="2983">
      <c r="A2983" s="1" t="s">
        <v>8590</v>
      </c>
      <c r="B2983" s="1">
        <v>93.0</v>
      </c>
      <c r="C2983" s="1">
        <v>110.0</v>
      </c>
      <c r="D2983" s="2" t="s">
        <v>2253</v>
      </c>
      <c r="E2983" s="1">
        <v>93.0</v>
      </c>
      <c r="F2983" s="1">
        <v>23.0</v>
      </c>
      <c r="G2983" s="1">
        <v>0.0</v>
      </c>
      <c r="H2983" s="1">
        <v>0.0</v>
      </c>
      <c r="I2983" s="1">
        <v>0.0</v>
      </c>
      <c r="J2983" s="1">
        <v>0.0</v>
      </c>
      <c r="K2983" s="1">
        <v>0.0</v>
      </c>
      <c r="L2983" s="1">
        <v>4.98E8</v>
      </c>
      <c r="M2983" s="1" t="s">
        <v>8591</v>
      </c>
      <c r="N2983" s="18">
        <v>46012.0</v>
      </c>
      <c r="O2983" s="1" t="s">
        <v>6451</v>
      </c>
      <c r="P2983" s="1" t="s">
        <v>3334</v>
      </c>
      <c r="Q2983" s="1" t="s">
        <v>3408</v>
      </c>
    </row>
    <row r="2984">
      <c r="A2984" s="1" t="s">
        <v>8592</v>
      </c>
      <c r="B2984" s="1">
        <v>93.0</v>
      </c>
      <c r="C2984" s="1">
        <v>210.0</v>
      </c>
      <c r="D2984" s="2" t="s">
        <v>1532</v>
      </c>
      <c r="E2984" s="1">
        <v>93.0</v>
      </c>
      <c r="F2984" s="1">
        <v>23.0</v>
      </c>
      <c r="G2984" s="1">
        <v>1.97</v>
      </c>
      <c r="H2984" s="1">
        <v>0.0</v>
      </c>
      <c r="I2984" s="1">
        <v>0.0</v>
      </c>
      <c r="J2984" s="1">
        <v>0.0</v>
      </c>
      <c r="K2984" s="1">
        <v>0.05</v>
      </c>
      <c r="L2984" s="1">
        <v>1.65E8</v>
      </c>
      <c r="M2984" s="1" t="s">
        <v>8593</v>
      </c>
      <c r="N2984" s="18">
        <v>46011.0</v>
      </c>
      <c r="O2984" s="1" t="s">
        <v>3920</v>
      </c>
      <c r="P2984" s="1" t="s">
        <v>3230</v>
      </c>
      <c r="Q2984" s="1" t="s">
        <v>3408</v>
      </c>
    </row>
    <row r="2985">
      <c r="A2985" s="1" t="s">
        <v>8594</v>
      </c>
      <c r="B2985" s="1">
        <v>93.0</v>
      </c>
      <c r="C2985" s="1">
        <v>70.0</v>
      </c>
      <c r="D2985" s="2" t="s">
        <v>447</v>
      </c>
      <c r="E2985" s="1">
        <v>93.0</v>
      </c>
      <c r="F2985" s="1">
        <v>29.0</v>
      </c>
      <c r="G2985" s="1">
        <v>4.66</v>
      </c>
      <c r="H2985" s="1">
        <v>0.0</v>
      </c>
      <c r="I2985" s="1">
        <v>0.0</v>
      </c>
      <c r="J2985" s="1">
        <v>0.0</v>
      </c>
      <c r="K2985" s="1">
        <v>0.51</v>
      </c>
      <c r="L2985" s="1">
        <v>273000.0</v>
      </c>
      <c r="M2985" s="1" t="s">
        <v>8595</v>
      </c>
      <c r="N2985" s="18">
        <v>46010.0</v>
      </c>
      <c r="O2985" s="1" t="s">
        <v>4836</v>
      </c>
      <c r="P2985" s="1" t="s">
        <v>3257</v>
      </c>
      <c r="Q2985" s="1" t="s">
        <v>3408</v>
      </c>
    </row>
    <row r="2986">
      <c r="A2986" s="1" t="s">
        <v>6718</v>
      </c>
      <c r="B2986" s="1">
        <v>93.0</v>
      </c>
      <c r="C2986" s="1">
        <v>140.0</v>
      </c>
      <c r="D2986" s="2" t="s">
        <v>439</v>
      </c>
      <c r="E2986" s="1">
        <v>93.0</v>
      </c>
      <c r="F2986" s="1">
        <v>43.0</v>
      </c>
      <c r="G2986" s="1">
        <v>2.34</v>
      </c>
      <c r="H2986" s="1">
        <v>0.0</v>
      </c>
      <c r="I2986" s="1">
        <v>0.0</v>
      </c>
      <c r="J2986" s="1">
        <v>0.0</v>
      </c>
      <c r="K2986" s="1">
        <v>0.15</v>
      </c>
      <c r="L2986" s="1">
        <v>4.94E7</v>
      </c>
      <c r="M2986" s="1" t="s">
        <v>6719</v>
      </c>
      <c r="N2986" s="18">
        <v>46008.0</v>
      </c>
      <c r="O2986" s="1" t="s">
        <v>3821</v>
      </c>
      <c r="P2986" s="1" t="s">
        <v>3294</v>
      </c>
      <c r="Q2986" s="1" t="s">
        <v>3408</v>
      </c>
    </row>
    <row r="2987">
      <c r="A2987" s="1" t="s">
        <v>8596</v>
      </c>
      <c r="B2987" s="1">
        <v>93.0</v>
      </c>
      <c r="C2987" s="1">
        <v>90.0</v>
      </c>
      <c r="D2987" s="2" t="s">
        <v>2048</v>
      </c>
      <c r="E2987" s="1">
        <v>93.0</v>
      </c>
      <c r="F2987" s="1">
        <v>6.0</v>
      </c>
      <c r="G2987" s="1">
        <v>0.0</v>
      </c>
      <c r="H2987" s="1">
        <v>0.0</v>
      </c>
      <c r="I2987" s="1">
        <v>0.0</v>
      </c>
      <c r="J2987" s="1">
        <v>0.0</v>
      </c>
      <c r="K2987" s="1">
        <v>0.0</v>
      </c>
      <c r="L2987" s="1">
        <v>1.58E8</v>
      </c>
      <c r="M2987" s="1" t="s">
        <v>8597</v>
      </c>
      <c r="N2987" s="18">
        <v>46008.0</v>
      </c>
      <c r="O2987" s="1" t="s">
        <v>4622</v>
      </c>
      <c r="P2987" s="1" t="s">
        <v>3230</v>
      </c>
      <c r="Q2987" s="1" t="s">
        <v>3408</v>
      </c>
    </row>
    <row r="2988">
      <c r="A2988" s="1" t="s">
        <v>8598</v>
      </c>
      <c r="B2988" s="1">
        <v>93.0</v>
      </c>
      <c r="C2988" s="1">
        <v>50.0</v>
      </c>
      <c r="D2988" s="2" t="s">
        <v>581</v>
      </c>
      <c r="E2988" s="1">
        <v>93.0</v>
      </c>
      <c r="F2988" s="1">
        <v>9.0</v>
      </c>
      <c r="G2988" s="1">
        <v>0.0</v>
      </c>
      <c r="H2988" s="1">
        <v>0.0</v>
      </c>
      <c r="I2988" s="1">
        <v>0.0</v>
      </c>
      <c r="J2988" s="1">
        <v>0.0</v>
      </c>
      <c r="K2988" s="1">
        <v>0.03</v>
      </c>
      <c r="L2988" s="1">
        <v>2.17E7</v>
      </c>
      <c r="M2988" s="1" t="s">
        <v>8599</v>
      </c>
      <c r="N2988" s="18">
        <v>46004.0</v>
      </c>
      <c r="O2988" s="1" t="s">
        <v>5538</v>
      </c>
      <c r="P2988" s="1" t="s">
        <v>3301</v>
      </c>
      <c r="Q2988" s="1" t="s">
        <v>3408</v>
      </c>
    </row>
    <row r="2989">
      <c r="A2989" s="1" t="s">
        <v>8600</v>
      </c>
      <c r="B2989" s="1">
        <v>93.0</v>
      </c>
      <c r="C2989" s="1">
        <v>40.0</v>
      </c>
      <c r="D2989" s="2" t="s">
        <v>592</v>
      </c>
      <c r="E2989" s="1">
        <v>93.0</v>
      </c>
      <c r="F2989" s="1">
        <v>0.0</v>
      </c>
      <c r="G2989" s="1">
        <v>0.0</v>
      </c>
      <c r="H2989" s="1">
        <v>0.0</v>
      </c>
      <c r="I2989" s="1">
        <v>0.0</v>
      </c>
      <c r="J2989" s="1">
        <v>0.0</v>
      </c>
      <c r="K2989" s="1">
        <v>0.0</v>
      </c>
      <c r="L2989" s="1">
        <v>105000.0</v>
      </c>
      <c r="M2989" s="1" t="s">
        <v>8601</v>
      </c>
      <c r="N2989" s="18">
        <v>46003.0</v>
      </c>
      <c r="O2989" s="1" t="s">
        <v>4646</v>
      </c>
      <c r="P2989" s="1" t="s">
        <v>3334</v>
      </c>
      <c r="Q2989" s="1" t="s">
        <v>3408</v>
      </c>
    </row>
    <row r="2990">
      <c r="A2990" s="1" t="s">
        <v>8602</v>
      </c>
      <c r="B2990" s="1">
        <v>93.0</v>
      </c>
      <c r="C2990" s="1">
        <v>50.0</v>
      </c>
      <c r="D2990" s="2" t="s">
        <v>581</v>
      </c>
      <c r="E2990" s="1">
        <v>93.0</v>
      </c>
      <c r="F2990" s="1">
        <v>0.0</v>
      </c>
      <c r="G2990" s="1">
        <v>0.0</v>
      </c>
      <c r="H2990" s="1">
        <v>0.0</v>
      </c>
      <c r="I2990" s="1">
        <v>0.0</v>
      </c>
      <c r="J2990" s="1">
        <v>0.0</v>
      </c>
      <c r="K2990" s="1">
        <v>0.0</v>
      </c>
      <c r="L2990" s="1">
        <v>1100000.0</v>
      </c>
      <c r="M2990" s="1" t="s">
        <v>8603</v>
      </c>
      <c r="N2990" s="18">
        <v>46001.0</v>
      </c>
      <c r="O2990" s="1" t="s">
        <v>3482</v>
      </c>
      <c r="P2990" s="1" t="s">
        <v>3257</v>
      </c>
      <c r="Q2990" s="1" t="s">
        <v>3408</v>
      </c>
    </row>
    <row r="2991">
      <c r="A2991" s="1" t="s">
        <v>7897</v>
      </c>
      <c r="B2991" s="1">
        <v>93.0</v>
      </c>
      <c r="C2991" s="1">
        <v>70.0</v>
      </c>
      <c r="D2991" s="2" t="s">
        <v>726</v>
      </c>
      <c r="E2991" s="1">
        <v>93.0</v>
      </c>
      <c r="F2991" s="1">
        <v>13.0</v>
      </c>
      <c r="G2991" s="1">
        <v>0.0</v>
      </c>
      <c r="H2991" s="1">
        <v>0.0</v>
      </c>
      <c r="I2991" s="1">
        <v>0.0</v>
      </c>
      <c r="J2991" s="1">
        <v>0.0</v>
      </c>
      <c r="K2991" s="1">
        <v>0.0</v>
      </c>
      <c r="L2991" s="1">
        <v>5590000.0</v>
      </c>
      <c r="M2991" s="1" t="s">
        <v>7898</v>
      </c>
      <c r="N2991" s="18">
        <v>46000.0</v>
      </c>
      <c r="O2991" s="1" t="s">
        <v>4983</v>
      </c>
      <c r="P2991" s="1" t="s">
        <v>3230</v>
      </c>
      <c r="Q2991" s="1" t="s">
        <v>3408</v>
      </c>
    </row>
    <row r="2992">
      <c r="A2992" s="1" t="s">
        <v>8604</v>
      </c>
      <c r="B2992" s="1">
        <v>93.0</v>
      </c>
      <c r="C2992" s="1">
        <v>30.0</v>
      </c>
      <c r="D2992" s="2" t="s">
        <v>581</v>
      </c>
      <c r="E2992" s="1">
        <v>93.0</v>
      </c>
      <c r="F2992" s="1">
        <v>40.0</v>
      </c>
      <c r="G2992" s="1">
        <v>5.89</v>
      </c>
      <c r="H2992" s="1">
        <v>0.0</v>
      </c>
      <c r="I2992" s="1">
        <v>0.0</v>
      </c>
      <c r="J2992" s="1">
        <v>0.0</v>
      </c>
      <c r="K2992" s="1">
        <v>1.0</v>
      </c>
      <c r="L2992" s="1">
        <v>4240000.0</v>
      </c>
      <c r="M2992" s="1" t="s">
        <v>8605</v>
      </c>
      <c r="N2992" s="18">
        <v>46000.0</v>
      </c>
      <c r="O2992" s="1" t="s">
        <v>3404</v>
      </c>
      <c r="P2992" s="1" t="s">
        <v>3257</v>
      </c>
      <c r="Q2992" s="1" t="s">
        <v>3408</v>
      </c>
    </row>
    <row r="2993">
      <c r="A2993" s="1" t="s">
        <v>8606</v>
      </c>
      <c r="B2993" s="1">
        <v>93.0</v>
      </c>
      <c r="C2993" s="1">
        <v>50.0</v>
      </c>
      <c r="D2993" s="2" t="s">
        <v>782</v>
      </c>
      <c r="E2993" s="1">
        <v>93.0</v>
      </c>
      <c r="F2993" s="1">
        <v>3.0</v>
      </c>
      <c r="G2993" s="1">
        <v>0.0</v>
      </c>
      <c r="H2993" s="1">
        <v>0.0</v>
      </c>
      <c r="I2993" s="1">
        <v>0.0</v>
      </c>
      <c r="J2993" s="1">
        <v>0.0</v>
      </c>
      <c r="K2993" s="1">
        <v>0.11</v>
      </c>
      <c r="L2993" s="1">
        <v>4270000.0</v>
      </c>
      <c r="M2993" s="1" t="s">
        <v>7113</v>
      </c>
      <c r="N2993" s="18">
        <v>45998.0</v>
      </c>
      <c r="O2993" s="1" t="s">
        <v>3479</v>
      </c>
      <c r="P2993" s="1" t="s">
        <v>3230</v>
      </c>
      <c r="Q2993" s="1" t="s">
        <v>3408</v>
      </c>
    </row>
    <row r="2994">
      <c r="A2994" s="1" t="s">
        <v>8607</v>
      </c>
      <c r="B2994" s="1">
        <v>93.0</v>
      </c>
      <c r="C2994" s="1">
        <v>110.0</v>
      </c>
      <c r="D2994" s="2" t="s">
        <v>439</v>
      </c>
      <c r="E2994" s="1">
        <v>93.0</v>
      </c>
      <c r="F2994" s="1">
        <v>29.0</v>
      </c>
      <c r="G2994" s="1">
        <v>4.09</v>
      </c>
      <c r="H2994" s="1">
        <v>0.0</v>
      </c>
      <c r="I2994" s="1">
        <v>0.0</v>
      </c>
      <c r="J2994" s="1">
        <v>0.0</v>
      </c>
      <c r="K2994" s="1">
        <v>0.09</v>
      </c>
      <c r="L2994" s="1">
        <v>5.71E7</v>
      </c>
      <c r="M2994" s="1" t="s">
        <v>8608</v>
      </c>
      <c r="N2994" s="18">
        <v>45998.0</v>
      </c>
      <c r="O2994" s="1" t="s">
        <v>8609</v>
      </c>
      <c r="P2994" s="1" t="s">
        <v>3257</v>
      </c>
      <c r="Q2994" s="1" t="s">
        <v>3408</v>
      </c>
    </row>
    <row r="2995">
      <c r="A2995" s="1" t="s">
        <v>8610</v>
      </c>
      <c r="B2995" s="1">
        <v>93.0</v>
      </c>
      <c r="C2995" s="1">
        <v>110.0</v>
      </c>
      <c r="D2995" s="2" t="s">
        <v>786</v>
      </c>
      <c r="E2995" s="1">
        <v>93.0</v>
      </c>
      <c r="F2995" s="1">
        <v>2.0</v>
      </c>
      <c r="G2995" s="1">
        <v>0.0</v>
      </c>
      <c r="H2995" s="1">
        <v>0.0</v>
      </c>
      <c r="I2995" s="1">
        <v>0.0</v>
      </c>
      <c r="J2995" s="1">
        <v>0.0</v>
      </c>
      <c r="K2995" s="1">
        <v>0.0</v>
      </c>
      <c r="L2995" s="1">
        <v>4.02E7</v>
      </c>
      <c r="M2995" s="1" t="s">
        <v>8611</v>
      </c>
      <c r="N2995" s="18">
        <v>45995.0</v>
      </c>
      <c r="O2995" s="1" t="s">
        <v>5781</v>
      </c>
      <c r="P2995" s="1" t="s">
        <v>3334</v>
      </c>
      <c r="Q2995" s="1" t="s">
        <v>3408</v>
      </c>
    </row>
    <row r="2996">
      <c r="A2996" s="1" t="s">
        <v>8612</v>
      </c>
      <c r="B2996" s="1">
        <v>93.0</v>
      </c>
      <c r="C2996" s="1">
        <v>110.0</v>
      </c>
      <c r="D2996" s="2" t="s">
        <v>581</v>
      </c>
      <c r="E2996" s="1">
        <v>93.0</v>
      </c>
      <c r="F2996" s="1">
        <v>31.0</v>
      </c>
      <c r="G2996" s="1">
        <v>14.29</v>
      </c>
      <c r="H2996" s="1">
        <v>0.0</v>
      </c>
      <c r="I2996" s="1">
        <v>0.0</v>
      </c>
      <c r="J2996" s="1">
        <v>0.0</v>
      </c>
      <c r="K2996" s="1">
        <v>0.87</v>
      </c>
      <c r="L2996" s="1">
        <v>3550000.0</v>
      </c>
      <c r="M2996" s="1" t="s">
        <v>8613</v>
      </c>
      <c r="N2996" s="18">
        <v>45990.0</v>
      </c>
      <c r="O2996" s="1" t="s">
        <v>4452</v>
      </c>
      <c r="P2996" s="1" t="s">
        <v>3257</v>
      </c>
      <c r="Q2996" s="1" t="s">
        <v>3408</v>
      </c>
    </row>
    <row r="2997">
      <c r="A2997" s="1" t="s">
        <v>8614</v>
      </c>
      <c r="B2997" s="1">
        <v>93.0</v>
      </c>
      <c r="C2997" s="1">
        <v>170.0</v>
      </c>
      <c r="D2997" s="2" t="s">
        <v>439</v>
      </c>
      <c r="E2997" s="1">
        <v>93.0</v>
      </c>
      <c r="F2997" s="1">
        <v>15.0</v>
      </c>
      <c r="G2997" s="1">
        <v>8.96</v>
      </c>
      <c r="H2997" s="1">
        <v>0.0</v>
      </c>
      <c r="I2997" s="1">
        <v>0.0</v>
      </c>
      <c r="J2997" s="1">
        <v>0.0</v>
      </c>
      <c r="K2997" s="1">
        <v>0.35</v>
      </c>
      <c r="L2997" s="1">
        <v>10.0</v>
      </c>
      <c r="M2997" s="1" t="s">
        <v>8615</v>
      </c>
      <c r="N2997" s="18">
        <v>45985.0</v>
      </c>
      <c r="O2997" s="1" t="s">
        <v>8616</v>
      </c>
      <c r="P2997" s="1" t="s">
        <v>3462</v>
      </c>
      <c r="Q2997" s="1" t="s">
        <v>3408</v>
      </c>
    </row>
    <row r="2998">
      <c r="A2998" s="1" t="s">
        <v>8617</v>
      </c>
      <c r="B2998" s="1">
        <v>93.0</v>
      </c>
      <c r="C2998" s="1">
        <v>320.0</v>
      </c>
      <c r="D2998" s="2" t="s">
        <v>716</v>
      </c>
      <c r="E2998" s="1">
        <v>93.0</v>
      </c>
      <c r="F2998" s="1">
        <v>3.0</v>
      </c>
      <c r="G2998" s="1">
        <v>80.22</v>
      </c>
      <c r="H2998" s="1">
        <v>0.0</v>
      </c>
      <c r="I2998" s="1">
        <v>0.0</v>
      </c>
      <c r="J2998" s="1">
        <v>0.0</v>
      </c>
      <c r="K2998" s="1">
        <v>0.05</v>
      </c>
      <c r="L2998" s="1">
        <v>10.0</v>
      </c>
      <c r="M2998" s="1" t="s">
        <v>8618</v>
      </c>
      <c r="N2998" s="18">
        <v>45984.0</v>
      </c>
      <c r="O2998" s="1" t="s">
        <v>4089</v>
      </c>
      <c r="P2998" s="1" t="s">
        <v>3257</v>
      </c>
      <c r="Q2998" s="1" t="s">
        <v>3408</v>
      </c>
    </row>
    <row r="2999">
      <c r="A2999" s="1" t="s">
        <v>8619</v>
      </c>
      <c r="B2999" s="1">
        <v>93.0</v>
      </c>
      <c r="C2999" s="1">
        <v>140.0</v>
      </c>
      <c r="D2999" s="2" t="s">
        <v>681</v>
      </c>
      <c r="E2999" s="1">
        <v>93.0</v>
      </c>
      <c r="F2999" s="1">
        <v>11.0</v>
      </c>
      <c r="G2999" s="1">
        <v>1.75</v>
      </c>
      <c r="H2999" s="1">
        <v>0.0</v>
      </c>
      <c r="I2999" s="1">
        <v>0.0</v>
      </c>
      <c r="J2999" s="1">
        <v>0.0</v>
      </c>
      <c r="K2999" s="1">
        <v>0.07</v>
      </c>
      <c r="L2999" s="1">
        <v>10.0</v>
      </c>
      <c r="M2999" s="1" t="s">
        <v>8620</v>
      </c>
      <c r="N2999" s="18">
        <v>45983.0</v>
      </c>
      <c r="O2999" s="1" t="s">
        <v>3237</v>
      </c>
      <c r="P2999" s="1" t="s">
        <v>3230</v>
      </c>
      <c r="Q2999" s="1" t="s">
        <v>3408</v>
      </c>
    </row>
    <row r="3000">
      <c r="A3000" s="1" t="s">
        <v>8621</v>
      </c>
      <c r="B3000" s="1">
        <v>93.0</v>
      </c>
      <c r="C3000" s="1">
        <v>720.0</v>
      </c>
      <c r="D3000" s="2" t="s">
        <v>2249</v>
      </c>
      <c r="E3000" s="1">
        <v>93.0</v>
      </c>
      <c r="F3000" s="1">
        <v>8.0</v>
      </c>
      <c r="G3000" s="1">
        <v>0.0</v>
      </c>
      <c r="H3000" s="1">
        <v>0.0</v>
      </c>
      <c r="I3000" s="1">
        <v>0.0</v>
      </c>
      <c r="J3000" s="1">
        <v>0.0</v>
      </c>
      <c r="K3000" s="1">
        <v>0.0</v>
      </c>
      <c r="L3000" s="1">
        <v>2.49E8</v>
      </c>
      <c r="M3000" s="1" t="s">
        <v>8622</v>
      </c>
      <c r="N3000" s="18">
        <v>45979.0</v>
      </c>
      <c r="O3000" s="1" t="s">
        <v>3264</v>
      </c>
      <c r="P3000" s="1" t="s">
        <v>3230</v>
      </c>
      <c r="Q3000" s="1" t="s">
        <v>3408</v>
      </c>
    </row>
    <row r="3001">
      <c r="A3001" s="1" t="s">
        <v>8623</v>
      </c>
      <c r="B3001" s="1">
        <v>94.0</v>
      </c>
      <c r="C3001" s="1">
        <v>140.0</v>
      </c>
      <c r="D3001" s="2" t="s">
        <v>808</v>
      </c>
      <c r="E3001" s="1">
        <v>0.0</v>
      </c>
      <c r="F3001" s="1">
        <v>14.0</v>
      </c>
      <c r="G3001" s="1">
        <v>0.0</v>
      </c>
      <c r="H3001" s="1">
        <v>0.0</v>
      </c>
      <c r="I3001" s="1">
        <v>0.0</v>
      </c>
      <c r="J3001" s="1">
        <v>0.0</v>
      </c>
      <c r="K3001" s="1">
        <v>0.06</v>
      </c>
      <c r="L3001" s="1">
        <v>238000.0</v>
      </c>
      <c r="M3001" s="1" t="s">
        <v>8624</v>
      </c>
      <c r="N3001" s="18">
        <v>46042.0</v>
      </c>
      <c r="O3001" s="1" t="s">
        <v>3482</v>
      </c>
      <c r="P3001" s="1" t="s">
        <v>3257</v>
      </c>
      <c r="Q3001" s="1" t="s">
        <v>3408</v>
      </c>
    </row>
    <row r="3002">
      <c r="A3002" s="1" t="s">
        <v>8625</v>
      </c>
      <c r="B3002" s="1">
        <v>94.0</v>
      </c>
      <c r="C3002" s="1">
        <v>110.0</v>
      </c>
      <c r="D3002" s="2" t="s">
        <v>1228</v>
      </c>
      <c r="E3002" s="1">
        <v>94.0</v>
      </c>
      <c r="F3002" s="1">
        <v>9.0</v>
      </c>
      <c r="G3002" s="1">
        <v>1.03</v>
      </c>
      <c r="H3002" s="1">
        <v>0.0</v>
      </c>
      <c r="I3002" s="1">
        <v>0.0</v>
      </c>
      <c r="J3002" s="1">
        <v>0.0</v>
      </c>
      <c r="K3002" s="1">
        <v>0.28</v>
      </c>
      <c r="L3002" s="1">
        <v>3.59E7</v>
      </c>
      <c r="M3002" s="1" t="s">
        <v>8626</v>
      </c>
      <c r="N3002" s="18">
        <v>46042.0</v>
      </c>
      <c r="O3002" s="1" t="s">
        <v>4543</v>
      </c>
      <c r="P3002" s="1" t="s">
        <v>3230</v>
      </c>
      <c r="Q3002" s="1" t="s">
        <v>3408</v>
      </c>
    </row>
    <row r="3003">
      <c r="A3003" s="1" t="s">
        <v>8627</v>
      </c>
      <c r="B3003" s="1">
        <v>94.0</v>
      </c>
      <c r="C3003" s="1">
        <v>50.0</v>
      </c>
      <c r="D3003" s="2" t="s">
        <v>736</v>
      </c>
      <c r="E3003" s="1">
        <v>94.0</v>
      </c>
      <c r="F3003" s="1">
        <v>0.0</v>
      </c>
      <c r="G3003" s="1">
        <v>0.0</v>
      </c>
      <c r="H3003" s="1">
        <v>0.0</v>
      </c>
      <c r="I3003" s="1">
        <v>0.0</v>
      </c>
      <c r="J3003" s="1">
        <v>0.0</v>
      </c>
      <c r="K3003" s="1">
        <v>0.0</v>
      </c>
      <c r="L3003" s="1">
        <v>2.68E7</v>
      </c>
      <c r="M3003" s="1" t="s">
        <v>8628</v>
      </c>
      <c r="N3003" s="18">
        <v>46039.0</v>
      </c>
      <c r="O3003" s="1" t="s">
        <v>8629</v>
      </c>
      <c r="P3003" s="1" t="s">
        <v>3230</v>
      </c>
      <c r="Q3003" s="1" t="s">
        <v>3408</v>
      </c>
    </row>
    <row r="3004">
      <c r="A3004" s="1" t="s">
        <v>8630</v>
      </c>
      <c r="B3004" s="1">
        <v>94.0</v>
      </c>
      <c r="C3004" s="1">
        <v>40.0</v>
      </c>
      <c r="D3004" s="2" t="s">
        <v>954</v>
      </c>
      <c r="E3004" s="1">
        <v>94.0</v>
      </c>
      <c r="F3004" s="1">
        <v>6.0</v>
      </c>
      <c r="G3004" s="1">
        <v>1.08</v>
      </c>
      <c r="H3004" s="1">
        <v>0.0</v>
      </c>
      <c r="I3004" s="1">
        <v>0.0</v>
      </c>
      <c r="J3004" s="1">
        <v>0.0</v>
      </c>
      <c r="K3004" s="1">
        <v>0.43</v>
      </c>
      <c r="L3004" s="1">
        <v>7.3E7</v>
      </c>
      <c r="M3004" s="1" t="s">
        <v>8631</v>
      </c>
      <c r="N3004" s="18">
        <v>46036.0</v>
      </c>
      <c r="O3004" s="1" t="s">
        <v>4845</v>
      </c>
      <c r="P3004" s="1" t="s">
        <v>3230</v>
      </c>
      <c r="Q3004" s="1" t="s">
        <v>3408</v>
      </c>
    </row>
    <row r="3005">
      <c r="A3005" s="1" t="s">
        <v>8632</v>
      </c>
      <c r="B3005" s="1">
        <v>94.0</v>
      </c>
      <c r="C3005" s="1">
        <v>390.0</v>
      </c>
      <c r="D3005" s="2" t="s">
        <v>911</v>
      </c>
      <c r="E3005" s="1">
        <v>94.0</v>
      </c>
      <c r="F3005" s="1">
        <v>2.0</v>
      </c>
      <c r="G3005" s="1">
        <v>1.83</v>
      </c>
      <c r="H3005" s="1">
        <v>0.0</v>
      </c>
      <c r="I3005" s="1">
        <v>0.0</v>
      </c>
      <c r="J3005" s="1">
        <v>0.0</v>
      </c>
      <c r="K3005" s="1">
        <v>0.52</v>
      </c>
      <c r="L3005" s="1">
        <v>1.73E7</v>
      </c>
      <c r="M3005" s="1" t="s">
        <v>8633</v>
      </c>
      <c r="N3005" s="18">
        <v>46033.0</v>
      </c>
      <c r="O3005" s="1" t="s">
        <v>3264</v>
      </c>
      <c r="P3005" s="1" t="s">
        <v>3230</v>
      </c>
      <c r="Q3005" s="1" t="s">
        <v>3408</v>
      </c>
    </row>
    <row r="3006">
      <c r="A3006" s="1" t="s">
        <v>8634</v>
      </c>
      <c r="B3006" s="1">
        <v>94.0</v>
      </c>
      <c r="C3006" s="1">
        <v>320.0</v>
      </c>
      <c r="D3006" s="2" t="s">
        <v>439</v>
      </c>
      <c r="E3006" s="1">
        <v>94.0</v>
      </c>
      <c r="F3006" s="1">
        <v>41.0</v>
      </c>
      <c r="G3006" s="1">
        <v>2.5</v>
      </c>
      <c r="H3006" s="1">
        <v>0.0</v>
      </c>
      <c r="I3006" s="1">
        <v>0.0</v>
      </c>
      <c r="J3006" s="1">
        <v>0.0</v>
      </c>
      <c r="K3006" s="1">
        <v>0.06</v>
      </c>
      <c r="L3006" s="1">
        <v>885000.0</v>
      </c>
      <c r="M3006" s="1" t="s">
        <v>8635</v>
      </c>
      <c r="N3006" s="18">
        <v>46032.0</v>
      </c>
      <c r="O3006" s="1" t="s">
        <v>3293</v>
      </c>
      <c r="P3006" s="1" t="s">
        <v>3294</v>
      </c>
      <c r="Q3006" s="1" t="s">
        <v>3408</v>
      </c>
    </row>
    <row r="3007">
      <c r="A3007" s="1" t="s">
        <v>8636</v>
      </c>
      <c r="B3007" s="1">
        <v>94.0</v>
      </c>
      <c r="C3007" s="1">
        <v>480.0</v>
      </c>
      <c r="D3007" s="2" t="s">
        <v>724</v>
      </c>
      <c r="E3007" s="1">
        <v>94.0</v>
      </c>
      <c r="F3007" s="1">
        <v>44.0</v>
      </c>
      <c r="G3007" s="1">
        <v>0.0</v>
      </c>
      <c r="H3007" s="1">
        <v>0.0</v>
      </c>
      <c r="I3007" s="1">
        <v>0.0</v>
      </c>
      <c r="J3007" s="1">
        <v>0.0</v>
      </c>
      <c r="K3007" s="1">
        <v>0.01</v>
      </c>
      <c r="L3007" s="1">
        <v>1.52E8</v>
      </c>
      <c r="M3007" s="1" t="s">
        <v>8637</v>
      </c>
      <c r="N3007" s="18">
        <v>46029.0</v>
      </c>
      <c r="O3007" s="1" t="s">
        <v>3264</v>
      </c>
      <c r="P3007" s="1" t="s">
        <v>3230</v>
      </c>
      <c r="Q3007" s="1" t="s">
        <v>3408</v>
      </c>
    </row>
    <row r="3008">
      <c r="A3008" s="1" t="s">
        <v>7314</v>
      </c>
      <c r="B3008" s="1">
        <v>94.0</v>
      </c>
      <c r="C3008" s="1">
        <v>590.0</v>
      </c>
      <c r="D3008" s="2" t="s">
        <v>835</v>
      </c>
      <c r="E3008" s="1">
        <v>94.0</v>
      </c>
      <c r="F3008" s="1">
        <v>14.0</v>
      </c>
      <c r="G3008" s="1">
        <v>0.0</v>
      </c>
      <c r="H3008" s="1">
        <v>0.0</v>
      </c>
      <c r="I3008" s="1">
        <v>0.0</v>
      </c>
      <c r="J3008" s="1">
        <v>0.0</v>
      </c>
      <c r="K3008" s="1">
        <v>0.0</v>
      </c>
      <c r="L3008" s="1">
        <v>1.42E7</v>
      </c>
      <c r="M3008" s="1" t="s">
        <v>7315</v>
      </c>
      <c r="N3008" s="18">
        <v>46028.0</v>
      </c>
      <c r="O3008" s="1" t="s">
        <v>3284</v>
      </c>
      <c r="P3008" s="1" t="s">
        <v>3230</v>
      </c>
      <c r="Q3008" s="1" t="s">
        <v>3408</v>
      </c>
    </row>
    <row r="3009">
      <c r="A3009" s="1" t="s">
        <v>8638</v>
      </c>
      <c r="B3009" s="1">
        <v>94.0</v>
      </c>
      <c r="C3009" s="1">
        <v>70.0</v>
      </c>
      <c r="D3009" s="2" t="s">
        <v>754</v>
      </c>
      <c r="E3009" s="1">
        <v>94.0</v>
      </c>
      <c r="F3009" s="1">
        <v>15.0</v>
      </c>
      <c r="G3009" s="1">
        <v>35.96</v>
      </c>
      <c r="H3009" s="1">
        <v>0.0</v>
      </c>
      <c r="I3009" s="1">
        <v>0.0</v>
      </c>
      <c r="J3009" s="1">
        <v>0.0</v>
      </c>
      <c r="K3009" s="1">
        <v>0.05</v>
      </c>
      <c r="L3009" s="1">
        <v>4020000.0</v>
      </c>
      <c r="M3009" s="1" t="s">
        <v>8639</v>
      </c>
      <c r="N3009" s="18">
        <v>46026.0</v>
      </c>
      <c r="O3009" s="1" t="s">
        <v>5778</v>
      </c>
      <c r="P3009" s="1" t="s">
        <v>3257</v>
      </c>
      <c r="Q3009" s="1" t="s">
        <v>3408</v>
      </c>
    </row>
    <row r="3010">
      <c r="A3010" s="1" t="s">
        <v>8640</v>
      </c>
      <c r="B3010" s="1">
        <v>94.0</v>
      </c>
      <c r="C3010" s="1">
        <v>140.0</v>
      </c>
      <c r="D3010" s="2" t="s">
        <v>1017</v>
      </c>
      <c r="E3010" s="1">
        <v>94.0</v>
      </c>
      <c r="F3010" s="1">
        <v>26.0</v>
      </c>
      <c r="G3010" s="1">
        <v>3.08</v>
      </c>
      <c r="H3010" s="1">
        <v>0.0</v>
      </c>
      <c r="I3010" s="1">
        <v>0.0</v>
      </c>
      <c r="J3010" s="1">
        <v>0.0</v>
      </c>
      <c r="K3010" s="1">
        <v>0.12</v>
      </c>
      <c r="L3010" s="1">
        <v>6660000.0</v>
      </c>
      <c r="M3010" s="1" t="s">
        <v>8641</v>
      </c>
      <c r="N3010" s="18">
        <v>46019.0</v>
      </c>
      <c r="O3010" s="1" t="s">
        <v>4121</v>
      </c>
      <c r="P3010" s="1" t="s">
        <v>3294</v>
      </c>
      <c r="Q3010" s="1" t="s">
        <v>3408</v>
      </c>
    </row>
    <row r="3011">
      <c r="A3011" s="1" t="s">
        <v>8642</v>
      </c>
      <c r="B3011" s="1">
        <v>94.0</v>
      </c>
      <c r="C3011" s="1">
        <v>140.0</v>
      </c>
      <c r="D3011" s="2" t="s">
        <v>439</v>
      </c>
      <c r="E3011" s="1">
        <v>94.0</v>
      </c>
      <c r="F3011" s="1">
        <v>36.0</v>
      </c>
      <c r="G3011" s="1">
        <v>2.04</v>
      </c>
      <c r="H3011" s="1">
        <v>0.0</v>
      </c>
      <c r="I3011" s="1">
        <v>0.0</v>
      </c>
      <c r="J3011" s="1">
        <v>0.0</v>
      </c>
      <c r="K3011" s="1">
        <v>0.19</v>
      </c>
      <c r="L3011" s="1">
        <v>3620000.0</v>
      </c>
      <c r="M3011" s="1" t="s">
        <v>8643</v>
      </c>
      <c r="N3011" s="18">
        <v>46019.0</v>
      </c>
      <c r="O3011" s="1" t="s">
        <v>3293</v>
      </c>
      <c r="P3011" s="1" t="s">
        <v>3294</v>
      </c>
      <c r="Q3011" s="1" t="s">
        <v>3408</v>
      </c>
    </row>
    <row r="3012">
      <c r="A3012" s="1" t="s">
        <v>6840</v>
      </c>
      <c r="B3012" s="1">
        <v>94.0</v>
      </c>
      <c r="C3012" s="1">
        <v>320.0</v>
      </c>
      <c r="D3012" s="2" t="s">
        <v>2080</v>
      </c>
      <c r="E3012" s="1">
        <v>94.0</v>
      </c>
      <c r="F3012" s="1">
        <v>0.0</v>
      </c>
      <c r="G3012" s="1">
        <v>3.86</v>
      </c>
      <c r="H3012" s="1">
        <v>0.0</v>
      </c>
      <c r="I3012" s="1">
        <v>0.0</v>
      </c>
      <c r="J3012" s="1">
        <v>0.0</v>
      </c>
      <c r="K3012" s="1">
        <v>0.34</v>
      </c>
      <c r="L3012" s="1">
        <v>1560000.0</v>
      </c>
      <c r="M3012" s="1" t="s">
        <v>6841</v>
      </c>
      <c r="N3012" s="18">
        <v>46017.0</v>
      </c>
      <c r="O3012" s="1" t="s">
        <v>3442</v>
      </c>
      <c r="P3012" s="1" t="s">
        <v>3230</v>
      </c>
      <c r="Q3012" s="1" t="s">
        <v>3408</v>
      </c>
    </row>
    <row r="3013">
      <c r="A3013" s="1" t="s">
        <v>8644</v>
      </c>
      <c r="B3013" s="1">
        <v>94.0</v>
      </c>
      <c r="C3013" s="1">
        <v>50.0</v>
      </c>
      <c r="D3013" s="2" t="s">
        <v>778</v>
      </c>
      <c r="E3013" s="1">
        <v>94.0</v>
      </c>
      <c r="F3013" s="1">
        <v>12.0</v>
      </c>
      <c r="G3013" s="1">
        <v>192.8</v>
      </c>
      <c r="H3013" s="1">
        <v>0.0</v>
      </c>
      <c r="I3013" s="1">
        <v>0.0</v>
      </c>
      <c r="J3013" s="1">
        <v>0.0</v>
      </c>
      <c r="K3013" s="1">
        <v>0.57</v>
      </c>
      <c r="L3013" s="1">
        <v>1380000.0</v>
      </c>
      <c r="M3013" s="1" t="s">
        <v>8645</v>
      </c>
      <c r="N3013" s="18">
        <v>46015.0</v>
      </c>
      <c r="O3013" s="1" t="s">
        <v>3482</v>
      </c>
      <c r="P3013" s="1" t="s">
        <v>3257</v>
      </c>
      <c r="Q3013" s="1" t="s">
        <v>3408</v>
      </c>
    </row>
    <row r="3014">
      <c r="A3014" s="1" t="s">
        <v>8646</v>
      </c>
      <c r="B3014" s="1">
        <v>94.0</v>
      </c>
      <c r="C3014" s="1">
        <v>140.0</v>
      </c>
      <c r="D3014" s="2" t="s">
        <v>581</v>
      </c>
      <c r="E3014" s="1">
        <v>94.0</v>
      </c>
      <c r="F3014" s="1">
        <v>45.0</v>
      </c>
      <c r="G3014" s="1">
        <v>19.89</v>
      </c>
      <c r="H3014" s="1">
        <v>0.0</v>
      </c>
      <c r="I3014" s="1">
        <v>0.0</v>
      </c>
      <c r="J3014" s="1">
        <v>0.0</v>
      </c>
      <c r="K3014" s="1">
        <v>0.91</v>
      </c>
      <c r="L3014" s="1">
        <v>8450000.0</v>
      </c>
      <c r="M3014" s="1" t="s">
        <v>8647</v>
      </c>
      <c r="N3014" s="18">
        <v>46014.0</v>
      </c>
      <c r="O3014" s="1" t="s">
        <v>4452</v>
      </c>
      <c r="P3014" s="1" t="s">
        <v>3257</v>
      </c>
      <c r="Q3014" s="1" t="s">
        <v>3408</v>
      </c>
    </row>
    <row r="3015">
      <c r="A3015" s="1" t="s">
        <v>8648</v>
      </c>
      <c r="B3015" s="1">
        <v>94.0</v>
      </c>
      <c r="C3015" s="1">
        <v>70.0</v>
      </c>
      <c r="D3015" s="2" t="s">
        <v>2048</v>
      </c>
      <c r="E3015" s="1">
        <v>94.0</v>
      </c>
      <c r="F3015" s="1">
        <v>20.0</v>
      </c>
      <c r="G3015" s="1">
        <v>0.0</v>
      </c>
      <c r="H3015" s="1">
        <v>0.0</v>
      </c>
      <c r="I3015" s="1">
        <v>0.0</v>
      </c>
      <c r="J3015" s="1">
        <v>0.0</v>
      </c>
      <c r="K3015" s="1">
        <v>0.0</v>
      </c>
      <c r="L3015" s="1">
        <v>1.22E7</v>
      </c>
      <c r="M3015" s="1" t="s">
        <v>5933</v>
      </c>
      <c r="N3015" s="18">
        <v>46012.0</v>
      </c>
      <c r="O3015" s="1" t="s">
        <v>3442</v>
      </c>
      <c r="P3015" s="1" t="s">
        <v>3230</v>
      </c>
      <c r="Q3015" s="1" t="s">
        <v>3408</v>
      </c>
    </row>
    <row r="3016">
      <c r="A3016" s="1" t="s">
        <v>8649</v>
      </c>
      <c r="B3016" s="1">
        <v>94.0</v>
      </c>
      <c r="C3016" s="1">
        <v>40.0</v>
      </c>
      <c r="D3016" s="2" t="s">
        <v>581</v>
      </c>
      <c r="E3016" s="1">
        <v>94.0</v>
      </c>
      <c r="F3016" s="1">
        <v>1.0</v>
      </c>
      <c r="G3016" s="1">
        <v>0.0</v>
      </c>
      <c r="H3016" s="1">
        <v>0.0</v>
      </c>
      <c r="I3016" s="1">
        <v>0.0</v>
      </c>
      <c r="J3016" s="1">
        <v>0.0</v>
      </c>
      <c r="K3016" s="1">
        <v>0.0</v>
      </c>
      <c r="L3016" s="1">
        <v>2220000.0</v>
      </c>
      <c r="M3016" s="1" t="s">
        <v>8650</v>
      </c>
      <c r="N3016" s="18">
        <v>46012.0</v>
      </c>
      <c r="O3016" s="1" t="s">
        <v>8651</v>
      </c>
      <c r="P3016" s="1" t="s">
        <v>3257</v>
      </c>
      <c r="Q3016" s="1" t="s">
        <v>3408</v>
      </c>
    </row>
    <row r="3017">
      <c r="A3017" s="1" t="s">
        <v>8652</v>
      </c>
      <c r="B3017" s="1">
        <v>94.0</v>
      </c>
      <c r="C3017" s="1">
        <v>40.0</v>
      </c>
      <c r="D3017" s="2" t="s">
        <v>1750</v>
      </c>
      <c r="E3017" s="1">
        <v>94.0</v>
      </c>
      <c r="F3017" s="1">
        <v>8.0</v>
      </c>
      <c r="G3017" s="1">
        <v>2.92</v>
      </c>
      <c r="H3017" s="1">
        <v>0.0</v>
      </c>
      <c r="I3017" s="1">
        <v>0.0</v>
      </c>
      <c r="J3017" s="1">
        <v>0.0</v>
      </c>
      <c r="K3017" s="1">
        <v>0.09</v>
      </c>
      <c r="L3017" s="1">
        <v>308000.0</v>
      </c>
      <c r="M3017" s="1" t="s">
        <v>8653</v>
      </c>
      <c r="N3017" s="18">
        <v>46009.0</v>
      </c>
      <c r="O3017" s="1" t="s">
        <v>7613</v>
      </c>
      <c r="P3017" s="1" t="s">
        <v>3230</v>
      </c>
      <c r="Q3017" s="1" t="s">
        <v>3408</v>
      </c>
    </row>
    <row r="3018">
      <c r="A3018" s="1" t="s">
        <v>8654</v>
      </c>
      <c r="B3018" s="1">
        <v>94.0</v>
      </c>
      <c r="C3018" s="1">
        <v>70.0</v>
      </c>
      <c r="D3018" s="2" t="s">
        <v>592</v>
      </c>
      <c r="E3018" s="1">
        <v>94.0</v>
      </c>
      <c r="F3018" s="1">
        <v>1.0</v>
      </c>
      <c r="G3018" s="1">
        <v>6.23</v>
      </c>
      <c r="H3018" s="1">
        <v>0.0</v>
      </c>
      <c r="I3018" s="1">
        <v>0.0</v>
      </c>
      <c r="J3018" s="1">
        <v>0.0</v>
      </c>
      <c r="K3018" s="1">
        <v>0.19</v>
      </c>
      <c r="L3018" s="1">
        <v>1230000.0</v>
      </c>
      <c r="M3018" s="1" t="s">
        <v>8655</v>
      </c>
      <c r="N3018" s="18">
        <v>46008.0</v>
      </c>
      <c r="O3018" s="1" t="s">
        <v>5257</v>
      </c>
      <c r="P3018" s="1" t="s">
        <v>3257</v>
      </c>
      <c r="Q3018" s="1" t="s">
        <v>3408</v>
      </c>
    </row>
    <row r="3019">
      <c r="A3019" s="1" t="s">
        <v>8223</v>
      </c>
      <c r="B3019" s="1">
        <v>94.0</v>
      </c>
      <c r="C3019" s="1">
        <v>50.0</v>
      </c>
      <c r="D3019" s="2" t="s">
        <v>904</v>
      </c>
      <c r="E3019" s="1">
        <v>94.0</v>
      </c>
      <c r="F3019" s="1">
        <v>0.0</v>
      </c>
      <c r="G3019" s="1">
        <v>0.0</v>
      </c>
      <c r="H3019" s="1">
        <v>0.0</v>
      </c>
      <c r="I3019" s="1">
        <v>0.0</v>
      </c>
      <c r="J3019" s="1">
        <v>0.0</v>
      </c>
      <c r="K3019" s="1">
        <v>0.0</v>
      </c>
      <c r="L3019" s="1">
        <v>354000.0</v>
      </c>
      <c r="M3019" s="1" t="s">
        <v>8224</v>
      </c>
      <c r="N3019" s="18">
        <v>46000.0</v>
      </c>
      <c r="O3019" s="1" t="s">
        <v>5744</v>
      </c>
      <c r="P3019" s="1" t="s">
        <v>3230</v>
      </c>
      <c r="Q3019" s="1" t="s">
        <v>3408</v>
      </c>
    </row>
    <row r="3020">
      <c r="A3020" s="1" t="s">
        <v>8656</v>
      </c>
      <c r="B3020" s="1">
        <v>94.0</v>
      </c>
      <c r="C3020" s="1">
        <v>50.0</v>
      </c>
      <c r="D3020" s="2" t="s">
        <v>2302</v>
      </c>
      <c r="E3020" s="1">
        <v>94.0</v>
      </c>
      <c r="F3020" s="1">
        <v>19.0</v>
      </c>
      <c r="G3020" s="1">
        <v>0.0</v>
      </c>
      <c r="H3020" s="1">
        <v>0.0</v>
      </c>
      <c r="I3020" s="1">
        <v>0.0</v>
      </c>
      <c r="J3020" s="1">
        <v>0.0</v>
      </c>
      <c r="K3020" s="1">
        <v>0.05</v>
      </c>
      <c r="L3020" s="1">
        <v>8.39E7</v>
      </c>
      <c r="M3020" s="1" t="s">
        <v>8657</v>
      </c>
      <c r="N3020" s="18">
        <v>45999.0</v>
      </c>
      <c r="O3020" s="1" t="s">
        <v>8658</v>
      </c>
      <c r="P3020" s="1" t="s">
        <v>3230</v>
      </c>
      <c r="Q3020" s="1" t="s">
        <v>3408</v>
      </c>
    </row>
    <row r="3021">
      <c r="A3021" s="1" t="s">
        <v>8659</v>
      </c>
      <c r="B3021" s="1">
        <v>94.0</v>
      </c>
      <c r="C3021" s="1">
        <v>50.0</v>
      </c>
      <c r="D3021" s="2" t="s">
        <v>1099</v>
      </c>
      <c r="E3021" s="1">
        <v>94.0</v>
      </c>
      <c r="F3021" s="1">
        <v>3.0</v>
      </c>
      <c r="G3021" s="1">
        <v>2.21</v>
      </c>
      <c r="H3021" s="1">
        <v>0.0</v>
      </c>
      <c r="I3021" s="1">
        <v>0.0</v>
      </c>
      <c r="J3021" s="1">
        <v>0.0</v>
      </c>
      <c r="K3021" s="1">
        <v>0.44</v>
      </c>
      <c r="L3021" s="1">
        <v>3020000.0</v>
      </c>
      <c r="M3021" s="1" t="s">
        <v>8660</v>
      </c>
      <c r="N3021" s="18">
        <v>45997.0</v>
      </c>
      <c r="O3021" s="1" t="s">
        <v>4470</v>
      </c>
      <c r="P3021" s="1" t="s">
        <v>3230</v>
      </c>
      <c r="Q3021" s="1" t="s">
        <v>3408</v>
      </c>
    </row>
    <row r="3022">
      <c r="A3022" s="1" t="s">
        <v>8661</v>
      </c>
      <c r="B3022" s="1">
        <v>94.0</v>
      </c>
      <c r="C3022" s="1">
        <v>390.0</v>
      </c>
      <c r="D3022" s="2" t="s">
        <v>694</v>
      </c>
      <c r="E3022" s="1">
        <v>94.0</v>
      </c>
      <c r="F3022" s="1">
        <v>38.0</v>
      </c>
      <c r="G3022" s="1">
        <v>1.47</v>
      </c>
      <c r="H3022" s="1">
        <v>0.0</v>
      </c>
      <c r="I3022" s="1">
        <v>0.0</v>
      </c>
      <c r="J3022" s="1">
        <v>0.0</v>
      </c>
      <c r="K3022" s="1">
        <v>0.12</v>
      </c>
      <c r="L3022" s="1">
        <v>3460000.0</v>
      </c>
      <c r="M3022" s="1" t="s">
        <v>8662</v>
      </c>
      <c r="N3022" s="18">
        <v>45996.0</v>
      </c>
      <c r="O3022" s="1" t="s">
        <v>6324</v>
      </c>
      <c r="P3022" s="1" t="s">
        <v>3230</v>
      </c>
      <c r="Q3022" s="1" t="s">
        <v>3408</v>
      </c>
    </row>
    <row r="3023">
      <c r="A3023" s="1" t="s">
        <v>8663</v>
      </c>
      <c r="B3023" s="1">
        <v>94.0</v>
      </c>
      <c r="C3023" s="1">
        <v>170.0</v>
      </c>
      <c r="D3023" s="2" t="s">
        <v>786</v>
      </c>
      <c r="E3023" s="1">
        <v>94.0</v>
      </c>
      <c r="F3023" s="1">
        <v>4.0</v>
      </c>
      <c r="G3023" s="1">
        <v>0.0</v>
      </c>
      <c r="H3023" s="1">
        <v>0.0</v>
      </c>
      <c r="I3023" s="1">
        <v>0.0</v>
      </c>
      <c r="J3023" s="1">
        <v>0.0</v>
      </c>
      <c r="K3023" s="1">
        <v>0.0</v>
      </c>
      <c r="L3023" s="1">
        <v>319000.0</v>
      </c>
      <c r="M3023" s="1" t="s">
        <v>8664</v>
      </c>
      <c r="N3023" s="18">
        <v>45992.0</v>
      </c>
      <c r="O3023" s="1" t="s">
        <v>3432</v>
      </c>
      <c r="P3023" s="1" t="s">
        <v>3257</v>
      </c>
      <c r="Q3023" s="1" t="s">
        <v>3408</v>
      </c>
    </row>
    <row r="3024">
      <c r="A3024" s="1" t="s">
        <v>7223</v>
      </c>
      <c r="B3024" s="1">
        <v>94.0</v>
      </c>
      <c r="C3024" s="1">
        <v>70.0</v>
      </c>
      <c r="D3024" s="2" t="s">
        <v>694</v>
      </c>
      <c r="E3024" s="1">
        <v>94.0</v>
      </c>
      <c r="F3024" s="1">
        <v>18.0</v>
      </c>
      <c r="G3024" s="1">
        <v>1.18</v>
      </c>
      <c r="H3024" s="1">
        <v>0.0</v>
      </c>
      <c r="I3024" s="1">
        <v>0.0</v>
      </c>
      <c r="J3024" s="1">
        <v>0.0</v>
      </c>
      <c r="K3024" s="1">
        <v>0.15</v>
      </c>
      <c r="L3024" s="1">
        <v>7880000.0</v>
      </c>
      <c r="M3024" s="1" t="s">
        <v>7224</v>
      </c>
      <c r="N3024" s="18">
        <v>45991.0</v>
      </c>
      <c r="O3024" s="1" t="s">
        <v>3565</v>
      </c>
      <c r="P3024" s="1" t="s">
        <v>3230</v>
      </c>
      <c r="Q3024" s="1" t="s">
        <v>3408</v>
      </c>
    </row>
    <row r="3025">
      <c r="A3025" s="1" t="s">
        <v>4307</v>
      </c>
      <c r="B3025" s="1">
        <v>94.0</v>
      </c>
      <c r="C3025" s="1">
        <v>90.0</v>
      </c>
      <c r="D3025" s="2" t="s">
        <v>1733</v>
      </c>
      <c r="E3025" s="1">
        <v>94.0</v>
      </c>
      <c r="F3025" s="1">
        <v>8.0</v>
      </c>
      <c r="G3025" s="1">
        <v>0.0</v>
      </c>
      <c r="H3025" s="1">
        <v>0.0</v>
      </c>
      <c r="I3025" s="1">
        <v>0.0</v>
      </c>
      <c r="J3025" s="1">
        <v>0.0</v>
      </c>
      <c r="K3025" s="1">
        <v>0.02</v>
      </c>
      <c r="L3025" s="1">
        <v>7090000.0</v>
      </c>
      <c r="M3025" s="1" t="s">
        <v>4308</v>
      </c>
      <c r="N3025" s="18">
        <v>45991.0</v>
      </c>
      <c r="O3025" s="1" t="s">
        <v>3854</v>
      </c>
      <c r="P3025" s="1" t="s">
        <v>3257</v>
      </c>
      <c r="Q3025" s="1" t="s">
        <v>3408</v>
      </c>
    </row>
    <row r="3026">
      <c r="A3026" s="1" t="s">
        <v>8665</v>
      </c>
      <c r="B3026" s="1">
        <v>94.0</v>
      </c>
      <c r="C3026" s="1">
        <v>140.0</v>
      </c>
      <c r="D3026" s="2" t="s">
        <v>439</v>
      </c>
      <c r="E3026" s="1">
        <v>94.0</v>
      </c>
      <c r="F3026" s="1">
        <v>18.0</v>
      </c>
      <c r="G3026" s="1">
        <v>10.36</v>
      </c>
      <c r="H3026" s="1">
        <v>0.0</v>
      </c>
      <c r="I3026" s="1">
        <v>0.0</v>
      </c>
      <c r="J3026" s="1">
        <v>0.0</v>
      </c>
      <c r="K3026" s="1">
        <v>0.07</v>
      </c>
      <c r="L3026" s="1">
        <v>8.0</v>
      </c>
      <c r="M3026" s="1" t="s">
        <v>8666</v>
      </c>
      <c r="N3026" s="18">
        <v>45985.0</v>
      </c>
      <c r="O3026" s="1" t="s">
        <v>5227</v>
      </c>
      <c r="P3026" s="1" t="s">
        <v>3294</v>
      </c>
      <c r="Q3026" s="1" t="s">
        <v>3408</v>
      </c>
    </row>
    <row r="3027">
      <c r="A3027" s="1" t="s">
        <v>3559</v>
      </c>
      <c r="B3027" s="1">
        <v>94.0</v>
      </c>
      <c r="C3027" s="1">
        <v>140.0</v>
      </c>
      <c r="D3027" s="2" t="s">
        <v>6172</v>
      </c>
      <c r="E3027" s="1">
        <v>94.0</v>
      </c>
      <c r="F3027" s="1">
        <v>9.0</v>
      </c>
      <c r="G3027" s="1">
        <v>10.08</v>
      </c>
      <c r="H3027" s="1">
        <v>0.0</v>
      </c>
      <c r="I3027" s="1">
        <v>0.0</v>
      </c>
      <c r="J3027" s="1">
        <v>0.0</v>
      </c>
      <c r="K3027" s="1">
        <v>0.13</v>
      </c>
      <c r="L3027" s="1">
        <v>10.0</v>
      </c>
      <c r="M3027" s="1" t="s">
        <v>3560</v>
      </c>
      <c r="N3027" s="18">
        <v>45984.0</v>
      </c>
      <c r="O3027" s="1" t="s">
        <v>3455</v>
      </c>
      <c r="P3027" s="1" t="s">
        <v>3257</v>
      </c>
      <c r="Q3027" s="1" t="s">
        <v>3408</v>
      </c>
    </row>
    <row r="3028">
      <c r="A3028" s="1" t="s">
        <v>8667</v>
      </c>
      <c r="B3028" s="1">
        <v>95.0</v>
      </c>
      <c r="C3028" s="1">
        <v>110.0</v>
      </c>
      <c r="D3028" s="2" t="s">
        <v>718</v>
      </c>
      <c r="E3028" s="1">
        <v>0.0</v>
      </c>
      <c r="F3028" s="1">
        <v>18.0</v>
      </c>
      <c r="G3028" s="1">
        <v>20.85</v>
      </c>
      <c r="H3028" s="1">
        <v>0.0</v>
      </c>
      <c r="I3028" s="1">
        <v>0.0</v>
      </c>
      <c r="J3028" s="1">
        <v>0.0</v>
      </c>
      <c r="K3028" s="1">
        <v>0.4</v>
      </c>
      <c r="L3028" s="1">
        <v>920000.0</v>
      </c>
      <c r="M3028" s="1" t="s">
        <v>8668</v>
      </c>
      <c r="N3028" s="18">
        <v>46042.0</v>
      </c>
      <c r="O3028" s="1" t="s">
        <v>3231</v>
      </c>
      <c r="P3028" s="1" t="s">
        <v>3257</v>
      </c>
      <c r="Q3028" s="1" t="s">
        <v>3408</v>
      </c>
    </row>
    <row r="3029">
      <c r="A3029" s="1" t="s">
        <v>8669</v>
      </c>
      <c r="B3029" s="1">
        <v>95.0</v>
      </c>
      <c r="C3029" s="1">
        <v>320.0</v>
      </c>
      <c r="D3029" s="2" t="s">
        <v>2937</v>
      </c>
      <c r="E3029" s="1">
        <v>82.0</v>
      </c>
      <c r="F3029" s="1">
        <v>22.0</v>
      </c>
      <c r="G3029" s="1">
        <v>6.51</v>
      </c>
      <c r="H3029" s="1">
        <v>0.0</v>
      </c>
      <c r="I3029" s="1">
        <v>0.0</v>
      </c>
      <c r="J3029" s="1">
        <v>0.0</v>
      </c>
      <c r="K3029" s="1">
        <v>0.05</v>
      </c>
      <c r="L3029" s="1">
        <v>1.88E7</v>
      </c>
      <c r="M3029" s="1" t="s">
        <v>8670</v>
      </c>
      <c r="N3029" s="18">
        <v>46042.0</v>
      </c>
      <c r="O3029" s="1" t="s">
        <v>8671</v>
      </c>
      <c r="P3029" s="1" t="s">
        <v>3257</v>
      </c>
      <c r="Q3029" s="1" t="s">
        <v>3408</v>
      </c>
    </row>
    <row r="3030">
      <c r="A3030" s="1" t="s">
        <v>8672</v>
      </c>
      <c r="B3030" s="1">
        <v>95.0</v>
      </c>
      <c r="C3030" s="1">
        <v>50.0</v>
      </c>
      <c r="D3030" s="2" t="s">
        <v>581</v>
      </c>
      <c r="E3030" s="1">
        <v>95.0</v>
      </c>
      <c r="F3030" s="1">
        <v>20.0</v>
      </c>
      <c r="G3030" s="1">
        <v>2.29</v>
      </c>
      <c r="H3030" s="1">
        <v>0.0</v>
      </c>
      <c r="I3030" s="1">
        <v>0.0</v>
      </c>
      <c r="J3030" s="1">
        <v>0.0</v>
      </c>
      <c r="K3030" s="1">
        <v>0.76</v>
      </c>
      <c r="L3030" s="1">
        <v>1.41E7</v>
      </c>
      <c r="M3030" s="1" t="s">
        <v>8673</v>
      </c>
      <c r="N3030" s="18">
        <v>46039.0</v>
      </c>
      <c r="O3030" s="1" t="s">
        <v>4369</v>
      </c>
      <c r="P3030" s="1" t="s">
        <v>3257</v>
      </c>
      <c r="Q3030" s="1" t="s">
        <v>3408</v>
      </c>
    </row>
    <row r="3031">
      <c r="A3031" s="1" t="s">
        <v>8674</v>
      </c>
      <c r="B3031" s="1">
        <v>95.0</v>
      </c>
      <c r="C3031" s="1">
        <v>70.0</v>
      </c>
      <c r="D3031" s="2" t="s">
        <v>2937</v>
      </c>
      <c r="E3031" s="1">
        <v>95.0</v>
      </c>
      <c r="F3031" s="1">
        <v>31.0</v>
      </c>
      <c r="G3031" s="1">
        <v>6.51</v>
      </c>
      <c r="H3031" s="1">
        <v>0.0</v>
      </c>
      <c r="I3031" s="1">
        <v>0.0</v>
      </c>
      <c r="J3031" s="1">
        <v>0.0</v>
      </c>
      <c r="K3031" s="1">
        <v>0.05</v>
      </c>
      <c r="L3031" s="1">
        <v>9.8E7</v>
      </c>
      <c r="M3031" s="1" t="s">
        <v>8675</v>
      </c>
      <c r="N3031" s="18">
        <v>46039.0</v>
      </c>
      <c r="O3031" s="1" t="s">
        <v>6959</v>
      </c>
      <c r="P3031" s="1" t="s">
        <v>3257</v>
      </c>
      <c r="Q3031" s="1" t="s">
        <v>3408</v>
      </c>
    </row>
    <row r="3032">
      <c r="A3032" s="1" t="s">
        <v>8676</v>
      </c>
      <c r="B3032" s="1">
        <v>95.0</v>
      </c>
      <c r="C3032" s="1">
        <v>70.0</v>
      </c>
      <c r="D3032" s="2" t="s">
        <v>581</v>
      </c>
      <c r="E3032" s="1">
        <v>95.0</v>
      </c>
      <c r="F3032" s="1">
        <v>45.0</v>
      </c>
      <c r="G3032" s="1">
        <v>19.89</v>
      </c>
      <c r="H3032" s="1">
        <v>0.0</v>
      </c>
      <c r="I3032" s="1">
        <v>0.0</v>
      </c>
      <c r="J3032" s="1">
        <v>0.0</v>
      </c>
      <c r="K3032" s="1">
        <v>0.91</v>
      </c>
      <c r="L3032" s="1">
        <v>8510000.0</v>
      </c>
      <c r="M3032" s="1" t="s">
        <v>8677</v>
      </c>
      <c r="N3032" s="18">
        <v>46036.0</v>
      </c>
      <c r="O3032" s="1" t="s">
        <v>8678</v>
      </c>
      <c r="P3032" s="1" t="s">
        <v>3257</v>
      </c>
      <c r="Q3032" s="1" t="s">
        <v>3408</v>
      </c>
    </row>
    <row r="3033">
      <c r="A3033" s="1" t="s">
        <v>6881</v>
      </c>
      <c r="B3033" s="1">
        <v>95.0</v>
      </c>
      <c r="C3033" s="1">
        <v>110.0</v>
      </c>
      <c r="D3033" s="2" t="s">
        <v>782</v>
      </c>
      <c r="E3033" s="1">
        <v>95.0</v>
      </c>
      <c r="F3033" s="1">
        <v>12.0</v>
      </c>
      <c r="G3033" s="1">
        <v>98.55</v>
      </c>
      <c r="H3033" s="1">
        <v>0.0</v>
      </c>
      <c r="I3033" s="1">
        <v>0.0</v>
      </c>
      <c r="J3033" s="1">
        <v>0.0</v>
      </c>
      <c r="K3033" s="1">
        <v>0.15</v>
      </c>
      <c r="L3033" s="1">
        <v>9940000.0</v>
      </c>
      <c r="M3033" s="1" t="s">
        <v>6882</v>
      </c>
      <c r="N3033" s="18">
        <v>46035.0</v>
      </c>
      <c r="O3033" s="1" t="s">
        <v>3427</v>
      </c>
      <c r="P3033" s="1" t="s">
        <v>3257</v>
      </c>
      <c r="Q3033" s="1" t="s">
        <v>3408</v>
      </c>
    </row>
    <row r="3034">
      <c r="A3034" s="1" t="s">
        <v>8679</v>
      </c>
      <c r="B3034" s="1">
        <v>95.0</v>
      </c>
      <c r="C3034" s="1">
        <v>1900.0</v>
      </c>
      <c r="D3034" s="2" t="s">
        <v>581</v>
      </c>
      <c r="E3034" s="1">
        <v>95.0</v>
      </c>
      <c r="F3034" s="1">
        <v>56.0</v>
      </c>
      <c r="G3034" s="1">
        <v>19.39</v>
      </c>
      <c r="H3034" s="1">
        <v>0.0</v>
      </c>
      <c r="I3034" s="1">
        <v>0.0</v>
      </c>
      <c r="J3034" s="1">
        <v>0.0</v>
      </c>
      <c r="K3034" s="1">
        <v>0.78</v>
      </c>
      <c r="L3034" s="1">
        <v>1.91E7</v>
      </c>
      <c r="M3034" s="1" t="s">
        <v>8680</v>
      </c>
      <c r="N3034" s="18">
        <v>46035.0</v>
      </c>
      <c r="O3034" s="1" t="s">
        <v>6387</v>
      </c>
      <c r="P3034" s="1" t="s">
        <v>3257</v>
      </c>
      <c r="Q3034" s="1" t="s">
        <v>3408</v>
      </c>
    </row>
    <row r="3035">
      <c r="A3035" s="1" t="s">
        <v>6069</v>
      </c>
      <c r="B3035" s="1">
        <v>95.0</v>
      </c>
      <c r="C3035" s="1">
        <v>70.0</v>
      </c>
      <c r="D3035" s="2" t="s">
        <v>2950</v>
      </c>
      <c r="E3035" s="1">
        <v>95.0</v>
      </c>
      <c r="F3035" s="1">
        <v>33.0</v>
      </c>
      <c r="G3035" s="1">
        <v>9.53</v>
      </c>
      <c r="H3035" s="1">
        <v>0.0</v>
      </c>
      <c r="I3035" s="1">
        <v>0.0</v>
      </c>
      <c r="J3035" s="1">
        <v>0.0</v>
      </c>
      <c r="K3035" s="1">
        <v>0.7</v>
      </c>
      <c r="L3035" s="1">
        <v>130000.0</v>
      </c>
      <c r="M3035" s="1" t="s">
        <v>6070</v>
      </c>
      <c r="N3035" s="18">
        <v>46035.0</v>
      </c>
      <c r="O3035" s="1" t="s">
        <v>3288</v>
      </c>
      <c r="P3035" s="1" t="s">
        <v>3257</v>
      </c>
      <c r="Q3035" s="1" t="s">
        <v>3408</v>
      </c>
    </row>
    <row r="3036">
      <c r="A3036" s="1" t="s">
        <v>8681</v>
      </c>
      <c r="B3036" s="1">
        <v>95.0</v>
      </c>
      <c r="C3036" s="1">
        <v>40.0</v>
      </c>
      <c r="D3036" s="2" t="s">
        <v>1606</v>
      </c>
      <c r="E3036" s="1">
        <v>95.0</v>
      </c>
      <c r="F3036" s="1">
        <v>24.0</v>
      </c>
      <c r="G3036" s="1">
        <v>5.21</v>
      </c>
      <c r="H3036" s="1">
        <v>0.0</v>
      </c>
      <c r="I3036" s="1">
        <v>0.0</v>
      </c>
      <c r="J3036" s="1">
        <v>0.0</v>
      </c>
      <c r="K3036" s="1">
        <v>0.14</v>
      </c>
      <c r="L3036" s="1">
        <v>1040000.0</v>
      </c>
      <c r="M3036" s="1" t="s">
        <v>8682</v>
      </c>
      <c r="N3036" s="18">
        <v>46034.0</v>
      </c>
      <c r="O3036" s="1" t="s">
        <v>7106</v>
      </c>
      <c r="P3036" s="1" t="s">
        <v>3230</v>
      </c>
      <c r="Q3036" s="1" t="s">
        <v>3408</v>
      </c>
    </row>
    <row r="3037">
      <c r="A3037" s="1" t="s">
        <v>7644</v>
      </c>
      <c r="B3037" s="1">
        <v>95.0</v>
      </c>
      <c r="C3037" s="1">
        <v>260.0</v>
      </c>
      <c r="D3037" s="2" t="s">
        <v>581</v>
      </c>
      <c r="E3037" s="1">
        <v>95.0</v>
      </c>
      <c r="F3037" s="1">
        <v>46.0</v>
      </c>
      <c r="G3037" s="1">
        <v>19.89</v>
      </c>
      <c r="H3037" s="1">
        <v>0.0</v>
      </c>
      <c r="I3037" s="1">
        <v>0.0</v>
      </c>
      <c r="J3037" s="1">
        <v>0.0</v>
      </c>
      <c r="K3037" s="1">
        <v>0.91</v>
      </c>
      <c r="L3037" s="1">
        <v>1.02E7</v>
      </c>
      <c r="M3037" s="1" t="s">
        <v>7645</v>
      </c>
      <c r="N3037" s="18">
        <v>46033.0</v>
      </c>
      <c r="O3037" s="1" t="s">
        <v>4499</v>
      </c>
      <c r="P3037" s="1" t="s">
        <v>3257</v>
      </c>
      <c r="Q3037" s="1" t="s">
        <v>3408</v>
      </c>
    </row>
    <row r="3038">
      <c r="A3038" s="1" t="s">
        <v>8683</v>
      </c>
      <c r="B3038" s="1">
        <v>95.0</v>
      </c>
      <c r="C3038" s="1">
        <v>320.0</v>
      </c>
      <c r="D3038" s="2" t="s">
        <v>1868</v>
      </c>
      <c r="E3038" s="1">
        <v>95.0</v>
      </c>
      <c r="F3038" s="1">
        <v>59.0</v>
      </c>
      <c r="G3038" s="1">
        <v>0.0</v>
      </c>
      <c r="H3038" s="1">
        <v>0.0</v>
      </c>
      <c r="I3038" s="1">
        <v>0.0</v>
      </c>
      <c r="J3038" s="1">
        <v>0.0</v>
      </c>
      <c r="K3038" s="1">
        <v>0.0</v>
      </c>
      <c r="L3038" s="1">
        <v>4.28E8</v>
      </c>
      <c r="M3038" s="1" t="s">
        <v>8684</v>
      </c>
      <c r="N3038" s="18">
        <v>46033.0</v>
      </c>
      <c r="O3038" s="1" t="s">
        <v>5442</v>
      </c>
      <c r="P3038" s="1" t="s">
        <v>3230</v>
      </c>
      <c r="Q3038" s="1" t="s">
        <v>3408</v>
      </c>
    </row>
    <row r="3039">
      <c r="A3039" s="1" t="s">
        <v>3931</v>
      </c>
      <c r="B3039" s="1">
        <v>95.0</v>
      </c>
      <c r="C3039" s="1">
        <v>50.0</v>
      </c>
      <c r="D3039" s="2" t="s">
        <v>1307</v>
      </c>
      <c r="E3039" s="1">
        <v>95.0</v>
      </c>
      <c r="F3039" s="1">
        <v>4.0</v>
      </c>
      <c r="G3039" s="1">
        <v>111.47</v>
      </c>
      <c r="H3039" s="1">
        <v>0.0</v>
      </c>
      <c r="I3039" s="1">
        <v>0.0</v>
      </c>
      <c r="J3039" s="1">
        <v>0.0</v>
      </c>
      <c r="K3039" s="1">
        <v>0.96</v>
      </c>
      <c r="L3039" s="1">
        <v>10200.0</v>
      </c>
      <c r="M3039" s="1" t="s">
        <v>3932</v>
      </c>
      <c r="N3039" s="18">
        <v>46030.0</v>
      </c>
      <c r="O3039" s="1" t="s">
        <v>3933</v>
      </c>
      <c r="P3039" s="1" t="s">
        <v>3257</v>
      </c>
      <c r="Q3039" s="1" t="s">
        <v>3408</v>
      </c>
    </row>
    <row r="3040">
      <c r="A3040" s="1" t="s">
        <v>8685</v>
      </c>
      <c r="B3040" s="1">
        <v>95.0</v>
      </c>
      <c r="C3040" s="1">
        <v>320.0</v>
      </c>
      <c r="D3040" s="2" t="s">
        <v>439</v>
      </c>
      <c r="E3040" s="1">
        <v>95.0</v>
      </c>
      <c r="F3040" s="1">
        <v>48.0</v>
      </c>
      <c r="G3040" s="1">
        <v>12.8</v>
      </c>
      <c r="H3040" s="1">
        <v>0.0</v>
      </c>
      <c r="I3040" s="1">
        <v>0.0</v>
      </c>
      <c r="J3040" s="1">
        <v>0.0</v>
      </c>
      <c r="K3040" s="1">
        <v>0.03</v>
      </c>
      <c r="L3040" s="1">
        <v>326000.0</v>
      </c>
      <c r="M3040" s="1" t="s">
        <v>8686</v>
      </c>
      <c r="N3040" s="18">
        <v>46029.0</v>
      </c>
      <c r="O3040" s="1" t="s">
        <v>8687</v>
      </c>
      <c r="P3040" s="1" t="s">
        <v>3294</v>
      </c>
      <c r="Q3040" s="1" t="s">
        <v>3408</v>
      </c>
    </row>
    <row r="3041">
      <c r="A3041" s="1" t="s">
        <v>8688</v>
      </c>
      <c r="B3041" s="1">
        <v>95.0</v>
      </c>
      <c r="C3041" s="1">
        <v>260.0</v>
      </c>
      <c r="D3041" s="2" t="s">
        <v>439</v>
      </c>
      <c r="E3041" s="1">
        <v>95.0</v>
      </c>
      <c r="G3041" s="1">
        <v>0.0</v>
      </c>
      <c r="H3041" s="1">
        <v>0.0</v>
      </c>
      <c r="I3041" s="1">
        <v>0.0</v>
      </c>
      <c r="J3041" s="1">
        <v>0.0</v>
      </c>
      <c r="K3041" s="1">
        <v>0.0</v>
      </c>
      <c r="L3041" s="1">
        <v>157000.0</v>
      </c>
      <c r="M3041" s="1" t="s">
        <v>8689</v>
      </c>
      <c r="N3041" s="18">
        <v>46028.0</v>
      </c>
      <c r="O3041" s="1" t="s">
        <v>8690</v>
      </c>
      <c r="P3041" s="1" t="s">
        <v>3301</v>
      </c>
      <c r="Q3041" s="1" t="s">
        <v>3408</v>
      </c>
    </row>
    <row r="3042">
      <c r="A3042" s="1" t="s">
        <v>8691</v>
      </c>
      <c r="B3042" s="1">
        <v>95.0</v>
      </c>
      <c r="C3042" s="1">
        <v>30.0</v>
      </c>
      <c r="D3042" s="2" t="s">
        <v>1469</v>
      </c>
      <c r="E3042" s="1">
        <v>95.0</v>
      </c>
      <c r="F3042" s="1">
        <v>6.0</v>
      </c>
      <c r="G3042" s="1">
        <v>7.14</v>
      </c>
      <c r="H3042" s="1">
        <v>0.0</v>
      </c>
      <c r="I3042" s="1">
        <v>0.0</v>
      </c>
      <c r="J3042" s="1">
        <v>0.0</v>
      </c>
      <c r="K3042" s="1">
        <v>0.19</v>
      </c>
      <c r="L3042" s="1">
        <v>1020000.0</v>
      </c>
      <c r="M3042" s="1" t="s">
        <v>8692</v>
      </c>
      <c r="N3042" s="18">
        <v>46027.0</v>
      </c>
      <c r="O3042" s="1" t="s">
        <v>3264</v>
      </c>
      <c r="P3042" s="1" t="s">
        <v>3230</v>
      </c>
      <c r="Q3042" s="1" t="s">
        <v>3408</v>
      </c>
    </row>
    <row r="3043">
      <c r="A3043" s="1" t="s">
        <v>8396</v>
      </c>
      <c r="B3043" s="1">
        <v>95.0</v>
      </c>
      <c r="C3043" s="1">
        <v>40.0</v>
      </c>
      <c r="D3043" s="2" t="s">
        <v>1543</v>
      </c>
      <c r="E3043" s="1">
        <v>95.0</v>
      </c>
      <c r="F3043" s="1">
        <v>7.0</v>
      </c>
      <c r="G3043" s="1">
        <v>0.0</v>
      </c>
      <c r="H3043" s="1">
        <v>0.0</v>
      </c>
      <c r="I3043" s="1">
        <v>0.0</v>
      </c>
      <c r="J3043" s="1">
        <v>0.0</v>
      </c>
      <c r="K3043" s="1">
        <v>0.0</v>
      </c>
      <c r="L3043" s="1">
        <v>407000.0</v>
      </c>
      <c r="M3043" s="1" t="s">
        <v>8397</v>
      </c>
      <c r="N3043" s="18">
        <v>46026.0</v>
      </c>
      <c r="O3043" s="1" t="s">
        <v>4576</v>
      </c>
      <c r="P3043" s="1" t="s">
        <v>3230</v>
      </c>
      <c r="Q3043" s="1" t="s">
        <v>3408</v>
      </c>
    </row>
    <row r="3044">
      <c r="A3044" s="1" t="s">
        <v>8693</v>
      </c>
      <c r="B3044" s="1">
        <v>95.0</v>
      </c>
      <c r="C3044" s="1">
        <v>50.0</v>
      </c>
      <c r="D3044" s="2" t="s">
        <v>600</v>
      </c>
      <c r="E3044" s="1">
        <v>95.0</v>
      </c>
      <c r="F3044" s="1">
        <v>0.0</v>
      </c>
      <c r="G3044" s="1">
        <v>0.0</v>
      </c>
      <c r="H3044" s="1">
        <v>0.0</v>
      </c>
      <c r="I3044" s="1">
        <v>0.0</v>
      </c>
      <c r="J3044" s="1">
        <v>0.0</v>
      </c>
      <c r="K3044" s="1">
        <v>0.05</v>
      </c>
      <c r="L3044" s="1">
        <v>1520000.0</v>
      </c>
      <c r="M3044" s="1" t="s">
        <v>8694</v>
      </c>
      <c r="N3044" s="18">
        <v>46025.0</v>
      </c>
      <c r="O3044" s="1" t="s">
        <v>6142</v>
      </c>
      <c r="P3044" s="1" t="s">
        <v>3257</v>
      </c>
      <c r="Q3044" s="1" t="s">
        <v>3408</v>
      </c>
    </row>
    <row r="3045">
      <c r="A3045" s="1" t="s">
        <v>8695</v>
      </c>
      <c r="B3045" s="1">
        <v>95.0</v>
      </c>
      <c r="C3045" s="1">
        <v>390.0</v>
      </c>
      <c r="D3045" s="2" t="s">
        <v>447</v>
      </c>
      <c r="E3045" s="1">
        <v>95.0</v>
      </c>
      <c r="F3045" s="1">
        <v>43.0</v>
      </c>
      <c r="G3045" s="1">
        <v>17.08</v>
      </c>
      <c r="H3045" s="1">
        <v>0.0</v>
      </c>
      <c r="I3045" s="1">
        <v>0.0</v>
      </c>
      <c r="J3045" s="1">
        <v>0.0</v>
      </c>
      <c r="K3045" s="1">
        <v>0.02</v>
      </c>
      <c r="L3045" s="1">
        <v>3.09E7</v>
      </c>
      <c r="M3045" s="1" t="s">
        <v>8696</v>
      </c>
      <c r="N3045" s="18">
        <v>46025.0</v>
      </c>
      <c r="O3045" s="1" t="s">
        <v>4730</v>
      </c>
      <c r="P3045" s="1" t="s">
        <v>3257</v>
      </c>
      <c r="Q3045" s="1" t="s">
        <v>3408</v>
      </c>
    </row>
    <row r="3046">
      <c r="A3046" s="1" t="s">
        <v>8697</v>
      </c>
      <c r="B3046" s="1">
        <v>95.0</v>
      </c>
      <c r="C3046" s="1">
        <v>110.0</v>
      </c>
      <c r="D3046" s="2" t="s">
        <v>439</v>
      </c>
      <c r="E3046" s="1">
        <v>95.0</v>
      </c>
      <c r="F3046" s="1">
        <v>16.0</v>
      </c>
      <c r="G3046" s="1">
        <v>5.82</v>
      </c>
      <c r="H3046" s="1">
        <v>0.0</v>
      </c>
      <c r="I3046" s="1">
        <v>0.0</v>
      </c>
      <c r="J3046" s="1">
        <v>0.0</v>
      </c>
      <c r="K3046" s="1">
        <v>0.08</v>
      </c>
      <c r="L3046" s="1">
        <v>1730.0</v>
      </c>
      <c r="M3046" s="1" t="s">
        <v>8698</v>
      </c>
      <c r="N3046" s="18">
        <v>46023.0</v>
      </c>
      <c r="O3046" s="1" t="s">
        <v>4965</v>
      </c>
      <c r="P3046" s="1" t="s">
        <v>3301</v>
      </c>
      <c r="Q3046" s="1" t="s">
        <v>3408</v>
      </c>
    </row>
    <row r="3047">
      <c r="A3047" s="1" t="s">
        <v>8699</v>
      </c>
      <c r="B3047" s="1">
        <v>95.0</v>
      </c>
      <c r="C3047" s="1">
        <v>50.0</v>
      </c>
      <c r="D3047" s="2" t="s">
        <v>581</v>
      </c>
      <c r="E3047" s="1">
        <v>95.0</v>
      </c>
      <c r="F3047" s="1">
        <v>50.0</v>
      </c>
      <c r="G3047" s="1">
        <v>19.89</v>
      </c>
      <c r="H3047" s="1">
        <v>0.0</v>
      </c>
      <c r="I3047" s="1">
        <v>0.0</v>
      </c>
      <c r="J3047" s="1">
        <v>0.0</v>
      </c>
      <c r="K3047" s="1">
        <v>0.91</v>
      </c>
      <c r="L3047" s="1">
        <v>4290000.0</v>
      </c>
      <c r="M3047" s="1" t="s">
        <v>8700</v>
      </c>
      <c r="N3047" s="18">
        <v>46022.0</v>
      </c>
      <c r="O3047" s="1" t="s">
        <v>5815</v>
      </c>
      <c r="P3047" s="1" t="s">
        <v>3257</v>
      </c>
      <c r="Q3047" s="1" t="s">
        <v>3408</v>
      </c>
    </row>
    <row r="3048">
      <c r="A3048" s="1" t="s">
        <v>8701</v>
      </c>
      <c r="B3048" s="1">
        <v>95.0</v>
      </c>
      <c r="C3048" s="1">
        <v>30.0</v>
      </c>
      <c r="D3048" s="2" t="s">
        <v>439</v>
      </c>
      <c r="E3048" s="1">
        <v>95.0</v>
      </c>
      <c r="F3048" s="1">
        <v>16.0</v>
      </c>
      <c r="G3048" s="1">
        <v>8.53</v>
      </c>
      <c r="H3048" s="1">
        <v>0.0</v>
      </c>
      <c r="I3048" s="1">
        <v>0.0</v>
      </c>
      <c r="J3048" s="1">
        <v>0.0</v>
      </c>
      <c r="K3048" s="1">
        <v>0.13</v>
      </c>
      <c r="L3048" s="1">
        <v>228000.0</v>
      </c>
      <c r="M3048" s="1" t="s">
        <v>8702</v>
      </c>
      <c r="N3048" s="18">
        <v>46021.0</v>
      </c>
      <c r="O3048" s="1" t="s">
        <v>3686</v>
      </c>
      <c r="P3048" s="1" t="s">
        <v>3257</v>
      </c>
      <c r="Q3048" s="1" t="s">
        <v>3408</v>
      </c>
    </row>
    <row r="3049">
      <c r="A3049" s="1" t="s">
        <v>6258</v>
      </c>
      <c r="B3049" s="1">
        <v>95.0</v>
      </c>
      <c r="C3049" s="1">
        <v>70.0</v>
      </c>
      <c r="D3049" s="2" t="s">
        <v>439</v>
      </c>
      <c r="E3049" s="1">
        <v>95.0</v>
      </c>
      <c r="F3049" s="1">
        <v>9.0</v>
      </c>
      <c r="G3049" s="1">
        <v>3.39</v>
      </c>
      <c r="H3049" s="1">
        <v>0.0</v>
      </c>
      <c r="I3049" s="1">
        <v>0.0</v>
      </c>
      <c r="J3049" s="1">
        <v>0.0</v>
      </c>
      <c r="K3049" s="1">
        <v>0.07</v>
      </c>
      <c r="L3049" s="1">
        <v>5420.0</v>
      </c>
      <c r="M3049" s="1" t="s">
        <v>6259</v>
      </c>
      <c r="N3049" s="18">
        <v>46020.0</v>
      </c>
      <c r="O3049" s="1" t="s">
        <v>6260</v>
      </c>
      <c r="P3049" s="1" t="s">
        <v>3230</v>
      </c>
      <c r="Q3049" s="1" t="s">
        <v>3408</v>
      </c>
    </row>
    <row r="3050">
      <c r="A3050" s="1" t="s">
        <v>8703</v>
      </c>
      <c r="B3050" s="1">
        <v>95.0</v>
      </c>
      <c r="C3050" s="1">
        <v>30.0</v>
      </c>
      <c r="D3050" s="2" t="s">
        <v>740</v>
      </c>
      <c r="E3050" s="1">
        <v>95.0</v>
      </c>
      <c r="F3050" s="1">
        <v>7.0</v>
      </c>
      <c r="G3050" s="1">
        <v>34.15</v>
      </c>
      <c r="H3050" s="1">
        <v>0.0</v>
      </c>
      <c r="I3050" s="1">
        <v>0.0</v>
      </c>
      <c r="J3050" s="1">
        <v>0.0</v>
      </c>
      <c r="K3050" s="1">
        <v>0.85</v>
      </c>
      <c r="L3050" s="1">
        <v>6.44E7</v>
      </c>
      <c r="M3050" s="1" t="s">
        <v>8704</v>
      </c>
      <c r="N3050" s="18">
        <v>46019.0</v>
      </c>
      <c r="O3050" s="1" t="s">
        <v>8705</v>
      </c>
      <c r="P3050" s="1" t="s">
        <v>3230</v>
      </c>
      <c r="Q3050" s="1" t="s">
        <v>3408</v>
      </c>
    </row>
    <row r="3051">
      <c r="A3051" s="1" t="s">
        <v>4679</v>
      </c>
      <c r="B3051" s="1">
        <v>95.0</v>
      </c>
      <c r="C3051" s="1">
        <v>40.0</v>
      </c>
      <c r="D3051" s="2" t="s">
        <v>439</v>
      </c>
      <c r="E3051" s="1">
        <v>95.0</v>
      </c>
      <c r="F3051" s="1">
        <v>20.0</v>
      </c>
      <c r="G3051" s="1">
        <v>3.22</v>
      </c>
      <c r="H3051" s="1">
        <v>0.0</v>
      </c>
      <c r="I3051" s="1">
        <v>0.0</v>
      </c>
      <c r="J3051" s="1">
        <v>0.0</v>
      </c>
      <c r="K3051" s="1">
        <v>0.21</v>
      </c>
      <c r="L3051" s="1">
        <v>11400.0</v>
      </c>
      <c r="M3051" s="1" t="s">
        <v>4680</v>
      </c>
      <c r="N3051" s="18">
        <v>46017.0</v>
      </c>
      <c r="O3051" s="1" t="s">
        <v>4681</v>
      </c>
      <c r="P3051" s="1" t="s">
        <v>3230</v>
      </c>
      <c r="Q3051" s="1" t="s">
        <v>3408</v>
      </c>
    </row>
    <row r="3052">
      <c r="A3052" s="1" t="s">
        <v>8706</v>
      </c>
      <c r="B3052" s="1">
        <v>95.0</v>
      </c>
      <c r="C3052" s="1">
        <v>110.0</v>
      </c>
      <c r="D3052" s="2" t="s">
        <v>581</v>
      </c>
      <c r="E3052" s="1">
        <v>95.0</v>
      </c>
      <c r="F3052" s="1">
        <v>25.0</v>
      </c>
      <c r="G3052" s="1">
        <v>10.12</v>
      </c>
      <c r="H3052" s="1">
        <v>0.0</v>
      </c>
      <c r="I3052" s="1">
        <v>0.0</v>
      </c>
      <c r="J3052" s="1">
        <v>0.0</v>
      </c>
      <c r="K3052" s="1">
        <v>0.97</v>
      </c>
      <c r="L3052" s="1">
        <v>5960000.0</v>
      </c>
      <c r="M3052" s="1" t="s">
        <v>8707</v>
      </c>
      <c r="N3052" s="18">
        <v>46017.0</v>
      </c>
      <c r="O3052" s="1" t="s">
        <v>3404</v>
      </c>
      <c r="P3052" s="1" t="s">
        <v>3257</v>
      </c>
      <c r="Q3052" s="1" t="s">
        <v>3408</v>
      </c>
    </row>
    <row r="3053">
      <c r="A3053" s="1" t="s">
        <v>3438</v>
      </c>
      <c r="B3053" s="1">
        <v>95.0</v>
      </c>
      <c r="C3053" s="1">
        <v>70.0</v>
      </c>
      <c r="D3053" s="2" t="s">
        <v>447</v>
      </c>
      <c r="E3053" s="1">
        <v>95.0</v>
      </c>
      <c r="F3053" s="1">
        <v>37.0</v>
      </c>
      <c r="G3053" s="1">
        <v>9.29</v>
      </c>
      <c r="H3053" s="1">
        <v>0.0</v>
      </c>
      <c r="I3053" s="1">
        <v>0.0</v>
      </c>
      <c r="J3053" s="1">
        <v>0.0</v>
      </c>
      <c r="K3053" s="1">
        <v>0.49</v>
      </c>
      <c r="L3053" s="1">
        <v>75000.0</v>
      </c>
      <c r="M3053" s="1" t="s">
        <v>3439</v>
      </c>
      <c r="N3053" s="18">
        <v>46017.0</v>
      </c>
      <c r="O3053" s="1" t="s">
        <v>3435</v>
      </c>
      <c r="P3053" s="1" t="s">
        <v>3257</v>
      </c>
      <c r="Q3053" s="1" t="s">
        <v>3408</v>
      </c>
    </row>
    <row r="3054">
      <c r="A3054" s="1" t="s">
        <v>8708</v>
      </c>
      <c r="B3054" s="1">
        <v>95.0</v>
      </c>
      <c r="C3054" s="1">
        <v>90.0</v>
      </c>
      <c r="D3054" s="2" t="s">
        <v>665</v>
      </c>
      <c r="E3054" s="1">
        <v>95.0</v>
      </c>
      <c r="F3054" s="1">
        <v>18.0</v>
      </c>
      <c r="G3054" s="1">
        <v>13.69</v>
      </c>
      <c r="H3054" s="1">
        <v>0.0</v>
      </c>
      <c r="I3054" s="1">
        <v>0.0</v>
      </c>
      <c r="J3054" s="1">
        <v>0.0</v>
      </c>
      <c r="K3054" s="1">
        <v>0.53</v>
      </c>
      <c r="L3054" s="1">
        <v>3380000.0</v>
      </c>
      <c r="M3054" s="1" t="s">
        <v>8709</v>
      </c>
      <c r="N3054" s="18">
        <v>46016.0</v>
      </c>
      <c r="O3054" s="1" t="s">
        <v>3415</v>
      </c>
      <c r="P3054" s="1" t="s">
        <v>3257</v>
      </c>
      <c r="Q3054" s="1" t="s">
        <v>3408</v>
      </c>
    </row>
    <row r="3055">
      <c r="A3055" s="1" t="s">
        <v>8710</v>
      </c>
      <c r="B3055" s="1">
        <v>95.0</v>
      </c>
      <c r="C3055" s="1">
        <v>90.0</v>
      </c>
      <c r="D3055" s="2" t="s">
        <v>600</v>
      </c>
      <c r="E3055" s="1">
        <v>95.0</v>
      </c>
      <c r="F3055" s="1">
        <v>3.0</v>
      </c>
      <c r="G3055" s="1">
        <v>0.0</v>
      </c>
      <c r="H3055" s="1">
        <v>0.0</v>
      </c>
      <c r="I3055" s="1">
        <v>0.0</v>
      </c>
      <c r="J3055" s="1">
        <v>0.0</v>
      </c>
      <c r="K3055" s="1">
        <v>0.12</v>
      </c>
      <c r="L3055" s="1">
        <v>2280000.0</v>
      </c>
      <c r="M3055" s="1" t="s">
        <v>8711</v>
      </c>
      <c r="N3055" s="18">
        <v>46016.0</v>
      </c>
      <c r="O3055" s="1" t="s">
        <v>6142</v>
      </c>
      <c r="P3055" s="1" t="s">
        <v>3230</v>
      </c>
      <c r="Q3055" s="1" t="s">
        <v>3408</v>
      </c>
    </row>
    <row r="3056">
      <c r="A3056" s="1" t="s">
        <v>8712</v>
      </c>
      <c r="B3056" s="1">
        <v>95.0</v>
      </c>
      <c r="C3056" s="1">
        <v>50.0</v>
      </c>
      <c r="D3056" s="2" t="s">
        <v>581</v>
      </c>
      <c r="E3056" s="1">
        <v>95.0</v>
      </c>
      <c r="F3056" s="1">
        <v>50.0</v>
      </c>
      <c r="G3056" s="1">
        <v>19.39</v>
      </c>
      <c r="H3056" s="1">
        <v>0.0</v>
      </c>
      <c r="I3056" s="1">
        <v>0.0</v>
      </c>
      <c r="J3056" s="1">
        <v>0.0</v>
      </c>
      <c r="K3056" s="1">
        <v>0.78</v>
      </c>
      <c r="L3056" s="1">
        <v>1.32E7</v>
      </c>
      <c r="M3056" s="1" t="s">
        <v>8713</v>
      </c>
      <c r="N3056" s="18">
        <v>46016.0</v>
      </c>
      <c r="O3056" s="1" t="s">
        <v>3854</v>
      </c>
      <c r="P3056" s="1" t="s">
        <v>3257</v>
      </c>
      <c r="Q3056" s="1" t="s">
        <v>3408</v>
      </c>
    </row>
    <row r="3057">
      <c r="A3057" s="1" t="s">
        <v>8714</v>
      </c>
      <c r="B3057" s="1">
        <v>95.0</v>
      </c>
      <c r="C3057" s="1">
        <v>30.0</v>
      </c>
      <c r="D3057" s="2" t="s">
        <v>439</v>
      </c>
      <c r="E3057" s="1">
        <v>95.0</v>
      </c>
      <c r="F3057" s="1">
        <v>22.0</v>
      </c>
      <c r="G3057" s="1">
        <v>3.7</v>
      </c>
      <c r="H3057" s="1">
        <v>0.0</v>
      </c>
      <c r="I3057" s="1">
        <v>0.0</v>
      </c>
      <c r="J3057" s="1">
        <v>0.0</v>
      </c>
      <c r="K3057" s="1">
        <v>0.12</v>
      </c>
      <c r="L3057" s="1">
        <v>1480.0</v>
      </c>
      <c r="M3057" s="1" t="s">
        <v>4770</v>
      </c>
      <c r="N3057" s="18">
        <v>46015.0</v>
      </c>
      <c r="O3057" s="1" t="s">
        <v>8715</v>
      </c>
      <c r="P3057" s="1" t="s">
        <v>3294</v>
      </c>
      <c r="Q3057" s="1" t="s">
        <v>3408</v>
      </c>
    </row>
    <row r="3058">
      <c r="A3058" s="1" t="s">
        <v>8716</v>
      </c>
      <c r="B3058" s="1">
        <v>95.0</v>
      </c>
      <c r="C3058" s="1">
        <v>40.0</v>
      </c>
      <c r="D3058" s="2" t="s">
        <v>2937</v>
      </c>
      <c r="E3058" s="1">
        <v>95.0</v>
      </c>
      <c r="F3058" s="1">
        <v>23.0</v>
      </c>
      <c r="G3058" s="1">
        <v>6.56</v>
      </c>
      <c r="H3058" s="1">
        <v>0.0</v>
      </c>
      <c r="I3058" s="1">
        <v>0.0</v>
      </c>
      <c r="J3058" s="1">
        <v>0.0</v>
      </c>
      <c r="K3058" s="1">
        <v>0.06</v>
      </c>
      <c r="L3058" s="1">
        <v>5770000.0</v>
      </c>
      <c r="M3058" s="1" t="s">
        <v>8717</v>
      </c>
      <c r="N3058" s="18">
        <v>46015.0</v>
      </c>
      <c r="O3058" s="1" t="s">
        <v>3713</v>
      </c>
      <c r="P3058" s="1" t="s">
        <v>3257</v>
      </c>
      <c r="Q3058" s="1" t="s">
        <v>3408</v>
      </c>
    </row>
    <row r="3059">
      <c r="A3059" s="1" t="s">
        <v>3972</v>
      </c>
      <c r="B3059" s="1">
        <v>95.0</v>
      </c>
      <c r="C3059" s="1">
        <v>50.0</v>
      </c>
      <c r="D3059" s="2" t="s">
        <v>1210</v>
      </c>
      <c r="E3059" s="1">
        <v>95.0</v>
      </c>
      <c r="F3059" s="1">
        <v>6.0</v>
      </c>
      <c r="G3059" s="1">
        <v>0.0</v>
      </c>
      <c r="H3059" s="1">
        <v>0.0</v>
      </c>
      <c r="I3059" s="1">
        <v>0.0</v>
      </c>
      <c r="J3059" s="1">
        <v>0.0</v>
      </c>
      <c r="K3059" s="1">
        <v>0.0</v>
      </c>
      <c r="L3059" s="1">
        <v>15300.0</v>
      </c>
      <c r="M3059" s="1" t="s">
        <v>3973</v>
      </c>
      <c r="N3059" s="18">
        <v>46015.0</v>
      </c>
      <c r="O3059" s="1" t="s">
        <v>3974</v>
      </c>
      <c r="P3059" s="1" t="s">
        <v>3257</v>
      </c>
      <c r="Q3059" s="1" t="s">
        <v>3408</v>
      </c>
    </row>
    <row r="3060">
      <c r="A3060" s="1" t="s">
        <v>4175</v>
      </c>
      <c r="B3060" s="1">
        <v>95.0</v>
      </c>
      <c r="C3060" s="1">
        <v>50.0</v>
      </c>
      <c r="D3060" s="2" t="s">
        <v>439</v>
      </c>
      <c r="E3060" s="1">
        <v>95.0</v>
      </c>
      <c r="F3060" s="1">
        <v>20.0</v>
      </c>
      <c r="G3060" s="1">
        <v>2.95</v>
      </c>
      <c r="H3060" s="1">
        <v>0.0</v>
      </c>
      <c r="I3060" s="1">
        <v>0.0</v>
      </c>
      <c r="J3060" s="1">
        <v>0.0</v>
      </c>
      <c r="K3060" s="1">
        <v>0.18</v>
      </c>
      <c r="L3060" s="1">
        <v>4.59E7</v>
      </c>
      <c r="M3060" s="1" t="s">
        <v>4176</v>
      </c>
      <c r="N3060" s="18">
        <v>46014.0</v>
      </c>
      <c r="O3060" s="1" t="s">
        <v>4177</v>
      </c>
      <c r="P3060" s="1" t="s">
        <v>3294</v>
      </c>
      <c r="Q3060" s="1" t="s">
        <v>3408</v>
      </c>
    </row>
    <row r="3061">
      <c r="A3061" s="1" t="s">
        <v>8718</v>
      </c>
      <c r="B3061" s="1">
        <v>95.0</v>
      </c>
      <c r="C3061" s="1">
        <v>50.0</v>
      </c>
      <c r="D3061" s="2" t="s">
        <v>600</v>
      </c>
      <c r="E3061" s="1">
        <v>95.0</v>
      </c>
      <c r="F3061" s="1">
        <v>0.0</v>
      </c>
      <c r="G3061" s="1">
        <v>0.0</v>
      </c>
      <c r="H3061" s="1">
        <v>0.0</v>
      </c>
      <c r="I3061" s="1">
        <v>0.0</v>
      </c>
      <c r="J3061" s="1">
        <v>0.0</v>
      </c>
      <c r="K3061" s="1">
        <v>0.0</v>
      </c>
      <c r="L3061" s="1">
        <v>2250000.0</v>
      </c>
      <c r="M3061" s="1" t="s">
        <v>8719</v>
      </c>
      <c r="N3061" s="18">
        <v>46012.0</v>
      </c>
      <c r="O3061" s="1" t="s">
        <v>6142</v>
      </c>
      <c r="P3061" s="1" t="s">
        <v>3230</v>
      </c>
      <c r="Q3061" s="1" t="s">
        <v>3408</v>
      </c>
    </row>
    <row r="3062">
      <c r="A3062" s="1" t="s">
        <v>8720</v>
      </c>
      <c r="B3062" s="1">
        <v>95.0</v>
      </c>
      <c r="C3062" s="1">
        <v>140.0</v>
      </c>
      <c r="D3062" s="2" t="s">
        <v>839</v>
      </c>
      <c r="E3062" s="1">
        <v>95.0</v>
      </c>
      <c r="F3062" s="1">
        <v>35.0</v>
      </c>
      <c r="G3062" s="1">
        <v>0.0</v>
      </c>
      <c r="H3062" s="1">
        <v>0.0</v>
      </c>
      <c r="I3062" s="1">
        <v>0.0</v>
      </c>
      <c r="J3062" s="1">
        <v>0.0</v>
      </c>
      <c r="K3062" s="1">
        <v>0.01</v>
      </c>
      <c r="L3062" s="1">
        <v>1360000.0</v>
      </c>
      <c r="M3062" s="1" t="s">
        <v>8721</v>
      </c>
      <c r="N3062" s="18">
        <v>46010.0</v>
      </c>
      <c r="O3062" s="1" t="s">
        <v>3314</v>
      </c>
      <c r="P3062" s="1" t="s">
        <v>3230</v>
      </c>
      <c r="Q3062" s="1" t="s">
        <v>3408</v>
      </c>
    </row>
    <row r="3063">
      <c r="A3063" s="1" t="s">
        <v>8722</v>
      </c>
      <c r="B3063" s="1">
        <v>95.0</v>
      </c>
      <c r="C3063" s="1">
        <v>110.0</v>
      </c>
      <c r="D3063" s="2" t="s">
        <v>447</v>
      </c>
      <c r="E3063" s="1">
        <v>95.0</v>
      </c>
      <c r="F3063" s="1">
        <v>20.0</v>
      </c>
      <c r="G3063" s="1">
        <v>4.66</v>
      </c>
      <c r="H3063" s="1">
        <v>0.0</v>
      </c>
      <c r="I3063" s="1">
        <v>0.0</v>
      </c>
      <c r="J3063" s="1">
        <v>0.0</v>
      </c>
      <c r="K3063" s="1">
        <v>0.51</v>
      </c>
      <c r="L3063" s="1">
        <v>222000.0</v>
      </c>
      <c r="M3063" s="1" t="s">
        <v>8723</v>
      </c>
      <c r="N3063" s="18">
        <v>46010.0</v>
      </c>
      <c r="O3063" s="1" t="s">
        <v>5744</v>
      </c>
      <c r="P3063" s="1" t="s">
        <v>3257</v>
      </c>
      <c r="Q3063" s="1" t="s">
        <v>3408</v>
      </c>
    </row>
    <row r="3064">
      <c r="A3064" s="1" t="s">
        <v>8724</v>
      </c>
      <c r="B3064" s="1">
        <v>95.0</v>
      </c>
      <c r="C3064" s="1">
        <v>30.0</v>
      </c>
      <c r="D3064" s="2" t="s">
        <v>439</v>
      </c>
      <c r="E3064" s="1">
        <v>95.0</v>
      </c>
      <c r="F3064" s="1">
        <v>10.0</v>
      </c>
      <c r="G3064" s="1">
        <v>4.18</v>
      </c>
      <c r="H3064" s="1">
        <v>0.0</v>
      </c>
      <c r="I3064" s="1">
        <v>0.0</v>
      </c>
      <c r="J3064" s="1">
        <v>0.0</v>
      </c>
      <c r="K3064" s="1">
        <v>0.63</v>
      </c>
      <c r="L3064" s="1">
        <v>54300.0</v>
      </c>
      <c r="M3064" s="1" t="s">
        <v>8725</v>
      </c>
      <c r="N3064" s="18">
        <v>46007.0</v>
      </c>
      <c r="O3064" s="1" t="s">
        <v>4006</v>
      </c>
      <c r="P3064" s="1" t="s">
        <v>3257</v>
      </c>
      <c r="Q3064" s="1" t="s">
        <v>3408</v>
      </c>
    </row>
    <row r="3065">
      <c r="A3065" s="1" t="s">
        <v>8726</v>
      </c>
      <c r="B3065" s="1">
        <v>95.0</v>
      </c>
      <c r="C3065" s="1">
        <v>90.0</v>
      </c>
      <c r="D3065" s="2" t="s">
        <v>776</v>
      </c>
      <c r="E3065" s="1">
        <v>95.0</v>
      </c>
      <c r="F3065" s="1">
        <v>18.0</v>
      </c>
      <c r="G3065" s="1">
        <v>0.0</v>
      </c>
      <c r="H3065" s="1">
        <v>0.0</v>
      </c>
      <c r="I3065" s="1">
        <v>0.0</v>
      </c>
      <c r="J3065" s="1">
        <v>0.0</v>
      </c>
      <c r="K3065" s="1">
        <v>0.06</v>
      </c>
      <c r="L3065" s="1">
        <v>6060000.0</v>
      </c>
      <c r="M3065" s="1" t="s">
        <v>8727</v>
      </c>
      <c r="N3065" s="18">
        <v>46007.0</v>
      </c>
      <c r="O3065" s="1" t="s">
        <v>3479</v>
      </c>
      <c r="P3065" s="1" t="s">
        <v>3257</v>
      </c>
      <c r="Q3065" s="1" t="s">
        <v>3408</v>
      </c>
    </row>
    <row r="3066">
      <c r="A3066" s="1" t="s">
        <v>8728</v>
      </c>
      <c r="B3066" s="1">
        <v>95.0</v>
      </c>
      <c r="C3066" s="1">
        <v>70.0</v>
      </c>
      <c r="D3066" s="2" t="s">
        <v>581</v>
      </c>
      <c r="E3066" s="1">
        <v>95.0</v>
      </c>
      <c r="F3066" s="1">
        <v>16.0</v>
      </c>
      <c r="G3066" s="1">
        <v>2.22</v>
      </c>
      <c r="H3066" s="1">
        <v>0.0</v>
      </c>
      <c r="I3066" s="1">
        <v>0.0</v>
      </c>
      <c r="J3066" s="1">
        <v>0.0</v>
      </c>
      <c r="K3066" s="1">
        <v>0.09</v>
      </c>
      <c r="L3066" s="1">
        <v>1.09E7</v>
      </c>
      <c r="M3066" s="1" t="s">
        <v>8729</v>
      </c>
      <c r="N3066" s="18">
        <v>46007.0</v>
      </c>
      <c r="O3066" s="1" t="s">
        <v>3432</v>
      </c>
      <c r="P3066" s="1" t="s">
        <v>3462</v>
      </c>
      <c r="Q3066" s="1" t="s">
        <v>3408</v>
      </c>
    </row>
    <row r="3067">
      <c r="A3067" s="1" t="s">
        <v>8730</v>
      </c>
      <c r="B3067" s="1">
        <v>95.0</v>
      </c>
      <c r="C3067" s="1">
        <v>140.0</v>
      </c>
      <c r="D3067" s="2" t="s">
        <v>581</v>
      </c>
      <c r="E3067" s="1">
        <v>95.0</v>
      </c>
      <c r="F3067" s="1">
        <v>50.0</v>
      </c>
      <c r="G3067" s="1">
        <v>20.83</v>
      </c>
      <c r="H3067" s="1">
        <v>0.0</v>
      </c>
      <c r="I3067" s="1">
        <v>0.0</v>
      </c>
      <c r="J3067" s="1">
        <v>0.0</v>
      </c>
      <c r="K3067" s="1">
        <v>0.85</v>
      </c>
      <c r="L3067" s="1">
        <v>2.99E7</v>
      </c>
      <c r="M3067" s="1" t="s">
        <v>8731</v>
      </c>
      <c r="N3067" s="18">
        <v>46005.0</v>
      </c>
      <c r="O3067" s="1" t="s">
        <v>4390</v>
      </c>
      <c r="P3067" s="1" t="s">
        <v>3257</v>
      </c>
      <c r="Q3067" s="1" t="s">
        <v>3408</v>
      </c>
    </row>
    <row r="3068">
      <c r="A3068" s="1" t="s">
        <v>8732</v>
      </c>
      <c r="B3068" s="1">
        <v>95.0</v>
      </c>
      <c r="C3068" s="1">
        <v>40.0</v>
      </c>
      <c r="D3068" s="2" t="s">
        <v>728</v>
      </c>
      <c r="E3068" s="1">
        <v>95.0</v>
      </c>
      <c r="F3068" s="1">
        <v>0.0</v>
      </c>
      <c r="G3068" s="1">
        <v>0.0</v>
      </c>
      <c r="H3068" s="1">
        <v>0.0</v>
      </c>
      <c r="I3068" s="1">
        <v>0.0</v>
      </c>
      <c r="J3068" s="1">
        <v>0.0</v>
      </c>
      <c r="K3068" s="1">
        <v>0.14</v>
      </c>
      <c r="L3068" s="1">
        <v>3.35E7</v>
      </c>
      <c r="M3068" s="1" t="s">
        <v>8733</v>
      </c>
      <c r="N3068" s="18">
        <v>46002.0</v>
      </c>
      <c r="O3068" s="1" t="s">
        <v>8734</v>
      </c>
      <c r="P3068" s="1" t="s">
        <v>3230</v>
      </c>
      <c r="Q3068" s="1" t="s">
        <v>3408</v>
      </c>
    </row>
    <row r="3069">
      <c r="A3069" s="1" t="s">
        <v>8735</v>
      </c>
      <c r="B3069" s="1">
        <v>95.0</v>
      </c>
      <c r="C3069" s="1">
        <v>30.0</v>
      </c>
      <c r="D3069" s="2" t="s">
        <v>581</v>
      </c>
      <c r="E3069" s="1">
        <v>95.0</v>
      </c>
      <c r="F3069" s="1">
        <v>9.0</v>
      </c>
      <c r="G3069" s="1">
        <v>17.38</v>
      </c>
      <c r="H3069" s="1">
        <v>0.0</v>
      </c>
      <c r="I3069" s="1">
        <v>0.0</v>
      </c>
      <c r="J3069" s="1">
        <v>0.0</v>
      </c>
      <c r="K3069" s="1">
        <v>0.78</v>
      </c>
      <c r="L3069" s="1">
        <v>1290000.0</v>
      </c>
      <c r="M3069" s="1" t="s">
        <v>8736</v>
      </c>
      <c r="N3069" s="18">
        <v>46002.0</v>
      </c>
      <c r="O3069" s="1" t="s">
        <v>8737</v>
      </c>
      <c r="P3069" s="1" t="s">
        <v>3257</v>
      </c>
      <c r="Q3069" s="1" t="s">
        <v>3408</v>
      </c>
    </row>
    <row r="3070">
      <c r="A3070" s="1" t="s">
        <v>8738</v>
      </c>
      <c r="B3070" s="1">
        <v>95.0</v>
      </c>
      <c r="C3070" s="1">
        <v>170.0</v>
      </c>
      <c r="D3070" s="2" t="s">
        <v>581</v>
      </c>
      <c r="E3070" s="1">
        <v>95.0</v>
      </c>
      <c r="F3070" s="1">
        <v>50.0</v>
      </c>
      <c r="G3070" s="1">
        <v>4.99</v>
      </c>
      <c r="H3070" s="1">
        <v>0.0</v>
      </c>
      <c r="I3070" s="1">
        <v>0.0</v>
      </c>
      <c r="J3070" s="1">
        <v>0.0</v>
      </c>
      <c r="K3070" s="1">
        <v>0.84</v>
      </c>
      <c r="L3070" s="1">
        <v>5960000.0</v>
      </c>
      <c r="M3070" s="1" t="s">
        <v>8739</v>
      </c>
      <c r="N3070" s="18">
        <v>45999.0</v>
      </c>
      <c r="O3070" s="1" t="s">
        <v>4887</v>
      </c>
      <c r="P3070" s="1" t="s">
        <v>3257</v>
      </c>
      <c r="Q3070" s="1" t="s">
        <v>3408</v>
      </c>
    </row>
    <row r="3071">
      <c r="A3071" s="1" t="s">
        <v>4438</v>
      </c>
      <c r="B3071" s="1">
        <v>95.0</v>
      </c>
      <c r="C3071" s="1">
        <v>50.0</v>
      </c>
      <c r="D3071" s="2" t="s">
        <v>439</v>
      </c>
      <c r="E3071" s="1">
        <v>95.0</v>
      </c>
      <c r="F3071" s="1">
        <v>14.0</v>
      </c>
      <c r="G3071" s="1">
        <v>4.07</v>
      </c>
      <c r="H3071" s="1">
        <v>0.0</v>
      </c>
      <c r="I3071" s="1">
        <v>0.0</v>
      </c>
      <c r="J3071" s="1">
        <v>0.0</v>
      </c>
      <c r="K3071" s="1">
        <v>0.2</v>
      </c>
      <c r="L3071" s="1">
        <v>758.0</v>
      </c>
      <c r="M3071" s="1" t="s">
        <v>4439</v>
      </c>
      <c r="N3071" s="18">
        <v>45996.0</v>
      </c>
      <c r="O3071" s="1" t="s">
        <v>4440</v>
      </c>
      <c r="P3071" s="1" t="s">
        <v>3230</v>
      </c>
      <c r="Q3071" s="1" t="s">
        <v>3408</v>
      </c>
    </row>
    <row r="3072">
      <c r="A3072" s="1" t="s">
        <v>8740</v>
      </c>
      <c r="B3072" s="1">
        <v>95.0</v>
      </c>
      <c r="C3072" s="1">
        <v>210.0</v>
      </c>
      <c r="D3072" s="2" t="s">
        <v>1012</v>
      </c>
      <c r="E3072" s="1">
        <v>95.0</v>
      </c>
      <c r="F3072" s="1">
        <v>16.0</v>
      </c>
      <c r="G3072" s="1">
        <v>0.0</v>
      </c>
      <c r="H3072" s="1">
        <v>0.0</v>
      </c>
      <c r="I3072" s="1">
        <v>0.0</v>
      </c>
      <c r="J3072" s="1">
        <v>0.0</v>
      </c>
      <c r="K3072" s="1">
        <v>0.0</v>
      </c>
      <c r="L3072" s="1">
        <v>2.69E8</v>
      </c>
      <c r="M3072" s="1" t="s">
        <v>8741</v>
      </c>
      <c r="N3072" s="18">
        <v>45995.0</v>
      </c>
      <c r="O3072" s="1" t="s">
        <v>8742</v>
      </c>
      <c r="P3072" s="1" t="s">
        <v>3230</v>
      </c>
      <c r="Q3072" s="1" t="s">
        <v>3408</v>
      </c>
    </row>
    <row r="3073">
      <c r="A3073" s="1" t="s">
        <v>8743</v>
      </c>
      <c r="B3073" s="1">
        <v>95.0</v>
      </c>
      <c r="C3073" s="1">
        <v>90.0</v>
      </c>
      <c r="D3073" s="2" t="s">
        <v>671</v>
      </c>
      <c r="E3073" s="1">
        <v>95.0</v>
      </c>
      <c r="F3073" s="1">
        <v>1.0</v>
      </c>
      <c r="G3073" s="1">
        <v>0.0</v>
      </c>
      <c r="H3073" s="1">
        <v>0.0</v>
      </c>
      <c r="I3073" s="1">
        <v>0.0</v>
      </c>
      <c r="J3073" s="1">
        <v>0.0</v>
      </c>
      <c r="K3073" s="1">
        <v>0.14</v>
      </c>
      <c r="L3073" s="1">
        <v>8830000.0</v>
      </c>
      <c r="M3073" s="1" t="s">
        <v>8744</v>
      </c>
      <c r="N3073" s="18">
        <v>45994.0</v>
      </c>
      <c r="O3073" s="1" t="s">
        <v>4643</v>
      </c>
      <c r="P3073" s="1" t="s">
        <v>3257</v>
      </c>
      <c r="Q3073" s="1" t="s">
        <v>3408</v>
      </c>
    </row>
    <row r="3074">
      <c r="A3074" s="1" t="s">
        <v>5299</v>
      </c>
      <c r="B3074" s="1">
        <v>95.0</v>
      </c>
      <c r="C3074" s="1">
        <v>70.0</v>
      </c>
      <c r="D3074" s="2" t="s">
        <v>993</v>
      </c>
      <c r="E3074" s="1">
        <v>95.0</v>
      </c>
      <c r="F3074" s="1">
        <v>38.0</v>
      </c>
      <c r="G3074" s="1">
        <v>16.4</v>
      </c>
      <c r="H3074" s="1">
        <v>0.0</v>
      </c>
      <c r="I3074" s="1">
        <v>0.0</v>
      </c>
      <c r="J3074" s="1">
        <v>0.0</v>
      </c>
      <c r="K3074" s="1">
        <v>0.59</v>
      </c>
      <c r="L3074" s="1">
        <v>43400.0</v>
      </c>
      <c r="M3074" s="1" t="s">
        <v>5300</v>
      </c>
      <c r="N3074" s="18">
        <v>45993.0</v>
      </c>
      <c r="O3074" s="1" t="s">
        <v>4165</v>
      </c>
      <c r="P3074" s="1" t="s">
        <v>3257</v>
      </c>
      <c r="Q3074" s="1" t="s">
        <v>3408</v>
      </c>
    </row>
    <row r="3075">
      <c r="A3075" s="1" t="s">
        <v>8745</v>
      </c>
      <c r="B3075" s="1">
        <v>95.0</v>
      </c>
      <c r="C3075" s="1">
        <v>90.0</v>
      </c>
      <c r="D3075" s="2" t="s">
        <v>718</v>
      </c>
      <c r="E3075" s="1">
        <v>95.0</v>
      </c>
      <c r="F3075" s="1">
        <v>9.0</v>
      </c>
      <c r="G3075" s="1">
        <v>0.0</v>
      </c>
      <c r="H3075" s="1">
        <v>0.0</v>
      </c>
      <c r="I3075" s="1">
        <v>0.0</v>
      </c>
      <c r="J3075" s="1">
        <v>0.0</v>
      </c>
      <c r="K3075" s="1">
        <v>0.0</v>
      </c>
      <c r="L3075" s="1">
        <v>10.0</v>
      </c>
      <c r="M3075" s="1" t="s">
        <v>8746</v>
      </c>
      <c r="N3075" s="18">
        <v>45986.0</v>
      </c>
      <c r="P3075" s="1" t="s">
        <v>3334</v>
      </c>
      <c r="Q3075" s="1" t="s">
        <v>3408</v>
      </c>
    </row>
    <row r="3076">
      <c r="A3076" s="1" t="s">
        <v>8747</v>
      </c>
      <c r="B3076" s="1">
        <v>95.0</v>
      </c>
      <c r="C3076" s="1">
        <v>70.0</v>
      </c>
      <c r="D3076" s="2" t="s">
        <v>439</v>
      </c>
      <c r="E3076" s="1">
        <v>95.0</v>
      </c>
      <c r="F3076" s="1">
        <v>15.0</v>
      </c>
      <c r="G3076" s="1">
        <v>0.0</v>
      </c>
      <c r="H3076" s="1">
        <v>0.0</v>
      </c>
      <c r="I3076" s="1">
        <v>0.0</v>
      </c>
      <c r="J3076" s="1">
        <v>0.0</v>
      </c>
      <c r="K3076" s="1">
        <v>0.02</v>
      </c>
      <c r="L3076" s="1">
        <v>693000.0</v>
      </c>
      <c r="M3076" s="1" t="s">
        <v>8748</v>
      </c>
      <c r="N3076" s="18">
        <v>45985.0</v>
      </c>
      <c r="O3076" s="1" t="s">
        <v>6059</v>
      </c>
      <c r="P3076" s="1" t="s">
        <v>3301</v>
      </c>
      <c r="Q3076" s="1" t="s">
        <v>3408</v>
      </c>
    </row>
    <row r="3077">
      <c r="A3077" s="1" t="s">
        <v>3557</v>
      </c>
      <c r="B3077" s="1">
        <v>95.0</v>
      </c>
      <c r="C3077" s="1">
        <v>170.0</v>
      </c>
      <c r="D3077" s="2" t="s">
        <v>636</v>
      </c>
      <c r="E3077" s="1">
        <v>95.0</v>
      </c>
      <c r="F3077" s="1">
        <v>10.0</v>
      </c>
      <c r="G3077" s="1">
        <v>10.08</v>
      </c>
      <c r="H3077" s="1">
        <v>0.0</v>
      </c>
      <c r="I3077" s="1">
        <v>0.0</v>
      </c>
      <c r="J3077" s="1">
        <v>0.0</v>
      </c>
      <c r="K3077" s="1">
        <v>0.13</v>
      </c>
      <c r="L3077" s="1">
        <v>8.0</v>
      </c>
      <c r="M3077" s="1" t="s">
        <v>3558</v>
      </c>
      <c r="N3077" s="18">
        <v>45984.0</v>
      </c>
      <c r="O3077" s="1" t="s">
        <v>3415</v>
      </c>
      <c r="P3077" s="1" t="s">
        <v>3257</v>
      </c>
      <c r="Q3077" s="1" t="s">
        <v>3408</v>
      </c>
    </row>
    <row r="3078">
      <c r="A3078" s="1" t="s">
        <v>3615</v>
      </c>
      <c r="B3078" s="1">
        <v>96.0</v>
      </c>
      <c r="C3078" s="1">
        <v>70.0</v>
      </c>
      <c r="D3078" s="2" t="s">
        <v>594</v>
      </c>
      <c r="E3078" s="1">
        <v>27.0</v>
      </c>
      <c r="F3078" s="1">
        <v>29.0</v>
      </c>
      <c r="G3078" s="1">
        <v>0.0</v>
      </c>
      <c r="H3078" s="1">
        <v>0.0</v>
      </c>
      <c r="I3078" s="1">
        <v>0.0</v>
      </c>
      <c r="J3078" s="1">
        <v>0.0</v>
      </c>
      <c r="K3078" s="1">
        <v>0.03</v>
      </c>
      <c r="L3078" s="1">
        <v>2.33E8</v>
      </c>
      <c r="M3078" s="1" t="s">
        <v>3616</v>
      </c>
      <c r="N3078" s="18">
        <v>46042.0</v>
      </c>
      <c r="O3078" s="1" t="s">
        <v>3617</v>
      </c>
      <c r="P3078" s="1" t="s">
        <v>3294</v>
      </c>
      <c r="Q3078" s="1" t="s">
        <v>3408</v>
      </c>
    </row>
    <row r="3079">
      <c r="A3079" s="1" t="s">
        <v>7235</v>
      </c>
      <c r="B3079" s="1">
        <v>96.0</v>
      </c>
      <c r="C3079" s="1">
        <v>30.0</v>
      </c>
      <c r="D3079" s="2" t="s">
        <v>681</v>
      </c>
      <c r="E3079" s="1">
        <v>96.0</v>
      </c>
      <c r="F3079" s="1">
        <v>7.0</v>
      </c>
      <c r="G3079" s="1">
        <v>1.12</v>
      </c>
      <c r="H3079" s="1">
        <v>0.0</v>
      </c>
      <c r="I3079" s="1">
        <v>0.0</v>
      </c>
      <c r="J3079" s="1">
        <v>0.0</v>
      </c>
      <c r="K3079" s="1">
        <v>0.17</v>
      </c>
      <c r="L3079" s="1">
        <v>1.79E7</v>
      </c>
      <c r="M3079" s="1" t="s">
        <v>7236</v>
      </c>
      <c r="N3079" s="18">
        <v>46039.0</v>
      </c>
      <c r="O3079" s="1" t="s">
        <v>3264</v>
      </c>
      <c r="P3079" s="1" t="s">
        <v>3230</v>
      </c>
      <c r="Q3079" s="1" t="s">
        <v>3408</v>
      </c>
    </row>
    <row r="3080">
      <c r="A3080" s="1" t="s">
        <v>8749</v>
      </c>
      <c r="B3080" s="1">
        <v>96.0</v>
      </c>
      <c r="C3080" s="1">
        <v>90.0</v>
      </c>
      <c r="D3080" s="2" t="s">
        <v>746</v>
      </c>
      <c r="E3080" s="1">
        <v>96.0</v>
      </c>
      <c r="F3080" s="1">
        <v>18.0</v>
      </c>
      <c r="G3080" s="1">
        <v>0.0</v>
      </c>
      <c r="H3080" s="1">
        <v>0.0</v>
      </c>
      <c r="I3080" s="1">
        <v>0.0</v>
      </c>
      <c r="J3080" s="1">
        <v>0.0</v>
      </c>
      <c r="K3080" s="1">
        <v>0.01</v>
      </c>
      <c r="L3080" s="1">
        <v>377000.0</v>
      </c>
      <c r="M3080" s="1" t="s">
        <v>8750</v>
      </c>
      <c r="N3080" s="18">
        <v>46038.0</v>
      </c>
      <c r="O3080" s="1" t="s">
        <v>4646</v>
      </c>
      <c r="P3080" s="1" t="s">
        <v>3257</v>
      </c>
      <c r="Q3080" s="1" t="s">
        <v>3408</v>
      </c>
    </row>
    <row r="3081">
      <c r="A3081" s="1" t="s">
        <v>8095</v>
      </c>
      <c r="B3081" s="1">
        <v>96.0</v>
      </c>
      <c r="C3081" s="1">
        <v>50.0</v>
      </c>
      <c r="D3081" s="2" t="s">
        <v>581</v>
      </c>
      <c r="E3081" s="1">
        <v>96.0</v>
      </c>
      <c r="F3081" s="1">
        <v>33.0</v>
      </c>
      <c r="G3081" s="1">
        <v>0.0</v>
      </c>
      <c r="H3081" s="1">
        <v>0.0</v>
      </c>
      <c r="I3081" s="1">
        <v>0.0</v>
      </c>
      <c r="J3081" s="1">
        <v>0.0</v>
      </c>
      <c r="K3081" s="1">
        <v>0.36</v>
      </c>
      <c r="L3081" s="1">
        <v>634000.0</v>
      </c>
      <c r="M3081" s="1" t="s">
        <v>8096</v>
      </c>
      <c r="N3081" s="18">
        <v>46037.0</v>
      </c>
      <c r="O3081" s="1" t="s">
        <v>4255</v>
      </c>
      <c r="P3081" s="1" t="s">
        <v>3257</v>
      </c>
      <c r="Q3081" s="1" t="s">
        <v>3408</v>
      </c>
    </row>
    <row r="3082">
      <c r="A3082" s="1" t="s">
        <v>8751</v>
      </c>
      <c r="B3082" s="1">
        <v>96.0</v>
      </c>
      <c r="C3082" s="1">
        <v>90.0</v>
      </c>
      <c r="D3082" s="2" t="s">
        <v>439</v>
      </c>
      <c r="E3082" s="1">
        <v>96.0</v>
      </c>
      <c r="F3082" s="1">
        <v>18.0</v>
      </c>
      <c r="G3082" s="1">
        <v>1.66</v>
      </c>
      <c r="H3082" s="1">
        <v>0.0</v>
      </c>
      <c r="I3082" s="1">
        <v>0.0</v>
      </c>
      <c r="J3082" s="1">
        <v>0.0</v>
      </c>
      <c r="K3082" s="1">
        <v>0.07</v>
      </c>
      <c r="L3082" s="1">
        <v>9350000.0</v>
      </c>
      <c r="M3082" s="1" t="s">
        <v>8752</v>
      </c>
      <c r="N3082" s="18">
        <v>46035.0</v>
      </c>
      <c r="O3082" s="1" t="s">
        <v>3650</v>
      </c>
      <c r="P3082" s="1" t="s">
        <v>3294</v>
      </c>
      <c r="Q3082" s="1" t="s">
        <v>3408</v>
      </c>
    </row>
    <row r="3083">
      <c r="A3083" s="1" t="s">
        <v>4951</v>
      </c>
      <c r="B3083" s="1">
        <v>96.0</v>
      </c>
      <c r="C3083" s="1">
        <v>260.0</v>
      </c>
      <c r="D3083" s="2" t="s">
        <v>1986</v>
      </c>
      <c r="E3083" s="1">
        <v>96.0</v>
      </c>
      <c r="F3083" s="1">
        <v>9.0</v>
      </c>
      <c r="G3083" s="1">
        <v>6.92</v>
      </c>
      <c r="H3083" s="1">
        <v>0.0</v>
      </c>
      <c r="I3083" s="1">
        <v>0.0</v>
      </c>
      <c r="J3083" s="1">
        <v>0.0</v>
      </c>
      <c r="K3083" s="1">
        <v>0.27</v>
      </c>
      <c r="L3083" s="1">
        <v>1240000.0</v>
      </c>
      <c r="M3083" s="1" t="s">
        <v>4952</v>
      </c>
      <c r="N3083" s="18">
        <v>46033.0</v>
      </c>
      <c r="O3083" s="1" t="s">
        <v>3264</v>
      </c>
      <c r="P3083" s="1" t="s">
        <v>3230</v>
      </c>
      <c r="Q3083" s="1" t="s">
        <v>3408</v>
      </c>
    </row>
    <row r="3084">
      <c r="A3084" s="1" t="s">
        <v>8753</v>
      </c>
      <c r="B3084" s="1">
        <v>96.0</v>
      </c>
      <c r="C3084" s="1">
        <v>40.0</v>
      </c>
      <c r="D3084" s="2" t="s">
        <v>687</v>
      </c>
      <c r="E3084" s="1">
        <v>96.0</v>
      </c>
      <c r="F3084" s="1">
        <v>17.0</v>
      </c>
      <c r="G3084" s="1">
        <v>0.0</v>
      </c>
      <c r="H3084" s="1">
        <v>0.0</v>
      </c>
      <c r="I3084" s="1">
        <v>0.0</v>
      </c>
      <c r="J3084" s="1">
        <v>0.0</v>
      </c>
      <c r="K3084" s="1">
        <v>0.33</v>
      </c>
      <c r="L3084" s="1">
        <v>7020000.0</v>
      </c>
      <c r="M3084" s="1" t="s">
        <v>8754</v>
      </c>
      <c r="N3084" s="18">
        <v>46031.0</v>
      </c>
      <c r="O3084" s="1" t="s">
        <v>6996</v>
      </c>
      <c r="P3084" s="1" t="s">
        <v>3294</v>
      </c>
      <c r="Q3084" s="1" t="s">
        <v>3408</v>
      </c>
    </row>
    <row r="3085">
      <c r="A3085" s="1" t="s">
        <v>3353</v>
      </c>
      <c r="B3085" s="1">
        <v>96.0</v>
      </c>
      <c r="C3085" s="1">
        <v>50.0</v>
      </c>
      <c r="D3085" s="2" t="s">
        <v>447</v>
      </c>
      <c r="E3085" s="1">
        <v>96.0</v>
      </c>
      <c r="F3085" s="1">
        <v>15.0</v>
      </c>
      <c r="G3085" s="1">
        <v>0.0</v>
      </c>
      <c r="H3085" s="1">
        <v>0.0</v>
      </c>
      <c r="I3085" s="1">
        <v>0.0</v>
      </c>
      <c r="J3085" s="1">
        <v>0.0</v>
      </c>
      <c r="K3085" s="1">
        <v>0.0</v>
      </c>
      <c r="L3085" s="1">
        <v>41500.0</v>
      </c>
      <c r="M3085" s="1" t="s">
        <v>3354</v>
      </c>
      <c r="N3085" s="18">
        <v>46030.0</v>
      </c>
      <c r="O3085" s="1" t="s">
        <v>3355</v>
      </c>
      <c r="P3085" s="1" t="s">
        <v>3257</v>
      </c>
      <c r="Q3085" s="1" t="s">
        <v>3408</v>
      </c>
    </row>
    <row r="3086">
      <c r="A3086" s="1" t="s">
        <v>8755</v>
      </c>
      <c r="B3086" s="1">
        <v>96.0</v>
      </c>
      <c r="C3086" s="1">
        <v>40.0</v>
      </c>
      <c r="D3086" s="2" t="s">
        <v>1307</v>
      </c>
      <c r="E3086" s="1">
        <v>96.0</v>
      </c>
      <c r="F3086" s="1">
        <v>16.0</v>
      </c>
      <c r="G3086" s="1">
        <v>4.58</v>
      </c>
      <c r="H3086" s="1">
        <v>0.0</v>
      </c>
      <c r="I3086" s="1">
        <v>0.0</v>
      </c>
      <c r="J3086" s="1">
        <v>0.0</v>
      </c>
      <c r="K3086" s="1">
        <v>1.0</v>
      </c>
      <c r="L3086" s="1">
        <v>324000.0</v>
      </c>
      <c r="M3086" s="1" t="s">
        <v>8756</v>
      </c>
      <c r="N3086" s="18">
        <v>46026.0</v>
      </c>
      <c r="O3086" s="1" t="s">
        <v>8757</v>
      </c>
      <c r="P3086" s="1" t="s">
        <v>3230</v>
      </c>
      <c r="Q3086" s="1" t="s">
        <v>3408</v>
      </c>
    </row>
    <row r="3087">
      <c r="A3087" s="1" t="s">
        <v>7810</v>
      </c>
      <c r="B3087" s="1">
        <v>96.0</v>
      </c>
      <c r="C3087" s="1">
        <v>90.0</v>
      </c>
      <c r="D3087" s="2" t="s">
        <v>778</v>
      </c>
      <c r="E3087" s="1">
        <v>96.0</v>
      </c>
      <c r="F3087" s="1">
        <v>10.0</v>
      </c>
      <c r="G3087" s="1">
        <v>0.0</v>
      </c>
      <c r="H3087" s="1">
        <v>0.0</v>
      </c>
      <c r="I3087" s="1">
        <v>0.0</v>
      </c>
      <c r="J3087" s="1">
        <v>0.0</v>
      </c>
      <c r="K3087" s="1">
        <v>0.0</v>
      </c>
      <c r="L3087" s="1">
        <v>4660000.0</v>
      </c>
      <c r="M3087" s="1" t="s">
        <v>7811</v>
      </c>
      <c r="N3087" s="18">
        <v>46025.0</v>
      </c>
      <c r="O3087" s="1" t="s">
        <v>4084</v>
      </c>
      <c r="P3087" s="1" t="s">
        <v>3257</v>
      </c>
      <c r="Q3087" s="1" t="s">
        <v>3408</v>
      </c>
    </row>
    <row r="3088">
      <c r="A3088" s="1" t="s">
        <v>8758</v>
      </c>
      <c r="B3088" s="1">
        <v>96.0</v>
      </c>
      <c r="C3088" s="1">
        <v>110.0</v>
      </c>
      <c r="D3088" s="2" t="s">
        <v>1912</v>
      </c>
      <c r="E3088" s="1">
        <v>96.0</v>
      </c>
      <c r="F3088" s="1">
        <v>3.0</v>
      </c>
      <c r="G3088" s="1">
        <v>0.0</v>
      </c>
      <c r="H3088" s="1">
        <v>0.0</v>
      </c>
      <c r="I3088" s="1">
        <v>0.0</v>
      </c>
      <c r="J3088" s="1">
        <v>0.0</v>
      </c>
      <c r="K3088" s="1">
        <v>0.0</v>
      </c>
      <c r="L3088" s="1">
        <v>5070000.0</v>
      </c>
      <c r="M3088" s="1" t="s">
        <v>8759</v>
      </c>
      <c r="N3088" s="18">
        <v>46025.0</v>
      </c>
      <c r="O3088" s="1" t="s">
        <v>8760</v>
      </c>
      <c r="P3088" s="1" t="s">
        <v>3334</v>
      </c>
      <c r="Q3088" s="1" t="s">
        <v>3408</v>
      </c>
    </row>
    <row r="3089">
      <c r="A3089" s="1" t="s">
        <v>8761</v>
      </c>
      <c r="B3089" s="1">
        <v>96.0</v>
      </c>
      <c r="C3089" s="1">
        <v>390.0</v>
      </c>
      <c r="D3089" s="2" t="s">
        <v>1613</v>
      </c>
      <c r="E3089" s="1">
        <v>96.0</v>
      </c>
      <c r="F3089" s="1">
        <v>1.0</v>
      </c>
      <c r="G3089" s="1">
        <v>16.83</v>
      </c>
      <c r="H3089" s="1">
        <v>0.0</v>
      </c>
      <c r="I3089" s="1">
        <v>0.0</v>
      </c>
      <c r="J3089" s="1">
        <v>0.0</v>
      </c>
      <c r="K3089" s="1">
        <v>0.19</v>
      </c>
      <c r="L3089" s="1">
        <v>6.0E7</v>
      </c>
      <c r="M3089" s="1" t="s">
        <v>8762</v>
      </c>
      <c r="N3089" s="18">
        <v>46024.0</v>
      </c>
      <c r="O3089" s="1" t="s">
        <v>3479</v>
      </c>
      <c r="P3089" s="1" t="s">
        <v>3230</v>
      </c>
      <c r="Q3089" s="1" t="s">
        <v>3408</v>
      </c>
    </row>
    <row r="3090">
      <c r="A3090" s="1" t="s">
        <v>3413</v>
      </c>
      <c r="B3090" s="1">
        <v>96.0</v>
      </c>
      <c r="C3090" s="1">
        <v>90.0</v>
      </c>
      <c r="D3090" s="2" t="s">
        <v>463</v>
      </c>
      <c r="E3090" s="1">
        <v>96.0</v>
      </c>
      <c r="F3090" s="1">
        <v>39.0</v>
      </c>
      <c r="G3090" s="1">
        <v>14.43</v>
      </c>
      <c r="H3090" s="1">
        <v>0.0</v>
      </c>
      <c r="I3090" s="1">
        <v>0.0</v>
      </c>
      <c r="J3090" s="1">
        <v>0.0</v>
      </c>
      <c r="K3090" s="1">
        <v>0.61</v>
      </c>
      <c r="L3090" s="1">
        <v>457000.0</v>
      </c>
      <c r="M3090" s="1" t="s">
        <v>3414</v>
      </c>
      <c r="N3090" s="18">
        <v>46023.0</v>
      </c>
      <c r="O3090" s="1" t="s">
        <v>3415</v>
      </c>
      <c r="P3090" s="1" t="s">
        <v>3257</v>
      </c>
      <c r="Q3090" s="1" t="s">
        <v>3408</v>
      </c>
    </row>
    <row r="3091">
      <c r="A3091" s="1" t="s">
        <v>4220</v>
      </c>
      <c r="B3091" s="1">
        <v>96.0</v>
      </c>
      <c r="C3091" s="1">
        <v>50.0</v>
      </c>
      <c r="D3091" s="2" t="s">
        <v>1436</v>
      </c>
      <c r="E3091" s="1">
        <v>96.0</v>
      </c>
      <c r="F3091" s="1">
        <v>31.0</v>
      </c>
      <c r="G3091" s="1">
        <v>18.67</v>
      </c>
      <c r="H3091" s="1">
        <v>0.0</v>
      </c>
      <c r="I3091" s="1">
        <v>0.0</v>
      </c>
      <c r="J3091" s="1">
        <v>0.0</v>
      </c>
      <c r="K3091" s="1">
        <v>0.79</v>
      </c>
      <c r="L3091" s="1">
        <v>679000.0</v>
      </c>
      <c r="M3091" s="1" t="s">
        <v>4221</v>
      </c>
      <c r="N3091" s="18">
        <v>46022.0</v>
      </c>
      <c r="O3091" s="1" t="s">
        <v>3415</v>
      </c>
      <c r="P3091" s="1" t="s">
        <v>3257</v>
      </c>
      <c r="Q3091" s="1" t="s">
        <v>3408</v>
      </c>
    </row>
    <row r="3092">
      <c r="A3092" s="1" t="s">
        <v>8763</v>
      </c>
      <c r="B3092" s="1">
        <v>96.0</v>
      </c>
      <c r="C3092" s="1">
        <v>90.0</v>
      </c>
      <c r="D3092" s="2" t="s">
        <v>979</v>
      </c>
      <c r="E3092" s="1">
        <v>96.0</v>
      </c>
      <c r="F3092" s="1">
        <v>10.0</v>
      </c>
      <c r="G3092" s="1">
        <v>0.0</v>
      </c>
      <c r="H3092" s="1">
        <v>0.0</v>
      </c>
      <c r="I3092" s="1">
        <v>0.0</v>
      </c>
      <c r="J3092" s="1">
        <v>0.0</v>
      </c>
      <c r="K3092" s="1">
        <v>0.0</v>
      </c>
      <c r="L3092" s="1">
        <v>6.37E7</v>
      </c>
      <c r="M3092" s="1" t="s">
        <v>8764</v>
      </c>
      <c r="N3092" s="18">
        <v>46022.0</v>
      </c>
      <c r="O3092" s="1" t="s">
        <v>4944</v>
      </c>
      <c r="P3092" s="1" t="s">
        <v>3230</v>
      </c>
      <c r="Q3092" s="1" t="s">
        <v>3408</v>
      </c>
    </row>
    <row r="3093">
      <c r="A3093" s="1" t="s">
        <v>8765</v>
      </c>
      <c r="B3093" s="1">
        <v>96.0</v>
      </c>
      <c r="C3093" s="1">
        <v>90.0</v>
      </c>
      <c r="D3093" s="2" t="s">
        <v>1912</v>
      </c>
      <c r="E3093" s="1">
        <v>96.0</v>
      </c>
      <c r="F3093" s="1">
        <v>3.0</v>
      </c>
      <c r="G3093" s="1">
        <v>0.0</v>
      </c>
      <c r="H3093" s="1">
        <v>0.0</v>
      </c>
      <c r="I3093" s="1">
        <v>0.0</v>
      </c>
      <c r="J3093" s="1">
        <v>0.0</v>
      </c>
      <c r="K3093" s="1">
        <v>0.0</v>
      </c>
      <c r="L3093" s="1">
        <v>1230000.0</v>
      </c>
      <c r="M3093" s="1" t="s">
        <v>8766</v>
      </c>
      <c r="N3093" s="18">
        <v>46022.0</v>
      </c>
      <c r="O3093" s="1" t="s">
        <v>4983</v>
      </c>
      <c r="P3093" s="1" t="s">
        <v>3257</v>
      </c>
      <c r="Q3093" s="1" t="s">
        <v>3408</v>
      </c>
    </row>
    <row r="3094">
      <c r="A3094" s="1" t="s">
        <v>8767</v>
      </c>
      <c r="B3094" s="1">
        <v>96.0</v>
      </c>
      <c r="C3094" s="1">
        <v>50.0</v>
      </c>
      <c r="D3094" s="2" t="s">
        <v>455</v>
      </c>
      <c r="E3094" s="1">
        <v>96.0</v>
      </c>
      <c r="G3094" s="1">
        <v>0.0</v>
      </c>
      <c r="H3094" s="1">
        <v>0.0</v>
      </c>
      <c r="I3094" s="1">
        <v>0.0</v>
      </c>
      <c r="J3094" s="1">
        <v>0.0</v>
      </c>
      <c r="K3094" s="1">
        <v>0.0</v>
      </c>
      <c r="L3094" s="1">
        <v>2.39E7</v>
      </c>
      <c r="M3094" s="1" t="s">
        <v>8768</v>
      </c>
      <c r="N3094" s="18">
        <v>46021.0</v>
      </c>
      <c r="O3094" s="1" t="s">
        <v>3421</v>
      </c>
      <c r="P3094" s="1" t="s">
        <v>3257</v>
      </c>
      <c r="Q3094" s="1" t="s">
        <v>3408</v>
      </c>
    </row>
    <row r="3095">
      <c r="A3095" s="1" t="s">
        <v>8769</v>
      </c>
      <c r="B3095" s="1">
        <v>96.0</v>
      </c>
      <c r="C3095" s="1">
        <v>40.0</v>
      </c>
      <c r="D3095" s="2" t="s">
        <v>694</v>
      </c>
      <c r="E3095" s="1">
        <v>96.0</v>
      </c>
      <c r="F3095" s="1">
        <v>37.0</v>
      </c>
      <c r="G3095" s="1">
        <v>2.01</v>
      </c>
      <c r="H3095" s="1">
        <v>0.0</v>
      </c>
      <c r="I3095" s="1">
        <v>0.0</v>
      </c>
      <c r="J3095" s="1">
        <v>0.0</v>
      </c>
      <c r="K3095" s="1">
        <v>0.29</v>
      </c>
      <c r="L3095" s="1">
        <v>7930000.0</v>
      </c>
      <c r="M3095" s="1" t="s">
        <v>8770</v>
      </c>
      <c r="N3095" s="18">
        <v>46021.0</v>
      </c>
      <c r="O3095" s="1" t="s">
        <v>3840</v>
      </c>
      <c r="P3095" s="1" t="s">
        <v>3230</v>
      </c>
      <c r="Q3095" s="1" t="s">
        <v>3408</v>
      </c>
    </row>
    <row r="3096">
      <c r="A3096" s="1" t="s">
        <v>8771</v>
      </c>
      <c r="B3096" s="1">
        <v>96.0</v>
      </c>
      <c r="C3096" s="1">
        <v>170.0</v>
      </c>
      <c r="D3096" s="2" t="s">
        <v>694</v>
      </c>
      <c r="E3096" s="1">
        <v>96.0</v>
      </c>
      <c r="F3096" s="1">
        <v>30.0</v>
      </c>
      <c r="G3096" s="1">
        <v>1.0</v>
      </c>
      <c r="H3096" s="1">
        <v>0.0</v>
      </c>
      <c r="I3096" s="1">
        <v>0.0</v>
      </c>
      <c r="J3096" s="1">
        <v>0.0</v>
      </c>
      <c r="K3096" s="1">
        <v>0.16</v>
      </c>
      <c r="L3096" s="1">
        <v>6590000.0</v>
      </c>
      <c r="M3096" s="1" t="s">
        <v>8772</v>
      </c>
      <c r="N3096" s="18">
        <v>46016.0</v>
      </c>
      <c r="O3096" s="1" t="s">
        <v>3237</v>
      </c>
      <c r="P3096" s="1" t="s">
        <v>3230</v>
      </c>
      <c r="Q3096" s="1" t="s">
        <v>3408</v>
      </c>
    </row>
    <row r="3097">
      <c r="A3097" s="1" t="s">
        <v>3742</v>
      </c>
      <c r="B3097" s="1">
        <v>96.0</v>
      </c>
      <c r="C3097" s="1">
        <v>110.0</v>
      </c>
      <c r="D3097" s="2" t="s">
        <v>447</v>
      </c>
      <c r="E3097" s="1">
        <v>96.0</v>
      </c>
      <c r="F3097" s="1">
        <v>20.0</v>
      </c>
      <c r="G3097" s="1">
        <v>16.13</v>
      </c>
      <c r="H3097" s="1">
        <v>0.0</v>
      </c>
      <c r="I3097" s="1">
        <v>0.0</v>
      </c>
      <c r="J3097" s="1">
        <v>0.0</v>
      </c>
      <c r="K3097" s="1">
        <v>0.58</v>
      </c>
      <c r="L3097" s="1">
        <v>42700.0</v>
      </c>
      <c r="M3097" s="1" t="s">
        <v>3743</v>
      </c>
      <c r="N3097" s="18">
        <v>46015.0</v>
      </c>
      <c r="O3097" s="1" t="s">
        <v>3458</v>
      </c>
      <c r="P3097" s="1" t="s">
        <v>3257</v>
      </c>
      <c r="Q3097" s="1" t="s">
        <v>3408</v>
      </c>
    </row>
    <row r="3098">
      <c r="A3098" s="1" t="s">
        <v>8773</v>
      </c>
      <c r="B3098" s="1">
        <v>96.0</v>
      </c>
      <c r="C3098" s="1">
        <v>50.0</v>
      </c>
      <c r="D3098" s="2" t="s">
        <v>1626</v>
      </c>
      <c r="E3098" s="1">
        <v>96.0</v>
      </c>
      <c r="F3098" s="1">
        <v>2.0</v>
      </c>
      <c r="G3098" s="1">
        <v>0.0</v>
      </c>
      <c r="H3098" s="1">
        <v>0.0</v>
      </c>
      <c r="I3098" s="1">
        <v>0.0</v>
      </c>
      <c r="J3098" s="1">
        <v>0.0</v>
      </c>
      <c r="K3098" s="1">
        <v>0.0</v>
      </c>
      <c r="L3098" s="1">
        <v>3.2E7</v>
      </c>
      <c r="M3098" s="1" t="s">
        <v>8774</v>
      </c>
      <c r="N3098" s="18">
        <v>46011.0</v>
      </c>
      <c r="O3098" s="1" t="s">
        <v>3314</v>
      </c>
      <c r="P3098" s="1" t="s">
        <v>3230</v>
      </c>
      <c r="Q3098" s="1" t="s">
        <v>3408</v>
      </c>
    </row>
    <row r="3099">
      <c r="A3099" s="1" t="s">
        <v>3744</v>
      </c>
      <c r="B3099" s="1">
        <v>96.0</v>
      </c>
      <c r="C3099" s="1">
        <v>70.0</v>
      </c>
      <c r="D3099" s="2" t="s">
        <v>1008</v>
      </c>
      <c r="E3099" s="1">
        <v>96.0</v>
      </c>
      <c r="F3099" s="1">
        <v>11.0</v>
      </c>
      <c r="G3099" s="1">
        <v>0.0</v>
      </c>
      <c r="H3099" s="1">
        <v>0.0</v>
      </c>
      <c r="I3099" s="1">
        <v>0.0</v>
      </c>
      <c r="J3099" s="1">
        <v>0.0</v>
      </c>
      <c r="K3099" s="1">
        <v>0.0</v>
      </c>
      <c r="L3099" s="1">
        <v>351000.0</v>
      </c>
      <c r="M3099" s="1" t="s">
        <v>3745</v>
      </c>
      <c r="N3099" s="18">
        <v>46011.0</v>
      </c>
      <c r="O3099" s="1" t="s">
        <v>3404</v>
      </c>
      <c r="P3099" s="1" t="s">
        <v>3257</v>
      </c>
      <c r="Q3099" s="1" t="s">
        <v>3408</v>
      </c>
    </row>
    <row r="3100">
      <c r="A3100" s="1" t="s">
        <v>8775</v>
      </c>
      <c r="B3100" s="1">
        <v>96.0</v>
      </c>
      <c r="C3100" s="1">
        <v>50.0</v>
      </c>
      <c r="D3100" s="2" t="s">
        <v>638</v>
      </c>
      <c r="E3100" s="1">
        <v>96.0</v>
      </c>
      <c r="F3100" s="1">
        <v>23.0</v>
      </c>
      <c r="G3100" s="1">
        <v>0.0</v>
      </c>
      <c r="H3100" s="1">
        <v>0.0</v>
      </c>
      <c r="I3100" s="1">
        <v>0.0</v>
      </c>
      <c r="J3100" s="1">
        <v>0.0</v>
      </c>
      <c r="K3100" s="1">
        <v>0.0</v>
      </c>
      <c r="L3100" s="1">
        <v>4540000.0</v>
      </c>
      <c r="M3100" s="1" t="s">
        <v>8776</v>
      </c>
      <c r="N3100" s="18">
        <v>46010.0</v>
      </c>
      <c r="O3100" s="1" t="s">
        <v>3479</v>
      </c>
      <c r="P3100" s="1" t="s">
        <v>3230</v>
      </c>
      <c r="Q3100" s="1" t="s">
        <v>3408</v>
      </c>
    </row>
    <row r="3101">
      <c r="A3101" s="1" t="s">
        <v>8777</v>
      </c>
      <c r="B3101" s="1">
        <v>96.0</v>
      </c>
      <c r="C3101" s="1">
        <v>50.0</v>
      </c>
      <c r="D3101" s="2" t="s">
        <v>1129</v>
      </c>
      <c r="E3101" s="1">
        <v>96.0</v>
      </c>
      <c r="F3101" s="1">
        <v>7.0</v>
      </c>
      <c r="G3101" s="1">
        <v>0.0</v>
      </c>
      <c r="H3101" s="1">
        <v>0.0</v>
      </c>
      <c r="I3101" s="1">
        <v>0.0</v>
      </c>
      <c r="J3101" s="1">
        <v>0.0</v>
      </c>
      <c r="K3101" s="1">
        <v>0.0</v>
      </c>
      <c r="L3101" s="1">
        <v>889000.0</v>
      </c>
      <c r="M3101" s="1" t="s">
        <v>8778</v>
      </c>
      <c r="N3101" s="18">
        <v>46003.0</v>
      </c>
      <c r="O3101" s="1" t="s">
        <v>8779</v>
      </c>
      <c r="P3101" s="1" t="s">
        <v>3257</v>
      </c>
      <c r="Q3101" s="1" t="s">
        <v>3408</v>
      </c>
    </row>
    <row r="3102">
      <c r="A3102" s="1" t="s">
        <v>8780</v>
      </c>
      <c r="B3102" s="1">
        <v>96.0</v>
      </c>
      <c r="C3102" s="1">
        <v>90.0</v>
      </c>
      <c r="D3102" s="2" t="s">
        <v>455</v>
      </c>
      <c r="E3102" s="1">
        <v>96.0</v>
      </c>
      <c r="F3102" s="1">
        <v>21.0</v>
      </c>
      <c r="G3102" s="1">
        <v>0.0</v>
      </c>
      <c r="H3102" s="1">
        <v>0.0</v>
      </c>
      <c r="I3102" s="1">
        <v>0.0</v>
      </c>
      <c r="J3102" s="1">
        <v>0.0</v>
      </c>
      <c r="K3102" s="1">
        <v>0.0</v>
      </c>
      <c r="L3102" s="1">
        <v>1.82E7</v>
      </c>
      <c r="M3102" s="1" t="s">
        <v>8781</v>
      </c>
      <c r="N3102" s="18">
        <v>46000.0</v>
      </c>
      <c r="O3102" s="1" t="s">
        <v>6936</v>
      </c>
      <c r="P3102" s="1" t="s">
        <v>3257</v>
      </c>
      <c r="Q3102" s="1" t="s">
        <v>3408</v>
      </c>
    </row>
    <row r="3103">
      <c r="A3103" s="1" t="s">
        <v>8782</v>
      </c>
      <c r="B3103" s="1">
        <v>96.0</v>
      </c>
      <c r="C3103" s="1">
        <v>70.0</v>
      </c>
      <c r="D3103" s="2" t="s">
        <v>2253</v>
      </c>
      <c r="E3103" s="1">
        <v>96.0</v>
      </c>
      <c r="F3103" s="1">
        <v>17.0</v>
      </c>
      <c r="G3103" s="1">
        <v>0.0</v>
      </c>
      <c r="H3103" s="1">
        <v>0.0</v>
      </c>
      <c r="I3103" s="1">
        <v>0.0</v>
      </c>
      <c r="J3103" s="1">
        <v>0.0</v>
      </c>
      <c r="K3103" s="1">
        <v>0.0</v>
      </c>
      <c r="L3103" s="1">
        <v>5360000.0</v>
      </c>
      <c r="M3103" s="1" t="s">
        <v>8783</v>
      </c>
      <c r="N3103" s="18">
        <v>45998.0</v>
      </c>
      <c r="O3103" s="1" t="s">
        <v>7932</v>
      </c>
      <c r="P3103" s="1" t="s">
        <v>3230</v>
      </c>
      <c r="Q3103" s="1" t="s">
        <v>3408</v>
      </c>
    </row>
    <row r="3104">
      <c r="A3104" s="1" t="s">
        <v>6955</v>
      </c>
      <c r="B3104" s="1">
        <v>96.0</v>
      </c>
      <c r="C3104" s="1">
        <v>40.0</v>
      </c>
      <c r="D3104" s="2" t="s">
        <v>439</v>
      </c>
      <c r="E3104" s="1">
        <v>96.0</v>
      </c>
      <c r="F3104" s="1">
        <v>7.0</v>
      </c>
      <c r="G3104" s="1">
        <v>3.56</v>
      </c>
      <c r="H3104" s="1">
        <v>0.0</v>
      </c>
      <c r="I3104" s="1">
        <v>0.0</v>
      </c>
      <c r="J3104" s="1">
        <v>0.0</v>
      </c>
      <c r="K3104" s="1">
        <v>0.2</v>
      </c>
      <c r="L3104" s="1">
        <v>6420000.0</v>
      </c>
      <c r="M3104" s="1" t="s">
        <v>6956</v>
      </c>
      <c r="N3104" s="18">
        <v>45991.0</v>
      </c>
      <c r="O3104" s="1" t="s">
        <v>4965</v>
      </c>
      <c r="P3104" s="1" t="s">
        <v>3301</v>
      </c>
      <c r="Q3104" s="1" t="s">
        <v>3408</v>
      </c>
    </row>
    <row r="3105">
      <c r="A3105" s="1" t="s">
        <v>8784</v>
      </c>
      <c r="B3105" s="1">
        <v>96.0</v>
      </c>
      <c r="C3105" s="1">
        <v>90.0</v>
      </c>
      <c r="D3105" s="2" t="s">
        <v>581</v>
      </c>
      <c r="E3105" s="1">
        <v>96.0</v>
      </c>
      <c r="F3105" s="1">
        <v>9.0</v>
      </c>
      <c r="G3105" s="1">
        <v>1.46</v>
      </c>
      <c r="H3105" s="1">
        <v>0.0</v>
      </c>
      <c r="I3105" s="1">
        <v>0.0</v>
      </c>
      <c r="J3105" s="1">
        <v>0.0</v>
      </c>
      <c r="K3105" s="1">
        <v>0.22</v>
      </c>
      <c r="L3105" s="1">
        <v>3.4E7</v>
      </c>
      <c r="M3105" s="1" t="s">
        <v>8785</v>
      </c>
      <c r="N3105" s="18">
        <v>45988.0</v>
      </c>
      <c r="O3105" s="1" t="s">
        <v>5848</v>
      </c>
      <c r="P3105" s="1" t="s">
        <v>3294</v>
      </c>
      <c r="Q3105" s="1" t="s">
        <v>3408</v>
      </c>
    </row>
    <row r="3106">
      <c r="A3106" s="1" t="s">
        <v>6427</v>
      </c>
      <c r="B3106" s="1">
        <v>96.0</v>
      </c>
      <c r="C3106" s="1">
        <v>90.0</v>
      </c>
      <c r="D3106" s="2" t="s">
        <v>1111</v>
      </c>
      <c r="E3106" s="1">
        <v>96.0</v>
      </c>
      <c r="F3106" s="1">
        <v>22.0</v>
      </c>
      <c r="G3106" s="1">
        <v>0.0</v>
      </c>
      <c r="H3106" s="1">
        <v>0.0</v>
      </c>
      <c r="I3106" s="1">
        <v>0.0</v>
      </c>
      <c r="J3106" s="1">
        <v>0.0</v>
      </c>
      <c r="K3106" s="1">
        <v>0.0</v>
      </c>
      <c r="L3106" s="1">
        <v>1.48E7</v>
      </c>
      <c r="M3106" s="1" t="s">
        <v>6428</v>
      </c>
      <c r="N3106" s="18">
        <v>45987.0</v>
      </c>
      <c r="O3106" s="1" t="s">
        <v>6429</v>
      </c>
      <c r="P3106" s="1" t="s">
        <v>3230</v>
      </c>
      <c r="Q3106" s="1" t="s">
        <v>3408</v>
      </c>
    </row>
    <row r="3107">
      <c r="A3107" s="1" t="s">
        <v>8786</v>
      </c>
      <c r="B3107" s="1">
        <v>97.0</v>
      </c>
      <c r="C3107" s="1">
        <v>70.0</v>
      </c>
      <c r="D3107" s="2" t="s">
        <v>439</v>
      </c>
      <c r="E3107" s="1">
        <v>97.0</v>
      </c>
      <c r="F3107" s="1">
        <v>11.0</v>
      </c>
      <c r="G3107" s="1">
        <v>0.0</v>
      </c>
      <c r="H3107" s="1">
        <v>0.0</v>
      </c>
      <c r="I3107" s="1">
        <v>0.0</v>
      </c>
      <c r="J3107" s="1">
        <v>0.0</v>
      </c>
      <c r="K3107" s="1">
        <v>0.03</v>
      </c>
      <c r="L3107" s="1">
        <v>671000.0</v>
      </c>
      <c r="M3107" s="1" t="s">
        <v>8787</v>
      </c>
      <c r="N3107" s="18">
        <v>46042.0</v>
      </c>
      <c r="O3107" s="1" t="s">
        <v>8788</v>
      </c>
      <c r="P3107" s="1" t="s">
        <v>3230</v>
      </c>
      <c r="Q3107" s="1" t="s">
        <v>3408</v>
      </c>
    </row>
    <row r="3108">
      <c r="A3108" s="1" t="s">
        <v>8789</v>
      </c>
      <c r="B3108" s="1">
        <v>97.0</v>
      </c>
      <c r="C3108" s="1">
        <v>70.0</v>
      </c>
      <c r="D3108" s="2" t="s">
        <v>1473</v>
      </c>
      <c r="E3108" s="1">
        <v>97.0</v>
      </c>
      <c r="F3108" s="1">
        <v>18.0</v>
      </c>
      <c r="G3108" s="1">
        <v>0.0</v>
      </c>
      <c r="H3108" s="1">
        <v>0.0</v>
      </c>
      <c r="I3108" s="1">
        <v>0.0</v>
      </c>
      <c r="J3108" s="1">
        <v>0.0</v>
      </c>
      <c r="K3108" s="1">
        <v>0.0</v>
      </c>
      <c r="L3108" s="1">
        <v>8330000.0</v>
      </c>
      <c r="M3108" s="1" t="s">
        <v>8790</v>
      </c>
      <c r="N3108" s="18">
        <v>46036.0</v>
      </c>
      <c r="O3108" s="1" t="s">
        <v>3407</v>
      </c>
      <c r="P3108" s="1" t="s">
        <v>3230</v>
      </c>
      <c r="Q3108" s="1" t="s">
        <v>3408</v>
      </c>
    </row>
    <row r="3109">
      <c r="A3109" s="1" t="s">
        <v>6385</v>
      </c>
      <c r="B3109" s="1">
        <v>97.0</v>
      </c>
      <c r="C3109" s="1">
        <v>110.0</v>
      </c>
      <c r="D3109" s="2" t="s">
        <v>782</v>
      </c>
      <c r="E3109" s="1">
        <v>97.0</v>
      </c>
      <c r="F3109" s="1">
        <v>3.0</v>
      </c>
      <c r="G3109" s="1">
        <v>0.0</v>
      </c>
      <c r="H3109" s="1">
        <v>0.0</v>
      </c>
      <c r="I3109" s="1">
        <v>0.0</v>
      </c>
      <c r="J3109" s="1">
        <v>0.0</v>
      </c>
      <c r="K3109" s="1">
        <v>0.08</v>
      </c>
      <c r="L3109" s="1">
        <v>3210000.0</v>
      </c>
      <c r="M3109" s="1" t="s">
        <v>6386</v>
      </c>
      <c r="N3109" s="18">
        <v>46035.0</v>
      </c>
      <c r="O3109" s="1" t="s">
        <v>6387</v>
      </c>
      <c r="P3109" s="1" t="s">
        <v>3257</v>
      </c>
      <c r="Q3109" s="1" t="s">
        <v>3408</v>
      </c>
    </row>
    <row r="3110">
      <c r="A3110" s="1" t="s">
        <v>8791</v>
      </c>
      <c r="B3110" s="1">
        <v>97.0</v>
      </c>
      <c r="C3110" s="1">
        <v>30.0</v>
      </c>
      <c r="D3110" s="2" t="s">
        <v>911</v>
      </c>
      <c r="E3110" s="1">
        <v>97.0</v>
      </c>
      <c r="F3110" s="1">
        <v>7.0</v>
      </c>
      <c r="G3110" s="1">
        <v>2.32</v>
      </c>
      <c r="H3110" s="1">
        <v>0.0</v>
      </c>
      <c r="I3110" s="1">
        <v>0.0</v>
      </c>
      <c r="J3110" s="1">
        <v>0.0</v>
      </c>
      <c r="K3110" s="1">
        <v>0.12</v>
      </c>
      <c r="L3110" s="1">
        <v>1.07E8</v>
      </c>
      <c r="M3110" s="1" t="s">
        <v>8792</v>
      </c>
      <c r="N3110" s="18">
        <v>46035.0</v>
      </c>
      <c r="O3110" s="1" t="s">
        <v>8793</v>
      </c>
      <c r="P3110" s="1" t="s">
        <v>3230</v>
      </c>
      <c r="Q3110" s="1" t="s">
        <v>3408</v>
      </c>
    </row>
    <row r="3111">
      <c r="A3111" s="1" t="s">
        <v>8794</v>
      </c>
      <c r="B3111" s="1">
        <v>97.0</v>
      </c>
      <c r="C3111" s="1">
        <v>70.0</v>
      </c>
      <c r="D3111" s="2" t="s">
        <v>1986</v>
      </c>
      <c r="E3111" s="1">
        <v>97.0</v>
      </c>
      <c r="F3111" s="1">
        <v>23.0</v>
      </c>
      <c r="G3111" s="1">
        <v>9.7</v>
      </c>
      <c r="H3111" s="1">
        <v>0.0</v>
      </c>
      <c r="I3111" s="1">
        <v>0.0</v>
      </c>
      <c r="J3111" s="1">
        <v>0.0</v>
      </c>
      <c r="K3111" s="1">
        <v>0.44</v>
      </c>
      <c r="L3111" s="1">
        <v>1610000.0</v>
      </c>
      <c r="M3111" s="1" t="s">
        <v>8795</v>
      </c>
      <c r="N3111" s="18">
        <v>46035.0</v>
      </c>
      <c r="O3111" s="1" t="s">
        <v>3317</v>
      </c>
      <c r="P3111" s="1" t="s">
        <v>3230</v>
      </c>
      <c r="Q3111" s="1" t="s">
        <v>3408</v>
      </c>
    </row>
    <row r="3112">
      <c r="A3112" s="1" t="s">
        <v>8796</v>
      </c>
      <c r="B3112" s="1">
        <v>97.0</v>
      </c>
      <c r="C3112" s="1">
        <v>50.0</v>
      </c>
      <c r="D3112" s="2" t="s">
        <v>581</v>
      </c>
      <c r="E3112" s="1">
        <v>97.0</v>
      </c>
      <c r="F3112" s="1">
        <v>0.0</v>
      </c>
      <c r="G3112" s="1">
        <v>0.0</v>
      </c>
      <c r="H3112" s="1">
        <v>0.0</v>
      </c>
      <c r="I3112" s="1">
        <v>0.0</v>
      </c>
      <c r="J3112" s="1">
        <v>0.0</v>
      </c>
      <c r="K3112" s="1">
        <v>0.45</v>
      </c>
      <c r="L3112" s="1">
        <v>186000.0</v>
      </c>
      <c r="M3112" s="1" t="s">
        <v>4957</v>
      </c>
      <c r="N3112" s="18">
        <v>46031.0</v>
      </c>
      <c r="O3112" s="1" t="s">
        <v>3755</v>
      </c>
      <c r="P3112" s="1" t="s">
        <v>3257</v>
      </c>
      <c r="Q3112" s="1" t="s">
        <v>3408</v>
      </c>
    </row>
    <row r="3113">
      <c r="A3113" s="1" t="s">
        <v>8797</v>
      </c>
      <c r="B3113" s="1">
        <v>97.0</v>
      </c>
      <c r="C3113" s="1">
        <v>30.0</v>
      </c>
      <c r="D3113" s="2" t="s">
        <v>1606</v>
      </c>
      <c r="E3113" s="1">
        <v>97.0</v>
      </c>
      <c r="F3113" s="1">
        <v>0.0</v>
      </c>
      <c r="G3113" s="1">
        <v>3.46</v>
      </c>
      <c r="H3113" s="1">
        <v>0.0</v>
      </c>
      <c r="I3113" s="1">
        <v>0.0</v>
      </c>
      <c r="J3113" s="1">
        <v>0.0</v>
      </c>
      <c r="K3113" s="1">
        <v>0.28</v>
      </c>
      <c r="L3113" s="1">
        <v>1030000.0</v>
      </c>
      <c r="M3113" s="1" t="s">
        <v>8798</v>
      </c>
      <c r="N3113" s="18">
        <v>46030.0</v>
      </c>
      <c r="O3113" s="1" t="s">
        <v>3317</v>
      </c>
      <c r="P3113" s="1" t="s">
        <v>3230</v>
      </c>
      <c r="Q3113" s="1" t="s">
        <v>3408</v>
      </c>
    </row>
    <row r="3114">
      <c r="A3114" s="1" t="s">
        <v>8799</v>
      </c>
      <c r="B3114" s="1">
        <v>97.0</v>
      </c>
      <c r="C3114" s="1">
        <v>260.0</v>
      </c>
      <c r="D3114" s="2" t="s">
        <v>774</v>
      </c>
      <c r="E3114" s="1">
        <v>97.0</v>
      </c>
      <c r="F3114" s="1">
        <v>13.0</v>
      </c>
      <c r="G3114" s="1">
        <v>2.66</v>
      </c>
      <c r="H3114" s="1">
        <v>0.0</v>
      </c>
      <c r="I3114" s="1">
        <v>0.0</v>
      </c>
      <c r="J3114" s="1">
        <v>0.0</v>
      </c>
      <c r="K3114" s="1">
        <v>0.02</v>
      </c>
      <c r="L3114" s="1">
        <v>1490000.0</v>
      </c>
      <c r="M3114" s="1" t="s">
        <v>8800</v>
      </c>
      <c r="N3114" s="18">
        <v>46027.0</v>
      </c>
      <c r="O3114" s="1" t="s">
        <v>3824</v>
      </c>
      <c r="P3114" s="1" t="s">
        <v>3230</v>
      </c>
      <c r="Q3114" s="1" t="s">
        <v>3408</v>
      </c>
    </row>
    <row r="3115">
      <c r="A3115" s="1" t="s">
        <v>8801</v>
      </c>
      <c r="B3115" s="1">
        <v>97.0</v>
      </c>
      <c r="C3115" s="1">
        <v>110.0</v>
      </c>
      <c r="D3115" s="2" t="s">
        <v>1708</v>
      </c>
      <c r="E3115" s="1">
        <v>97.0</v>
      </c>
      <c r="F3115" s="1">
        <v>6.0</v>
      </c>
      <c r="G3115" s="1">
        <v>0.0</v>
      </c>
      <c r="H3115" s="1">
        <v>0.0</v>
      </c>
      <c r="I3115" s="1">
        <v>0.0</v>
      </c>
      <c r="J3115" s="1">
        <v>0.0</v>
      </c>
      <c r="K3115" s="1">
        <v>0.01</v>
      </c>
      <c r="L3115" s="1">
        <v>1010000.0</v>
      </c>
      <c r="M3115" s="1" t="s">
        <v>8802</v>
      </c>
      <c r="N3115" s="18">
        <v>46026.0</v>
      </c>
      <c r="O3115" s="1" t="s">
        <v>4350</v>
      </c>
      <c r="P3115" s="1" t="s">
        <v>3230</v>
      </c>
      <c r="Q3115" s="1" t="s">
        <v>3408</v>
      </c>
    </row>
    <row r="3116">
      <c r="A3116" s="1" t="s">
        <v>8803</v>
      </c>
      <c r="B3116" s="1">
        <v>97.0</v>
      </c>
      <c r="C3116" s="1">
        <v>110.0</v>
      </c>
      <c r="D3116" s="2" t="s">
        <v>2416</v>
      </c>
      <c r="E3116" s="1">
        <v>97.0</v>
      </c>
      <c r="F3116" s="1">
        <v>17.0</v>
      </c>
      <c r="G3116" s="1">
        <v>0.0</v>
      </c>
      <c r="H3116" s="1">
        <v>0.0</v>
      </c>
      <c r="I3116" s="1">
        <v>0.0</v>
      </c>
      <c r="J3116" s="1">
        <v>0.0</v>
      </c>
      <c r="K3116" s="1">
        <v>0.0</v>
      </c>
      <c r="L3116" s="1">
        <v>955000.0</v>
      </c>
      <c r="M3116" s="1" t="s">
        <v>8804</v>
      </c>
      <c r="N3116" s="18">
        <v>46026.0</v>
      </c>
      <c r="O3116" s="1" t="s">
        <v>7549</v>
      </c>
      <c r="P3116" s="1" t="s">
        <v>3230</v>
      </c>
      <c r="Q3116" s="1" t="s">
        <v>3408</v>
      </c>
    </row>
    <row r="3117">
      <c r="A3117" s="1" t="s">
        <v>8805</v>
      </c>
      <c r="B3117" s="1">
        <v>97.0</v>
      </c>
      <c r="C3117" s="1">
        <v>40.0</v>
      </c>
      <c r="D3117" s="2" t="s">
        <v>790</v>
      </c>
      <c r="E3117" s="1">
        <v>97.0</v>
      </c>
      <c r="F3117" s="1">
        <v>26.0</v>
      </c>
      <c r="G3117" s="1">
        <v>0.0</v>
      </c>
      <c r="H3117" s="1">
        <v>0.0</v>
      </c>
      <c r="I3117" s="1">
        <v>0.0</v>
      </c>
      <c r="J3117" s="1">
        <v>0.0</v>
      </c>
      <c r="K3117" s="1">
        <v>0.0</v>
      </c>
      <c r="L3117" s="1">
        <v>3.21E8</v>
      </c>
      <c r="M3117" s="1" t="s">
        <v>8806</v>
      </c>
      <c r="N3117" s="18">
        <v>46025.0</v>
      </c>
      <c r="O3117" s="1" t="s">
        <v>4505</v>
      </c>
      <c r="P3117" s="1" t="s">
        <v>3230</v>
      </c>
      <c r="Q3117" s="1" t="s">
        <v>3408</v>
      </c>
    </row>
    <row r="3118">
      <c r="A3118" s="1" t="s">
        <v>5947</v>
      </c>
      <c r="B3118" s="1">
        <v>97.0</v>
      </c>
      <c r="C3118" s="1">
        <v>90.0</v>
      </c>
      <c r="D3118" s="2" t="s">
        <v>792</v>
      </c>
      <c r="E3118" s="1">
        <v>97.0</v>
      </c>
      <c r="F3118" s="1">
        <v>1.0</v>
      </c>
      <c r="G3118" s="1">
        <v>0.0</v>
      </c>
      <c r="H3118" s="1">
        <v>0.0</v>
      </c>
      <c r="I3118" s="1">
        <v>0.0</v>
      </c>
      <c r="J3118" s="1">
        <v>0.0</v>
      </c>
      <c r="K3118" s="1">
        <v>0.0</v>
      </c>
      <c r="L3118" s="1">
        <v>288000.0</v>
      </c>
      <c r="M3118" s="1" t="s">
        <v>5948</v>
      </c>
      <c r="N3118" s="18">
        <v>46025.0</v>
      </c>
      <c r="O3118" s="1" t="s">
        <v>5674</v>
      </c>
      <c r="P3118" s="1" t="s">
        <v>3334</v>
      </c>
      <c r="Q3118" s="1" t="s">
        <v>3408</v>
      </c>
    </row>
    <row r="3119">
      <c r="A3119" s="1" t="s">
        <v>8807</v>
      </c>
      <c r="B3119" s="1">
        <v>97.0</v>
      </c>
      <c r="C3119" s="1">
        <v>70.0</v>
      </c>
      <c r="D3119" s="2" t="s">
        <v>784</v>
      </c>
      <c r="E3119" s="1">
        <v>97.0</v>
      </c>
      <c r="F3119" s="1">
        <v>0.0</v>
      </c>
      <c r="G3119" s="1">
        <v>0.0</v>
      </c>
      <c r="H3119" s="1">
        <v>0.0</v>
      </c>
      <c r="I3119" s="1">
        <v>0.0</v>
      </c>
      <c r="J3119" s="1">
        <v>0.0</v>
      </c>
      <c r="K3119" s="1">
        <v>0.0</v>
      </c>
      <c r="L3119" s="1">
        <v>1.6E7</v>
      </c>
      <c r="M3119" s="1" t="s">
        <v>8808</v>
      </c>
      <c r="N3119" s="18">
        <v>46025.0</v>
      </c>
      <c r="O3119" s="1" t="s">
        <v>4350</v>
      </c>
      <c r="P3119" s="1" t="s">
        <v>3334</v>
      </c>
      <c r="Q3119" s="1" t="s">
        <v>3408</v>
      </c>
    </row>
    <row r="3120">
      <c r="A3120" s="1" t="s">
        <v>8809</v>
      </c>
      <c r="B3120" s="1">
        <v>97.0</v>
      </c>
      <c r="C3120" s="1">
        <v>70.0</v>
      </c>
      <c r="D3120" s="2" t="s">
        <v>1025</v>
      </c>
      <c r="E3120" s="1">
        <v>97.0</v>
      </c>
      <c r="F3120" s="1">
        <v>0.0</v>
      </c>
      <c r="G3120" s="1">
        <v>0.0</v>
      </c>
      <c r="H3120" s="1">
        <v>0.0</v>
      </c>
      <c r="I3120" s="1">
        <v>0.0</v>
      </c>
      <c r="J3120" s="1">
        <v>0.0</v>
      </c>
      <c r="K3120" s="1">
        <v>0.0</v>
      </c>
      <c r="L3120" s="1">
        <v>4780000.0</v>
      </c>
      <c r="M3120" s="1" t="s">
        <v>8810</v>
      </c>
      <c r="N3120" s="18">
        <v>46024.0</v>
      </c>
      <c r="O3120" s="1" t="s">
        <v>8760</v>
      </c>
      <c r="P3120" s="1" t="s">
        <v>3257</v>
      </c>
      <c r="Q3120" s="1" t="s">
        <v>3408</v>
      </c>
    </row>
    <row r="3121">
      <c r="A3121" s="1" t="s">
        <v>8811</v>
      </c>
      <c r="B3121" s="1">
        <v>97.0</v>
      </c>
      <c r="C3121" s="1">
        <v>170.0</v>
      </c>
      <c r="D3121" s="2" t="s">
        <v>808</v>
      </c>
      <c r="E3121" s="1">
        <v>97.0</v>
      </c>
      <c r="F3121" s="1">
        <v>26.0</v>
      </c>
      <c r="G3121" s="1">
        <v>309.48</v>
      </c>
      <c r="H3121" s="1">
        <v>0.0</v>
      </c>
      <c r="I3121" s="1">
        <v>0.0</v>
      </c>
      <c r="J3121" s="1">
        <v>0.0</v>
      </c>
      <c r="K3121" s="1">
        <v>0.05</v>
      </c>
      <c r="L3121" s="1">
        <v>147000.0</v>
      </c>
      <c r="M3121" s="1" t="s">
        <v>8812</v>
      </c>
      <c r="N3121" s="18">
        <v>46024.0</v>
      </c>
      <c r="O3121" s="1" t="s">
        <v>3673</v>
      </c>
      <c r="P3121" s="1" t="s">
        <v>3257</v>
      </c>
      <c r="Q3121" s="1" t="s">
        <v>3408</v>
      </c>
    </row>
    <row r="3122">
      <c r="A3122" s="1" t="s">
        <v>8813</v>
      </c>
      <c r="B3122" s="1">
        <v>97.0</v>
      </c>
      <c r="C3122" s="1">
        <v>90.0</v>
      </c>
      <c r="D3122" s="2" t="s">
        <v>1536</v>
      </c>
      <c r="E3122" s="1">
        <v>97.0</v>
      </c>
      <c r="F3122" s="1">
        <v>13.0</v>
      </c>
      <c r="G3122" s="1">
        <v>10.84</v>
      </c>
      <c r="H3122" s="1">
        <v>0.0</v>
      </c>
      <c r="I3122" s="1">
        <v>0.0</v>
      </c>
      <c r="J3122" s="1">
        <v>0.0</v>
      </c>
      <c r="K3122" s="1">
        <v>0.03</v>
      </c>
      <c r="L3122" s="1">
        <v>3.14E7</v>
      </c>
      <c r="M3122" s="1" t="s">
        <v>8814</v>
      </c>
      <c r="N3122" s="18">
        <v>46023.0</v>
      </c>
      <c r="O3122" s="1" t="s">
        <v>3442</v>
      </c>
      <c r="P3122" s="1" t="s">
        <v>3230</v>
      </c>
      <c r="Q3122" s="1" t="s">
        <v>3408</v>
      </c>
    </row>
    <row r="3123">
      <c r="A3123" s="1" t="s">
        <v>8815</v>
      </c>
      <c r="B3123" s="1">
        <v>97.0</v>
      </c>
      <c r="C3123" s="1">
        <v>50.0</v>
      </c>
      <c r="D3123" s="2" t="s">
        <v>748</v>
      </c>
      <c r="E3123" s="1">
        <v>97.0</v>
      </c>
      <c r="F3123" s="1">
        <v>0.0</v>
      </c>
      <c r="G3123" s="1">
        <v>0.0</v>
      </c>
      <c r="H3123" s="1">
        <v>0.0</v>
      </c>
      <c r="I3123" s="1">
        <v>0.0</v>
      </c>
      <c r="J3123" s="1">
        <v>0.0</v>
      </c>
      <c r="K3123" s="1">
        <v>0.0</v>
      </c>
      <c r="L3123" s="1">
        <v>3540000.0</v>
      </c>
      <c r="M3123" s="1" t="s">
        <v>8816</v>
      </c>
      <c r="N3123" s="18">
        <v>46022.0</v>
      </c>
      <c r="P3123" s="1" t="s">
        <v>3334</v>
      </c>
      <c r="Q3123" s="1" t="s">
        <v>3408</v>
      </c>
    </row>
    <row r="3124">
      <c r="A3124" s="1" t="s">
        <v>8817</v>
      </c>
      <c r="B3124" s="1">
        <v>97.0</v>
      </c>
      <c r="C3124" s="1">
        <v>110.0</v>
      </c>
      <c r="D3124" s="2" t="s">
        <v>581</v>
      </c>
      <c r="E3124" s="1">
        <v>97.0</v>
      </c>
      <c r="G3124" s="1">
        <v>19.89</v>
      </c>
      <c r="H3124" s="1">
        <v>0.0</v>
      </c>
      <c r="I3124" s="1">
        <v>0.0</v>
      </c>
      <c r="J3124" s="1">
        <v>0.0</v>
      </c>
      <c r="K3124" s="1">
        <v>0.91</v>
      </c>
      <c r="L3124" s="1">
        <v>4330000.0</v>
      </c>
      <c r="M3124" s="1" t="s">
        <v>8818</v>
      </c>
      <c r="N3124" s="18">
        <v>46022.0</v>
      </c>
      <c r="O3124" s="1" t="s">
        <v>5815</v>
      </c>
      <c r="P3124" s="1" t="s">
        <v>3257</v>
      </c>
      <c r="Q3124" s="1" t="s">
        <v>3408</v>
      </c>
    </row>
    <row r="3125">
      <c r="A3125" s="1" t="s">
        <v>5532</v>
      </c>
      <c r="B3125" s="1">
        <v>97.0</v>
      </c>
      <c r="C3125" s="1">
        <v>90.0</v>
      </c>
      <c r="D3125" s="2" t="s">
        <v>3001</v>
      </c>
      <c r="E3125" s="1">
        <v>97.0</v>
      </c>
      <c r="F3125" s="1">
        <v>9.0</v>
      </c>
      <c r="G3125" s="1">
        <v>0.0</v>
      </c>
      <c r="H3125" s="1">
        <v>0.0</v>
      </c>
      <c r="I3125" s="1">
        <v>0.0</v>
      </c>
      <c r="J3125" s="1">
        <v>0.0</v>
      </c>
      <c r="K3125" s="1">
        <v>0.03</v>
      </c>
      <c r="L3125" s="1">
        <v>3460000.0</v>
      </c>
      <c r="M3125" s="1" t="s">
        <v>5533</v>
      </c>
      <c r="N3125" s="18">
        <v>46022.0</v>
      </c>
      <c r="O3125" s="1" t="s">
        <v>3415</v>
      </c>
      <c r="P3125" s="1" t="s">
        <v>3257</v>
      </c>
      <c r="Q3125" s="1" t="s">
        <v>3408</v>
      </c>
    </row>
    <row r="3126">
      <c r="A3126" s="1" t="s">
        <v>7098</v>
      </c>
      <c r="B3126" s="1">
        <v>97.0</v>
      </c>
      <c r="C3126" s="1">
        <v>50.0</v>
      </c>
      <c r="D3126" s="2" t="s">
        <v>782</v>
      </c>
      <c r="E3126" s="1">
        <v>97.0</v>
      </c>
      <c r="F3126" s="1">
        <v>10.0</v>
      </c>
      <c r="G3126" s="1">
        <v>0.0</v>
      </c>
      <c r="H3126" s="1">
        <v>0.0</v>
      </c>
      <c r="I3126" s="1">
        <v>0.0</v>
      </c>
      <c r="J3126" s="1">
        <v>0.0</v>
      </c>
      <c r="K3126" s="1">
        <v>0.03</v>
      </c>
      <c r="L3126" s="1">
        <v>1130000.0</v>
      </c>
      <c r="M3126" s="1" t="s">
        <v>7099</v>
      </c>
      <c r="N3126" s="18">
        <v>46021.0</v>
      </c>
      <c r="O3126" s="1" t="s">
        <v>3435</v>
      </c>
      <c r="P3126" s="1" t="s">
        <v>3257</v>
      </c>
      <c r="Q3126" s="1" t="s">
        <v>3408</v>
      </c>
    </row>
    <row r="3127">
      <c r="A3127" s="1" t="s">
        <v>3836</v>
      </c>
      <c r="B3127" s="1">
        <v>97.0</v>
      </c>
      <c r="C3127" s="1">
        <v>90.0</v>
      </c>
      <c r="D3127" s="2" t="s">
        <v>1234</v>
      </c>
      <c r="E3127" s="1">
        <v>97.0</v>
      </c>
      <c r="F3127" s="1">
        <v>23.0</v>
      </c>
      <c r="G3127" s="1">
        <v>0.0</v>
      </c>
      <c r="H3127" s="1">
        <v>0.0</v>
      </c>
      <c r="I3127" s="1">
        <v>0.0</v>
      </c>
      <c r="J3127" s="1">
        <v>0.0</v>
      </c>
      <c r="K3127" s="1">
        <v>0.11</v>
      </c>
      <c r="L3127" s="1">
        <v>7.51E7</v>
      </c>
      <c r="M3127" s="1" t="s">
        <v>3837</v>
      </c>
      <c r="N3127" s="18">
        <v>46018.0</v>
      </c>
      <c r="O3127" s="1" t="s">
        <v>3673</v>
      </c>
      <c r="P3127" s="1" t="s">
        <v>3257</v>
      </c>
      <c r="Q3127" s="1" t="s">
        <v>3408</v>
      </c>
    </row>
    <row r="3128">
      <c r="A3128" s="1" t="s">
        <v>8819</v>
      </c>
      <c r="B3128" s="1">
        <v>97.0</v>
      </c>
      <c r="C3128" s="1">
        <v>140.0</v>
      </c>
      <c r="D3128" s="2" t="s">
        <v>762</v>
      </c>
      <c r="E3128" s="1">
        <v>97.0</v>
      </c>
      <c r="F3128" s="1">
        <v>4.0</v>
      </c>
      <c r="G3128" s="1">
        <v>20.64</v>
      </c>
      <c r="H3128" s="1">
        <v>0.0</v>
      </c>
      <c r="I3128" s="1">
        <v>0.0</v>
      </c>
      <c r="J3128" s="1">
        <v>0.0</v>
      </c>
      <c r="K3128" s="1">
        <v>0.38</v>
      </c>
      <c r="L3128" s="1">
        <v>7520000.0</v>
      </c>
      <c r="M3128" s="1" t="s">
        <v>8820</v>
      </c>
      <c r="N3128" s="18">
        <v>46017.0</v>
      </c>
      <c r="O3128" s="1" t="s">
        <v>4839</v>
      </c>
      <c r="P3128" s="1" t="s">
        <v>3257</v>
      </c>
      <c r="Q3128" s="1" t="s">
        <v>3408</v>
      </c>
    </row>
    <row r="3129">
      <c r="A3129" s="1" t="s">
        <v>8821</v>
      </c>
      <c r="B3129" s="1">
        <v>97.0</v>
      </c>
      <c r="C3129" s="1">
        <v>140.0</v>
      </c>
      <c r="D3129" s="2" t="s">
        <v>2082</v>
      </c>
      <c r="E3129" s="1">
        <v>97.0</v>
      </c>
      <c r="F3129" s="1">
        <v>7.0</v>
      </c>
      <c r="G3129" s="1">
        <v>12.48</v>
      </c>
      <c r="H3129" s="1">
        <v>0.0</v>
      </c>
      <c r="I3129" s="1">
        <v>0.0</v>
      </c>
      <c r="J3129" s="1">
        <v>0.0</v>
      </c>
      <c r="K3129" s="1">
        <v>0.35</v>
      </c>
      <c r="L3129" s="1">
        <v>1220000.0</v>
      </c>
      <c r="M3129" s="1" t="s">
        <v>8822</v>
      </c>
      <c r="N3129" s="18">
        <v>46016.0</v>
      </c>
      <c r="O3129" s="1" t="s">
        <v>3237</v>
      </c>
      <c r="P3129" s="1" t="s">
        <v>3230</v>
      </c>
      <c r="Q3129" s="1" t="s">
        <v>3408</v>
      </c>
    </row>
    <row r="3130">
      <c r="A3130" s="1" t="s">
        <v>8823</v>
      </c>
      <c r="B3130" s="1">
        <v>97.0</v>
      </c>
      <c r="C3130" s="1">
        <v>70.0</v>
      </c>
      <c r="D3130" s="2" t="s">
        <v>638</v>
      </c>
      <c r="E3130" s="1">
        <v>97.0</v>
      </c>
      <c r="F3130" s="1">
        <v>10.0</v>
      </c>
      <c r="G3130" s="1">
        <v>0.0</v>
      </c>
      <c r="H3130" s="1">
        <v>0.0</v>
      </c>
      <c r="I3130" s="1">
        <v>0.0</v>
      </c>
      <c r="J3130" s="1">
        <v>0.0</v>
      </c>
      <c r="K3130" s="1">
        <v>0.03</v>
      </c>
      <c r="L3130" s="1">
        <v>5290000.0</v>
      </c>
      <c r="M3130" s="1" t="s">
        <v>8824</v>
      </c>
      <c r="N3130" s="18">
        <v>46015.0</v>
      </c>
      <c r="O3130" s="1" t="s">
        <v>8825</v>
      </c>
      <c r="P3130" s="1" t="s">
        <v>3334</v>
      </c>
      <c r="Q3130" s="1" t="s">
        <v>3408</v>
      </c>
    </row>
    <row r="3131">
      <c r="A3131" s="1" t="s">
        <v>8826</v>
      </c>
      <c r="B3131" s="1">
        <v>97.0</v>
      </c>
      <c r="C3131" s="1">
        <v>70.0</v>
      </c>
      <c r="D3131" s="2" t="s">
        <v>584</v>
      </c>
      <c r="E3131" s="1">
        <v>97.0</v>
      </c>
      <c r="F3131" s="1">
        <v>18.0</v>
      </c>
      <c r="G3131" s="1">
        <v>98.55</v>
      </c>
      <c r="H3131" s="1">
        <v>0.0</v>
      </c>
      <c r="I3131" s="1">
        <v>0.0</v>
      </c>
      <c r="J3131" s="1">
        <v>0.0</v>
      </c>
      <c r="K3131" s="1">
        <v>0.15</v>
      </c>
      <c r="L3131" s="1">
        <v>82900.0</v>
      </c>
      <c r="M3131" s="1" t="s">
        <v>8827</v>
      </c>
      <c r="N3131" s="18">
        <v>46015.0</v>
      </c>
      <c r="O3131" s="1" t="s">
        <v>3427</v>
      </c>
      <c r="P3131" s="1" t="s">
        <v>3257</v>
      </c>
      <c r="Q3131" s="1" t="s">
        <v>3408</v>
      </c>
    </row>
    <row r="3132">
      <c r="A3132" s="1" t="s">
        <v>8828</v>
      </c>
      <c r="B3132" s="1">
        <v>97.0</v>
      </c>
      <c r="C3132" s="1">
        <v>70.0</v>
      </c>
      <c r="D3132" s="2" t="s">
        <v>2253</v>
      </c>
      <c r="E3132" s="1">
        <v>97.0</v>
      </c>
      <c r="F3132" s="1">
        <v>20.0</v>
      </c>
      <c r="G3132" s="1">
        <v>0.0</v>
      </c>
      <c r="H3132" s="1">
        <v>0.0</v>
      </c>
      <c r="I3132" s="1">
        <v>0.0</v>
      </c>
      <c r="J3132" s="1">
        <v>0.0</v>
      </c>
      <c r="K3132" s="1">
        <v>0.0</v>
      </c>
      <c r="L3132" s="1">
        <v>4.28E8</v>
      </c>
      <c r="M3132" s="1" t="s">
        <v>8829</v>
      </c>
      <c r="N3132" s="18">
        <v>46014.0</v>
      </c>
      <c r="O3132" s="1" t="s">
        <v>8830</v>
      </c>
      <c r="P3132" s="1" t="s">
        <v>3257</v>
      </c>
      <c r="Q3132" s="1" t="s">
        <v>3408</v>
      </c>
    </row>
    <row r="3133">
      <c r="A3133" s="1" t="s">
        <v>8831</v>
      </c>
      <c r="B3133" s="1">
        <v>97.0</v>
      </c>
      <c r="C3133" s="1">
        <v>110.0</v>
      </c>
      <c r="D3133" s="2" t="s">
        <v>740</v>
      </c>
      <c r="E3133" s="1">
        <v>97.0</v>
      </c>
      <c r="F3133" s="1">
        <v>15.0</v>
      </c>
      <c r="G3133" s="1">
        <v>33.3</v>
      </c>
      <c r="H3133" s="1">
        <v>0.0</v>
      </c>
      <c r="I3133" s="1">
        <v>0.0</v>
      </c>
      <c r="J3133" s="1">
        <v>0.0</v>
      </c>
      <c r="K3133" s="1">
        <v>0.38</v>
      </c>
      <c r="L3133" s="1">
        <v>6.2E7</v>
      </c>
      <c r="M3133" s="1" t="s">
        <v>8832</v>
      </c>
      <c r="N3133" s="18">
        <v>46014.0</v>
      </c>
      <c r="O3133" s="1" t="s">
        <v>8833</v>
      </c>
      <c r="P3133" s="1" t="s">
        <v>3230</v>
      </c>
      <c r="Q3133" s="1" t="s">
        <v>3408</v>
      </c>
    </row>
    <row r="3134">
      <c r="A3134" s="1" t="s">
        <v>8834</v>
      </c>
      <c r="B3134" s="1">
        <v>97.0</v>
      </c>
      <c r="C3134" s="1">
        <v>1000.0</v>
      </c>
      <c r="D3134" s="2" t="s">
        <v>1473</v>
      </c>
      <c r="E3134" s="1">
        <v>97.0</v>
      </c>
      <c r="F3134" s="1">
        <v>49.0</v>
      </c>
      <c r="G3134" s="1">
        <v>5.82</v>
      </c>
      <c r="H3134" s="1">
        <v>0.0</v>
      </c>
      <c r="I3134" s="1">
        <v>0.0</v>
      </c>
      <c r="J3134" s="1">
        <v>0.0</v>
      </c>
      <c r="K3134" s="1">
        <v>0.04</v>
      </c>
      <c r="L3134" s="1">
        <v>2.77E8</v>
      </c>
      <c r="M3134" s="1" t="s">
        <v>8835</v>
      </c>
      <c r="N3134" s="18">
        <v>46014.0</v>
      </c>
      <c r="O3134" s="1" t="s">
        <v>8836</v>
      </c>
      <c r="P3134" s="1" t="s">
        <v>3257</v>
      </c>
      <c r="Q3134" s="1" t="s">
        <v>3408</v>
      </c>
    </row>
    <row r="3135">
      <c r="A3135" s="1" t="s">
        <v>8837</v>
      </c>
      <c r="B3135" s="1">
        <v>97.0</v>
      </c>
      <c r="C3135" s="1">
        <v>90.0</v>
      </c>
      <c r="D3135" s="2" t="s">
        <v>750</v>
      </c>
      <c r="E3135" s="1">
        <v>97.0</v>
      </c>
      <c r="F3135" s="1">
        <v>5.0</v>
      </c>
      <c r="G3135" s="1">
        <v>0.0</v>
      </c>
      <c r="H3135" s="1">
        <v>0.0</v>
      </c>
      <c r="I3135" s="1">
        <v>0.0</v>
      </c>
      <c r="J3135" s="1">
        <v>0.0</v>
      </c>
      <c r="K3135" s="1">
        <v>0.0</v>
      </c>
      <c r="L3135" s="1">
        <v>5780000.0</v>
      </c>
      <c r="M3135" s="1" t="s">
        <v>8838</v>
      </c>
      <c r="N3135" s="18">
        <v>46014.0</v>
      </c>
      <c r="O3135" s="1" t="s">
        <v>3231</v>
      </c>
      <c r="P3135" s="1" t="s">
        <v>3334</v>
      </c>
      <c r="Q3135" s="1" t="s">
        <v>3408</v>
      </c>
    </row>
    <row r="3136">
      <c r="A3136" s="1" t="s">
        <v>8839</v>
      </c>
      <c r="B3136" s="1">
        <v>97.0</v>
      </c>
      <c r="C3136" s="1">
        <v>50.0</v>
      </c>
      <c r="D3136" s="2" t="s">
        <v>1626</v>
      </c>
      <c r="E3136" s="1">
        <v>97.0</v>
      </c>
      <c r="F3136" s="1">
        <v>2.0</v>
      </c>
      <c r="G3136" s="1">
        <v>0.0</v>
      </c>
      <c r="H3136" s="1">
        <v>0.0</v>
      </c>
      <c r="I3136" s="1">
        <v>0.0</v>
      </c>
      <c r="J3136" s="1">
        <v>0.0</v>
      </c>
      <c r="K3136" s="1">
        <v>0.0</v>
      </c>
      <c r="L3136" s="1">
        <v>3.25E7</v>
      </c>
      <c r="M3136" s="1" t="s">
        <v>8840</v>
      </c>
      <c r="N3136" s="18">
        <v>46013.0</v>
      </c>
      <c r="O3136" s="1" t="s">
        <v>3264</v>
      </c>
      <c r="P3136" s="1" t="s">
        <v>3230</v>
      </c>
      <c r="Q3136" s="1" t="s">
        <v>3408</v>
      </c>
    </row>
    <row r="3137">
      <c r="A3137" s="1" t="s">
        <v>8841</v>
      </c>
      <c r="B3137" s="1">
        <v>97.0</v>
      </c>
      <c r="C3137" s="1">
        <v>40.0</v>
      </c>
      <c r="D3137" s="2" t="s">
        <v>2271</v>
      </c>
      <c r="E3137" s="1">
        <v>97.0</v>
      </c>
      <c r="F3137" s="1">
        <v>5.0</v>
      </c>
      <c r="G3137" s="1">
        <v>3.92</v>
      </c>
      <c r="H3137" s="1">
        <v>0.0</v>
      </c>
      <c r="I3137" s="1">
        <v>0.0</v>
      </c>
      <c r="J3137" s="1">
        <v>0.0</v>
      </c>
      <c r="K3137" s="1">
        <v>0.51</v>
      </c>
      <c r="L3137" s="1">
        <v>933000.0</v>
      </c>
      <c r="M3137" s="1" t="s">
        <v>8842</v>
      </c>
      <c r="N3137" s="18">
        <v>46013.0</v>
      </c>
      <c r="O3137" s="1" t="s">
        <v>3493</v>
      </c>
      <c r="P3137" s="1" t="s">
        <v>3230</v>
      </c>
      <c r="Q3137" s="1" t="s">
        <v>3408</v>
      </c>
    </row>
    <row r="3138">
      <c r="A3138" s="1" t="s">
        <v>8843</v>
      </c>
      <c r="B3138" s="1">
        <v>97.0</v>
      </c>
      <c r="C3138" s="1">
        <v>50.0</v>
      </c>
      <c r="D3138" s="2" t="s">
        <v>443</v>
      </c>
      <c r="E3138" s="1">
        <v>97.0</v>
      </c>
      <c r="F3138" s="1">
        <v>18.0</v>
      </c>
      <c r="G3138" s="1">
        <v>7.81</v>
      </c>
      <c r="H3138" s="1">
        <v>0.0</v>
      </c>
      <c r="I3138" s="1">
        <v>0.0</v>
      </c>
      <c r="J3138" s="1">
        <v>0.0</v>
      </c>
      <c r="K3138" s="1">
        <v>0.35</v>
      </c>
      <c r="L3138" s="1">
        <v>105000.0</v>
      </c>
      <c r="M3138" s="1" t="s">
        <v>8844</v>
      </c>
      <c r="N3138" s="18">
        <v>46013.0</v>
      </c>
      <c r="O3138" s="1" t="s">
        <v>3821</v>
      </c>
      <c r="P3138" s="1" t="s">
        <v>3294</v>
      </c>
      <c r="Q3138" s="1" t="s">
        <v>3408</v>
      </c>
    </row>
    <row r="3139">
      <c r="A3139" s="1" t="s">
        <v>8845</v>
      </c>
      <c r="B3139" s="1">
        <v>97.0</v>
      </c>
      <c r="C3139" s="1">
        <v>70.0</v>
      </c>
      <c r="D3139" s="2" t="s">
        <v>1052</v>
      </c>
      <c r="E3139" s="1">
        <v>97.0</v>
      </c>
      <c r="F3139" s="1">
        <v>29.0</v>
      </c>
      <c r="G3139" s="1">
        <v>0.0</v>
      </c>
      <c r="H3139" s="1">
        <v>0.0</v>
      </c>
      <c r="I3139" s="1">
        <v>0.0</v>
      </c>
      <c r="J3139" s="1">
        <v>0.0</v>
      </c>
      <c r="K3139" s="1">
        <v>0.0</v>
      </c>
      <c r="L3139" s="1">
        <v>5.36E8</v>
      </c>
      <c r="M3139" s="1" t="s">
        <v>8846</v>
      </c>
      <c r="N3139" s="18">
        <v>46004.0</v>
      </c>
      <c r="O3139" s="1" t="s">
        <v>3493</v>
      </c>
      <c r="P3139" s="1" t="s">
        <v>3230</v>
      </c>
      <c r="Q3139" s="1" t="s">
        <v>3408</v>
      </c>
    </row>
    <row r="3140">
      <c r="A3140" s="1" t="s">
        <v>8847</v>
      </c>
      <c r="B3140" s="1">
        <v>97.0</v>
      </c>
      <c r="C3140" s="1">
        <v>90.0</v>
      </c>
      <c r="D3140" s="2" t="s">
        <v>1129</v>
      </c>
      <c r="E3140" s="1">
        <v>97.0</v>
      </c>
      <c r="F3140" s="1">
        <v>34.0</v>
      </c>
      <c r="G3140" s="1">
        <v>8.9</v>
      </c>
      <c r="H3140" s="1">
        <v>0.0</v>
      </c>
      <c r="I3140" s="1">
        <v>0.0</v>
      </c>
      <c r="J3140" s="1">
        <v>0.0</v>
      </c>
      <c r="K3140" s="1">
        <v>0.57</v>
      </c>
      <c r="L3140" s="1">
        <v>8.55E8</v>
      </c>
      <c r="M3140" s="1" t="s">
        <v>8848</v>
      </c>
      <c r="N3140" s="18">
        <v>46003.0</v>
      </c>
      <c r="O3140" s="1" t="s">
        <v>8849</v>
      </c>
      <c r="P3140" s="1" t="s">
        <v>3257</v>
      </c>
      <c r="Q3140" s="1" t="s">
        <v>3408</v>
      </c>
    </row>
    <row r="3141">
      <c r="A3141" s="1" t="s">
        <v>8850</v>
      </c>
      <c r="B3141" s="1">
        <v>97.0</v>
      </c>
      <c r="C3141" s="1">
        <v>40.0</v>
      </c>
      <c r="D3141" s="2" t="s">
        <v>581</v>
      </c>
      <c r="E3141" s="1">
        <v>97.0</v>
      </c>
      <c r="F3141" s="1">
        <v>0.0</v>
      </c>
      <c r="G3141" s="1">
        <v>0.0</v>
      </c>
      <c r="H3141" s="1">
        <v>0.0</v>
      </c>
      <c r="I3141" s="1">
        <v>0.0</v>
      </c>
      <c r="J3141" s="1">
        <v>0.0</v>
      </c>
      <c r="K3141" s="1">
        <v>0.09</v>
      </c>
      <c r="L3141" s="1">
        <v>2330000.0</v>
      </c>
      <c r="M3141" s="1" t="s">
        <v>8851</v>
      </c>
      <c r="N3141" s="18">
        <v>46002.0</v>
      </c>
      <c r="O3141" s="1" t="s">
        <v>6189</v>
      </c>
      <c r="P3141" s="1" t="s">
        <v>3334</v>
      </c>
      <c r="Q3141" s="1" t="s">
        <v>3408</v>
      </c>
    </row>
    <row r="3142">
      <c r="A3142" s="1" t="s">
        <v>5913</v>
      </c>
      <c r="B3142" s="1">
        <v>97.0</v>
      </c>
      <c r="C3142" s="1">
        <v>70.0</v>
      </c>
      <c r="D3142" s="2" t="s">
        <v>979</v>
      </c>
      <c r="E3142" s="1">
        <v>97.0</v>
      </c>
      <c r="F3142" s="1">
        <v>4.0</v>
      </c>
      <c r="G3142" s="1">
        <v>4.26</v>
      </c>
      <c r="H3142" s="1">
        <v>0.0</v>
      </c>
      <c r="I3142" s="1">
        <v>0.0</v>
      </c>
      <c r="J3142" s="1">
        <v>0.0</v>
      </c>
      <c r="K3142" s="1">
        <v>0.08</v>
      </c>
      <c r="L3142" s="1">
        <v>3980000.0</v>
      </c>
      <c r="M3142" s="1" t="s">
        <v>5914</v>
      </c>
      <c r="N3142" s="18">
        <v>46000.0</v>
      </c>
      <c r="O3142" s="1" t="s">
        <v>5915</v>
      </c>
      <c r="P3142" s="1" t="s">
        <v>3230</v>
      </c>
      <c r="Q3142" s="1" t="s">
        <v>3408</v>
      </c>
    </row>
    <row r="3143">
      <c r="A3143" s="1" t="s">
        <v>8852</v>
      </c>
      <c r="B3143" s="1">
        <v>97.0</v>
      </c>
      <c r="C3143" s="1">
        <v>90.0</v>
      </c>
      <c r="D3143" s="2" t="s">
        <v>1708</v>
      </c>
      <c r="E3143" s="1">
        <v>97.0</v>
      </c>
      <c r="F3143" s="1">
        <v>12.0</v>
      </c>
      <c r="G3143" s="1">
        <v>0.0</v>
      </c>
      <c r="H3143" s="1">
        <v>0.0</v>
      </c>
      <c r="I3143" s="1">
        <v>0.0</v>
      </c>
      <c r="J3143" s="1">
        <v>0.0</v>
      </c>
      <c r="K3143" s="1">
        <v>0.0</v>
      </c>
      <c r="L3143" s="1">
        <v>1070000.0</v>
      </c>
      <c r="M3143" s="1" t="s">
        <v>8853</v>
      </c>
      <c r="N3143" s="18">
        <v>46000.0</v>
      </c>
      <c r="O3143" s="1" t="s">
        <v>3645</v>
      </c>
      <c r="P3143" s="1" t="s">
        <v>3257</v>
      </c>
      <c r="Q3143" s="1" t="s">
        <v>3408</v>
      </c>
    </row>
    <row r="3144">
      <c r="A3144" s="1" t="s">
        <v>8854</v>
      </c>
      <c r="B3144" s="1">
        <v>97.0</v>
      </c>
      <c r="C3144" s="1">
        <v>90.0</v>
      </c>
      <c r="D3144" s="2" t="s">
        <v>798</v>
      </c>
      <c r="E3144" s="1">
        <v>97.0</v>
      </c>
      <c r="F3144" s="1">
        <v>19.0</v>
      </c>
      <c r="G3144" s="1">
        <v>0.0</v>
      </c>
      <c r="H3144" s="1">
        <v>0.0</v>
      </c>
      <c r="I3144" s="1">
        <v>0.0</v>
      </c>
      <c r="J3144" s="1">
        <v>0.0</v>
      </c>
      <c r="K3144" s="1">
        <v>0.01</v>
      </c>
      <c r="L3144" s="1">
        <v>9.0E8</v>
      </c>
      <c r="M3144" s="1" t="s">
        <v>8855</v>
      </c>
      <c r="N3144" s="18">
        <v>45994.0</v>
      </c>
      <c r="O3144" s="1" t="s">
        <v>7561</v>
      </c>
      <c r="P3144" s="1" t="s">
        <v>3334</v>
      </c>
      <c r="Q3144" s="1" t="s">
        <v>3408</v>
      </c>
    </row>
    <row r="3145">
      <c r="A3145" s="1" t="s">
        <v>8856</v>
      </c>
      <c r="B3145" s="1">
        <v>97.0</v>
      </c>
      <c r="C3145" s="1">
        <v>50.0</v>
      </c>
      <c r="D3145" s="2" t="s">
        <v>439</v>
      </c>
      <c r="E3145" s="1">
        <v>97.0</v>
      </c>
      <c r="F3145" s="1">
        <v>18.0</v>
      </c>
      <c r="G3145" s="1">
        <v>0.0</v>
      </c>
      <c r="H3145" s="1">
        <v>0.0</v>
      </c>
      <c r="I3145" s="1">
        <v>0.0</v>
      </c>
      <c r="J3145" s="1">
        <v>0.0</v>
      </c>
      <c r="K3145" s="1">
        <v>0.09</v>
      </c>
      <c r="L3145" s="1">
        <v>10.0</v>
      </c>
      <c r="M3145" s="1" t="s">
        <v>8857</v>
      </c>
      <c r="N3145" s="18">
        <v>45979.0</v>
      </c>
      <c r="O3145" s="1" t="s">
        <v>8616</v>
      </c>
      <c r="P3145" s="1" t="s">
        <v>3257</v>
      </c>
      <c r="Q3145" s="1" t="s">
        <v>3408</v>
      </c>
    </row>
    <row r="3146">
      <c r="A3146" s="1" t="s">
        <v>4942</v>
      </c>
      <c r="B3146" s="1">
        <v>98.0</v>
      </c>
      <c r="C3146" s="1">
        <v>70.0</v>
      </c>
      <c r="D3146" s="2" t="s">
        <v>439</v>
      </c>
      <c r="E3146" s="1">
        <v>0.0</v>
      </c>
      <c r="F3146" s="1">
        <v>7.0</v>
      </c>
      <c r="G3146" s="1">
        <v>1.94</v>
      </c>
      <c r="H3146" s="1">
        <v>0.0</v>
      </c>
      <c r="I3146" s="1">
        <v>0.0</v>
      </c>
      <c r="J3146" s="1">
        <v>0.0</v>
      </c>
      <c r="K3146" s="1">
        <v>0.11</v>
      </c>
      <c r="L3146" s="1">
        <v>9.23E7</v>
      </c>
      <c r="M3146" s="1" t="s">
        <v>4943</v>
      </c>
      <c r="N3146" s="18">
        <v>46042.0</v>
      </c>
      <c r="O3146" s="1" t="s">
        <v>4944</v>
      </c>
      <c r="P3146" s="1" t="s">
        <v>3230</v>
      </c>
      <c r="Q3146" s="1" t="s">
        <v>3408</v>
      </c>
    </row>
    <row r="3147">
      <c r="A3147" s="1" t="s">
        <v>8858</v>
      </c>
      <c r="B3147" s="1">
        <v>98.0</v>
      </c>
      <c r="C3147" s="1">
        <v>50.0</v>
      </c>
      <c r="D3147" s="2" t="s">
        <v>1874</v>
      </c>
      <c r="E3147" s="1">
        <v>0.0</v>
      </c>
      <c r="F3147" s="1">
        <v>4.0</v>
      </c>
      <c r="G3147" s="1">
        <v>0.0</v>
      </c>
      <c r="H3147" s="1">
        <v>0.0</v>
      </c>
      <c r="I3147" s="1">
        <v>0.0</v>
      </c>
      <c r="J3147" s="1">
        <v>0.0</v>
      </c>
      <c r="K3147" s="1">
        <v>0.33</v>
      </c>
      <c r="L3147" s="1">
        <v>9970000.0</v>
      </c>
      <c r="M3147" s="1" t="s">
        <v>8859</v>
      </c>
      <c r="N3147" s="18">
        <v>46042.0</v>
      </c>
      <c r="O3147" s="1" t="s">
        <v>3284</v>
      </c>
      <c r="P3147" s="1" t="s">
        <v>3230</v>
      </c>
      <c r="Q3147" s="1" t="s">
        <v>3408</v>
      </c>
    </row>
    <row r="3148">
      <c r="A3148" s="1" t="s">
        <v>8860</v>
      </c>
      <c r="B3148" s="1">
        <v>98.0</v>
      </c>
      <c r="C3148" s="1">
        <v>140.0</v>
      </c>
      <c r="D3148" s="2" t="s">
        <v>694</v>
      </c>
      <c r="E3148" s="1">
        <v>98.0</v>
      </c>
      <c r="F3148" s="1">
        <v>41.0</v>
      </c>
      <c r="G3148" s="1">
        <v>1.51</v>
      </c>
      <c r="H3148" s="1">
        <v>0.0</v>
      </c>
      <c r="I3148" s="1">
        <v>0.0</v>
      </c>
      <c r="J3148" s="1">
        <v>0.0</v>
      </c>
      <c r="K3148" s="1">
        <v>0.1</v>
      </c>
      <c r="L3148" s="1">
        <v>4580000.0</v>
      </c>
      <c r="M3148" s="1" t="s">
        <v>8861</v>
      </c>
      <c r="N3148" s="18">
        <v>46036.0</v>
      </c>
      <c r="O3148" s="1" t="s">
        <v>3264</v>
      </c>
      <c r="P3148" s="1" t="s">
        <v>3230</v>
      </c>
      <c r="Q3148" s="1" t="s">
        <v>3408</v>
      </c>
    </row>
    <row r="3149">
      <c r="A3149" s="1" t="s">
        <v>8862</v>
      </c>
      <c r="B3149" s="1">
        <v>98.0</v>
      </c>
      <c r="C3149" s="1">
        <v>50.0</v>
      </c>
      <c r="D3149" s="2" t="s">
        <v>581</v>
      </c>
      <c r="E3149" s="1">
        <v>98.0</v>
      </c>
      <c r="F3149" s="1">
        <v>0.0</v>
      </c>
      <c r="G3149" s="1">
        <v>15.32</v>
      </c>
      <c r="H3149" s="1">
        <v>0.0</v>
      </c>
      <c r="I3149" s="1">
        <v>0.0</v>
      </c>
      <c r="J3149" s="1">
        <v>0.0</v>
      </c>
      <c r="K3149" s="1">
        <v>0.21</v>
      </c>
      <c r="L3149" s="1">
        <v>93100.0</v>
      </c>
      <c r="M3149" s="1" t="s">
        <v>8863</v>
      </c>
      <c r="N3149" s="18">
        <v>46032.0</v>
      </c>
      <c r="O3149" s="1" t="s">
        <v>5851</v>
      </c>
      <c r="P3149" s="1" t="s">
        <v>3257</v>
      </c>
      <c r="Q3149" s="1" t="s">
        <v>3408</v>
      </c>
    </row>
    <row r="3150">
      <c r="A3150" s="1" t="s">
        <v>8864</v>
      </c>
      <c r="B3150" s="1">
        <v>98.0</v>
      </c>
      <c r="C3150" s="1">
        <v>50.0</v>
      </c>
      <c r="D3150" s="2" t="s">
        <v>581</v>
      </c>
      <c r="E3150" s="1">
        <v>98.0</v>
      </c>
      <c r="F3150" s="1">
        <v>15.0</v>
      </c>
      <c r="G3150" s="1">
        <v>0.0</v>
      </c>
      <c r="H3150" s="1">
        <v>0.0</v>
      </c>
      <c r="I3150" s="1">
        <v>0.0</v>
      </c>
      <c r="J3150" s="1">
        <v>0.0</v>
      </c>
      <c r="K3150" s="1">
        <v>0.33</v>
      </c>
      <c r="L3150" s="1">
        <v>451000.0</v>
      </c>
      <c r="M3150" s="1" t="s">
        <v>4908</v>
      </c>
      <c r="N3150" s="18">
        <v>46032.0</v>
      </c>
      <c r="O3150" s="1" t="s">
        <v>6936</v>
      </c>
      <c r="P3150" s="1" t="s">
        <v>3257</v>
      </c>
      <c r="Q3150" s="1" t="s">
        <v>3408</v>
      </c>
    </row>
    <row r="3151">
      <c r="A3151" s="1" t="s">
        <v>6826</v>
      </c>
      <c r="B3151" s="1">
        <v>98.0</v>
      </c>
      <c r="C3151" s="1">
        <v>40.0</v>
      </c>
      <c r="D3151" s="2" t="s">
        <v>584</v>
      </c>
      <c r="E3151" s="1">
        <v>98.0</v>
      </c>
      <c r="F3151" s="1">
        <v>0.0</v>
      </c>
      <c r="G3151" s="1">
        <v>0.0</v>
      </c>
      <c r="H3151" s="1">
        <v>0.0</v>
      </c>
      <c r="I3151" s="1">
        <v>0.0</v>
      </c>
      <c r="J3151" s="1">
        <v>0.0</v>
      </c>
      <c r="K3151" s="1">
        <v>0.0</v>
      </c>
      <c r="L3151" s="1">
        <v>797000.0</v>
      </c>
      <c r="M3151" s="1" t="s">
        <v>6827</v>
      </c>
      <c r="N3151" s="18">
        <v>46031.0</v>
      </c>
      <c r="O3151" s="1" t="s">
        <v>4084</v>
      </c>
      <c r="P3151" s="1" t="s">
        <v>3257</v>
      </c>
      <c r="Q3151" s="1" t="s">
        <v>3408</v>
      </c>
    </row>
    <row r="3152">
      <c r="A3152" s="1" t="s">
        <v>3958</v>
      </c>
      <c r="B3152" s="1">
        <v>98.0</v>
      </c>
      <c r="C3152" s="1">
        <v>50.0</v>
      </c>
      <c r="D3152" s="2" t="s">
        <v>676</v>
      </c>
      <c r="E3152" s="1">
        <v>98.0</v>
      </c>
      <c r="F3152" s="1">
        <v>19.0</v>
      </c>
      <c r="G3152" s="1">
        <v>13.5</v>
      </c>
      <c r="H3152" s="1">
        <v>0.0</v>
      </c>
      <c r="I3152" s="1">
        <v>0.0</v>
      </c>
      <c r="J3152" s="1">
        <v>0.0</v>
      </c>
      <c r="K3152" s="1">
        <v>0.76</v>
      </c>
      <c r="L3152" s="1">
        <v>5310000.0</v>
      </c>
      <c r="M3152" s="1" t="s">
        <v>3959</v>
      </c>
      <c r="N3152" s="18">
        <v>46026.0</v>
      </c>
      <c r="O3152" s="1" t="s">
        <v>3686</v>
      </c>
      <c r="P3152" s="1" t="s">
        <v>3257</v>
      </c>
      <c r="Q3152" s="1" t="s">
        <v>3408</v>
      </c>
    </row>
    <row r="3153">
      <c r="A3153" s="1" t="s">
        <v>7320</v>
      </c>
      <c r="B3153" s="1">
        <v>98.0</v>
      </c>
      <c r="C3153" s="1">
        <v>40.0</v>
      </c>
      <c r="D3153" s="2" t="s">
        <v>1981</v>
      </c>
      <c r="E3153" s="1">
        <v>98.0</v>
      </c>
      <c r="F3153" s="1">
        <v>18.0</v>
      </c>
      <c r="G3153" s="1">
        <v>6.72</v>
      </c>
      <c r="H3153" s="1">
        <v>0.0</v>
      </c>
      <c r="I3153" s="1">
        <v>0.0</v>
      </c>
      <c r="J3153" s="1">
        <v>0.0</v>
      </c>
      <c r="K3153" s="1">
        <v>0.74</v>
      </c>
      <c r="L3153" s="1">
        <v>2.92E8</v>
      </c>
      <c r="M3153" s="1" t="s">
        <v>7321</v>
      </c>
      <c r="N3153" s="18">
        <v>46023.0</v>
      </c>
      <c r="O3153" s="1" t="s">
        <v>4576</v>
      </c>
      <c r="P3153" s="1" t="s">
        <v>3257</v>
      </c>
      <c r="Q3153" s="1" t="s">
        <v>3408</v>
      </c>
    </row>
    <row r="3154">
      <c r="A3154" s="1" t="s">
        <v>8865</v>
      </c>
      <c r="B3154" s="1">
        <v>98.0</v>
      </c>
      <c r="C3154" s="1">
        <v>50.0</v>
      </c>
      <c r="D3154" s="2" t="s">
        <v>1912</v>
      </c>
      <c r="E3154" s="1">
        <v>98.0</v>
      </c>
      <c r="F3154" s="1">
        <v>10.0</v>
      </c>
      <c r="G3154" s="1">
        <v>0.0</v>
      </c>
      <c r="H3154" s="1">
        <v>0.0</v>
      </c>
      <c r="I3154" s="1">
        <v>0.0</v>
      </c>
      <c r="J3154" s="1">
        <v>0.0</v>
      </c>
      <c r="K3154" s="1">
        <v>0.33</v>
      </c>
      <c r="L3154" s="1">
        <v>273000.0</v>
      </c>
      <c r="M3154" s="1" t="s">
        <v>8866</v>
      </c>
      <c r="N3154" s="18">
        <v>46022.0</v>
      </c>
      <c r="O3154" s="1" t="s">
        <v>4643</v>
      </c>
      <c r="P3154" s="1" t="s">
        <v>3334</v>
      </c>
      <c r="Q3154" s="1" t="s">
        <v>3408</v>
      </c>
    </row>
    <row r="3155">
      <c r="A3155" s="1" t="s">
        <v>8867</v>
      </c>
      <c r="B3155" s="1">
        <v>98.0</v>
      </c>
      <c r="C3155" s="1">
        <v>50.0</v>
      </c>
      <c r="D3155" s="2" t="s">
        <v>782</v>
      </c>
      <c r="E3155" s="1">
        <v>98.0</v>
      </c>
      <c r="F3155" s="1">
        <v>6.0</v>
      </c>
      <c r="G3155" s="1">
        <v>15.86</v>
      </c>
      <c r="H3155" s="1">
        <v>0.0</v>
      </c>
      <c r="I3155" s="1">
        <v>0.0</v>
      </c>
      <c r="J3155" s="1">
        <v>0.0</v>
      </c>
      <c r="K3155" s="1">
        <v>0.25</v>
      </c>
      <c r="L3155" s="1">
        <v>8.8E7</v>
      </c>
      <c r="M3155" s="1" t="s">
        <v>8868</v>
      </c>
      <c r="N3155" s="18">
        <v>46022.0</v>
      </c>
      <c r="O3155" s="1" t="s">
        <v>3840</v>
      </c>
      <c r="P3155" s="1" t="s">
        <v>3230</v>
      </c>
      <c r="Q3155" s="1" t="s">
        <v>3408</v>
      </c>
    </row>
    <row r="3156">
      <c r="A3156" s="1" t="s">
        <v>8869</v>
      </c>
      <c r="B3156" s="1">
        <v>98.0</v>
      </c>
      <c r="C3156" s="1">
        <v>40.0</v>
      </c>
      <c r="D3156" s="2" t="s">
        <v>439</v>
      </c>
      <c r="E3156" s="1">
        <v>98.0</v>
      </c>
      <c r="F3156" s="1">
        <v>10.0</v>
      </c>
      <c r="G3156" s="1">
        <v>5.01</v>
      </c>
      <c r="H3156" s="1">
        <v>0.0</v>
      </c>
      <c r="I3156" s="1">
        <v>0.0</v>
      </c>
      <c r="J3156" s="1">
        <v>0.0</v>
      </c>
      <c r="K3156" s="1">
        <v>0.24</v>
      </c>
      <c r="L3156" s="1">
        <v>4.27E7</v>
      </c>
      <c r="M3156" s="1" t="s">
        <v>8870</v>
      </c>
      <c r="N3156" s="18">
        <v>46020.0</v>
      </c>
      <c r="O3156" s="1" t="s">
        <v>3404</v>
      </c>
      <c r="P3156" s="1" t="s">
        <v>3257</v>
      </c>
      <c r="Q3156" s="1" t="s">
        <v>3408</v>
      </c>
    </row>
    <row r="3157">
      <c r="A3157" s="1" t="s">
        <v>8871</v>
      </c>
      <c r="B3157" s="1">
        <v>98.0</v>
      </c>
      <c r="C3157" s="1">
        <v>70.0</v>
      </c>
      <c r="D3157" s="2" t="s">
        <v>447</v>
      </c>
      <c r="E3157" s="1">
        <v>98.0</v>
      </c>
      <c r="F3157" s="1">
        <v>31.0</v>
      </c>
      <c r="G3157" s="1">
        <v>3.26</v>
      </c>
      <c r="H3157" s="1">
        <v>0.0</v>
      </c>
      <c r="I3157" s="1">
        <v>0.0</v>
      </c>
      <c r="J3157" s="1">
        <v>0.0</v>
      </c>
      <c r="K3157" s="1">
        <v>0.52</v>
      </c>
      <c r="L3157" s="1">
        <v>14700.0</v>
      </c>
      <c r="M3157" s="1" t="s">
        <v>8872</v>
      </c>
      <c r="N3157" s="18">
        <v>46018.0</v>
      </c>
      <c r="O3157" s="1" t="s">
        <v>3415</v>
      </c>
      <c r="P3157" s="1" t="s">
        <v>3257</v>
      </c>
      <c r="Q3157" s="1" t="s">
        <v>3408</v>
      </c>
    </row>
    <row r="3158">
      <c r="A3158" s="1" t="s">
        <v>8873</v>
      </c>
      <c r="B3158" s="1">
        <v>98.0</v>
      </c>
      <c r="C3158" s="1">
        <v>90.0</v>
      </c>
      <c r="D3158" s="2" t="s">
        <v>581</v>
      </c>
      <c r="E3158" s="1">
        <v>98.0</v>
      </c>
      <c r="F3158" s="1">
        <v>4.0</v>
      </c>
      <c r="G3158" s="1">
        <v>18.49</v>
      </c>
      <c r="H3158" s="1">
        <v>0.0</v>
      </c>
      <c r="I3158" s="1">
        <v>0.0</v>
      </c>
      <c r="J3158" s="1">
        <v>0.0</v>
      </c>
      <c r="K3158" s="1">
        <v>0.86</v>
      </c>
      <c r="L3158" s="1">
        <v>7080000.0</v>
      </c>
      <c r="M3158" s="1" t="s">
        <v>8874</v>
      </c>
      <c r="N3158" s="18">
        <v>46016.0</v>
      </c>
      <c r="O3158" s="1" t="s">
        <v>4255</v>
      </c>
      <c r="P3158" s="1" t="s">
        <v>3257</v>
      </c>
      <c r="Q3158" s="1" t="s">
        <v>3408</v>
      </c>
    </row>
    <row r="3159">
      <c r="A3159" s="1" t="s">
        <v>6331</v>
      </c>
      <c r="B3159" s="1">
        <v>98.0</v>
      </c>
      <c r="C3159" s="1">
        <v>90.0</v>
      </c>
      <c r="D3159" s="2" t="s">
        <v>439</v>
      </c>
      <c r="E3159" s="1">
        <v>98.0</v>
      </c>
      <c r="F3159" s="1">
        <v>3.0</v>
      </c>
      <c r="G3159" s="1">
        <v>3.14</v>
      </c>
      <c r="H3159" s="1">
        <v>0.0</v>
      </c>
      <c r="I3159" s="1">
        <v>0.0</v>
      </c>
      <c r="J3159" s="1">
        <v>0.0</v>
      </c>
      <c r="K3159" s="1">
        <v>0.14</v>
      </c>
      <c r="L3159" s="1">
        <v>8590000.0</v>
      </c>
      <c r="M3159" s="1" t="s">
        <v>6332</v>
      </c>
      <c r="N3159" s="18">
        <v>46016.0</v>
      </c>
      <c r="O3159" s="1" t="s">
        <v>3404</v>
      </c>
      <c r="P3159" s="1" t="s">
        <v>3257</v>
      </c>
      <c r="Q3159" s="1" t="s">
        <v>3408</v>
      </c>
    </row>
    <row r="3160">
      <c r="A3160" s="1" t="s">
        <v>8875</v>
      </c>
      <c r="B3160" s="1">
        <v>98.0</v>
      </c>
      <c r="C3160" s="1">
        <v>50.0</v>
      </c>
      <c r="D3160" s="2" t="s">
        <v>800</v>
      </c>
      <c r="E3160" s="1">
        <v>98.0</v>
      </c>
      <c r="F3160" s="1">
        <v>0.0</v>
      </c>
      <c r="G3160" s="1">
        <v>0.0</v>
      </c>
      <c r="H3160" s="1">
        <v>0.0</v>
      </c>
      <c r="I3160" s="1">
        <v>0.0</v>
      </c>
      <c r="J3160" s="1">
        <v>0.0</v>
      </c>
      <c r="K3160" s="1">
        <v>0.0</v>
      </c>
      <c r="L3160" s="1">
        <v>1.51E8</v>
      </c>
      <c r="M3160" s="1" t="s">
        <v>8876</v>
      </c>
      <c r="N3160" s="18">
        <v>46016.0</v>
      </c>
      <c r="O3160" s="1" t="s">
        <v>4118</v>
      </c>
      <c r="P3160" s="1" t="s">
        <v>3230</v>
      </c>
      <c r="Q3160" s="1" t="s">
        <v>3408</v>
      </c>
    </row>
    <row r="3161">
      <c r="A3161" s="1" t="s">
        <v>8877</v>
      </c>
      <c r="B3161" s="1">
        <v>98.0</v>
      </c>
      <c r="C3161" s="1">
        <v>50.0</v>
      </c>
      <c r="D3161" s="2" t="s">
        <v>2048</v>
      </c>
      <c r="E3161" s="1">
        <v>98.0</v>
      </c>
      <c r="F3161" s="1">
        <v>14.0</v>
      </c>
      <c r="G3161" s="1">
        <v>0.0</v>
      </c>
      <c r="H3161" s="1">
        <v>0.0</v>
      </c>
      <c r="I3161" s="1">
        <v>0.0</v>
      </c>
      <c r="J3161" s="1">
        <v>0.0</v>
      </c>
      <c r="K3161" s="1">
        <v>0.0</v>
      </c>
      <c r="L3161" s="1">
        <v>1.64E8</v>
      </c>
      <c r="M3161" s="1" t="s">
        <v>8878</v>
      </c>
      <c r="N3161" s="18">
        <v>46013.0</v>
      </c>
      <c r="O3161" s="1" t="s">
        <v>4295</v>
      </c>
      <c r="P3161" s="1" t="s">
        <v>3230</v>
      </c>
      <c r="Q3161" s="1" t="s">
        <v>3408</v>
      </c>
    </row>
    <row r="3162">
      <c r="A3162" s="1" t="s">
        <v>8879</v>
      </c>
      <c r="B3162" s="1">
        <v>98.0</v>
      </c>
      <c r="C3162" s="1">
        <v>70.0</v>
      </c>
      <c r="D3162" s="2" t="s">
        <v>455</v>
      </c>
      <c r="E3162" s="1">
        <v>98.0</v>
      </c>
      <c r="F3162" s="1">
        <v>8.0</v>
      </c>
      <c r="G3162" s="1">
        <v>0.0</v>
      </c>
      <c r="H3162" s="1">
        <v>0.0</v>
      </c>
      <c r="I3162" s="1">
        <v>0.0</v>
      </c>
      <c r="J3162" s="1">
        <v>0.0</v>
      </c>
      <c r="K3162" s="1">
        <v>0.0</v>
      </c>
      <c r="L3162" s="1">
        <v>4820000.0</v>
      </c>
      <c r="M3162" s="1" t="s">
        <v>8880</v>
      </c>
      <c r="N3162" s="18">
        <v>46012.0</v>
      </c>
      <c r="O3162" s="1" t="s">
        <v>3404</v>
      </c>
      <c r="P3162" s="1" t="s">
        <v>3257</v>
      </c>
      <c r="Q3162" s="1" t="s">
        <v>3408</v>
      </c>
    </row>
    <row r="3163">
      <c r="A3163" s="1" t="s">
        <v>8881</v>
      </c>
      <c r="B3163" s="1">
        <v>98.0</v>
      </c>
      <c r="C3163" s="1">
        <v>90.0</v>
      </c>
      <c r="D3163" s="2" t="s">
        <v>2364</v>
      </c>
      <c r="E3163" s="1">
        <v>98.0</v>
      </c>
      <c r="F3163" s="1">
        <v>7.0</v>
      </c>
      <c r="G3163" s="1">
        <v>0.0</v>
      </c>
      <c r="H3163" s="1">
        <v>0.0</v>
      </c>
      <c r="I3163" s="1">
        <v>0.0</v>
      </c>
      <c r="J3163" s="1">
        <v>0.0</v>
      </c>
      <c r="K3163" s="1">
        <v>0.01</v>
      </c>
      <c r="L3163" s="1">
        <v>3860000.0</v>
      </c>
      <c r="M3163" s="1" t="s">
        <v>8882</v>
      </c>
      <c r="N3163" s="18">
        <v>46010.0</v>
      </c>
      <c r="O3163" s="1" t="s">
        <v>4798</v>
      </c>
      <c r="P3163" s="1" t="s">
        <v>3230</v>
      </c>
      <c r="Q3163" s="1" t="s">
        <v>3408</v>
      </c>
    </row>
    <row r="3164">
      <c r="A3164" s="1" t="s">
        <v>8883</v>
      </c>
      <c r="B3164" s="1">
        <v>98.0</v>
      </c>
      <c r="C3164" s="1">
        <v>50.0</v>
      </c>
      <c r="D3164" s="2" t="s">
        <v>659</v>
      </c>
      <c r="E3164" s="1">
        <v>98.0</v>
      </c>
      <c r="F3164" s="1">
        <v>41.0</v>
      </c>
      <c r="G3164" s="1">
        <v>0.0</v>
      </c>
      <c r="H3164" s="1">
        <v>0.0</v>
      </c>
      <c r="I3164" s="1">
        <v>0.0</v>
      </c>
      <c r="J3164" s="1">
        <v>0.0</v>
      </c>
      <c r="K3164" s="1">
        <v>0.05</v>
      </c>
      <c r="L3164" s="1">
        <v>120000.0</v>
      </c>
      <c r="M3164" s="1" t="s">
        <v>8884</v>
      </c>
      <c r="N3164" s="18">
        <v>46009.0</v>
      </c>
      <c r="O3164" s="1" t="s">
        <v>3435</v>
      </c>
      <c r="P3164" s="1" t="s">
        <v>3257</v>
      </c>
      <c r="Q3164" s="1" t="s">
        <v>3408</v>
      </c>
    </row>
    <row r="3165">
      <c r="A3165" s="1" t="s">
        <v>8885</v>
      </c>
      <c r="B3165" s="1">
        <v>98.0</v>
      </c>
      <c r="C3165" s="1">
        <v>590.0</v>
      </c>
      <c r="D3165" s="2" t="s">
        <v>740</v>
      </c>
      <c r="E3165" s="1">
        <v>98.0</v>
      </c>
      <c r="F3165" s="1">
        <v>25.0</v>
      </c>
      <c r="G3165" s="1">
        <v>10.04</v>
      </c>
      <c r="H3165" s="1">
        <v>0.0</v>
      </c>
      <c r="I3165" s="1">
        <v>0.0</v>
      </c>
      <c r="J3165" s="1">
        <v>0.0</v>
      </c>
      <c r="K3165" s="1">
        <v>0.4</v>
      </c>
      <c r="L3165" s="1">
        <v>3.47E8</v>
      </c>
      <c r="M3165" s="1" t="s">
        <v>8886</v>
      </c>
      <c r="N3165" s="18">
        <v>46005.0</v>
      </c>
      <c r="O3165" s="1" t="s">
        <v>3442</v>
      </c>
      <c r="P3165" s="1" t="s">
        <v>3230</v>
      </c>
      <c r="Q3165" s="1" t="s">
        <v>3408</v>
      </c>
    </row>
    <row r="3166">
      <c r="A3166" s="1" t="s">
        <v>8887</v>
      </c>
      <c r="B3166" s="1">
        <v>98.0</v>
      </c>
      <c r="C3166" s="1">
        <v>50.0</v>
      </c>
      <c r="D3166" s="2" t="s">
        <v>439</v>
      </c>
      <c r="E3166" s="1">
        <v>98.0</v>
      </c>
      <c r="F3166" s="1">
        <v>7.0</v>
      </c>
      <c r="G3166" s="1">
        <v>0.0</v>
      </c>
      <c r="H3166" s="1">
        <v>0.0</v>
      </c>
      <c r="I3166" s="1">
        <v>0.0</v>
      </c>
      <c r="J3166" s="1">
        <v>0.0</v>
      </c>
      <c r="K3166" s="1">
        <v>0.01</v>
      </c>
      <c r="L3166" s="1">
        <v>1420.0</v>
      </c>
      <c r="M3166" s="1" t="s">
        <v>8888</v>
      </c>
      <c r="N3166" s="18">
        <v>46004.0</v>
      </c>
      <c r="O3166" s="1" t="s">
        <v>7022</v>
      </c>
      <c r="P3166" s="1" t="s">
        <v>3230</v>
      </c>
      <c r="Q3166" s="1" t="s">
        <v>3408</v>
      </c>
    </row>
    <row r="3167">
      <c r="A3167" s="1" t="s">
        <v>8889</v>
      </c>
      <c r="B3167" s="1">
        <v>98.0</v>
      </c>
      <c r="C3167" s="1">
        <v>170.0</v>
      </c>
      <c r="D3167" s="2" t="s">
        <v>782</v>
      </c>
      <c r="E3167" s="1">
        <v>98.0</v>
      </c>
      <c r="F3167" s="1">
        <v>6.0</v>
      </c>
      <c r="G3167" s="1">
        <v>21.21</v>
      </c>
      <c r="H3167" s="1">
        <v>0.0</v>
      </c>
      <c r="I3167" s="1">
        <v>0.0</v>
      </c>
      <c r="J3167" s="1">
        <v>0.0</v>
      </c>
      <c r="K3167" s="1">
        <v>0.32</v>
      </c>
      <c r="L3167" s="1">
        <v>1.54E8</v>
      </c>
      <c r="M3167" s="1" t="s">
        <v>8890</v>
      </c>
      <c r="N3167" s="18">
        <v>46004.0</v>
      </c>
      <c r="O3167" s="1" t="s">
        <v>4569</v>
      </c>
      <c r="P3167" s="1" t="s">
        <v>3230</v>
      </c>
      <c r="Q3167" s="1" t="s">
        <v>3408</v>
      </c>
    </row>
    <row r="3168">
      <c r="A3168" s="1" t="s">
        <v>8891</v>
      </c>
      <c r="B3168" s="1">
        <v>98.0</v>
      </c>
      <c r="C3168" s="1">
        <v>140.0</v>
      </c>
      <c r="D3168" s="2" t="s">
        <v>979</v>
      </c>
      <c r="E3168" s="1">
        <v>98.0</v>
      </c>
      <c r="F3168" s="1">
        <v>7.0</v>
      </c>
      <c r="G3168" s="1">
        <v>2.83</v>
      </c>
      <c r="H3168" s="1">
        <v>0.0</v>
      </c>
      <c r="I3168" s="1">
        <v>0.0</v>
      </c>
      <c r="J3168" s="1">
        <v>0.0</v>
      </c>
      <c r="K3168" s="1">
        <v>0.11</v>
      </c>
      <c r="L3168" s="1">
        <v>6.26E7</v>
      </c>
      <c r="M3168" s="1" t="s">
        <v>8892</v>
      </c>
      <c r="N3168" s="18">
        <v>46003.0</v>
      </c>
      <c r="O3168" s="1" t="s">
        <v>3821</v>
      </c>
      <c r="P3168" s="1" t="s">
        <v>3334</v>
      </c>
      <c r="Q3168" s="1" t="s">
        <v>3408</v>
      </c>
    </row>
    <row r="3169">
      <c r="A3169" s="1" t="s">
        <v>8893</v>
      </c>
      <c r="B3169" s="1">
        <v>98.0</v>
      </c>
      <c r="C3169" s="1">
        <v>70.0</v>
      </c>
      <c r="D3169" s="2" t="s">
        <v>2963</v>
      </c>
      <c r="E3169" s="1">
        <v>98.0</v>
      </c>
      <c r="F3169" s="1">
        <v>17.0</v>
      </c>
      <c r="G3169" s="1">
        <v>0.0</v>
      </c>
      <c r="H3169" s="1">
        <v>0.0</v>
      </c>
      <c r="I3169" s="1">
        <v>0.0</v>
      </c>
      <c r="J3169" s="1">
        <v>0.0</v>
      </c>
      <c r="K3169" s="1">
        <v>0.29</v>
      </c>
      <c r="L3169" s="1">
        <v>8380000.0</v>
      </c>
      <c r="M3169" s="1" t="s">
        <v>8894</v>
      </c>
      <c r="N3169" s="18">
        <v>46000.0</v>
      </c>
      <c r="O3169" s="1" t="s">
        <v>8895</v>
      </c>
      <c r="P3169" s="1" t="s">
        <v>3230</v>
      </c>
      <c r="Q3169" s="1" t="s">
        <v>3408</v>
      </c>
    </row>
    <row r="3170">
      <c r="A3170" s="1" t="s">
        <v>8896</v>
      </c>
      <c r="B3170" s="1">
        <v>98.0</v>
      </c>
      <c r="C3170" s="1">
        <v>40.0</v>
      </c>
      <c r="D3170" s="2" t="s">
        <v>581</v>
      </c>
      <c r="E3170" s="1">
        <v>98.0</v>
      </c>
      <c r="F3170" s="1">
        <v>12.0</v>
      </c>
      <c r="G3170" s="1">
        <v>0.0</v>
      </c>
      <c r="H3170" s="1">
        <v>0.0</v>
      </c>
      <c r="I3170" s="1">
        <v>0.0</v>
      </c>
      <c r="J3170" s="1">
        <v>0.0</v>
      </c>
      <c r="K3170" s="1">
        <v>0.14</v>
      </c>
      <c r="L3170" s="1">
        <v>185000.0</v>
      </c>
      <c r="M3170" s="1" t="s">
        <v>8897</v>
      </c>
      <c r="N3170" s="18">
        <v>45997.0</v>
      </c>
      <c r="O3170" s="1" t="s">
        <v>3482</v>
      </c>
      <c r="P3170" s="1" t="s">
        <v>3257</v>
      </c>
      <c r="Q3170" s="1" t="s">
        <v>3408</v>
      </c>
    </row>
    <row r="3171">
      <c r="A3171" s="1" t="s">
        <v>8017</v>
      </c>
      <c r="B3171" s="1">
        <v>98.0</v>
      </c>
      <c r="C3171" s="1">
        <v>110.0</v>
      </c>
      <c r="D3171" s="2" t="s">
        <v>746</v>
      </c>
      <c r="E3171" s="1">
        <v>98.0</v>
      </c>
      <c r="F3171" s="1">
        <v>24.0</v>
      </c>
      <c r="G3171" s="1">
        <v>0.51</v>
      </c>
      <c r="H3171" s="1">
        <v>0.0</v>
      </c>
      <c r="I3171" s="1">
        <v>0.0</v>
      </c>
      <c r="J3171" s="1">
        <v>0.0</v>
      </c>
      <c r="K3171" s="1">
        <v>0.03</v>
      </c>
      <c r="L3171" s="1">
        <v>140000.0</v>
      </c>
      <c r="M3171" s="1" t="s">
        <v>6676</v>
      </c>
      <c r="N3171" s="18">
        <v>45997.0</v>
      </c>
      <c r="O3171" s="1" t="s">
        <v>3407</v>
      </c>
      <c r="P3171" s="1" t="s">
        <v>4538</v>
      </c>
      <c r="Q3171" s="1" t="s">
        <v>3408</v>
      </c>
    </row>
    <row r="3172">
      <c r="A3172" s="1" t="s">
        <v>6484</v>
      </c>
      <c r="B3172" s="1">
        <v>98.0</v>
      </c>
      <c r="C3172" s="1">
        <v>40.0</v>
      </c>
      <c r="D3172" s="2" t="s">
        <v>768</v>
      </c>
      <c r="E3172" s="1">
        <v>98.0</v>
      </c>
      <c r="F3172" s="1">
        <v>1.0</v>
      </c>
      <c r="G3172" s="1">
        <v>0.0</v>
      </c>
      <c r="H3172" s="1">
        <v>0.0</v>
      </c>
      <c r="I3172" s="1">
        <v>0.0</v>
      </c>
      <c r="J3172" s="1">
        <v>0.0</v>
      </c>
      <c r="K3172" s="1">
        <v>0.04</v>
      </c>
      <c r="L3172" s="1">
        <v>322000.0</v>
      </c>
      <c r="M3172" s="1" t="s">
        <v>6485</v>
      </c>
      <c r="N3172" s="18">
        <v>45996.0</v>
      </c>
      <c r="O3172" s="1" t="s">
        <v>3317</v>
      </c>
      <c r="P3172" s="1" t="s">
        <v>3230</v>
      </c>
      <c r="Q3172" s="1" t="s">
        <v>3408</v>
      </c>
    </row>
    <row r="3173">
      <c r="A3173" s="1" t="s">
        <v>8898</v>
      </c>
      <c r="B3173" s="1">
        <v>98.0</v>
      </c>
      <c r="C3173" s="1">
        <v>110.0</v>
      </c>
      <c r="D3173" s="2" t="s">
        <v>1166</v>
      </c>
      <c r="E3173" s="1">
        <v>98.0</v>
      </c>
      <c r="F3173" s="1">
        <v>14.0</v>
      </c>
      <c r="G3173" s="1">
        <v>8.39</v>
      </c>
      <c r="H3173" s="1">
        <v>0.0</v>
      </c>
      <c r="I3173" s="1">
        <v>0.0</v>
      </c>
      <c r="J3173" s="1">
        <v>0.0</v>
      </c>
      <c r="K3173" s="1">
        <v>0.48</v>
      </c>
      <c r="L3173" s="1">
        <v>0.0</v>
      </c>
      <c r="M3173" s="1" t="s">
        <v>8899</v>
      </c>
      <c r="N3173" s="18">
        <v>45996.0</v>
      </c>
      <c r="O3173" s="1" t="s">
        <v>8900</v>
      </c>
      <c r="P3173" s="1" t="s">
        <v>3257</v>
      </c>
      <c r="Q3173" s="1" t="s">
        <v>3408</v>
      </c>
    </row>
    <row r="3174">
      <c r="A3174" s="1" t="s">
        <v>8901</v>
      </c>
      <c r="B3174" s="1">
        <v>98.0</v>
      </c>
      <c r="C3174" s="1">
        <v>110.0</v>
      </c>
      <c r="D3174" s="2" t="s">
        <v>447</v>
      </c>
      <c r="E3174" s="1">
        <v>98.0</v>
      </c>
      <c r="F3174" s="1">
        <v>11.0</v>
      </c>
      <c r="G3174" s="1">
        <v>4.01</v>
      </c>
      <c r="H3174" s="1">
        <v>0.0</v>
      </c>
      <c r="I3174" s="1">
        <v>0.0</v>
      </c>
      <c r="J3174" s="1">
        <v>0.0</v>
      </c>
      <c r="K3174" s="1">
        <v>0.41</v>
      </c>
      <c r="L3174" s="1">
        <v>71500.0</v>
      </c>
      <c r="M3174" s="1" t="s">
        <v>8902</v>
      </c>
      <c r="N3174" s="18">
        <v>45993.0</v>
      </c>
      <c r="O3174" s="1" t="s">
        <v>3455</v>
      </c>
      <c r="P3174" s="1" t="s">
        <v>3257</v>
      </c>
      <c r="Q3174" s="1" t="s">
        <v>3408</v>
      </c>
    </row>
    <row r="3175">
      <c r="A3175" s="1" t="s">
        <v>4448</v>
      </c>
      <c r="B3175" s="1">
        <v>98.0</v>
      </c>
      <c r="C3175" s="1">
        <v>30.0</v>
      </c>
      <c r="D3175" s="2" t="s">
        <v>1060</v>
      </c>
      <c r="E3175" s="1">
        <v>98.0</v>
      </c>
      <c r="F3175" s="1">
        <v>37.0</v>
      </c>
      <c r="G3175" s="1">
        <v>14.73</v>
      </c>
      <c r="H3175" s="1">
        <v>0.0</v>
      </c>
      <c r="I3175" s="1">
        <v>0.0</v>
      </c>
      <c r="J3175" s="1">
        <v>0.0</v>
      </c>
      <c r="K3175" s="1">
        <v>0.63</v>
      </c>
      <c r="L3175" s="1">
        <v>988000.0</v>
      </c>
      <c r="M3175" s="1" t="s">
        <v>4449</v>
      </c>
      <c r="N3175" s="18">
        <v>45992.0</v>
      </c>
      <c r="O3175" s="1" t="s">
        <v>3435</v>
      </c>
      <c r="P3175" s="1" t="s">
        <v>3257</v>
      </c>
      <c r="Q3175" s="1" t="s">
        <v>3408</v>
      </c>
    </row>
    <row r="3176">
      <c r="A3176" s="1" t="s">
        <v>8903</v>
      </c>
      <c r="B3176" s="1">
        <v>98.0</v>
      </c>
      <c r="C3176" s="1">
        <v>140.0</v>
      </c>
      <c r="D3176" s="2" t="s">
        <v>439</v>
      </c>
      <c r="E3176" s="1">
        <v>98.0</v>
      </c>
      <c r="F3176" s="1">
        <v>14.0</v>
      </c>
      <c r="G3176" s="1">
        <v>12.81</v>
      </c>
      <c r="H3176" s="1">
        <v>0.0</v>
      </c>
      <c r="I3176" s="1">
        <v>0.0</v>
      </c>
      <c r="J3176" s="1">
        <v>0.0</v>
      </c>
      <c r="K3176" s="1">
        <v>0.03</v>
      </c>
      <c r="L3176" s="1">
        <v>11600.0</v>
      </c>
      <c r="M3176" s="1" t="s">
        <v>8904</v>
      </c>
      <c r="N3176" s="18">
        <v>45991.0</v>
      </c>
      <c r="O3176" s="1" t="s">
        <v>3358</v>
      </c>
      <c r="P3176" s="1" t="s">
        <v>3230</v>
      </c>
      <c r="Q3176" s="1" t="s">
        <v>3408</v>
      </c>
    </row>
    <row r="3177">
      <c r="A3177" s="1" t="s">
        <v>8905</v>
      </c>
      <c r="B3177" s="1">
        <v>98.0</v>
      </c>
      <c r="C3177" s="1">
        <v>140.0</v>
      </c>
      <c r="D3177" s="2" t="s">
        <v>1475</v>
      </c>
      <c r="E3177" s="1">
        <v>98.0</v>
      </c>
      <c r="F3177" s="1">
        <v>0.0</v>
      </c>
      <c r="G3177" s="1">
        <v>0.0</v>
      </c>
      <c r="H3177" s="1">
        <v>0.0</v>
      </c>
      <c r="I3177" s="1">
        <v>0.0</v>
      </c>
      <c r="J3177" s="1">
        <v>0.0</v>
      </c>
      <c r="K3177" s="1">
        <v>0.02</v>
      </c>
      <c r="L3177" s="1">
        <v>10.0</v>
      </c>
      <c r="M3177" s="1" t="s">
        <v>8906</v>
      </c>
      <c r="N3177" s="18">
        <v>45984.0</v>
      </c>
      <c r="O3177" s="1" t="s">
        <v>8907</v>
      </c>
      <c r="P3177" s="1" t="s">
        <v>3230</v>
      </c>
      <c r="Q3177" s="1" t="s">
        <v>3408</v>
      </c>
    </row>
    <row r="3178">
      <c r="A3178" s="1" t="s">
        <v>8908</v>
      </c>
      <c r="B3178" s="1">
        <v>98.0</v>
      </c>
      <c r="C3178" s="1">
        <v>210.0</v>
      </c>
      <c r="D3178" s="2" t="s">
        <v>848</v>
      </c>
      <c r="E3178" s="1">
        <v>98.0</v>
      </c>
      <c r="F3178" s="1">
        <v>0.0</v>
      </c>
      <c r="G3178" s="1">
        <v>0.0</v>
      </c>
      <c r="H3178" s="1">
        <v>0.0</v>
      </c>
      <c r="I3178" s="1">
        <v>0.0</v>
      </c>
      <c r="J3178" s="1">
        <v>0.0</v>
      </c>
      <c r="K3178" s="1">
        <v>0.0</v>
      </c>
      <c r="L3178" s="1">
        <v>7.0</v>
      </c>
      <c r="M3178" s="1" t="s">
        <v>8909</v>
      </c>
      <c r="N3178" s="18">
        <v>45984.0</v>
      </c>
      <c r="O3178" s="1" t="s">
        <v>3565</v>
      </c>
      <c r="P3178" s="1" t="s">
        <v>3230</v>
      </c>
      <c r="Q3178" s="1" t="s">
        <v>3408</v>
      </c>
    </row>
    <row r="3179">
      <c r="A3179" s="1" t="s">
        <v>8910</v>
      </c>
      <c r="B3179" s="1">
        <v>98.0</v>
      </c>
      <c r="C3179" s="1">
        <v>50.0</v>
      </c>
      <c r="D3179" s="2" t="s">
        <v>1912</v>
      </c>
      <c r="E3179" s="1">
        <v>98.0</v>
      </c>
      <c r="F3179" s="1">
        <v>0.0</v>
      </c>
      <c r="G3179" s="1">
        <v>0.0</v>
      </c>
      <c r="H3179" s="1">
        <v>0.0</v>
      </c>
      <c r="I3179" s="1">
        <v>0.0</v>
      </c>
      <c r="J3179" s="1">
        <v>0.0</v>
      </c>
      <c r="K3179" s="1">
        <v>0.02</v>
      </c>
      <c r="L3179" s="1">
        <v>10.0</v>
      </c>
      <c r="M3179" s="1" t="s">
        <v>8911</v>
      </c>
      <c r="N3179" s="18">
        <v>45981.0</v>
      </c>
      <c r="O3179" s="1" t="s">
        <v>3264</v>
      </c>
      <c r="P3179" s="1" t="s">
        <v>3230</v>
      </c>
      <c r="Q3179" s="1" t="s">
        <v>3408</v>
      </c>
    </row>
    <row r="3180">
      <c r="A3180" s="1" t="s">
        <v>8912</v>
      </c>
      <c r="B3180" s="1">
        <v>99.0</v>
      </c>
      <c r="C3180" s="1">
        <v>140.0</v>
      </c>
      <c r="D3180" s="2" t="s">
        <v>1650</v>
      </c>
      <c r="E3180" s="1">
        <v>99.0</v>
      </c>
      <c r="F3180" s="1">
        <v>19.0</v>
      </c>
      <c r="G3180" s="1">
        <v>0.0</v>
      </c>
      <c r="H3180" s="1">
        <v>0.0</v>
      </c>
      <c r="I3180" s="1">
        <v>0.0</v>
      </c>
      <c r="J3180" s="1">
        <v>0.0</v>
      </c>
      <c r="K3180" s="1">
        <v>1.0</v>
      </c>
      <c r="L3180" s="1">
        <v>129000.0</v>
      </c>
      <c r="M3180" s="1" t="s">
        <v>8913</v>
      </c>
      <c r="N3180" s="18">
        <v>46030.0</v>
      </c>
      <c r="O3180" s="1" t="s">
        <v>3720</v>
      </c>
      <c r="P3180" s="1" t="s">
        <v>3257</v>
      </c>
      <c r="Q3180" s="1" t="s">
        <v>3408</v>
      </c>
    </row>
    <row r="3181">
      <c r="A3181" s="1" t="s">
        <v>8914</v>
      </c>
      <c r="B3181" s="1">
        <v>99.0</v>
      </c>
      <c r="C3181" s="1">
        <v>30.0</v>
      </c>
      <c r="D3181" s="2" t="s">
        <v>694</v>
      </c>
      <c r="E3181" s="1">
        <v>99.0</v>
      </c>
      <c r="F3181" s="1">
        <v>18.0</v>
      </c>
      <c r="G3181" s="1">
        <v>1.6</v>
      </c>
      <c r="H3181" s="1">
        <v>0.0</v>
      </c>
      <c r="I3181" s="1">
        <v>0.0</v>
      </c>
      <c r="J3181" s="1">
        <v>0.0</v>
      </c>
      <c r="K3181" s="1">
        <v>0.25</v>
      </c>
      <c r="L3181" s="1">
        <v>8140000.0</v>
      </c>
      <c r="M3181" s="1" t="s">
        <v>8915</v>
      </c>
      <c r="N3181" s="18">
        <v>46028.0</v>
      </c>
      <c r="O3181" s="1" t="s">
        <v>4904</v>
      </c>
      <c r="P3181" s="1" t="s">
        <v>3230</v>
      </c>
      <c r="Q3181" s="1" t="s">
        <v>3408</v>
      </c>
    </row>
    <row r="3182">
      <c r="A3182" s="1" t="s">
        <v>8916</v>
      </c>
      <c r="B3182" s="1">
        <v>99.0</v>
      </c>
      <c r="C3182" s="1">
        <v>70.0</v>
      </c>
      <c r="D3182" s="2" t="s">
        <v>1953</v>
      </c>
      <c r="E3182" s="1">
        <v>99.0</v>
      </c>
      <c r="F3182" s="1">
        <v>21.0</v>
      </c>
      <c r="G3182" s="1">
        <v>0.0</v>
      </c>
      <c r="H3182" s="1">
        <v>0.0</v>
      </c>
      <c r="I3182" s="1">
        <v>0.0</v>
      </c>
      <c r="J3182" s="1">
        <v>0.0</v>
      </c>
      <c r="K3182" s="1">
        <v>0.01</v>
      </c>
      <c r="L3182" s="1">
        <v>3610000.0</v>
      </c>
      <c r="M3182" s="1" t="s">
        <v>8917</v>
      </c>
      <c r="N3182" s="18">
        <v>46027.0</v>
      </c>
      <c r="O3182" s="1" t="s">
        <v>3284</v>
      </c>
      <c r="P3182" s="1" t="s">
        <v>3230</v>
      </c>
      <c r="Q3182" s="1" t="s">
        <v>3408</v>
      </c>
    </row>
    <row r="3183">
      <c r="A3183" s="1" t="s">
        <v>8918</v>
      </c>
      <c r="B3183" s="1">
        <v>99.0</v>
      </c>
      <c r="C3183" s="1">
        <v>30.0</v>
      </c>
      <c r="D3183" s="2" t="s">
        <v>1981</v>
      </c>
      <c r="E3183" s="1">
        <v>99.0</v>
      </c>
      <c r="G3183" s="1">
        <v>5.25</v>
      </c>
      <c r="H3183" s="1">
        <v>0.0</v>
      </c>
      <c r="I3183" s="1">
        <v>0.0</v>
      </c>
      <c r="J3183" s="1">
        <v>0.0</v>
      </c>
      <c r="K3183" s="1">
        <v>0.54</v>
      </c>
      <c r="L3183" s="1">
        <v>9070000.0</v>
      </c>
      <c r="M3183" s="1" t="s">
        <v>8919</v>
      </c>
      <c r="N3183" s="18">
        <v>46027.0</v>
      </c>
      <c r="O3183" s="1" t="s">
        <v>4798</v>
      </c>
      <c r="P3183" s="1" t="s">
        <v>3230</v>
      </c>
      <c r="Q3183" s="1" t="s">
        <v>3408</v>
      </c>
    </row>
    <row r="3184">
      <c r="A3184" s="1" t="s">
        <v>8920</v>
      </c>
      <c r="B3184" s="1">
        <v>99.0</v>
      </c>
      <c r="C3184" s="1">
        <v>50.0</v>
      </c>
      <c r="D3184" s="2" t="s">
        <v>694</v>
      </c>
      <c r="E3184" s="1">
        <v>99.0</v>
      </c>
      <c r="F3184" s="1">
        <v>7.0</v>
      </c>
      <c r="G3184" s="1">
        <v>0.0</v>
      </c>
      <c r="H3184" s="1">
        <v>0.0</v>
      </c>
      <c r="I3184" s="1">
        <v>0.0</v>
      </c>
      <c r="J3184" s="1">
        <v>0.0</v>
      </c>
      <c r="K3184" s="1">
        <v>0.0</v>
      </c>
      <c r="L3184" s="1">
        <v>6260000.0</v>
      </c>
      <c r="M3184" s="1" t="s">
        <v>8921</v>
      </c>
      <c r="N3184" s="18">
        <v>46026.0</v>
      </c>
      <c r="O3184" s="1" t="s">
        <v>7660</v>
      </c>
      <c r="P3184" s="1" t="s">
        <v>3230</v>
      </c>
      <c r="Q3184" s="1" t="s">
        <v>3408</v>
      </c>
    </row>
    <row r="3185">
      <c r="A3185" s="1" t="s">
        <v>8922</v>
      </c>
      <c r="B3185" s="1">
        <v>99.0</v>
      </c>
      <c r="C3185" s="1">
        <v>40.0</v>
      </c>
      <c r="D3185" s="2" t="s">
        <v>581</v>
      </c>
      <c r="E3185" s="1">
        <v>99.0</v>
      </c>
      <c r="F3185" s="1">
        <v>11.0</v>
      </c>
      <c r="G3185" s="1">
        <v>3.57</v>
      </c>
      <c r="H3185" s="1">
        <v>0.0</v>
      </c>
      <c r="I3185" s="1">
        <v>0.0</v>
      </c>
      <c r="J3185" s="1">
        <v>0.0</v>
      </c>
      <c r="K3185" s="1">
        <v>0.1</v>
      </c>
      <c r="L3185" s="1">
        <v>2.24E8</v>
      </c>
      <c r="M3185" s="1" t="s">
        <v>8923</v>
      </c>
      <c r="N3185" s="18">
        <v>46025.0</v>
      </c>
      <c r="O3185" s="1" t="s">
        <v>4278</v>
      </c>
      <c r="P3185" s="1" t="s">
        <v>3334</v>
      </c>
      <c r="Q3185" s="1" t="s">
        <v>3408</v>
      </c>
    </row>
    <row r="3186">
      <c r="A3186" s="1" t="s">
        <v>8924</v>
      </c>
      <c r="B3186" s="1">
        <v>99.0</v>
      </c>
      <c r="C3186" s="1">
        <v>90.0</v>
      </c>
      <c r="D3186" s="2" t="s">
        <v>439</v>
      </c>
      <c r="E3186" s="1">
        <v>99.0</v>
      </c>
      <c r="F3186" s="1">
        <v>15.0</v>
      </c>
      <c r="G3186" s="1">
        <v>5.75</v>
      </c>
      <c r="H3186" s="1">
        <v>0.0</v>
      </c>
      <c r="I3186" s="1">
        <v>0.0</v>
      </c>
      <c r="J3186" s="1">
        <v>0.0</v>
      </c>
      <c r="K3186" s="1">
        <v>0.06</v>
      </c>
      <c r="L3186" s="1">
        <v>5920.0</v>
      </c>
      <c r="M3186" s="1" t="s">
        <v>8925</v>
      </c>
      <c r="N3186" s="18">
        <v>46024.0</v>
      </c>
      <c r="O3186" s="1" t="s">
        <v>8926</v>
      </c>
      <c r="P3186" s="1" t="s">
        <v>3301</v>
      </c>
      <c r="Q3186" s="1" t="s">
        <v>3408</v>
      </c>
    </row>
    <row r="3187">
      <c r="A3187" s="1" t="s">
        <v>8927</v>
      </c>
      <c r="B3187" s="1">
        <v>99.0</v>
      </c>
      <c r="C3187" s="1">
        <v>90.0</v>
      </c>
      <c r="D3187" s="2" t="s">
        <v>762</v>
      </c>
      <c r="E3187" s="1">
        <v>99.0</v>
      </c>
      <c r="F3187" s="1">
        <v>2.0</v>
      </c>
      <c r="G3187" s="1">
        <v>0.0</v>
      </c>
      <c r="H3187" s="1">
        <v>0.0</v>
      </c>
      <c r="I3187" s="1">
        <v>0.0</v>
      </c>
      <c r="J3187" s="1">
        <v>0.0</v>
      </c>
      <c r="K3187" s="1">
        <v>0.0</v>
      </c>
      <c r="L3187" s="1">
        <v>3.53E7</v>
      </c>
      <c r="M3187" s="1" t="s">
        <v>8928</v>
      </c>
      <c r="N3187" s="18">
        <v>46022.0</v>
      </c>
      <c r="O3187" s="1" t="s">
        <v>3258</v>
      </c>
      <c r="P3187" s="1" t="s">
        <v>3257</v>
      </c>
      <c r="Q3187" s="1" t="s">
        <v>3408</v>
      </c>
    </row>
    <row r="3188">
      <c r="A3188" s="1" t="s">
        <v>8929</v>
      </c>
      <c r="B3188" s="1">
        <v>99.0</v>
      </c>
      <c r="C3188" s="1">
        <v>50.0</v>
      </c>
      <c r="D3188" s="2" t="s">
        <v>2191</v>
      </c>
      <c r="E3188" s="1">
        <v>99.0</v>
      </c>
      <c r="F3188" s="1">
        <v>3.0</v>
      </c>
      <c r="G3188" s="1">
        <v>0.0</v>
      </c>
      <c r="H3188" s="1">
        <v>0.0</v>
      </c>
      <c r="I3188" s="1">
        <v>0.0</v>
      </c>
      <c r="J3188" s="1">
        <v>0.0</v>
      </c>
      <c r="K3188" s="1">
        <v>0.0</v>
      </c>
      <c r="L3188" s="1">
        <v>139000.0</v>
      </c>
      <c r="M3188" s="1" t="s">
        <v>8930</v>
      </c>
      <c r="N3188" s="18">
        <v>46021.0</v>
      </c>
      <c r="O3188" s="1" t="s">
        <v>6142</v>
      </c>
      <c r="P3188" s="1" t="s">
        <v>3257</v>
      </c>
      <c r="Q3188" s="1" t="s">
        <v>3408</v>
      </c>
    </row>
    <row r="3189">
      <c r="A3189" s="1" t="s">
        <v>8931</v>
      </c>
      <c r="B3189" s="1">
        <v>99.0</v>
      </c>
      <c r="C3189" s="1">
        <v>90.0</v>
      </c>
      <c r="D3189" s="2" t="s">
        <v>1473</v>
      </c>
      <c r="E3189" s="1">
        <v>99.0</v>
      </c>
      <c r="F3189" s="1">
        <v>39.0</v>
      </c>
      <c r="G3189" s="1">
        <v>6.21</v>
      </c>
      <c r="H3189" s="1">
        <v>0.0</v>
      </c>
      <c r="I3189" s="1">
        <v>0.0</v>
      </c>
      <c r="J3189" s="1">
        <v>0.0</v>
      </c>
      <c r="K3189" s="1">
        <v>0.04</v>
      </c>
      <c r="L3189" s="1">
        <v>1.98E8</v>
      </c>
      <c r="M3189" s="1" t="s">
        <v>8932</v>
      </c>
      <c r="N3189" s="18">
        <v>46021.0</v>
      </c>
      <c r="O3189" s="1" t="s">
        <v>3231</v>
      </c>
      <c r="P3189" s="1" t="s">
        <v>3230</v>
      </c>
      <c r="Q3189" s="1" t="s">
        <v>3408</v>
      </c>
    </row>
    <row r="3190">
      <c r="A3190" s="1" t="s">
        <v>3769</v>
      </c>
      <c r="B3190" s="1">
        <v>99.0</v>
      </c>
      <c r="C3190" s="1">
        <v>90.0</v>
      </c>
      <c r="D3190" s="2" t="s">
        <v>1318</v>
      </c>
      <c r="E3190" s="1">
        <v>99.0</v>
      </c>
      <c r="F3190" s="1">
        <v>19.0</v>
      </c>
      <c r="G3190" s="1">
        <v>9.68</v>
      </c>
      <c r="H3190" s="1">
        <v>0.0</v>
      </c>
      <c r="I3190" s="1">
        <v>0.0</v>
      </c>
      <c r="J3190" s="1">
        <v>0.0</v>
      </c>
      <c r="K3190" s="1">
        <v>0.55</v>
      </c>
      <c r="L3190" s="1">
        <v>852000.0</v>
      </c>
      <c r="M3190" s="1" t="s">
        <v>3770</v>
      </c>
      <c r="N3190" s="18">
        <v>46018.0</v>
      </c>
      <c r="O3190" s="1" t="s">
        <v>3673</v>
      </c>
      <c r="P3190" s="1" t="s">
        <v>3257</v>
      </c>
      <c r="Q3190" s="1" t="s">
        <v>3408</v>
      </c>
    </row>
    <row r="3191">
      <c r="A3191" s="1" t="s">
        <v>8933</v>
      </c>
      <c r="B3191" s="1">
        <v>99.0</v>
      </c>
      <c r="C3191" s="1">
        <v>110.0</v>
      </c>
      <c r="D3191" s="2" t="s">
        <v>581</v>
      </c>
      <c r="E3191" s="1">
        <v>99.0</v>
      </c>
      <c r="F3191" s="1">
        <v>5.0</v>
      </c>
      <c r="G3191" s="1">
        <v>6.35</v>
      </c>
      <c r="H3191" s="1">
        <v>0.0</v>
      </c>
      <c r="I3191" s="1">
        <v>0.0</v>
      </c>
      <c r="J3191" s="1">
        <v>0.0</v>
      </c>
      <c r="K3191" s="1">
        <v>0.6</v>
      </c>
      <c r="L3191" s="1">
        <v>1210000.0</v>
      </c>
      <c r="M3191" s="1" t="s">
        <v>8934</v>
      </c>
      <c r="N3191" s="18">
        <v>46017.0</v>
      </c>
      <c r="O3191" s="1" t="s">
        <v>5310</v>
      </c>
      <c r="P3191" s="1" t="s">
        <v>3230</v>
      </c>
      <c r="Q3191" s="1" t="s">
        <v>3408</v>
      </c>
    </row>
    <row r="3192">
      <c r="A3192" s="1" t="s">
        <v>8935</v>
      </c>
      <c r="B3192" s="1">
        <v>99.0</v>
      </c>
      <c r="C3192" s="1">
        <v>50.0</v>
      </c>
      <c r="D3192" s="2" t="s">
        <v>704</v>
      </c>
      <c r="E3192" s="1">
        <v>99.0</v>
      </c>
      <c r="F3192" s="1">
        <v>9.0</v>
      </c>
      <c r="G3192" s="1">
        <v>0.0</v>
      </c>
      <c r="H3192" s="1">
        <v>0.0</v>
      </c>
      <c r="I3192" s="1">
        <v>0.0</v>
      </c>
      <c r="J3192" s="1">
        <v>0.0</v>
      </c>
      <c r="K3192" s="1">
        <v>0.0</v>
      </c>
      <c r="L3192" s="1">
        <v>3980000.0</v>
      </c>
      <c r="M3192" s="1" t="s">
        <v>8936</v>
      </c>
      <c r="N3192" s="18">
        <v>46017.0</v>
      </c>
      <c r="O3192" s="1" t="s">
        <v>8937</v>
      </c>
      <c r="P3192" s="1" t="s">
        <v>3334</v>
      </c>
      <c r="Q3192" s="1" t="s">
        <v>3408</v>
      </c>
    </row>
    <row r="3193">
      <c r="A3193" s="1" t="s">
        <v>8938</v>
      </c>
      <c r="B3193" s="1">
        <v>99.0</v>
      </c>
      <c r="C3193" s="1">
        <v>90.0</v>
      </c>
      <c r="D3193" s="2" t="s">
        <v>600</v>
      </c>
      <c r="E3193" s="1">
        <v>99.0</v>
      </c>
      <c r="F3193" s="1">
        <v>2.0</v>
      </c>
      <c r="G3193" s="1">
        <v>0.0</v>
      </c>
      <c r="H3193" s="1">
        <v>0.0</v>
      </c>
      <c r="I3193" s="1">
        <v>0.0</v>
      </c>
      <c r="J3193" s="1">
        <v>0.0</v>
      </c>
      <c r="K3193" s="1">
        <v>0.08</v>
      </c>
      <c r="L3193" s="1">
        <v>194000.0</v>
      </c>
      <c r="M3193" s="1" t="s">
        <v>8939</v>
      </c>
      <c r="N3193" s="18">
        <v>46016.0</v>
      </c>
      <c r="O3193" s="1" t="s">
        <v>8340</v>
      </c>
      <c r="P3193" s="1" t="s">
        <v>3257</v>
      </c>
      <c r="Q3193" s="1" t="s">
        <v>3408</v>
      </c>
    </row>
    <row r="3194">
      <c r="A3194" s="1" t="s">
        <v>5963</v>
      </c>
      <c r="B3194" s="1">
        <v>99.0</v>
      </c>
      <c r="C3194" s="1">
        <v>40.0</v>
      </c>
      <c r="D3194" s="2" t="s">
        <v>439</v>
      </c>
      <c r="E3194" s="1">
        <v>99.0</v>
      </c>
      <c r="F3194" s="1">
        <v>5.0</v>
      </c>
      <c r="G3194" s="1">
        <v>0.0</v>
      </c>
      <c r="H3194" s="1">
        <v>0.0</v>
      </c>
      <c r="I3194" s="1">
        <v>0.0</v>
      </c>
      <c r="J3194" s="1">
        <v>0.0</v>
      </c>
      <c r="K3194" s="1">
        <v>0.21</v>
      </c>
      <c r="L3194" s="1">
        <v>1420000.0</v>
      </c>
      <c r="M3194" s="1" t="s">
        <v>5964</v>
      </c>
      <c r="N3194" s="18">
        <v>46015.0</v>
      </c>
      <c r="O3194" s="1" t="s">
        <v>5965</v>
      </c>
      <c r="P3194" s="1" t="s">
        <v>3334</v>
      </c>
      <c r="Q3194" s="1" t="s">
        <v>3408</v>
      </c>
    </row>
    <row r="3195">
      <c r="A3195" s="1" t="s">
        <v>8940</v>
      </c>
      <c r="B3195" s="1">
        <v>99.0</v>
      </c>
      <c r="C3195" s="1">
        <v>70.0</v>
      </c>
      <c r="D3195" s="2" t="s">
        <v>1912</v>
      </c>
      <c r="E3195" s="1">
        <v>99.0</v>
      </c>
      <c r="F3195" s="1">
        <v>7.0</v>
      </c>
      <c r="G3195" s="1">
        <v>0.0</v>
      </c>
      <c r="H3195" s="1">
        <v>0.0</v>
      </c>
      <c r="I3195" s="1">
        <v>0.0</v>
      </c>
      <c r="J3195" s="1">
        <v>0.0</v>
      </c>
      <c r="K3195" s="1">
        <v>0.01</v>
      </c>
      <c r="L3195" s="1">
        <v>49000.0</v>
      </c>
      <c r="M3195" s="1" t="s">
        <v>8941</v>
      </c>
      <c r="N3195" s="18">
        <v>46014.0</v>
      </c>
      <c r="O3195" s="1" t="s">
        <v>3479</v>
      </c>
      <c r="P3195" s="1" t="s">
        <v>3334</v>
      </c>
      <c r="Q3195" s="1" t="s">
        <v>3408</v>
      </c>
    </row>
    <row r="3196">
      <c r="A3196" s="1" t="s">
        <v>8942</v>
      </c>
      <c r="B3196" s="1">
        <v>99.0</v>
      </c>
      <c r="C3196" s="1">
        <v>140.0</v>
      </c>
      <c r="D3196" s="2" t="s">
        <v>746</v>
      </c>
      <c r="E3196" s="1">
        <v>99.0</v>
      </c>
      <c r="F3196" s="1">
        <v>4.0</v>
      </c>
      <c r="G3196" s="1">
        <v>4.93</v>
      </c>
      <c r="H3196" s="1">
        <v>0.0</v>
      </c>
      <c r="I3196" s="1">
        <v>0.0</v>
      </c>
      <c r="J3196" s="1">
        <v>0.0</v>
      </c>
      <c r="K3196" s="1">
        <v>0.04</v>
      </c>
      <c r="L3196" s="1">
        <v>3500000.0</v>
      </c>
      <c r="M3196" s="1" t="s">
        <v>8943</v>
      </c>
      <c r="N3196" s="18">
        <v>46010.0</v>
      </c>
      <c r="O3196" s="1" t="s">
        <v>3479</v>
      </c>
      <c r="P3196" s="1" t="s">
        <v>3230</v>
      </c>
      <c r="Q3196" s="1" t="s">
        <v>3408</v>
      </c>
    </row>
    <row r="3197">
      <c r="A3197" s="1" t="s">
        <v>8944</v>
      </c>
      <c r="B3197" s="1">
        <v>99.0</v>
      </c>
      <c r="C3197" s="1">
        <v>210.0</v>
      </c>
      <c r="D3197" s="2" t="s">
        <v>1327</v>
      </c>
      <c r="E3197" s="1">
        <v>99.0</v>
      </c>
      <c r="F3197" s="1">
        <v>10.0</v>
      </c>
      <c r="G3197" s="1">
        <v>0.0</v>
      </c>
      <c r="H3197" s="1">
        <v>0.0</v>
      </c>
      <c r="I3197" s="1">
        <v>0.0</v>
      </c>
      <c r="J3197" s="1">
        <v>0.0</v>
      </c>
      <c r="K3197" s="1">
        <v>0.0</v>
      </c>
      <c r="L3197" s="1">
        <v>1.19E7</v>
      </c>
      <c r="M3197" s="1" t="s">
        <v>8945</v>
      </c>
      <c r="N3197" s="18">
        <v>46010.0</v>
      </c>
      <c r="O3197" s="1" t="s">
        <v>3407</v>
      </c>
      <c r="P3197" s="1" t="s">
        <v>3230</v>
      </c>
      <c r="Q3197" s="1" t="s">
        <v>3408</v>
      </c>
    </row>
    <row r="3198">
      <c r="A3198" s="1" t="s">
        <v>8946</v>
      </c>
      <c r="B3198" s="1">
        <v>99.0</v>
      </c>
      <c r="C3198" s="1">
        <v>480.0</v>
      </c>
      <c r="D3198" s="2" t="s">
        <v>2249</v>
      </c>
      <c r="E3198" s="1">
        <v>99.0</v>
      </c>
      <c r="F3198" s="1">
        <v>26.0</v>
      </c>
      <c r="G3198" s="1">
        <v>0.0</v>
      </c>
      <c r="H3198" s="1">
        <v>0.0</v>
      </c>
      <c r="I3198" s="1">
        <v>0.0</v>
      </c>
      <c r="J3198" s="1">
        <v>0.0</v>
      </c>
      <c r="K3198" s="1">
        <v>0.0</v>
      </c>
      <c r="L3198" s="1">
        <v>5.6E7</v>
      </c>
      <c r="M3198" s="1" t="s">
        <v>8947</v>
      </c>
      <c r="N3198" s="18">
        <v>46010.0</v>
      </c>
      <c r="O3198" s="1" t="s">
        <v>5571</v>
      </c>
      <c r="P3198" s="1" t="s">
        <v>3230</v>
      </c>
      <c r="Q3198" s="1" t="s">
        <v>3408</v>
      </c>
    </row>
    <row r="3199">
      <c r="A3199" s="1" t="s">
        <v>8948</v>
      </c>
      <c r="B3199" s="1">
        <v>99.0</v>
      </c>
      <c r="C3199" s="1">
        <v>70.0</v>
      </c>
      <c r="D3199" s="2" t="s">
        <v>659</v>
      </c>
      <c r="E3199" s="1">
        <v>99.0</v>
      </c>
      <c r="F3199" s="1">
        <v>17.0</v>
      </c>
      <c r="G3199" s="1">
        <v>0.0</v>
      </c>
      <c r="H3199" s="1">
        <v>0.0</v>
      </c>
      <c r="I3199" s="1">
        <v>0.0</v>
      </c>
      <c r="J3199" s="1">
        <v>0.0</v>
      </c>
      <c r="K3199" s="1">
        <v>0.05</v>
      </c>
      <c r="L3199" s="1">
        <v>150000.0</v>
      </c>
      <c r="M3199" s="1" t="s">
        <v>8949</v>
      </c>
      <c r="N3199" s="18">
        <v>46009.0</v>
      </c>
      <c r="O3199" s="1" t="s">
        <v>3455</v>
      </c>
      <c r="P3199" s="1" t="s">
        <v>3257</v>
      </c>
      <c r="Q3199" s="1" t="s">
        <v>3408</v>
      </c>
    </row>
    <row r="3200">
      <c r="A3200" s="1" t="s">
        <v>8950</v>
      </c>
      <c r="B3200" s="1">
        <v>99.0</v>
      </c>
      <c r="C3200" s="1">
        <v>480.0</v>
      </c>
      <c r="D3200" s="2" t="s">
        <v>841</v>
      </c>
      <c r="E3200" s="1">
        <v>99.0</v>
      </c>
      <c r="F3200" s="1">
        <v>8.0</v>
      </c>
      <c r="G3200" s="1">
        <v>1.31</v>
      </c>
      <c r="H3200" s="1">
        <v>0.0</v>
      </c>
      <c r="I3200" s="1">
        <v>0.0</v>
      </c>
      <c r="J3200" s="1">
        <v>0.0</v>
      </c>
      <c r="K3200" s="1">
        <v>0.03</v>
      </c>
      <c r="L3200" s="1">
        <v>5060000.0</v>
      </c>
      <c r="M3200" s="1" t="s">
        <v>8951</v>
      </c>
      <c r="N3200" s="18">
        <v>46008.0</v>
      </c>
      <c r="O3200" s="1" t="s">
        <v>3237</v>
      </c>
      <c r="P3200" s="1" t="s">
        <v>3230</v>
      </c>
      <c r="Q3200" s="1" t="s">
        <v>3408</v>
      </c>
    </row>
    <row r="3201">
      <c r="A3201" s="1" t="s">
        <v>8952</v>
      </c>
      <c r="B3201" s="1">
        <v>99.0</v>
      </c>
      <c r="C3201" s="1">
        <v>40.0</v>
      </c>
      <c r="D3201" s="2" t="s">
        <v>1469</v>
      </c>
      <c r="E3201" s="1">
        <v>99.0</v>
      </c>
      <c r="F3201" s="1">
        <v>0.0</v>
      </c>
      <c r="G3201" s="1">
        <v>2.69</v>
      </c>
      <c r="H3201" s="1">
        <v>0.0</v>
      </c>
      <c r="I3201" s="1">
        <v>0.0</v>
      </c>
      <c r="J3201" s="1">
        <v>0.0</v>
      </c>
      <c r="K3201" s="1">
        <v>0.21</v>
      </c>
      <c r="L3201" s="1">
        <v>4870000.0</v>
      </c>
      <c r="M3201" s="1" t="s">
        <v>8953</v>
      </c>
      <c r="N3201" s="18">
        <v>46005.0</v>
      </c>
      <c r="O3201" s="1" t="s">
        <v>3479</v>
      </c>
      <c r="P3201" s="1" t="s">
        <v>3230</v>
      </c>
      <c r="Q3201" s="1" t="s">
        <v>3408</v>
      </c>
    </row>
    <row r="3202">
      <c r="A3202" s="1" t="s">
        <v>8954</v>
      </c>
      <c r="B3202" s="1">
        <v>99.0</v>
      </c>
      <c r="C3202" s="1">
        <v>50.0</v>
      </c>
      <c r="D3202" s="2" t="s">
        <v>841</v>
      </c>
      <c r="E3202" s="1">
        <v>99.0</v>
      </c>
      <c r="F3202" s="1">
        <v>0.0</v>
      </c>
      <c r="G3202" s="1">
        <v>0.0</v>
      </c>
      <c r="H3202" s="1">
        <v>0.0</v>
      </c>
      <c r="I3202" s="1">
        <v>0.0</v>
      </c>
      <c r="J3202" s="1">
        <v>0.0</v>
      </c>
      <c r="K3202" s="1">
        <v>0.0</v>
      </c>
      <c r="L3202" s="1">
        <v>5190000.0</v>
      </c>
      <c r="M3202" s="1" t="s">
        <v>8955</v>
      </c>
      <c r="N3202" s="18">
        <v>46003.0</v>
      </c>
      <c r="O3202" s="1" t="s">
        <v>3840</v>
      </c>
      <c r="P3202" s="1" t="s">
        <v>3230</v>
      </c>
      <c r="Q3202" s="1" t="s">
        <v>3408</v>
      </c>
    </row>
    <row r="3203">
      <c r="A3203" s="1" t="s">
        <v>8221</v>
      </c>
      <c r="B3203" s="1">
        <v>99.0</v>
      </c>
      <c r="C3203" s="1">
        <v>70.0</v>
      </c>
      <c r="D3203" s="2" t="s">
        <v>2957</v>
      </c>
      <c r="E3203" s="1">
        <v>99.0</v>
      </c>
      <c r="F3203" s="1">
        <v>3.0</v>
      </c>
      <c r="G3203" s="1">
        <v>0.0</v>
      </c>
      <c r="H3203" s="1">
        <v>0.0</v>
      </c>
      <c r="I3203" s="1">
        <v>0.0</v>
      </c>
      <c r="J3203" s="1">
        <v>0.0</v>
      </c>
      <c r="K3203" s="1">
        <v>0.0</v>
      </c>
      <c r="L3203" s="1">
        <v>1980000.0</v>
      </c>
      <c r="M3203" s="1" t="s">
        <v>8222</v>
      </c>
      <c r="N3203" s="18">
        <v>46000.0</v>
      </c>
      <c r="O3203" s="1" t="s">
        <v>6142</v>
      </c>
      <c r="P3203" s="1" t="s">
        <v>3257</v>
      </c>
      <c r="Q3203" s="1" t="s">
        <v>3408</v>
      </c>
    </row>
    <row r="3204">
      <c r="A3204" s="1" t="s">
        <v>8956</v>
      </c>
      <c r="B3204" s="1">
        <v>99.0</v>
      </c>
      <c r="C3204" s="1">
        <v>30.0</v>
      </c>
      <c r="D3204" s="2" t="s">
        <v>439</v>
      </c>
      <c r="E3204" s="1">
        <v>99.0</v>
      </c>
      <c r="F3204" s="1">
        <v>8.0</v>
      </c>
      <c r="G3204" s="1">
        <v>3.75</v>
      </c>
      <c r="H3204" s="1">
        <v>0.0</v>
      </c>
      <c r="I3204" s="1">
        <v>0.0</v>
      </c>
      <c r="J3204" s="1">
        <v>0.0</v>
      </c>
      <c r="K3204" s="1">
        <v>0.09</v>
      </c>
      <c r="L3204" s="1">
        <v>9.16E7</v>
      </c>
      <c r="M3204" s="1" t="s">
        <v>8957</v>
      </c>
      <c r="N3204" s="18">
        <v>45999.0</v>
      </c>
      <c r="O3204" s="1" t="s">
        <v>4121</v>
      </c>
      <c r="P3204" s="1" t="s">
        <v>3230</v>
      </c>
      <c r="Q3204" s="1" t="s">
        <v>3408</v>
      </c>
    </row>
    <row r="3205">
      <c r="A3205" s="1" t="s">
        <v>6671</v>
      </c>
      <c r="B3205" s="1">
        <v>99.0</v>
      </c>
      <c r="C3205" s="1">
        <v>170.0</v>
      </c>
      <c r="D3205" s="2" t="s">
        <v>2209</v>
      </c>
      <c r="E3205" s="1">
        <v>99.0</v>
      </c>
      <c r="F3205" s="1">
        <v>9.0</v>
      </c>
      <c r="G3205" s="1">
        <v>6.58</v>
      </c>
      <c r="H3205" s="1">
        <v>0.0</v>
      </c>
      <c r="I3205" s="1">
        <v>0.0</v>
      </c>
      <c r="J3205" s="1">
        <v>0.0</v>
      </c>
      <c r="K3205" s="1">
        <v>0.03</v>
      </c>
      <c r="L3205" s="1">
        <v>2890000.0</v>
      </c>
      <c r="M3205" s="1" t="s">
        <v>6672</v>
      </c>
      <c r="N3205" s="18">
        <v>45993.0</v>
      </c>
      <c r="O3205" s="1" t="s">
        <v>3442</v>
      </c>
      <c r="P3205" s="1" t="s">
        <v>3301</v>
      </c>
      <c r="Q3205" s="1" t="s">
        <v>3408</v>
      </c>
    </row>
    <row r="3206">
      <c r="A3206" s="1" t="s">
        <v>5641</v>
      </c>
      <c r="B3206" s="1">
        <v>99.0</v>
      </c>
      <c r="C3206" s="1">
        <v>70.0</v>
      </c>
      <c r="D3206" s="2" t="s">
        <v>1436</v>
      </c>
      <c r="E3206" s="1">
        <v>99.0</v>
      </c>
      <c r="F3206" s="1">
        <v>26.0</v>
      </c>
      <c r="G3206" s="1">
        <v>14.73</v>
      </c>
      <c r="H3206" s="1">
        <v>0.0</v>
      </c>
      <c r="I3206" s="1">
        <v>0.0</v>
      </c>
      <c r="J3206" s="1">
        <v>0.0</v>
      </c>
      <c r="K3206" s="1">
        <v>0.63</v>
      </c>
      <c r="L3206" s="1">
        <v>2060000.0</v>
      </c>
      <c r="M3206" s="1" t="s">
        <v>5642</v>
      </c>
      <c r="N3206" s="18">
        <v>45990.0</v>
      </c>
      <c r="O3206" s="1" t="s">
        <v>3520</v>
      </c>
      <c r="P3206" s="1" t="s">
        <v>3257</v>
      </c>
      <c r="Q3206" s="1" t="s">
        <v>3408</v>
      </c>
    </row>
    <row r="3207">
      <c r="A3207" s="1" t="s">
        <v>8958</v>
      </c>
      <c r="B3207" s="1">
        <v>100.0</v>
      </c>
      <c r="C3207" s="1">
        <v>170.0</v>
      </c>
      <c r="D3207" s="2" t="s">
        <v>2930</v>
      </c>
      <c r="E3207" s="1">
        <v>100.0</v>
      </c>
      <c r="F3207" s="1">
        <v>94.0</v>
      </c>
      <c r="G3207" s="1">
        <v>0.0</v>
      </c>
      <c r="H3207" s="1">
        <v>0.0</v>
      </c>
      <c r="I3207" s="1">
        <v>0.0</v>
      </c>
      <c r="J3207" s="1">
        <v>0.0</v>
      </c>
      <c r="K3207" s="1">
        <v>0.0</v>
      </c>
      <c r="L3207" s="1">
        <v>40800.0</v>
      </c>
      <c r="M3207" s="1" t="s">
        <v>8959</v>
      </c>
      <c r="N3207" s="18">
        <v>46036.0</v>
      </c>
      <c r="O3207" s="1" t="s">
        <v>3407</v>
      </c>
      <c r="P3207" s="1" t="s">
        <v>4538</v>
      </c>
      <c r="Q3207" s="1" t="s">
        <v>3408</v>
      </c>
    </row>
    <row r="3208">
      <c r="A3208" s="1" t="s">
        <v>8960</v>
      </c>
      <c r="B3208" s="1">
        <v>100.0</v>
      </c>
      <c r="C3208" s="1">
        <v>50.0</v>
      </c>
      <c r="D3208" s="2" t="s">
        <v>1316</v>
      </c>
      <c r="E3208" s="1">
        <v>100.0</v>
      </c>
      <c r="F3208" s="1">
        <v>5.0</v>
      </c>
      <c r="G3208" s="1">
        <v>0.0</v>
      </c>
      <c r="H3208" s="1">
        <v>0.0</v>
      </c>
      <c r="I3208" s="1">
        <v>0.0</v>
      </c>
      <c r="J3208" s="1">
        <v>0.0</v>
      </c>
      <c r="K3208" s="1">
        <v>0.0</v>
      </c>
      <c r="L3208" s="1">
        <v>343000.0</v>
      </c>
      <c r="M3208" s="1" t="s">
        <v>8961</v>
      </c>
      <c r="N3208" s="18">
        <v>46033.0</v>
      </c>
      <c r="O3208" s="1" t="s">
        <v>5885</v>
      </c>
      <c r="P3208" s="1" t="s">
        <v>3334</v>
      </c>
      <c r="Q3208" s="1" t="s">
        <v>3408</v>
      </c>
    </row>
    <row r="3209">
      <c r="A3209" s="1" t="s">
        <v>8962</v>
      </c>
      <c r="B3209" s="1">
        <v>100.0</v>
      </c>
      <c r="C3209" s="1">
        <v>590.0</v>
      </c>
      <c r="D3209" s="2" t="s">
        <v>2249</v>
      </c>
      <c r="E3209" s="1">
        <v>100.0</v>
      </c>
      <c r="F3209" s="1">
        <v>13.0</v>
      </c>
      <c r="G3209" s="1">
        <v>0.0</v>
      </c>
      <c r="H3209" s="1">
        <v>0.0</v>
      </c>
      <c r="I3209" s="1">
        <v>0.0</v>
      </c>
      <c r="J3209" s="1">
        <v>0.0</v>
      </c>
      <c r="K3209" s="1">
        <v>0.0</v>
      </c>
      <c r="L3209" s="1">
        <v>3.89E7</v>
      </c>
      <c r="M3209" s="1" t="s">
        <v>8963</v>
      </c>
      <c r="N3209" s="18">
        <v>46030.0</v>
      </c>
      <c r="O3209" s="1" t="s">
        <v>3264</v>
      </c>
      <c r="P3209" s="1" t="s">
        <v>3230</v>
      </c>
      <c r="Q3209" s="1" t="s">
        <v>3408</v>
      </c>
    </row>
    <row r="3210">
      <c r="A3210" s="1" t="s">
        <v>8964</v>
      </c>
      <c r="B3210" s="1">
        <v>100.0</v>
      </c>
      <c r="C3210" s="1">
        <v>110.0</v>
      </c>
      <c r="D3210" s="2" t="s">
        <v>1981</v>
      </c>
      <c r="E3210" s="1">
        <v>100.0</v>
      </c>
      <c r="F3210" s="1">
        <v>21.0</v>
      </c>
      <c r="G3210" s="1">
        <v>6.72</v>
      </c>
      <c r="H3210" s="1">
        <v>0.0</v>
      </c>
      <c r="I3210" s="1">
        <v>0.0</v>
      </c>
      <c r="J3210" s="1">
        <v>0.0</v>
      </c>
      <c r="K3210" s="1">
        <v>0.74</v>
      </c>
      <c r="L3210" s="1">
        <v>2.56E8</v>
      </c>
      <c r="M3210" s="1" t="s">
        <v>8965</v>
      </c>
      <c r="N3210" s="18">
        <v>46023.0</v>
      </c>
      <c r="O3210" s="1" t="s">
        <v>3691</v>
      </c>
      <c r="P3210" s="1" t="s">
        <v>3257</v>
      </c>
      <c r="Q3210" s="1" t="s">
        <v>3408</v>
      </c>
    </row>
    <row r="3211">
      <c r="A3211" s="1" t="s">
        <v>8966</v>
      </c>
      <c r="B3211" s="1">
        <v>100.0</v>
      </c>
      <c r="C3211" s="1">
        <v>70.0</v>
      </c>
      <c r="D3211" s="2" t="s">
        <v>581</v>
      </c>
      <c r="E3211" s="1">
        <v>100.0</v>
      </c>
      <c r="F3211" s="1">
        <v>1.0</v>
      </c>
      <c r="G3211" s="1">
        <v>0.0</v>
      </c>
      <c r="H3211" s="1">
        <v>0.0</v>
      </c>
      <c r="I3211" s="1">
        <v>0.0</v>
      </c>
      <c r="J3211" s="1">
        <v>0.0</v>
      </c>
      <c r="K3211" s="1">
        <v>0.24</v>
      </c>
      <c r="L3211" s="1">
        <v>583000.0</v>
      </c>
      <c r="M3211" s="1" t="s">
        <v>8967</v>
      </c>
      <c r="N3211" s="18">
        <v>46022.0</v>
      </c>
      <c r="O3211" s="1" t="s">
        <v>3432</v>
      </c>
      <c r="P3211" s="1" t="s">
        <v>3257</v>
      </c>
      <c r="Q3211" s="1" t="s">
        <v>3408</v>
      </c>
    </row>
    <row r="3212">
      <c r="A3212" s="1" t="s">
        <v>8968</v>
      </c>
      <c r="B3212" s="1">
        <v>100.0</v>
      </c>
      <c r="C3212" s="1">
        <v>140.0</v>
      </c>
      <c r="D3212" s="2" t="s">
        <v>1868</v>
      </c>
      <c r="E3212" s="1">
        <v>100.0</v>
      </c>
      <c r="F3212" s="1">
        <v>40.0</v>
      </c>
      <c r="G3212" s="1">
        <v>4.04</v>
      </c>
      <c r="H3212" s="1">
        <v>0.0</v>
      </c>
      <c r="I3212" s="1">
        <v>0.0</v>
      </c>
      <c r="J3212" s="1">
        <v>0.0</v>
      </c>
      <c r="K3212" s="1">
        <v>0.01</v>
      </c>
      <c r="L3212" s="1">
        <v>4.17E8</v>
      </c>
      <c r="M3212" s="1" t="s">
        <v>8969</v>
      </c>
      <c r="N3212" s="18">
        <v>46016.0</v>
      </c>
      <c r="P3212" s="1" t="s">
        <v>3230</v>
      </c>
      <c r="Q3212" s="1" t="s">
        <v>3408</v>
      </c>
    </row>
    <row r="3213">
      <c r="A3213" s="1" t="s">
        <v>8970</v>
      </c>
      <c r="B3213" s="1">
        <v>100.0</v>
      </c>
      <c r="C3213" s="1">
        <v>40.0</v>
      </c>
      <c r="D3213" s="2" t="s">
        <v>2938</v>
      </c>
      <c r="E3213" s="1">
        <v>100.0</v>
      </c>
      <c r="F3213" s="1">
        <v>8.0</v>
      </c>
      <c r="G3213" s="1">
        <v>7.67</v>
      </c>
      <c r="H3213" s="1">
        <v>0.0</v>
      </c>
      <c r="I3213" s="1">
        <v>0.0</v>
      </c>
      <c r="J3213" s="1">
        <v>0.0</v>
      </c>
      <c r="K3213" s="1">
        <v>0.79</v>
      </c>
      <c r="L3213" s="1">
        <v>593000.0</v>
      </c>
      <c r="M3213" s="1" t="s">
        <v>8971</v>
      </c>
      <c r="N3213" s="18">
        <v>46015.0</v>
      </c>
      <c r="O3213" s="1" t="s">
        <v>5951</v>
      </c>
      <c r="P3213" s="1" t="s">
        <v>3257</v>
      </c>
      <c r="Q3213" s="1" t="s">
        <v>3408</v>
      </c>
    </row>
    <row r="3214">
      <c r="A3214" s="1" t="s">
        <v>8972</v>
      </c>
      <c r="B3214" s="1">
        <v>100.0</v>
      </c>
      <c r="C3214" s="1">
        <v>70.0</v>
      </c>
      <c r="D3214" s="2" t="s">
        <v>665</v>
      </c>
      <c r="E3214" s="1">
        <v>100.0</v>
      </c>
      <c r="F3214" s="1">
        <v>1.0</v>
      </c>
      <c r="G3214" s="1">
        <v>0.0</v>
      </c>
      <c r="H3214" s="1">
        <v>0.0</v>
      </c>
      <c r="I3214" s="1">
        <v>0.0</v>
      </c>
      <c r="J3214" s="1">
        <v>0.0</v>
      </c>
      <c r="K3214" s="1">
        <v>0.02</v>
      </c>
      <c r="L3214" s="1">
        <v>351000.0</v>
      </c>
      <c r="M3214" s="1" t="s">
        <v>8973</v>
      </c>
      <c r="N3214" s="18">
        <v>46013.0</v>
      </c>
      <c r="O3214" s="1" t="s">
        <v>4134</v>
      </c>
      <c r="P3214" s="1" t="s">
        <v>3334</v>
      </c>
      <c r="Q3214" s="1" t="s">
        <v>3408</v>
      </c>
    </row>
    <row r="3215">
      <c r="A3215" s="1" t="s">
        <v>8974</v>
      </c>
      <c r="B3215" s="1">
        <v>100.0</v>
      </c>
      <c r="C3215" s="1">
        <v>40.0</v>
      </c>
      <c r="D3215" s="2" t="s">
        <v>1454</v>
      </c>
      <c r="E3215" s="1">
        <v>100.0</v>
      </c>
      <c r="F3215" s="1">
        <v>27.0</v>
      </c>
      <c r="G3215" s="1">
        <v>0.0</v>
      </c>
      <c r="H3215" s="1">
        <v>0.0</v>
      </c>
      <c r="I3215" s="1">
        <v>0.0</v>
      </c>
      <c r="J3215" s="1">
        <v>0.0</v>
      </c>
      <c r="K3215" s="1">
        <v>0.0</v>
      </c>
      <c r="L3215" s="1">
        <v>3.72E7</v>
      </c>
      <c r="M3215" s="1" t="s">
        <v>8975</v>
      </c>
      <c r="N3215" s="18">
        <v>46008.0</v>
      </c>
      <c r="O3215" s="1" t="s">
        <v>4839</v>
      </c>
      <c r="P3215" s="1" t="s">
        <v>3301</v>
      </c>
      <c r="Q3215" s="1" t="s">
        <v>3408</v>
      </c>
    </row>
    <row r="3216">
      <c r="A3216" s="1" t="s">
        <v>8976</v>
      </c>
      <c r="B3216" s="1">
        <v>100.0</v>
      </c>
      <c r="C3216" s="1">
        <v>140.0</v>
      </c>
      <c r="D3216" s="2" t="s">
        <v>1295</v>
      </c>
      <c r="E3216" s="1">
        <v>100.0</v>
      </c>
      <c r="F3216" s="1">
        <v>0.0</v>
      </c>
      <c r="G3216" s="1">
        <v>0.0</v>
      </c>
      <c r="H3216" s="1">
        <v>0.0</v>
      </c>
      <c r="I3216" s="1">
        <v>0.0</v>
      </c>
      <c r="J3216" s="1">
        <v>0.0</v>
      </c>
      <c r="K3216" s="1">
        <v>0.0</v>
      </c>
      <c r="L3216" s="1">
        <v>2340000.0</v>
      </c>
      <c r="M3216" s="1" t="s">
        <v>8977</v>
      </c>
      <c r="N3216" s="18">
        <v>45991.0</v>
      </c>
      <c r="O3216" s="1" t="s">
        <v>3479</v>
      </c>
      <c r="P3216" s="1" t="s">
        <v>3230</v>
      </c>
      <c r="Q3216" s="1" t="s">
        <v>3408</v>
      </c>
    </row>
    <row r="3217">
      <c r="A3217" s="1" t="s">
        <v>8978</v>
      </c>
      <c r="B3217" s="1">
        <v>100.0</v>
      </c>
      <c r="C3217" s="1">
        <v>40.0</v>
      </c>
      <c r="D3217" s="2" t="s">
        <v>2273</v>
      </c>
      <c r="E3217" s="1">
        <v>100.0</v>
      </c>
      <c r="F3217" s="1">
        <v>39.0</v>
      </c>
      <c r="G3217" s="1">
        <v>5.13</v>
      </c>
      <c r="H3217" s="1">
        <v>0.0</v>
      </c>
      <c r="I3217" s="1">
        <v>0.0</v>
      </c>
      <c r="J3217" s="1">
        <v>0.0</v>
      </c>
      <c r="K3217" s="1">
        <v>0.22</v>
      </c>
      <c r="L3217" s="1">
        <v>9840000.0</v>
      </c>
      <c r="M3217" s="1" t="s">
        <v>8979</v>
      </c>
      <c r="N3217" s="18">
        <v>45990.0</v>
      </c>
      <c r="O3217" s="1" t="s">
        <v>8980</v>
      </c>
      <c r="P3217" s="1" t="s">
        <v>3230</v>
      </c>
      <c r="Q3217" s="1" t="s">
        <v>3408</v>
      </c>
    </row>
    <row r="3218">
      <c r="A3218" s="1" t="s">
        <v>7636</v>
      </c>
      <c r="B3218" s="1">
        <v>100.0</v>
      </c>
      <c r="C3218" s="1">
        <v>90.0</v>
      </c>
      <c r="D3218" s="2" t="s">
        <v>1475</v>
      </c>
      <c r="E3218" s="1">
        <v>100.0</v>
      </c>
      <c r="F3218" s="1">
        <v>7.0</v>
      </c>
      <c r="G3218" s="1">
        <v>0.0</v>
      </c>
      <c r="H3218" s="1">
        <v>0.0</v>
      </c>
      <c r="I3218" s="1">
        <v>0.0</v>
      </c>
      <c r="J3218" s="1">
        <v>0.0</v>
      </c>
      <c r="K3218" s="1">
        <v>0.01</v>
      </c>
      <c r="L3218" s="1">
        <v>0.0</v>
      </c>
      <c r="M3218" s="1" t="s">
        <v>7637</v>
      </c>
      <c r="N3218" s="18">
        <v>45978.0</v>
      </c>
      <c r="O3218" s="1" t="s">
        <v>4962</v>
      </c>
      <c r="P3218" s="1" t="s">
        <v>3230</v>
      </c>
      <c r="Q3218" s="1" t="s">
        <v>3408</v>
      </c>
    </row>
  </sheetData>
  <autoFilter ref="$A$1:$Q$3220">
    <sortState ref="A1:Q3220">
      <sortCondition ref="B1:B3220"/>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 r:id="rId2968" ref="D2969"/>
    <hyperlink r:id="rId2969" ref="D2970"/>
    <hyperlink r:id="rId2970" ref="D2971"/>
    <hyperlink r:id="rId2971" ref="D2972"/>
    <hyperlink r:id="rId2972" ref="D2973"/>
    <hyperlink r:id="rId2973" ref="D2974"/>
    <hyperlink r:id="rId2974" ref="D2975"/>
    <hyperlink r:id="rId2975" ref="D2976"/>
    <hyperlink r:id="rId2976" ref="D2977"/>
    <hyperlink r:id="rId2977" ref="D2978"/>
    <hyperlink r:id="rId2978" ref="D2979"/>
    <hyperlink r:id="rId2979" ref="D2980"/>
    <hyperlink r:id="rId2980" ref="D2981"/>
    <hyperlink r:id="rId2981" ref="D2982"/>
    <hyperlink r:id="rId2982" ref="D2983"/>
    <hyperlink r:id="rId2983" ref="D2984"/>
    <hyperlink r:id="rId2984" ref="D2985"/>
    <hyperlink r:id="rId2985" ref="D2986"/>
    <hyperlink r:id="rId2986" ref="D2987"/>
    <hyperlink r:id="rId2987" ref="D2988"/>
    <hyperlink r:id="rId2988" ref="D2989"/>
    <hyperlink r:id="rId2989" ref="D2990"/>
    <hyperlink r:id="rId2990" ref="D2991"/>
    <hyperlink r:id="rId2991" ref="D2992"/>
    <hyperlink r:id="rId2992" ref="D2993"/>
    <hyperlink r:id="rId2993" ref="D2994"/>
    <hyperlink r:id="rId2994" ref="D2995"/>
    <hyperlink r:id="rId2995" ref="D2996"/>
    <hyperlink r:id="rId2996" ref="D2997"/>
    <hyperlink r:id="rId2997" ref="D2998"/>
    <hyperlink r:id="rId2998" ref="D2999"/>
    <hyperlink r:id="rId2999" ref="D3000"/>
    <hyperlink r:id="rId3000" ref="D3001"/>
    <hyperlink r:id="rId3001" ref="D3002"/>
    <hyperlink r:id="rId3002" ref="D3003"/>
    <hyperlink r:id="rId3003" ref="D3004"/>
    <hyperlink r:id="rId3004" ref="D3005"/>
    <hyperlink r:id="rId3005" ref="D3006"/>
    <hyperlink r:id="rId3006" ref="D3007"/>
    <hyperlink r:id="rId3007" ref="D3008"/>
    <hyperlink r:id="rId3008" ref="D3009"/>
    <hyperlink r:id="rId3009" ref="D3010"/>
    <hyperlink r:id="rId3010" ref="D3011"/>
    <hyperlink r:id="rId3011" ref="D3012"/>
    <hyperlink r:id="rId3012" ref="D3013"/>
    <hyperlink r:id="rId3013" ref="D3014"/>
    <hyperlink r:id="rId3014" ref="D3015"/>
    <hyperlink r:id="rId3015" ref="D3016"/>
    <hyperlink r:id="rId3016" ref="D3017"/>
    <hyperlink r:id="rId3017" ref="D3018"/>
    <hyperlink r:id="rId3018" ref="D3019"/>
    <hyperlink r:id="rId3019" ref="D3020"/>
    <hyperlink r:id="rId3020" ref="D3021"/>
    <hyperlink r:id="rId3021" ref="D3022"/>
    <hyperlink r:id="rId3022" ref="D3023"/>
    <hyperlink r:id="rId3023" ref="D3024"/>
    <hyperlink r:id="rId3024" ref="D3025"/>
    <hyperlink r:id="rId3025" ref="D3026"/>
    <hyperlink r:id="rId3026" ref="D3027"/>
    <hyperlink r:id="rId3027" ref="D3028"/>
    <hyperlink r:id="rId3028" ref="D3029"/>
    <hyperlink r:id="rId3029" ref="D3030"/>
    <hyperlink r:id="rId3030" ref="D3031"/>
    <hyperlink r:id="rId3031" ref="D3032"/>
    <hyperlink r:id="rId3032" ref="D3033"/>
    <hyperlink r:id="rId3033" ref="D3034"/>
    <hyperlink r:id="rId3034" ref="D3035"/>
    <hyperlink r:id="rId3035" ref="D3036"/>
    <hyperlink r:id="rId3036" ref="D3037"/>
    <hyperlink r:id="rId3037" ref="D3038"/>
    <hyperlink r:id="rId3038" ref="D3039"/>
    <hyperlink r:id="rId3039" ref="D3040"/>
    <hyperlink r:id="rId3040" ref="D3041"/>
    <hyperlink r:id="rId3041" ref="D3042"/>
    <hyperlink r:id="rId3042" ref="D3043"/>
    <hyperlink r:id="rId3043" ref="D3044"/>
    <hyperlink r:id="rId3044" ref="D3045"/>
    <hyperlink r:id="rId3045" ref="D3046"/>
    <hyperlink r:id="rId3046" ref="D3047"/>
    <hyperlink r:id="rId3047" ref="D3048"/>
    <hyperlink r:id="rId3048" ref="D3049"/>
    <hyperlink r:id="rId3049" ref="D3050"/>
    <hyperlink r:id="rId3050" ref="D3051"/>
    <hyperlink r:id="rId3051" ref="D3052"/>
    <hyperlink r:id="rId3052" ref="D3053"/>
    <hyperlink r:id="rId3053" ref="D3054"/>
    <hyperlink r:id="rId3054" ref="D3055"/>
    <hyperlink r:id="rId3055" ref="D3056"/>
    <hyperlink r:id="rId3056" ref="D3057"/>
    <hyperlink r:id="rId3057" ref="D3058"/>
    <hyperlink r:id="rId3058" ref="D3059"/>
    <hyperlink r:id="rId3059" ref="D3060"/>
    <hyperlink r:id="rId3060" ref="D3061"/>
    <hyperlink r:id="rId3061" ref="D3062"/>
    <hyperlink r:id="rId3062" ref="D3063"/>
    <hyperlink r:id="rId3063" ref="D3064"/>
    <hyperlink r:id="rId3064" ref="D3065"/>
    <hyperlink r:id="rId3065" ref="D3066"/>
    <hyperlink r:id="rId3066" ref="D3067"/>
    <hyperlink r:id="rId3067" ref="D3068"/>
    <hyperlink r:id="rId3068" ref="D3069"/>
    <hyperlink r:id="rId3069" ref="D3070"/>
    <hyperlink r:id="rId3070" ref="D3071"/>
    <hyperlink r:id="rId3071" ref="D3072"/>
    <hyperlink r:id="rId3072" ref="D3073"/>
    <hyperlink r:id="rId3073" ref="D3074"/>
    <hyperlink r:id="rId3074" ref="D3075"/>
    <hyperlink r:id="rId3075" ref="D3076"/>
    <hyperlink r:id="rId3076" ref="D3077"/>
    <hyperlink r:id="rId3077" ref="D3078"/>
    <hyperlink r:id="rId3078" ref="D3079"/>
    <hyperlink r:id="rId3079" ref="D3080"/>
    <hyperlink r:id="rId3080" ref="D3081"/>
    <hyperlink r:id="rId3081" ref="D3082"/>
    <hyperlink r:id="rId3082" ref="D3083"/>
    <hyperlink r:id="rId3083" ref="D3084"/>
    <hyperlink r:id="rId3084" ref="D3085"/>
    <hyperlink r:id="rId3085" ref="D3086"/>
    <hyperlink r:id="rId3086" ref="D3087"/>
    <hyperlink r:id="rId3087" ref="D3088"/>
    <hyperlink r:id="rId3088" ref="D3089"/>
    <hyperlink r:id="rId3089" ref="D3090"/>
    <hyperlink r:id="rId3090" ref="D3091"/>
    <hyperlink r:id="rId3091" ref="D3092"/>
    <hyperlink r:id="rId3092" ref="D3093"/>
    <hyperlink r:id="rId3093" ref="D3094"/>
    <hyperlink r:id="rId3094" ref="D3095"/>
    <hyperlink r:id="rId3095" ref="D3096"/>
    <hyperlink r:id="rId3096" ref="D3097"/>
    <hyperlink r:id="rId3097" ref="D3098"/>
    <hyperlink r:id="rId3098" ref="D3099"/>
    <hyperlink r:id="rId3099" ref="D3100"/>
    <hyperlink r:id="rId3100" ref="D3101"/>
    <hyperlink r:id="rId3101" ref="D3102"/>
    <hyperlink r:id="rId3102" ref="D3103"/>
    <hyperlink r:id="rId3103" ref="D3104"/>
    <hyperlink r:id="rId3104" ref="D3105"/>
    <hyperlink r:id="rId3105" ref="D3106"/>
    <hyperlink r:id="rId3106" ref="D3107"/>
    <hyperlink r:id="rId3107" ref="D3108"/>
    <hyperlink r:id="rId3108" ref="D3109"/>
    <hyperlink r:id="rId3109" ref="D3110"/>
    <hyperlink r:id="rId3110" ref="D3111"/>
    <hyperlink r:id="rId3111" ref="D3112"/>
    <hyperlink r:id="rId3112" ref="D3113"/>
    <hyperlink r:id="rId3113" ref="D3114"/>
    <hyperlink r:id="rId3114" ref="D3115"/>
    <hyperlink r:id="rId3115" ref="D3116"/>
    <hyperlink r:id="rId3116" ref="D3117"/>
    <hyperlink r:id="rId3117" ref="D3118"/>
    <hyperlink r:id="rId3118" ref="D3119"/>
    <hyperlink r:id="rId3119" ref="D3120"/>
    <hyperlink r:id="rId3120" ref="D3121"/>
    <hyperlink r:id="rId3121" ref="D3122"/>
    <hyperlink r:id="rId3122" ref="D3123"/>
    <hyperlink r:id="rId3123" ref="D3124"/>
    <hyperlink r:id="rId3124" ref="D3125"/>
    <hyperlink r:id="rId3125" ref="D3126"/>
    <hyperlink r:id="rId3126" ref="D3127"/>
    <hyperlink r:id="rId3127" ref="D3128"/>
    <hyperlink r:id="rId3128" ref="D3129"/>
    <hyperlink r:id="rId3129" ref="D3130"/>
    <hyperlink r:id="rId3130" ref="D3131"/>
    <hyperlink r:id="rId3131" ref="D3132"/>
    <hyperlink r:id="rId3132" ref="D3133"/>
    <hyperlink r:id="rId3133" ref="D3134"/>
    <hyperlink r:id="rId3134" ref="D3135"/>
    <hyperlink r:id="rId3135" ref="D3136"/>
    <hyperlink r:id="rId3136" ref="D3137"/>
    <hyperlink r:id="rId3137" ref="D3138"/>
    <hyperlink r:id="rId3138" ref="D3139"/>
    <hyperlink r:id="rId3139" ref="D3140"/>
    <hyperlink r:id="rId3140" ref="D3141"/>
    <hyperlink r:id="rId3141" ref="D3142"/>
    <hyperlink r:id="rId3142" ref="D3143"/>
    <hyperlink r:id="rId3143" ref="D3144"/>
    <hyperlink r:id="rId3144" ref="D3145"/>
    <hyperlink r:id="rId3145" ref="D3146"/>
    <hyperlink r:id="rId3146" ref="D3147"/>
    <hyperlink r:id="rId3147" ref="D3148"/>
    <hyperlink r:id="rId3148" ref="D3149"/>
    <hyperlink r:id="rId3149" ref="D3150"/>
    <hyperlink r:id="rId3150" ref="D3151"/>
    <hyperlink r:id="rId3151" ref="D3152"/>
    <hyperlink r:id="rId3152" ref="D3153"/>
    <hyperlink r:id="rId3153" ref="D3154"/>
    <hyperlink r:id="rId3154" ref="D3155"/>
    <hyperlink r:id="rId3155" ref="D3156"/>
    <hyperlink r:id="rId3156" ref="D3157"/>
    <hyperlink r:id="rId3157" ref="D3158"/>
    <hyperlink r:id="rId3158" ref="D3159"/>
    <hyperlink r:id="rId3159" ref="D3160"/>
    <hyperlink r:id="rId3160" ref="D3161"/>
    <hyperlink r:id="rId3161" ref="D3162"/>
    <hyperlink r:id="rId3162" ref="D3163"/>
    <hyperlink r:id="rId3163" ref="D3164"/>
    <hyperlink r:id="rId3164" ref="D3165"/>
    <hyperlink r:id="rId3165" ref="D3166"/>
    <hyperlink r:id="rId3166" ref="D3167"/>
    <hyperlink r:id="rId3167" ref="D3168"/>
    <hyperlink r:id="rId3168" ref="D3169"/>
    <hyperlink r:id="rId3169" ref="D3170"/>
    <hyperlink r:id="rId3170" ref="D3171"/>
    <hyperlink r:id="rId3171" ref="D3172"/>
    <hyperlink r:id="rId3172" ref="D3173"/>
    <hyperlink r:id="rId3173" ref="D3174"/>
    <hyperlink r:id="rId3174" ref="D3175"/>
    <hyperlink r:id="rId3175" ref="D3176"/>
    <hyperlink r:id="rId3176" ref="D3177"/>
    <hyperlink r:id="rId3177" ref="D3178"/>
    <hyperlink r:id="rId3178" ref="D3179"/>
    <hyperlink r:id="rId3179" ref="D3180"/>
    <hyperlink r:id="rId3180" ref="D3181"/>
    <hyperlink r:id="rId3181" ref="D3182"/>
    <hyperlink r:id="rId3182" ref="D3183"/>
    <hyperlink r:id="rId3183" ref="D3184"/>
    <hyperlink r:id="rId3184" ref="D3185"/>
    <hyperlink r:id="rId3185" ref="D3186"/>
    <hyperlink r:id="rId3186" ref="D3187"/>
    <hyperlink r:id="rId3187" ref="D3188"/>
    <hyperlink r:id="rId3188" ref="D3189"/>
    <hyperlink r:id="rId3189" ref="D3190"/>
    <hyperlink r:id="rId3190" ref="D3191"/>
    <hyperlink r:id="rId3191" ref="D3192"/>
    <hyperlink r:id="rId3192" ref="D3193"/>
    <hyperlink r:id="rId3193" ref="D3194"/>
    <hyperlink r:id="rId3194" ref="D3195"/>
    <hyperlink r:id="rId3195" ref="D3196"/>
    <hyperlink r:id="rId3196" ref="D3197"/>
    <hyperlink r:id="rId3197" ref="D3198"/>
    <hyperlink r:id="rId3198" ref="D3199"/>
    <hyperlink r:id="rId3199" ref="D3200"/>
    <hyperlink r:id="rId3200" ref="D3201"/>
    <hyperlink r:id="rId3201" ref="D3202"/>
    <hyperlink r:id="rId3202" ref="D3203"/>
    <hyperlink r:id="rId3203" ref="D3204"/>
    <hyperlink r:id="rId3204" ref="D3205"/>
    <hyperlink r:id="rId3205" ref="D3206"/>
    <hyperlink r:id="rId3206" ref="D3207"/>
    <hyperlink r:id="rId3207" ref="D3208"/>
    <hyperlink r:id="rId3208" ref="D3209"/>
    <hyperlink r:id="rId3209" ref="D3210"/>
    <hyperlink r:id="rId3210" ref="D3211"/>
    <hyperlink r:id="rId3211" ref="D3212"/>
    <hyperlink r:id="rId3212" ref="D3213"/>
    <hyperlink r:id="rId3213" ref="D3214"/>
    <hyperlink r:id="rId3214" ref="D3215"/>
    <hyperlink r:id="rId3215" ref="D3216"/>
    <hyperlink r:id="rId3216" ref="D3217"/>
    <hyperlink r:id="rId3217" ref="D3218"/>
  </hyperlinks>
  <drawing r:id="rId32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573</v>
      </c>
      <c r="B1" s="1" t="s">
        <v>424</v>
      </c>
      <c r="C1" s="1" t="s">
        <v>574</v>
      </c>
      <c r="D1" s="1" t="s">
        <v>575</v>
      </c>
      <c r="E1" s="1" t="s">
        <v>576</v>
      </c>
      <c r="F1" s="1" t="s">
        <v>577</v>
      </c>
      <c r="G1" s="1" t="s">
        <v>578</v>
      </c>
      <c r="H1" s="1" t="s">
        <v>579</v>
      </c>
      <c r="I1" s="1" t="s">
        <v>580</v>
      </c>
    </row>
    <row r="2">
      <c r="A2" s="2" t="s">
        <v>8981</v>
      </c>
      <c r="B2" s="1">
        <v>200.0</v>
      </c>
      <c r="C2" s="1" t="s">
        <v>8982</v>
      </c>
      <c r="D2" s="1" t="s">
        <v>583</v>
      </c>
      <c r="F2" s="1">
        <v>132.0</v>
      </c>
      <c r="G2" s="1">
        <v>16963.0</v>
      </c>
      <c r="H2" s="1">
        <v>0.008</v>
      </c>
      <c r="I2" s="1">
        <v>35.14</v>
      </c>
    </row>
    <row r="3">
      <c r="A3" s="2" t="s">
        <v>8983</v>
      </c>
      <c r="B3" s="1">
        <v>200.0</v>
      </c>
      <c r="C3" s="1" t="s">
        <v>8984</v>
      </c>
      <c r="D3" s="1" t="s">
        <v>583</v>
      </c>
      <c r="F3" s="1">
        <v>9.0</v>
      </c>
      <c r="G3" s="1">
        <v>225.0</v>
      </c>
      <c r="H3" s="1">
        <v>0.04</v>
      </c>
      <c r="I3" s="1">
        <v>7.82</v>
      </c>
    </row>
    <row r="4">
      <c r="A4" s="2" t="s">
        <v>8985</v>
      </c>
      <c r="B4" s="1">
        <v>200.0</v>
      </c>
      <c r="C4" s="1" t="s">
        <v>8986</v>
      </c>
      <c r="D4" s="1" t="s">
        <v>583</v>
      </c>
      <c r="F4" s="1">
        <v>11.0</v>
      </c>
      <c r="G4" s="1">
        <v>437.0</v>
      </c>
      <c r="H4" s="1">
        <v>0.025</v>
      </c>
      <c r="I4" s="1">
        <v>15.07</v>
      </c>
    </row>
    <row r="5">
      <c r="A5" s="2" t="s">
        <v>8987</v>
      </c>
      <c r="B5" s="1">
        <v>200.0</v>
      </c>
      <c r="C5" s="1" t="s">
        <v>8988</v>
      </c>
      <c r="D5" s="1" t="s">
        <v>583</v>
      </c>
      <c r="F5" s="1">
        <v>7.0</v>
      </c>
      <c r="G5" s="1">
        <v>320.0</v>
      </c>
      <c r="H5" s="1">
        <v>0.022</v>
      </c>
      <c r="I5" s="1">
        <v>14.24</v>
      </c>
    </row>
    <row r="6">
      <c r="A6" s="2" t="s">
        <v>8989</v>
      </c>
      <c r="B6" s="1">
        <v>200.0</v>
      </c>
      <c r="C6" s="1" t="s">
        <v>8990</v>
      </c>
      <c r="D6" s="1" t="s">
        <v>583</v>
      </c>
      <c r="F6" s="1">
        <v>19.0</v>
      </c>
      <c r="G6" s="1">
        <v>11438.0</v>
      </c>
      <c r="H6" s="1">
        <v>0.002</v>
      </c>
      <c r="I6" s="1">
        <v>24.04</v>
      </c>
    </row>
    <row r="7">
      <c r="A7" s="2" t="s">
        <v>8991</v>
      </c>
      <c r="B7" s="1">
        <v>200.0</v>
      </c>
      <c r="C7" s="1" t="s">
        <v>8992</v>
      </c>
      <c r="D7" s="1" t="s">
        <v>583</v>
      </c>
      <c r="F7" s="1">
        <v>4.0</v>
      </c>
      <c r="G7" s="1">
        <v>138.0</v>
      </c>
      <c r="H7" s="1">
        <v>0.029</v>
      </c>
      <c r="I7" s="1">
        <v>17.27</v>
      </c>
    </row>
    <row r="8">
      <c r="A8" s="2" t="s">
        <v>8993</v>
      </c>
      <c r="B8" s="1">
        <v>200.0</v>
      </c>
      <c r="C8" s="1" t="s">
        <v>8994</v>
      </c>
      <c r="D8" s="1" t="s">
        <v>583</v>
      </c>
      <c r="F8" s="1">
        <v>8.0</v>
      </c>
      <c r="G8" s="1">
        <v>486.0</v>
      </c>
      <c r="H8" s="1">
        <v>0.017</v>
      </c>
      <c r="I8" s="1">
        <v>7.27</v>
      </c>
    </row>
    <row r="9">
      <c r="A9" s="2" t="s">
        <v>8995</v>
      </c>
      <c r="B9" s="1">
        <v>200.0</v>
      </c>
      <c r="C9" s="1" t="s">
        <v>8996</v>
      </c>
      <c r="D9" s="1" t="s">
        <v>609</v>
      </c>
      <c r="E9" s="1" t="s">
        <v>930</v>
      </c>
    </row>
    <row r="10">
      <c r="A10" s="2" t="s">
        <v>8997</v>
      </c>
      <c r="B10" s="1">
        <v>200.0</v>
      </c>
      <c r="C10" s="1" t="s">
        <v>8998</v>
      </c>
      <c r="D10" s="1" t="s">
        <v>583</v>
      </c>
      <c r="F10" s="1">
        <v>11.0</v>
      </c>
      <c r="G10" s="1">
        <v>3431.0</v>
      </c>
      <c r="H10" s="1">
        <v>0.003</v>
      </c>
      <c r="I10" s="1">
        <v>11.8</v>
      </c>
    </row>
    <row r="11">
      <c r="A11" s="2" t="s">
        <v>8999</v>
      </c>
      <c r="B11" s="1">
        <v>200.0</v>
      </c>
      <c r="C11" s="1" t="s">
        <v>9000</v>
      </c>
      <c r="D11" s="1" t="s">
        <v>583</v>
      </c>
      <c r="F11" s="1">
        <v>42.0</v>
      </c>
      <c r="G11" s="1">
        <v>1457.0</v>
      </c>
      <c r="H11" s="1">
        <v>0.029</v>
      </c>
      <c r="I11" s="1">
        <v>6.7</v>
      </c>
    </row>
    <row r="12">
      <c r="A12" s="2" t="s">
        <v>291</v>
      </c>
      <c r="B12" s="1">
        <v>200.0</v>
      </c>
      <c r="C12" s="1" t="s">
        <v>9001</v>
      </c>
      <c r="D12" s="1" t="s">
        <v>583</v>
      </c>
      <c r="F12" s="1">
        <v>223.0</v>
      </c>
      <c r="G12" s="1">
        <v>45381.0</v>
      </c>
      <c r="H12" s="1">
        <v>0.005</v>
      </c>
      <c r="I12" s="1">
        <v>15.26</v>
      </c>
    </row>
    <row r="13">
      <c r="A13" s="2" t="s">
        <v>9002</v>
      </c>
      <c r="B13" s="1">
        <v>200.0</v>
      </c>
      <c r="C13" s="1" t="s">
        <v>9003</v>
      </c>
      <c r="D13" s="1" t="s">
        <v>583</v>
      </c>
      <c r="F13" s="1">
        <v>25.0</v>
      </c>
      <c r="G13" s="1">
        <v>2113.0</v>
      </c>
      <c r="H13" s="1">
        <v>0.012</v>
      </c>
      <c r="I13" s="1">
        <v>35.8</v>
      </c>
    </row>
    <row r="14">
      <c r="A14" s="2" t="s">
        <v>9004</v>
      </c>
      <c r="B14" s="1">
        <v>200.0</v>
      </c>
      <c r="C14" s="1" t="s">
        <v>9005</v>
      </c>
      <c r="D14" s="1" t="s">
        <v>583</v>
      </c>
      <c r="F14" s="1">
        <v>35.0</v>
      </c>
      <c r="G14" s="1">
        <v>26256.0</v>
      </c>
      <c r="H14" s="1">
        <v>0.001</v>
      </c>
      <c r="I14" s="1">
        <v>26.18</v>
      </c>
    </row>
    <row r="15">
      <c r="A15" s="2" t="s">
        <v>9006</v>
      </c>
      <c r="B15" s="1">
        <v>200.0</v>
      </c>
      <c r="C15" s="1" t="s">
        <v>9007</v>
      </c>
      <c r="D15" s="1" t="s">
        <v>583</v>
      </c>
      <c r="F15" s="1">
        <v>3.0</v>
      </c>
      <c r="G15" s="1">
        <v>275.0</v>
      </c>
      <c r="H15" s="1">
        <v>0.011</v>
      </c>
      <c r="I15" s="1">
        <v>6.31</v>
      </c>
    </row>
    <row r="16">
      <c r="A16" s="2" t="s">
        <v>265</v>
      </c>
      <c r="B16" s="1">
        <v>200.0</v>
      </c>
      <c r="C16" s="1" t="s">
        <v>9008</v>
      </c>
      <c r="D16" s="1" t="s">
        <v>583</v>
      </c>
      <c r="F16" s="1">
        <v>418.0</v>
      </c>
      <c r="G16" s="1">
        <v>55237.0</v>
      </c>
      <c r="H16" s="1">
        <v>0.008</v>
      </c>
      <c r="I16" s="1">
        <v>11.22</v>
      </c>
    </row>
    <row r="17">
      <c r="A17" s="2" t="s">
        <v>282</v>
      </c>
      <c r="B17" s="1">
        <v>200.0</v>
      </c>
      <c r="C17" s="1" t="s">
        <v>9009</v>
      </c>
      <c r="D17" s="1" t="s">
        <v>583</v>
      </c>
      <c r="F17" s="1">
        <v>121.0</v>
      </c>
      <c r="G17" s="1">
        <v>16050.0</v>
      </c>
      <c r="H17" s="1">
        <v>0.007</v>
      </c>
      <c r="I17" s="1">
        <v>9.42</v>
      </c>
    </row>
    <row r="18">
      <c r="A18" s="2" t="s">
        <v>9010</v>
      </c>
      <c r="B18" s="1">
        <v>200.0</v>
      </c>
      <c r="C18" s="1" t="s">
        <v>9011</v>
      </c>
      <c r="D18" s="1" t="s">
        <v>583</v>
      </c>
      <c r="F18" s="1">
        <v>43.0</v>
      </c>
      <c r="G18" s="1">
        <v>3299.0</v>
      </c>
      <c r="H18" s="1">
        <v>0.013</v>
      </c>
      <c r="I18" s="1">
        <v>13.48</v>
      </c>
    </row>
    <row r="19">
      <c r="A19" s="2" t="s">
        <v>9012</v>
      </c>
      <c r="B19" s="1">
        <v>200.0</v>
      </c>
      <c r="C19" s="1" t="s">
        <v>9013</v>
      </c>
      <c r="D19" s="1" t="s">
        <v>583</v>
      </c>
      <c r="F19" s="1">
        <v>37.0</v>
      </c>
      <c r="G19" s="1">
        <v>31289.0</v>
      </c>
      <c r="H19" s="1">
        <v>0.001</v>
      </c>
      <c r="I19" s="1">
        <v>44.02</v>
      </c>
    </row>
    <row r="20">
      <c r="A20" s="2" t="s">
        <v>9014</v>
      </c>
      <c r="B20" s="1">
        <v>200.0</v>
      </c>
      <c r="C20" s="1" t="s">
        <v>9015</v>
      </c>
      <c r="D20" s="1" t="s">
        <v>583</v>
      </c>
      <c r="F20" s="1">
        <v>33.0</v>
      </c>
      <c r="G20" s="1">
        <v>875.0</v>
      </c>
      <c r="H20" s="1">
        <v>0.038</v>
      </c>
      <c r="I20" s="1">
        <v>9.91</v>
      </c>
    </row>
    <row r="21">
      <c r="A21" s="2" t="s">
        <v>9016</v>
      </c>
      <c r="B21" s="1">
        <v>200.0</v>
      </c>
      <c r="C21" s="1" t="s">
        <v>9017</v>
      </c>
      <c r="D21" s="1" t="s">
        <v>583</v>
      </c>
      <c r="F21" s="1">
        <v>0.0</v>
      </c>
      <c r="G21" s="1">
        <v>16.0</v>
      </c>
      <c r="H21" s="1">
        <v>0.0</v>
      </c>
      <c r="I21" s="1">
        <v>15.94</v>
      </c>
    </row>
    <row r="22">
      <c r="A22" s="2" t="s">
        <v>9018</v>
      </c>
      <c r="B22" s="1">
        <v>200.0</v>
      </c>
      <c r="C22" s="1" t="s">
        <v>9019</v>
      </c>
      <c r="D22" s="1" t="s">
        <v>609</v>
      </c>
      <c r="E22" s="1" t="s">
        <v>930</v>
      </c>
    </row>
    <row r="23">
      <c r="A23" s="2" t="s">
        <v>9020</v>
      </c>
      <c r="B23" s="1">
        <v>200.0</v>
      </c>
      <c r="C23" s="1" t="s">
        <v>9021</v>
      </c>
      <c r="D23" s="1" t="s">
        <v>583</v>
      </c>
      <c r="F23" s="1">
        <v>67.0</v>
      </c>
      <c r="G23" s="1">
        <v>2534.0</v>
      </c>
      <c r="H23" s="1">
        <v>0.026</v>
      </c>
      <c r="I23" s="1">
        <v>13.33</v>
      </c>
    </row>
    <row r="24">
      <c r="A24" s="2" t="s">
        <v>9022</v>
      </c>
      <c r="B24" s="1">
        <v>200.0</v>
      </c>
      <c r="C24" s="1" t="s">
        <v>9023</v>
      </c>
      <c r="D24" s="1" t="s">
        <v>583</v>
      </c>
      <c r="F24" s="1">
        <v>535.0</v>
      </c>
      <c r="G24" s="1">
        <v>58042.0</v>
      </c>
      <c r="H24" s="1">
        <v>0.009</v>
      </c>
      <c r="I24" s="1">
        <v>10.2</v>
      </c>
    </row>
    <row r="25">
      <c r="A25" s="2" t="s">
        <v>254</v>
      </c>
      <c r="B25" s="1">
        <v>200.0</v>
      </c>
      <c r="C25" s="1" t="s">
        <v>9024</v>
      </c>
      <c r="D25" s="1" t="s">
        <v>583</v>
      </c>
      <c r="F25" s="1">
        <v>24.0</v>
      </c>
      <c r="G25" s="1">
        <v>4259.0</v>
      </c>
      <c r="H25" s="1">
        <v>0.006</v>
      </c>
      <c r="I25" s="1">
        <v>15.24</v>
      </c>
    </row>
    <row r="26">
      <c r="A26" s="2" t="s">
        <v>9025</v>
      </c>
      <c r="B26" s="1">
        <v>200.0</v>
      </c>
      <c r="C26" s="1" t="s">
        <v>9026</v>
      </c>
      <c r="D26" s="1" t="s">
        <v>583</v>
      </c>
      <c r="F26" s="1">
        <v>43.0</v>
      </c>
      <c r="G26" s="1">
        <v>1508.0</v>
      </c>
      <c r="H26" s="1">
        <v>0.029</v>
      </c>
      <c r="I26" s="1">
        <v>21.91</v>
      </c>
    </row>
    <row r="27">
      <c r="A27" s="2" t="s">
        <v>9027</v>
      </c>
      <c r="B27" s="1">
        <v>200.0</v>
      </c>
      <c r="C27" s="1" t="s">
        <v>9028</v>
      </c>
      <c r="D27" s="1" t="s">
        <v>583</v>
      </c>
      <c r="F27" s="1">
        <v>33.0</v>
      </c>
      <c r="G27" s="1">
        <v>7707.0</v>
      </c>
      <c r="H27" s="1">
        <v>0.004</v>
      </c>
      <c r="I27" s="1">
        <v>22.59</v>
      </c>
    </row>
    <row r="28">
      <c r="A28" s="2" t="s">
        <v>9029</v>
      </c>
      <c r="B28" s="1">
        <v>200.0</v>
      </c>
      <c r="C28" s="1" t="s">
        <v>9030</v>
      </c>
      <c r="D28" s="1" t="s">
        <v>583</v>
      </c>
      <c r="F28" s="1">
        <v>69.0</v>
      </c>
      <c r="G28" s="1">
        <v>521.0</v>
      </c>
      <c r="H28" s="1">
        <v>0.132</v>
      </c>
      <c r="I28" s="1">
        <v>7.74</v>
      </c>
    </row>
    <row r="29">
      <c r="A29" s="2" t="s">
        <v>9031</v>
      </c>
      <c r="B29" s="1">
        <v>200.0</v>
      </c>
      <c r="C29" s="1" t="s">
        <v>9032</v>
      </c>
      <c r="D29" s="1" t="s">
        <v>583</v>
      </c>
      <c r="F29" s="1">
        <v>1.0</v>
      </c>
      <c r="G29" s="1">
        <v>96.0</v>
      </c>
      <c r="H29" s="1">
        <v>0.01</v>
      </c>
      <c r="I29" s="1">
        <v>25.88</v>
      </c>
    </row>
    <row r="30">
      <c r="A30" s="2" t="s">
        <v>9033</v>
      </c>
      <c r="B30" s="1">
        <v>200.0</v>
      </c>
      <c r="C30" s="1" t="s">
        <v>9034</v>
      </c>
      <c r="D30" s="1" t="s">
        <v>583</v>
      </c>
      <c r="F30" s="1">
        <v>32.0</v>
      </c>
      <c r="G30" s="1">
        <v>1394.0</v>
      </c>
      <c r="H30" s="1">
        <v>0.023</v>
      </c>
      <c r="I30" s="1">
        <v>14.14</v>
      </c>
    </row>
    <row r="31">
      <c r="A31" s="2" t="s">
        <v>288</v>
      </c>
      <c r="B31" s="1">
        <v>200.0</v>
      </c>
      <c r="C31" s="1" t="s">
        <v>9035</v>
      </c>
      <c r="D31" s="1" t="s">
        <v>583</v>
      </c>
      <c r="F31" s="1">
        <v>83.0</v>
      </c>
      <c r="G31" s="1">
        <v>8895.0</v>
      </c>
      <c r="H31" s="1">
        <v>0.009</v>
      </c>
      <c r="I31" s="1">
        <v>18.19</v>
      </c>
    </row>
    <row r="32">
      <c r="A32" s="2" t="s">
        <v>9036</v>
      </c>
      <c r="B32" s="1">
        <v>200.0</v>
      </c>
      <c r="C32" s="1" t="s">
        <v>9037</v>
      </c>
      <c r="D32" s="1" t="s">
        <v>583</v>
      </c>
      <c r="F32" s="1">
        <v>23.0</v>
      </c>
      <c r="G32" s="1">
        <v>4406.0</v>
      </c>
      <c r="H32" s="1">
        <v>0.005</v>
      </c>
      <c r="I32" s="1">
        <v>9.91</v>
      </c>
    </row>
    <row r="33">
      <c r="A33" s="2" t="s">
        <v>9038</v>
      </c>
      <c r="B33" s="1">
        <v>200.0</v>
      </c>
      <c r="C33" s="1" t="s">
        <v>9039</v>
      </c>
      <c r="D33" s="1" t="s">
        <v>583</v>
      </c>
      <c r="F33" s="1">
        <v>57.0</v>
      </c>
      <c r="G33" s="1">
        <v>54396.0</v>
      </c>
      <c r="H33" s="1">
        <v>0.001</v>
      </c>
      <c r="I33" s="1">
        <v>30.34</v>
      </c>
    </row>
    <row r="34">
      <c r="A34" s="2" t="s">
        <v>9040</v>
      </c>
      <c r="B34" s="1">
        <v>200.0</v>
      </c>
      <c r="C34" s="1" t="s">
        <v>9041</v>
      </c>
      <c r="D34" s="1" t="s">
        <v>583</v>
      </c>
      <c r="F34" s="1">
        <v>2.0</v>
      </c>
      <c r="G34" s="1">
        <v>775.0</v>
      </c>
      <c r="H34" s="1">
        <v>0.003</v>
      </c>
      <c r="I34" s="1">
        <v>10.92</v>
      </c>
    </row>
    <row r="35">
      <c r="A35" s="2" t="s">
        <v>9042</v>
      </c>
      <c r="B35" s="1">
        <v>200.0</v>
      </c>
      <c r="C35" s="1" t="s">
        <v>9043</v>
      </c>
      <c r="D35" s="1" t="s">
        <v>583</v>
      </c>
      <c r="F35" s="1">
        <v>8.0</v>
      </c>
      <c r="G35" s="1">
        <v>223.0</v>
      </c>
      <c r="H35" s="1">
        <v>0.036</v>
      </c>
      <c r="I35" s="1">
        <v>8.07</v>
      </c>
    </row>
    <row r="36">
      <c r="A36" s="2" t="s">
        <v>9044</v>
      </c>
      <c r="B36" s="1">
        <v>200.0</v>
      </c>
      <c r="C36" s="1" t="s">
        <v>9045</v>
      </c>
      <c r="D36" s="1" t="s">
        <v>583</v>
      </c>
      <c r="F36" s="1">
        <v>1.0</v>
      </c>
      <c r="G36" s="1">
        <v>648.0</v>
      </c>
      <c r="H36" s="1">
        <v>0.002</v>
      </c>
      <c r="I36" s="1">
        <v>21.14</v>
      </c>
    </row>
    <row r="37">
      <c r="A37" s="2" t="s">
        <v>9046</v>
      </c>
      <c r="B37" s="1">
        <v>200.0</v>
      </c>
      <c r="C37" s="1" t="s">
        <v>9047</v>
      </c>
      <c r="D37" s="1" t="s">
        <v>583</v>
      </c>
      <c r="F37" s="1">
        <v>3550.0</v>
      </c>
      <c r="G37" s="1">
        <v>129097.0</v>
      </c>
      <c r="H37" s="1">
        <v>0.028</v>
      </c>
      <c r="I37" s="1">
        <v>6.57</v>
      </c>
    </row>
    <row r="38">
      <c r="A38" s="2" t="s">
        <v>351</v>
      </c>
      <c r="B38" s="1">
        <v>200.0</v>
      </c>
      <c r="C38" s="1" t="s">
        <v>9048</v>
      </c>
      <c r="D38" s="1" t="s">
        <v>583</v>
      </c>
      <c r="F38" s="1">
        <v>57.0</v>
      </c>
      <c r="G38" s="1">
        <v>19313.0</v>
      </c>
      <c r="H38" s="1">
        <v>0.003</v>
      </c>
      <c r="I38" s="1">
        <v>27.29</v>
      </c>
    </row>
    <row r="39">
      <c r="A39" s="2" t="s">
        <v>261</v>
      </c>
      <c r="B39" s="1">
        <v>200.0</v>
      </c>
      <c r="C39" s="1" t="s">
        <v>9049</v>
      </c>
      <c r="D39" s="1" t="s">
        <v>583</v>
      </c>
      <c r="F39" s="1">
        <v>19.0</v>
      </c>
      <c r="G39" s="1">
        <v>8409.0</v>
      </c>
      <c r="H39" s="1">
        <v>0.002</v>
      </c>
      <c r="I39" s="1">
        <v>17.61</v>
      </c>
    </row>
    <row r="40">
      <c r="A40" s="2" t="s">
        <v>9050</v>
      </c>
      <c r="B40" s="1">
        <v>200.0</v>
      </c>
      <c r="C40" s="1" t="s">
        <v>9051</v>
      </c>
      <c r="D40" s="1" t="s">
        <v>583</v>
      </c>
      <c r="F40" s="1">
        <v>36.0</v>
      </c>
      <c r="G40" s="1">
        <v>3879.0</v>
      </c>
      <c r="H40" s="1">
        <v>0.009</v>
      </c>
      <c r="I40" s="1">
        <v>22.93</v>
      </c>
    </row>
    <row r="41">
      <c r="A41" s="2" t="s">
        <v>247</v>
      </c>
      <c r="B41" s="1">
        <v>200.0</v>
      </c>
      <c r="C41" s="1" t="s">
        <v>9052</v>
      </c>
      <c r="D41" s="1" t="s">
        <v>583</v>
      </c>
      <c r="F41" s="1">
        <v>32.0</v>
      </c>
      <c r="G41" s="1">
        <v>3982.0</v>
      </c>
      <c r="H41" s="1">
        <v>0.008</v>
      </c>
      <c r="I41" s="1">
        <v>28.14</v>
      </c>
    </row>
    <row r="42">
      <c r="A42" s="2" t="s">
        <v>275</v>
      </c>
      <c r="B42" s="1">
        <v>200.0</v>
      </c>
      <c r="C42" s="1" t="s">
        <v>9053</v>
      </c>
      <c r="D42" s="1" t="s">
        <v>583</v>
      </c>
      <c r="F42" s="1">
        <v>16.0</v>
      </c>
      <c r="G42" s="1">
        <v>6498.0</v>
      </c>
      <c r="H42" s="1">
        <v>0.003</v>
      </c>
      <c r="I42" s="1">
        <v>12.88</v>
      </c>
    </row>
    <row r="43">
      <c r="A43" s="2" t="s">
        <v>9054</v>
      </c>
      <c r="B43" s="1">
        <v>200.0</v>
      </c>
      <c r="C43" s="1" t="s">
        <v>9055</v>
      </c>
      <c r="D43" s="1" t="s">
        <v>583</v>
      </c>
      <c r="F43" s="1">
        <v>0.0</v>
      </c>
      <c r="G43" s="1">
        <v>170.0</v>
      </c>
      <c r="H43" s="1">
        <v>0.0</v>
      </c>
      <c r="I43" s="1">
        <v>15.52</v>
      </c>
    </row>
    <row r="44">
      <c r="A44" s="2" t="s">
        <v>271</v>
      </c>
      <c r="B44" s="1">
        <v>200.0</v>
      </c>
      <c r="C44" s="1" t="s">
        <v>9056</v>
      </c>
      <c r="D44" s="1" t="s">
        <v>583</v>
      </c>
      <c r="F44" s="1">
        <v>239.0</v>
      </c>
      <c r="G44" s="1">
        <v>31202.0</v>
      </c>
      <c r="H44" s="1">
        <v>0.008</v>
      </c>
      <c r="I44" s="1">
        <v>12.39</v>
      </c>
    </row>
    <row r="45">
      <c r="A45" s="2" t="s">
        <v>9057</v>
      </c>
      <c r="B45" s="1">
        <v>200.0</v>
      </c>
      <c r="C45" s="1" t="s">
        <v>9058</v>
      </c>
      <c r="D45" s="1" t="s">
        <v>609</v>
      </c>
      <c r="E45" s="1" t="s">
        <v>631</v>
      </c>
    </row>
    <row r="46">
      <c r="A46" s="2" t="s">
        <v>9059</v>
      </c>
      <c r="B46" s="1">
        <v>200.0</v>
      </c>
      <c r="C46" s="1" t="s">
        <v>9060</v>
      </c>
      <c r="D46" s="1" t="s">
        <v>583</v>
      </c>
      <c r="F46" s="1">
        <v>2.0</v>
      </c>
      <c r="G46" s="1">
        <v>85.0</v>
      </c>
      <c r="H46" s="1">
        <v>0.024</v>
      </c>
      <c r="I46" s="1">
        <v>14.45</v>
      </c>
    </row>
    <row r="47">
      <c r="A47" s="2" t="s">
        <v>9061</v>
      </c>
      <c r="B47" s="1">
        <v>200.0</v>
      </c>
      <c r="C47" s="1" t="s">
        <v>9062</v>
      </c>
      <c r="D47" s="1" t="s">
        <v>583</v>
      </c>
      <c r="F47" s="1">
        <v>78.0</v>
      </c>
      <c r="G47" s="1">
        <v>1922.0</v>
      </c>
      <c r="H47" s="1">
        <v>0.041</v>
      </c>
      <c r="I47" s="1">
        <v>6.81</v>
      </c>
    </row>
    <row r="48">
      <c r="A48" s="2" t="s">
        <v>9063</v>
      </c>
      <c r="B48" s="1">
        <v>301.0</v>
      </c>
      <c r="D48" s="1" t="s">
        <v>609</v>
      </c>
      <c r="E48" s="1" t="s">
        <v>610</v>
      </c>
    </row>
    <row r="49">
      <c r="A49" s="2" t="s">
        <v>9064</v>
      </c>
      <c r="B49" s="1">
        <v>200.0</v>
      </c>
      <c r="C49" s="1" t="s">
        <v>9065</v>
      </c>
      <c r="D49" s="1" t="s">
        <v>583</v>
      </c>
      <c r="F49" s="1">
        <v>29.0</v>
      </c>
      <c r="G49" s="1">
        <v>6657.0</v>
      </c>
      <c r="H49" s="1">
        <v>0.004</v>
      </c>
      <c r="I49" s="1">
        <v>27.08</v>
      </c>
    </row>
    <row r="50">
      <c r="A50" s="2" t="s">
        <v>9066</v>
      </c>
      <c r="B50" s="1">
        <v>200.0</v>
      </c>
      <c r="C50" s="1" t="s">
        <v>9067</v>
      </c>
      <c r="D50" s="1" t="s">
        <v>583</v>
      </c>
      <c r="F50" s="1">
        <v>69.0</v>
      </c>
      <c r="G50" s="1">
        <v>18384.0</v>
      </c>
      <c r="H50" s="1">
        <v>0.004</v>
      </c>
      <c r="I50" s="1">
        <v>11.39</v>
      </c>
    </row>
    <row r="51">
      <c r="A51" s="2" t="s">
        <v>268</v>
      </c>
      <c r="B51" s="1">
        <v>200.0</v>
      </c>
      <c r="C51" s="1" t="s">
        <v>9068</v>
      </c>
      <c r="D51" s="1" t="s">
        <v>583</v>
      </c>
      <c r="F51" s="1">
        <v>61.0</v>
      </c>
      <c r="G51" s="1">
        <v>16176.0</v>
      </c>
      <c r="H51" s="1">
        <v>0.004</v>
      </c>
      <c r="I51" s="1">
        <v>6.26</v>
      </c>
    </row>
    <row r="52">
      <c r="A52" s="2" t="s">
        <v>9069</v>
      </c>
      <c r="B52" s="1">
        <v>200.0</v>
      </c>
      <c r="C52" s="1" t="s">
        <v>9070</v>
      </c>
      <c r="D52" s="1" t="s">
        <v>583</v>
      </c>
      <c r="F52" s="1">
        <v>8.0</v>
      </c>
      <c r="G52" s="1">
        <v>430.0</v>
      </c>
      <c r="H52" s="1">
        <v>0.019</v>
      </c>
      <c r="I52" s="1">
        <v>14.43</v>
      </c>
    </row>
    <row r="53">
      <c r="A53" s="2" t="s">
        <v>379</v>
      </c>
      <c r="B53" s="1">
        <v>200.0</v>
      </c>
      <c r="C53" s="1" t="s">
        <v>9071</v>
      </c>
      <c r="D53" s="1" t="s">
        <v>583</v>
      </c>
      <c r="F53" s="1">
        <v>234.0</v>
      </c>
      <c r="G53" s="1">
        <v>20817.0</v>
      </c>
      <c r="H53" s="1">
        <v>0.011</v>
      </c>
      <c r="I53" s="1">
        <v>9.26</v>
      </c>
    </row>
    <row r="54">
      <c r="A54" s="2" t="s">
        <v>9072</v>
      </c>
      <c r="B54" s="1">
        <v>200.0</v>
      </c>
      <c r="C54" s="1" t="s">
        <v>9073</v>
      </c>
      <c r="D54" s="1" t="s">
        <v>583</v>
      </c>
      <c r="F54" s="1">
        <v>3.0</v>
      </c>
      <c r="G54" s="1">
        <v>164.0</v>
      </c>
      <c r="H54" s="1">
        <v>0.018</v>
      </c>
      <c r="I54" s="1">
        <v>25.98</v>
      </c>
    </row>
    <row r="55">
      <c r="A55" s="2" t="s">
        <v>9074</v>
      </c>
      <c r="B55" s="1">
        <v>200.0</v>
      </c>
      <c r="C55" s="1" t="s">
        <v>9075</v>
      </c>
      <c r="D55" s="1" t="s">
        <v>583</v>
      </c>
      <c r="F55" s="1">
        <v>30.0</v>
      </c>
      <c r="G55" s="1">
        <v>23359.0</v>
      </c>
      <c r="H55" s="1">
        <v>0.001</v>
      </c>
      <c r="I55" s="1">
        <v>29.94</v>
      </c>
    </row>
    <row r="56">
      <c r="A56" s="2" t="s">
        <v>9076</v>
      </c>
      <c r="B56" s="1">
        <v>200.0</v>
      </c>
      <c r="C56" s="1" t="s">
        <v>9077</v>
      </c>
      <c r="D56" s="1" t="s">
        <v>583</v>
      </c>
      <c r="F56" s="1">
        <v>9.0</v>
      </c>
      <c r="G56" s="1">
        <v>14608.0</v>
      </c>
      <c r="H56" s="1">
        <v>0.001</v>
      </c>
      <c r="I56" s="1">
        <v>26.1</v>
      </c>
    </row>
    <row r="57">
      <c r="A57" s="2" t="s">
        <v>9078</v>
      </c>
      <c r="B57" s="1">
        <v>200.0</v>
      </c>
      <c r="C57" s="1" t="s">
        <v>9079</v>
      </c>
      <c r="D57" s="1" t="s">
        <v>583</v>
      </c>
      <c r="F57" s="1">
        <v>35.0</v>
      </c>
      <c r="G57" s="1">
        <v>1567.0</v>
      </c>
      <c r="H57" s="1">
        <v>0.022</v>
      </c>
      <c r="I57" s="1">
        <v>20.61</v>
      </c>
    </row>
    <row r="58">
      <c r="A58" s="2" t="s">
        <v>9080</v>
      </c>
      <c r="B58" s="1">
        <v>200.0</v>
      </c>
      <c r="C58" s="1" t="s">
        <v>9081</v>
      </c>
      <c r="D58" s="1" t="s">
        <v>583</v>
      </c>
      <c r="F58" s="1">
        <v>17.0</v>
      </c>
      <c r="G58" s="1">
        <v>475.0</v>
      </c>
      <c r="H58" s="1">
        <v>0.036</v>
      </c>
      <c r="I58" s="1">
        <v>7.72</v>
      </c>
    </row>
    <row r="59">
      <c r="A59" s="2" t="s">
        <v>9082</v>
      </c>
      <c r="B59" s="1">
        <v>200.0</v>
      </c>
      <c r="C59" s="1" t="s">
        <v>9083</v>
      </c>
      <c r="D59" s="1" t="s">
        <v>583</v>
      </c>
      <c r="F59" s="1">
        <v>229.0</v>
      </c>
      <c r="G59" s="1">
        <v>32004.0</v>
      </c>
      <c r="H59" s="1">
        <v>0.007</v>
      </c>
      <c r="I59" s="1">
        <v>14.38</v>
      </c>
    </row>
    <row r="60">
      <c r="A60" s="2" t="s">
        <v>9084</v>
      </c>
      <c r="B60" s="1">
        <v>200.0</v>
      </c>
      <c r="C60" s="1" t="s">
        <v>9085</v>
      </c>
      <c r="D60" s="1" t="s">
        <v>583</v>
      </c>
      <c r="F60" s="1">
        <v>5145.0</v>
      </c>
      <c r="G60" s="1">
        <v>80510.0</v>
      </c>
      <c r="H60" s="1">
        <v>0.064</v>
      </c>
      <c r="I60" s="1">
        <v>11.81</v>
      </c>
    </row>
    <row r="61">
      <c r="A61" s="2" t="s">
        <v>329</v>
      </c>
      <c r="B61" s="1">
        <v>200.0</v>
      </c>
      <c r="C61" s="1" t="s">
        <v>9086</v>
      </c>
      <c r="D61" s="1" t="s">
        <v>583</v>
      </c>
      <c r="F61" s="1">
        <v>605.0</v>
      </c>
      <c r="G61" s="1">
        <v>49491.0</v>
      </c>
      <c r="H61" s="1">
        <v>0.012</v>
      </c>
      <c r="I61" s="1">
        <v>6.27</v>
      </c>
    </row>
    <row r="62">
      <c r="A62" s="2" t="s">
        <v>9087</v>
      </c>
      <c r="B62" s="1">
        <v>200.0</v>
      </c>
      <c r="C62" s="1" t="s">
        <v>9088</v>
      </c>
      <c r="D62" s="1" t="s">
        <v>583</v>
      </c>
      <c r="F62" s="1">
        <v>0.0</v>
      </c>
      <c r="G62" s="1">
        <v>29.0</v>
      </c>
      <c r="H62" s="1">
        <v>0.0</v>
      </c>
      <c r="I62" s="1">
        <v>15.72</v>
      </c>
    </row>
    <row r="63">
      <c r="A63" s="2" t="s">
        <v>278</v>
      </c>
      <c r="B63" s="1">
        <v>200.0</v>
      </c>
      <c r="C63" s="1" t="s">
        <v>9089</v>
      </c>
      <c r="D63" s="1" t="s">
        <v>583</v>
      </c>
      <c r="F63" s="1">
        <v>41.0</v>
      </c>
      <c r="G63" s="1">
        <v>8513.0</v>
      </c>
      <c r="H63" s="1">
        <v>0.005</v>
      </c>
      <c r="I63" s="1">
        <v>11.25</v>
      </c>
    </row>
    <row r="64">
      <c r="A64" s="2" t="s">
        <v>304</v>
      </c>
      <c r="B64" s="1">
        <v>200.0</v>
      </c>
      <c r="C64" s="1" t="s">
        <v>9090</v>
      </c>
      <c r="D64" s="1" t="s">
        <v>583</v>
      </c>
      <c r="F64" s="1">
        <v>188.0</v>
      </c>
      <c r="G64" s="1">
        <v>14848.0</v>
      </c>
      <c r="H64" s="1">
        <v>0.013</v>
      </c>
      <c r="I64" s="1">
        <v>10.18</v>
      </c>
    </row>
    <row r="65">
      <c r="A65" s="2" t="s">
        <v>9091</v>
      </c>
      <c r="B65" s="1">
        <v>200.0</v>
      </c>
      <c r="C65" s="1" t="s">
        <v>9092</v>
      </c>
      <c r="D65" s="1" t="s">
        <v>583</v>
      </c>
      <c r="F65" s="1">
        <v>1.0</v>
      </c>
      <c r="G65" s="1">
        <v>168.0</v>
      </c>
      <c r="H65" s="1">
        <v>0.006</v>
      </c>
      <c r="I65" s="1">
        <v>21.08</v>
      </c>
    </row>
    <row r="66">
      <c r="A66" s="2" t="s">
        <v>9093</v>
      </c>
      <c r="B66" s="1">
        <v>200.0</v>
      </c>
      <c r="C66" s="1" t="s">
        <v>9094</v>
      </c>
      <c r="D66" s="1" t="s">
        <v>583</v>
      </c>
      <c r="F66" s="1">
        <v>95.0</v>
      </c>
      <c r="G66" s="1">
        <v>103782.0</v>
      </c>
      <c r="H66" s="1">
        <v>0.001</v>
      </c>
      <c r="I66" s="1">
        <v>41.11</v>
      </c>
    </row>
    <row r="67">
      <c r="A67" s="2" t="s">
        <v>9095</v>
      </c>
      <c r="B67" s="1">
        <v>200.0</v>
      </c>
      <c r="C67" s="1" t="s">
        <v>9096</v>
      </c>
      <c r="D67" s="1" t="s">
        <v>583</v>
      </c>
      <c r="F67" s="1">
        <v>16.0</v>
      </c>
      <c r="G67" s="1">
        <v>3425.0</v>
      </c>
      <c r="H67" s="1">
        <v>0.005</v>
      </c>
      <c r="I67" s="1">
        <v>12.28</v>
      </c>
    </row>
    <row r="68">
      <c r="A68" s="2" t="s">
        <v>9097</v>
      </c>
      <c r="B68" s="1">
        <v>200.0</v>
      </c>
      <c r="C68" s="1" t="s">
        <v>9098</v>
      </c>
      <c r="D68" s="1" t="s">
        <v>609</v>
      </c>
      <c r="E68" s="1" t="s">
        <v>631</v>
      </c>
    </row>
    <row r="69">
      <c r="A69" s="2" t="s">
        <v>9099</v>
      </c>
      <c r="B69" s="1">
        <v>200.0</v>
      </c>
      <c r="C69" s="1" t="s">
        <v>9100</v>
      </c>
      <c r="D69" s="1" t="s">
        <v>583</v>
      </c>
      <c r="F69" s="1">
        <v>300.0</v>
      </c>
      <c r="G69" s="1">
        <v>47619.0</v>
      </c>
      <c r="H69" s="1">
        <v>0.006</v>
      </c>
      <c r="I69" s="1">
        <v>6.33</v>
      </c>
    </row>
    <row r="70">
      <c r="A70" s="2" t="s">
        <v>9101</v>
      </c>
      <c r="B70" s="1">
        <v>200.0</v>
      </c>
      <c r="C70" s="1" t="s">
        <v>9102</v>
      </c>
      <c r="D70" s="1" t="s">
        <v>583</v>
      </c>
      <c r="F70" s="1">
        <v>2.0</v>
      </c>
      <c r="G70" s="1">
        <v>834.0</v>
      </c>
      <c r="H70" s="1">
        <v>0.002</v>
      </c>
      <c r="I70" s="1">
        <v>70.79</v>
      </c>
    </row>
    <row r="71">
      <c r="A71" s="2" t="s">
        <v>9103</v>
      </c>
      <c r="B71" s="1">
        <v>200.0</v>
      </c>
      <c r="C71" s="1" t="s">
        <v>9104</v>
      </c>
      <c r="D71" s="1" t="s">
        <v>583</v>
      </c>
      <c r="F71" s="1">
        <v>2.0</v>
      </c>
      <c r="G71" s="1">
        <v>1094.0</v>
      </c>
      <c r="H71" s="1">
        <v>0.002</v>
      </c>
      <c r="I71" s="1">
        <v>45.54</v>
      </c>
    </row>
    <row r="72">
      <c r="A72" s="2" t="s">
        <v>9105</v>
      </c>
      <c r="B72" s="1">
        <v>200.0</v>
      </c>
      <c r="C72" s="1" t="s">
        <v>9106</v>
      </c>
      <c r="D72" s="1" t="s">
        <v>583</v>
      </c>
      <c r="F72" s="1">
        <v>1.0</v>
      </c>
      <c r="G72" s="1">
        <v>653.0</v>
      </c>
      <c r="H72" s="1">
        <v>0.002</v>
      </c>
      <c r="I72" s="1">
        <v>67.99</v>
      </c>
    </row>
    <row r="73">
      <c r="A73" s="2" t="s">
        <v>9107</v>
      </c>
      <c r="B73" s="1">
        <v>200.0</v>
      </c>
      <c r="C73" s="1" t="s">
        <v>9108</v>
      </c>
      <c r="D73" s="1" t="s">
        <v>583</v>
      </c>
      <c r="F73" s="1">
        <v>1.0</v>
      </c>
      <c r="G73" s="1">
        <v>391.0</v>
      </c>
      <c r="H73" s="1">
        <v>0.003</v>
      </c>
      <c r="I73" s="1">
        <v>39.28</v>
      </c>
    </row>
    <row r="74">
      <c r="A74" s="2" t="s">
        <v>9109</v>
      </c>
      <c r="B74" s="1">
        <v>200.0</v>
      </c>
      <c r="C74" s="1" t="s">
        <v>9110</v>
      </c>
      <c r="D74" s="1" t="s">
        <v>583</v>
      </c>
      <c r="F74" s="1">
        <v>0.0</v>
      </c>
      <c r="G74" s="1">
        <v>1532.0</v>
      </c>
      <c r="H74" s="1">
        <v>0.0</v>
      </c>
      <c r="I74" s="1">
        <v>23.69</v>
      </c>
    </row>
    <row r="75">
      <c r="A75" s="2" t="s">
        <v>9111</v>
      </c>
      <c r="B75" s="1">
        <v>200.0</v>
      </c>
      <c r="C75" s="1" t="s">
        <v>9112</v>
      </c>
      <c r="D75" s="1" t="s">
        <v>583</v>
      </c>
      <c r="F75" s="1">
        <v>3.0</v>
      </c>
      <c r="G75" s="1">
        <v>10053.0</v>
      </c>
      <c r="H75" s="1">
        <v>0.0</v>
      </c>
      <c r="I75" s="1">
        <v>54.88</v>
      </c>
    </row>
    <row r="76">
      <c r="A76" s="2" t="s">
        <v>9113</v>
      </c>
      <c r="B76" s="1">
        <v>200.0</v>
      </c>
      <c r="C76" s="1" t="s">
        <v>9114</v>
      </c>
      <c r="D76" s="1" t="s">
        <v>583</v>
      </c>
      <c r="F76" s="1">
        <v>0.0</v>
      </c>
      <c r="G76" s="1">
        <v>1676.0</v>
      </c>
      <c r="H76" s="1">
        <v>0.0</v>
      </c>
      <c r="I76" s="1">
        <v>32.24</v>
      </c>
    </row>
    <row r="77">
      <c r="A77" s="2" t="s">
        <v>9115</v>
      </c>
      <c r="B77" s="1">
        <v>200.0</v>
      </c>
      <c r="C77" s="1" t="s">
        <v>9116</v>
      </c>
      <c r="D77" s="1" t="s">
        <v>583</v>
      </c>
      <c r="F77" s="1">
        <v>6.0</v>
      </c>
      <c r="G77" s="1">
        <v>6611.0</v>
      </c>
      <c r="H77" s="1">
        <v>0.001</v>
      </c>
      <c r="I77" s="1">
        <v>57.34</v>
      </c>
    </row>
    <row r="78">
      <c r="A78" s="2" t="s">
        <v>9117</v>
      </c>
      <c r="B78" s="1">
        <v>200.0</v>
      </c>
      <c r="C78" s="1" t="s">
        <v>9118</v>
      </c>
      <c r="D78" s="1" t="s">
        <v>583</v>
      </c>
      <c r="F78" s="1">
        <v>1.0</v>
      </c>
      <c r="G78" s="1">
        <v>429.0</v>
      </c>
      <c r="H78" s="1">
        <v>0.002</v>
      </c>
      <c r="I78" s="1">
        <v>58.69</v>
      </c>
    </row>
    <row r="79">
      <c r="A79" s="2" t="s">
        <v>9119</v>
      </c>
      <c r="B79" s="1">
        <v>200.0</v>
      </c>
      <c r="C79" s="1" t="s">
        <v>8984</v>
      </c>
      <c r="D79" s="1" t="s">
        <v>609</v>
      </c>
      <c r="E79" s="1" t="s">
        <v>631</v>
      </c>
    </row>
    <row r="80">
      <c r="A80" s="2" t="s">
        <v>9120</v>
      </c>
      <c r="B80" s="1">
        <v>200.0</v>
      </c>
      <c r="C80" s="1" t="s">
        <v>8984</v>
      </c>
      <c r="D80" s="1" t="s">
        <v>609</v>
      </c>
      <c r="E80" s="1" t="s">
        <v>631</v>
      </c>
      <c r="F80" s="1">
        <v>0.0</v>
      </c>
      <c r="G80" s="1">
        <v>6.0</v>
      </c>
      <c r="H80" s="1">
        <v>0.0</v>
      </c>
      <c r="I80" s="1">
        <v>5.5</v>
      </c>
    </row>
    <row r="81">
      <c r="A81" s="2" t="s">
        <v>9121</v>
      </c>
      <c r="B81" s="1">
        <v>200.0</v>
      </c>
      <c r="C81" s="1" t="s">
        <v>8984</v>
      </c>
      <c r="D81" s="1" t="s">
        <v>609</v>
      </c>
      <c r="E81" s="1" t="s">
        <v>631</v>
      </c>
      <c r="F81" s="1">
        <v>0.0</v>
      </c>
      <c r="G81" s="1">
        <v>4.0</v>
      </c>
      <c r="H81" s="1">
        <v>0.0</v>
      </c>
      <c r="I81" s="1">
        <v>5.5</v>
      </c>
    </row>
    <row r="82">
      <c r="A82" s="2" t="s">
        <v>9122</v>
      </c>
      <c r="B82" s="1">
        <v>200.0</v>
      </c>
      <c r="C82" s="1" t="s">
        <v>8986</v>
      </c>
      <c r="D82" s="1" t="s">
        <v>609</v>
      </c>
      <c r="E82" s="1" t="s">
        <v>631</v>
      </c>
      <c r="F82" s="1">
        <v>0.0</v>
      </c>
      <c r="G82" s="1">
        <v>30.0</v>
      </c>
      <c r="H82" s="1">
        <v>0.0</v>
      </c>
      <c r="I82" s="1">
        <v>10.4</v>
      </c>
    </row>
    <row r="83">
      <c r="A83" s="2" t="s">
        <v>9123</v>
      </c>
      <c r="B83" s="1">
        <v>200.0</v>
      </c>
      <c r="C83" s="1" t="s">
        <v>8986</v>
      </c>
      <c r="D83" s="1" t="s">
        <v>609</v>
      </c>
      <c r="E83" s="1" t="s">
        <v>631</v>
      </c>
    </row>
    <row r="84">
      <c r="A84" s="2" t="s">
        <v>9124</v>
      </c>
      <c r="B84" s="1">
        <v>200.0</v>
      </c>
      <c r="C84" s="1" t="s">
        <v>8988</v>
      </c>
      <c r="D84" s="1" t="s">
        <v>609</v>
      </c>
      <c r="E84" s="1" t="s">
        <v>631</v>
      </c>
      <c r="F84" s="1">
        <v>0.0</v>
      </c>
      <c r="G84" s="1">
        <v>7.0</v>
      </c>
      <c r="H84" s="1">
        <v>0.0</v>
      </c>
      <c r="I84" s="1">
        <v>6.86</v>
      </c>
    </row>
    <row r="85">
      <c r="A85" s="2" t="s">
        <v>9125</v>
      </c>
      <c r="B85" s="1">
        <v>200.0</v>
      </c>
      <c r="C85" s="1" t="s">
        <v>8988</v>
      </c>
      <c r="D85" s="1" t="s">
        <v>609</v>
      </c>
      <c r="E85" s="1" t="s">
        <v>631</v>
      </c>
      <c r="F85" s="1">
        <v>0.0</v>
      </c>
      <c r="G85" s="1">
        <v>25.0</v>
      </c>
      <c r="H85" s="1">
        <v>0.0</v>
      </c>
      <c r="I85" s="1">
        <v>15.48</v>
      </c>
    </row>
    <row r="86">
      <c r="A86" s="2" t="s">
        <v>9126</v>
      </c>
      <c r="B86" s="1">
        <v>200.0</v>
      </c>
      <c r="C86" s="1" t="s">
        <v>8988</v>
      </c>
      <c r="D86" s="1" t="s">
        <v>609</v>
      </c>
      <c r="E86" s="1" t="s">
        <v>631</v>
      </c>
      <c r="F86" s="1">
        <v>0.0</v>
      </c>
      <c r="G86" s="1">
        <v>12.0</v>
      </c>
      <c r="H86" s="1">
        <v>0.0</v>
      </c>
      <c r="I86" s="1">
        <v>10.67</v>
      </c>
    </row>
    <row r="87">
      <c r="A87" s="2" t="s">
        <v>9127</v>
      </c>
      <c r="B87" s="1">
        <v>200.0</v>
      </c>
      <c r="C87" s="1" t="s">
        <v>9128</v>
      </c>
      <c r="D87" s="1" t="s">
        <v>583</v>
      </c>
      <c r="F87" s="1">
        <v>0.0</v>
      </c>
      <c r="G87" s="1">
        <v>493.0</v>
      </c>
      <c r="H87" s="1">
        <v>0.0</v>
      </c>
      <c r="I87" s="1">
        <v>29.51</v>
      </c>
    </row>
    <row r="88">
      <c r="A88" s="2" t="s">
        <v>9129</v>
      </c>
      <c r="B88" s="1">
        <v>200.0</v>
      </c>
      <c r="C88" s="1" t="s">
        <v>9130</v>
      </c>
      <c r="D88" s="1" t="s">
        <v>583</v>
      </c>
      <c r="F88" s="1">
        <v>396.0</v>
      </c>
      <c r="G88" s="1">
        <v>36816.0</v>
      </c>
      <c r="H88" s="1">
        <v>0.011</v>
      </c>
      <c r="I88" s="1">
        <v>14.52</v>
      </c>
    </row>
    <row r="89">
      <c r="A89" s="1" t="s">
        <v>9131</v>
      </c>
      <c r="B89" s="1">
        <v>301.0</v>
      </c>
      <c r="D89" s="1" t="s">
        <v>609</v>
      </c>
      <c r="E89" s="1" t="s">
        <v>610</v>
      </c>
    </row>
    <row r="90">
      <c r="A90" s="2" t="s">
        <v>9132</v>
      </c>
      <c r="B90" s="1">
        <v>200.0</v>
      </c>
      <c r="C90" s="1" t="s">
        <v>9133</v>
      </c>
      <c r="D90" s="1" t="s">
        <v>583</v>
      </c>
      <c r="F90" s="1">
        <v>0.0</v>
      </c>
      <c r="G90" s="1">
        <v>71.0</v>
      </c>
      <c r="H90" s="1">
        <v>0.0</v>
      </c>
      <c r="I90" s="1">
        <v>14.42</v>
      </c>
    </row>
    <row r="91">
      <c r="A91" s="2" t="s">
        <v>9134</v>
      </c>
      <c r="B91" s="1">
        <v>200.0</v>
      </c>
      <c r="C91" s="1" t="s">
        <v>9135</v>
      </c>
      <c r="D91" s="1" t="s">
        <v>583</v>
      </c>
      <c r="F91" s="1">
        <v>24.0</v>
      </c>
      <c r="G91" s="1">
        <v>1963.0</v>
      </c>
      <c r="H91" s="1">
        <v>0.012</v>
      </c>
      <c r="I91" s="1">
        <v>15.65</v>
      </c>
    </row>
    <row r="92">
      <c r="A92" s="2" t="s">
        <v>9136</v>
      </c>
      <c r="B92" s="1">
        <v>200.0</v>
      </c>
      <c r="C92" s="1" t="s">
        <v>9137</v>
      </c>
      <c r="D92" s="1" t="s">
        <v>583</v>
      </c>
      <c r="F92" s="1">
        <v>11.0</v>
      </c>
      <c r="G92" s="1">
        <v>1769.0</v>
      </c>
      <c r="H92" s="1">
        <v>0.006</v>
      </c>
      <c r="I92" s="1">
        <v>5.67</v>
      </c>
    </row>
    <row r="93">
      <c r="A93" s="2" t="s">
        <v>9138</v>
      </c>
      <c r="B93" s="1">
        <v>200.0</v>
      </c>
      <c r="C93" s="1" t="s">
        <v>9139</v>
      </c>
      <c r="D93" s="1" t="s">
        <v>583</v>
      </c>
      <c r="F93" s="1">
        <v>56.0</v>
      </c>
      <c r="G93" s="1">
        <v>15735.0</v>
      </c>
      <c r="H93" s="1">
        <v>0.004</v>
      </c>
      <c r="I93" s="1">
        <v>11.56</v>
      </c>
    </row>
    <row r="94">
      <c r="A94" s="2" t="s">
        <v>9140</v>
      </c>
      <c r="B94" s="1">
        <v>200.0</v>
      </c>
      <c r="C94" s="1" t="s">
        <v>9141</v>
      </c>
      <c r="D94" s="1" t="s">
        <v>583</v>
      </c>
      <c r="F94" s="1">
        <v>2.0</v>
      </c>
      <c r="G94" s="1">
        <v>146.0</v>
      </c>
      <c r="H94" s="1">
        <v>0.014</v>
      </c>
      <c r="I94" s="1">
        <v>25.81</v>
      </c>
    </row>
    <row r="95">
      <c r="A95" s="2" t="s">
        <v>9142</v>
      </c>
      <c r="B95" s="1">
        <v>200.0</v>
      </c>
      <c r="C95" s="1" t="s">
        <v>9143</v>
      </c>
      <c r="D95" s="1" t="s">
        <v>583</v>
      </c>
      <c r="F95" s="1">
        <v>193.0</v>
      </c>
      <c r="G95" s="1">
        <v>31245.0</v>
      </c>
      <c r="H95" s="1">
        <v>0.006</v>
      </c>
      <c r="I95" s="1">
        <v>9.88</v>
      </c>
    </row>
    <row r="96">
      <c r="A96" s="2" t="s">
        <v>9144</v>
      </c>
      <c r="B96" s="1">
        <v>200.0</v>
      </c>
      <c r="C96" s="1" t="s">
        <v>9145</v>
      </c>
      <c r="D96" s="1" t="s">
        <v>583</v>
      </c>
      <c r="F96" s="1">
        <v>117.0</v>
      </c>
      <c r="G96" s="1">
        <v>15678.0</v>
      </c>
      <c r="H96" s="1">
        <v>0.007</v>
      </c>
      <c r="I96" s="1">
        <v>5.73</v>
      </c>
    </row>
    <row r="97">
      <c r="A97" s="2" t="s">
        <v>9146</v>
      </c>
      <c r="B97" s="1">
        <v>200.0</v>
      </c>
      <c r="C97" s="1" t="s">
        <v>9147</v>
      </c>
      <c r="D97" s="1" t="s">
        <v>583</v>
      </c>
    </row>
    <row r="98">
      <c r="A98" s="2" t="s">
        <v>366</v>
      </c>
      <c r="B98" s="1">
        <v>200.0</v>
      </c>
      <c r="C98" s="1" t="s">
        <v>9148</v>
      </c>
      <c r="D98" s="1" t="s">
        <v>583</v>
      </c>
      <c r="F98" s="1">
        <v>2.0</v>
      </c>
      <c r="G98" s="1">
        <v>1471.0</v>
      </c>
      <c r="H98" s="1">
        <v>0.001</v>
      </c>
      <c r="I98" s="1">
        <v>23.0</v>
      </c>
    </row>
    <row r="99">
      <c r="A99" s="2" t="s">
        <v>9149</v>
      </c>
      <c r="B99" s="1">
        <v>200.0</v>
      </c>
      <c r="C99" s="1" t="s">
        <v>9150</v>
      </c>
      <c r="D99" s="1" t="s">
        <v>609</v>
      </c>
      <c r="E99" s="1" t="s">
        <v>631</v>
      </c>
      <c r="F99" s="1">
        <v>0.0</v>
      </c>
      <c r="G99" s="1">
        <v>168.0</v>
      </c>
      <c r="H99" s="1">
        <v>0.0</v>
      </c>
      <c r="I99" s="1">
        <v>6.52</v>
      </c>
    </row>
    <row r="100">
      <c r="A100" s="2" t="s">
        <v>9151</v>
      </c>
      <c r="B100" s="1">
        <v>200.0</v>
      </c>
      <c r="C100" s="1" t="s">
        <v>8992</v>
      </c>
      <c r="D100" s="1" t="s">
        <v>609</v>
      </c>
      <c r="E100" s="1" t="s">
        <v>631</v>
      </c>
      <c r="F100" s="1">
        <v>0.0</v>
      </c>
      <c r="G100" s="1">
        <v>2.0</v>
      </c>
      <c r="H100" s="1">
        <v>0.0</v>
      </c>
      <c r="I100" s="1">
        <v>10.0</v>
      </c>
    </row>
    <row r="101">
      <c r="A101" s="2" t="s">
        <v>9152</v>
      </c>
      <c r="B101" s="1">
        <v>200.0</v>
      </c>
      <c r="C101" s="1" t="s">
        <v>8992</v>
      </c>
      <c r="D101" s="1" t="s">
        <v>609</v>
      </c>
      <c r="E101" s="1" t="s">
        <v>631</v>
      </c>
      <c r="F101" s="1">
        <v>0.0</v>
      </c>
      <c r="G101" s="1">
        <v>1.0</v>
      </c>
      <c r="H101" s="1">
        <v>0.0</v>
      </c>
      <c r="I101" s="1">
        <v>6.0</v>
      </c>
    </row>
    <row r="102">
      <c r="A102" s="2" t="s">
        <v>9153</v>
      </c>
      <c r="B102" s="1">
        <v>200.0</v>
      </c>
      <c r="C102" s="1" t="s">
        <v>8992</v>
      </c>
      <c r="D102" s="1" t="s">
        <v>609</v>
      </c>
      <c r="E102" s="1" t="s">
        <v>631</v>
      </c>
      <c r="F102" s="1">
        <v>0.0</v>
      </c>
      <c r="G102" s="1">
        <v>10.0</v>
      </c>
      <c r="H102" s="1">
        <v>0.0</v>
      </c>
      <c r="I102" s="1">
        <v>6.7</v>
      </c>
    </row>
    <row r="103">
      <c r="A103" s="2" t="s">
        <v>9154</v>
      </c>
      <c r="B103" s="1">
        <v>200.0</v>
      </c>
      <c r="C103" s="1" t="s">
        <v>9155</v>
      </c>
      <c r="D103" s="1" t="s">
        <v>583</v>
      </c>
      <c r="F103" s="1">
        <v>0.0</v>
      </c>
      <c r="G103" s="1">
        <v>94.0</v>
      </c>
      <c r="H103" s="1">
        <v>0.0</v>
      </c>
      <c r="I103" s="1">
        <v>29.76</v>
      </c>
    </row>
    <row r="104">
      <c r="A104" s="2" t="s">
        <v>9156</v>
      </c>
      <c r="B104" s="1">
        <v>200.0</v>
      </c>
      <c r="C104" s="1" t="s">
        <v>9157</v>
      </c>
      <c r="D104" s="1" t="s">
        <v>583</v>
      </c>
      <c r="F104" s="1">
        <v>304.0</v>
      </c>
      <c r="G104" s="1">
        <v>35680.0</v>
      </c>
      <c r="H104" s="1">
        <v>0.009</v>
      </c>
      <c r="I104" s="1">
        <v>10.62</v>
      </c>
    </row>
    <row r="105">
      <c r="A105" s="2" t="s">
        <v>9158</v>
      </c>
      <c r="B105" s="1">
        <v>200.0</v>
      </c>
      <c r="C105" s="1" t="s">
        <v>8994</v>
      </c>
      <c r="D105" s="1" t="s">
        <v>609</v>
      </c>
      <c r="E105" s="1" t="s">
        <v>631</v>
      </c>
      <c r="F105" s="1">
        <v>0.0</v>
      </c>
      <c r="G105" s="1">
        <v>25.0</v>
      </c>
      <c r="H105" s="1">
        <v>0.0</v>
      </c>
      <c r="I105" s="1">
        <v>29.28</v>
      </c>
    </row>
    <row r="106">
      <c r="A106" s="2" t="s">
        <v>9159</v>
      </c>
      <c r="B106" s="1">
        <v>200.0</v>
      </c>
      <c r="C106" s="1" t="s">
        <v>8994</v>
      </c>
      <c r="D106" s="1" t="s">
        <v>609</v>
      </c>
      <c r="E106" s="1" t="s">
        <v>631</v>
      </c>
      <c r="F106" s="1">
        <v>0.0</v>
      </c>
      <c r="G106" s="1">
        <v>46.0</v>
      </c>
      <c r="H106" s="1">
        <v>0.0</v>
      </c>
      <c r="I106" s="1">
        <v>13.85</v>
      </c>
    </row>
    <row r="107">
      <c r="A107" s="2" t="s">
        <v>9160</v>
      </c>
      <c r="B107" s="1">
        <v>200.0</v>
      </c>
      <c r="C107" s="1" t="s">
        <v>9161</v>
      </c>
      <c r="D107" s="1" t="s">
        <v>583</v>
      </c>
      <c r="F107" s="1">
        <v>414.0</v>
      </c>
      <c r="G107" s="1">
        <v>27710.0</v>
      </c>
      <c r="H107" s="1">
        <v>0.015</v>
      </c>
      <c r="I107" s="1">
        <v>7.24</v>
      </c>
    </row>
    <row r="108">
      <c r="A108" s="2" t="s">
        <v>9162</v>
      </c>
      <c r="B108" s="1">
        <v>200.0</v>
      </c>
      <c r="C108" s="1" t="s">
        <v>8994</v>
      </c>
      <c r="D108" s="1" t="s">
        <v>609</v>
      </c>
      <c r="E108" s="1" t="s">
        <v>631</v>
      </c>
    </row>
    <row r="109">
      <c r="A109" s="2" t="s">
        <v>9163</v>
      </c>
      <c r="B109" s="1">
        <v>200.0</v>
      </c>
      <c r="C109" s="1" t="s">
        <v>9164</v>
      </c>
      <c r="D109" s="1" t="s">
        <v>583</v>
      </c>
    </row>
    <row r="110">
      <c r="A110" s="2" t="s">
        <v>9165</v>
      </c>
      <c r="B110" s="1">
        <v>200.0</v>
      </c>
      <c r="C110" s="1" t="s">
        <v>8996</v>
      </c>
      <c r="D110" s="1" t="s">
        <v>609</v>
      </c>
      <c r="E110" s="1" t="s">
        <v>930</v>
      </c>
    </row>
    <row r="111">
      <c r="A111" s="2" t="s">
        <v>9166</v>
      </c>
      <c r="B111" s="1">
        <v>200.0</v>
      </c>
      <c r="C111" s="1" t="s">
        <v>8996</v>
      </c>
      <c r="D111" s="1" t="s">
        <v>609</v>
      </c>
      <c r="E111" s="1" t="s">
        <v>930</v>
      </c>
    </row>
    <row r="112">
      <c r="A112" s="2" t="s">
        <v>9167</v>
      </c>
      <c r="B112" s="1">
        <v>200.0</v>
      </c>
      <c r="C112" s="1" t="s">
        <v>8996</v>
      </c>
      <c r="D112" s="1" t="s">
        <v>609</v>
      </c>
      <c r="E112" s="1" t="s">
        <v>930</v>
      </c>
    </row>
    <row r="113">
      <c r="A113" s="2" t="s">
        <v>9168</v>
      </c>
      <c r="B113" s="1">
        <v>200.0</v>
      </c>
      <c r="C113" s="1" t="s">
        <v>9169</v>
      </c>
      <c r="D113" s="1" t="s">
        <v>583</v>
      </c>
      <c r="F113" s="1">
        <v>7.0</v>
      </c>
      <c r="G113" s="1">
        <v>954.0</v>
      </c>
      <c r="H113" s="1">
        <v>0.007</v>
      </c>
      <c r="I113" s="1">
        <v>26.62</v>
      </c>
    </row>
    <row r="114">
      <c r="A114" s="2" t="s">
        <v>9170</v>
      </c>
      <c r="B114" s="1">
        <v>200.0</v>
      </c>
      <c r="C114" s="1" t="s">
        <v>9171</v>
      </c>
      <c r="D114" s="1" t="s">
        <v>583</v>
      </c>
      <c r="F114" s="1">
        <v>16.0</v>
      </c>
      <c r="G114" s="1">
        <v>2664.0</v>
      </c>
      <c r="H114" s="1">
        <v>0.006</v>
      </c>
      <c r="I114" s="1">
        <v>58.59</v>
      </c>
    </row>
    <row r="115">
      <c r="A115" s="2" t="s">
        <v>9172</v>
      </c>
      <c r="B115" s="1">
        <v>200.0</v>
      </c>
      <c r="C115" s="1" t="s">
        <v>9173</v>
      </c>
      <c r="D115" s="1" t="s">
        <v>583</v>
      </c>
      <c r="F115" s="1">
        <v>33.0</v>
      </c>
      <c r="G115" s="1">
        <v>40774.0</v>
      </c>
      <c r="H115" s="1">
        <v>0.001</v>
      </c>
      <c r="I115" s="1">
        <v>31.41</v>
      </c>
    </row>
    <row r="116">
      <c r="A116" s="2" t="s">
        <v>9174</v>
      </c>
      <c r="B116" s="1">
        <v>200.0</v>
      </c>
      <c r="C116" s="1" t="s">
        <v>9175</v>
      </c>
      <c r="D116" s="1" t="s">
        <v>583</v>
      </c>
      <c r="F116" s="1">
        <v>1.0</v>
      </c>
      <c r="G116" s="1">
        <v>62.0</v>
      </c>
      <c r="H116" s="1">
        <v>0.016</v>
      </c>
      <c r="I116" s="1">
        <v>11.81</v>
      </c>
    </row>
    <row r="117">
      <c r="A117" s="2" t="s">
        <v>9176</v>
      </c>
      <c r="B117" s="1">
        <v>200.0</v>
      </c>
      <c r="C117" s="1" t="s">
        <v>9177</v>
      </c>
      <c r="D117" s="1" t="s">
        <v>583</v>
      </c>
      <c r="F117" s="1">
        <v>61.0</v>
      </c>
      <c r="G117" s="1">
        <v>18717.0</v>
      </c>
      <c r="H117" s="1">
        <v>0.003</v>
      </c>
      <c r="I117" s="1">
        <v>1.87</v>
      </c>
    </row>
    <row r="118">
      <c r="A118" s="2" t="s">
        <v>9178</v>
      </c>
      <c r="B118" s="1">
        <v>200.0</v>
      </c>
      <c r="C118" s="1" t="s">
        <v>9179</v>
      </c>
      <c r="D118" s="1" t="s">
        <v>583</v>
      </c>
      <c r="F118" s="1">
        <v>25.0</v>
      </c>
      <c r="G118" s="1">
        <v>3245.0</v>
      </c>
      <c r="H118" s="1">
        <v>0.008</v>
      </c>
      <c r="I118" s="1">
        <v>5.1</v>
      </c>
    </row>
    <row r="119">
      <c r="A119" s="2" t="s">
        <v>9180</v>
      </c>
      <c r="B119" s="1">
        <v>200.0</v>
      </c>
      <c r="C119" s="1" t="s">
        <v>9181</v>
      </c>
      <c r="D119" s="1" t="s">
        <v>583</v>
      </c>
      <c r="F119" s="1">
        <v>26.0</v>
      </c>
      <c r="G119" s="1">
        <v>10394.0</v>
      </c>
      <c r="H119" s="1">
        <v>0.003</v>
      </c>
      <c r="I119" s="1">
        <v>26.58</v>
      </c>
    </row>
    <row r="120">
      <c r="A120" s="2" t="s">
        <v>9182</v>
      </c>
      <c r="B120" s="1">
        <v>200.0</v>
      </c>
      <c r="C120" s="1" t="s">
        <v>9183</v>
      </c>
      <c r="D120" s="1" t="s">
        <v>583</v>
      </c>
      <c r="F120" s="1">
        <v>7.0</v>
      </c>
      <c r="G120" s="1">
        <v>2241.0</v>
      </c>
      <c r="H120" s="1">
        <v>0.003</v>
      </c>
      <c r="I120" s="1">
        <v>8.1</v>
      </c>
    </row>
    <row r="121">
      <c r="A121" s="2" t="s">
        <v>9184</v>
      </c>
      <c r="B121" s="1">
        <v>200.0</v>
      </c>
      <c r="C121" s="1" t="s">
        <v>9185</v>
      </c>
      <c r="D121" s="1" t="s">
        <v>583</v>
      </c>
      <c r="F121" s="1">
        <v>2.0</v>
      </c>
      <c r="G121" s="1">
        <v>204.0</v>
      </c>
      <c r="H121" s="1">
        <v>0.01</v>
      </c>
      <c r="I121" s="1">
        <v>3.83</v>
      </c>
    </row>
    <row r="122">
      <c r="A122" s="2" t="s">
        <v>9186</v>
      </c>
      <c r="B122" s="1">
        <v>200.0</v>
      </c>
      <c r="C122" s="1" t="s">
        <v>9187</v>
      </c>
      <c r="D122" s="1" t="s">
        <v>583</v>
      </c>
      <c r="F122" s="1">
        <v>5.0</v>
      </c>
      <c r="G122" s="1">
        <v>1203.0</v>
      </c>
      <c r="H122" s="1">
        <v>0.004</v>
      </c>
      <c r="I122" s="1">
        <v>13.42</v>
      </c>
    </row>
    <row r="123">
      <c r="A123" s="2" t="s">
        <v>9188</v>
      </c>
      <c r="B123" s="1">
        <v>301.0</v>
      </c>
      <c r="D123" s="1" t="s">
        <v>609</v>
      </c>
      <c r="E123" s="1" t="s">
        <v>610</v>
      </c>
    </row>
    <row r="124">
      <c r="A124" s="2" t="s">
        <v>9189</v>
      </c>
      <c r="B124" s="1">
        <v>200.0</v>
      </c>
      <c r="C124" s="1" t="s">
        <v>9190</v>
      </c>
      <c r="D124" s="1" t="s">
        <v>583</v>
      </c>
      <c r="F124" s="1">
        <v>5.0</v>
      </c>
      <c r="G124" s="1">
        <v>434.0</v>
      </c>
      <c r="H124" s="1">
        <v>0.011</v>
      </c>
      <c r="I124" s="1">
        <v>23.86</v>
      </c>
    </row>
    <row r="125">
      <c r="A125" s="2" t="s">
        <v>9191</v>
      </c>
      <c r="B125" s="1">
        <v>200.0</v>
      </c>
      <c r="C125" s="1" t="s">
        <v>9192</v>
      </c>
      <c r="D125" s="1" t="s">
        <v>583</v>
      </c>
      <c r="F125" s="1">
        <v>4.0</v>
      </c>
      <c r="G125" s="1">
        <v>856.0</v>
      </c>
      <c r="H125" s="1">
        <v>0.005</v>
      </c>
      <c r="I125" s="1">
        <v>17.57</v>
      </c>
    </row>
    <row r="126">
      <c r="A126" s="2" t="s">
        <v>9193</v>
      </c>
      <c r="B126" s="1">
        <v>200.0</v>
      </c>
      <c r="C126" s="1" t="s">
        <v>9194</v>
      </c>
      <c r="D126" s="1" t="s">
        <v>583</v>
      </c>
      <c r="F126" s="1">
        <v>7.0</v>
      </c>
      <c r="G126" s="1">
        <v>411.0</v>
      </c>
      <c r="H126" s="1">
        <v>0.017</v>
      </c>
      <c r="I126" s="1">
        <v>11.6</v>
      </c>
    </row>
    <row r="127">
      <c r="A127" s="2" t="s">
        <v>9195</v>
      </c>
      <c r="B127" s="1">
        <v>200.0</v>
      </c>
      <c r="C127" s="1" t="s">
        <v>9196</v>
      </c>
      <c r="D127" s="1" t="s">
        <v>583</v>
      </c>
      <c r="F127" s="1">
        <v>9.0</v>
      </c>
      <c r="G127" s="1">
        <v>3873.0</v>
      </c>
      <c r="H127" s="1">
        <v>0.002</v>
      </c>
      <c r="I127" s="1">
        <v>14.96</v>
      </c>
    </row>
    <row r="128">
      <c r="A128" s="2" t="s">
        <v>9197</v>
      </c>
      <c r="B128" s="1">
        <v>200.0</v>
      </c>
      <c r="C128" s="1" t="s">
        <v>9150</v>
      </c>
      <c r="D128" s="1" t="s">
        <v>583</v>
      </c>
      <c r="F128" s="1">
        <v>0.0</v>
      </c>
      <c r="G128" s="1">
        <v>219.0</v>
      </c>
      <c r="H128" s="1">
        <v>0.0</v>
      </c>
      <c r="I128" s="1">
        <v>6.21</v>
      </c>
    </row>
    <row r="129">
      <c r="A129" s="2" t="s">
        <v>9198</v>
      </c>
      <c r="B129" s="1">
        <v>200.0</v>
      </c>
      <c r="C129" s="1" t="s">
        <v>9199</v>
      </c>
      <c r="D129" s="1" t="s">
        <v>583</v>
      </c>
      <c r="F129" s="1">
        <v>2386.0</v>
      </c>
      <c r="G129" s="1">
        <v>185647.0</v>
      </c>
      <c r="H129" s="1">
        <v>0.013</v>
      </c>
      <c r="I129" s="1">
        <v>9.63</v>
      </c>
    </row>
    <row r="130">
      <c r="A130" s="2" t="s">
        <v>9200</v>
      </c>
      <c r="B130" s="1">
        <v>200.0</v>
      </c>
      <c r="C130" s="1" t="s">
        <v>9201</v>
      </c>
      <c r="D130" s="1" t="s">
        <v>583</v>
      </c>
      <c r="F130" s="1">
        <v>3.0</v>
      </c>
      <c r="G130" s="1">
        <v>785.0</v>
      </c>
      <c r="H130" s="1">
        <v>0.004</v>
      </c>
      <c r="I130" s="1">
        <v>27.23</v>
      </c>
    </row>
    <row r="131">
      <c r="A131" s="2" t="s">
        <v>9202</v>
      </c>
      <c r="B131" s="1">
        <v>200.0</v>
      </c>
      <c r="C131" s="1" t="s">
        <v>9203</v>
      </c>
      <c r="D131" s="1" t="s">
        <v>583</v>
      </c>
      <c r="F131" s="1">
        <v>175.0</v>
      </c>
      <c r="G131" s="1">
        <v>41108.0</v>
      </c>
      <c r="H131" s="1">
        <v>0.004</v>
      </c>
      <c r="I131" s="1">
        <v>36.31</v>
      </c>
    </row>
    <row r="132">
      <c r="A132" s="2" t="s">
        <v>9204</v>
      </c>
      <c r="B132" s="1">
        <v>200.0</v>
      </c>
      <c r="C132" s="1" t="s">
        <v>9205</v>
      </c>
      <c r="D132" s="1" t="s">
        <v>583</v>
      </c>
      <c r="F132" s="1">
        <v>4012.0</v>
      </c>
      <c r="G132" s="1">
        <v>391572.0</v>
      </c>
      <c r="H132" s="1">
        <v>0.01</v>
      </c>
      <c r="I132" s="1">
        <v>6.33</v>
      </c>
    </row>
    <row r="133">
      <c r="A133" s="2" t="s">
        <v>9206</v>
      </c>
      <c r="B133" s="1">
        <v>200.0</v>
      </c>
      <c r="C133" s="1" t="s">
        <v>9207</v>
      </c>
      <c r="D133" s="1" t="s">
        <v>583</v>
      </c>
      <c r="F133" s="1">
        <v>118.0</v>
      </c>
      <c r="G133" s="1">
        <v>39364.0</v>
      </c>
      <c r="H133" s="1">
        <v>0.003</v>
      </c>
      <c r="I133" s="1">
        <v>22.11</v>
      </c>
    </row>
    <row r="134">
      <c r="A134" s="2" t="s">
        <v>9208</v>
      </c>
      <c r="B134" s="1">
        <v>200.0</v>
      </c>
      <c r="C134" s="1" t="s">
        <v>9209</v>
      </c>
      <c r="D134" s="1" t="s">
        <v>583</v>
      </c>
      <c r="F134" s="1">
        <v>158.0</v>
      </c>
      <c r="G134" s="1">
        <v>60587.0</v>
      </c>
      <c r="H134" s="1">
        <v>0.003</v>
      </c>
      <c r="I134" s="1">
        <v>25.37</v>
      </c>
    </row>
    <row r="135">
      <c r="A135" s="2" t="s">
        <v>9210</v>
      </c>
      <c r="B135" s="1">
        <v>200.0</v>
      </c>
      <c r="C135" s="1" t="s">
        <v>8986</v>
      </c>
      <c r="D135" s="1" t="s">
        <v>609</v>
      </c>
      <c r="E135" s="1" t="s">
        <v>631</v>
      </c>
      <c r="F135" s="1">
        <v>1.0</v>
      </c>
      <c r="G135" s="1">
        <v>41.0</v>
      </c>
      <c r="H135" s="1">
        <v>0.024</v>
      </c>
      <c r="I135" s="1">
        <v>8.9</v>
      </c>
    </row>
    <row r="136">
      <c r="A136" s="2" t="s">
        <v>9211</v>
      </c>
      <c r="B136" s="1">
        <v>200.0</v>
      </c>
      <c r="C136" s="1" t="s">
        <v>9212</v>
      </c>
      <c r="D136" s="1" t="s">
        <v>609</v>
      </c>
      <c r="E136" s="1" t="s">
        <v>631</v>
      </c>
      <c r="F136" s="1">
        <v>1.0</v>
      </c>
      <c r="G136" s="1">
        <v>51.0</v>
      </c>
      <c r="H136" s="1">
        <v>0.02</v>
      </c>
      <c r="I136" s="1">
        <v>6.43</v>
      </c>
    </row>
    <row r="137">
      <c r="A137" s="2" t="s">
        <v>9213</v>
      </c>
      <c r="B137" s="1">
        <v>200.0</v>
      </c>
      <c r="C137" s="1" t="s">
        <v>9214</v>
      </c>
      <c r="D137" s="1" t="s">
        <v>583</v>
      </c>
      <c r="F137" s="1">
        <v>696.0</v>
      </c>
      <c r="G137" s="1">
        <v>24835.0</v>
      </c>
      <c r="H137" s="1">
        <v>0.028</v>
      </c>
      <c r="I137" s="1">
        <v>16.75</v>
      </c>
    </row>
    <row r="138">
      <c r="A138" s="2" t="s">
        <v>9215</v>
      </c>
      <c r="B138" s="1">
        <v>200.0</v>
      </c>
      <c r="C138" s="1" t="s">
        <v>9216</v>
      </c>
      <c r="D138" s="1" t="s">
        <v>583</v>
      </c>
      <c r="F138" s="1">
        <v>3.0</v>
      </c>
      <c r="G138" s="1">
        <v>173.0</v>
      </c>
      <c r="H138" s="1">
        <v>0.017</v>
      </c>
      <c r="I138" s="1">
        <v>6.52</v>
      </c>
    </row>
    <row r="139">
      <c r="A139" s="2" t="s">
        <v>9217</v>
      </c>
      <c r="B139" s="1">
        <v>200.0</v>
      </c>
      <c r="C139" s="1" t="s">
        <v>9218</v>
      </c>
      <c r="D139" s="1" t="s">
        <v>583</v>
      </c>
      <c r="F139" s="1">
        <v>14.0</v>
      </c>
      <c r="G139" s="1">
        <v>952.0</v>
      </c>
      <c r="H139" s="1">
        <v>0.015</v>
      </c>
      <c r="I139" s="1">
        <v>13.47</v>
      </c>
    </row>
    <row r="140">
      <c r="A140" s="2" t="s">
        <v>9219</v>
      </c>
      <c r="B140" s="1">
        <v>200.0</v>
      </c>
      <c r="C140" s="1" t="s">
        <v>9220</v>
      </c>
      <c r="D140" s="1" t="s">
        <v>583</v>
      </c>
      <c r="F140" s="1">
        <v>3.0</v>
      </c>
      <c r="G140" s="1">
        <v>1136.0</v>
      </c>
      <c r="H140" s="1">
        <v>0.003</v>
      </c>
      <c r="I140" s="1">
        <v>26.7</v>
      </c>
    </row>
    <row r="141">
      <c r="A141" s="2" t="s">
        <v>9221</v>
      </c>
      <c r="B141" s="1">
        <v>200.0</v>
      </c>
      <c r="C141" s="1" t="s">
        <v>9222</v>
      </c>
      <c r="D141" s="1" t="s">
        <v>583</v>
      </c>
      <c r="F141" s="1">
        <v>5.0</v>
      </c>
      <c r="G141" s="1">
        <v>98.0</v>
      </c>
      <c r="H141" s="1">
        <v>0.051</v>
      </c>
      <c r="I141" s="1">
        <v>10.46</v>
      </c>
    </row>
    <row r="142">
      <c r="A142" s="2" t="s">
        <v>9223</v>
      </c>
      <c r="B142" s="1">
        <v>200.0</v>
      </c>
      <c r="C142" s="1" t="s">
        <v>9098</v>
      </c>
      <c r="D142" s="1" t="s">
        <v>583</v>
      </c>
      <c r="F142" s="1">
        <v>454.0</v>
      </c>
      <c r="G142" s="1">
        <v>41023.0</v>
      </c>
      <c r="H142" s="1">
        <v>0.011</v>
      </c>
      <c r="I142" s="1">
        <v>9.24</v>
      </c>
    </row>
    <row r="143">
      <c r="A143" s="2" t="s">
        <v>9224</v>
      </c>
      <c r="B143" s="1">
        <v>200.0</v>
      </c>
      <c r="C143" s="1" t="s">
        <v>9225</v>
      </c>
      <c r="D143" s="1" t="s">
        <v>583</v>
      </c>
      <c r="F143" s="1">
        <v>944.0</v>
      </c>
      <c r="G143" s="1">
        <v>73572.0</v>
      </c>
      <c r="H143" s="1">
        <v>0.013</v>
      </c>
      <c r="I143" s="1">
        <v>10.07</v>
      </c>
    </row>
    <row r="144">
      <c r="A144" s="2" t="s">
        <v>9226</v>
      </c>
      <c r="B144" s="1">
        <v>200.0</v>
      </c>
      <c r="C144" s="1" t="s">
        <v>9143</v>
      </c>
      <c r="D144" s="1" t="s">
        <v>583</v>
      </c>
      <c r="F144" s="1">
        <v>43.0</v>
      </c>
      <c r="G144" s="1">
        <v>32760.0</v>
      </c>
      <c r="H144" s="1">
        <v>0.001</v>
      </c>
      <c r="I144" s="1">
        <v>19.44</v>
      </c>
    </row>
    <row r="145">
      <c r="A145" s="2" t="s">
        <v>9227</v>
      </c>
      <c r="B145" s="1">
        <v>200.0</v>
      </c>
      <c r="C145" s="1" t="s">
        <v>9228</v>
      </c>
      <c r="D145" s="1" t="s">
        <v>583</v>
      </c>
      <c r="F145" s="1">
        <v>420.0</v>
      </c>
      <c r="G145" s="1">
        <v>35610.0</v>
      </c>
      <c r="H145" s="1">
        <v>0.012</v>
      </c>
      <c r="I145" s="1">
        <v>6.54</v>
      </c>
    </row>
    <row r="146">
      <c r="A146" s="2" t="s">
        <v>9229</v>
      </c>
      <c r="B146" s="1">
        <v>200.0</v>
      </c>
      <c r="C146" s="1" t="s">
        <v>9230</v>
      </c>
      <c r="D146" s="1" t="s">
        <v>583</v>
      </c>
      <c r="F146" s="1">
        <v>2.0</v>
      </c>
      <c r="G146" s="1">
        <v>497.0</v>
      </c>
      <c r="H146" s="1">
        <v>0.004</v>
      </c>
      <c r="I146" s="1">
        <v>33.46</v>
      </c>
    </row>
    <row r="147">
      <c r="A147" s="2" t="s">
        <v>9231</v>
      </c>
      <c r="B147" s="1">
        <v>0.0</v>
      </c>
      <c r="D147" s="1" t="s">
        <v>609</v>
      </c>
      <c r="E147" s="1" t="s">
        <v>9232</v>
      </c>
      <c r="F147" s="1">
        <v>0.0</v>
      </c>
      <c r="G147" s="1">
        <v>1.0</v>
      </c>
      <c r="H147" s="1">
        <v>0.0</v>
      </c>
      <c r="I147" s="1">
        <v>10.0</v>
      </c>
    </row>
    <row r="148">
      <c r="A148" s="2" t="s">
        <v>9233</v>
      </c>
      <c r="B148" s="1">
        <v>200.0</v>
      </c>
      <c r="C148" s="1" t="s">
        <v>9234</v>
      </c>
      <c r="D148" s="1" t="s">
        <v>583</v>
      </c>
      <c r="F148" s="1">
        <v>0.0</v>
      </c>
      <c r="G148" s="1">
        <v>583.0</v>
      </c>
      <c r="H148" s="1">
        <v>0.0</v>
      </c>
      <c r="I148" s="1">
        <v>42.42</v>
      </c>
    </row>
    <row r="149">
      <c r="A149" s="2" t="s">
        <v>9235</v>
      </c>
      <c r="B149" s="1">
        <v>200.0</v>
      </c>
      <c r="C149" s="1" t="s">
        <v>9236</v>
      </c>
      <c r="D149" s="1" t="s">
        <v>583</v>
      </c>
      <c r="F149" s="1">
        <v>0.0</v>
      </c>
      <c r="G149" s="1">
        <v>849.0</v>
      </c>
      <c r="H149" s="1">
        <v>0.0</v>
      </c>
      <c r="I149" s="1">
        <v>30.18</v>
      </c>
    </row>
    <row r="150">
      <c r="A150" s="2" t="s">
        <v>9237</v>
      </c>
      <c r="B150" s="1">
        <v>200.0</v>
      </c>
      <c r="C150" s="1" t="s">
        <v>9238</v>
      </c>
      <c r="D150" s="1" t="s">
        <v>583</v>
      </c>
      <c r="F150" s="1">
        <v>0.0</v>
      </c>
      <c r="G150" s="1">
        <v>157.0</v>
      </c>
      <c r="H150" s="1">
        <v>0.0</v>
      </c>
      <c r="I150" s="1">
        <v>64.03</v>
      </c>
    </row>
    <row r="151">
      <c r="A151" s="2" t="s">
        <v>9239</v>
      </c>
      <c r="B151" s="1">
        <v>200.0</v>
      </c>
      <c r="C151" s="1" t="s">
        <v>9240</v>
      </c>
      <c r="D151" s="1" t="s">
        <v>583</v>
      </c>
      <c r="F151" s="1">
        <v>1.0</v>
      </c>
      <c r="G151" s="1">
        <v>245.0</v>
      </c>
      <c r="H151" s="1">
        <v>0.004</v>
      </c>
      <c r="I151" s="1">
        <v>20.16</v>
      </c>
    </row>
    <row r="152">
      <c r="A152" s="2" t="s">
        <v>9241</v>
      </c>
      <c r="B152" s="1">
        <v>200.0</v>
      </c>
      <c r="C152" s="1" t="s">
        <v>9242</v>
      </c>
      <c r="D152" s="1" t="s">
        <v>583</v>
      </c>
      <c r="F152" s="1">
        <v>635.0</v>
      </c>
      <c r="G152" s="1">
        <v>74144.0</v>
      </c>
      <c r="H152" s="1">
        <v>0.009</v>
      </c>
      <c r="I152" s="1">
        <v>11.06</v>
      </c>
    </row>
    <row r="153">
      <c r="A153" s="2" t="s">
        <v>9243</v>
      </c>
      <c r="B153" s="1">
        <v>200.0</v>
      </c>
      <c r="C153" s="1" t="s">
        <v>9244</v>
      </c>
      <c r="D153" s="1" t="s">
        <v>583</v>
      </c>
      <c r="F153" s="1">
        <v>52.0</v>
      </c>
      <c r="G153" s="1">
        <v>1970.0</v>
      </c>
      <c r="H153" s="1">
        <v>0.026</v>
      </c>
      <c r="I153" s="1">
        <v>15.75</v>
      </c>
    </row>
    <row r="154">
      <c r="A154" s="2" t="s">
        <v>9245</v>
      </c>
      <c r="B154" s="1">
        <v>200.0</v>
      </c>
      <c r="C154" s="1" t="s">
        <v>9246</v>
      </c>
      <c r="D154" s="1" t="s">
        <v>583</v>
      </c>
      <c r="F154" s="1">
        <v>0.0</v>
      </c>
      <c r="G154" s="1">
        <v>995.0</v>
      </c>
      <c r="H154" s="1">
        <v>0.0</v>
      </c>
      <c r="I154" s="1">
        <v>26.28</v>
      </c>
    </row>
    <row r="155">
      <c r="A155" s="2" t="s">
        <v>354</v>
      </c>
      <c r="B155" s="1">
        <v>200.0</v>
      </c>
      <c r="C155" s="1" t="s">
        <v>9247</v>
      </c>
      <c r="D155" s="1" t="s">
        <v>583</v>
      </c>
      <c r="F155" s="1">
        <v>4.0</v>
      </c>
      <c r="G155" s="1">
        <v>2936.0</v>
      </c>
      <c r="H155" s="1">
        <v>0.001</v>
      </c>
      <c r="I155" s="1">
        <v>28.26</v>
      </c>
    </row>
    <row r="156">
      <c r="A156" s="2" t="s">
        <v>9248</v>
      </c>
      <c r="B156" s="1">
        <v>200.0</v>
      </c>
      <c r="C156" s="1" t="s">
        <v>9249</v>
      </c>
      <c r="D156" s="1" t="s">
        <v>583</v>
      </c>
      <c r="F156" s="1">
        <v>1.0</v>
      </c>
      <c r="G156" s="1">
        <v>1426.0</v>
      </c>
      <c r="H156" s="1">
        <v>0.001</v>
      </c>
      <c r="I156" s="1">
        <v>25.39</v>
      </c>
    </row>
    <row r="157">
      <c r="A157" s="2" t="s">
        <v>9250</v>
      </c>
      <c r="B157" s="1">
        <v>200.0</v>
      </c>
      <c r="C157" s="1" t="s">
        <v>9251</v>
      </c>
      <c r="D157" s="1" t="s">
        <v>583</v>
      </c>
      <c r="F157" s="1">
        <v>1.0</v>
      </c>
      <c r="G157" s="1">
        <v>1288.0</v>
      </c>
      <c r="H157" s="1">
        <v>0.001</v>
      </c>
      <c r="I157" s="1">
        <v>27.34</v>
      </c>
    </row>
    <row r="158">
      <c r="A158" s="2" t="s">
        <v>9252</v>
      </c>
      <c r="B158" s="1">
        <v>200.0</v>
      </c>
      <c r="C158" s="1" t="s">
        <v>9253</v>
      </c>
      <c r="D158" s="1" t="s">
        <v>583</v>
      </c>
      <c r="F158" s="1">
        <v>3.0</v>
      </c>
      <c r="G158" s="1">
        <v>1047.0</v>
      </c>
      <c r="H158" s="1">
        <v>0.003</v>
      </c>
      <c r="I158" s="1">
        <v>72.54</v>
      </c>
    </row>
    <row r="159">
      <c r="A159" s="2" t="s">
        <v>9254</v>
      </c>
      <c r="B159" s="1">
        <v>200.0</v>
      </c>
      <c r="C159" s="1" t="s">
        <v>9255</v>
      </c>
      <c r="D159" s="1" t="s">
        <v>583</v>
      </c>
      <c r="F159" s="1">
        <v>0.0</v>
      </c>
      <c r="G159" s="1">
        <v>357.0</v>
      </c>
      <c r="H159" s="1">
        <v>0.0</v>
      </c>
      <c r="I159" s="1">
        <v>21.94</v>
      </c>
    </row>
    <row r="160">
      <c r="A160" s="2" t="s">
        <v>9256</v>
      </c>
      <c r="B160" s="1">
        <v>200.0</v>
      </c>
      <c r="C160" s="1" t="s">
        <v>9257</v>
      </c>
      <c r="D160" s="1" t="s">
        <v>583</v>
      </c>
      <c r="F160" s="1">
        <v>1.0</v>
      </c>
      <c r="G160" s="1">
        <v>528.0</v>
      </c>
      <c r="H160" s="1">
        <v>0.002</v>
      </c>
      <c r="I160" s="1">
        <v>59.96</v>
      </c>
    </row>
    <row r="161">
      <c r="A161" s="2" t="s">
        <v>9258</v>
      </c>
      <c r="B161" s="1">
        <v>200.0</v>
      </c>
      <c r="C161" s="1" t="s">
        <v>9007</v>
      </c>
      <c r="D161" s="1" t="s">
        <v>609</v>
      </c>
      <c r="E161" s="1" t="s">
        <v>631</v>
      </c>
      <c r="F161" s="1">
        <v>0.0</v>
      </c>
      <c r="G161" s="1">
        <v>3.0</v>
      </c>
      <c r="H161" s="1">
        <v>0.0</v>
      </c>
      <c r="I161" s="1">
        <v>6.67</v>
      </c>
    </row>
    <row r="162">
      <c r="A162" s="2" t="s">
        <v>9259</v>
      </c>
      <c r="B162" s="1">
        <v>200.0</v>
      </c>
      <c r="C162" s="1" t="s">
        <v>9007</v>
      </c>
      <c r="D162" s="1" t="s">
        <v>609</v>
      </c>
      <c r="E162" s="1" t="s">
        <v>631</v>
      </c>
      <c r="F162" s="1">
        <v>0.0</v>
      </c>
      <c r="G162" s="1">
        <v>7.0</v>
      </c>
      <c r="H162" s="1">
        <v>0.0</v>
      </c>
      <c r="I162" s="1">
        <v>7.29</v>
      </c>
    </row>
    <row r="163">
      <c r="A163" s="2" t="s">
        <v>9260</v>
      </c>
      <c r="B163" s="1">
        <v>200.0</v>
      </c>
      <c r="C163" s="1" t="s">
        <v>9007</v>
      </c>
      <c r="D163" s="1" t="s">
        <v>609</v>
      </c>
      <c r="E163" s="1" t="s">
        <v>631</v>
      </c>
      <c r="F163" s="1">
        <v>0.0</v>
      </c>
      <c r="G163" s="1">
        <v>27.0</v>
      </c>
      <c r="H163" s="1">
        <v>0.0</v>
      </c>
      <c r="I163" s="1">
        <v>13.93</v>
      </c>
    </row>
    <row r="164">
      <c r="A164" s="2" t="s">
        <v>9261</v>
      </c>
      <c r="B164" s="1">
        <v>200.0</v>
      </c>
      <c r="C164" s="1" t="s">
        <v>9262</v>
      </c>
      <c r="D164" s="1" t="s">
        <v>583</v>
      </c>
      <c r="F164" s="1">
        <v>234.0</v>
      </c>
      <c r="G164" s="1">
        <v>17782.0</v>
      </c>
      <c r="H164" s="1">
        <v>0.013</v>
      </c>
      <c r="I164" s="1">
        <v>7.79</v>
      </c>
    </row>
    <row r="165">
      <c r="A165" s="2" t="s">
        <v>9263</v>
      </c>
      <c r="B165" s="1">
        <v>200.0</v>
      </c>
      <c r="C165" s="1" t="s">
        <v>9264</v>
      </c>
      <c r="D165" s="1" t="s">
        <v>583</v>
      </c>
      <c r="F165" s="1">
        <v>158.0</v>
      </c>
      <c r="G165" s="1">
        <v>25418.0</v>
      </c>
      <c r="H165" s="1">
        <v>0.006</v>
      </c>
      <c r="I165" s="1">
        <v>16.5</v>
      </c>
    </row>
    <row r="166">
      <c r="A166" s="2" t="s">
        <v>9265</v>
      </c>
      <c r="B166" s="1">
        <v>200.0</v>
      </c>
      <c r="C166" s="1" t="s">
        <v>9266</v>
      </c>
      <c r="D166" s="1" t="s">
        <v>583</v>
      </c>
      <c r="F166" s="1">
        <v>103.0</v>
      </c>
      <c r="G166" s="1">
        <v>22871.0</v>
      </c>
      <c r="H166" s="1">
        <v>0.004</v>
      </c>
      <c r="I166" s="1">
        <v>9.14</v>
      </c>
    </row>
    <row r="167">
      <c r="A167" s="2" t="s">
        <v>9267</v>
      </c>
      <c r="B167" s="1">
        <v>200.0</v>
      </c>
      <c r="C167" s="1" t="s">
        <v>9268</v>
      </c>
      <c r="D167" s="1" t="s">
        <v>583</v>
      </c>
      <c r="F167" s="1">
        <v>77.0</v>
      </c>
      <c r="G167" s="1">
        <v>10905.0</v>
      </c>
      <c r="H167" s="1">
        <v>0.007</v>
      </c>
      <c r="I167" s="1">
        <v>8.33</v>
      </c>
    </row>
    <row r="168">
      <c r="A168" s="2" t="s">
        <v>9269</v>
      </c>
      <c r="B168" s="1">
        <v>200.0</v>
      </c>
      <c r="C168" s="1" t="s">
        <v>9011</v>
      </c>
      <c r="D168" s="1" t="s">
        <v>609</v>
      </c>
      <c r="E168" s="1" t="s">
        <v>631</v>
      </c>
      <c r="F168" s="1">
        <v>3.0</v>
      </c>
      <c r="G168" s="1">
        <v>664.0</v>
      </c>
      <c r="H168" s="1">
        <v>0.004</v>
      </c>
      <c r="I168" s="1">
        <v>8.15</v>
      </c>
    </row>
    <row r="169">
      <c r="A169" s="2" t="s">
        <v>9270</v>
      </c>
      <c r="B169" s="1">
        <v>200.0</v>
      </c>
      <c r="C169" s="1" t="s">
        <v>9011</v>
      </c>
      <c r="D169" s="1" t="s">
        <v>609</v>
      </c>
      <c r="E169" s="1" t="s">
        <v>631</v>
      </c>
    </row>
    <row r="170">
      <c r="A170" s="2" t="s">
        <v>9271</v>
      </c>
      <c r="B170" s="1">
        <v>200.0</v>
      </c>
      <c r="C170" s="1" t="s">
        <v>9272</v>
      </c>
      <c r="D170" s="1" t="s">
        <v>583</v>
      </c>
      <c r="F170" s="1">
        <v>1.0</v>
      </c>
      <c r="G170" s="1">
        <v>334.0</v>
      </c>
      <c r="H170" s="1">
        <v>0.003</v>
      </c>
      <c r="I170" s="1">
        <v>60.49</v>
      </c>
    </row>
    <row r="171">
      <c r="A171" s="2" t="s">
        <v>9273</v>
      </c>
      <c r="B171" s="1">
        <v>200.0</v>
      </c>
      <c r="C171" s="1" t="s">
        <v>9274</v>
      </c>
      <c r="D171" s="1" t="s">
        <v>583</v>
      </c>
      <c r="F171" s="1">
        <v>1.0</v>
      </c>
      <c r="G171" s="1">
        <v>922.0</v>
      </c>
      <c r="H171" s="1">
        <v>0.001</v>
      </c>
      <c r="I171" s="1">
        <v>50.94</v>
      </c>
    </row>
    <row r="172">
      <c r="A172" s="2" t="s">
        <v>9275</v>
      </c>
      <c r="B172" s="1">
        <v>200.0</v>
      </c>
      <c r="C172" s="1" t="s">
        <v>9276</v>
      </c>
      <c r="D172" s="1" t="s">
        <v>583</v>
      </c>
      <c r="F172" s="1">
        <v>1.0</v>
      </c>
      <c r="G172" s="1">
        <v>2591.0</v>
      </c>
      <c r="H172" s="1">
        <v>0.0</v>
      </c>
      <c r="I172" s="1">
        <v>41.49</v>
      </c>
    </row>
    <row r="173">
      <c r="A173" s="2" t="s">
        <v>9277</v>
      </c>
      <c r="B173" s="1">
        <v>200.0</v>
      </c>
      <c r="C173" s="1" t="s">
        <v>9278</v>
      </c>
      <c r="D173" s="1" t="s">
        <v>583</v>
      </c>
      <c r="F173" s="1">
        <v>2.0</v>
      </c>
      <c r="G173" s="1">
        <v>609.0</v>
      </c>
      <c r="H173" s="1">
        <v>0.003</v>
      </c>
      <c r="I173" s="1">
        <v>53.32</v>
      </c>
    </row>
    <row r="174">
      <c r="A174" s="2" t="s">
        <v>9279</v>
      </c>
      <c r="B174" s="1">
        <v>200.0</v>
      </c>
      <c r="C174" s="1" t="s">
        <v>9280</v>
      </c>
      <c r="D174" s="1" t="s">
        <v>583</v>
      </c>
      <c r="F174" s="1">
        <v>1.0</v>
      </c>
      <c r="G174" s="1">
        <v>257.0</v>
      </c>
      <c r="H174" s="1">
        <v>0.004</v>
      </c>
      <c r="I174" s="1">
        <v>19.77</v>
      </c>
    </row>
    <row r="175">
      <c r="A175" s="2" t="s">
        <v>9281</v>
      </c>
      <c r="B175" s="1">
        <v>200.0</v>
      </c>
      <c r="C175" s="1" t="s">
        <v>9282</v>
      </c>
      <c r="D175" s="1" t="s">
        <v>583</v>
      </c>
      <c r="F175" s="1">
        <v>1.0</v>
      </c>
      <c r="G175" s="1">
        <v>208.0</v>
      </c>
      <c r="H175" s="1">
        <v>0.005</v>
      </c>
      <c r="I175" s="1">
        <v>37.05</v>
      </c>
    </row>
    <row r="176">
      <c r="A176" s="2" t="s">
        <v>9283</v>
      </c>
      <c r="B176" s="1">
        <v>200.0</v>
      </c>
      <c r="C176" s="1" t="s">
        <v>9284</v>
      </c>
      <c r="D176" s="1" t="s">
        <v>583</v>
      </c>
      <c r="F176" s="1">
        <v>0.0</v>
      </c>
      <c r="G176" s="1">
        <v>198.0</v>
      </c>
      <c r="H176" s="1">
        <v>0.0</v>
      </c>
      <c r="I176" s="1">
        <v>43.5</v>
      </c>
    </row>
    <row r="177">
      <c r="A177" s="2" t="s">
        <v>9285</v>
      </c>
      <c r="B177" s="1">
        <v>200.0</v>
      </c>
      <c r="C177" s="1" t="s">
        <v>9286</v>
      </c>
      <c r="D177" s="1" t="s">
        <v>583</v>
      </c>
      <c r="F177" s="1">
        <v>1.0</v>
      </c>
      <c r="G177" s="1">
        <v>1082.0</v>
      </c>
      <c r="H177" s="1">
        <v>0.001</v>
      </c>
      <c r="I177" s="1">
        <v>53.14</v>
      </c>
    </row>
    <row r="178">
      <c r="A178" s="2" t="s">
        <v>9287</v>
      </c>
      <c r="B178" s="1">
        <v>200.0</v>
      </c>
      <c r="C178" s="1" t="s">
        <v>9288</v>
      </c>
      <c r="D178" s="1" t="s">
        <v>583</v>
      </c>
      <c r="F178" s="1">
        <v>0.0</v>
      </c>
      <c r="G178" s="1">
        <v>32.0</v>
      </c>
      <c r="H178" s="1">
        <v>0.0</v>
      </c>
      <c r="I178" s="1">
        <v>60.28</v>
      </c>
    </row>
    <row r="179">
      <c r="A179" s="2" t="s">
        <v>9289</v>
      </c>
      <c r="B179" s="1">
        <v>200.0</v>
      </c>
      <c r="C179" s="1" t="s">
        <v>9290</v>
      </c>
      <c r="D179" s="1" t="s">
        <v>583</v>
      </c>
      <c r="F179" s="1">
        <v>1.0</v>
      </c>
      <c r="G179" s="1">
        <v>529.0</v>
      </c>
      <c r="H179" s="1">
        <v>0.002</v>
      </c>
      <c r="I179" s="1">
        <v>21.81</v>
      </c>
    </row>
    <row r="180">
      <c r="A180" s="2" t="s">
        <v>9291</v>
      </c>
      <c r="B180" s="1">
        <v>200.0</v>
      </c>
      <c r="C180" s="1" t="s">
        <v>9292</v>
      </c>
      <c r="D180" s="1" t="s">
        <v>583</v>
      </c>
      <c r="F180" s="1">
        <v>0.0</v>
      </c>
      <c r="G180" s="1">
        <v>54.0</v>
      </c>
      <c r="H180" s="1">
        <v>0.0</v>
      </c>
      <c r="I180" s="1">
        <v>48.54</v>
      </c>
    </row>
    <row r="181">
      <c r="A181" s="2" t="s">
        <v>9293</v>
      </c>
      <c r="B181" s="1">
        <v>200.0</v>
      </c>
      <c r="C181" s="1" t="s">
        <v>9294</v>
      </c>
      <c r="D181" s="1" t="s">
        <v>583</v>
      </c>
      <c r="F181" s="1">
        <v>288.0</v>
      </c>
      <c r="G181" s="1">
        <v>59820.0</v>
      </c>
      <c r="H181" s="1">
        <v>0.005</v>
      </c>
      <c r="I181" s="1">
        <v>14.45</v>
      </c>
    </row>
    <row r="182">
      <c r="A182" s="2" t="s">
        <v>9295</v>
      </c>
      <c r="B182" s="1">
        <v>200.0</v>
      </c>
      <c r="C182" s="1" t="s">
        <v>9296</v>
      </c>
      <c r="D182" s="1" t="s">
        <v>583</v>
      </c>
      <c r="F182" s="1">
        <v>328.0</v>
      </c>
      <c r="G182" s="1">
        <v>27712.0</v>
      </c>
      <c r="H182" s="1">
        <v>0.012</v>
      </c>
      <c r="I182" s="1">
        <v>9.33</v>
      </c>
    </row>
    <row r="183">
      <c r="A183" s="2" t="s">
        <v>419</v>
      </c>
      <c r="B183" s="1">
        <v>200.0</v>
      </c>
      <c r="C183" s="1" t="s">
        <v>9297</v>
      </c>
      <c r="D183" s="1" t="s">
        <v>583</v>
      </c>
      <c r="F183" s="1">
        <v>130.0</v>
      </c>
      <c r="G183" s="1">
        <v>15252.0</v>
      </c>
      <c r="H183" s="1">
        <v>0.009</v>
      </c>
      <c r="I183" s="1">
        <v>13.48</v>
      </c>
    </row>
    <row r="184">
      <c r="A184" s="2" t="s">
        <v>9298</v>
      </c>
      <c r="B184" s="1">
        <v>200.0</v>
      </c>
      <c r="C184" s="1" t="s">
        <v>9299</v>
      </c>
      <c r="D184" s="1" t="s">
        <v>583</v>
      </c>
      <c r="F184" s="1">
        <v>90.0</v>
      </c>
      <c r="G184" s="1">
        <v>6391.0</v>
      </c>
      <c r="H184" s="1">
        <v>0.014</v>
      </c>
      <c r="I184" s="1">
        <v>9.59</v>
      </c>
    </row>
    <row r="185">
      <c r="A185" s="2" t="s">
        <v>9300</v>
      </c>
      <c r="B185" s="1">
        <v>200.0</v>
      </c>
      <c r="C185" s="1" t="s">
        <v>9301</v>
      </c>
      <c r="D185" s="1" t="s">
        <v>583</v>
      </c>
      <c r="F185" s="1">
        <v>767.0</v>
      </c>
      <c r="G185" s="1">
        <v>28134.0</v>
      </c>
      <c r="H185" s="1">
        <v>0.027</v>
      </c>
      <c r="I185" s="1">
        <v>7.88</v>
      </c>
    </row>
    <row r="186">
      <c r="A186" s="2" t="s">
        <v>9302</v>
      </c>
      <c r="B186" s="1">
        <v>200.0</v>
      </c>
      <c r="C186" s="1" t="s">
        <v>9303</v>
      </c>
      <c r="D186" s="1" t="s">
        <v>583</v>
      </c>
      <c r="F186" s="1">
        <v>432.0</v>
      </c>
      <c r="G186" s="1">
        <v>27110.0</v>
      </c>
      <c r="H186" s="1">
        <v>0.016</v>
      </c>
      <c r="I186" s="1">
        <v>9.55</v>
      </c>
    </row>
    <row r="187">
      <c r="A187" s="2" t="s">
        <v>9304</v>
      </c>
      <c r="B187" s="1">
        <v>200.0</v>
      </c>
      <c r="C187" s="1" t="s">
        <v>9305</v>
      </c>
      <c r="D187" s="1" t="s">
        <v>583</v>
      </c>
      <c r="F187" s="1">
        <v>258.0</v>
      </c>
      <c r="G187" s="1">
        <v>24193.0</v>
      </c>
      <c r="H187" s="1">
        <v>0.011</v>
      </c>
      <c r="I187" s="1">
        <v>9.31</v>
      </c>
    </row>
    <row r="188">
      <c r="A188" s="2" t="s">
        <v>319</v>
      </c>
      <c r="B188" s="1">
        <v>200.0</v>
      </c>
      <c r="C188" s="1" t="s">
        <v>9306</v>
      </c>
      <c r="D188" s="1" t="s">
        <v>583</v>
      </c>
      <c r="F188" s="1">
        <v>111.0</v>
      </c>
      <c r="G188" s="1">
        <v>21638.0</v>
      </c>
      <c r="H188" s="1">
        <v>0.005</v>
      </c>
      <c r="I188" s="1">
        <v>7.84</v>
      </c>
    </row>
    <row r="189">
      <c r="A189" s="2" t="s">
        <v>9307</v>
      </c>
      <c r="B189" s="1">
        <v>200.0</v>
      </c>
      <c r="C189" s="1" t="s">
        <v>9308</v>
      </c>
      <c r="D189" s="1" t="s">
        <v>583</v>
      </c>
      <c r="F189" s="1">
        <v>363.0</v>
      </c>
      <c r="G189" s="1">
        <v>34309.0</v>
      </c>
      <c r="H189" s="1">
        <v>0.011</v>
      </c>
      <c r="I189" s="1">
        <v>6.73</v>
      </c>
    </row>
    <row r="190">
      <c r="A190" s="2" t="s">
        <v>9309</v>
      </c>
      <c r="B190" s="1">
        <v>301.0</v>
      </c>
      <c r="D190" s="1" t="s">
        <v>609</v>
      </c>
      <c r="E190" s="1" t="s">
        <v>610</v>
      </c>
    </row>
    <row r="191">
      <c r="A191" s="2" t="s">
        <v>9310</v>
      </c>
      <c r="B191" s="1">
        <v>301.0</v>
      </c>
      <c r="D191" s="1" t="s">
        <v>609</v>
      </c>
      <c r="E191" s="1" t="s">
        <v>610</v>
      </c>
    </row>
    <row r="192">
      <c r="A192" s="2" t="s">
        <v>9311</v>
      </c>
      <c r="B192" s="1">
        <v>200.0</v>
      </c>
      <c r="C192" s="1" t="s">
        <v>9312</v>
      </c>
      <c r="D192" s="1" t="s">
        <v>583</v>
      </c>
      <c r="F192" s="1">
        <v>0.0</v>
      </c>
      <c r="G192" s="1">
        <v>637.0</v>
      </c>
      <c r="H192" s="1">
        <v>0.0</v>
      </c>
      <c r="I192" s="1">
        <v>44.68</v>
      </c>
    </row>
    <row r="193">
      <c r="A193" s="2" t="s">
        <v>9313</v>
      </c>
      <c r="B193" s="1">
        <v>200.0</v>
      </c>
      <c r="C193" s="1" t="s">
        <v>9314</v>
      </c>
      <c r="D193" s="1" t="s">
        <v>583</v>
      </c>
    </row>
    <row r="194">
      <c r="A194" s="2" t="s">
        <v>9315</v>
      </c>
      <c r="B194" s="1">
        <v>200.0</v>
      </c>
      <c r="C194" s="1" t="s">
        <v>9316</v>
      </c>
      <c r="D194" s="1" t="s">
        <v>583</v>
      </c>
      <c r="F194" s="1">
        <v>186.0</v>
      </c>
      <c r="G194" s="1">
        <v>29091.0</v>
      </c>
      <c r="H194" s="1">
        <v>0.006</v>
      </c>
      <c r="I194" s="1">
        <v>16.26</v>
      </c>
    </row>
    <row r="195">
      <c r="A195" s="2" t="s">
        <v>9317</v>
      </c>
      <c r="B195" s="1">
        <v>200.0</v>
      </c>
      <c r="C195" s="1" t="s">
        <v>9318</v>
      </c>
      <c r="D195" s="1" t="s">
        <v>583</v>
      </c>
      <c r="F195" s="1">
        <v>138.0</v>
      </c>
      <c r="G195" s="1">
        <v>11323.0</v>
      </c>
      <c r="H195" s="1">
        <v>0.012</v>
      </c>
      <c r="I195" s="1">
        <v>15.18</v>
      </c>
    </row>
    <row r="196">
      <c r="A196" s="2" t="s">
        <v>9319</v>
      </c>
      <c r="B196" s="1">
        <v>200.0</v>
      </c>
      <c r="C196" s="1" t="s">
        <v>9320</v>
      </c>
      <c r="D196" s="1" t="s">
        <v>583</v>
      </c>
      <c r="F196" s="1">
        <v>31.0</v>
      </c>
      <c r="G196" s="1">
        <v>5798.0</v>
      </c>
      <c r="H196" s="1">
        <v>0.005</v>
      </c>
      <c r="I196" s="1">
        <v>9.33</v>
      </c>
    </row>
    <row r="197">
      <c r="A197" s="2" t="s">
        <v>9321</v>
      </c>
      <c r="B197" s="1">
        <v>200.0</v>
      </c>
      <c r="C197" s="1" t="s">
        <v>9322</v>
      </c>
      <c r="D197" s="1" t="s">
        <v>583</v>
      </c>
      <c r="F197" s="1">
        <v>1.0</v>
      </c>
      <c r="G197" s="1">
        <v>109.0</v>
      </c>
      <c r="H197" s="1">
        <v>0.009</v>
      </c>
      <c r="I197" s="1">
        <v>14.45</v>
      </c>
    </row>
    <row r="198">
      <c r="A198" s="2" t="s">
        <v>9323</v>
      </c>
      <c r="B198" s="1">
        <v>200.0</v>
      </c>
      <c r="C198" s="1" t="s">
        <v>9324</v>
      </c>
      <c r="D198" s="1" t="s">
        <v>583</v>
      </c>
      <c r="F198" s="1">
        <v>13.0</v>
      </c>
      <c r="G198" s="1">
        <v>10042.0</v>
      </c>
      <c r="H198" s="1">
        <v>0.001</v>
      </c>
      <c r="I198" s="1">
        <v>12.73</v>
      </c>
    </row>
    <row r="199">
      <c r="A199" s="2" t="s">
        <v>9325</v>
      </c>
      <c r="B199" s="1">
        <v>200.0</v>
      </c>
      <c r="C199" s="1" t="s">
        <v>9326</v>
      </c>
      <c r="D199" s="1" t="s">
        <v>583</v>
      </c>
      <c r="F199" s="1">
        <v>14.0</v>
      </c>
      <c r="G199" s="1">
        <v>8457.0</v>
      </c>
      <c r="H199" s="1">
        <v>0.002</v>
      </c>
      <c r="I199" s="1">
        <v>30.59</v>
      </c>
    </row>
    <row r="200">
      <c r="A200" s="2" t="s">
        <v>9327</v>
      </c>
      <c r="B200" s="1">
        <v>200.0</v>
      </c>
      <c r="C200" s="1" t="s">
        <v>9328</v>
      </c>
      <c r="D200" s="1" t="s">
        <v>583</v>
      </c>
      <c r="F200" s="1">
        <v>56.0</v>
      </c>
      <c r="G200" s="1">
        <v>10642.0</v>
      </c>
      <c r="H200" s="1">
        <v>0.005</v>
      </c>
      <c r="I200" s="1">
        <v>24.13</v>
      </c>
    </row>
    <row r="201">
      <c r="A201" s="2" t="s">
        <v>9329</v>
      </c>
      <c r="B201" s="1">
        <v>200.0</v>
      </c>
      <c r="C201" s="1" t="s">
        <v>9330</v>
      </c>
      <c r="D201" s="1" t="s">
        <v>583</v>
      </c>
      <c r="F201" s="1">
        <v>105.0</v>
      </c>
      <c r="G201" s="1">
        <v>21788.0</v>
      </c>
      <c r="H201" s="1">
        <v>0.005</v>
      </c>
      <c r="I201" s="1">
        <v>36.41</v>
      </c>
    </row>
    <row r="202">
      <c r="A202" s="2" t="s">
        <v>9331</v>
      </c>
      <c r="B202" s="1">
        <v>200.0</v>
      </c>
      <c r="C202" s="1" t="s">
        <v>9332</v>
      </c>
      <c r="D202" s="1" t="s">
        <v>583</v>
      </c>
      <c r="F202" s="1">
        <v>33.0</v>
      </c>
      <c r="G202" s="1">
        <v>12379.0</v>
      </c>
      <c r="H202" s="1">
        <v>0.003</v>
      </c>
      <c r="I202" s="1">
        <v>20.92</v>
      </c>
    </row>
    <row r="203">
      <c r="A203" s="2" t="s">
        <v>9333</v>
      </c>
      <c r="B203" s="1">
        <v>200.0</v>
      </c>
      <c r="C203" s="1" t="s">
        <v>9334</v>
      </c>
      <c r="D203" s="1" t="s">
        <v>583</v>
      </c>
      <c r="F203" s="1">
        <v>2.0</v>
      </c>
      <c r="G203" s="1">
        <v>260.0</v>
      </c>
      <c r="H203" s="1">
        <v>0.008</v>
      </c>
      <c r="I203" s="1">
        <v>28.71</v>
      </c>
    </row>
    <row r="204">
      <c r="A204" s="2" t="s">
        <v>9335</v>
      </c>
      <c r="B204" s="1">
        <v>200.0</v>
      </c>
      <c r="C204" s="1" t="s">
        <v>9336</v>
      </c>
      <c r="D204" s="1" t="s">
        <v>583</v>
      </c>
      <c r="F204" s="1">
        <v>21.0</v>
      </c>
      <c r="G204" s="1">
        <v>7127.0</v>
      </c>
      <c r="H204" s="1">
        <v>0.003</v>
      </c>
      <c r="I204" s="1">
        <v>33.39</v>
      </c>
    </row>
    <row r="205">
      <c r="A205" s="2" t="s">
        <v>9337</v>
      </c>
      <c r="B205" s="1">
        <v>200.0</v>
      </c>
      <c r="C205" s="1" t="s">
        <v>9338</v>
      </c>
      <c r="D205" s="1" t="s">
        <v>583</v>
      </c>
      <c r="F205" s="1">
        <v>4.0</v>
      </c>
      <c r="G205" s="1">
        <v>107.0</v>
      </c>
      <c r="H205" s="1">
        <v>0.037</v>
      </c>
      <c r="I205" s="1">
        <v>18.32</v>
      </c>
    </row>
    <row r="206">
      <c r="A206" s="2" t="s">
        <v>9339</v>
      </c>
      <c r="B206" s="1">
        <v>301.0</v>
      </c>
      <c r="D206" s="1" t="s">
        <v>609</v>
      </c>
      <c r="E206" s="1" t="s">
        <v>610</v>
      </c>
      <c r="F206" s="1">
        <v>32.0</v>
      </c>
      <c r="G206" s="1">
        <v>3982.0</v>
      </c>
      <c r="H206" s="1">
        <v>0.008</v>
      </c>
      <c r="I206" s="1">
        <v>28.14</v>
      </c>
    </row>
    <row r="207">
      <c r="A207" s="2" t="s">
        <v>9340</v>
      </c>
      <c r="B207" s="1">
        <v>301.0</v>
      </c>
      <c r="D207" s="1" t="s">
        <v>609</v>
      </c>
      <c r="E207" s="1" t="s">
        <v>610</v>
      </c>
    </row>
    <row r="208">
      <c r="A208" s="2" t="s">
        <v>9341</v>
      </c>
      <c r="B208" s="1">
        <v>200.0</v>
      </c>
      <c r="C208" s="1" t="s">
        <v>9342</v>
      </c>
      <c r="D208" s="1" t="s">
        <v>583</v>
      </c>
      <c r="F208" s="1">
        <v>0.0</v>
      </c>
      <c r="G208" s="1">
        <v>75.0</v>
      </c>
      <c r="H208" s="1">
        <v>0.0</v>
      </c>
      <c r="I208" s="1">
        <v>59.56</v>
      </c>
    </row>
    <row r="209">
      <c r="A209" s="2" t="s">
        <v>9343</v>
      </c>
      <c r="B209" s="1">
        <v>200.0</v>
      </c>
      <c r="C209" s="1" t="s">
        <v>9344</v>
      </c>
      <c r="D209" s="1" t="s">
        <v>583</v>
      </c>
      <c r="F209" s="1">
        <v>0.0</v>
      </c>
      <c r="G209" s="1">
        <v>24.0</v>
      </c>
      <c r="H209" s="1">
        <v>0.0</v>
      </c>
      <c r="I209" s="1">
        <v>12.63</v>
      </c>
    </row>
    <row r="210">
      <c r="A210" s="2" t="s">
        <v>9345</v>
      </c>
      <c r="B210" s="1">
        <v>200.0</v>
      </c>
      <c r="C210" s="1" t="s">
        <v>9346</v>
      </c>
      <c r="D210" s="1" t="s">
        <v>583</v>
      </c>
      <c r="F210" s="1">
        <v>2.0</v>
      </c>
      <c r="G210" s="1">
        <v>3336.0</v>
      </c>
      <c r="H210" s="1">
        <v>0.001</v>
      </c>
      <c r="I210" s="1">
        <v>19.88</v>
      </c>
    </row>
    <row r="211">
      <c r="A211" s="2" t="s">
        <v>9347</v>
      </c>
      <c r="B211" s="1">
        <v>200.0</v>
      </c>
      <c r="C211" s="1" t="s">
        <v>9137</v>
      </c>
      <c r="D211" s="1" t="s">
        <v>583</v>
      </c>
      <c r="F211" s="1">
        <v>839.0</v>
      </c>
      <c r="G211" s="1">
        <v>76144.0</v>
      </c>
      <c r="H211" s="1">
        <v>0.011</v>
      </c>
      <c r="I211" s="1">
        <v>7.37</v>
      </c>
    </row>
    <row r="212">
      <c r="A212" s="2" t="s">
        <v>9348</v>
      </c>
      <c r="B212" s="1">
        <v>200.0</v>
      </c>
      <c r="C212" s="1" t="s">
        <v>9349</v>
      </c>
      <c r="D212" s="1" t="s">
        <v>583</v>
      </c>
      <c r="F212" s="1">
        <v>1.0</v>
      </c>
      <c r="G212" s="1">
        <v>1383.0</v>
      </c>
      <c r="H212" s="1">
        <v>0.001</v>
      </c>
      <c r="I212" s="1">
        <v>45.72</v>
      </c>
    </row>
    <row r="213">
      <c r="A213" s="2" t="s">
        <v>9350</v>
      </c>
      <c r="B213" s="1">
        <v>200.0</v>
      </c>
      <c r="C213" s="1" t="s">
        <v>9351</v>
      </c>
      <c r="D213" s="1" t="s">
        <v>583</v>
      </c>
      <c r="F213" s="1">
        <v>2.0</v>
      </c>
      <c r="G213" s="1">
        <v>1052.0</v>
      </c>
      <c r="H213" s="1">
        <v>0.002</v>
      </c>
      <c r="I213" s="1">
        <v>37.85</v>
      </c>
    </row>
    <row r="214">
      <c r="A214" s="2" t="s">
        <v>9352</v>
      </c>
      <c r="B214" s="1">
        <v>200.0</v>
      </c>
      <c r="C214" s="1" t="s">
        <v>9353</v>
      </c>
      <c r="D214" s="1" t="s">
        <v>583</v>
      </c>
      <c r="F214" s="1">
        <v>0.0</v>
      </c>
      <c r="G214" s="1">
        <v>859.0</v>
      </c>
      <c r="H214" s="1">
        <v>0.0</v>
      </c>
      <c r="I214" s="1">
        <v>57.37</v>
      </c>
    </row>
    <row r="215">
      <c r="A215" s="2" t="s">
        <v>9354</v>
      </c>
      <c r="B215" s="1">
        <v>200.0</v>
      </c>
      <c r="C215" s="1" t="s">
        <v>9355</v>
      </c>
      <c r="D215" s="1" t="s">
        <v>583</v>
      </c>
      <c r="F215" s="1">
        <v>1.0</v>
      </c>
      <c r="G215" s="1">
        <v>576.0</v>
      </c>
      <c r="H215" s="1">
        <v>0.002</v>
      </c>
      <c r="I215" s="1">
        <v>27.23</v>
      </c>
    </row>
    <row r="216">
      <c r="A216" s="2" t="s">
        <v>9356</v>
      </c>
      <c r="B216" s="1">
        <v>200.0</v>
      </c>
      <c r="C216" s="1" t="s">
        <v>9357</v>
      </c>
      <c r="D216" s="1" t="s">
        <v>583</v>
      </c>
      <c r="F216" s="1">
        <v>2.0</v>
      </c>
      <c r="G216" s="1">
        <v>544.0</v>
      </c>
      <c r="H216" s="1">
        <v>0.004</v>
      </c>
      <c r="I216" s="1">
        <v>65.87</v>
      </c>
    </row>
    <row r="217">
      <c r="A217" s="2" t="s">
        <v>9358</v>
      </c>
      <c r="B217" s="1">
        <v>200.0</v>
      </c>
      <c r="C217" s="1" t="s">
        <v>9359</v>
      </c>
      <c r="D217" s="1" t="s">
        <v>583</v>
      </c>
      <c r="F217" s="1">
        <v>0.0</v>
      </c>
      <c r="G217" s="1">
        <v>597.0</v>
      </c>
      <c r="H217" s="1">
        <v>0.0</v>
      </c>
      <c r="I217" s="1">
        <v>9.98</v>
      </c>
    </row>
    <row r="218">
      <c r="A218" s="2" t="s">
        <v>9360</v>
      </c>
      <c r="B218" s="1">
        <v>200.0</v>
      </c>
      <c r="C218" s="1" t="s">
        <v>9361</v>
      </c>
      <c r="D218" s="1" t="s">
        <v>583</v>
      </c>
      <c r="F218" s="1">
        <v>1.0</v>
      </c>
      <c r="G218" s="1">
        <v>66.0</v>
      </c>
      <c r="H218" s="1">
        <v>0.015</v>
      </c>
      <c r="I218" s="1">
        <v>44.91</v>
      </c>
    </row>
    <row r="219">
      <c r="A219" s="2" t="s">
        <v>9362</v>
      </c>
      <c r="B219" s="1">
        <v>200.0</v>
      </c>
      <c r="C219" s="1" t="s">
        <v>9363</v>
      </c>
      <c r="D219" s="1" t="s">
        <v>583</v>
      </c>
      <c r="F219" s="1">
        <v>0.0</v>
      </c>
      <c r="G219" s="1">
        <v>1513.0</v>
      </c>
      <c r="H219" s="1">
        <v>0.0</v>
      </c>
      <c r="I219" s="1">
        <v>33.73</v>
      </c>
    </row>
    <row r="220">
      <c r="A220" s="2" t="s">
        <v>9364</v>
      </c>
      <c r="B220" s="1">
        <v>200.0</v>
      </c>
      <c r="C220" s="1" t="s">
        <v>9019</v>
      </c>
      <c r="D220" s="1" t="s">
        <v>583</v>
      </c>
      <c r="F220" s="1">
        <v>35.0</v>
      </c>
      <c r="G220" s="1">
        <v>17129.0</v>
      </c>
      <c r="H220" s="1">
        <v>0.002</v>
      </c>
      <c r="I220" s="1">
        <v>8.55</v>
      </c>
    </row>
    <row r="221">
      <c r="A221" s="2" t="s">
        <v>9365</v>
      </c>
      <c r="B221" s="1">
        <v>200.0</v>
      </c>
      <c r="C221" s="1" t="s">
        <v>9011</v>
      </c>
      <c r="D221" s="1" t="s">
        <v>609</v>
      </c>
      <c r="E221" s="1" t="s">
        <v>631</v>
      </c>
      <c r="F221" s="1">
        <v>10.0</v>
      </c>
      <c r="G221" s="1">
        <v>544.0</v>
      </c>
      <c r="H221" s="1">
        <v>0.018</v>
      </c>
      <c r="I221" s="1">
        <v>9.25</v>
      </c>
    </row>
    <row r="222">
      <c r="A222" s="2" t="s">
        <v>9366</v>
      </c>
      <c r="B222" s="1">
        <v>200.0</v>
      </c>
      <c r="C222" s="1" t="s">
        <v>9367</v>
      </c>
      <c r="D222" s="1" t="s">
        <v>583</v>
      </c>
      <c r="F222" s="1">
        <v>3.0</v>
      </c>
      <c r="G222" s="1">
        <v>48.0</v>
      </c>
      <c r="H222" s="1">
        <v>0.062</v>
      </c>
      <c r="I222" s="1">
        <v>12.19</v>
      </c>
    </row>
    <row r="223">
      <c r="A223" s="2" t="s">
        <v>9368</v>
      </c>
      <c r="B223" s="1">
        <v>200.0</v>
      </c>
      <c r="C223" s="1" t="s">
        <v>9369</v>
      </c>
      <c r="D223" s="1" t="s">
        <v>583</v>
      </c>
      <c r="F223" s="1">
        <v>0.0</v>
      </c>
      <c r="G223" s="1">
        <v>4.0</v>
      </c>
      <c r="H223" s="1">
        <v>0.0</v>
      </c>
      <c r="I223" s="1">
        <v>10.0</v>
      </c>
    </row>
    <row r="224">
      <c r="A224" s="2" t="s">
        <v>9370</v>
      </c>
      <c r="B224" s="1">
        <v>200.0</v>
      </c>
      <c r="C224" s="1" t="s">
        <v>9371</v>
      </c>
      <c r="D224" s="1" t="s">
        <v>583</v>
      </c>
      <c r="F224" s="1">
        <v>0.0</v>
      </c>
      <c r="G224" s="1">
        <v>98.0</v>
      </c>
      <c r="H224" s="1">
        <v>0.0</v>
      </c>
      <c r="I224" s="1">
        <v>49.3</v>
      </c>
    </row>
    <row r="225">
      <c r="A225" s="2" t="s">
        <v>9372</v>
      </c>
      <c r="B225" s="1">
        <v>200.0</v>
      </c>
      <c r="C225" s="1" t="s">
        <v>9043</v>
      </c>
      <c r="D225" s="1" t="s">
        <v>609</v>
      </c>
      <c r="E225" s="1" t="s">
        <v>631</v>
      </c>
      <c r="F225" s="1">
        <v>0.0</v>
      </c>
      <c r="G225" s="1">
        <v>19.0</v>
      </c>
      <c r="H225" s="1">
        <v>0.0</v>
      </c>
      <c r="I225" s="1">
        <v>12.68</v>
      </c>
    </row>
    <row r="226">
      <c r="A226" s="2" t="s">
        <v>9373</v>
      </c>
      <c r="B226" s="1">
        <v>200.0</v>
      </c>
      <c r="C226" s="1" t="s">
        <v>9374</v>
      </c>
      <c r="D226" s="1" t="s">
        <v>583</v>
      </c>
      <c r="F226" s="1">
        <v>0.0</v>
      </c>
      <c r="G226" s="1">
        <v>106.0</v>
      </c>
      <c r="H226" s="1">
        <v>0.0</v>
      </c>
      <c r="I226" s="1">
        <v>31.42</v>
      </c>
    </row>
    <row r="227">
      <c r="A227" s="2" t="s">
        <v>9375</v>
      </c>
      <c r="B227" s="1">
        <v>200.0</v>
      </c>
      <c r="C227" s="1" t="s">
        <v>9376</v>
      </c>
      <c r="D227" s="1" t="s">
        <v>583</v>
      </c>
      <c r="F227" s="1">
        <v>1.0</v>
      </c>
      <c r="G227" s="1">
        <v>261.0</v>
      </c>
      <c r="H227" s="1">
        <v>0.004</v>
      </c>
      <c r="I227" s="1">
        <v>15.67</v>
      </c>
    </row>
    <row r="228">
      <c r="A228" s="2" t="s">
        <v>9377</v>
      </c>
      <c r="B228" s="1">
        <v>200.0</v>
      </c>
      <c r="C228" s="1" t="s">
        <v>9378</v>
      </c>
      <c r="D228" s="1" t="s">
        <v>583</v>
      </c>
      <c r="F228" s="1">
        <v>0.0</v>
      </c>
      <c r="G228" s="1">
        <v>16.0</v>
      </c>
      <c r="H228" s="1">
        <v>0.0</v>
      </c>
      <c r="I228" s="1">
        <v>21.25</v>
      </c>
    </row>
    <row r="229">
      <c r="A229" s="2" t="s">
        <v>9379</v>
      </c>
      <c r="B229" s="1">
        <v>200.0</v>
      </c>
      <c r="C229" s="1" t="s">
        <v>9380</v>
      </c>
      <c r="D229" s="1" t="s">
        <v>583</v>
      </c>
      <c r="F229" s="1">
        <v>0.0</v>
      </c>
      <c r="G229" s="1">
        <v>50.0</v>
      </c>
      <c r="H229" s="1">
        <v>0.0</v>
      </c>
      <c r="I229" s="1">
        <v>9.08</v>
      </c>
    </row>
    <row r="230">
      <c r="A230" s="2" t="s">
        <v>9381</v>
      </c>
      <c r="B230" s="1">
        <v>200.0</v>
      </c>
      <c r="C230" s="1" t="s">
        <v>9382</v>
      </c>
      <c r="D230" s="1" t="s">
        <v>583</v>
      </c>
      <c r="F230" s="1">
        <v>0.0</v>
      </c>
      <c r="G230" s="1">
        <v>378.0</v>
      </c>
      <c r="H230" s="1">
        <v>0.0</v>
      </c>
      <c r="I230" s="1">
        <v>27.83</v>
      </c>
    </row>
    <row r="231">
      <c r="A231" s="2" t="s">
        <v>9383</v>
      </c>
      <c r="B231" s="1">
        <v>200.0</v>
      </c>
      <c r="C231" s="1" t="s">
        <v>9384</v>
      </c>
      <c r="D231" s="1" t="s">
        <v>583</v>
      </c>
      <c r="F231" s="1">
        <v>0.0</v>
      </c>
      <c r="G231" s="1">
        <v>34.0</v>
      </c>
      <c r="H231" s="1">
        <v>0.0</v>
      </c>
      <c r="I231" s="1">
        <v>19.88</v>
      </c>
    </row>
    <row r="232">
      <c r="A232" s="2" t="s">
        <v>9385</v>
      </c>
      <c r="B232" s="1">
        <v>200.0</v>
      </c>
      <c r="C232" s="1" t="s">
        <v>9386</v>
      </c>
      <c r="D232" s="1" t="s">
        <v>583</v>
      </c>
      <c r="F232" s="1">
        <v>0.0</v>
      </c>
      <c r="G232" s="1">
        <v>159.0</v>
      </c>
      <c r="H232" s="1">
        <v>0.0</v>
      </c>
      <c r="I232" s="1">
        <v>24.01</v>
      </c>
    </row>
    <row r="233">
      <c r="A233" s="2" t="s">
        <v>9387</v>
      </c>
      <c r="B233" s="1">
        <v>200.0</v>
      </c>
      <c r="C233" s="1" t="s">
        <v>9388</v>
      </c>
      <c r="D233" s="1" t="s">
        <v>583</v>
      </c>
      <c r="F233" s="1">
        <v>1.0</v>
      </c>
      <c r="G233" s="1">
        <v>32.0</v>
      </c>
      <c r="H233" s="1">
        <v>0.031</v>
      </c>
      <c r="I233" s="1">
        <v>9.91</v>
      </c>
    </row>
    <row r="234">
      <c r="A234" s="2" t="s">
        <v>9389</v>
      </c>
      <c r="B234" s="1">
        <v>200.0</v>
      </c>
      <c r="C234" s="1" t="s">
        <v>9390</v>
      </c>
      <c r="D234" s="1" t="s">
        <v>583</v>
      </c>
    </row>
    <row r="235">
      <c r="A235" s="2" t="s">
        <v>9391</v>
      </c>
      <c r="B235" s="1">
        <v>200.0</v>
      </c>
      <c r="C235" s="1" t="s">
        <v>9392</v>
      </c>
      <c r="D235" s="1" t="s">
        <v>583</v>
      </c>
      <c r="F235" s="1">
        <v>0.0</v>
      </c>
      <c r="G235" s="1">
        <v>77.0</v>
      </c>
      <c r="H235" s="1">
        <v>0.0</v>
      </c>
      <c r="I235" s="1">
        <v>61.95</v>
      </c>
    </row>
    <row r="236">
      <c r="A236" s="2" t="s">
        <v>9393</v>
      </c>
      <c r="B236" s="1">
        <v>200.0</v>
      </c>
      <c r="C236" s="1" t="s">
        <v>9045</v>
      </c>
      <c r="D236" s="1" t="s">
        <v>609</v>
      </c>
      <c r="E236" s="1" t="s">
        <v>631</v>
      </c>
      <c r="F236" s="1">
        <v>1.0</v>
      </c>
      <c r="G236" s="1">
        <v>75.0</v>
      </c>
      <c r="H236" s="1">
        <v>0.013</v>
      </c>
      <c r="I236" s="1">
        <v>17.93</v>
      </c>
    </row>
    <row r="237">
      <c r="A237" s="2" t="s">
        <v>9394</v>
      </c>
      <c r="B237" s="1">
        <v>200.0</v>
      </c>
      <c r="C237" s="1" t="s">
        <v>9395</v>
      </c>
      <c r="D237" s="1" t="s">
        <v>583</v>
      </c>
      <c r="F237" s="1">
        <v>0.0</v>
      </c>
      <c r="G237" s="1">
        <v>97.0</v>
      </c>
      <c r="H237" s="1">
        <v>0.0</v>
      </c>
      <c r="I237" s="1">
        <v>40.27</v>
      </c>
    </row>
    <row r="238">
      <c r="A238" s="2" t="s">
        <v>9396</v>
      </c>
      <c r="B238" s="1">
        <v>200.0</v>
      </c>
      <c r="C238" s="1" t="s">
        <v>9397</v>
      </c>
      <c r="D238" s="1" t="s">
        <v>583</v>
      </c>
      <c r="F238" s="1">
        <v>0.0</v>
      </c>
      <c r="G238" s="1">
        <v>70.0</v>
      </c>
      <c r="H238" s="1">
        <v>0.0</v>
      </c>
      <c r="I238" s="1">
        <v>38.96</v>
      </c>
    </row>
    <row r="239">
      <c r="A239" s="2" t="s">
        <v>9398</v>
      </c>
      <c r="B239" s="1">
        <v>200.0</v>
      </c>
      <c r="C239" s="1" t="s">
        <v>9399</v>
      </c>
      <c r="D239" s="1" t="s">
        <v>583</v>
      </c>
      <c r="F239" s="1">
        <v>0.0</v>
      </c>
      <c r="G239" s="1">
        <v>237.0</v>
      </c>
      <c r="H239" s="1">
        <v>0.0</v>
      </c>
      <c r="I239" s="1">
        <v>47.01</v>
      </c>
    </row>
    <row r="240">
      <c r="A240" s="2" t="s">
        <v>9400</v>
      </c>
      <c r="B240" s="1">
        <v>200.0</v>
      </c>
      <c r="C240" s="1" t="s">
        <v>9401</v>
      </c>
      <c r="D240" s="1" t="s">
        <v>583</v>
      </c>
      <c r="F240" s="1">
        <v>0.0</v>
      </c>
      <c r="G240" s="1">
        <v>124.0</v>
      </c>
      <c r="H240" s="1">
        <v>0.0</v>
      </c>
      <c r="I240" s="1">
        <v>28.08</v>
      </c>
    </row>
    <row r="241">
      <c r="A241" s="2" t="s">
        <v>9402</v>
      </c>
      <c r="B241" s="1">
        <v>200.0</v>
      </c>
      <c r="C241" s="1" t="s">
        <v>9403</v>
      </c>
      <c r="D241" s="1" t="s">
        <v>583</v>
      </c>
    </row>
    <row r="242">
      <c r="A242" s="2" t="s">
        <v>9404</v>
      </c>
      <c r="B242" s="1">
        <v>200.0</v>
      </c>
      <c r="C242" s="1" t="s">
        <v>9405</v>
      </c>
      <c r="D242" s="1" t="s">
        <v>583</v>
      </c>
      <c r="F242" s="1">
        <v>0.0</v>
      </c>
      <c r="G242" s="1">
        <v>32.0</v>
      </c>
      <c r="H242" s="1">
        <v>0.0</v>
      </c>
      <c r="I242" s="1">
        <v>23.34</v>
      </c>
    </row>
    <row r="243">
      <c r="A243" s="2" t="s">
        <v>9406</v>
      </c>
      <c r="B243" s="1">
        <v>200.0</v>
      </c>
      <c r="C243" s="1" t="s">
        <v>9407</v>
      </c>
      <c r="D243" s="1" t="s">
        <v>583</v>
      </c>
      <c r="F243" s="1">
        <v>0.0</v>
      </c>
      <c r="G243" s="1">
        <v>141.0</v>
      </c>
      <c r="H243" s="1">
        <v>0.0</v>
      </c>
      <c r="I243" s="1">
        <v>40.7</v>
      </c>
    </row>
    <row r="244">
      <c r="A244" s="2" t="s">
        <v>9408</v>
      </c>
      <c r="B244" s="1">
        <v>200.0</v>
      </c>
      <c r="C244" s="1" t="s">
        <v>9409</v>
      </c>
      <c r="D244" s="1" t="s">
        <v>583</v>
      </c>
      <c r="F244" s="1">
        <v>1.0</v>
      </c>
      <c r="G244" s="1">
        <v>991.0</v>
      </c>
      <c r="H244" s="1">
        <v>0.001</v>
      </c>
      <c r="I244" s="1">
        <v>21.94</v>
      </c>
    </row>
    <row r="245">
      <c r="A245" s="2" t="s">
        <v>9410</v>
      </c>
      <c r="B245" s="1">
        <v>200.0</v>
      </c>
      <c r="C245" s="1" t="s">
        <v>9411</v>
      </c>
      <c r="D245" s="1" t="s">
        <v>583</v>
      </c>
      <c r="F245" s="1">
        <v>0.0</v>
      </c>
      <c r="G245" s="1">
        <v>8.0</v>
      </c>
      <c r="H245" s="1">
        <v>0.0</v>
      </c>
      <c r="I245" s="1">
        <v>32.75</v>
      </c>
    </row>
    <row r="246">
      <c r="A246" s="2" t="s">
        <v>9412</v>
      </c>
      <c r="B246" s="1">
        <v>200.0</v>
      </c>
      <c r="C246" s="1" t="s">
        <v>9413</v>
      </c>
      <c r="D246" s="1" t="s">
        <v>583</v>
      </c>
      <c r="F246" s="1">
        <v>320.0</v>
      </c>
      <c r="G246" s="1">
        <v>25139.0</v>
      </c>
      <c r="H246" s="1">
        <v>0.013</v>
      </c>
      <c r="I246" s="1">
        <v>7.11</v>
      </c>
    </row>
    <row r="247">
      <c r="A247" s="2" t="s">
        <v>9414</v>
      </c>
      <c r="B247" s="1">
        <v>200.0</v>
      </c>
      <c r="C247" s="1" t="s">
        <v>9043</v>
      </c>
      <c r="D247" s="1" t="s">
        <v>609</v>
      </c>
      <c r="E247" s="1" t="s">
        <v>631</v>
      </c>
      <c r="F247" s="1">
        <v>0.0</v>
      </c>
      <c r="G247" s="1">
        <v>12.0</v>
      </c>
      <c r="H247" s="1">
        <v>0.0</v>
      </c>
      <c r="I247" s="1">
        <v>12.58</v>
      </c>
    </row>
    <row r="248">
      <c r="A248" s="2" t="s">
        <v>9415</v>
      </c>
      <c r="B248" s="1">
        <v>200.0</v>
      </c>
      <c r="C248" s="1" t="s">
        <v>9043</v>
      </c>
      <c r="D248" s="1" t="s">
        <v>609</v>
      </c>
      <c r="E248" s="1" t="s">
        <v>631</v>
      </c>
      <c r="F248" s="1">
        <v>0.0</v>
      </c>
      <c r="G248" s="1">
        <v>8.0</v>
      </c>
      <c r="H248" s="1">
        <v>0.0</v>
      </c>
      <c r="I248" s="1">
        <v>8.88</v>
      </c>
    </row>
    <row r="249">
      <c r="A249" s="2" t="s">
        <v>9416</v>
      </c>
      <c r="B249" s="1">
        <v>200.0</v>
      </c>
      <c r="C249" s="1" t="s">
        <v>9417</v>
      </c>
      <c r="D249" s="1" t="s">
        <v>583</v>
      </c>
      <c r="F249" s="1">
        <v>71.0</v>
      </c>
      <c r="G249" s="1">
        <v>9388.0</v>
      </c>
      <c r="H249" s="1">
        <v>0.008</v>
      </c>
      <c r="I249" s="1">
        <v>7.81</v>
      </c>
    </row>
    <row r="250">
      <c r="A250" s="2" t="s">
        <v>301</v>
      </c>
      <c r="B250" s="1">
        <v>200.0</v>
      </c>
      <c r="C250" s="1" t="s">
        <v>9418</v>
      </c>
      <c r="D250" s="1" t="s">
        <v>583</v>
      </c>
      <c r="F250" s="1">
        <v>117.0</v>
      </c>
      <c r="G250" s="1">
        <v>25000.0</v>
      </c>
      <c r="H250" s="1">
        <v>0.005</v>
      </c>
      <c r="I250" s="1">
        <v>5.83</v>
      </c>
    </row>
    <row r="251">
      <c r="A251" s="2" t="s">
        <v>298</v>
      </c>
      <c r="B251" s="1">
        <v>200.0</v>
      </c>
      <c r="C251" s="1" t="s">
        <v>9419</v>
      </c>
      <c r="D251" s="1" t="s">
        <v>583</v>
      </c>
      <c r="F251" s="1">
        <v>131.0</v>
      </c>
      <c r="G251" s="1">
        <v>27175.0</v>
      </c>
      <c r="H251" s="1">
        <v>0.005</v>
      </c>
      <c r="I251" s="1">
        <v>8.51</v>
      </c>
    </row>
    <row r="252">
      <c r="A252" s="2" t="s">
        <v>9420</v>
      </c>
      <c r="B252" s="1">
        <v>301.0</v>
      </c>
      <c r="D252" s="1" t="s">
        <v>609</v>
      </c>
      <c r="E252" s="1" t="s">
        <v>610</v>
      </c>
    </row>
    <row r="253">
      <c r="A253" s="2" t="s">
        <v>9421</v>
      </c>
      <c r="B253" s="1">
        <v>200.0</v>
      </c>
      <c r="C253" s="1" t="s">
        <v>9422</v>
      </c>
      <c r="D253" s="1" t="s">
        <v>583</v>
      </c>
      <c r="F253" s="1">
        <v>16.0</v>
      </c>
      <c r="G253" s="1">
        <v>2017.0</v>
      </c>
      <c r="H253" s="1">
        <v>0.008</v>
      </c>
      <c r="I253" s="1">
        <v>10.92</v>
      </c>
    </row>
    <row r="254">
      <c r="A254" s="2" t="s">
        <v>9423</v>
      </c>
      <c r="B254" s="1">
        <v>200.0</v>
      </c>
      <c r="C254" s="1" t="s">
        <v>9424</v>
      </c>
      <c r="D254" s="1" t="s">
        <v>609</v>
      </c>
      <c r="E254" s="1" t="s">
        <v>664</v>
      </c>
    </row>
    <row r="255">
      <c r="A255" s="2" t="s">
        <v>348</v>
      </c>
      <c r="B255" s="1">
        <v>200.0</v>
      </c>
      <c r="C255" s="1" t="s">
        <v>9425</v>
      </c>
      <c r="D255" s="1" t="s">
        <v>583</v>
      </c>
      <c r="F255" s="1">
        <v>242.0</v>
      </c>
      <c r="G255" s="1">
        <v>28805.0</v>
      </c>
      <c r="H255" s="1">
        <v>0.008</v>
      </c>
      <c r="I255" s="1">
        <v>11.92</v>
      </c>
    </row>
    <row r="256">
      <c r="A256" s="2" t="s">
        <v>9426</v>
      </c>
      <c r="B256" s="1">
        <v>200.0</v>
      </c>
      <c r="C256" s="1" t="s">
        <v>9427</v>
      </c>
      <c r="D256" s="1" t="s">
        <v>583</v>
      </c>
      <c r="F256" s="1">
        <v>299.0</v>
      </c>
      <c r="G256" s="1">
        <v>21532.0</v>
      </c>
      <c r="H256" s="1">
        <v>0.014</v>
      </c>
      <c r="I256" s="1">
        <v>7.81</v>
      </c>
    </row>
    <row r="257">
      <c r="A257" s="2" t="s">
        <v>332</v>
      </c>
      <c r="B257" s="1">
        <v>200.0</v>
      </c>
      <c r="C257" s="1" t="s">
        <v>9428</v>
      </c>
      <c r="D257" s="1" t="s">
        <v>583</v>
      </c>
      <c r="F257" s="1">
        <v>1078.0</v>
      </c>
      <c r="G257" s="1">
        <v>40420.0</v>
      </c>
      <c r="H257" s="1">
        <v>0.027</v>
      </c>
      <c r="I257" s="1">
        <v>10.65</v>
      </c>
    </row>
    <row r="258">
      <c r="A258" s="2" t="s">
        <v>9429</v>
      </c>
      <c r="B258" s="1">
        <v>200.0</v>
      </c>
      <c r="C258" s="1" t="s">
        <v>9430</v>
      </c>
      <c r="D258" s="1" t="s">
        <v>583</v>
      </c>
      <c r="F258" s="1">
        <v>172.0</v>
      </c>
      <c r="G258" s="1">
        <v>10874.0</v>
      </c>
      <c r="H258" s="1">
        <v>0.016</v>
      </c>
      <c r="I258" s="1">
        <v>18.04</v>
      </c>
    </row>
    <row r="259">
      <c r="A259" s="2" t="s">
        <v>9431</v>
      </c>
      <c r="B259" s="1">
        <v>200.0</v>
      </c>
      <c r="C259" s="1" t="s">
        <v>9432</v>
      </c>
      <c r="D259" s="1" t="s">
        <v>583</v>
      </c>
      <c r="F259" s="1">
        <v>17.0</v>
      </c>
      <c r="G259" s="1">
        <v>9474.0</v>
      </c>
      <c r="H259" s="1">
        <v>0.002</v>
      </c>
      <c r="I259" s="1">
        <v>7.18</v>
      </c>
    </row>
    <row r="260">
      <c r="A260" s="2" t="s">
        <v>9433</v>
      </c>
      <c r="B260" s="1">
        <v>200.0</v>
      </c>
      <c r="C260" s="1" t="s">
        <v>9434</v>
      </c>
      <c r="D260" s="1" t="s">
        <v>583</v>
      </c>
      <c r="F260" s="1">
        <v>0.0</v>
      </c>
      <c r="G260" s="1">
        <v>41.0</v>
      </c>
      <c r="H260" s="1">
        <v>0.0</v>
      </c>
      <c r="I260" s="1">
        <v>15.24</v>
      </c>
    </row>
    <row r="261">
      <c r="A261" s="2" t="s">
        <v>9435</v>
      </c>
      <c r="B261" s="1">
        <v>200.0</v>
      </c>
      <c r="C261" s="1" t="s">
        <v>9436</v>
      </c>
      <c r="D261" s="1" t="s">
        <v>583</v>
      </c>
      <c r="F261" s="1">
        <v>1.0</v>
      </c>
      <c r="G261" s="1">
        <v>102.0</v>
      </c>
      <c r="H261" s="1">
        <v>0.01</v>
      </c>
      <c r="I261" s="1">
        <v>24.93</v>
      </c>
    </row>
    <row r="262">
      <c r="A262" s="2" t="s">
        <v>9437</v>
      </c>
      <c r="B262" s="1">
        <v>200.0</v>
      </c>
      <c r="C262" s="1" t="s">
        <v>9438</v>
      </c>
      <c r="D262" s="1" t="s">
        <v>583</v>
      </c>
      <c r="F262" s="1">
        <v>0.0</v>
      </c>
      <c r="G262" s="1">
        <v>690.0</v>
      </c>
      <c r="H262" s="1">
        <v>0.0</v>
      </c>
      <c r="I262" s="1">
        <v>27.84</v>
      </c>
    </row>
    <row r="263">
      <c r="A263" s="2" t="s">
        <v>9439</v>
      </c>
      <c r="B263" s="1">
        <v>200.0</v>
      </c>
      <c r="C263" s="1" t="s">
        <v>9440</v>
      </c>
      <c r="D263" s="1" t="s">
        <v>583</v>
      </c>
      <c r="F263" s="1">
        <v>28.0</v>
      </c>
      <c r="G263" s="1">
        <v>2405.0</v>
      </c>
      <c r="H263" s="1">
        <v>0.012</v>
      </c>
      <c r="I263" s="1">
        <v>9.22</v>
      </c>
    </row>
    <row r="264">
      <c r="A264" s="2" t="s">
        <v>9441</v>
      </c>
      <c r="B264" s="1">
        <v>200.0</v>
      </c>
      <c r="C264" s="1" t="s">
        <v>9442</v>
      </c>
      <c r="D264" s="1" t="s">
        <v>583</v>
      </c>
      <c r="F264" s="1">
        <v>55.0</v>
      </c>
      <c r="G264" s="1">
        <v>3581.0</v>
      </c>
      <c r="H264" s="1">
        <v>0.015</v>
      </c>
      <c r="I264" s="1">
        <v>8.03</v>
      </c>
    </row>
    <row r="265">
      <c r="A265" s="2" t="s">
        <v>309</v>
      </c>
      <c r="B265" s="1">
        <v>200.0</v>
      </c>
      <c r="C265" s="1" t="s">
        <v>9443</v>
      </c>
      <c r="D265" s="1" t="s">
        <v>583</v>
      </c>
      <c r="F265" s="1">
        <v>73.0</v>
      </c>
      <c r="G265" s="1">
        <v>10354.0</v>
      </c>
      <c r="H265" s="1">
        <v>0.007</v>
      </c>
      <c r="I265" s="1">
        <v>9.23</v>
      </c>
    </row>
    <row r="266">
      <c r="A266" s="2" t="s">
        <v>9444</v>
      </c>
      <c r="B266" s="1">
        <v>200.0</v>
      </c>
      <c r="C266" s="1" t="s">
        <v>9445</v>
      </c>
      <c r="D266" s="1" t="s">
        <v>583</v>
      </c>
      <c r="F266" s="1">
        <v>90.0</v>
      </c>
      <c r="G266" s="1">
        <v>6596.0</v>
      </c>
      <c r="H266" s="1">
        <v>0.014</v>
      </c>
      <c r="I266" s="1">
        <v>16.27</v>
      </c>
    </row>
    <row r="267">
      <c r="A267" s="2" t="s">
        <v>9446</v>
      </c>
      <c r="B267" s="1">
        <v>200.0</v>
      </c>
      <c r="C267" s="1" t="s">
        <v>9447</v>
      </c>
      <c r="D267" s="1" t="s">
        <v>583</v>
      </c>
      <c r="F267" s="1">
        <v>1.0</v>
      </c>
      <c r="G267" s="1">
        <v>696.0</v>
      </c>
      <c r="H267" s="1">
        <v>0.001</v>
      </c>
      <c r="I267" s="1">
        <v>9.08</v>
      </c>
    </row>
    <row r="268">
      <c r="A268" s="2" t="s">
        <v>9448</v>
      </c>
      <c r="B268" s="1">
        <v>200.0</v>
      </c>
      <c r="C268" s="1" t="s">
        <v>9449</v>
      </c>
      <c r="D268" s="1" t="s">
        <v>583</v>
      </c>
      <c r="F268" s="1">
        <v>26.0</v>
      </c>
      <c r="G268" s="1">
        <v>3918.0</v>
      </c>
      <c r="H268" s="1">
        <v>0.007</v>
      </c>
      <c r="I268" s="1">
        <v>14.02</v>
      </c>
    </row>
    <row r="269">
      <c r="A269" s="2" t="s">
        <v>9450</v>
      </c>
      <c r="B269" s="1">
        <v>200.0</v>
      </c>
      <c r="C269" s="1" t="s">
        <v>9058</v>
      </c>
      <c r="D269" s="1" t="s">
        <v>609</v>
      </c>
      <c r="E269" s="1" t="s">
        <v>631</v>
      </c>
      <c r="F269" s="1">
        <v>0.0</v>
      </c>
      <c r="G269" s="1">
        <v>29.0</v>
      </c>
      <c r="H269" s="1">
        <v>0.0</v>
      </c>
      <c r="I269" s="1">
        <v>20.83</v>
      </c>
    </row>
    <row r="270">
      <c r="A270" s="2" t="s">
        <v>9451</v>
      </c>
      <c r="B270" s="1">
        <v>200.0</v>
      </c>
      <c r="C270" s="1" t="s">
        <v>9058</v>
      </c>
      <c r="D270" s="1" t="s">
        <v>609</v>
      </c>
      <c r="E270" s="1" t="s">
        <v>631</v>
      </c>
    </row>
    <row r="271">
      <c r="A271" s="2" t="s">
        <v>9452</v>
      </c>
      <c r="B271" s="1">
        <v>200.0</v>
      </c>
      <c r="C271" s="1" t="s">
        <v>9058</v>
      </c>
      <c r="D271" s="1" t="s">
        <v>609</v>
      </c>
      <c r="E271" s="1" t="s">
        <v>631</v>
      </c>
    </row>
    <row r="272">
      <c r="A272" s="2" t="s">
        <v>9453</v>
      </c>
      <c r="B272" s="1">
        <v>404.0</v>
      </c>
      <c r="D272" s="1" t="s">
        <v>609</v>
      </c>
      <c r="E272" s="1" t="s">
        <v>902</v>
      </c>
    </row>
    <row r="273">
      <c r="A273" s="2" t="s">
        <v>9454</v>
      </c>
      <c r="B273" s="1">
        <v>200.0</v>
      </c>
      <c r="C273" s="1" t="s">
        <v>9247</v>
      </c>
      <c r="D273" s="1" t="s">
        <v>609</v>
      </c>
      <c r="E273" s="1" t="s">
        <v>631</v>
      </c>
    </row>
    <row r="274">
      <c r="A274" s="2" t="s">
        <v>9455</v>
      </c>
      <c r="B274" s="1">
        <v>200.0</v>
      </c>
      <c r="C274" s="1" t="s">
        <v>9070</v>
      </c>
      <c r="D274" s="1" t="s">
        <v>609</v>
      </c>
      <c r="E274" s="1" t="s">
        <v>631</v>
      </c>
      <c r="F274" s="1">
        <v>0.0</v>
      </c>
      <c r="G274" s="1">
        <v>30.0</v>
      </c>
      <c r="H274" s="1">
        <v>0.0</v>
      </c>
      <c r="I274" s="1">
        <v>13.97</v>
      </c>
    </row>
    <row r="275">
      <c r="A275" s="2" t="s">
        <v>9456</v>
      </c>
      <c r="B275" s="1">
        <v>200.0</v>
      </c>
      <c r="C275" s="1" t="s">
        <v>9457</v>
      </c>
      <c r="D275" s="1" t="s">
        <v>583</v>
      </c>
      <c r="F275" s="1">
        <v>186.0</v>
      </c>
      <c r="G275" s="1">
        <v>10137.0</v>
      </c>
      <c r="H275" s="1">
        <v>0.018</v>
      </c>
      <c r="I275" s="1">
        <v>16.62</v>
      </c>
    </row>
    <row r="276">
      <c r="A276" s="2" t="s">
        <v>9458</v>
      </c>
      <c r="B276" s="1">
        <v>200.0</v>
      </c>
      <c r="C276" s="1" t="s">
        <v>9070</v>
      </c>
      <c r="D276" s="1" t="s">
        <v>609</v>
      </c>
      <c r="E276" s="1" t="s">
        <v>631</v>
      </c>
      <c r="F276" s="1">
        <v>0.0</v>
      </c>
      <c r="G276" s="1">
        <v>64.0</v>
      </c>
      <c r="H276" s="1">
        <v>0.0</v>
      </c>
      <c r="I276" s="1">
        <v>10.58</v>
      </c>
    </row>
    <row r="277">
      <c r="A277" s="2" t="s">
        <v>295</v>
      </c>
      <c r="B277" s="1">
        <v>200.0</v>
      </c>
      <c r="C277" s="1" t="s">
        <v>9459</v>
      </c>
      <c r="D277" s="1" t="s">
        <v>583</v>
      </c>
      <c r="F277" s="1">
        <v>135.0</v>
      </c>
      <c r="G277" s="1">
        <v>14188.0</v>
      </c>
      <c r="H277" s="1">
        <v>0.009</v>
      </c>
      <c r="I277" s="1">
        <v>12.77</v>
      </c>
    </row>
    <row r="278">
      <c r="A278" s="2" t="s">
        <v>9460</v>
      </c>
      <c r="B278" s="1">
        <v>200.0</v>
      </c>
      <c r="C278" s="1" t="s">
        <v>9461</v>
      </c>
      <c r="D278" s="1" t="s">
        <v>583</v>
      </c>
      <c r="F278" s="1">
        <v>718.0</v>
      </c>
      <c r="G278" s="1">
        <v>34433.0</v>
      </c>
      <c r="H278" s="1">
        <v>0.021</v>
      </c>
      <c r="I278" s="1">
        <v>5.58</v>
      </c>
    </row>
    <row r="279">
      <c r="A279" s="2" t="s">
        <v>9462</v>
      </c>
      <c r="B279" s="1">
        <v>200.0</v>
      </c>
      <c r="C279" s="1" t="s">
        <v>9463</v>
      </c>
      <c r="D279" s="1" t="s">
        <v>583</v>
      </c>
      <c r="F279" s="1">
        <v>1.0</v>
      </c>
      <c r="G279" s="1">
        <v>203.0</v>
      </c>
      <c r="H279" s="1">
        <v>0.005</v>
      </c>
      <c r="I279" s="1">
        <v>37.09</v>
      </c>
    </row>
    <row r="280">
      <c r="A280" s="2" t="s">
        <v>9464</v>
      </c>
      <c r="B280" s="1">
        <v>200.0</v>
      </c>
      <c r="C280" s="1" t="s">
        <v>9465</v>
      </c>
      <c r="D280" s="1" t="s">
        <v>583</v>
      </c>
      <c r="F280" s="1">
        <v>1.0</v>
      </c>
      <c r="G280" s="1">
        <v>83.0</v>
      </c>
      <c r="H280" s="1">
        <v>0.012</v>
      </c>
      <c r="I280" s="1">
        <v>35.13</v>
      </c>
    </row>
    <row r="281">
      <c r="A281" s="2" t="s">
        <v>9466</v>
      </c>
      <c r="B281" s="1">
        <v>200.0</v>
      </c>
      <c r="C281" s="1" t="s">
        <v>9467</v>
      </c>
      <c r="D281" s="1" t="s">
        <v>583</v>
      </c>
      <c r="F281" s="1">
        <v>0.0</v>
      </c>
      <c r="G281" s="1">
        <v>1204.0</v>
      </c>
      <c r="H281" s="1">
        <v>0.0</v>
      </c>
      <c r="I281" s="1">
        <v>43.75</v>
      </c>
    </row>
    <row r="282">
      <c r="A282" s="2" t="s">
        <v>9468</v>
      </c>
      <c r="B282" s="1">
        <v>200.0</v>
      </c>
      <c r="C282" s="1" t="s">
        <v>9469</v>
      </c>
      <c r="D282" s="1" t="s">
        <v>583</v>
      </c>
      <c r="F282" s="1">
        <v>2.0</v>
      </c>
      <c r="G282" s="1">
        <v>1455.0</v>
      </c>
      <c r="H282" s="1">
        <v>0.001</v>
      </c>
      <c r="I282" s="1">
        <v>40.28</v>
      </c>
    </row>
    <row r="283">
      <c r="A283" s="2" t="s">
        <v>9470</v>
      </c>
      <c r="B283" s="1">
        <v>200.0</v>
      </c>
      <c r="C283" s="1" t="s">
        <v>9471</v>
      </c>
      <c r="D283" s="1" t="s">
        <v>583</v>
      </c>
      <c r="F283" s="1">
        <v>2.0</v>
      </c>
      <c r="G283" s="1">
        <v>1060.0</v>
      </c>
      <c r="H283" s="1">
        <v>0.002</v>
      </c>
      <c r="I283" s="1">
        <v>41.03</v>
      </c>
    </row>
    <row r="284">
      <c r="A284" s="2" t="s">
        <v>9472</v>
      </c>
      <c r="B284" s="1">
        <v>200.0</v>
      </c>
      <c r="C284" s="1" t="s">
        <v>9473</v>
      </c>
      <c r="D284" s="1" t="s">
        <v>583</v>
      </c>
      <c r="F284" s="1">
        <v>1.0</v>
      </c>
      <c r="G284" s="1">
        <v>779.0</v>
      </c>
      <c r="H284" s="1">
        <v>0.001</v>
      </c>
      <c r="I284" s="1">
        <v>16.34</v>
      </c>
    </row>
    <row r="285">
      <c r="A285" s="2" t="s">
        <v>9474</v>
      </c>
      <c r="B285" s="1">
        <v>200.0</v>
      </c>
      <c r="C285" s="1" t="s">
        <v>9475</v>
      </c>
      <c r="D285" s="1" t="s">
        <v>583</v>
      </c>
      <c r="F285" s="1">
        <v>2.0</v>
      </c>
      <c r="G285" s="1">
        <v>1083.0</v>
      </c>
      <c r="H285" s="1">
        <v>0.002</v>
      </c>
      <c r="I285" s="1">
        <v>68.94</v>
      </c>
    </row>
    <row r="286">
      <c r="A286" s="2" t="s">
        <v>9476</v>
      </c>
      <c r="B286" s="1">
        <v>200.0</v>
      </c>
      <c r="C286" s="1" t="s">
        <v>9477</v>
      </c>
      <c r="D286" s="1" t="s">
        <v>583</v>
      </c>
      <c r="F286" s="1">
        <v>0.0</v>
      </c>
      <c r="G286" s="1">
        <v>1419.0</v>
      </c>
      <c r="H286" s="1">
        <v>0.0</v>
      </c>
      <c r="I286" s="1">
        <v>50.8</v>
      </c>
    </row>
    <row r="287">
      <c r="A287" s="2" t="s">
        <v>9478</v>
      </c>
      <c r="B287" s="1">
        <v>200.0</v>
      </c>
      <c r="C287" s="1" t="s">
        <v>9479</v>
      </c>
      <c r="D287" s="1" t="s">
        <v>583</v>
      </c>
      <c r="F287" s="1">
        <v>2.0</v>
      </c>
      <c r="G287" s="1">
        <v>221.0</v>
      </c>
      <c r="H287" s="1">
        <v>0.009</v>
      </c>
      <c r="I287" s="1">
        <v>68.57</v>
      </c>
    </row>
    <row r="288">
      <c r="A288" s="2" t="s">
        <v>9480</v>
      </c>
      <c r="B288" s="1">
        <v>200.0</v>
      </c>
      <c r="C288" s="1" t="s">
        <v>9481</v>
      </c>
      <c r="D288" s="1" t="s">
        <v>583</v>
      </c>
      <c r="F288" s="1">
        <v>0.0</v>
      </c>
      <c r="G288" s="1">
        <v>1610.0</v>
      </c>
      <c r="H288" s="1">
        <v>0.0</v>
      </c>
      <c r="I288" s="1">
        <v>59.96</v>
      </c>
    </row>
    <row r="289">
      <c r="A289" s="2" t="s">
        <v>9482</v>
      </c>
      <c r="B289" s="1">
        <v>200.0</v>
      </c>
      <c r="C289" s="1" t="s">
        <v>9483</v>
      </c>
      <c r="D289" s="1" t="s">
        <v>583</v>
      </c>
      <c r="F289" s="1">
        <v>0.0</v>
      </c>
      <c r="G289" s="1">
        <v>321.0</v>
      </c>
      <c r="H289" s="1">
        <v>0.0</v>
      </c>
      <c r="I289" s="1">
        <v>49.46</v>
      </c>
    </row>
    <row r="290">
      <c r="A290" s="2" t="s">
        <v>9484</v>
      </c>
      <c r="B290" s="1">
        <v>200.0</v>
      </c>
      <c r="C290" s="1" t="s">
        <v>9485</v>
      </c>
      <c r="D290" s="1" t="s">
        <v>583</v>
      </c>
      <c r="F290" s="1">
        <v>1.0</v>
      </c>
      <c r="G290" s="1">
        <v>759.0</v>
      </c>
      <c r="H290" s="1">
        <v>0.001</v>
      </c>
      <c r="I290" s="1">
        <v>51.8</v>
      </c>
    </row>
    <row r="291">
      <c r="A291" s="2" t="s">
        <v>9486</v>
      </c>
      <c r="B291" s="1">
        <v>200.0</v>
      </c>
      <c r="C291" s="1" t="s">
        <v>9487</v>
      </c>
      <c r="D291" s="1" t="s">
        <v>583</v>
      </c>
      <c r="F291" s="1">
        <v>1.0</v>
      </c>
      <c r="G291" s="1">
        <v>694.0</v>
      </c>
      <c r="H291" s="1">
        <v>0.001</v>
      </c>
      <c r="I291" s="1">
        <v>37.5</v>
      </c>
    </row>
    <row r="292">
      <c r="A292" s="2" t="s">
        <v>9488</v>
      </c>
      <c r="B292" s="1">
        <v>200.0</v>
      </c>
      <c r="C292" s="1" t="s">
        <v>9489</v>
      </c>
      <c r="D292" s="1" t="s">
        <v>583</v>
      </c>
      <c r="F292" s="1">
        <v>1.0</v>
      </c>
      <c r="G292" s="1">
        <v>140.0</v>
      </c>
      <c r="H292" s="1">
        <v>0.007</v>
      </c>
      <c r="I292" s="1">
        <v>38.49</v>
      </c>
    </row>
    <row r="293">
      <c r="A293" s="2" t="s">
        <v>9490</v>
      </c>
      <c r="B293" s="1">
        <v>200.0</v>
      </c>
      <c r="C293" s="1" t="s">
        <v>9491</v>
      </c>
      <c r="D293" s="1" t="s">
        <v>583</v>
      </c>
      <c r="F293" s="1">
        <v>1.0</v>
      </c>
      <c r="G293" s="1">
        <v>890.0</v>
      </c>
      <c r="H293" s="1">
        <v>0.001</v>
      </c>
      <c r="I293" s="1">
        <v>15.78</v>
      </c>
    </row>
    <row r="294">
      <c r="A294" s="2" t="s">
        <v>9492</v>
      </c>
      <c r="B294" s="1">
        <v>200.0</v>
      </c>
      <c r="C294" s="1" t="s">
        <v>9493</v>
      </c>
      <c r="D294" s="1" t="s">
        <v>583</v>
      </c>
      <c r="F294" s="1">
        <v>1.0</v>
      </c>
      <c r="G294" s="1">
        <v>57.0</v>
      </c>
      <c r="H294" s="1">
        <v>0.018</v>
      </c>
      <c r="I294" s="1">
        <v>69.39</v>
      </c>
    </row>
    <row r="295">
      <c r="A295" s="2" t="s">
        <v>9494</v>
      </c>
      <c r="B295" s="1">
        <v>200.0</v>
      </c>
      <c r="C295" s="1" t="s">
        <v>9495</v>
      </c>
      <c r="D295" s="1" t="s">
        <v>583</v>
      </c>
      <c r="F295" s="1">
        <v>1.0</v>
      </c>
      <c r="G295" s="1">
        <v>1310.0</v>
      </c>
      <c r="H295" s="1">
        <v>0.001</v>
      </c>
      <c r="I295" s="1">
        <v>37.97</v>
      </c>
    </row>
    <row r="296">
      <c r="A296" s="2" t="s">
        <v>9496</v>
      </c>
      <c r="B296" s="1">
        <v>200.0</v>
      </c>
      <c r="C296" s="1" t="s">
        <v>9497</v>
      </c>
      <c r="D296" s="1" t="s">
        <v>583</v>
      </c>
      <c r="F296" s="1">
        <v>0.0</v>
      </c>
      <c r="G296" s="1">
        <v>1408.0</v>
      </c>
      <c r="H296" s="1">
        <v>0.0</v>
      </c>
      <c r="I296" s="1">
        <v>24.94</v>
      </c>
    </row>
    <row r="297">
      <c r="A297" s="2" t="s">
        <v>9498</v>
      </c>
      <c r="B297" s="1">
        <v>200.0</v>
      </c>
      <c r="C297" s="1" t="s">
        <v>9499</v>
      </c>
      <c r="D297" s="1" t="s">
        <v>583</v>
      </c>
      <c r="F297" s="1">
        <v>1.0</v>
      </c>
      <c r="G297" s="1">
        <v>257.0</v>
      </c>
      <c r="H297" s="1">
        <v>0.004</v>
      </c>
      <c r="I297" s="1">
        <v>50.34</v>
      </c>
    </row>
    <row r="298">
      <c r="A298" s="2" t="s">
        <v>9500</v>
      </c>
      <c r="B298" s="1">
        <v>200.0</v>
      </c>
      <c r="C298" s="1" t="s">
        <v>9501</v>
      </c>
      <c r="D298" s="1" t="s">
        <v>583</v>
      </c>
      <c r="F298" s="1">
        <v>0.0</v>
      </c>
      <c r="G298" s="1">
        <v>631.0</v>
      </c>
      <c r="H298" s="1">
        <v>0.0</v>
      </c>
      <c r="I298" s="1">
        <v>54.49</v>
      </c>
    </row>
    <row r="299">
      <c r="A299" s="2" t="s">
        <v>9502</v>
      </c>
      <c r="B299" s="1">
        <v>200.0</v>
      </c>
      <c r="C299" s="1" t="s">
        <v>9503</v>
      </c>
      <c r="D299" s="1" t="s">
        <v>583</v>
      </c>
      <c r="F299" s="1">
        <v>326.0</v>
      </c>
      <c r="G299" s="1">
        <v>45117.0</v>
      </c>
      <c r="H299" s="1">
        <v>0.007</v>
      </c>
      <c r="I299" s="1">
        <v>5.54</v>
      </c>
    </row>
    <row r="300">
      <c r="A300" s="2" t="s">
        <v>9504</v>
      </c>
      <c r="B300" s="1">
        <v>200.0</v>
      </c>
      <c r="C300" s="1" t="s">
        <v>9505</v>
      </c>
      <c r="D300" s="1" t="s">
        <v>583</v>
      </c>
      <c r="F300" s="1">
        <v>0.0</v>
      </c>
      <c r="G300" s="1">
        <v>1.0</v>
      </c>
      <c r="H300" s="1">
        <v>0.0</v>
      </c>
      <c r="I300" s="1">
        <v>12.0</v>
      </c>
    </row>
    <row r="301">
      <c r="A301" s="2" t="s">
        <v>9506</v>
      </c>
      <c r="B301" s="1">
        <v>200.0</v>
      </c>
      <c r="C301" s="1" t="s">
        <v>9507</v>
      </c>
      <c r="D301" s="1" t="s">
        <v>583</v>
      </c>
      <c r="F301" s="1">
        <v>8.0</v>
      </c>
      <c r="G301" s="1">
        <v>1512.0</v>
      </c>
      <c r="H301" s="1">
        <v>0.005</v>
      </c>
      <c r="I301" s="1">
        <v>9.89</v>
      </c>
    </row>
    <row r="302">
      <c r="A302" s="2" t="s">
        <v>9508</v>
      </c>
      <c r="B302" s="1">
        <v>200.0</v>
      </c>
      <c r="C302" s="1" t="s">
        <v>9070</v>
      </c>
      <c r="D302" s="1" t="s">
        <v>609</v>
      </c>
      <c r="E302" s="1" t="s">
        <v>631</v>
      </c>
      <c r="F302" s="1">
        <v>0.0</v>
      </c>
      <c r="G302" s="1">
        <v>7.0</v>
      </c>
      <c r="H302" s="1">
        <v>0.0</v>
      </c>
      <c r="I302" s="1">
        <v>14.71</v>
      </c>
    </row>
    <row r="303">
      <c r="A303" s="2" t="s">
        <v>9509</v>
      </c>
      <c r="B303" s="1">
        <v>200.0</v>
      </c>
      <c r="C303" s="1" t="s">
        <v>9510</v>
      </c>
      <c r="D303" s="1" t="s">
        <v>583</v>
      </c>
      <c r="F303" s="1">
        <v>239.0</v>
      </c>
      <c r="G303" s="1">
        <v>44588.0</v>
      </c>
      <c r="H303" s="1">
        <v>0.005</v>
      </c>
      <c r="I303" s="1">
        <v>26.87</v>
      </c>
    </row>
    <row r="304">
      <c r="A304" s="2" t="s">
        <v>9511</v>
      </c>
      <c r="B304" s="1">
        <v>200.0</v>
      </c>
      <c r="C304" s="1" t="s">
        <v>9512</v>
      </c>
      <c r="D304" s="1" t="s">
        <v>583</v>
      </c>
      <c r="F304" s="1">
        <v>459.0</v>
      </c>
      <c r="G304" s="1">
        <v>48653.0</v>
      </c>
      <c r="H304" s="1">
        <v>0.009</v>
      </c>
      <c r="I304" s="1">
        <v>12.13</v>
      </c>
    </row>
    <row r="305">
      <c r="A305" s="2" t="s">
        <v>9513</v>
      </c>
      <c r="B305" s="1">
        <v>200.0</v>
      </c>
      <c r="C305" s="1" t="s">
        <v>9514</v>
      </c>
      <c r="D305" s="1" t="s">
        <v>583</v>
      </c>
      <c r="F305" s="1">
        <v>15.0</v>
      </c>
      <c r="G305" s="1">
        <v>1372.0</v>
      </c>
      <c r="H305" s="1">
        <v>0.011</v>
      </c>
      <c r="I305" s="1">
        <v>12.69</v>
      </c>
    </row>
    <row r="306">
      <c r="A306" s="2" t="s">
        <v>9515</v>
      </c>
      <c r="B306" s="1">
        <v>200.0</v>
      </c>
      <c r="C306" s="1" t="s">
        <v>9516</v>
      </c>
      <c r="D306" s="1" t="s">
        <v>583</v>
      </c>
      <c r="F306" s="1">
        <v>1.0</v>
      </c>
      <c r="G306" s="1">
        <v>1642.0</v>
      </c>
      <c r="H306" s="1">
        <v>0.001</v>
      </c>
      <c r="I306" s="1">
        <v>31.32</v>
      </c>
    </row>
    <row r="307">
      <c r="A307" s="2" t="s">
        <v>9517</v>
      </c>
      <c r="B307" s="1">
        <v>200.0</v>
      </c>
      <c r="C307" s="1" t="s">
        <v>9518</v>
      </c>
      <c r="D307" s="1" t="s">
        <v>583</v>
      </c>
      <c r="F307" s="1">
        <v>0.0</v>
      </c>
      <c r="G307" s="1">
        <v>30.0</v>
      </c>
      <c r="H307" s="1">
        <v>0.0</v>
      </c>
      <c r="I307" s="1">
        <v>14.33</v>
      </c>
    </row>
    <row r="308">
      <c r="A308" s="2" t="s">
        <v>9519</v>
      </c>
      <c r="B308" s="1">
        <v>200.0</v>
      </c>
      <c r="C308" s="1" t="s">
        <v>9520</v>
      </c>
      <c r="D308" s="1" t="s">
        <v>583</v>
      </c>
      <c r="F308" s="1">
        <v>0.0</v>
      </c>
      <c r="G308" s="1">
        <v>3.0</v>
      </c>
      <c r="H308" s="1">
        <v>0.0</v>
      </c>
      <c r="I308" s="1">
        <v>4.33</v>
      </c>
    </row>
    <row r="309">
      <c r="A309" s="2" t="s">
        <v>9521</v>
      </c>
      <c r="B309" s="1">
        <v>200.0</v>
      </c>
      <c r="C309" s="1" t="s">
        <v>9522</v>
      </c>
      <c r="D309" s="1" t="s">
        <v>583</v>
      </c>
      <c r="F309" s="1">
        <v>0.0</v>
      </c>
      <c r="G309" s="1">
        <v>15.0</v>
      </c>
      <c r="H309" s="1">
        <v>0.0</v>
      </c>
      <c r="I309" s="1">
        <v>27.0</v>
      </c>
    </row>
    <row r="310">
      <c r="A310" s="2" t="s">
        <v>9523</v>
      </c>
      <c r="B310" s="1">
        <v>200.0</v>
      </c>
      <c r="C310" s="1" t="s">
        <v>9524</v>
      </c>
      <c r="D310" s="1" t="s">
        <v>583</v>
      </c>
      <c r="F310" s="1">
        <v>0.0</v>
      </c>
      <c r="G310" s="1">
        <v>16.0</v>
      </c>
      <c r="H310" s="1">
        <v>0.0</v>
      </c>
      <c r="I310" s="1">
        <v>25.56</v>
      </c>
    </row>
    <row r="311">
      <c r="A311" s="2" t="s">
        <v>9525</v>
      </c>
      <c r="B311" s="1">
        <v>200.0</v>
      </c>
      <c r="C311" s="1" t="s">
        <v>9526</v>
      </c>
      <c r="D311" s="1" t="s">
        <v>583</v>
      </c>
      <c r="F311" s="1">
        <v>268.0</v>
      </c>
      <c r="G311" s="1">
        <v>17088.0</v>
      </c>
      <c r="H311" s="1">
        <v>0.016</v>
      </c>
      <c r="I311" s="1">
        <v>8.21</v>
      </c>
    </row>
    <row r="312">
      <c r="A312" s="2" t="s">
        <v>9527</v>
      </c>
      <c r="B312" s="1">
        <v>200.0</v>
      </c>
      <c r="C312" s="1" t="s">
        <v>9528</v>
      </c>
      <c r="D312" s="1" t="s">
        <v>583</v>
      </c>
      <c r="F312" s="1">
        <v>91.0</v>
      </c>
      <c r="G312" s="1">
        <v>10086.0</v>
      </c>
      <c r="H312" s="1">
        <v>0.009</v>
      </c>
      <c r="I312" s="1">
        <v>10.26</v>
      </c>
    </row>
    <row r="313">
      <c r="A313" s="2" t="s">
        <v>9529</v>
      </c>
      <c r="B313" s="1">
        <v>200.0</v>
      </c>
      <c r="C313" s="1" t="s">
        <v>9530</v>
      </c>
      <c r="D313" s="1" t="s">
        <v>583</v>
      </c>
      <c r="F313" s="1">
        <v>743.0</v>
      </c>
      <c r="G313" s="1">
        <v>55679.0</v>
      </c>
      <c r="H313" s="1">
        <v>0.013</v>
      </c>
      <c r="I313" s="1">
        <v>7.67</v>
      </c>
    </row>
    <row r="314">
      <c r="A314" s="2" t="s">
        <v>9531</v>
      </c>
      <c r="B314" s="1">
        <v>200.0</v>
      </c>
      <c r="C314" s="1" t="s">
        <v>9532</v>
      </c>
      <c r="D314" s="1" t="s">
        <v>583</v>
      </c>
      <c r="F314" s="1">
        <v>725.0</v>
      </c>
      <c r="G314" s="1">
        <v>34872.0</v>
      </c>
      <c r="H314" s="1">
        <v>0.021</v>
      </c>
      <c r="I314" s="1">
        <v>11.22</v>
      </c>
    </row>
    <row r="315">
      <c r="A315" s="2" t="s">
        <v>9533</v>
      </c>
      <c r="B315" s="1">
        <v>200.0</v>
      </c>
      <c r="C315" s="1" t="s">
        <v>9534</v>
      </c>
      <c r="D315" s="1" t="s">
        <v>583</v>
      </c>
      <c r="F315" s="1">
        <v>52.0</v>
      </c>
      <c r="G315" s="1">
        <v>4239.0</v>
      </c>
      <c r="H315" s="1">
        <v>0.012</v>
      </c>
      <c r="I315" s="1">
        <v>5.4</v>
      </c>
    </row>
    <row r="316">
      <c r="A316" s="2" t="s">
        <v>9535</v>
      </c>
      <c r="B316" s="1">
        <v>200.0</v>
      </c>
      <c r="C316" s="1" t="s">
        <v>9536</v>
      </c>
      <c r="D316" s="1" t="s">
        <v>583</v>
      </c>
      <c r="F316" s="1">
        <v>167.0</v>
      </c>
      <c r="G316" s="1">
        <v>32360.0</v>
      </c>
      <c r="H316" s="1">
        <v>0.005</v>
      </c>
      <c r="I316" s="1">
        <v>6.87</v>
      </c>
    </row>
    <row r="317">
      <c r="A317" s="2" t="s">
        <v>9537</v>
      </c>
      <c r="B317" s="1">
        <v>200.0</v>
      </c>
      <c r="C317" s="1" t="s">
        <v>9538</v>
      </c>
      <c r="D317" s="1" t="s">
        <v>583</v>
      </c>
      <c r="F317" s="1">
        <v>61.0</v>
      </c>
      <c r="G317" s="1">
        <v>2534.0</v>
      </c>
      <c r="H317" s="1">
        <v>0.024</v>
      </c>
      <c r="I317" s="1">
        <v>14.25</v>
      </c>
    </row>
    <row r="318">
      <c r="A318" s="2" t="s">
        <v>9539</v>
      </c>
      <c r="B318" s="1">
        <v>200.0</v>
      </c>
      <c r="C318" s="1" t="s">
        <v>9540</v>
      </c>
      <c r="D318" s="1" t="s">
        <v>583</v>
      </c>
      <c r="F318" s="1">
        <v>54.0</v>
      </c>
      <c r="G318" s="1">
        <v>2707.0</v>
      </c>
      <c r="H318" s="1">
        <v>0.02</v>
      </c>
      <c r="I318" s="1">
        <v>12.2</v>
      </c>
    </row>
    <row r="319">
      <c r="A319" s="2" t="s">
        <v>9541</v>
      </c>
      <c r="B319" s="1">
        <v>200.0</v>
      </c>
      <c r="C319" s="1" t="s">
        <v>9542</v>
      </c>
      <c r="D319" s="1" t="s">
        <v>583</v>
      </c>
      <c r="F319" s="1">
        <v>143.0</v>
      </c>
      <c r="G319" s="1">
        <v>21529.0</v>
      </c>
      <c r="H319" s="1">
        <v>0.007</v>
      </c>
      <c r="I319" s="1">
        <v>7.34</v>
      </c>
    </row>
    <row r="320">
      <c r="A320" s="2" t="s">
        <v>9543</v>
      </c>
      <c r="B320" s="1">
        <v>200.0</v>
      </c>
      <c r="C320" s="1" t="s">
        <v>9544</v>
      </c>
      <c r="D320" s="1" t="s">
        <v>583</v>
      </c>
      <c r="F320" s="1">
        <v>473.0</v>
      </c>
      <c r="G320" s="1">
        <v>70437.0</v>
      </c>
      <c r="H320" s="1">
        <v>0.007</v>
      </c>
      <c r="I320" s="1">
        <v>14.64</v>
      </c>
    </row>
    <row r="321">
      <c r="A321" s="2" t="s">
        <v>9545</v>
      </c>
      <c r="B321" s="1">
        <v>200.0</v>
      </c>
      <c r="C321" s="1" t="s">
        <v>9546</v>
      </c>
      <c r="D321" s="1" t="s">
        <v>583</v>
      </c>
      <c r="F321" s="1">
        <v>409.0</v>
      </c>
      <c r="G321" s="1">
        <v>25409.0</v>
      </c>
      <c r="H321" s="1">
        <v>0.016</v>
      </c>
      <c r="I321" s="1">
        <v>18.91</v>
      </c>
    </row>
    <row r="322">
      <c r="A322" s="2" t="s">
        <v>9547</v>
      </c>
      <c r="B322" s="1">
        <v>200.0</v>
      </c>
      <c r="C322" s="1" t="s">
        <v>9548</v>
      </c>
      <c r="D322" s="1" t="s">
        <v>583</v>
      </c>
      <c r="F322" s="1">
        <v>20.0</v>
      </c>
      <c r="G322" s="1">
        <v>2421.0</v>
      </c>
      <c r="H322" s="1">
        <v>0.008</v>
      </c>
      <c r="I322" s="1">
        <v>10.48</v>
      </c>
    </row>
    <row r="323">
      <c r="A323" s="2" t="s">
        <v>9549</v>
      </c>
      <c r="B323" s="1">
        <v>200.0</v>
      </c>
      <c r="C323" s="1" t="s">
        <v>9550</v>
      </c>
      <c r="D323" s="1" t="s">
        <v>583</v>
      </c>
      <c r="F323" s="1">
        <v>30.0</v>
      </c>
      <c r="G323" s="1">
        <v>5260.0</v>
      </c>
      <c r="H323" s="1">
        <v>0.006</v>
      </c>
      <c r="I323" s="1">
        <v>8.82</v>
      </c>
    </row>
    <row r="324">
      <c r="A324" s="2" t="s">
        <v>9551</v>
      </c>
      <c r="B324" s="1">
        <v>200.0</v>
      </c>
      <c r="C324" s="1" t="s">
        <v>9552</v>
      </c>
      <c r="D324" s="1" t="s">
        <v>583</v>
      </c>
      <c r="F324" s="1">
        <v>114.0</v>
      </c>
      <c r="G324" s="1">
        <v>11325.0</v>
      </c>
      <c r="H324" s="1">
        <v>0.01</v>
      </c>
      <c r="I324" s="1">
        <v>9.96</v>
      </c>
    </row>
    <row r="325">
      <c r="A325" s="2" t="s">
        <v>9553</v>
      </c>
      <c r="B325" s="1">
        <v>200.0</v>
      </c>
      <c r="C325" s="1" t="s">
        <v>9554</v>
      </c>
      <c r="D325" s="1" t="s">
        <v>583</v>
      </c>
      <c r="F325" s="1">
        <v>607.0</v>
      </c>
      <c r="G325" s="1">
        <v>55792.0</v>
      </c>
      <c r="H325" s="1">
        <v>0.011</v>
      </c>
      <c r="I325" s="1">
        <v>9.08</v>
      </c>
    </row>
    <row r="326">
      <c r="A326" s="2" t="s">
        <v>9555</v>
      </c>
      <c r="B326" s="1">
        <v>200.0</v>
      </c>
      <c r="C326" s="1" t="s">
        <v>9556</v>
      </c>
      <c r="D326" s="1" t="s">
        <v>583</v>
      </c>
      <c r="F326" s="1">
        <v>300.0</v>
      </c>
      <c r="G326" s="1">
        <v>14343.0</v>
      </c>
      <c r="H326" s="1">
        <v>0.021</v>
      </c>
      <c r="I326" s="1">
        <v>11.06</v>
      </c>
    </row>
    <row r="327">
      <c r="A327" s="2" t="s">
        <v>9557</v>
      </c>
      <c r="B327" s="1">
        <v>200.0</v>
      </c>
      <c r="C327" s="1" t="s">
        <v>9558</v>
      </c>
      <c r="D327" s="1" t="s">
        <v>583</v>
      </c>
      <c r="F327" s="1">
        <v>296.0</v>
      </c>
      <c r="G327" s="1">
        <v>13333.0</v>
      </c>
      <c r="H327" s="1">
        <v>0.022</v>
      </c>
      <c r="I327" s="1">
        <v>10.13</v>
      </c>
    </row>
    <row r="328">
      <c r="A328" s="2" t="s">
        <v>9559</v>
      </c>
      <c r="B328" s="1">
        <v>200.0</v>
      </c>
      <c r="C328" s="1" t="s">
        <v>9560</v>
      </c>
      <c r="D328" s="1" t="s">
        <v>583</v>
      </c>
      <c r="F328" s="1">
        <v>422.0</v>
      </c>
      <c r="G328" s="1">
        <v>58273.0</v>
      </c>
      <c r="H328" s="1">
        <v>0.007</v>
      </c>
      <c r="I328" s="1">
        <v>12.12</v>
      </c>
    </row>
    <row r="329">
      <c r="A329" s="2" t="s">
        <v>9561</v>
      </c>
      <c r="B329" s="1">
        <v>200.0</v>
      </c>
      <c r="C329" s="1" t="s">
        <v>9562</v>
      </c>
      <c r="D329" s="1" t="s">
        <v>583</v>
      </c>
      <c r="F329" s="1">
        <v>80.0</v>
      </c>
      <c r="G329" s="1">
        <v>4186.0</v>
      </c>
      <c r="H329" s="1">
        <v>0.019</v>
      </c>
      <c r="I329" s="1">
        <v>15.39</v>
      </c>
    </row>
    <row r="330">
      <c r="A330" s="2" t="s">
        <v>9563</v>
      </c>
      <c r="B330" s="1">
        <v>200.0</v>
      </c>
      <c r="C330" s="1" t="s">
        <v>9564</v>
      </c>
      <c r="D330" s="1" t="s">
        <v>583</v>
      </c>
      <c r="F330" s="1">
        <v>623.0</v>
      </c>
      <c r="G330" s="1">
        <v>65326.0</v>
      </c>
      <c r="H330" s="1">
        <v>0.009</v>
      </c>
      <c r="I330" s="1">
        <v>10.36</v>
      </c>
    </row>
    <row r="331">
      <c r="A331" s="2" t="s">
        <v>9565</v>
      </c>
      <c r="B331" s="1">
        <v>200.0</v>
      </c>
      <c r="C331" s="1" t="s">
        <v>9566</v>
      </c>
      <c r="D331" s="1" t="s">
        <v>583</v>
      </c>
      <c r="F331" s="1">
        <v>348.0</v>
      </c>
      <c r="G331" s="1">
        <v>36430.0</v>
      </c>
      <c r="H331" s="1">
        <v>0.01</v>
      </c>
      <c r="I331" s="1">
        <v>9.12</v>
      </c>
    </row>
    <row r="332">
      <c r="A332" s="2" t="s">
        <v>9567</v>
      </c>
      <c r="B332" s="1">
        <v>200.0</v>
      </c>
      <c r="C332" s="1" t="s">
        <v>9568</v>
      </c>
      <c r="D332" s="1" t="s">
        <v>583</v>
      </c>
      <c r="F332" s="1">
        <v>75.0</v>
      </c>
      <c r="G332" s="1">
        <v>8269.0</v>
      </c>
      <c r="H332" s="1">
        <v>0.009</v>
      </c>
      <c r="I332" s="1">
        <v>6.83</v>
      </c>
    </row>
    <row r="333">
      <c r="A333" s="2" t="s">
        <v>9569</v>
      </c>
      <c r="B333" s="1">
        <v>200.0</v>
      </c>
      <c r="C333" s="1" t="s">
        <v>9570</v>
      </c>
      <c r="D333" s="1" t="s">
        <v>583</v>
      </c>
      <c r="F333" s="1">
        <v>148.0</v>
      </c>
      <c r="G333" s="1">
        <v>14231.0</v>
      </c>
      <c r="H333" s="1">
        <v>0.01</v>
      </c>
      <c r="I333" s="1">
        <v>7.56</v>
      </c>
    </row>
    <row r="334">
      <c r="A334" s="2" t="s">
        <v>9571</v>
      </c>
      <c r="B334" s="1">
        <v>200.0</v>
      </c>
      <c r="C334" s="1" t="s">
        <v>9572</v>
      </c>
      <c r="D334" s="1" t="s">
        <v>583</v>
      </c>
      <c r="F334" s="1">
        <v>122.0</v>
      </c>
      <c r="G334" s="1">
        <v>14310.0</v>
      </c>
      <c r="H334" s="1">
        <v>0.009</v>
      </c>
      <c r="I334" s="1">
        <v>7.09</v>
      </c>
    </row>
    <row r="335">
      <c r="A335" s="2" t="s">
        <v>9573</v>
      </c>
      <c r="B335" s="1">
        <v>200.0</v>
      </c>
      <c r="C335" s="1" t="s">
        <v>9574</v>
      </c>
      <c r="D335" s="1" t="s">
        <v>583</v>
      </c>
      <c r="F335" s="1">
        <v>628.0</v>
      </c>
      <c r="G335" s="1">
        <v>20691.0</v>
      </c>
      <c r="H335" s="1">
        <v>0.03</v>
      </c>
      <c r="I335" s="1">
        <v>6.12</v>
      </c>
    </row>
    <row r="336">
      <c r="A336" s="2" t="s">
        <v>9575</v>
      </c>
      <c r="B336" s="1">
        <v>200.0</v>
      </c>
      <c r="C336" s="1" t="s">
        <v>9576</v>
      </c>
      <c r="D336" s="1" t="s">
        <v>583</v>
      </c>
      <c r="F336" s="1">
        <v>95.0</v>
      </c>
      <c r="G336" s="1">
        <v>9206.0</v>
      </c>
      <c r="H336" s="1">
        <v>0.01</v>
      </c>
      <c r="I336" s="1">
        <v>7.35</v>
      </c>
    </row>
    <row r="337">
      <c r="A337" s="2" t="s">
        <v>9577</v>
      </c>
      <c r="B337" s="1">
        <v>200.0</v>
      </c>
      <c r="C337" s="1" t="s">
        <v>9578</v>
      </c>
      <c r="D337" s="1" t="s">
        <v>583</v>
      </c>
      <c r="F337" s="1">
        <v>185.0</v>
      </c>
      <c r="G337" s="1">
        <v>52289.0</v>
      </c>
      <c r="H337" s="1">
        <v>0.004</v>
      </c>
      <c r="I337" s="1">
        <v>10.99</v>
      </c>
    </row>
    <row r="338">
      <c r="A338" s="2" t="s">
        <v>9579</v>
      </c>
      <c r="B338" s="1">
        <v>200.0</v>
      </c>
      <c r="C338" s="1" t="s">
        <v>9580</v>
      </c>
      <c r="D338" s="1" t="s">
        <v>583</v>
      </c>
      <c r="F338" s="1">
        <v>77.0</v>
      </c>
      <c r="G338" s="1">
        <v>10153.0</v>
      </c>
      <c r="H338" s="1">
        <v>0.008</v>
      </c>
      <c r="I338" s="1">
        <v>10.9</v>
      </c>
    </row>
    <row r="339">
      <c r="A339" s="2" t="s">
        <v>9581</v>
      </c>
      <c r="B339" s="1">
        <v>200.0</v>
      </c>
      <c r="C339" s="1" t="s">
        <v>9582</v>
      </c>
      <c r="D339" s="1" t="s">
        <v>583</v>
      </c>
      <c r="F339" s="1">
        <v>114.0</v>
      </c>
      <c r="G339" s="1">
        <v>32869.0</v>
      </c>
      <c r="H339" s="1">
        <v>0.004</v>
      </c>
      <c r="I339" s="1">
        <v>29.91</v>
      </c>
    </row>
    <row r="340">
      <c r="A340" s="2" t="s">
        <v>9583</v>
      </c>
      <c r="B340" s="1">
        <v>200.0</v>
      </c>
      <c r="C340" s="1" t="s">
        <v>9584</v>
      </c>
      <c r="D340" s="1" t="s">
        <v>583</v>
      </c>
      <c r="F340" s="1">
        <v>120.0</v>
      </c>
      <c r="G340" s="1">
        <v>12295.0</v>
      </c>
      <c r="H340" s="1">
        <v>0.01</v>
      </c>
      <c r="I340" s="1">
        <v>16.81</v>
      </c>
    </row>
    <row r="341">
      <c r="A341" s="2" t="s">
        <v>9585</v>
      </c>
      <c r="B341" s="1">
        <v>200.0</v>
      </c>
      <c r="C341" s="1" t="s">
        <v>9586</v>
      </c>
      <c r="D341" s="1" t="s">
        <v>583</v>
      </c>
      <c r="F341" s="1">
        <v>221.0</v>
      </c>
      <c r="G341" s="1">
        <v>15116.0</v>
      </c>
      <c r="H341" s="1">
        <v>0.015</v>
      </c>
      <c r="I341" s="1">
        <v>16.66</v>
      </c>
    </row>
    <row r="342">
      <c r="A342" s="2" t="s">
        <v>9587</v>
      </c>
      <c r="B342" s="1">
        <v>200.0</v>
      </c>
      <c r="C342" s="1" t="s">
        <v>9588</v>
      </c>
      <c r="D342" s="1" t="s">
        <v>583</v>
      </c>
      <c r="F342" s="1">
        <v>57.0</v>
      </c>
      <c r="G342" s="1">
        <v>3174.0</v>
      </c>
      <c r="H342" s="1">
        <v>0.018</v>
      </c>
      <c r="I342" s="1">
        <v>8.61</v>
      </c>
    </row>
    <row r="343">
      <c r="A343" s="2" t="s">
        <v>9589</v>
      </c>
      <c r="B343" s="1">
        <v>200.0</v>
      </c>
      <c r="C343" s="1" t="s">
        <v>9590</v>
      </c>
      <c r="D343" s="1" t="s">
        <v>583</v>
      </c>
      <c r="F343" s="1">
        <v>0.0</v>
      </c>
      <c r="G343" s="1">
        <v>3.0</v>
      </c>
      <c r="H343" s="1">
        <v>0.0</v>
      </c>
      <c r="I343" s="1">
        <v>31.0</v>
      </c>
    </row>
    <row r="344">
      <c r="A344" s="2" t="s">
        <v>9591</v>
      </c>
      <c r="B344" s="1">
        <v>200.0</v>
      </c>
      <c r="C344" s="1" t="s">
        <v>9592</v>
      </c>
      <c r="D344" s="1" t="s">
        <v>583</v>
      </c>
      <c r="F344" s="1">
        <v>78.0</v>
      </c>
      <c r="G344" s="1">
        <v>11253.0</v>
      </c>
      <c r="H344" s="1">
        <v>0.007</v>
      </c>
      <c r="I344" s="1">
        <v>11.59</v>
      </c>
    </row>
    <row r="345">
      <c r="A345" s="2" t="s">
        <v>9593</v>
      </c>
      <c r="B345" s="1">
        <v>200.0</v>
      </c>
      <c r="C345" s="1" t="s">
        <v>9594</v>
      </c>
      <c r="D345" s="1" t="s">
        <v>583</v>
      </c>
      <c r="F345" s="1">
        <v>29.0</v>
      </c>
      <c r="G345" s="1">
        <v>16272.0</v>
      </c>
      <c r="H345" s="1">
        <v>0.002</v>
      </c>
      <c r="I345" s="1">
        <v>2.15</v>
      </c>
    </row>
    <row r="346">
      <c r="A346" s="2" t="s">
        <v>9595</v>
      </c>
      <c r="B346" s="1">
        <v>200.0</v>
      </c>
      <c r="C346" s="1" t="s">
        <v>9596</v>
      </c>
      <c r="D346" s="1" t="s">
        <v>583</v>
      </c>
      <c r="F346" s="1">
        <v>13.0</v>
      </c>
      <c r="G346" s="1">
        <v>2142.0</v>
      </c>
      <c r="H346" s="1">
        <v>0.006</v>
      </c>
      <c r="I346" s="1">
        <v>28.43</v>
      </c>
    </row>
    <row r="347">
      <c r="A347" s="2" t="s">
        <v>9597</v>
      </c>
      <c r="B347" s="1">
        <v>200.0</v>
      </c>
      <c r="C347" s="1" t="s">
        <v>9598</v>
      </c>
      <c r="D347" s="1" t="s">
        <v>583</v>
      </c>
      <c r="F347" s="1">
        <v>5.0</v>
      </c>
      <c r="G347" s="1">
        <v>842.0</v>
      </c>
      <c r="H347" s="1">
        <v>0.006</v>
      </c>
      <c r="I347" s="1">
        <v>21.0</v>
      </c>
    </row>
    <row r="348">
      <c r="A348" s="2" t="s">
        <v>9599</v>
      </c>
      <c r="B348" s="1">
        <v>200.0</v>
      </c>
      <c r="C348" s="1" t="s">
        <v>9600</v>
      </c>
      <c r="D348" s="1" t="s">
        <v>583</v>
      </c>
      <c r="F348" s="1">
        <v>0.0</v>
      </c>
      <c r="G348" s="1">
        <v>10.0</v>
      </c>
      <c r="H348" s="1">
        <v>0.0</v>
      </c>
      <c r="I348" s="1">
        <v>25.4</v>
      </c>
    </row>
    <row r="349">
      <c r="A349" s="2" t="s">
        <v>9601</v>
      </c>
      <c r="B349" s="1">
        <v>200.0</v>
      </c>
      <c r="C349" s="1" t="s">
        <v>9602</v>
      </c>
      <c r="D349" s="1" t="s">
        <v>583</v>
      </c>
      <c r="F349" s="1">
        <v>247.0</v>
      </c>
      <c r="G349" s="1">
        <v>18129.0</v>
      </c>
      <c r="H349" s="1">
        <v>0.014</v>
      </c>
      <c r="I349" s="1">
        <v>5.86</v>
      </c>
    </row>
    <row r="350">
      <c r="A350" s="2" t="s">
        <v>9603</v>
      </c>
      <c r="B350" s="1">
        <v>200.0</v>
      </c>
      <c r="C350" s="1" t="s">
        <v>9604</v>
      </c>
      <c r="D350" s="1" t="s">
        <v>583</v>
      </c>
      <c r="F350" s="1">
        <v>6.0</v>
      </c>
      <c r="G350" s="1">
        <v>316.0</v>
      </c>
      <c r="H350" s="1">
        <v>0.019</v>
      </c>
      <c r="I350" s="1">
        <v>21.45</v>
      </c>
    </row>
    <row r="351">
      <c r="A351" s="2" t="s">
        <v>9605</v>
      </c>
      <c r="B351" s="1">
        <v>200.0</v>
      </c>
      <c r="C351" s="1" t="s">
        <v>9606</v>
      </c>
      <c r="D351" s="1" t="s">
        <v>583</v>
      </c>
      <c r="F351" s="1">
        <v>38.0</v>
      </c>
      <c r="G351" s="1">
        <v>16124.0</v>
      </c>
      <c r="H351" s="1">
        <v>0.002</v>
      </c>
      <c r="I351" s="1">
        <v>7.14</v>
      </c>
    </row>
    <row r="352">
      <c r="A352" s="2" t="s">
        <v>9607</v>
      </c>
      <c r="B352" s="1">
        <v>200.0</v>
      </c>
      <c r="C352" s="1" t="s">
        <v>9608</v>
      </c>
      <c r="D352" s="1" t="s">
        <v>583</v>
      </c>
      <c r="F352" s="1">
        <v>170.0</v>
      </c>
      <c r="G352" s="1">
        <v>78104.0</v>
      </c>
      <c r="H352" s="1">
        <v>0.002</v>
      </c>
      <c r="I352" s="1">
        <v>6.13</v>
      </c>
    </row>
    <row r="353">
      <c r="A353" s="2" t="s">
        <v>9609</v>
      </c>
      <c r="B353" s="1">
        <v>200.0</v>
      </c>
      <c r="C353" s="1" t="s">
        <v>9610</v>
      </c>
      <c r="D353" s="1" t="s">
        <v>583</v>
      </c>
      <c r="F353" s="1">
        <v>11.0</v>
      </c>
      <c r="G353" s="1">
        <v>2447.0</v>
      </c>
      <c r="H353" s="1">
        <v>0.004</v>
      </c>
      <c r="I353" s="1">
        <v>19.38</v>
      </c>
    </row>
    <row r="354">
      <c r="A354" s="2" t="s">
        <v>9611</v>
      </c>
      <c r="B354" s="1">
        <v>200.0</v>
      </c>
      <c r="C354" s="1" t="s">
        <v>9612</v>
      </c>
      <c r="D354" s="1" t="s">
        <v>583</v>
      </c>
      <c r="F354" s="1">
        <v>0.0</v>
      </c>
      <c r="G354" s="1">
        <v>854.0</v>
      </c>
      <c r="H354" s="1">
        <v>0.0</v>
      </c>
      <c r="I354" s="1">
        <v>42.87</v>
      </c>
    </row>
    <row r="355">
      <c r="A355" s="2" t="s">
        <v>9613</v>
      </c>
      <c r="B355" s="1">
        <v>200.0</v>
      </c>
      <c r="C355" s="1" t="s">
        <v>9614</v>
      </c>
      <c r="D355" s="1" t="s">
        <v>583</v>
      </c>
      <c r="F355" s="1">
        <v>2.0</v>
      </c>
      <c r="G355" s="1">
        <v>415.0</v>
      </c>
      <c r="H355" s="1">
        <v>0.005</v>
      </c>
      <c r="I355" s="1">
        <v>11.09</v>
      </c>
    </row>
    <row r="356">
      <c r="A356" s="2" t="s">
        <v>9615</v>
      </c>
      <c r="B356" s="1">
        <v>200.0</v>
      </c>
      <c r="C356" s="1" t="s">
        <v>9616</v>
      </c>
      <c r="D356" s="1" t="s">
        <v>583</v>
      </c>
      <c r="F356" s="1">
        <v>45.0</v>
      </c>
      <c r="G356" s="1">
        <v>6653.0</v>
      </c>
      <c r="H356" s="1">
        <v>0.007</v>
      </c>
      <c r="I356" s="1">
        <v>16.04</v>
      </c>
    </row>
    <row r="357">
      <c r="A357" s="2" t="s">
        <v>9617</v>
      </c>
      <c r="B357" s="1">
        <v>200.0</v>
      </c>
      <c r="C357" s="1" t="s">
        <v>9618</v>
      </c>
      <c r="D357" s="1" t="s">
        <v>583</v>
      </c>
      <c r="F357" s="1">
        <v>19.0</v>
      </c>
      <c r="G357" s="1">
        <v>1417.0</v>
      </c>
      <c r="H357" s="1">
        <v>0.013</v>
      </c>
      <c r="I357" s="1">
        <v>7.41</v>
      </c>
    </row>
    <row r="358">
      <c r="A358" s="2" t="s">
        <v>9619</v>
      </c>
      <c r="B358" s="1">
        <v>200.0</v>
      </c>
      <c r="C358" s="1" t="s">
        <v>9620</v>
      </c>
      <c r="D358" s="1" t="s">
        <v>583</v>
      </c>
      <c r="F358" s="1">
        <v>4.0</v>
      </c>
      <c r="G358" s="1">
        <v>1909.0</v>
      </c>
      <c r="H358" s="1">
        <v>0.002</v>
      </c>
      <c r="I358" s="1">
        <v>3.74</v>
      </c>
    </row>
    <row r="359">
      <c r="A359" s="2" t="s">
        <v>9621</v>
      </c>
      <c r="B359" s="1">
        <v>200.0</v>
      </c>
      <c r="C359" s="1" t="s">
        <v>9622</v>
      </c>
      <c r="D359" s="1" t="s">
        <v>583</v>
      </c>
      <c r="F359" s="1">
        <v>1.0</v>
      </c>
      <c r="G359" s="1">
        <v>411.0</v>
      </c>
      <c r="H359" s="1">
        <v>0.002</v>
      </c>
      <c r="I359" s="1">
        <v>12.11</v>
      </c>
    </row>
    <row r="360">
      <c r="A360" s="2" t="s">
        <v>9623</v>
      </c>
      <c r="B360" s="1">
        <v>200.0</v>
      </c>
      <c r="C360" s="1" t="s">
        <v>9624</v>
      </c>
      <c r="D360" s="1" t="s">
        <v>583</v>
      </c>
      <c r="F360" s="1">
        <v>0.0</v>
      </c>
      <c r="G360" s="1">
        <v>144.0</v>
      </c>
      <c r="H360" s="1">
        <v>0.0</v>
      </c>
      <c r="I360" s="1">
        <v>29.06</v>
      </c>
    </row>
    <row r="361">
      <c r="A361" s="2" t="s">
        <v>9625</v>
      </c>
      <c r="B361" s="1">
        <v>200.0</v>
      </c>
      <c r="C361" s="1" t="s">
        <v>9626</v>
      </c>
      <c r="D361" s="1" t="s">
        <v>583</v>
      </c>
      <c r="F361" s="1">
        <v>1.0</v>
      </c>
      <c r="G361" s="1">
        <v>157.0</v>
      </c>
      <c r="H361" s="1">
        <v>0.006</v>
      </c>
      <c r="I361" s="1">
        <v>48.47</v>
      </c>
    </row>
    <row r="362">
      <c r="A362" s="2" t="s">
        <v>9627</v>
      </c>
      <c r="B362" s="1">
        <v>200.0</v>
      </c>
      <c r="C362" s="1" t="s">
        <v>9628</v>
      </c>
      <c r="D362" s="1" t="s">
        <v>583</v>
      </c>
      <c r="F362" s="1">
        <v>0.0</v>
      </c>
      <c r="G362" s="1">
        <v>455.0</v>
      </c>
      <c r="H362" s="1">
        <v>0.0</v>
      </c>
      <c r="I362" s="1">
        <v>6.48</v>
      </c>
    </row>
    <row r="363">
      <c r="A363" s="2" t="s">
        <v>9629</v>
      </c>
      <c r="B363" s="1">
        <v>200.0</v>
      </c>
      <c r="C363" s="1" t="s">
        <v>9630</v>
      </c>
      <c r="D363" s="1" t="s">
        <v>583</v>
      </c>
      <c r="F363" s="1">
        <v>7.0</v>
      </c>
      <c r="G363" s="1">
        <v>778.0</v>
      </c>
      <c r="H363" s="1">
        <v>0.009</v>
      </c>
      <c r="I363" s="1">
        <v>41.36</v>
      </c>
    </row>
    <row r="364">
      <c r="A364" s="2" t="s">
        <v>9631</v>
      </c>
      <c r="B364" s="1">
        <v>200.0</v>
      </c>
      <c r="C364" s="1" t="s">
        <v>9632</v>
      </c>
      <c r="D364" s="1" t="s">
        <v>583</v>
      </c>
      <c r="F364" s="1">
        <v>1.0</v>
      </c>
      <c r="G364" s="1">
        <v>272.0</v>
      </c>
      <c r="H364" s="1">
        <v>0.004</v>
      </c>
      <c r="I364" s="1">
        <v>44.86</v>
      </c>
    </row>
    <row r="365">
      <c r="A365" s="2" t="s">
        <v>9633</v>
      </c>
      <c r="B365" s="1">
        <v>200.0</v>
      </c>
      <c r="C365" s="1" t="s">
        <v>9634</v>
      </c>
      <c r="D365" s="1" t="s">
        <v>583</v>
      </c>
      <c r="F365" s="1">
        <v>0.0</v>
      </c>
      <c r="G365" s="1">
        <v>3.0</v>
      </c>
      <c r="H365" s="1">
        <v>0.0</v>
      </c>
      <c r="I365" s="1">
        <v>7.33</v>
      </c>
    </row>
    <row r="366">
      <c r="A366" s="2" t="s">
        <v>9635</v>
      </c>
      <c r="B366" s="1">
        <v>200.0</v>
      </c>
      <c r="C366" s="1" t="s">
        <v>9636</v>
      </c>
      <c r="D366" s="1" t="s">
        <v>583</v>
      </c>
      <c r="F366" s="1">
        <v>1.0</v>
      </c>
      <c r="G366" s="1">
        <v>965.0</v>
      </c>
      <c r="H366" s="1">
        <v>0.001</v>
      </c>
      <c r="I366" s="1">
        <v>17.41</v>
      </c>
    </row>
    <row r="367">
      <c r="A367" s="2" t="s">
        <v>9637</v>
      </c>
      <c r="B367" s="1">
        <v>200.0</v>
      </c>
      <c r="C367" s="1" t="s">
        <v>9638</v>
      </c>
      <c r="D367" s="1" t="s">
        <v>583</v>
      </c>
      <c r="F367" s="1">
        <v>2.0</v>
      </c>
      <c r="G367" s="1">
        <v>402.0</v>
      </c>
      <c r="H367" s="1">
        <v>0.005</v>
      </c>
      <c r="I367" s="1">
        <v>25.95</v>
      </c>
    </row>
    <row r="368">
      <c r="A368" s="2" t="s">
        <v>9639</v>
      </c>
      <c r="B368" s="1">
        <v>200.0</v>
      </c>
      <c r="C368" s="1" t="s">
        <v>9640</v>
      </c>
      <c r="D368" s="1" t="s">
        <v>583</v>
      </c>
      <c r="F368" s="1">
        <v>1.0</v>
      </c>
      <c r="G368" s="1">
        <v>71.0</v>
      </c>
      <c r="H368" s="1">
        <v>0.014</v>
      </c>
      <c r="I368" s="1">
        <v>29.11</v>
      </c>
    </row>
    <row r="369">
      <c r="A369" s="2" t="s">
        <v>9641</v>
      </c>
      <c r="B369" s="1">
        <v>200.0</v>
      </c>
      <c r="C369" s="1" t="s">
        <v>9642</v>
      </c>
      <c r="D369" s="1" t="s">
        <v>583</v>
      </c>
      <c r="F369" s="1">
        <v>1.0</v>
      </c>
      <c r="G369" s="1">
        <v>1514.0</v>
      </c>
      <c r="H369" s="1">
        <v>0.001</v>
      </c>
      <c r="I369" s="1">
        <v>12.33</v>
      </c>
    </row>
    <row r="370">
      <c r="A370" s="2" t="s">
        <v>9643</v>
      </c>
      <c r="B370" s="1">
        <v>200.0</v>
      </c>
      <c r="C370" s="1" t="s">
        <v>9644</v>
      </c>
      <c r="D370" s="1" t="s">
        <v>583</v>
      </c>
      <c r="F370" s="1">
        <v>0.0</v>
      </c>
      <c r="G370" s="1">
        <v>203.0</v>
      </c>
      <c r="H370" s="1">
        <v>0.0</v>
      </c>
      <c r="I370" s="1">
        <v>53.38</v>
      </c>
    </row>
    <row r="371">
      <c r="A371" s="2" t="s">
        <v>9645</v>
      </c>
      <c r="B371" s="1">
        <v>200.0</v>
      </c>
      <c r="C371" s="1" t="s">
        <v>9646</v>
      </c>
      <c r="D371" s="1" t="s">
        <v>583</v>
      </c>
      <c r="F371" s="1">
        <v>0.0</v>
      </c>
      <c r="G371" s="1">
        <v>416.0</v>
      </c>
      <c r="H371" s="1">
        <v>0.0</v>
      </c>
      <c r="I371" s="1">
        <v>52.31</v>
      </c>
    </row>
    <row r="372">
      <c r="A372" s="2" t="s">
        <v>9647</v>
      </c>
      <c r="B372" s="1">
        <v>200.0</v>
      </c>
      <c r="C372" s="1" t="s">
        <v>9648</v>
      </c>
      <c r="D372" s="1" t="s">
        <v>583</v>
      </c>
      <c r="F372" s="1">
        <v>2.0</v>
      </c>
      <c r="G372" s="1">
        <v>372.0</v>
      </c>
      <c r="H372" s="1">
        <v>0.005</v>
      </c>
      <c r="I372" s="1">
        <v>19.05</v>
      </c>
    </row>
    <row r="373">
      <c r="A373" s="2" t="s">
        <v>9649</v>
      </c>
      <c r="B373" s="1">
        <v>200.0</v>
      </c>
      <c r="C373" s="1" t="s">
        <v>9650</v>
      </c>
      <c r="D373" s="1" t="s">
        <v>583</v>
      </c>
      <c r="F373" s="1">
        <v>2.0</v>
      </c>
      <c r="G373" s="1">
        <v>2518.0</v>
      </c>
      <c r="H373" s="1">
        <v>0.001</v>
      </c>
      <c r="I373" s="1">
        <v>29.34</v>
      </c>
    </row>
    <row r="374">
      <c r="A374" s="2" t="s">
        <v>9651</v>
      </c>
      <c r="B374" s="1">
        <v>200.0</v>
      </c>
      <c r="C374" s="1" t="s">
        <v>9652</v>
      </c>
      <c r="D374" s="1" t="s">
        <v>583</v>
      </c>
      <c r="F374" s="1">
        <v>2.0</v>
      </c>
      <c r="G374" s="1">
        <v>161.0</v>
      </c>
      <c r="H374" s="1">
        <v>0.012</v>
      </c>
      <c r="I374" s="1">
        <v>17.83</v>
      </c>
    </row>
    <row r="375">
      <c r="A375" s="2" t="s">
        <v>9653</v>
      </c>
      <c r="B375" s="1">
        <v>200.0</v>
      </c>
      <c r="C375" s="1" t="s">
        <v>9654</v>
      </c>
      <c r="D375" s="1" t="s">
        <v>583</v>
      </c>
      <c r="F375" s="1">
        <v>0.0</v>
      </c>
      <c r="G375" s="1">
        <v>269.0</v>
      </c>
      <c r="H375" s="1">
        <v>0.0</v>
      </c>
      <c r="I375" s="1">
        <v>32.42</v>
      </c>
    </row>
    <row r="376">
      <c r="A376" s="2" t="s">
        <v>9655</v>
      </c>
      <c r="B376" s="1">
        <v>200.0</v>
      </c>
      <c r="C376" s="1" t="s">
        <v>9656</v>
      </c>
      <c r="D376" s="1" t="s">
        <v>583</v>
      </c>
      <c r="F376" s="1">
        <v>1.0</v>
      </c>
      <c r="G376" s="1">
        <v>163.0</v>
      </c>
      <c r="H376" s="1">
        <v>0.006</v>
      </c>
      <c r="I376" s="1">
        <v>15.26</v>
      </c>
    </row>
    <row r="377">
      <c r="A377" s="2" t="s">
        <v>9657</v>
      </c>
      <c r="B377" s="1">
        <v>200.0</v>
      </c>
      <c r="C377" s="1" t="s">
        <v>9658</v>
      </c>
      <c r="D377" s="1" t="s">
        <v>583</v>
      </c>
      <c r="F377" s="1">
        <v>1.0</v>
      </c>
      <c r="G377" s="1">
        <v>221.0</v>
      </c>
      <c r="H377" s="1">
        <v>0.004</v>
      </c>
      <c r="I377" s="1">
        <v>8.59</v>
      </c>
    </row>
    <row r="378">
      <c r="A378" s="2" t="s">
        <v>9659</v>
      </c>
      <c r="B378" s="1">
        <v>200.0</v>
      </c>
      <c r="C378" s="1" t="s">
        <v>9660</v>
      </c>
      <c r="D378" s="1" t="s">
        <v>583</v>
      </c>
      <c r="F378" s="1">
        <v>1.0</v>
      </c>
      <c r="G378" s="1">
        <v>37.0</v>
      </c>
      <c r="H378" s="1">
        <v>0.027</v>
      </c>
      <c r="I378" s="1">
        <v>18.38</v>
      </c>
    </row>
    <row r="379">
      <c r="A379" s="2" t="s">
        <v>9661</v>
      </c>
      <c r="B379" s="1">
        <v>200.0</v>
      </c>
      <c r="C379" s="1" t="s">
        <v>9662</v>
      </c>
      <c r="D379" s="1" t="s">
        <v>583</v>
      </c>
      <c r="F379" s="1">
        <v>3.0</v>
      </c>
      <c r="G379" s="1">
        <v>2377.0</v>
      </c>
      <c r="H379" s="1">
        <v>0.001</v>
      </c>
      <c r="I379" s="1">
        <v>13.39</v>
      </c>
    </row>
    <row r="380">
      <c r="A380" s="2" t="s">
        <v>9663</v>
      </c>
      <c r="B380" s="1">
        <v>200.0</v>
      </c>
      <c r="C380" s="1" t="s">
        <v>9664</v>
      </c>
      <c r="D380" s="1" t="s">
        <v>583</v>
      </c>
      <c r="F380" s="1">
        <v>0.0</v>
      </c>
      <c r="G380" s="1">
        <v>188.0</v>
      </c>
      <c r="H380" s="1">
        <v>0.0</v>
      </c>
      <c r="I380" s="1">
        <v>45.57</v>
      </c>
    </row>
    <row r="381">
      <c r="A381" s="2" t="s">
        <v>9665</v>
      </c>
      <c r="B381" s="1">
        <v>200.0</v>
      </c>
      <c r="C381" s="1" t="s">
        <v>9666</v>
      </c>
      <c r="D381" s="1" t="s">
        <v>583</v>
      </c>
      <c r="F381" s="1">
        <v>1.0</v>
      </c>
      <c r="G381" s="1">
        <v>119.0</v>
      </c>
      <c r="H381" s="1">
        <v>0.008</v>
      </c>
      <c r="I381" s="1">
        <v>32.11</v>
      </c>
    </row>
    <row r="382">
      <c r="A382" s="2" t="s">
        <v>9667</v>
      </c>
      <c r="B382" s="1">
        <v>200.0</v>
      </c>
      <c r="C382" s="1" t="s">
        <v>9668</v>
      </c>
      <c r="D382" s="1" t="s">
        <v>583</v>
      </c>
      <c r="F382" s="1">
        <v>4.0</v>
      </c>
      <c r="G382" s="1">
        <v>921.0</v>
      </c>
      <c r="H382" s="1">
        <v>0.004</v>
      </c>
      <c r="I382" s="1">
        <v>18.88</v>
      </c>
    </row>
    <row r="383">
      <c r="A383" s="2" t="s">
        <v>9669</v>
      </c>
      <c r="B383" s="1">
        <v>200.0</v>
      </c>
      <c r="C383" s="1" t="s">
        <v>9670</v>
      </c>
      <c r="D383" s="1" t="s">
        <v>583</v>
      </c>
      <c r="F383" s="1">
        <v>1.0</v>
      </c>
      <c r="G383" s="1">
        <v>157.0</v>
      </c>
      <c r="H383" s="1">
        <v>0.006</v>
      </c>
      <c r="I383" s="1">
        <v>20.44</v>
      </c>
    </row>
    <row r="384">
      <c r="A384" s="2" t="s">
        <v>9671</v>
      </c>
      <c r="B384" s="1">
        <v>200.0</v>
      </c>
      <c r="C384" s="1" t="s">
        <v>9672</v>
      </c>
      <c r="D384" s="1" t="s">
        <v>583</v>
      </c>
      <c r="F384" s="1">
        <v>2.0</v>
      </c>
      <c r="G384" s="1">
        <v>131.0</v>
      </c>
      <c r="H384" s="1">
        <v>0.015</v>
      </c>
      <c r="I384" s="1">
        <v>40.0</v>
      </c>
    </row>
    <row r="385">
      <c r="A385" s="2" t="s">
        <v>9673</v>
      </c>
      <c r="B385" s="1">
        <v>200.0</v>
      </c>
      <c r="C385" s="1" t="s">
        <v>9674</v>
      </c>
      <c r="D385" s="1" t="s">
        <v>583</v>
      </c>
      <c r="F385" s="1">
        <v>0.0</v>
      </c>
      <c r="G385" s="1">
        <v>117.0</v>
      </c>
      <c r="H385" s="1">
        <v>0.0</v>
      </c>
      <c r="I385" s="1">
        <v>58.89</v>
      </c>
    </row>
    <row r="386">
      <c r="A386" s="2" t="s">
        <v>9675</v>
      </c>
      <c r="B386" s="1">
        <v>200.0</v>
      </c>
      <c r="C386" s="1" t="s">
        <v>9676</v>
      </c>
      <c r="D386" s="1" t="s">
        <v>583</v>
      </c>
      <c r="F386" s="1">
        <v>1.0</v>
      </c>
      <c r="G386" s="1">
        <v>463.0</v>
      </c>
      <c r="H386" s="1">
        <v>0.002</v>
      </c>
      <c r="I386" s="1">
        <v>33.48</v>
      </c>
    </row>
    <row r="387">
      <c r="A387" s="2" t="s">
        <v>9677</v>
      </c>
      <c r="B387" s="1">
        <v>200.0</v>
      </c>
      <c r="C387" s="1" t="s">
        <v>9678</v>
      </c>
      <c r="D387" s="1" t="s">
        <v>583</v>
      </c>
      <c r="F387" s="1">
        <v>2.0</v>
      </c>
      <c r="G387" s="1">
        <v>171.0</v>
      </c>
      <c r="H387" s="1">
        <v>0.012</v>
      </c>
      <c r="I387" s="1">
        <v>2.59</v>
      </c>
    </row>
    <row r="388">
      <c r="A388" s="2" t="s">
        <v>9679</v>
      </c>
      <c r="B388" s="1">
        <v>200.0</v>
      </c>
      <c r="C388" s="1" t="s">
        <v>9680</v>
      </c>
      <c r="D388" s="1" t="s">
        <v>583</v>
      </c>
      <c r="F388" s="1">
        <v>3.0</v>
      </c>
      <c r="G388" s="1">
        <v>298.0</v>
      </c>
      <c r="H388" s="1">
        <v>0.01</v>
      </c>
      <c r="I388" s="1">
        <v>8.02</v>
      </c>
    </row>
    <row r="389">
      <c r="A389" s="2" t="s">
        <v>9681</v>
      </c>
      <c r="B389" s="1">
        <v>200.0</v>
      </c>
      <c r="C389" s="1" t="s">
        <v>9682</v>
      </c>
      <c r="D389" s="1" t="s">
        <v>583</v>
      </c>
      <c r="F389" s="1">
        <v>0.0</v>
      </c>
      <c r="G389" s="1">
        <v>356.0</v>
      </c>
      <c r="H389" s="1">
        <v>0.0</v>
      </c>
      <c r="I389" s="1">
        <v>18.52</v>
      </c>
    </row>
    <row r="390">
      <c r="A390" s="2" t="s">
        <v>9683</v>
      </c>
      <c r="B390" s="1">
        <v>200.0</v>
      </c>
      <c r="C390" s="1" t="s">
        <v>9684</v>
      </c>
      <c r="D390" s="1" t="s">
        <v>583</v>
      </c>
      <c r="F390" s="1">
        <v>1.0</v>
      </c>
      <c r="G390" s="1">
        <v>187.0</v>
      </c>
      <c r="H390" s="1">
        <v>0.005</v>
      </c>
      <c r="I390" s="1">
        <v>23.72</v>
      </c>
    </row>
    <row r="391">
      <c r="A391" s="2" t="s">
        <v>9685</v>
      </c>
      <c r="B391" s="1">
        <v>200.0</v>
      </c>
      <c r="C391" s="1" t="s">
        <v>9212</v>
      </c>
      <c r="D391" s="1" t="s">
        <v>609</v>
      </c>
      <c r="E391" s="1" t="s">
        <v>631</v>
      </c>
      <c r="F391" s="1">
        <v>4.0</v>
      </c>
      <c r="G391" s="1">
        <v>148.0</v>
      </c>
      <c r="H391" s="1">
        <v>0.027</v>
      </c>
      <c r="I391" s="1">
        <v>7.03</v>
      </c>
    </row>
    <row r="392">
      <c r="A392" s="2" t="s">
        <v>9686</v>
      </c>
      <c r="B392" s="1">
        <v>200.0</v>
      </c>
      <c r="C392" s="1" t="s">
        <v>9212</v>
      </c>
      <c r="D392" s="1" t="s">
        <v>609</v>
      </c>
      <c r="E392" s="1" t="s">
        <v>631</v>
      </c>
      <c r="F392" s="1">
        <v>2.0</v>
      </c>
      <c r="G392" s="1">
        <v>21.0</v>
      </c>
      <c r="H392" s="1">
        <v>0.095</v>
      </c>
      <c r="I392" s="1">
        <v>8.57</v>
      </c>
    </row>
    <row r="393">
      <c r="A393" s="2" t="s">
        <v>9687</v>
      </c>
      <c r="B393" s="1">
        <v>301.0</v>
      </c>
      <c r="D393" s="1" t="s">
        <v>609</v>
      </c>
      <c r="E393" s="1" t="s">
        <v>610</v>
      </c>
      <c r="F393" s="1">
        <v>43.0</v>
      </c>
      <c r="G393" s="1">
        <v>3299.0</v>
      </c>
      <c r="H393" s="1">
        <v>0.013</v>
      </c>
      <c r="I393" s="1">
        <v>13.48</v>
      </c>
    </row>
    <row r="394">
      <c r="A394" s="2" t="s">
        <v>9688</v>
      </c>
      <c r="B394" s="1">
        <v>200.0</v>
      </c>
      <c r="C394" s="1" t="s">
        <v>9689</v>
      </c>
      <c r="D394" s="1" t="s">
        <v>583</v>
      </c>
      <c r="F394" s="1">
        <v>1.0</v>
      </c>
      <c r="G394" s="1">
        <v>122.0</v>
      </c>
      <c r="H394" s="1">
        <v>0.008</v>
      </c>
      <c r="I394" s="1">
        <v>41.19</v>
      </c>
    </row>
    <row r="395">
      <c r="A395" s="2" t="s">
        <v>9690</v>
      </c>
      <c r="B395" s="1">
        <v>200.0</v>
      </c>
      <c r="C395" s="1" t="s">
        <v>9691</v>
      </c>
      <c r="D395" s="1" t="s">
        <v>583</v>
      </c>
      <c r="F395" s="1">
        <v>2.0</v>
      </c>
      <c r="G395" s="1">
        <v>255.0</v>
      </c>
      <c r="H395" s="1">
        <v>0.008</v>
      </c>
      <c r="I395" s="1">
        <v>37.38</v>
      </c>
    </row>
    <row r="396">
      <c r="A396" s="2" t="s">
        <v>9692</v>
      </c>
      <c r="B396" s="1">
        <v>200.0</v>
      </c>
      <c r="C396" s="1" t="s">
        <v>9693</v>
      </c>
      <c r="D396" s="1" t="s">
        <v>583</v>
      </c>
      <c r="F396" s="1">
        <v>2.0</v>
      </c>
      <c r="G396" s="1">
        <v>469.0</v>
      </c>
      <c r="H396" s="1">
        <v>0.004</v>
      </c>
      <c r="I396" s="1">
        <v>40.98</v>
      </c>
    </row>
    <row r="397">
      <c r="A397" s="2" t="s">
        <v>9694</v>
      </c>
      <c r="B397" s="1">
        <v>200.0</v>
      </c>
      <c r="C397" s="1" t="s">
        <v>9695</v>
      </c>
      <c r="D397" s="1" t="s">
        <v>583</v>
      </c>
      <c r="F397" s="1">
        <v>0.0</v>
      </c>
      <c r="G397" s="1">
        <v>3.0</v>
      </c>
      <c r="H397" s="1">
        <v>0.0</v>
      </c>
      <c r="I397" s="1">
        <v>9.67</v>
      </c>
    </row>
    <row r="398">
      <c r="A398" s="2" t="s">
        <v>9696</v>
      </c>
      <c r="B398" s="1">
        <v>200.0</v>
      </c>
      <c r="C398" s="1" t="s">
        <v>9697</v>
      </c>
      <c r="D398" s="1" t="s">
        <v>583</v>
      </c>
      <c r="F398" s="1">
        <v>14.0</v>
      </c>
      <c r="G398" s="1">
        <v>11757.0</v>
      </c>
      <c r="H398" s="1">
        <v>0.001</v>
      </c>
      <c r="I398" s="1">
        <v>31.62</v>
      </c>
    </row>
    <row r="399">
      <c r="A399" s="2" t="s">
        <v>9698</v>
      </c>
      <c r="B399" s="1">
        <v>200.0</v>
      </c>
      <c r="C399" s="1" t="s">
        <v>9699</v>
      </c>
      <c r="D399" s="1" t="s">
        <v>583</v>
      </c>
      <c r="F399" s="1">
        <v>127.0</v>
      </c>
      <c r="G399" s="1">
        <v>4567.0</v>
      </c>
      <c r="H399" s="1">
        <v>0.028</v>
      </c>
      <c r="I399" s="1">
        <v>11.16</v>
      </c>
    </row>
    <row r="400">
      <c r="A400" s="2" t="s">
        <v>9700</v>
      </c>
      <c r="B400" s="1">
        <v>200.0</v>
      </c>
      <c r="C400" s="1" t="s">
        <v>9048</v>
      </c>
      <c r="D400" s="1" t="s">
        <v>609</v>
      </c>
      <c r="E400" s="1" t="s">
        <v>631</v>
      </c>
    </row>
    <row r="401">
      <c r="A401" s="2" t="s">
        <v>9701</v>
      </c>
      <c r="B401" s="1">
        <v>404.0</v>
      </c>
      <c r="D401" s="1" t="s">
        <v>609</v>
      </c>
      <c r="E401" s="1" t="s">
        <v>902</v>
      </c>
    </row>
    <row r="402">
      <c r="A402" s="2" t="s">
        <v>9702</v>
      </c>
      <c r="B402" s="1">
        <v>200.0</v>
      </c>
      <c r="C402" s="1" t="s">
        <v>9007</v>
      </c>
      <c r="D402" s="1" t="s">
        <v>609</v>
      </c>
      <c r="E402" s="1" t="s">
        <v>631</v>
      </c>
      <c r="F402" s="1">
        <v>0.0</v>
      </c>
      <c r="G402" s="1">
        <v>11.0</v>
      </c>
      <c r="H402" s="1">
        <v>0.0</v>
      </c>
      <c r="I402" s="1">
        <v>5.27</v>
      </c>
    </row>
    <row r="403">
      <c r="A403" s="2" t="s">
        <v>9703</v>
      </c>
      <c r="B403" s="1">
        <v>200.0</v>
      </c>
      <c r="C403" s="1" t="s">
        <v>9007</v>
      </c>
      <c r="D403" s="1" t="s">
        <v>609</v>
      </c>
      <c r="E403" s="1" t="s">
        <v>631</v>
      </c>
    </row>
    <row r="404">
      <c r="A404" s="2" t="s">
        <v>9704</v>
      </c>
      <c r="B404" s="1">
        <v>200.0</v>
      </c>
      <c r="C404" s="1" t="s">
        <v>9007</v>
      </c>
      <c r="D404" s="1" t="s">
        <v>609</v>
      </c>
      <c r="E404" s="1" t="s">
        <v>631</v>
      </c>
      <c r="F404" s="1">
        <v>0.0</v>
      </c>
      <c r="G404" s="1">
        <v>7.0</v>
      </c>
      <c r="H404" s="1">
        <v>0.0</v>
      </c>
      <c r="I404" s="1">
        <v>5.14</v>
      </c>
    </row>
    <row r="405">
      <c r="A405" s="2" t="s">
        <v>9705</v>
      </c>
      <c r="B405" s="1">
        <v>200.0</v>
      </c>
      <c r="C405" s="1" t="s">
        <v>9007</v>
      </c>
      <c r="D405" s="1" t="s">
        <v>609</v>
      </c>
      <c r="E405" s="1" t="s">
        <v>631</v>
      </c>
      <c r="F405" s="1">
        <v>1.0</v>
      </c>
      <c r="G405" s="1">
        <v>75.0</v>
      </c>
      <c r="H405" s="1">
        <v>0.013</v>
      </c>
      <c r="I405" s="1">
        <v>7.84</v>
      </c>
    </row>
    <row r="406">
      <c r="A406" s="2" t="s">
        <v>324</v>
      </c>
      <c r="B406" s="1">
        <v>200.0</v>
      </c>
      <c r="C406" s="1" t="s">
        <v>9706</v>
      </c>
      <c r="D406" s="1" t="s">
        <v>583</v>
      </c>
      <c r="F406" s="1">
        <v>176.0</v>
      </c>
      <c r="G406" s="1">
        <v>17650.0</v>
      </c>
      <c r="H406" s="1">
        <v>0.01</v>
      </c>
      <c r="I406" s="1">
        <v>9.23</v>
      </c>
    </row>
    <row r="407">
      <c r="A407" s="2" t="s">
        <v>9707</v>
      </c>
      <c r="B407" s="1">
        <v>200.0</v>
      </c>
      <c r="C407" s="1" t="s">
        <v>9011</v>
      </c>
      <c r="D407" s="1" t="s">
        <v>609</v>
      </c>
      <c r="E407" s="1" t="s">
        <v>631</v>
      </c>
      <c r="F407" s="1">
        <v>0.0</v>
      </c>
      <c r="G407" s="1">
        <v>13.0</v>
      </c>
      <c r="H407" s="1">
        <v>0.0</v>
      </c>
      <c r="I407" s="1">
        <v>9.54</v>
      </c>
    </row>
    <row r="408">
      <c r="A408" s="2" t="s">
        <v>9708</v>
      </c>
      <c r="B408" s="1">
        <v>200.0</v>
      </c>
      <c r="C408" s="1" t="s">
        <v>9011</v>
      </c>
      <c r="D408" s="1" t="s">
        <v>609</v>
      </c>
      <c r="E408" s="1" t="s">
        <v>631</v>
      </c>
      <c r="F408" s="1">
        <v>0.0</v>
      </c>
      <c r="G408" s="1">
        <v>3.0</v>
      </c>
      <c r="H408" s="1">
        <v>0.0</v>
      </c>
      <c r="I408" s="1">
        <v>12.33</v>
      </c>
    </row>
    <row r="409">
      <c r="A409" s="2" t="s">
        <v>9709</v>
      </c>
      <c r="B409" s="1">
        <v>200.0</v>
      </c>
      <c r="C409" s="1" t="s">
        <v>8986</v>
      </c>
      <c r="D409" s="1" t="s">
        <v>609</v>
      </c>
      <c r="E409" s="1" t="s">
        <v>631</v>
      </c>
      <c r="F409" s="1">
        <v>0.0</v>
      </c>
      <c r="G409" s="1">
        <v>11.0</v>
      </c>
      <c r="H409" s="1">
        <v>0.0</v>
      </c>
      <c r="I409" s="1">
        <v>8.0</v>
      </c>
    </row>
    <row r="410">
      <c r="A410" s="2" t="s">
        <v>9710</v>
      </c>
      <c r="B410" s="1">
        <v>200.0</v>
      </c>
      <c r="C410" s="1" t="s">
        <v>9011</v>
      </c>
      <c r="D410" s="1" t="s">
        <v>609</v>
      </c>
      <c r="E410" s="1" t="s">
        <v>631</v>
      </c>
      <c r="F410" s="1">
        <v>0.0</v>
      </c>
      <c r="G410" s="1">
        <v>2.0</v>
      </c>
      <c r="H410" s="1">
        <v>0.0</v>
      </c>
      <c r="I410" s="1">
        <v>9.5</v>
      </c>
    </row>
    <row r="411">
      <c r="A411" s="2" t="s">
        <v>9711</v>
      </c>
      <c r="B411" s="1">
        <v>200.0</v>
      </c>
      <c r="C411" s="1" t="s">
        <v>9011</v>
      </c>
      <c r="D411" s="1" t="s">
        <v>609</v>
      </c>
      <c r="E411" s="1" t="s">
        <v>631</v>
      </c>
      <c r="F411" s="1">
        <v>0.0</v>
      </c>
      <c r="G411" s="1">
        <v>1.0</v>
      </c>
      <c r="H411" s="1">
        <v>0.0</v>
      </c>
      <c r="I411" s="1">
        <v>5.0</v>
      </c>
    </row>
    <row r="412">
      <c r="A412" s="2" t="s">
        <v>9712</v>
      </c>
      <c r="B412" s="1">
        <v>301.0</v>
      </c>
      <c r="D412" s="1" t="s">
        <v>609</v>
      </c>
      <c r="E412" s="1" t="s">
        <v>610</v>
      </c>
    </row>
    <row r="413">
      <c r="A413" s="2" t="s">
        <v>9713</v>
      </c>
      <c r="B413" s="1">
        <v>200.0</v>
      </c>
      <c r="C413" s="1" t="s">
        <v>9714</v>
      </c>
      <c r="D413" s="1" t="s">
        <v>583</v>
      </c>
      <c r="F413" s="1">
        <v>528.0</v>
      </c>
      <c r="G413" s="1">
        <v>35173.0</v>
      </c>
      <c r="H413" s="1">
        <v>0.015</v>
      </c>
      <c r="I413" s="1">
        <v>9.75</v>
      </c>
    </row>
    <row r="414">
      <c r="A414" s="2" t="s">
        <v>9715</v>
      </c>
      <c r="B414" s="1">
        <v>301.0</v>
      </c>
      <c r="D414" s="1" t="s">
        <v>609</v>
      </c>
      <c r="E414" s="1" t="s">
        <v>610</v>
      </c>
    </row>
    <row r="415">
      <c r="A415" s="2" t="s">
        <v>9716</v>
      </c>
      <c r="B415" s="1">
        <v>301.0</v>
      </c>
      <c r="D415" s="1" t="s">
        <v>609</v>
      </c>
      <c r="E415" s="1" t="s">
        <v>610</v>
      </c>
    </row>
    <row r="416">
      <c r="A416" s="2" t="s">
        <v>9717</v>
      </c>
      <c r="B416" s="1">
        <v>200.0</v>
      </c>
      <c r="C416" s="1" t="s">
        <v>9718</v>
      </c>
      <c r="D416" s="1" t="s">
        <v>583</v>
      </c>
      <c r="F416" s="1">
        <v>26.0</v>
      </c>
      <c r="G416" s="1">
        <v>1304.0</v>
      </c>
      <c r="H416" s="1">
        <v>0.02</v>
      </c>
      <c r="I416" s="1">
        <v>10.78</v>
      </c>
    </row>
    <row r="417">
      <c r="A417" s="2" t="s">
        <v>9719</v>
      </c>
      <c r="B417" s="1">
        <v>200.0</v>
      </c>
      <c r="C417" s="1" t="s">
        <v>9720</v>
      </c>
      <c r="D417" s="1" t="s">
        <v>583</v>
      </c>
      <c r="F417" s="1">
        <v>8.0</v>
      </c>
      <c r="G417" s="1">
        <v>1592.0</v>
      </c>
      <c r="H417" s="1">
        <v>0.005</v>
      </c>
      <c r="I417" s="1">
        <v>10.25</v>
      </c>
    </row>
    <row r="418">
      <c r="A418" s="2" t="s">
        <v>9721</v>
      </c>
      <c r="B418" s="1">
        <v>200.0</v>
      </c>
      <c r="C418" s="1" t="s">
        <v>9722</v>
      </c>
      <c r="D418" s="1" t="s">
        <v>583</v>
      </c>
      <c r="F418" s="1">
        <v>4.0</v>
      </c>
      <c r="G418" s="1">
        <v>1281.0</v>
      </c>
      <c r="H418" s="1">
        <v>0.003</v>
      </c>
      <c r="I418" s="1">
        <v>35.82</v>
      </c>
    </row>
    <row r="419">
      <c r="A419" s="2" t="s">
        <v>9723</v>
      </c>
      <c r="B419" s="1">
        <v>200.0</v>
      </c>
      <c r="C419" s="1" t="s">
        <v>9724</v>
      </c>
      <c r="D419" s="1" t="s">
        <v>583</v>
      </c>
      <c r="F419" s="1">
        <v>4.0</v>
      </c>
      <c r="G419" s="1">
        <v>884.0</v>
      </c>
      <c r="H419" s="1">
        <v>0.004</v>
      </c>
      <c r="I419" s="1">
        <v>8.88</v>
      </c>
    </row>
    <row r="420">
      <c r="A420" s="2" t="s">
        <v>9725</v>
      </c>
      <c r="B420" s="1">
        <v>200.0</v>
      </c>
      <c r="C420" s="1" t="s">
        <v>9726</v>
      </c>
      <c r="D420" s="1" t="s">
        <v>583</v>
      </c>
      <c r="F420" s="1">
        <v>1.0</v>
      </c>
      <c r="G420" s="1">
        <v>257.0</v>
      </c>
      <c r="H420" s="1">
        <v>0.004</v>
      </c>
      <c r="I420" s="1">
        <v>10.42</v>
      </c>
    </row>
    <row r="421">
      <c r="A421" s="2" t="s">
        <v>9727</v>
      </c>
      <c r="B421" s="1">
        <v>200.0</v>
      </c>
      <c r="C421" s="1" t="s">
        <v>9728</v>
      </c>
      <c r="D421" s="1" t="s">
        <v>583</v>
      </c>
      <c r="F421" s="1">
        <v>1.0</v>
      </c>
      <c r="G421" s="1">
        <v>5295.0</v>
      </c>
      <c r="H421" s="1">
        <v>0.0</v>
      </c>
      <c r="I421" s="1">
        <v>67.35</v>
      </c>
    </row>
    <row r="422">
      <c r="A422" s="2" t="s">
        <v>9729</v>
      </c>
      <c r="B422" s="1">
        <v>200.0</v>
      </c>
      <c r="C422" s="1" t="s">
        <v>9730</v>
      </c>
      <c r="D422" s="1" t="s">
        <v>583</v>
      </c>
      <c r="F422" s="1">
        <v>3.0</v>
      </c>
      <c r="G422" s="1">
        <v>1904.0</v>
      </c>
      <c r="H422" s="1">
        <v>0.002</v>
      </c>
      <c r="I422" s="1">
        <v>28.45</v>
      </c>
    </row>
    <row r="423">
      <c r="A423" s="2" t="s">
        <v>9731</v>
      </c>
      <c r="B423" s="1">
        <v>200.0</v>
      </c>
      <c r="C423" s="1" t="s">
        <v>9732</v>
      </c>
      <c r="D423" s="1" t="s">
        <v>583</v>
      </c>
      <c r="F423" s="1">
        <v>7.0</v>
      </c>
      <c r="G423" s="1">
        <v>2288.0</v>
      </c>
      <c r="H423" s="1">
        <v>0.003</v>
      </c>
      <c r="I423" s="1">
        <v>13.34</v>
      </c>
    </row>
    <row r="424">
      <c r="A424" s="2" t="s">
        <v>9733</v>
      </c>
      <c r="B424" s="1">
        <v>200.0</v>
      </c>
      <c r="C424" s="1" t="s">
        <v>9734</v>
      </c>
      <c r="D424" s="1" t="s">
        <v>583</v>
      </c>
      <c r="F424" s="1">
        <v>3.0</v>
      </c>
      <c r="G424" s="1">
        <v>6565.0</v>
      </c>
      <c r="H424" s="1">
        <v>0.0</v>
      </c>
      <c r="I424" s="1">
        <v>35.91</v>
      </c>
    </row>
    <row r="425">
      <c r="A425" s="2" t="s">
        <v>9735</v>
      </c>
      <c r="B425" s="1">
        <v>200.0</v>
      </c>
      <c r="C425" s="1" t="s">
        <v>9736</v>
      </c>
      <c r="D425" s="1" t="s">
        <v>583</v>
      </c>
      <c r="F425" s="1">
        <v>21.0</v>
      </c>
      <c r="G425" s="1">
        <v>10087.0</v>
      </c>
      <c r="H425" s="1">
        <v>0.002</v>
      </c>
      <c r="I425" s="1">
        <v>22.28</v>
      </c>
    </row>
    <row r="426">
      <c r="A426" s="2" t="s">
        <v>9737</v>
      </c>
      <c r="B426" s="1">
        <v>200.0</v>
      </c>
      <c r="C426" s="1" t="s">
        <v>9738</v>
      </c>
      <c r="D426" s="1" t="s">
        <v>583</v>
      </c>
      <c r="F426" s="1">
        <v>5.0</v>
      </c>
      <c r="G426" s="1">
        <v>2316.0</v>
      </c>
      <c r="H426" s="1">
        <v>0.002</v>
      </c>
      <c r="I426" s="1">
        <v>47.47</v>
      </c>
    </row>
    <row r="427">
      <c r="A427" s="2" t="s">
        <v>9739</v>
      </c>
      <c r="B427" s="1">
        <v>200.0</v>
      </c>
      <c r="C427" s="1" t="s">
        <v>9740</v>
      </c>
      <c r="D427" s="1" t="s">
        <v>583</v>
      </c>
      <c r="F427" s="1">
        <v>2.0</v>
      </c>
      <c r="G427" s="1">
        <v>829.0</v>
      </c>
      <c r="H427" s="1">
        <v>0.002</v>
      </c>
      <c r="I427" s="1">
        <v>17.8</v>
      </c>
    </row>
    <row r="428">
      <c r="A428" s="2" t="s">
        <v>9741</v>
      </c>
      <c r="B428" s="1">
        <v>200.0</v>
      </c>
      <c r="C428" s="1" t="s">
        <v>9742</v>
      </c>
      <c r="D428" s="1" t="s">
        <v>583</v>
      </c>
      <c r="F428" s="1">
        <v>4.0</v>
      </c>
      <c r="G428" s="1">
        <v>372.0</v>
      </c>
      <c r="H428" s="1">
        <v>0.011</v>
      </c>
      <c r="I428" s="1">
        <v>9.56</v>
      </c>
    </row>
    <row r="429">
      <c r="A429" s="2" t="s">
        <v>9743</v>
      </c>
      <c r="B429" s="1">
        <v>200.0</v>
      </c>
      <c r="C429" s="1" t="s">
        <v>9744</v>
      </c>
      <c r="D429" s="1" t="s">
        <v>583</v>
      </c>
      <c r="F429" s="1">
        <v>5.0</v>
      </c>
      <c r="G429" s="1">
        <v>8112.0</v>
      </c>
      <c r="H429" s="1">
        <v>0.001</v>
      </c>
      <c r="I429" s="1">
        <v>16.08</v>
      </c>
    </row>
    <row r="430">
      <c r="A430" s="2" t="s">
        <v>9745</v>
      </c>
      <c r="B430" s="1">
        <v>200.0</v>
      </c>
      <c r="C430" s="1" t="s">
        <v>9746</v>
      </c>
      <c r="D430" s="1" t="s">
        <v>583</v>
      </c>
      <c r="F430" s="1">
        <v>6.0</v>
      </c>
      <c r="G430" s="1">
        <v>5178.0</v>
      </c>
      <c r="H430" s="1">
        <v>0.001</v>
      </c>
      <c r="I430" s="1">
        <v>15.57</v>
      </c>
    </row>
    <row r="431">
      <c r="A431" s="2" t="s">
        <v>9747</v>
      </c>
      <c r="B431" s="1">
        <v>200.0</v>
      </c>
      <c r="C431" s="1" t="s">
        <v>9748</v>
      </c>
      <c r="D431" s="1" t="s">
        <v>583</v>
      </c>
    </row>
    <row r="432">
      <c r="A432" s="2" t="s">
        <v>9749</v>
      </c>
      <c r="B432" s="1">
        <v>200.0</v>
      </c>
      <c r="C432" s="1" t="s">
        <v>9750</v>
      </c>
      <c r="D432" s="1" t="s">
        <v>583</v>
      </c>
      <c r="F432" s="1">
        <v>5.0</v>
      </c>
      <c r="G432" s="1">
        <v>1642.0</v>
      </c>
      <c r="H432" s="1">
        <v>0.003</v>
      </c>
      <c r="I432" s="1">
        <v>7.76</v>
      </c>
    </row>
    <row r="433">
      <c r="A433" s="2" t="s">
        <v>9751</v>
      </c>
      <c r="B433" s="1">
        <v>200.0</v>
      </c>
      <c r="C433" s="1" t="s">
        <v>9752</v>
      </c>
      <c r="D433" s="1" t="s">
        <v>583</v>
      </c>
      <c r="F433" s="1">
        <v>1.0</v>
      </c>
      <c r="G433" s="1">
        <v>2265.0</v>
      </c>
      <c r="H433" s="1">
        <v>0.0</v>
      </c>
      <c r="I433" s="1">
        <v>48.2</v>
      </c>
    </row>
    <row r="434">
      <c r="A434" s="2" t="s">
        <v>9753</v>
      </c>
      <c r="B434" s="1">
        <v>200.0</v>
      </c>
      <c r="C434" s="1" t="s">
        <v>9754</v>
      </c>
      <c r="D434" s="1" t="s">
        <v>583</v>
      </c>
      <c r="F434" s="1">
        <v>0.0</v>
      </c>
      <c r="G434" s="1">
        <v>6050.0</v>
      </c>
      <c r="H434" s="1">
        <v>0.0</v>
      </c>
      <c r="I434" s="1">
        <v>43.27</v>
      </c>
    </row>
    <row r="435">
      <c r="A435" s="2" t="s">
        <v>9755</v>
      </c>
      <c r="B435" s="1">
        <v>200.0</v>
      </c>
      <c r="C435" s="1" t="s">
        <v>9756</v>
      </c>
      <c r="D435" s="1" t="s">
        <v>583</v>
      </c>
      <c r="F435" s="1">
        <v>9.0</v>
      </c>
      <c r="G435" s="1">
        <v>10057.0</v>
      </c>
      <c r="H435" s="1">
        <v>0.001</v>
      </c>
      <c r="I435" s="1">
        <v>53.45</v>
      </c>
    </row>
    <row r="436">
      <c r="A436" s="2" t="s">
        <v>9757</v>
      </c>
      <c r="B436" s="1">
        <v>200.0</v>
      </c>
      <c r="C436" s="1" t="s">
        <v>9758</v>
      </c>
      <c r="D436" s="1" t="s">
        <v>583</v>
      </c>
      <c r="F436" s="1">
        <v>1.0</v>
      </c>
      <c r="G436" s="1">
        <v>629.0</v>
      </c>
      <c r="H436" s="1">
        <v>0.002</v>
      </c>
      <c r="I436" s="1">
        <v>31.6</v>
      </c>
    </row>
    <row r="437">
      <c r="A437" s="2" t="s">
        <v>9759</v>
      </c>
      <c r="B437" s="1">
        <v>200.0</v>
      </c>
      <c r="C437" s="1" t="s">
        <v>9760</v>
      </c>
      <c r="D437" s="1" t="s">
        <v>583</v>
      </c>
      <c r="F437" s="1">
        <v>2.0</v>
      </c>
      <c r="G437" s="1">
        <v>12409.0</v>
      </c>
      <c r="H437" s="1">
        <v>0.0</v>
      </c>
      <c r="I437" s="1">
        <v>15.61</v>
      </c>
    </row>
    <row r="438">
      <c r="A438" s="2" t="s">
        <v>9761</v>
      </c>
      <c r="B438" s="1">
        <v>200.0</v>
      </c>
      <c r="C438" s="1" t="s">
        <v>9212</v>
      </c>
      <c r="D438" s="1" t="s">
        <v>609</v>
      </c>
      <c r="E438" s="1" t="s">
        <v>631</v>
      </c>
    </row>
    <row r="439">
      <c r="A439" s="2" t="s">
        <v>9762</v>
      </c>
      <c r="B439" s="1">
        <v>200.0</v>
      </c>
      <c r="C439" s="1" t="s">
        <v>9763</v>
      </c>
      <c r="D439" s="1" t="s">
        <v>583</v>
      </c>
      <c r="F439" s="1">
        <v>6.0</v>
      </c>
      <c r="G439" s="1">
        <v>1303.0</v>
      </c>
      <c r="H439" s="1">
        <v>0.005</v>
      </c>
      <c r="I439" s="1">
        <v>22.65</v>
      </c>
    </row>
    <row r="440">
      <c r="A440" s="2" t="s">
        <v>9764</v>
      </c>
      <c r="B440" s="1">
        <v>200.0</v>
      </c>
      <c r="C440" s="1" t="s">
        <v>9765</v>
      </c>
      <c r="D440" s="1" t="s">
        <v>583</v>
      </c>
      <c r="F440" s="1">
        <v>9.0</v>
      </c>
      <c r="G440" s="1">
        <v>3883.0</v>
      </c>
      <c r="H440" s="1">
        <v>0.002</v>
      </c>
      <c r="I440" s="1">
        <v>29.39</v>
      </c>
    </row>
    <row r="441">
      <c r="A441" s="2" t="s">
        <v>9766</v>
      </c>
      <c r="B441" s="1">
        <v>200.0</v>
      </c>
      <c r="C441" s="1" t="s">
        <v>9767</v>
      </c>
      <c r="D441" s="1" t="s">
        <v>583</v>
      </c>
      <c r="F441" s="1">
        <v>1.0</v>
      </c>
      <c r="G441" s="1">
        <v>498.0</v>
      </c>
      <c r="H441" s="1">
        <v>0.002</v>
      </c>
      <c r="I441" s="1">
        <v>21.36</v>
      </c>
    </row>
    <row r="442">
      <c r="A442" s="2" t="s">
        <v>9768</v>
      </c>
      <c r="B442" s="1">
        <v>200.0</v>
      </c>
      <c r="C442" s="1" t="s">
        <v>9769</v>
      </c>
      <c r="D442" s="1" t="s">
        <v>583</v>
      </c>
      <c r="F442" s="1">
        <v>7.0</v>
      </c>
      <c r="G442" s="1">
        <v>2935.0</v>
      </c>
      <c r="H442" s="1">
        <v>0.002</v>
      </c>
      <c r="I442" s="1">
        <v>14.92</v>
      </c>
    </row>
    <row r="443">
      <c r="A443" s="2" t="s">
        <v>9770</v>
      </c>
      <c r="B443" s="1">
        <v>200.0</v>
      </c>
      <c r="C443" s="1" t="s">
        <v>9771</v>
      </c>
      <c r="D443" s="1" t="s">
        <v>583</v>
      </c>
      <c r="F443" s="1">
        <v>0.0</v>
      </c>
      <c r="G443" s="1">
        <v>140.0</v>
      </c>
      <c r="H443" s="1">
        <v>0.0</v>
      </c>
      <c r="I443" s="1">
        <v>7.79</v>
      </c>
    </row>
    <row r="444">
      <c r="A444" s="2" t="s">
        <v>9772</v>
      </c>
      <c r="B444" s="1">
        <v>200.0</v>
      </c>
      <c r="C444" s="1" t="s">
        <v>9773</v>
      </c>
      <c r="D444" s="1" t="s">
        <v>583</v>
      </c>
      <c r="F444" s="1">
        <v>1.0</v>
      </c>
      <c r="G444" s="1">
        <v>235.0</v>
      </c>
      <c r="H444" s="1">
        <v>0.004</v>
      </c>
      <c r="I444" s="1">
        <v>29.58</v>
      </c>
    </row>
    <row r="445">
      <c r="A445" s="2" t="s">
        <v>9774</v>
      </c>
      <c r="B445" s="1">
        <v>200.0</v>
      </c>
      <c r="C445" s="1" t="s">
        <v>8986</v>
      </c>
      <c r="D445" s="1" t="s">
        <v>609</v>
      </c>
      <c r="E445" s="1" t="s">
        <v>631</v>
      </c>
      <c r="F445" s="1">
        <v>1.0</v>
      </c>
      <c r="G445" s="1">
        <v>14.0</v>
      </c>
      <c r="H445" s="1">
        <v>0.071</v>
      </c>
      <c r="I445" s="1">
        <v>7.07</v>
      </c>
    </row>
    <row r="446">
      <c r="A446" s="2" t="s">
        <v>9775</v>
      </c>
      <c r="B446" s="1">
        <v>404.0</v>
      </c>
      <c r="D446" s="1" t="s">
        <v>609</v>
      </c>
      <c r="E446" s="1" t="s">
        <v>902</v>
      </c>
    </row>
    <row r="447">
      <c r="A447" s="2" t="s">
        <v>9776</v>
      </c>
      <c r="B447" s="1">
        <v>404.0</v>
      </c>
      <c r="D447" s="1" t="s">
        <v>609</v>
      </c>
      <c r="E447" s="1" t="s">
        <v>902</v>
      </c>
    </row>
    <row r="448">
      <c r="A448" s="2" t="s">
        <v>9777</v>
      </c>
      <c r="B448" s="1">
        <v>200.0</v>
      </c>
      <c r="C448" s="1" t="s">
        <v>8986</v>
      </c>
      <c r="D448" s="1" t="s">
        <v>609</v>
      </c>
      <c r="E448" s="1" t="s">
        <v>631</v>
      </c>
    </row>
    <row r="449">
      <c r="A449" s="2" t="s">
        <v>9778</v>
      </c>
      <c r="B449" s="1">
        <v>200.0</v>
      </c>
      <c r="C449" s="1" t="s">
        <v>8986</v>
      </c>
      <c r="D449" s="1" t="s">
        <v>609</v>
      </c>
      <c r="E449" s="1" t="s">
        <v>631</v>
      </c>
      <c r="F449" s="1">
        <v>1.0</v>
      </c>
      <c r="G449" s="1">
        <v>5.0</v>
      </c>
      <c r="H449" s="1">
        <v>0.2</v>
      </c>
      <c r="I449" s="1">
        <v>5.2</v>
      </c>
    </row>
    <row r="450">
      <c r="A450" s="2" t="s">
        <v>9779</v>
      </c>
      <c r="B450" s="1">
        <v>200.0</v>
      </c>
      <c r="C450" s="1" t="s">
        <v>8988</v>
      </c>
      <c r="D450" s="1" t="s">
        <v>609</v>
      </c>
      <c r="E450" s="1" t="s">
        <v>631</v>
      </c>
    </row>
    <row r="451">
      <c r="A451" s="2" t="s">
        <v>9780</v>
      </c>
      <c r="B451" s="1">
        <v>200.0</v>
      </c>
      <c r="C451" s="1" t="s">
        <v>8988</v>
      </c>
      <c r="D451" s="1" t="s">
        <v>609</v>
      </c>
      <c r="E451" s="1" t="s">
        <v>631</v>
      </c>
      <c r="F451" s="1">
        <v>0.0</v>
      </c>
      <c r="G451" s="1">
        <v>7.0</v>
      </c>
      <c r="H451" s="1">
        <v>0.0</v>
      </c>
      <c r="I451" s="1">
        <v>44.14</v>
      </c>
    </row>
    <row r="452">
      <c r="A452" s="2" t="s">
        <v>9781</v>
      </c>
      <c r="B452" s="1">
        <v>200.0</v>
      </c>
      <c r="C452" s="1" t="s">
        <v>8988</v>
      </c>
      <c r="D452" s="1" t="s">
        <v>609</v>
      </c>
      <c r="E452" s="1" t="s">
        <v>631</v>
      </c>
      <c r="F452" s="1">
        <v>0.0</v>
      </c>
      <c r="G452" s="1">
        <v>46.0</v>
      </c>
      <c r="H452" s="1">
        <v>0.0</v>
      </c>
      <c r="I452" s="1">
        <v>28.48</v>
      </c>
    </row>
    <row r="453">
      <c r="A453" s="2" t="s">
        <v>9782</v>
      </c>
      <c r="B453" s="1">
        <v>200.0</v>
      </c>
      <c r="C453" s="1" t="s">
        <v>8988</v>
      </c>
      <c r="D453" s="1" t="s">
        <v>609</v>
      </c>
      <c r="E453" s="1" t="s">
        <v>631</v>
      </c>
      <c r="F453" s="1">
        <v>0.0</v>
      </c>
      <c r="G453" s="1">
        <v>5.0</v>
      </c>
      <c r="H453" s="1">
        <v>0.0</v>
      </c>
      <c r="I453" s="1">
        <v>6.2</v>
      </c>
    </row>
    <row r="454">
      <c r="A454" s="2" t="s">
        <v>9783</v>
      </c>
      <c r="B454" s="1">
        <v>404.0</v>
      </c>
      <c r="D454" s="1" t="s">
        <v>609</v>
      </c>
      <c r="E454" s="1" t="s">
        <v>902</v>
      </c>
    </row>
    <row r="455">
      <c r="A455" s="2" t="s">
        <v>9784</v>
      </c>
      <c r="B455" s="1">
        <v>200.0</v>
      </c>
      <c r="C455" s="1" t="s">
        <v>9785</v>
      </c>
      <c r="D455" s="1" t="s">
        <v>583</v>
      </c>
      <c r="F455" s="1">
        <v>0.0</v>
      </c>
      <c r="G455" s="1">
        <v>65.0</v>
      </c>
      <c r="H455" s="1">
        <v>0.0</v>
      </c>
      <c r="I455" s="1">
        <v>57.52</v>
      </c>
    </row>
    <row r="456">
      <c r="A456" s="2" t="s">
        <v>9786</v>
      </c>
      <c r="B456" s="1">
        <v>200.0</v>
      </c>
      <c r="C456" s="1" t="s">
        <v>9787</v>
      </c>
      <c r="D456" s="1" t="s">
        <v>583</v>
      </c>
      <c r="F456" s="1">
        <v>101.0</v>
      </c>
      <c r="G456" s="1">
        <v>46796.0</v>
      </c>
      <c r="H456" s="1">
        <v>0.002</v>
      </c>
      <c r="I456" s="1">
        <v>15.57</v>
      </c>
    </row>
    <row r="457">
      <c r="A457" s="2" t="s">
        <v>9788</v>
      </c>
      <c r="B457" s="1">
        <v>200.0</v>
      </c>
      <c r="C457" s="1" t="s">
        <v>9789</v>
      </c>
      <c r="D457" s="1" t="s">
        <v>583</v>
      </c>
    </row>
    <row r="458">
      <c r="A458" s="2" t="s">
        <v>9790</v>
      </c>
      <c r="B458" s="1">
        <v>301.0</v>
      </c>
      <c r="D458" s="1" t="s">
        <v>609</v>
      </c>
      <c r="E458" s="1" t="s">
        <v>610</v>
      </c>
    </row>
    <row r="459">
      <c r="A459" s="2" t="s">
        <v>9791</v>
      </c>
      <c r="B459" s="1">
        <v>200.0</v>
      </c>
      <c r="C459" s="1" t="s">
        <v>9294</v>
      </c>
      <c r="D459" s="1" t="s">
        <v>609</v>
      </c>
      <c r="E459" s="1" t="s">
        <v>631</v>
      </c>
    </row>
    <row r="460">
      <c r="A460" s="2" t="s">
        <v>9792</v>
      </c>
      <c r="B460" s="1">
        <v>200.0</v>
      </c>
      <c r="C460" s="1" t="s">
        <v>9085</v>
      </c>
      <c r="D460" s="1" t="s">
        <v>609</v>
      </c>
      <c r="E460" s="1" t="s">
        <v>631</v>
      </c>
    </row>
    <row r="461">
      <c r="A461" s="2" t="s">
        <v>9793</v>
      </c>
      <c r="B461" s="1">
        <v>200.0</v>
      </c>
      <c r="C461" s="1" t="s">
        <v>9056</v>
      </c>
      <c r="D461" s="1" t="s">
        <v>609</v>
      </c>
      <c r="E461" s="1" t="s">
        <v>631</v>
      </c>
    </row>
    <row r="462">
      <c r="A462" s="2" t="s">
        <v>9794</v>
      </c>
      <c r="B462" s="1">
        <v>200.0</v>
      </c>
      <c r="C462" s="1" t="s">
        <v>9225</v>
      </c>
      <c r="D462" s="1" t="s">
        <v>609</v>
      </c>
      <c r="E462" s="1" t="s">
        <v>631</v>
      </c>
    </row>
    <row r="463">
      <c r="A463" s="2" t="s">
        <v>9795</v>
      </c>
      <c r="B463" s="1">
        <v>200.0</v>
      </c>
      <c r="C463" s="1" t="s">
        <v>9796</v>
      </c>
      <c r="D463" s="1" t="s">
        <v>583</v>
      </c>
      <c r="F463" s="1">
        <v>6.0</v>
      </c>
      <c r="G463" s="1">
        <v>2915.0</v>
      </c>
      <c r="H463" s="1">
        <v>0.002</v>
      </c>
      <c r="I463" s="1">
        <v>53.06</v>
      </c>
    </row>
    <row r="464">
      <c r="A464" s="2" t="s">
        <v>9797</v>
      </c>
      <c r="B464" s="1">
        <v>200.0</v>
      </c>
      <c r="C464" s="1" t="s">
        <v>8986</v>
      </c>
      <c r="D464" s="1" t="s">
        <v>609</v>
      </c>
      <c r="E464" s="1" t="s">
        <v>631</v>
      </c>
    </row>
    <row r="465">
      <c r="A465" s="2" t="s">
        <v>9798</v>
      </c>
      <c r="B465" s="1">
        <v>200.0</v>
      </c>
      <c r="C465" s="1" t="s">
        <v>9799</v>
      </c>
      <c r="D465" s="1" t="s">
        <v>583</v>
      </c>
      <c r="F465" s="1">
        <v>31.0</v>
      </c>
      <c r="G465" s="1">
        <v>14465.0</v>
      </c>
      <c r="H465" s="1">
        <v>0.002</v>
      </c>
      <c r="I465" s="1">
        <v>21.97</v>
      </c>
    </row>
    <row r="466">
      <c r="A466" s="2" t="s">
        <v>9800</v>
      </c>
      <c r="B466" s="1">
        <v>200.0</v>
      </c>
      <c r="C466" s="1" t="s">
        <v>9801</v>
      </c>
      <c r="D466" s="1" t="s">
        <v>583</v>
      </c>
      <c r="F466" s="1">
        <v>388.0</v>
      </c>
      <c r="G466" s="1">
        <v>135319.0</v>
      </c>
      <c r="H466" s="1">
        <v>0.003</v>
      </c>
      <c r="I466" s="1">
        <v>40.05</v>
      </c>
    </row>
    <row r="467">
      <c r="A467" s="2" t="s">
        <v>9802</v>
      </c>
      <c r="B467" s="1">
        <v>200.0</v>
      </c>
      <c r="C467" s="1" t="s">
        <v>8992</v>
      </c>
      <c r="D467" s="1" t="s">
        <v>609</v>
      </c>
      <c r="E467" s="1" t="s">
        <v>631</v>
      </c>
      <c r="F467" s="1">
        <v>0.0</v>
      </c>
      <c r="G467" s="1">
        <v>3.0</v>
      </c>
      <c r="H467" s="1">
        <v>0.0</v>
      </c>
      <c r="I467" s="1">
        <v>6.0</v>
      </c>
    </row>
    <row r="468">
      <c r="A468" s="2" t="s">
        <v>9803</v>
      </c>
      <c r="B468" s="1">
        <v>404.0</v>
      </c>
      <c r="D468" s="1" t="s">
        <v>609</v>
      </c>
      <c r="E468" s="1" t="s">
        <v>902</v>
      </c>
    </row>
    <row r="469">
      <c r="A469" s="2" t="s">
        <v>9804</v>
      </c>
      <c r="B469" s="1">
        <v>200.0</v>
      </c>
      <c r="C469" s="1" t="s">
        <v>8992</v>
      </c>
      <c r="D469" s="1" t="s">
        <v>609</v>
      </c>
      <c r="E469" s="1" t="s">
        <v>631</v>
      </c>
      <c r="F469" s="1">
        <v>0.0</v>
      </c>
      <c r="G469" s="1">
        <v>7.0</v>
      </c>
      <c r="H469" s="1">
        <v>0.0</v>
      </c>
      <c r="I469" s="1">
        <v>48.71</v>
      </c>
    </row>
    <row r="470">
      <c r="A470" s="2" t="s">
        <v>9805</v>
      </c>
      <c r="B470" s="1">
        <v>200.0</v>
      </c>
      <c r="C470" s="1" t="s">
        <v>8992</v>
      </c>
      <c r="D470" s="1" t="s">
        <v>609</v>
      </c>
      <c r="E470" s="1" t="s">
        <v>631</v>
      </c>
      <c r="F470" s="1">
        <v>0.0</v>
      </c>
      <c r="G470" s="1">
        <v>4.0</v>
      </c>
      <c r="H470" s="1">
        <v>0.0</v>
      </c>
      <c r="I470" s="1">
        <v>36.25</v>
      </c>
    </row>
    <row r="471">
      <c r="A471" s="2" t="s">
        <v>9806</v>
      </c>
      <c r="B471" s="1">
        <v>404.0</v>
      </c>
      <c r="D471" s="1" t="s">
        <v>609</v>
      </c>
      <c r="E471" s="1" t="s">
        <v>902</v>
      </c>
    </row>
    <row r="472">
      <c r="A472" s="2" t="s">
        <v>9807</v>
      </c>
      <c r="B472" s="1">
        <v>404.0</v>
      </c>
      <c r="D472" s="1" t="s">
        <v>609</v>
      </c>
      <c r="E472" s="1" t="s">
        <v>902</v>
      </c>
    </row>
    <row r="473">
      <c r="A473" s="2" t="s">
        <v>9808</v>
      </c>
      <c r="B473" s="1">
        <v>404.0</v>
      </c>
      <c r="D473" s="1" t="s">
        <v>609</v>
      </c>
      <c r="E473" s="1" t="s">
        <v>902</v>
      </c>
    </row>
    <row r="474">
      <c r="A474" s="2" t="s">
        <v>9809</v>
      </c>
      <c r="B474" s="1">
        <v>200.0</v>
      </c>
      <c r="C474" s="1" t="s">
        <v>8994</v>
      </c>
      <c r="D474" s="1" t="s">
        <v>609</v>
      </c>
      <c r="E474" s="1" t="s">
        <v>631</v>
      </c>
      <c r="F474" s="1">
        <v>1.0</v>
      </c>
      <c r="G474" s="1">
        <v>38.0</v>
      </c>
      <c r="H474" s="1">
        <v>0.026</v>
      </c>
      <c r="I474" s="1">
        <v>16.24</v>
      </c>
    </row>
    <row r="475">
      <c r="A475" s="2" t="s">
        <v>9810</v>
      </c>
      <c r="B475" s="1">
        <v>200.0</v>
      </c>
      <c r="C475" s="1" t="s">
        <v>8992</v>
      </c>
      <c r="D475" s="1" t="s">
        <v>609</v>
      </c>
      <c r="E475" s="1" t="s">
        <v>631</v>
      </c>
      <c r="F475" s="1">
        <v>0.0</v>
      </c>
      <c r="G475" s="1">
        <v>11.0</v>
      </c>
      <c r="H475" s="1">
        <v>0.0</v>
      </c>
      <c r="I475" s="1">
        <v>36.36</v>
      </c>
    </row>
    <row r="476">
      <c r="A476" s="2" t="s">
        <v>404</v>
      </c>
      <c r="B476" s="1">
        <v>200.0</v>
      </c>
      <c r="C476" s="1" t="s">
        <v>9811</v>
      </c>
      <c r="D476" s="1" t="s">
        <v>583</v>
      </c>
      <c r="F476" s="1">
        <v>16.0</v>
      </c>
      <c r="G476" s="1">
        <v>1153.0</v>
      </c>
      <c r="H476" s="1">
        <v>0.014</v>
      </c>
      <c r="I476" s="1">
        <v>13.23</v>
      </c>
    </row>
    <row r="477">
      <c r="A477" s="2" t="s">
        <v>9812</v>
      </c>
      <c r="B477" s="1">
        <v>200.0</v>
      </c>
      <c r="C477" s="1" t="s">
        <v>8994</v>
      </c>
      <c r="D477" s="1" t="s">
        <v>609</v>
      </c>
      <c r="E477" s="1" t="s">
        <v>631</v>
      </c>
      <c r="F477" s="1">
        <v>0.0</v>
      </c>
      <c r="G477" s="1">
        <v>13.0</v>
      </c>
      <c r="H477" s="1">
        <v>0.0</v>
      </c>
      <c r="I477" s="1">
        <v>15.38</v>
      </c>
    </row>
    <row r="478">
      <c r="A478" s="2" t="s">
        <v>9813</v>
      </c>
      <c r="B478" s="1">
        <v>200.0</v>
      </c>
      <c r="C478" s="1" t="s">
        <v>8994</v>
      </c>
      <c r="D478" s="1" t="s">
        <v>609</v>
      </c>
      <c r="E478" s="1" t="s">
        <v>631</v>
      </c>
      <c r="F478" s="1">
        <v>0.0</v>
      </c>
      <c r="G478" s="1">
        <v>2.0</v>
      </c>
      <c r="H478" s="1">
        <v>0.0</v>
      </c>
      <c r="I478" s="1">
        <v>50.0</v>
      </c>
    </row>
    <row r="479">
      <c r="A479" s="2" t="s">
        <v>9814</v>
      </c>
      <c r="B479" s="1">
        <v>200.0</v>
      </c>
      <c r="C479" s="1" t="s">
        <v>8996</v>
      </c>
      <c r="D479" s="1" t="s">
        <v>609</v>
      </c>
      <c r="E479" s="1" t="s">
        <v>930</v>
      </c>
    </row>
    <row r="480">
      <c r="A480" s="2" t="s">
        <v>9815</v>
      </c>
      <c r="B480" s="1">
        <v>200.0</v>
      </c>
      <c r="C480" s="1" t="s">
        <v>8996</v>
      </c>
      <c r="D480" s="1" t="s">
        <v>609</v>
      </c>
      <c r="E480" s="1" t="s">
        <v>930</v>
      </c>
    </row>
    <row r="481">
      <c r="A481" s="2" t="s">
        <v>9816</v>
      </c>
      <c r="B481" s="1">
        <v>404.0</v>
      </c>
      <c r="D481" s="1" t="s">
        <v>609</v>
      </c>
      <c r="E481" s="1" t="s">
        <v>902</v>
      </c>
    </row>
    <row r="482">
      <c r="A482" s="2" t="s">
        <v>9817</v>
      </c>
      <c r="B482" s="1">
        <v>200.0</v>
      </c>
      <c r="C482" s="1" t="s">
        <v>8996</v>
      </c>
      <c r="D482" s="1" t="s">
        <v>609</v>
      </c>
      <c r="E482" s="1" t="s">
        <v>930</v>
      </c>
    </row>
    <row r="483">
      <c r="A483" s="2" t="s">
        <v>9818</v>
      </c>
      <c r="B483" s="1">
        <v>200.0</v>
      </c>
      <c r="C483" s="1" t="s">
        <v>9819</v>
      </c>
      <c r="D483" s="1" t="s">
        <v>583</v>
      </c>
      <c r="F483" s="1">
        <v>70.0</v>
      </c>
      <c r="G483" s="1">
        <v>1644.0</v>
      </c>
      <c r="H483" s="1">
        <v>0.043</v>
      </c>
      <c r="I483" s="1">
        <v>9.0</v>
      </c>
    </row>
    <row r="484">
      <c r="A484" s="2" t="s">
        <v>9820</v>
      </c>
      <c r="B484" s="1">
        <v>200.0</v>
      </c>
      <c r="C484" s="1" t="s">
        <v>8996</v>
      </c>
      <c r="D484" s="1" t="s">
        <v>609</v>
      </c>
      <c r="E484" s="1" t="s">
        <v>930</v>
      </c>
    </row>
    <row r="485">
      <c r="A485" s="2" t="s">
        <v>9821</v>
      </c>
      <c r="B485" s="1">
        <v>200.0</v>
      </c>
      <c r="C485" s="1" t="s">
        <v>9822</v>
      </c>
      <c r="D485" s="1" t="s">
        <v>583</v>
      </c>
      <c r="F485" s="1">
        <v>14.0</v>
      </c>
      <c r="G485" s="1">
        <v>3076.0</v>
      </c>
      <c r="H485" s="1">
        <v>0.005</v>
      </c>
      <c r="I485" s="1">
        <v>6.2</v>
      </c>
    </row>
    <row r="486">
      <c r="A486" s="2" t="s">
        <v>9823</v>
      </c>
      <c r="B486" s="1">
        <v>200.0</v>
      </c>
      <c r="C486" s="1" t="s">
        <v>9824</v>
      </c>
      <c r="D486" s="1" t="s">
        <v>583</v>
      </c>
      <c r="F486" s="1">
        <v>58.0</v>
      </c>
      <c r="G486" s="1">
        <v>2876.0</v>
      </c>
      <c r="H486" s="1">
        <v>0.02</v>
      </c>
      <c r="I486" s="1">
        <v>20.14</v>
      </c>
    </row>
    <row r="487">
      <c r="A487" s="2" t="s">
        <v>9825</v>
      </c>
      <c r="B487" s="1">
        <v>200.0</v>
      </c>
      <c r="C487" s="1" t="s">
        <v>9826</v>
      </c>
      <c r="D487" s="1" t="s">
        <v>583</v>
      </c>
      <c r="F487" s="1">
        <v>107.0</v>
      </c>
      <c r="G487" s="1">
        <v>2042.0</v>
      </c>
      <c r="H487" s="1">
        <v>0.052</v>
      </c>
      <c r="I487" s="1">
        <v>13.28</v>
      </c>
    </row>
    <row r="488">
      <c r="A488" s="2" t="s">
        <v>9827</v>
      </c>
      <c r="B488" s="1">
        <v>200.0</v>
      </c>
      <c r="C488" s="1" t="s">
        <v>9828</v>
      </c>
      <c r="D488" s="1" t="s">
        <v>583</v>
      </c>
      <c r="F488" s="1">
        <v>81.0</v>
      </c>
      <c r="G488" s="1">
        <v>2092.0</v>
      </c>
      <c r="H488" s="1">
        <v>0.039</v>
      </c>
      <c r="I488" s="1">
        <v>12.71</v>
      </c>
    </row>
    <row r="489">
      <c r="A489" s="2" t="s">
        <v>9829</v>
      </c>
      <c r="B489" s="1">
        <v>200.0</v>
      </c>
      <c r="C489" s="1" t="s">
        <v>9830</v>
      </c>
      <c r="D489" s="1" t="s">
        <v>583</v>
      </c>
      <c r="F489" s="1">
        <v>66.0</v>
      </c>
      <c r="G489" s="1">
        <v>2915.0</v>
      </c>
      <c r="H489" s="1">
        <v>0.023</v>
      </c>
      <c r="I489" s="1">
        <v>13.26</v>
      </c>
    </row>
    <row r="490">
      <c r="A490" s="2" t="s">
        <v>9831</v>
      </c>
      <c r="B490" s="1">
        <v>200.0</v>
      </c>
      <c r="C490" s="1" t="s">
        <v>8996</v>
      </c>
      <c r="D490" s="1" t="s">
        <v>583</v>
      </c>
      <c r="F490" s="1">
        <v>2.0</v>
      </c>
      <c r="G490" s="1">
        <v>271.0</v>
      </c>
      <c r="H490" s="1">
        <v>0.007</v>
      </c>
      <c r="I490" s="1">
        <v>15.49</v>
      </c>
    </row>
    <row r="491">
      <c r="A491" s="2" t="s">
        <v>9832</v>
      </c>
      <c r="B491" s="1">
        <v>200.0</v>
      </c>
      <c r="C491" s="1" t="s">
        <v>8994</v>
      </c>
      <c r="D491" s="1" t="s">
        <v>609</v>
      </c>
      <c r="E491" s="1" t="s">
        <v>631</v>
      </c>
      <c r="F491" s="1">
        <v>0.0</v>
      </c>
      <c r="G491" s="1">
        <v>4.0</v>
      </c>
      <c r="H491" s="1">
        <v>0.0</v>
      </c>
      <c r="I491" s="1">
        <v>10.75</v>
      </c>
    </row>
    <row r="492">
      <c r="A492" s="2" t="s">
        <v>9833</v>
      </c>
      <c r="B492" s="1">
        <v>200.0</v>
      </c>
      <c r="C492" s="1" t="s">
        <v>9834</v>
      </c>
      <c r="D492" s="1" t="s">
        <v>583</v>
      </c>
      <c r="F492" s="1">
        <v>35.0</v>
      </c>
      <c r="G492" s="1">
        <v>966.0</v>
      </c>
      <c r="H492" s="1">
        <v>0.036</v>
      </c>
      <c r="I492" s="1">
        <v>20.09</v>
      </c>
    </row>
    <row r="493">
      <c r="A493" s="2" t="s">
        <v>9835</v>
      </c>
      <c r="B493" s="1">
        <v>200.0</v>
      </c>
      <c r="C493" s="1" t="s">
        <v>9836</v>
      </c>
      <c r="D493" s="1" t="s">
        <v>583</v>
      </c>
      <c r="F493" s="1">
        <v>55.0</v>
      </c>
      <c r="G493" s="1">
        <v>4175.0</v>
      </c>
      <c r="H493" s="1">
        <v>0.013</v>
      </c>
      <c r="I493" s="1">
        <v>8.66</v>
      </c>
    </row>
    <row r="494">
      <c r="A494" s="2" t="s">
        <v>9837</v>
      </c>
      <c r="B494" s="1">
        <v>200.0</v>
      </c>
      <c r="C494" s="1" t="s">
        <v>9838</v>
      </c>
      <c r="D494" s="1" t="s">
        <v>583</v>
      </c>
      <c r="F494" s="1">
        <v>8.0</v>
      </c>
      <c r="G494" s="1">
        <v>355.0</v>
      </c>
      <c r="H494" s="1">
        <v>0.022</v>
      </c>
      <c r="I494" s="1">
        <v>7.17</v>
      </c>
    </row>
    <row r="495">
      <c r="A495" s="2" t="s">
        <v>9839</v>
      </c>
      <c r="B495" s="1">
        <v>200.0</v>
      </c>
      <c r="C495" s="1" t="s">
        <v>9840</v>
      </c>
      <c r="D495" s="1" t="s">
        <v>583</v>
      </c>
      <c r="F495" s="1">
        <v>14.0</v>
      </c>
      <c r="G495" s="1">
        <v>414.0</v>
      </c>
      <c r="H495" s="1">
        <v>0.034</v>
      </c>
      <c r="I495" s="1">
        <v>13.3</v>
      </c>
    </row>
    <row r="496">
      <c r="A496" s="2" t="s">
        <v>9841</v>
      </c>
      <c r="B496" s="1">
        <v>200.0</v>
      </c>
      <c r="C496" s="1" t="s">
        <v>9842</v>
      </c>
      <c r="D496" s="1" t="s">
        <v>583</v>
      </c>
      <c r="F496" s="1">
        <v>11.0</v>
      </c>
      <c r="G496" s="1">
        <v>604.0</v>
      </c>
      <c r="H496" s="1">
        <v>0.018</v>
      </c>
      <c r="I496" s="1">
        <v>24.65</v>
      </c>
    </row>
    <row r="497">
      <c r="A497" s="2" t="s">
        <v>9843</v>
      </c>
      <c r="B497" s="1">
        <v>200.0</v>
      </c>
      <c r="C497" s="1" t="s">
        <v>9844</v>
      </c>
      <c r="D497" s="1" t="s">
        <v>583</v>
      </c>
      <c r="F497" s="1">
        <v>5.0</v>
      </c>
      <c r="G497" s="1">
        <v>498.0</v>
      </c>
      <c r="H497" s="1">
        <v>0.01</v>
      </c>
      <c r="I497" s="1">
        <v>10.37</v>
      </c>
    </row>
    <row r="498">
      <c r="A498" s="2" t="s">
        <v>9845</v>
      </c>
      <c r="B498" s="1">
        <v>200.0</v>
      </c>
      <c r="C498" s="1" t="s">
        <v>9846</v>
      </c>
      <c r="D498" s="1" t="s">
        <v>583</v>
      </c>
      <c r="F498" s="1">
        <v>15.0</v>
      </c>
      <c r="G498" s="1">
        <v>370.0</v>
      </c>
      <c r="H498" s="1">
        <v>0.041</v>
      </c>
      <c r="I498" s="1">
        <v>10.42</v>
      </c>
    </row>
    <row r="499">
      <c r="A499" s="2" t="s">
        <v>9847</v>
      </c>
      <c r="B499" s="1">
        <v>200.0</v>
      </c>
      <c r="C499" s="1" t="s">
        <v>9848</v>
      </c>
      <c r="D499" s="1" t="s">
        <v>583</v>
      </c>
      <c r="F499" s="1">
        <v>0.0</v>
      </c>
      <c r="G499" s="1">
        <v>137.0</v>
      </c>
      <c r="H499" s="1">
        <v>0.0</v>
      </c>
      <c r="I499" s="1">
        <v>16.69</v>
      </c>
    </row>
    <row r="500">
      <c r="A500" s="2" t="s">
        <v>9849</v>
      </c>
      <c r="B500" s="1">
        <v>200.0</v>
      </c>
      <c r="C500" s="1" t="s">
        <v>9850</v>
      </c>
      <c r="D500" s="1" t="s">
        <v>583</v>
      </c>
      <c r="F500" s="1">
        <v>3.0</v>
      </c>
      <c r="G500" s="1">
        <v>369.0</v>
      </c>
      <c r="H500" s="1">
        <v>0.008</v>
      </c>
      <c r="I500" s="1">
        <v>14.98</v>
      </c>
    </row>
    <row r="501">
      <c r="A501" s="2" t="s">
        <v>9851</v>
      </c>
      <c r="B501" s="1">
        <v>200.0</v>
      </c>
      <c r="C501" s="1" t="s">
        <v>9852</v>
      </c>
      <c r="D501" s="1" t="s">
        <v>583</v>
      </c>
      <c r="F501" s="1">
        <v>65.0</v>
      </c>
      <c r="G501" s="1">
        <v>1838.0</v>
      </c>
      <c r="H501" s="1">
        <v>0.035</v>
      </c>
      <c r="I501" s="1">
        <v>17.09</v>
      </c>
    </row>
    <row r="502">
      <c r="A502" s="2" t="s">
        <v>9853</v>
      </c>
      <c r="B502" s="1">
        <v>200.0</v>
      </c>
      <c r="C502" s="1" t="s">
        <v>9854</v>
      </c>
      <c r="D502" s="1" t="s">
        <v>583</v>
      </c>
      <c r="F502" s="1">
        <v>63.0</v>
      </c>
      <c r="G502" s="1">
        <v>1069.0</v>
      </c>
      <c r="H502" s="1">
        <v>0.059</v>
      </c>
      <c r="I502" s="1">
        <v>31.35</v>
      </c>
    </row>
    <row r="503">
      <c r="A503" s="2" t="s">
        <v>9855</v>
      </c>
      <c r="B503" s="1">
        <v>200.0</v>
      </c>
      <c r="C503" s="1" t="s">
        <v>9856</v>
      </c>
      <c r="D503" s="1" t="s">
        <v>583</v>
      </c>
    </row>
    <row r="504">
      <c r="A504" s="2" t="s">
        <v>9857</v>
      </c>
      <c r="B504" s="1">
        <v>200.0</v>
      </c>
      <c r="C504" s="1" t="s">
        <v>9858</v>
      </c>
      <c r="D504" s="1" t="s">
        <v>583</v>
      </c>
      <c r="F504" s="1">
        <v>66.0</v>
      </c>
      <c r="G504" s="1">
        <v>1267.0</v>
      </c>
      <c r="H504" s="1">
        <v>0.052</v>
      </c>
      <c r="I504" s="1">
        <v>17.52</v>
      </c>
    </row>
    <row r="505">
      <c r="A505" s="2" t="s">
        <v>9859</v>
      </c>
      <c r="B505" s="1">
        <v>200.0</v>
      </c>
      <c r="C505" s="1" t="s">
        <v>9860</v>
      </c>
      <c r="D505" s="1" t="s">
        <v>583</v>
      </c>
      <c r="F505" s="1">
        <v>12.0</v>
      </c>
      <c r="G505" s="1">
        <v>489.0</v>
      </c>
      <c r="H505" s="1">
        <v>0.025</v>
      </c>
      <c r="I505" s="1">
        <v>11.46</v>
      </c>
    </row>
    <row r="506">
      <c r="A506" s="2" t="s">
        <v>9861</v>
      </c>
      <c r="B506" s="1">
        <v>200.0</v>
      </c>
      <c r="C506" s="1" t="s">
        <v>9862</v>
      </c>
      <c r="D506" s="1" t="s">
        <v>583</v>
      </c>
      <c r="F506" s="1">
        <v>39.0</v>
      </c>
      <c r="G506" s="1">
        <v>2584.0</v>
      </c>
      <c r="H506" s="1">
        <v>0.015</v>
      </c>
      <c r="I506" s="1">
        <v>11.38</v>
      </c>
    </row>
    <row r="507">
      <c r="A507" s="2" t="s">
        <v>9863</v>
      </c>
      <c r="B507" s="1">
        <v>200.0</v>
      </c>
      <c r="C507" s="1" t="s">
        <v>9864</v>
      </c>
      <c r="D507" s="1" t="s">
        <v>583</v>
      </c>
      <c r="F507" s="1">
        <v>8.0</v>
      </c>
      <c r="G507" s="1">
        <v>582.0</v>
      </c>
      <c r="H507" s="1">
        <v>0.014</v>
      </c>
      <c r="I507" s="1">
        <v>10.86</v>
      </c>
    </row>
    <row r="508">
      <c r="A508" s="2" t="s">
        <v>9865</v>
      </c>
      <c r="B508" s="1">
        <v>200.0</v>
      </c>
      <c r="C508" s="1" t="s">
        <v>9866</v>
      </c>
      <c r="D508" s="1" t="s">
        <v>583</v>
      </c>
      <c r="F508" s="1">
        <v>2.0</v>
      </c>
      <c r="G508" s="1">
        <v>51.0</v>
      </c>
      <c r="H508" s="1">
        <v>0.039</v>
      </c>
      <c r="I508" s="1">
        <v>13.65</v>
      </c>
    </row>
    <row r="509">
      <c r="A509" s="2" t="s">
        <v>9867</v>
      </c>
      <c r="B509" s="1">
        <v>200.0</v>
      </c>
      <c r="C509" s="1" t="s">
        <v>9868</v>
      </c>
      <c r="D509" s="1" t="s">
        <v>583</v>
      </c>
      <c r="F509" s="1">
        <v>31.0</v>
      </c>
      <c r="G509" s="1">
        <v>1013.0</v>
      </c>
      <c r="H509" s="1">
        <v>0.031</v>
      </c>
      <c r="I509" s="1">
        <v>16.61</v>
      </c>
    </row>
    <row r="510">
      <c r="A510" s="2" t="s">
        <v>9869</v>
      </c>
      <c r="B510" s="1">
        <v>200.0</v>
      </c>
      <c r="C510" s="1" t="s">
        <v>9870</v>
      </c>
      <c r="D510" s="1" t="s">
        <v>583</v>
      </c>
      <c r="F510" s="1">
        <v>16.0</v>
      </c>
      <c r="G510" s="1">
        <v>464.0</v>
      </c>
      <c r="H510" s="1">
        <v>0.035</v>
      </c>
      <c r="I510" s="1">
        <v>4.79</v>
      </c>
    </row>
    <row r="511">
      <c r="A511" s="2" t="s">
        <v>9871</v>
      </c>
      <c r="B511" s="1">
        <v>200.0</v>
      </c>
      <c r="C511" s="1" t="s">
        <v>9872</v>
      </c>
      <c r="D511" s="1" t="s">
        <v>583</v>
      </c>
      <c r="F511" s="1">
        <v>7.0</v>
      </c>
      <c r="G511" s="1">
        <v>486.0</v>
      </c>
      <c r="H511" s="1">
        <v>0.014</v>
      </c>
      <c r="I511" s="1">
        <v>8.55</v>
      </c>
    </row>
    <row r="512">
      <c r="A512" s="2" t="s">
        <v>9873</v>
      </c>
      <c r="B512" s="1">
        <v>200.0</v>
      </c>
      <c r="C512" s="1" t="s">
        <v>9874</v>
      </c>
      <c r="D512" s="1" t="s">
        <v>583</v>
      </c>
      <c r="F512" s="1">
        <v>28.0</v>
      </c>
      <c r="G512" s="1">
        <v>246.0</v>
      </c>
      <c r="H512" s="1">
        <v>0.114</v>
      </c>
      <c r="I512" s="1">
        <v>7.89</v>
      </c>
    </row>
    <row r="513">
      <c r="A513" s="2" t="s">
        <v>9875</v>
      </c>
      <c r="B513" s="1">
        <v>200.0</v>
      </c>
      <c r="C513" s="1" t="s">
        <v>9876</v>
      </c>
      <c r="D513" s="1" t="s">
        <v>583</v>
      </c>
      <c r="F513" s="1">
        <v>9.0</v>
      </c>
      <c r="G513" s="1">
        <v>397.0</v>
      </c>
      <c r="H513" s="1">
        <v>0.023</v>
      </c>
      <c r="I513" s="1">
        <v>9.1</v>
      </c>
    </row>
    <row r="514">
      <c r="A514" s="2" t="s">
        <v>9877</v>
      </c>
      <c r="B514" s="1">
        <v>200.0</v>
      </c>
      <c r="C514" s="1" t="s">
        <v>9878</v>
      </c>
      <c r="D514" s="1" t="s">
        <v>583</v>
      </c>
      <c r="F514" s="1">
        <v>51.0</v>
      </c>
      <c r="G514" s="1">
        <v>1794.0</v>
      </c>
      <c r="H514" s="1">
        <v>0.028</v>
      </c>
      <c r="I514" s="1">
        <v>17.81</v>
      </c>
    </row>
    <row r="515">
      <c r="A515" s="2" t="s">
        <v>9879</v>
      </c>
      <c r="B515" s="1">
        <v>200.0</v>
      </c>
      <c r="C515" s="1" t="s">
        <v>9880</v>
      </c>
      <c r="D515" s="1" t="s">
        <v>583</v>
      </c>
      <c r="F515" s="1">
        <v>13.0</v>
      </c>
      <c r="G515" s="1">
        <v>263.0</v>
      </c>
      <c r="H515" s="1">
        <v>0.049</v>
      </c>
      <c r="I515" s="1">
        <v>15.33</v>
      </c>
    </row>
    <row r="516">
      <c r="A516" s="2" t="s">
        <v>9881</v>
      </c>
      <c r="B516" s="1">
        <v>200.0</v>
      </c>
      <c r="C516" s="1" t="s">
        <v>9882</v>
      </c>
      <c r="D516" s="1" t="s">
        <v>583</v>
      </c>
      <c r="F516" s="1">
        <v>9.0</v>
      </c>
      <c r="G516" s="1">
        <v>504.0</v>
      </c>
      <c r="H516" s="1">
        <v>0.018</v>
      </c>
      <c r="I516" s="1">
        <v>6.37</v>
      </c>
    </row>
    <row r="517">
      <c r="A517" s="2" t="s">
        <v>9883</v>
      </c>
      <c r="B517" s="1">
        <v>200.0</v>
      </c>
      <c r="C517" s="1" t="s">
        <v>9884</v>
      </c>
      <c r="D517" s="1" t="s">
        <v>583</v>
      </c>
      <c r="F517" s="1">
        <v>35.0</v>
      </c>
      <c r="G517" s="1">
        <v>3040.0</v>
      </c>
      <c r="H517" s="1">
        <v>0.011</v>
      </c>
      <c r="I517" s="1">
        <v>19.78</v>
      </c>
    </row>
    <row r="518">
      <c r="A518" s="2" t="s">
        <v>9885</v>
      </c>
      <c r="B518" s="1">
        <v>200.0</v>
      </c>
      <c r="C518" s="1" t="s">
        <v>9886</v>
      </c>
      <c r="D518" s="1" t="s">
        <v>583</v>
      </c>
      <c r="F518" s="1">
        <v>6.0</v>
      </c>
      <c r="G518" s="1">
        <v>633.0</v>
      </c>
      <c r="H518" s="1">
        <v>0.009</v>
      </c>
      <c r="I518" s="1">
        <v>10.0</v>
      </c>
    </row>
    <row r="519">
      <c r="A519" s="2" t="s">
        <v>9887</v>
      </c>
      <c r="B519" s="1">
        <v>200.0</v>
      </c>
      <c r="C519" s="1" t="s">
        <v>9888</v>
      </c>
      <c r="D519" s="1" t="s">
        <v>583</v>
      </c>
      <c r="F519" s="1">
        <v>4.0</v>
      </c>
      <c r="G519" s="1">
        <v>452.0</v>
      </c>
      <c r="H519" s="1">
        <v>0.009</v>
      </c>
      <c r="I519" s="1">
        <v>13.26</v>
      </c>
    </row>
    <row r="520">
      <c r="A520" s="2" t="s">
        <v>9889</v>
      </c>
      <c r="B520" s="1">
        <v>200.0</v>
      </c>
      <c r="C520" s="1" t="s">
        <v>9890</v>
      </c>
      <c r="D520" s="1" t="s">
        <v>583</v>
      </c>
      <c r="F520" s="1">
        <v>60.0</v>
      </c>
      <c r="G520" s="1">
        <v>1367.0</v>
      </c>
      <c r="H520" s="1">
        <v>0.044</v>
      </c>
      <c r="I520" s="1">
        <v>13.0</v>
      </c>
    </row>
    <row r="521">
      <c r="A521" s="2" t="s">
        <v>9891</v>
      </c>
      <c r="B521" s="1">
        <v>200.0</v>
      </c>
      <c r="C521" s="1" t="s">
        <v>9892</v>
      </c>
      <c r="D521" s="1" t="s">
        <v>583</v>
      </c>
      <c r="F521" s="1">
        <v>52.0</v>
      </c>
      <c r="G521" s="1">
        <v>758.0</v>
      </c>
      <c r="H521" s="1">
        <v>0.069</v>
      </c>
      <c r="I521" s="1">
        <v>7.65</v>
      </c>
    </row>
    <row r="522">
      <c r="A522" s="2" t="s">
        <v>9893</v>
      </c>
      <c r="B522" s="1">
        <v>200.0</v>
      </c>
      <c r="C522" s="1" t="s">
        <v>9894</v>
      </c>
      <c r="D522" s="1" t="s">
        <v>583</v>
      </c>
      <c r="F522" s="1">
        <v>54.0</v>
      </c>
      <c r="G522" s="1">
        <v>1116.0</v>
      </c>
      <c r="H522" s="1">
        <v>0.048</v>
      </c>
      <c r="I522" s="1">
        <v>10.8</v>
      </c>
    </row>
    <row r="523">
      <c r="A523" s="2" t="s">
        <v>9895</v>
      </c>
      <c r="B523" s="1">
        <v>200.0</v>
      </c>
      <c r="C523" s="1" t="s">
        <v>9896</v>
      </c>
      <c r="D523" s="1" t="s">
        <v>583</v>
      </c>
      <c r="F523" s="1">
        <v>9.0</v>
      </c>
      <c r="G523" s="1">
        <v>518.0</v>
      </c>
      <c r="H523" s="1">
        <v>0.017</v>
      </c>
      <c r="I523" s="1">
        <v>20.76</v>
      </c>
    </row>
    <row r="524">
      <c r="A524" s="2" t="s">
        <v>9897</v>
      </c>
      <c r="B524" s="1">
        <v>301.0</v>
      </c>
      <c r="D524" s="1" t="s">
        <v>609</v>
      </c>
      <c r="E524" s="1" t="s">
        <v>610</v>
      </c>
      <c r="F524" s="1">
        <v>21.0</v>
      </c>
      <c r="G524" s="1">
        <v>4002.0</v>
      </c>
      <c r="H524" s="1">
        <v>0.005</v>
      </c>
      <c r="I524" s="1">
        <v>6.61</v>
      </c>
    </row>
    <row r="525">
      <c r="A525" s="2" t="s">
        <v>9898</v>
      </c>
      <c r="B525" s="1">
        <v>200.0</v>
      </c>
      <c r="C525" s="1" t="s">
        <v>9899</v>
      </c>
      <c r="D525" s="1" t="s">
        <v>583</v>
      </c>
      <c r="F525" s="1">
        <v>24.0</v>
      </c>
      <c r="G525" s="1">
        <v>16513.0</v>
      </c>
      <c r="H525" s="1">
        <v>0.002</v>
      </c>
      <c r="I525" s="1">
        <v>23.15</v>
      </c>
    </row>
    <row r="526">
      <c r="A526" s="2" t="s">
        <v>9900</v>
      </c>
      <c r="B526" s="1">
        <v>200.0</v>
      </c>
      <c r="C526" s="1" t="s">
        <v>9901</v>
      </c>
      <c r="D526" s="1" t="s">
        <v>583</v>
      </c>
      <c r="F526" s="1">
        <v>28.0</v>
      </c>
      <c r="G526" s="1">
        <v>14923.0</v>
      </c>
      <c r="H526" s="1">
        <v>0.002</v>
      </c>
      <c r="I526" s="1">
        <v>31.34</v>
      </c>
    </row>
    <row r="527">
      <c r="A527" s="2" t="s">
        <v>9902</v>
      </c>
      <c r="B527" s="1">
        <v>200.0</v>
      </c>
      <c r="C527" s="1" t="s">
        <v>9903</v>
      </c>
      <c r="D527" s="1" t="s">
        <v>583</v>
      </c>
      <c r="F527" s="1">
        <v>82.0</v>
      </c>
      <c r="G527" s="1">
        <v>8344.0</v>
      </c>
      <c r="H527" s="1">
        <v>0.01</v>
      </c>
      <c r="I527" s="1">
        <v>36.51</v>
      </c>
    </row>
    <row r="528">
      <c r="A528" s="2" t="s">
        <v>9904</v>
      </c>
      <c r="B528" s="1">
        <v>200.0</v>
      </c>
      <c r="C528" s="1" t="s">
        <v>9905</v>
      </c>
      <c r="D528" s="1" t="s">
        <v>583</v>
      </c>
      <c r="F528" s="1">
        <v>82.0</v>
      </c>
      <c r="G528" s="1">
        <v>6783.0</v>
      </c>
      <c r="H528" s="1">
        <v>0.012</v>
      </c>
      <c r="I528" s="1">
        <v>7.73</v>
      </c>
    </row>
    <row r="529">
      <c r="A529" s="2" t="s">
        <v>9906</v>
      </c>
      <c r="B529" s="1">
        <v>200.0</v>
      </c>
      <c r="C529" s="1" t="s">
        <v>9907</v>
      </c>
      <c r="D529" s="1" t="s">
        <v>583</v>
      </c>
      <c r="F529" s="1">
        <v>69.0</v>
      </c>
      <c r="G529" s="1">
        <v>21927.0</v>
      </c>
      <c r="H529" s="1">
        <v>0.003</v>
      </c>
      <c r="I529" s="1">
        <v>49.57</v>
      </c>
    </row>
    <row r="530">
      <c r="A530" s="2" t="s">
        <v>9908</v>
      </c>
      <c r="B530" s="1">
        <v>200.0</v>
      </c>
      <c r="C530" s="1" t="s">
        <v>9909</v>
      </c>
      <c r="D530" s="1" t="s">
        <v>583</v>
      </c>
      <c r="F530" s="1">
        <v>8.0</v>
      </c>
      <c r="G530" s="1">
        <v>965.0</v>
      </c>
      <c r="H530" s="1">
        <v>0.008</v>
      </c>
      <c r="I530" s="1">
        <v>33.03</v>
      </c>
    </row>
    <row r="531">
      <c r="A531" s="2" t="s">
        <v>9910</v>
      </c>
      <c r="B531" s="1">
        <v>200.0</v>
      </c>
      <c r="C531" s="1" t="s">
        <v>9911</v>
      </c>
      <c r="D531" s="1" t="s">
        <v>583</v>
      </c>
      <c r="F531" s="1">
        <v>20.0</v>
      </c>
      <c r="G531" s="1">
        <v>4706.0</v>
      </c>
      <c r="H531" s="1">
        <v>0.004</v>
      </c>
      <c r="I531" s="1">
        <v>15.31</v>
      </c>
    </row>
    <row r="532">
      <c r="A532" s="2" t="s">
        <v>9912</v>
      </c>
      <c r="B532" s="1">
        <v>200.0</v>
      </c>
      <c r="C532" s="1" t="s">
        <v>9913</v>
      </c>
      <c r="D532" s="1" t="s">
        <v>583</v>
      </c>
      <c r="F532" s="1">
        <v>23.0</v>
      </c>
      <c r="G532" s="1">
        <v>1758.0</v>
      </c>
      <c r="H532" s="1">
        <v>0.013</v>
      </c>
      <c r="I532" s="1">
        <v>14.83</v>
      </c>
    </row>
    <row r="533">
      <c r="A533" s="2" t="s">
        <v>9914</v>
      </c>
      <c r="B533" s="1">
        <v>200.0</v>
      </c>
      <c r="C533" s="1" t="s">
        <v>9915</v>
      </c>
      <c r="D533" s="1" t="s">
        <v>583</v>
      </c>
      <c r="F533" s="1">
        <v>21.0</v>
      </c>
      <c r="G533" s="1">
        <v>4002.0</v>
      </c>
      <c r="H533" s="1">
        <v>0.005</v>
      </c>
      <c r="I533" s="1">
        <v>6.61</v>
      </c>
    </row>
    <row r="534">
      <c r="A534" s="2" t="s">
        <v>9916</v>
      </c>
      <c r="B534" s="1">
        <v>200.0</v>
      </c>
      <c r="C534" s="1" t="s">
        <v>9917</v>
      </c>
      <c r="D534" s="1" t="s">
        <v>583</v>
      </c>
      <c r="F534" s="1">
        <v>644.0</v>
      </c>
      <c r="G534" s="1">
        <v>62040.0</v>
      </c>
      <c r="H534" s="1">
        <v>0.01</v>
      </c>
      <c r="I534" s="1">
        <v>14.14</v>
      </c>
    </row>
    <row r="535">
      <c r="A535" s="2" t="s">
        <v>9918</v>
      </c>
      <c r="B535" s="1">
        <v>200.0</v>
      </c>
      <c r="C535" s="1" t="s">
        <v>9919</v>
      </c>
      <c r="D535" s="1" t="s">
        <v>583</v>
      </c>
      <c r="F535" s="1">
        <v>24.0</v>
      </c>
      <c r="G535" s="1">
        <v>10388.0</v>
      </c>
      <c r="H535" s="1">
        <v>0.002</v>
      </c>
      <c r="I535" s="1">
        <v>35.44</v>
      </c>
    </row>
    <row r="536">
      <c r="A536" s="2" t="s">
        <v>9920</v>
      </c>
      <c r="B536" s="1">
        <v>200.0</v>
      </c>
      <c r="C536" s="1" t="s">
        <v>9921</v>
      </c>
      <c r="D536" s="1" t="s">
        <v>583</v>
      </c>
      <c r="F536" s="1">
        <v>163.0</v>
      </c>
      <c r="G536" s="1">
        <v>20154.0</v>
      </c>
      <c r="H536" s="1">
        <v>0.008</v>
      </c>
      <c r="I536" s="1">
        <v>10.81</v>
      </c>
    </row>
    <row r="537">
      <c r="A537" s="2" t="s">
        <v>9922</v>
      </c>
      <c r="B537" s="1">
        <v>200.0</v>
      </c>
      <c r="C537" s="1" t="s">
        <v>9923</v>
      </c>
      <c r="D537" s="1" t="s">
        <v>583</v>
      </c>
      <c r="F537" s="1">
        <v>1.0</v>
      </c>
      <c r="G537" s="1">
        <v>19.0</v>
      </c>
      <c r="H537" s="1">
        <v>0.053</v>
      </c>
      <c r="I537" s="1">
        <v>31.21</v>
      </c>
    </row>
    <row r="538">
      <c r="A538" s="2" t="s">
        <v>9924</v>
      </c>
      <c r="B538" s="1">
        <v>200.0</v>
      </c>
      <c r="C538" s="1" t="s">
        <v>9925</v>
      </c>
      <c r="D538" s="1" t="s">
        <v>583</v>
      </c>
      <c r="F538" s="1">
        <v>4161.0</v>
      </c>
      <c r="G538" s="1">
        <v>110139.0</v>
      </c>
      <c r="H538" s="1">
        <v>0.038</v>
      </c>
      <c r="I538" s="1">
        <v>6.71</v>
      </c>
    </row>
    <row r="539">
      <c r="A539" s="2" t="s">
        <v>9926</v>
      </c>
      <c r="B539" s="1">
        <v>200.0</v>
      </c>
      <c r="C539" s="1" t="s">
        <v>9927</v>
      </c>
      <c r="D539" s="1" t="s">
        <v>583</v>
      </c>
      <c r="F539" s="1">
        <v>255.0</v>
      </c>
      <c r="G539" s="1">
        <v>35155.0</v>
      </c>
      <c r="H539" s="1">
        <v>0.007</v>
      </c>
      <c r="I539" s="1">
        <v>20.32</v>
      </c>
    </row>
    <row r="540">
      <c r="A540" s="2" t="s">
        <v>9928</v>
      </c>
      <c r="B540" s="1">
        <v>200.0</v>
      </c>
      <c r="C540" s="1" t="s">
        <v>9929</v>
      </c>
      <c r="D540" s="1" t="s">
        <v>583</v>
      </c>
      <c r="F540" s="1">
        <v>84.0</v>
      </c>
      <c r="G540" s="1">
        <v>13405.0</v>
      </c>
      <c r="H540" s="1">
        <v>0.006</v>
      </c>
      <c r="I540" s="1">
        <v>17.98</v>
      </c>
    </row>
    <row r="541">
      <c r="A541" s="2" t="s">
        <v>9930</v>
      </c>
      <c r="B541" s="1">
        <v>200.0</v>
      </c>
      <c r="C541" s="1" t="s">
        <v>9931</v>
      </c>
      <c r="D541" s="1" t="s">
        <v>583</v>
      </c>
      <c r="F541" s="1">
        <v>7.0</v>
      </c>
      <c r="G541" s="1">
        <v>202.0</v>
      </c>
      <c r="H541" s="1">
        <v>0.035</v>
      </c>
      <c r="I541" s="1">
        <v>8.43</v>
      </c>
    </row>
    <row r="542">
      <c r="A542" s="2" t="s">
        <v>9932</v>
      </c>
      <c r="B542" s="1">
        <v>200.0</v>
      </c>
      <c r="C542" s="1" t="s">
        <v>9933</v>
      </c>
      <c r="D542" s="1" t="s">
        <v>583</v>
      </c>
      <c r="F542" s="1">
        <v>109.0</v>
      </c>
      <c r="G542" s="1">
        <v>10286.0</v>
      </c>
      <c r="H542" s="1">
        <v>0.011</v>
      </c>
      <c r="I542" s="1">
        <v>9.77</v>
      </c>
    </row>
    <row r="543">
      <c r="A543" s="2" t="s">
        <v>9934</v>
      </c>
      <c r="B543" s="1">
        <v>200.0</v>
      </c>
      <c r="C543" s="1" t="s">
        <v>9935</v>
      </c>
      <c r="D543" s="1" t="s">
        <v>583</v>
      </c>
      <c r="F543" s="1">
        <v>4.0</v>
      </c>
      <c r="G543" s="1">
        <v>2410.0</v>
      </c>
      <c r="H543" s="1">
        <v>0.002</v>
      </c>
      <c r="I543" s="1">
        <v>13.9</v>
      </c>
    </row>
    <row r="544">
      <c r="A544" s="2" t="s">
        <v>9936</v>
      </c>
      <c r="B544" s="1">
        <v>200.0</v>
      </c>
      <c r="C544" s="1" t="s">
        <v>9937</v>
      </c>
      <c r="D544" s="1" t="s">
        <v>583</v>
      </c>
      <c r="F544" s="1">
        <v>35.0</v>
      </c>
      <c r="G544" s="1">
        <v>2898.0</v>
      </c>
      <c r="H544" s="1">
        <v>0.012</v>
      </c>
      <c r="I544" s="1">
        <v>11.48</v>
      </c>
    </row>
    <row r="545">
      <c r="A545" s="2" t="s">
        <v>9938</v>
      </c>
      <c r="B545" s="1">
        <v>200.0</v>
      </c>
      <c r="C545" s="1" t="s">
        <v>9939</v>
      </c>
      <c r="D545" s="1" t="s">
        <v>583</v>
      </c>
      <c r="F545" s="1">
        <v>10.0</v>
      </c>
      <c r="G545" s="1">
        <v>198.0</v>
      </c>
      <c r="H545" s="1">
        <v>0.051</v>
      </c>
      <c r="I545" s="1">
        <v>21.16</v>
      </c>
    </row>
    <row r="546">
      <c r="A546" s="2" t="s">
        <v>9940</v>
      </c>
      <c r="B546" s="1">
        <v>200.0</v>
      </c>
      <c r="C546" s="1" t="s">
        <v>9941</v>
      </c>
      <c r="D546" s="1" t="s">
        <v>583</v>
      </c>
      <c r="F546" s="1">
        <v>4.0</v>
      </c>
      <c r="G546" s="1">
        <v>270.0</v>
      </c>
      <c r="H546" s="1">
        <v>0.015</v>
      </c>
      <c r="I546" s="1">
        <v>8.88</v>
      </c>
    </row>
    <row r="547">
      <c r="A547" s="2" t="s">
        <v>9942</v>
      </c>
      <c r="B547" s="1">
        <v>200.0</v>
      </c>
      <c r="C547" s="1" t="s">
        <v>9943</v>
      </c>
      <c r="D547" s="1" t="s">
        <v>583</v>
      </c>
      <c r="F547" s="1">
        <v>204.0</v>
      </c>
      <c r="G547" s="1">
        <v>24352.0</v>
      </c>
      <c r="H547" s="1">
        <v>0.008</v>
      </c>
      <c r="I547" s="1">
        <v>9.84</v>
      </c>
    </row>
    <row r="548">
      <c r="A548" s="2" t="s">
        <v>9944</v>
      </c>
      <c r="B548" s="1">
        <v>200.0</v>
      </c>
      <c r="C548" s="1" t="s">
        <v>9945</v>
      </c>
      <c r="D548" s="1" t="s">
        <v>583</v>
      </c>
      <c r="F548" s="1">
        <v>0.0</v>
      </c>
      <c r="G548" s="1">
        <v>46.0</v>
      </c>
      <c r="H548" s="1">
        <v>0.0</v>
      </c>
      <c r="I548" s="1">
        <v>10.91</v>
      </c>
    </row>
    <row r="549">
      <c r="A549" s="1" t="s">
        <v>9946</v>
      </c>
      <c r="B549" s="1">
        <v>301.0</v>
      </c>
      <c r="D549" s="1" t="s">
        <v>609</v>
      </c>
      <c r="E549" s="1" t="s">
        <v>610</v>
      </c>
    </row>
    <row r="550">
      <c r="A550" s="2" t="s">
        <v>9947</v>
      </c>
      <c r="B550" s="1">
        <v>200.0</v>
      </c>
      <c r="C550" s="1" t="s">
        <v>9948</v>
      </c>
      <c r="D550" s="1" t="s">
        <v>583</v>
      </c>
      <c r="F550" s="1">
        <v>417.0</v>
      </c>
      <c r="G550" s="1">
        <v>15970.0</v>
      </c>
      <c r="H550" s="1">
        <v>0.026</v>
      </c>
      <c r="I550" s="1">
        <v>10.38</v>
      </c>
    </row>
    <row r="551">
      <c r="A551" s="2" t="s">
        <v>9949</v>
      </c>
      <c r="B551" s="1">
        <v>200.0</v>
      </c>
      <c r="C551" s="1" t="s">
        <v>9950</v>
      </c>
      <c r="D551" s="1" t="s">
        <v>583</v>
      </c>
      <c r="F551" s="1">
        <v>1723.0</v>
      </c>
      <c r="G551" s="1">
        <v>25602.0</v>
      </c>
      <c r="H551" s="1">
        <v>0.067</v>
      </c>
      <c r="I551" s="1">
        <v>20.54</v>
      </c>
    </row>
    <row r="552">
      <c r="A552" s="2" t="s">
        <v>9951</v>
      </c>
      <c r="B552" s="1">
        <v>200.0</v>
      </c>
      <c r="C552" s="1" t="s">
        <v>9952</v>
      </c>
      <c r="D552" s="1" t="s">
        <v>583</v>
      </c>
      <c r="F552" s="1">
        <v>11.0</v>
      </c>
      <c r="G552" s="1">
        <v>4640.0</v>
      </c>
      <c r="H552" s="1">
        <v>0.002</v>
      </c>
      <c r="I552" s="1">
        <v>13.64</v>
      </c>
    </row>
    <row r="553">
      <c r="A553" s="2" t="s">
        <v>9953</v>
      </c>
      <c r="B553" s="1">
        <v>200.0</v>
      </c>
      <c r="C553" s="1" t="s">
        <v>9954</v>
      </c>
      <c r="D553" s="1" t="s">
        <v>583</v>
      </c>
      <c r="F553" s="1">
        <v>53.0</v>
      </c>
      <c r="G553" s="1">
        <v>11451.0</v>
      </c>
      <c r="H553" s="1">
        <v>0.005</v>
      </c>
      <c r="I553" s="1">
        <v>5.71</v>
      </c>
    </row>
    <row r="554">
      <c r="A554" s="2" t="s">
        <v>9955</v>
      </c>
      <c r="B554" s="1">
        <v>200.0</v>
      </c>
      <c r="C554" s="1" t="s">
        <v>9956</v>
      </c>
      <c r="D554" s="1" t="s">
        <v>583</v>
      </c>
      <c r="F554" s="1">
        <v>34.0</v>
      </c>
      <c r="G554" s="1">
        <v>6751.0</v>
      </c>
      <c r="H554" s="1">
        <v>0.005</v>
      </c>
      <c r="I554" s="1">
        <v>23.49</v>
      </c>
    </row>
    <row r="555">
      <c r="A555" s="2" t="s">
        <v>9957</v>
      </c>
      <c r="B555" s="1">
        <v>200.0</v>
      </c>
      <c r="C555" s="1" t="s">
        <v>9958</v>
      </c>
      <c r="D555" s="1" t="s">
        <v>583</v>
      </c>
      <c r="F555" s="1">
        <v>318.0</v>
      </c>
      <c r="G555" s="1">
        <v>29275.0</v>
      </c>
      <c r="H555" s="1">
        <v>0.011</v>
      </c>
      <c r="I555" s="1">
        <v>11.09</v>
      </c>
    </row>
    <row r="556">
      <c r="A556" s="2" t="s">
        <v>9959</v>
      </c>
      <c r="B556" s="1">
        <v>200.0</v>
      </c>
      <c r="C556" s="1" t="s">
        <v>9960</v>
      </c>
      <c r="D556" s="1" t="s">
        <v>583</v>
      </c>
      <c r="F556" s="1">
        <v>23.0</v>
      </c>
      <c r="G556" s="1">
        <v>8838.0</v>
      </c>
      <c r="H556" s="1">
        <v>0.003</v>
      </c>
      <c r="I556" s="1">
        <v>24.46</v>
      </c>
    </row>
    <row r="557">
      <c r="A557" s="2" t="s">
        <v>9961</v>
      </c>
      <c r="B557" s="1">
        <v>200.0</v>
      </c>
      <c r="C557" s="1" t="s">
        <v>9962</v>
      </c>
      <c r="D557" s="1" t="s">
        <v>583</v>
      </c>
      <c r="F557" s="1">
        <v>57.0</v>
      </c>
      <c r="G557" s="1">
        <v>13343.0</v>
      </c>
      <c r="H557" s="1">
        <v>0.004</v>
      </c>
      <c r="I557" s="1">
        <v>34.75</v>
      </c>
    </row>
    <row r="558">
      <c r="A558" s="2" t="s">
        <v>9963</v>
      </c>
      <c r="B558" s="1">
        <v>200.0</v>
      </c>
      <c r="C558" s="1" t="s">
        <v>9964</v>
      </c>
      <c r="D558" s="1" t="s">
        <v>583</v>
      </c>
      <c r="F558" s="1">
        <v>12.0</v>
      </c>
      <c r="G558" s="1">
        <v>2915.0</v>
      </c>
      <c r="H558" s="1">
        <v>0.004</v>
      </c>
      <c r="I558" s="1">
        <v>23.59</v>
      </c>
    </row>
    <row r="559">
      <c r="A559" s="2" t="s">
        <v>9965</v>
      </c>
      <c r="B559" s="1">
        <v>200.0</v>
      </c>
      <c r="C559" s="1" t="s">
        <v>9966</v>
      </c>
      <c r="D559" s="1" t="s">
        <v>583</v>
      </c>
      <c r="F559" s="1">
        <v>69.0</v>
      </c>
      <c r="G559" s="1">
        <v>6553.0</v>
      </c>
      <c r="H559" s="1">
        <v>0.011</v>
      </c>
      <c r="I559" s="1">
        <v>14.95</v>
      </c>
    </row>
    <row r="560">
      <c r="A560" s="2" t="s">
        <v>9967</v>
      </c>
      <c r="B560" s="1">
        <v>200.0</v>
      </c>
      <c r="C560" s="1" t="s">
        <v>9968</v>
      </c>
      <c r="D560" s="1" t="s">
        <v>583</v>
      </c>
      <c r="F560" s="1">
        <v>482.0</v>
      </c>
      <c r="G560" s="1">
        <v>22017.0</v>
      </c>
      <c r="H560" s="1">
        <v>0.022</v>
      </c>
      <c r="I560" s="1">
        <v>12.21</v>
      </c>
    </row>
    <row r="561">
      <c r="A561" s="2" t="s">
        <v>9969</v>
      </c>
      <c r="B561" s="1">
        <v>200.0</v>
      </c>
      <c r="C561" s="1" t="s">
        <v>9970</v>
      </c>
      <c r="D561" s="1" t="s">
        <v>583</v>
      </c>
      <c r="F561" s="1">
        <v>323.0</v>
      </c>
      <c r="G561" s="1">
        <v>10703.0</v>
      </c>
      <c r="H561" s="1">
        <v>0.03</v>
      </c>
      <c r="I561" s="1">
        <v>7.15</v>
      </c>
    </row>
    <row r="562">
      <c r="A562" s="2" t="s">
        <v>9971</v>
      </c>
      <c r="B562" s="1">
        <v>200.0</v>
      </c>
      <c r="C562" s="1" t="s">
        <v>9972</v>
      </c>
      <c r="D562" s="1" t="s">
        <v>583</v>
      </c>
      <c r="F562" s="1">
        <v>13.0</v>
      </c>
      <c r="G562" s="1">
        <v>2512.0</v>
      </c>
      <c r="H562" s="1">
        <v>0.005</v>
      </c>
      <c r="I562" s="1">
        <v>27.87</v>
      </c>
    </row>
    <row r="563">
      <c r="A563" s="2" t="s">
        <v>9973</v>
      </c>
      <c r="B563" s="1">
        <v>200.0</v>
      </c>
      <c r="C563" s="1" t="s">
        <v>9974</v>
      </c>
      <c r="D563" s="1" t="s">
        <v>583</v>
      </c>
      <c r="F563" s="1">
        <v>11.0</v>
      </c>
      <c r="G563" s="1">
        <v>2724.0</v>
      </c>
      <c r="H563" s="1">
        <v>0.004</v>
      </c>
      <c r="I563" s="1">
        <v>5.47</v>
      </c>
    </row>
    <row r="564">
      <c r="A564" s="2" t="s">
        <v>9975</v>
      </c>
      <c r="B564" s="1">
        <v>200.0</v>
      </c>
      <c r="C564" s="1" t="s">
        <v>9976</v>
      </c>
      <c r="D564" s="1" t="s">
        <v>583</v>
      </c>
      <c r="F564" s="1">
        <v>40.0</v>
      </c>
      <c r="G564" s="1">
        <v>8413.0</v>
      </c>
      <c r="H564" s="1">
        <v>0.005</v>
      </c>
      <c r="I564" s="1">
        <v>20.22</v>
      </c>
    </row>
    <row r="565">
      <c r="A565" s="2" t="s">
        <v>9977</v>
      </c>
      <c r="B565" s="1">
        <v>200.0</v>
      </c>
      <c r="C565" s="1" t="s">
        <v>9978</v>
      </c>
      <c r="D565" s="1" t="s">
        <v>583</v>
      </c>
      <c r="F565" s="1">
        <v>249.0</v>
      </c>
      <c r="G565" s="1">
        <v>28615.0</v>
      </c>
      <c r="H565" s="1">
        <v>0.009</v>
      </c>
      <c r="I565" s="1">
        <v>27.37</v>
      </c>
    </row>
    <row r="566">
      <c r="A566" s="2" t="s">
        <v>9979</v>
      </c>
      <c r="B566" s="1">
        <v>200.0</v>
      </c>
      <c r="C566" s="1" t="s">
        <v>9980</v>
      </c>
      <c r="D566" s="1" t="s">
        <v>583</v>
      </c>
      <c r="F566" s="1">
        <v>258.0</v>
      </c>
      <c r="G566" s="1">
        <v>11715.0</v>
      </c>
      <c r="H566" s="1">
        <v>0.022</v>
      </c>
      <c r="I566" s="1">
        <v>10.88</v>
      </c>
    </row>
    <row r="567">
      <c r="A567" s="2" t="s">
        <v>9981</v>
      </c>
      <c r="B567" s="1">
        <v>200.0</v>
      </c>
      <c r="C567" s="1" t="s">
        <v>9982</v>
      </c>
      <c r="D567" s="1" t="s">
        <v>583</v>
      </c>
      <c r="F567" s="1">
        <v>108.0</v>
      </c>
      <c r="G567" s="1">
        <v>6454.0</v>
      </c>
      <c r="H567" s="1">
        <v>0.017</v>
      </c>
      <c r="I567" s="1">
        <v>26.97</v>
      </c>
    </row>
    <row r="568">
      <c r="A568" s="2" t="s">
        <v>9983</v>
      </c>
      <c r="B568" s="1">
        <v>200.0</v>
      </c>
      <c r="C568" s="1" t="s">
        <v>9984</v>
      </c>
      <c r="D568" s="1" t="s">
        <v>583</v>
      </c>
      <c r="F568" s="1">
        <v>80.0</v>
      </c>
      <c r="G568" s="1">
        <v>11452.0</v>
      </c>
      <c r="H568" s="1">
        <v>0.007</v>
      </c>
      <c r="I568" s="1">
        <v>7.52</v>
      </c>
    </row>
    <row r="569">
      <c r="A569" s="2" t="s">
        <v>9985</v>
      </c>
      <c r="B569" s="1">
        <v>200.0</v>
      </c>
      <c r="C569" s="1" t="s">
        <v>9986</v>
      </c>
      <c r="D569" s="1" t="s">
        <v>583</v>
      </c>
      <c r="F569" s="1">
        <v>18.0</v>
      </c>
      <c r="G569" s="1">
        <v>2066.0</v>
      </c>
      <c r="H569" s="1">
        <v>0.009</v>
      </c>
      <c r="I569" s="1">
        <v>9.55</v>
      </c>
    </row>
    <row r="570">
      <c r="A570" s="2" t="s">
        <v>9987</v>
      </c>
      <c r="B570" s="1">
        <v>200.0</v>
      </c>
      <c r="C570" s="1" t="s">
        <v>9988</v>
      </c>
      <c r="D570" s="1" t="s">
        <v>583</v>
      </c>
      <c r="F570" s="1">
        <v>3.0</v>
      </c>
      <c r="G570" s="1">
        <v>939.0</v>
      </c>
      <c r="H570" s="1">
        <v>0.003</v>
      </c>
      <c r="I570" s="1">
        <v>22.52</v>
      </c>
    </row>
    <row r="571">
      <c r="A571" s="2" t="s">
        <v>9989</v>
      </c>
      <c r="B571" s="1">
        <v>200.0</v>
      </c>
      <c r="C571" s="1" t="s">
        <v>9990</v>
      </c>
      <c r="D571" s="1" t="s">
        <v>583</v>
      </c>
      <c r="F571" s="1">
        <v>30.0</v>
      </c>
      <c r="G571" s="1">
        <v>2064.0</v>
      </c>
      <c r="H571" s="1">
        <v>0.015</v>
      </c>
      <c r="I571" s="1">
        <v>10.53</v>
      </c>
    </row>
    <row r="572">
      <c r="A572" s="2" t="s">
        <v>9991</v>
      </c>
      <c r="B572" s="1">
        <v>200.0</v>
      </c>
      <c r="C572" s="1" t="s">
        <v>9992</v>
      </c>
      <c r="D572" s="1" t="s">
        <v>583</v>
      </c>
      <c r="F572" s="1">
        <v>2.0</v>
      </c>
      <c r="G572" s="1">
        <v>14042.0</v>
      </c>
      <c r="H572" s="1">
        <v>0.0</v>
      </c>
      <c r="I572" s="1">
        <v>20.24</v>
      </c>
    </row>
    <row r="573">
      <c r="A573" s="2" t="s">
        <v>9993</v>
      </c>
      <c r="B573" s="1">
        <v>200.0</v>
      </c>
      <c r="C573" s="1" t="s">
        <v>9994</v>
      </c>
      <c r="D573" s="1" t="s">
        <v>583</v>
      </c>
      <c r="F573" s="1">
        <v>0.0</v>
      </c>
      <c r="G573" s="1">
        <v>2206.0</v>
      </c>
      <c r="H573" s="1">
        <v>0.0</v>
      </c>
      <c r="I573" s="1">
        <v>22.53</v>
      </c>
    </row>
    <row r="574">
      <c r="A574" s="2" t="s">
        <v>9995</v>
      </c>
      <c r="B574" s="1">
        <v>200.0</v>
      </c>
      <c r="C574" s="1" t="s">
        <v>9996</v>
      </c>
      <c r="D574" s="1" t="s">
        <v>583</v>
      </c>
      <c r="F574" s="1">
        <v>4.0</v>
      </c>
      <c r="G574" s="1">
        <v>1793.0</v>
      </c>
      <c r="H574" s="1">
        <v>0.002</v>
      </c>
      <c r="I574" s="1">
        <v>11.53</v>
      </c>
    </row>
    <row r="575">
      <c r="A575" s="2" t="s">
        <v>9997</v>
      </c>
      <c r="B575" s="1">
        <v>200.0</v>
      </c>
      <c r="C575" s="1" t="s">
        <v>9998</v>
      </c>
      <c r="D575" s="1" t="s">
        <v>583</v>
      </c>
      <c r="F575" s="1">
        <v>15.0</v>
      </c>
      <c r="G575" s="1">
        <v>4454.0</v>
      </c>
      <c r="H575" s="1">
        <v>0.003</v>
      </c>
      <c r="I575" s="1">
        <v>13.46</v>
      </c>
    </row>
    <row r="576">
      <c r="A576" s="2" t="s">
        <v>9999</v>
      </c>
      <c r="B576" s="1">
        <v>200.0</v>
      </c>
      <c r="C576" s="1" t="s">
        <v>10000</v>
      </c>
      <c r="D576" s="1" t="s">
        <v>583</v>
      </c>
      <c r="F576" s="1">
        <v>1.0</v>
      </c>
      <c r="G576" s="1">
        <v>218.0</v>
      </c>
      <c r="H576" s="1">
        <v>0.005</v>
      </c>
      <c r="I576" s="1">
        <v>31.45</v>
      </c>
    </row>
    <row r="577">
      <c r="A577" s="2" t="s">
        <v>10001</v>
      </c>
      <c r="B577" s="1">
        <v>200.0</v>
      </c>
      <c r="C577" s="1" t="s">
        <v>10002</v>
      </c>
      <c r="D577" s="1" t="s">
        <v>583</v>
      </c>
      <c r="F577" s="1">
        <v>0.0</v>
      </c>
      <c r="G577" s="1">
        <v>296.0</v>
      </c>
      <c r="H577" s="1">
        <v>0.0</v>
      </c>
      <c r="I577" s="1">
        <v>28.83</v>
      </c>
    </row>
    <row r="578">
      <c r="A578" s="2" t="s">
        <v>10003</v>
      </c>
      <c r="B578" s="1">
        <v>200.0</v>
      </c>
      <c r="C578" s="1" t="s">
        <v>10004</v>
      </c>
      <c r="D578" s="1" t="s">
        <v>583</v>
      </c>
      <c r="F578" s="1">
        <v>2.0</v>
      </c>
      <c r="G578" s="1">
        <v>1648.0</v>
      </c>
      <c r="H578" s="1">
        <v>0.001</v>
      </c>
      <c r="I578" s="1">
        <v>28.11</v>
      </c>
    </row>
    <row r="579">
      <c r="A579" s="2" t="s">
        <v>10005</v>
      </c>
      <c r="B579" s="1">
        <v>200.0</v>
      </c>
      <c r="C579" s="1" t="s">
        <v>10006</v>
      </c>
      <c r="D579" s="1" t="s">
        <v>583</v>
      </c>
      <c r="F579" s="1">
        <v>5.0</v>
      </c>
      <c r="G579" s="1">
        <v>2669.0</v>
      </c>
      <c r="H579" s="1">
        <v>0.002</v>
      </c>
      <c r="I579" s="1">
        <v>15.57</v>
      </c>
    </row>
    <row r="580">
      <c r="A580" s="2" t="s">
        <v>10007</v>
      </c>
      <c r="B580" s="1">
        <v>200.0</v>
      </c>
      <c r="C580" s="1" t="s">
        <v>10008</v>
      </c>
      <c r="D580" s="1" t="s">
        <v>583</v>
      </c>
      <c r="F580" s="1">
        <v>5.0</v>
      </c>
      <c r="G580" s="1">
        <v>952.0</v>
      </c>
      <c r="H580" s="1">
        <v>0.005</v>
      </c>
      <c r="I580" s="1">
        <v>30.67</v>
      </c>
    </row>
    <row r="581">
      <c r="A581" s="2" t="s">
        <v>10009</v>
      </c>
      <c r="B581" s="1">
        <v>200.0</v>
      </c>
      <c r="C581" s="1" t="s">
        <v>10010</v>
      </c>
      <c r="D581" s="1" t="s">
        <v>583</v>
      </c>
      <c r="F581" s="1">
        <v>12.0</v>
      </c>
      <c r="G581" s="1">
        <v>4462.0</v>
      </c>
      <c r="H581" s="1">
        <v>0.003</v>
      </c>
      <c r="I581" s="1">
        <v>33.49</v>
      </c>
    </row>
    <row r="582">
      <c r="A582" s="2" t="s">
        <v>10011</v>
      </c>
      <c r="B582" s="1">
        <v>200.0</v>
      </c>
      <c r="C582" s="1" t="s">
        <v>10012</v>
      </c>
      <c r="D582" s="1" t="s">
        <v>583</v>
      </c>
      <c r="F582" s="1">
        <v>8.0</v>
      </c>
      <c r="G582" s="1">
        <v>6759.0</v>
      </c>
      <c r="H582" s="1">
        <v>0.001</v>
      </c>
      <c r="I582" s="1">
        <v>11.18</v>
      </c>
    </row>
    <row r="583">
      <c r="A583" s="2" t="s">
        <v>10013</v>
      </c>
      <c r="B583" s="1">
        <v>200.0</v>
      </c>
      <c r="C583" s="1" t="s">
        <v>10014</v>
      </c>
      <c r="D583" s="1" t="s">
        <v>583</v>
      </c>
      <c r="F583" s="1">
        <v>10.0</v>
      </c>
      <c r="G583" s="1">
        <v>7721.0</v>
      </c>
      <c r="H583" s="1">
        <v>0.001</v>
      </c>
      <c r="I583" s="1">
        <v>30.3</v>
      </c>
    </row>
    <row r="584">
      <c r="A584" s="2" t="s">
        <v>10015</v>
      </c>
      <c r="B584" s="1">
        <v>200.0</v>
      </c>
      <c r="C584" s="1" t="s">
        <v>10016</v>
      </c>
      <c r="D584" s="1" t="s">
        <v>583</v>
      </c>
      <c r="F584" s="1">
        <v>32.0</v>
      </c>
      <c r="G584" s="1">
        <v>8001.0</v>
      </c>
      <c r="H584" s="1">
        <v>0.004</v>
      </c>
      <c r="I584" s="1">
        <v>46.39</v>
      </c>
    </row>
    <row r="585">
      <c r="A585" s="2" t="s">
        <v>10017</v>
      </c>
      <c r="B585" s="1">
        <v>200.0</v>
      </c>
      <c r="C585" s="1" t="s">
        <v>10018</v>
      </c>
      <c r="D585" s="1" t="s">
        <v>583</v>
      </c>
      <c r="F585" s="1">
        <v>2.0</v>
      </c>
      <c r="G585" s="1">
        <v>33.0</v>
      </c>
      <c r="H585" s="1">
        <v>0.061</v>
      </c>
      <c r="I585" s="1">
        <v>7.64</v>
      </c>
    </row>
    <row r="586">
      <c r="A586" s="2" t="s">
        <v>10019</v>
      </c>
      <c r="B586" s="1">
        <v>200.0</v>
      </c>
      <c r="C586" s="1" t="s">
        <v>10020</v>
      </c>
      <c r="D586" s="1" t="s">
        <v>583</v>
      </c>
      <c r="F586" s="1">
        <v>0.0</v>
      </c>
      <c r="G586" s="1">
        <v>186.0</v>
      </c>
      <c r="H586" s="1">
        <v>0.0</v>
      </c>
      <c r="I586" s="1">
        <v>19.53</v>
      </c>
    </row>
    <row r="587">
      <c r="A587" s="2" t="s">
        <v>10021</v>
      </c>
      <c r="B587" s="1">
        <v>200.0</v>
      </c>
      <c r="C587" s="1" t="s">
        <v>10022</v>
      </c>
      <c r="D587" s="1" t="s">
        <v>583</v>
      </c>
      <c r="F587" s="1">
        <v>0.0</v>
      </c>
      <c r="G587" s="1">
        <v>2062.0</v>
      </c>
      <c r="H587" s="1">
        <v>0.0</v>
      </c>
      <c r="I587" s="1">
        <v>35.77</v>
      </c>
    </row>
    <row r="588">
      <c r="A588" s="2" t="s">
        <v>10023</v>
      </c>
      <c r="B588" s="1">
        <v>200.0</v>
      </c>
      <c r="C588" s="1" t="s">
        <v>10024</v>
      </c>
      <c r="D588" s="1" t="s">
        <v>583</v>
      </c>
      <c r="F588" s="1">
        <v>30.0</v>
      </c>
      <c r="G588" s="1">
        <v>4864.0</v>
      </c>
      <c r="H588" s="1">
        <v>0.006</v>
      </c>
      <c r="I588" s="1">
        <v>15.55</v>
      </c>
    </row>
    <row r="589">
      <c r="A589" s="2" t="s">
        <v>10025</v>
      </c>
      <c r="B589" s="1">
        <v>301.0</v>
      </c>
      <c r="D589" s="1" t="s">
        <v>609</v>
      </c>
      <c r="E589" s="1" t="s">
        <v>610</v>
      </c>
    </row>
    <row r="590">
      <c r="A590" s="2" t="s">
        <v>10026</v>
      </c>
      <c r="B590" s="1">
        <v>200.0</v>
      </c>
      <c r="C590" s="1" t="s">
        <v>10027</v>
      </c>
      <c r="D590" s="1" t="s">
        <v>583</v>
      </c>
      <c r="F590" s="1">
        <v>1.0</v>
      </c>
      <c r="G590" s="1">
        <v>519.0</v>
      </c>
      <c r="H590" s="1">
        <v>0.002</v>
      </c>
      <c r="I590" s="1">
        <v>8.31</v>
      </c>
    </row>
    <row r="591">
      <c r="A591" s="2" t="s">
        <v>10028</v>
      </c>
      <c r="B591" s="1">
        <v>200.0</v>
      </c>
      <c r="C591" s="1" t="s">
        <v>10029</v>
      </c>
      <c r="D591" s="1" t="s">
        <v>583</v>
      </c>
      <c r="F591" s="1">
        <v>7.0</v>
      </c>
      <c r="G591" s="1">
        <v>1467.0</v>
      </c>
      <c r="H591" s="1">
        <v>0.005</v>
      </c>
      <c r="I591" s="1">
        <v>13.27</v>
      </c>
    </row>
    <row r="592">
      <c r="A592" s="2" t="s">
        <v>10030</v>
      </c>
      <c r="B592" s="1">
        <v>200.0</v>
      </c>
      <c r="C592" s="1" t="s">
        <v>10031</v>
      </c>
      <c r="D592" s="1" t="s">
        <v>583</v>
      </c>
      <c r="F592" s="1">
        <v>2.0</v>
      </c>
      <c r="G592" s="1">
        <v>77.0</v>
      </c>
      <c r="H592" s="1">
        <v>0.026</v>
      </c>
      <c r="I592" s="1">
        <v>8.22</v>
      </c>
    </row>
    <row r="593">
      <c r="A593" s="2" t="s">
        <v>10032</v>
      </c>
      <c r="B593" s="1">
        <v>200.0</v>
      </c>
      <c r="C593" s="1" t="s">
        <v>10033</v>
      </c>
      <c r="D593" s="1" t="s">
        <v>583</v>
      </c>
      <c r="F593" s="1">
        <v>236.0</v>
      </c>
      <c r="G593" s="1">
        <v>64830.0</v>
      </c>
      <c r="H593" s="1">
        <v>0.004</v>
      </c>
      <c r="I593" s="1">
        <v>10.47</v>
      </c>
    </row>
    <row r="594">
      <c r="A594" s="2" t="s">
        <v>10034</v>
      </c>
      <c r="B594" s="1">
        <v>200.0</v>
      </c>
      <c r="C594" s="1" t="s">
        <v>10035</v>
      </c>
      <c r="D594" s="1" t="s">
        <v>583</v>
      </c>
      <c r="F594" s="1">
        <v>32.0</v>
      </c>
      <c r="G594" s="1">
        <v>1469.0</v>
      </c>
      <c r="H594" s="1">
        <v>0.022</v>
      </c>
      <c r="I594" s="1">
        <v>12.41</v>
      </c>
    </row>
    <row r="595">
      <c r="A595" s="2" t="s">
        <v>10036</v>
      </c>
      <c r="B595" s="1">
        <v>200.0</v>
      </c>
      <c r="C595" s="1" t="s">
        <v>10037</v>
      </c>
      <c r="D595" s="1" t="s">
        <v>583</v>
      </c>
      <c r="F595" s="1">
        <v>254.0</v>
      </c>
      <c r="G595" s="1">
        <v>14040.0</v>
      </c>
      <c r="H595" s="1">
        <v>0.018</v>
      </c>
      <c r="I595" s="1">
        <v>17.41</v>
      </c>
    </row>
    <row r="596">
      <c r="A596" s="2" t="s">
        <v>10038</v>
      </c>
      <c r="B596" s="1">
        <v>200.0</v>
      </c>
      <c r="C596" s="1" t="s">
        <v>10039</v>
      </c>
      <c r="D596" s="1" t="s">
        <v>583</v>
      </c>
      <c r="F596" s="1">
        <v>14.0</v>
      </c>
      <c r="G596" s="1">
        <v>1810.0</v>
      </c>
      <c r="H596" s="1">
        <v>0.008</v>
      </c>
      <c r="I596" s="1">
        <v>20.43</v>
      </c>
    </row>
    <row r="597">
      <c r="A597" s="2" t="s">
        <v>10040</v>
      </c>
      <c r="B597" s="1">
        <v>200.0</v>
      </c>
      <c r="C597" s="1" t="s">
        <v>10041</v>
      </c>
      <c r="D597" s="1" t="s">
        <v>583</v>
      </c>
      <c r="F597" s="1">
        <v>5.0</v>
      </c>
      <c r="G597" s="1">
        <v>1290.0</v>
      </c>
      <c r="H597" s="1">
        <v>0.004</v>
      </c>
      <c r="I597" s="1">
        <v>3.41</v>
      </c>
    </row>
    <row r="598">
      <c r="A598" s="2" t="s">
        <v>10042</v>
      </c>
      <c r="B598" s="1">
        <v>200.0</v>
      </c>
      <c r="C598" s="1" t="s">
        <v>10043</v>
      </c>
      <c r="D598" s="1" t="s">
        <v>583</v>
      </c>
      <c r="F598" s="1">
        <v>509.0</v>
      </c>
      <c r="G598" s="1">
        <v>24342.0</v>
      </c>
      <c r="H598" s="1">
        <v>0.021</v>
      </c>
      <c r="I598" s="1">
        <v>9.09</v>
      </c>
    </row>
    <row r="599">
      <c r="A599" s="2" t="s">
        <v>10044</v>
      </c>
      <c r="B599" s="1">
        <v>200.0</v>
      </c>
      <c r="C599" s="1" t="s">
        <v>10045</v>
      </c>
      <c r="D599" s="1" t="s">
        <v>583</v>
      </c>
      <c r="F599" s="1">
        <v>2.0</v>
      </c>
      <c r="G599" s="1">
        <v>419.0</v>
      </c>
      <c r="H599" s="1">
        <v>0.005</v>
      </c>
      <c r="I599" s="1">
        <v>10.38</v>
      </c>
    </row>
    <row r="600">
      <c r="A600" s="2" t="s">
        <v>10046</v>
      </c>
      <c r="B600" s="1">
        <v>200.0</v>
      </c>
      <c r="C600" s="1" t="s">
        <v>10047</v>
      </c>
      <c r="D600" s="1" t="s">
        <v>583</v>
      </c>
      <c r="F600" s="1">
        <v>0.0</v>
      </c>
      <c r="G600" s="1">
        <v>27.0</v>
      </c>
      <c r="H600" s="1">
        <v>0.0</v>
      </c>
      <c r="I600" s="1">
        <v>23.3</v>
      </c>
    </row>
    <row r="601">
      <c r="A601" s="2" t="s">
        <v>10048</v>
      </c>
      <c r="B601" s="1">
        <v>200.0</v>
      </c>
      <c r="C601" s="1" t="s">
        <v>10049</v>
      </c>
      <c r="D601" s="1" t="s">
        <v>583</v>
      </c>
      <c r="F601" s="1">
        <v>0.0</v>
      </c>
      <c r="G601" s="1">
        <v>53.0</v>
      </c>
      <c r="H601" s="1">
        <v>0.0</v>
      </c>
      <c r="I601" s="1">
        <v>12.92</v>
      </c>
    </row>
    <row r="602">
      <c r="A602" s="2" t="s">
        <v>10050</v>
      </c>
      <c r="B602" s="1">
        <v>200.0</v>
      </c>
      <c r="C602" s="1" t="s">
        <v>10051</v>
      </c>
      <c r="D602" s="1" t="s">
        <v>583</v>
      </c>
      <c r="F602" s="1">
        <v>0.0</v>
      </c>
      <c r="G602" s="1">
        <v>39.0</v>
      </c>
      <c r="H602" s="1">
        <v>0.0</v>
      </c>
      <c r="I602" s="1">
        <v>22.23</v>
      </c>
    </row>
    <row r="603">
      <c r="A603" s="2" t="s">
        <v>10052</v>
      </c>
      <c r="B603" s="1">
        <v>404.0</v>
      </c>
      <c r="D603" s="1" t="s">
        <v>609</v>
      </c>
      <c r="E603" s="1" t="s">
        <v>902</v>
      </c>
    </row>
    <row r="604">
      <c r="A604" s="2" t="s">
        <v>10053</v>
      </c>
      <c r="B604" s="1">
        <v>200.0</v>
      </c>
      <c r="C604" s="1" t="s">
        <v>10054</v>
      </c>
      <c r="D604" s="1" t="s">
        <v>583</v>
      </c>
      <c r="F604" s="1">
        <v>0.0</v>
      </c>
      <c r="G604" s="1">
        <v>61.0</v>
      </c>
      <c r="H604" s="1">
        <v>0.0</v>
      </c>
      <c r="I604" s="1">
        <v>9.67</v>
      </c>
    </row>
    <row r="605">
      <c r="A605" s="2" t="s">
        <v>10055</v>
      </c>
      <c r="B605" s="1">
        <v>200.0</v>
      </c>
      <c r="C605" s="1" t="s">
        <v>10056</v>
      </c>
      <c r="D605" s="1" t="s">
        <v>583</v>
      </c>
    </row>
    <row r="606">
      <c r="A606" s="2" t="s">
        <v>10057</v>
      </c>
      <c r="B606" s="1">
        <v>200.0</v>
      </c>
      <c r="C606" s="1" t="s">
        <v>10058</v>
      </c>
      <c r="D606" s="1" t="s">
        <v>583</v>
      </c>
      <c r="F606" s="1">
        <v>0.0</v>
      </c>
      <c r="G606" s="1">
        <v>23.0</v>
      </c>
      <c r="H606" s="1">
        <v>0.0</v>
      </c>
      <c r="I606" s="1">
        <v>15.13</v>
      </c>
    </row>
    <row r="607">
      <c r="A607" s="2" t="s">
        <v>10059</v>
      </c>
      <c r="B607" s="1">
        <v>200.0</v>
      </c>
      <c r="C607" s="1" t="s">
        <v>10060</v>
      </c>
      <c r="D607" s="1" t="s">
        <v>583</v>
      </c>
      <c r="F607" s="1">
        <v>0.0</v>
      </c>
      <c r="G607" s="1">
        <v>1.0</v>
      </c>
      <c r="H607" s="1">
        <v>0.0</v>
      </c>
      <c r="I607" s="1">
        <v>26.0</v>
      </c>
    </row>
    <row r="608">
      <c r="A608" s="2" t="s">
        <v>10061</v>
      </c>
      <c r="B608" s="1">
        <v>200.0</v>
      </c>
      <c r="C608" s="1" t="s">
        <v>10062</v>
      </c>
      <c r="D608" s="1" t="s">
        <v>583</v>
      </c>
      <c r="F608" s="1">
        <v>0.0</v>
      </c>
      <c r="G608" s="1">
        <v>65.0</v>
      </c>
      <c r="H608" s="1">
        <v>0.0</v>
      </c>
      <c r="I608" s="1">
        <v>21.29</v>
      </c>
    </row>
    <row r="609">
      <c r="A609" s="2" t="s">
        <v>10063</v>
      </c>
      <c r="B609" s="1">
        <v>200.0</v>
      </c>
      <c r="C609" s="1" t="s">
        <v>10064</v>
      </c>
      <c r="D609" s="1" t="s">
        <v>583</v>
      </c>
      <c r="F609" s="1">
        <v>0.0</v>
      </c>
      <c r="G609" s="1">
        <v>9.0</v>
      </c>
      <c r="H609" s="1">
        <v>0.0</v>
      </c>
      <c r="I609" s="1">
        <v>18.78</v>
      </c>
    </row>
    <row r="610">
      <c r="A610" s="2" t="s">
        <v>10065</v>
      </c>
      <c r="B610" s="1">
        <v>200.0</v>
      </c>
      <c r="C610" s="1" t="s">
        <v>10066</v>
      </c>
      <c r="D610" s="1" t="s">
        <v>583</v>
      </c>
      <c r="F610" s="1">
        <v>0.0</v>
      </c>
      <c r="G610" s="1">
        <v>17.0</v>
      </c>
      <c r="H610" s="1">
        <v>0.0</v>
      </c>
      <c r="I610" s="1">
        <v>20.53</v>
      </c>
    </row>
    <row r="611">
      <c r="A611" s="2" t="s">
        <v>10067</v>
      </c>
      <c r="B611" s="1">
        <v>200.0</v>
      </c>
      <c r="C611" s="1" t="s">
        <v>10068</v>
      </c>
      <c r="D611" s="1" t="s">
        <v>583</v>
      </c>
    </row>
    <row r="612">
      <c r="A612" s="2" t="s">
        <v>10069</v>
      </c>
      <c r="B612" s="1">
        <v>200.0</v>
      </c>
      <c r="C612" s="1" t="s">
        <v>10070</v>
      </c>
      <c r="D612" s="1" t="s">
        <v>583</v>
      </c>
      <c r="F612" s="1">
        <v>1.0</v>
      </c>
      <c r="G612" s="1">
        <v>46.0</v>
      </c>
      <c r="H612" s="1">
        <v>0.022</v>
      </c>
      <c r="I612" s="1">
        <v>23.85</v>
      </c>
    </row>
    <row r="613">
      <c r="A613" s="2" t="s">
        <v>10071</v>
      </c>
      <c r="B613" s="1">
        <v>200.0</v>
      </c>
      <c r="C613" s="1" t="s">
        <v>10072</v>
      </c>
      <c r="D613" s="1" t="s">
        <v>583</v>
      </c>
      <c r="F613" s="1">
        <v>0.0</v>
      </c>
      <c r="G613" s="1">
        <v>35.0</v>
      </c>
      <c r="H613" s="1">
        <v>0.0</v>
      </c>
      <c r="I613" s="1">
        <v>17.6</v>
      </c>
    </row>
    <row r="614">
      <c r="A614" s="2" t="s">
        <v>10073</v>
      </c>
      <c r="B614" s="1">
        <v>200.0</v>
      </c>
      <c r="C614" s="1" t="s">
        <v>10074</v>
      </c>
      <c r="D614" s="1" t="s">
        <v>583</v>
      </c>
      <c r="F614" s="1">
        <v>0.0</v>
      </c>
      <c r="G614" s="1">
        <v>101.0</v>
      </c>
      <c r="H614" s="1">
        <v>0.0</v>
      </c>
      <c r="I614" s="1">
        <v>21.6</v>
      </c>
    </row>
    <row r="615">
      <c r="A615" s="2" t="s">
        <v>10075</v>
      </c>
      <c r="B615" s="1">
        <v>200.0</v>
      </c>
      <c r="C615" s="1" t="s">
        <v>10076</v>
      </c>
      <c r="D615" s="1" t="s">
        <v>583</v>
      </c>
      <c r="F615" s="1">
        <v>0.0</v>
      </c>
      <c r="G615" s="1">
        <v>11.0</v>
      </c>
      <c r="H615" s="1">
        <v>0.0</v>
      </c>
      <c r="I615" s="1">
        <v>12.73</v>
      </c>
    </row>
    <row r="616">
      <c r="A616" s="2" t="s">
        <v>10077</v>
      </c>
      <c r="B616" s="1">
        <v>200.0</v>
      </c>
      <c r="C616" s="1" t="s">
        <v>10078</v>
      </c>
      <c r="D616" s="1" t="s">
        <v>583</v>
      </c>
      <c r="F616" s="1">
        <v>0.0</v>
      </c>
      <c r="G616" s="1">
        <v>22.0</v>
      </c>
      <c r="H616" s="1">
        <v>0.0</v>
      </c>
      <c r="I616" s="1">
        <v>28.95</v>
      </c>
    </row>
    <row r="617">
      <c r="A617" s="2" t="s">
        <v>10079</v>
      </c>
      <c r="B617" s="1">
        <v>200.0</v>
      </c>
      <c r="C617" s="1" t="s">
        <v>10080</v>
      </c>
      <c r="D617" s="1" t="s">
        <v>583</v>
      </c>
      <c r="F617" s="1">
        <v>1.0</v>
      </c>
      <c r="G617" s="1">
        <v>173.0</v>
      </c>
      <c r="H617" s="1">
        <v>0.006</v>
      </c>
      <c r="I617" s="1">
        <v>10.32</v>
      </c>
    </row>
    <row r="618">
      <c r="A618" s="2" t="s">
        <v>10081</v>
      </c>
      <c r="B618" s="1">
        <v>200.0</v>
      </c>
      <c r="C618" s="1" t="s">
        <v>10082</v>
      </c>
      <c r="D618" s="1" t="s">
        <v>583</v>
      </c>
      <c r="F618" s="1">
        <v>0.0</v>
      </c>
      <c r="G618" s="1">
        <v>68.0</v>
      </c>
      <c r="H618" s="1">
        <v>0.0</v>
      </c>
      <c r="I618" s="1">
        <v>11.0</v>
      </c>
    </row>
    <row r="619">
      <c r="A619" s="2" t="s">
        <v>10083</v>
      </c>
      <c r="B619" s="1">
        <v>200.0</v>
      </c>
      <c r="C619" s="1" t="s">
        <v>10084</v>
      </c>
      <c r="D619" s="1" t="s">
        <v>583</v>
      </c>
      <c r="F619" s="1">
        <v>0.0</v>
      </c>
      <c r="G619" s="1">
        <v>32.0</v>
      </c>
      <c r="H619" s="1">
        <v>0.0</v>
      </c>
      <c r="I619" s="1">
        <v>20.06</v>
      </c>
    </row>
    <row r="620">
      <c r="A620" s="2" t="s">
        <v>10085</v>
      </c>
      <c r="B620" s="1">
        <v>200.0</v>
      </c>
      <c r="C620" s="1" t="s">
        <v>10086</v>
      </c>
      <c r="D620" s="1" t="s">
        <v>583</v>
      </c>
      <c r="F620" s="1">
        <v>1.0</v>
      </c>
      <c r="G620" s="1">
        <v>184.0</v>
      </c>
      <c r="H620" s="1">
        <v>0.005</v>
      </c>
      <c r="I620" s="1">
        <v>21.42</v>
      </c>
    </row>
    <row r="621">
      <c r="A621" s="2" t="s">
        <v>10087</v>
      </c>
      <c r="B621" s="1">
        <v>200.0</v>
      </c>
      <c r="C621" s="1" t="s">
        <v>10088</v>
      </c>
      <c r="D621" s="1" t="s">
        <v>583</v>
      </c>
      <c r="F621" s="1">
        <v>0.0</v>
      </c>
      <c r="G621" s="1">
        <v>7.0</v>
      </c>
      <c r="H621" s="1">
        <v>0.0</v>
      </c>
      <c r="I621" s="1">
        <v>12.86</v>
      </c>
    </row>
    <row r="622">
      <c r="A622" s="2" t="s">
        <v>10089</v>
      </c>
      <c r="B622" s="1">
        <v>200.0</v>
      </c>
      <c r="C622" s="1" t="s">
        <v>10090</v>
      </c>
      <c r="D622" s="1" t="s">
        <v>583</v>
      </c>
      <c r="F622" s="1">
        <v>2.0</v>
      </c>
      <c r="G622" s="1">
        <v>514.0</v>
      </c>
      <c r="H622" s="1">
        <v>0.004</v>
      </c>
      <c r="I622" s="1">
        <v>10.79</v>
      </c>
    </row>
    <row r="623">
      <c r="A623" s="2" t="s">
        <v>10091</v>
      </c>
      <c r="B623" s="1">
        <v>200.0</v>
      </c>
      <c r="C623" s="1" t="s">
        <v>10092</v>
      </c>
      <c r="D623" s="1" t="s">
        <v>583</v>
      </c>
      <c r="F623" s="1">
        <v>0.0</v>
      </c>
      <c r="G623" s="1">
        <v>105.0</v>
      </c>
      <c r="H623" s="1">
        <v>0.0</v>
      </c>
      <c r="I623" s="1">
        <v>28.48</v>
      </c>
    </row>
    <row r="624">
      <c r="A624" s="2" t="s">
        <v>10093</v>
      </c>
      <c r="B624" s="1">
        <v>200.0</v>
      </c>
      <c r="C624" s="1" t="s">
        <v>10094</v>
      </c>
      <c r="D624" s="1" t="s">
        <v>583</v>
      </c>
      <c r="F624" s="1">
        <v>1.0</v>
      </c>
      <c r="G624" s="1">
        <v>349.0</v>
      </c>
      <c r="H624" s="1">
        <v>0.003</v>
      </c>
      <c r="I624" s="1">
        <v>22.8</v>
      </c>
    </row>
    <row r="625">
      <c r="A625" s="2" t="s">
        <v>10095</v>
      </c>
      <c r="B625" s="1">
        <v>200.0</v>
      </c>
      <c r="C625" s="1" t="s">
        <v>10096</v>
      </c>
      <c r="D625" s="1" t="s">
        <v>583</v>
      </c>
      <c r="F625" s="1">
        <v>3.0</v>
      </c>
      <c r="G625" s="1">
        <v>236.0</v>
      </c>
      <c r="H625" s="1">
        <v>0.013</v>
      </c>
      <c r="I625" s="1">
        <v>18.33</v>
      </c>
    </row>
    <row r="626">
      <c r="A626" s="2" t="s">
        <v>10097</v>
      </c>
      <c r="B626" s="1">
        <v>200.0</v>
      </c>
      <c r="C626" s="1" t="s">
        <v>9322</v>
      </c>
      <c r="D626" s="1" t="s">
        <v>609</v>
      </c>
      <c r="E626" s="1" t="s">
        <v>631</v>
      </c>
      <c r="F626" s="1">
        <v>0.0</v>
      </c>
      <c r="G626" s="1">
        <v>10.0</v>
      </c>
      <c r="H626" s="1">
        <v>0.0</v>
      </c>
      <c r="I626" s="1">
        <v>20.4</v>
      </c>
    </row>
    <row r="627">
      <c r="A627" s="2" t="s">
        <v>10098</v>
      </c>
      <c r="B627" s="1">
        <v>200.0</v>
      </c>
      <c r="C627" s="1" t="s">
        <v>10099</v>
      </c>
      <c r="D627" s="1" t="s">
        <v>583</v>
      </c>
      <c r="F627" s="1">
        <v>1.0</v>
      </c>
      <c r="G627" s="1">
        <v>87.0</v>
      </c>
      <c r="H627" s="1">
        <v>0.011</v>
      </c>
      <c r="I627" s="1">
        <v>15.84</v>
      </c>
    </row>
    <row r="628">
      <c r="A628" s="2" t="s">
        <v>10100</v>
      </c>
      <c r="B628" s="1">
        <v>200.0</v>
      </c>
      <c r="C628" s="1" t="s">
        <v>10101</v>
      </c>
      <c r="D628" s="1" t="s">
        <v>583</v>
      </c>
      <c r="F628" s="1">
        <v>0.0</v>
      </c>
      <c r="G628" s="1">
        <v>33.0</v>
      </c>
      <c r="H628" s="1">
        <v>0.0</v>
      </c>
      <c r="I628" s="1">
        <v>15.85</v>
      </c>
    </row>
    <row r="629">
      <c r="A629" s="2" t="s">
        <v>10102</v>
      </c>
      <c r="B629" s="1">
        <v>200.0</v>
      </c>
      <c r="C629" s="1" t="s">
        <v>10103</v>
      </c>
      <c r="D629" s="1" t="s">
        <v>583</v>
      </c>
      <c r="F629" s="1">
        <v>0.0</v>
      </c>
      <c r="G629" s="1">
        <v>9.0</v>
      </c>
      <c r="H629" s="1">
        <v>0.0</v>
      </c>
      <c r="I629" s="1">
        <v>42.78</v>
      </c>
    </row>
    <row r="630">
      <c r="A630" s="2" t="s">
        <v>10104</v>
      </c>
      <c r="B630" s="1">
        <v>200.0</v>
      </c>
      <c r="C630" s="1" t="s">
        <v>10105</v>
      </c>
      <c r="D630" s="1" t="s">
        <v>583</v>
      </c>
      <c r="F630" s="1">
        <v>0.0</v>
      </c>
      <c r="G630" s="1">
        <v>5.0</v>
      </c>
      <c r="H630" s="1">
        <v>0.0</v>
      </c>
      <c r="I630" s="1">
        <v>18.0</v>
      </c>
    </row>
    <row r="631">
      <c r="A631" s="2" t="s">
        <v>10106</v>
      </c>
      <c r="B631" s="1">
        <v>200.0</v>
      </c>
      <c r="C631" s="1" t="s">
        <v>10107</v>
      </c>
      <c r="D631" s="1" t="s">
        <v>583</v>
      </c>
      <c r="F631" s="1">
        <v>10.0</v>
      </c>
      <c r="G631" s="1">
        <v>1727.0</v>
      </c>
      <c r="H631" s="1">
        <v>0.006</v>
      </c>
      <c r="I631" s="1">
        <v>29.03</v>
      </c>
    </row>
    <row r="632">
      <c r="A632" s="2" t="s">
        <v>10108</v>
      </c>
      <c r="B632" s="1">
        <v>200.0</v>
      </c>
      <c r="C632" s="1" t="s">
        <v>10109</v>
      </c>
      <c r="D632" s="1" t="s">
        <v>583</v>
      </c>
      <c r="F632" s="1">
        <v>394.0</v>
      </c>
      <c r="G632" s="1">
        <v>35255.0</v>
      </c>
      <c r="H632" s="1">
        <v>0.011</v>
      </c>
      <c r="I632" s="1">
        <v>16.22</v>
      </c>
    </row>
    <row r="633">
      <c r="A633" s="2" t="s">
        <v>10110</v>
      </c>
      <c r="B633" s="1">
        <v>200.0</v>
      </c>
      <c r="C633" s="1" t="s">
        <v>10111</v>
      </c>
      <c r="D633" s="1" t="s">
        <v>583</v>
      </c>
      <c r="F633" s="1">
        <v>221.0</v>
      </c>
      <c r="G633" s="1">
        <v>16262.0</v>
      </c>
      <c r="H633" s="1">
        <v>0.014</v>
      </c>
      <c r="I633" s="1">
        <v>14.28</v>
      </c>
    </row>
    <row r="634">
      <c r="A634" s="2" t="s">
        <v>10112</v>
      </c>
      <c r="B634" s="1">
        <v>200.0</v>
      </c>
      <c r="C634" s="1" t="s">
        <v>10113</v>
      </c>
      <c r="D634" s="1" t="s">
        <v>583</v>
      </c>
      <c r="F634" s="1">
        <v>15.0</v>
      </c>
      <c r="G634" s="1">
        <v>3456.0</v>
      </c>
      <c r="H634" s="1">
        <v>0.004</v>
      </c>
      <c r="I634" s="1">
        <v>16.64</v>
      </c>
    </row>
    <row r="635">
      <c r="A635" s="2" t="s">
        <v>10114</v>
      </c>
      <c r="B635" s="1">
        <v>200.0</v>
      </c>
      <c r="C635" s="1" t="s">
        <v>10115</v>
      </c>
      <c r="D635" s="1" t="s">
        <v>583</v>
      </c>
      <c r="F635" s="1">
        <v>2.0</v>
      </c>
      <c r="G635" s="1">
        <v>600.0</v>
      </c>
      <c r="H635" s="1">
        <v>0.003</v>
      </c>
      <c r="I635" s="1">
        <v>13.86</v>
      </c>
    </row>
    <row r="636">
      <c r="A636" s="2" t="s">
        <v>10116</v>
      </c>
      <c r="B636" s="1">
        <v>200.0</v>
      </c>
      <c r="C636" s="1" t="s">
        <v>10117</v>
      </c>
      <c r="D636" s="1" t="s">
        <v>583</v>
      </c>
      <c r="F636" s="1">
        <v>0.0</v>
      </c>
      <c r="G636" s="1">
        <v>38.0</v>
      </c>
      <c r="H636" s="1">
        <v>0.0</v>
      </c>
      <c r="I636" s="1">
        <v>25.32</v>
      </c>
    </row>
    <row r="637">
      <c r="A637" s="2" t="s">
        <v>10118</v>
      </c>
      <c r="B637" s="1">
        <v>200.0</v>
      </c>
      <c r="C637" s="1" t="s">
        <v>10119</v>
      </c>
      <c r="D637" s="1" t="s">
        <v>583</v>
      </c>
      <c r="F637" s="1">
        <v>0.0</v>
      </c>
      <c r="G637" s="1">
        <v>56.0</v>
      </c>
      <c r="H637" s="1">
        <v>0.0</v>
      </c>
      <c r="I637" s="1">
        <v>19.5</v>
      </c>
    </row>
    <row r="638">
      <c r="A638" s="2" t="s">
        <v>10120</v>
      </c>
      <c r="B638" s="1">
        <v>200.0</v>
      </c>
      <c r="C638" s="1" t="s">
        <v>10121</v>
      </c>
      <c r="D638" s="1" t="s">
        <v>583</v>
      </c>
      <c r="F638" s="1">
        <v>1.0</v>
      </c>
      <c r="G638" s="1">
        <v>307.0</v>
      </c>
      <c r="H638" s="1">
        <v>0.003</v>
      </c>
      <c r="I638" s="1">
        <v>34.25</v>
      </c>
    </row>
    <row r="639">
      <c r="A639" s="2" t="s">
        <v>10122</v>
      </c>
      <c r="B639" s="1">
        <v>200.0</v>
      </c>
      <c r="C639" s="1" t="s">
        <v>10123</v>
      </c>
      <c r="D639" s="1" t="s">
        <v>583</v>
      </c>
      <c r="F639" s="1">
        <v>1.0</v>
      </c>
      <c r="G639" s="1">
        <v>62.0</v>
      </c>
      <c r="H639" s="1">
        <v>0.016</v>
      </c>
      <c r="I639" s="1">
        <v>49.73</v>
      </c>
    </row>
    <row r="640">
      <c r="A640" s="2" t="s">
        <v>10124</v>
      </c>
      <c r="B640" s="1">
        <v>200.0</v>
      </c>
      <c r="C640" s="1" t="s">
        <v>10125</v>
      </c>
      <c r="D640" s="1" t="s">
        <v>583</v>
      </c>
      <c r="F640" s="1">
        <v>0.0</v>
      </c>
      <c r="G640" s="1">
        <v>271.0</v>
      </c>
      <c r="H640" s="1">
        <v>0.0</v>
      </c>
      <c r="I640" s="1">
        <v>33.74</v>
      </c>
    </row>
    <row r="641">
      <c r="A641" s="2" t="s">
        <v>10126</v>
      </c>
      <c r="B641" s="1">
        <v>200.0</v>
      </c>
      <c r="C641" s="1" t="s">
        <v>10127</v>
      </c>
      <c r="D641" s="1" t="s">
        <v>583</v>
      </c>
      <c r="F641" s="1">
        <v>0.0</v>
      </c>
      <c r="G641" s="1">
        <v>47.0</v>
      </c>
      <c r="H641" s="1">
        <v>0.0</v>
      </c>
      <c r="I641" s="1">
        <v>22.68</v>
      </c>
    </row>
    <row r="642">
      <c r="A642" s="2" t="s">
        <v>10128</v>
      </c>
      <c r="B642" s="1">
        <v>200.0</v>
      </c>
      <c r="C642" s="1" t="s">
        <v>10129</v>
      </c>
      <c r="D642" s="1" t="s">
        <v>583</v>
      </c>
      <c r="F642" s="1">
        <v>1.0</v>
      </c>
      <c r="G642" s="1">
        <v>238.0</v>
      </c>
      <c r="H642" s="1">
        <v>0.004</v>
      </c>
      <c r="I642" s="1">
        <v>27.63</v>
      </c>
    </row>
    <row r="643">
      <c r="A643" s="2" t="s">
        <v>10130</v>
      </c>
      <c r="B643" s="1">
        <v>200.0</v>
      </c>
      <c r="C643" s="1" t="s">
        <v>10131</v>
      </c>
      <c r="D643" s="1" t="s">
        <v>583</v>
      </c>
      <c r="F643" s="1">
        <v>0.0</v>
      </c>
      <c r="G643" s="1">
        <v>64.0</v>
      </c>
      <c r="H643" s="1">
        <v>0.0</v>
      </c>
      <c r="I643" s="1">
        <v>14.2</v>
      </c>
    </row>
    <row r="644">
      <c r="A644" s="2" t="s">
        <v>10132</v>
      </c>
      <c r="B644" s="1">
        <v>200.0</v>
      </c>
      <c r="C644" s="1" t="s">
        <v>10133</v>
      </c>
      <c r="D644" s="1" t="s">
        <v>583</v>
      </c>
      <c r="F644" s="1">
        <v>0.0</v>
      </c>
      <c r="G644" s="1">
        <v>100.0</v>
      </c>
      <c r="H644" s="1">
        <v>0.0</v>
      </c>
      <c r="I644" s="1">
        <v>17.61</v>
      </c>
    </row>
    <row r="645">
      <c r="A645" s="2" t="s">
        <v>10134</v>
      </c>
      <c r="B645" s="1">
        <v>200.0</v>
      </c>
      <c r="C645" s="1" t="s">
        <v>10135</v>
      </c>
      <c r="D645" s="1" t="s">
        <v>583</v>
      </c>
      <c r="F645" s="1">
        <v>1.0</v>
      </c>
      <c r="G645" s="1">
        <v>149.0</v>
      </c>
      <c r="H645" s="1">
        <v>0.007</v>
      </c>
      <c r="I645" s="1">
        <v>19.89</v>
      </c>
    </row>
    <row r="646">
      <c r="A646" s="2" t="s">
        <v>10136</v>
      </c>
      <c r="B646" s="1">
        <v>200.0</v>
      </c>
      <c r="C646" s="1" t="s">
        <v>10137</v>
      </c>
      <c r="D646" s="1" t="s">
        <v>583</v>
      </c>
      <c r="F646" s="1">
        <v>0.0</v>
      </c>
      <c r="G646" s="1">
        <v>186.0</v>
      </c>
      <c r="H646" s="1">
        <v>0.0</v>
      </c>
      <c r="I646" s="1">
        <v>24.85</v>
      </c>
    </row>
    <row r="647">
      <c r="A647" s="2" t="s">
        <v>10138</v>
      </c>
      <c r="B647" s="1">
        <v>200.0</v>
      </c>
      <c r="C647" s="1" t="s">
        <v>10139</v>
      </c>
      <c r="D647" s="1" t="s">
        <v>583</v>
      </c>
      <c r="F647" s="1">
        <v>4.0</v>
      </c>
      <c r="G647" s="1">
        <v>260.0</v>
      </c>
      <c r="H647" s="1">
        <v>0.015</v>
      </c>
      <c r="I647" s="1">
        <v>29.45</v>
      </c>
    </row>
    <row r="648">
      <c r="A648" s="2" t="s">
        <v>10140</v>
      </c>
      <c r="B648" s="1">
        <v>200.0</v>
      </c>
      <c r="C648" s="1" t="s">
        <v>10141</v>
      </c>
      <c r="D648" s="1" t="s">
        <v>583</v>
      </c>
      <c r="F648" s="1">
        <v>1.0</v>
      </c>
      <c r="G648" s="1">
        <v>40.0</v>
      </c>
      <c r="H648" s="1">
        <v>0.025</v>
      </c>
      <c r="I648" s="1">
        <v>15.43</v>
      </c>
    </row>
    <row r="649">
      <c r="A649" s="2" t="s">
        <v>10142</v>
      </c>
      <c r="B649" s="1">
        <v>200.0</v>
      </c>
      <c r="C649" s="1" t="s">
        <v>10143</v>
      </c>
      <c r="D649" s="1" t="s">
        <v>583</v>
      </c>
      <c r="F649" s="1">
        <v>6.0</v>
      </c>
      <c r="G649" s="1">
        <v>1685.0</v>
      </c>
      <c r="H649" s="1">
        <v>0.004</v>
      </c>
      <c r="I649" s="1">
        <v>11.67</v>
      </c>
    </row>
    <row r="650">
      <c r="A650" s="2" t="s">
        <v>10144</v>
      </c>
      <c r="B650" s="1">
        <v>200.0</v>
      </c>
      <c r="C650" s="1" t="s">
        <v>10145</v>
      </c>
      <c r="D650" s="1" t="s">
        <v>583</v>
      </c>
      <c r="F650" s="1">
        <v>2.0</v>
      </c>
      <c r="G650" s="1">
        <v>74.0</v>
      </c>
      <c r="H650" s="1">
        <v>0.027</v>
      </c>
      <c r="I650" s="1">
        <v>21.38</v>
      </c>
    </row>
    <row r="651">
      <c r="A651" s="2" t="s">
        <v>10146</v>
      </c>
      <c r="B651" s="1">
        <v>200.0</v>
      </c>
      <c r="C651" s="1" t="s">
        <v>10147</v>
      </c>
      <c r="D651" s="1" t="s">
        <v>583</v>
      </c>
      <c r="F651" s="1">
        <v>2.0</v>
      </c>
      <c r="G651" s="1">
        <v>298.0</v>
      </c>
      <c r="H651" s="1">
        <v>0.007</v>
      </c>
      <c r="I651" s="1">
        <v>34.68</v>
      </c>
    </row>
    <row r="652">
      <c r="A652" s="2" t="s">
        <v>10148</v>
      </c>
      <c r="B652" s="1">
        <v>200.0</v>
      </c>
      <c r="C652" s="1" t="s">
        <v>10149</v>
      </c>
      <c r="D652" s="1" t="s">
        <v>583</v>
      </c>
      <c r="F652" s="1">
        <v>3.0</v>
      </c>
      <c r="G652" s="1">
        <v>210.0</v>
      </c>
      <c r="H652" s="1">
        <v>0.014</v>
      </c>
      <c r="I652" s="1">
        <v>35.48</v>
      </c>
    </row>
    <row r="653">
      <c r="A653" s="2" t="s">
        <v>10150</v>
      </c>
      <c r="B653" s="1">
        <v>200.0</v>
      </c>
      <c r="C653" s="1" t="s">
        <v>10151</v>
      </c>
      <c r="D653" s="1" t="s">
        <v>583</v>
      </c>
      <c r="F653" s="1">
        <v>1.0</v>
      </c>
      <c r="G653" s="1">
        <v>12.0</v>
      </c>
      <c r="H653" s="1">
        <v>0.083</v>
      </c>
      <c r="I653" s="1">
        <v>33.75</v>
      </c>
    </row>
    <row r="654">
      <c r="A654" s="2" t="s">
        <v>10152</v>
      </c>
      <c r="B654" s="1">
        <v>200.0</v>
      </c>
      <c r="C654" s="1" t="s">
        <v>10153</v>
      </c>
      <c r="D654" s="1" t="s">
        <v>583</v>
      </c>
      <c r="F654" s="1">
        <v>0.0</v>
      </c>
      <c r="G654" s="1">
        <v>74.0</v>
      </c>
      <c r="H654" s="1">
        <v>0.0</v>
      </c>
      <c r="I654" s="1">
        <v>32.76</v>
      </c>
    </row>
    <row r="655">
      <c r="A655" s="2" t="s">
        <v>10154</v>
      </c>
      <c r="B655" s="1">
        <v>200.0</v>
      </c>
      <c r="C655" s="1" t="s">
        <v>10155</v>
      </c>
      <c r="D655" s="1" t="s">
        <v>583</v>
      </c>
      <c r="F655" s="1">
        <v>0.0</v>
      </c>
      <c r="G655" s="1">
        <v>54.0</v>
      </c>
      <c r="H655" s="1">
        <v>0.0</v>
      </c>
      <c r="I655" s="1">
        <v>10.7</v>
      </c>
    </row>
    <row r="656">
      <c r="A656" s="2" t="s">
        <v>10156</v>
      </c>
      <c r="B656" s="1">
        <v>200.0</v>
      </c>
      <c r="C656" s="1" t="s">
        <v>10157</v>
      </c>
      <c r="D656" s="1" t="s">
        <v>583</v>
      </c>
      <c r="F656" s="1">
        <v>0.0</v>
      </c>
      <c r="G656" s="1">
        <v>109.0</v>
      </c>
      <c r="H656" s="1">
        <v>0.0</v>
      </c>
      <c r="I656" s="1">
        <v>40.16</v>
      </c>
    </row>
    <row r="657">
      <c r="A657" s="2" t="s">
        <v>10158</v>
      </c>
      <c r="B657" s="1">
        <v>200.0</v>
      </c>
      <c r="C657" s="1" t="s">
        <v>10159</v>
      </c>
      <c r="D657" s="1" t="s">
        <v>583</v>
      </c>
      <c r="F657" s="1">
        <v>3.0</v>
      </c>
      <c r="G657" s="1">
        <v>1393.0</v>
      </c>
      <c r="H657" s="1">
        <v>0.002</v>
      </c>
      <c r="I657" s="1">
        <v>63.0</v>
      </c>
    </row>
    <row r="658">
      <c r="A658" s="2" t="s">
        <v>10160</v>
      </c>
      <c r="B658" s="1">
        <v>200.0</v>
      </c>
      <c r="C658" s="1" t="s">
        <v>10161</v>
      </c>
      <c r="D658" s="1" t="s">
        <v>583</v>
      </c>
      <c r="F658" s="1">
        <v>2.0</v>
      </c>
      <c r="G658" s="1">
        <v>25.0</v>
      </c>
      <c r="H658" s="1">
        <v>0.08</v>
      </c>
      <c r="I658" s="1">
        <v>27.28</v>
      </c>
    </row>
    <row r="659">
      <c r="A659" s="2" t="s">
        <v>10162</v>
      </c>
      <c r="B659" s="1">
        <v>200.0</v>
      </c>
      <c r="C659" s="1" t="s">
        <v>10163</v>
      </c>
      <c r="D659" s="1" t="s">
        <v>583</v>
      </c>
      <c r="F659" s="1">
        <v>0.0</v>
      </c>
      <c r="G659" s="1">
        <v>373.0</v>
      </c>
      <c r="H659" s="1">
        <v>0.0</v>
      </c>
      <c r="I659" s="1">
        <v>48.32</v>
      </c>
    </row>
    <row r="660">
      <c r="A660" s="2" t="s">
        <v>10164</v>
      </c>
      <c r="B660" s="1">
        <v>200.0</v>
      </c>
      <c r="C660" s="1" t="s">
        <v>10165</v>
      </c>
      <c r="D660" s="1" t="s">
        <v>583</v>
      </c>
      <c r="F660" s="1">
        <v>2.0</v>
      </c>
      <c r="G660" s="1">
        <v>358.0</v>
      </c>
      <c r="H660" s="1">
        <v>0.006</v>
      </c>
      <c r="I660" s="1">
        <v>45.43</v>
      </c>
    </row>
    <row r="661">
      <c r="A661" s="2" t="s">
        <v>10166</v>
      </c>
      <c r="B661" s="1">
        <v>200.0</v>
      </c>
      <c r="C661" s="1" t="s">
        <v>10167</v>
      </c>
      <c r="D661" s="1" t="s">
        <v>583</v>
      </c>
      <c r="F661" s="1">
        <v>0.0</v>
      </c>
      <c r="G661" s="1">
        <v>47.0</v>
      </c>
      <c r="H661" s="1">
        <v>0.0</v>
      </c>
      <c r="I661" s="1">
        <v>28.38</v>
      </c>
    </row>
    <row r="662">
      <c r="A662" s="2" t="s">
        <v>10168</v>
      </c>
      <c r="B662" s="1">
        <v>200.0</v>
      </c>
      <c r="C662" s="1" t="s">
        <v>10169</v>
      </c>
      <c r="D662" s="1" t="s">
        <v>583</v>
      </c>
      <c r="F662" s="1">
        <v>0.0</v>
      </c>
      <c r="G662" s="1">
        <v>103.0</v>
      </c>
      <c r="H662" s="1">
        <v>0.0</v>
      </c>
      <c r="I662" s="1">
        <v>46.69</v>
      </c>
    </row>
    <row r="663">
      <c r="A663" s="2" t="s">
        <v>10170</v>
      </c>
      <c r="B663" s="1">
        <v>200.0</v>
      </c>
      <c r="C663" s="1" t="s">
        <v>10171</v>
      </c>
      <c r="D663" s="1" t="s">
        <v>583</v>
      </c>
      <c r="F663" s="1">
        <v>0.0</v>
      </c>
      <c r="G663" s="1">
        <v>23.0</v>
      </c>
      <c r="H663" s="1">
        <v>0.0</v>
      </c>
      <c r="I663" s="1">
        <v>13.48</v>
      </c>
    </row>
    <row r="664">
      <c r="A664" s="2" t="s">
        <v>10172</v>
      </c>
      <c r="B664" s="1">
        <v>200.0</v>
      </c>
      <c r="C664" s="1" t="s">
        <v>10173</v>
      </c>
      <c r="D664" s="1" t="s">
        <v>583</v>
      </c>
      <c r="F664" s="1">
        <v>0.0</v>
      </c>
      <c r="G664" s="1">
        <v>121.0</v>
      </c>
      <c r="H664" s="1">
        <v>0.0</v>
      </c>
      <c r="I664" s="1">
        <v>49.05</v>
      </c>
    </row>
    <row r="665">
      <c r="A665" s="2" t="s">
        <v>10174</v>
      </c>
      <c r="B665" s="1">
        <v>200.0</v>
      </c>
      <c r="C665" s="1" t="s">
        <v>10175</v>
      </c>
      <c r="D665" s="1" t="s">
        <v>583</v>
      </c>
      <c r="F665" s="1">
        <v>3.0</v>
      </c>
      <c r="G665" s="1">
        <v>239.0</v>
      </c>
      <c r="H665" s="1">
        <v>0.013</v>
      </c>
      <c r="I665" s="1">
        <v>21.29</v>
      </c>
    </row>
    <row r="666">
      <c r="A666" s="2" t="s">
        <v>10176</v>
      </c>
      <c r="B666" s="1">
        <v>200.0</v>
      </c>
      <c r="C666" s="1" t="s">
        <v>10177</v>
      </c>
      <c r="D666" s="1" t="s">
        <v>583</v>
      </c>
      <c r="F666" s="1">
        <v>2.0</v>
      </c>
      <c r="G666" s="1">
        <v>1663.0</v>
      </c>
      <c r="H666" s="1">
        <v>0.001</v>
      </c>
      <c r="I666" s="1">
        <v>37.48</v>
      </c>
    </row>
    <row r="667">
      <c r="A667" s="2" t="s">
        <v>10178</v>
      </c>
      <c r="B667" s="1">
        <v>200.0</v>
      </c>
      <c r="C667" s="1" t="s">
        <v>10179</v>
      </c>
      <c r="D667" s="1" t="s">
        <v>583</v>
      </c>
      <c r="F667" s="1">
        <v>1.0</v>
      </c>
      <c r="G667" s="1">
        <v>459.0</v>
      </c>
      <c r="H667" s="1">
        <v>0.002</v>
      </c>
      <c r="I667" s="1">
        <v>40.12</v>
      </c>
    </row>
    <row r="668">
      <c r="A668" s="2" t="s">
        <v>10180</v>
      </c>
      <c r="B668" s="1">
        <v>200.0</v>
      </c>
      <c r="C668" s="1" t="s">
        <v>10181</v>
      </c>
      <c r="D668" s="1" t="s">
        <v>583</v>
      </c>
      <c r="F668" s="1">
        <v>3.0</v>
      </c>
      <c r="G668" s="1">
        <v>702.0</v>
      </c>
      <c r="H668" s="1">
        <v>0.004</v>
      </c>
      <c r="I668" s="1">
        <v>23.22</v>
      </c>
    </row>
    <row r="669">
      <c r="A669" s="2" t="s">
        <v>10182</v>
      </c>
      <c r="B669" s="1">
        <v>200.0</v>
      </c>
      <c r="C669" s="1" t="s">
        <v>10183</v>
      </c>
      <c r="D669" s="1" t="s">
        <v>583</v>
      </c>
      <c r="F669" s="1">
        <v>3.0</v>
      </c>
      <c r="G669" s="1">
        <v>494.0</v>
      </c>
      <c r="H669" s="1">
        <v>0.006</v>
      </c>
      <c r="I669" s="1">
        <v>30.37</v>
      </c>
    </row>
    <row r="670">
      <c r="A670" s="2" t="s">
        <v>10184</v>
      </c>
      <c r="B670" s="1">
        <v>200.0</v>
      </c>
      <c r="C670" s="1" t="s">
        <v>10185</v>
      </c>
      <c r="D670" s="1" t="s">
        <v>583</v>
      </c>
      <c r="F670" s="1">
        <v>3.0</v>
      </c>
      <c r="G670" s="1">
        <v>855.0</v>
      </c>
      <c r="H670" s="1">
        <v>0.004</v>
      </c>
      <c r="I670" s="1">
        <v>29.36</v>
      </c>
    </row>
    <row r="671">
      <c r="A671" s="2" t="s">
        <v>10186</v>
      </c>
      <c r="B671" s="1">
        <v>200.0</v>
      </c>
      <c r="C671" s="1" t="s">
        <v>10187</v>
      </c>
      <c r="D671" s="1" t="s">
        <v>583</v>
      </c>
      <c r="F671" s="1">
        <v>1.0</v>
      </c>
      <c r="G671" s="1">
        <v>513.0</v>
      </c>
      <c r="H671" s="1">
        <v>0.002</v>
      </c>
      <c r="I671" s="1">
        <v>28.07</v>
      </c>
    </row>
    <row r="672">
      <c r="A672" s="2" t="s">
        <v>10188</v>
      </c>
      <c r="B672" s="1">
        <v>200.0</v>
      </c>
      <c r="C672" s="1" t="s">
        <v>10189</v>
      </c>
      <c r="D672" s="1" t="s">
        <v>583</v>
      </c>
      <c r="F672" s="1">
        <v>0.0</v>
      </c>
      <c r="G672" s="1">
        <v>96.0</v>
      </c>
      <c r="H672" s="1">
        <v>0.0</v>
      </c>
      <c r="I672" s="1">
        <v>31.43</v>
      </c>
    </row>
    <row r="673">
      <c r="A673" s="2" t="s">
        <v>10190</v>
      </c>
      <c r="B673" s="1">
        <v>200.0</v>
      </c>
      <c r="C673" s="1" t="s">
        <v>10191</v>
      </c>
      <c r="D673" s="1" t="s">
        <v>583</v>
      </c>
      <c r="F673" s="1">
        <v>1.0</v>
      </c>
      <c r="G673" s="1">
        <v>139.0</v>
      </c>
      <c r="H673" s="1">
        <v>0.007</v>
      </c>
      <c r="I673" s="1">
        <v>46.13</v>
      </c>
    </row>
    <row r="674">
      <c r="A674" s="2" t="s">
        <v>10192</v>
      </c>
      <c r="B674" s="1">
        <v>200.0</v>
      </c>
      <c r="C674" s="1" t="s">
        <v>10193</v>
      </c>
      <c r="D674" s="1" t="s">
        <v>583</v>
      </c>
      <c r="F674" s="1">
        <v>2.0</v>
      </c>
      <c r="G674" s="1">
        <v>2249.0</v>
      </c>
      <c r="H674" s="1">
        <v>0.001</v>
      </c>
      <c r="I674" s="1">
        <v>13.68</v>
      </c>
    </row>
    <row r="675">
      <c r="A675" s="2" t="s">
        <v>10194</v>
      </c>
      <c r="B675" s="1">
        <v>200.0</v>
      </c>
      <c r="C675" s="1" t="s">
        <v>10195</v>
      </c>
      <c r="D675" s="1" t="s">
        <v>583</v>
      </c>
      <c r="F675" s="1">
        <v>0.0</v>
      </c>
      <c r="G675" s="1">
        <v>267.0</v>
      </c>
      <c r="H675" s="1">
        <v>0.0</v>
      </c>
      <c r="I675" s="1">
        <v>33.23</v>
      </c>
    </row>
    <row r="676">
      <c r="A676" s="2" t="s">
        <v>10196</v>
      </c>
      <c r="B676" s="1">
        <v>301.0</v>
      </c>
      <c r="D676" s="1" t="s">
        <v>609</v>
      </c>
      <c r="E676" s="1" t="s">
        <v>610</v>
      </c>
    </row>
    <row r="677">
      <c r="A677" s="2" t="s">
        <v>10197</v>
      </c>
      <c r="B677" s="1">
        <v>301.0</v>
      </c>
      <c r="D677" s="1" t="s">
        <v>609</v>
      </c>
      <c r="E677" s="1" t="s">
        <v>610</v>
      </c>
    </row>
    <row r="678">
      <c r="A678" s="2" t="s">
        <v>10198</v>
      </c>
      <c r="B678" s="1">
        <v>301.0</v>
      </c>
      <c r="D678" s="1" t="s">
        <v>609</v>
      </c>
      <c r="E678" s="1" t="s">
        <v>610</v>
      </c>
    </row>
    <row r="679">
      <c r="A679" s="2" t="s">
        <v>10199</v>
      </c>
      <c r="B679" s="1">
        <v>301.0</v>
      </c>
      <c r="D679" s="1" t="s">
        <v>609</v>
      </c>
      <c r="E679" s="1" t="s">
        <v>610</v>
      </c>
    </row>
    <row r="680">
      <c r="A680" s="2" t="s">
        <v>10200</v>
      </c>
      <c r="B680" s="1">
        <v>200.0</v>
      </c>
      <c r="C680" s="1" t="s">
        <v>10201</v>
      </c>
      <c r="D680" s="1" t="s">
        <v>583</v>
      </c>
      <c r="F680" s="1">
        <v>1.0</v>
      </c>
      <c r="G680" s="1">
        <v>29.0</v>
      </c>
      <c r="H680" s="1">
        <v>0.035</v>
      </c>
      <c r="I680" s="1">
        <v>37.24</v>
      </c>
    </row>
    <row r="681">
      <c r="A681" s="2" t="s">
        <v>10202</v>
      </c>
      <c r="B681" s="1">
        <v>200.0</v>
      </c>
      <c r="C681" s="1" t="s">
        <v>10203</v>
      </c>
      <c r="D681" s="1" t="s">
        <v>583</v>
      </c>
      <c r="F681" s="1">
        <v>1.0</v>
      </c>
      <c r="G681" s="1">
        <v>48.0</v>
      </c>
      <c r="H681" s="1">
        <v>0.021</v>
      </c>
      <c r="I681" s="1">
        <v>19.5</v>
      </c>
    </row>
    <row r="682">
      <c r="A682" s="2" t="s">
        <v>10204</v>
      </c>
      <c r="B682" s="1">
        <v>200.0</v>
      </c>
      <c r="C682" s="1" t="s">
        <v>10205</v>
      </c>
      <c r="D682" s="1" t="s">
        <v>583</v>
      </c>
      <c r="F682" s="1">
        <v>1.0</v>
      </c>
      <c r="G682" s="1">
        <v>133.0</v>
      </c>
      <c r="H682" s="1">
        <v>0.007</v>
      </c>
      <c r="I682" s="1">
        <v>5.21</v>
      </c>
    </row>
    <row r="683">
      <c r="A683" s="2" t="s">
        <v>10206</v>
      </c>
      <c r="B683" s="1">
        <v>200.0</v>
      </c>
      <c r="C683" s="1" t="s">
        <v>10207</v>
      </c>
      <c r="D683" s="1" t="s">
        <v>583</v>
      </c>
      <c r="F683" s="1">
        <v>1.0</v>
      </c>
      <c r="G683" s="1">
        <v>31.0</v>
      </c>
      <c r="H683" s="1">
        <v>0.032</v>
      </c>
      <c r="I683" s="1">
        <v>39.0</v>
      </c>
    </row>
    <row r="684">
      <c r="A684" s="2" t="s">
        <v>10208</v>
      </c>
      <c r="B684" s="1">
        <v>200.0</v>
      </c>
      <c r="C684" s="1" t="s">
        <v>10209</v>
      </c>
      <c r="D684" s="1" t="s">
        <v>583</v>
      </c>
      <c r="F684" s="1">
        <v>1.0</v>
      </c>
      <c r="G684" s="1">
        <v>12.0</v>
      </c>
      <c r="H684" s="1">
        <v>0.083</v>
      </c>
      <c r="I684" s="1">
        <v>46.67</v>
      </c>
    </row>
    <row r="685">
      <c r="A685" s="2" t="s">
        <v>10210</v>
      </c>
      <c r="B685" s="1">
        <v>200.0</v>
      </c>
      <c r="C685" s="1" t="s">
        <v>10211</v>
      </c>
      <c r="D685" s="1" t="s">
        <v>583</v>
      </c>
      <c r="F685" s="1">
        <v>1.0</v>
      </c>
      <c r="G685" s="1">
        <v>40.0</v>
      </c>
      <c r="H685" s="1">
        <v>0.025</v>
      </c>
      <c r="I685" s="1">
        <v>28.18</v>
      </c>
    </row>
    <row r="686">
      <c r="A686" s="2" t="s">
        <v>10212</v>
      </c>
      <c r="B686" s="1">
        <v>200.0</v>
      </c>
      <c r="C686" s="1" t="s">
        <v>10213</v>
      </c>
      <c r="D686" s="1" t="s">
        <v>583</v>
      </c>
      <c r="F686" s="1">
        <v>2.0</v>
      </c>
      <c r="G686" s="1">
        <v>153.0</v>
      </c>
      <c r="H686" s="1">
        <v>0.013</v>
      </c>
      <c r="I686" s="1">
        <v>19.52</v>
      </c>
    </row>
    <row r="687">
      <c r="A687" s="2" t="s">
        <v>10214</v>
      </c>
      <c r="B687" s="1">
        <v>200.0</v>
      </c>
      <c r="C687" s="1" t="s">
        <v>10215</v>
      </c>
      <c r="D687" s="1" t="s">
        <v>583</v>
      </c>
    </row>
    <row r="688">
      <c r="A688" s="2" t="s">
        <v>10216</v>
      </c>
      <c r="B688" s="1">
        <v>200.0</v>
      </c>
      <c r="C688" s="1" t="s">
        <v>10217</v>
      </c>
      <c r="D688" s="1" t="s">
        <v>583</v>
      </c>
      <c r="F688" s="1">
        <v>2.0</v>
      </c>
      <c r="G688" s="1">
        <v>163.0</v>
      </c>
      <c r="H688" s="1">
        <v>0.012</v>
      </c>
      <c r="I688" s="1">
        <v>23.86</v>
      </c>
    </row>
    <row r="689">
      <c r="A689" s="2" t="s">
        <v>10218</v>
      </c>
      <c r="B689" s="1">
        <v>200.0</v>
      </c>
      <c r="C689" s="1" t="s">
        <v>10219</v>
      </c>
      <c r="D689" s="1" t="s">
        <v>583</v>
      </c>
      <c r="F689" s="1">
        <v>1.0</v>
      </c>
      <c r="G689" s="1">
        <v>74.0</v>
      </c>
      <c r="H689" s="1">
        <v>0.013</v>
      </c>
      <c r="I689" s="1">
        <v>28.58</v>
      </c>
    </row>
    <row r="690">
      <c r="A690" s="2" t="s">
        <v>10220</v>
      </c>
      <c r="B690" s="1">
        <v>200.0</v>
      </c>
      <c r="C690" s="1" t="s">
        <v>10221</v>
      </c>
      <c r="D690" s="1" t="s">
        <v>583</v>
      </c>
      <c r="F690" s="1">
        <v>24.0</v>
      </c>
      <c r="G690" s="1">
        <v>2477.0</v>
      </c>
      <c r="H690" s="1">
        <v>0.01</v>
      </c>
      <c r="I690" s="1">
        <v>4.43</v>
      </c>
    </row>
    <row r="691">
      <c r="A691" s="2" t="s">
        <v>10222</v>
      </c>
      <c r="B691" s="1">
        <v>200.0</v>
      </c>
      <c r="C691" s="1" t="s">
        <v>10223</v>
      </c>
      <c r="D691" s="1" t="s">
        <v>583</v>
      </c>
    </row>
    <row r="692">
      <c r="A692" s="2" t="s">
        <v>10224</v>
      </c>
      <c r="B692" s="1">
        <v>200.0</v>
      </c>
      <c r="C692" s="1" t="s">
        <v>10225</v>
      </c>
      <c r="D692" s="1" t="s">
        <v>583</v>
      </c>
      <c r="F692" s="1">
        <v>0.0</v>
      </c>
      <c r="G692" s="1">
        <v>4.0</v>
      </c>
      <c r="H692" s="1">
        <v>0.0</v>
      </c>
      <c r="I692" s="1">
        <v>16.75</v>
      </c>
    </row>
    <row r="693">
      <c r="A693" s="2" t="s">
        <v>10226</v>
      </c>
      <c r="B693" s="1">
        <v>200.0</v>
      </c>
      <c r="C693" s="1" t="s">
        <v>10227</v>
      </c>
      <c r="D693" s="1" t="s">
        <v>583</v>
      </c>
      <c r="F693" s="1">
        <v>0.0</v>
      </c>
      <c r="G693" s="1">
        <v>2.0</v>
      </c>
      <c r="H693" s="1">
        <v>0.0</v>
      </c>
      <c r="I693" s="1">
        <v>6.5</v>
      </c>
    </row>
    <row r="694">
      <c r="A694" s="2" t="s">
        <v>10228</v>
      </c>
      <c r="B694" s="1">
        <v>200.0</v>
      </c>
      <c r="C694" s="1" t="s">
        <v>10229</v>
      </c>
      <c r="D694" s="1" t="s">
        <v>583</v>
      </c>
      <c r="F694" s="1">
        <v>11.0</v>
      </c>
      <c r="G694" s="1">
        <v>493.0</v>
      </c>
      <c r="H694" s="1">
        <v>0.022</v>
      </c>
      <c r="I694" s="1">
        <v>14.72</v>
      </c>
    </row>
    <row r="695">
      <c r="A695" s="2" t="s">
        <v>10230</v>
      </c>
      <c r="B695" s="1">
        <v>200.0</v>
      </c>
      <c r="C695" s="1" t="s">
        <v>10231</v>
      </c>
      <c r="D695" s="1" t="s">
        <v>583</v>
      </c>
      <c r="F695" s="1">
        <v>0.0</v>
      </c>
      <c r="G695" s="1">
        <v>359.0</v>
      </c>
      <c r="H695" s="1">
        <v>0.0</v>
      </c>
      <c r="I695" s="1">
        <v>46.81</v>
      </c>
    </row>
    <row r="696">
      <c r="A696" s="2" t="s">
        <v>10232</v>
      </c>
      <c r="B696" s="1">
        <v>200.0</v>
      </c>
      <c r="C696" s="1" t="s">
        <v>10233</v>
      </c>
      <c r="D696" s="1" t="s">
        <v>583</v>
      </c>
      <c r="F696" s="1">
        <v>2.0</v>
      </c>
      <c r="G696" s="1">
        <v>378.0</v>
      </c>
      <c r="H696" s="1">
        <v>0.005</v>
      </c>
      <c r="I696" s="1">
        <v>13.1</v>
      </c>
    </row>
    <row r="697">
      <c r="A697" s="2" t="s">
        <v>10234</v>
      </c>
      <c r="B697" s="1">
        <v>200.0</v>
      </c>
      <c r="C697" s="1" t="s">
        <v>10235</v>
      </c>
      <c r="D697" s="1" t="s">
        <v>583</v>
      </c>
      <c r="F697" s="1">
        <v>5.0</v>
      </c>
      <c r="G697" s="1">
        <v>628.0</v>
      </c>
      <c r="H697" s="1">
        <v>0.008</v>
      </c>
      <c r="I697" s="1">
        <v>25.24</v>
      </c>
    </row>
    <row r="698">
      <c r="A698" s="2" t="s">
        <v>10236</v>
      </c>
      <c r="B698" s="1">
        <v>200.0</v>
      </c>
      <c r="C698" s="1" t="s">
        <v>10237</v>
      </c>
      <c r="D698" s="1" t="s">
        <v>583</v>
      </c>
      <c r="F698" s="1">
        <v>0.0</v>
      </c>
      <c r="G698" s="1">
        <v>1.0</v>
      </c>
      <c r="H698" s="1">
        <v>0.0</v>
      </c>
      <c r="I698" s="1">
        <v>32.0</v>
      </c>
    </row>
    <row r="699">
      <c r="A699" s="2" t="s">
        <v>10238</v>
      </c>
      <c r="B699" s="1">
        <v>200.0</v>
      </c>
      <c r="C699" s="1" t="s">
        <v>10239</v>
      </c>
      <c r="D699" s="1" t="s">
        <v>583</v>
      </c>
      <c r="F699" s="1">
        <v>10.0</v>
      </c>
      <c r="G699" s="1">
        <v>148.0</v>
      </c>
      <c r="H699" s="1">
        <v>0.068</v>
      </c>
      <c r="I699" s="1">
        <v>9.39</v>
      </c>
    </row>
    <row r="700">
      <c r="A700" s="2" t="s">
        <v>10240</v>
      </c>
      <c r="B700" s="1">
        <v>200.0</v>
      </c>
      <c r="C700" s="1" t="s">
        <v>10241</v>
      </c>
      <c r="D700" s="1" t="s">
        <v>583</v>
      </c>
      <c r="F700" s="1">
        <v>73.0</v>
      </c>
      <c r="G700" s="1">
        <v>23906.0</v>
      </c>
      <c r="H700" s="1">
        <v>0.003</v>
      </c>
      <c r="I700" s="1">
        <v>4.11</v>
      </c>
    </row>
    <row r="701">
      <c r="A701" s="2" t="s">
        <v>10242</v>
      </c>
      <c r="B701" s="1">
        <v>200.0</v>
      </c>
      <c r="C701" s="1" t="s">
        <v>10243</v>
      </c>
      <c r="D701" s="1" t="s">
        <v>583</v>
      </c>
      <c r="F701" s="1">
        <v>0.0</v>
      </c>
      <c r="G701" s="1">
        <v>4.0</v>
      </c>
      <c r="H701" s="1">
        <v>0.0</v>
      </c>
      <c r="I701" s="1">
        <v>17.5</v>
      </c>
    </row>
    <row r="702">
      <c r="A702" s="2" t="s">
        <v>10244</v>
      </c>
      <c r="B702" s="1">
        <v>200.0</v>
      </c>
      <c r="C702" s="1" t="s">
        <v>10245</v>
      </c>
      <c r="D702" s="1" t="s">
        <v>583</v>
      </c>
      <c r="F702" s="1">
        <v>0.0</v>
      </c>
      <c r="G702" s="1">
        <v>12.0</v>
      </c>
      <c r="H702" s="1">
        <v>0.0</v>
      </c>
      <c r="I702" s="1">
        <v>10.58</v>
      </c>
    </row>
    <row r="703">
      <c r="A703" s="2" t="s">
        <v>10246</v>
      </c>
      <c r="B703" s="1">
        <v>200.0</v>
      </c>
      <c r="C703" s="1" t="s">
        <v>9043</v>
      </c>
      <c r="D703" s="1" t="s">
        <v>609</v>
      </c>
      <c r="E703" s="1" t="s">
        <v>631</v>
      </c>
      <c r="F703" s="1">
        <v>0.0</v>
      </c>
      <c r="G703" s="1">
        <v>23.0</v>
      </c>
      <c r="H703" s="1">
        <v>0.0</v>
      </c>
      <c r="I703" s="1">
        <v>16.35</v>
      </c>
    </row>
    <row r="704">
      <c r="A704" s="2" t="s">
        <v>10247</v>
      </c>
      <c r="B704" s="1">
        <v>200.0</v>
      </c>
      <c r="C704" s="1" t="s">
        <v>10248</v>
      </c>
      <c r="D704" s="1" t="s">
        <v>583</v>
      </c>
      <c r="F704" s="1">
        <v>0.0</v>
      </c>
      <c r="G704" s="1">
        <v>44.0</v>
      </c>
      <c r="H704" s="1">
        <v>0.0</v>
      </c>
      <c r="I704" s="1">
        <v>11.91</v>
      </c>
    </row>
    <row r="705">
      <c r="A705" s="2" t="s">
        <v>10249</v>
      </c>
      <c r="B705" s="1">
        <v>200.0</v>
      </c>
      <c r="C705" s="1" t="s">
        <v>9043</v>
      </c>
      <c r="D705" s="1" t="s">
        <v>609</v>
      </c>
      <c r="E705" s="1" t="s">
        <v>631</v>
      </c>
      <c r="F705" s="1">
        <v>2.0</v>
      </c>
      <c r="G705" s="1">
        <v>24.0</v>
      </c>
      <c r="H705" s="1">
        <v>0.083</v>
      </c>
      <c r="I705" s="1">
        <v>11.04</v>
      </c>
    </row>
    <row r="706">
      <c r="A706" s="2" t="s">
        <v>10250</v>
      </c>
      <c r="B706" s="1">
        <v>200.0</v>
      </c>
      <c r="C706" s="1" t="s">
        <v>10251</v>
      </c>
      <c r="D706" s="1" t="s">
        <v>583</v>
      </c>
      <c r="F706" s="1">
        <v>0.0</v>
      </c>
      <c r="G706" s="1">
        <v>8.0</v>
      </c>
      <c r="H706" s="1">
        <v>0.0</v>
      </c>
      <c r="I706" s="1">
        <v>11.75</v>
      </c>
    </row>
    <row r="707">
      <c r="A707" s="2" t="s">
        <v>10252</v>
      </c>
      <c r="B707" s="1">
        <v>200.0</v>
      </c>
      <c r="C707" s="1" t="s">
        <v>10253</v>
      </c>
      <c r="D707" s="1" t="s">
        <v>583</v>
      </c>
      <c r="F707" s="1">
        <v>0.0</v>
      </c>
      <c r="G707" s="1">
        <v>100.0</v>
      </c>
      <c r="H707" s="1">
        <v>0.0</v>
      </c>
      <c r="I707" s="1">
        <v>53.35</v>
      </c>
    </row>
    <row r="708">
      <c r="A708" s="2" t="s">
        <v>10254</v>
      </c>
      <c r="B708" s="1">
        <v>404.0</v>
      </c>
      <c r="D708" s="1" t="s">
        <v>609</v>
      </c>
      <c r="E708" s="1" t="s">
        <v>902</v>
      </c>
    </row>
    <row r="709">
      <c r="A709" s="2" t="s">
        <v>10255</v>
      </c>
      <c r="B709" s="1">
        <v>200.0</v>
      </c>
      <c r="C709" s="1" t="s">
        <v>10256</v>
      </c>
      <c r="D709" s="1" t="s">
        <v>583</v>
      </c>
      <c r="F709" s="1">
        <v>0.0</v>
      </c>
      <c r="G709" s="1">
        <v>203.0</v>
      </c>
      <c r="H709" s="1">
        <v>0.0</v>
      </c>
      <c r="I709" s="1">
        <v>17.35</v>
      </c>
    </row>
    <row r="710">
      <c r="A710" s="2" t="s">
        <v>10257</v>
      </c>
      <c r="B710" s="1">
        <v>200.0</v>
      </c>
      <c r="C710" s="1" t="s">
        <v>10258</v>
      </c>
      <c r="D710" s="1" t="s">
        <v>583</v>
      </c>
      <c r="F710" s="1">
        <v>0.0</v>
      </c>
      <c r="G710" s="1">
        <v>42.0</v>
      </c>
      <c r="H710" s="1">
        <v>0.0</v>
      </c>
      <c r="I710" s="1">
        <v>30.6</v>
      </c>
    </row>
    <row r="711">
      <c r="A711" s="2" t="s">
        <v>10259</v>
      </c>
      <c r="B711" s="1">
        <v>200.0</v>
      </c>
      <c r="C711" s="1" t="s">
        <v>10260</v>
      </c>
      <c r="D711" s="1" t="s">
        <v>583</v>
      </c>
      <c r="F711" s="1">
        <v>0.0</v>
      </c>
      <c r="G711" s="1">
        <v>143.0</v>
      </c>
      <c r="H711" s="1">
        <v>0.0</v>
      </c>
      <c r="I711" s="1">
        <v>48.03</v>
      </c>
    </row>
    <row r="712">
      <c r="A712" s="2" t="s">
        <v>10261</v>
      </c>
      <c r="B712" s="1">
        <v>200.0</v>
      </c>
      <c r="C712" s="1" t="s">
        <v>10262</v>
      </c>
      <c r="D712" s="1" t="s">
        <v>583</v>
      </c>
      <c r="F712" s="1">
        <v>0.0</v>
      </c>
      <c r="G712" s="1">
        <v>17.0</v>
      </c>
      <c r="H712" s="1">
        <v>0.0</v>
      </c>
      <c r="I712" s="1">
        <v>29.12</v>
      </c>
    </row>
    <row r="713">
      <c r="A713" s="2" t="s">
        <v>10263</v>
      </c>
      <c r="B713" s="1">
        <v>200.0</v>
      </c>
      <c r="C713" s="1" t="s">
        <v>10264</v>
      </c>
      <c r="D713" s="1" t="s">
        <v>583</v>
      </c>
      <c r="F713" s="1">
        <v>0.0</v>
      </c>
      <c r="G713" s="1">
        <v>579.0</v>
      </c>
      <c r="H713" s="1">
        <v>0.0</v>
      </c>
      <c r="I713" s="1">
        <v>38.24</v>
      </c>
    </row>
    <row r="714">
      <c r="A714" s="2" t="s">
        <v>10265</v>
      </c>
      <c r="B714" s="1">
        <v>200.0</v>
      </c>
      <c r="C714" s="1" t="s">
        <v>10266</v>
      </c>
      <c r="D714" s="1" t="s">
        <v>583</v>
      </c>
      <c r="F714" s="1">
        <v>0.0</v>
      </c>
      <c r="G714" s="1">
        <v>20.0</v>
      </c>
      <c r="H714" s="1">
        <v>0.0</v>
      </c>
      <c r="I714" s="1">
        <v>14.8</v>
      </c>
    </row>
    <row r="715">
      <c r="A715" s="2" t="s">
        <v>10267</v>
      </c>
      <c r="B715" s="1">
        <v>200.0</v>
      </c>
      <c r="C715" s="1" t="s">
        <v>10268</v>
      </c>
      <c r="D715" s="1" t="s">
        <v>583</v>
      </c>
      <c r="F715" s="1">
        <v>0.0</v>
      </c>
      <c r="G715" s="1">
        <v>293.0</v>
      </c>
      <c r="H715" s="1">
        <v>0.0</v>
      </c>
      <c r="I715" s="1">
        <v>32.55</v>
      </c>
    </row>
    <row r="716">
      <c r="A716" s="2" t="s">
        <v>10269</v>
      </c>
      <c r="B716" s="1">
        <v>200.0</v>
      </c>
      <c r="C716" s="1" t="s">
        <v>10270</v>
      </c>
      <c r="D716" s="1" t="s">
        <v>583</v>
      </c>
      <c r="F716" s="1">
        <v>0.0</v>
      </c>
      <c r="G716" s="1">
        <v>501.0</v>
      </c>
      <c r="H716" s="1">
        <v>0.0</v>
      </c>
      <c r="I716" s="1">
        <v>52.87</v>
      </c>
    </row>
    <row r="717">
      <c r="A717" s="2" t="s">
        <v>10271</v>
      </c>
      <c r="B717" s="1">
        <v>200.0</v>
      </c>
      <c r="C717" s="1" t="s">
        <v>10272</v>
      </c>
      <c r="D717" s="1" t="s">
        <v>583</v>
      </c>
      <c r="F717" s="1">
        <v>0.0</v>
      </c>
      <c r="G717" s="1">
        <v>4.0</v>
      </c>
      <c r="H717" s="1">
        <v>0.0</v>
      </c>
      <c r="I717" s="1">
        <v>8.75</v>
      </c>
    </row>
    <row r="718">
      <c r="A718" s="2" t="s">
        <v>10273</v>
      </c>
      <c r="B718" s="1">
        <v>200.0</v>
      </c>
      <c r="C718" s="1" t="s">
        <v>10274</v>
      </c>
      <c r="D718" s="1" t="s">
        <v>583</v>
      </c>
      <c r="F718" s="1">
        <v>0.0</v>
      </c>
      <c r="G718" s="1">
        <v>126.0</v>
      </c>
      <c r="H718" s="1">
        <v>0.0</v>
      </c>
      <c r="I718" s="1">
        <v>38.51</v>
      </c>
    </row>
    <row r="719">
      <c r="A719" s="2" t="s">
        <v>10275</v>
      </c>
      <c r="B719" s="1">
        <v>200.0</v>
      </c>
      <c r="C719" s="1" t="s">
        <v>10276</v>
      </c>
      <c r="D719" s="1" t="s">
        <v>583</v>
      </c>
      <c r="F719" s="1">
        <v>0.0</v>
      </c>
      <c r="G719" s="1">
        <v>125.0</v>
      </c>
      <c r="H719" s="1">
        <v>0.0</v>
      </c>
      <c r="I719" s="1">
        <v>12.77</v>
      </c>
    </row>
    <row r="720">
      <c r="A720" s="2" t="s">
        <v>10277</v>
      </c>
      <c r="B720" s="1">
        <v>200.0</v>
      </c>
      <c r="C720" s="1" t="s">
        <v>10278</v>
      </c>
      <c r="D720" s="1" t="s">
        <v>583</v>
      </c>
      <c r="F720" s="1">
        <v>0.0</v>
      </c>
      <c r="G720" s="1">
        <v>1093.0</v>
      </c>
      <c r="H720" s="1">
        <v>0.0</v>
      </c>
      <c r="I720" s="1">
        <v>29.89</v>
      </c>
    </row>
    <row r="721">
      <c r="A721" s="2" t="s">
        <v>10279</v>
      </c>
      <c r="B721" s="1">
        <v>200.0</v>
      </c>
      <c r="C721" s="1" t="s">
        <v>10280</v>
      </c>
      <c r="D721" s="1" t="s">
        <v>583</v>
      </c>
      <c r="F721" s="1">
        <v>0.0</v>
      </c>
      <c r="G721" s="1">
        <v>33.0</v>
      </c>
      <c r="H721" s="1">
        <v>0.0</v>
      </c>
      <c r="I721" s="1">
        <v>12.03</v>
      </c>
    </row>
    <row r="722">
      <c r="A722" s="2" t="s">
        <v>10281</v>
      </c>
      <c r="B722" s="1">
        <v>200.0</v>
      </c>
      <c r="C722" s="1" t="s">
        <v>10282</v>
      </c>
      <c r="D722" s="1" t="s">
        <v>583</v>
      </c>
      <c r="F722" s="1">
        <v>0.0</v>
      </c>
      <c r="G722" s="1">
        <v>326.0</v>
      </c>
      <c r="H722" s="1">
        <v>0.0</v>
      </c>
      <c r="I722" s="1">
        <v>63.86</v>
      </c>
    </row>
    <row r="723">
      <c r="A723" s="2" t="s">
        <v>10283</v>
      </c>
      <c r="B723" s="1">
        <v>200.0</v>
      </c>
      <c r="C723" s="1" t="s">
        <v>10284</v>
      </c>
      <c r="D723" s="1" t="s">
        <v>583</v>
      </c>
      <c r="F723" s="1">
        <v>0.0</v>
      </c>
      <c r="G723" s="1">
        <v>47.0</v>
      </c>
      <c r="H723" s="1">
        <v>0.0</v>
      </c>
      <c r="I723" s="1">
        <v>11.3</v>
      </c>
    </row>
    <row r="724">
      <c r="A724" s="2" t="s">
        <v>10285</v>
      </c>
      <c r="B724" s="1">
        <v>200.0</v>
      </c>
      <c r="C724" s="1" t="s">
        <v>9043</v>
      </c>
      <c r="D724" s="1" t="s">
        <v>609</v>
      </c>
      <c r="E724" s="1" t="s">
        <v>631</v>
      </c>
      <c r="F724" s="1">
        <v>0.0</v>
      </c>
      <c r="G724" s="1">
        <v>1.0</v>
      </c>
      <c r="H724" s="1">
        <v>0.0</v>
      </c>
      <c r="I724" s="1">
        <v>3.0</v>
      </c>
    </row>
    <row r="725">
      <c r="A725" s="2" t="s">
        <v>10286</v>
      </c>
      <c r="B725" s="1">
        <v>301.0</v>
      </c>
      <c r="D725" s="1" t="s">
        <v>609</v>
      </c>
      <c r="E725" s="1" t="s">
        <v>610</v>
      </c>
    </row>
    <row r="726">
      <c r="A726" s="2" t="s">
        <v>10287</v>
      </c>
      <c r="B726" s="1">
        <v>200.0</v>
      </c>
      <c r="C726" s="1" t="s">
        <v>9045</v>
      </c>
      <c r="D726" s="1" t="s">
        <v>609</v>
      </c>
      <c r="E726" s="1" t="s">
        <v>631</v>
      </c>
    </row>
    <row r="727">
      <c r="A727" s="2" t="s">
        <v>10288</v>
      </c>
      <c r="B727" s="1">
        <v>200.0</v>
      </c>
      <c r="C727" s="1" t="s">
        <v>10289</v>
      </c>
      <c r="D727" s="1" t="s">
        <v>583</v>
      </c>
      <c r="F727" s="1">
        <v>2.0</v>
      </c>
      <c r="G727" s="1">
        <v>9.0</v>
      </c>
      <c r="H727" s="1">
        <v>0.222</v>
      </c>
      <c r="I727" s="1">
        <v>5.89</v>
      </c>
    </row>
    <row r="728">
      <c r="A728" s="2" t="s">
        <v>10290</v>
      </c>
      <c r="B728" s="1">
        <v>200.0</v>
      </c>
      <c r="C728" s="1" t="s">
        <v>10291</v>
      </c>
      <c r="D728" s="1" t="s">
        <v>583</v>
      </c>
      <c r="F728" s="1">
        <v>0.0</v>
      </c>
      <c r="G728" s="1">
        <v>148.0</v>
      </c>
      <c r="H728" s="1">
        <v>0.0</v>
      </c>
      <c r="I728" s="1">
        <v>48.28</v>
      </c>
    </row>
    <row r="729">
      <c r="A729" s="2" t="s">
        <v>10292</v>
      </c>
      <c r="B729" s="1">
        <v>200.0</v>
      </c>
      <c r="C729" s="1" t="s">
        <v>10293</v>
      </c>
      <c r="D729" s="1" t="s">
        <v>583</v>
      </c>
      <c r="F729" s="1">
        <v>0.0</v>
      </c>
      <c r="G729" s="1">
        <v>92.0</v>
      </c>
      <c r="H729" s="1">
        <v>0.0</v>
      </c>
      <c r="I729" s="1">
        <v>5.62</v>
      </c>
    </row>
    <row r="730">
      <c r="A730" s="2" t="s">
        <v>10294</v>
      </c>
      <c r="B730" s="1">
        <v>301.0</v>
      </c>
      <c r="D730" s="1" t="s">
        <v>609</v>
      </c>
      <c r="E730" s="1" t="s">
        <v>610</v>
      </c>
    </row>
    <row r="731">
      <c r="A731" s="2" t="s">
        <v>10295</v>
      </c>
      <c r="B731" s="1">
        <v>200.0</v>
      </c>
      <c r="C731" s="1" t="s">
        <v>10296</v>
      </c>
      <c r="D731" s="1" t="s">
        <v>583</v>
      </c>
      <c r="F731" s="1">
        <v>3.0</v>
      </c>
      <c r="G731" s="1">
        <v>399.0</v>
      </c>
      <c r="H731" s="1">
        <v>0.007</v>
      </c>
      <c r="I731" s="1">
        <v>7.18</v>
      </c>
    </row>
    <row r="732">
      <c r="A732" s="2" t="s">
        <v>10297</v>
      </c>
      <c r="B732" s="1">
        <v>301.0</v>
      </c>
      <c r="D732" s="1" t="s">
        <v>609</v>
      </c>
      <c r="E732" s="1" t="s">
        <v>610</v>
      </c>
    </row>
    <row r="733">
      <c r="A733" s="2" t="s">
        <v>10298</v>
      </c>
      <c r="B733" s="1">
        <v>200.0</v>
      </c>
      <c r="C733" s="1" t="s">
        <v>9058</v>
      </c>
      <c r="D733" s="1" t="s">
        <v>609</v>
      </c>
      <c r="E733" s="1" t="s">
        <v>631</v>
      </c>
      <c r="F733" s="1">
        <v>0.0</v>
      </c>
      <c r="G733" s="1">
        <v>4.0</v>
      </c>
      <c r="H733" s="1">
        <v>0.0</v>
      </c>
      <c r="I733" s="1">
        <v>17.25</v>
      </c>
    </row>
    <row r="734">
      <c r="A734" s="2" t="s">
        <v>10299</v>
      </c>
      <c r="B734" s="1">
        <v>200.0</v>
      </c>
      <c r="C734" s="1" t="s">
        <v>9058</v>
      </c>
      <c r="D734" s="1" t="s">
        <v>609</v>
      </c>
      <c r="E734" s="1" t="s">
        <v>631</v>
      </c>
    </row>
    <row r="735">
      <c r="A735" s="2" t="s">
        <v>10300</v>
      </c>
      <c r="B735" s="1">
        <v>200.0</v>
      </c>
      <c r="C735" s="1" t="s">
        <v>9058</v>
      </c>
      <c r="D735" s="1" t="s">
        <v>609</v>
      </c>
      <c r="E735" s="1" t="s">
        <v>631</v>
      </c>
    </row>
    <row r="736">
      <c r="A736" s="2" t="s">
        <v>10301</v>
      </c>
      <c r="B736" s="1">
        <v>200.0</v>
      </c>
      <c r="C736" s="1" t="s">
        <v>9045</v>
      </c>
      <c r="D736" s="1" t="s">
        <v>609</v>
      </c>
      <c r="E736" s="1" t="s">
        <v>631</v>
      </c>
      <c r="F736" s="1">
        <v>0.0</v>
      </c>
      <c r="G736" s="1">
        <v>18.0</v>
      </c>
      <c r="H736" s="1">
        <v>0.0</v>
      </c>
      <c r="I736" s="1">
        <v>19.89</v>
      </c>
    </row>
    <row r="737">
      <c r="A737" s="2" t="s">
        <v>10302</v>
      </c>
      <c r="B737" s="1">
        <v>200.0</v>
      </c>
      <c r="C737" s="1" t="s">
        <v>9058</v>
      </c>
      <c r="D737" s="1" t="s">
        <v>609</v>
      </c>
      <c r="E737" s="1" t="s">
        <v>631</v>
      </c>
      <c r="F737" s="1">
        <v>0.0</v>
      </c>
      <c r="G737" s="1">
        <v>1.0</v>
      </c>
      <c r="H737" s="1">
        <v>0.0</v>
      </c>
      <c r="I737" s="1">
        <v>41.0</v>
      </c>
    </row>
    <row r="738">
      <c r="A738" s="2" t="s">
        <v>10303</v>
      </c>
      <c r="B738" s="1">
        <v>200.0</v>
      </c>
      <c r="C738" s="1" t="s">
        <v>9043</v>
      </c>
      <c r="D738" s="1" t="s">
        <v>609</v>
      </c>
      <c r="E738" s="1" t="s">
        <v>631</v>
      </c>
      <c r="F738" s="1">
        <v>0.0</v>
      </c>
      <c r="G738" s="1">
        <v>1.0</v>
      </c>
      <c r="H738" s="1">
        <v>0.0</v>
      </c>
      <c r="I738" s="1">
        <v>8.0</v>
      </c>
    </row>
    <row r="739">
      <c r="A739" s="2" t="s">
        <v>10304</v>
      </c>
      <c r="B739" s="1">
        <v>200.0</v>
      </c>
      <c r="C739" s="1" t="s">
        <v>9070</v>
      </c>
      <c r="D739" s="1" t="s">
        <v>609</v>
      </c>
      <c r="E739" s="1" t="s">
        <v>631</v>
      </c>
      <c r="F739" s="1">
        <v>0.0</v>
      </c>
      <c r="G739" s="1">
        <v>52.0</v>
      </c>
      <c r="H739" s="1">
        <v>0.0</v>
      </c>
      <c r="I739" s="1">
        <v>11.79</v>
      </c>
    </row>
    <row r="740">
      <c r="A740" s="2" t="s">
        <v>10305</v>
      </c>
      <c r="B740" s="1">
        <v>200.0</v>
      </c>
      <c r="C740" s="1" t="s">
        <v>10306</v>
      </c>
      <c r="D740" s="1" t="s">
        <v>583</v>
      </c>
      <c r="F740" s="1">
        <v>0.0</v>
      </c>
      <c r="G740" s="1">
        <v>14.0</v>
      </c>
      <c r="H740" s="1">
        <v>0.0</v>
      </c>
      <c r="I740" s="1">
        <v>9.43</v>
      </c>
    </row>
    <row r="741">
      <c r="A741" s="2" t="s">
        <v>10307</v>
      </c>
      <c r="B741" s="1">
        <v>301.0</v>
      </c>
      <c r="D741" s="1" t="s">
        <v>609</v>
      </c>
      <c r="E741" s="1" t="s">
        <v>610</v>
      </c>
    </row>
    <row r="742">
      <c r="A742" s="2" t="s">
        <v>10308</v>
      </c>
      <c r="B742" s="1">
        <v>404.0</v>
      </c>
      <c r="D742" s="1" t="s">
        <v>609</v>
      </c>
      <c r="E742" s="1" t="s">
        <v>902</v>
      </c>
    </row>
    <row r="743">
      <c r="A743" s="2" t="s">
        <v>10309</v>
      </c>
      <c r="B743" s="1">
        <v>200.0</v>
      </c>
      <c r="C743" s="1" t="s">
        <v>10310</v>
      </c>
      <c r="D743" s="1" t="s">
        <v>583</v>
      </c>
      <c r="F743" s="1">
        <v>2.0</v>
      </c>
      <c r="G743" s="1">
        <v>346.0</v>
      </c>
      <c r="H743" s="1">
        <v>0.006</v>
      </c>
      <c r="I743" s="1">
        <v>11.32</v>
      </c>
    </row>
    <row r="744">
      <c r="A744" s="2" t="s">
        <v>10311</v>
      </c>
      <c r="B744" s="1">
        <v>200.0</v>
      </c>
      <c r="C744" s="1" t="s">
        <v>10312</v>
      </c>
      <c r="D744" s="1" t="s">
        <v>583</v>
      </c>
      <c r="F744" s="1">
        <v>0.0</v>
      </c>
      <c r="G744" s="1">
        <v>38.0</v>
      </c>
      <c r="H744" s="1">
        <v>0.0</v>
      </c>
      <c r="I744" s="1">
        <v>7.11</v>
      </c>
    </row>
    <row r="745">
      <c r="A745" s="2" t="s">
        <v>10313</v>
      </c>
      <c r="B745" s="1">
        <v>200.0</v>
      </c>
      <c r="C745" s="1" t="s">
        <v>9070</v>
      </c>
      <c r="D745" s="1" t="s">
        <v>609</v>
      </c>
      <c r="E745" s="1" t="s">
        <v>631</v>
      </c>
      <c r="F745" s="1">
        <v>0.0</v>
      </c>
      <c r="G745" s="1">
        <v>47.0</v>
      </c>
      <c r="H745" s="1">
        <v>0.0</v>
      </c>
      <c r="I745" s="1">
        <v>11.74</v>
      </c>
    </row>
    <row r="746">
      <c r="A746" s="2" t="s">
        <v>10314</v>
      </c>
      <c r="B746" s="1">
        <v>200.0</v>
      </c>
      <c r="C746" s="1" t="s">
        <v>10315</v>
      </c>
      <c r="D746" s="1" t="s">
        <v>583</v>
      </c>
      <c r="F746" s="1">
        <v>4.0</v>
      </c>
      <c r="G746" s="1">
        <v>1270.0</v>
      </c>
      <c r="H746" s="1">
        <v>0.003</v>
      </c>
      <c r="I746" s="1">
        <v>15.26</v>
      </c>
    </row>
    <row r="747">
      <c r="A747" s="2" t="s">
        <v>10316</v>
      </c>
      <c r="B747" s="1">
        <v>200.0</v>
      </c>
      <c r="C747" s="1" t="s">
        <v>9070</v>
      </c>
      <c r="D747" s="1" t="s">
        <v>609</v>
      </c>
      <c r="E747" s="1" t="s">
        <v>631</v>
      </c>
      <c r="F747" s="1">
        <v>0.0</v>
      </c>
      <c r="G747" s="1">
        <v>5.0</v>
      </c>
      <c r="H747" s="1">
        <v>0.0</v>
      </c>
      <c r="I747" s="1">
        <v>16.8</v>
      </c>
    </row>
    <row r="748">
      <c r="A748" s="2" t="s">
        <v>10317</v>
      </c>
      <c r="B748" s="1">
        <v>200.0</v>
      </c>
      <c r="C748" s="1" t="s">
        <v>9070</v>
      </c>
      <c r="D748" s="1" t="s">
        <v>609</v>
      </c>
      <c r="E748" s="1" t="s">
        <v>631</v>
      </c>
      <c r="F748" s="1">
        <v>0.0</v>
      </c>
      <c r="G748" s="1">
        <v>2.0</v>
      </c>
      <c r="H748" s="1">
        <v>0.0</v>
      </c>
      <c r="I748" s="1">
        <v>42.5</v>
      </c>
    </row>
    <row r="749">
      <c r="A749" s="2" t="s">
        <v>10318</v>
      </c>
      <c r="B749" s="1">
        <v>200.0</v>
      </c>
      <c r="C749" s="1" t="s">
        <v>10319</v>
      </c>
      <c r="D749" s="1" t="s">
        <v>583</v>
      </c>
      <c r="F749" s="1">
        <v>4.0</v>
      </c>
      <c r="G749" s="1">
        <v>600.0</v>
      </c>
      <c r="H749" s="1">
        <v>0.007</v>
      </c>
      <c r="I749" s="1">
        <v>6.97</v>
      </c>
    </row>
    <row r="750">
      <c r="A750" s="2" t="s">
        <v>10320</v>
      </c>
      <c r="B750" s="1">
        <v>200.0</v>
      </c>
      <c r="C750" s="1" t="s">
        <v>10321</v>
      </c>
      <c r="D750" s="1" t="s">
        <v>583</v>
      </c>
      <c r="F750" s="1">
        <v>5.0</v>
      </c>
      <c r="G750" s="1">
        <v>256.0</v>
      </c>
      <c r="H750" s="1">
        <v>0.019</v>
      </c>
      <c r="I750" s="1">
        <v>10.77</v>
      </c>
    </row>
    <row r="751">
      <c r="A751" s="2" t="s">
        <v>10322</v>
      </c>
      <c r="B751" s="1">
        <v>200.0</v>
      </c>
      <c r="C751" s="1" t="s">
        <v>10323</v>
      </c>
      <c r="D751" s="1" t="s">
        <v>583</v>
      </c>
      <c r="F751" s="1">
        <v>1.0</v>
      </c>
      <c r="G751" s="1">
        <v>525.0</v>
      </c>
      <c r="H751" s="1">
        <v>0.002</v>
      </c>
      <c r="I751" s="1">
        <v>15.53</v>
      </c>
    </row>
    <row r="752">
      <c r="A752" s="2" t="s">
        <v>10324</v>
      </c>
      <c r="B752" s="1">
        <v>200.0</v>
      </c>
      <c r="C752" s="1" t="s">
        <v>10325</v>
      </c>
      <c r="D752" s="1" t="s">
        <v>583</v>
      </c>
      <c r="F752" s="1">
        <v>30.0</v>
      </c>
      <c r="G752" s="1">
        <v>3202.0</v>
      </c>
      <c r="H752" s="1">
        <v>0.009</v>
      </c>
      <c r="I752" s="1">
        <v>16.61</v>
      </c>
    </row>
    <row r="753">
      <c r="A753" s="2" t="s">
        <v>10326</v>
      </c>
      <c r="B753" s="1">
        <v>200.0</v>
      </c>
      <c r="C753" s="1" t="s">
        <v>10327</v>
      </c>
      <c r="D753" s="1" t="s">
        <v>583</v>
      </c>
      <c r="F753" s="1">
        <v>0.0</v>
      </c>
      <c r="G753" s="1">
        <v>135.0</v>
      </c>
      <c r="H753" s="1">
        <v>0.0</v>
      </c>
      <c r="I753" s="1">
        <v>18.14</v>
      </c>
    </row>
    <row r="754">
      <c r="A754" s="2" t="s">
        <v>10328</v>
      </c>
      <c r="B754" s="1">
        <v>200.0</v>
      </c>
      <c r="C754" s="1" t="s">
        <v>10329</v>
      </c>
      <c r="D754" s="1" t="s">
        <v>583</v>
      </c>
      <c r="F754" s="1">
        <v>2.0</v>
      </c>
      <c r="G754" s="1">
        <v>117.0</v>
      </c>
      <c r="H754" s="1">
        <v>0.017</v>
      </c>
      <c r="I754" s="1">
        <v>32.1</v>
      </c>
    </row>
    <row r="755">
      <c r="A755" s="2" t="s">
        <v>10330</v>
      </c>
      <c r="B755" s="1">
        <v>200.0</v>
      </c>
      <c r="C755" s="1" t="s">
        <v>10331</v>
      </c>
      <c r="D755" s="1" t="s">
        <v>583</v>
      </c>
      <c r="F755" s="1">
        <v>7.0</v>
      </c>
      <c r="G755" s="1">
        <v>964.0</v>
      </c>
      <c r="H755" s="1">
        <v>0.007</v>
      </c>
      <c r="I755" s="1">
        <v>26.2</v>
      </c>
    </row>
    <row r="756">
      <c r="A756" s="2" t="s">
        <v>10332</v>
      </c>
      <c r="B756" s="1">
        <v>200.0</v>
      </c>
      <c r="C756" s="1" t="s">
        <v>10333</v>
      </c>
      <c r="D756" s="1" t="s">
        <v>583</v>
      </c>
      <c r="F756" s="1">
        <v>1.0</v>
      </c>
      <c r="G756" s="1">
        <v>78.0</v>
      </c>
      <c r="H756" s="1">
        <v>0.013</v>
      </c>
      <c r="I756" s="1">
        <v>27.24</v>
      </c>
    </row>
    <row r="757">
      <c r="A757" s="2" t="s">
        <v>10334</v>
      </c>
      <c r="B757" s="1">
        <v>200.0</v>
      </c>
      <c r="C757" s="1" t="s">
        <v>10335</v>
      </c>
      <c r="D757" s="1" t="s">
        <v>583</v>
      </c>
      <c r="F757" s="1">
        <v>2.0</v>
      </c>
      <c r="G757" s="1">
        <v>46.0</v>
      </c>
      <c r="H757" s="1">
        <v>0.043</v>
      </c>
      <c r="I757" s="1">
        <v>25.93</v>
      </c>
    </row>
    <row r="758">
      <c r="A758" s="2" t="s">
        <v>10336</v>
      </c>
      <c r="B758" s="1">
        <v>200.0</v>
      </c>
      <c r="C758" s="1" t="s">
        <v>10337</v>
      </c>
      <c r="D758" s="1" t="s">
        <v>583</v>
      </c>
      <c r="F758" s="1">
        <v>2.0</v>
      </c>
      <c r="G758" s="1">
        <v>88.0</v>
      </c>
      <c r="H758" s="1">
        <v>0.023</v>
      </c>
      <c r="I758" s="1">
        <v>23.86</v>
      </c>
    </row>
    <row r="759">
      <c r="A759" s="2" t="s">
        <v>10338</v>
      </c>
      <c r="B759" s="1">
        <v>200.0</v>
      </c>
      <c r="C759" s="1" t="s">
        <v>10339</v>
      </c>
      <c r="D759" s="1" t="s">
        <v>583</v>
      </c>
      <c r="F759" s="1">
        <v>1.0</v>
      </c>
      <c r="G759" s="1">
        <v>107.0</v>
      </c>
      <c r="H759" s="1">
        <v>0.009</v>
      </c>
      <c r="I759" s="1">
        <v>22.75</v>
      </c>
    </row>
    <row r="760">
      <c r="A760" s="2" t="s">
        <v>10340</v>
      </c>
      <c r="B760" s="1">
        <v>200.0</v>
      </c>
      <c r="C760" s="1" t="s">
        <v>10341</v>
      </c>
      <c r="D760" s="1" t="s">
        <v>583</v>
      </c>
      <c r="F760" s="1">
        <v>1.0</v>
      </c>
      <c r="G760" s="1">
        <v>91.0</v>
      </c>
      <c r="H760" s="1">
        <v>0.011</v>
      </c>
      <c r="I760" s="1">
        <v>31.2</v>
      </c>
    </row>
    <row r="761">
      <c r="A761" s="2" t="s">
        <v>10342</v>
      </c>
      <c r="B761" s="1">
        <v>200.0</v>
      </c>
      <c r="C761" s="1" t="s">
        <v>10343</v>
      </c>
      <c r="D761" s="1" t="s">
        <v>583</v>
      </c>
      <c r="F761" s="1">
        <v>0.0</v>
      </c>
      <c r="G761" s="1">
        <v>96.0</v>
      </c>
      <c r="H761" s="1">
        <v>0.0</v>
      </c>
      <c r="I761" s="1">
        <v>21.39</v>
      </c>
    </row>
    <row r="762">
      <c r="A762" s="2" t="s">
        <v>10344</v>
      </c>
      <c r="B762" s="1">
        <v>200.0</v>
      </c>
      <c r="C762" s="1" t="s">
        <v>10345</v>
      </c>
      <c r="D762" s="1" t="s">
        <v>583</v>
      </c>
      <c r="F762" s="1">
        <v>1.0</v>
      </c>
      <c r="G762" s="1">
        <v>103.0</v>
      </c>
      <c r="H762" s="1">
        <v>0.01</v>
      </c>
      <c r="I762" s="1">
        <v>29.69</v>
      </c>
    </row>
    <row r="763">
      <c r="A763" s="2" t="s">
        <v>10346</v>
      </c>
      <c r="B763" s="1">
        <v>404.0</v>
      </c>
      <c r="D763" s="1" t="s">
        <v>609</v>
      </c>
      <c r="E763" s="1" t="s">
        <v>902</v>
      </c>
    </row>
    <row r="764">
      <c r="A764" s="2" t="s">
        <v>10347</v>
      </c>
      <c r="B764" s="1">
        <v>200.0</v>
      </c>
      <c r="C764" s="1" t="s">
        <v>10348</v>
      </c>
      <c r="D764" s="1" t="s">
        <v>583</v>
      </c>
      <c r="F764" s="1">
        <v>1.0</v>
      </c>
      <c r="G764" s="1">
        <v>115.0</v>
      </c>
      <c r="H764" s="1">
        <v>0.009</v>
      </c>
      <c r="I764" s="1">
        <v>17.64</v>
      </c>
    </row>
    <row r="765">
      <c r="A765" s="2" t="s">
        <v>10349</v>
      </c>
      <c r="B765" s="1">
        <v>200.0</v>
      </c>
      <c r="C765" s="1" t="s">
        <v>10350</v>
      </c>
      <c r="D765" s="1" t="s">
        <v>583</v>
      </c>
      <c r="F765" s="1">
        <v>0.0</v>
      </c>
      <c r="G765" s="1">
        <v>79.0</v>
      </c>
      <c r="H765" s="1">
        <v>0.0</v>
      </c>
      <c r="I765" s="1">
        <v>25.9</v>
      </c>
    </row>
    <row r="766">
      <c r="A766" s="2" t="s">
        <v>10351</v>
      </c>
      <c r="B766" s="1">
        <v>301.0</v>
      </c>
      <c r="D766" s="1" t="s">
        <v>609</v>
      </c>
      <c r="E766" s="1" t="s">
        <v>610</v>
      </c>
      <c r="F766" s="1">
        <v>33.0</v>
      </c>
      <c r="G766" s="1">
        <v>40774.0</v>
      </c>
      <c r="H766" s="1">
        <v>0.001</v>
      </c>
      <c r="I766" s="1">
        <v>31.41</v>
      </c>
    </row>
    <row r="767">
      <c r="A767" s="2" t="s">
        <v>10352</v>
      </c>
      <c r="B767" s="1">
        <v>200.0</v>
      </c>
      <c r="C767" s="1" t="s">
        <v>10353</v>
      </c>
      <c r="D767" s="1" t="s">
        <v>583</v>
      </c>
      <c r="F767" s="1">
        <v>0.0</v>
      </c>
      <c r="G767" s="1">
        <v>29.0</v>
      </c>
      <c r="H767" s="1">
        <v>0.0</v>
      </c>
      <c r="I767" s="1">
        <v>17.24</v>
      </c>
    </row>
    <row r="768">
      <c r="A768" s="2" t="s">
        <v>10354</v>
      </c>
      <c r="B768" s="1">
        <v>301.0</v>
      </c>
      <c r="D768" s="1" t="s">
        <v>609</v>
      </c>
      <c r="E768" s="1" t="s">
        <v>610</v>
      </c>
    </row>
    <row r="769">
      <c r="A769" s="2" t="s">
        <v>10355</v>
      </c>
      <c r="B769" s="1">
        <v>200.0</v>
      </c>
      <c r="C769" s="1" t="s">
        <v>10356</v>
      </c>
      <c r="D769" s="1" t="s">
        <v>583</v>
      </c>
      <c r="F769" s="1">
        <v>1.0</v>
      </c>
      <c r="G769" s="1">
        <v>4.0</v>
      </c>
      <c r="H769" s="1">
        <v>0.25</v>
      </c>
      <c r="I769" s="1">
        <v>113.25</v>
      </c>
    </row>
    <row r="770">
      <c r="A770" s="2" t="s">
        <v>10357</v>
      </c>
      <c r="B770" s="1">
        <v>200.0</v>
      </c>
      <c r="C770" s="1" t="s">
        <v>10358</v>
      </c>
      <c r="D770" s="1" t="s">
        <v>583</v>
      </c>
      <c r="F770" s="1">
        <v>1.0</v>
      </c>
      <c r="G770" s="1">
        <v>104.0</v>
      </c>
      <c r="H770" s="1">
        <v>0.01</v>
      </c>
      <c r="I770" s="1">
        <v>15.88</v>
      </c>
    </row>
    <row r="771">
      <c r="A771" s="2" t="s">
        <v>10359</v>
      </c>
      <c r="B771" s="1">
        <v>200.0</v>
      </c>
      <c r="C771" s="1" t="s">
        <v>9058</v>
      </c>
      <c r="D771" s="1" t="s">
        <v>609</v>
      </c>
      <c r="E771" s="1" t="s">
        <v>631</v>
      </c>
      <c r="F771" s="1">
        <v>0.0</v>
      </c>
      <c r="G771" s="1">
        <v>7.0</v>
      </c>
      <c r="H771" s="1">
        <v>0.0</v>
      </c>
      <c r="I771" s="1">
        <v>20.0</v>
      </c>
    </row>
    <row r="772">
      <c r="A772" s="2" t="s">
        <v>10360</v>
      </c>
      <c r="B772" s="1">
        <v>200.0</v>
      </c>
      <c r="C772" s="1" t="s">
        <v>10361</v>
      </c>
      <c r="D772" s="1" t="s">
        <v>583</v>
      </c>
      <c r="F772" s="1">
        <v>1.0</v>
      </c>
      <c r="G772" s="1">
        <v>10.0</v>
      </c>
      <c r="H772" s="1">
        <v>0.1</v>
      </c>
      <c r="I772" s="1">
        <v>44.8</v>
      </c>
    </row>
    <row r="773">
      <c r="A773" s="2" t="s">
        <v>10362</v>
      </c>
      <c r="B773" s="1">
        <v>200.0</v>
      </c>
      <c r="C773" s="1" t="s">
        <v>10363</v>
      </c>
      <c r="D773" s="1" t="s">
        <v>583</v>
      </c>
      <c r="F773" s="1">
        <v>0.0</v>
      </c>
      <c r="G773" s="1">
        <v>8.0</v>
      </c>
      <c r="H773" s="1">
        <v>0.0</v>
      </c>
      <c r="I773" s="1">
        <v>55.0</v>
      </c>
    </row>
    <row r="774">
      <c r="A774" s="2" t="s">
        <v>10364</v>
      </c>
      <c r="B774" s="1">
        <v>200.0</v>
      </c>
      <c r="C774" s="1" t="s">
        <v>10365</v>
      </c>
      <c r="D774" s="1" t="s">
        <v>583</v>
      </c>
      <c r="F774" s="1">
        <v>0.0</v>
      </c>
      <c r="G774" s="1">
        <v>20.0</v>
      </c>
      <c r="H774" s="1">
        <v>0.0</v>
      </c>
      <c r="I774" s="1">
        <v>23.05</v>
      </c>
    </row>
    <row r="775">
      <c r="A775" s="2" t="s">
        <v>10366</v>
      </c>
      <c r="B775" s="1">
        <v>200.0</v>
      </c>
      <c r="C775" s="1" t="s">
        <v>10367</v>
      </c>
      <c r="D775" s="1" t="s">
        <v>583</v>
      </c>
      <c r="F775" s="1">
        <v>3.0</v>
      </c>
      <c r="G775" s="1">
        <v>531.0</v>
      </c>
      <c r="H775" s="1">
        <v>0.006</v>
      </c>
      <c r="I775" s="1">
        <v>37.28</v>
      </c>
    </row>
    <row r="776">
      <c r="A776" s="2" t="s">
        <v>10368</v>
      </c>
      <c r="B776" s="1">
        <v>200.0</v>
      </c>
      <c r="C776" s="1" t="s">
        <v>10369</v>
      </c>
      <c r="D776" s="1" t="s">
        <v>583</v>
      </c>
      <c r="F776" s="1">
        <v>1.0</v>
      </c>
      <c r="G776" s="1">
        <v>14.0</v>
      </c>
      <c r="H776" s="1">
        <v>0.071</v>
      </c>
      <c r="I776" s="1">
        <v>41.29</v>
      </c>
    </row>
    <row r="777">
      <c r="A777" s="2" t="s">
        <v>10370</v>
      </c>
      <c r="B777" s="1">
        <v>200.0</v>
      </c>
      <c r="C777" s="1" t="s">
        <v>10371</v>
      </c>
      <c r="D777" s="1" t="s">
        <v>583</v>
      </c>
      <c r="F777" s="1">
        <v>1.0</v>
      </c>
      <c r="G777" s="1">
        <v>38.0</v>
      </c>
      <c r="H777" s="1">
        <v>0.026</v>
      </c>
      <c r="I777" s="1">
        <v>45.37</v>
      </c>
    </row>
    <row r="778">
      <c r="A778" s="2" t="s">
        <v>10372</v>
      </c>
      <c r="B778" s="1">
        <v>200.0</v>
      </c>
      <c r="C778" s="1" t="s">
        <v>10373</v>
      </c>
      <c r="D778" s="1" t="s">
        <v>583</v>
      </c>
      <c r="F778" s="1">
        <v>0.0</v>
      </c>
      <c r="G778" s="1">
        <v>13.0</v>
      </c>
      <c r="H778" s="1">
        <v>0.0</v>
      </c>
      <c r="I778" s="1">
        <v>21.46</v>
      </c>
    </row>
    <row r="779">
      <c r="A779" s="2" t="s">
        <v>10374</v>
      </c>
      <c r="B779" s="1">
        <v>200.0</v>
      </c>
      <c r="C779" s="1" t="s">
        <v>10375</v>
      </c>
      <c r="D779" s="1" t="s">
        <v>583</v>
      </c>
      <c r="F779" s="1">
        <v>1.0</v>
      </c>
      <c r="G779" s="1">
        <v>43.0</v>
      </c>
      <c r="H779" s="1">
        <v>0.023</v>
      </c>
      <c r="I779" s="1">
        <v>17.98</v>
      </c>
    </row>
    <row r="780">
      <c r="A780" s="2" t="s">
        <v>10376</v>
      </c>
      <c r="B780" s="1">
        <v>200.0</v>
      </c>
      <c r="C780" s="1" t="s">
        <v>10377</v>
      </c>
      <c r="D780" s="1" t="s">
        <v>583</v>
      </c>
      <c r="F780" s="1">
        <v>0.0</v>
      </c>
      <c r="G780" s="1">
        <v>263.0</v>
      </c>
      <c r="H780" s="1">
        <v>0.0</v>
      </c>
      <c r="I780" s="1">
        <v>21.96</v>
      </c>
    </row>
    <row r="781">
      <c r="A781" s="2" t="s">
        <v>10378</v>
      </c>
      <c r="B781" s="1">
        <v>200.0</v>
      </c>
      <c r="C781" s="1" t="s">
        <v>10379</v>
      </c>
      <c r="D781" s="1" t="s">
        <v>583</v>
      </c>
      <c r="F781" s="1">
        <v>0.0</v>
      </c>
      <c r="G781" s="1">
        <v>25.0</v>
      </c>
      <c r="H781" s="1">
        <v>0.0</v>
      </c>
      <c r="I781" s="1">
        <v>14.4</v>
      </c>
    </row>
    <row r="782">
      <c r="A782" s="2" t="s">
        <v>10380</v>
      </c>
      <c r="B782" s="1">
        <v>200.0</v>
      </c>
      <c r="C782" s="1" t="s">
        <v>10381</v>
      </c>
      <c r="D782" s="1" t="s">
        <v>583</v>
      </c>
      <c r="F782" s="1">
        <v>0.0</v>
      </c>
      <c r="G782" s="1">
        <v>25.0</v>
      </c>
      <c r="H782" s="1">
        <v>0.0</v>
      </c>
      <c r="I782" s="1">
        <v>12.56</v>
      </c>
    </row>
    <row r="783">
      <c r="A783" s="2" t="s">
        <v>10382</v>
      </c>
      <c r="B783" s="1">
        <v>200.0</v>
      </c>
      <c r="C783" s="1" t="s">
        <v>10383</v>
      </c>
      <c r="D783" s="1" t="s">
        <v>583</v>
      </c>
      <c r="F783" s="1">
        <v>0.0</v>
      </c>
      <c r="G783" s="1">
        <v>94.0</v>
      </c>
      <c r="H783" s="1">
        <v>0.0</v>
      </c>
      <c r="I783" s="1">
        <v>19.09</v>
      </c>
    </row>
    <row r="784">
      <c r="A784" s="2" t="s">
        <v>10384</v>
      </c>
      <c r="B784" s="1">
        <v>301.0</v>
      </c>
      <c r="D784" s="1" t="s">
        <v>609</v>
      </c>
      <c r="E784" s="1" t="s">
        <v>610</v>
      </c>
      <c r="F784" s="1">
        <v>6.0</v>
      </c>
      <c r="G784" s="1">
        <v>120.0</v>
      </c>
      <c r="H784" s="1">
        <v>0.05</v>
      </c>
      <c r="I784" s="1">
        <v>19.53</v>
      </c>
    </row>
    <row r="785">
      <c r="A785" s="2" t="s">
        <v>10385</v>
      </c>
      <c r="B785" s="1">
        <v>200.0</v>
      </c>
      <c r="C785" s="1" t="s">
        <v>10386</v>
      </c>
      <c r="D785" s="1" t="s">
        <v>583</v>
      </c>
      <c r="F785" s="1">
        <v>0.0</v>
      </c>
      <c r="G785" s="1">
        <v>16.0</v>
      </c>
      <c r="H785" s="1">
        <v>0.0</v>
      </c>
      <c r="I785" s="1">
        <v>22.88</v>
      </c>
    </row>
    <row r="786">
      <c r="A786" s="2" t="s">
        <v>10387</v>
      </c>
      <c r="B786" s="1">
        <v>200.0</v>
      </c>
      <c r="D786" s="1" t="s">
        <v>583</v>
      </c>
      <c r="F786" s="1">
        <v>0.0</v>
      </c>
      <c r="G786" s="1">
        <v>157.0</v>
      </c>
      <c r="H786" s="1">
        <v>0.0</v>
      </c>
      <c r="I786" s="1">
        <v>21.32</v>
      </c>
    </row>
    <row r="787">
      <c r="A787" s="2" t="s">
        <v>10388</v>
      </c>
      <c r="B787" s="1">
        <v>200.0</v>
      </c>
      <c r="C787" s="1" t="s">
        <v>10389</v>
      </c>
      <c r="D787" s="1" t="s">
        <v>583</v>
      </c>
      <c r="F787" s="1">
        <v>0.0</v>
      </c>
      <c r="G787" s="1">
        <v>4.0</v>
      </c>
      <c r="H787" s="1">
        <v>0.0</v>
      </c>
      <c r="I787" s="1">
        <v>10.25</v>
      </c>
    </row>
    <row r="788">
      <c r="A788" s="2" t="s">
        <v>10390</v>
      </c>
      <c r="B788" s="1">
        <v>200.0</v>
      </c>
      <c r="D788" s="1" t="s">
        <v>583</v>
      </c>
      <c r="F788" s="1">
        <v>2.0</v>
      </c>
      <c r="G788" s="1">
        <v>228.0</v>
      </c>
      <c r="H788" s="1">
        <v>0.009</v>
      </c>
      <c r="I788" s="1">
        <v>16.82</v>
      </c>
    </row>
    <row r="789">
      <c r="A789" s="2" t="s">
        <v>10391</v>
      </c>
      <c r="B789" s="1">
        <v>200.0</v>
      </c>
      <c r="C789" s="1" t="s">
        <v>10392</v>
      </c>
      <c r="D789" s="1" t="s">
        <v>583</v>
      </c>
      <c r="F789" s="1">
        <v>0.0</v>
      </c>
      <c r="G789" s="1">
        <v>83.0</v>
      </c>
      <c r="H789" s="1">
        <v>0.0</v>
      </c>
      <c r="I789" s="1">
        <v>21.89</v>
      </c>
    </row>
    <row r="790">
      <c r="A790" s="2" t="s">
        <v>10393</v>
      </c>
      <c r="B790" s="1">
        <v>200.0</v>
      </c>
      <c r="C790" s="1" t="s">
        <v>10394</v>
      </c>
      <c r="D790" s="1" t="s">
        <v>583</v>
      </c>
      <c r="F790" s="1">
        <v>66.0</v>
      </c>
      <c r="G790" s="1">
        <v>15293.0</v>
      </c>
      <c r="H790" s="1">
        <v>0.004</v>
      </c>
      <c r="I790" s="1">
        <v>11.04</v>
      </c>
    </row>
    <row r="791">
      <c r="A791" s="2" t="s">
        <v>10395</v>
      </c>
      <c r="B791" s="1">
        <v>200.0</v>
      </c>
      <c r="C791" s="1" t="s">
        <v>10396</v>
      </c>
      <c r="D791" s="1" t="s">
        <v>583</v>
      </c>
      <c r="F791" s="1">
        <v>44.0</v>
      </c>
      <c r="G791" s="1">
        <v>6677.0</v>
      </c>
      <c r="H791" s="1">
        <v>0.007</v>
      </c>
      <c r="I791" s="1">
        <v>10.08</v>
      </c>
    </row>
    <row r="792">
      <c r="A792" s="2" t="s">
        <v>10397</v>
      </c>
      <c r="B792" s="1">
        <v>200.0</v>
      </c>
      <c r="C792" s="1" t="s">
        <v>10398</v>
      </c>
      <c r="D792" s="1" t="s">
        <v>583</v>
      </c>
      <c r="F792" s="1">
        <v>0.0</v>
      </c>
      <c r="G792" s="1">
        <v>64.0</v>
      </c>
      <c r="H792" s="1">
        <v>0.0</v>
      </c>
      <c r="I792" s="1">
        <v>18.2</v>
      </c>
    </row>
    <row r="793">
      <c r="A793" s="2" t="s">
        <v>10399</v>
      </c>
      <c r="B793" s="1">
        <v>200.0</v>
      </c>
      <c r="C793" s="1" t="s">
        <v>10400</v>
      </c>
      <c r="D793" s="1" t="s">
        <v>583</v>
      </c>
      <c r="F793" s="1">
        <v>85.0</v>
      </c>
      <c r="G793" s="1">
        <v>5676.0</v>
      </c>
      <c r="H793" s="1">
        <v>0.015</v>
      </c>
      <c r="I793" s="1">
        <v>18.31</v>
      </c>
    </row>
    <row r="794">
      <c r="A794" s="2" t="s">
        <v>10401</v>
      </c>
      <c r="B794" s="1">
        <v>200.0</v>
      </c>
      <c r="C794" s="1" t="s">
        <v>10402</v>
      </c>
      <c r="D794" s="1" t="s">
        <v>583</v>
      </c>
      <c r="F794" s="1">
        <v>118.0</v>
      </c>
      <c r="G794" s="1">
        <v>7073.0</v>
      </c>
      <c r="H794" s="1">
        <v>0.017</v>
      </c>
      <c r="I794" s="1">
        <v>10.47</v>
      </c>
    </row>
    <row r="795">
      <c r="A795" s="2" t="s">
        <v>10403</v>
      </c>
      <c r="B795" s="1">
        <v>200.0</v>
      </c>
      <c r="C795" s="1" t="s">
        <v>10404</v>
      </c>
      <c r="D795" s="1" t="s">
        <v>583</v>
      </c>
      <c r="F795" s="1">
        <v>0.0</v>
      </c>
      <c r="G795" s="1">
        <v>280.0</v>
      </c>
      <c r="H795" s="1">
        <v>0.0</v>
      </c>
      <c r="I795" s="1">
        <v>18.85</v>
      </c>
    </row>
    <row r="796">
      <c r="A796" s="2" t="s">
        <v>10405</v>
      </c>
      <c r="B796" s="1">
        <v>200.0</v>
      </c>
      <c r="C796" s="1" t="s">
        <v>10406</v>
      </c>
      <c r="D796" s="1" t="s">
        <v>583</v>
      </c>
      <c r="F796" s="1">
        <v>120.0</v>
      </c>
      <c r="G796" s="1">
        <v>14548.0</v>
      </c>
      <c r="H796" s="1">
        <v>0.008</v>
      </c>
      <c r="I796" s="1">
        <v>14.47</v>
      </c>
    </row>
    <row r="797">
      <c r="A797" s="2" t="s">
        <v>10407</v>
      </c>
      <c r="B797" s="1">
        <v>200.0</v>
      </c>
      <c r="C797" s="1" t="s">
        <v>10408</v>
      </c>
      <c r="D797" s="1" t="s">
        <v>583</v>
      </c>
      <c r="F797" s="1">
        <v>1.0</v>
      </c>
      <c r="G797" s="1">
        <v>61.0</v>
      </c>
      <c r="H797" s="1">
        <v>0.016</v>
      </c>
      <c r="I797" s="1">
        <v>26.05</v>
      </c>
    </row>
    <row r="798">
      <c r="A798" s="2" t="s">
        <v>10409</v>
      </c>
      <c r="B798" s="1">
        <v>200.0</v>
      </c>
      <c r="C798" s="1" t="s">
        <v>10410</v>
      </c>
      <c r="D798" s="1" t="s">
        <v>583</v>
      </c>
      <c r="F798" s="1">
        <v>0.0</v>
      </c>
      <c r="G798" s="1">
        <v>162.0</v>
      </c>
      <c r="H798" s="1">
        <v>0.0</v>
      </c>
      <c r="I798" s="1">
        <v>20.37</v>
      </c>
    </row>
    <row r="799">
      <c r="A799" s="2" t="s">
        <v>10411</v>
      </c>
      <c r="B799" s="1">
        <v>200.0</v>
      </c>
      <c r="C799" s="1" t="s">
        <v>10412</v>
      </c>
      <c r="D799" s="1" t="s">
        <v>583</v>
      </c>
      <c r="F799" s="1">
        <v>1.0</v>
      </c>
      <c r="G799" s="1">
        <v>46.0</v>
      </c>
      <c r="H799" s="1">
        <v>0.022</v>
      </c>
      <c r="I799" s="1">
        <v>33.02</v>
      </c>
    </row>
    <row r="800">
      <c r="A800" s="2" t="s">
        <v>10413</v>
      </c>
      <c r="B800" s="1">
        <v>200.0</v>
      </c>
      <c r="C800" s="1" t="s">
        <v>10414</v>
      </c>
      <c r="D800" s="1" t="s">
        <v>583</v>
      </c>
      <c r="F800" s="1">
        <v>1.0</v>
      </c>
      <c r="G800" s="1">
        <v>96.0</v>
      </c>
      <c r="H800" s="1">
        <v>0.01</v>
      </c>
      <c r="I800" s="1">
        <v>32.46</v>
      </c>
    </row>
    <row r="801">
      <c r="A801" s="2" t="s">
        <v>10415</v>
      </c>
      <c r="B801" s="1">
        <v>200.0</v>
      </c>
      <c r="C801" s="1" t="s">
        <v>10416</v>
      </c>
      <c r="D801" s="1" t="s">
        <v>583</v>
      </c>
      <c r="F801" s="1">
        <v>0.0</v>
      </c>
      <c r="G801" s="1">
        <v>33.0</v>
      </c>
      <c r="H801" s="1">
        <v>0.0</v>
      </c>
      <c r="I801" s="1">
        <v>42.15</v>
      </c>
    </row>
    <row r="802">
      <c r="A802" s="2" t="s">
        <v>10417</v>
      </c>
      <c r="B802" s="1">
        <v>200.0</v>
      </c>
      <c r="C802" s="1" t="s">
        <v>10418</v>
      </c>
      <c r="D802" s="1" t="s">
        <v>583</v>
      </c>
      <c r="F802" s="1">
        <v>0.0</v>
      </c>
      <c r="G802" s="1">
        <v>77.0</v>
      </c>
      <c r="H802" s="1">
        <v>0.0</v>
      </c>
      <c r="I802" s="1">
        <v>37.48</v>
      </c>
    </row>
    <row r="803">
      <c r="A803" s="2" t="s">
        <v>10419</v>
      </c>
      <c r="B803" s="1">
        <v>200.0</v>
      </c>
      <c r="C803" s="1" t="s">
        <v>10420</v>
      </c>
      <c r="D803" s="1" t="s">
        <v>583</v>
      </c>
      <c r="F803" s="1">
        <v>0.0</v>
      </c>
      <c r="G803" s="1">
        <v>21.0</v>
      </c>
      <c r="H803" s="1">
        <v>0.0</v>
      </c>
      <c r="I803" s="1">
        <v>43.81</v>
      </c>
    </row>
    <row r="804">
      <c r="A804" s="2" t="s">
        <v>10421</v>
      </c>
      <c r="B804" s="1">
        <v>200.0</v>
      </c>
      <c r="C804" s="1" t="s">
        <v>10422</v>
      </c>
      <c r="D804" s="1" t="s">
        <v>583</v>
      </c>
      <c r="F804" s="1">
        <v>0.0</v>
      </c>
      <c r="G804" s="1">
        <v>40.0</v>
      </c>
      <c r="H804" s="1">
        <v>0.0</v>
      </c>
      <c r="I804" s="1">
        <v>23.58</v>
      </c>
    </row>
    <row r="805">
      <c r="A805" s="2" t="s">
        <v>10423</v>
      </c>
      <c r="B805" s="1">
        <v>200.0</v>
      </c>
      <c r="C805" s="1" t="s">
        <v>10424</v>
      </c>
      <c r="D805" s="1" t="s">
        <v>583</v>
      </c>
      <c r="F805" s="1">
        <v>0.0</v>
      </c>
      <c r="G805" s="1">
        <v>19.0</v>
      </c>
      <c r="H805" s="1">
        <v>0.0</v>
      </c>
      <c r="I805" s="1">
        <v>33.05</v>
      </c>
    </row>
    <row r="806">
      <c r="A806" s="2" t="s">
        <v>10425</v>
      </c>
      <c r="B806" s="1">
        <v>200.0</v>
      </c>
      <c r="C806" s="1" t="s">
        <v>10426</v>
      </c>
      <c r="D806" s="1" t="s">
        <v>583</v>
      </c>
      <c r="F806" s="1">
        <v>1.0</v>
      </c>
      <c r="G806" s="1">
        <v>32.0</v>
      </c>
      <c r="H806" s="1">
        <v>0.031</v>
      </c>
      <c r="I806" s="1">
        <v>18.03</v>
      </c>
    </row>
    <row r="807">
      <c r="A807" s="2" t="s">
        <v>10427</v>
      </c>
      <c r="B807" s="1">
        <v>200.0</v>
      </c>
      <c r="C807" s="1" t="s">
        <v>10428</v>
      </c>
      <c r="D807" s="1" t="s">
        <v>583</v>
      </c>
      <c r="F807" s="1">
        <v>2.0</v>
      </c>
      <c r="G807" s="1">
        <v>223.0</v>
      </c>
      <c r="H807" s="1">
        <v>0.009</v>
      </c>
      <c r="I807" s="1">
        <v>15.68</v>
      </c>
    </row>
    <row r="808">
      <c r="A808" s="2" t="s">
        <v>10429</v>
      </c>
      <c r="B808" s="1">
        <v>200.0</v>
      </c>
      <c r="C808" s="1" t="s">
        <v>10430</v>
      </c>
      <c r="D808" s="1" t="s">
        <v>583</v>
      </c>
      <c r="F808" s="1">
        <v>0.0</v>
      </c>
      <c r="G808" s="1">
        <v>17.0</v>
      </c>
      <c r="H808" s="1">
        <v>0.0</v>
      </c>
      <c r="I808" s="1">
        <v>3.53</v>
      </c>
    </row>
    <row r="809">
      <c r="A809" s="2" t="s">
        <v>10431</v>
      </c>
      <c r="B809" s="1">
        <v>200.0</v>
      </c>
      <c r="C809" s="1" t="s">
        <v>10432</v>
      </c>
      <c r="D809" s="1" t="s">
        <v>583</v>
      </c>
      <c r="F809" s="1">
        <v>0.0</v>
      </c>
      <c r="G809" s="1">
        <v>58.0</v>
      </c>
      <c r="H809" s="1">
        <v>0.0</v>
      </c>
      <c r="I809" s="1">
        <v>40.31</v>
      </c>
    </row>
    <row r="810">
      <c r="A810" s="2" t="s">
        <v>10433</v>
      </c>
      <c r="B810" s="1">
        <v>200.0</v>
      </c>
      <c r="C810" s="1" t="s">
        <v>10434</v>
      </c>
      <c r="D810" s="1" t="s">
        <v>583</v>
      </c>
      <c r="F810" s="1">
        <v>1.0</v>
      </c>
      <c r="G810" s="1">
        <v>57.0</v>
      </c>
      <c r="H810" s="1">
        <v>0.018</v>
      </c>
      <c r="I810" s="1">
        <v>40.79</v>
      </c>
    </row>
    <row r="811">
      <c r="A811" s="2" t="s">
        <v>10435</v>
      </c>
      <c r="B811" s="1">
        <v>200.0</v>
      </c>
      <c r="C811" s="1" t="s">
        <v>10436</v>
      </c>
      <c r="D811" s="1" t="s">
        <v>583</v>
      </c>
      <c r="F811" s="1">
        <v>2.0</v>
      </c>
      <c r="G811" s="1">
        <v>236.0</v>
      </c>
      <c r="H811" s="1">
        <v>0.009</v>
      </c>
      <c r="I811" s="1">
        <v>16.64</v>
      </c>
    </row>
    <row r="812">
      <c r="A812" s="2" t="s">
        <v>10437</v>
      </c>
      <c r="B812" s="1">
        <v>200.0</v>
      </c>
      <c r="C812" s="1" t="s">
        <v>10438</v>
      </c>
      <c r="D812" s="1" t="s">
        <v>583</v>
      </c>
      <c r="F812" s="1">
        <v>1.0</v>
      </c>
      <c r="G812" s="1">
        <v>49.0</v>
      </c>
      <c r="H812" s="1">
        <v>0.02</v>
      </c>
      <c r="I812" s="1">
        <v>52.51</v>
      </c>
    </row>
    <row r="813">
      <c r="A813" s="2" t="s">
        <v>10439</v>
      </c>
      <c r="B813" s="1">
        <v>200.0</v>
      </c>
      <c r="C813" s="1" t="s">
        <v>10440</v>
      </c>
      <c r="D813" s="1" t="s">
        <v>583</v>
      </c>
      <c r="F813" s="1">
        <v>0.0</v>
      </c>
      <c r="G813" s="1">
        <v>62.0</v>
      </c>
      <c r="H813" s="1">
        <v>0.0</v>
      </c>
      <c r="I813" s="1">
        <v>38.42</v>
      </c>
    </row>
    <row r="814">
      <c r="A814" s="2" t="s">
        <v>10441</v>
      </c>
      <c r="B814" s="1">
        <v>200.0</v>
      </c>
      <c r="C814" s="1" t="s">
        <v>10442</v>
      </c>
      <c r="D814" s="1" t="s">
        <v>583</v>
      </c>
      <c r="F814" s="1">
        <v>11.0</v>
      </c>
      <c r="G814" s="1">
        <v>707.0</v>
      </c>
      <c r="H814" s="1">
        <v>0.016</v>
      </c>
      <c r="I814" s="1">
        <v>17.72</v>
      </c>
    </row>
    <row r="815">
      <c r="A815" s="2" t="s">
        <v>10443</v>
      </c>
      <c r="B815" s="1">
        <v>200.0</v>
      </c>
      <c r="C815" s="1" t="s">
        <v>10444</v>
      </c>
      <c r="D815" s="1" t="s">
        <v>583</v>
      </c>
      <c r="F815" s="1">
        <v>1.0</v>
      </c>
      <c r="G815" s="1">
        <v>42.0</v>
      </c>
      <c r="H815" s="1">
        <v>0.024</v>
      </c>
      <c r="I815" s="1">
        <v>48.45</v>
      </c>
    </row>
    <row r="816">
      <c r="A816" s="2" t="s">
        <v>10445</v>
      </c>
      <c r="B816" s="1">
        <v>200.0</v>
      </c>
      <c r="C816" s="1" t="s">
        <v>10446</v>
      </c>
      <c r="D816" s="1" t="s">
        <v>583</v>
      </c>
      <c r="F816" s="1">
        <v>4.0</v>
      </c>
      <c r="G816" s="1">
        <v>169.0</v>
      </c>
      <c r="H816" s="1">
        <v>0.024</v>
      </c>
      <c r="I816" s="1">
        <v>10.39</v>
      </c>
    </row>
    <row r="817">
      <c r="A817" s="2" t="s">
        <v>10447</v>
      </c>
      <c r="B817" s="1">
        <v>200.0</v>
      </c>
      <c r="C817" s="1" t="s">
        <v>9801</v>
      </c>
      <c r="D817" s="1" t="s">
        <v>609</v>
      </c>
      <c r="E817" s="1" t="s">
        <v>631</v>
      </c>
    </row>
    <row r="818">
      <c r="A818" s="2" t="s">
        <v>10448</v>
      </c>
      <c r="B818" s="1">
        <v>200.0</v>
      </c>
      <c r="C818" s="1" t="s">
        <v>9181</v>
      </c>
      <c r="D818" s="1" t="s">
        <v>609</v>
      </c>
      <c r="E818" s="1" t="s">
        <v>631</v>
      </c>
    </row>
    <row r="819">
      <c r="A819" s="2" t="s">
        <v>10449</v>
      </c>
      <c r="B819" s="1">
        <v>200.0</v>
      </c>
      <c r="C819" s="1" t="s">
        <v>9173</v>
      </c>
      <c r="D819" s="1" t="s">
        <v>609</v>
      </c>
      <c r="E819" s="1" t="s">
        <v>631</v>
      </c>
    </row>
    <row r="820">
      <c r="A820" s="2" t="s">
        <v>10450</v>
      </c>
      <c r="B820" s="1">
        <v>200.0</v>
      </c>
      <c r="C820" s="1" t="s">
        <v>10451</v>
      </c>
      <c r="D820" s="1" t="s">
        <v>583</v>
      </c>
      <c r="F820" s="1">
        <v>227.0</v>
      </c>
      <c r="G820" s="1">
        <v>15948.0</v>
      </c>
      <c r="H820" s="1">
        <v>0.014</v>
      </c>
      <c r="I820" s="1">
        <v>6.14</v>
      </c>
    </row>
    <row r="821">
      <c r="A821" s="2" t="s">
        <v>10452</v>
      </c>
      <c r="B821" s="1">
        <v>200.0</v>
      </c>
      <c r="C821" s="1" t="s">
        <v>10453</v>
      </c>
      <c r="D821" s="1" t="s">
        <v>583</v>
      </c>
      <c r="F821" s="1">
        <v>3.0</v>
      </c>
      <c r="G821" s="1">
        <v>260.0</v>
      </c>
      <c r="H821" s="1">
        <v>0.011</v>
      </c>
      <c r="I821" s="1">
        <v>9.67</v>
      </c>
    </row>
    <row r="822">
      <c r="A822" s="2" t="s">
        <v>10454</v>
      </c>
      <c r="B822" s="1">
        <v>200.0</v>
      </c>
      <c r="C822" s="1" t="s">
        <v>10455</v>
      </c>
      <c r="D822" s="1" t="s">
        <v>583</v>
      </c>
      <c r="F822" s="1">
        <v>0.0</v>
      </c>
      <c r="G822" s="1">
        <v>17.0</v>
      </c>
      <c r="H822" s="1">
        <v>0.0</v>
      </c>
      <c r="I822" s="1">
        <v>24.18</v>
      </c>
    </row>
    <row r="823">
      <c r="A823" s="2" t="s">
        <v>10456</v>
      </c>
      <c r="B823" s="1">
        <v>200.0</v>
      </c>
      <c r="C823" s="1" t="s">
        <v>10457</v>
      </c>
      <c r="D823" s="1" t="s">
        <v>583</v>
      </c>
      <c r="F823" s="1">
        <v>2.0</v>
      </c>
      <c r="G823" s="1">
        <v>394.0</v>
      </c>
      <c r="H823" s="1">
        <v>0.005</v>
      </c>
      <c r="I823" s="1">
        <v>9.03</v>
      </c>
    </row>
    <row r="824">
      <c r="A824" s="2" t="s">
        <v>10458</v>
      </c>
      <c r="B824" s="1">
        <v>200.0</v>
      </c>
      <c r="C824" s="1" t="s">
        <v>10459</v>
      </c>
      <c r="D824" s="1" t="s">
        <v>583</v>
      </c>
    </row>
    <row r="825">
      <c r="A825" s="2" t="s">
        <v>10460</v>
      </c>
      <c r="B825" s="1">
        <v>200.0</v>
      </c>
      <c r="C825" s="1" t="s">
        <v>10461</v>
      </c>
      <c r="D825" s="1" t="s">
        <v>583</v>
      </c>
      <c r="F825" s="1">
        <v>0.0</v>
      </c>
      <c r="G825" s="1">
        <v>249.0</v>
      </c>
      <c r="H825" s="1">
        <v>0.0</v>
      </c>
      <c r="I825" s="1">
        <v>10.75</v>
      </c>
    </row>
    <row r="826">
      <c r="A826" s="2" t="s">
        <v>10462</v>
      </c>
      <c r="B826" s="1">
        <v>200.0</v>
      </c>
      <c r="C826" s="1" t="s">
        <v>10463</v>
      </c>
      <c r="D826" s="1" t="s">
        <v>583</v>
      </c>
      <c r="F826" s="1">
        <v>2.0</v>
      </c>
      <c r="G826" s="1">
        <v>208.0</v>
      </c>
      <c r="H826" s="1">
        <v>0.01</v>
      </c>
      <c r="I826" s="1">
        <v>9.26</v>
      </c>
    </row>
    <row r="827">
      <c r="A827" s="2" t="s">
        <v>10464</v>
      </c>
      <c r="B827" s="1">
        <v>200.0</v>
      </c>
      <c r="C827" s="1" t="s">
        <v>10465</v>
      </c>
      <c r="D827" s="1" t="s">
        <v>583</v>
      </c>
      <c r="F827" s="1">
        <v>0.0</v>
      </c>
      <c r="G827" s="1">
        <v>46.0</v>
      </c>
      <c r="H827" s="1">
        <v>0.0</v>
      </c>
      <c r="I827" s="1">
        <v>14.63</v>
      </c>
    </row>
    <row r="828">
      <c r="A828" s="2" t="s">
        <v>10466</v>
      </c>
      <c r="B828" s="1">
        <v>200.0</v>
      </c>
      <c r="C828" s="1" t="s">
        <v>10467</v>
      </c>
      <c r="D828" s="1" t="s">
        <v>583</v>
      </c>
      <c r="F828" s="1">
        <v>0.0</v>
      </c>
      <c r="G828" s="1">
        <v>19.0</v>
      </c>
      <c r="H828" s="1">
        <v>0.0</v>
      </c>
      <c r="I828" s="1">
        <v>20.32</v>
      </c>
    </row>
    <row r="829">
      <c r="A829" s="2" t="s">
        <v>10468</v>
      </c>
      <c r="B829" s="1">
        <v>200.0</v>
      </c>
      <c r="C829" s="1" t="s">
        <v>10469</v>
      </c>
      <c r="D829" s="1" t="s">
        <v>583</v>
      </c>
      <c r="F829" s="1">
        <v>1.0</v>
      </c>
      <c r="G829" s="1">
        <v>58.0</v>
      </c>
      <c r="H829" s="1">
        <v>0.017</v>
      </c>
      <c r="I829" s="1">
        <v>39.4</v>
      </c>
    </row>
    <row r="830">
      <c r="A830" s="2" t="s">
        <v>10470</v>
      </c>
      <c r="B830" s="1">
        <v>200.0</v>
      </c>
      <c r="C830" s="1" t="s">
        <v>10471</v>
      </c>
      <c r="D830" s="1" t="s">
        <v>583</v>
      </c>
    </row>
    <row r="831">
      <c r="A831" s="2" t="s">
        <v>10472</v>
      </c>
      <c r="B831" s="1">
        <v>200.0</v>
      </c>
      <c r="C831" s="1" t="s">
        <v>10473</v>
      </c>
      <c r="D831" s="1" t="s">
        <v>583</v>
      </c>
      <c r="F831" s="1">
        <v>1.0</v>
      </c>
      <c r="G831" s="1">
        <v>44.0</v>
      </c>
      <c r="H831" s="1">
        <v>0.023</v>
      </c>
      <c r="I831" s="1">
        <v>35.68</v>
      </c>
    </row>
    <row r="832">
      <c r="A832" s="2" t="s">
        <v>10474</v>
      </c>
      <c r="B832" s="1">
        <v>200.0</v>
      </c>
      <c r="C832" s="1" t="s">
        <v>10475</v>
      </c>
      <c r="D832" s="1" t="s">
        <v>583</v>
      </c>
      <c r="F832" s="1">
        <v>0.0</v>
      </c>
      <c r="G832" s="1">
        <v>81.0</v>
      </c>
      <c r="H832" s="1">
        <v>0.0</v>
      </c>
      <c r="I832" s="1">
        <v>19.77</v>
      </c>
    </row>
    <row r="833">
      <c r="A833" s="2" t="s">
        <v>10476</v>
      </c>
      <c r="B833" s="1">
        <v>200.0</v>
      </c>
      <c r="C833" s="1" t="s">
        <v>10477</v>
      </c>
      <c r="D833" s="1" t="s">
        <v>583</v>
      </c>
      <c r="F833" s="1">
        <v>1.0</v>
      </c>
      <c r="G833" s="1">
        <v>156.0</v>
      </c>
      <c r="H833" s="1">
        <v>0.006</v>
      </c>
      <c r="I833" s="1">
        <v>8.81</v>
      </c>
    </row>
    <row r="834">
      <c r="A834" s="2" t="s">
        <v>10478</v>
      </c>
      <c r="B834" s="1">
        <v>200.0</v>
      </c>
      <c r="C834" s="1" t="s">
        <v>10479</v>
      </c>
      <c r="D834" s="1" t="s">
        <v>583</v>
      </c>
      <c r="F834" s="1">
        <v>0.0</v>
      </c>
      <c r="G834" s="1">
        <v>89.0</v>
      </c>
      <c r="H834" s="1">
        <v>0.0</v>
      </c>
      <c r="I834" s="1">
        <v>55.16</v>
      </c>
    </row>
    <row r="835">
      <c r="A835" s="2" t="s">
        <v>10480</v>
      </c>
      <c r="B835" s="1">
        <v>200.0</v>
      </c>
      <c r="C835" s="1" t="s">
        <v>10481</v>
      </c>
      <c r="D835" s="1" t="s">
        <v>583</v>
      </c>
      <c r="F835" s="1">
        <v>4.0</v>
      </c>
      <c r="G835" s="1">
        <v>230.0</v>
      </c>
      <c r="H835" s="1">
        <v>0.017</v>
      </c>
      <c r="I835" s="1">
        <v>28.73</v>
      </c>
    </row>
    <row r="836">
      <c r="A836" s="2" t="s">
        <v>10482</v>
      </c>
      <c r="B836" s="1">
        <v>200.0</v>
      </c>
      <c r="C836" s="1" t="s">
        <v>10483</v>
      </c>
      <c r="D836" s="1" t="s">
        <v>583</v>
      </c>
      <c r="F836" s="1">
        <v>0.0</v>
      </c>
      <c r="G836" s="1">
        <v>338.0</v>
      </c>
      <c r="H836" s="1">
        <v>0.0</v>
      </c>
      <c r="I836" s="1">
        <v>23.87</v>
      </c>
    </row>
    <row r="837">
      <c r="A837" s="2" t="s">
        <v>10484</v>
      </c>
      <c r="B837" s="1">
        <v>200.0</v>
      </c>
      <c r="C837" s="1" t="s">
        <v>10485</v>
      </c>
      <c r="D837" s="1" t="s">
        <v>583</v>
      </c>
      <c r="F837" s="1">
        <v>1.0</v>
      </c>
      <c r="G837" s="1">
        <v>37.0</v>
      </c>
      <c r="H837" s="1">
        <v>0.027</v>
      </c>
      <c r="I837" s="1">
        <v>44.76</v>
      </c>
    </row>
    <row r="838">
      <c r="A838" s="2" t="s">
        <v>10486</v>
      </c>
      <c r="B838" s="1">
        <v>200.0</v>
      </c>
      <c r="C838" s="1" t="s">
        <v>10487</v>
      </c>
      <c r="D838" s="1" t="s">
        <v>583</v>
      </c>
      <c r="F838" s="1">
        <v>0.0</v>
      </c>
      <c r="G838" s="1">
        <v>6.0</v>
      </c>
      <c r="H838" s="1">
        <v>0.0</v>
      </c>
      <c r="I838" s="1">
        <v>22.17</v>
      </c>
    </row>
    <row r="839">
      <c r="A839" s="2" t="s">
        <v>10488</v>
      </c>
      <c r="B839" s="1">
        <v>200.0</v>
      </c>
      <c r="C839" s="1" t="s">
        <v>10489</v>
      </c>
      <c r="D839" s="1" t="s">
        <v>583</v>
      </c>
      <c r="F839" s="1">
        <v>3.0</v>
      </c>
      <c r="G839" s="1">
        <v>948.0</v>
      </c>
      <c r="H839" s="1">
        <v>0.003</v>
      </c>
      <c r="I839" s="1">
        <v>25.16</v>
      </c>
    </row>
    <row r="840">
      <c r="A840" s="2" t="s">
        <v>10490</v>
      </c>
      <c r="B840" s="1">
        <v>200.0</v>
      </c>
      <c r="C840" s="1" t="s">
        <v>10491</v>
      </c>
      <c r="D840" s="1" t="s">
        <v>583</v>
      </c>
      <c r="F840" s="1">
        <v>2.0</v>
      </c>
      <c r="G840" s="1">
        <v>142.0</v>
      </c>
      <c r="H840" s="1">
        <v>0.014</v>
      </c>
      <c r="I840" s="1">
        <v>18.14</v>
      </c>
    </row>
    <row r="841">
      <c r="A841" s="2" t="s">
        <v>10492</v>
      </c>
      <c r="B841" s="1">
        <v>200.0</v>
      </c>
      <c r="C841" s="1" t="s">
        <v>10493</v>
      </c>
      <c r="D841" s="1" t="s">
        <v>583</v>
      </c>
      <c r="F841" s="1">
        <v>0.0</v>
      </c>
      <c r="G841" s="1">
        <v>112.0</v>
      </c>
      <c r="H841" s="1">
        <v>0.0</v>
      </c>
      <c r="I841" s="1">
        <v>34.43</v>
      </c>
    </row>
    <row r="842">
      <c r="A842" s="2" t="s">
        <v>10494</v>
      </c>
      <c r="B842" s="1">
        <v>200.0</v>
      </c>
      <c r="C842" s="1" t="s">
        <v>10495</v>
      </c>
      <c r="D842" s="1" t="s">
        <v>583</v>
      </c>
      <c r="F842" s="1">
        <v>1.0</v>
      </c>
      <c r="G842" s="1">
        <v>27.0</v>
      </c>
      <c r="H842" s="1">
        <v>0.037</v>
      </c>
      <c r="I842" s="1">
        <v>18.93</v>
      </c>
    </row>
    <row r="843">
      <c r="A843" s="2" t="s">
        <v>10496</v>
      </c>
      <c r="B843" s="1">
        <v>200.0</v>
      </c>
      <c r="C843" s="1" t="s">
        <v>10497</v>
      </c>
      <c r="D843" s="1" t="s">
        <v>583</v>
      </c>
    </row>
    <row r="844">
      <c r="A844" s="2" t="s">
        <v>10498</v>
      </c>
      <c r="B844" s="1">
        <v>200.0</v>
      </c>
      <c r="C844" s="1" t="s">
        <v>10499</v>
      </c>
      <c r="D844" s="1" t="s">
        <v>583</v>
      </c>
      <c r="F844" s="1">
        <v>0.0</v>
      </c>
      <c r="G844" s="1">
        <v>423.0</v>
      </c>
      <c r="H844" s="1">
        <v>0.0</v>
      </c>
      <c r="I844" s="1">
        <v>24.08</v>
      </c>
    </row>
    <row r="845">
      <c r="A845" s="2" t="s">
        <v>10500</v>
      </c>
      <c r="B845" s="1">
        <v>200.0</v>
      </c>
      <c r="C845" s="1" t="s">
        <v>10501</v>
      </c>
      <c r="D845" s="1" t="s">
        <v>583</v>
      </c>
      <c r="F845" s="1">
        <v>1.0</v>
      </c>
      <c r="G845" s="1">
        <v>79.0</v>
      </c>
      <c r="H845" s="1">
        <v>0.013</v>
      </c>
      <c r="I845" s="1">
        <v>60.13</v>
      </c>
    </row>
    <row r="846">
      <c r="A846" s="2" t="s">
        <v>10502</v>
      </c>
      <c r="B846" s="1">
        <v>200.0</v>
      </c>
      <c r="C846" s="1" t="s">
        <v>10503</v>
      </c>
      <c r="D846" s="1" t="s">
        <v>583</v>
      </c>
      <c r="F846" s="1">
        <v>1.0</v>
      </c>
      <c r="G846" s="1">
        <v>32.0</v>
      </c>
      <c r="H846" s="1">
        <v>0.031</v>
      </c>
      <c r="I846" s="1">
        <v>53.16</v>
      </c>
    </row>
    <row r="847">
      <c r="A847" s="2" t="s">
        <v>10504</v>
      </c>
      <c r="B847" s="1">
        <v>200.0</v>
      </c>
      <c r="C847" s="1" t="s">
        <v>10505</v>
      </c>
      <c r="D847" s="1" t="s">
        <v>583</v>
      </c>
      <c r="F847" s="1">
        <v>0.0</v>
      </c>
      <c r="G847" s="1">
        <v>145.0</v>
      </c>
      <c r="H847" s="1">
        <v>0.0</v>
      </c>
      <c r="I847" s="1">
        <v>16.92</v>
      </c>
    </row>
    <row r="848">
      <c r="A848" s="2" t="s">
        <v>10506</v>
      </c>
      <c r="B848" s="1">
        <v>200.0</v>
      </c>
      <c r="C848" s="1" t="s">
        <v>10507</v>
      </c>
      <c r="D848" s="1" t="s">
        <v>583</v>
      </c>
      <c r="F848" s="1">
        <v>3.0</v>
      </c>
      <c r="G848" s="1">
        <v>34.0</v>
      </c>
      <c r="H848" s="1">
        <v>0.088</v>
      </c>
      <c r="I848" s="1">
        <v>21.26</v>
      </c>
    </row>
    <row r="849">
      <c r="A849" s="2" t="s">
        <v>10508</v>
      </c>
      <c r="B849" s="1">
        <v>200.0</v>
      </c>
      <c r="C849" s="1" t="s">
        <v>10509</v>
      </c>
      <c r="D849" s="1" t="s">
        <v>583</v>
      </c>
      <c r="F849" s="1">
        <v>1.0</v>
      </c>
      <c r="G849" s="1">
        <v>146.0</v>
      </c>
      <c r="H849" s="1">
        <v>0.007</v>
      </c>
      <c r="I849" s="1">
        <v>26.25</v>
      </c>
    </row>
    <row r="850">
      <c r="A850" s="2" t="s">
        <v>10510</v>
      </c>
      <c r="B850" s="1">
        <v>200.0</v>
      </c>
      <c r="C850" s="1" t="s">
        <v>10511</v>
      </c>
      <c r="D850" s="1" t="s">
        <v>583</v>
      </c>
      <c r="F850" s="1">
        <v>0.0</v>
      </c>
      <c r="G850" s="1">
        <v>91.0</v>
      </c>
      <c r="H850" s="1">
        <v>0.0</v>
      </c>
      <c r="I850" s="1">
        <v>49.52</v>
      </c>
    </row>
    <row r="851">
      <c r="A851" s="2" t="s">
        <v>10512</v>
      </c>
      <c r="B851" s="1">
        <v>200.0</v>
      </c>
      <c r="C851" s="1" t="s">
        <v>10513</v>
      </c>
      <c r="D851" s="1" t="s">
        <v>583</v>
      </c>
      <c r="F851" s="1">
        <v>1.0</v>
      </c>
      <c r="G851" s="1">
        <v>1210.0</v>
      </c>
      <c r="H851" s="1">
        <v>0.001</v>
      </c>
      <c r="I851" s="1">
        <v>19.92</v>
      </c>
    </row>
    <row r="852">
      <c r="A852" s="2" t="s">
        <v>10514</v>
      </c>
      <c r="B852" s="1">
        <v>200.0</v>
      </c>
      <c r="C852" s="1" t="s">
        <v>10515</v>
      </c>
      <c r="D852" s="1" t="s">
        <v>583</v>
      </c>
      <c r="F852" s="1">
        <v>0.0</v>
      </c>
      <c r="G852" s="1">
        <v>165.0</v>
      </c>
      <c r="H852" s="1">
        <v>0.0</v>
      </c>
      <c r="I852" s="1">
        <v>10.91</v>
      </c>
    </row>
    <row r="853">
      <c r="A853" s="2" t="s">
        <v>10516</v>
      </c>
      <c r="B853" s="1">
        <v>200.0</v>
      </c>
      <c r="C853" s="1" t="s">
        <v>10517</v>
      </c>
      <c r="D853" s="1" t="s">
        <v>583</v>
      </c>
      <c r="F853" s="1">
        <v>1.0</v>
      </c>
      <c r="G853" s="1">
        <v>1499.0</v>
      </c>
      <c r="H853" s="1">
        <v>0.001</v>
      </c>
      <c r="I853" s="1">
        <v>24.39</v>
      </c>
    </row>
    <row r="854">
      <c r="A854" s="2" t="s">
        <v>10518</v>
      </c>
      <c r="B854" s="1">
        <v>200.0</v>
      </c>
      <c r="C854" s="1" t="s">
        <v>10519</v>
      </c>
      <c r="D854" s="1" t="s">
        <v>583</v>
      </c>
      <c r="F854" s="1">
        <v>185.0</v>
      </c>
      <c r="G854" s="1">
        <v>17703.0</v>
      </c>
      <c r="H854" s="1">
        <v>0.011</v>
      </c>
      <c r="I854" s="1">
        <v>5.35</v>
      </c>
    </row>
    <row r="855">
      <c r="A855" s="2" t="s">
        <v>10520</v>
      </c>
      <c r="B855" s="1">
        <v>200.0</v>
      </c>
      <c r="C855" s="1" t="s">
        <v>10521</v>
      </c>
      <c r="D855" s="1" t="s">
        <v>583</v>
      </c>
      <c r="F855" s="1">
        <v>22.0</v>
      </c>
      <c r="G855" s="1">
        <v>4206.0</v>
      </c>
      <c r="H855" s="1">
        <v>0.005</v>
      </c>
      <c r="I855" s="1">
        <v>3.95</v>
      </c>
    </row>
    <row r="856">
      <c r="A856" s="2" t="s">
        <v>10522</v>
      </c>
      <c r="B856" s="1">
        <v>200.0</v>
      </c>
      <c r="C856" s="1" t="s">
        <v>10523</v>
      </c>
      <c r="D856" s="1" t="s">
        <v>583</v>
      </c>
      <c r="F856" s="1">
        <v>11.0</v>
      </c>
      <c r="G856" s="1">
        <v>1009.0</v>
      </c>
      <c r="H856" s="1">
        <v>0.011</v>
      </c>
      <c r="I856" s="1">
        <v>8.24</v>
      </c>
    </row>
    <row r="857">
      <c r="A857" s="2" t="s">
        <v>10524</v>
      </c>
      <c r="B857" s="1">
        <v>200.0</v>
      </c>
      <c r="C857" s="1" t="s">
        <v>10525</v>
      </c>
      <c r="D857" s="1" t="s">
        <v>583</v>
      </c>
      <c r="F857" s="1">
        <v>0.0</v>
      </c>
      <c r="G857" s="1">
        <v>47.0</v>
      </c>
      <c r="H857" s="1">
        <v>0.0</v>
      </c>
      <c r="I857" s="1">
        <v>8.74</v>
      </c>
    </row>
    <row r="858">
      <c r="A858" s="2" t="s">
        <v>10526</v>
      </c>
      <c r="B858" s="1">
        <v>200.0</v>
      </c>
      <c r="C858" s="1" t="s">
        <v>10527</v>
      </c>
      <c r="D858" s="1" t="s">
        <v>583</v>
      </c>
      <c r="F858" s="1">
        <v>3.0</v>
      </c>
      <c r="G858" s="1">
        <v>562.0</v>
      </c>
      <c r="H858" s="1">
        <v>0.005</v>
      </c>
      <c r="I858" s="1">
        <v>36.59</v>
      </c>
    </row>
    <row r="859">
      <c r="A859" s="2" t="s">
        <v>10528</v>
      </c>
      <c r="B859" s="1">
        <v>200.0</v>
      </c>
      <c r="C859" s="1" t="s">
        <v>10529</v>
      </c>
      <c r="D859" s="1" t="s">
        <v>583</v>
      </c>
      <c r="F859" s="1">
        <v>2.0</v>
      </c>
      <c r="G859" s="1">
        <v>581.0</v>
      </c>
      <c r="H859" s="1">
        <v>0.003</v>
      </c>
      <c r="I859" s="1">
        <v>7.24</v>
      </c>
    </row>
    <row r="860">
      <c r="A860" s="2" t="s">
        <v>10530</v>
      </c>
      <c r="B860" s="1">
        <v>200.0</v>
      </c>
      <c r="C860" s="1" t="s">
        <v>10531</v>
      </c>
      <c r="D860" s="1" t="s">
        <v>583</v>
      </c>
      <c r="F860" s="1">
        <v>2.0</v>
      </c>
      <c r="G860" s="1">
        <v>271.0</v>
      </c>
      <c r="H860" s="1">
        <v>0.007</v>
      </c>
      <c r="I860" s="1">
        <v>7.69</v>
      </c>
    </row>
    <row r="861">
      <c r="A861" s="2" t="s">
        <v>10532</v>
      </c>
      <c r="B861" s="1">
        <v>200.0</v>
      </c>
      <c r="C861" s="1" t="s">
        <v>10533</v>
      </c>
      <c r="D861" s="1" t="s">
        <v>583</v>
      </c>
      <c r="F861" s="1">
        <v>15.0</v>
      </c>
      <c r="G861" s="1">
        <v>1277.0</v>
      </c>
      <c r="H861" s="1">
        <v>0.012</v>
      </c>
      <c r="I861" s="1">
        <v>7.21</v>
      </c>
    </row>
    <row r="862">
      <c r="A862" s="2" t="s">
        <v>10534</v>
      </c>
      <c r="B862" s="1">
        <v>200.0</v>
      </c>
      <c r="C862" s="1" t="s">
        <v>10535</v>
      </c>
      <c r="D862" s="1" t="s">
        <v>583</v>
      </c>
      <c r="F862" s="1">
        <v>6.0</v>
      </c>
      <c r="G862" s="1">
        <v>442.0</v>
      </c>
      <c r="H862" s="1">
        <v>0.014</v>
      </c>
      <c r="I862" s="1">
        <v>11.47</v>
      </c>
    </row>
    <row r="863">
      <c r="A863" s="2" t="s">
        <v>10536</v>
      </c>
      <c r="B863" s="1">
        <v>200.0</v>
      </c>
      <c r="C863" s="1" t="s">
        <v>10537</v>
      </c>
      <c r="D863" s="1" t="s">
        <v>583</v>
      </c>
      <c r="F863" s="1">
        <v>5.0</v>
      </c>
      <c r="G863" s="1">
        <v>1248.0</v>
      </c>
      <c r="H863" s="1">
        <v>0.004</v>
      </c>
      <c r="I863" s="1">
        <v>23.59</v>
      </c>
    </row>
    <row r="864">
      <c r="A864" s="2" t="s">
        <v>10538</v>
      </c>
      <c r="B864" s="1">
        <v>200.0</v>
      </c>
      <c r="C864" s="1" t="s">
        <v>10539</v>
      </c>
      <c r="D864" s="1" t="s">
        <v>583</v>
      </c>
      <c r="F864" s="1">
        <v>11.0</v>
      </c>
      <c r="G864" s="1">
        <v>1559.0</v>
      </c>
      <c r="H864" s="1">
        <v>0.007</v>
      </c>
      <c r="I864" s="1">
        <v>9.81</v>
      </c>
    </row>
    <row r="865">
      <c r="A865" s="2" t="s">
        <v>10540</v>
      </c>
      <c r="B865" s="1">
        <v>200.0</v>
      </c>
      <c r="C865" s="1" t="s">
        <v>10541</v>
      </c>
      <c r="D865" s="1" t="s">
        <v>583</v>
      </c>
      <c r="F865" s="1">
        <v>25.0</v>
      </c>
      <c r="G865" s="1">
        <v>1961.0</v>
      </c>
      <c r="H865" s="1">
        <v>0.013</v>
      </c>
      <c r="I865" s="1">
        <v>9.45</v>
      </c>
    </row>
    <row r="866">
      <c r="A866" s="2" t="s">
        <v>10542</v>
      </c>
      <c r="B866" s="1">
        <v>200.0</v>
      </c>
      <c r="C866" s="1" t="s">
        <v>10543</v>
      </c>
      <c r="D866" s="1" t="s">
        <v>583</v>
      </c>
      <c r="F866" s="1">
        <v>37.0</v>
      </c>
      <c r="G866" s="1">
        <v>2125.0</v>
      </c>
      <c r="H866" s="1">
        <v>0.017</v>
      </c>
      <c r="I866" s="1">
        <v>8.69</v>
      </c>
    </row>
    <row r="867">
      <c r="A867" s="2" t="s">
        <v>10544</v>
      </c>
      <c r="B867" s="1">
        <v>200.0</v>
      </c>
      <c r="C867" s="1" t="s">
        <v>10545</v>
      </c>
      <c r="D867" s="1" t="s">
        <v>583</v>
      </c>
      <c r="F867" s="1">
        <v>1.0</v>
      </c>
      <c r="G867" s="1">
        <v>213.0</v>
      </c>
      <c r="H867" s="1">
        <v>0.005</v>
      </c>
      <c r="I867" s="1">
        <v>7.33</v>
      </c>
    </row>
    <row r="868">
      <c r="A868" s="2" t="s">
        <v>10546</v>
      </c>
      <c r="B868" s="1">
        <v>200.0</v>
      </c>
      <c r="C868" s="1" t="s">
        <v>10547</v>
      </c>
      <c r="D868" s="1" t="s">
        <v>583</v>
      </c>
      <c r="F868" s="1">
        <v>11.0</v>
      </c>
      <c r="G868" s="1">
        <v>1121.0</v>
      </c>
      <c r="H868" s="1">
        <v>0.01</v>
      </c>
      <c r="I868" s="1">
        <v>45.65</v>
      </c>
    </row>
    <row r="869">
      <c r="A869" s="2" t="s">
        <v>10548</v>
      </c>
      <c r="B869" s="1">
        <v>200.0</v>
      </c>
      <c r="C869" s="1" t="s">
        <v>10549</v>
      </c>
      <c r="D869" s="1" t="s">
        <v>583</v>
      </c>
      <c r="F869" s="1">
        <v>2.0</v>
      </c>
      <c r="G869" s="1">
        <v>302.0</v>
      </c>
      <c r="H869" s="1">
        <v>0.007</v>
      </c>
      <c r="I869" s="1">
        <v>13.33</v>
      </c>
    </row>
    <row r="870">
      <c r="A870" s="2" t="s">
        <v>10550</v>
      </c>
      <c r="B870" s="1">
        <v>200.0</v>
      </c>
      <c r="C870" s="1" t="s">
        <v>10551</v>
      </c>
      <c r="D870" s="1" t="s">
        <v>583</v>
      </c>
      <c r="F870" s="1">
        <v>12.0</v>
      </c>
      <c r="G870" s="1">
        <v>1586.0</v>
      </c>
      <c r="H870" s="1">
        <v>0.008</v>
      </c>
      <c r="I870" s="1">
        <v>11.03</v>
      </c>
    </row>
    <row r="871">
      <c r="A871" s="2" t="s">
        <v>10552</v>
      </c>
      <c r="B871" s="1">
        <v>200.0</v>
      </c>
      <c r="C871" s="1" t="s">
        <v>10553</v>
      </c>
      <c r="D871" s="1" t="s">
        <v>583</v>
      </c>
      <c r="F871" s="1">
        <v>0.0</v>
      </c>
      <c r="G871" s="1">
        <v>266.0</v>
      </c>
      <c r="H871" s="1">
        <v>0.0</v>
      </c>
      <c r="I871" s="1">
        <v>25.57</v>
      </c>
    </row>
    <row r="872">
      <c r="A872" s="2" t="s">
        <v>10554</v>
      </c>
      <c r="B872" s="1">
        <v>200.0</v>
      </c>
      <c r="C872" s="1" t="s">
        <v>10555</v>
      </c>
      <c r="D872" s="1" t="s">
        <v>583</v>
      </c>
      <c r="F872" s="1">
        <v>136.0</v>
      </c>
      <c r="G872" s="1">
        <v>12040.0</v>
      </c>
      <c r="H872" s="1">
        <v>0.011</v>
      </c>
      <c r="I872" s="1">
        <v>11.57</v>
      </c>
    </row>
    <row r="873">
      <c r="A873" s="2" t="s">
        <v>10556</v>
      </c>
      <c r="B873" s="1">
        <v>200.0</v>
      </c>
      <c r="C873" s="1" t="s">
        <v>10557</v>
      </c>
      <c r="D873" s="1" t="s">
        <v>583</v>
      </c>
      <c r="F873" s="1">
        <v>0.0</v>
      </c>
      <c r="G873" s="1">
        <v>91.0</v>
      </c>
      <c r="H873" s="1">
        <v>0.0</v>
      </c>
      <c r="I873" s="1">
        <v>33.1</v>
      </c>
    </row>
    <row r="874">
      <c r="A874" s="2" t="s">
        <v>10558</v>
      </c>
      <c r="B874" s="1">
        <v>200.0</v>
      </c>
      <c r="C874" s="1" t="s">
        <v>10559</v>
      </c>
      <c r="D874" s="1" t="s">
        <v>583</v>
      </c>
    </row>
    <row r="875">
      <c r="A875" s="2" t="s">
        <v>10560</v>
      </c>
      <c r="B875" s="1">
        <v>200.0</v>
      </c>
      <c r="C875" s="1" t="s">
        <v>10561</v>
      </c>
      <c r="D875" s="1" t="s">
        <v>583</v>
      </c>
      <c r="F875" s="1">
        <v>4.0</v>
      </c>
      <c r="G875" s="1">
        <v>3631.0</v>
      </c>
      <c r="H875" s="1">
        <v>0.001</v>
      </c>
      <c r="I875" s="1">
        <v>66.49</v>
      </c>
    </row>
    <row r="876">
      <c r="A876" s="2" t="s">
        <v>10562</v>
      </c>
      <c r="B876" s="1">
        <v>200.0</v>
      </c>
      <c r="C876" s="1" t="s">
        <v>10563</v>
      </c>
      <c r="D876" s="1" t="s">
        <v>583</v>
      </c>
      <c r="F876" s="1">
        <v>208.0</v>
      </c>
      <c r="G876" s="1">
        <v>29308.0</v>
      </c>
      <c r="H876" s="1">
        <v>0.007</v>
      </c>
      <c r="I876" s="1">
        <v>4.14</v>
      </c>
    </row>
    <row r="877">
      <c r="A877" s="2" t="s">
        <v>10564</v>
      </c>
      <c r="B877" s="1">
        <v>200.0</v>
      </c>
      <c r="C877" s="1" t="s">
        <v>10565</v>
      </c>
      <c r="D877" s="1" t="s">
        <v>583</v>
      </c>
      <c r="F877" s="1">
        <v>3.0</v>
      </c>
      <c r="G877" s="1">
        <v>612.0</v>
      </c>
      <c r="H877" s="1">
        <v>0.005</v>
      </c>
      <c r="I877" s="1">
        <v>15.87</v>
      </c>
    </row>
    <row r="878">
      <c r="A878" s="2" t="s">
        <v>10566</v>
      </c>
      <c r="B878" s="1">
        <v>200.0</v>
      </c>
      <c r="C878" s="1" t="s">
        <v>10567</v>
      </c>
      <c r="D878" s="1" t="s">
        <v>583</v>
      </c>
      <c r="F878" s="1">
        <v>0.0</v>
      </c>
      <c r="G878" s="1">
        <v>23.0</v>
      </c>
      <c r="H878" s="1">
        <v>0.0</v>
      </c>
      <c r="I878" s="1">
        <v>37.43</v>
      </c>
    </row>
    <row r="879">
      <c r="A879" s="2" t="s">
        <v>10568</v>
      </c>
      <c r="B879" s="1">
        <v>200.0</v>
      </c>
      <c r="C879" s="1" t="s">
        <v>10569</v>
      </c>
      <c r="D879" s="1" t="s">
        <v>583</v>
      </c>
      <c r="F879" s="1">
        <v>23.0</v>
      </c>
      <c r="G879" s="1">
        <v>823.0</v>
      </c>
      <c r="H879" s="1">
        <v>0.028</v>
      </c>
      <c r="I879" s="1">
        <v>10.0</v>
      </c>
    </row>
    <row r="880">
      <c r="A880" s="2" t="s">
        <v>10570</v>
      </c>
      <c r="B880" s="1">
        <v>200.0</v>
      </c>
      <c r="C880" s="1" t="s">
        <v>10571</v>
      </c>
      <c r="D880" s="1" t="s">
        <v>583</v>
      </c>
      <c r="F880" s="1">
        <v>3.0</v>
      </c>
      <c r="G880" s="1">
        <v>287.0</v>
      </c>
      <c r="H880" s="1">
        <v>0.011</v>
      </c>
      <c r="I880" s="1">
        <v>12.25</v>
      </c>
    </row>
    <row r="881">
      <c r="A881" s="2" t="s">
        <v>10572</v>
      </c>
      <c r="B881" s="1">
        <v>200.0</v>
      </c>
      <c r="C881" s="1" t="s">
        <v>10573</v>
      </c>
      <c r="D881" s="1" t="s">
        <v>583</v>
      </c>
      <c r="F881" s="1">
        <v>12.0</v>
      </c>
      <c r="G881" s="1">
        <v>5218.0</v>
      </c>
      <c r="H881" s="1">
        <v>0.002</v>
      </c>
      <c r="I881" s="1">
        <v>48.25</v>
      </c>
    </row>
    <row r="882">
      <c r="A882" s="2" t="s">
        <v>10574</v>
      </c>
      <c r="B882" s="1">
        <v>200.0</v>
      </c>
      <c r="C882" s="1" t="s">
        <v>10575</v>
      </c>
      <c r="D882" s="1" t="s">
        <v>583</v>
      </c>
      <c r="F882" s="1">
        <v>1.0</v>
      </c>
      <c r="G882" s="1">
        <v>360.0</v>
      </c>
      <c r="H882" s="1">
        <v>0.003</v>
      </c>
      <c r="I882" s="1">
        <v>6.36</v>
      </c>
    </row>
    <row r="883">
      <c r="A883" s="2" t="s">
        <v>10576</v>
      </c>
      <c r="B883" s="1">
        <v>200.0</v>
      </c>
      <c r="C883" s="1" t="s">
        <v>10577</v>
      </c>
      <c r="D883" s="1" t="s">
        <v>583</v>
      </c>
      <c r="F883" s="1">
        <v>2.0</v>
      </c>
      <c r="G883" s="1">
        <v>379.0</v>
      </c>
      <c r="H883" s="1">
        <v>0.005</v>
      </c>
      <c r="I883" s="1">
        <v>9.1</v>
      </c>
    </row>
    <row r="884">
      <c r="A884" s="2" t="s">
        <v>10578</v>
      </c>
      <c r="B884" s="1">
        <v>200.0</v>
      </c>
      <c r="C884" s="1" t="s">
        <v>10579</v>
      </c>
      <c r="D884" s="1" t="s">
        <v>583</v>
      </c>
      <c r="F884" s="1">
        <v>3.0</v>
      </c>
      <c r="G884" s="1">
        <v>383.0</v>
      </c>
      <c r="H884" s="1">
        <v>0.008</v>
      </c>
      <c r="I884" s="1">
        <v>9.22</v>
      </c>
    </row>
    <row r="885">
      <c r="A885" s="2" t="s">
        <v>10580</v>
      </c>
      <c r="B885" s="1">
        <v>200.0</v>
      </c>
      <c r="C885" s="1" t="s">
        <v>10581</v>
      </c>
      <c r="D885" s="1" t="s">
        <v>583</v>
      </c>
      <c r="F885" s="1">
        <v>3.0</v>
      </c>
      <c r="G885" s="1">
        <v>91.0</v>
      </c>
      <c r="H885" s="1">
        <v>0.033</v>
      </c>
      <c r="I885" s="1">
        <v>14.18</v>
      </c>
    </row>
    <row r="886">
      <c r="A886" s="2" t="s">
        <v>10582</v>
      </c>
      <c r="B886" s="1">
        <v>200.0</v>
      </c>
      <c r="C886" s="1" t="s">
        <v>10583</v>
      </c>
      <c r="D886" s="1" t="s">
        <v>583</v>
      </c>
    </row>
    <row r="887">
      <c r="A887" s="2" t="s">
        <v>10584</v>
      </c>
      <c r="B887" s="1">
        <v>200.0</v>
      </c>
      <c r="C887" s="1" t="s">
        <v>10585</v>
      </c>
      <c r="D887" s="1" t="s">
        <v>583</v>
      </c>
      <c r="F887" s="1">
        <v>4.0</v>
      </c>
      <c r="G887" s="1">
        <v>589.0</v>
      </c>
      <c r="H887" s="1">
        <v>0.007</v>
      </c>
      <c r="I887" s="1">
        <v>15.05</v>
      </c>
    </row>
    <row r="888">
      <c r="A888" s="2" t="s">
        <v>10586</v>
      </c>
      <c r="B888" s="1">
        <v>200.0</v>
      </c>
      <c r="C888" s="1" t="s">
        <v>10587</v>
      </c>
      <c r="D888" s="1" t="s">
        <v>583</v>
      </c>
      <c r="F888" s="1">
        <v>9.0</v>
      </c>
      <c r="G888" s="1">
        <v>851.0</v>
      </c>
      <c r="H888" s="1">
        <v>0.011</v>
      </c>
      <c r="I888" s="1">
        <v>6.92</v>
      </c>
    </row>
    <row r="889">
      <c r="A889" s="2" t="s">
        <v>10588</v>
      </c>
      <c r="B889" s="1">
        <v>200.0</v>
      </c>
      <c r="C889" s="1" t="s">
        <v>10589</v>
      </c>
      <c r="D889" s="1" t="s">
        <v>583</v>
      </c>
      <c r="F889" s="1">
        <v>19.0</v>
      </c>
      <c r="G889" s="1">
        <v>910.0</v>
      </c>
      <c r="H889" s="1">
        <v>0.021</v>
      </c>
      <c r="I889" s="1">
        <v>17.06</v>
      </c>
    </row>
    <row r="890">
      <c r="A890" s="2" t="s">
        <v>10590</v>
      </c>
      <c r="B890" s="1">
        <v>200.0</v>
      </c>
      <c r="C890" s="1" t="s">
        <v>10591</v>
      </c>
      <c r="D890" s="1" t="s">
        <v>583</v>
      </c>
      <c r="F890" s="1">
        <v>2.0</v>
      </c>
      <c r="G890" s="1">
        <v>1033.0</v>
      </c>
      <c r="H890" s="1">
        <v>0.002</v>
      </c>
      <c r="I890" s="1">
        <v>48.73</v>
      </c>
    </row>
    <row r="891">
      <c r="A891" s="2" t="s">
        <v>10592</v>
      </c>
      <c r="B891" s="1">
        <v>200.0</v>
      </c>
      <c r="C891" s="1" t="s">
        <v>10593</v>
      </c>
      <c r="D891" s="1" t="s">
        <v>583</v>
      </c>
      <c r="F891" s="1">
        <v>3.0</v>
      </c>
      <c r="G891" s="1">
        <v>464.0</v>
      </c>
      <c r="H891" s="1">
        <v>0.006</v>
      </c>
      <c r="I891" s="1">
        <v>44.83</v>
      </c>
    </row>
    <row r="892">
      <c r="A892" s="2" t="s">
        <v>10594</v>
      </c>
      <c r="B892" s="1">
        <v>200.0</v>
      </c>
      <c r="C892" s="1" t="s">
        <v>10595</v>
      </c>
      <c r="D892" s="1" t="s">
        <v>583</v>
      </c>
      <c r="F892" s="1">
        <v>2.0</v>
      </c>
      <c r="G892" s="1">
        <v>1728.0</v>
      </c>
      <c r="H892" s="1">
        <v>0.001</v>
      </c>
      <c r="I892" s="1">
        <v>22.45</v>
      </c>
    </row>
    <row r="893">
      <c r="A893" s="2" t="s">
        <v>10596</v>
      </c>
      <c r="B893" s="1">
        <v>200.0</v>
      </c>
      <c r="C893" s="1" t="s">
        <v>10597</v>
      </c>
      <c r="D893" s="1" t="s">
        <v>583</v>
      </c>
      <c r="F893" s="1">
        <v>8.0</v>
      </c>
      <c r="G893" s="1">
        <v>307.0</v>
      </c>
      <c r="H893" s="1">
        <v>0.026</v>
      </c>
      <c r="I893" s="1">
        <v>9.68</v>
      </c>
    </row>
    <row r="894">
      <c r="A894" s="2" t="s">
        <v>10598</v>
      </c>
      <c r="B894" s="1">
        <v>200.0</v>
      </c>
      <c r="C894" s="1" t="s">
        <v>10599</v>
      </c>
      <c r="D894" s="1" t="s">
        <v>583</v>
      </c>
      <c r="F894" s="1">
        <v>4.0</v>
      </c>
      <c r="G894" s="1">
        <v>435.0</v>
      </c>
      <c r="H894" s="1">
        <v>0.009</v>
      </c>
      <c r="I894" s="1">
        <v>21.76</v>
      </c>
    </row>
    <row r="895">
      <c r="A895" s="2" t="s">
        <v>10600</v>
      </c>
      <c r="B895" s="1">
        <v>200.0</v>
      </c>
      <c r="C895" s="1" t="s">
        <v>10601</v>
      </c>
      <c r="D895" s="1" t="s">
        <v>583</v>
      </c>
      <c r="F895" s="1">
        <v>0.0</v>
      </c>
      <c r="G895" s="1">
        <v>253.0</v>
      </c>
      <c r="H895" s="1">
        <v>0.0</v>
      </c>
      <c r="I895" s="1">
        <v>32.22</v>
      </c>
    </row>
    <row r="896">
      <c r="A896" s="2" t="s">
        <v>10602</v>
      </c>
      <c r="B896" s="1">
        <v>200.0</v>
      </c>
      <c r="C896" s="1" t="s">
        <v>10603</v>
      </c>
      <c r="D896" s="1" t="s">
        <v>583</v>
      </c>
      <c r="F896" s="1">
        <v>0.0</v>
      </c>
      <c r="G896" s="1">
        <v>21.0</v>
      </c>
      <c r="H896" s="1">
        <v>0.0</v>
      </c>
      <c r="I896" s="1">
        <v>18.52</v>
      </c>
    </row>
    <row r="897">
      <c r="A897" s="2" t="s">
        <v>10604</v>
      </c>
      <c r="B897" s="1">
        <v>200.0</v>
      </c>
      <c r="C897" s="1" t="s">
        <v>10605</v>
      </c>
      <c r="D897" s="1" t="s">
        <v>583</v>
      </c>
      <c r="F897" s="1">
        <v>0.0</v>
      </c>
      <c r="G897" s="1">
        <v>18.0</v>
      </c>
      <c r="H897" s="1">
        <v>0.0</v>
      </c>
      <c r="I897" s="1">
        <v>14.06</v>
      </c>
    </row>
    <row r="898">
      <c r="A898" s="2" t="s">
        <v>10606</v>
      </c>
      <c r="B898" s="1">
        <v>200.0</v>
      </c>
      <c r="C898" s="1" t="s">
        <v>10607</v>
      </c>
      <c r="D898" s="1" t="s">
        <v>583</v>
      </c>
      <c r="F898" s="1">
        <v>10.0</v>
      </c>
      <c r="G898" s="1">
        <v>439.0</v>
      </c>
      <c r="H898" s="1">
        <v>0.023</v>
      </c>
      <c r="I898" s="1">
        <v>13.59</v>
      </c>
    </row>
    <row r="899">
      <c r="A899" s="2" t="s">
        <v>10608</v>
      </c>
      <c r="B899" s="1">
        <v>200.0</v>
      </c>
      <c r="C899" s="1" t="s">
        <v>10609</v>
      </c>
      <c r="D899" s="1" t="s">
        <v>583</v>
      </c>
      <c r="F899" s="1">
        <v>3.0</v>
      </c>
      <c r="G899" s="1">
        <v>183.0</v>
      </c>
      <c r="H899" s="1">
        <v>0.016</v>
      </c>
      <c r="I899" s="1">
        <v>52.62</v>
      </c>
    </row>
    <row r="900">
      <c r="A900" s="2" t="s">
        <v>10610</v>
      </c>
      <c r="B900" s="1">
        <v>200.0</v>
      </c>
      <c r="C900" s="1" t="s">
        <v>10611</v>
      </c>
      <c r="D900" s="1" t="s">
        <v>583</v>
      </c>
      <c r="F900" s="1">
        <v>1.0</v>
      </c>
      <c r="G900" s="1">
        <v>348.0</v>
      </c>
      <c r="H900" s="1">
        <v>0.003</v>
      </c>
      <c r="I900" s="1">
        <v>12.12</v>
      </c>
    </row>
    <row r="901">
      <c r="A901" s="2" t="s">
        <v>10612</v>
      </c>
      <c r="B901" s="1">
        <v>200.0</v>
      </c>
      <c r="C901" s="1" t="s">
        <v>10613</v>
      </c>
      <c r="D901" s="1" t="s">
        <v>583</v>
      </c>
      <c r="F901" s="1">
        <v>6.0</v>
      </c>
      <c r="G901" s="1">
        <v>497.0</v>
      </c>
      <c r="H901" s="1">
        <v>0.012</v>
      </c>
      <c r="I901" s="1">
        <v>13.01</v>
      </c>
    </row>
    <row r="902">
      <c r="A902" s="2" t="s">
        <v>10614</v>
      </c>
      <c r="B902" s="1">
        <v>200.0</v>
      </c>
      <c r="C902" s="1" t="s">
        <v>10615</v>
      </c>
      <c r="D902" s="1" t="s">
        <v>583</v>
      </c>
      <c r="F902" s="1">
        <v>0.0</v>
      </c>
      <c r="G902" s="1">
        <v>173.0</v>
      </c>
      <c r="H902" s="1">
        <v>0.0</v>
      </c>
      <c r="I902" s="1">
        <v>16.21</v>
      </c>
    </row>
    <row r="903">
      <c r="A903" s="2" t="s">
        <v>10616</v>
      </c>
      <c r="B903" s="1">
        <v>200.0</v>
      </c>
      <c r="C903" s="1" t="s">
        <v>10617</v>
      </c>
      <c r="D903" s="1" t="s">
        <v>583</v>
      </c>
      <c r="F903" s="1">
        <v>6.0</v>
      </c>
      <c r="G903" s="1">
        <v>133.0</v>
      </c>
      <c r="H903" s="1">
        <v>0.045</v>
      </c>
      <c r="I903" s="1">
        <v>14.02</v>
      </c>
    </row>
    <row r="904">
      <c r="A904" s="2" t="s">
        <v>10618</v>
      </c>
      <c r="B904" s="1">
        <v>200.0</v>
      </c>
      <c r="C904" s="1" t="s">
        <v>10619</v>
      </c>
      <c r="D904" s="1" t="s">
        <v>583</v>
      </c>
      <c r="F904" s="1">
        <v>11.0</v>
      </c>
      <c r="G904" s="1">
        <v>177.0</v>
      </c>
      <c r="H904" s="1">
        <v>0.062</v>
      </c>
      <c r="I904" s="1">
        <v>15.64</v>
      </c>
    </row>
    <row r="905">
      <c r="A905" s="2" t="s">
        <v>10620</v>
      </c>
      <c r="B905" s="1">
        <v>200.0</v>
      </c>
      <c r="C905" s="1" t="s">
        <v>10621</v>
      </c>
      <c r="D905" s="1" t="s">
        <v>583</v>
      </c>
      <c r="F905" s="1">
        <v>3.0</v>
      </c>
      <c r="G905" s="1">
        <v>250.0</v>
      </c>
      <c r="H905" s="1">
        <v>0.012</v>
      </c>
      <c r="I905" s="1">
        <v>23.89</v>
      </c>
    </row>
    <row r="906">
      <c r="A906" s="2" t="s">
        <v>10622</v>
      </c>
      <c r="B906" s="1">
        <v>200.0</v>
      </c>
      <c r="C906" s="1" t="s">
        <v>10623</v>
      </c>
      <c r="D906" s="1" t="s">
        <v>583</v>
      </c>
      <c r="F906" s="1">
        <v>5.0</v>
      </c>
      <c r="G906" s="1">
        <v>373.0</v>
      </c>
      <c r="H906" s="1">
        <v>0.013</v>
      </c>
      <c r="I906" s="1">
        <v>9.07</v>
      </c>
    </row>
    <row r="907">
      <c r="A907" s="2" t="s">
        <v>10624</v>
      </c>
      <c r="B907" s="1">
        <v>200.0</v>
      </c>
      <c r="C907" s="1" t="s">
        <v>10625</v>
      </c>
      <c r="D907" s="1" t="s">
        <v>583</v>
      </c>
      <c r="F907" s="1">
        <v>4.0</v>
      </c>
      <c r="G907" s="1">
        <v>344.0</v>
      </c>
      <c r="H907" s="1">
        <v>0.012</v>
      </c>
      <c r="I907" s="1">
        <v>7.62</v>
      </c>
    </row>
    <row r="908">
      <c r="A908" s="2" t="s">
        <v>10626</v>
      </c>
      <c r="B908" s="1">
        <v>200.0</v>
      </c>
      <c r="C908" s="1" t="s">
        <v>10627</v>
      </c>
      <c r="D908" s="1" t="s">
        <v>583</v>
      </c>
      <c r="F908" s="1">
        <v>7.0</v>
      </c>
      <c r="G908" s="1">
        <v>490.0</v>
      </c>
      <c r="H908" s="1">
        <v>0.014</v>
      </c>
      <c r="I908" s="1">
        <v>10.27</v>
      </c>
    </row>
    <row r="909">
      <c r="A909" s="2" t="s">
        <v>10628</v>
      </c>
      <c r="B909" s="1">
        <v>200.0</v>
      </c>
      <c r="C909" s="1" t="s">
        <v>10629</v>
      </c>
      <c r="D909" s="1" t="s">
        <v>583</v>
      </c>
      <c r="F909" s="1">
        <v>6.0</v>
      </c>
      <c r="G909" s="1">
        <v>1640.0</v>
      </c>
      <c r="H909" s="1">
        <v>0.004</v>
      </c>
      <c r="I909" s="1">
        <v>13.87</v>
      </c>
    </row>
    <row r="910">
      <c r="A910" s="2" t="s">
        <v>10630</v>
      </c>
      <c r="B910" s="1">
        <v>200.0</v>
      </c>
      <c r="C910" s="1" t="s">
        <v>10631</v>
      </c>
      <c r="D910" s="1" t="s">
        <v>583</v>
      </c>
      <c r="F910" s="1">
        <v>3.0</v>
      </c>
      <c r="G910" s="1">
        <v>2049.0</v>
      </c>
      <c r="H910" s="1">
        <v>0.002</v>
      </c>
      <c r="I910" s="1">
        <v>44.72</v>
      </c>
    </row>
    <row r="911">
      <c r="A911" s="2" t="s">
        <v>10632</v>
      </c>
      <c r="B911" s="1">
        <v>200.0</v>
      </c>
      <c r="C911" s="1" t="s">
        <v>10633</v>
      </c>
      <c r="D911" s="1" t="s">
        <v>583</v>
      </c>
      <c r="F911" s="1">
        <v>5.0</v>
      </c>
      <c r="G911" s="1">
        <v>218.0</v>
      </c>
      <c r="H911" s="1">
        <v>0.023</v>
      </c>
      <c r="I911" s="1">
        <v>19.51</v>
      </c>
    </row>
    <row r="912">
      <c r="A912" s="2" t="s">
        <v>10634</v>
      </c>
      <c r="B912" s="1">
        <v>200.0</v>
      </c>
      <c r="C912" s="1" t="s">
        <v>10635</v>
      </c>
      <c r="D912" s="1" t="s">
        <v>583</v>
      </c>
      <c r="F912" s="1">
        <v>0.0</v>
      </c>
      <c r="G912" s="1">
        <v>49.0</v>
      </c>
      <c r="H912" s="1">
        <v>0.0</v>
      </c>
      <c r="I912" s="1">
        <v>45.98</v>
      </c>
    </row>
    <row r="913">
      <c r="A913" s="2" t="s">
        <v>10636</v>
      </c>
      <c r="B913" s="1">
        <v>200.0</v>
      </c>
      <c r="C913" s="1" t="s">
        <v>10637</v>
      </c>
      <c r="D913" s="1" t="s">
        <v>583</v>
      </c>
      <c r="F913" s="1">
        <v>0.0</v>
      </c>
      <c r="G913" s="1">
        <v>124.0</v>
      </c>
      <c r="H913" s="1">
        <v>0.0</v>
      </c>
      <c r="I913" s="1">
        <v>7.1</v>
      </c>
    </row>
    <row r="914">
      <c r="A914" s="2" t="s">
        <v>10638</v>
      </c>
      <c r="B914" s="1">
        <v>200.0</v>
      </c>
      <c r="C914" s="1" t="s">
        <v>10639</v>
      </c>
      <c r="D914" s="1" t="s">
        <v>583</v>
      </c>
      <c r="F914" s="1">
        <v>14.0</v>
      </c>
      <c r="G914" s="1">
        <v>867.0</v>
      </c>
      <c r="H914" s="1">
        <v>0.016</v>
      </c>
      <c r="I914" s="1">
        <v>12.94</v>
      </c>
    </row>
    <row r="915">
      <c r="A915" s="2" t="s">
        <v>10640</v>
      </c>
      <c r="B915" s="1">
        <v>200.0</v>
      </c>
      <c r="C915" s="1" t="s">
        <v>10641</v>
      </c>
      <c r="D915" s="1" t="s">
        <v>583</v>
      </c>
      <c r="F915" s="1">
        <v>0.0</v>
      </c>
      <c r="G915" s="1">
        <v>86.0</v>
      </c>
      <c r="H915" s="1">
        <v>0.0</v>
      </c>
      <c r="I915" s="1">
        <v>9.77</v>
      </c>
    </row>
    <row r="916">
      <c r="A916" s="2" t="s">
        <v>10642</v>
      </c>
      <c r="B916" s="1">
        <v>200.0</v>
      </c>
      <c r="C916" s="1" t="s">
        <v>10643</v>
      </c>
      <c r="D916" s="1" t="s">
        <v>583</v>
      </c>
      <c r="F916" s="1">
        <v>3.0</v>
      </c>
      <c r="G916" s="1">
        <v>833.0</v>
      </c>
      <c r="H916" s="1">
        <v>0.004</v>
      </c>
      <c r="I916" s="1">
        <v>19.48</v>
      </c>
    </row>
    <row r="917">
      <c r="A917" s="2" t="s">
        <v>10644</v>
      </c>
      <c r="B917" s="1">
        <v>200.0</v>
      </c>
      <c r="C917" s="1" t="s">
        <v>10645</v>
      </c>
      <c r="D917" s="1" t="s">
        <v>583</v>
      </c>
      <c r="F917" s="1">
        <v>4.0</v>
      </c>
      <c r="G917" s="1">
        <v>409.0</v>
      </c>
      <c r="H917" s="1">
        <v>0.01</v>
      </c>
      <c r="I917" s="1">
        <v>10.85</v>
      </c>
    </row>
    <row r="918">
      <c r="A918" s="2" t="s">
        <v>10646</v>
      </c>
      <c r="B918" s="1">
        <v>200.0</v>
      </c>
      <c r="C918" s="1" t="s">
        <v>10647</v>
      </c>
      <c r="D918" s="1" t="s">
        <v>583</v>
      </c>
      <c r="F918" s="1">
        <v>3.0</v>
      </c>
      <c r="G918" s="1">
        <v>421.0</v>
      </c>
      <c r="H918" s="1">
        <v>0.007</v>
      </c>
      <c r="I918" s="1">
        <v>35.87</v>
      </c>
    </row>
    <row r="919">
      <c r="A919" s="2" t="s">
        <v>10648</v>
      </c>
      <c r="B919" s="1">
        <v>200.0</v>
      </c>
      <c r="C919" s="1" t="s">
        <v>10649</v>
      </c>
      <c r="D919" s="1" t="s">
        <v>583</v>
      </c>
      <c r="F919" s="1">
        <v>7.0</v>
      </c>
      <c r="G919" s="1">
        <v>716.0</v>
      </c>
      <c r="H919" s="1">
        <v>0.01</v>
      </c>
      <c r="I919" s="1">
        <v>13.01</v>
      </c>
    </row>
    <row r="920">
      <c r="A920" s="2" t="s">
        <v>10650</v>
      </c>
      <c r="B920" s="1">
        <v>200.0</v>
      </c>
      <c r="C920" s="1" t="s">
        <v>10651</v>
      </c>
      <c r="D920" s="1" t="s">
        <v>583</v>
      </c>
      <c r="F920" s="1">
        <v>0.0</v>
      </c>
      <c r="G920" s="1">
        <v>33.0</v>
      </c>
      <c r="H920" s="1">
        <v>0.0</v>
      </c>
      <c r="I920" s="1">
        <v>23.55</v>
      </c>
    </row>
    <row r="921">
      <c r="A921" s="2" t="s">
        <v>10652</v>
      </c>
      <c r="B921" s="1">
        <v>200.0</v>
      </c>
      <c r="C921" s="1" t="s">
        <v>10653</v>
      </c>
      <c r="D921" s="1" t="s">
        <v>583</v>
      </c>
      <c r="F921" s="1">
        <v>6.0</v>
      </c>
      <c r="G921" s="1">
        <v>302.0</v>
      </c>
      <c r="H921" s="1">
        <v>0.02</v>
      </c>
      <c r="I921" s="1">
        <v>9.68</v>
      </c>
    </row>
    <row r="922">
      <c r="A922" s="2" t="s">
        <v>10654</v>
      </c>
      <c r="B922" s="1">
        <v>200.0</v>
      </c>
      <c r="C922" s="1" t="s">
        <v>10655</v>
      </c>
      <c r="D922" s="1" t="s">
        <v>583</v>
      </c>
      <c r="F922" s="1">
        <v>0.0</v>
      </c>
      <c r="G922" s="1">
        <v>288.0</v>
      </c>
      <c r="H922" s="1">
        <v>0.0</v>
      </c>
      <c r="I922" s="1">
        <v>9.7</v>
      </c>
    </row>
    <row r="923">
      <c r="A923" s="2" t="s">
        <v>10656</v>
      </c>
      <c r="B923" s="1">
        <v>200.0</v>
      </c>
      <c r="C923" s="1" t="s">
        <v>10657</v>
      </c>
      <c r="D923" s="1" t="s">
        <v>583</v>
      </c>
      <c r="F923" s="1">
        <v>19.0</v>
      </c>
      <c r="G923" s="1">
        <v>1831.0</v>
      </c>
      <c r="H923" s="1">
        <v>0.01</v>
      </c>
      <c r="I923" s="1">
        <v>18.13</v>
      </c>
    </row>
    <row r="924">
      <c r="A924" s="2" t="s">
        <v>10658</v>
      </c>
      <c r="B924" s="1">
        <v>200.0</v>
      </c>
      <c r="C924" s="1" t="s">
        <v>10659</v>
      </c>
      <c r="D924" s="1" t="s">
        <v>583</v>
      </c>
      <c r="F924" s="1">
        <v>14.0</v>
      </c>
      <c r="G924" s="1">
        <v>3163.0</v>
      </c>
      <c r="H924" s="1">
        <v>0.004</v>
      </c>
      <c r="I924" s="1">
        <v>15.9</v>
      </c>
    </row>
    <row r="925">
      <c r="A925" s="2" t="s">
        <v>10660</v>
      </c>
      <c r="B925" s="1">
        <v>200.0</v>
      </c>
      <c r="C925" s="1" t="s">
        <v>10661</v>
      </c>
      <c r="D925" s="1" t="s">
        <v>583</v>
      </c>
      <c r="F925" s="1">
        <v>8.0</v>
      </c>
      <c r="G925" s="1">
        <v>431.0</v>
      </c>
      <c r="H925" s="1">
        <v>0.019</v>
      </c>
      <c r="I925" s="1">
        <v>25.5</v>
      </c>
    </row>
    <row r="926">
      <c r="A926" s="2" t="s">
        <v>10662</v>
      </c>
      <c r="B926" s="1">
        <v>200.0</v>
      </c>
      <c r="C926" s="1" t="s">
        <v>10663</v>
      </c>
      <c r="D926" s="1" t="s">
        <v>583</v>
      </c>
      <c r="F926" s="1">
        <v>4.0</v>
      </c>
      <c r="G926" s="1">
        <v>232.0</v>
      </c>
      <c r="H926" s="1">
        <v>0.017</v>
      </c>
      <c r="I926" s="1">
        <v>9.08</v>
      </c>
    </row>
    <row r="927">
      <c r="A927" s="2" t="s">
        <v>10664</v>
      </c>
      <c r="B927" s="1">
        <v>200.0</v>
      </c>
      <c r="C927" s="1" t="s">
        <v>10665</v>
      </c>
      <c r="D927" s="1" t="s">
        <v>583</v>
      </c>
      <c r="F927" s="1">
        <v>6.0</v>
      </c>
      <c r="G927" s="1">
        <v>632.0</v>
      </c>
      <c r="H927" s="1">
        <v>0.009</v>
      </c>
      <c r="I927" s="1">
        <v>30.8</v>
      </c>
    </row>
    <row r="928">
      <c r="A928" s="2" t="s">
        <v>10666</v>
      </c>
      <c r="B928" s="1">
        <v>200.0</v>
      </c>
      <c r="C928" s="1" t="s">
        <v>10667</v>
      </c>
      <c r="D928" s="1" t="s">
        <v>583</v>
      </c>
      <c r="F928" s="1">
        <v>8.0</v>
      </c>
      <c r="G928" s="1">
        <v>1486.0</v>
      </c>
      <c r="H928" s="1">
        <v>0.005</v>
      </c>
      <c r="I928" s="1">
        <v>27.29</v>
      </c>
    </row>
    <row r="929">
      <c r="A929" s="2" t="s">
        <v>10668</v>
      </c>
      <c r="B929" s="1">
        <v>200.0</v>
      </c>
      <c r="C929" s="1" t="s">
        <v>10669</v>
      </c>
      <c r="D929" s="1" t="s">
        <v>583</v>
      </c>
      <c r="F929" s="1">
        <v>3.0</v>
      </c>
      <c r="G929" s="1">
        <v>96.0</v>
      </c>
      <c r="H929" s="1">
        <v>0.031</v>
      </c>
      <c r="I929" s="1">
        <v>28.51</v>
      </c>
    </row>
    <row r="930">
      <c r="A930" s="2" t="s">
        <v>10670</v>
      </c>
      <c r="B930" s="1">
        <v>200.0</v>
      </c>
      <c r="C930" s="1" t="s">
        <v>10671</v>
      </c>
      <c r="D930" s="1" t="s">
        <v>583</v>
      </c>
      <c r="F930" s="1">
        <v>5.0</v>
      </c>
      <c r="G930" s="1">
        <v>256.0</v>
      </c>
      <c r="H930" s="1">
        <v>0.019</v>
      </c>
      <c r="I930" s="1">
        <v>15.77</v>
      </c>
    </row>
    <row r="931">
      <c r="A931" s="2" t="s">
        <v>10672</v>
      </c>
      <c r="B931" s="1">
        <v>200.0</v>
      </c>
      <c r="C931" s="1" t="s">
        <v>10673</v>
      </c>
      <c r="D931" s="1" t="s">
        <v>583</v>
      </c>
      <c r="F931" s="1">
        <v>0.0</v>
      </c>
      <c r="G931" s="1">
        <v>7.0</v>
      </c>
      <c r="H931" s="1">
        <v>0.0</v>
      </c>
      <c r="I931" s="1">
        <v>26.43</v>
      </c>
    </row>
    <row r="932">
      <c r="A932" s="2" t="s">
        <v>10674</v>
      </c>
      <c r="B932" s="1">
        <v>200.0</v>
      </c>
      <c r="C932" s="1" t="s">
        <v>10675</v>
      </c>
      <c r="D932" s="1" t="s">
        <v>583</v>
      </c>
      <c r="F932" s="1">
        <v>14.0</v>
      </c>
      <c r="G932" s="1">
        <v>2693.0</v>
      </c>
      <c r="H932" s="1">
        <v>0.005</v>
      </c>
      <c r="I932" s="1">
        <v>25.97</v>
      </c>
    </row>
    <row r="933">
      <c r="A933" s="2" t="s">
        <v>10676</v>
      </c>
      <c r="B933" s="1">
        <v>200.0</v>
      </c>
      <c r="C933" s="1" t="s">
        <v>10677</v>
      </c>
      <c r="D933" s="1" t="s">
        <v>583</v>
      </c>
      <c r="F933" s="1">
        <v>3.0</v>
      </c>
      <c r="G933" s="1">
        <v>979.0</v>
      </c>
      <c r="H933" s="1">
        <v>0.003</v>
      </c>
      <c r="I933" s="1">
        <v>24.72</v>
      </c>
    </row>
    <row r="934">
      <c r="A934" s="2" t="s">
        <v>10678</v>
      </c>
      <c r="B934" s="1">
        <v>200.0</v>
      </c>
      <c r="C934" s="1" t="s">
        <v>10679</v>
      </c>
      <c r="D934" s="1" t="s">
        <v>583</v>
      </c>
      <c r="F934" s="1">
        <v>3.0</v>
      </c>
      <c r="G934" s="1">
        <v>418.0</v>
      </c>
      <c r="H934" s="1">
        <v>0.007</v>
      </c>
      <c r="I934" s="1">
        <v>12.39</v>
      </c>
    </row>
    <row r="935">
      <c r="A935" s="2" t="s">
        <v>10680</v>
      </c>
      <c r="B935" s="1">
        <v>200.0</v>
      </c>
      <c r="C935" s="1" t="s">
        <v>10681</v>
      </c>
      <c r="D935" s="1" t="s">
        <v>583</v>
      </c>
      <c r="F935" s="1">
        <v>8.0</v>
      </c>
      <c r="G935" s="1">
        <v>984.0</v>
      </c>
      <c r="H935" s="1">
        <v>0.008</v>
      </c>
      <c r="I935" s="1">
        <v>17.91</v>
      </c>
    </row>
    <row r="936">
      <c r="A936" s="2" t="s">
        <v>10682</v>
      </c>
      <c r="B936" s="1">
        <v>200.0</v>
      </c>
      <c r="C936" s="1" t="s">
        <v>10683</v>
      </c>
      <c r="D936" s="1" t="s">
        <v>583</v>
      </c>
      <c r="F936" s="1">
        <v>0.0</v>
      </c>
      <c r="G936" s="1">
        <v>89.0</v>
      </c>
      <c r="H936" s="1">
        <v>0.0</v>
      </c>
      <c r="I936" s="1">
        <v>23.6</v>
      </c>
    </row>
    <row r="937">
      <c r="A937" s="2" t="s">
        <v>10684</v>
      </c>
      <c r="B937" s="1">
        <v>200.0</v>
      </c>
      <c r="C937" s="1" t="s">
        <v>10685</v>
      </c>
      <c r="D937" s="1" t="s">
        <v>583</v>
      </c>
      <c r="F937" s="1">
        <v>1.0</v>
      </c>
      <c r="G937" s="1">
        <v>41.0</v>
      </c>
      <c r="H937" s="1">
        <v>0.024</v>
      </c>
      <c r="I937" s="1">
        <v>13.66</v>
      </c>
    </row>
    <row r="938">
      <c r="A938" s="2" t="s">
        <v>10686</v>
      </c>
      <c r="B938" s="1">
        <v>200.0</v>
      </c>
      <c r="C938" s="1" t="s">
        <v>10687</v>
      </c>
      <c r="D938" s="1" t="s">
        <v>583</v>
      </c>
      <c r="F938" s="1">
        <v>3.0</v>
      </c>
      <c r="G938" s="1">
        <v>65.0</v>
      </c>
      <c r="H938" s="1">
        <v>0.046</v>
      </c>
      <c r="I938" s="1">
        <v>8.14</v>
      </c>
    </row>
    <row r="939">
      <c r="A939" s="2" t="s">
        <v>10688</v>
      </c>
      <c r="B939" s="1">
        <v>200.0</v>
      </c>
      <c r="C939" s="1" t="s">
        <v>10689</v>
      </c>
      <c r="D939" s="1" t="s">
        <v>583</v>
      </c>
      <c r="F939" s="1">
        <v>8.0</v>
      </c>
      <c r="G939" s="1">
        <v>549.0</v>
      </c>
      <c r="H939" s="1">
        <v>0.015</v>
      </c>
      <c r="I939" s="1">
        <v>9.12</v>
      </c>
    </row>
    <row r="940">
      <c r="A940" s="2" t="s">
        <v>10690</v>
      </c>
      <c r="B940" s="1">
        <v>200.0</v>
      </c>
      <c r="C940" s="1" t="s">
        <v>10691</v>
      </c>
      <c r="D940" s="1" t="s">
        <v>583</v>
      </c>
      <c r="F940" s="1">
        <v>2.0</v>
      </c>
      <c r="G940" s="1">
        <v>80.0</v>
      </c>
      <c r="H940" s="1">
        <v>0.025</v>
      </c>
      <c r="I940" s="1">
        <v>9.75</v>
      </c>
    </row>
    <row r="941">
      <c r="A941" s="2" t="s">
        <v>10692</v>
      </c>
      <c r="B941" s="1">
        <v>200.0</v>
      </c>
      <c r="C941" s="1" t="s">
        <v>10693</v>
      </c>
      <c r="D941" s="1" t="s">
        <v>583</v>
      </c>
    </row>
    <row r="942">
      <c r="A942" s="2" t="s">
        <v>10694</v>
      </c>
      <c r="B942" s="1">
        <v>200.0</v>
      </c>
      <c r="C942" s="1" t="s">
        <v>10695</v>
      </c>
      <c r="D942" s="1" t="s">
        <v>583</v>
      </c>
      <c r="F942" s="1">
        <v>3.0</v>
      </c>
      <c r="G942" s="1">
        <v>1004.0</v>
      </c>
      <c r="H942" s="1">
        <v>0.003</v>
      </c>
      <c r="I942" s="1">
        <v>55.92</v>
      </c>
    </row>
    <row r="943">
      <c r="A943" s="2" t="s">
        <v>10696</v>
      </c>
      <c r="B943" s="1">
        <v>200.0</v>
      </c>
      <c r="C943" s="1" t="s">
        <v>10697</v>
      </c>
      <c r="D943" s="1" t="s">
        <v>583</v>
      </c>
      <c r="F943" s="1">
        <v>5.0</v>
      </c>
      <c r="G943" s="1">
        <v>156.0</v>
      </c>
      <c r="H943" s="1">
        <v>0.032</v>
      </c>
      <c r="I943" s="1">
        <v>8.8</v>
      </c>
    </row>
    <row r="944">
      <c r="A944" s="2" t="s">
        <v>10698</v>
      </c>
      <c r="B944" s="1">
        <v>200.0</v>
      </c>
      <c r="C944" s="1" t="s">
        <v>10699</v>
      </c>
      <c r="D944" s="1" t="s">
        <v>583</v>
      </c>
      <c r="F944" s="1">
        <v>0.0</v>
      </c>
      <c r="G944" s="1">
        <v>31.0</v>
      </c>
      <c r="H944" s="1">
        <v>0.0</v>
      </c>
      <c r="I944" s="1">
        <v>5.03</v>
      </c>
    </row>
    <row r="945">
      <c r="A945" s="2" t="s">
        <v>10700</v>
      </c>
      <c r="B945" s="1">
        <v>200.0</v>
      </c>
      <c r="C945" s="1" t="s">
        <v>10701</v>
      </c>
      <c r="D945" s="1" t="s">
        <v>583</v>
      </c>
      <c r="F945" s="1">
        <v>12.0</v>
      </c>
      <c r="G945" s="1">
        <v>412.0</v>
      </c>
      <c r="H945" s="1">
        <v>0.029</v>
      </c>
      <c r="I945" s="1">
        <v>16.76</v>
      </c>
    </row>
    <row r="946">
      <c r="A946" s="2" t="s">
        <v>10702</v>
      </c>
      <c r="B946" s="1">
        <v>200.0</v>
      </c>
      <c r="C946" s="1" t="s">
        <v>10703</v>
      </c>
      <c r="D946" s="1" t="s">
        <v>583</v>
      </c>
      <c r="F946" s="1">
        <v>3.0</v>
      </c>
      <c r="G946" s="1">
        <v>542.0</v>
      </c>
      <c r="H946" s="1">
        <v>0.005</v>
      </c>
      <c r="I946" s="1">
        <v>40.22</v>
      </c>
    </row>
    <row r="947">
      <c r="A947" s="2" t="s">
        <v>10704</v>
      </c>
      <c r="B947" s="1">
        <v>200.0</v>
      </c>
      <c r="C947" s="1" t="s">
        <v>10705</v>
      </c>
      <c r="D947" s="1" t="s">
        <v>583</v>
      </c>
      <c r="F947" s="1">
        <v>14.0</v>
      </c>
      <c r="G947" s="1">
        <v>2724.0</v>
      </c>
      <c r="H947" s="1">
        <v>0.005</v>
      </c>
      <c r="I947" s="1">
        <v>42.45</v>
      </c>
    </row>
    <row r="948">
      <c r="A948" s="2" t="s">
        <v>10706</v>
      </c>
      <c r="B948" s="1">
        <v>200.0</v>
      </c>
      <c r="C948" s="1" t="s">
        <v>10707</v>
      </c>
      <c r="D948" s="1" t="s">
        <v>583</v>
      </c>
      <c r="F948" s="1">
        <v>32.0</v>
      </c>
      <c r="G948" s="1">
        <v>978.0</v>
      </c>
      <c r="H948" s="1">
        <v>0.033</v>
      </c>
      <c r="I948" s="1">
        <v>9.03</v>
      </c>
    </row>
    <row r="949">
      <c r="A949" s="2" t="s">
        <v>10708</v>
      </c>
      <c r="B949" s="1">
        <v>200.0</v>
      </c>
      <c r="C949" s="1" t="s">
        <v>10709</v>
      </c>
      <c r="D949" s="1" t="s">
        <v>583</v>
      </c>
      <c r="F949" s="1">
        <v>0.0</v>
      </c>
      <c r="G949" s="1">
        <v>32.0</v>
      </c>
      <c r="H949" s="1">
        <v>0.0</v>
      </c>
      <c r="I949" s="1">
        <v>44.03</v>
      </c>
    </row>
    <row r="950">
      <c r="A950" s="2" t="s">
        <v>10710</v>
      </c>
      <c r="B950" s="1">
        <v>200.0</v>
      </c>
      <c r="C950" s="1" t="s">
        <v>10711</v>
      </c>
      <c r="D950" s="1" t="s">
        <v>583</v>
      </c>
      <c r="F950" s="1">
        <v>3.0</v>
      </c>
      <c r="G950" s="1">
        <v>219.0</v>
      </c>
      <c r="H950" s="1">
        <v>0.014</v>
      </c>
      <c r="I950" s="1">
        <v>26.01</v>
      </c>
    </row>
    <row r="951">
      <c r="A951" s="2" t="s">
        <v>10712</v>
      </c>
      <c r="B951" s="1">
        <v>200.0</v>
      </c>
      <c r="C951" s="1" t="s">
        <v>10713</v>
      </c>
      <c r="D951" s="1" t="s">
        <v>583</v>
      </c>
      <c r="F951" s="1">
        <v>5.0</v>
      </c>
      <c r="G951" s="1">
        <v>2725.0</v>
      </c>
      <c r="H951" s="1">
        <v>0.002</v>
      </c>
      <c r="I951" s="1">
        <v>32.78</v>
      </c>
    </row>
    <row r="952">
      <c r="A952" s="2" t="s">
        <v>10714</v>
      </c>
      <c r="B952" s="1">
        <v>200.0</v>
      </c>
      <c r="C952" s="1" t="s">
        <v>10715</v>
      </c>
      <c r="D952" s="1" t="s">
        <v>583</v>
      </c>
      <c r="F952" s="1">
        <v>6.0</v>
      </c>
      <c r="G952" s="1">
        <v>1000.0</v>
      </c>
      <c r="H952" s="1">
        <v>0.006</v>
      </c>
      <c r="I952" s="1">
        <v>14.49</v>
      </c>
    </row>
    <row r="953">
      <c r="A953" s="2" t="s">
        <v>10716</v>
      </c>
      <c r="B953" s="1">
        <v>200.0</v>
      </c>
      <c r="C953" s="1" t="s">
        <v>10717</v>
      </c>
      <c r="D953" s="1" t="s">
        <v>583</v>
      </c>
      <c r="F953" s="1">
        <v>1.0</v>
      </c>
      <c r="G953" s="1">
        <v>934.0</v>
      </c>
      <c r="H953" s="1">
        <v>0.001</v>
      </c>
      <c r="I953" s="1">
        <v>56.84</v>
      </c>
    </row>
    <row r="954">
      <c r="A954" s="2" t="s">
        <v>10718</v>
      </c>
      <c r="B954" s="1">
        <v>200.0</v>
      </c>
      <c r="C954" s="1" t="s">
        <v>10719</v>
      </c>
      <c r="D954" s="1" t="s">
        <v>583</v>
      </c>
      <c r="F954" s="1">
        <v>2.0</v>
      </c>
      <c r="G954" s="1">
        <v>923.0</v>
      </c>
      <c r="H954" s="1">
        <v>0.002</v>
      </c>
      <c r="I954" s="1">
        <v>62.84</v>
      </c>
    </row>
    <row r="955">
      <c r="A955" s="2" t="s">
        <v>10720</v>
      </c>
      <c r="B955" s="1">
        <v>200.0</v>
      </c>
      <c r="C955" s="1" t="s">
        <v>10721</v>
      </c>
      <c r="D955" s="1" t="s">
        <v>583</v>
      </c>
      <c r="F955" s="1">
        <v>17.0</v>
      </c>
      <c r="G955" s="1">
        <v>2098.0</v>
      </c>
      <c r="H955" s="1">
        <v>0.008</v>
      </c>
      <c r="I955" s="1">
        <v>22.15</v>
      </c>
    </row>
    <row r="956">
      <c r="A956" s="2" t="s">
        <v>10722</v>
      </c>
      <c r="B956" s="1">
        <v>200.0</v>
      </c>
      <c r="C956" s="1" t="s">
        <v>10723</v>
      </c>
      <c r="D956" s="1" t="s">
        <v>583</v>
      </c>
    </row>
    <row r="957">
      <c r="A957" s="2" t="s">
        <v>10724</v>
      </c>
      <c r="B957" s="1">
        <v>200.0</v>
      </c>
      <c r="C957" s="1" t="s">
        <v>10725</v>
      </c>
      <c r="D957" s="1" t="s">
        <v>583</v>
      </c>
      <c r="F957" s="1">
        <v>5.0</v>
      </c>
      <c r="G957" s="1">
        <v>117.0</v>
      </c>
      <c r="H957" s="1">
        <v>0.043</v>
      </c>
      <c r="I957" s="1">
        <v>10.37</v>
      </c>
    </row>
    <row r="958">
      <c r="A958" s="2" t="s">
        <v>10726</v>
      </c>
      <c r="B958" s="1">
        <v>200.0</v>
      </c>
      <c r="C958" s="1" t="s">
        <v>10727</v>
      </c>
      <c r="D958" s="1" t="s">
        <v>583</v>
      </c>
      <c r="F958" s="1">
        <v>5.0</v>
      </c>
      <c r="G958" s="1">
        <v>1840.0</v>
      </c>
      <c r="H958" s="1">
        <v>0.003</v>
      </c>
      <c r="I958" s="1">
        <v>39.9</v>
      </c>
    </row>
    <row r="959">
      <c r="A959" s="2" t="s">
        <v>10728</v>
      </c>
      <c r="B959" s="1">
        <v>200.0</v>
      </c>
      <c r="C959" s="1" t="s">
        <v>10729</v>
      </c>
      <c r="D959" s="1" t="s">
        <v>583</v>
      </c>
      <c r="F959" s="1">
        <v>3.0</v>
      </c>
      <c r="G959" s="1">
        <v>315.0</v>
      </c>
      <c r="H959" s="1">
        <v>0.009</v>
      </c>
      <c r="I959" s="1">
        <v>15.69</v>
      </c>
    </row>
    <row r="960">
      <c r="A960" s="2" t="s">
        <v>10730</v>
      </c>
      <c r="B960" s="1">
        <v>200.0</v>
      </c>
      <c r="C960" s="1" t="s">
        <v>10731</v>
      </c>
      <c r="D960" s="1" t="s">
        <v>583</v>
      </c>
      <c r="F960" s="1">
        <v>0.0</v>
      </c>
      <c r="G960" s="1">
        <v>99.0</v>
      </c>
      <c r="H960" s="1">
        <v>0.0</v>
      </c>
      <c r="I960" s="1">
        <v>9.01</v>
      </c>
    </row>
    <row r="961">
      <c r="A961" s="2" t="s">
        <v>10732</v>
      </c>
      <c r="B961" s="1">
        <v>200.0</v>
      </c>
      <c r="C961" s="1" t="s">
        <v>10733</v>
      </c>
      <c r="D961" s="1" t="s">
        <v>583</v>
      </c>
      <c r="F961" s="1">
        <v>4.0</v>
      </c>
      <c r="G961" s="1">
        <v>166.0</v>
      </c>
      <c r="H961" s="1">
        <v>0.024</v>
      </c>
      <c r="I961" s="1">
        <v>10.34</v>
      </c>
    </row>
    <row r="962">
      <c r="A962" s="2" t="s">
        <v>10734</v>
      </c>
      <c r="B962" s="1">
        <v>200.0</v>
      </c>
      <c r="C962" s="1" t="s">
        <v>10735</v>
      </c>
      <c r="D962" s="1" t="s">
        <v>583</v>
      </c>
      <c r="F962" s="1">
        <v>1.0</v>
      </c>
      <c r="G962" s="1">
        <v>225.0</v>
      </c>
      <c r="H962" s="1">
        <v>0.004</v>
      </c>
      <c r="I962" s="1">
        <v>40.87</v>
      </c>
    </row>
    <row r="963">
      <c r="A963" s="2" t="s">
        <v>10736</v>
      </c>
      <c r="B963" s="1">
        <v>200.0</v>
      </c>
      <c r="C963" s="1" t="s">
        <v>10737</v>
      </c>
      <c r="D963" s="1" t="s">
        <v>583</v>
      </c>
      <c r="F963" s="1">
        <v>4.0</v>
      </c>
      <c r="G963" s="1">
        <v>753.0</v>
      </c>
      <c r="H963" s="1">
        <v>0.005</v>
      </c>
      <c r="I963" s="1">
        <v>38.7</v>
      </c>
    </row>
    <row r="964">
      <c r="A964" s="2" t="s">
        <v>10738</v>
      </c>
      <c r="B964" s="1">
        <v>200.0</v>
      </c>
      <c r="C964" s="1" t="s">
        <v>10739</v>
      </c>
      <c r="D964" s="1" t="s">
        <v>583</v>
      </c>
      <c r="F964" s="1">
        <v>9.0</v>
      </c>
      <c r="G964" s="1">
        <v>484.0</v>
      </c>
      <c r="H964" s="1">
        <v>0.019</v>
      </c>
      <c r="I964" s="1">
        <v>18.2</v>
      </c>
    </row>
    <row r="965">
      <c r="A965" s="2" t="s">
        <v>10740</v>
      </c>
      <c r="B965" s="1">
        <v>200.0</v>
      </c>
      <c r="C965" s="1" t="s">
        <v>10741</v>
      </c>
      <c r="D965" s="1" t="s">
        <v>583</v>
      </c>
      <c r="F965" s="1">
        <v>23.0</v>
      </c>
      <c r="G965" s="1">
        <v>1627.0</v>
      </c>
      <c r="H965" s="1">
        <v>0.014</v>
      </c>
      <c r="I965" s="1">
        <v>10.37</v>
      </c>
    </row>
    <row r="966">
      <c r="A966" s="2" t="s">
        <v>10742</v>
      </c>
      <c r="B966" s="1">
        <v>200.0</v>
      </c>
      <c r="C966" s="1" t="s">
        <v>10743</v>
      </c>
      <c r="D966" s="1" t="s">
        <v>583</v>
      </c>
      <c r="F966" s="1">
        <v>6.0</v>
      </c>
      <c r="G966" s="1">
        <v>1072.0</v>
      </c>
      <c r="H966" s="1">
        <v>0.006</v>
      </c>
      <c r="I966" s="1">
        <v>6.69</v>
      </c>
    </row>
    <row r="967">
      <c r="A967" s="2" t="s">
        <v>10744</v>
      </c>
      <c r="B967" s="1">
        <v>200.0</v>
      </c>
      <c r="C967" s="1" t="s">
        <v>10745</v>
      </c>
      <c r="D967" s="1" t="s">
        <v>583</v>
      </c>
      <c r="F967" s="1">
        <v>0.0</v>
      </c>
      <c r="G967" s="1">
        <v>258.0</v>
      </c>
      <c r="H967" s="1">
        <v>0.0</v>
      </c>
      <c r="I967" s="1">
        <v>40.46</v>
      </c>
    </row>
    <row r="968">
      <c r="A968" s="2" t="s">
        <v>10746</v>
      </c>
      <c r="B968" s="1">
        <v>200.0</v>
      </c>
      <c r="C968" s="1" t="s">
        <v>10747</v>
      </c>
      <c r="D968" s="1" t="s">
        <v>583</v>
      </c>
      <c r="F968" s="1">
        <v>3.0</v>
      </c>
      <c r="G968" s="1">
        <v>608.0</v>
      </c>
      <c r="H968" s="1">
        <v>0.005</v>
      </c>
      <c r="I968" s="1">
        <v>46.25</v>
      </c>
    </row>
    <row r="969">
      <c r="A969" s="2" t="s">
        <v>10748</v>
      </c>
      <c r="B969" s="1">
        <v>200.0</v>
      </c>
      <c r="C969" s="1" t="s">
        <v>10749</v>
      </c>
      <c r="D969" s="1" t="s">
        <v>583</v>
      </c>
      <c r="F969" s="1">
        <v>7.0</v>
      </c>
      <c r="G969" s="1">
        <v>389.0</v>
      </c>
      <c r="H969" s="1">
        <v>0.018</v>
      </c>
      <c r="I969" s="1">
        <v>9.33</v>
      </c>
    </row>
    <row r="970">
      <c r="A970" s="2" t="s">
        <v>10750</v>
      </c>
      <c r="B970" s="1">
        <v>200.0</v>
      </c>
      <c r="C970" s="1" t="s">
        <v>10751</v>
      </c>
      <c r="D970" s="1" t="s">
        <v>583</v>
      </c>
      <c r="F970" s="1">
        <v>0.0</v>
      </c>
      <c r="G970" s="1">
        <v>85.0</v>
      </c>
      <c r="H970" s="1">
        <v>0.0</v>
      </c>
      <c r="I970" s="1">
        <v>9.68</v>
      </c>
    </row>
    <row r="971">
      <c r="A971" s="2" t="s">
        <v>10752</v>
      </c>
      <c r="B971" s="1">
        <v>200.0</v>
      </c>
      <c r="C971" s="1" t="s">
        <v>10753</v>
      </c>
      <c r="D971" s="1" t="s">
        <v>583</v>
      </c>
      <c r="F971" s="1">
        <v>10.0</v>
      </c>
      <c r="G971" s="1">
        <v>979.0</v>
      </c>
      <c r="H971" s="1">
        <v>0.01</v>
      </c>
      <c r="I971" s="1">
        <v>10.37</v>
      </c>
    </row>
    <row r="972">
      <c r="A972" s="2" t="s">
        <v>10754</v>
      </c>
      <c r="B972" s="1">
        <v>200.0</v>
      </c>
      <c r="C972" s="1" t="s">
        <v>10755</v>
      </c>
      <c r="D972" s="1" t="s">
        <v>583</v>
      </c>
      <c r="F972" s="1">
        <v>1.0</v>
      </c>
      <c r="G972" s="1">
        <v>556.0</v>
      </c>
      <c r="H972" s="1">
        <v>0.002</v>
      </c>
      <c r="I972" s="1">
        <v>11.54</v>
      </c>
    </row>
    <row r="973">
      <c r="A973" s="2" t="s">
        <v>10756</v>
      </c>
      <c r="B973" s="1">
        <v>200.0</v>
      </c>
      <c r="C973" s="1" t="s">
        <v>10757</v>
      </c>
      <c r="D973" s="1" t="s">
        <v>583</v>
      </c>
      <c r="F973" s="1">
        <v>0.0</v>
      </c>
      <c r="G973" s="1">
        <v>726.0</v>
      </c>
      <c r="H973" s="1">
        <v>0.0</v>
      </c>
      <c r="I973" s="1">
        <v>51.66</v>
      </c>
    </row>
    <row r="974">
      <c r="A974" s="2" t="s">
        <v>10758</v>
      </c>
      <c r="B974" s="1">
        <v>200.0</v>
      </c>
      <c r="C974" s="1" t="s">
        <v>10759</v>
      </c>
      <c r="D974" s="1" t="s">
        <v>583</v>
      </c>
      <c r="F974" s="1">
        <v>5.0</v>
      </c>
      <c r="G974" s="1">
        <v>227.0</v>
      </c>
      <c r="H974" s="1">
        <v>0.022</v>
      </c>
      <c r="I974" s="1">
        <v>15.31</v>
      </c>
    </row>
    <row r="975">
      <c r="A975" s="2" t="s">
        <v>10760</v>
      </c>
      <c r="B975" s="1">
        <v>200.0</v>
      </c>
      <c r="C975" s="1" t="s">
        <v>10761</v>
      </c>
      <c r="D975" s="1" t="s">
        <v>583</v>
      </c>
      <c r="F975" s="1">
        <v>1.0</v>
      </c>
      <c r="G975" s="1">
        <v>98.0</v>
      </c>
      <c r="H975" s="1">
        <v>0.01</v>
      </c>
      <c r="I975" s="1">
        <v>22.12</v>
      </c>
    </row>
    <row r="976">
      <c r="A976" s="2" t="s">
        <v>10762</v>
      </c>
      <c r="B976" s="1">
        <v>200.0</v>
      </c>
      <c r="C976" s="1" t="s">
        <v>10763</v>
      </c>
      <c r="D976" s="1" t="s">
        <v>583</v>
      </c>
      <c r="F976" s="1">
        <v>2.0</v>
      </c>
      <c r="G976" s="1">
        <v>741.0</v>
      </c>
      <c r="H976" s="1">
        <v>0.003</v>
      </c>
      <c r="I976" s="1">
        <v>34.08</v>
      </c>
    </row>
    <row r="977">
      <c r="A977" s="2" t="s">
        <v>10764</v>
      </c>
      <c r="B977" s="1">
        <v>200.0</v>
      </c>
      <c r="C977" s="1" t="s">
        <v>10765</v>
      </c>
      <c r="D977" s="1" t="s">
        <v>583</v>
      </c>
      <c r="F977" s="1">
        <v>3.0</v>
      </c>
      <c r="G977" s="1">
        <v>965.0</v>
      </c>
      <c r="H977" s="1">
        <v>0.003</v>
      </c>
      <c r="I977" s="1">
        <v>40.79</v>
      </c>
    </row>
    <row r="978">
      <c r="A978" s="2" t="s">
        <v>10766</v>
      </c>
      <c r="B978" s="1">
        <v>200.0</v>
      </c>
      <c r="C978" s="1" t="s">
        <v>10767</v>
      </c>
      <c r="D978" s="1" t="s">
        <v>583</v>
      </c>
      <c r="F978" s="1">
        <v>3.0</v>
      </c>
      <c r="G978" s="1">
        <v>54.0</v>
      </c>
      <c r="H978" s="1">
        <v>0.056</v>
      </c>
      <c r="I978" s="1">
        <v>8.15</v>
      </c>
    </row>
    <row r="979">
      <c r="A979" s="2" t="s">
        <v>10768</v>
      </c>
      <c r="B979" s="1">
        <v>200.0</v>
      </c>
      <c r="C979" s="1" t="s">
        <v>10769</v>
      </c>
      <c r="D979" s="1" t="s">
        <v>583</v>
      </c>
      <c r="F979" s="1">
        <v>0.0</v>
      </c>
      <c r="G979" s="1">
        <v>50.0</v>
      </c>
      <c r="H979" s="1">
        <v>0.0</v>
      </c>
      <c r="I979" s="1">
        <v>7.12</v>
      </c>
    </row>
    <row r="980">
      <c r="A980" s="2" t="s">
        <v>10770</v>
      </c>
      <c r="B980" s="1">
        <v>200.0</v>
      </c>
      <c r="C980" s="1" t="s">
        <v>10771</v>
      </c>
      <c r="D980" s="1" t="s">
        <v>583</v>
      </c>
      <c r="F980" s="1">
        <v>7.0</v>
      </c>
      <c r="G980" s="1">
        <v>247.0</v>
      </c>
      <c r="H980" s="1">
        <v>0.028</v>
      </c>
      <c r="I980" s="1">
        <v>20.1</v>
      </c>
    </row>
    <row r="981">
      <c r="A981" s="2" t="s">
        <v>10772</v>
      </c>
      <c r="B981" s="1">
        <v>200.0</v>
      </c>
      <c r="C981" s="1" t="s">
        <v>10773</v>
      </c>
      <c r="D981" s="1" t="s">
        <v>583</v>
      </c>
      <c r="F981" s="1">
        <v>15.0</v>
      </c>
      <c r="G981" s="1">
        <v>2398.0</v>
      </c>
      <c r="H981" s="1">
        <v>0.006</v>
      </c>
      <c r="I981" s="1">
        <v>8.46</v>
      </c>
    </row>
    <row r="982">
      <c r="A982" s="2" t="s">
        <v>10774</v>
      </c>
      <c r="B982" s="1">
        <v>200.0</v>
      </c>
      <c r="C982" s="1" t="s">
        <v>10775</v>
      </c>
      <c r="D982" s="1" t="s">
        <v>583</v>
      </c>
      <c r="F982" s="1">
        <v>17.0</v>
      </c>
      <c r="G982" s="1">
        <v>1928.0</v>
      </c>
      <c r="H982" s="1">
        <v>0.009</v>
      </c>
      <c r="I982" s="1">
        <v>20.63</v>
      </c>
    </row>
    <row r="983">
      <c r="A983" s="2" t="s">
        <v>10776</v>
      </c>
      <c r="B983" s="1">
        <v>200.0</v>
      </c>
      <c r="C983" s="1" t="s">
        <v>10777</v>
      </c>
      <c r="D983" s="1" t="s">
        <v>583</v>
      </c>
      <c r="F983" s="1">
        <v>7.0</v>
      </c>
      <c r="G983" s="1">
        <v>965.0</v>
      </c>
      <c r="H983" s="1">
        <v>0.007</v>
      </c>
      <c r="I983" s="1">
        <v>55.18</v>
      </c>
    </row>
    <row r="984">
      <c r="A984" s="2" t="s">
        <v>10778</v>
      </c>
      <c r="B984" s="1">
        <v>200.0</v>
      </c>
      <c r="C984" s="1" t="s">
        <v>10779</v>
      </c>
      <c r="D984" s="1" t="s">
        <v>583</v>
      </c>
      <c r="F984" s="1">
        <v>4.0</v>
      </c>
      <c r="G984" s="1">
        <v>142.0</v>
      </c>
      <c r="H984" s="1">
        <v>0.028</v>
      </c>
      <c r="I984" s="1">
        <v>10.61</v>
      </c>
    </row>
    <row r="985">
      <c r="A985" s="2" t="s">
        <v>10780</v>
      </c>
      <c r="B985" s="1">
        <v>200.0</v>
      </c>
      <c r="C985" s="1" t="s">
        <v>10781</v>
      </c>
      <c r="D985" s="1" t="s">
        <v>583</v>
      </c>
      <c r="F985" s="1">
        <v>15.0</v>
      </c>
      <c r="G985" s="1">
        <v>511.0</v>
      </c>
      <c r="H985" s="1">
        <v>0.029</v>
      </c>
      <c r="I985" s="1">
        <v>10.08</v>
      </c>
    </row>
    <row r="986">
      <c r="A986" s="2" t="s">
        <v>10782</v>
      </c>
      <c r="B986" s="1">
        <v>200.0</v>
      </c>
      <c r="C986" s="1" t="s">
        <v>10783</v>
      </c>
      <c r="D986" s="1" t="s">
        <v>583</v>
      </c>
      <c r="F986" s="1">
        <v>27.0</v>
      </c>
      <c r="G986" s="1">
        <v>1012.0</v>
      </c>
      <c r="H986" s="1">
        <v>0.027</v>
      </c>
      <c r="I986" s="1">
        <v>11.37</v>
      </c>
    </row>
    <row r="987">
      <c r="A987" s="2" t="s">
        <v>10784</v>
      </c>
      <c r="B987" s="1">
        <v>200.0</v>
      </c>
      <c r="C987" s="1" t="s">
        <v>10785</v>
      </c>
      <c r="D987" s="1" t="s">
        <v>583</v>
      </c>
      <c r="F987" s="1">
        <v>1.0</v>
      </c>
      <c r="G987" s="1">
        <v>190.0</v>
      </c>
      <c r="H987" s="1">
        <v>0.005</v>
      </c>
      <c r="I987" s="1">
        <v>35.55</v>
      </c>
    </row>
    <row r="988">
      <c r="A988" s="2" t="s">
        <v>10786</v>
      </c>
      <c r="B988" s="1">
        <v>200.0</v>
      </c>
      <c r="C988" s="1" t="s">
        <v>10787</v>
      </c>
      <c r="D988" s="1" t="s">
        <v>583</v>
      </c>
      <c r="F988" s="1">
        <v>0.0</v>
      </c>
      <c r="G988" s="1">
        <v>23.0</v>
      </c>
      <c r="H988" s="1">
        <v>0.0</v>
      </c>
      <c r="I988" s="1">
        <v>12.78</v>
      </c>
    </row>
    <row r="989">
      <c r="A989" s="2" t="s">
        <v>10788</v>
      </c>
      <c r="B989" s="1">
        <v>200.0</v>
      </c>
      <c r="C989" s="1" t="s">
        <v>10789</v>
      </c>
      <c r="D989" s="1" t="s">
        <v>583</v>
      </c>
      <c r="F989" s="1">
        <v>1.0</v>
      </c>
      <c r="G989" s="1">
        <v>231.0</v>
      </c>
      <c r="H989" s="1">
        <v>0.004</v>
      </c>
      <c r="I989" s="1">
        <v>13.82</v>
      </c>
    </row>
    <row r="990">
      <c r="A990" s="2" t="s">
        <v>10790</v>
      </c>
      <c r="B990" s="1">
        <v>200.0</v>
      </c>
      <c r="C990" s="1" t="s">
        <v>10791</v>
      </c>
      <c r="D990" s="1" t="s">
        <v>583</v>
      </c>
      <c r="F990" s="1">
        <v>4.0</v>
      </c>
      <c r="G990" s="1">
        <v>1148.0</v>
      </c>
      <c r="H990" s="1">
        <v>0.004</v>
      </c>
      <c r="I990" s="1">
        <v>35.76</v>
      </c>
    </row>
    <row r="991">
      <c r="A991" s="2" t="s">
        <v>10792</v>
      </c>
      <c r="B991" s="1">
        <v>200.0</v>
      </c>
      <c r="C991" s="1" t="s">
        <v>10793</v>
      </c>
      <c r="D991" s="1" t="s">
        <v>583</v>
      </c>
      <c r="F991" s="1">
        <v>11.0</v>
      </c>
      <c r="G991" s="1">
        <v>521.0</v>
      </c>
      <c r="H991" s="1">
        <v>0.021</v>
      </c>
      <c r="I991" s="1">
        <v>12.03</v>
      </c>
    </row>
    <row r="992">
      <c r="A992" s="2" t="s">
        <v>10794</v>
      </c>
      <c r="B992" s="1">
        <v>200.0</v>
      </c>
      <c r="C992" s="1" t="s">
        <v>10795</v>
      </c>
      <c r="D992" s="1" t="s">
        <v>583</v>
      </c>
      <c r="F992" s="1">
        <v>4.0</v>
      </c>
      <c r="G992" s="1">
        <v>118.0</v>
      </c>
      <c r="H992" s="1">
        <v>0.034</v>
      </c>
      <c r="I992" s="1">
        <v>14.67</v>
      </c>
    </row>
    <row r="993">
      <c r="A993" s="2" t="s">
        <v>10796</v>
      </c>
      <c r="B993" s="1">
        <v>200.0</v>
      </c>
      <c r="C993" s="1" t="s">
        <v>10797</v>
      </c>
      <c r="D993" s="1" t="s">
        <v>583</v>
      </c>
      <c r="F993" s="1">
        <v>0.0</v>
      </c>
      <c r="G993" s="1">
        <v>75.0</v>
      </c>
      <c r="H993" s="1">
        <v>0.0</v>
      </c>
      <c r="I993" s="1">
        <v>10.07</v>
      </c>
    </row>
    <row r="994">
      <c r="A994" s="2" t="s">
        <v>10798</v>
      </c>
      <c r="B994" s="1">
        <v>200.0</v>
      </c>
      <c r="C994" s="1" t="s">
        <v>10799</v>
      </c>
      <c r="D994" s="1" t="s">
        <v>583</v>
      </c>
      <c r="F994" s="1">
        <v>2.0</v>
      </c>
      <c r="G994" s="1">
        <v>44.0</v>
      </c>
      <c r="H994" s="1">
        <v>0.045</v>
      </c>
      <c r="I994" s="1">
        <v>10.64</v>
      </c>
    </row>
    <row r="995">
      <c r="A995" s="2" t="s">
        <v>10800</v>
      </c>
      <c r="B995" s="1">
        <v>200.0</v>
      </c>
      <c r="C995" s="1" t="s">
        <v>10801</v>
      </c>
      <c r="D995" s="1" t="s">
        <v>583</v>
      </c>
      <c r="F995" s="1">
        <v>0.0</v>
      </c>
      <c r="G995" s="1">
        <v>290.0</v>
      </c>
      <c r="H995" s="1">
        <v>0.0</v>
      </c>
      <c r="I995" s="1">
        <v>18.0</v>
      </c>
    </row>
    <row r="996">
      <c r="A996" s="2" t="s">
        <v>10802</v>
      </c>
      <c r="B996" s="1">
        <v>200.0</v>
      </c>
      <c r="C996" s="1" t="s">
        <v>10803</v>
      </c>
      <c r="D996" s="1" t="s">
        <v>583</v>
      </c>
      <c r="F996" s="1">
        <v>1.0</v>
      </c>
      <c r="G996" s="1">
        <v>110.0</v>
      </c>
      <c r="H996" s="1">
        <v>0.009</v>
      </c>
      <c r="I996" s="1">
        <v>39.47</v>
      </c>
    </row>
    <row r="997">
      <c r="A997" s="2" t="s">
        <v>10804</v>
      </c>
      <c r="B997" s="1">
        <v>200.0</v>
      </c>
      <c r="C997" s="1" t="s">
        <v>10805</v>
      </c>
      <c r="D997" s="1" t="s">
        <v>583</v>
      </c>
      <c r="F997" s="1">
        <v>0.0</v>
      </c>
      <c r="G997" s="1">
        <v>52.0</v>
      </c>
      <c r="H997" s="1">
        <v>0.0</v>
      </c>
      <c r="I997" s="1">
        <v>38.83</v>
      </c>
    </row>
    <row r="998">
      <c r="A998" s="2" t="s">
        <v>10806</v>
      </c>
      <c r="B998" s="1">
        <v>200.0</v>
      </c>
      <c r="C998" s="1" t="s">
        <v>10807</v>
      </c>
      <c r="D998" s="1" t="s">
        <v>583</v>
      </c>
      <c r="F998" s="1">
        <v>2.0</v>
      </c>
      <c r="G998" s="1">
        <v>55.0</v>
      </c>
      <c r="H998" s="1">
        <v>0.036</v>
      </c>
      <c r="I998" s="1">
        <v>21.73</v>
      </c>
    </row>
    <row r="999">
      <c r="A999" s="2" t="s">
        <v>10808</v>
      </c>
      <c r="B999" s="1">
        <v>200.0</v>
      </c>
      <c r="C999" s="1" t="s">
        <v>10809</v>
      </c>
      <c r="D999" s="1" t="s">
        <v>583</v>
      </c>
      <c r="F999" s="1">
        <v>2.0</v>
      </c>
      <c r="G999" s="1">
        <v>66.0</v>
      </c>
      <c r="H999" s="1">
        <v>0.03</v>
      </c>
      <c r="I999" s="1">
        <v>8.47</v>
      </c>
    </row>
    <row r="1000">
      <c r="A1000" s="2" t="s">
        <v>10810</v>
      </c>
      <c r="B1000" s="1">
        <v>200.0</v>
      </c>
      <c r="C1000" s="1" t="s">
        <v>10811</v>
      </c>
      <c r="D1000" s="1" t="s">
        <v>583</v>
      </c>
      <c r="F1000" s="1">
        <v>8.0</v>
      </c>
      <c r="G1000" s="1">
        <v>551.0</v>
      </c>
      <c r="H1000" s="1">
        <v>0.015</v>
      </c>
      <c r="I1000" s="1">
        <v>7.93</v>
      </c>
    </row>
    <row r="1001">
      <c r="A1001" s="2" t="s">
        <v>10812</v>
      </c>
      <c r="B1001" s="1">
        <v>200.0</v>
      </c>
      <c r="C1001" s="1" t="s">
        <v>10813</v>
      </c>
      <c r="D1001" s="1" t="s">
        <v>583</v>
      </c>
      <c r="F1001" s="1">
        <v>14.0</v>
      </c>
      <c r="G1001" s="1">
        <v>1354.0</v>
      </c>
      <c r="H1001" s="1">
        <v>0.01</v>
      </c>
      <c r="I1001" s="1">
        <v>21.71</v>
      </c>
    </row>
    <row r="1002">
      <c r="A1002" s="2" t="s">
        <v>10814</v>
      </c>
      <c r="B1002" s="1">
        <v>200.0</v>
      </c>
      <c r="C1002" s="1" t="s">
        <v>10815</v>
      </c>
      <c r="D1002" s="1" t="s">
        <v>583</v>
      </c>
      <c r="F1002" s="1">
        <v>3.0</v>
      </c>
      <c r="G1002" s="1">
        <v>578.0</v>
      </c>
      <c r="H1002" s="1">
        <v>0.005</v>
      </c>
      <c r="I1002" s="1">
        <v>14.83</v>
      </c>
    </row>
    <row r="1003">
      <c r="A1003" s="2" t="s">
        <v>10816</v>
      </c>
      <c r="B1003" s="1">
        <v>200.0</v>
      </c>
      <c r="C1003" s="1" t="s">
        <v>10817</v>
      </c>
      <c r="D1003" s="1" t="s">
        <v>583</v>
      </c>
      <c r="F1003" s="1">
        <v>7.0</v>
      </c>
      <c r="G1003" s="1">
        <v>388.0</v>
      </c>
      <c r="H1003" s="1">
        <v>0.018</v>
      </c>
      <c r="I1003" s="1">
        <v>18.82</v>
      </c>
    </row>
    <row r="1004">
      <c r="A1004" s="2" t="s">
        <v>10818</v>
      </c>
      <c r="B1004" s="1">
        <v>200.0</v>
      </c>
      <c r="C1004" s="1" t="s">
        <v>10819</v>
      </c>
      <c r="D1004" s="1" t="s">
        <v>583</v>
      </c>
      <c r="F1004" s="1">
        <v>0.0</v>
      </c>
      <c r="G1004" s="1">
        <v>36.0</v>
      </c>
      <c r="H1004" s="1">
        <v>0.0</v>
      </c>
      <c r="I1004" s="1">
        <v>16.42</v>
      </c>
    </row>
    <row r="1005">
      <c r="A1005" s="2" t="s">
        <v>10820</v>
      </c>
      <c r="B1005" s="1">
        <v>200.0</v>
      </c>
      <c r="C1005" s="1" t="s">
        <v>10821</v>
      </c>
      <c r="D1005" s="1" t="s">
        <v>583</v>
      </c>
      <c r="F1005" s="1">
        <v>4.0</v>
      </c>
      <c r="G1005" s="1">
        <v>218.0</v>
      </c>
      <c r="H1005" s="1">
        <v>0.018</v>
      </c>
      <c r="I1005" s="1">
        <v>17.89</v>
      </c>
    </row>
    <row r="1006">
      <c r="A1006" s="2" t="s">
        <v>10822</v>
      </c>
      <c r="B1006" s="1">
        <v>200.0</v>
      </c>
      <c r="C1006" s="1" t="s">
        <v>10823</v>
      </c>
      <c r="D1006" s="1" t="s">
        <v>583</v>
      </c>
      <c r="F1006" s="1">
        <v>2.0</v>
      </c>
      <c r="G1006" s="1">
        <v>84.0</v>
      </c>
      <c r="H1006" s="1">
        <v>0.024</v>
      </c>
      <c r="I1006" s="1">
        <v>27.54</v>
      </c>
    </row>
    <row r="1007">
      <c r="A1007" s="2" t="s">
        <v>10824</v>
      </c>
      <c r="B1007" s="1">
        <v>200.0</v>
      </c>
      <c r="C1007" s="1" t="s">
        <v>10825</v>
      </c>
      <c r="D1007" s="1" t="s">
        <v>583</v>
      </c>
      <c r="F1007" s="1">
        <v>3.0</v>
      </c>
      <c r="G1007" s="1">
        <v>1018.0</v>
      </c>
      <c r="H1007" s="1">
        <v>0.003</v>
      </c>
      <c r="I1007" s="1">
        <v>8.59</v>
      </c>
    </row>
    <row r="1008">
      <c r="A1008" s="2" t="s">
        <v>10826</v>
      </c>
      <c r="B1008" s="1">
        <v>200.0</v>
      </c>
      <c r="C1008" s="1" t="s">
        <v>10827</v>
      </c>
      <c r="D1008" s="1" t="s">
        <v>583</v>
      </c>
      <c r="F1008" s="1">
        <v>0.0</v>
      </c>
      <c r="G1008" s="1">
        <v>543.0</v>
      </c>
      <c r="H1008" s="1">
        <v>0.0</v>
      </c>
      <c r="I1008" s="1">
        <v>10.35</v>
      </c>
    </row>
    <row r="1009">
      <c r="A1009" s="2" t="s">
        <v>10828</v>
      </c>
      <c r="B1009" s="1">
        <v>200.0</v>
      </c>
      <c r="C1009" s="1" t="s">
        <v>10829</v>
      </c>
      <c r="D1009" s="1" t="s">
        <v>583</v>
      </c>
      <c r="F1009" s="1">
        <v>19.0</v>
      </c>
      <c r="G1009" s="1">
        <v>581.0</v>
      </c>
      <c r="H1009" s="1">
        <v>0.033</v>
      </c>
      <c r="I1009" s="1">
        <v>7.89</v>
      </c>
    </row>
    <row r="1010">
      <c r="A1010" s="2" t="s">
        <v>10830</v>
      </c>
      <c r="B1010" s="1">
        <v>200.0</v>
      </c>
      <c r="C1010" s="1" t="s">
        <v>10831</v>
      </c>
      <c r="D1010" s="1" t="s">
        <v>583</v>
      </c>
      <c r="F1010" s="1">
        <v>4.0</v>
      </c>
      <c r="G1010" s="1">
        <v>999.0</v>
      </c>
      <c r="H1010" s="1">
        <v>0.004</v>
      </c>
      <c r="I1010" s="1">
        <v>12.71</v>
      </c>
    </row>
    <row r="1011">
      <c r="A1011" s="2" t="s">
        <v>10832</v>
      </c>
      <c r="B1011" s="1">
        <v>200.0</v>
      </c>
      <c r="C1011" s="1" t="s">
        <v>10833</v>
      </c>
      <c r="D1011" s="1" t="s">
        <v>583</v>
      </c>
      <c r="F1011" s="1">
        <v>5.0</v>
      </c>
      <c r="G1011" s="1">
        <v>603.0</v>
      </c>
      <c r="H1011" s="1">
        <v>0.008</v>
      </c>
      <c r="I1011" s="1">
        <v>8.95</v>
      </c>
    </row>
    <row r="1012">
      <c r="A1012" s="2" t="s">
        <v>10834</v>
      </c>
      <c r="B1012" s="1">
        <v>200.0</v>
      </c>
      <c r="C1012" s="1" t="s">
        <v>10835</v>
      </c>
      <c r="D1012" s="1" t="s">
        <v>583</v>
      </c>
      <c r="F1012" s="1">
        <v>1.0</v>
      </c>
      <c r="G1012" s="1">
        <v>986.0</v>
      </c>
      <c r="H1012" s="1">
        <v>0.001</v>
      </c>
      <c r="I1012" s="1">
        <v>29.84</v>
      </c>
    </row>
    <row r="1013">
      <c r="A1013" s="2" t="s">
        <v>10836</v>
      </c>
      <c r="B1013" s="1">
        <v>200.0</v>
      </c>
      <c r="C1013" s="1" t="s">
        <v>10837</v>
      </c>
      <c r="D1013" s="1" t="s">
        <v>583</v>
      </c>
      <c r="F1013" s="1">
        <v>0.0</v>
      </c>
      <c r="G1013" s="1">
        <v>187.0</v>
      </c>
      <c r="H1013" s="1">
        <v>0.0</v>
      </c>
      <c r="I1013" s="1">
        <v>34.9</v>
      </c>
    </row>
    <row r="1014">
      <c r="A1014" s="2" t="s">
        <v>10838</v>
      </c>
      <c r="B1014" s="1">
        <v>200.0</v>
      </c>
      <c r="C1014" s="1" t="s">
        <v>10839</v>
      </c>
      <c r="D1014" s="1" t="s">
        <v>583</v>
      </c>
      <c r="F1014" s="1">
        <v>2.0</v>
      </c>
      <c r="G1014" s="1">
        <v>320.0</v>
      </c>
      <c r="H1014" s="1">
        <v>0.006</v>
      </c>
      <c r="I1014" s="1">
        <v>9.76</v>
      </c>
    </row>
    <row r="1015">
      <c r="A1015" s="2" t="s">
        <v>10840</v>
      </c>
      <c r="B1015" s="1">
        <v>200.0</v>
      </c>
      <c r="C1015" s="1" t="s">
        <v>10841</v>
      </c>
      <c r="D1015" s="1" t="s">
        <v>583</v>
      </c>
      <c r="F1015" s="1">
        <v>8.0</v>
      </c>
      <c r="G1015" s="1">
        <v>229.0</v>
      </c>
      <c r="H1015" s="1">
        <v>0.035</v>
      </c>
      <c r="I1015" s="1">
        <v>9.06</v>
      </c>
    </row>
    <row r="1016">
      <c r="A1016" s="2" t="s">
        <v>10842</v>
      </c>
      <c r="B1016" s="1">
        <v>200.0</v>
      </c>
      <c r="C1016" s="1" t="s">
        <v>10843</v>
      </c>
      <c r="D1016" s="1" t="s">
        <v>583</v>
      </c>
      <c r="F1016" s="1">
        <v>2.0</v>
      </c>
      <c r="G1016" s="1">
        <v>341.0</v>
      </c>
      <c r="H1016" s="1">
        <v>0.006</v>
      </c>
      <c r="I1016" s="1">
        <v>6.02</v>
      </c>
    </row>
    <row r="1017">
      <c r="A1017" s="2" t="s">
        <v>10844</v>
      </c>
      <c r="B1017" s="1">
        <v>200.0</v>
      </c>
      <c r="C1017" s="1" t="s">
        <v>10845</v>
      </c>
      <c r="D1017" s="1" t="s">
        <v>583</v>
      </c>
      <c r="F1017" s="1">
        <v>7.0</v>
      </c>
      <c r="G1017" s="1">
        <v>927.0</v>
      </c>
      <c r="H1017" s="1">
        <v>0.008</v>
      </c>
      <c r="I1017" s="1">
        <v>16.51</v>
      </c>
    </row>
    <row r="1018">
      <c r="A1018" s="2" t="s">
        <v>10846</v>
      </c>
      <c r="B1018" s="1">
        <v>200.0</v>
      </c>
      <c r="C1018" s="1" t="s">
        <v>10847</v>
      </c>
      <c r="D1018" s="1" t="s">
        <v>583</v>
      </c>
      <c r="F1018" s="1">
        <v>5.0</v>
      </c>
      <c r="G1018" s="1">
        <v>1397.0</v>
      </c>
      <c r="H1018" s="1">
        <v>0.004</v>
      </c>
      <c r="I1018" s="1">
        <v>23.76</v>
      </c>
    </row>
    <row r="1019">
      <c r="A1019" s="2" t="s">
        <v>10848</v>
      </c>
      <c r="B1019" s="1">
        <v>200.0</v>
      </c>
      <c r="C1019" s="1" t="s">
        <v>10849</v>
      </c>
      <c r="D1019" s="1" t="s">
        <v>583</v>
      </c>
      <c r="F1019" s="1">
        <v>2.0</v>
      </c>
      <c r="G1019" s="1">
        <v>372.0</v>
      </c>
      <c r="H1019" s="1">
        <v>0.005</v>
      </c>
      <c r="I1019" s="1">
        <v>24.0</v>
      </c>
    </row>
    <row r="1020">
      <c r="A1020" s="2" t="s">
        <v>10850</v>
      </c>
      <c r="B1020" s="1">
        <v>200.0</v>
      </c>
      <c r="C1020" s="1" t="s">
        <v>10851</v>
      </c>
      <c r="D1020" s="1" t="s">
        <v>583</v>
      </c>
      <c r="F1020" s="1">
        <v>0.0</v>
      </c>
      <c r="G1020" s="1">
        <v>193.0</v>
      </c>
      <c r="H1020" s="1">
        <v>0.0</v>
      </c>
      <c r="I1020" s="1">
        <v>39.51</v>
      </c>
    </row>
    <row r="1021">
      <c r="A1021" s="2" t="s">
        <v>10852</v>
      </c>
      <c r="B1021" s="1">
        <v>200.0</v>
      </c>
      <c r="C1021" s="1" t="s">
        <v>10853</v>
      </c>
      <c r="D1021" s="1" t="s">
        <v>583</v>
      </c>
      <c r="F1021" s="1">
        <v>3.0</v>
      </c>
      <c r="G1021" s="1">
        <v>543.0</v>
      </c>
      <c r="H1021" s="1">
        <v>0.005</v>
      </c>
      <c r="I1021" s="1">
        <v>18.01</v>
      </c>
    </row>
    <row r="1022">
      <c r="A1022" s="2" t="s">
        <v>10854</v>
      </c>
      <c r="B1022" s="1">
        <v>200.0</v>
      </c>
      <c r="C1022" s="1" t="s">
        <v>10855</v>
      </c>
      <c r="D1022" s="1" t="s">
        <v>583</v>
      </c>
    </row>
    <row r="1023">
      <c r="A1023" s="2" t="s">
        <v>10856</v>
      </c>
      <c r="B1023" s="1">
        <v>200.0</v>
      </c>
      <c r="C1023" s="1" t="s">
        <v>10857</v>
      </c>
      <c r="D1023" s="1" t="s">
        <v>583</v>
      </c>
      <c r="F1023" s="1">
        <v>0.0</v>
      </c>
      <c r="G1023" s="1">
        <v>12.0</v>
      </c>
      <c r="H1023" s="1">
        <v>0.0</v>
      </c>
      <c r="I1023" s="1">
        <v>19.25</v>
      </c>
    </row>
    <row r="1024">
      <c r="A1024" s="2" t="s">
        <v>10858</v>
      </c>
      <c r="B1024" s="1">
        <v>200.0</v>
      </c>
      <c r="C1024" s="1" t="s">
        <v>10859</v>
      </c>
      <c r="D1024" s="1" t="s">
        <v>583</v>
      </c>
    </row>
    <row r="1025">
      <c r="A1025" s="2" t="s">
        <v>10860</v>
      </c>
      <c r="B1025" s="1">
        <v>200.0</v>
      </c>
      <c r="C1025" s="1" t="s">
        <v>10861</v>
      </c>
      <c r="D1025" s="1" t="s">
        <v>583</v>
      </c>
      <c r="F1025" s="1">
        <v>2.0</v>
      </c>
      <c r="G1025" s="1">
        <v>537.0</v>
      </c>
      <c r="H1025" s="1">
        <v>0.004</v>
      </c>
      <c r="I1025" s="1">
        <v>41.03</v>
      </c>
    </row>
    <row r="1026">
      <c r="A1026" s="2" t="s">
        <v>10862</v>
      </c>
      <c r="B1026" s="1">
        <v>200.0</v>
      </c>
      <c r="C1026" s="1" t="s">
        <v>10863</v>
      </c>
      <c r="D1026" s="1" t="s">
        <v>583</v>
      </c>
      <c r="F1026" s="1">
        <v>0.0</v>
      </c>
      <c r="G1026" s="1">
        <v>1052.0</v>
      </c>
      <c r="H1026" s="1">
        <v>0.0</v>
      </c>
      <c r="I1026" s="1">
        <v>40.26</v>
      </c>
    </row>
    <row r="1027">
      <c r="A1027" s="2" t="s">
        <v>10864</v>
      </c>
      <c r="B1027" s="1">
        <v>200.0</v>
      </c>
      <c r="C1027" s="1" t="s">
        <v>10865</v>
      </c>
      <c r="D1027" s="1" t="s">
        <v>583</v>
      </c>
      <c r="F1027" s="1">
        <v>8.0</v>
      </c>
      <c r="G1027" s="1">
        <v>14640.0</v>
      </c>
      <c r="H1027" s="1">
        <v>0.0</v>
      </c>
      <c r="I1027" s="1">
        <v>41.45</v>
      </c>
    </row>
    <row r="1028">
      <c r="A1028" s="2" t="s">
        <v>10866</v>
      </c>
      <c r="B1028" s="1">
        <v>200.0</v>
      </c>
      <c r="C1028" s="1" t="s">
        <v>10867</v>
      </c>
      <c r="D1028" s="1" t="s">
        <v>583</v>
      </c>
      <c r="F1028" s="1">
        <v>4.0</v>
      </c>
      <c r="G1028" s="1">
        <v>739.0</v>
      </c>
      <c r="H1028" s="1">
        <v>0.005</v>
      </c>
      <c r="I1028" s="1">
        <v>17.1</v>
      </c>
    </row>
    <row r="1029">
      <c r="A1029" s="2" t="s">
        <v>10868</v>
      </c>
      <c r="B1029" s="1">
        <v>200.0</v>
      </c>
      <c r="C1029" s="1" t="s">
        <v>10869</v>
      </c>
      <c r="D1029" s="1" t="s">
        <v>583</v>
      </c>
      <c r="F1029" s="1">
        <v>3.0</v>
      </c>
      <c r="G1029" s="1">
        <v>933.0</v>
      </c>
      <c r="H1029" s="1">
        <v>0.003</v>
      </c>
      <c r="I1029" s="1">
        <v>46.19</v>
      </c>
    </row>
    <row r="1030">
      <c r="A1030" s="2" t="s">
        <v>10870</v>
      </c>
      <c r="B1030" s="1">
        <v>200.0</v>
      </c>
      <c r="C1030" s="1" t="s">
        <v>10871</v>
      </c>
      <c r="D1030" s="1" t="s">
        <v>583</v>
      </c>
      <c r="F1030" s="1">
        <v>10.0</v>
      </c>
      <c r="G1030" s="1">
        <v>579.0</v>
      </c>
      <c r="H1030" s="1">
        <v>0.017</v>
      </c>
      <c r="I1030" s="1">
        <v>10.91</v>
      </c>
    </row>
    <row r="1031">
      <c r="A1031" s="2" t="s">
        <v>10872</v>
      </c>
      <c r="B1031" s="1">
        <v>200.0</v>
      </c>
      <c r="C1031" s="1" t="s">
        <v>10873</v>
      </c>
      <c r="D1031" s="1" t="s">
        <v>583</v>
      </c>
      <c r="F1031" s="1">
        <v>9.0</v>
      </c>
      <c r="G1031" s="1">
        <v>240.0</v>
      </c>
      <c r="H1031" s="1">
        <v>0.037</v>
      </c>
      <c r="I1031" s="1">
        <v>15.58</v>
      </c>
    </row>
    <row r="1032">
      <c r="A1032" s="2" t="s">
        <v>10874</v>
      </c>
      <c r="B1032" s="1">
        <v>200.0</v>
      </c>
      <c r="C1032" s="1" t="s">
        <v>10875</v>
      </c>
      <c r="D1032" s="1" t="s">
        <v>583</v>
      </c>
      <c r="F1032" s="1">
        <v>9.0</v>
      </c>
      <c r="G1032" s="1">
        <v>2700.0</v>
      </c>
      <c r="H1032" s="1">
        <v>0.003</v>
      </c>
      <c r="I1032" s="1">
        <v>23.75</v>
      </c>
    </row>
    <row r="1033">
      <c r="A1033" s="2" t="s">
        <v>10876</v>
      </c>
      <c r="B1033" s="1">
        <v>200.0</v>
      </c>
      <c r="C1033" s="1" t="s">
        <v>10877</v>
      </c>
      <c r="D1033" s="1" t="s">
        <v>583</v>
      </c>
      <c r="F1033" s="1">
        <v>1.0</v>
      </c>
      <c r="G1033" s="1">
        <v>321.0</v>
      </c>
      <c r="H1033" s="1">
        <v>0.003</v>
      </c>
      <c r="I1033" s="1">
        <v>10.22</v>
      </c>
    </row>
    <row r="1034">
      <c r="A1034" s="2" t="s">
        <v>10878</v>
      </c>
      <c r="B1034" s="1">
        <v>200.0</v>
      </c>
      <c r="C1034" s="1" t="s">
        <v>10879</v>
      </c>
      <c r="D1034" s="1" t="s">
        <v>583</v>
      </c>
      <c r="F1034" s="1">
        <v>30.0</v>
      </c>
      <c r="G1034" s="1">
        <v>2235.0</v>
      </c>
      <c r="H1034" s="1">
        <v>0.013</v>
      </c>
      <c r="I1034" s="1">
        <v>33.28</v>
      </c>
    </row>
    <row r="1035">
      <c r="A1035" s="2" t="s">
        <v>10880</v>
      </c>
      <c r="B1035" s="1">
        <v>200.0</v>
      </c>
      <c r="C1035" s="1" t="s">
        <v>10881</v>
      </c>
      <c r="D1035" s="1" t="s">
        <v>583</v>
      </c>
      <c r="F1035" s="1">
        <v>0.0</v>
      </c>
      <c r="G1035" s="1">
        <v>270.0</v>
      </c>
      <c r="H1035" s="1">
        <v>0.0</v>
      </c>
      <c r="I1035" s="1">
        <v>27.9</v>
      </c>
    </row>
    <row r="1036">
      <c r="A1036" s="2" t="s">
        <v>10882</v>
      </c>
      <c r="B1036" s="1">
        <v>200.0</v>
      </c>
      <c r="C1036" s="1" t="s">
        <v>10883</v>
      </c>
      <c r="D1036" s="1" t="s">
        <v>583</v>
      </c>
      <c r="F1036" s="1">
        <v>6.0</v>
      </c>
      <c r="G1036" s="1">
        <v>1270.0</v>
      </c>
      <c r="H1036" s="1">
        <v>0.005</v>
      </c>
      <c r="I1036" s="1">
        <v>53.59</v>
      </c>
    </row>
    <row r="1037">
      <c r="A1037" s="2" t="s">
        <v>10884</v>
      </c>
      <c r="B1037" s="1">
        <v>200.0</v>
      </c>
      <c r="C1037" s="1" t="s">
        <v>10885</v>
      </c>
      <c r="D1037" s="1" t="s">
        <v>583</v>
      </c>
    </row>
    <row r="1038">
      <c r="A1038" s="2" t="s">
        <v>10886</v>
      </c>
      <c r="B1038" s="1">
        <v>200.0</v>
      </c>
      <c r="C1038" s="1" t="s">
        <v>10887</v>
      </c>
      <c r="D1038" s="1" t="s">
        <v>583</v>
      </c>
      <c r="F1038" s="1">
        <v>0.0</v>
      </c>
      <c r="G1038" s="1">
        <v>260.0</v>
      </c>
      <c r="H1038" s="1">
        <v>0.0</v>
      </c>
      <c r="I1038" s="1">
        <v>12.87</v>
      </c>
    </row>
    <row r="1039">
      <c r="A1039" s="2" t="s">
        <v>10888</v>
      </c>
      <c r="B1039" s="1">
        <v>200.0</v>
      </c>
      <c r="C1039" s="1" t="s">
        <v>10889</v>
      </c>
      <c r="D1039" s="1" t="s">
        <v>583</v>
      </c>
      <c r="F1039" s="1">
        <v>0.0</v>
      </c>
      <c r="G1039" s="1">
        <v>17.0</v>
      </c>
      <c r="H1039" s="1">
        <v>0.0</v>
      </c>
      <c r="I1039" s="1">
        <v>54.06</v>
      </c>
    </row>
    <row r="1040">
      <c r="A1040" s="2" t="s">
        <v>10890</v>
      </c>
      <c r="B1040" s="1">
        <v>301.0</v>
      </c>
      <c r="D1040" s="1" t="s">
        <v>609</v>
      </c>
      <c r="E1040" s="1" t="s">
        <v>610</v>
      </c>
    </row>
    <row r="1041">
      <c r="A1041" s="2" t="s">
        <v>10891</v>
      </c>
      <c r="B1041" s="1">
        <v>200.0</v>
      </c>
      <c r="C1041" s="1" t="s">
        <v>10892</v>
      </c>
      <c r="D1041" s="1" t="s">
        <v>583</v>
      </c>
      <c r="F1041" s="1">
        <v>0.0</v>
      </c>
      <c r="G1041" s="1">
        <v>253.0</v>
      </c>
      <c r="H1041" s="1">
        <v>0.0</v>
      </c>
      <c r="I1041" s="1">
        <v>43.4</v>
      </c>
    </row>
    <row r="1042">
      <c r="A1042" s="2" t="s">
        <v>10893</v>
      </c>
      <c r="B1042" s="1">
        <v>200.0</v>
      </c>
      <c r="C1042" s="1" t="s">
        <v>10894</v>
      </c>
      <c r="D1042" s="1" t="s">
        <v>583</v>
      </c>
      <c r="F1042" s="1">
        <v>3.0</v>
      </c>
      <c r="G1042" s="1">
        <v>148.0</v>
      </c>
      <c r="H1042" s="1">
        <v>0.02</v>
      </c>
      <c r="I1042" s="1">
        <v>21.39</v>
      </c>
    </row>
    <row r="1043">
      <c r="A1043" s="2" t="s">
        <v>10895</v>
      </c>
      <c r="B1043" s="1">
        <v>200.0</v>
      </c>
      <c r="C1043" s="1" t="s">
        <v>10896</v>
      </c>
      <c r="D1043" s="1" t="s">
        <v>583</v>
      </c>
      <c r="F1043" s="1">
        <v>16.0</v>
      </c>
      <c r="G1043" s="1">
        <v>1685.0</v>
      </c>
      <c r="H1043" s="1">
        <v>0.009</v>
      </c>
      <c r="I1043" s="1">
        <v>24.74</v>
      </c>
    </row>
    <row r="1044">
      <c r="A1044" s="2" t="s">
        <v>10897</v>
      </c>
      <c r="B1044" s="1">
        <v>200.0</v>
      </c>
      <c r="C1044" s="1" t="s">
        <v>10898</v>
      </c>
      <c r="D1044" s="1" t="s">
        <v>583</v>
      </c>
      <c r="F1044" s="1">
        <v>3.0</v>
      </c>
      <c r="G1044" s="1">
        <v>92.0</v>
      </c>
      <c r="H1044" s="1">
        <v>0.033</v>
      </c>
      <c r="I1044" s="1">
        <v>7.96</v>
      </c>
    </row>
    <row r="1045">
      <c r="A1045" s="2" t="s">
        <v>10899</v>
      </c>
      <c r="B1045" s="1">
        <v>200.0</v>
      </c>
      <c r="C1045" s="1" t="s">
        <v>10900</v>
      </c>
      <c r="D1045" s="1" t="s">
        <v>583</v>
      </c>
      <c r="F1045" s="1">
        <v>2.0</v>
      </c>
      <c r="G1045" s="1">
        <v>64.0</v>
      </c>
      <c r="H1045" s="1">
        <v>0.031</v>
      </c>
      <c r="I1045" s="1">
        <v>8.64</v>
      </c>
    </row>
    <row r="1046">
      <c r="A1046" s="2" t="s">
        <v>10901</v>
      </c>
      <c r="B1046" s="1">
        <v>200.0</v>
      </c>
      <c r="C1046" s="1" t="s">
        <v>10902</v>
      </c>
      <c r="D1046" s="1" t="s">
        <v>583</v>
      </c>
      <c r="F1046" s="1">
        <v>15.0</v>
      </c>
      <c r="G1046" s="1">
        <v>1423.0</v>
      </c>
      <c r="H1046" s="1">
        <v>0.011</v>
      </c>
      <c r="I1046" s="1">
        <v>12.05</v>
      </c>
    </row>
    <row r="1047">
      <c r="A1047" s="2" t="s">
        <v>10903</v>
      </c>
      <c r="B1047" s="1">
        <v>200.0</v>
      </c>
      <c r="C1047" s="1" t="s">
        <v>10904</v>
      </c>
      <c r="D1047" s="1" t="s">
        <v>583</v>
      </c>
      <c r="F1047" s="1">
        <v>2.0</v>
      </c>
      <c r="G1047" s="1">
        <v>114.0</v>
      </c>
      <c r="H1047" s="1">
        <v>0.018</v>
      </c>
      <c r="I1047" s="1">
        <v>13.01</v>
      </c>
    </row>
    <row r="1048">
      <c r="A1048" s="2" t="s">
        <v>10905</v>
      </c>
      <c r="B1048" s="1">
        <v>200.0</v>
      </c>
      <c r="C1048" s="1" t="s">
        <v>10906</v>
      </c>
      <c r="D1048" s="1" t="s">
        <v>583</v>
      </c>
      <c r="F1048" s="1">
        <v>15.0</v>
      </c>
      <c r="G1048" s="1">
        <v>1071.0</v>
      </c>
      <c r="H1048" s="1">
        <v>0.014</v>
      </c>
      <c r="I1048" s="1">
        <v>12.46</v>
      </c>
    </row>
    <row r="1049">
      <c r="A1049" s="2" t="s">
        <v>10907</v>
      </c>
      <c r="B1049" s="1">
        <v>200.0</v>
      </c>
      <c r="C1049" s="1" t="s">
        <v>10908</v>
      </c>
      <c r="D1049" s="1" t="s">
        <v>583</v>
      </c>
      <c r="F1049" s="1">
        <v>1.0</v>
      </c>
      <c r="G1049" s="1">
        <v>116.0</v>
      </c>
      <c r="H1049" s="1">
        <v>0.009</v>
      </c>
      <c r="I1049" s="1">
        <v>15.18</v>
      </c>
    </row>
    <row r="1050">
      <c r="A1050" s="2" t="s">
        <v>10909</v>
      </c>
      <c r="B1050" s="1">
        <v>200.0</v>
      </c>
      <c r="C1050" s="1" t="s">
        <v>10910</v>
      </c>
      <c r="D1050" s="1" t="s">
        <v>583</v>
      </c>
      <c r="F1050" s="1">
        <v>1.0</v>
      </c>
      <c r="G1050" s="1">
        <v>136.0</v>
      </c>
      <c r="H1050" s="1">
        <v>0.007</v>
      </c>
      <c r="I1050" s="1">
        <v>27.43</v>
      </c>
    </row>
    <row r="1051">
      <c r="A1051" s="2" t="s">
        <v>10911</v>
      </c>
      <c r="B1051" s="1">
        <v>200.0</v>
      </c>
      <c r="C1051" s="1" t="s">
        <v>10912</v>
      </c>
      <c r="D1051" s="1" t="s">
        <v>583</v>
      </c>
      <c r="F1051" s="1">
        <v>3.0</v>
      </c>
      <c r="G1051" s="1">
        <v>163.0</v>
      </c>
      <c r="H1051" s="1">
        <v>0.018</v>
      </c>
      <c r="I1051" s="1">
        <v>9.1</v>
      </c>
    </row>
    <row r="1052">
      <c r="A1052" s="2" t="s">
        <v>10913</v>
      </c>
      <c r="B1052" s="1">
        <v>200.0</v>
      </c>
      <c r="C1052" s="1" t="s">
        <v>10914</v>
      </c>
      <c r="D1052" s="1" t="s">
        <v>583</v>
      </c>
      <c r="F1052" s="1">
        <v>3.0</v>
      </c>
      <c r="G1052" s="1">
        <v>798.0</v>
      </c>
      <c r="H1052" s="1">
        <v>0.004</v>
      </c>
      <c r="I1052" s="1">
        <v>14.49</v>
      </c>
    </row>
    <row r="1053">
      <c r="A1053" s="2" t="s">
        <v>10915</v>
      </c>
      <c r="B1053" s="1">
        <v>200.0</v>
      </c>
      <c r="C1053" s="1" t="s">
        <v>10916</v>
      </c>
      <c r="D1053" s="1" t="s">
        <v>583</v>
      </c>
      <c r="F1053" s="1">
        <v>0.0</v>
      </c>
      <c r="G1053" s="1">
        <v>105.0</v>
      </c>
      <c r="H1053" s="1">
        <v>0.0</v>
      </c>
      <c r="I1053" s="1">
        <v>45.35</v>
      </c>
    </row>
    <row r="1054">
      <c r="A1054" s="2" t="s">
        <v>10917</v>
      </c>
      <c r="B1054" s="1">
        <v>200.0</v>
      </c>
      <c r="C1054" s="1" t="s">
        <v>10918</v>
      </c>
      <c r="D1054" s="1" t="s">
        <v>583</v>
      </c>
      <c r="F1054" s="1">
        <v>23.0</v>
      </c>
      <c r="G1054" s="1">
        <v>2001.0</v>
      </c>
      <c r="H1054" s="1">
        <v>0.011</v>
      </c>
      <c r="I1054" s="1">
        <v>21.22</v>
      </c>
    </row>
    <row r="1055">
      <c r="A1055" s="2" t="s">
        <v>10919</v>
      </c>
      <c r="B1055" s="1">
        <v>200.0</v>
      </c>
      <c r="C1055" s="1" t="s">
        <v>10920</v>
      </c>
      <c r="D1055" s="1" t="s">
        <v>583</v>
      </c>
      <c r="F1055" s="1">
        <v>26.0</v>
      </c>
      <c r="G1055" s="1">
        <v>1448.0</v>
      </c>
      <c r="H1055" s="1">
        <v>0.018</v>
      </c>
      <c r="I1055" s="1">
        <v>9.23</v>
      </c>
    </row>
    <row r="1056">
      <c r="A1056" s="2" t="s">
        <v>10921</v>
      </c>
      <c r="B1056" s="1">
        <v>200.0</v>
      </c>
      <c r="C1056" s="1" t="s">
        <v>10922</v>
      </c>
      <c r="D1056" s="1" t="s">
        <v>583</v>
      </c>
      <c r="F1056" s="1">
        <v>1.0</v>
      </c>
      <c r="G1056" s="1">
        <v>508.0</v>
      </c>
      <c r="H1056" s="1">
        <v>0.002</v>
      </c>
      <c r="I1056" s="1">
        <v>42.37</v>
      </c>
    </row>
    <row r="1057">
      <c r="A1057" s="2" t="s">
        <v>10923</v>
      </c>
      <c r="B1057" s="1">
        <v>200.0</v>
      </c>
      <c r="C1057" s="1" t="s">
        <v>10924</v>
      </c>
      <c r="D1057" s="1" t="s">
        <v>583</v>
      </c>
      <c r="F1057" s="1">
        <v>4.0</v>
      </c>
      <c r="G1057" s="1">
        <v>2742.0</v>
      </c>
      <c r="H1057" s="1">
        <v>0.002</v>
      </c>
      <c r="I1057" s="1">
        <v>15.47</v>
      </c>
    </row>
    <row r="1058">
      <c r="A1058" s="2" t="s">
        <v>10925</v>
      </c>
      <c r="B1058" s="1">
        <v>200.0</v>
      </c>
      <c r="C1058" s="1" t="s">
        <v>10926</v>
      </c>
      <c r="D1058" s="1" t="s">
        <v>583</v>
      </c>
      <c r="F1058" s="1">
        <v>1.0</v>
      </c>
      <c r="G1058" s="1">
        <v>864.0</v>
      </c>
      <c r="H1058" s="1">
        <v>0.001</v>
      </c>
      <c r="I1058" s="1">
        <v>20.42</v>
      </c>
    </row>
    <row r="1059">
      <c r="A1059" s="2" t="s">
        <v>10927</v>
      </c>
      <c r="B1059" s="1">
        <v>200.0</v>
      </c>
      <c r="C1059" s="1" t="s">
        <v>10928</v>
      </c>
      <c r="D1059" s="1" t="s">
        <v>583</v>
      </c>
      <c r="F1059" s="1">
        <v>0.0</v>
      </c>
      <c r="G1059" s="1">
        <v>29.0</v>
      </c>
      <c r="H1059" s="1">
        <v>0.0</v>
      </c>
      <c r="I1059" s="1">
        <v>9.21</v>
      </c>
    </row>
    <row r="1060">
      <c r="A1060" s="2" t="s">
        <v>10929</v>
      </c>
      <c r="B1060" s="1">
        <v>200.0</v>
      </c>
      <c r="C1060" s="1" t="s">
        <v>10930</v>
      </c>
      <c r="D1060" s="1" t="s">
        <v>583</v>
      </c>
      <c r="F1060" s="1">
        <v>14.0</v>
      </c>
      <c r="G1060" s="1">
        <v>660.0</v>
      </c>
      <c r="H1060" s="1">
        <v>0.021</v>
      </c>
      <c r="I1060" s="1">
        <v>15.45</v>
      </c>
    </row>
    <row r="1061">
      <c r="A1061" s="2" t="s">
        <v>10931</v>
      </c>
      <c r="B1061" s="1">
        <v>200.0</v>
      </c>
      <c r="C1061" s="1" t="s">
        <v>10932</v>
      </c>
      <c r="D1061" s="1" t="s">
        <v>583</v>
      </c>
      <c r="F1061" s="1">
        <v>0.0</v>
      </c>
      <c r="G1061" s="1">
        <v>131.0</v>
      </c>
      <c r="H1061" s="1">
        <v>0.0</v>
      </c>
      <c r="I1061" s="1">
        <v>26.2</v>
      </c>
    </row>
    <row r="1062">
      <c r="A1062" s="2" t="s">
        <v>10933</v>
      </c>
      <c r="B1062" s="1">
        <v>200.0</v>
      </c>
      <c r="C1062" s="1" t="s">
        <v>10934</v>
      </c>
      <c r="D1062" s="1" t="s">
        <v>583</v>
      </c>
      <c r="F1062" s="1">
        <v>0.0</v>
      </c>
      <c r="G1062" s="1">
        <v>136.0</v>
      </c>
      <c r="H1062" s="1">
        <v>0.0</v>
      </c>
      <c r="I1062" s="1">
        <v>69.07</v>
      </c>
    </row>
    <row r="1063">
      <c r="A1063" s="2" t="s">
        <v>10935</v>
      </c>
      <c r="B1063" s="1">
        <v>200.0</v>
      </c>
      <c r="C1063" s="1" t="s">
        <v>10936</v>
      </c>
      <c r="D1063" s="1" t="s">
        <v>583</v>
      </c>
      <c r="F1063" s="1">
        <v>0.0</v>
      </c>
      <c r="G1063" s="1">
        <v>78.0</v>
      </c>
      <c r="H1063" s="1">
        <v>0.0</v>
      </c>
      <c r="I1063" s="1">
        <v>46.82</v>
      </c>
    </row>
    <row r="1064">
      <c r="A1064" s="2" t="s">
        <v>10937</v>
      </c>
      <c r="B1064" s="1">
        <v>200.0</v>
      </c>
      <c r="C1064" s="1" t="s">
        <v>10938</v>
      </c>
      <c r="D1064" s="1" t="s">
        <v>583</v>
      </c>
      <c r="F1064" s="1">
        <v>0.0</v>
      </c>
      <c r="G1064" s="1">
        <v>12.0</v>
      </c>
      <c r="H1064" s="1">
        <v>0.0</v>
      </c>
      <c r="I1064" s="1">
        <v>4.83</v>
      </c>
    </row>
    <row r="1065">
      <c r="A1065" s="2" t="s">
        <v>10939</v>
      </c>
      <c r="B1065" s="1">
        <v>200.0</v>
      </c>
      <c r="C1065" s="1" t="s">
        <v>10940</v>
      </c>
      <c r="D1065" s="1" t="s">
        <v>583</v>
      </c>
      <c r="F1065" s="1">
        <v>0.0</v>
      </c>
      <c r="G1065" s="1">
        <v>99.0</v>
      </c>
      <c r="H1065" s="1">
        <v>0.0</v>
      </c>
      <c r="I1065" s="1">
        <v>26.88</v>
      </c>
    </row>
    <row r="1066">
      <c r="A1066" s="2" t="s">
        <v>10941</v>
      </c>
      <c r="B1066" s="1">
        <v>200.0</v>
      </c>
      <c r="C1066" s="1" t="s">
        <v>10942</v>
      </c>
      <c r="D1066" s="1" t="s">
        <v>583</v>
      </c>
      <c r="F1066" s="1">
        <v>0.0</v>
      </c>
      <c r="G1066" s="1">
        <v>20.0</v>
      </c>
      <c r="H1066" s="1">
        <v>0.0</v>
      </c>
      <c r="I1066" s="1">
        <v>15.3</v>
      </c>
    </row>
    <row r="1067">
      <c r="A1067" s="2" t="s">
        <v>10943</v>
      </c>
      <c r="B1067" s="1">
        <v>200.0</v>
      </c>
      <c r="C1067" s="1" t="s">
        <v>10944</v>
      </c>
      <c r="D1067" s="1" t="s">
        <v>583</v>
      </c>
      <c r="F1067" s="1">
        <v>0.0</v>
      </c>
      <c r="G1067" s="1">
        <v>214.0</v>
      </c>
      <c r="H1067" s="1">
        <v>0.0</v>
      </c>
      <c r="I1067" s="1">
        <v>39.96</v>
      </c>
    </row>
    <row r="1068">
      <c r="A1068" s="2" t="s">
        <v>10945</v>
      </c>
      <c r="B1068" s="1">
        <v>200.0</v>
      </c>
      <c r="C1068" s="1" t="s">
        <v>10946</v>
      </c>
      <c r="D1068" s="1" t="s">
        <v>583</v>
      </c>
      <c r="F1068" s="1">
        <v>1.0</v>
      </c>
      <c r="G1068" s="1">
        <v>79.0</v>
      </c>
      <c r="H1068" s="1">
        <v>0.013</v>
      </c>
      <c r="I1068" s="1">
        <v>23.11</v>
      </c>
    </row>
    <row r="1069">
      <c r="A1069" s="2" t="s">
        <v>10947</v>
      </c>
      <c r="B1069" s="1">
        <v>200.0</v>
      </c>
      <c r="C1069" s="1" t="s">
        <v>10948</v>
      </c>
      <c r="D1069" s="1" t="s">
        <v>583</v>
      </c>
      <c r="F1069" s="1">
        <v>1.0</v>
      </c>
      <c r="G1069" s="1">
        <v>6.0</v>
      </c>
      <c r="H1069" s="1">
        <v>0.167</v>
      </c>
      <c r="I1069" s="1">
        <v>7.5</v>
      </c>
    </row>
    <row r="1070">
      <c r="A1070" s="2" t="s">
        <v>10949</v>
      </c>
      <c r="B1070" s="1">
        <v>200.0</v>
      </c>
      <c r="C1070" s="1" t="s">
        <v>10950</v>
      </c>
      <c r="D1070" s="1" t="s">
        <v>583</v>
      </c>
      <c r="F1070" s="1">
        <v>0.0</v>
      </c>
      <c r="G1070" s="1">
        <v>6.0</v>
      </c>
      <c r="H1070" s="1">
        <v>0.0</v>
      </c>
      <c r="I1070" s="1">
        <v>13.83</v>
      </c>
    </row>
    <row r="1071">
      <c r="A1071" s="2" t="s">
        <v>10951</v>
      </c>
      <c r="B1071" s="1">
        <v>200.0</v>
      </c>
      <c r="C1071" s="1" t="s">
        <v>10952</v>
      </c>
      <c r="D1071" s="1" t="s">
        <v>583</v>
      </c>
      <c r="F1071" s="1">
        <v>0.0</v>
      </c>
      <c r="G1071" s="1">
        <v>42.0</v>
      </c>
      <c r="H1071" s="1">
        <v>0.0</v>
      </c>
      <c r="I1071" s="1">
        <v>37.9</v>
      </c>
    </row>
    <row r="1072">
      <c r="A1072" s="2" t="s">
        <v>10953</v>
      </c>
      <c r="B1072" s="1">
        <v>200.0</v>
      </c>
      <c r="C1072" s="1" t="s">
        <v>10954</v>
      </c>
      <c r="D1072" s="1" t="s">
        <v>583</v>
      </c>
      <c r="F1072" s="1">
        <v>0.0</v>
      </c>
      <c r="G1072" s="1">
        <v>13.0</v>
      </c>
      <c r="H1072" s="1">
        <v>0.0</v>
      </c>
      <c r="I1072" s="1">
        <v>19.46</v>
      </c>
    </row>
    <row r="1073">
      <c r="A1073" s="2" t="s">
        <v>10955</v>
      </c>
      <c r="B1073" s="1">
        <v>200.0</v>
      </c>
      <c r="C1073" s="1" t="s">
        <v>10956</v>
      </c>
      <c r="D1073" s="1" t="s">
        <v>583</v>
      </c>
    </row>
    <row r="1074">
      <c r="A1074" s="2" t="s">
        <v>10957</v>
      </c>
      <c r="B1074" s="1">
        <v>200.0</v>
      </c>
      <c r="C1074" s="1" t="s">
        <v>10958</v>
      </c>
      <c r="D1074" s="1" t="s">
        <v>583</v>
      </c>
      <c r="F1074" s="1">
        <v>0.0</v>
      </c>
      <c r="G1074" s="1">
        <v>15.0</v>
      </c>
      <c r="H1074" s="1">
        <v>0.0</v>
      </c>
      <c r="I1074" s="1">
        <v>51.33</v>
      </c>
    </row>
    <row r="1075">
      <c r="A1075" s="2" t="s">
        <v>10959</v>
      </c>
      <c r="B1075" s="1">
        <v>200.0</v>
      </c>
      <c r="C1075" s="1" t="s">
        <v>10960</v>
      </c>
      <c r="D1075" s="1" t="s">
        <v>583</v>
      </c>
      <c r="F1075" s="1">
        <v>5.0</v>
      </c>
      <c r="G1075" s="1">
        <v>847.0</v>
      </c>
      <c r="H1075" s="1">
        <v>0.006</v>
      </c>
      <c r="I1075" s="1">
        <v>3.3</v>
      </c>
    </row>
    <row r="1076">
      <c r="A1076" s="2" t="s">
        <v>10961</v>
      </c>
      <c r="B1076" s="1">
        <v>200.0</v>
      </c>
      <c r="C1076" s="1" t="s">
        <v>10962</v>
      </c>
      <c r="D1076" s="1" t="s">
        <v>583</v>
      </c>
      <c r="F1076" s="1">
        <v>7.0</v>
      </c>
      <c r="G1076" s="1">
        <v>514.0</v>
      </c>
      <c r="H1076" s="1">
        <v>0.014</v>
      </c>
      <c r="I1076" s="1">
        <v>10.34</v>
      </c>
    </row>
    <row r="1077">
      <c r="A1077" s="2" t="s">
        <v>10963</v>
      </c>
      <c r="B1077" s="1">
        <v>200.0</v>
      </c>
      <c r="C1077" s="1" t="s">
        <v>10964</v>
      </c>
      <c r="D1077" s="1" t="s">
        <v>583</v>
      </c>
      <c r="F1077" s="1">
        <v>3.0</v>
      </c>
      <c r="G1077" s="1">
        <v>273.0</v>
      </c>
      <c r="H1077" s="1">
        <v>0.011</v>
      </c>
      <c r="I1077" s="1">
        <v>35.26</v>
      </c>
    </row>
    <row r="1078">
      <c r="A1078" s="2" t="s">
        <v>10965</v>
      </c>
      <c r="B1078" s="1">
        <v>200.0</v>
      </c>
      <c r="C1078" s="1" t="s">
        <v>10966</v>
      </c>
      <c r="D1078" s="1" t="s">
        <v>583</v>
      </c>
      <c r="F1078" s="1">
        <v>0.0</v>
      </c>
      <c r="G1078" s="1">
        <v>27.0</v>
      </c>
      <c r="H1078" s="1">
        <v>0.0</v>
      </c>
      <c r="I1078" s="1">
        <v>30.85</v>
      </c>
    </row>
    <row r="1079">
      <c r="A1079" s="2" t="s">
        <v>10967</v>
      </c>
      <c r="B1079" s="1">
        <v>200.0</v>
      </c>
      <c r="C1079" s="1" t="s">
        <v>10968</v>
      </c>
      <c r="D1079" s="1" t="s">
        <v>583</v>
      </c>
      <c r="F1079" s="1">
        <v>0.0</v>
      </c>
      <c r="G1079" s="1">
        <v>18.0</v>
      </c>
      <c r="H1079" s="1">
        <v>0.0</v>
      </c>
      <c r="I1079" s="1">
        <v>18.83</v>
      </c>
    </row>
    <row r="1080">
      <c r="A1080" s="2" t="s">
        <v>10969</v>
      </c>
      <c r="B1080" s="1">
        <v>301.0</v>
      </c>
      <c r="D1080" s="1" t="s">
        <v>609</v>
      </c>
      <c r="E1080" s="1" t="s">
        <v>610</v>
      </c>
    </row>
    <row r="1081">
      <c r="A1081" s="2" t="s">
        <v>10970</v>
      </c>
      <c r="B1081" s="1">
        <v>200.0</v>
      </c>
      <c r="C1081" s="1" t="s">
        <v>10971</v>
      </c>
      <c r="D1081" s="1" t="s">
        <v>583</v>
      </c>
      <c r="F1081" s="1">
        <v>0.0</v>
      </c>
      <c r="G1081" s="1">
        <v>29.0</v>
      </c>
      <c r="H1081" s="1">
        <v>0.0</v>
      </c>
      <c r="I1081" s="1">
        <v>18.9</v>
      </c>
    </row>
    <row r="1082">
      <c r="A1082" s="2" t="s">
        <v>10972</v>
      </c>
      <c r="B1082" s="1">
        <v>200.0</v>
      </c>
      <c r="C1082" s="1" t="s">
        <v>10973</v>
      </c>
      <c r="D1082" s="1" t="s">
        <v>583</v>
      </c>
      <c r="F1082" s="1">
        <v>9.0</v>
      </c>
      <c r="G1082" s="1">
        <v>399.0</v>
      </c>
      <c r="H1082" s="1">
        <v>0.023</v>
      </c>
      <c r="I1082" s="1">
        <v>12.32</v>
      </c>
    </row>
    <row r="1083">
      <c r="A1083" s="2" t="s">
        <v>10974</v>
      </c>
      <c r="B1083" s="1">
        <v>200.0</v>
      </c>
      <c r="C1083" s="1" t="s">
        <v>9212</v>
      </c>
      <c r="D1083" s="1" t="s">
        <v>609</v>
      </c>
      <c r="E1083" s="1" t="s">
        <v>631</v>
      </c>
    </row>
    <row r="1084">
      <c r="A1084" s="2" t="s">
        <v>10975</v>
      </c>
      <c r="B1084" s="1">
        <v>200.0</v>
      </c>
      <c r="C1084" s="1" t="s">
        <v>9212</v>
      </c>
      <c r="D1084" s="1" t="s">
        <v>609</v>
      </c>
      <c r="E1084" s="1" t="s">
        <v>631</v>
      </c>
    </row>
    <row r="1085">
      <c r="A1085" s="2" t="s">
        <v>10976</v>
      </c>
      <c r="B1085" s="1">
        <v>200.0</v>
      </c>
      <c r="C1085" s="1" t="s">
        <v>10977</v>
      </c>
      <c r="D1085" s="1" t="s">
        <v>583</v>
      </c>
      <c r="F1085" s="1">
        <v>0.0</v>
      </c>
      <c r="G1085" s="1">
        <v>43.0</v>
      </c>
      <c r="H1085" s="1">
        <v>0.0</v>
      </c>
      <c r="I1085" s="1">
        <v>13.91</v>
      </c>
    </row>
    <row r="1086">
      <c r="A1086" s="2" t="s">
        <v>10978</v>
      </c>
      <c r="B1086" s="1">
        <v>200.0</v>
      </c>
      <c r="C1086" s="1" t="s">
        <v>9212</v>
      </c>
      <c r="D1086" s="1" t="s">
        <v>609</v>
      </c>
      <c r="E1086" s="1" t="s">
        <v>631</v>
      </c>
    </row>
    <row r="1087">
      <c r="A1087" s="2" t="s">
        <v>10979</v>
      </c>
      <c r="B1087" s="1">
        <v>200.0</v>
      </c>
      <c r="C1087" s="1" t="s">
        <v>10980</v>
      </c>
      <c r="D1087" s="1" t="s">
        <v>583</v>
      </c>
      <c r="F1087" s="1">
        <v>0.0</v>
      </c>
      <c r="G1087" s="1">
        <v>142.0</v>
      </c>
      <c r="H1087" s="1">
        <v>0.0</v>
      </c>
      <c r="I1087" s="1">
        <v>2.63</v>
      </c>
    </row>
    <row r="1088">
      <c r="A1088" s="2" t="s">
        <v>10981</v>
      </c>
      <c r="B1088" s="1">
        <v>301.0</v>
      </c>
      <c r="D1088" s="1" t="s">
        <v>609</v>
      </c>
      <c r="E1088" s="1" t="s">
        <v>610</v>
      </c>
      <c r="F1088" s="1">
        <v>318.0</v>
      </c>
      <c r="G1088" s="1">
        <v>29275.0</v>
      </c>
      <c r="H1088" s="1">
        <v>0.011</v>
      </c>
      <c r="I1088" s="1">
        <v>11.09</v>
      </c>
    </row>
    <row r="1089">
      <c r="A1089" s="2" t="s">
        <v>10982</v>
      </c>
      <c r="B1089" s="1">
        <v>301.0</v>
      </c>
      <c r="D1089" s="1" t="s">
        <v>609</v>
      </c>
      <c r="E1089" s="1" t="s">
        <v>610</v>
      </c>
      <c r="F1089" s="1">
        <v>69.0</v>
      </c>
      <c r="G1089" s="1">
        <v>18384.0</v>
      </c>
      <c r="H1089" s="1">
        <v>0.004</v>
      </c>
      <c r="I1089" s="1">
        <v>11.39</v>
      </c>
    </row>
    <row r="1090">
      <c r="A1090" s="2" t="s">
        <v>10983</v>
      </c>
      <c r="B1090" s="1">
        <v>301.0</v>
      </c>
      <c r="D1090" s="1" t="s">
        <v>609</v>
      </c>
      <c r="E1090" s="1" t="s">
        <v>610</v>
      </c>
    </row>
    <row r="1091">
      <c r="A1091" s="2" t="s">
        <v>10984</v>
      </c>
      <c r="B1091" s="1">
        <v>200.0</v>
      </c>
      <c r="C1091" s="1" t="s">
        <v>10985</v>
      </c>
      <c r="D1091" s="1" t="s">
        <v>583</v>
      </c>
      <c r="F1091" s="1">
        <v>2.0</v>
      </c>
      <c r="G1091" s="1">
        <v>1369.0</v>
      </c>
      <c r="H1091" s="1">
        <v>0.002</v>
      </c>
      <c r="I1091" s="1">
        <v>6.81</v>
      </c>
    </row>
    <row r="1092">
      <c r="A1092" s="2" t="s">
        <v>10986</v>
      </c>
      <c r="B1092" s="1">
        <v>200.0</v>
      </c>
      <c r="C1092" s="1" t="s">
        <v>10987</v>
      </c>
      <c r="D1092" s="1" t="s">
        <v>583</v>
      </c>
      <c r="F1092" s="1">
        <v>8.0</v>
      </c>
      <c r="G1092" s="1">
        <v>2337.0</v>
      </c>
      <c r="H1092" s="1">
        <v>0.003</v>
      </c>
      <c r="I1092" s="1">
        <v>4.23</v>
      </c>
    </row>
    <row r="1093">
      <c r="A1093" s="2" t="s">
        <v>10988</v>
      </c>
      <c r="B1093" s="1">
        <v>200.0</v>
      </c>
      <c r="C1093" s="1" t="s">
        <v>10987</v>
      </c>
      <c r="D1093" s="1" t="s">
        <v>583</v>
      </c>
      <c r="F1093" s="1">
        <v>16.0</v>
      </c>
      <c r="G1093" s="1">
        <v>3874.0</v>
      </c>
      <c r="H1093" s="1">
        <v>0.004</v>
      </c>
      <c r="I1093" s="1">
        <v>4.39</v>
      </c>
    </row>
    <row r="1094">
      <c r="A1094" s="2" t="s">
        <v>10989</v>
      </c>
      <c r="B1094" s="1">
        <v>200.0</v>
      </c>
      <c r="C1094" s="1" t="s">
        <v>9007</v>
      </c>
      <c r="D1094" s="1" t="s">
        <v>609</v>
      </c>
      <c r="E1094" s="1" t="s">
        <v>631</v>
      </c>
    </row>
    <row r="1095">
      <c r="A1095" s="2" t="s">
        <v>10990</v>
      </c>
      <c r="B1095" s="1">
        <v>200.0</v>
      </c>
      <c r="C1095" s="1" t="s">
        <v>9007</v>
      </c>
      <c r="D1095" s="1" t="s">
        <v>609</v>
      </c>
      <c r="E1095" s="1" t="s">
        <v>631</v>
      </c>
    </row>
    <row r="1096">
      <c r="A1096" s="2" t="s">
        <v>10991</v>
      </c>
      <c r="B1096" s="1">
        <v>301.0</v>
      </c>
      <c r="D1096" s="1" t="s">
        <v>609</v>
      </c>
      <c r="E1096" s="1" t="s">
        <v>610</v>
      </c>
    </row>
    <row r="1097">
      <c r="A1097" s="2" t="s">
        <v>10992</v>
      </c>
      <c r="B1097" s="1">
        <v>200.0</v>
      </c>
      <c r="C1097" s="1" t="s">
        <v>9011</v>
      </c>
      <c r="D1097" s="1" t="s">
        <v>609</v>
      </c>
      <c r="E1097" s="1" t="s">
        <v>631</v>
      </c>
    </row>
    <row r="1098">
      <c r="A1098" s="2" t="s">
        <v>10993</v>
      </c>
      <c r="B1098" s="1">
        <v>200.0</v>
      </c>
      <c r="C1098" s="1" t="s">
        <v>9011</v>
      </c>
      <c r="D1098" s="1" t="s">
        <v>609</v>
      </c>
      <c r="E1098" s="1" t="s">
        <v>631</v>
      </c>
      <c r="F1098" s="1">
        <v>0.0</v>
      </c>
      <c r="G1098" s="1">
        <v>10.0</v>
      </c>
      <c r="H1098" s="1">
        <v>0.0</v>
      </c>
      <c r="I1098" s="1">
        <v>11.3</v>
      </c>
    </row>
    <row r="1099">
      <c r="A1099" s="2" t="s">
        <v>10994</v>
      </c>
      <c r="B1099" s="1">
        <v>200.0</v>
      </c>
      <c r="C1099" s="1" t="s">
        <v>8986</v>
      </c>
      <c r="D1099" s="1" t="s">
        <v>609</v>
      </c>
      <c r="E1099" s="1" t="s">
        <v>631</v>
      </c>
      <c r="F1099" s="1">
        <v>0.0</v>
      </c>
      <c r="G1099" s="1">
        <v>2.0</v>
      </c>
      <c r="H1099" s="1">
        <v>0.0</v>
      </c>
      <c r="I1099" s="1">
        <v>3.0</v>
      </c>
    </row>
    <row r="1100">
      <c r="A1100" s="2" t="s">
        <v>10995</v>
      </c>
      <c r="B1100" s="1">
        <v>200.0</v>
      </c>
      <c r="C1100" s="1" t="s">
        <v>8986</v>
      </c>
      <c r="D1100" s="1" t="s">
        <v>609</v>
      </c>
      <c r="E1100" s="1" t="s">
        <v>631</v>
      </c>
      <c r="F1100" s="1">
        <v>0.0</v>
      </c>
      <c r="G1100" s="1">
        <v>4.0</v>
      </c>
      <c r="H1100" s="1">
        <v>0.0</v>
      </c>
      <c r="I1100" s="1">
        <v>5.5</v>
      </c>
    </row>
    <row r="1101">
      <c r="A1101" s="2" t="s">
        <v>10996</v>
      </c>
      <c r="B1101" s="1">
        <v>200.0</v>
      </c>
      <c r="C1101" s="1" t="s">
        <v>9011</v>
      </c>
      <c r="D1101" s="1" t="s">
        <v>609</v>
      </c>
      <c r="E1101" s="1" t="s">
        <v>631</v>
      </c>
      <c r="F1101" s="1">
        <v>0.0</v>
      </c>
      <c r="G1101" s="1">
        <v>4.0</v>
      </c>
      <c r="H1101" s="1">
        <v>0.0</v>
      </c>
      <c r="I1101" s="1">
        <v>9.75</v>
      </c>
    </row>
    <row r="1102">
      <c r="A1102" s="2" t="s">
        <v>10997</v>
      </c>
      <c r="B1102" s="1">
        <v>200.0</v>
      </c>
      <c r="C1102" s="1" t="s">
        <v>9011</v>
      </c>
      <c r="D1102" s="1" t="s">
        <v>609</v>
      </c>
      <c r="E1102" s="1" t="s">
        <v>631</v>
      </c>
      <c r="F1102" s="1">
        <v>0.0</v>
      </c>
      <c r="G1102" s="1">
        <v>18.0</v>
      </c>
      <c r="H1102" s="1">
        <v>0.0</v>
      </c>
      <c r="I1102" s="1">
        <v>5.72</v>
      </c>
    </row>
    <row r="1103">
      <c r="A1103" s="2" t="s">
        <v>10998</v>
      </c>
      <c r="B1103" s="1">
        <v>200.0</v>
      </c>
      <c r="C1103" s="1" t="s">
        <v>10999</v>
      </c>
      <c r="D1103" s="1" t="s">
        <v>583</v>
      </c>
      <c r="F1103" s="1">
        <v>0.0</v>
      </c>
      <c r="G1103" s="1">
        <v>19.0</v>
      </c>
      <c r="H1103" s="1">
        <v>0.0</v>
      </c>
      <c r="I1103" s="1">
        <v>10.26</v>
      </c>
    </row>
    <row r="1104">
      <c r="A1104" s="2" t="s">
        <v>11000</v>
      </c>
      <c r="B1104" s="1">
        <v>301.0</v>
      </c>
      <c r="D1104" s="1" t="s">
        <v>609</v>
      </c>
      <c r="E1104" s="1" t="s">
        <v>610</v>
      </c>
    </row>
    <row r="1105">
      <c r="A1105" s="2" t="s">
        <v>11001</v>
      </c>
      <c r="B1105" s="1">
        <v>200.0</v>
      </c>
      <c r="C1105" s="1" t="s">
        <v>11002</v>
      </c>
      <c r="D1105" s="1" t="s">
        <v>583</v>
      </c>
      <c r="F1105" s="1">
        <v>0.0</v>
      </c>
      <c r="G1105" s="1">
        <v>4260.0</v>
      </c>
      <c r="H1105" s="1">
        <v>0.0</v>
      </c>
      <c r="I1105" s="1">
        <v>16.94</v>
      </c>
    </row>
    <row r="1106">
      <c r="A1106" s="2" t="s">
        <v>11003</v>
      </c>
      <c r="B1106" s="1">
        <v>200.0</v>
      </c>
      <c r="C1106" s="1" t="s">
        <v>9212</v>
      </c>
      <c r="D1106" s="1" t="s">
        <v>609</v>
      </c>
      <c r="E1106" s="1" t="s">
        <v>631</v>
      </c>
      <c r="F1106" s="1">
        <v>0.0</v>
      </c>
      <c r="G1106" s="1">
        <v>1.0</v>
      </c>
      <c r="H1106" s="1">
        <v>0.0</v>
      </c>
      <c r="I1106" s="1">
        <v>14.0</v>
      </c>
    </row>
    <row r="1107">
      <c r="A1107" s="2" t="s">
        <v>11004</v>
      </c>
      <c r="B1107" s="1">
        <v>200.0</v>
      </c>
      <c r="C1107" s="1" t="s">
        <v>9212</v>
      </c>
      <c r="D1107" s="1" t="s">
        <v>609</v>
      </c>
      <c r="E1107" s="1" t="s">
        <v>631</v>
      </c>
    </row>
    <row r="1108">
      <c r="A1108" s="2" t="s">
        <v>11005</v>
      </c>
      <c r="B1108" s="1">
        <v>200.0</v>
      </c>
      <c r="C1108" s="1" t="s">
        <v>8986</v>
      </c>
      <c r="D1108" s="1" t="s">
        <v>609</v>
      </c>
      <c r="E1108" s="1" t="s">
        <v>631</v>
      </c>
    </row>
    <row r="1109">
      <c r="A1109" s="2" t="s">
        <v>11006</v>
      </c>
      <c r="B1109" s="1">
        <v>200.0</v>
      </c>
      <c r="C1109" s="1" t="s">
        <v>9007</v>
      </c>
      <c r="D1109" s="1" t="s">
        <v>609</v>
      </c>
      <c r="E1109" s="1" t="s">
        <v>631</v>
      </c>
    </row>
    <row r="1110">
      <c r="A1110" s="2" t="s">
        <v>11007</v>
      </c>
      <c r="B1110" s="1">
        <v>200.0</v>
      </c>
      <c r="C1110" s="1" t="s">
        <v>11008</v>
      </c>
      <c r="D1110" s="1" t="s">
        <v>583</v>
      </c>
      <c r="F1110" s="1">
        <v>178.0</v>
      </c>
      <c r="G1110" s="1">
        <v>10278.0</v>
      </c>
      <c r="H1110" s="1">
        <v>0.017</v>
      </c>
      <c r="I1110" s="1">
        <v>11.63</v>
      </c>
    </row>
    <row r="1111">
      <c r="A1111" s="2" t="s">
        <v>11009</v>
      </c>
      <c r="B1111" s="1">
        <v>200.0</v>
      </c>
      <c r="C1111" s="1" t="s">
        <v>11010</v>
      </c>
      <c r="D1111" s="1" t="s">
        <v>583</v>
      </c>
      <c r="F1111" s="1">
        <v>108.0</v>
      </c>
      <c r="G1111" s="1">
        <v>11999.0</v>
      </c>
      <c r="H1111" s="1">
        <v>0.009</v>
      </c>
      <c r="I1111" s="1">
        <v>17.88</v>
      </c>
    </row>
    <row r="1112">
      <c r="A1112" s="2" t="s">
        <v>11011</v>
      </c>
      <c r="B1112" s="1">
        <v>200.0</v>
      </c>
      <c r="C1112" s="1" t="s">
        <v>9007</v>
      </c>
      <c r="D1112" s="1" t="s">
        <v>609</v>
      </c>
      <c r="E1112" s="1" t="s">
        <v>631</v>
      </c>
    </row>
    <row r="1113">
      <c r="A1113" s="2" t="s">
        <v>11012</v>
      </c>
      <c r="B1113" s="1">
        <v>200.0</v>
      </c>
      <c r="C1113" s="1" t="s">
        <v>8992</v>
      </c>
      <c r="D1113" s="1" t="s">
        <v>609</v>
      </c>
      <c r="E1113" s="1" t="s">
        <v>631</v>
      </c>
      <c r="F1113" s="1">
        <v>0.0</v>
      </c>
      <c r="G1113" s="1">
        <v>3.0</v>
      </c>
      <c r="H1113" s="1">
        <v>0.0</v>
      </c>
      <c r="I1113" s="1">
        <v>3.67</v>
      </c>
    </row>
    <row r="1114">
      <c r="A1114" s="2" t="s">
        <v>11013</v>
      </c>
      <c r="B1114" s="1">
        <v>200.0</v>
      </c>
      <c r="C1114" s="1" t="s">
        <v>8992</v>
      </c>
      <c r="D1114" s="1" t="s">
        <v>609</v>
      </c>
      <c r="E1114" s="1" t="s">
        <v>631</v>
      </c>
      <c r="F1114" s="1">
        <v>0.0</v>
      </c>
      <c r="G1114" s="1">
        <v>3.0</v>
      </c>
      <c r="H1114" s="1">
        <v>0.0</v>
      </c>
      <c r="I1114" s="1">
        <v>58.67</v>
      </c>
    </row>
    <row r="1115">
      <c r="A1115" s="2" t="s">
        <v>11014</v>
      </c>
      <c r="B1115" s="1">
        <v>200.0</v>
      </c>
      <c r="C1115" s="1" t="s">
        <v>8994</v>
      </c>
      <c r="D1115" s="1" t="s">
        <v>609</v>
      </c>
      <c r="E1115" s="1" t="s">
        <v>631</v>
      </c>
    </row>
    <row r="1116">
      <c r="A1116" s="2" t="s">
        <v>11015</v>
      </c>
      <c r="B1116" s="1">
        <v>200.0</v>
      </c>
      <c r="C1116" s="1" t="s">
        <v>11016</v>
      </c>
      <c r="D1116" s="1" t="s">
        <v>583</v>
      </c>
      <c r="F1116" s="1">
        <v>252.0</v>
      </c>
      <c r="G1116" s="1">
        <v>23543.0</v>
      </c>
      <c r="H1116" s="1">
        <v>0.011</v>
      </c>
      <c r="I1116" s="1">
        <v>3.96</v>
      </c>
    </row>
    <row r="1117">
      <c r="A1117" s="2" t="s">
        <v>11017</v>
      </c>
      <c r="B1117" s="1">
        <v>200.0</v>
      </c>
      <c r="C1117" s="1" t="s">
        <v>8992</v>
      </c>
      <c r="D1117" s="1" t="s">
        <v>609</v>
      </c>
      <c r="E1117" s="1" t="s">
        <v>631</v>
      </c>
      <c r="F1117" s="1">
        <v>1.0</v>
      </c>
      <c r="G1117" s="1">
        <v>9.0</v>
      </c>
      <c r="H1117" s="1">
        <v>0.111</v>
      </c>
      <c r="I1117" s="1">
        <v>4.11</v>
      </c>
    </row>
    <row r="1118">
      <c r="A1118" s="2" t="s">
        <v>11018</v>
      </c>
      <c r="B1118" s="1">
        <v>200.0</v>
      </c>
      <c r="C1118" s="1" t="s">
        <v>8992</v>
      </c>
      <c r="D1118" s="1" t="s">
        <v>609</v>
      </c>
      <c r="E1118" s="1" t="s">
        <v>631</v>
      </c>
      <c r="F1118" s="1">
        <v>0.0</v>
      </c>
      <c r="G1118" s="1">
        <v>5.0</v>
      </c>
      <c r="H1118" s="1">
        <v>0.0</v>
      </c>
      <c r="I1118" s="1">
        <v>10.8</v>
      </c>
    </row>
    <row r="1119">
      <c r="A1119" s="2" t="s">
        <v>11019</v>
      </c>
      <c r="B1119" s="1">
        <v>200.0</v>
      </c>
      <c r="C1119" s="1" t="s">
        <v>8994</v>
      </c>
      <c r="D1119" s="1" t="s">
        <v>609</v>
      </c>
      <c r="E1119" s="1" t="s">
        <v>631</v>
      </c>
      <c r="F1119" s="1">
        <v>0.0</v>
      </c>
      <c r="G1119" s="1">
        <v>1.0</v>
      </c>
      <c r="H1119" s="1">
        <v>0.0</v>
      </c>
      <c r="I1119" s="1">
        <v>66.0</v>
      </c>
    </row>
    <row r="1120">
      <c r="A1120" s="2" t="s">
        <v>11020</v>
      </c>
      <c r="B1120" s="1">
        <v>200.0</v>
      </c>
      <c r="C1120" s="1" t="s">
        <v>8996</v>
      </c>
      <c r="D1120" s="1" t="s">
        <v>609</v>
      </c>
      <c r="E1120" s="1" t="s">
        <v>930</v>
      </c>
    </row>
    <row r="1121">
      <c r="A1121" s="2" t="s">
        <v>11021</v>
      </c>
      <c r="B1121" s="1">
        <v>200.0</v>
      </c>
      <c r="C1121" s="1" t="s">
        <v>8996</v>
      </c>
      <c r="D1121" s="1" t="s">
        <v>609</v>
      </c>
      <c r="E1121" s="1" t="s">
        <v>930</v>
      </c>
    </row>
    <row r="1122">
      <c r="A1122" s="2" t="s">
        <v>11022</v>
      </c>
      <c r="B1122" s="1">
        <v>200.0</v>
      </c>
      <c r="C1122" s="1" t="s">
        <v>8994</v>
      </c>
      <c r="D1122" s="1" t="s">
        <v>609</v>
      </c>
      <c r="E1122" s="1" t="s">
        <v>631</v>
      </c>
    </row>
    <row r="1123">
      <c r="A1123" s="2" t="s">
        <v>11023</v>
      </c>
      <c r="B1123" s="1">
        <v>200.0</v>
      </c>
      <c r="C1123" s="1" t="s">
        <v>8996</v>
      </c>
      <c r="D1123" s="1" t="s">
        <v>609</v>
      </c>
      <c r="E1123" s="1" t="s">
        <v>930</v>
      </c>
    </row>
    <row r="1124">
      <c r="A1124" s="2" t="s">
        <v>11024</v>
      </c>
      <c r="B1124" s="1">
        <v>200.0</v>
      </c>
      <c r="C1124" s="1" t="s">
        <v>8986</v>
      </c>
      <c r="D1124" s="1" t="s">
        <v>609</v>
      </c>
      <c r="E1124" s="1" t="s">
        <v>631</v>
      </c>
      <c r="F1124" s="1">
        <v>0.0</v>
      </c>
      <c r="G1124" s="1">
        <v>2.0</v>
      </c>
      <c r="H1124" s="1">
        <v>0.0</v>
      </c>
      <c r="I1124" s="1">
        <v>10.5</v>
      </c>
    </row>
    <row r="1125">
      <c r="A1125" s="2" t="s">
        <v>11025</v>
      </c>
      <c r="B1125" s="1">
        <v>200.0</v>
      </c>
      <c r="C1125" s="1" t="s">
        <v>8996</v>
      </c>
      <c r="D1125" s="1" t="s">
        <v>609</v>
      </c>
      <c r="E1125" s="1" t="s">
        <v>631</v>
      </c>
      <c r="F1125" s="1">
        <v>0.0</v>
      </c>
      <c r="G1125" s="1">
        <v>8.0</v>
      </c>
      <c r="H1125" s="1">
        <v>0.0</v>
      </c>
      <c r="I1125" s="1">
        <v>16.38</v>
      </c>
    </row>
    <row r="1126">
      <c r="A1126" s="2" t="s">
        <v>11026</v>
      </c>
      <c r="B1126" s="1">
        <v>200.0</v>
      </c>
      <c r="C1126" s="1" t="s">
        <v>8996</v>
      </c>
      <c r="D1126" s="1" t="s">
        <v>609</v>
      </c>
      <c r="E1126" s="1" t="s">
        <v>631</v>
      </c>
      <c r="F1126" s="1">
        <v>0.0</v>
      </c>
      <c r="G1126" s="1">
        <v>6.0</v>
      </c>
      <c r="H1126" s="1">
        <v>0.0</v>
      </c>
      <c r="I1126" s="1">
        <v>19.17</v>
      </c>
    </row>
    <row r="1127">
      <c r="A1127" s="2" t="s">
        <v>11027</v>
      </c>
      <c r="B1127" s="1">
        <v>200.0</v>
      </c>
      <c r="C1127" s="1" t="s">
        <v>8996</v>
      </c>
      <c r="D1127" s="1" t="s">
        <v>609</v>
      </c>
      <c r="E1127" s="1" t="s">
        <v>631</v>
      </c>
      <c r="F1127" s="1">
        <v>2.0</v>
      </c>
      <c r="G1127" s="1">
        <v>20.0</v>
      </c>
      <c r="H1127" s="1">
        <v>0.1</v>
      </c>
      <c r="I1127" s="1">
        <v>25.8</v>
      </c>
    </row>
    <row r="1128">
      <c r="A1128" s="2" t="s">
        <v>11028</v>
      </c>
      <c r="B1128" s="1">
        <v>200.0</v>
      </c>
      <c r="C1128" s="1" t="s">
        <v>8996</v>
      </c>
      <c r="D1128" s="1" t="s">
        <v>609</v>
      </c>
      <c r="E1128" s="1" t="s">
        <v>930</v>
      </c>
    </row>
    <row r="1129">
      <c r="A1129" s="2" t="s">
        <v>11029</v>
      </c>
      <c r="B1129" s="1">
        <v>200.0</v>
      </c>
      <c r="C1129" s="1" t="s">
        <v>9838</v>
      </c>
      <c r="D1129" s="1" t="s">
        <v>609</v>
      </c>
      <c r="E1129" s="1" t="s">
        <v>631</v>
      </c>
      <c r="F1129" s="1">
        <v>0.0</v>
      </c>
      <c r="G1129" s="1">
        <v>9.0</v>
      </c>
      <c r="H1129" s="1">
        <v>0.0</v>
      </c>
      <c r="I1129" s="1">
        <v>1.67</v>
      </c>
    </row>
    <row r="1130">
      <c r="A1130" s="2" t="s">
        <v>11030</v>
      </c>
      <c r="B1130" s="1">
        <v>200.0</v>
      </c>
      <c r="C1130" s="1" t="s">
        <v>9840</v>
      </c>
      <c r="D1130" s="1" t="s">
        <v>609</v>
      </c>
      <c r="E1130" s="1" t="s">
        <v>631</v>
      </c>
      <c r="F1130" s="1">
        <v>0.0</v>
      </c>
      <c r="G1130" s="1">
        <v>20.0</v>
      </c>
      <c r="H1130" s="1">
        <v>0.0</v>
      </c>
      <c r="I1130" s="1">
        <v>14.8</v>
      </c>
    </row>
    <row r="1131">
      <c r="A1131" s="2" t="s">
        <v>11031</v>
      </c>
      <c r="B1131" s="1">
        <v>200.0</v>
      </c>
      <c r="C1131" s="1" t="s">
        <v>8994</v>
      </c>
      <c r="D1131" s="1" t="s">
        <v>609</v>
      </c>
      <c r="E1131" s="1" t="s">
        <v>631</v>
      </c>
      <c r="F1131" s="1">
        <v>0.0</v>
      </c>
      <c r="G1131" s="1">
        <v>1.0</v>
      </c>
      <c r="H1131" s="1">
        <v>0.0</v>
      </c>
      <c r="I1131" s="1">
        <v>11.0</v>
      </c>
    </row>
    <row r="1132">
      <c r="A1132" s="2" t="s">
        <v>11032</v>
      </c>
      <c r="B1132" s="1">
        <v>200.0</v>
      </c>
      <c r="C1132" s="1" t="s">
        <v>9838</v>
      </c>
      <c r="D1132" s="1" t="s">
        <v>609</v>
      </c>
      <c r="E1132" s="1" t="s">
        <v>631</v>
      </c>
      <c r="F1132" s="1">
        <v>0.0</v>
      </c>
      <c r="G1132" s="1">
        <v>9.0</v>
      </c>
      <c r="H1132" s="1">
        <v>0.0</v>
      </c>
      <c r="I1132" s="1">
        <v>8.33</v>
      </c>
    </row>
    <row r="1133">
      <c r="A1133" s="2" t="s">
        <v>11033</v>
      </c>
      <c r="B1133" s="1">
        <v>200.0</v>
      </c>
      <c r="C1133" s="1" t="s">
        <v>9840</v>
      </c>
      <c r="D1133" s="1" t="s">
        <v>609</v>
      </c>
      <c r="E1133" s="1" t="s">
        <v>631</v>
      </c>
    </row>
    <row r="1134">
      <c r="A1134" s="2" t="s">
        <v>11034</v>
      </c>
      <c r="B1134" s="1">
        <v>200.0</v>
      </c>
      <c r="C1134" s="1" t="s">
        <v>9842</v>
      </c>
      <c r="D1134" s="1" t="s">
        <v>609</v>
      </c>
      <c r="E1134" s="1" t="s">
        <v>631</v>
      </c>
      <c r="F1134" s="1">
        <v>1.0</v>
      </c>
      <c r="G1134" s="1">
        <v>19.0</v>
      </c>
      <c r="H1134" s="1">
        <v>0.053</v>
      </c>
      <c r="I1134" s="1">
        <v>8.42</v>
      </c>
    </row>
    <row r="1135">
      <c r="A1135" s="2" t="s">
        <v>11035</v>
      </c>
      <c r="B1135" s="1">
        <v>200.0</v>
      </c>
      <c r="C1135" s="1" t="s">
        <v>9838</v>
      </c>
      <c r="D1135" s="1" t="s">
        <v>609</v>
      </c>
      <c r="E1135" s="1" t="s">
        <v>631</v>
      </c>
      <c r="F1135" s="1">
        <v>0.0</v>
      </c>
      <c r="G1135" s="1">
        <v>2.0</v>
      </c>
      <c r="H1135" s="1">
        <v>0.0</v>
      </c>
      <c r="I1135" s="1">
        <v>18.0</v>
      </c>
    </row>
    <row r="1136">
      <c r="A1136" s="2" t="s">
        <v>11036</v>
      </c>
      <c r="B1136" s="1">
        <v>200.0</v>
      </c>
      <c r="C1136" s="1" t="s">
        <v>9842</v>
      </c>
      <c r="D1136" s="1" t="s">
        <v>609</v>
      </c>
      <c r="E1136" s="1" t="s">
        <v>631</v>
      </c>
    </row>
    <row r="1137">
      <c r="A1137" s="2" t="s">
        <v>11037</v>
      </c>
      <c r="B1137" s="1">
        <v>200.0</v>
      </c>
      <c r="C1137" s="1" t="s">
        <v>9844</v>
      </c>
      <c r="D1137" s="1" t="s">
        <v>609</v>
      </c>
      <c r="E1137" s="1" t="s">
        <v>631</v>
      </c>
    </row>
    <row r="1138">
      <c r="A1138" s="2" t="s">
        <v>11038</v>
      </c>
      <c r="B1138" s="1">
        <v>200.0</v>
      </c>
      <c r="C1138" s="1" t="s">
        <v>9844</v>
      </c>
      <c r="D1138" s="1" t="s">
        <v>609</v>
      </c>
      <c r="E1138" s="1" t="s">
        <v>631</v>
      </c>
      <c r="F1138" s="1">
        <v>0.0</v>
      </c>
      <c r="G1138" s="1">
        <v>47.0</v>
      </c>
      <c r="H1138" s="1">
        <v>0.0</v>
      </c>
      <c r="I1138" s="1">
        <v>10.79</v>
      </c>
    </row>
    <row r="1139">
      <c r="A1139" s="2" t="s">
        <v>11039</v>
      </c>
      <c r="B1139" s="1">
        <v>200.0</v>
      </c>
      <c r="C1139" s="1" t="s">
        <v>9846</v>
      </c>
      <c r="D1139" s="1" t="s">
        <v>609</v>
      </c>
      <c r="E1139" s="1" t="s">
        <v>631</v>
      </c>
      <c r="F1139" s="1">
        <v>0.0</v>
      </c>
      <c r="G1139" s="1">
        <v>2.0</v>
      </c>
      <c r="H1139" s="1">
        <v>0.0</v>
      </c>
      <c r="I1139" s="1">
        <v>38.0</v>
      </c>
    </row>
    <row r="1140">
      <c r="A1140" s="2" t="s">
        <v>11040</v>
      </c>
      <c r="B1140" s="1">
        <v>200.0</v>
      </c>
      <c r="C1140" s="1" t="s">
        <v>9846</v>
      </c>
      <c r="D1140" s="1" t="s">
        <v>609</v>
      </c>
      <c r="E1140" s="1" t="s">
        <v>631</v>
      </c>
      <c r="F1140" s="1">
        <v>0.0</v>
      </c>
      <c r="G1140" s="1">
        <v>14.0</v>
      </c>
      <c r="H1140" s="1">
        <v>0.0</v>
      </c>
      <c r="I1140" s="1">
        <v>16.79</v>
      </c>
    </row>
    <row r="1141">
      <c r="A1141" s="2" t="s">
        <v>11041</v>
      </c>
      <c r="B1141" s="1">
        <v>200.0</v>
      </c>
      <c r="C1141" s="1" t="s">
        <v>9840</v>
      </c>
      <c r="D1141" s="1" t="s">
        <v>609</v>
      </c>
      <c r="E1141" s="1" t="s">
        <v>631</v>
      </c>
      <c r="F1141" s="1">
        <v>1.0</v>
      </c>
      <c r="G1141" s="1">
        <v>79.0</v>
      </c>
      <c r="H1141" s="1">
        <v>0.013</v>
      </c>
      <c r="I1141" s="1">
        <v>16.87</v>
      </c>
    </row>
    <row r="1142">
      <c r="A1142" s="2" t="s">
        <v>11042</v>
      </c>
      <c r="B1142" s="1">
        <v>200.0</v>
      </c>
      <c r="C1142" s="1" t="s">
        <v>9850</v>
      </c>
      <c r="D1142" s="1" t="s">
        <v>609</v>
      </c>
      <c r="E1142" s="1" t="s">
        <v>631</v>
      </c>
      <c r="F1142" s="1">
        <v>0.0</v>
      </c>
      <c r="G1142" s="1">
        <v>7.0</v>
      </c>
      <c r="H1142" s="1">
        <v>0.0</v>
      </c>
      <c r="I1142" s="1">
        <v>16.29</v>
      </c>
    </row>
    <row r="1143">
      <c r="A1143" s="2" t="s">
        <v>11043</v>
      </c>
      <c r="B1143" s="1">
        <v>200.0</v>
      </c>
      <c r="C1143" s="1" t="s">
        <v>9850</v>
      </c>
      <c r="D1143" s="1" t="s">
        <v>609</v>
      </c>
      <c r="E1143" s="1" t="s">
        <v>631</v>
      </c>
      <c r="F1143" s="1">
        <v>0.0</v>
      </c>
      <c r="G1143" s="1">
        <v>60.0</v>
      </c>
      <c r="H1143" s="1">
        <v>0.0</v>
      </c>
      <c r="I1143" s="1">
        <v>17.8</v>
      </c>
    </row>
    <row r="1144">
      <c r="A1144" s="2" t="s">
        <v>11044</v>
      </c>
      <c r="B1144" s="1">
        <v>200.0</v>
      </c>
      <c r="C1144" s="1" t="s">
        <v>9842</v>
      </c>
      <c r="D1144" s="1" t="s">
        <v>609</v>
      </c>
      <c r="E1144" s="1" t="s">
        <v>631</v>
      </c>
      <c r="F1144" s="1">
        <v>0.0</v>
      </c>
      <c r="G1144" s="1">
        <v>11.0</v>
      </c>
      <c r="H1144" s="1">
        <v>0.0</v>
      </c>
      <c r="I1144" s="1">
        <v>14.82</v>
      </c>
    </row>
    <row r="1145">
      <c r="A1145" s="2" t="s">
        <v>11045</v>
      </c>
      <c r="B1145" s="1">
        <v>200.0</v>
      </c>
      <c r="C1145" s="1" t="s">
        <v>11046</v>
      </c>
      <c r="D1145" s="1" t="s">
        <v>583</v>
      </c>
      <c r="F1145" s="1">
        <v>0.0</v>
      </c>
      <c r="G1145" s="1">
        <v>15.0</v>
      </c>
      <c r="H1145" s="1">
        <v>0.0</v>
      </c>
      <c r="I1145" s="1">
        <v>16.27</v>
      </c>
    </row>
    <row r="1146">
      <c r="A1146" s="2" t="s">
        <v>11047</v>
      </c>
      <c r="B1146" s="1">
        <v>200.0</v>
      </c>
      <c r="C1146" s="1" t="s">
        <v>9844</v>
      </c>
      <c r="D1146" s="1" t="s">
        <v>609</v>
      </c>
      <c r="E1146" s="1" t="s">
        <v>631</v>
      </c>
      <c r="F1146" s="1">
        <v>0.0</v>
      </c>
      <c r="G1146" s="1">
        <v>35.0</v>
      </c>
      <c r="H1146" s="1">
        <v>0.0</v>
      </c>
      <c r="I1146" s="1">
        <v>14.11</v>
      </c>
    </row>
    <row r="1147">
      <c r="A1147" s="2" t="s">
        <v>11048</v>
      </c>
      <c r="B1147" s="1">
        <v>200.0</v>
      </c>
      <c r="C1147" s="1" t="s">
        <v>9860</v>
      </c>
      <c r="D1147" s="1" t="s">
        <v>609</v>
      </c>
      <c r="E1147" s="1" t="s">
        <v>631</v>
      </c>
      <c r="F1147" s="1">
        <v>0.0</v>
      </c>
      <c r="G1147" s="1">
        <v>3.0</v>
      </c>
      <c r="H1147" s="1">
        <v>0.0</v>
      </c>
      <c r="I1147" s="1">
        <v>53.67</v>
      </c>
    </row>
    <row r="1148">
      <c r="A1148" s="2" t="s">
        <v>11049</v>
      </c>
      <c r="B1148" s="1">
        <v>200.0</v>
      </c>
      <c r="C1148" s="1" t="s">
        <v>9860</v>
      </c>
      <c r="D1148" s="1" t="s">
        <v>609</v>
      </c>
      <c r="E1148" s="1" t="s">
        <v>631</v>
      </c>
      <c r="F1148" s="1">
        <v>0.0</v>
      </c>
      <c r="G1148" s="1">
        <v>6.0</v>
      </c>
      <c r="H1148" s="1">
        <v>0.0</v>
      </c>
      <c r="I1148" s="1">
        <v>7.17</v>
      </c>
    </row>
    <row r="1149">
      <c r="A1149" s="2" t="s">
        <v>11050</v>
      </c>
      <c r="B1149" s="1">
        <v>200.0</v>
      </c>
      <c r="C1149" s="1" t="s">
        <v>9860</v>
      </c>
      <c r="D1149" s="1" t="s">
        <v>609</v>
      </c>
      <c r="E1149" s="1" t="s">
        <v>631</v>
      </c>
      <c r="F1149" s="1">
        <v>0.0</v>
      </c>
      <c r="G1149" s="1">
        <v>14.0</v>
      </c>
      <c r="H1149" s="1">
        <v>0.0</v>
      </c>
      <c r="I1149" s="1">
        <v>14.86</v>
      </c>
    </row>
    <row r="1150">
      <c r="A1150" s="2" t="s">
        <v>11051</v>
      </c>
      <c r="B1150" s="1">
        <v>200.0</v>
      </c>
      <c r="C1150" s="1" t="s">
        <v>9864</v>
      </c>
      <c r="D1150" s="1" t="s">
        <v>609</v>
      </c>
      <c r="E1150" s="1" t="s">
        <v>631</v>
      </c>
    </row>
    <row r="1151">
      <c r="A1151" s="2" t="s">
        <v>11052</v>
      </c>
      <c r="B1151" s="1">
        <v>200.0</v>
      </c>
      <c r="C1151" s="1" t="s">
        <v>9864</v>
      </c>
      <c r="D1151" s="1" t="s">
        <v>609</v>
      </c>
      <c r="E1151" s="1" t="s">
        <v>631</v>
      </c>
    </row>
    <row r="1152">
      <c r="A1152" s="2" t="s">
        <v>11053</v>
      </c>
      <c r="B1152" s="1">
        <v>200.0</v>
      </c>
      <c r="C1152" s="1" t="s">
        <v>9846</v>
      </c>
      <c r="D1152" s="1" t="s">
        <v>609</v>
      </c>
      <c r="E1152" s="1" t="s">
        <v>631</v>
      </c>
      <c r="F1152" s="1">
        <v>1.0</v>
      </c>
      <c r="G1152" s="1">
        <v>48.0</v>
      </c>
      <c r="H1152" s="1">
        <v>0.021</v>
      </c>
      <c r="I1152" s="1">
        <v>9.38</v>
      </c>
    </row>
    <row r="1153">
      <c r="A1153" s="2" t="s">
        <v>11054</v>
      </c>
      <c r="B1153" s="1">
        <v>200.0</v>
      </c>
      <c r="C1153" s="1" t="s">
        <v>9864</v>
      </c>
      <c r="D1153" s="1" t="s">
        <v>609</v>
      </c>
      <c r="E1153" s="1" t="s">
        <v>631</v>
      </c>
      <c r="F1153" s="1">
        <v>0.0</v>
      </c>
      <c r="G1153" s="1">
        <v>12.0</v>
      </c>
      <c r="H1153" s="1">
        <v>0.0</v>
      </c>
      <c r="I1153" s="1">
        <v>14.0</v>
      </c>
    </row>
    <row r="1154">
      <c r="A1154" s="2" t="s">
        <v>11055</v>
      </c>
      <c r="B1154" s="1">
        <v>200.0</v>
      </c>
      <c r="C1154" s="1" t="s">
        <v>9870</v>
      </c>
      <c r="D1154" s="1" t="s">
        <v>609</v>
      </c>
      <c r="E1154" s="1" t="s">
        <v>631</v>
      </c>
      <c r="F1154" s="1">
        <v>0.0</v>
      </c>
      <c r="G1154" s="1">
        <v>10.0</v>
      </c>
      <c r="H1154" s="1">
        <v>0.0</v>
      </c>
      <c r="I1154" s="1">
        <v>14.0</v>
      </c>
    </row>
    <row r="1155">
      <c r="A1155" s="2" t="s">
        <v>11056</v>
      </c>
      <c r="B1155" s="1">
        <v>200.0</v>
      </c>
      <c r="C1155" s="1" t="s">
        <v>9870</v>
      </c>
      <c r="D1155" s="1" t="s">
        <v>609</v>
      </c>
      <c r="E1155" s="1" t="s">
        <v>631</v>
      </c>
      <c r="F1155" s="1">
        <v>0.0</v>
      </c>
      <c r="G1155" s="1">
        <v>1.0</v>
      </c>
      <c r="H1155" s="1">
        <v>0.0</v>
      </c>
      <c r="I1155" s="1">
        <v>82.0</v>
      </c>
    </row>
    <row r="1156">
      <c r="A1156" s="2" t="s">
        <v>11057</v>
      </c>
      <c r="B1156" s="1">
        <v>200.0</v>
      </c>
      <c r="C1156" s="1" t="s">
        <v>9872</v>
      </c>
      <c r="D1156" s="1" t="s">
        <v>609</v>
      </c>
      <c r="E1156" s="1" t="s">
        <v>631</v>
      </c>
    </row>
    <row r="1157">
      <c r="A1157" s="2" t="s">
        <v>11058</v>
      </c>
      <c r="B1157" s="1">
        <v>200.0</v>
      </c>
      <c r="C1157" s="1" t="s">
        <v>9872</v>
      </c>
      <c r="D1157" s="1" t="s">
        <v>609</v>
      </c>
      <c r="E1157" s="1" t="s">
        <v>631</v>
      </c>
      <c r="F1157" s="1">
        <v>0.0</v>
      </c>
      <c r="G1157" s="1">
        <v>8.0</v>
      </c>
      <c r="H1157" s="1">
        <v>0.0</v>
      </c>
      <c r="I1157" s="1">
        <v>12.75</v>
      </c>
    </row>
    <row r="1158">
      <c r="A1158" s="2" t="s">
        <v>11059</v>
      </c>
      <c r="B1158" s="1">
        <v>200.0</v>
      </c>
      <c r="C1158" s="1" t="s">
        <v>9870</v>
      </c>
      <c r="D1158" s="1" t="s">
        <v>609</v>
      </c>
      <c r="E1158" s="1" t="s">
        <v>631</v>
      </c>
      <c r="F1158" s="1">
        <v>0.0</v>
      </c>
      <c r="G1158" s="1">
        <v>16.0</v>
      </c>
      <c r="H1158" s="1">
        <v>0.0</v>
      </c>
      <c r="I1158" s="1">
        <v>3.31</v>
      </c>
    </row>
    <row r="1159">
      <c r="A1159" s="2" t="s">
        <v>11060</v>
      </c>
      <c r="B1159" s="1">
        <v>200.0</v>
      </c>
      <c r="C1159" s="1" t="s">
        <v>9850</v>
      </c>
      <c r="D1159" s="1" t="s">
        <v>609</v>
      </c>
      <c r="E1159" s="1" t="s">
        <v>631</v>
      </c>
      <c r="F1159" s="1">
        <v>1.0</v>
      </c>
      <c r="G1159" s="1">
        <v>65.0</v>
      </c>
      <c r="H1159" s="1">
        <v>0.015</v>
      </c>
      <c r="I1159" s="1">
        <v>11.83</v>
      </c>
    </row>
    <row r="1160">
      <c r="A1160" s="2" t="s">
        <v>11061</v>
      </c>
      <c r="B1160" s="1">
        <v>200.0</v>
      </c>
      <c r="C1160" s="1" t="s">
        <v>9876</v>
      </c>
      <c r="D1160" s="1" t="s">
        <v>609</v>
      </c>
      <c r="E1160" s="1" t="s">
        <v>631</v>
      </c>
      <c r="F1160" s="1">
        <v>0.0</v>
      </c>
      <c r="G1160" s="1">
        <v>26.0</v>
      </c>
      <c r="H1160" s="1">
        <v>0.0</v>
      </c>
      <c r="I1160" s="1">
        <v>11.5</v>
      </c>
    </row>
    <row r="1161">
      <c r="A1161" s="2" t="s">
        <v>11062</v>
      </c>
      <c r="B1161" s="1">
        <v>200.0</v>
      </c>
      <c r="C1161" s="1" t="s">
        <v>9876</v>
      </c>
      <c r="D1161" s="1" t="s">
        <v>609</v>
      </c>
      <c r="E1161" s="1" t="s">
        <v>631</v>
      </c>
      <c r="F1161" s="1">
        <v>0.0</v>
      </c>
      <c r="G1161" s="1">
        <v>1.0</v>
      </c>
      <c r="H1161" s="1">
        <v>0.0</v>
      </c>
      <c r="I1161" s="1">
        <v>5.0</v>
      </c>
    </row>
    <row r="1162">
      <c r="A1162" s="2" t="s">
        <v>11063</v>
      </c>
      <c r="B1162" s="1">
        <v>200.0</v>
      </c>
      <c r="C1162" s="1" t="s">
        <v>9876</v>
      </c>
      <c r="D1162" s="1" t="s">
        <v>609</v>
      </c>
      <c r="E1162" s="1" t="s">
        <v>631</v>
      </c>
      <c r="F1162" s="1">
        <v>1.0</v>
      </c>
      <c r="G1162" s="1">
        <v>31.0</v>
      </c>
      <c r="H1162" s="1">
        <v>0.032</v>
      </c>
      <c r="I1162" s="1">
        <v>7.9</v>
      </c>
    </row>
    <row r="1163">
      <c r="A1163" s="2" t="s">
        <v>11064</v>
      </c>
      <c r="B1163" s="1">
        <v>200.0</v>
      </c>
      <c r="C1163" s="1" t="s">
        <v>9882</v>
      </c>
      <c r="D1163" s="1" t="s">
        <v>609</v>
      </c>
      <c r="E1163" s="1" t="s">
        <v>631</v>
      </c>
    </row>
    <row r="1164">
      <c r="A1164" s="2" t="s">
        <v>11065</v>
      </c>
      <c r="B1164" s="1">
        <v>200.0</v>
      </c>
      <c r="C1164" s="1" t="s">
        <v>9882</v>
      </c>
      <c r="D1164" s="1" t="s">
        <v>609</v>
      </c>
      <c r="E1164" s="1" t="s">
        <v>631</v>
      </c>
      <c r="F1164" s="1">
        <v>2.0</v>
      </c>
      <c r="G1164" s="1">
        <v>34.0</v>
      </c>
      <c r="H1164" s="1">
        <v>0.059</v>
      </c>
      <c r="I1164" s="1">
        <v>5.94</v>
      </c>
    </row>
    <row r="1165">
      <c r="A1165" s="2" t="s">
        <v>11066</v>
      </c>
      <c r="B1165" s="1">
        <v>200.0</v>
      </c>
      <c r="C1165" s="1" t="s">
        <v>9882</v>
      </c>
      <c r="D1165" s="1" t="s">
        <v>609</v>
      </c>
      <c r="E1165" s="1" t="s">
        <v>631</v>
      </c>
      <c r="F1165" s="1">
        <v>0.0</v>
      </c>
      <c r="G1165" s="1">
        <v>16.0</v>
      </c>
      <c r="H1165" s="1">
        <v>0.0</v>
      </c>
      <c r="I1165" s="1">
        <v>8.44</v>
      </c>
    </row>
    <row r="1166">
      <c r="A1166" s="2" t="s">
        <v>11067</v>
      </c>
      <c r="B1166" s="1">
        <v>200.0</v>
      </c>
      <c r="C1166" s="1" t="s">
        <v>9886</v>
      </c>
      <c r="D1166" s="1" t="s">
        <v>609</v>
      </c>
      <c r="E1166" s="1" t="s">
        <v>631</v>
      </c>
      <c r="F1166" s="1">
        <v>0.0</v>
      </c>
      <c r="G1166" s="1">
        <v>101.0</v>
      </c>
      <c r="H1166" s="1">
        <v>0.0</v>
      </c>
      <c r="I1166" s="1">
        <v>13.05</v>
      </c>
    </row>
    <row r="1167">
      <c r="A1167" s="2" t="s">
        <v>11068</v>
      </c>
      <c r="B1167" s="1">
        <v>200.0</v>
      </c>
      <c r="C1167" s="1" t="s">
        <v>9886</v>
      </c>
      <c r="D1167" s="1" t="s">
        <v>609</v>
      </c>
      <c r="E1167" s="1" t="s">
        <v>631</v>
      </c>
      <c r="F1167" s="1">
        <v>0.0</v>
      </c>
      <c r="G1167" s="1">
        <v>22.0</v>
      </c>
      <c r="H1167" s="1">
        <v>0.0</v>
      </c>
      <c r="I1167" s="1">
        <v>7.91</v>
      </c>
    </row>
    <row r="1168">
      <c r="A1168" s="2" t="s">
        <v>11069</v>
      </c>
      <c r="B1168" s="1">
        <v>200.0</v>
      </c>
      <c r="C1168" s="1" t="s">
        <v>9886</v>
      </c>
      <c r="D1168" s="1" t="s">
        <v>609</v>
      </c>
      <c r="E1168" s="1" t="s">
        <v>631</v>
      </c>
      <c r="F1168" s="1">
        <v>0.0</v>
      </c>
      <c r="G1168" s="1">
        <v>1.0</v>
      </c>
      <c r="H1168" s="1">
        <v>0.0</v>
      </c>
      <c r="I1168" s="1">
        <v>37.0</v>
      </c>
    </row>
    <row r="1169">
      <c r="A1169" s="2" t="s">
        <v>11070</v>
      </c>
      <c r="B1169" s="1">
        <v>200.0</v>
      </c>
      <c r="C1169" s="1" t="s">
        <v>9888</v>
      </c>
      <c r="D1169" s="1" t="s">
        <v>609</v>
      </c>
      <c r="E1169" s="1" t="s">
        <v>631</v>
      </c>
      <c r="F1169" s="1">
        <v>1.0</v>
      </c>
      <c r="G1169" s="1">
        <v>25.0</v>
      </c>
      <c r="H1169" s="1">
        <v>0.04</v>
      </c>
      <c r="I1169" s="1">
        <v>8.24</v>
      </c>
    </row>
    <row r="1170">
      <c r="A1170" s="2" t="s">
        <v>11071</v>
      </c>
      <c r="B1170" s="1">
        <v>200.0</v>
      </c>
      <c r="C1170" s="1" t="s">
        <v>9888</v>
      </c>
      <c r="D1170" s="1" t="s">
        <v>609</v>
      </c>
      <c r="E1170" s="1" t="s">
        <v>631</v>
      </c>
      <c r="F1170" s="1">
        <v>0.0</v>
      </c>
      <c r="G1170" s="1">
        <v>7.0</v>
      </c>
      <c r="H1170" s="1">
        <v>0.0</v>
      </c>
      <c r="I1170" s="1">
        <v>10.71</v>
      </c>
    </row>
    <row r="1171">
      <c r="A1171" s="2" t="s">
        <v>11072</v>
      </c>
      <c r="B1171" s="1">
        <v>200.0</v>
      </c>
      <c r="C1171" s="1" t="s">
        <v>9888</v>
      </c>
      <c r="D1171" s="1" t="s">
        <v>609</v>
      </c>
      <c r="E1171" s="1" t="s">
        <v>631</v>
      </c>
    </row>
    <row r="1172">
      <c r="A1172" s="2" t="s">
        <v>11073</v>
      </c>
      <c r="B1172" s="1">
        <v>200.0</v>
      </c>
      <c r="C1172" s="1" t="s">
        <v>9896</v>
      </c>
      <c r="D1172" s="1" t="s">
        <v>609</v>
      </c>
      <c r="E1172" s="1" t="s">
        <v>631</v>
      </c>
      <c r="F1172" s="1">
        <v>0.0</v>
      </c>
      <c r="G1172" s="1">
        <v>17.0</v>
      </c>
      <c r="H1172" s="1">
        <v>0.0</v>
      </c>
      <c r="I1172" s="1">
        <v>17.12</v>
      </c>
    </row>
    <row r="1173">
      <c r="A1173" s="2" t="s">
        <v>11074</v>
      </c>
      <c r="B1173" s="1">
        <v>200.0</v>
      </c>
      <c r="C1173" s="1" t="s">
        <v>9896</v>
      </c>
      <c r="D1173" s="1" t="s">
        <v>609</v>
      </c>
      <c r="E1173" s="1" t="s">
        <v>631</v>
      </c>
      <c r="F1173" s="1">
        <v>0.0</v>
      </c>
      <c r="G1173" s="1">
        <v>18.0</v>
      </c>
      <c r="H1173" s="1">
        <v>0.0</v>
      </c>
      <c r="I1173" s="1">
        <v>12.11</v>
      </c>
    </row>
    <row r="1174">
      <c r="A1174" s="2" t="s">
        <v>11075</v>
      </c>
      <c r="B1174" s="1">
        <v>200.0</v>
      </c>
      <c r="C1174" s="1" t="s">
        <v>9896</v>
      </c>
      <c r="D1174" s="1" t="s">
        <v>609</v>
      </c>
      <c r="E1174" s="1" t="s">
        <v>631</v>
      </c>
      <c r="F1174" s="1">
        <v>1.0</v>
      </c>
      <c r="G1174" s="1">
        <v>160.0</v>
      </c>
      <c r="H1174" s="1">
        <v>0.006</v>
      </c>
      <c r="I1174" s="1">
        <v>15.03</v>
      </c>
    </row>
    <row r="1175">
      <c r="A1175" s="2" t="s">
        <v>11076</v>
      </c>
      <c r="B1175" s="1">
        <v>200.0</v>
      </c>
      <c r="C1175" s="1" t="s">
        <v>11077</v>
      </c>
      <c r="D1175" s="1" t="s">
        <v>583</v>
      </c>
      <c r="F1175" s="1">
        <v>1.0</v>
      </c>
      <c r="G1175" s="1">
        <v>227.0</v>
      </c>
      <c r="H1175" s="1">
        <v>0.004</v>
      </c>
      <c r="I1175" s="1">
        <v>34.88</v>
      </c>
    </row>
    <row r="1176">
      <c r="A1176" s="2" t="s">
        <v>11078</v>
      </c>
      <c r="B1176" s="1">
        <v>200.0</v>
      </c>
      <c r="C1176" s="1" t="s">
        <v>11079</v>
      </c>
      <c r="D1176" s="1" t="s">
        <v>583</v>
      </c>
      <c r="F1176" s="1">
        <v>2.0</v>
      </c>
      <c r="G1176" s="1">
        <v>104.0</v>
      </c>
      <c r="H1176" s="1">
        <v>0.019</v>
      </c>
      <c r="I1176" s="1">
        <v>34.66</v>
      </c>
    </row>
    <row r="1177">
      <c r="A1177" s="2" t="s">
        <v>11080</v>
      </c>
      <c r="B1177" s="1">
        <v>200.0</v>
      </c>
      <c r="C1177" s="1" t="s">
        <v>11081</v>
      </c>
      <c r="D1177" s="1" t="s">
        <v>583</v>
      </c>
      <c r="F1177" s="1">
        <v>0.0</v>
      </c>
      <c r="G1177" s="1">
        <v>169.0</v>
      </c>
      <c r="H1177" s="1">
        <v>0.0</v>
      </c>
      <c r="I1177" s="1">
        <v>39.28</v>
      </c>
    </row>
    <row r="1178">
      <c r="A1178" s="2" t="s">
        <v>11082</v>
      </c>
      <c r="B1178" s="1">
        <v>200.0</v>
      </c>
      <c r="C1178" s="1" t="s">
        <v>11083</v>
      </c>
      <c r="D1178" s="1" t="s">
        <v>583</v>
      </c>
      <c r="F1178" s="1">
        <v>1.0</v>
      </c>
      <c r="G1178" s="1">
        <v>440.0</v>
      </c>
      <c r="H1178" s="1">
        <v>0.002</v>
      </c>
      <c r="I1178" s="1">
        <v>64.62</v>
      </c>
    </row>
    <row r="1179">
      <c r="A1179" s="2" t="s">
        <v>11084</v>
      </c>
      <c r="B1179" s="1">
        <v>200.0</v>
      </c>
      <c r="C1179" s="1" t="s">
        <v>11085</v>
      </c>
      <c r="D1179" s="1" t="s">
        <v>583</v>
      </c>
      <c r="F1179" s="1">
        <v>0.0</v>
      </c>
      <c r="G1179" s="1">
        <v>395.0</v>
      </c>
      <c r="H1179" s="1">
        <v>0.0</v>
      </c>
      <c r="I1179" s="1">
        <v>30.52</v>
      </c>
    </row>
    <row r="1180">
      <c r="A1180" s="2" t="s">
        <v>11086</v>
      </c>
      <c r="B1180" s="1">
        <v>200.0</v>
      </c>
      <c r="C1180" s="1" t="s">
        <v>11087</v>
      </c>
      <c r="D1180" s="1" t="s">
        <v>583</v>
      </c>
      <c r="F1180" s="1">
        <v>1.0</v>
      </c>
      <c r="G1180" s="1">
        <v>346.0</v>
      </c>
      <c r="H1180" s="1">
        <v>0.003</v>
      </c>
      <c r="I1180" s="1">
        <v>9.8</v>
      </c>
    </row>
    <row r="1181">
      <c r="A1181" s="2" t="s">
        <v>11088</v>
      </c>
      <c r="B1181" s="1">
        <v>200.0</v>
      </c>
      <c r="C1181" s="1" t="s">
        <v>11089</v>
      </c>
      <c r="D1181" s="1" t="s">
        <v>583</v>
      </c>
      <c r="F1181" s="1">
        <v>1.0</v>
      </c>
      <c r="G1181" s="1">
        <v>439.0</v>
      </c>
      <c r="H1181" s="1">
        <v>0.002</v>
      </c>
      <c r="I1181" s="1">
        <v>33.72</v>
      </c>
    </row>
    <row r="1182">
      <c r="A1182" s="2" t="s">
        <v>11090</v>
      </c>
      <c r="B1182" s="1">
        <v>200.0</v>
      </c>
      <c r="C1182" s="1" t="s">
        <v>9872</v>
      </c>
      <c r="D1182" s="1" t="s">
        <v>609</v>
      </c>
      <c r="E1182" s="1" t="s">
        <v>631</v>
      </c>
      <c r="F1182" s="1">
        <v>0.0</v>
      </c>
      <c r="G1182" s="1">
        <v>19.0</v>
      </c>
      <c r="H1182" s="1">
        <v>0.0</v>
      </c>
      <c r="I1182" s="1">
        <v>12.32</v>
      </c>
    </row>
    <row r="1183">
      <c r="A1183" s="2" t="s">
        <v>11091</v>
      </c>
      <c r="B1183" s="1">
        <v>200.0</v>
      </c>
      <c r="C1183" s="1" t="s">
        <v>11092</v>
      </c>
      <c r="D1183" s="1" t="s">
        <v>583</v>
      </c>
      <c r="F1183" s="1">
        <v>1.0</v>
      </c>
      <c r="G1183" s="1">
        <v>526.0</v>
      </c>
      <c r="H1183" s="1">
        <v>0.002</v>
      </c>
      <c r="I1183" s="1">
        <v>24.08</v>
      </c>
    </row>
    <row r="1184">
      <c r="A1184" s="2" t="s">
        <v>11093</v>
      </c>
      <c r="B1184" s="1">
        <v>200.0</v>
      </c>
      <c r="C1184" s="1" t="s">
        <v>11094</v>
      </c>
      <c r="D1184" s="1" t="s">
        <v>583</v>
      </c>
      <c r="F1184" s="1">
        <v>1.0</v>
      </c>
      <c r="G1184" s="1">
        <v>37.0</v>
      </c>
      <c r="H1184" s="1">
        <v>0.027</v>
      </c>
      <c r="I1184" s="1">
        <v>29.73</v>
      </c>
    </row>
    <row r="1185">
      <c r="A1185" s="2" t="s">
        <v>11095</v>
      </c>
      <c r="B1185" s="1">
        <v>200.0</v>
      </c>
      <c r="C1185" s="1" t="s">
        <v>11096</v>
      </c>
      <c r="D1185" s="1" t="s">
        <v>583</v>
      </c>
      <c r="F1185" s="1">
        <v>1.0</v>
      </c>
      <c r="G1185" s="1">
        <v>268.0</v>
      </c>
      <c r="H1185" s="1">
        <v>0.004</v>
      </c>
      <c r="I1185" s="1">
        <v>70.4</v>
      </c>
    </row>
    <row r="1186">
      <c r="A1186" s="2" t="s">
        <v>11097</v>
      </c>
      <c r="B1186" s="1">
        <v>200.0</v>
      </c>
      <c r="C1186" s="1" t="s">
        <v>11098</v>
      </c>
      <c r="D1186" s="1" t="s">
        <v>583</v>
      </c>
      <c r="F1186" s="1">
        <v>2.0</v>
      </c>
      <c r="G1186" s="1">
        <v>601.0</v>
      </c>
      <c r="H1186" s="1">
        <v>0.003</v>
      </c>
      <c r="I1186" s="1">
        <v>29.13</v>
      </c>
    </row>
    <row r="1187">
      <c r="A1187" s="2" t="s">
        <v>11099</v>
      </c>
      <c r="B1187" s="1">
        <v>200.0</v>
      </c>
      <c r="C1187" s="1" t="s">
        <v>11100</v>
      </c>
      <c r="D1187" s="1" t="s">
        <v>583</v>
      </c>
      <c r="F1187" s="1">
        <v>0.0</v>
      </c>
      <c r="G1187" s="1">
        <v>40.0</v>
      </c>
      <c r="H1187" s="1">
        <v>0.0</v>
      </c>
      <c r="I1187" s="1">
        <v>31.15</v>
      </c>
    </row>
    <row r="1188">
      <c r="A1188" s="2" t="s">
        <v>11101</v>
      </c>
      <c r="B1188" s="1">
        <v>200.0</v>
      </c>
      <c r="C1188" s="1" t="s">
        <v>11102</v>
      </c>
      <c r="D1188" s="1" t="s">
        <v>583</v>
      </c>
      <c r="F1188" s="1">
        <v>3.0</v>
      </c>
      <c r="G1188" s="1">
        <v>484.0</v>
      </c>
      <c r="H1188" s="1">
        <v>0.006</v>
      </c>
      <c r="I1188" s="1">
        <v>24.75</v>
      </c>
    </row>
    <row r="1189">
      <c r="A1189" s="2" t="s">
        <v>11103</v>
      </c>
      <c r="B1189" s="1">
        <v>200.0</v>
      </c>
      <c r="C1189" s="1" t="s">
        <v>11104</v>
      </c>
      <c r="D1189" s="1" t="s">
        <v>583</v>
      </c>
      <c r="F1189" s="1">
        <v>5.0</v>
      </c>
      <c r="G1189" s="1">
        <v>858.0</v>
      </c>
      <c r="H1189" s="1">
        <v>0.006</v>
      </c>
      <c r="I1189" s="1">
        <v>40.66</v>
      </c>
    </row>
    <row r="1190">
      <c r="A1190" s="2" t="s">
        <v>11105</v>
      </c>
      <c r="B1190" s="1">
        <v>200.0</v>
      </c>
      <c r="C1190" s="1" t="s">
        <v>11106</v>
      </c>
      <c r="D1190" s="1" t="s">
        <v>583</v>
      </c>
      <c r="F1190" s="1">
        <v>1.0</v>
      </c>
      <c r="G1190" s="1">
        <v>225.0</v>
      </c>
      <c r="H1190" s="1">
        <v>0.004</v>
      </c>
      <c r="I1190" s="1">
        <v>19.96</v>
      </c>
    </row>
    <row r="1191">
      <c r="A1191" s="2" t="s">
        <v>11107</v>
      </c>
      <c r="B1191" s="1">
        <v>200.0</v>
      </c>
      <c r="C1191" s="1" t="s">
        <v>11108</v>
      </c>
      <c r="D1191" s="1" t="s">
        <v>583</v>
      </c>
      <c r="F1191" s="1">
        <v>1.0</v>
      </c>
      <c r="G1191" s="1">
        <v>128.0</v>
      </c>
      <c r="H1191" s="1">
        <v>0.008</v>
      </c>
      <c r="I1191" s="1">
        <v>36.75</v>
      </c>
    </row>
    <row r="1192">
      <c r="A1192" s="2" t="s">
        <v>11109</v>
      </c>
      <c r="B1192" s="1">
        <v>200.0</v>
      </c>
      <c r="C1192" s="1" t="s">
        <v>11110</v>
      </c>
      <c r="D1192" s="1" t="s">
        <v>583</v>
      </c>
      <c r="F1192" s="1">
        <v>0.0</v>
      </c>
      <c r="G1192" s="1">
        <v>163.0</v>
      </c>
      <c r="H1192" s="1">
        <v>0.0</v>
      </c>
      <c r="I1192" s="1">
        <v>8.13</v>
      </c>
    </row>
    <row r="1193">
      <c r="A1193" s="2" t="s">
        <v>11111</v>
      </c>
      <c r="B1193" s="1">
        <v>200.0</v>
      </c>
      <c r="C1193" s="1" t="s">
        <v>11112</v>
      </c>
      <c r="D1193" s="1" t="s">
        <v>583</v>
      </c>
      <c r="F1193" s="1">
        <v>1.0</v>
      </c>
      <c r="G1193" s="1">
        <v>603.0</v>
      </c>
      <c r="H1193" s="1">
        <v>0.002</v>
      </c>
      <c r="I1193" s="1">
        <v>43.67</v>
      </c>
    </row>
    <row r="1194">
      <c r="A1194" s="2" t="s">
        <v>11113</v>
      </c>
      <c r="B1194" s="1">
        <v>200.0</v>
      </c>
      <c r="C1194" s="1" t="s">
        <v>11114</v>
      </c>
      <c r="D1194" s="1" t="s">
        <v>583</v>
      </c>
      <c r="F1194" s="1">
        <v>1.0</v>
      </c>
      <c r="G1194" s="1">
        <v>49.0</v>
      </c>
      <c r="H1194" s="1">
        <v>0.02</v>
      </c>
      <c r="I1194" s="1">
        <v>24.16</v>
      </c>
    </row>
    <row r="1195">
      <c r="A1195" s="2" t="s">
        <v>11115</v>
      </c>
      <c r="B1195" s="1">
        <v>200.0</v>
      </c>
      <c r="C1195" s="1" t="s">
        <v>11116</v>
      </c>
      <c r="D1195" s="1" t="s">
        <v>583</v>
      </c>
      <c r="F1195" s="1">
        <v>0.0</v>
      </c>
      <c r="G1195" s="1">
        <v>16.0</v>
      </c>
      <c r="H1195" s="1">
        <v>0.0</v>
      </c>
      <c r="I1195" s="1">
        <v>42.06</v>
      </c>
    </row>
    <row r="1196">
      <c r="A1196" s="2" t="s">
        <v>11117</v>
      </c>
      <c r="B1196" s="1">
        <v>200.0</v>
      </c>
      <c r="C1196" s="1" t="s">
        <v>11118</v>
      </c>
      <c r="D1196" s="1" t="s">
        <v>583</v>
      </c>
      <c r="F1196" s="1">
        <v>2.0</v>
      </c>
      <c r="G1196" s="1">
        <v>254.0</v>
      </c>
      <c r="H1196" s="1">
        <v>0.008</v>
      </c>
      <c r="I1196" s="1">
        <v>26.79</v>
      </c>
    </row>
    <row r="1197">
      <c r="A1197" s="2" t="s">
        <v>11119</v>
      </c>
      <c r="B1197" s="1">
        <v>200.0</v>
      </c>
      <c r="C1197" s="1" t="s">
        <v>11120</v>
      </c>
      <c r="D1197" s="1" t="s">
        <v>583</v>
      </c>
      <c r="F1197" s="1">
        <v>2.0</v>
      </c>
      <c r="G1197" s="1">
        <v>68.0</v>
      </c>
      <c r="H1197" s="1">
        <v>0.029</v>
      </c>
      <c r="I1197" s="1">
        <v>53.26</v>
      </c>
    </row>
    <row r="1198">
      <c r="A1198" s="2" t="s">
        <v>11121</v>
      </c>
      <c r="B1198" s="1">
        <v>200.0</v>
      </c>
      <c r="C1198" s="1" t="s">
        <v>11122</v>
      </c>
      <c r="D1198" s="1" t="s">
        <v>583</v>
      </c>
      <c r="F1198" s="1">
        <v>2.0</v>
      </c>
      <c r="G1198" s="1">
        <v>351.0</v>
      </c>
      <c r="H1198" s="1">
        <v>0.006</v>
      </c>
      <c r="I1198" s="1">
        <v>27.95</v>
      </c>
    </row>
    <row r="1199">
      <c r="A1199" s="2" t="s">
        <v>11123</v>
      </c>
      <c r="B1199" s="1">
        <v>200.0</v>
      </c>
      <c r="C1199" s="1" t="s">
        <v>11124</v>
      </c>
      <c r="D1199" s="1" t="s">
        <v>583</v>
      </c>
      <c r="F1199" s="1">
        <v>1.0</v>
      </c>
      <c r="G1199" s="1">
        <v>6.0</v>
      </c>
      <c r="H1199" s="1">
        <v>0.167</v>
      </c>
      <c r="I1199" s="1">
        <v>51.0</v>
      </c>
    </row>
    <row r="1200">
      <c r="A1200" s="2" t="s">
        <v>11125</v>
      </c>
      <c r="B1200" s="1">
        <v>200.0</v>
      </c>
      <c r="C1200" s="1" t="s">
        <v>11126</v>
      </c>
      <c r="D1200" s="1" t="s">
        <v>583</v>
      </c>
      <c r="F1200" s="1">
        <v>1.0</v>
      </c>
      <c r="G1200" s="1">
        <v>75.0</v>
      </c>
      <c r="H1200" s="1">
        <v>0.013</v>
      </c>
      <c r="I1200" s="1">
        <v>38.69</v>
      </c>
    </row>
    <row r="1201">
      <c r="A1201" s="2" t="s">
        <v>11127</v>
      </c>
      <c r="B1201" s="1">
        <v>200.0</v>
      </c>
      <c r="C1201" s="1" t="s">
        <v>11128</v>
      </c>
      <c r="D1201" s="1" t="s">
        <v>583</v>
      </c>
      <c r="F1201" s="1">
        <v>1.0</v>
      </c>
      <c r="G1201" s="1">
        <v>41.0</v>
      </c>
      <c r="H1201" s="1">
        <v>0.024</v>
      </c>
      <c r="I1201" s="1">
        <v>25.59</v>
      </c>
    </row>
    <row r="1202">
      <c r="A1202" s="2" t="s">
        <v>11129</v>
      </c>
      <c r="B1202" s="1">
        <v>200.0</v>
      </c>
      <c r="C1202" s="1" t="s">
        <v>11130</v>
      </c>
      <c r="D1202" s="1" t="s">
        <v>583</v>
      </c>
    </row>
    <row r="1203">
      <c r="A1203" s="2" t="s">
        <v>11131</v>
      </c>
      <c r="B1203" s="1">
        <v>200.0</v>
      </c>
      <c r="C1203" s="1" t="s">
        <v>11132</v>
      </c>
      <c r="D1203" s="1" t="s">
        <v>583</v>
      </c>
      <c r="F1203" s="1">
        <v>0.0</v>
      </c>
      <c r="G1203" s="1">
        <v>26.0</v>
      </c>
      <c r="H1203" s="1">
        <v>0.0</v>
      </c>
      <c r="I1203" s="1">
        <v>19.92</v>
      </c>
    </row>
    <row r="1204">
      <c r="A1204" s="2" t="s">
        <v>11133</v>
      </c>
      <c r="B1204" s="1">
        <v>200.0</v>
      </c>
      <c r="C1204" s="1" t="s">
        <v>11134</v>
      </c>
      <c r="D1204" s="1" t="s">
        <v>583</v>
      </c>
      <c r="F1204" s="1">
        <v>3.0</v>
      </c>
      <c r="G1204" s="1">
        <v>475.0</v>
      </c>
      <c r="H1204" s="1">
        <v>0.006</v>
      </c>
      <c r="I1204" s="1">
        <v>13.7</v>
      </c>
    </row>
    <row r="1205">
      <c r="A1205" s="2" t="s">
        <v>11135</v>
      </c>
      <c r="B1205" s="1">
        <v>200.0</v>
      </c>
      <c r="C1205" s="1" t="s">
        <v>11136</v>
      </c>
      <c r="D1205" s="1" t="s">
        <v>583</v>
      </c>
      <c r="F1205" s="1">
        <v>2.0</v>
      </c>
      <c r="G1205" s="1">
        <v>575.0</v>
      </c>
      <c r="H1205" s="1">
        <v>0.004</v>
      </c>
      <c r="I1205" s="1">
        <v>25.49</v>
      </c>
    </row>
    <row r="1206">
      <c r="A1206" s="2" t="s">
        <v>11137</v>
      </c>
      <c r="B1206" s="1">
        <v>200.0</v>
      </c>
      <c r="C1206" s="1" t="s">
        <v>11138</v>
      </c>
      <c r="D1206" s="1" t="s">
        <v>583</v>
      </c>
      <c r="F1206" s="1">
        <v>4.0</v>
      </c>
      <c r="G1206" s="1">
        <v>519.0</v>
      </c>
      <c r="H1206" s="1">
        <v>0.008</v>
      </c>
      <c r="I1206" s="1">
        <v>35.12</v>
      </c>
    </row>
    <row r="1207">
      <c r="A1207" s="2" t="s">
        <v>11139</v>
      </c>
      <c r="B1207" s="1">
        <v>200.0</v>
      </c>
      <c r="C1207" s="1" t="s">
        <v>11140</v>
      </c>
      <c r="D1207" s="1" t="s">
        <v>583</v>
      </c>
      <c r="F1207" s="1">
        <v>1.0</v>
      </c>
      <c r="G1207" s="1">
        <v>61.0</v>
      </c>
      <c r="H1207" s="1">
        <v>0.016</v>
      </c>
      <c r="I1207" s="1">
        <v>23.72</v>
      </c>
    </row>
    <row r="1208">
      <c r="A1208" s="2" t="s">
        <v>11141</v>
      </c>
      <c r="B1208" s="1">
        <v>200.0</v>
      </c>
      <c r="C1208" s="1" t="s">
        <v>11142</v>
      </c>
      <c r="D1208" s="1" t="s">
        <v>583</v>
      </c>
    </row>
    <row r="1209">
      <c r="A1209" s="2" t="s">
        <v>11143</v>
      </c>
      <c r="B1209" s="1">
        <v>200.0</v>
      </c>
      <c r="C1209" s="1" t="s">
        <v>11144</v>
      </c>
      <c r="D1209" s="1" t="s">
        <v>583</v>
      </c>
      <c r="F1209" s="1">
        <v>1.0</v>
      </c>
      <c r="G1209" s="1">
        <v>156.0</v>
      </c>
      <c r="H1209" s="1">
        <v>0.006</v>
      </c>
      <c r="I1209" s="1">
        <v>21.22</v>
      </c>
    </row>
    <row r="1210">
      <c r="A1210" s="2" t="s">
        <v>11145</v>
      </c>
      <c r="B1210" s="1">
        <v>200.0</v>
      </c>
      <c r="C1210" s="1" t="s">
        <v>11146</v>
      </c>
      <c r="D1210" s="1" t="s">
        <v>583</v>
      </c>
      <c r="F1210" s="1">
        <v>14.0</v>
      </c>
      <c r="G1210" s="1">
        <v>635.0</v>
      </c>
      <c r="H1210" s="1">
        <v>0.022</v>
      </c>
      <c r="I1210" s="1">
        <v>24.98</v>
      </c>
    </row>
    <row r="1211">
      <c r="A1211" s="2" t="s">
        <v>11147</v>
      </c>
      <c r="B1211" s="1">
        <v>200.0</v>
      </c>
      <c r="C1211" s="1" t="s">
        <v>11148</v>
      </c>
      <c r="D1211" s="1" t="s">
        <v>583</v>
      </c>
      <c r="F1211" s="1">
        <v>1.0</v>
      </c>
      <c r="G1211" s="1">
        <v>179.0</v>
      </c>
      <c r="H1211" s="1">
        <v>0.006</v>
      </c>
      <c r="I1211" s="1">
        <v>45.66</v>
      </c>
    </row>
    <row r="1212">
      <c r="A1212" s="2" t="s">
        <v>11149</v>
      </c>
      <c r="B1212" s="1">
        <v>200.0</v>
      </c>
      <c r="C1212" s="1" t="s">
        <v>11150</v>
      </c>
      <c r="D1212" s="1" t="s">
        <v>583</v>
      </c>
      <c r="F1212" s="1">
        <v>2.0</v>
      </c>
      <c r="G1212" s="1">
        <v>448.0</v>
      </c>
      <c r="H1212" s="1">
        <v>0.004</v>
      </c>
      <c r="I1212" s="1">
        <v>36.25</v>
      </c>
    </row>
    <row r="1213">
      <c r="A1213" s="2" t="s">
        <v>11151</v>
      </c>
      <c r="B1213" s="1">
        <v>200.0</v>
      </c>
      <c r="C1213" s="1" t="s">
        <v>11152</v>
      </c>
      <c r="D1213" s="1" t="s">
        <v>583</v>
      </c>
      <c r="F1213" s="1">
        <v>1.0</v>
      </c>
      <c r="G1213" s="1">
        <v>230.0</v>
      </c>
      <c r="H1213" s="1">
        <v>0.004</v>
      </c>
      <c r="I1213" s="1">
        <v>39.51</v>
      </c>
    </row>
    <row r="1214">
      <c r="A1214" s="2" t="s">
        <v>11153</v>
      </c>
      <c r="B1214" s="1">
        <v>200.0</v>
      </c>
      <c r="C1214" s="1" t="s">
        <v>11154</v>
      </c>
      <c r="D1214" s="1" t="s">
        <v>583</v>
      </c>
      <c r="F1214" s="1">
        <v>1.0</v>
      </c>
      <c r="G1214" s="1">
        <v>29.0</v>
      </c>
      <c r="H1214" s="1">
        <v>0.035</v>
      </c>
      <c r="I1214" s="1">
        <v>59.34</v>
      </c>
    </row>
    <row r="1215">
      <c r="A1215" s="2" t="s">
        <v>11155</v>
      </c>
      <c r="B1215" s="1">
        <v>200.0</v>
      </c>
      <c r="C1215" s="1" t="s">
        <v>11156</v>
      </c>
      <c r="D1215" s="1" t="s">
        <v>583</v>
      </c>
      <c r="F1215" s="1">
        <v>7.0</v>
      </c>
      <c r="G1215" s="1">
        <v>723.0</v>
      </c>
      <c r="H1215" s="1">
        <v>0.01</v>
      </c>
      <c r="I1215" s="1">
        <v>30.9</v>
      </c>
    </row>
    <row r="1216">
      <c r="A1216" s="2" t="s">
        <v>11157</v>
      </c>
      <c r="B1216" s="1">
        <v>200.0</v>
      </c>
      <c r="C1216" s="1" t="s">
        <v>11158</v>
      </c>
      <c r="D1216" s="1" t="s">
        <v>583</v>
      </c>
      <c r="F1216" s="1">
        <v>0.0</v>
      </c>
      <c r="G1216" s="1">
        <v>55.0</v>
      </c>
      <c r="H1216" s="1">
        <v>0.0</v>
      </c>
      <c r="I1216" s="1">
        <v>31.55</v>
      </c>
    </row>
    <row r="1217">
      <c r="A1217" s="2" t="s">
        <v>11159</v>
      </c>
      <c r="B1217" s="1">
        <v>200.0</v>
      </c>
      <c r="C1217" s="1" t="s">
        <v>11160</v>
      </c>
      <c r="D1217" s="1" t="s">
        <v>583</v>
      </c>
      <c r="F1217" s="1">
        <v>2.0</v>
      </c>
      <c r="G1217" s="1">
        <v>174.0</v>
      </c>
      <c r="H1217" s="1">
        <v>0.011</v>
      </c>
      <c r="I1217" s="1">
        <v>14.71</v>
      </c>
    </row>
    <row r="1218">
      <c r="A1218" s="2" t="s">
        <v>11161</v>
      </c>
      <c r="B1218" s="1">
        <v>200.0</v>
      </c>
      <c r="C1218" s="1" t="s">
        <v>11162</v>
      </c>
      <c r="D1218" s="1" t="s">
        <v>583</v>
      </c>
      <c r="F1218" s="1">
        <v>0.0</v>
      </c>
      <c r="G1218" s="1">
        <v>131.0</v>
      </c>
      <c r="H1218" s="1">
        <v>0.0</v>
      </c>
      <c r="I1218" s="1">
        <v>42.73</v>
      </c>
    </row>
    <row r="1219">
      <c r="A1219" s="2" t="s">
        <v>11163</v>
      </c>
      <c r="B1219" s="1">
        <v>200.0</v>
      </c>
      <c r="C1219" s="1" t="s">
        <v>11164</v>
      </c>
      <c r="D1219" s="1" t="s">
        <v>583</v>
      </c>
      <c r="F1219" s="1">
        <v>1.0</v>
      </c>
      <c r="G1219" s="1">
        <v>154.0</v>
      </c>
      <c r="H1219" s="1">
        <v>0.006</v>
      </c>
      <c r="I1219" s="1">
        <v>17.14</v>
      </c>
    </row>
    <row r="1220">
      <c r="A1220" s="2" t="s">
        <v>11165</v>
      </c>
      <c r="B1220" s="1">
        <v>200.0</v>
      </c>
      <c r="C1220" s="1" t="s">
        <v>11166</v>
      </c>
      <c r="D1220" s="1" t="s">
        <v>583</v>
      </c>
      <c r="F1220" s="1">
        <v>0.0</v>
      </c>
      <c r="G1220" s="1">
        <v>324.0</v>
      </c>
      <c r="H1220" s="1">
        <v>0.0</v>
      </c>
      <c r="I1220" s="1">
        <v>42.73</v>
      </c>
    </row>
    <row r="1221">
      <c r="A1221" s="2" t="s">
        <v>11167</v>
      </c>
      <c r="B1221" s="1">
        <v>200.0</v>
      </c>
      <c r="C1221" s="1" t="s">
        <v>11168</v>
      </c>
      <c r="D1221" s="1" t="s">
        <v>583</v>
      </c>
      <c r="F1221" s="1">
        <v>0.0</v>
      </c>
      <c r="G1221" s="1">
        <v>130.0</v>
      </c>
      <c r="H1221" s="1">
        <v>0.0</v>
      </c>
      <c r="I1221" s="1">
        <v>32.21</v>
      </c>
    </row>
    <row r="1222">
      <c r="A1222" s="2" t="s">
        <v>11169</v>
      </c>
      <c r="B1222" s="1">
        <v>200.0</v>
      </c>
      <c r="C1222" s="1" t="s">
        <v>11170</v>
      </c>
      <c r="D1222" s="1" t="s">
        <v>583</v>
      </c>
      <c r="F1222" s="1">
        <v>0.0</v>
      </c>
      <c r="G1222" s="1">
        <v>31.0</v>
      </c>
      <c r="H1222" s="1">
        <v>0.0</v>
      </c>
      <c r="I1222" s="1">
        <v>47.19</v>
      </c>
    </row>
    <row r="1223">
      <c r="A1223" s="2" t="s">
        <v>11171</v>
      </c>
      <c r="B1223" s="1">
        <v>200.0</v>
      </c>
      <c r="C1223" s="1" t="s">
        <v>11172</v>
      </c>
      <c r="D1223" s="1" t="s">
        <v>583</v>
      </c>
      <c r="F1223" s="1">
        <v>0.0</v>
      </c>
      <c r="G1223" s="1">
        <v>80.0</v>
      </c>
      <c r="H1223" s="1">
        <v>0.0</v>
      </c>
      <c r="I1223" s="1">
        <v>39.74</v>
      </c>
    </row>
    <row r="1224">
      <c r="A1224" s="2" t="s">
        <v>11173</v>
      </c>
      <c r="B1224" s="1">
        <v>200.0</v>
      </c>
      <c r="C1224" s="1" t="s">
        <v>11174</v>
      </c>
      <c r="D1224" s="1" t="s">
        <v>583</v>
      </c>
      <c r="F1224" s="1">
        <v>0.0</v>
      </c>
      <c r="G1224" s="1">
        <v>20.0</v>
      </c>
      <c r="H1224" s="1">
        <v>0.0</v>
      </c>
      <c r="I1224" s="1">
        <v>10.35</v>
      </c>
    </row>
    <row r="1225">
      <c r="A1225" s="2" t="s">
        <v>11175</v>
      </c>
      <c r="B1225" s="1">
        <v>200.0</v>
      </c>
      <c r="C1225" s="1" t="s">
        <v>11176</v>
      </c>
      <c r="D1225" s="1" t="s">
        <v>583</v>
      </c>
      <c r="F1225" s="1">
        <v>1.0</v>
      </c>
      <c r="G1225" s="1">
        <v>4.0</v>
      </c>
      <c r="H1225" s="1">
        <v>0.25</v>
      </c>
      <c r="I1225" s="1">
        <v>8.75</v>
      </c>
    </row>
    <row r="1226">
      <c r="A1226" s="2" t="s">
        <v>11177</v>
      </c>
      <c r="B1226" s="1">
        <v>200.0</v>
      </c>
      <c r="C1226" s="1" t="s">
        <v>11178</v>
      </c>
      <c r="D1226" s="1" t="s">
        <v>583</v>
      </c>
      <c r="F1226" s="1">
        <v>0.0</v>
      </c>
      <c r="G1226" s="1">
        <v>161.0</v>
      </c>
      <c r="H1226" s="1">
        <v>0.0</v>
      </c>
      <c r="I1226" s="1">
        <v>43.16</v>
      </c>
    </row>
    <row r="1227">
      <c r="A1227" s="2" t="s">
        <v>11179</v>
      </c>
      <c r="B1227" s="1">
        <v>200.0</v>
      </c>
      <c r="C1227" s="1" t="s">
        <v>11180</v>
      </c>
      <c r="D1227" s="1" t="s">
        <v>583</v>
      </c>
      <c r="F1227" s="1">
        <v>0.0</v>
      </c>
      <c r="G1227" s="1">
        <v>15.0</v>
      </c>
      <c r="H1227" s="1">
        <v>0.0</v>
      </c>
      <c r="I1227" s="1">
        <v>12.27</v>
      </c>
    </row>
    <row r="1228">
      <c r="A1228" s="2" t="s">
        <v>11181</v>
      </c>
      <c r="B1228" s="1">
        <v>200.0</v>
      </c>
      <c r="C1228" s="1" t="s">
        <v>11182</v>
      </c>
      <c r="D1228" s="1" t="s">
        <v>583</v>
      </c>
      <c r="F1228" s="1">
        <v>0.0</v>
      </c>
      <c r="G1228" s="1">
        <v>21.0</v>
      </c>
      <c r="H1228" s="1">
        <v>0.0</v>
      </c>
      <c r="I1228" s="1">
        <v>24.33</v>
      </c>
    </row>
    <row r="1229">
      <c r="A1229" s="2" t="s">
        <v>11183</v>
      </c>
      <c r="B1229" s="1">
        <v>200.0</v>
      </c>
      <c r="C1229" s="1" t="s">
        <v>11184</v>
      </c>
      <c r="D1229" s="1" t="s">
        <v>583</v>
      </c>
      <c r="F1229" s="1">
        <v>0.0</v>
      </c>
      <c r="G1229" s="1">
        <v>38.0</v>
      </c>
      <c r="H1229" s="1">
        <v>0.0</v>
      </c>
      <c r="I1229" s="1">
        <v>34.79</v>
      </c>
    </row>
    <row r="1230">
      <c r="A1230" s="2" t="s">
        <v>11185</v>
      </c>
      <c r="B1230" s="1">
        <v>200.0</v>
      </c>
      <c r="C1230" s="1" t="s">
        <v>11186</v>
      </c>
      <c r="D1230" s="1" t="s">
        <v>583</v>
      </c>
      <c r="F1230" s="1">
        <v>0.0</v>
      </c>
      <c r="G1230" s="1">
        <v>26.0</v>
      </c>
      <c r="H1230" s="1">
        <v>0.0</v>
      </c>
      <c r="I1230" s="1">
        <v>14.23</v>
      </c>
    </row>
    <row r="1231">
      <c r="A1231" s="2" t="s">
        <v>11187</v>
      </c>
      <c r="B1231" s="1">
        <v>200.0</v>
      </c>
      <c r="C1231" s="1" t="s">
        <v>11188</v>
      </c>
      <c r="D1231" s="1" t="s">
        <v>583</v>
      </c>
      <c r="F1231" s="1">
        <v>0.0</v>
      </c>
      <c r="G1231" s="1">
        <v>44.0</v>
      </c>
      <c r="H1231" s="1">
        <v>0.0</v>
      </c>
      <c r="I1231" s="1">
        <v>27.16</v>
      </c>
    </row>
    <row r="1232">
      <c r="A1232" s="2" t="s">
        <v>11189</v>
      </c>
      <c r="B1232" s="1">
        <v>200.0</v>
      </c>
      <c r="C1232" s="1" t="s">
        <v>11190</v>
      </c>
      <c r="D1232" s="1" t="s">
        <v>583</v>
      </c>
      <c r="F1232" s="1">
        <v>0.0</v>
      </c>
      <c r="G1232" s="1">
        <v>6.0</v>
      </c>
      <c r="H1232" s="1">
        <v>0.0</v>
      </c>
      <c r="I1232" s="1">
        <v>40.67</v>
      </c>
    </row>
    <row r="1233">
      <c r="A1233" s="2" t="s">
        <v>11191</v>
      </c>
      <c r="B1233" s="1">
        <v>200.0</v>
      </c>
      <c r="C1233" s="1" t="s">
        <v>11192</v>
      </c>
      <c r="D1233" s="1" t="s">
        <v>583</v>
      </c>
      <c r="F1233" s="1">
        <v>0.0</v>
      </c>
      <c r="G1233" s="1">
        <v>51.0</v>
      </c>
      <c r="H1233" s="1">
        <v>0.0</v>
      </c>
      <c r="I1233" s="1">
        <v>55.16</v>
      </c>
    </row>
    <row r="1234">
      <c r="A1234" s="2" t="s">
        <v>11193</v>
      </c>
      <c r="B1234" s="1">
        <v>200.0</v>
      </c>
      <c r="C1234" s="1" t="s">
        <v>11194</v>
      </c>
      <c r="D1234" s="1" t="s">
        <v>583</v>
      </c>
      <c r="F1234" s="1">
        <v>0.0</v>
      </c>
      <c r="G1234" s="1">
        <v>528.0</v>
      </c>
      <c r="H1234" s="1">
        <v>0.0</v>
      </c>
      <c r="I1234" s="1">
        <v>33.26</v>
      </c>
    </row>
    <row r="1235">
      <c r="A1235" s="2" t="s">
        <v>11195</v>
      </c>
      <c r="B1235" s="1">
        <v>200.0</v>
      </c>
      <c r="C1235" s="1" t="s">
        <v>11196</v>
      </c>
      <c r="D1235" s="1" t="s">
        <v>583</v>
      </c>
      <c r="F1235" s="1">
        <v>0.0</v>
      </c>
      <c r="G1235" s="1">
        <v>26.0</v>
      </c>
      <c r="H1235" s="1">
        <v>0.0</v>
      </c>
      <c r="I1235" s="1">
        <v>19.58</v>
      </c>
    </row>
    <row r="1236">
      <c r="A1236" s="2" t="s">
        <v>11197</v>
      </c>
      <c r="B1236" s="1">
        <v>200.0</v>
      </c>
      <c r="C1236" s="1" t="s">
        <v>11198</v>
      </c>
      <c r="D1236" s="1" t="s">
        <v>583</v>
      </c>
      <c r="F1236" s="1">
        <v>0.0</v>
      </c>
      <c r="G1236" s="1">
        <v>67.0</v>
      </c>
      <c r="H1236" s="1">
        <v>0.0</v>
      </c>
      <c r="I1236" s="1">
        <v>10.16</v>
      </c>
    </row>
    <row r="1237">
      <c r="A1237" s="2" t="s">
        <v>11199</v>
      </c>
      <c r="B1237" s="1">
        <v>200.0</v>
      </c>
      <c r="C1237" s="1" t="s">
        <v>11200</v>
      </c>
      <c r="D1237" s="1" t="s">
        <v>583</v>
      </c>
      <c r="F1237" s="1">
        <v>0.0</v>
      </c>
      <c r="G1237" s="1">
        <v>203.0</v>
      </c>
      <c r="H1237" s="1">
        <v>0.0</v>
      </c>
      <c r="I1237" s="1">
        <v>32.97</v>
      </c>
    </row>
    <row r="1238">
      <c r="A1238" s="2" t="s">
        <v>11201</v>
      </c>
      <c r="B1238" s="1">
        <v>200.0</v>
      </c>
      <c r="C1238" s="1" t="s">
        <v>11202</v>
      </c>
      <c r="D1238" s="1" t="s">
        <v>583</v>
      </c>
      <c r="F1238" s="1">
        <v>0.0</v>
      </c>
      <c r="G1238" s="1">
        <v>19.0</v>
      </c>
      <c r="H1238" s="1">
        <v>0.0</v>
      </c>
      <c r="I1238" s="1">
        <v>25.0</v>
      </c>
    </row>
    <row r="1239">
      <c r="A1239" s="2" t="s">
        <v>11203</v>
      </c>
      <c r="B1239" s="1">
        <v>200.0</v>
      </c>
      <c r="C1239" s="1" t="s">
        <v>11204</v>
      </c>
      <c r="D1239" s="1" t="s">
        <v>583</v>
      </c>
      <c r="F1239" s="1">
        <v>0.0</v>
      </c>
      <c r="G1239" s="1">
        <v>12.0</v>
      </c>
      <c r="H1239" s="1">
        <v>0.0</v>
      </c>
      <c r="I1239" s="1">
        <v>12.67</v>
      </c>
    </row>
    <row r="1240">
      <c r="A1240" s="2" t="s">
        <v>11205</v>
      </c>
      <c r="B1240" s="1">
        <v>200.0</v>
      </c>
      <c r="C1240" s="1" t="s">
        <v>11206</v>
      </c>
      <c r="D1240" s="1" t="s">
        <v>583</v>
      </c>
      <c r="F1240" s="1">
        <v>0.0</v>
      </c>
      <c r="G1240" s="1">
        <v>25.0</v>
      </c>
      <c r="H1240" s="1">
        <v>0.0</v>
      </c>
      <c r="I1240" s="1">
        <v>22.76</v>
      </c>
    </row>
    <row r="1241">
      <c r="A1241" s="2" t="s">
        <v>11207</v>
      </c>
      <c r="B1241" s="1">
        <v>200.0</v>
      </c>
      <c r="C1241" s="1" t="s">
        <v>11208</v>
      </c>
      <c r="D1241" s="1" t="s">
        <v>583</v>
      </c>
      <c r="F1241" s="1">
        <v>0.0</v>
      </c>
      <c r="G1241" s="1">
        <v>6.0</v>
      </c>
      <c r="H1241" s="1">
        <v>0.0</v>
      </c>
      <c r="I1241" s="1">
        <v>11.5</v>
      </c>
    </row>
    <row r="1242">
      <c r="A1242" s="2" t="s">
        <v>11209</v>
      </c>
      <c r="B1242" s="1">
        <v>200.0</v>
      </c>
      <c r="C1242" s="1" t="s">
        <v>9322</v>
      </c>
      <c r="D1242" s="1" t="s">
        <v>609</v>
      </c>
      <c r="E1242" s="1" t="s">
        <v>631</v>
      </c>
    </row>
    <row r="1243">
      <c r="A1243" s="2" t="s">
        <v>11210</v>
      </c>
      <c r="B1243" s="1">
        <v>200.0</v>
      </c>
      <c r="C1243" s="1" t="s">
        <v>9322</v>
      </c>
      <c r="D1243" s="1" t="s">
        <v>609</v>
      </c>
      <c r="E1243" s="1" t="s">
        <v>631</v>
      </c>
      <c r="F1243" s="1">
        <v>0.0</v>
      </c>
      <c r="G1243" s="1">
        <v>7.0</v>
      </c>
      <c r="H1243" s="1">
        <v>0.0</v>
      </c>
      <c r="I1243" s="1">
        <v>10.71</v>
      </c>
    </row>
    <row r="1244">
      <c r="A1244" s="2" t="s">
        <v>11211</v>
      </c>
      <c r="B1244" s="1">
        <v>200.0</v>
      </c>
      <c r="C1244" s="1" t="s">
        <v>11212</v>
      </c>
      <c r="D1244" s="1" t="s">
        <v>583</v>
      </c>
      <c r="F1244" s="1">
        <v>0.0</v>
      </c>
      <c r="G1244" s="1">
        <v>17.0</v>
      </c>
      <c r="H1244" s="1">
        <v>0.0</v>
      </c>
      <c r="I1244" s="1">
        <v>24.94</v>
      </c>
    </row>
    <row r="1245">
      <c r="A1245" s="2" t="s">
        <v>11213</v>
      </c>
      <c r="B1245" s="1">
        <v>200.0</v>
      </c>
      <c r="C1245" s="1" t="s">
        <v>11214</v>
      </c>
      <c r="D1245" s="1" t="s">
        <v>583</v>
      </c>
      <c r="F1245" s="1">
        <v>0.0</v>
      </c>
      <c r="G1245" s="1">
        <v>119.0</v>
      </c>
      <c r="H1245" s="1">
        <v>0.0</v>
      </c>
      <c r="I1245" s="1">
        <v>22.49</v>
      </c>
    </row>
    <row r="1246">
      <c r="A1246" s="2" t="s">
        <v>11215</v>
      </c>
      <c r="B1246" s="1">
        <v>200.0</v>
      </c>
      <c r="C1246" s="1" t="s">
        <v>11216</v>
      </c>
      <c r="D1246" s="1" t="s">
        <v>583</v>
      </c>
      <c r="F1246" s="1">
        <v>0.0</v>
      </c>
      <c r="G1246" s="1">
        <v>3.0</v>
      </c>
      <c r="H1246" s="1">
        <v>0.0</v>
      </c>
      <c r="I1246" s="1">
        <v>8.0</v>
      </c>
    </row>
    <row r="1247">
      <c r="A1247" s="2" t="s">
        <v>11217</v>
      </c>
      <c r="B1247" s="1">
        <v>200.0</v>
      </c>
      <c r="C1247" s="1" t="s">
        <v>11218</v>
      </c>
      <c r="D1247" s="1" t="s">
        <v>583</v>
      </c>
      <c r="F1247" s="1">
        <v>3.0</v>
      </c>
      <c r="G1247" s="1">
        <v>509.0</v>
      </c>
      <c r="H1247" s="1">
        <v>0.006</v>
      </c>
      <c r="I1247" s="1">
        <v>17.4</v>
      </c>
    </row>
    <row r="1248">
      <c r="A1248" s="2" t="s">
        <v>11219</v>
      </c>
      <c r="B1248" s="1">
        <v>200.0</v>
      </c>
      <c r="C1248" s="1" t="s">
        <v>11220</v>
      </c>
      <c r="D1248" s="1" t="s">
        <v>583</v>
      </c>
      <c r="F1248" s="1">
        <v>0.0</v>
      </c>
      <c r="G1248" s="1">
        <v>62.0</v>
      </c>
      <c r="H1248" s="1">
        <v>0.0</v>
      </c>
      <c r="I1248" s="1">
        <v>37.4</v>
      </c>
    </row>
    <row r="1249">
      <c r="A1249" s="2" t="s">
        <v>11221</v>
      </c>
      <c r="B1249" s="1">
        <v>200.0</v>
      </c>
      <c r="C1249" s="1" t="s">
        <v>11222</v>
      </c>
      <c r="D1249" s="1" t="s">
        <v>583</v>
      </c>
      <c r="F1249" s="1">
        <v>0.0</v>
      </c>
      <c r="G1249" s="1">
        <v>85.0</v>
      </c>
      <c r="H1249" s="1">
        <v>0.0</v>
      </c>
      <c r="I1249" s="1">
        <v>81.98</v>
      </c>
    </row>
    <row r="1250">
      <c r="A1250" s="2" t="s">
        <v>11223</v>
      </c>
      <c r="B1250" s="1">
        <v>200.0</v>
      </c>
      <c r="C1250" s="1" t="s">
        <v>11224</v>
      </c>
      <c r="D1250" s="1" t="s">
        <v>583</v>
      </c>
      <c r="F1250" s="1">
        <v>0.0</v>
      </c>
      <c r="G1250" s="1">
        <v>103.0</v>
      </c>
      <c r="H1250" s="1">
        <v>0.0</v>
      </c>
      <c r="I1250" s="1">
        <v>50.35</v>
      </c>
    </row>
    <row r="1251">
      <c r="A1251" s="2" t="s">
        <v>11225</v>
      </c>
      <c r="B1251" s="1">
        <v>200.0</v>
      </c>
      <c r="C1251" s="1" t="s">
        <v>11226</v>
      </c>
      <c r="D1251" s="1" t="s">
        <v>583</v>
      </c>
      <c r="F1251" s="1">
        <v>0.0</v>
      </c>
      <c r="G1251" s="1">
        <v>4.0</v>
      </c>
      <c r="H1251" s="1">
        <v>0.0</v>
      </c>
      <c r="I1251" s="1">
        <v>10.0</v>
      </c>
    </row>
    <row r="1252">
      <c r="A1252" s="2" t="s">
        <v>11227</v>
      </c>
      <c r="B1252" s="1">
        <v>200.0</v>
      </c>
      <c r="C1252" s="1" t="s">
        <v>11228</v>
      </c>
      <c r="D1252" s="1" t="s">
        <v>583</v>
      </c>
      <c r="F1252" s="1">
        <v>0.0</v>
      </c>
      <c r="G1252" s="1">
        <v>122.0</v>
      </c>
      <c r="H1252" s="1">
        <v>0.0</v>
      </c>
      <c r="I1252" s="1">
        <v>45.61</v>
      </c>
    </row>
    <row r="1253">
      <c r="A1253" s="2" t="s">
        <v>11229</v>
      </c>
      <c r="B1253" s="1">
        <v>200.0</v>
      </c>
      <c r="C1253" s="1" t="s">
        <v>11230</v>
      </c>
      <c r="D1253" s="1" t="s">
        <v>583</v>
      </c>
      <c r="F1253" s="1">
        <v>0.0</v>
      </c>
      <c r="G1253" s="1">
        <v>8.0</v>
      </c>
      <c r="H1253" s="1">
        <v>0.0</v>
      </c>
      <c r="I1253" s="1">
        <v>31.38</v>
      </c>
    </row>
    <row r="1254">
      <c r="A1254" s="2" t="s">
        <v>11231</v>
      </c>
      <c r="B1254" s="1">
        <v>200.0</v>
      </c>
      <c r="C1254" s="1" t="s">
        <v>11232</v>
      </c>
      <c r="D1254" s="1" t="s">
        <v>583</v>
      </c>
      <c r="F1254" s="1">
        <v>0.0</v>
      </c>
      <c r="G1254" s="1">
        <v>66.0</v>
      </c>
      <c r="H1254" s="1">
        <v>0.0</v>
      </c>
      <c r="I1254" s="1">
        <v>25.52</v>
      </c>
    </row>
    <row r="1255">
      <c r="A1255" s="2" t="s">
        <v>11233</v>
      </c>
      <c r="B1255" s="1">
        <v>200.0</v>
      </c>
      <c r="C1255" s="1" t="s">
        <v>11234</v>
      </c>
      <c r="D1255" s="1" t="s">
        <v>583</v>
      </c>
      <c r="F1255" s="1">
        <v>0.0</v>
      </c>
      <c r="G1255" s="1">
        <v>81.0</v>
      </c>
      <c r="H1255" s="1">
        <v>0.0</v>
      </c>
      <c r="I1255" s="1">
        <v>34.63</v>
      </c>
    </row>
    <row r="1256">
      <c r="A1256" s="2" t="s">
        <v>11235</v>
      </c>
      <c r="B1256" s="1">
        <v>200.0</v>
      </c>
      <c r="C1256" s="1" t="s">
        <v>11236</v>
      </c>
      <c r="D1256" s="1" t="s">
        <v>583</v>
      </c>
      <c r="F1256" s="1">
        <v>0.0</v>
      </c>
      <c r="G1256" s="1">
        <v>29.0</v>
      </c>
      <c r="H1256" s="1">
        <v>0.0</v>
      </c>
      <c r="I1256" s="1">
        <v>47.72</v>
      </c>
    </row>
    <row r="1257">
      <c r="A1257" s="2" t="s">
        <v>11237</v>
      </c>
      <c r="B1257" s="1">
        <v>200.0</v>
      </c>
      <c r="C1257" s="1" t="s">
        <v>11238</v>
      </c>
      <c r="D1257" s="1" t="s">
        <v>583</v>
      </c>
      <c r="F1257" s="1">
        <v>0.0</v>
      </c>
      <c r="G1257" s="1">
        <v>56.0</v>
      </c>
      <c r="H1257" s="1">
        <v>0.0</v>
      </c>
      <c r="I1257" s="1">
        <v>24.63</v>
      </c>
    </row>
    <row r="1258">
      <c r="A1258" s="2" t="s">
        <v>11239</v>
      </c>
      <c r="B1258" s="1">
        <v>200.0</v>
      </c>
      <c r="C1258" s="1" t="s">
        <v>11240</v>
      </c>
      <c r="D1258" s="1" t="s">
        <v>583</v>
      </c>
      <c r="F1258" s="1">
        <v>0.0</v>
      </c>
      <c r="G1258" s="1">
        <v>200.0</v>
      </c>
      <c r="H1258" s="1">
        <v>0.0</v>
      </c>
      <c r="I1258" s="1">
        <v>27.32</v>
      </c>
    </row>
    <row r="1259">
      <c r="A1259" s="2" t="s">
        <v>11241</v>
      </c>
      <c r="B1259" s="1">
        <v>200.0</v>
      </c>
      <c r="C1259" s="1" t="s">
        <v>11242</v>
      </c>
      <c r="D1259" s="1" t="s">
        <v>583</v>
      </c>
      <c r="F1259" s="1">
        <v>0.0</v>
      </c>
      <c r="G1259" s="1">
        <v>25.0</v>
      </c>
      <c r="H1259" s="1">
        <v>0.0</v>
      </c>
      <c r="I1259" s="1">
        <v>21.16</v>
      </c>
    </row>
    <row r="1260">
      <c r="A1260" s="2" t="s">
        <v>11243</v>
      </c>
      <c r="B1260" s="1">
        <v>200.0</v>
      </c>
      <c r="C1260" s="1" t="s">
        <v>11244</v>
      </c>
      <c r="D1260" s="1" t="s">
        <v>583</v>
      </c>
      <c r="F1260" s="1">
        <v>0.0</v>
      </c>
      <c r="G1260" s="1">
        <v>59.0</v>
      </c>
      <c r="H1260" s="1">
        <v>0.0</v>
      </c>
      <c r="I1260" s="1">
        <v>31.9</v>
      </c>
    </row>
    <row r="1261">
      <c r="A1261" s="2" t="s">
        <v>11245</v>
      </c>
      <c r="B1261" s="1">
        <v>200.0</v>
      </c>
      <c r="C1261" s="1" t="s">
        <v>11246</v>
      </c>
      <c r="D1261" s="1" t="s">
        <v>583</v>
      </c>
      <c r="F1261" s="1">
        <v>0.0</v>
      </c>
      <c r="G1261" s="1">
        <v>22.0</v>
      </c>
      <c r="H1261" s="1">
        <v>0.0</v>
      </c>
      <c r="I1261" s="1">
        <v>22.36</v>
      </c>
    </row>
    <row r="1262">
      <c r="A1262" s="2" t="s">
        <v>11247</v>
      </c>
      <c r="B1262" s="1">
        <v>200.0</v>
      </c>
      <c r="C1262" s="1" t="s">
        <v>11248</v>
      </c>
      <c r="D1262" s="1" t="s">
        <v>583</v>
      </c>
      <c r="F1262" s="1">
        <v>0.0</v>
      </c>
      <c r="G1262" s="1">
        <v>14.0</v>
      </c>
      <c r="H1262" s="1">
        <v>0.0</v>
      </c>
      <c r="I1262" s="1">
        <v>26.07</v>
      </c>
    </row>
    <row r="1263">
      <c r="A1263" s="2" t="s">
        <v>11249</v>
      </c>
      <c r="B1263" s="1">
        <v>200.0</v>
      </c>
      <c r="C1263" s="1" t="s">
        <v>11250</v>
      </c>
      <c r="D1263" s="1" t="s">
        <v>583</v>
      </c>
      <c r="F1263" s="1">
        <v>0.0</v>
      </c>
      <c r="G1263" s="1">
        <v>16.0</v>
      </c>
      <c r="H1263" s="1">
        <v>0.0</v>
      </c>
      <c r="I1263" s="1">
        <v>17.88</v>
      </c>
    </row>
    <row r="1264">
      <c r="A1264" s="2" t="s">
        <v>11251</v>
      </c>
      <c r="B1264" s="1">
        <v>200.0</v>
      </c>
      <c r="C1264" s="1" t="s">
        <v>11252</v>
      </c>
      <c r="D1264" s="1" t="s">
        <v>583</v>
      </c>
      <c r="F1264" s="1">
        <v>0.0</v>
      </c>
      <c r="G1264" s="1">
        <v>24.0</v>
      </c>
      <c r="H1264" s="1">
        <v>0.0</v>
      </c>
      <c r="I1264" s="1">
        <v>29.46</v>
      </c>
    </row>
    <row r="1265">
      <c r="A1265" s="2" t="s">
        <v>11253</v>
      </c>
      <c r="B1265" s="1">
        <v>200.0</v>
      </c>
      <c r="C1265" s="1" t="s">
        <v>11254</v>
      </c>
      <c r="D1265" s="1" t="s">
        <v>583</v>
      </c>
      <c r="F1265" s="1">
        <v>0.0</v>
      </c>
      <c r="G1265" s="1">
        <v>38.0</v>
      </c>
      <c r="H1265" s="1">
        <v>0.0</v>
      </c>
      <c r="I1265" s="1">
        <v>9.53</v>
      </c>
    </row>
    <row r="1266">
      <c r="A1266" s="2" t="s">
        <v>11255</v>
      </c>
      <c r="B1266" s="1">
        <v>200.0</v>
      </c>
      <c r="C1266" s="1" t="s">
        <v>11256</v>
      </c>
      <c r="D1266" s="1" t="s">
        <v>583</v>
      </c>
      <c r="F1266" s="1">
        <v>4.0</v>
      </c>
      <c r="G1266" s="1">
        <v>96.0</v>
      </c>
      <c r="H1266" s="1">
        <v>0.042</v>
      </c>
      <c r="I1266" s="1">
        <v>9.86</v>
      </c>
    </row>
    <row r="1267">
      <c r="A1267" s="2" t="s">
        <v>11257</v>
      </c>
      <c r="B1267" s="1">
        <v>200.0</v>
      </c>
      <c r="C1267" s="1" t="s">
        <v>11258</v>
      </c>
      <c r="D1267" s="1" t="s">
        <v>583</v>
      </c>
      <c r="F1267" s="1">
        <v>0.0</v>
      </c>
      <c r="G1267" s="1">
        <v>20.0</v>
      </c>
      <c r="H1267" s="1">
        <v>0.0</v>
      </c>
      <c r="I1267" s="1">
        <v>42.55</v>
      </c>
    </row>
    <row r="1268">
      <c r="A1268" s="2" t="s">
        <v>11259</v>
      </c>
      <c r="B1268" s="1">
        <v>200.0</v>
      </c>
      <c r="C1268" s="1" t="s">
        <v>11260</v>
      </c>
      <c r="D1268" s="1" t="s">
        <v>583</v>
      </c>
      <c r="F1268" s="1">
        <v>54.0</v>
      </c>
      <c r="G1268" s="1">
        <v>1544.0</v>
      </c>
      <c r="H1268" s="1">
        <v>0.035</v>
      </c>
      <c r="I1268" s="1">
        <v>4.83</v>
      </c>
    </row>
    <row r="1269">
      <c r="A1269" s="2" t="s">
        <v>11261</v>
      </c>
      <c r="B1269" s="1">
        <v>200.0</v>
      </c>
      <c r="C1269" s="1" t="s">
        <v>11262</v>
      </c>
      <c r="D1269" s="1" t="s">
        <v>583</v>
      </c>
      <c r="F1269" s="1">
        <v>0.0</v>
      </c>
      <c r="G1269" s="1">
        <v>3.0</v>
      </c>
      <c r="H1269" s="1">
        <v>0.0</v>
      </c>
      <c r="I1269" s="1">
        <v>9.0</v>
      </c>
    </row>
    <row r="1270">
      <c r="A1270" s="2" t="s">
        <v>11263</v>
      </c>
      <c r="B1270" s="1">
        <v>200.0</v>
      </c>
      <c r="C1270" s="1" t="s">
        <v>11264</v>
      </c>
      <c r="D1270" s="1" t="s">
        <v>583</v>
      </c>
      <c r="F1270" s="1">
        <v>0.0</v>
      </c>
      <c r="G1270" s="1">
        <v>11.0</v>
      </c>
      <c r="H1270" s="1">
        <v>0.0</v>
      </c>
      <c r="I1270" s="1">
        <v>8.27</v>
      </c>
    </row>
    <row r="1271">
      <c r="A1271" s="2" t="s">
        <v>11265</v>
      </c>
      <c r="B1271" s="1">
        <v>200.0</v>
      </c>
      <c r="C1271" s="1" t="s">
        <v>11266</v>
      </c>
      <c r="D1271" s="1" t="s">
        <v>583</v>
      </c>
      <c r="F1271" s="1">
        <v>0.0</v>
      </c>
      <c r="G1271" s="1">
        <v>83.0</v>
      </c>
      <c r="H1271" s="1">
        <v>0.0</v>
      </c>
      <c r="I1271" s="1">
        <v>28.83</v>
      </c>
    </row>
    <row r="1272">
      <c r="A1272" s="2" t="s">
        <v>11267</v>
      </c>
      <c r="B1272" s="1">
        <v>301.0</v>
      </c>
      <c r="D1272" s="1" t="s">
        <v>609</v>
      </c>
      <c r="E1272" s="1" t="s">
        <v>610</v>
      </c>
    </row>
    <row r="1273">
      <c r="A1273" s="2" t="s">
        <v>11268</v>
      </c>
      <c r="B1273" s="1">
        <v>200.0</v>
      </c>
      <c r="C1273" s="1" t="s">
        <v>11269</v>
      </c>
      <c r="D1273" s="1" t="s">
        <v>583</v>
      </c>
      <c r="F1273" s="1">
        <v>0.0</v>
      </c>
      <c r="G1273" s="1">
        <v>4.0</v>
      </c>
      <c r="H1273" s="1">
        <v>0.0</v>
      </c>
      <c r="I1273" s="1">
        <v>4.25</v>
      </c>
    </row>
    <row r="1274">
      <c r="A1274" s="2" t="s">
        <v>11270</v>
      </c>
      <c r="B1274" s="1">
        <v>200.0</v>
      </c>
      <c r="C1274" s="1" t="s">
        <v>11271</v>
      </c>
      <c r="D1274" s="1" t="s">
        <v>583</v>
      </c>
      <c r="F1274" s="1">
        <v>0.0</v>
      </c>
      <c r="G1274" s="1">
        <v>10.0</v>
      </c>
      <c r="H1274" s="1">
        <v>0.0</v>
      </c>
      <c r="I1274" s="1">
        <v>8.9</v>
      </c>
    </row>
    <row r="1275">
      <c r="A1275" s="2" t="s">
        <v>11272</v>
      </c>
      <c r="B1275" s="1">
        <v>200.0</v>
      </c>
      <c r="C1275" s="1" t="s">
        <v>11273</v>
      </c>
      <c r="D1275" s="1" t="s">
        <v>583</v>
      </c>
      <c r="F1275" s="1">
        <v>0.0</v>
      </c>
      <c r="G1275" s="1">
        <v>14.0</v>
      </c>
      <c r="H1275" s="1">
        <v>0.0</v>
      </c>
      <c r="I1275" s="1">
        <v>18.64</v>
      </c>
    </row>
    <row r="1276">
      <c r="A1276" s="2" t="s">
        <v>11274</v>
      </c>
      <c r="B1276" s="1">
        <v>200.0</v>
      </c>
      <c r="C1276" s="1" t="s">
        <v>11275</v>
      </c>
      <c r="D1276" s="1" t="s">
        <v>583</v>
      </c>
      <c r="F1276" s="1">
        <v>0.0</v>
      </c>
      <c r="G1276" s="1">
        <v>100.0</v>
      </c>
      <c r="H1276" s="1">
        <v>0.0</v>
      </c>
      <c r="I1276" s="1">
        <v>69.64</v>
      </c>
    </row>
    <row r="1277">
      <c r="A1277" s="2" t="s">
        <v>11276</v>
      </c>
      <c r="B1277" s="1">
        <v>200.0</v>
      </c>
      <c r="C1277" s="1" t="s">
        <v>11277</v>
      </c>
      <c r="D1277" s="1" t="s">
        <v>583</v>
      </c>
      <c r="F1277" s="1">
        <v>0.0</v>
      </c>
      <c r="G1277" s="1">
        <v>5.0</v>
      </c>
      <c r="H1277" s="1">
        <v>0.0</v>
      </c>
      <c r="I1277" s="1">
        <v>60.8</v>
      </c>
    </row>
    <row r="1278">
      <c r="A1278" s="2" t="s">
        <v>11278</v>
      </c>
      <c r="B1278" s="1">
        <v>200.0</v>
      </c>
      <c r="C1278" s="1" t="s">
        <v>11279</v>
      </c>
      <c r="D1278" s="1" t="s">
        <v>583</v>
      </c>
    </row>
    <row r="1279">
      <c r="A1279" s="2" t="s">
        <v>11280</v>
      </c>
      <c r="B1279" s="1">
        <v>200.0</v>
      </c>
      <c r="C1279" s="1" t="s">
        <v>11281</v>
      </c>
      <c r="D1279" s="1" t="s">
        <v>583</v>
      </c>
      <c r="F1279" s="1">
        <v>0.0</v>
      </c>
      <c r="G1279" s="1">
        <v>33.0</v>
      </c>
      <c r="H1279" s="1">
        <v>0.0</v>
      </c>
      <c r="I1279" s="1">
        <v>65.27</v>
      </c>
    </row>
    <row r="1280">
      <c r="A1280" s="2" t="s">
        <v>11282</v>
      </c>
      <c r="B1280" s="1">
        <v>200.0</v>
      </c>
      <c r="C1280" s="1" t="s">
        <v>11283</v>
      </c>
      <c r="D1280" s="1" t="s">
        <v>583</v>
      </c>
      <c r="F1280" s="1">
        <v>0.0</v>
      </c>
      <c r="G1280" s="1">
        <v>46.0</v>
      </c>
      <c r="H1280" s="1">
        <v>0.0</v>
      </c>
      <c r="I1280" s="1">
        <v>8.22</v>
      </c>
    </row>
    <row r="1281">
      <c r="A1281" s="2" t="s">
        <v>11284</v>
      </c>
      <c r="B1281" s="1">
        <v>301.0</v>
      </c>
      <c r="D1281" s="1" t="s">
        <v>609</v>
      </c>
      <c r="E1281" s="1" t="s">
        <v>610</v>
      </c>
    </row>
    <row r="1282">
      <c r="A1282" s="2" t="s">
        <v>11285</v>
      </c>
      <c r="B1282" s="1">
        <v>200.0</v>
      </c>
      <c r="C1282" s="1" t="s">
        <v>11286</v>
      </c>
      <c r="D1282" s="1" t="s">
        <v>583</v>
      </c>
      <c r="F1282" s="1">
        <v>0.0</v>
      </c>
      <c r="G1282" s="1">
        <v>130.0</v>
      </c>
      <c r="H1282" s="1">
        <v>0.0</v>
      </c>
      <c r="I1282" s="1">
        <v>43.53</v>
      </c>
    </row>
    <row r="1283">
      <c r="A1283" s="2" t="s">
        <v>11287</v>
      </c>
      <c r="B1283" s="1">
        <v>200.0</v>
      </c>
      <c r="C1283" s="1" t="s">
        <v>11288</v>
      </c>
      <c r="D1283" s="1" t="s">
        <v>583</v>
      </c>
      <c r="F1283" s="1">
        <v>1.0</v>
      </c>
      <c r="G1283" s="1">
        <v>26.0</v>
      </c>
      <c r="H1283" s="1">
        <v>0.038</v>
      </c>
      <c r="I1283" s="1">
        <v>14.73</v>
      </c>
    </row>
    <row r="1284">
      <c r="A1284" s="2" t="s">
        <v>11289</v>
      </c>
      <c r="B1284" s="1">
        <v>200.0</v>
      </c>
      <c r="C1284" s="1" t="s">
        <v>11290</v>
      </c>
      <c r="D1284" s="1" t="s">
        <v>583</v>
      </c>
      <c r="F1284" s="1">
        <v>16.0</v>
      </c>
      <c r="G1284" s="1">
        <v>1520.0</v>
      </c>
      <c r="H1284" s="1">
        <v>0.011</v>
      </c>
      <c r="I1284" s="1">
        <v>8.36</v>
      </c>
    </row>
    <row r="1285">
      <c r="A1285" s="2" t="s">
        <v>11291</v>
      </c>
      <c r="B1285" s="1">
        <v>200.0</v>
      </c>
      <c r="C1285" s="1" t="s">
        <v>9043</v>
      </c>
      <c r="D1285" s="1" t="s">
        <v>609</v>
      </c>
      <c r="E1285" s="1" t="s">
        <v>631</v>
      </c>
    </row>
    <row r="1286">
      <c r="A1286" s="2" t="s">
        <v>11292</v>
      </c>
      <c r="B1286" s="1">
        <v>200.0</v>
      </c>
      <c r="C1286" s="1" t="s">
        <v>9043</v>
      </c>
      <c r="D1286" s="1" t="s">
        <v>609</v>
      </c>
      <c r="E1286" s="1" t="s">
        <v>631</v>
      </c>
    </row>
    <row r="1287">
      <c r="A1287" s="2" t="s">
        <v>11293</v>
      </c>
      <c r="B1287" s="1">
        <v>200.0</v>
      </c>
      <c r="C1287" s="1" t="s">
        <v>11294</v>
      </c>
      <c r="D1287" s="1" t="s">
        <v>583</v>
      </c>
      <c r="F1287" s="1">
        <v>1.0</v>
      </c>
      <c r="G1287" s="1">
        <v>97.0</v>
      </c>
      <c r="H1287" s="1">
        <v>0.01</v>
      </c>
      <c r="I1287" s="1">
        <v>13.03</v>
      </c>
    </row>
    <row r="1288">
      <c r="A1288" s="2" t="s">
        <v>11295</v>
      </c>
      <c r="B1288" s="1">
        <v>301.0</v>
      </c>
      <c r="D1288" s="1" t="s">
        <v>609</v>
      </c>
      <c r="E1288" s="1" t="s">
        <v>610</v>
      </c>
    </row>
    <row r="1289">
      <c r="A1289" s="2" t="s">
        <v>11296</v>
      </c>
      <c r="B1289" s="1">
        <v>200.0</v>
      </c>
      <c r="C1289" s="1" t="s">
        <v>11297</v>
      </c>
      <c r="D1289" s="1" t="s">
        <v>583</v>
      </c>
      <c r="F1289" s="1">
        <v>0.0</v>
      </c>
      <c r="G1289" s="1">
        <v>21.0</v>
      </c>
      <c r="H1289" s="1">
        <v>0.0</v>
      </c>
      <c r="I1289" s="1">
        <v>14.57</v>
      </c>
    </row>
    <row r="1290">
      <c r="A1290" s="2" t="s">
        <v>11298</v>
      </c>
      <c r="B1290" s="1">
        <v>200.0</v>
      </c>
      <c r="C1290" s="1" t="s">
        <v>9043</v>
      </c>
      <c r="D1290" s="1" t="s">
        <v>609</v>
      </c>
      <c r="E1290" s="1" t="s">
        <v>631</v>
      </c>
      <c r="F1290" s="1">
        <v>0.0</v>
      </c>
      <c r="G1290" s="1">
        <v>2.0</v>
      </c>
      <c r="H1290" s="1">
        <v>0.0</v>
      </c>
      <c r="I1290" s="1">
        <v>75.0</v>
      </c>
    </row>
    <row r="1291">
      <c r="A1291" s="2" t="s">
        <v>11299</v>
      </c>
      <c r="B1291" s="1">
        <v>301.0</v>
      </c>
      <c r="D1291" s="1" t="s">
        <v>609</v>
      </c>
      <c r="E1291" s="1" t="s">
        <v>610</v>
      </c>
    </row>
    <row r="1292">
      <c r="A1292" s="2" t="s">
        <v>11300</v>
      </c>
      <c r="B1292" s="1">
        <v>200.0</v>
      </c>
      <c r="C1292" s="1" t="s">
        <v>9058</v>
      </c>
      <c r="D1292" s="1" t="s">
        <v>609</v>
      </c>
      <c r="E1292" s="1" t="s">
        <v>631</v>
      </c>
    </row>
    <row r="1293">
      <c r="A1293" s="2" t="s">
        <v>11301</v>
      </c>
      <c r="B1293" s="1">
        <v>200.0</v>
      </c>
      <c r="C1293" s="1" t="s">
        <v>9058</v>
      </c>
      <c r="D1293" s="1" t="s">
        <v>609</v>
      </c>
      <c r="E1293" s="1" t="s">
        <v>631</v>
      </c>
    </row>
    <row r="1294">
      <c r="A1294" s="2" t="s">
        <v>11302</v>
      </c>
      <c r="B1294" s="1">
        <v>200.0</v>
      </c>
      <c r="C1294" s="1" t="s">
        <v>11303</v>
      </c>
      <c r="D1294" s="1" t="s">
        <v>583</v>
      </c>
      <c r="F1294" s="1">
        <v>0.0</v>
      </c>
      <c r="G1294" s="1">
        <v>80.0</v>
      </c>
      <c r="H1294" s="1">
        <v>0.0</v>
      </c>
      <c r="I1294" s="1">
        <v>52.41</v>
      </c>
    </row>
    <row r="1295">
      <c r="A1295" s="2" t="s">
        <v>11304</v>
      </c>
      <c r="B1295" s="1">
        <v>200.0</v>
      </c>
      <c r="C1295" s="1" t="s">
        <v>11305</v>
      </c>
      <c r="D1295" s="1" t="s">
        <v>583</v>
      </c>
      <c r="F1295" s="1">
        <v>0.0</v>
      </c>
      <c r="G1295" s="1">
        <v>126.0</v>
      </c>
      <c r="H1295" s="1">
        <v>0.0</v>
      </c>
      <c r="I1295" s="1">
        <v>61.59</v>
      </c>
    </row>
    <row r="1296">
      <c r="A1296" s="2" t="s">
        <v>11306</v>
      </c>
      <c r="B1296" s="1">
        <v>200.0</v>
      </c>
      <c r="C1296" s="1" t="s">
        <v>9058</v>
      </c>
      <c r="D1296" s="1" t="s">
        <v>609</v>
      </c>
      <c r="E1296" s="1" t="s">
        <v>631</v>
      </c>
    </row>
    <row r="1297">
      <c r="A1297" s="2" t="s">
        <v>11307</v>
      </c>
      <c r="B1297" s="1">
        <v>200.0</v>
      </c>
      <c r="C1297" s="1" t="s">
        <v>11308</v>
      </c>
      <c r="D1297" s="1" t="s">
        <v>583</v>
      </c>
      <c r="F1297" s="1">
        <v>0.0</v>
      </c>
      <c r="G1297" s="1">
        <v>44.0</v>
      </c>
      <c r="H1297" s="1">
        <v>0.0</v>
      </c>
      <c r="I1297" s="1">
        <v>40.32</v>
      </c>
    </row>
    <row r="1298">
      <c r="A1298" s="2" t="s">
        <v>11309</v>
      </c>
      <c r="B1298" s="1">
        <v>200.0</v>
      </c>
      <c r="C1298" s="1" t="s">
        <v>11310</v>
      </c>
      <c r="D1298" s="1" t="s">
        <v>583</v>
      </c>
      <c r="F1298" s="1">
        <v>0.0</v>
      </c>
      <c r="G1298" s="1">
        <v>72.0</v>
      </c>
      <c r="H1298" s="1">
        <v>0.0</v>
      </c>
      <c r="I1298" s="1">
        <v>16.04</v>
      </c>
    </row>
    <row r="1299">
      <c r="A1299" s="2" t="s">
        <v>11311</v>
      </c>
      <c r="B1299" s="1">
        <v>200.0</v>
      </c>
      <c r="C1299" s="1" t="s">
        <v>11312</v>
      </c>
      <c r="D1299" s="1" t="s">
        <v>583</v>
      </c>
      <c r="F1299" s="1">
        <v>0.0</v>
      </c>
      <c r="G1299" s="1">
        <v>16.0</v>
      </c>
      <c r="H1299" s="1">
        <v>0.0</v>
      </c>
      <c r="I1299" s="1">
        <v>50.06</v>
      </c>
    </row>
    <row r="1300">
      <c r="A1300" s="2" t="s">
        <v>11313</v>
      </c>
      <c r="B1300" s="1">
        <v>200.0</v>
      </c>
      <c r="C1300" s="1" t="s">
        <v>11314</v>
      </c>
      <c r="D1300" s="1" t="s">
        <v>583</v>
      </c>
      <c r="F1300" s="1">
        <v>0.0</v>
      </c>
      <c r="G1300" s="1">
        <v>116.0</v>
      </c>
      <c r="H1300" s="1">
        <v>0.0</v>
      </c>
      <c r="I1300" s="1">
        <v>66.84</v>
      </c>
    </row>
    <row r="1301">
      <c r="A1301" s="2" t="s">
        <v>11315</v>
      </c>
      <c r="B1301" s="1">
        <v>200.0</v>
      </c>
      <c r="C1301" s="1" t="s">
        <v>11316</v>
      </c>
      <c r="D1301" s="1" t="s">
        <v>583</v>
      </c>
      <c r="F1301" s="1">
        <v>0.0</v>
      </c>
      <c r="G1301" s="1">
        <v>35.0</v>
      </c>
      <c r="H1301" s="1">
        <v>0.0</v>
      </c>
      <c r="I1301" s="1">
        <v>37.34</v>
      </c>
    </row>
    <row r="1302">
      <c r="A1302" s="2" t="s">
        <v>11317</v>
      </c>
      <c r="B1302" s="1">
        <v>200.0</v>
      </c>
      <c r="C1302" s="1" t="s">
        <v>11318</v>
      </c>
      <c r="D1302" s="1" t="s">
        <v>583</v>
      </c>
      <c r="F1302" s="1">
        <v>0.0</v>
      </c>
      <c r="G1302" s="1">
        <v>302.0</v>
      </c>
      <c r="H1302" s="1">
        <v>0.0</v>
      </c>
      <c r="I1302" s="1">
        <v>50.07</v>
      </c>
    </row>
    <row r="1303">
      <c r="A1303" s="2" t="s">
        <v>11319</v>
      </c>
      <c r="B1303" s="1">
        <v>200.0</v>
      </c>
      <c r="C1303" s="1" t="s">
        <v>11320</v>
      </c>
      <c r="D1303" s="1" t="s">
        <v>583</v>
      </c>
      <c r="F1303" s="1">
        <v>1.0</v>
      </c>
      <c r="G1303" s="1">
        <v>92.0</v>
      </c>
      <c r="H1303" s="1">
        <v>0.011</v>
      </c>
      <c r="I1303" s="1">
        <v>13.58</v>
      </c>
    </row>
    <row r="1304">
      <c r="A1304" s="2" t="s">
        <v>11321</v>
      </c>
      <c r="B1304" s="1">
        <v>200.0</v>
      </c>
      <c r="C1304" s="1" t="s">
        <v>11322</v>
      </c>
      <c r="D1304" s="1" t="s">
        <v>583</v>
      </c>
      <c r="F1304" s="1">
        <v>0.0</v>
      </c>
      <c r="G1304" s="1">
        <v>39.0</v>
      </c>
      <c r="H1304" s="1">
        <v>0.0</v>
      </c>
      <c r="I1304" s="1">
        <v>40.46</v>
      </c>
    </row>
    <row r="1305">
      <c r="A1305" s="2" t="s">
        <v>11323</v>
      </c>
      <c r="B1305" s="1">
        <v>200.0</v>
      </c>
      <c r="C1305" s="1" t="s">
        <v>11324</v>
      </c>
      <c r="D1305" s="1" t="s">
        <v>583</v>
      </c>
      <c r="F1305" s="1">
        <v>0.0</v>
      </c>
      <c r="G1305" s="1">
        <v>66.0</v>
      </c>
      <c r="H1305" s="1">
        <v>0.0</v>
      </c>
      <c r="I1305" s="1">
        <v>30.91</v>
      </c>
    </row>
    <row r="1306">
      <c r="A1306" s="2" t="s">
        <v>11325</v>
      </c>
      <c r="B1306" s="1">
        <v>200.0</v>
      </c>
      <c r="C1306" s="1" t="s">
        <v>11326</v>
      </c>
      <c r="D1306" s="1" t="s">
        <v>583</v>
      </c>
      <c r="F1306" s="1">
        <v>0.0</v>
      </c>
      <c r="G1306" s="1">
        <v>297.0</v>
      </c>
      <c r="H1306" s="1">
        <v>0.0</v>
      </c>
      <c r="I1306" s="1">
        <v>20.15</v>
      </c>
    </row>
    <row r="1307">
      <c r="A1307" s="2" t="s">
        <v>11327</v>
      </c>
      <c r="B1307" s="1">
        <v>200.0</v>
      </c>
      <c r="C1307" s="1" t="s">
        <v>11328</v>
      </c>
      <c r="D1307" s="1" t="s">
        <v>583</v>
      </c>
      <c r="F1307" s="1">
        <v>0.0</v>
      </c>
      <c r="G1307" s="1">
        <v>239.0</v>
      </c>
      <c r="H1307" s="1">
        <v>0.0</v>
      </c>
      <c r="I1307" s="1">
        <v>52.65</v>
      </c>
    </row>
    <row r="1308">
      <c r="A1308" s="2" t="s">
        <v>11329</v>
      </c>
      <c r="B1308" s="1">
        <v>200.0</v>
      </c>
      <c r="C1308" s="1" t="s">
        <v>11330</v>
      </c>
      <c r="D1308" s="1" t="s">
        <v>583</v>
      </c>
      <c r="F1308" s="1">
        <v>1.0</v>
      </c>
      <c r="G1308" s="1">
        <v>155.0</v>
      </c>
      <c r="H1308" s="1">
        <v>0.006</v>
      </c>
      <c r="I1308" s="1">
        <v>27.37</v>
      </c>
    </row>
    <row r="1309">
      <c r="A1309" s="2" t="s">
        <v>11331</v>
      </c>
      <c r="B1309" s="1">
        <v>200.0</v>
      </c>
      <c r="C1309" s="1" t="s">
        <v>11332</v>
      </c>
      <c r="D1309" s="1" t="s">
        <v>583</v>
      </c>
      <c r="F1309" s="1">
        <v>0.0</v>
      </c>
      <c r="G1309" s="1">
        <v>80.0</v>
      </c>
      <c r="H1309" s="1">
        <v>0.0</v>
      </c>
      <c r="I1309" s="1">
        <v>7.09</v>
      </c>
    </row>
    <row r="1310">
      <c r="A1310" s="2" t="s">
        <v>11333</v>
      </c>
      <c r="B1310" s="1">
        <v>200.0</v>
      </c>
      <c r="C1310" s="1" t="s">
        <v>11334</v>
      </c>
      <c r="D1310" s="1" t="s">
        <v>583</v>
      </c>
      <c r="F1310" s="1">
        <v>0.0</v>
      </c>
      <c r="G1310" s="1">
        <v>418.0</v>
      </c>
      <c r="H1310" s="1">
        <v>0.0</v>
      </c>
      <c r="I1310" s="1">
        <v>25.95</v>
      </c>
    </row>
    <row r="1311">
      <c r="A1311" s="2" t="s">
        <v>11335</v>
      </c>
      <c r="B1311" s="1">
        <v>200.0</v>
      </c>
      <c r="C1311" s="1" t="s">
        <v>9045</v>
      </c>
      <c r="D1311" s="1" t="s">
        <v>609</v>
      </c>
      <c r="E1311" s="1" t="s">
        <v>631</v>
      </c>
      <c r="F1311" s="1">
        <v>0.0</v>
      </c>
      <c r="G1311" s="1">
        <v>80.0</v>
      </c>
      <c r="H1311" s="1">
        <v>0.0</v>
      </c>
      <c r="I1311" s="1">
        <v>36.94</v>
      </c>
    </row>
    <row r="1312">
      <c r="A1312" s="2" t="s">
        <v>11336</v>
      </c>
      <c r="B1312" s="1">
        <v>200.0</v>
      </c>
      <c r="C1312" s="1" t="s">
        <v>11337</v>
      </c>
      <c r="D1312" s="1" t="s">
        <v>583</v>
      </c>
      <c r="F1312" s="1">
        <v>3.0</v>
      </c>
      <c r="G1312" s="1">
        <v>2015.0</v>
      </c>
      <c r="H1312" s="1">
        <v>0.002</v>
      </c>
      <c r="I1312" s="1">
        <v>42.4</v>
      </c>
    </row>
    <row r="1313">
      <c r="A1313" s="2" t="s">
        <v>11338</v>
      </c>
      <c r="B1313" s="1">
        <v>200.0</v>
      </c>
      <c r="C1313" s="1" t="s">
        <v>11339</v>
      </c>
      <c r="D1313" s="1" t="s">
        <v>583</v>
      </c>
      <c r="F1313" s="1">
        <v>0.0</v>
      </c>
      <c r="G1313" s="1">
        <v>58.0</v>
      </c>
      <c r="H1313" s="1">
        <v>0.0</v>
      </c>
      <c r="I1313" s="1">
        <v>51.72</v>
      </c>
    </row>
    <row r="1314">
      <c r="A1314" s="2" t="s">
        <v>11340</v>
      </c>
      <c r="B1314" s="1">
        <v>200.0</v>
      </c>
      <c r="C1314" s="1" t="s">
        <v>9043</v>
      </c>
      <c r="D1314" s="1" t="s">
        <v>609</v>
      </c>
      <c r="E1314" s="1" t="s">
        <v>631</v>
      </c>
    </row>
    <row r="1315">
      <c r="A1315" s="2" t="s">
        <v>11341</v>
      </c>
      <c r="B1315" s="1">
        <v>200.0</v>
      </c>
      <c r="C1315" s="1" t="s">
        <v>9058</v>
      </c>
      <c r="D1315" s="1" t="s">
        <v>609</v>
      </c>
      <c r="E1315" s="1" t="s">
        <v>631</v>
      </c>
      <c r="F1315" s="1">
        <v>0.0</v>
      </c>
      <c r="G1315" s="1">
        <v>3.0</v>
      </c>
      <c r="H1315" s="1">
        <v>0.0</v>
      </c>
      <c r="I1315" s="1">
        <v>3.33</v>
      </c>
    </row>
    <row r="1316">
      <c r="A1316" s="2" t="s">
        <v>11342</v>
      </c>
      <c r="B1316" s="1">
        <v>200.0</v>
      </c>
      <c r="C1316" s="1" t="s">
        <v>11343</v>
      </c>
      <c r="D1316" s="1" t="s">
        <v>583</v>
      </c>
      <c r="F1316" s="1">
        <v>2.0</v>
      </c>
      <c r="G1316" s="1">
        <v>55.0</v>
      </c>
      <c r="H1316" s="1">
        <v>0.036</v>
      </c>
      <c r="I1316" s="1">
        <v>11.4</v>
      </c>
    </row>
    <row r="1317">
      <c r="A1317" s="2" t="s">
        <v>11344</v>
      </c>
      <c r="B1317" s="1">
        <v>200.0</v>
      </c>
      <c r="C1317" s="1" t="s">
        <v>11345</v>
      </c>
      <c r="D1317" s="1" t="s">
        <v>583</v>
      </c>
      <c r="F1317" s="1">
        <v>0.0</v>
      </c>
      <c r="G1317" s="1">
        <v>88.0</v>
      </c>
      <c r="H1317" s="1">
        <v>0.0</v>
      </c>
      <c r="I1317" s="1">
        <v>8.76</v>
      </c>
    </row>
    <row r="1318">
      <c r="A1318" s="2" t="s">
        <v>11346</v>
      </c>
      <c r="B1318" s="1">
        <v>301.0</v>
      </c>
      <c r="D1318" s="1" t="s">
        <v>609</v>
      </c>
      <c r="E1318" s="1" t="s">
        <v>610</v>
      </c>
      <c r="F1318" s="1">
        <v>26.0</v>
      </c>
      <c r="G1318" s="1">
        <v>10394.0</v>
      </c>
      <c r="H1318" s="1">
        <v>0.003</v>
      </c>
      <c r="I1318" s="1">
        <v>26.58</v>
      </c>
    </row>
    <row r="1319">
      <c r="A1319" s="2" t="s">
        <v>11347</v>
      </c>
      <c r="B1319" s="1">
        <v>200.0</v>
      </c>
      <c r="C1319" s="1" t="s">
        <v>11348</v>
      </c>
      <c r="D1319" s="1" t="s">
        <v>583</v>
      </c>
      <c r="F1319" s="1">
        <v>2.0</v>
      </c>
      <c r="G1319" s="1">
        <v>221.0</v>
      </c>
      <c r="H1319" s="1">
        <v>0.009</v>
      </c>
      <c r="I1319" s="1">
        <v>2.64</v>
      </c>
    </row>
    <row r="1320">
      <c r="A1320" s="2" t="s">
        <v>11349</v>
      </c>
      <c r="B1320" s="1">
        <v>200.0</v>
      </c>
      <c r="C1320" s="1" t="s">
        <v>9070</v>
      </c>
      <c r="D1320" s="1" t="s">
        <v>609</v>
      </c>
      <c r="E1320" s="1" t="s">
        <v>631</v>
      </c>
      <c r="F1320" s="1">
        <v>0.0</v>
      </c>
      <c r="G1320" s="1">
        <v>2.0</v>
      </c>
      <c r="H1320" s="1">
        <v>0.0</v>
      </c>
      <c r="I1320" s="1">
        <v>5.0</v>
      </c>
    </row>
    <row r="1321">
      <c r="A1321" s="2" t="s">
        <v>11350</v>
      </c>
      <c r="B1321" s="1">
        <v>301.0</v>
      </c>
      <c r="D1321" s="1" t="s">
        <v>609</v>
      </c>
      <c r="E1321" s="1" t="s">
        <v>610</v>
      </c>
    </row>
    <row r="1322">
      <c r="A1322" s="2" t="s">
        <v>11351</v>
      </c>
      <c r="B1322" s="1">
        <v>200.0</v>
      </c>
      <c r="C1322" s="1" t="s">
        <v>9070</v>
      </c>
      <c r="D1322" s="1" t="s">
        <v>609</v>
      </c>
      <c r="E1322" s="1" t="s">
        <v>631</v>
      </c>
    </row>
    <row r="1323">
      <c r="A1323" s="2" t="s">
        <v>11352</v>
      </c>
      <c r="B1323" s="1">
        <v>200.0</v>
      </c>
      <c r="C1323" s="1" t="s">
        <v>9070</v>
      </c>
      <c r="D1323" s="1" t="s">
        <v>609</v>
      </c>
      <c r="E1323" s="1" t="s">
        <v>631</v>
      </c>
    </row>
    <row r="1324">
      <c r="A1324" s="2" t="s">
        <v>11353</v>
      </c>
      <c r="B1324" s="1">
        <v>200.0</v>
      </c>
      <c r="C1324" s="1" t="s">
        <v>11354</v>
      </c>
      <c r="D1324" s="1" t="s">
        <v>583</v>
      </c>
      <c r="F1324" s="1">
        <v>0.0</v>
      </c>
      <c r="G1324" s="1">
        <v>41.0</v>
      </c>
      <c r="H1324" s="1">
        <v>0.0</v>
      </c>
      <c r="I1324" s="1">
        <v>7.73</v>
      </c>
    </row>
    <row r="1325">
      <c r="A1325" s="2" t="s">
        <v>11355</v>
      </c>
      <c r="B1325" s="1">
        <v>200.0</v>
      </c>
      <c r="C1325" s="1" t="s">
        <v>11356</v>
      </c>
      <c r="D1325" s="1" t="s">
        <v>583</v>
      </c>
      <c r="F1325" s="1">
        <v>11.0</v>
      </c>
      <c r="G1325" s="1">
        <v>1483.0</v>
      </c>
      <c r="H1325" s="1">
        <v>0.007</v>
      </c>
      <c r="I1325" s="1">
        <v>15.2</v>
      </c>
    </row>
    <row r="1326">
      <c r="A1326" s="2" t="s">
        <v>11357</v>
      </c>
      <c r="B1326" s="1">
        <v>200.0</v>
      </c>
      <c r="C1326" s="1" t="s">
        <v>11358</v>
      </c>
      <c r="D1326" s="1" t="s">
        <v>583</v>
      </c>
      <c r="F1326" s="1">
        <v>19.0</v>
      </c>
      <c r="G1326" s="1">
        <v>1607.0</v>
      </c>
      <c r="H1326" s="1">
        <v>0.012</v>
      </c>
      <c r="I1326" s="1">
        <v>21.42</v>
      </c>
    </row>
    <row r="1327">
      <c r="A1327" s="2" t="s">
        <v>11359</v>
      </c>
      <c r="B1327" s="1">
        <v>200.0</v>
      </c>
      <c r="C1327" s="1" t="s">
        <v>11360</v>
      </c>
      <c r="D1327" s="1" t="s">
        <v>583</v>
      </c>
      <c r="F1327" s="1">
        <v>8.0</v>
      </c>
      <c r="G1327" s="1">
        <v>607.0</v>
      </c>
      <c r="H1327" s="1">
        <v>0.013</v>
      </c>
      <c r="I1327" s="1">
        <v>11.52</v>
      </c>
    </row>
    <row r="1328">
      <c r="A1328" s="2" t="s">
        <v>11361</v>
      </c>
      <c r="B1328" s="1">
        <v>200.0</v>
      </c>
      <c r="C1328" s="1" t="s">
        <v>11362</v>
      </c>
      <c r="D1328" s="1" t="s">
        <v>583</v>
      </c>
      <c r="F1328" s="1">
        <v>0.0</v>
      </c>
      <c r="G1328" s="1">
        <v>5.0</v>
      </c>
      <c r="H1328" s="1">
        <v>0.0</v>
      </c>
      <c r="I1328" s="1">
        <v>16.2</v>
      </c>
    </row>
    <row r="1329">
      <c r="A1329" s="2" t="s">
        <v>11363</v>
      </c>
      <c r="B1329" s="1">
        <v>200.0</v>
      </c>
      <c r="C1329" s="1" t="s">
        <v>9070</v>
      </c>
      <c r="D1329" s="1" t="s">
        <v>609</v>
      </c>
      <c r="E1329" s="1" t="s">
        <v>631</v>
      </c>
      <c r="F1329" s="1">
        <v>0.0</v>
      </c>
      <c r="G1329" s="1">
        <v>3.0</v>
      </c>
      <c r="H1329" s="1">
        <v>0.0</v>
      </c>
      <c r="I1329" s="1">
        <v>8.33</v>
      </c>
    </row>
    <row r="1330">
      <c r="A1330" s="2" t="s">
        <v>11364</v>
      </c>
      <c r="B1330" s="1">
        <v>200.0</v>
      </c>
      <c r="C1330" s="1" t="s">
        <v>11365</v>
      </c>
      <c r="D1330" s="1" t="s">
        <v>583</v>
      </c>
      <c r="F1330" s="1">
        <v>0.0</v>
      </c>
      <c r="G1330" s="1">
        <v>3.0</v>
      </c>
      <c r="H1330" s="1">
        <v>0.0</v>
      </c>
      <c r="I1330" s="1">
        <v>10.33</v>
      </c>
    </row>
    <row r="1331">
      <c r="A1331" s="2" t="s">
        <v>11366</v>
      </c>
      <c r="B1331" s="1">
        <v>200.0</v>
      </c>
      <c r="C1331" s="1" t="s">
        <v>11367</v>
      </c>
      <c r="D1331" s="1" t="s">
        <v>583</v>
      </c>
      <c r="F1331" s="1">
        <v>46.0</v>
      </c>
      <c r="G1331" s="1">
        <v>5381.0</v>
      </c>
      <c r="H1331" s="1">
        <v>0.009</v>
      </c>
      <c r="I1331" s="1">
        <v>7.82</v>
      </c>
    </row>
    <row r="1332">
      <c r="A1332" s="2" t="s">
        <v>11368</v>
      </c>
      <c r="B1332" s="1">
        <v>301.0</v>
      </c>
      <c r="D1332" s="1" t="s">
        <v>609</v>
      </c>
      <c r="E1332" s="1" t="s">
        <v>610</v>
      </c>
    </row>
    <row r="1333">
      <c r="A1333" s="2" t="s">
        <v>11369</v>
      </c>
      <c r="B1333" s="1">
        <v>200.0</v>
      </c>
      <c r="C1333" s="1" t="s">
        <v>11370</v>
      </c>
      <c r="D1333" s="1" t="s">
        <v>583</v>
      </c>
      <c r="F1333" s="1">
        <v>5.0</v>
      </c>
      <c r="G1333" s="1">
        <v>873.0</v>
      </c>
      <c r="H1333" s="1">
        <v>0.006</v>
      </c>
      <c r="I1333" s="1">
        <v>11.86</v>
      </c>
    </row>
    <row r="1334">
      <c r="A1334" s="2" t="s">
        <v>11371</v>
      </c>
      <c r="B1334" s="1">
        <v>200.0</v>
      </c>
      <c r="C1334" s="1" t="s">
        <v>11372</v>
      </c>
      <c r="D1334" s="1" t="s">
        <v>583</v>
      </c>
      <c r="F1334" s="1">
        <v>1.0</v>
      </c>
      <c r="G1334" s="1">
        <v>504.0</v>
      </c>
      <c r="H1334" s="1">
        <v>0.002</v>
      </c>
      <c r="I1334" s="1">
        <v>34.8</v>
      </c>
    </row>
    <row r="1335">
      <c r="A1335" s="2" t="s">
        <v>11373</v>
      </c>
      <c r="B1335" s="1">
        <v>200.0</v>
      </c>
      <c r="C1335" s="1" t="s">
        <v>11374</v>
      </c>
      <c r="D1335" s="1" t="s">
        <v>583</v>
      </c>
      <c r="F1335" s="1">
        <v>1.0</v>
      </c>
      <c r="G1335" s="1">
        <v>155.0</v>
      </c>
      <c r="H1335" s="1">
        <v>0.006</v>
      </c>
      <c r="I1335" s="1">
        <v>6.03</v>
      </c>
    </row>
    <row r="1336">
      <c r="A1336" s="2" t="s">
        <v>11375</v>
      </c>
      <c r="B1336" s="1">
        <v>200.0</v>
      </c>
      <c r="C1336" s="1" t="s">
        <v>11376</v>
      </c>
      <c r="D1336" s="1" t="s">
        <v>583</v>
      </c>
      <c r="F1336" s="1">
        <v>2.0</v>
      </c>
      <c r="G1336" s="1">
        <v>46.0</v>
      </c>
      <c r="H1336" s="1">
        <v>0.043</v>
      </c>
      <c r="I1336" s="1">
        <v>37.52</v>
      </c>
    </row>
    <row r="1337">
      <c r="A1337" s="2" t="s">
        <v>11377</v>
      </c>
      <c r="B1337" s="1">
        <v>200.0</v>
      </c>
      <c r="C1337" s="1" t="s">
        <v>11378</v>
      </c>
      <c r="D1337" s="1" t="s">
        <v>583</v>
      </c>
      <c r="F1337" s="1">
        <v>3.0</v>
      </c>
      <c r="G1337" s="1">
        <v>307.0</v>
      </c>
      <c r="H1337" s="1">
        <v>0.01</v>
      </c>
      <c r="I1337" s="1">
        <v>39.8</v>
      </c>
    </row>
    <row r="1338">
      <c r="A1338" s="2" t="s">
        <v>11379</v>
      </c>
      <c r="B1338" s="1">
        <v>200.0</v>
      </c>
      <c r="C1338" s="1" t="s">
        <v>11380</v>
      </c>
      <c r="D1338" s="1" t="s">
        <v>583</v>
      </c>
      <c r="F1338" s="1">
        <v>2.0</v>
      </c>
      <c r="G1338" s="1">
        <v>770.0</v>
      </c>
      <c r="H1338" s="1">
        <v>0.003</v>
      </c>
      <c r="I1338" s="1">
        <v>36.23</v>
      </c>
    </row>
    <row r="1339">
      <c r="A1339" s="2" t="s">
        <v>11381</v>
      </c>
      <c r="B1339" s="1">
        <v>200.0</v>
      </c>
      <c r="C1339" s="1" t="s">
        <v>11382</v>
      </c>
      <c r="D1339" s="1" t="s">
        <v>583</v>
      </c>
      <c r="F1339" s="1">
        <v>0.0</v>
      </c>
      <c r="G1339" s="1">
        <v>343.0</v>
      </c>
      <c r="H1339" s="1">
        <v>0.0</v>
      </c>
      <c r="I1339" s="1">
        <v>43.57</v>
      </c>
    </row>
    <row r="1340">
      <c r="A1340" s="2" t="s">
        <v>11383</v>
      </c>
      <c r="B1340" s="1">
        <v>200.0</v>
      </c>
      <c r="C1340" s="1" t="s">
        <v>11384</v>
      </c>
      <c r="D1340" s="1" t="s">
        <v>583</v>
      </c>
      <c r="F1340" s="1">
        <v>6.0</v>
      </c>
      <c r="G1340" s="1">
        <v>1195.0</v>
      </c>
      <c r="H1340" s="1">
        <v>0.005</v>
      </c>
      <c r="I1340" s="1">
        <v>19.67</v>
      </c>
    </row>
    <row r="1341">
      <c r="A1341" s="2" t="s">
        <v>11385</v>
      </c>
      <c r="B1341" s="1">
        <v>200.0</v>
      </c>
      <c r="C1341" s="1" t="s">
        <v>11386</v>
      </c>
      <c r="D1341" s="1" t="s">
        <v>583</v>
      </c>
      <c r="F1341" s="1">
        <v>0.0</v>
      </c>
      <c r="G1341" s="1">
        <v>10.0</v>
      </c>
      <c r="H1341" s="1">
        <v>0.0</v>
      </c>
      <c r="I1341" s="1">
        <v>13.0</v>
      </c>
    </row>
    <row r="1342">
      <c r="A1342" s="2" t="s">
        <v>11387</v>
      </c>
      <c r="B1342" s="1">
        <v>200.0</v>
      </c>
      <c r="C1342" s="1" t="s">
        <v>11388</v>
      </c>
      <c r="D1342" s="1" t="s">
        <v>583</v>
      </c>
      <c r="F1342" s="1">
        <v>2.0</v>
      </c>
      <c r="G1342" s="1">
        <v>256.0</v>
      </c>
      <c r="H1342" s="1">
        <v>0.008</v>
      </c>
      <c r="I1342" s="1">
        <v>12.3</v>
      </c>
    </row>
    <row r="1343">
      <c r="A1343" s="2" t="s">
        <v>11389</v>
      </c>
      <c r="B1343" s="1">
        <v>200.0</v>
      </c>
      <c r="C1343" s="1" t="s">
        <v>11390</v>
      </c>
      <c r="D1343" s="1" t="s">
        <v>583</v>
      </c>
      <c r="F1343" s="1">
        <v>15.0</v>
      </c>
      <c r="G1343" s="1">
        <v>1246.0</v>
      </c>
      <c r="H1343" s="1">
        <v>0.012</v>
      </c>
      <c r="I1343" s="1">
        <v>22.03</v>
      </c>
    </row>
    <row r="1344">
      <c r="A1344" s="2" t="s">
        <v>11391</v>
      </c>
      <c r="B1344" s="1">
        <v>200.0</v>
      </c>
      <c r="C1344" s="1" t="s">
        <v>11392</v>
      </c>
      <c r="D1344" s="1" t="s">
        <v>583</v>
      </c>
      <c r="F1344" s="1">
        <v>11.0</v>
      </c>
      <c r="G1344" s="1">
        <v>805.0</v>
      </c>
      <c r="H1344" s="1">
        <v>0.014</v>
      </c>
      <c r="I1344" s="1">
        <v>25.38</v>
      </c>
    </row>
    <row r="1345">
      <c r="A1345" s="2" t="s">
        <v>11393</v>
      </c>
      <c r="B1345" s="1">
        <v>200.0</v>
      </c>
      <c r="C1345" s="1" t="s">
        <v>11394</v>
      </c>
      <c r="D1345" s="1" t="s">
        <v>583</v>
      </c>
      <c r="F1345" s="1">
        <v>9.0</v>
      </c>
      <c r="G1345" s="1">
        <v>1495.0</v>
      </c>
      <c r="H1345" s="1">
        <v>0.006</v>
      </c>
      <c r="I1345" s="1">
        <v>4.01</v>
      </c>
    </row>
    <row r="1346">
      <c r="A1346" s="2" t="s">
        <v>11395</v>
      </c>
      <c r="B1346" s="1">
        <v>200.0</v>
      </c>
      <c r="C1346" s="1" t="s">
        <v>11396</v>
      </c>
      <c r="D1346" s="1" t="s">
        <v>583</v>
      </c>
      <c r="F1346" s="1">
        <v>0.0</v>
      </c>
      <c r="G1346" s="1">
        <v>31.0</v>
      </c>
      <c r="H1346" s="1">
        <v>0.0</v>
      </c>
      <c r="I1346" s="1">
        <v>32.23</v>
      </c>
    </row>
    <row r="1347">
      <c r="A1347" s="2" t="s">
        <v>11397</v>
      </c>
      <c r="B1347" s="1">
        <v>200.0</v>
      </c>
      <c r="C1347" s="1" t="s">
        <v>11398</v>
      </c>
      <c r="D1347" s="1" t="s">
        <v>583</v>
      </c>
      <c r="F1347" s="1">
        <v>0.0</v>
      </c>
      <c r="G1347" s="1">
        <v>54.0</v>
      </c>
      <c r="H1347" s="1">
        <v>0.0</v>
      </c>
      <c r="I1347" s="1">
        <v>23.93</v>
      </c>
    </row>
    <row r="1348">
      <c r="A1348" s="2" t="s">
        <v>11399</v>
      </c>
      <c r="B1348" s="1">
        <v>301.0</v>
      </c>
      <c r="D1348" s="1" t="s">
        <v>609</v>
      </c>
      <c r="E1348" s="1" t="s">
        <v>610</v>
      </c>
    </row>
    <row r="1349">
      <c r="A1349" s="2" t="s">
        <v>11400</v>
      </c>
      <c r="B1349" s="1">
        <v>301.0</v>
      </c>
      <c r="D1349" s="1" t="s">
        <v>609</v>
      </c>
      <c r="E1349" s="1" t="s">
        <v>610</v>
      </c>
    </row>
    <row r="1350">
      <c r="A1350" s="2" t="s">
        <v>11401</v>
      </c>
      <c r="B1350" s="1">
        <v>301.0</v>
      </c>
      <c r="D1350" s="1" t="s">
        <v>609</v>
      </c>
      <c r="E1350" s="1" t="s">
        <v>610</v>
      </c>
    </row>
    <row r="1351">
      <c r="A1351" s="2" t="s">
        <v>11402</v>
      </c>
      <c r="B1351" s="1">
        <v>301.0</v>
      </c>
      <c r="D1351" s="1" t="s">
        <v>609</v>
      </c>
      <c r="E1351" s="1" t="s">
        <v>610</v>
      </c>
    </row>
    <row r="1352">
      <c r="A1352" s="2" t="s">
        <v>11403</v>
      </c>
      <c r="B1352" s="1">
        <v>301.0</v>
      </c>
      <c r="D1352" s="1" t="s">
        <v>609</v>
      </c>
      <c r="E1352" s="1" t="s">
        <v>610</v>
      </c>
    </row>
    <row r="1353">
      <c r="A1353" s="2" t="s">
        <v>11404</v>
      </c>
      <c r="B1353" s="1">
        <v>200.0</v>
      </c>
      <c r="C1353" s="1" t="s">
        <v>11405</v>
      </c>
      <c r="D1353" s="1" t="s">
        <v>583</v>
      </c>
      <c r="F1353" s="1">
        <v>16.0</v>
      </c>
      <c r="G1353" s="1">
        <v>3176.0</v>
      </c>
      <c r="H1353" s="1">
        <v>0.005</v>
      </c>
      <c r="I1353" s="1">
        <v>2.55</v>
      </c>
    </row>
    <row r="1354">
      <c r="A1354" s="2" t="s">
        <v>11406</v>
      </c>
      <c r="B1354" s="1">
        <v>200.0</v>
      </c>
      <c r="C1354" s="1" t="s">
        <v>11407</v>
      </c>
      <c r="D1354" s="1" t="s">
        <v>583</v>
      </c>
      <c r="F1354" s="1">
        <v>1.0</v>
      </c>
      <c r="G1354" s="1">
        <v>118.0</v>
      </c>
      <c r="H1354" s="1">
        <v>0.009</v>
      </c>
      <c r="I1354" s="1">
        <v>15.15</v>
      </c>
    </row>
    <row r="1355">
      <c r="A1355" s="2" t="s">
        <v>11408</v>
      </c>
      <c r="B1355" s="1">
        <v>200.0</v>
      </c>
      <c r="C1355" s="1" t="s">
        <v>11409</v>
      </c>
      <c r="D1355" s="1" t="s">
        <v>583</v>
      </c>
      <c r="F1355" s="1">
        <v>5.0</v>
      </c>
      <c r="G1355" s="1">
        <v>245.0</v>
      </c>
      <c r="H1355" s="1">
        <v>0.02</v>
      </c>
      <c r="I1355" s="1">
        <v>8.16</v>
      </c>
    </row>
    <row r="1356">
      <c r="A1356" s="2" t="s">
        <v>11410</v>
      </c>
      <c r="B1356" s="1">
        <v>200.0</v>
      </c>
      <c r="C1356" s="1" t="s">
        <v>11411</v>
      </c>
      <c r="D1356" s="1" t="s">
        <v>583</v>
      </c>
      <c r="F1356" s="1">
        <v>3.0</v>
      </c>
      <c r="G1356" s="1">
        <v>318.0</v>
      </c>
      <c r="H1356" s="1">
        <v>0.009</v>
      </c>
      <c r="I1356" s="1">
        <v>4.51</v>
      </c>
    </row>
    <row r="1357">
      <c r="A1357" s="2" t="s">
        <v>11412</v>
      </c>
      <c r="B1357" s="1">
        <v>301.0</v>
      </c>
      <c r="D1357" s="1" t="s">
        <v>609</v>
      </c>
      <c r="E1357" s="1" t="s">
        <v>610</v>
      </c>
    </row>
    <row r="1358">
      <c r="A1358" s="2" t="s">
        <v>11413</v>
      </c>
      <c r="B1358" s="1">
        <v>200.0</v>
      </c>
      <c r="C1358" s="1" t="s">
        <v>11414</v>
      </c>
      <c r="D1358" s="1" t="s">
        <v>583</v>
      </c>
      <c r="F1358" s="1">
        <v>2.0</v>
      </c>
      <c r="G1358" s="1">
        <v>303.0</v>
      </c>
      <c r="H1358" s="1">
        <v>0.007</v>
      </c>
      <c r="I1358" s="1">
        <v>18.27</v>
      </c>
    </row>
    <row r="1359">
      <c r="A1359" s="2" t="s">
        <v>11415</v>
      </c>
      <c r="B1359" s="1">
        <v>200.0</v>
      </c>
      <c r="C1359" s="1" t="s">
        <v>11416</v>
      </c>
      <c r="D1359" s="1" t="s">
        <v>583</v>
      </c>
      <c r="F1359" s="1">
        <v>0.0</v>
      </c>
      <c r="G1359" s="1">
        <v>112.0</v>
      </c>
      <c r="H1359" s="1">
        <v>0.0</v>
      </c>
      <c r="I1359" s="1">
        <v>36.83</v>
      </c>
    </row>
    <row r="1360">
      <c r="A1360" s="2" t="s">
        <v>11417</v>
      </c>
      <c r="B1360" s="1">
        <v>200.0</v>
      </c>
      <c r="C1360" s="1" t="s">
        <v>11418</v>
      </c>
      <c r="D1360" s="1" t="s">
        <v>583</v>
      </c>
      <c r="F1360" s="1">
        <v>0.0</v>
      </c>
      <c r="G1360" s="1">
        <v>40.0</v>
      </c>
      <c r="H1360" s="1">
        <v>0.0</v>
      </c>
      <c r="I1360" s="1">
        <v>25.93</v>
      </c>
    </row>
    <row r="1361">
      <c r="A1361" s="2" t="s">
        <v>11419</v>
      </c>
      <c r="B1361" s="1">
        <v>200.0</v>
      </c>
      <c r="C1361" s="1" t="s">
        <v>11420</v>
      </c>
      <c r="D1361" s="1" t="s">
        <v>583</v>
      </c>
      <c r="F1361" s="1">
        <v>0.0</v>
      </c>
      <c r="G1361" s="1">
        <v>6.0</v>
      </c>
      <c r="H1361" s="1">
        <v>0.0</v>
      </c>
      <c r="I1361" s="1">
        <v>17.67</v>
      </c>
    </row>
    <row r="1362">
      <c r="A1362" s="2" t="s">
        <v>11421</v>
      </c>
      <c r="B1362" s="1">
        <v>200.0</v>
      </c>
      <c r="C1362" s="1" t="s">
        <v>11422</v>
      </c>
      <c r="D1362" s="1" t="s">
        <v>583</v>
      </c>
      <c r="F1362" s="1">
        <v>1.0</v>
      </c>
      <c r="G1362" s="1">
        <v>37.0</v>
      </c>
      <c r="H1362" s="1">
        <v>0.027</v>
      </c>
      <c r="I1362" s="1">
        <v>11.62</v>
      </c>
    </row>
    <row r="1363">
      <c r="A1363" s="2" t="s">
        <v>11423</v>
      </c>
      <c r="B1363" s="1">
        <v>200.0</v>
      </c>
      <c r="C1363" s="1" t="s">
        <v>11424</v>
      </c>
      <c r="D1363" s="1" t="s">
        <v>583</v>
      </c>
      <c r="F1363" s="1">
        <v>0.0</v>
      </c>
      <c r="G1363" s="1">
        <v>5.0</v>
      </c>
      <c r="H1363" s="1">
        <v>0.0</v>
      </c>
      <c r="I1363" s="1">
        <v>47.2</v>
      </c>
    </row>
    <row r="1364">
      <c r="A1364" s="2" t="s">
        <v>11425</v>
      </c>
      <c r="B1364" s="1">
        <v>200.0</v>
      </c>
      <c r="C1364" s="1" t="s">
        <v>11426</v>
      </c>
      <c r="D1364" s="1" t="s">
        <v>583</v>
      </c>
      <c r="F1364" s="1">
        <v>0.0</v>
      </c>
      <c r="G1364" s="1">
        <v>213.0</v>
      </c>
      <c r="H1364" s="1">
        <v>0.0</v>
      </c>
      <c r="I1364" s="1">
        <v>28.29</v>
      </c>
    </row>
    <row r="1365">
      <c r="A1365" s="2" t="s">
        <v>11427</v>
      </c>
      <c r="B1365" s="1">
        <v>200.0</v>
      </c>
      <c r="C1365" s="1" t="s">
        <v>11428</v>
      </c>
      <c r="D1365" s="1" t="s">
        <v>583</v>
      </c>
      <c r="F1365" s="1">
        <v>0.0</v>
      </c>
      <c r="G1365" s="1">
        <v>161.0</v>
      </c>
      <c r="H1365" s="1">
        <v>0.0</v>
      </c>
      <c r="I1365" s="1">
        <v>12.28</v>
      </c>
    </row>
    <row r="1366">
      <c r="A1366" s="2" t="s">
        <v>11429</v>
      </c>
      <c r="B1366" s="1">
        <v>200.0</v>
      </c>
      <c r="C1366" s="1" t="s">
        <v>11430</v>
      </c>
      <c r="D1366" s="1" t="s">
        <v>583</v>
      </c>
      <c r="F1366" s="1">
        <v>0.0</v>
      </c>
      <c r="G1366" s="1">
        <v>20.0</v>
      </c>
      <c r="H1366" s="1">
        <v>0.0</v>
      </c>
      <c r="I1366" s="1">
        <v>16.0</v>
      </c>
    </row>
    <row r="1367">
      <c r="A1367" s="2" t="s">
        <v>11431</v>
      </c>
      <c r="B1367" s="1">
        <v>200.0</v>
      </c>
      <c r="C1367" s="1" t="s">
        <v>11432</v>
      </c>
      <c r="D1367" s="1" t="s">
        <v>583</v>
      </c>
      <c r="F1367" s="1">
        <v>0.0</v>
      </c>
      <c r="G1367" s="1">
        <v>60.0</v>
      </c>
      <c r="H1367" s="1">
        <v>0.0</v>
      </c>
      <c r="I1367" s="1">
        <v>18.78</v>
      </c>
    </row>
    <row r="1368">
      <c r="A1368" s="2" t="s">
        <v>11433</v>
      </c>
      <c r="B1368" s="1">
        <v>200.0</v>
      </c>
      <c r="C1368" s="1" t="s">
        <v>11434</v>
      </c>
      <c r="D1368" s="1" t="s">
        <v>583</v>
      </c>
      <c r="F1368" s="1">
        <v>0.0</v>
      </c>
      <c r="G1368" s="1">
        <v>34.0</v>
      </c>
      <c r="H1368" s="1">
        <v>0.0</v>
      </c>
      <c r="I1368" s="1">
        <v>26.97</v>
      </c>
    </row>
    <row r="1369">
      <c r="A1369" s="2" t="s">
        <v>11435</v>
      </c>
      <c r="B1369" s="1">
        <v>200.0</v>
      </c>
      <c r="C1369" s="1" t="s">
        <v>11436</v>
      </c>
      <c r="D1369" s="1" t="s">
        <v>583</v>
      </c>
      <c r="F1369" s="1">
        <v>0.0</v>
      </c>
      <c r="G1369" s="1">
        <v>5.0</v>
      </c>
      <c r="H1369" s="1">
        <v>0.0</v>
      </c>
      <c r="I1369" s="1">
        <v>52.8</v>
      </c>
    </row>
    <row r="1370">
      <c r="A1370" s="2" t="s">
        <v>11437</v>
      </c>
      <c r="B1370" s="1">
        <v>200.0</v>
      </c>
      <c r="C1370" s="1" t="s">
        <v>11438</v>
      </c>
      <c r="D1370" s="1" t="s">
        <v>583</v>
      </c>
      <c r="F1370" s="1">
        <v>1.0</v>
      </c>
      <c r="G1370" s="1">
        <v>226.0</v>
      </c>
      <c r="H1370" s="1">
        <v>0.004</v>
      </c>
      <c r="I1370" s="1">
        <v>16.87</v>
      </c>
    </row>
    <row r="1371">
      <c r="A1371" s="2" t="s">
        <v>11439</v>
      </c>
      <c r="B1371" s="1">
        <v>200.0</v>
      </c>
      <c r="C1371" s="1" t="s">
        <v>11440</v>
      </c>
      <c r="D1371" s="1" t="s">
        <v>583</v>
      </c>
      <c r="F1371" s="1">
        <v>0.0</v>
      </c>
      <c r="G1371" s="1">
        <v>24.0</v>
      </c>
      <c r="H1371" s="1">
        <v>0.0</v>
      </c>
      <c r="I1371" s="1">
        <v>14.75</v>
      </c>
    </row>
    <row r="1372">
      <c r="A1372" s="2" t="s">
        <v>11441</v>
      </c>
      <c r="B1372" s="1">
        <v>200.0</v>
      </c>
      <c r="C1372" s="1" t="s">
        <v>11442</v>
      </c>
      <c r="D1372" s="1" t="s">
        <v>583</v>
      </c>
    </row>
    <row r="1373">
      <c r="A1373" s="2" t="s">
        <v>11443</v>
      </c>
      <c r="B1373" s="1">
        <v>200.0</v>
      </c>
      <c r="C1373" s="1" t="s">
        <v>11444</v>
      </c>
      <c r="D1373" s="1" t="s">
        <v>583</v>
      </c>
      <c r="F1373" s="1">
        <v>0.0</v>
      </c>
      <c r="G1373" s="1">
        <v>14.0</v>
      </c>
      <c r="H1373" s="1">
        <v>0.0</v>
      </c>
      <c r="I1373" s="1">
        <v>17.43</v>
      </c>
    </row>
    <row r="1374">
      <c r="A1374" s="2" t="s">
        <v>11445</v>
      </c>
      <c r="B1374" s="1">
        <v>200.0</v>
      </c>
      <c r="C1374" s="1" t="s">
        <v>11446</v>
      </c>
      <c r="D1374" s="1" t="s">
        <v>583</v>
      </c>
      <c r="F1374" s="1">
        <v>0.0</v>
      </c>
      <c r="G1374" s="1">
        <v>1.0</v>
      </c>
      <c r="H1374" s="1">
        <v>0.0</v>
      </c>
      <c r="I1374" s="1">
        <v>66.0</v>
      </c>
    </row>
    <row r="1375">
      <c r="A1375" s="2" t="s">
        <v>11447</v>
      </c>
      <c r="B1375" s="1">
        <v>200.0</v>
      </c>
      <c r="C1375" s="1" t="s">
        <v>11448</v>
      </c>
      <c r="D1375" s="1" t="s">
        <v>583</v>
      </c>
      <c r="F1375" s="1">
        <v>0.0</v>
      </c>
      <c r="G1375" s="1">
        <v>1.0</v>
      </c>
      <c r="H1375" s="1">
        <v>0.0</v>
      </c>
      <c r="I1375" s="1">
        <v>13.0</v>
      </c>
    </row>
    <row r="1376">
      <c r="A1376" s="2" t="s">
        <v>11449</v>
      </c>
      <c r="B1376" s="1">
        <v>200.0</v>
      </c>
      <c r="C1376" s="1" t="s">
        <v>11450</v>
      </c>
      <c r="D1376" s="1" t="s">
        <v>583</v>
      </c>
      <c r="F1376" s="1">
        <v>0.0</v>
      </c>
      <c r="G1376" s="1">
        <v>9.0</v>
      </c>
      <c r="H1376" s="1">
        <v>0.0</v>
      </c>
      <c r="I1376" s="1">
        <v>19.0</v>
      </c>
    </row>
    <row r="1377">
      <c r="A1377" s="2" t="s">
        <v>11451</v>
      </c>
      <c r="B1377" s="1">
        <v>200.0</v>
      </c>
      <c r="C1377" s="1" t="s">
        <v>11452</v>
      </c>
      <c r="D1377" s="1" t="s">
        <v>583</v>
      </c>
      <c r="F1377" s="1">
        <v>0.0</v>
      </c>
      <c r="G1377" s="1">
        <v>65.0</v>
      </c>
      <c r="H1377" s="1">
        <v>0.0</v>
      </c>
      <c r="I1377" s="1">
        <v>40.71</v>
      </c>
    </row>
    <row r="1378">
      <c r="A1378" s="2" t="s">
        <v>11453</v>
      </c>
      <c r="B1378" s="1">
        <v>200.0</v>
      </c>
      <c r="C1378" s="1" t="s">
        <v>11454</v>
      </c>
      <c r="D1378" s="1" t="s">
        <v>583</v>
      </c>
      <c r="F1378" s="1">
        <v>0.0</v>
      </c>
      <c r="G1378" s="1">
        <v>5.0</v>
      </c>
      <c r="H1378" s="1">
        <v>0.0</v>
      </c>
      <c r="I1378" s="1">
        <v>5.8</v>
      </c>
    </row>
    <row r="1379">
      <c r="A1379" s="2" t="s">
        <v>11455</v>
      </c>
      <c r="B1379" s="1">
        <v>200.0</v>
      </c>
      <c r="C1379" s="1" t="s">
        <v>11456</v>
      </c>
      <c r="D1379" s="1" t="s">
        <v>583</v>
      </c>
      <c r="F1379" s="1">
        <v>0.0</v>
      </c>
      <c r="G1379" s="1">
        <v>16.0</v>
      </c>
      <c r="H1379" s="1">
        <v>0.0</v>
      </c>
      <c r="I1379" s="1">
        <v>16.63</v>
      </c>
    </row>
    <row r="1380">
      <c r="A1380" s="2" t="s">
        <v>11457</v>
      </c>
      <c r="B1380" s="1">
        <v>200.0</v>
      </c>
      <c r="C1380" s="1" t="s">
        <v>11458</v>
      </c>
      <c r="D1380" s="1" t="s">
        <v>583</v>
      </c>
      <c r="F1380" s="1">
        <v>1.0</v>
      </c>
      <c r="G1380" s="1">
        <v>56.0</v>
      </c>
      <c r="H1380" s="1">
        <v>0.018</v>
      </c>
      <c r="I1380" s="1">
        <v>9.45</v>
      </c>
    </row>
    <row r="1381">
      <c r="A1381" s="2" t="s">
        <v>11459</v>
      </c>
      <c r="B1381" s="1">
        <v>200.0</v>
      </c>
      <c r="C1381" s="1" t="s">
        <v>11460</v>
      </c>
      <c r="D1381" s="1" t="s">
        <v>583</v>
      </c>
      <c r="F1381" s="1">
        <v>0.0</v>
      </c>
      <c r="G1381" s="1">
        <v>32.0</v>
      </c>
      <c r="H1381" s="1">
        <v>0.0</v>
      </c>
      <c r="I1381" s="1">
        <v>13.78</v>
      </c>
    </row>
    <row r="1382">
      <c r="A1382" s="2" t="s">
        <v>11461</v>
      </c>
      <c r="B1382" s="1">
        <v>200.0</v>
      </c>
      <c r="C1382" s="1" t="s">
        <v>11462</v>
      </c>
      <c r="D1382" s="1" t="s">
        <v>583</v>
      </c>
      <c r="F1382" s="1">
        <v>0.0</v>
      </c>
      <c r="G1382" s="1">
        <v>18.0</v>
      </c>
      <c r="H1382" s="1">
        <v>0.0</v>
      </c>
      <c r="I1382" s="1">
        <v>15.56</v>
      </c>
    </row>
    <row r="1383">
      <c r="A1383" s="2" t="s">
        <v>11463</v>
      </c>
      <c r="B1383" s="1">
        <v>200.0</v>
      </c>
      <c r="C1383" s="1" t="s">
        <v>11464</v>
      </c>
      <c r="D1383" s="1" t="s">
        <v>583</v>
      </c>
      <c r="F1383" s="1">
        <v>0.0</v>
      </c>
      <c r="G1383" s="1">
        <v>7.0</v>
      </c>
      <c r="H1383" s="1">
        <v>0.0</v>
      </c>
      <c r="I1383" s="1">
        <v>20.43</v>
      </c>
    </row>
    <row r="1384">
      <c r="A1384" s="2" t="s">
        <v>11465</v>
      </c>
      <c r="B1384" s="1">
        <v>200.0</v>
      </c>
      <c r="C1384" s="1" t="s">
        <v>11466</v>
      </c>
      <c r="D1384" s="1" t="s">
        <v>583</v>
      </c>
      <c r="F1384" s="1">
        <v>0.0</v>
      </c>
      <c r="G1384" s="1">
        <v>35.0</v>
      </c>
      <c r="H1384" s="1">
        <v>0.0</v>
      </c>
      <c r="I1384" s="1">
        <v>26.31</v>
      </c>
    </row>
    <row r="1385">
      <c r="A1385" s="2" t="s">
        <v>11467</v>
      </c>
      <c r="B1385" s="1">
        <v>200.0</v>
      </c>
      <c r="C1385" s="1" t="s">
        <v>11468</v>
      </c>
      <c r="D1385" s="1" t="s">
        <v>583</v>
      </c>
      <c r="F1385" s="1">
        <v>1.0</v>
      </c>
      <c r="G1385" s="1">
        <v>20.0</v>
      </c>
      <c r="H1385" s="1">
        <v>0.05</v>
      </c>
      <c r="I1385" s="1">
        <v>19.7</v>
      </c>
    </row>
    <row r="1386">
      <c r="A1386" s="2" t="s">
        <v>11469</v>
      </c>
      <c r="B1386" s="1">
        <v>200.0</v>
      </c>
      <c r="C1386" s="1" t="s">
        <v>11470</v>
      </c>
      <c r="D1386" s="1" t="s">
        <v>583</v>
      </c>
      <c r="F1386" s="1">
        <v>0.0</v>
      </c>
      <c r="G1386" s="1">
        <v>16.0</v>
      </c>
      <c r="H1386" s="1">
        <v>0.0</v>
      </c>
      <c r="I1386" s="1">
        <v>17.19</v>
      </c>
    </row>
    <row r="1387">
      <c r="A1387" s="2" t="s">
        <v>11471</v>
      </c>
      <c r="B1387" s="1">
        <v>200.0</v>
      </c>
      <c r="C1387" s="1" t="s">
        <v>11472</v>
      </c>
      <c r="D1387" s="1" t="s">
        <v>583</v>
      </c>
      <c r="F1387" s="1">
        <v>0.0</v>
      </c>
      <c r="G1387" s="1">
        <v>3.0</v>
      </c>
      <c r="H1387" s="1">
        <v>0.0</v>
      </c>
      <c r="I1387" s="1">
        <v>7.33</v>
      </c>
    </row>
    <row r="1388">
      <c r="A1388" s="2" t="s">
        <v>11473</v>
      </c>
      <c r="B1388" s="1">
        <v>200.0</v>
      </c>
      <c r="C1388" s="1" t="s">
        <v>11474</v>
      </c>
      <c r="D1388" s="1" t="s">
        <v>583</v>
      </c>
      <c r="F1388" s="1">
        <v>0.0</v>
      </c>
      <c r="G1388" s="1">
        <v>73.0</v>
      </c>
      <c r="H1388" s="1">
        <v>0.0</v>
      </c>
      <c r="I1388" s="1">
        <v>39.05</v>
      </c>
    </row>
    <row r="1389">
      <c r="A1389" s="2" t="s">
        <v>11475</v>
      </c>
      <c r="B1389" s="1">
        <v>200.0</v>
      </c>
      <c r="C1389" s="1" t="s">
        <v>11476</v>
      </c>
      <c r="D1389" s="1" t="s">
        <v>583</v>
      </c>
      <c r="F1389" s="1">
        <v>1.0</v>
      </c>
      <c r="G1389" s="1">
        <v>2365.0</v>
      </c>
      <c r="H1389" s="1">
        <v>0.0</v>
      </c>
      <c r="I1389" s="1">
        <v>9.59</v>
      </c>
    </row>
    <row r="1390">
      <c r="A1390" s="2" t="s">
        <v>11477</v>
      </c>
      <c r="B1390" s="1">
        <v>200.0</v>
      </c>
      <c r="C1390" s="1" t="s">
        <v>11478</v>
      </c>
      <c r="D1390" s="1" t="s">
        <v>583</v>
      </c>
      <c r="F1390" s="1">
        <v>0.0</v>
      </c>
      <c r="G1390" s="1">
        <v>8.0</v>
      </c>
      <c r="H1390" s="1">
        <v>0.0</v>
      </c>
      <c r="I1390" s="1">
        <v>25.0</v>
      </c>
    </row>
    <row r="1391">
      <c r="A1391" s="2" t="s">
        <v>11479</v>
      </c>
      <c r="B1391" s="1">
        <v>200.0</v>
      </c>
      <c r="C1391" s="1" t="s">
        <v>11480</v>
      </c>
      <c r="D1391" s="1" t="s">
        <v>583</v>
      </c>
      <c r="F1391" s="1">
        <v>0.0</v>
      </c>
      <c r="G1391" s="1">
        <v>8.0</v>
      </c>
      <c r="H1391" s="1">
        <v>0.0</v>
      </c>
      <c r="I1391" s="1">
        <v>16.25</v>
      </c>
    </row>
    <row r="1392">
      <c r="A1392" s="2" t="s">
        <v>11481</v>
      </c>
      <c r="B1392" s="1">
        <v>200.0</v>
      </c>
      <c r="C1392" s="1" t="s">
        <v>11482</v>
      </c>
      <c r="D1392" s="1" t="s">
        <v>583</v>
      </c>
      <c r="F1392" s="1">
        <v>0.0</v>
      </c>
      <c r="G1392" s="1">
        <v>23.0</v>
      </c>
      <c r="H1392" s="1">
        <v>0.0</v>
      </c>
      <c r="I1392" s="1">
        <v>19.7</v>
      </c>
    </row>
    <row r="1393">
      <c r="A1393" s="2" t="s">
        <v>11483</v>
      </c>
      <c r="B1393" s="1">
        <v>200.0</v>
      </c>
      <c r="C1393" s="1" t="s">
        <v>11484</v>
      </c>
      <c r="D1393" s="1" t="s">
        <v>583</v>
      </c>
      <c r="F1393" s="1">
        <v>0.0</v>
      </c>
      <c r="G1393" s="1">
        <v>1.0</v>
      </c>
      <c r="H1393" s="1">
        <v>0.0</v>
      </c>
      <c r="I1393" s="1">
        <v>12.0</v>
      </c>
    </row>
    <row r="1394">
      <c r="A1394" s="2" t="s">
        <v>11485</v>
      </c>
      <c r="B1394" s="1">
        <v>200.0</v>
      </c>
      <c r="C1394" s="1" t="s">
        <v>11486</v>
      </c>
      <c r="D1394" s="1" t="s">
        <v>583</v>
      </c>
      <c r="F1394" s="1">
        <v>0.0</v>
      </c>
      <c r="G1394" s="1">
        <v>45.0</v>
      </c>
      <c r="H1394" s="1">
        <v>0.0</v>
      </c>
      <c r="I1394" s="1">
        <v>30.2</v>
      </c>
    </row>
    <row r="1395">
      <c r="A1395" s="2" t="s">
        <v>11487</v>
      </c>
      <c r="B1395" s="1">
        <v>200.0</v>
      </c>
      <c r="C1395" s="1" t="s">
        <v>11488</v>
      </c>
      <c r="D1395" s="1" t="s">
        <v>583</v>
      </c>
      <c r="F1395" s="1">
        <v>0.0</v>
      </c>
      <c r="G1395" s="1">
        <v>34.0</v>
      </c>
      <c r="H1395" s="1">
        <v>0.0</v>
      </c>
      <c r="I1395" s="1">
        <v>38.47</v>
      </c>
    </row>
    <row r="1396">
      <c r="A1396" s="2" t="s">
        <v>11489</v>
      </c>
      <c r="B1396" s="1">
        <v>200.0</v>
      </c>
      <c r="C1396" s="1" t="s">
        <v>11490</v>
      </c>
      <c r="D1396" s="1" t="s">
        <v>583</v>
      </c>
      <c r="F1396" s="1">
        <v>0.0</v>
      </c>
      <c r="G1396" s="1">
        <v>14.0</v>
      </c>
      <c r="H1396" s="1">
        <v>0.0</v>
      </c>
      <c r="I1396" s="1">
        <v>22.0</v>
      </c>
    </row>
    <row r="1397">
      <c r="A1397" s="2" t="s">
        <v>11491</v>
      </c>
      <c r="B1397" s="1">
        <v>200.0</v>
      </c>
      <c r="C1397" s="1" t="s">
        <v>11492</v>
      </c>
      <c r="D1397" s="1" t="s">
        <v>583</v>
      </c>
      <c r="F1397" s="1">
        <v>0.0</v>
      </c>
      <c r="G1397" s="1">
        <v>8.0</v>
      </c>
      <c r="H1397" s="1">
        <v>0.0</v>
      </c>
      <c r="I1397" s="1">
        <v>10.25</v>
      </c>
    </row>
    <row r="1398">
      <c r="A1398" s="2" t="s">
        <v>11493</v>
      </c>
      <c r="B1398" s="1">
        <v>200.0</v>
      </c>
      <c r="C1398" s="1" t="s">
        <v>11494</v>
      </c>
      <c r="D1398" s="1" t="s">
        <v>583</v>
      </c>
      <c r="F1398" s="1">
        <v>0.0</v>
      </c>
      <c r="G1398" s="1">
        <v>24.0</v>
      </c>
      <c r="H1398" s="1">
        <v>0.0</v>
      </c>
      <c r="I1398" s="1">
        <v>26.29</v>
      </c>
    </row>
    <row r="1399">
      <c r="A1399" s="2" t="s">
        <v>11495</v>
      </c>
      <c r="B1399" s="1">
        <v>200.0</v>
      </c>
      <c r="C1399" s="1" t="s">
        <v>11496</v>
      </c>
      <c r="D1399" s="1" t="s">
        <v>583</v>
      </c>
      <c r="F1399" s="1">
        <v>0.0</v>
      </c>
      <c r="G1399" s="1">
        <v>24.0</v>
      </c>
      <c r="H1399" s="1">
        <v>0.0</v>
      </c>
      <c r="I1399" s="1">
        <v>10.08</v>
      </c>
    </row>
    <row r="1400">
      <c r="A1400" s="2" t="s">
        <v>11497</v>
      </c>
      <c r="B1400" s="1">
        <v>200.0</v>
      </c>
      <c r="C1400" s="1" t="s">
        <v>11498</v>
      </c>
      <c r="D1400" s="1" t="s">
        <v>583</v>
      </c>
      <c r="F1400" s="1">
        <v>0.0</v>
      </c>
      <c r="G1400" s="1">
        <v>19.0</v>
      </c>
      <c r="H1400" s="1">
        <v>0.0</v>
      </c>
      <c r="I1400" s="1">
        <v>20.58</v>
      </c>
    </row>
    <row r="1401">
      <c r="A1401" s="2" t="s">
        <v>11499</v>
      </c>
      <c r="B1401" s="1">
        <v>200.0</v>
      </c>
      <c r="C1401" s="1" t="s">
        <v>11500</v>
      </c>
      <c r="D1401" s="1" t="s">
        <v>583</v>
      </c>
      <c r="F1401" s="1">
        <v>0.0</v>
      </c>
      <c r="G1401" s="1">
        <v>13.0</v>
      </c>
      <c r="H1401" s="1">
        <v>0.0</v>
      </c>
      <c r="I1401" s="1">
        <v>25.92</v>
      </c>
    </row>
    <row r="1402">
      <c r="A1402" s="2" t="s">
        <v>11501</v>
      </c>
      <c r="B1402" s="1">
        <v>200.0</v>
      </c>
      <c r="C1402" s="1" t="s">
        <v>11502</v>
      </c>
      <c r="D1402" s="1" t="s">
        <v>583</v>
      </c>
      <c r="F1402" s="1">
        <v>2.0</v>
      </c>
      <c r="G1402" s="1">
        <v>119.0</v>
      </c>
      <c r="H1402" s="1">
        <v>0.017</v>
      </c>
      <c r="I1402" s="1">
        <v>46.6</v>
      </c>
    </row>
    <row r="1403">
      <c r="A1403" s="2" t="s">
        <v>11503</v>
      </c>
      <c r="B1403" s="1">
        <v>200.0</v>
      </c>
      <c r="C1403" s="1" t="s">
        <v>11504</v>
      </c>
      <c r="D1403" s="1" t="s">
        <v>583</v>
      </c>
      <c r="F1403" s="1">
        <v>0.0</v>
      </c>
      <c r="G1403" s="1">
        <v>17.0</v>
      </c>
      <c r="H1403" s="1">
        <v>0.0</v>
      </c>
      <c r="I1403" s="1">
        <v>16.94</v>
      </c>
    </row>
    <row r="1404">
      <c r="A1404" s="2" t="s">
        <v>11505</v>
      </c>
      <c r="B1404" s="1">
        <v>200.0</v>
      </c>
      <c r="C1404" s="1" t="s">
        <v>11506</v>
      </c>
      <c r="D1404" s="1" t="s">
        <v>583</v>
      </c>
      <c r="F1404" s="1">
        <v>0.0</v>
      </c>
      <c r="G1404" s="1">
        <v>181.0</v>
      </c>
      <c r="H1404" s="1">
        <v>0.0</v>
      </c>
      <c r="I1404" s="1">
        <v>20.69</v>
      </c>
    </row>
    <row r="1405">
      <c r="A1405" s="2" t="s">
        <v>11507</v>
      </c>
      <c r="B1405" s="1">
        <v>200.0</v>
      </c>
      <c r="C1405" s="1" t="s">
        <v>11508</v>
      </c>
      <c r="D1405" s="1" t="s">
        <v>583</v>
      </c>
      <c r="F1405" s="1">
        <v>0.0</v>
      </c>
      <c r="G1405" s="1">
        <v>114.0</v>
      </c>
      <c r="H1405" s="1">
        <v>0.0</v>
      </c>
      <c r="I1405" s="1">
        <v>30.84</v>
      </c>
    </row>
    <row r="1406">
      <c r="A1406" s="2" t="s">
        <v>11509</v>
      </c>
      <c r="B1406" s="1">
        <v>200.0</v>
      </c>
      <c r="C1406" s="1" t="s">
        <v>11510</v>
      </c>
      <c r="D1406" s="1" t="s">
        <v>583</v>
      </c>
      <c r="F1406" s="1">
        <v>0.0</v>
      </c>
      <c r="G1406" s="1">
        <v>60.0</v>
      </c>
      <c r="H1406" s="1">
        <v>0.0</v>
      </c>
      <c r="I1406" s="1">
        <v>23.57</v>
      </c>
    </row>
    <row r="1407">
      <c r="A1407" s="2" t="s">
        <v>11511</v>
      </c>
      <c r="B1407" s="1">
        <v>200.0</v>
      </c>
      <c r="C1407" s="1" t="s">
        <v>11512</v>
      </c>
      <c r="D1407" s="1" t="s">
        <v>583</v>
      </c>
      <c r="F1407" s="1">
        <v>1.0</v>
      </c>
      <c r="G1407" s="1">
        <v>185.0</v>
      </c>
      <c r="H1407" s="1">
        <v>0.005</v>
      </c>
      <c r="I1407" s="1">
        <v>23.64</v>
      </c>
    </row>
    <row r="1408">
      <c r="A1408" s="2" t="s">
        <v>11513</v>
      </c>
      <c r="B1408" s="1">
        <v>200.0</v>
      </c>
      <c r="C1408" s="1" t="s">
        <v>11514</v>
      </c>
      <c r="D1408" s="1" t="s">
        <v>583</v>
      </c>
      <c r="F1408" s="1">
        <v>0.0</v>
      </c>
      <c r="G1408" s="1">
        <v>85.0</v>
      </c>
      <c r="H1408" s="1">
        <v>0.0</v>
      </c>
      <c r="I1408" s="1">
        <v>22.76</v>
      </c>
    </row>
    <row r="1409">
      <c r="A1409" s="2" t="s">
        <v>11515</v>
      </c>
      <c r="B1409" s="1">
        <v>200.0</v>
      </c>
      <c r="C1409" s="1" t="s">
        <v>11516</v>
      </c>
      <c r="D1409" s="1" t="s">
        <v>583</v>
      </c>
      <c r="F1409" s="1">
        <v>0.0</v>
      </c>
      <c r="G1409" s="1">
        <v>23.0</v>
      </c>
      <c r="H1409" s="1">
        <v>0.0</v>
      </c>
      <c r="I1409" s="1">
        <v>10.74</v>
      </c>
    </row>
    <row r="1410">
      <c r="A1410" s="2" t="s">
        <v>11517</v>
      </c>
      <c r="B1410" s="1">
        <v>200.0</v>
      </c>
      <c r="C1410" s="1" t="s">
        <v>11518</v>
      </c>
      <c r="D1410" s="1" t="s">
        <v>583</v>
      </c>
      <c r="F1410" s="1">
        <v>0.0</v>
      </c>
      <c r="G1410" s="1">
        <v>27.0</v>
      </c>
      <c r="H1410" s="1">
        <v>0.0</v>
      </c>
      <c r="I1410" s="1">
        <v>15.48</v>
      </c>
    </row>
    <row r="1411">
      <c r="A1411" s="2" t="s">
        <v>11519</v>
      </c>
      <c r="B1411" s="1">
        <v>200.0</v>
      </c>
      <c r="C1411" s="1" t="s">
        <v>11520</v>
      </c>
      <c r="D1411" s="1" t="s">
        <v>583</v>
      </c>
      <c r="F1411" s="1">
        <v>0.0</v>
      </c>
      <c r="G1411" s="1">
        <v>50.0</v>
      </c>
      <c r="H1411" s="1">
        <v>0.0</v>
      </c>
      <c r="I1411" s="1">
        <v>31.14</v>
      </c>
    </row>
    <row r="1412">
      <c r="A1412" s="2" t="s">
        <v>11521</v>
      </c>
      <c r="B1412" s="1">
        <v>200.0</v>
      </c>
      <c r="C1412" s="1" t="s">
        <v>11522</v>
      </c>
      <c r="D1412" s="1" t="s">
        <v>583</v>
      </c>
      <c r="F1412" s="1">
        <v>0.0</v>
      </c>
      <c r="G1412" s="1">
        <v>11.0</v>
      </c>
      <c r="H1412" s="1">
        <v>0.0</v>
      </c>
      <c r="I1412" s="1">
        <v>18.27</v>
      </c>
    </row>
    <row r="1413">
      <c r="A1413" s="2" t="s">
        <v>11523</v>
      </c>
      <c r="B1413" s="1">
        <v>200.0</v>
      </c>
      <c r="C1413" s="1" t="s">
        <v>11524</v>
      </c>
      <c r="D1413" s="1" t="s">
        <v>583</v>
      </c>
      <c r="F1413" s="1">
        <v>0.0</v>
      </c>
      <c r="G1413" s="1">
        <v>60.0</v>
      </c>
      <c r="H1413" s="1">
        <v>0.0</v>
      </c>
      <c r="I1413" s="1">
        <v>26.23</v>
      </c>
    </row>
    <row r="1414">
      <c r="A1414" s="2" t="s">
        <v>11525</v>
      </c>
      <c r="B1414" s="1">
        <v>200.0</v>
      </c>
      <c r="C1414" s="1" t="s">
        <v>11526</v>
      </c>
      <c r="D1414" s="1" t="s">
        <v>583</v>
      </c>
      <c r="F1414" s="1">
        <v>0.0</v>
      </c>
      <c r="G1414" s="1">
        <v>5.0</v>
      </c>
      <c r="H1414" s="1">
        <v>0.0</v>
      </c>
      <c r="I1414" s="1">
        <v>5.0</v>
      </c>
    </row>
    <row r="1415">
      <c r="A1415" s="2" t="s">
        <v>11527</v>
      </c>
      <c r="B1415" s="1">
        <v>200.0</v>
      </c>
      <c r="C1415" s="1" t="s">
        <v>11528</v>
      </c>
      <c r="D1415" s="1" t="s">
        <v>583</v>
      </c>
      <c r="F1415" s="1">
        <v>0.0</v>
      </c>
      <c r="G1415" s="1">
        <v>1.0</v>
      </c>
      <c r="H1415" s="1">
        <v>0.0</v>
      </c>
      <c r="I1415" s="1">
        <v>32.0</v>
      </c>
    </row>
    <row r="1416">
      <c r="A1416" s="2" t="s">
        <v>11529</v>
      </c>
      <c r="B1416" s="1">
        <v>200.0</v>
      </c>
      <c r="C1416" s="1" t="s">
        <v>11530</v>
      </c>
      <c r="D1416" s="1" t="s">
        <v>583</v>
      </c>
      <c r="F1416" s="1">
        <v>0.0</v>
      </c>
      <c r="G1416" s="1">
        <v>6.0</v>
      </c>
      <c r="H1416" s="1">
        <v>0.0</v>
      </c>
      <c r="I1416" s="1">
        <v>6.83</v>
      </c>
    </row>
    <row r="1417">
      <c r="A1417" s="2" t="s">
        <v>11531</v>
      </c>
      <c r="B1417" s="1">
        <v>200.0</v>
      </c>
      <c r="C1417" s="1" t="s">
        <v>11532</v>
      </c>
      <c r="D1417" s="1" t="s">
        <v>583</v>
      </c>
      <c r="F1417" s="1">
        <v>0.0</v>
      </c>
      <c r="G1417" s="1">
        <v>38.0</v>
      </c>
      <c r="H1417" s="1">
        <v>0.0</v>
      </c>
      <c r="I1417" s="1">
        <v>27.5</v>
      </c>
    </row>
    <row r="1418">
      <c r="A1418" s="2" t="s">
        <v>11533</v>
      </c>
      <c r="B1418" s="1">
        <v>301.0</v>
      </c>
      <c r="D1418" s="1" t="s">
        <v>609</v>
      </c>
      <c r="E1418" s="1" t="s">
        <v>610</v>
      </c>
    </row>
    <row r="1419">
      <c r="A1419" s="2" t="s">
        <v>11534</v>
      </c>
      <c r="B1419" s="1">
        <v>200.0</v>
      </c>
      <c r="C1419" s="1" t="s">
        <v>11535</v>
      </c>
      <c r="D1419" s="1" t="s">
        <v>583</v>
      </c>
      <c r="F1419" s="1">
        <v>0.0</v>
      </c>
      <c r="G1419" s="1">
        <v>12.0</v>
      </c>
      <c r="H1419" s="1">
        <v>0.0</v>
      </c>
      <c r="I1419" s="1">
        <v>16.75</v>
      </c>
    </row>
    <row r="1420">
      <c r="A1420" s="2" t="s">
        <v>11536</v>
      </c>
      <c r="B1420" s="1">
        <v>200.0</v>
      </c>
      <c r="C1420" s="1" t="s">
        <v>11537</v>
      </c>
      <c r="D1420" s="1" t="s">
        <v>583</v>
      </c>
      <c r="F1420" s="1">
        <v>0.0</v>
      </c>
      <c r="G1420" s="1">
        <v>3.0</v>
      </c>
      <c r="H1420" s="1">
        <v>0.0</v>
      </c>
      <c r="I1420" s="1">
        <v>12.0</v>
      </c>
    </row>
    <row r="1421">
      <c r="A1421" s="2" t="s">
        <v>11538</v>
      </c>
      <c r="B1421" s="1">
        <v>200.0</v>
      </c>
      <c r="C1421" s="1" t="s">
        <v>11539</v>
      </c>
      <c r="D1421" s="1" t="s">
        <v>583</v>
      </c>
      <c r="F1421" s="1">
        <v>0.0</v>
      </c>
      <c r="G1421" s="1">
        <v>65.0</v>
      </c>
      <c r="H1421" s="1">
        <v>0.0</v>
      </c>
      <c r="I1421" s="1">
        <v>17.17</v>
      </c>
    </row>
    <row r="1422">
      <c r="A1422" s="2" t="s">
        <v>11540</v>
      </c>
      <c r="B1422" s="1">
        <v>200.0</v>
      </c>
      <c r="C1422" s="1" t="s">
        <v>11541</v>
      </c>
      <c r="D1422" s="1" t="s">
        <v>583</v>
      </c>
      <c r="F1422" s="1">
        <v>0.0</v>
      </c>
      <c r="G1422" s="1">
        <v>22.0</v>
      </c>
      <c r="H1422" s="1">
        <v>0.0</v>
      </c>
      <c r="I1422" s="1">
        <v>17.91</v>
      </c>
    </row>
    <row r="1423">
      <c r="A1423" s="2" t="s">
        <v>11542</v>
      </c>
      <c r="B1423" s="1">
        <v>200.0</v>
      </c>
      <c r="C1423" s="1" t="s">
        <v>11543</v>
      </c>
      <c r="D1423" s="1" t="s">
        <v>583</v>
      </c>
      <c r="F1423" s="1">
        <v>0.0</v>
      </c>
      <c r="G1423" s="1">
        <v>122.0</v>
      </c>
      <c r="H1423" s="1">
        <v>0.0</v>
      </c>
      <c r="I1423" s="1">
        <v>27.43</v>
      </c>
    </row>
    <row r="1424">
      <c r="A1424" s="2" t="s">
        <v>11544</v>
      </c>
      <c r="B1424" s="1">
        <v>200.0</v>
      </c>
      <c r="C1424" s="1" t="s">
        <v>11545</v>
      </c>
      <c r="D1424" s="1" t="s">
        <v>583</v>
      </c>
      <c r="F1424" s="1">
        <v>0.0</v>
      </c>
      <c r="G1424" s="1">
        <v>116.0</v>
      </c>
      <c r="H1424" s="1">
        <v>0.0</v>
      </c>
      <c r="I1424" s="1">
        <v>26.89</v>
      </c>
    </row>
    <row r="1425">
      <c r="A1425" s="2" t="s">
        <v>11546</v>
      </c>
      <c r="B1425" s="1">
        <v>200.0</v>
      </c>
      <c r="C1425" s="1" t="s">
        <v>11547</v>
      </c>
      <c r="D1425" s="1" t="s">
        <v>583</v>
      </c>
      <c r="F1425" s="1">
        <v>0.0</v>
      </c>
      <c r="G1425" s="1">
        <v>84.0</v>
      </c>
      <c r="H1425" s="1">
        <v>0.0</v>
      </c>
      <c r="I1425" s="1">
        <v>39.42</v>
      </c>
    </row>
    <row r="1426">
      <c r="A1426" s="2" t="s">
        <v>11548</v>
      </c>
      <c r="B1426" s="1">
        <v>200.0</v>
      </c>
      <c r="C1426" s="1" t="s">
        <v>11549</v>
      </c>
      <c r="D1426" s="1" t="s">
        <v>583</v>
      </c>
    </row>
    <row r="1427">
      <c r="A1427" s="2" t="s">
        <v>11550</v>
      </c>
      <c r="B1427" s="1">
        <v>200.0</v>
      </c>
      <c r="C1427" s="1" t="s">
        <v>11551</v>
      </c>
      <c r="D1427" s="1" t="s">
        <v>583</v>
      </c>
      <c r="F1427" s="1">
        <v>0.0</v>
      </c>
      <c r="G1427" s="1">
        <v>28.0</v>
      </c>
      <c r="H1427" s="1">
        <v>0.0</v>
      </c>
      <c r="I1427" s="1">
        <v>17.86</v>
      </c>
    </row>
    <row r="1428">
      <c r="A1428" s="2" t="s">
        <v>11552</v>
      </c>
      <c r="B1428" s="1">
        <v>200.0</v>
      </c>
      <c r="C1428" s="1" t="s">
        <v>11553</v>
      </c>
      <c r="D1428" s="1" t="s">
        <v>583</v>
      </c>
      <c r="F1428" s="1">
        <v>0.0</v>
      </c>
      <c r="G1428" s="1">
        <v>20.0</v>
      </c>
      <c r="H1428" s="1">
        <v>0.0</v>
      </c>
      <c r="I1428" s="1">
        <v>10.75</v>
      </c>
    </row>
    <row r="1429">
      <c r="A1429" s="2" t="s">
        <v>11554</v>
      </c>
      <c r="B1429" s="1">
        <v>200.0</v>
      </c>
      <c r="C1429" s="1" t="s">
        <v>11555</v>
      </c>
      <c r="D1429" s="1" t="s">
        <v>583</v>
      </c>
      <c r="F1429" s="1">
        <v>1.0</v>
      </c>
      <c r="G1429" s="1">
        <v>2.0</v>
      </c>
      <c r="H1429" s="1">
        <v>0.5</v>
      </c>
      <c r="I1429" s="1">
        <v>5.5</v>
      </c>
    </row>
    <row r="1430">
      <c r="A1430" s="2" t="s">
        <v>11556</v>
      </c>
      <c r="B1430" s="1">
        <v>200.0</v>
      </c>
      <c r="C1430" s="1" t="s">
        <v>11557</v>
      </c>
      <c r="D1430" s="1" t="s">
        <v>583</v>
      </c>
      <c r="F1430" s="1">
        <v>0.0</v>
      </c>
      <c r="G1430" s="1">
        <v>17.0</v>
      </c>
      <c r="H1430" s="1">
        <v>0.0</v>
      </c>
      <c r="I1430" s="1">
        <v>17.53</v>
      </c>
    </row>
    <row r="1431">
      <c r="A1431" s="2" t="s">
        <v>11558</v>
      </c>
      <c r="B1431" s="1">
        <v>200.0</v>
      </c>
      <c r="C1431" s="1" t="s">
        <v>11559</v>
      </c>
      <c r="D1431" s="1" t="s">
        <v>583</v>
      </c>
      <c r="F1431" s="1">
        <v>0.0</v>
      </c>
      <c r="G1431" s="1">
        <v>3.0</v>
      </c>
      <c r="H1431" s="1">
        <v>0.0</v>
      </c>
      <c r="I1431" s="1">
        <v>32.0</v>
      </c>
    </row>
    <row r="1432">
      <c r="A1432" s="2" t="s">
        <v>11560</v>
      </c>
      <c r="B1432" s="1">
        <v>301.0</v>
      </c>
      <c r="D1432" s="1" t="s">
        <v>609</v>
      </c>
      <c r="E1432" s="1" t="s">
        <v>610</v>
      </c>
    </row>
    <row r="1433">
      <c r="A1433" s="2" t="s">
        <v>11561</v>
      </c>
      <c r="B1433" s="1">
        <v>200.0</v>
      </c>
      <c r="C1433" s="1" t="s">
        <v>11562</v>
      </c>
      <c r="D1433" s="1" t="s">
        <v>583</v>
      </c>
      <c r="F1433" s="1">
        <v>0.0</v>
      </c>
      <c r="G1433" s="1">
        <v>20.0</v>
      </c>
      <c r="H1433" s="1">
        <v>0.0</v>
      </c>
      <c r="I1433" s="1">
        <v>32.5</v>
      </c>
    </row>
    <row r="1434">
      <c r="A1434" s="2" t="s">
        <v>11563</v>
      </c>
      <c r="B1434" s="1">
        <v>200.0</v>
      </c>
      <c r="C1434" s="1" t="s">
        <v>11564</v>
      </c>
      <c r="D1434" s="1" t="s">
        <v>583</v>
      </c>
      <c r="F1434" s="1">
        <v>0.0</v>
      </c>
      <c r="G1434" s="1">
        <v>90.0</v>
      </c>
      <c r="H1434" s="1">
        <v>0.0</v>
      </c>
      <c r="I1434" s="1">
        <v>25.06</v>
      </c>
    </row>
    <row r="1435">
      <c r="A1435" s="2" t="s">
        <v>11565</v>
      </c>
      <c r="B1435" s="1">
        <v>200.0</v>
      </c>
      <c r="C1435" s="1" t="s">
        <v>11566</v>
      </c>
      <c r="D1435" s="1" t="s">
        <v>583</v>
      </c>
      <c r="F1435" s="1">
        <v>0.0</v>
      </c>
      <c r="G1435" s="1">
        <v>25.0</v>
      </c>
      <c r="H1435" s="1">
        <v>0.0</v>
      </c>
      <c r="I1435" s="1">
        <v>42.36</v>
      </c>
    </row>
    <row r="1436">
      <c r="A1436" s="2" t="s">
        <v>11567</v>
      </c>
      <c r="B1436" s="1">
        <v>200.0</v>
      </c>
      <c r="C1436" s="1" t="s">
        <v>11568</v>
      </c>
      <c r="D1436" s="1" t="s">
        <v>583</v>
      </c>
      <c r="F1436" s="1">
        <v>0.0</v>
      </c>
      <c r="G1436" s="1">
        <v>24.0</v>
      </c>
      <c r="H1436" s="1">
        <v>0.0</v>
      </c>
      <c r="I1436" s="1">
        <v>47.04</v>
      </c>
    </row>
    <row r="1437">
      <c r="A1437" s="2" t="s">
        <v>11569</v>
      </c>
      <c r="B1437" s="1">
        <v>200.0</v>
      </c>
      <c r="C1437" s="1" t="s">
        <v>11570</v>
      </c>
      <c r="D1437" s="1" t="s">
        <v>583</v>
      </c>
      <c r="F1437" s="1">
        <v>0.0</v>
      </c>
      <c r="G1437" s="1">
        <v>15.0</v>
      </c>
      <c r="H1437" s="1">
        <v>0.0</v>
      </c>
      <c r="I1437" s="1">
        <v>24.33</v>
      </c>
    </row>
    <row r="1438">
      <c r="A1438" s="2" t="s">
        <v>11571</v>
      </c>
      <c r="B1438" s="1">
        <v>200.0</v>
      </c>
      <c r="C1438" s="1" t="s">
        <v>11572</v>
      </c>
      <c r="D1438" s="1" t="s">
        <v>583</v>
      </c>
      <c r="F1438" s="1">
        <v>0.0</v>
      </c>
      <c r="G1438" s="1">
        <v>8.0</v>
      </c>
      <c r="H1438" s="1">
        <v>0.0</v>
      </c>
      <c r="I1438" s="1">
        <v>30.0</v>
      </c>
    </row>
    <row r="1439">
      <c r="A1439" s="2" t="s">
        <v>11573</v>
      </c>
      <c r="B1439" s="1">
        <v>200.0</v>
      </c>
      <c r="C1439" s="1" t="s">
        <v>11574</v>
      </c>
      <c r="D1439" s="1" t="s">
        <v>583</v>
      </c>
      <c r="F1439" s="1">
        <v>0.0</v>
      </c>
      <c r="G1439" s="1">
        <v>4.0</v>
      </c>
      <c r="H1439" s="1">
        <v>0.0</v>
      </c>
      <c r="I1439" s="1">
        <v>48.25</v>
      </c>
    </row>
    <row r="1440">
      <c r="A1440" s="2" t="s">
        <v>11575</v>
      </c>
      <c r="B1440" s="1">
        <v>200.0</v>
      </c>
      <c r="C1440" s="1" t="s">
        <v>11576</v>
      </c>
      <c r="D1440" s="1" t="s">
        <v>583</v>
      </c>
      <c r="F1440" s="1">
        <v>1.0</v>
      </c>
      <c r="G1440" s="1">
        <v>29.0</v>
      </c>
      <c r="H1440" s="1">
        <v>0.035</v>
      </c>
      <c r="I1440" s="1">
        <v>10.41</v>
      </c>
    </row>
    <row r="1441">
      <c r="A1441" s="2" t="s">
        <v>11577</v>
      </c>
      <c r="B1441" s="1">
        <v>200.0</v>
      </c>
      <c r="C1441" s="1" t="s">
        <v>11578</v>
      </c>
      <c r="D1441" s="1" t="s">
        <v>583</v>
      </c>
      <c r="F1441" s="1">
        <v>0.0</v>
      </c>
      <c r="G1441" s="1">
        <v>84.0</v>
      </c>
      <c r="H1441" s="1">
        <v>0.0</v>
      </c>
      <c r="I1441" s="1">
        <v>24.71</v>
      </c>
    </row>
    <row r="1442">
      <c r="A1442" s="2" t="s">
        <v>11579</v>
      </c>
      <c r="B1442" s="1">
        <v>200.0</v>
      </c>
      <c r="C1442" s="1" t="s">
        <v>11580</v>
      </c>
      <c r="D1442" s="1" t="s">
        <v>583</v>
      </c>
      <c r="F1442" s="1">
        <v>0.0</v>
      </c>
      <c r="G1442" s="1">
        <v>36.0</v>
      </c>
      <c r="H1442" s="1">
        <v>0.0</v>
      </c>
      <c r="I1442" s="1">
        <v>11.83</v>
      </c>
    </row>
    <row r="1443">
      <c r="A1443" s="2" t="s">
        <v>11581</v>
      </c>
      <c r="B1443" s="1">
        <v>200.0</v>
      </c>
      <c r="C1443" s="1" t="s">
        <v>11582</v>
      </c>
      <c r="D1443" s="1" t="s">
        <v>583</v>
      </c>
      <c r="F1443" s="1">
        <v>0.0</v>
      </c>
      <c r="G1443" s="1">
        <v>93.0</v>
      </c>
      <c r="H1443" s="1">
        <v>0.0</v>
      </c>
      <c r="I1443" s="1">
        <v>42.69</v>
      </c>
    </row>
    <row r="1444">
      <c r="A1444" s="2" t="s">
        <v>11583</v>
      </c>
      <c r="B1444" s="1">
        <v>200.0</v>
      </c>
      <c r="C1444" s="1" t="s">
        <v>11584</v>
      </c>
      <c r="D1444" s="1" t="s">
        <v>583</v>
      </c>
      <c r="F1444" s="1">
        <v>0.0</v>
      </c>
      <c r="G1444" s="1">
        <v>162.0</v>
      </c>
      <c r="H1444" s="1">
        <v>0.0</v>
      </c>
      <c r="I1444" s="1">
        <v>9.91</v>
      </c>
    </row>
    <row r="1445">
      <c r="A1445" s="2" t="s">
        <v>11585</v>
      </c>
      <c r="B1445" s="1">
        <v>200.0</v>
      </c>
      <c r="C1445" s="1" t="s">
        <v>11586</v>
      </c>
      <c r="D1445" s="1" t="s">
        <v>583</v>
      </c>
      <c r="F1445" s="1">
        <v>0.0</v>
      </c>
      <c r="G1445" s="1">
        <v>87.0</v>
      </c>
      <c r="H1445" s="1">
        <v>0.0</v>
      </c>
      <c r="I1445" s="1">
        <v>46.48</v>
      </c>
    </row>
    <row r="1446">
      <c r="A1446" s="2" t="s">
        <v>11587</v>
      </c>
      <c r="B1446" s="1">
        <v>200.0</v>
      </c>
      <c r="C1446" s="1" t="s">
        <v>11588</v>
      </c>
      <c r="D1446" s="1" t="s">
        <v>583</v>
      </c>
      <c r="F1446" s="1">
        <v>0.0</v>
      </c>
      <c r="G1446" s="1">
        <v>4.0</v>
      </c>
      <c r="H1446" s="1">
        <v>0.0</v>
      </c>
      <c r="I1446" s="1">
        <v>59.0</v>
      </c>
    </row>
    <row r="1447">
      <c r="A1447" s="2" t="s">
        <v>11589</v>
      </c>
      <c r="B1447" s="1">
        <v>200.0</v>
      </c>
      <c r="C1447" s="1" t="s">
        <v>11590</v>
      </c>
      <c r="D1447" s="1" t="s">
        <v>583</v>
      </c>
      <c r="F1447" s="1">
        <v>0.0</v>
      </c>
      <c r="G1447" s="1">
        <v>35.0</v>
      </c>
      <c r="H1447" s="1">
        <v>0.0</v>
      </c>
      <c r="I1447" s="1">
        <v>68.51</v>
      </c>
    </row>
    <row r="1448">
      <c r="A1448" s="2" t="s">
        <v>11591</v>
      </c>
      <c r="B1448" s="1">
        <v>200.0</v>
      </c>
      <c r="C1448" s="1" t="s">
        <v>11592</v>
      </c>
      <c r="D1448" s="1" t="s">
        <v>583</v>
      </c>
      <c r="F1448" s="1">
        <v>0.0</v>
      </c>
      <c r="G1448" s="1">
        <v>5.0</v>
      </c>
      <c r="H1448" s="1">
        <v>0.0</v>
      </c>
      <c r="I1448" s="1">
        <v>20.4</v>
      </c>
    </row>
    <row r="1449">
      <c r="A1449" s="2" t="s">
        <v>11593</v>
      </c>
      <c r="B1449" s="1">
        <v>200.0</v>
      </c>
      <c r="C1449" s="1" t="s">
        <v>11594</v>
      </c>
      <c r="D1449" s="1" t="s">
        <v>583</v>
      </c>
      <c r="F1449" s="1">
        <v>0.0</v>
      </c>
      <c r="G1449" s="1">
        <v>18.0</v>
      </c>
      <c r="H1449" s="1">
        <v>0.0</v>
      </c>
      <c r="I1449" s="1">
        <v>26.44</v>
      </c>
    </row>
    <row r="1450">
      <c r="A1450" s="2" t="s">
        <v>11595</v>
      </c>
      <c r="B1450" s="1">
        <v>200.0</v>
      </c>
      <c r="C1450" s="1" t="s">
        <v>11596</v>
      </c>
      <c r="D1450" s="1" t="s">
        <v>583</v>
      </c>
      <c r="F1450" s="1">
        <v>0.0</v>
      </c>
      <c r="G1450" s="1">
        <v>24.0</v>
      </c>
      <c r="H1450" s="1">
        <v>0.0</v>
      </c>
      <c r="I1450" s="1">
        <v>10.0</v>
      </c>
    </row>
    <row r="1451">
      <c r="A1451" s="2" t="s">
        <v>11597</v>
      </c>
      <c r="B1451" s="1">
        <v>200.0</v>
      </c>
      <c r="C1451" s="1" t="s">
        <v>11598</v>
      </c>
      <c r="D1451" s="1" t="s">
        <v>583</v>
      </c>
      <c r="F1451" s="1">
        <v>0.0</v>
      </c>
      <c r="G1451" s="1">
        <v>2.0</v>
      </c>
      <c r="H1451" s="1">
        <v>0.0</v>
      </c>
      <c r="I1451" s="1">
        <v>30.0</v>
      </c>
    </row>
    <row r="1452">
      <c r="A1452" s="2" t="s">
        <v>11599</v>
      </c>
      <c r="B1452" s="1">
        <v>200.0</v>
      </c>
      <c r="C1452" s="1" t="s">
        <v>11600</v>
      </c>
      <c r="D1452" s="1" t="s">
        <v>583</v>
      </c>
      <c r="F1452" s="1">
        <v>0.0</v>
      </c>
      <c r="G1452" s="1">
        <v>83.0</v>
      </c>
      <c r="H1452" s="1">
        <v>0.0</v>
      </c>
      <c r="I1452" s="1">
        <v>41.93</v>
      </c>
    </row>
    <row r="1453">
      <c r="A1453" s="2" t="s">
        <v>11601</v>
      </c>
      <c r="B1453" s="1">
        <v>200.0</v>
      </c>
      <c r="C1453" s="1" t="s">
        <v>11602</v>
      </c>
      <c r="D1453" s="1" t="s">
        <v>583</v>
      </c>
      <c r="F1453" s="1">
        <v>0.0</v>
      </c>
      <c r="G1453" s="1">
        <v>12.0</v>
      </c>
      <c r="H1453" s="1">
        <v>0.0</v>
      </c>
      <c r="I1453" s="1">
        <v>57.67</v>
      </c>
    </row>
    <row r="1454">
      <c r="A1454" s="2" t="s">
        <v>11603</v>
      </c>
      <c r="B1454" s="1">
        <v>200.0</v>
      </c>
      <c r="C1454" s="1" t="s">
        <v>11604</v>
      </c>
      <c r="D1454" s="1" t="s">
        <v>583</v>
      </c>
      <c r="F1454" s="1">
        <v>0.0</v>
      </c>
      <c r="G1454" s="1">
        <v>27.0</v>
      </c>
      <c r="H1454" s="1">
        <v>0.0</v>
      </c>
      <c r="I1454" s="1">
        <v>33.3</v>
      </c>
    </row>
    <row r="1455">
      <c r="A1455" s="2" t="s">
        <v>11605</v>
      </c>
      <c r="B1455" s="1">
        <v>200.0</v>
      </c>
      <c r="C1455" s="1" t="s">
        <v>11606</v>
      </c>
      <c r="D1455" s="1" t="s">
        <v>583</v>
      </c>
      <c r="F1455" s="1">
        <v>0.0</v>
      </c>
      <c r="G1455" s="1">
        <v>1.0</v>
      </c>
      <c r="H1455" s="1">
        <v>0.0</v>
      </c>
      <c r="I1455" s="1">
        <v>22.0</v>
      </c>
    </row>
    <row r="1456">
      <c r="A1456" s="2" t="s">
        <v>11607</v>
      </c>
      <c r="B1456" s="1">
        <v>200.0</v>
      </c>
      <c r="C1456" s="1" t="s">
        <v>11608</v>
      </c>
      <c r="D1456" s="1" t="s">
        <v>583</v>
      </c>
      <c r="F1456" s="1">
        <v>0.0</v>
      </c>
      <c r="G1456" s="1">
        <v>11.0</v>
      </c>
      <c r="H1456" s="1">
        <v>0.0</v>
      </c>
      <c r="I1456" s="1">
        <v>19.18</v>
      </c>
    </row>
    <row r="1457">
      <c r="A1457" s="2" t="s">
        <v>11609</v>
      </c>
      <c r="B1457" s="1">
        <v>200.0</v>
      </c>
      <c r="C1457" s="1" t="s">
        <v>11610</v>
      </c>
      <c r="D1457" s="1" t="s">
        <v>583</v>
      </c>
      <c r="F1457" s="1">
        <v>0.0</v>
      </c>
      <c r="G1457" s="1">
        <v>4.0</v>
      </c>
      <c r="H1457" s="1">
        <v>0.0</v>
      </c>
      <c r="I1457" s="1">
        <v>6.25</v>
      </c>
    </row>
    <row r="1458">
      <c r="A1458" s="2" t="s">
        <v>11611</v>
      </c>
      <c r="B1458" s="1">
        <v>200.0</v>
      </c>
      <c r="C1458" s="1" t="s">
        <v>11612</v>
      </c>
      <c r="D1458" s="1" t="s">
        <v>583</v>
      </c>
      <c r="F1458" s="1">
        <v>0.0</v>
      </c>
      <c r="G1458" s="1">
        <v>7.0</v>
      </c>
      <c r="H1458" s="1">
        <v>0.0</v>
      </c>
      <c r="I1458" s="1">
        <v>14.43</v>
      </c>
    </row>
    <row r="1459">
      <c r="A1459" s="2" t="s">
        <v>11613</v>
      </c>
      <c r="B1459" s="1">
        <v>200.0</v>
      </c>
      <c r="C1459" s="1" t="s">
        <v>11614</v>
      </c>
      <c r="D1459" s="1" t="s">
        <v>583</v>
      </c>
      <c r="F1459" s="1">
        <v>1.0</v>
      </c>
      <c r="G1459" s="1">
        <v>154.0</v>
      </c>
      <c r="H1459" s="1">
        <v>0.006</v>
      </c>
      <c r="I1459" s="1">
        <v>28.07</v>
      </c>
    </row>
    <row r="1460">
      <c r="A1460" s="2" t="s">
        <v>11615</v>
      </c>
      <c r="B1460" s="1">
        <v>200.0</v>
      </c>
      <c r="C1460" s="1" t="s">
        <v>11616</v>
      </c>
      <c r="D1460" s="1" t="s">
        <v>583</v>
      </c>
      <c r="F1460" s="1">
        <v>0.0</v>
      </c>
      <c r="G1460" s="1">
        <v>53.0</v>
      </c>
      <c r="H1460" s="1">
        <v>0.0</v>
      </c>
      <c r="I1460" s="1">
        <v>27.21</v>
      </c>
    </row>
    <row r="1461">
      <c r="A1461" s="2" t="s">
        <v>11617</v>
      </c>
      <c r="B1461" s="1">
        <v>200.0</v>
      </c>
      <c r="C1461" s="1" t="s">
        <v>11618</v>
      </c>
      <c r="D1461" s="1" t="s">
        <v>583</v>
      </c>
      <c r="F1461" s="1">
        <v>0.0</v>
      </c>
      <c r="G1461" s="1">
        <v>10.0</v>
      </c>
      <c r="H1461" s="1">
        <v>0.0</v>
      </c>
      <c r="I1461" s="1">
        <v>10.4</v>
      </c>
    </row>
    <row r="1462">
      <c r="A1462" s="2" t="s">
        <v>11619</v>
      </c>
      <c r="B1462" s="1">
        <v>200.0</v>
      </c>
      <c r="C1462" s="1" t="s">
        <v>11620</v>
      </c>
      <c r="D1462" s="1" t="s">
        <v>583</v>
      </c>
      <c r="F1462" s="1">
        <v>0.0</v>
      </c>
      <c r="G1462" s="1">
        <v>38.0</v>
      </c>
      <c r="H1462" s="1">
        <v>0.0</v>
      </c>
      <c r="I1462" s="1">
        <v>13.24</v>
      </c>
    </row>
    <row r="1463">
      <c r="A1463" s="2" t="s">
        <v>11621</v>
      </c>
      <c r="B1463" s="1">
        <v>200.0</v>
      </c>
      <c r="C1463" s="1" t="s">
        <v>11622</v>
      </c>
      <c r="D1463" s="1" t="s">
        <v>583</v>
      </c>
      <c r="F1463" s="1">
        <v>0.0</v>
      </c>
      <c r="G1463" s="1">
        <v>7.0</v>
      </c>
      <c r="H1463" s="1">
        <v>0.0</v>
      </c>
      <c r="I1463" s="1">
        <v>11.14</v>
      </c>
    </row>
    <row r="1464">
      <c r="A1464" s="2" t="s">
        <v>11623</v>
      </c>
      <c r="B1464" s="1">
        <v>200.0</v>
      </c>
      <c r="C1464" s="1" t="s">
        <v>11624</v>
      </c>
      <c r="D1464" s="1" t="s">
        <v>583</v>
      </c>
      <c r="F1464" s="1">
        <v>0.0</v>
      </c>
      <c r="G1464" s="1">
        <v>61.0</v>
      </c>
      <c r="H1464" s="1">
        <v>0.0</v>
      </c>
      <c r="I1464" s="1">
        <v>40.92</v>
      </c>
    </row>
    <row r="1465">
      <c r="A1465" s="2" t="s">
        <v>11625</v>
      </c>
      <c r="B1465" s="1">
        <v>200.0</v>
      </c>
      <c r="C1465" s="1" t="s">
        <v>11626</v>
      </c>
      <c r="D1465" s="1" t="s">
        <v>583</v>
      </c>
      <c r="F1465" s="1">
        <v>0.0</v>
      </c>
      <c r="G1465" s="1">
        <v>31.0</v>
      </c>
      <c r="H1465" s="1">
        <v>0.0</v>
      </c>
      <c r="I1465" s="1">
        <v>32.0</v>
      </c>
    </row>
    <row r="1466">
      <c r="A1466" s="2" t="s">
        <v>11627</v>
      </c>
      <c r="B1466" s="1">
        <v>200.0</v>
      </c>
      <c r="C1466" s="1" t="s">
        <v>11628</v>
      </c>
      <c r="D1466" s="1" t="s">
        <v>583</v>
      </c>
      <c r="F1466" s="1">
        <v>0.0</v>
      </c>
      <c r="G1466" s="1">
        <v>20.0</v>
      </c>
      <c r="H1466" s="1">
        <v>0.0</v>
      </c>
      <c r="I1466" s="1">
        <v>9.25</v>
      </c>
    </row>
    <row r="1467">
      <c r="A1467" s="2" t="s">
        <v>11629</v>
      </c>
      <c r="B1467" s="1">
        <v>200.0</v>
      </c>
      <c r="C1467" s="1" t="s">
        <v>11630</v>
      </c>
      <c r="D1467" s="1" t="s">
        <v>583</v>
      </c>
      <c r="F1467" s="1">
        <v>0.0</v>
      </c>
      <c r="G1467" s="1">
        <v>1.0</v>
      </c>
      <c r="H1467" s="1">
        <v>0.0</v>
      </c>
      <c r="I1467" s="1">
        <v>9.0</v>
      </c>
    </row>
    <row r="1468">
      <c r="A1468" s="2" t="s">
        <v>11631</v>
      </c>
      <c r="B1468" s="1">
        <v>200.0</v>
      </c>
      <c r="C1468" s="1" t="s">
        <v>11632</v>
      </c>
      <c r="D1468" s="1" t="s">
        <v>583</v>
      </c>
      <c r="F1468" s="1">
        <v>0.0</v>
      </c>
      <c r="G1468" s="1">
        <v>137.0</v>
      </c>
      <c r="H1468" s="1">
        <v>0.0</v>
      </c>
      <c r="I1468" s="1">
        <v>19.23</v>
      </c>
    </row>
    <row r="1469">
      <c r="A1469" s="2" t="s">
        <v>11633</v>
      </c>
      <c r="B1469" s="1">
        <v>200.0</v>
      </c>
      <c r="C1469" s="1" t="s">
        <v>11634</v>
      </c>
      <c r="D1469" s="1" t="s">
        <v>583</v>
      </c>
      <c r="F1469" s="1">
        <v>0.0</v>
      </c>
      <c r="G1469" s="1">
        <v>39.0</v>
      </c>
      <c r="H1469" s="1">
        <v>0.0</v>
      </c>
      <c r="I1469" s="1">
        <v>55.36</v>
      </c>
    </row>
    <row r="1470">
      <c r="A1470" s="2" t="s">
        <v>11635</v>
      </c>
      <c r="B1470" s="1">
        <v>200.0</v>
      </c>
      <c r="C1470" s="1" t="s">
        <v>11636</v>
      </c>
      <c r="D1470" s="1" t="s">
        <v>583</v>
      </c>
      <c r="F1470" s="1">
        <v>0.0</v>
      </c>
      <c r="G1470" s="1">
        <v>109.0</v>
      </c>
      <c r="H1470" s="1">
        <v>0.0</v>
      </c>
      <c r="I1470" s="1">
        <v>20.24</v>
      </c>
    </row>
    <row r="1471">
      <c r="A1471" s="2" t="s">
        <v>11637</v>
      </c>
      <c r="B1471" s="1">
        <v>200.0</v>
      </c>
      <c r="C1471" s="1" t="s">
        <v>11638</v>
      </c>
      <c r="D1471" s="1" t="s">
        <v>583</v>
      </c>
      <c r="F1471" s="1">
        <v>0.0</v>
      </c>
      <c r="G1471" s="1">
        <v>2.0</v>
      </c>
      <c r="H1471" s="1">
        <v>0.0</v>
      </c>
      <c r="I1471" s="1">
        <v>30.5</v>
      </c>
    </row>
    <row r="1472">
      <c r="A1472" s="2" t="s">
        <v>11639</v>
      </c>
      <c r="B1472" s="1">
        <v>404.0</v>
      </c>
      <c r="D1472" s="1" t="s">
        <v>609</v>
      </c>
      <c r="E1472" s="1" t="s">
        <v>902</v>
      </c>
    </row>
    <row r="1473">
      <c r="A1473" s="2" t="s">
        <v>11640</v>
      </c>
      <c r="B1473" s="1">
        <v>200.0</v>
      </c>
      <c r="C1473" s="1" t="s">
        <v>11641</v>
      </c>
      <c r="D1473" s="1" t="s">
        <v>583</v>
      </c>
      <c r="F1473" s="1">
        <v>0.0</v>
      </c>
      <c r="G1473" s="1">
        <v>5.0</v>
      </c>
      <c r="H1473" s="1">
        <v>0.0</v>
      </c>
      <c r="I1473" s="1">
        <v>5.4</v>
      </c>
    </row>
    <row r="1474">
      <c r="A1474" s="2" t="s">
        <v>11642</v>
      </c>
      <c r="B1474" s="1">
        <v>200.0</v>
      </c>
      <c r="C1474" s="1" t="s">
        <v>9850</v>
      </c>
      <c r="D1474" s="1" t="s">
        <v>609</v>
      </c>
      <c r="E1474" s="1" t="s">
        <v>631</v>
      </c>
      <c r="F1474" s="1">
        <v>0.0</v>
      </c>
      <c r="G1474" s="1">
        <v>26.0</v>
      </c>
      <c r="H1474" s="1">
        <v>0.0</v>
      </c>
      <c r="I1474" s="1">
        <v>8.65</v>
      </c>
    </row>
    <row r="1475">
      <c r="A1475" s="2" t="s">
        <v>11643</v>
      </c>
      <c r="B1475" s="1">
        <v>200.0</v>
      </c>
      <c r="C1475" s="1" t="s">
        <v>11644</v>
      </c>
      <c r="D1475" s="1" t="s">
        <v>583</v>
      </c>
      <c r="F1475" s="1">
        <v>0.0</v>
      </c>
      <c r="G1475" s="1">
        <v>45.0</v>
      </c>
      <c r="H1475" s="1">
        <v>0.0</v>
      </c>
      <c r="I1475" s="1">
        <v>35.56</v>
      </c>
    </row>
    <row r="1476">
      <c r="A1476" s="2" t="s">
        <v>11645</v>
      </c>
      <c r="B1476" s="1">
        <v>200.0</v>
      </c>
      <c r="C1476" s="1" t="s">
        <v>11646</v>
      </c>
      <c r="D1476" s="1" t="s">
        <v>583</v>
      </c>
      <c r="F1476" s="1">
        <v>0.0</v>
      </c>
      <c r="G1476" s="1">
        <v>60.0</v>
      </c>
      <c r="H1476" s="1">
        <v>0.0</v>
      </c>
      <c r="I1476" s="1">
        <v>30.52</v>
      </c>
    </row>
    <row r="1477">
      <c r="A1477" s="2" t="s">
        <v>11647</v>
      </c>
      <c r="B1477" s="1">
        <v>200.0</v>
      </c>
      <c r="C1477" s="1" t="s">
        <v>9860</v>
      </c>
      <c r="D1477" s="1" t="s">
        <v>609</v>
      </c>
      <c r="E1477" s="1" t="s">
        <v>631</v>
      </c>
    </row>
    <row r="1478">
      <c r="A1478" s="2" t="s">
        <v>11648</v>
      </c>
      <c r="B1478" s="1">
        <v>404.0</v>
      </c>
      <c r="D1478" s="1" t="s">
        <v>609</v>
      </c>
      <c r="E1478" s="1" t="s">
        <v>902</v>
      </c>
    </row>
    <row r="1479">
      <c r="A1479" s="2" t="s">
        <v>11649</v>
      </c>
      <c r="B1479" s="1">
        <v>200.0</v>
      </c>
      <c r="C1479" s="1" t="s">
        <v>9850</v>
      </c>
      <c r="D1479" s="1" t="s">
        <v>609</v>
      </c>
      <c r="E1479" s="1" t="s">
        <v>631</v>
      </c>
      <c r="F1479" s="1">
        <v>2.0</v>
      </c>
      <c r="G1479" s="1">
        <v>35.0</v>
      </c>
      <c r="H1479" s="1">
        <v>0.057</v>
      </c>
      <c r="I1479" s="1">
        <v>9.51</v>
      </c>
    </row>
    <row r="1480">
      <c r="A1480" s="2" t="s">
        <v>11650</v>
      </c>
      <c r="B1480" s="1">
        <v>200.0</v>
      </c>
      <c r="C1480" s="1" t="s">
        <v>9860</v>
      </c>
      <c r="D1480" s="1" t="s">
        <v>609</v>
      </c>
      <c r="E1480" s="1" t="s">
        <v>631</v>
      </c>
    </row>
    <row r="1481">
      <c r="A1481" s="2" t="s">
        <v>11651</v>
      </c>
      <c r="B1481" s="1">
        <v>200.0</v>
      </c>
      <c r="C1481" s="1" t="s">
        <v>9860</v>
      </c>
      <c r="D1481" s="1" t="s">
        <v>609</v>
      </c>
      <c r="E1481" s="1" t="s">
        <v>631</v>
      </c>
      <c r="F1481" s="1">
        <v>0.0</v>
      </c>
      <c r="G1481" s="1">
        <v>41.0</v>
      </c>
      <c r="H1481" s="1">
        <v>0.0</v>
      </c>
      <c r="I1481" s="1">
        <v>19.68</v>
      </c>
    </row>
    <row r="1482">
      <c r="A1482" s="2" t="s">
        <v>11652</v>
      </c>
      <c r="B1482" s="1">
        <v>200.0</v>
      </c>
      <c r="C1482" s="1" t="s">
        <v>9860</v>
      </c>
      <c r="D1482" s="1" t="s">
        <v>609</v>
      </c>
      <c r="E1482" s="1" t="s">
        <v>631</v>
      </c>
      <c r="F1482" s="1">
        <v>1.0</v>
      </c>
      <c r="G1482" s="1">
        <v>8.0</v>
      </c>
      <c r="H1482" s="1">
        <v>0.125</v>
      </c>
      <c r="I1482" s="1">
        <v>8.0</v>
      </c>
    </row>
    <row r="1483">
      <c r="A1483" s="2" t="s">
        <v>11653</v>
      </c>
      <c r="B1483" s="1">
        <v>200.0</v>
      </c>
      <c r="C1483" s="1" t="s">
        <v>9850</v>
      </c>
      <c r="D1483" s="1" t="s">
        <v>609</v>
      </c>
      <c r="E1483" s="1" t="s">
        <v>631</v>
      </c>
      <c r="F1483" s="1">
        <v>0.0</v>
      </c>
      <c r="G1483" s="1">
        <v>3.0</v>
      </c>
      <c r="H1483" s="1">
        <v>0.0</v>
      </c>
      <c r="I1483" s="1">
        <v>7.33</v>
      </c>
    </row>
    <row r="1484">
      <c r="A1484" s="2" t="s">
        <v>11654</v>
      </c>
      <c r="B1484" s="1">
        <v>200.0</v>
      </c>
      <c r="C1484" s="1" t="s">
        <v>9850</v>
      </c>
      <c r="D1484" s="1" t="s">
        <v>609</v>
      </c>
      <c r="E1484" s="1" t="s">
        <v>631</v>
      </c>
      <c r="F1484" s="1">
        <v>0.0</v>
      </c>
      <c r="G1484" s="1">
        <v>5.0</v>
      </c>
      <c r="H1484" s="1">
        <v>0.0</v>
      </c>
      <c r="I1484" s="1">
        <v>12.8</v>
      </c>
    </row>
    <row r="1485">
      <c r="A1485" s="2" t="s">
        <v>11655</v>
      </c>
      <c r="B1485" s="1">
        <v>200.0</v>
      </c>
      <c r="C1485" s="1" t="s">
        <v>9860</v>
      </c>
      <c r="D1485" s="1" t="s">
        <v>609</v>
      </c>
      <c r="E1485" s="1" t="s">
        <v>631</v>
      </c>
      <c r="F1485" s="1">
        <v>1.0</v>
      </c>
      <c r="G1485" s="1">
        <v>8.0</v>
      </c>
      <c r="H1485" s="1">
        <v>0.125</v>
      </c>
      <c r="I1485" s="1">
        <v>13.0</v>
      </c>
    </row>
    <row r="1486">
      <c r="A1486" s="2" t="s">
        <v>11656</v>
      </c>
      <c r="B1486" s="1">
        <v>200.0</v>
      </c>
      <c r="C1486" s="1" t="s">
        <v>9840</v>
      </c>
      <c r="D1486" s="1" t="s">
        <v>609</v>
      </c>
      <c r="E1486" s="1" t="s">
        <v>631</v>
      </c>
    </row>
    <row r="1487">
      <c r="A1487" s="2" t="s">
        <v>11657</v>
      </c>
      <c r="B1487" s="1">
        <v>200.0</v>
      </c>
      <c r="C1487" s="1" t="s">
        <v>9846</v>
      </c>
      <c r="D1487" s="1" t="s">
        <v>609</v>
      </c>
      <c r="E1487" s="1" t="s">
        <v>631</v>
      </c>
      <c r="F1487" s="1">
        <v>0.0</v>
      </c>
      <c r="G1487" s="1">
        <v>11.0</v>
      </c>
      <c r="H1487" s="1">
        <v>0.0</v>
      </c>
      <c r="I1487" s="1">
        <v>8.82</v>
      </c>
    </row>
    <row r="1488">
      <c r="A1488" s="2" t="s">
        <v>11658</v>
      </c>
      <c r="B1488" s="1">
        <v>404.0</v>
      </c>
      <c r="D1488" s="1" t="s">
        <v>609</v>
      </c>
      <c r="E1488" s="1" t="s">
        <v>902</v>
      </c>
    </row>
    <row r="1489">
      <c r="A1489" s="2" t="s">
        <v>11659</v>
      </c>
      <c r="B1489" s="1">
        <v>200.0</v>
      </c>
      <c r="C1489" s="1" t="s">
        <v>9844</v>
      </c>
      <c r="D1489" s="1" t="s">
        <v>609</v>
      </c>
      <c r="E1489" s="1" t="s">
        <v>631</v>
      </c>
      <c r="F1489" s="1">
        <v>0.0</v>
      </c>
      <c r="G1489" s="1">
        <v>19.0</v>
      </c>
      <c r="H1489" s="1">
        <v>0.0</v>
      </c>
      <c r="I1489" s="1">
        <v>6.32</v>
      </c>
    </row>
    <row r="1490">
      <c r="A1490" s="2" t="s">
        <v>11660</v>
      </c>
      <c r="B1490" s="1">
        <v>200.0</v>
      </c>
      <c r="C1490" s="1" t="s">
        <v>9844</v>
      </c>
      <c r="D1490" s="1" t="s">
        <v>609</v>
      </c>
      <c r="E1490" s="1" t="s">
        <v>631</v>
      </c>
      <c r="F1490" s="1">
        <v>1.0</v>
      </c>
      <c r="G1490" s="1">
        <v>23.0</v>
      </c>
      <c r="H1490" s="1">
        <v>0.043</v>
      </c>
      <c r="I1490" s="1">
        <v>8.43</v>
      </c>
    </row>
    <row r="1491">
      <c r="A1491" s="2" t="s">
        <v>11661</v>
      </c>
      <c r="B1491" s="1">
        <v>200.0</v>
      </c>
      <c r="C1491" s="1" t="s">
        <v>9844</v>
      </c>
      <c r="D1491" s="1" t="s">
        <v>609</v>
      </c>
      <c r="E1491" s="1" t="s">
        <v>631</v>
      </c>
    </row>
    <row r="1492">
      <c r="A1492" s="2" t="s">
        <v>11662</v>
      </c>
      <c r="B1492" s="1">
        <v>200.0</v>
      </c>
      <c r="C1492" s="1" t="s">
        <v>9844</v>
      </c>
      <c r="D1492" s="1" t="s">
        <v>609</v>
      </c>
      <c r="E1492" s="1" t="s">
        <v>631</v>
      </c>
      <c r="F1492" s="1">
        <v>0.0</v>
      </c>
      <c r="G1492" s="1">
        <v>44.0</v>
      </c>
      <c r="H1492" s="1">
        <v>0.0</v>
      </c>
      <c r="I1492" s="1">
        <v>8.02</v>
      </c>
    </row>
    <row r="1493">
      <c r="A1493" s="2" t="s">
        <v>11663</v>
      </c>
      <c r="B1493" s="1">
        <v>200.0</v>
      </c>
      <c r="C1493" s="1" t="s">
        <v>9842</v>
      </c>
      <c r="D1493" s="1" t="s">
        <v>609</v>
      </c>
      <c r="E1493" s="1" t="s">
        <v>631</v>
      </c>
    </row>
    <row r="1494">
      <c r="A1494" s="2" t="s">
        <v>11664</v>
      </c>
      <c r="B1494" s="1">
        <v>404.0</v>
      </c>
      <c r="D1494" s="1" t="s">
        <v>609</v>
      </c>
      <c r="E1494" s="1" t="s">
        <v>902</v>
      </c>
    </row>
    <row r="1495">
      <c r="A1495" s="2" t="s">
        <v>11665</v>
      </c>
      <c r="B1495" s="1">
        <v>200.0</v>
      </c>
      <c r="C1495" s="1" t="s">
        <v>9838</v>
      </c>
      <c r="D1495" s="1" t="s">
        <v>609</v>
      </c>
      <c r="E1495" s="1" t="s">
        <v>631</v>
      </c>
    </row>
    <row r="1496">
      <c r="A1496" s="2" t="s">
        <v>11666</v>
      </c>
      <c r="B1496" s="1">
        <v>200.0</v>
      </c>
      <c r="C1496" s="1" t="s">
        <v>9842</v>
      </c>
      <c r="D1496" s="1" t="s">
        <v>609</v>
      </c>
      <c r="E1496" s="1" t="s">
        <v>631</v>
      </c>
      <c r="F1496" s="1">
        <v>0.0</v>
      </c>
      <c r="G1496" s="1">
        <v>2.0</v>
      </c>
      <c r="H1496" s="1">
        <v>0.0</v>
      </c>
      <c r="I1496" s="1">
        <v>11.0</v>
      </c>
    </row>
    <row r="1497">
      <c r="A1497" s="2" t="s">
        <v>11667</v>
      </c>
      <c r="B1497" s="1">
        <v>404.0</v>
      </c>
      <c r="D1497" s="1" t="s">
        <v>609</v>
      </c>
      <c r="E1497" s="1" t="s">
        <v>902</v>
      </c>
    </row>
    <row r="1498">
      <c r="A1498" s="2" t="s">
        <v>11668</v>
      </c>
      <c r="B1498" s="1">
        <v>200.0</v>
      </c>
      <c r="C1498" s="1" t="s">
        <v>9842</v>
      </c>
      <c r="D1498" s="1" t="s">
        <v>609</v>
      </c>
      <c r="E1498" s="1" t="s">
        <v>631</v>
      </c>
      <c r="F1498" s="1">
        <v>1.0</v>
      </c>
      <c r="G1498" s="1">
        <v>22.0</v>
      </c>
      <c r="H1498" s="1">
        <v>0.045</v>
      </c>
      <c r="I1498" s="1">
        <v>7.23</v>
      </c>
    </row>
    <row r="1499">
      <c r="A1499" s="2" t="s">
        <v>11669</v>
      </c>
      <c r="B1499" s="1">
        <v>200.0</v>
      </c>
      <c r="C1499" s="1" t="s">
        <v>9838</v>
      </c>
      <c r="D1499" s="1" t="s">
        <v>609</v>
      </c>
      <c r="E1499" s="1" t="s">
        <v>631</v>
      </c>
    </row>
    <row r="1500">
      <c r="A1500" s="2" t="s">
        <v>11670</v>
      </c>
      <c r="B1500" s="1">
        <v>200.0</v>
      </c>
      <c r="C1500" s="1" t="s">
        <v>9842</v>
      </c>
      <c r="D1500" s="1" t="s">
        <v>609</v>
      </c>
      <c r="E1500" s="1" t="s">
        <v>631</v>
      </c>
      <c r="F1500" s="1">
        <v>0.0</v>
      </c>
      <c r="G1500" s="1">
        <v>17.0</v>
      </c>
      <c r="H1500" s="1">
        <v>0.0</v>
      </c>
      <c r="I1500" s="1">
        <v>42.41</v>
      </c>
    </row>
    <row r="1501">
      <c r="A1501" s="2" t="s">
        <v>11671</v>
      </c>
      <c r="B1501" s="1">
        <v>200.0</v>
      </c>
      <c r="C1501" s="1" t="s">
        <v>9840</v>
      </c>
      <c r="D1501" s="1" t="s">
        <v>609</v>
      </c>
      <c r="E1501" s="1" t="s">
        <v>631</v>
      </c>
    </row>
    <row r="1502">
      <c r="A1502" s="2" t="s">
        <v>11672</v>
      </c>
      <c r="B1502" s="1">
        <v>200.0</v>
      </c>
      <c r="C1502" s="1" t="s">
        <v>9840</v>
      </c>
      <c r="D1502" s="1" t="s">
        <v>609</v>
      </c>
      <c r="E1502" s="1" t="s">
        <v>631</v>
      </c>
    </row>
    <row r="1503">
      <c r="A1503" s="2" t="s">
        <v>11673</v>
      </c>
      <c r="B1503" s="1">
        <v>200.0</v>
      </c>
      <c r="C1503" s="1" t="s">
        <v>9840</v>
      </c>
      <c r="D1503" s="1" t="s">
        <v>609</v>
      </c>
      <c r="E1503" s="1" t="s">
        <v>631</v>
      </c>
      <c r="F1503" s="1">
        <v>0.0</v>
      </c>
      <c r="G1503" s="1">
        <v>2.0</v>
      </c>
      <c r="H1503" s="1">
        <v>0.0</v>
      </c>
      <c r="I1503" s="1">
        <v>9.5</v>
      </c>
    </row>
    <row r="1504">
      <c r="A1504" s="2" t="s">
        <v>11674</v>
      </c>
      <c r="B1504" s="1">
        <v>404.0</v>
      </c>
      <c r="D1504" s="1" t="s">
        <v>609</v>
      </c>
      <c r="E1504" s="1" t="s">
        <v>902</v>
      </c>
    </row>
    <row r="1505">
      <c r="A1505" s="2" t="s">
        <v>11675</v>
      </c>
      <c r="B1505" s="1">
        <v>200.0</v>
      </c>
      <c r="C1505" s="1" t="s">
        <v>9838</v>
      </c>
      <c r="D1505" s="1" t="s">
        <v>609</v>
      </c>
      <c r="E1505" s="1" t="s">
        <v>631</v>
      </c>
      <c r="F1505" s="1">
        <v>0.0</v>
      </c>
      <c r="G1505" s="1">
        <v>11.0</v>
      </c>
      <c r="H1505" s="1">
        <v>0.0</v>
      </c>
      <c r="I1505" s="1">
        <v>11.36</v>
      </c>
    </row>
    <row r="1506">
      <c r="A1506" s="2" t="s">
        <v>11676</v>
      </c>
      <c r="B1506" s="1">
        <v>404.0</v>
      </c>
      <c r="D1506" s="1" t="s">
        <v>609</v>
      </c>
      <c r="E1506" s="1" t="s">
        <v>902</v>
      </c>
    </row>
    <row r="1507">
      <c r="A1507" s="2" t="s">
        <v>11677</v>
      </c>
      <c r="B1507" s="1">
        <v>200.0</v>
      </c>
      <c r="C1507" s="1" t="s">
        <v>8996</v>
      </c>
      <c r="D1507" s="1" t="s">
        <v>609</v>
      </c>
      <c r="E1507" s="1" t="s">
        <v>631</v>
      </c>
      <c r="F1507" s="1">
        <v>0.0</v>
      </c>
      <c r="G1507" s="1">
        <v>8.0</v>
      </c>
      <c r="H1507" s="1">
        <v>0.0</v>
      </c>
      <c r="I1507" s="1">
        <v>34.0</v>
      </c>
    </row>
    <row r="1508">
      <c r="A1508" s="2" t="s">
        <v>11678</v>
      </c>
      <c r="B1508" s="1">
        <v>200.0</v>
      </c>
      <c r="C1508" s="1" t="s">
        <v>9838</v>
      </c>
      <c r="D1508" s="1" t="s">
        <v>609</v>
      </c>
      <c r="E1508" s="1" t="s">
        <v>631</v>
      </c>
      <c r="F1508" s="1">
        <v>1.0</v>
      </c>
      <c r="G1508" s="1">
        <v>7.0</v>
      </c>
      <c r="H1508" s="1">
        <v>0.143</v>
      </c>
      <c r="I1508" s="1">
        <v>36.14</v>
      </c>
    </row>
    <row r="1509">
      <c r="A1509" s="2" t="s">
        <v>11679</v>
      </c>
      <c r="B1509" s="1">
        <v>200.0</v>
      </c>
      <c r="C1509" s="1" t="s">
        <v>8996</v>
      </c>
      <c r="D1509" s="1" t="s">
        <v>609</v>
      </c>
      <c r="E1509" s="1" t="s">
        <v>631</v>
      </c>
      <c r="F1509" s="1">
        <v>0.0</v>
      </c>
      <c r="G1509" s="1">
        <v>3.0</v>
      </c>
      <c r="H1509" s="1">
        <v>0.0</v>
      </c>
      <c r="I1509" s="1">
        <v>5.33</v>
      </c>
    </row>
    <row r="1510">
      <c r="A1510" s="2" t="s">
        <v>11680</v>
      </c>
      <c r="B1510" s="1">
        <v>200.0</v>
      </c>
      <c r="C1510" s="1" t="s">
        <v>8996</v>
      </c>
      <c r="D1510" s="1" t="s">
        <v>609</v>
      </c>
      <c r="E1510" s="1" t="s">
        <v>631</v>
      </c>
      <c r="F1510" s="1">
        <v>0.0</v>
      </c>
      <c r="G1510" s="1">
        <v>8.0</v>
      </c>
      <c r="H1510" s="1">
        <v>0.0</v>
      </c>
      <c r="I1510" s="1">
        <v>11.63</v>
      </c>
    </row>
    <row r="1511">
      <c r="A1511" s="2" t="s">
        <v>11681</v>
      </c>
      <c r="B1511" s="1">
        <v>200.0</v>
      </c>
      <c r="C1511" s="1" t="s">
        <v>8996</v>
      </c>
      <c r="D1511" s="1" t="s">
        <v>609</v>
      </c>
      <c r="E1511" s="1" t="s">
        <v>631</v>
      </c>
    </row>
    <row r="1512">
      <c r="A1512" s="2" t="s">
        <v>11682</v>
      </c>
      <c r="B1512" s="1">
        <v>200.0</v>
      </c>
      <c r="C1512" s="1" t="s">
        <v>8986</v>
      </c>
      <c r="D1512" s="1" t="s">
        <v>609</v>
      </c>
      <c r="E1512" s="1" t="s">
        <v>631</v>
      </c>
    </row>
    <row r="1513">
      <c r="A1513" s="2" t="s">
        <v>11683</v>
      </c>
      <c r="B1513" s="1">
        <v>404.0</v>
      </c>
      <c r="D1513" s="1" t="s">
        <v>609</v>
      </c>
      <c r="E1513" s="1" t="s">
        <v>902</v>
      </c>
    </row>
    <row r="1514">
      <c r="A1514" s="2" t="s">
        <v>11684</v>
      </c>
      <c r="B1514" s="1">
        <v>200.0</v>
      </c>
      <c r="C1514" s="1" t="s">
        <v>8996</v>
      </c>
      <c r="D1514" s="1" t="s">
        <v>609</v>
      </c>
      <c r="E1514" s="1" t="s">
        <v>930</v>
      </c>
    </row>
    <row r="1515">
      <c r="A1515" s="2" t="s">
        <v>11685</v>
      </c>
      <c r="B1515" s="1">
        <v>200.0</v>
      </c>
      <c r="C1515" s="1" t="s">
        <v>8994</v>
      </c>
      <c r="D1515" s="1" t="s">
        <v>609</v>
      </c>
      <c r="E1515" s="1" t="s">
        <v>631</v>
      </c>
      <c r="F1515" s="1">
        <v>0.0</v>
      </c>
      <c r="G1515" s="1">
        <v>3.0</v>
      </c>
      <c r="H1515" s="1">
        <v>0.0</v>
      </c>
      <c r="I1515" s="1">
        <v>11.33</v>
      </c>
    </row>
    <row r="1516">
      <c r="A1516" s="2" t="s">
        <v>11686</v>
      </c>
      <c r="B1516" s="1">
        <v>200.0</v>
      </c>
      <c r="C1516" s="1" t="s">
        <v>8992</v>
      </c>
      <c r="D1516" s="1" t="s">
        <v>609</v>
      </c>
      <c r="E1516" s="1" t="s">
        <v>631</v>
      </c>
      <c r="F1516" s="1">
        <v>0.0</v>
      </c>
      <c r="G1516" s="1">
        <v>12.0</v>
      </c>
      <c r="H1516" s="1">
        <v>0.0</v>
      </c>
      <c r="I1516" s="1">
        <v>36.83</v>
      </c>
    </row>
    <row r="1517">
      <c r="A1517" s="2" t="s">
        <v>11687</v>
      </c>
      <c r="B1517" s="1">
        <v>200.0</v>
      </c>
      <c r="C1517" s="1" t="s">
        <v>8992</v>
      </c>
      <c r="D1517" s="1" t="s">
        <v>609</v>
      </c>
      <c r="E1517" s="1" t="s">
        <v>631</v>
      </c>
    </row>
    <row r="1518">
      <c r="A1518" s="2" t="s">
        <v>11688</v>
      </c>
      <c r="B1518" s="1">
        <v>200.0</v>
      </c>
      <c r="C1518" s="1" t="s">
        <v>11689</v>
      </c>
      <c r="D1518" s="1" t="s">
        <v>583</v>
      </c>
      <c r="F1518" s="1">
        <v>1.0</v>
      </c>
      <c r="G1518" s="1">
        <v>674.0</v>
      </c>
      <c r="H1518" s="1">
        <v>0.002</v>
      </c>
      <c r="I1518" s="1">
        <v>4.76</v>
      </c>
    </row>
    <row r="1519">
      <c r="A1519" s="2" t="s">
        <v>11690</v>
      </c>
      <c r="B1519" s="1">
        <v>200.0</v>
      </c>
      <c r="C1519" s="1" t="s">
        <v>8992</v>
      </c>
      <c r="D1519" s="1" t="s">
        <v>609</v>
      </c>
      <c r="E1519" s="1" t="s">
        <v>631</v>
      </c>
      <c r="F1519" s="1">
        <v>0.0</v>
      </c>
      <c r="G1519" s="1">
        <v>3.0</v>
      </c>
      <c r="H1519" s="1">
        <v>0.0</v>
      </c>
      <c r="I1519" s="1">
        <v>13.0</v>
      </c>
    </row>
    <row r="1520">
      <c r="A1520" s="2" t="s">
        <v>11691</v>
      </c>
      <c r="B1520" s="1">
        <v>200.0</v>
      </c>
      <c r="C1520" s="1" t="s">
        <v>8992</v>
      </c>
      <c r="D1520" s="1" t="s">
        <v>609</v>
      </c>
      <c r="E1520" s="1" t="s">
        <v>631</v>
      </c>
      <c r="F1520" s="1">
        <v>0.0</v>
      </c>
      <c r="G1520" s="1">
        <v>11.0</v>
      </c>
      <c r="H1520" s="1">
        <v>0.0</v>
      </c>
      <c r="I1520" s="1">
        <v>33.0</v>
      </c>
    </row>
    <row r="1521">
      <c r="A1521" s="2" t="s">
        <v>11692</v>
      </c>
      <c r="B1521" s="1">
        <v>200.0</v>
      </c>
      <c r="C1521" s="1" t="s">
        <v>8994</v>
      </c>
      <c r="D1521" s="1" t="s">
        <v>609</v>
      </c>
      <c r="E1521" s="1" t="s">
        <v>631</v>
      </c>
      <c r="F1521" s="1">
        <v>0.0</v>
      </c>
      <c r="G1521" s="1">
        <v>1.0</v>
      </c>
      <c r="H1521" s="1">
        <v>0.0</v>
      </c>
      <c r="I1521" s="1">
        <v>11.0</v>
      </c>
    </row>
    <row r="1522">
      <c r="A1522" s="2" t="s">
        <v>11693</v>
      </c>
      <c r="B1522" s="1">
        <v>200.0</v>
      </c>
      <c r="C1522" s="1" t="s">
        <v>11694</v>
      </c>
      <c r="D1522" s="1" t="s">
        <v>583</v>
      </c>
      <c r="F1522" s="1">
        <v>6.0</v>
      </c>
      <c r="G1522" s="1">
        <v>379.0</v>
      </c>
      <c r="H1522" s="1">
        <v>0.016</v>
      </c>
      <c r="I1522" s="1">
        <v>10.03</v>
      </c>
    </row>
    <row r="1523">
      <c r="A1523" s="2" t="s">
        <v>11695</v>
      </c>
      <c r="B1523" s="1">
        <v>200.0</v>
      </c>
      <c r="C1523" s="1" t="s">
        <v>11696</v>
      </c>
      <c r="D1523" s="1" t="s">
        <v>583</v>
      </c>
    </row>
    <row r="1524">
      <c r="A1524" s="2" t="s">
        <v>11697</v>
      </c>
      <c r="B1524" s="1">
        <v>200.0</v>
      </c>
      <c r="C1524" s="1" t="s">
        <v>11698</v>
      </c>
      <c r="D1524" s="1" t="s">
        <v>583</v>
      </c>
      <c r="F1524" s="1">
        <v>1.0</v>
      </c>
      <c r="G1524" s="1">
        <v>373.0</v>
      </c>
      <c r="H1524" s="1">
        <v>0.003</v>
      </c>
      <c r="I1524" s="1">
        <v>12.35</v>
      </c>
    </row>
    <row r="1525">
      <c r="A1525" s="2" t="s">
        <v>11699</v>
      </c>
      <c r="B1525" s="1">
        <v>200.0</v>
      </c>
      <c r="C1525" s="1" t="s">
        <v>9007</v>
      </c>
      <c r="D1525" s="1" t="s">
        <v>609</v>
      </c>
      <c r="E1525" s="1" t="s">
        <v>631</v>
      </c>
    </row>
    <row r="1526">
      <c r="A1526" s="2" t="s">
        <v>11700</v>
      </c>
      <c r="B1526" s="1">
        <v>200.0</v>
      </c>
      <c r="C1526" s="1" t="s">
        <v>8986</v>
      </c>
      <c r="D1526" s="1" t="s">
        <v>609</v>
      </c>
      <c r="E1526" s="1" t="s">
        <v>631</v>
      </c>
    </row>
    <row r="1527">
      <c r="A1527" s="2" t="s">
        <v>11701</v>
      </c>
      <c r="B1527" s="1">
        <v>200.0</v>
      </c>
      <c r="C1527" s="1" t="s">
        <v>9212</v>
      </c>
      <c r="D1527" s="1" t="s">
        <v>609</v>
      </c>
      <c r="E1527" s="1" t="s">
        <v>631</v>
      </c>
      <c r="F1527" s="1">
        <v>0.0</v>
      </c>
      <c r="G1527" s="1">
        <v>1.0</v>
      </c>
      <c r="H1527" s="1">
        <v>0.0</v>
      </c>
      <c r="I1527" s="1">
        <v>9.0</v>
      </c>
    </row>
    <row r="1528">
      <c r="A1528" s="2" t="s">
        <v>11702</v>
      </c>
      <c r="B1528" s="1">
        <v>200.0</v>
      </c>
      <c r="C1528" s="1" t="s">
        <v>9212</v>
      </c>
      <c r="D1528" s="1" t="s">
        <v>609</v>
      </c>
      <c r="E1528" s="1" t="s">
        <v>631</v>
      </c>
    </row>
    <row r="1529">
      <c r="A1529" s="2" t="s">
        <v>11703</v>
      </c>
      <c r="B1529" s="1">
        <v>200.0</v>
      </c>
      <c r="C1529" s="1" t="s">
        <v>11704</v>
      </c>
      <c r="D1529" s="1" t="s">
        <v>583</v>
      </c>
      <c r="F1529" s="1">
        <v>1.0</v>
      </c>
      <c r="G1529" s="1">
        <v>95.0</v>
      </c>
      <c r="H1529" s="1">
        <v>0.011</v>
      </c>
      <c r="I1529" s="1">
        <v>37.07</v>
      </c>
    </row>
    <row r="1530">
      <c r="A1530" s="2" t="s">
        <v>11705</v>
      </c>
      <c r="B1530" s="1">
        <v>200.0</v>
      </c>
      <c r="C1530" s="1" t="s">
        <v>11706</v>
      </c>
      <c r="D1530" s="1" t="s">
        <v>583</v>
      </c>
      <c r="F1530" s="1">
        <v>0.0</v>
      </c>
      <c r="G1530" s="1">
        <v>26.0</v>
      </c>
      <c r="H1530" s="1">
        <v>0.0</v>
      </c>
      <c r="I1530" s="1">
        <v>18.08</v>
      </c>
    </row>
    <row r="1531">
      <c r="A1531" s="2" t="s">
        <v>11707</v>
      </c>
      <c r="B1531" s="1">
        <v>200.0</v>
      </c>
      <c r="C1531" s="1" t="s">
        <v>11708</v>
      </c>
      <c r="D1531" s="1" t="s">
        <v>583</v>
      </c>
      <c r="F1531" s="1">
        <v>0.0</v>
      </c>
      <c r="G1531" s="1">
        <v>50.0</v>
      </c>
      <c r="H1531" s="1">
        <v>0.0</v>
      </c>
      <c r="I1531" s="1">
        <v>21.64</v>
      </c>
    </row>
    <row r="1532">
      <c r="A1532" s="2" t="s">
        <v>11709</v>
      </c>
      <c r="B1532" s="1">
        <v>200.0</v>
      </c>
      <c r="C1532" s="1" t="s">
        <v>9011</v>
      </c>
      <c r="D1532" s="1" t="s">
        <v>609</v>
      </c>
      <c r="E1532" s="1" t="s">
        <v>631</v>
      </c>
      <c r="F1532" s="1">
        <v>0.0</v>
      </c>
      <c r="G1532" s="1">
        <v>1.0</v>
      </c>
      <c r="H1532" s="1">
        <v>0.0</v>
      </c>
      <c r="I1532" s="1">
        <v>32.0</v>
      </c>
    </row>
    <row r="1533">
      <c r="A1533" s="2" t="s">
        <v>11710</v>
      </c>
      <c r="B1533" s="1">
        <v>200.0</v>
      </c>
      <c r="C1533" s="1" t="s">
        <v>9011</v>
      </c>
      <c r="D1533" s="1" t="s">
        <v>609</v>
      </c>
      <c r="E1533" s="1" t="s">
        <v>631</v>
      </c>
      <c r="F1533" s="1">
        <v>0.0</v>
      </c>
      <c r="G1533" s="1">
        <v>5.0</v>
      </c>
      <c r="H1533" s="1">
        <v>0.0</v>
      </c>
      <c r="I1533" s="1">
        <v>6.6</v>
      </c>
    </row>
    <row r="1534">
      <c r="A1534" s="2" t="s">
        <v>11711</v>
      </c>
      <c r="B1534" s="1">
        <v>200.0</v>
      </c>
      <c r="C1534" s="1" t="s">
        <v>8986</v>
      </c>
      <c r="D1534" s="1" t="s">
        <v>609</v>
      </c>
      <c r="E1534" s="1" t="s">
        <v>631</v>
      </c>
    </row>
    <row r="1535">
      <c r="A1535" s="2" t="s">
        <v>11712</v>
      </c>
      <c r="B1535" s="1">
        <v>200.0</v>
      </c>
      <c r="C1535" s="1" t="s">
        <v>8986</v>
      </c>
      <c r="D1535" s="1" t="s">
        <v>609</v>
      </c>
      <c r="E1535" s="1" t="s">
        <v>631</v>
      </c>
      <c r="F1535" s="1">
        <v>0.0</v>
      </c>
      <c r="G1535" s="1">
        <v>23.0</v>
      </c>
      <c r="H1535" s="1">
        <v>0.0</v>
      </c>
      <c r="I1535" s="1">
        <v>27.13</v>
      </c>
    </row>
    <row r="1536">
      <c r="A1536" s="2" t="s">
        <v>11713</v>
      </c>
      <c r="B1536" s="1">
        <v>200.0</v>
      </c>
      <c r="C1536" s="1" t="s">
        <v>9011</v>
      </c>
      <c r="D1536" s="1" t="s">
        <v>609</v>
      </c>
      <c r="E1536" s="1" t="s">
        <v>631</v>
      </c>
      <c r="F1536" s="1">
        <v>0.0</v>
      </c>
      <c r="G1536" s="1">
        <v>5.0</v>
      </c>
      <c r="H1536" s="1">
        <v>0.0</v>
      </c>
      <c r="I1536" s="1">
        <v>11.4</v>
      </c>
    </row>
    <row r="1537">
      <c r="A1537" s="2" t="s">
        <v>11714</v>
      </c>
      <c r="B1537" s="1">
        <v>200.0</v>
      </c>
      <c r="C1537" s="1" t="s">
        <v>9011</v>
      </c>
      <c r="D1537" s="1" t="s">
        <v>609</v>
      </c>
      <c r="E1537" s="1" t="s">
        <v>631</v>
      </c>
      <c r="F1537" s="1">
        <v>1.0</v>
      </c>
      <c r="G1537" s="1">
        <v>46.0</v>
      </c>
      <c r="H1537" s="1">
        <v>0.022</v>
      </c>
      <c r="I1537" s="1">
        <v>6.11</v>
      </c>
    </row>
    <row r="1538">
      <c r="A1538" s="2" t="s">
        <v>11715</v>
      </c>
      <c r="B1538" s="1">
        <v>200.0</v>
      </c>
      <c r="C1538" s="1" t="s">
        <v>9007</v>
      </c>
      <c r="D1538" s="1" t="s">
        <v>609</v>
      </c>
      <c r="E1538" s="1" t="s">
        <v>631</v>
      </c>
    </row>
    <row r="1539">
      <c r="A1539" s="2" t="s">
        <v>11716</v>
      </c>
      <c r="B1539" s="1">
        <v>200.0</v>
      </c>
      <c r="C1539" s="1" t="s">
        <v>9007</v>
      </c>
      <c r="D1539" s="1" t="s">
        <v>609</v>
      </c>
      <c r="E1539" s="1" t="s">
        <v>631</v>
      </c>
    </row>
    <row r="1540">
      <c r="A1540" s="2" t="s">
        <v>11717</v>
      </c>
      <c r="B1540" s="1">
        <v>200.0</v>
      </c>
      <c r="C1540" s="1" t="s">
        <v>9007</v>
      </c>
      <c r="D1540" s="1" t="s">
        <v>609</v>
      </c>
      <c r="E1540" s="1" t="s">
        <v>631</v>
      </c>
    </row>
    <row r="1541">
      <c r="A1541" s="2" t="s">
        <v>11718</v>
      </c>
      <c r="B1541" s="1">
        <v>200.0</v>
      </c>
      <c r="C1541" s="1" t="s">
        <v>11719</v>
      </c>
      <c r="D1541" s="1" t="s">
        <v>583</v>
      </c>
      <c r="F1541" s="1">
        <v>3.0</v>
      </c>
      <c r="G1541" s="1">
        <v>850.0</v>
      </c>
      <c r="H1541" s="1">
        <v>0.004</v>
      </c>
      <c r="I1541" s="1">
        <v>6.72</v>
      </c>
    </row>
    <row r="1542">
      <c r="A1542" s="2" t="s">
        <v>11720</v>
      </c>
      <c r="B1542" s="1">
        <v>200.0</v>
      </c>
      <c r="C1542" s="1" t="s">
        <v>11721</v>
      </c>
      <c r="D1542" s="1" t="s">
        <v>583</v>
      </c>
      <c r="F1542" s="1">
        <v>0.0</v>
      </c>
      <c r="G1542" s="1">
        <v>40.0</v>
      </c>
      <c r="H1542" s="1">
        <v>0.0</v>
      </c>
      <c r="I1542" s="1">
        <v>14.55</v>
      </c>
    </row>
    <row r="1543">
      <c r="A1543" s="2" t="s">
        <v>11722</v>
      </c>
      <c r="B1543" s="1">
        <v>200.0</v>
      </c>
      <c r="C1543" s="1" t="s">
        <v>11723</v>
      </c>
      <c r="D1543" s="1" t="s">
        <v>583</v>
      </c>
      <c r="F1543" s="1">
        <v>0.0</v>
      </c>
      <c r="G1543" s="1">
        <v>13.0</v>
      </c>
      <c r="H1543" s="1">
        <v>0.0</v>
      </c>
      <c r="I1543" s="1">
        <v>8.54</v>
      </c>
    </row>
    <row r="1544">
      <c r="A1544" s="2" t="s">
        <v>11724</v>
      </c>
      <c r="B1544" s="1">
        <v>200.0</v>
      </c>
      <c r="C1544" s="1" t="s">
        <v>9212</v>
      </c>
      <c r="D1544" s="1" t="s">
        <v>609</v>
      </c>
      <c r="E1544" s="1" t="s">
        <v>631</v>
      </c>
    </row>
    <row r="1545">
      <c r="A1545" s="2" t="s">
        <v>11725</v>
      </c>
      <c r="B1545" s="1">
        <v>200.0</v>
      </c>
      <c r="C1545" s="1" t="s">
        <v>11726</v>
      </c>
      <c r="D1545" s="1" t="s">
        <v>583</v>
      </c>
      <c r="F1545" s="1">
        <v>0.0</v>
      </c>
      <c r="G1545" s="1">
        <v>9.0</v>
      </c>
      <c r="H1545" s="1">
        <v>0.0</v>
      </c>
      <c r="I1545" s="1">
        <v>16.56</v>
      </c>
    </row>
    <row r="1546">
      <c r="A1546" s="2" t="s">
        <v>11727</v>
      </c>
      <c r="B1546" s="1">
        <v>200.0</v>
      </c>
      <c r="C1546" s="1" t="s">
        <v>11728</v>
      </c>
      <c r="D1546" s="1" t="s">
        <v>583</v>
      </c>
    </row>
    <row r="1547">
      <c r="A1547" s="2" t="s">
        <v>11729</v>
      </c>
      <c r="B1547" s="1">
        <v>200.0</v>
      </c>
      <c r="C1547" s="1" t="s">
        <v>9212</v>
      </c>
      <c r="D1547" s="1" t="s">
        <v>609</v>
      </c>
      <c r="E1547" s="1" t="s">
        <v>631</v>
      </c>
      <c r="F1547" s="1">
        <v>0.0</v>
      </c>
      <c r="G1547" s="1">
        <v>2.0</v>
      </c>
      <c r="H1547" s="1">
        <v>0.0</v>
      </c>
      <c r="I1547" s="1">
        <v>7.0</v>
      </c>
    </row>
    <row r="1548">
      <c r="A1548" s="2" t="s">
        <v>11730</v>
      </c>
      <c r="B1548" s="1">
        <v>200.0</v>
      </c>
      <c r="C1548" s="1" t="s">
        <v>11731</v>
      </c>
      <c r="D1548" s="1" t="s">
        <v>583</v>
      </c>
      <c r="F1548" s="1">
        <v>30.0</v>
      </c>
      <c r="G1548" s="1">
        <v>2180.0</v>
      </c>
      <c r="H1548" s="1">
        <v>0.014</v>
      </c>
      <c r="I1548" s="1">
        <v>16.03</v>
      </c>
    </row>
    <row r="1549">
      <c r="A1549" s="2" t="s">
        <v>11732</v>
      </c>
      <c r="B1549" s="1">
        <v>200.0</v>
      </c>
      <c r="C1549" s="1" t="s">
        <v>11733</v>
      </c>
      <c r="D1549" s="1" t="s">
        <v>583</v>
      </c>
      <c r="F1549" s="1">
        <v>0.0</v>
      </c>
      <c r="G1549" s="1">
        <v>30.0</v>
      </c>
      <c r="H1549" s="1">
        <v>0.0</v>
      </c>
      <c r="I1549" s="1">
        <v>20.47</v>
      </c>
    </row>
    <row r="1550">
      <c r="A1550" s="2" t="s">
        <v>11734</v>
      </c>
      <c r="B1550" s="1">
        <v>200.0</v>
      </c>
      <c r="C1550" s="1" t="s">
        <v>11735</v>
      </c>
      <c r="D1550" s="1" t="s">
        <v>583</v>
      </c>
      <c r="F1550" s="1">
        <v>14.0</v>
      </c>
      <c r="G1550" s="1">
        <v>2157.0</v>
      </c>
      <c r="H1550" s="1">
        <v>0.006</v>
      </c>
      <c r="I1550" s="1">
        <v>5.08</v>
      </c>
    </row>
    <row r="1551">
      <c r="A1551" s="2" t="s">
        <v>11736</v>
      </c>
      <c r="B1551" s="1">
        <v>200.0</v>
      </c>
      <c r="C1551" s="1" t="s">
        <v>11737</v>
      </c>
      <c r="D1551" s="1" t="s">
        <v>583</v>
      </c>
      <c r="F1551" s="1">
        <v>13.0</v>
      </c>
      <c r="G1551" s="1">
        <v>2784.0</v>
      </c>
      <c r="H1551" s="1">
        <v>0.005</v>
      </c>
      <c r="I1551" s="1">
        <v>15.45</v>
      </c>
    </row>
    <row r="1552">
      <c r="A1552" s="2" t="s">
        <v>11738</v>
      </c>
      <c r="B1552" s="1">
        <v>200.0</v>
      </c>
      <c r="C1552" s="1" t="s">
        <v>11739</v>
      </c>
      <c r="D1552" s="1" t="s">
        <v>583</v>
      </c>
      <c r="F1552" s="1">
        <v>0.0</v>
      </c>
      <c r="G1552" s="1">
        <v>5.0</v>
      </c>
      <c r="H1552" s="1">
        <v>0.0</v>
      </c>
      <c r="I1552" s="1">
        <v>10.4</v>
      </c>
    </row>
    <row r="1553">
      <c r="A1553" s="2" t="s">
        <v>11740</v>
      </c>
      <c r="B1553" s="1">
        <v>200.0</v>
      </c>
      <c r="C1553" s="1" t="s">
        <v>11741</v>
      </c>
      <c r="D1553" s="1" t="s">
        <v>583</v>
      </c>
      <c r="F1553" s="1">
        <v>0.0</v>
      </c>
      <c r="G1553" s="1">
        <v>10.0</v>
      </c>
      <c r="H1553" s="1">
        <v>0.0</v>
      </c>
      <c r="I1553" s="1">
        <v>16.6</v>
      </c>
    </row>
    <row r="1554">
      <c r="A1554" s="2" t="s">
        <v>11742</v>
      </c>
      <c r="B1554" s="1">
        <v>200.0</v>
      </c>
      <c r="C1554" s="1" t="s">
        <v>11743</v>
      </c>
      <c r="D1554" s="1" t="s">
        <v>583</v>
      </c>
      <c r="F1554" s="1">
        <v>0.0</v>
      </c>
      <c r="G1554" s="1">
        <v>26.0</v>
      </c>
      <c r="H1554" s="1">
        <v>0.0</v>
      </c>
      <c r="I1554" s="1">
        <v>40.04</v>
      </c>
    </row>
    <row r="1555">
      <c r="A1555" s="2" t="s">
        <v>11744</v>
      </c>
      <c r="B1555" s="1">
        <v>200.0</v>
      </c>
      <c r="C1555" s="1" t="s">
        <v>11745</v>
      </c>
      <c r="D1555" s="1" t="s">
        <v>583</v>
      </c>
      <c r="F1555" s="1">
        <v>0.0</v>
      </c>
      <c r="G1555" s="1">
        <v>20.0</v>
      </c>
      <c r="H1555" s="1">
        <v>0.0</v>
      </c>
      <c r="I1555" s="1">
        <v>18.25</v>
      </c>
    </row>
    <row r="1556">
      <c r="A1556" s="2" t="s">
        <v>11746</v>
      </c>
      <c r="B1556" s="1">
        <v>200.0</v>
      </c>
      <c r="C1556" s="1" t="s">
        <v>11747</v>
      </c>
      <c r="D1556" s="1" t="s">
        <v>583</v>
      </c>
      <c r="F1556" s="1">
        <v>0.0</v>
      </c>
      <c r="G1556" s="1">
        <v>18.0</v>
      </c>
      <c r="H1556" s="1">
        <v>0.0</v>
      </c>
      <c r="I1556" s="1">
        <v>20.83</v>
      </c>
    </row>
    <row r="1557">
      <c r="A1557" s="2" t="s">
        <v>11748</v>
      </c>
      <c r="B1557" s="1">
        <v>200.0</v>
      </c>
      <c r="C1557" s="1" t="s">
        <v>11749</v>
      </c>
      <c r="D1557" s="1" t="s">
        <v>583</v>
      </c>
      <c r="F1557" s="1">
        <v>0.0</v>
      </c>
      <c r="G1557" s="1">
        <v>37.0</v>
      </c>
      <c r="H1557" s="1">
        <v>0.0</v>
      </c>
      <c r="I1557" s="1">
        <v>5.78</v>
      </c>
    </row>
    <row r="1558">
      <c r="A1558" s="2" t="s">
        <v>11750</v>
      </c>
      <c r="B1558" s="1">
        <v>200.0</v>
      </c>
      <c r="C1558" s="1" t="s">
        <v>11751</v>
      </c>
      <c r="D1558" s="1" t="s">
        <v>583</v>
      </c>
      <c r="F1558" s="1">
        <v>0.0</v>
      </c>
      <c r="G1558" s="1">
        <v>6.0</v>
      </c>
      <c r="H1558" s="1">
        <v>0.0</v>
      </c>
      <c r="I1558" s="1">
        <v>14.83</v>
      </c>
    </row>
    <row r="1559">
      <c r="A1559" s="2" t="s">
        <v>11752</v>
      </c>
      <c r="B1559" s="1">
        <v>200.0</v>
      </c>
      <c r="C1559" s="1" t="s">
        <v>11753</v>
      </c>
      <c r="D1559" s="1" t="s">
        <v>583</v>
      </c>
      <c r="F1559" s="1">
        <v>0.0</v>
      </c>
      <c r="G1559" s="1">
        <v>19.0</v>
      </c>
      <c r="H1559" s="1">
        <v>0.0</v>
      </c>
      <c r="I1559" s="1">
        <v>51.79</v>
      </c>
    </row>
    <row r="1560">
      <c r="A1560" s="2" t="s">
        <v>11754</v>
      </c>
      <c r="B1560" s="1">
        <v>200.0</v>
      </c>
      <c r="C1560" s="1" t="s">
        <v>11755</v>
      </c>
      <c r="D1560" s="1" t="s">
        <v>583</v>
      </c>
      <c r="F1560" s="1">
        <v>1.0</v>
      </c>
      <c r="G1560" s="1">
        <v>54.0</v>
      </c>
      <c r="H1560" s="1">
        <v>0.018</v>
      </c>
      <c r="I1560" s="1">
        <v>24.69</v>
      </c>
    </row>
    <row r="1561">
      <c r="A1561" s="2" t="s">
        <v>11756</v>
      </c>
      <c r="B1561" s="1">
        <v>200.0</v>
      </c>
      <c r="C1561" s="1" t="s">
        <v>11757</v>
      </c>
      <c r="D1561" s="1" t="s">
        <v>583</v>
      </c>
      <c r="F1561" s="1">
        <v>0.0</v>
      </c>
      <c r="G1561" s="1">
        <v>14.0</v>
      </c>
      <c r="H1561" s="1">
        <v>0.0</v>
      </c>
      <c r="I1561" s="1">
        <v>18.64</v>
      </c>
    </row>
    <row r="1562">
      <c r="A1562" s="2" t="s">
        <v>11758</v>
      </c>
      <c r="B1562" s="1">
        <v>200.0</v>
      </c>
      <c r="C1562" s="1" t="s">
        <v>11759</v>
      </c>
      <c r="D1562" s="1" t="s">
        <v>583</v>
      </c>
      <c r="F1562" s="1">
        <v>0.0</v>
      </c>
      <c r="G1562" s="1">
        <v>10.0</v>
      </c>
      <c r="H1562" s="1">
        <v>0.0</v>
      </c>
      <c r="I1562" s="1">
        <v>11.8</v>
      </c>
    </row>
    <row r="1563">
      <c r="A1563" s="2" t="s">
        <v>11760</v>
      </c>
      <c r="B1563" s="1">
        <v>200.0</v>
      </c>
      <c r="C1563" s="1" t="s">
        <v>11761</v>
      </c>
      <c r="D1563" s="1" t="s">
        <v>583</v>
      </c>
      <c r="F1563" s="1">
        <v>0.0</v>
      </c>
      <c r="G1563" s="1">
        <v>8.0</v>
      </c>
      <c r="H1563" s="1">
        <v>0.0</v>
      </c>
      <c r="I1563" s="1">
        <v>17.25</v>
      </c>
    </row>
    <row r="1564">
      <c r="A1564" s="2" t="s">
        <v>11762</v>
      </c>
      <c r="B1564" s="1">
        <v>200.0</v>
      </c>
      <c r="C1564" s="1" t="s">
        <v>11763</v>
      </c>
      <c r="D1564" s="1" t="s">
        <v>583</v>
      </c>
    </row>
    <row r="1565">
      <c r="A1565" s="2" t="s">
        <v>11764</v>
      </c>
      <c r="B1565" s="1">
        <v>200.0</v>
      </c>
      <c r="C1565" s="1" t="s">
        <v>11765</v>
      </c>
      <c r="D1565" s="1" t="s">
        <v>583</v>
      </c>
      <c r="F1565" s="1">
        <v>0.0</v>
      </c>
      <c r="G1565" s="1">
        <v>31.0</v>
      </c>
      <c r="H1565" s="1">
        <v>0.0</v>
      </c>
      <c r="I1565" s="1">
        <v>7.87</v>
      </c>
    </row>
    <row r="1566">
      <c r="A1566" s="2" t="s">
        <v>11766</v>
      </c>
      <c r="B1566" s="1">
        <v>200.0</v>
      </c>
      <c r="C1566" s="1" t="s">
        <v>11767</v>
      </c>
      <c r="D1566" s="1" t="s">
        <v>583</v>
      </c>
      <c r="F1566" s="1">
        <v>0.0</v>
      </c>
      <c r="G1566" s="1">
        <v>13.0</v>
      </c>
      <c r="H1566" s="1">
        <v>0.0</v>
      </c>
      <c r="I1566" s="1">
        <v>43.0</v>
      </c>
    </row>
    <row r="1567">
      <c r="A1567" s="2" t="s">
        <v>11768</v>
      </c>
      <c r="B1567" s="1">
        <v>200.0</v>
      </c>
      <c r="C1567" s="1" t="s">
        <v>11769</v>
      </c>
      <c r="D1567" s="1" t="s">
        <v>583</v>
      </c>
      <c r="F1567" s="1">
        <v>0.0</v>
      </c>
      <c r="G1567" s="1">
        <v>12.0</v>
      </c>
      <c r="H1567" s="1">
        <v>0.0</v>
      </c>
      <c r="I1567" s="1">
        <v>24.17</v>
      </c>
    </row>
    <row r="1568">
      <c r="A1568" s="2" t="s">
        <v>11770</v>
      </c>
      <c r="B1568" s="1">
        <v>200.0</v>
      </c>
      <c r="C1568" s="1" t="s">
        <v>11771</v>
      </c>
      <c r="D1568" s="1" t="s">
        <v>583</v>
      </c>
      <c r="F1568" s="1">
        <v>0.0</v>
      </c>
      <c r="G1568" s="1">
        <v>99.0</v>
      </c>
      <c r="H1568" s="1">
        <v>0.0</v>
      </c>
      <c r="I1568" s="1">
        <v>14.88</v>
      </c>
    </row>
    <row r="1569">
      <c r="A1569" s="2" t="s">
        <v>11772</v>
      </c>
      <c r="B1569" s="1">
        <v>200.0</v>
      </c>
      <c r="C1569" s="1" t="s">
        <v>11773</v>
      </c>
      <c r="D1569" s="1" t="s">
        <v>583</v>
      </c>
      <c r="F1569" s="1">
        <v>0.0</v>
      </c>
      <c r="G1569" s="1">
        <v>10.0</v>
      </c>
      <c r="H1569" s="1">
        <v>0.0</v>
      </c>
      <c r="I1569" s="1">
        <v>16.4</v>
      </c>
    </row>
    <row r="1570">
      <c r="A1570" s="2" t="s">
        <v>11774</v>
      </c>
      <c r="B1570" s="1">
        <v>200.0</v>
      </c>
      <c r="C1570" s="1" t="s">
        <v>11775</v>
      </c>
      <c r="D1570" s="1" t="s">
        <v>583</v>
      </c>
      <c r="F1570" s="1">
        <v>0.0</v>
      </c>
      <c r="G1570" s="1">
        <v>29.0</v>
      </c>
      <c r="H1570" s="1">
        <v>0.0</v>
      </c>
      <c r="I1570" s="1">
        <v>12.41</v>
      </c>
    </row>
    <row r="1571">
      <c r="A1571" s="2" t="s">
        <v>11776</v>
      </c>
      <c r="B1571" s="1">
        <v>200.0</v>
      </c>
      <c r="C1571" s="1" t="s">
        <v>11777</v>
      </c>
      <c r="D1571" s="1" t="s">
        <v>583</v>
      </c>
      <c r="F1571" s="1">
        <v>0.0</v>
      </c>
      <c r="G1571" s="1">
        <v>4.0</v>
      </c>
      <c r="H1571" s="1">
        <v>0.0</v>
      </c>
      <c r="I1571" s="1">
        <v>17.5</v>
      </c>
    </row>
    <row r="1572">
      <c r="A1572" s="2" t="s">
        <v>11778</v>
      </c>
      <c r="B1572" s="1">
        <v>200.0</v>
      </c>
      <c r="C1572" s="1" t="s">
        <v>11779</v>
      </c>
      <c r="D1572" s="1" t="s">
        <v>583</v>
      </c>
      <c r="F1572" s="1">
        <v>0.0</v>
      </c>
      <c r="G1572" s="1">
        <v>22.0</v>
      </c>
      <c r="H1572" s="1">
        <v>0.0</v>
      </c>
      <c r="I1572" s="1">
        <v>9.27</v>
      </c>
    </row>
    <row r="1573">
      <c r="A1573" s="2" t="s">
        <v>11780</v>
      </c>
      <c r="B1573" s="1">
        <v>301.0</v>
      </c>
      <c r="D1573" s="1" t="s">
        <v>609</v>
      </c>
      <c r="E1573" s="1" t="s">
        <v>610</v>
      </c>
    </row>
    <row r="1574">
      <c r="A1574" s="2" t="s">
        <v>11781</v>
      </c>
      <c r="B1574" s="1">
        <v>307.0</v>
      </c>
      <c r="D1574" s="1" t="s">
        <v>609</v>
      </c>
      <c r="E1574" s="1" t="s">
        <v>610</v>
      </c>
    </row>
    <row r="1575">
      <c r="A1575" s="2" t="s">
        <v>11782</v>
      </c>
      <c r="B1575" s="1">
        <v>301.0</v>
      </c>
      <c r="D1575" s="1" t="s">
        <v>609</v>
      </c>
      <c r="E1575" s="1" t="s">
        <v>610</v>
      </c>
    </row>
    <row r="1576">
      <c r="A1576" s="2" t="s">
        <v>11783</v>
      </c>
      <c r="B1576" s="1">
        <v>307.0</v>
      </c>
      <c r="D1576" s="1" t="s">
        <v>609</v>
      </c>
      <c r="E1576" s="1" t="s">
        <v>610</v>
      </c>
    </row>
    <row r="1577">
      <c r="A1577" s="2" t="s">
        <v>11784</v>
      </c>
      <c r="B1577" s="1">
        <v>200.0</v>
      </c>
      <c r="C1577" s="1" t="s">
        <v>10930</v>
      </c>
      <c r="D1577" s="1" t="s">
        <v>609</v>
      </c>
      <c r="E1577" s="1" t="s">
        <v>631</v>
      </c>
      <c r="F1577" s="1">
        <v>0.0</v>
      </c>
      <c r="G1577" s="1">
        <v>1.0</v>
      </c>
      <c r="H1577" s="1">
        <v>0.0</v>
      </c>
      <c r="I1577" s="1">
        <v>10.0</v>
      </c>
    </row>
    <row r="1578">
      <c r="A1578" s="2" t="s">
        <v>11785</v>
      </c>
      <c r="B1578" s="1">
        <v>200.0</v>
      </c>
      <c r="C1578" s="1" t="s">
        <v>10920</v>
      </c>
      <c r="D1578" s="1" t="s">
        <v>609</v>
      </c>
      <c r="E1578" s="1" t="s">
        <v>631</v>
      </c>
    </row>
    <row r="1579">
      <c r="A1579" s="2" t="s">
        <v>11786</v>
      </c>
      <c r="B1579" s="1">
        <v>301.0</v>
      </c>
      <c r="D1579" s="1" t="s">
        <v>609</v>
      </c>
      <c r="E1579" s="1" t="s">
        <v>610</v>
      </c>
    </row>
    <row r="1580">
      <c r="A1580" s="2" t="s">
        <v>11787</v>
      </c>
      <c r="B1580" s="1">
        <v>307.0</v>
      </c>
      <c r="D1580" s="1" t="s">
        <v>609</v>
      </c>
      <c r="E1580" s="1" t="s">
        <v>610</v>
      </c>
    </row>
    <row r="1581">
      <c r="A1581" s="2" t="s">
        <v>11788</v>
      </c>
      <c r="B1581" s="1">
        <v>307.0</v>
      </c>
      <c r="D1581" s="1" t="s">
        <v>609</v>
      </c>
      <c r="E1581" s="1" t="s">
        <v>610</v>
      </c>
    </row>
    <row r="1582">
      <c r="A1582" s="2" t="s">
        <v>11789</v>
      </c>
      <c r="B1582" s="1">
        <v>307.0</v>
      </c>
      <c r="D1582" s="1" t="s">
        <v>609</v>
      </c>
      <c r="E1582" s="1" t="s">
        <v>610</v>
      </c>
    </row>
    <row r="1583">
      <c r="A1583" s="2" t="s">
        <v>11790</v>
      </c>
      <c r="B1583" s="1">
        <v>307.0</v>
      </c>
      <c r="D1583" s="1" t="s">
        <v>609</v>
      </c>
      <c r="E1583" s="1" t="s">
        <v>610</v>
      </c>
    </row>
    <row r="1584">
      <c r="A1584" s="2" t="s">
        <v>11791</v>
      </c>
      <c r="B1584" s="1">
        <v>307.0</v>
      </c>
      <c r="D1584" s="1" t="s">
        <v>609</v>
      </c>
      <c r="E1584" s="1" t="s">
        <v>610</v>
      </c>
    </row>
    <row r="1585">
      <c r="A1585" s="2" t="s">
        <v>11792</v>
      </c>
      <c r="B1585" s="1">
        <v>307.0</v>
      </c>
      <c r="D1585" s="1" t="s">
        <v>609</v>
      </c>
      <c r="E1585" s="1" t="s">
        <v>610</v>
      </c>
    </row>
    <row r="1586">
      <c r="A1586" s="2" t="s">
        <v>11793</v>
      </c>
      <c r="B1586" s="1">
        <v>307.0</v>
      </c>
      <c r="D1586" s="1" t="s">
        <v>609</v>
      </c>
      <c r="E1586" s="1" t="s">
        <v>610</v>
      </c>
    </row>
    <row r="1587">
      <c r="A1587" s="2" t="s">
        <v>11794</v>
      </c>
      <c r="B1587" s="1">
        <v>301.0</v>
      </c>
      <c r="D1587" s="1" t="s">
        <v>609</v>
      </c>
      <c r="E1587" s="1" t="s">
        <v>610</v>
      </c>
    </row>
    <row r="1588">
      <c r="A1588" s="2" t="s">
        <v>11795</v>
      </c>
      <c r="B1588" s="1">
        <v>200.0</v>
      </c>
      <c r="C1588" s="1" t="s">
        <v>11796</v>
      </c>
      <c r="D1588" s="1" t="s">
        <v>583</v>
      </c>
      <c r="F1588" s="1">
        <v>1.0</v>
      </c>
      <c r="G1588" s="1">
        <v>262.0</v>
      </c>
      <c r="H1588" s="1">
        <v>0.004</v>
      </c>
      <c r="I1588" s="1">
        <v>24.44</v>
      </c>
    </row>
    <row r="1589">
      <c r="A1589" s="2" t="s">
        <v>11797</v>
      </c>
      <c r="B1589" s="1">
        <v>200.0</v>
      </c>
      <c r="C1589" s="1" t="s">
        <v>11798</v>
      </c>
      <c r="D1589" s="1" t="s">
        <v>583</v>
      </c>
      <c r="F1589" s="1">
        <v>41.0</v>
      </c>
      <c r="G1589" s="1">
        <v>4360.0</v>
      </c>
      <c r="H1589" s="1">
        <v>0.009</v>
      </c>
      <c r="I1589" s="1">
        <v>16.0</v>
      </c>
    </row>
    <row r="1590">
      <c r="A1590" s="2" t="s">
        <v>11799</v>
      </c>
      <c r="B1590" s="1">
        <v>200.0</v>
      </c>
      <c r="C1590" s="1" t="s">
        <v>11800</v>
      </c>
      <c r="D1590" s="1" t="s">
        <v>583</v>
      </c>
      <c r="F1590" s="1">
        <v>0.0</v>
      </c>
      <c r="G1590" s="1">
        <v>143.0</v>
      </c>
      <c r="H1590" s="1">
        <v>0.0</v>
      </c>
      <c r="I1590" s="1">
        <v>8.82</v>
      </c>
    </row>
    <row r="1591">
      <c r="A1591" s="2" t="s">
        <v>11801</v>
      </c>
      <c r="B1591" s="1">
        <v>200.0</v>
      </c>
      <c r="C1591" s="1" t="s">
        <v>11802</v>
      </c>
      <c r="D1591" s="1" t="s">
        <v>583</v>
      </c>
      <c r="F1591" s="1">
        <v>1.0</v>
      </c>
      <c r="G1591" s="1">
        <v>166.0</v>
      </c>
      <c r="H1591" s="1">
        <v>0.006</v>
      </c>
      <c r="I1591" s="1">
        <v>7.75</v>
      </c>
    </row>
    <row r="1592">
      <c r="A1592" s="2" t="s">
        <v>11803</v>
      </c>
      <c r="B1592" s="1">
        <v>301.0</v>
      </c>
      <c r="D1592" s="1" t="s">
        <v>609</v>
      </c>
      <c r="E1592" s="1" t="s">
        <v>610</v>
      </c>
    </row>
    <row r="1593">
      <c r="A1593" s="2" t="s">
        <v>11804</v>
      </c>
      <c r="B1593" s="1">
        <v>301.0</v>
      </c>
      <c r="D1593" s="1" t="s">
        <v>609</v>
      </c>
      <c r="E1593" s="1" t="s">
        <v>610</v>
      </c>
    </row>
    <row r="1594">
      <c r="A1594" s="2" t="s">
        <v>11805</v>
      </c>
      <c r="B1594" s="1">
        <v>404.0</v>
      </c>
      <c r="D1594" s="1" t="s">
        <v>609</v>
      </c>
      <c r="E1594" s="1" t="s">
        <v>902</v>
      </c>
    </row>
    <row r="1595">
      <c r="A1595" s="2" t="s">
        <v>11806</v>
      </c>
      <c r="B1595" s="1">
        <v>200.0</v>
      </c>
      <c r="C1595" s="1" t="s">
        <v>11807</v>
      </c>
      <c r="D1595" s="1" t="s">
        <v>583</v>
      </c>
      <c r="F1595" s="1">
        <v>37.0</v>
      </c>
      <c r="G1595" s="1">
        <v>3815.0</v>
      </c>
      <c r="H1595" s="1">
        <v>0.01</v>
      </c>
      <c r="I1595" s="1">
        <v>15.08</v>
      </c>
    </row>
    <row r="1596">
      <c r="A1596" s="2" t="s">
        <v>11808</v>
      </c>
      <c r="B1596" s="1">
        <v>200.0</v>
      </c>
      <c r="C1596" s="1" t="s">
        <v>11809</v>
      </c>
      <c r="D1596" s="1" t="s">
        <v>583</v>
      </c>
      <c r="F1596" s="1">
        <v>3.0</v>
      </c>
      <c r="G1596" s="1">
        <v>37.0</v>
      </c>
      <c r="H1596" s="1">
        <v>0.081</v>
      </c>
      <c r="I1596" s="1">
        <v>9.84</v>
      </c>
    </row>
    <row r="1597">
      <c r="A1597" s="2" t="s">
        <v>11810</v>
      </c>
      <c r="B1597" s="1">
        <v>200.0</v>
      </c>
      <c r="C1597" s="1" t="s">
        <v>11811</v>
      </c>
      <c r="D1597" s="1" t="s">
        <v>583</v>
      </c>
      <c r="F1597" s="1">
        <v>26.0</v>
      </c>
      <c r="G1597" s="1">
        <v>1157.0</v>
      </c>
      <c r="H1597" s="1">
        <v>0.022</v>
      </c>
      <c r="I1597" s="1">
        <v>22.56</v>
      </c>
    </row>
    <row r="1598">
      <c r="A1598" s="2" t="s">
        <v>11812</v>
      </c>
      <c r="B1598" s="1">
        <v>301.0</v>
      </c>
      <c r="D1598" s="1" t="s">
        <v>609</v>
      </c>
      <c r="E1598" s="1" t="s">
        <v>610</v>
      </c>
      <c r="F1598" s="1">
        <v>13.0</v>
      </c>
      <c r="G1598" s="1">
        <v>10042.0</v>
      </c>
      <c r="H1598" s="1">
        <v>0.001</v>
      </c>
      <c r="I1598" s="1">
        <v>12.73</v>
      </c>
    </row>
    <row r="1599">
      <c r="A1599" s="2" t="s">
        <v>11813</v>
      </c>
      <c r="B1599" s="1">
        <v>301.0</v>
      </c>
      <c r="D1599" s="1" t="s">
        <v>609</v>
      </c>
      <c r="E1599" s="1" t="s">
        <v>610</v>
      </c>
    </row>
    <row r="1600">
      <c r="A1600" s="2" t="s">
        <v>11814</v>
      </c>
      <c r="B1600" s="1">
        <v>200.0</v>
      </c>
      <c r="C1600" s="1" t="s">
        <v>11815</v>
      </c>
      <c r="D1600" s="1" t="s">
        <v>583</v>
      </c>
      <c r="F1600" s="1">
        <v>0.0</v>
      </c>
      <c r="G1600" s="1">
        <v>15.0</v>
      </c>
      <c r="H1600" s="1">
        <v>0.0</v>
      </c>
      <c r="I1600" s="1">
        <v>11.87</v>
      </c>
    </row>
    <row r="1601">
      <c r="A1601" s="2" t="s">
        <v>11816</v>
      </c>
      <c r="B1601" s="1">
        <v>200.0</v>
      </c>
      <c r="C1601" s="1" t="s">
        <v>11817</v>
      </c>
      <c r="D1601" s="1" t="s">
        <v>583</v>
      </c>
      <c r="F1601" s="1">
        <v>0.0</v>
      </c>
      <c r="G1601" s="1">
        <v>30.0</v>
      </c>
      <c r="H1601" s="1">
        <v>0.0</v>
      </c>
      <c r="I1601" s="1">
        <v>20.67</v>
      </c>
    </row>
    <row r="1602">
      <c r="A1602" s="2" t="s">
        <v>11818</v>
      </c>
      <c r="B1602" s="1">
        <v>200.0</v>
      </c>
      <c r="C1602" s="1" t="s">
        <v>11819</v>
      </c>
      <c r="D1602" s="1" t="s">
        <v>583</v>
      </c>
      <c r="F1602" s="1">
        <v>0.0</v>
      </c>
      <c r="G1602" s="1">
        <v>11.0</v>
      </c>
      <c r="H1602" s="1">
        <v>0.0</v>
      </c>
      <c r="I1602" s="1">
        <v>14.18</v>
      </c>
    </row>
    <row r="1603">
      <c r="A1603" s="2" t="s">
        <v>11820</v>
      </c>
      <c r="B1603" s="1">
        <v>200.0</v>
      </c>
      <c r="C1603" s="1" t="s">
        <v>11821</v>
      </c>
      <c r="D1603" s="1" t="s">
        <v>583</v>
      </c>
      <c r="F1603" s="1">
        <v>24.0</v>
      </c>
      <c r="G1603" s="1">
        <v>4534.0</v>
      </c>
      <c r="H1603" s="1">
        <v>0.005</v>
      </c>
      <c r="I1603" s="1">
        <v>6.17</v>
      </c>
    </row>
    <row r="1604">
      <c r="A1604" s="2" t="s">
        <v>11822</v>
      </c>
      <c r="B1604" s="1">
        <v>404.0</v>
      </c>
      <c r="D1604" s="1" t="s">
        <v>609</v>
      </c>
      <c r="E1604" s="1" t="s">
        <v>902</v>
      </c>
    </row>
    <row r="1605">
      <c r="A1605" s="2" t="s">
        <v>11823</v>
      </c>
      <c r="B1605" s="1">
        <v>200.0</v>
      </c>
      <c r="C1605" s="1" t="s">
        <v>11824</v>
      </c>
      <c r="D1605" s="1" t="s">
        <v>583</v>
      </c>
      <c r="F1605" s="1">
        <v>0.0</v>
      </c>
      <c r="G1605" s="1">
        <v>18.0</v>
      </c>
      <c r="H1605" s="1">
        <v>0.0</v>
      </c>
      <c r="I1605" s="1">
        <v>39.5</v>
      </c>
    </row>
    <row r="1606">
      <c r="A1606" s="2" t="s">
        <v>11825</v>
      </c>
      <c r="B1606" s="1">
        <v>200.0</v>
      </c>
      <c r="C1606" s="1" t="s">
        <v>11826</v>
      </c>
      <c r="D1606" s="1" t="s">
        <v>583</v>
      </c>
      <c r="F1606" s="1">
        <v>1.0</v>
      </c>
      <c r="G1606" s="1">
        <v>2124.0</v>
      </c>
      <c r="H1606" s="1">
        <v>0.0</v>
      </c>
      <c r="I1606" s="1">
        <v>18.87</v>
      </c>
    </row>
    <row r="1607">
      <c r="A1607" s="2" t="s">
        <v>11827</v>
      </c>
      <c r="B1607" s="1">
        <v>404.0</v>
      </c>
      <c r="D1607" s="1" t="s">
        <v>609</v>
      </c>
      <c r="E1607" s="1" t="s">
        <v>902</v>
      </c>
    </row>
    <row r="1608">
      <c r="A1608" s="2" t="s">
        <v>11828</v>
      </c>
      <c r="B1608" s="1">
        <v>200.0</v>
      </c>
      <c r="C1608" s="1" t="s">
        <v>11829</v>
      </c>
      <c r="D1608" s="1" t="s">
        <v>583</v>
      </c>
      <c r="F1608" s="1">
        <v>0.0</v>
      </c>
      <c r="G1608" s="1">
        <v>4.0</v>
      </c>
      <c r="H1608" s="1">
        <v>0.0</v>
      </c>
      <c r="I1608" s="1">
        <v>1.5</v>
      </c>
    </row>
    <row r="1609">
      <c r="A1609" s="2" t="s">
        <v>11830</v>
      </c>
      <c r="B1609" s="1">
        <v>200.0</v>
      </c>
      <c r="C1609" s="1" t="s">
        <v>11831</v>
      </c>
      <c r="D1609" s="1" t="s">
        <v>583</v>
      </c>
      <c r="F1609" s="1">
        <v>0.0</v>
      </c>
      <c r="G1609" s="1">
        <v>18.0</v>
      </c>
      <c r="H1609" s="1">
        <v>0.0</v>
      </c>
      <c r="I1609" s="1">
        <v>50.17</v>
      </c>
    </row>
    <row r="1610">
      <c r="A1610" s="2" t="s">
        <v>11832</v>
      </c>
      <c r="B1610" s="1">
        <v>200.0</v>
      </c>
      <c r="C1610" s="1" t="s">
        <v>11833</v>
      </c>
      <c r="D1610" s="1" t="s">
        <v>583</v>
      </c>
      <c r="F1610" s="1">
        <v>0.0</v>
      </c>
      <c r="G1610" s="1">
        <v>23.0</v>
      </c>
      <c r="H1610" s="1">
        <v>0.0</v>
      </c>
      <c r="I1610" s="1">
        <v>23.26</v>
      </c>
    </row>
    <row r="1611">
      <c r="A1611" s="2" t="s">
        <v>11834</v>
      </c>
      <c r="B1611" s="1">
        <v>200.0</v>
      </c>
      <c r="C1611" s="1" t="s">
        <v>11835</v>
      </c>
      <c r="D1611" s="1" t="s">
        <v>583</v>
      </c>
      <c r="F1611" s="1">
        <v>0.0</v>
      </c>
      <c r="G1611" s="1">
        <v>16.0</v>
      </c>
      <c r="H1611" s="1">
        <v>0.0</v>
      </c>
      <c r="I1611" s="1">
        <v>18.88</v>
      </c>
    </row>
    <row r="1612">
      <c r="A1612" s="2" t="s">
        <v>11836</v>
      </c>
      <c r="B1612" s="1">
        <v>200.0</v>
      </c>
      <c r="C1612" s="1" t="s">
        <v>11837</v>
      </c>
      <c r="D1612" s="1" t="s">
        <v>583</v>
      </c>
      <c r="F1612" s="1">
        <v>0.0</v>
      </c>
      <c r="G1612" s="1">
        <v>18.0</v>
      </c>
      <c r="H1612" s="1">
        <v>0.0</v>
      </c>
      <c r="I1612" s="1">
        <v>22.56</v>
      </c>
    </row>
    <row r="1613">
      <c r="A1613" s="2" t="s">
        <v>11838</v>
      </c>
      <c r="B1613" s="1">
        <v>200.0</v>
      </c>
      <c r="C1613" s="1" t="s">
        <v>11839</v>
      </c>
      <c r="D1613" s="1" t="s">
        <v>583</v>
      </c>
      <c r="F1613" s="1">
        <v>0.0</v>
      </c>
      <c r="G1613" s="1">
        <v>19.0</v>
      </c>
      <c r="H1613" s="1">
        <v>0.0</v>
      </c>
      <c r="I1613" s="1">
        <v>13.32</v>
      </c>
    </row>
    <row r="1614">
      <c r="A1614" s="2" t="s">
        <v>11840</v>
      </c>
      <c r="B1614" s="1">
        <v>200.0</v>
      </c>
      <c r="C1614" s="1" t="s">
        <v>11841</v>
      </c>
      <c r="D1614" s="1" t="s">
        <v>583</v>
      </c>
      <c r="F1614" s="1">
        <v>0.0</v>
      </c>
      <c r="G1614" s="1">
        <v>1.0</v>
      </c>
      <c r="H1614" s="1">
        <v>0.0</v>
      </c>
      <c r="I1614" s="1">
        <v>147.0</v>
      </c>
    </row>
    <row r="1615">
      <c r="A1615" s="2" t="s">
        <v>11842</v>
      </c>
      <c r="B1615" s="1">
        <v>200.0</v>
      </c>
      <c r="C1615" s="1" t="s">
        <v>11843</v>
      </c>
      <c r="D1615" s="1" t="s">
        <v>583</v>
      </c>
      <c r="F1615" s="1">
        <v>0.0</v>
      </c>
      <c r="G1615" s="1">
        <v>5.0</v>
      </c>
      <c r="H1615" s="1">
        <v>0.0</v>
      </c>
      <c r="I1615" s="1">
        <v>18.2</v>
      </c>
    </row>
    <row r="1616">
      <c r="A1616" s="2" t="s">
        <v>11844</v>
      </c>
      <c r="B1616" s="1">
        <v>200.0</v>
      </c>
      <c r="C1616" s="1" t="s">
        <v>11845</v>
      </c>
      <c r="D1616" s="1" t="s">
        <v>583</v>
      </c>
      <c r="F1616" s="1">
        <v>0.0</v>
      </c>
      <c r="G1616" s="1">
        <v>12.0</v>
      </c>
      <c r="H1616" s="1">
        <v>0.0</v>
      </c>
      <c r="I1616" s="1">
        <v>74.58</v>
      </c>
    </row>
    <row r="1617">
      <c r="A1617" s="2" t="s">
        <v>11846</v>
      </c>
      <c r="B1617" s="1">
        <v>200.0</v>
      </c>
      <c r="C1617" s="1" t="s">
        <v>11847</v>
      </c>
      <c r="D1617" s="1" t="s">
        <v>583</v>
      </c>
    </row>
    <row r="1618">
      <c r="A1618" s="2" t="s">
        <v>11848</v>
      </c>
      <c r="B1618" s="1">
        <v>200.0</v>
      </c>
      <c r="C1618" s="1" t="s">
        <v>11849</v>
      </c>
      <c r="D1618" s="1" t="s">
        <v>583</v>
      </c>
      <c r="F1618" s="1">
        <v>0.0</v>
      </c>
      <c r="G1618" s="1">
        <v>10.0</v>
      </c>
      <c r="H1618" s="1">
        <v>0.0</v>
      </c>
      <c r="I1618" s="1">
        <v>8.9</v>
      </c>
    </row>
    <row r="1619">
      <c r="A1619" s="2" t="s">
        <v>11850</v>
      </c>
      <c r="B1619" s="1">
        <v>200.0</v>
      </c>
      <c r="C1619" s="1" t="s">
        <v>11851</v>
      </c>
      <c r="D1619" s="1" t="s">
        <v>583</v>
      </c>
      <c r="F1619" s="1">
        <v>0.0</v>
      </c>
      <c r="G1619" s="1">
        <v>10.0</v>
      </c>
      <c r="H1619" s="1">
        <v>0.0</v>
      </c>
      <c r="I1619" s="1">
        <v>70.0</v>
      </c>
    </row>
    <row r="1620">
      <c r="A1620" s="2" t="s">
        <v>11852</v>
      </c>
      <c r="B1620" s="1">
        <v>200.0</v>
      </c>
      <c r="C1620" s="1" t="s">
        <v>11853</v>
      </c>
      <c r="D1620" s="1" t="s">
        <v>583</v>
      </c>
      <c r="F1620" s="1">
        <v>15.0</v>
      </c>
      <c r="G1620" s="1">
        <v>2782.0</v>
      </c>
      <c r="H1620" s="1">
        <v>0.005</v>
      </c>
      <c r="I1620" s="1">
        <v>7.23</v>
      </c>
    </row>
    <row r="1621">
      <c r="A1621" s="2" t="s">
        <v>11854</v>
      </c>
      <c r="B1621" s="1">
        <v>301.0</v>
      </c>
      <c r="D1621" s="1" t="s">
        <v>609</v>
      </c>
      <c r="E1621" s="1" t="s">
        <v>610</v>
      </c>
    </row>
    <row r="1622">
      <c r="A1622" s="2" t="s">
        <v>11855</v>
      </c>
      <c r="B1622" s="1">
        <v>200.0</v>
      </c>
      <c r="C1622" s="1" t="s">
        <v>11856</v>
      </c>
      <c r="D1622" s="1" t="s">
        <v>583</v>
      </c>
      <c r="F1622" s="1">
        <v>0.0</v>
      </c>
      <c r="G1622" s="1">
        <v>25.0</v>
      </c>
      <c r="H1622" s="1">
        <v>0.0</v>
      </c>
      <c r="I1622" s="1">
        <v>23.96</v>
      </c>
    </row>
    <row r="1623">
      <c r="A1623" s="2" t="s">
        <v>11857</v>
      </c>
      <c r="B1623" s="1">
        <v>200.0</v>
      </c>
      <c r="C1623" s="1" t="s">
        <v>11858</v>
      </c>
      <c r="D1623" s="1" t="s">
        <v>583</v>
      </c>
      <c r="F1623" s="1">
        <v>6.0</v>
      </c>
      <c r="G1623" s="1">
        <v>1203.0</v>
      </c>
      <c r="H1623" s="1">
        <v>0.005</v>
      </c>
      <c r="I1623" s="1">
        <v>21.52</v>
      </c>
    </row>
    <row r="1624">
      <c r="A1624" s="2" t="s">
        <v>11859</v>
      </c>
      <c r="B1624" s="1">
        <v>200.0</v>
      </c>
      <c r="C1624" s="1" t="s">
        <v>11860</v>
      </c>
      <c r="D1624" s="1" t="s">
        <v>583</v>
      </c>
      <c r="F1624" s="1">
        <v>0.0</v>
      </c>
      <c r="G1624" s="1">
        <v>6.0</v>
      </c>
      <c r="H1624" s="1">
        <v>0.0</v>
      </c>
      <c r="I1624" s="1">
        <v>16.5</v>
      </c>
    </row>
    <row r="1625">
      <c r="A1625" s="2" t="s">
        <v>11861</v>
      </c>
      <c r="B1625" s="1">
        <v>200.0</v>
      </c>
      <c r="C1625" s="1" t="s">
        <v>11862</v>
      </c>
      <c r="D1625" s="1" t="s">
        <v>583</v>
      </c>
      <c r="F1625" s="1">
        <v>1.0</v>
      </c>
      <c r="G1625" s="1">
        <v>6.0</v>
      </c>
      <c r="H1625" s="1">
        <v>0.167</v>
      </c>
      <c r="I1625" s="1">
        <v>9.5</v>
      </c>
    </row>
    <row r="1626">
      <c r="A1626" s="2" t="s">
        <v>11863</v>
      </c>
      <c r="B1626" s="1">
        <v>200.0</v>
      </c>
      <c r="C1626" s="1" t="s">
        <v>11864</v>
      </c>
      <c r="D1626" s="1" t="s">
        <v>583</v>
      </c>
    </row>
    <row r="1627">
      <c r="A1627" s="2" t="s">
        <v>11865</v>
      </c>
      <c r="B1627" s="1">
        <v>200.0</v>
      </c>
      <c r="C1627" s="1" t="s">
        <v>11866</v>
      </c>
      <c r="D1627" s="1" t="s">
        <v>583</v>
      </c>
      <c r="F1627" s="1">
        <v>0.0</v>
      </c>
      <c r="G1627" s="1">
        <v>16.0</v>
      </c>
      <c r="H1627" s="1">
        <v>0.0</v>
      </c>
      <c r="I1627" s="1">
        <v>21.69</v>
      </c>
    </row>
    <row r="1628">
      <c r="A1628" s="2" t="s">
        <v>11867</v>
      </c>
      <c r="B1628" s="1">
        <v>200.0</v>
      </c>
      <c r="C1628" s="1" t="s">
        <v>11868</v>
      </c>
      <c r="D1628" s="1" t="s">
        <v>583</v>
      </c>
      <c r="F1628" s="1">
        <v>0.0</v>
      </c>
      <c r="G1628" s="1">
        <v>85.0</v>
      </c>
      <c r="H1628" s="1">
        <v>0.0</v>
      </c>
      <c r="I1628" s="1">
        <v>7.14</v>
      </c>
    </row>
    <row r="1629">
      <c r="A1629" s="2" t="s">
        <v>11869</v>
      </c>
      <c r="B1629" s="1">
        <v>200.0</v>
      </c>
      <c r="C1629" s="1" t="s">
        <v>11870</v>
      </c>
      <c r="D1629" s="1" t="s">
        <v>583</v>
      </c>
      <c r="F1629" s="1">
        <v>0.0</v>
      </c>
      <c r="G1629" s="1">
        <v>156.0</v>
      </c>
      <c r="H1629" s="1">
        <v>0.0</v>
      </c>
      <c r="I1629" s="1">
        <v>24.21</v>
      </c>
    </row>
    <row r="1630">
      <c r="A1630" s="2" t="s">
        <v>11871</v>
      </c>
      <c r="B1630" s="1">
        <v>200.0</v>
      </c>
      <c r="C1630" s="1" t="s">
        <v>11872</v>
      </c>
      <c r="D1630" s="1" t="s">
        <v>583</v>
      </c>
      <c r="F1630" s="1">
        <v>0.0</v>
      </c>
      <c r="G1630" s="1">
        <v>18.0</v>
      </c>
      <c r="H1630" s="1">
        <v>0.0</v>
      </c>
      <c r="I1630" s="1">
        <v>52.17</v>
      </c>
    </row>
    <row r="1631">
      <c r="A1631" s="2" t="s">
        <v>11873</v>
      </c>
      <c r="B1631" s="1">
        <v>200.0</v>
      </c>
      <c r="C1631" s="1" t="s">
        <v>11874</v>
      </c>
      <c r="D1631" s="1" t="s">
        <v>583</v>
      </c>
      <c r="F1631" s="1">
        <v>0.0</v>
      </c>
      <c r="G1631" s="1">
        <v>4.0</v>
      </c>
      <c r="H1631" s="1">
        <v>0.0</v>
      </c>
      <c r="I1631" s="1">
        <v>26.25</v>
      </c>
    </row>
    <row r="1632">
      <c r="A1632" s="2" t="s">
        <v>11875</v>
      </c>
      <c r="B1632" s="1">
        <v>200.0</v>
      </c>
      <c r="C1632" s="1" t="s">
        <v>11876</v>
      </c>
      <c r="D1632" s="1" t="s">
        <v>583</v>
      </c>
      <c r="F1632" s="1">
        <v>0.0</v>
      </c>
      <c r="G1632" s="1">
        <v>2.0</v>
      </c>
      <c r="H1632" s="1">
        <v>0.0</v>
      </c>
      <c r="I1632" s="1">
        <v>7.5</v>
      </c>
    </row>
    <row r="1633">
      <c r="A1633" s="2" t="s">
        <v>11877</v>
      </c>
      <c r="B1633" s="1">
        <v>301.0</v>
      </c>
      <c r="D1633" s="1" t="s">
        <v>609</v>
      </c>
      <c r="E1633" s="1" t="s">
        <v>610</v>
      </c>
    </row>
    <row r="1634">
      <c r="A1634" s="2" t="s">
        <v>11878</v>
      </c>
      <c r="B1634" s="1">
        <v>200.0</v>
      </c>
      <c r="C1634" s="1" t="s">
        <v>11879</v>
      </c>
      <c r="D1634" s="1" t="s">
        <v>583</v>
      </c>
      <c r="F1634" s="1">
        <v>0.0</v>
      </c>
      <c r="G1634" s="1">
        <v>102.0</v>
      </c>
      <c r="H1634" s="1">
        <v>0.0</v>
      </c>
      <c r="I1634" s="1">
        <v>6.79</v>
      </c>
    </row>
    <row r="1635">
      <c r="A1635" s="2" t="s">
        <v>11880</v>
      </c>
      <c r="B1635" s="1">
        <v>200.0</v>
      </c>
      <c r="C1635" s="1" t="s">
        <v>11881</v>
      </c>
      <c r="D1635" s="1" t="s">
        <v>583</v>
      </c>
      <c r="F1635" s="1">
        <v>0.0</v>
      </c>
      <c r="G1635" s="1">
        <v>6.0</v>
      </c>
      <c r="H1635" s="1">
        <v>0.0</v>
      </c>
      <c r="I1635" s="1">
        <v>15.83</v>
      </c>
    </row>
    <row r="1636">
      <c r="A1636" s="2" t="s">
        <v>11882</v>
      </c>
      <c r="B1636" s="1">
        <v>200.0</v>
      </c>
      <c r="C1636" s="1" t="s">
        <v>11883</v>
      </c>
      <c r="D1636" s="1" t="s">
        <v>583</v>
      </c>
      <c r="F1636" s="1">
        <v>0.0</v>
      </c>
      <c r="G1636" s="1">
        <v>58.0</v>
      </c>
      <c r="H1636" s="1">
        <v>0.0</v>
      </c>
      <c r="I1636" s="1">
        <v>13.79</v>
      </c>
    </row>
    <row r="1637">
      <c r="A1637" s="2" t="s">
        <v>11884</v>
      </c>
      <c r="B1637" s="1">
        <v>200.0</v>
      </c>
      <c r="C1637" s="1" t="s">
        <v>11885</v>
      </c>
      <c r="D1637" s="1" t="s">
        <v>583</v>
      </c>
      <c r="F1637" s="1">
        <v>8.0</v>
      </c>
      <c r="G1637" s="1">
        <v>977.0</v>
      </c>
      <c r="H1637" s="1">
        <v>0.008</v>
      </c>
      <c r="I1637" s="1">
        <v>14.66</v>
      </c>
    </row>
    <row r="1638">
      <c r="A1638" s="2" t="s">
        <v>11886</v>
      </c>
      <c r="B1638" s="1">
        <v>200.0</v>
      </c>
      <c r="C1638" s="1" t="s">
        <v>11887</v>
      </c>
      <c r="D1638" s="1" t="s">
        <v>583</v>
      </c>
      <c r="F1638" s="1">
        <v>17.0</v>
      </c>
      <c r="G1638" s="1">
        <v>1713.0</v>
      </c>
      <c r="H1638" s="1">
        <v>0.01</v>
      </c>
      <c r="I1638" s="1">
        <v>8.51</v>
      </c>
    </row>
    <row r="1639">
      <c r="A1639" s="2" t="s">
        <v>11888</v>
      </c>
      <c r="B1639" s="1">
        <v>200.0</v>
      </c>
      <c r="C1639" s="1" t="s">
        <v>11889</v>
      </c>
      <c r="D1639" s="1" t="s">
        <v>583</v>
      </c>
      <c r="F1639" s="1">
        <v>8.0</v>
      </c>
      <c r="G1639" s="1">
        <v>2329.0</v>
      </c>
      <c r="H1639" s="1">
        <v>0.003</v>
      </c>
      <c r="I1639" s="1">
        <v>7.71</v>
      </c>
    </row>
    <row r="1640">
      <c r="A1640" s="2" t="s">
        <v>11890</v>
      </c>
      <c r="B1640" s="1">
        <v>200.0</v>
      </c>
      <c r="C1640" s="1" t="s">
        <v>11891</v>
      </c>
      <c r="D1640" s="1" t="s">
        <v>583</v>
      </c>
      <c r="F1640" s="1">
        <v>0.0</v>
      </c>
      <c r="G1640" s="1">
        <v>28.0</v>
      </c>
      <c r="H1640" s="1">
        <v>0.0</v>
      </c>
      <c r="I1640" s="1">
        <v>26.39</v>
      </c>
    </row>
    <row r="1641">
      <c r="A1641" s="2" t="s">
        <v>11892</v>
      </c>
      <c r="B1641" s="1">
        <v>200.0</v>
      </c>
      <c r="C1641" s="1" t="s">
        <v>11893</v>
      </c>
      <c r="D1641" s="1" t="s">
        <v>583</v>
      </c>
      <c r="F1641" s="1">
        <v>0.0</v>
      </c>
      <c r="G1641" s="1">
        <v>14.0</v>
      </c>
      <c r="H1641" s="1">
        <v>0.0</v>
      </c>
      <c r="I1641" s="1">
        <v>18.79</v>
      </c>
    </row>
    <row r="1642">
      <c r="A1642" s="2" t="s">
        <v>11894</v>
      </c>
      <c r="B1642" s="1">
        <v>200.0</v>
      </c>
      <c r="C1642" s="1" t="s">
        <v>11895</v>
      </c>
      <c r="D1642" s="1" t="s">
        <v>583</v>
      </c>
      <c r="F1642" s="1">
        <v>0.0</v>
      </c>
      <c r="G1642" s="1">
        <v>9.0</v>
      </c>
      <c r="H1642" s="1">
        <v>0.0</v>
      </c>
      <c r="I1642" s="1">
        <v>22.89</v>
      </c>
    </row>
    <row r="1643">
      <c r="A1643" s="2" t="s">
        <v>11896</v>
      </c>
      <c r="B1643" s="1">
        <v>200.0</v>
      </c>
      <c r="C1643" s="1" t="s">
        <v>11897</v>
      </c>
      <c r="D1643" s="1" t="s">
        <v>583</v>
      </c>
      <c r="F1643" s="1">
        <v>0.0</v>
      </c>
      <c r="G1643" s="1">
        <v>167.0</v>
      </c>
      <c r="H1643" s="1">
        <v>0.0</v>
      </c>
      <c r="I1643" s="1">
        <v>10.92</v>
      </c>
    </row>
    <row r="1644">
      <c r="A1644" s="2" t="s">
        <v>11898</v>
      </c>
      <c r="B1644" s="1">
        <v>200.0</v>
      </c>
      <c r="C1644" s="1" t="s">
        <v>11899</v>
      </c>
      <c r="D1644" s="1" t="s">
        <v>583</v>
      </c>
      <c r="F1644" s="1">
        <v>13.0</v>
      </c>
      <c r="G1644" s="1">
        <v>1186.0</v>
      </c>
      <c r="H1644" s="1">
        <v>0.011</v>
      </c>
      <c r="I1644" s="1">
        <v>11.43</v>
      </c>
    </row>
    <row r="1645">
      <c r="A1645" s="2" t="s">
        <v>11900</v>
      </c>
      <c r="B1645" s="1">
        <v>200.0</v>
      </c>
      <c r="C1645" s="1" t="s">
        <v>11901</v>
      </c>
      <c r="D1645" s="1" t="s">
        <v>583</v>
      </c>
      <c r="F1645" s="1">
        <v>28.0</v>
      </c>
      <c r="G1645" s="1">
        <v>5967.0</v>
      </c>
      <c r="H1645" s="1">
        <v>0.005</v>
      </c>
      <c r="I1645" s="1">
        <v>8.13</v>
      </c>
    </row>
    <row r="1646">
      <c r="A1646" s="2" t="s">
        <v>11902</v>
      </c>
      <c r="B1646" s="1">
        <v>301.0</v>
      </c>
      <c r="D1646" s="1" t="s">
        <v>609</v>
      </c>
      <c r="E1646" s="1" t="s">
        <v>610</v>
      </c>
    </row>
    <row r="1647">
      <c r="A1647" s="2" t="s">
        <v>11903</v>
      </c>
      <c r="B1647" s="1">
        <v>200.0</v>
      </c>
      <c r="C1647" s="1" t="s">
        <v>11904</v>
      </c>
      <c r="D1647" s="1" t="s">
        <v>583</v>
      </c>
      <c r="F1647" s="1">
        <v>7.0</v>
      </c>
      <c r="G1647" s="1">
        <v>812.0</v>
      </c>
      <c r="H1647" s="1">
        <v>0.009</v>
      </c>
      <c r="I1647" s="1">
        <v>7.11</v>
      </c>
    </row>
    <row r="1648">
      <c r="A1648" s="2" t="s">
        <v>11905</v>
      </c>
      <c r="B1648" s="1">
        <v>301.0</v>
      </c>
      <c r="D1648" s="1" t="s">
        <v>609</v>
      </c>
      <c r="E1648" s="1" t="s">
        <v>610</v>
      </c>
    </row>
    <row r="1649">
      <c r="A1649" s="2" t="s">
        <v>11906</v>
      </c>
      <c r="B1649" s="1">
        <v>200.0</v>
      </c>
      <c r="C1649" s="1" t="s">
        <v>11907</v>
      </c>
      <c r="D1649" s="1" t="s">
        <v>583</v>
      </c>
      <c r="F1649" s="1">
        <v>1.0</v>
      </c>
      <c r="G1649" s="1">
        <v>108.0</v>
      </c>
      <c r="H1649" s="1">
        <v>0.009</v>
      </c>
      <c r="I1649" s="1">
        <v>6.94</v>
      </c>
    </row>
    <row r="1650">
      <c r="A1650" s="2" t="s">
        <v>11908</v>
      </c>
      <c r="B1650" s="1">
        <v>301.0</v>
      </c>
      <c r="D1650" s="1" t="s">
        <v>609</v>
      </c>
      <c r="E1650" s="1" t="s">
        <v>610</v>
      </c>
    </row>
    <row r="1651">
      <c r="A1651" s="2" t="s">
        <v>11909</v>
      </c>
      <c r="B1651" s="1">
        <v>301.0</v>
      </c>
      <c r="D1651" s="1" t="s">
        <v>609</v>
      </c>
      <c r="E1651" s="1" t="s">
        <v>610</v>
      </c>
    </row>
    <row r="1652">
      <c r="A1652" s="2" t="s">
        <v>11910</v>
      </c>
      <c r="B1652" s="1">
        <v>200.0</v>
      </c>
      <c r="C1652" s="1" t="s">
        <v>11911</v>
      </c>
      <c r="D1652" s="1" t="s">
        <v>583</v>
      </c>
      <c r="F1652" s="1">
        <v>11.0</v>
      </c>
      <c r="G1652" s="1">
        <v>400.0</v>
      </c>
      <c r="H1652" s="1">
        <v>0.028</v>
      </c>
      <c r="I1652" s="1">
        <v>11.17</v>
      </c>
    </row>
    <row r="1653">
      <c r="A1653" s="2" t="s">
        <v>11912</v>
      </c>
      <c r="B1653" s="1">
        <v>200.0</v>
      </c>
      <c r="C1653" s="1" t="s">
        <v>9070</v>
      </c>
      <c r="D1653" s="1" t="s">
        <v>609</v>
      </c>
      <c r="E1653" s="1" t="s">
        <v>631</v>
      </c>
      <c r="F1653" s="1">
        <v>0.0</v>
      </c>
      <c r="G1653" s="1">
        <v>1.0</v>
      </c>
      <c r="H1653" s="1">
        <v>0.0</v>
      </c>
      <c r="I1653" s="1">
        <v>9.0</v>
      </c>
    </row>
    <row r="1654">
      <c r="A1654" s="2" t="s">
        <v>11913</v>
      </c>
      <c r="B1654" s="1">
        <v>200.0</v>
      </c>
      <c r="C1654" s="1" t="s">
        <v>9070</v>
      </c>
      <c r="D1654" s="1" t="s">
        <v>609</v>
      </c>
      <c r="E1654" s="1" t="s">
        <v>631</v>
      </c>
    </row>
    <row r="1655">
      <c r="A1655" s="2" t="s">
        <v>11914</v>
      </c>
      <c r="B1655" s="1">
        <v>200.0</v>
      </c>
      <c r="C1655" s="1" t="s">
        <v>11915</v>
      </c>
      <c r="D1655" s="1" t="s">
        <v>583</v>
      </c>
      <c r="F1655" s="1">
        <v>0.0</v>
      </c>
      <c r="G1655" s="1">
        <v>11.0</v>
      </c>
      <c r="H1655" s="1">
        <v>0.0</v>
      </c>
      <c r="I1655" s="1">
        <v>14.0</v>
      </c>
    </row>
    <row r="1656">
      <c r="A1656" s="2" t="s">
        <v>11916</v>
      </c>
      <c r="B1656" s="1">
        <v>200.0</v>
      </c>
      <c r="C1656" s="1" t="s">
        <v>9058</v>
      </c>
      <c r="D1656" s="1" t="s">
        <v>609</v>
      </c>
      <c r="E1656" s="1" t="s">
        <v>631</v>
      </c>
      <c r="F1656" s="1">
        <v>0.0</v>
      </c>
      <c r="G1656" s="1">
        <v>1.0</v>
      </c>
      <c r="H1656" s="1">
        <v>0.0</v>
      </c>
      <c r="I1656" s="1">
        <v>5.0</v>
      </c>
    </row>
    <row r="1657">
      <c r="A1657" s="2" t="s">
        <v>11917</v>
      </c>
      <c r="B1657" s="1">
        <v>200.0</v>
      </c>
      <c r="C1657" s="1" t="s">
        <v>9043</v>
      </c>
      <c r="D1657" s="1" t="s">
        <v>609</v>
      </c>
      <c r="E1657" s="1" t="s">
        <v>631</v>
      </c>
    </row>
    <row r="1658">
      <c r="A1658" s="2" t="s">
        <v>11918</v>
      </c>
      <c r="B1658" s="1">
        <v>200.0</v>
      </c>
      <c r="C1658" s="1" t="s">
        <v>11919</v>
      </c>
      <c r="D1658" s="1" t="s">
        <v>583</v>
      </c>
      <c r="F1658" s="1">
        <v>2.0</v>
      </c>
      <c r="G1658" s="1">
        <v>329.0</v>
      </c>
      <c r="H1658" s="1">
        <v>0.006</v>
      </c>
      <c r="I1658" s="1">
        <v>12.66</v>
      </c>
    </row>
    <row r="1659">
      <c r="A1659" s="2" t="s">
        <v>11920</v>
      </c>
      <c r="B1659" s="1">
        <v>200.0</v>
      </c>
      <c r="C1659" s="1" t="s">
        <v>11921</v>
      </c>
      <c r="D1659" s="1" t="s">
        <v>583</v>
      </c>
      <c r="F1659" s="1">
        <v>0.0</v>
      </c>
      <c r="G1659" s="1">
        <v>69.0</v>
      </c>
      <c r="H1659" s="1">
        <v>0.0</v>
      </c>
      <c r="I1659" s="1">
        <v>37.81</v>
      </c>
    </row>
    <row r="1660">
      <c r="A1660" s="2" t="s">
        <v>11922</v>
      </c>
      <c r="B1660" s="1">
        <v>200.0</v>
      </c>
      <c r="C1660" s="1" t="s">
        <v>11923</v>
      </c>
      <c r="D1660" s="1" t="s">
        <v>583</v>
      </c>
      <c r="F1660" s="1">
        <v>0.0</v>
      </c>
      <c r="G1660" s="1">
        <v>187.0</v>
      </c>
      <c r="H1660" s="1">
        <v>0.0</v>
      </c>
      <c r="I1660" s="1">
        <v>39.66</v>
      </c>
    </row>
    <row r="1661">
      <c r="A1661" s="2" t="s">
        <v>11924</v>
      </c>
      <c r="B1661" s="1">
        <v>200.0</v>
      </c>
      <c r="C1661" s="1" t="s">
        <v>9070</v>
      </c>
      <c r="D1661" s="1" t="s">
        <v>609</v>
      </c>
      <c r="E1661" s="1" t="s">
        <v>631</v>
      </c>
      <c r="F1661" s="1">
        <v>0.0</v>
      </c>
      <c r="G1661" s="1">
        <v>10.0</v>
      </c>
      <c r="H1661" s="1">
        <v>0.0</v>
      </c>
      <c r="I1661" s="1">
        <v>8.6</v>
      </c>
    </row>
    <row r="1662">
      <c r="A1662" s="2" t="s">
        <v>11925</v>
      </c>
      <c r="B1662" s="1">
        <v>200.0</v>
      </c>
      <c r="C1662" s="1" t="s">
        <v>11926</v>
      </c>
      <c r="D1662" s="1" t="s">
        <v>583</v>
      </c>
      <c r="F1662" s="1">
        <v>0.0</v>
      </c>
      <c r="G1662" s="1">
        <v>25.0</v>
      </c>
      <c r="H1662" s="1">
        <v>0.0</v>
      </c>
      <c r="I1662" s="1">
        <v>26.72</v>
      </c>
    </row>
    <row r="1663">
      <c r="A1663" s="2" t="s">
        <v>11927</v>
      </c>
      <c r="B1663" s="1">
        <v>200.0</v>
      </c>
      <c r="C1663" s="1" t="s">
        <v>9070</v>
      </c>
      <c r="D1663" s="1" t="s">
        <v>609</v>
      </c>
      <c r="E1663" s="1" t="s">
        <v>631</v>
      </c>
      <c r="F1663" s="1">
        <v>0.0</v>
      </c>
      <c r="G1663" s="1">
        <v>17.0</v>
      </c>
      <c r="H1663" s="1">
        <v>0.0</v>
      </c>
      <c r="I1663" s="1">
        <v>6.76</v>
      </c>
    </row>
    <row r="1664">
      <c r="A1664" s="2" t="s">
        <v>11928</v>
      </c>
      <c r="B1664" s="1">
        <v>200.0</v>
      </c>
      <c r="C1664" s="1" t="s">
        <v>11929</v>
      </c>
      <c r="D1664" s="1" t="s">
        <v>583</v>
      </c>
    </row>
    <row r="1665">
      <c r="A1665" s="2" t="s">
        <v>11930</v>
      </c>
      <c r="B1665" s="1">
        <v>200.0</v>
      </c>
      <c r="C1665" s="1" t="s">
        <v>11931</v>
      </c>
      <c r="D1665" s="1" t="s">
        <v>583</v>
      </c>
      <c r="F1665" s="1">
        <v>0.0</v>
      </c>
      <c r="G1665" s="1">
        <v>231.0</v>
      </c>
      <c r="H1665" s="1">
        <v>0.0</v>
      </c>
      <c r="I1665" s="1">
        <v>31.84</v>
      </c>
    </row>
    <row r="1666">
      <c r="A1666" s="2" t="s">
        <v>11932</v>
      </c>
      <c r="B1666" s="1">
        <v>200.0</v>
      </c>
      <c r="C1666" s="1" t="s">
        <v>11933</v>
      </c>
      <c r="D1666" s="1" t="s">
        <v>583</v>
      </c>
      <c r="F1666" s="1">
        <v>0.0</v>
      </c>
      <c r="G1666" s="1">
        <v>31.0</v>
      </c>
      <c r="H1666" s="1">
        <v>0.0</v>
      </c>
      <c r="I1666" s="1">
        <v>51.9</v>
      </c>
    </row>
    <row r="1667">
      <c r="A1667" s="2" t="s">
        <v>11934</v>
      </c>
      <c r="B1667" s="1">
        <v>200.0</v>
      </c>
      <c r="C1667" s="1" t="s">
        <v>11935</v>
      </c>
      <c r="D1667" s="1" t="s">
        <v>583</v>
      </c>
      <c r="F1667" s="1">
        <v>0.0</v>
      </c>
      <c r="G1667" s="1">
        <v>180.0</v>
      </c>
      <c r="H1667" s="1">
        <v>0.0</v>
      </c>
      <c r="I1667" s="1">
        <v>63.49</v>
      </c>
    </row>
    <row r="1668">
      <c r="A1668" s="2" t="s">
        <v>11936</v>
      </c>
      <c r="B1668" s="1">
        <v>200.0</v>
      </c>
      <c r="C1668" s="1" t="s">
        <v>11937</v>
      </c>
      <c r="D1668" s="1" t="s">
        <v>583</v>
      </c>
      <c r="F1668" s="1">
        <v>0.0</v>
      </c>
      <c r="G1668" s="1">
        <v>4.0</v>
      </c>
      <c r="H1668" s="1">
        <v>0.0</v>
      </c>
      <c r="I1668" s="1">
        <v>7.0</v>
      </c>
    </row>
    <row r="1669">
      <c r="A1669" s="2" t="s">
        <v>11938</v>
      </c>
      <c r="B1669" s="1">
        <v>200.0</v>
      </c>
      <c r="C1669" s="1" t="s">
        <v>11939</v>
      </c>
      <c r="D1669" s="1" t="s">
        <v>583</v>
      </c>
      <c r="F1669" s="1">
        <v>0.0</v>
      </c>
      <c r="G1669" s="1">
        <v>131.0</v>
      </c>
      <c r="H1669" s="1">
        <v>0.0</v>
      </c>
      <c r="I1669" s="1">
        <v>48.19</v>
      </c>
    </row>
    <row r="1670">
      <c r="A1670" s="2" t="s">
        <v>11940</v>
      </c>
      <c r="B1670" s="1">
        <v>200.0</v>
      </c>
      <c r="C1670" s="1" t="s">
        <v>11941</v>
      </c>
      <c r="D1670" s="1" t="s">
        <v>583</v>
      </c>
      <c r="F1670" s="1">
        <v>0.0</v>
      </c>
      <c r="G1670" s="1">
        <v>29.0</v>
      </c>
      <c r="H1670" s="1">
        <v>0.0</v>
      </c>
      <c r="I1670" s="1">
        <v>31.83</v>
      </c>
    </row>
    <row r="1671">
      <c r="A1671" s="2" t="s">
        <v>11942</v>
      </c>
      <c r="B1671" s="1">
        <v>200.0</v>
      </c>
      <c r="C1671" s="1" t="s">
        <v>11943</v>
      </c>
      <c r="D1671" s="1" t="s">
        <v>583</v>
      </c>
      <c r="F1671" s="1">
        <v>0.0</v>
      </c>
      <c r="G1671" s="1">
        <v>278.0</v>
      </c>
      <c r="H1671" s="1">
        <v>0.0</v>
      </c>
      <c r="I1671" s="1">
        <v>20.59</v>
      </c>
    </row>
    <row r="1672">
      <c r="A1672" s="2" t="s">
        <v>11944</v>
      </c>
      <c r="B1672" s="1">
        <v>200.0</v>
      </c>
      <c r="C1672" s="1" t="s">
        <v>11945</v>
      </c>
      <c r="D1672" s="1" t="s">
        <v>583</v>
      </c>
      <c r="F1672" s="1">
        <v>0.0</v>
      </c>
      <c r="G1672" s="1">
        <v>43.0</v>
      </c>
      <c r="H1672" s="1">
        <v>0.0</v>
      </c>
      <c r="I1672" s="1">
        <v>26.95</v>
      </c>
    </row>
    <row r="1673">
      <c r="A1673" s="2" t="s">
        <v>11946</v>
      </c>
      <c r="B1673" s="1">
        <v>200.0</v>
      </c>
      <c r="C1673" s="1" t="s">
        <v>11947</v>
      </c>
      <c r="D1673" s="1" t="s">
        <v>583</v>
      </c>
      <c r="F1673" s="1">
        <v>0.0</v>
      </c>
      <c r="G1673" s="1">
        <v>1132.0</v>
      </c>
      <c r="H1673" s="1">
        <v>0.0</v>
      </c>
      <c r="I1673" s="1">
        <v>48.39</v>
      </c>
    </row>
    <row r="1674">
      <c r="A1674" s="2" t="s">
        <v>11948</v>
      </c>
      <c r="B1674" s="1">
        <v>200.0</v>
      </c>
      <c r="C1674" s="1" t="s">
        <v>11949</v>
      </c>
      <c r="D1674" s="1" t="s">
        <v>583</v>
      </c>
      <c r="F1674" s="1">
        <v>0.0</v>
      </c>
      <c r="G1674" s="1">
        <v>40.0</v>
      </c>
      <c r="H1674" s="1">
        <v>0.0</v>
      </c>
      <c r="I1674" s="1">
        <v>41.55</v>
      </c>
    </row>
    <row r="1675">
      <c r="A1675" s="2" t="s">
        <v>11950</v>
      </c>
      <c r="B1675" s="1">
        <v>200.0</v>
      </c>
      <c r="C1675" s="1" t="s">
        <v>11951</v>
      </c>
      <c r="D1675" s="1" t="s">
        <v>583</v>
      </c>
      <c r="F1675" s="1">
        <v>0.0</v>
      </c>
      <c r="G1675" s="1">
        <v>29.0</v>
      </c>
      <c r="H1675" s="1">
        <v>0.0</v>
      </c>
      <c r="I1675" s="1">
        <v>37.17</v>
      </c>
    </row>
    <row r="1676">
      <c r="A1676" s="2" t="s">
        <v>11952</v>
      </c>
      <c r="B1676" s="1">
        <v>200.0</v>
      </c>
      <c r="C1676" s="1" t="s">
        <v>11953</v>
      </c>
      <c r="D1676" s="1" t="s">
        <v>583</v>
      </c>
      <c r="F1676" s="1">
        <v>0.0</v>
      </c>
      <c r="G1676" s="1">
        <v>129.0</v>
      </c>
      <c r="H1676" s="1">
        <v>0.0</v>
      </c>
      <c r="I1676" s="1">
        <v>53.8</v>
      </c>
    </row>
    <row r="1677">
      <c r="A1677" s="2" t="s">
        <v>11954</v>
      </c>
      <c r="B1677" s="1">
        <v>200.0</v>
      </c>
      <c r="C1677" s="1" t="s">
        <v>11955</v>
      </c>
      <c r="D1677" s="1" t="s">
        <v>583</v>
      </c>
      <c r="F1677" s="1">
        <v>0.0</v>
      </c>
      <c r="G1677" s="1">
        <v>38.0</v>
      </c>
      <c r="H1677" s="1">
        <v>0.0</v>
      </c>
      <c r="I1677" s="1">
        <v>37.82</v>
      </c>
    </row>
    <row r="1678">
      <c r="A1678" s="2" t="s">
        <v>11956</v>
      </c>
      <c r="B1678" s="1">
        <v>200.0</v>
      </c>
      <c r="C1678" s="1" t="s">
        <v>9045</v>
      </c>
      <c r="D1678" s="1" t="s">
        <v>609</v>
      </c>
      <c r="E1678" s="1" t="s">
        <v>631</v>
      </c>
      <c r="F1678" s="1">
        <v>1.0</v>
      </c>
      <c r="G1678" s="1">
        <v>45.0</v>
      </c>
      <c r="H1678" s="1">
        <v>0.022</v>
      </c>
      <c r="I1678" s="1">
        <v>18.42</v>
      </c>
    </row>
    <row r="1679">
      <c r="A1679" s="2" t="s">
        <v>11957</v>
      </c>
      <c r="B1679" s="1">
        <v>200.0</v>
      </c>
      <c r="C1679" s="1" t="s">
        <v>11958</v>
      </c>
      <c r="D1679" s="1" t="s">
        <v>583</v>
      </c>
      <c r="F1679" s="1">
        <v>0.0</v>
      </c>
      <c r="G1679" s="1">
        <v>250.0</v>
      </c>
      <c r="H1679" s="1">
        <v>0.0</v>
      </c>
      <c r="I1679" s="1">
        <v>19.4</v>
      </c>
    </row>
    <row r="1680">
      <c r="A1680" s="2" t="s">
        <v>11959</v>
      </c>
      <c r="B1680" s="1">
        <v>200.0</v>
      </c>
      <c r="C1680" s="1" t="s">
        <v>11960</v>
      </c>
      <c r="D1680" s="1" t="s">
        <v>583</v>
      </c>
      <c r="F1680" s="1">
        <v>0.0</v>
      </c>
      <c r="G1680" s="1">
        <v>28.0</v>
      </c>
      <c r="H1680" s="1">
        <v>0.0</v>
      </c>
      <c r="I1680" s="1">
        <v>7.57</v>
      </c>
    </row>
    <row r="1681">
      <c r="A1681" s="2" t="s">
        <v>11961</v>
      </c>
      <c r="B1681" s="1">
        <v>200.0</v>
      </c>
      <c r="C1681" s="1" t="s">
        <v>9058</v>
      </c>
      <c r="D1681" s="1" t="s">
        <v>609</v>
      </c>
      <c r="E1681" s="1" t="s">
        <v>631</v>
      </c>
      <c r="F1681" s="1">
        <v>0.0</v>
      </c>
      <c r="G1681" s="1">
        <v>6.0</v>
      </c>
      <c r="H1681" s="1">
        <v>0.0</v>
      </c>
      <c r="I1681" s="1">
        <v>8.83</v>
      </c>
    </row>
    <row r="1682">
      <c r="A1682" s="2" t="s">
        <v>11962</v>
      </c>
      <c r="B1682" s="1">
        <v>200.0</v>
      </c>
      <c r="C1682" s="1" t="s">
        <v>9058</v>
      </c>
      <c r="D1682" s="1" t="s">
        <v>609</v>
      </c>
      <c r="E1682" s="1" t="s">
        <v>631</v>
      </c>
    </row>
    <row r="1683">
      <c r="A1683" s="2" t="s">
        <v>11963</v>
      </c>
      <c r="B1683" s="1">
        <v>200.0</v>
      </c>
      <c r="C1683" s="1" t="s">
        <v>9058</v>
      </c>
      <c r="D1683" s="1" t="s">
        <v>609</v>
      </c>
      <c r="E1683" s="1" t="s">
        <v>631</v>
      </c>
    </row>
    <row r="1684">
      <c r="A1684" s="2" t="s">
        <v>11964</v>
      </c>
      <c r="B1684" s="1">
        <v>200.0</v>
      </c>
      <c r="C1684" s="1" t="s">
        <v>9043</v>
      </c>
      <c r="D1684" s="1" t="s">
        <v>609</v>
      </c>
      <c r="E1684" s="1" t="s">
        <v>631</v>
      </c>
      <c r="F1684" s="1">
        <v>0.0</v>
      </c>
      <c r="G1684" s="1">
        <v>2.0</v>
      </c>
      <c r="H1684" s="1">
        <v>0.0</v>
      </c>
      <c r="I1684" s="1">
        <v>7.5</v>
      </c>
    </row>
    <row r="1685">
      <c r="A1685" s="2" t="s">
        <v>11965</v>
      </c>
      <c r="B1685" s="1">
        <v>301.0</v>
      </c>
      <c r="D1685" s="1" t="s">
        <v>609</v>
      </c>
      <c r="E1685" s="1" t="s">
        <v>610</v>
      </c>
    </row>
    <row r="1686">
      <c r="A1686" s="2" t="s">
        <v>11966</v>
      </c>
      <c r="B1686" s="1">
        <v>200.0</v>
      </c>
      <c r="C1686" s="1" t="s">
        <v>11967</v>
      </c>
      <c r="D1686" s="1" t="s">
        <v>583</v>
      </c>
    </row>
    <row r="1687">
      <c r="A1687" s="2" t="s">
        <v>11968</v>
      </c>
      <c r="B1687" s="1">
        <v>200.0</v>
      </c>
      <c r="C1687" s="1" t="s">
        <v>9043</v>
      </c>
      <c r="D1687" s="1" t="s">
        <v>609</v>
      </c>
      <c r="E1687" s="1" t="s">
        <v>631</v>
      </c>
    </row>
    <row r="1688">
      <c r="A1688" s="2" t="s">
        <v>11969</v>
      </c>
      <c r="B1688" s="1">
        <v>200.0</v>
      </c>
      <c r="C1688" s="1" t="s">
        <v>9043</v>
      </c>
      <c r="D1688" s="1" t="s">
        <v>609</v>
      </c>
      <c r="E1688" s="1" t="s">
        <v>631</v>
      </c>
    </row>
    <row r="1689">
      <c r="A1689" s="2" t="s">
        <v>11970</v>
      </c>
      <c r="B1689" s="1">
        <v>200.0</v>
      </c>
      <c r="C1689" s="1" t="s">
        <v>11971</v>
      </c>
      <c r="D1689" s="1" t="s">
        <v>583</v>
      </c>
      <c r="F1689" s="1">
        <v>0.0</v>
      </c>
      <c r="G1689" s="1">
        <v>191.0</v>
      </c>
      <c r="H1689" s="1">
        <v>0.0</v>
      </c>
      <c r="I1689" s="1">
        <v>47.51</v>
      </c>
    </row>
    <row r="1690">
      <c r="A1690" s="2" t="s">
        <v>11972</v>
      </c>
      <c r="B1690" s="1">
        <v>301.0</v>
      </c>
      <c r="D1690" s="1" t="s">
        <v>609</v>
      </c>
      <c r="E1690" s="1" t="s">
        <v>610</v>
      </c>
    </row>
    <row r="1691">
      <c r="A1691" s="2" t="s">
        <v>11973</v>
      </c>
      <c r="B1691" s="1">
        <v>200.0</v>
      </c>
      <c r="C1691" s="1" t="s">
        <v>11974</v>
      </c>
      <c r="D1691" s="1" t="s">
        <v>583</v>
      </c>
      <c r="F1691" s="1">
        <v>0.0</v>
      </c>
      <c r="G1691" s="1">
        <v>19.0</v>
      </c>
      <c r="H1691" s="1">
        <v>0.0</v>
      </c>
      <c r="I1691" s="1">
        <v>30.26</v>
      </c>
    </row>
    <row r="1692">
      <c r="A1692" s="2" t="s">
        <v>11975</v>
      </c>
      <c r="B1692" s="1">
        <v>200.0</v>
      </c>
      <c r="C1692" s="1" t="s">
        <v>11976</v>
      </c>
      <c r="D1692" s="1" t="s">
        <v>583</v>
      </c>
      <c r="F1692" s="1">
        <v>0.0</v>
      </c>
      <c r="G1692" s="1">
        <v>61.0</v>
      </c>
      <c r="H1692" s="1">
        <v>0.0</v>
      </c>
      <c r="I1692" s="1">
        <v>16.85</v>
      </c>
    </row>
    <row r="1693">
      <c r="A1693" s="2" t="s">
        <v>11977</v>
      </c>
      <c r="B1693" s="1">
        <v>200.0</v>
      </c>
      <c r="C1693" s="1" t="s">
        <v>11978</v>
      </c>
      <c r="D1693" s="1" t="s">
        <v>583</v>
      </c>
      <c r="F1693" s="1">
        <v>1.0</v>
      </c>
      <c r="G1693" s="1">
        <v>5.0</v>
      </c>
      <c r="H1693" s="1">
        <v>0.2</v>
      </c>
      <c r="I1693" s="1">
        <v>11.8</v>
      </c>
    </row>
    <row r="1694">
      <c r="A1694" s="2" t="s">
        <v>11979</v>
      </c>
      <c r="B1694" s="1">
        <v>200.0</v>
      </c>
      <c r="C1694" s="1" t="s">
        <v>11980</v>
      </c>
      <c r="D1694" s="1" t="s">
        <v>583</v>
      </c>
      <c r="F1694" s="1">
        <v>0.0</v>
      </c>
      <c r="G1694" s="1">
        <v>7.0</v>
      </c>
      <c r="H1694" s="1">
        <v>0.0</v>
      </c>
      <c r="I1694" s="1">
        <v>20.86</v>
      </c>
    </row>
    <row r="1695">
      <c r="A1695" s="2" t="s">
        <v>11981</v>
      </c>
      <c r="B1695" s="1">
        <v>200.0</v>
      </c>
      <c r="C1695" s="1" t="s">
        <v>11982</v>
      </c>
      <c r="D1695" s="1" t="s">
        <v>583</v>
      </c>
      <c r="F1695" s="1">
        <v>0.0</v>
      </c>
      <c r="G1695" s="1">
        <v>43.0</v>
      </c>
      <c r="H1695" s="1">
        <v>0.0</v>
      </c>
      <c r="I1695" s="1">
        <v>12.3</v>
      </c>
    </row>
    <row r="1696">
      <c r="A1696" s="2" t="s">
        <v>11983</v>
      </c>
      <c r="B1696" s="1">
        <v>200.0</v>
      </c>
      <c r="C1696" s="1" t="s">
        <v>11984</v>
      </c>
      <c r="D1696" s="1" t="s">
        <v>583</v>
      </c>
      <c r="F1696" s="1">
        <v>0.0</v>
      </c>
      <c r="G1696" s="1">
        <v>15.0</v>
      </c>
      <c r="H1696" s="1">
        <v>0.0</v>
      </c>
      <c r="I1696" s="1">
        <v>25.2</v>
      </c>
    </row>
    <row r="1697">
      <c r="A1697" s="2" t="s">
        <v>11985</v>
      </c>
      <c r="B1697" s="1">
        <v>200.0</v>
      </c>
      <c r="C1697" s="1" t="s">
        <v>11986</v>
      </c>
      <c r="D1697" s="1" t="s">
        <v>583</v>
      </c>
      <c r="F1697" s="1">
        <v>1.0</v>
      </c>
      <c r="G1697" s="1">
        <v>46.0</v>
      </c>
      <c r="H1697" s="1">
        <v>0.022</v>
      </c>
      <c r="I1697" s="1">
        <v>27.11</v>
      </c>
    </row>
    <row r="1698">
      <c r="A1698" s="2" t="s">
        <v>11987</v>
      </c>
      <c r="B1698" s="1">
        <v>200.0</v>
      </c>
      <c r="C1698" s="1" t="s">
        <v>11988</v>
      </c>
      <c r="D1698" s="1" t="s">
        <v>583</v>
      </c>
      <c r="F1698" s="1">
        <v>0.0</v>
      </c>
      <c r="G1698" s="1">
        <v>141.0</v>
      </c>
      <c r="H1698" s="1">
        <v>0.0</v>
      </c>
      <c r="I1698" s="1">
        <v>69.64</v>
      </c>
    </row>
    <row r="1699">
      <c r="A1699" s="2" t="s">
        <v>11989</v>
      </c>
      <c r="B1699" s="1">
        <v>200.0</v>
      </c>
      <c r="C1699" s="1" t="s">
        <v>11990</v>
      </c>
      <c r="D1699" s="1" t="s">
        <v>583</v>
      </c>
      <c r="F1699" s="1">
        <v>0.0</v>
      </c>
      <c r="G1699" s="1">
        <v>4.0</v>
      </c>
      <c r="H1699" s="1">
        <v>0.0</v>
      </c>
      <c r="I1699" s="1">
        <v>17.75</v>
      </c>
    </row>
    <row r="1700">
      <c r="A1700" s="2" t="s">
        <v>11991</v>
      </c>
      <c r="B1700" s="1">
        <v>301.0</v>
      </c>
      <c r="D1700" s="1" t="s">
        <v>609</v>
      </c>
      <c r="E1700" s="1" t="s">
        <v>610</v>
      </c>
    </row>
    <row r="1701">
      <c r="A1701" s="2" t="s">
        <v>11992</v>
      </c>
      <c r="B1701" s="1">
        <v>200.0</v>
      </c>
      <c r="C1701" s="1" t="s">
        <v>11993</v>
      </c>
      <c r="D1701" s="1" t="s">
        <v>583</v>
      </c>
      <c r="F1701" s="1">
        <v>0.0</v>
      </c>
      <c r="G1701" s="1">
        <v>36.0</v>
      </c>
      <c r="H1701" s="1">
        <v>0.0</v>
      </c>
      <c r="I1701" s="1">
        <v>8.64</v>
      </c>
    </row>
    <row r="1702">
      <c r="A1702" s="2" t="s">
        <v>11994</v>
      </c>
      <c r="B1702" s="1">
        <v>200.0</v>
      </c>
      <c r="C1702" s="1" t="s">
        <v>11995</v>
      </c>
      <c r="D1702" s="1" t="s">
        <v>583</v>
      </c>
      <c r="F1702" s="1">
        <v>0.0</v>
      </c>
      <c r="G1702" s="1">
        <v>15.0</v>
      </c>
      <c r="H1702" s="1">
        <v>0.0</v>
      </c>
      <c r="I1702" s="1">
        <v>18.33</v>
      </c>
    </row>
    <row r="1703">
      <c r="A1703" s="2" t="s">
        <v>11996</v>
      </c>
      <c r="B1703" s="1">
        <v>200.0</v>
      </c>
      <c r="C1703" s="1" t="s">
        <v>11997</v>
      </c>
      <c r="D1703" s="1" t="s">
        <v>583</v>
      </c>
      <c r="F1703" s="1">
        <v>0.0</v>
      </c>
      <c r="G1703" s="1">
        <v>11.0</v>
      </c>
      <c r="H1703" s="1">
        <v>0.0</v>
      </c>
      <c r="I1703" s="1">
        <v>66.36</v>
      </c>
    </row>
    <row r="1704">
      <c r="A1704" s="2" t="s">
        <v>11998</v>
      </c>
      <c r="B1704" s="1">
        <v>200.0</v>
      </c>
      <c r="C1704" s="1" t="s">
        <v>11999</v>
      </c>
      <c r="D1704" s="1" t="s">
        <v>583</v>
      </c>
      <c r="F1704" s="1">
        <v>0.0</v>
      </c>
      <c r="G1704" s="1">
        <v>8.0</v>
      </c>
      <c r="H1704" s="1">
        <v>0.0</v>
      </c>
      <c r="I1704" s="1">
        <v>13.63</v>
      </c>
    </row>
    <row r="1705">
      <c r="A1705" s="2" t="s">
        <v>12000</v>
      </c>
      <c r="B1705" s="1">
        <v>200.0</v>
      </c>
      <c r="C1705" s="1" t="s">
        <v>12001</v>
      </c>
      <c r="D1705" s="1" t="s">
        <v>583</v>
      </c>
      <c r="F1705" s="1">
        <v>2.0</v>
      </c>
      <c r="G1705" s="1">
        <v>196.0</v>
      </c>
      <c r="H1705" s="1">
        <v>0.01</v>
      </c>
      <c r="I1705" s="1">
        <v>13.86</v>
      </c>
    </row>
    <row r="1706">
      <c r="A1706" s="2" t="s">
        <v>12002</v>
      </c>
      <c r="B1706" s="1">
        <v>200.0</v>
      </c>
      <c r="C1706" s="1" t="s">
        <v>12003</v>
      </c>
      <c r="D1706" s="1" t="s">
        <v>583</v>
      </c>
      <c r="F1706" s="1">
        <v>1.0</v>
      </c>
      <c r="G1706" s="1">
        <v>47.0</v>
      </c>
      <c r="H1706" s="1">
        <v>0.021</v>
      </c>
      <c r="I1706" s="1">
        <v>15.7</v>
      </c>
    </row>
    <row r="1707">
      <c r="A1707" s="2" t="s">
        <v>12004</v>
      </c>
      <c r="B1707" s="1">
        <v>200.0</v>
      </c>
      <c r="C1707" s="1" t="s">
        <v>12005</v>
      </c>
      <c r="D1707" s="1" t="s">
        <v>583</v>
      </c>
      <c r="F1707" s="1">
        <v>0.0</v>
      </c>
      <c r="G1707" s="1">
        <v>49.0</v>
      </c>
      <c r="H1707" s="1">
        <v>0.0</v>
      </c>
      <c r="I1707" s="1">
        <v>12.16</v>
      </c>
    </row>
    <row r="1708">
      <c r="A1708" s="2" t="s">
        <v>12006</v>
      </c>
      <c r="B1708" s="1">
        <v>200.0</v>
      </c>
      <c r="C1708" s="1" t="s">
        <v>12007</v>
      </c>
      <c r="D1708" s="1" t="s">
        <v>583</v>
      </c>
      <c r="F1708" s="1">
        <v>0.0</v>
      </c>
      <c r="G1708" s="1">
        <v>6.0</v>
      </c>
      <c r="H1708" s="1">
        <v>0.0</v>
      </c>
      <c r="I1708" s="1">
        <v>12.67</v>
      </c>
    </row>
    <row r="1709">
      <c r="A1709" s="2" t="s">
        <v>12008</v>
      </c>
      <c r="B1709" s="1">
        <v>200.0</v>
      </c>
      <c r="C1709" s="1" t="s">
        <v>12009</v>
      </c>
      <c r="D1709" s="1" t="s">
        <v>583</v>
      </c>
      <c r="F1709" s="1">
        <v>0.0</v>
      </c>
      <c r="G1709" s="1">
        <v>1.0</v>
      </c>
      <c r="H1709" s="1">
        <v>0.0</v>
      </c>
      <c r="I1709" s="1">
        <v>9.0</v>
      </c>
    </row>
    <row r="1710">
      <c r="A1710" s="2" t="s">
        <v>12010</v>
      </c>
      <c r="B1710" s="1">
        <v>200.0</v>
      </c>
      <c r="C1710" s="1" t="s">
        <v>12011</v>
      </c>
      <c r="D1710" s="1" t="s">
        <v>583</v>
      </c>
      <c r="F1710" s="1">
        <v>0.0</v>
      </c>
      <c r="G1710" s="1">
        <v>5.0</v>
      </c>
      <c r="H1710" s="1">
        <v>0.0</v>
      </c>
      <c r="I1710" s="1">
        <v>21.8</v>
      </c>
    </row>
    <row r="1711">
      <c r="A1711" s="2" t="s">
        <v>12012</v>
      </c>
      <c r="B1711" s="1">
        <v>200.0</v>
      </c>
      <c r="C1711" s="1" t="s">
        <v>12013</v>
      </c>
      <c r="D1711" s="1" t="s">
        <v>583</v>
      </c>
      <c r="F1711" s="1">
        <v>0.0</v>
      </c>
      <c r="G1711" s="1">
        <v>105.0</v>
      </c>
      <c r="H1711" s="1">
        <v>0.0</v>
      </c>
      <c r="I1711" s="1">
        <v>17.36</v>
      </c>
    </row>
    <row r="1712">
      <c r="A1712" s="2" t="s">
        <v>12014</v>
      </c>
      <c r="B1712" s="1">
        <v>200.0</v>
      </c>
      <c r="C1712" s="1" t="s">
        <v>12015</v>
      </c>
      <c r="D1712" s="1" t="s">
        <v>583</v>
      </c>
      <c r="F1712" s="1">
        <v>0.0</v>
      </c>
      <c r="G1712" s="1">
        <v>17.0</v>
      </c>
      <c r="H1712" s="1">
        <v>0.0</v>
      </c>
      <c r="I1712" s="1">
        <v>18.82</v>
      </c>
    </row>
    <row r="1713">
      <c r="A1713" s="2" t="s">
        <v>12016</v>
      </c>
      <c r="B1713" s="1">
        <v>200.0</v>
      </c>
      <c r="C1713" s="1" t="s">
        <v>12017</v>
      </c>
      <c r="D1713" s="1" t="s">
        <v>583</v>
      </c>
      <c r="F1713" s="1">
        <v>19.0</v>
      </c>
      <c r="G1713" s="1">
        <v>2364.0</v>
      </c>
      <c r="H1713" s="1">
        <v>0.008</v>
      </c>
      <c r="I1713" s="1">
        <v>5.95</v>
      </c>
    </row>
    <row r="1714">
      <c r="A1714" s="2" t="s">
        <v>12018</v>
      </c>
      <c r="B1714" s="1">
        <v>200.0</v>
      </c>
      <c r="C1714" s="1" t="s">
        <v>12019</v>
      </c>
      <c r="D1714" s="1" t="s">
        <v>583</v>
      </c>
      <c r="F1714" s="1">
        <v>0.0</v>
      </c>
      <c r="G1714" s="1">
        <v>14.0</v>
      </c>
      <c r="H1714" s="1">
        <v>0.0</v>
      </c>
      <c r="I1714" s="1">
        <v>9.07</v>
      </c>
    </row>
    <row r="1715">
      <c r="A1715" s="2" t="s">
        <v>12020</v>
      </c>
      <c r="B1715" s="1">
        <v>200.0</v>
      </c>
      <c r="C1715" s="1" t="s">
        <v>12021</v>
      </c>
      <c r="D1715" s="1" t="s">
        <v>583</v>
      </c>
      <c r="F1715" s="1">
        <v>2.0</v>
      </c>
      <c r="G1715" s="1">
        <v>76.0</v>
      </c>
      <c r="H1715" s="1">
        <v>0.026</v>
      </c>
      <c r="I1715" s="1">
        <v>15.42</v>
      </c>
    </row>
    <row r="1716">
      <c r="A1716" s="2" t="s">
        <v>12022</v>
      </c>
      <c r="B1716" s="1">
        <v>200.0</v>
      </c>
      <c r="C1716" s="1" t="s">
        <v>12023</v>
      </c>
      <c r="D1716" s="1" t="s">
        <v>583</v>
      </c>
      <c r="F1716" s="1">
        <v>0.0</v>
      </c>
      <c r="G1716" s="1">
        <v>26.0</v>
      </c>
      <c r="H1716" s="1">
        <v>0.0</v>
      </c>
      <c r="I1716" s="1">
        <v>15.69</v>
      </c>
    </row>
    <row r="1717">
      <c r="A1717" s="2" t="s">
        <v>12024</v>
      </c>
      <c r="B1717" s="1">
        <v>200.0</v>
      </c>
      <c r="C1717" s="1" t="s">
        <v>12025</v>
      </c>
      <c r="D1717" s="1" t="s">
        <v>583</v>
      </c>
      <c r="F1717" s="1">
        <v>0.0</v>
      </c>
      <c r="G1717" s="1">
        <v>135.0</v>
      </c>
      <c r="H1717" s="1">
        <v>0.0</v>
      </c>
      <c r="I1717" s="1">
        <v>21.43</v>
      </c>
    </row>
    <row r="1718">
      <c r="A1718" s="2" t="s">
        <v>12026</v>
      </c>
      <c r="B1718" s="1">
        <v>200.0</v>
      </c>
      <c r="C1718" s="1" t="s">
        <v>12027</v>
      </c>
      <c r="D1718" s="1" t="s">
        <v>583</v>
      </c>
      <c r="F1718" s="1">
        <v>0.0</v>
      </c>
      <c r="G1718" s="1">
        <v>19.0</v>
      </c>
      <c r="H1718" s="1">
        <v>0.0</v>
      </c>
      <c r="I1718" s="1">
        <v>17.95</v>
      </c>
    </row>
    <row r="1719">
      <c r="A1719" s="2" t="s">
        <v>12028</v>
      </c>
      <c r="B1719" s="1">
        <v>200.0</v>
      </c>
      <c r="C1719" s="1" t="s">
        <v>12029</v>
      </c>
      <c r="D1719" s="1" t="s">
        <v>583</v>
      </c>
      <c r="F1719" s="1">
        <v>3.0</v>
      </c>
      <c r="G1719" s="1">
        <v>91.0</v>
      </c>
      <c r="H1719" s="1">
        <v>0.033</v>
      </c>
      <c r="I1719" s="1">
        <v>20.9</v>
      </c>
    </row>
    <row r="1720">
      <c r="A1720" s="2" t="s">
        <v>12030</v>
      </c>
      <c r="B1720" s="1">
        <v>200.0</v>
      </c>
      <c r="C1720" s="1" t="s">
        <v>12031</v>
      </c>
      <c r="D1720" s="1" t="s">
        <v>583</v>
      </c>
      <c r="F1720" s="1">
        <v>0.0</v>
      </c>
      <c r="G1720" s="1">
        <v>72.0</v>
      </c>
      <c r="H1720" s="1">
        <v>0.0</v>
      </c>
      <c r="I1720" s="1">
        <v>18.5</v>
      </c>
    </row>
    <row r="1721">
      <c r="A1721" s="2" t="s">
        <v>12032</v>
      </c>
      <c r="B1721" s="1">
        <v>200.0</v>
      </c>
      <c r="C1721" s="1" t="s">
        <v>12033</v>
      </c>
      <c r="D1721" s="1" t="s">
        <v>583</v>
      </c>
      <c r="F1721" s="1">
        <v>0.0</v>
      </c>
      <c r="G1721" s="1">
        <v>15.0</v>
      </c>
      <c r="H1721" s="1">
        <v>0.0</v>
      </c>
      <c r="I1721" s="1">
        <v>35.93</v>
      </c>
    </row>
    <row r="1722">
      <c r="A1722" s="2" t="s">
        <v>12034</v>
      </c>
      <c r="B1722" s="1">
        <v>200.0</v>
      </c>
      <c r="C1722" s="1" t="s">
        <v>12035</v>
      </c>
      <c r="D1722" s="1" t="s">
        <v>583</v>
      </c>
      <c r="F1722" s="1">
        <v>0.0</v>
      </c>
      <c r="G1722" s="1">
        <v>40.0</v>
      </c>
      <c r="H1722" s="1">
        <v>0.0</v>
      </c>
      <c r="I1722" s="1">
        <v>7.38</v>
      </c>
    </row>
    <row r="1723">
      <c r="A1723" s="2" t="s">
        <v>12036</v>
      </c>
      <c r="B1723" s="1">
        <v>200.0</v>
      </c>
      <c r="C1723" s="1" t="s">
        <v>12037</v>
      </c>
      <c r="D1723" s="1" t="s">
        <v>583</v>
      </c>
    </row>
    <row r="1724">
      <c r="A1724" s="2" t="s">
        <v>12038</v>
      </c>
      <c r="B1724" s="1">
        <v>200.0</v>
      </c>
      <c r="C1724" s="1" t="s">
        <v>12039</v>
      </c>
      <c r="D1724" s="1" t="s">
        <v>583</v>
      </c>
      <c r="F1724" s="1">
        <v>0.0</v>
      </c>
      <c r="G1724" s="1">
        <v>31.0</v>
      </c>
      <c r="H1724" s="1">
        <v>0.0</v>
      </c>
      <c r="I1724" s="1">
        <v>11.48</v>
      </c>
    </row>
    <row r="1725">
      <c r="A1725" s="2" t="s">
        <v>12040</v>
      </c>
      <c r="B1725" s="1">
        <v>200.0</v>
      </c>
      <c r="C1725" s="1" t="s">
        <v>12041</v>
      </c>
      <c r="D1725" s="1" t="s">
        <v>583</v>
      </c>
      <c r="F1725" s="1">
        <v>0.0</v>
      </c>
      <c r="G1725" s="1">
        <v>52.0</v>
      </c>
      <c r="H1725" s="1">
        <v>0.0</v>
      </c>
      <c r="I1725" s="1">
        <v>36.21</v>
      </c>
    </row>
    <row r="1726">
      <c r="A1726" s="2" t="s">
        <v>12042</v>
      </c>
      <c r="B1726" s="1">
        <v>200.0</v>
      </c>
      <c r="C1726" s="1" t="s">
        <v>12043</v>
      </c>
      <c r="D1726" s="1" t="s">
        <v>583</v>
      </c>
    </row>
    <row r="1727">
      <c r="A1727" s="2" t="s">
        <v>12044</v>
      </c>
      <c r="B1727" s="1">
        <v>200.0</v>
      </c>
      <c r="C1727" s="1" t="s">
        <v>12045</v>
      </c>
      <c r="D1727" s="1" t="s">
        <v>583</v>
      </c>
      <c r="F1727" s="1">
        <v>0.0</v>
      </c>
      <c r="G1727" s="1">
        <v>19.0</v>
      </c>
      <c r="H1727" s="1">
        <v>0.0</v>
      </c>
      <c r="I1727" s="1">
        <v>19.32</v>
      </c>
    </row>
    <row r="1728">
      <c r="A1728" s="2" t="s">
        <v>12046</v>
      </c>
      <c r="B1728" s="1">
        <v>200.0</v>
      </c>
      <c r="C1728" s="1" t="s">
        <v>12047</v>
      </c>
      <c r="D1728" s="1" t="s">
        <v>583</v>
      </c>
      <c r="F1728" s="1">
        <v>0.0</v>
      </c>
      <c r="G1728" s="1">
        <v>8.0</v>
      </c>
      <c r="H1728" s="1">
        <v>0.0</v>
      </c>
      <c r="I1728" s="1">
        <v>35.25</v>
      </c>
    </row>
    <row r="1729">
      <c r="A1729" s="2" t="s">
        <v>12048</v>
      </c>
      <c r="B1729" s="1">
        <v>301.0</v>
      </c>
      <c r="D1729" s="1" t="s">
        <v>609</v>
      </c>
      <c r="E1729" s="1" t="s">
        <v>610</v>
      </c>
    </row>
    <row r="1730">
      <c r="A1730" s="2" t="s">
        <v>12049</v>
      </c>
      <c r="B1730" s="1">
        <v>200.0</v>
      </c>
      <c r="C1730" s="1" t="s">
        <v>12050</v>
      </c>
      <c r="D1730" s="1" t="s">
        <v>583</v>
      </c>
      <c r="F1730" s="1">
        <v>0.0</v>
      </c>
      <c r="G1730" s="1">
        <v>38.0</v>
      </c>
      <c r="H1730" s="1">
        <v>0.0</v>
      </c>
      <c r="I1730" s="1">
        <v>32.21</v>
      </c>
    </row>
    <row r="1731">
      <c r="A1731" s="2" t="s">
        <v>12051</v>
      </c>
      <c r="B1731" s="1">
        <v>200.0</v>
      </c>
      <c r="C1731" s="1" t="s">
        <v>12052</v>
      </c>
      <c r="D1731" s="1" t="s">
        <v>583</v>
      </c>
      <c r="F1731" s="1">
        <v>0.0</v>
      </c>
      <c r="G1731" s="1">
        <v>16.0</v>
      </c>
      <c r="H1731" s="1">
        <v>0.0</v>
      </c>
      <c r="I1731" s="1">
        <v>28.31</v>
      </c>
    </row>
    <row r="1732">
      <c r="A1732" s="2" t="s">
        <v>12053</v>
      </c>
      <c r="B1732" s="1">
        <v>200.0</v>
      </c>
      <c r="C1732" s="1" t="s">
        <v>12054</v>
      </c>
      <c r="D1732" s="1" t="s">
        <v>583</v>
      </c>
      <c r="F1732" s="1">
        <v>1.0</v>
      </c>
      <c r="G1732" s="1">
        <v>180.0</v>
      </c>
      <c r="H1732" s="1">
        <v>0.006</v>
      </c>
      <c r="I1732" s="1">
        <v>3.26</v>
      </c>
    </row>
    <row r="1733">
      <c r="A1733" s="2" t="s">
        <v>12055</v>
      </c>
      <c r="B1733" s="1">
        <v>200.0</v>
      </c>
      <c r="C1733" s="1" t="s">
        <v>12056</v>
      </c>
      <c r="D1733" s="1" t="s">
        <v>583</v>
      </c>
      <c r="F1733" s="1">
        <v>0.0</v>
      </c>
      <c r="G1733" s="1">
        <v>28.0</v>
      </c>
      <c r="H1733" s="1">
        <v>0.0</v>
      </c>
      <c r="I1733" s="1">
        <v>39.82</v>
      </c>
    </row>
    <row r="1734">
      <c r="A1734" s="2" t="s">
        <v>12057</v>
      </c>
      <c r="B1734" s="1">
        <v>200.0</v>
      </c>
      <c r="C1734" s="1" t="s">
        <v>12058</v>
      </c>
      <c r="D1734" s="1" t="s">
        <v>583</v>
      </c>
      <c r="F1734" s="1">
        <v>0.0</v>
      </c>
      <c r="G1734" s="1">
        <v>109.0</v>
      </c>
      <c r="H1734" s="1">
        <v>0.0</v>
      </c>
      <c r="I1734" s="1">
        <v>30.19</v>
      </c>
    </row>
    <row r="1735">
      <c r="A1735" s="2" t="s">
        <v>12059</v>
      </c>
      <c r="B1735" s="1">
        <v>200.0</v>
      </c>
      <c r="C1735" s="1" t="s">
        <v>12060</v>
      </c>
      <c r="D1735" s="1" t="s">
        <v>583</v>
      </c>
      <c r="F1735" s="1">
        <v>0.0</v>
      </c>
      <c r="G1735" s="1">
        <v>30.0</v>
      </c>
      <c r="H1735" s="1">
        <v>0.0</v>
      </c>
      <c r="I1735" s="1">
        <v>15.17</v>
      </c>
    </row>
    <row r="1736">
      <c r="A1736" s="2" t="s">
        <v>12061</v>
      </c>
      <c r="B1736" s="1">
        <v>200.0</v>
      </c>
      <c r="C1736" s="1" t="s">
        <v>12062</v>
      </c>
      <c r="D1736" s="1" t="s">
        <v>583</v>
      </c>
      <c r="F1736" s="1">
        <v>0.0</v>
      </c>
      <c r="G1736" s="1">
        <v>135.0</v>
      </c>
      <c r="H1736" s="1">
        <v>0.0</v>
      </c>
      <c r="I1736" s="1">
        <v>30.83</v>
      </c>
    </row>
    <row r="1737">
      <c r="A1737" s="2" t="s">
        <v>12063</v>
      </c>
      <c r="B1737" s="1">
        <v>200.0</v>
      </c>
      <c r="C1737" s="1" t="s">
        <v>12064</v>
      </c>
      <c r="D1737" s="1" t="s">
        <v>583</v>
      </c>
      <c r="F1737" s="1">
        <v>0.0</v>
      </c>
      <c r="G1737" s="1">
        <v>27.0</v>
      </c>
      <c r="H1737" s="1">
        <v>0.0</v>
      </c>
      <c r="I1737" s="1">
        <v>20.52</v>
      </c>
    </row>
    <row r="1738">
      <c r="A1738" s="2" t="s">
        <v>12065</v>
      </c>
      <c r="B1738" s="1">
        <v>200.0</v>
      </c>
      <c r="C1738" s="1" t="s">
        <v>12066</v>
      </c>
      <c r="D1738" s="1" t="s">
        <v>583</v>
      </c>
    </row>
    <row r="1739">
      <c r="A1739" s="2" t="s">
        <v>12067</v>
      </c>
      <c r="B1739" s="1">
        <v>200.0</v>
      </c>
      <c r="C1739" s="1" t="s">
        <v>12068</v>
      </c>
      <c r="D1739" s="1" t="s">
        <v>583</v>
      </c>
      <c r="F1739" s="1">
        <v>0.0</v>
      </c>
      <c r="G1739" s="1">
        <v>9.0</v>
      </c>
      <c r="H1739" s="1">
        <v>0.0</v>
      </c>
      <c r="I1739" s="1">
        <v>13.33</v>
      </c>
    </row>
    <row r="1740">
      <c r="A1740" s="2" t="s">
        <v>12069</v>
      </c>
      <c r="B1740" s="1">
        <v>200.0</v>
      </c>
      <c r="C1740" s="1" t="s">
        <v>12070</v>
      </c>
      <c r="D1740" s="1" t="s">
        <v>583</v>
      </c>
      <c r="F1740" s="1">
        <v>0.0</v>
      </c>
      <c r="G1740" s="1">
        <v>17.0</v>
      </c>
      <c r="H1740" s="1">
        <v>0.0</v>
      </c>
      <c r="I1740" s="1">
        <v>23.71</v>
      </c>
    </row>
    <row r="1741">
      <c r="A1741" s="2" t="s">
        <v>12071</v>
      </c>
      <c r="B1741" s="1">
        <v>200.0</v>
      </c>
      <c r="C1741" s="1" t="s">
        <v>12072</v>
      </c>
      <c r="D1741" s="1" t="s">
        <v>583</v>
      </c>
      <c r="F1741" s="1">
        <v>0.0</v>
      </c>
      <c r="G1741" s="1">
        <v>61.0</v>
      </c>
      <c r="H1741" s="1">
        <v>0.0</v>
      </c>
      <c r="I1741" s="1">
        <v>13.07</v>
      </c>
    </row>
    <row r="1742">
      <c r="A1742" s="2" t="s">
        <v>12073</v>
      </c>
      <c r="B1742" s="1">
        <v>200.0</v>
      </c>
      <c r="C1742" s="1" t="s">
        <v>12074</v>
      </c>
      <c r="D1742" s="1" t="s">
        <v>583</v>
      </c>
    </row>
    <row r="1743">
      <c r="A1743" s="2" t="s">
        <v>12075</v>
      </c>
      <c r="B1743" s="1">
        <v>200.0</v>
      </c>
      <c r="C1743" s="1" t="s">
        <v>12076</v>
      </c>
      <c r="D1743" s="1" t="s">
        <v>583</v>
      </c>
      <c r="F1743" s="1">
        <v>0.0</v>
      </c>
      <c r="G1743" s="1">
        <v>35.0</v>
      </c>
      <c r="H1743" s="1">
        <v>0.0</v>
      </c>
      <c r="I1743" s="1">
        <v>38.66</v>
      </c>
    </row>
    <row r="1744">
      <c r="A1744" s="2" t="s">
        <v>12077</v>
      </c>
      <c r="B1744" s="1">
        <v>200.0</v>
      </c>
      <c r="C1744" s="1" t="s">
        <v>9872</v>
      </c>
      <c r="D1744" s="1" t="s">
        <v>609</v>
      </c>
      <c r="E1744" s="1" t="s">
        <v>631</v>
      </c>
      <c r="F1744" s="1">
        <v>1.0</v>
      </c>
      <c r="G1744" s="1">
        <v>37.0</v>
      </c>
      <c r="H1744" s="1">
        <v>0.027</v>
      </c>
      <c r="I1744" s="1">
        <v>12.95</v>
      </c>
    </row>
    <row r="1745">
      <c r="A1745" s="2" t="s">
        <v>12078</v>
      </c>
      <c r="B1745" s="1">
        <v>200.0</v>
      </c>
      <c r="C1745" s="1" t="s">
        <v>9896</v>
      </c>
      <c r="D1745" s="1" t="s">
        <v>609</v>
      </c>
      <c r="E1745" s="1" t="s">
        <v>631</v>
      </c>
      <c r="F1745" s="1">
        <v>0.0</v>
      </c>
      <c r="G1745" s="1">
        <v>12.0</v>
      </c>
      <c r="H1745" s="1">
        <v>0.0</v>
      </c>
      <c r="I1745" s="1">
        <v>15.33</v>
      </c>
    </row>
    <row r="1746">
      <c r="A1746" s="2" t="s">
        <v>12079</v>
      </c>
      <c r="B1746" s="1">
        <v>200.0</v>
      </c>
      <c r="C1746" s="1" t="s">
        <v>9322</v>
      </c>
      <c r="D1746" s="1" t="s">
        <v>609</v>
      </c>
      <c r="E1746" s="1" t="s">
        <v>631</v>
      </c>
      <c r="F1746" s="1">
        <v>0.0</v>
      </c>
      <c r="G1746" s="1">
        <v>4.0</v>
      </c>
      <c r="H1746" s="1">
        <v>0.0</v>
      </c>
      <c r="I1746" s="1">
        <v>20.25</v>
      </c>
    </row>
    <row r="1747">
      <c r="A1747" s="2" t="s">
        <v>12080</v>
      </c>
      <c r="B1747" s="1">
        <v>200.0</v>
      </c>
      <c r="C1747" s="1" t="s">
        <v>9896</v>
      </c>
      <c r="D1747" s="1" t="s">
        <v>609</v>
      </c>
      <c r="E1747" s="1" t="s">
        <v>631</v>
      </c>
    </row>
    <row r="1748">
      <c r="A1748" s="2" t="s">
        <v>12081</v>
      </c>
      <c r="B1748" s="1">
        <v>200.0</v>
      </c>
      <c r="C1748" s="1" t="s">
        <v>12082</v>
      </c>
      <c r="D1748" s="1" t="s">
        <v>583</v>
      </c>
      <c r="F1748" s="1">
        <v>0.0</v>
      </c>
      <c r="G1748" s="1">
        <v>8.0</v>
      </c>
      <c r="H1748" s="1">
        <v>0.0</v>
      </c>
      <c r="I1748" s="1">
        <v>17.0</v>
      </c>
    </row>
    <row r="1749">
      <c r="A1749" s="2" t="s">
        <v>12083</v>
      </c>
      <c r="B1749" s="1">
        <v>200.0</v>
      </c>
      <c r="C1749" s="1" t="s">
        <v>9888</v>
      </c>
      <c r="D1749" s="1" t="s">
        <v>609</v>
      </c>
      <c r="E1749" s="1" t="s">
        <v>631</v>
      </c>
      <c r="F1749" s="1">
        <v>0.0</v>
      </c>
      <c r="G1749" s="1">
        <v>6.0</v>
      </c>
      <c r="H1749" s="1">
        <v>0.0</v>
      </c>
      <c r="I1749" s="1">
        <v>24.17</v>
      </c>
    </row>
    <row r="1750">
      <c r="A1750" s="2" t="s">
        <v>12084</v>
      </c>
      <c r="B1750" s="1">
        <v>200.0</v>
      </c>
      <c r="C1750" s="1" t="s">
        <v>9888</v>
      </c>
      <c r="D1750" s="1" t="s">
        <v>609</v>
      </c>
      <c r="E1750" s="1" t="s">
        <v>631</v>
      </c>
      <c r="F1750" s="1">
        <v>0.0</v>
      </c>
      <c r="G1750" s="1">
        <v>7.0</v>
      </c>
      <c r="H1750" s="1">
        <v>0.0</v>
      </c>
      <c r="I1750" s="1">
        <v>6.86</v>
      </c>
    </row>
    <row r="1751">
      <c r="A1751" s="2" t="s">
        <v>12085</v>
      </c>
      <c r="B1751" s="1">
        <v>404.0</v>
      </c>
      <c r="D1751" s="1" t="s">
        <v>609</v>
      </c>
      <c r="E1751" s="1" t="s">
        <v>902</v>
      </c>
    </row>
    <row r="1752">
      <c r="A1752" s="2" t="s">
        <v>12086</v>
      </c>
      <c r="B1752" s="1">
        <v>200.0</v>
      </c>
      <c r="C1752" s="1" t="s">
        <v>9888</v>
      </c>
      <c r="D1752" s="1" t="s">
        <v>609</v>
      </c>
      <c r="E1752" s="1" t="s">
        <v>631</v>
      </c>
      <c r="F1752" s="1">
        <v>0.0</v>
      </c>
      <c r="G1752" s="1">
        <v>29.0</v>
      </c>
      <c r="H1752" s="1">
        <v>0.0</v>
      </c>
      <c r="I1752" s="1">
        <v>12.28</v>
      </c>
    </row>
    <row r="1753">
      <c r="A1753" s="2" t="s">
        <v>12087</v>
      </c>
      <c r="B1753" s="1">
        <v>200.0</v>
      </c>
      <c r="C1753" s="1" t="s">
        <v>9888</v>
      </c>
      <c r="D1753" s="1" t="s">
        <v>609</v>
      </c>
      <c r="E1753" s="1" t="s">
        <v>631</v>
      </c>
      <c r="F1753" s="1">
        <v>0.0</v>
      </c>
      <c r="G1753" s="1">
        <v>5.0</v>
      </c>
      <c r="H1753" s="1">
        <v>0.0</v>
      </c>
      <c r="I1753" s="1">
        <v>10.8</v>
      </c>
    </row>
    <row r="1754">
      <c r="A1754" s="2" t="s">
        <v>12088</v>
      </c>
      <c r="B1754" s="1">
        <v>200.0</v>
      </c>
      <c r="C1754" s="1" t="s">
        <v>9886</v>
      </c>
      <c r="D1754" s="1" t="s">
        <v>609</v>
      </c>
      <c r="E1754" s="1" t="s">
        <v>631</v>
      </c>
      <c r="F1754" s="1">
        <v>0.0</v>
      </c>
      <c r="G1754" s="1">
        <v>2.0</v>
      </c>
      <c r="H1754" s="1">
        <v>0.0</v>
      </c>
      <c r="I1754" s="1">
        <v>9.5</v>
      </c>
    </row>
    <row r="1755">
      <c r="A1755" s="2" t="s">
        <v>12089</v>
      </c>
      <c r="B1755" s="1">
        <v>200.0</v>
      </c>
      <c r="C1755" s="1" t="s">
        <v>9886</v>
      </c>
      <c r="D1755" s="1" t="s">
        <v>609</v>
      </c>
      <c r="E1755" s="1" t="s">
        <v>631</v>
      </c>
      <c r="F1755" s="1">
        <v>0.0</v>
      </c>
      <c r="G1755" s="1">
        <v>3.0</v>
      </c>
      <c r="H1755" s="1">
        <v>0.0</v>
      </c>
      <c r="I1755" s="1">
        <v>13.0</v>
      </c>
    </row>
    <row r="1756">
      <c r="A1756" s="2" t="s">
        <v>12090</v>
      </c>
      <c r="B1756" s="1">
        <v>404.0</v>
      </c>
      <c r="D1756" s="1" t="s">
        <v>609</v>
      </c>
      <c r="E1756" s="1" t="s">
        <v>902</v>
      </c>
    </row>
    <row r="1757">
      <c r="A1757" s="2" t="s">
        <v>12091</v>
      </c>
      <c r="B1757" s="1">
        <v>200.0</v>
      </c>
      <c r="C1757" s="1" t="s">
        <v>9886</v>
      </c>
      <c r="D1757" s="1" t="s">
        <v>609</v>
      </c>
      <c r="E1757" s="1" t="s">
        <v>631</v>
      </c>
      <c r="F1757" s="1">
        <v>0.0</v>
      </c>
      <c r="G1757" s="1">
        <v>14.0</v>
      </c>
      <c r="H1757" s="1">
        <v>0.0</v>
      </c>
      <c r="I1757" s="1">
        <v>8.79</v>
      </c>
    </row>
    <row r="1758">
      <c r="A1758" s="2" t="s">
        <v>12092</v>
      </c>
      <c r="B1758" s="1">
        <v>200.0</v>
      </c>
      <c r="C1758" s="1" t="s">
        <v>9882</v>
      </c>
      <c r="D1758" s="1" t="s">
        <v>609</v>
      </c>
      <c r="E1758" s="1" t="s">
        <v>631</v>
      </c>
      <c r="F1758" s="1">
        <v>0.0</v>
      </c>
      <c r="G1758" s="1">
        <v>11.0</v>
      </c>
      <c r="H1758" s="1">
        <v>0.0</v>
      </c>
      <c r="I1758" s="1">
        <v>16.64</v>
      </c>
    </row>
    <row r="1759">
      <c r="A1759" s="2" t="s">
        <v>12093</v>
      </c>
      <c r="B1759" s="1">
        <v>200.0</v>
      </c>
      <c r="C1759" s="1" t="s">
        <v>9882</v>
      </c>
      <c r="D1759" s="1" t="s">
        <v>609</v>
      </c>
      <c r="E1759" s="1" t="s">
        <v>631</v>
      </c>
      <c r="F1759" s="1">
        <v>0.0</v>
      </c>
      <c r="G1759" s="1">
        <v>42.0</v>
      </c>
      <c r="H1759" s="1">
        <v>0.0</v>
      </c>
      <c r="I1759" s="1">
        <v>19.69</v>
      </c>
    </row>
    <row r="1760">
      <c r="A1760" s="2" t="s">
        <v>12094</v>
      </c>
      <c r="B1760" s="1">
        <v>404.0</v>
      </c>
      <c r="D1760" s="1" t="s">
        <v>609</v>
      </c>
      <c r="E1760" s="1" t="s">
        <v>902</v>
      </c>
    </row>
    <row r="1761">
      <c r="A1761" s="2" t="s">
        <v>12095</v>
      </c>
      <c r="B1761" s="1">
        <v>200.0</v>
      </c>
      <c r="C1761" s="1" t="s">
        <v>9882</v>
      </c>
      <c r="D1761" s="1" t="s">
        <v>609</v>
      </c>
      <c r="E1761" s="1" t="s">
        <v>631</v>
      </c>
    </row>
    <row r="1762">
      <c r="A1762" s="2" t="s">
        <v>12096</v>
      </c>
      <c r="B1762" s="1">
        <v>404.0</v>
      </c>
      <c r="D1762" s="1" t="s">
        <v>609</v>
      </c>
      <c r="E1762" s="1" t="s">
        <v>902</v>
      </c>
    </row>
    <row r="1763">
      <c r="A1763" s="2" t="s">
        <v>12097</v>
      </c>
      <c r="B1763" s="1">
        <v>200.0</v>
      </c>
      <c r="C1763" s="1" t="s">
        <v>9876</v>
      </c>
      <c r="D1763" s="1" t="s">
        <v>609</v>
      </c>
      <c r="E1763" s="1" t="s">
        <v>631</v>
      </c>
    </row>
    <row r="1764">
      <c r="A1764" s="2" t="s">
        <v>12098</v>
      </c>
      <c r="B1764" s="1">
        <v>200.0</v>
      </c>
      <c r="C1764" s="1" t="s">
        <v>9876</v>
      </c>
      <c r="D1764" s="1" t="s">
        <v>609</v>
      </c>
      <c r="E1764" s="1" t="s">
        <v>631</v>
      </c>
      <c r="F1764" s="1">
        <v>0.0</v>
      </c>
      <c r="G1764" s="1">
        <v>10.0</v>
      </c>
      <c r="H1764" s="1">
        <v>0.0</v>
      </c>
      <c r="I1764" s="1">
        <v>13.0</v>
      </c>
    </row>
    <row r="1765">
      <c r="A1765" s="2" t="s">
        <v>12099</v>
      </c>
      <c r="B1765" s="1">
        <v>404.0</v>
      </c>
      <c r="D1765" s="1" t="s">
        <v>609</v>
      </c>
      <c r="E1765" s="1" t="s">
        <v>902</v>
      </c>
    </row>
    <row r="1766">
      <c r="A1766" s="2" t="s">
        <v>12100</v>
      </c>
      <c r="B1766" s="1">
        <v>200.0</v>
      </c>
      <c r="C1766" s="1" t="s">
        <v>9876</v>
      </c>
      <c r="D1766" s="1" t="s">
        <v>609</v>
      </c>
      <c r="E1766" s="1" t="s">
        <v>631</v>
      </c>
      <c r="F1766" s="1">
        <v>0.0</v>
      </c>
      <c r="G1766" s="1">
        <v>28.0</v>
      </c>
      <c r="H1766" s="1">
        <v>0.0</v>
      </c>
      <c r="I1766" s="1">
        <v>9.96</v>
      </c>
    </row>
    <row r="1767">
      <c r="A1767" s="2" t="s">
        <v>12101</v>
      </c>
      <c r="B1767" s="1">
        <v>200.0</v>
      </c>
      <c r="C1767" s="1" t="s">
        <v>9896</v>
      </c>
      <c r="D1767" s="1" t="s">
        <v>609</v>
      </c>
      <c r="E1767" s="1" t="s">
        <v>631</v>
      </c>
    </row>
    <row r="1768">
      <c r="A1768" s="2" t="s">
        <v>12102</v>
      </c>
      <c r="B1768" s="1">
        <v>200.0</v>
      </c>
      <c r="C1768" s="1" t="s">
        <v>9876</v>
      </c>
      <c r="D1768" s="1" t="s">
        <v>609</v>
      </c>
      <c r="E1768" s="1" t="s">
        <v>631</v>
      </c>
      <c r="F1768" s="1">
        <v>0.0</v>
      </c>
      <c r="G1768" s="1">
        <v>13.0</v>
      </c>
      <c r="H1768" s="1">
        <v>0.0</v>
      </c>
      <c r="I1768" s="1">
        <v>9.54</v>
      </c>
    </row>
    <row r="1769">
      <c r="A1769" s="2" t="s">
        <v>12103</v>
      </c>
      <c r="B1769" s="1">
        <v>200.0</v>
      </c>
      <c r="C1769" s="1" t="s">
        <v>9872</v>
      </c>
      <c r="D1769" s="1" t="s">
        <v>609</v>
      </c>
      <c r="E1769" s="1" t="s">
        <v>631</v>
      </c>
      <c r="F1769" s="1">
        <v>0.0</v>
      </c>
      <c r="G1769" s="1">
        <v>17.0</v>
      </c>
      <c r="H1769" s="1">
        <v>0.0</v>
      </c>
      <c r="I1769" s="1">
        <v>14.76</v>
      </c>
    </row>
    <row r="1770">
      <c r="A1770" s="2" t="s">
        <v>12104</v>
      </c>
      <c r="B1770" s="1">
        <v>200.0</v>
      </c>
      <c r="C1770" s="1" t="s">
        <v>9870</v>
      </c>
      <c r="D1770" s="1" t="s">
        <v>609</v>
      </c>
      <c r="E1770" s="1" t="s">
        <v>631</v>
      </c>
      <c r="F1770" s="1">
        <v>0.0</v>
      </c>
      <c r="G1770" s="1">
        <v>10.0</v>
      </c>
      <c r="H1770" s="1">
        <v>0.0</v>
      </c>
      <c r="I1770" s="1">
        <v>31.4</v>
      </c>
    </row>
    <row r="1771">
      <c r="A1771" s="2" t="s">
        <v>12105</v>
      </c>
      <c r="B1771" s="1">
        <v>200.0</v>
      </c>
      <c r="C1771" s="1" t="s">
        <v>9872</v>
      </c>
      <c r="D1771" s="1" t="s">
        <v>609</v>
      </c>
      <c r="E1771" s="1" t="s">
        <v>631</v>
      </c>
      <c r="F1771" s="1">
        <v>0.0</v>
      </c>
      <c r="G1771" s="1">
        <v>15.0</v>
      </c>
      <c r="H1771" s="1">
        <v>0.0</v>
      </c>
      <c r="I1771" s="1">
        <v>13.07</v>
      </c>
    </row>
    <row r="1772">
      <c r="A1772" s="2" t="s">
        <v>12106</v>
      </c>
      <c r="B1772" s="1">
        <v>404.0</v>
      </c>
      <c r="D1772" s="1" t="s">
        <v>609</v>
      </c>
      <c r="E1772" s="1" t="s">
        <v>902</v>
      </c>
    </row>
    <row r="1773">
      <c r="A1773" s="2" t="s">
        <v>12107</v>
      </c>
      <c r="B1773" s="1">
        <v>200.0</v>
      </c>
      <c r="C1773" s="1" t="s">
        <v>9896</v>
      </c>
      <c r="D1773" s="1" t="s">
        <v>609</v>
      </c>
      <c r="E1773" s="1" t="s">
        <v>631</v>
      </c>
      <c r="F1773" s="1">
        <v>0.0</v>
      </c>
      <c r="G1773" s="1">
        <v>27.0</v>
      </c>
      <c r="H1773" s="1">
        <v>0.0</v>
      </c>
      <c r="I1773" s="1">
        <v>14.41</v>
      </c>
    </row>
    <row r="1774">
      <c r="A1774" s="2" t="s">
        <v>12108</v>
      </c>
      <c r="B1774" s="1">
        <v>200.0</v>
      </c>
      <c r="C1774" s="1" t="s">
        <v>9872</v>
      </c>
      <c r="D1774" s="1" t="s">
        <v>609</v>
      </c>
      <c r="E1774" s="1" t="s">
        <v>631</v>
      </c>
    </row>
    <row r="1775">
      <c r="A1775" s="2" t="s">
        <v>12109</v>
      </c>
      <c r="B1775" s="1">
        <v>200.0</v>
      </c>
      <c r="C1775" s="1" t="s">
        <v>9870</v>
      </c>
      <c r="D1775" s="1" t="s">
        <v>609</v>
      </c>
      <c r="E1775" s="1" t="s">
        <v>631</v>
      </c>
      <c r="F1775" s="1">
        <v>0.0</v>
      </c>
      <c r="G1775" s="1">
        <v>3.0</v>
      </c>
      <c r="H1775" s="1">
        <v>0.0</v>
      </c>
      <c r="I1775" s="1">
        <v>7.0</v>
      </c>
    </row>
    <row r="1776">
      <c r="A1776" s="2" t="s">
        <v>12110</v>
      </c>
      <c r="B1776" s="1">
        <v>200.0</v>
      </c>
      <c r="C1776" s="1" t="s">
        <v>9870</v>
      </c>
      <c r="D1776" s="1" t="s">
        <v>609</v>
      </c>
      <c r="E1776" s="1" t="s">
        <v>631</v>
      </c>
      <c r="F1776" s="1">
        <v>0.0</v>
      </c>
      <c r="G1776" s="1">
        <v>8.0</v>
      </c>
      <c r="H1776" s="1">
        <v>0.0</v>
      </c>
      <c r="I1776" s="1">
        <v>4.75</v>
      </c>
    </row>
    <row r="1777">
      <c r="A1777" s="2" t="s">
        <v>12111</v>
      </c>
      <c r="B1777" s="1">
        <v>200.0</v>
      </c>
      <c r="C1777" s="1" t="s">
        <v>9864</v>
      </c>
      <c r="D1777" s="1" t="s">
        <v>609</v>
      </c>
      <c r="E1777" s="1" t="s">
        <v>631</v>
      </c>
      <c r="F1777" s="1">
        <v>0.0</v>
      </c>
      <c r="G1777" s="1">
        <v>1.0</v>
      </c>
      <c r="H1777" s="1">
        <v>0.0</v>
      </c>
      <c r="I1777" s="1">
        <v>19.0</v>
      </c>
    </row>
    <row r="1778">
      <c r="A1778" s="2" t="s">
        <v>12112</v>
      </c>
      <c r="B1778" s="1">
        <v>200.0</v>
      </c>
      <c r="C1778" s="1" t="s">
        <v>9886</v>
      </c>
      <c r="D1778" s="1" t="s">
        <v>609</v>
      </c>
      <c r="E1778" s="1" t="s">
        <v>631</v>
      </c>
    </row>
    <row r="1779">
      <c r="A1779" s="2" t="s">
        <v>12113</v>
      </c>
      <c r="B1779" s="1">
        <v>200.0</v>
      </c>
      <c r="C1779" s="1" t="s">
        <v>9864</v>
      </c>
      <c r="D1779" s="1" t="s">
        <v>609</v>
      </c>
      <c r="E1779" s="1" t="s">
        <v>631</v>
      </c>
    </row>
    <row r="1780">
      <c r="A1780" s="2" t="s">
        <v>12114</v>
      </c>
      <c r="B1780" s="1">
        <v>404.0</v>
      </c>
      <c r="D1780" s="1" t="s">
        <v>609</v>
      </c>
      <c r="E1780" s="1" t="s">
        <v>902</v>
      </c>
    </row>
    <row r="1781">
      <c r="A1781" s="2" t="s">
        <v>12115</v>
      </c>
      <c r="B1781" s="1">
        <v>200.0</v>
      </c>
      <c r="C1781" s="1" t="s">
        <v>9864</v>
      </c>
      <c r="D1781" s="1" t="s">
        <v>609</v>
      </c>
      <c r="E1781" s="1" t="s">
        <v>631</v>
      </c>
      <c r="F1781" s="1">
        <v>0.0</v>
      </c>
      <c r="G1781" s="1">
        <v>21.0</v>
      </c>
      <c r="H1781" s="1">
        <v>0.0</v>
      </c>
      <c r="I1781" s="1">
        <v>11.05</v>
      </c>
    </row>
    <row r="1782">
      <c r="A1782" s="2" t="s">
        <v>12116</v>
      </c>
      <c r="B1782" s="1">
        <v>200.0</v>
      </c>
      <c r="C1782" s="1" t="s">
        <v>9864</v>
      </c>
      <c r="D1782" s="1" t="s">
        <v>609</v>
      </c>
      <c r="E1782" s="1" t="s">
        <v>631</v>
      </c>
      <c r="F1782" s="1">
        <v>0.0</v>
      </c>
      <c r="G1782" s="1">
        <v>6.0</v>
      </c>
      <c r="H1782" s="1">
        <v>0.0</v>
      </c>
      <c r="I1782" s="1">
        <v>12.5</v>
      </c>
    </row>
    <row r="1783">
      <c r="A1783" s="2" t="s">
        <v>12117</v>
      </c>
      <c r="B1783" s="1">
        <v>404.0</v>
      </c>
      <c r="D1783" s="1" t="s">
        <v>609</v>
      </c>
      <c r="E1783" s="1" t="s">
        <v>902</v>
      </c>
    </row>
    <row r="1784">
      <c r="A1784" s="2" t="s">
        <v>12118</v>
      </c>
      <c r="B1784" s="1">
        <v>200.0</v>
      </c>
      <c r="C1784" s="1" t="s">
        <v>9864</v>
      </c>
      <c r="D1784" s="1" t="s">
        <v>609</v>
      </c>
      <c r="E1784" s="1" t="s">
        <v>631</v>
      </c>
      <c r="F1784" s="1">
        <v>0.0</v>
      </c>
      <c r="G1784" s="1">
        <v>7.0</v>
      </c>
      <c r="H1784" s="1">
        <v>0.0</v>
      </c>
      <c r="I1784" s="1">
        <v>3.0</v>
      </c>
    </row>
    <row r="1785">
      <c r="A1785" s="2" t="s">
        <v>12119</v>
      </c>
      <c r="B1785" s="1">
        <v>200.0</v>
      </c>
      <c r="C1785" s="1" t="s">
        <v>9864</v>
      </c>
      <c r="D1785" s="1" t="s">
        <v>609</v>
      </c>
      <c r="E1785" s="1" t="s">
        <v>631</v>
      </c>
      <c r="F1785" s="1">
        <v>0.0</v>
      </c>
      <c r="G1785" s="1">
        <v>10.0</v>
      </c>
      <c r="H1785" s="1">
        <v>0.0</v>
      </c>
      <c r="I1785" s="1">
        <v>11.5</v>
      </c>
    </row>
    <row r="1786">
      <c r="A1786" s="2" t="s">
        <v>12120</v>
      </c>
      <c r="B1786" s="1">
        <v>200.0</v>
      </c>
      <c r="C1786" s="1" t="s">
        <v>9864</v>
      </c>
      <c r="D1786" s="1" t="s">
        <v>609</v>
      </c>
      <c r="E1786" s="1" t="s">
        <v>631</v>
      </c>
      <c r="F1786" s="1">
        <v>0.0</v>
      </c>
      <c r="G1786" s="1">
        <v>8.0</v>
      </c>
      <c r="H1786" s="1">
        <v>0.0</v>
      </c>
      <c r="I1786" s="1">
        <v>8.25</v>
      </c>
    </row>
    <row r="1787">
      <c r="A1787" s="2" t="s">
        <v>12121</v>
      </c>
      <c r="B1787" s="1">
        <v>200.0</v>
      </c>
      <c r="C1787" s="1" t="s">
        <v>9864</v>
      </c>
      <c r="D1787" s="1" t="s">
        <v>609</v>
      </c>
      <c r="E1787" s="1" t="s">
        <v>631</v>
      </c>
    </row>
    <row r="1788">
      <c r="A1788" s="2" t="s">
        <v>12122</v>
      </c>
      <c r="B1788" s="1">
        <v>200.0</v>
      </c>
      <c r="C1788" s="1" t="s">
        <v>9886</v>
      </c>
      <c r="D1788" s="1" t="s">
        <v>609</v>
      </c>
      <c r="E1788" s="1" t="s">
        <v>631</v>
      </c>
      <c r="F1788" s="1">
        <v>0.0</v>
      </c>
      <c r="G1788" s="1">
        <v>1.0</v>
      </c>
      <c r="H1788" s="1">
        <v>0.0</v>
      </c>
      <c r="I1788" s="1">
        <v>46.0</v>
      </c>
    </row>
    <row r="1789">
      <c r="A1789" s="2" t="s">
        <v>12123</v>
      </c>
      <c r="B1789" s="1">
        <v>200.0</v>
      </c>
      <c r="C1789" s="1" t="s">
        <v>9872</v>
      </c>
      <c r="D1789" s="1" t="s">
        <v>609</v>
      </c>
      <c r="E1789" s="1" t="s">
        <v>631</v>
      </c>
    </row>
    <row r="1790">
      <c r="A1790" s="2" t="s">
        <v>12124</v>
      </c>
      <c r="B1790" s="1">
        <v>200.0</v>
      </c>
      <c r="C1790" s="1" t="s">
        <v>9870</v>
      </c>
      <c r="D1790" s="1" t="s">
        <v>609</v>
      </c>
      <c r="E1790" s="1" t="s">
        <v>631</v>
      </c>
      <c r="F1790" s="1">
        <v>0.0</v>
      </c>
      <c r="G1790" s="1">
        <v>2.0</v>
      </c>
      <c r="H1790" s="1">
        <v>0.0</v>
      </c>
      <c r="I1790" s="1">
        <v>10.0</v>
      </c>
    </row>
    <row r="1791">
      <c r="A1791" s="2" t="s">
        <v>12125</v>
      </c>
      <c r="B1791" s="1">
        <v>200.0</v>
      </c>
      <c r="C1791" s="1" t="s">
        <v>9882</v>
      </c>
      <c r="D1791" s="1" t="s">
        <v>609</v>
      </c>
      <c r="E1791" s="1" t="s">
        <v>631</v>
      </c>
      <c r="F1791" s="1">
        <v>0.0</v>
      </c>
      <c r="G1791" s="1">
        <v>4.0</v>
      </c>
      <c r="H1791" s="1">
        <v>0.0</v>
      </c>
      <c r="I1791" s="1">
        <v>14.75</v>
      </c>
    </row>
    <row r="1792">
      <c r="A1792" s="2" t="s">
        <v>12126</v>
      </c>
      <c r="B1792" s="1">
        <v>200.0</v>
      </c>
      <c r="C1792" s="1" t="s">
        <v>9870</v>
      </c>
      <c r="D1792" s="1" t="s">
        <v>609</v>
      </c>
      <c r="E1792" s="1" t="s">
        <v>631</v>
      </c>
      <c r="F1792" s="1">
        <v>0.0</v>
      </c>
      <c r="G1792" s="1">
        <v>6.0</v>
      </c>
      <c r="H1792" s="1">
        <v>0.0</v>
      </c>
      <c r="I1792" s="1">
        <v>2.33</v>
      </c>
    </row>
    <row r="1793">
      <c r="A1793" s="2" t="s">
        <v>12127</v>
      </c>
      <c r="B1793" s="1">
        <v>200.0</v>
      </c>
      <c r="C1793" s="1" t="s">
        <v>9872</v>
      </c>
      <c r="D1793" s="1" t="s">
        <v>609</v>
      </c>
      <c r="E1793" s="1" t="s">
        <v>631</v>
      </c>
      <c r="F1793" s="1">
        <v>2.0</v>
      </c>
      <c r="G1793" s="1">
        <v>48.0</v>
      </c>
      <c r="H1793" s="1">
        <v>0.042</v>
      </c>
      <c r="I1793" s="1">
        <v>15.13</v>
      </c>
    </row>
    <row r="1794">
      <c r="A1794" s="2" t="s">
        <v>12128</v>
      </c>
      <c r="B1794" s="1">
        <v>200.0</v>
      </c>
      <c r="C1794" s="1" t="s">
        <v>9882</v>
      </c>
      <c r="D1794" s="1" t="s">
        <v>609</v>
      </c>
      <c r="E1794" s="1" t="s">
        <v>631</v>
      </c>
      <c r="F1794" s="1">
        <v>0.0</v>
      </c>
      <c r="G1794" s="1">
        <v>1.0</v>
      </c>
      <c r="H1794" s="1">
        <v>0.0</v>
      </c>
      <c r="I1794" s="1">
        <v>6.0</v>
      </c>
    </row>
    <row r="1795">
      <c r="A1795" s="2" t="s">
        <v>12129</v>
      </c>
      <c r="B1795" s="1">
        <v>200.0</v>
      </c>
      <c r="C1795" s="1" t="s">
        <v>9876</v>
      </c>
      <c r="D1795" s="1" t="s">
        <v>609</v>
      </c>
      <c r="E1795" s="1" t="s">
        <v>631</v>
      </c>
      <c r="F1795" s="1">
        <v>0.0</v>
      </c>
      <c r="G1795" s="1">
        <v>28.0</v>
      </c>
      <c r="H1795" s="1">
        <v>0.0</v>
      </c>
      <c r="I1795" s="1">
        <v>11.57</v>
      </c>
    </row>
    <row r="1796">
      <c r="A1796" s="2" t="s">
        <v>12130</v>
      </c>
      <c r="B1796" s="1">
        <v>200.0</v>
      </c>
      <c r="C1796" s="1" t="s">
        <v>9876</v>
      </c>
      <c r="D1796" s="1" t="s">
        <v>609</v>
      </c>
      <c r="E1796" s="1" t="s">
        <v>631</v>
      </c>
      <c r="F1796" s="1">
        <v>0.0</v>
      </c>
      <c r="G1796" s="1">
        <v>6.0</v>
      </c>
      <c r="H1796" s="1">
        <v>0.0</v>
      </c>
      <c r="I1796" s="1">
        <v>11.83</v>
      </c>
    </row>
    <row r="1797">
      <c r="A1797" s="2" t="s">
        <v>12131</v>
      </c>
      <c r="B1797" s="1">
        <v>200.0</v>
      </c>
      <c r="C1797" s="1" t="s">
        <v>9870</v>
      </c>
      <c r="D1797" s="1" t="s">
        <v>609</v>
      </c>
      <c r="E1797" s="1" t="s">
        <v>631</v>
      </c>
      <c r="F1797" s="1">
        <v>0.0</v>
      </c>
      <c r="G1797" s="1">
        <v>1.0</v>
      </c>
      <c r="H1797" s="1">
        <v>0.0</v>
      </c>
      <c r="I1797" s="1">
        <v>3.0</v>
      </c>
    </row>
    <row r="1798">
      <c r="A1798" s="2" t="s">
        <v>12132</v>
      </c>
      <c r="B1798" s="1">
        <v>200.0</v>
      </c>
      <c r="C1798" s="1" t="s">
        <v>9870</v>
      </c>
      <c r="D1798" s="1" t="s">
        <v>609</v>
      </c>
      <c r="E1798" s="1" t="s">
        <v>631</v>
      </c>
      <c r="F1798" s="1">
        <v>0.0</v>
      </c>
      <c r="G1798" s="1">
        <v>11.0</v>
      </c>
      <c r="H1798" s="1">
        <v>0.0</v>
      </c>
      <c r="I1798" s="1">
        <v>10.82</v>
      </c>
    </row>
    <row r="1799">
      <c r="A1799" s="2" t="s">
        <v>12133</v>
      </c>
      <c r="B1799" s="1">
        <v>200.0</v>
      </c>
      <c r="C1799" s="1" t="s">
        <v>9876</v>
      </c>
      <c r="D1799" s="1" t="s">
        <v>609</v>
      </c>
      <c r="E1799" s="1" t="s">
        <v>631</v>
      </c>
      <c r="F1799" s="1">
        <v>0.0</v>
      </c>
      <c r="G1799" s="1">
        <v>16.0</v>
      </c>
      <c r="H1799" s="1">
        <v>0.0</v>
      </c>
      <c r="I1799" s="1">
        <v>12.0</v>
      </c>
    </row>
    <row r="1800">
      <c r="A1800" s="2" t="s">
        <v>12134</v>
      </c>
      <c r="B1800" s="1">
        <v>200.0</v>
      </c>
      <c r="C1800" s="1" t="s">
        <v>9882</v>
      </c>
      <c r="D1800" s="1" t="s">
        <v>609</v>
      </c>
      <c r="E1800" s="1" t="s">
        <v>631</v>
      </c>
    </row>
    <row r="1801">
      <c r="A1801" s="2" t="s">
        <v>12135</v>
      </c>
      <c r="B1801" s="1">
        <v>200.0</v>
      </c>
      <c r="C1801" s="1" t="s">
        <v>9882</v>
      </c>
      <c r="D1801" s="1" t="s">
        <v>609</v>
      </c>
      <c r="E1801" s="1" t="s">
        <v>631</v>
      </c>
      <c r="F1801" s="1">
        <v>0.0</v>
      </c>
      <c r="G1801" s="1">
        <v>3.0</v>
      </c>
      <c r="H1801" s="1">
        <v>0.0</v>
      </c>
      <c r="I1801" s="1">
        <v>10.67</v>
      </c>
    </row>
    <row r="1802">
      <c r="A1802" s="2" t="s">
        <v>12136</v>
      </c>
      <c r="B1802" s="1">
        <v>200.0</v>
      </c>
      <c r="C1802" s="1" t="s">
        <v>9882</v>
      </c>
      <c r="D1802" s="1" t="s">
        <v>609</v>
      </c>
      <c r="E1802" s="1" t="s">
        <v>631</v>
      </c>
      <c r="F1802" s="1">
        <v>0.0</v>
      </c>
      <c r="G1802" s="1">
        <v>8.0</v>
      </c>
      <c r="H1802" s="1">
        <v>0.0</v>
      </c>
      <c r="I1802" s="1">
        <v>8.13</v>
      </c>
    </row>
    <row r="1803">
      <c r="A1803" s="2" t="s">
        <v>12137</v>
      </c>
      <c r="B1803" s="1">
        <v>200.0</v>
      </c>
      <c r="C1803" s="1" t="s">
        <v>9886</v>
      </c>
      <c r="D1803" s="1" t="s">
        <v>609</v>
      </c>
      <c r="E1803" s="1" t="s">
        <v>631</v>
      </c>
    </row>
    <row r="1804">
      <c r="A1804" s="2" t="s">
        <v>12138</v>
      </c>
      <c r="B1804" s="1">
        <v>200.0</v>
      </c>
      <c r="C1804" s="1" t="s">
        <v>9886</v>
      </c>
      <c r="D1804" s="1" t="s">
        <v>609</v>
      </c>
      <c r="E1804" s="1" t="s">
        <v>631</v>
      </c>
    </row>
    <row r="1805">
      <c r="A1805" s="2" t="s">
        <v>12139</v>
      </c>
      <c r="B1805" s="1">
        <v>200.0</v>
      </c>
      <c r="C1805" s="1" t="s">
        <v>9886</v>
      </c>
      <c r="D1805" s="1" t="s">
        <v>609</v>
      </c>
      <c r="E1805" s="1" t="s">
        <v>631</v>
      </c>
      <c r="F1805" s="1">
        <v>0.0</v>
      </c>
      <c r="G1805" s="1">
        <v>1.0</v>
      </c>
      <c r="H1805" s="1">
        <v>0.0</v>
      </c>
      <c r="I1805" s="1">
        <v>13.0</v>
      </c>
    </row>
    <row r="1806">
      <c r="A1806" s="2" t="s">
        <v>12140</v>
      </c>
      <c r="B1806" s="1">
        <v>200.0</v>
      </c>
      <c r="C1806" s="1" t="s">
        <v>9888</v>
      </c>
      <c r="D1806" s="1" t="s">
        <v>609</v>
      </c>
      <c r="E1806" s="1" t="s">
        <v>631</v>
      </c>
      <c r="F1806" s="1">
        <v>0.0</v>
      </c>
      <c r="G1806" s="1">
        <v>16.0</v>
      </c>
      <c r="H1806" s="1">
        <v>0.0</v>
      </c>
      <c r="I1806" s="1">
        <v>7.5</v>
      </c>
    </row>
    <row r="1807">
      <c r="A1807" s="2" t="s">
        <v>12141</v>
      </c>
      <c r="B1807" s="1">
        <v>200.0</v>
      </c>
      <c r="C1807" s="1" t="s">
        <v>9888</v>
      </c>
      <c r="D1807" s="1" t="s">
        <v>609</v>
      </c>
      <c r="E1807" s="1" t="s">
        <v>631</v>
      </c>
      <c r="F1807" s="1">
        <v>0.0</v>
      </c>
      <c r="G1807" s="1">
        <v>21.0</v>
      </c>
      <c r="H1807" s="1">
        <v>0.0</v>
      </c>
      <c r="I1807" s="1">
        <v>10.52</v>
      </c>
    </row>
    <row r="1808">
      <c r="A1808" s="2" t="s">
        <v>12142</v>
      </c>
      <c r="B1808" s="1">
        <v>200.0</v>
      </c>
      <c r="C1808" s="1" t="s">
        <v>9896</v>
      </c>
      <c r="D1808" s="1" t="s">
        <v>609</v>
      </c>
      <c r="E1808" s="1" t="s">
        <v>631</v>
      </c>
      <c r="F1808" s="1">
        <v>0.0</v>
      </c>
      <c r="G1808" s="1">
        <v>13.0</v>
      </c>
      <c r="H1808" s="1">
        <v>0.0</v>
      </c>
      <c r="I1808" s="1">
        <v>12.38</v>
      </c>
    </row>
    <row r="1809">
      <c r="A1809" s="2" t="s">
        <v>12143</v>
      </c>
      <c r="B1809" s="1">
        <v>200.0</v>
      </c>
      <c r="C1809" s="1" t="s">
        <v>9870</v>
      </c>
      <c r="D1809" s="1" t="s">
        <v>609</v>
      </c>
      <c r="E1809" s="1" t="s">
        <v>631</v>
      </c>
      <c r="F1809" s="1">
        <v>0.0</v>
      </c>
      <c r="G1809" s="1">
        <v>23.0</v>
      </c>
      <c r="H1809" s="1">
        <v>0.0</v>
      </c>
      <c r="I1809" s="1">
        <v>9.74</v>
      </c>
    </row>
    <row r="1810">
      <c r="A1810" s="2" t="s">
        <v>12144</v>
      </c>
      <c r="B1810" s="1">
        <v>200.0</v>
      </c>
      <c r="C1810" s="1" t="s">
        <v>9896</v>
      </c>
      <c r="D1810" s="1" t="s">
        <v>609</v>
      </c>
      <c r="E1810" s="1" t="s">
        <v>631</v>
      </c>
      <c r="F1810" s="1">
        <v>0.0</v>
      </c>
      <c r="G1810" s="1">
        <v>34.0</v>
      </c>
      <c r="H1810" s="1">
        <v>0.0</v>
      </c>
      <c r="I1810" s="1">
        <v>11.82</v>
      </c>
    </row>
    <row r="1811">
      <c r="A1811" s="2" t="s">
        <v>12145</v>
      </c>
      <c r="B1811" s="1">
        <v>200.0</v>
      </c>
      <c r="C1811" s="1" t="s">
        <v>9872</v>
      </c>
      <c r="D1811" s="1" t="s">
        <v>609</v>
      </c>
      <c r="E1811" s="1" t="s">
        <v>631</v>
      </c>
      <c r="F1811" s="1">
        <v>0.0</v>
      </c>
      <c r="G1811" s="1">
        <v>9.0</v>
      </c>
      <c r="H1811" s="1">
        <v>0.0</v>
      </c>
      <c r="I1811" s="1">
        <v>14.78</v>
      </c>
    </row>
    <row r="1812">
      <c r="A1812" s="2" t="s">
        <v>12146</v>
      </c>
      <c r="B1812" s="1">
        <v>200.0</v>
      </c>
      <c r="C1812" s="1" t="s">
        <v>9876</v>
      </c>
      <c r="D1812" s="1" t="s">
        <v>609</v>
      </c>
      <c r="E1812" s="1" t="s">
        <v>631</v>
      </c>
      <c r="F1812" s="1">
        <v>0.0</v>
      </c>
      <c r="G1812" s="1">
        <v>16.0</v>
      </c>
      <c r="H1812" s="1">
        <v>0.0</v>
      </c>
      <c r="I1812" s="1">
        <v>9.25</v>
      </c>
    </row>
    <row r="1813">
      <c r="A1813" s="2" t="s">
        <v>12147</v>
      </c>
      <c r="B1813" s="1">
        <v>200.0</v>
      </c>
      <c r="C1813" s="1" t="s">
        <v>12148</v>
      </c>
      <c r="D1813" s="1" t="s">
        <v>583</v>
      </c>
      <c r="F1813" s="1">
        <v>3.0</v>
      </c>
      <c r="G1813" s="1">
        <v>287.0</v>
      </c>
      <c r="H1813" s="1">
        <v>0.011</v>
      </c>
      <c r="I1813" s="1">
        <v>36.55</v>
      </c>
    </row>
    <row r="1814">
      <c r="A1814" s="2" t="s">
        <v>12149</v>
      </c>
      <c r="B1814" s="1">
        <v>200.0</v>
      </c>
      <c r="C1814" s="1" t="s">
        <v>9896</v>
      </c>
      <c r="D1814" s="1" t="s">
        <v>609</v>
      </c>
      <c r="E1814" s="1" t="s">
        <v>631</v>
      </c>
      <c r="F1814" s="1">
        <v>0.0</v>
      </c>
      <c r="G1814" s="1">
        <v>13.0</v>
      </c>
      <c r="H1814" s="1">
        <v>0.0</v>
      </c>
      <c r="I1814" s="1">
        <v>7.69</v>
      </c>
    </row>
    <row r="1815">
      <c r="A1815" s="2" t="s">
        <v>12150</v>
      </c>
      <c r="B1815" s="1">
        <v>200.0</v>
      </c>
      <c r="C1815" s="1" t="s">
        <v>12151</v>
      </c>
      <c r="D1815" s="1" t="s">
        <v>583</v>
      </c>
      <c r="F1815" s="1">
        <v>1.0</v>
      </c>
      <c r="G1815" s="1">
        <v>29.0</v>
      </c>
      <c r="H1815" s="1">
        <v>0.035</v>
      </c>
      <c r="I1815" s="1">
        <v>17.48</v>
      </c>
    </row>
    <row r="1816">
      <c r="A1816" s="2" t="s">
        <v>12152</v>
      </c>
      <c r="B1816" s="1">
        <v>200.0</v>
      </c>
      <c r="C1816" s="1" t="s">
        <v>12153</v>
      </c>
      <c r="D1816" s="1" t="s">
        <v>583</v>
      </c>
      <c r="F1816" s="1">
        <v>0.0</v>
      </c>
      <c r="G1816" s="1">
        <v>105.0</v>
      </c>
      <c r="H1816" s="1">
        <v>0.0</v>
      </c>
      <c r="I1816" s="1">
        <v>3.3</v>
      </c>
    </row>
    <row r="1817">
      <c r="A1817" s="2" t="s">
        <v>12154</v>
      </c>
      <c r="B1817" s="1">
        <v>200.0</v>
      </c>
      <c r="C1817" s="1" t="s">
        <v>9043</v>
      </c>
      <c r="D1817" s="1" t="s">
        <v>609</v>
      </c>
      <c r="E1817" s="1" t="s">
        <v>631</v>
      </c>
    </row>
    <row r="1818">
      <c r="A1818" s="2" t="s">
        <v>12155</v>
      </c>
      <c r="B1818" s="1">
        <v>200.0</v>
      </c>
      <c r="C1818" s="1" t="s">
        <v>9043</v>
      </c>
      <c r="D1818" s="1" t="s">
        <v>609</v>
      </c>
      <c r="E1818" s="1" t="s">
        <v>631</v>
      </c>
    </row>
    <row r="1819">
      <c r="A1819" s="2" t="s">
        <v>12156</v>
      </c>
      <c r="B1819" s="1">
        <v>200.0</v>
      </c>
      <c r="C1819" s="1" t="s">
        <v>12157</v>
      </c>
      <c r="D1819" s="1" t="s">
        <v>583</v>
      </c>
      <c r="F1819" s="1">
        <v>5.0</v>
      </c>
      <c r="G1819" s="1">
        <v>1890.0</v>
      </c>
      <c r="H1819" s="1">
        <v>0.003</v>
      </c>
      <c r="I1819" s="1">
        <v>4.17</v>
      </c>
    </row>
    <row r="1820">
      <c r="A1820" s="2" t="s">
        <v>12158</v>
      </c>
      <c r="B1820" s="1">
        <v>200.0</v>
      </c>
      <c r="C1820" s="1" t="s">
        <v>9058</v>
      </c>
      <c r="D1820" s="1" t="s">
        <v>609</v>
      </c>
      <c r="E1820" s="1" t="s">
        <v>631</v>
      </c>
    </row>
    <row r="1821">
      <c r="A1821" s="2" t="s">
        <v>12159</v>
      </c>
      <c r="B1821" s="1">
        <v>200.0</v>
      </c>
      <c r="C1821" s="1" t="s">
        <v>9058</v>
      </c>
      <c r="D1821" s="1" t="s">
        <v>609</v>
      </c>
      <c r="E1821" s="1" t="s">
        <v>631</v>
      </c>
    </row>
    <row r="1822">
      <c r="A1822" s="2" t="s">
        <v>12160</v>
      </c>
      <c r="B1822" s="1">
        <v>200.0</v>
      </c>
      <c r="C1822" s="1" t="s">
        <v>12161</v>
      </c>
      <c r="D1822" s="1" t="s">
        <v>583</v>
      </c>
      <c r="F1822" s="1">
        <v>0.0</v>
      </c>
      <c r="G1822" s="1">
        <v>66.0</v>
      </c>
      <c r="H1822" s="1">
        <v>0.0</v>
      </c>
      <c r="I1822" s="1">
        <v>41.59</v>
      </c>
    </row>
    <row r="1823">
      <c r="A1823" s="2" t="s">
        <v>12162</v>
      </c>
      <c r="B1823" s="1">
        <v>200.0</v>
      </c>
      <c r="C1823" s="1" t="s">
        <v>12163</v>
      </c>
      <c r="D1823" s="1" t="s">
        <v>583</v>
      </c>
      <c r="F1823" s="1">
        <v>0.0</v>
      </c>
      <c r="G1823" s="1">
        <v>214.0</v>
      </c>
      <c r="H1823" s="1">
        <v>0.0</v>
      </c>
      <c r="I1823" s="1">
        <v>42.99</v>
      </c>
    </row>
    <row r="1824">
      <c r="A1824" s="2" t="s">
        <v>12164</v>
      </c>
      <c r="B1824" s="1">
        <v>200.0</v>
      </c>
      <c r="C1824" s="1" t="s">
        <v>12165</v>
      </c>
      <c r="D1824" s="1" t="s">
        <v>583</v>
      </c>
      <c r="F1824" s="1">
        <v>2.0</v>
      </c>
      <c r="G1824" s="1">
        <v>198.0</v>
      </c>
      <c r="H1824" s="1">
        <v>0.01</v>
      </c>
      <c r="I1824" s="1">
        <v>55.95</v>
      </c>
    </row>
    <row r="1825">
      <c r="A1825" s="2" t="s">
        <v>12166</v>
      </c>
      <c r="B1825" s="1">
        <v>200.0</v>
      </c>
      <c r="C1825" s="1" t="s">
        <v>12167</v>
      </c>
      <c r="D1825" s="1" t="s">
        <v>583</v>
      </c>
      <c r="F1825" s="1">
        <v>0.0</v>
      </c>
      <c r="G1825" s="1">
        <v>472.0</v>
      </c>
      <c r="H1825" s="1">
        <v>0.0</v>
      </c>
      <c r="I1825" s="1">
        <v>47.21</v>
      </c>
    </row>
    <row r="1826">
      <c r="A1826" s="2" t="s">
        <v>12168</v>
      </c>
      <c r="B1826" s="1">
        <v>200.0</v>
      </c>
      <c r="C1826" s="1" t="s">
        <v>12169</v>
      </c>
      <c r="D1826" s="1" t="s">
        <v>583</v>
      </c>
      <c r="F1826" s="1">
        <v>0.0</v>
      </c>
      <c r="G1826" s="1">
        <v>145.0</v>
      </c>
      <c r="H1826" s="1">
        <v>0.0</v>
      </c>
      <c r="I1826" s="1">
        <v>50.63</v>
      </c>
    </row>
    <row r="1827">
      <c r="A1827" s="2" t="s">
        <v>12170</v>
      </c>
      <c r="B1827" s="1">
        <v>200.0</v>
      </c>
      <c r="C1827" s="1" t="s">
        <v>12171</v>
      </c>
      <c r="D1827" s="1" t="s">
        <v>583</v>
      </c>
      <c r="F1827" s="1">
        <v>0.0</v>
      </c>
      <c r="G1827" s="1">
        <v>15.0</v>
      </c>
      <c r="H1827" s="1">
        <v>0.0</v>
      </c>
      <c r="I1827" s="1">
        <v>46.6</v>
      </c>
    </row>
    <row r="1828">
      <c r="A1828" s="2" t="s">
        <v>12172</v>
      </c>
      <c r="B1828" s="1">
        <v>200.0</v>
      </c>
      <c r="C1828" s="1" t="s">
        <v>9896</v>
      </c>
      <c r="D1828" s="1" t="s">
        <v>609</v>
      </c>
      <c r="E1828" s="1" t="s">
        <v>631</v>
      </c>
      <c r="F1828" s="1">
        <v>0.0</v>
      </c>
      <c r="G1828" s="1">
        <v>2.0</v>
      </c>
      <c r="H1828" s="1">
        <v>0.0</v>
      </c>
      <c r="I1828" s="1">
        <v>31.5</v>
      </c>
    </row>
    <row r="1829">
      <c r="A1829" s="2" t="s">
        <v>12173</v>
      </c>
      <c r="B1829" s="1">
        <v>200.0</v>
      </c>
      <c r="C1829" s="1" t="s">
        <v>12174</v>
      </c>
      <c r="D1829" s="1" t="s">
        <v>583</v>
      </c>
    </row>
    <row r="1830">
      <c r="A1830" s="2" t="s">
        <v>12175</v>
      </c>
      <c r="B1830" s="1">
        <v>200.0</v>
      </c>
      <c r="C1830" s="1" t="s">
        <v>12176</v>
      </c>
      <c r="D1830" s="1" t="s">
        <v>583</v>
      </c>
      <c r="F1830" s="1">
        <v>0.0</v>
      </c>
      <c r="G1830" s="1">
        <v>14.0</v>
      </c>
      <c r="H1830" s="1">
        <v>0.0</v>
      </c>
      <c r="I1830" s="1">
        <v>54.57</v>
      </c>
    </row>
    <row r="1831">
      <c r="A1831" s="2" t="s">
        <v>12177</v>
      </c>
      <c r="B1831" s="1">
        <v>200.0</v>
      </c>
      <c r="C1831" s="1" t="s">
        <v>9322</v>
      </c>
      <c r="D1831" s="1" t="s">
        <v>609</v>
      </c>
      <c r="E1831" s="1" t="s">
        <v>631</v>
      </c>
      <c r="F1831" s="1">
        <v>0.0</v>
      </c>
      <c r="G1831" s="1">
        <v>5.0</v>
      </c>
      <c r="H1831" s="1">
        <v>0.0</v>
      </c>
      <c r="I1831" s="1">
        <v>19.6</v>
      </c>
    </row>
    <row r="1832">
      <c r="A1832" s="2" t="s">
        <v>12178</v>
      </c>
      <c r="B1832" s="1">
        <v>200.0</v>
      </c>
      <c r="C1832" s="1" t="s">
        <v>9872</v>
      </c>
      <c r="D1832" s="1" t="s">
        <v>609</v>
      </c>
      <c r="E1832" s="1" t="s">
        <v>631</v>
      </c>
      <c r="F1832" s="1">
        <v>0.0</v>
      </c>
      <c r="G1832" s="1">
        <v>6.0</v>
      </c>
      <c r="H1832" s="1">
        <v>0.0</v>
      </c>
      <c r="I1832" s="1">
        <v>8.67</v>
      </c>
    </row>
    <row r="1833">
      <c r="A1833" s="2" t="s">
        <v>12179</v>
      </c>
      <c r="B1833" s="1">
        <v>200.0</v>
      </c>
      <c r="C1833" s="1" t="s">
        <v>12180</v>
      </c>
      <c r="D1833" s="1" t="s">
        <v>583</v>
      </c>
      <c r="F1833" s="1">
        <v>0.0</v>
      </c>
      <c r="G1833" s="1">
        <v>358.0</v>
      </c>
      <c r="H1833" s="1">
        <v>0.0</v>
      </c>
      <c r="I1833" s="1">
        <v>57.87</v>
      </c>
    </row>
    <row r="1834">
      <c r="A1834" s="2" t="s">
        <v>12181</v>
      </c>
      <c r="B1834" s="1">
        <v>200.0</v>
      </c>
      <c r="C1834" s="1" t="s">
        <v>12182</v>
      </c>
      <c r="D1834" s="1" t="s">
        <v>583</v>
      </c>
      <c r="F1834" s="1">
        <v>0.0</v>
      </c>
      <c r="G1834" s="1">
        <v>61.0</v>
      </c>
      <c r="H1834" s="1">
        <v>0.0</v>
      </c>
      <c r="I1834" s="1">
        <v>33.74</v>
      </c>
    </row>
    <row r="1835">
      <c r="A1835" s="2" t="s">
        <v>12183</v>
      </c>
      <c r="B1835" s="1">
        <v>200.0</v>
      </c>
      <c r="C1835" s="1" t="s">
        <v>12184</v>
      </c>
      <c r="D1835" s="1" t="s">
        <v>583</v>
      </c>
      <c r="F1835" s="1">
        <v>0.0</v>
      </c>
      <c r="G1835" s="1">
        <v>228.0</v>
      </c>
      <c r="H1835" s="1">
        <v>0.0</v>
      </c>
      <c r="I1835" s="1">
        <v>44.37</v>
      </c>
    </row>
    <row r="1836">
      <c r="A1836" s="2" t="s">
        <v>12185</v>
      </c>
      <c r="B1836" s="1">
        <v>200.0</v>
      </c>
      <c r="C1836" s="1" t="s">
        <v>9045</v>
      </c>
      <c r="D1836" s="1" t="s">
        <v>609</v>
      </c>
      <c r="E1836" s="1" t="s">
        <v>631</v>
      </c>
    </row>
    <row r="1837">
      <c r="A1837" s="2" t="s">
        <v>12186</v>
      </c>
      <c r="B1837" s="1">
        <v>200.0</v>
      </c>
      <c r="C1837" s="1" t="s">
        <v>12187</v>
      </c>
      <c r="D1837" s="1" t="s">
        <v>583</v>
      </c>
      <c r="F1837" s="1">
        <v>0.0</v>
      </c>
      <c r="G1837" s="1">
        <v>33.0</v>
      </c>
      <c r="H1837" s="1">
        <v>0.0</v>
      </c>
      <c r="I1837" s="1">
        <v>37.15</v>
      </c>
    </row>
    <row r="1838">
      <c r="A1838" s="2" t="s">
        <v>12188</v>
      </c>
      <c r="B1838" s="1">
        <v>200.0</v>
      </c>
      <c r="C1838" s="1" t="s">
        <v>12189</v>
      </c>
      <c r="D1838" s="1" t="s">
        <v>583</v>
      </c>
      <c r="F1838" s="1">
        <v>0.0</v>
      </c>
      <c r="G1838" s="1">
        <v>73.0</v>
      </c>
      <c r="H1838" s="1">
        <v>0.0</v>
      </c>
      <c r="I1838" s="1">
        <v>36.33</v>
      </c>
    </row>
    <row r="1839">
      <c r="A1839" s="2" t="s">
        <v>12190</v>
      </c>
      <c r="B1839" s="1">
        <v>200.0</v>
      </c>
      <c r="C1839" s="1" t="s">
        <v>12191</v>
      </c>
      <c r="D1839" s="1" t="s">
        <v>583</v>
      </c>
      <c r="F1839" s="1">
        <v>0.0</v>
      </c>
      <c r="G1839" s="1">
        <v>195.0</v>
      </c>
      <c r="H1839" s="1">
        <v>0.0</v>
      </c>
      <c r="I1839" s="1">
        <v>65.38</v>
      </c>
    </row>
    <row r="1840">
      <c r="A1840" s="2" t="s">
        <v>12192</v>
      </c>
      <c r="B1840" s="1">
        <v>200.0</v>
      </c>
      <c r="C1840" s="1" t="s">
        <v>12193</v>
      </c>
      <c r="D1840" s="1" t="s">
        <v>583</v>
      </c>
      <c r="F1840" s="1">
        <v>2.0</v>
      </c>
      <c r="G1840" s="1">
        <v>839.0</v>
      </c>
      <c r="H1840" s="1">
        <v>0.002</v>
      </c>
      <c r="I1840" s="1">
        <v>25.26</v>
      </c>
    </row>
    <row r="1841">
      <c r="A1841" s="2" t="s">
        <v>12194</v>
      </c>
      <c r="B1841" s="1">
        <v>200.0</v>
      </c>
      <c r="C1841" s="1" t="s">
        <v>12195</v>
      </c>
      <c r="D1841" s="1" t="s">
        <v>583</v>
      </c>
      <c r="F1841" s="1">
        <v>0.0</v>
      </c>
      <c r="G1841" s="1">
        <v>190.0</v>
      </c>
      <c r="H1841" s="1">
        <v>0.0</v>
      </c>
      <c r="I1841" s="1">
        <v>65.47</v>
      </c>
    </row>
    <row r="1842">
      <c r="A1842" s="2" t="s">
        <v>12196</v>
      </c>
      <c r="B1842" s="1">
        <v>200.0</v>
      </c>
      <c r="C1842" s="1" t="s">
        <v>12197</v>
      </c>
      <c r="D1842" s="1" t="s">
        <v>583</v>
      </c>
      <c r="F1842" s="1">
        <v>5.0</v>
      </c>
      <c r="G1842" s="1">
        <v>1543.0</v>
      </c>
      <c r="H1842" s="1">
        <v>0.003</v>
      </c>
      <c r="I1842" s="1">
        <v>12.37</v>
      </c>
    </row>
    <row r="1843">
      <c r="A1843" s="2" t="s">
        <v>12198</v>
      </c>
      <c r="B1843" s="1">
        <v>200.0</v>
      </c>
      <c r="C1843" s="1" t="s">
        <v>12199</v>
      </c>
      <c r="D1843" s="1" t="s">
        <v>583</v>
      </c>
      <c r="F1843" s="1">
        <v>0.0</v>
      </c>
      <c r="G1843" s="1">
        <v>190.0</v>
      </c>
      <c r="H1843" s="1">
        <v>0.0</v>
      </c>
      <c r="I1843" s="1">
        <v>29.39</v>
      </c>
    </row>
    <row r="1844">
      <c r="A1844" s="2" t="s">
        <v>12200</v>
      </c>
      <c r="B1844" s="1">
        <v>200.0</v>
      </c>
      <c r="C1844" s="1" t="s">
        <v>9070</v>
      </c>
      <c r="D1844" s="1" t="s">
        <v>609</v>
      </c>
      <c r="E1844" s="1" t="s">
        <v>631</v>
      </c>
      <c r="F1844" s="1">
        <v>0.0</v>
      </c>
      <c r="G1844" s="1">
        <v>1.0</v>
      </c>
      <c r="H1844" s="1">
        <v>0.0</v>
      </c>
      <c r="I1844" s="1">
        <v>3.0</v>
      </c>
    </row>
    <row r="1845">
      <c r="A1845" s="2" t="s">
        <v>12201</v>
      </c>
      <c r="B1845" s="1">
        <v>200.0</v>
      </c>
      <c r="C1845" s="1" t="s">
        <v>9070</v>
      </c>
      <c r="D1845" s="1" t="s">
        <v>609</v>
      </c>
      <c r="E1845" s="1" t="s">
        <v>631</v>
      </c>
    </row>
    <row r="1846">
      <c r="A1846" s="2" t="s">
        <v>12202</v>
      </c>
      <c r="B1846" s="1">
        <v>200.0</v>
      </c>
      <c r="C1846" s="1" t="s">
        <v>9043</v>
      </c>
      <c r="D1846" s="1" t="s">
        <v>609</v>
      </c>
      <c r="E1846" s="1" t="s">
        <v>631</v>
      </c>
    </row>
    <row r="1847">
      <c r="A1847" s="2" t="s">
        <v>12203</v>
      </c>
      <c r="B1847" s="1">
        <v>200.0</v>
      </c>
      <c r="C1847" s="1" t="s">
        <v>9043</v>
      </c>
      <c r="D1847" s="1" t="s">
        <v>609</v>
      </c>
      <c r="E1847" s="1" t="s">
        <v>631</v>
      </c>
    </row>
    <row r="1848">
      <c r="A1848" s="2" t="s">
        <v>12204</v>
      </c>
      <c r="B1848" s="1">
        <v>200.0</v>
      </c>
      <c r="C1848" s="1" t="s">
        <v>12205</v>
      </c>
      <c r="D1848" s="1" t="s">
        <v>583</v>
      </c>
      <c r="F1848" s="1">
        <v>0.0</v>
      </c>
      <c r="G1848" s="1">
        <v>18.0</v>
      </c>
      <c r="H1848" s="1">
        <v>0.0</v>
      </c>
      <c r="I1848" s="1">
        <v>33.67</v>
      </c>
    </row>
    <row r="1849">
      <c r="A1849" s="2" t="s">
        <v>12206</v>
      </c>
      <c r="B1849" s="1">
        <v>200.0</v>
      </c>
      <c r="C1849" s="1" t="s">
        <v>12207</v>
      </c>
      <c r="D1849" s="1" t="s">
        <v>583</v>
      </c>
      <c r="F1849" s="1">
        <v>0.0</v>
      </c>
      <c r="G1849" s="1">
        <v>432.0</v>
      </c>
      <c r="H1849" s="1">
        <v>0.0</v>
      </c>
      <c r="I1849" s="1">
        <v>62.95</v>
      </c>
    </row>
    <row r="1850">
      <c r="A1850" s="2" t="s">
        <v>12208</v>
      </c>
      <c r="B1850" s="1">
        <v>200.0</v>
      </c>
      <c r="C1850" s="1" t="s">
        <v>9058</v>
      </c>
      <c r="D1850" s="1" t="s">
        <v>609</v>
      </c>
      <c r="E1850" s="1" t="s">
        <v>631</v>
      </c>
    </row>
    <row r="1851">
      <c r="A1851" s="2" t="s">
        <v>12209</v>
      </c>
      <c r="B1851" s="1">
        <v>200.0</v>
      </c>
      <c r="C1851" s="1" t="s">
        <v>9070</v>
      </c>
      <c r="D1851" s="1" t="s">
        <v>609</v>
      </c>
      <c r="E1851" s="1" t="s">
        <v>631</v>
      </c>
    </row>
    <row r="1852">
      <c r="A1852" s="2" t="s">
        <v>12210</v>
      </c>
      <c r="B1852" s="1">
        <v>301.0</v>
      </c>
      <c r="D1852" s="1" t="s">
        <v>609</v>
      </c>
      <c r="E1852" s="1" t="s">
        <v>610</v>
      </c>
      <c r="F1852" s="1">
        <v>11.0</v>
      </c>
      <c r="G1852" s="1">
        <v>4640.0</v>
      </c>
      <c r="H1852" s="1">
        <v>0.002</v>
      </c>
      <c r="I1852" s="1">
        <v>13.64</v>
      </c>
    </row>
    <row r="1853">
      <c r="A1853" s="2" t="s">
        <v>12211</v>
      </c>
      <c r="B1853" s="1">
        <v>200.0</v>
      </c>
      <c r="C1853" s="1" t="s">
        <v>12212</v>
      </c>
      <c r="D1853" s="1" t="s">
        <v>583</v>
      </c>
      <c r="F1853" s="1">
        <v>0.0</v>
      </c>
      <c r="G1853" s="1">
        <v>92.0</v>
      </c>
      <c r="H1853" s="1">
        <v>0.0</v>
      </c>
      <c r="I1853" s="1">
        <v>13.0</v>
      </c>
    </row>
    <row r="1854">
      <c r="A1854" s="2" t="s">
        <v>12213</v>
      </c>
      <c r="B1854" s="1">
        <v>200.0</v>
      </c>
      <c r="C1854" s="1" t="s">
        <v>12214</v>
      </c>
      <c r="D1854" s="1" t="s">
        <v>583</v>
      </c>
      <c r="F1854" s="1">
        <v>0.0</v>
      </c>
      <c r="G1854" s="1">
        <v>29.0</v>
      </c>
      <c r="H1854" s="1">
        <v>0.0</v>
      </c>
      <c r="I1854" s="1">
        <v>13.9</v>
      </c>
    </row>
    <row r="1855">
      <c r="A1855" s="2" t="s">
        <v>12215</v>
      </c>
      <c r="B1855" s="1">
        <v>200.0</v>
      </c>
      <c r="C1855" s="1" t="s">
        <v>12216</v>
      </c>
      <c r="D1855" s="1" t="s">
        <v>583</v>
      </c>
      <c r="F1855" s="1">
        <v>0.0</v>
      </c>
      <c r="G1855" s="1">
        <v>26.0</v>
      </c>
      <c r="H1855" s="1">
        <v>0.0</v>
      </c>
      <c r="I1855" s="1">
        <v>18.77</v>
      </c>
    </row>
    <row r="1856">
      <c r="A1856" s="2" t="s">
        <v>12217</v>
      </c>
      <c r="B1856" s="1">
        <v>200.0</v>
      </c>
      <c r="C1856" s="1" t="s">
        <v>12218</v>
      </c>
      <c r="D1856" s="1" t="s">
        <v>583</v>
      </c>
      <c r="F1856" s="1">
        <v>0.0</v>
      </c>
      <c r="G1856" s="1">
        <v>59.0</v>
      </c>
      <c r="H1856" s="1">
        <v>0.0</v>
      </c>
      <c r="I1856" s="1">
        <v>10.44</v>
      </c>
    </row>
    <row r="1857">
      <c r="A1857" s="2" t="s">
        <v>12219</v>
      </c>
      <c r="B1857" s="1">
        <v>200.0</v>
      </c>
      <c r="C1857" s="1" t="s">
        <v>12220</v>
      </c>
      <c r="D1857" s="1" t="s">
        <v>583</v>
      </c>
      <c r="F1857" s="1">
        <v>0.0</v>
      </c>
      <c r="G1857" s="1">
        <v>20.0</v>
      </c>
      <c r="H1857" s="1">
        <v>0.0</v>
      </c>
      <c r="I1857" s="1">
        <v>25.15</v>
      </c>
    </row>
    <row r="1858">
      <c r="A1858" s="2" t="s">
        <v>12221</v>
      </c>
      <c r="B1858" s="1">
        <v>200.0</v>
      </c>
      <c r="C1858" s="1" t="s">
        <v>12222</v>
      </c>
      <c r="D1858" s="1" t="s">
        <v>583</v>
      </c>
      <c r="F1858" s="1">
        <v>0.0</v>
      </c>
      <c r="G1858" s="1">
        <v>42.0</v>
      </c>
      <c r="H1858" s="1">
        <v>0.0</v>
      </c>
      <c r="I1858" s="1">
        <v>15.33</v>
      </c>
    </row>
    <row r="1859">
      <c r="A1859" s="2" t="s">
        <v>12223</v>
      </c>
      <c r="B1859" s="1">
        <v>200.0</v>
      </c>
      <c r="C1859" s="1" t="s">
        <v>12224</v>
      </c>
      <c r="D1859" s="1" t="s">
        <v>583</v>
      </c>
      <c r="F1859" s="1">
        <v>0.0</v>
      </c>
      <c r="G1859" s="1">
        <v>75.0</v>
      </c>
      <c r="H1859" s="1">
        <v>0.0</v>
      </c>
      <c r="I1859" s="1">
        <v>25.23</v>
      </c>
    </row>
    <row r="1860">
      <c r="A1860" s="2" t="s">
        <v>12225</v>
      </c>
      <c r="B1860" s="1">
        <v>200.0</v>
      </c>
      <c r="C1860" s="1" t="s">
        <v>12226</v>
      </c>
      <c r="D1860" s="1" t="s">
        <v>583</v>
      </c>
      <c r="F1860" s="1">
        <v>0.0</v>
      </c>
      <c r="G1860" s="1">
        <v>54.0</v>
      </c>
      <c r="H1860" s="1">
        <v>0.0</v>
      </c>
      <c r="I1860" s="1">
        <v>14.44</v>
      </c>
    </row>
    <row r="1861">
      <c r="A1861" s="2" t="s">
        <v>12227</v>
      </c>
      <c r="B1861" s="1">
        <v>200.0</v>
      </c>
      <c r="C1861" s="1" t="s">
        <v>12228</v>
      </c>
      <c r="D1861" s="1" t="s">
        <v>583</v>
      </c>
      <c r="F1861" s="1">
        <v>0.0</v>
      </c>
      <c r="G1861" s="1">
        <v>57.0</v>
      </c>
      <c r="H1861" s="1">
        <v>0.0</v>
      </c>
      <c r="I1861" s="1">
        <v>13.14</v>
      </c>
    </row>
    <row r="1862">
      <c r="A1862" s="2" t="s">
        <v>12229</v>
      </c>
      <c r="B1862" s="1">
        <v>200.0</v>
      </c>
      <c r="C1862" s="1" t="s">
        <v>12230</v>
      </c>
      <c r="D1862" s="1" t="s">
        <v>583</v>
      </c>
      <c r="F1862" s="1">
        <v>0.0</v>
      </c>
      <c r="G1862" s="1">
        <v>100.0</v>
      </c>
      <c r="H1862" s="1">
        <v>0.0</v>
      </c>
      <c r="I1862" s="1">
        <v>19.02</v>
      </c>
    </row>
    <row r="1863">
      <c r="A1863" s="2" t="s">
        <v>12231</v>
      </c>
      <c r="B1863" s="1">
        <v>200.0</v>
      </c>
      <c r="C1863" s="1" t="s">
        <v>12232</v>
      </c>
      <c r="D1863" s="1" t="s">
        <v>583</v>
      </c>
      <c r="F1863" s="1">
        <v>0.0</v>
      </c>
      <c r="G1863" s="1">
        <v>16.0</v>
      </c>
      <c r="H1863" s="1">
        <v>0.0</v>
      </c>
      <c r="I1863" s="1">
        <v>7.63</v>
      </c>
    </row>
    <row r="1864">
      <c r="A1864" s="2" t="s">
        <v>12233</v>
      </c>
      <c r="B1864" s="1">
        <v>200.0</v>
      </c>
      <c r="C1864" s="1" t="s">
        <v>12234</v>
      </c>
      <c r="D1864" s="1" t="s">
        <v>583</v>
      </c>
      <c r="F1864" s="1">
        <v>0.0</v>
      </c>
      <c r="G1864" s="1">
        <v>35.0</v>
      </c>
      <c r="H1864" s="1">
        <v>0.0</v>
      </c>
      <c r="I1864" s="1">
        <v>21.23</v>
      </c>
    </row>
    <row r="1865">
      <c r="A1865" s="2" t="s">
        <v>12235</v>
      </c>
      <c r="B1865" s="1">
        <v>200.0</v>
      </c>
      <c r="C1865" s="1" t="s">
        <v>12236</v>
      </c>
      <c r="D1865" s="1" t="s">
        <v>583</v>
      </c>
      <c r="F1865" s="1">
        <v>0.0</v>
      </c>
      <c r="G1865" s="1">
        <v>92.0</v>
      </c>
      <c r="H1865" s="1">
        <v>0.0</v>
      </c>
      <c r="I1865" s="1">
        <v>8.52</v>
      </c>
    </row>
    <row r="1866">
      <c r="A1866" s="2" t="s">
        <v>12237</v>
      </c>
      <c r="B1866" s="1">
        <v>200.0</v>
      </c>
      <c r="C1866" s="1" t="s">
        <v>12238</v>
      </c>
      <c r="D1866" s="1" t="s">
        <v>583</v>
      </c>
      <c r="F1866" s="1">
        <v>0.0</v>
      </c>
      <c r="G1866" s="1">
        <v>10.0</v>
      </c>
      <c r="H1866" s="1">
        <v>0.0</v>
      </c>
      <c r="I1866" s="1">
        <v>29.9</v>
      </c>
    </row>
    <row r="1867">
      <c r="A1867" s="2" t="s">
        <v>12239</v>
      </c>
      <c r="B1867" s="1">
        <v>200.0</v>
      </c>
      <c r="C1867" s="1" t="s">
        <v>12240</v>
      </c>
      <c r="D1867" s="1" t="s">
        <v>583</v>
      </c>
      <c r="F1867" s="1">
        <v>0.0</v>
      </c>
      <c r="G1867" s="1">
        <v>41.0</v>
      </c>
      <c r="H1867" s="1">
        <v>0.0</v>
      </c>
      <c r="I1867" s="1">
        <v>22.02</v>
      </c>
    </row>
    <row r="1868">
      <c r="A1868" s="2" t="s">
        <v>12241</v>
      </c>
      <c r="B1868" s="1">
        <v>200.0</v>
      </c>
      <c r="C1868" s="1" t="s">
        <v>12242</v>
      </c>
      <c r="D1868" s="1" t="s">
        <v>583</v>
      </c>
      <c r="F1868" s="1">
        <v>0.0</v>
      </c>
      <c r="G1868" s="1">
        <v>97.0</v>
      </c>
      <c r="H1868" s="1">
        <v>0.0</v>
      </c>
      <c r="I1868" s="1">
        <v>21.54</v>
      </c>
    </row>
    <row r="1869">
      <c r="A1869" s="2" t="s">
        <v>12243</v>
      </c>
      <c r="B1869" s="1">
        <v>200.0</v>
      </c>
      <c r="C1869" s="1" t="s">
        <v>9070</v>
      </c>
      <c r="D1869" s="1" t="s">
        <v>609</v>
      </c>
      <c r="E1869" s="1" t="s">
        <v>631</v>
      </c>
    </row>
    <row r="1870">
      <c r="A1870" s="2" t="s">
        <v>12244</v>
      </c>
      <c r="B1870" s="1">
        <v>200.0</v>
      </c>
      <c r="C1870" s="1" t="s">
        <v>12245</v>
      </c>
      <c r="D1870" s="1" t="s">
        <v>583</v>
      </c>
      <c r="F1870" s="1">
        <v>0.0</v>
      </c>
      <c r="G1870" s="1">
        <v>54.0</v>
      </c>
      <c r="H1870" s="1">
        <v>0.0</v>
      </c>
      <c r="I1870" s="1">
        <v>8.63</v>
      </c>
    </row>
    <row r="1871">
      <c r="A1871" s="2" t="s">
        <v>12246</v>
      </c>
      <c r="B1871" s="1">
        <v>200.0</v>
      </c>
      <c r="C1871" s="1" t="s">
        <v>12247</v>
      </c>
      <c r="D1871" s="1" t="s">
        <v>583</v>
      </c>
      <c r="F1871" s="1">
        <v>0.0</v>
      </c>
      <c r="G1871" s="1">
        <v>6.0</v>
      </c>
      <c r="H1871" s="1">
        <v>0.0</v>
      </c>
      <c r="I1871" s="1">
        <v>5.67</v>
      </c>
    </row>
    <row r="1872">
      <c r="A1872" s="2" t="s">
        <v>12248</v>
      </c>
      <c r="B1872" s="1">
        <v>301.0</v>
      </c>
      <c r="D1872" s="1" t="s">
        <v>609</v>
      </c>
      <c r="E1872" s="1" t="s">
        <v>610</v>
      </c>
    </row>
    <row r="1873">
      <c r="A1873" s="2" t="s">
        <v>12249</v>
      </c>
      <c r="B1873" s="1">
        <v>200.0</v>
      </c>
      <c r="C1873" s="1" t="s">
        <v>11907</v>
      </c>
      <c r="D1873" s="1" t="s">
        <v>609</v>
      </c>
      <c r="E1873" s="1" t="s">
        <v>631</v>
      </c>
    </row>
    <row r="1874">
      <c r="A1874" s="2" t="s">
        <v>12250</v>
      </c>
      <c r="B1874" s="1">
        <v>301.0</v>
      </c>
      <c r="D1874" s="1" t="s">
        <v>609</v>
      </c>
      <c r="E1874" s="1" t="s">
        <v>610</v>
      </c>
    </row>
    <row r="1875">
      <c r="A1875" s="2" t="s">
        <v>12251</v>
      </c>
      <c r="B1875" s="1">
        <v>200.0</v>
      </c>
      <c r="C1875" s="1" t="s">
        <v>12252</v>
      </c>
      <c r="D1875" s="1" t="s">
        <v>583</v>
      </c>
      <c r="F1875" s="1">
        <v>0.0</v>
      </c>
      <c r="G1875" s="1">
        <v>9.0</v>
      </c>
      <c r="H1875" s="1">
        <v>0.0</v>
      </c>
      <c r="I1875" s="1">
        <v>10.22</v>
      </c>
    </row>
    <row r="1876">
      <c r="A1876" s="2" t="s">
        <v>12253</v>
      </c>
      <c r="B1876" s="1">
        <v>200.0</v>
      </c>
      <c r="C1876" s="1" t="s">
        <v>9058</v>
      </c>
      <c r="D1876" s="1" t="s">
        <v>609</v>
      </c>
      <c r="E1876" s="1" t="s">
        <v>631</v>
      </c>
    </row>
    <row r="1877">
      <c r="A1877" s="2" t="s">
        <v>12254</v>
      </c>
      <c r="B1877" s="1">
        <v>200.0</v>
      </c>
      <c r="C1877" s="1" t="s">
        <v>12255</v>
      </c>
      <c r="D1877" s="1" t="s">
        <v>583</v>
      </c>
      <c r="F1877" s="1">
        <v>0.0</v>
      </c>
      <c r="G1877" s="1">
        <v>9.0</v>
      </c>
      <c r="H1877" s="1">
        <v>0.0</v>
      </c>
      <c r="I1877" s="1">
        <v>3.33</v>
      </c>
    </row>
    <row r="1878">
      <c r="A1878" s="2" t="s">
        <v>12256</v>
      </c>
      <c r="B1878" s="1">
        <v>301.0</v>
      </c>
      <c r="D1878" s="1" t="s">
        <v>609</v>
      </c>
      <c r="E1878" s="1" t="s">
        <v>610</v>
      </c>
    </row>
    <row r="1879">
      <c r="A1879" s="2" t="s">
        <v>12257</v>
      </c>
      <c r="B1879" s="1">
        <v>200.0</v>
      </c>
      <c r="C1879" s="1" t="s">
        <v>12258</v>
      </c>
      <c r="D1879" s="1" t="s">
        <v>583</v>
      </c>
      <c r="F1879" s="1">
        <v>0.0</v>
      </c>
      <c r="G1879" s="1">
        <v>12.0</v>
      </c>
      <c r="H1879" s="1">
        <v>0.0</v>
      </c>
      <c r="I1879" s="1">
        <v>7.75</v>
      </c>
    </row>
    <row r="1880">
      <c r="A1880" s="2" t="s">
        <v>12259</v>
      </c>
      <c r="B1880" s="1">
        <v>200.0</v>
      </c>
      <c r="C1880" s="1" t="s">
        <v>12260</v>
      </c>
      <c r="D1880" s="1" t="s">
        <v>583</v>
      </c>
      <c r="F1880" s="1">
        <v>0.0</v>
      </c>
      <c r="G1880" s="1">
        <v>18.0</v>
      </c>
      <c r="H1880" s="1">
        <v>0.0</v>
      </c>
      <c r="I1880" s="1">
        <v>11.72</v>
      </c>
    </row>
    <row r="1881">
      <c r="A1881" s="2" t="s">
        <v>12261</v>
      </c>
      <c r="B1881" s="1">
        <v>200.0</v>
      </c>
      <c r="C1881" s="1" t="s">
        <v>12262</v>
      </c>
      <c r="D1881" s="1" t="s">
        <v>583</v>
      </c>
      <c r="F1881" s="1">
        <v>546.0</v>
      </c>
      <c r="G1881" s="1">
        <v>20156.0</v>
      </c>
      <c r="H1881" s="1">
        <v>0.027</v>
      </c>
      <c r="I1881" s="1">
        <v>7.65</v>
      </c>
    </row>
    <row r="1882">
      <c r="A1882" s="2" t="s">
        <v>12263</v>
      </c>
      <c r="B1882" s="1">
        <v>200.0</v>
      </c>
      <c r="C1882" s="1" t="s">
        <v>12264</v>
      </c>
      <c r="D1882" s="1" t="s">
        <v>583</v>
      </c>
      <c r="F1882" s="1">
        <v>1.0</v>
      </c>
      <c r="G1882" s="1">
        <v>328.0</v>
      </c>
      <c r="H1882" s="1">
        <v>0.003</v>
      </c>
      <c r="I1882" s="1">
        <v>32.66</v>
      </c>
    </row>
    <row r="1883">
      <c r="A1883" s="2" t="s">
        <v>12265</v>
      </c>
      <c r="B1883" s="1">
        <v>404.0</v>
      </c>
      <c r="D1883" s="1" t="s">
        <v>609</v>
      </c>
      <c r="E1883" s="1" t="s">
        <v>902</v>
      </c>
    </row>
    <row r="1884">
      <c r="A1884" s="2" t="s">
        <v>12266</v>
      </c>
      <c r="B1884" s="1">
        <v>200.0</v>
      </c>
      <c r="C1884" s="1" t="s">
        <v>12267</v>
      </c>
      <c r="D1884" s="1" t="s">
        <v>583</v>
      </c>
      <c r="F1884" s="1">
        <v>0.0</v>
      </c>
      <c r="G1884" s="1">
        <v>14.0</v>
      </c>
      <c r="H1884" s="1">
        <v>0.0</v>
      </c>
      <c r="I1884" s="1">
        <v>15.21</v>
      </c>
    </row>
    <row r="1885">
      <c r="A1885" s="2" t="s">
        <v>12268</v>
      </c>
      <c r="B1885" s="1">
        <v>200.0</v>
      </c>
      <c r="C1885" s="1" t="s">
        <v>12269</v>
      </c>
      <c r="D1885" s="1" t="s">
        <v>583</v>
      </c>
      <c r="F1885" s="1">
        <v>2.0</v>
      </c>
      <c r="G1885" s="1">
        <v>136.0</v>
      </c>
      <c r="H1885" s="1">
        <v>0.015</v>
      </c>
      <c r="I1885" s="1">
        <v>22.37</v>
      </c>
    </row>
    <row r="1886">
      <c r="A1886" s="2" t="s">
        <v>12270</v>
      </c>
      <c r="B1886" s="1">
        <v>200.0</v>
      </c>
      <c r="C1886" s="1" t="s">
        <v>12271</v>
      </c>
      <c r="D1886" s="1" t="s">
        <v>583</v>
      </c>
      <c r="F1886" s="1">
        <v>0.0</v>
      </c>
      <c r="G1886" s="1">
        <v>11.0</v>
      </c>
      <c r="H1886" s="1">
        <v>0.0</v>
      </c>
      <c r="I1886" s="1">
        <v>8.09</v>
      </c>
    </row>
    <row r="1887">
      <c r="A1887" s="2" t="s">
        <v>12272</v>
      </c>
      <c r="B1887" s="1">
        <v>200.0</v>
      </c>
      <c r="C1887" s="1" t="s">
        <v>12273</v>
      </c>
      <c r="D1887" s="1" t="s">
        <v>583</v>
      </c>
      <c r="F1887" s="1">
        <v>12.0</v>
      </c>
      <c r="G1887" s="1">
        <v>2039.0</v>
      </c>
      <c r="H1887" s="1">
        <v>0.006</v>
      </c>
      <c r="I1887" s="1">
        <v>8.92</v>
      </c>
    </row>
    <row r="1888">
      <c r="A1888" s="2" t="s">
        <v>12274</v>
      </c>
      <c r="B1888" s="1">
        <v>200.0</v>
      </c>
      <c r="C1888" s="1" t="s">
        <v>12275</v>
      </c>
      <c r="D1888" s="1" t="s">
        <v>583</v>
      </c>
      <c r="F1888" s="1">
        <v>4.0</v>
      </c>
      <c r="G1888" s="1">
        <v>822.0</v>
      </c>
      <c r="H1888" s="1">
        <v>0.005</v>
      </c>
      <c r="I1888" s="1">
        <v>6.5</v>
      </c>
    </row>
    <row r="1889">
      <c r="A1889" s="2" t="s">
        <v>12276</v>
      </c>
      <c r="B1889" s="1">
        <v>200.0</v>
      </c>
      <c r="C1889" s="1" t="s">
        <v>12277</v>
      </c>
      <c r="D1889" s="1" t="s">
        <v>583</v>
      </c>
      <c r="F1889" s="1">
        <v>19.0</v>
      </c>
      <c r="G1889" s="1">
        <v>3187.0</v>
      </c>
      <c r="H1889" s="1">
        <v>0.006</v>
      </c>
      <c r="I1889" s="1">
        <v>6.52</v>
      </c>
    </row>
    <row r="1890">
      <c r="A1890" s="2" t="s">
        <v>12278</v>
      </c>
      <c r="B1890" s="1">
        <v>404.0</v>
      </c>
      <c r="D1890" s="1" t="s">
        <v>609</v>
      </c>
      <c r="E1890" s="1" t="s">
        <v>902</v>
      </c>
    </row>
    <row r="1891">
      <c r="A1891" s="2" t="s">
        <v>12279</v>
      </c>
      <c r="B1891" s="1">
        <v>301.0</v>
      </c>
      <c r="D1891" s="1" t="s">
        <v>609</v>
      </c>
      <c r="E1891" s="1" t="s">
        <v>610</v>
      </c>
    </row>
    <row r="1892">
      <c r="A1892" s="2" t="s">
        <v>12280</v>
      </c>
      <c r="B1892" s="1">
        <v>200.0</v>
      </c>
      <c r="C1892" s="1" t="s">
        <v>12281</v>
      </c>
      <c r="D1892" s="1" t="s">
        <v>583</v>
      </c>
      <c r="F1892" s="1">
        <v>50.0</v>
      </c>
      <c r="G1892" s="1">
        <v>7578.0</v>
      </c>
      <c r="H1892" s="1">
        <v>0.007</v>
      </c>
      <c r="I1892" s="1">
        <v>6.52</v>
      </c>
    </row>
    <row r="1893">
      <c r="A1893" s="2" t="s">
        <v>12282</v>
      </c>
      <c r="B1893" s="1">
        <v>301.0</v>
      </c>
      <c r="D1893" s="1" t="s">
        <v>609</v>
      </c>
      <c r="E1893" s="1" t="s">
        <v>610</v>
      </c>
    </row>
    <row r="1894">
      <c r="A1894" s="2" t="s">
        <v>12283</v>
      </c>
      <c r="B1894" s="1">
        <v>200.0</v>
      </c>
      <c r="C1894" s="1" t="s">
        <v>9212</v>
      </c>
      <c r="D1894" s="1" t="s">
        <v>609</v>
      </c>
      <c r="E1894" s="1" t="s">
        <v>631</v>
      </c>
      <c r="F1894" s="1">
        <v>0.0</v>
      </c>
      <c r="G1894" s="1">
        <v>4.0</v>
      </c>
      <c r="H1894" s="1">
        <v>0.0</v>
      </c>
      <c r="I1894" s="1">
        <v>5.25</v>
      </c>
    </row>
    <row r="1895">
      <c r="A1895" s="2" t="s">
        <v>12284</v>
      </c>
      <c r="B1895" s="1">
        <v>301.0</v>
      </c>
      <c r="D1895" s="1" t="s">
        <v>609</v>
      </c>
      <c r="E1895" s="1" t="s">
        <v>610</v>
      </c>
      <c r="F1895" s="1">
        <v>3.0</v>
      </c>
      <c r="G1895" s="1">
        <v>173.0</v>
      </c>
      <c r="H1895" s="1">
        <v>0.017</v>
      </c>
      <c r="I1895" s="1">
        <v>6.52</v>
      </c>
    </row>
    <row r="1896">
      <c r="A1896" s="2" t="s">
        <v>12285</v>
      </c>
      <c r="B1896" s="1">
        <v>200.0</v>
      </c>
      <c r="C1896" s="1" t="s">
        <v>9007</v>
      </c>
      <c r="D1896" s="1" t="s">
        <v>609</v>
      </c>
      <c r="E1896" s="1" t="s">
        <v>631</v>
      </c>
    </row>
    <row r="1897">
      <c r="A1897" s="2" t="s">
        <v>12286</v>
      </c>
      <c r="B1897" s="1">
        <v>200.0</v>
      </c>
      <c r="C1897" s="1" t="s">
        <v>8986</v>
      </c>
      <c r="D1897" s="1" t="s">
        <v>609</v>
      </c>
      <c r="E1897" s="1" t="s">
        <v>631</v>
      </c>
    </row>
    <row r="1898">
      <c r="A1898" s="2" t="s">
        <v>12287</v>
      </c>
      <c r="B1898" s="1">
        <v>200.0</v>
      </c>
      <c r="C1898" s="1" t="s">
        <v>8986</v>
      </c>
      <c r="D1898" s="1" t="s">
        <v>609</v>
      </c>
      <c r="E1898" s="1" t="s">
        <v>631</v>
      </c>
      <c r="F1898" s="1">
        <v>0.0</v>
      </c>
      <c r="G1898" s="1">
        <v>1.0</v>
      </c>
      <c r="H1898" s="1">
        <v>0.0</v>
      </c>
      <c r="I1898" s="1">
        <v>9.0</v>
      </c>
    </row>
    <row r="1899">
      <c r="A1899" s="2" t="s">
        <v>12288</v>
      </c>
      <c r="B1899" s="1">
        <v>200.0</v>
      </c>
      <c r="C1899" s="1" t="s">
        <v>9011</v>
      </c>
      <c r="D1899" s="1" t="s">
        <v>609</v>
      </c>
      <c r="E1899" s="1" t="s">
        <v>631</v>
      </c>
      <c r="F1899" s="1">
        <v>0.0</v>
      </c>
      <c r="G1899" s="1">
        <v>1.0</v>
      </c>
      <c r="H1899" s="1">
        <v>0.0</v>
      </c>
      <c r="I1899" s="1">
        <v>14.0</v>
      </c>
    </row>
    <row r="1900">
      <c r="A1900" s="2" t="s">
        <v>12289</v>
      </c>
      <c r="B1900" s="1">
        <v>200.0</v>
      </c>
      <c r="C1900" s="1" t="s">
        <v>9011</v>
      </c>
      <c r="D1900" s="1" t="s">
        <v>609</v>
      </c>
      <c r="E1900" s="1" t="s">
        <v>631</v>
      </c>
      <c r="F1900" s="1">
        <v>0.0</v>
      </c>
      <c r="G1900" s="1">
        <v>12.0</v>
      </c>
      <c r="H1900" s="1">
        <v>0.0</v>
      </c>
      <c r="I1900" s="1">
        <v>14.0</v>
      </c>
    </row>
    <row r="1901">
      <c r="A1901" s="2" t="s">
        <v>12290</v>
      </c>
      <c r="B1901" s="1">
        <v>200.0</v>
      </c>
      <c r="C1901" s="1" t="s">
        <v>9011</v>
      </c>
      <c r="D1901" s="1" t="s">
        <v>609</v>
      </c>
      <c r="E1901" s="1" t="s">
        <v>631</v>
      </c>
      <c r="F1901" s="1">
        <v>0.0</v>
      </c>
      <c r="G1901" s="1">
        <v>47.0</v>
      </c>
      <c r="H1901" s="1">
        <v>0.0</v>
      </c>
      <c r="I1901" s="1">
        <v>6.55</v>
      </c>
    </row>
    <row r="1902">
      <c r="A1902" s="2" t="s">
        <v>12291</v>
      </c>
      <c r="B1902" s="1">
        <v>200.0</v>
      </c>
      <c r="C1902" s="1" t="s">
        <v>9011</v>
      </c>
      <c r="D1902" s="1" t="s">
        <v>609</v>
      </c>
      <c r="E1902" s="1" t="s">
        <v>631</v>
      </c>
    </row>
    <row r="1903">
      <c r="A1903" s="2" t="s">
        <v>12292</v>
      </c>
      <c r="B1903" s="1">
        <v>200.0</v>
      </c>
      <c r="C1903" s="1" t="s">
        <v>9212</v>
      </c>
      <c r="D1903" s="1" t="s">
        <v>609</v>
      </c>
      <c r="E1903" s="1" t="s">
        <v>631</v>
      </c>
    </row>
    <row r="1904">
      <c r="A1904" s="2" t="s">
        <v>12293</v>
      </c>
      <c r="B1904" s="1">
        <v>200.0</v>
      </c>
      <c r="C1904" s="1" t="s">
        <v>9212</v>
      </c>
      <c r="D1904" s="1" t="s">
        <v>609</v>
      </c>
      <c r="E1904" s="1" t="s">
        <v>631</v>
      </c>
      <c r="F1904" s="1">
        <v>0.0</v>
      </c>
      <c r="G1904" s="1">
        <v>1.0</v>
      </c>
      <c r="H1904" s="1">
        <v>0.0</v>
      </c>
      <c r="I1904" s="1">
        <v>10.0</v>
      </c>
    </row>
    <row r="1905">
      <c r="A1905" s="2" t="s">
        <v>12294</v>
      </c>
      <c r="B1905" s="1">
        <v>200.0</v>
      </c>
      <c r="C1905" s="1" t="s">
        <v>9007</v>
      </c>
      <c r="D1905" s="1" t="s">
        <v>609</v>
      </c>
      <c r="E1905" s="1" t="s">
        <v>631</v>
      </c>
    </row>
    <row r="1906">
      <c r="A1906" s="2" t="s">
        <v>12295</v>
      </c>
      <c r="B1906" s="1">
        <v>404.0</v>
      </c>
      <c r="D1906" s="1" t="s">
        <v>609</v>
      </c>
      <c r="E1906" s="1" t="s">
        <v>902</v>
      </c>
    </row>
    <row r="1907">
      <c r="A1907" s="2" t="s">
        <v>12296</v>
      </c>
      <c r="B1907" s="1">
        <v>200.0</v>
      </c>
      <c r="C1907" s="1" t="s">
        <v>9007</v>
      </c>
      <c r="D1907" s="1" t="s">
        <v>609</v>
      </c>
      <c r="E1907" s="1" t="s">
        <v>631</v>
      </c>
    </row>
    <row r="1908">
      <c r="A1908" s="2" t="s">
        <v>12297</v>
      </c>
      <c r="B1908" s="1">
        <v>200.0</v>
      </c>
      <c r="C1908" s="1" t="s">
        <v>12298</v>
      </c>
      <c r="D1908" s="1" t="s">
        <v>583</v>
      </c>
      <c r="F1908" s="1">
        <v>13.0</v>
      </c>
      <c r="G1908" s="1">
        <v>2841.0</v>
      </c>
      <c r="H1908" s="1">
        <v>0.005</v>
      </c>
      <c r="I1908" s="1">
        <v>17.27</v>
      </c>
    </row>
    <row r="1909">
      <c r="A1909" s="2" t="s">
        <v>12299</v>
      </c>
      <c r="B1909" s="1">
        <v>301.0</v>
      </c>
      <c r="D1909" s="1" t="s">
        <v>609</v>
      </c>
      <c r="E1909" s="1" t="s">
        <v>610</v>
      </c>
    </row>
    <row r="1910">
      <c r="A1910" s="2" t="s">
        <v>12300</v>
      </c>
      <c r="B1910" s="1">
        <v>200.0</v>
      </c>
      <c r="C1910" s="1" t="s">
        <v>12301</v>
      </c>
      <c r="D1910" s="1" t="s">
        <v>583</v>
      </c>
      <c r="F1910" s="1">
        <v>20.0</v>
      </c>
      <c r="G1910" s="1">
        <v>2579.0</v>
      </c>
      <c r="H1910" s="1">
        <v>0.008</v>
      </c>
      <c r="I1910" s="1">
        <v>3.15</v>
      </c>
    </row>
    <row r="1911">
      <c r="A1911" s="2" t="s">
        <v>12302</v>
      </c>
      <c r="B1911" s="1">
        <v>200.0</v>
      </c>
      <c r="C1911" s="1" t="s">
        <v>12303</v>
      </c>
      <c r="D1911" s="1" t="s">
        <v>583</v>
      </c>
      <c r="F1911" s="1">
        <v>2.0</v>
      </c>
      <c r="G1911" s="1">
        <v>960.0</v>
      </c>
      <c r="H1911" s="1">
        <v>0.002</v>
      </c>
      <c r="I1911" s="1">
        <v>1.93</v>
      </c>
    </row>
    <row r="1912">
      <c r="A1912" s="2" t="s">
        <v>12304</v>
      </c>
      <c r="B1912" s="1">
        <v>200.0</v>
      </c>
      <c r="C1912" s="1" t="s">
        <v>9007</v>
      </c>
      <c r="D1912" s="1" t="s">
        <v>609</v>
      </c>
      <c r="E1912" s="1" t="s">
        <v>631</v>
      </c>
    </row>
    <row r="1913">
      <c r="A1913" s="2" t="s">
        <v>12305</v>
      </c>
      <c r="B1913" s="1">
        <v>200.0</v>
      </c>
      <c r="C1913" s="1" t="s">
        <v>8986</v>
      </c>
      <c r="D1913" s="1" t="s">
        <v>609</v>
      </c>
      <c r="E1913" s="1" t="s">
        <v>631</v>
      </c>
      <c r="F1913" s="1">
        <v>0.0</v>
      </c>
      <c r="G1913" s="1">
        <v>1.0</v>
      </c>
      <c r="H1913" s="1">
        <v>0.0</v>
      </c>
      <c r="I1913" s="1">
        <v>3.0</v>
      </c>
    </row>
    <row r="1914">
      <c r="A1914" s="2" t="s">
        <v>12306</v>
      </c>
      <c r="B1914" s="1">
        <v>200.0</v>
      </c>
      <c r="C1914" s="1" t="s">
        <v>8986</v>
      </c>
      <c r="D1914" s="1" t="s">
        <v>609</v>
      </c>
      <c r="E1914" s="1" t="s">
        <v>631</v>
      </c>
    </row>
    <row r="1915">
      <c r="A1915" s="2" t="s">
        <v>12307</v>
      </c>
      <c r="B1915" s="1">
        <v>200.0</v>
      </c>
      <c r="C1915" s="1" t="s">
        <v>8996</v>
      </c>
      <c r="D1915" s="1" t="s">
        <v>609</v>
      </c>
      <c r="E1915" s="1" t="s">
        <v>631</v>
      </c>
      <c r="F1915" s="1">
        <v>0.0</v>
      </c>
      <c r="G1915" s="1">
        <v>7.0</v>
      </c>
      <c r="H1915" s="1">
        <v>0.0</v>
      </c>
      <c r="I1915" s="1">
        <v>7.86</v>
      </c>
    </row>
    <row r="1916">
      <c r="A1916" s="2" t="s">
        <v>12308</v>
      </c>
      <c r="B1916" s="1">
        <v>200.0</v>
      </c>
      <c r="C1916" s="1" t="s">
        <v>8996</v>
      </c>
      <c r="D1916" s="1" t="s">
        <v>609</v>
      </c>
      <c r="E1916" s="1" t="s">
        <v>631</v>
      </c>
    </row>
    <row r="1917">
      <c r="A1917" s="2" t="s">
        <v>12309</v>
      </c>
      <c r="B1917" s="1">
        <v>200.0</v>
      </c>
      <c r="C1917" s="1" t="s">
        <v>8996</v>
      </c>
      <c r="D1917" s="1" t="s">
        <v>609</v>
      </c>
      <c r="E1917" s="1" t="s">
        <v>631</v>
      </c>
      <c r="F1917" s="1">
        <v>0.0</v>
      </c>
      <c r="G1917" s="1">
        <v>50.0</v>
      </c>
      <c r="H1917" s="1">
        <v>0.0</v>
      </c>
      <c r="I1917" s="1">
        <v>13.04</v>
      </c>
    </row>
    <row r="1918">
      <c r="A1918" s="2" t="s">
        <v>12310</v>
      </c>
      <c r="B1918" s="1">
        <v>200.0</v>
      </c>
      <c r="C1918" s="1" t="s">
        <v>8996</v>
      </c>
      <c r="D1918" s="1" t="s">
        <v>609</v>
      </c>
      <c r="E1918" s="1" t="s">
        <v>631</v>
      </c>
    </row>
    <row r="1919">
      <c r="A1919" s="2" t="s">
        <v>12311</v>
      </c>
      <c r="B1919" s="1">
        <v>200.0</v>
      </c>
      <c r="C1919" s="1" t="s">
        <v>9840</v>
      </c>
      <c r="D1919" s="1" t="s">
        <v>609</v>
      </c>
      <c r="E1919" s="1" t="s">
        <v>631</v>
      </c>
    </row>
    <row r="1920">
      <c r="A1920" s="2" t="s">
        <v>12312</v>
      </c>
      <c r="B1920" s="1">
        <v>200.0</v>
      </c>
      <c r="C1920" s="1" t="s">
        <v>9842</v>
      </c>
      <c r="D1920" s="1" t="s">
        <v>609</v>
      </c>
      <c r="E1920" s="1" t="s">
        <v>631</v>
      </c>
      <c r="F1920" s="1">
        <v>0.0</v>
      </c>
      <c r="G1920" s="1">
        <v>6.0</v>
      </c>
      <c r="H1920" s="1">
        <v>0.0</v>
      </c>
      <c r="I1920" s="1">
        <v>11.83</v>
      </c>
    </row>
    <row r="1921">
      <c r="A1921" s="2" t="s">
        <v>12313</v>
      </c>
      <c r="B1921" s="1">
        <v>200.0</v>
      </c>
      <c r="C1921" s="1" t="s">
        <v>9840</v>
      </c>
      <c r="D1921" s="1" t="s">
        <v>609</v>
      </c>
      <c r="E1921" s="1" t="s">
        <v>631</v>
      </c>
      <c r="F1921" s="1">
        <v>0.0</v>
      </c>
      <c r="G1921" s="1">
        <v>2.0</v>
      </c>
      <c r="H1921" s="1">
        <v>0.0</v>
      </c>
      <c r="I1921" s="1">
        <v>8.5</v>
      </c>
    </row>
    <row r="1922">
      <c r="A1922" s="2" t="s">
        <v>12314</v>
      </c>
      <c r="B1922" s="1">
        <v>200.0</v>
      </c>
      <c r="C1922" s="1" t="s">
        <v>9212</v>
      </c>
      <c r="D1922" s="1" t="s">
        <v>609</v>
      </c>
      <c r="E1922" s="1" t="s">
        <v>631</v>
      </c>
      <c r="F1922" s="1">
        <v>0.0</v>
      </c>
      <c r="G1922" s="1">
        <v>1.0</v>
      </c>
      <c r="H1922" s="1">
        <v>0.0</v>
      </c>
      <c r="I1922" s="1">
        <v>7.0</v>
      </c>
    </row>
    <row r="1923">
      <c r="A1923" s="2" t="s">
        <v>12315</v>
      </c>
      <c r="B1923" s="1">
        <v>200.0</v>
      </c>
      <c r="C1923" s="1" t="s">
        <v>9838</v>
      </c>
      <c r="D1923" s="1" t="s">
        <v>609</v>
      </c>
      <c r="E1923" s="1" t="s">
        <v>631</v>
      </c>
      <c r="F1923" s="1">
        <v>4.0</v>
      </c>
      <c r="G1923" s="1">
        <v>47.0</v>
      </c>
      <c r="H1923" s="1">
        <v>0.085</v>
      </c>
      <c r="I1923" s="1">
        <v>8.68</v>
      </c>
    </row>
    <row r="1924">
      <c r="A1924" s="2" t="s">
        <v>12316</v>
      </c>
      <c r="B1924" s="1">
        <v>200.0</v>
      </c>
      <c r="C1924" s="1" t="s">
        <v>9838</v>
      </c>
      <c r="D1924" s="1" t="s">
        <v>609</v>
      </c>
      <c r="E1924" s="1" t="s">
        <v>631</v>
      </c>
      <c r="F1924" s="1">
        <v>0.0</v>
      </c>
      <c r="G1924" s="1">
        <v>5.0</v>
      </c>
      <c r="H1924" s="1">
        <v>0.0</v>
      </c>
      <c r="I1924" s="1">
        <v>10.6</v>
      </c>
    </row>
    <row r="1925">
      <c r="A1925" s="2" t="s">
        <v>12317</v>
      </c>
      <c r="B1925" s="1">
        <v>200.0</v>
      </c>
      <c r="C1925" s="1" t="s">
        <v>9838</v>
      </c>
      <c r="D1925" s="1" t="s">
        <v>609</v>
      </c>
      <c r="E1925" s="1" t="s">
        <v>631</v>
      </c>
    </row>
    <row r="1926">
      <c r="A1926" s="2" t="s">
        <v>12318</v>
      </c>
      <c r="B1926" s="1">
        <v>200.0</v>
      </c>
      <c r="C1926" s="1" t="s">
        <v>9842</v>
      </c>
      <c r="D1926" s="1" t="s">
        <v>609</v>
      </c>
      <c r="E1926" s="1" t="s">
        <v>631</v>
      </c>
      <c r="F1926" s="1">
        <v>0.0</v>
      </c>
      <c r="G1926" s="1">
        <v>10.0</v>
      </c>
      <c r="H1926" s="1">
        <v>0.0</v>
      </c>
      <c r="I1926" s="1">
        <v>18.0</v>
      </c>
    </row>
    <row r="1927">
      <c r="A1927" s="2" t="s">
        <v>12319</v>
      </c>
      <c r="B1927" s="1">
        <v>200.0</v>
      </c>
      <c r="C1927" s="1" t="s">
        <v>9844</v>
      </c>
      <c r="D1927" s="1" t="s">
        <v>609</v>
      </c>
      <c r="E1927" s="1" t="s">
        <v>631</v>
      </c>
    </row>
    <row r="1928">
      <c r="A1928" s="2" t="s">
        <v>12320</v>
      </c>
      <c r="B1928" s="1">
        <v>200.0</v>
      </c>
      <c r="C1928" s="1" t="s">
        <v>9844</v>
      </c>
      <c r="D1928" s="1" t="s">
        <v>609</v>
      </c>
      <c r="E1928" s="1" t="s">
        <v>631</v>
      </c>
      <c r="F1928" s="1">
        <v>0.0</v>
      </c>
      <c r="G1928" s="1">
        <v>5.0</v>
      </c>
      <c r="H1928" s="1">
        <v>0.0</v>
      </c>
      <c r="I1928" s="1">
        <v>16.2</v>
      </c>
    </row>
    <row r="1929">
      <c r="A1929" s="2" t="s">
        <v>12321</v>
      </c>
      <c r="B1929" s="1">
        <v>200.0</v>
      </c>
      <c r="C1929" s="1" t="s">
        <v>9844</v>
      </c>
      <c r="D1929" s="1" t="s">
        <v>609</v>
      </c>
      <c r="E1929" s="1" t="s">
        <v>631</v>
      </c>
    </row>
    <row r="1930">
      <c r="A1930" s="2" t="s">
        <v>12322</v>
      </c>
      <c r="B1930" s="1">
        <v>200.0</v>
      </c>
      <c r="C1930" s="1" t="s">
        <v>9844</v>
      </c>
      <c r="D1930" s="1" t="s">
        <v>609</v>
      </c>
      <c r="E1930" s="1" t="s">
        <v>631</v>
      </c>
      <c r="F1930" s="1">
        <v>0.0</v>
      </c>
      <c r="G1930" s="1">
        <v>4.0</v>
      </c>
      <c r="H1930" s="1">
        <v>0.0</v>
      </c>
      <c r="I1930" s="1">
        <v>7.5</v>
      </c>
    </row>
    <row r="1931">
      <c r="A1931" s="2" t="s">
        <v>12323</v>
      </c>
      <c r="B1931" s="1">
        <v>200.0</v>
      </c>
      <c r="C1931" s="1" t="s">
        <v>9840</v>
      </c>
      <c r="D1931" s="1" t="s">
        <v>609</v>
      </c>
      <c r="E1931" s="1" t="s">
        <v>631</v>
      </c>
    </row>
    <row r="1932">
      <c r="A1932" s="2" t="s">
        <v>12324</v>
      </c>
      <c r="B1932" s="1">
        <v>200.0</v>
      </c>
      <c r="C1932" s="1" t="s">
        <v>9842</v>
      </c>
      <c r="D1932" s="1" t="s">
        <v>609</v>
      </c>
      <c r="E1932" s="1" t="s">
        <v>631</v>
      </c>
      <c r="F1932" s="1">
        <v>0.0</v>
      </c>
      <c r="G1932" s="1">
        <v>7.0</v>
      </c>
      <c r="H1932" s="1">
        <v>0.0</v>
      </c>
      <c r="I1932" s="1">
        <v>75.14</v>
      </c>
    </row>
    <row r="1933">
      <c r="A1933" s="2" t="s">
        <v>12325</v>
      </c>
      <c r="B1933" s="1">
        <v>200.0</v>
      </c>
      <c r="C1933" s="1" t="s">
        <v>9850</v>
      </c>
      <c r="D1933" s="1" t="s">
        <v>609</v>
      </c>
      <c r="E1933" s="1" t="s">
        <v>631</v>
      </c>
      <c r="F1933" s="1">
        <v>0.0</v>
      </c>
      <c r="G1933" s="1">
        <v>4.0</v>
      </c>
      <c r="H1933" s="1">
        <v>0.0</v>
      </c>
      <c r="I1933" s="1">
        <v>28.25</v>
      </c>
    </row>
    <row r="1934">
      <c r="A1934" s="2" t="s">
        <v>12326</v>
      </c>
      <c r="B1934" s="1">
        <v>200.0</v>
      </c>
      <c r="C1934" s="1" t="s">
        <v>9838</v>
      </c>
      <c r="D1934" s="1" t="s">
        <v>609</v>
      </c>
      <c r="E1934" s="1" t="s">
        <v>631</v>
      </c>
      <c r="F1934" s="1">
        <v>0.0</v>
      </c>
      <c r="G1934" s="1">
        <v>1.0</v>
      </c>
      <c r="H1934" s="1">
        <v>0.0</v>
      </c>
      <c r="I1934" s="1">
        <v>2.0</v>
      </c>
    </row>
    <row r="1935">
      <c r="A1935" s="2" t="s">
        <v>12327</v>
      </c>
      <c r="B1935" s="1">
        <v>200.0</v>
      </c>
      <c r="C1935" s="1" t="s">
        <v>9840</v>
      </c>
      <c r="D1935" s="1" t="s">
        <v>609</v>
      </c>
      <c r="E1935" s="1" t="s">
        <v>631</v>
      </c>
      <c r="F1935" s="1">
        <v>0.0</v>
      </c>
      <c r="G1935" s="1">
        <v>3.0</v>
      </c>
      <c r="H1935" s="1">
        <v>0.0</v>
      </c>
      <c r="I1935" s="1">
        <v>9.33</v>
      </c>
    </row>
    <row r="1936">
      <c r="A1936" s="2" t="s">
        <v>12328</v>
      </c>
      <c r="B1936" s="1">
        <v>200.0</v>
      </c>
      <c r="C1936" s="1" t="s">
        <v>9850</v>
      </c>
      <c r="D1936" s="1" t="s">
        <v>609</v>
      </c>
      <c r="E1936" s="1" t="s">
        <v>631</v>
      </c>
      <c r="F1936" s="1">
        <v>0.0</v>
      </c>
      <c r="G1936" s="1">
        <v>30.0</v>
      </c>
      <c r="H1936" s="1">
        <v>0.0</v>
      </c>
      <c r="I1936" s="1">
        <v>12.63</v>
      </c>
    </row>
    <row r="1937">
      <c r="A1937" s="2" t="s">
        <v>12329</v>
      </c>
      <c r="B1937" s="1">
        <v>200.0</v>
      </c>
      <c r="C1937" s="1" t="s">
        <v>9860</v>
      </c>
      <c r="D1937" s="1" t="s">
        <v>609</v>
      </c>
      <c r="E1937" s="1" t="s">
        <v>631</v>
      </c>
    </row>
    <row r="1938">
      <c r="A1938" s="2" t="s">
        <v>12330</v>
      </c>
      <c r="B1938" s="1">
        <v>200.0</v>
      </c>
      <c r="C1938" s="1" t="s">
        <v>9860</v>
      </c>
      <c r="D1938" s="1" t="s">
        <v>609</v>
      </c>
      <c r="E1938" s="1" t="s">
        <v>631</v>
      </c>
      <c r="F1938" s="1">
        <v>0.0</v>
      </c>
      <c r="G1938" s="1">
        <v>9.0</v>
      </c>
      <c r="H1938" s="1">
        <v>0.0</v>
      </c>
      <c r="I1938" s="1">
        <v>10.89</v>
      </c>
    </row>
    <row r="1939">
      <c r="A1939" s="2" t="s">
        <v>12331</v>
      </c>
      <c r="B1939" s="1">
        <v>200.0</v>
      </c>
      <c r="C1939" s="1" t="s">
        <v>9842</v>
      </c>
      <c r="D1939" s="1" t="s">
        <v>609</v>
      </c>
      <c r="E1939" s="1" t="s">
        <v>631</v>
      </c>
      <c r="F1939" s="1">
        <v>0.0</v>
      </c>
      <c r="G1939" s="1">
        <v>5.0</v>
      </c>
      <c r="H1939" s="1">
        <v>0.0</v>
      </c>
      <c r="I1939" s="1">
        <v>17.0</v>
      </c>
    </row>
    <row r="1940">
      <c r="A1940" s="2" t="s">
        <v>12332</v>
      </c>
      <c r="B1940" s="1">
        <v>200.0</v>
      </c>
      <c r="C1940" s="1" t="s">
        <v>12333</v>
      </c>
      <c r="D1940" s="1" t="s">
        <v>583</v>
      </c>
      <c r="F1940" s="1">
        <v>6.0</v>
      </c>
      <c r="G1940" s="1">
        <v>413.0</v>
      </c>
      <c r="H1940" s="1">
        <v>0.015</v>
      </c>
      <c r="I1940" s="1">
        <v>28.87</v>
      </c>
    </row>
    <row r="1941">
      <c r="A1941" s="2" t="s">
        <v>12334</v>
      </c>
      <c r="B1941" s="1">
        <v>200.0</v>
      </c>
      <c r="C1941" s="1" t="s">
        <v>12335</v>
      </c>
      <c r="D1941" s="1" t="s">
        <v>583</v>
      </c>
      <c r="F1941" s="1">
        <v>0.0</v>
      </c>
      <c r="G1941" s="1">
        <v>6.0</v>
      </c>
      <c r="H1941" s="1">
        <v>0.0</v>
      </c>
      <c r="I1941" s="1">
        <v>26.0</v>
      </c>
    </row>
    <row r="1942">
      <c r="A1942" s="2" t="s">
        <v>12336</v>
      </c>
      <c r="B1942" s="1">
        <v>200.0</v>
      </c>
      <c r="C1942" s="1" t="s">
        <v>12337</v>
      </c>
      <c r="D1942" s="1" t="s">
        <v>583</v>
      </c>
    </row>
    <row r="1943">
      <c r="A1943" s="2" t="s">
        <v>12338</v>
      </c>
      <c r="B1943" s="1">
        <v>200.0</v>
      </c>
      <c r="C1943" s="1" t="s">
        <v>12339</v>
      </c>
      <c r="D1943" s="1" t="s">
        <v>583</v>
      </c>
      <c r="F1943" s="1">
        <v>0.0</v>
      </c>
      <c r="G1943" s="1">
        <v>57.0</v>
      </c>
      <c r="H1943" s="1">
        <v>0.0</v>
      </c>
      <c r="I1943" s="1">
        <v>13.82</v>
      </c>
    </row>
    <row r="1944">
      <c r="A1944" s="2" t="s">
        <v>12340</v>
      </c>
      <c r="B1944" s="1">
        <v>200.0</v>
      </c>
      <c r="C1944" s="1" t="s">
        <v>12341</v>
      </c>
      <c r="D1944" s="1" t="s">
        <v>583</v>
      </c>
      <c r="F1944" s="1">
        <v>9.0</v>
      </c>
      <c r="G1944" s="1">
        <v>2142.0</v>
      </c>
      <c r="H1944" s="1">
        <v>0.004</v>
      </c>
      <c r="I1944" s="1">
        <v>18.04</v>
      </c>
    </row>
    <row r="1945">
      <c r="A1945" s="2" t="s">
        <v>12342</v>
      </c>
      <c r="B1945" s="1">
        <v>200.0</v>
      </c>
      <c r="C1945" s="1" t="s">
        <v>9850</v>
      </c>
      <c r="D1945" s="1" t="s">
        <v>609</v>
      </c>
      <c r="E1945" s="1" t="s">
        <v>631</v>
      </c>
    </row>
    <row r="1946">
      <c r="A1946" s="2" t="s">
        <v>12343</v>
      </c>
      <c r="B1946" s="1">
        <v>200.0</v>
      </c>
      <c r="C1946" s="1" t="s">
        <v>9860</v>
      </c>
      <c r="D1946" s="1" t="s">
        <v>609</v>
      </c>
      <c r="E1946" s="1" t="s">
        <v>631</v>
      </c>
      <c r="F1946" s="1">
        <v>0.0</v>
      </c>
      <c r="G1946" s="1">
        <v>1.0</v>
      </c>
      <c r="H1946" s="1">
        <v>0.0</v>
      </c>
      <c r="I1946" s="1">
        <v>48.0</v>
      </c>
    </row>
    <row r="1947">
      <c r="A1947" s="2" t="s">
        <v>12344</v>
      </c>
      <c r="B1947" s="1">
        <v>200.0</v>
      </c>
      <c r="C1947" s="1" t="s">
        <v>9860</v>
      </c>
      <c r="D1947" s="1" t="s">
        <v>609</v>
      </c>
      <c r="E1947" s="1" t="s">
        <v>631</v>
      </c>
    </row>
    <row r="1948">
      <c r="A1948" s="2" t="s">
        <v>12345</v>
      </c>
      <c r="B1948" s="1">
        <v>200.0</v>
      </c>
      <c r="C1948" s="1" t="s">
        <v>9850</v>
      </c>
      <c r="D1948" s="1" t="s">
        <v>609</v>
      </c>
      <c r="E1948" s="1" t="s">
        <v>631</v>
      </c>
      <c r="F1948" s="1">
        <v>0.0</v>
      </c>
      <c r="G1948" s="1">
        <v>3.0</v>
      </c>
      <c r="H1948" s="1">
        <v>0.0</v>
      </c>
      <c r="I1948" s="1">
        <v>4.67</v>
      </c>
    </row>
    <row r="1949">
      <c r="A1949" s="2" t="s">
        <v>12346</v>
      </c>
      <c r="B1949" s="1">
        <v>200.0</v>
      </c>
      <c r="C1949" s="1" t="s">
        <v>12347</v>
      </c>
      <c r="D1949" s="1" t="s">
        <v>583</v>
      </c>
      <c r="F1949" s="1">
        <v>0.0</v>
      </c>
      <c r="G1949" s="1">
        <v>98.0</v>
      </c>
      <c r="H1949" s="1">
        <v>0.0</v>
      </c>
      <c r="I1949" s="1">
        <v>9.49</v>
      </c>
    </row>
    <row r="1950">
      <c r="A1950" s="2" t="s">
        <v>12348</v>
      </c>
      <c r="B1950" s="1">
        <v>200.0</v>
      </c>
      <c r="C1950" s="1" t="s">
        <v>9070</v>
      </c>
      <c r="D1950" s="1" t="s">
        <v>609</v>
      </c>
      <c r="E1950" s="1" t="s">
        <v>631</v>
      </c>
    </row>
    <row r="1951">
      <c r="A1951" s="2" t="s">
        <v>12349</v>
      </c>
      <c r="B1951" s="1">
        <v>200.0</v>
      </c>
      <c r="C1951" s="1" t="s">
        <v>9070</v>
      </c>
      <c r="D1951" s="1" t="s">
        <v>609</v>
      </c>
      <c r="E1951" s="1" t="s">
        <v>631</v>
      </c>
    </row>
    <row r="1952">
      <c r="A1952" s="2" t="s">
        <v>12350</v>
      </c>
      <c r="B1952" s="1">
        <v>301.0</v>
      </c>
      <c r="D1952" s="1" t="s">
        <v>609</v>
      </c>
      <c r="E1952" s="1" t="s">
        <v>610</v>
      </c>
    </row>
    <row r="1953">
      <c r="A1953" s="2" t="s">
        <v>12351</v>
      </c>
      <c r="B1953" s="1">
        <v>200.0</v>
      </c>
      <c r="C1953" s="1" t="s">
        <v>9058</v>
      </c>
      <c r="D1953" s="1" t="s">
        <v>609</v>
      </c>
      <c r="E1953" s="1" t="s">
        <v>631</v>
      </c>
    </row>
    <row r="1954">
      <c r="A1954" s="2" t="s">
        <v>12352</v>
      </c>
      <c r="B1954" s="1">
        <v>200.0</v>
      </c>
      <c r="C1954" s="1" t="s">
        <v>9070</v>
      </c>
      <c r="D1954" s="1" t="s">
        <v>609</v>
      </c>
      <c r="E1954" s="1" t="s">
        <v>631</v>
      </c>
    </row>
    <row r="1955">
      <c r="A1955" s="2" t="s">
        <v>12353</v>
      </c>
      <c r="B1955" s="1">
        <v>200.0</v>
      </c>
      <c r="C1955" s="1" t="s">
        <v>9070</v>
      </c>
      <c r="D1955" s="1" t="s">
        <v>609</v>
      </c>
      <c r="E1955" s="1" t="s">
        <v>631</v>
      </c>
      <c r="F1955" s="1">
        <v>0.0</v>
      </c>
      <c r="G1955" s="1">
        <v>1.0</v>
      </c>
      <c r="H1955" s="1">
        <v>0.0</v>
      </c>
      <c r="I1955" s="1">
        <v>2.0</v>
      </c>
    </row>
    <row r="1956">
      <c r="A1956" s="2" t="s">
        <v>12354</v>
      </c>
      <c r="B1956" s="1">
        <v>200.0</v>
      </c>
      <c r="C1956" s="1" t="s">
        <v>12355</v>
      </c>
      <c r="D1956" s="1" t="s">
        <v>583</v>
      </c>
      <c r="F1956" s="1">
        <v>0.0</v>
      </c>
      <c r="G1956" s="1">
        <v>179.0</v>
      </c>
      <c r="H1956" s="1">
        <v>0.0</v>
      </c>
      <c r="I1956" s="1">
        <v>43.85</v>
      </c>
    </row>
    <row r="1957">
      <c r="A1957" s="2" t="s">
        <v>12356</v>
      </c>
      <c r="B1957" s="1">
        <v>200.0</v>
      </c>
      <c r="C1957" s="1" t="s">
        <v>12357</v>
      </c>
      <c r="D1957" s="1" t="s">
        <v>583</v>
      </c>
      <c r="F1957" s="1">
        <v>0.0</v>
      </c>
      <c r="G1957" s="1">
        <v>53.0</v>
      </c>
      <c r="H1957" s="1">
        <v>0.0</v>
      </c>
      <c r="I1957" s="1">
        <v>25.81</v>
      </c>
    </row>
    <row r="1958">
      <c r="A1958" s="2" t="s">
        <v>12358</v>
      </c>
      <c r="B1958" s="1">
        <v>200.0</v>
      </c>
      <c r="C1958" s="1" t="s">
        <v>12359</v>
      </c>
      <c r="D1958" s="1" t="s">
        <v>583</v>
      </c>
      <c r="F1958" s="1">
        <v>0.0</v>
      </c>
      <c r="G1958" s="1">
        <v>258.0</v>
      </c>
      <c r="H1958" s="1">
        <v>0.0</v>
      </c>
      <c r="I1958" s="1">
        <v>18.97</v>
      </c>
    </row>
    <row r="1959">
      <c r="A1959" s="2" t="s">
        <v>12360</v>
      </c>
      <c r="B1959" s="1">
        <v>200.0</v>
      </c>
      <c r="C1959" s="1" t="s">
        <v>12361</v>
      </c>
      <c r="D1959" s="1" t="s">
        <v>583</v>
      </c>
      <c r="F1959" s="1">
        <v>0.0</v>
      </c>
      <c r="G1959" s="1">
        <v>53.0</v>
      </c>
      <c r="H1959" s="1">
        <v>0.0</v>
      </c>
      <c r="I1959" s="1">
        <v>31.96</v>
      </c>
    </row>
    <row r="1960">
      <c r="A1960" s="2" t="s">
        <v>12362</v>
      </c>
      <c r="B1960" s="1">
        <v>200.0</v>
      </c>
      <c r="C1960" s="1" t="s">
        <v>12363</v>
      </c>
      <c r="D1960" s="1" t="s">
        <v>583</v>
      </c>
      <c r="F1960" s="1">
        <v>0.0</v>
      </c>
      <c r="G1960" s="1">
        <v>104.0</v>
      </c>
      <c r="H1960" s="1">
        <v>0.0</v>
      </c>
      <c r="I1960" s="1">
        <v>22.58</v>
      </c>
    </row>
    <row r="1961">
      <c r="A1961" s="2" t="s">
        <v>12364</v>
      </c>
      <c r="B1961" s="1">
        <v>200.0</v>
      </c>
      <c r="C1961" s="1" t="s">
        <v>12365</v>
      </c>
      <c r="D1961" s="1" t="s">
        <v>583</v>
      </c>
      <c r="F1961" s="1">
        <v>0.0</v>
      </c>
      <c r="G1961" s="1">
        <v>1222.0</v>
      </c>
      <c r="H1961" s="1">
        <v>0.0</v>
      </c>
      <c r="I1961" s="1">
        <v>33.4</v>
      </c>
    </row>
    <row r="1962">
      <c r="A1962" s="2" t="s">
        <v>12366</v>
      </c>
      <c r="B1962" s="1">
        <v>200.0</v>
      </c>
      <c r="C1962" s="1" t="s">
        <v>12367</v>
      </c>
      <c r="D1962" s="1" t="s">
        <v>583</v>
      </c>
    </row>
    <row r="1963">
      <c r="A1963" s="2" t="s">
        <v>12368</v>
      </c>
      <c r="B1963" s="1">
        <v>200.0</v>
      </c>
      <c r="C1963" s="1" t="s">
        <v>12369</v>
      </c>
      <c r="D1963" s="1" t="s">
        <v>583</v>
      </c>
      <c r="F1963" s="1">
        <v>0.0</v>
      </c>
      <c r="G1963" s="1">
        <v>60.0</v>
      </c>
      <c r="H1963" s="1">
        <v>0.0</v>
      </c>
      <c r="I1963" s="1">
        <v>29.62</v>
      </c>
    </row>
    <row r="1964">
      <c r="A1964" s="2" t="s">
        <v>12370</v>
      </c>
      <c r="B1964" s="1">
        <v>200.0</v>
      </c>
      <c r="C1964" s="1" t="s">
        <v>12371</v>
      </c>
      <c r="D1964" s="1" t="s">
        <v>583</v>
      </c>
      <c r="F1964" s="1">
        <v>0.0</v>
      </c>
      <c r="G1964" s="1">
        <v>49.0</v>
      </c>
      <c r="H1964" s="1">
        <v>0.0</v>
      </c>
      <c r="I1964" s="1">
        <v>40.57</v>
      </c>
    </row>
    <row r="1965">
      <c r="A1965" s="2" t="s">
        <v>12372</v>
      </c>
      <c r="B1965" s="1">
        <v>200.0</v>
      </c>
      <c r="C1965" s="1" t="s">
        <v>12373</v>
      </c>
      <c r="D1965" s="1" t="s">
        <v>583</v>
      </c>
      <c r="F1965" s="1">
        <v>0.0</v>
      </c>
      <c r="G1965" s="1">
        <v>16.0</v>
      </c>
      <c r="H1965" s="1">
        <v>0.0</v>
      </c>
      <c r="I1965" s="1">
        <v>19.38</v>
      </c>
    </row>
    <row r="1966">
      <c r="A1966" s="2" t="s">
        <v>12374</v>
      </c>
      <c r="B1966" s="1">
        <v>200.0</v>
      </c>
      <c r="C1966" s="1" t="s">
        <v>12375</v>
      </c>
      <c r="D1966" s="1" t="s">
        <v>583</v>
      </c>
      <c r="F1966" s="1">
        <v>0.0</v>
      </c>
      <c r="G1966" s="1">
        <v>61.0</v>
      </c>
      <c r="H1966" s="1">
        <v>0.0</v>
      </c>
      <c r="I1966" s="1">
        <v>25.0</v>
      </c>
    </row>
    <row r="1967">
      <c r="A1967" s="2" t="s">
        <v>12376</v>
      </c>
      <c r="B1967" s="1">
        <v>200.0</v>
      </c>
      <c r="C1967" s="1" t="s">
        <v>12377</v>
      </c>
      <c r="D1967" s="1" t="s">
        <v>583</v>
      </c>
      <c r="F1967" s="1">
        <v>7.0</v>
      </c>
      <c r="G1967" s="1">
        <v>340.0</v>
      </c>
      <c r="H1967" s="1">
        <v>0.021</v>
      </c>
      <c r="I1967" s="1">
        <v>10.15</v>
      </c>
    </row>
    <row r="1968">
      <c r="A1968" s="2" t="s">
        <v>12378</v>
      </c>
      <c r="B1968" s="1">
        <v>200.0</v>
      </c>
      <c r="C1968" s="1" t="s">
        <v>12379</v>
      </c>
      <c r="D1968" s="1" t="s">
        <v>583</v>
      </c>
      <c r="F1968" s="1">
        <v>8.0</v>
      </c>
      <c r="G1968" s="1">
        <v>976.0</v>
      </c>
      <c r="H1968" s="1">
        <v>0.008</v>
      </c>
      <c r="I1968" s="1">
        <v>12.42</v>
      </c>
    </row>
    <row r="1969">
      <c r="A1969" s="2" t="s">
        <v>12380</v>
      </c>
      <c r="B1969" s="1">
        <v>301.0</v>
      </c>
      <c r="D1969" s="1" t="s">
        <v>609</v>
      </c>
      <c r="E1969" s="1" t="s">
        <v>610</v>
      </c>
    </row>
    <row r="1970">
      <c r="A1970" s="2" t="s">
        <v>12381</v>
      </c>
      <c r="B1970" s="1">
        <v>200.0</v>
      </c>
      <c r="C1970" s="1" t="s">
        <v>12382</v>
      </c>
      <c r="D1970" s="1" t="s">
        <v>583</v>
      </c>
      <c r="F1970" s="1">
        <v>0.0</v>
      </c>
      <c r="G1970" s="1">
        <v>53.0</v>
      </c>
      <c r="H1970" s="1">
        <v>0.0</v>
      </c>
      <c r="I1970" s="1">
        <v>11.6</v>
      </c>
    </row>
    <row r="1971">
      <c r="A1971" s="2" t="s">
        <v>12383</v>
      </c>
      <c r="B1971" s="1">
        <v>200.0</v>
      </c>
      <c r="C1971" s="1" t="s">
        <v>12384</v>
      </c>
      <c r="D1971" s="1" t="s">
        <v>583</v>
      </c>
      <c r="F1971" s="1">
        <v>4.0</v>
      </c>
      <c r="G1971" s="1">
        <v>2114.0</v>
      </c>
      <c r="H1971" s="1">
        <v>0.002</v>
      </c>
      <c r="I1971" s="1">
        <v>10.46</v>
      </c>
    </row>
    <row r="1972">
      <c r="A1972" s="2" t="s">
        <v>12385</v>
      </c>
      <c r="B1972" s="1">
        <v>200.0</v>
      </c>
      <c r="C1972" s="1" t="s">
        <v>9058</v>
      </c>
      <c r="D1972" s="1" t="s">
        <v>609</v>
      </c>
      <c r="E1972" s="1" t="s">
        <v>631</v>
      </c>
    </row>
    <row r="1973">
      <c r="A1973" s="2" t="s">
        <v>12386</v>
      </c>
      <c r="B1973" s="1">
        <v>301.0</v>
      </c>
      <c r="D1973" s="1" t="s">
        <v>609</v>
      </c>
      <c r="E1973" s="1" t="s">
        <v>610</v>
      </c>
    </row>
    <row r="1974">
      <c r="A1974" s="2" t="s">
        <v>12387</v>
      </c>
      <c r="B1974" s="1">
        <v>200.0</v>
      </c>
      <c r="C1974" s="1" t="s">
        <v>9043</v>
      </c>
      <c r="D1974" s="1" t="s">
        <v>609</v>
      </c>
      <c r="E1974" s="1" t="s">
        <v>631</v>
      </c>
    </row>
    <row r="1975">
      <c r="A1975" s="2" t="s">
        <v>12388</v>
      </c>
      <c r="B1975" s="1">
        <v>200.0</v>
      </c>
      <c r="C1975" s="1" t="s">
        <v>12389</v>
      </c>
      <c r="D1975" s="1" t="s">
        <v>583</v>
      </c>
      <c r="F1975" s="1">
        <v>95.0</v>
      </c>
      <c r="G1975" s="1">
        <v>20401.0</v>
      </c>
      <c r="H1975" s="1">
        <v>0.005</v>
      </c>
      <c r="I1975" s="1">
        <v>11.02</v>
      </c>
    </row>
    <row r="1976">
      <c r="A1976" s="2" t="s">
        <v>12390</v>
      </c>
      <c r="B1976" s="1">
        <v>200.0</v>
      </c>
      <c r="C1976" s="1" t="s">
        <v>9872</v>
      </c>
      <c r="D1976" s="1" t="s">
        <v>609</v>
      </c>
      <c r="E1976" s="1" t="s">
        <v>631</v>
      </c>
      <c r="F1976" s="1">
        <v>0.0</v>
      </c>
      <c r="G1976" s="1">
        <v>7.0</v>
      </c>
      <c r="H1976" s="1">
        <v>0.0</v>
      </c>
      <c r="I1976" s="1">
        <v>13.29</v>
      </c>
    </row>
    <row r="1977">
      <c r="A1977" s="2" t="s">
        <v>12391</v>
      </c>
      <c r="B1977" s="1">
        <v>200.0</v>
      </c>
      <c r="C1977" s="1" t="s">
        <v>9872</v>
      </c>
      <c r="D1977" s="1" t="s">
        <v>609</v>
      </c>
      <c r="E1977" s="1" t="s">
        <v>631</v>
      </c>
    </row>
    <row r="1978">
      <c r="A1978" s="2" t="s">
        <v>12392</v>
      </c>
      <c r="B1978" s="1">
        <v>200.0</v>
      </c>
      <c r="C1978" s="1" t="s">
        <v>9896</v>
      </c>
      <c r="D1978" s="1" t="s">
        <v>609</v>
      </c>
      <c r="E1978" s="1" t="s">
        <v>631</v>
      </c>
      <c r="F1978" s="1">
        <v>0.0</v>
      </c>
      <c r="G1978" s="1">
        <v>2.0</v>
      </c>
      <c r="H1978" s="1">
        <v>0.0</v>
      </c>
      <c r="I1978" s="1">
        <v>2.0</v>
      </c>
    </row>
    <row r="1979">
      <c r="A1979" s="2" t="s">
        <v>12393</v>
      </c>
      <c r="B1979" s="1">
        <v>200.0</v>
      </c>
      <c r="C1979" s="1" t="s">
        <v>9896</v>
      </c>
      <c r="D1979" s="1" t="s">
        <v>609</v>
      </c>
      <c r="E1979" s="1" t="s">
        <v>631</v>
      </c>
      <c r="F1979" s="1">
        <v>0.0</v>
      </c>
      <c r="G1979" s="1">
        <v>3.0</v>
      </c>
      <c r="H1979" s="1">
        <v>0.0</v>
      </c>
      <c r="I1979" s="1">
        <v>7.0</v>
      </c>
    </row>
    <row r="1980">
      <c r="A1980" s="2" t="s">
        <v>12394</v>
      </c>
      <c r="B1980" s="1">
        <v>200.0</v>
      </c>
      <c r="C1980" s="1" t="s">
        <v>9896</v>
      </c>
      <c r="D1980" s="1" t="s">
        <v>609</v>
      </c>
      <c r="E1980" s="1" t="s">
        <v>631</v>
      </c>
      <c r="F1980" s="1">
        <v>0.0</v>
      </c>
      <c r="G1980" s="1">
        <v>2.0</v>
      </c>
      <c r="H1980" s="1">
        <v>0.0</v>
      </c>
      <c r="I1980" s="1">
        <v>6.5</v>
      </c>
    </row>
    <row r="1981">
      <c r="A1981" s="2" t="s">
        <v>12395</v>
      </c>
      <c r="B1981" s="1">
        <v>200.0</v>
      </c>
      <c r="C1981" s="1" t="s">
        <v>9886</v>
      </c>
      <c r="D1981" s="1" t="s">
        <v>609</v>
      </c>
      <c r="E1981" s="1" t="s">
        <v>631</v>
      </c>
    </row>
    <row r="1982">
      <c r="A1982" s="2" t="s">
        <v>12396</v>
      </c>
      <c r="B1982" s="1">
        <v>200.0</v>
      </c>
      <c r="C1982" s="1" t="s">
        <v>9322</v>
      </c>
      <c r="D1982" s="1" t="s">
        <v>609</v>
      </c>
      <c r="E1982" s="1" t="s">
        <v>631</v>
      </c>
      <c r="F1982" s="1">
        <v>1.0</v>
      </c>
      <c r="G1982" s="1">
        <v>40.0</v>
      </c>
      <c r="H1982" s="1">
        <v>0.025</v>
      </c>
      <c r="I1982" s="1">
        <v>21.6</v>
      </c>
    </row>
    <row r="1983">
      <c r="A1983" s="2" t="s">
        <v>12397</v>
      </c>
      <c r="B1983" s="1">
        <v>200.0</v>
      </c>
      <c r="C1983" s="1" t="s">
        <v>9886</v>
      </c>
      <c r="D1983" s="1" t="s">
        <v>609</v>
      </c>
      <c r="E1983" s="1" t="s">
        <v>631</v>
      </c>
    </row>
    <row r="1984">
      <c r="A1984" s="2" t="s">
        <v>12398</v>
      </c>
      <c r="B1984" s="1">
        <v>200.0</v>
      </c>
      <c r="C1984" s="1" t="s">
        <v>9882</v>
      </c>
      <c r="D1984" s="1" t="s">
        <v>609</v>
      </c>
      <c r="E1984" s="1" t="s">
        <v>631</v>
      </c>
      <c r="F1984" s="1">
        <v>0.0</v>
      </c>
      <c r="G1984" s="1">
        <v>11.0</v>
      </c>
      <c r="H1984" s="1">
        <v>0.0</v>
      </c>
      <c r="I1984" s="1">
        <v>12.36</v>
      </c>
    </row>
    <row r="1985">
      <c r="A1985" s="2" t="s">
        <v>12399</v>
      </c>
      <c r="B1985" s="1">
        <v>200.0</v>
      </c>
      <c r="C1985" s="1" t="s">
        <v>9882</v>
      </c>
      <c r="D1985" s="1" t="s">
        <v>609</v>
      </c>
      <c r="E1985" s="1" t="s">
        <v>631</v>
      </c>
      <c r="F1985" s="1">
        <v>1.0</v>
      </c>
      <c r="G1985" s="1">
        <v>85.0</v>
      </c>
      <c r="H1985" s="1">
        <v>0.012</v>
      </c>
      <c r="I1985" s="1">
        <v>7.66</v>
      </c>
    </row>
    <row r="1986">
      <c r="A1986" s="2" t="s">
        <v>12400</v>
      </c>
      <c r="B1986" s="1">
        <v>200.0</v>
      </c>
      <c r="C1986" s="1" t="s">
        <v>9876</v>
      </c>
      <c r="D1986" s="1" t="s">
        <v>609</v>
      </c>
      <c r="E1986" s="1" t="s">
        <v>631</v>
      </c>
    </row>
    <row r="1987">
      <c r="A1987" s="2" t="s">
        <v>12401</v>
      </c>
      <c r="B1987" s="1">
        <v>200.0</v>
      </c>
      <c r="C1987" s="1" t="s">
        <v>9876</v>
      </c>
      <c r="D1987" s="1" t="s">
        <v>609</v>
      </c>
      <c r="E1987" s="1" t="s">
        <v>631</v>
      </c>
      <c r="F1987" s="1">
        <v>0.0</v>
      </c>
      <c r="G1987" s="1">
        <v>12.0</v>
      </c>
      <c r="H1987" s="1">
        <v>0.0</v>
      </c>
      <c r="I1987" s="1">
        <v>17.08</v>
      </c>
    </row>
    <row r="1988">
      <c r="A1988" s="2" t="s">
        <v>12402</v>
      </c>
      <c r="B1988" s="1">
        <v>200.0</v>
      </c>
      <c r="C1988" s="1" t="s">
        <v>9876</v>
      </c>
      <c r="D1988" s="1" t="s">
        <v>609</v>
      </c>
      <c r="E1988" s="1" t="s">
        <v>631</v>
      </c>
      <c r="F1988" s="1">
        <v>1.0</v>
      </c>
      <c r="G1988" s="1">
        <v>17.0</v>
      </c>
      <c r="H1988" s="1">
        <v>0.059</v>
      </c>
      <c r="I1988" s="1">
        <v>15.41</v>
      </c>
    </row>
    <row r="1989">
      <c r="A1989" s="2" t="s">
        <v>12403</v>
      </c>
      <c r="B1989" s="1">
        <v>200.0</v>
      </c>
      <c r="C1989" s="1" t="s">
        <v>9882</v>
      </c>
      <c r="D1989" s="1" t="s">
        <v>609</v>
      </c>
      <c r="E1989" s="1" t="s">
        <v>631</v>
      </c>
      <c r="F1989" s="1">
        <v>0.0</v>
      </c>
      <c r="G1989" s="1">
        <v>2.0</v>
      </c>
      <c r="H1989" s="1">
        <v>0.0</v>
      </c>
      <c r="I1989" s="1">
        <v>5.5</v>
      </c>
    </row>
    <row r="1990">
      <c r="A1990" s="2" t="s">
        <v>12404</v>
      </c>
      <c r="B1990" s="1">
        <v>200.0</v>
      </c>
      <c r="C1990" s="1" t="s">
        <v>9043</v>
      </c>
      <c r="D1990" s="1" t="s">
        <v>609</v>
      </c>
      <c r="E1990" s="1" t="s">
        <v>631</v>
      </c>
    </row>
    <row r="1991">
      <c r="A1991" s="2" t="s">
        <v>12405</v>
      </c>
      <c r="B1991" s="1">
        <v>200.0</v>
      </c>
      <c r="C1991" s="1" t="s">
        <v>9882</v>
      </c>
      <c r="D1991" s="1" t="s">
        <v>609</v>
      </c>
      <c r="E1991" s="1" t="s">
        <v>631</v>
      </c>
    </row>
    <row r="1992">
      <c r="A1992" s="2" t="s">
        <v>12406</v>
      </c>
      <c r="B1992" s="1">
        <v>200.0</v>
      </c>
      <c r="C1992" s="1" t="s">
        <v>9870</v>
      </c>
      <c r="D1992" s="1" t="s">
        <v>609</v>
      </c>
      <c r="E1992" s="1" t="s">
        <v>631</v>
      </c>
      <c r="F1992" s="1">
        <v>0.0</v>
      </c>
      <c r="G1992" s="1">
        <v>55.0</v>
      </c>
      <c r="H1992" s="1">
        <v>0.0</v>
      </c>
      <c r="I1992" s="1">
        <v>7.58</v>
      </c>
    </row>
    <row r="1993">
      <c r="A1993" s="2" t="s">
        <v>12407</v>
      </c>
      <c r="B1993" s="1">
        <v>200.0</v>
      </c>
      <c r="C1993" s="1" t="s">
        <v>9870</v>
      </c>
      <c r="D1993" s="1" t="s">
        <v>609</v>
      </c>
      <c r="E1993" s="1" t="s">
        <v>631</v>
      </c>
      <c r="F1993" s="1">
        <v>0.0</v>
      </c>
      <c r="G1993" s="1">
        <v>27.0</v>
      </c>
      <c r="H1993" s="1">
        <v>0.0</v>
      </c>
      <c r="I1993" s="1">
        <v>9.3</v>
      </c>
    </row>
    <row r="1994">
      <c r="A1994" s="2" t="s">
        <v>12408</v>
      </c>
      <c r="B1994" s="1">
        <v>200.0</v>
      </c>
      <c r="C1994" s="1" t="s">
        <v>9870</v>
      </c>
      <c r="D1994" s="1" t="s">
        <v>609</v>
      </c>
      <c r="E1994" s="1" t="s">
        <v>631</v>
      </c>
      <c r="F1994" s="1">
        <v>0.0</v>
      </c>
      <c r="G1994" s="1">
        <v>2.0</v>
      </c>
      <c r="H1994" s="1">
        <v>0.0</v>
      </c>
      <c r="I1994" s="1">
        <v>3.5</v>
      </c>
    </row>
    <row r="1995">
      <c r="A1995" s="2" t="s">
        <v>12409</v>
      </c>
      <c r="B1995" s="1">
        <v>200.0</v>
      </c>
      <c r="C1995" s="1" t="s">
        <v>9870</v>
      </c>
      <c r="D1995" s="1" t="s">
        <v>609</v>
      </c>
      <c r="E1995" s="1" t="s">
        <v>631</v>
      </c>
      <c r="F1995" s="1">
        <v>0.0</v>
      </c>
      <c r="G1995" s="1">
        <v>7.0</v>
      </c>
      <c r="H1995" s="1">
        <v>0.0</v>
      </c>
      <c r="I1995" s="1">
        <v>5.14</v>
      </c>
    </row>
    <row r="1996">
      <c r="A1996" s="2" t="s">
        <v>12410</v>
      </c>
      <c r="B1996" s="1">
        <v>200.0</v>
      </c>
      <c r="C1996" s="1" t="s">
        <v>9058</v>
      </c>
      <c r="D1996" s="1" t="s">
        <v>609</v>
      </c>
      <c r="E1996" s="1" t="s">
        <v>631</v>
      </c>
    </row>
    <row r="1997">
      <c r="A1997" s="2" t="s">
        <v>12411</v>
      </c>
      <c r="B1997" s="1">
        <v>200.0</v>
      </c>
      <c r="C1997" s="1" t="s">
        <v>9872</v>
      </c>
      <c r="D1997" s="1" t="s">
        <v>609</v>
      </c>
      <c r="E1997" s="1" t="s">
        <v>631</v>
      </c>
    </row>
    <row r="1998">
      <c r="A1998" s="2" t="s">
        <v>12412</v>
      </c>
      <c r="B1998" s="1">
        <v>200.0</v>
      </c>
      <c r="C1998" s="1" t="s">
        <v>9896</v>
      </c>
      <c r="D1998" s="1" t="s">
        <v>609</v>
      </c>
      <c r="E1998" s="1" t="s">
        <v>631</v>
      </c>
      <c r="F1998" s="1">
        <v>0.0</v>
      </c>
      <c r="G1998" s="1">
        <v>2.0</v>
      </c>
      <c r="H1998" s="1">
        <v>0.0</v>
      </c>
      <c r="I1998" s="1">
        <v>27.5</v>
      </c>
    </row>
    <row r="1999">
      <c r="A1999" s="2" t="s">
        <v>12413</v>
      </c>
      <c r="B1999" s="1">
        <v>200.0</v>
      </c>
      <c r="C1999" s="1" t="s">
        <v>9886</v>
      </c>
      <c r="D1999" s="1" t="s">
        <v>609</v>
      </c>
      <c r="E1999" s="1" t="s">
        <v>631</v>
      </c>
    </row>
    <row r="2000">
      <c r="A2000" s="2" t="s">
        <v>12414</v>
      </c>
      <c r="B2000" s="1">
        <v>200.0</v>
      </c>
      <c r="C2000" s="1" t="s">
        <v>9864</v>
      </c>
      <c r="D2000" s="1" t="s">
        <v>609</v>
      </c>
      <c r="E2000" s="1" t="s">
        <v>631</v>
      </c>
      <c r="F2000" s="1">
        <v>0.0</v>
      </c>
      <c r="G2000" s="1">
        <v>2.0</v>
      </c>
      <c r="H2000" s="1">
        <v>0.0</v>
      </c>
      <c r="I2000" s="1">
        <v>2.5</v>
      </c>
    </row>
    <row r="2001">
      <c r="A2001" s="2" t="s">
        <v>12415</v>
      </c>
      <c r="B2001" s="1">
        <v>200.0</v>
      </c>
      <c r="C2001" s="1" t="s">
        <v>9864</v>
      </c>
      <c r="D2001" s="1" t="s">
        <v>609</v>
      </c>
      <c r="E2001" s="1" t="s">
        <v>631</v>
      </c>
    </row>
    <row r="2002">
      <c r="A2002" s="2" t="s">
        <v>12416</v>
      </c>
      <c r="B2002" s="1">
        <v>200.0</v>
      </c>
      <c r="C2002" s="1" t="s">
        <v>9864</v>
      </c>
      <c r="D2002" s="1" t="s">
        <v>609</v>
      </c>
      <c r="E2002" s="1" t="s">
        <v>631</v>
      </c>
    </row>
    <row r="2003">
      <c r="A2003" s="2" t="s">
        <v>12417</v>
      </c>
      <c r="B2003" s="1">
        <v>200.0</v>
      </c>
      <c r="C2003" s="1" t="s">
        <v>9864</v>
      </c>
      <c r="D2003" s="1" t="s">
        <v>609</v>
      </c>
      <c r="E2003" s="1" t="s">
        <v>631</v>
      </c>
    </row>
    <row r="2004">
      <c r="A2004" s="2" t="s">
        <v>12418</v>
      </c>
      <c r="B2004" s="1">
        <v>200.0</v>
      </c>
      <c r="C2004" s="1" t="s">
        <v>9850</v>
      </c>
      <c r="D2004" s="1" t="s">
        <v>609</v>
      </c>
      <c r="E2004" s="1" t="s">
        <v>631</v>
      </c>
    </row>
    <row r="2005">
      <c r="A2005" s="2" t="s">
        <v>12419</v>
      </c>
      <c r="B2005" s="1">
        <v>200.0</v>
      </c>
      <c r="C2005" s="1" t="s">
        <v>9876</v>
      </c>
      <c r="D2005" s="1" t="s">
        <v>609</v>
      </c>
      <c r="E2005" s="1" t="s">
        <v>631</v>
      </c>
      <c r="F2005" s="1">
        <v>0.0</v>
      </c>
      <c r="G2005" s="1">
        <v>9.0</v>
      </c>
      <c r="H2005" s="1">
        <v>0.0</v>
      </c>
      <c r="I2005" s="1">
        <v>8.33</v>
      </c>
    </row>
    <row r="2006">
      <c r="A2006" s="2" t="s">
        <v>12420</v>
      </c>
      <c r="B2006" s="1">
        <v>200.0</v>
      </c>
      <c r="C2006" s="1" t="s">
        <v>9842</v>
      </c>
      <c r="D2006" s="1" t="s">
        <v>609</v>
      </c>
      <c r="E2006" s="1" t="s">
        <v>631</v>
      </c>
      <c r="F2006" s="1">
        <v>0.0</v>
      </c>
      <c r="G2006" s="1">
        <v>4.0</v>
      </c>
      <c r="H2006" s="1">
        <v>0.0</v>
      </c>
      <c r="I2006" s="1">
        <v>9.75</v>
      </c>
    </row>
    <row r="2007">
      <c r="A2007" s="2" t="s">
        <v>12421</v>
      </c>
      <c r="B2007" s="1">
        <v>200.0</v>
      </c>
      <c r="C2007" s="1" t="s">
        <v>9860</v>
      </c>
      <c r="D2007" s="1" t="s">
        <v>609</v>
      </c>
      <c r="E2007" s="1" t="s">
        <v>631</v>
      </c>
    </row>
    <row r="2008">
      <c r="A2008" s="2" t="s">
        <v>12422</v>
      </c>
      <c r="B2008" s="1">
        <v>200.0</v>
      </c>
      <c r="C2008" s="1" t="s">
        <v>9860</v>
      </c>
      <c r="D2008" s="1" t="s">
        <v>609</v>
      </c>
      <c r="E2008" s="1" t="s">
        <v>631</v>
      </c>
    </row>
    <row r="2009">
      <c r="A2009" s="2" t="s">
        <v>12423</v>
      </c>
      <c r="B2009" s="1">
        <v>200.0</v>
      </c>
      <c r="C2009" s="1" t="s">
        <v>9860</v>
      </c>
      <c r="D2009" s="1" t="s">
        <v>609</v>
      </c>
      <c r="E2009" s="1" t="s">
        <v>631</v>
      </c>
    </row>
    <row r="2010">
      <c r="A2010" s="2" t="s">
        <v>12424</v>
      </c>
      <c r="B2010" s="1">
        <v>200.0</v>
      </c>
      <c r="C2010" s="1" t="s">
        <v>9850</v>
      </c>
      <c r="D2010" s="1" t="s">
        <v>609</v>
      </c>
      <c r="E2010" s="1" t="s">
        <v>631</v>
      </c>
      <c r="F2010" s="1">
        <v>0.0</v>
      </c>
      <c r="G2010" s="1">
        <v>11.0</v>
      </c>
      <c r="H2010" s="1">
        <v>0.0</v>
      </c>
      <c r="I2010" s="1">
        <v>11.27</v>
      </c>
    </row>
    <row r="2011">
      <c r="A2011" s="2" t="s">
        <v>12425</v>
      </c>
      <c r="B2011" s="1">
        <v>200.0</v>
      </c>
      <c r="C2011" s="1" t="s">
        <v>9850</v>
      </c>
      <c r="D2011" s="1" t="s">
        <v>609</v>
      </c>
      <c r="E2011" s="1" t="s">
        <v>631</v>
      </c>
      <c r="F2011" s="1">
        <v>0.0</v>
      </c>
      <c r="G2011" s="1">
        <v>3.0</v>
      </c>
      <c r="H2011" s="1">
        <v>0.0</v>
      </c>
      <c r="I2011" s="1">
        <v>15.67</v>
      </c>
    </row>
    <row r="2012">
      <c r="A2012" s="2" t="s">
        <v>12426</v>
      </c>
      <c r="B2012" s="1">
        <v>200.0</v>
      </c>
      <c r="C2012" s="1" t="s">
        <v>9872</v>
      </c>
      <c r="D2012" s="1" t="s">
        <v>609</v>
      </c>
      <c r="E2012" s="1" t="s">
        <v>631</v>
      </c>
      <c r="F2012" s="1">
        <v>0.0</v>
      </c>
      <c r="G2012" s="1">
        <v>1.0</v>
      </c>
      <c r="H2012" s="1">
        <v>0.0</v>
      </c>
      <c r="I2012" s="1">
        <v>40.0</v>
      </c>
    </row>
    <row r="2013">
      <c r="A2013" s="2" t="s">
        <v>12427</v>
      </c>
      <c r="B2013" s="1">
        <v>200.0</v>
      </c>
      <c r="C2013" s="1" t="s">
        <v>9886</v>
      </c>
      <c r="D2013" s="1" t="s">
        <v>609</v>
      </c>
      <c r="E2013" s="1" t="s">
        <v>631</v>
      </c>
      <c r="F2013" s="1">
        <v>1.0</v>
      </c>
      <c r="G2013" s="1">
        <v>24.0</v>
      </c>
      <c r="H2013" s="1">
        <v>0.042</v>
      </c>
      <c r="I2013" s="1">
        <v>10.67</v>
      </c>
    </row>
    <row r="2014">
      <c r="A2014" s="2" t="s">
        <v>12428</v>
      </c>
      <c r="B2014" s="1">
        <v>200.0</v>
      </c>
      <c r="C2014" s="1" t="s">
        <v>9850</v>
      </c>
      <c r="D2014" s="1" t="s">
        <v>609</v>
      </c>
      <c r="E2014" s="1" t="s">
        <v>631</v>
      </c>
      <c r="F2014" s="1">
        <v>1.0</v>
      </c>
      <c r="G2014" s="1">
        <v>4.0</v>
      </c>
      <c r="H2014" s="1">
        <v>0.25</v>
      </c>
      <c r="I2014" s="1">
        <v>8.25</v>
      </c>
    </row>
    <row r="2015">
      <c r="A2015" s="2" t="s">
        <v>12429</v>
      </c>
      <c r="B2015" s="1">
        <v>200.0</v>
      </c>
      <c r="C2015" s="1" t="s">
        <v>9844</v>
      </c>
      <c r="D2015" s="1" t="s">
        <v>609</v>
      </c>
      <c r="E2015" s="1" t="s">
        <v>631</v>
      </c>
      <c r="F2015" s="1">
        <v>0.0</v>
      </c>
      <c r="G2015" s="1">
        <v>2.0</v>
      </c>
      <c r="H2015" s="1">
        <v>0.0</v>
      </c>
      <c r="I2015" s="1">
        <v>41.5</v>
      </c>
    </row>
    <row r="2016">
      <c r="A2016" s="2" t="s">
        <v>12430</v>
      </c>
      <c r="B2016" s="1">
        <v>200.0</v>
      </c>
      <c r="C2016" s="1" t="s">
        <v>9860</v>
      </c>
      <c r="D2016" s="1" t="s">
        <v>609</v>
      </c>
      <c r="E2016" s="1" t="s">
        <v>631</v>
      </c>
      <c r="F2016" s="1">
        <v>0.0</v>
      </c>
      <c r="G2016" s="1">
        <v>2.0</v>
      </c>
      <c r="H2016" s="1">
        <v>0.0</v>
      </c>
      <c r="I2016" s="1">
        <v>10.0</v>
      </c>
    </row>
    <row r="2017">
      <c r="A2017" s="2" t="s">
        <v>12431</v>
      </c>
      <c r="B2017" s="1">
        <v>200.0</v>
      </c>
      <c r="C2017" s="1" t="s">
        <v>9844</v>
      </c>
      <c r="D2017" s="1" t="s">
        <v>609</v>
      </c>
      <c r="E2017" s="1" t="s">
        <v>631</v>
      </c>
      <c r="F2017" s="1">
        <v>0.0</v>
      </c>
      <c r="G2017" s="1">
        <v>1.0</v>
      </c>
      <c r="H2017" s="1">
        <v>0.0</v>
      </c>
      <c r="I2017" s="1">
        <v>8.0</v>
      </c>
    </row>
    <row r="2018">
      <c r="A2018" s="2" t="s">
        <v>12432</v>
      </c>
      <c r="B2018" s="1">
        <v>200.0</v>
      </c>
      <c r="C2018" s="1" t="s">
        <v>9844</v>
      </c>
      <c r="D2018" s="1" t="s">
        <v>609</v>
      </c>
      <c r="E2018" s="1" t="s">
        <v>631</v>
      </c>
      <c r="F2018" s="1">
        <v>0.0</v>
      </c>
      <c r="G2018" s="1">
        <v>1.0</v>
      </c>
      <c r="H2018" s="1">
        <v>0.0</v>
      </c>
      <c r="I2018" s="1">
        <v>1.0</v>
      </c>
    </row>
    <row r="2019">
      <c r="A2019" s="2" t="s">
        <v>12433</v>
      </c>
      <c r="B2019" s="1">
        <v>200.0</v>
      </c>
      <c r="C2019" s="1" t="s">
        <v>9842</v>
      </c>
      <c r="D2019" s="1" t="s">
        <v>609</v>
      </c>
      <c r="E2019" s="1" t="s">
        <v>631</v>
      </c>
      <c r="F2019" s="1">
        <v>0.0</v>
      </c>
      <c r="G2019" s="1">
        <v>4.0</v>
      </c>
      <c r="H2019" s="1">
        <v>0.0</v>
      </c>
      <c r="I2019" s="1">
        <v>14.75</v>
      </c>
    </row>
    <row r="2020">
      <c r="A2020" s="2" t="s">
        <v>12434</v>
      </c>
      <c r="B2020" s="1">
        <v>200.0</v>
      </c>
      <c r="C2020" s="1" t="s">
        <v>9840</v>
      </c>
      <c r="D2020" s="1" t="s">
        <v>609</v>
      </c>
      <c r="E2020" s="1" t="s">
        <v>631</v>
      </c>
    </row>
    <row r="2021">
      <c r="A2021" s="2" t="s">
        <v>12435</v>
      </c>
      <c r="B2021" s="1">
        <v>200.0</v>
      </c>
      <c r="C2021" s="1" t="s">
        <v>9840</v>
      </c>
      <c r="D2021" s="1" t="s">
        <v>609</v>
      </c>
      <c r="E2021" s="1" t="s">
        <v>631</v>
      </c>
    </row>
    <row r="2022">
      <c r="A2022" s="2" t="s">
        <v>12436</v>
      </c>
      <c r="B2022" s="1">
        <v>200.0</v>
      </c>
      <c r="C2022" s="1" t="s">
        <v>9844</v>
      </c>
      <c r="D2022" s="1" t="s">
        <v>609</v>
      </c>
      <c r="E2022" s="1" t="s">
        <v>631</v>
      </c>
    </row>
    <row r="2023">
      <c r="A2023" s="2" t="s">
        <v>12437</v>
      </c>
      <c r="B2023" s="1">
        <v>200.0</v>
      </c>
      <c r="C2023" s="1" t="s">
        <v>9212</v>
      </c>
      <c r="D2023" s="1" t="s">
        <v>609</v>
      </c>
      <c r="E2023" s="1" t="s">
        <v>631</v>
      </c>
      <c r="F2023" s="1">
        <v>0.0</v>
      </c>
      <c r="G2023" s="1">
        <v>2.0</v>
      </c>
      <c r="H2023" s="1">
        <v>0.0</v>
      </c>
      <c r="I2023" s="1">
        <v>1.0</v>
      </c>
    </row>
    <row r="2024">
      <c r="A2024" s="2" t="s">
        <v>12438</v>
      </c>
      <c r="B2024" s="1">
        <v>200.0</v>
      </c>
      <c r="C2024" s="1" t="s">
        <v>9842</v>
      </c>
      <c r="D2024" s="1" t="s">
        <v>609</v>
      </c>
      <c r="E2024" s="1" t="s">
        <v>631</v>
      </c>
      <c r="F2024" s="1">
        <v>0.0</v>
      </c>
      <c r="G2024" s="1">
        <v>24.0</v>
      </c>
      <c r="H2024" s="1">
        <v>0.0</v>
      </c>
      <c r="I2024" s="1">
        <v>16.58</v>
      </c>
    </row>
    <row r="2025">
      <c r="A2025" s="2" t="s">
        <v>12439</v>
      </c>
      <c r="B2025" s="1">
        <v>200.0</v>
      </c>
      <c r="C2025" s="1" t="s">
        <v>9842</v>
      </c>
      <c r="D2025" s="1" t="s">
        <v>609</v>
      </c>
      <c r="E2025" s="1" t="s">
        <v>631</v>
      </c>
      <c r="F2025" s="1">
        <v>0.0</v>
      </c>
      <c r="G2025" s="1">
        <v>12.0</v>
      </c>
      <c r="H2025" s="1">
        <v>0.0</v>
      </c>
      <c r="I2025" s="1">
        <v>7.42</v>
      </c>
    </row>
    <row r="2026">
      <c r="A2026" s="2" t="s">
        <v>12440</v>
      </c>
      <c r="B2026" s="1">
        <v>200.0</v>
      </c>
      <c r="C2026" s="1" t="s">
        <v>9838</v>
      </c>
      <c r="D2026" s="1" t="s">
        <v>609</v>
      </c>
      <c r="E2026" s="1" t="s">
        <v>631</v>
      </c>
    </row>
    <row r="2027">
      <c r="A2027" s="2" t="s">
        <v>12441</v>
      </c>
      <c r="B2027" s="1">
        <v>200.0</v>
      </c>
      <c r="C2027" s="1" t="s">
        <v>9838</v>
      </c>
      <c r="D2027" s="1" t="s">
        <v>609</v>
      </c>
      <c r="E2027" s="1" t="s">
        <v>631</v>
      </c>
    </row>
    <row r="2028">
      <c r="A2028" s="2" t="s">
        <v>12442</v>
      </c>
      <c r="B2028" s="1">
        <v>200.0</v>
      </c>
      <c r="C2028" s="1" t="s">
        <v>9840</v>
      </c>
      <c r="D2028" s="1" t="s">
        <v>609</v>
      </c>
      <c r="E2028" s="1" t="s">
        <v>631</v>
      </c>
    </row>
    <row r="2029">
      <c r="A2029" s="2" t="s">
        <v>12443</v>
      </c>
      <c r="B2029" s="1">
        <v>200.0</v>
      </c>
      <c r="C2029" s="1" t="s">
        <v>8996</v>
      </c>
      <c r="D2029" s="1" t="s">
        <v>609</v>
      </c>
      <c r="E2029" s="1" t="s">
        <v>631</v>
      </c>
    </row>
    <row r="2030">
      <c r="A2030" s="2" t="s">
        <v>12444</v>
      </c>
      <c r="B2030" s="1">
        <v>200.0</v>
      </c>
      <c r="C2030" s="1" t="s">
        <v>9838</v>
      </c>
      <c r="D2030" s="1" t="s">
        <v>609</v>
      </c>
      <c r="E2030" s="1" t="s">
        <v>631</v>
      </c>
    </row>
    <row r="2031">
      <c r="A2031" s="2" t="s">
        <v>12445</v>
      </c>
      <c r="B2031" s="1">
        <v>200.0</v>
      </c>
      <c r="C2031" s="1" t="s">
        <v>8986</v>
      </c>
      <c r="D2031" s="1" t="s">
        <v>609</v>
      </c>
      <c r="E2031" s="1" t="s">
        <v>631</v>
      </c>
    </row>
    <row r="2032">
      <c r="A2032" s="2" t="s">
        <v>12446</v>
      </c>
      <c r="B2032" s="1">
        <v>200.0</v>
      </c>
      <c r="C2032" s="1" t="s">
        <v>9007</v>
      </c>
      <c r="D2032" s="1" t="s">
        <v>609</v>
      </c>
      <c r="E2032" s="1" t="s">
        <v>631</v>
      </c>
    </row>
    <row r="2033">
      <c r="A2033" s="2" t="s">
        <v>12447</v>
      </c>
      <c r="B2033" s="1">
        <v>200.0</v>
      </c>
      <c r="C2033" s="1" t="s">
        <v>12448</v>
      </c>
      <c r="D2033" s="1" t="s">
        <v>583</v>
      </c>
      <c r="F2033" s="1">
        <v>3.0</v>
      </c>
      <c r="G2033" s="1">
        <v>487.0</v>
      </c>
      <c r="H2033" s="1">
        <v>0.006</v>
      </c>
      <c r="I2033" s="1">
        <v>18.38</v>
      </c>
    </row>
    <row r="2034">
      <c r="A2034" s="2" t="s">
        <v>12449</v>
      </c>
      <c r="B2034" s="1">
        <v>200.0</v>
      </c>
      <c r="C2034" s="1" t="s">
        <v>9007</v>
      </c>
      <c r="D2034" s="1" t="s">
        <v>609</v>
      </c>
      <c r="E2034" s="1" t="s">
        <v>631</v>
      </c>
    </row>
    <row r="2035">
      <c r="A2035" s="2" t="s">
        <v>12450</v>
      </c>
      <c r="B2035" s="1">
        <v>200.0</v>
      </c>
      <c r="C2035" s="1" t="s">
        <v>9007</v>
      </c>
      <c r="D2035" s="1" t="s">
        <v>609</v>
      </c>
      <c r="E2035" s="1" t="s">
        <v>631</v>
      </c>
    </row>
    <row r="2036">
      <c r="A2036" s="2" t="s">
        <v>12451</v>
      </c>
      <c r="B2036" s="1">
        <v>200.0</v>
      </c>
      <c r="C2036" s="1" t="s">
        <v>9212</v>
      </c>
      <c r="D2036" s="1" t="s">
        <v>609</v>
      </c>
      <c r="E2036" s="1" t="s">
        <v>631</v>
      </c>
      <c r="F2036" s="1">
        <v>0.0</v>
      </c>
      <c r="G2036" s="1">
        <v>3.0</v>
      </c>
      <c r="H2036" s="1">
        <v>0.0</v>
      </c>
      <c r="I2036" s="1">
        <v>4.33</v>
      </c>
    </row>
    <row r="2037">
      <c r="A2037" s="2" t="s">
        <v>12452</v>
      </c>
      <c r="B2037" s="1">
        <v>200.0</v>
      </c>
      <c r="C2037" s="1" t="s">
        <v>9212</v>
      </c>
      <c r="D2037" s="1" t="s">
        <v>609</v>
      </c>
      <c r="E2037" s="1" t="s">
        <v>631</v>
      </c>
      <c r="F2037" s="1">
        <v>0.0</v>
      </c>
      <c r="G2037" s="1">
        <v>1.0</v>
      </c>
      <c r="H2037" s="1">
        <v>0.0</v>
      </c>
      <c r="I2037" s="1">
        <v>9.0</v>
      </c>
    </row>
    <row r="2038">
      <c r="A2038" s="2" t="s">
        <v>12453</v>
      </c>
      <c r="B2038" s="1">
        <v>200.0</v>
      </c>
      <c r="C2038" s="1" t="s">
        <v>9011</v>
      </c>
      <c r="D2038" s="1" t="s">
        <v>609</v>
      </c>
      <c r="E2038" s="1" t="s">
        <v>631</v>
      </c>
    </row>
    <row r="2039">
      <c r="A2039" s="2" t="s">
        <v>12454</v>
      </c>
      <c r="B2039" s="1">
        <v>200.0</v>
      </c>
      <c r="C2039" s="1" t="s">
        <v>9011</v>
      </c>
      <c r="D2039" s="1" t="s">
        <v>609</v>
      </c>
      <c r="E2039" s="1" t="s">
        <v>631</v>
      </c>
      <c r="F2039" s="1">
        <v>1.0</v>
      </c>
      <c r="G2039" s="1">
        <v>4.0</v>
      </c>
      <c r="H2039" s="1">
        <v>0.25</v>
      </c>
      <c r="I2039" s="1">
        <v>1.75</v>
      </c>
    </row>
    <row r="2040">
      <c r="A2040" s="2" t="s">
        <v>12455</v>
      </c>
      <c r="B2040" s="1">
        <v>200.0</v>
      </c>
      <c r="C2040" s="1" t="s">
        <v>9838</v>
      </c>
      <c r="D2040" s="1" t="s">
        <v>609</v>
      </c>
      <c r="E2040" s="1" t="s">
        <v>631</v>
      </c>
    </row>
    <row r="2041">
      <c r="A2041" s="2" t="s">
        <v>12456</v>
      </c>
      <c r="B2041" s="1">
        <v>200.0</v>
      </c>
      <c r="C2041" s="1" t="s">
        <v>9011</v>
      </c>
      <c r="D2041" s="1" t="s">
        <v>609</v>
      </c>
      <c r="E2041" s="1" t="s">
        <v>631</v>
      </c>
    </row>
    <row r="2042">
      <c r="A2042" s="2" t="s">
        <v>12457</v>
      </c>
      <c r="B2042" s="1">
        <v>200.0</v>
      </c>
      <c r="C2042" s="1" t="s">
        <v>9011</v>
      </c>
      <c r="D2042" s="1" t="s">
        <v>609</v>
      </c>
      <c r="E2042" s="1" t="s">
        <v>631</v>
      </c>
      <c r="F2042" s="1">
        <v>0.0</v>
      </c>
      <c r="G2042" s="1">
        <v>13.0</v>
      </c>
      <c r="H2042" s="1">
        <v>0.0</v>
      </c>
      <c r="I2042" s="1">
        <v>7.15</v>
      </c>
    </row>
    <row r="2043">
      <c r="A2043" s="2" t="s">
        <v>12458</v>
      </c>
      <c r="B2043" s="1">
        <v>200.0</v>
      </c>
      <c r="C2043" s="1" t="s">
        <v>8986</v>
      </c>
      <c r="D2043" s="1" t="s">
        <v>609</v>
      </c>
      <c r="E2043" s="1" t="s">
        <v>631</v>
      </c>
    </row>
    <row r="2044">
      <c r="A2044" s="2" t="s">
        <v>12459</v>
      </c>
      <c r="B2044" s="1">
        <v>200.0</v>
      </c>
      <c r="C2044" s="1" t="s">
        <v>9007</v>
      </c>
      <c r="D2044" s="1" t="s">
        <v>609</v>
      </c>
      <c r="E2044" s="1" t="s">
        <v>631</v>
      </c>
      <c r="F2044" s="1">
        <v>0.0</v>
      </c>
      <c r="G2044" s="1">
        <v>1.0</v>
      </c>
      <c r="H2044" s="1">
        <v>0.0</v>
      </c>
      <c r="I2044" s="1">
        <v>1.0</v>
      </c>
    </row>
    <row r="2045">
      <c r="A2045" s="2" t="s">
        <v>12460</v>
      </c>
      <c r="B2045" s="1">
        <v>301.0</v>
      </c>
      <c r="D2045" s="1" t="s">
        <v>609</v>
      </c>
      <c r="E2045" s="1" t="s">
        <v>610</v>
      </c>
    </row>
    <row r="2046">
      <c r="A2046" s="2" t="s">
        <v>12461</v>
      </c>
      <c r="B2046" s="1">
        <v>301.0</v>
      </c>
      <c r="D2046" s="1" t="s">
        <v>609</v>
      </c>
      <c r="E2046" s="1" t="s">
        <v>610</v>
      </c>
    </row>
    <row r="2047">
      <c r="A2047" s="2" t="s">
        <v>12462</v>
      </c>
      <c r="B2047" s="1">
        <v>200.0</v>
      </c>
      <c r="C2047" s="1" t="s">
        <v>9212</v>
      </c>
      <c r="D2047" s="1" t="s">
        <v>609</v>
      </c>
      <c r="E2047" s="1" t="s">
        <v>631</v>
      </c>
      <c r="F2047" s="1">
        <v>0.0</v>
      </c>
      <c r="G2047" s="1">
        <v>2.0</v>
      </c>
      <c r="H2047" s="1">
        <v>0.0</v>
      </c>
      <c r="I2047" s="1">
        <v>11.0</v>
      </c>
    </row>
    <row r="2048">
      <c r="A2048" s="2" t="s">
        <v>12463</v>
      </c>
      <c r="B2048" s="1">
        <v>200.0</v>
      </c>
      <c r="C2048" s="1" t="s">
        <v>12464</v>
      </c>
      <c r="D2048" s="1" t="s">
        <v>583</v>
      </c>
      <c r="F2048" s="1">
        <v>1.0</v>
      </c>
      <c r="G2048" s="1">
        <v>308.0</v>
      </c>
      <c r="H2048" s="1">
        <v>0.003</v>
      </c>
      <c r="I2048" s="1">
        <v>6.29</v>
      </c>
    </row>
    <row r="2049">
      <c r="A2049" s="2" t="s">
        <v>12465</v>
      </c>
      <c r="B2049" s="1">
        <v>200.0</v>
      </c>
      <c r="C2049" s="1" t="s">
        <v>9840</v>
      </c>
      <c r="D2049" s="1" t="s">
        <v>609</v>
      </c>
      <c r="E2049" s="1" t="s">
        <v>631</v>
      </c>
    </row>
    <row r="2050">
      <c r="A2050" s="2" t="s">
        <v>12466</v>
      </c>
      <c r="B2050" s="1">
        <v>200.0</v>
      </c>
      <c r="C2050" s="1" t="s">
        <v>8986</v>
      </c>
      <c r="D2050" s="1" t="s">
        <v>609</v>
      </c>
      <c r="E2050" s="1" t="s">
        <v>631</v>
      </c>
    </row>
    <row r="2051">
      <c r="A2051" s="2" t="s">
        <v>12467</v>
      </c>
      <c r="B2051" s="1">
        <v>301.0</v>
      </c>
      <c r="D2051" s="1" t="s">
        <v>609</v>
      </c>
      <c r="E2051" s="1" t="s">
        <v>610</v>
      </c>
    </row>
    <row r="2052">
      <c r="A2052" s="2" t="s">
        <v>12468</v>
      </c>
      <c r="B2052" s="1">
        <v>200.0</v>
      </c>
      <c r="C2052" s="1" t="s">
        <v>9058</v>
      </c>
      <c r="D2052" s="1" t="s">
        <v>609</v>
      </c>
      <c r="E2052" s="1" t="s">
        <v>631</v>
      </c>
      <c r="F2052" s="1">
        <v>0.0</v>
      </c>
      <c r="G2052" s="1">
        <v>1.0</v>
      </c>
      <c r="H2052" s="1">
        <v>0.0</v>
      </c>
      <c r="I2052" s="1">
        <v>9.0</v>
      </c>
    </row>
    <row r="2053">
      <c r="A2053" s="2" t="s">
        <v>12469</v>
      </c>
      <c r="B2053" s="1">
        <v>200.0</v>
      </c>
      <c r="C2053" s="1" t="s">
        <v>12470</v>
      </c>
      <c r="D2053" s="1" t="s">
        <v>583</v>
      </c>
      <c r="F2053" s="1">
        <v>0.0</v>
      </c>
      <c r="G2053" s="1">
        <v>185.0</v>
      </c>
      <c r="H2053" s="1">
        <v>0.0</v>
      </c>
      <c r="I2053" s="1">
        <v>9.89</v>
      </c>
    </row>
    <row r="2054">
      <c r="A2054" s="2" t="s">
        <v>12471</v>
      </c>
      <c r="B2054" s="1">
        <v>301.0</v>
      </c>
      <c r="D2054" s="1" t="s">
        <v>609</v>
      </c>
      <c r="E2054" s="1" t="s">
        <v>610</v>
      </c>
    </row>
    <row r="2055">
      <c r="A2055" s="2" t="s">
        <v>12472</v>
      </c>
      <c r="B2055" s="1">
        <v>200.0</v>
      </c>
      <c r="C2055" s="1" t="s">
        <v>12473</v>
      </c>
      <c r="D2055" s="1" t="s">
        <v>583</v>
      </c>
      <c r="F2055" s="1">
        <v>0.0</v>
      </c>
      <c r="G2055" s="1">
        <v>6.0</v>
      </c>
      <c r="H2055" s="1">
        <v>0.0</v>
      </c>
      <c r="I2055" s="1">
        <v>4.17</v>
      </c>
    </row>
    <row r="2056">
      <c r="A2056" s="2" t="s">
        <v>12474</v>
      </c>
      <c r="B2056" s="1">
        <v>200.0</v>
      </c>
      <c r="C2056" s="1" t="s">
        <v>12475</v>
      </c>
      <c r="D2056" s="1" t="s">
        <v>583</v>
      </c>
    </row>
    <row r="2057">
      <c r="A2057" s="2" t="s">
        <v>12476</v>
      </c>
      <c r="B2057" s="1">
        <v>200.0</v>
      </c>
      <c r="C2057" s="1" t="s">
        <v>12477</v>
      </c>
      <c r="D2057" s="1" t="s">
        <v>583</v>
      </c>
      <c r="F2057" s="1">
        <v>25.0</v>
      </c>
      <c r="G2057" s="1">
        <v>7031.0</v>
      </c>
      <c r="H2057" s="1">
        <v>0.004</v>
      </c>
      <c r="I2057" s="1">
        <v>14.72</v>
      </c>
    </row>
    <row r="2058">
      <c r="A2058" s="2" t="s">
        <v>12478</v>
      </c>
      <c r="B2058" s="1">
        <v>200.0</v>
      </c>
      <c r="C2058" s="1" t="s">
        <v>8986</v>
      </c>
      <c r="D2058" s="1" t="s">
        <v>609</v>
      </c>
      <c r="E2058" s="1" t="s">
        <v>631</v>
      </c>
    </row>
    <row r="2059">
      <c r="A2059" s="2" t="s">
        <v>12479</v>
      </c>
      <c r="B2059" s="1">
        <v>200.0</v>
      </c>
      <c r="C2059" s="1" t="s">
        <v>11907</v>
      </c>
      <c r="D2059" s="1" t="s">
        <v>609</v>
      </c>
      <c r="E2059" s="1" t="s">
        <v>631</v>
      </c>
    </row>
    <row r="2060">
      <c r="A2060" s="2" t="s">
        <v>12480</v>
      </c>
      <c r="B2060" s="1">
        <v>200.0</v>
      </c>
      <c r="C2060" s="1" t="s">
        <v>11868</v>
      </c>
      <c r="D2060" s="1" t="s">
        <v>583</v>
      </c>
      <c r="F2060" s="1">
        <v>0.0</v>
      </c>
      <c r="G2060" s="1">
        <v>894.0</v>
      </c>
      <c r="H2060" s="1">
        <v>0.0</v>
      </c>
      <c r="I2060" s="1">
        <v>15.4</v>
      </c>
    </row>
    <row r="2061">
      <c r="A2061" s="2" t="s">
        <v>12481</v>
      </c>
      <c r="B2061" s="1">
        <v>200.0</v>
      </c>
      <c r="C2061" s="1" t="s">
        <v>12482</v>
      </c>
      <c r="D2061" s="1" t="s">
        <v>583</v>
      </c>
      <c r="F2061" s="1">
        <v>10.0</v>
      </c>
      <c r="G2061" s="1">
        <v>4638.0</v>
      </c>
      <c r="H2061" s="1">
        <v>0.002</v>
      </c>
      <c r="I2061" s="1">
        <v>8.31</v>
      </c>
    </row>
    <row r="2062">
      <c r="A2062" s="2" t="s">
        <v>12483</v>
      </c>
      <c r="B2062" s="1">
        <v>200.0</v>
      </c>
      <c r="C2062" s="1" t="s">
        <v>12484</v>
      </c>
      <c r="D2062" s="1" t="s">
        <v>583</v>
      </c>
      <c r="F2062" s="1">
        <v>0.0</v>
      </c>
      <c r="G2062" s="1">
        <v>45.0</v>
      </c>
      <c r="H2062" s="1">
        <v>0.0</v>
      </c>
      <c r="I2062" s="1">
        <v>64.53</v>
      </c>
    </row>
    <row r="2063">
      <c r="A2063" s="2" t="s">
        <v>12485</v>
      </c>
      <c r="B2063" s="1">
        <v>200.0</v>
      </c>
      <c r="C2063" s="1" t="s">
        <v>12486</v>
      </c>
      <c r="D2063" s="1" t="s">
        <v>583</v>
      </c>
      <c r="F2063" s="1">
        <v>16.0</v>
      </c>
      <c r="G2063" s="1">
        <v>1576.0</v>
      </c>
      <c r="H2063" s="1">
        <v>0.01</v>
      </c>
      <c r="I2063" s="1">
        <v>24.7</v>
      </c>
    </row>
    <row r="2064">
      <c r="A2064" s="2" t="s">
        <v>12487</v>
      </c>
      <c r="B2064" s="1">
        <v>200.0</v>
      </c>
      <c r="C2064" s="1" t="s">
        <v>12488</v>
      </c>
      <c r="D2064" s="1" t="s">
        <v>583</v>
      </c>
    </row>
    <row r="2065">
      <c r="A2065" s="2" t="s">
        <v>12489</v>
      </c>
      <c r="B2065" s="1">
        <v>200.0</v>
      </c>
      <c r="C2065" s="1" t="s">
        <v>11907</v>
      </c>
      <c r="D2065" s="1" t="s">
        <v>609</v>
      </c>
      <c r="E2065" s="1" t="s">
        <v>631</v>
      </c>
    </row>
    <row r="2066">
      <c r="A2066" s="2" t="s">
        <v>12490</v>
      </c>
      <c r="B2066" s="1">
        <v>200.0</v>
      </c>
      <c r="C2066" s="1" t="s">
        <v>12491</v>
      </c>
      <c r="D2066" s="1" t="s">
        <v>583</v>
      </c>
      <c r="F2066" s="1">
        <v>0.0</v>
      </c>
      <c r="G2066" s="1">
        <v>201.0</v>
      </c>
      <c r="H2066" s="1">
        <v>0.0</v>
      </c>
      <c r="I2066" s="1">
        <v>8.63</v>
      </c>
    </row>
    <row r="2067">
      <c r="A2067" s="2" t="s">
        <v>12492</v>
      </c>
      <c r="B2067" s="1">
        <v>200.0</v>
      </c>
      <c r="C2067" s="1" t="s">
        <v>12493</v>
      </c>
      <c r="D2067" s="1" t="s">
        <v>583</v>
      </c>
      <c r="F2067" s="1">
        <v>126.0</v>
      </c>
      <c r="G2067" s="1">
        <v>43700.0</v>
      </c>
      <c r="H2067" s="1">
        <v>0.003</v>
      </c>
      <c r="I2067" s="1">
        <v>4.84</v>
      </c>
    </row>
    <row r="2068">
      <c r="A2068" s="2" t="s">
        <v>12494</v>
      </c>
      <c r="B2068" s="1">
        <v>200.0</v>
      </c>
      <c r="C2068" s="1" t="s">
        <v>12495</v>
      </c>
      <c r="D2068" s="1" t="s">
        <v>583</v>
      </c>
      <c r="F2068" s="1">
        <v>0.0</v>
      </c>
      <c r="G2068" s="1">
        <v>10.0</v>
      </c>
      <c r="H2068" s="1">
        <v>0.0</v>
      </c>
      <c r="I2068" s="1">
        <v>1.9</v>
      </c>
    </row>
    <row r="2069">
      <c r="A2069" s="2" t="s">
        <v>12496</v>
      </c>
      <c r="B2069" s="1">
        <v>200.0</v>
      </c>
      <c r="C2069" s="1" t="s">
        <v>12497</v>
      </c>
      <c r="D2069" s="1" t="s">
        <v>583</v>
      </c>
      <c r="F2069" s="1">
        <v>18.0</v>
      </c>
      <c r="G2069" s="1">
        <v>2480.0</v>
      </c>
      <c r="H2069" s="1">
        <v>0.007</v>
      </c>
      <c r="I2069" s="1">
        <v>5.57</v>
      </c>
    </row>
    <row r="2070">
      <c r="A2070" s="2" t="s">
        <v>12498</v>
      </c>
      <c r="B2070" s="1">
        <v>200.0</v>
      </c>
      <c r="C2070" s="1" t="s">
        <v>12499</v>
      </c>
      <c r="D2070" s="1" t="s">
        <v>583</v>
      </c>
      <c r="F2070" s="1">
        <v>1.0</v>
      </c>
      <c r="G2070" s="1">
        <v>486.0</v>
      </c>
      <c r="H2070" s="1">
        <v>0.002</v>
      </c>
      <c r="I2070" s="1">
        <v>10.3</v>
      </c>
    </row>
    <row r="2071">
      <c r="A2071" s="2" t="s">
        <v>12500</v>
      </c>
      <c r="B2071" s="1">
        <v>404.0</v>
      </c>
      <c r="D2071" s="1" t="s">
        <v>609</v>
      </c>
      <c r="E2071" s="1" t="s">
        <v>902</v>
      </c>
    </row>
    <row r="2072">
      <c r="A2072" s="2" t="s">
        <v>12501</v>
      </c>
      <c r="B2072" s="1">
        <v>200.0</v>
      </c>
      <c r="C2072" s="1" t="s">
        <v>12502</v>
      </c>
      <c r="D2072" s="1" t="s">
        <v>583</v>
      </c>
      <c r="F2072" s="1">
        <v>0.0</v>
      </c>
      <c r="G2072" s="1">
        <v>5.0</v>
      </c>
      <c r="H2072" s="1">
        <v>0.0</v>
      </c>
      <c r="I2072" s="1">
        <v>24.2</v>
      </c>
    </row>
    <row r="2073">
      <c r="A2073" s="2" t="s">
        <v>12503</v>
      </c>
      <c r="B2073" s="1">
        <v>200.0</v>
      </c>
      <c r="C2073" s="1" t="s">
        <v>12504</v>
      </c>
      <c r="D2073" s="1" t="s">
        <v>583</v>
      </c>
    </row>
    <row r="2074">
      <c r="A2074" s="2" t="s">
        <v>12505</v>
      </c>
      <c r="B2074" s="1">
        <v>200.0</v>
      </c>
      <c r="C2074" s="1" t="s">
        <v>12506</v>
      </c>
      <c r="D2074" s="1" t="s">
        <v>583</v>
      </c>
      <c r="F2074" s="1">
        <v>0.0</v>
      </c>
      <c r="G2074" s="1">
        <v>26.0</v>
      </c>
      <c r="H2074" s="1">
        <v>0.0</v>
      </c>
      <c r="I2074" s="1">
        <v>9.19</v>
      </c>
    </row>
    <row r="2075">
      <c r="A2075" s="2" t="s">
        <v>12507</v>
      </c>
      <c r="B2075" s="1">
        <v>301.0</v>
      </c>
      <c r="D2075" s="1" t="s">
        <v>609</v>
      </c>
      <c r="E2075" s="1" t="s">
        <v>610</v>
      </c>
    </row>
    <row r="2076">
      <c r="A2076" s="2" t="s">
        <v>12508</v>
      </c>
      <c r="B2076" s="1">
        <v>200.0</v>
      </c>
      <c r="C2076" s="1" t="s">
        <v>12509</v>
      </c>
      <c r="D2076" s="1" t="s">
        <v>583</v>
      </c>
    </row>
    <row r="2077">
      <c r="A2077" s="2" t="s">
        <v>12510</v>
      </c>
      <c r="B2077" s="1">
        <v>200.0</v>
      </c>
      <c r="C2077" s="1" t="s">
        <v>12511</v>
      </c>
      <c r="D2077" s="1" t="s">
        <v>583</v>
      </c>
      <c r="F2077" s="1">
        <v>1.0</v>
      </c>
      <c r="G2077" s="1">
        <v>11.0</v>
      </c>
      <c r="H2077" s="1">
        <v>0.091</v>
      </c>
      <c r="I2077" s="1">
        <v>16.82</v>
      </c>
    </row>
    <row r="2078">
      <c r="A2078" s="2" t="s">
        <v>12512</v>
      </c>
      <c r="B2078" s="1">
        <v>200.0</v>
      </c>
      <c r="C2078" s="1" t="s">
        <v>12513</v>
      </c>
      <c r="D2078" s="1" t="s">
        <v>583</v>
      </c>
      <c r="F2078" s="1">
        <v>0.0</v>
      </c>
      <c r="G2078" s="1">
        <v>7.0</v>
      </c>
      <c r="H2078" s="1">
        <v>0.0</v>
      </c>
      <c r="I2078" s="1">
        <v>8.29</v>
      </c>
    </row>
    <row r="2079">
      <c r="A2079" s="2" t="s">
        <v>12514</v>
      </c>
      <c r="B2079" s="1">
        <v>200.0</v>
      </c>
      <c r="C2079" s="1" t="s">
        <v>12515</v>
      </c>
      <c r="D2079" s="1" t="s">
        <v>583</v>
      </c>
      <c r="F2079" s="1">
        <v>0.0</v>
      </c>
      <c r="G2079" s="1">
        <v>5.0</v>
      </c>
      <c r="H2079" s="1">
        <v>0.0</v>
      </c>
      <c r="I2079" s="1">
        <v>5.8</v>
      </c>
    </row>
    <row r="2080">
      <c r="A2080" s="2" t="s">
        <v>12516</v>
      </c>
      <c r="B2080" s="1">
        <v>200.0</v>
      </c>
      <c r="C2080" s="1" t="s">
        <v>12517</v>
      </c>
      <c r="D2080" s="1" t="s">
        <v>583</v>
      </c>
      <c r="F2080" s="1">
        <v>0.0</v>
      </c>
      <c r="G2080" s="1">
        <v>2.0</v>
      </c>
      <c r="H2080" s="1">
        <v>0.0</v>
      </c>
      <c r="I2080" s="1">
        <v>9.5</v>
      </c>
    </row>
    <row r="2081">
      <c r="A2081" s="2" t="s">
        <v>12518</v>
      </c>
      <c r="B2081" s="1">
        <v>200.0</v>
      </c>
      <c r="C2081" s="1" t="s">
        <v>12519</v>
      </c>
      <c r="D2081" s="1" t="s">
        <v>583</v>
      </c>
      <c r="F2081" s="1">
        <v>0.0</v>
      </c>
      <c r="G2081" s="1">
        <v>115.0</v>
      </c>
      <c r="H2081" s="1">
        <v>0.0</v>
      </c>
      <c r="I2081" s="1">
        <v>11.31</v>
      </c>
    </row>
    <row r="2082">
      <c r="A2082" s="2" t="s">
        <v>12520</v>
      </c>
      <c r="B2082" s="1">
        <v>200.0</v>
      </c>
      <c r="C2082" s="1" t="s">
        <v>12521</v>
      </c>
      <c r="D2082" s="1" t="s">
        <v>583</v>
      </c>
      <c r="F2082" s="1">
        <v>1.0</v>
      </c>
      <c r="G2082" s="1">
        <v>540.0</v>
      </c>
      <c r="H2082" s="1">
        <v>0.002</v>
      </c>
      <c r="I2082" s="1">
        <v>9.08</v>
      </c>
    </row>
    <row r="2083">
      <c r="A2083" s="2" t="s">
        <v>12522</v>
      </c>
      <c r="B2083" s="1">
        <v>200.0</v>
      </c>
      <c r="C2083" s="1" t="s">
        <v>12523</v>
      </c>
      <c r="D2083" s="1" t="s">
        <v>583</v>
      </c>
      <c r="F2083" s="1">
        <v>10.0</v>
      </c>
      <c r="G2083" s="1">
        <v>698.0</v>
      </c>
      <c r="H2083" s="1">
        <v>0.014</v>
      </c>
      <c r="I2083" s="1">
        <v>10.63</v>
      </c>
    </row>
    <row r="2084">
      <c r="A2084" s="2" t="s">
        <v>12524</v>
      </c>
      <c r="B2084" s="1">
        <v>301.0</v>
      </c>
      <c r="D2084" s="1" t="s">
        <v>609</v>
      </c>
      <c r="E2084" s="1" t="s">
        <v>610</v>
      </c>
    </row>
    <row r="2085">
      <c r="A2085" s="2" t="s">
        <v>12525</v>
      </c>
      <c r="B2085" s="1">
        <v>301.0</v>
      </c>
      <c r="D2085" s="1" t="s">
        <v>609</v>
      </c>
      <c r="E2085" s="1" t="s">
        <v>610</v>
      </c>
    </row>
    <row r="2086">
      <c r="A2086" s="2" t="s">
        <v>12526</v>
      </c>
      <c r="B2086" s="1">
        <v>200.0</v>
      </c>
      <c r="C2086" s="1" t="s">
        <v>12527</v>
      </c>
      <c r="D2086" s="1" t="s">
        <v>583</v>
      </c>
      <c r="F2086" s="1">
        <v>0.0</v>
      </c>
      <c r="G2086" s="1">
        <v>4.0</v>
      </c>
      <c r="H2086" s="1">
        <v>0.0</v>
      </c>
      <c r="I2086" s="1">
        <v>41.75</v>
      </c>
    </row>
    <row r="2087">
      <c r="A2087" s="2" t="s">
        <v>12528</v>
      </c>
      <c r="B2087" s="1">
        <v>200.0</v>
      </c>
      <c r="C2087" s="1" t="s">
        <v>12529</v>
      </c>
      <c r="D2087" s="1" t="s">
        <v>583</v>
      </c>
      <c r="F2087" s="1">
        <v>0.0</v>
      </c>
      <c r="G2087" s="1">
        <v>296.0</v>
      </c>
      <c r="H2087" s="1">
        <v>0.0</v>
      </c>
      <c r="I2087" s="1">
        <v>44.8</v>
      </c>
    </row>
    <row r="2088">
      <c r="A2088" s="2" t="s">
        <v>12530</v>
      </c>
      <c r="B2088" s="1">
        <v>200.0</v>
      </c>
      <c r="C2088" s="1" t="s">
        <v>12531</v>
      </c>
      <c r="D2088" s="1" t="s">
        <v>583</v>
      </c>
      <c r="F2088" s="1">
        <v>2.0</v>
      </c>
      <c r="G2088" s="1">
        <v>215.0</v>
      </c>
      <c r="H2088" s="1">
        <v>0.009</v>
      </c>
      <c r="I2088" s="1">
        <v>5.32</v>
      </c>
    </row>
    <row r="2089">
      <c r="A2089" s="2" t="s">
        <v>12532</v>
      </c>
      <c r="B2089" s="1">
        <v>200.0</v>
      </c>
      <c r="C2089" s="1" t="s">
        <v>9058</v>
      </c>
      <c r="D2089" s="1" t="s">
        <v>609</v>
      </c>
      <c r="E2089" s="1" t="s">
        <v>631</v>
      </c>
      <c r="F2089" s="1">
        <v>0.0</v>
      </c>
      <c r="G2089" s="1">
        <v>2.0</v>
      </c>
      <c r="H2089" s="1">
        <v>0.0</v>
      </c>
      <c r="I2089" s="1">
        <v>4.5</v>
      </c>
    </row>
    <row r="2090">
      <c r="A2090" s="2" t="s">
        <v>12533</v>
      </c>
      <c r="B2090" s="1">
        <v>200.0</v>
      </c>
      <c r="C2090" s="1" t="s">
        <v>9840</v>
      </c>
      <c r="D2090" s="1" t="s">
        <v>609</v>
      </c>
      <c r="E2090" s="1" t="s">
        <v>631</v>
      </c>
      <c r="F2090" s="1">
        <v>0.0</v>
      </c>
      <c r="G2090" s="1">
        <v>4.0</v>
      </c>
      <c r="H2090" s="1">
        <v>0.0</v>
      </c>
      <c r="I2090" s="1">
        <v>5.5</v>
      </c>
    </row>
    <row r="2091">
      <c r="A2091" s="2" t="s">
        <v>12534</v>
      </c>
      <c r="B2091" s="1">
        <v>301.0</v>
      </c>
      <c r="D2091" s="1" t="s">
        <v>609</v>
      </c>
      <c r="E2091" s="1" t="s">
        <v>610</v>
      </c>
    </row>
    <row r="2092">
      <c r="A2092" s="2" t="s">
        <v>12535</v>
      </c>
      <c r="B2092" s="1">
        <v>301.0</v>
      </c>
      <c r="D2092" s="1" t="s">
        <v>609</v>
      </c>
      <c r="E2092" s="1" t="s">
        <v>610</v>
      </c>
    </row>
    <row r="2093">
      <c r="A2093" s="2" t="s">
        <v>12536</v>
      </c>
      <c r="B2093" s="1">
        <v>200.0</v>
      </c>
      <c r="C2093" s="1" t="s">
        <v>8986</v>
      </c>
      <c r="D2093" s="1" t="s">
        <v>609</v>
      </c>
      <c r="E2093" s="1" t="s">
        <v>631</v>
      </c>
    </row>
    <row r="2094">
      <c r="A2094" s="2" t="s">
        <v>12537</v>
      </c>
      <c r="B2094" s="1">
        <v>200.0</v>
      </c>
      <c r="C2094" s="1" t="s">
        <v>9011</v>
      </c>
      <c r="D2094" s="1" t="s">
        <v>609</v>
      </c>
      <c r="E2094" s="1" t="s">
        <v>631</v>
      </c>
      <c r="F2094" s="1">
        <v>0.0</v>
      </c>
      <c r="G2094" s="1">
        <v>1.0</v>
      </c>
      <c r="H2094" s="1">
        <v>0.0</v>
      </c>
      <c r="I2094" s="1">
        <v>8.0</v>
      </c>
    </row>
    <row r="2095">
      <c r="A2095" s="2" t="s">
        <v>12538</v>
      </c>
      <c r="B2095" s="1">
        <v>200.0</v>
      </c>
      <c r="C2095" s="1" t="s">
        <v>9011</v>
      </c>
      <c r="D2095" s="1" t="s">
        <v>609</v>
      </c>
      <c r="E2095" s="1" t="s">
        <v>631</v>
      </c>
      <c r="F2095" s="1">
        <v>0.0</v>
      </c>
      <c r="G2095" s="1">
        <v>5.0</v>
      </c>
      <c r="H2095" s="1">
        <v>0.0</v>
      </c>
      <c r="I2095" s="1">
        <v>17.6</v>
      </c>
    </row>
    <row r="2096">
      <c r="A2096" s="2" t="s">
        <v>12539</v>
      </c>
      <c r="B2096" s="1">
        <v>200.0</v>
      </c>
      <c r="C2096" s="1" t="s">
        <v>9011</v>
      </c>
      <c r="D2096" s="1" t="s">
        <v>609</v>
      </c>
      <c r="E2096" s="1" t="s">
        <v>631</v>
      </c>
    </row>
    <row r="2097">
      <c r="A2097" s="2" t="s">
        <v>12540</v>
      </c>
      <c r="B2097" s="1">
        <v>200.0</v>
      </c>
      <c r="C2097" s="1" t="s">
        <v>9212</v>
      </c>
      <c r="D2097" s="1" t="s">
        <v>609</v>
      </c>
      <c r="E2097" s="1" t="s">
        <v>631</v>
      </c>
      <c r="F2097" s="1">
        <v>0.0</v>
      </c>
      <c r="G2097" s="1">
        <v>1.0</v>
      </c>
      <c r="H2097" s="1">
        <v>0.0</v>
      </c>
      <c r="I2097" s="1">
        <v>2.0</v>
      </c>
    </row>
    <row r="2098">
      <c r="A2098" s="2" t="s">
        <v>12541</v>
      </c>
      <c r="B2098" s="1">
        <v>200.0</v>
      </c>
      <c r="C2098" s="1" t="s">
        <v>9007</v>
      </c>
      <c r="D2098" s="1" t="s">
        <v>609</v>
      </c>
      <c r="E2098" s="1" t="s">
        <v>631</v>
      </c>
    </row>
    <row r="2099">
      <c r="A2099" s="2" t="s">
        <v>12542</v>
      </c>
      <c r="B2099" s="1">
        <v>200.0</v>
      </c>
      <c r="C2099" s="1" t="s">
        <v>9007</v>
      </c>
      <c r="D2099" s="1" t="s">
        <v>609</v>
      </c>
      <c r="E2099" s="1" t="s">
        <v>631</v>
      </c>
    </row>
    <row r="2100">
      <c r="A2100" s="2" t="s">
        <v>12543</v>
      </c>
      <c r="B2100" s="1">
        <v>200.0</v>
      </c>
      <c r="C2100" s="1" t="s">
        <v>12544</v>
      </c>
      <c r="D2100" s="1" t="s">
        <v>583</v>
      </c>
      <c r="F2100" s="1">
        <v>41.0</v>
      </c>
      <c r="G2100" s="1">
        <v>1266.0</v>
      </c>
      <c r="H2100" s="1">
        <v>0.032</v>
      </c>
      <c r="I2100" s="1">
        <v>9.33</v>
      </c>
    </row>
    <row r="2101">
      <c r="A2101" s="2" t="s">
        <v>12545</v>
      </c>
      <c r="B2101" s="1">
        <v>200.0</v>
      </c>
      <c r="C2101" s="1" t="s">
        <v>11907</v>
      </c>
      <c r="D2101" s="1" t="s">
        <v>609</v>
      </c>
      <c r="E2101" s="1" t="s">
        <v>631</v>
      </c>
    </row>
    <row r="2102">
      <c r="A2102" s="2" t="s">
        <v>12546</v>
      </c>
      <c r="B2102" s="1">
        <v>200.0</v>
      </c>
      <c r="C2102" s="1" t="s">
        <v>12547</v>
      </c>
      <c r="D2102" s="1" t="s">
        <v>583</v>
      </c>
      <c r="F2102" s="1">
        <v>16.0</v>
      </c>
      <c r="G2102" s="1">
        <v>582.0</v>
      </c>
      <c r="H2102" s="1">
        <v>0.028</v>
      </c>
      <c r="I2102" s="1">
        <v>4.01</v>
      </c>
    </row>
    <row r="2103">
      <c r="A2103" s="2" t="s">
        <v>12548</v>
      </c>
      <c r="B2103" s="1">
        <v>200.0</v>
      </c>
      <c r="C2103" s="1" t="s">
        <v>12549</v>
      </c>
      <c r="D2103" s="1" t="s">
        <v>583</v>
      </c>
      <c r="F2103" s="1">
        <v>52.0</v>
      </c>
      <c r="G2103" s="1">
        <v>3348.0</v>
      </c>
      <c r="H2103" s="1">
        <v>0.015</v>
      </c>
      <c r="I2103" s="1">
        <v>3.33</v>
      </c>
    </row>
    <row r="2104">
      <c r="A2104" s="2" t="s">
        <v>12550</v>
      </c>
      <c r="B2104" s="1">
        <v>200.0</v>
      </c>
      <c r="C2104" s="1" t="s">
        <v>8986</v>
      </c>
      <c r="D2104" s="1" t="s">
        <v>609</v>
      </c>
      <c r="E2104" s="1" t="s">
        <v>631</v>
      </c>
    </row>
    <row r="2105">
      <c r="A2105" s="2" t="s">
        <v>12551</v>
      </c>
      <c r="B2105" s="1">
        <v>200.0</v>
      </c>
      <c r="C2105" s="1" t="s">
        <v>12552</v>
      </c>
      <c r="D2105" s="1" t="s">
        <v>583</v>
      </c>
      <c r="F2105" s="1">
        <v>1.0</v>
      </c>
      <c r="G2105" s="1">
        <v>344.0</v>
      </c>
      <c r="H2105" s="1">
        <v>0.003</v>
      </c>
      <c r="I2105" s="1">
        <v>15.03</v>
      </c>
    </row>
    <row r="2106">
      <c r="A2106" s="2" t="s">
        <v>12553</v>
      </c>
      <c r="B2106" s="1">
        <v>200.0</v>
      </c>
      <c r="C2106" s="1" t="s">
        <v>9007</v>
      </c>
      <c r="D2106" s="1" t="s">
        <v>609</v>
      </c>
      <c r="E2106" s="1" t="s">
        <v>631</v>
      </c>
    </row>
    <row r="2107">
      <c r="A2107" s="2" t="s">
        <v>12554</v>
      </c>
      <c r="B2107" s="1">
        <v>200.0</v>
      </c>
      <c r="C2107" s="1" t="s">
        <v>8986</v>
      </c>
      <c r="D2107" s="1" t="s">
        <v>609</v>
      </c>
      <c r="E2107" s="1" t="s">
        <v>631</v>
      </c>
    </row>
    <row r="2108">
      <c r="A2108" s="2" t="s">
        <v>12555</v>
      </c>
      <c r="B2108" s="1">
        <v>200.0</v>
      </c>
      <c r="C2108" s="1" t="s">
        <v>9007</v>
      </c>
      <c r="D2108" s="1" t="s">
        <v>609</v>
      </c>
      <c r="E2108" s="1" t="s">
        <v>631</v>
      </c>
    </row>
    <row r="2109">
      <c r="A2109" s="2" t="s">
        <v>12556</v>
      </c>
      <c r="B2109" s="1">
        <v>200.0</v>
      </c>
      <c r="C2109" s="1" t="s">
        <v>9011</v>
      </c>
      <c r="D2109" s="1" t="s">
        <v>609</v>
      </c>
      <c r="E2109" s="1" t="s">
        <v>631</v>
      </c>
      <c r="F2109" s="1">
        <v>0.0</v>
      </c>
      <c r="G2109" s="1">
        <v>4.0</v>
      </c>
      <c r="H2109" s="1">
        <v>0.0</v>
      </c>
      <c r="I2109" s="1">
        <v>8.75</v>
      </c>
    </row>
    <row r="2110">
      <c r="A2110" s="2" t="s">
        <v>12557</v>
      </c>
      <c r="B2110" s="1">
        <v>200.0</v>
      </c>
      <c r="C2110" s="1" t="s">
        <v>8986</v>
      </c>
      <c r="D2110" s="1" t="s">
        <v>609</v>
      </c>
      <c r="E2110" s="1" t="s">
        <v>631</v>
      </c>
    </row>
    <row r="2111">
      <c r="A2111" s="2" t="s">
        <v>12558</v>
      </c>
      <c r="B2111" s="1">
        <v>200.0</v>
      </c>
      <c r="C2111" s="1" t="s">
        <v>9840</v>
      </c>
      <c r="D2111" s="1" t="s">
        <v>609</v>
      </c>
      <c r="E2111" s="1" t="s">
        <v>631</v>
      </c>
    </row>
    <row r="2112">
      <c r="A2112" s="2" t="s">
        <v>12559</v>
      </c>
      <c r="B2112" s="1">
        <v>200.0</v>
      </c>
      <c r="C2112" s="1" t="s">
        <v>9212</v>
      </c>
      <c r="D2112" s="1" t="s">
        <v>609</v>
      </c>
      <c r="E2112" s="1" t="s">
        <v>631</v>
      </c>
    </row>
    <row r="2113">
      <c r="A2113" s="2" t="s">
        <v>12560</v>
      </c>
      <c r="B2113" s="1">
        <v>200.0</v>
      </c>
      <c r="C2113" s="1" t="s">
        <v>9842</v>
      </c>
      <c r="D2113" s="1" t="s">
        <v>609</v>
      </c>
      <c r="E2113" s="1" t="s">
        <v>631</v>
      </c>
      <c r="F2113" s="1">
        <v>0.0</v>
      </c>
      <c r="G2113" s="1">
        <v>25.0</v>
      </c>
      <c r="H2113" s="1">
        <v>0.0</v>
      </c>
      <c r="I2113" s="1">
        <v>25.36</v>
      </c>
    </row>
    <row r="2114">
      <c r="A2114" s="2" t="s">
        <v>12561</v>
      </c>
      <c r="B2114" s="1">
        <v>200.0</v>
      </c>
      <c r="C2114" s="1" t="s">
        <v>9838</v>
      </c>
      <c r="D2114" s="1" t="s">
        <v>609</v>
      </c>
      <c r="E2114" s="1" t="s">
        <v>631</v>
      </c>
    </row>
    <row r="2115">
      <c r="A2115" s="2" t="s">
        <v>12562</v>
      </c>
      <c r="B2115" s="1">
        <v>200.0</v>
      </c>
      <c r="C2115" s="1" t="s">
        <v>9212</v>
      </c>
      <c r="D2115" s="1" t="s">
        <v>609</v>
      </c>
      <c r="E2115" s="1" t="s">
        <v>631</v>
      </c>
    </row>
    <row r="2116">
      <c r="A2116" s="2" t="s">
        <v>12563</v>
      </c>
      <c r="B2116" s="1">
        <v>200.0</v>
      </c>
      <c r="C2116" s="1" t="s">
        <v>9838</v>
      </c>
      <c r="D2116" s="1" t="s">
        <v>609</v>
      </c>
      <c r="E2116" s="1" t="s">
        <v>631</v>
      </c>
    </row>
    <row r="2117">
      <c r="A2117" s="2" t="s">
        <v>12564</v>
      </c>
      <c r="B2117" s="1">
        <v>200.0</v>
      </c>
      <c r="C2117" s="1" t="s">
        <v>9212</v>
      </c>
      <c r="D2117" s="1" t="s">
        <v>609</v>
      </c>
      <c r="E2117" s="1" t="s">
        <v>631</v>
      </c>
      <c r="F2117" s="1">
        <v>0.0</v>
      </c>
      <c r="G2117" s="1">
        <v>2.0</v>
      </c>
      <c r="H2117" s="1">
        <v>0.0</v>
      </c>
      <c r="I2117" s="1">
        <v>23.5</v>
      </c>
    </row>
    <row r="2118">
      <c r="A2118" s="2" t="s">
        <v>12565</v>
      </c>
      <c r="B2118" s="1">
        <v>200.0</v>
      </c>
      <c r="C2118" s="1" t="s">
        <v>9838</v>
      </c>
      <c r="D2118" s="1" t="s">
        <v>609</v>
      </c>
      <c r="E2118" s="1" t="s">
        <v>631</v>
      </c>
      <c r="F2118" s="1">
        <v>0.0</v>
      </c>
      <c r="G2118" s="1">
        <v>1.0</v>
      </c>
      <c r="H2118" s="1">
        <v>0.0</v>
      </c>
      <c r="I2118" s="1">
        <v>12.0</v>
      </c>
    </row>
    <row r="2119">
      <c r="A2119" s="2" t="s">
        <v>12566</v>
      </c>
      <c r="B2119" s="1">
        <v>200.0</v>
      </c>
      <c r="C2119" s="1" t="s">
        <v>9844</v>
      </c>
      <c r="D2119" s="1" t="s">
        <v>609</v>
      </c>
      <c r="E2119" s="1" t="s">
        <v>631</v>
      </c>
    </row>
    <row r="2120">
      <c r="A2120" s="2" t="s">
        <v>12567</v>
      </c>
      <c r="B2120" s="1">
        <v>200.0</v>
      </c>
      <c r="C2120" s="1" t="s">
        <v>9840</v>
      </c>
      <c r="D2120" s="1" t="s">
        <v>609</v>
      </c>
      <c r="E2120" s="1" t="s">
        <v>631</v>
      </c>
      <c r="F2120" s="1">
        <v>0.0</v>
      </c>
      <c r="G2120" s="1">
        <v>10.0</v>
      </c>
      <c r="H2120" s="1">
        <v>0.0</v>
      </c>
      <c r="I2120" s="1">
        <v>18.4</v>
      </c>
    </row>
    <row r="2121">
      <c r="A2121" s="2" t="s">
        <v>12568</v>
      </c>
      <c r="B2121" s="1">
        <v>200.0</v>
      </c>
      <c r="C2121" s="1" t="s">
        <v>9838</v>
      </c>
      <c r="D2121" s="1" t="s">
        <v>609</v>
      </c>
      <c r="E2121" s="1" t="s">
        <v>631</v>
      </c>
    </row>
    <row r="2122">
      <c r="A2122" s="2" t="s">
        <v>12569</v>
      </c>
      <c r="B2122" s="1">
        <v>200.0</v>
      </c>
      <c r="C2122" s="1" t="s">
        <v>9840</v>
      </c>
      <c r="D2122" s="1" t="s">
        <v>609</v>
      </c>
      <c r="E2122" s="1" t="s">
        <v>631</v>
      </c>
    </row>
    <row r="2123">
      <c r="A2123" s="2" t="s">
        <v>12570</v>
      </c>
      <c r="B2123" s="1">
        <v>200.0</v>
      </c>
      <c r="C2123" s="1" t="s">
        <v>9844</v>
      </c>
      <c r="D2123" s="1" t="s">
        <v>609</v>
      </c>
      <c r="E2123" s="1" t="s">
        <v>631</v>
      </c>
    </row>
    <row r="2124">
      <c r="A2124" s="2" t="s">
        <v>12571</v>
      </c>
      <c r="B2124" s="1">
        <v>200.0</v>
      </c>
      <c r="C2124" s="1" t="s">
        <v>9844</v>
      </c>
      <c r="D2124" s="1" t="s">
        <v>609</v>
      </c>
      <c r="E2124" s="1" t="s">
        <v>631</v>
      </c>
    </row>
    <row r="2125">
      <c r="A2125" s="2" t="s">
        <v>12572</v>
      </c>
      <c r="B2125" s="1">
        <v>200.0</v>
      </c>
      <c r="C2125" s="1" t="s">
        <v>9844</v>
      </c>
      <c r="D2125" s="1" t="s">
        <v>609</v>
      </c>
      <c r="E2125" s="1" t="s">
        <v>631</v>
      </c>
      <c r="F2125" s="1">
        <v>0.0</v>
      </c>
      <c r="G2125" s="1">
        <v>2.0</v>
      </c>
      <c r="H2125" s="1">
        <v>0.0</v>
      </c>
      <c r="I2125" s="1">
        <v>43.5</v>
      </c>
    </row>
    <row r="2126">
      <c r="A2126" s="2" t="s">
        <v>12573</v>
      </c>
      <c r="B2126" s="1">
        <v>200.0</v>
      </c>
      <c r="C2126" s="1" t="s">
        <v>9886</v>
      </c>
      <c r="D2126" s="1" t="s">
        <v>609</v>
      </c>
      <c r="E2126" s="1" t="s">
        <v>631</v>
      </c>
      <c r="F2126" s="1">
        <v>0.0</v>
      </c>
      <c r="G2126" s="1">
        <v>19.0</v>
      </c>
      <c r="H2126" s="1">
        <v>0.0</v>
      </c>
      <c r="I2126" s="1">
        <v>2.47</v>
      </c>
    </row>
    <row r="2127">
      <c r="A2127" s="2" t="s">
        <v>12574</v>
      </c>
      <c r="B2127" s="1">
        <v>200.0</v>
      </c>
      <c r="C2127" s="1" t="s">
        <v>9850</v>
      </c>
      <c r="D2127" s="1" t="s">
        <v>609</v>
      </c>
      <c r="E2127" s="1" t="s">
        <v>631</v>
      </c>
      <c r="F2127" s="1">
        <v>0.0</v>
      </c>
      <c r="G2127" s="1">
        <v>4.0</v>
      </c>
      <c r="H2127" s="1">
        <v>0.0</v>
      </c>
      <c r="I2127" s="1">
        <v>7.5</v>
      </c>
    </row>
    <row r="2128">
      <c r="A2128" s="2" t="s">
        <v>12575</v>
      </c>
      <c r="B2128" s="1">
        <v>200.0</v>
      </c>
      <c r="C2128" s="1" t="s">
        <v>9860</v>
      </c>
      <c r="D2128" s="1" t="s">
        <v>609</v>
      </c>
      <c r="E2128" s="1" t="s">
        <v>631</v>
      </c>
    </row>
    <row r="2129">
      <c r="A2129" s="2" t="s">
        <v>12576</v>
      </c>
      <c r="B2129" s="1">
        <v>200.0</v>
      </c>
      <c r="C2129" s="1" t="s">
        <v>9850</v>
      </c>
      <c r="D2129" s="1" t="s">
        <v>609</v>
      </c>
      <c r="E2129" s="1" t="s">
        <v>631</v>
      </c>
      <c r="F2129" s="1">
        <v>0.0</v>
      </c>
      <c r="G2129" s="1">
        <v>7.0</v>
      </c>
      <c r="H2129" s="1">
        <v>0.0</v>
      </c>
      <c r="I2129" s="1">
        <v>3.14</v>
      </c>
    </row>
    <row r="2130">
      <c r="A2130" s="2" t="s">
        <v>12577</v>
      </c>
      <c r="B2130" s="1">
        <v>200.0</v>
      </c>
      <c r="C2130" s="1" t="s">
        <v>9860</v>
      </c>
      <c r="D2130" s="1" t="s">
        <v>609</v>
      </c>
      <c r="E2130" s="1" t="s">
        <v>631</v>
      </c>
    </row>
    <row r="2131">
      <c r="A2131" s="2" t="s">
        <v>12578</v>
      </c>
      <c r="B2131" s="1">
        <v>200.0</v>
      </c>
      <c r="C2131" s="1" t="s">
        <v>9842</v>
      </c>
      <c r="D2131" s="1" t="s">
        <v>609</v>
      </c>
      <c r="E2131" s="1" t="s">
        <v>631</v>
      </c>
      <c r="F2131" s="1">
        <v>0.0</v>
      </c>
      <c r="G2131" s="1">
        <v>2.0</v>
      </c>
      <c r="H2131" s="1">
        <v>0.0</v>
      </c>
      <c r="I2131" s="1">
        <v>45.5</v>
      </c>
    </row>
    <row r="2132">
      <c r="A2132" s="2" t="s">
        <v>12579</v>
      </c>
      <c r="B2132" s="1">
        <v>200.0</v>
      </c>
      <c r="C2132" s="1" t="s">
        <v>9860</v>
      </c>
      <c r="D2132" s="1" t="s">
        <v>609</v>
      </c>
      <c r="E2132" s="1" t="s">
        <v>631</v>
      </c>
      <c r="F2132" s="1">
        <v>0.0</v>
      </c>
      <c r="G2132" s="1">
        <v>4.0</v>
      </c>
      <c r="H2132" s="1">
        <v>0.0</v>
      </c>
      <c r="I2132" s="1">
        <v>19.25</v>
      </c>
    </row>
    <row r="2133">
      <c r="A2133" s="2" t="s">
        <v>12580</v>
      </c>
      <c r="B2133" s="1">
        <v>200.0</v>
      </c>
      <c r="C2133" s="1" t="s">
        <v>9842</v>
      </c>
      <c r="D2133" s="1" t="s">
        <v>609</v>
      </c>
      <c r="E2133" s="1" t="s">
        <v>631</v>
      </c>
      <c r="F2133" s="1">
        <v>0.0</v>
      </c>
      <c r="G2133" s="1">
        <v>1.0</v>
      </c>
      <c r="H2133" s="1">
        <v>0.0</v>
      </c>
      <c r="I2133" s="1">
        <v>7.0</v>
      </c>
    </row>
    <row r="2134">
      <c r="A2134" s="2" t="s">
        <v>12581</v>
      </c>
      <c r="B2134" s="1">
        <v>200.0</v>
      </c>
      <c r="C2134" s="1" t="s">
        <v>9850</v>
      </c>
      <c r="D2134" s="1" t="s">
        <v>609</v>
      </c>
      <c r="E2134" s="1" t="s">
        <v>631</v>
      </c>
      <c r="F2134" s="1">
        <v>0.0</v>
      </c>
      <c r="G2134" s="1">
        <v>1.0</v>
      </c>
      <c r="H2134" s="1">
        <v>0.0</v>
      </c>
      <c r="I2134" s="1">
        <v>11.0</v>
      </c>
    </row>
    <row r="2135">
      <c r="A2135" s="2" t="s">
        <v>12582</v>
      </c>
      <c r="B2135" s="1">
        <v>200.0</v>
      </c>
      <c r="C2135" s="1" t="s">
        <v>9864</v>
      </c>
      <c r="D2135" s="1" t="s">
        <v>609</v>
      </c>
      <c r="E2135" s="1" t="s">
        <v>631</v>
      </c>
    </row>
    <row r="2136">
      <c r="A2136" s="2" t="s">
        <v>12583</v>
      </c>
      <c r="B2136" s="1">
        <v>200.0</v>
      </c>
      <c r="C2136" s="1" t="s">
        <v>9864</v>
      </c>
      <c r="D2136" s="1" t="s">
        <v>609</v>
      </c>
      <c r="E2136" s="1" t="s">
        <v>631</v>
      </c>
    </row>
    <row r="2137">
      <c r="A2137" s="2" t="s">
        <v>12584</v>
      </c>
      <c r="B2137" s="1">
        <v>200.0</v>
      </c>
      <c r="C2137" s="1" t="s">
        <v>9864</v>
      </c>
      <c r="D2137" s="1" t="s">
        <v>609</v>
      </c>
      <c r="E2137" s="1" t="s">
        <v>631</v>
      </c>
    </row>
    <row r="2138">
      <c r="A2138" s="2" t="s">
        <v>12585</v>
      </c>
      <c r="B2138" s="1">
        <v>200.0</v>
      </c>
      <c r="C2138" s="1" t="s">
        <v>9842</v>
      </c>
      <c r="D2138" s="1" t="s">
        <v>609</v>
      </c>
      <c r="E2138" s="1" t="s">
        <v>631</v>
      </c>
      <c r="F2138" s="1">
        <v>0.0</v>
      </c>
      <c r="G2138" s="1">
        <v>2.0</v>
      </c>
      <c r="H2138" s="1">
        <v>0.0</v>
      </c>
      <c r="I2138" s="1">
        <v>6.0</v>
      </c>
    </row>
    <row r="2139">
      <c r="A2139" s="2" t="s">
        <v>12586</v>
      </c>
      <c r="B2139" s="1">
        <v>200.0</v>
      </c>
      <c r="C2139" s="1" t="s">
        <v>9886</v>
      </c>
      <c r="D2139" s="1" t="s">
        <v>609</v>
      </c>
      <c r="E2139" s="1" t="s">
        <v>631</v>
      </c>
    </row>
    <row r="2140">
      <c r="A2140" s="2" t="s">
        <v>12587</v>
      </c>
      <c r="B2140" s="1">
        <v>200.0</v>
      </c>
      <c r="C2140" s="1" t="s">
        <v>9872</v>
      </c>
      <c r="D2140" s="1" t="s">
        <v>609</v>
      </c>
      <c r="E2140" s="1" t="s">
        <v>631</v>
      </c>
    </row>
    <row r="2141">
      <c r="A2141" s="2" t="s">
        <v>12588</v>
      </c>
      <c r="B2141" s="1">
        <v>200.0</v>
      </c>
      <c r="C2141" s="1" t="s">
        <v>9872</v>
      </c>
      <c r="D2141" s="1" t="s">
        <v>609</v>
      </c>
      <c r="E2141" s="1" t="s">
        <v>631</v>
      </c>
    </row>
    <row r="2142">
      <c r="A2142" s="2" t="s">
        <v>12589</v>
      </c>
      <c r="B2142" s="1">
        <v>200.0</v>
      </c>
      <c r="C2142" s="1" t="s">
        <v>9870</v>
      </c>
      <c r="D2142" s="1" t="s">
        <v>609</v>
      </c>
      <c r="E2142" s="1" t="s">
        <v>631</v>
      </c>
      <c r="F2142" s="1">
        <v>0.0</v>
      </c>
      <c r="G2142" s="1">
        <v>1.0</v>
      </c>
      <c r="H2142" s="1">
        <v>0.0</v>
      </c>
      <c r="I2142" s="1">
        <v>2.0</v>
      </c>
    </row>
    <row r="2143">
      <c r="A2143" s="2" t="s">
        <v>12590</v>
      </c>
      <c r="B2143" s="1">
        <v>200.0</v>
      </c>
      <c r="C2143" s="1" t="s">
        <v>9870</v>
      </c>
      <c r="D2143" s="1" t="s">
        <v>609</v>
      </c>
      <c r="E2143" s="1" t="s">
        <v>631</v>
      </c>
      <c r="F2143" s="1">
        <v>0.0</v>
      </c>
      <c r="G2143" s="1">
        <v>11.0</v>
      </c>
      <c r="H2143" s="1">
        <v>0.0</v>
      </c>
      <c r="I2143" s="1">
        <v>8.55</v>
      </c>
    </row>
    <row r="2144">
      <c r="A2144" s="2" t="s">
        <v>12591</v>
      </c>
      <c r="B2144" s="1">
        <v>200.0</v>
      </c>
      <c r="C2144" s="1" t="s">
        <v>9870</v>
      </c>
      <c r="D2144" s="1" t="s">
        <v>609</v>
      </c>
      <c r="E2144" s="1" t="s">
        <v>631</v>
      </c>
      <c r="F2144" s="1">
        <v>0.0</v>
      </c>
      <c r="G2144" s="1">
        <v>4.0</v>
      </c>
      <c r="H2144" s="1">
        <v>0.0</v>
      </c>
      <c r="I2144" s="1">
        <v>10.5</v>
      </c>
    </row>
    <row r="2145">
      <c r="A2145" s="2" t="s">
        <v>12592</v>
      </c>
      <c r="B2145" s="1">
        <v>200.0</v>
      </c>
      <c r="C2145" s="1" t="s">
        <v>9870</v>
      </c>
      <c r="D2145" s="1" t="s">
        <v>609</v>
      </c>
      <c r="E2145" s="1" t="s">
        <v>631</v>
      </c>
      <c r="F2145" s="1">
        <v>0.0</v>
      </c>
      <c r="G2145" s="1">
        <v>6.0</v>
      </c>
      <c r="H2145" s="1">
        <v>0.0</v>
      </c>
      <c r="I2145" s="1">
        <v>7.0</v>
      </c>
    </row>
    <row r="2146">
      <c r="A2146" s="2" t="s">
        <v>12593</v>
      </c>
      <c r="B2146" s="1">
        <v>200.0</v>
      </c>
      <c r="C2146" s="1" t="s">
        <v>9882</v>
      </c>
      <c r="D2146" s="1" t="s">
        <v>609</v>
      </c>
      <c r="E2146" s="1" t="s">
        <v>631</v>
      </c>
    </row>
    <row r="2147">
      <c r="A2147" s="2" t="s">
        <v>12594</v>
      </c>
      <c r="B2147" s="1">
        <v>200.0</v>
      </c>
      <c r="C2147" s="1" t="s">
        <v>9876</v>
      </c>
      <c r="D2147" s="1" t="s">
        <v>609</v>
      </c>
      <c r="E2147" s="1" t="s">
        <v>631</v>
      </c>
    </row>
    <row r="2148">
      <c r="A2148" s="2" t="s">
        <v>12595</v>
      </c>
      <c r="B2148" s="1">
        <v>200.0</v>
      </c>
      <c r="C2148" s="1" t="s">
        <v>9882</v>
      </c>
      <c r="D2148" s="1" t="s">
        <v>609</v>
      </c>
      <c r="E2148" s="1" t="s">
        <v>631</v>
      </c>
    </row>
    <row r="2149">
      <c r="A2149" s="2" t="s">
        <v>12596</v>
      </c>
      <c r="B2149" s="1">
        <v>200.0</v>
      </c>
      <c r="C2149" s="1" t="s">
        <v>9876</v>
      </c>
      <c r="D2149" s="1" t="s">
        <v>609</v>
      </c>
      <c r="E2149" s="1" t="s">
        <v>631</v>
      </c>
      <c r="F2149" s="1">
        <v>0.0</v>
      </c>
      <c r="G2149" s="1">
        <v>10.0</v>
      </c>
      <c r="H2149" s="1">
        <v>0.0</v>
      </c>
      <c r="I2149" s="1">
        <v>10.6</v>
      </c>
    </row>
    <row r="2150">
      <c r="A2150" s="2" t="s">
        <v>12597</v>
      </c>
      <c r="B2150" s="1">
        <v>200.0</v>
      </c>
      <c r="C2150" s="1" t="s">
        <v>9876</v>
      </c>
      <c r="D2150" s="1" t="s">
        <v>609</v>
      </c>
      <c r="E2150" s="1" t="s">
        <v>631</v>
      </c>
      <c r="F2150" s="1">
        <v>1.0</v>
      </c>
      <c r="G2150" s="1">
        <v>24.0</v>
      </c>
      <c r="H2150" s="1">
        <v>0.042</v>
      </c>
      <c r="I2150" s="1">
        <v>8.21</v>
      </c>
    </row>
    <row r="2151">
      <c r="A2151" s="2" t="s">
        <v>12598</v>
      </c>
      <c r="B2151" s="1">
        <v>200.0</v>
      </c>
      <c r="C2151" s="1" t="s">
        <v>9876</v>
      </c>
      <c r="D2151" s="1" t="s">
        <v>609</v>
      </c>
      <c r="E2151" s="1" t="s">
        <v>631</v>
      </c>
      <c r="F2151" s="1">
        <v>0.0</v>
      </c>
      <c r="G2151" s="1">
        <v>16.0</v>
      </c>
      <c r="H2151" s="1">
        <v>0.0</v>
      </c>
      <c r="I2151" s="1">
        <v>11.31</v>
      </c>
    </row>
    <row r="2152">
      <c r="A2152" s="2" t="s">
        <v>12599</v>
      </c>
      <c r="B2152" s="1">
        <v>200.0</v>
      </c>
      <c r="C2152" s="1" t="s">
        <v>9860</v>
      </c>
      <c r="D2152" s="1" t="s">
        <v>609</v>
      </c>
      <c r="E2152" s="1" t="s">
        <v>631</v>
      </c>
    </row>
    <row r="2153">
      <c r="A2153" s="2" t="s">
        <v>12600</v>
      </c>
      <c r="B2153" s="1">
        <v>200.0</v>
      </c>
      <c r="C2153" s="1" t="s">
        <v>9882</v>
      </c>
      <c r="D2153" s="1" t="s">
        <v>609</v>
      </c>
      <c r="E2153" s="1" t="s">
        <v>631</v>
      </c>
      <c r="F2153" s="1">
        <v>0.0</v>
      </c>
      <c r="G2153" s="1">
        <v>11.0</v>
      </c>
      <c r="H2153" s="1">
        <v>0.0</v>
      </c>
      <c r="I2153" s="1">
        <v>11.64</v>
      </c>
    </row>
    <row r="2154">
      <c r="A2154" s="2" t="s">
        <v>12601</v>
      </c>
      <c r="B2154" s="1">
        <v>200.0</v>
      </c>
      <c r="C2154" s="1" t="s">
        <v>9882</v>
      </c>
      <c r="D2154" s="1" t="s">
        <v>609</v>
      </c>
      <c r="E2154" s="1" t="s">
        <v>631</v>
      </c>
      <c r="F2154" s="1">
        <v>2.0</v>
      </c>
      <c r="G2154" s="1">
        <v>119.0</v>
      </c>
      <c r="H2154" s="1">
        <v>0.017</v>
      </c>
      <c r="I2154" s="1">
        <v>8.13</v>
      </c>
    </row>
    <row r="2155">
      <c r="A2155" s="2" t="s">
        <v>12602</v>
      </c>
      <c r="B2155" s="1">
        <v>200.0</v>
      </c>
      <c r="C2155" s="1" t="s">
        <v>9896</v>
      </c>
      <c r="D2155" s="1" t="s">
        <v>609</v>
      </c>
      <c r="E2155" s="1" t="s">
        <v>631</v>
      </c>
      <c r="F2155" s="1">
        <v>0.0</v>
      </c>
      <c r="G2155" s="1">
        <v>2.0</v>
      </c>
      <c r="H2155" s="1">
        <v>0.0</v>
      </c>
      <c r="I2155" s="1">
        <v>6.5</v>
      </c>
    </row>
    <row r="2156">
      <c r="A2156" s="2" t="s">
        <v>12603</v>
      </c>
      <c r="B2156" s="1">
        <v>200.0</v>
      </c>
      <c r="C2156" s="1" t="s">
        <v>9864</v>
      </c>
      <c r="D2156" s="1" t="s">
        <v>609</v>
      </c>
      <c r="E2156" s="1" t="s">
        <v>631</v>
      </c>
    </row>
    <row r="2157">
      <c r="A2157" s="2" t="s">
        <v>12604</v>
      </c>
      <c r="B2157" s="1">
        <v>200.0</v>
      </c>
      <c r="C2157" s="1" t="s">
        <v>9886</v>
      </c>
      <c r="D2157" s="1" t="s">
        <v>609</v>
      </c>
      <c r="E2157" s="1" t="s">
        <v>631</v>
      </c>
    </row>
    <row r="2158">
      <c r="A2158" s="2" t="s">
        <v>12605</v>
      </c>
      <c r="B2158" s="1">
        <v>200.0</v>
      </c>
      <c r="C2158" s="1" t="s">
        <v>9886</v>
      </c>
      <c r="D2158" s="1" t="s">
        <v>609</v>
      </c>
      <c r="E2158" s="1" t="s">
        <v>631</v>
      </c>
    </row>
    <row r="2159">
      <c r="A2159" s="2" t="s">
        <v>12606</v>
      </c>
      <c r="B2159" s="1">
        <v>200.0</v>
      </c>
      <c r="C2159" s="1" t="s">
        <v>9896</v>
      </c>
      <c r="D2159" s="1" t="s">
        <v>609</v>
      </c>
      <c r="E2159" s="1" t="s">
        <v>631</v>
      </c>
    </row>
    <row r="2160">
      <c r="A2160" s="2" t="s">
        <v>12607</v>
      </c>
      <c r="B2160" s="1">
        <v>200.0</v>
      </c>
      <c r="C2160" s="1" t="s">
        <v>9896</v>
      </c>
      <c r="D2160" s="1" t="s">
        <v>609</v>
      </c>
      <c r="E2160" s="1" t="s">
        <v>631</v>
      </c>
    </row>
    <row r="2161">
      <c r="A2161" s="2" t="s">
        <v>12608</v>
      </c>
      <c r="B2161" s="1">
        <v>200.0</v>
      </c>
      <c r="C2161" s="1" t="s">
        <v>9896</v>
      </c>
      <c r="D2161" s="1" t="s">
        <v>609</v>
      </c>
      <c r="E2161" s="1" t="s">
        <v>631</v>
      </c>
    </row>
    <row r="2162">
      <c r="A2162" s="2" t="s">
        <v>12609</v>
      </c>
      <c r="B2162" s="1">
        <v>200.0</v>
      </c>
      <c r="C2162" s="1" t="s">
        <v>9872</v>
      </c>
      <c r="D2162" s="1" t="s">
        <v>609</v>
      </c>
      <c r="E2162" s="1" t="s">
        <v>631</v>
      </c>
    </row>
    <row r="2163">
      <c r="A2163" s="2" t="s">
        <v>12610</v>
      </c>
      <c r="B2163" s="1">
        <v>200.0</v>
      </c>
      <c r="C2163" s="1" t="s">
        <v>9872</v>
      </c>
      <c r="D2163" s="1" t="s">
        <v>609</v>
      </c>
      <c r="E2163" s="1" t="s">
        <v>631</v>
      </c>
      <c r="F2163" s="1">
        <v>0.0</v>
      </c>
      <c r="G2163" s="1">
        <v>1.0</v>
      </c>
      <c r="H2163" s="1">
        <v>0.0</v>
      </c>
      <c r="I2163" s="1">
        <v>11.0</v>
      </c>
    </row>
    <row r="2164">
      <c r="A2164" s="2" t="s">
        <v>12611</v>
      </c>
      <c r="B2164" s="1">
        <v>200.0</v>
      </c>
      <c r="C2164" s="1" t="s">
        <v>12612</v>
      </c>
      <c r="D2164" s="1" t="s">
        <v>583</v>
      </c>
      <c r="F2164" s="1">
        <v>15.0</v>
      </c>
      <c r="G2164" s="1">
        <v>1561.0</v>
      </c>
      <c r="H2164" s="1">
        <v>0.01</v>
      </c>
      <c r="I2164" s="1">
        <v>8.28</v>
      </c>
    </row>
    <row r="2165">
      <c r="A2165" s="2" t="s">
        <v>12613</v>
      </c>
      <c r="B2165" s="1">
        <v>200.0</v>
      </c>
      <c r="C2165" s="1" t="s">
        <v>9070</v>
      </c>
      <c r="D2165" s="1" t="s">
        <v>609</v>
      </c>
      <c r="E2165" s="1" t="s">
        <v>631</v>
      </c>
      <c r="F2165" s="1">
        <v>0.0</v>
      </c>
      <c r="G2165" s="1">
        <v>27.0</v>
      </c>
      <c r="H2165" s="1">
        <v>0.0</v>
      </c>
      <c r="I2165" s="1">
        <v>6.93</v>
      </c>
    </row>
    <row r="2166">
      <c r="A2166" s="2" t="s">
        <v>12614</v>
      </c>
      <c r="B2166" s="1">
        <v>200.0</v>
      </c>
      <c r="C2166" s="1" t="s">
        <v>9058</v>
      </c>
      <c r="D2166" s="1" t="s">
        <v>609</v>
      </c>
      <c r="E2166" s="1" t="s">
        <v>631</v>
      </c>
      <c r="F2166" s="1">
        <v>0.0</v>
      </c>
      <c r="G2166" s="1">
        <v>1.0</v>
      </c>
      <c r="H2166" s="1">
        <v>0.0</v>
      </c>
      <c r="I2166" s="1">
        <v>10.0</v>
      </c>
    </row>
    <row r="2167">
      <c r="A2167" s="2" t="s">
        <v>12615</v>
      </c>
      <c r="B2167" s="1">
        <v>200.0</v>
      </c>
      <c r="C2167" s="1" t="s">
        <v>9070</v>
      </c>
      <c r="D2167" s="1" t="s">
        <v>609</v>
      </c>
      <c r="E2167" s="1" t="s">
        <v>631</v>
      </c>
    </row>
    <row r="2168">
      <c r="A2168" s="2" t="s">
        <v>12616</v>
      </c>
      <c r="B2168" s="1">
        <v>200.0</v>
      </c>
      <c r="C2168" s="1" t="s">
        <v>9322</v>
      </c>
      <c r="D2168" s="1" t="s">
        <v>609</v>
      </c>
      <c r="E2168" s="1" t="s">
        <v>631</v>
      </c>
      <c r="F2168" s="1">
        <v>0.0</v>
      </c>
      <c r="G2168" s="1">
        <v>9.0</v>
      </c>
      <c r="H2168" s="1">
        <v>0.0</v>
      </c>
      <c r="I2168" s="1">
        <v>9.22</v>
      </c>
    </row>
    <row r="2169">
      <c r="A2169" s="2" t="s">
        <v>12617</v>
      </c>
      <c r="B2169" s="1">
        <v>200.0</v>
      </c>
      <c r="C2169" s="1" t="s">
        <v>12347</v>
      </c>
      <c r="D2169" s="1" t="s">
        <v>609</v>
      </c>
      <c r="E2169" s="1" t="s">
        <v>631</v>
      </c>
      <c r="F2169" s="1">
        <v>0.0</v>
      </c>
      <c r="G2169" s="1">
        <v>10.0</v>
      </c>
      <c r="H2169" s="1">
        <v>0.0</v>
      </c>
      <c r="I2169" s="1">
        <v>12.1</v>
      </c>
    </row>
    <row r="2170">
      <c r="A2170" s="2" t="s">
        <v>12618</v>
      </c>
      <c r="B2170" s="1">
        <v>200.0</v>
      </c>
      <c r="C2170" s="1" t="s">
        <v>9070</v>
      </c>
      <c r="D2170" s="1" t="s">
        <v>609</v>
      </c>
      <c r="E2170" s="1" t="s">
        <v>631</v>
      </c>
      <c r="F2170" s="1">
        <v>0.0</v>
      </c>
      <c r="G2170" s="1">
        <v>10.0</v>
      </c>
      <c r="H2170" s="1">
        <v>0.0</v>
      </c>
      <c r="I2170" s="1">
        <v>11.7</v>
      </c>
    </row>
    <row r="2171">
      <c r="A2171" s="2" t="s">
        <v>12619</v>
      </c>
      <c r="B2171" s="1">
        <v>200.0</v>
      </c>
      <c r="C2171" s="1" t="s">
        <v>9070</v>
      </c>
      <c r="D2171" s="1" t="s">
        <v>609</v>
      </c>
      <c r="E2171" s="1" t="s">
        <v>631</v>
      </c>
      <c r="F2171" s="1">
        <v>0.0</v>
      </c>
      <c r="G2171" s="1">
        <v>7.0</v>
      </c>
      <c r="H2171" s="1">
        <v>0.0</v>
      </c>
      <c r="I2171" s="1">
        <v>6.43</v>
      </c>
    </row>
    <row r="2172">
      <c r="A2172" s="2" t="s">
        <v>12620</v>
      </c>
      <c r="B2172" s="1">
        <v>200.0</v>
      </c>
      <c r="C2172" s="1" t="s">
        <v>9058</v>
      </c>
      <c r="D2172" s="1" t="s">
        <v>609</v>
      </c>
      <c r="E2172" s="1" t="s">
        <v>631</v>
      </c>
    </row>
    <row r="2173">
      <c r="A2173" s="2" t="s">
        <v>12621</v>
      </c>
      <c r="B2173" s="1">
        <v>200.0</v>
      </c>
      <c r="C2173" s="1" t="s">
        <v>9058</v>
      </c>
      <c r="D2173" s="1" t="s">
        <v>609</v>
      </c>
      <c r="E2173" s="1" t="s">
        <v>631</v>
      </c>
    </row>
    <row r="2174">
      <c r="A2174" s="2" t="s">
        <v>12622</v>
      </c>
      <c r="B2174" s="1">
        <v>200.0</v>
      </c>
      <c r="C2174" s="1" t="s">
        <v>9058</v>
      </c>
      <c r="D2174" s="1" t="s">
        <v>609</v>
      </c>
      <c r="E2174" s="1" t="s">
        <v>631</v>
      </c>
      <c r="F2174" s="1">
        <v>0.0</v>
      </c>
      <c r="G2174" s="1">
        <v>2.0</v>
      </c>
      <c r="H2174" s="1">
        <v>0.0</v>
      </c>
      <c r="I2174" s="1">
        <v>4.5</v>
      </c>
    </row>
    <row r="2175">
      <c r="A2175" s="2" t="s">
        <v>12623</v>
      </c>
      <c r="B2175" s="1">
        <v>200.0</v>
      </c>
      <c r="C2175" s="1" t="s">
        <v>9070</v>
      </c>
      <c r="D2175" s="1" t="s">
        <v>609</v>
      </c>
      <c r="E2175" s="1" t="s">
        <v>631</v>
      </c>
    </row>
    <row r="2176">
      <c r="A2176" s="2" t="s">
        <v>12624</v>
      </c>
      <c r="B2176" s="1">
        <v>200.0</v>
      </c>
      <c r="C2176" s="1" t="s">
        <v>9070</v>
      </c>
      <c r="D2176" s="1" t="s">
        <v>609</v>
      </c>
      <c r="E2176" s="1" t="s">
        <v>631</v>
      </c>
    </row>
    <row r="2177">
      <c r="A2177" s="2" t="s">
        <v>12625</v>
      </c>
      <c r="B2177" s="1">
        <v>200.0</v>
      </c>
      <c r="C2177" s="1" t="s">
        <v>12347</v>
      </c>
      <c r="D2177" s="1" t="s">
        <v>609</v>
      </c>
      <c r="E2177" s="1" t="s">
        <v>631</v>
      </c>
    </row>
    <row r="2178">
      <c r="A2178" s="2" t="s">
        <v>12626</v>
      </c>
      <c r="B2178" s="1">
        <v>200.0</v>
      </c>
      <c r="C2178" s="1" t="s">
        <v>12627</v>
      </c>
      <c r="D2178" s="1" t="s">
        <v>583</v>
      </c>
    </row>
    <row r="2179">
      <c r="A2179" s="2" t="s">
        <v>12628</v>
      </c>
      <c r="B2179" s="1">
        <v>200.0</v>
      </c>
      <c r="C2179" s="1" t="s">
        <v>12347</v>
      </c>
      <c r="D2179" s="1" t="s">
        <v>609</v>
      </c>
      <c r="E2179" s="1" t="s">
        <v>631</v>
      </c>
    </row>
    <row r="2180">
      <c r="A2180" s="2" t="s">
        <v>12629</v>
      </c>
      <c r="B2180" s="1">
        <v>200.0</v>
      </c>
      <c r="C2180" s="1" t="s">
        <v>12630</v>
      </c>
      <c r="D2180" s="1" t="s">
        <v>583</v>
      </c>
      <c r="F2180" s="1">
        <v>0.0</v>
      </c>
      <c r="G2180" s="1">
        <v>16.0</v>
      </c>
      <c r="H2180" s="1">
        <v>0.0</v>
      </c>
      <c r="I2180" s="1">
        <v>29.63</v>
      </c>
    </row>
    <row r="2181">
      <c r="A2181" s="2" t="s">
        <v>12631</v>
      </c>
      <c r="B2181" s="1">
        <v>200.0</v>
      </c>
      <c r="C2181" s="1" t="s">
        <v>9322</v>
      </c>
      <c r="D2181" s="1" t="s">
        <v>609</v>
      </c>
      <c r="E2181" s="1" t="s">
        <v>631</v>
      </c>
      <c r="F2181" s="1">
        <v>0.0</v>
      </c>
      <c r="G2181" s="1">
        <v>3.0</v>
      </c>
      <c r="H2181" s="1">
        <v>0.0</v>
      </c>
      <c r="I2181" s="1">
        <v>4.67</v>
      </c>
    </row>
    <row r="2182">
      <c r="A2182" s="2" t="s">
        <v>12632</v>
      </c>
      <c r="B2182" s="1">
        <v>200.0</v>
      </c>
      <c r="C2182" s="1" t="s">
        <v>9070</v>
      </c>
      <c r="D2182" s="1" t="s">
        <v>609</v>
      </c>
      <c r="E2182" s="1" t="s">
        <v>631</v>
      </c>
    </row>
    <row r="2183">
      <c r="A2183" s="2" t="s">
        <v>12633</v>
      </c>
      <c r="B2183" s="1">
        <v>200.0</v>
      </c>
      <c r="C2183" s="1" t="s">
        <v>9872</v>
      </c>
      <c r="D2183" s="1" t="s">
        <v>609</v>
      </c>
      <c r="E2183" s="1" t="s">
        <v>631</v>
      </c>
    </row>
    <row r="2184">
      <c r="A2184" s="2" t="s">
        <v>12634</v>
      </c>
      <c r="B2184" s="1">
        <v>200.0</v>
      </c>
      <c r="C2184" s="1" t="s">
        <v>9070</v>
      </c>
      <c r="D2184" s="1" t="s">
        <v>609</v>
      </c>
      <c r="E2184" s="1" t="s">
        <v>631</v>
      </c>
      <c r="F2184" s="1">
        <v>0.0</v>
      </c>
      <c r="G2184" s="1">
        <v>23.0</v>
      </c>
      <c r="H2184" s="1">
        <v>0.0</v>
      </c>
      <c r="I2184" s="1">
        <v>7.83</v>
      </c>
    </row>
    <row r="2185">
      <c r="A2185" s="2" t="s">
        <v>12635</v>
      </c>
      <c r="B2185" s="1">
        <v>200.0</v>
      </c>
      <c r="C2185" s="1" t="s">
        <v>9896</v>
      </c>
      <c r="D2185" s="1" t="s">
        <v>609</v>
      </c>
      <c r="E2185" s="1" t="s">
        <v>631</v>
      </c>
    </row>
    <row r="2186">
      <c r="A2186" s="2" t="s">
        <v>12636</v>
      </c>
      <c r="B2186" s="1">
        <v>200.0</v>
      </c>
      <c r="C2186" s="1" t="s">
        <v>9886</v>
      </c>
      <c r="D2186" s="1" t="s">
        <v>609</v>
      </c>
      <c r="E2186" s="1" t="s">
        <v>631</v>
      </c>
    </row>
    <row r="2187">
      <c r="A2187" s="2" t="s">
        <v>12637</v>
      </c>
      <c r="B2187" s="1">
        <v>200.0</v>
      </c>
      <c r="C2187" s="1" t="s">
        <v>9886</v>
      </c>
      <c r="D2187" s="1" t="s">
        <v>609</v>
      </c>
      <c r="E2187" s="1" t="s">
        <v>631</v>
      </c>
    </row>
    <row r="2188">
      <c r="A2188" s="2" t="s">
        <v>12638</v>
      </c>
      <c r="B2188" s="1">
        <v>200.0</v>
      </c>
      <c r="C2188" s="1" t="s">
        <v>9896</v>
      </c>
      <c r="D2188" s="1" t="s">
        <v>609</v>
      </c>
      <c r="E2188" s="1" t="s">
        <v>631</v>
      </c>
      <c r="F2188" s="1">
        <v>0.0</v>
      </c>
      <c r="G2188" s="1">
        <v>5.0</v>
      </c>
      <c r="H2188" s="1">
        <v>0.0</v>
      </c>
      <c r="I2188" s="1">
        <v>4.2</v>
      </c>
    </row>
    <row r="2189">
      <c r="A2189" s="2" t="s">
        <v>12639</v>
      </c>
      <c r="B2189" s="1">
        <v>200.0</v>
      </c>
      <c r="C2189" s="1" t="s">
        <v>9896</v>
      </c>
      <c r="D2189" s="1" t="s">
        <v>609</v>
      </c>
      <c r="E2189" s="1" t="s">
        <v>631</v>
      </c>
    </row>
    <row r="2190">
      <c r="A2190" s="2" t="s">
        <v>12640</v>
      </c>
      <c r="B2190" s="1">
        <v>200.0</v>
      </c>
      <c r="C2190" s="1" t="s">
        <v>9882</v>
      </c>
      <c r="D2190" s="1" t="s">
        <v>609</v>
      </c>
      <c r="E2190" s="1" t="s">
        <v>631</v>
      </c>
    </row>
    <row r="2191">
      <c r="A2191" s="2" t="s">
        <v>12641</v>
      </c>
      <c r="B2191" s="1">
        <v>200.0</v>
      </c>
      <c r="C2191" s="1" t="s">
        <v>9882</v>
      </c>
      <c r="D2191" s="1" t="s">
        <v>609</v>
      </c>
      <c r="E2191" s="1" t="s">
        <v>631</v>
      </c>
      <c r="F2191" s="1">
        <v>1.0</v>
      </c>
      <c r="G2191" s="1">
        <v>46.0</v>
      </c>
      <c r="H2191" s="1">
        <v>0.022</v>
      </c>
      <c r="I2191" s="1">
        <v>9.13</v>
      </c>
    </row>
    <row r="2192">
      <c r="A2192" s="2" t="s">
        <v>12642</v>
      </c>
      <c r="B2192" s="1">
        <v>200.0</v>
      </c>
      <c r="C2192" s="1" t="s">
        <v>9860</v>
      </c>
      <c r="D2192" s="1" t="s">
        <v>609</v>
      </c>
      <c r="E2192" s="1" t="s">
        <v>631</v>
      </c>
      <c r="F2192" s="1">
        <v>0.0</v>
      </c>
      <c r="G2192" s="1">
        <v>2.0</v>
      </c>
      <c r="H2192" s="1">
        <v>0.0</v>
      </c>
      <c r="I2192" s="1">
        <v>12.0</v>
      </c>
    </row>
    <row r="2193">
      <c r="A2193" s="2" t="s">
        <v>12643</v>
      </c>
      <c r="B2193" s="1">
        <v>200.0</v>
      </c>
      <c r="C2193" s="1" t="s">
        <v>9876</v>
      </c>
      <c r="D2193" s="1" t="s">
        <v>609</v>
      </c>
      <c r="E2193" s="1" t="s">
        <v>631</v>
      </c>
    </row>
    <row r="2194">
      <c r="A2194" s="2" t="s">
        <v>12644</v>
      </c>
      <c r="B2194" s="1">
        <v>200.0</v>
      </c>
      <c r="C2194" s="1" t="s">
        <v>9876</v>
      </c>
      <c r="D2194" s="1" t="s">
        <v>609</v>
      </c>
      <c r="E2194" s="1" t="s">
        <v>631</v>
      </c>
      <c r="F2194" s="1">
        <v>0.0</v>
      </c>
      <c r="G2194" s="1">
        <v>2.0</v>
      </c>
      <c r="H2194" s="1">
        <v>0.0</v>
      </c>
      <c r="I2194" s="1">
        <v>6.0</v>
      </c>
    </row>
    <row r="2195">
      <c r="A2195" s="2" t="s">
        <v>12645</v>
      </c>
      <c r="B2195" s="1">
        <v>200.0</v>
      </c>
      <c r="C2195" s="1" t="s">
        <v>9876</v>
      </c>
      <c r="D2195" s="1" t="s">
        <v>609</v>
      </c>
      <c r="E2195" s="1" t="s">
        <v>631</v>
      </c>
      <c r="F2195" s="1">
        <v>0.0</v>
      </c>
      <c r="G2195" s="1">
        <v>3.0</v>
      </c>
      <c r="H2195" s="1">
        <v>0.0</v>
      </c>
      <c r="I2195" s="1">
        <v>7.0</v>
      </c>
    </row>
    <row r="2196">
      <c r="A2196" s="2" t="s">
        <v>12646</v>
      </c>
      <c r="B2196" s="1">
        <v>200.0</v>
      </c>
      <c r="C2196" s="1" t="s">
        <v>9876</v>
      </c>
      <c r="D2196" s="1" t="s">
        <v>609</v>
      </c>
      <c r="E2196" s="1" t="s">
        <v>631</v>
      </c>
    </row>
    <row r="2197">
      <c r="A2197" s="2" t="s">
        <v>12647</v>
      </c>
      <c r="B2197" s="1">
        <v>200.0</v>
      </c>
      <c r="C2197" s="1" t="s">
        <v>9882</v>
      </c>
      <c r="D2197" s="1" t="s">
        <v>609</v>
      </c>
      <c r="E2197" s="1" t="s">
        <v>631</v>
      </c>
    </row>
    <row r="2198">
      <c r="A2198" s="2" t="s">
        <v>12648</v>
      </c>
      <c r="B2198" s="1">
        <v>200.0</v>
      </c>
      <c r="C2198" s="1" t="s">
        <v>9872</v>
      </c>
      <c r="D2198" s="1" t="s">
        <v>609</v>
      </c>
      <c r="E2198" s="1" t="s">
        <v>631</v>
      </c>
    </row>
    <row r="2199">
      <c r="A2199" s="2" t="s">
        <v>12649</v>
      </c>
      <c r="B2199" s="1">
        <v>200.0</v>
      </c>
      <c r="C2199" s="1" t="s">
        <v>9872</v>
      </c>
      <c r="D2199" s="1" t="s">
        <v>609</v>
      </c>
      <c r="E2199" s="1" t="s">
        <v>631</v>
      </c>
    </row>
    <row r="2200">
      <c r="A2200" s="2" t="s">
        <v>12650</v>
      </c>
      <c r="B2200" s="1">
        <v>200.0</v>
      </c>
      <c r="C2200" s="1" t="s">
        <v>9864</v>
      </c>
      <c r="D2200" s="1" t="s">
        <v>609</v>
      </c>
      <c r="E2200" s="1" t="s">
        <v>631</v>
      </c>
    </row>
    <row r="2201">
      <c r="A2201" s="2" t="s">
        <v>12651</v>
      </c>
      <c r="B2201" s="1">
        <v>200.0</v>
      </c>
      <c r="C2201" s="1" t="s">
        <v>9864</v>
      </c>
      <c r="D2201" s="1" t="s">
        <v>609</v>
      </c>
      <c r="E2201" s="1" t="s">
        <v>631</v>
      </c>
    </row>
    <row r="2202">
      <c r="A2202" s="2" t="s">
        <v>12652</v>
      </c>
      <c r="B2202" s="1">
        <v>200.0</v>
      </c>
      <c r="C2202" s="1" t="s">
        <v>9058</v>
      </c>
      <c r="D2202" s="1" t="s">
        <v>609</v>
      </c>
      <c r="E2202" s="1" t="s">
        <v>631</v>
      </c>
    </row>
    <row r="2203">
      <c r="A2203" s="2" t="s">
        <v>12653</v>
      </c>
      <c r="B2203" s="1">
        <v>200.0</v>
      </c>
      <c r="C2203" s="1" t="s">
        <v>9864</v>
      </c>
      <c r="D2203" s="1" t="s">
        <v>609</v>
      </c>
      <c r="E2203" s="1" t="s">
        <v>631</v>
      </c>
    </row>
    <row r="2204">
      <c r="A2204" s="2" t="s">
        <v>12654</v>
      </c>
      <c r="B2204" s="1">
        <v>200.0</v>
      </c>
      <c r="C2204" s="1" t="s">
        <v>9864</v>
      </c>
      <c r="D2204" s="1" t="s">
        <v>609</v>
      </c>
      <c r="E2204" s="1" t="s">
        <v>631</v>
      </c>
    </row>
    <row r="2205">
      <c r="A2205" s="2" t="s">
        <v>12655</v>
      </c>
      <c r="B2205" s="1">
        <v>200.0</v>
      </c>
      <c r="C2205" s="1" t="s">
        <v>9842</v>
      </c>
      <c r="D2205" s="1" t="s">
        <v>609</v>
      </c>
      <c r="E2205" s="1" t="s">
        <v>631</v>
      </c>
    </row>
    <row r="2206">
      <c r="A2206" s="2" t="s">
        <v>12656</v>
      </c>
      <c r="B2206" s="1">
        <v>200.0</v>
      </c>
      <c r="C2206" s="1" t="s">
        <v>9872</v>
      </c>
      <c r="D2206" s="1" t="s">
        <v>609</v>
      </c>
      <c r="E2206" s="1" t="s">
        <v>631</v>
      </c>
      <c r="F2206" s="1">
        <v>0.0</v>
      </c>
      <c r="G2206" s="1">
        <v>5.0</v>
      </c>
      <c r="H2206" s="1">
        <v>0.0</v>
      </c>
      <c r="I2206" s="1">
        <v>15.0</v>
      </c>
    </row>
    <row r="2207">
      <c r="A2207" s="2" t="s">
        <v>12657</v>
      </c>
      <c r="B2207" s="1">
        <v>200.0</v>
      </c>
      <c r="C2207" s="1" t="s">
        <v>9860</v>
      </c>
      <c r="D2207" s="1" t="s">
        <v>609</v>
      </c>
      <c r="E2207" s="1" t="s">
        <v>631</v>
      </c>
    </row>
    <row r="2208">
      <c r="A2208" s="2" t="s">
        <v>12658</v>
      </c>
      <c r="B2208" s="1">
        <v>200.0</v>
      </c>
      <c r="C2208" s="1" t="s">
        <v>9896</v>
      </c>
      <c r="D2208" s="1" t="s">
        <v>609</v>
      </c>
      <c r="E2208" s="1" t="s">
        <v>631</v>
      </c>
    </row>
    <row r="2209">
      <c r="A2209" s="2" t="s">
        <v>12659</v>
      </c>
      <c r="B2209" s="1">
        <v>200.0</v>
      </c>
      <c r="C2209" s="1" t="s">
        <v>9860</v>
      </c>
      <c r="D2209" s="1" t="s">
        <v>609</v>
      </c>
      <c r="E2209" s="1" t="s">
        <v>631</v>
      </c>
    </row>
    <row r="2210">
      <c r="A2210" s="2" t="s">
        <v>12660</v>
      </c>
      <c r="B2210" s="1">
        <v>200.0</v>
      </c>
      <c r="C2210" s="1" t="s">
        <v>9886</v>
      </c>
      <c r="D2210" s="1" t="s">
        <v>609</v>
      </c>
      <c r="E2210" s="1" t="s">
        <v>631</v>
      </c>
    </row>
    <row r="2211">
      <c r="A2211" s="2" t="s">
        <v>12661</v>
      </c>
      <c r="B2211" s="1">
        <v>200.0</v>
      </c>
      <c r="C2211" s="1" t="s">
        <v>9882</v>
      </c>
      <c r="D2211" s="1" t="s">
        <v>609</v>
      </c>
      <c r="E2211" s="1" t="s">
        <v>631</v>
      </c>
    </row>
    <row r="2212">
      <c r="A2212" s="2" t="s">
        <v>12662</v>
      </c>
      <c r="B2212" s="1">
        <v>200.0</v>
      </c>
      <c r="C2212" s="1" t="s">
        <v>9886</v>
      </c>
      <c r="D2212" s="1" t="s">
        <v>609</v>
      </c>
      <c r="E2212" s="1" t="s">
        <v>631</v>
      </c>
    </row>
    <row r="2213">
      <c r="A2213" s="2" t="s">
        <v>12663</v>
      </c>
      <c r="B2213" s="1">
        <v>200.0</v>
      </c>
      <c r="C2213" s="1" t="s">
        <v>9860</v>
      </c>
      <c r="D2213" s="1" t="s">
        <v>609</v>
      </c>
      <c r="E2213" s="1" t="s">
        <v>631</v>
      </c>
    </row>
    <row r="2214">
      <c r="A2214" s="2" t="s">
        <v>12664</v>
      </c>
      <c r="B2214" s="1">
        <v>200.0</v>
      </c>
      <c r="C2214" s="1" t="s">
        <v>9844</v>
      </c>
      <c r="D2214" s="1" t="s">
        <v>609</v>
      </c>
      <c r="E2214" s="1" t="s">
        <v>631</v>
      </c>
      <c r="F2214" s="1">
        <v>0.0</v>
      </c>
      <c r="G2214" s="1">
        <v>1.0</v>
      </c>
      <c r="H2214" s="1">
        <v>0.0</v>
      </c>
      <c r="I2214" s="1">
        <v>4.0</v>
      </c>
    </row>
    <row r="2215">
      <c r="A2215" s="2" t="s">
        <v>12665</v>
      </c>
      <c r="B2215" s="1">
        <v>200.0</v>
      </c>
      <c r="C2215" s="1" t="s">
        <v>9844</v>
      </c>
      <c r="D2215" s="1" t="s">
        <v>609</v>
      </c>
      <c r="E2215" s="1" t="s">
        <v>631</v>
      </c>
      <c r="F2215" s="1">
        <v>0.0</v>
      </c>
      <c r="G2215" s="1">
        <v>2.0</v>
      </c>
      <c r="H2215" s="1">
        <v>0.0</v>
      </c>
      <c r="I2215" s="1">
        <v>2.5</v>
      </c>
    </row>
    <row r="2216">
      <c r="A2216" s="2" t="s">
        <v>12666</v>
      </c>
      <c r="B2216" s="1">
        <v>200.0</v>
      </c>
      <c r="C2216" s="1" t="s">
        <v>9840</v>
      </c>
      <c r="D2216" s="1" t="s">
        <v>609</v>
      </c>
      <c r="E2216" s="1" t="s">
        <v>631</v>
      </c>
    </row>
    <row r="2217">
      <c r="A2217" s="2" t="s">
        <v>12667</v>
      </c>
      <c r="B2217" s="1">
        <v>200.0</v>
      </c>
      <c r="C2217" s="1" t="s">
        <v>9840</v>
      </c>
      <c r="D2217" s="1" t="s">
        <v>609</v>
      </c>
      <c r="E2217" s="1" t="s">
        <v>631</v>
      </c>
    </row>
    <row r="2218">
      <c r="A2218" s="2" t="s">
        <v>12668</v>
      </c>
      <c r="B2218" s="1">
        <v>200.0</v>
      </c>
      <c r="C2218" s="1" t="s">
        <v>9844</v>
      </c>
      <c r="D2218" s="1" t="s">
        <v>609</v>
      </c>
      <c r="E2218" s="1" t="s">
        <v>631</v>
      </c>
    </row>
    <row r="2219">
      <c r="A2219" s="2" t="s">
        <v>12669</v>
      </c>
      <c r="B2219" s="1">
        <v>200.0</v>
      </c>
      <c r="C2219" s="1" t="s">
        <v>9844</v>
      </c>
      <c r="D2219" s="1" t="s">
        <v>609</v>
      </c>
      <c r="E2219" s="1" t="s">
        <v>631</v>
      </c>
      <c r="F2219" s="1">
        <v>0.0</v>
      </c>
      <c r="G2219" s="1">
        <v>27.0</v>
      </c>
      <c r="H2219" s="1">
        <v>0.0</v>
      </c>
      <c r="I2219" s="1">
        <v>8.44</v>
      </c>
    </row>
    <row r="2220">
      <c r="A2220" s="2" t="s">
        <v>12670</v>
      </c>
      <c r="B2220" s="1">
        <v>200.0</v>
      </c>
      <c r="C2220" s="1" t="s">
        <v>9212</v>
      </c>
      <c r="D2220" s="1" t="s">
        <v>609</v>
      </c>
      <c r="E2220" s="1" t="s">
        <v>631</v>
      </c>
    </row>
    <row r="2221">
      <c r="A2221" s="2" t="s">
        <v>12671</v>
      </c>
      <c r="B2221" s="1">
        <v>200.0</v>
      </c>
      <c r="C2221" s="1" t="s">
        <v>9842</v>
      </c>
      <c r="D2221" s="1" t="s">
        <v>609</v>
      </c>
      <c r="E2221" s="1" t="s">
        <v>631</v>
      </c>
      <c r="F2221" s="1">
        <v>0.0</v>
      </c>
      <c r="G2221" s="1">
        <v>1.0</v>
      </c>
      <c r="H2221" s="1">
        <v>0.0</v>
      </c>
      <c r="I2221" s="1">
        <v>20.0</v>
      </c>
    </row>
    <row r="2222">
      <c r="A2222" s="2" t="s">
        <v>12672</v>
      </c>
      <c r="B2222" s="1">
        <v>200.0</v>
      </c>
      <c r="C2222" s="1" t="s">
        <v>9838</v>
      </c>
      <c r="D2222" s="1" t="s">
        <v>609</v>
      </c>
      <c r="E2222" s="1" t="s">
        <v>631</v>
      </c>
    </row>
    <row r="2223">
      <c r="A2223" s="2" t="s">
        <v>12673</v>
      </c>
      <c r="B2223" s="1">
        <v>200.0</v>
      </c>
      <c r="C2223" s="1" t="s">
        <v>9842</v>
      </c>
      <c r="D2223" s="1" t="s">
        <v>609</v>
      </c>
      <c r="E2223" s="1" t="s">
        <v>631</v>
      </c>
      <c r="F2223" s="1">
        <v>0.0</v>
      </c>
      <c r="G2223" s="1">
        <v>8.0</v>
      </c>
      <c r="H2223" s="1">
        <v>0.0</v>
      </c>
      <c r="I2223" s="1">
        <v>6.13</v>
      </c>
    </row>
    <row r="2224">
      <c r="A2224" s="2" t="s">
        <v>12674</v>
      </c>
      <c r="B2224" s="1">
        <v>200.0</v>
      </c>
      <c r="C2224" s="1" t="s">
        <v>9842</v>
      </c>
      <c r="D2224" s="1" t="s">
        <v>609</v>
      </c>
      <c r="E2224" s="1" t="s">
        <v>631</v>
      </c>
      <c r="F2224" s="1">
        <v>0.0</v>
      </c>
      <c r="G2224" s="1">
        <v>9.0</v>
      </c>
      <c r="H2224" s="1">
        <v>0.0</v>
      </c>
      <c r="I2224" s="1">
        <v>15.44</v>
      </c>
    </row>
    <row r="2225">
      <c r="A2225" s="2" t="s">
        <v>12675</v>
      </c>
      <c r="B2225" s="1">
        <v>200.0</v>
      </c>
      <c r="C2225" s="1" t="s">
        <v>8986</v>
      </c>
      <c r="D2225" s="1" t="s">
        <v>609</v>
      </c>
      <c r="E2225" s="1" t="s">
        <v>631</v>
      </c>
    </row>
    <row r="2226">
      <c r="A2226" s="2" t="s">
        <v>12676</v>
      </c>
      <c r="B2226" s="1">
        <v>200.0</v>
      </c>
      <c r="C2226" s="1" t="s">
        <v>8986</v>
      </c>
      <c r="D2226" s="1" t="s">
        <v>609</v>
      </c>
      <c r="E2226" s="1" t="s">
        <v>631</v>
      </c>
    </row>
    <row r="2227">
      <c r="A2227" s="2" t="s">
        <v>12677</v>
      </c>
      <c r="B2227" s="1">
        <v>200.0</v>
      </c>
      <c r="C2227" s="1" t="s">
        <v>8986</v>
      </c>
      <c r="D2227" s="1" t="s">
        <v>609</v>
      </c>
      <c r="E2227" s="1" t="s">
        <v>631</v>
      </c>
    </row>
    <row r="2228">
      <c r="A2228" s="2" t="s">
        <v>12678</v>
      </c>
      <c r="B2228" s="1">
        <v>200.0</v>
      </c>
      <c r="C2228" s="1" t="s">
        <v>9838</v>
      </c>
      <c r="D2228" s="1" t="s">
        <v>609</v>
      </c>
      <c r="E2228" s="1" t="s">
        <v>631</v>
      </c>
    </row>
    <row r="2229">
      <c r="A2229" s="2" t="s">
        <v>12679</v>
      </c>
      <c r="B2229" s="1">
        <v>200.0</v>
      </c>
      <c r="C2229" s="1" t="s">
        <v>9838</v>
      </c>
      <c r="D2229" s="1" t="s">
        <v>609</v>
      </c>
      <c r="E2229" s="1" t="s">
        <v>631</v>
      </c>
      <c r="F2229" s="1">
        <v>0.0</v>
      </c>
      <c r="G2229" s="1">
        <v>6.0</v>
      </c>
      <c r="H2229" s="1">
        <v>0.0</v>
      </c>
      <c r="I2229" s="1">
        <v>2.0</v>
      </c>
    </row>
    <row r="2230">
      <c r="A2230" s="2" t="s">
        <v>12680</v>
      </c>
      <c r="B2230" s="1">
        <v>200.0</v>
      </c>
      <c r="C2230" s="1" t="s">
        <v>12681</v>
      </c>
      <c r="D2230" s="1" t="s">
        <v>583</v>
      </c>
      <c r="F2230" s="1">
        <v>0.0</v>
      </c>
      <c r="G2230" s="1">
        <v>12.0</v>
      </c>
      <c r="H2230" s="1">
        <v>0.0</v>
      </c>
      <c r="I2230" s="1">
        <v>11.83</v>
      </c>
    </row>
    <row r="2231">
      <c r="A2231" s="2" t="s">
        <v>12682</v>
      </c>
      <c r="B2231" s="1">
        <v>200.0</v>
      </c>
      <c r="C2231" s="1" t="s">
        <v>12683</v>
      </c>
      <c r="D2231" s="1" t="s">
        <v>583</v>
      </c>
    </row>
    <row r="2232">
      <c r="A2232" s="2" t="s">
        <v>12684</v>
      </c>
      <c r="B2232" s="1">
        <v>200.0</v>
      </c>
      <c r="C2232" s="1" t="s">
        <v>12685</v>
      </c>
      <c r="D2232" s="1" t="s">
        <v>583</v>
      </c>
      <c r="F2232" s="1">
        <v>2.0</v>
      </c>
      <c r="G2232" s="1">
        <v>168.0</v>
      </c>
      <c r="H2232" s="1">
        <v>0.012</v>
      </c>
      <c r="I2232" s="1">
        <v>19.73</v>
      </c>
    </row>
    <row r="2233">
      <c r="A2233" s="2" t="s">
        <v>12686</v>
      </c>
      <c r="B2233" s="1">
        <v>200.0</v>
      </c>
      <c r="C2233" s="1" t="s">
        <v>12687</v>
      </c>
      <c r="D2233" s="1" t="s">
        <v>583</v>
      </c>
      <c r="F2233" s="1">
        <v>0.0</v>
      </c>
      <c r="G2233" s="1">
        <v>12.0</v>
      </c>
      <c r="H2233" s="1">
        <v>0.0</v>
      </c>
      <c r="I2233" s="1">
        <v>16.83</v>
      </c>
    </row>
    <row r="2234">
      <c r="A2234" s="2" t="s">
        <v>12688</v>
      </c>
      <c r="B2234" s="1">
        <v>200.0</v>
      </c>
      <c r="C2234" s="1" t="s">
        <v>9838</v>
      </c>
      <c r="D2234" s="1" t="s">
        <v>609</v>
      </c>
      <c r="E2234" s="1" t="s">
        <v>631</v>
      </c>
    </row>
    <row r="2235">
      <c r="A2235" s="2" t="s">
        <v>12689</v>
      </c>
      <c r="B2235" s="1">
        <v>200.0</v>
      </c>
      <c r="C2235" s="1" t="s">
        <v>12690</v>
      </c>
      <c r="D2235" s="1" t="s">
        <v>583</v>
      </c>
      <c r="F2235" s="1">
        <v>0.0</v>
      </c>
      <c r="G2235" s="1">
        <v>77.0</v>
      </c>
      <c r="H2235" s="1">
        <v>0.0</v>
      </c>
      <c r="I2235" s="1">
        <v>20.0</v>
      </c>
    </row>
    <row r="2236">
      <c r="A2236" s="2" t="s">
        <v>12691</v>
      </c>
      <c r="B2236" s="1">
        <v>200.0</v>
      </c>
      <c r="C2236" s="1" t="s">
        <v>12692</v>
      </c>
      <c r="D2236" s="1" t="s">
        <v>583</v>
      </c>
      <c r="F2236" s="1">
        <v>0.0</v>
      </c>
      <c r="G2236" s="1">
        <v>25.0</v>
      </c>
      <c r="H2236" s="1">
        <v>0.0</v>
      </c>
      <c r="I2236" s="1">
        <v>16.6</v>
      </c>
    </row>
    <row r="2237">
      <c r="A2237" s="2" t="s">
        <v>12693</v>
      </c>
      <c r="B2237" s="1">
        <v>200.0</v>
      </c>
      <c r="C2237" s="1" t="s">
        <v>12694</v>
      </c>
      <c r="D2237" s="1" t="s">
        <v>583</v>
      </c>
      <c r="F2237" s="1">
        <v>0.0</v>
      </c>
      <c r="G2237" s="1">
        <v>8.0</v>
      </c>
      <c r="H2237" s="1">
        <v>0.0</v>
      </c>
      <c r="I2237" s="1">
        <v>3.88</v>
      </c>
    </row>
    <row r="2238">
      <c r="A2238" s="2" t="s">
        <v>12695</v>
      </c>
      <c r="B2238" s="1">
        <v>200.0</v>
      </c>
      <c r="C2238" s="1" t="s">
        <v>12696</v>
      </c>
      <c r="D2238" s="1" t="s">
        <v>583</v>
      </c>
      <c r="F2238" s="1">
        <v>4.0</v>
      </c>
      <c r="G2238" s="1">
        <v>232.0</v>
      </c>
      <c r="H2238" s="1">
        <v>0.017</v>
      </c>
      <c r="I2238" s="1">
        <v>18.77</v>
      </c>
    </row>
    <row r="2239">
      <c r="A2239" s="2" t="s">
        <v>12697</v>
      </c>
      <c r="B2239" s="1">
        <v>200.0</v>
      </c>
      <c r="C2239" s="1" t="s">
        <v>12698</v>
      </c>
      <c r="D2239" s="1" t="s">
        <v>583</v>
      </c>
      <c r="F2239" s="1">
        <v>0.0</v>
      </c>
      <c r="G2239" s="1">
        <v>28.0</v>
      </c>
      <c r="H2239" s="1">
        <v>0.0</v>
      </c>
      <c r="I2239" s="1">
        <v>2.14</v>
      </c>
    </row>
    <row r="2240">
      <c r="A2240" s="2" t="s">
        <v>12699</v>
      </c>
      <c r="B2240" s="1">
        <v>200.0</v>
      </c>
      <c r="C2240" s="1" t="s">
        <v>9212</v>
      </c>
      <c r="D2240" s="1" t="s">
        <v>609</v>
      </c>
      <c r="E2240" s="1" t="s">
        <v>631</v>
      </c>
      <c r="F2240" s="1">
        <v>0.0</v>
      </c>
      <c r="G2240" s="1">
        <v>5.0</v>
      </c>
      <c r="H2240" s="1">
        <v>0.0</v>
      </c>
      <c r="I2240" s="1">
        <v>12.6</v>
      </c>
    </row>
    <row r="2241">
      <c r="A2241" s="2" t="s">
        <v>12700</v>
      </c>
      <c r="B2241" s="1">
        <v>200.0</v>
      </c>
      <c r="C2241" s="1" t="s">
        <v>12701</v>
      </c>
      <c r="D2241" s="1" t="s">
        <v>583</v>
      </c>
      <c r="F2241" s="1">
        <v>1.0</v>
      </c>
      <c r="G2241" s="1">
        <v>336.0</v>
      </c>
      <c r="H2241" s="1">
        <v>0.003</v>
      </c>
      <c r="I2241" s="1">
        <v>18.7</v>
      </c>
    </row>
    <row r="2242">
      <c r="A2242" s="2" t="s">
        <v>12702</v>
      </c>
      <c r="B2242" s="1">
        <v>200.0</v>
      </c>
      <c r="C2242" s="1" t="s">
        <v>12703</v>
      </c>
      <c r="D2242" s="1" t="s">
        <v>583</v>
      </c>
      <c r="F2242" s="1">
        <v>2.0</v>
      </c>
      <c r="G2242" s="1">
        <v>106.0</v>
      </c>
      <c r="H2242" s="1">
        <v>0.019</v>
      </c>
      <c r="I2242" s="1">
        <v>7.64</v>
      </c>
    </row>
    <row r="2243">
      <c r="A2243" s="2" t="s">
        <v>12704</v>
      </c>
      <c r="B2243" s="1">
        <v>200.0</v>
      </c>
      <c r="C2243" s="1" t="s">
        <v>11907</v>
      </c>
      <c r="D2243" s="1" t="s">
        <v>609</v>
      </c>
      <c r="E2243" s="1" t="s">
        <v>631</v>
      </c>
    </row>
    <row r="2244">
      <c r="A2244" s="2" t="s">
        <v>12705</v>
      </c>
      <c r="B2244" s="1">
        <v>200.0</v>
      </c>
      <c r="C2244" s="1" t="s">
        <v>12706</v>
      </c>
      <c r="D2244" s="1" t="s">
        <v>583</v>
      </c>
      <c r="F2244" s="1">
        <v>0.0</v>
      </c>
      <c r="G2244" s="1">
        <v>536.0</v>
      </c>
      <c r="H2244" s="1">
        <v>0.0</v>
      </c>
      <c r="I2244" s="1">
        <v>33.25</v>
      </c>
    </row>
    <row r="2245">
      <c r="A2245" s="2" t="s">
        <v>12707</v>
      </c>
      <c r="B2245" s="1">
        <v>200.0</v>
      </c>
      <c r="C2245" s="1" t="s">
        <v>12708</v>
      </c>
      <c r="D2245" s="1" t="s">
        <v>583</v>
      </c>
      <c r="F2245" s="1">
        <v>1.0</v>
      </c>
      <c r="G2245" s="1">
        <v>164.0</v>
      </c>
      <c r="H2245" s="1">
        <v>0.006</v>
      </c>
      <c r="I2245" s="1">
        <v>27.82</v>
      </c>
    </row>
    <row r="2246">
      <c r="A2246" s="2" t="s">
        <v>12709</v>
      </c>
      <c r="B2246" s="1">
        <v>200.0</v>
      </c>
      <c r="C2246" s="1" t="s">
        <v>12710</v>
      </c>
      <c r="D2246" s="1" t="s">
        <v>583</v>
      </c>
      <c r="F2246" s="1">
        <v>0.0</v>
      </c>
      <c r="G2246" s="1">
        <v>22.0</v>
      </c>
      <c r="H2246" s="1">
        <v>0.0</v>
      </c>
      <c r="I2246" s="1">
        <v>7.45</v>
      </c>
    </row>
    <row r="2247">
      <c r="A2247" s="2" t="s">
        <v>12711</v>
      </c>
      <c r="B2247" s="1">
        <v>200.0</v>
      </c>
      <c r="C2247" s="1" t="s">
        <v>9007</v>
      </c>
      <c r="D2247" s="1" t="s">
        <v>609</v>
      </c>
      <c r="E2247" s="1" t="s">
        <v>631</v>
      </c>
    </row>
    <row r="2248">
      <c r="A2248" s="2" t="s">
        <v>12712</v>
      </c>
      <c r="B2248" s="1">
        <v>200.0</v>
      </c>
      <c r="C2248" s="1" t="s">
        <v>9212</v>
      </c>
      <c r="D2248" s="1" t="s">
        <v>609</v>
      </c>
      <c r="E2248" s="1" t="s">
        <v>631</v>
      </c>
      <c r="F2248" s="1">
        <v>0.0</v>
      </c>
      <c r="G2248" s="1">
        <v>4.0</v>
      </c>
      <c r="H2248" s="1">
        <v>0.0</v>
      </c>
      <c r="I2248" s="1">
        <v>2.5</v>
      </c>
    </row>
    <row r="2249">
      <c r="A2249" s="2" t="s">
        <v>12713</v>
      </c>
      <c r="B2249" s="1">
        <v>200.0</v>
      </c>
      <c r="C2249" s="1" t="s">
        <v>9007</v>
      </c>
      <c r="D2249" s="1" t="s">
        <v>609</v>
      </c>
      <c r="E2249" s="1" t="s">
        <v>631</v>
      </c>
    </row>
    <row r="2250">
      <c r="A2250" s="2" t="s">
        <v>12714</v>
      </c>
      <c r="B2250" s="1">
        <v>200.0</v>
      </c>
      <c r="C2250" s="1" t="s">
        <v>9212</v>
      </c>
      <c r="D2250" s="1" t="s">
        <v>609</v>
      </c>
      <c r="E2250" s="1" t="s">
        <v>631</v>
      </c>
      <c r="F2250" s="1">
        <v>0.0</v>
      </c>
      <c r="G2250" s="1">
        <v>6.0</v>
      </c>
      <c r="H2250" s="1">
        <v>0.0</v>
      </c>
      <c r="I2250" s="1">
        <v>13.33</v>
      </c>
    </row>
    <row r="2251">
      <c r="A2251" s="2" t="s">
        <v>12715</v>
      </c>
      <c r="B2251" s="1">
        <v>200.0</v>
      </c>
      <c r="C2251" s="1" t="s">
        <v>9011</v>
      </c>
      <c r="D2251" s="1" t="s">
        <v>609</v>
      </c>
      <c r="E2251" s="1" t="s">
        <v>631</v>
      </c>
    </row>
    <row r="2252">
      <c r="A2252" s="2" t="s">
        <v>12716</v>
      </c>
      <c r="B2252" s="1">
        <v>200.0</v>
      </c>
      <c r="C2252" s="1" t="s">
        <v>9011</v>
      </c>
      <c r="D2252" s="1" t="s">
        <v>609</v>
      </c>
      <c r="E2252" s="1" t="s">
        <v>631</v>
      </c>
      <c r="F2252" s="1">
        <v>0.0</v>
      </c>
      <c r="G2252" s="1">
        <v>14.0</v>
      </c>
      <c r="H2252" s="1">
        <v>0.0</v>
      </c>
      <c r="I2252" s="1">
        <v>6.21</v>
      </c>
    </row>
    <row r="2253">
      <c r="A2253" s="2" t="s">
        <v>12717</v>
      </c>
      <c r="B2253" s="1">
        <v>200.0</v>
      </c>
      <c r="C2253" s="1" t="s">
        <v>9011</v>
      </c>
      <c r="D2253" s="1" t="s">
        <v>609</v>
      </c>
      <c r="E2253" s="1" t="s">
        <v>631</v>
      </c>
      <c r="F2253" s="1">
        <v>0.0</v>
      </c>
      <c r="G2253" s="1">
        <v>19.0</v>
      </c>
      <c r="H2253" s="1">
        <v>0.0</v>
      </c>
      <c r="I2253" s="1">
        <v>10.79</v>
      </c>
    </row>
    <row r="2254">
      <c r="A2254" s="2" t="s">
        <v>12718</v>
      </c>
      <c r="B2254" s="1">
        <v>200.0</v>
      </c>
      <c r="C2254" s="1" t="s">
        <v>8986</v>
      </c>
      <c r="D2254" s="1" t="s">
        <v>609</v>
      </c>
      <c r="E2254" s="1" t="s">
        <v>631</v>
      </c>
    </row>
    <row r="2255">
      <c r="A2255" s="2" t="s">
        <v>12719</v>
      </c>
      <c r="B2255" s="1">
        <v>200.0</v>
      </c>
      <c r="C2255" s="1" t="s">
        <v>12720</v>
      </c>
      <c r="D2255" s="1" t="s">
        <v>583</v>
      </c>
      <c r="F2255" s="1">
        <v>13.0</v>
      </c>
      <c r="G2255" s="1">
        <v>1353.0</v>
      </c>
      <c r="H2255" s="1">
        <v>0.01</v>
      </c>
      <c r="I2255" s="1">
        <v>12.54</v>
      </c>
    </row>
    <row r="2256">
      <c r="A2256" s="2" t="s">
        <v>12721</v>
      </c>
      <c r="B2256" s="1">
        <v>200.0</v>
      </c>
      <c r="C2256" s="1" t="s">
        <v>12722</v>
      </c>
      <c r="D2256" s="1" t="s">
        <v>583</v>
      </c>
      <c r="F2256" s="1">
        <v>1.0</v>
      </c>
      <c r="G2256" s="1">
        <v>521.0</v>
      </c>
      <c r="H2256" s="1">
        <v>0.002</v>
      </c>
      <c r="I2256" s="1">
        <v>5.52</v>
      </c>
    </row>
    <row r="2257">
      <c r="A2257" s="2" t="s">
        <v>12723</v>
      </c>
      <c r="B2257" s="1">
        <v>200.0</v>
      </c>
      <c r="C2257" s="1" t="s">
        <v>9840</v>
      </c>
      <c r="D2257" s="1" t="s">
        <v>609</v>
      </c>
      <c r="E2257" s="1" t="s">
        <v>631</v>
      </c>
    </row>
    <row r="2258">
      <c r="A2258" s="2" t="s">
        <v>12724</v>
      </c>
      <c r="B2258" s="1">
        <v>200.0</v>
      </c>
      <c r="C2258" s="1" t="s">
        <v>9840</v>
      </c>
      <c r="D2258" s="1" t="s">
        <v>609</v>
      </c>
      <c r="E2258" s="1" t="s">
        <v>631</v>
      </c>
    </row>
    <row r="2259">
      <c r="A2259" s="2" t="s">
        <v>12725</v>
      </c>
      <c r="B2259" s="1">
        <v>200.0</v>
      </c>
      <c r="C2259" s="1" t="s">
        <v>9058</v>
      </c>
      <c r="D2259" s="1" t="s">
        <v>609</v>
      </c>
      <c r="E2259" s="1" t="s">
        <v>631</v>
      </c>
    </row>
    <row r="2260">
      <c r="A2260" s="2" t="s">
        <v>12726</v>
      </c>
      <c r="B2260" s="1">
        <v>200.0</v>
      </c>
      <c r="C2260" s="1" t="s">
        <v>12727</v>
      </c>
      <c r="D2260" s="1" t="s">
        <v>583</v>
      </c>
      <c r="F2260" s="1">
        <v>31.0</v>
      </c>
      <c r="G2260" s="1">
        <v>2423.0</v>
      </c>
      <c r="H2260" s="1">
        <v>0.013</v>
      </c>
      <c r="I2260" s="1">
        <v>5.45</v>
      </c>
    </row>
    <row r="2261">
      <c r="A2261" s="2" t="s">
        <v>12728</v>
      </c>
      <c r="B2261" s="1">
        <v>200.0</v>
      </c>
      <c r="C2261" s="1" t="s">
        <v>12729</v>
      </c>
      <c r="D2261" s="1" t="s">
        <v>583</v>
      </c>
      <c r="F2261" s="1">
        <v>0.0</v>
      </c>
      <c r="G2261" s="1">
        <v>11.0</v>
      </c>
      <c r="H2261" s="1">
        <v>0.0</v>
      </c>
      <c r="I2261" s="1">
        <v>7.09</v>
      </c>
    </row>
    <row r="2262">
      <c r="A2262" s="2" t="s">
        <v>12730</v>
      </c>
      <c r="B2262" s="1">
        <v>200.0</v>
      </c>
      <c r="C2262" s="1" t="s">
        <v>9212</v>
      </c>
      <c r="D2262" s="1" t="s">
        <v>609</v>
      </c>
      <c r="E2262" s="1" t="s">
        <v>631</v>
      </c>
    </row>
    <row r="2263">
      <c r="A2263" s="2" t="s">
        <v>12731</v>
      </c>
      <c r="B2263" s="1">
        <v>200.0</v>
      </c>
      <c r="C2263" s="1" t="s">
        <v>9838</v>
      </c>
      <c r="D2263" s="1" t="s">
        <v>609</v>
      </c>
      <c r="E2263" s="1" t="s">
        <v>631</v>
      </c>
    </row>
    <row r="2264">
      <c r="A2264" s="2" t="s">
        <v>12732</v>
      </c>
      <c r="B2264" s="1">
        <v>200.0</v>
      </c>
      <c r="C2264" s="1" t="s">
        <v>11907</v>
      </c>
      <c r="D2264" s="1" t="s">
        <v>609</v>
      </c>
      <c r="E2264" s="1" t="s">
        <v>631</v>
      </c>
    </row>
    <row r="2265">
      <c r="A2265" s="2" t="s">
        <v>12733</v>
      </c>
      <c r="B2265" s="1">
        <v>200.0</v>
      </c>
      <c r="C2265" s="1" t="s">
        <v>9011</v>
      </c>
      <c r="D2265" s="1" t="s">
        <v>609</v>
      </c>
      <c r="E2265" s="1" t="s">
        <v>631</v>
      </c>
      <c r="F2265" s="1">
        <v>0.0</v>
      </c>
      <c r="G2265" s="1">
        <v>4.0</v>
      </c>
      <c r="H2265" s="1">
        <v>0.0</v>
      </c>
      <c r="I2265" s="1">
        <v>7.5</v>
      </c>
    </row>
    <row r="2266">
      <c r="A2266" s="2" t="s">
        <v>12734</v>
      </c>
      <c r="B2266" s="1">
        <v>200.0</v>
      </c>
      <c r="C2266" s="1" t="s">
        <v>8986</v>
      </c>
      <c r="D2266" s="1" t="s">
        <v>609</v>
      </c>
      <c r="E2266" s="1" t="s">
        <v>631</v>
      </c>
    </row>
    <row r="2267">
      <c r="A2267" s="2" t="s">
        <v>12735</v>
      </c>
      <c r="B2267" s="1">
        <v>200.0</v>
      </c>
      <c r="C2267" s="1" t="s">
        <v>8986</v>
      </c>
      <c r="D2267" s="1" t="s">
        <v>609</v>
      </c>
      <c r="E2267" s="1" t="s">
        <v>631</v>
      </c>
    </row>
    <row r="2268">
      <c r="A2268" s="2" t="s">
        <v>12736</v>
      </c>
      <c r="B2268" s="1">
        <v>200.0</v>
      </c>
      <c r="C2268" s="1" t="s">
        <v>8986</v>
      </c>
      <c r="D2268" s="1" t="s">
        <v>609</v>
      </c>
      <c r="E2268" s="1" t="s">
        <v>631</v>
      </c>
    </row>
    <row r="2269">
      <c r="A2269" s="2" t="s">
        <v>12737</v>
      </c>
      <c r="B2269" s="1">
        <v>200.0</v>
      </c>
      <c r="C2269" s="1" t="s">
        <v>9058</v>
      </c>
      <c r="D2269" s="1" t="s">
        <v>609</v>
      </c>
      <c r="E2269" s="1" t="s">
        <v>631</v>
      </c>
      <c r="F2269" s="1">
        <v>0.0</v>
      </c>
      <c r="G2269" s="1">
        <v>12.0</v>
      </c>
      <c r="H2269" s="1">
        <v>0.0</v>
      </c>
      <c r="I2269" s="1">
        <v>6.17</v>
      </c>
    </row>
    <row r="2270">
      <c r="A2270" s="2" t="s">
        <v>12738</v>
      </c>
      <c r="B2270" s="1">
        <v>200.0</v>
      </c>
      <c r="C2270" s="1" t="s">
        <v>9842</v>
      </c>
      <c r="D2270" s="1" t="s">
        <v>609</v>
      </c>
      <c r="E2270" s="1" t="s">
        <v>631</v>
      </c>
    </row>
    <row r="2271">
      <c r="A2271" s="2" t="s">
        <v>12739</v>
      </c>
      <c r="B2271" s="1">
        <v>200.0</v>
      </c>
      <c r="C2271" s="1" t="s">
        <v>9212</v>
      </c>
      <c r="D2271" s="1" t="s">
        <v>609</v>
      </c>
      <c r="E2271" s="1" t="s">
        <v>631</v>
      </c>
    </row>
    <row r="2272">
      <c r="A2272" s="2" t="s">
        <v>12740</v>
      </c>
      <c r="B2272" s="1">
        <v>200.0</v>
      </c>
      <c r="C2272" s="1" t="s">
        <v>9838</v>
      </c>
      <c r="D2272" s="1" t="s">
        <v>609</v>
      </c>
      <c r="E2272" s="1" t="s">
        <v>631</v>
      </c>
    </row>
    <row r="2273">
      <c r="A2273" s="2" t="s">
        <v>12741</v>
      </c>
      <c r="B2273" s="1">
        <v>200.0</v>
      </c>
      <c r="C2273" s="1" t="s">
        <v>9842</v>
      </c>
      <c r="D2273" s="1" t="s">
        <v>609</v>
      </c>
      <c r="E2273" s="1" t="s">
        <v>631</v>
      </c>
      <c r="F2273" s="1">
        <v>0.0</v>
      </c>
      <c r="G2273" s="1">
        <v>5.0</v>
      </c>
      <c r="H2273" s="1">
        <v>0.0</v>
      </c>
      <c r="I2273" s="1">
        <v>17.6</v>
      </c>
    </row>
    <row r="2274">
      <c r="A2274" s="2" t="s">
        <v>12742</v>
      </c>
      <c r="B2274" s="1">
        <v>200.0</v>
      </c>
      <c r="C2274" s="1" t="s">
        <v>9212</v>
      </c>
      <c r="D2274" s="1" t="s">
        <v>609</v>
      </c>
      <c r="E2274" s="1" t="s">
        <v>631</v>
      </c>
    </row>
    <row r="2275">
      <c r="A2275" s="2" t="s">
        <v>12743</v>
      </c>
      <c r="B2275" s="1">
        <v>200.0</v>
      </c>
      <c r="C2275" s="1" t="s">
        <v>8986</v>
      </c>
      <c r="D2275" s="1" t="s">
        <v>609</v>
      </c>
      <c r="E2275" s="1" t="s">
        <v>631</v>
      </c>
    </row>
    <row r="2276">
      <c r="A2276" s="2" t="s">
        <v>12744</v>
      </c>
      <c r="B2276" s="1">
        <v>200.0</v>
      </c>
      <c r="C2276" s="1" t="s">
        <v>9844</v>
      </c>
      <c r="D2276" s="1" t="s">
        <v>609</v>
      </c>
      <c r="E2276" s="1" t="s">
        <v>631</v>
      </c>
    </row>
    <row r="2277">
      <c r="A2277" s="2" t="s">
        <v>12745</v>
      </c>
      <c r="B2277" s="1">
        <v>200.0</v>
      </c>
      <c r="C2277" s="1" t="s">
        <v>9844</v>
      </c>
      <c r="D2277" s="1" t="s">
        <v>609</v>
      </c>
      <c r="E2277" s="1" t="s">
        <v>631</v>
      </c>
    </row>
    <row r="2278">
      <c r="A2278" s="2" t="s">
        <v>12746</v>
      </c>
      <c r="B2278" s="1">
        <v>200.0</v>
      </c>
      <c r="C2278" s="1" t="s">
        <v>9840</v>
      </c>
      <c r="D2278" s="1" t="s">
        <v>609</v>
      </c>
      <c r="E2278" s="1" t="s">
        <v>631</v>
      </c>
      <c r="F2278" s="1">
        <v>0.0</v>
      </c>
      <c r="G2278" s="1">
        <v>2.0</v>
      </c>
      <c r="H2278" s="1">
        <v>0.0</v>
      </c>
      <c r="I2278" s="1">
        <v>12.5</v>
      </c>
    </row>
    <row r="2279">
      <c r="A2279" s="2" t="s">
        <v>12747</v>
      </c>
      <c r="B2279" s="1">
        <v>200.0</v>
      </c>
      <c r="C2279" s="1" t="s">
        <v>9844</v>
      </c>
      <c r="D2279" s="1" t="s">
        <v>609</v>
      </c>
      <c r="E2279" s="1" t="s">
        <v>631</v>
      </c>
      <c r="F2279" s="1">
        <v>1.0</v>
      </c>
      <c r="G2279" s="1">
        <v>11.0</v>
      </c>
      <c r="H2279" s="1">
        <v>0.091</v>
      </c>
      <c r="I2279" s="1">
        <v>12.64</v>
      </c>
    </row>
    <row r="2280">
      <c r="A2280" s="2" t="s">
        <v>12748</v>
      </c>
      <c r="B2280" s="1">
        <v>200.0</v>
      </c>
      <c r="C2280" s="1" t="s">
        <v>9844</v>
      </c>
      <c r="D2280" s="1" t="s">
        <v>609</v>
      </c>
      <c r="E2280" s="1" t="s">
        <v>631</v>
      </c>
    </row>
    <row r="2281">
      <c r="A2281" s="2" t="s">
        <v>12749</v>
      </c>
      <c r="B2281" s="1">
        <v>200.0</v>
      </c>
      <c r="C2281" s="1" t="s">
        <v>9886</v>
      </c>
      <c r="D2281" s="1" t="s">
        <v>609</v>
      </c>
      <c r="E2281" s="1" t="s">
        <v>631</v>
      </c>
    </row>
    <row r="2282">
      <c r="A2282" s="2" t="s">
        <v>12750</v>
      </c>
      <c r="B2282" s="1">
        <v>200.0</v>
      </c>
      <c r="C2282" s="1" t="s">
        <v>9860</v>
      </c>
      <c r="D2282" s="1" t="s">
        <v>609</v>
      </c>
      <c r="E2282" s="1" t="s">
        <v>631</v>
      </c>
    </row>
    <row r="2283">
      <c r="A2283" s="2" t="s">
        <v>12751</v>
      </c>
      <c r="B2283" s="1">
        <v>200.0</v>
      </c>
      <c r="C2283" s="1" t="s">
        <v>9838</v>
      </c>
      <c r="D2283" s="1" t="s">
        <v>609</v>
      </c>
      <c r="E2283" s="1" t="s">
        <v>631</v>
      </c>
    </row>
    <row r="2284">
      <c r="A2284" s="2" t="s">
        <v>12752</v>
      </c>
      <c r="B2284" s="1">
        <v>200.0</v>
      </c>
      <c r="C2284" s="1" t="s">
        <v>9886</v>
      </c>
      <c r="D2284" s="1" t="s">
        <v>609</v>
      </c>
      <c r="E2284" s="1" t="s">
        <v>631</v>
      </c>
    </row>
    <row r="2285">
      <c r="A2285" s="2" t="s">
        <v>12753</v>
      </c>
      <c r="B2285" s="1">
        <v>200.0</v>
      </c>
      <c r="C2285" s="1" t="s">
        <v>9838</v>
      </c>
      <c r="D2285" s="1" t="s">
        <v>609</v>
      </c>
      <c r="E2285" s="1" t="s">
        <v>631</v>
      </c>
    </row>
    <row r="2286">
      <c r="A2286" s="2" t="s">
        <v>12754</v>
      </c>
      <c r="B2286" s="1">
        <v>200.0</v>
      </c>
      <c r="C2286" s="1" t="s">
        <v>9842</v>
      </c>
      <c r="D2286" s="1" t="s">
        <v>609</v>
      </c>
      <c r="E2286" s="1" t="s">
        <v>631</v>
      </c>
    </row>
    <row r="2287">
      <c r="A2287" s="2" t="s">
        <v>12755</v>
      </c>
      <c r="B2287" s="1">
        <v>200.0</v>
      </c>
      <c r="C2287" s="1" t="s">
        <v>9860</v>
      </c>
      <c r="D2287" s="1" t="s">
        <v>609</v>
      </c>
      <c r="E2287" s="1" t="s">
        <v>631</v>
      </c>
      <c r="F2287" s="1">
        <v>0.0</v>
      </c>
      <c r="G2287" s="1">
        <v>2.0</v>
      </c>
      <c r="H2287" s="1">
        <v>0.0</v>
      </c>
      <c r="I2287" s="1">
        <v>11.0</v>
      </c>
    </row>
    <row r="2288">
      <c r="A2288" s="2" t="s">
        <v>12756</v>
      </c>
      <c r="B2288" s="1">
        <v>200.0</v>
      </c>
      <c r="C2288" s="1" t="s">
        <v>9872</v>
      </c>
      <c r="D2288" s="1" t="s">
        <v>609</v>
      </c>
      <c r="E2288" s="1" t="s">
        <v>631</v>
      </c>
    </row>
    <row r="2289">
      <c r="A2289" s="2" t="s">
        <v>12757</v>
      </c>
      <c r="B2289" s="1">
        <v>200.0</v>
      </c>
      <c r="C2289" s="1" t="s">
        <v>9842</v>
      </c>
      <c r="D2289" s="1" t="s">
        <v>609</v>
      </c>
      <c r="E2289" s="1" t="s">
        <v>631</v>
      </c>
    </row>
    <row r="2290">
      <c r="A2290" s="2" t="s">
        <v>12758</v>
      </c>
      <c r="B2290" s="1">
        <v>200.0</v>
      </c>
      <c r="C2290" s="1" t="s">
        <v>9864</v>
      </c>
      <c r="D2290" s="1" t="s">
        <v>609</v>
      </c>
      <c r="E2290" s="1" t="s">
        <v>631</v>
      </c>
      <c r="F2290" s="1">
        <v>0.0</v>
      </c>
      <c r="G2290" s="1">
        <v>11.0</v>
      </c>
      <c r="H2290" s="1">
        <v>0.0</v>
      </c>
      <c r="I2290" s="1">
        <v>4.27</v>
      </c>
    </row>
    <row r="2291">
      <c r="A2291" s="2" t="s">
        <v>12759</v>
      </c>
      <c r="B2291" s="1">
        <v>200.0</v>
      </c>
      <c r="C2291" s="1" t="s">
        <v>9864</v>
      </c>
      <c r="D2291" s="1" t="s">
        <v>609</v>
      </c>
      <c r="E2291" s="1" t="s">
        <v>631</v>
      </c>
      <c r="F2291" s="1">
        <v>0.0</v>
      </c>
      <c r="G2291" s="1">
        <v>11.0</v>
      </c>
      <c r="H2291" s="1">
        <v>0.0</v>
      </c>
      <c r="I2291" s="1">
        <v>8.18</v>
      </c>
    </row>
    <row r="2292">
      <c r="A2292" s="2" t="s">
        <v>12760</v>
      </c>
      <c r="B2292" s="1">
        <v>200.0</v>
      </c>
      <c r="C2292" s="1" t="s">
        <v>9864</v>
      </c>
      <c r="D2292" s="1" t="s">
        <v>609</v>
      </c>
      <c r="E2292" s="1" t="s">
        <v>631</v>
      </c>
      <c r="F2292" s="1">
        <v>0.0</v>
      </c>
      <c r="G2292" s="1">
        <v>2.0</v>
      </c>
      <c r="H2292" s="1">
        <v>0.0</v>
      </c>
      <c r="I2292" s="1">
        <v>4.5</v>
      </c>
    </row>
    <row r="2293">
      <c r="A2293" s="2" t="s">
        <v>12761</v>
      </c>
      <c r="B2293" s="1">
        <v>200.0</v>
      </c>
      <c r="C2293" s="1" t="s">
        <v>9864</v>
      </c>
      <c r="D2293" s="1" t="s">
        <v>609</v>
      </c>
      <c r="E2293" s="1" t="s">
        <v>631</v>
      </c>
    </row>
    <row r="2294">
      <c r="A2294" s="2" t="s">
        <v>12762</v>
      </c>
      <c r="B2294" s="1">
        <v>200.0</v>
      </c>
      <c r="C2294" s="1" t="s">
        <v>9872</v>
      </c>
      <c r="D2294" s="1" t="s">
        <v>609</v>
      </c>
      <c r="E2294" s="1" t="s">
        <v>631</v>
      </c>
    </row>
    <row r="2295">
      <c r="A2295" s="2" t="s">
        <v>12763</v>
      </c>
      <c r="B2295" s="1">
        <v>200.0</v>
      </c>
      <c r="C2295" s="1" t="s">
        <v>9872</v>
      </c>
      <c r="D2295" s="1" t="s">
        <v>609</v>
      </c>
      <c r="E2295" s="1" t="s">
        <v>631</v>
      </c>
    </row>
    <row r="2296">
      <c r="A2296" s="2" t="s">
        <v>12764</v>
      </c>
      <c r="B2296" s="1">
        <v>200.0</v>
      </c>
      <c r="C2296" s="1" t="s">
        <v>9882</v>
      </c>
      <c r="D2296" s="1" t="s">
        <v>609</v>
      </c>
      <c r="E2296" s="1" t="s">
        <v>631</v>
      </c>
      <c r="F2296" s="1">
        <v>0.0</v>
      </c>
      <c r="G2296" s="1">
        <v>4.0</v>
      </c>
      <c r="H2296" s="1">
        <v>0.0</v>
      </c>
      <c r="I2296" s="1">
        <v>16.0</v>
      </c>
    </row>
    <row r="2297">
      <c r="A2297" s="2" t="s">
        <v>12765</v>
      </c>
      <c r="B2297" s="1">
        <v>200.0</v>
      </c>
      <c r="C2297" s="1" t="s">
        <v>9876</v>
      </c>
      <c r="D2297" s="1" t="s">
        <v>609</v>
      </c>
      <c r="E2297" s="1" t="s">
        <v>631</v>
      </c>
    </row>
    <row r="2298">
      <c r="A2298" s="2" t="s">
        <v>12766</v>
      </c>
      <c r="B2298" s="1">
        <v>200.0</v>
      </c>
      <c r="C2298" s="1" t="s">
        <v>9876</v>
      </c>
      <c r="D2298" s="1" t="s">
        <v>609</v>
      </c>
      <c r="E2298" s="1" t="s">
        <v>631</v>
      </c>
    </row>
    <row r="2299">
      <c r="A2299" s="2" t="s">
        <v>12767</v>
      </c>
      <c r="B2299" s="1">
        <v>200.0</v>
      </c>
      <c r="C2299" s="1" t="s">
        <v>9876</v>
      </c>
      <c r="D2299" s="1" t="s">
        <v>609</v>
      </c>
      <c r="E2299" s="1" t="s">
        <v>631</v>
      </c>
    </row>
    <row r="2300">
      <c r="A2300" s="2" t="s">
        <v>12768</v>
      </c>
      <c r="B2300" s="1">
        <v>200.0</v>
      </c>
      <c r="C2300" s="1" t="s">
        <v>9860</v>
      </c>
      <c r="D2300" s="1" t="s">
        <v>609</v>
      </c>
      <c r="E2300" s="1" t="s">
        <v>631</v>
      </c>
    </row>
    <row r="2301">
      <c r="A2301" s="2" t="s">
        <v>12769</v>
      </c>
      <c r="B2301" s="1">
        <v>200.0</v>
      </c>
      <c r="C2301" s="1" t="s">
        <v>9860</v>
      </c>
      <c r="D2301" s="1" t="s">
        <v>609</v>
      </c>
      <c r="E2301" s="1" t="s">
        <v>631</v>
      </c>
    </row>
    <row r="2302">
      <c r="A2302" s="2" t="s">
        <v>12770</v>
      </c>
      <c r="B2302" s="1">
        <v>200.0</v>
      </c>
      <c r="C2302" s="1" t="s">
        <v>9882</v>
      </c>
      <c r="D2302" s="1" t="s">
        <v>609</v>
      </c>
      <c r="E2302" s="1" t="s">
        <v>631</v>
      </c>
    </row>
    <row r="2303">
      <c r="A2303" s="2" t="s">
        <v>12771</v>
      </c>
      <c r="B2303" s="1">
        <v>200.0</v>
      </c>
      <c r="C2303" s="1" t="s">
        <v>9882</v>
      </c>
      <c r="D2303" s="1" t="s">
        <v>609</v>
      </c>
      <c r="E2303" s="1" t="s">
        <v>631</v>
      </c>
    </row>
    <row r="2304">
      <c r="A2304" s="2" t="s">
        <v>12772</v>
      </c>
      <c r="B2304" s="1">
        <v>200.0</v>
      </c>
      <c r="C2304" s="1" t="s">
        <v>9896</v>
      </c>
      <c r="D2304" s="1" t="s">
        <v>609</v>
      </c>
      <c r="E2304" s="1" t="s">
        <v>631</v>
      </c>
    </row>
    <row r="2305">
      <c r="A2305" s="2" t="s">
        <v>12773</v>
      </c>
      <c r="B2305" s="1">
        <v>200.0</v>
      </c>
      <c r="C2305" s="1" t="s">
        <v>9896</v>
      </c>
      <c r="D2305" s="1" t="s">
        <v>609</v>
      </c>
      <c r="E2305" s="1" t="s">
        <v>631</v>
      </c>
    </row>
    <row r="2306">
      <c r="A2306" s="2" t="s">
        <v>12774</v>
      </c>
      <c r="B2306" s="1">
        <v>200.0</v>
      </c>
      <c r="C2306" s="1" t="s">
        <v>9882</v>
      </c>
      <c r="D2306" s="1" t="s">
        <v>609</v>
      </c>
      <c r="E2306" s="1" t="s">
        <v>631</v>
      </c>
      <c r="F2306" s="1">
        <v>0.0</v>
      </c>
      <c r="G2306" s="1">
        <v>2.0</v>
      </c>
      <c r="H2306" s="1">
        <v>0.0</v>
      </c>
      <c r="I2306" s="1">
        <v>2.5</v>
      </c>
    </row>
    <row r="2307">
      <c r="A2307" s="2" t="s">
        <v>12775</v>
      </c>
      <c r="B2307" s="1">
        <v>200.0</v>
      </c>
      <c r="C2307" s="1" t="s">
        <v>9886</v>
      </c>
      <c r="D2307" s="1" t="s">
        <v>609</v>
      </c>
      <c r="E2307" s="1" t="s">
        <v>631</v>
      </c>
      <c r="F2307" s="1">
        <v>0.0</v>
      </c>
      <c r="G2307" s="1">
        <v>1.0</v>
      </c>
      <c r="H2307" s="1">
        <v>0.0</v>
      </c>
      <c r="I2307" s="1">
        <v>19.0</v>
      </c>
    </row>
    <row r="2308">
      <c r="A2308" s="2" t="s">
        <v>12776</v>
      </c>
      <c r="B2308" s="1">
        <v>200.0</v>
      </c>
      <c r="C2308" s="1" t="s">
        <v>9896</v>
      </c>
      <c r="D2308" s="1" t="s">
        <v>609</v>
      </c>
      <c r="E2308" s="1" t="s">
        <v>631</v>
      </c>
    </row>
    <row r="2309">
      <c r="A2309" s="2" t="s">
        <v>12777</v>
      </c>
      <c r="B2309" s="1">
        <v>200.0</v>
      </c>
      <c r="C2309" s="1" t="s">
        <v>9872</v>
      </c>
      <c r="D2309" s="1" t="s">
        <v>609</v>
      </c>
      <c r="E2309" s="1" t="s">
        <v>631</v>
      </c>
    </row>
    <row r="2310">
      <c r="A2310" s="2" t="s">
        <v>12778</v>
      </c>
      <c r="B2310" s="1">
        <v>200.0</v>
      </c>
      <c r="C2310" s="1" t="s">
        <v>9070</v>
      </c>
      <c r="D2310" s="1" t="s">
        <v>609</v>
      </c>
      <c r="E2310" s="1" t="s">
        <v>631</v>
      </c>
    </row>
    <row r="2311">
      <c r="A2311" s="2" t="s">
        <v>12779</v>
      </c>
      <c r="B2311" s="1">
        <v>200.0</v>
      </c>
      <c r="C2311" s="1" t="s">
        <v>9070</v>
      </c>
      <c r="D2311" s="1" t="s">
        <v>609</v>
      </c>
      <c r="E2311" s="1" t="s">
        <v>631</v>
      </c>
    </row>
    <row r="2312">
      <c r="A2312" s="2" t="s">
        <v>12780</v>
      </c>
      <c r="B2312" s="1">
        <v>200.0</v>
      </c>
      <c r="C2312" s="1" t="s">
        <v>9876</v>
      </c>
      <c r="D2312" s="1" t="s">
        <v>609</v>
      </c>
      <c r="E2312" s="1" t="s">
        <v>631</v>
      </c>
    </row>
    <row r="2313">
      <c r="A2313" s="2" t="s">
        <v>12781</v>
      </c>
      <c r="B2313" s="1">
        <v>200.0</v>
      </c>
      <c r="C2313" s="1" t="s">
        <v>12782</v>
      </c>
      <c r="D2313" s="1" t="s">
        <v>583</v>
      </c>
      <c r="F2313" s="1">
        <v>17.0</v>
      </c>
      <c r="G2313" s="1">
        <v>1492.0</v>
      </c>
      <c r="H2313" s="1">
        <v>0.011</v>
      </c>
      <c r="I2313" s="1">
        <v>4.4</v>
      </c>
    </row>
    <row r="2314">
      <c r="A2314" s="2" t="s">
        <v>12783</v>
      </c>
      <c r="B2314" s="1">
        <v>200.0</v>
      </c>
      <c r="C2314" s="1" t="s">
        <v>12784</v>
      </c>
      <c r="D2314" s="1" t="s">
        <v>583</v>
      </c>
    </row>
    <row r="2315">
      <c r="A2315" s="2" t="s">
        <v>12785</v>
      </c>
      <c r="B2315" s="1">
        <v>200.0</v>
      </c>
      <c r="C2315" s="1" t="s">
        <v>12786</v>
      </c>
      <c r="D2315" s="1" t="s">
        <v>583</v>
      </c>
      <c r="F2315" s="1">
        <v>0.0</v>
      </c>
      <c r="G2315" s="1">
        <v>87.0</v>
      </c>
      <c r="H2315" s="1">
        <v>0.0</v>
      </c>
      <c r="I2315" s="1">
        <v>25.2</v>
      </c>
    </row>
    <row r="2316">
      <c r="A2316" s="2" t="s">
        <v>12787</v>
      </c>
      <c r="B2316" s="1">
        <v>200.0</v>
      </c>
      <c r="C2316" s="1" t="s">
        <v>9886</v>
      </c>
      <c r="D2316" s="1" t="s">
        <v>609</v>
      </c>
      <c r="E2316" s="1" t="s">
        <v>631</v>
      </c>
    </row>
    <row r="2317">
      <c r="A2317" s="2" t="s">
        <v>12788</v>
      </c>
      <c r="B2317" s="1">
        <v>200.0</v>
      </c>
      <c r="C2317" s="1" t="s">
        <v>9896</v>
      </c>
      <c r="D2317" s="1" t="s">
        <v>609</v>
      </c>
      <c r="E2317" s="1" t="s">
        <v>631</v>
      </c>
      <c r="F2317" s="1">
        <v>0.0</v>
      </c>
      <c r="G2317" s="1">
        <v>9.0</v>
      </c>
      <c r="H2317" s="1">
        <v>0.0</v>
      </c>
      <c r="I2317" s="1">
        <v>10.44</v>
      </c>
    </row>
    <row r="2318">
      <c r="A2318" s="2" t="s">
        <v>12789</v>
      </c>
      <c r="B2318" s="1">
        <v>200.0</v>
      </c>
      <c r="C2318" s="1" t="s">
        <v>12347</v>
      </c>
      <c r="D2318" s="1" t="s">
        <v>609</v>
      </c>
      <c r="E2318" s="1" t="s">
        <v>631</v>
      </c>
    </row>
    <row r="2319">
      <c r="A2319" s="2" t="s">
        <v>12790</v>
      </c>
      <c r="B2319" s="1">
        <v>200.0</v>
      </c>
      <c r="C2319" s="1" t="s">
        <v>9070</v>
      </c>
      <c r="D2319" s="1" t="s">
        <v>609</v>
      </c>
      <c r="E2319" s="1" t="s">
        <v>631</v>
      </c>
    </row>
    <row r="2320">
      <c r="A2320" s="2" t="s">
        <v>12791</v>
      </c>
      <c r="B2320" s="1">
        <v>200.0</v>
      </c>
      <c r="C2320" s="1" t="s">
        <v>9070</v>
      </c>
      <c r="D2320" s="1" t="s">
        <v>609</v>
      </c>
      <c r="E2320" s="1" t="s">
        <v>631</v>
      </c>
      <c r="F2320" s="1">
        <v>2.0</v>
      </c>
      <c r="G2320" s="1">
        <v>28.0</v>
      </c>
      <c r="H2320" s="1">
        <v>0.071</v>
      </c>
      <c r="I2320" s="1">
        <v>11.21</v>
      </c>
    </row>
    <row r="2321">
      <c r="A2321" s="2" t="s">
        <v>12792</v>
      </c>
      <c r="B2321" s="1">
        <v>200.0</v>
      </c>
      <c r="C2321" s="1" t="s">
        <v>9058</v>
      </c>
      <c r="D2321" s="1" t="s">
        <v>609</v>
      </c>
      <c r="E2321" s="1" t="s">
        <v>631</v>
      </c>
    </row>
    <row r="2322">
      <c r="A2322" s="2" t="s">
        <v>12793</v>
      </c>
      <c r="B2322" s="1">
        <v>200.0</v>
      </c>
      <c r="C2322" s="1" t="s">
        <v>12794</v>
      </c>
      <c r="D2322" s="1" t="s">
        <v>583</v>
      </c>
      <c r="F2322" s="1">
        <v>3.0</v>
      </c>
      <c r="G2322" s="1">
        <v>1071.0</v>
      </c>
      <c r="H2322" s="1">
        <v>0.003</v>
      </c>
      <c r="I2322" s="1">
        <v>7.17</v>
      </c>
    </row>
    <row r="2323">
      <c r="A2323" s="2" t="s">
        <v>12795</v>
      </c>
      <c r="B2323" s="1">
        <v>200.0</v>
      </c>
      <c r="C2323" s="1" t="s">
        <v>9058</v>
      </c>
      <c r="D2323" s="1" t="s">
        <v>609</v>
      </c>
      <c r="E2323" s="1" t="s">
        <v>631</v>
      </c>
    </row>
    <row r="2324">
      <c r="A2324" s="2" t="s">
        <v>12796</v>
      </c>
      <c r="B2324" s="1">
        <v>200.0</v>
      </c>
      <c r="C2324" s="1" t="s">
        <v>9058</v>
      </c>
      <c r="D2324" s="1" t="s">
        <v>609</v>
      </c>
      <c r="E2324" s="1" t="s">
        <v>631</v>
      </c>
    </row>
    <row r="2325">
      <c r="A2325" s="2" t="s">
        <v>12797</v>
      </c>
      <c r="B2325" s="1">
        <v>200.0</v>
      </c>
      <c r="C2325" s="1" t="s">
        <v>9058</v>
      </c>
      <c r="D2325" s="1" t="s">
        <v>609</v>
      </c>
      <c r="E2325" s="1" t="s">
        <v>631</v>
      </c>
    </row>
    <row r="2326">
      <c r="A2326" s="2" t="s">
        <v>12798</v>
      </c>
      <c r="B2326" s="1">
        <v>200.0</v>
      </c>
      <c r="C2326" s="1" t="s">
        <v>9011</v>
      </c>
      <c r="D2326" s="1" t="s">
        <v>609</v>
      </c>
      <c r="E2326" s="1" t="s">
        <v>631</v>
      </c>
    </row>
    <row r="2327">
      <c r="A2327" s="2" t="s">
        <v>12799</v>
      </c>
      <c r="B2327" s="1">
        <v>200.0</v>
      </c>
      <c r="C2327" s="1" t="s">
        <v>9011</v>
      </c>
      <c r="D2327" s="1" t="s">
        <v>609</v>
      </c>
      <c r="E2327" s="1" t="s">
        <v>631</v>
      </c>
      <c r="F2327" s="1">
        <v>2.0</v>
      </c>
      <c r="G2327" s="1">
        <v>24.0</v>
      </c>
      <c r="H2327" s="1">
        <v>0.083</v>
      </c>
      <c r="I2327" s="1">
        <v>7.42</v>
      </c>
    </row>
    <row r="2328">
      <c r="A2328" s="2" t="s">
        <v>12800</v>
      </c>
      <c r="B2328" s="1">
        <v>200.0</v>
      </c>
      <c r="C2328" s="1" t="s">
        <v>9011</v>
      </c>
      <c r="D2328" s="1" t="s">
        <v>609</v>
      </c>
      <c r="E2328" s="1" t="s">
        <v>631</v>
      </c>
      <c r="F2328" s="1">
        <v>0.0</v>
      </c>
      <c r="G2328" s="1">
        <v>6.0</v>
      </c>
      <c r="H2328" s="1">
        <v>0.0</v>
      </c>
      <c r="I2328" s="1">
        <v>46.33</v>
      </c>
    </row>
    <row r="2329">
      <c r="A2329" s="2" t="s">
        <v>12801</v>
      </c>
      <c r="B2329" s="1">
        <v>200.0</v>
      </c>
      <c r="C2329" s="1" t="s">
        <v>9212</v>
      </c>
      <c r="D2329" s="1" t="s">
        <v>609</v>
      </c>
      <c r="E2329" s="1" t="s">
        <v>631</v>
      </c>
    </row>
    <row r="2330">
      <c r="A2330" s="2" t="s">
        <v>12802</v>
      </c>
      <c r="B2330" s="1">
        <v>200.0</v>
      </c>
      <c r="C2330" s="1" t="s">
        <v>9011</v>
      </c>
      <c r="D2330" s="1" t="s">
        <v>609</v>
      </c>
      <c r="E2330" s="1" t="s">
        <v>631</v>
      </c>
    </row>
    <row r="2331">
      <c r="A2331" s="2" t="s">
        <v>12803</v>
      </c>
      <c r="B2331" s="1">
        <v>200.0</v>
      </c>
      <c r="C2331" s="1" t="s">
        <v>9011</v>
      </c>
      <c r="D2331" s="1" t="s">
        <v>609</v>
      </c>
      <c r="E2331" s="1" t="s">
        <v>631</v>
      </c>
    </row>
    <row r="2332">
      <c r="A2332" s="2" t="s">
        <v>12804</v>
      </c>
      <c r="B2332" s="1">
        <v>200.0</v>
      </c>
      <c r="C2332" s="1" t="s">
        <v>9058</v>
      </c>
      <c r="D2332" s="1" t="s">
        <v>609</v>
      </c>
      <c r="E2332" s="1" t="s">
        <v>631</v>
      </c>
    </row>
    <row r="2333">
      <c r="A2333" s="2" t="s">
        <v>12805</v>
      </c>
      <c r="B2333" s="1">
        <v>200.0</v>
      </c>
      <c r="C2333" s="1" t="s">
        <v>9058</v>
      </c>
      <c r="D2333" s="1" t="s">
        <v>609</v>
      </c>
      <c r="E2333" s="1" t="s">
        <v>631</v>
      </c>
      <c r="F2333" s="1">
        <v>0.0</v>
      </c>
      <c r="G2333" s="1">
        <v>6.0</v>
      </c>
      <c r="H2333" s="1">
        <v>0.0</v>
      </c>
      <c r="I2333" s="1">
        <v>4.33</v>
      </c>
    </row>
    <row r="2334">
      <c r="A2334" s="2" t="s">
        <v>12806</v>
      </c>
      <c r="B2334" s="1">
        <v>200.0</v>
      </c>
      <c r="C2334" s="1" t="s">
        <v>9058</v>
      </c>
      <c r="D2334" s="1" t="s">
        <v>609</v>
      </c>
      <c r="E2334" s="1" t="s">
        <v>631</v>
      </c>
    </row>
    <row r="2335">
      <c r="A2335" s="2" t="s">
        <v>12807</v>
      </c>
      <c r="B2335" s="1">
        <v>200.0</v>
      </c>
      <c r="C2335" s="1" t="s">
        <v>9058</v>
      </c>
      <c r="D2335" s="1" t="s">
        <v>609</v>
      </c>
      <c r="E2335" s="1" t="s">
        <v>631</v>
      </c>
    </row>
    <row r="2336">
      <c r="A2336" s="2" t="s">
        <v>12808</v>
      </c>
      <c r="B2336" s="1">
        <v>200.0</v>
      </c>
      <c r="C2336" s="1" t="s">
        <v>9070</v>
      </c>
      <c r="D2336" s="1" t="s">
        <v>609</v>
      </c>
      <c r="E2336" s="1" t="s">
        <v>631</v>
      </c>
      <c r="F2336" s="1">
        <v>0.0</v>
      </c>
      <c r="G2336" s="1">
        <v>28.0</v>
      </c>
      <c r="H2336" s="1">
        <v>0.0</v>
      </c>
      <c r="I2336" s="1">
        <v>8.43</v>
      </c>
    </row>
    <row r="2337">
      <c r="A2337" s="2" t="s">
        <v>12809</v>
      </c>
      <c r="B2337" s="1">
        <v>200.0</v>
      </c>
      <c r="C2337" s="1" t="s">
        <v>9322</v>
      </c>
      <c r="D2337" s="1" t="s">
        <v>609</v>
      </c>
      <c r="E2337" s="1" t="s">
        <v>631</v>
      </c>
      <c r="F2337" s="1">
        <v>1.0</v>
      </c>
      <c r="G2337" s="1">
        <v>3.0</v>
      </c>
      <c r="H2337" s="1">
        <v>0.333</v>
      </c>
      <c r="I2337" s="1">
        <v>7.33</v>
      </c>
    </row>
    <row r="2338">
      <c r="A2338" s="2" t="s">
        <v>12810</v>
      </c>
      <c r="B2338" s="1">
        <v>200.0</v>
      </c>
      <c r="C2338" s="1" t="s">
        <v>9070</v>
      </c>
      <c r="D2338" s="1" t="s">
        <v>609</v>
      </c>
      <c r="E2338" s="1" t="s">
        <v>631</v>
      </c>
    </row>
    <row r="2339">
      <c r="A2339" s="2" t="s">
        <v>12811</v>
      </c>
      <c r="B2339" s="1">
        <v>200.0</v>
      </c>
      <c r="C2339" s="1" t="s">
        <v>9011</v>
      </c>
      <c r="D2339" s="1" t="s">
        <v>609</v>
      </c>
      <c r="E2339" s="1" t="s">
        <v>631</v>
      </c>
    </row>
    <row r="2340">
      <c r="A2340" s="2" t="s">
        <v>12812</v>
      </c>
      <c r="B2340" s="1">
        <v>200.0</v>
      </c>
      <c r="C2340" s="1" t="s">
        <v>9011</v>
      </c>
      <c r="D2340" s="1" t="s">
        <v>609</v>
      </c>
      <c r="E2340" s="1" t="s">
        <v>631</v>
      </c>
    </row>
    <row r="2341">
      <c r="A2341" s="2" t="s">
        <v>12813</v>
      </c>
      <c r="B2341" s="1">
        <v>200.0</v>
      </c>
      <c r="C2341" s="1" t="s">
        <v>12347</v>
      </c>
      <c r="D2341" s="1" t="s">
        <v>609</v>
      </c>
      <c r="E2341" s="1" t="s">
        <v>631</v>
      </c>
    </row>
    <row r="2342">
      <c r="A2342" s="2" t="s">
        <v>12814</v>
      </c>
      <c r="B2342" s="1">
        <v>200.0</v>
      </c>
      <c r="C2342" s="1" t="s">
        <v>9011</v>
      </c>
      <c r="D2342" s="1" t="s">
        <v>609</v>
      </c>
      <c r="E2342" s="1" t="s">
        <v>631</v>
      </c>
    </row>
    <row r="2343">
      <c r="A2343" s="2" t="s">
        <v>12815</v>
      </c>
      <c r="B2343" s="1">
        <v>200.0</v>
      </c>
      <c r="C2343" s="1" t="s">
        <v>9070</v>
      </c>
      <c r="D2343" s="1" t="s">
        <v>609</v>
      </c>
      <c r="E2343" s="1" t="s">
        <v>631</v>
      </c>
      <c r="F2343" s="1">
        <v>0.0</v>
      </c>
      <c r="G2343" s="1">
        <v>6.0</v>
      </c>
      <c r="H2343" s="1">
        <v>0.0</v>
      </c>
      <c r="I2343" s="1">
        <v>4.83</v>
      </c>
    </row>
    <row r="2344">
      <c r="A2344" s="2" t="s">
        <v>12816</v>
      </c>
      <c r="B2344" s="1">
        <v>200.0</v>
      </c>
      <c r="C2344" s="1" t="s">
        <v>9070</v>
      </c>
      <c r="D2344" s="1" t="s">
        <v>609</v>
      </c>
      <c r="E2344" s="1" t="s">
        <v>631</v>
      </c>
    </row>
    <row r="2345">
      <c r="A2345" s="2" t="s">
        <v>12817</v>
      </c>
      <c r="B2345" s="1">
        <v>200.0</v>
      </c>
      <c r="C2345" s="1" t="s">
        <v>9212</v>
      </c>
      <c r="D2345" s="1" t="s">
        <v>609</v>
      </c>
      <c r="E2345" s="1" t="s">
        <v>631</v>
      </c>
      <c r="F2345" s="1">
        <v>0.0</v>
      </c>
      <c r="G2345" s="1">
        <v>1.0</v>
      </c>
      <c r="H2345" s="1">
        <v>0.0</v>
      </c>
      <c r="I2345" s="1">
        <v>9.0</v>
      </c>
    </row>
    <row r="2346">
      <c r="A2346" s="2" t="s">
        <v>12818</v>
      </c>
      <c r="B2346" s="1">
        <v>200.0</v>
      </c>
      <c r="C2346" s="1" t="s">
        <v>9896</v>
      </c>
      <c r="D2346" s="1" t="s">
        <v>609</v>
      </c>
      <c r="E2346" s="1" t="s">
        <v>631</v>
      </c>
    </row>
    <row r="2347">
      <c r="A2347" s="2" t="s">
        <v>12819</v>
      </c>
      <c r="B2347" s="1">
        <v>200.0</v>
      </c>
      <c r="C2347" s="1" t="s">
        <v>9886</v>
      </c>
      <c r="D2347" s="1" t="s">
        <v>609</v>
      </c>
      <c r="E2347" s="1" t="s">
        <v>631</v>
      </c>
    </row>
    <row r="2348">
      <c r="A2348" s="2" t="s">
        <v>12820</v>
      </c>
      <c r="B2348" s="1">
        <v>200.0</v>
      </c>
      <c r="C2348" s="1" t="s">
        <v>9882</v>
      </c>
      <c r="D2348" s="1" t="s">
        <v>609</v>
      </c>
      <c r="E2348" s="1" t="s">
        <v>631</v>
      </c>
    </row>
    <row r="2349">
      <c r="A2349" s="2" t="s">
        <v>12821</v>
      </c>
      <c r="B2349" s="1">
        <v>200.0</v>
      </c>
      <c r="C2349" s="1" t="s">
        <v>9322</v>
      </c>
      <c r="D2349" s="1" t="s">
        <v>609</v>
      </c>
      <c r="E2349" s="1" t="s">
        <v>631</v>
      </c>
      <c r="F2349" s="1">
        <v>0.0</v>
      </c>
      <c r="G2349" s="1">
        <v>2.0</v>
      </c>
      <c r="H2349" s="1">
        <v>0.0</v>
      </c>
      <c r="I2349" s="1">
        <v>11.0</v>
      </c>
    </row>
    <row r="2350">
      <c r="A2350" s="2" t="s">
        <v>12822</v>
      </c>
      <c r="B2350" s="1">
        <v>200.0</v>
      </c>
      <c r="C2350" s="1" t="s">
        <v>9896</v>
      </c>
      <c r="D2350" s="1" t="s">
        <v>609</v>
      </c>
      <c r="E2350" s="1" t="s">
        <v>631</v>
      </c>
      <c r="F2350" s="1">
        <v>0.0</v>
      </c>
      <c r="G2350" s="1">
        <v>1.0</v>
      </c>
      <c r="H2350" s="1">
        <v>0.0</v>
      </c>
      <c r="I2350" s="1">
        <v>5.0</v>
      </c>
    </row>
    <row r="2351">
      <c r="A2351" s="2" t="s">
        <v>12823</v>
      </c>
      <c r="B2351" s="1">
        <v>200.0</v>
      </c>
      <c r="C2351" s="1" t="s">
        <v>9896</v>
      </c>
      <c r="D2351" s="1" t="s">
        <v>609</v>
      </c>
      <c r="E2351" s="1" t="s">
        <v>631</v>
      </c>
      <c r="F2351" s="1">
        <v>0.0</v>
      </c>
      <c r="G2351" s="1">
        <v>6.0</v>
      </c>
      <c r="H2351" s="1">
        <v>0.0</v>
      </c>
      <c r="I2351" s="1">
        <v>20.33</v>
      </c>
    </row>
    <row r="2352">
      <c r="A2352" s="2" t="s">
        <v>12824</v>
      </c>
      <c r="B2352" s="1">
        <v>200.0</v>
      </c>
      <c r="C2352" s="1" t="s">
        <v>9876</v>
      </c>
      <c r="D2352" s="1" t="s">
        <v>609</v>
      </c>
      <c r="E2352" s="1" t="s">
        <v>631</v>
      </c>
      <c r="F2352" s="1">
        <v>0.0</v>
      </c>
      <c r="G2352" s="1">
        <v>1.0</v>
      </c>
      <c r="H2352" s="1">
        <v>0.0</v>
      </c>
      <c r="I2352" s="1">
        <v>25.0</v>
      </c>
    </row>
    <row r="2353">
      <c r="A2353" s="2" t="s">
        <v>12825</v>
      </c>
      <c r="B2353" s="1">
        <v>200.0</v>
      </c>
      <c r="C2353" s="1" t="s">
        <v>9882</v>
      </c>
      <c r="D2353" s="1" t="s">
        <v>609</v>
      </c>
      <c r="E2353" s="1" t="s">
        <v>631</v>
      </c>
    </row>
    <row r="2354">
      <c r="A2354" s="2" t="s">
        <v>12826</v>
      </c>
      <c r="B2354" s="1">
        <v>200.0</v>
      </c>
      <c r="C2354" s="1" t="s">
        <v>9876</v>
      </c>
      <c r="D2354" s="1" t="s">
        <v>609</v>
      </c>
      <c r="E2354" s="1" t="s">
        <v>631</v>
      </c>
      <c r="F2354" s="1">
        <v>0.0</v>
      </c>
      <c r="G2354" s="1">
        <v>2.0</v>
      </c>
      <c r="H2354" s="1">
        <v>0.0</v>
      </c>
      <c r="I2354" s="1">
        <v>21.0</v>
      </c>
    </row>
    <row r="2355">
      <c r="A2355" s="2" t="s">
        <v>12827</v>
      </c>
      <c r="B2355" s="1">
        <v>200.0</v>
      </c>
      <c r="C2355" s="1" t="s">
        <v>9876</v>
      </c>
      <c r="D2355" s="1" t="s">
        <v>609</v>
      </c>
      <c r="E2355" s="1" t="s">
        <v>631</v>
      </c>
    </row>
    <row r="2356">
      <c r="A2356" s="2" t="s">
        <v>12828</v>
      </c>
      <c r="B2356" s="1">
        <v>200.0</v>
      </c>
      <c r="C2356" s="1" t="s">
        <v>9882</v>
      </c>
      <c r="D2356" s="1" t="s">
        <v>609</v>
      </c>
      <c r="E2356" s="1" t="s">
        <v>631</v>
      </c>
    </row>
    <row r="2357">
      <c r="A2357" s="2" t="s">
        <v>12829</v>
      </c>
      <c r="B2357" s="1">
        <v>200.0</v>
      </c>
      <c r="C2357" s="1" t="s">
        <v>9872</v>
      </c>
      <c r="D2357" s="1" t="s">
        <v>609</v>
      </c>
      <c r="E2357" s="1" t="s">
        <v>631</v>
      </c>
    </row>
    <row r="2358">
      <c r="A2358" s="2" t="s">
        <v>12830</v>
      </c>
      <c r="B2358" s="1">
        <v>200.0</v>
      </c>
      <c r="C2358" s="1" t="s">
        <v>9872</v>
      </c>
      <c r="D2358" s="1" t="s">
        <v>609</v>
      </c>
      <c r="E2358" s="1" t="s">
        <v>631</v>
      </c>
    </row>
    <row r="2359">
      <c r="A2359" s="2" t="s">
        <v>12831</v>
      </c>
      <c r="B2359" s="1">
        <v>200.0</v>
      </c>
      <c r="C2359" s="1" t="s">
        <v>9864</v>
      </c>
      <c r="D2359" s="1" t="s">
        <v>609</v>
      </c>
      <c r="E2359" s="1" t="s">
        <v>631</v>
      </c>
    </row>
    <row r="2360">
      <c r="A2360" s="2" t="s">
        <v>12832</v>
      </c>
      <c r="B2360" s="1">
        <v>200.0</v>
      </c>
      <c r="C2360" s="1" t="s">
        <v>9886</v>
      </c>
      <c r="D2360" s="1" t="s">
        <v>609</v>
      </c>
      <c r="E2360" s="1" t="s">
        <v>631</v>
      </c>
    </row>
    <row r="2361">
      <c r="A2361" s="2" t="s">
        <v>12833</v>
      </c>
      <c r="B2361" s="1">
        <v>200.0</v>
      </c>
      <c r="C2361" s="1" t="s">
        <v>9864</v>
      </c>
      <c r="D2361" s="1" t="s">
        <v>609</v>
      </c>
      <c r="E2361" s="1" t="s">
        <v>631</v>
      </c>
    </row>
    <row r="2362">
      <c r="A2362" s="2" t="s">
        <v>12834</v>
      </c>
      <c r="B2362" s="1">
        <v>200.0</v>
      </c>
      <c r="C2362" s="1" t="s">
        <v>9864</v>
      </c>
      <c r="D2362" s="1" t="s">
        <v>609</v>
      </c>
      <c r="E2362" s="1" t="s">
        <v>631</v>
      </c>
    </row>
    <row r="2363">
      <c r="A2363" s="2" t="s">
        <v>12835</v>
      </c>
      <c r="B2363" s="1">
        <v>200.0</v>
      </c>
      <c r="C2363" s="1" t="s">
        <v>9864</v>
      </c>
      <c r="D2363" s="1" t="s">
        <v>609</v>
      </c>
      <c r="E2363" s="1" t="s">
        <v>631</v>
      </c>
    </row>
    <row r="2364">
      <c r="A2364" s="2" t="s">
        <v>12836</v>
      </c>
      <c r="B2364" s="1">
        <v>200.0</v>
      </c>
      <c r="C2364" s="1" t="s">
        <v>9872</v>
      </c>
      <c r="D2364" s="1" t="s">
        <v>609</v>
      </c>
      <c r="E2364" s="1" t="s">
        <v>631</v>
      </c>
    </row>
    <row r="2365">
      <c r="A2365" s="2" t="s">
        <v>12837</v>
      </c>
      <c r="B2365" s="1">
        <v>200.0</v>
      </c>
      <c r="C2365" s="1" t="s">
        <v>9842</v>
      </c>
      <c r="D2365" s="1" t="s">
        <v>609</v>
      </c>
      <c r="E2365" s="1" t="s">
        <v>631</v>
      </c>
    </row>
    <row r="2366">
      <c r="A2366" s="2" t="s">
        <v>12838</v>
      </c>
      <c r="B2366" s="1">
        <v>200.0</v>
      </c>
      <c r="C2366" s="1" t="s">
        <v>9896</v>
      </c>
      <c r="D2366" s="1" t="s">
        <v>609</v>
      </c>
      <c r="E2366" s="1" t="s">
        <v>631</v>
      </c>
    </row>
    <row r="2367">
      <c r="A2367" s="2" t="s">
        <v>12839</v>
      </c>
      <c r="B2367" s="1">
        <v>200.0</v>
      </c>
      <c r="C2367" s="1" t="s">
        <v>9882</v>
      </c>
      <c r="D2367" s="1" t="s">
        <v>609</v>
      </c>
      <c r="E2367" s="1" t="s">
        <v>631</v>
      </c>
    </row>
    <row r="2368">
      <c r="A2368" s="2" t="s">
        <v>12840</v>
      </c>
      <c r="B2368" s="1">
        <v>200.0</v>
      </c>
      <c r="C2368" s="1" t="s">
        <v>9860</v>
      </c>
      <c r="D2368" s="1" t="s">
        <v>609</v>
      </c>
      <c r="E2368" s="1" t="s">
        <v>631</v>
      </c>
    </row>
    <row r="2369">
      <c r="A2369" s="2" t="s">
        <v>12841</v>
      </c>
      <c r="B2369" s="1">
        <v>200.0</v>
      </c>
      <c r="C2369" s="1" t="s">
        <v>9886</v>
      </c>
      <c r="D2369" s="1" t="s">
        <v>609</v>
      </c>
      <c r="E2369" s="1" t="s">
        <v>631</v>
      </c>
    </row>
    <row r="2370">
      <c r="A2370" s="2" t="s">
        <v>12842</v>
      </c>
      <c r="B2370" s="1">
        <v>200.0</v>
      </c>
      <c r="C2370" s="1" t="s">
        <v>9886</v>
      </c>
      <c r="D2370" s="1" t="s">
        <v>609</v>
      </c>
      <c r="E2370" s="1" t="s">
        <v>631</v>
      </c>
    </row>
    <row r="2371">
      <c r="A2371" s="2" t="s">
        <v>12843</v>
      </c>
      <c r="B2371" s="1">
        <v>200.0</v>
      </c>
      <c r="C2371" s="1" t="s">
        <v>9876</v>
      </c>
      <c r="D2371" s="1" t="s">
        <v>609</v>
      </c>
      <c r="E2371" s="1" t="s">
        <v>631</v>
      </c>
    </row>
    <row r="2372">
      <c r="A2372" s="2" t="s">
        <v>12844</v>
      </c>
      <c r="B2372" s="1">
        <v>200.0</v>
      </c>
      <c r="C2372" s="1" t="s">
        <v>9844</v>
      </c>
      <c r="D2372" s="1" t="s">
        <v>609</v>
      </c>
      <c r="E2372" s="1" t="s">
        <v>631</v>
      </c>
      <c r="F2372" s="1">
        <v>0.0</v>
      </c>
      <c r="G2372" s="1">
        <v>3.0</v>
      </c>
      <c r="H2372" s="1">
        <v>0.0</v>
      </c>
      <c r="I2372" s="1">
        <v>6.33</v>
      </c>
    </row>
    <row r="2373">
      <c r="A2373" s="2" t="s">
        <v>12845</v>
      </c>
      <c r="B2373" s="1">
        <v>200.0</v>
      </c>
      <c r="C2373" s="1" t="s">
        <v>9844</v>
      </c>
      <c r="D2373" s="1" t="s">
        <v>609</v>
      </c>
      <c r="E2373" s="1" t="s">
        <v>631</v>
      </c>
    </row>
    <row r="2374">
      <c r="A2374" s="2" t="s">
        <v>12846</v>
      </c>
      <c r="B2374" s="1">
        <v>200.0</v>
      </c>
      <c r="C2374" s="1" t="s">
        <v>9844</v>
      </c>
      <c r="D2374" s="1" t="s">
        <v>609</v>
      </c>
      <c r="E2374" s="1" t="s">
        <v>631</v>
      </c>
    </row>
    <row r="2375">
      <c r="A2375" s="2" t="s">
        <v>12847</v>
      </c>
      <c r="B2375" s="1">
        <v>200.0</v>
      </c>
      <c r="C2375" s="1" t="s">
        <v>9838</v>
      </c>
      <c r="D2375" s="1" t="s">
        <v>609</v>
      </c>
      <c r="E2375" s="1" t="s">
        <v>631</v>
      </c>
    </row>
    <row r="2376">
      <c r="A2376" s="2" t="s">
        <v>12848</v>
      </c>
      <c r="B2376" s="1">
        <v>200.0</v>
      </c>
      <c r="C2376" s="1" t="s">
        <v>9838</v>
      </c>
      <c r="D2376" s="1" t="s">
        <v>609</v>
      </c>
      <c r="E2376" s="1" t="s">
        <v>631</v>
      </c>
    </row>
    <row r="2377">
      <c r="A2377" s="2" t="s">
        <v>12849</v>
      </c>
      <c r="B2377" s="1">
        <v>200.0</v>
      </c>
      <c r="C2377" s="1" t="s">
        <v>9842</v>
      </c>
      <c r="D2377" s="1" t="s">
        <v>609</v>
      </c>
      <c r="E2377" s="1" t="s">
        <v>631</v>
      </c>
    </row>
    <row r="2378">
      <c r="A2378" s="2" t="s">
        <v>12850</v>
      </c>
      <c r="B2378" s="1">
        <v>200.0</v>
      </c>
      <c r="C2378" s="1" t="s">
        <v>9842</v>
      </c>
      <c r="D2378" s="1" t="s">
        <v>609</v>
      </c>
      <c r="E2378" s="1" t="s">
        <v>631</v>
      </c>
      <c r="F2378" s="1">
        <v>0.0</v>
      </c>
      <c r="G2378" s="1">
        <v>5.0</v>
      </c>
      <c r="H2378" s="1">
        <v>0.0</v>
      </c>
      <c r="I2378" s="1">
        <v>7.4</v>
      </c>
    </row>
    <row r="2379">
      <c r="A2379" s="2" t="s">
        <v>12851</v>
      </c>
      <c r="B2379" s="1">
        <v>200.0</v>
      </c>
      <c r="C2379" s="1" t="s">
        <v>8986</v>
      </c>
      <c r="D2379" s="1" t="s">
        <v>609</v>
      </c>
      <c r="E2379" s="1" t="s">
        <v>631</v>
      </c>
    </row>
    <row r="2380">
      <c r="A2380" s="2" t="s">
        <v>12852</v>
      </c>
      <c r="B2380" s="1">
        <v>200.0</v>
      </c>
      <c r="C2380" s="1" t="s">
        <v>9872</v>
      </c>
      <c r="D2380" s="1" t="s">
        <v>609</v>
      </c>
      <c r="E2380" s="1" t="s">
        <v>631</v>
      </c>
    </row>
    <row r="2381">
      <c r="A2381" s="2" t="s">
        <v>12853</v>
      </c>
      <c r="B2381" s="1">
        <v>200.0</v>
      </c>
      <c r="C2381" s="1" t="s">
        <v>8986</v>
      </c>
      <c r="D2381" s="1" t="s">
        <v>609</v>
      </c>
      <c r="E2381" s="1" t="s">
        <v>631</v>
      </c>
    </row>
    <row r="2382">
      <c r="A2382" s="2" t="s">
        <v>12854</v>
      </c>
      <c r="B2382" s="1">
        <v>200.0</v>
      </c>
      <c r="C2382" s="1" t="s">
        <v>8986</v>
      </c>
      <c r="D2382" s="1" t="s">
        <v>609</v>
      </c>
      <c r="E2382" s="1" t="s">
        <v>631</v>
      </c>
    </row>
    <row r="2383">
      <c r="A2383" s="2" t="s">
        <v>12855</v>
      </c>
      <c r="B2383" s="1">
        <v>200.0</v>
      </c>
      <c r="C2383" s="1" t="s">
        <v>12856</v>
      </c>
      <c r="D2383" s="1" t="s">
        <v>583</v>
      </c>
      <c r="F2383" s="1">
        <v>10.0</v>
      </c>
      <c r="G2383" s="1">
        <v>319.0</v>
      </c>
      <c r="H2383" s="1">
        <v>0.031</v>
      </c>
      <c r="I2383" s="1">
        <v>5.36</v>
      </c>
    </row>
    <row r="2384">
      <c r="A2384" s="2" t="s">
        <v>12857</v>
      </c>
      <c r="B2384" s="1">
        <v>200.0</v>
      </c>
      <c r="C2384" s="1" t="s">
        <v>12858</v>
      </c>
      <c r="D2384" s="1" t="s">
        <v>583</v>
      </c>
    </row>
    <row r="2385">
      <c r="A2385" s="2" t="s">
        <v>12859</v>
      </c>
      <c r="B2385" s="1">
        <v>200.0</v>
      </c>
      <c r="C2385" s="1" t="s">
        <v>12860</v>
      </c>
      <c r="D2385" s="1" t="s">
        <v>583</v>
      </c>
      <c r="F2385" s="1">
        <v>1.0</v>
      </c>
      <c r="G2385" s="1">
        <v>41.0</v>
      </c>
      <c r="H2385" s="1">
        <v>0.024</v>
      </c>
      <c r="I2385" s="1">
        <v>10.12</v>
      </c>
    </row>
    <row r="2386">
      <c r="A2386" s="2" t="s">
        <v>12861</v>
      </c>
      <c r="B2386" s="1">
        <v>200.0</v>
      </c>
      <c r="C2386" s="1" t="s">
        <v>9844</v>
      </c>
      <c r="D2386" s="1" t="s">
        <v>609</v>
      </c>
      <c r="E2386" s="1" t="s">
        <v>631</v>
      </c>
    </row>
    <row r="2387">
      <c r="A2387" s="2" t="s">
        <v>12862</v>
      </c>
      <c r="B2387" s="1">
        <v>200.0</v>
      </c>
      <c r="C2387" s="1" t="s">
        <v>11907</v>
      </c>
      <c r="D2387" s="1" t="s">
        <v>609</v>
      </c>
      <c r="E2387" s="1" t="s">
        <v>631</v>
      </c>
      <c r="F2387" s="1">
        <v>0.0</v>
      </c>
      <c r="G2387" s="1">
        <v>4.0</v>
      </c>
      <c r="H2387" s="1">
        <v>0.0</v>
      </c>
      <c r="I2387" s="1">
        <v>9.75</v>
      </c>
    </row>
    <row r="2388">
      <c r="A2388" s="2" t="s">
        <v>12863</v>
      </c>
      <c r="B2388" s="1">
        <v>200.0</v>
      </c>
      <c r="C2388" s="1" t="s">
        <v>9842</v>
      </c>
      <c r="D2388" s="1" t="s">
        <v>609</v>
      </c>
      <c r="E2388" s="1" t="s">
        <v>631</v>
      </c>
    </row>
    <row r="2389">
      <c r="A2389" s="2" t="s">
        <v>12864</v>
      </c>
      <c r="B2389" s="1">
        <v>200.0</v>
      </c>
      <c r="C2389" s="1" t="s">
        <v>9838</v>
      </c>
      <c r="D2389" s="1" t="s">
        <v>609</v>
      </c>
      <c r="E2389" s="1" t="s">
        <v>631</v>
      </c>
      <c r="F2389" s="1">
        <v>0.0</v>
      </c>
      <c r="G2389" s="1">
        <v>1.0</v>
      </c>
      <c r="H2389" s="1">
        <v>0.0</v>
      </c>
      <c r="I2389" s="1">
        <v>3.0</v>
      </c>
    </row>
    <row r="2390">
      <c r="A2390" s="2" t="s">
        <v>12865</v>
      </c>
      <c r="B2390" s="1">
        <v>200.0</v>
      </c>
      <c r="C2390" s="1" t="s">
        <v>9838</v>
      </c>
      <c r="D2390" s="1" t="s">
        <v>609</v>
      </c>
      <c r="E2390" s="1" t="s">
        <v>631</v>
      </c>
    </row>
    <row r="2391">
      <c r="A2391" s="2" t="s">
        <v>12866</v>
      </c>
      <c r="B2391" s="1">
        <v>200.0</v>
      </c>
      <c r="C2391" s="1" t="s">
        <v>8986</v>
      </c>
      <c r="D2391" s="1" t="s">
        <v>609</v>
      </c>
      <c r="E2391" s="1" t="s">
        <v>631</v>
      </c>
    </row>
    <row r="2392">
      <c r="A2392" s="2" t="s">
        <v>12867</v>
      </c>
      <c r="B2392" s="1">
        <v>200.0</v>
      </c>
      <c r="C2392" s="1" t="s">
        <v>9212</v>
      </c>
      <c r="D2392" s="1" t="s">
        <v>609</v>
      </c>
      <c r="E2392" s="1" t="s">
        <v>631</v>
      </c>
    </row>
    <row r="2393">
      <c r="A2393" s="2" t="s">
        <v>12868</v>
      </c>
      <c r="B2393" s="1">
        <v>200.0</v>
      </c>
      <c r="C2393" s="1" t="s">
        <v>9212</v>
      </c>
      <c r="D2393" s="1" t="s">
        <v>609</v>
      </c>
      <c r="E2393" s="1" t="s">
        <v>631</v>
      </c>
      <c r="F2393" s="1">
        <v>0.0</v>
      </c>
      <c r="G2393" s="1">
        <v>8.0</v>
      </c>
      <c r="H2393" s="1">
        <v>0.0</v>
      </c>
      <c r="I2393" s="1">
        <v>12.38</v>
      </c>
    </row>
    <row r="2394">
      <c r="A2394" s="2" t="s">
        <v>12869</v>
      </c>
      <c r="B2394" s="1">
        <v>200.0</v>
      </c>
      <c r="C2394" s="1" t="s">
        <v>9212</v>
      </c>
      <c r="D2394" s="1" t="s">
        <v>609</v>
      </c>
      <c r="E2394" s="1" t="s">
        <v>631</v>
      </c>
      <c r="F2394" s="1">
        <v>0.0</v>
      </c>
      <c r="G2394" s="1">
        <v>2.0</v>
      </c>
      <c r="H2394" s="1">
        <v>0.0</v>
      </c>
      <c r="I2394" s="1">
        <v>26.0</v>
      </c>
    </row>
    <row r="2395">
      <c r="A2395" s="2" t="s">
        <v>12870</v>
      </c>
      <c r="B2395" s="1">
        <v>200.0</v>
      </c>
      <c r="C2395" s="1" t="s">
        <v>9212</v>
      </c>
      <c r="D2395" s="1" t="s">
        <v>609</v>
      </c>
      <c r="E2395" s="1" t="s">
        <v>631</v>
      </c>
    </row>
    <row r="2396">
      <c r="A2396" s="2" t="s">
        <v>12871</v>
      </c>
      <c r="B2396" s="1">
        <v>200.0</v>
      </c>
      <c r="C2396" s="1" t="s">
        <v>12872</v>
      </c>
      <c r="D2396" s="1" t="s">
        <v>583</v>
      </c>
      <c r="F2396" s="1">
        <v>4.0</v>
      </c>
      <c r="G2396" s="1">
        <v>108.0</v>
      </c>
      <c r="H2396" s="1">
        <v>0.037</v>
      </c>
      <c r="I2396" s="1">
        <v>10.6</v>
      </c>
    </row>
    <row r="2397">
      <c r="A2397" s="2" t="s">
        <v>12873</v>
      </c>
      <c r="B2397" s="1">
        <v>200.0</v>
      </c>
      <c r="C2397" s="1" t="s">
        <v>11907</v>
      </c>
      <c r="D2397" s="1" t="s">
        <v>609</v>
      </c>
      <c r="E2397" s="1" t="s">
        <v>631</v>
      </c>
    </row>
    <row r="2398">
      <c r="A2398" s="2" t="s">
        <v>12874</v>
      </c>
      <c r="B2398" s="1">
        <v>200.0</v>
      </c>
      <c r="C2398" s="1" t="s">
        <v>9844</v>
      </c>
      <c r="D2398" s="1" t="s">
        <v>609</v>
      </c>
      <c r="E2398" s="1" t="s">
        <v>631</v>
      </c>
    </row>
    <row r="2399">
      <c r="A2399" s="2" t="s">
        <v>12875</v>
      </c>
      <c r="B2399" s="1">
        <v>200.0</v>
      </c>
      <c r="C2399" s="1" t="s">
        <v>9212</v>
      </c>
      <c r="D2399" s="1" t="s">
        <v>609</v>
      </c>
      <c r="E2399" s="1" t="s">
        <v>631</v>
      </c>
    </row>
    <row r="2400">
      <c r="A2400" s="2" t="s">
        <v>12876</v>
      </c>
      <c r="B2400" s="1">
        <v>200.0</v>
      </c>
      <c r="C2400" s="1" t="s">
        <v>8986</v>
      </c>
      <c r="D2400" s="1" t="s">
        <v>609</v>
      </c>
      <c r="E2400" s="1" t="s">
        <v>631</v>
      </c>
    </row>
    <row r="2401">
      <c r="A2401" s="2" t="s">
        <v>12877</v>
      </c>
      <c r="B2401" s="1">
        <v>200.0</v>
      </c>
      <c r="C2401" s="1" t="s">
        <v>8986</v>
      </c>
      <c r="D2401" s="1" t="s">
        <v>609</v>
      </c>
      <c r="E2401" s="1" t="s">
        <v>631</v>
      </c>
    </row>
    <row r="2402">
      <c r="A2402" s="2" t="s">
        <v>12878</v>
      </c>
      <c r="B2402" s="1">
        <v>200.0</v>
      </c>
      <c r="C2402" s="1" t="s">
        <v>9838</v>
      </c>
      <c r="D2402" s="1" t="s">
        <v>609</v>
      </c>
      <c r="E2402" s="1" t="s">
        <v>631</v>
      </c>
      <c r="F2402" s="1">
        <v>0.0</v>
      </c>
      <c r="G2402" s="1">
        <v>1.0</v>
      </c>
      <c r="H2402" s="1">
        <v>0.0</v>
      </c>
      <c r="I2402" s="1">
        <v>28.0</v>
      </c>
    </row>
    <row r="2403">
      <c r="A2403" s="2" t="s">
        <v>12879</v>
      </c>
      <c r="B2403" s="1">
        <v>200.0</v>
      </c>
      <c r="C2403" s="1" t="s">
        <v>9838</v>
      </c>
      <c r="D2403" s="1" t="s">
        <v>609</v>
      </c>
      <c r="E2403" s="1" t="s">
        <v>631</v>
      </c>
    </row>
    <row r="2404">
      <c r="A2404" s="2" t="s">
        <v>12880</v>
      </c>
      <c r="B2404" s="1">
        <v>200.0</v>
      </c>
      <c r="C2404" s="1" t="s">
        <v>9842</v>
      </c>
      <c r="D2404" s="1" t="s">
        <v>609</v>
      </c>
      <c r="E2404" s="1" t="s">
        <v>631</v>
      </c>
      <c r="F2404" s="1">
        <v>0.0</v>
      </c>
      <c r="G2404" s="1">
        <v>7.0</v>
      </c>
      <c r="H2404" s="1">
        <v>0.0</v>
      </c>
      <c r="I2404" s="1">
        <v>11.57</v>
      </c>
    </row>
    <row r="2405">
      <c r="A2405" s="2" t="s">
        <v>12881</v>
      </c>
      <c r="B2405" s="1">
        <v>200.0</v>
      </c>
      <c r="C2405" s="1" t="s">
        <v>9844</v>
      </c>
      <c r="D2405" s="1" t="s">
        <v>609</v>
      </c>
      <c r="E2405" s="1" t="s">
        <v>631</v>
      </c>
      <c r="F2405" s="1">
        <v>0.0</v>
      </c>
      <c r="G2405" s="1">
        <v>4.0</v>
      </c>
      <c r="H2405" s="1">
        <v>0.0</v>
      </c>
      <c r="I2405" s="1">
        <v>6.5</v>
      </c>
    </row>
    <row r="2406">
      <c r="A2406" s="2" t="s">
        <v>12882</v>
      </c>
      <c r="B2406" s="1">
        <v>200.0</v>
      </c>
      <c r="C2406" s="1" t="s">
        <v>9844</v>
      </c>
      <c r="D2406" s="1" t="s">
        <v>609</v>
      </c>
      <c r="E2406" s="1" t="s">
        <v>631</v>
      </c>
      <c r="F2406" s="1">
        <v>0.0</v>
      </c>
      <c r="G2406" s="1">
        <v>11.0</v>
      </c>
      <c r="H2406" s="1">
        <v>0.0</v>
      </c>
      <c r="I2406" s="1">
        <v>6.64</v>
      </c>
    </row>
    <row r="2407">
      <c r="A2407" s="2" t="s">
        <v>12883</v>
      </c>
      <c r="B2407" s="1">
        <v>200.0</v>
      </c>
      <c r="C2407" s="1" t="s">
        <v>9886</v>
      </c>
      <c r="D2407" s="1" t="s">
        <v>609</v>
      </c>
      <c r="E2407" s="1" t="s">
        <v>631</v>
      </c>
    </row>
    <row r="2408">
      <c r="A2408" s="2" t="s">
        <v>12884</v>
      </c>
      <c r="B2408" s="1">
        <v>200.0</v>
      </c>
      <c r="C2408" s="1" t="s">
        <v>9838</v>
      </c>
      <c r="D2408" s="1" t="s">
        <v>609</v>
      </c>
      <c r="E2408" s="1" t="s">
        <v>631</v>
      </c>
    </row>
    <row r="2409">
      <c r="A2409" s="2" t="s">
        <v>12885</v>
      </c>
      <c r="B2409" s="1">
        <v>200.0</v>
      </c>
      <c r="C2409" s="1" t="s">
        <v>9838</v>
      </c>
      <c r="D2409" s="1" t="s">
        <v>609</v>
      </c>
      <c r="E2409" s="1" t="s">
        <v>631</v>
      </c>
    </row>
    <row r="2410">
      <c r="A2410" s="2" t="s">
        <v>12886</v>
      </c>
      <c r="B2410" s="1">
        <v>200.0</v>
      </c>
      <c r="C2410" s="1" t="s">
        <v>9842</v>
      </c>
      <c r="D2410" s="1" t="s">
        <v>609</v>
      </c>
      <c r="E2410" s="1" t="s">
        <v>631</v>
      </c>
    </row>
    <row r="2411">
      <c r="A2411" s="2" t="s">
        <v>12887</v>
      </c>
      <c r="B2411" s="1">
        <v>200.0</v>
      </c>
      <c r="C2411" s="1" t="s">
        <v>9882</v>
      </c>
      <c r="D2411" s="1" t="s">
        <v>609</v>
      </c>
      <c r="E2411" s="1" t="s">
        <v>631</v>
      </c>
    </row>
    <row r="2412">
      <c r="A2412" s="2" t="s">
        <v>12888</v>
      </c>
      <c r="B2412" s="1">
        <v>200.0</v>
      </c>
      <c r="C2412" s="1" t="s">
        <v>9872</v>
      </c>
      <c r="D2412" s="1" t="s">
        <v>609</v>
      </c>
      <c r="E2412" s="1" t="s">
        <v>631</v>
      </c>
    </row>
    <row r="2413">
      <c r="A2413" s="2" t="s">
        <v>12889</v>
      </c>
      <c r="B2413" s="1">
        <v>200.0</v>
      </c>
      <c r="C2413" s="1" t="s">
        <v>8986</v>
      </c>
      <c r="D2413" s="1" t="s">
        <v>609</v>
      </c>
      <c r="E2413" s="1" t="s">
        <v>631</v>
      </c>
      <c r="F2413" s="1">
        <v>0.0</v>
      </c>
      <c r="G2413" s="1">
        <v>4.0</v>
      </c>
      <c r="H2413" s="1">
        <v>0.0</v>
      </c>
      <c r="I2413" s="1">
        <v>7.0</v>
      </c>
    </row>
    <row r="2414">
      <c r="A2414" s="2" t="s">
        <v>12890</v>
      </c>
      <c r="B2414" s="1">
        <v>200.0</v>
      </c>
      <c r="C2414" s="1" t="s">
        <v>9872</v>
      </c>
      <c r="D2414" s="1" t="s">
        <v>609</v>
      </c>
      <c r="E2414" s="1" t="s">
        <v>631</v>
      </c>
    </row>
    <row r="2415">
      <c r="A2415" s="2" t="s">
        <v>12891</v>
      </c>
      <c r="B2415" s="1">
        <v>200.0</v>
      </c>
      <c r="C2415" s="1" t="s">
        <v>9864</v>
      </c>
      <c r="D2415" s="1" t="s">
        <v>609</v>
      </c>
      <c r="E2415" s="1" t="s">
        <v>631</v>
      </c>
    </row>
    <row r="2416">
      <c r="A2416" s="2" t="s">
        <v>12892</v>
      </c>
      <c r="B2416" s="1">
        <v>200.0</v>
      </c>
      <c r="C2416" s="1" t="s">
        <v>9844</v>
      </c>
      <c r="D2416" s="1" t="s">
        <v>609</v>
      </c>
      <c r="E2416" s="1" t="s">
        <v>631</v>
      </c>
    </row>
    <row r="2417">
      <c r="A2417" s="2" t="s">
        <v>12893</v>
      </c>
      <c r="B2417" s="1">
        <v>200.0</v>
      </c>
      <c r="C2417" s="1" t="s">
        <v>9886</v>
      </c>
      <c r="D2417" s="1" t="s">
        <v>609</v>
      </c>
      <c r="E2417" s="1" t="s">
        <v>631</v>
      </c>
    </row>
    <row r="2418">
      <c r="A2418" s="2" t="s">
        <v>12894</v>
      </c>
      <c r="B2418" s="1">
        <v>200.0</v>
      </c>
      <c r="C2418" s="1" t="s">
        <v>9864</v>
      </c>
      <c r="D2418" s="1" t="s">
        <v>609</v>
      </c>
      <c r="E2418" s="1" t="s">
        <v>631</v>
      </c>
    </row>
    <row r="2419">
      <c r="A2419" s="2" t="s">
        <v>12895</v>
      </c>
      <c r="B2419" s="1">
        <v>200.0</v>
      </c>
      <c r="C2419" s="1" t="s">
        <v>9872</v>
      </c>
      <c r="D2419" s="1" t="s">
        <v>609</v>
      </c>
      <c r="E2419" s="1" t="s">
        <v>631</v>
      </c>
    </row>
    <row r="2420">
      <c r="A2420" s="2" t="s">
        <v>12896</v>
      </c>
      <c r="B2420" s="1">
        <v>200.0</v>
      </c>
      <c r="C2420" s="1" t="s">
        <v>9886</v>
      </c>
      <c r="D2420" s="1" t="s">
        <v>609</v>
      </c>
      <c r="E2420" s="1" t="s">
        <v>631</v>
      </c>
    </row>
    <row r="2421">
      <c r="A2421" s="2" t="s">
        <v>12897</v>
      </c>
      <c r="B2421" s="1">
        <v>200.0</v>
      </c>
      <c r="C2421" s="1" t="s">
        <v>9876</v>
      </c>
      <c r="D2421" s="1" t="s">
        <v>609</v>
      </c>
      <c r="E2421" s="1" t="s">
        <v>631</v>
      </c>
      <c r="F2421" s="1">
        <v>0.0</v>
      </c>
      <c r="G2421" s="1">
        <v>3.0</v>
      </c>
      <c r="H2421" s="1">
        <v>0.0</v>
      </c>
      <c r="I2421" s="1">
        <v>37.67</v>
      </c>
    </row>
    <row r="2422">
      <c r="A2422" s="2" t="s">
        <v>12898</v>
      </c>
      <c r="B2422" s="1">
        <v>200.0</v>
      </c>
      <c r="C2422" s="1" t="s">
        <v>9876</v>
      </c>
      <c r="D2422" s="1" t="s">
        <v>609</v>
      </c>
      <c r="E2422" s="1" t="s">
        <v>631</v>
      </c>
      <c r="F2422" s="1">
        <v>0.0</v>
      </c>
      <c r="G2422" s="1">
        <v>1.0</v>
      </c>
      <c r="H2422" s="1">
        <v>0.0</v>
      </c>
      <c r="I2422" s="1">
        <v>6.0</v>
      </c>
    </row>
    <row r="2423">
      <c r="A2423" s="2" t="s">
        <v>12899</v>
      </c>
      <c r="B2423" s="1">
        <v>200.0</v>
      </c>
      <c r="C2423" s="1" t="s">
        <v>9882</v>
      </c>
      <c r="D2423" s="1" t="s">
        <v>609</v>
      </c>
      <c r="E2423" s="1" t="s">
        <v>631</v>
      </c>
    </row>
    <row r="2424">
      <c r="A2424" s="2" t="s">
        <v>12900</v>
      </c>
      <c r="B2424" s="1">
        <v>200.0</v>
      </c>
      <c r="C2424" s="1" t="s">
        <v>9876</v>
      </c>
      <c r="D2424" s="1" t="s">
        <v>609</v>
      </c>
      <c r="E2424" s="1" t="s">
        <v>631</v>
      </c>
      <c r="F2424" s="1">
        <v>0.0</v>
      </c>
      <c r="G2424" s="1">
        <v>8.0</v>
      </c>
      <c r="H2424" s="1">
        <v>0.0</v>
      </c>
      <c r="I2424" s="1">
        <v>7.13</v>
      </c>
    </row>
    <row r="2425">
      <c r="A2425" s="2" t="s">
        <v>12901</v>
      </c>
      <c r="B2425" s="1">
        <v>200.0</v>
      </c>
      <c r="C2425" s="1" t="s">
        <v>9876</v>
      </c>
      <c r="D2425" s="1" t="s">
        <v>609</v>
      </c>
      <c r="E2425" s="1" t="s">
        <v>631</v>
      </c>
      <c r="F2425" s="1">
        <v>0.0</v>
      </c>
      <c r="G2425" s="1">
        <v>1.0</v>
      </c>
      <c r="H2425" s="1">
        <v>0.0</v>
      </c>
      <c r="I2425" s="1">
        <v>10.0</v>
      </c>
    </row>
    <row r="2426">
      <c r="A2426" s="2" t="s">
        <v>12902</v>
      </c>
      <c r="B2426" s="1">
        <v>200.0</v>
      </c>
      <c r="C2426" s="1" t="s">
        <v>9896</v>
      </c>
      <c r="D2426" s="1" t="s">
        <v>609</v>
      </c>
      <c r="E2426" s="1" t="s">
        <v>631</v>
      </c>
      <c r="F2426" s="1">
        <v>0.0</v>
      </c>
      <c r="G2426" s="1">
        <v>1.0</v>
      </c>
      <c r="H2426" s="1">
        <v>0.0</v>
      </c>
      <c r="I2426" s="1">
        <v>12.0</v>
      </c>
    </row>
    <row r="2427">
      <c r="A2427" s="2" t="s">
        <v>12903</v>
      </c>
      <c r="B2427" s="1">
        <v>200.0</v>
      </c>
      <c r="C2427" s="1" t="s">
        <v>9842</v>
      </c>
      <c r="D2427" s="1" t="s">
        <v>609</v>
      </c>
      <c r="E2427" s="1" t="s">
        <v>631</v>
      </c>
    </row>
    <row r="2428">
      <c r="A2428" s="2" t="s">
        <v>12904</v>
      </c>
      <c r="B2428" s="1">
        <v>200.0</v>
      </c>
      <c r="C2428" s="1" t="s">
        <v>9864</v>
      </c>
      <c r="D2428" s="1" t="s">
        <v>609</v>
      </c>
      <c r="E2428" s="1" t="s">
        <v>631</v>
      </c>
    </row>
    <row r="2429">
      <c r="A2429" s="2" t="s">
        <v>12905</v>
      </c>
      <c r="B2429" s="1">
        <v>200.0</v>
      </c>
      <c r="C2429" s="1" t="s">
        <v>9864</v>
      </c>
      <c r="D2429" s="1" t="s">
        <v>609</v>
      </c>
      <c r="E2429" s="1" t="s">
        <v>631</v>
      </c>
    </row>
    <row r="2430">
      <c r="A2430" s="2" t="s">
        <v>12906</v>
      </c>
      <c r="B2430" s="1">
        <v>200.0</v>
      </c>
      <c r="C2430" s="1" t="s">
        <v>9872</v>
      </c>
      <c r="D2430" s="1" t="s">
        <v>609</v>
      </c>
      <c r="E2430" s="1" t="s">
        <v>631</v>
      </c>
    </row>
    <row r="2431">
      <c r="A2431" s="2" t="s">
        <v>12907</v>
      </c>
      <c r="B2431" s="1">
        <v>200.0</v>
      </c>
      <c r="C2431" s="1" t="s">
        <v>9882</v>
      </c>
      <c r="D2431" s="1" t="s">
        <v>609</v>
      </c>
      <c r="E2431" s="1" t="s">
        <v>631</v>
      </c>
    </row>
    <row r="2432">
      <c r="A2432" s="2" t="s">
        <v>12908</v>
      </c>
      <c r="B2432" s="1">
        <v>200.0</v>
      </c>
      <c r="C2432" s="1" t="s">
        <v>9882</v>
      </c>
      <c r="D2432" s="1" t="s">
        <v>609</v>
      </c>
      <c r="E2432" s="1" t="s">
        <v>631</v>
      </c>
    </row>
    <row r="2433">
      <c r="A2433" s="2" t="s">
        <v>12909</v>
      </c>
      <c r="B2433" s="1">
        <v>200.0</v>
      </c>
      <c r="C2433" s="1" t="s">
        <v>9886</v>
      </c>
      <c r="D2433" s="1" t="s">
        <v>609</v>
      </c>
      <c r="E2433" s="1" t="s">
        <v>631</v>
      </c>
    </row>
    <row r="2434">
      <c r="A2434" s="2" t="s">
        <v>12910</v>
      </c>
      <c r="B2434" s="1">
        <v>200.0</v>
      </c>
      <c r="C2434" s="1" t="s">
        <v>9212</v>
      </c>
      <c r="D2434" s="1" t="s">
        <v>609</v>
      </c>
      <c r="E2434" s="1" t="s">
        <v>631</v>
      </c>
    </row>
    <row r="2435">
      <c r="A2435" s="2" t="s">
        <v>12911</v>
      </c>
      <c r="B2435" s="1">
        <v>200.0</v>
      </c>
      <c r="C2435" s="1" t="s">
        <v>9212</v>
      </c>
      <c r="D2435" s="1" t="s">
        <v>609</v>
      </c>
      <c r="E2435" s="1" t="s">
        <v>631</v>
      </c>
    </row>
    <row r="2436">
      <c r="A2436" s="2" t="s">
        <v>12912</v>
      </c>
      <c r="B2436" s="1">
        <v>200.0</v>
      </c>
      <c r="C2436" s="1" t="s">
        <v>9070</v>
      </c>
      <c r="D2436" s="1" t="s">
        <v>609</v>
      </c>
      <c r="E2436" s="1" t="s">
        <v>631</v>
      </c>
    </row>
    <row r="2437">
      <c r="A2437" s="2" t="s">
        <v>12913</v>
      </c>
      <c r="B2437" s="1">
        <v>200.0</v>
      </c>
      <c r="C2437" s="1" t="s">
        <v>9070</v>
      </c>
      <c r="D2437" s="1" t="s">
        <v>609</v>
      </c>
      <c r="E2437" s="1" t="s">
        <v>631</v>
      </c>
    </row>
    <row r="2438">
      <c r="A2438" s="2" t="s">
        <v>12914</v>
      </c>
      <c r="B2438" s="1">
        <v>200.0</v>
      </c>
      <c r="C2438" s="1" t="s">
        <v>9011</v>
      </c>
      <c r="D2438" s="1" t="s">
        <v>609</v>
      </c>
      <c r="E2438" s="1" t="s">
        <v>631</v>
      </c>
    </row>
    <row r="2439">
      <c r="A2439" s="2" t="s">
        <v>12915</v>
      </c>
      <c r="B2439" s="1">
        <v>200.0</v>
      </c>
      <c r="C2439" s="1" t="s">
        <v>9070</v>
      </c>
      <c r="D2439" s="1" t="s">
        <v>609</v>
      </c>
      <c r="E2439" s="1" t="s">
        <v>631</v>
      </c>
    </row>
    <row r="2440">
      <c r="A2440" s="2" t="s">
        <v>12916</v>
      </c>
      <c r="B2440" s="1">
        <v>200.0</v>
      </c>
      <c r="C2440" s="1" t="s">
        <v>9011</v>
      </c>
      <c r="D2440" s="1" t="s">
        <v>609</v>
      </c>
      <c r="E2440" s="1" t="s">
        <v>631</v>
      </c>
    </row>
    <row r="2441">
      <c r="A2441" s="2" t="s">
        <v>12917</v>
      </c>
      <c r="B2441" s="1">
        <v>200.0</v>
      </c>
      <c r="C2441" s="1" t="s">
        <v>9058</v>
      </c>
      <c r="D2441" s="1" t="s">
        <v>609</v>
      </c>
      <c r="E2441" s="1" t="s">
        <v>631</v>
      </c>
    </row>
    <row r="2442">
      <c r="A2442" s="2" t="s">
        <v>12918</v>
      </c>
      <c r="B2442" s="1">
        <v>200.0</v>
      </c>
      <c r="C2442" s="1" t="s">
        <v>9058</v>
      </c>
      <c r="D2442" s="1" t="s">
        <v>609</v>
      </c>
      <c r="E2442" s="1" t="s">
        <v>631</v>
      </c>
    </row>
    <row r="2443">
      <c r="A2443" s="2" t="s">
        <v>12919</v>
      </c>
      <c r="B2443" s="1">
        <v>200.0</v>
      </c>
      <c r="C2443" s="1" t="s">
        <v>9058</v>
      </c>
      <c r="D2443" s="1" t="s">
        <v>609</v>
      </c>
      <c r="E2443" s="1" t="s">
        <v>631</v>
      </c>
      <c r="F2443" s="1">
        <v>0.0</v>
      </c>
      <c r="G2443" s="1">
        <v>6.0</v>
      </c>
      <c r="H2443" s="1">
        <v>0.0</v>
      </c>
      <c r="I2443" s="1">
        <v>11.83</v>
      </c>
    </row>
    <row r="2444">
      <c r="A2444" s="2" t="s">
        <v>12920</v>
      </c>
      <c r="B2444" s="1">
        <v>200.0</v>
      </c>
      <c r="C2444" s="1" t="s">
        <v>12347</v>
      </c>
      <c r="D2444" s="1" t="s">
        <v>609</v>
      </c>
      <c r="E2444" s="1" t="s">
        <v>631</v>
      </c>
    </row>
    <row r="2445">
      <c r="A2445" s="2" t="s">
        <v>12921</v>
      </c>
      <c r="B2445" s="1">
        <v>200.0</v>
      </c>
      <c r="C2445" s="1" t="s">
        <v>9011</v>
      </c>
      <c r="D2445" s="1" t="s">
        <v>609</v>
      </c>
      <c r="E2445" s="1" t="s">
        <v>631</v>
      </c>
    </row>
    <row r="2446">
      <c r="A2446" s="2" t="s">
        <v>12922</v>
      </c>
      <c r="B2446" s="1">
        <v>200.0</v>
      </c>
      <c r="C2446" s="1" t="s">
        <v>9322</v>
      </c>
      <c r="D2446" s="1" t="s">
        <v>609</v>
      </c>
      <c r="E2446" s="1" t="s">
        <v>631</v>
      </c>
      <c r="F2446" s="1">
        <v>0.0</v>
      </c>
      <c r="G2446" s="1">
        <v>8.0</v>
      </c>
      <c r="H2446" s="1">
        <v>0.0</v>
      </c>
      <c r="I2446" s="1">
        <v>13.38</v>
      </c>
    </row>
    <row r="2447">
      <c r="A2447" s="2" t="s">
        <v>12923</v>
      </c>
      <c r="B2447" s="1">
        <v>200.0</v>
      </c>
      <c r="C2447" s="1" t="s">
        <v>9011</v>
      </c>
      <c r="D2447" s="1" t="s">
        <v>609</v>
      </c>
      <c r="E2447" s="1" t="s">
        <v>631</v>
      </c>
      <c r="F2447" s="1">
        <v>0.0</v>
      </c>
      <c r="G2447" s="1">
        <v>3.0</v>
      </c>
      <c r="H2447" s="1">
        <v>0.0</v>
      </c>
      <c r="I2447" s="1">
        <v>7.67</v>
      </c>
    </row>
    <row r="2448">
      <c r="A2448" s="2" t="s">
        <v>12924</v>
      </c>
      <c r="B2448" s="1">
        <v>200.0</v>
      </c>
      <c r="C2448" s="1" t="s">
        <v>9896</v>
      </c>
      <c r="D2448" s="1" t="s">
        <v>609</v>
      </c>
      <c r="E2448" s="1" t="s">
        <v>631</v>
      </c>
    </row>
    <row r="2449">
      <c r="A2449" s="2" t="s">
        <v>12925</v>
      </c>
      <c r="B2449" s="1">
        <v>200.0</v>
      </c>
      <c r="C2449" s="1" t="s">
        <v>9070</v>
      </c>
      <c r="D2449" s="1" t="s">
        <v>609</v>
      </c>
      <c r="E2449" s="1" t="s">
        <v>631</v>
      </c>
      <c r="F2449" s="1">
        <v>0.0</v>
      </c>
      <c r="G2449" s="1">
        <v>7.0</v>
      </c>
      <c r="H2449" s="1">
        <v>0.0</v>
      </c>
      <c r="I2449" s="1">
        <v>6.0</v>
      </c>
    </row>
    <row r="2450">
      <c r="A2450" s="2" t="s">
        <v>12926</v>
      </c>
      <c r="B2450" s="1">
        <v>200.0</v>
      </c>
      <c r="C2450" s="1" t="s">
        <v>12347</v>
      </c>
      <c r="D2450" s="1" t="s">
        <v>609</v>
      </c>
      <c r="E2450" s="1" t="s">
        <v>631</v>
      </c>
    </row>
    <row r="2451">
      <c r="A2451" s="2" t="s">
        <v>12927</v>
      </c>
      <c r="B2451" s="1">
        <v>200.0</v>
      </c>
      <c r="C2451" s="1" t="s">
        <v>12928</v>
      </c>
      <c r="D2451" s="1" t="s">
        <v>583</v>
      </c>
      <c r="F2451" s="1">
        <v>0.0</v>
      </c>
      <c r="G2451" s="1">
        <v>1.0</v>
      </c>
      <c r="H2451" s="1">
        <v>0.0</v>
      </c>
      <c r="I2451" s="1">
        <v>5.0</v>
      </c>
    </row>
    <row r="2452">
      <c r="A2452" s="2" t="s">
        <v>12929</v>
      </c>
      <c r="B2452" s="1">
        <v>200.0</v>
      </c>
      <c r="C2452" s="1" t="s">
        <v>9058</v>
      </c>
      <c r="D2452" s="1" t="s">
        <v>609</v>
      </c>
      <c r="E2452" s="1" t="s">
        <v>631</v>
      </c>
    </row>
    <row r="2453">
      <c r="A2453" s="2" t="s">
        <v>12930</v>
      </c>
      <c r="B2453" s="1">
        <v>200.0</v>
      </c>
      <c r="C2453" s="1" t="s">
        <v>9058</v>
      </c>
      <c r="D2453" s="1" t="s">
        <v>609</v>
      </c>
      <c r="E2453" s="1" t="s">
        <v>631</v>
      </c>
    </row>
    <row r="2454">
      <c r="A2454" s="2" t="s">
        <v>12931</v>
      </c>
      <c r="B2454" s="1">
        <v>200.0</v>
      </c>
      <c r="C2454" s="1" t="s">
        <v>9011</v>
      </c>
      <c r="D2454" s="1" t="s">
        <v>609</v>
      </c>
      <c r="E2454" s="1" t="s">
        <v>631</v>
      </c>
    </row>
    <row r="2455">
      <c r="A2455" s="2" t="s">
        <v>12932</v>
      </c>
      <c r="B2455" s="1">
        <v>200.0</v>
      </c>
      <c r="C2455" s="1" t="s">
        <v>9011</v>
      </c>
      <c r="D2455" s="1" t="s">
        <v>609</v>
      </c>
      <c r="E2455" s="1" t="s">
        <v>631</v>
      </c>
    </row>
    <row r="2456">
      <c r="A2456" s="2" t="s">
        <v>12933</v>
      </c>
      <c r="B2456" s="1">
        <v>200.0</v>
      </c>
      <c r="C2456" s="1" t="s">
        <v>9011</v>
      </c>
      <c r="D2456" s="1" t="s">
        <v>609</v>
      </c>
      <c r="E2456" s="1" t="s">
        <v>631</v>
      </c>
    </row>
    <row r="2457">
      <c r="A2457" s="2" t="s">
        <v>12934</v>
      </c>
      <c r="B2457" s="1">
        <v>200.0</v>
      </c>
      <c r="C2457" s="1" t="s">
        <v>9070</v>
      </c>
      <c r="D2457" s="1" t="s">
        <v>609</v>
      </c>
      <c r="E2457" s="1" t="s">
        <v>631</v>
      </c>
    </row>
    <row r="2458">
      <c r="A2458" s="2" t="s">
        <v>12935</v>
      </c>
      <c r="B2458" s="1">
        <v>200.0</v>
      </c>
      <c r="C2458" s="1" t="s">
        <v>9212</v>
      </c>
      <c r="D2458" s="1" t="s">
        <v>609</v>
      </c>
      <c r="E2458" s="1" t="s">
        <v>631</v>
      </c>
    </row>
    <row r="2459">
      <c r="A2459" s="2" t="s">
        <v>12936</v>
      </c>
      <c r="B2459" s="1">
        <v>200.0</v>
      </c>
      <c r="C2459" s="1" t="s">
        <v>9058</v>
      </c>
      <c r="D2459" s="1" t="s">
        <v>609</v>
      </c>
      <c r="E2459" s="1" t="s">
        <v>631</v>
      </c>
    </row>
    <row r="2460">
      <c r="A2460" s="2" t="s">
        <v>12937</v>
      </c>
      <c r="B2460" s="1">
        <v>200.0</v>
      </c>
      <c r="C2460" s="1" t="s">
        <v>9058</v>
      </c>
      <c r="D2460" s="1" t="s">
        <v>609</v>
      </c>
      <c r="E2460" s="1" t="s">
        <v>631</v>
      </c>
    </row>
    <row r="2461">
      <c r="A2461" s="2" t="s">
        <v>12938</v>
      </c>
      <c r="B2461" s="1">
        <v>200.0</v>
      </c>
      <c r="C2461" s="1" t="s">
        <v>9882</v>
      </c>
      <c r="D2461" s="1" t="s">
        <v>609</v>
      </c>
      <c r="E2461" s="1" t="s">
        <v>631</v>
      </c>
    </row>
    <row r="2462">
      <c r="A2462" s="2" t="s">
        <v>12939</v>
      </c>
      <c r="B2462" s="1">
        <v>200.0</v>
      </c>
      <c r="C2462" s="1" t="s">
        <v>9322</v>
      </c>
      <c r="D2462" s="1" t="s">
        <v>609</v>
      </c>
      <c r="E2462" s="1" t="s">
        <v>631</v>
      </c>
      <c r="F2462" s="1">
        <v>0.0</v>
      </c>
      <c r="G2462" s="1">
        <v>3.0</v>
      </c>
      <c r="H2462" s="1">
        <v>0.0</v>
      </c>
      <c r="I2462" s="1">
        <v>34.67</v>
      </c>
    </row>
    <row r="2463">
      <c r="A2463" s="2" t="s">
        <v>12940</v>
      </c>
      <c r="B2463" s="1">
        <v>200.0</v>
      </c>
      <c r="C2463" s="1" t="s">
        <v>9864</v>
      </c>
      <c r="D2463" s="1" t="s">
        <v>609</v>
      </c>
      <c r="E2463" s="1" t="s">
        <v>631</v>
      </c>
    </row>
    <row r="2464">
      <c r="A2464" s="2" t="s">
        <v>12941</v>
      </c>
      <c r="B2464" s="1">
        <v>200.0</v>
      </c>
      <c r="C2464" s="1" t="s">
        <v>9864</v>
      </c>
      <c r="D2464" s="1" t="s">
        <v>609</v>
      </c>
      <c r="E2464" s="1" t="s">
        <v>631</v>
      </c>
    </row>
    <row r="2465">
      <c r="A2465" s="2" t="s">
        <v>12942</v>
      </c>
      <c r="B2465" s="1">
        <v>200.0</v>
      </c>
      <c r="C2465" s="1" t="s">
        <v>9876</v>
      </c>
      <c r="D2465" s="1" t="s">
        <v>609</v>
      </c>
      <c r="E2465" s="1" t="s">
        <v>631</v>
      </c>
      <c r="F2465" s="1">
        <v>0.0</v>
      </c>
      <c r="G2465" s="1">
        <v>2.0</v>
      </c>
      <c r="H2465" s="1">
        <v>0.0</v>
      </c>
      <c r="I2465" s="1">
        <v>3.5</v>
      </c>
    </row>
    <row r="2466">
      <c r="A2466" s="2" t="s">
        <v>12943</v>
      </c>
      <c r="B2466" s="1">
        <v>200.0</v>
      </c>
      <c r="C2466" s="1" t="s">
        <v>9876</v>
      </c>
      <c r="D2466" s="1" t="s">
        <v>609</v>
      </c>
      <c r="E2466" s="1" t="s">
        <v>631</v>
      </c>
    </row>
    <row r="2467">
      <c r="A2467" s="2" t="s">
        <v>12944</v>
      </c>
      <c r="B2467" s="1">
        <v>200.0</v>
      </c>
      <c r="C2467" s="1" t="s">
        <v>9058</v>
      </c>
      <c r="D2467" s="1" t="s">
        <v>609</v>
      </c>
      <c r="E2467" s="1" t="s">
        <v>631</v>
      </c>
    </row>
    <row r="2468">
      <c r="A2468" s="2" t="s">
        <v>12945</v>
      </c>
      <c r="B2468" s="1">
        <v>200.0</v>
      </c>
      <c r="C2468" s="1" t="s">
        <v>9876</v>
      </c>
      <c r="D2468" s="1" t="s">
        <v>609</v>
      </c>
      <c r="E2468" s="1" t="s">
        <v>631</v>
      </c>
    </row>
    <row r="2469">
      <c r="A2469" s="2" t="s">
        <v>12946</v>
      </c>
      <c r="B2469" s="1">
        <v>200.0</v>
      </c>
      <c r="C2469" s="1" t="s">
        <v>9876</v>
      </c>
      <c r="D2469" s="1" t="s">
        <v>609</v>
      </c>
      <c r="E2469" s="1" t="s">
        <v>631</v>
      </c>
      <c r="F2469" s="1">
        <v>0.0</v>
      </c>
      <c r="G2469" s="1">
        <v>1.0</v>
      </c>
      <c r="H2469" s="1">
        <v>0.0</v>
      </c>
      <c r="I2469" s="1">
        <v>6.0</v>
      </c>
    </row>
    <row r="2470">
      <c r="A2470" s="2" t="s">
        <v>12947</v>
      </c>
      <c r="B2470" s="1">
        <v>200.0</v>
      </c>
      <c r="C2470" s="1" t="s">
        <v>9886</v>
      </c>
      <c r="D2470" s="1" t="s">
        <v>609</v>
      </c>
      <c r="E2470" s="1" t="s">
        <v>631</v>
      </c>
    </row>
    <row r="2471">
      <c r="A2471" s="2" t="s">
        <v>12948</v>
      </c>
      <c r="B2471" s="1">
        <v>200.0</v>
      </c>
      <c r="C2471" s="1" t="s">
        <v>9886</v>
      </c>
      <c r="D2471" s="1" t="s">
        <v>609</v>
      </c>
      <c r="E2471" s="1" t="s">
        <v>631</v>
      </c>
      <c r="F2471" s="1">
        <v>0.0</v>
      </c>
      <c r="G2471" s="1">
        <v>3.0</v>
      </c>
      <c r="H2471" s="1">
        <v>0.0</v>
      </c>
      <c r="I2471" s="1">
        <v>8.0</v>
      </c>
    </row>
    <row r="2472">
      <c r="A2472" s="2" t="s">
        <v>12949</v>
      </c>
      <c r="B2472" s="1">
        <v>200.0</v>
      </c>
      <c r="C2472" s="1" t="s">
        <v>9011</v>
      </c>
      <c r="D2472" s="1" t="s">
        <v>609</v>
      </c>
      <c r="E2472" s="1" t="s">
        <v>631</v>
      </c>
    </row>
    <row r="2473">
      <c r="A2473" s="2" t="s">
        <v>12950</v>
      </c>
      <c r="B2473" s="1">
        <v>200.0</v>
      </c>
      <c r="C2473" s="1" t="s">
        <v>9864</v>
      </c>
      <c r="D2473" s="1" t="s">
        <v>609</v>
      </c>
      <c r="E2473" s="1" t="s">
        <v>631</v>
      </c>
    </row>
    <row r="2474">
      <c r="A2474" s="2" t="s">
        <v>12951</v>
      </c>
      <c r="B2474" s="1">
        <v>200.0</v>
      </c>
      <c r="C2474" s="1" t="s">
        <v>9872</v>
      </c>
      <c r="D2474" s="1" t="s">
        <v>609</v>
      </c>
      <c r="E2474" s="1" t="s">
        <v>631</v>
      </c>
    </row>
    <row r="2475">
      <c r="A2475" s="2" t="s">
        <v>12952</v>
      </c>
      <c r="B2475" s="1">
        <v>200.0</v>
      </c>
      <c r="C2475" s="1" t="s">
        <v>9882</v>
      </c>
      <c r="D2475" s="1" t="s">
        <v>609</v>
      </c>
      <c r="E2475" s="1" t="s">
        <v>631</v>
      </c>
    </row>
    <row r="2476">
      <c r="A2476" s="2" t="s">
        <v>12953</v>
      </c>
      <c r="B2476" s="1">
        <v>200.0</v>
      </c>
      <c r="C2476" s="1" t="s">
        <v>9882</v>
      </c>
      <c r="D2476" s="1" t="s">
        <v>609</v>
      </c>
      <c r="E2476" s="1" t="s">
        <v>631</v>
      </c>
    </row>
    <row r="2477">
      <c r="A2477" s="2" t="s">
        <v>12954</v>
      </c>
      <c r="B2477" s="1">
        <v>200.0</v>
      </c>
      <c r="C2477" s="1" t="s">
        <v>9882</v>
      </c>
      <c r="D2477" s="1" t="s">
        <v>609</v>
      </c>
      <c r="E2477" s="1" t="s">
        <v>631</v>
      </c>
      <c r="F2477" s="1">
        <v>0.0</v>
      </c>
      <c r="G2477" s="1">
        <v>3.0</v>
      </c>
      <c r="H2477" s="1">
        <v>0.0</v>
      </c>
      <c r="I2477" s="1">
        <v>22.33</v>
      </c>
    </row>
    <row r="2478">
      <c r="A2478" s="2" t="s">
        <v>12955</v>
      </c>
      <c r="B2478" s="1">
        <v>200.0</v>
      </c>
      <c r="C2478" s="1" t="s">
        <v>9212</v>
      </c>
      <c r="D2478" s="1" t="s">
        <v>609</v>
      </c>
      <c r="E2478" s="1" t="s">
        <v>631</v>
      </c>
    </row>
    <row r="2479">
      <c r="A2479" s="2" t="s">
        <v>12956</v>
      </c>
      <c r="B2479" s="1">
        <v>200.0</v>
      </c>
      <c r="C2479" s="1" t="s">
        <v>9886</v>
      </c>
      <c r="D2479" s="1" t="s">
        <v>609</v>
      </c>
      <c r="E2479" s="1" t="s">
        <v>631</v>
      </c>
    </row>
    <row r="2480">
      <c r="A2480" s="2" t="s">
        <v>12957</v>
      </c>
      <c r="B2480" s="1">
        <v>200.0</v>
      </c>
      <c r="C2480" s="1" t="s">
        <v>9864</v>
      </c>
      <c r="D2480" s="1" t="s">
        <v>609</v>
      </c>
      <c r="E2480" s="1" t="s">
        <v>631</v>
      </c>
    </row>
    <row r="2481">
      <c r="A2481" s="2" t="s">
        <v>12958</v>
      </c>
      <c r="B2481" s="1">
        <v>200.0</v>
      </c>
      <c r="C2481" s="1" t="s">
        <v>9838</v>
      </c>
      <c r="D2481" s="1" t="s">
        <v>609</v>
      </c>
      <c r="E2481" s="1" t="s">
        <v>631</v>
      </c>
    </row>
    <row r="2482">
      <c r="A2482" s="2" t="s">
        <v>12959</v>
      </c>
      <c r="B2482" s="1">
        <v>200.0</v>
      </c>
      <c r="C2482" s="1" t="s">
        <v>9838</v>
      </c>
      <c r="D2482" s="1" t="s">
        <v>609</v>
      </c>
      <c r="E2482" s="1" t="s">
        <v>631</v>
      </c>
    </row>
    <row r="2483">
      <c r="A2483" s="2" t="s">
        <v>12960</v>
      </c>
      <c r="B2483" s="1">
        <v>200.0</v>
      </c>
      <c r="C2483" s="1" t="s">
        <v>12961</v>
      </c>
      <c r="D2483" s="1" t="s">
        <v>583</v>
      </c>
      <c r="F2483" s="1">
        <v>0.0</v>
      </c>
      <c r="G2483" s="1">
        <v>67.0</v>
      </c>
      <c r="H2483" s="1">
        <v>0.0</v>
      </c>
      <c r="I2483" s="1">
        <v>17.09</v>
      </c>
    </row>
    <row r="2484">
      <c r="A2484" s="2" t="s">
        <v>12962</v>
      </c>
      <c r="B2484" s="1">
        <v>200.0</v>
      </c>
      <c r="C2484" s="1" t="s">
        <v>12963</v>
      </c>
      <c r="D2484" s="1" t="s">
        <v>583</v>
      </c>
      <c r="F2484" s="1">
        <v>1.0</v>
      </c>
      <c r="G2484" s="1">
        <v>38.0</v>
      </c>
      <c r="H2484" s="1">
        <v>0.026</v>
      </c>
      <c r="I2484" s="1">
        <v>21.53</v>
      </c>
    </row>
    <row r="2485">
      <c r="A2485" s="2" t="s">
        <v>12964</v>
      </c>
      <c r="B2485" s="1">
        <v>200.0</v>
      </c>
      <c r="C2485" s="1" t="s">
        <v>9872</v>
      </c>
      <c r="D2485" s="1" t="s">
        <v>609</v>
      </c>
      <c r="E2485" s="1" t="s">
        <v>631</v>
      </c>
    </row>
    <row r="2486">
      <c r="A2486" s="2" t="s">
        <v>12965</v>
      </c>
      <c r="B2486" s="1">
        <v>200.0</v>
      </c>
      <c r="C2486" s="1" t="s">
        <v>12966</v>
      </c>
      <c r="D2486" s="1" t="s">
        <v>583</v>
      </c>
      <c r="F2486" s="1">
        <v>7.0</v>
      </c>
      <c r="G2486" s="1">
        <v>761.0</v>
      </c>
      <c r="H2486" s="1">
        <v>0.009</v>
      </c>
      <c r="I2486" s="1">
        <v>15.26</v>
      </c>
    </row>
    <row r="2487">
      <c r="A2487" s="2" t="s">
        <v>12967</v>
      </c>
      <c r="B2487" s="1">
        <v>200.0</v>
      </c>
      <c r="C2487" s="1" t="s">
        <v>9322</v>
      </c>
      <c r="D2487" s="1" t="s">
        <v>583</v>
      </c>
      <c r="F2487" s="1">
        <v>1.0</v>
      </c>
      <c r="G2487" s="1">
        <v>59.0</v>
      </c>
      <c r="H2487" s="1">
        <v>0.017</v>
      </c>
      <c r="I2487" s="1">
        <v>6.86</v>
      </c>
    </row>
    <row r="2488">
      <c r="A2488" s="2" t="s">
        <v>12968</v>
      </c>
      <c r="B2488" s="1">
        <v>200.0</v>
      </c>
      <c r="C2488" s="1" t="s">
        <v>9212</v>
      </c>
      <c r="D2488" s="1" t="s">
        <v>609</v>
      </c>
      <c r="E2488" s="1" t="s">
        <v>631</v>
      </c>
    </row>
    <row r="2489">
      <c r="A2489" s="2" t="s">
        <v>12969</v>
      </c>
      <c r="B2489" s="1">
        <v>200.0</v>
      </c>
      <c r="C2489" s="1" t="s">
        <v>9212</v>
      </c>
      <c r="D2489" s="1" t="s">
        <v>609</v>
      </c>
      <c r="E2489" s="1" t="s">
        <v>631</v>
      </c>
    </row>
    <row r="2490">
      <c r="A2490" s="2" t="s">
        <v>12970</v>
      </c>
      <c r="B2490" s="1">
        <v>200.0</v>
      </c>
      <c r="C2490" s="1" t="s">
        <v>12971</v>
      </c>
      <c r="D2490" s="1" t="s">
        <v>583</v>
      </c>
      <c r="F2490" s="1">
        <v>0.0</v>
      </c>
      <c r="G2490" s="1">
        <v>38.0</v>
      </c>
      <c r="H2490" s="1">
        <v>0.0</v>
      </c>
      <c r="I2490" s="1">
        <v>8.87</v>
      </c>
    </row>
    <row r="2491">
      <c r="A2491" s="2" t="s">
        <v>12972</v>
      </c>
      <c r="B2491" s="1">
        <v>200.0</v>
      </c>
      <c r="C2491" s="1" t="s">
        <v>12971</v>
      </c>
      <c r="D2491" s="1" t="s">
        <v>609</v>
      </c>
      <c r="E2491" s="1" t="s">
        <v>631</v>
      </c>
    </row>
    <row r="2492">
      <c r="A2492" s="2" t="s">
        <v>12973</v>
      </c>
      <c r="B2492" s="1">
        <v>200.0</v>
      </c>
      <c r="C2492" s="1" t="s">
        <v>9212</v>
      </c>
      <c r="D2492" s="1" t="s">
        <v>609</v>
      </c>
      <c r="E2492" s="1" t="s">
        <v>631</v>
      </c>
    </row>
    <row r="2493">
      <c r="A2493" s="2" t="s">
        <v>12974</v>
      </c>
      <c r="B2493" s="1">
        <v>200.0</v>
      </c>
      <c r="C2493" s="1" t="s">
        <v>9838</v>
      </c>
      <c r="D2493" s="1" t="s">
        <v>609</v>
      </c>
      <c r="E2493" s="1" t="s">
        <v>631</v>
      </c>
    </row>
    <row r="2494">
      <c r="A2494" s="2" t="s">
        <v>12975</v>
      </c>
      <c r="B2494" s="1">
        <v>200.0</v>
      </c>
      <c r="C2494" s="1" t="s">
        <v>9838</v>
      </c>
      <c r="D2494" s="1" t="s">
        <v>609</v>
      </c>
      <c r="E2494" s="1" t="s">
        <v>631</v>
      </c>
    </row>
    <row r="2495">
      <c r="A2495" s="2" t="s">
        <v>12976</v>
      </c>
      <c r="B2495" s="1">
        <v>200.0</v>
      </c>
      <c r="C2495" s="1" t="s">
        <v>9886</v>
      </c>
      <c r="D2495" s="1" t="s">
        <v>609</v>
      </c>
      <c r="E2495" s="1" t="s">
        <v>631</v>
      </c>
      <c r="F2495" s="1">
        <v>0.0</v>
      </c>
      <c r="G2495" s="1">
        <v>3.0</v>
      </c>
      <c r="H2495" s="1">
        <v>0.0</v>
      </c>
      <c r="I2495" s="1">
        <v>3.67</v>
      </c>
    </row>
    <row r="2496">
      <c r="A2496" s="2" t="s">
        <v>12977</v>
      </c>
      <c r="B2496" s="1">
        <v>200.0</v>
      </c>
      <c r="C2496" s="1" t="s">
        <v>9886</v>
      </c>
      <c r="D2496" s="1" t="s">
        <v>609</v>
      </c>
      <c r="E2496" s="1" t="s">
        <v>631</v>
      </c>
    </row>
    <row r="2497">
      <c r="A2497" s="2" t="s">
        <v>12978</v>
      </c>
      <c r="B2497" s="1">
        <v>200.0</v>
      </c>
      <c r="C2497" s="1" t="s">
        <v>12963</v>
      </c>
      <c r="D2497" s="1" t="s">
        <v>609</v>
      </c>
      <c r="E2497" s="1" t="s">
        <v>631</v>
      </c>
    </row>
    <row r="2498">
      <c r="A2498" s="2" t="s">
        <v>12979</v>
      </c>
      <c r="B2498" s="1">
        <v>200.0</v>
      </c>
      <c r="C2498" s="1" t="s">
        <v>12961</v>
      </c>
      <c r="D2498" s="1" t="s">
        <v>609</v>
      </c>
      <c r="E2498" s="1" t="s">
        <v>631</v>
      </c>
    </row>
    <row r="2499">
      <c r="A2499" s="2" t="s">
        <v>12980</v>
      </c>
      <c r="B2499" s="1">
        <v>200.0</v>
      </c>
      <c r="C2499" s="1" t="s">
        <v>9838</v>
      </c>
      <c r="D2499" s="1" t="s">
        <v>609</v>
      </c>
      <c r="E2499" s="1" t="s">
        <v>631</v>
      </c>
    </row>
    <row r="2500">
      <c r="A2500" s="2" t="s">
        <v>12981</v>
      </c>
      <c r="B2500" s="1">
        <v>200.0</v>
      </c>
      <c r="C2500" s="1" t="s">
        <v>9838</v>
      </c>
      <c r="D2500" s="1" t="s">
        <v>609</v>
      </c>
      <c r="E2500" s="1" t="s">
        <v>631</v>
      </c>
    </row>
    <row r="2501">
      <c r="A2501" s="2" t="s">
        <v>12982</v>
      </c>
      <c r="B2501" s="1">
        <v>200.0</v>
      </c>
      <c r="C2501" s="1" t="s">
        <v>9886</v>
      </c>
      <c r="D2501" s="1" t="s">
        <v>609</v>
      </c>
      <c r="E2501" s="1" t="s">
        <v>631</v>
      </c>
    </row>
    <row r="2502">
      <c r="A2502" s="2" t="s">
        <v>12983</v>
      </c>
      <c r="B2502" s="1">
        <v>200.0</v>
      </c>
      <c r="C2502" s="1" t="s">
        <v>9882</v>
      </c>
      <c r="D2502" s="1" t="s">
        <v>609</v>
      </c>
      <c r="E2502" s="1" t="s">
        <v>631</v>
      </c>
    </row>
    <row r="2503">
      <c r="A2503" s="2" t="s">
        <v>12984</v>
      </c>
      <c r="B2503" s="1">
        <v>200.0</v>
      </c>
      <c r="C2503" s="1" t="s">
        <v>9212</v>
      </c>
      <c r="D2503" s="1" t="s">
        <v>609</v>
      </c>
      <c r="E2503" s="1" t="s">
        <v>631</v>
      </c>
      <c r="F2503" s="1">
        <v>0.0</v>
      </c>
      <c r="G2503" s="1">
        <v>2.0</v>
      </c>
      <c r="H2503" s="1">
        <v>0.0</v>
      </c>
      <c r="I2503" s="1">
        <v>5.5</v>
      </c>
    </row>
    <row r="2504">
      <c r="A2504" s="2" t="s">
        <v>12985</v>
      </c>
      <c r="B2504" s="1">
        <v>200.0</v>
      </c>
      <c r="C2504" s="1" t="s">
        <v>12966</v>
      </c>
      <c r="D2504" s="1" t="s">
        <v>609</v>
      </c>
      <c r="E2504" s="1" t="s">
        <v>631</v>
      </c>
      <c r="F2504" s="1">
        <v>0.0</v>
      </c>
      <c r="G2504" s="1">
        <v>107.0</v>
      </c>
      <c r="H2504" s="1">
        <v>0.0</v>
      </c>
      <c r="I2504" s="1">
        <v>17.31</v>
      </c>
    </row>
    <row r="2505">
      <c r="A2505" s="2" t="s">
        <v>12986</v>
      </c>
      <c r="B2505" s="1">
        <v>200.0</v>
      </c>
      <c r="C2505" s="1" t="s">
        <v>9886</v>
      </c>
      <c r="D2505" s="1" t="s">
        <v>609</v>
      </c>
      <c r="E2505" s="1" t="s">
        <v>631</v>
      </c>
    </row>
    <row r="2506">
      <c r="A2506" s="2" t="s">
        <v>12987</v>
      </c>
      <c r="B2506" s="1">
        <v>200.0</v>
      </c>
      <c r="C2506" s="1" t="s">
        <v>9011</v>
      </c>
      <c r="D2506" s="1" t="s">
        <v>609</v>
      </c>
      <c r="E2506" s="1" t="s">
        <v>631</v>
      </c>
      <c r="F2506" s="1">
        <v>1.0</v>
      </c>
      <c r="G2506" s="1">
        <v>10.0</v>
      </c>
      <c r="H2506" s="1">
        <v>0.1</v>
      </c>
      <c r="I2506" s="1">
        <v>8.7</v>
      </c>
    </row>
    <row r="2507">
      <c r="A2507" s="2" t="s">
        <v>12988</v>
      </c>
      <c r="B2507" s="1">
        <v>200.0</v>
      </c>
      <c r="C2507" s="1" t="s">
        <v>9876</v>
      </c>
      <c r="D2507" s="1" t="s">
        <v>609</v>
      </c>
      <c r="E2507" s="1" t="s">
        <v>631</v>
      </c>
    </row>
    <row r="2508">
      <c r="A2508" s="2" t="s">
        <v>12989</v>
      </c>
      <c r="B2508" s="1">
        <v>200.0</v>
      </c>
      <c r="C2508" s="1" t="s">
        <v>9838</v>
      </c>
      <c r="D2508" s="1" t="s">
        <v>609</v>
      </c>
      <c r="E2508" s="1" t="s">
        <v>631</v>
      </c>
    </row>
    <row r="2509">
      <c r="A2509" s="2" t="s">
        <v>12990</v>
      </c>
      <c r="B2509" s="1">
        <v>200.0</v>
      </c>
      <c r="C2509" s="1" t="s">
        <v>9876</v>
      </c>
      <c r="D2509" s="1" t="s">
        <v>609</v>
      </c>
      <c r="E2509" s="1" t="s">
        <v>631</v>
      </c>
      <c r="F2509" s="1">
        <v>0.0</v>
      </c>
      <c r="G2509" s="1">
        <v>2.0</v>
      </c>
      <c r="H2509" s="1">
        <v>0.0</v>
      </c>
      <c r="I2509" s="1">
        <v>7.0</v>
      </c>
    </row>
    <row r="2510">
      <c r="A2510" s="2" t="s">
        <v>12991</v>
      </c>
      <c r="B2510" s="1">
        <v>200.0</v>
      </c>
      <c r="C2510" s="1" t="s">
        <v>9876</v>
      </c>
      <c r="D2510" s="1" t="s">
        <v>609</v>
      </c>
      <c r="E2510" s="1" t="s">
        <v>631</v>
      </c>
    </row>
    <row r="2511">
      <c r="A2511" s="2" t="s">
        <v>12992</v>
      </c>
      <c r="B2511" s="1">
        <v>200.0</v>
      </c>
      <c r="C2511" s="1" t="s">
        <v>9838</v>
      </c>
      <c r="D2511" s="1" t="s">
        <v>609</v>
      </c>
      <c r="E2511" s="1" t="s">
        <v>631</v>
      </c>
    </row>
    <row r="2512">
      <c r="A2512" s="2" t="s">
        <v>12993</v>
      </c>
      <c r="B2512" s="1">
        <v>200.0</v>
      </c>
      <c r="C2512" s="1" t="s">
        <v>9864</v>
      </c>
      <c r="D2512" s="1" t="s">
        <v>609</v>
      </c>
      <c r="E2512" s="1" t="s">
        <v>631</v>
      </c>
    </row>
    <row r="2513">
      <c r="A2513" s="2" t="s">
        <v>12994</v>
      </c>
      <c r="B2513" s="1">
        <v>200.0</v>
      </c>
      <c r="C2513" s="1" t="s">
        <v>9882</v>
      </c>
      <c r="D2513" s="1" t="s">
        <v>609</v>
      </c>
      <c r="E2513" s="1" t="s">
        <v>631</v>
      </c>
    </row>
    <row r="2514">
      <c r="A2514" s="2" t="s">
        <v>12995</v>
      </c>
      <c r="B2514" s="1">
        <v>200.0</v>
      </c>
      <c r="C2514" s="1" t="s">
        <v>9864</v>
      </c>
      <c r="D2514" s="1" t="s">
        <v>609</v>
      </c>
      <c r="E2514" s="1" t="s">
        <v>631</v>
      </c>
    </row>
    <row r="2515">
      <c r="A2515" s="2" t="s">
        <v>12996</v>
      </c>
      <c r="B2515" s="1">
        <v>200.0</v>
      </c>
      <c r="C2515" s="1" t="s">
        <v>9886</v>
      </c>
      <c r="D2515" s="1" t="s">
        <v>609</v>
      </c>
      <c r="E2515" s="1" t="s">
        <v>631</v>
      </c>
    </row>
    <row r="2516">
      <c r="A2516" s="2" t="s">
        <v>12997</v>
      </c>
      <c r="B2516" s="1">
        <v>200.0</v>
      </c>
      <c r="C2516" s="1" t="s">
        <v>9876</v>
      </c>
      <c r="D2516" s="1" t="s">
        <v>609</v>
      </c>
      <c r="E2516" s="1" t="s">
        <v>631</v>
      </c>
    </row>
    <row r="2517">
      <c r="A2517" s="2" t="s">
        <v>12998</v>
      </c>
      <c r="B2517" s="1">
        <v>200.0</v>
      </c>
      <c r="C2517" s="1" t="s">
        <v>9864</v>
      </c>
      <c r="D2517" s="1" t="s">
        <v>609</v>
      </c>
      <c r="E2517" s="1" t="s">
        <v>631</v>
      </c>
    </row>
    <row r="2518">
      <c r="A2518" s="2" t="s">
        <v>12999</v>
      </c>
      <c r="B2518" s="1">
        <v>200.0</v>
      </c>
      <c r="C2518" s="1" t="s">
        <v>9322</v>
      </c>
      <c r="D2518" s="1" t="s">
        <v>609</v>
      </c>
      <c r="E2518" s="1" t="s">
        <v>631</v>
      </c>
      <c r="F2518" s="1">
        <v>0.0</v>
      </c>
      <c r="G2518" s="1">
        <v>3.0</v>
      </c>
      <c r="H2518" s="1">
        <v>0.0</v>
      </c>
      <c r="I2518" s="1">
        <v>74.0</v>
      </c>
    </row>
    <row r="2519">
      <c r="A2519" s="2" t="s">
        <v>13000</v>
      </c>
      <c r="B2519" s="1">
        <v>200.0</v>
      </c>
      <c r="C2519" s="1" t="s">
        <v>9864</v>
      </c>
      <c r="D2519" s="1" t="s">
        <v>609</v>
      </c>
      <c r="E2519" s="1" t="s">
        <v>631</v>
      </c>
    </row>
    <row r="2520">
      <c r="A2520" s="2" t="s">
        <v>13001</v>
      </c>
      <c r="B2520" s="1">
        <v>200.0</v>
      </c>
      <c r="C2520" s="1" t="s">
        <v>9882</v>
      </c>
      <c r="D2520" s="1" t="s">
        <v>609</v>
      </c>
      <c r="E2520" s="1" t="s">
        <v>631</v>
      </c>
      <c r="F2520" s="1">
        <v>0.0</v>
      </c>
      <c r="G2520" s="1">
        <v>8.0</v>
      </c>
      <c r="H2520" s="1">
        <v>0.0</v>
      </c>
      <c r="I2520" s="1">
        <v>9.38</v>
      </c>
    </row>
    <row r="2521">
      <c r="A2521" s="2" t="s">
        <v>13002</v>
      </c>
      <c r="B2521" s="1">
        <v>200.0</v>
      </c>
      <c r="C2521" s="1" t="s">
        <v>9882</v>
      </c>
      <c r="D2521" s="1" t="s">
        <v>609</v>
      </c>
      <c r="E2521" s="1" t="s">
        <v>631</v>
      </c>
    </row>
    <row r="2522">
      <c r="A2522" s="2" t="s">
        <v>13003</v>
      </c>
      <c r="B2522" s="1">
        <v>200.0</v>
      </c>
      <c r="C2522" s="1" t="s">
        <v>9058</v>
      </c>
      <c r="D2522" s="1" t="s">
        <v>609</v>
      </c>
      <c r="E2522" s="1" t="s">
        <v>631</v>
      </c>
    </row>
    <row r="2523">
      <c r="A2523" s="2" t="s">
        <v>13004</v>
      </c>
      <c r="B2523" s="1">
        <v>200.0</v>
      </c>
      <c r="C2523" s="1" t="s">
        <v>9212</v>
      </c>
      <c r="D2523" s="1" t="s">
        <v>609</v>
      </c>
      <c r="E2523" s="1" t="s">
        <v>631</v>
      </c>
    </row>
    <row r="2524">
      <c r="A2524" s="2" t="s">
        <v>13005</v>
      </c>
      <c r="B2524" s="1">
        <v>200.0</v>
      </c>
      <c r="C2524" s="1" t="s">
        <v>9212</v>
      </c>
      <c r="D2524" s="1" t="s">
        <v>609</v>
      </c>
      <c r="E2524" s="1" t="s">
        <v>631</v>
      </c>
    </row>
    <row r="2525">
      <c r="A2525" s="2" t="s">
        <v>13006</v>
      </c>
      <c r="B2525" s="1">
        <v>200.0</v>
      </c>
      <c r="C2525" s="1" t="s">
        <v>9011</v>
      </c>
      <c r="D2525" s="1" t="s">
        <v>609</v>
      </c>
      <c r="E2525" s="1" t="s">
        <v>631</v>
      </c>
    </row>
    <row r="2526">
      <c r="A2526" s="2" t="s">
        <v>13007</v>
      </c>
      <c r="B2526" s="1">
        <v>200.0</v>
      </c>
      <c r="C2526" s="1" t="s">
        <v>9011</v>
      </c>
      <c r="D2526" s="1" t="s">
        <v>609</v>
      </c>
      <c r="E2526" s="1" t="s">
        <v>631</v>
      </c>
    </row>
    <row r="2527">
      <c r="A2527" s="2" t="s">
        <v>13008</v>
      </c>
      <c r="B2527" s="1">
        <v>200.0</v>
      </c>
      <c r="C2527" s="1" t="s">
        <v>9058</v>
      </c>
      <c r="D2527" s="1" t="s">
        <v>609</v>
      </c>
      <c r="E2527" s="1" t="s">
        <v>631</v>
      </c>
    </row>
    <row r="2528">
      <c r="A2528" s="2" t="s">
        <v>13009</v>
      </c>
      <c r="B2528" s="1">
        <v>200.0</v>
      </c>
      <c r="C2528" s="1" t="s">
        <v>9058</v>
      </c>
      <c r="D2528" s="1" t="s">
        <v>609</v>
      </c>
      <c r="E2528" s="1" t="s">
        <v>631</v>
      </c>
    </row>
    <row r="2529">
      <c r="A2529" s="2" t="s">
        <v>13010</v>
      </c>
      <c r="B2529" s="1">
        <v>200.0</v>
      </c>
      <c r="C2529" s="1" t="s">
        <v>12347</v>
      </c>
      <c r="D2529" s="1" t="s">
        <v>609</v>
      </c>
      <c r="E2529" s="1" t="s">
        <v>631</v>
      </c>
      <c r="F2529" s="1">
        <v>0.0</v>
      </c>
      <c r="G2529" s="1">
        <v>3.0</v>
      </c>
      <c r="H2529" s="1">
        <v>0.0</v>
      </c>
      <c r="I2529" s="1">
        <v>4.33</v>
      </c>
    </row>
    <row r="2530">
      <c r="A2530" s="2" t="s">
        <v>13011</v>
      </c>
      <c r="B2530" s="1">
        <v>200.0</v>
      </c>
      <c r="C2530" s="1" t="s">
        <v>13012</v>
      </c>
      <c r="D2530" s="1" t="s">
        <v>583</v>
      </c>
      <c r="F2530" s="1">
        <v>9.0</v>
      </c>
      <c r="G2530" s="1">
        <v>329.0</v>
      </c>
      <c r="H2530" s="1">
        <v>0.027</v>
      </c>
      <c r="I2530" s="1">
        <v>6.67</v>
      </c>
    </row>
    <row r="2531">
      <c r="A2531" s="2" t="s">
        <v>13013</v>
      </c>
      <c r="B2531" s="1">
        <v>200.0</v>
      </c>
      <c r="C2531" s="1" t="s">
        <v>9058</v>
      </c>
      <c r="D2531" s="1" t="s">
        <v>609</v>
      </c>
      <c r="E2531" s="1" t="s">
        <v>631</v>
      </c>
    </row>
    <row r="2532">
      <c r="A2532" s="2" t="s">
        <v>13014</v>
      </c>
      <c r="B2532" s="1">
        <v>200.0</v>
      </c>
      <c r="C2532" s="1" t="s">
        <v>12966</v>
      </c>
      <c r="D2532" s="1" t="s">
        <v>609</v>
      </c>
      <c r="E2532" s="1" t="s">
        <v>631</v>
      </c>
    </row>
    <row r="2533">
      <c r="A2533" s="2" t="s">
        <v>13015</v>
      </c>
      <c r="B2533" s="1">
        <v>200.0</v>
      </c>
      <c r="C2533" s="1" t="s">
        <v>12966</v>
      </c>
      <c r="D2533" s="1" t="s">
        <v>609</v>
      </c>
      <c r="E2533" s="1" t="s">
        <v>631</v>
      </c>
    </row>
    <row r="2534">
      <c r="A2534" s="2" t="s">
        <v>13016</v>
      </c>
      <c r="B2534" s="1">
        <v>200.0</v>
      </c>
      <c r="C2534" s="1" t="s">
        <v>9212</v>
      </c>
      <c r="D2534" s="1" t="s">
        <v>609</v>
      </c>
      <c r="E2534" s="1" t="s">
        <v>631</v>
      </c>
    </row>
    <row r="2535">
      <c r="A2535" s="2" t="s">
        <v>13017</v>
      </c>
      <c r="B2535" s="1">
        <v>200.0</v>
      </c>
      <c r="C2535" s="1" t="s">
        <v>9882</v>
      </c>
      <c r="D2535" s="1" t="s">
        <v>609</v>
      </c>
      <c r="E2535" s="1" t="s">
        <v>631</v>
      </c>
    </row>
    <row r="2536">
      <c r="A2536" s="2" t="s">
        <v>13018</v>
      </c>
      <c r="B2536" s="1">
        <v>200.0</v>
      </c>
      <c r="C2536" s="1" t="s">
        <v>9882</v>
      </c>
      <c r="D2536" s="1" t="s">
        <v>609</v>
      </c>
      <c r="E2536" s="1" t="s">
        <v>631</v>
      </c>
    </row>
    <row r="2537">
      <c r="A2537" s="2" t="s">
        <v>13019</v>
      </c>
      <c r="B2537" s="1">
        <v>200.0</v>
      </c>
      <c r="C2537" s="1" t="s">
        <v>12961</v>
      </c>
      <c r="D2537" s="1" t="s">
        <v>609</v>
      </c>
      <c r="E2537" s="1" t="s">
        <v>631</v>
      </c>
    </row>
    <row r="2538">
      <c r="A2538" s="2" t="s">
        <v>13020</v>
      </c>
      <c r="B2538" s="1">
        <v>200.0</v>
      </c>
      <c r="C2538" s="1" t="s">
        <v>12963</v>
      </c>
      <c r="D2538" s="1" t="s">
        <v>609</v>
      </c>
      <c r="E2538" s="1" t="s">
        <v>631</v>
      </c>
    </row>
    <row r="2539">
      <c r="A2539" s="2" t="s">
        <v>13021</v>
      </c>
      <c r="B2539" s="1">
        <v>200.0</v>
      </c>
      <c r="C2539" s="1" t="s">
        <v>12961</v>
      </c>
      <c r="D2539" s="1" t="s">
        <v>609</v>
      </c>
      <c r="E2539" s="1" t="s">
        <v>631</v>
      </c>
    </row>
    <row r="2540">
      <c r="A2540" s="2" t="s">
        <v>13022</v>
      </c>
      <c r="B2540" s="1">
        <v>200.0</v>
      </c>
      <c r="C2540" s="1" t="s">
        <v>12963</v>
      </c>
      <c r="D2540" s="1" t="s">
        <v>609</v>
      </c>
      <c r="E2540" s="1" t="s">
        <v>631</v>
      </c>
    </row>
    <row r="2541">
      <c r="A2541" s="2" t="s">
        <v>13023</v>
      </c>
      <c r="B2541" s="1">
        <v>200.0</v>
      </c>
      <c r="C2541" s="1" t="s">
        <v>9886</v>
      </c>
      <c r="D2541" s="1" t="s">
        <v>609</v>
      </c>
      <c r="E2541" s="1" t="s">
        <v>631</v>
      </c>
    </row>
    <row r="2542">
      <c r="A2542" s="2" t="s">
        <v>13024</v>
      </c>
      <c r="B2542" s="1">
        <v>200.0</v>
      </c>
      <c r="C2542" s="1" t="s">
        <v>9886</v>
      </c>
      <c r="D2542" s="1" t="s">
        <v>609</v>
      </c>
      <c r="E2542" s="1" t="s">
        <v>631</v>
      </c>
    </row>
    <row r="2543">
      <c r="A2543" s="2" t="s">
        <v>13025</v>
      </c>
      <c r="B2543" s="1">
        <v>200.0</v>
      </c>
      <c r="C2543" s="1" t="s">
        <v>12971</v>
      </c>
      <c r="D2543" s="1" t="s">
        <v>609</v>
      </c>
      <c r="E2543" s="1" t="s">
        <v>631</v>
      </c>
    </row>
    <row r="2544">
      <c r="A2544" s="2" t="s">
        <v>13026</v>
      </c>
      <c r="B2544" s="1">
        <v>200.0</v>
      </c>
      <c r="C2544" s="1" t="s">
        <v>12971</v>
      </c>
      <c r="D2544" s="1" t="s">
        <v>609</v>
      </c>
      <c r="E2544" s="1" t="s">
        <v>631</v>
      </c>
      <c r="F2544" s="1">
        <v>1.0</v>
      </c>
      <c r="G2544" s="1">
        <v>10.0</v>
      </c>
      <c r="H2544" s="1">
        <v>0.1</v>
      </c>
      <c r="I2544" s="1">
        <v>6.0</v>
      </c>
    </row>
    <row r="2545">
      <c r="A2545" s="2" t="s">
        <v>13027</v>
      </c>
      <c r="B2545" s="1">
        <v>200.0</v>
      </c>
      <c r="C2545" s="1" t="s">
        <v>13028</v>
      </c>
      <c r="D2545" s="1" t="s">
        <v>583</v>
      </c>
      <c r="F2545" s="1">
        <v>2.0</v>
      </c>
      <c r="G2545" s="1">
        <v>716.0</v>
      </c>
      <c r="H2545" s="1">
        <v>0.003</v>
      </c>
      <c r="I2545" s="1">
        <v>17.78</v>
      </c>
    </row>
    <row r="2546">
      <c r="A2546" s="2" t="s">
        <v>13029</v>
      </c>
      <c r="B2546" s="1">
        <v>200.0</v>
      </c>
      <c r="C2546" s="1" t="s">
        <v>9058</v>
      </c>
      <c r="D2546" s="1" t="s">
        <v>609</v>
      </c>
      <c r="E2546" s="1" t="s">
        <v>631</v>
      </c>
    </row>
    <row r="2547">
      <c r="A2547" s="2" t="s">
        <v>13030</v>
      </c>
      <c r="B2547" s="1">
        <v>200.0</v>
      </c>
      <c r="C2547" s="1" t="s">
        <v>9058</v>
      </c>
      <c r="D2547" s="1" t="s">
        <v>609</v>
      </c>
      <c r="E2547" s="1" t="s">
        <v>631</v>
      </c>
    </row>
    <row r="2548">
      <c r="A2548" s="2" t="s">
        <v>13031</v>
      </c>
      <c r="B2548" s="1">
        <v>200.0</v>
      </c>
      <c r="C2548" s="1" t="s">
        <v>9838</v>
      </c>
      <c r="D2548" s="1" t="s">
        <v>609</v>
      </c>
      <c r="E2548" s="1" t="s">
        <v>631</v>
      </c>
    </row>
    <row r="2549">
      <c r="A2549" s="2" t="s">
        <v>13032</v>
      </c>
      <c r="B2549" s="1">
        <v>200.0</v>
      </c>
      <c r="C2549" s="1" t="s">
        <v>9011</v>
      </c>
      <c r="D2549" s="1" t="s">
        <v>609</v>
      </c>
      <c r="E2549" s="1" t="s">
        <v>631</v>
      </c>
    </row>
    <row r="2550">
      <c r="A2550" s="2" t="s">
        <v>13033</v>
      </c>
      <c r="B2550" s="1">
        <v>200.0</v>
      </c>
      <c r="C2550" s="1" t="s">
        <v>9011</v>
      </c>
      <c r="D2550" s="1" t="s">
        <v>609</v>
      </c>
      <c r="E2550" s="1" t="s">
        <v>631</v>
      </c>
      <c r="F2550" s="1">
        <v>0.0</v>
      </c>
      <c r="G2550" s="1">
        <v>1.0</v>
      </c>
      <c r="H2550" s="1">
        <v>0.0</v>
      </c>
      <c r="I2550" s="1">
        <v>6.0</v>
      </c>
    </row>
    <row r="2551">
      <c r="A2551" s="2" t="s">
        <v>13034</v>
      </c>
      <c r="B2551" s="1">
        <v>200.0</v>
      </c>
      <c r="C2551" s="1" t="s">
        <v>9212</v>
      </c>
      <c r="D2551" s="1" t="s">
        <v>609</v>
      </c>
      <c r="E2551" s="1" t="s">
        <v>631</v>
      </c>
    </row>
    <row r="2552">
      <c r="A2552" s="2" t="s">
        <v>13035</v>
      </c>
      <c r="B2552" s="1">
        <v>200.0</v>
      </c>
      <c r="C2552" s="1" t="s">
        <v>9058</v>
      </c>
      <c r="D2552" s="1" t="s">
        <v>609</v>
      </c>
      <c r="E2552" s="1" t="s">
        <v>631</v>
      </c>
    </row>
    <row r="2553">
      <c r="A2553" s="2" t="s">
        <v>13036</v>
      </c>
      <c r="B2553" s="1">
        <v>200.0</v>
      </c>
      <c r="C2553" s="1" t="s">
        <v>9058</v>
      </c>
      <c r="D2553" s="1" t="s">
        <v>609</v>
      </c>
      <c r="E2553" s="1" t="s">
        <v>631</v>
      </c>
    </row>
    <row r="2554">
      <c r="A2554" s="2" t="s">
        <v>13037</v>
      </c>
      <c r="B2554" s="1">
        <v>200.0</v>
      </c>
      <c r="C2554" s="1" t="s">
        <v>9882</v>
      </c>
      <c r="D2554" s="1" t="s">
        <v>609</v>
      </c>
      <c r="E2554" s="1" t="s">
        <v>631</v>
      </c>
    </row>
    <row r="2555">
      <c r="A2555" s="2" t="s">
        <v>13038</v>
      </c>
      <c r="B2555" s="1">
        <v>200.0</v>
      </c>
      <c r="C2555" s="1" t="s">
        <v>9838</v>
      </c>
      <c r="D2555" s="1" t="s">
        <v>609</v>
      </c>
      <c r="E2555" s="1" t="s">
        <v>631</v>
      </c>
      <c r="F2555" s="1">
        <v>0.0</v>
      </c>
      <c r="G2555" s="1">
        <v>1.0</v>
      </c>
      <c r="H2555" s="1">
        <v>0.0</v>
      </c>
      <c r="I2555" s="1">
        <v>20.0</v>
      </c>
    </row>
    <row r="2556">
      <c r="A2556" s="2" t="s">
        <v>13039</v>
      </c>
      <c r="B2556" s="1">
        <v>200.0</v>
      </c>
      <c r="C2556" s="1" t="s">
        <v>9011</v>
      </c>
      <c r="D2556" s="1" t="s">
        <v>609</v>
      </c>
      <c r="E2556" s="1" t="s">
        <v>631</v>
      </c>
    </row>
    <row r="2557">
      <c r="A2557" s="2" t="s">
        <v>13040</v>
      </c>
      <c r="B2557" s="1">
        <v>200.0</v>
      </c>
      <c r="C2557" s="1" t="s">
        <v>9882</v>
      </c>
      <c r="D2557" s="1" t="s">
        <v>609</v>
      </c>
      <c r="E2557" s="1" t="s">
        <v>631</v>
      </c>
    </row>
    <row r="2558">
      <c r="A2558" s="2" t="s">
        <v>13041</v>
      </c>
      <c r="B2558" s="1">
        <v>200.0</v>
      </c>
      <c r="C2558" s="1" t="s">
        <v>9322</v>
      </c>
      <c r="D2558" s="1" t="s">
        <v>609</v>
      </c>
      <c r="E2558" s="1" t="s">
        <v>631</v>
      </c>
      <c r="F2558" s="1">
        <v>0.0</v>
      </c>
      <c r="G2558" s="1">
        <v>1.0</v>
      </c>
      <c r="H2558" s="1">
        <v>0.0</v>
      </c>
      <c r="I2558" s="1">
        <v>15.0</v>
      </c>
    </row>
    <row r="2559">
      <c r="A2559" s="2" t="s">
        <v>13042</v>
      </c>
      <c r="B2559" s="1">
        <v>200.0</v>
      </c>
      <c r="C2559" s="1" t="s">
        <v>9876</v>
      </c>
      <c r="D2559" s="1" t="s">
        <v>609</v>
      </c>
      <c r="E2559" s="1" t="s">
        <v>631</v>
      </c>
      <c r="F2559" s="1">
        <v>0.0</v>
      </c>
      <c r="G2559" s="1">
        <v>1.0</v>
      </c>
      <c r="H2559" s="1">
        <v>0.0</v>
      </c>
      <c r="I2559" s="1">
        <v>7.0</v>
      </c>
    </row>
    <row r="2560">
      <c r="A2560" s="2" t="s">
        <v>13043</v>
      </c>
      <c r="B2560" s="1">
        <v>200.0</v>
      </c>
      <c r="C2560" s="1" t="s">
        <v>9864</v>
      </c>
      <c r="D2560" s="1" t="s">
        <v>609</v>
      </c>
      <c r="E2560" s="1" t="s">
        <v>631</v>
      </c>
    </row>
    <row r="2561">
      <c r="A2561" s="2" t="s">
        <v>13044</v>
      </c>
      <c r="B2561" s="1">
        <v>200.0</v>
      </c>
      <c r="C2561" s="1" t="s">
        <v>9864</v>
      </c>
      <c r="D2561" s="1" t="s">
        <v>609</v>
      </c>
      <c r="E2561" s="1" t="s">
        <v>631</v>
      </c>
    </row>
    <row r="2562">
      <c r="A2562" s="2" t="s">
        <v>13045</v>
      </c>
      <c r="B2562" s="1">
        <v>200.0</v>
      </c>
      <c r="C2562" s="1" t="s">
        <v>9864</v>
      </c>
      <c r="D2562" s="1" t="s">
        <v>609</v>
      </c>
      <c r="E2562" s="1" t="s">
        <v>631</v>
      </c>
    </row>
    <row r="2563">
      <c r="A2563" s="2" t="s">
        <v>13046</v>
      </c>
      <c r="B2563" s="1">
        <v>200.0</v>
      </c>
      <c r="C2563" s="1" t="s">
        <v>9212</v>
      </c>
      <c r="D2563" s="1" t="s">
        <v>609</v>
      </c>
      <c r="E2563" s="1" t="s">
        <v>631</v>
      </c>
    </row>
    <row r="2564">
      <c r="A2564" s="2" t="s">
        <v>13047</v>
      </c>
      <c r="B2564" s="1">
        <v>200.0</v>
      </c>
      <c r="C2564" s="1" t="s">
        <v>9212</v>
      </c>
      <c r="D2564" s="1" t="s">
        <v>609</v>
      </c>
      <c r="E2564" s="1" t="s">
        <v>631</v>
      </c>
    </row>
    <row r="2565">
      <c r="A2565" s="2" t="s">
        <v>13048</v>
      </c>
      <c r="B2565" s="1">
        <v>200.0</v>
      </c>
      <c r="C2565" s="1" t="s">
        <v>9838</v>
      </c>
      <c r="D2565" s="1" t="s">
        <v>609</v>
      </c>
      <c r="E2565" s="1" t="s">
        <v>631</v>
      </c>
    </row>
    <row r="2566">
      <c r="A2566" s="2" t="s">
        <v>13049</v>
      </c>
      <c r="B2566" s="1">
        <v>200.0</v>
      </c>
      <c r="C2566" s="1" t="s">
        <v>9876</v>
      </c>
      <c r="D2566" s="1" t="s">
        <v>609</v>
      </c>
      <c r="E2566" s="1" t="s">
        <v>631</v>
      </c>
      <c r="F2566" s="1">
        <v>0.0</v>
      </c>
      <c r="G2566" s="1">
        <v>1.0</v>
      </c>
      <c r="H2566" s="1">
        <v>0.0</v>
      </c>
      <c r="I2566" s="1">
        <v>5.0</v>
      </c>
    </row>
    <row r="2567">
      <c r="A2567" s="2" t="s">
        <v>13050</v>
      </c>
      <c r="B2567" s="1">
        <v>200.0</v>
      </c>
      <c r="C2567" s="1" t="s">
        <v>9876</v>
      </c>
      <c r="D2567" s="1" t="s">
        <v>609</v>
      </c>
      <c r="E2567" s="1" t="s">
        <v>631</v>
      </c>
      <c r="F2567" s="1">
        <v>0.0</v>
      </c>
      <c r="G2567" s="1">
        <v>1.0</v>
      </c>
      <c r="H2567" s="1">
        <v>0.0</v>
      </c>
      <c r="I2567" s="1">
        <v>10.0</v>
      </c>
    </row>
    <row r="2568">
      <c r="A2568" s="2" t="s">
        <v>13051</v>
      </c>
      <c r="B2568" s="1">
        <v>200.0</v>
      </c>
      <c r="C2568" s="1" t="s">
        <v>9011</v>
      </c>
      <c r="D2568" s="1" t="s">
        <v>609</v>
      </c>
      <c r="E2568" s="1" t="s">
        <v>631</v>
      </c>
    </row>
    <row r="2569">
      <c r="A2569" s="2" t="s">
        <v>13052</v>
      </c>
      <c r="B2569" s="1">
        <v>200.0</v>
      </c>
      <c r="C2569" s="1" t="s">
        <v>9864</v>
      </c>
      <c r="D2569" s="1" t="s">
        <v>609</v>
      </c>
      <c r="E2569" s="1" t="s">
        <v>631</v>
      </c>
    </row>
    <row r="2570">
      <c r="A2570" s="2" t="s">
        <v>13053</v>
      </c>
      <c r="B2570" s="1">
        <v>200.0</v>
      </c>
      <c r="C2570" s="1" t="s">
        <v>9011</v>
      </c>
      <c r="D2570" s="1" t="s">
        <v>609</v>
      </c>
      <c r="E2570" s="1" t="s">
        <v>631</v>
      </c>
    </row>
    <row r="2571">
      <c r="A2571" s="2" t="s">
        <v>13054</v>
      </c>
      <c r="B2571" s="1">
        <v>200.0</v>
      </c>
      <c r="C2571" s="1" t="s">
        <v>9876</v>
      </c>
      <c r="D2571" s="1" t="s">
        <v>609</v>
      </c>
      <c r="E2571" s="1" t="s">
        <v>631</v>
      </c>
    </row>
    <row r="2572">
      <c r="A2572" s="2" t="s">
        <v>13055</v>
      </c>
      <c r="B2572" s="1">
        <v>200.0</v>
      </c>
      <c r="C2572" s="1" t="s">
        <v>9886</v>
      </c>
      <c r="D2572" s="1" t="s">
        <v>609</v>
      </c>
      <c r="E2572" s="1" t="s">
        <v>631</v>
      </c>
      <c r="F2572" s="1">
        <v>0.0</v>
      </c>
      <c r="G2572" s="1">
        <v>5.0</v>
      </c>
      <c r="H2572" s="1">
        <v>0.0</v>
      </c>
      <c r="I2572" s="1">
        <v>19.2</v>
      </c>
    </row>
    <row r="2573">
      <c r="A2573" s="2" t="s">
        <v>13056</v>
      </c>
      <c r="B2573" s="1">
        <v>200.0</v>
      </c>
      <c r="C2573" s="1" t="s">
        <v>9886</v>
      </c>
      <c r="D2573" s="1" t="s">
        <v>609</v>
      </c>
      <c r="E2573" s="1" t="s">
        <v>631</v>
      </c>
    </row>
    <row r="2574">
      <c r="A2574" s="2" t="s">
        <v>13057</v>
      </c>
      <c r="B2574" s="1">
        <v>200.0</v>
      </c>
      <c r="C2574" s="1" t="s">
        <v>9011</v>
      </c>
      <c r="D2574" s="1" t="s">
        <v>609</v>
      </c>
      <c r="E2574" s="1" t="s">
        <v>631</v>
      </c>
    </row>
    <row r="2575">
      <c r="A2575" s="2" t="s">
        <v>13058</v>
      </c>
      <c r="B2575" s="1">
        <v>200.0</v>
      </c>
      <c r="C2575" s="1" t="s">
        <v>9864</v>
      </c>
      <c r="D2575" s="1" t="s">
        <v>609</v>
      </c>
      <c r="E2575" s="1" t="s">
        <v>631</v>
      </c>
    </row>
    <row r="2576">
      <c r="A2576" s="2" t="s">
        <v>13059</v>
      </c>
      <c r="B2576" s="1">
        <v>200.0</v>
      </c>
      <c r="C2576" s="1" t="s">
        <v>9011</v>
      </c>
      <c r="D2576" s="1" t="s">
        <v>609</v>
      </c>
      <c r="E2576" s="1" t="s">
        <v>631</v>
      </c>
      <c r="F2576" s="1">
        <v>0.0</v>
      </c>
      <c r="G2576" s="1">
        <v>2.0</v>
      </c>
      <c r="H2576" s="1">
        <v>0.0</v>
      </c>
      <c r="I2576" s="1">
        <v>14.5</v>
      </c>
    </row>
    <row r="2577">
      <c r="A2577" s="2" t="s">
        <v>13060</v>
      </c>
      <c r="B2577" s="1">
        <v>200.0</v>
      </c>
      <c r="C2577" s="1" t="s">
        <v>9864</v>
      </c>
      <c r="D2577" s="1" t="s">
        <v>609</v>
      </c>
      <c r="E2577" s="1" t="s">
        <v>631</v>
      </c>
    </row>
    <row r="2578">
      <c r="A2578" s="2" t="s">
        <v>13061</v>
      </c>
      <c r="B2578" s="1">
        <v>200.0</v>
      </c>
      <c r="C2578" s="1" t="s">
        <v>9838</v>
      </c>
      <c r="D2578" s="1" t="s">
        <v>609</v>
      </c>
      <c r="E2578" s="1" t="s">
        <v>631</v>
      </c>
    </row>
    <row r="2579">
      <c r="A2579" s="2" t="s">
        <v>13062</v>
      </c>
      <c r="B2579" s="1">
        <v>200.0</v>
      </c>
      <c r="C2579" s="1" t="s">
        <v>9864</v>
      </c>
      <c r="D2579" s="1" t="s">
        <v>609</v>
      </c>
      <c r="E2579" s="1" t="s">
        <v>631</v>
      </c>
    </row>
    <row r="2580">
      <c r="A2580" s="2" t="s">
        <v>13063</v>
      </c>
      <c r="B2580" s="1">
        <v>200.0</v>
      </c>
      <c r="C2580" s="1" t="s">
        <v>9838</v>
      </c>
      <c r="D2580" s="1" t="s">
        <v>609</v>
      </c>
      <c r="E2580" s="1" t="s">
        <v>631</v>
      </c>
    </row>
    <row r="2581">
      <c r="A2581" s="2" t="s">
        <v>13064</v>
      </c>
      <c r="B2581" s="1">
        <v>200.0</v>
      </c>
      <c r="C2581" s="1" t="s">
        <v>9838</v>
      </c>
      <c r="D2581" s="1" t="s">
        <v>609</v>
      </c>
      <c r="E2581" s="1" t="s">
        <v>631</v>
      </c>
    </row>
    <row r="2582">
      <c r="A2582" s="2" t="s">
        <v>13065</v>
      </c>
      <c r="B2582" s="1">
        <v>200.0</v>
      </c>
      <c r="C2582" s="1" t="s">
        <v>9876</v>
      </c>
      <c r="D2582" s="1" t="s">
        <v>609</v>
      </c>
      <c r="E2582" s="1" t="s">
        <v>631</v>
      </c>
    </row>
    <row r="2583">
      <c r="A2583" s="2" t="s">
        <v>13066</v>
      </c>
      <c r="B2583" s="1">
        <v>200.0</v>
      </c>
      <c r="C2583" s="1" t="s">
        <v>9864</v>
      </c>
      <c r="D2583" s="1" t="s">
        <v>609</v>
      </c>
      <c r="E2583" s="1" t="s">
        <v>631</v>
      </c>
    </row>
    <row r="2584">
      <c r="A2584" s="2" t="s">
        <v>13067</v>
      </c>
      <c r="B2584" s="1">
        <v>200.0</v>
      </c>
      <c r="C2584" s="1" t="s">
        <v>9882</v>
      </c>
      <c r="D2584" s="1" t="s">
        <v>609</v>
      </c>
      <c r="E2584" s="1" t="s">
        <v>631</v>
      </c>
    </row>
    <row r="2585">
      <c r="A2585" s="2" t="s">
        <v>13068</v>
      </c>
      <c r="B2585" s="1">
        <v>200.0</v>
      </c>
      <c r="C2585" s="1" t="s">
        <v>9882</v>
      </c>
      <c r="D2585" s="1" t="s">
        <v>609</v>
      </c>
      <c r="E2585" s="1" t="s">
        <v>631</v>
      </c>
    </row>
    <row r="2586">
      <c r="A2586" s="2" t="s">
        <v>13069</v>
      </c>
      <c r="B2586" s="1">
        <v>200.0</v>
      </c>
      <c r="C2586" s="1" t="s">
        <v>9058</v>
      </c>
      <c r="D2586" s="1" t="s">
        <v>609</v>
      </c>
      <c r="E2586" s="1" t="s">
        <v>631</v>
      </c>
    </row>
    <row r="2587">
      <c r="A2587" s="2" t="s">
        <v>13070</v>
      </c>
      <c r="B2587" s="1">
        <v>200.0</v>
      </c>
      <c r="C2587" s="1" t="s">
        <v>9058</v>
      </c>
      <c r="D2587" s="1" t="s">
        <v>609</v>
      </c>
      <c r="E2587" s="1" t="s">
        <v>631</v>
      </c>
    </row>
    <row r="2588">
      <c r="A2588" s="2" t="s">
        <v>13071</v>
      </c>
      <c r="B2588" s="1">
        <v>200.0</v>
      </c>
      <c r="C2588" s="1" t="s">
        <v>9212</v>
      </c>
      <c r="D2588" s="1" t="s">
        <v>609</v>
      </c>
      <c r="E2588" s="1" t="s">
        <v>631</v>
      </c>
    </row>
    <row r="2589">
      <c r="A2589" s="2" t="s">
        <v>13072</v>
      </c>
      <c r="B2589" s="1">
        <v>200.0</v>
      </c>
      <c r="C2589" s="1" t="s">
        <v>9011</v>
      </c>
      <c r="D2589" s="1" t="s">
        <v>609</v>
      </c>
      <c r="E2589" s="1" t="s">
        <v>631</v>
      </c>
    </row>
    <row r="2590">
      <c r="A2590" s="2" t="s">
        <v>13073</v>
      </c>
      <c r="B2590" s="1">
        <v>200.0</v>
      </c>
      <c r="C2590" s="1" t="s">
        <v>9212</v>
      </c>
      <c r="D2590" s="1" t="s">
        <v>609</v>
      </c>
      <c r="E2590" s="1" t="s">
        <v>631</v>
      </c>
      <c r="F2590" s="1">
        <v>0.0</v>
      </c>
      <c r="G2590" s="1">
        <v>1.0</v>
      </c>
      <c r="H2590" s="1">
        <v>0.0</v>
      </c>
      <c r="I2590" s="1">
        <v>10.0</v>
      </c>
    </row>
    <row r="2591">
      <c r="A2591" s="2" t="s">
        <v>13074</v>
      </c>
      <c r="B2591" s="1">
        <v>200.0</v>
      </c>
      <c r="C2591" s="1" t="s">
        <v>9011</v>
      </c>
      <c r="D2591" s="1" t="s">
        <v>609</v>
      </c>
      <c r="E2591" s="1" t="s">
        <v>631</v>
      </c>
    </row>
    <row r="2592">
      <c r="A2592" s="2" t="s">
        <v>13075</v>
      </c>
      <c r="B2592" s="1">
        <v>200.0</v>
      </c>
      <c r="C2592" s="1" t="s">
        <v>9058</v>
      </c>
      <c r="D2592" s="1" t="s">
        <v>609</v>
      </c>
      <c r="E2592" s="1" t="s">
        <v>631</v>
      </c>
    </row>
    <row r="2593">
      <c r="A2593" s="2" t="s">
        <v>13076</v>
      </c>
      <c r="B2593" s="1">
        <v>200.0</v>
      </c>
      <c r="C2593" s="1" t="s">
        <v>9058</v>
      </c>
      <c r="D2593" s="1" t="s">
        <v>609</v>
      </c>
      <c r="E2593" s="1" t="s">
        <v>631</v>
      </c>
      <c r="F2593" s="1">
        <v>0.0</v>
      </c>
      <c r="G2593" s="1">
        <v>3.0</v>
      </c>
      <c r="H2593" s="1">
        <v>0.0</v>
      </c>
      <c r="I2593" s="1">
        <v>7.67</v>
      </c>
    </row>
    <row r="2594">
      <c r="A2594" s="2" t="s">
        <v>13077</v>
      </c>
      <c r="B2594" s="1">
        <v>200.0</v>
      </c>
      <c r="C2594" s="1" t="s">
        <v>12971</v>
      </c>
      <c r="D2594" s="1" t="s">
        <v>609</v>
      </c>
      <c r="E2594" s="1" t="s">
        <v>631</v>
      </c>
    </row>
    <row r="2595">
      <c r="A2595" s="2" t="s">
        <v>13078</v>
      </c>
      <c r="B2595" s="1">
        <v>200.0</v>
      </c>
      <c r="C2595" s="1" t="s">
        <v>9886</v>
      </c>
      <c r="D2595" s="1" t="s">
        <v>609</v>
      </c>
      <c r="E2595" s="1" t="s">
        <v>631</v>
      </c>
    </row>
    <row r="2596">
      <c r="A2596" s="2" t="s">
        <v>13079</v>
      </c>
      <c r="B2596" s="1">
        <v>200.0</v>
      </c>
      <c r="C2596" s="1" t="s">
        <v>9886</v>
      </c>
      <c r="D2596" s="1" t="s">
        <v>609</v>
      </c>
      <c r="E2596" s="1" t="s">
        <v>631</v>
      </c>
    </row>
    <row r="2597">
      <c r="A2597" s="2" t="s">
        <v>13080</v>
      </c>
      <c r="B2597" s="1">
        <v>200.0</v>
      </c>
      <c r="C2597" s="1" t="s">
        <v>12963</v>
      </c>
      <c r="D2597" s="1" t="s">
        <v>609</v>
      </c>
      <c r="E2597" s="1" t="s">
        <v>631</v>
      </c>
    </row>
    <row r="2598">
      <c r="A2598" s="2" t="s">
        <v>13081</v>
      </c>
      <c r="B2598" s="1">
        <v>200.0</v>
      </c>
      <c r="C2598" s="1" t="s">
        <v>12961</v>
      </c>
      <c r="D2598" s="1" t="s">
        <v>609</v>
      </c>
      <c r="E2598" s="1" t="s">
        <v>631</v>
      </c>
    </row>
    <row r="2599">
      <c r="A2599" s="2" t="s">
        <v>13082</v>
      </c>
      <c r="B2599" s="1">
        <v>200.0</v>
      </c>
      <c r="C2599" s="1" t="s">
        <v>9882</v>
      </c>
      <c r="D2599" s="1" t="s">
        <v>609</v>
      </c>
      <c r="E2599" s="1" t="s">
        <v>631</v>
      </c>
    </row>
    <row r="2600">
      <c r="A2600" s="2" t="s">
        <v>13083</v>
      </c>
      <c r="B2600" s="1">
        <v>200.0</v>
      </c>
      <c r="C2600" s="1" t="s">
        <v>9882</v>
      </c>
      <c r="D2600" s="1" t="s">
        <v>609</v>
      </c>
      <c r="E2600" s="1" t="s">
        <v>631</v>
      </c>
    </row>
    <row r="2601">
      <c r="A2601" s="2" t="s">
        <v>13084</v>
      </c>
      <c r="B2601" s="1">
        <v>200.0</v>
      </c>
      <c r="C2601" s="1" t="s">
        <v>9212</v>
      </c>
      <c r="D2601" s="1" t="s">
        <v>609</v>
      </c>
      <c r="E2601" s="1" t="s">
        <v>631</v>
      </c>
    </row>
    <row r="2602">
      <c r="A2602" s="2" t="s">
        <v>13085</v>
      </c>
      <c r="B2602" s="1">
        <v>200.0</v>
      </c>
      <c r="C2602" s="1" t="s">
        <v>9212</v>
      </c>
      <c r="D2602" s="1" t="s">
        <v>609</v>
      </c>
      <c r="E2602" s="1" t="s">
        <v>631</v>
      </c>
    </row>
    <row r="2603">
      <c r="A2603" s="2" t="s">
        <v>13086</v>
      </c>
      <c r="B2603" s="1">
        <v>200.0</v>
      </c>
      <c r="C2603" s="1" t="s">
        <v>12966</v>
      </c>
      <c r="D2603" s="1" t="s">
        <v>609</v>
      </c>
      <c r="E2603" s="1" t="s">
        <v>631</v>
      </c>
      <c r="F2603" s="1">
        <v>0.0</v>
      </c>
      <c r="G2603" s="1">
        <v>1.0</v>
      </c>
      <c r="H2603" s="1">
        <v>0.0</v>
      </c>
      <c r="I2603" s="1">
        <v>6.0</v>
      </c>
    </row>
    <row r="2604">
      <c r="A2604" s="2" t="s">
        <v>13087</v>
      </c>
      <c r="B2604" s="1">
        <v>200.0</v>
      </c>
      <c r="C2604" s="1" t="s">
        <v>9212</v>
      </c>
      <c r="D2604" s="1" t="s">
        <v>609</v>
      </c>
      <c r="E2604" s="1" t="s">
        <v>631</v>
      </c>
    </row>
    <row r="2605">
      <c r="A2605" s="2" t="s">
        <v>13088</v>
      </c>
      <c r="B2605" s="1">
        <v>200.0</v>
      </c>
      <c r="C2605" s="1" t="s">
        <v>12966</v>
      </c>
      <c r="D2605" s="1" t="s">
        <v>609</v>
      </c>
      <c r="E2605" s="1" t="s">
        <v>631</v>
      </c>
    </row>
    <row r="2606">
      <c r="A2606" s="2" t="s">
        <v>13089</v>
      </c>
      <c r="B2606" s="1">
        <v>200.0</v>
      </c>
      <c r="C2606" s="1" t="s">
        <v>9212</v>
      </c>
      <c r="D2606" s="1" t="s">
        <v>609</v>
      </c>
      <c r="E2606" s="1" t="s">
        <v>631</v>
      </c>
    </row>
    <row r="2607">
      <c r="A2607" s="2" t="s">
        <v>13090</v>
      </c>
      <c r="B2607" s="1">
        <v>200.0</v>
      </c>
      <c r="C2607" s="1" t="s">
        <v>12961</v>
      </c>
      <c r="D2607" s="1" t="s">
        <v>609</v>
      </c>
      <c r="E2607" s="1" t="s">
        <v>631</v>
      </c>
    </row>
    <row r="2608">
      <c r="A2608" s="2" t="s">
        <v>13091</v>
      </c>
      <c r="B2608" s="1">
        <v>200.0</v>
      </c>
      <c r="C2608" s="1" t="s">
        <v>12963</v>
      </c>
      <c r="D2608" s="1" t="s">
        <v>609</v>
      </c>
      <c r="E2608" s="1" t="s">
        <v>631</v>
      </c>
    </row>
    <row r="2609">
      <c r="A2609" s="2" t="s">
        <v>13092</v>
      </c>
      <c r="B2609" s="1">
        <v>200.0</v>
      </c>
      <c r="C2609" s="1" t="s">
        <v>12971</v>
      </c>
      <c r="D2609" s="1" t="s">
        <v>609</v>
      </c>
      <c r="E2609" s="1" t="s">
        <v>631</v>
      </c>
    </row>
    <row r="2610">
      <c r="A2610" s="2" t="s">
        <v>13093</v>
      </c>
      <c r="B2610" s="1">
        <v>200.0</v>
      </c>
      <c r="C2610" s="1" t="s">
        <v>9058</v>
      </c>
      <c r="D2610" s="1" t="s">
        <v>609</v>
      </c>
      <c r="E2610" s="1" t="s">
        <v>631</v>
      </c>
    </row>
    <row r="2611">
      <c r="A2611" s="2" t="s">
        <v>13094</v>
      </c>
      <c r="B2611" s="1">
        <v>200.0</v>
      </c>
      <c r="C2611" s="1" t="s">
        <v>9838</v>
      </c>
      <c r="D2611" s="1" t="s">
        <v>609</v>
      </c>
      <c r="E2611" s="1" t="s">
        <v>631</v>
      </c>
    </row>
    <row r="2612">
      <c r="A2612" s="2" t="s">
        <v>13095</v>
      </c>
      <c r="B2612" s="1">
        <v>200.0</v>
      </c>
      <c r="C2612" s="1" t="s">
        <v>9212</v>
      </c>
      <c r="D2612" s="1" t="s">
        <v>609</v>
      </c>
      <c r="E2612" s="1" t="s">
        <v>631</v>
      </c>
    </row>
    <row r="2613">
      <c r="A2613" s="2" t="s">
        <v>13096</v>
      </c>
      <c r="B2613" s="1">
        <v>200.0</v>
      </c>
      <c r="C2613" s="1" t="s">
        <v>9838</v>
      </c>
      <c r="D2613" s="1" t="s">
        <v>609</v>
      </c>
      <c r="E2613" s="1" t="s">
        <v>631</v>
      </c>
    </row>
    <row r="2614">
      <c r="A2614" s="2" t="s">
        <v>13097</v>
      </c>
      <c r="B2614" s="1">
        <v>200.0</v>
      </c>
      <c r="C2614" s="1" t="s">
        <v>9322</v>
      </c>
      <c r="D2614" s="1" t="s">
        <v>609</v>
      </c>
      <c r="E2614" s="1" t="s">
        <v>631</v>
      </c>
      <c r="F2614" s="1">
        <v>0.0</v>
      </c>
      <c r="G2614" s="1">
        <v>1.0</v>
      </c>
      <c r="H2614" s="1">
        <v>0.0</v>
      </c>
      <c r="I2614" s="1">
        <v>4.0</v>
      </c>
    </row>
    <row r="2615">
      <c r="A2615" s="2" t="s">
        <v>13098</v>
      </c>
      <c r="B2615" s="1">
        <v>200.0</v>
      </c>
      <c r="C2615" s="1" t="s">
        <v>9011</v>
      </c>
      <c r="D2615" s="1" t="s">
        <v>609</v>
      </c>
      <c r="E2615" s="1" t="s">
        <v>631</v>
      </c>
    </row>
    <row r="2616">
      <c r="A2616" s="2" t="s">
        <v>13099</v>
      </c>
      <c r="B2616" s="1">
        <v>200.0</v>
      </c>
      <c r="C2616" s="1" t="s">
        <v>9838</v>
      </c>
      <c r="D2616" s="1" t="s">
        <v>609</v>
      </c>
      <c r="E2616" s="1" t="s">
        <v>631</v>
      </c>
    </row>
    <row r="2617">
      <c r="A2617" s="2" t="s">
        <v>13100</v>
      </c>
      <c r="B2617" s="1">
        <v>200.0</v>
      </c>
      <c r="C2617" s="1" t="s">
        <v>9212</v>
      </c>
      <c r="D2617" s="1" t="s">
        <v>609</v>
      </c>
      <c r="E2617" s="1" t="s">
        <v>631</v>
      </c>
    </row>
    <row r="2618">
      <c r="A2618" s="2" t="s">
        <v>13101</v>
      </c>
      <c r="B2618" s="1">
        <v>200.0</v>
      </c>
      <c r="C2618" s="1" t="s">
        <v>9058</v>
      </c>
      <c r="D2618" s="1" t="s">
        <v>609</v>
      </c>
      <c r="E2618" s="1" t="s">
        <v>631</v>
      </c>
    </row>
    <row r="2619">
      <c r="A2619" s="2" t="s">
        <v>13102</v>
      </c>
      <c r="B2619" s="1">
        <v>200.0</v>
      </c>
      <c r="C2619" s="1" t="s">
        <v>9058</v>
      </c>
      <c r="D2619" s="1" t="s">
        <v>609</v>
      </c>
      <c r="E2619" s="1" t="s">
        <v>631</v>
      </c>
    </row>
    <row r="2620">
      <c r="A2620" s="2" t="s">
        <v>13103</v>
      </c>
      <c r="B2620" s="1">
        <v>200.0</v>
      </c>
      <c r="C2620" s="1" t="s">
        <v>9882</v>
      </c>
      <c r="D2620" s="1" t="s">
        <v>609</v>
      </c>
      <c r="E2620" s="1" t="s">
        <v>631</v>
      </c>
    </row>
    <row r="2621">
      <c r="A2621" s="2" t="s">
        <v>13104</v>
      </c>
      <c r="B2621" s="1">
        <v>200.0</v>
      </c>
      <c r="C2621" s="1" t="s">
        <v>9058</v>
      </c>
      <c r="D2621" s="1" t="s">
        <v>609</v>
      </c>
      <c r="E2621" s="1" t="s">
        <v>631</v>
      </c>
      <c r="F2621" s="1">
        <v>0.0</v>
      </c>
      <c r="G2621" s="1">
        <v>1.0</v>
      </c>
      <c r="H2621" s="1">
        <v>0.0</v>
      </c>
      <c r="I2621" s="1">
        <v>2.0</v>
      </c>
    </row>
    <row r="2622">
      <c r="A2622" s="2" t="s">
        <v>13105</v>
      </c>
      <c r="B2622" s="1">
        <v>200.0</v>
      </c>
      <c r="C2622" s="1" t="s">
        <v>9864</v>
      </c>
      <c r="D2622" s="1" t="s">
        <v>609</v>
      </c>
      <c r="E2622" s="1" t="s">
        <v>631</v>
      </c>
    </row>
    <row r="2623">
      <c r="A2623" s="2" t="s">
        <v>13106</v>
      </c>
      <c r="B2623" s="1">
        <v>200.0</v>
      </c>
      <c r="C2623" s="1" t="s">
        <v>9864</v>
      </c>
      <c r="D2623" s="1" t="s">
        <v>609</v>
      </c>
      <c r="E2623" s="1" t="s">
        <v>631</v>
      </c>
    </row>
    <row r="2624">
      <c r="A2624" s="2" t="s">
        <v>13107</v>
      </c>
      <c r="B2624" s="1">
        <v>200.0</v>
      </c>
      <c r="C2624" s="1" t="s">
        <v>9864</v>
      </c>
      <c r="D2624" s="1" t="s">
        <v>609</v>
      </c>
      <c r="E2624" s="1" t="s">
        <v>631</v>
      </c>
    </row>
    <row r="2625">
      <c r="A2625" s="2" t="s">
        <v>13108</v>
      </c>
      <c r="B2625" s="1">
        <v>200.0</v>
      </c>
      <c r="C2625" s="1" t="s">
        <v>9864</v>
      </c>
      <c r="D2625" s="1" t="s">
        <v>609</v>
      </c>
      <c r="E2625" s="1" t="s">
        <v>631</v>
      </c>
    </row>
    <row r="2626">
      <c r="A2626" s="2" t="s">
        <v>13109</v>
      </c>
      <c r="B2626" s="1">
        <v>200.0</v>
      </c>
      <c r="C2626" s="1" t="s">
        <v>9322</v>
      </c>
      <c r="D2626" s="1" t="s">
        <v>609</v>
      </c>
      <c r="E2626" s="1" t="s">
        <v>631</v>
      </c>
    </row>
    <row r="2627">
      <c r="A2627" s="2" t="s">
        <v>13110</v>
      </c>
      <c r="B2627" s="1">
        <v>200.0</v>
      </c>
      <c r="C2627" s="1" t="s">
        <v>9011</v>
      </c>
      <c r="D2627" s="1" t="s">
        <v>609</v>
      </c>
      <c r="E2627" s="1" t="s">
        <v>631</v>
      </c>
    </row>
    <row r="2628">
      <c r="A2628" s="2" t="s">
        <v>13111</v>
      </c>
      <c r="B2628" s="1">
        <v>200.0</v>
      </c>
      <c r="C2628" s="1" t="s">
        <v>9838</v>
      </c>
      <c r="D2628" s="1" t="s">
        <v>609</v>
      </c>
      <c r="E2628" s="1" t="s">
        <v>631</v>
      </c>
    </row>
    <row r="2629">
      <c r="A2629" s="2" t="s">
        <v>13112</v>
      </c>
      <c r="B2629" s="1">
        <v>200.0</v>
      </c>
      <c r="C2629" s="1" t="s">
        <v>9011</v>
      </c>
      <c r="D2629" s="1" t="s">
        <v>609</v>
      </c>
      <c r="E2629" s="1" t="s">
        <v>631</v>
      </c>
    </row>
    <row r="2630">
      <c r="A2630" s="2" t="s">
        <v>13113</v>
      </c>
      <c r="B2630" s="1">
        <v>200.0</v>
      </c>
      <c r="C2630" s="1" t="s">
        <v>9838</v>
      </c>
      <c r="D2630" s="1" t="s">
        <v>609</v>
      </c>
      <c r="E2630" s="1" t="s">
        <v>631</v>
      </c>
    </row>
    <row r="2631">
      <c r="A2631" s="2" t="s">
        <v>13114</v>
      </c>
      <c r="B2631" s="1">
        <v>200.0</v>
      </c>
      <c r="C2631" s="1" t="s">
        <v>9011</v>
      </c>
      <c r="D2631" s="1" t="s">
        <v>609</v>
      </c>
      <c r="E2631" s="1" t="s">
        <v>631</v>
      </c>
    </row>
    <row r="2632">
      <c r="A2632" s="2" t="s">
        <v>13115</v>
      </c>
      <c r="B2632" s="1">
        <v>200.0</v>
      </c>
      <c r="C2632" s="1" t="s">
        <v>9011</v>
      </c>
      <c r="D2632" s="1" t="s">
        <v>609</v>
      </c>
      <c r="E2632" s="1" t="s">
        <v>631</v>
      </c>
    </row>
    <row r="2633">
      <c r="A2633" s="2" t="s">
        <v>13116</v>
      </c>
      <c r="B2633" s="1">
        <v>200.0</v>
      </c>
      <c r="C2633" s="1" t="s">
        <v>9011</v>
      </c>
      <c r="D2633" s="1" t="s">
        <v>609</v>
      </c>
      <c r="E2633" s="1" t="s">
        <v>631</v>
      </c>
      <c r="F2633" s="1">
        <v>0.0</v>
      </c>
      <c r="G2633" s="1">
        <v>1.0</v>
      </c>
      <c r="H2633" s="1">
        <v>0.0</v>
      </c>
      <c r="I2633" s="1">
        <v>7.0</v>
      </c>
    </row>
    <row r="2634">
      <c r="A2634" s="2" t="s">
        <v>13117</v>
      </c>
      <c r="B2634" s="1">
        <v>200.0</v>
      </c>
      <c r="C2634" s="1" t="s">
        <v>9011</v>
      </c>
      <c r="D2634" s="1" t="s">
        <v>609</v>
      </c>
      <c r="E2634" s="1" t="s">
        <v>631</v>
      </c>
      <c r="F2634" s="1">
        <v>0.0</v>
      </c>
      <c r="G2634" s="1">
        <v>1.0</v>
      </c>
      <c r="H2634" s="1">
        <v>0.0</v>
      </c>
      <c r="I2634" s="1">
        <v>1.0</v>
      </c>
    </row>
    <row r="2635">
      <c r="A2635" s="2" t="s">
        <v>13118</v>
      </c>
      <c r="B2635" s="1">
        <v>200.0</v>
      </c>
      <c r="C2635" s="1" t="s">
        <v>9864</v>
      </c>
      <c r="D2635" s="1" t="s">
        <v>609</v>
      </c>
      <c r="E2635" s="1" t="s">
        <v>631</v>
      </c>
    </row>
    <row r="2636">
      <c r="A2636" s="2" t="s">
        <v>13119</v>
      </c>
      <c r="B2636" s="1">
        <v>200.0</v>
      </c>
      <c r="C2636" s="1" t="s">
        <v>9864</v>
      </c>
      <c r="D2636" s="1" t="s">
        <v>609</v>
      </c>
      <c r="E2636" s="1" t="s">
        <v>631</v>
      </c>
    </row>
    <row r="2637">
      <c r="A2637" s="2" t="s">
        <v>13120</v>
      </c>
      <c r="B2637" s="1">
        <v>200.0</v>
      </c>
      <c r="C2637" s="1" t="s">
        <v>9058</v>
      </c>
      <c r="D2637" s="1" t="s">
        <v>609</v>
      </c>
      <c r="E2637" s="1" t="s">
        <v>631</v>
      </c>
      <c r="F2637" s="1">
        <v>0.0</v>
      </c>
      <c r="G2637" s="1">
        <v>2.0</v>
      </c>
      <c r="H2637" s="1">
        <v>0.0</v>
      </c>
      <c r="I2637" s="1">
        <v>7.5</v>
      </c>
    </row>
    <row r="2638">
      <c r="A2638" s="2" t="s">
        <v>13121</v>
      </c>
      <c r="B2638" s="1">
        <v>200.0</v>
      </c>
      <c r="C2638" s="1" t="s">
        <v>9011</v>
      </c>
      <c r="D2638" s="1" t="s">
        <v>609</v>
      </c>
      <c r="E2638" s="1" t="s">
        <v>631</v>
      </c>
    </row>
    <row r="2639">
      <c r="A2639" s="2" t="s">
        <v>13122</v>
      </c>
      <c r="B2639" s="1">
        <v>200.0</v>
      </c>
      <c r="C2639" s="1" t="s">
        <v>9058</v>
      </c>
      <c r="D2639" s="1" t="s">
        <v>609</v>
      </c>
      <c r="E2639" s="1" t="s">
        <v>631</v>
      </c>
    </row>
    <row r="2640">
      <c r="A2640" s="2" t="s">
        <v>13123</v>
      </c>
      <c r="B2640" s="1">
        <v>200.0</v>
      </c>
      <c r="C2640" s="1" t="s">
        <v>9212</v>
      </c>
      <c r="D2640" s="1" t="s">
        <v>609</v>
      </c>
      <c r="E2640" s="1" t="s">
        <v>631</v>
      </c>
    </row>
    <row r="2641">
      <c r="A2641" s="2" t="s">
        <v>13124</v>
      </c>
      <c r="B2641" s="1">
        <v>200.0</v>
      </c>
      <c r="C2641" s="1" t="s">
        <v>9864</v>
      </c>
      <c r="D2641" s="1" t="s">
        <v>609</v>
      </c>
      <c r="E2641" s="1" t="s">
        <v>631</v>
      </c>
    </row>
    <row r="2642">
      <c r="A2642" s="2" t="s">
        <v>13125</v>
      </c>
      <c r="B2642" s="1">
        <v>200.0</v>
      </c>
      <c r="C2642" s="1" t="s">
        <v>9864</v>
      </c>
      <c r="D2642" s="1" t="s">
        <v>609</v>
      </c>
      <c r="E2642" s="1" t="s">
        <v>631</v>
      </c>
    </row>
    <row r="2643">
      <c r="A2643" s="2" t="s">
        <v>13126</v>
      </c>
      <c r="B2643" s="1">
        <v>200.0</v>
      </c>
      <c r="C2643" s="1" t="s">
        <v>9058</v>
      </c>
      <c r="D2643" s="1" t="s">
        <v>609</v>
      </c>
      <c r="E2643" s="1" t="s">
        <v>631</v>
      </c>
    </row>
    <row r="2644">
      <c r="A2644" s="2" t="s">
        <v>13127</v>
      </c>
      <c r="B2644" s="1">
        <v>200.0</v>
      </c>
      <c r="C2644" s="1" t="s">
        <v>9212</v>
      </c>
      <c r="D2644" s="1" t="s">
        <v>609</v>
      </c>
      <c r="E2644" s="1" t="s">
        <v>631</v>
      </c>
    </row>
    <row r="2645">
      <c r="A2645" s="2" t="s">
        <v>13128</v>
      </c>
      <c r="B2645" s="1">
        <v>200.0</v>
      </c>
      <c r="C2645" s="1" t="s">
        <v>12966</v>
      </c>
      <c r="D2645" s="1" t="s">
        <v>609</v>
      </c>
      <c r="E2645" s="1" t="s">
        <v>631</v>
      </c>
    </row>
    <row r="2646">
      <c r="A2646" s="2" t="s">
        <v>13129</v>
      </c>
      <c r="B2646" s="1">
        <v>200.0</v>
      </c>
      <c r="C2646" s="1" t="s">
        <v>9058</v>
      </c>
      <c r="D2646" s="1" t="s">
        <v>609</v>
      </c>
      <c r="E2646" s="1" t="s">
        <v>631</v>
      </c>
    </row>
    <row r="2647">
      <c r="A2647" s="2" t="s">
        <v>13130</v>
      </c>
      <c r="B2647" s="1">
        <v>200.0</v>
      </c>
      <c r="C2647" s="1" t="s">
        <v>9212</v>
      </c>
      <c r="D2647" s="1" t="s">
        <v>609</v>
      </c>
      <c r="E2647" s="1" t="s">
        <v>631</v>
      </c>
    </row>
    <row r="2648">
      <c r="A2648" s="2" t="s">
        <v>13131</v>
      </c>
      <c r="B2648" s="1">
        <v>200.0</v>
      </c>
      <c r="C2648" s="1" t="s">
        <v>9212</v>
      </c>
      <c r="D2648" s="1" t="s">
        <v>609</v>
      </c>
      <c r="E2648" s="1" t="s">
        <v>631</v>
      </c>
    </row>
    <row r="2649">
      <c r="A2649" s="2" t="s">
        <v>13132</v>
      </c>
      <c r="B2649" s="1">
        <v>200.0</v>
      </c>
      <c r="C2649" s="1" t="s">
        <v>9212</v>
      </c>
      <c r="D2649" s="1" t="s">
        <v>609</v>
      </c>
      <c r="E2649" s="1" t="s">
        <v>631</v>
      </c>
    </row>
    <row r="2650">
      <c r="A2650" s="2" t="s">
        <v>13133</v>
      </c>
      <c r="B2650" s="1">
        <v>200.0</v>
      </c>
      <c r="C2650" s="1" t="s">
        <v>12963</v>
      </c>
      <c r="D2650" s="1" t="s">
        <v>609</v>
      </c>
      <c r="E2650" s="1" t="s">
        <v>631</v>
      </c>
    </row>
    <row r="2651">
      <c r="A2651" s="2" t="s">
        <v>13134</v>
      </c>
      <c r="B2651" s="1">
        <v>200.0</v>
      </c>
      <c r="C2651" s="1" t="s">
        <v>9212</v>
      </c>
      <c r="D2651" s="1" t="s">
        <v>609</v>
      </c>
      <c r="E2651" s="1" t="s">
        <v>631</v>
      </c>
    </row>
    <row r="2652">
      <c r="A2652" s="2" t="s">
        <v>13135</v>
      </c>
      <c r="B2652" s="1">
        <v>200.0</v>
      </c>
      <c r="C2652" s="1" t="s">
        <v>12966</v>
      </c>
      <c r="D2652" s="1" t="s">
        <v>609</v>
      </c>
      <c r="E2652" s="1" t="s">
        <v>631</v>
      </c>
      <c r="F2652" s="1">
        <v>0.0</v>
      </c>
      <c r="G2652" s="1">
        <v>2.0</v>
      </c>
      <c r="H2652" s="1">
        <v>0.0</v>
      </c>
      <c r="I2652" s="1">
        <v>6.5</v>
      </c>
    </row>
    <row r="2653">
      <c r="A2653" s="2" t="s">
        <v>13136</v>
      </c>
      <c r="B2653" s="1">
        <v>200.0</v>
      </c>
      <c r="C2653" s="1" t="s">
        <v>12963</v>
      </c>
      <c r="D2653" s="1" t="s">
        <v>609</v>
      </c>
      <c r="E2653" s="1" t="s">
        <v>631</v>
      </c>
    </row>
    <row r="2654">
      <c r="A2654" s="2" t="s">
        <v>13137</v>
      </c>
      <c r="B2654" s="1">
        <v>200.0</v>
      </c>
      <c r="C2654" s="1" t="s">
        <v>9058</v>
      </c>
      <c r="D2654" s="1" t="s">
        <v>609</v>
      </c>
      <c r="E2654" s="1" t="s">
        <v>631</v>
      </c>
    </row>
    <row r="2655">
      <c r="A2655" s="2" t="s">
        <v>13138</v>
      </c>
      <c r="B2655" s="1">
        <v>200.0</v>
      </c>
      <c r="C2655" s="1" t="s">
        <v>9058</v>
      </c>
      <c r="D2655" s="1" t="s">
        <v>609</v>
      </c>
      <c r="E2655" s="1" t="s">
        <v>631</v>
      </c>
    </row>
    <row r="2656">
      <c r="A2656" s="2" t="s">
        <v>13139</v>
      </c>
      <c r="B2656" s="1">
        <v>200.0</v>
      </c>
      <c r="C2656" s="1" t="s">
        <v>9864</v>
      </c>
      <c r="D2656" s="1" t="s">
        <v>609</v>
      </c>
      <c r="E2656" s="1" t="s">
        <v>631</v>
      </c>
    </row>
    <row r="2657">
      <c r="A2657" s="2" t="s">
        <v>13140</v>
      </c>
      <c r="B2657" s="1">
        <v>200.0</v>
      </c>
      <c r="C2657" s="1" t="s">
        <v>9212</v>
      </c>
      <c r="D2657" s="1" t="s">
        <v>609</v>
      </c>
      <c r="E2657" s="1" t="s">
        <v>631</v>
      </c>
    </row>
    <row r="2658">
      <c r="A2658" s="2" t="s">
        <v>13141</v>
      </c>
      <c r="B2658" s="1">
        <v>200.0</v>
      </c>
      <c r="C2658" s="1" t="s">
        <v>12971</v>
      </c>
      <c r="D2658" s="1" t="s">
        <v>609</v>
      </c>
      <c r="E2658" s="1" t="s">
        <v>631</v>
      </c>
    </row>
    <row r="2659">
      <c r="A2659" s="2" t="s">
        <v>13142</v>
      </c>
      <c r="B2659" s="1">
        <v>200.0</v>
      </c>
      <c r="C2659" s="1" t="s">
        <v>9058</v>
      </c>
      <c r="D2659" s="1" t="s">
        <v>609</v>
      </c>
      <c r="E2659" s="1" t="s">
        <v>631</v>
      </c>
    </row>
    <row r="2660">
      <c r="A2660" s="2" t="s">
        <v>13143</v>
      </c>
      <c r="B2660" s="1">
        <v>200.0</v>
      </c>
      <c r="C2660" s="1" t="s">
        <v>12971</v>
      </c>
      <c r="D2660" s="1" t="s">
        <v>609</v>
      </c>
      <c r="E2660" s="1" t="s">
        <v>631</v>
      </c>
      <c r="F2660" s="1">
        <v>0.0</v>
      </c>
      <c r="G2660" s="1">
        <v>5.0</v>
      </c>
      <c r="H2660" s="1">
        <v>0.0</v>
      </c>
      <c r="I2660" s="1">
        <v>11.8</v>
      </c>
    </row>
    <row r="2661">
      <c r="A2661" s="2" t="s">
        <v>13144</v>
      </c>
      <c r="B2661" s="1">
        <v>200.0</v>
      </c>
      <c r="C2661" s="1" t="s">
        <v>9864</v>
      </c>
      <c r="D2661" s="1" t="s">
        <v>609</v>
      </c>
      <c r="E2661" s="1" t="s">
        <v>631</v>
      </c>
    </row>
    <row r="2662">
      <c r="A2662" s="2" t="s">
        <v>13145</v>
      </c>
      <c r="B2662" s="1">
        <v>200.0</v>
      </c>
      <c r="C2662" s="1" t="s">
        <v>9864</v>
      </c>
      <c r="D2662" s="1" t="s">
        <v>609</v>
      </c>
      <c r="E2662" s="1" t="s">
        <v>631</v>
      </c>
    </row>
    <row r="2663">
      <c r="A2663" s="2" t="s">
        <v>13146</v>
      </c>
      <c r="B2663" s="1">
        <v>200.0</v>
      </c>
      <c r="C2663" s="1" t="s">
        <v>12961</v>
      </c>
      <c r="D2663" s="1" t="s">
        <v>609</v>
      </c>
      <c r="E2663" s="1" t="s">
        <v>631</v>
      </c>
    </row>
    <row r="2664">
      <c r="A2664" s="2" t="s">
        <v>13147</v>
      </c>
      <c r="B2664" s="1">
        <v>200.0</v>
      </c>
      <c r="C2664" s="1" t="s">
        <v>9864</v>
      </c>
      <c r="D2664" s="1" t="s">
        <v>609</v>
      </c>
      <c r="E2664" s="1" t="s">
        <v>631</v>
      </c>
    </row>
    <row r="2665">
      <c r="A2665" s="2" t="s">
        <v>13148</v>
      </c>
      <c r="B2665" s="1">
        <v>200.0</v>
      </c>
      <c r="C2665" s="1" t="s">
        <v>9011</v>
      </c>
      <c r="D2665" s="1" t="s">
        <v>609</v>
      </c>
      <c r="E2665" s="1" t="s">
        <v>631</v>
      </c>
    </row>
    <row r="2666">
      <c r="A2666" s="2" t="s">
        <v>13149</v>
      </c>
      <c r="B2666" s="1">
        <v>200.0</v>
      </c>
      <c r="C2666" s="1" t="s">
        <v>12961</v>
      </c>
      <c r="D2666" s="1" t="s">
        <v>609</v>
      </c>
      <c r="E2666" s="1" t="s">
        <v>631</v>
      </c>
    </row>
    <row r="2667">
      <c r="A2667" s="2" t="s">
        <v>13150</v>
      </c>
      <c r="B2667" s="1">
        <v>200.0</v>
      </c>
      <c r="C2667" s="1" t="s">
        <v>9011</v>
      </c>
      <c r="D2667" s="1" t="s">
        <v>609</v>
      </c>
      <c r="E2667" s="1" t="s">
        <v>631</v>
      </c>
    </row>
    <row r="2668">
      <c r="A2668" s="2" t="s">
        <v>13151</v>
      </c>
      <c r="B2668" s="1">
        <v>200.0</v>
      </c>
      <c r="C2668" s="1" t="s">
        <v>9011</v>
      </c>
      <c r="D2668" s="1" t="s">
        <v>609</v>
      </c>
      <c r="E2668" s="1" t="s">
        <v>631</v>
      </c>
    </row>
    <row r="2669">
      <c r="A2669" s="2" t="s">
        <v>13152</v>
      </c>
      <c r="B2669" s="1">
        <v>200.0</v>
      </c>
      <c r="C2669" s="1" t="s">
        <v>9011</v>
      </c>
      <c r="D2669" s="1" t="s">
        <v>609</v>
      </c>
      <c r="E2669" s="1" t="s">
        <v>631</v>
      </c>
      <c r="F2669" s="1">
        <v>0.0</v>
      </c>
      <c r="G2669" s="1">
        <v>1.0</v>
      </c>
      <c r="H2669" s="1">
        <v>0.0</v>
      </c>
      <c r="I2669" s="1">
        <v>10.0</v>
      </c>
    </row>
    <row r="2670">
      <c r="A2670" s="2" t="s">
        <v>13153</v>
      </c>
      <c r="B2670" s="1">
        <v>200.0</v>
      </c>
      <c r="C2670" s="1" t="s">
        <v>9011</v>
      </c>
      <c r="D2670" s="1" t="s">
        <v>609</v>
      </c>
      <c r="E2670" s="1" t="s">
        <v>631</v>
      </c>
      <c r="F2670" s="1">
        <v>0.0</v>
      </c>
      <c r="G2670" s="1">
        <v>1.0</v>
      </c>
      <c r="H2670" s="1">
        <v>0.0</v>
      </c>
      <c r="I2670" s="1">
        <v>4.0</v>
      </c>
    </row>
    <row r="2671">
      <c r="A2671" s="2" t="s">
        <v>13154</v>
      </c>
      <c r="B2671" s="1">
        <v>200.0</v>
      </c>
      <c r="C2671" s="1" t="s">
        <v>9011</v>
      </c>
      <c r="D2671" s="1" t="s">
        <v>609</v>
      </c>
      <c r="E2671" s="1" t="s">
        <v>631</v>
      </c>
    </row>
    <row r="2672">
      <c r="A2672" s="2" t="s">
        <v>13155</v>
      </c>
      <c r="B2672" s="1">
        <v>200.0</v>
      </c>
      <c r="C2672" s="1" t="s">
        <v>12961</v>
      </c>
      <c r="D2672" s="1" t="s">
        <v>609</v>
      </c>
      <c r="E2672" s="1" t="s">
        <v>631</v>
      </c>
    </row>
    <row r="2673">
      <c r="A2673" s="2" t="s">
        <v>13156</v>
      </c>
      <c r="B2673" s="1">
        <v>200.0</v>
      </c>
      <c r="C2673" s="1" t="s">
        <v>9864</v>
      </c>
      <c r="D2673" s="1" t="s">
        <v>609</v>
      </c>
      <c r="E2673" s="1" t="s">
        <v>631</v>
      </c>
    </row>
    <row r="2674">
      <c r="A2674" s="2" t="s">
        <v>13157</v>
      </c>
      <c r="B2674" s="1">
        <v>200.0</v>
      </c>
      <c r="C2674" s="1" t="s">
        <v>9011</v>
      </c>
      <c r="D2674" s="1" t="s">
        <v>609</v>
      </c>
      <c r="E2674" s="1" t="s">
        <v>631</v>
      </c>
      <c r="F2674" s="1">
        <v>0.0</v>
      </c>
      <c r="G2674" s="1">
        <v>9.0</v>
      </c>
      <c r="H2674" s="1">
        <v>0.0</v>
      </c>
      <c r="I2674" s="1">
        <v>10.0</v>
      </c>
    </row>
    <row r="2675">
      <c r="A2675" s="2" t="s">
        <v>13158</v>
      </c>
      <c r="B2675" s="1">
        <v>200.0</v>
      </c>
      <c r="C2675" s="1" t="s">
        <v>12971</v>
      </c>
      <c r="D2675" s="1" t="s">
        <v>609</v>
      </c>
      <c r="E2675" s="1" t="s">
        <v>631</v>
      </c>
    </row>
    <row r="2676">
      <c r="A2676" s="2" t="s">
        <v>13159</v>
      </c>
      <c r="B2676" s="1">
        <v>200.0</v>
      </c>
      <c r="C2676" s="1" t="s">
        <v>9058</v>
      </c>
      <c r="D2676" s="1" t="s">
        <v>609</v>
      </c>
      <c r="E2676" s="1" t="s">
        <v>631</v>
      </c>
    </row>
    <row r="2677">
      <c r="A2677" s="2" t="s">
        <v>13160</v>
      </c>
      <c r="B2677" s="1">
        <v>200.0</v>
      </c>
      <c r="C2677" s="1" t="s">
        <v>9058</v>
      </c>
      <c r="D2677" s="1" t="s">
        <v>609</v>
      </c>
      <c r="E2677" s="1" t="s">
        <v>631</v>
      </c>
    </row>
    <row r="2678">
      <c r="A2678" s="2" t="s">
        <v>13161</v>
      </c>
      <c r="B2678" s="1">
        <v>200.0</v>
      </c>
      <c r="C2678" s="1" t="s">
        <v>9212</v>
      </c>
      <c r="D2678" s="1" t="s">
        <v>609</v>
      </c>
      <c r="E2678" s="1" t="s">
        <v>631</v>
      </c>
    </row>
    <row r="2679">
      <c r="A2679" s="2" t="s">
        <v>13162</v>
      </c>
      <c r="B2679" s="1">
        <v>200.0</v>
      </c>
      <c r="C2679" s="1" t="s">
        <v>9212</v>
      </c>
      <c r="D2679" s="1" t="s">
        <v>609</v>
      </c>
      <c r="E2679" s="1" t="s">
        <v>631</v>
      </c>
    </row>
    <row r="2680">
      <c r="A2680" s="2" t="s">
        <v>13163</v>
      </c>
      <c r="B2680" s="1">
        <v>200.0</v>
      </c>
      <c r="C2680" s="1" t="s">
        <v>9212</v>
      </c>
      <c r="D2680" s="1" t="s">
        <v>609</v>
      </c>
      <c r="E2680" s="1" t="s">
        <v>631</v>
      </c>
    </row>
    <row r="2681">
      <c r="A2681" s="2" t="s">
        <v>13164</v>
      </c>
      <c r="B2681" s="1">
        <v>200.0</v>
      </c>
      <c r="C2681" s="1" t="s">
        <v>9864</v>
      </c>
      <c r="D2681" s="1" t="s">
        <v>609</v>
      </c>
      <c r="E2681" s="1" t="s">
        <v>631</v>
      </c>
    </row>
    <row r="2682">
      <c r="A2682" s="2" t="s">
        <v>13165</v>
      </c>
      <c r="B2682" s="1">
        <v>200.0</v>
      </c>
      <c r="C2682" s="1" t="s">
        <v>9058</v>
      </c>
      <c r="D2682" s="1" t="s">
        <v>609</v>
      </c>
      <c r="E2682" s="1" t="s">
        <v>631</v>
      </c>
    </row>
    <row r="2683">
      <c r="A2683" s="2" t="s">
        <v>13166</v>
      </c>
      <c r="B2683" s="1">
        <v>200.0</v>
      </c>
      <c r="C2683" s="1" t="s">
        <v>9058</v>
      </c>
      <c r="D2683" s="1" t="s">
        <v>609</v>
      </c>
      <c r="E2683" s="1" t="s">
        <v>631</v>
      </c>
    </row>
    <row r="2684">
      <c r="A2684" s="2" t="s">
        <v>13167</v>
      </c>
      <c r="B2684" s="1">
        <v>200.0</v>
      </c>
      <c r="C2684" s="1" t="s">
        <v>9058</v>
      </c>
      <c r="D2684" s="1" t="s">
        <v>609</v>
      </c>
      <c r="E2684" s="1" t="s">
        <v>631</v>
      </c>
      <c r="F2684" s="1">
        <v>1.0</v>
      </c>
      <c r="G2684" s="1">
        <v>38.0</v>
      </c>
      <c r="H2684" s="1">
        <v>0.026</v>
      </c>
      <c r="I2684" s="1">
        <v>13.61</v>
      </c>
    </row>
    <row r="2685">
      <c r="A2685" s="2" t="s">
        <v>13168</v>
      </c>
      <c r="B2685" s="1">
        <v>200.0</v>
      </c>
      <c r="C2685" s="1" t="s">
        <v>12963</v>
      </c>
      <c r="D2685" s="1" t="s">
        <v>609</v>
      </c>
      <c r="E2685" s="1" t="s">
        <v>631</v>
      </c>
    </row>
    <row r="2686">
      <c r="A2686" s="2" t="s">
        <v>13169</v>
      </c>
      <c r="B2686" s="1">
        <v>200.0</v>
      </c>
      <c r="C2686" s="1" t="s">
        <v>12966</v>
      </c>
      <c r="D2686" s="1" t="s">
        <v>609</v>
      </c>
      <c r="E2686" s="1" t="s">
        <v>631</v>
      </c>
    </row>
    <row r="2687">
      <c r="A2687" s="2" t="s">
        <v>13170</v>
      </c>
      <c r="B2687" s="1">
        <v>200.0</v>
      </c>
      <c r="C2687" s="1" t="s">
        <v>9212</v>
      </c>
      <c r="D2687" s="1" t="s">
        <v>609</v>
      </c>
      <c r="E2687" s="1" t="s">
        <v>631</v>
      </c>
    </row>
    <row r="2688">
      <c r="A2688" s="2" t="s">
        <v>13171</v>
      </c>
      <c r="B2688" s="1">
        <v>200.0</v>
      </c>
      <c r="C2688" s="1" t="s">
        <v>9212</v>
      </c>
      <c r="D2688" s="1" t="s">
        <v>609</v>
      </c>
      <c r="E2688" s="1" t="s">
        <v>631</v>
      </c>
    </row>
    <row r="2689">
      <c r="A2689" s="2" t="s">
        <v>13172</v>
      </c>
      <c r="B2689" s="1">
        <v>200.0</v>
      </c>
      <c r="C2689" s="1" t="s">
        <v>9212</v>
      </c>
      <c r="D2689" s="1" t="s">
        <v>609</v>
      </c>
      <c r="E2689" s="1" t="s">
        <v>631</v>
      </c>
      <c r="F2689" s="1">
        <v>0.0</v>
      </c>
      <c r="G2689" s="1">
        <v>2.0</v>
      </c>
      <c r="H2689" s="1">
        <v>0.0</v>
      </c>
      <c r="I2689" s="1">
        <v>5.5</v>
      </c>
    </row>
    <row r="2690">
      <c r="A2690" s="2" t="s">
        <v>13173</v>
      </c>
      <c r="B2690" s="1">
        <v>200.0</v>
      </c>
      <c r="C2690" s="1" t="s">
        <v>9212</v>
      </c>
      <c r="D2690" s="1" t="s">
        <v>609</v>
      </c>
      <c r="E2690" s="1" t="s">
        <v>631</v>
      </c>
    </row>
    <row r="2691">
      <c r="A2691" s="2" t="s">
        <v>13174</v>
      </c>
      <c r="B2691" s="1">
        <v>200.0</v>
      </c>
      <c r="C2691" s="1" t="s">
        <v>9011</v>
      </c>
      <c r="D2691" s="1" t="s">
        <v>609</v>
      </c>
      <c r="E2691" s="1" t="s">
        <v>631</v>
      </c>
    </row>
    <row r="2692">
      <c r="A2692" s="2" t="s">
        <v>13175</v>
      </c>
      <c r="B2692" s="1">
        <v>200.0</v>
      </c>
      <c r="C2692" s="1" t="s">
        <v>9058</v>
      </c>
      <c r="D2692" s="1" t="s">
        <v>609</v>
      </c>
      <c r="E2692" s="1" t="s">
        <v>631</v>
      </c>
    </row>
    <row r="2693">
      <c r="A2693" s="2" t="s">
        <v>13176</v>
      </c>
      <c r="B2693" s="1">
        <v>200.0</v>
      </c>
      <c r="C2693" s="1" t="s">
        <v>9058</v>
      </c>
      <c r="D2693" s="1" t="s">
        <v>609</v>
      </c>
      <c r="E2693" s="1" t="s">
        <v>631</v>
      </c>
    </row>
    <row r="2694">
      <c r="A2694" s="2" t="s">
        <v>13177</v>
      </c>
      <c r="B2694" s="1">
        <v>200.0</v>
      </c>
      <c r="C2694" s="1" t="s">
        <v>9212</v>
      </c>
      <c r="D2694" s="1" t="s">
        <v>609</v>
      </c>
      <c r="E2694" s="1" t="s">
        <v>631</v>
      </c>
    </row>
    <row r="2695">
      <c r="A2695" s="2" t="s">
        <v>13178</v>
      </c>
      <c r="B2695" s="1">
        <v>200.0</v>
      </c>
      <c r="C2695" s="1" t="s">
        <v>9212</v>
      </c>
      <c r="D2695" s="1" t="s">
        <v>609</v>
      </c>
      <c r="E2695" s="1" t="s">
        <v>631</v>
      </c>
    </row>
    <row r="2696">
      <c r="A2696" s="2" t="s">
        <v>13179</v>
      </c>
      <c r="B2696" s="1">
        <v>200.0</v>
      </c>
      <c r="C2696" s="1" t="s">
        <v>9864</v>
      </c>
      <c r="D2696" s="1" t="s">
        <v>609</v>
      </c>
      <c r="E2696" s="1" t="s">
        <v>631</v>
      </c>
    </row>
    <row r="2697">
      <c r="A2697" s="2" t="s">
        <v>13180</v>
      </c>
      <c r="B2697" s="1">
        <v>200.0</v>
      </c>
      <c r="C2697" s="1" t="s">
        <v>9058</v>
      </c>
      <c r="D2697" s="1" t="s">
        <v>609</v>
      </c>
      <c r="E2697" s="1" t="s">
        <v>631</v>
      </c>
      <c r="F2697" s="1">
        <v>0.0</v>
      </c>
      <c r="G2697" s="1">
        <v>1.0</v>
      </c>
      <c r="H2697" s="1">
        <v>0.0</v>
      </c>
      <c r="I2697" s="1">
        <v>3.0</v>
      </c>
    </row>
    <row r="2698">
      <c r="A2698" s="2" t="s">
        <v>13181</v>
      </c>
      <c r="B2698" s="1">
        <v>200.0</v>
      </c>
      <c r="C2698" s="1" t="s">
        <v>9058</v>
      </c>
      <c r="D2698" s="1" t="s">
        <v>609</v>
      </c>
      <c r="E2698" s="1" t="s">
        <v>631</v>
      </c>
    </row>
    <row r="2699">
      <c r="A2699" s="2" t="s">
        <v>13182</v>
      </c>
      <c r="B2699" s="1">
        <v>200.0</v>
      </c>
      <c r="C2699" s="1" t="s">
        <v>9864</v>
      </c>
      <c r="D2699" s="1" t="s">
        <v>609</v>
      </c>
      <c r="E2699" s="1" t="s">
        <v>631</v>
      </c>
      <c r="F2699" s="1">
        <v>0.0</v>
      </c>
      <c r="G2699" s="1">
        <v>1.0</v>
      </c>
      <c r="H2699" s="1">
        <v>0.0</v>
      </c>
      <c r="I2699" s="1">
        <v>19.0</v>
      </c>
    </row>
    <row r="2700">
      <c r="A2700" s="2" t="s">
        <v>13183</v>
      </c>
      <c r="B2700" s="1">
        <v>200.0</v>
      </c>
      <c r="C2700" s="1" t="s">
        <v>9864</v>
      </c>
      <c r="D2700" s="1" t="s">
        <v>609</v>
      </c>
      <c r="E2700" s="1" t="s">
        <v>631</v>
      </c>
    </row>
    <row r="2701">
      <c r="A2701" s="2" t="s">
        <v>13184</v>
      </c>
      <c r="B2701" s="1">
        <v>200.0</v>
      </c>
      <c r="C2701" s="1" t="s">
        <v>9864</v>
      </c>
      <c r="D2701" s="1" t="s">
        <v>609</v>
      </c>
      <c r="E2701" s="1" t="s">
        <v>631</v>
      </c>
    </row>
    <row r="2702">
      <c r="A2702" s="2" t="s">
        <v>13185</v>
      </c>
      <c r="B2702" s="1">
        <v>200.0</v>
      </c>
      <c r="C2702" s="1" t="s">
        <v>9864</v>
      </c>
      <c r="D2702" s="1" t="s">
        <v>609</v>
      </c>
      <c r="E2702" s="1" t="s">
        <v>631</v>
      </c>
    </row>
    <row r="2703">
      <c r="A2703" s="2" t="s">
        <v>13186</v>
      </c>
      <c r="B2703" s="1">
        <v>200.0</v>
      </c>
      <c r="C2703" s="1" t="s">
        <v>9011</v>
      </c>
      <c r="D2703" s="1" t="s">
        <v>609</v>
      </c>
      <c r="E2703" s="1" t="s">
        <v>631</v>
      </c>
    </row>
    <row r="2704">
      <c r="A2704" s="2" t="s">
        <v>13187</v>
      </c>
      <c r="B2704" s="1">
        <v>200.0</v>
      </c>
      <c r="C2704" s="1" t="s">
        <v>9011</v>
      </c>
      <c r="D2704" s="1" t="s">
        <v>609</v>
      </c>
      <c r="E2704" s="1" t="s">
        <v>631</v>
      </c>
    </row>
    <row r="2705">
      <c r="A2705" s="2" t="s">
        <v>13188</v>
      </c>
      <c r="B2705" s="1">
        <v>200.0</v>
      </c>
      <c r="C2705" s="1" t="s">
        <v>9011</v>
      </c>
      <c r="D2705" s="1" t="s">
        <v>609</v>
      </c>
      <c r="E2705" s="1" t="s">
        <v>631</v>
      </c>
    </row>
    <row r="2706">
      <c r="A2706" s="2" t="s">
        <v>13189</v>
      </c>
      <c r="B2706" s="1">
        <v>200.0</v>
      </c>
      <c r="C2706" s="1" t="s">
        <v>9864</v>
      </c>
      <c r="D2706" s="1" t="s">
        <v>609</v>
      </c>
      <c r="E2706" s="1" t="s">
        <v>631</v>
      </c>
    </row>
    <row r="2707">
      <c r="A2707" s="2" t="s">
        <v>13190</v>
      </c>
      <c r="B2707" s="1">
        <v>200.0</v>
      </c>
      <c r="C2707" s="1" t="s">
        <v>9011</v>
      </c>
      <c r="D2707" s="1" t="s">
        <v>609</v>
      </c>
      <c r="E2707" s="1" t="s">
        <v>631</v>
      </c>
    </row>
    <row r="2708">
      <c r="A2708" s="2" t="s">
        <v>13191</v>
      </c>
      <c r="B2708" s="1">
        <v>200.0</v>
      </c>
      <c r="C2708" s="1" t="s">
        <v>9011</v>
      </c>
      <c r="D2708" s="1" t="s">
        <v>609</v>
      </c>
      <c r="E2708" s="1" t="s">
        <v>631</v>
      </c>
    </row>
    <row r="2709">
      <c r="A2709" s="2" t="s">
        <v>13192</v>
      </c>
      <c r="B2709" s="1">
        <v>200.0</v>
      </c>
      <c r="C2709" s="1" t="s">
        <v>9011</v>
      </c>
      <c r="D2709" s="1" t="s">
        <v>609</v>
      </c>
      <c r="E2709" s="1" t="s">
        <v>631</v>
      </c>
      <c r="F2709" s="1">
        <v>0.0</v>
      </c>
      <c r="G2709" s="1">
        <v>1.0</v>
      </c>
      <c r="H2709" s="1">
        <v>0.0</v>
      </c>
      <c r="I2709" s="1">
        <v>2.0</v>
      </c>
    </row>
    <row r="2710">
      <c r="A2710" s="2" t="s">
        <v>13193</v>
      </c>
      <c r="B2710" s="1">
        <v>200.0</v>
      </c>
      <c r="C2710" s="1" t="s">
        <v>9011</v>
      </c>
      <c r="D2710" s="1" t="s">
        <v>609</v>
      </c>
      <c r="E2710" s="1" t="s">
        <v>631</v>
      </c>
    </row>
    <row r="2711">
      <c r="A2711" s="2" t="s">
        <v>13194</v>
      </c>
      <c r="B2711" s="1">
        <v>200.0</v>
      </c>
      <c r="C2711" s="1" t="s">
        <v>9864</v>
      </c>
      <c r="D2711" s="1" t="s">
        <v>609</v>
      </c>
      <c r="E2711" s="1" t="s">
        <v>631</v>
      </c>
    </row>
    <row r="2712">
      <c r="A2712" s="2" t="s">
        <v>13195</v>
      </c>
      <c r="B2712" s="1">
        <v>200.0</v>
      </c>
      <c r="C2712" s="1" t="s">
        <v>9864</v>
      </c>
      <c r="D2712" s="1" t="s">
        <v>609</v>
      </c>
      <c r="E2712" s="1" t="s">
        <v>631</v>
      </c>
    </row>
    <row r="2713">
      <c r="A2713" s="2" t="s">
        <v>13196</v>
      </c>
      <c r="B2713" s="1">
        <v>200.0</v>
      </c>
      <c r="C2713" s="1" t="s">
        <v>9058</v>
      </c>
      <c r="D2713" s="1" t="s">
        <v>609</v>
      </c>
      <c r="E2713" s="1" t="s">
        <v>631</v>
      </c>
    </row>
    <row r="2714">
      <c r="A2714" s="2" t="s">
        <v>13197</v>
      </c>
      <c r="B2714" s="1">
        <v>200.0</v>
      </c>
      <c r="C2714" s="1" t="s">
        <v>9212</v>
      </c>
      <c r="D2714" s="1" t="s">
        <v>609</v>
      </c>
      <c r="E2714" s="1" t="s">
        <v>631</v>
      </c>
    </row>
    <row r="2715">
      <c r="A2715" s="2" t="s">
        <v>13198</v>
      </c>
      <c r="B2715" s="1">
        <v>200.0</v>
      </c>
      <c r="C2715" s="1" t="s">
        <v>9212</v>
      </c>
      <c r="D2715" s="1" t="s">
        <v>609</v>
      </c>
      <c r="E2715" s="1" t="s">
        <v>631</v>
      </c>
    </row>
    <row r="2716">
      <c r="A2716" s="2" t="s">
        <v>13199</v>
      </c>
      <c r="B2716" s="1">
        <v>200.0</v>
      </c>
      <c r="C2716" s="1" t="s">
        <v>9058</v>
      </c>
      <c r="D2716" s="1" t="s">
        <v>609</v>
      </c>
      <c r="E2716" s="1" t="s">
        <v>631</v>
      </c>
    </row>
    <row r="2717">
      <c r="A2717" s="2" t="s">
        <v>13200</v>
      </c>
      <c r="B2717" s="1">
        <v>200.0</v>
      </c>
      <c r="C2717" s="1" t="s">
        <v>9058</v>
      </c>
      <c r="D2717" s="1" t="s">
        <v>609</v>
      </c>
      <c r="E2717" s="1" t="s">
        <v>631</v>
      </c>
    </row>
    <row r="2718">
      <c r="A2718" s="2" t="s">
        <v>13201</v>
      </c>
      <c r="B2718" s="1">
        <v>200.0</v>
      </c>
      <c r="C2718" s="1" t="s">
        <v>9212</v>
      </c>
      <c r="D2718" s="1" t="s">
        <v>609</v>
      </c>
      <c r="E2718" s="1" t="s">
        <v>631</v>
      </c>
    </row>
    <row r="2719">
      <c r="A2719" s="2" t="s">
        <v>13202</v>
      </c>
      <c r="B2719" s="1">
        <v>200.0</v>
      </c>
      <c r="C2719" s="1" t="s">
        <v>9058</v>
      </c>
      <c r="D2719" s="1" t="s">
        <v>609</v>
      </c>
      <c r="E2719" s="1" t="s">
        <v>631</v>
      </c>
    </row>
    <row r="2720">
      <c r="A2720" s="2" t="s">
        <v>13203</v>
      </c>
      <c r="B2720" s="1">
        <v>200.0</v>
      </c>
      <c r="C2720" s="1" t="s">
        <v>9212</v>
      </c>
      <c r="D2720" s="1" t="s">
        <v>609</v>
      </c>
      <c r="E2720" s="1" t="s">
        <v>631</v>
      </c>
    </row>
    <row r="2721">
      <c r="A2721" s="2" t="s">
        <v>13204</v>
      </c>
      <c r="B2721" s="1">
        <v>200.0</v>
      </c>
      <c r="C2721" s="1" t="s">
        <v>9212</v>
      </c>
      <c r="D2721" s="1" t="s">
        <v>609</v>
      </c>
      <c r="E2721" s="1" t="s">
        <v>631</v>
      </c>
    </row>
    <row r="2722">
      <c r="A2722" s="2" t="s">
        <v>13205</v>
      </c>
      <c r="B2722" s="1">
        <v>200.0</v>
      </c>
      <c r="C2722" s="1" t="s">
        <v>9212</v>
      </c>
      <c r="D2722" s="1" t="s">
        <v>609</v>
      </c>
      <c r="E2722" s="1" t="s">
        <v>631</v>
      </c>
    </row>
    <row r="2723">
      <c r="A2723" s="2" t="s">
        <v>13206</v>
      </c>
      <c r="B2723" s="1">
        <v>200.0</v>
      </c>
      <c r="C2723" s="1" t="s">
        <v>9058</v>
      </c>
      <c r="D2723" s="1" t="s">
        <v>609</v>
      </c>
      <c r="E2723" s="1" t="s">
        <v>631</v>
      </c>
    </row>
    <row r="2724">
      <c r="A2724" s="2" t="s">
        <v>13207</v>
      </c>
      <c r="B2724" s="1">
        <v>200.0</v>
      </c>
      <c r="C2724" s="1" t="s">
        <v>9212</v>
      </c>
      <c r="D2724" s="1" t="s">
        <v>609</v>
      </c>
      <c r="E2724" s="1" t="s">
        <v>631</v>
      </c>
    </row>
    <row r="2725">
      <c r="A2725" s="2" t="s">
        <v>13208</v>
      </c>
      <c r="B2725" s="1">
        <v>200.0</v>
      </c>
      <c r="C2725" s="1" t="s">
        <v>9212</v>
      </c>
      <c r="D2725" s="1" t="s">
        <v>609</v>
      </c>
      <c r="E2725" s="1" t="s">
        <v>631</v>
      </c>
    </row>
    <row r="2726">
      <c r="A2726" s="2" t="s">
        <v>13209</v>
      </c>
      <c r="B2726" s="1">
        <v>200.0</v>
      </c>
      <c r="C2726" s="1" t="s">
        <v>9058</v>
      </c>
      <c r="D2726" s="1" t="s">
        <v>609</v>
      </c>
      <c r="E2726" s="1" t="s">
        <v>631</v>
      </c>
    </row>
    <row r="2727">
      <c r="A2727" s="2" t="s">
        <v>13210</v>
      </c>
      <c r="B2727" s="1">
        <v>200.0</v>
      </c>
      <c r="C2727" s="1" t="s">
        <v>9058</v>
      </c>
      <c r="D2727" s="1" t="s">
        <v>609</v>
      </c>
      <c r="E2727" s="1" t="s">
        <v>631</v>
      </c>
    </row>
    <row r="2728">
      <c r="A2728" s="2" t="s">
        <v>13211</v>
      </c>
      <c r="B2728" s="1">
        <v>200.0</v>
      </c>
      <c r="C2728" s="1" t="s">
        <v>9011</v>
      </c>
      <c r="D2728" s="1" t="s">
        <v>609</v>
      </c>
      <c r="E2728" s="1" t="s">
        <v>631</v>
      </c>
    </row>
    <row r="2729">
      <c r="A2729" s="2" t="s">
        <v>13212</v>
      </c>
      <c r="B2729" s="1">
        <v>200.0</v>
      </c>
      <c r="C2729" s="1" t="s">
        <v>9011</v>
      </c>
      <c r="D2729" s="1" t="s">
        <v>609</v>
      </c>
      <c r="E2729" s="1" t="s">
        <v>631</v>
      </c>
    </row>
    <row r="2730">
      <c r="A2730" s="2" t="s">
        <v>13213</v>
      </c>
      <c r="B2730" s="1">
        <v>200.0</v>
      </c>
      <c r="C2730" s="1" t="s">
        <v>9011</v>
      </c>
      <c r="D2730" s="1" t="s">
        <v>609</v>
      </c>
      <c r="E2730" s="1" t="s">
        <v>631</v>
      </c>
    </row>
    <row r="2731">
      <c r="A2731" s="2" t="s">
        <v>13214</v>
      </c>
      <c r="B2731" s="1">
        <v>200.0</v>
      </c>
      <c r="C2731" s="1" t="s">
        <v>9011</v>
      </c>
      <c r="D2731" s="1" t="s">
        <v>609</v>
      </c>
      <c r="E2731" s="1" t="s">
        <v>631</v>
      </c>
    </row>
    <row r="2732">
      <c r="A2732" s="2" t="s">
        <v>13215</v>
      </c>
      <c r="B2732" s="1">
        <v>200.0</v>
      </c>
      <c r="C2732" s="1" t="s">
        <v>9011</v>
      </c>
      <c r="D2732" s="1" t="s">
        <v>609</v>
      </c>
      <c r="E2732" s="1" t="s">
        <v>631</v>
      </c>
    </row>
    <row r="2733">
      <c r="A2733" s="2" t="s">
        <v>13216</v>
      </c>
      <c r="B2733" s="1">
        <v>200.0</v>
      </c>
      <c r="C2733" s="1" t="s">
        <v>9011</v>
      </c>
      <c r="D2733" s="1" t="s">
        <v>609</v>
      </c>
      <c r="E2733" s="1" t="s">
        <v>631</v>
      </c>
    </row>
    <row r="2734">
      <c r="A2734" s="2" t="s">
        <v>13217</v>
      </c>
      <c r="B2734" s="1">
        <v>200.0</v>
      </c>
      <c r="C2734" s="1" t="s">
        <v>9011</v>
      </c>
      <c r="D2734" s="1" t="s">
        <v>609</v>
      </c>
      <c r="E2734" s="1" t="s">
        <v>631</v>
      </c>
    </row>
    <row r="2735">
      <c r="A2735" s="2" t="s">
        <v>13218</v>
      </c>
      <c r="B2735" s="1">
        <v>200.0</v>
      </c>
      <c r="C2735" s="1" t="s">
        <v>9058</v>
      </c>
      <c r="D2735" s="1" t="s">
        <v>609</v>
      </c>
      <c r="E2735" s="1" t="s">
        <v>631</v>
      </c>
    </row>
    <row r="2736">
      <c r="A2736" s="2" t="s">
        <v>13219</v>
      </c>
      <c r="B2736" s="1">
        <v>200.0</v>
      </c>
      <c r="C2736" s="1" t="s">
        <v>9058</v>
      </c>
      <c r="D2736" s="1" t="s">
        <v>609</v>
      </c>
      <c r="E2736" s="1" t="s">
        <v>631</v>
      </c>
    </row>
    <row r="2737">
      <c r="A2737" s="2" t="s">
        <v>13220</v>
      </c>
      <c r="B2737" s="1">
        <v>200.0</v>
      </c>
      <c r="C2737" s="1" t="s">
        <v>9212</v>
      </c>
      <c r="D2737" s="1" t="s">
        <v>609</v>
      </c>
      <c r="E2737" s="1" t="s">
        <v>631</v>
      </c>
    </row>
    <row r="2738">
      <c r="A2738" s="2" t="s">
        <v>13221</v>
      </c>
      <c r="B2738" s="1">
        <v>200.0</v>
      </c>
      <c r="C2738" s="1" t="s">
        <v>9212</v>
      </c>
      <c r="D2738" s="1" t="s">
        <v>609</v>
      </c>
      <c r="E2738" s="1" t="s">
        <v>631</v>
      </c>
    </row>
    <row r="2739">
      <c r="A2739" s="2" t="s">
        <v>13222</v>
      </c>
      <c r="B2739" s="1">
        <v>200.0</v>
      </c>
      <c r="C2739" s="1" t="s">
        <v>9058</v>
      </c>
      <c r="D2739" s="1" t="s">
        <v>609</v>
      </c>
      <c r="E2739" s="1" t="s">
        <v>631</v>
      </c>
    </row>
    <row r="2740">
      <c r="A2740" s="2" t="s">
        <v>13223</v>
      </c>
      <c r="B2740" s="1">
        <v>200.0</v>
      </c>
      <c r="C2740" s="1" t="s">
        <v>9212</v>
      </c>
      <c r="D2740" s="1" t="s">
        <v>609</v>
      </c>
      <c r="E2740" s="1" t="s">
        <v>631</v>
      </c>
    </row>
    <row r="2741">
      <c r="A2741" s="2" t="s">
        <v>13224</v>
      </c>
      <c r="B2741" s="1">
        <v>200.0</v>
      </c>
      <c r="C2741" s="1" t="s">
        <v>9212</v>
      </c>
      <c r="D2741" s="1" t="s">
        <v>609</v>
      </c>
      <c r="E2741" s="1" t="s">
        <v>631</v>
      </c>
    </row>
    <row r="2742">
      <c r="A2742" s="2" t="s">
        <v>13225</v>
      </c>
      <c r="B2742" s="1">
        <v>200.0</v>
      </c>
      <c r="C2742" s="1" t="s">
        <v>9058</v>
      </c>
      <c r="D2742" s="1" t="s">
        <v>609</v>
      </c>
      <c r="E2742" s="1" t="s">
        <v>631</v>
      </c>
    </row>
    <row r="2743">
      <c r="A2743" s="2" t="s">
        <v>13226</v>
      </c>
      <c r="B2743" s="1">
        <v>200.0</v>
      </c>
      <c r="C2743" s="1" t="s">
        <v>9212</v>
      </c>
      <c r="D2743" s="1" t="s">
        <v>609</v>
      </c>
      <c r="E2743" s="1" t="s">
        <v>631</v>
      </c>
    </row>
    <row r="2744">
      <c r="A2744" s="2" t="s">
        <v>13227</v>
      </c>
      <c r="B2744" s="1">
        <v>200.0</v>
      </c>
      <c r="C2744" s="1" t="s">
        <v>9212</v>
      </c>
      <c r="D2744" s="1" t="s">
        <v>609</v>
      </c>
      <c r="E2744" s="1" t="s">
        <v>631</v>
      </c>
    </row>
    <row r="2745">
      <c r="A2745" s="2" t="s">
        <v>13228</v>
      </c>
      <c r="B2745" s="1">
        <v>200.0</v>
      </c>
      <c r="C2745" s="1" t="s">
        <v>9058</v>
      </c>
      <c r="D2745" s="1" t="s">
        <v>609</v>
      </c>
      <c r="E2745" s="1" t="s">
        <v>631</v>
      </c>
    </row>
    <row r="2746">
      <c r="A2746" s="2" t="s">
        <v>13229</v>
      </c>
      <c r="B2746" s="1">
        <v>200.0</v>
      </c>
      <c r="C2746" s="1" t="s">
        <v>9212</v>
      </c>
      <c r="D2746" s="1" t="s">
        <v>609</v>
      </c>
      <c r="E2746" s="1" t="s">
        <v>631</v>
      </c>
    </row>
    <row r="2747">
      <c r="A2747" s="2" t="s">
        <v>13230</v>
      </c>
      <c r="B2747" s="1">
        <v>200.0</v>
      </c>
      <c r="C2747" s="1" t="s">
        <v>9011</v>
      </c>
      <c r="D2747" s="1" t="s">
        <v>609</v>
      </c>
      <c r="E2747" s="1" t="s">
        <v>631</v>
      </c>
    </row>
    <row r="2748">
      <c r="A2748" s="2" t="s">
        <v>13231</v>
      </c>
      <c r="B2748" s="1">
        <v>200.0</v>
      </c>
      <c r="C2748" s="1" t="s">
        <v>9011</v>
      </c>
      <c r="D2748" s="1" t="s">
        <v>609</v>
      </c>
      <c r="E2748" s="1" t="s">
        <v>631</v>
      </c>
    </row>
    <row r="2749">
      <c r="A2749" s="2" t="s">
        <v>13232</v>
      </c>
      <c r="B2749" s="1">
        <v>200.0</v>
      </c>
      <c r="C2749" s="1" t="s">
        <v>9011</v>
      </c>
      <c r="D2749" s="1" t="s">
        <v>609</v>
      </c>
      <c r="E2749" s="1" t="s">
        <v>631</v>
      </c>
    </row>
    <row r="2750">
      <c r="A2750" s="2" t="s">
        <v>13233</v>
      </c>
      <c r="B2750" s="1">
        <v>200.0</v>
      </c>
      <c r="C2750" s="1" t="s">
        <v>9058</v>
      </c>
      <c r="D2750" s="1" t="s">
        <v>609</v>
      </c>
      <c r="E2750" s="1" t="s">
        <v>631</v>
      </c>
    </row>
    <row r="2751">
      <c r="A2751" s="2" t="s">
        <v>13234</v>
      </c>
      <c r="B2751" s="1">
        <v>200.0</v>
      </c>
      <c r="C2751" s="1" t="s">
        <v>9058</v>
      </c>
      <c r="D2751" s="1" t="s">
        <v>609</v>
      </c>
      <c r="E2751" s="1" t="s">
        <v>631</v>
      </c>
    </row>
    <row r="2752">
      <c r="A2752" s="2" t="s">
        <v>13235</v>
      </c>
      <c r="B2752" s="1">
        <v>200.0</v>
      </c>
      <c r="C2752" s="1" t="s">
        <v>9011</v>
      </c>
      <c r="D2752" s="1" t="s">
        <v>609</v>
      </c>
      <c r="E2752" s="1" t="s">
        <v>631</v>
      </c>
    </row>
    <row r="2753">
      <c r="A2753" s="2" t="s">
        <v>13236</v>
      </c>
      <c r="B2753" s="1">
        <v>200.0</v>
      </c>
      <c r="C2753" s="1" t="s">
        <v>9011</v>
      </c>
      <c r="D2753" s="1" t="s">
        <v>609</v>
      </c>
      <c r="E2753" s="1" t="s">
        <v>631</v>
      </c>
    </row>
    <row r="2754">
      <c r="A2754" s="2" t="s">
        <v>13237</v>
      </c>
      <c r="B2754" s="1">
        <v>200.0</v>
      </c>
      <c r="C2754" s="1" t="s">
        <v>9011</v>
      </c>
      <c r="D2754" s="1" t="s">
        <v>609</v>
      </c>
      <c r="E2754" s="1" t="s">
        <v>631</v>
      </c>
    </row>
    <row r="2755">
      <c r="A2755" s="2" t="s">
        <v>13238</v>
      </c>
      <c r="B2755" s="1">
        <v>200.0</v>
      </c>
      <c r="C2755" s="1" t="s">
        <v>9011</v>
      </c>
      <c r="D2755" s="1" t="s">
        <v>609</v>
      </c>
      <c r="E2755" s="1" t="s">
        <v>631</v>
      </c>
      <c r="F2755" s="1">
        <v>0.0</v>
      </c>
      <c r="G2755" s="1">
        <v>2.0</v>
      </c>
      <c r="H2755" s="1">
        <v>0.0</v>
      </c>
      <c r="I2755" s="1">
        <v>6.0</v>
      </c>
    </row>
    <row r="2756">
      <c r="A2756" s="2" t="s">
        <v>13239</v>
      </c>
      <c r="B2756" s="1">
        <v>200.0</v>
      </c>
      <c r="C2756" s="1" t="s">
        <v>9058</v>
      </c>
      <c r="D2756" s="1" t="s">
        <v>609</v>
      </c>
      <c r="E2756" s="1" t="s">
        <v>631</v>
      </c>
      <c r="F2756" s="1">
        <v>1.0</v>
      </c>
      <c r="G2756" s="1">
        <v>3.0</v>
      </c>
      <c r="H2756" s="1">
        <v>0.333</v>
      </c>
      <c r="I2756" s="1">
        <v>3.67</v>
      </c>
    </row>
    <row r="2757">
      <c r="A2757" s="2" t="s">
        <v>13240</v>
      </c>
      <c r="B2757" s="1">
        <v>200.0</v>
      </c>
      <c r="C2757" s="1" t="s">
        <v>9058</v>
      </c>
      <c r="D2757" s="1" t="s">
        <v>609</v>
      </c>
      <c r="E2757" s="1" t="s">
        <v>631</v>
      </c>
    </row>
    <row r="2758">
      <c r="A2758" s="2" t="s">
        <v>13241</v>
      </c>
      <c r="B2758" s="1">
        <v>200.0</v>
      </c>
      <c r="C2758" s="1" t="s">
        <v>9212</v>
      </c>
      <c r="D2758" s="1" t="s">
        <v>609</v>
      </c>
      <c r="E2758" s="1" t="s">
        <v>631</v>
      </c>
    </row>
    <row r="2759">
      <c r="A2759" s="2" t="s">
        <v>13242</v>
      </c>
      <c r="B2759" s="1">
        <v>200.0</v>
      </c>
      <c r="C2759" s="1" t="s">
        <v>9011</v>
      </c>
      <c r="D2759" s="1" t="s">
        <v>609</v>
      </c>
      <c r="E2759" s="1" t="s">
        <v>631</v>
      </c>
      <c r="F2759" s="1">
        <v>1.0</v>
      </c>
      <c r="G2759" s="1">
        <v>9.0</v>
      </c>
      <c r="H2759" s="1">
        <v>0.111</v>
      </c>
      <c r="I2759" s="1">
        <v>5.44</v>
      </c>
    </row>
    <row r="2760">
      <c r="A2760" s="2" t="s">
        <v>13243</v>
      </c>
      <c r="B2760" s="1">
        <v>200.0</v>
      </c>
      <c r="C2760" s="1" t="s">
        <v>9212</v>
      </c>
      <c r="D2760" s="1" t="s">
        <v>609</v>
      </c>
      <c r="E2760" s="1" t="s">
        <v>631</v>
      </c>
    </row>
    <row r="2761">
      <c r="A2761" s="2" t="s">
        <v>13244</v>
      </c>
      <c r="B2761" s="1">
        <v>200.0</v>
      </c>
      <c r="C2761" s="1" t="s">
        <v>9058</v>
      </c>
      <c r="D2761" s="1" t="s">
        <v>609</v>
      </c>
      <c r="E2761" s="1" t="s">
        <v>631</v>
      </c>
    </row>
    <row r="2762">
      <c r="A2762" s="2" t="s">
        <v>13245</v>
      </c>
      <c r="B2762" s="1">
        <v>200.0</v>
      </c>
      <c r="C2762" s="1" t="s">
        <v>9011</v>
      </c>
      <c r="D2762" s="1" t="s">
        <v>609</v>
      </c>
      <c r="E2762" s="1" t="s">
        <v>631</v>
      </c>
    </row>
    <row r="2763">
      <c r="A2763" s="2" t="s">
        <v>13246</v>
      </c>
      <c r="B2763" s="1">
        <v>200.0</v>
      </c>
      <c r="C2763" s="1" t="s">
        <v>9212</v>
      </c>
      <c r="D2763" s="1" t="s">
        <v>609</v>
      </c>
      <c r="E2763" s="1" t="s">
        <v>631</v>
      </c>
    </row>
    <row r="2764">
      <c r="A2764" s="2" t="s">
        <v>13247</v>
      </c>
      <c r="B2764" s="1">
        <v>200.0</v>
      </c>
      <c r="C2764" s="1" t="s">
        <v>9058</v>
      </c>
      <c r="D2764" s="1" t="s">
        <v>609</v>
      </c>
      <c r="E2764" s="1" t="s">
        <v>631</v>
      </c>
    </row>
    <row r="2765">
      <c r="A2765" s="2" t="s">
        <v>13248</v>
      </c>
      <c r="B2765" s="1">
        <v>200.0</v>
      </c>
      <c r="C2765" s="1" t="s">
        <v>9212</v>
      </c>
      <c r="D2765" s="1" t="s">
        <v>609</v>
      </c>
      <c r="E2765" s="1" t="s">
        <v>631</v>
      </c>
    </row>
    <row r="2766">
      <c r="A2766" s="2" t="s">
        <v>13249</v>
      </c>
      <c r="B2766" s="1">
        <v>200.0</v>
      </c>
      <c r="C2766" s="1" t="s">
        <v>9212</v>
      </c>
      <c r="D2766" s="1" t="s">
        <v>609</v>
      </c>
      <c r="E2766" s="1" t="s">
        <v>631</v>
      </c>
    </row>
    <row r="2767">
      <c r="A2767" s="2" t="s">
        <v>13250</v>
      </c>
      <c r="B2767" s="1">
        <v>200.0</v>
      </c>
      <c r="C2767" s="1" t="s">
        <v>9011</v>
      </c>
      <c r="D2767" s="1" t="s">
        <v>609</v>
      </c>
      <c r="E2767" s="1" t="s">
        <v>631</v>
      </c>
      <c r="F2767" s="1">
        <v>0.0</v>
      </c>
      <c r="G2767" s="1">
        <v>4.0</v>
      </c>
      <c r="H2767" s="1">
        <v>0.0</v>
      </c>
      <c r="I2767" s="1">
        <v>8.25</v>
      </c>
    </row>
    <row r="2768">
      <c r="A2768" s="2" t="s">
        <v>13251</v>
      </c>
      <c r="B2768" s="1">
        <v>200.0</v>
      </c>
      <c r="C2768" s="1" t="s">
        <v>9058</v>
      </c>
      <c r="D2768" s="1" t="s">
        <v>609</v>
      </c>
      <c r="E2768" s="1" t="s">
        <v>631</v>
      </c>
    </row>
    <row r="2769">
      <c r="A2769" s="2" t="s">
        <v>13252</v>
      </c>
      <c r="B2769" s="1">
        <v>200.0</v>
      </c>
      <c r="C2769" s="1" t="s">
        <v>9212</v>
      </c>
      <c r="D2769" s="1" t="s">
        <v>609</v>
      </c>
      <c r="E2769" s="1" t="s">
        <v>631</v>
      </c>
    </row>
    <row r="2770">
      <c r="A2770" s="2" t="s">
        <v>13253</v>
      </c>
      <c r="B2770" s="1">
        <v>200.0</v>
      </c>
      <c r="C2770" s="1" t="s">
        <v>9058</v>
      </c>
      <c r="D2770" s="1" t="s">
        <v>609</v>
      </c>
      <c r="E2770" s="1" t="s">
        <v>631</v>
      </c>
    </row>
    <row r="2771">
      <c r="A2771" s="2" t="s">
        <v>13254</v>
      </c>
      <c r="B2771" s="1">
        <v>200.0</v>
      </c>
      <c r="C2771" s="1" t="s">
        <v>9058</v>
      </c>
      <c r="D2771" s="1" t="s">
        <v>609</v>
      </c>
      <c r="E2771" s="1" t="s">
        <v>631</v>
      </c>
    </row>
    <row r="2772">
      <c r="A2772" s="2" t="s">
        <v>13255</v>
      </c>
      <c r="B2772" s="1">
        <v>200.0</v>
      </c>
      <c r="C2772" s="1" t="s">
        <v>9011</v>
      </c>
      <c r="D2772" s="1" t="s">
        <v>609</v>
      </c>
      <c r="E2772" s="1" t="s">
        <v>631</v>
      </c>
    </row>
    <row r="2773">
      <c r="A2773" s="2" t="s">
        <v>13256</v>
      </c>
      <c r="B2773" s="1">
        <v>200.0</v>
      </c>
      <c r="C2773" s="1" t="s">
        <v>9212</v>
      </c>
      <c r="D2773" s="1" t="s">
        <v>609</v>
      </c>
      <c r="E2773" s="1" t="s">
        <v>631</v>
      </c>
    </row>
    <row r="2774">
      <c r="A2774" s="2" t="s">
        <v>13257</v>
      </c>
      <c r="B2774" s="1">
        <v>200.0</v>
      </c>
      <c r="C2774" s="1" t="s">
        <v>9212</v>
      </c>
      <c r="D2774" s="1" t="s">
        <v>609</v>
      </c>
      <c r="E2774" s="1" t="s">
        <v>631</v>
      </c>
    </row>
    <row r="2775">
      <c r="A2775" s="2" t="s">
        <v>13258</v>
      </c>
      <c r="B2775" s="1">
        <v>200.0</v>
      </c>
      <c r="C2775" s="1" t="s">
        <v>9011</v>
      </c>
      <c r="D2775" s="1" t="s">
        <v>609</v>
      </c>
      <c r="E2775" s="1" t="s">
        <v>631</v>
      </c>
      <c r="F2775" s="1">
        <v>0.0</v>
      </c>
      <c r="G2775" s="1">
        <v>1.0</v>
      </c>
      <c r="H2775" s="1">
        <v>0.0</v>
      </c>
      <c r="I2775" s="1">
        <v>9.0</v>
      </c>
    </row>
    <row r="2776">
      <c r="A2776" s="2" t="s">
        <v>13259</v>
      </c>
      <c r="B2776" s="1">
        <v>200.0</v>
      </c>
      <c r="C2776" s="1" t="s">
        <v>9058</v>
      </c>
      <c r="D2776" s="1" t="s">
        <v>609</v>
      </c>
      <c r="E2776" s="1" t="s">
        <v>631</v>
      </c>
    </row>
    <row r="2777">
      <c r="A2777" s="2" t="s">
        <v>13260</v>
      </c>
      <c r="B2777" s="1">
        <v>200.0</v>
      </c>
      <c r="C2777" s="1" t="s">
        <v>9011</v>
      </c>
      <c r="D2777" s="1" t="s">
        <v>609</v>
      </c>
      <c r="E2777" s="1" t="s">
        <v>631</v>
      </c>
      <c r="F2777" s="1">
        <v>0.0</v>
      </c>
      <c r="G2777" s="1">
        <v>1.0</v>
      </c>
      <c r="H2777" s="1">
        <v>0.0</v>
      </c>
      <c r="I2777" s="1">
        <v>19.0</v>
      </c>
    </row>
    <row r="2778">
      <c r="A2778" s="2" t="s">
        <v>13261</v>
      </c>
      <c r="B2778" s="1">
        <v>200.0</v>
      </c>
      <c r="C2778" s="1" t="s">
        <v>9011</v>
      </c>
      <c r="D2778" s="1" t="s">
        <v>609</v>
      </c>
      <c r="E2778" s="1" t="s">
        <v>631</v>
      </c>
    </row>
    <row r="2779">
      <c r="A2779" s="2" t="s">
        <v>13262</v>
      </c>
      <c r="B2779" s="1">
        <v>200.0</v>
      </c>
      <c r="C2779" s="1" t="s">
        <v>9011</v>
      </c>
      <c r="D2779" s="1" t="s">
        <v>609</v>
      </c>
      <c r="E2779" s="1" t="s">
        <v>631</v>
      </c>
    </row>
    <row r="2780">
      <c r="A2780" s="2" t="s">
        <v>13263</v>
      </c>
      <c r="B2780" s="1">
        <v>200.0</v>
      </c>
      <c r="C2780" s="1" t="s">
        <v>9011</v>
      </c>
      <c r="D2780" s="1" t="s">
        <v>609</v>
      </c>
      <c r="E2780" s="1" t="s">
        <v>631</v>
      </c>
      <c r="F2780" s="1">
        <v>0.0</v>
      </c>
      <c r="G2780" s="1">
        <v>9.0</v>
      </c>
      <c r="H2780" s="1">
        <v>0.0</v>
      </c>
      <c r="I2780" s="1">
        <v>18.78</v>
      </c>
    </row>
    <row r="2781">
      <c r="A2781" s="2" t="s">
        <v>13264</v>
      </c>
      <c r="B2781" s="1">
        <v>200.0</v>
      </c>
      <c r="C2781" s="1" t="s">
        <v>9058</v>
      </c>
      <c r="D2781" s="1" t="s">
        <v>609</v>
      </c>
      <c r="E2781" s="1" t="s">
        <v>631</v>
      </c>
    </row>
    <row r="2782">
      <c r="A2782" s="2" t="s">
        <v>13265</v>
      </c>
      <c r="B2782" s="1">
        <v>200.0</v>
      </c>
      <c r="C2782" s="1" t="s">
        <v>9212</v>
      </c>
      <c r="D2782" s="1" t="s">
        <v>609</v>
      </c>
      <c r="E2782" s="1" t="s">
        <v>631</v>
      </c>
    </row>
    <row r="2783">
      <c r="A2783" s="2" t="s">
        <v>13266</v>
      </c>
      <c r="B2783" s="1">
        <v>200.0</v>
      </c>
      <c r="C2783" s="1" t="s">
        <v>9011</v>
      </c>
      <c r="D2783" s="1" t="s">
        <v>609</v>
      </c>
      <c r="E2783" s="1" t="s">
        <v>631</v>
      </c>
    </row>
    <row r="2784">
      <c r="A2784" s="2" t="s">
        <v>13267</v>
      </c>
      <c r="B2784" s="1">
        <v>200.0</v>
      </c>
      <c r="C2784" s="1" t="s">
        <v>9011</v>
      </c>
      <c r="D2784" s="1" t="s">
        <v>609</v>
      </c>
      <c r="E2784" s="1" t="s">
        <v>631</v>
      </c>
    </row>
    <row r="2785">
      <c r="A2785" s="2" t="s">
        <v>13268</v>
      </c>
      <c r="B2785" s="1">
        <v>200.0</v>
      </c>
      <c r="C2785" s="1" t="s">
        <v>9058</v>
      </c>
      <c r="D2785" s="1" t="s">
        <v>609</v>
      </c>
      <c r="E2785" s="1" t="s">
        <v>631</v>
      </c>
      <c r="F2785" s="1">
        <v>0.0</v>
      </c>
      <c r="G2785" s="1">
        <v>8.0</v>
      </c>
      <c r="H2785" s="1">
        <v>0.0</v>
      </c>
      <c r="I2785" s="1">
        <v>9.25</v>
      </c>
    </row>
    <row r="2786">
      <c r="A2786" s="2" t="s">
        <v>13269</v>
      </c>
      <c r="B2786" s="1">
        <v>200.0</v>
      </c>
      <c r="C2786" s="1" t="s">
        <v>9058</v>
      </c>
      <c r="D2786" s="1" t="s">
        <v>609</v>
      </c>
      <c r="E2786" s="1" t="s">
        <v>631</v>
      </c>
    </row>
    <row r="2787">
      <c r="A2787" s="2" t="s">
        <v>13270</v>
      </c>
      <c r="B2787" s="1">
        <v>200.0</v>
      </c>
      <c r="C2787" s="1" t="s">
        <v>9058</v>
      </c>
      <c r="D2787" s="1" t="s">
        <v>609</v>
      </c>
      <c r="E2787" s="1" t="s">
        <v>631</v>
      </c>
    </row>
    <row r="2788">
      <c r="A2788" s="2" t="s">
        <v>13271</v>
      </c>
      <c r="B2788" s="1">
        <v>200.0</v>
      </c>
      <c r="C2788" s="1" t="s">
        <v>9212</v>
      </c>
      <c r="D2788" s="1" t="s">
        <v>609</v>
      </c>
      <c r="E2788" s="1" t="s">
        <v>631</v>
      </c>
    </row>
    <row r="2789">
      <c r="A2789" s="2" t="s">
        <v>13272</v>
      </c>
      <c r="B2789" s="1">
        <v>200.0</v>
      </c>
      <c r="C2789" s="1" t="s">
        <v>9212</v>
      </c>
      <c r="D2789" s="1" t="s">
        <v>609</v>
      </c>
      <c r="E2789" s="1" t="s">
        <v>631</v>
      </c>
    </row>
    <row r="2790">
      <c r="A2790" s="2" t="s">
        <v>13273</v>
      </c>
      <c r="B2790" s="1">
        <v>200.0</v>
      </c>
      <c r="C2790" s="1" t="s">
        <v>9212</v>
      </c>
      <c r="D2790" s="1" t="s">
        <v>609</v>
      </c>
      <c r="E2790" s="1" t="s">
        <v>631</v>
      </c>
    </row>
    <row r="2791">
      <c r="A2791" s="2" t="s">
        <v>13274</v>
      </c>
      <c r="B2791" s="1">
        <v>200.0</v>
      </c>
      <c r="C2791" s="1" t="s">
        <v>9212</v>
      </c>
      <c r="D2791" s="1" t="s">
        <v>609</v>
      </c>
      <c r="E2791" s="1" t="s">
        <v>631</v>
      </c>
    </row>
    <row r="2792">
      <c r="A2792" s="2" t="s">
        <v>13275</v>
      </c>
      <c r="B2792" s="1">
        <v>200.0</v>
      </c>
      <c r="C2792" s="1" t="s">
        <v>9058</v>
      </c>
      <c r="D2792" s="1" t="s">
        <v>609</v>
      </c>
      <c r="E2792" s="1" t="s">
        <v>631</v>
      </c>
    </row>
    <row r="2793">
      <c r="A2793" s="2" t="s">
        <v>13276</v>
      </c>
      <c r="B2793" s="1">
        <v>200.0</v>
      </c>
      <c r="C2793" s="1" t="s">
        <v>9058</v>
      </c>
      <c r="D2793" s="1" t="s">
        <v>609</v>
      </c>
      <c r="E2793" s="1" t="s">
        <v>631</v>
      </c>
    </row>
    <row r="2794">
      <c r="A2794" s="2" t="s">
        <v>13277</v>
      </c>
      <c r="B2794" s="1">
        <v>200.0</v>
      </c>
      <c r="C2794" s="1" t="s">
        <v>9011</v>
      </c>
      <c r="D2794" s="1" t="s">
        <v>609</v>
      </c>
      <c r="E2794" s="1" t="s">
        <v>631</v>
      </c>
    </row>
    <row r="2795">
      <c r="A2795" s="2" t="s">
        <v>13278</v>
      </c>
      <c r="B2795" s="1">
        <v>200.0</v>
      </c>
      <c r="C2795" s="1" t="s">
        <v>9011</v>
      </c>
      <c r="D2795" s="1" t="s">
        <v>609</v>
      </c>
      <c r="E2795" s="1" t="s">
        <v>631</v>
      </c>
    </row>
    <row r="2796">
      <c r="A2796" s="2" t="s">
        <v>13279</v>
      </c>
      <c r="B2796" s="1">
        <v>200.0</v>
      </c>
      <c r="C2796" s="1" t="s">
        <v>9212</v>
      </c>
      <c r="D2796" s="1" t="s">
        <v>609</v>
      </c>
      <c r="E2796" s="1" t="s">
        <v>631</v>
      </c>
      <c r="F2796" s="1">
        <v>0.0</v>
      </c>
      <c r="G2796" s="1">
        <v>1.0</v>
      </c>
      <c r="H2796" s="1">
        <v>0.0</v>
      </c>
      <c r="I2796" s="1">
        <v>10.0</v>
      </c>
    </row>
    <row r="2797">
      <c r="A2797" s="2" t="s">
        <v>13280</v>
      </c>
      <c r="B2797" s="1">
        <v>200.0</v>
      </c>
      <c r="C2797" s="1" t="s">
        <v>9212</v>
      </c>
      <c r="D2797" s="1" t="s">
        <v>609</v>
      </c>
      <c r="E2797" s="1" t="s">
        <v>631</v>
      </c>
    </row>
    <row r="2798">
      <c r="A2798" s="2" t="s">
        <v>13281</v>
      </c>
      <c r="B2798" s="1">
        <v>200.0</v>
      </c>
      <c r="C2798" s="1" t="s">
        <v>9058</v>
      </c>
      <c r="D2798" s="1" t="s">
        <v>609</v>
      </c>
      <c r="E2798" s="1" t="s">
        <v>631</v>
      </c>
    </row>
    <row r="2799">
      <c r="A2799" s="2" t="s">
        <v>13282</v>
      </c>
      <c r="B2799" s="1">
        <v>200.0</v>
      </c>
      <c r="C2799" s="1" t="s">
        <v>9011</v>
      </c>
      <c r="D2799" s="1" t="s">
        <v>609</v>
      </c>
      <c r="E2799" s="1" t="s">
        <v>631</v>
      </c>
    </row>
    <row r="2800">
      <c r="A2800" s="2" t="s">
        <v>13283</v>
      </c>
      <c r="B2800" s="1">
        <v>200.0</v>
      </c>
      <c r="C2800" s="1" t="s">
        <v>9011</v>
      </c>
      <c r="D2800" s="1" t="s">
        <v>609</v>
      </c>
      <c r="E2800" s="1" t="s">
        <v>631</v>
      </c>
    </row>
    <row r="2801">
      <c r="A2801" s="2" t="s">
        <v>13284</v>
      </c>
      <c r="B2801" s="1">
        <v>200.0</v>
      </c>
      <c r="C2801" s="1" t="s">
        <v>9212</v>
      </c>
      <c r="D2801" s="1" t="s">
        <v>609</v>
      </c>
      <c r="E2801" s="1" t="s">
        <v>631</v>
      </c>
    </row>
    <row r="2802">
      <c r="A2802" s="2" t="s">
        <v>13285</v>
      </c>
      <c r="B2802" s="1">
        <v>200.0</v>
      </c>
      <c r="C2802" s="1" t="s">
        <v>9212</v>
      </c>
      <c r="D2802" s="1" t="s">
        <v>609</v>
      </c>
      <c r="E2802" s="1" t="s">
        <v>631</v>
      </c>
    </row>
    <row r="2803">
      <c r="A2803" s="2" t="s">
        <v>13286</v>
      </c>
      <c r="B2803" s="1">
        <v>200.0</v>
      </c>
      <c r="C2803" s="1" t="s">
        <v>9011</v>
      </c>
      <c r="D2803" s="1" t="s">
        <v>609</v>
      </c>
      <c r="E2803" s="1" t="s">
        <v>631</v>
      </c>
      <c r="F2803" s="1">
        <v>0.0</v>
      </c>
      <c r="G2803" s="1">
        <v>69.0</v>
      </c>
      <c r="H2803" s="1">
        <v>0.0</v>
      </c>
      <c r="I2803" s="1">
        <v>8.55</v>
      </c>
    </row>
    <row r="2804">
      <c r="A2804" s="2" t="s">
        <v>13287</v>
      </c>
      <c r="B2804" s="1">
        <v>200.0</v>
      </c>
      <c r="C2804" s="1" t="s">
        <v>9058</v>
      </c>
      <c r="D2804" s="1" t="s">
        <v>609</v>
      </c>
      <c r="E2804" s="1" t="s">
        <v>631</v>
      </c>
    </row>
    <row r="2805">
      <c r="A2805" s="2" t="s">
        <v>13288</v>
      </c>
      <c r="B2805" s="1">
        <v>200.0</v>
      </c>
      <c r="C2805" s="1" t="s">
        <v>9011</v>
      </c>
      <c r="D2805" s="1" t="s">
        <v>609</v>
      </c>
      <c r="E2805" s="1" t="s">
        <v>631</v>
      </c>
      <c r="F2805" s="1">
        <v>0.0</v>
      </c>
      <c r="G2805" s="1">
        <v>11.0</v>
      </c>
      <c r="H2805" s="1">
        <v>0.0</v>
      </c>
      <c r="I2805" s="1">
        <v>11.45</v>
      </c>
    </row>
    <row r="2806">
      <c r="A2806" s="2" t="s">
        <v>13289</v>
      </c>
      <c r="B2806" s="1">
        <v>200.0</v>
      </c>
      <c r="C2806" s="1" t="s">
        <v>9058</v>
      </c>
      <c r="D2806" s="1" t="s">
        <v>609</v>
      </c>
      <c r="E2806" s="1" t="s">
        <v>631</v>
      </c>
    </row>
    <row r="2807">
      <c r="A2807" s="2" t="s">
        <v>13290</v>
      </c>
      <c r="B2807" s="1">
        <v>200.0</v>
      </c>
      <c r="C2807" s="1" t="s">
        <v>9212</v>
      </c>
      <c r="D2807" s="1" t="s">
        <v>609</v>
      </c>
      <c r="E2807" s="1" t="s">
        <v>631</v>
      </c>
    </row>
    <row r="2808">
      <c r="A2808" s="2" t="s">
        <v>13291</v>
      </c>
      <c r="B2808" s="1">
        <v>200.0</v>
      </c>
      <c r="C2808" s="1" t="s">
        <v>9058</v>
      </c>
      <c r="D2808" s="1" t="s">
        <v>609</v>
      </c>
      <c r="E2808" s="1" t="s">
        <v>631</v>
      </c>
    </row>
    <row r="2809">
      <c r="A2809" s="2" t="s">
        <v>13292</v>
      </c>
      <c r="B2809" s="1">
        <v>200.0</v>
      </c>
      <c r="C2809" s="1" t="s">
        <v>9058</v>
      </c>
      <c r="D2809" s="1" t="s">
        <v>609</v>
      </c>
      <c r="E2809" s="1" t="s">
        <v>631</v>
      </c>
    </row>
    <row r="2810">
      <c r="A2810" s="2" t="s">
        <v>13293</v>
      </c>
      <c r="B2810" s="1">
        <v>200.0</v>
      </c>
      <c r="C2810" s="1" t="s">
        <v>9011</v>
      </c>
      <c r="D2810" s="1" t="s">
        <v>609</v>
      </c>
      <c r="E2810" s="1" t="s">
        <v>631</v>
      </c>
    </row>
    <row r="2811">
      <c r="A2811" s="2" t="s">
        <v>13294</v>
      </c>
      <c r="B2811" s="1">
        <v>200.0</v>
      </c>
      <c r="C2811" s="1" t="s">
        <v>9011</v>
      </c>
      <c r="D2811" s="1" t="s">
        <v>609</v>
      </c>
      <c r="E2811" s="1" t="s">
        <v>631</v>
      </c>
    </row>
    <row r="2812">
      <c r="A2812" s="2" t="s">
        <v>13295</v>
      </c>
      <c r="B2812" s="1">
        <v>200.0</v>
      </c>
      <c r="C2812" s="1" t="s">
        <v>9058</v>
      </c>
      <c r="D2812" s="1" t="s">
        <v>609</v>
      </c>
      <c r="E2812" s="1" t="s">
        <v>631</v>
      </c>
    </row>
    <row r="2813">
      <c r="A2813" s="2" t="s">
        <v>13296</v>
      </c>
      <c r="B2813" s="1">
        <v>200.0</v>
      </c>
      <c r="C2813" s="1" t="s">
        <v>9058</v>
      </c>
      <c r="D2813" s="1" t="s">
        <v>609</v>
      </c>
      <c r="E2813" s="1" t="s">
        <v>631</v>
      </c>
    </row>
    <row r="2814">
      <c r="A2814" s="2" t="s">
        <v>13297</v>
      </c>
      <c r="B2814" s="1">
        <v>200.0</v>
      </c>
      <c r="C2814" s="1" t="s">
        <v>9212</v>
      </c>
      <c r="D2814" s="1" t="s">
        <v>609</v>
      </c>
      <c r="E2814" s="1" t="s">
        <v>631</v>
      </c>
      <c r="F2814" s="1">
        <v>0.0</v>
      </c>
      <c r="G2814" s="1">
        <v>2.0</v>
      </c>
      <c r="H2814" s="1">
        <v>0.0</v>
      </c>
      <c r="I2814" s="1">
        <v>28.5</v>
      </c>
    </row>
    <row r="2815">
      <c r="A2815" s="2" t="s">
        <v>13298</v>
      </c>
      <c r="B2815" s="1">
        <v>200.0</v>
      </c>
      <c r="C2815" s="1" t="s">
        <v>9058</v>
      </c>
      <c r="D2815" s="1" t="s">
        <v>609</v>
      </c>
      <c r="E2815" s="1" t="s">
        <v>631</v>
      </c>
    </row>
    <row r="2816">
      <c r="A2816" s="2" t="s">
        <v>13299</v>
      </c>
      <c r="B2816" s="1">
        <v>200.0</v>
      </c>
      <c r="C2816" s="1" t="s">
        <v>9058</v>
      </c>
      <c r="D2816" s="1" t="s">
        <v>609</v>
      </c>
      <c r="E2816" s="1" t="s">
        <v>631</v>
      </c>
    </row>
    <row r="2817">
      <c r="A2817" s="2" t="s">
        <v>13300</v>
      </c>
      <c r="B2817" s="1">
        <v>200.0</v>
      </c>
      <c r="C2817" s="1" t="s">
        <v>9011</v>
      </c>
      <c r="D2817" s="1" t="s">
        <v>609</v>
      </c>
      <c r="E2817" s="1" t="s">
        <v>631</v>
      </c>
    </row>
    <row r="2818">
      <c r="A2818" s="2" t="s">
        <v>13301</v>
      </c>
      <c r="B2818" s="1">
        <v>200.0</v>
      </c>
      <c r="C2818" s="1" t="s">
        <v>9058</v>
      </c>
      <c r="D2818" s="1" t="s">
        <v>609</v>
      </c>
      <c r="E2818" s="1" t="s">
        <v>631</v>
      </c>
    </row>
    <row r="2819">
      <c r="A2819" s="2" t="s">
        <v>13302</v>
      </c>
      <c r="B2819" s="1">
        <v>200.0</v>
      </c>
      <c r="C2819" s="1" t="s">
        <v>9011</v>
      </c>
      <c r="D2819" s="1" t="s">
        <v>609</v>
      </c>
      <c r="E2819" s="1" t="s">
        <v>631</v>
      </c>
    </row>
    <row r="2820">
      <c r="A2820" s="2" t="s">
        <v>13303</v>
      </c>
      <c r="B2820" s="1">
        <v>200.0</v>
      </c>
      <c r="C2820" s="1" t="s">
        <v>9058</v>
      </c>
      <c r="D2820" s="1" t="s">
        <v>609</v>
      </c>
      <c r="E2820" s="1" t="s">
        <v>631</v>
      </c>
    </row>
    <row r="2821">
      <c r="A2821" s="2" t="s">
        <v>13304</v>
      </c>
      <c r="B2821" s="1">
        <v>200.0</v>
      </c>
      <c r="C2821" s="1" t="s">
        <v>9212</v>
      </c>
      <c r="D2821" s="1" t="s">
        <v>609</v>
      </c>
      <c r="E2821" s="1" t="s">
        <v>631</v>
      </c>
    </row>
    <row r="2822">
      <c r="A2822" s="2" t="s">
        <v>13305</v>
      </c>
      <c r="B2822" s="1">
        <v>200.0</v>
      </c>
      <c r="C2822" s="1" t="s">
        <v>9212</v>
      </c>
      <c r="D2822" s="1" t="s">
        <v>609</v>
      </c>
      <c r="E2822" s="1" t="s">
        <v>631</v>
      </c>
    </row>
    <row r="2823">
      <c r="A2823" s="2" t="s">
        <v>13306</v>
      </c>
      <c r="B2823" s="1">
        <v>200.0</v>
      </c>
      <c r="C2823" s="1" t="s">
        <v>9011</v>
      </c>
      <c r="D2823" s="1" t="s">
        <v>609</v>
      </c>
      <c r="E2823" s="1" t="s">
        <v>631</v>
      </c>
      <c r="F2823" s="1">
        <v>0.0</v>
      </c>
      <c r="G2823" s="1">
        <v>11.0</v>
      </c>
      <c r="H2823" s="1">
        <v>0.0</v>
      </c>
      <c r="I2823" s="1">
        <v>1.91</v>
      </c>
    </row>
    <row r="2824">
      <c r="A2824" s="2" t="s">
        <v>13307</v>
      </c>
      <c r="B2824" s="1">
        <v>200.0</v>
      </c>
      <c r="C2824" s="1" t="s">
        <v>9011</v>
      </c>
      <c r="D2824" s="1" t="s">
        <v>609</v>
      </c>
      <c r="E2824" s="1" t="s">
        <v>631</v>
      </c>
    </row>
    <row r="2825">
      <c r="A2825" s="2" t="s">
        <v>13308</v>
      </c>
      <c r="B2825" s="1">
        <v>200.0</v>
      </c>
      <c r="C2825" s="1" t="s">
        <v>9212</v>
      </c>
      <c r="D2825" s="1" t="s">
        <v>609</v>
      </c>
      <c r="E2825" s="1" t="s">
        <v>631</v>
      </c>
    </row>
    <row r="2826">
      <c r="A2826" s="2" t="s">
        <v>13309</v>
      </c>
      <c r="B2826" s="1">
        <v>200.0</v>
      </c>
      <c r="C2826" s="1" t="s">
        <v>9212</v>
      </c>
      <c r="D2826" s="1" t="s">
        <v>609</v>
      </c>
      <c r="E2826" s="1" t="s">
        <v>631</v>
      </c>
    </row>
    <row r="2827">
      <c r="A2827" s="2" t="s">
        <v>13310</v>
      </c>
      <c r="B2827" s="1">
        <v>200.0</v>
      </c>
      <c r="C2827" s="1" t="s">
        <v>9011</v>
      </c>
      <c r="D2827" s="1" t="s">
        <v>609</v>
      </c>
      <c r="E2827" s="1" t="s">
        <v>631</v>
      </c>
    </row>
    <row r="2828">
      <c r="A2828" s="2" t="s">
        <v>13311</v>
      </c>
      <c r="B2828" s="1">
        <v>200.0</v>
      </c>
      <c r="C2828" s="1" t="s">
        <v>9212</v>
      </c>
      <c r="D2828" s="1" t="s">
        <v>609</v>
      </c>
      <c r="E2828" s="1" t="s">
        <v>631</v>
      </c>
    </row>
    <row r="2829">
      <c r="A2829" s="2" t="s">
        <v>13312</v>
      </c>
      <c r="B2829" s="1">
        <v>200.0</v>
      </c>
      <c r="C2829" s="1" t="s">
        <v>9212</v>
      </c>
      <c r="D2829" s="1" t="s">
        <v>609</v>
      </c>
      <c r="E2829" s="1" t="s">
        <v>631</v>
      </c>
    </row>
    <row r="2830">
      <c r="A2830" s="2" t="s">
        <v>13313</v>
      </c>
      <c r="B2830" s="1">
        <v>200.0</v>
      </c>
      <c r="C2830" s="1" t="s">
        <v>9011</v>
      </c>
      <c r="D2830" s="1" t="s">
        <v>609</v>
      </c>
      <c r="E2830" s="1" t="s">
        <v>631</v>
      </c>
    </row>
    <row r="2831">
      <c r="A2831" s="2" t="s">
        <v>13314</v>
      </c>
      <c r="B2831" s="1">
        <v>200.0</v>
      </c>
      <c r="C2831" s="1" t="s">
        <v>9212</v>
      </c>
      <c r="D2831" s="1" t="s">
        <v>609</v>
      </c>
      <c r="E2831" s="1" t="s">
        <v>631</v>
      </c>
    </row>
    <row r="2832">
      <c r="A2832" s="2" t="s">
        <v>13315</v>
      </c>
      <c r="B2832" s="1">
        <v>200.0</v>
      </c>
      <c r="C2832" s="1" t="s">
        <v>9212</v>
      </c>
      <c r="D2832" s="1" t="s">
        <v>609</v>
      </c>
      <c r="E2832" s="1" t="s">
        <v>631</v>
      </c>
      <c r="F2832" s="1">
        <v>0.0</v>
      </c>
      <c r="G2832" s="1">
        <v>13.0</v>
      </c>
      <c r="H2832" s="1">
        <v>0.0</v>
      </c>
      <c r="I2832" s="1">
        <v>5.46</v>
      </c>
    </row>
    <row r="2833">
      <c r="A2833" s="2" t="s">
        <v>13316</v>
      </c>
      <c r="B2833" s="1">
        <v>200.0</v>
      </c>
      <c r="C2833" s="1" t="s">
        <v>9058</v>
      </c>
      <c r="D2833" s="1" t="s">
        <v>609</v>
      </c>
      <c r="E2833" s="1" t="s">
        <v>631</v>
      </c>
    </row>
    <row r="2834">
      <c r="A2834" s="2" t="s">
        <v>13317</v>
      </c>
      <c r="B2834" s="1">
        <v>200.0</v>
      </c>
      <c r="C2834" s="1" t="s">
        <v>9058</v>
      </c>
      <c r="D2834" s="1" t="s">
        <v>609</v>
      </c>
      <c r="E2834" s="1" t="s">
        <v>631</v>
      </c>
    </row>
    <row r="2835">
      <c r="A2835" s="2" t="s">
        <v>13318</v>
      </c>
      <c r="B2835" s="1">
        <v>200.0</v>
      </c>
      <c r="C2835" s="1" t="s">
        <v>9011</v>
      </c>
      <c r="D2835" s="1" t="s">
        <v>609</v>
      </c>
      <c r="E2835" s="1" t="s">
        <v>631</v>
      </c>
    </row>
    <row r="2836">
      <c r="A2836" s="2" t="s">
        <v>13319</v>
      </c>
      <c r="B2836" s="1">
        <v>200.0</v>
      </c>
      <c r="C2836" s="1" t="s">
        <v>9058</v>
      </c>
      <c r="D2836" s="1" t="s">
        <v>609</v>
      </c>
      <c r="E2836" s="1" t="s">
        <v>631</v>
      </c>
    </row>
    <row r="2837">
      <c r="A2837" s="2" t="s">
        <v>13320</v>
      </c>
      <c r="B2837" s="1">
        <v>200.0</v>
      </c>
      <c r="C2837" s="1" t="s">
        <v>9011</v>
      </c>
      <c r="D2837" s="1" t="s">
        <v>609</v>
      </c>
      <c r="E2837" s="1" t="s">
        <v>631</v>
      </c>
    </row>
    <row r="2838">
      <c r="A2838" s="2" t="s">
        <v>13321</v>
      </c>
      <c r="B2838" s="1">
        <v>200.0</v>
      </c>
      <c r="C2838" s="1" t="s">
        <v>9058</v>
      </c>
      <c r="D2838" s="1" t="s">
        <v>609</v>
      </c>
      <c r="E2838" s="1" t="s">
        <v>631</v>
      </c>
    </row>
    <row r="2839">
      <c r="A2839" s="2" t="s">
        <v>13322</v>
      </c>
      <c r="B2839" s="1">
        <v>200.0</v>
      </c>
      <c r="C2839" s="1" t="s">
        <v>9011</v>
      </c>
      <c r="D2839" s="1" t="s">
        <v>609</v>
      </c>
      <c r="E2839" s="1" t="s">
        <v>631</v>
      </c>
    </row>
    <row r="2840">
      <c r="A2840" s="2" t="s">
        <v>13323</v>
      </c>
      <c r="B2840" s="1">
        <v>200.0</v>
      </c>
      <c r="C2840" s="1" t="s">
        <v>9058</v>
      </c>
      <c r="D2840" s="1" t="s">
        <v>609</v>
      </c>
      <c r="E2840" s="1" t="s">
        <v>631</v>
      </c>
    </row>
    <row r="2841">
      <c r="A2841" s="2" t="s">
        <v>13324</v>
      </c>
      <c r="B2841" s="1">
        <v>200.0</v>
      </c>
      <c r="C2841" s="1" t="s">
        <v>9058</v>
      </c>
      <c r="D2841" s="1" t="s">
        <v>609</v>
      </c>
      <c r="E2841" s="1" t="s">
        <v>631</v>
      </c>
    </row>
    <row r="2842">
      <c r="A2842" s="2" t="s">
        <v>13325</v>
      </c>
      <c r="B2842" s="1">
        <v>200.0</v>
      </c>
      <c r="C2842" s="1" t="s">
        <v>9011</v>
      </c>
      <c r="D2842" s="1" t="s">
        <v>609</v>
      </c>
      <c r="E2842" s="1" t="s">
        <v>631</v>
      </c>
    </row>
    <row r="2843">
      <c r="A2843" s="2" t="s">
        <v>13326</v>
      </c>
      <c r="B2843" s="1">
        <v>200.0</v>
      </c>
      <c r="C2843" s="1" t="s">
        <v>9058</v>
      </c>
      <c r="D2843" s="1" t="s">
        <v>609</v>
      </c>
      <c r="E2843" s="1" t="s">
        <v>631</v>
      </c>
    </row>
    <row r="2844">
      <c r="A2844" s="2" t="s">
        <v>13327</v>
      </c>
      <c r="B2844" s="1">
        <v>200.0</v>
      </c>
      <c r="C2844" s="1" t="s">
        <v>9058</v>
      </c>
      <c r="D2844" s="1" t="s">
        <v>609</v>
      </c>
      <c r="E2844" s="1" t="s">
        <v>631</v>
      </c>
    </row>
    <row r="2845">
      <c r="A2845" s="2" t="s">
        <v>13328</v>
      </c>
      <c r="B2845" s="1">
        <v>200.0</v>
      </c>
      <c r="C2845" s="1" t="s">
        <v>9212</v>
      </c>
      <c r="D2845" s="1" t="s">
        <v>609</v>
      </c>
      <c r="E2845" s="1" t="s">
        <v>631</v>
      </c>
      <c r="F2845" s="1">
        <v>1.0</v>
      </c>
      <c r="G2845" s="1">
        <v>7.0</v>
      </c>
      <c r="H2845" s="1">
        <v>0.143</v>
      </c>
      <c r="I2845" s="1">
        <v>16.29</v>
      </c>
    </row>
    <row r="2846">
      <c r="A2846" s="2" t="s">
        <v>13329</v>
      </c>
      <c r="B2846" s="1">
        <v>200.0</v>
      </c>
      <c r="C2846" s="1" t="s">
        <v>9011</v>
      </c>
      <c r="D2846" s="1" t="s">
        <v>609</v>
      </c>
      <c r="E2846" s="1" t="s">
        <v>631</v>
      </c>
    </row>
    <row r="2847">
      <c r="A2847" s="2" t="s">
        <v>13330</v>
      </c>
      <c r="B2847" s="1">
        <v>200.0</v>
      </c>
      <c r="C2847" s="1" t="s">
        <v>9212</v>
      </c>
      <c r="D2847" s="1" t="s">
        <v>609</v>
      </c>
      <c r="E2847" s="1" t="s">
        <v>631</v>
      </c>
    </row>
    <row r="2848">
      <c r="A2848" s="2" t="s">
        <v>13331</v>
      </c>
      <c r="B2848" s="1">
        <v>200.0</v>
      </c>
      <c r="C2848" s="1" t="s">
        <v>9212</v>
      </c>
      <c r="D2848" s="1" t="s">
        <v>609</v>
      </c>
      <c r="E2848" s="1" t="s">
        <v>631</v>
      </c>
    </row>
    <row r="2849">
      <c r="A2849" s="2" t="s">
        <v>13332</v>
      </c>
      <c r="B2849" s="1">
        <v>200.0</v>
      </c>
      <c r="C2849" s="1" t="s">
        <v>9011</v>
      </c>
      <c r="D2849" s="1" t="s">
        <v>609</v>
      </c>
      <c r="E2849" s="1" t="s">
        <v>631</v>
      </c>
    </row>
    <row r="2850">
      <c r="A2850" s="2" t="s">
        <v>13333</v>
      </c>
      <c r="B2850" s="1">
        <v>200.0</v>
      </c>
      <c r="C2850" s="1" t="s">
        <v>9212</v>
      </c>
      <c r="D2850" s="1" t="s">
        <v>609</v>
      </c>
      <c r="E2850" s="1" t="s">
        <v>631</v>
      </c>
    </row>
    <row r="2851">
      <c r="A2851" s="2" t="s">
        <v>13334</v>
      </c>
      <c r="B2851" s="1">
        <v>200.0</v>
      </c>
      <c r="C2851" s="1" t="s">
        <v>9212</v>
      </c>
      <c r="D2851" s="1" t="s">
        <v>609</v>
      </c>
      <c r="E2851" s="1" t="s">
        <v>631</v>
      </c>
    </row>
    <row r="2852">
      <c r="A2852" s="2" t="s">
        <v>13335</v>
      </c>
      <c r="B2852" s="1">
        <v>200.0</v>
      </c>
      <c r="C2852" s="1" t="s">
        <v>9212</v>
      </c>
      <c r="D2852" s="1" t="s">
        <v>609</v>
      </c>
      <c r="E2852" s="1" t="s">
        <v>631</v>
      </c>
    </row>
    <row r="2853">
      <c r="A2853" s="2" t="s">
        <v>13336</v>
      </c>
      <c r="B2853" s="1">
        <v>200.0</v>
      </c>
      <c r="C2853" s="1" t="s">
        <v>9011</v>
      </c>
      <c r="D2853" s="1" t="s">
        <v>609</v>
      </c>
      <c r="E2853" s="1" t="s">
        <v>631</v>
      </c>
    </row>
    <row r="2854">
      <c r="A2854" s="2" t="s">
        <v>13337</v>
      </c>
      <c r="B2854" s="1">
        <v>200.0</v>
      </c>
      <c r="C2854" s="1" t="s">
        <v>9011</v>
      </c>
      <c r="D2854" s="1" t="s">
        <v>609</v>
      </c>
      <c r="E2854" s="1" t="s">
        <v>631</v>
      </c>
    </row>
    <row r="2855">
      <c r="A2855" s="2" t="s">
        <v>13338</v>
      </c>
      <c r="B2855" s="1">
        <v>200.0</v>
      </c>
      <c r="C2855" s="1" t="s">
        <v>9212</v>
      </c>
      <c r="D2855" s="1" t="s">
        <v>609</v>
      </c>
      <c r="E2855" s="1" t="s">
        <v>631</v>
      </c>
    </row>
    <row r="2856">
      <c r="A2856" s="2" t="s">
        <v>13339</v>
      </c>
      <c r="B2856" s="1">
        <v>200.0</v>
      </c>
      <c r="C2856" s="1" t="s">
        <v>9212</v>
      </c>
      <c r="D2856" s="1" t="s">
        <v>609</v>
      </c>
      <c r="E2856" s="1" t="s">
        <v>631</v>
      </c>
    </row>
    <row r="2857">
      <c r="A2857" s="2" t="s">
        <v>13340</v>
      </c>
      <c r="B2857" s="1">
        <v>200.0</v>
      </c>
      <c r="C2857" s="1" t="s">
        <v>9058</v>
      </c>
      <c r="D2857" s="1" t="s">
        <v>609</v>
      </c>
      <c r="E2857" s="1" t="s">
        <v>631</v>
      </c>
    </row>
    <row r="2858">
      <c r="A2858" s="2" t="s">
        <v>13341</v>
      </c>
      <c r="B2858" s="1">
        <v>200.0</v>
      </c>
      <c r="C2858" s="1" t="s">
        <v>9058</v>
      </c>
      <c r="D2858" s="1" t="s">
        <v>609</v>
      </c>
      <c r="E2858" s="1" t="s">
        <v>631</v>
      </c>
    </row>
    <row r="2859">
      <c r="A2859" s="2" t="s">
        <v>13342</v>
      </c>
      <c r="B2859" s="1">
        <v>200.0</v>
      </c>
      <c r="C2859" s="1" t="s">
        <v>9011</v>
      </c>
      <c r="D2859" s="1" t="s">
        <v>609</v>
      </c>
      <c r="E2859" s="1" t="s">
        <v>631</v>
      </c>
    </row>
    <row r="2860">
      <c r="A2860" s="2" t="s">
        <v>13343</v>
      </c>
      <c r="B2860" s="1">
        <v>200.0</v>
      </c>
      <c r="C2860" s="1" t="s">
        <v>9011</v>
      </c>
      <c r="D2860" s="1" t="s">
        <v>609</v>
      </c>
      <c r="E2860" s="1" t="s">
        <v>631</v>
      </c>
      <c r="F2860" s="1">
        <v>0.0</v>
      </c>
      <c r="G2860" s="1">
        <v>3.0</v>
      </c>
      <c r="H2860" s="1">
        <v>0.0</v>
      </c>
      <c r="I2860" s="1">
        <v>12.0</v>
      </c>
    </row>
    <row r="2861">
      <c r="A2861" s="2" t="s">
        <v>13344</v>
      </c>
      <c r="B2861" s="1">
        <v>200.0</v>
      </c>
      <c r="C2861" s="1" t="s">
        <v>9212</v>
      </c>
      <c r="D2861" s="1" t="s">
        <v>609</v>
      </c>
      <c r="E2861" s="1" t="s">
        <v>631</v>
      </c>
    </row>
    <row r="2862">
      <c r="A2862" s="2" t="s">
        <v>13345</v>
      </c>
      <c r="B2862" s="1">
        <v>200.0</v>
      </c>
      <c r="C2862" s="1" t="s">
        <v>9011</v>
      </c>
      <c r="D2862" s="1" t="s">
        <v>609</v>
      </c>
      <c r="E2862" s="1" t="s">
        <v>631</v>
      </c>
    </row>
    <row r="2863">
      <c r="A2863" s="2" t="s">
        <v>13346</v>
      </c>
      <c r="B2863" s="1">
        <v>200.0</v>
      </c>
      <c r="C2863" s="1" t="s">
        <v>9212</v>
      </c>
      <c r="D2863" s="1" t="s">
        <v>609</v>
      </c>
      <c r="E2863" s="1" t="s">
        <v>631</v>
      </c>
    </row>
    <row r="2864">
      <c r="A2864" s="2" t="s">
        <v>13347</v>
      </c>
      <c r="B2864" s="1">
        <v>200.0</v>
      </c>
      <c r="C2864" s="1" t="s">
        <v>9058</v>
      </c>
      <c r="D2864" s="1" t="s">
        <v>609</v>
      </c>
      <c r="E2864" s="1" t="s">
        <v>631</v>
      </c>
    </row>
    <row r="2865">
      <c r="A2865" s="2" t="s">
        <v>13348</v>
      </c>
      <c r="B2865" s="1">
        <v>200.0</v>
      </c>
      <c r="C2865" s="1" t="s">
        <v>9011</v>
      </c>
      <c r="D2865" s="1" t="s">
        <v>609</v>
      </c>
      <c r="E2865" s="1" t="s">
        <v>631</v>
      </c>
      <c r="F2865" s="1">
        <v>0.0</v>
      </c>
      <c r="G2865" s="1">
        <v>6.0</v>
      </c>
      <c r="H2865" s="1">
        <v>0.0</v>
      </c>
      <c r="I2865" s="1">
        <v>4.67</v>
      </c>
    </row>
    <row r="2866">
      <c r="A2866" s="2" t="s">
        <v>13349</v>
      </c>
      <c r="B2866" s="1">
        <v>200.0</v>
      </c>
      <c r="C2866" s="1" t="s">
        <v>9058</v>
      </c>
      <c r="D2866" s="1" t="s">
        <v>609</v>
      </c>
      <c r="E2866" s="1" t="s">
        <v>631</v>
      </c>
    </row>
    <row r="2867">
      <c r="A2867" s="2" t="s">
        <v>13350</v>
      </c>
      <c r="B2867" s="1">
        <v>200.0</v>
      </c>
      <c r="C2867" s="1" t="s">
        <v>9058</v>
      </c>
      <c r="D2867" s="1" t="s">
        <v>609</v>
      </c>
      <c r="E2867" s="1" t="s">
        <v>631</v>
      </c>
      <c r="F2867" s="1">
        <v>0.0</v>
      </c>
      <c r="G2867" s="1">
        <v>5.0</v>
      </c>
      <c r="H2867" s="1">
        <v>0.0</v>
      </c>
      <c r="I2867" s="1">
        <v>25.6</v>
      </c>
    </row>
    <row r="2868">
      <c r="A2868" s="2" t="s">
        <v>13351</v>
      </c>
      <c r="B2868" s="1">
        <v>200.0</v>
      </c>
      <c r="C2868" s="1" t="s">
        <v>9212</v>
      </c>
      <c r="D2868" s="1" t="s">
        <v>609</v>
      </c>
      <c r="E2868" s="1" t="s">
        <v>631</v>
      </c>
    </row>
    <row r="2869">
      <c r="A2869" s="2" t="s">
        <v>13352</v>
      </c>
      <c r="B2869" s="1">
        <v>200.0</v>
      </c>
      <c r="C2869" s="1" t="s">
        <v>9212</v>
      </c>
      <c r="D2869" s="1" t="s">
        <v>609</v>
      </c>
      <c r="E2869" s="1" t="s">
        <v>631</v>
      </c>
    </row>
    <row r="2870">
      <c r="A2870" s="2" t="s">
        <v>13353</v>
      </c>
      <c r="B2870" s="1">
        <v>200.0</v>
      </c>
      <c r="C2870" s="1" t="s">
        <v>9212</v>
      </c>
      <c r="D2870" s="1" t="s">
        <v>609</v>
      </c>
      <c r="E2870" s="1" t="s">
        <v>631</v>
      </c>
    </row>
    <row r="2871">
      <c r="A2871" s="2" t="s">
        <v>13354</v>
      </c>
      <c r="B2871" s="1">
        <v>200.0</v>
      </c>
      <c r="C2871" s="1" t="s">
        <v>9011</v>
      </c>
      <c r="D2871" s="1" t="s">
        <v>609</v>
      </c>
      <c r="E2871" s="1" t="s">
        <v>631</v>
      </c>
      <c r="F2871" s="1">
        <v>0.0</v>
      </c>
      <c r="G2871" s="1">
        <v>22.0</v>
      </c>
      <c r="H2871" s="1">
        <v>0.0</v>
      </c>
      <c r="I2871" s="1">
        <v>7.64</v>
      </c>
    </row>
    <row r="2872">
      <c r="A2872" s="2" t="s">
        <v>13355</v>
      </c>
      <c r="B2872" s="1">
        <v>200.0</v>
      </c>
      <c r="C2872" s="1" t="s">
        <v>9011</v>
      </c>
      <c r="D2872" s="1" t="s">
        <v>609</v>
      </c>
      <c r="E2872" s="1" t="s">
        <v>631</v>
      </c>
    </row>
    <row r="2873">
      <c r="A2873" s="2" t="s">
        <v>13356</v>
      </c>
      <c r="B2873" s="1">
        <v>200.0</v>
      </c>
      <c r="C2873" s="1" t="s">
        <v>9011</v>
      </c>
      <c r="D2873" s="1" t="s">
        <v>609</v>
      </c>
      <c r="E2873" s="1" t="s">
        <v>631</v>
      </c>
      <c r="F2873" s="1">
        <v>0.0</v>
      </c>
      <c r="G2873" s="1">
        <v>2.0</v>
      </c>
      <c r="H2873" s="1">
        <v>0.0</v>
      </c>
      <c r="I2873" s="1">
        <v>8.0</v>
      </c>
    </row>
    <row r="2874">
      <c r="A2874" s="2" t="s">
        <v>13357</v>
      </c>
      <c r="B2874" s="1">
        <v>200.0</v>
      </c>
      <c r="C2874" s="1" t="s">
        <v>9011</v>
      </c>
      <c r="D2874" s="1" t="s">
        <v>609</v>
      </c>
      <c r="E2874" s="1" t="s">
        <v>631</v>
      </c>
    </row>
    <row r="2875">
      <c r="A2875" s="2" t="s">
        <v>13358</v>
      </c>
      <c r="B2875" s="1">
        <v>200.0</v>
      </c>
      <c r="C2875" s="1" t="s">
        <v>9212</v>
      </c>
      <c r="D2875" s="1" t="s">
        <v>609</v>
      </c>
      <c r="E2875" s="1" t="s">
        <v>631</v>
      </c>
      <c r="F2875" s="1">
        <v>0.0</v>
      </c>
      <c r="G2875" s="1">
        <v>2.0</v>
      </c>
      <c r="H2875" s="1">
        <v>0.0</v>
      </c>
      <c r="I2875" s="1">
        <v>15.0</v>
      </c>
    </row>
    <row r="2876">
      <c r="A2876" s="2" t="s">
        <v>13359</v>
      </c>
      <c r="B2876" s="1">
        <v>200.0</v>
      </c>
      <c r="C2876" s="1" t="s">
        <v>9212</v>
      </c>
      <c r="D2876" s="1" t="s">
        <v>609</v>
      </c>
      <c r="E2876" s="1" t="s">
        <v>631</v>
      </c>
    </row>
    <row r="2877">
      <c r="A2877" s="2" t="s">
        <v>13360</v>
      </c>
      <c r="B2877" s="1">
        <v>200.0</v>
      </c>
      <c r="C2877" s="1" t="s">
        <v>9212</v>
      </c>
      <c r="D2877" s="1" t="s">
        <v>609</v>
      </c>
      <c r="E2877" s="1" t="s">
        <v>631</v>
      </c>
    </row>
    <row r="2878">
      <c r="A2878" s="2" t="s">
        <v>13361</v>
      </c>
      <c r="B2878" s="1">
        <v>200.0</v>
      </c>
      <c r="C2878" s="1" t="s">
        <v>9058</v>
      </c>
      <c r="D2878" s="1" t="s">
        <v>609</v>
      </c>
      <c r="E2878" s="1" t="s">
        <v>631</v>
      </c>
    </row>
    <row r="2879">
      <c r="A2879" s="2" t="s">
        <v>13362</v>
      </c>
      <c r="B2879" s="1">
        <v>200.0</v>
      </c>
      <c r="C2879" s="1" t="s">
        <v>9058</v>
      </c>
      <c r="D2879" s="1" t="s">
        <v>609</v>
      </c>
      <c r="E2879" s="1" t="s">
        <v>631</v>
      </c>
    </row>
    <row r="2880">
      <c r="A2880" s="2" t="s">
        <v>13363</v>
      </c>
      <c r="B2880" s="1">
        <v>200.0</v>
      </c>
      <c r="C2880" s="1" t="s">
        <v>9011</v>
      </c>
      <c r="D2880" s="1" t="s">
        <v>609</v>
      </c>
      <c r="E2880" s="1" t="s">
        <v>631</v>
      </c>
    </row>
    <row r="2881">
      <c r="A2881" s="2" t="s">
        <v>13364</v>
      </c>
      <c r="B2881" s="1">
        <v>200.0</v>
      </c>
      <c r="C2881" s="1" t="s">
        <v>9058</v>
      </c>
      <c r="D2881" s="1" t="s">
        <v>609</v>
      </c>
      <c r="E2881" s="1" t="s">
        <v>631</v>
      </c>
    </row>
    <row r="2882">
      <c r="A2882" s="2" t="s">
        <v>13365</v>
      </c>
      <c r="B2882" s="1">
        <v>200.0</v>
      </c>
      <c r="C2882" s="1" t="s">
        <v>9058</v>
      </c>
      <c r="D2882" s="1" t="s">
        <v>609</v>
      </c>
      <c r="E2882" s="1" t="s">
        <v>631</v>
      </c>
    </row>
    <row r="2883">
      <c r="A2883" s="2" t="s">
        <v>13366</v>
      </c>
      <c r="B2883" s="1">
        <v>200.0</v>
      </c>
      <c r="C2883" s="1" t="s">
        <v>9058</v>
      </c>
      <c r="D2883" s="1" t="s">
        <v>609</v>
      </c>
      <c r="E2883" s="1" t="s">
        <v>631</v>
      </c>
    </row>
    <row r="2884">
      <c r="A2884" s="2" t="s">
        <v>13367</v>
      </c>
      <c r="B2884" s="1">
        <v>200.0</v>
      </c>
      <c r="C2884" s="1" t="s">
        <v>9011</v>
      </c>
      <c r="D2884" s="1" t="s">
        <v>609</v>
      </c>
      <c r="E2884" s="1" t="s">
        <v>631</v>
      </c>
    </row>
    <row r="2885">
      <c r="A2885" s="2" t="s">
        <v>13368</v>
      </c>
      <c r="B2885" s="1">
        <v>200.0</v>
      </c>
      <c r="C2885" s="1" t="s">
        <v>9058</v>
      </c>
      <c r="D2885" s="1" t="s">
        <v>609</v>
      </c>
      <c r="E2885" s="1" t="s">
        <v>631</v>
      </c>
    </row>
    <row r="2886">
      <c r="A2886" s="2" t="s">
        <v>13369</v>
      </c>
      <c r="B2886" s="1">
        <v>200.0</v>
      </c>
      <c r="C2886" s="1" t="s">
        <v>9058</v>
      </c>
      <c r="D2886" s="1" t="s">
        <v>609</v>
      </c>
      <c r="E2886" s="1" t="s">
        <v>631</v>
      </c>
    </row>
    <row r="2887">
      <c r="A2887" s="2" t="s">
        <v>13370</v>
      </c>
      <c r="B2887" s="1">
        <v>200.0</v>
      </c>
      <c r="C2887" s="1" t="s">
        <v>9011</v>
      </c>
      <c r="D2887" s="1" t="s">
        <v>609</v>
      </c>
      <c r="E2887" s="1" t="s">
        <v>631</v>
      </c>
      <c r="F2887" s="1">
        <v>1.0</v>
      </c>
      <c r="G2887" s="1">
        <v>11.0</v>
      </c>
      <c r="H2887" s="1">
        <v>0.091</v>
      </c>
      <c r="I2887" s="1">
        <v>11.0</v>
      </c>
    </row>
    <row r="2888">
      <c r="A2888" s="2" t="s">
        <v>13371</v>
      </c>
      <c r="B2888" s="1">
        <v>200.0</v>
      </c>
      <c r="C2888" s="1" t="s">
        <v>9011</v>
      </c>
      <c r="D2888" s="1" t="s">
        <v>609</v>
      </c>
      <c r="E2888" s="1" t="s">
        <v>631</v>
      </c>
    </row>
    <row r="2889">
      <c r="A2889" s="2" t="s">
        <v>13372</v>
      </c>
      <c r="B2889" s="1">
        <v>200.0</v>
      </c>
      <c r="C2889" s="1" t="s">
        <v>9212</v>
      </c>
      <c r="D2889" s="1" t="s">
        <v>609</v>
      </c>
      <c r="E2889" s="1" t="s">
        <v>631</v>
      </c>
    </row>
    <row r="2890">
      <c r="A2890" s="2" t="s">
        <v>13373</v>
      </c>
      <c r="B2890" s="1">
        <v>200.0</v>
      </c>
      <c r="C2890" s="1" t="s">
        <v>9058</v>
      </c>
      <c r="D2890" s="1" t="s">
        <v>609</v>
      </c>
      <c r="E2890" s="1" t="s">
        <v>631</v>
      </c>
    </row>
    <row r="2891">
      <c r="A2891" s="2" t="s">
        <v>13374</v>
      </c>
      <c r="B2891" s="1">
        <v>200.0</v>
      </c>
      <c r="C2891" s="1" t="s">
        <v>9212</v>
      </c>
      <c r="D2891" s="1" t="s">
        <v>609</v>
      </c>
      <c r="E2891" s="1" t="s">
        <v>631</v>
      </c>
    </row>
    <row r="2892">
      <c r="A2892" s="2" t="s">
        <v>13375</v>
      </c>
      <c r="B2892" s="1">
        <v>200.0</v>
      </c>
      <c r="C2892" s="1" t="s">
        <v>9212</v>
      </c>
      <c r="D2892" s="1" t="s">
        <v>609</v>
      </c>
      <c r="E2892" s="1" t="s">
        <v>631</v>
      </c>
    </row>
    <row r="2893">
      <c r="A2893" s="2" t="s">
        <v>13376</v>
      </c>
      <c r="B2893" s="1">
        <v>200.0</v>
      </c>
      <c r="C2893" s="1" t="s">
        <v>9058</v>
      </c>
      <c r="D2893" s="1" t="s">
        <v>609</v>
      </c>
      <c r="E2893" s="1" t="s">
        <v>631</v>
      </c>
    </row>
    <row r="2894">
      <c r="A2894" s="2" t="s">
        <v>13377</v>
      </c>
      <c r="B2894" s="1">
        <v>200.0</v>
      </c>
      <c r="C2894" s="1" t="s">
        <v>9212</v>
      </c>
      <c r="D2894" s="1" t="s">
        <v>609</v>
      </c>
      <c r="E2894" s="1" t="s">
        <v>631</v>
      </c>
    </row>
    <row r="2895">
      <c r="A2895" s="2" t="s">
        <v>13378</v>
      </c>
      <c r="B2895" s="1">
        <v>200.0</v>
      </c>
      <c r="C2895" s="1" t="s">
        <v>9212</v>
      </c>
      <c r="D2895" s="1" t="s">
        <v>609</v>
      </c>
      <c r="E2895" s="1" t="s">
        <v>631</v>
      </c>
    </row>
    <row r="2896">
      <c r="A2896" s="2" t="s">
        <v>13379</v>
      </c>
      <c r="B2896" s="1">
        <v>200.0</v>
      </c>
      <c r="C2896" s="1" t="s">
        <v>9011</v>
      </c>
      <c r="D2896" s="1" t="s">
        <v>609</v>
      </c>
      <c r="E2896" s="1" t="s">
        <v>631</v>
      </c>
    </row>
    <row r="2897">
      <c r="A2897" s="2" t="s">
        <v>13380</v>
      </c>
      <c r="B2897" s="1">
        <v>200.0</v>
      </c>
      <c r="C2897" s="1" t="s">
        <v>9011</v>
      </c>
      <c r="D2897" s="1" t="s">
        <v>609</v>
      </c>
      <c r="E2897" s="1" t="s">
        <v>631</v>
      </c>
    </row>
    <row r="2898">
      <c r="A2898" s="2" t="s">
        <v>13381</v>
      </c>
      <c r="B2898" s="1">
        <v>200.0</v>
      </c>
      <c r="C2898" s="1" t="s">
        <v>9212</v>
      </c>
      <c r="D2898" s="1" t="s">
        <v>609</v>
      </c>
      <c r="E2898" s="1" t="s">
        <v>631</v>
      </c>
    </row>
    <row r="2899">
      <c r="A2899" s="2" t="s">
        <v>13382</v>
      </c>
      <c r="B2899" s="1">
        <v>200.0</v>
      </c>
      <c r="C2899" s="1" t="s">
        <v>9212</v>
      </c>
      <c r="D2899" s="1" t="s">
        <v>609</v>
      </c>
      <c r="E2899" s="1" t="s">
        <v>631</v>
      </c>
    </row>
    <row r="2900">
      <c r="A2900" s="2" t="s">
        <v>13383</v>
      </c>
      <c r="B2900" s="1">
        <v>200.0</v>
      </c>
      <c r="C2900" s="1" t="s">
        <v>9212</v>
      </c>
      <c r="D2900" s="1" t="s">
        <v>609</v>
      </c>
      <c r="E2900" s="1" t="s">
        <v>631</v>
      </c>
    </row>
    <row r="2901">
      <c r="A2901" s="2" t="s">
        <v>13384</v>
      </c>
      <c r="B2901" s="1">
        <v>200.0</v>
      </c>
      <c r="C2901" s="1" t="s">
        <v>9058</v>
      </c>
      <c r="D2901" s="1" t="s">
        <v>609</v>
      </c>
      <c r="E2901" s="1" t="s">
        <v>631</v>
      </c>
      <c r="F2901" s="1">
        <v>0.0</v>
      </c>
      <c r="G2901" s="1">
        <v>2.0</v>
      </c>
      <c r="H2901" s="1">
        <v>0.0</v>
      </c>
      <c r="I2901" s="1">
        <v>72.5</v>
      </c>
    </row>
    <row r="2902">
      <c r="A2902" s="2" t="s">
        <v>13385</v>
      </c>
      <c r="B2902" s="1">
        <v>200.0</v>
      </c>
      <c r="C2902" s="1" t="s">
        <v>9058</v>
      </c>
      <c r="D2902" s="1" t="s">
        <v>609</v>
      </c>
      <c r="E2902" s="1" t="s">
        <v>631</v>
      </c>
    </row>
    <row r="2903">
      <c r="A2903" s="2" t="s">
        <v>13386</v>
      </c>
      <c r="B2903" s="1">
        <v>200.0</v>
      </c>
      <c r="C2903" s="1" t="s">
        <v>9212</v>
      </c>
      <c r="D2903" s="1" t="s">
        <v>609</v>
      </c>
      <c r="E2903" s="1" t="s">
        <v>631</v>
      </c>
    </row>
    <row r="2904">
      <c r="A2904" s="2" t="s">
        <v>13387</v>
      </c>
      <c r="B2904" s="1">
        <v>200.0</v>
      </c>
      <c r="C2904" s="1" t="s">
        <v>9212</v>
      </c>
      <c r="D2904" s="1" t="s">
        <v>609</v>
      </c>
      <c r="E2904" s="1" t="s">
        <v>631</v>
      </c>
      <c r="F2904" s="1">
        <v>0.0</v>
      </c>
      <c r="G2904" s="1">
        <v>8.0</v>
      </c>
      <c r="H2904" s="1">
        <v>0.0</v>
      </c>
      <c r="I2904" s="1">
        <v>21.13</v>
      </c>
    </row>
    <row r="2905">
      <c r="A2905" s="2" t="s">
        <v>13388</v>
      </c>
      <c r="B2905" s="1">
        <v>200.0</v>
      </c>
      <c r="C2905" s="1" t="s">
        <v>9011</v>
      </c>
      <c r="D2905" s="1" t="s">
        <v>609</v>
      </c>
      <c r="E2905" s="1" t="s">
        <v>631</v>
      </c>
    </row>
    <row r="2906">
      <c r="A2906" s="2" t="s">
        <v>13389</v>
      </c>
      <c r="B2906" s="1">
        <v>200.0</v>
      </c>
      <c r="C2906" s="1" t="s">
        <v>9011</v>
      </c>
      <c r="D2906" s="1" t="s">
        <v>609</v>
      </c>
      <c r="E2906" s="1" t="s">
        <v>631</v>
      </c>
    </row>
    <row r="2907">
      <c r="A2907" s="2" t="s">
        <v>13390</v>
      </c>
      <c r="B2907" s="1">
        <v>200.0</v>
      </c>
      <c r="C2907" s="1" t="s">
        <v>9058</v>
      </c>
      <c r="D2907" s="1" t="s">
        <v>609</v>
      </c>
      <c r="E2907" s="1" t="s">
        <v>631</v>
      </c>
    </row>
    <row r="2908">
      <c r="A2908" s="2" t="s">
        <v>13391</v>
      </c>
      <c r="B2908" s="1">
        <v>200.0</v>
      </c>
      <c r="C2908" s="1" t="s">
        <v>9058</v>
      </c>
      <c r="D2908" s="1" t="s">
        <v>609</v>
      </c>
      <c r="E2908" s="1" t="s">
        <v>631</v>
      </c>
    </row>
    <row r="2909">
      <c r="A2909" s="2" t="s">
        <v>13392</v>
      </c>
      <c r="B2909" s="1">
        <v>200.0</v>
      </c>
      <c r="C2909" s="1" t="s">
        <v>9058</v>
      </c>
      <c r="D2909" s="1" t="s">
        <v>609</v>
      </c>
      <c r="E2909" s="1" t="s">
        <v>631</v>
      </c>
    </row>
    <row r="2910">
      <c r="A2910" s="2" t="s">
        <v>13393</v>
      </c>
      <c r="B2910" s="1">
        <v>200.0</v>
      </c>
      <c r="C2910" s="1" t="s">
        <v>9058</v>
      </c>
      <c r="D2910" s="1" t="s">
        <v>609</v>
      </c>
      <c r="E2910" s="1" t="s">
        <v>631</v>
      </c>
    </row>
    <row r="2911">
      <c r="A2911" s="2" t="s">
        <v>13394</v>
      </c>
      <c r="B2911" s="1">
        <v>200.0</v>
      </c>
      <c r="C2911" s="1" t="s">
        <v>9011</v>
      </c>
      <c r="D2911" s="1" t="s">
        <v>609</v>
      </c>
      <c r="E2911" s="1" t="s">
        <v>631</v>
      </c>
    </row>
    <row r="2912">
      <c r="A2912" s="2" t="s">
        <v>13395</v>
      </c>
      <c r="B2912" s="1">
        <v>200.0</v>
      </c>
      <c r="C2912" s="1" t="s">
        <v>9011</v>
      </c>
      <c r="D2912" s="1" t="s">
        <v>609</v>
      </c>
      <c r="E2912" s="1" t="s">
        <v>631</v>
      </c>
    </row>
    <row r="2913">
      <c r="A2913" s="2" t="s">
        <v>13396</v>
      </c>
      <c r="B2913" s="1">
        <v>200.0</v>
      </c>
      <c r="C2913" s="1" t="s">
        <v>9011</v>
      </c>
      <c r="D2913" s="1" t="s">
        <v>609</v>
      </c>
      <c r="E2913" s="1" t="s">
        <v>631</v>
      </c>
    </row>
    <row r="2914">
      <c r="A2914" s="2" t="s">
        <v>13397</v>
      </c>
      <c r="B2914" s="1">
        <v>200.0</v>
      </c>
      <c r="C2914" s="1" t="s">
        <v>9212</v>
      </c>
      <c r="D2914" s="1" t="s">
        <v>609</v>
      </c>
      <c r="E2914" s="1" t="s">
        <v>631</v>
      </c>
    </row>
    <row r="2915">
      <c r="A2915" s="2" t="s">
        <v>13398</v>
      </c>
      <c r="B2915" s="1">
        <v>200.0</v>
      </c>
      <c r="C2915" s="1" t="s">
        <v>9212</v>
      </c>
      <c r="D2915" s="1" t="s">
        <v>609</v>
      </c>
      <c r="E2915" s="1" t="s">
        <v>631</v>
      </c>
    </row>
    <row r="2916">
      <c r="A2916" s="2" t="s">
        <v>13399</v>
      </c>
      <c r="B2916" s="1">
        <v>200.0</v>
      </c>
      <c r="C2916" s="1" t="s">
        <v>9058</v>
      </c>
      <c r="D2916" s="1" t="s">
        <v>609</v>
      </c>
      <c r="E2916" s="1" t="s">
        <v>631</v>
      </c>
    </row>
    <row r="2917">
      <c r="A2917" s="2" t="s">
        <v>13400</v>
      </c>
      <c r="B2917" s="1">
        <v>200.0</v>
      </c>
      <c r="C2917" s="1" t="s">
        <v>9058</v>
      </c>
      <c r="D2917" s="1" t="s">
        <v>609</v>
      </c>
      <c r="E2917" s="1" t="s">
        <v>631</v>
      </c>
    </row>
    <row r="2918">
      <c r="A2918" s="2" t="s">
        <v>13401</v>
      </c>
      <c r="B2918" s="1">
        <v>200.0</v>
      </c>
      <c r="C2918" s="1" t="s">
        <v>9212</v>
      </c>
      <c r="D2918" s="1" t="s">
        <v>609</v>
      </c>
      <c r="E2918" s="1" t="s">
        <v>631</v>
      </c>
    </row>
    <row r="2919">
      <c r="A2919" s="2" t="s">
        <v>13402</v>
      </c>
      <c r="B2919" s="1">
        <v>200.0</v>
      </c>
      <c r="C2919" s="1" t="s">
        <v>9011</v>
      </c>
      <c r="D2919" s="1" t="s">
        <v>609</v>
      </c>
      <c r="E2919" s="1" t="s">
        <v>631</v>
      </c>
    </row>
    <row r="2920">
      <c r="A2920" s="2" t="s">
        <v>13403</v>
      </c>
      <c r="B2920" s="1">
        <v>200.0</v>
      </c>
      <c r="C2920" s="1" t="s">
        <v>9212</v>
      </c>
      <c r="D2920" s="1" t="s">
        <v>609</v>
      </c>
      <c r="E2920" s="1" t="s">
        <v>631</v>
      </c>
    </row>
    <row r="2921">
      <c r="A2921" s="2" t="s">
        <v>13404</v>
      </c>
      <c r="B2921" s="1">
        <v>200.0</v>
      </c>
      <c r="C2921" s="1" t="s">
        <v>9011</v>
      </c>
      <c r="D2921" s="1" t="s">
        <v>609</v>
      </c>
      <c r="E2921" s="1" t="s">
        <v>631</v>
      </c>
    </row>
    <row r="2922">
      <c r="A2922" s="2" t="s">
        <v>13405</v>
      </c>
      <c r="B2922" s="1">
        <v>200.0</v>
      </c>
      <c r="C2922" s="1" t="s">
        <v>9011</v>
      </c>
      <c r="D2922" s="1" t="s">
        <v>609</v>
      </c>
      <c r="E2922" s="1" t="s">
        <v>631</v>
      </c>
    </row>
    <row r="2923">
      <c r="A2923" s="2" t="s">
        <v>13406</v>
      </c>
      <c r="B2923" s="1">
        <v>200.0</v>
      </c>
      <c r="C2923" s="1" t="s">
        <v>9058</v>
      </c>
      <c r="D2923" s="1" t="s">
        <v>609</v>
      </c>
      <c r="E2923" s="1" t="s">
        <v>631</v>
      </c>
    </row>
    <row r="2924">
      <c r="A2924" s="2" t="s">
        <v>13407</v>
      </c>
      <c r="B2924" s="1">
        <v>200.0</v>
      </c>
      <c r="C2924" s="1" t="s">
        <v>9212</v>
      </c>
      <c r="D2924" s="1" t="s">
        <v>609</v>
      </c>
      <c r="E2924" s="1" t="s">
        <v>631</v>
      </c>
    </row>
    <row r="2925">
      <c r="A2925" s="2" t="s">
        <v>13408</v>
      </c>
      <c r="B2925" s="1">
        <v>200.0</v>
      </c>
      <c r="C2925" s="1" t="s">
        <v>9011</v>
      </c>
      <c r="D2925" s="1" t="s">
        <v>609</v>
      </c>
      <c r="E2925" s="1" t="s">
        <v>631</v>
      </c>
    </row>
    <row r="2926">
      <c r="A2926" s="2" t="s">
        <v>13409</v>
      </c>
      <c r="B2926" s="1">
        <v>200.0</v>
      </c>
      <c r="C2926" s="1" t="s">
        <v>9212</v>
      </c>
      <c r="D2926" s="1" t="s">
        <v>609</v>
      </c>
      <c r="E2926" s="1" t="s">
        <v>631</v>
      </c>
    </row>
    <row r="2927">
      <c r="A2927" s="2" t="s">
        <v>13410</v>
      </c>
      <c r="B2927" s="1">
        <v>200.0</v>
      </c>
      <c r="C2927" s="1" t="s">
        <v>9058</v>
      </c>
      <c r="D2927" s="1" t="s">
        <v>609</v>
      </c>
      <c r="E2927" s="1" t="s">
        <v>631</v>
      </c>
    </row>
    <row r="2928">
      <c r="A2928" s="2" t="s">
        <v>13411</v>
      </c>
      <c r="B2928" s="1">
        <v>200.0</v>
      </c>
      <c r="C2928" s="1" t="s">
        <v>9058</v>
      </c>
      <c r="D2928" s="1" t="s">
        <v>609</v>
      </c>
      <c r="E2928" s="1" t="s">
        <v>631</v>
      </c>
    </row>
    <row r="2929">
      <c r="A2929" s="2" t="s">
        <v>13412</v>
      </c>
      <c r="B2929" s="1">
        <v>200.0</v>
      </c>
      <c r="C2929" s="1" t="s">
        <v>9212</v>
      </c>
      <c r="D2929" s="1" t="s">
        <v>609</v>
      </c>
      <c r="E2929" s="1" t="s">
        <v>631</v>
      </c>
    </row>
    <row r="2930">
      <c r="A2930" s="2" t="s">
        <v>13413</v>
      </c>
      <c r="B2930" s="1">
        <v>200.0</v>
      </c>
      <c r="C2930" s="1" t="s">
        <v>9011</v>
      </c>
      <c r="D2930" s="1" t="s">
        <v>609</v>
      </c>
      <c r="E2930" s="1" t="s">
        <v>631</v>
      </c>
    </row>
    <row r="2931">
      <c r="A2931" s="2" t="s">
        <v>13414</v>
      </c>
      <c r="B2931" s="1">
        <v>200.0</v>
      </c>
      <c r="C2931" s="1" t="s">
        <v>9011</v>
      </c>
      <c r="D2931" s="1" t="s">
        <v>609</v>
      </c>
      <c r="E2931" s="1" t="s">
        <v>631</v>
      </c>
      <c r="F2931" s="1">
        <v>0.0</v>
      </c>
      <c r="G2931" s="1">
        <v>2.0</v>
      </c>
      <c r="H2931" s="1">
        <v>0.0</v>
      </c>
      <c r="I2931" s="1">
        <v>4.0</v>
      </c>
    </row>
    <row r="2932">
      <c r="A2932" s="2" t="s">
        <v>13415</v>
      </c>
      <c r="B2932" s="1">
        <v>200.0</v>
      </c>
      <c r="C2932" s="1" t="s">
        <v>9058</v>
      </c>
      <c r="D2932" s="1" t="s">
        <v>609</v>
      </c>
      <c r="E2932" s="1" t="s">
        <v>631</v>
      </c>
    </row>
    <row r="2933">
      <c r="A2933" s="2" t="s">
        <v>13416</v>
      </c>
      <c r="B2933" s="1">
        <v>200.0</v>
      </c>
      <c r="C2933" s="1" t="s">
        <v>9058</v>
      </c>
      <c r="D2933" s="1" t="s">
        <v>609</v>
      </c>
      <c r="E2933" s="1" t="s">
        <v>631</v>
      </c>
    </row>
    <row r="2934">
      <c r="A2934" s="2" t="s">
        <v>13417</v>
      </c>
      <c r="B2934" s="1">
        <v>200.0</v>
      </c>
      <c r="C2934" s="1" t="s">
        <v>9058</v>
      </c>
      <c r="D2934" s="1" t="s">
        <v>609</v>
      </c>
      <c r="E2934" s="1" t="s">
        <v>631</v>
      </c>
    </row>
    <row r="2935">
      <c r="A2935" s="2" t="s">
        <v>13418</v>
      </c>
      <c r="B2935" s="1">
        <v>200.0</v>
      </c>
      <c r="C2935" s="1" t="s">
        <v>9058</v>
      </c>
      <c r="D2935" s="1" t="s">
        <v>609</v>
      </c>
      <c r="E2935" s="1" t="s">
        <v>631</v>
      </c>
    </row>
    <row r="2936">
      <c r="A2936" s="2" t="s">
        <v>13419</v>
      </c>
      <c r="B2936" s="1">
        <v>200.0</v>
      </c>
      <c r="C2936" s="1" t="s">
        <v>9058</v>
      </c>
      <c r="D2936" s="1" t="s">
        <v>609</v>
      </c>
      <c r="E2936" s="1" t="s">
        <v>631</v>
      </c>
    </row>
    <row r="2937">
      <c r="A2937" s="2" t="s">
        <v>13420</v>
      </c>
      <c r="B2937" s="1">
        <v>200.0</v>
      </c>
      <c r="C2937" s="1" t="s">
        <v>9058</v>
      </c>
      <c r="D2937" s="1" t="s">
        <v>609</v>
      </c>
      <c r="E2937" s="1" t="s">
        <v>631</v>
      </c>
      <c r="F2937" s="1">
        <v>0.0</v>
      </c>
      <c r="G2937" s="1">
        <v>1.0</v>
      </c>
      <c r="H2937" s="1">
        <v>0.0</v>
      </c>
      <c r="I2937" s="1">
        <v>33.0</v>
      </c>
    </row>
    <row r="2938">
      <c r="A2938" s="2" t="s">
        <v>13421</v>
      </c>
      <c r="B2938" s="1">
        <v>200.0</v>
      </c>
      <c r="C2938" s="1" t="s">
        <v>9011</v>
      </c>
      <c r="D2938" s="1" t="s">
        <v>609</v>
      </c>
      <c r="E2938" s="1" t="s">
        <v>631</v>
      </c>
    </row>
    <row r="2939">
      <c r="A2939" s="2" t="s">
        <v>13422</v>
      </c>
      <c r="B2939" s="1">
        <v>200.0</v>
      </c>
      <c r="C2939" s="1" t="s">
        <v>9058</v>
      </c>
      <c r="D2939" s="1" t="s">
        <v>609</v>
      </c>
      <c r="E2939" s="1" t="s">
        <v>631</v>
      </c>
    </row>
    <row r="2940">
      <c r="A2940" s="2" t="s">
        <v>13423</v>
      </c>
      <c r="B2940" s="1">
        <v>200.0</v>
      </c>
      <c r="C2940" s="1" t="s">
        <v>9011</v>
      </c>
      <c r="D2940" s="1" t="s">
        <v>609</v>
      </c>
      <c r="E2940" s="1" t="s">
        <v>631</v>
      </c>
    </row>
    <row r="2941">
      <c r="A2941" s="2" t="s">
        <v>13424</v>
      </c>
      <c r="B2941" s="1">
        <v>200.0</v>
      </c>
      <c r="C2941" s="1" t="s">
        <v>9212</v>
      </c>
      <c r="D2941" s="1" t="s">
        <v>609</v>
      </c>
      <c r="E2941" s="1" t="s">
        <v>631</v>
      </c>
    </row>
    <row r="2942">
      <c r="A2942" s="2" t="s">
        <v>13425</v>
      </c>
      <c r="B2942" s="1">
        <v>200.0</v>
      </c>
      <c r="C2942" s="1" t="s">
        <v>9212</v>
      </c>
      <c r="D2942" s="1" t="s">
        <v>609</v>
      </c>
      <c r="E2942" s="1" t="s">
        <v>631</v>
      </c>
    </row>
    <row r="2943">
      <c r="A2943" s="2" t="s">
        <v>13426</v>
      </c>
      <c r="B2943" s="1">
        <v>200.0</v>
      </c>
      <c r="C2943" s="1" t="s">
        <v>9212</v>
      </c>
      <c r="D2943" s="1" t="s">
        <v>609</v>
      </c>
      <c r="E2943" s="1" t="s">
        <v>631</v>
      </c>
    </row>
    <row r="2944">
      <c r="A2944" s="2" t="s">
        <v>13427</v>
      </c>
      <c r="B2944" s="1">
        <v>200.0</v>
      </c>
      <c r="C2944" s="1" t="s">
        <v>9058</v>
      </c>
      <c r="D2944" s="1" t="s">
        <v>609</v>
      </c>
      <c r="E2944" s="1" t="s">
        <v>631</v>
      </c>
    </row>
    <row r="2945">
      <c r="A2945" s="2" t="s">
        <v>13428</v>
      </c>
      <c r="B2945" s="1">
        <v>200.0</v>
      </c>
      <c r="C2945" s="1" t="s">
        <v>9011</v>
      </c>
      <c r="D2945" s="1" t="s">
        <v>609</v>
      </c>
      <c r="E2945" s="1" t="s">
        <v>631</v>
      </c>
    </row>
    <row r="2946">
      <c r="A2946" s="2" t="s">
        <v>13429</v>
      </c>
      <c r="B2946" s="1">
        <v>200.0</v>
      </c>
      <c r="C2946" s="1" t="s">
        <v>9011</v>
      </c>
      <c r="D2946" s="1" t="s">
        <v>609</v>
      </c>
      <c r="E2946" s="1" t="s">
        <v>631</v>
      </c>
    </row>
    <row r="2947">
      <c r="A2947" s="2" t="s">
        <v>13430</v>
      </c>
      <c r="B2947" s="1">
        <v>200.0</v>
      </c>
      <c r="C2947" s="1" t="s">
        <v>9011</v>
      </c>
      <c r="D2947" s="1" t="s">
        <v>609</v>
      </c>
      <c r="E2947" s="1" t="s">
        <v>631</v>
      </c>
      <c r="F2947" s="1">
        <v>0.0</v>
      </c>
      <c r="G2947" s="1">
        <v>1.0</v>
      </c>
      <c r="H2947" s="1">
        <v>0.0</v>
      </c>
      <c r="I2947" s="1">
        <v>6.0</v>
      </c>
    </row>
    <row r="2948">
      <c r="A2948" s="2" t="s">
        <v>13431</v>
      </c>
      <c r="B2948" s="1">
        <v>200.0</v>
      </c>
      <c r="C2948" s="1" t="s">
        <v>9212</v>
      </c>
      <c r="D2948" s="1" t="s">
        <v>609</v>
      </c>
      <c r="E2948" s="1" t="s">
        <v>631</v>
      </c>
    </row>
    <row r="2949">
      <c r="A2949" s="2" t="s">
        <v>13432</v>
      </c>
      <c r="B2949" s="1">
        <v>200.0</v>
      </c>
      <c r="C2949" s="1" t="s">
        <v>9212</v>
      </c>
      <c r="D2949" s="1" t="s">
        <v>609</v>
      </c>
      <c r="E2949" s="1" t="s">
        <v>631</v>
      </c>
    </row>
    <row r="2950">
      <c r="A2950" s="2" t="s">
        <v>13433</v>
      </c>
      <c r="B2950" s="1">
        <v>200.0</v>
      </c>
      <c r="C2950" s="1" t="s">
        <v>9011</v>
      </c>
      <c r="D2950" s="1" t="s">
        <v>609</v>
      </c>
      <c r="E2950" s="1" t="s">
        <v>631</v>
      </c>
    </row>
    <row r="2951">
      <c r="A2951" s="2" t="s">
        <v>13434</v>
      </c>
      <c r="B2951" s="1">
        <v>200.0</v>
      </c>
      <c r="C2951" s="1" t="s">
        <v>9212</v>
      </c>
      <c r="D2951" s="1" t="s">
        <v>609</v>
      </c>
      <c r="E2951" s="1" t="s">
        <v>631</v>
      </c>
    </row>
    <row r="2952">
      <c r="A2952" s="2" t="s">
        <v>13435</v>
      </c>
      <c r="B2952" s="1">
        <v>200.0</v>
      </c>
      <c r="C2952" s="1" t="s">
        <v>9011</v>
      </c>
      <c r="D2952" s="1" t="s">
        <v>609</v>
      </c>
      <c r="E2952" s="1" t="s">
        <v>631</v>
      </c>
      <c r="F2952" s="1">
        <v>0.0</v>
      </c>
      <c r="G2952" s="1">
        <v>27.0</v>
      </c>
      <c r="H2952" s="1">
        <v>0.0</v>
      </c>
      <c r="I2952" s="1">
        <v>10.81</v>
      </c>
    </row>
    <row r="2953">
      <c r="A2953" s="2" t="s">
        <v>13436</v>
      </c>
      <c r="B2953" s="1">
        <v>200.0</v>
      </c>
      <c r="C2953" s="1" t="s">
        <v>9011</v>
      </c>
      <c r="D2953" s="1" t="s">
        <v>609</v>
      </c>
      <c r="E2953" s="1" t="s">
        <v>631</v>
      </c>
    </row>
    <row r="2954">
      <c r="A2954" s="2" t="s">
        <v>13437</v>
      </c>
      <c r="B2954" s="1">
        <v>200.0</v>
      </c>
      <c r="C2954" s="1" t="s">
        <v>9058</v>
      </c>
      <c r="D2954" s="1" t="s">
        <v>609</v>
      </c>
      <c r="E2954" s="1" t="s">
        <v>631</v>
      </c>
    </row>
    <row r="2955">
      <c r="A2955" s="2" t="s">
        <v>13438</v>
      </c>
      <c r="B2955" s="1">
        <v>200.0</v>
      </c>
      <c r="C2955" s="1" t="s">
        <v>9058</v>
      </c>
      <c r="D2955" s="1" t="s">
        <v>609</v>
      </c>
      <c r="E2955" s="1" t="s">
        <v>631</v>
      </c>
    </row>
    <row r="2956">
      <c r="A2956" s="2" t="s">
        <v>13439</v>
      </c>
      <c r="B2956" s="1">
        <v>200.0</v>
      </c>
      <c r="C2956" s="1" t="s">
        <v>9011</v>
      </c>
      <c r="D2956" s="1" t="s">
        <v>609</v>
      </c>
      <c r="E2956" s="1" t="s">
        <v>631</v>
      </c>
    </row>
    <row r="2957">
      <c r="A2957" s="2" t="s">
        <v>13440</v>
      </c>
      <c r="B2957" s="1">
        <v>200.0</v>
      </c>
      <c r="C2957" s="1" t="s">
        <v>9058</v>
      </c>
      <c r="D2957" s="1" t="s">
        <v>609</v>
      </c>
      <c r="E2957" s="1" t="s">
        <v>631</v>
      </c>
    </row>
    <row r="2958">
      <c r="A2958" s="2" t="s">
        <v>13441</v>
      </c>
      <c r="B2958" s="1">
        <v>200.0</v>
      </c>
      <c r="C2958" s="1" t="s">
        <v>9058</v>
      </c>
      <c r="D2958" s="1" t="s">
        <v>609</v>
      </c>
      <c r="E2958" s="1" t="s">
        <v>631</v>
      </c>
    </row>
    <row r="2959">
      <c r="A2959" s="2" t="s">
        <v>13442</v>
      </c>
      <c r="B2959" s="1">
        <v>200.0</v>
      </c>
      <c r="C2959" s="1" t="s">
        <v>9058</v>
      </c>
      <c r="D2959" s="1" t="s">
        <v>609</v>
      </c>
      <c r="E2959" s="1" t="s">
        <v>631</v>
      </c>
    </row>
    <row r="2960">
      <c r="A2960" s="2" t="s">
        <v>13443</v>
      </c>
      <c r="B2960" s="1">
        <v>200.0</v>
      </c>
      <c r="C2960" s="1" t="s">
        <v>9058</v>
      </c>
      <c r="D2960" s="1" t="s">
        <v>609</v>
      </c>
      <c r="E2960" s="1" t="s">
        <v>631</v>
      </c>
    </row>
    <row r="2961">
      <c r="A2961" s="2" t="s">
        <v>13444</v>
      </c>
      <c r="B2961" s="1">
        <v>200.0</v>
      </c>
      <c r="C2961" s="1" t="s">
        <v>9058</v>
      </c>
      <c r="D2961" s="1" t="s">
        <v>609</v>
      </c>
      <c r="E2961" s="1" t="s">
        <v>631</v>
      </c>
    </row>
    <row r="2962">
      <c r="A2962" s="2" t="s">
        <v>13445</v>
      </c>
      <c r="B2962" s="1">
        <v>200.0</v>
      </c>
      <c r="C2962" s="1" t="s">
        <v>9058</v>
      </c>
      <c r="D2962" s="1" t="s">
        <v>609</v>
      </c>
      <c r="E2962" s="1" t="s">
        <v>631</v>
      </c>
    </row>
    <row r="2963">
      <c r="A2963" s="2" t="s">
        <v>13446</v>
      </c>
      <c r="B2963" s="1">
        <v>200.0</v>
      </c>
      <c r="C2963" s="1" t="s">
        <v>9011</v>
      </c>
      <c r="D2963" s="1" t="s">
        <v>609</v>
      </c>
      <c r="E2963" s="1" t="s">
        <v>631</v>
      </c>
    </row>
    <row r="2964">
      <c r="A2964" s="2" t="s">
        <v>13447</v>
      </c>
      <c r="B2964" s="1">
        <v>200.0</v>
      </c>
      <c r="C2964" s="1" t="s">
        <v>9011</v>
      </c>
      <c r="D2964" s="1" t="s">
        <v>609</v>
      </c>
      <c r="E2964" s="1" t="s">
        <v>631</v>
      </c>
    </row>
    <row r="2965">
      <c r="A2965" s="2" t="s">
        <v>13448</v>
      </c>
      <c r="B2965" s="1">
        <v>200.0</v>
      </c>
      <c r="C2965" s="1" t="s">
        <v>9011</v>
      </c>
      <c r="D2965" s="1" t="s">
        <v>609</v>
      </c>
      <c r="E2965" s="1" t="s">
        <v>631</v>
      </c>
    </row>
    <row r="2966">
      <c r="A2966" s="2" t="s">
        <v>13449</v>
      </c>
      <c r="B2966" s="1">
        <v>200.0</v>
      </c>
      <c r="C2966" s="1" t="s">
        <v>9212</v>
      </c>
      <c r="D2966" s="1" t="s">
        <v>609</v>
      </c>
      <c r="E2966" s="1" t="s">
        <v>631</v>
      </c>
    </row>
    <row r="2967">
      <c r="A2967" s="2" t="s">
        <v>13450</v>
      </c>
      <c r="B2967" s="1">
        <v>200.0</v>
      </c>
      <c r="C2967" s="1" t="s">
        <v>9212</v>
      </c>
      <c r="D2967" s="1" t="s">
        <v>609</v>
      </c>
      <c r="E2967" s="1" t="s">
        <v>631</v>
      </c>
    </row>
    <row r="2968">
      <c r="A2968" s="2" t="s">
        <v>13451</v>
      </c>
      <c r="B2968" s="1">
        <v>200.0</v>
      </c>
      <c r="C2968" s="1" t="s">
        <v>9011</v>
      </c>
      <c r="D2968" s="1" t="s">
        <v>609</v>
      </c>
      <c r="E2968" s="1" t="s">
        <v>631</v>
      </c>
    </row>
    <row r="2969">
      <c r="A2969" s="2" t="s">
        <v>13452</v>
      </c>
      <c r="B2969" s="1">
        <v>200.0</v>
      </c>
      <c r="C2969" s="1" t="s">
        <v>9212</v>
      </c>
      <c r="D2969" s="1" t="s">
        <v>609</v>
      </c>
      <c r="E2969" s="1" t="s">
        <v>631</v>
      </c>
      <c r="F2969" s="1">
        <v>0.0</v>
      </c>
      <c r="G2969" s="1">
        <v>1.0</v>
      </c>
      <c r="H2969" s="1">
        <v>0.0</v>
      </c>
      <c r="I2969" s="1">
        <v>8.0</v>
      </c>
    </row>
    <row r="2970">
      <c r="A2970" s="2" t="s">
        <v>13453</v>
      </c>
      <c r="B2970" s="1">
        <v>200.0</v>
      </c>
      <c r="C2970" s="1" t="s">
        <v>9212</v>
      </c>
      <c r="D2970" s="1" t="s">
        <v>609</v>
      </c>
      <c r="E2970" s="1" t="s">
        <v>631</v>
      </c>
    </row>
    <row r="2971">
      <c r="A2971" s="2" t="s">
        <v>13454</v>
      </c>
      <c r="B2971" s="1">
        <v>200.0</v>
      </c>
      <c r="C2971" s="1" t="s">
        <v>9212</v>
      </c>
      <c r="D2971" s="1" t="s">
        <v>609</v>
      </c>
      <c r="E2971" s="1" t="s">
        <v>631</v>
      </c>
    </row>
    <row r="2972">
      <c r="A2972" s="2" t="s">
        <v>13455</v>
      </c>
      <c r="B2972" s="1">
        <v>200.0</v>
      </c>
      <c r="C2972" s="1" t="s">
        <v>9212</v>
      </c>
      <c r="D2972" s="1" t="s">
        <v>609</v>
      </c>
      <c r="E2972" s="1" t="s">
        <v>631</v>
      </c>
    </row>
    <row r="2973">
      <c r="A2973" s="2" t="s">
        <v>13456</v>
      </c>
      <c r="B2973" s="1">
        <v>200.0</v>
      </c>
      <c r="C2973" s="1" t="s">
        <v>9212</v>
      </c>
      <c r="D2973" s="1" t="s">
        <v>609</v>
      </c>
      <c r="E2973" s="1" t="s">
        <v>631</v>
      </c>
    </row>
    <row r="2974">
      <c r="A2974" s="2" t="s">
        <v>13457</v>
      </c>
      <c r="B2974" s="1">
        <v>200.0</v>
      </c>
      <c r="C2974" s="1" t="s">
        <v>9212</v>
      </c>
      <c r="D2974" s="1" t="s">
        <v>609</v>
      </c>
      <c r="E2974" s="1" t="s">
        <v>631</v>
      </c>
    </row>
    <row r="2975">
      <c r="A2975" s="2" t="s">
        <v>13458</v>
      </c>
      <c r="B2975" s="1">
        <v>200.0</v>
      </c>
      <c r="C2975" s="1" t="s">
        <v>9011</v>
      </c>
      <c r="D2975" s="1" t="s">
        <v>609</v>
      </c>
      <c r="E2975" s="1" t="s">
        <v>631</v>
      </c>
    </row>
    <row r="2976">
      <c r="A2976" s="2" t="s">
        <v>13459</v>
      </c>
      <c r="B2976" s="1">
        <v>200.0</v>
      </c>
      <c r="C2976" s="1" t="s">
        <v>9212</v>
      </c>
      <c r="D2976" s="1" t="s">
        <v>609</v>
      </c>
      <c r="E2976" s="1" t="s">
        <v>631</v>
      </c>
    </row>
    <row r="2977">
      <c r="A2977" s="2" t="s">
        <v>13460</v>
      </c>
      <c r="B2977" s="1">
        <v>200.0</v>
      </c>
      <c r="C2977" s="1" t="s">
        <v>9011</v>
      </c>
      <c r="D2977" s="1" t="s">
        <v>609</v>
      </c>
      <c r="E2977" s="1" t="s">
        <v>631</v>
      </c>
      <c r="F2977" s="1">
        <v>0.0</v>
      </c>
      <c r="G2977" s="1">
        <v>5.0</v>
      </c>
      <c r="H2977" s="1">
        <v>0.0</v>
      </c>
      <c r="I2977" s="1">
        <v>6.0</v>
      </c>
    </row>
    <row r="2978">
      <c r="A2978" s="2" t="s">
        <v>13461</v>
      </c>
      <c r="B2978" s="1">
        <v>200.0</v>
      </c>
      <c r="C2978" s="1" t="s">
        <v>9011</v>
      </c>
      <c r="D2978" s="1" t="s">
        <v>609</v>
      </c>
      <c r="E2978" s="1" t="s">
        <v>631</v>
      </c>
    </row>
    <row r="2979">
      <c r="A2979" s="2" t="s">
        <v>13462</v>
      </c>
      <c r="B2979" s="1">
        <v>200.0</v>
      </c>
      <c r="C2979" s="1" t="s">
        <v>9212</v>
      </c>
      <c r="D2979" s="1" t="s">
        <v>609</v>
      </c>
      <c r="E2979" s="1" t="s">
        <v>631</v>
      </c>
    </row>
    <row r="2980">
      <c r="A2980" s="2" t="s">
        <v>13463</v>
      </c>
      <c r="B2980" s="1">
        <v>200.0</v>
      </c>
      <c r="C2980" s="1" t="s">
        <v>9058</v>
      </c>
      <c r="D2980" s="1" t="s">
        <v>609</v>
      </c>
      <c r="E2980" s="1" t="s">
        <v>631</v>
      </c>
    </row>
    <row r="2981">
      <c r="A2981" s="2" t="s">
        <v>13464</v>
      </c>
      <c r="B2981" s="1">
        <v>200.0</v>
      </c>
      <c r="C2981" s="1" t="s">
        <v>9058</v>
      </c>
      <c r="D2981" s="1" t="s">
        <v>609</v>
      </c>
      <c r="E2981" s="1" t="s">
        <v>631</v>
      </c>
    </row>
    <row r="2982">
      <c r="A2982" s="2" t="s">
        <v>13465</v>
      </c>
      <c r="B2982" s="1">
        <v>200.0</v>
      </c>
      <c r="C2982" s="1" t="s">
        <v>9058</v>
      </c>
      <c r="D2982" s="1" t="s">
        <v>609</v>
      </c>
      <c r="E2982" s="1" t="s">
        <v>631</v>
      </c>
    </row>
    <row r="2983">
      <c r="A2983" s="2" t="s">
        <v>13466</v>
      </c>
      <c r="B2983" s="1">
        <v>200.0</v>
      </c>
      <c r="C2983" s="1" t="s">
        <v>9058</v>
      </c>
      <c r="D2983" s="1" t="s">
        <v>609</v>
      </c>
      <c r="E2983" s="1" t="s">
        <v>631</v>
      </c>
    </row>
    <row r="2984">
      <c r="A2984" s="2" t="s">
        <v>13467</v>
      </c>
      <c r="B2984" s="1">
        <v>200.0</v>
      </c>
      <c r="C2984" s="1" t="s">
        <v>9212</v>
      </c>
      <c r="D2984" s="1" t="s">
        <v>609</v>
      </c>
      <c r="E2984" s="1" t="s">
        <v>631</v>
      </c>
    </row>
    <row r="2985">
      <c r="A2985" s="2" t="s">
        <v>13468</v>
      </c>
      <c r="B2985" s="1">
        <v>200.0</v>
      </c>
      <c r="C2985" s="1" t="s">
        <v>9011</v>
      </c>
      <c r="D2985" s="1" t="s">
        <v>609</v>
      </c>
      <c r="E2985" s="1" t="s">
        <v>631</v>
      </c>
    </row>
    <row r="2986">
      <c r="A2986" s="2" t="s">
        <v>13469</v>
      </c>
      <c r="B2986" s="1">
        <v>200.0</v>
      </c>
      <c r="C2986" s="1" t="s">
        <v>9011</v>
      </c>
      <c r="D2986" s="1" t="s">
        <v>609</v>
      </c>
      <c r="E2986" s="1" t="s">
        <v>631</v>
      </c>
    </row>
    <row r="2987">
      <c r="A2987" s="2" t="s">
        <v>13470</v>
      </c>
      <c r="B2987" s="1">
        <v>200.0</v>
      </c>
      <c r="C2987" s="1" t="s">
        <v>9011</v>
      </c>
      <c r="D2987" s="1" t="s">
        <v>609</v>
      </c>
      <c r="E2987" s="1" t="s">
        <v>631</v>
      </c>
      <c r="F2987" s="1">
        <v>0.0</v>
      </c>
      <c r="G2987" s="1">
        <v>7.0</v>
      </c>
      <c r="H2987" s="1">
        <v>0.0</v>
      </c>
      <c r="I2987" s="1">
        <v>28.0</v>
      </c>
    </row>
    <row r="2988">
      <c r="A2988" s="2" t="s">
        <v>13471</v>
      </c>
      <c r="B2988" s="1">
        <v>200.0</v>
      </c>
      <c r="C2988" s="1" t="s">
        <v>9011</v>
      </c>
      <c r="D2988" s="1" t="s">
        <v>609</v>
      </c>
      <c r="E2988" s="1" t="s">
        <v>631</v>
      </c>
    </row>
    <row r="2989">
      <c r="A2989" s="2" t="s">
        <v>13472</v>
      </c>
      <c r="B2989" s="1">
        <v>200.0</v>
      </c>
      <c r="C2989" s="1" t="s">
        <v>9212</v>
      </c>
      <c r="D2989" s="1" t="s">
        <v>609</v>
      </c>
      <c r="E2989" s="1" t="s">
        <v>631</v>
      </c>
    </row>
    <row r="2990">
      <c r="A2990" s="2" t="s">
        <v>13473</v>
      </c>
      <c r="B2990" s="1">
        <v>200.0</v>
      </c>
      <c r="C2990" s="1" t="s">
        <v>9212</v>
      </c>
      <c r="D2990" s="1" t="s">
        <v>609</v>
      </c>
      <c r="E2990" s="1" t="s">
        <v>631</v>
      </c>
    </row>
    <row r="2991">
      <c r="A2991" s="2" t="s">
        <v>13474</v>
      </c>
      <c r="B2991" s="1">
        <v>200.0</v>
      </c>
      <c r="C2991" s="1" t="s">
        <v>9212</v>
      </c>
      <c r="D2991" s="1" t="s">
        <v>609</v>
      </c>
      <c r="E2991" s="1" t="s">
        <v>631</v>
      </c>
    </row>
    <row r="2992">
      <c r="A2992" s="2" t="s">
        <v>13475</v>
      </c>
      <c r="B2992" s="1">
        <v>200.0</v>
      </c>
      <c r="C2992" s="1" t="s">
        <v>9212</v>
      </c>
      <c r="D2992" s="1" t="s">
        <v>609</v>
      </c>
      <c r="E2992" s="1" t="s">
        <v>631</v>
      </c>
    </row>
    <row r="2993">
      <c r="A2993" s="2" t="s">
        <v>13476</v>
      </c>
      <c r="B2993" s="1">
        <v>200.0</v>
      </c>
      <c r="C2993" s="1" t="s">
        <v>9212</v>
      </c>
      <c r="D2993" s="1" t="s">
        <v>609</v>
      </c>
      <c r="E2993" s="1" t="s">
        <v>631</v>
      </c>
    </row>
    <row r="2994">
      <c r="A2994" s="2" t="s">
        <v>13477</v>
      </c>
      <c r="B2994" s="1">
        <v>200.0</v>
      </c>
      <c r="C2994" s="1" t="s">
        <v>9011</v>
      </c>
      <c r="D2994" s="1" t="s">
        <v>609</v>
      </c>
      <c r="E2994" s="1" t="s">
        <v>631</v>
      </c>
    </row>
    <row r="2995">
      <c r="A2995" s="2" t="s">
        <v>13478</v>
      </c>
      <c r="B2995" s="1">
        <v>200.0</v>
      </c>
      <c r="C2995" s="1" t="s">
        <v>9011</v>
      </c>
      <c r="D2995" s="1" t="s">
        <v>609</v>
      </c>
      <c r="E2995" s="1" t="s">
        <v>631</v>
      </c>
    </row>
    <row r="2996">
      <c r="A2996" s="2" t="s">
        <v>13479</v>
      </c>
      <c r="B2996" s="1">
        <v>200.0</v>
      </c>
      <c r="C2996" s="1" t="s">
        <v>9011</v>
      </c>
      <c r="D2996" s="1" t="s">
        <v>609</v>
      </c>
      <c r="E2996" s="1" t="s">
        <v>631</v>
      </c>
    </row>
    <row r="2997">
      <c r="A2997" s="2" t="s">
        <v>13480</v>
      </c>
      <c r="B2997" s="1">
        <v>200.0</v>
      </c>
      <c r="C2997" s="1" t="s">
        <v>9011</v>
      </c>
      <c r="D2997" s="1" t="s">
        <v>609</v>
      </c>
      <c r="E2997" s="1" t="s">
        <v>631</v>
      </c>
    </row>
    <row r="2998">
      <c r="A2998" s="2" t="s">
        <v>13481</v>
      </c>
      <c r="B2998" s="1">
        <v>200.0</v>
      </c>
      <c r="C2998" s="1" t="s">
        <v>9011</v>
      </c>
      <c r="D2998" s="1" t="s">
        <v>609</v>
      </c>
      <c r="E2998" s="1" t="s">
        <v>631</v>
      </c>
    </row>
    <row r="2999">
      <c r="A2999" s="2" t="s">
        <v>13482</v>
      </c>
      <c r="B2999" s="1">
        <v>200.0</v>
      </c>
      <c r="C2999" s="1" t="s">
        <v>9212</v>
      </c>
      <c r="D2999" s="1" t="s">
        <v>609</v>
      </c>
      <c r="E2999" s="1" t="s">
        <v>631</v>
      </c>
    </row>
    <row r="3000">
      <c r="A3000" s="2" t="s">
        <v>13483</v>
      </c>
      <c r="B3000" s="1">
        <v>200.0</v>
      </c>
      <c r="C3000" s="1" t="s">
        <v>9212</v>
      </c>
      <c r="D3000" s="1" t="s">
        <v>609</v>
      </c>
      <c r="E3000" s="1" t="s">
        <v>631</v>
      </c>
      <c r="F3000" s="1">
        <v>0.0</v>
      </c>
      <c r="G3000" s="1">
        <v>1.0</v>
      </c>
      <c r="H3000" s="1">
        <v>0.0</v>
      </c>
      <c r="I3000" s="1">
        <v>9.0</v>
      </c>
    </row>
    <row r="3001">
      <c r="A3001" s="2" t="s">
        <v>13484</v>
      </c>
      <c r="B3001" s="1">
        <v>200.0</v>
      </c>
      <c r="C3001" s="1" t="s">
        <v>9058</v>
      </c>
      <c r="D3001" s="1" t="s">
        <v>609</v>
      </c>
      <c r="E3001" s="1" t="s">
        <v>631</v>
      </c>
    </row>
    <row r="3002">
      <c r="A3002" s="2" t="s">
        <v>13485</v>
      </c>
      <c r="B3002" s="1">
        <v>200.0</v>
      </c>
      <c r="C3002" s="1" t="s">
        <v>9058</v>
      </c>
      <c r="D3002" s="1" t="s">
        <v>609</v>
      </c>
      <c r="E3002" s="1" t="s">
        <v>631</v>
      </c>
    </row>
    <row r="3003">
      <c r="A3003" s="2" t="s">
        <v>13486</v>
      </c>
      <c r="B3003" s="1">
        <v>200.0</v>
      </c>
      <c r="C3003" s="1" t="s">
        <v>9058</v>
      </c>
      <c r="D3003" s="1" t="s">
        <v>609</v>
      </c>
      <c r="E3003" s="1" t="s">
        <v>631</v>
      </c>
    </row>
    <row r="3004">
      <c r="A3004" s="2" t="s">
        <v>13487</v>
      </c>
      <c r="B3004" s="1">
        <v>200.0</v>
      </c>
      <c r="C3004" s="1" t="s">
        <v>9058</v>
      </c>
      <c r="D3004" s="1" t="s">
        <v>609</v>
      </c>
      <c r="E3004" s="1" t="s">
        <v>631</v>
      </c>
    </row>
    <row r="3005">
      <c r="A3005" s="2" t="s">
        <v>13488</v>
      </c>
      <c r="B3005" s="1">
        <v>200.0</v>
      </c>
      <c r="C3005" s="1" t="s">
        <v>9058</v>
      </c>
      <c r="D3005" s="1" t="s">
        <v>609</v>
      </c>
      <c r="E3005" s="1" t="s">
        <v>631</v>
      </c>
    </row>
    <row r="3006">
      <c r="A3006" s="2" t="s">
        <v>13489</v>
      </c>
      <c r="B3006" s="1">
        <v>200.0</v>
      </c>
      <c r="C3006" s="1" t="s">
        <v>9058</v>
      </c>
      <c r="D3006" s="1" t="s">
        <v>609</v>
      </c>
      <c r="E3006" s="1" t="s">
        <v>631</v>
      </c>
    </row>
    <row r="3007">
      <c r="A3007" s="2" t="s">
        <v>13490</v>
      </c>
      <c r="B3007" s="1">
        <v>200.0</v>
      </c>
      <c r="C3007" s="1" t="s">
        <v>9058</v>
      </c>
      <c r="D3007" s="1" t="s">
        <v>609</v>
      </c>
      <c r="E3007" s="1" t="s">
        <v>631</v>
      </c>
    </row>
    <row r="3008">
      <c r="A3008" s="2" t="s">
        <v>13491</v>
      </c>
      <c r="B3008" s="1">
        <v>200.0</v>
      </c>
      <c r="C3008" s="1" t="s">
        <v>9058</v>
      </c>
      <c r="D3008" s="1" t="s">
        <v>609</v>
      </c>
      <c r="E3008" s="1" t="s">
        <v>631</v>
      </c>
    </row>
    <row r="3009">
      <c r="A3009" s="2" t="s">
        <v>13492</v>
      </c>
      <c r="B3009" s="1">
        <v>200.0</v>
      </c>
      <c r="C3009" s="1" t="s">
        <v>9212</v>
      </c>
      <c r="D3009" s="1" t="s">
        <v>609</v>
      </c>
      <c r="E3009" s="1" t="s">
        <v>631</v>
      </c>
    </row>
    <row r="3010">
      <c r="A3010" s="2" t="s">
        <v>13493</v>
      </c>
      <c r="B3010" s="1">
        <v>200.0</v>
      </c>
      <c r="C3010" s="1" t="s">
        <v>9058</v>
      </c>
      <c r="D3010" s="1" t="s">
        <v>609</v>
      </c>
      <c r="E3010" s="1" t="s">
        <v>631</v>
      </c>
    </row>
    <row r="3011">
      <c r="A3011" s="2" t="s">
        <v>13494</v>
      </c>
      <c r="B3011" s="1">
        <v>200.0</v>
      </c>
      <c r="C3011" s="1" t="s">
        <v>9011</v>
      </c>
      <c r="D3011" s="1" t="s">
        <v>609</v>
      </c>
      <c r="E3011" s="1" t="s">
        <v>631</v>
      </c>
    </row>
    <row r="3012">
      <c r="A3012" s="2" t="s">
        <v>13495</v>
      </c>
      <c r="B3012" s="1">
        <v>200.0</v>
      </c>
      <c r="C3012" s="1" t="s">
        <v>9011</v>
      </c>
      <c r="D3012" s="1" t="s">
        <v>609</v>
      </c>
      <c r="E3012" s="1" t="s">
        <v>631</v>
      </c>
    </row>
    <row r="3013">
      <c r="A3013" s="2" t="s">
        <v>13496</v>
      </c>
      <c r="B3013" s="1">
        <v>200.0</v>
      </c>
      <c r="C3013" s="1" t="s">
        <v>9011</v>
      </c>
      <c r="D3013" s="1" t="s">
        <v>609</v>
      </c>
      <c r="E3013" s="1" t="s">
        <v>631</v>
      </c>
    </row>
    <row r="3014">
      <c r="A3014" s="2" t="s">
        <v>13497</v>
      </c>
      <c r="B3014" s="1">
        <v>200.0</v>
      </c>
      <c r="C3014" s="1" t="s">
        <v>9011</v>
      </c>
      <c r="D3014" s="1" t="s">
        <v>609</v>
      </c>
      <c r="E3014" s="1" t="s">
        <v>631</v>
      </c>
    </row>
    <row r="3015">
      <c r="A3015" s="2" t="s">
        <v>13498</v>
      </c>
      <c r="B3015" s="1">
        <v>200.0</v>
      </c>
      <c r="C3015" s="1" t="s">
        <v>9212</v>
      </c>
      <c r="D3015" s="1" t="s">
        <v>609</v>
      </c>
      <c r="E3015" s="1" t="s">
        <v>631</v>
      </c>
    </row>
    <row r="3016">
      <c r="A3016" s="2" t="s">
        <v>13499</v>
      </c>
      <c r="B3016" s="1">
        <v>200.0</v>
      </c>
      <c r="C3016" s="1" t="s">
        <v>9212</v>
      </c>
      <c r="D3016" s="1" t="s">
        <v>609</v>
      </c>
      <c r="E3016" s="1" t="s">
        <v>631</v>
      </c>
    </row>
    <row r="3017">
      <c r="A3017" s="2" t="s">
        <v>13500</v>
      </c>
      <c r="B3017" s="1">
        <v>200.0</v>
      </c>
      <c r="C3017" s="1" t="s">
        <v>9058</v>
      </c>
      <c r="D3017" s="1" t="s">
        <v>609</v>
      </c>
      <c r="E3017" s="1" t="s">
        <v>631</v>
      </c>
    </row>
    <row r="3018">
      <c r="A3018" s="2" t="s">
        <v>13501</v>
      </c>
      <c r="B3018" s="1">
        <v>200.0</v>
      </c>
      <c r="C3018" s="1" t="s">
        <v>9212</v>
      </c>
      <c r="D3018" s="1" t="s">
        <v>609</v>
      </c>
      <c r="E3018" s="1" t="s">
        <v>631</v>
      </c>
    </row>
    <row r="3019">
      <c r="A3019" s="2" t="s">
        <v>13502</v>
      </c>
      <c r="B3019" s="1">
        <v>200.0</v>
      </c>
      <c r="C3019" s="1" t="s">
        <v>9058</v>
      </c>
      <c r="D3019" s="1" t="s">
        <v>609</v>
      </c>
      <c r="E3019" s="1" t="s">
        <v>631</v>
      </c>
    </row>
    <row r="3020">
      <c r="A3020" s="2" t="s">
        <v>13503</v>
      </c>
      <c r="B3020" s="1">
        <v>200.0</v>
      </c>
      <c r="C3020" s="1" t="s">
        <v>9011</v>
      </c>
      <c r="D3020" s="1" t="s">
        <v>609</v>
      </c>
      <c r="E3020" s="1" t="s">
        <v>631</v>
      </c>
      <c r="F3020" s="1">
        <v>0.0</v>
      </c>
      <c r="G3020" s="1">
        <v>16.0</v>
      </c>
      <c r="H3020" s="1">
        <v>0.0</v>
      </c>
      <c r="I3020" s="1">
        <v>10.06</v>
      </c>
    </row>
    <row r="3021">
      <c r="A3021" s="2" t="s">
        <v>13504</v>
      </c>
      <c r="B3021" s="1">
        <v>200.0</v>
      </c>
      <c r="C3021" s="1" t="s">
        <v>9058</v>
      </c>
      <c r="D3021" s="1" t="s">
        <v>609</v>
      </c>
      <c r="E3021" s="1" t="s">
        <v>631</v>
      </c>
    </row>
    <row r="3022">
      <c r="A3022" s="2" t="s">
        <v>13505</v>
      </c>
      <c r="B3022" s="1">
        <v>200.0</v>
      </c>
      <c r="C3022" s="1" t="s">
        <v>9212</v>
      </c>
      <c r="D3022" s="1" t="s">
        <v>609</v>
      </c>
      <c r="E3022" s="1" t="s">
        <v>631</v>
      </c>
    </row>
    <row r="3023">
      <c r="A3023" s="2" t="s">
        <v>13506</v>
      </c>
      <c r="B3023" s="1">
        <v>200.0</v>
      </c>
      <c r="C3023" s="1" t="s">
        <v>9212</v>
      </c>
      <c r="D3023" s="1" t="s">
        <v>609</v>
      </c>
      <c r="E3023" s="1" t="s">
        <v>631</v>
      </c>
    </row>
    <row r="3024">
      <c r="A3024" s="2" t="s">
        <v>13507</v>
      </c>
      <c r="B3024" s="1">
        <v>200.0</v>
      </c>
      <c r="C3024" s="1" t="s">
        <v>9212</v>
      </c>
      <c r="D3024" s="1" t="s">
        <v>609</v>
      </c>
      <c r="E3024" s="1" t="s">
        <v>631</v>
      </c>
    </row>
    <row r="3025">
      <c r="A3025" s="2" t="s">
        <v>13508</v>
      </c>
      <c r="B3025" s="1">
        <v>200.0</v>
      </c>
      <c r="C3025" s="1" t="s">
        <v>9011</v>
      </c>
      <c r="D3025" s="1" t="s">
        <v>609</v>
      </c>
      <c r="E3025" s="1" t="s">
        <v>631</v>
      </c>
      <c r="F3025" s="1">
        <v>0.0</v>
      </c>
      <c r="G3025" s="1">
        <v>1.0</v>
      </c>
      <c r="H3025" s="1">
        <v>0.0</v>
      </c>
      <c r="I3025" s="1">
        <v>8.0</v>
      </c>
    </row>
    <row r="3026">
      <c r="A3026" s="2" t="s">
        <v>13509</v>
      </c>
      <c r="B3026" s="1">
        <v>200.0</v>
      </c>
      <c r="C3026" s="1" t="s">
        <v>9011</v>
      </c>
      <c r="D3026" s="1" t="s">
        <v>609</v>
      </c>
      <c r="E3026" s="1" t="s">
        <v>631</v>
      </c>
    </row>
    <row r="3027">
      <c r="A3027" s="2" t="s">
        <v>13510</v>
      </c>
      <c r="B3027" s="1">
        <v>200.0</v>
      </c>
      <c r="C3027" s="1" t="s">
        <v>9011</v>
      </c>
      <c r="D3027" s="1" t="s">
        <v>609</v>
      </c>
      <c r="E3027" s="1" t="s">
        <v>631</v>
      </c>
    </row>
    <row r="3028">
      <c r="A3028" s="2" t="s">
        <v>13511</v>
      </c>
      <c r="B3028" s="1">
        <v>200.0</v>
      </c>
      <c r="C3028" s="1" t="s">
        <v>9058</v>
      </c>
      <c r="D3028" s="1" t="s">
        <v>609</v>
      </c>
      <c r="E3028" s="1" t="s">
        <v>631</v>
      </c>
    </row>
    <row r="3029">
      <c r="A3029" s="2" t="s">
        <v>13512</v>
      </c>
      <c r="B3029" s="1">
        <v>200.0</v>
      </c>
      <c r="C3029" s="1" t="s">
        <v>9058</v>
      </c>
      <c r="D3029" s="1" t="s">
        <v>609</v>
      </c>
      <c r="E3029" s="1" t="s">
        <v>631</v>
      </c>
    </row>
    <row r="3030">
      <c r="A3030" s="2" t="s">
        <v>13513</v>
      </c>
      <c r="B3030" s="1">
        <v>200.0</v>
      </c>
      <c r="C3030" s="1" t="s">
        <v>9058</v>
      </c>
      <c r="D3030" s="1" t="s">
        <v>609</v>
      </c>
      <c r="E3030" s="1" t="s">
        <v>631</v>
      </c>
      <c r="F3030" s="1">
        <v>0.0</v>
      </c>
      <c r="G3030" s="1">
        <v>8.0</v>
      </c>
      <c r="H3030" s="1">
        <v>0.0</v>
      </c>
      <c r="I3030" s="1">
        <v>6.75</v>
      </c>
    </row>
    <row r="3031">
      <c r="A3031" s="2" t="s">
        <v>13514</v>
      </c>
      <c r="B3031" s="1">
        <v>200.0</v>
      </c>
      <c r="C3031" s="1" t="s">
        <v>9058</v>
      </c>
      <c r="D3031" s="1" t="s">
        <v>609</v>
      </c>
      <c r="E3031" s="1" t="s">
        <v>631</v>
      </c>
    </row>
    <row r="3032">
      <c r="A3032" s="2" t="s">
        <v>13515</v>
      </c>
      <c r="B3032" s="1">
        <v>200.0</v>
      </c>
      <c r="C3032" s="1" t="s">
        <v>9011</v>
      </c>
      <c r="D3032" s="1" t="s">
        <v>609</v>
      </c>
      <c r="E3032" s="1" t="s">
        <v>631</v>
      </c>
    </row>
    <row r="3033">
      <c r="A3033" s="2" t="s">
        <v>13516</v>
      </c>
      <c r="B3033" s="1">
        <v>200.0</v>
      </c>
      <c r="C3033" s="1" t="s">
        <v>9011</v>
      </c>
      <c r="D3033" s="1" t="s">
        <v>609</v>
      </c>
      <c r="E3033" s="1" t="s">
        <v>631</v>
      </c>
    </row>
    <row r="3034">
      <c r="A3034" s="2" t="s">
        <v>13517</v>
      </c>
      <c r="B3034" s="1">
        <v>200.0</v>
      </c>
      <c r="C3034" s="1" t="s">
        <v>9212</v>
      </c>
      <c r="D3034" s="1" t="s">
        <v>609</v>
      </c>
      <c r="E3034" s="1" t="s">
        <v>631</v>
      </c>
    </row>
    <row r="3035">
      <c r="A3035" s="2" t="s">
        <v>13518</v>
      </c>
      <c r="B3035" s="1">
        <v>200.0</v>
      </c>
      <c r="C3035" s="1" t="s">
        <v>9011</v>
      </c>
      <c r="D3035" s="1" t="s">
        <v>609</v>
      </c>
      <c r="E3035" s="1" t="s">
        <v>631</v>
      </c>
      <c r="F3035" s="1">
        <v>0.0</v>
      </c>
      <c r="G3035" s="1">
        <v>2.0</v>
      </c>
      <c r="H3035" s="1">
        <v>0.0</v>
      </c>
      <c r="I3035" s="1">
        <v>8.5</v>
      </c>
    </row>
    <row r="3036">
      <c r="A3036" s="2" t="s">
        <v>13519</v>
      </c>
      <c r="B3036" s="1">
        <v>200.0</v>
      </c>
      <c r="C3036" s="1" t="s">
        <v>9212</v>
      </c>
      <c r="D3036" s="1" t="s">
        <v>609</v>
      </c>
      <c r="E3036" s="1" t="s">
        <v>631</v>
      </c>
    </row>
    <row r="3037">
      <c r="A3037" s="2" t="s">
        <v>13520</v>
      </c>
      <c r="B3037" s="1">
        <v>200.0</v>
      </c>
      <c r="C3037" s="1" t="s">
        <v>9212</v>
      </c>
      <c r="D3037" s="1" t="s">
        <v>609</v>
      </c>
      <c r="E3037" s="1" t="s">
        <v>631</v>
      </c>
    </row>
    <row r="3038">
      <c r="A3038" s="2" t="s">
        <v>13521</v>
      </c>
      <c r="B3038" s="1">
        <v>200.0</v>
      </c>
      <c r="C3038" s="1" t="s">
        <v>9011</v>
      </c>
      <c r="D3038" s="1" t="s">
        <v>609</v>
      </c>
      <c r="E3038" s="1" t="s">
        <v>631</v>
      </c>
    </row>
    <row r="3039">
      <c r="A3039" s="2" t="s">
        <v>13522</v>
      </c>
      <c r="B3039" s="1">
        <v>200.0</v>
      </c>
      <c r="C3039" s="1" t="s">
        <v>9058</v>
      </c>
      <c r="D3039" s="1" t="s">
        <v>609</v>
      </c>
      <c r="E3039" s="1" t="s">
        <v>631</v>
      </c>
    </row>
    <row r="3040">
      <c r="A3040" s="2" t="s">
        <v>13523</v>
      </c>
      <c r="B3040" s="1">
        <v>200.0</v>
      </c>
      <c r="C3040" s="1" t="s">
        <v>9212</v>
      </c>
      <c r="D3040" s="1" t="s">
        <v>609</v>
      </c>
      <c r="E3040" s="1" t="s">
        <v>631</v>
      </c>
    </row>
    <row r="3041">
      <c r="A3041" s="2" t="s">
        <v>13524</v>
      </c>
      <c r="B3041" s="1">
        <v>200.0</v>
      </c>
      <c r="C3041" s="1" t="s">
        <v>9212</v>
      </c>
      <c r="D3041" s="1" t="s">
        <v>609</v>
      </c>
      <c r="E3041" s="1" t="s">
        <v>631</v>
      </c>
    </row>
    <row r="3042">
      <c r="A3042" s="2" t="s">
        <v>13525</v>
      </c>
      <c r="B3042" s="1">
        <v>200.0</v>
      </c>
      <c r="C3042" s="1" t="s">
        <v>9058</v>
      </c>
      <c r="D3042" s="1" t="s">
        <v>609</v>
      </c>
      <c r="E3042" s="1" t="s">
        <v>631</v>
      </c>
    </row>
    <row r="3043">
      <c r="A3043" s="2" t="s">
        <v>13526</v>
      </c>
      <c r="B3043" s="1">
        <v>200.0</v>
      </c>
      <c r="C3043" s="1" t="s">
        <v>9058</v>
      </c>
      <c r="D3043" s="1" t="s">
        <v>609</v>
      </c>
      <c r="E3043" s="1" t="s">
        <v>631</v>
      </c>
    </row>
    <row r="3044">
      <c r="A3044" s="2" t="s">
        <v>13527</v>
      </c>
      <c r="B3044" s="1">
        <v>200.0</v>
      </c>
      <c r="C3044" s="1" t="s">
        <v>9212</v>
      </c>
      <c r="D3044" s="1" t="s">
        <v>609</v>
      </c>
      <c r="E3044" s="1" t="s">
        <v>631</v>
      </c>
    </row>
    <row r="3045">
      <c r="A3045" s="2" t="s">
        <v>13528</v>
      </c>
      <c r="B3045" s="1">
        <v>200.0</v>
      </c>
      <c r="C3045" s="1" t="s">
        <v>9058</v>
      </c>
      <c r="D3045" s="1" t="s">
        <v>609</v>
      </c>
      <c r="E3045" s="1" t="s">
        <v>631</v>
      </c>
    </row>
    <row r="3046">
      <c r="A3046" s="2" t="s">
        <v>13529</v>
      </c>
      <c r="B3046" s="1">
        <v>200.0</v>
      </c>
      <c r="C3046" s="1" t="s">
        <v>9058</v>
      </c>
      <c r="D3046" s="1" t="s">
        <v>609</v>
      </c>
      <c r="E3046" s="1" t="s">
        <v>631</v>
      </c>
    </row>
    <row r="3047">
      <c r="A3047" s="2" t="s">
        <v>13530</v>
      </c>
      <c r="B3047" s="1">
        <v>200.0</v>
      </c>
      <c r="C3047" s="1" t="s">
        <v>9212</v>
      </c>
      <c r="D3047" s="1" t="s">
        <v>609</v>
      </c>
      <c r="E3047" s="1" t="s">
        <v>631</v>
      </c>
    </row>
    <row r="3048">
      <c r="A3048" s="2" t="s">
        <v>13531</v>
      </c>
      <c r="B3048" s="1">
        <v>200.0</v>
      </c>
      <c r="C3048" s="1" t="s">
        <v>9058</v>
      </c>
      <c r="D3048" s="1" t="s">
        <v>609</v>
      </c>
      <c r="E3048" s="1" t="s">
        <v>631</v>
      </c>
    </row>
    <row r="3049">
      <c r="A3049" s="2" t="s">
        <v>13532</v>
      </c>
      <c r="B3049" s="1">
        <v>200.0</v>
      </c>
      <c r="C3049" s="1" t="s">
        <v>9212</v>
      </c>
      <c r="D3049" s="1" t="s">
        <v>609</v>
      </c>
      <c r="E3049" s="1" t="s">
        <v>631</v>
      </c>
    </row>
    <row r="3050">
      <c r="A3050" s="2" t="s">
        <v>13533</v>
      </c>
      <c r="B3050" s="1">
        <v>200.0</v>
      </c>
      <c r="C3050" s="1" t="s">
        <v>9011</v>
      </c>
      <c r="D3050" s="1" t="s">
        <v>609</v>
      </c>
      <c r="E3050" s="1" t="s">
        <v>631</v>
      </c>
    </row>
    <row r="3051">
      <c r="A3051" s="2" t="s">
        <v>13534</v>
      </c>
      <c r="B3051" s="1">
        <v>200.0</v>
      </c>
      <c r="C3051" s="1" t="s">
        <v>9011</v>
      </c>
      <c r="D3051" s="1" t="s">
        <v>609</v>
      </c>
      <c r="E3051" s="1" t="s">
        <v>631</v>
      </c>
    </row>
    <row r="3052">
      <c r="A3052" s="2" t="s">
        <v>13535</v>
      </c>
      <c r="B3052" s="1">
        <v>200.0</v>
      </c>
      <c r="C3052" s="1" t="s">
        <v>9011</v>
      </c>
      <c r="D3052" s="1" t="s">
        <v>609</v>
      </c>
      <c r="E3052" s="1" t="s">
        <v>631</v>
      </c>
    </row>
    <row r="3053">
      <c r="A3053" s="2" t="s">
        <v>13536</v>
      </c>
      <c r="B3053" s="1">
        <v>200.0</v>
      </c>
      <c r="C3053" s="1" t="s">
        <v>9011</v>
      </c>
      <c r="D3053" s="1" t="s">
        <v>609</v>
      </c>
      <c r="E3053" s="1" t="s">
        <v>631</v>
      </c>
    </row>
    <row r="3054">
      <c r="A3054" s="2" t="s">
        <v>13537</v>
      </c>
      <c r="B3054" s="1">
        <v>200.0</v>
      </c>
      <c r="C3054" s="1" t="s">
        <v>9058</v>
      </c>
      <c r="D3054" s="1" t="s">
        <v>609</v>
      </c>
      <c r="E3054" s="1" t="s">
        <v>631</v>
      </c>
    </row>
    <row r="3055">
      <c r="A3055" s="2" t="s">
        <v>13538</v>
      </c>
      <c r="B3055" s="1">
        <v>200.0</v>
      </c>
      <c r="C3055" s="1" t="s">
        <v>9058</v>
      </c>
      <c r="D3055" s="1" t="s">
        <v>609</v>
      </c>
      <c r="E3055" s="1" t="s">
        <v>631</v>
      </c>
    </row>
    <row r="3056">
      <c r="A3056" s="2" t="s">
        <v>13539</v>
      </c>
      <c r="B3056" s="1">
        <v>200.0</v>
      </c>
      <c r="C3056" s="1" t="s">
        <v>9011</v>
      </c>
      <c r="D3056" s="1" t="s">
        <v>609</v>
      </c>
      <c r="E3056" s="1" t="s">
        <v>631</v>
      </c>
    </row>
    <row r="3057">
      <c r="A3057" s="2" t="s">
        <v>13540</v>
      </c>
      <c r="B3057" s="1">
        <v>200.0</v>
      </c>
      <c r="C3057" s="1" t="s">
        <v>9058</v>
      </c>
      <c r="D3057" s="1" t="s">
        <v>609</v>
      </c>
      <c r="E3057" s="1" t="s">
        <v>631</v>
      </c>
      <c r="F3057" s="1">
        <v>0.0</v>
      </c>
      <c r="G3057" s="1">
        <v>7.0</v>
      </c>
      <c r="H3057" s="1">
        <v>0.0</v>
      </c>
      <c r="I3057" s="1">
        <v>20.86</v>
      </c>
    </row>
    <row r="3058">
      <c r="A3058" s="2" t="s">
        <v>13541</v>
      </c>
      <c r="B3058" s="1">
        <v>200.0</v>
      </c>
      <c r="C3058" s="1" t="s">
        <v>9058</v>
      </c>
      <c r="D3058" s="1" t="s">
        <v>609</v>
      </c>
      <c r="E3058" s="1" t="s">
        <v>631</v>
      </c>
    </row>
    <row r="3059">
      <c r="A3059" s="2" t="s">
        <v>13542</v>
      </c>
      <c r="B3059" s="1">
        <v>200.0</v>
      </c>
      <c r="C3059" s="1" t="s">
        <v>9011</v>
      </c>
      <c r="D3059" s="1" t="s">
        <v>609</v>
      </c>
      <c r="E3059" s="1" t="s">
        <v>631</v>
      </c>
    </row>
    <row r="3060">
      <c r="A3060" s="2" t="s">
        <v>13543</v>
      </c>
      <c r="B3060" s="1">
        <v>200.0</v>
      </c>
      <c r="C3060" s="1" t="s">
        <v>9011</v>
      </c>
      <c r="D3060" s="1" t="s">
        <v>609</v>
      </c>
      <c r="E3060" s="1" t="s">
        <v>631</v>
      </c>
    </row>
    <row r="3061">
      <c r="A3061" s="2" t="s">
        <v>13544</v>
      </c>
      <c r="B3061" s="1">
        <v>200.0</v>
      </c>
      <c r="C3061" s="1" t="s">
        <v>9058</v>
      </c>
      <c r="D3061" s="1" t="s">
        <v>609</v>
      </c>
      <c r="E3061" s="1" t="s">
        <v>631</v>
      </c>
    </row>
    <row r="3062">
      <c r="A3062" s="2" t="s">
        <v>13545</v>
      </c>
      <c r="B3062" s="1">
        <v>200.0</v>
      </c>
      <c r="C3062" s="1" t="s">
        <v>9212</v>
      </c>
      <c r="D3062" s="1" t="s">
        <v>609</v>
      </c>
      <c r="E3062" s="1" t="s">
        <v>631</v>
      </c>
    </row>
    <row r="3063">
      <c r="A3063" s="2" t="s">
        <v>13546</v>
      </c>
      <c r="B3063" s="1">
        <v>200.0</v>
      </c>
      <c r="C3063" s="1" t="s">
        <v>9212</v>
      </c>
      <c r="D3063" s="1" t="s">
        <v>609</v>
      </c>
      <c r="E3063" s="1" t="s">
        <v>631</v>
      </c>
    </row>
    <row r="3064">
      <c r="A3064" s="2" t="s">
        <v>13547</v>
      </c>
      <c r="B3064" s="1">
        <v>200.0</v>
      </c>
      <c r="C3064" s="1" t="s">
        <v>9058</v>
      </c>
      <c r="D3064" s="1" t="s">
        <v>609</v>
      </c>
      <c r="E3064" s="1" t="s">
        <v>631</v>
      </c>
    </row>
    <row r="3065">
      <c r="A3065" s="2" t="s">
        <v>13548</v>
      </c>
      <c r="B3065" s="1">
        <v>200.0</v>
      </c>
      <c r="C3065" s="1" t="s">
        <v>9212</v>
      </c>
      <c r="D3065" s="1" t="s">
        <v>609</v>
      </c>
      <c r="E3065" s="1" t="s">
        <v>631</v>
      </c>
    </row>
    <row r="3066">
      <c r="A3066" s="2" t="s">
        <v>13549</v>
      </c>
      <c r="B3066" s="1">
        <v>200.0</v>
      </c>
      <c r="C3066" s="1" t="s">
        <v>9212</v>
      </c>
      <c r="D3066" s="1" t="s">
        <v>609</v>
      </c>
      <c r="E3066" s="1" t="s">
        <v>631</v>
      </c>
    </row>
    <row r="3067">
      <c r="A3067" s="2" t="s">
        <v>13550</v>
      </c>
      <c r="B3067" s="1">
        <v>200.0</v>
      </c>
      <c r="C3067" s="1" t="s">
        <v>9212</v>
      </c>
      <c r="D3067" s="1" t="s">
        <v>609</v>
      </c>
      <c r="E3067" s="1" t="s">
        <v>631</v>
      </c>
    </row>
    <row r="3068">
      <c r="A3068" s="2" t="s">
        <v>13551</v>
      </c>
      <c r="B3068" s="1">
        <v>200.0</v>
      </c>
      <c r="C3068" s="1" t="s">
        <v>9212</v>
      </c>
      <c r="D3068" s="1" t="s">
        <v>609</v>
      </c>
      <c r="E3068" s="1" t="s">
        <v>631</v>
      </c>
      <c r="F3068" s="1">
        <v>0.0</v>
      </c>
      <c r="G3068" s="1">
        <v>1.0</v>
      </c>
      <c r="H3068" s="1">
        <v>0.0</v>
      </c>
      <c r="I3068" s="1">
        <v>8.0</v>
      </c>
    </row>
    <row r="3069">
      <c r="A3069" s="2" t="s">
        <v>13552</v>
      </c>
      <c r="B3069" s="1">
        <v>200.0</v>
      </c>
      <c r="C3069" s="1" t="s">
        <v>9011</v>
      </c>
      <c r="D3069" s="1" t="s">
        <v>609</v>
      </c>
      <c r="E3069" s="1" t="s">
        <v>631</v>
      </c>
    </row>
    <row r="3070">
      <c r="A3070" s="2" t="s">
        <v>13553</v>
      </c>
      <c r="B3070" s="1">
        <v>200.0</v>
      </c>
      <c r="C3070" s="1" t="s">
        <v>9058</v>
      </c>
      <c r="D3070" s="1" t="s">
        <v>609</v>
      </c>
      <c r="E3070" s="1" t="s">
        <v>631</v>
      </c>
    </row>
    <row r="3071">
      <c r="A3071" s="2" t="s">
        <v>13554</v>
      </c>
      <c r="B3071" s="1">
        <v>200.0</v>
      </c>
      <c r="C3071" s="1" t="s">
        <v>9212</v>
      </c>
      <c r="D3071" s="1" t="s">
        <v>609</v>
      </c>
      <c r="E3071" s="1" t="s">
        <v>631</v>
      </c>
    </row>
    <row r="3072">
      <c r="A3072" s="2" t="s">
        <v>13555</v>
      </c>
      <c r="B3072" s="1">
        <v>200.0</v>
      </c>
      <c r="C3072" s="1" t="s">
        <v>9011</v>
      </c>
      <c r="D3072" s="1" t="s">
        <v>609</v>
      </c>
      <c r="E3072" s="1" t="s">
        <v>631</v>
      </c>
    </row>
    <row r="3073">
      <c r="A3073" s="2" t="s">
        <v>13556</v>
      </c>
      <c r="B3073" s="1">
        <v>200.0</v>
      </c>
      <c r="C3073" s="1" t="s">
        <v>9212</v>
      </c>
      <c r="D3073" s="1" t="s">
        <v>609</v>
      </c>
      <c r="E3073" s="1" t="s">
        <v>631</v>
      </c>
    </row>
    <row r="3074">
      <c r="A3074" s="2" t="s">
        <v>13557</v>
      </c>
      <c r="B3074" s="1">
        <v>200.0</v>
      </c>
      <c r="C3074" s="1" t="s">
        <v>9058</v>
      </c>
      <c r="D3074" s="1" t="s">
        <v>609</v>
      </c>
      <c r="E3074" s="1" t="s">
        <v>631</v>
      </c>
    </row>
    <row r="3075">
      <c r="A3075" s="2" t="s">
        <v>13558</v>
      </c>
      <c r="B3075" s="1">
        <v>200.0</v>
      </c>
      <c r="C3075" s="1" t="s">
        <v>9212</v>
      </c>
      <c r="D3075" s="1" t="s">
        <v>609</v>
      </c>
      <c r="E3075" s="1" t="s">
        <v>631</v>
      </c>
    </row>
    <row r="3076">
      <c r="A3076" s="2" t="s">
        <v>13559</v>
      </c>
      <c r="B3076" s="1">
        <v>200.0</v>
      </c>
      <c r="C3076" s="1" t="s">
        <v>9212</v>
      </c>
      <c r="D3076" s="1" t="s">
        <v>609</v>
      </c>
      <c r="E3076" s="1" t="s">
        <v>631</v>
      </c>
      <c r="F3076" s="1">
        <v>1.0</v>
      </c>
      <c r="G3076" s="1">
        <v>13.0</v>
      </c>
      <c r="H3076" s="1">
        <v>0.077</v>
      </c>
      <c r="I3076" s="1">
        <v>18.46</v>
      </c>
    </row>
    <row r="3077">
      <c r="A3077" s="2" t="s">
        <v>13560</v>
      </c>
      <c r="B3077" s="1">
        <v>200.0</v>
      </c>
      <c r="C3077" s="1" t="s">
        <v>9011</v>
      </c>
      <c r="D3077" s="1" t="s">
        <v>609</v>
      </c>
      <c r="E3077" s="1" t="s">
        <v>631</v>
      </c>
    </row>
    <row r="3078">
      <c r="A3078" s="2" t="s">
        <v>13561</v>
      </c>
      <c r="B3078" s="1">
        <v>200.0</v>
      </c>
      <c r="C3078" s="1" t="s">
        <v>9011</v>
      </c>
      <c r="D3078" s="1" t="s">
        <v>609</v>
      </c>
      <c r="E3078" s="1" t="s">
        <v>631</v>
      </c>
    </row>
    <row r="3079">
      <c r="A3079" s="2" t="s">
        <v>13562</v>
      </c>
      <c r="B3079" s="1">
        <v>200.0</v>
      </c>
      <c r="C3079" s="1" t="s">
        <v>9011</v>
      </c>
      <c r="D3079" s="1" t="s">
        <v>609</v>
      </c>
      <c r="E3079" s="1" t="s">
        <v>631</v>
      </c>
    </row>
    <row r="3080">
      <c r="A3080" s="2" t="s">
        <v>13563</v>
      </c>
      <c r="B3080" s="1">
        <v>200.0</v>
      </c>
      <c r="C3080" s="1" t="s">
        <v>9011</v>
      </c>
      <c r="D3080" s="1" t="s">
        <v>609</v>
      </c>
      <c r="E3080" s="1" t="s">
        <v>631</v>
      </c>
    </row>
    <row r="3081">
      <c r="A3081" s="2" t="s">
        <v>13564</v>
      </c>
      <c r="B3081" s="1">
        <v>200.0</v>
      </c>
      <c r="C3081" s="1" t="s">
        <v>9011</v>
      </c>
      <c r="D3081" s="1" t="s">
        <v>609</v>
      </c>
      <c r="E3081" s="1" t="s">
        <v>631</v>
      </c>
    </row>
    <row r="3082">
      <c r="A3082" s="2" t="s">
        <v>13565</v>
      </c>
      <c r="B3082" s="1">
        <v>200.0</v>
      </c>
      <c r="C3082" s="1" t="s">
        <v>9011</v>
      </c>
      <c r="D3082" s="1" t="s">
        <v>609</v>
      </c>
      <c r="E3082" s="1" t="s">
        <v>631</v>
      </c>
    </row>
    <row r="3083">
      <c r="A3083" s="2" t="s">
        <v>13566</v>
      </c>
      <c r="B3083" s="1">
        <v>200.0</v>
      </c>
      <c r="C3083" s="1" t="s">
        <v>9058</v>
      </c>
      <c r="D3083" s="1" t="s">
        <v>609</v>
      </c>
      <c r="E3083" s="1" t="s">
        <v>631</v>
      </c>
    </row>
    <row r="3084">
      <c r="A3084" s="2" t="s">
        <v>13567</v>
      </c>
      <c r="B3084" s="1">
        <v>200.0</v>
      </c>
      <c r="C3084" s="1" t="s">
        <v>9058</v>
      </c>
      <c r="D3084" s="1" t="s">
        <v>609</v>
      </c>
      <c r="E3084" s="1" t="s">
        <v>631</v>
      </c>
    </row>
    <row r="3085">
      <c r="A3085" s="2" t="s">
        <v>13568</v>
      </c>
      <c r="B3085" s="1">
        <v>200.0</v>
      </c>
      <c r="C3085" s="1" t="s">
        <v>9011</v>
      </c>
      <c r="D3085" s="1" t="s">
        <v>609</v>
      </c>
      <c r="E3085" s="1" t="s">
        <v>631</v>
      </c>
    </row>
    <row r="3086">
      <c r="A3086" s="2" t="s">
        <v>13569</v>
      </c>
      <c r="B3086" s="1">
        <v>200.0</v>
      </c>
      <c r="C3086" s="1" t="s">
        <v>9058</v>
      </c>
      <c r="D3086" s="1" t="s">
        <v>609</v>
      </c>
      <c r="E3086" s="1" t="s">
        <v>631</v>
      </c>
    </row>
    <row r="3087">
      <c r="A3087" s="2" t="s">
        <v>13570</v>
      </c>
      <c r="B3087" s="1">
        <v>200.0</v>
      </c>
      <c r="C3087" s="1" t="s">
        <v>9058</v>
      </c>
      <c r="D3087" s="1" t="s">
        <v>609</v>
      </c>
      <c r="E3087" s="1" t="s">
        <v>631</v>
      </c>
    </row>
    <row r="3088">
      <c r="A3088" s="2" t="s">
        <v>13571</v>
      </c>
      <c r="B3088" s="1">
        <v>200.0</v>
      </c>
      <c r="C3088" s="1" t="s">
        <v>9058</v>
      </c>
      <c r="D3088" s="1" t="s">
        <v>609</v>
      </c>
      <c r="E3088" s="1" t="s">
        <v>631</v>
      </c>
    </row>
    <row r="3089">
      <c r="A3089" s="2" t="s">
        <v>13572</v>
      </c>
      <c r="B3089" s="1">
        <v>200.0</v>
      </c>
      <c r="C3089" s="1" t="s">
        <v>9212</v>
      </c>
      <c r="D3089" s="1" t="s">
        <v>609</v>
      </c>
      <c r="E3089" s="1" t="s">
        <v>631</v>
      </c>
    </row>
    <row r="3090">
      <c r="A3090" s="2" t="s">
        <v>13573</v>
      </c>
      <c r="B3090" s="1">
        <v>200.0</v>
      </c>
      <c r="C3090" s="1" t="s">
        <v>9212</v>
      </c>
      <c r="D3090" s="1" t="s">
        <v>609</v>
      </c>
      <c r="E3090" s="1" t="s">
        <v>631</v>
      </c>
    </row>
    <row r="3091">
      <c r="A3091" s="2" t="s">
        <v>13574</v>
      </c>
      <c r="B3091" s="1">
        <v>200.0</v>
      </c>
      <c r="C3091" s="1" t="s">
        <v>9212</v>
      </c>
      <c r="D3091" s="1" t="s">
        <v>609</v>
      </c>
      <c r="E3091" s="1" t="s">
        <v>631</v>
      </c>
    </row>
    <row r="3092">
      <c r="A3092" s="2" t="s">
        <v>13575</v>
      </c>
      <c r="B3092" s="1">
        <v>200.0</v>
      </c>
      <c r="C3092" s="1" t="s">
        <v>9212</v>
      </c>
      <c r="D3092" s="1" t="s">
        <v>609</v>
      </c>
      <c r="E3092" s="1" t="s">
        <v>631</v>
      </c>
    </row>
    <row r="3093">
      <c r="A3093" s="2" t="s">
        <v>13576</v>
      </c>
      <c r="B3093" s="1">
        <v>200.0</v>
      </c>
      <c r="C3093" s="1" t="s">
        <v>9058</v>
      </c>
      <c r="D3093" s="1" t="s">
        <v>609</v>
      </c>
      <c r="E3093" s="1" t="s">
        <v>631</v>
      </c>
    </row>
    <row r="3094">
      <c r="A3094" s="2" t="s">
        <v>13577</v>
      </c>
      <c r="B3094" s="1">
        <v>200.0</v>
      </c>
      <c r="C3094" s="1" t="s">
        <v>9212</v>
      </c>
      <c r="D3094" s="1" t="s">
        <v>609</v>
      </c>
      <c r="E3094" s="1" t="s">
        <v>631</v>
      </c>
    </row>
    <row r="3095">
      <c r="A3095" s="2" t="s">
        <v>13578</v>
      </c>
      <c r="B3095" s="1">
        <v>200.0</v>
      </c>
      <c r="C3095" s="1" t="s">
        <v>9212</v>
      </c>
      <c r="D3095" s="1" t="s">
        <v>609</v>
      </c>
      <c r="E3095" s="1" t="s">
        <v>631</v>
      </c>
    </row>
    <row r="3096">
      <c r="A3096" s="2" t="s">
        <v>13579</v>
      </c>
      <c r="B3096" s="1">
        <v>200.0</v>
      </c>
      <c r="C3096" s="1" t="s">
        <v>9212</v>
      </c>
      <c r="D3096" s="1" t="s">
        <v>609</v>
      </c>
      <c r="E3096" s="1" t="s">
        <v>631</v>
      </c>
    </row>
    <row r="3097">
      <c r="A3097" s="2" t="s">
        <v>13580</v>
      </c>
      <c r="B3097" s="1">
        <v>200.0</v>
      </c>
      <c r="C3097" s="1" t="s">
        <v>9212</v>
      </c>
      <c r="D3097" s="1" t="s">
        <v>609</v>
      </c>
      <c r="E3097" s="1" t="s">
        <v>631</v>
      </c>
    </row>
    <row r="3098">
      <c r="A3098" s="2" t="s">
        <v>13581</v>
      </c>
      <c r="B3098" s="1">
        <v>200.0</v>
      </c>
      <c r="C3098" s="1" t="s">
        <v>9011</v>
      </c>
      <c r="D3098" s="1" t="s">
        <v>609</v>
      </c>
      <c r="E3098" s="1" t="s">
        <v>631</v>
      </c>
    </row>
    <row r="3099">
      <c r="A3099" s="2" t="s">
        <v>13582</v>
      </c>
      <c r="B3099" s="1">
        <v>200.0</v>
      </c>
      <c r="C3099" s="1" t="s">
        <v>9011</v>
      </c>
      <c r="D3099" s="1" t="s">
        <v>609</v>
      </c>
      <c r="E3099" s="1" t="s">
        <v>631</v>
      </c>
    </row>
    <row r="3100">
      <c r="A3100" s="2" t="s">
        <v>13583</v>
      </c>
      <c r="B3100" s="1">
        <v>200.0</v>
      </c>
      <c r="C3100" s="1" t="s">
        <v>9011</v>
      </c>
      <c r="D3100" s="1" t="s">
        <v>609</v>
      </c>
      <c r="E3100" s="1" t="s">
        <v>631</v>
      </c>
    </row>
    <row r="3101">
      <c r="A3101" s="2" t="s">
        <v>13584</v>
      </c>
      <c r="B3101" s="1">
        <v>200.0</v>
      </c>
      <c r="C3101" s="1" t="s">
        <v>9011</v>
      </c>
      <c r="D3101" s="1" t="s">
        <v>609</v>
      </c>
      <c r="E3101" s="1" t="s">
        <v>631</v>
      </c>
    </row>
    <row r="3102">
      <c r="A3102" s="2" t="s">
        <v>13585</v>
      </c>
      <c r="B3102" s="1">
        <v>200.0</v>
      </c>
      <c r="C3102" s="1" t="s">
        <v>9058</v>
      </c>
      <c r="D3102" s="1" t="s">
        <v>609</v>
      </c>
      <c r="E3102" s="1" t="s">
        <v>631</v>
      </c>
    </row>
    <row r="3103">
      <c r="A3103" s="2" t="s">
        <v>13586</v>
      </c>
      <c r="B3103" s="1">
        <v>200.0</v>
      </c>
      <c r="C3103" s="1" t="s">
        <v>9058</v>
      </c>
      <c r="D3103" s="1" t="s">
        <v>609</v>
      </c>
      <c r="E3103" s="1" t="s">
        <v>631</v>
      </c>
    </row>
    <row r="3104">
      <c r="A3104" s="2" t="s">
        <v>13587</v>
      </c>
      <c r="B3104" s="1">
        <v>200.0</v>
      </c>
      <c r="C3104" s="1" t="s">
        <v>9011</v>
      </c>
      <c r="D3104" s="1" t="s">
        <v>609</v>
      </c>
      <c r="E3104" s="1" t="s">
        <v>631</v>
      </c>
    </row>
    <row r="3105">
      <c r="A3105" s="2" t="s">
        <v>13588</v>
      </c>
      <c r="B3105" s="1">
        <v>200.0</v>
      </c>
      <c r="C3105" s="1" t="s">
        <v>9011</v>
      </c>
      <c r="D3105" s="1" t="s">
        <v>609</v>
      </c>
      <c r="E3105" s="1" t="s">
        <v>631</v>
      </c>
    </row>
    <row r="3106">
      <c r="A3106" s="2" t="s">
        <v>13589</v>
      </c>
      <c r="B3106" s="1">
        <v>200.0</v>
      </c>
      <c r="C3106" s="1" t="s">
        <v>9058</v>
      </c>
      <c r="D3106" s="1" t="s">
        <v>609</v>
      </c>
      <c r="E3106" s="1" t="s">
        <v>631</v>
      </c>
    </row>
    <row r="3107">
      <c r="A3107" s="2" t="s">
        <v>13590</v>
      </c>
      <c r="B3107" s="1">
        <v>200.0</v>
      </c>
      <c r="C3107" s="1" t="s">
        <v>9058</v>
      </c>
      <c r="D3107" s="1" t="s">
        <v>609</v>
      </c>
      <c r="E3107" s="1" t="s">
        <v>631</v>
      </c>
    </row>
    <row r="3108">
      <c r="A3108" s="2" t="s">
        <v>13591</v>
      </c>
      <c r="B3108" s="1">
        <v>200.0</v>
      </c>
      <c r="C3108" s="1" t="s">
        <v>9058</v>
      </c>
      <c r="D3108" s="1" t="s">
        <v>609</v>
      </c>
      <c r="E3108" s="1" t="s">
        <v>631</v>
      </c>
    </row>
    <row r="3109">
      <c r="A3109" s="2" t="s">
        <v>13592</v>
      </c>
      <c r="B3109" s="1">
        <v>200.0</v>
      </c>
      <c r="C3109" s="1" t="s">
        <v>9011</v>
      </c>
      <c r="D3109" s="1" t="s">
        <v>609</v>
      </c>
      <c r="E3109" s="1" t="s">
        <v>631</v>
      </c>
    </row>
    <row r="3110">
      <c r="A3110" s="2" t="s">
        <v>13593</v>
      </c>
      <c r="B3110" s="1">
        <v>200.0</v>
      </c>
      <c r="C3110" s="1" t="s">
        <v>9212</v>
      </c>
      <c r="D3110" s="1" t="s">
        <v>609</v>
      </c>
      <c r="E3110" s="1" t="s">
        <v>631</v>
      </c>
    </row>
    <row r="3111">
      <c r="A3111" s="2" t="s">
        <v>13594</v>
      </c>
      <c r="B3111" s="1">
        <v>200.0</v>
      </c>
      <c r="C3111" s="1" t="s">
        <v>9212</v>
      </c>
      <c r="D3111" s="1" t="s">
        <v>609</v>
      </c>
      <c r="E3111" s="1" t="s">
        <v>631</v>
      </c>
    </row>
    <row r="3112">
      <c r="A3112" s="2" t="s">
        <v>13595</v>
      </c>
      <c r="B3112" s="1">
        <v>200.0</v>
      </c>
      <c r="C3112" s="1" t="s">
        <v>9058</v>
      </c>
      <c r="D3112" s="1" t="s">
        <v>609</v>
      </c>
      <c r="E3112" s="1" t="s">
        <v>631</v>
      </c>
      <c r="F3112" s="1">
        <v>0.0</v>
      </c>
      <c r="G3112" s="1">
        <v>2.0</v>
      </c>
      <c r="H3112" s="1">
        <v>0.0</v>
      </c>
      <c r="I3112" s="1">
        <v>45.0</v>
      </c>
    </row>
    <row r="3113">
      <c r="A3113" s="2" t="s">
        <v>13596</v>
      </c>
      <c r="B3113" s="1">
        <v>200.0</v>
      </c>
      <c r="C3113" s="1" t="s">
        <v>9058</v>
      </c>
      <c r="D3113" s="1" t="s">
        <v>609</v>
      </c>
      <c r="E3113" s="1" t="s">
        <v>631</v>
      </c>
    </row>
    <row r="3114">
      <c r="A3114" s="2" t="s">
        <v>13597</v>
      </c>
      <c r="B3114" s="1">
        <v>200.0</v>
      </c>
      <c r="C3114" s="1" t="s">
        <v>9212</v>
      </c>
      <c r="D3114" s="1" t="s">
        <v>609</v>
      </c>
      <c r="E3114" s="1" t="s">
        <v>631</v>
      </c>
      <c r="F3114" s="1">
        <v>0.0</v>
      </c>
      <c r="G3114" s="1">
        <v>1.0</v>
      </c>
      <c r="H3114" s="1">
        <v>0.0</v>
      </c>
      <c r="I3114" s="1">
        <v>10.0</v>
      </c>
    </row>
    <row r="3115">
      <c r="A3115" s="2" t="s">
        <v>13598</v>
      </c>
      <c r="B3115" s="1">
        <v>200.0</v>
      </c>
      <c r="C3115" s="1" t="s">
        <v>9212</v>
      </c>
      <c r="D3115" s="1" t="s">
        <v>609</v>
      </c>
      <c r="E3115" s="1" t="s">
        <v>631</v>
      </c>
    </row>
    <row r="3116">
      <c r="A3116" s="2" t="s">
        <v>13599</v>
      </c>
      <c r="B3116" s="1">
        <v>200.0</v>
      </c>
      <c r="C3116" s="1" t="s">
        <v>9212</v>
      </c>
      <c r="D3116" s="1" t="s">
        <v>609</v>
      </c>
      <c r="E3116" s="1" t="s">
        <v>631</v>
      </c>
    </row>
    <row r="3117">
      <c r="A3117" s="2" t="s">
        <v>13600</v>
      </c>
      <c r="B3117" s="1">
        <v>200.0</v>
      </c>
      <c r="C3117" s="1" t="s">
        <v>9212</v>
      </c>
      <c r="D3117" s="1" t="s">
        <v>609</v>
      </c>
      <c r="E3117" s="1" t="s">
        <v>631</v>
      </c>
    </row>
    <row r="3118">
      <c r="A3118" s="2" t="s">
        <v>13601</v>
      </c>
      <c r="B3118" s="1">
        <v>200.0</v>
      </c>
      <c r="C3118" s="1" t="s">
        <v>9212</v>
      </c>
      <c r="D3118" s="1" t="s">
        <v>609</v>
      </c>
      <c r="E3118" s="1" t="s">
        <v>631</v>
      </c>
    </row>
    <row r="3119">
      <c r="A3119" s="2" t="s">
        <v>13602</v>
      </c>
      <c r="B3119" s="1">
        <v>200.0</v>
      </c>
      <c r="C3119" s="1" t="s">
        <v>9212</v>
      </c>
      <c r="D3119" s="1" t="s">
        <v>609</v>
      </c>
      <c r="E3119" s="1" t="s">
        <v>631</v>
      </c>
    </row>
    <row r="3120">
      <c r="A3120" s="2" t="s">
        <v>13603</v>
      </c>
      <c r="B3120" s="1">
        <v>200.0</v>
      </c>
      <c r="C3120" s="1" t="s">
        <v>9011</v>
      </c>
      <c r="D3120" s="1" t="s">
        <v>609</v>
      </c>
      <c r="E3120" s="1" t="s">
        <v>631</v>
      </c>
    </row>
    <row r="3121">
      <c r="A3121" s="2" t="s">
        <v>13604</v>
      </c>
      <c r="B3121" s="1">
        <v>200.0</v>
      </c>
      <c r="C3121" s="1" t="s">
        <v>9058</v>
      </c>
      <c r="D3121" s="1" t="s">
        <v>609</v>
      </c>
      <c r="E3121" s="1" t="s">
        <v>631</v>
      </c>
    </row>
    <row r="3122">
      <c r="A3122" s="2" t="s">
        <v>13605</v>
      </c>
      <c r="B3122" s="1">
        <v>200.0</v>
      </c>
      <c r="C3122" s="1" t="s">
        <v>9058</v>
      </c>
      <c r="D3122" s="1" t="s">
        <v>609</v>
      </c>
      <c r="E3122" s="1" t="s">
        <v>631</v>
      </c>
    </row>
    <row r="3123">
      <c r="A3123" s="2" t="s">
        <v>13606</v>
      </c>
      <c r="B3123" s="1">
        <v>200.0</v>
      </c>
      <c r="C3123" s="1" t="s">
        <v>9011</v>
      </c>
      <c r="D3123" s="1" t="s">
        <v>609</v>
      </c>
      <c r="E3123" s="1" t="s">
        <v>631</v>
      </c>
    </row>
    <row r="3124">
      <c r="A3124" s="2" t="s">
        <v>13607</v>
      </c>
      <c r="B3124" s="1">
        <v>200.0</v>
      </c>
      <c r="C3124" s="1" t="s">
        <v>9011</v>
      </c>
      <c r="D3124" s="1" t="s">
        <v>609</v>
      </c>
      <c r="E3124" s="1" t="s">
        <v>631</v>
      </c>
    </row>
    <row r="3125">
      <c r="A3125" s="2" t="s">
        <v>13608</v>
      </c>
      <c r="B3125" s="1">
        <v>200.0</v>
      </c>
      <c r="C3125" s="1" t="s">
        <v>9011</v>
      </c>
      <c r="D3125" s="1" t="s">
        <v>609</v>
      </c>
      <c r="E3125" s="1" t="s">
        <v>631</v>
      </c>
    </row>
    <row r="3126">
      <c r="A3126" s="2" t="s">
        <v>13609</v>
      </c>
      <c r="B3126" s="1">
        <v>200.0</v>
      </c>
      <c r="C3126" s="1" t="s">
        <v>9011</v>
      </c>
      <c r="D3126" s="1" t="s">
        <v>609</v>
      </c>
      <c r="E3126" s="1" t="s">
        <v>631</v>
      </c>
    </row>
    <row r="3127">
      <c r="A3127" s="2" t="s">
        <v>13610</v>
      </c>
      <c r="B3127" s="1">
        <v>200.0</v>
      </c>
      <c r="C3127" s="1" t="s">
        <v>9058</v>
      </c>
      <c r="D3127" s="1" t="s">
        <v>609</v>
      </c>
      <c r="E3127" s="1" t="s">
        <v>631</v>
      </c>
    </row>
    <row r="3128">
      <c r="A3128" s="2" t="s">
        <v>13611</v>
      </c>
      <c r="B3128" s="1">
        <v>200.0</v>
      </c>
      <c r="C3128" s="1" t="s">
        <v>9058</v>
      </c>
      <c r="D3128" s="1" t="s">
        <v>609</v>
      </c>
      <c r="E3128" s="1" t="s">
        <v>631</v>
      </c>
    </row>
    <row r="3129">
      <c r="A3129" s="2" t="s">
        <v>13612</v>
      </c>
      <c r="B3129" s="1">
        <v>200.0</v>
      </c>
      <c r="C3129" s="1" t="s">
        <v>9011</v>
      </c>
      <c r="D3129" s="1" t="s">
        <v>609</v>
      </c>
      <c r="E3129" s="1" t="s">
        <v>631</v>
      </c>
    </row>
    <row r="3130">
      <c r="A3130" s="2" t="s">
        <v>13613</v>
      </c>
      <c r="B3130" s="1">
        <v>200.0</v>
      </c>
      <c r="C3130" s="1" t="s">
        <v>9011</v>
      </c>
      <c r="D3130" s="1" t="s">
        <v>609</v>
      </c>
      <c r="E3130" s="1" t="s">
        <v>631</v>
      </c>
    </row>
    <row r="3131">
      <c r="A3131" s="2" t="s">
        <v>13614</v>
      </c>
      <c r="B3131" s="1">
        <v>200.0</v>
      </c>
      <c r="C3131" s="1" t="s">
        <v>9058</v>
      </c>
      <c r="D3131" s="1" t="s">
        <v>609</v>
      </c>
      <c r="E3131" s="1" t="s">
        <v>631</v>
      </c>
    </row>
    <row r="3132">
      <c r="A3132" s="2" t="s">
        <v>13615</v>
      </c>
      <c r="B3132" s="1">
        <v>200.0</v>
      </c>
      <c r="C3132" s="1" t="s">
        <v>9058</v>
      </c>
      <c r="D3132" s="1" t="s">
        <v>609</v>
      </c>
      <c r="E3132" s="1" t="s">
        <v>631</v>
      </c>
    </row>
    <row r="3133">
      <c r="A3133" s="2" t="s">
        <v>13616</v>
      </c>
      <c r="B3133" s="1">
        <v>200.0</v>
      </c>
      <c r="C3133" s="1" t="s">
        <v>9011</v>
      </c>
      <c r="D3133" s="1" t="s">
        <v>609</v>
      </c>
      <c r="E3133" s="1" t="s">
        <v>631</v>
      </c>
    </row>
    <row r="3134">
      <c r="A3134" s="2" t="s">
        <v>13617</v>
      </c>
      <c r="B3134" s="1">
        <v>200.0</v>
      </c>
      <c r="C3134" s="1" t="s">
        <v>9058</v>
      </c>
      <c r="D3134" s="1" t="s">
        <v>609</v>
      </c>
      <c r="E3134" s="1" t="s">
        <v>631</v>
      </c>
    </row>
    <row r="3135">
      <c r="A3135" s="2" t="s">
        <v>13618</v>
      </c>
      <c r="B3135" s="1">
        <v>200.0</v>
      </c>
      <c r="C3135" s="1" t="s">
        <v>9058</v>
      </c>
      <c r="D3135" s="1" t="s">
        <v>609</v>
      </c>
      <c r="E3135" s="1" t="s">
        <v>631</v>
      </c>
    </row>
    <row r="3136">
      <c r="A3136" s="2" t="s">
        <v>13619</v>
      </c>
      <c r="B3136" s="1">
        <v>200.0</v>
      </c>
      <c r="C3136" s="1" t="s">
        <v>9212</v>
      </c>
      <c r="D3136" s="1" t="s">
        <v>609</v>
      </c>
      <c r="E3136" s="1" t="s">
        <v>631</v>
      </c>
    </row>
    <row r="3137">
      <c r="A3137" s="2" t="s">
        <v>13620</v>
      </c>
      <c r="B3137" s="1">
        <v>200.0</v>
      </c>
      <c r="C3137" s="1" t="s">
        <v>9212</v>
      </c>
      <c r="D3137" s="1" t="s">
        <v>609</v>
      </c>
      <c r="E3137" s="1" t="s">
        <v>631</v>
      </c>
    </row>
    <row r="3138">
      <c r="A3138" s="2" t="s">
        <v>13621</v>
      </c>
      <c r="B3138" s="1">
        <v>200.0</v>
      </c>
      <c r="C3138" s="1" t="s">
        <v>9058</v>
      </c>
      <c r="D3138" s="1" t="s">
        <v>609</v>
      </c>
      <c r="E3138" s="1" t="s">
        <v>631</v>
      </c>
    </row>
    <row r="3139">
      <c r="A3139" s="2" t="s">
        <v>13622</v>
      </c>
      <c r="B3139" s="1">
        <v>200.0</v>
      </c>
      <c r="C3139" s="1" t="s">
        <v>9212</v>
      </c>
      <c r="D3139" s="1" t="s">
        <v>609</v>
      </c>
      <c r="E3139" s="1" t="s">
        <v>631</v>
      </c>
    </row>
    <row r="3140">
      <c r="A3140" s="2" t="s">
        <v>13623</v>
      </c>
      <c r="B3140" s="1">
        <v>200.0</v>
      </c>
      <c r="C3140" s="1" t="s">
        <v>9058</v>
      </c>
      <c r="D3140" s="1" t="s">
        <v>609</v>
      </c>
      <c r="E3140" s="1" t="s">
        <v>631</v>
      </c>
    </row>
    <row r="3141">
      <c r="A3141" s="2" t="s">
        <v>13624</v>
      </c>
      <c r="B3141" s="1">
        <v>200.0</v>
      </c>
      <c r="C3141" s="1" t="s">
        <v>9212</v>
      </c>
      <c r="D3141" s="1" t="s">
        <v>609</v>
      </c>
      <c r="E3141" s="1" t="s">
        <v>631</v>
      </c>
    </row>
    <row r="3142">
      <c r="A3142" s="2" t="s">
        <v>13625</v>
      </c>
      <c r="B3142" s="1">
        <v>200.0</v>
      </c>
      <c r="C3142" s="1" t="s">
        <v>9212</v>
      </c>
      <c r="D3142" s="1" t="s">
        <v>609</v>
      </c>
      <c r="E3142" s="1" t="s">
        <v>631</v>
      </c>
    </row>
    <row r="3143">
      <c r="A3143" s="2" t="s">
        <v>13626</v>
      </c>
      <c r="B3143" s="1">
        <v>200.0</v>
      </c>
      <c r="C3143" s="1" t="s">
        <v>9011</v>
      </c>
      <c r="D3143" s="1" t="s">
        <v>609</v>
      </c>
      <c r="E3143" s="1" t="s">
        <v>631</v>
      </c>
    </row>
    <row r="3144">
      <c r="A3144" s="2" t="s">
        <v>13627</v>
      </c>
      <c r="B3144" s="1">
        <v>200.0</v>
      </c>
      <c r="C3144" s="1" t="s">
        <v>9212</v>
      </c>
      <c r="D3144" s="1" t="s">
        <v>609</v>
      </c>
      <c r="E3144" s="1" t="s">
        <v>631</v>
      </c>
    </row>
    <row r="3145">
      <c r="A3145" s="2" t="s">
        <v>13628</v>
      </c>
      <c r="B3145" s="1">
        <v>200.0</v>
      </c>
      <c r="C3145" s="1" t="s">
        <v>9212</v>
      </c>
      <c r="D3145" s="1" t="s">
        <v>609</v>
      </c>
      <c r="E3145" s="1" t="s">
        <v>631</v>
      </c>
    </row>
    <row r="3146">
      <c r="A3146" s="2" t="s">
        <v>13629</v>
      </c>
      <c r="B3146" s="1">
        <v>200.0</v>
      </c>
      <c r="C3146" s="1" t="s">
        <v>9011</v>
      </c>
      <c r="D3146" s="1" t="s">
        <v>609</v>
      </c>
      <c r="E3146" s="1" t="s">
        <v>631</v>
      </c>
    </row>
    <row r="3147">
      <c r="A3147" s="2" t="s">
        <v>13630</v>
      </c>
      <c r="B3147" s="1">
        <v>200.0</v>
      </c>
      <c r="C3147" s="1" t="s">
        <v>9011</v>
      </c>
      <c r="D3147" s="1" t="s">
        <v>609</v>
      </c>
      <c r="E3147" s="1" t="s">
        <v>631</v>
      </c>
    </row>
    <row r="3148">
      <c r="A3148" s="2" t="s">
        <v>13631</v>
      </c>
      <c r="B3148" s="1">
        <v>200.0</v>
      </c>
      <c r="C3148" s="1" t="s">
        <v>9011</v>
      </c>
      <c r="D3148" s="1" t="s">
        <v>609</v>
      </c>
      <c r="E3148" s="1" t="s">
        <v>631</v>
      </c>
    </row>
    <row r="3149">
      <c r="A3149" s="2" t="s">
        <v>13632</v>
      </c>
      <c r="B3149" s="1">
        <v>200.0</v>
      </c>
      <c r="C3149" s="1" t="s">
        <v>9011</v>
      </c>
      <c r="D3149" s="1" t="s">
        <v>609</v>
      </c>
      <c r="E3149" s="1" t="s">
        <v>631</v>
      </c>
    </row>
    <row r="3150">
      <c r="A3150" s="2" t="s">
        <v>13633</v>
      </c>
      <c r="B3150" s="1">
        <v>200.0</v>
      </c>
      <c r="C3150" s="1" t="s">
        <v>9011</v>
      </c>
      <c r="D3150" s="1" t="s">
        <v>609</v>
      </c>
      <c r="E3150" s="1" t="s">
        <v>631</v>
      </c>
    </row>
    <row r="3151">
      <c r="A3151" s="2" t="s">
        <v>13634</v>
      </c>
      <c r="B3151" s="1">
        <v>200.0</v>
      </c>
      <c r="C3151" s="1" t="s">
        <v>9212</v>
      </c>
      <c r="D3151" s="1" t="s">
        <v>609</v>
      </c>
      <c r="E3151" s="1" t="s">
        <v>631</v>
      </c>
    </row>
    <row r="3152">
      <c r="A3152" s="2" t="s">
        <v>13635</v>
      </c>
      <c r="B3152" s="1">
        <v>200.0</v>
      </c>
      <c r="C3152" s="1" t="s">
        <v>9011</v>
      </c>
      <c r="D3152" s="1" t="s">
        <v>609</v>
      </c>
      <c r="E3152" s="1" t="s">
        <v>631</v>
      </c>
    </row>
    <row r="3153">
      <c r="A3153" s="2" t="s">
        <v>13636</v>
      </c>
      <c r="B3153" s="1">
        <v>200.0</v>
      </c>
      <c r="C3153" s="1" t="s">
        <v>9212</v>
      </c>
      <c r="D3153" s="1" t="s">
        <v>609</v>
      </c>
      <c r="E3153" s="1" t="s">
        <v>631</v>
      </c>
    </row>
    <row r="3154">
      <c r="A3154" s="2" t="s">
        <v>13637</v>
      </c>
      <c r="B3154" s="1">
        <v>200.0</v>
      </c>
      <c r="C3154" s="1" t="s">
        <v>9058</v>
      </c>
      <c r="D3154" s="1" t="s">
        <v>609</v>
      </c>
      <c r="E3154" s="1" t="s">
        <v>631</v>
      </c>
    </row>
    <row r="3155">
      <c r="A3155" s="2" t="s">
        <v>13638</v>
      </c>
      <c r="B3155" s="1">
        <v>200.0</v>
      </c>
      <c r="C3155" s="1" t="s">
        <v>9212</v>
      </c>
      <c r="D3155" s="1" t="s">
        <v>609</v>
      </c>
      <c r="E3155" s="1" t="s">
        <v>631</v>
      </c>
    </row>
    <row r="3156">
      <c r="A3156" s="2" t="s">
        <v>13639</v>
      </c>
      <c r="B3156" s="1">
        <v>200.0</v>
      </c>
      <c r="C3156" s="1" t="s">
        <v>9058</v>
      </c>
      <c r="D3156" s="1" t="s">
        <v>609</v>
      </c>
      <c r="E3156" s="1" t="s">
        <v>631</v>
      </c>
    </row>
    <row r="3157">
      <c r="A3157" s="2" t="s">
        <v>13640</v>
      </c>
      <c r="B3157" s="1">
        <v>200.0</v>
      </c>
      <c r="C3157" s="1" t="s">
        <v>9212</v>
      </c>
      <c r="D3157" s="1" t="s">
        <v>609</v>
      </c>
      <c r="E3157" s="1" t="s">
        <v>631</v>
      </c>
    </row>
    <row r="3158">
      <c r="A3158" s="2" t="s">
        <v>13641</v>
      </c>
      <c r="B3158" s="1">
        <v>200.0</v>
      </c>
      <c r="C3158" s="1" t="s">
        <v>9058</v>
      </c>
      <c r="D3158" s="1" t="s">
        <v>609</v>
      </c>
      <c r="E3158" s="1" t="s">
        <v>631</v>
      </c>
    </row>
    <row r="3159">
      <c r="A3159" s="2" t="s">
        <v>13642</v>
      </c>
      <c r="B3159" s="1">
        <v>200.0</v>
      </c>
      <c r="C3159" s="1" t="s">
        <v>9058</v>
      </c>
      <c r="D3159" s="1" t="s">
        <v>609</v>
      </c>
      <c r="E3159" s="1" t="s">
        <v>631</v>
      </c>
    </row>
    <row r="3160">
      <c r="A3160" s="2" t="s">
        <v>13643</v>
      </c>
      <c r="B3160" s="1">
        <v>200.0</v>
      </c>
      <c r="C3160" s="1" t="s">
        <v>9212</v>
      </c>
      <c r="D3160" s="1" t="s">
        <v>609</v>
      </c>
      <c r="E3160" s="1" t="s">
        <v>631</v>
      </c>
    </row>
    <row r="3161">
      <c r="A3161" s="2" t="s">
        <v>13644</v>
      </c>
      <c r="B3161" s="1">
        <v>200.0</v>
      </c>
      <c r="C3161" s="1" t="s">
        <v>9212</v>
      </c>
      <c r="D3161" s="1" t="s">
        <v>609</v>
      </c>
      <c r="E3161" s="1" t="s">
        <v>631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50"/>
    <hyperlink r:id="rId548" ref="A551"/>
    <hyperlink r:id="rId549" ref="A552"/>
    <hyperlink r:id="rId550" ref="A553"/>
    <hyperlink r:id="rId551" ref="A554"/>
    <hyperlink r:id="rId552" ref="A555"/>
    <hyperlink r:id="rId553" ref="A556"/>
    <hyperlink r:id="rId554" ref="A557"/>
    <hyperlink r:id="rId555" ref="A558"/>
    <hyperlink r:id="rId556" ref="A559"/>
    <hyperlink r:id="rId557" ref="A560"/>
    <hyperlink r:id="rId558" ref="A561"/>
    <hyperlink r:id="rId559" ref="A562"/>
    <hyperlink r:id="rId560" ref="A563"/>
    <hyperlink r:id="rId561" ref="A564"/>
    <hyperlink r:id="rId562" ref="A565"/>
    <hyperlink r:id="rId563" ref="A566"/>
    <hyperlink r:id="rId564" ref="A567"/>
    <hyperlink r:id="rId565" ref="A568"/>
    <hyperlink r:id="rId566" ref="A569"/>
    <hyperlink r:id="rId567" ref="A570"/>
    <hyperlink r:id="rId568" ref="A571"/>
    <hyperlink r:id="rId569" ref="A572"/>
    <hyperlink r:id="rId570" ref="A573"/>
    <hyperlink r:id="rId571" ref="A574"/>
    <hyperlink r:id="rId572" ref="A575"/>
    <hyperlink r:id="rId573" ref="A576"/>
    <hyperlink r:id="rId574" ref="A577"/>
    <hyperlink r:id="rId575" ref="A578"/>
    <hyperlink r:id="rId576" ref="A579"/>
    <hyperlink r:id="rId577" ref="A580"/>
    <hyperlink r:id="rId578" ref="A581"/>
    <hyperlink r:id="rId579" ref="A582"/>
    <hyperlink r:id="rId580" ref="A583"/>
    <hyperlink r:id="rId581" ref="A584"/>
    <hyperlink r:id="rId582" ref="A585"/>
    <hyperlink r:id="rId583" ref="A586"/>
    <hyperlink r:id="rId584" ref="A587"/>
    <hyperlink r:id="rId585" ref="A588"/>
    <hyperlink r:id="rId586" ref="A589"/>
    <hyperlink r:id="rId587" ref="A590"/>
    <hyperlink r:id="rId588" ref="A591"/>
    <hyperlink r:id="rId589" ref="A592"/>
    <hyperlink r:id="rId590" ref="A593"/>
    <hyperlink r:id="rId591" ref="A594"/>
    <hyperlink r:id="rId592" ref="A595"/>
    <hyperlink r:id="rId593" ref="A596"/>
    <hyperlink r:id="rId594" ref="A597"/>
    <hyperlink r:id="rId595" ref="A598"/>
    <hyperlink r:id="rId596" ref="A599"/>
    <hyperlink r:id="rId597" ref="A600"/>
    <hyperlink r:id="rId598" ref="A601"/>
    <hyperlink r:id="rId599" ref="A602"/>
    <hyperlink r:id="rId600" ref="A603"/>
    <hyperlink r:id="rId601" ref="A604"/>
    <hyperlink r:id="rId602" ref="A605"/>
    <hyperlink r:id="rId603" ref="A606"/>
    <hyperlink r:id="rId604" ref="A607"/>
    <hyperlink r:id="rId605" ref="A608"/>
    <hyperlink r:id="rId606" ref="A609"/>
    <hyperlink r:id="rId607" ref="A610"/>
    <hyperlink r:id="rId608" ref="A611"/>
    <hyperlink r:id="rId609" ref="A612"/>
    <hyperlink r:id="rId610" ref="A613"/>
    <hyperlink r:id="rId611" ref="A614"/>
    <hyperlink r:id="rId612" ref="A615"/>
    <hyperlink r:id="rId613" ref="A616"/>
    <hyperlink r:id="rId614" ref="A617"/>
    <hyperlink r:id="rId615" ref="A618"/>
    <hyperlink r:id="rId616" ref="A619"/>
    <hyperlink r:id="rId617" ref="A620"/>
    <hyperlink r:id="rId618" ref="A621"/>
    <hyperlink r:id="rId619" ref="A622"/>
    <hyperlink r:id="rId620" ref="A623"/>
    <hyperlink r:id="rId621" ref="A624"/>
    <hyperlink r:id="rId622" ref="A625"/>
    <hyperlink r:id="rId623" ref="A626"/>
    <hyperlink r:id="rId624" ref="A627"/>
    <hyperlink r:id="rId625" ref="A628"/>
    <hyperlink r:id="rId626" ref="A629"/>
    <hyperlink r:id="rId627" ref="A630"/>
    <hyperlink r:id="rId628" ref="A631"/>
    <hyperlink r:id="rId629" ref="A632"/>
    <hyperlink r:id="rId630" ref="A633"/>
    <hyperlink r:id="rId631" ref="A634"/>
    <hyperlink r:id="rId632" ref="A635"/>
    <hyperlink r:id="rId633" ref="A636"/>
    <hyperlink r:id="rId634" ref="A637"/>
    <hyperlink r:id="rId635" ref="A638"/>
    <hyperlink r:id="rId636" ref="A639"/>
    <hyperlink r:id="rId637" ref="A640"/>
    <hyperlink r:id="rId638" ref="A641"/>
    <hyperlink r:id="rId639" ref="A642"/>
    <hyperlink r:id="rId640" ref="A643"/>
    <hyperlink r:id="rId641" ref="A644"/>
    <hyperlink r:id="rId642" ref="A645"/>
    <hyperlink r:id="rId643" ref="A646"/>
    <hyperlink r:id="rId644" ref="A647"/>
    <hyperlink r:id="rId645" ref="A648"/>
    <hyperlink r:id="rId646" ref="A649"/>
    <hyperlink r:id="rId647" ref="A650"/>
    <hyperlink r:id="rId648" ref="A651"/>
    <hyperlink r:id="rId649" ref="A652"/>
    <hyperlink r:id="rId650" ref="A653"/>
    <hyperlink r:id="rId651" ref="A654"/>
    <hyperlink r:id="rId652" ref="A655"/>
    <hyperlink r:id="rId653" ref="A656"/>
    <hyperlink r:id="rId654" ref="A657"/>
    <hyperlink r:id="rId655" ref="A658"/>
    <hyperlink r:id="rId656" ref="A659"/>
    <hyperlink r:id="rId657" ref="A660"/>
    <hyperlink r:id="rId658" ref="A661"/>
    <hyperlink r:id="rId659" ref="A662"/>
    <hyperlink r:id="rId660" ref="A663"/>
    <hyperlink r:id="rId661" ref="A664"/>
    <hyperlink r:id="rId662" ref="A665"/>
    <hyperlink r:id="rId663" ref="A666"/>
    <hyperlink r:id="rId664" ref="A667"/>
    <hyperlink r:id="rId665" ref="A668"/>
    <hyperlink r:id="rId666" ref="A669"/>
    <hyperlink r:id="rId667" ref="A670"/>
    <hyperlink r:id="rId668" ref="A671"/>
    <hyperlink r:id="rId669" ref="A672"/>
    <hyperlink r:id="rId670" ref="A673"/>
    <hyperlink r:id="rId671" ref="A674"/>
    <hyperlink r:id="rId672" ref="A675"/>
    <hyperlink r:id="rId673" ref="A676"/>
    <hyperlink r:id="rId674" ref="A677"/>
    <hyperlink r:id="rId675" ref="A678"/>
    <hyperlink r:id="rId676" ref="A679"/>
    <hyperlink r:id="rId677" ref="A680"/>
    <hyperlink r:id="rId678" ref="A681"/>
    <hyperlink r:id="rId679" ref="A682"/>
    <hyperlink r:id="rId680" ref="A683"/>
    <hyperlink r:id="rId681" ref="A684"/>
    <hyperlink r:id="rId682" ref="A685"/>
    <hyperlink r:id="rId683" ref="A686"/>
    <hyperlink r:id="rId684" ref="A687"/>
    <hyperlink r:id="rId685" ref="A688"/>
    <hyperlink r:id="rId686" ref="A689"/>
    <hyperlink r:id="rId687" ref="A690"/>
    <hyperlink r:id="rId688" ref="A691"/>
    <hyperlink r:id="rId689" ref="A692"/>
    <hyperlink r:id="rId690" ref="A693"/>
    <hyperlink r:id="rId691" ref="A694"/>
    <hyperlink r:id="rId692" ref="A695"/>
    <hyperlink r:id="rId693" ref="A696"/>
    <hyperlink r:id="rId694" ref="A697"/>
    <hyperlink r:id="rId695" ref="A698"/>
    <hyperlink r:id="rId696" ref="A699"/>
    <hyperlink r:id="rId697" ref="A700"/>
    <hyperlink r:id="rId698" ref="A701"/>
    <hyperlink r:id="rId699" ref="A702"/>
    <hyperlink r:id="rId700" ref="A703"/>
    <hyperlink r:id="rId701" ref="A704"/>
    <hyperlink r:id="rId702" ref="A705"/>
    <hyperlink r:id="rId703" ref="A706"/>
    <hyperlink r:id="rId704" ref="A707"/>
    <hyperlink r:id="rId705" ref="A708"/>
    <hyperlink r:id="rId706" ref="A709"/>
    <hyperlink r:id="rId707" ref="A710"/>
    <hyperlink r:id="rId708" ref="A711"/>
    <hyperlink r:id="rId709" ref="A712"/>
    <hyperlink r:id="rId710" ref="A713"/>
    <hyperlink r:id="rId711" ref="A714"/>
    <hyperlink r:id="rId712" ref="A715"/>
    <hyperlink r:id="rId713" ref="A716"/>
    <hyperlink r:id="rId714" ref="A717"/>
    <hyperlink r:id="rId715" ref="A718"/>
    <hyperlink r:id="rId716" ref="A719"/>
    <hyperlink r:id="rId717" ref="A720"/>
    <hyperlink r:id="rId718" ref="A721"/>
    <hyperlink r:id="rId719" ref="A722"/>
    <hyperlink r:id="rId720" ref="A723"/>
    <hyperlink r:id="rId721" ref="A724"/>
    <hyperlink r:id="rId722" ref="A725"/>
    <hyperlink r:id="rId723" ref="A726"/>
    <hyperlink r:id="rId724" ref="A727"/>
    <hyperlink r:id="rId725" ref="A728"/>
    <hyperlink r:id="rId726" ref="A729"/>
    <hyperlink r:id="rId727" ref="A730"/>
    <hyperlink r:id="rId728" ref="A731"/>
    <hyperlink r:id="rId729" ref="A732"/>
    <hyperlink r:id="rId730" ref="A733"/>
    <hyperlink r:id="rId731" ref="A734"/>
    <hyperlink r:id="rId732" ref="A735"/>
    <hyperlink r:id="rId733" ref="A736"/>
    <hyperlink r:id="rId734" ref="A737"/>
    <hyperlink r:id="rId735" ref="A738"/>
    <hyperlink r:id="rId736" ref="A739"/>
    <hyperlink r:id="rId737" ref="A740"/>
    <hyperlink r:id="rId738" ref="A741"/>
    <hyperlink r:id="rId739" ref="A742"/>
    <hyperlink r:id="rId740" ref="A743"/>
    <hyperlink r:id="rId741" ref="A744"/>
    <hyperlink r:id="rId742" ref="A745"/>
    <hyperlink r:id="rId743" ref="A746"/>
    <hyperlink r:id="rId744" ref="A747"/>
    <hyperlink r:id="rId745" ref="A748"/>
    <hyperlink r:id="rId746" ref="A749"/>
    <hyperlink r:id="rId747" ref="A750"/>
    <hyperlink r:id="rId748" ref="A751"/>
    <hyperlink r:id="rId749" ref="A752"/>
    <hyperlink r:id="rId750" ref="A753"/>
    <hyperlink r:id="rId751" ref="A754"/>
    <hyperlink r:id="rId752" ref="A755"/>
    <hyperlink r:id="rId753" ref="A756"/>
    <hyperlink r:id="rId754" ref="A757"/>
    <hyperlink r:id="rId755" ref="A758"/>
    <hyperlink r:id="rId756" ref="A759"/>
    <hyperlink r:id="rId757" ref="A760"/>
    <hyperlink r:id="rId758" ref="A761"/>
    <hyperlink r:id="rId759" ref="A762"/>
    <hyperlink r:id="rId760" ref="A763"/>
    <hyperlink r:id="rId761" ref="A764"/>
    <hyperlink r:id="rId762" ref="A765"/>
    <hyperlink r:id="rId763" ref="A766"/>
    <hyperlink r:id="rId764" ref="A767"/>
    <hyperlink r:id="rId765" ref="A768"/>
    <hyperlink r:id="rId766" ref="A769"/>
    <hyperlink r:id="rId767" ref="A770"/>
    <hyperlink r:id="rId768" ref="A771"/>
    <hyperlink r:id="rId769" ref="A772"/>
    <hyperlink r:id="rId770" ref="A773"/>
    <hyperlink r:id="rId771" ref="A774"/>
    <hyperlink r:id="rId772" ref="A775"/>
    <hyperlink r:id="rId773" ref="A776"/>
    <hyperlink r:id="rId774" ref="A777"/>
    <hyperlink r:id="rId775" ref="A778"/>
    <hyperlink r:id="rId776" ref="A779"/>
    <hyperlink r:id="rId777" ref="A780"/>
    <hyperlink r:id="rId778" ref="A781"/>
    <hyperlink r:id="rId779" ref="A782"/>
    <hyperlink r:id="rId780" ref="A783"/>
    <hyperlink r:id="rId781" ref="A784"/>
    <hyperlink r:id="rId782" ref="A785"/>
    <hyperlink r:id="rId783" ref="A786"/>
    <hyperlink r:id="rId784" ref="A787"/>
    <hyperlink r:id="rId785" ref="A788"/>
    <hyperlink r:id="rId786" ref="A789"/>
    <hyperlink r:id="rId787" ref="A790"/>
    <hyperlink r:id="rId788" ref="A791"/>
    <hyperlink r:id="rId789" ref="A792"/>
    <hyperlink r:id="rId790" ref="A793"/>
    <hyperlink r:id="rId791" ref="A794"/>
    <hyperlink r:id="rId792" ref="A795"/>
    <hyperlink r:id="rId793" ref="A796"/>
    <hyperlink r:id="rId794" ref="A797"/>
    <hyperlink r:id="rId795" ref="A798"/>
    <hyperlink r:id="rId796" ref="A799"/>
    <hyperlink r:id="rId797" ref="A800"/>
    <hyperlink r:id="rId798" ref="A801"/>
    <hyperlink r:id="rId799" ref="A802"/>
    <hyperlink r:id="rId800" ref="A803"/>
    <hyperlink r:id="rId801" ref="A804"/>
    <hyperlink r:id="rId802" ref="A805"/>
    <hyperlink r:id="rId803" ref="A806"/>
    <hyperlink r:id="rId804" ref="A807"/>
    <hyperlink r:id="rId805" ref="A808"/>
    <hyperlink r:id="rId806" ref="A809"/>
    <hyperlink r:id="rId807" ref="A810"/>
    <hyperlink r:id="rId808" ref="A811"/>
    <hyperlink r:id="rId809" ref="A812"/>
    <hyperlink r:id="rId810" ref="A813"/>
    <hyperlink r:id="rId811" ref="A814"/>
    <hyperlink r:id="rId812" ref="A815"/>
    <hyperlink r:id="rId813" ref="A816"/>
    <hyperlink r:id="rId814" ref="A817"/>
    <hyperlink r:id="rId815" ref="A818"/>
    <hyperlink r:id="rId816" ref="A819"/>
    <hyperlink r:id="rId817" ref="A820"/>
    <hyperlink r:id="rId818" ref="A821"/>
    <hyperlink r:id="rId819" ref="A822"/>
    <hyperlink r:id="rId820" ref="A823"/>
    <hyperlink r:id="rId821" ref="A824"/>
    <hyperlink r:id="rId822" ref="A825"/>
    <hyperlink r:id="rId823" ref="A826"/>
    <hyperlink r:id="rId824" ref="A827"/>
    <hyperlink r:id="rId825" ref="A828"/>
    <hyperlink r:id="rId826" ref="A829"/>
    <hyperlink r:id="rId827" ref="A830"/>
    <hyperlink r:id="rId828" ref="A831"/>
    <hyperlink r:id="rId829" ref="A832"/>
    <hyperlink r:id="rId830" ref="A833"/>
    <hyperlink r:id="rId831" ref="A834"/>
    <hyperlink r:id="rId832" ref="A835"/>
    <hyperlink r:id="rId833" ref="A836"/>
    <hyperlink r:id="rId834" ref="A837"/>
    <hyperlink r:id="rId835" ref="A838"/>
    <hyperlink r:id="rId836" ref="A839"/>
    <hyperlink r:id="rId837" ref="A840"/>
    <hyperlink r:id="rId838" ref="A841"/>
    <hyperlink r:id="rId839" ref="A842"/>
    <hyperlink r:id="rId840" ref="A843"/>
    <hyperlink r:id="rId841" ref="A844"/>
    <hyperlink r:id="rId842" ref="A845"/>
    <hyperlink r:id="rId843" ref="A846"/>
    <hyperlink r:id="rId844" ref="A847"/>
    <hyperlink r:id="rId845" ref="A848"/>
    <hyperlink r:id="rId846" ref="A849"/>
    <hyperlink r:id="rId847" ref="A850"/>
    <hyperlink r:id="rId848" ref="A851"/>
    <hyperlink r:id="rId849" ref="A852"/>
    <hyperlink r:id="rId850" ref="A853"/>
    <hyperlink r:id="rId851" ref="A854"/>
    <hyperlink r:id="rId852" ref="A855"/>
    <hyperlink r:id="rId853" ref="A856"/>
    <hyperlink r:id="rId854" ref="A857"/>
    <hyperlink r:id="rId855" ref="A858"/>
    <hyperlink r:id="rId856" ref="A859"/>
    <hyperlink r:id="rId857" ref="A860"/>
    <hyperlink r:id="rId858" ref="A861"/>
    <hyperlink r:id="rId859" ref="A862"/>
    <hyperlink r:id="rId860" ref="A863"/>
    <hyperlink r:id="rId861" ref="A864"/>
    <hyperlink r:id="rId862" ref="A865"/>
    <hyperlink r:id="rId863" ref="A866"/>
    <hyperlink r:id="rId864" ref="A867"/>
    <hyperlink r:id="rId865" ref="A868"/>
    <hyperlink r:id="rId866" ref="A869"/>
    <hyperlink r:id="rId867" ref="A870"/>
    <hyperlink r:id="rId868" ref="A871"/>
    <hyperlink r:id="rId869" ref="A872"/>
    <hyperlink r:id="rId870" ref="A873"/>
    <hyperlink r:id="rId871" ref="A874"/>
    <hyperlink r:id="rId872" ref="A875"/>
    <hyperlink r:id="rId873" ref="A876"/>
    <hyperlink r:id="rId874" ref="A877"/>
    <hyperlink r:id="rId875" ref="A878"/>
    <hyperlink r:id="rId876" ref="A879"/>
    <hyperlink r:id="rId877" ref="A880"/>
    <hyperlink r:id="rId878" ref="A881"/>
    <hyperlink r:id="rId879" ref="A882"/>
    <hyperlink r:id="rId880" ref="A883"/>
    <hyperlink r:id="rId881" ref="A884"/>
    <hyperlink r:id="rId882" ref="A885"/>
    <hyperlink r:id="rId883" ref="A886"/>
    <hyperlink r:id="rId884" ref="A887"/>
    <hyperlink r:id="rId885" ref="A888"/>
    <hyperlink r:id="rId886" ref="A889"/>
    <hyperlink r:id="rId887" ref="A890"/>
    <hyperlink r:id="rId888" ref="A891"/>
    <hyperlink r:id="rId889" ref="A892"/>
    <hyperlink r:id="rId890" ref="A893"/>
    <hyperlink r:id="rId891" ref="A894"/>
    <hyperlink r:id="rId892" ref="A895"/>
    <hyperlink r:id="rId893" ref="A896"/>
    <hyperlink r:id="rId894" ref="A897"/>
    <hyperlink r:id="rId895" ref="A898"/>
    <hyperlink r:id="rId896" ref="A899"/>
    <hyperlink r:id="rId897" ref="A900"/>
    <hyperlink r:id="rId898" ref="A901"/>
    <hyperlink r:id="rId899" ref="A902"/>
    <hyperlink r:id="rId900" ref="A903"/>
    <hyperlink r:id="rId901" ref="A904"/>
    <hyperlink r:id="rId902" ref="A905"/>
    <hyperlink r:id="rId903" ref="A906"/>
    <hyperlink r:id="rId904" ref="A907"/>
    <hyperlink r:id="rId905" ref="A908"/>
    <hyperlink r:id="rId906" ref="A909"/>
    <hyperlink r:id="rId907" ref="A910"/>
    <hyperlink r:id="rId908" ref="A911"/>
    <hyperlink r:id="rId909" ref="A912"/>
    <hyperlink r:id="rId910" ref="A913"/>
    <hyperlink r:id="rId911" ref="A914"/>
    <hyperlink r:id="rId912" ref="A915"/>
    <hyperlink r:id="rId913" ref="A916"/>
    <hyperlink r:id="rId914" ref="A917"/>
    <hyperlink r:id="rId915" ref="A918"/>
    <hyperlink r:id="rId916" ref="A919"/>
    <hyperlink r:id="rId917" ref="A920"/>
    <hyperlink r:id="rId918" ref="A921"/>
    <hyperlink r:id="rId919" ref="A922"/>
    <hyperlink r:id="rId920" ref="A923"/>
    <hyperlink r:id="rId921" ref="A924"/>
    <hyperlink r:id="rId922" ref="A925"/>
    <hyperlink r:id="rId923" ref="A926"/>
    <hyperlink r:id="rId924" ref="A927"/>
    <hyperlink r:id="rId925" ref="A928"/>
    <hyperlink r:id="rId926" ref="A929"/>
    <hyperlink r:id="rId927" ref="A930"/>
    <hyperlink r:id="rId928" ref="A931"/>
    <hyperlink r:id="rId929" ref="A932"/>
    <hyperlink r:id="rId930" ref="A933"/>
    <hyperlink r:id="rId931" ref="A934"/>
    <hyperlink r:id="rId932" ref="A935"/>
    <hyperlink r:id="rId933" ref="A936"/>
    <hyperlink r:id="rId934" ref="A937"/>
    <hyperlink r:id="rId935" ref="A938"/>
    <hyperlink r:id="rId936" ref="A939"/>
    <hyperlink r:id="rId937" ref="A940"/>
    <hyperlink r:id="rId938" ref="A941"/>
    <hyperlink r:id="rId939" ref="A942"/>
    <hyperlink r:id="rId940" ref="A943"/>
    <hyperlink r:id="rId941" ref="A944"/>
    <hyperlink r:id="rId942" ref="A945"/>
    <hyperlink r:id="rId943" ref="A946"/>
    <hyperlink r:id="rId944" ref="A947"/>
    <hyperlink r:id="rId945" ref="A948"/>
    <hyperlink r:id="rId946" ref="A949"/>
    <hyperlink r:id="rId947" ref="A950"/>
    <hyperlink r:id="rId948" ref="A951"/>
    <hyperlink r:id="rId949" ref="A952"/>
    <hyperlink r:id="rId950" ref="A953"/>
    <hyperlink r:id="rId951" ref="A954"/>
    <hyperlink r:id="rId952" ref="A955"/>
    <hyperlink r:id="rId953" ref="A956"/>
    <hyperlink r:id="rId954" ref="A957"/>
    <hyperlink r:id="rId955" ref="A958"/>
    <hyperlink r:id="rId956" ref="A959"/>
    <hyperlink r:id="rId957" ref="A960"/>
    <hyperlink r:id="rId958" ref="A961"/>
    <hyperlink r:id="rId959" ref="A962"/>
    <hyperlink r:id="rId960" ref="A963"/>
    <hyperlink r:id="rId961" ref="A964"/>
    <hyperlink r:id="rId962" ref="A965"/>
    <hyperlink r:id="rId963" ref="A966"/>
    <hyperlink r:id="rId964" ref="A967"/>
    <hyperlink r:id="rId965" ref="A968"/>
    <hyperlink r:id="rId966" ref="A969"/>
    <hyperlink r:id="rId967" ref="A970"/>
    <hyperlink r:id="rId968" ref="A971"/>
    <hyperlink r:id="rId969" ref="A972"/>
    <hyperlink r:id="rId970" ref="A973"/>
    <hyperlink r:id="rId971" ref="A974"/>
    <hyperlink r:id="rId972" ref="A975"/>
    <hyperlink r:id="rId973" ref="A976"/>
    <hyperlink r:id="rId974" ref="A977"/>
    <hyperlink r:id="rId975" ref="A978"/>
    <hyperlink r:id="rId976" ref="A979"/>
    <hyperlink r:id="rId977" ref="A980"/>
    <hyperlink r:id="rId978" ref="A981"/>
    <hyperlink r:id="rId979" ref="A982"/>
    <hyperlink r:id="rId980" ref="A983"/>
    <hyperlink r:id="rId981" ref="A984"/>
    <hyperlink r:id="rId982" ref="A985"/>
    <hyperlink r:id="rId983" ref="A986"/>
    <hyperlink r:id="rId984" ref="A987"/>
    <hyperlink r:id="rId985" ref="A988"/>
    <hyperlink r:id="rId986" ref="A989"/>
    <hyperlink r:id="rId987" ref="A990"/>
    <hyperlink r:id="rId988" ref="A991"/>
    <hyperlink r:id="rId989" ref="A992"/>
    <hyperlink r:id="rId990" ref="A993"/>
    <hyperlink r:id="rId991" ref="A994"/>
    <hyperlink r:id="rId992" ref="A995"/>
    <hyperlink r:id="rId993" ref="A996"/>
    <hyperlink r:id="rId994" ref="A997"/>
    <hyperlink r:id="rId995" ref="A998"/>
    <hyperlink r:id="rId996" ref="A999"/>
    <hyperlink r:id="rId997" ref="A1000"/>
    <hyperlink r:id="rId998" ref="A1001"/>
    <hyperlink r:id="rId999" ref="A1002"/>
    <hyperlink r:id="rId1000" ref="A1003"/>
    <hyperlink r:id="rId1001" ref="A1004"/>
    <hyperlink r:id="rId1002" ref="A1005"/>
    <hyperlink r:id="rId1003" ref="A1006"/>
    <hyperlink r:id="rId1004" ref="A1007"/>
    <hyperlink r:id="rId1005" ref="A1008"/>
    <hyperlink r:id="rId1006" ref="A1009"/>
    <hyperlink r:id="rId1007" ref="A1010"/>
    <hyperlink r:id="rId1008" ref="A1011"/>
    <hyperlink r:id="rId1009" ref="A1012"/>
    <hyperlink r:id="rId1010" ref="A1013"/>
    <hyperlink r:id="rId1011" ref="A1014"/>
    <hyperlink r:id="rId1012" ref="A1015"/>
    <hyperlink r:id="rId1013" ref="A1016"/>
    <hyperlink r:id="rId1014" ref="A1017"/>
    <hyperlink r:id="rId1015" ref="A1018"/>
    <hyperlink r:id="rId1016" ref="A1019"/>
    <hyperlink r:id="rId1017" ref="A1020"/>
    <hyperlink r:id="rId1018" ref="A1021"/>
    <hyperlink r:id="rId1019" ref="A1022"/>
    <hyperlink r:id="rId1020" ref="A1023"/>
    <hyperlink r:id="rId1021" ref="A1024"/>
    <hyperlink r:id="rId1022" ref="A1025"/>
    <hyperlink r:id="rId1023" ref="A1026"/>
    <hyperlink r:id="rId1024" ref="A1027"/>
    <hyperlink r:id="rId1025" ref="A1028"/>
    <hyperlink r:id="rId1026" ref="A1029"/>
    <hyperlink r:id="rId1027" ref="A1030"/>
    <hyperlink r:id="rId1028" ref="A1031"/>
    <hyperlink r:id="rId1029" ref="A1032"/>
    <hyperlink r:id="rId1030" ref="A1033"/>
    <hyperlink r:id="rId1031" ref="A1034"/>
    <hyperlink r:id="rId1032" ref="A1035"/>
    <hyperlink r:id="rId1033" ref="A1036"/>
    <hyperlink r:id="rId1034" ref="A1037"/>
    <hyperlink r:id="rId1035" ref="A1038"/>
    <hyperlink r:id="rId1036" ref="A1039"/>
    <hyperlink r:id="rId1037" ref="A1040"/>
    <hyperlink r:id="rId1038" ref="A1041"/>
    <hyperlink r:id="rId1039" ref="A1042"/>
    <hyperlink r:id="rId1040" ref="A1043"/>
    <hyperlink r:id="rId1041" ref="A1044"/>
    <hyperlink r:id="rId1042" ref="A1045"/>
    <hyperlink r:id="rId1043" ref="A1046"/>
    <hyperlink r:id="rId1044" ref="A1047"/>
    <hyperlink r:id="rId1045" ref="A1048"/>
    <hyperlink r:id="rId1046" ref="A1049"/>
    <hyperlink r:id="rId1047" ref="A1050"/>
    <hyperlink r:id="rId1048" ref="A1051"/>
    <hyperlink r:id="rId1049" ref="A1052"/>
    <hyperlink r:id="rId1050" ref="A1053"/>
    <hyperlink r:id="rId1051" ref="A1054"/>
    <hyperlink r:id="rId1052" ref="A1055"/>
    <hyperlink r:id="rId1053" ref="A1056"/>
    <hyperlink r:id="rId1054" ref="A1057"/>
    <hyperlink r:id="rId1055" ref="A1058"/>
    <hyperlink r:id="rId1056" ref="A1059"/>
    <hyperlink r:id="rId1057" ref="A1060"/>
    <hyperlink r:id="rId1058" ref="A1061"/>
    <hyperlink r:id="rId1059" ref="A1062"/>
    <hyperlink r:id="rId1060" ref="A1063"/>
    <hyperlink r:id="rId1061" ref="A1064"/>
    <hyperlink r:id="rId1062" ref="A1065"/>
    <hyperlink r:id="rId1063" ref="A1066"/>
    <hyperlink r:id="rId1064" ref="A1067"/>
    <hyperlink r:id="rId1065" ref="A1068"/>
    <hyperlink r:id="rId1066" ref="A1069"/>
    <hyperlink r:id="rId1067" ref="A1070"/>
    <hyperlink r:id="rId1068" ref="A1071"/>
    <hyperlink r:id="rId1069" ref="A1072"/>
    <hyperlink r:id="rId1070" ref="A1073"/>
    <hyperlink r:id="rId1071" ref="A1074"/>
    <hyperlink r:id="rId1072" ref="A1075"/>
    <hyperlink r:id="rId1073" ref="A1076"/>
    <hyperlink r:id="rId1074" ref="A1077"/>
    <hyperlink r:id="rId1075" ref="A1078"/>
    <hyperlink r:id="rId1076" ref="A1079"/>
    <hyperlink r:id="rId1077" ref="A1080"/>
    <hyperlink r:id="rId1078" ref="A1081"/>
    <hyperlink r:id="rId1079" ref="A1082"/>
    <hyperlink r:id="rId1080" ref="A1083"/>
    <hyperlink r:id="rId1081" ref="A1084"/>
    <hyperlink r:id="rId1082" ref="A1085"/>
    <hyperlink r:id="rId1083" ref="A1086"/>
    <hyperlink r:id="rId1084" ref="A1087"/>
    <hyperlink r:id="rId1085" ref="A1088"/>
    <hyperlink r:id="rId1086" ref="A1089"/>
    <hyperlink r:id="rId1087" ref="A1090"/>
    <hyperlink r:id="rId1088" ref="A1091"/>
    <hyperlink r:id="rId1089" ref="A1092"/>
    <hyperlink r:id="rId1090" ref="A1093"/>
    <hyperlink r:id="rId1091" ref="A1094"/>
    <hyperlink r:id="rId1092" ref="A1095"/>
    <hyperlink r:id="rId1093" ref="A1096"/>
    <hyperlink r:id="rId1094" ref="A1097"/>
    <hyperlink r:id="rId1095" ref="A1098"/>
    <hyperlink r:id="rId1096" ref="A1099"/>
    <hyperlink r:id="rId1097" ref="A1100"/>
    <hyperlink r:id="rId1098" ref="A1101"/>
    <hyperlink r:id="rId1099" ref="A1102"/>
    <hyperlink r:id="rId1100" ref="A1103"/>
    <hyperlink r:id="rId1101" ref="A1104"/>
    <hyperlink r:id="rId1102" ref="A1105"/>
    <hyperlink r:id="rId1103" ref="A1106"/>
    <hyperlink r:id="rId1104" ref="A1107"/>
    <hyperlink r:id="rId1105" ref="A1108"/>
    <hyperlink r:id="rId1106" ref="A1109"/>
    <hyperlink r:id="rId1107" ref="A1110"/>
    <hyperlink r:id="rId1108" ref="A1111"/>
    <hyperlink r:id="rId1109" ref="A1112"/>
    <hyperlink r:id="rId1110" ref="A1113"/>
    <hyperlink r:id="rId1111" ref="A1114"/>
    <hyperlink r:id="rId1112" ref="A1115"/>
    <hyperlink r:id="rId1113" ref="A1116"/>
    <hyperlink r:id="rId1114" ref="A1117"/>
    <hyperlink r:id="rId1115" ref="A1118"/>
    <hyperlink r:id="rId1116" ref="A1119"/>
    <hyperlink r:id="rId1117" ref="A1120"/>
    <hyperlink r:id="rId1118" ref="A1121"/>
    <hyperlink r:id="rId1119" ref="A1122"/>
    <hyperlink r:id="rId1120" ref="A1123"/>
    <hyperlink r:id="rId1121" ref="A1124"/>
    <hyperlink r:id="rId1122" ref="A1125"/>
    <hyperlink r:id="rId1123" ref="A1126"/>
    <hyperlink r:id="rId1124" ref="A1127"/>
    <hyperlink r:id="rId1125" ref="A1128"/>
    <hyperlink r:id="rId1126" ref="A1129"/>
    <hyperlink r:id="rId1127" ref="A1130"/>
    <hyperlink r:id="rId1128" ref="A1131"/>
    <hyperlink r:id="rId1129" ref="A1132"/>
    <hyperlink r:id="rId1130" ref="A1133"/>
    <hyperlink r:id="rId1131" ref="A1134"/>
    <hyperlink r:id="rId1132" ref="A1135"/>
    <hyperlink r:id="rId1133" ref="A1136"/>
    <hyperlink r:id="rId1134" ref="A1137"/>
    <hyperlink r:id="rId1135" ref="A1138"/>
    <hyperlink r:id="rId1136" ref="A1139"/>
    <hyperlink r:id="rId1137" ref="A1140"/>
    <hyperlink r:id="rId1138" ref="A1141"/>
    <hyperlink r:id="rId1139" ref="A1142"/>
    <hyperlink r:id="rId1140" ref="A1143"/>
    <hyperlink r:id="rId1141" ref="A1144"/>
    <hyperlink r:id="rId1142" ref="A1145"/>
    <hyperlink r:id="rId1143" ref="A1146"/>
    <hyperlink r:id="rId1144" ref="A1147"/>
    <hyperlink r:id="rId1145" ref="A1148"/>
    <hyperlink r:id="rId1146" ref="A1149"/>
    <hyperlink r:id="rId1147" ref="A1150"/>
    <hyperlink r:id="rId1148" ref="A1151"/>
    <hyperlink r:id="rId1149" ref="A1152"/>
    <hyperlink r:id="rId1150" ref="A1153"/>
    <hyperlink r:id="rId1151" ref="A1154"/>
    <hyperlink r:id="rId1152" ref="A1155"/>
    <hyperlink r:id="rId1153" ref="A1156"/>
    <hyperlink r:id="rId1154" ref="A1157"/>
    <hyperlink r:id="rId1155" ref="A1158"/>
    <hyperlink r:id="rId1156" ref="A1159"/>
    <hyperlink r:id="rId1157" ref="A1160"/>
    <hyperlink r:id="rId1158" ref="A1161"/>
    <hyperlink r:id="rId1159" ref="A1162"/>
    <hyperlink r:id="rId1160" ref="A1163"/>
    <hyperlink r:id="rId1161" ref="A1164"/>
    <hyperlink r:id="rId1162" ref="A1165"/>
    <hyperlink r:id="rId1163" ref="A1166"/>
    <hyperlink r:id="rId1164" ref="A1167"/>
    <hyperlink r:id="rId1165" ref="A1168"/>
    <hyperlink r:id="rId1166" ref="A1169"/>
    <hyperlink r:id="rId1167" ref="A1170"/>
    <hyperlink r:id="rId1168" ref="A1171"/>
    <hyperlink r:id="rId1169" ref="A1172"/>
    <hyperlink r:id="rId1170" ref="A1173"/>
    <hyperlink r:id="rId1171" ref="A1174"/>
    <hyperlink r:id="rId1172" ref="A1175"/>
    <hyperlink r:id="rId1173" ref="A1176"/>
    <hyperlink r:id="rId1174" ref="A1177"/>
    <hyperlink r:id="rId1175" ref="A1178"/>
    <hyperlink r:id="rId1176" ref="A1179"/>
    <hyperlink r:id="rId1177" ref="A1180"/>
    <hyperlink r:id="rId1178" ref="A1181"/>
    <hyperlink r:id="rId1179" ref="A1182"/>
    <hyperlink r:id="rId1180" ref="A1183"/>
    <hyperlink r:id="rId1181" ref="A1184"/>
    <hyperlink r:id="rId1182" ref="A1185"/>
    <hyperlink r:id="rId1183" ref="A1186"/>
    <hyperlink r:id="rId1184" ref="A1187"/>
    <hyperlink r:id="rId1185" ref="A1188"/>
    <hyperlink r:id="rId1186" ref="A1189"/>
    <hyperlink r:id="rId1187" ref="A1190"/>
    <hyperlink r:id="rId1188" ref="A1191"/>
    <hyperlink r:id="rId1189" ref="A1192"/>
    <hyperlink r:id="rId1190" ref="A1193"/>
    <hyperlink r:id="rId1191" ref="A1194"/>
    <hyperlink r:id="rId1192" ref="A1195"/>
    <hyperlink r:id="rId1193" ref="A1196"/>
    <hyperlink r:id="rId1194" ref="A1197"/>
    <hyperlink r:id="rId1195" ref="A1198"/>
    <hyperlink r:id="rId1196" ref="A1199"/>
    <hyperlink r:id="rId1197" ref="A1200"/>
    <hyperlink r:id="rId1198" ref="A1201"/>
    <hyperlink r:id="rId1199" ref="A1202"/>
    <hyperlink r:id="rId1200" ref="A1203"/>
    <hyperlink r:id="rId1201" ref="A1204"/>
    <hyperlink r:id="rId1202" ref="A1205"/>
    <hyperlink r:id="rId1203" ref="A1206"/>
    <hyperlink r:id="rId1204" ref="A1207"/>
    <hyperlink r:id="rId1205" ref="A1208"/>
    <hyperlink r:id="rId1206" ref="A1209"/>
    <hyperlink r:id="rId1207" ref="A1210"/>
    <hyperlink r:id="rId1208" ref="A1211"/>
    <hyperlink r:id="rId1209" ref="A1212"/>
    <hyperlink r:id="rId1210" ref="A1213"/>
    <hyperlink r:id="rId1211" ref="A1214"/>
    <hyperlink r:id="rId1212" ref="A1215"/>
    <hyperlink r:id="rId1213" ref="A1216"/>
    <hyperlink r:id="rId1214" ref="A1217"/>
    <hyperlink r:id="rId1215" ref="A1218"/>
    <hyperlink r:id="rId1216" ref="A1219"/>
    <hyperlink r:id="rId1217" ref="A1220"/>
    <hyperlink r:id="rId1218" ref="A1221"/>
    <hyperlink r:id="rId1219" ref="A1222"/>
    <hyperlink r:id="rId1220" ref="A1223"/>
    <hyperlink r:id="rId1221" ref="A1224"/>
    <hyperlink r:id="rId1222" ref="A1225"/>
    <hyperlink r:id="rId1223" ref="A1226"/>
    <hyperlink r:id="rId1224" ref="A1227"/>
    <hyperlink r:id="rId1225" ref="A1228"/>
    <hyperlink r:id="rId1226" ref="A1229"/>
    <hyperlink r:id="rId1227" ref="A1230"/>
    <hyperlink r:id="rId1228" ref="A1231"/>
    <hyperlink r:id="rId1229" ref="A1232"/>
    <hyperlink r:id="rId1230" ref="A1233"/>
    <hyperlink r:id="rId1231" ref="A1234"/>
    <hyperlink r:id="rId1232" ref="A1235"/>
    <hyperlink r:id="rId1233" ref="A1236"/>
    <hyperlink r:id="rId1234" ref="A1237"/>
    <hyperlink r:id="rId1235" ref="A1238"/>
    <hyperlink r:id="rId1236" ref="A1239"/>
    <hyperlink r:id="rId1237" ref="A1240"/>
    <hyperlink r:id="rId1238" ref="A1241"/>
    <hyperlink r:id="rId1239" ref="A1242"/>
    <hyperlink r:id="rId1240" ref="A1243"/>
    <hyperlink r:id="rId1241" ref="A1244"/>
    <hyperlink r:id="rId1242" ref="A1245"/>
    <hyperlink r:id="rId1243" ref="A1246"/>
    <hyperlink r:id="rId1244" ref="A1247"/>
    <hyperlink r:id="rId1245" ref="A1248"/>
    <hyperlink r:id="rId1246" ref="A1249"/>
    <hyperlink r:id="rId1247" ref="A1250"/>
    <hyperlink r:id="rId1248" ref="A1251"/>
    <hyperlink r:id="rId1249" ref="A1252"/>
    <hyperlink r:id="rId1250" ref="A1253"/>
    <hyperlink r:id="rId1251" ref="A1254"/>
    <hyperlink r:id="rId1252" ref="A1255"/>
    <hyperlink r:id="rId1253" ref="A1256"/>
    <hyperlink r:id="rId1254" ref="A1257"/>
    <hyperlink r:id="rId1255" ref="A1258"/>
    <hyperlink r:id="rId1256" ref="A1259"/>
    <hyperlink r:id="rId1257" ref="A1260"/>
    <hyperlink r:id="rId1258" ref="A1261"/>
    <hyperlink r:id="rId1259" ref="A1262"/>
    <hyperlink r:id="rId1260" ref="A1263"/>
    <hyperlink r:id="rId1261" ref="A1264"/>
    <hyperlink r:id="rId1262" ref="A1265"/>
    <hyperlink r:id="rId1263" ref="A1266"/>
    <hyperlink r:id="rId1264" ref="A1267"/>
    <hyperlink r:id="rId1265" ref="A1268"/>
    <hyperlink r:id="rId1266" ref="A1269"/>
    <hyperlink r:id="rId1267" ref="A1270"/>
    <hyperlink r:id="rId1268" ref="A1271"/>
    <hyperlink r:id="rId1269" ref="A1272"/>
    <hyperlink r:id="rId1270" ref="A1273"/>
    <hyperlink r:id="rId1271" ref="A1274"/>
    <hyperlink r:id="rId1272" ref="A1275"/>
    <hyperlink r:id="rId1273" ref="A1276"/>
    <hyperlink r:id="rId1274" ref="A1277"/>
    <hyperlink r:id="rId1275" ref="A1278"/>
    <hyperlink r:id="rId1276" ref="A1279"/>
    <hyperlink r:id="rId1277" ref="A1280"/>
    <hyperlink r:id="rId1278" ref="A1281"/>
    <hyperlink r:id="rId1279" ref="A1282"/>
    <hyperlink r:id="rId1280" ref="A1283"/>
    <hyperlink r:id="rId1281" ref="A1284"/>
    <hyperlink r:id="rId1282" ref="A1285"/>
    <hyperlink r:id="rId1283" ref="A1286"/>
    <hyperlink r:id="rId1284" ref="A1287"/>
    <hyperlink r:id="rId1285" ref="A1288"/>
    <hyperlink r:id="rId1286" ref="A1289"/>
    <hyperlink r:id="rId1287" ref="A1290"/>
    <hyperlink r:id="rId1288" ref="A1291"/>
    <hyperlink r:id="rId1289" ref="A1292"/>
    <hyperlink r:id="rId1290" ref="A1293"/>
    <hyperlink r:id="rId1291" ref="A1294"/>
    <hyperlink r:id="rId1292" ref="A1295"/>
    <hyperlink r:id="rId1293" ref="A1296"/>
    <hyperlink r:id="rId1294" ref="A1297"/>
    <hyperlink r:id="rId1295" ref="A1298"/>
    <hyperlink r:id="rId1296" ref="A1299"/>
    <hyperlink r:id="rId1297" ref="A1300"/>
    <hyperlink r:id="rId1298" ref="A1301"/>
    <hyperlink r:id="rId1299" ref="A1302"/>
    <hyperlink r:id="rId1300" ref="A1303"/>
    <hyperlink r:id="rId1301" ref="A1304"/>
    <hyperlink r:id="rId1302" ref="A1305"/>
    <hyperlink r:id="rId1303" ref="A1306"/>
    <hyperlink r:id="rId1304" ref="A1307"/>
    <hyperlink r:id="rId1305" ref="A1308"/>
    <hyperlink r:id="rId1306" ref="A1309"/>
    <hyperlink r:id="rId1307" ref="A1310"/>
    <hyperlink r:id="rId1308" ref="A1311"/>
    <hyperlink r:id="rId1309" ref="A1312"/>
    <hyperlink r:id="rId1310" ref="A1313"/>
    <hyperlink r:id="rId1311" ref="A1314"/>
    <hyperlink r:id="rId1312" ref="A1315"/>
    <hyperlink r:id="rId1313" ref="A1316"/>
    <hyperlink r:id="rId1314" ref="A1317"/>
    <hyperlink r:id="rId1315" ref="A1318"/>
    <hyperlink r:id="rId1316" ref="A1319"/>
    <hyperlink r:id="rId1317" ref="A1320"/>
    <hyperlink r:id="rId1318" ref="A1321"/>
    <hyperlink r:id="rId1319" ref="A1322"/>
    <hyperlink r:id="rId1320" ref="A1323"/>
    <hyperlink r:id="rId1321" ref="A1324"/>
    <hyperlink r:id="rId1322" ref="A1325"/>
    <hyperlink r:id="rId1323" ref="A1326"/>
    <hyperlink r:id="rId1324" ref="A1327"/>
    <hyperlink r:id="rId1325" ref="A1328"/>
    <hyperlink r:id="rId1326" ref="A1329"/>
    <hyperlink r:id="rId1327" ref="A1330"/>
    <hyperlink r:id="rId1328" ref="A1331"/>
    <hyperlink r:id="rId1329" ref="A1332"/>
    <hyperlink r:id="rId1330" ref="A1333"/>
    <hyperlink r:id="rId1331" ref="A1334"/>
    <hyperlink r:id="rId1332" ref="A1335"/>
    <hyperlink r:id="rId1333" ref="A1336"/>
    <hyperlink r:id="rId1334" ref="A1337"/>
    <hyperlink r:id="rId1335" ref="A1338"/>
    <hyperlink r:id="rId1336" ref="A1339"/>
    <hyperlink r:id="rId1337" ref="A1340"/>
    <hyperlink r:id="rId1338" ref="A1341"/>
    <hyperlink r:id="rId1339" ref="A1342"/>
    <hyperlink r:id="rId1340" ref="A1343"/>
    <hyperlink r:id="rId1341" ref="A1344"/>
    <hyperlink r:id="rId1342" ref="A1345"/>
    <hyperlink r:id="rId1343" ref="A1346"/>
    <hyperlink r:id="rId1344" ref="A1347"/>
    <hyperlink r:id="rId1345" ref="A1348"/>
    <hyperlink r:id="rId1346" ref="A1349"/>
    <hyperlink r:id="rId1347" ref="A1350"/>
    <hyperlink r:id="rId1348" ref="A1351"/>
    <hyperlink r:id="rId1349" ref="A1352"/>
    <hyperlink r:id="rId1350" ref="A1353"/>
    <hyperlink r:id="rId1351" ref="A1354"/>
    <hyperlink r:id="rId1352" ref="A1355"/>
    <hyperlink r:id="rId1353" ref="A1356"/>
    <hyperlink r:id="rId1354" ref="A1357"/>
    <hyperlink r:id="rId1355" ref="A1358"/>
    <hyperlink r:id="rId1356" ref="A1359"/>
    <hyperlink r:id="rId1357" ref="A1360"/>
    <hyperlink r:id="rId1358" ref="A1361"/>
    <hyperlink r:id="rId1359" ref="A1362"/>
    <hyperlink r:id="rId1360" ref="A1363"/>
    <hyperlink r:id="rId1361" ref="A1364"/>
    <hyperlink r:id="rId1362" ref="A1365"/>
    <hyperlink r:id="rId1363" ref="A1366"/>
    <hyperlink r:id="rId1364" ref="A1367"/>
    <hyperlink r:id="rId1365" ref="A1368"/>
    <hyperlink r:id="rId1366" ref="A1369"/>
    <hyperlink r:id="rId1367" ref="A1370"/>
    <hyperlink r:id="rId1368" ref="A1371"/>
    <hyperlink r:id="rId1369" ref="A1372"/>
    <hyperlink r:id="rId1370" ref="A1373"/>
    <hyperlink r:id="rId1371" ref="A1374"/>
    <hyperlink r:id="rId1372" ref="A1375"/>
    <hyperlink r:id="rId1373" ref="A1376"/>
    <hyperlink r:id="rId1374" ref="A1377"/>
    <hyperlink r:id="rId1375" ref="A1378"/>
    <hyperlink r:id="rId1376" ref="A1379"/>
    <hyperlink r:id="rId1377" ref="A1380"/>
    <hyperlink r:id="rId1378" ref="A1381"/>
    <hyperlink r:id="rId1379" ref="A1382"/>
    <hyperlink r:id="rId1380" ref="A1383"/>
    <hyperlink r:id="rId1381" ref="A1384"/>
    <hyperlink r:id="rId1382" ref="A1385"/>
    <hyperlink r:id="rId1383" ref="A1386"/>
    <hyperlink r:id="rId1384" ref="A1387"/>
    <hyperlink r:id="rId1385" ref="A1388"/>
    <hyperlink r:id="rId1386" ref="A1389"/>
    <hyperlink r:id="rId1387" ref="A1390"/>
    <hyperlink r:id="rId1388" ref="A1391"/>
    <hyperlink r:id="rId1389" ref="A1392"/>
    <hyperlink r:id="rId1390" ref="A1393"/>
    <hyperlink r:id="rId1391" ref="A1394"/>
    <hyperlink r:id="rId1392" ref="A1395"/>
    <hyperlink r:id="rId1393" ref="A1396"/>
    <hyperlink r:id="rId1394" ref="A1397"/>
    <hyperlink r:id="rId1395" ref="A1398"/>
    <hyperlink r:id="rId1396" ref="A1399"/>
    <hyperlink r:id="rId1397" ref="A1400"/>
    <hyperlink r:id="rId1398" ref="A1401"/>
    <hyperlink r:id="rId1399" ref="A1402"/>
    <hyperlink r:id="rId1400" ref="A1403"/>
    <hyperlink r:id="rId1401" ref="A1404"/>
    <hyperlink r:id="rId1402" ref="A1405"/>
    <hyperlink r:id="rId1403" ref="A1406"/>
    <hyperlink r:id="rId1404" ref="A1407"/>
    <hyperlink r:id="rId1405" ref="A1408"/>
    <hyperlink r:id="rId1406" ref="A1409"/>
    <hyperlink r:id="rId1407" ref="A1410"/>
    <hyperlink r:id="rId1408" ref="A1411"/>
    <hyperlink r:id="rId1409" ref="A1412"/>
    <hyperlink r:id="rId1410" ref="A1413"/>
    <hyperlink r:id="rId1411" ref="A1414"/>
    <hyperlink r:id="rId1412" ref="A1415"/>
    <hyperlink r:id="rId1413" ref="A1416"/>
    <hyperlink r:id="rId1414" ref="A1417"/>
    <hyperlink r:id="rId1415" ref="A1418"/>
    <hyperlink r:id="rId1416" ref="A1419"/>
    <hyperlink r:id="rId1417" ref="A1420"/>
    <hyperlink r:id="rId1418" ref="A1421"/>
    <hyperlink r:id="rId1419" ref="A1422"/>
    <hyperlink r:id="rId1420" ref="A1423"/>
    <hyperlink r:id="rId1421" ref="A1424"/>
    <hyperlink r:id="rId1422" ref="A1425"/>
    <hyperlink r:id="rId1423" ref="A1426"/>
    <hyperlink r:id="rId1424" ref="A1427"/>
    <hyperlink r:id="rId1425" ref="A1428"/>
    <hyperlink r:id="rId1426" ref="A1429"/>
    <hyperlink r:id="rId1427" ref="A1430"/>
    <hyperlink r:id="rId1428" ref="A1431"/>
    <hyperlink r:id="rId1429" ref="A1432"/>
    <hyperlink r:id="rId1430" ref="A1433"/>
    <hyperlink r:id="rId1431" ref="A1434"/>
    <hyperlink r:id="rId1432" ref="A1435"/>
    <hyperlink r:id="rId1433" ref="A1436"/>
    <hyperlink r:id="rId1434" ref="A1437"/>
    <hyperlink r:id="rId1435" ref="A1438"/>
    <hyperlink r:id="rId1436" ref="A1439"/>
    <hyperlink r:id="rId1437" ref="A1440"/>
    <hyperlink r:id="rId1438" ref="A1441"/>
    <hyperlink r:id="rId1439" ref="A1442"/>
    <hyperlink r:id="rId1440" ref="A1443"/>
    <hyperlink r:id="rId1441" ref="A1444"/>
    <hyperlink r:id="rId1442" ref="A1445"/>
    <hyperlink r:id="rId1443" ref="A1446"/>
    <hyperlink r:id="rId1444" ref="A1447"/>
    <hyperlink r:id="rId1445" ref="A1448"/>
    <hyperlink r:id="rId1446" ref="A1449"/>
    <hyperlink r:id="rId1447" ref="A1450"/>
    <hyperlink r:id="rId1448" ref="A1451"/>
    <hyperlink r:id="rId1449" ref="A1452"/>
    <hyperlink r:id="rId1450" ref="A1453"/>
    <hyperlink r:id="rId1451" ref="A1454"/>
    <hyperlink r:id="rId1452" ref="A1455"/>
    <hyperlink r:id="rId1453" ref="A1456"/>
    <hyperlink r:id="rId1454" ref="A1457"/>
    <hyperlink r:id="rId1455" ref="A1458"/>
    <hyperlink r:id="rId1456" ref="A1459"/>
    <hyperlink r:id="rId1457" ref="A1460"/>
    <hyperlink r:id="rId1458" ref="A1461"/>
    <hyperlink r:id="rId1459" ref="A1462"/>
    <hyperlink r:id="rId1460" ref="A1463"/>
    <hyperlink r:id="rId1461" ref="A1464"/>
    <hyperlink r:id="rId1462" ref="A1465"/>
    <hyperlink r:id="rId1463" ref="A1466"/>
    <hyperlink r:id="rId1464" ref="A1467"/>
    <hyperlink r:id="rId1465" ref="A1468"/>
    <hyperlink r:id="rId1466" ref="A1469"/>
    <hyperlink r:id="rId1467" ref="A1470"/>
    <hyperlink r:id="rId1468" ref="A1471"/>
    <hyperlink r:id="rId1469" ref="A1472"/>
    <hyperlink r:id="rId1470" ref="A1473"/>
    <hyperlink r:id="rId1471" ref="A1474"/>
    <hyperlink r:id="rId1472" ref="A1475"/>
    <hyperlink r:id="rId1473" ref="A1476"/>
    <hyperlink r:id="rId1474" ref="A1477"/>
    <hyperlink r:id="rId1475" ref="A1478"/>
    <hyperlink r:id="rId1476" ref="A1479"/>
    <hyperlink r:id="rId1477" ref="A1480"/>
    <hyperlink r:id="rId1478" ref="A1481"/>
    <hyperlink r:id="rId1479" ref="A1482"/>
    <hyperlink r:id="rId1480" ref="A1483"/>
    <hyperlink r:id="rId1481" ref="A1484"/>
    <hyperlink r:id="rId1482" ref="A1485"/>
    <hyperlink r:id="rId1483" ref="A1486"/>
    <hyperlink r:id="rId1484" ref="A1487"/>
    <hyperlink r:id="rId1485" ref="A1488"/>
    <hyperlink r:id="rId1486" ref="A1489"/>
    <hyperlink r:id="rId1487" ref="A1490"/>
    <hyperlink r:id="rId1488" ref="A1491"/>
    <hyperlink r:id="rId1489" ref="A1492"/>
    <hyperlink r:id="rId1490" ref="A1493"/>
    <hyperlink r:id="rId1491" ref="A1494"/>
    <hyperlink r:id="rId1492" ref="A1495"/>
    <hyperlink r:id="rId1493" ref="A1496"/>
    <hyperlink r:id="rId1494" ref="A1497"/>
    <hyperlink r:id="rId1495" ref="A1498"/>
    <hyperlink r:id="rId1496" ref="A1499"/>
    <hyperlink r:id="rId1497" ref="A1500"/>
    <hyperlink r:id="rId1498" ref="A1501"/>
    <hyperlink r:id="rId1499" ref="A1502"/>
    <hyperlink r:id="rId1500" ref="A1503"/>
    <hyperlink r:id="rId1501" ref="A1504"/>
    <hyperlink r:id="rId1502" ref="A1505"/>
    <hyperlink r:id="rId1503" ref="A1506"/>
    <hyperlink r:id="rId1504" ref="A1507"/>
    <hyperlink r:id="rId1505" ref="A1508"/>
    <hyperlink r:id="rId1506" ref="A1509"/>
    <hyperlink r:id="rId1507" ref="A1510"/>
    <hyperlink r:id="rId1508" ref="A1511"/>
    <hyperlink r:id="rId1509" ref="A1512"/>
    <hyperlink r:id="rId1510" ref="A1513"/>
    <hyperlink r:id="rId1511" ref="A1514"/>
    <hyperlink r:id="rId1512" ref="A1515"/>
    <hyperlink r:id="rId1513" ref="A1516"/>
    <hyperlink r:id="rId1514" ref="A1517"/>
    <hyperlink r:id="rId1515" ref="A1518"/>
    <hyperlink r:id="rId1516" ref="A1519"/>
    <hyperlink r:id="rId1517" ref="A1520"/>
    <hyperlink r:id="rId1518" ref="A1521"/>
    <hyperlink r:id="rId1519" ref="A1522"/>
    <hyperlink r:id="rId1520" ref="A1523"/>
    <hyperlink r:id="rId1521" ref="A1524"/>
    <hyperlink r:id="rId1522" ref="A1525"/>
    <hyperlink r:id="rId1523" ref="A1526"/>
    <hyperlink r:id="rId1524" ref="A1527"/>
    <hyperlink r:id="rId1525" ref="A1528"/>
    <hyperlink r:id="rId1526" ref="A1529"/>
    <hyperlink r:id="rId1527" ref="A1530"/>
    <hyperlink r:id="rId1528" ref="A1531"/>
    <hyperlink r:id="rId1529" ref="A1532"/>
    <hyperlink r:id="rId1530" ref="A1533"/>
    <hyperlink r:id="rId1531" ref="A1534"/>
    <hyperlink r:id="rId1532" ref="A1535"/>
    <hyperlink r:id="rId1533" ref="A1536"/>
    <hyperlink r:id="rId1534" ref="A1537"/>
    <hyperlink r:id="rId1535" ref="A1538"/>
    <hyperlink r:id="rId1536" ref="A1539"/>
    <hyperlink r:id="rId1537" ref="A1540"/>
    <hyperlink r:id="rId1538" ref="A1541"/>
    <hyperlink r:id="rId1539" ref="A1542"/>
    <hyperlink r:id="rId1540" ref="A1543"/>
    <hyperlink r:id="rId1541" ref="A1544"/>
    <hyperlink r:id="rId1542" ref="A1545"/>
    <hyperlink r:id="rId1543" ref="A1546"/>
    <hyperlink r:id="rId1544" ref="A1547"/>
    <hyperlink r:id="rId1545" ref="A1548"/>
    <hyperlink r:id="rId1546" ref="A1549"/>
    <hyperlink r:id="rId1547" ref="A1550"/>
    <hyperlink r:id="rId1548" ref="A1551"/>
    <hyperlink r:id="rId1549" ref="A1552"/>
    <hyperlink r:id="rId1550" ref="A1553"/>
    <hyperlink r:id="rId1551" ref="A1554"/>
    <hyperlink r:id="rId1552" ref="A1555"/>
    <hyperlink r:id="rId1553" ref="A1556"/>
    <hyperlink r:id="rId1554" ref="A1557"/>
    <hyperlink r:id="rId1555" ref="A1558"/>
    <hyperlink r:id="rId1556" ref="A1559"/>
    <hyperlink r:id="rId1557" ref="A1560"/>
    <hyperlink r:id="rId1558" ref="A1561"/>
    <hyperlink r:id="rId1559" ref="A1562"/>
    <hyperlink r:id="rId1560" ref="A1563"/>
    <hyperlink r:id="rId1561" ref="A1564"/>
    <hyperlink r:id="rId1562" ref="A1565"/>
    <hyperlink r:id="rId1563" ref="A1566"/>
    <hyperlink r:id="rId1564" ref="A1567"/>
    <hyperlink r:id="rId1565" ref="A1568"/>
    <hyperlink r:id="rId1566" ref="A1569"/>
    <hyperlink r:id="rId1567" ref="A1570"/>
    <hyperlink r:id="rId1568" ref="A1571"/>
    <hyperlink r:id="rId1569" ref="A1572"/>
    <hyperlink r:id="rId1570" ref="A1573"/>
    <hyperlink r:id="rId1571" ref="A1574"/>
    <hyperlink r:id="rId1572" ref="A1575"/>
    <hyperlink r:id="rId1573" ref="A1576"/>
    <hyperlink r:id="rId1574" ref="A1577"/>
    <hyperlink r:id="rId1575" ref="A1578"/>
    <hyperlink r:id="rId1576" ref="A1579"/>
    <hyperlink r:id="rId1577" ref="A1580"/>
    <hyperlink r:id="rId1578" ref="A1581"/>
    <hyperlink r:id="rId1579" ref="A1582"/>
    <hyperlink r:id="rId1580" ref="A1583"/>
    <hyperlink r:id="rId1581" ref="A1584"/>
    <hyperlink r:id="rId1582" ref="A1585"/>
    <hyperlink r:id="rId1583" ref="A1586"/>
    <hyperlink r:id="rId1584" ref="A1587"/>
    <hyperlink r:id="rId1585" ref="A1588"/>
    <hyperlink r:id="rId1586" ref="A1589"/>
    <hyperlink r:id="rId1587" ref="A1590"/>
    <hyperlink r:id="rId1588" ref="A1591"/>
    <hyperlink r:id="rId1589" ref="A1592"/>
    <hyperlink r:id="rId1590" ref="A1593"/>
    <hyperlink r:id="rId1591" ref="A1594"/>
    <hyperlink r:id="rId1592" ref="A1595"/>
    <hyperlink r:id="rId1593" ref="A1596"/>
    <hyperlink r:id="rId1594" ref="A1597"/>
    <hyperlink r:id="rId1595" ref="A1598"/>
    <hyperlink r:id="rId1596" ref="A1599"/>
    <hyperlink r:id="rId1597" ref="A1600"/>
    <hyperlink r:id="rId1598" ref="A1601"/>
    <hyperlink r:id="rId1599" ref="A1602"/>
    <hyperlink r:id="rId1600" ref="A1603"/>
    <hyperlink r:id="rId1601" ref="A1604"/>
    <hyperlink r:id="rId1602" ref="A1605"/>
    <hyperlink r:id="rId1603" ref="A1606"/>
    <hyperlink r:id="rId1604" ref="A1607"/>
    <hyperlink r:id="rId1605" ref="A1608"/>
    <hyperlink r:id="rId1606" ref="A1609"/>
    <hyperlink r:id="rId1607" ref="A1610"/>
    <hyperlink r:id="rId1608" ref="A1611"/>
    <hyperlink r:id="rId1609" ref="A1612"/>
    <hyperlink r:id="rId1610" ref="A1613"/>
    <hyperlink r:id="rId1611" ref="A1614"/>
    <hyperlink r:id="rId1612" ref="A1615"/>
    <hyperlink r:id="rId1613" ref="A1616"/>
    <hyperlink r:id="rId1614" ref="A1617"/>
    <hyperlink r:id="rId1615" ref="A1618"/>
    <hyperlink r:id="rId1616" ref="A1619"/>
    <hyperlink r:id="rId1617" ref="A1620"/>
    <hyperlink r:id="rId1618" ref="A1621"/>
    <hyperlink r:id="rId1619" ref="A1622"/>
    <hyperlink r:id="rId1620" ref="A1623"/>
    <hyperlink r:id="rId1621" ref="A1624"/>
    <hyperlink r:id="rId1622" ref="A1625"/>
    <hyperlink r:id="rId1623" ref="A1626"/>
    <hyperlink r:id="rId1624" ref="A1627"/>
    <hyperlink r:id="rId1625" ref="A1628"/>
    <hyperlink r:id="rId1626" ref="A1629"/>
    <hyperlink r:id="rId1627" ref="A1630"/>
    <hyperlink r:id="rId1628" ref="A1631"/>
    <hyperlink r:id="rId1629" ref="A1632"/>
    <hyperlink r:id="rId1630" ref="A1633"/>
    <hyperlink r:id="rId1631" ref="A1634"/>
    <hyperlink r:id="rId1632" ref="A1635"/>
    <hyperlink r:id="rId1633" ref="A1636"/>
    <hyperlink r:id="rId1634" ref="A1637"/>
    <hyperlink r:id="rId1635" ref="A1638"/>
    <hyperlink r:id="rId1636" ref="A1639"/>
    <hyperlink r:id="rId1637" ref="A1640"/>
    <hyperlink r:id="rId1638" ref="A1641"/>
    <hyperlink r:id="rId1639" ref="A1642"/>
    <hyperlink r:id="rId1640" ref="A1643"/>
    <hyperlink r:id="rId1641" ref="A1644"/>
    <hyperlink r:id="rId1642" ref="A1645"/>
    <hyperlink r:id="rId1643" ref="A1646"/>
    <hyperlink r:id="rId1644" ref="A1647"/>
    <hyperlink r:id="rId1645" ref="A1648"/>
    <hyperlink r:id="rId1646" ref="A1649"/>
    <hyperlink r:id="rId1647" ref="A1650"/>
    <hyperlink r:id="rId1648" ref="A1651"/>
    <hyperlink r:id="rId1649" ref="A1652"/>
    <hyperlink r:id="rId1650" ref="A1653"/>
    <hyperlink r:id="rId1651" ref="A1654"/>
    <hyperlink r:id="rId1652" ref="A1655"/>
    <hyperlink r:id="rId1653" ref="A1656"/>
    <hyperlink r:id="rId1654" ref="A1657"/>
    <hyperlink r:id="rId1655" ref="A1658"/>
    <hyperlink r:id="rId1656" ref="A1659"/>
    <hyperlink r:id="rId1657" ref="A1660"/>
    <hyperlink r:id="rId1658" ref="A1661"/>
    <hyperlink r:id="rId1659" ref="A1662"/>
    <hyperlink r:id="rId1660" ref="A1663"/>
    <hyperlink r:id="rId1661" ref="A1664"/>
    <hyperlink r:id="rId1662" ref="A1665"/>
    <hyperlink r:id="rId1663" ref="A1666"/>
    <hyperlink r:id="rId1664" ref="A1667"/>
    <hyperlink r:id="rId1665" ref="A1668"/>
    <hyperlink r:id="rId1666" ref="A1669"/>
    <hyperlink r:id="rId1667" ref="A1670"/>
    <hyperlink r:id="rId1668" ref="A1671"/>
    <hyperlink r:id="rId1669" ref="A1672"/>
    <hyperlink r:id="rId1670" ref="A1673"/>
    <hyperlink r:id="rId1671" ref="A1674"/>
    <hyperlink r:id="rId1672" ref="A1675"/>
    <hyperlink r:id="rId1673" ref="A1676"/>
    <hyperlink r:id="rId1674" ref="A1677"/>
    <hyperlink r:id="rId1675" ref="A1678"/>
    <hyperlink r:id="rId1676" ref="A1679"/>
    <hyperlink r:id="rId1677" ref="A1680"/>
    <hyperlink r:id="rId1678" ref="A1681"/>
    <hyperlink r:id="rId1679" ref="A1682"/>
    <hyperlink r:id="rId1680" ref="A1683"/>
    <hyperlink r:id="rId1681" ref="A1684"/>
    <hyperlink r:id="rId1682" ref="A1685"/>
    <hyperlink r:id="rId1683" ref="A1686"/>
    <hyperlink r:id="rId1684" ref="A1687"/>
    <hyperlink r:id="rId1685" ref="A1688"/>
    <hyperlink r:id="rId1686" ref="A1689"/>
    <hyperlink r:id="rId1687" ref="A1690"/>
    <hyperlink r:id="rId1688" ref="A1691"/>
    <hyperlink r:id="rId1689" ref="A1692"/>
    <hyperlink r:id="rId1690" ref="A1693"/>
    <hyperlink r:id="rId1691" ref="A1694"/>
    <hyperlink r:id="rId1692" ref="A1695"/>
    <hyperlink r:id="rId1693" ref="A1696"/>
    <hyperlink r:id="rId1694" ref="A1697"/>
    <hyperlink r:id="rId1695" ref="A1698"/>
    <hyperlink r:id="rId1696" ref="A1699"/>
    <hyperlink r:id="rId1697" ref="A1700"/>
    <hyperlink r:id="rId1698" ref="A1701"/>
    <hyperlink r:id="rId1699" ref="A1702"/>
    <hyperlink r:id="rId1700" ref="A1703"/>
    <hyperlink r:id="rId1701" ref="A1704"/>
    <hyperlink r:id="rId1702" ref="A1705"/>
    <hyperlink r:id="rId1703" ref="A1706"/>
    <hyperlink r:id="rId1704" ref="A1707"/>
    <hyperlink r:id="rId1705" ref="A1708"/>
    <hyperlink r:id="rId1706" ref="A1709"/>
    <hyperlink r:id="rId1707" ref="A1710"/>
    <hyperlink r:id="rId1708" ref="A1711"/>
    <hyperlink r:id="rId1709" ref="A1712"/>
    <hyperlink r:id="rId1710" ref="A1713"/>
    <hyperlink r:id="rId1711" ref="A1714"/>
    <hyperlink r:id="rId1712" ref="A1715"/>
    <hyperlink r:id="rId1713" ref="A1716"/>
    <hyperlink r:id="rId1714" ref="A1717"/>
    <hyperlink r:id="rId1715" ref="A1718"/>
    <hyperlink r:id="rId1716" ref="A1719"/>
    <hyperlink r:id="rId1717" ref="A1720"/>
    <hyperlink r:id="rId1718" ref="A1721"/>
    <hyperlink r:id="rId1719" ref="A1722"/>
    <hyperlink r:id="rId1720" ref="A1723"/>
    <hyperlink r:id="rId1721" ref="A1724"/>
    <hyperlink r:id="rId1722" ref="A1725"/>
    <hyperlink r:id="rId1723" ref="A1726"/>
    <hyperlink r:id="rId1724" ref="A1727"/>
    <hyperlink r:id="rId1725" ref="A1728"/>
    <hyperlink r:id="rId1726" ref="A1729"/>
    <hyperlink r:id="rId1727" ref="A1730"/>
    <hyperlink r:id="rId1728" ref="A1731"/>
    <hyperlink r:id="rId1729" ref="A1732"/>
    <hyperlink r:id="rId1730" ref="A1733"/>
    <hyperlink r:id="rId1731" ref="A1734"/>
    <hyperlink r:id="rId1732" ref="A1735"/>
    <hyperlink r:id="rId1733" ref="A1736"/>
    <hyperlink r:id="rId1734" ref="A1737"/>
    <hyperlink r:id="rId1735" ref="A1738"/>
    <hyperlink r:id="rId1736" ref="A1739"/>
    <hyperlink r:id="rId1737" ref="A1740"/>
    <hyperlink r:id="rId1738" ref="A1741"/>
    <hyperlink r:id="rId1739" ref="A1742"/>
    <hyperlink r:id="rId1740" ref="A1743"/>
    <hyperlink r:id="rId1741" ref="A1744"/>
    <hyperlink r:id="rId1742" ref="A1745"/>
    <hyperlink r:id="rId1743" ref="A1746"/>
    <hyperlink r:id="rId1744" ref="A1747"/>
    <hyperlink r:id="rId1745" ref="A1748"/>
    <hyperlink r:id="rId1746" ref="A1749"/>
    <hyperlink r:id="rId1747" ref="A1750"/>
    <hyperlink r:id="rId1748" ref="A1751"/>
    <hyperlink r:id="rId1749" ref="A1752"/>
    <hyperlink r:id="rId1750" ref="A1753"/>
    <hyperlink r:id="rId1751" ref="A1754"/>
    <hyperlink r:id="rId1752" ref="A1755"/>
    <hyperlink r:id="rId1753" ref="A1756"/>
    <hyperlink r:id="rId1754" ref="A1757"/>
    <hyperlink r:id="rId1755" ref="A1758"/>
    <hyperlink r:id="rId1756" ref="A1759"/>
    <hyperlink r:id="rId1757" ref="A1760"/>
    <hyperlink r:id="rId1758" ref="A1761"/>
    <hyperlink r:id="rId1759" ref="A1762"/>
    <hyperlink r:id="rId1760" ref="A1763"/>
    <hyperlink r:id="rId1761" ref="A1764"/>
    <hyperlink r:id="rId1762" ref="A1765"/>
    <hyperlink r:id="rId1763" ref="A1766"/>
    <hyperlink r:id="rId1764" ref="A1767"/>
    <hyperlink r:id="rId1765" ref="A1768"/>
    <hyperlink r:id="rId1766" ref="A1769"/>
    <hyperlink r:id="rId1767" ref="A1770"/>
    <hyperlink r:id="rId1768" ref="A1771"/>
    <hyperlink r:id="rId1769" ref="A1772"/>
    <hyperlink r:id="rId1770" ref="A1773"/>
    <hyperlink r:id="rId1771" ref="A1774"/>
    <hyperlink r:id="rId1772" ref="A1775"/>
    <hyperlink r:id="rId1773" ref="A1776"/>
    <hyperlink r:id="rId1774" ref="A1777"/>
    <hyperlink r:id="rId1775" ref="A1778"/>
    <hyperlink r:id="rId1776" ref="A1779"/>
    <hyperlink r:id="rId1777" ref="A1780"/>
    <hyperlink r:id="rId1778" ref="A1781"/>
    <hyperlink r:id="rId1779" ref="A1782"/>
    <hyperlink r:id="rId1780" ref="A1783"/>
    <hyperlink r:id="rId1781" ref="A1784"/>
    <hyperlink r:id="rId1782" ref="A1785"/>
    <hyperlink r:id="rId1783" ref="A1786"/>
    <hyperlink r:id="rId1784" ref="A1787"/>
    <hyperlink r:id="rId1785" ref="A1788"/>
    <hyperlink r:id="rId1786" ref="A1789"/>
    <hyperlink r:id="rId1787" ref="A1790"/>
    <hyperlink r:id="rId1788" ref="A1791"/>
    <hyperlink r:id="rId1789" ref="A1792"/>
    <hyperlink r:id="rId1790" ref="A1793"/>
    <hyperlink r:id="rId1791" ref="A1794"/>
    <hyperlink r:id="rId1792" ref="A1795"/>
    <hyperlink r:id="rId1793" ref="A1796"/>
    <hyperlink r:id="rId1794" ref="A1797"/>
    <hyperlink r:id="rId1795" ref="A1798"/>
    <hyperlink r:id="rId1796" ref="A1799"/>
    <hyperlink r:id="rId1797" ref="A1800"/>
    <hyperlink r:id="rId1798" ref="A1801"/>
    <hyperlink r:id="rId1799" ref="A1802"/>
    <hyperlink r:id="rId1800" ref="A1803"/>
    <hyperlink r:id="rId1801" ref="A1804"/>
    <hyperlink r:id="rId1802" ref="A1805"/>
    <hyperlink r:id="rId1803" ref="A1806"/>
    <hyperlink r:id="rId1804" ref="A1807"/>
    <hyperlink r:id="rId1805" ref="A1808"/>
    <hyperlink r:id="rId1806" ref="A1809"/>
    <hyperlink r:id="rId1807" ref="A1810"/>
    <hyperlink r:id="rId1808" ref="A1811"/>
    <hyperlink r:id="rId1809" ref="A1812"/>
    <hyperlink r:id="rId1810" ref="A1813"/>
    <hyperlink r:id="rId1811" ref="A1814"/>
    <hyperlink r:id="rId1812" ref="A1815"/>
    <hyperlink r:id="rId1813" ref="A1816"/>
    <hyperlink r:id="rId1814" ref="A1817"/>
    <hyperlink r:id="rId1815" ref="A1818"/>
    <hyperlink r:id="rId1816" ref="A1819"/>
    <hyperlink r:id="rId1817" ref="A1820"/>
    <hyperlink r:id="rId1818" ref="A1821"/>
    <hyperlink r:id="rId1819" ref="A1822"/>
    <hyperlink r:id="rId1820" ref="A1823"/>
    <hyperlink r:id="rId1821" ref="A1824"/>
    <hyperlink r:id="rId1822" ref="A1825"/>
    <hyperlink r:id="rId1823" ref="A1826"/>
    <hyperlink r:id="rId1824" ref="A1827"/>
    <hyperlink r:id="rId1825" ref="A1828"/>
    <hyperlink r:id="rId1826" ref="A1829"/>
    <hyperlink r:id="rId1827" ref="A1830"/>
    <hyperlink r:id="rId1828" ref="A1831"/>
    <hyperlink r:id="rId1829" ref="A1832"/>
    <hyperlink r:id="rId1830" ref="A1833"/>
    <hyperlink r:id="rId1831" ref="A1834"/>
    <hyperlink r:id="rId1832" ref="A1835"/>
    <hyperlink r:id="rId1833" ref="A1836"/>
    <hyperlink r:id="rId1834" ref="A1837"/>
    <hyperlink r:id="rId1835" ref="A1838"/>
    <hyperlink r:id="rId1836" ref="A1839"/>
    <hyperlink r:id="rId1837" ref="A1840"/>
    <hyperlink r:id="rId1838" ref="A1841"/>
    <hyperlink r:id="rId1839" ref="A1842"/>
    <hyperlink r:id="rId1840" ref="A1843"/>
    <hyperlink r:id="rId1841" ref="A1844"/>
    <hyperlink r:id="rId1842" ref="A1845"/>
    <hyperlink r:id="rId1843" ref="A1846"/>
    <hyperlink r:id="rId1844" ref="A1847"/>
    <hyperlink r:id="rId1845" ref="A1848"/>
    <hyperlink r:id="rId1846" ref="A1849"/>
    <hyperlink r:id="rId1847" ref="A1850"/>
    <hyperlink r:id="rId1848" ref="A1851"/>
    <hyperlink r:id="rId1849" ref="A1852"/>
    <hyperlink r:id="rId1850" ref="A1853"/>
    <hyperlink r:id="rId1851" ref="A1854"/>
    <hyperlink r:id="rId1852" ref="A1855"/>
    <hyperlink r:id="rId1853" ref="A1856"/>
    <hyperlink r:id="rId1854" ref="A1857"/>
    <hyperlink r:id="rId1855" ref="A1858"/>
    <hyperlink r:id="rId1856" ref="A1859"/>
    <hyperlink r:id="rId1857" ref="A1860"/>
    <hyperlink r:id="rId1858" ref="A1861"/>
    <hyperlink r:id="rId1859" ref="A1862"/>
    <hyperlink r:id="rId1860" ref="A1863"/>
    <hyperlink r:id="rId1861" ref="A1864"/>
    <hyperlink r:id="rId1862" ref="A1865"/>
    <hyperlink r:id="rId1863" ref="A1866"/>
    <hyperlink r:id="rId1864" ref="A1867"/>
    <hyperlink r:id="rId1865" ref="A1868"/>
    <hyperlink r:id="rId1866" ref="A1869"/>
    <hyperlink r:id="rId1867" ref="A1870"/>
    <hyperlink r:id="rId1868" ref="A1871"/>
    <hyperlink r:id="rId1869" ref="A1872"/>
    <hyperlink r:id="rId1870" ref="A1873"/>
    <hyperlink r:id="rId1871" ref="A1874"/>
    <hyperlink r:id="rId1872" ref="A1875"/>
    <hyperlink r:id="rId1873" ref="A1876"/>
    <hyperlink r:id="rId1874" ref="A1877"/>
    <hyperlink r:id="rId1875" ref="A1878"/>
    <hyperlink r:id="rId1876" ref="A1879"/>
    <hyperlink r:id="rId1877" ref="A1880"/>
    <hyperlink r:id="rId1878" ref="A1881"/>
    <hyperlink r:id="rId1879" ref="A1882"/>
    <hyperlink r:id="rId1880" ref="A1883"/>
    <hyperlink r:id="rId1881" ref="A1884"/>
    <hyperlink r:id="rId1882" ref="A1885"/>
    <hyperlink r:id="rId1883" ref="A1886"/>
    <hyperlink r:id="rId1884" ref="A1887"/>
    <hyperlink r:id="rId1885" ref="A1888"/>
    <hyperlink r:id="rId1886" ref="A1889"/>
    <hyperlink r:id="rId1887" ref="A1890"/>
    <hyperlink r:id="rId1888" ref="A1891"/>
    <hyperlink r:id="rId1889" ref="A1892"/>
    <hyperlink r:id="rId1890" ref="A1893"/>
    <hyperlink r:id="rId1891" ref="A1894"/>
    <hyperlink r:id="rId1892" ref="A1895"/>
    <hyperlink r:id="rId1893" ref="A1896"/>
    <hyperlink r:id="rId1894" ref="A1897"/>
    <hyperlink r:id="rId1895" ref="A1898"/>
    <hyperlink r:id="rId1896" ref="A1899"/>
    <hyperlink r:id="rId1897" ref="A1900"/>
    <hyperlink r:id="rId1898" ref="A1901"/>
    <hyperlink r:id="rId1899" ref="A1902"/>
    <hyperlink r:id="rId1900" ref="A1903"/>
    <hyperlink r:id="rId1901" ref="A1904"/>
    <hyperlink r:id="rId1902" ref="A1905"/>
    <hyperlink r:id="rId1903" ref="A1906"/>
    <hyperlink r:id="rId1904" ref="A1907"/>
    <hyperlink r:id="rId1905" ref="A1908"/>
    <hyperlink r:id="rId1906" ref="A1909"/>
    <hyperlink r:id="rId1907" ref="A1910"/>
    <hyperlink r:id="rId1908" ref="A1911"/>
    <hyperlink r:id="rId1909" ref="A1912"/>
    <hyperlink r:id="rId1910" ref="A1913"/>
    <hyperlink r:id="rId1911" ref="A1914"/>
    <hyperlink r:id="rId1912" ref="A1915"/>
    <hyperlink r:id="rId1913" ref="A1916"/>
    <hyperlink r:id="rId1914" ref="A1917"/>
    <hyperlink r:id="rId1915" ref="A1918"/>
    <hyperlink r:id="rId1916" ref="A1919"/>
    <hyperlink r:id="rId1917" ref="A1920"/>
    <hyperlink r:id="rId1918" ref="A1921"/>
    <hyperlink r:id="rId1919" ref="A1922"/>
    <hyperlink r:id="rId1920" ref="A1923"/>
    <hyperlink r:id="rId1921" ref="A1924"/>
    <hyperlink r:id="rId1922" ref="A1925"/>
    <hyperlink r:id="rId1923" ref="A1926"/>
    <hyperlink r:id="rId1924" ref="A1927"/>
    <hyperlink r:id="rId1925" ref="A1928"/>
    <hyperlink r:id="rId1926" ref="A1929"/>
    <hyperlink r:id="rId1927" ref="A1930"/>
    <hyperlink r:id="rId1928" ref="A1931"/>
    <hyperlink r:id="rId1929" ref="A1932"/>
    <hyperlink r:id="rId1930" ref="A1933"/>
    <hyperlink r:id="rId1931" ref="A1934"/>
    <hyperlink r:id="rId1932" ref="A1935"/>
    <hyperlink r:id="rId1933" ref="A1936"/>
    <hyperlink r:id="rId1934" ref="A1937"/>
    <hyperlink r:id="rId1935" ref="A1938"/>
    <hyperlink r:id="rId1936" ref="A1939"/>
    <hyperlink r:id="rId1937" ref="A1940"/>
    <hyperlink r:id="rId1938" ref="A1941"/>
    <hyperlink r:id="rId1939" ref="A1942"/>
    <hyperlink r:id="rId1940" ref="A1943"/>
    <hyperlink r:id="rId1941" ref="A1944"/>
    <hyperlink r:id="rId1942" ref="A1945"/>
    <hyperlink r:id="rId1943" ref="A1946"/>
    <hyperlink r:id="rId1944" ref="A1947"/>
    <hyperlink r:id="rId1945" ref="A1948"/>
    <hyperlink r:id="rId1946" ref="A1949"/>
    <hyperlink r:id="rId1947" ref="A1950"/>
    <hyperlink r:id="rId1948" ref="A1951"/>
    <hyperlink r:id="rId1949" ref="A1952"/>
    <hyperlink r:id="rId1950" ref="A1953"/>
    <hyperlink r:id="rId1951" ref="A1954"/>
    <hyperlink r:id="rId1952" ref="A1955"/>
    <hyperlink r:id="rId1953" ref="A1956"/>
    <hyperlink r:id="rId1954" ref="A1957"/>
    <hyperlink r:id="rId1955" ref="A1958"/>
    <hyperlink r:id="rId1956" ref="A1959"/>
    <hyperlink r:id="rId1957" ref="A1960"/>
    <hyperlink r:id="rId1958" ref="A1961"/>
    <hyperlink r:id="rId1959" ref="A1962"/>
    <hyperlink r:id="rId1960" ref="A1963"/>
    <hyperlink r:id="rId1961" ref="A1964"/>
    <hyperlink r:id="rId1962" ref="A1965"/>
    <hyperlink r:id="rId1963" ref="A1966"/>
    <hyperlink r:id="rId1964" ref="A1967"/>
    <hyperlink r:id="rId1965" ref="A1968"/>
    <hyperlink r:id="rId1966" ref="A1969"/>
    <hyperlink r:id="rId1967" ref="A1970"/>
    <hyperlink r:id="rId1968" ref="A1971"/>
    <hyperlink r:id="rId1969" ref="A1972"/>
    <hyperlink r:id="rId1970" ref="A1973"/>
    <hyperlink r:id="rId1971" ref="A1974"/>
    <hyperlink r:id="rId1972" ref="A1975"/>
    <hyperlink r:id="rId1973" ref="A1976"/>
    <hyperlink r:id="rId1974" ref="A1977"/>
    <hyperlink r:id="rId1975" ref="A1978"/>
    <hyperlink r:id="rId1976" ref="A1979"/>
    <hyperlink r:id="rId1977" ref="A1980"/>
    <hyperlink r:id="rId1978" ref="A1981"/>
    <hyperlink r:id="rId1979" ref="A1982"/>
    <hyperlink r:id="rId1980" ref="A1983"/>
    <hyperlink r:id="rId1981" ref="A1984"/>
    <hyperlink r:id="rId1982" ref="A1985"/>
    <hyperlink r:id="rId1983" ref="A1986"/>
    <hyperlink r:id="rId1984" ref="A1987"/>
    <hyperlink r:id="rId1985" ref="A1988"/>
    <hyperlink r:id="rId1986" ref="A1989"/>
    <hyperlink r:id="rId1987" ref="A1990"/>
    <hyperlink r:id="rId1988" ref="A1991"/>
    <hyperlink r:id="rId1989" ref="A1992"/>
    <hyperlink r:id="rId1990" ref="A1993"/>
    <hyperlink r:id="rId1991" ref="A1994"/>
    <hyperlink r:id="rId1992" ref="A1995"/>
    <hyperlink r:id="rId1993" ref="A1996"/>
    <hyperlink r:id="rId1994" ref="A1997"/>
    <hyperlink r:id="rId1995" ref="A1998"/>
    <hyperlink r:id="rId1996" ref="A1999"/>
    <hyperlink r:id="rId1997" ref="A2000"/>
    <hyperlink r:id="rId1998" ref="A2001"/>
    <hyperlink r:id="rId1999" ref="A2002"/>
    <hyperlink r:id="rId2000" ref="A2003"/>
    <hyperlink r:id="rId2001" ref="A2004"/>
    <hyperlink r:id="rId2002" ref="A2005"/>
    <hyperlink r:id="rId2003" ref="A2006"/>
    <hyperlink r:id="rId2004" ref="A2007"/>
    <hyperlink r:id="rId2005" ref="A2008"/>
    <hyperlink r:id="rId2006" ref="A2009"/>
    <hyperlink r:id="rId2007" ref="A2010"/>
    <hyperlink r:id="rId2008" ref="A2011"/>
    <hyperlink r:id="rId2009" ref="A2012"/>
    <hyperlink r:id="rId2010" ref="A2013"/>
    <hyperlink r:id="rId2011" ref="A2014"/>
    <hyperlink r:id="rId2012" ref="A2015"/>
    <hyperlink r:id="rId2013" ref="A2016"/>
    <hyperlink r:id="rId2014" ref="A2017"/>
    <hyperlink r:id="rId2015" ref="A2018"/>
    <hyperlink r:id="rId2016" ref="A2019"/>
    <hyperlink r:id="rId2017" ref="A2020"/>
    <hyperlink r:id="rId2018" ref="A2021"/>
    <hyperlink r:id="rId2019" ref="A2022"/>
    <hyperlink r:id="rId2020" ref="A2023"/>
    <hyperlink r:id="rId2021" ref="A2024"/>
    <hyperlink r:id="rId2022" ref="A2025"/>
    <hyperlink r:id="rId2023" ref="A2026"/>
    <hyperlink r:id="rId2024" ref="A2027"/>
    <hyperlink r:id="rId2025" ref="A2028"/>
    <hyperlink r:id="rId2026" ref="A2029"/>
    <hyperlink r:id="rId2027" ref="A2030"/>
    <hyperlink r:id="rId2028" ref="A2031"/>
    <hyperlink r:id="rId2029" ref="A2032"/>
    <hyperlink r:id="rId2030" ref="A2033"/>
    <hyperlink r:id="rId2031" ref="A2034"/>
    <hyperlink r:id="rId2032" ref="A2035"/>
    <hyperlink r:id="rId2033" ref="A2036"/>
    <hyperlink r:id="rId2034" ref="A2037"/>
    <hyperlink r:id="rId2035" ref="A2038"/>
    <hyperlink r:id="rId2036" ref="A2039"/>
    <hyperlink r:id="rId2037" ref="A2040"/>
    <hyperlink r:id="rId2038" ref="A2041"/>
    <hyperlink r:id="rId2039" ref="A2042"/>
    <hyperlink r:id="rId2040" ref="A2043"/>
    <hyperlink r:id="rId2041" ref="A2044"/>
    <hyperlink r:id="rId2042" ref="A2045"/>
    <hyperlink r:id="rId2043" ref="A2046"/>
    <hyperlink r:id="rId2044" ref="A2047"/>
    <hyperlink r:id="rId2045" ref="A2048"/>
    <hyperlink r:id="rId2046" ref="A2049"/>
    <hyperlink r:id="rId2047" ref="A2050"/>
    <hyperlink r:id="rId2048" ref="A2051"/>
    <hyperlink r:id="rId2049" ref="A2052"/>
    <hyperlink r:id="rId2050" ref="A2053"/>
    <hyperlink r:id="rId2051" ref="A2054"/>
    <hyperlink r:id="rId2052" ref="A2055"/>
    <hyperlink r:id="rId2053" ref="A2056"/>
    <hyperlink r:id="rId2054" ref="A2057"/>
    <hyperlink r:id="rId2055" ref="A2058"/>
    <hyperlink r:id="rId2056" ref="A2059"/>
    <hyperlink r:id="rId2057" ref="A2060"/>
    <hyperlink r:id="rId2058" ref="A2061"/>
    <hyperlink r:id="rId2059" ref="A2062"/>
    <hyperlink r:id="rId2060" ref="A2063"/>
    <hyperlink r:id="rId2061" ref="A2064"/>
    <hyperlink r:id="rId2062" ref="A2065"/>
    <hyperlink r:id="rId2063" ref="A2066"/>
    <hyperlink r:id="rId2064" ref="A2067"/>
    <hyperlink r:id="rId2065" ref="A2068"/>
    <hyperlink r:id="rId2066" ref="A2069"/>
    <hyperlink r:id="rId2067" ref="A2070"/>
    <hyperlink r:id="rId2068" ref="A2071"/>
    <hyperlink r:id="rId2069" ref="A2072"/>
    <hyperlink r:id="rId2070" ref="A2073"/>
    <hyperlink r:id="rId2071" ref="A2074"/>
    <hyperlink r:id="rId2072" ref="A2075"/>
    <hyperlink r:id="rId2073" ref="A2076"/>
    <hyperlink r:id="rId2074" ref="A2077"/>
    <hyperlink r:id="rId2075" ref="A2078"/>
    <hyperlink r:id="rId2076" ref="A2079"/>
    <hyperlink r:id="rId2077" ref="A2080"/>
    <hyperlink r:id="rId2078" ref="A2081"/>
    <hyperlink r:id="rId2079" ref="A2082"/>
    <hyperlink r:id="rId2080" ref="A2083"/>
    <hyperlink r:id="rId2081" ref="A2084"/>
    <hyperlink r:id="rId2082" ref="A2085"/>
    <hyperlink r:id="rId2083" ref="A2086"/>
    <hyperlink r:id="rId2084" ref="A2087"/>
    <hyperlink r:id="rId2085" ref="A2088"/>
    <hyperlink r:id="rId2086" ref="A2089"/>
    <hyperlink r:id="rId2087" ref="A2090"/>
    <hyperlink r:id="rId2088" ref="A2091"/>
    <hyperlink r:id="rId2089" ref="A2092"/>
    <hyperlink r:id="rId2090" ref="A2093"/>
    <hyperlink r:id="rId2091" ref="A2094"/>
    <hyperlink r:id="rId2092" ref="A2095"/>
    <hyperlink r:id="rId2093" ref="A2096"/>
    <hyperlink r:id="rId2094" ref="A2097"/>
    <hyperlink r:id="rId2095" ref="A2098"/>
    <hyperlink r:id="rId2096" ref="A2099"/>
    <hyperlink r:id="rId2097" ref="A2100"/>
    <hyperlink r:id="rId2098" ref="A2101"/>
    <hyperlink r:id="rId2099" ref="A2102"/>
    <hyperlink r:id="rId2100" ref="A2103"/>
    <hyperlink r:id="rId2101" ref="A2104"/>
    <hyperlink r:id="rId2102" ref="A2105"/>
    <hyperlink r:id="rId2103" ref="A2106"/>
    <hyperlink r:id="rId2104" ref="A2107"/>
    <hyperlink r:id="rId2105" ref="A2108"/>
    <hyperlink r:id="rId2106" ref="A2109"/>
    <hyperlink r:id="rId2107" ref="A2110"/>
    <hyperlink r:id="rId2108" ref="A2111"/>
    <hyperlink r:id="rId2109" ref="A2112"/>
    <hyperlink r:id="rId2110" ref="A2113"/>
    <hyperlink r:id="rId2111" ref="A2114"/>
    <hyperlink r:id="rId2112" ref="A2115"/>
    <hyperlink r:id="rId2113" ref="A2116"/>
    <hyperlink r:id="rId2114" ref="A2117"/>
    <hyperlink r:id="rId2115" ref="A2118"/>
    <hyperlink r:id="rId2116" ref="A2119"/>
    <hyperlink r:id="rId2117" ref="A2120"/>
    <hyperlink r:id="rId2118" ref="A2121"/>
    <hyperlink r:id="rId2119" ref="A2122"/>
    <hyperlink r:id="rId2120" ref="A2123"/>
    <hyperlink r:id="rId2121" ref="A2124"/>
    <hyperlink r:id="rId2122" ref="A2125"/>
    <hyperlink r:id="rId2123" ref="A2126"/>
    <hyperlink r:id="rId2124" ref="A2127"/>
    <hyperlink r:id="rId2125" ref="A2128"/>
    <hyperlink r:id="rId2126" ref="A2129"/>
    <hyperlink r:id="rId2127" ref="A2130"/>
    <hyperlink r:id="rId2128" ref="A2131"/>
    <hyperlink r:id="rId2129" ref="A2132"/>
    <hyperlink r:id="rId2130" ref="A2133"/>
    <hyperlink r:id="rId2131" ref="A2134"/>
    <hyperlink r:id="rId2132" ref="A2135"/>
    <hyperlink r:id="rId2133" ref="A2136"/>
    <hyperlink r:id="rId2134" ref="A2137"/>
    <hyperlink r:id="rId2135" ref="A2138"/>
    <hyperlink r:id="rId2136" ref="A2139"/>
    <hyperlink r:id="rId2137" ref="A2140"/>
    <hyperlink r:id="rId2138" ref="A2141"/>
    <hyperlink r:id="rId2139" ref="A2142"/>
    <hyperlink r:id="rId2140" ref="A2143"/>
    <hyperlink r:id="rId2141" ref="A2144"/>
    <hyperlink r:id="rId2142" ref="A2145"/>
    <hyperlink r:id="rId2143" ref="A2146"/>
    <hyperlink r:id="rId2144" ref="A2147"/>
    <hyperlink r:id="rId2145" ref="A2148"/>
    <hyperlink r:id="rId2146" ref="A2149"/>
    <hyperlink r:id="rId2147" ref="A2150"/>
    <hyperlink r:id="rId2148" ref="A2151"/>
    <hyperlink r:id="rId2149" ref="A2152"/>
    <hyperlink r:id="rId2150" ref="A2153"/>
    <hyperlink r:id="rId2151" ref="A2154"/>
    <hyperlink r:id="rId2152" ref="A2155"/>
    <hyperlink r:id="rId2153" ref="A2156"/>
    <hyperlink r:id="rId2154" ref="A2157"/>
    <hyperlink r:id="rId2155" ref="A2158"/>
    <hyperlink r:id="rId2156" ref="A2159"/>
    <hyperlink r:id="rId2157" ref="A2160"/>
    <hyperlink r:id="rId2158" ref="A2161"/>
    <hyperlink r:id="rId2159" ref="A2162"/>
    <hyperlink r:id="rId2160" ref="A2163"/>
    <hyperlink r:id="rId2161" ref="A2164"/>
    <hyperlink r:id="rId2162" ref="A2165"/>
    <hyperlink r:id="rId2163" ref="A2166"/>
    <hyperlink r:id="rId2164" ref="A2167"/>
    <hyperlink r:id="rId2165" ref="A2168"/>
    <hyperlink r:id="rId2166" ref="A2169"/>
    <hyperlink r:id="rId2167" ref="A2170"/>
    <hyperlink r:id="rId2168" ref="A2171"/>
    <hyperlink r:id="rId2169" ref="A2172"/>
    <hyperlink r:id="rId2170" ref="A2173"/>
    <hyperlink r:id="rId2171" ref="A2174"/>
    <hyperlink r:id="rId2172" ref="A2175"/>
    <hyperlink r:id="rId2173" ref="A2176"/>
    <hyperlink r:id="rId2174" ref="A2177"/>
    <hyperlink r:id="rId2175" ref="A2178"/>
    <hyperlink r:id="rId2176" ref="A2179"/>
    <hyperlink r:id="rId2177" ref="A2180"/>
    <hyperlink r:id="rId2178" ref="A2181"/>
    <hyperlink r:id="rId2179" ref="A2182"/>
    <hyperlink r:id="rId2180" ref="A2183"/>
    <hyperlink r:id="rId2181" ref="A2184"/>
    <hyperlink r:id="rId2182" ref="A2185"/>
    <hyperlink r:id="rId2183" ref="A2186"/>
    <hyperlink r:id="rId2184" ref="A2187"/>
    <hyperlink r:id="rId2185" ref="A2188"/>
    <hyperlink r:id="rId2186" ref="A2189"/>
    <hyperlink r:id="rId2187" ref="A2190"/>
    <hyperlink r:id="rId2188" ref="A2191"/>
    <hyperlink r:id="rId2189" ref="A2192"/>
    <hyperlink r:id="rId2190" ref="A2193"/>
    <hyperlink r:id="rId2191" ref="A2194"/>
    <hyperlink r:id="rId2192" ref="A2195"/>
    <hyperlink r:id="rId2193" ref="A2196"/>
    <hyperlink r:id="rId2194" ref="A2197"/>
    <hyperlink r:id="rId2195" ref="A2198"/>
    <hyperlink r:id="rId2196" ref="A2199"/>
    <hyperlink r:id="rId2197" ref="A2200"/>
    <hyperlink r:id="rId2198" ref="A2201"/>
    <hyperlink r:id="rId2199" ref="A2202"/>
    <hyperlink r:id="rId2200" ref="A2203"/>
    <hyperlink r:id="rId2201" ref="A2204"/>
    <hyperlink r:id="rId2202" ref="A2205"/>
    <hyperlink r:id="rId2203" ref="A2206"/>
    <hyperlink r:id="rId2204" ref="A2207"/>
    <hyperlink r:id="rId2205" ref="A2208"/>
    <hyperlink r:id="rId2206" ref="A2209"/>
    <hyperlink r:id="rId2207" ref="A2210"/>
    <hyperlink r:id="rId2208" ref="A2211"/>
    <hyperlink r:id="rId2209" ref="A2212"/>
    <hyperlink r:id="rId2210" ref="A2213"/>
    <hyperlink r:id="rId2211" ref="A2214"/>
    <hyperlink r:id="rId2212" ref="A2215"/>
    <hyperlink r:id="rId2213" ref="A2216"/>
    <hyperlink r:id="rId2214" ref="A2217"/>
    <hyperlink r:id="rId2215" ref="A2218"/>
    <hyperlink r:id="rId2216" ref="A2219"/>
    <hyperlink r:id="rId2217" ref="A2220"/>
    <hyperlink r:id="rId2218" ref="A2221"/>
    <hyperlink r:id="rId2219" ref="A2222"/>
    <hyperlink r:id="rId2220" ref="A2223"/>
    <hyperlink r:id="rId2221" ref="A2224"/>
    <hyperlink r:id="rId2222" ref="A2225"/>
    <hyperlink r:id="rId2223" ref="A2226"/>
    <hyperlink r:id="rId2224" ref="A2227"/>
    <hyperlink r:id="rId2225" ref="A2228"/>
    <hyperlink r:id="rId2226" ref="A2229"/>
    <hyperlink r:id="rId2227" ref="A2230"/>
    <hyperlink r:id="rId2228" ref="A2231"/>
    <hyperlink r:id="rId2229" ref="A2232"/>
    <hyperlink r:id="rId2230" ref="A2233"/>
    <hyperlink r:id="rId2231" ref="A2234"/>
    <hyperlink r:id="rId2232" ref="A2235"/>
    <hyperlink r:id="rId2233" ref="A2236"/>
    <hyperlink r:id="rId2234" ref="A2237"/>
    <hyperlink r:id="rId2235" ref="A2238"/>
    <hyperlink r:id="rId2236" ref="A2239"/>
    <hyperlink r:id="rId2237" ref="A2240"/>
    <hyperlink r:id="rId2238" ref="A2241"/>
    <hyperlink r:id="rId2239" ref="A2242"/>
    <hyperlink r:id="rId2240" ref="A2243"/>
    <hyperlink r:id="rId2241" ref="A2244"/>
    <hyperlink r:id="rId2242" ref="A2245"/>
    <hyperlink r:id="rId2243" ref="A2246"/>
    <hyperlink r:id="rId2244" ref="A2247"/>
    <hyperlink r:id="rId2245" ref="A2248"/>
    <hyperlink r:id="rId2246" ref="A2249"/>
    <hyperlink r:id="rId2247" ref="A2250"/>
    <hyperlink r:id="rId2248" ref="A2251"/>
    <hyperlink r:id="rId2249" ref="A2252"/>
    <hyperlink r:id="rId2250" ref="A2253"/>
    <hyperlink r:id="rId2251" ref="A2254"/>
    <hyperlink r:id="rId2252" ref="A2255"/>
    <hyperlink r:id="rId2253" ref="A2256"/>
    <hyperlink r:id="rId2254" ref="A2257"/>
    <hyperlink r:id="rId2255" ref="A2258"/>
    <hyperlink r:id="rId2256" ref="A2259"/>
    <hyperlink r:id="rId2257" ref="A2260"/>
    <hyperlink r:id="rId2258" ref="A2261"/>
    <hyperlink r:id="rId2259" ref="A2262"/>
    <hyperlink r:id="rId2260" ref="A2263"/>
    <hyperlink r:id="rId2261" ref="A2264"/>
    <hyperlink r:id="rId2262" ref="A2265"/>
    <hyperlink r:id="rId2263" ref="A2266"/>
    <hyperlink r:id="rId2264" ref="A2267"/>
    <hyperlink r:id="rId2265" ref="A2268"/>
    <hyperlink r:id="rId2266" ref="A2269"/>
    <hyperlink r:id="rId2267" ref="A2270"/>
    <hyperlink r:id="rId2268" ref="A2271"/>
    <hyperlink r:id="rId2269" ref="A2272"/>
    <hyperlink r:id="rId2270" ref="A2273"/>
    <hyperlink r:id="rId2271" ref="A2274"/>
    <hyperlink r:id="rId2272" ref="A2275"/>
    <hyperlink r:id="rId2273" ref="A2276"/>
    <hyperlink r:id="rId2274" ref="A2277"/>
    <hyperlink r:id="rId2275" ref="A2278"/>
    <hyperlink r:id="rId2276" ref="A2279"/>
    <hyperlink r:id="rId2277" ref="A2280"/>
    <hyperlink r:id="rId2278" ref="A2281"/>
    <hyperlink r:id="rId2279" ref="A2282"/>
    <hyperlink r:id="rId2280" ref="A2283"/>
    <hyperlink r:id="rId2281" ref="A2284"/>
    <hyperlink r:id="rId2282" ref="A2285"/>
    <hyperlink r:id="rId2283" ref="A2286"/>
    <hyperlink r:id="rId2284" ref="A2287"/>
    <hyperlink r:id="rId2285" ref="A2288"/>
    <hyperlink r:id="rId2286" ref="A2289"/>
    <hyperlink r:id="rId2287" ref="A2290"/>
    <hyperlink r:id="rId2288" ref="A2291"/>
    <hyperlink r:id="rId2289" ref="A2292"/>
    <hyperlink r:id="rId2290" ref="A2293"/>
    <hyperlink r:id="rId2291" ref="A2294"/>
    <hyperlink r:id="rId2292" ref="A2295"/>
    <hyperlink r:id="rId2293" ref="A2296"/>
    <hyperlink r:id="rId2294" ref="A2297"/>
    <hyperlink r:id="rId2295" ref="A2298"/>
    <hyperlink r:id="rId2296" ref="A2299"/>
    <hyperlink r:id="rId2297" ref="A2300"/>
    <hyperlink r:id="rId2298" ref="A2301"/>
    <hyperlink r:id="rId2299" ref="A2302"/>
    <hyperlink r:id="rId2300" ref="A2303"/>
    <hyperlink r:id="rId2301" ref="A2304"/>
    <hyperlink r:id="rId2302" ref="A2305"/>
    <hyperlink r:id="rId2303" ref="A2306"/>
    <hyperlink r:id="rId2304" ref="A2307"/>
    <hyperlink r:id="rId2305" ref="A2308"/>
    <hyperlink r:id="rId2306" ref="A2309"/>
    <hyperlink r:id="rId2307" ref="A2310"/>
    <hyperlink r:id="rId2308" ref="A2311"/>
    <hyperlink r:id="rId2309" ref="A2312"/>
    <hyperlink r:id="rId2310" ref="A2313"/>
    <hyperlink r:id="rId2311" ref="A2314"/>
    <hyperlink r:id="rId2312" ref="A2315"/>
    <hyperlink r:id="rId2313" ref="A2316"/>
    <hyperlink r:id="rId2314" ref="A2317"/>
    <hyperlink r:id="rId2315" ref="A2318"/>
    <hyperlink r:id="rId2316" ref="A2319"/>
    <hyperlink r:id="rId2317" ref="A2320"/>
    <hyperlink r:id="rId2318" ref="A2321"/>
    <hyperlink r:id="rId2319" ref="A2322"/>
    <hyperlink r:id="rId2320" ref="A2323"/>
    <hyperlink r:id="rId2321" ref="A2324"/>
    <hyperlink r:id="rId2322" ref="A2325"/>
    <hyperlink r:id="rId2323" ref="A2326"/>
    <hyperlink r:id="rId2324" ref="A2327"/>
    <hyperlink r:id="rId2325" ref="A2328"/>
    <hyperlink r:id="rId2326" ref="A2329"/>
    <hyperlink r:id="rId2327" ref="A2330"/>
    <hyperlink r:id="rId2328" ref="A2331"/>
    <hyperlink r:id="rId2329" ref="A2332"/>
    <hyperlink r:id="rId2330" ref="A2333"/>
    <hyperlink r:id="rId2331" ref="A2334"/>
    <hyperlink r:id="rId2332" ref="A2335"/>
    <hyperlink r:id="rId2333" ref="A2336"/>
    <hyperlink r:id="rId2334" ref="A2337"/>
    <hyperlink r:id="rId2335" ref="A2338"/>
    <hyperlink r:id="rId2336" ref="A2339"/>
    <hyperlink r:id="rId2337" ref="A2340"/>
    <hyperlink r:id="rId2338" ref="A2341"/>
    <hyperlink r:id="rId2339" ref="A2342"/>
    <hyperlink r:id="rId2340" ref="A2343"/>
    <hyperlink r:id="rId2341" ref="A2344"/>
    <hyperlink r:id="rId2342" ref="A2345"/>
    <hyperlink r:id="rId2343" ref="A2346"/>
    <hyperlink r:id="rId2344" ref="A2347"/>
    <hyperlink r:id="rId2345" ref="A2348"/>
    <hyperlink r:id="rId2346" ref="A2349"/>
    <hyperlink r:id="rId2347" ref="A2350"/>
    <hyperlink r:id="rId2348" ref="A2351"/>
    <hyperlink r:id="rId2349" ref="A2352"/>
    <hyperlink r:id="rId2350" ref="A2353"/>
    <hyperlink r:id="rId2351" ref="A2354"/>
    <hyperlink r:id="rId2352" ref="A2355"/>
    <hyperlink r:id="rId2353" ref="A2356"/>
    <hyperlink r:id="rId2354" ref="A2357"/>
    <hyperlink r:id="rId2355" ref="A2358"/>
    <hyperlink r:id="rId2356" ref="A2359"/>
    <hyperlink r:id="rId2357" ref="A2360"/>
    <hyperlink r:id="rId2358" ref="A2361"/>
    <hyperlink r:id="rId2359" ref="A2362"/>
    <hyperlink r:id="rId2360" ref="A2363"/>
    <hyperlink r:id="rId2361" ref="A2364"/>
    <hyperlink r:id="rId2362" ref="A2365"/>
    <hyperlink r:id="rId2363" ref="A2366"/>
    <hyperlink r:id="rId2364" ref="A2367"/>
    <hyperlink r:id="rId2365" ref="A2368"/>
    <hyperlink r:id="rId2366" ref="A2369"/>
    <hyperlink r:id="rId2367" ref="A2370"/>
    <hyperlink r:id="rId2368" ref="A2371"/>
    <hyperlink r:id="rId2369" ref="A2372"/>
    <hyperlink r:id="rId2370" ref="A2373"/>
    <hyperlink r:id="rId2371" ref="A2374"/>
    <hyperlink r:id="rId2372" ref="A2375"/>
    <hyperlink r:id="rId2373" ref="A2376"/>
    <hyperlink r:id="rId2374" ref="A2377"/>
    <hyperlink r:id="rId2375" ref="A2378"/>
    <hyperlink r:id="rId2376" ref="A2379"/>
    <hyperlink r:id="rId2377" ref="A2380"/>
    <hyperlink r:id="rId2378" ref="A2381"/>
    <hyperlink r:id="rId2379" ref="A2382"/>
    <hyperlink r:id="rId2380" ref="A2383"/>
    <hyperlink r:id="rId2381" ref="A2384"/>
    <hyperlink r:id="rId2382" ref="A2385"/>
    <hyperlink r:id="rId2383" ref="A2386"/>
    <hyperlink r:id="rId2384" ref="A2387"/>
    <hyperlink r:id="rId2385" ref="A2388"/>
    <hyperlink r:id="rId2386" ref="A2389"/>
    <hyperlink r:id="rId2387" ref="A2390"/>
    <hyperlink r:id="rId2388" ref="A2391"/>
    <hyperlink r:id="rId2389" ref="A2392"/>
    <hyperlink r:id="rId2390" ref="A2393"/>
    <hyperlink r:id="rId2391" ref="A2394"/>
    <hyperlink r:id="rId2392" ref="A2395"/>
    <hyperlink r:id="rId2393" ref="A2396"/>
    <hyperlink r:id="rId2394" ref="A2397"/>
    <hyperlink r:id="rId2395" ref="A2398"/>
    <hyperlink r:id="rId2396" ref="A2399"/>
    <hyperlink r:id="rId2397" ref="A2400"/>
    <hyperlink r:id="rId2398" ref="A2401"/>
    <hyperlink r:id="rId2399" ref="A2402"/>
    <hyperlink r:id="rId2400" ref="A2403"/>
    <hyperlink r:id="rId2401" ref="A2404"/>
    <hyperlink r:id="rId2402" ref="A2405"/>
    <hyperlink r:id="rId2403" ref="A2406"/>
    <hyperlink r:id="rId2404" ref="A2407"/>
    <hyperlink r:id="rId2405" ref="A2408"/>
    <hyperlink r:id="rId2406" ref="A2409"/>
    <hyperlink r:id="rId2407" ref="A2410"/>
    <hyperlink r:id="rId2408" ref="A2411"/>
    <hyperlink r:id="rId2409" ref="A2412"/>
    <hyperlink r:id="rId2410" ref="A2413"/>
    <hyperlink r:id="rId2411" ref="A2414"/>
    <hyperlink r:id="rId2412" ref="A2415"/>
    <hyperlink r:id="rId2413" ref="A2416"/>
    <hyperlink r:id="rId2414" ref="A2417"/>
    <hyperlink r:id="rId2415" ref="A2418"/>
    <hyperlink r:id="rId2416" ref="A2419"/>
    <hyperlink r:id="rId2417" ref="A2420"/>
    <hyperlink r:id="rId2418" ref="A2421"/>
    <hyperlink r:id="rId2419" ref="A2422"/>
    <hyperlink r:id="rId2420" ref="A2423"/>
    <hyperlink r:id="rId2421" ref="A2424"/>
    <hyperlink r:id="rId2422" ref="A2425"/>
    <hyperlink r:id="rId2423" ref="A2426"/>
    <hyperlink r:id="rId2424" ref="A2427"/>
    <hyperlink r:id="rId2425" ref="A2428"/>
    <hyperlink r:id="rId2426" ref="A2429"/>
    <hyperlink r:id="rId2427" ref="A2430"/>
    <hyperlink r:id="rId2428" ref="A2431"/>
    <hyperlink r:id="rId2429" ref="A2432"/>
    <hyperlink r:id="rId2430" ref="A2433"/>
    <hyperlink r:id="rId2431" ref="A2434"/>
    <hyperlink r:id="rId2432" ref="A2435"/>
    <hyperlink r:id="rId2433" ref="A2436"/>
    <hyperlink r:id="rId2434" ref="A2437"/>
    <hyperlink r:id="rId2435" ref="A2438"/>
    <hyperlink r:id="rId2436" ref="A2439"/>
    <hyperlink r:id="rId2437" ref="A2440"/>
    <hyperlink r:id="rId2438" ref="A2441"/>
    <hyperlink r:id="rId2439" ref="A2442"/>
    <hyperlink r:id="rId2440" ref="A2443"/>
    <hyperlink r:id="rId2441" ref="A2444"/>
    <hyperlink r:id="rId2442" ref="A2445"/>
    <hyperlink r:id="rId2443" ref="A2446"/>
    <hyperlink r:id="rId2444" ref="A2447"/>
    <hyperlink r:id="rId2445" ref="A2448"/>
    <hyperlink r:id="rId2446" ref="A2449"/>
    <hyperlink r:id="rId2447" ref="A2450"/>
    <hyperlink r:id="rId2448" ref="A2451"/>
    <hyperlink r:id="rId2449" ref="A2452"/>
    <hyperlink r:id="rId2450" ref="A2453"/>
    <hyperlink r:id="rId2451" ref="A2454"/>
    <hyperlink r:id="rId2452" ref="A2455"/>
    <hyperlink r:id="rId2453" ref="A2456"/>
    <hyperlink r:id="rId2454" ref="A2457"/>
    <hyperlink r:id="rId2455" ref="A2458"/>
    <hyperlink r:id="rId2456" ref="A2459"/>
    <hyperlink r:id="rId2457" ref="A2460"/>
    <hyperlink r:id="rId2458" ref="A2461"/>
    <hyperlink r:id="rId2459" ref="A2462"/>
    <hyperlink r:id="rId2460" ref="A2463"/>
    <hyperlink r:id="rId2461" ref="A2464"/>
    <hyperlink r:id="rId2462" ref="A2465"/>
    <hyperlink r:id="rId2463" ref="A2466"/>
    <hyperlink r:id="rId2464" ref="A2467"/>
    <hyperlink r:id="rId2465" ref="A2468"/>
    <hyperlink r:id="rId2466" ref="A2469"/>
    <hyperlink r:id="rId2467" ref="A2470"/>
    <hyperlink r:id="rId2468" ref="A2471"/>
    <hyperlink r:id="rId2469" ref="A2472"/>
    <hyperlink r:id="rId2470" ref="A2473"/>
    <hyperlink r:id="rId2471" ref="A2474"/>
    <hyperlink r:id="rId2472" ref="A2475"/>
    <hyperlink r:id="rId2473" ref="A2476"/>
    <hyperlink r:id="rId2474" ref="A2477"/>
    <hyperlink r:id="rId2475" ref="A2478"/>
    <hyperlink r:id="rId2476" ref="A2479"/>
    <hyperlink r:id="rId2477" ref="A2480"/>
    <hyperlink r:id="rId2478" ref="A2481"/>
    <hyperlink r:id="rId2479" ref="A2482"/>
    <hyperlink r:id="rId2480" ref="A2483"/>
    <hyperlink r:id="rId2481" ref="A2484"/>
    <hyperlink r:id="rId2482" ref="A2485"/>
    <hyperlink r:id="rId2483" ref="A2486"/>
    <hyperlink r:id="rId2484" ref="A2487"/>
    <hyperlink r:id="rId2485" ref="A2488"/>
    <hyperlink r:id="rId2486" ref="A2489"/>
    <hyperlink r:id="rId2487" ref="A2490"/>
    <hyperlink r:id="rId2488" ref="A2491"/>
    <hyperlink r:id="rId2489" ref="A2492"/>
    <hyperlink r:id="rId2490" ref="A2493"/>
    <hyperlink r:id="rId2491" ref="A2494"/>
    <hyperlink r:id="rId2492" ref="A2495"/>
    <hyperlink r:id="rId2493" ref="A2496"/>
    <hyperlink r:id="rId2494" ref="A2497"/>
    <hyperlink r:id="rId2495" ref="A2498"/>
    <hyperlink r:id="rId2496" ref="A2499"/>
    <hyperlink r:id="rId2497" ref="A2500"/>
    <hyperlink r:id="rId2498" ref="A2501"/>
    <hyperlink r:id="rId2499" ref="A2502"/>
    <hyperlink r:id="rId2500" ref="A2503"/>
    <hyperlink r:id="rId2501" ref="A2504"/>
    <hyperlink r:id="rId2502" ref="A2505"/>
    <hyperlink r:id="rId2503" ref="A2506"/>
    <hyperlink r:id="rId2504" ref="A2507"/>
    <hyperlink r:id="rId2505" ref="A2508"/>
    <hyperlink r:id="rId2506" ref="A2509"/>
    <hyperlink r:id="rId2507" ref="A2510"/>
    <hyperlink r:id="rId2508" ref="A2511"/>
    <hyperlink r:id="rId2509" ref="A2512"/>
    <hyperlink r:id="rId2510" ref="A2513"/>
    <hyperlink r:id="rId2511" ref="A2514"/>
    <hyperlink r:id="rId2512" ref="A2515"/>
    <hyperlink r:id="rId2513" ref="A2516"/>
    <hyperlink r:id="rId2514" ref="A2517"/>
    <hyperlink r:id="rId2515" ref="A2518"/>
    <hyperlink r:id="rId2516" ref="A2519"/>
    <hyperlink r:id="rId2517" ref="A2520"/>
    <hyperlink r:id="rId2518" ref="A2521"/>
    <hyperlink r:id="rId2519" ref="A2522"/>
    <hyperlink r:id="rId2520" ref="A2523"/>
    <hyperlink r:id="rId2521" ref="A2524"/>
    <hyperlink r:id="rId2522" ref="A2525"/>
    <hyperlink r:id="rId2523" ref="A2526"/>
    <hyperlink r:id="rId2524" ref="A2527"/>
    <hyperlink r:id="rId2525" ref="A2528"/>
    <hyperlink r:id="rId2526" ref="A2529"/>
    <hyperlink r:id="rId2527" ref="A2530"/>
    <hyperlink r:id="rId2528" ref="A2531"/>
    <hyperlink r:id="rId2529" ref="A2532"/>
    <hyperlink r:id="rId2530" ref="A2533"/>
    <hyperlink r:id="rId2531" ref="A2534"/>
    <hyperlink r:id="rId2532" ref="A2535"/>
    <hyperlink r:id="rId2533" ref="A2536"/>
    <hyperlink r:id="rId2534" ref="A2537"/>
    <hyperlink r:id="rId2535" ref="A2538"/>
    <hyperlink r:id="rId2536" ref="A2539"/>
    <hyperlink r:id="rId2537" ref="A2540"/>
    <hyperlink r:id="rId2538" ref="A2541"/>
    <hyperlink r:id="rId2539" ref="A2542"/>
    <hyperlink r:id="rId2540" ref="A2543"/>
    <hyperlink r:id="rId2541" ref="A2544"/>
    <hyperlink r:id="rId2542" ref="A2545"/>
    <hyperlink r:id="rId2543" ref="A2546"/>
    <hyperlink r:id="rId2544" ref="A2547"/>
    <hyperlink r:id="rId2545" ref="A2548"/>
    <hyperlink r:id="rId2546" ref="A2549"/>
    <hyperlink r:id="rId2547" ref="A2550"/>
    <hyperlink r:id="rId2548" ref="A2551"/>
    <hyperlink r:id="rId2549" ref="A2552"/>
    <hyperlink r:id="rId2550" ref="A2553"/>
    <hyperlink r:id="rId2551" ref="A2554"/>
    <hyperlink r:id="rId2552" ref="A2555"/>
    <hyperlink r:id="rId2553" ref="A2556"/>
    <hyperlink r:id="rId2554" ref="A2557"/>
    <hyperlink r:id="rId2555" ref="A2558"/>
    <hyperlink r:id="rId2556" ref="A2559"/>
    <hyperlink r:id="rId2557" ref="A2560"/>
    <hyperlink r:id="rId2558" ref="A2561"/>
    <hyperlink r:id="rId2559" ref="A2562"/>
    <hyperlink r:id="rId2560" ref="A2563"/>
    <hyperlink r:id="rId2561" ref="A2564"/>
    <hyperlink r:id="rId2562" ref="A2565"/>
    <hyperlink r:id="rId2563" ref="A2566"/>
    <hyperlink r:id="rId2564" ref="A2567"/>
    <hyperlink r:id="rId2565" ref="A2568"/>
    <hyperlink r:id="rId2566" ref="A2569"/>
    <hyperlink r:id="rId2567" ref="A2570"/>
    <hyperlink r:id="rId2568" ref="A2571"/>
    <hyperlink r:id="rId2569" ref="A2572"/>
    <hyperlink r:id="rId2570" ref="A2573"/>
    <hyperlink r:id="rId2571" ref="A2574"/>
    <hyperlink r:id="rId2572" ref="A2575"/>
    <hyperlink r:id="rId2573" ref="A2576"/>
    <hyperlink r:id="rId2574" ref="A2577"/>
    <hyperlink r:id="rId2575" ref="A2578"/>
    <hyperlink r:id="rId2576" ref="A2579"/>
    <hyperlink r:id="rId2577" ref="A2580"/>
    <hyperlink r:id="rId2578" ref="A2581"/>
    <hyperlink r:id="rId2579" ref="A2582"/>
    <hyperlink r:id="rId2580" ref="A2583"/>
    <hyperlink r:id="rId2581" ref="A2584"/>
    <hyperlink r:id="rId2582" ref="A2585"/>
    <hyperlink r:id="rId2583" ref="A2586"/>
    <hyperlink r:id="rId2584" ref="A2587"/>
    <hyperlink r:id="rId2585" ref="A2588"/>
    <hyperlink r:id="rId2586" ref="A2589"/>
    <hyperlink r:id="rId2587" ref="A2590"/>
    <hyperlink r:id="rId2588" ref="A2591"/>
    <hyperlink r:id="rId2589" ref="A2592"/>
    <hyperlink r:id="rId2590" ref="A2593"/>
    <hyperlink r:id="rId2591" ref="A2594"/>
    <hyperlink r:id="rId2592" ref="A2595"/>
    <hyperlink r:id="rId2593" ref="A2596"/>
    <hyperlink r:id="rId2594" ref="A2597"/>
    <hyperlink r:id="rId2595" ref="A2598"/>
    <hyperlink r:id="rId2596" ref="A2599"/>
    <hyperlink r:id="rId2597" ref="A2600"/>
    <hyperlink r:id="rId2598" ref="A2601"/>
    <hyperlink r:id="rId2599" ref="A2602"/>
    <hyperlink r:id="rId2600" ref="A2603"/>
    <hyperlink r:id="rId2601" ref="A2604"/>
    <hyperlink r:id="rId2602" ref="A2605"/>
    <hyperlink r:id="rId2603" ref="A2606"/>
    <hyperlink r:id="rId2604" ref="A2607"/>
    <hyperlink r:id="rId2605" ref="A2608"/>
    <hyperlink r:id="rId2606" ref="A2609"/>
    <hyperlink r:id="rId2607" ref="A2610"/>
    <hyperlink r:id="rId2608" ref="A2611"/>
    <hyperlink r:id="rId2609" ref="A2612"/>
    <hyperlink r:id="rId2610" ref="A2613"/>
    <hyperlink r:id="rId2611" ref="A2614"/>
    <hyperlink r:id="rId2612" ref="A2615"/>
    <hyperlink r:id="rId2613" ref="A2616"/>
    <hyperlink r:id="rId2614" ref="A2617"/>
    <hyperlink r:id="rId2615" ref="A2618"/>
    <hyperlink r:id="rId2616" ref="A2619"/>
    <hyperlink r:id="rId2617" ref="A2620"/>
    <hyperlink r:id="rId2618" ref="A2621"/>
    <hyperlink r:id="rId2619" ref="A2622"/>
    <hyperlink r:id="rId2620" ref="A2623"/>
    <hyperlink r:id="rId2621" ref="A2624"/>
    <hyperlink r:id="rId2622" ref="A2625"/>
    <hyperlink r:id="rId2623" ref="A2626"/>
    <hyperlink r:id="rId2624" ref="A2627"/>
    <hyperlink r:id="rId2625" ref="A2628"/>
    <hyperlink r:id="rId2626" ref="A2629"/>
    <hyperlink r:id="rId2627" ref="A2630"/>
    <hyperlink r:id="rId2628" ref="A2631"/>
    <hyperlink r:id="rId2629" ref="A2632"/>
    <hyperlink r:id="rId2630" ref="A2633"/>
    <hyperlink r:id="rId2631" ref="A2634"/>
    <hyperlink r:id="rId2632" ref="A2635"/>
    <hyperlink r:id="rId2633" ref="A2636"/>
    <hyperlink r:id="rId2634" ref="A2637"/>
    <hyperlink r:id="rId2635" ref="A2638"/>
    <hyperlink r:id="rId2636" ref="A2639"/>
    <hyperlink r:id="rId2637" ref="A2640"/>
    <hyperlink r:id="rId2638" ref="A2641"/>
    <hyperlink r:id="rId2639" ref="A2642"/>
    <hyperlink r:id="rId2640" ref="A2643"/>
    <hyperlink r:id="rId2641" ref="A2644"/>
    <hyperlink r:id="rId2642" ref="A2645"/>
    <hyperlink r:id="rId2643" ref="A2646"/>
    <hyperlink r:id="rId2644" ref="A2647"/>
    <hyperlink r:id="rId2645" ref="A2648"/>
    <hyperlink r:id="rId2646" ref="A2649"/>
    <hyperlink r:id="rId2647" ref="A2650"/>
    <hyperlink r:id="rId2648" ref="A2651"/>
    <hyperlink r:id="rId2649" ref="A2652"/>
    <hyperlink r:id="rId2650" ref="A2653"/>
    <hyperlink r:id="rId2651" ref="A2654"/>
    <hyperlink r:id="rId2652" ref="A2655"/>
    <hyperlink r:id="rId2653" ref="A2656"/>
    <hyperlink r:id="rId2654" ref="A2657"/>
    <hyperlink r:id="rId2655" ref="A2658"/>
    <hyperlink r:id="rId2656" ref="A2659"/>
    <hyperlink r:id="rId2657" ref="A2660"/>
    <hyperlink r:id="rId2658" ref="A2661"/>
    <hyperlink r:id="rId2659" ref="A2662"/>
    <hyperlink r:id="rId2660" ref="A2663"/>
    <hyperlink r:id="rId2661" ref="A2664"/>
    <hyperlink r:id="rId2662" ref="A2665"/>
    <hyperlink r:id="rId2663" ref="A2666"/>
    <hyperlink r:id="rId2664" ref="A2667"/>
    <hyperlink r:id="rId2665" ref="A2668"/>
    <hyperlink r:id="rId2666" ref="A2669"/>
    <hyperlink r:id="rId2667" ref="A2670"/>
    <hyperlink r:id="rId2668" ref="A2671"/>
    <hyperlink r:id="rId2669" ref="A2672"/>
    <hyperlink r:id="rId2670" ref="A2673"/>
    <hyperlink r:id="rId2671" ref="A2674"/>
    <hyperlink r:id="rId2672" ref="A2675"/>
    <hyperlink r:id="rId2673" ref="A2676"/>
    <hyperlink r:id="rId2674" ref="A2677"/>
    <hyperlink r:id="rId2675" ref="A2678"/>
    <hyperlink r:id="rId2676" ref="A2679"/>
    <hyperlink r:id="rId2677" ref="A2680"/>
    <hyperlink r:id="rId2678" ref="A2681"/>
    <hyperlink r:id="rId2679" ref="A2682"/>
    <hyperlink r:id="rId2680" ref="A2683"/>
    <hyperlink r:id="rId2681" ref="A2684"/>
    <hyperlink r:id="rId2682" ref="A2685"/>
    <hyperlink r:id="rId2683" ref="A2686"/>
    <hyperlink r:id="rId2684" ref="A2687"/>
    <hyperlink r:id="rId2685" ref="A2688"/>
    <hyperlink r:id="rId2686" ref="A2689"/>
    <hyperlink r:id="rId2687" ref="A2690"/>
    <hyperlink r:id="rId2688" ref="A2691"/>
    <hyperlink r:id="rId2689" ref="A2692"/>
    <hyperlink r:id="rId2690" ref="A2693"/>
    <hyperlink r:id="rId2691" ref="A2694"/>
    <hyperlink r:id="rId2692" ref="A2695"/>
    <hyperlink r:id="rId2693" ref="A2696"/>
    <hyperlink r:id="rId2694" ref="A2697"/>
    <hyperlink r:id="rId2695" ref="A2698"/>
    <hyperlink r:id="rId2696" ref="A2699"/>
    <hyperlink r:id="rId2697" ref="A2700"/>
    <hyperlink r:id="rId2698" ref="A2701"/>
    <hyperlink r:id="rId2699" ref="A2702"/>
    <hyperlink r:id="rId2700" ref="A2703"/>
    <hyperlink r:id="rId2701" ref="A2704"/>
    <hyperlink r:id="rId2702" ref="A2705"/>
    <hyperlink r:id="rId2703" ref="A2706"/>
    <hyperlink r:id="rId2704" ref="A2707"/>
    <hyperlink r:id="rId2705" ref="A2708"/>
    <hyperlink r:id="rId2706" ref="A2709"/>
    <hyperlink r:id="rId2707" ref="A2710"/>
    <hyperlink r:id="rId2708" ref="A2711"/>
    <hyperlink r:id="rId2709" ref="A2712"/>
    <hyperlink r:id="rId2710" ref="A2713"/>
    <hyperlink r:id="rId2711" ref="A2714"/>
    <hyperlink r:id="rId2712" ref="A2715"/>
    <hyperlink r:id="rId2713" ref="A2716"/>
    <hyperlink r:id="rId2714" ref="A2717"/>
    <hyperlink r:id="rId2715" ref="A2718"/>
    <hyperlink r:id="rId2716" ref="A2719"/>
    <hyperlink r:id="rId2717" ref="A2720"/>
    <hyperlink r:id="rId2718" ref="A2721"/>
    <hyperlink r:id="rId2719" ref="A2722"/>
    <hyperlink r:id="rId2720" ref="A2723"/>
    <hyperlink r:id="rId2721" ref="A2724"/>
    <hyperlink r:id="rId2722" ref="A2725"/>
    <hyperlink r:id="rId2723" ref="A2726"/>
    <hyperlink r:id="rId2724" ref="A2727"/>
    <hyperlink r:id="rId2725" ref="A2728"/>
    <hyperlink r:id="rId2726" ref="A2729"/>
    <hyperlink r:id="rId2727" ref="A2730"/>
    <hyperlink r:id="rId2728" ref="A2731"/>
    <hyperlink r:id="rId2729" ref="A2732"/>
    <hyperlink r:id="rId2730" ref="A2733"/>
    <hyperlink r:id="rId2731" ref="A2734"/>
    <hyperlink r:id="rId2732" ref="A2735"/>
    <hyperlink r:id="rId2733" ref="A2736"/>
    <hyperlink r:id="rId2734" ref="A2737"/>
    <hyperlink r:id="rId2735" ref="A2738"/>
    <hyperlink r:id="rId2736" ref="A2739"/>
    <hyperlink r:id="rId2737" ref="A2740"/>
    <hyperlink r:id="rId2738" ref="A2741"/>
    <hyperlink r:id="rId2739" ref="A2742"/>
    <hyperlink r:id="rId2740" ref="A2743"/>
    <hyperlink r:id="rId2741" ref="A2744"/>
    <hyperlink r:id="rId2742" ref="A2745"/>
    <hyperlink r:id="rId2743" ref="A2746"/>
    <hyperlink r:id="rId2744" ref="A2747"/>
    <hyperlink r:id="rId2745" ref="A2748"/>
    <hyperlink r:id="rId2746" ref="A2749"/>
    <hyperlink r:id="rId2747" ref="A2750"/>
    <hyperlink r:id="rId2748" ref="A2751"/>
    <hyperlink r:id="rId2749" ref="A2752"/>
    <hyperlink r:id="rId2750" ref="A2753"/>
    <hyperlink r:id="rId2751" ref="A2754"/>
    <hyperlink r:id="rId2752" ref="A2755"/>
    <hyperlink r:id="rId2753" ref="A2756"/>
    <hyperlink r:id="rId2754" ref="A2757"/>
    <hyperlink r:id="rId2755" ref="A2758"/>
    <hyperlink r:id="rId2756" ref="A2759"/>
    <hyperlink r:id="rId2757" ref="A2760"/>
    <hyperlink r:id="rId2758" ref="A2761"/>
    <hyperlink r:id="rId2759" ref="A2762"/>
    <hyperlink r:id="rId2760" ref="A2763"/>
    <hyperlink r:id="rId2761" ref="A2764"/>
    <hyperlink r:id="rId2762" ref="A2765"/>
    <hyperlink r:id="rId2763" ref="A2766"/>
    <hyperlink r:id="rId2764" ref="A2767"/>
    <hyperlink r:id="rId2765" ref="A2768"/>
    <hyperlink r:id="rId2766" ref="A2769"/>
    <hyperlink r:id="rId2767" ref="A2770"/>
    <hyperlink r:id="rId2768" ref="A2771"/>
    <hyperlink r:id="rId2769" ref="A2772"/>
    <hyperlink r:id="rId2770" ref="A2773"/>
    <hyperlink r:id="rId2771" ref="A2774"/>
    <hyperlink r:id="rId2772" ref="A2775"/>
    <hyperlink r:id="rId2773" ref="A2776"/>
    <hyperlink r:id="rId2774" ref="A2777"/>
    <hyperlink r:id="rId2775" ref="A2778"/>
    <hyperlink r:id="rId2776" ref="A2779"/>
    <hyperlink r:id="rId2777" ref="A2780"/>
    <hyperlink r:id="rId2778" ref="A2781"/>
    <hyperlink r:id="rId2779" ref="A2782"/>
    <hyperlink r:id="rId2780" ref="A2783"/>
    <hyperlink r:id="rId2781" ref="A2784"/>
    <hyperlink r:id="rId2782" ref="A2785"/>
    <hyperlink r:id="rId2783" ref="A2786"/>
    <hyperlink r:id="rId2784" ref="A2787"/>
    <hyperlink r:id="rId2785" ref="A2788"/>
    <hyperlink r:id="rId2786" ref="A2789"/>
    <hyperlink r:id="rId2787" ref="A2790"/>
    <hyperlink r:id="rId2788" ref="A2791"/>
    <hyperlink r:id="rId2789" ref="A2792"/>
    <hyperlink r:id="rId2790" ref="A2793"/>
    <hyperlink r:id="rId2791" ref="A2794"/>
    <hyperlink r:id="rId2792" ref="A2795"/>
    <hyperlink r:id="rId2793" ref="A2796"/>
    <hyperlink r:id="rId2794" ref="A2797"/>
    <hyperlink r:id="rId2795" ref="A2798"/>
    <hyperlink r:id="rId2796" ref="A2799"/>
    <hyperlink r:id="rId2797" ref="A2800"/>
    <hyperlink r:id="rId2798" ref="A2801"/>
    <hyperlink r:id="rId2799" ref="A2802"/>
    <hyperlink r:id="rId2800" ref="A2803"/>
    <hyperlink r:id="rId2801" ref="A2804"/>
    <hyperlink r:id="rId2802" ref="A2805"/>
    <hyperlink r:id="rId2803" ref="A2806"/>
    <hyperlink r:id="rId2804" ref="A2807"/>
    <hyperlink r:id="rId2805" ref="A2808"/>
    <hyperlink r:id="rId2806" ref="A2809"/>
    <hyperlink r:id="rId2807" ref="A2810"/>
    <hyperlink r:id="rId2808" ref="A2811"/>
    <hyperlink r:id="rId2809" ref="A2812"/>
    <hyperlink r:id="rId2810" ref="A2813"/>
    <hyperlink r:id="rId2811" ref="A2814"/>
    <hyperlink r:id="rId2812" ref="A2815"/>
    <hyperlink r:id="rId2813" ref="A2816"/>
    <hyperlink r:id="rId2814" ref="A2817"/>
    <hyperlink r:id="rId2815" ref="A2818"/>
    <hyperlink r:id="rId2816" ref="A2819"/>
    <hyperlink r:id="rId2817" ref="A2820"/>
    <hyperlink r:id="rId2818" ref="A2821"/>
    <hyperlink r:id="rId2819" ref="A2822"/>
    <hyperlink r:id="rId2820" ref="A2823"/>
    <hyperlink r:id="rId2821" ref="A2824"/>
    <hyperlink r:id="rId2822" ref="A2825"/>
    <hyperlink r:id="rId2823" ref="A2826"/>
    <hyperlink r:id="rId2824" ref="A2827"/>
    <hyperlink r:id="rId2825" ref="A2828"/>
    <hyperlink r:id="rId2826" ref="A2829"/>
    <hyperlink r:id="rId2827" ref="A2830"/>
    <hyperlink r:id="rId2828" ref="A2831"/>
    <hyperlink r:id="rId2829" ref="A2832"/>
    <hyperlink r:id="rId2830" ref="A2833"/>
    <hyperlink r:id="rId2831" ref="A2834"/>
    <hyperlink r:id="rId2832" ref="A2835"/>
    <hyperlink r:id="rId2833" ref="A2836"/>
    <hyperlink r:id="rId2834" ref="A2837"/>
    <hyperlink r:id="rId2835" ref="A2838"/>
    <hyperlink r:id="rId2836" ref="A2839"/>
    <hyperlink r:id="rId2837" ref="A2840"/>
    <hyperlink r:id="rId2838" ref="A2841"/>
    <hyperlink r:id="rId2839" ref="A2842"/>
    <hyperlink r:id="rId2840" ref="A2843"/>
    <hyperlink r:id="rId2841" ref="A2844"/>
    <hyperlink r:id="rId2842" ref="A2845"/>
    <hyperlink r:id="rId2843" ref="A2846"/>
    <hyperlink r:id="rId2844" ref="A2847"/>
    <hyperlink r:id="rId2845" ref="A2848"/>
    <hyperlink r:id="rId2846" ref="A2849"/>
    <hyperlink r:id="rId2847" ref="A2850"/>
    <hyperlink r:id="rId2848" ref="A2851"/>
    <hyperlink r:id="rId2849" ref="A2852"/>
    <hyperlink r:id="rId2850" ref="A2853"/>
    <hyperlink r:id="rId2851" ref="A2854"/>
    <hyperlink r:id="rId2852" ref="A2855"/>
    <hyperlink r:id="rId2853" ref="A2856"/>
    <hyperlink r:id="rId2854" ref="A2857"/>
    <hyperlink r:id="rId2855" ref="A2858"/>
    <hyperlink r:id="rId2856" ref="A2859"/>
    <hyperlink r:id="rId2857" ref="A2860"/>
    <hyperlink r:id="rId2858" ref="A2861"/>
    <hyperlink r:id="rId2859" ref="A2862"/>
    <hyperlink r:id="rId2860" ref="A2863"/>
    <hyperlink r:id="rId2861" ref="A2864"/>
    <hyperlink r:id="rId2862" ref="A2865"/>
    <hyperlink r:id="rId2863" ref="A2866"/>
    <hyperlink r:id="rId2864" ref="A2867"/>
    <hyperlink r:id="rId2865" ref="A2868"/>
    <hyperlink r:id="rId2866" ref="A2869"/>
    <hyperlink r:id="rId2867" ref="A2870"/>
    <hyperlink r:id="rId2868" ref="A2871"/>
    <hyperlink r:id="rId2869" ref="A2872"/>
    <hyperlink r:id="rId2870" ref="A2873"/>
    <hyperlink r:id="rId2871" ref="A2874"/>
    <hyperlink r:id="rId2872" ref="A2875"/>
    <hyperlink r:id="rId2873" ref="A2876"/>
    <hyperlink r:id="rId2874" ref="A2877"/>
    <hyperlink r:id="rId2875" ref="A2878"/>
    <hyperlink r:id="rId2876" ref="A2879"/>
    <hyperlink r:id="rId2877" ref="A2880"/>
    <hyperlink r:id="rId2878" ref="A2881"/>
    <hyperlink r:id="rId2879" ref="A2882"/>
    <hyperlink r:id="rId2880" ref="A2883"/>
    <hyperlink r:id="rId2881" ref="A2884"/>
    <hyperlink r:id="rId2882" ref="A2885"/>
    <hyperlink r:id="rId2883" ref="A2886"/>
    <hyperlink r:id="rId2884" ref="A2887"/>
    <hyperlink r:id="rId2885" ref="A2888"/>
    <hyperlink r:id="rId2886" ref="A2889"/>
    <hyperlink r:id="rId2887" ref="A2890"/>
    <hyperlink r:id="rId2888" ref="A2891"/>
    <hyperlink r:id="rId2889" ref="A2892"/>
    <hyperlink r:id="rId2890" ref="A2893"/>
    <hyperlink r:id="rId2891" ref="A2894"/>
    <hyperlink r:id="rId2892" ref="A2895"/>
    <hyperlink r:id="rId2893" ref="A2896"/>
    <hyperlink r:id="rId2894" ref="A2897"/>
    <hyperlink r:id="rId2895" ref="A2898"/>
    <hyperlink r:id="rId2896" ref="A2899"/>
    <hyperlink r:id="rId2897" ref="A2900"/>
    <hyperlink r:id="rId2898" ref="A2901"/>
    <hyperlink r:id="rId2899" ref="A2902"/>
    <hyperlink r:id="rId2900" ref="A2903"/>
    <hyperlink r:id="rId2901" ref="A2904"/>
    <hyperlink r:id="rId2902" ref="A2905"/>
    <hyperlink r:id="rId2903" ref="A2906"/>
    <hyperlink r:id="rId2904" ref="A2907"/>
    <hyperlink r:id="rId2905" ref="A2908"/>
    <hyperlink r:id="rId2906" ref="A2909"/>
    <hyperlink r:id="rId2907" ref="A2910"/>
    <hyperlink r:id="rId2908" ref="A2911"/>
    <hyperlink r:id="rId2909" ref="A2912"/>
    <hyperlink r:id="rId2910" ref="A2913"/>
    <hyperlink r:id="rId2911" ref="A2914"/>
    <hyperlink r:id="rId2912" ref="A2915"/>
    <hyperlink r:id="rId2913" ref="A2916"/>
    <hyperlink r:id="rId2914" ref="A2917"/>
    <hyperlink r:id="rId2915" ref="A2918"/>
    <hyperlink r:id="rId2916" ref="A2919"/>
    <hyperlink r:id="rId2917" ref="A2920"/>
    <hyperlink r:id="rId2918" ref="A2921"/>
    <hyperlink r:id="rId2919" ref="A2922"/>
    <hyperlink r:id="rId2920" ref="A2923"/>
    <hyperlink r:id="rId2921" ref="A2924"/>
    <hyperlink r:id="rId2922" ref="A2925"/>
    <hyperlink r:id="rId2923" ref="A2926"/>
    <hyperlink r:id="rId2924" ref="A2927"/>
    <hyperlink r:id="rId2925" ref="A2928"/>
    <hyperlink r:id="rId2926" ref="A2929"/>
    <hyperlink r:id="rId2927" ref="A2930"/>
    <hyperlink r:id="rId2928" ref="A2931"/>
    <hyperlink r:id="rId2929" ref="A2932"/>
    <hyperlink r:id="rId2930" ref="A2933"/>
    <hyperlink r:id="rId2931" ref="A2934"/>
    <hyperlink r:id="rId2932" ref="A2935"/>
    <hyperlink r:id="rId2933" ref="A2936"/>
    <hyperlink r:id="rId2934" ref="A2937"/>
    <hyperlink r:id="rId2935" ref="A2938"/>
    <hyperlink r:id="rId2936" ref="A2939"/>
    <hyperlink r:id="rId2937" ref="A2940"/>
    <hyperlink r:id="rId2938" ref="A2941"/>
    <hyperlink r:id="rId2939" ref="A2942"/>
    <hyperlink r:id="rId2940" ref="A2943"/>
    <hyperlink r:id="rId2941" ref="A2944"/>
    <hyperlink r:id="rId2942" ref="A2945"/>
    <hyperlink r:id="rId2943" ref="A2946"/>
    <hyperlink r:id="rId2944" ref="A2947"/>
    <hyperlink r:id="rId2945" ref="A2948"/>
    <hyperlink r:id="rId2946" ref="A2949"/>
    <hyperlink r:id="rId2947" ref="A2950"/>
    <hyperlink r:id="rId2948" ref="A2951"/>
    <hyperlink r:id="rId2949" ref="A2952"/>
    <hyperlink r:id="rId2950" ref="A2953"/>
    <hyperlink r:id="rId2951" ref="A2954"/>
    <hyperlink r:id="rId2952" ref="A2955"/>
    <hyperlink r:id="rId2953" ref="A2956"/>
    <hyperlink r:id="rId2954" ref="A2957"/>
    <hyperlink r:id="rId2955" ref="A2958"/>
    <hyperlink r:id="rId2956" ref="A2959"/>
    <hyperlink r:id="rId2957" ref="A2960"/>
    <hyperlink r:id="rId2958" ref="A2961"/>
    <hyperlink r:id="rId2959" ref="A2962"/>
    <hyperlink r:id="rId2960" ref="A2963"/>
    <hyperlink r:id="rId2961" ref="A2964"/>
    <hyperlink r:id="rId2962" ref="A2965"/>
    <hyperlink r:id="rId2963" ref="A2966"/>
    <hyperlink r:id="rId2964" ref="A2967"/>
    <hyperlink r:id="rId2965" ref="A2968"/>
    <hyperlink r:id="rId2966" ref="A2969"/>
    <hyperlink r:id="rId2967" ref="A2970"/>
    <hyperlink r:id="rId2968" ref="A2971"/>
    <hyperlink r:id="rId2969" ref="A2972"/>
    <hyperlink r:id="rId2970" ref="A2973"/>
    <hyperlink r:id="rId2971" ref="A2974"/>
    <hyperlink r:id="rId2972" ref="A2975"/>
    <hyperlink r:id="rId2973" ref="A2976"/>
    <hyperlink r:id="rId2974" ref="A2977"/>
    <hyperlink r:id="rId2975" ref="A2978"/>
    <hyperlink r:id="rId2976" ref="A2979"/>
    <hyperlink r:id="rId2977" ref="A2980"/>
    <hyperlink r:id="rId2978" ref="A2981"/>
    <hyperlink r:id="rId2979" ref="A2982"/>
    <hyperlink r:id="rId2980" ref="A2983"/>
    <hyperlink r:id="rId2981" ref="A2984"/>
    <hyperlink r:id="rId2982" ref="A2985"/>
    <hyperlink r:id="rId2983" ref="A2986"/>
    <hyperlink r:id="rId2984" ref="A2987"/>
    <hyperlink r:id="rId2985" ref="A2988"/>
    <hyperlink r:id="rId2986" ref="A2989"/>
    <hyperlink r:id="rId2987" ref="A2990"/>
    <hyperlink r:id="rId2988" ref="A2991"/>
    <hyperlink r:id="rId2989" ref="A2992"/>
    <hyperlink r:id="rId2990" ref="A2993"/>
    <hyperlink r:id="rId2991" ref="A2994"/>
    <hyperlink r:id="rId2992" ref="A2995"/>
    <hyperlink r:id="rId2993" ref="A2996"/>
    <hyperlink r:id="rId2994" ref="A2997"/>
    <hyperlink r:id="rId2995" ref="A2998"/>
    <hyperlink r:id="rId2996" ref="A2999"/>
    <hyperlink r:id="rId2997" ref="A3000"/>
    <hyperlink r:id="rId2998" ref="A3001"/>
    <hyperlink r:id="rId2999" ref="A3002"/>
    <hyperlink r:id="rId3000" ref="A3003"/>
    <hyperlink r:id="rId3001" ref="A3004"/>
    <hyperlink r:id="rId3002" ref="A3005"/>
    <hyperlink r:id="rId3003" ref="A3006"/>
    <hyperlink r:id="rId3004" ref="A3007"/>
    <hyperlink r:id="rId3005" ref="A3008"/>
    <hyperlink r:id="rId3006" ref="A3009"/>
    <hyperlink r:id="rId3007" ref="A3010"/>
    <hyperlink r:id="rId3008" ref="A3011"/>
    <hyperlink r:id="rId3009" ref="A3012"/>
    <hyperlink r:id="rId3010" ref="A3013"/>
    <hyperlink r:id="rId3011" ref="A3014"/>
    <hyperlink r:id="rId3012" ref="A3015"/>
    <hyperlink r:id="rId3013" ref="A3016"/>
    <hyperlink r:id="rId3014" ref="A3017"/>
    <hyperlink r:id="rId3015" ref="A3018"/>
    <hyperlink r:id="rId3016" ref="A3019"/>
    <hyperlink r:id="rId3017" ref="A3020"/>
    <hyperlink r:id="rId3018" ref="A3021"/>
    <hyperlink r:id="rId3019" ref="A3022"/>
    <hyperlink r:id="rId3020" ref="A3023"/>
    <hyperlink r:id="rId3021" ref="A3024"/>
    <hyperlink r:id="rId3022" ref="A3025"/>
    <hyperlink r:id="rId3023" ref="A3026"/>
    <hyperlink r:id="rId3024" ref="A3027"/>
    <hyperlink r:id="rId3025" ref="A3028"/>
    <hyperlink r:id="rId3026" ref="A3029"/>
    <hyperlink r:id="rId3027" ref="A3030"/>
    <hyperlink r:id="rId3028" ref="A3031"/>
    <hyperlink r:id="rId3029" ref="A3032"/>
    <hyperlink r:id="rId3030" ref="A3033"/>
    <hyperlink r:id="rId3031" ref="A3034"/>
    <hyperlink r:id="rId3032" ref="A3035"/>
    <hyperlink r:id="rId3033" ref="A3036"/>
    <hyperlink r:id="rId3034" ref="A3037"/>
    <hyperlink r:id="rId3035" ref="A3038"/>
    <hyperlink r:id="rId3036" ref="A3039"/>
    <hyperlink r:id="rId3037" ref="A3040"/>
    <hyperlink r:id="rId3038" ref="A3041"/>
    <hyperlink r:id="rId3039" ref="A3042"/>
    <hyperlink r:id="rId3040" ref="A3043"/>
    <hyperlink r:id="rId3041" ref="A3044"/>
    <hyperlink r:id="rId3042" ref="A3045"/>
    <hyperlink r:id="rId3043" ref="A3046"/>
    <hyperlink r:id="rId3044" ref="A3047"/>
    <hyperlink r:id="rId3045" ref="A3048"/>
    <hyperlink r:id="rId3046" ref="A3049"/>
    <hyperlink r:id="rId3047" ref="A3050"/>
    <hyperlink r:id="rId3048" ref="A3051"/>
    <hyperlink r:id="rId3049" ref="A3052"/>
    <hyperlink r:id="rId3050" ref="A3053"/>
    <hyperlink r:id="rId3051" ref="A3054"/>
    <hyperlink r:id="rId3052" ref="A3055"/>
    <hyperlink r:id="rId3053" ref="A3056"/>
    <hyperlink r:id="rId3054" ref="A3057"/>
    <hyperlink r:id="rId3055" ref="A3058"/>
    <hyperlink r:id="rId3056" ref="A3059"/>
    <hyperlink r:id="rId3057" ref="A3060"/>
    <hyperlink r:id="rId3058" ref="A3061"/>
    <hyperlink r:id="rId3059" ref="A3062"/>
    <hyperlink r:id="rId3060" ref="A3063"/>
    <hyperlink r:id="rId3061" ref="A3064"/>
    <hyperlink r:id="rId3062" ref="A3065"/>
    <hyperlink r:id="rId3063" ref="A3066"/>
    <hyperlink r:id="rId3064" ref="A3067"/>
    <hyperlink r:id="rId3065" ref="A3068"/>
    <hyperlink r:id="rId3066" ref="A3069"/>
    <hyperlink r:id="rId3067" ref="A3070"/>
    <hyperlink r:id="rId3068" ref="A3071"/>
    <hyperlink r:id="rId3069" ref="A3072"/>
    <hyperlink r:id="rId3070" ref="A3073"/>
    <hyperlink r:id="rId3071" ref="A3074"/>
    <hyperlink r:id="rId3072" ref="A3075"/>
    <hyperlink r:id="rId3073" ref="A3076"/>
    <hyperlink r:id="rId3074" ref="A3077"/>
    <hyperlink r:id="rId3075" ref="A3078"/>
    <hyperlink r:id="rId3076" ref="A3079"/>
    <hyperlink r:id="rId3077" ref="A3080"/>
    <hyperlink r:id="rId3078" ref="A3081"/>
    <hyperlink r:id="rId3079" ref="A3082"/>
    <hyperlink r:id="rId3080" ref="A3083"/>
    <hyperlink r:id="rId3081" ref="A3084"/>
    <hyperlink r:id="rId3082" ref="A3085"/>
    <hyperlink r:id="rId3083" ref="A3086"/>
    <hyperlink r:id="rId3084" ref="A3087"/>
    <hyperlink r:id="rId3085" ref="A3088"/>
    <hyperlink r:id="rId3086" ref="A3089"/>
    <hyperlink r:id="rId3087" ref="A3090"/>
    <hyperlink r:id="rId3088" ref="A3091"/>
    <hyperlink r:id="rId3089" ref="A3092"/>
    <hyperlink r:id="rId3090" ref="A3093"/>
    <hyperlink r:id="rId3091" ref="A3094"/>
    <hyperlink r:id="rId3092" ref="A3095"/>
    <hyperlink r:id="rId3093" ref="A3096"/>
    <hyperlink r:id="rId3094" ref="A3097"/>
    <hyperlink r:id="rId3095" ref="A3098"/>
    <hyperlink r:id="rId3096" ref="A3099"/>
    <hyperlink r:id="rId3097" ref="A3100"/>
    <hyperlink r:id="rId3098" ref="A3101"/>
    <hyperlink r:id="rId3099" ref="A3102"/>
    <hyperlink r:id="rId3100" ref="A3103"/>
    <hyperlink r:id="rId3101" ref="A3104"/>
    <hyperlink r:id="rId3102" ref="A3105"/>
    <hyperlink r:id="rId3103" ref="A3106"/>
    <hyperlink r:id="rId3104" ref="A3107"/>
    <hyperlink r:id="rId3105" ref="A3108"/>
    <hyperlink r:id="rId3106" ref="A3109"/>
    <hyperlink r:id="rId3107" ref="A3110"/>
    <hyperlink r:id="rId3108" ref="A3111"/>
    <hyperlink r:id="rId3109" ref="A3112"/>
    <hyperlink r:id="rId3110" ref="A3113"/>
    <hyperlink r:id="rId3111" ref="A3114"/>
    <hyperlink r:id="rId3112" ref="A3115"/>
    <hyperlink r:id="rId3113" ref="A3116"/>
    <hyperlink r:id="rId3114" ref="A3117"/>
    <hyperlink r:id="rId3115" ref="A3118"/>
    <hyperlink r:id="rId3116" ref="A3119"/>
    <hyperlink r:id="rId3117" ref="A3120"/>
    <hyperlink r:id="rId3118" ref="A3121"/>
    <hyperlink r:id="rId3119" ref="A3122"/>
    <hyperlink r:id="rId3120" ref="A3123"/>
    <hyperlink r:id="rId3121" ref="A3124"/>
    <hyperlink r:id="rId3122" ref="A3125"/>
    <hyperlink r:id="rId3123" ref="A3126"/>
    <hyperlink r:id="rId3124" ref="A3127"/>
    <hyperlink r:id="rId3125" ref="A3128"/>
    <hyperlink r:id="rId3126" ref="A3129"/>
    <hyperlink r:id="rId3127" ref="A3130"/>
    <hyperlink r:id="rId3128" ref="A3131"/>
    <hyperlink r:id="rId3129" ref="A3132"/>
    <hyperlink r:id="rId3130" ref="A3133"/>
    <hyperlink r:id="rId3131" ref="A3134"/>
    <hyperlink r:id="rId3132" ref="A3135"/>
    <hyperlink r:id="rId3133" ref="A3136"/>
    <hyperlink r:id="rId3134" ref="A3137"/>
    <hyperlink r:id="rId3135" ref="A3138"/>
    <hyperlink r:id="rId3136" ref="A3139"/>
    <hyperlink r:id="rId3137" ref="A3140"/>
    <hyperlink r:id="rId3138" ref="A3141"/>
    <hyperlink r:id="rId3139" ref="A3142"/>
    <hyperlink r:id="rId3140" ref="A3143"/>
    <hyperlink r:id="rId3141" ref="A3144"/>
    <hyperlink r:id="rId3142" ref="A3145"/>
    <hyperlink r:id="rId3143" ref="A3146"/>
    <hyperlink r:id="rId3144" ref="A3147"/>
    <hyperlink r:id="rId3145" ref="A3148"/>
    <hyperlink r:id="rId3146" ref="A3149"/>
    <hyperlink r:id="rId3147" ref="A3150"/>
    <hyperlink r:id="rId3148" ref="A3151"/>
    <hyperlink r:id="rId3149" ref="A3152"/>
    <hyperlink r:id="rId3150" ref="A3153"/>
    <hyperlink r:id="rId3151" ref="A3154"/>
    <hyperlink r:id="rId3152" ref="A3155"/>
    <hyperlink r:id="rId3153" ref="A3156"/>
    <hyperlink r:id="rId3154" ref="A3157"/>
    <hyperlink r:id="rId3155" ref="A3158"/>
    <hyperlink r:id="rId3156" ref="A3159"/>
    <hyperlink r:id="rId3157" ref="A3160"/>
    <hyperlink r:id="rId3158" ref="A3161"/>
  </hyperlinks>
  <drawing r:id="rId315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8981</v>
      </c>
    </row>
    <row r="3">
      <c r="A3" s="2" t="s">
        <v>261</v>
      </c>
    </row>
    <row r="4">
      <c r="A4" s="2" t="s">
        <v>278</v>
      </c>
    </row>
    <row r="5">
      <c r="A5" s="2" t="s">
        <v>265</v>
      </c>
    </row>
    <row r="6">
      <c r="A6" s="2" t="s">
        <v>247</v>
      </c>
    </row>
    <row r="7">
      <c r="A7" s="2" t="s">
        <v>254</v>
      </c>
    </row>
    <row r="8">
      <c r="A8" s="2" t="s">
        <v>9064</v>
      </c>
    </row>
    <row r="9">
      <c r="A9" s="2" t="s">
        <v>282</v>
      </c>
    </row>
    <row r="10">
      <c r="A10" s="2" t="s">
        <v>268</v>
      </c>
    </row>
    <row r="11">
      <c r="A11" s="2" t="s">
        <v>275</v>
      </c>
    </row>
    <row r="12">
      <c r="A12" s="2" t="s">
        <v>271</v>
      </c>
    </row>
    <row r="13">
      <c r="A13" s="2" t="s">
        <v>9044</v>
      </c>
    </row>
    <row r="14">
      <c r="A14" s="2" t="s">
        <v>9059</v>
      </c>
    </row>
    <row r="15">
      <c r="A15" s="2" t="s">
        <v>9072</v>
      </c>
    </row>
    <row r="16">
      <c r="A16" s="2" t="s">
        <v>9036</v>
      </c>
    </row>
    <row r="17">
      <c r="A17" s="2" t="s">
        <v>9140</v>
      </c>
    </row>
    <row r="18">
      <c r="A18" s="2" t="s">
        <v>9311</v>
      </c>
    </row>
    <row r="19">
      <c r="A19" s="2" t="s">
        <v>9091</v>
      </c>
    </row>
    <row r="20">
      <c r="A20" s="2" t="s">
        <v>9087</v>
      </c>
    </row>
    <row r="21">
      <c r="A21" s="2" t="s">
        <v>13645</v>
      </c>
    </row>
    <row r="22">
      <c r="A22" s="2" t="s">
        <v>13646</v>
      </c>
    </row>
    <row r="23">
      <c r="A23" s="2" t="s">
        <v>13647</v>
      </c>
    </row>
    <row r="24">
      <c r="A24" s="2" t="s">
        <v>9993</v>
      </c>
    </row>
    <row r="25">
      <c r="A25" s="2" t="s">
        <v>9723</v>
      </c>
    </row>
    <row r="26">
      <c r="A26" s="2" t="s">
        <v>10013</v>
      </c>
    </row>
    <row r="27">
      <c r="A27" s="2" t="s">
        <v>9753</v>
      </c>
    </row>
    <row r="28">
      <c r="A28" s="2" t="s">
        <v>9741</v>
      </c>
    </row>
    <row r="29">
      <c r="A29" s="2" t="s">
        <v>9727</v>
      </c>
    </row>
    <row r="30">
      <c r="A30" s="2" t="s">
        <v>9762</v>
      </c>
    </row>
    <row r="31">
      <c r="A31" s="2" t="s">
        <v>9997</v>
      </c>
    </row>
    <row r="32">
      <c r="A32" s="2" t="s">
        <v>9739</v>
      </c>
    </row>
    <row r="33">
      <c r="A33" s="2" t="s">
        <v>9757</v>
      </c>
    </row>
    <row r="34">
      <c r="A34" s="2" t="s">
        <v>10005</v>
      </c>
    </row>
    <row r="35">
      <c r="A35" s="2" t="s">
        <v>9729</v>
      </c>
    </row>
    <row r="36">
      <c r="A36" s="2" t="s">
        <v>9737</v>
      </c>
    </row>
    <row r="37">
      <c r="A37" s="2" t="s">
        <v>9751</v>
      </c>
    </row>
    <row r="38">
      <c r="A38" s="2" t="s">
        <v>9749</v>
      </c>
    </row>
    <row r="39">
      <c r="A39" s="2" t="s">
        <v>10011</v>
      </c>
    </row>
    <row r="40">
      <c r="A40" s="2" t="s">
        <v>9987</v>
      </c>
    </row>
    <row r="41">
      <c r="A41" s="2" t="s">
        <v>9725</v>
      </c>
    </row>
    <row r="42">
      <c r="A42" s="2" t="s">
        <v>9766</v>
      </c>
    </row>
    <row r="43">
      <c r="A43" s="2" t="s">
        <v>13648</v>
      </c>
    </row>
    <row r="44">
      <c r="A44" s="2" t="s">
        <v>9733</v>
      </c>
    </row>
    <row r="45">
      <c r="A45" s="2" t="s">
        <v>9795</v>
      </c>
    </row>
    <row r="46">
      <c r="A46" s="2" t="s">
        <v>9770</v>
      </c>
    </row>
    <row r="47">
      <c r="A47" s="2" t="s">
        <v>10015</v>
      </c>
    </row>
    <row r="48">
      <c r="A48" s="2" t="s">
        <v>9721</v>
      </c>
    </row>
    <row r="49">
      <c r="A49" s="2" t="s">
        <v>11001</v>
      </c>
    </row>
    <row r="50">
      <c r="A50" s="2" t="s">
        <v>9798</v>
      </c>
    </row>
    <row r="51">
      <c r="A51" s="2" t="s">
        <v>9764</v>
      </c>
    </row>
    <row r="52">
      <c r="A52" s="2" t="s">
        <v>9745</v>
      </c>
    </row>
    <row r="53">
      <c r="A53" s="2" t="s">
        <v>9755</v>
      </c>
    </row>
    <row r="54">
      <c r="A54" s="2" t="s">
        <v>10003</v>
      </c>
    </row>
    <row r="55">
      <c r="A55" s="2" t="s">
        <v>10001</v>
      </c>
    </row>
    <row r="56">
      <c r="A56" s="2" t="s">
        <v>9731</v>
      </c>
    </row>
    <row r="57">
      <c r="A57" s="2" t="s">
        <v>9759</v>
      </c>
    </row>
    <row r="58">
      <c r="A58" s="2" t="s">
        <v>10007</v>
      </c>
    </row>
    <row r="59">
      <c r="A59" s="2" t="s">
        <v>9999</v>
      </c>
    </row>
    <row r="60">
      <c r="A60" s="2" t="s">
        <v>9743</v>
      </c>
    </row>
    <row r="61">
      <c r="A61" s="2" t="s">
        <v>9991</v>
      </c>
    </row>
    <row r="62">
      <c r="A62" s="2" t="s">
        <v>9747</v>
      </c>
    </row>
    <row r="63">
      <c r="A63" s="2" t="s">
        <v>10009</v>
      </c>
    </row>
    <row r="64">
      <c r="A64" s="2" t="s">
        <v>10021</v>
      </c>
    </row>
    <row r="65">
      <c r="A65" s="2" t="s">
        <v>9735</v>
      </c>
    </row>
    <row r="66">
      <c r="A66" s="2" t="s">
        <v>9768</v>
      </c>
    </row>
    <row r="67">
      <c r="A67" s="2" t="s">
        <v>9995</v>
      </c>
    </row>
    <row r="68">
      <c r="A68" s="2" t="s">
        <v>8987</v>
      </c>
    </row>
    <row r="69">
      <c r="A69" s="2" t="s">
        <v>8983</v>
      </c>
    </row>
    <row r="70">
      <c r="A70" s="2" t="s">
        <v>8999</v>
      </c>
    </row>
    <row r="71">
      <c r="A71" s="2" t="s">
        <v>9029</v>
      </c>
    </row>
    <row r="72">
      <c r="A72" s="2" t="s">
        <v>13649</v>
      </c>
    </row>
    <row r="73">
      <c r="A73" s="2" t="s">
        <v>13650</v>
      </c>
    </row>
    <row r="74">
      <c r="A74" s="2" t="s">
        <v>13651</v>
      </c>
    </row>
    <row r="75">
      <c r="A75" s="2" t="s">
        <v>9078</v>
      </c>
    </row>
    <row r="76">
      <c r="A76" s="2" t="s">
        <v>9006</v>
      </c>
    </row>
    <row r="77">
      <c r="A77" s="2" t="s">
        <v>8991</v>
      </c>
    </row>
    <row r="78">
      <c r="A78" s="2" t="s">
        <v>8985</v>
      </c>
    </row>
    <row r="79">
      <c r="A79" s="2" t="s">
        <v>8993</v>
      </c>
    </row>
    <row r="80">
      <c r="A80" s="2" t="s">
        <v>9014</v>
      </c>
    </row>
    <row r="81">
      <c r="A81" s="2" t="s">
        <v>9002</v>
      </c>
    </row>
    <row r="82">
      <c r="A82" s="2" t="s">
        <v>9033</v>
      </c>
    </row>
    <row r="83">
      <c r="A83" s="2" t="s">
        <v>9042</v>
      </c>
    </row>
    <row r="84">
      <c r="A84" s="2" t="s">
        <v>9050</v>
      </c>
    </row>
    <row r="85">
      <c r="A85" s="2" t="s">
        <v>9069</v>
      </c>
    </row>
    <row r="86">
      <c r="A86" s="2" t="s">
        <v>9025</v>
      </c>
    </row>
    <row r="87">
      <c r="A87" s="2" t="s">
        <v>9589</v>
      </c>
    </row>
    <row r="88">
      <c r="A88" s="2" t="s">
        <v>9633</v>
      </c>
    </row>
    <row r="89">
      <c r="A89" s="2" t="s">
        <v>9519</v>
      </c>
    </row>
    <row r="90">
      <c r="A90" s="2" t="s">
        <v>9521</v>
      </c>
    </row>
    <row r="91">
      <c r="A91" s="2" t="s">
        <v>9523</v>
      </c>
    </row>
    <row r="92">
      <c r="A92" s="2" t="s">
        <v>9107</v>
      </c>
    </row>
    <row r="93">
      <c r="A93" s="2" t="s">
        <v>9256</v>
      </c>
    </row>
    <row r="94">
      <c r="A94" s="2" t="s">
        <v>9235</v>
      </c>
    </row>
    <row r="95">
      <c r="A95" s="2" t="s">
        <v>9239</v>
      </c>
    </row>
    <row r="96">
      <c r="A96" s="2" t="s">
        <v>9254</v>
      </c>
    </row>
    <row r="97">
      <c r="A97" s="2" t="s">
        <v>9252</v>
      </c>
    </row>
    <row r="98">
      <c r="A98" s="2" t="s">
        <v>9248</v>
      </c>
    </row>
    <row r="99">
      <c r="A99" s="2" t="s">
        <v>9237</v>
      </c>
    </row>
    <row r="100">
      <c r="A100" s="2" t="s">
        <v>9233</v>
      </c>
    </row>
    <row r="101">
      <c r="A101" s="2" t="s">
        <v>9250</v>
      </c>
    </row>
    <row r="102">
      <c r="A102" s="2" t="s">
        <v>9245</v>
      </c>
    </row>
    <row r="103">
      <c r="A103" s="2" t="s">
        <v>9488</v>
      </c>
    </row>
    <row r="104">
      <c r="A104" s="2" t="s">
        <v>9494</v>
      </c>
    </row>
    <row r="105">
      <c r="A105" s="2" t="s">
        <v>9076</v>
      </c>
    </row>
    <row r="106">
      <c r="A106" s="2" t="s">
        <v>9285</v>
      </c>
    </row>
    <row r="107">
      <c r="A107" s="2" t="s">
        <v>9277</v>
      </c>
    </row>
    <row r="108">
      <c r="A108" s="2" t="s">
        <v>9283</v>
      </c>
    </row>
    <row r="109">
      <c r="A109" s="2" t="s">
        <v>9287</v>
      </c>
    </row>
    <row r="110">
      <c r="A110" s="2" t="s">
        <v>9281</v>
      </c>
    </row>
    <row r="111">
      <c r="A111" s="2" t="s">
        <v>9271</v>
      </c>
    </row>
    <row r="112">
      <c r="A112" s="2" t="s">
        <v>9275</v>
      </c>
    </row>
    <row r="113">
      <c r="A113" s="2" t="s">
        <v>9273</v>
      </c>
    </row>
    <row r="114">
      <c r="A114" s="2" t="s">
        <v>9279</v>
      </c>
    </row>
    <row r="115">
      <c r="A115" s="2" t="s">
        <v>9289</v>
      </c>
    </row>
    <row r="116">
      <c r="A116" s="2" t="s">
        <v>9012</v>
      </c>
    </row>
    <row r="117">
      <c r="A117" s="2" t="s">
        <v>9480</v>
      </c>
    </row>
    <row r="118">
      <c r="A118" s="2" t="s">
        <v>9472</v>
      </c>
    </row>
    <row r="119">
      <c r="A119" s="2" t="s">
        <v>9476</v>
      </c>
    </row>
    <row r="120">
      <c r="A120" s="2" t="s">
        <v>9462</v>
      </c>
    </row>
    <row r="121">
      <c r="A121" s="2" t="s">
        <v>9464</v>
      </c>
    </row>
    <row r="122">
      <c r="A122" s="2" t="s">
        <v>9468</v>
      </c>
    </row>
    <row r="123">
      <c r="A123" s="2" t="s">
        <v>9478</v>
      </c>
    </row>
    <row r="124">
      <c r="A124" s="2" t="s">
        <v>9474</v>
      </c>
    </row>
    <row r="125">
      <c r="A125" s="2" t="s">
        <v>9470</v>
      </c>
    </row>
    <row r="126">
      <c r="A126" s="2" t="s">
        <v>9466</v>
      </c>
    </row>
    <row r="127">
      <c r="A127" s="2" t="s">
        <v>9074</v>
      </c>
    </row>
    <row r="128">
      <c r="A128" s="2" t="s">
        <v>9348</v>
      </c>
    </row>
    <row r="129">
      <c r="A129" s="2" t="s">
        <v>9358</v>
      </c>
    </row>
    <row r="130">
      <c r="A130" s="2" t="s">
        <v>9354</v>
      </c>
    </row>
    <row r="131">
      <c r="A131" s="2" t="s">
        <v>9341</v>
      </c>
    </row>
    <row r="132">
      <c r="A132" s="2" t="s">
        <v>9360</v>
      </c>
    </row>
    <row r="133">
      <c r="A133" s="2" t="s">
        <v>9345</v>
      </c>
    </row>
    <row r="134">
      <c r="A134" s="2" t="s">
        <v>9356</v>
      </c>
    </row>
    <row r="135">
      <c r="A135" s="2" t="s">
        <v>9352</v>
      </c>
    </row>
    <row r="136">
      <c r="A136" s="2" t="s">
        <v>9362</v>
      </c>
    </row>
    <row r="137">
      <c r="A137" s="2" t="s">
        <v>9350</v>
      </c>
    </row>
    <row r="138">
      <c r="A138" s="2" t="s">
        <v>9038</v>
      </c>
    </row>
    <row r="139">
      <c r="A139" s="2" t="s">
        <v>9486</v>
      </c>
    </row>
    <row r="140">
      <c r="A140" s="2" t="s">
        <v>9490</v>
      </c>
    </row>
    <row r="141">
      <c r="A141" s="2" t="s">
        <v>9496</v>
      </c>
    </row>
    <row r="142">
      <c r="A142" s="2" t="s">
        <v>9498</v>
      </c>
    </row>
    <row r="143">
      <c r="A143" s="2" t="s">
        <v>9492</v>
      </c>
    </row>
    <row r="144">
      <c r="A144" s="2" t="s">
        <v>9482</v>
      </c>
    </row>
    <row r="145">
      <c r="A145" s="2" t="s">
        <v>9484</v>
      </c>
    </row>
    <row r="146">
      <c r="A146" s="2" t="s">
        <v>9500</v>
      </c>
    </row>
    <row r="147">
      <c r="A147" s="2" t="s">
        <v>9004</v>
      </c>
    </row>
    <row r="148">
      <c r="A148" s="2" t="s">
        <v>9105</v>
      </c>
    </row>
    <row r="149">
      <c r="A149" s="2" t="s">
        <v>9093</v>
      </c>
    </row>
    <row r="150">
      <c r="A150" s="2" t="s">
        <v>9515</v>
      </c>
    </row>
    <row r="151">
      <c r="A151" s="2" t="s">
        <v>9109</v>
      </c>
    </row>
    <row r="152">
      <c r="A152" s="2" t="s">
        <v>9113</v>
      </c>
    </row>
    <row r="153">
      <c r="A153" s="2" t="s">
        <v>9115</v>
      </c>
    </row>
    <row r="154">
      <c r="A154" s="2" t="s">
        <v>9117</v>
      </c>
    </row>
    <row r="155">
      <c r="A155" s="2" t="s">
        <v>9103</v>
      </c>
    </row>
    <row r="156">
      <c r="A156" s="2" t="s">
        <v>9101</v>
      </c>
    </row>
    <row r="157">
      <c r="A157" s="2" t="s">
        <v>9111</v>
      </c>
    </row>
    <row r="158">
      <c r="A158" s="2" t="s">
        <v>9084</v>
      </c>
    </row>
    <row r="159">
      <c r="A159" s="2" t="s">
        <v>9448</v>
      </c>
    </row>
    <row r="160">
      <c r="A160" s="2" t="s">
        <v>9441</v>
      </c>
    </row>
    <row r="161">
      <c r="A161" s="2" t="s">
        <v>9444</v>
      </c>
    </row>
    <row r="162">
      <c r="A162" s="2" t="s">
        <v>9439</v>
      </c>
    </row>
    <row r="163">
      <c r="A163" s="2" t="s">
        <v>9446</v>
      </c>
    </row>
    <row r="164">
      <c r="A164" s="2" t="s">
        <v>309</v>
      </c>
    </row>
    <row r="165">
      <c r="A165" s="2" t="s">
        <v>332</v>
      </c>
    </row>
    <row r="166">
      <c r="A166" s="2" t="s">
        <v>9263</v>
      </c>
    </row>
    <row r="167">
      <c r="A167" s="2" t="s">
        <v>9095</v>
      </c>
    </row>
    <row r="168">
      <c r="A168" s="2" t="s">
        <v>404</v>
      </c>
    </row>
    <row r="169">
      <c r="A169" s="2" t="s">
        <v>379</v>
      </c>
    </row>
    <row r="170">
      <c r="A170" s="2" t="s">
        <v>9022</v>
      </c>
    </row>
    <row r="171">
      <c r="A171" s="2" t="s">
        <v>10234</v>
      </c>
    </row>
    <row r="172">
      <c r="A172" s="2" t="s">
        <v>9307</v>
      </c>
    </row>
    <row r="173">
      <c r="A173" s="2" t="s">
        <v>9160</v>
      </c>
    </row>
    <row r="174">
      <c r="A174" s="2" t="s">
        <v>9304</v>
      </c>
    </row>
    <row r="175">
      <c r="A175" s="2" t="s">
        <v>319</v>
      </c>
    </row>
    <row r="176">
      <c r="A176" s="2" t="s">
        <v>9261</v>
      </c>
    </row>
    <row r="177">
      <c r="A177" s="2" t="s">
        <v>295</v>
      </c>
    </row>
    <row r="178">
      <c r="A178" s="2" t="s">
        <v>9265</v>
      </c>
    </row>
    <row r="179">
      <c r="A179" s="2" t="s">
        <v>9267</v>
      </c>
    </row>
    <row r="180">
      <c r="A180" s="2" t="s">
        <v>9460</v>
      </c>
    </row>
    <row r="181">
      <c r="A181" s="2" t="s">
        <v>9156</v>
      </c>
    </row>
    <row r="182">
      <c r="A182" s="2" t="s">
        <v>9513</v>
      </c>
    </row>
    <row r="183">
      <c r="A183" s="2" t="s">
        <v>9717</v>
      </c>
    </row>
    <row r="184">
      <c r="A184" s="2" t="s">
        <v>304</v>
      </c>
    </row>
    <row r="185">
      <c r="A185" s="2" t="s">
        <v>324</v>
      </c>
    </row>
    <row r="186">
      <c r="A186" s="2" t="s">
        <v>9046</v>
      </c>
    </row>
    <row r="187">
      <c r="A187" s="2" t="s">
        <v>301</v>
      </c>
    </row>
    <row r="188">
      <c r="A188" s="2" t="s">
        <v>9416</v>
      </c>
    </row>
    <row r="189">
      <c r="A189" s="2" t="s">
        <v>298</v>
      </c>
    </row>
    <row r="190">
      <c r="A190" s="2" t="s">
        <v>9412</v>
      </c>
    </row>
    <row r="191">
      <c r="A191" s="2" t="s">
        <v>9099</v>
      </c>
    </row>
    <row r="192">
      <c r="A192" s="2" t="s">
        <v>9082</v>
      </c>
    </row>
    <row r="193">
      <c r="A193" s="2" t="s">
        <v>12261</v>
      </c>
    </row>
    <row r="194">
      <c r="A194" s="2" t="s">
        <v>9144</v>
      </c>
    </row>
    <row r="195">
      <c r="A195" s="2" t="s">
        <v>291</v>
      </c>
    </row>
    <row r="196">
      <c r="A196" s="2" t="s">
        <v>9243</v>
      </c>
    </row>
    <row r="197">
      <c r="A197" s="2" t="s">
        <v>348</v>
      </c>
    </row>
    <row r="198">
      <c r="A198" s="2" t="s">
        <v>9138</v>
      </c>
    </row>
    <row r="199">
      <c r="A199" s="2" t="s">
        <v>9134</v>
      </c>
    </row>
    <row r="200">
      <c r="A200" s="2" t="s">
        <v>9698</v>
      </c>
    </row>
    <row r="201">
      <c r="A201" s="2" t="s">
        <v>366</v>
      </c>
    </row>
    <row r="202">
      <c r="A202" s="2" t="s">
        <v>9066</v>
      </c>
    </row>
    <row r="203">
      <c r="A203" s="2" t="s">
        <v>288</v>
      </c>
    </row>
    <row r="204">
      <c r="A204" s="2" t="s">
        <v>354</v>
      </c>
    </row>
    <row r="205">
      <c r="A205" s="2" t="s">
        <v>9129</v>
      </c>
    </row>
    <row r="206">
      <c r="A206" s="2" t="s">
        <v>9227</v>
      </c>
    </row>
    <row r="207">
      <c r="A207" s="2" t="s">
        <v>351</v>
      </c>
    </row>
    <row r="208">
      <c r="A208" s="2" t="s">
        <v>9223</v>
      </c>
    </row>
    <row r="209">
      <c r="A209" s="2" t="s">
        <v>9226</v>
      </c>
    </row>
    <row r="210">
      <c r="A210" s="2" t="s">
        <v>9347</v>
      </c>
    </row>
    <row r="211">
      <c r="A211" s="2" t="s">
        <v>9241</v>
      </c>
    </row>
    <row r="212">
      <c r="A212" s="2" t="s">
        <v>10986</v>
      </c>
    </row>
    <row r="213">
      <c r="A213" s="2" t="s">
        <v>9615</v>
      </c>
    </row>
    <row r="214">
      <c r="A214" s="2" t="s">
        <v>9136</v>
      </c>
    </row>
    <row r="215">
      <c r="A215" s="2" t="s">
        <v>9142</v>
      </c>
    </row>
    <row r="216">
      <c r="A216" s="2" t="s">
        <v>9020</v>
      </c>
    </row>
    <row r="217">
      <c r="A217" s="2" t="s">
        <v>9298</v>
      </c>
    </row>
    <row r="218">
      <c r="A218" s="2" t="s">
        <v>9421</v>
      </c>
    </row>
    <row r="219">
      <c r="A219" s="2" t="s">
        <v>9506</v>
      </c>
    </row>
    <row r="220">
      <c r="A220" s="2" t="s">
        <v>9509</v>
      </c>
    </row>
    <row r="221">
      <c r="A221" s="2" t="s">
        <v>9429</v>
      </c>
    </row>
    <row r="222">
      <c r="A222" s="2" t="s">
        <v>9426</v>
      </c>
    </row>
    <row r="223">
      <c r="A223" s="2" t="s">
        <v>329</v>
      </c>
    </row>
    <row r="224">
      <c r="A224" s="2" t="s">
        <v>9302</v>
      </c>
    </row>
    <row r="225">
      <c r="A225" s="2" t="s">
        <v>9293</v>
      </c>
    </row>
    <row r="226">
      <c r="A226" s="2" t="s">
        <v>9295</v>
      </c>
    </row>
    <row r="227">
      <c r="A227" s="2" t="s">
        <v>419</v>
      </c>
    </row>
    <row r="228">
      <c r="A228" s="2" t="s">
        <v>9224</v>
      </c>
    </row>
    <row r="229">
      <c r="A229" s="2" t="s">
        <v>9300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s>
  <drawing r:id="rId2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9.13"/>
    <col customWidth="1" min="2" max="4" width="59.13"/>
  </cols>
  <sheetData>
    <row r="1">
      <c r="A1" s="1" t="s">
        <v>13652</v>
      </c>
      <c r="B1" s="1" t="s">
        <v>13653</v>
      </c>
      <c r="C1" s="1" t="s">
        <v>560</v>
      </c>
      <c r="D1" s="1" t="s">
        <v>13654</v>
      </c>
    </row>
    <row r="2">
      <c r="A2" s="1" t="s">
        <v>13655</v>
      </c>
    </row>
    <row r="3">
      <c r="A3" s="1" t="s">
        <v>13656</v>
      </c>
    </row>
    <row r="4">
      <c r="A4" s="1" t="s">
        <v>13657</v>
      </c>
      <c r="B4" s="1" t="s">
        <v>13658</v>
      </c>
      <c r="C4" s="1" t="s">
        <v>13659</v>
      </c>
      <c r="D4" s="1" t="s">
        <v>13660</v>
      </c>
    </row>
    <row r="5">
      <c r="A5" s="1" t="s">
        <v>13661</v>
      </c>
      <c r="B5" s="1" t="s">
        <v>13658</v>
      </c>
      <c r="C5" s="1" t="s">
        <v>13662</v>
      </c>
      <c r="D5" s="1" t="s">
        <v>13663</v>
      </c>
    </row>
    <row r="6">
      <c r="A6" s="1" t="s">
        <v>13664</v>
      </c>
      <c r="B6" s="1" t="s">
        <v>13658</v>
      </c>
      <c r="C6" s="1" t="s">
        <v>13665</v>
      </c>
      <c r="D6" s="1" t="s">
        <v>13666</v>
      </c>
    </row>
    <row r="7">
      <c r="A7" s="1" t="s">
        <v>13667</v>
      </c>
      <c r="B7" s="1" t="s">
        <v>13658</v>
      </c>
      <c r="C7" s="1" t="s">
        <v>13668</v>
      </c>
      <c r="D7" s="1" t="s">
        <v>13669</v>
      </c>
    </row>
    <row r="8">
      <c r="A8" s="1" t="s">
        <v>13670</v>
      </c>
      <c r="B8" s="1" t="s">
        <v>13658</v>
      </c>
      <c r="C8" s="1" t="s">
        <v>13671</v>
      </c>
      <c r="D8" s="1" t="s">
        <v>13672</v>
      </c>
    </row>
    <row r="9">
      <c r="A9" s="1" t="s">
        <v>13673</v>
      </c>
      <c r="B9" s="1" t="s">
        <v>13658</v>
      </c>
      <c r="C9" s="1" t="s">
        <v>13674</v>
      </c>
      <c r="D9" s="1" t="s">
        <v>13675</v>
      </c>
    </row>
    <row r="10">
      <c r="A10" s="1" t="s">
        <v>13676</v>
      </c>
      <c r="B10" s="1" t="s">
        <v>13658</v>
      </c>
      <c r="C10" s="1" t="s">
        <v>13677</v>
      </c>
      <c r="D10" s="1" t="s">
        <v>13678</v>
      </c>
    </row>
    <row r="11">
      <c r="A11" s="1" t="s">
        <v>13679</v>
      </c>
      <c r="B11" s="1" t="s">
        <v>13658</v>
      </c>
      <c r="C11" s="1" t="s">
        <v>13680</v>
      </c>
      <c r="D11" s="1" t="s">
        <v>13681</v>
      </c>
    </row>
    <row r="12">
      <c r="A12" s="1" t="s">
        <v>13682</v>
      </c>
      <c r="B12" s="1" t="s">
        <v>13658</v>
      </c>
      <c r="C12" s="1" t="s">
        <v>13683</v>
      </c>
      <c r="D12" s="1" t="s">
        <v>13681</v>
      </c>
    </row>
    <row r="13">
      <c r="A13" s="1" t="s">
        <v>13684</v>
      </c>
      <c r="B13" s="1" t="s">
        <v>13685</v>
      </c>
      <c r="C13" s="1" t="s">
        <v>13686</v>
      </c>
      <c r="D13" s="1" t="s">
        <v>13681</v>
      </c>
    </row>
    <row r="14">
      <c r="A14" s="1" t="s">
        <v>13687</v>
      </c>
      <c r="B14" s="1" t="s">
        <v>13685</v>
      </c>
      <c r="C14" s="1" t="s">
        <v>13688</v>
      </c>
      <c r="D14" s="1" t="s">
        <v>13681</v>
      </c>
    </row>
    <row r="15">
      <c r="A15" s="1" t="s">
        <v>13689</v>
      </c>
      <c r="B15" s="1" t="s">
        <v>13685</v>
      </c>
      <c r="C15" s="1" t="s">
        <v>13690</v>
      </c>
      <c r="D15" s="1" t="s">
        <v>13681</v>
      </c>
    </row>
    <row r="16">
      <c r="A16" s="1" t="s">
        <v>13691</v>
      </c>
      <c r="B16" s="1" t="s">
        <v>13685</v>
      </c>
      <c r="C16" s="1" t="s">
        <v>13692</v>
      </c>
      <c r="D16" s="1" t="s">
        <v>13681</v>
      </c>
    </row>
    <row r="17">
      <c r="A17" s="1" t="s">
        <v>13693</v>
      </c>
      <c r="B17" s="1" t="s">
        <v>13685</v>
      </c>
      <c r="C17" s="1" t="s">
        <v>13694</v>
      </c>
      <c r="D17" s="1" t="s">
        <v>13681</v>
      </c>
    </row>
    <row r="18">
      <c r="A18" s="1" t="s">
        <v>13695</v>
      </c>
      <c r="B18" s="1" t="s">
        <v>13685</v>
      </c>
      <c r="C18" s="1" t="s">
        <v>13696</v>
      </c>
      <c r="D18" s="1" t="s">
        <v>13681</v>
      </c>
    </row>
    <row r="19">
      <c r="A19" s="1" t="s">
        <v>13697</v>
      </c>
      <c r="B19" s="1" t="s">
        <v>13685</v>
      </c>
      <c r="C19" s="1" t="s">
        <v>13698</v>
      </c>
      <c r="D19" s="1" t="s">
        <v>13681</v>
      </c>
    </row>
    <row r="20">
      <c r="A20" s="1" t="s">
        <v>13699</v>
      </c>
      <c r="B20" s="1" t="s">
        <v>13685</v>
      </c>
      <c r="C20" s="1" t="s">
        <v>13700</v>
      </c>
      <c r="D20" s="1" t="s">
        <v>13681</v>
      </c>
    </row>
    <row r="21">
      <c r="A21" s="1" t="s">
        <v>13701</v>
      </c>
      <c r="B21" s="1" t="s">
        <v>13685</v>
      </c>
      <c r="C21" s="1" t="s">
        <v>13702</v>
      </c>
      <c r="D21" s="1" t="s">
        <v>13681</v>
      </c>
    </row>
    <row r="22">
      <c r="A22" s="1" t="s">
        <v>13703</v>
      </c>
      <c r="B22" s="1" t="s">
        <v>13685</v>
      </c>
      <c r="C22" s="1" t="s">
        <v>13704</v>
      </c>
      <c r="D22" s="1" t="s">
        <v>13681</v>
      </c>
    </row>
    <row r="23">
      <c r="A23" s="1" t="s">
        <v>13705</v>
      </c>
      <c r="B23" s="1" t="s">
        <v>13685</v>
      </c>
      <c r="C23" s="1" t="s">
        <v>13706</v>
      </c>
      <c r="D23" s="1" t="s">
        <v>13681</v>
      </c>
    </row>
    <row r="24">
      <c r="A24" s="1" t="s">
        <v>13707</v>
      </c>
      <c r="B24" s="1" t="s">
        <v>13685</v>
      </c>
      <c r="C24" s="1" t="s">
        <v>13708</v>
      </c>
      <c r="D24" s="1" t="s">
        <v>13681</v>
      </c>
    </row>
    <row r="25">
      <c r="A25" s="1" t="s">
        <v>13709</v>
      </c>
      <c r="B25" s="1" t="s">
        <v>13685</v>
      </c>
      <c r="C25" s="1" t="s">
        <v>13710</v>
      </c>
      <c r="D25" s="1" t="s">
        <v>13681</v>
      </c>
    </row>
    <row r="26">
      <c r="A26" s="1" t="s">
        <v>13711</v>
      </c>
      <c r="B26" s="1" t="s">
        <v>13685</v>
      </c>
      <c r="C26" s="1" t="s">
        <v>13712</v>
      </c>
      <c r="D26" s="1" t="s">
        <v>13681</v>
      </c>
    </row>
    <row r="27">
      <c r="A27" s="1" t="s">
        <v>13713</v>
      </c>
      <c r="B27" s="1" t="s">
        <v>13685</v>
      </c>
      <c r="C27" s="1" t="s">
        <v>13714</v>
      </c>
      <c r="D27" s="1" t="s">
        <v>13681</v>
      </c>
    </row>
    <row r="28">
      <c r="A28" s="1" t="s">
        <v>13715</v>
      </c>
      <c r="B28" s="1" t="s">
        <v>13685</v>
      </c>
      <c r="C28" s="1" t="s">
        <v>13716</v>
      </c>
      <c r="D28" s="1" t="s">
        <v>13681</v>
      </c>
    </row>
    <row r="29">
      <c r="A29" s="1" t="s">
        <v>13717</v>
      </c>
      <c r="B29" s="1" t="s">
        <v>13685</v>
      </c>
      <c r="C29" s="1" t="s">
        <v>13718</v>
      </c>
      <c r="D29" s="1" t="s">
        <v>13681</v>
      </c>
    </row>
    <row r="30">
      <c r="A30" s="1" t="s">
        <v>13719</v>
      </c>
      <c r="B30" s="1" t="s">
        <v>13720</v>
      </c>
      <c r="C30" s="1" t="s">
        <v>13721</v>
      </c>
      <c r="D30" s="1" t="s">
        <v>13722</v>
      </c>
    </row>
    <row r="31">
      <c r="A31" s="1" t="s">
        <v>13723</v>
      </c>
      <c r="B31" s="1" t="s">
        <v>13720</v>
      </c>
      <c r="C31" s="1" t="s">
        <v>13724</v>
      </c>
      <c r="D31" s="1" t="s">
        <v>13722</v>
      </c>
    </row>
    <row r="32">
      <c r="A32" s="1" t="s">
        <v>13725</v>
      </c>
      <c r="B32" s="1" t="s">
        <v>13720</v>
      </c>
      <c r="C32" s="1" t="s">
        <v>13726</v>
      </c>
      <c r="D32" s="1" t="s">
        <v>13722</v>
      </c>
    </row>
    <row r="33">
      <c r="A33" s="1" t="s">
        <v>13727</v>
      </c>
      <c r="B33" s="1" t="s">
        <v>13720</v>
      </c>
      <c r="C33" s="1" t="s">
        <v>13728</v>
      </c>
      <c r="D33" s="1" t="s">
        <v>13722</v>
      </c>
    </row>
    <row r="34">
      <c r="A34" s="1" t="s">
        <v>13729</v>
      </c>
      <c r="B34" s="1" t="s">
        <v>13720</v>
      </c>
      <c r="C34" s="1" t="s">
        <v>13730</v>
      </c>
      <c r="D34" s="1" t="s">
        <v>13722</v>
      </c>
    </row>
    <row r="35">
      <c r="A35" s="1" t="s">
        <v>13731</v>
      </c>
      <c r="B35" s="1" t="s">
        <v>13720</v>
      </c>
      <c r="C35" s="1" t="s">
        <v>13732</v>
      </c>
      <c r="D35" s="1" t="s">
        <v>13722</v>
      </c>
    </row>
    <row r="36">
      <c r="A36" s="1" t="s">
        <v>13733</v>
      </c>
      <c r="B36" s="1" t="s">
        <v>13720</v>
      </c>
      <c r="C36" s="1" t="s">
        <v>13734</v>
      </c>
      <c r="D36" s="1" t="s">
        <v>13722</v>
      </c>
    </row>
    <row r="37">
      <c r="A37" s="1" t="s">
        <v>13735</v>
      </c>
      <c r="B37" s="1" t="s">
        <v>13720</v>
      </c>
      <c r="C37" s="1" t="s">
        <v>13736</v>
      </c>
      <c r="D37" s="1" t="s">
        <v>13722</v>
      </c>
    </row>
    <row r="38">
      <c r="A38" s="1" t="s">
        <v>13737</v>
      </c>
      <c r="B38" s="1" t="s">
        <v>13720</v>
      </c>
      <c r="C38" s="1" t="s">
        <v>13738</v>
      </c>
      <c r="D38" s="1" t="s">
        <v>13722</v>
      </c>
    </row>
    <row r="39">
      <c r="A39" s="1" t="s">
        <v>13739</v>
      </c>
      <c r="B39" s="1" t="s">
        <v>13720</v>
      </c>
      <c r="C39" s="1" t="s">
        <v>13740</v>
      </c>
      <c r="D39" s="1" t="s">
        <v>13722</v>
      </c>
    </row>
    <row r="40">
      <c r="A40" s="1" t="s">
        <v>13741</v>
      </c>
      <c r="B40" s="1" t="s">
        <v>13720</v>
      </c>
      <c r="C40" s="1" t="s">
        <v>13742</v>
      </c>
      <c r="D40" s="1" t="s">
        <v>13722</v>
      </c>
    </row>
    <row r="41">
      <c r="A41" s="1" t="s">
        <v>13743</v>
      </c>
      <c r="B41" s="1" t="s">
        <v>13720</v>
      </c>
      <c r="C41" s="1" t="s">
        <v>13744</v>
      </c>
      <c r="D41" s="1" t="s">
        <v>13722</v>
      </c>
    </row>
    <row r="42">
      <c r="A42" s="1" t="s">
        <v>13745</v>
      </c>
      <c r="B42" s="1" t="s">
        <v>13720</v>
      </c>
      <c r="C42" s="1" t="s">
        <v>13746</v>
      </c>
      <c r="D42" s="1" t="s">
        <v>13722</v>
      </c>
    </row>
    <row r="43">
      <c r="A43" s="1" t="s">
        <v>13747</v>
      </c>
      <c r="B43" s="1" t="s">
        <v>13720</v>
      </c>
      <c r="C43" s="1" t="s">
        <v>13748</v>
      </c>
      <c r="D43" s="1" t="s">
        <v>13722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63"/>
    <col customWidth="1" min="7" max="7" width="32.5"/>
    <col customWidth="1" min="8" max="8" width="55.13"/>
  </cols>
  <sheetData>
    <row r="1">
      <c r="A1" s="1" t="s">
        <v>229</v>
      </c>
      <c r="B1" s="1" t="s">
        <v>230</v>
      </c>
      <c r="C1" s="1" t="s">
        <v>231</v>
      </c>
      <c r="D1" s="1" t="s">
        <v>232</v>
      </c>
      <c r="E1" s="1" t="s">
        <v>233</v>
      </c>
      <c r="F1" s="1" t="s">
        <v>234</v>
      </c>
      <c r="G1" s="1" t="s">
        <v>235</v>
      </c>
      <c r="H1" s="1" t="s">
        <v>236</v>
      </c>
      <c r="I1" s="1" t="s">
        <v>237</v>
      </c>
    </row>
    <row r="2">
      <c r="A2" s="1">
        <v>1.0</v>
      </c>
      <c r="B2" s="1" t="s">
        <v>13749</v>
      </c>
      <c r="C2" s="1" t="s">
        <v>13750</v>
      </c>
      <c r="D2" s="1" t="s">
        <v>13751</v>
      </c>
      <c r="E2" s="1" t="s">
        <v>13752</v>
      </c>
      <c r="F2" s="1" t="s">
        <v>13753</v>
      </c>
      <c r="G2" s="1" t="s">
        <v>13754</v>
      </c>
      <c r="H2" s="1" t="s">
        <v>13755</v>
      </c>
      <c r="I2" s="2" t="s">
        <v>8981</v>
      </c>
    </row>
    <row r="3">
      <c r="A3" s="1">
        <v>2.0</v>
      </c>
      <c r="B3" s="1" t="s">
        <v>13749</v>
      </c>
      <c r="C3" s="1" t="s">
        <v>13750</v>
      </c>
      <c r="D3" s="1" t="s">
        <v>13751</v>
      </c>
      <c r="E3" s="1" t="s">
        <v>437</v>
      </c>
      <c r="F3" s="1" t="s">
        <v>13756</v>
      </c>
      <c r="G3" s="1" t="s">
        <v>13757</v>
      </c>
      <c r="H3" s="1" t="s">
        <v>13758</v>
      </c>
      <c r="I3" s="2" t="s">
        <v>247</v>
      </c>
    </row>
    <row r="4">
      <c r="A4" s="1">
        <v>3.0</v>
      </c>
      <c r="B4" s="1" t="s">
        <v>13759</v>
      </c>
      <c r="C4" s="1" t="s">
        <v>13750</v>
      </c>
      <c r="D4" s="1" t="s">
        <v>13760</v>
      </c>
      <c r="E4" s="1" t="s">
        <v>445</v>
      </c>
      <c r="F4" s="1" t="s">
        <v>13761</v>
      </c>
      <c r="G4" s="1" t="s">
        <v>13762</v>
      </c>
      <c r="H4" s="1" t="s">
        <v>13763</v>
      </c>
      <c r="I4" s="2" t="s">
        <v>261</v>
      </c>
    </row>
    <row r="5">
      <c r="A5" s="1">
        <v>4.0</v>
      </c>
      <c r="B5" s="1" t="s">
        <v>13759</v>
      </c>
      <c r="C5" s="1" t="s">
        <v>13750</v>
      </c>
      <c r="D5" s="1" t="s">
        <v>13760</v>
      </c>
      <c r="E5" s="1" t="s">
        <v>449</v>
      </c>
      <c r="F5" s="1" t="s">
        <v>13764</v>
      </c>
      <c r="G5" s="1" t="s">
        <v>13765</v>
      </c>
      <c r="H5" s="1" t="s">
        <v>13766</v>
      </c>
      <c r="I5" s="2" t="s">
        <v>265</v>
      </c>
    </row>
    <row r="6">
      <c r="A6" s="1">
        <v>5.0</v>
      </c>
      <c r="B6" s="1" t="s">
        <v>13759</v>
      </c>
      <c r="C6" s="1" t="s">
        <v>13750</v>
      </c>
      <c r="D6" s="1" t="s">
        <v>13760</v>
      </c>
      <c r="E6" s="1" t="s">
        <v>453</v>
      </c>
      <c r="F6" s="1" t="s">
        <v>13767</v>
      </c>
      <c r="G6" s="1" t="s">
        <v>13768</v>
      </c>
      <c r="H6" s="1" t="s">
        <v>13769</v>
      </c>
      <c r="I6" s="2" t="s">
        <v>268</v>
      </c>
    </row>
    <row r="7">
      <c r="A7" s="1">
        <v>6.0</v>
      </c>
      <c r="B7" s="1" t="s">
        <v>13759</v>
      </c>
      <c r="C7" s="1" t="s">
        <v>13750</v>
      </c>
      <c r="D7" s="1" t="s">
        <v>13760</v>
      </c>
      <c r="E7" s="1" t="s">
        <v>13770</v>
      </c>
      <c r="F7" s="1" t="s">
        <v>13771</v>
      </c>
      <c r="G7" s="1" t="s">
        <v>13772</v>
      </c>
      <c r="H7" s="1" t="s">
        <v>13773</v>
      </c>
      <c r="I7" s="2" t="s">
        <v>271</v>
      </c>
    </row>
    <row r="8">
      <c r="A8" s="1">
        <v>7.0</v>
      </c>
      <c r="B8" s="1" t="s">
        <v>13759</v>
      </c>
      <c r="C8" s="1" t="s">
        <v>13750</v>
      </c>
      <c r="D8" s="1" t="s">
        <v>13760</v>
      </c>
      <c r="E8" s="1" t="s">
        <v>461</v>
      </c>
      <c r="F8" s="1" t="s">
        <v>13774</v>
      </c>
      <c r="G8" s="1" t="s">
        <v>13775</v>
      </c>
      <c r="H8" s="1" t="s">
        <v>13776</v>
      </c>
      <c r="I8" s="2" t="s">
        <v>275</v>
      </c>
    </row>
    <row r="9">
      <c r="A9" s="1">
        <v>8.0</v>
      </c>
      <c r="B9" s="1" t="s">
        <v>13759</v>
      </c>
      <c r="C9" s="1" t="s">
        <v>13750</v>
      </c>
      <c r="D9" s="1" t="s">
        <v>13760</v>
      </c>
      <c r="E9" s="1" t="s">
        <v>465</v>
      </c>
      <c r="F9" s="1" t="s">
        <v>13777</v>
      </c>
      <c r="G9" s="1" t="s">
        <v>13778</v>
      </c>
      <c r="H9" s="1" t="s">
        <v>13779</v>
      </c>
      <c r="I9" s="2" t="s">
        <v>278</v>
      </c>
    </row>
    <row r="10">
      <c r="A10" s="1">
        <v>9.0</v>
      </c>
      <c r="B10" s="1" t="s">
        <v>13759</v>
      </c>
      <c r="C10" s="1" t="s">
        <v>13750</v>
      </c>
      <c r="D10" s="1" t="s">
        <v>13760</v>
      </c>
      <c r="E10" s="1" t="s">
        <v>13780</v>
      </c>
      <c r="F10" s="1" t="s">
        <v>13781</v>
      </c>
      <c r="G10" s="1" t="s">
        <v>13782</v>
      </c>
      <c r="H10" s="1" t="s">
        <v>13783</v>
      </c>
      <c r="I10" s="2" t="s">
        <v>282</v>
      </c>
    </row>
    <row r="11">
      <c r="A11" s="1">
        <v>10.0</v>
      </c>
      <c r="B11" s="1" t="s">
        <v>13759</v>
      </c>
      <c r="C11" s="1" t="s">
        <v>13750</v>
      </c>
      <c r="D11" s="1" t="s">
        <v>13784</v>
      </c>
      <c r="E11" s="1" t="s">
        <v>469</v>
      </c>
      <c r="F11" s="1" t="s">
        <v>13785</v>
      </c>
      <c r="G11" s="1" t="s">
        <v>13786</v>
      </c>
      <c r="H11" s="1" t="s">
        <v>13787</v>
      </c>
      <c r="I11" s="2" t="s">
        <v>288</v>
      </c>
    </row>
    <row r="12">
      <c r="A12" s="1">
        <v>11.0</v>
      </c>
      <c r="B12" s="1" t="s">
        <v>13759</v>
      </c>
      <c r="C12" s="1" t="s">
        <v>13750</v>
      </c>
      <c r="D12" s="1" t="s">
        <v>13784</v>
      </c>
      <c r="E12" s="1" t="s">
        <v>473</v>
      </c>
      <c r="F12" s="1" t="s">
        <v>13788</v>
      </c>
      <c r="G12" s="1" t="s">
        <v>13789</v>
      </c>
      <c r="H12" s="1" t="s">
        <v>13790</v>
      </c>
      <c r="I12" s="2" t="s">
        <v>291</v>
      </c>
    </row>
    <row r="13">
      <c r="A13" s="1">
        <v>12.0</v>
      </c>
      <c r="B13" s="1" t="s">
        <v>13759</v>
      </c>
      <c r="C13" s="1" t="s">
        <v>13750</v>
      </c>
      <c r="D13" s="1" t="s">
        <v>13784</v>
      </c>
      <c r="E13" s="1" t="s">
        <v>13791</v>
      </c>
      <c r="F13" s="1" t="s">
        <v>13792</v>
      </c>
      <c r="G13" s="1" t="s">
        <v>13793</v>
      </c>
      <c r="H13" s="1" t="s">
        <v>13794</v>
      </c>
      <c r="I13" s="2" t="s">
        <v>351</v>
      </c>
    </row>
    <row r="14">
      <c r="A14" s="1">
        <v>13.0</v>
      </c>
      <c r="B14" s="1" t="s">
        <v>13759</v>
      </c>
      <c r="C14" s="1" t="s">
        <v>13750</v>
      </c>
      <c r="D14" s="1" t="s">
        <v>13784</v>
      </c>
      <c r="E14" s="1" t="s">
        <v>13795</v>
      </c>
      <c r="F14" s="1" t="s">
        <v>13796</v>
      </c>
      <c r="G14" s="1" t="s">
        <v>13797</v>
      </c>
      <c r="H14" s="1" t="s">
        <v>13798</v>
      </c>
      <c r="I14" s="2" t="s">
        <v>354</v>
      </c>
    </row>
    <row r="15">
      <c r="A15" s="1">
        <v>14.0</v>
      </c>
      <c r="B15" s="1" t="s">
        <v>13759</v>
      </c>
      <c r="C15" s="1" t="s">
        <v>13750</v>
      </c>
      <c r="D15" s="1" t="s">
        <v>13784</v>
      </c>
      <c r="E15" s="1" t="s">
        <v>13799</v>
      </c>
      <c r="F15" s="1" t="s">
        <v>13800</v>
      </c>
      <c r="G15" s="1" t="s">
        <v>13801</v>
      </c>
      <c r="H15" s="1" t="s">
        <v>13802</v>
      </c>
      <c r="I15" s="2" t="s">
        <v>348</v>
      </c>
    </row>
    <row r="16">
      <c r="A16" s="1">
        <v>15.0</v>
      </c>
      <c r="B16" s="1" t="s">
        <v>13759</v>
      </c>
      <c r="C16" s="1" t="s">
        <v>13750</v>
      </c>
      <c r="D16" s="1" t="s">
        <v>13784</v>
      </c>
      <c r="E16" s="1" t="s">
        <v>13803</v>
      </c>
      <c r="F16" s="1" t="s">
        <v>13804</v>
      </c>
      <c r="G16" s="1" t="s">
        <v>13805</v>
      </c>
      <c r="H16" s="1" t="s">
        <v>13806</v>
      </c>
      <c r="I16" s="2" t="s">
        <v>9138</v>
      </c>
    </row>
    <row r="17">
      <c r="A17" s="1">
        <v>16.0</v>
      </c>
      <c r="B17" s="1" t="s">
        <v>13759</v>
      </c>
      <c r="C17" s="1" t="s">
        <v>13750</v>
      </c>
      <c r="D17" s="1" t="s">
        <v>13784</v>
      </c>
      <c r="E17" s="1" t="s">
        <v>13807</v>
      </c>
      <c r="F17" s="1" t="s">
        <v>13808</v>
      </c>
      <c r="G17" s="1" t="s">
        <v>13809</v>
      </c>
      <c r="H17" s="1" t="s">
        <v>13810</v>
      </c>
      <c r="I17" s="2" t="s">
        <v>9223</v>
      </c>
    </row>
    <row r="18">
      <c r="A18" s="1">
        <v>17.0</v>
      </c>
      <c r="B18" s="1" t="s">
        <v>13759</v>
      </c>
      <c r="C18" s="1" t="s">
        <v>13750</v>
      </c>
      <c r="D18" s="1" t="s">
        <v>13784</v>
      </c>
      <c r="E18" s="1" t="s">
        <v>13811</v>
      </c>
      <c r="F18" s="1" t="s">
        <v>13812</v>
      </c>
      <c r="G18" s="1" t="s">
        <v>13813</v>
      </c>
      <c r="H18" s="1" t="s">
        <v>13814</v>
      </c>
      <c r="I18" s="2" t="s">
        <v>9226</v>
      </c>
    </row>
    <row r="19">
      <c r="A19" s="1">
        <v>18.0</v>
      </c>
      <c r="B19" s="1" t="s">
        <v>13759</v>
      </c>
      <c r="C19" s="1" t="s">
        <v>13750</v>
      </c>
      <c r="D19" s="1" t="s">
        <v>13784</v>
      </c>
      <c r="E19" s="1" t="s">
        <v>13815</v>
      </c>
      <c r="F19" s="1" t="s">
        <v>13816</v>
      </c>
      <c r="G19" s="1" t="s">
        <v>13817</v>
      </c>
      <c r="H19" s="1" t="s">
        <v>13818</v>
      </c>
      <c r="I19" s="2" t="s">
        <v>9241</v>
      </c>
    </row>
    <row r="20">
      <c r="A20" s="1">
        <v>19.0</v>
      </c>
      <c r="B20" s="1" t="s">
        <v>13759</v>
      </c>
      <c r="C20" s="1" t="s">
        <v>13750</v>
      </c>
      <c r="D20" s="1" t="s">
        <v>13784</v>
      </c>
      <c r="E20" s="1" t="s">
        <v>13819</v>
      </c>
      <c r="F20" s="1" t="s">
        <v>13820</v>
      </c>
      <c r="G20" s="1" t="s">
        <v>13821</v>
      </c>
      <c r="H20" s="1" t="s">
        <v>13822</v>
      </c>
      <c r="I20" s="2" t="s">
        <v>9082</v>
      </c>
    </row>
    <row r="21">
      <c r="A21" s="1">
        <v>20.0</v>
      </c>
      <c r="B21" s="1" t="s">
        <v>13759</v>
      </c>
      <c r="C21" s="1" t="s">
        <v>13750</v>
      </c>
      <c r="D21" s="1" t="s">
        <v>13784</v>
      </c>
      <c r="E21" s="1" t="s">
        <v>13823</v>
      </c>
      <c r="F21" s="1" t="s">
        <v>13824</v>
      </c>
      <c r="G21" s="1" t="s">
        <v>13825</v>
      </c>
      <c r="H21" s="1" t="s">
        <v>13826</v>
      </c>
      <c r="I21" s="2" t="s">
        <v>9066</v>
      </c>
    </row>
    <row r="22">
      <c r="A22" s="1">
        <v>21.0</v>
      </c>
      <c r="B22" s="1" t="s">
        <v>13759</v>
      </c>
      <c r="C22" s="1" t="s">
        <v>13750</v>
      </c>
      <c r="D22" s="1" t="s">
        <v>13784</v>
      </c>
      <c r="E22" s="1" t="s">
        <v>13827</v>
      </c>
      <c r="F22" s="1" t="s">
        <v>13828</v>
      </c>
      <c r="G22" s="1" t="s">
        <v>13829</v>
      </c>
      <c r="H22" s="1" t="s">
        <v>13830</v>
      </c>
      <c r="I22" s="2" t="s">
        <v>9129</v>
      </c>
    </row>
    <row r="23">
      <c r="A23" s="1">
        <v>22.0</v>
      </c>
      <c r="B23" s="1" t="s">
        <v>13759</v>
      </c>
      <c r="C23" s="1" t="s">
        <v>13750</v>
      </c>
      <c r="D23" s="1" t="s">
        <v>13784</v>
      </c>
      <c r="E23" s="1" t="s">
        <v>13831</v>
      </c>
      <c r="F23" s="1" t="s">
        <v>13832</v>
      </c>
      <c r="G23" s="1" t="s">
        <v>13833</v>
      </c>
      <c r="H23" s="1" t="s">
        <v>13834</v>
      </c>
      <c r="I23" s="2" t="s">
        <v>9134</v>
      </c>
    </row>
    <row r="24">
      <c r="A24" s="1">
        <v>23.0</v>
      </c>
      <c r="B24" s="1" t="s">
        <v>13759</v>
      </c>
      <c r="C24" s="1" t="s">
        <v>13750</v>
      </c>
      <c r="D24" s="1" t="s">
        <v>13784</v>
      </c>
      <c r="E24" s="1" t="s">
        <v>13835</v>
      </c>
      <c r="F24" s="1" t="s">
        <v>13836</v>
      </c>
      <c r="G24" s="1" t="s">
        <v>13837</v>
      </c>
      <c r="H24" s="1" t="s">
        <v>13838</v>
      </c>
      <c r="I24" s="2" t="s">
        <v>9243</v>
      </c>
    </row>
    <row r="25">
      <c r="A25" s="1">
        <v>24.0</v>
      </c>
      <c r="B25" s="1" t="s">
        <v>13759</v>
      </c>
      <c r="C25" s="1" t="s">
        <v>13750</v>
      </c>
      <c r="D25" s="1" t="s">
        <v>13784</v>
      </c>
      <c r="E25" s="1" t="s">
        <v>13839</v>
      </c>
      <c r="F25" s="1" t="s">
        <v>13840</v>
      </c>
      <c r="G25" s="1" t="s">
        <v>13841</v>
      </c>
      <c r="H25" s="1" t="s">
        <v>13842</v>
      </c>
      <c r="I25" s="2" t="s">
        <v>366</v>
      </c>
    </row>
    <row r="26">
      <c r="A26" s="1">
        <v>25.0</v>
      </c>
      <c r="B26" s="1" t="s">
        <v>13759</v>
      </c>
      <c r="C26" s="1" t="s">
        <v>13750</v>
      </c>
      <c r="D26" s="1" t="s">
        <v>13784</v>
      </c>
      <c r="E26" s="1" t="s">
        <v>13843</v>
      </c>
      <c r="F26" s="1" t="s">
        <v>13844</v>
      </c>
      <c r="G26" s="1" t="s">
        <v>13845</v>
      </c>
      <c r="H26" s="1" t="s">
        <v>13846</v>
      </c>
      <c r="I26" s="2" t="s">
        <v>9698</v>
      </c>
    </row>
    <row r="27">
      <c r="A27" s="1">
        <v>26.0</v>
      </c>
      <c r="B27" s="1" t="s">
        <v>13759</v>
      </c>
      <c r="C27" s="1" t="s">
        <v>13750</v>
      </c>
      <c r="D27" s="1" t="s">
        <v>13784</v>
      </c>
      <c r="E27" s="1" t="s">
        <v>13847</v>
      </c>
      <c r="F27" s="1" t="s">
        <v>13848</v>
      </c>
      <c r="G27" s="1" t="s">
        <v>13849</v>
      </c>
      <c r="H27" s="1" t="s">
        <v>13850</v>
      </c>
      <c r="I27" s="2" t="s">
        <v>12261</v>
      </c>
    </row>
    <row r="28">
      <c r="A28" s="1">
        <v>27.0</v>
      </c>
      <c r="B28" s="1" t="s">
        <v>13759</v>
      </c>
      <c r="C28" s="1" t="s">
        <v>13750</v>
      </c>
      <c r="D28" s="1" t="s">
        <v>13784</v>
      </c>
      <c r="E28" s="1" t="s">
        <v>13851</v>
      </c>
      <c r="F28" s="1" t="s">
        <v>13852</v>
      </c>
      <c r="G28" s="1" t="s">
        <v>13853</v>
      </c>
      <c r="H28" s="1" t="s">
        <v>13854</v>
      </c>
      <c r="I28" s="2" t="s">
        <v>9227</v>
      </c>
    </row>
    <row r="29">
      <c r="A29" s="1">
        <v>28.0</v>
      </c>
      <c r="B29" s="1" t="s">
        <v>13759</v>
      </c>
      <c r="C29" s="1" t="s">
        <v>13750</v>
      </c>
      <c r="D29" s="1" t="s">
        <v>13784</v>
      </c>
      <c r="E29" s="1" t="s">
        <v>13855</v>
      </c>
      <c r="F29" s="1" t="s">
        <v>13856</v>
      </c>
      <c r="G29" s="1" t="s">
        <v>13857</v>
      </c>
      <c r="H29" s="1" t="s">
        <v>13858</v>
      </c>
      <c r="I29" s="2" t="s">
        <v>9347</v>
      </c>
    </row>
    <row r="30">
      <c r="A30" s="1">
        <v>29.0</v>
      </c>
      <c r="B30" s="1" t="s">
        <v>13759</v>
      </c>
      <c r="C30" s="1" t="s">
        <v>13750</v>
      </c>
      <c r="D30" s="1" t="s">
        <v>13784</v>
      </c>
      <c r="E30" s="1" t="s">
        <v>13859</v>
      </c>
      <c r="F30" s="1" t="s">
        <v>13860</v>
      </c>
      <c r="G30" s="1" t="s">
        <v>13861</v>
      </c>
      <c r="H30" s="1" t="s">
        <v>13862</v>
      </c>
      <c r="I30" s="2" t="s">
        <v>10986</v>
      </c>
    </row>
    <row r="31">
      <c r="A31" s="1">
        <v>30.0</v>
      </c>
      <c r="B31" s="1" t="s">
        <v>13759</v>
      </c>
      <c r="C31" s="1" t="s">
        <v>13750</v>
      </c>
      <c r="D31" s="1" t="s">
        <v>13784</v>
      </c>
      <c r="E31" s="1" t="s">
        <v>13863</v>
      </c>
      <c r="F31" s="1" t="s">
        <v>13864</v>
      </c>
      <c r="G31" s="1" t="s">
        <v>13865</v>
      </c>
      <c r="H31" s="1" t="s">
        <v>13866</v>
      </c>
      <c r="I31" s="2" t="s">
        <v>9615</v>
      </c>
    </row>
    <row r="32">
      <c r="A32" s="1">
        <v>31.0</v>
      </c>
      <c r="B32" s="1" t="s">
        <v>13759</v>
      </c>
      <c r="C32" s="1" t="s">
        <v>13750</v>
      </c>
      <c r="D32" s="1" t="s">
        <v>13784</v>
      </c>
      <c r="E32" s="1" t="s">
        <v>13867</v>
      </c>
      <c r="F32" s="1" t="s">
        <v>13868</v>
      </c>
      <c r="G32" s="1" t="s">
        <v>13869</v>
      </c>
      <c r="H32" s="1" t="s">
        <v>13870</v>
      </c>
      <c r="I32" s="2" t="s">
        <v>9136</v>
      </c>
    </row>
    <row r="33">
      <c r="A33" s="1">
        <v>32.0</v>
      </c>
      <c r="B33" s="1" t="s">
        <v>13759</v>
      </c>
      <c r="C33" s="1" t="s">
        <v>13750</v>
      </c>
      <c r="D33" s="1" t="s">
        <v>13784</v>
      </c>
      <c r="E33" s="1" t="s">
        <v>13871</v>
      </c>
      <c r="F33" s="1" t="s">
        <v>13872</v>
      </c>
      <c r="G33" s="1" t="s">
        <v>13873</v>
      </c>
      <c r="H33" s="1" t="s">
        <v>13874</v>
      </c>
      <c r="I33" s="2" t="s">
        <v>9144</v>
      </c>
    </row>
    <row r="34">
      <c r="A34" s="1">
        <v>33.0</v>
      </c>
      <c r="B34" s="1" t="s">
        <v>13759</v>
      </c>
      <c r="C34" s="1" t="s">
        <v>13750</v>
      </c>
      <c r="D34" s="1" t="s">
        <v>13784</v>
      </c>
      <c r="E34" s="1" t="s">
        <v>13875</v>
      </c>
      <c r="F34" s="1" t="s">
        <v>13876</v>
      </c>
      <c r="G34" s="1" t="s">
        <v>13877</v>
      </c>
      <c r="H34" s="1" t="s">
        <v>13878</v>
      </c>
      <c r="I34" s="2" t="s">
        <v>9099</v>
      </c>
    </row>
    <row r="35">
      <c r="A35" s="1">
        <v>34.0</v>
      </c>
      <c r="B35" s="1" t="s">
        <v>13759</v>
      </c>
      <c r="C35" s="1" t="s">
        <v>13750</v>
      </c>
      <c r="D35" s="1" t="s">
        <v>13784</v>
      </c>
      <c r="E35" s="1" t="s">
        <v>477</v>
      </c>
      <c r="F35" s="1" t="s">
        <v>13879</v>
      </c>
      <c r="G35" s="1" t="s">
        <v>13880</v>
      </c>
      <c r="H35" s="1" t="s">
        <v>13881</v>
      </c>
      <c r="I35" s="2" t="s">
        <v>295</v>
      </c>
    </row>
    <row r="36">
      <c r="A36" s="1">
        <v>35.0</v>
      </c>
      <c r="B36" s="1" t="s">
        <v>13759</v>
      </c>
      <c r="C36" s="1" t="s">
        <v>13750</v>
      </c>
      <c r="D36" s="1" t="s">
        <v>13784</v>
      </c>
      <c r="E36" s="1" t="s">
        <v>13882</v>
      </c>
      <c r="F36" s="1" t="s">
        <v>13883</v>
      </c>
      <c r="G36" s="1" t="s">
        <v>13884</v>
      </c>
      <c r="H36" s="1" t="s">
        <v>13885</v>
      </c>
      <c r="I36" s="2" t="s">
        <v>9267</v>
      </c>
    </row>
    <row r="37">
      <c r="A37" s="1">
        <v>36.0</v>
      </c>
      <c r="B37" s="1" t="s">
        <v>13759</v>
      </c>
      <c r="C37" s="1" t="s">
        <v>13750</v>
      </c>
      <c r="D37" s="1" t="s">
        <v>13784</v>
      </c>
      <c r="E37" s="1" t="s">
        <v>489</v>
      </c>
      <c r="F37" s="1" t="s">
        <v>13886</v>
      </c>
      <c r="G37" s="1" t="s">
        <v>13887</v>
      </c>
      <c r="H37" s="1" t="s">
        <v>13888</v>
      </c>
      <c r="I37" s="2" t="s">
        <v>304</v>
      </c>
    </row>
    <row r="38">
      <c r="A38" s="1">
        <v>37.0</v>
      </c>
      <c r="B38" s="1" t="s">
        <v>13759</v>
      </c>
      <c r="C38" s="1" t="s">
        <v>13750</v>
      </c>
      <c r="D38" s="1" t="s">
        <v>13784</v>
      </c>
      <c r="E38" s="1" t="s">
        <v>13889</v>
      </c>
      <c r="F38" s="1" t="s">
        <v>13890</v>
      </c>
      <c r="G38" s="1" t="s">
        <v>13891</v>
      </c>
      <c r="H38" s="1" t="s">
        <v>13892</v>
      </c>
      <c r="I38" s="2" t="s">
        <v>9263</v>
      </c>
    </row>
    <row r="39">
      <c r="A39" s="1">
        <v>38.0</v>
      </c>
      <c r="B39" s="1" t="s">
        <v>13759</v>
      </c>
      <c r="C39" s="1" t="s">
        <v>13750</v>
      </c>
      <c r="D39" s="1" t="s">
        <v>13784</v>
      </c>
      <c r="E39" s="1" t="s">
        <v>13893</v>
      </c>
      <c r="F39" s="1" t="s">
        <v>13894</v>
      </c>
      <c r="G39" s="1" t="s">
        <v>13895</v>
      </c>
      <c r="H39" s="1" t="s">
        <v>13896</v>
      </c>
      <c r="I39" s="2" t="s">
        <v>9156</v>
      </c>
    </row>
    <row r="40">
      <c r="A40" s="1">
        <v>39.0</v>
      </c>
      <c r="B40" s="1" t="s">
        <v>13759</v>
      </c>
      <c r="C40" s="1" t="s">
        <v>13750</v>
      </c>
      <c r="D40" s="1" t="s">
        <v>13784</v>
      </c>
      <c r="E40" s="1" t="s">
        <v>13897</v>
      </c>
      <c r="F40" s="1" t="s">
        <v>13898</v>
      </c>
      <c r="G40" s="1" t="s">
        <v>13899</v>
      </c>
      <c r="H40" s="1" t="s">
        <v>13900</v>
      </c>
      <c r="I40" s="2" t="s">
        <v>9304</v>
      </c>
    </row>
    <row r="41">
      <c r="A41" s="1">
        <v>40.0</v>
      </c>
      <c r="B41" s="1" t="s">
        <v>13759</v>
      </c>
      <c r="C41" s="1" t="s">
        <v>13750</v>
      </c>
      <c r="D41" s="1" t="s">
        <v>13784</v>
      </c>
      <c r="E41" s="1" t="s">
        <v>13901</v>
      </c>
      <c r="F41" s="1" t="s">
        <v>13902</v>
      </c>
      <c r="G41" s="1" t="s">
        <v>13903</v>
      </c>
      <c r="H41" s="1" t="s">
        <v>13904</v>
      </c>
      <c r="I41" s="2" t="s">
        <v>404</v>
      </c>
    </row>
    <row r="42">
      <c r="A42" s="1">
        <v>41.0</v>
      </c>
      <c r="B42" s="1" t="s">
        <v>13759</v>
      </c>
      <c r="C42" s="1" t="s">
        <v>13750</v>
      </c>
      <c r="D42" s="1" t="s">
        <v>13784</v>
      </c>
      <c r="E42" s="1" t="s">
        <v>13905</v>
      </c>
      <c r="F42" s="1" t="s">
        <v>13906</v>
      </c>
      <c r="G42" s="1" t="s">
        <v>13907</v>
      </c>
      <c r="H42" s="1" t="s">
        <v>13908</v>
      </c>
      <c r="I42" s="2" t="s">
        <v>9022</v>
      </c>
    </row>
    <row r="43">
      <c r="A43" s="1">
        <v>42.0</v>
      </c>
      <c r="B43" s="1" t="s">
        <v>13759</v>
      </c>
      <c r="C43" s="1" t="s">
        <v>13750</v>
      </c>
      <c r="D43" s="1" t="s">
        <v>13784</v>
      </c>
      <c r="E43" s="1" t="s">
        <v>13909</v>
      </c>
      <c r="F43" s="1" t="s">
        <v>13910</v>
      </c>
      <c r="G43" s="1" t="s">
        <v>13911</v>
      </c>
      <c r="H43" s="1" t="s">
        <v>13912</v>
      </c>
      <c r="I43" s="2" t="s">
        <v>379</v>
      </c>
    </row>
    <row r="44">
      <c r="A44" s="1">
        <v>43.0</v>
      </c>
      <c r="B44" s="1" t="s">
        <v>13759</v>
      </c>
      <c r="C44" s="1" t="s">
        <v>13750</v>
      </c>
      <c r="D44" s="1" t="s">
        <v>13784</v>
      </c>
      <c r="E44" s="1" t="s">
        <v>13913</v>
      </c>
      <c r="F44" s="1" t="s">
        <v>13914</v>
      </c>
      <c r="G44" s="1" t="s">
        <v>13915</v>
      </c>
      <c r="H44" s="1" t="s">
        <v>13916</v>
      </c>
      <c r="I44" s="2" t="s">
        <v>9095</v>
      </c>
    </row>
    <row r="45">
      <c r="A45" s="1">
        <v>44.0</v>
      </c>
      <c r="B45" s="1" t="s">
        <v>13759</v>
      </c>
      <c r="C45" s="1" t="s">
        <v>13750</v>
      </c>
      <c r="D45" s="1" t="s">
        <v>13784</v>
      </c>
      <c r="E45" s="1" t="s">
        <v>13917</v>
      </c>
      <c r="F45" s="1" t="s">
        <v>13918</v>
      </c>
      <c r="G45" s="1" t="s">
        <v>13919</v>
      </c>
      <c r="H45" s="1" t="s">
        <v>13920</v>
      </c>
      <c r="I45" s="2" t="s">
        <v>9717</v>
      </c>
    </row>
    <row r="46">
      <c r="A46" s="1">
        <v>45.0</v>
      </c>
      <c r="B46" s="1" t="s">
        <v>13759</v>
      </c>
      <c r="C46" s="1" t="s">
        <v>13750</v>
      </c>
      <c r="D46" s="1" t="s">
        <v>13784</v>
      </c>
      <c r="E46" s="1" t="s">
        <v>13921</v>
      </c>
      <c r="F46" s="1" t="s">
        <v>13922</v>
      </c>
      <c r="G46" s="1" t="s">
        <v>13923</v>
      </c>
      <c r="H46" s="1" t="s">
        <v>13924</v>
      </c>
      <c r="I46" s="2" t="s">
        <v>9307</v>
      </c>
    </row>
    <row r="47">
      <c r="A47" s="1">
        <v>46.0</v>
      </c>
      <c r="B47" s="1" t="s">
        <v>13759</v>
      </c>
      <c r="C47" s="1" t="s">
        <v>13750</v>
      </c>
      <c r="D47" s="1" t="s">
        <v>13784</v>
      </c>
      <c r="E47" s="1" t="s">
        <v>13925</v>
      </c>
      <c r="F47" s="1" t="s">
        <v>13926</v>
      </c>
      <c r="G47" s="1" t="s">
        <v>13927</v>
      </c>
      <c r="H47" s="1" t="s">
        <v>13928</v>
      </c>
      <c r="I47" s="2" t="s">
        <v>9160</v>
      </c>
    </row>
    <row r="48">
      <c r="A48" s="1">
        <v>47.0</v>
      </c>
      <c r="B48" s="1" t="s">
        <v>13759</v>
      </c>
      <c r="C48" s="1" t="s">
        <v>13750</v>
      </c>
      <c r="D48" s="1" t="s">
        <v>13784</v>
      </c>
      <c r="E48" s="1" t="s">
        <v>13929</v>
      </c>
      <c r="F48" s="1" t="s">
        <v>13930</v>
      </c>
      <c r="G48" s="1" t="s">
        <v>13931</v>
      </c>
      <c r="H48" s="1" t="s">
        <v>13932</v>
      </c>
      <c r="I48" s="2" t="s">
        <v>9513</v>
      </c>
    </row>
    <row r="49">
      <c r="A49" s="1">
        <v>48.0</v>
      </c>
      <c r="B49" s="1" t="s">
        <v>13759</v>
      </c>
      <c r="C49" s="1" t="s">
        <v>13750</v>
      </c>
      <c r="D49" s="1" t="s">
        <v>13784</v>
      </c>
      <c r="E49" s="1" t="s">
        <v>13933</v>
      </c>
      <c r="F49" s="1" t="s">
        <v>13934</v>
      </c>
      <c r="G49" s="1" t="s">
        <v>13935</v>
      </c>
      <c r="H49" s="1" t="s">
        <v>13936</v>
      </c>
      <c r="I49" s="2" t="s">
        <v>9265</v>
      </c>
    </row>
    <row r="50">
      <c r="A50" s="1">
        <v>49.0</v>
      </c>
      <c r="B50" s="1" t="s">
        <v>13759</v>
      </c>
      <c r="C50" s="1" t="s">
        <v>13750</v>
      </c>
      <c r="D50" s="1" t="s">
        <v>13784</v>
      </c>
      <c r="E50" s="1" t="s">
        <v>13937</v>
      </c>
      <c r="F50" s="1" t="s">
        <v>13938</v>
      </c>
      <c r="G50" s="1" t="s">
        <v>13939</v>
      </c>
      <c r="H50" s="1" t="s">
        <v>13940</v>
      </c>
      <c r="I50" s="2" t="s">
        <v>9460</v>
      </c>
    </row>
    <row r="51">
      <c r="A51" s="1">
        <v>50.0</v>
      </c>
      <c r="B51" s="1" t="s">
        <v>13759</v>
      </c>
      <c r="C51" s="1" t="s">
        <v>13750</v>
      </c>
      <c r="D51" s="1" t="s">
        <v>13784</v>
      </c>
      <c r="E51" s="1" t="s">
        <v>13941</v>
      </c>
      <c r="F51" s="1" t="s">
        <v>13942</v>
      </c>
      <c r="G51" s="1" t="s">
        <v>13943</v>
      </c>
      <c r="H51" s="1" t="s">
        <v>13944</v>
      </c>
      <c r="I51" s="2" t="s">
        <v>10234</v>
      </c>
    </row>
    <row r="52">
      <c r="A52" s="1">
        <v>51.0</v>
      </c>
      <c r="B52" s="1" t="s">
        <v>13759</v>
      </c>
      <c r="C52" s="1" t="s">
        <v>13750</v>
      </c>
      <c r="D52" s="1" t="s">
        <v>13784</v>
      </c>
      <c r="E52" s="1" t="s">
        <v>13945</v>
      </c>
      <c r="F52" s="1" t="s">
        <v>13946</v>
      </c>
      <c r="G52" s="1" t="s">
        <v>13947</v>
      </c>
      <c r="H52" s="1" t="s">
        <v>13948</v>
      </c>
      <c r="I52" s="2" t="s">
        <v>324</v>
      </c>
    </row>
    <row r="53">
      <c r="A53" s="1">
        <v>52.0</v>
      </c>
      <c r="B53" s="1" t="s">
        <v>13759</v>
      </c>
      <c r="C53" s="1" t="s">
        <v>13750</v>
      </c>
      <c r="D53" s="1" t="s">
        <v>13784</v>
      </c>
      <c r="E53" s="1" t="s">
        <v>13949</v>
      </c>
      <c r="F53" s="1" t="s">
        <v>13950</v>
      </c>
      <c r="G53" s="1" t="s">
        <v>13951</v>
      </c>
      <c r="H53" s="1" t="s">
        <v>13952</v>
      </c>
      <c r="I53" s="2" t="s">
        <v>9261</v>
      </c>
    </row>
    <row r="54">
      <c r="A54" s="1">
        <v>53.0</v>
      </c>
      <c r="B54" s="1" t="s">
        <v>13759</v>
      </c>
      <c r="C54" s="1" t="s">
        <v>13750</v>
      </c>
      <c r="D54" s="1" t="s">
        <v>13784</v>
      </c>
      <c r="E54" s="1" t="s">
        <v>13953</v>
      </c>
      <c r="F54" s="1" t="s">
        <v>13954</v>
      </c>
      <c r="G54" s="1" t="s">
        <v>13955</v>
      </c>
      <c r="H54" s="1" t="s">
        <v>13956</v>
      </c>
      <c r="I54" s="2" t="s">
        <v>319</v>
      </c>
    </row>
    <row r="55">
      <c r="A55" s="1">
        <v>54.0</v>
      </c>
      <c r="B55" s="1" t="s">
        <v>13759</v>
      </c>
      <c r="C55" s="1" t="s">
        <v>13750</v>
      </c>
      <c r="D55" s="1" t="s">
        <v>13784</v>
      </c>
      <c r="E55" s="1" t="s">
        <v>481</v>
      </c>
      <c r="F55" s="1" t="s">
        <v>13957</v>
      </c>
      <c r="G55" s="1" t="s">
        <v>13958</v>
      </c>
      <c r="H55" s="1" t="s">
        <v>13959</v>
      </c>
      <c r="I55" s="2" t="s">
        <v>298</v>
      </c>
    </row>
    <row r="56">
      <c r="A56" s="1">
        <v>55.0</v>
      </c>
      <c r="B56" s="1" t="s">
        <v>13759</v>
      </c>
      <c r="C56" s="1" t="s">
        <v>13750</v>
      </c>
      <c r="D56" s="1" t="s">
        <v>13784</v>
      </c>
      <c r="E56" s="1" t="s">
        <v>485</v>
      </c>
      <c r="F56" s="1" t="s">
        <v>13960</v>
      </c>
      <c r="G56" s="1" t="s">
        <v>13961</v>
      </c>
      <c r="H56" s="1" t="s">
        <v>13962</v>
      </c>
      <c r="I56" s="2" t="s">
        <v>301</v>
      </c>
    </row>
    <row r="57">
      <c r="A57" s="1">
        <v>56.0</v>
      </c>
      <c r="B57" s="1" t="s">
        <v>13759</v>
      </c>
      <c r="C57" s="1" t="s">
        <v>13750</v>
      </c>
      <c r="D57" s="1" t="s">
        <v>13784</v>
      </c>
      <c r="E57" s="1" t="s">
        <v>13963</v>
      </c>
      <c r="F57" s="1" t="s">
        <v>13964</v>
      </c>
      <c r="G57" s="1" t="s">
        <v>13965</v>
      </c>
      <c r="H57" s="1" t="s">
        <v>13966</v>
      </c>
      <c r="I57" s="2" t="s">
        <v>9046</v>
      </c>
    </row>
    <row r="58">
      <c r="A58" s="1">
        <v>57.0</v>
      </c>
      <c r="B58" s="1" t="s">
        <v>13759</v>
      </c>
      <c r="C58" s="1" t="s">
        <v>13750</v>
      </c>
      <c r="D58" s="1" t="s">
        <v>13784</v>
      </c>
      <c r="E58" s="1" t="s">
        <v>13967</v>
      </c>
      <c r="F58" s="1" t="s">
        <v>13968</v>
      </c>
      <c r="G58" s="1" t="s">
        <v>13969</v>
      </c>
      <c r="H58" s="1" t="s">
        <v>13970</v>
      </c>
      <c r="I58" s="2" t="s">
        <v>9416</v>
      </c>
    </row>
    <row r="59">
      <c r="A59" s="1">
        <v>58.0</v>
      </c>
      <c r="B59" s="1" t="s">
        <v>13759</v>
      </c>
      <c r="C59" s="1" t="s">
        <v>13750</v>
      </c>
      <c r="D59" s="1" t="s">
        <v>13784</v>
      </c>
      <c r="E59" s="1" t="s">
        <v>13971</v>
      </c>
      <c r="F59" s="1" t="s">
        <v>13972</v>
      </c>
      <c r="G59" s="1" t="s">
        <v>13973</v>
      </c>
      <c r="H59" s="1" t="s">
        <v>13974</v>
      </c>
      <c r="I59" s="2" t="s">
        <v>9412</v>
      </c>
    </row>
    <row r="60">
      <c r="A60" s="1">
        <v>59.0</v>
      </c>
      <c r="B60" s="1" t="s">
        <v>13759</v>
      </c>
      <c r="C60" s="1" t="s">
        <v>13750</v>
      </c>
      <c r="D60" s="1" t="s">
        <v>13784</v>
      </c>
      <c r="E60" s="1" t="s">
        <v>13975</v>
      </c>
      <c r="F60" s="1" t="s">
        <v>13976</v>
      </c>
      <c r="G60" s="1" t="s">
        <v>13977</v>
      </c>
      <c r="H60" s="1" t="s">
        <v>13978</v>
      </c>
      <c r="I60" s="2" t="s">
        <v>9439</v>
      </c>
    </row>
    <row r="61">
      <c r="A61" s="1">
        <v>60.0</v>
      </c>
      <c r="B61" s="1" t="s">
        <v>13759</v>
      </c>
      <c r="C61" s="1" t="s">
        <v>13750</v>
      </c>
      <c r="D61" s="1" t="s">
        <v>13784</v>
      </c>
      <c r="E61" s="1" t="s">
        <v>13979</v>
      </c>
      <c r="F61" s="1" t="s">
        <v>13980</v>
      </c>
      <c r="G61" s="1" t="s">
        <v>13981</v>
      </c>
      <c r="H61" s="1" t="s">
        <v>13982</v>
      </c>
      <c r="I61" s="2" t="s">
        <v>9446</v>
      </c>
    </row>
    <row r="62">
      <c r="A62" s="1">
        <v>61.0</v>
      </c>
      <c r="B62" s="1" t="s">
        <v>13759</v>
      </c>
      <c r="C62" s="1" t="s">
        <v>13750</v>
      </c>
      <c r="D62" s="1" t="s">
        <v>13784</v>
      </c>
      <c r="E62" s="1" t="s">
        <v>13983</v>
      </c>
      <c r="F62" s="1" t="s">
        <v>13984</v>
      </c>
      <c r="G62" s="1" t="s">
        <v>13985</v>
      </c>
      <c r="H62" s="1" t="s">
        <v>13986</v>
      </c>
      <c r="I62" s="2" t="s">
        <v>9441</v>
      </c>
    </row>
    <row r="63">
      <c r="A63" s="1">
        <v>62.0</v>
      </c>
      <c r="B63" s="1" t="s">
        <v>13759</v>
      </c>
      <c r="C63" s="1" t="s">
        <v>13750</v>
      </c>
      <c r="D63" s="1" t="s">
        <v>13784</v>
      </c>
      <c r="E63" s="1" t="s">
        <v>13987</v>
      </c>
      <c r="F63" s="1" t="s">
        <v>13988</v>
      </c>
      <c r="G63" s="1" t="s">
        <v>13989</v>
      </c>
      <c r="H63" s="1" t="s">
        <v>13990</v>
      </c>
      <c r="I63" s="2" t="s">
        <v>9084</v>
      </c>
    </row>
    <row r="64">
      <c r="A64" s="1">
        <v>63.0</v>
      </c>
      <c r="B64" s="1" t="s">
        <v>13759</v>
      </c>
      <c r="C64" s="1" t="s">
        <v>13750</v>
      </c>
      <c r="D64" s="1" t="s">
        <v>13784</v>
      </c>
      <c r="E64" s="1" t="s">
        <v>13991</v>
      </c>
      <c r="F64" s="1" t="s">
        <v>13992</v>
      </c>
      <c r="G64" s="1" t="s">
        <v>13993</v>
      </c>
      <c r="H64" s="1" t="s">
        <v>13994</v>
      </c>
      <c r="I64" s="2" t="s">
        <v>9448</v>
      </c>
    </row>
    <row r="65">
      <c r="A65" s="1">
        <v>64.0</v>
      </c>
      <c r="B65" s="1" t="s">
        <v>13759</v>
      </c>
      <c r="C65" s="1" t="s">
        <v>13750</v>
      </c>
      <c r="D65" s="1" t="s">
        <v>13784</v>
      </c>
      <c r="E65" s="1" t="s">
        <v>13995</v>
      </c>
      <c r="F65" s="1" t="s">
        <v>13996</v>
      </c>
      <c r="G65" s="1" t="s">
        <v>13997</v>
      </c>
      <c r="H65" s="1" t="s">
        <v>13998</v>
      </c>
      <c r="I65" s="2" t="s">
        <v>332</v>
      </c>
    </row>
    <row r="66">
      <c r="A66" s="1">
        <v>65.0</v>
      </c>
      <c r="B66" s="1" t="s">
        <v>13759</v>
      </c>
      <c r="C66" s="1" t="s">
        <v>13750</v>
      </c>
      <c r="D66" s="1" t="s">
        <v>13784</v>
      </c>
      <c r="E66" s="1" t="s">
        <v>13999</v>
      </c>
      <c r="F66" s="1" t="s">
        <v>14000</v>
      </c>
      <c r="G66" s="1" t="s">
        <v>14001</v>
      </c>
      <c r="H66" s="1" t="s">
        <v>14002</v>
      </c>
      <c r="I66" s="2" t="s">
        <v>9444</v>
      </c>
    </row>
    <row r="67">
      <c r="A67" s="1">
        <v>66.0</v>
      </c>
      <c r="B67" s="1" t="s">
        <v>13759</v>
      </c>
      <c r="C67" s="1" t="s">
        <v>13750</v>
      </c>
      <c r="D67" s="1" t="s">
        <v>13784</v>
      </c>
      <c r="E67" s="1" t="s">
        <v>14003</v>
      </c>
      <c r="F67" s="1" t="s">
        <v>14004</v>
      </c>
      <c r="G67" s="1" t="s">
        <v>14005</v>
      </c>
      <c r="H67" s="1" t="s">
        <v>14006</v>
      </c>
      <c r="I67" s="2" t="s">
        <v>309</v>
      </c>
    </row>
    <row r="68">
      <c r="A68" s="1">
        <v>67.0</v>
      </c>
      <c r="B68" s="1" t="s">
        <v>13759</v>
      </c>
      <c r="C68" s="1" t="s">
        <v>13750</v>
      </c>
      <c r="D68" s="1" t="s">
        <v>13784</v>
      </c>
      <c r="E68" s="1" t="s">
        <v>14007</v>
      </c>
      <c r="F68" s="1" t="s">
        <v>14008</v>
      </c>
      <c r="G68" s="1" t="s">
        <v>14009</v>
      </c>
      <c r="H68" s="1" t="s">
        <v>14010</v>
      </c>
      <c r="I68" s="2" t="s">
        <v>329</v>
      </c>
    </row>
    <row r="69">
      <c r="A69" s="1">
        <v>68.0</v>
      </c>
      <c r="B69" s="1" t="s">
        <v>13759</v>
      </c>
      <c r="C69" s="1" t="s">
        <v>13750</v>
      </c>
      <c r="D69" s="1" t="s">
        <v>13784</v>
      </c>
      <c r="E69" s="1" t="s">
        <v>14011</v>
      </c>
      <c r="F69" s="1" t="s">
        <v>14012</v>
      </c>
      <c r="G69" s="1" t="s">
        <v>14013</v>
      </c>
      <c r="H69" s="1" t="s">
        <v>14014</v>
      </c>
      <c r="I69" s="2" t="s">
        <v>9426</v>
      </c>
    </row>
    <row r="70">
      <c r="A70" s="1">
        <v>69.0</v>
      </c>
      <c r="B70" s="1" t="s">
        <v>13759</v>
      </c>
      <c r="C70" s="1" t="s">
        <v>13750</v>
      </c>
      <c r="D70" s="1" t="s">
        <v>13784</v>
      </c>
      <c r="E70" s="1" t="s">
        <v>14015</v>
      </c>
      <c r="F70" s="1" t="s">
        <v>14016</v>
      </c>
      <c r="G70" s="1" t="s">
        <v>14017</v>
      </c>
      <c r="H70" s="1" t="s">
        <v>14018</v>
      </c>
      <c r="I70" s="2" t="s">
        <v>419</v>
      </c>
    </row>
    <row r="71">
      <c r="A71" s="1">
        <v>70.0</v>
      </c>
      <c r="B71" s="1" t="s">
        <v>13759</v>
      </c>
      <c r="C71" s="1" t="s">
        <v>13750</v>
      </c>
      <c r="D71" s="1" t="s">
        <v>13784</v>
      </c>
      <c r="E71" s="1" t="s">
        <v>14019</v>
      </c>
      <c r="F71" s="1" t="s">
        <v>14020</v>
      </c>
      <c r="G71" s="1" t="s">
        <v>14021</v>
      </c>
      <c r="H71" s="1" t="s">
        <v>14022</v>
      </c>
      <c r="I71" s="2" t="s">
        <v>9295</v>
      </c>
    </row>
    <row r="72">
      <c r="A72" s="1">
        <v>71.0</v>
      </c>
      <c r="B72" s="1" t="s">
        <v>13759</v>
      </c>
      <c r="C72" s="1" t="s">
        <v>13750</v>
      </c>
      <c r="D72" s="1" t="s">
        <v>13784</v>
      </c>
      <c r="E72" s="1" t="s">
        <v>14023</v>
      </c>
      <c r="F72" s="1" t="s">
        <v>14024</v>
      </c>
      <c r="G72" s="1" t="s">
        <v>14025</v>
      </c>
      <c r="H72" s="1" t="s">
        <v>14026</v>
      </c>
      <c r="I72" s="2" t="s">
        <v>9421</v>
      </c>
    </row>
    <row r="73">
      <c r="A73" s="1">
        <v>72.0</v>
      </c>
      <c r="B73" s="1" t="s">
        <v>13759</v>
      </c>
      <c r="C73" s="1" t="s">
        <v>13750</v>
      </c>
      <c r="D73" s="1" t="s">
        <v>13784</v>
      </c>
      <c r="E73" s="1" t="s">
        <v>14027</v>
      </c>
      <c r="F73" s="1" t="s">
        <v>14028</v>
      </c>
      <c r="G73" s="1" t="s">
        <v>14029</v>
      </c>
      <c r="H73" s="1" t="s">
        <v>14030</v>
      </c>
      <c r="I73" s="2" t="s">
        <v>9302</v>
      </c>
    </row>
    <row r="74">
      <c r="A74" s="1">
        <v>73.0</v>
      </c>
      <c r="B74" s="1" t="s">
        <v>13759</v>
      </c>
      <c r="C74" s="1" t="s">
        <v>13750</v>
      </c>
      <c r="D74" s="1" t="s">
        <v>13784</v>
      </c>
      <c r="E74" s="1" t="s">
        <v>14031</v>
      </c>
      <c r="F74" s="1" t="s">
        <v>14032</v>
      </c>
      <c r="G74" s="1" t="s">
        <v>14033</v>
      </c>
      <c r="H74" s="1" t="s">
        <v>14034</v>
      </c>
      <c r="I74" s="2" t="s">
        <v>9293</v>
      </c>
    </row>
    <row r="75">
      <c r="A75" s="1">
        <v>74.0</v>
      </c>
      <c r="B75" s="1" t="s">
        <v>13759</v>
      </c>
      <c r="C75" s="1" t="s">
        <v>13750</v>
      </c>
      <c r="D75" s="1" t="s">
        <v>13784</v>
      </c>
      <c r="E75" s="1" t="s">
        <v>14035</v>
      </c>
      <c r="F75" s="1" t="s">
        <v>14036</v>
      </c>
      <c r="G75" s="1" t="s">
        <v>14037</v>
      </c>
      <c r="H75" s="1" t="s">
        <v>14038</v>
      </c>
      <c r="I75" s="2" t="s">
        <v>9298</v>
      </c>
    </row>
    <row r="76">
      <c r="A76" s="1">
        <v>75.0</v>
      </c>
      <c r="B76" s="1" t="s">
        <v>13759</v>
      </c>
      <c r="C76" s="1" t="s">
        <v>13750</v>
      </c>
      <c r="D76" s="1" t="s">
        <v>13784</v>
      </c>
      <c r="E76" s="1" t="s">
        <v>14039</v>
      </c>
      <c r="F76" s="1" t="s">
        <v>14040</v>
      </c>
      <c r="G76" s="1" t="s">
        <v>14041</v>
      </c>
      <c r="H76" s="1" t="s">
        <v>14042</v>
      </c>
      <c r="I76" s="2" t="s">
        <v>9509</v>
      </c>
    </row>
    <row r="77">
      <c r="A77" s="1">
        <v>76.0</v>
      </c>
      <c r="B77" s="1" t="s">
        <v>13759</v>
      </c>
      <c r="C77" s="1" t="s">
        <v>13750</v>
      </c>
      <c r="D77" s="1" t="s">
        <v>13784</v>
      </c>
      <c r="E77" s="1" t="s">
        <v>14043</v>
      </c>
      <c r="F77" s="1" t="s">
        <v>14044</v>
      </c>
      <c r="G77" s="1" t="s">
        <v>14045</v>
      </c>
      <c r="H77" s="1" t="s">
        <v>14046</v>
      </c>
      <c r="I77" s="2" t="s">
        <v>9429</v>
      </c>
    </row>
    <row r="78">
      <c r="A78" s="1">
        <v>77.0</v>
      </c>
      <c r="B78" s="1" t="s">
        <v>13759</v>
      </c>
      <c r="C78" s="1" t="s">
        <v>13750</v>
      </c>
      <c r="D78" s="1" t="s">
        <v>13784</v>
      </c>
      <c r="E78" s="1" t="s">
        <v>14047</v>
      </c>
      <c r="F78" s="1" t="s">
        <v>14048</v>
      </c>
      <c r="G78" s="1" t="s">
        <v>14049</v>
      </c>
      <c r="H78" s="1" t="s">
        <v>14050</v>
      </c>
      <c r="I78" s="2" t="s">
        <v>9506</v>
      </c>
    </row>
    <row r="79">
      <c r="A79" s="1">
        <v>78.0</v>
      </c>
      <c r="B79" s="1" t="s">
        <v>13759</v>
      </c>
      <c r="C79" s="1" t="s">
        <v>13750</v>
      </c>
      <c r="D79" s="1" t="s">
        <v>13784</v>
      </c>
      <c r="E79" s="1" t="s">
        <v>14051</v>
      </c>
      <c r="F79" s="1" t="s">
        <v>14052</v>
      </c>
      <c r="G79" s="1" t="s">
        <v>14053</v>
      </c>
      <c r="H79" s="1" t="s">
        <v>14054</v>
      </c>
      <c r="I79" s="2" t="s">
        <v>9224</v>
      </c>
    </row>
    <row r="80">
      <c r="A80" s="1">
        <v>79.0</v>
      </c>
      <c r="B80" s="1" t="s">
        <v>13759</v>
      </c>
      <c r="C80" s="1" t="s">
        <v>13750</v>
      </c>
      <c r="D80" s="1" t="s">
        <v>13784</v>
      </c>
      <c r="E80" s="1" t="s">
        <v>14055</v>
      </c>
      <c r="F80" s="1" t="s">
        <v>14056</v>
      </c>
      <c r="G80" s="1" t="s">
        <v>14057</v>
      </c>
      <c r="H80" s="1" t="s">
        <v>14058</v>
      </c>
      <c r="I80" s="2" t="s">
        <v>9300</v>
      </c>
    </row>
    <row r="81">
      <c r="A81" s="1">
        <v>80.0</v>
      </c>
      <c r="B81" s="1" t="s">
        <v>13759</v>
      </c>
      <c r="C81" s="1" t="s">
        <v>13750</v>
      </c>
      <c r="D81" s="1" t="s">
        <v>13784</v>
      </c>
      <c r="E81" s="1" t="s">
        <v>14059</v>
      </c>
      <c r="F81" s="1" t="s">
        <v>14060</v>
      </c>
      <c r="G81" s="1" t="s">
        <v>14061</v>
      </c>
      <c r="H81" s="1" t="s">
        <v>14062</v>
      </c>
      <c r="I81" s="2" t="s">
        <v>9020</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s>
  <drawing r:id="rId8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9.0"/>
    <col customWidth="1" min="8" max="8" width="35.75"/>
    <col customWidth="1" min="9" max="9" width="90.13"/>
  </cols>
  <sheetData>
    <row r="1">
      <c r="A1" s="4" t="s">
        <v>229</v>
      </c>
      <c r="B1" s="4" t="s">
        <v>230</v>
      </c>
      <c r="C1" s="4" t="s">
        <v>231</v>
      </c>
      <c r="D1" s="4" t="s">
        <v>232</v>
      </c>
      <c r="E1" s="4" t="s">
        <v>233</v>
      </c>
      <c r="F1" s="4" t="s">
        <v>234</v>
      </c>
      <c r="G1" s="4" t="s">
        <v>235</v>
      </c>
      <c r="H1" s="4" t="s">
        <v>236</v>
      </c>
      <c r="I1" s="4" t="s">
        <v>237</v>
      </c>
      <c r="J1" s="4" t="s">
        <v>238</v>
      </c>
    </row>
    <row r="2">
      <c r="A2" s="1">
        <v>1.0</v>
      </c>
      <c r="B2" s="1" t="s">
        <v>13749</v>
      </c>
      <c r="C2" s="1" t="s">
        <v>13750</v>
      </c>
      <c r="D2" s="1" t="s">
        <v>13751</v>
      </c>
      <c r="E2" s="1" t="s">
        <v>13752</v>
      </c>
      <c r="F2" s="1" t="s">
        <v>13753</v>
      </c>
      <c r="G2" s="1" t="s">
        <v>13754</v>
      </c>
      <c r="H2" s="1" t="s">
        <v>13755</v>
      </c>
      <c r="I2" s="2" t="s">
        <v>8981</v>
      </c>
      <c r="J2" s="1" t="s">
        <v>14063</v>
      </c>
    </row>
    <row r="3">
      <c r="A3" s="1">
        <v>2.0</v>
      </c>
      <c r="B3" s="1" t="s">
        <v>13749</v>
      </c>
      <c r="C3" s="1" t="s">
        <v>13750</v>
      </c>
      <c r="D3" s="1" t="s">
        <v>13751</v>
      </c>
      <c r="E3" s="1" t="s">
        <v>437</v>
      </c>
      <c r="F3" s="1" t="s">
        <v>13756</v>
      </c>
      <c r="G3" s="1" t="s">
        <v>13757</v>
      </c>
      <c r="H3" s="1" t="s">
        <v>13758</v>
      </c>
      <c r="I3" s="2" t="s">
        <v>247</v>
      </c>
      <c r="J3" s="1" t="s">
        <v>14063</v>
      </c>
    </row>
    <row r="4">
      <c r="A4" s="1">
        <v>3.0</v>
      </c>
      <c r="B4" s="1" t="s">
        <v>13759</v>
      </c>
      <c r="C4" s="1" t="s">
        <v>13750</v>
      </c>
      <c r="D4" s="1" t="s">
        <v>13760</v>
      </c>
      <c r="E4" s="1" t="s">
        <v>445</v>
      </c>
      <c r="F4" s="1" t="s">
        <v>13761</v>
      </c>
      <c r="G4" s="1" t="s">
        <v>13762</v>
      </c>
      <c r="H4" s="1" t="s">
        <v>13763</v>
      </c>
      <c r="I4" s="2" t="s">
        <v>261</v>
      </c>
      <c r="J4" s="1" t="s">
        <v>14063</v>
      </c>
    </row>
    <row r="5">
      <c r="A5" s="1">
        <v>4.0</v>
      </c>
      <c r="B5" s="1" t="s">
        <v>13759</v>
      </c>
      <c r="C5" s="1" t="s">
        <v>13750</v>
      </c>
      <c r="D5" s="1" t="s">
        <v>13760</v>
      </c>
      <c r="E5" s="1" t="s">
        <v>449</v>
      </c>
      <c r="F5" s="1" t="s">
        <v>13764</v>
      </c>
      <c r="G5" s="1" t="s">
        <v>13765</v>
      </c>
      <c r="H5" s="1" t="s">
        <v>13766</v>
      </c>
      <c r="I5" s="2" t="s">
        <v>265</v>
      </c>
      <c r="J5" s="1" t="s">
        <v>14063</v>
      </c>
    </row>
    <row r="6">
      <c r="A6" s="1">
        <v>5.0</v>
      </c>
      <c r="B6" s="1" t="s">
        <v>13759</v>
      </c>
      <c r="C6" s="1" t="s">
        <v>13750</v>
      </c>
      <c r="D6" s="1" t="s">
        <v>13760</v>
      </c>
      <c r="E6" s="1" t="s">
        <v>453</v>
      </c>
      <c r="F6" s="1" t="s">
        <v>13767</v>
      </c>
      <c r="G6" s="1" t="s">
        <v>13768</v>
      </c>
      <c r="H6" s="1" t="s">
        <v>13769</v>
      </c>
      <c r="I6" s="2" t="s">
        <v>268</v>
      </c>
      <c r="J6" s="1" t="s">
        <v>14063</v>
      </c>
    </row>
    <row r="7">
      <c r="A7" s="1">
        <v>6.0</v>
      </c>
      <c r="B7" s="1" t="s">
        <v>13759</v>
      </c>
      <c r="C7" s="1" t="s">
        <v>13750</v>
      </c>
      <c r="D7" s="1" t="s">
        <v>13760</v>
      </c>
      <c r="E7" s="1" t="s">
        <v>457</v>
      </c>
      <c r="F7" s="1" t="s">
        <v>13771</v>
      </c>
      <c r="G7" s="1" t="s">
        <v>13772</v>
      </c>
      <c r="H7" s="1" t="s">
        <v>13773</v>
      </c>
      <c r="I7" s="2" t="s">
        <v>271</v>
      </c>
      <c r="J7" s="1" t="s">
        <v>14063</v>
      </c>
    </row>
    <row r="8">
      <c r="A8" s="1">
        <v>7.0</v>
      </c>
      <c r="B8" s="1" t="s">
        <v>13759</v>
      </c>
      <c r="C8" s="1" t="s">
        <v>13750</v>
      </c>
      <c r="D8" s="1" t="s">
        <v>13760</v>
      </c>
      <c r="E8" s="1" t="s">
        <v>461</v>
      </c>
      <c r="F8" s="1" t="s">
        <v>13774</v>
      </c>
      <c r="G8" s="1" t="s">
        <v>13775</v>
      </c>
      <c r="H8" s="1" t="s">
        <v>13776</v>
      </c>
      <c r="I8" s="2" t="s">
        <v>275</v>
      </c>
      <c r="J8" s="1" t="s">
        <v>14063</v>
      </c>
    </row>
    <row r="9">
      <c r="A9" s="1">
        <v>8.0</v>
      </c>
      <c r="B9" s="1" t="s">
        <v>13759</v>
      </c>
      <c r="C9" s="1" t="s">
        <v>13750</v>
      </c>
      <c r="D9" s="1" t="s">
        <v>13760</v>
      </c>
      <c r="E9" s="1" t="s">
        <v>465</v>
      </c>
      <c r="F9" s="1" t="s">
        <v>13777</v>
      </c>
      <c r="G9" s="1" t="s">
        <v>13778</v>
      </c>
      <c r="H9" s="1" t="s">
        <v>13779</v>
      </c>
      <c r="I9" s="2" t="s">
        <v>278</v>
      </c>
      <c r="J9" s="1" t="s">
        <v>14063</v>
      </c>
    </row>
    <row r="10">
      <c r="A10" s="1">
        <v>9.0</v>
      </c>
      <c r="B10" s="1" t="s">
        <v>13759</v>
      </c>
      <c r="C10" s="1" t="s">
        <v>13750</v>
      </c>
      <c r="D10" s="1" t="s">
        <v>13760</v>
      </c>
      <c r="E10" s="1" t="s">
        <v>13780</v>
      </c>
      <c r="F10" s="1" t="s">
        <v>13781</v>
      </c>
      <c r="G10" s="1" t="s">
        <v>13782</v>
      </c>
      <c r="H10" s="1" t="s">
        <v>13783</v>
      </c>
      <c r="I10" s="2" t="s">
        <v>282</v>
      </c>
      <c r="J10" s="1" t="s">
        <v>14063</v>
      </c>
    </row>
    <row r="11">
      <c r="A11" s="1">
        <v>10.0</v>
      </c>
      <c r="B11" s="1" t="s">
        <v>13759</v>
      </c>
      <c r="C11" s="1" t="s">
        <v>13750</v>
      </c>
      <c r="D11" s="1" t="s">
        <v>13784</v>
      </c>
      <c r="E11" s="1" t="s">
        <v>469</v>
      </c>
      <c r="F11" s="1" t="s">
        <v>13785</v>
      </c>
      <c r="G11" s="1" t="s">
        <v>13786</v>
      </c>
      <c r="H11" s="1" t="s">
        <v>13787</v>
      </c>
      <c r="I11" s="2" t="s">
        <v>288</v>
      </c>
      <c r="J11" s="1" t="s">
        <v>14063</v>
      </c>
    </row>
    <row r="12">
      <c r="A12" s="1">
        <v>11.0</v>
      </c>
      <c r="B12" s="1" t="s">
        <v>13759</v>
      </c>
      <c r="C12" s="1" t="s">
        <v>13750</v>
      </c>
      <c r="D12" s="1" t="s">
        <v>13784</v>
      </c>
      <c r="E12" s="1" t="s">
        <v>473</v>
      </c>
      <c r="F12" s="1" t="s">
        <v>13788</v>
      </c>
      <c r="G12" s="1" t="s">
        <v>13789</v>
      </c>
      <c r="H12" s="1" t="s">
        <v>13790</v>
      </c>
      <c r="I12" s="2" t="s">
        <v>291</v>
      </c>
      <c r="J12" s="1" t="s">
        <v>14063</v>
      </c>
    </row>
    <row r="13">
      <c r="A13" s="1">
        <v>12.0</v>
      </c>
      <c r="B13" s="1" t="s">
        <v>13759</v>
      </c>
      <c r="C13" s="1" t="s">
        <v>13750</v>
      </c>
      <c r="D13" s="1" t="s">
        <v>13784</v>
      </c>
      <c r="E13" s="1" t="s">
        <v>13791</v>
      </c>
      <c r="F13" s="1" t="s">
        <v>13792</v>
      </c>
      <c r="G13" s="1" t="s">
        <v>13793</v>
      </c>
      <c r="H13" s="1" t="s">
        <v>13794</v>
      </c>
      <c r="I13" s="2" t="s">
        <v>351</v>
      </c>
      <c r="J13" s="1" t="s">
        <v>14063</v>
      </c>
    </row>
    <row r="14">
      <c r="A14" s="1">
        <v>13.0</v>
      </c>
      <c r="B14" s="1" t="s">
        <v>13759</v>
      </c>
      <c r="C14" s="1" t="s">
        <v>13750</v>
      </c>
      <c r="D14" s="1" t="s">
        <v>13784</v>
      </c>
      <c r="E14" s="1" t="s">
        <v>13795</v>
      </c>
      <c r="F14" s="1" t="s">
        <v>13796</v>
      </c>
      <c r="G14" s="1" t="s">
        <v>13797</v>
      </c>
      <c r="H14" s="1" t="s">
        <v>13798</v>
      </c>
      <c r="I14" s="2" t="s">
        <v>354</v>
      </c>
      <c r="J14" s="1" t="s">
        <v>14063</v>
      </c>
    </row>
    <row r="15">
      <c r="A15" s="1">
        <v>14.0</v>
      </c>
      <c r="B15" s="1" t="s">
        <v>13759</v>
      </c>
      <c r="C15" s="1" t="s">
        <v>13750</v>
      </c>
      <c r="D15" s="1" t="s">
        <v>13784</v>
      </c>
      <c r="E15" s="1" t="s">
        <v>13799</v>
      </c>
      <c r="F15" s="1" t="s">
        <v>13800</v>
      </c>
      <c r="G15" s="1" t="s">
        <v>13801</v>
      </c>
      <c r="H15" s="1" t="s">
        <v>13802</v>
      </c>
      <c r="I15" s="2" t="s">
        <v>348</v>
      </c>
      <c r="J15" s="1" t="s">
        <v>14063</v>
      </c>
    </row>
    <row r="16">
      <c r="A16" s="1">
        <v>15.0</v>
      </c>
      <c r="B16" s="1" t="s">
        <v>13759</v>
      </c>
      <c r="C16" s="1" t="s">
        <v>13750</v>
      </c>
      <c r="D16" s="1" t="s">
        <v>13784</v>
      </c>
      <c r="E16" s="1" t="s">
        <v>13803</v>
      </c>
      <c r="F16" s="1" t="s">
        <v>13804</v>
      </c>
      <c r="G16" s="1" t="s">
        <v>13805</v>
      </c>
      <c r="H16" s="1" t="s">
        <v>13806</v>
      </c>
      <c r="I16" s="2" t="s">
        <v>9138</v>
      </c>
      <c r="J16" s="1" t="s">
        <v>14063</v>
      </c>
    </row>
    <row r="17">
      <c r="A17" s="1">
        <v>16.0</v>
      </c>
      <c r="B17" s="1" t="s">
        <v>13759</v>
      </c>
      <c r="C17" s="1" t="s">
        <v>13750</v>
      </c>
      <c r="D17" s="1" t="s">
        <v>13784</v>
      </c>
      <c r="E17" s="1" t="s">
        <v>13807</v>
      </c>
      <c r="F17" s="1" t="s">
        <v>13808</v>
      </c>
      <c r="G17" s="1" t="s">
        <v>13809</v>
      </c>
      <c r="H17" s="1" t="s">
        <v>13810</v>
      </c>
      <c r="I17" s="2" t="s">
        <v>9223</v>
      </c>
      <c r="J17" s="1" t="s">
        <v>14063</v>
      </c>
    </row>
    <row r="18">
      <c r="A18" s="1">
        <v>17.0</v>
      </c>
      <c r="B18" s="1" t="s">
        <v>13759</v>
      </c>
      <c r="C18" s="1" t="s">
        <v>13750</v>
      </c>
      <c r="D18" s="1" t="s">
        <v>13784</v>
      </c>
      <c r="E18" s="1" t="s">
        <v>13811</v>
      </c>
      <c r="F18" s="1" t="s">
        <v>13812</v>
      </c>
      <c r="G18" s="1" t="s">
        <v>13813</v>
      </c>
      <c r="H18" s="1" t="s">
        <v>13814</v>
      </c>
      <c r="I18" s="2" t="s">
        <v>9226</v>
      </c>
      <c r="J18" s="1" t="s">
        <v>14063</v>
      </c>
    </row>
    <row r="19">
      <c r="A19" s="1">
        <v>18.0</v>
      </c>
      <c r="B19" s="1" t="s">
        <v>13759</v>
      </c>
      <c r="C19" s="1" t="s">
        <v>13750</v>
      </c>
      <c r="D19" s="1" t="s">
        <v>13784</v>
      </c>
      <c r="E19" s="1" t="s">
        <v>13815</v>
      </c>
      <c r="F19" s="1" t="s">
        <v>13816</v>
      </c>
      <c r="G19" s="1" t="s">
        <v>13817</v>
      </c>
      <c r="H19" s="1" t="s">
        <v>13818</v>
      </c>
      <c r="I19" s="2" t="s">
        <v>9241</v>
      </c>
      <c r="J19" s="1" t="s">
        <v>14063</v>
      </c>
    </row>
    <row r="20">
      <c r="A20" s="1">
        <v>19.0</v>
      </c>
      <c r="B20" s="1" t="s">
        <v>13759</v>
      </c>
      <c r="C20" s="1" t="s">
        <v>13750</v>
      </c>
      <c r="D20" s="1" t="s">
        <v>13784</v>
      </c>
      <c r="E20" s="1" t="s">
        <v>13819</v>
      </c>
      <c r="F20" s="1" t="s">
        <v>13820</v>
      </c>
      <c r="G20" s="1" t="s">
        <v>13821</v>
      </c>
      <c r="H20" s="1" t="s">
        <v>13822</v>
      </c>
      <c r="I20" s="2" t="s">
        <v>9082</v>
      </c>
      <c r="J20" s="1" t="s">
        <v>14063</v>
      </c>
    </row>
    <row r="21">
      <c r="A21" s="1">
        <v>20.0</v>
      </c>
      <c r="B21" s="1" t="s">
        <v>13759</v>
      </c>
      <c r="C21" s="1" t="s">
        <v>13750</v>
      </c>
      <c r="D21" s="1" t="s">
        <v>13784</v>
      </c>
      <c r="E21" s="1" t="s">
        <v>13823</v>
      </c>
      <c r="F21" s="1" t="s">
        <v>13824</v>
      </c>
      <c r="G21" s="1" t="s">
        <v>13825</v>
      </c>
      <c r="H21" s="1" t="s">
        <v>13826</v>
      </c>
      <c r="I21" s="2" t="s">
        <v>9066</v>
      </c>
      <c r="J21" s="1" t="s">
        <v>14063</v>
      </c>
    </row>
    <row r="22">
      <c r="A22" s="1">
        <v>21.0</v>
      </c>
      <c r="B22" s="1" t="s">
        <v>13759</v>
      </c>
      <c r="C22" s="1" t="s">
        <v>13750</v>
      </c>
      <c r="D22" s="1" t="s">
        <v>13784</v>
      </c>
      <c r="E22" s="1" t="s">
        <v>13827</v>
      </c>
      <c r="F22" s="1" t="s">
        <v>13828</v>
      </c>
      <c r="G22" s="1" t="s">
        <v>13829</v>
      </c>
      <c r="H22" s="1" t="s">
        <v>13830</v>
      </c>
      <c r="I22" s="2" t="s">
        <v>9129</v>
      </c>
      <c r="J22" s="1" t="s">
        <v>14063</v>
      </c>
    </row>
    <row r="23">
      <c r="A23" s="1">
        <v>22.0</v>
      </c>
      <c r="B23" s="1" t="s">
        <v>13759</v>
      </c>
      <c r="C23" s="1" t="s">
        <v>13750</v>
      </c>
      <c r="D23" s="1" t="s">
        <v>13784</v>
      </c>
      <c r="E23" s="1" t="s">
        <v>13831</v>
      </c>
      <c r="F23" s="1" t="s">
        <v>13832</v>
      </c>
      <c r="G23" s="1" t="s">
        <v>13833</v>
      </c>
      <c r="H23" s="1" t="s">
        <v>13834</v>
      </c>
      <c r="I23" s="2" t="s">
        <v>9134</v>
      </c>
      <c r="J23" s="1" t="s">
        <v>14063</v>
      </c>
    </row>
    <row r="24">
      <c r="A24" s="1">
        <v>23.0</v>
      </c>
      <c r="B24" s="1" t="s">
        <v>13759</v>
      </c>
      <c r="C24" s="1" t="s">
        <v>13750</v>
      </c>
      <c r="D24" s="1" t="s">
        <v>13784</v>
      </c>
      <c r="E24" s="1" t="s">
        <v>13835</v>
      </c>
      <c r="F24" s="1" t="s">
        <v>13836</v>
      </c>
      <c r="G24" s="1" t="s">
        <v>13837</v>
      </c>
      <c r="H24" s="1" t="s">
        <v>13838</v>
      </c>
      <c r="I24" s="2" t="s">
        <v>9243</v>
      </c>
      <c r="J24" s="1" t="s">
        <v>14063</v>
      </c>
    </row>
    <row r="25">
      <c r="A25" s="1">
        <v>24.0</v>
      </c>
      <c r="B25" s="1" t="s">
        <v>13759</v>
      </c>
      <c r="C25" s="1" t="s">
        <v>13750</v>
      </c>
      <c r="D25" s="1" t="s">
        <v>13784</v>
      </c>
      <c r="E25" s="1" t="s">
        <v>13839</v>
      </c>
      <c r="F25" s="1" t="s">
        <v>13840</v>
      </c>
      <c r="G25" s="1" t="s">
        <v>13841</v>
      </c>
      <c r="H25" s="1" t="s">
        <v>13842</v>
      </c>
      <c r="I25" s="2" t="s">
        <v>366</v>
      </c>
      <c r="J25" s="1" t="s">
        <v>14063</v>
      </c>
    </row>
    <row r="26">
      <c r="A26" s="1">
        <v>25.0</v>
      </c>
      <c r="B26" s="1" t="s">
        <v>13759</v>
      </c>
      <c r="C26" s="1" t="s">
        <v>13750</v>
      </c>
      <c r="D26" s="1" t="s">
        <v>13784</v>
      </c>
      <c r="E26" s="1" t="s">
        <v>13843</v>
      </c>
      <c r="F26" s="1" t="s">
        <v>13844</v>
      </c>
      <c r="G26" s="1" t="s">
        <v>13845</v>
      </c>
      <c r="H26" s="1" t="s">
        <v>13846</v>
      </c>
      <c r="I26" s="2" t="s">
        <v>9698</v>
      </c>
      <c r="J26" s="1" t="s">
        <v>14063</v>
      </c>
    </row>
    <row r="27">
      <c r="A27" s="1">
        <v>26.0</v>
      </c>
      <c r="B27" s="1" t="s">
        <v>13759</v>
      </c>
      <c r="C27" s="1" t="s">
        <v>13750</v>
      </c>
      <c r="D27" s="1" t="s">
        <v>13784</v>
      </c>
      <c r="E27" s="1" t="s">
        <v>13847</v>
      </c>
      <c r="F27" s="1" t="s">
        <v>13848</v>
      </c>
      <c r="G27" s="1" t="s">
        <v>13849</v>
      </c>
      <c r="H27" s="1" t="s">
        <v>13850</v>
      </c>
      <c r="I27" s="2" t="s">
        <v>12261</v>
      </c>
      <c r="J27" s="1" t="s">
        <v>14063</v>
      </c>
    </row>
    <row r="28">
      <c r="A28" s="1">
        <v>27.0</v>
      </c>
      <c r="B28" s="1" t="s">
        <v>13759</v>
      </c>
      <c r="C28" s="1" t="s">
        <v>13750</v>
      </c>
      <c r="D28" s="1" t="s">
        <v>13784</v>
      </c>
      <c r="E28" s="1" t="s">
        <v>13851</v>
      </c>
      <c r="F28" s="1" t="s">
        <v>13852</v>
      </c>
      <c r="G28" s="1" t="s">
        <v>13853</v>
      </c>
      <c r="H28" s="1" t="s">
        <v>13854</v>
      </c>
      <c r="I28" s="2" t="s">
        <v>9227</v>
      </c>
      <c r="J28" s="1" t="s">
        <v>14063</v>
      </c>
    </row>
    <row r="29">
      <c r="A29" s="1">
        <v>28.0</v>
      </c>
      <c r="B29" s="1" t="s">
        <v>13759</v>
      </c>
      <c r="C29" s="1" t="s">
        <v>13750</v>
      </c>
      <c r="D29" s="1" t="s">
        <v>13784</v>
      </c>
      <c r="E29" s="1" t="s">
        <v>13855</v>
      </c>
      <c r="F29" s="1" t="s">
        <v>13856</v>
      </c>
      <c r="G29" s="1" t="s">
        <v>13857</v>
      </c>
      <c r="H29" s="1" t="s">
        <v>13858</v>
      </c>
      <c r="I29" s="2" t="s">
        <v>9347</v>
      </c>
      <c r="J29" s="1" t="s">
        <v>14063</v>
      </c>
    </row>
    <row r="30">
      <c r="A30" s="1">
        <v>29.0</v>
      </c>
      <c r="B30" s="1" t="s">
        <v>13759</v>
      </c>
      <c r="C30" s="1" t="s">
        <v>13750</v>
      </c>
      <c r="D30" s="1" t="s">
        <v>13784</v>
      </c>
      <c r="E30" s="1" t="s">
        <v>13859</v>
      </c>
      <c r="F30" s="1" t="s">
        <v>13860</v>
      </c>
      <c r="G30" s="1" t="s">
        <v>13861</v>
      </c>
      <c r="H30" s="1" t="s">
        <v>13862</v>
      </c>
      <c r="I30" s="2" t="s">
        <v>10986</v>
      </c>
      <c r="J30" s="1" t="s">
        <v>14063</v>
      </c>
    </row>
    <row r="31">
      <c r="A31" s="1">
        <v>30.0</v>
      </c>
      <c r="B31" s="1" t="s">
        <v>13759</v>
      </c>
      <c r="C31" s="1" t="s">
        <v>13750</v>
      </c>
      <c r="D31" s="1" t="s">
        <v>13784</v>
      </c>
      <c r="E31" s="1" t="s">
        <v>13863</v>
      </c>
      <c r="F31" s="1" t="s">
        <v>13864</v>
      </c>
      <c r="G31" s="1" t="s">
        <v>13865</v>
      </c>
      <c r="H31" s="1" t="s">
        <v>13866</v>
      </c>
      <c r="I31" s="2" t="s">
        <v>9615</v>
      </c>
      <c r="J31" s="1" t="s">
        <v>14063</v>
      </c>
    </row>
    <row r="32">
      <c r="A32" s="1">
        <v>31.0</v>
      </c>
      <c r="B32" s="1" t="s">
        <v>13759</v>
      </c>
      <c r="C32" s="1" t="s">
        <v>13750</v>
      </c>
      <c r="D32" s="1" t="s">
        <v>13784</v>
      </c>
      <c r="E32" s="1" t="s">
        <v>13867</v>
      </c>
      <c r="F32" s="1" t="s">
        <v>13868</v>
      </c>
      <c r="G32" s="1" t="s">
        <v>13869</v>
      </c>
      <c r="H32" s="1" t="s">
        <v>13870</v>
      </c>
      <c r="I32" s="2" t="s">
        <v>9136</v>
      </c>
      <c r="J32" s="1" t="s">
        <v>14063</v>
      </c>
    </row>
    <row r="33">
      <c r="A33" s="1">
        <v>32.0</v>
      </c>
      <c r="B33" s="1" t="s">
        <v>13759</v>
      </c>
      <c r="C33" s="1" t="s">
        <v>13750</v>
      </c>
      <c r="D33" s="1" t="s">
        <v>13784</v>
      </c>
      <c r="E33" s="1" t="s">
        <v>13871</v>
      </c>
      <c r="F33" s="1" t="s">
        <v>13872</v>
      </c>
      <c r="G33" s="1" t="s">
        <v>13873</v>
      </c>
      <c r="H33" s="1" t="s">
        <v>13874</v>
      </c>
      <c r="I33" s="2" t="s">
        <v>9144</v>
      </c>
      <c r="J33" s="1" t="s">
        <v>14063</v>
      </c>
    </row>
    <row r="34">
      <c r="A34" s="1">
        <v>33.0</v>
      </c>
      <c r="B34" s="1" t="s">
        <v>13759</v>
      </c>
      <c r="C34" s="1" t="s">
        <v>13750</v>
      </c>
      <c r="D34" s="1" t="s">
        <v>13784</v>
      </c>
      <c r="E34" s="1" t="s">
        <v>13875</v>
      </c>
      <c r="F34" s="1" t="s">
        <v>13876</v>
      </c>
      <c r="G34" s="1" t="s">
        <v>13877</v>
      </c>
      <c r="H34" s="1" t="s">
        <v>13878</v>
      </c>
      <c r="I34" s="2" t="s">
        <v>9099</v>
      </c>
      <c r="J34" s="1" t="s">
        <v>14063</v>
      </c>
    </row>
    <row r="35">
      <c r="A35" s="1">
        <v>34.0</v>
      </c>
      <c r="B35" s="1" t="s">
        <v>13759</v>
      </c>
      <c r="C35" s="1" t="s">
        <v>13750</v>
      </c>
      <c r="D35" s="1" t="s">
        <v>13784</v>
      </c>
      <c r="E35" s="1" t="s">
        <v>477</v>
      </c>
      <c r="F35" s="1" t="s">
        <v>13879</v>
      </c>
      <c r="G35" s="1" t="s">
        <v>13880</v>
      </c>
      <c r="H35" s="1" t="s">
        <v>13881</v>
      </c>
      <c r="I35" s="2" t="s">
        <v>295</v>
      </c>
      <c r="J35" s="1" t="s">
        <v>14063</v>
      </c>
    </row>
    <row r="36">
      <c r="A36" s="1">
        <v>35.0</v>
      </c>
      <c r="B36" s="1" t="s">
        <v>13759</v>
      </c>
      <c r="C36" s="1" t="s">
        <v>13750</v>
      </c>
      <c r="D36" s="1" t="s">
        <v>13784</v>
      </c>
      <c r="E36" s="1" t="s">
        <v>13882</v>
      </c>
      <c r="F36" s="1" t="s">
        <v>13883</v>
      </c>
      <c r="G36" s="1" t="s">
        <v>13884</v>
      </c>
      <c r="H36" s="1" t="s">
        <v>13885</v>
      </c>
      <c r="I36" s="2" t="s">
        <v>9267</v>
      </c>
      <c r="J36" s="1" t="s">
        <v>14063</v>
      </c>
    </row>
    <row r="37">
      <c r="A37" s="1">
        <v>36.0</v>
      </c>
      <c r="B37" s="1" t="s">
        <v>13759</v>
      </c>
      <c r="C37" s="1" t="s">
        <v>13750</v>
      </c>
      <c r="D37" s="1" t="s">
        <v>13784</v>
      </c>
      <c r="E37" s="1" t="s">
        <v>489</v>
      </c>
      <c r="F37" s="1" t="s">
        <v>13886</v>
      </c>
      <c r="G37" s="1" t="s">
        <v>13887</v>
      </c>
      <c r="H37" s="1" t="s">
        <v>13888</v>
      </c>
      <c r="I37" s="2" t="s">
        <v>304</v>
      </c>
      <c r="J37" s="1" t="s">
        <v>14063</v>
      </c>
    </row>
    <row r="38">
      <c r="A38" s="1">
        <v>37.0</v>
      </c>
      <c r="B38" s="1" t="s">
        <v>13759</v>
      </c>
      <c r="C38" s="1" t="s">
        <v>13750</v>
      </c>
      <c r="D38" s="1" t="s">
        <v>13784</v>
      </c>
      <c r="E38" s="1" t="s">
        <v>13889</v>
      </c>
      <c r="F38" s="1" t="s">
        <v>13890</v>
      </c>
      <c r="G38" s="1" t="s">
        <v>13891</v>
      </c>
      <c r="H38" s="1" t="s">
        <v>13892</v>
      </c>
      <c r="I38" s="2" t="s">
        <v>9263</v>
      </c>
      <c r="J38" s="1" t="s">
        <v>14063</v>
      </c>
    </row>
    <row r="39">
      <c r="A39" s="1">
        <v>38.0</v>
      </c>
      <c r="B39" s="1" t="s">
        <v>13759</v>
      </c>
      <c r="C39" s="1" t="s">
        <v>13750</v>
      </c>
      <c r="D39" s="1" t="s">
        <v>13784</v>
      </c>
      <c r="E39" s="1" t="s">
        <v>13893</v>
      </c>
      <c r="F39" s="1" t="s">
        <v>13894</v>
      </c>
      <c r="G39" s="1" t="s">
        <v>13895</v>
      </c>
      <c r="H39" s="1" t="s">
        <v>13896</v>
      </c>
      <c r="I39" s="2" t="s">
        <v>9156</v>
      </c>
      <c r="J39" s="1" t="s">
        <v>14063</v>
      </c>
    </row>
    <row r="40">
      <c r="A40" s="1">
        <v>39.0</v>
      </c>
      <c r="B40" s="1" t="s">
        <v>13759</v>
      </c>
      <c r="C40" s="1" t="s">
        <v>13750</v>
      </c>
      <c r="D40" s="1" t="s">
        <v>13784</v>
      </c>
      <c r="E40" s="1" t="s">
        <v>13897</v>
      </c>
      <c r="F40" s="1" t="s">
        <v>13898</v>
      </c>
      <c r="G40" s="1" t="s">
        <v>13899</v>
      </c>
      <c r="H40" s="1" t="s">
        <v>13900</v>
      </c>
      <c r="I40" s="2" t="s">
        <v>9304</v>
      </c>
      <c r="J40" s="1" t="s">
        <v>14063</v>
      </c>
    </row>
    <row r="41">
      <c r="A41" s="1">
        <v>40.0</v>
      </c>
      <c r="B41" s="1" t="s">
        <v>13759</v>
      </c>
      <c r="C41" s="1" t="s">
        <v>13750</v>
      </c>
      <c r="D41" s="1" t="s">
        <v>13784</v>
      </c>
      <c r="E41" s="1" t="s">
        <v>13901</v>
      </c>
      <c r="F41" s="1" t="s">
        <v>13902</v>
      </c>
      <c r="G41" s="1" t="s">
        <v>13903</v>
      </c>
      <c r="H41" s="1" t="s">
        <v>13904</v>
      </c>
      <c r="I41" s="2" t="s">
        <v>404</v>
      </c>
      <c r="J41" s="1" t="s">
        <v>14063</v>
      </c>
    </row>
    <row r="42">
      <c r="A42" s="1">
        <v>41.0</v>
      </c>
      <c r="B42" s="1" t="s">
        <v>13759</v>
      </c>
      <c r="C42" s="1" t="s">
        <v>13750</v>
      </c>
      <c r="D42" s="1" t="s">
        <v>13784</v>
      </c>
      <c r="E42" s="1" t="s">
        <v>13905</v>
      </c>
      <c r="F42" s="1" t="s">
        <v>13906</v>
      </c>
      <c r="G42" s="1" t="s">
        <v>13907</v>
      </c>
      <c r="H42" s="1" t="s">
        <v>13908</v>
      </c>
      <c r="I42" s="2" t="s">
        <v>9022</v>
      </c>
      <c r="J42" s="1" t="s">
        <v>14063</v>
      </c>
    </row>
    <row r="43">
      <c r="A43" s="1">
        <v>42.0</v>
      </c>
      <c r="B43" s="1" t="s">
        <v>13759</v>
      </c>
      <c r="C43" s="1" t="s">
        <v>13750</v>
      </c>
      <c r="D43" s="1" t="s">
        <v>13784</v>
      </c>
      <c r="E43" s="1" t="s">
        <v>13909</v>
      </c>
      <c r="F43" s="1" t="s">
        <v>13910</v>
      </c>
      <c r="G43" s="1" t="s">
        <v>13911</v>
      </c>
      <c r="H43" s="1" t="s">
        <v>13912</v>
      </c>
      <c r="I43" s="2" t="s">
        <v>379</v>
      </c>
      <c r="J43" s="1" t="s">
        <v>14063</v>
      </c>
    </row>
    <row r="44">
      <c r="A44" s="1">
        <v>43.0</v>
      </c>
      <c r="B44" s="1" t="s">
        <v>13759</v>
      </c>
      <c r="C44" s="1" t="s">
        <v>13750</v>
      </c>
      <c r="D44" s="1" t="s">
        <v>13784</v>
      </c>
      <c r="E44" s="1" t="s">
        <v>13913</v>
      </c>
      <c r="F44" s="1" t="s">
        <v>13914</v>
      </c>
      <c r="G44" s="1" t="s">
        <v>13915</v>
      </c>
      <c r="H44" s="1" t="s">
        <v>13916</v>
      </c>
      <c r="I44" s="2" t="s">
        <v>9095</v>
      </c>
      <c r="J44" s="1" t="s">
        <v>14063</v>
      </c>
    </row>
    <row r="45">
      <c r="A45" s="1">
        <v>44.0</v>
      </c>
      <c r="B45" s="1" t="s">
        <v>13759</v>
      </c>
      <c r="C45" s="1" t="s">
        <v>13750</v>
      </c>
      <c r="D45" s="1" t="s">
        <v>13784</v>
      </c>
      <c r="E45" s="1" t="s">
        <v>13917</v>
      </c>
      <c r="F45" s="1" t="s">
        <v>13918</v>
      </c>
      <c r="G45" s="1" t="s">
        <v>13919</v>
      </c>
      <c r="H45" s="1" t="s">
        <v>13920</v>
      </c>
      <c r="I45" s="2" t="s">
        <v>9717</v>
      </c>
      <c r="J45" s="1" t="s">
        <v>14063</v>
      </c>
    </row>
    <row r="46">
      <c r="A46" s="1">
        <v>45.0</v>
      </c>
      <c r="B46" s="1" t="s">
        <v>13759</v>
      </c>
      <c r="C46" s="1" t="s">
        <v>13750</v>
      </c>
      <c r="D46" s="1" t="s">
        <v>13784</v>
      </c>
      <c r="E46" s="1" t="s">
        <v>13921</v>
      </c>
      <c r="F46" s="1" t="s">
        <v>13922</v>
      </c>
      <c r="G46" s="1" t="s">
        <v>13923</v>
      </c>
      <c r="H46" s="1" t="s">
        <v>13924</v>
      </c>
      <c r="I46" s="2" t="s">
        <v>9307</v>
      </c>
      <c r="J46" s="1" t="s">
        <v>14063</v>
      </c>
    </row>
    <row r="47">
      <c r="A47" s="1">
        <v>46.0</v>
      </c>
      <c r="B47" s="1" t="s">
        <v>13759</v>
      </c>
      <c r="C47" s="1" t="s">
        <v>13750</v>
      </c>
      <c r="D47" s="1" t="s">
        <v>13784</v>
      </c>
      <c r="E47" s="1" t="s">
        <v>13925</v>
      </c>
      <c r="F47" s="1" t="s">
        <v>13926</v>
      </c>
      <c r="G47" s="1" t="s">
        <v>13927</v>
      </c>
      <c r="H47" s="1" t="s">
        <v>13928</v>
      </c>
      <c r="I47" s="2" t="s">
        <v>9160</v>
      </c>
      <c r="J47" s="1" t="s">
        <v>14063</v>
      </c>
    </row>
    <row r="48">
      <c r="A48" s="1">
        <v>47.0</v>
      </c>
      <c r="B48" s="1" t="s">
        <v>13759</v>
      </c>
      <c r="C48" s="1" t="s">
        <v>13750</v>
      </c>
      <c r="D48" s="1" t="s">
        <v>13784</v>
      </c>
      <c r="E48" s="1" t="s">
        <v>13929</v>
      </c>
      <c r="F48" s="1" t="s">
        <v>13930</v>
      </c>
      <c r="G48" s="1" t="s">
        <v>13931</v>
      </c>
      <c r="H48" s="1" t="s">
        <v>13932</v>
      </c>
      <c r="I48" s="2" t="s">
        <v>9513</v>
      </c>
      <c r="J48" s="1" t="s">
        <v>14063</v>
      </c>
    </row>
    <row r="49">
      <c r="A49" s="1">
        <v>48.0</v>
      </c>
      <c r="B49" s="1" t="s">
        <v>13759</v>
      </c>
      <c r="C49" s="1" t="s">
        <v>13750</v>
      </c>
      <c r="D49" s="1" t="s">
        <v>13784</v>
      </c>
      <c r="E49" s="1" t="s">
        <v>13933</v>
      </c>
      <c r="F49" s="1" t="s">
        <v>13934</v>
      </c>
      <c r="G49" s="1" t="s">
        <v>13935</v>
      </c>
      <c r="H49" s="1" t="s">
        <v>13936</v>
      </c>
      <c r="I49" s="2" t="s">
        <v>9265</v>
      </c>
      <c r="J49" s="1" t="s">
        <v>14063</v>
      </c>
    </row>
    <row r="50">
      <c r="A50" s="1">
        <v>49.0</v>
      </c>
      <c r="B50" s="1" t="s">
        <v>13759</v>
      </c>
      <c r="C50" s="1" t="s">
        <v>13750</v>
      </c>
      <c r="D50" s="1" t="s">
        <v>13784</v>
      </c>
      <c r="E50" s="1" t="s">
        <v>13937</v>
      </c>
      <c r="F50" s="1" t="s">
        <v>13938</v>
      </c>
      <c r="G50" s="1" t="s">
        <v>13939</v>
      </c>
      <c r="H50" s="1" t="s">
        <v>13940</v>
      </c>
      <c r="I50" s="2" t="s">
        <v>9460</v>
      </c>
      <c r="J50" s="1" t="s">
        <v>14063</v>
      </c>
    </row>
    <row r="51">
      <c r="A51" s="1">
        <v>50.0</v>
      </c>
      <c r="B51" s="1" t="s">
        <v>13759</v>
      </c>
      <c r="C51" s="1" t="s">
        <v>13750</v>
      </c>
      <c r="D51" s="1" t="s">
        <v>13784</v>
      </c>
      <c r="E51" s="1" t="s">
        <v>13941</v>
      </c>
      <c r="F51" s="1" t="s">
        <v>13942</v>
      </c>
      <c r="G51" s="1" t="s">
        <v>13943</v>
      </c>
      <c r="H51" s="1" t="s">
        <v>13944</v>
      </c>
      <c r="I51" s="2" t="s">
        <v>10234</v>
      </c>
      <c r="J51" s="1" t="s">
        <v>14063</v>
      </c>
    </row>
    <row r="52">
      <c r="A52" s="1">
        <v>51.0</v>
      </c>
      <c r="B52" s="1" t="s">
        <v>13759</v>
      </c>
      <c r="C52" s="1" t="s">
        <v>13750</v>
      </c>
      <c r="D52" s="1" t="s">
        <v>13784</v>
      </c>
      <c r="E52" s="1" t="s">
        <v>13945</v>
      </c>
      <c r="F52" s="1" t="s">
        <v>13946</v>
      </c>
      <c r="G52" s="1" t="s">
        <v>13947</v>
      </c>
      <c r="H52" s="1" t="s">
        <v>13948</v>
      </c>
      <c r="I52" s="2" t="s">
        <v>324</v>
      </c>
      <c r="J52" s="1" t="s">
        <v>14063</v>
      </c>
    </row>
    <row r="53">
      <c r="A53" s="1">
        <v>52.0</v>
      </c>
      <c r="B53" s="1" t="s">
        <v>13759</v>
      </c>
      <c r="C53" s="1" t="s">
        <v>13750</v>
      </c>
      <c r="D53" s="1" t="s">
        <v>13784</v>
      </c>
      <c r="E53" s="1" t="s">
        <v>13949</v>
      </c>
      <c r="F53" s="1" t="s">
        <v>13950</v>
      </c>
      <c r="G53" s="1" t="s">
        <v>13951</v>
      </c>
      <c r="H53" s="1" t="s">
        <v>13952</v>
      </c>
      <c r="I53" s="2" t="s">
        <v>9261</v>
      </c>
      <c r="J53" s="1" t="s">
        <v>14063</v>
      </c>
    </row>
    <row r="54">
      <c r="A54" s="1">
        <v>53.0</v>
      </c>
      <c r="B54" s="1" t="s">
        <v>13759</v>
      </c>
      <c r="C54" s="1" t="s">
        <v>13750</v>
      </c>
      <c r="D54" s="1" t="s">
        <v>13784</v>
      </c>
      <c r="E54" s="1" t="s">
        <v>13953</v>
      </c>
      <c r="F54" s="1" t="s">
        <v>13954</v>
      </c>
      <c r="G54" s="1" t="s">
        <v>13955</v>
      </c>
      <c r="H54" s="1" t="s">
        <v>13956</v>
      </c>
      <c r="I54" s="2" t="s">
        <v>319</v>
      </c>
      <c r="J54" s="1" t="s">
        <v>14063</v>
      </c>
    </row>
    <row r="55">
      <c r="A55" s="1">
        <v>54.0</v>
      </c>
      <c r="B55" s="1" t="s">
        <v>13759</v>
      </c>
      <c r="C55" s="1" t="s">
        <v>13750</v>
      </c>
      <c r="D55" s="1" t="s">
        <v>13784</v>
      </c>
      <c r="E55" s="1" t="s">
        <v>481</v>
      </c>
      <c r="F55" s="1" t="s">
        <v>13957</v>
      </c>
      <c r="G55" s="1" t="s">
        <v>13958</v>
      </c>
      <c r="H55" s="1" t="s">
        <v>13959</v>
      </c>
      <c r="I55" s="2" t="s">
        <v>298</v>
      </c>
      <c r="J55" s="1" t="s">
        <v>14063</v>
      </c>
    </row>
    <row r="56">
      <c r="A56" s="1">
        <v>55.0</v>
      </c>
      <c r="B56" s="1" t="s">
        <v>13759</v>
      </c>
      <c r="C56" s="1" t="s">
        <v>13750</v>
      </c>
      <c r="D56" s="1" t="s">
        <v>13784</v>
      </c>
      <c r="E56" s="1" t="s">
        <v>485</v>
      </c>
      <c r="F56" s="1" t="s">
        <v>13960</v>
      </c>
      <c r="G56" s="1" t="s">
        <v>13961</v>
      </c>
      <c r="H56" s="1" t="s">
        <v>13962</v>
      </c>
      <c r="I56" s="2" t="s">
        <v>301</v>
      </c>
      <c r="J56" s="1" t="s">
        <v>14063</v>
      </c>
    </row>
    <row r="57">
      <c r="A57" s="1">
        <v>56.0</v>
      </c>
      <c r="B57" s="1" t="s">
        <v>13759</v>
      </c>
      <c r="C57" s="1" t="s">
        <v>13750</v>
      </c>
      <c r="D57" s="1" t="s">
        <v>13784</v>
      </c>
      <c r="E57" s="1" t="s">
        <v>13963</v>
      </c>
      <c r="F57" s="1" t="s">
        <v>13964</v>
      </c>
      <c r="G57" s="1" t="s">
        <v>13965</v>
      </c>
      <c r="H57" s="1" t="s">
        <v>13966</v>
      </c>
      <c r="I57" s="2" t="s">
        <v>9046</v>
      </c>
      <c r="J57" s="1" t="s">
        <v>14063</v>
      </c>
    </row>
    <row r="58">
      <c r="A58" s="1">
        <v>57.0</v>
      </c>
      <c r="B58" s="1" t="s">
        <v>13759</v>
      </c>
      <c r="C58" s="1" t="s">
        <v>13750</v>
      </c>
      <c r="D58" s="1" t="s">
        <v>13784</v>
      </c>
      <c r="E58" s="1" t="s">
        <v>13967</v>
      </c>
      <c r="F58" s="1" t="s">
        <v>13968</v>
      </c>
      <c r="G58" s="1" t="s">
        <v>13969</v>
      </c>
      <c r="H58" s="1" t="s">
        <v>13970</v>
      </c>
      <c r="I58" s="2" t="s">
        <v>9416</v>
      </c>
      <c r="J58" s="1" t="s">
        <v>14063</v>
      </c>
    </row>
    <row r="59">
      <c r="A59" s="1">
        <v>58.0</v>
      </c>
      <c r="B59" s="1" t="s">
        <v>13759</v>
      </c>
      <c r="C59" s="1" t="s">
        <v>13750</v>
      </c>
      <c r="D59" s="1" t="s">
        <v>13784</v>
      </c>
      <c r="E59" s="1" t="s">
        <v>13971</v>
      </c>
      <c r="F59" s="1" t="s">
        <v>13972</v>
      </c>
      <c r="G59" s="1" t="s">
        <v>13973</v>
      </c>
      <c r="H59" s="1" t="s">
        <v>13974</v>
      </c>
      <c r="I59" s="2" t="s">
        <v>9412</v>
      </c>
      <c r="J59" s="1" t="s">
        <v>14063</v>
      </c>
    </row>
    <row r="60">
      <c r="A60" s="1">
        <v>59.0</v>
      </c>
      <c r="B60" s="1" t="s">
        <v>13759</v>
      </c>
      <c r="C60" s="1" t="s">
        <v>13750</v>
      </c>
      <c r="D60" s="1" t="s">
        <v>13784</v>
      </c>
      <c r="E60" s="1" t="s">
        <v>13975</v>
      </c>
      <c r="F60" s="1" t="s">
        <v>13976</v>
      </c>
      <c r="G60" s="1" t="s">
        <v>13977</v>
      </c>
      <c r="H60" s="1" t="s">
        <v>13978</v>
      </c>
      <c r="I60" s="2" t="s">
        <v>9439</v>
      </c>
      <c r="J60" s="1" t="s">
        <v>14063</v>
      </c>
    </row>
    <row r="61">
      <c r="A61" s="1">
        <v>60.0</v>
      </c>
      <c r="B61" s="1" t="s">
        <v>13759</v>
      </c>
      <c r="C61" s="1" t="s">
        <v>13750</v>
      </c>
      <c r="D61" s="1" t="s">
        <v>13784</v>
      </c>
      <c r="E61" s="1" t="s">
        <v>13979</v>
      </c>
      <c r="F61" s="1" t="s">
        <v>13980</v>
      </c>
      <c r="G61" s="1" t="s">
        <v>13981</v>
      </c>
      <c r="H61" s="1" t="s">
        <v>13982</v>
      </c>
      <c r="I61" s="2" t="s">
        <v>9446</v>
      </c>
      <c r="J61" s="1" t="s">
        <v>14063</v>
      </c>
    </row>
    <row r="62">
      <c r="A62" s="1">
        <v>61.0</v>
      </c>
      <c r="B62" s="1" t="s">
        <v>13759</v>
      </c>
      <c r="C62" s="1" t="s">
        <v>13750</v>
      </c>
      <c r="D62" s="1" t="s">
        <v>13784</v>
      </c>
      <c r="E62" s="1" t="s">
        <v>13983</v>
      </c>
      <c r="F62" s="1" t="s">
        <v>13984</v>
      </c>
      <c r="G62" s="1" t="s">
        <v>13985</v>
      </c>
      <c r="H62" s="1" t="s">
        <v>13986</v>
      </c>
      <c r="I62" s="2" t="s">
        <v>9441</v>
      </c>
      <c r="J62" s="1" t="s">
        <v>14063</v>
      </c>
    </row>
    <row r="63">
      <c r="A63" s="1">
        <v>62.0</v>
      </c>
      <c r="B63" s="1" t="s">
        <v>13759</v>
      </c>
      <c r="C63" s="1" t="s">
        <v>13750</v>
      </c>
      <c r="D63" s="1" t="s">
        <v>13784</v>
      </c>
      <c r="E63" s="1" t="s">
        <v>13987</v>
      </c>
      <c r="F63" s="1" t="s">
        <v>13988</v>
      </c>
      <c r="G63" s="1" t="s">
        <v>13989</v>
      </c>
      <c r="H63" s="1" t="s">
        <v>13990</v>
      </c>
      <c r="I63" s="2" t="s">
        <v>9084</v>
      </c>
      <c r="J63" s="1" t="s">
        <v>14063</v>
      </c>
    </row>
    <row r="64">
      <c r="A64" s="1">
        <v>63.0</v>
      </c>
      <c r="B64" s="1" t="s">
        <v>13759</v>
      </c>
      <c r="C64" s="1" t="s">
        <v>13750</v>
      </c>
      <c r="D64" s="1" t="s">
        <v>13784</v>
      </c>
      <c r="E64" s="1" t="s">
        <v>13991</v>
      </c>
      <c r="F64" s="1" t="s">
        <v>13992</v>
      </c>
      <c r="G64" s="1" t="s">
        <v>13993</v>
      </c>
      <c r="H64" s="1" t="s">
        <v>13994</v>
      </c>
      <c r="I64" s="2" t="s">
        <v>9448</v>
      </c>
      <c r="J64" s="1" t="s">
        <v>14063</v>
      </c>
    </row>
    <row r="65">
      <c r="A65" s="1">
        <v>64.0</v>
      </c>
      <c r="B65" s="1" t="s">
        <v>13759</v>
      </c>
      <c r="C65" s="1" t="s">
        <v>13750</v>
      </c>
      <c r="D65" s="1" t="s">
        <v>13784</v>
      </c>
      <c r="E65" s="1" t="s">
        <v>13995</v>
      </c>
      <c r="F65" s="1" t="s">
        <v>13996</v>
      </c>
      <c r="G65" s="1" t="s">
        <v>13997</v>
      </c>
      <c r="H65" s="1" t="s">
        <v>13998</v>
      </c>
      <c r="I65" s="2" t="s">
        <v>332</v>
      </c>
      <c r="J65" s="1" t="s">
        <v>14063</v>
      </c>
    </row>
    <row r="66">
      <c r="A66" s="1">
        <v>65.0</v>
      </c>
      <c r="B66" s="1" t="s">
        <v>13759</v>
      </c>
      <c r="C66" s="1" t="s">
        <v>13750</v>
      </c>
      <c r="D66" s="1" t="s">
        <v>13784</v>
      </c>
      <c r="E66" s="1" t="s">
        <v>13999</v>
      </c>
      <c r="F66" s="1" t="s">
        <v>14000</v>
      </c>
      <c r="G66" s="1" t="s">
        <v>14001</v>
      </c>
      <c r="H66" s="1" t="s">
        <v>14002</v>
      </c>
      <c r="I66" s="2" t="s">
        <v>9444</v>
      </c>
      <c r="J66" s="1" t="s">
        <v>14063</v>
      </c>
    </row>
    <row r="67">
      <c r="A67" s="1">
        <v>66.0</v>
      </c>
      <c r="B67" s="1" t="s">
        <v>13759</v>
      </c>
      <c r="C67" s="1" t="s">
        <v>13750</v>
      </c>
      <c r="D67" s="1" t="s">
        <v>13784</v>
      </c>
      <c r="E67" s="1" t="s">
        <v>14003</v>
      </c>
      <c r="F67" s="1" t="s">
        <v>14004</v>
      </c>
      <c r="G67" s="1" t="s">
        <v>14005</v>
      </c>
      <c r="H67" s="1" t="s">
        <v>14006</v>
      </c>
      <c r="I67" s="2" t="s">
        <v>309</v>
      </c>
      <c r="J67" s="1" t="s">
        <v>14063</v>
      </c>
    </row>
    <row r="68">
      <c r="A68" s="1">
        <v>67.0</v>
      </c>
      <c r="B68" s="1" t="s">
        <v>13759</v>
      </c>
      <c r="C68" s="1" t="s">
        <v>13750</v>
      </c>
      <c r="D68" s="1" t="s">
        <v>13784</v>
      </c>
      <c r="E68" s="1" t="s">
        <v>14007</v>
      </c>
      <c r="F68" s="1" t="s">
        <v>14008</v>
      </c>
      <c r="G68" s="1" t="s">
        <v>14009</v>
      </c>
      <c r="H68" s="1" t="s">
        <v>14010</v>
      </c>
      <c r="I68" s="2" t="s">
        <v>329</v>
      </c>
      <c r="J68" s="1" t="s">
        <v>14063</v>
      </c>
    </row>
    <row r="69">
      <c r="A69" s="1">
        <v>68.0</v>
      </c>
      <c r="B69" s="1" t="s">
        <v>13759</v>
      </c>
      <c r="C69" s="1" t="s">
        <v>13750</v>
      </c>
      <c r="D69" s="1" t="s">
        <v>13784</v>
      </c>
      <c r="E69" s="1" t="s">
        <v>14011</v>
      </c>
      <c r="F69" s="1" t="s">
        <v>14012</v>
      </c>
      <c r="G69" s="1" t="s">
        <v>14013</v>
      </c>
      <c r="H69" s="1" t="s">
        <v>14014</v>
      </c>
      <c r="I69" s="2" t="s">
        <v>9426</v>
      </c>
      <c r="J69" s="1" t="s">
        <v>14063</v>
      </c>
    </row>
    <row r="70">
      <c r="A70" s="1">
        <v>69.0</v>
      </c>
      <c r="B70" s="1" t="s">
        <v>13759</v>
      </c>
      <c r="C70" s="1" t="s">
        <v>13750</v>
      </c>
      <c r="D70" s="1" t="s">
        <v>13784</v>
      </c>
      <c r="E70" s="1" t="s">
        <v>14015</v>
      </c>
      <c r="F70" s="1" t="s">
        <v>14016</v>
      </c>
      <c r="G70" s="1" t="s">
        <v>14017</v>
      </c>
      <c r="H70" s="1" t="s">
        <v>14018</v>
      </c>
      <c r="I70" s="2" t="s">
        <v>419</v>
      </c>
      <c r="J70" s="1" t="s">
        <v>14063</v>
      </c>
    </row>
    <row r="71">
      <c r="A71" s="1">
        <v>70.0</v>
      </c>
      <c r="B71" s="1" t="s">
        <v>13759</v>
      </c>
      <c r="C71" s="1" t="s">
        <v>13750</v>
      </c>
      <c r="D71" s="1" t="s">
        <v>13784</v>
      </c>
      <c r="E71" s="1" t="s">
        <v>14019</v>
      </c>
      <c r="F71" s="1" t="s">
        <v>14020</v>
      </c>
      <c r="G71" s="1" t="s">
        <v>14021</v>
      </c>
      <c r="H71" s="1" t="s">
        <v>14022</v>
      </c>
      <c r="I71" s="2" t="s">
        <v>9295</v>
      </c>
      <c r="J71" s="1" t="s">
        <v>14063</v>
      </c>
    </row>
    <row r="72">
      <c r="A72" s="1">
        <v>71.0</v>
      </c>
      <c r="B72" s="1" t="s">
        <v>13759</v>
      </c>
      <c r="C72" s="1" t="s">
        <v>13750</v>
      </c>
      <c r="D72" s="1" t="s">
        <v>13784</v>
      </c>
      <c r="E72" s="1" t="s">
        <v>14023</v>
      </c>
      <c r="F72" s="1" t="s">
        <v>14024</v>
      </c>
      <c r="G72" s="1" t="s">
        <v>14025</v>
      </c>
      <c r="H72" s="1" t="s">
        <v>14026</v>
      </c>
      <c r="I72" s="2" t="s">
        <v>9421</v>
      </c>
      <c r="J72" s="1" t="s">
        <v>14063</v>
      </c>
    </row>
    <row r="73">
      <c r="A73" s="1">
        <v>72.0</v>
      </c>
      <c r="B73" s="1" t="s">
        <v>13759</v>
      </c>
      <c r="C73" s="1" t="s">
        <v>13750</v>
      </c>
      <c r="D73" s="1" t="s">
        <v>13784</v>
      </c>
      <c r="E73" s="1" t="s">
        <v>14027</v>
      </c>
      <c r="F73" s="1" t="s">
        <v>14028</v>
      </c>
      <c r="G73" s="1" t="s">
        <v>14029</v>
      </c>
      <c r="H73" s="1" t="s">
        <v>14030</v>
      </c>
      <c r="I73" s="2" t="s">
        <v>9302</v>
      </c>
      <c r="J73" s="1" t="s">
        <v>14063</v>
      </c>
    </row>
    <row r="74">
      <c r="A74" s="1">
        <v>73.0</v>
      </c>
      <c r="B74" s="1" t="s">
        <v>13759</v>
      </c>
      <c r="C74" s="1" t="s">
        <v>13750</v>
      </c>
      <c r="D74" s="1" t="s">
        <v>13784</v>
      </c>
      <c r="E74" s="1" t="s">
        <v>14031</v>
      </c>
      <c r="F74" s="1" t="s">
        <v>14032</v>
      </c>
      <c r="G74" s="1" t="s">
        <v>14033</v>
      </c>
      <c r="H74" s="1" t="s">
        <v>14034</v>
      </c>
      <c r="I74" s="2" t="s">
        <v>9293</v>
      </c>
      <c r="J74" s="1" t="s">
        <v>14063</v>
      </c>
    </row>
    <row r="75">
      <c r="A75" s="1">
        <v>74.0</v>
      </c>
      <c r="B75" s="1" t="s">
        <v>13759</v>
      </c>
      <c r="C75" s="1" t="s">
        <v>13750</v>
      </c>
      <c r="D75" s="1" t="s">
        <v>13784</v>
      </c>
      <c r="E75" s="1" t="s">
        <v>14035</v>
      </c>
      <c r="F75" s="1" t="s">
        <v>14036</v>
      </c>
      <c r="G75" s="1" t="s">
        <v>14037</v>
      </c>
      <c r="H75" s="1" t="s">
        <v>14038</v>
      </c>
      <c r="I75" s="2" t="s">
        <v>9298</v>
      </c>
      <c r="J75" s="1" t="s">
        <v>14063</v>
      </c>
    </row>
    <row r="76">
      <c r="A76" s="1">
        <v>75.0</v>
      </c>
      <c r="B76" s="1" t="s">
        <v>13759</v>
      </c>
      <c r="C76" s="1" t="s">
        <v>13750</v>
      </c>
      <c r="D76" s="1" t="s">
        <v>13784</v>
      </c>
      <c r="E76" s="1" t="s">
        <v>14039</v>
      </c>
      <c r="F76" s="1" t="s">
        <v>14040</v>
      </c>
      <c r="G76" s="1" t="s">
        <v>14041</v>
      </c>
      <c r="H76" s="1" t="s">
        <v>14042</v>
      </c>
      <c r="I76" s="2" t="s">
        <v>9509</v>
      </c>
      <c r="J76" s="1" t="s">
        <v>14063</v>
      </c>
    </row>
    <row r="77">
      <c r="A77" s="1">
        <v>76.0</v>
      </c>
      <c r="B77" s="1" t="s">
        <v>13759</v>
      </c>
      <c r="C77" s="1" t="s">
        <v>13750</v>
      </c>
      <c r="D77" s="1" t="s">
        <v>13784</v>
      </c>
      <c r="E77" s="1" t="s">
        <v>14043</v>
      </c>
      <c r="F77" s="1" t="s">
        <v>14044</v>
      </c>
      <c r="G77" s="1" t="s">
        <v>14045</v>
      </c>
      <c r="H77" s="1" t="s">
        <v>14046</v>
      </c>
      <c r="I77" s="2" t="s">
        <v>9429</v>
      </c>
      <c r="J77" s="1" t="s">
        <v>14063</v>
      </c>
    </row>
    <row r="78">
      <c r="A78" s="1">
        <v>77.0</v>
      </c>
      <c r="B78" s="1" t="s">
        <v>13759</v>
      </c>
      <c r="C78" s="1" t="s">
        <v>13750</v>
      </c>
      <c r="D78" s="1" t="s">
        <v>13784</v>
      </c>
      <c r="E78" s="1" t="s">
        <v>14047</v>
      </c>
      <c r="F78" s="1" t="s">
        <v>14048</v>
      </c>
      <c r="G78" s="1" t="s">
        <v>14049</v>
      </c>
      <c r="H78" s="1" t="s">
        <v>14050</v>
      </c>
      <c r="I78" s="2" t="s">
        <v>9506</v>
      </c>
      <c r="J78" s="1" t="s">
        <v>14063</v>
      </c>
    </row>
    <row r="79">
      <c r="A79" s="1">
        <v>78.0</v>
      </c>
      <c r="B79" s="1" t="s">
        <v>13759</v>
      </c>
      <c r="C79" s="1" t="s">
        <v>13750</v>
      </c>
      <c r="D79" s="1" t="s">
        <v>13784</v>
      </c>
      <c r="E79" s="1" t="s">
        <v>14051</v>
      </c>
      <c r="F79" s="1" t="s">
        <v>14052</v>
      </c>
      <c r="G79" s="1" t="s">
        <v>14053</v>
      </c>
      <c r="H79" s="1" t="s">
        <v>14054</v>
      </c>
      <c r="I79" s="2" t="s">
        <v>9224</v>
      </c>
      <c r="J79" s="1" t="s">
        <v>14063</v>
      </c>
    </row>
    <row r="80">
      <c r="A80" s="1">
        <v>79.0</v>
      </c>
      <c r="B80" s="1" t="s">
        <v>13759</v>
      </c>
      <c r="C80" s="1" t="s">
        <v>13750</v>
      </c>
      <c r="D80" s="1" t="s">
        <v>13784</v>
      </c>
      <c r="E80" s="1" t="s">
        <v>14055</v>
      </c>
      <c r="F80" s="1" t="s">
        <v>14056</v>
      </c>
      <c r="G80" s="1" t="s">
        <v>14057</v>
      </c>
      <c r="H80" s="1" t="s">
        <v>14058</v>
      </c>
      <c r="I80" s="2" t="s">
        <v>9300</v>
      </c>
      <c r="J80" s="1" t="s">
        <v>14063</v>
      </c>
    </row>
    <row r="81">
      <c r="A81" s="1">
        <v>80.0</v>
      </c>
      <c r="B81" s="1" t="s">
        <v>13759</v>
      </c>
      <c r="C81" s="1" t="s">
        <v>13750</v>
      </c>
      <c r="D81" s="1" t="s">
        <v>13784</v>
      </c>
      <c r="E81" s="1" t="s">
        <v>14059</v>
      </c>
      <c r="F81" s="1" t="s">
        <v>14060</v>
      </c>
      <c r="G81" s="1" t="s">
        <v>14061</v>
      </c>
      <c r="H81" s="1" t="s">
        <v>14062</v>
      </c>
      <c r="I81" s="2" t="s">
        <v>9020</v>
      </c>
      <c r="J81" s="1" t="s">
        <v>14063</v>
      </c>
    </row>
    <row r="82">
      <c r="A82" s="1">
        <v>82.0</v>
      </c>
      <c r="B82" s="1" t="s">
        <v>14064</v>
      </c>
      <c r="C82" s="1" t="s">
        <v>13750</v>
      </c>
      <c r="D82" s="1" t="s">
        <v>13784</v>
      </c>
      <c r="E82" s="1" t="s">
        <v>493</v>
      </c>
      <c r="F82" s="1" t="s">
        <v>14065</v>
      </c>
      <c r="G82" s="1" t="s">
        <v>14066</v>
      </c>
      <c r="H82" s="1" t="s">
        <v>14067</v>
      </c>
      <c r="J82" s="1" t="s">
        <v>14068</v>
      </c>
    </row>
    <row r="83">
      <c r="A83" s="1">
        <v>83.0</v>
      </c>
      <c r="B83" s="1" t="s">
        <v>14064</v>
      </c>
      <c r="C83" s="1" t="s">
        <v>13750</v>
      </c>
      <c r="D83" s="1" t="s">
        <v>13784</v>
      </c>
      <c r="E83" s="1" t="s">
        <v>497</v>
      </c>
      <c r="F83" s="1" t="s">
        <v>14069</v>
      </c>
      <c r="G83" s="1" t="s">
        <v>14070</v>
      </c>
      <c r="H83" s="1" t="s">
        <v>14071</v>
      </c>
      <c r="J83" s="1" t="s">
        <v>14068</v>
      </c>
    </row>
    <row r="84">
      <c r="A84" s="1">
        <v>84.0</v>
      </c>
      <c r="B84" s="1" t="s">
        <v>14064</v>
      </c>
      <c r="C84" s="1" t="s">
        <v>13750</v>
      </c>
      <c r="D84" s="1" t="s">
        <v>13784</v>
      </c>
      <c r="E84" s="1" t="s">
        <v>501</v>
      </c>
      <c r="F84" s="1" t="s">
        <v>14072</v>
      </c>
      <c r="G84" s="1" t="s">
        <v>14073</v>
      </c>
      <c r="H84" s="1" t="s">
        <v>14074</v>
      </c>
      <c r="J84" s="1" t="s">
        <v>14068</v>
      </c>
    </row>
    <row r="85">
      <c r="A85" s="1">
        <v>85.0</v>
      </c>
      <c r="B85" s="1" t="s">
        <v>14064</v>
      </c>
      <c r="C85" s="1" t="s">
        <v>13750</v>
      </c>
      <c r="D85" s="1" t="s">
        <v>13784</v>
      </c>
      <c r="E85" s="1" t="s">
        <v>14075</v>
      </c>
      <c r="F85" s="1" t="s">
        <v>14076</v>
      </c>
      <c r="G85" s="1" t="s">
        <v>14077</v>
      </c>
      <c r="H85" s="1" t="s">
        <v>14078</v>
      </c>
      <c r="J85" s="1" t="s">
        <v>14068</v>
      </c>
    </row>
    <row r="86">
      <c r="A86" s="1">
        <v>86.0</v>
      </c>
      <c r="B86" s="1" t="s">
        <v>14064</v>
      </c>
      <c r="C86" s="1" t="s">
        <v>13750</v>
      </c>
      <c r="D86" s="1" t="s">
        <v>13784</v>
      </c>
      <c r="E86" s="1" t="s">
        <v>14079</v>
      </c>
      <c r="F86" s="1" t="s">
        <v>14080</v>
      </c>
      <c r="G86" s="1" t="s">
        <v>14081</v>
      </c>
      <c r="H86" s="1" t="s">
        <v>14082</v>
      </c>
      <c r="J86" s="1" t="s">
        <v>14068</v>
      </c>
    </row>
    <row r="87">
      <c r="A87" s="1">
        <v>87.0</v>
      </c>
      <c r="B87" s="1" t="s">
        <v>14064</v>
      </c>
      <c r="C87" s="1" t="s">
        <v>13750</v>
      </c>
      <c r="D87" s="1" t="s">
        <v>13784</v>
      </c>
      <c r="E87" s="1" t="s">
        <v>14083</v>
      </c>
      <c r="F87" s="1" t="s">
        <v>14084</v>
      </c>
      <c r="G87" s="1" t="s">
        <v>14085</v>
      </c>
      <c r="H87" s="1" t="s">
        <v>14086</v>
      </c>
      <c r="J87" s="1" t="s">
        <v>14068</v>
      </c>
    </row>
    <row r="88">
      <c r="A88" s="1">
        <v>88.0</v>
      </c>
      <c r="B88" s="1" t="s">
        <v>14064</v>
      </c>
      <c r="C88" s="1" t="s">
        <v>13750</v>
      </c>
      <c r="D88" s="1" t="s">
        <v>13784</v>
      </c>
      <c r="E88" s="1" t="s">
        <v>14087</v>
      </c>
      <c r="F88" s="1" t="s">
        <v>14088</v>
      </c>
      <c r="G88" s="1" t="s">
        <v>14089</v>
      </c>
      <c r="H88" s="1" t="s">
        <v>14090</v>
      </c>
      <c r="J88" s="1" t="s">
        <v>14068</v>
      </c>
    </row>
    <row r="89">
      <c r="A89" s="1">
        <v>89.0</v>
      </c>
      <c r="B89" s="1" t="s">
        <v>13759</v>
      </c>
      <c r="C89" s="1" t="s">
        <v>13750</v>
      </c>
      <c r="D89" s="1" t="s">
        <v>14091</v>
      </c>
      <c r="E89" s="1" t="s">
        <v>14092</v>
      </c>
      <c r="F89" s="1" t="s">
        <v>14093</v>
      </c>
      <c r="G89" s="1" t="s">
        <v>14094</v>
      </c>
      <c r="H89" s="1" t="s">
        <v>14095</v>
      </c>
      <c r="J89" s="1" t="s">
        <v>14068</v>
      </c>
    </row>
    <row r="90">
      <c r="A90" s="1">
        <v>90.0</v>
      </c>
      <c r="B90" s="1" t="s">
        <v>13759</v>
      </c>
      <c r="C90" s="1" t="s">
        <v>13750</v>
      </c>
      <c r="D90" s="1" t="s">
        <v>14091</v>
      </c>
      <c r="E90" s="1" t="s">
        <v>513</v>
      </c>
      <c r="F90" s="1" t="s">
        <v>14096</v>
      </c>
      <c r="G90" s="1" t="s">
        <v>14097</v>
      </c>
      <c r="H90" s="1" t="s">
        <v>14098</v>
      </c>
      <c r="J90" s="1" t="s">
        <v>14068</v>
      </c>
    </row>
    <row r="91">
      <c r="A91" s="1">
        <v>91.0</v>
      </c>
      <c r="B91" s="1" t="s">
        <v>13759</v>
      </c>
      <c r="C91" s="1" t="s">
        <v>13750</v>
      </c>
      <c r="D91" s="1" t="s">
        <v>14091</v>
      </c>
      <c r="E91" s="1" t="s">
        <v>517</v>
      </c>
      <c r="F91" s="1" t="s">
        <v>14099</v>
      </c>
      <c r="G91" s="1" t="s">
        <v>14100</v>
      </c>
      <c r="H91" s="1" t="s">
        <v>14101</v>
      </c>
      <c r="J91" s="1" t="s">
        <v>14068</v>
      </c>
    </row>
    <row r="92">
      <c r="A92" s="1">
        <v>92.0</v>
      </c>
      <c r="B92" s="1" t="s">
        <v>13759</v>
      </c>
      <c r="C92" s="1" t="s">
        <v>13750</v>
      </c>
      <c r="D92" s="1" t="s">
        <v>14091</v>
      </c>
      <c r="E92" s="1" t="s">
        <v>521</v>
      </c>
      <c r="F92" s="1" t="s">
        <v>14102</v>
      </c>
      <c r="G92" s="1" t="s">
        <v>14103</v>
      </c>
      <c r="H92" s="1" t="s">
        <v>14104</v>
      </c>
      <c r="J92" s="1" t="s">
        <v>14068</v>
      </c>
    </row>
    <row r="93">
      <c r="A93" s="1">
        <v>93.0</v>
      </c>
      <c r="B93" s="1" t="s">
        <v>13759</v>
      </c>
      <c r="C93" s="1" t="s">
        <v>13750</v>
      </c>
      <c r="D93" s="1" t="s">
        <v>14091</v>
      </c>
      <c r="E93" s="1" t="s">
        <v>14105</v>
      </c>
      <c r="F93" s="1" t="s">
        <v>14106</v>
      </c>
      <c r="G93" s="1" t="s">
        <v>14107</v>
      </c>
      <c r="H93" s="1" t="s">
        <v>14108</v>
      </c>
      <c r="J93" s="1" t="s">
        <v>14068</v>
      </c>
    </row>
    <row r="94">
      <c r="A94" s="1">
        <v>94.0</v>
      </c>
      <c r="B94" s="1" t="s">
        <v>13759</v>
      </c>
      <c r="C94" s="1" t="s">
        <v>13750</v>
      </c>
      <c r="D94" s="1" t="s">
        <v>14091</v>
      </c>
      <c r="E94" s="1" t="s">
        <v>14109</v>
      </c>
      <c r="F94" s="1" t="s">
        <v>14110</v>
      </c>
      <c r="G94" s="1" t="s">
        <v>14111</v>
      </c>
      <c r="H94" s="1" t="s">
        <v>14112</v>
      </c>
      <c r="J94" s="1" t="s">
        <v>14068</v>
      </c>
    </row>
    <row r="95">
      <c r="A95" s="1">
        <v>95.0</v>
      </c>
      <c r="B95" s="1" t="s">
        <v>13759</v>
      </c>
      <c r="C95" s="1" t="s">
        <v>13750</v>
      </c>
      <c r="D95" s="1" t="s">
        <v>14091</v>
      </c>
      <c r="E95" s="1" t="s">
        <v>525</v>
      </c>
      <c r="F95" s="1" t="s">
        <v>14113</v>
      </c>
      <c r="G95" s="1" t="s">
        <v>14114</v>
      </c>
      <c r="H95" s="1" t="s">
        <v>14115</v>
      </c>
      <c r="J95" s="1" t="s">
        <v>14068</v>
      </c>
    </row>
    <row r="96">
      <c r="A96" s="1">
        <v>96.0</v>
      </c>
      <c r="B96" s="1" t="s">
        <v>13759</v>
      </c>
      <c r="C96" s="1" t="s">
        <v>13750</v>
      </c>
      <c r="D96" s="1" t="s">
        <v>14091</v>
      </c>
      <c r="E96" s="1" t="s">
        <v>529</v>
      </c>
      <c r="F96" s="1" t="s">
        <v>14116</v>
      </c>
      <c r="G96" s="1" t="s">
        <v>14117</v>
      </c>
      <c r="H96" s="1" t="s">
        <v>14118</v>
      </c>
      <c r="J96" s="1" t="s">
        <v>14068</v>
      </c>
    </row>
    <row r="97">
      <c r="A97" s="1">
        <v>97.0</v>
      </c>
      <c r="B97" s="1" t="s">
        <v>13759</v>
      </c>
      <c r="C97" s="1" t="s">
        <v>13750</v>
      </c>
      <c r="D97" s="1" t="s">
        <v>14091</v>
      </c>
      <c r="E97" s="1" t="s">
        <v>14119</v>
      </c>
      <c r="F97" s="1" t="s">
        <v>14120</v>
      </c>
      <c r="G97" s="1" t="s">
        <v>14121</v>
      </c>
      <c r="H97" s="1" t="s">
        <v>14122</v>
      </c>
      <c r="J97" s="1" t="s">
        <v>14068</v>
      </c>
    </row>
    <row r="98">
      <c r="A98" s="1">
        <v>98.0</v>
      </c>
      <c r="B98" s="1" t="s">
        <v>13759</v>
      </c>
      <c r="C98" s="1" t="s">
        <v>13750</v>
      </c>
      <c r="D98" s="1" t="s">
        <v>14091</v>
      </c>
      <c r="E98" s="1" t="s">
        <v>533</v>
      </c>
      <c r="F98" s="1" t="s">
        <v>14123</v>
      </c>
      <c r="G98" s="1" t="s">
        <v>14124</v>
      </c>
      <c r="H98" s="1" t="s">
        <v>14125</v>
      </c>
      <c r="J98" s="1" t="s">
        <v>14068</v>
      </c>
    </row>
    <row r="99">
      <c r="A99" s="1">
        <v>99.0</v>
      </c>
      <c r="B99" s="1" t="s">
        <v>13759</v>
      </c>
      <c r="C99" s="1" t="s">
        <v>13750</v>
      </c>
      <c r="D99" s="1" t="s">
        <v>14091</v>
      </c>
      <c r="E99" s="1" t="s">
        <v>537</v>
      </c>
      <c r="F99" s="1" t="s">
        <v>14126</v>
      </c>
      <c r="G99" s="1" t="s">
        <v>14127</v>
      </c>
      <c r="H99" s="1" t="s">
        <v>14128</v>
      </c>
      <c r="J99" s="1" t="s">
        <v>14068</v>
      </c>
    </row>
    <row r="100">
      <c r="A100" s="1">
        <v>100.0</v>
      </c>
      <c r="B100" s="1" t="s">
        <v>13759</v>
      </c>
      <c r="C100" s="1" t="s">
        <v>13750</v>
      </c>
      <c r="D100" s="1" t="s">
        <v>14091</v>
      </c>
      <c r="E100" s="1" t="s">
        <v>14129</v>
      </c>
      <c r="F100" s="1" t="s">
        <v>14130</v>
      </c>
      <c r="G100" s="1" t="s">
        <v>14131</v>
      </c>
      <c r="H100" s="1" t="s">
        <v>14132</v>
      </c>
      <c r="J100" s="1" t="s">
        <v>14068</v>
      </c>
    </row>
    <row r="101">
      <c r="A101" s="1">
        <v>101.0</v>
      </c>
      <c r="B101" s="1" t="s">
        <v>13759</v>
      </c>
      <c r="C101" s="1" t="s">
        <v>13750</v>
      </c>
      <c r="D101" s="1" t="s">
        <v>14091</v>
      </c>
      <c r="E101" s="1" t="s">
        <v>14133</v>
      </c>
      <c r="F101" s="1" t="s">
        <v>14134</v>
      </c>
      <c r="G101" s="1" t="s">
        <v>14135</v>
      </c>
      <c r="H101" s="1" t="s">
        <v>14136</v>
      </c>
      <c r="J101" s="1" t="s">
        <v>14068</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s>
  <drawing r:id="rId81"/>
</worksheet>
</file>